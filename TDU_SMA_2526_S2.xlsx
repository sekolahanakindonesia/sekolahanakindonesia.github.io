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slicerCaches/slicerCache45.xml" ContentType="application/vnd.ms-excel.slicerCache+xml"/>
  <Override PartName="/xl/slicerCaches/slicerCache46.xml" ContentType="application/vnd.ms-excel.slicerCache+xml"/>
  <Override PartName="/xl/slicerCaches/slicerCache47.xml" ContentType="application/vnd.ms-excel.slicerCache+xml"/>
  <Override PartName="/xl/slicerCaches/slicerCache48.xml" ContentType="application/vnd.ms-excel.slicerCache+xml"/>
  <Override PartName="/xl/slicerCaches/slicerCache49.xml" ContentType="application/vnd.ms-excel.slicerCache+xml"/>
  <Override PartName="/xl/slicerCaches/slicerCache50.xml" ContentType="application/vnd.ms-excel.slicerCache+xml"/>
  <Override PartName="/xl/slicerCaches/slicerCache51.xml" ContentType="application/vnd.ms-excel.slicerCache+xml"/>
  <Override PartName="/xl/slicerCaches/slicerCache52.xml" ContentType="application/vnd.ms-excel.slicerCache+xml"/>
  <Override PartName="/xl/slicerCaches/slicerCache53.xml" ContentType="application/vnd.ms-excel.slicerCache+xml"/>
  <Override PartName="/xl/slicerCaches/slicerCache54.xml" ContentType="application/vnd.ms-excel.slicerCache+xml"/>
  <Override PartName="/xl/slicerCaches/slicerCache55.xml" ContentType="application/vnd.ms-excel.slicerCache+xml"/>
  <Override PartName="/xl/slicerCaches/slicerCache56.xml" ContentType="application/vnd.ms-excel.slicerCache+xml"/>
  <Override PartName="/xl/slicerCaches/slicerCache57.xml" ContentType="application/vnd.ms-excel.slicerCache+xml"/>
  <Override PartName="/xl/slicerCaches/slicerCache58.xml" ContentType="application/vnd.ms-excel.slicerCache+xml"/>
  <Override PartName="/xl/slicerCaches/slicerCache59.xml" ContentType="application/vnd.ms-excel.slicerCache+xml"/>
  <Override PartName="/xl/slicerCaches/slicerCache60.xml" ContentType="application/vnd.ms-excel.slicerCache+xml"/>
  <Override PartName="/xl/slicerCaches/slicerCache61.xml" ContentType="application/vnd.ms-excel.slicerCache+xml"/>
  <Override PartName="/xl/slicerCaches/slicerCache62.xml" ContentType="application/vnd.ms-excel.slicerCache+xml"/>
  <Override PartName="/xl/slicerCaches/slicerCache63.xml" ContentType="application/vnd.ms-excel.slicerCache+xml"/>
  <Override PartName="/xl/slicerCaches/slicerCache64.xml" ContentType="application/vnd.ms-excel.slicerCache+xml"/>
  <Override PartName="/xl/slicerCaches/slicerCache65.xml" ContentType="application/vnd.ms-excel.slicerCache+xml"/>
  <Override PartName="/xl/slicerCaches/slicerCache66.xml" ContentType="application/vnd.ms-excel.slicerCache+xml"/>
  <Override PartName="/xl/slicerCaches/slicerCache67.xml" ContentType="application/vnd.ms-excel.slicerCache+xml"/>
  <Override PartName="/xl/slicerCaches/slicerCache68.xml" ContentType="application/vnd.ms-excel.slicerCache+xml"/>
  <Override PartName="/xl/slicerCaches/slicerCache69.xml" ContentType="application/vnd.ms-excel.slicerCache+xml"/>
  <Override PartName="/xl/slicerCaches/slicerCache7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18.xml" ContentType="application/vnd.openxmlformats-officedocument.drawingml.chart+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filterPrivacy="1" hidePivotFieldList="1" defaultThemeVersion="124226"/>
  <xr:revisionPtr revIDLastSave="0" documentId="13_ncr:1_{702B6715-1091-0E4E-87EF-1B901D525EA5}" xr6:coauthVersionLast="47" xr6:coauthVersionMax="47" xr10:uidLastSave="{00000000-0000-0000-0000-000000000000}"/>
  <bookViews>
    <workbookView xWindow="0" yWindow="500" windowWidth="28180" windowHeight="17500" activeTab="5" xr2:uid="{00000000-000D-0000-FFFF-FFFF00000000}"/>
  </bookViews>
  <sheets>
    <sheet name="HPL" sheetId="5" r:id="rId1"/>
    <sheet name="progmat" sheetId="16" r:id="rId2"/>
    <sheet name="rerata nilai" sheetId="8" r:id="rId3"/>
    <sheet name="rerata siswa" sheetId="9" r:id="rId4"/>
    <sheet name="skill" sheetId="10" r:id="rId5"/>
    <sheet name="stnk" sheetId="11" r:id="rId6"/>
    <sheet name="karakter" sheetId="12" r:id="rId7"/>
    <sheet name="guru" sheetId="13" r:id="rId8"/>
    <sheet name="IQ-stnkm" sheetId="19" r:id="rId9"/>
    <sheet name="Sheet2" sheetId="20" r:id="rId10"/>
    <sheet name="dt stnk" sheetId="18" r:id="rId11"/>
    <sheet name="mapel" sheetId="4" state="hidden" r:id="rId12"/>
  </sheets>
  <definedNames>
    <definedName name="ExternalData_1" localSheetId="9" hidden="1">Sheet2!$A$1:$AD$2522</definedName>
    <definedName name="Slicer_IQ_Status">#N/A</definedName>
    <definedName name="Slicer_JENIS_PENILAIAN">#N/A</definedName>
    <definedName name="Slicer_JENIS_PENILAIAN1">#N/A</definedName>
    <definedName name="Slicer_KATEGORI_PENILAIAN">#N/A</definedName>
    <definedName name="Slicer_KATEGORI_PENILAIAN2">#N/A</definedName>
    <definedName name="Slicer_KATEGORI_PENILAIAN3">#N/A</definedName>
    <definedName name="Slicer_KATEGORI_PENILAIAN4">#N/A</definedName>
    <definedName name="Slicer_KELAS">#N/A</definedName>
    <definedName name="Slicer_KELAS1">#N/A</definedName>
    <definedName name="Slicer_KELAS10">#N/A</definedName>
    <definedName name="Slicer_KELAS11">#N/A</definedName>
    <definedName name="Slicer_KELAS12">#N/A</definedName>
    <definedName name="Slicer_KELAS13">#N/A</definedName>
    <definedName name="Slicer_KELAS14">#N/A</definedName>
    <definedName name="Slicer_KELAS15">#N/A</definedName>
    <definedName name="Slicer_KELAS2">#N/A</definedName>
    <definedName name="Slicer_KELAS3">#N/A</definedName>
    <definedName name="Slicer_KELAS4">#N/A</definedName>
    <definedName name="Slicer_KELAS5">#N/A</definedName>
    <definedName name="Slicer_KELAS6">#N/A</definedName>
    <definedName name="Slicer_KELAS7">#N/A</definedName>
    <definedName name="Slicer_KELAS8">#N/A</definedName>
    <definedName name="Slicer_KELAS9">#N/A</definedName>
    <definedName name="Slicer_KETERANGAN_MATERI">#N/A</definedName>
    <definedName name="Slicer_Mapel_TDU">#N/A</definedName>
    <definedName name="Slicer_Mapel_TDU1">#N/A</definedName>
    <definedName name="Slicer_Mapel_TDU2">#N/A</definedName>
    <definedName name="Slicer_Mapel_TDU3">#N/A</definedName>
    <definedName name="Slicer_Mapel_TDU4">#N/A</definedName>
    <definedName name="Slicer_Mapel_TDU5">#N/A</definedName>
    <definedName name="Slicer_Mapel_TDU6">#N/A</definedName>
    <definedName name="Slicer_Mapel_TDU7">#N/A</definedName>
    <definedName name="Slicer_Mapel_TDU8">#N/A</definedName>
    <definedName name="Slicer_Mapel_TDU9">#N/A</definedName>
    <definedName name="Slicer_Month">#N/A</definedName>
    <definedName name="Slicer_Month1">#N/A</definedName>
    <definedName name="Slicer_Month10">#N/A</definedName>
    <definedName name="Slicer_Month11">#N/A</definedName>
    <definedName name="Slicer_Month12">#N/A</definedName>
    <definedName name="Slicer_Month13">#N/A</definedName>
    <definedName name="Slicer_Month14">#N/A</definedName>
    <definedName name="Slicer_Month15">#N/A</definedName>
    <definedName name="Slicer_Month16">#N/A</definedName>
    <definedName name="Slicer_Month17">#N/A</definedName>
    <definedName name="Slicer_Month18">#N/A</definedName>
    <definedName name="Slicer_Month19">#N/A</definedName>
    <definedName name="Slicer_Month2">#N/A</definedName>
    <definedName name="Slicer_Month20">#N/A</definedName>
    <definedName name="Slicer_Month21">#N/A</definedName>
    <definedName name="Slicer_Month22">#N/A</definedName>
    <definedName name="Slicer_Month23">#N/A</definedName>
    <definedName name="Slicer_Month3">#N/A</definedName>
    <definedName name="Slicer_Month6">#N/A</definedName>
    <definedName name="Slicer_Month7">#N/A</definedName>
    <definedName name="Slicer_Month9">#N/A</definedName>
    <definedName name="Slicer_NAMA">#N/A</definedName>
    <definedName name="Slicer_NAMA1">#N/A</definedName>
    <definedName name="Slicer_NAMA2">#N/A</definedName>
    <definedName name="Slicer_NAMA3">#N/A</definedName>
    <definedName name="Slicer_NAMA4">#N/A</definedName>
    <definedName name="Slicer_PROYEK">#N/A</definedName>
    <definedName name="Slicer_PROYEK1">#N/A</definedName>
    <definedName name="Slicer_PROYEK2">#N/A</definedName>
    <definedName name="Slicer_PROYEK3">#N/A</definedName>
    <definedName name="Slicer_PROYEK4">#N/A</definedName>
    <definedName name="Slicer_PROYEK5">#N/A</definedName>
    <definedName name="Slicer_SKILL">#N/A</definedName>
    <definedName name="Slicer_SKILL1">#N/A</definedName>
    <definedName name="Slicer_SKILL2">#N/A</definedName>
    <definedName name="Slicer_SUB_SKILL">#N/A</definedName>
  </definedNames>
  <calcPr calcId="191029"/>
  <pivotCaches>
    <pivotCache cacheId="409" r:id="rId13"/>
    <pivotCache cacheId="41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4:slicerCache r:id="rId81"/>
        <x14:slicerCache r:id="rId82"/>
        <x14:slicerCache r:id="rId83"/>
        <x14:slicerCache r:id="rId8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E1642" i="20" l="1"/>
  <c r="AE1908" i="20"/>
  <c r="AE2104" i="20"/>
  <c r="AE2442" i="20"/>
  <c r="AF2" i="20"/>
  <c r="AE2" i="20" s="1"/>
  <c r="AF3" i="20"/>
  <c r="AE3" i="20" s="1"/>
  <c r="AF4" i="20"/>
  <c r="AF5" i="20"/>
  <c r="AE5" i="20" s="1"/>
  <c r="AF6" i="20"/>
  <c r="AE6" i="20" s="1"/>
  <c r="AF7" i="20"/>
  <c r="AE7" i="20" s="1"/>
  <c r="AF8" i="20"/>
  <c r="AE8" i="20" s="1"/>
  <c r="AF9" i="20"/>
  <c r="AE9" i="20" s="1"/>
  <c r="AF10" i="20"/>
  <c r="AE10" i="20" s="1"/>
  <c r="AF11" i="20"/>
  <c r="AE11" i="20" s="1"/>
  <c r="AF12" i="20"/>
  <c r="AF13" i="20"/>
  <c r="AE13" i="20" s="1"/>
  <c r="AF14" i="20"/>
  <c r="AE14" i="20" s="1"/>
  <c r="AF15" i="20"/>
  <c r="AE15" i="20" s="1"/>
  <c r="AF16" i="20"/>
  <c r="AE16" i="20" s="1"/>
  <c r="AF17" i="20"/>
  <c r="AE17" i="20" s="1"/>
  <c r="AF18" i="20"/>
  <c r="AE18" i="20" s="1"/>
  <c r="AF19" i="20"/>
  <c r="AE19" i="20" s="1"/>
  <c r="AF20" i="20"/>
  <c r="AF21" i="20"/>
  <c r="AE21" i="20" s="1"/>
  <c r="AF22" i="20"/>
  <c r="AE22" i="20" s="1"/>
  <c r="AF23" i="20"/>
  <c r="AE23" i="20" s="1"/>
  <c r="AF24" i="20"/>
  <c r="AE24" i="20" s="1"/>
  <c r="AF25" i="20"/>
  <c r="AE25" i="20" s="1"/>
  <c r="AF26" i="20"/>
  <c r="AE26" i="20" s="1"/>
  <c r="AF27" i="20"/>
  <c r="AE27" i="20" s="1"/>
  <c r="AF28" i="20"/>
  <c r="AF29" i="20"/>
  <c r="AE29" i="20" s="1"/>
  <c r="AF30" i="20"/>
  <c r="AE30" i="20" s="1"/>
  <c r="AF31" i="20"/>
  <c r="AF32" i="20"/>
  <c r="AE32" i="20" s="1"/>
  <c r="AF33" i="20"/>
  <c r="AE33" i="20" s="1"/>
  <c r="AF34" i="20"/>
  <c r="AE34" i="20" s="1"/>
  <c r="AF35" i="20"/>
  <c r="AE35" i="20" s="1"/>
  <c r="AF36" i="20"/>
  <c r="AF37" i="20"/>
  <c r="AE37" i="20" s="1"/>
  <c r="AF38" i="20"/>
  <c r="AE38" i="20" s="1"/>
  <c r="AF39" i="20"/>
  <c r="AF40" i="20"/>
  <c r="AF41" i="20"/>
  <c r="AE41" i="20" s="1"/>
  <c r="AF42" i="20"/>
  <c r="AE42" i="20" s="1"/>
  <c r="AF43" i="20"/>
  <c r="AE43" i="20" s="1"/>
  <c r="AF44" i="20"/>
  <c r="AF45" i="20"/>
  <c r="AE45" i="20" s="1"/>
  <c r="AF46" i="20"/>
  <c r="AE46" i="20" s="1"/>
  <c r="AF47" i="20"/>
  <c r="AF48" i="20"/>
  <c r="AE48" i="20" s="1"/>
  <c r="AF49" i="20"/>
  <c r="AE49" i="20" s="1"/>
  <c r="AF50" i="20"/>
  <c r="AE50" i="20" s="1"/>
  <c r="AF51" i="20"/>
  <c r="AE51" i="20" s="1"/>
  <c r="AF52" i="20"/>
  <c r="AF53" i="20"/>
  <c r="AE53" i="20" s="1"/>
  <c r="AF54" i="20"/>
  <c r="AE54" i="20" s="1"/>
  <c r="AF55" i="20"/>
  <c r="AF56" i="20"/>
  <c r="AF57" i="20"/>
  <c r="AE57" i="20" s="1"/>
  <c r="AF58" i="20"/>
  <c r="AE58" i="20" s="1"/>
  <c r="AF59" i="20"/>
  <c r="AE59" i="20" s="1"/>
  <c r="AF60" i="20"/>
  <c r="AF61" i="20"/>
  <c r="AE61" i="20" s="1"/>
  <c r="AF62" i="20"/>
  <c r="AE62" i="20" s="1"/>
  <c r="AF63" i="20"/>
  <c r="AF64" i="20"/>
  <c r="AF65" i="20"/>
  <c r="AE65" i="20" s="1"/>
  <c r="AF66" i="20"/>
  <c r="AE66" i="20" s="1"/>
  <c r="AF67" i="20"/>
  <c r="AE67" i="20" s="1"/>
  <c r="AF68" i="20"/>
  <c r="AF69" i="20"/>
  <c r="AE69" i="20" s="1"/>
  <c r="AF70" i="20"/>
  <c r="AE70" i="20" s="1"/>
  <c r="AF71" i="20"/>
  <c r="AF72" i="20"/>
  <c r="AE72" i="20" s="1"/>
  <c r="AF73" i="20"/>
  <c r="AE73" i="20" s="1"/>
  <c r="AF74" i="20"/>
  <c r="AE74" i="20" s="1"/>
  <c r="AF75" i="20"/>
  <c r="AE75" i="20" s="1"/>
  <c r="AF76" i="20"/>
  <c r="AF77" i="20"/>
  <c r="AE77" i="20" s="1"/>
  <c r="AF78" i="20"/>
  <c r="AE78" i="20" s="1"/>
  <c r="AF79" i="20"/>
  <c r="AE79" i="20" s="1"/>
  <c r="AF80" i="20"/>
  <c r="AE80" i="20" s="1"/>
  <c r="AF81" i="20"/>
  <c r="AE81" i="20" s="1"/>
  <c r="AF82" i="20"/>
  <c r="AE82" i="20" s="1"/>
  <c r="AF83" i="20"/>
  <c r="AE83" i="20" s="1"/>
  <c r="AF84" i="20"/>
  <c r="AF85" i="20"/>
  <c r="AE85" i="20" s="1"/>
  <c r="AF86" i="20"/>
  <c r="AE86" i="20" s="1"/>
  <c r="AF87" i="20"/>
  <c r="AE87" i="20" s="1"/>
  <c r="AF88" i="20"/>
  <c r="AE88" i="20" s="1"/>
  <c r="AF89" i="20"/>
  <c r="AE89" i="20" s="1"/>
  <c r="AF90" i="20"/>
  <c r="AE90" i="20" s="1"/>
  <c r="AF91" i="20"/>
  <c r="AE91" i="20" s="1"/>
  <c r="AF92" i="20"/>
  <c r="AF93" i="20"/>
  <c r="AE93" i="20" s="1"/>
  <c r="AF94" i="20"/>
  <c r="AE94" i="20" s="1"/>
  <c r="AF95" i="20"/>
  <c r="AF96" i="20"/>
  <c r="AE96" i="20" s="1"/>
  <c r="AF97" i="20"/>
  <c r="AE97" i="20" s="1"/>
  <c r="AF98" i="20"/>
  <c r="AE98" i="20" s="1"/>
  <c r="AF99" i="20"/>
  <c r="AE99" i="20" s="1"/>
  <c r="AF100" i="20"/>
  <c r="AF101" i="20"/>
  <c r="AE101" i="20" s="1"/>
  <c r="AF102" i="20"/>
  <c r="AE102" i="20" s="1"/>
  <c r="AF103" i="20"/>
  <c r="AF104" i="20"/>
  <c r="AF105" i="20"/>
  <c r="AE105" i="20" s="1"/>
  <c r="AF106" i="20"/>
  <c r="AE106" i="20" s="1"/>
  <c r="AF107" i="20"/>
  <c r="AE107" i="20" s="1"/>
  <c r="AF108" i="20"/>
  <c r="AF109" i="20"/>
  <c r="AE109" i="20" s="1"/>
  <c r="AF110" i="20"/>
  <c r="AE110" i="20" s="1"/>
  <c r="AF111" i="20"/>
  <c r="AF112" i="20"/>
  <c r="AE112" i="20" s="1"/>
  <c r="AF113" i="20"/>
  <c r="AE113" i="20" s="1"/>
  <c r="AF114" i="20"/>
  <c r="AE114" i="20" s="1"/>
  <c r="AF115" i="20"/>
  <c r="AE115" i="20" s="1"/>
  <c r="AF116" i="20"/>
  <c r="AF117" i="20"/>
  <c r="AE117" i="20" s="1"/>
  <c r="AF118" i="20"/>
  <c r="AE118" i="20" s="1"/>
  <c r="AF119" i="20"/>
  <c r="AF120" i="20"/>
  <c r="AF121" i="20"/>
  <c r="AE121" i="20" s="1"/>
  <c r="AF122" i="20"/>
  <c r="AE122" i="20" s="1"/>
  <c r="AF123" i="20"/>
  <c r="AE123" i="20" s="1"/>
  <c r="AF124" i="20"/>
  <c r="AF125" i="20"/>
  <c r="AE125" i="20" s="1"/>
  <c r="AF126" i="20"/>
  <c r="AE126" i="20" s="1"/>
  <c r="AF127" i="20"/>
  <c r="AE127" i="20" s="1"/>
  <c r="AF128" i="20"/>
  <c r="AF129" i="20"/>
  <c r="AE129" i="20" s="1"/>
  <c r="AF130" i="20"/>
  <c r="AE130" i="20" s="1"/>
  <c r="AF131" i="20"/>
  <c r="AE131" i="20" s="1"/>
  <c r="AF132" i="20"/>
  <c r="AF133" i="20"/>
  <c r="AE133" i="20" s="1"/>
  <c r="AF134" i="20"/>
  <c r="AE134" i="20" s="1"/>
  <c r="AF135" i="20"/>
  <c r="AF136" i="20"/>
  <c r="AE136" i="20" s="1"/>
  <c r="AF137" i="20"/>
  <c r="AE137" i="20" s="1"/>
  <c r="AF138" i="20"/>
  <c r="AE138" i="20" s="1"/>
  <c r="AF139" i="20"/>
  <c r="AE139" i="20" s="1"/>
  <c r="AF140" i="20"/>
  <c r="AF141" i="20"/>
  <c r="AE141" i="20" s="1"/>
  <c r="AF142" i="20"/>
  <c r="AE142" i="20" s="1"/>
  <c r="AF143" i="20"/>
  <c r="AF144" i="20"/>
  <c r="AE144" i="20" s="1"/>
  <c r="AF145" i="20"/>
  <c r="AE145" i="20" s="1"/>
  <c r="AF146" i="20"/>
  <c r="AE146" i="20" s="1"/>
  <c r="AF147" i="20"/>
  <c r="AE147" i="20" s="1"/>
  <c r="AF148" i="20"/>
  <c r="AF149" i="20"/>
  <c r="AE149" i="20" s="1"/>
  <c r="AF150" i="20"/>
  <c r="AE150" i="20" s="1"/>
  <c r="AF151" i="20"/>
  <c r="AF152" i="20"/>
  <c r="AE152" i="20" s="1"/>
  <c r="AF153" i="20"/>
  <c r="AE153" i="20" s="1"/>
  <c r="AF154" i="20"/>
  <c r="AE154" i="20" s="1"/>
  <c r="AF155" i="20"/>
  <c r="AE155" i="20" s="1"/>
  <c r="AF156" i="20"/>
  <c r="AF157" i="20"/>
  <c r="AE157" i="20" s="1"/>
  <c r="AF158" i="20"/>
  <c r="AE158" i="20" s="1"/>
  <c r="AF159" i="20"/>
  <c r="AF160" i="20"/>
  <c r="AE160" i="20" s="1"/>
  <c r="AF161" i="20"/>
  <c r="AE161" i="20" s="1"/>
  <c r="AF162" i="20"/>
  <c r="AE162" i="20" s="1"/>
  <c r="AF163" i="20"/>
  <c r="AE163" i="20" s="1"/>
  <c r="AF164" i="20"/>
  <c r="AF165" i="20"/>
  <c r="AE165" i="20" s="1"/>
  <c r="AF166" i="20"/>
  <c r="AE166" i="20" s="1"/>
  <c r="AF167" i="20"/>
  <c r="AE167" i="20" s="1"/>
  <c r="AF168" i="20"/>
  <c r="AF169" i="20"/>
  <c r="AE169" i="20" s="1"/>
  <c r="AF170" i="20"/>
  <c r="AE170" i="20" s="1"/>
  <c r="AF171" i="20"/>
  <c r="AE171" i="20" s="1"/>
  <c r="AF172" i="20"/>
  <c r="AF173" i="20"/>
  <c r="AE173" i="20" s="1"/>
  <c r="AF174" i="20"/>
  <c r="AE174" i="20" s="1"/>
  <c r="AF175" i="20"/>
  <c r="AF176" i="20"/>
  <c r="AE176" i="20" s="1"/>
  <c r="AF177" i="20"/>
  <c r="AE177" i="20" s="1"/>
  <c r="AF178" i="20"/>
  <c r="AE178" i="20" s="1"/>
  <c r="AF179" i="20"/>
  <c r="AE179" i="20" s="1"/>
  <c r="AF180" i="20"/>
  <c r="AF181" i="20"/>
  <c r="AE181" i="20" s="1"/>
  <c r="AF182" i="20"/>
  <c r="AE182" i="20" s="1"/>
  <c r="AF183" i="20"/>
  <c r="AF184" i="20"/>
  <c r="AF185" i="20"/>
  <c r="AE185" i="20" s="1"/>
  <c r="AF186" i="20"/>
  <c r="AE186" i="20" s="1"/>
  <c r="AF187" i="20"/>
  <c r="AE187" i="20" s="1"/>
  <c r="AF188" i="20"/>
  <c r="AF189" i="20"/>
  <c r="AE189" i="20" s="1"/>
  <c r="AF190" i="20"/>
  <c r="AE190" i="20" s="1"/>
  <c r="AF191" i="20"/>
  <c r="AE191" i="20" s="1"/>
  <c r="AF192" i="20"/>
  <c r="AF193" i="20"/>
  <c r="AE193" i="20" s="1"/>
  <c r="AF194" i="20"/>
  <c r="AE194" i="20" s="1"/>
  <c r="AF195" i="20"/>
  <c r="AE195" i="20" s="1"/>
  <c r="AF196" i="20"/>
  <c r="AF197" i="20"/>
  <c r="AE197" i="20" s="1"/>
  <c r="AF198" i="20"/>
  <c r="AE198" i="20" s="1"/>
  <c r="AF199" i="20"/>
  <c r="AE199" i="20" s="1"/>
  <c r="AF200" i="20"/>
  <c r="AE200" i="20" s="1"/>
  <c r="AF201" i="20"/>
  <c r="AE201" i="20" s="1"/>
  <c r="AF202" i="20"/>
  <c r="AE202" i="20" s="1"/>
  <c r="AF203" i="20"/>
  <c r="AE203" i="20" s="1"/>
  <c r="AF204" i="20"/>
  <c r="AF205" i="20"/>
  <c r="AE205" i="20" s="1"/>
  <c r="AF206" i="20"/>
  <c r="AE206" i="20" s="1"/>
  <c r="AF207" i="20"/>
  <c r="AF208" i="20"/>
  <c r="AE208" i="20" s="1"/>
  <c r="AF209" i="20"/>
  <c r="AE209" i="20" s="1"/>
  <c r="AF210" i="20"/>
  <c r="AE210" i="20" s="1"/>
  <c r="AF211" i="20"/>
  <c r="AE211" i="20" s="1"/>
  <c r="AF212" i="20"/>
  <c r="AF213" i="20"/>
  <c r="AE213" i="20" s="1"/>
  <c r="AF214" i="20"/>
  <c r="AE214" i="20" s="1"/>
  <c r="AF215" i="20"/>
  <c r="AF216" i="20"/>
  <c r="AE216" i="20" s="1"/>
  <c r="AF217" i="20"/>
  <c r="AE217" i="20" s="1"/>
  <c r="AF218" i="20"/>
  <c r="AE218" i="20" s="1"/>
  <c r="AF219" i="20"/>
  <c r="AE219" i="20" s="1"/>
  <c r="AF220" i="20"/>
  <c r="AF221" i="20"/>
  <c r="AE221" i="20" s="1"/>
  <c r="AF222" i="20"/>
  <c r="AE222" i="20" s="1"/>
  <c r="AF223" i="20"/>
  <c r="AF224" i="20"/>
  <c r="AE224" i="20" s="1"/>
  <c r="AF225" i="20"/>
  <c r="AE225" i="20" s="1"/>
  <c r="AF226" i="20"/>
  <c r="AE226" i="20" s="1"/>
  <c r="AF227" i="20"/>
  <c r="AE227" i="20" s="1"/>
  <c r="AF228" i="20"/>
  <c r="AF229" i="20"/>
  <c r="AE229" i="20" s="1"/>
  <c r="AF230" i="20"/>
  <c r="AE230" i="20" s="1"/>
  <c r="AF231" i="20"/>
  <c r="AE231" i="20" s="1"/>
  <c r="AF232" i="20"/>
  <c r="AF233" i="20"/>
  <c r="AE233" i="20" s="1"/>
  <c r="AF234" i="20"/>
  <c r="AE234" i="20" s="1"/>
  <c r="AF235" i="20"/>
  <c r="AE235" i="20" s="1"/>
  <c r="AF236" i="20"/>
  <c r="AF237" i="20"/>
  <c r="AE237" i="20" s="1"/>
  <c r="AF238" i="20"/>
  <c r="AE238" i="20" s="1"/>
  <c r="AF239" i="20"/>
  <c r="AF240" i="20"/>
  <c r="AE240" i="20" s="1"/>
  <c r="AF241" i="20"/>
  <c r="AE241" i="20" s="1"/>
  <c r="AF242" i="20"/>
  <c r="AE242" i="20" s="1"/>
  <c r="AF243" i="20"/>
  <c r="AE243" i="20" s="1"/>
  <c r="AF244" i="20"/>
  <c r="AF245" i="20"/>
  <c r="AE245" i="20" s="1"/>
  <c r="AF246" i="20"/>
  <c r="AE246" i="20" s="1"/>
  <c r="AF247" i="20"/>
  <c r="AF248" i="20"/>
  <c r="AF249" i="20"/>
  <c r="AE249" i="20" s="1"/>
  <c r="AF250" i="20"/>
  <c r="AE250" i="20" s="1"/>
  <c r="AF251" i="20"/>
  <c r="AE251" i="20" s="1"/>
  <c r="AF252" i="20"/>
  <c r="AF253" i="20"/>
  <c r="AE253" i="20" s="1"/>
  <c r="AF254" i="20"/>
  <c r="AE254" i="20" s="1"/>
  <c r="AF255" i="20"/>
  <c r="AF256" i="20"/>
  <c r="AF257" i="20"/>
  <c r="AE257" i="20" s="1"/>
  <c r="AF258" i="20"/>
  <c r="AE258" i="20" s="1"/>
  <c r="AF259" i="20"/>
  <c r="AE259" i="20" s="1"/>
  <c r="AF260" i="20"/>
  <c r="AF261" i="20"/>
  <c r="AE261" i="20" s="1"/>
  <c r="AF262" i="20"/>
  <c r="AE262" i="20" s="1"/>
  <c r="AF263" i="20"/>
  <c r="AE263" i="20" s="1"/>
  <c r="AF264" i="20"/>
  <c r="AE264" i="20" s="1"/>
  <c r="AF265" i="20"/>
  <c r="AE265" i="20" s="1"/>
  <c r="AF266" i="20"/>
  <c r="AE266" i="20" s="1"/>
  <c r="AF267" i="20"/>
  <c r="AE267" i="20" s="1"/>
  <c r="AF268" i="20"/>
  <c r="AF269" i="20"/>
  <c r="AE269" i="20" s="1"/>
  <c r="AF270" i="20"/>
  <c r="AE270" i="20" s="1"/>
  <c r="AF271" i="20"/>
  <c r="AE271" i="20" s="1"/>
  <c r="AF272" i="20"/>
  <c r="AE272" i="20" s="1"/>
  <c r="AF273" i="20"/>
  <c r="AE273" i="20" s="1"/>
  <c r="AF274" i="20"/>
  <c r="AE274" i="20" s="1"/>
  <c r="AF275" i="20"/>
  <c r="AE275" i="20" s="1"/>
  <c r="AF276" i="20"/>
  <c r="AF277" i="20"/>
  <c r="AE277" i="20" s="1"/>
  <c r="AF278" i="20"/>
  <c r="AE278" i="20" s="1"/>
  <c r="AF279" i="20"/>
  <c r="AE279" i="20" s="1"/>
  <c r="AF280" i="20"/>
  <c r="AE280" i="20" s="1"/>
  <c r="AF281" i="20"/>
  <c r="AE281" i="20" s="1"/>
  <c r="AF282" i="20"/>
  <c r="AE282" i="20" s="1"/>
  <c r="AF283" i="20"/>
  <c r="AE283" i="20" s="1"/>
  <c r="AF284" i="20"/>
  <c r="AF285" i="20"/>
  <c r="AE285" i="20" s="1"/>
  <c r="AF286" i="20"/>
  <c r="AE286" i="20" s="1"/>
  <c r="AF287" i="20"/>
  <c r="AF288" i="20"/>
  <c r="AE288" i="20" s="1"/>
  <c r="AF289" i="20"/>
  <c r="AE289" i="20" s="1"/>
  <c r="AF290" i="20"/>
  <c r="AE290" i="20" s="1"/>
  <c r="AF291" i="20"/>
  <c r="AE291" i="20" s="1"/>
  <c r="AF292" i="20"/>
  <c r="AF293" i="20"/>
  <c r="AE293" i="20" s="1"/>
  <c r="AF294" i="20"/>
  <c r="AE294" i="20" s="1"/>
  <c r="AF295" i="20"/>
  <c r="AF296" i="20"/>
  <c r="AF297" i="20"/>
  <c r="AE297" i="20" s="1"/>
  <c r="AF298" i="20"/>
  <c r="AE298" i="20" s="1"/>
  <c r="AF299" i="20"/>
  <c r="AE299" i="20" s="1"/>
  <c r="AF300" i="20"/>
  <c r="AF301" i="20"/>
  <c r="AE301" i="20" s="1"/>
  <c r="AF302" i="20"/>
  <c r="AE302" i="20" s="1"/>
  <c r="AF303" i="20"/>
  <c r="AF304" i="20"/>
  <c r="AE304" i="20" s="1"/>
  <c r="AF305" i="20"/>
  <c r="AE305" i="20" s="1"/>
  <c r="AF306" i="20"/>
  <c r="AE306" i="20" s="1"/>
  <c r="AF307" i="20"/>
  <c r="AE307" i="20" s="1"/>
  <c r="AF308" i="20"/>
  <c r="AF309" i="20"/>
  <c r="AE309" i="20" s="1"/>
  <c r="AF310" i="20"/>
  <c r="AE310" i="20" s="1"/>
  <c r="AF311" i="20"/>
  <c r="AF312" i="20"/>
  <c r="AF313" i="20"/>
  <c r="AE313" i="20" s="1"/>
  <c r="AF314" i="20"/>
  <c r="AE314" i="20" s="1"/>
  <c r="AF315" i="20"/>
  <c r="AE315" i="20" s="1"/>
  <c r="AF316" i="20"/>
  <c r="AF317" i="20"/>
  <c r="AE317" i="20" s="1"/>
  <c r="AF318" i="20"/>
  <c r="AE318" i="20" s="1"/>
  <c r="AF319" i="20"/>
  <c r="AF320" i="20"/>
  <c r="AF321" i="20"/>
  <c r="AE321" i="20" s="1"/>
  <c r="AF322" i="20"/>
  <c r="AE322" i="20" s="1"/>
  <c r="AF323" i="20"/>
  <c r="AE323" i="20" s="1"/>
  <c r="AF324" i="20"/>
  <c r="AF325" i="20"/>
  <c r="AE325" i="20" s="1"/>
  <c r="AF326" i="20"/>
  <c r="AE326" i="20" s="1"/>
  <c r="AF327" i="20"/>
  <c r="AF328" i="20"/>
  <c r="AE328" i="20" s="1"/>
  <c r="AF329" i="20"/>
  <c r="AE329" i="20" s="1"/>
  <c r="AF330" i="20"/>
  <c r="AE330" i="20" s="1"/>
  <c r="AF331" i="20"/>
  <c r="AE331" i="20" s="1"/>
  <c r="AF332" i="20"/>
  <c r="AF333" i="20"/>
  <c r="AE333" i="20" s="1"/>
  <c r="AF334" i="20"/>
  <c r="AE334" i="20" s="1"/>
  <c r="AF335" i="20"/>
  <c r="AE335" i="20" s="1"/>
  <c r="AF336" i="20"/>
  <c r="AE336" i="20" s="1"/>
  <c r="AF337" i="20"/>
  <c r="AE337" i="20" s="1"/>
  <c r="AF338" i="20"/>
  <c r="AE338" i="20" s="1"/>
  <c r="AF339" i="20"/>
  <c r="AE339" i="20" s="1"/>
  <c r="AF340" i="20"/>
  <c r="AF341" i="20"/>
  <c r="AE341" i="20" s="1"/>
  <c r="AF342" i="20"/>
  <c r="AE342" i="20" s="1"/>
  <c r="AF343" i="20"/>
  <c r="AE343" i="20" s="1"/>
  <c r="AF344" i="20"/>
  <c r="AE344" i="20" s="1"/>
  <c r="AF345" i="20"/>
  <c r="AE345" i="20" s="1"/>
  <c r="AF346" i="20"/>
  <c r="AE346" i="20" s="1"/>
  <c r="AF347" i="20"/>
  <c r="AE347" i="20" s="1"/>
  <c r="AF348" i="20"/>
  <c r="AF349" i="20"/>
  <c r="AE349" i="20" s="1"/>
  <c r="AF350" i="20"/>
  <c r="AE350" i="20" s="1"/>
  <c r="AF351" i="20"/>
  <c r="AF352" i="20"/>
  <c r="AE352" i="20" s="1"/>
  <c r="AF353" i="20"/>
  <c r="AE353" i="20" s="1"/>
  <c r="AF354" i="20"/>
  <c r="AE354" i="20" s="1"/>
  <c r="AF355" i="20"/>
  <c r="AE355" i="20" s="1"/>
  <c r="AF356" i="20"/>
  <c r="AF357" i="20"/>
  <c r="AE357" i="20" s="1"/>
  <c r="AF358" i="20"/>
  <c r="AE358" i="20" s="1"/>
  <c r="AF359" i="20"/>
  <c r="AF360" i="20"/>
  <c r="AF361" i="20"/>
  <c r="AE361" i="20" s="1"/>
  <c r="AF362" i="20"/>
  <c r="AE362" i="20" s="1"/>
  <c r="AF363" i="20"/>
  <c r="AE363" i="20" s="1"/>
  <c r="AF364" i="20"/>
  <c r="AF365" i="20"/>
  <c r="AE365" i="20" s="1"/>
  <c r="AF366" i="20"/>
  <c r="AE366" i="20" s="1"/>
  <c r="AF367" i="20"/>
  <c r="AF368" i="20"/>
  <c r="AE368" i="20" s="1"/>
  <c r="AF369" i="20"/>
  <c r="AE369" i="20" s="1"/>
  <c r="AF370" i="20"/>
  <c r="AE370" i="20" s="1"/>
  <c r="AF371" i="20"/>
  <c r="AE371" i="20" s="1"/>
  <c r="AF372" i="20"/>
  <c r="AF373" i="20"/>
  <c r="AE373" i="20" s="1"/>
  <c r="AF374" i="20"/>
  <c r="AE374" i="20" s="1"/>
  <c r="AF375" i="20"/>
  <c r="AF376" i="20"/>
  <c r="AF377" i="20"/>
  <c r="AE377" i="20" s="1"/>
  <c r="AF378" i="20"/>
  <c r="AE378" i="20" s="1"/>
  <c r="AF379" i="20"/>
  <c r="AE379" i="20" s="1"/>
  <c r="AF380" i="20"/>
  <c r="AF381" i="20"/>
  <c r="AE381" i="20" s="1"/>
  <c r="AF382" i="20"/>
  <c r="AE382" i="20" s="1"/>
  <c r="AF383" i="20"/>
  <c r="AE383" i="20" s="1"/>
  <c r="AF384" i="20"/>
  <c r="AF385" i="20"/>
  <c r="AE385" i="20" s="1"/>
  <c r="AF386" i="20"/>
  <c r="AE386" i="20" s="1"/>
  <c r="AF387" i="20"/>
  <c r="AE387" i="20" s="1"/>
  <c r="AF388" i="20"/>
  <c r="AF389" i="20"/>
  <c r="AE389" i="20" s="1"/>
  <c r="AF390" i="20"/>
  <c r="AE390" i="20" s="1"/>
  <c r="AF391" i="20"/>
  <c r="AF392" i="20"/>
  <c r="AE392" i="20" s="1"/>
  <c r="AF393" i="20"/>
  <c r="AE393" i="20" s="1"/>
  <c r="AF394" i="20"/>
  <c r="AE394" i="20" s="1"/>
  <c r="AF395" i="20"/>
  <c r="AE395" i="20" s="1"/>
  <c r="AF396" i="20"/>
  <c r="AF397" i="20"/>
  <c r="AE397" i="20" s="1"/>
  <c r="AF398" i="20"/>
  <c r="AE398" i="20" s="1"/>
  <c r="AF399" i="20"/>
  <c r="AF400" i="20"/>
  <c r="AE400" i="20" s="1"/>
  <c r="AF401" i="20"/>
  <c r="AE401" i="20" s="1"/>
  <c r="AF402" i="20"/>
  <c r="AE402" i="20" s="1"/>
  <c r="AF403" i="20"/>
  <c r="AE403" i="20" s="1"/>
  <c r="AF404" i="20"/>
  <c r="AF405" i="20"/>
  <c r="AE405" i="20" s="1"/>
  <c r="AF406" i="20"/>
  <c r="AE406" i="20" s="1"/>
  <c r="AF407" i="20"/>
  <c r="AF408" i="20"/>
  <c r="AE408" i="20" s="1"/>
  <c r="AF409" i="20"/>
  <c r="AE409" i="20" s="1"/>
  <c r="AF410" i="20"/>
  <c r="AE410" i="20" s="1"/>
  <c r="AF411" i="20"/>
  <c r="AE411" i="20" s="1"/>
  <c r="AF412" i="20"/>
  <c r="AF413" i="20"/>
  <c r="AE413" i="20" s="1"/>
  <c r="AF414" i="20"/>
  <c r="AE414" i="20" s="1"/>
  <c r="AF415" i="20"/>
  <c r="AF416" i="20"/>
  <c r="AE416" i="20" s="1"/>
  <c r="AF417" i="20"/>
  <c r="AE417" i="20" s="1"/>
  <c r="AF418" i="20"/>
  <c r="AE418" i="20" s="1"/>
  <c r="AF419" i="20"/>
  <c r="AE419" i="20" s="1"/>
  <c r="AF420" i="20"/>
  <c r="AF421" i="20"/>
  <c r="AE421" i="20" s="1"/>
  <c r="AF422" i="20"/>
  <c r="AE422" i="20" s="1"/>
  <c r="AF423" i="20"/>
  <c r="AE423" i="20" s="1"/>
  <c r="AF424" i="20"/>
  <c r="AF425" i="20"/>
  <c r="AE425" i="20" s="1"/>
  <c r="AF426" i="20"/>
  <c r="AE426" i="20" s="1"/>
  <c r="AF427" i="20"/>
  <c r="AE427" i="20" s="1"/>
  <c r="AF428" i="20"/>
  <c r="AF429" i="20"/>
  <c r="AE429" i="20" s="1"/>
  <c r="AF430" i="20"/>
  <c r="AE430" i="20" s="1"/>
  <c r="AF431" i="20"/>
  <c r="AF432" i="20"/>
  <c r="AE432" i="20" s="1"/>
  <c r="AF433" i="20"/>
  <c r="AE433" i="20" s="1"/>
  <c r="AF434" i="20"/>
  <c r="AE434" i="20" s="1"/>
  <c r="AF435" i="20"/>
  <c r="AE435" i="20" s="1"/>
  <c r="AF436" i="20"/>
  <c r="AF437" i="20"/>
  <c r="AE437" i="20" s="1"/>
  <c r="AF438" i="20"/>
  <c r="AE438" i="20" s="1"/>
  <c r="AF439" i="20"/>
  <c r="AF440" i="20"/>
  <c r="AF441" i="20"/>
  <c r="AE441" i="20" s="1"/>
  <c r="AF442" i="20"/>
  <c r="AE442" i="20" s="1"/>
  <c r="AF443" i="20"/>
  <c r="AE443" i="20" s="1"/>
  <c r="AF444" i="20"/>
  <c r="AF445" i="20"/>
  <c r="AE445" i="20" s="1"/>
  <c r="AF446" i="20"/>
  <c r="AE446" i="20" s="1"/>
  <c r="AF447" i="20"/>
  <c r="AE447" i="20" s="1"/>
  <c r="AF448" i="20"/>
  <c r="AE448" i="20" s="1"/>
  <c r="AF449" i="20"/>
  <c r="AE449" i="20" s="1"/>
  <c r="AF450" i="20"/>
  <c r="AE450" i="20" s="1"/>
  <c r="AF451" i="20"/>
  <c r="AE451" i="20" s="1"/>
  <c r="AF452" i="20"/>
  <c r="AF453" i="20"/>
  <c r="AE453" i="20" s="1"/>
  <c r="AF454" i="20"/>
  <c r="AE454" i="20" s="1"/>
  <c r="AF455" i="20"/>
  <c r="AE455" i="20" s="1"/>
  <c r="AF456" i="20"/>
  <c r="AE456" i="20" s="1"/>
  <c r="AF457" i="20"/>
  <c r="AE457" i="20" s="1"/>
  <c r="AF458" i="20"/>
  <c r="AE458" i="20" s="1"/>
  <c r="AF459" i="20"/>
  <c r="AE459" i="20" s="1"/>
  <c r="AF460" i="20"/>
  <c r="AF461" i="20"/>
  <c r="AE461" i="20" s="1"/>
  <c r="AF462" i="20"/>
  <c r="AE462" i="20" s="1"/>
  <c r="AF463" i="20"/>
  <c r="AF464" i="20"/>
  <c r="AE464" i="20" s="1"/>
  <c r="AF465" i="20"/>
  <c r="AE465" i="20" s="1"/>
  <c r="AF466" i="20"/>
  <c r="AE466" i="20" s="1"/>
  <c r="AF467" i="20"/>
  <c r="AE467" i="20" s="1"/>
  <c r="AF468" i="20"/>
  <c r="AF469" i="20"/>
  <c r="AE469" i="20" s="1"/>
  <c r="AF470" i="20"/>
  <c r="AE470" i="20" s="1"/>
  <c r="AF471" i="20"/>
  <c r="AF472" i="20"/>
  <c r="AE472" i="20" s="1"/>
  <c r="AF473" i="20"/>
  <c r="AE473" i="20" s="1"/>
  <c r="AF474" i="20"/>
  <c r="AE474" i="20" s="1"/>
  <c r="AF475" i="20"/>
  <c r="AE475" i="20" s="1"/>
  <c r="AF476" i="20"/>
  <c r="AF477" i="20"/>
  <c r="AE477" i="20" s="1"/>
  <c r="AF478" i="20"/>
  <c r="AE478" i="20" s="1"/>
  <c r="AF479" i="20"/>
  <c r="AF480" i="20"/>
  <c r="AF481" i="20"/>
  <c r="AE481" i="20" s="1"/>
  <c r="AF482" i="20"/>
  <c r="AE482" i="20" s="1"/>
  <c r="AF483" i="20"/>
  <c r="AE483" i="20" s="1"/>
  <c r="AF484" i="20"/>
  <c r="AF485" i="20"/>
  <c r="AE485" i="20" s="1"/>
  <c r="AF486" i="20"/>
  <c r="AE486" i="20" s="1"/>
  <c r="AF487" i="20"/>
  <c r="AF488" i="20"/>
  <c r="AE488" i="20" s="1"/>
  <c r="AF489" i="20"/>
  <c r="AE489" i="20" s="1"/>
  <c r="AF490" i="20"/>
  <c r="AE490" i="20" s="1"/>
  <c r="AF491" i="20"/>
  <c r="AE491" i="20" s="1"/>
  <c r="AF492" i="20"/>
  <c r="AF493" i="20"/>
  <c r="AE493" i="20" s="1"/>
  <c r="AF494" i="20"/>
  <c r="AE494" i="20" s="1"/>
  <c r="AF495" i="20"/>
  <c r="AF496" i="20"/>
  <c r="AF497" i="20"/>
  <c r="AE497" i="20" s="1"/>
  <c r="AF498" i="20"/>
  <c r="AE498" i="20" s="1"/>
  <c r="AF499" i="20"/>
  <c r="AE499" i="20" s="1"/>
  <c r="AF500" i="20"/>
  <c r="AF501" i="20"/>
  <c r="AE501" i="20" s="1"/>
  <c r="AF502" i="20"/>
  <c r="AE502" i="20" s="1"/>
  <c r="AF503" i="20"/>
  <c r="AF504" i="20"/>
  <c r="AF505" i="20"/>
  <c r="AE505" i="20" s="1"/>
  <c r="AF506" i="20"/>
  <c r="AE506" i="20" s="1"/>
  <c r="AF507" i="20"/>
  <c r="AE507" i="20" s="1"/>
  <c r="AF508" i="20"/>
  <c r="AF509" i="20"/>
  <c r="AE509" i="20" s="1"/>
  <c r="AF510" i="20"/>
  <c r="AE510" i="20" s="1"/>
  <c r="AF511" i="20"/>
  <c r="AE511" i="20" s="1"/>
  <c r="AF512" i="20"/>
  <c r="AE512" i="20" s="1"/>
  <c r="AF513" i="20"/>
  <c r="AE513" i="20" s="1"/>
  <c r="AF514" i="20"/>
  <c r="AE514" i="20" s="1"/>
  <c r="AF515" i="20"/>
  <c r="AE515" i="20" s="1"/>
  <c r="AF516" i="20"/>
  <c r="AF517" i="20"/>
  <c r="AE517" i="20" s="1"/>
  <c r="AF518" i="20"/>
  <c r="AE518" i="20" s="1"/>
  <c r="AF519" i="20"/>
  <c r="AE519" i="20" s="1"/>
  <c r="AF520" i="20"/>
  <c r="AE520" i="20" s="1"/>
  <c r="AF521" i="20"/>
  <c r="AE521" i="20" s="1"/>
  <c r="AF522" i="20"/>
  <c r="AE522" i="20" s="1"/>
  <c r="AF523" i="20"/>
  <c r="AE523" i="20" s="1"/>
  <c r="AF524" i="20"/>
  <c r="AF525" i="20"/>
  <c r="AE525" i="20" s="1"/>
  <c r="AF526" i="20"/>
  <c r="AE526" i="20" s="1"/>
  <c r="AF527" i="20"/>
  <c r="AF528" i="20"/>
  <c r="AE528" i="20" s="1"/>
  <c r="AF529" i="20"/>
  <c r="AE529" i="20" s="1"/>
  <c r="AF530" i="20"/>
  <c r="AE530" i="20" s="1"/>
  <c r="AF531" i="20"/>
  <c r="AE531" i="20" s="1"/>
  <c r="AF532" i="20"/>
  <c r="AF533" i="20"/>
  <c r="AE533" i="20" s="1"/>
  <c r="AF534" i="20"/>
  <c r="AE534" i="20" s="1"/>
  <c r="AF535" i="20"/>
  <c r="AF536" i="20"/>
  <c r="AF537" i="20"/>
  <c r="AE537" i="20" s="1"/>
  <c r="AF538" i="20"/>
  <c r="AE538" i="20" s="1"/>
  <c r="AF539" i="20"/>
  <c r="AE539" i="20" s="1"/>
  <c r="AF540" i="20"/>
  <c r="AF541" i="20"/>
  <c r="AE541" i="20" s="1"/>
  <c r="AF542" i="20"/>
  <c r="AE542" i="20" s="1"/>
  <c r="AF543" i="20"/>
  <c r="AF544" i="20"/>
  <c r="AE544" i="20" s="1"/>
  <c r="AF545" i="20"/>
  <c r="AE545" i="20" s="1"/>
  <c r="AF546" i="20"/>
  <c r="AE546" i="20" s="1"/>
  <c r="AF547" i="20"/>
  <c r="AE547" i="20" s="1"/>
  <c r="AF548" i="20"/>
  <c r="AF549" i="20"/>
  <c r="AE549" i="20" s="1"/>
  <c r="AF550" i="20"/>
  <c r="AE550" i="20" s="1"/>
  <c r="AF551" i="20"/>
  <c r="AF552" i="20"/>
  <c r="AF553" i="20"/>
  <c r="AE553" i="20" s="1"/>
  <c r="AF554" i="20"/>
  <c r="AE554" i="20" s="1"/>
  <c r="AF555" i="20"/>
  <c r="AE555" i="20" s="1"/>
  <c r="AF556" i="20"/>
  <c r="AF557" i="20"/>
  <c r="AE557" i="20" s="1"/>
  <c r="AF558" i="20"/>
  <c r="AE558" i="20" s="1"/>
  <c r="AF559" i="20"/>
  <c r="AF560" i="20"/>
  <c r="AF561" i="20"/>
  <c r="AE561" i="20" s="1"/>
  <c r="AF562" i="20"/>
  <c r="AE562" i="20" s="1"/>
  <c r="AF563" i="20"/>
  <c r="AE563" i="20" s="1"/>
  <c r="AF564" i="20"/>
  <c r="AF565" i="20"/>
  <c r="AE565" i="20" s="1"/>
  <c r="AF566" i="20"/>
  <c r="AE566" i="20" s="1"/>
  <c r="AF567" i="20"/>
  <c r="AF568" i="20"/>
  <c r="AE568" i="20" s="1"/>
  <c r="AF569" i="20"/>
  <c r="AE569" i="20" s="1"/>
  <c r="AF570" i="20"/>
  <c r="AE570" i="20" s="1"/>
  <c r="AF571" i="20"/>
  <c r="AE571" i="20" s="1"/>
  <c r="AF572" i="20"/>
  <c r="AF573" i="20"/>
  <c r="AE573" i="20" s="1"/>
  <c r="AF574" i="20"/>
  <c r="AE574" i="20" s="1"/>
  <c r="AF575" i="20"/>
  <c r="AE575" i="20" s="1"/>
  <c r="AF576" i="20"/>
  <c r="AE576" i="20" s="1"/>
  <c r="AF577" i="20"/>
  <c r="AE577" i="20" s="1"/>
  <c r="AF578" i="20"/>
  <c r="AE578" i="20" s="1"/>
  <c r="AF579" i="20"/>
  <c r="AE579" i="20" s="1"/>
  <c r="AF580" i="20"/>
  <c r="AF581" i="20"/>
  <c r="AE581" i="20" s="1"/>
  <c r="AF582" i="20"/>
  <c r="AE582" i="20" s="1"/>
  <c r="AF583" i="20"/>
  <c r="AF584" i="20"/>
  <c r="AE584" i="20" s="1"/>
  <c r="AF585" i="20"/>
  <c r="AE585" i="20" s="1"/>
  <c r="AF586" i="20"/>
  <c r="AE586" i="20" s="1"/>
  <c r="AF587" i="20"/>
  <c r="AE587" i="20" s="1"/>
  <c r="AF588" i="20"/>
  <c r="AF589" i="20"/>
  <c r="AE589" i="20" s="1"/>
  <c r="AF590" i="20"/>
  <c r="AE590" i="20" s="1"/>
  <c r="AF591" i="20"/>
  <c r="AE591" i="20" s="1"/>
  <c r="AF592" i="20"/>
  <c r="AF593" i="20"/>
  <c r="AE593" i="20" s="1"/>
  <c r="AF594" i="20"/>
  <c r="AE594" i="20" s="1"/>
  <c r="AF595" i="20"/>
  <c r="AE595" i="20" s="1"/>
  <c r="AF596" i="20"/>
  <c r="AF597" i="20"/>
  <c r="AE597" i="20" s="1"/>
  <c r="AF598" i="20"/>
  <c r="AE598" i="20" s="1"/>
  <c r="AF599" i="20"/>
  <c r="AF600" i="20"/>
  <c r="AE600" i="20" s="1"/>
  <c r="AF601" i="20"/>
  <c r="AE601" i="20" s="1"/>
  <c r="AF602" i="20"/>
  <c r="AE602" i="20" s="1"/>
  <c r="AF603" i="20"/>
  <c r="AE603" i="20" s="1"/>
  <c r="AF604" i="20"/>
  <c r="AF605" i="20"/>
  <c r="AE605" i="20" s="1"/>
  <c r="AF606" i="20"/>
  <c r="AE606" i="20" s="1"/>
  <c r="AF607" i="20"/>
  <c r="AF608" i="20"/>
  <c r="AF609" i="20"/>
  <c r="AE609" i="20" s="1"/>
  <c r="AF610" i="20"/>
  <c r="AE610" i="20" s="1"/>
  <c r="AF611" i="20"/>
  <c r="AE611" i="20" s="1"/>
  <c r="AF612" i="20"/>
  <c r="AF613" i="20"/>
  <c r="AE613" i="20" s="1"/>
  <c r="AF614" i="20"/>
  <c r="AE614" i="20" s="1"/>
  <c r="AF615" i="20"/>
  <c r="AE615" i="20" s="1"/>
  <c r="AF616" i="20"/>
  <c r="AF617" i="20"/>
  <c r="AE617" i="20" s="1"/>
  <c r="AF618" i="20"/>
  <c r="AE618" i="20" s="1"/>
  <c r="AF619" i="20"/>
  <c r="AE619" i="20" s="1"/>
  <c r="AF620" i="20"/>
  <c r="AF621" i="20"/>
  <c r="AE621" i="20" s="1"/>
  <c r="AF622" i="20"/>
  <c r="AE622" i="20" s="1"/>
  <c r="AF623" i="20"/>
  <c r="AF624" i="20"/>
  <c r="AE624" i="20" s="1"/>
  <c r="AF625" i="20"/>
  <c r="AE625" i="20" s="1"/>
  <c r="AF626" i="20"/>
  <c r="AE626" i="20" s="1"/>
  <c r="AF627" i="20"/>
  <c r="AE627" i="20" s="1"/>
  <c r="AF628" i="20"/>
  <c r="AF629" i="20"/>
  <c r="AE629" i="20" s="1"/>
  <c r="AF630" i="20"/>
  <c r="AE630" i="20" s="1"/>
  <c r="AF631" i="20"/>
  <c r="AF632" i="20"/>
  <c r="AE632" i="20" s="1"/>
  <c r="AF633" i="20"/>
  <c r="AE633" i="20" s="1"/>
  <c r="AF634" i="20"/>
  <c r="AE634" i="20" s="1"/>
  <c r="AF635" i="20"/>
  <c r="AE635" i="20" s="1"/>
  <c r="AF636" i="20"/>
  <c r="AF637" i="20"/>
  <c r="AE637" i="20" s="1"/>
  <c r="AF638" i="20"/>
  <c r="AE638" i="20" s="1"/>
  <c r="AF639" i="20"/>
  <c r="AF640" i="20"/>
  <c r="AE640" i="20" s="1"/>
  <c r="AF641" i="20"/>
  <c r="AE641" i="20" s="1"/>
  <c r="AF642" i="20"/>
  <c r="AE642" i="20" s="1"/>
  <c r="AF643" i="20"/>
  <c r="AE643" i="20" s="1"/>
  <c r="AF644" i="20"/>
  <c r="AF645" i="20"/>
  <c r="AE645" i="20" s="1"/>
  <c r="AF646" i="20"/>
  <c r="AE646" i="20" s="1"/>
  <c r="AF647" i="20"/>
  <c r="AE647" i="20" s="1"/>
  <c r="AF648" i="20"/>
  <c r="AF649" i="20"/>
  <c r="AE649" i="20" s="1"/>
  <c r="AF650" i="20"/>
  <c r="AE650" i="20" s="1"/>
  <c r="AF651" i="20"/>
  <c r="AE651" i="20" s="1"/>
  <c r="AF652" i="20"/>
  <c r="AF653" i="20"/>
  <c r="AE653" i="20" s="1"/>
  <c r="AF654" i="20"/>
  <c r="AE654" i="20" s="1"/>
  <c r="AF655" i="20"/>
  <c r="AF656" i="20"/>
  <c r="AE656" i="20" s="1"/>
  <c r="AF657" i="20"/>
  <c r="AE657" i="20" s="1"/>
  <c r="AF658" i="20"/>
  <c r="AE658" i="20" s="1"/>
  <c r="AF659" i="20"/>
  <c r="AE659" i="20" s="1"/>
  <c r="AF660" i="20"/>
  <c r="AF661" i="20"/>
  <c r="AE661" i="20" s="1"/>
  <c r="AF662" i="20"/>
  <c r="AE662" i="20" s="1"/>
  <c r="AF663" i="20"/>
  <c r="AF664" i="20"/>
  <c r="AF665" i="20"/>
  <c r="AE665" i="20" s="1"/>
  <c r="AF666" i="20"/>
  <c r="AE666" i="20" s="1"/>
  <c r="AF667" i="20"/>
  <c r="AE667" i="20" s="1"/>
  <c r="AF668" i="20"/>
  <c r="AF669" i="20"/>
  <c r="AE669" i="20" s="1"/>
  <c r="AF670" i="20"/>
  <c r="AE670" i="20" s="1"/>
  <c r="AF671" i="20"/>
  <c r="AE671" i="20" s="1"/>
  <c r="AF672" i="20"/>
  <c r="AF673" i="20"/>
  <c r="AE673" i="20" s="1"/>
  <c r="AF674" i="20"/>
  <c r="AE674" i="20" s="1"/>
  <c r="AF675" i="20"/>
  <c r="AE675" i="20" s="1"/>
  <c r="AF676" i="20"/>
  <c r="AF677" i="20"/>
  <c r="AE677" i="20" s="1"/>
  <c r="AF678" i="20"/>
  <c r="AE678" i="20" s="1"/>
  <c r="AF679" i="20"/>
  <c r="AE679" i="20" s="1"/>
  <c r="AF680" i="20"/>
  <c r="AE680" i="20" s="1"/>
  <c r="AF681" i="20"/>
  <c r="AE681" i="20" s="1"/>
  <c r="AF682" i="20"/>
  <c r="AE682" i="20" s="1"/>
  <c r="AF683" i="20"/>
  <c r="AE683" i="20" s="1"/>
  <c r="AF684" i="20"/>
  <c r="AF685" i="20"/>
  <c r="AE685" i="20" s="1"/>
  <c r="AF686" i="20"/>
  <c r="AE686" i="20" s="1"/>
  <c r="AF687" i="20"/>
  <c r="AE687" i="20" s="1"/>
  <c r="AF688" i="20"/>
  <c r="AE688" i="20" s="1"/>
  <c r="AF689" i="20"/>
  <c r="AE689" i="20" s="1"/>
  <c r="AF690" i="20"/>
  <c r="AE690" i="20" s="1"/>
  <c r="AF691" i="20"/>
  <c r="AE691" i="20" s="1"/>
  <c r="AF692" i="20"/>
  <c r="AF693" i="20"/>
  <c r="AE693" i="20" s="1"/>
  <c r="AF694" i="20"/>
  <c r="AE694" i="20" s="1"/>
  <c r="AF695" i="20"/>
  <c r="AF696" i="20"/>
  <c r="AE696" i="20" s="1"/>
  <c r="AF697" i="20"/>
  <c r="AE697" i="20" s="1"/>
  <c r="AF698" i="20"/>
  <c r="AE698" i="20" s="1"/>
  <c r="AF699" i="20"/>
  <c r="AE699" i="20" s="1"/>
  <c r="AF700" i="20"/>
  <c r="AF701" i="20"/>
  <c r="AE701" i="20" s="1"/>
  <c r="AF702" i="20"/>
  <c r="AE702" i="20" s="1"/>
  <c r="AF703" i="20"/>
  <c r="AF704" i="20"/>
  <c r="AF705" i="20"/>
  <c r="AE705" i="20" s="1"/>
  <c r="AF706" i="20"/>
  <c r="AE706" i="20" s="1"/>
  <c r="AF707" i="20"/>
  <c r="AE707" i="20" s="1"/>
  <c r="AF708" i="20"/>
  <c r="AF709" i="20"/>
  <c r="AE709" i="20" s="1"/>
  <c r="AF710" i="20"/>
  <c r="AE710" i="20" s="1"/>
  <c r="AF711" i="20"/>
  <c r="AF712" i="20"/>
  <c r="AE712" i="20" s="1"/>
  <c r="AF713" i="20"/>
  <c r="AE713" i="20" s="1"/>
  <c r="AF714" i="20"/>
  <c r="AE714" i="20" s="1"/>
  <c r="AF715" i="20"/>
  <c r="AE715" i="20" s="1"/>
  <c r="AF716" i="20"/>
  <c r="AF717" i="20"/>
  <c r="AE717" i="20" s="1"/>
  <c r="AF718" i="20"/>
  <c r="AE718" i="20" s="1"/>
  <c r="AF719" i="20"/>
  <c r="AF720" i="20"/>
  <c r="AF721" i="20"/>
  <c r="AE721" i="20" s="1"/>
  <c r="AF722" i="20"/>
  <c r="AE722" i="20" s="1"/>
  <c r="AF723" i="20"/>
  <c r="AE723" i="20" s="1"/>
  <c r="AF724" i="20"/>
  <c r="AF725" i="20"/>
  <c r="AE725" i="20" s="1"/>
  <c r="AF726" i="20"/>
  <c r="AE726" i="20" s="1"/>
  <c r="AF727" i="20"/>
  <c r="AF728" i="20"/>
  <c r="AF729" i="20"/>
  <c r="AE729" i="20" s="1"/>
  <c r="AF730" i="20"/>
  <c r="AE730" i="20" s="1"/>
  <c r="AF731" i="20"/>
  <c r="AE731" i="20" s="1"/>
  <c r="AF732" i="20"/>
  <c r="AF733" i="20"/>
  <c r="AE733" i="20" s="1"/>
  <c r="AF734" i="20"/>
  <c r="AE734" i="20" s="1"/>
  <c r="AF735" i="20"/>
  <c r="AF736" i="20"/>
  <c r="AE736" i="20" s="1"/>
  <c r="AF737" i="20"/>
  <c r="AE737" i="20" s="1"/>
  <c r="AF738" i="20"/>
  <c r="AE738" i="20" s="1"/>
  <c r="AF739" i="20"/>
  <c r="AE739" i="20" s="1"/>
  <c r="AF740" i="20"/>
  <c r="AF741" i="20"/>
  <c r="AE741" i="20" s="1"/>
  <c r="AF742" i="20"/>
  <c r="AE742" i="20" s="1"/>
  <c r="AF743" i="20"/>
  <c r="AE743" i="20" s="1"/>
  <c r="AF744" i="20"/>
  <c r="AE744" i="20" s="1"/>
  <c r="AF745" i="20"/>
  <c r="AE745" i="20" s="1"/>
  <c r="AF746" i="20"/>
  <c r="AE746" i="20" s="1"/>
  <c r="AF747" i="20"/>
  <c r="AE747" i="20" s="1"/>
  <c r="AF748" i="20"/>
  <c r="AF749" i="20"/>
  <c r="AE749" i="20" s="1"/>
  <c r="AF750" i="20"/>
  <c r="AE750" i="20" s="1"/>
  <c r="AF751" i="20"/>
  <c r="AE751" i="20" s="1"/>
  <c r="AF752" i="20"/>
  <c r="AE752" i="20" s="1"/>
  <c r="AF753" i="20"/>
  <c r="AE753" i="20" s="1"/>
  <c r="AF754" i="20"/>
  <c r="AE754" i="20" s="1"/>
  <c r="AF755" i="20"/>
  <c r="AE755" i="20" s="1"/>
  <c r="AF756" i="20"/>
  <c r="AF757" i="20"/>
  <c r="AE757" i="20" s="1"/>
  <c r="AF758" i="20"/>
  <c r="AE758" i="20" s="1"/>
  <c r="AF759" i="20"/>
  <c r="AF760" i="20"/>
  <c r="AE760" i="20" s="1"/>
  <c r="AF761" i="20"/>
  <c r="AE761" i="20" s="1"/>
  <c r="AF762" i="20"/>
  <c r="AE762" i="20" s="1"/>
  <c r="AF763" i="20"/>
  <c r="AE763" i="20" s="1"/>
  <c r="AF764" i="20"/>
  <c r="AF765" i="20"/>
  <c r="AE765" i="20" s="1"/>
  <c r="AF766" i="20"/>
  <c r="AE766" i="20" s="1"/>
  <c r="AF767" i="20"/>
  <c r="AF768" i="20"/>
  <c r="AE768" i="20" s="1"/>
  <c r="AF769" i="20"/>
  <c r="AE769" i="20" s="1"/>
  <c r="AF770" i="20"/>
  <c r="AE770" i="20" s="1"/>
  <c r="AF771" i="20"/>
  <c r="AE771" i="20" s="1"/>
  <c r="AF772" i="20"/>
  <c r="AF773" i="20"/>
  <c r="AE773" i="20" s="1"/>
  <c r="AF774" i="20"/>
  <c r="AE774" i="20" s="1"/>
  <c r="AF775" i="20"/>
  <c r="AF776" i="20"/>
  <c r="AF777" i="20"/>
  <c r="AE777" i="20" s="1"/>
  <c r="AF778" i="20"/>
  <c r="AE778" i="20" s="1"/>
  <c r="AF779" i="20"/>
  <c r="AE779" i="20" s="1"/>
  <c r="AF780" i="20"/>
  <c r="AF781" i="20"/>
  <c r="AE781" i="20" s="1"/>
  <c r="AF782" i="20"/>
  <c r="AE782" i="20" s="1"/>
  <c r="AF783" i="20"/>
  <c r="AE783" i="20" s="1"/>
  <c r="AF784" i="20"/>
  <c r="AF785" i="20"/>
  <c r="AE785" i="20" s="1"/>
  <c r="AF786" i="20"/>
  <c r="AE786" i="20" s="1"/>
  <c r="AF787" i="20"/>
  <c r="AE787" i="20" s="1"/>
  <c r="AF788" i="20"/>
  <c r="AF789" i="20"/>
  <c r="AE789" i="20" s="1"/>
  <c r="AF790" i="20"/>
  <c r="AE790" i="20" s="1"/>
  <c r="AF791" i="20"/>
  <c r="AF792" i="20"/>
  <c r="AE792" i="20" s="1"/>
  <c r="AF793" i="20"/>
  <c r="AE793" i="20" s="1"/>
  <c r="AF794" i="20"/>
  <c r="AE794" i="20" s="1"/>
  <c r="AF795" i="20"/>
  <c r="AE795" i="20" s="1"/>
  <c r="AF796" i="20"/>
  <c r="AF797" i="20"/>
  <c r="AE797" i="20" s="1"/>
  <c r="AF798" i="20"/>
  <c r="AE798" i="20" s="1"/>
  <c r="AF799" i="20"/>
  <c r="AF800" i="20"/>
  <c r="AE800" i="20" s="1"/>
  <c r="AF801" i="20"/>
  <c r="AE801" i="20" s="1"/>
  <c r="AF802" i="20"/>
  <c r="AE802" i="20" s="1"/>
  <c r="AF803" i="20"/>
  <c r="AE803" i="20" s="1"/>
  <c r="AF804" i="20"/>
  <c r="AF805" i="20"/>
  <c r="AE805" i="20" s="1"/>
  <c r="AF806" i="20"/>
  <c r="AE806" i="20" s="1"/>
  <c r="AF807" i="20"/>
  <c r="AF808" i="20"/>
  <c r="AE808" i="20" s="1"/>
  <c r="AF809" i="20"/>
  <c r="AE809" i="20" s="1"/>
  <c r="AF810" i="20"/>
  <c r="AE810" i="20" s="1"/>
  <c r="AF811" i="20"/>
  <c r="AE811" i="20" s="1"/>
  <c r="AF812" i="20"/>
  <c r="AF813" i="20"/>
  <c r="AE813" i="20" s="1"/>
  <c r="AF814" i="20"/>
  <c r="AE814" i="20" s="1"/>
  <c r="AF815" i="20"/>
  <c r="AF816" i="20"/>
  <c r="AE816" i="20" s="1"/>
  <c r="AF817" i="20"/>
  <c r="AE817" i="20" s="1"/>
  <c r="AF818" i="20"/>
  <c r="AE818" i="20" s="1"/>
  <c r="AF819" i="20"/>
  <c r="AE819" i="20" s="1"/>
  <c r="AF820" i="20"/>
  <c r="AF821" i="20"/>
  <c r="AE821" i="20" s="1"/>
  <c r="AF822" i="20"/>
  <c r="AE822" i="20" s="1"/>
  <c r="AF823" i="20"/>
  <c r="AE823" i="20" s="1"/>
  <c r="AF824" i="20"/>
  <c r="AF825" i="20"/>
  <c r="AE825" i="20" s="1"/>
  <c r="AF826" i="20"/>
  <c r="AE826" i="20" s="1"/>
  <c r="AF827" i="20"/>
  <c r="AE827" i="20" s="1"/>
  <c r="AF828" i="20"/>
  <c r="AF829" i="20"/>
  <c r="AE829" i="20" s="1"/>
  <c r="AF830" i="20"/>
  <c r="AE830" i="20" s="1"/>
  <c r="AF831" i="20"/>
  <c r="AF832" i="20"/>
  <c r="AF833" i="20"/>
  <c r="AE833" i="20" s="1"/>
  <c r="AF834" i="20"/>
  <c r="AE834" i="20" s="1"/>
  <c r="AF835" i="20"/>
  <c r="AE835" i="20" s="1"/>
  <c r="AF836" i="20"/>
  <c r="AF837" i="20"/>
  <c r="AE837" i="20" s="1"/>
  <c r="AF838" i="20"/>
  <c r="AE838" i="20" s="1"/>
  <c r="AF839" i="20"/>
  <c r="AF840" i="20"/>
  <c r="AF841" i="20"/>
  <c r="AE841" i="20" s="1"/>
  <c r="AF842" i="20"/>
  <c r="AE842" i="20" s="1"/>
  <c r="AF843" i="20"/>
  <c r="AE843" i="20" s="1"/>
  <c r="AF844" i="20"/>
  <c r="AF845" i="20"/>
  <c r="AE845" i="20" s="1"/>
  <c r="AF846" i="20"/>
  <c r="AE846" i="20" s="1"/>
  <c r="AF847" i="20"/>
  <c r="AE847" i="20" s="1"/>
  <c r="AF848" i="20"/>
  <c r="AE848" i="20" s="1"/>
  <c r="AF849" i="20"/>
  <c r="AE849" i="20" s="1"/>
  <c r="AF850" i="20"/>
  <c r="AE850" i="20" s="1"/>
  <c r="AF851" i="20"/>
  <c r="AE851" i="20" s="1"/>
  <c r="AF852" i="20"/>
  <c r="AF853" i="20"/>
  <c r="AE853" i="20" s="1"/>
  <c r="AF854" i="20"/>
  <c r="AE854" i="20" s="1"/>
  <c r="AF855" i="20"/>
  <c r="AE855" i="20" s="1"/>
  <c r="AF856" i="20"/>
  <c r="AE856" i="20" s="1"/>
  <c r="AF857" i="20"/>
  <c r="AE857" i="20" s="1"/>
  <c r="AF858" i="20"/>
  <c r="AE858" i="20" s="1"/>
  <c r="AF859" i="20"/>
  <c r="AE859" i="20" s="1"/>
  <c r="AF860" i="20"/>
  <c r="AF861" i="20"/>
  <c r="AE861" i="20" s="1"/>
  <c r="AF862" i="20"/>
  <c r="AE862" i="20" s="1"/>
  <c r="AF863" i="20"/>
  <c r="AE863" i="20" s="1"/>
  <c r="AF864" i="20"/>
  <c r="AE864" i="20" s="1"/>
  <c r="AF865" i="20"/>
  <c r="AE865" i="20" s="1"/>
  <c r="AF866" i="20"/>
  <c r="AE866" i="20" s="1"/>
  <c r="AF867" i="20"/>
  <c r="AE867" i="20" s="1"/>
  <c r="AF868" i="20"/>
  <c r="AF869" i="20"/>
  <c r="AE869" i="20" s="1"/>
  <c r="AF870" i="20"/>
  <c r="AE870" i="20" s="1"/>
  <c r="AF871" i="20"/>
  <c r="AF872" i="20"/>
  <c r="AE872" i="20" s="1"/>
  <c r="AF873" i="20"/>
  <c r="AE873" i="20" s="1"/>
  <c r="AF874" i="20"/>
  <c r="AE874" i="20" s="1"/>
  <c r="AF875" i="20"/>
  <c r="AE875" i="20" s="1"/>
  <c r="AF876" i="20"/>
  <c r="AF877" i="20"/>
  <c r="AE877" i="20" s="1"/>
  <c r="AF878" i="20"/>
  <c r="AE878" i="20" s="1"/>
  <c r="AF879" i="20"/>
  <c r="AF880" i="20"/>
  <c r="AF881" i="20"/>
  <c r="AE881" i="20" s="1"/>
  <c r="AF882" i="20"/>
  <c r="AE882" i="20" s="1"/>
  <c r="AF883" i="20"/>
  <c r="AE883" i="20" s="1"/>
  <c r="AF884" i="20"/>
  <c r="AF885" i="20"/>
  <c r="AE885" i="20" s="1"/>
  <c r="AF886" i="20"/>
  <c r="AE886" i="20" s="1"/>
  <c r="AF887" i="20"/>
  <c r="AF888" i="20"/>
  <c r="AE888" i="20" s="1"/>
  <c r="AF889" i="20"/>
  <c r="AE889" i="20" s="1"/>
  <c r="AF890" i="20"/>
  <c r="AE890" i="20" s="1"/>
  <c r="AF891" i="20"/>
  <c r="AE891" i="20" s="1"/>
  <c r="AF892" i="20"/>
  <c r="AF893" i="20"/>
  <c r="AE893" i="20" s="1"/>
  <c r="AF894" i="20"/>
  <c r="AE894" i="20" s="1"/>
  <c r="AF895" i="20"/>
  <c r="AE895" i="20" s="1"/>
  <c r="AF896" i="20"/>
  <c r="AF897" i="20"/>
  <c r="AE897" i="20" s="1"/>
  <c r="AF898" i="20"/>
  <c r="AE898" i="20" s="1"/>
  <c r="AF899" i="20"/>
  <c r="AE899" i="20" s="1"/>
  <c r="AF900" i="20"/>
  <c r="AF901" i="20"/>
  <c r="AE901" i="20" s="1"/>
  <c r="AF902" i="20"/>
  <c r="AE902" i="20" s="1"/>
  <c r="AF903" i="20"/>
  <c r="AE903" i="20" s="1"/>
  <c r="AF904" i="20"/>
  <c r="AE904" i="20" s="1"/>
  <c r="AF905" i="20"/>
  <c r="AE905" i="20" s="1"/>
  <c r="AF906" i="20"/>
  <c r="AE906" i="20" s="1"/>
  <c r="AF907" i="20"/>
  <c r="AE907" i="20" s="1"/>
  <c r="AF908" i="20"/>
  <c r="AF909" i="20"/>
  <c r="AE909" i="20" s="1"/>
  <c r="AF910" i="20"/>
  <c r="AE910" i="20" s="1"/>
  <c r="AF911" i="20"/>
  <c r="AF912" i="20"/>
  <c r="AE912" i="20" s="1"/>
  <c r="AF913" i="20"/>
  <c r="AE913" i="20" s="1"/>
  <c r="AF914" i="20"/>
  <c r="AE914" i="20" s="1"/>
  <c r="AF915" i="20"/>
  <c r="AE915" i="20" s="1"/>
  <c r="AF916" i="20"/>
  <c r="AF917" i="20"/>
  <c r="AE917" i="20" s="1"/>
  <c r="AF918" i="20"/>
  <c r="AE918" i="20" s="1"/>
  <c r="AF919" i="20"/>
  <c r="AF920" i="20"/>
  <c r="AE920" i="20" s="1"/>
  <c r="AF921" i="20"/>
  <c r="AE921" i="20" s="1"/>
  <c r="AF922" i="20"/>
  <c r="AE922" i="20" s="1"/>
  <c r="AF923" i="20"/>
  <c r="AE923" i="20" s="1"/>
  <c r="AF924" i="20"/>
  <c r="AF925" i="20"/>
  <c r="AE925" i="20" s="1"/>
  <c r="AF926" i="20"/>
  <c r="AE926" i="20" s="1"/>
  <c r="AF927" i="20"/>
  <c r="AF928" i="20"/>
  <c r="AE928" i="20" s="1"/>
  <c r="AF929" i="20"/>
  <c r="AE929" i="20" s="1"/>
  <c r="AF930" i="20"/>
  <c r="AE930" i="20" s="1"/>
  <c r="AF931" i="20"/>
  <c r="AE931" i="20" s="1"/>
  <c r="AF932" i="20"/>
  <c r="AF933" i="20"/>
  <c r="AE933" i="20" s="1"/>
  <c r="AF934" i="20"/>
  <c r="AE934" i="20" s="1"/>
  <c r="AF935" i="20"/>
  <c r="AE935" i="20" s="1"/>
  <c r="AF936" i="20"/>
  <c r="AF937" i="20"/>
  <c r="AE937" i="20" s="1"/>
  <c r="AF938" i="20"/>
  <c r="AE938" i="20" s="1"/>
  <c r="AF939" i="20"/>
  <c r="AE939" i="20" s="1"/>
  <c r="AF940" i="20"/>
  <c r="AF941" i="20"/>
  <c r="AE941" i="20" s="1"/>
  <c r="AF942" i="20"/>
  <c r="AE942" i="20" s="1"/>
  <c r="AF943" i="20"/>
  <c r="AF944" i="20"/>
  <c r="AE944" i="20" s="1"/>
  <c r="AF945" i="20"/>
  <c r="AE945" i="20" s="1"/>
  <c r="AF946" i="20"/>
  <c r="AE946" i="20" s="1"/>
  <c r="AF947" i="20"/>
  <c r="AE947" i="20" s="1"/>
  <c r="AF948" i="20"/>
  <c r="AF949" i="20"/>
  <c r="AE949" i="20" s="1"/>
  <c r="AF950" i="20"/>
  <c r="AE950" i="20" s="1"/>
  <c r="AF951" i="20"/>
  <c r="AF952" i="20"/>
  <c r="AF953" i="20"/>
  <c r="AE953" i="20" s="1"/>
  <c r="AF954" i="20"/>
  <c r="AE954" i="20" s="1"/>
  <c r="AF955" i="20"/>
  <c r="AE955" i="20" s="1"/>
  <c r="AF956" i="20"/>
  <c r="AF957" i="20"/>
  <c r="AE957" i="20" s="1"/>
  <c r="AF958" i="20"/>
  <c r="AE958" i="20" s="1"/>
  <c r="AF959" i="20"/>
  <c r="AE959" i="20" s="1"/>
  <c r="AF960" i="20"/>
  <c r="AE960" i="20" s="1"/>
  <c r="AF961" i="20"/>
  <c r="AE961" i="20" s="1"/>
  <c r="AF962" i="20"/>
  <c r="AE962" i="20" s="1"/>
  <c r="AF963" i="20"/>
  <c r="AE963" i="20" s="1"/>
  <c r="AF964" i="20"/>
  <c r="AF965" i="20"/>
  <c r="AE965" i="20" s="1"/>
  <c r="AF966" i="20"/>
  <c r="AE966" i="20" s="1"/>
  <c r="AF967" i="20"/>
  <c r="AE967" i="20" s="1"/>
  <c r="AF968" i="20"/>
  <c r="AE968" i="20" s="1"/>
  <c r="AF969" i="20"/>
  <c r="AE969" i="20" s="1"/>
  <c r="AF970" i="20"/>
  <c r="AE970" i="20" s="1"/>
  <c r="AF971" i="20"/>
  <c r="AE971" i="20" s="1"/>
  <c r="AF972" i="20"/>
  <c r="AF973" i="20"/>
  <c r="AE973" i="20" s="1"/>
  <c r="AF974" i="20"/>
  <c r="AE974" i="20" s="1"/>
  <c r="AF975" i="20"/>
  <c r="AF976" i="20"/>
  <c r="AE976" i="20" s="1"/>
  <c r="AF977" i="20"/>
  <c r="AE977" i="20" s="1"/>
  <c r="AF978" i="20"/>
  <c r="AE978" i="20" s="1"/>
  <c r="AF979" i="20"/>
  <c r="AE979" i="20" s="1"/>
  <c r="AF980" i="20"/>
  <c r="AF981" i="20"/>
  <c r="AE981" i="20" s="1"/>
  <c r="AF982" i="20"/>
  <c r="AE982" i="20" s="1"/>
  <c r="AF983" i="20"/>
  <c r="AF984" i="20"/>
  <c r="AF985" i="20"/>
  <c r="AE985" i="20" s="1"/>
  <c r="AF986" i="20"/>
  <c r="AE986" i="20" s="1"/>
  <c r="AF987" i="20"/>
  <c r="AE987" i="20" s="1"/>
  <c r="AF988" i="20"/>
  <c r="AF989" i="20"/>
  <c r="AE989" i="20" s="1"/>
  <c r="AF990" i="20"/>
  <c r="AE990" i="20" s="1"/>
  <c r="AF991" i="20"/>
  <c r="AF992" i="20"/>
  <c r="AE992" i="20" s="1"/>
  <c r="AF993" i="20"/>
  <c r="AE993" i="20" s="1"/>
  <c r="AF994" i="20"/>
  <c r="AE994" i="20" s="1"/>
  <c r="AF995" i="20"/>
  <c r="AE995" i="20" s="1"/>
  <c r="AF996" i="20"/>
  <c r="AF997" i="20"/>
  <c r="AE997" i="20" s="1"/>
  <c r="AF998" i="20"/>
  <c r="AE998" i="20" s="1"/>
  <c r="AF999" i="20"/>
  <c r="AF1000" i="20"/>
  <c r="AF1001" i="20"/>
  <c r="AE1001" i="20" s="1"/>
  <c r="AF1002" i="20"/>
  <c r="AE1002" i="20" s="1"/>
  <c r="AF1003" i="20"/>
  <c r="AE1003" i="20" s="1"/>
  <c r="AF1004" i="20"/>
  <c r="AF1005" i="20"/>
  <c r="AE1005" i="20" s="1"/>
  <c r="AF1006" i="20"/>
  <c r="AE1006" i="20" s="1"/>
  <c r="AF1007" i="20"/>
  <c r="AE1007" i="20" s="1"/>
  <c r="AF1008" i="20"/>
  <c r="AF1009" i="20"/>
  <c r="AE1009" i="20" s="1"/>
  <c r="AF1010" i="20"/>
  <c r="AE1010" i="20" s="1"/>
  <c r="AF1011" i="20"/>
  <c r="AE1011" i="20" s="1"/>
  <c r="AF1012" i="20"/>
  <c r="AF1013" i="20"/>
  <c r="AE1013" i="20" s="1"/>
  <c r="AF1014" i="20"/>
  <c r="AE1014" i="20" s="1"/>
  <c r="AF1015" i="20"/>
  <c r="AF1016" i="20"/>
  <c r="AE1016" i="20" s="1"/>
  <c r="AF1017" i="20"/>
  <c r="AE1017" i="20" s="1"/>
  <c r="AF1018" i="20"/>
  <c r="AE1018" i="20" s="1"/>
  <c r="AF1019" i="20"/>
  <c r="AE1019" i="20" s="1"/>
  <c r="AF1020" i="20"/>
  <c r="AF1021" i="20"/>
  <c r="AE1021" i="20" s="1"/>
  <c r="AF1022" i="20"/>
  <c r="AE1022" i="20" s="1"/>
  <c r="AF1023" i="20"/>
  <c r="AE1023" i="20" s="1"/>
  <c r="AF1024" i="20"/>
  <c r="AE1024" i="20" s="1"/>
  <c r="AF1025" i="20"/>
  <c r="AE1025" i="20" s="1"/>
  <c r="AF1026" i="20"/>
  <c r="AE1026" i="20" s="1"/>
  <c r="AF1027" i="20"/>
  <c r="AE1027" i="20" s="1"/>
  <c r="AF1028" i="20"/>
  <c r="AF1029" i="20"/>
  <c r="AE1029" i="20" s="1"/>
  <c r="AF1030" i="20"/>
  <c r="AE1030" i="20" s="1"/>
  <c r="AF1031" i="20"/>
  <c r="AF1032" i="20"/>
  <c r="AE1032" i="20" s="1"/>
  <c r="AF1033" i="20"/>
  <c r="AE1033" i="20" s="1"/>
  <c r="AF1034" i="20"/>
  <c r="AE1034" i="20" s="1"/>
  <c r="AF1035" i="20"/>
  <c r="AE1035" i="20" s="1"/>
  <c r="AF1036" i="20"/>
  <c r="AF1037" i="20"/>
  <c r="AE1037" i="20" s="1"/>
  <c r="AF1038" i="20"/>
  <c r="AE1038" i="20" s="1"/>
  <c r="AF1039" i="20"/>
  <c r="AF1040" i="20"/>
  <c r="AF1041" i="20"/>
  <c r="AE1041" i="20" s="1"/>
  <c r="AF1042" i="20"/>
  <c r="AE1042" i="20" s="1"/>
  <c r="AF1043" i="20"/>
  <c r="AE1043" i="20" s="1"/>
  <c r="AF1044" i="20"/>
  <c r="AF1045" i="20"/>
  <c r="AE1045" i="20" s="1"/>
  <c r="AF1046" i="20"/>
  <c r="AE1046" i="20" s="1"/>
  <c r="AF1047" i="20"/>
  <c r="AF1048" i="20"/>
  <c r="AF1049" i="20"/>
  <c r="AE1049" i="20" s="1"/>
  <c r="AF1050" i="20"/>
  <c r="AE1050" i="20" s="1"/>
  <c r="AF1051" i="20"/>
  <c r="AE1051" i="20" s="1"/>
  <c r="AF1052" i="20"/>
  <c r="AF1053" i="20"/>
  <c r="AE1053" i="20" s="1"/>
  <c r="AF1054" i="20"/>
  <c r="AE1054" i="20" s="1"/>
  <c r="AF1055" i="20"/>
  <c r="AE1055" i="20" s="1"/>
  <c r="AF1056" i="20"/>
  <c r="AF1057" i="20"/>
  <c r="AE1057" i="20" s="1"/>
  <c r="AF1058" i="20"/>
  <c r="AE1058" i="20" s="1"/>
  <c r="AF1059" i="20"/>
  <c r="AE1059" i="20" s="1"/>
  <c r="AF1060" i="20"/>
  <c r="AG1060" i="20" s="1"/>
  <c r="AF1061" i="20"/>
  <c r="AE1061" i="20" s="1"/>
  <c r="AF1062" i="20"/>
  <c r="AE1062" i="20" s="1"/>
  <c r="AF1063" i="20"/>
  <c r="AF1064" i="20"/>
  <c r="AE1064" i="20" s="1"/>
  <c r="AF1065" i="20"/>
  <c r="AE1065" i="20" s="1"/>
  <c r="AF1066" i="20"/>
  <c r="AE1066" i="20" s="1"/>
  <c r="AF1067" i="20"/>
  <c r="AE1067" i="20" s="1"/>
  <c r="AF1068" i="20"/>
  <c r="AF1069" i="20"/>
  <c r="AE1069" i="20" s="1"/>
  <c r="AF1070" i="20"/>
  <c r="AE1070" i="20" s="1"/>
  <c r="AF1071" i="20"/>
  <c r="AE1071" i="20" s="1"/>
  <c r="AF1072" i="20"/>
  <c r="AE1072" i="20" s="1"/>
  <c r="AF1073" i="20"/>
  <c r="AE1073" i="20" s="1"/>
  <c r="AF1074" i="20"/>
  <c r="AE1074" i="20" s="1"/>
  <c r="AF1075" i="20"/>
  <c r="AE1075" i="20" s="1"/>
  <c r="AF1076" i="20"/>
  <c r="AG1076" i="20" s="1"/>
  <c r="AF1077" i="20"/>
  <c r="AE1077" i="20" s="1"/>
  <c r="AF1078" i="20"/>
  <c r="AE1078" i="20" s="1"/>
  <c r="AF1079" i="20"/>
  <c r="AF1080" i="20"/>
  <c r="AE1080" i="20" s="1"/>
  <c r="AF1081" i="20"/>
  <c r="AE1081" i="20" s="1"/>
  <c r="AF1082" i="20"/>
  <c r="AE1082" i="20" s="1"/>
  <c r="AF1083" i="20"/>
  <c r="AE1083" i="20" s="1"/>
  <c r="AF1084" i="20"/>
  <c r="AF1085" i="20"/>
  <c r="AE1085" i="20" s="1"/>
  <c r="AF1086" i="20"/>
  <c r="AE1086" i="20" s="1"/>
  <c r="AF1087" i="20"/>
  <c r="AE1087" i="20" s="1"/>
  <c r="AF1088" i="20"/>
  <c r="AF1089" i="20"/>
  <c r="AE1089" i="20" s="1"/>
  <c r="AF1090" i="20"/>
  <c r="AE1090" i="20" s="1"/>
  <c r="AF1091" i="20"/>
  <c r="AE1091" i="20" s="1"/>
  <c r="AF1092" i="20"/>
  <c r="AF1093" i="20"/>
  <c r="AE1093" i="20" s="1"/>
  <c r="AF1094" i="20"/>
  <c r="AE1094" i="20" s="1"/>
  <c r="AF1095" i="20"/>
  <c r="AF1096" i="20"/>
  <c r="AE1096" i="20" s="1"/>
  <c r="AF1097" i="20"/>
  <c r="AE1097" i="20" s="1"/>
  <c r="AF1098" i="20"/>
  <c r="AE1098" i="20" s="1"/>
  <c r="AF1099" i="20"/>
  <c r="AE1099" i="20" s="1"/>
  <c r="AF1100" i="20"/>
  <c r="AF1101" i="20"/>
  <c r="AE1101" i="20" s="1"/>
  <c r="AF1102" i="20"/>
  <c r="AE1102" i="20" s="1"/>
  <c r="AF1103" i="20"/>
  <c r="AF1104" i="20"/>
  <c r="AF1105" i="20"/>
  <c r="AE1105" i="20" s="1"/>
  <c r="AF1106" i="20"/>
  <c r="AE1106" i="20" s="1"/>
  <c r="AF1107" i="20"/>
  <c r="AE1107" i="20" s="1"/>
  <c r="AF1108" i="20"/>
  <c r="AF1109" i="20"/>
  <c r="AE1109" i="20" s="1"/>
  <c r="AF1110" i="20"/>
  <c r="AE1110" i="20" s="1"/>
  <c r="AF1111" i="20"/>
  <c r="AE1111" i="20" s="1"/>
  <c r="AF1112" i="20"/>
  <c r="AE1112" i="20" s="1"/>
  <c r="AF1113" i="20"/>
  <c r="AE1113" i="20" s="1"/>
  <c r="AF1114" i="20"/>
  <c r="AE1114" i="20" s="1"/>
  <c r="AF1115" i="20"/>
  <c r="AE1115" i="20" s="1"/>
  <c r="AF1116" i="20"/>
  <c r="AF1117" i="20"/>
  <c r="AE1117" i="20" s="1"/>
  <c r="AF1118" i="20"/>
  <c r="AE1118" i="20" s="1"/>
  <c r="AF1119" i="20"/>
  <c r="AE1119" i="20" s="1"/>
  <c r="AF1120" i="20"/>
  <c r="AE1120" i="20" s="1"/>
  <c r="AF1121" i="20"/>
  <c r="AE1121" i="20" s="1"/>
  <c r="AF1122" i="20"/>
  <c r="AE1122" i="20" s="1"/>
  <c r="AF1123" i="20"/>
  <c r="AE1123" i="20" s="1"/>
  <c r="AF1124" i="20"/>
  <c r="AF1125" i="20"/>
  <c r="AE1125" i="20" s="1"/>
  <c r="AF1126" i="20"/>
  <c r="AE1126" i="20" s="1"/>
  <c r="AF1127" i="20"/>
  <c r="AE1127" i="20" s="1"/>
  <c r="AF1128" i="20"/>
  <c r="AE1128" i="20" s="1"/>
  <c r="AF1129" i="20"/>
  <c r="AE1129" i="20" s="1"/>
  <c r="AF1130" i="20"/>
  <c r="AE1130" i="20" s="1"/>
  <c r="AF1131" i="20"/>
  <c r="AE1131" i="20" s="1"/>
  <c r="AF1132" i="20"/>
  <c r="AF1133" i="20"/>
  <c r="AE1133" i="20" s="1"/>
  <c r="AF1134" i="20"/>
  <c r="AE1134" i="20" s="1"/>
  <c r="AF1135" i="20"/>
  <c r="AF1136" i="20"/>
  <c r="AE1136" i="20" s="1"/>
  <c r="AF1137" i="20"/>
  <c r="AE1137" i="20" s="1"/>
  <c r="AF1138" i="20"/>
  <c r="AE1138" i="20" s="1"/>
  <c r="AF1139" i="20"/>
  <c r="AE1139" i="20" s="1"/>
  <c r="AF1140" i="20"/>
  <c r="AF1141" i="20"/>
  <c r="AE1141" i="20" s="1"/>
  <c r="AF1142" i="20"/>
  <c r="AE1142" i="20" s="1"/>
  <c r="AF1143" i="20"/>
  <c r="AF1144" i="20"/>
  <c r="AE1144" i="20" s="1"/>
  <c r="AF1145" i="20"/>
  <c r="AE1145" i="20" s="1"/>
  <c r="AF1146" i="20"/>
  <c r="AE1146" i="20" s="1"/>
  <c r="AF1147" i="20"/>
  <c r="AF1148" i="20"/>
  <c r="AF1149" i="20"/>
  <c r="AE1149" i="20" s="1"/>
  <c r="AF1150" i="20"/>
  <c r="AE1150" i="20" s="1"/>
  <c r="AF1151" i="20"/>
  <c r="AF1152" i="20"/>
  <c r="AE1152" i="20" s="1"/>
  <c r="AF1153" i="20"/>
  <c r="AF1154" i="20"/>
  <c r="AE1154" i="20" s="1"/>
  <c r="AF1155" i="20"/>
  <c r="AE1155" i="20" s="1"/>
  <c r="AF1156" i="20"/>
  <c r="AF1157" i="20"/>
  <c r="AE1157" i="20" s="1"/>
  <c r="AF1158" i="20"/>
  <c r="AE1158" i="20" s="1"/>
  <c r="AF1159" i="20"/>
  <c r="AF1160" i="20"/>
  <c r="AE1160" i="20" s="1"/>
  <c r="AF1161" i="20"/>
  <c r="AE1161" i="20" s="1"/>
  <c r="AF1162" i="20"/>
  <c r="AE1162" i="20" s="1"/>
  <c r="AF1163" i="20"/>
  <c r="AE1163" i="20" s="1"/>
  <c r="AF1164" i="20"/>
  <c r="AF1165" i="20"/>
  <c r="AE1165" i="20" s="1"/>
  <c r="AF1166" i="20"/>
  <c r="AE1166" i="20" s="1"/>
  <c r="AF1167" i="20"/>
  <c r="AF1168" i="20"/>
  <c r="AE1168" i="20" s="1"/>
  <c r="AF1169" i="20"/>
  <c r="AE1169" i="20" s="1"/>
  <c r="AF1170" i="20"/>
  <c r="AE1170" i="20" s="1"/>
  <c r="AF1171" i="20"/>
  <c r="AF1172" i="20"/>
  <c r="AF1173" i="20"/>
  <c r="AE1173" i="20" s="1"/>
  <c r="AF1174" i="20"/>
  <c r="AE1174" i="20" s="1"/>
  <c r="AF1175" i="20"/>
  <c r="AF1176" i="20"/>
  <c r="AE1176" i="20" s="1"/>
  <c r="AF1177" i="20"/>
  <c r="AE1177" i="20" s="1"/>
  <c r="AF1178" i="20"/>
  <c r="AE1178" i="20" s="1"/>
  <c r="AF1179" i="20"/>
  <c r="AE1179" i="20" s="1"/>
  <c r="AF1180" i="20"/>
  <c r="AF1181" i="20"/>
  <c r="AE1181" i="20" s="1"/>
  <c r="AF1182" i="20"/>
  <c r="AE1182" i="20" s="1"/>
  <c r="AF1183" i="20"/>
  <c r="AF1184" i="20"/>
  <c r="AE1184" i="20" s="1"/>
  <c r="AF1185" i="20"/>
  <c r="AE1185" i="20" s="1"/>
  <c r="AF1186" i="20"/>
  <c r="AE1186" i="20" s="1"/>
  <c r="AF1187" i="20"/>
  <c r="AE1187" i="20" s="1"/>
  <c r="AF1188" i="20"/>
  <c r="AF1189" i="20"/>
  <c r="AE1189" i="20" s="1"/>
  <c r="AF1190" i="20"/>
  <c r="AE1190" i="20" s="1"/>
  <c r="AF1191" i="20"/>
  <c r="AF1192" i="20"/>
  <c r="AF1193" i="20"/>
  <c r="AF1194" i="20"/>
  <c r="AE1194" i="20" s="1"/>
  <c r="AF1195" i="20"/>
  <c r="AE1195" i="20" s="1"/>
  <c r="AF1196" i="20"/>
  <c r="AF1197" i="20"/>
  <c r="AE1197" i="20" s="1"/>
  <c r="AF1198" i="20"/>
  <c r="AE1198" i="20" s="1"/>
  <c r="AF1199" i="20"/>
  <c r="AF1200" i="20"/>
  <c r="AF1201" i="20"/>
  <c r="AE1201" i="20" s="1"/>
  <c r="AF1202" i="20"/>
  <c r="AE1202" i="20" s="1"/>
  <c r="AF1203" i="20"/>
  <c r="AE1203" i="20" s="1"/>
  <c r="AF1204" i="20"/>
  <c r="AF1205" i="20"/>
  <c r="AE1205" i="20" s="1"/>
  <c r="AF1206" i="20"/>
  <c r="AE1206" i="20" s="1"/>
  <c r="AF1207" i="20"/>
  <c r="AF1208" i="20"/>
  <c r="AE1208" i="20" s="1"/>
  <c r="AF1209" i="20"/>
  <c r="AE1209" i="20" s="1"/>
  <c r="AF1210" i="20"/>
  <c r="AE1210" i="20" s="1"/>
  <c r="AF1211" i="20"/>
  <c r="AF1212" i="20"/>
  <c r="AF1213" i="20"/>
  <c r="AE1213" i="20" s="1"/>
  <c r="AF1214" i="20"/>
  <c r="AE1214" i="20" s="1"/>
  <c r="AF1215" i="20"/>
  <c r="AF1216" i="20"/>
  <c r="AF1217" i="20"/>
  <c r="AF1218" i="20"/>
  <c r="AE1218" i="20" s="1"/>
  <c r="AF1219" i="20"/>
  <c r="AE1219" i="20" s="1"/>
  <c r="AF1220" i="20"/>
  <c r="AF1221" i="20"/>
  <c r="AE1221" i="20" s="1"/>
  <c r="AF1222" i="20"/>
  <c r="AE1222" i="20" s="1"/>
  <c r="AF1223" i="20"/>
  <c r="AF1224" i="20"/>
  <c r="AF1225" i="20"/>
  <c r="AE1225" i="20" s="1"/>
  <c r="AF1226" i="20"/>
  <c r="AE1226" i="20" s="1"/>
  <c r="AF1227" i="20"/>
  <c r="AE1227" i="20" s="1"/>
  <c r="AF1228" i="20"/>
  <c r="AF1229" i="20"/>
  <c r="AE1229" i="20" s="1"/>
  <c r="AF1230" i="20"/>
  <c r="AE1230" i="20" s="1"/>
  <c r="AF1231" i="20"/>
  <c r="AF1232" i="20"/>
  <c r="AE1232" i="20" s="1"/>
  <c r="AF1233" i="20"/>
  <c r="AE1233" i="20" s="1"/>
  <c r="AF1234" i="20"/>
  <c r="AE1234" i="20" s="1"/>
  <c r="AF1235" i="20"/>
  <c r="AF1236" i="20"/>
  <c r="AF1237" i="20"/>
  <c r="AE1237" i="20" s="1"/>
  <c r="AF1238" i="20"/>
  <c r="AE1238" i="20" s="1"/>
  <c r="AF1239" i="20"/>
  <c r="AF1240" i="20"/>
  <c r="AF1241" i="20"/>
  <c r="AE1241" i="20" s="1"/>
  <c r="AF1242" i="20"/>
  <c r="AE1242" i="20" s="1"/>
  <c r="AF1243" i="20"/>
  <c r="AE1243" i="20" s="1"/>
  <c r="AF1244" i="20"/>
  <c r="AF1245" i="20"/>
  <c r="AE1245" i="20" s="1"/>
  <c r="AF1246" i="20"/>
  <c r="AE1246" i="20" s="1"/>
  <c r="AF1247" i="20"/>
  <c r="AF1248" i="20"/>
  <c r="AF1249" i="20"/>
  <c r="AE1249" i="20" s="1"/>
  <c r="AF1250" i="20"/>
  <c r="AE1250" i="20" s="1"/>
  <c r="AF1251" i="20"/>
  <c r="AE1251" i="20" s="1"/>
  <c r="AF1252" i="20"/>
  <c r="AF1253" i="20"/>
  <c r="AE1253" i="20" s="1"/>
  <c r="AF1254" i="20"/>
  <c r="AE1254" i="20" s="1"/>
  <c r="AF1255" i="20"/>
  <c r="AF1256" i="20"/>
  <c r="AE1256" i="20" s="1"/>
  <c r="AF1257" i="20"/>
  <c r="AF1258" i="20"/>
  <c r="AE1258" i="20" s="1"/>
  <c r="AF1259" i="20"/>
  <c r="AE1259" i="20" s="1"/>
  <c r="AF1260" i="20"/>
  <c r="AF1261" i="20"/>
  <c r="AE1261" i="20" s="1"/>
  <c r="AF1262" i="20"/>
  <c r="AE1262" i="20" s="1"/>
  <c r="AF1263" i="20"/>
  <c r="AF1264" i="20"/>
  <c r="AE1264" i="20" s="1"/>
  <c r="AF1265" i="20"/>
  <c r="AE1265" i="20" s="1"/>
  <c r="AF1266" i="20"/>
  <c r="AE1266" i="20" s="1"/>
  <c r="AF1267" i="20"/>
  <c r="AE1267" i="20" s="1"/>
  <c r="AF1268" i="20"/>
  <c r="AF1269" i="20"/>
  <c r="AE1269" i="20" s="1"/>
  <c r="AF1270" i="20"/>
  <c r="AE1270" i="20" s="1"/>
  <c r="AF1271" i="20"/>
  <c r="AF1272" i="20"/>
  <c r="AE1272" i="20" s="1"/>
  <c r="AF1273" i="20"/>
  <c r="AE1273" i="20" s="1"/>
  <c r="AF1274" i="20"/>
  <c r="AE1274" i="20" s="1"/>
  <c r="AF1275" i="20"/>
  <c r="AF1276" i="20"/>
  <c r="AF1277" i="20"/>
  <c r="AE1277" i="20" s="1"/>
  <c r="AF1278" i="20"/>
  <c r="AE1278" i="20" s="1"/>
  <c r="AF1279" i="20"/>
  <c r="AF1280" i="20"/>
  <c r="AE1280" i="20" s="1"/>
  <c r="AF1281" i="20"/>
  <c r="AF1282" i="20"/>
  <c r="AE1282" i="20" s="1"/>
  <c r="AF1283" i="20"/>
  <c r="AE1283" i="20" s="1"/>
  <c r="AF1284" i="20"/>
  <c r="AF1285" i="20"/>
  <c r="AE1285" i="20" s="1"/>
  <c r="AF1286" i="20"/>
  <c r="AE1286" i="20" s="1"/>
  <c r="AF1287" i="20"/>
  <c r="AF1288" i="20"/>
  <c r="AE1288" i="20" s="1"/>
  <c r="AF1289" i="20"/>
  <c r="AE1289" i="20" s="1"/>
  <c r="AF1290" i="20"/>
  <c r="AE1290" i="20" s="1"/>
  <c r="AF1291" i="20"/>
  <c r="AE1291" i="20" s="1"/>
  <c r="AF1292" i="20"/>
  <c r="AF1293" i="20"/>
  <c r="AE1293" i="20" s="1"/>
  <c r="AF1294" i="20"/>
  <c r="AE1294" i="20" s="1"/>
  <c r="AF1295" i="20"/>
  <c r="AF1296" i="20"/>
  <c r="AE1296" i="20" s="1"/>
  <c r="AF1297" i="20"/>
  <c r="AE1297" i="20" s="1"/>
  <c r="AF1298" i="20"/>
  <c r="AE1298" i="20" s="1"/>
  <c r="AF1299" i="20"/>
  <c r="AF1300" i="20"/>
  <c r="AF1301" i="20"/>
  <c r="AE1301" i="20" s="1"/>
  <c r="AF1302" i="20"/>
  <c r="AE1302" i="20" s="1"/>
  <c r="AF1303" i="20"/>
  <c r="AF1304" i="20"/>
  <c r="AE1304" i="20" s="1"/>
  <c r="AF1305" i="20"/>
  <c r="AE1305" i="20" s="1"/>
  <c r="AF1306" i="20"/>
  <c r="AE1306" i="20" s="1"/>
  <c r="AF1307" i="20"/>
  <c r="AE1307" i="20" s="1"/>
  <c r="AF1308" i="20"/>
  <c r="AG1308" i="20" s="1"/>
  <c r="AF1309" i="20"/>
  <c r="AE1309" i="20" s="1"/>
  <c r="AF1310" i="20"/>
  <c r="AE1310" i="20" s="1"/>
  <c r="AF1311" i="20"/>
  <c r="AF1312" i="20"/>
  <c r="AE1312" i="20" s="1"/>
  <c r="AF1313" i="20"/>
  <c r="AE1313" i="20" s="1"/>
  <c r="AF1314" i="20"/>
  <c r="AE1314" i="20" s="1"/>
  <c r="AF1315" i="20"/>
  <c r="AE1315" i="20" s="1"/>
  <c r="AF1316" i="20"/>
  <c r="AF1317" i="20"/>
  <c r="AE1317" i="20" s="1"/>
  <c r="AF1318" i="20"/>
  <c r="AE1318" i="20" s="1"/>
  <c r="AF1319" i="20"/>
  <c r="AF1320" i="20"/>
  <c r="AF1321" i="20"/>
  <c r="AF1322" i="20"/>
  <c r="AE1322" i="20" s="1"/>
  <c r="AF1323" i="20"/>
  <c r="AE1323" i="20" s="1"/>
  <c r="AF1324" i="20"/>
  <c r="AF1325" i="20"/>
  <c r="AE1325" i="20" s="1"/>
  <c r="AF1326" i="20"/>
  <c r="AE1326" i="20" s="1"/>
  <c r="AF1327" i="20"/>
  <c r="AF1328" i="20"/>
  <c r="AF1329" i="20"/>
  <c r="AE1329" i="20" s="1"/>
  <c r="AF1330" i="20"/>
  <c r="AE1330" i="20" s="1"/>
  <c r="AF1331" i="20"/>
  <c r="AE1331" i="20" s="1"/>
  <c r="AF1332" i="20"/>
  <c r="AF1333" i="20"/>
  <c r="AE1333" i="20" s="1"/>
  <c r="AF1334" i="20"/>
  <c r="AE1334" i="20" s="1"/>
  <c r="AF1335" i="20"/>
  <c r="AF1336" i="20"/>
  <c r="AE1336" i="20" s="1"/>
  <c r="AF1337" i="20"/>
  <c r="AE1337" i="20" s="1"/>
  <c r="AF1338" i="20"/>
  <c r="AE1338" i="20" s="1"/>
  <c r="AF1339" i="20"/>
  <c r="AF1340" i="20"/>
  <c r="AF1341" i="20"/>
  <c r="AE1341" i="20" s="1"/>
  <c r="AF1342" i="20"/>
  <c r="AE1342" i="20" s="1"/>
  <c r="AF1343" i="20"/>
  <c r="AF1344" i="20"/>
  <c r="AF1345" i="20"/>
  <c r="AF1346" i="20"/>
  <c r="AE1346" i="20" s="1"/>
  <c r="AF1347" i="20"/>
  <c r="AE1347" i="20" s="1"/>
  <c r="AF1348" i="20"/>
  <c r="AF1349" i="20"/>
  <c r="AE1349" i="20" s="1"/>
  <c r="AF1350" i="20"/>
  <c r="AE1350" i="20" s="1"/>
  <c r="AF1351" i="20"/>
  <c r="AF1352" i="20"/>
  <c r="AF1353" i="20"/>
  <c r="AE1353" i="20" s="1"/>
  <c r="AF1354" i="20"/>
  <c r="AE1354" i="20" s="1"/>
  <c r="AF1355" i="20"/>
  <c r="AE1355" i="20" s="1"/>
  <c r="AF1356" i="20"/>
  <c r="AF1357" i="20"/>
  <c r="AE1357" i="20" s="1"/>
  <c r="AF1358" i="20"/>
  <c r="AE1358" i="20" s="1"/>
  <c r="AF1359" i="20"/>
  <c r="AF1360" i="20"/>
  <c r="AE1360" i="20" s="1"/>
  <c r="AF1361" i="20"/>
  <c r="AE1361" i="20" s="1"/>
  <c r="AF1362" i="20"/>
  <c r="AE1362" i="20" s="1"/>
  <c r="AF1363" i="20"/>
  <c r="AF1364" i="20"/>
  <c r="AF1365" i="20"/>
  <c r="AE1365" i="20" s="1"/>
  <c r="AF1366" i="20"/>
  <c r="AE1366" i="20" s="1"/>
  <c r="AF1367" i="20"/>
  <c r="AF1368" i="20"/>
  <c r="AF1369" i="20"/>
  <c r="AE1369" i="20" s="1"/>
  <c r="AF1370" i="20"/>
  <c r="AE1370" i="20" s="1"/>
  <c r="AF1371" i="20"/>
  <c r="AE1371" i="20" s="1"/>
  <c r="AF1372" i="20"/>
  <c r="AF1373" i="20"/>
  <c r="AE1373" i="20" s="1"/>
  <c r="AF1374" i="20"/>
  <c r="AE1374" i="20" s="1"/>
  <c r="AF1375" i="20"/>
  <c r="AF1376" i="20"/>
  <c r="AF1377" i="20"/>
  <c r="AE1377" i="20" s="1"/>
  <c r="AF1378" i="20"/>
  <c r="AE1378" i="20" s="1"/>
  <c r="AF1379" i="20"/>
  <c r="AE1379" i="20" s="1"/>
  <c r="AF1380" i="20"/>
  <c r="AF1381" i="20"/>
  <c r="AE1381" i="20" s="1"/>
  <c r="AF1382" i="20"/>
  <c r="AE1382" i="20" s="1"/>
  <c r="AF1383" i="20"/>
  <c r="AF1384" i="20"/>
  <c r="AE1384" i="20" s="1"/>
  <c r="AF1385" i="20"/>
  <c r="AF1386" i="20"/>
  <c r="AE1386" i="20" s="1"/>
  <c r="AF1387" i="20"/>
  <c r="AE1387" i="20" s="1"/>
  <c r="AF1388" i="20"/>
  <c r="AF1389" i="20"/>
  <c r="AE1389" i="20" s="1"/>
  <c r="AF1390" i="20"/>
  <c r="AE1390" i="20" s="1"/>
  <c r="AF1391" i="20"/>
  <c r="AF1392" i="20"/>
  <c r="AE1392" i="20" s="1"/>
  <c r="AF1393" i="20"/>
  <c r="AE1393" i="20" s="1"/>
  <c r="AF1394" i="20"/>
  <c r="AE1394" i="20" s="1"/>
  <c r="AF1395" i="20"/>
  <c r="AE1395" i="20" s="1"/>
  <c r="AF1396" i="20"/>
  <c r="AF1397" i="20"/>
  <c r="AE1397" i="20" s="1"/>
  <c r="AF1398" i="20"/>
  <c r="AE1398" i="20" s="1"/>
  <c r="AF1399" i="20"/>
  <c r="AF1400" i="20"/>
  <c r="AE1400" i="20" s="1"/>
  <c r="AF1401" i="20"/>
  <c r="AE1401" i="20" s="1"/>
  <c r="AF1402" i="20"/>
  <c r="AE1402" i="20" s="1"/>
  <c r="AF1403" i="20"/>
  <c r="AF1404" i="20"/>
  <c r="AF1405" i="20"/>
  <c r="AE1405" i="20" s="1"/>
  <c r="AF1406" i="20"/>
  <c r="AE1406" i="20" s="1"/>
  <c r="AF1407" i="20"/>
  <c r="AF1408" i="20"/>
  <c r="AE1408" i="20" s="1"/>
  <c r="AF1409" i="20"/>
  <c r="AF1410" i="20"/>
  <c r="AE1410" i="20" s="1"/>
  <c r="AF1411" i="20"/>
  <c r="AE1411" i="20" s="1"/>
  <c r="AF1412" i="20"/>
  <c r="AF1413" i="20"/>
  <c r="AE1413" i="20" s="1"/>
  <c r="AF1414" i="20"/>
  <c r="AE1414" i="20" s="1"/>
  <c r="AF1415" i="20"/>
  <c r="AF1416" i="20"/>
  <c r="AE1416" i="20" s="1"/>
  <c r="AF1417" i="20"/>
  <c r="AE1417" i="20" s="1"/>
  <c r="AF1418" i="20"/>
  <c r="AE1418" i="20" s="1"/>
  <c r="AF1419" i="20"/>
  <c r="AE1419" i="20" s="1"/>
  <c r="AF1420" i="20"/>
  <c r="AF1421" i="20"/>
  <c r="AE1421" i="20" s="1"/>
  <c r="AF1422" i="20"/>
  <c r="AE1422" i="20" s="1"/>
  <c r="AF1423" i="20"/>
  <c r="AF1424" i="20"/>
  <c r="AE1424" i="20" s="1"/>
  <c r="AF1425" i="20"/>
  <c r="AE1425" i="20" s="1"/>
  <c r="AF1426" i="20"/>
  <c r="AE1426" i="20" s="1"/>
  <c r="AF1427" i="20"/>
  <c r="AF1428" i="20"/>
  <c r="AF1429" i="20"/>
  <c r="AE1429" i="20" s="1"/>
  <c r="AF1430" i="20"/>
  <c r="AE1430" i="20" s="1"/>
  <c r="AF1431" i="20"/>
  <c r="AF1432" i="20"/>
  <c r="AE1432" i="20" s="1"/>
  <c r="AF1433" i="20"/>
  <c r="AE1433" i="20" s="1"/>
  <c r="AF1434" i="20"/>
  <c r="AE1434" i="20" s="1"/>
  <c r="AF1435" i="20"/>
  <c r="AE1435" i="20" s="1"/>
  <c r="AF1436" i="20"/>
  <c r="AF1437" i="20"/>
  <c r="AE1437" i="20" s="1"/>
  <c r="AF1438" i="20"/>
  <c r="AE1438" i="20" s="1"/>
  <c r="AF1439" i="20"/>
  <c r="AF1440" i="20"/>
  <c r="AE1440" i="20" s="1"/>
  <c r="AF1441" i="20"/>
  <c r="AE1441" i="20" s="1"/>
  <c r="AF1442" i="20"/>
  <c r="AE1442" i="20" s="1"/>
  <c r="AF1443" i="20"/>
  <c r="AE1443" i="20" s="1"/>
  <c r="AF1444" i="20"/>
  <c r="AF1445" i="20"/>
  <c r="AE1445" i="20" s="1"/>
  <c r="AF1446" i="20"/>
  <c r="AE1446" i="20" s="1"/>
  <c r="AF1447" i="20"/>
  <c r="AF1448" i="20"/>
  <c r="AF1449" i="20"/>
  <c r="AF1450" i="20"/>
  <c r="AE1450" i="20" s="1"/>
  <c r="AF1451" i="20"/>
  <c r="AE1451" i="20" s="1"/>
  <c r="AF1452" i="20"/>
  <c r="AF1453" i="20"/>
  <c r="AE1453" i="20" s="1"/>
  <c r="AF1454" i="20"/>
  <c r="AE1454" i="20" s="1"/>
  <c r="AF1455" i="20"/>
  <c r="AF1456" i="20"/>
  <c r="AF1457" i="20"/>
  <c r="AE1457" i="20" s="1"/>
  <c r="AF1458" i="20"/>
  <c r="AE1458" i="20" s="1"/>
  <c r="AF1459" i="20"/>
  <c r="AE1459" i="20" s="1"/>
  <c r="AF1460" i="20"/>
  <c r="AF1461" i="20"/>
  <c r="AE1461" i="20" s="1"/>
  <c r="AF1462" i="20"/>
  <c r="AE1462" i="20" s="1"/>
  <c r="AF1463" i="20"/>
  <c r="AF1464" i="20"/>
  <c r="AE1464" i="20" s="1"/>
  <c r="AF1465" i="20"/>
  <c r="AE1465" i="20" s="1"/>
  <c r="AF1466" i="20"/>
  <c r="AE1466" i="20" s="1"/>
  <c r="AF1467" i="20"/>
  <c r="AF1468" i="20"/>
  <c r="AF1469" i="20"/>
  <c r="AE1469" i="20" s="1"/>
  <c r="AF1470" i="20"/>
  <c r="AE1470" i="20" s="1"/>
  <c r="AF1471" i="20"/>
  <c r="AF1472" i="20"/>
  <c r="AF1473" i="20"/>
  <c r="AF1474" i="20"/>
  <c r="AE1474" i="20" s="1"/>
  <c r="AF1475" i="20"/>
  <c r="AE1475" i="20" s="1"/>
  <c r="AF1476" i="20"/>
  <c r="AG1476" i="20" s="1"/>
  <c r="AF1477" i="20"/>
  <c r="AE1477" i="20" s="1"/>
  <c r="AF1478" i="20"/>
  <c r="AE1478" i="20" s="1"/>
  <c r="AF1479" i="20"/>
  <c r="AF1480" i="20"/>
  <c r="AF1481" i="20"/>
  <c r="AE1481" i="20" s="1"/>
  <c r="AF1482" i="20"/>
  <c r="AE1482" i="20" s="1"/>
  <c r="AF1483" i="20"/>
  <c r="AE1483" i="20" s="1"/>
  <c r="AF1484" i="20"/>
  <c r="AF1485" i="20"/>
  <c r="AE1485" i="20" s="1"/>
  <c r="AF1486" i="20"/>
  <c r="AE1486" i="20" s="1"/>
  <c r="AF1487" i="20"/>
  <c r="AF1488" i="20"/>
  <c r="AE1488" i="20" s="1"/>
  <c r="AF1489" i="20"/>
  <c r="AE1489" i="20" s="1"/>
  <c r="AF1490" i="20"/>
  <c r="AE1490" i="20" s="1"/>
  <c r="AF1491" i="20"/>
  <c r="AF1492" i="20"/>
  <c r="AF1493" i="20"/>
  <c r="AE1493" i="20" s="1"/>
  <c r="AF1494" i="20"/>
  <c r="AE1494" i="20" s="1"/>
  <c r="AF1495" i="20"/>
  <c r="AF1496" i="20"/>
  <c r="AF1497" i="20"/>
  <c r="AE1497" i="20" s="1"/>
  <c r="AF1498" i="20"/>
  <c r="AE1498" i="20" s="1"/>
  <c r="AF1499" i="20"/>
  <c r="AE1499" i="20" s="1"/>
  <c r="AF1500" i="20"/>
  <c r="AF1501" i="20"/>
  <c r="AE1501" i="20" s="1"/>
  <c r="AF1502" i="20"/>
  <c r="AE1502" i="20" s="1"/>
  <c r="AF1503" i="20"/>
  <c r="AF1504" i="20"/>
  <c r="AF1505" i="20"/>
  <c r="AE1505" i="20" s="1"/>
  <c r="AF1506" i="20"/>
  <c r="AE1506" i="20" s="1"/>
  <c r="AF1507" i="20"/>
  <c r="AE1507" i="20" s="1"/>
  <c r="AF1508" i="20"/>
  <c r="AF1509" i="20"/>
  <c r="AE1509" i="20" s="1"/>
  <c r="AF1510" i="20"/>
  <c r="AE1510" i="20" s="1"/>
  <c r="AF1511" i="20"/>
  <c r="AF1512" i="20"/>
  <c r="AE1512" i="20" s="1"/>
  <c r="AF1513" i="20"/>
  <c r="AF1514" i="20"/>
  <c r="AE1514" i="20" s="1"/>
  <c r="AF1515" i="20"/>
  <c r="AE1515" i="20" s="1"/>
  <c r="AF1516" i="20"/>
  <c r="AF1517" i="20"/>
  <c r="AE1517" i="20" s="1"/>
  <c r="AF1518" i="20"/>
  <c r="AE1518" i="20" s="1"/>
  <c r="AF1519" i="20"/>
  <c r="AF1520" i="20"/>
  <c r="AE1520" i="20" s="1"/>
  <c r="AF1521" i="20"/>
  <c r="AE1521" i="20" s="1"/>
  <c r="AF1522" i="20"/>
  <c r="AE1522" i="20" s="1"/>
  <c r="AF1523" i="20"/>
  <c r="AE1523" i="20" s="1"/>
  <c r="AF1524" i="20"/>
  <c r="AF1525" i="20"/>
  <c r="AE1525" i="20" s="1"/>
  <c r="AF1526" i="20"/>
  <c r="AE1526" i="20" s="1"/>
  <c r="AF1527" i="20"/>
  <c r="AF1528" i="20"/>
  <c r="AE1528" i="20" s="1"/>
  <c r="AF1529" i="20"/>
  <c r="AE1529" i="20" s="1"/>
  <c r="AF1530" i="20"/>
  <c r="AE1530" i="20" s="1"/>
  <c r="AF1531" i="20"/>
  <c r="AF1532" i="20"/>
  <c r="AF1533" i="20"/>
  <c r="AE1533" i="20" s="1"/>
  <c r="AF1534" i="20"/>
  <c r="AE1534" i="20" s="1"/>
  <c r="AF1535" i="20"/>
  <c r="AF1536" i="20"/>
  <c r="AE1536" i="20" s="1"/>
  <c r="AF1537" i="20"/>
  <c r="AF1538" i="20"/>
  <c r="AE1538" i="20" s="1"/>
  <c r="AF1539" i="20"/>
  <c r="AE1539" i="20" s="1"/>
  <c r="AF1540" i="20"/>
  <c r="AF1541" i="20"/>
  <c r="AE1541" i="20" s="1"/>
  <c r="AF1542" i="20"/>
  <c r="AE1542" i="20" s="1"/>
  <c r="AF1543" i="20"/>
  <c r="AF1544" i="20"/>
  <c r="AE1544" i="20" s="1"/>
  <c r="AF1545" i="20"/>
  <c r="AE1545" i="20" s="1"/>
  <c r="AF1546" i="20"/>
  <c r="AE1546" i="20" s="1"/>
  <c r="AF1547" i="20"/>
  <c r="AE1547" i="20" s="1"/>
  <c r="AF1548" i="20"/>
  <c r="AF1549" i="20"/>
  <c r="AE1549" i="20" s="1"/>
  <c r="AF1550" i="20"/>
  <c r="AE1550" i="20" s="1"/>
  <c r="AF1551" i="20"/>
  <c r="AF1552" i="20"/>
  <c r="AE1552" i="20" s="1"/>
  <c r="AF1553" i="20"/>
  <c r="AE1553" i="20" s="1"/>
  <c r="AF1554" i="20"/>
  <c r="AE1554" i="20" s="1"/>
  <c r="AF1555" i="20"/>
  <c r="AF1556" i="20"/>
  <c r="AF1557" i="20"/>
  <c r="AE1557" i="20" s="1"/>
  <c r="AF1558" i="20"/>
  <c r="AE1558" i="20" s="1"/>
  <c r="AF1559" i="20"/>
  <c r="AF1560" i="20"/>
  <c r="AE1560" i="20" s="1"/>
  <c r="AF1561" i="20"/>
  <c r="AE1561" i="20" s="1"/>
  <c r="AF1562" i="20"/>
  <c r="AE1562" i="20" s="1"/>
  <c r="AF1563" i="20"/>
  <c r="AE1563" i="20" s="1"/>
  <c r="AF1564" i="20"/>
  <c r="AF1565" i="20"/>
  <c r="AE1565" i="20" s="1"/>
  <c r="AF1566" i="20"/>
  <c r="AE1566" i="20" s="1"/>
  <c r="AF1567" i="20"/>
  <c r="AF1568" i="20"/>
  <c r="AE1568" i="20" s="1"/>
  <c r="AF1569" i="20"/>
  <c r="AE1569" i="20" s="1"/>
  <c r="AF1570" i="20"/>
  <c r="AE1570" i="20" s="1"/>
  <c r="AF1571" i="20"/>
  <c r="AE1571" i="20" s="1"/>
  <c r="AF1572" i="20"/>
  <c r="AF1573" i="20"/>
  <c r="AE1573" i="20" s="1"/>
  <c r="AF1574" i="20"/>
  <c r="AE1574" i="20" s="1"/>
  <c r="AF1575" i="20"/>
  <c r="AF1576" i="20"/>
  <c r="AF1577" i="20"/>
  <c r="AF1578" i="20"/>
  <c r="AE1578" i="20" s="1"/>
  <c r="AF1579" i="20"/>
  <c r="AE1579" i="20" s="1"/>
  <c r="AF1580" i="20"/>
  <c r="AF1581" i="20"/>
  <c r="AE1581" i="20" s="1"/>
  <c r="AF1582" i="20"/>
  <c r="AE1582" i="20" s="1"/>
  <c r="AF1583" i="20"/>
  <c r="AF1584" i="20"/>
  <c r="AF1585" i="20"/>
  <c r="AE1585" i="20" s="1"/>
  <c r="AF1586" i="20"/>
  <c r="AE1586" i="20" s="1"/>
  <c r="AF1587" i="20"/>
  <c r="AE1587" i="20" s="1"/>
  <c r="AF1588" i="20"/>
  <c r="AG1588" i="20" s="1"/>
  <c r="AF1589" i="20"/>
  <c r="AE1589" i="20" s="1"/>
  <c r="AF1590" i="20"/>
  <c r="AE1590" i="20" s="1"/>
  <c r="AF1591" i="20"/>
  <c r="AF1592" i="20"/>
  <c r="AE1592" i="20" s="1"/>
  <c r="AF1593" i="20"/>
  <c r="AE1593" i="20" s="1"/>
  <c r="AF1594" i="20"/>
  <c r="AE1594" i="20" s="1"/>
  <c r="AF1595" i="20"/>
  <c r="AF1596" i="20"/>
  <c r="AF1597" i="20"/>
  <c r="AE1597" i="20" s="1"/>
  <c r="AF1598" i="20"/>
  <c r="AE1598" i="20" s="1"/>
  <c r="AF1599" i="20"/>
  <c r="AF1600" i="20"/>
  <c r="AF1601" i="20"/>
  <c r="AF1602" i="20"/>
  <c r="AE1602" i="20" s="1"/>
  <c r="AF1603" i="20"/>
  <c r="AE1603" i="20" s="1"/>
  <c r="AF1604" i="20"/>
  <c r="AF1605" i="20"/>
  <c r="AE1605" i="20" s="1"/>
  <c r="AF1606" i="20"/>
  <c r="AE1606" i="20" s="1"/>
  <c r="AF1607" i="20"/>
  <c r="AF1608" i="20"/>
  <c r="AF1609" i="20"/>
  <c r="AE1609" i="20" s="1"/>
  <c r="AF1610" i="20"/>
  <c r="AE1610" i="20" s="1"/>
  <c r="AF1611" i="20"/>
  <c r="AE1611" i="20" s="1"/>
  <c r="AF1612" i="20"/>
  <c r="AF1613" i="20"/>
  <c r="AE1613" i="20" s="1"/>
  <c r="AF1614" i="20"/>
  <c r="AE1614" i="20" s="1"/>
  <c r="AF1615" i="20"/>
  <c r="AF1616" i="20"/>
  <c r="AE1616" i="20" s="1"/>
  <c r="AF1617" i="20"/>
  <c r="AE1617" i="20" s="1"/>
  <c r="AF1618" i="20"/>
  <c r="AE1618" i="20" s="1"/>
  <c r="AF1619" i="20"/>
  <c r="AF1620" i="20"/>
  <c r="AF1621" i="20"/>
  <c r="AE1621" i="20" s="1"/>
  <c r="AF1622" i="20"/>
  <c r="AE1622" i="20" s="1"/>
  <c r="AF1623" i="20"/>
  <c r="AF1624" i="20"/>
  <c r="AF1625" i="20"/>
  <c r="AE1625" i="20" s="1"/>
  <c r="AF1626" i="20"/>
  <c r="AE1626" i="20" s="1"/>
  <c r="AF1627" i="20"/>
  <c r="AE1627" i="20" s="1"/>
  <c r="AF1628" i="20"/>
  <c r="AF1629" i="20"/>
  <c r="AE1629" i="20" s="1"/>
  <c r="AF1630" i="20"/>
  <c r="AE1630" i="20" s="1"/>
  <c r="AF1631" i="20"/>
  <c r="AF1632" i="20"/>
  <c r="AF1633" i="20"/>
  <c r="AE1633" i="20" s="1"/>
  <c r="AF1634" i="20"/>
  <c r="AE1634" i="20" s="1"/>
  <c r="AF1635" i="20"/>
  <c r="AE1635" i="20" s="1"/>
  <c r="AF1636" i="20"/>
  <c r="AF1637" i="20"/>
  <c r="AE1637" i="20" s="1"/>
  <c r="AF1638" i="20"/>
  <c r="AE1638" i="20" s="1"/>
  <c r="AF1639" i="20"/>
  <c r="AF1640" i="20"/>
  <c r="AE1640" i="20" s="1"/>
  <c r="AF1641" i="20"/>
  <c r="AF1642" i="20"/>
  <c r="AF1643" i="20"/>
  <c r="AE1643" i="20" s="1"/>
  <c r="AF1644" i="20"/>
  <c r="AF1645" i="20"/>
  <c r="AE1645" i="20" s="1"/>
  <c r="AF1646" i="20"/>
  <c r="AE1646" i="20" s="1"/>
  <c r="AF1647" i="20"/>
  <c r="AF1648" i="20"/>
  <c r="AE1648" i="20" s="1"/>
  <c r="AF1649" i="20"/>
  <c r="AE1649" i="20" s="1"/>
  <c r="AF1650" i="20"/>
  <c r="AE1650" i="20" s="1"/>
  <c r="AF1651" i="20"/>
  <c r="AE1651" i="20" s="1"/>
  <c r="AF1652" i="20"/>
  <c r="AF1653" i="20"/>
  <c r="AE1653" i="20" s="1"/>
  <c r="AF1654" i="20"/>
  <c r="AE1654" i="20" s="1"/>
  <c r="AF1655" i="20"/>
  <c r="AG1655" i="20" s="1"/>
  <c r="AH1655" i="20" s="1"/>
  <c r="AF1656" i="20"/>
  <c r="AE1656" i="20" s="1"/>
  <c r="AF1657" i="20"/>
  <c r="AE1657" i="20" s="1"/>
  <c r="AF1658" i="20"/>
  <c r="AE1658" i="20" s="1"/>
  <c r="AF1659" i="20"/>
  <c r="AF1660" i="20"/>
  <c r="AF1661" i="20"/>
  <c r="AE1661" i="20" s="1"/>
  <c r="AF1662" i="20"/>
  <c r="AE1662" i="20" s="1"/>
  <c r="AF1663" i="20"/>
  <c r="AF1664" i="20"/>
  <c r="AE1664" i="20" s="1"/>
  <c r="AF1665" i="20"/>
  <c r="AF1666" i="20"/>
  <c r="AE1666" i="20" s="1"/>
  <c r="AF1667" i="20"/>
  <c r="AE1667" i="20" s="1"/>
  <c r="AF1668" i="20"/>
  <c r="AF1669" i="20"/>
  <c r="AE1669" i="20" s="1"/>
  <c r="AF1670" i="20"/>
  <c r="AE1670" i="20" s="1"/>
  <c r="AF1671" i="20"/>
  <c r="AF1672" i="20"/>
  <c r="AE1672" i="20" s="1"/>
  <c r="AF1673" i="20"/>
  <c r="AE1673" i="20" s="1"/>
  <c r="AF1674" i="20"/>
  <c r="AE1674" i="20" s="1"/>
  <c r="AF1675" i="20"/>
  <c r="AE1675" i="20" s="1"/>
  <c r="AF1676" i="20"/>
  <c r="AF1677" i="20"/>
  <c r="AE1677" i="20" s="1"/>
  <c r="AF1678" i="20"/>
  <c r="AE1678" i="20" s="1"/>
  <c r="AF1679" i="20"/>
  <c r="AF1680" i="20"/>
  <c r="AE1680" i="20" s="1"/>
  <c r="AF1681" i="20"/>
  <c r="AE1681" i="20" s="1"/>
  <c r="AF1682" i="20"/>
  <c r="AE1682" i="20" s="1"/>
  <c r="AF1683" i="20"/>
  <c r="AF1684" i="20"/>
  <c r="AF1685" i="20"/>
  <c r="AE1685" i="20" s="1"/>
  <c r="AF1686" i="20"/>
  <c r="AE1686" i="20" s="1"/>
  <c r="AF1687" i="20"/>
  <c r="AF1688" i="20"/>
  <c r="AE1688" i="20" s="1"/>
  <c r="AF1689" i="20"/>
  <c r="AE1689" i="20" s="1"/>
  <c r="AF1690" i="20"/>
  <c r="AE1690" i="20" s="1"/>
  <c r="AF1691" i="20"/>
  <c r="AE1691" i="20" s="1"/>
  <c r="AF1692" i="20"/>
  <c r="AF1693" i="20"/>
  <c r="AE1693" i="20" s="1"/>
  <c r="AF1694" i="20"/>
  <c r="AE1694" i="20" s="1"/>
  <c r="AF1695" i="20"/>
  <c r="AE1695" i="20" s="1"/>
  <c r="AF1696" i="20"/>
  <c r="AE1696" i="20" s="1"/>
  <c r="AF1697" i="20"/>
  <c r="AE1697" i="20" s="1"/>
  <c r="AF1698" i="20"/>
  <c r="AE1698" i="20" s="1"/>
  <c r="AF1699" i="20"/>
  <c r="AE1699" i="20" s="1"/>
  <c r="AF1700" i="20"/>
  <c r="AG1700" i="20" s="1"/>
  <c r="AF1701" i="20"/>
  <c r="AE1701" i="20" s="1"/>
  <c r="AF1702" i="20"/>
  <c r="AE1702" i="20" s="1"/>
  <c r="AF1703" i="20"/>
  <c r="AF1704" i="20"/>
  <c r="AF1705" i="20"/>
  <c r="AF1706" i="20"/>
  <c r="AE1706" i="20" s="1"/>
  <c r="AF1707" i="20"/>
  <c r="AE1707" i="20" s="1"/>
  <c r="AF1708" i="20"/>
  <c r="AF1709" i="20"/>
  <c r="AE1709" i="20" s="1"/>
  <c r="AF1710" i="20"/>
  <c r="AE1710" i="20" s="1"/>
  <c r="AF1711" i="20"/>
  <c r="AF1712" i="20"/>
  <c r="AF1713" i="20"/>
  <c r="AE1713" i="20" s="1"/>
  <c r="AF1714" i="20"/>
  <c r="AE1714" i="20" s="1"/>
  <c r="AF1715" i="20"/>
  <c r="AE1715" i="20" s="1"/>
  <c r="AF1716" i="20"/>
  <c r="AF1717" i="20"/>
  <c r="AE1717" i="20" s="1"/>
  <c r="AF1718" i="20"/>
  <c r="AE1718" i="20" s="1"/>
  <c r="AF1719" i="20"/>
  <c r="AF1720" i="20"/>
  <c r="AE1720" i="20" s="1"/>
  <c r="AF1721" i="20"/>
  <c r="AE1721" i="20" s="1"/>
  <c r="AF1722" i="20"/>
  <c r="AE1722" i="20" s="1"/>
  <c r="AF1723" i="20"/>
  <c r="AF1724" i="20"/>
  <c r="AF1725" i="20"/>
  <c r="AE1725" i="20" s="1"/>
  <c r="AF1726" i="20"/>
  <c r="AE1726" i="20" s="1"/>
  <c r="AF1727" i="20"/>
  <c r="AF1728" i="20"/>
  <c r="AF1729" i="20"/>
  <c r="AE1729" i="20" s="1"/>
  <c r="AF1730" i="20"/>
  <c r="AE1730" i="20" s="1"/>
  <c r="AF1731" i="20"/>
  <c r="AE1731" i="20" s="1"/>
  <c r="AF1732" i="20"/>
  <c r="AG1732" i="20" s="1"/>
  <c r="AF1733" i="20"/>
  <c r="AE1733" i="20" s="1"/>
  <c r="AF1734" i="20"/>
  <c r="AE1734" i="20" s="1"/>
  <c r="AF1735" i="20"/>
  <c r="AF1736" i="20"/>
  <c r="AF1737" i="20"/>
  <c r="AE1737" i="20" s="1"/>
  <c r="AF1738" i="20"/>
  <c r="AE1738" i="20" s="1"/>
  <c r="AF1739" i="20"/>
  <c r="AE1739" i="20" s="1"/>
  <c r="AF1740" i="20"/>
  <c r="AF1741" i="20"/>
  <c r="AE1741" i="20" s="1"/>
  <c r="AF1742" i="20"/>
  <c r="AE1742" i="20" s="1"/>
  <c r="AF1743" i="20"/>
  <c r="AF1744" i="20"/>
  <c r="AE1744" i="20" s="1"/>
  <c r="AF1745" i="20"/>
  <c r="AE1745" i="20" s="1"/>
  <c r="AF1746" i="20"/>
  <c r="AE1746" i="20" s="1"/>
  <c r="AF1747" i="20"/>
  <c r="AE1747" i="20" s="1"/>
  <c r="AF1748" i="20"/>
  <c r="AF1749" i="20"/>
  <c r="AE1749" i="20" s="1"/>
  <c r="AF1750" i="20"/>
  <c r="AE1750" i="20" s="1"/>
  <c r="AF1751" i="20"/>
  <c r="AF1752" i="20"/>
  <c r="AE1752" i="20" s="1"/>
  <c r="AF1753" i="20"/>
  <c r="AE1753" i="20" s="1"/>
  <c r="AF1754" i="20"/>
  <c r="AE1754" i="20" s="1"/>
  <c r="AF1755" i="20"/>
  <c r="AE1755" i="20" s="1"/>
  <c r="AF1756" i="20"/>
  <c r="AF1757" i="20"/>
  <c r="AE1757" i="20" s="1"/>
  <c r="AF1758" i="20"/>
  <c r="AE1758" i="20" s="1"/>
  <c r="AF1759" i="20"/>
  <c r="AF1760" i="20"/>
  <c r="AF1761" i="20"/>
  <c r="AE1761" i="20" s="1"/>
  <c r="AF1762" i="20"/>
  <c r="AE1762" i="20" s="1"/>
  <c r="AF1763" i="20"/>
  <c r="AE1763" i="20" s="1"/>
  <c r="AF1764" i="20"/>
  <c r="AF1765" i="20"/>
  <c r="AE1765" i="20" s="1"/>
  <c r="AF1766" i="20"/>
  <c r="AE1766" i="20" s="1"/>
  <c r="AF1767" i="20"/>
  <c r="AF1768" i="20"/>
  <c r="AF1769" i="20"/>
  <c r="AF1770" i="20"/>
  <c r="AE1770" i="20" s="1"/>
  <c r="AF1771" i="20"/>
  <c r="AE1771" i="20" s="1"/>
  <c r="AF1772" i="20"/>
  <c r="AF1773" i="20"/>
  <c r="AE1773" i="20" s="1"/>
  <c r="AF1774" i="20"/>
  <c r="AE1774" i="20" s="1"/>
  <c r="AF1775" i="20"/>
  <c r="AF1776" i="20"/>
  <c r="AE1776" i="20" s="1"/>
  <c r="AF1777" i="20"/>
  <c r="AE1777" i="20" s="1"/>
  <c r="AF1778" i="20"/>
  <c r="AE1778" i="20" s="1"/>
  <c r="AF1779" i="20"/>
  <c r="AE1779" i="20" s="1"/>
  <c r="AF1780" i="20"/>
  <c r="AF1781" i="20"/>
  <c r="AE1781" i="20" s="1"/>
  <c r="AF1782" i="20"/>
  <c r="AE1782" i="20" s="1"/>
  <c r="AF1783" i="20"/>
  <c r="AF1784" i="20"/>
  <c r="AE1784" i="20" s="1"/>
  <c r="AF1785" i="20"/>
  <c r="AE1785" i="20" s="1"/>
  <c r="AF1786" i="20"/>
  <c r="AE1786" i="20" s="1"/>
  <c r="AF1787" i="20"/>
  <c r="AF1788" i="20"/>
  <c r="AF1789" i="20"/>
  <c r="AE1789" i="20" s="1"/>
  <c r="AF1790" i="20"/>
  <c r="AE1790" i="20" s="1"/>
  <c r="AF1791" i="20"/>
  <c r="AF1792" i="20"/>
  <c r="AF1793" i="20"/>
  <c r="AE1793" i="20" s="1"/>
  <c r="AF1794" i="20"/>
  <c r="AE1794" i="20" s="1"/>
  <c r="AF1795" i="20"/>
  <c r="AE1795" i="20" s="1"/>
  <c r="AF1796" i="20"/>
  <c r="AF1797" i="20"/>
  <c r="AE1797" i="20" s="1"/>
  <c r="AF1798" i="20"/>
  <c r="AE1798" i="20" s="1"/>
  <c r="AF1799" i="20"/>
  <c r="AF1800" i="20"/>
  <c r="AE1800" i="20" s="1"/>
  <c r="AF1801" i="20"/>
  <c r="AE1801" i="20" s="1"/>
  <c r="AF1802" i="20"/>
  <c r="AE1802" i="20" s="1"/>
  <c r="AF1803" i="20"/>
  <c r="AE1803" i="20" s="1"/>
  <c r="AF1804" i="20"/>
  <c r="AF1805" i="20"/>
  <c r="AE1805" i="20" s="1"/>
  <c r="AF1806" i="20"/>
  <c r="AE1806" i="20" s="1"/>
  <c r="AF1807" i="20"/>
  <c r="AF1808" i="20"/>
  <c r="AE1808" i="20" s="1"/>
  <c r="AF1809" i="20"/>
  <c r="AE1809" i="20" s="1"/>
  <c r="AF1810" i="20"/>
  <c r="AE1810" i="20" s="1"/>
  <c r="AF1811" i="20"/>
  <c r="AE1811" i="20" s="1"/>
  <c r="AF1812" i="20"/>
  <c r="AF1813" i="20"/>
  <c r="AE1813" i="20" s="1"/>
  <c r="AF1814" i="20"/>
  <c r="AE1814" i="20" s="1"/>
  <c r="AF1815" i="20"/>
  <c r="AF1816" i="20"/>
  <c r="AF1817" i="20"/>
  <c r="AE1817" i="20" s="1"/>
  <c r="AF1818" i="20"/>
  <c r="AE1818" i="20" s="1"/>
  <c r="AF1819" i="20"/>
  <c r="AE1819" i="20" s="1"/>
  <c r="AF1820" i="20"/>
  <c r="AF1821" i="20"/>
  <c r="AE1821" i="20" s="1"/>
  <c r="AF1822" i="20"/>
  <c r="AE1822" i="20" s="1"/>
  <c r="AF1823" i="20"/>
  <c r="AF1824" i="20"/>
  <c r="AF1825" i="20"/>
  <c r="AE1825" i="20" s="1"/>
  <c r="AF1826" i="20"/>
  <c r="AE1826" i="20" s="1"/>
  <c r="AF1827" i="20"/>
  <c r="AE1827" i="20" s="1"/>
  <c r="AF1828" i="20"/>
  <c r="AF1829" i="20"/>
  <c r="AE1829" i="20" s="1"/>
  <c r="AF1830" i="20"/>
  <c r="AE1830" i="20" s="1"/>
  <c r="AF1831" i="20"/>
  <c r="AF1832" i="20"/>
  <c r="AE1832" i="20" s="1"/>
  <c r="AF1833" i="20"/>
  <c r="AF1834" i="20"/>
  <c r="AE1834" i="20" s="1"/>
  <c r="AF1835" i="20"/>
  <c r="AE1835" i="20" s="1"/>
  <c r="AF1836" i="20"/>
  <c r="AF1837" i="20"/>
  <c r="AE1837" i="20" s="1"/>
  <c r="AF1838" i="20"/>
  <c r="AE1838" i="20" s="1"/>
  <c r="AF1839" i="20"/>
  <c r="AF1840" i="20"/>
  <c r="AE1840" i="20" s="1"/>
  <c r="AF1841" i="20"/>
  <c r="AE1841" i="20" s="1"/>
  <c r="AF1842" i="20"/>
  <c r="AE1842" i="20" s="1"/>
  <c r="AF1843" i="20"/>
  <c r="AE1843" i="20" s="1"/>
  <c r="AF1844" i="20"/>
  <c r="AF1845" i="20"/>
  <c r="AE1845" i="20" s="1"/>
  <c r="AF1846" i="20"/>
  <c r="AE1846" i="20" s="1"/>
  <c r="AF1847" i="20"/>
  <c r="AF1848" i="20"/>
  <c r="AE1848" i="20" s="1"/>
  <c r="AF1849" i="20"/>
  <c r="AE1849" i="20" s="1"/>
  <c r="AF1850" i="20"/>
  <c r="AE1850" i="20" s="1"/>
  <c r="AF1851" i="20"/>
  <c r="AF1852" i="20"/>
  <c r="AF1853" i="20"/>
  <c r="AE1853" i="20" s="1"/>
  <c r="AF1854" i="20"/>
  <c r="AE1854" i="20" s="1"/>
  <c r="AF1855" i="20"/>
  <c r="AF1856" i="20"/>
  <c r="AE1856" i="20" s="1"/>
  <c r="AF1857" i="20"/>
  <c r="AE1857" i="20" s="1"/>
  <c r="AF1858" i="20"/>
  <c r="AE1858" i="20" s="1"/>
  <c r="AF1859" i="20"/>
  <c r="AE1859" i="20" s="1"/>
  <c r="AF1860" i="20"/>
  <c r="AF1861" i="20"/>
  <c r="AE1861" i="20" s="1"/>
  <c r="AF1862" i="20"/>
  <c r="AE1862" i="20" s="1"/>
  <c r="AF1863" i="20"/>
  <c r="AF1864" i="20"/>
  <c r="AE1864" i="20" s="1"/>
  <c r="AF1865" i="20"/>
  <c r="AE1865" i="20" s="1"/>
  <c r="AF1866" i="20"/>
  <c r="AE1866" i="20" s="1"/>
  <c r="AF1867" i="20"/>
  <c r="AE1867" i="20" s="1"/>
  <c r="AF1868" i="20"/>
  <c r="AF1869" i="20"/>
  <c r="AE1869" i="20" s="1"/>
  <c r="AF1870" i="20"/>
  <c r="AE1870" i="20" s="1"/>
  <c r="AF1871" i="20"/>
  <c r="AF1872" i="20"/>
  <c r="AF1873" i="20"/>
  <c r="AE1873" i="20" s="1"/>
  <c r="AF1874" i="20"/>
  <c r="AE1874" i="20" s="1"/>
  <c r="AF1875" i="20"/>
  <c r="AE1875" i="20" s="1"/>
  <c r="AF1876" i="20"/>
  <c r="AF1877" i="20"/>
  <c r="AE1877" i="20" s="1"/>
  <c r="AF1878" i="20"/>
  <c r="AE1878" i="20" s="1"/>
  <c r="AF1879" i="20"/>
  <c r="AF1880" i="20"/>
  <c r="AF1881" i="20"/>
  <c r="AE1881" i="20" s="1"/>
  <c r="AF1882" i="20"/>
  <c r="AE1882" i="20" s="1"/>
  <c r="AF1883" i="20"/>
  <c r="AE1883" i="20" s="1"/>
  <c r="AF1884" i="20"/>
  <c r="AF1885" i="20"/>
  <c r="AE1885" i="20" s="1"/>
  <c r="AF1886" i="20"/>
  <c r="AE1886" i="20" s="1"/>
  <c r="AF1887" i="20"/>
  <c r="AF1888" i="20"/>
  <c r="AE1888" i="20" s="1"/>
  <c r="AF1889" i="20"/>
  <c r="AE1889" i="20" s="1"/>
  <c r="AF1890" i="20"/>
  <c r="AE1890" i="20" s="1"/>
  <c r="AF1891" i="20"/>
  <c r="AE1891" i="20" s="1"/>
  <c r="AF1892" i="20"/>
  <c r="AF1893" i="20"/>
  <c r="AE1893" i="20" s="1"/>
  <c r="AF1894" i="20"/>
  <c r="AE1894" i="20" s="1"/>
  <c r="AF1895" i="20"/>
  <c r="AF1896" i="20"/>
  <c r="AE1896" i="20" s="1"/>
  <c r="AF1897" i="20"/>
  <c r="AF1898" i="20"/>
  <c r="AE1898" i="20" s="1"/>
  <c r="AF1899" i="20"/>
  <c r="AE1899" i="20" s="1"/>
  <c r="AF1900" i="20"/>
  <c r="AF1901" i="20"/>
  <c r="AE1901" i="20" s="1"/>
  <c r="AF1902" i="20"/>
  <c r="AE1902" i="20" s="1"/>
  <c r="AF1903" i="20"/>
  <c r="AF1904" i="20"/>
  <c r="AF1905" i="20"/>
  <c r="AE1905" i="20" s="1"/>
  <c r="AF1906" i="20"/>
  <c r="AE1906" i="20" s="1"/>
  <c r="AF1907" i="20"/>
  <c r="AE1907" i="20" s="1"/>
  <c r="AF1908" i="20"/>
  <c r="AG1908" i="20" s="1"/>
  <c r="AF1909" i="20"/>
  <c r="AE1909" i="20" s="1"/>
  <c r="AF1910" i="20"/>
  <c r="AE1910" i="20" s="1"/>
  <c r="AF1911" i="20"/>
  <c r="AF1912" i="20"/>
  <c r="AE1912" i="20" s="1"/>
  <c r="AF1913" i="20"/>
  <c r="AE1913" i="20" s="1"/>
  <c r="AF1914" i="20"/>
  <c r="AE1914" i="20" s="1"/>
  <c r="AF1915" i="20"/>
  <c r="AF1916" i="20"/>
  <c r="AF1917" i="20"/>
  <c r="AE1917" i="20" s="1"/>
  <c r="AF1918" i="20"/>
  <c r="AE1918" i="20" s="1"/>
  <c r="AF1919" i="20"/>
  <c r="AF1920" i="20"/>
  <c r="AE1920" i="20" s="1"/>
  <c r="AF1921" i="20"/>
  <c r="AE1921" i="20" s="1"/>
  <c r="AF1922" i="20"/>
  <c r="AE1922" i="20" s="1"/>
  <c r="AF1923" i="20"/>
  <c r="AE1923" i="20" s="1"/>
  <c r="AF1924" i="20"/>
  <c r="AF1925" i="20"/>
  <c r="AE1925" i="20" s="1"/>
  <c r="AF1926" i="20"/>
  <c r="AE1926" i="20" s="1"/>
  <c r="AF1927" i="20"/>
  <c r="AF1928" i="20"/>
  <c r="AE1928" i="20" s="1"/>
  <c r="AF1929" i="20"/>
  <c r="AE1929" i="20" s="1"/>
  <c r="AF1930" i="20"/>
  <c r="AE1930" i="20" s="1"/>
  <c r="AF1931" i="20"/>
  <c r="AE1931" i="20" s="1"/>
  <c r="AF1932" i="20"/>
  <c r="AF1933" i="20"/>
  <c r="AE1933" i="20" s="1"/>
  <c r="AF1934" i="20"/>
  <c r="AE1934" i="20" s="1"/>
  <c r="AF1935" i="20"/>
  <c r="AF1936" i="20"/>
  <c r="AG1936" i="20" s="1"/>
  <c r="AF1937" i="20"/>
  <c r="AE1937" i="20" s="1"/>
  <c r="AF1938" i="20"/>
  <c r="AE1938" i="20" s="1"/>
  <c r="AF1939" i="20"/>
  <c r="AE1939" i="20" s="1"/>
  <c r="AF1940" i="20"/>
  <c r="AF1941" i="20"/>
  <c r="AE1941" i="20" s="1"/>
  <c r="AF1942" i="20"/>
  <c r="AE1942" i="20" s="1"/>
  <c r="AF1943" i="20"/>
  <c r="AF1944" i="20"/>
  <c r="AE1944" i="20" s="1"/>
  <c r="AF1945" i="20"/>
  <c r="AE1945" i="20" s="1"/>
  <c r="AF1946" i="20"/>
  <c r="AE1946" i="20" s="1"/>
  <c r="AF1947" i="20"/>
  <c r="AE1947" i="20" s="1"/>
  <c r="AF1948" i="20"/>
  <c r="AF1949" i="20"/>
  <c r="AE1949" i="20" s="1"/>
  <c r="AF1950" i="20"/>
  <c r="AE1950" i="20" s="1"/>
  <c r="AF1951" i="20"/>
  <c r="AF1952" i="20"/>
  <c r="AE1952" i="20" s="1"/>
  <c r="AF1953" i="20"/>
  <c r="AE1953" i="20" s="1"/>
  <c r="AF1954" i="20"/>
  <c r="AE1954" i="20" s="1"/>
  <c r="AF1955" i="20"/>
  <c r="AE1955" i="20" s="1"/>
  <c r="AF1956" i="20"/>
  <c r="AF1957" i="20"/>
  <c r="AE1957" i="20" s="1"/>
  <c r="AF1958" i="20"/>
  <c r="AF1959" i="20"/>
  <c r="AF1960" i="20"/>
  <c r="AE1960" i="20" s="1"/>
  <c r="AF1961" i="20"/>
  <c r="AF1962" i="20"/>
  <c r="AE1962" i="20" s="1"/>
  <c r="AF1963" i="20"/>
  <c r="AE1963" i="20" s="1"/>
  <c r="AF1964" i="20"/>
  <c r="AG1964" i="20" s="1"/>
  <c r="AF1965" i="20"/>
  <c r="AE1965" i="20" s="1"/>
  <c r="AF1966" i="20"/>
  <c r="AE1966" i="20" s="1"/>
  <c r="AF1967" i="20"/>
  <c r="AF1968" i="20"/>
  <c r="AE1968" i="20" s="1"/>
  <c r="AF1969" i="20"/>
  <c r="AE1969" i="20" s="1"/>
  <c r="AF1970" i="20"/>
  <c r="AE1970" i="20" s="1"/>
  <c r="AF1971" i="20"/>
  <c r="AE1971" i="20" s="1"/>
  <c r="AF1972" i="20"/>
  <c r="AF1973" i="20"/>
  <c r="AE1973" i="20" s="1"/>
  <c r="AF1974" i="20"/>
  <c r="AF1975" i="20"/>
  <c r="AF1976" i="20"/>
  <c r="AE1976" i="20" s="1"/>
  <c r="AF1977" i="20"/>
  <c r="AE1977" i="20" s="1"/>
  <c r="AF1978" i="20"/>
  <c r="AE1978" i="20" s="1"/>
  <c r="AF1979" i="20"/>
  <c r="AF1980" i="20"/>
  <c r="AF1981" i="20"/>
  <c r="AE1981" i="20" s="1"/>
  <c r="AF1982" i="20"/>
  <c r="AF1983" i="20"/>
  <c r="AF1984" i="20"/>
  <c r="AF1985" i="20"/>
  <c r="AE1985" i="20" s="1"/>
  <c r="AF1986" i="20"/>
  <c r="AE1986" i="20" s="1"/>
  <c r="AF1987" i="20"/>
  <c r="AE1987" i="20" s="1"/>
  <c r="AF1988" i="20"/>
  <c r="AF1989" i="20"/>
  <c r="AE1989" i="20" s="1"/>
  <c r="AF1990" i="20"/>
  <c r="AE1990" i="20" s="1"/>
  <c r="AF1991" i="20"/>
  <c r="AF1992" i="20"/>
  <c r="AE1992" i="20" s="1"/>
  <c r="AF1993" i="20"/>
  <c r="AE1993" i="20" s="1"/>
  <c r="AF1994" i="20"/>
  <c r="AE1994" i="20" s="1"/>
  <c r="AF1995" i="20"/>
  <c r="AE1995" i="20" s="1"/>
  <c r="AF1996" i="20"/>
  <c r="AF1997" i="20"/>
  <c r="AF1998" i="20"/>
  <c r="AE1998" i="20" s="1"/>
  <c r="AF1999" i="20"/>
  <c r="AF2000" i="20"/>
  <c r="AE2000" i="20" s="1"/>
  <c r="AF2001" i="20"/>
  <c r="AE2001" i="20" s="1"/>
  <c r="AF2002" i="20"/>
  <c r="AE2002" i="20" s="1"/>
  <c r="AF2003" i="20"/>
  <c r="AE2003" i="20" s="1"/>
  <c r="AF2004" i="20"/>
  <c r="AF2005" i="20"/>
  <c r="AF2006" i="20"/>
  <c r="AE2006" i="20" s="1"/>
  <c r="AF2007" i="20"/>
  <c r="AF2008" i="20"/>
  <c r="AF2009" i="20"/>
  <c r="AE2009" i="20" s="1"/>
  <c r="AF2010" i="20"/>
  <c r="AE2010" i="20" s="1"/>
  <c r="AF2011" i="20"/>
  <c r="AE2011" i="20" s="1"/>
  <c r="AF2012" i="20"/>
  <c r="AF2013" i="20"/>
  <c r="AE2013" i="20" s="1"/>
  <c r="AF2014" i="20"/>
  <c r="AF2015" i="20"/>
  <c r="AG2015" i="20" s="1"/>
  <c r="AH2015" i="20" s="1"/>
  <c r="AF2016" i="20"/>
  <c r="AF2017" i="20"/>
  <c r="AE2017" i="20" s="1"/>
  <c r="AF2018" i="20"/>
  <c r="AE2018" i="20" s="1"/>
  <c r="AF2019" i="20"/>
  <c r="AE2019" i="20" s="1"/>
  <c r="AF2020" i="20"/>
  <c r="AF2021" i="20"/>
  <c r="AE2021" i="20" s="1"/>
  <c r="AF2022" i="20"/>
  <c r="AE2022" i="20" s="1"/>
  <c r="AF2023" i="20"/>
  <c r="AF2024" i="20"/>
  <c r="AE2024" i="20" s="1"/>
  <c r="AF2025" i="20"/>
  <c r="AG2025" i="20" s="1"/>
  <c r="AF2026" i="20"/>
  <c r="AE2026" i="20" s="1"/>
  <c r="AF2027" i="20"/>
  <c r="AE2027" i="20" s="1"/>
  <c r="AF2028" i="20"/>
  <c r="AF2029" i="20"/>
  <c r="AF2030" i="20"/>
  <c r="AE2030" i="20" s="1"/>
  <c r="AF2031" i="20"/>
  <c r="AF2032" i="20"/>
  <c r="AF2033" i="20"/>
  <c r="AE2033" i="20" s="1"/>
  <c r="AF2034" i="20"/>
  <c r="AE2034" i="20" s="1"/>
  <c r="AF2035" i="20"/>
  <c r="AE2035" i="20" s="1"/>
  <c r="AF2036" i="20"/>
  <c r="AF2037" i="20"/>
  <c r="AE2037" i="20" s="1"/>
  <c r="AF2038" i="20"/>
  <c r="AF2039" i="20"/>
  <c r="AF2040" i="20"/>
  <c r="AF2041" i="20"/>
  <c r="AE2041" i="20" s="1"/>
  <c r="AF2042" i="20"/>
  <c r="AE2042" i="20" s="1"/>
  <c r="AF2043" i="20"/>
  <c r="AF2044" i="20"/>
  <c r="AF2045" i="20"/>
  <c r="AF2046" i="20"/>
  <c r="AE2046" i="20" s="1"/>
  <c r="AF2047" i="20"/>
  <c r="AF2048" i="20"/>
  <c r="AE2048" i="20" s="1"/>
  <c r="AF2049" i="20"/>
  <c r="AE2049" i="20" s="1"/>
  <c r="AF2050" i="20"/>
  <c r="AE2050" i="20" s="1"/>
  <c r="AF2051" i="20"/>
  <c r="AE2051" i="20" s="1"/>
  <c r="AF2052" i="20"/>
  <c r="AF2053" i="20"/>
  <c r="AE2053" i="20" s="1"/>
  <c r="AF2054" i="20"/>
  <c r="AF2055" i="20"/>
  <c r="AF2056" i="20"/>
  <c r="AE2056" i="20" s="1"/>
  <c r="AF2057" i="20"/>
  <c r="AE2057" i="20" s="1"/>
  <c r="AF2058" i="20"/>
  <c r="AE2058" i="20" s="1"/>
  <c r="AF2059" i="20"/>
  <c r="AE2059" i="20" s="1"/>
  <c r="AF2060" i="20"/>
  <c r="AF2061" i="20"/>
  <c r="AE2061" i="20" s="1"/>
  <c r="AF2062" i="20"/>
  <c r="AF2063" i="20"/>
  <c r="AF2064" i="20"/>
  <c r="AF2065" i="20"/>
  <c r="AE2065" i="20" s="1"/>
  <c r="AF2066" i="20"/>
  <c r="AE2066" i="20" s="1"/>
  <c r="AF2067" i="20"/>
  <c r="AE2067" i="20" s="1"/>
  <c r="AF2068" i="20"/>
  <c r="AF2069" i="20"/>
  <c r="AE2069" i="20" s="1"/>
  <c r="AF2070" i="20"/>
  <c r="AE2070" i="20" s="1"/>
  <c r="AF2071" i="20"/>
  <c r="AF2072" i="20"/>
  <c r="AE2072" i="20" s="1"/>
  <c r="AF2073" i="20"/>
  <c r="AE2073" i="20" s="1"/>
  <c r="AF2074" i="20"/>
  <c r="AE2074" i="20" s="1"/>
  <c r="AF2075" i="20"/>
  <c r="AE2075" i="20" s="1"/>
  <c r="AF2076" i="20"/>
  <c r="AF2077" i="20"/>
  <c r="AF2078" i="20"/>
  <c r="AF2079" i="20"/>
  <c r="AF2080" i="20"/>
  <c r="AE2080" i="20" s="1"/>
  <c r="AF2081" i="20"/>
  <c r="AE2081" i="20" s="1"/>
  <c r="AF2082" i="20"/>
  <c r="AE2082" i="20" s="1"/>
  <c r="AF2083" i="20"/>
  <c r="AE2083" i="20" s="1"/>
  <c r="AF2084" i="20"/>
  <c r="AF2085" i="20"/>
  <c r="AF2086" i="20"/>
  <c r="AF2087" i="20"/>
  <c r="AF2088" i="20"/>
  <c r="AE2088" i="20" s="1"/>
  <c r="AF2089" i="20"/>
  <c r="AF2090" i="20"/>
  <c r="AE2090" i="20" s="1"/>
  <c r="AF2091" i="20"/>
  <c r="AE2091" i="20" s="1"/>
  <c r="AF2092" i="20"/>
  <c r="AF2093" i="20"/>
  <c r="AF2094" i="20"/>
  <c r="AE2094" i="20" s="1"/>
  <c r="AF2095" i="20"/>
  <c r="AF2096" i="20"/>
  <c r="AE2096" i="20" s="1"/>
  <c r="AF2097" i="20"/>
  <c r="AE2097" i="20" s="1"/>
  <c r="AF2098" i="20"/>
  <c r="AE2098" i="20" s="1"/>
  <c r="AF2099" i="20"/>
  <c r="AE2099" i="20" s="1"/>
  <c r="AF2100" i="20"/>
  <c r="AF2101" i="20"/>
  <c r="AF2102" i="20"/>
  <c r="AE2102" i="20" s="1"/>
  <c r="AF2103" i="20"/>
  <c r="AF2104" i="20"/>
  <c r="AF2105" i="20"/>
  <c r="AE2105" i="20" s="1"/>
  <c r="AF2106" i="20"/>
  <c r="AE2106" i="20" s="1"/>
  <c r="AF2107" i="20"/>
  <c r="AF2108" i="20"/>
  <c r="AF2109" i="20"/>
  <c r="AF2110" i="20"/>
  <c r="AF2111" i="20"/>
  <c r="AF2112" i="20"/>
  <c r="AE2112" i="20" s="1"/>
  <c r="AF2113" i="20"/>
  <c r="AE2113" i="20" s="1"/>
  <c r="AF2114" i="20"/>
  <c r="AE2114" i="20" s="1"/>
  <c r="AF2115" i="20"/>
  <c r="AE2115" i="20" s="1"/>
  <c r="AF2116" i="20"/>
  <c r="AF2117" i="20"/>
  <c r="AE2117" i="20" s="1"/>
  <c r="AF2118" i="20"/>
  <c r="AE2118" i="20" s="1"/>
  <c r="AF2119" i="20"/>
  <c r="AF2120" i="20"/>
  <c r="AF2121" i="20"/>
  <c r="AE2121" i="20" s="1"/>
  <c r="AF2122" i="20"/>
  <c r="AE2122" i="20" s="1"/>
  <c r="AF2123" i="20"/>
  <c r="AE2123" i="20" s="1"/>
  <c r="AF2124" i="20"/>
  <c r="AG2124" i="20" s="1"/>
  <c r="AF2125" i="20"/>
  <c r="AF2126" i="20"/>
  <c r="AE2126" i="20" s="1"/>
  <c r="AF2127" i="20"/>
  <c r="AF2128" i="20"/>
  <c r="AE2128" i="20" s="1"/>
  <c r="AF2129" i="20"/>
  <c r="AE2129" i="20" s="1"/>
  <c r="AF2130" i="20"/>
  <c r="AE2130" i="20" s="1"/>
  <c r="AF2131" i="20"/>
  <c r="AE2131" i="20" s="1"/>
  <c r="AF2132" i="20"/>
  <c r="AF2133" i="20"/>
  <c r="AF2134" i="20"/>
  <c r="AE2134" i="20" s="1"/>
  <c r="AF2135" i="20"/>
  <c r="AF2136" i="20"/>
  <c r="AF2137" i="20"/>
  <c r="AE2137" i="20" s="1"/>
  <c r="AF2138" i="20"/>
  <c r="AE2138" i="20" s="1"/>
  <c r="AF2139" i="20"/>
  <c r="AE2139" i="20" s="1"/>
  <c r="AF2140" i="20"/>
  <c r="AF2141" i="20"/>
  <c r="AE2141" i="20" s="1"/>
  <c r="AF2142" i="20"/>
  <c r="AE2142" i="20" s="1"/>
  <c r="AF2143" i="20"/>
  <c r="AF2144" i="20"/>
  <c r="AF2145" i="20"/>
  <c r="AE2145" i="20" s="1"/>
  <c r="AF2146" i="20"/>
  <c r="AE2146" i="20" s="1"/>
  <c r="AF2147" i="20"/>
  <c r="AE2147" i="20" s="1"/>
  <c r="AF2148" i="20"/>
  <c r="AF2149" i="20"/>
  <c r="AE2149" i="20" s="1"/>
  <c r="AF2150" i="20"/>
  <c r="AF2151" i="20"/>
  <c r="AF2152" i="20"/>
  <c r="AE2152" i="20" s="1"/>
  <c r="AF2153" i="20"/>
  <c r="AF2154" i="20"/>
  <c r="AE2154" i="20" s="1"/>
  <c r="AF2155" i="20"/>
  <c r="AE2155" i="20" s="1"/>
  <c r="AF2156" i="20"/>
  <c r="AF2157" i="20"/>
  <c r="AF2158" i="20"/>
  <c r="AE2158" i="20" s="1"/>
  <c r="AF2159" i="20"/>
  <c r="AF2160" i="20"/>
  <c r="AF2161" i="20"/>
  <c r="AE2161" i="20" s="1"/>
  <c r="AF2162" i="20"/>
  <c r="AE2162" i="20" s="1"/>
  <c r="AF2163" i="20"/>
  <c r="AE2163" i="20" s="1"/>
  <c r="AF2164" i="20"/>
  <c r="AF2165" i="20"/>
  <c r="AF2166" i="20"/>
  <c r="AF2167" i="20"/>
  <c r="AF2168" i="20"/>
  <c r="AF2169" i="20"/>
  <c r="AE2169" i="20" s="1"/>
  <c r="AF2170" i="20"/>
  <c r="AE2170" i="20" s="1"/>
  <c r="AF2171" i="20"/>
  <c r="AF2172" i="20"/>
  <c r="AF2173" i="20"/>
  <c r="AE2173" i="20" s="1"/>
  <c r="AF2174" i="20"/>
  <c r="AE2174" i="20" s="1"/>
  <c r="AF2175" i="20"/>
  <c r="AF2176" i="20"/>
  <c r="AE2176" i="20" s="1"/>
  <c r="AF2177" i="20"/>
  <c r="AE2177" i="20" s="1"/>
  <c r="AF2178" i="20"/>
  <c r="AE2178" i="20" s="1"/>
  <c r="AF2179" i="20"/>
  <c r="AE2179" i="20" s="1"/>
  <c r="AF2180" i="20"/>
  <c r="AF2181" i="20"/>
  <c r="AE2181" i="20" s="1"/>
  <c r="AF2182" i="20"/>
  <c r="AF2183" i="20"/>
  <c r="AF2184" i="20"/>
  <c r="AE2184" i="20" s="1"/>
  <c r="AF2185" i="20"/>
  <c r="AE2185" i="20" s="1"/>
  <c r="AF2186" i="20"/>
  <c r="AE2186" i="20" s="1"/>
  <c r="AF2187" i="20"/>
  <c r="AE2187" i="20" s="1"/>
  <c r="AF2188" i="20"/>
  <c r="AF2189" i="20"/>
  <c r="AF2190" i="20"/>
  <c r="AF2191" i="20"/>
  <c r="AF2192" i="20"/>
  <c r="AF2193" i="20"/>
  <c r="AE2193" i="20" s="1"/>
  <c r="AF2194" i="20"/>
  <c r="AE2194" i="20" s="1"/>
  <c r="AF2195" i="20"/>
  <c r="AE2195" i="20" s="1"/>
  <c r="AF2196" i="20"/>
  <c r="AF2197" i="20"/>
  <c r="AE2197" i="20" s="1"/>
  <c r="AF2198" i="20"/>
  <c r="AE2198" i="20" s="1"/>
  <c r="AF2199" i="20"/>
  <c r="AF2200" i="20"/>
  <c r="AE2200" i="20" s="1"/>
  <c r="AF2201" i="20"/>
  <c r="AE2201" i="20" s="1"/>
  <c r="AF2202" i="20"/>
  <c r="AE2202" i="20" s="1"/>
  <c r="AF2203" i="20"/>
  <c r="AE2203" i="20" s="1"/>
  <c r="AF2204" i="20"/>
  <c r="AG2204" i="20" s="1"/>
  <c r="AF2205" i="20"/>
  <c r="AF2206" i="20"/>
  <c r="AE2206" i="20" s="1"/>
  <c r="AF2207" i="20"/>
  <c r="AF2208" i="20"/>
  <c r="AE2208" i="20" s="1"/>
  <c r="AF2209" i="20"/>
  <c r="AE2209" i="20" s="1"/>
  <c r="AF2210" i="20"/>
  <c r="AE2210" i="20" s="1"/>
  <c r="AF2211" i="20"/>
  <c r="AE2211" i="20" s="1"/>
  <c r="AF2212" i="20"/>
  <c r="AF2213" i="20"/>
  <c r="AF2214" i="20"/>
  <c r="AE2214" i="20" s="1"/>
  <c r="AF2215" i="20"/>
  <c r="AF2216" i="20"/>
  <c r="AF2217" i="20"/>
  <c r="AF2218" i="20"/>
  <c r="AE2218" i="20" s="1"/>
  <c r="AF2219" i="20"/>
  <c r="AE2219" i="20" s="1"/>
  <c r="AF2220" i="20"/>
  <c r="AF2221" i="20"/>
  <c r="AE2221" i="20" s="1"/>
  <c r="AF2222" i="20"/>
  <c r="AE2222" i="20" s="1"/>
  <c r="AF2223" i="20"/>
  <c r="AF2224" i="20"/>
  <c r="AE2224" i="20" s="1"/>
  <c r="AF2225" i="20"/>
  <c r="AE2225" i="20" s="1"/>
  <c r="AF2226" i="20"/>
  <c r="AE2226" i="20" s="1"/>
  <c r="AF2227" i="20"/>
  <c r="AE2227" i="20" s="1"/>
  <c r="AF2228" i="20"/>
  <c r="AF2229" i="20"/>
  <c r="AF2230" i="20"/>
  <c r="AE2230" i="20" s="1"/>
  <c r="AF2231" i="20"/>
  <c r="AF2232" i="20"/>
  <c r="AF2233" i="20"/>
  <c r="AE2233" i="20" s="1"/>
  <c r="AF2234" i="20"/>
  <c r="AE2234" i="20" s="1"/>
  <c r="AF2235" i="20"/>
  <c r="AF2236" i="20"/>
  <c r="AF2237" i="20"/>
  <c r="AF2238" i="20"/>
  <c r="AF2239" i="20"/>
  <c r="AF2240" i="20"/>
  <c r="AE2240" i="20" s="1"/>
  <c r="AF2241" i="20"/>
  <c r="AE2241" i="20" s="1"/>
  <c r="AF2242" i="20"/>
  <c r="AE2242" i="20" s="1"/>
  <c r="AF2243" i="20"/>
  <c r="AE2243" i="20" s="1"/>
  <c r="AF2244" i="20"/>
  <c r="AF2245" i="20"/>
  <c r="AE2245" i="20" s="1"/>
  <c r="AF2246" i="20"/>
  <c r="AF2247" i="20"/>
  <c r="AF2248" i="20"/>
  <c r="AE2248" i="20" s="1"/>
  <c r="AF2249" i="20"/>
  <c r="AE2249" i="20" s="1"/>
  <c r="AF2250" i="20"/>
  <c r="AE2250" i="20" s="1"/>
  <c r="AF2251" i="20"/>
  <c r="AE2251" i="20" s="1"/>
  <c r="AF2252" i="20"/>
  <c r="AF2253" i="20"/>
  <c r="AF2254" i="20"/>
  <c r="AE2254" i="20" s="1"/>
  <c r="AF2255" i="20"/>
  <c r="AF2256" i="20"/>
  <c r="AE2256" i="20" s="1"/>
  <c r="AF2257" i="20"/>
  <c r="AE2257" i="20" s="1"/>
  <c r="AF2258" i="20"/>
  <c r="AE2258" i="20" s="1"/>
  <c r="AF2259" i="20"/>
  <c r="AE2259" i="20" s="1"/>
  <c r="AF2260" i="20"/>
  <c r="AG2260" i="20" s="1"/>
  <c r="AF2261" i="20"/>
  <c r="AF2262" i="20"/>
  <c r="AE2262" i="20" s="1"/>
  <c r="AF2263" i="20"/>
  <c r="AF2264" i="20"/>
  <c r="AF2265" i="20"/>
  <c r="AE2265" i="20" s="1"/>
  <c r="AF2266" i="20"/>
  <c r="AE2266" i="20" s="1"/>
  <c r="AF2267" i="20"/>
  <c r="AE2267" i="20" s="1"/>
  <c r="AF2268" i="20"/>
  <c r="AF2269" i="20"/>
  <c r="AE2269" i="20" s="1"/>
  <c r="AF2270" i="20"/>
  <c r="AE2270" i="20" s="1"/>
  <c r="AF2271" i="20"/>
  <c r="AF2272" i="20"/>
  <c r="AE2272" i="20" s="1"/>
  <c r="AF2273" i="20"/>
  <c r="AE2273" i="20" s="1"/>
  <c r="AF2274" i="20"/>
  <c r="AE2274" i="20" s="1"/>
  <c r="AF2275" i="20"/>
  <c r="AF2276" i="20"/>
  <c r="AF2277" i="20"/>
  <c r="AE2277" i="20" s="1"/>
  <c r="AF2278" i="20"/>
  <c r="AG2278" i="20" s="1"/>
  <c r="AF2279" i="20"/>
  <c r="AF2280" i="20"/>
  <c r="AE2280" i="20" s="1"/>
  <c r="AF2281" i="20"/>
  <c r="AF2282" i="20"/>
  <c r="AE2282" i="20" s="1"/>
  <c r="AF2283" i="20"/>
  <c r="AE2283" i="20" s="1"/>
  <c r="AF2284" i="20"/>
  <c r="AF2285" i="20"/>
  <c r="AE2285" i="20" s="1"/>
  <c r="AF2286" i="20"/>
  <c r="AF2287" i="20"/>
  <c r="AF2288" i="20"/>
  <c r="AF2289" i="20"/>
  <c r="AE2289" i="20" s="1"/>
  <c r="AF2290" i="20"/>
  <c r="AE2290" i="20" s="1"/>
  <c r="AF2291" i="20"/>
  <c r="AE2291" i="20" s="1"/>
  <c r="AF2292" i="20"/>
  <c r="AF2293" i="20"/>
  <c r="AF2294" i="20"/>
  <c r="AE2294" i="20" s="1"/>
  <c r="AF2295" i="20"/>
  <c r="AF2296" i="20"/>
  <c r="AE2296" i="20" s="1"/>
  <c r="AF2297" i="20"/>
  <c r="AE2297" i="20" s="1"/>
  <c r="AF2298" i="20"/>
  <c r="AE2298" i="20" s="1"/>
  <c r="AF2299" i="20"/>
  <c r="AF2300" i="20"/>
  <c r="AF2301" i="20"/>
  <c r="AF2302" i="20"/>
  <c r="AF2303" i="20"/>
  <c r="AF2304" i="20"/>
  <c r="AE2304" i="20" s="1"/>
  <c r="AF2305" i="20"/>
  <c r="AE2305" i="20" s="1"/>
  <c r="AF2306" i="20"/>
  <c r="AE2306" i="20" s="1"/>
  <c r="AF2307" i="20"/>
  <c r="AE2307" i="20" s="1"/>
  <c r="AF2308" i="20"/>
  <c r="AF2309" i="20"/>
  <c r="AE2309" i="20" s="1"/>
  <c r="AF2310" i="20"/>
  <c r="AE2310" i="20" s="1"/>
  <c r="AF2311" i="20"/>
  <c r="AF2312" i="20"/>
  <c r="AE2312" i="20" s="1"/>
  <c r="AF2313" i="20"/>
  <c r="AE2313" i="20" s="1"/>
  <c r="AF2314" i="20"/>
  <c r="AE2314" i="20" s="1"/>
  <c r="AF2315" i="20"/>
  <c r="AE2315" i="20" s="1"/>
  <c r="AF2316" i="20"/>
  <c r="AF2317" i="20"/>
  <c r="AE2317" i="20" s="1"/>
  <c r="AF2318" i="20"/>
  <c r="AE2318" i="20" s="1"/>
  <c r="AF2319" i="20"/>
  <c r="AF2320" i="20"/>
  <c r="AF2321" i="20"/>
  <c r="AE2321" i="20" s="1"/>
  <c r="AF2322" i="20"/>
  <c r="AE2322" i="20" s="1"/>
  <c r="AF2323" i="20"/>
  <c r="AE2323" i="20" s="1"/>
  <c r="AF2324" i="20"/>
  <c r="AF2325" i="20"/>
  <c r="AF2326" i="20"/>
  <c r="AE2326" i="20" s="1"/>
  <c r="AF2327" i="20"/>
  <c r="AF2328" i="20"/>
  <c r="AF2329" i="20"/>
  <c r="AE2329" i="20" s="1"/>
  <c r="AF2330" i="20"/>
  <c r="AE2330" i="20" s="1"/>
  <c r="AF2331" i="20"/>
  <c r="AE2331" i="20" s="1"/>
  <c r="AF2332" i="20"/>
  <c r="AG2332" i="20" s="1"/>
  <c r="AF2333" i="20"/>
  <c r="AE2333" i="20" s="1"/>
  <c r="AF2334" i="20"/>
  <c r="AE2334" i="20" s="1"/>
  <c r="AF2335" i="20"/>
  <c r="AF2336" i="20"/>
  <c r="AF2337" i="20"/>
  <c r="AE2337" i="20" s="1"/>
  <c r="AF2338" i="20"/>
  <c r="AE2338" i="20" s="1"/>
  <c r="AF2339" i="20"/>
  <c r="AE2339" i="20" s="1"/>
  <c r="AF2340" i="20"/>
  <c r="AF2341" i="20"/>
  <c r="AF2342" i="20"/>
  <c r="AE2342" i="20" s="1"/>
  <c r="AF2343" i="20"/>
  <c r="AF2344" i="20"/>
  <c r="AE2344" i="20" s="1"/>
  <c r="AF2345" i="20"/>
  <c r="AF2346" i="20"/>
  <c r="AE2346" i="20" s="1"/>
  <c r="AF2347" i="20"/>
  <c r="AE2347" i="20" s="1"/>
  <c r="AF2348" i="20"/>
  <c r="AF2349" i="20"/>
  <c r="AE2349" i="20" s="1"/>
  <c r="AF2350" i="20"/>
  <c r="AE2350" i="20" s="1"/>
  <c r="AF2351" i="20"/>
  <c r="AF2352" i="20"/>
  <c r="AE2352" i="20" s="1"/>
  <c r="AF2353" i="20"/>
  <c r="AE2353" i="20" s="1"/>
  <c r="AF2354" i="20"/>
  <c r="AE2354" i="20" s="1"/>
  <c r="AF2355" i="20"/>
  <c r="AE2355" i="20" s="1"/>
  <c r="AF2356" i="20"/>
  <c r="AF2357" i="20"/>
  <c r="AE2357" i="20" s="1"/>
  <c r="AF2358" i="20"/>
  <c r="AF2359" i="20"/>
  <c r="AF2360" i="20"/>
  <c r="AE2360" i="20" s="1"/>
  <c r="AF2361" i="20"/>
  <c r="AE2361" i="20" s="1"/>
  <c r="AF2362" i="20"/>
  <c r="AE2362" i="20" s="1"/>
  <c r="AF2363" i="20"/>
  <c r="AF2364" i="20"/>
  <c r="AF2365" i="20"/>
  <c r="AE2365" i="20" s="1"/>
  <c r="AF2366" i="20"/>
  <c r="AF2367" i="20"/>
  <c r="AF2368" i="20"/>
  <c r="AE2368" i="20" s="1"/>
  <c r="AF2369" i="20"/>
  <c r="AE2369" i="20" s="1"/>
  <c r="AF2370" i="20"/>
  <c r="AE2370" i="20" s="1"/>
  <c r="AF2371" i="20"/>
  <c r="AE2371" i="20" s="1"/>
  <c r="AF2372" i="20"/>
  <c r="AE2372" i="20" s="1"/>
  <c r="AF2373" i="20"/>
  <c r="AE2373" i="20" s="1"/>
  <c r="AF2374" i="20"/>
  <c r="AE2374" i="20" s="1"/>
  <c r="AF2375" i="20"/>
  <c r="AF2376" i="20"/>
  <c r="AE2376" i="20" s="1"/>
  <c r="AF2377" i="20"/>
  <c r="AE2377" i="20" s="1"/>
  <c r="AF2378" i="20"/>
  <c r="AE2378" i="20" s="1"/>
  <c r="AF2379" i="20"/>
  <c r="AE2379" i="20" s="1"/>
  <c r="AF2380" i="20"/>
  <c r="AE2380" i="20" s="1"/>
  <c r="AF2381" i="20"/>
  <c r="AF2382" i="20"/>
  <c r="AE2382" i="20" s="1"/>
  <c r="AF2383" i="20"/>
  <c r="AF2384" i="20"/>
  <c r="AE2384" i="20" s="1"/>
  <c r="AF2385" i="20"/>
  <c r="AE2385" i="20" s="1"/>
  <c r="AF2386" i="20"/>
  <c r="AE2386" i="20" s="1"/>
  <c r="AF2387" i="20"/>
  <c r="AE2387" i="20" s="1"/>
  <c r="AF2388" i="20"/>
  <c r="AE2388" i="20" s="1"/>
  <c r="AF2389" i="20"/>
  <c r="AE2389" i="20" s="1"/>
  <c r="AF2390" i="20"/>
  <c r="AE2390" i="20" s="1"/>
  <c r="AF2391" i="20"/>
  <c r="AF2392" i="20"/>
  <c r="AF2393" i="20"/>
  <c r="AE2393" i="20" s="1"/>
  <c r="AF2394" i="20"/>
  <c r="AE2394" i="20" s="1"/>
  <c r="AF2395" i="20"/>
  <c r="AE2395" i="20" s="1"/>
  <c r="AF2396" i="20"/>
  <c r="AE2396" i="20" s="1"/>
  <c r="AF2397" i="20"/>
  <c r="AE2397" i="20" s="1"/>
  <c r="AF2398" i="20"/>
  <c r="AF2399" i="20"/>
  <c r="AF2400" i="20"/>
  <c r="AE2400" i="20" s="1"/>
  <c r="AF2401" i="20"/>
  <c r="AE2401" i="20" s="1"/>
  <c r="AF2402" i="20"/>
  <c r="AE2402" i="20" s="1"/>
  <c r="AF2403" i="20"/>
  <c r="AE2403" i="20" s="1"/>
  <c r="AF2404" i="20"/>
  <c r="AE2404" i="20" s="1"/>
  <c r="AF2405" i="20"/>
  <c r="AE2405" i="20" s="1"/>
  <c r="AF2406" i="20"/>
  <c r="AE2406" i="20" s="1"/>
  <c r="AF2407" i="20"/>
  <c r="AF2408" i="20"/>
  <c r="AE2408" i="20" s="1"/>
  <c r="AF2409" i="20"/>
  <c r="AE2409" i="20" s="1"/>
  <c r="AF2410" i="20"/>
  <c r="AE2410" i="20" s="1"/>
  <c r="AF2411" i="20"/>
  <c r="AE2411" i="20" s="1"/>
  <c r="AF2412" i="20"/>
  <c r="AE2412" i="20" s="1"/>
  <c r="AF2413" i="20"/>
  <c r="AF2414" i="20"/>
  <c r="AE2414" i="20" s="1"/>
  <c r="AF2415" i="20"/>
  <c r="AF2416" i="20"/>
  <c r="AE2416" i="20" s="1"/>
  <c r="AF2417" i="20"/>
  <c r="AE2417" i="20" s="1"/>
  <c r="AF2418" i="20"/>
  <c r="AE2418" i="20" s="1"/>
  <c r="AF2419" i="20"/>
  <c r="AE2419" i="20" s="1"/>
  <c r="AF2420" i="20"/>
  <c r="AE2420" i="20" s="1"/>
  <c r="AF2421" i="20"/>
  <c r="AE2421" i="20" s="1"/>
  <c r="AF2422" i="20"/>
  <c r="AE2422" i="20" s="1"/>
  <c r="AF2423" i="20"/>
  <c r="AF2424" i="20"/>
  <c r="AF2425" i="20"/>
  <c r="AE2425" i="20" s="1"/>
  <c r="AF2426" i="20"/>
  <c r="AE2426" i="20" s="1"/>
  <c r="AF2427" i="20"/>
  <c r="AE2427" i="20" s="1"/>
  <c r="AF2428" i="20"/>
  <c r="AE2428" i="20" s="1"/>
  <c r="AF2429" i="20"/>
  <c r="AE2429" i="20" s="1"/>
  <c r="AF2430" i="20"/>
  <c r="AF2431" i="20"/>
  <c r="AF2432" i="20"/>
  <c r="AE2432" i="20" s="1"/>
  <c r="AF2433" i="20"/>
  <c r="AE2433" i="20" s="1"/>
  <c r="AF2434" i="20"/>
  <c r="AE2434" i="20" s="1"/>
  <c r="AF2435" i="20"/>
  <c r="AE2435" i="20" s="1"/>
  <c r="AF2436" i="20"/>
  <c r="AE2436" i="20" s="1"/>
  <c r="AF2437" i="20"/>
  <c r="AE2437" i="20" s="1"/>
  <c r="AF2438" i="20"/>
  <c r="AE2438" i="20" s="1"/>
  <c r="AF2439" i="20"/>
  <c r="AF2440" i="20"/>
  <c r="AE2440" i="20" s="1"/>
  <c r="AF2441" i="20"/>
  <c r="AE2441" i="20" s="1"/>
  <c r="AF2442" i="20"/>
  <c r="AF2443" i="20"/>
  <c r="AG2443" i="20" s="1"/>
  <c r="AF2444" i="20"/>
  <c r="AE2444" i="20" s="1"/>
  <c r="AF2445" i="20"/>
  <c r="AF2446" i="20"/>
  <c r="AE2446" i="20" s="1"/>
  <c r="AF2447" i="20"/>
  <c r="AF2448" i="20"/>
  <c r="AE2448" i="20" s="1"/>
  <c r="AF2449" i="20"/>
  <c r="AE2449" i="20" s="1"/>
  <c r="AF2450" i="20"/>
  <c r="AE2450" i="20" s="1"/>
  <c r="AF2451" i="20"/>
  <c r="AE2451" i="20" s="1"/>
  <c r="AF2452" i="20"/>
  <c r="AE2452" i="20" s="1"/>
  <c r="AF2453" i="20"/>
  <c r="AE2453" i="20" s="1"/>
  <c r="AF2454" i="20"/>
  <c r="AE2454" i="20" s="1"/>
  <c r="AF2455" i="20"/>
  <c r="AF2456" i="20"/>
  <c r="AF2457" i="20"/>
  <c r="AE2457" i="20" s="1"/>
  <c r="AF2458" i="20"/>
  <c r="AE2458" i="20" s="1"/>
  <c r="AF2459" i="20"/>
  <c r="AE2459" i="20" s="1"/>
  <c r="AF2460" i="20"/>
  <c r="AE2460" i="20" s="1"/>
  <c r="AF2461" i="20"/>
  <c r="AE2461" i="20" s="1"/>
  <c r="AF2462" i="20"/>
  <c r="AF2463" i="20"/>
  <c r="AF2464" i="20"/>
  <c r="AE2464" i="20" s="1"/>
  <c r="AF2465" i="20"/>
  <c r="AE2465" i="20" s="1"/>
  <c r="AF2466" i="20"/>
  <c r="AE2466" i="20" s="1"/>
  <c r="AF2467" i="20"/>
  <c r="AE2467" i="20" s="1"/>
  <c r="AF2468" i="20"/>
  <c r="AE2468" i="20" s="1"/>
  <c r="AF2469" i="20"/>
  <c r="AE2469" i="20" s="1"/>
  <c r="AF2470" i="20"/>
  <c r="AE2470" i="20" s="1"/>
  <c r="AF2471" i="20"/>
  <c r="AF2472" i="20"/>
  <c r="AE2472" i="20" s="1"/>
  <c r="AF2473" i="20"/>
  <c r="AE2473" i="20" s="1"/>
  <c r="AF2474" i="20"/>
  <c r="AE2474" i="20" s="1"/>
  <c r="AF2475" i="20"/>
  <c r="AE2475" i="20" s="1"/>
  <c r="AF2476" i="20"/>
  <c r="AE2476" i="20" s="1"/>
  <c r="AF2477" i="20"/>
  <c r="AF2478" i="20"/>
  <c r="AE2478" i="20" s="1"/>
  <c r="AF2479" i="20"/>
  <c r="AF2480" i="20"/>
  <c r="AE2480" i="20" s="1"/>
  <c r="AF2481" i="20"/>
  <c r="AE2481" i="20" s="1"/>
  <c r="AF2482" i="20"/>
  <c r="AE2482" i="20" s="1"/>
  <c r="AF2483" i="20"/>
  <c r="AE2483" i="20" s="1"/>
  <c r="AF2484" i="20"/>
  <c r="AE2484" i="20" s="1"/>
  <c r="AF2485" i="20"/>
  <c r="AE2485" i="20" s="1"/>
  <c r="AF2486" i="20"/>
  <c r="AE2486" i="20" s="1"/>
  <c r="AF2487" i="20"/>
  <c r="AF2488" i="20"/>
  <c r="AF2489" i="20"/>
  <c r="AE2489" i="20" s="1"/>
  <c r="AF2490" i="20"/>
  <c r="AE2490" i="20" s="1"/>
  <c r="AF2491" i="20"/>
  <c r="AE2491" i="20" s="1"/>
  <c r="AF2492" i="20"/>
  <c r="AE2492" i="20" s="1"/>
  <c r="AF2493" i="20"/>
  <c r="AE2493" i="20" s="1"/>
  <c r="AF2494" i="20"/>
  <c r="AF2495" i="20"/>
  <c r="AF2496" i="20"/>
  <c r="AE2496" i="20" s="1"/>
  <c r="AF2497" i="20"/>
  <c r="AE2497" i="20" s="1"/>
  <c r="AF2498" i="20"/>
  <c r="AE2498" i="20" s="1"/>
  <c r="AF2499" i="20"/>
  <c r="AE2499" i="20" s="1"/>
  <c r="AF2500" i="20"/>
  <c r="AE2500" i="20" s="1"/>
  <c r="AF2501" i="20"/>
  <c r="AE2501" i="20" s="1"/>
  <c r="AF2502" i="20"/>
  <c r="AE2502" i="20" s="1"/>
  <c r="AF2503" i="20"/>
  <c r="AF2504" i="20"/>
  <c r="AE2504" i="20" s="1"/>
  <c r="AF2505" i="20"/>
  <c r="AE2505" i="20" s="1"/>
  <c r="AF2506" i="20"/>
  <c r="AE2506" i="20" s="1"/>
  <c r="AF2507" i="20"/>
  <c r="AE2507" i="20" s="1"/>
  <c r="AF2508" i="20"/>
  <c r="AE2508" i="20" s="1"/>
  <c r="AF2509" i="20"/>
  <c r="AF2510" i="20"/>
  <c r="AE2510" i="20" s="1"/>
  <c r="AF2511" i="20"/>
  <c r="AF2512" i="20"/>
  <c r="AE2512" i="20" s="1"/>
  <c r="AF2513" i="20"/>
  <c r="AE2513" i="20" s="1"/>
  <c r="AF2514" i="20"/>
  <c r="AE2514" i="20" s="1"/>
  <c r="AF2515" i="20"/>
  <c r="AE2515" i="20" s="1"/>
  <c r="AF2516" i="20"/>
  <c r="AE2516" i="20" s="1"/>
  <c r="AF2517" i="20"/>
  <c r="AE2517" i="20" s="1"/>
  <c r="AF2518" i="20"/>
  <c r="AE2518" i="20" s="1"/>
  <c r="AF2519" i="20"/>
  <c r="AF2520" i="20"/>
  <c r="AF2521" i="20"/>
  <c r="AE2521" i="20" s="1"/>
  <c r="AF2522" i="20"/>
  <c r="AE2522" i="20" s="1"/>
  <c r="AG2" i="20"/>
  <c r="AH2" i="20" s="1"/>
  <c r="AG3" i="20"/>
  <c r="AG5" i="20"/>
  <c r="AG6" i="20"/>
  <c r="AH6" i="20" s="1"/>
  <c r="AG7" i="20"/>
  <c r="AH7" i="20" s="1"/>
  <c r="AG8" i="20"/>
  <c r="AG9" i="20"/>
  <c r="AG10" i="20"/>
  <c r="AG11" i="20"/>
  <c r="AH11" i="20" s="1"/>
  <c r="AG13" i="20"/>
  <c r="AG14" i="20"/>
  <c r="AH14" i="20" s="1"/>
  <c r="AG15" i="20"/>
  <c r="AG16" i="20"/>
  <c r="AH16" i="20" s="1"/>
  <c r="AG17" i="20"/>
  <c r="AG18" i="20"/>
  <c r="AG19" i="20"/>
  <c r="AG21" i="20"/>
  <c r="AH21" i="20" s="1"/>
  <c r="AG22" i="20"/>
  <c r="AG23" i="20"/>
  <c r="AH23" i="20" s="1"/>
  <c r="AG24" i="20"/>
  <c r="AG25" i="20"/>
  <c r="AH25" i="20" s="1"/>
  <c r="AG26" i="20"/>
  <c r="AG27" i="20"/>
  <c r="AH27" i="20" s="1"/>
  <c r="AG29" i="20"/>
  <c r="AG30" i="20"/>
  <c r="AH30" i="20" s="1"/>
  <c r="AG32" i="20"/>
  <c r="AG33" i="20"/>
  <c r="AG34" i="20"/>
  <c r="AH34" i="20" s="1"/>
  <c r="AG35" i="20"/>
  <c r="AH35" i="20" s="1"/>
  <c r="AG37" i="20"/>
  <c r="AG38" i="20"/>
  <c r="AG41" i="20"/>
  <c r="AG42" i="20"/>
  <c r="AG43" i="20"/>
  <c r="AH43" i="20" s="1"/>
  <c r="AG45" i="20"/>
  <c r="AG46" i="20"/>
  <c r="AG48" i="20"/>
  <c r="AH48" i="20" s="1"/>
  <c r="AG49" i="20"/>
  <c r="AG50" i="20"/>
  <c r="AG51" i="20"/>
  <c r="AG53" i="20"/>
  <c r="AH53" i="20" s="1"/>
  <c r="AG54" i="20"/>
  <c r="AG57" i="20"/>
  <c r="AH57" i="20" s="1"/>
  <c r="AG58" i="20"/>
  <c r="AG59" i="20"/>
  <c r="AG61" i="20"/>
  <c r="AG62" i="20"/>
  <c r="AH62" i="20" s="1"/>
  <c r="AG65" i="20"/>
  <c r="AG66" i="20"/>
  <c r="AH66" i="20" s="1"/>
  <c r="AG67" i="20"/>
  <c r="AG69" i="20"/>
  <c r="AH69" i="20" s="1"/>
  <c r="AG70" i="20"/>
  <c r="AG72" i="20"/>
  <c r="AG73" i="20"/>
  <c r="AG74" i="20"/>
  <c r="AG75" i="20"/>
  <c r="AH75" i="20" s="1"/>
  <c r="AG77" i="20"/>
  <c r="AG78" i="20"/>
  <c r="AG79" i="20"/>
  <c r="AG80" i="20"/>
  <c r="AH80" i="20" s="1"/>
  <c r="AG81" i="20"/>
  <c r="AG82" i="20"/>
  <c r="AG83" i="20"/>
  <c r="AG85" i="20"/>
  <c r="AH85" i="20" s="1"/>
  <c r="AG86" i="20"/>
  <c r="AG88" i="20"/>
  <c r="AG89" i="20"/>
  <c r="AH89" i="20" s="1"/>
  <c r="AG90" i="20"/>
  <c r="AG91" i="20"/>
  <c r="AH91" i="20" s="1"/>
  <c r="AG93" i="20"/>
  <c r="AG94" i="20"/>
  <c r="AH94" i="20" s="1"/>
  <c r="AG96" i="20"/>
  <c r="AH96" i="20" s="1"/>
  <c r="AG97" i="20"/>
  <c r="AG98" i="20"/>
  <c r="AH98" i="20" s="1"/>
  <c r="AG99" i="20"/>
  <c r="AH99" i="20" s="1"/>
  <c r="AG101" i="20"/>
  <c r="AG102" i="20"/>
  <c r="AG105" i="20"/>
  <c r="AG106" i="20"/>
  <c r="AG107" i="20"/>
  <c r="AH107" i="20" s="1"/>
  <c r="AG109" i="20"/>
  <c r="AH109" i="20" s="1"/>
  <c r="AG110" i="20"/>
  <c r="AG112" i="20"/>
  <c r="AH112" i="20" s="1"/>
  <c r="AG113" i="20"/>
  <c r="AG114" i="20"/>
  <c r="AG115" i="20"/>
  <c r="AG117" i="20"/>
  <c r="AH117" i="20" s="1"/>
  <c r="AG118" i="20"/>
  <c r="AG121" i="20"/>
  <c r="AH121" i="20" s="1"/>
  <c r="AG122" i="20"/>
  <c r="AG123" i="20"/>
  <c r="AG125" i="20"/>
  <c r="AG126" i="20"/>
  <c r="AH126" i="20" s="1"/>
  <c r="AG127" i="20"/>
  <c r="AG129" i="20"/>
  <c r="AG130" i="20"/>
  <c r="AH130" i="20" s="1"/>
  <c r="AG131" i="20"/>
  <c r="AG133" i="20"/>
  <c r="AG134" i="20"/>
  <c r="AG136" i="20"/>
  <c r="AG137" i="20"/>
  <c r="AG138" i="20"/>
  <c r="AG139" i="20"/>
  <c r="AH139" i="20" s="1"/>
  <c r="AG141" i="20"/>
  <c r="AG142" i="20"/>
  <c r="AG144" i="20"/>
  <c r="AH144" i="20" s="1"/>
  <c r="AG145" i="20"/>
  <c r="AG146" i="20"/>
  <c r="AG147" i="20"/>
  <c r="AG149" i="20"/>
  <c r="AH149" i="20" s="1"/>
  <c r="AG150" i="20"/>
  <c r="AG152" i="20"/>
  <c r="AG153" i="20"/>
  <c r="AH153" i="20" s="1"/>
  <c r="AG154" i="20"/>
  <c r="AG155" i="20"/>
  <c r="AH155" i="20" s="1"/>
  <c r="AG157" i="20"/>
  <c r="AG158" i="20"/>
  <c r="AH158" i="20" s="1"/>
  <c r="AG160" i="20"/>
  <c r="AG161" i="20"/>
  <c r="AG162" i="20"/>
  <c r="AH162" i="20" s="1"/>
  <c r="AG163" i="20"/>
  <c r="AH163" i="20" s="1"/>
  <c r="AG165" i="20"/>
  <c r="AG166" i="20"/>
  <c r="AG167" i="20"/>
  <c r="AH167" i="20" s="1"/>
  <c r="AG169" i="20"/>
  <c r="AG170" i="20"/>
  <c r="AG171" i="20"/>
  <c r="AH171" i="20" s="1"/>
  <c r="AG173" i="20"/>
  <c r="AG174" i="20"/>
  <c r="AG176" i="20"/>
  <c r="AH176" i="20" s="1"/>
  <c r="AG177" i="20"/>
  <c r="AG178" i="20"/>
  <c r="AH178" i="20" s="1"/>
  <c r="AG179" i="20"/>
  <c r="AG181" i="20"/>
  <c r="AH181" i="20" s="1"/>
  <c r="AG182" i="20"/>
  <c r="AG185" i="20"/>
  <c r="AH185" i="20" s="1"/>
  <c r="AG186" i="20"/>
  <c r="AG187" i="20"/>
  <c r="AG189" i="20"/>
  <c r="AH189" i="20" s="1"/>
  <c r="AG190" i="20"/>
  <c r="AH190" i="20" s="1"/>
  <c r="AG191" i="20"/>
  <c r="AG193" i="20"/>
  <c r="AG194" i="20"/>
  <c r="AG195" i="20"/>
  <c r="AG197" i="20"/>
  <c r="AG198" i="20"/>
  <c r="AG199" i="20"/>
  <c r="AH199" i="20" s="1"/>
  <c r="AG200" i="20"/>
  <c r="AH200" i="20" s="1"/>
  <c r="AG201" i="20"/>
  <c r="AG202" i="20"/>
  <c r="AG203" i="20"/>
  <c r="AH203" i="20" s="1"/>
  <c r="AG205" i="20"/>
  <c r="AG206" i="20"/>
  <c r="AG208" i="20"/>
  <c r="AH208" i="20" s="1"/>
  <c r="AG209" i="20"/>
  <c r="AG210" i="20"/>
  <c r="AG211" i="20"/>
  <c r="AG213" i="20"/>
  <c r="AH213" i="20" s="1"/>
  <c r="AG214" i="20"/>
  <c r="AG216" i="20"/>
  <c r="AG217" i="20"/>
  <c r="AH217" i="20" s="1"/>
  <c r="AG218" i="20"/>
  <c r="AG219" i="20"/>
  <c r="AH219" i="20" s="1"/>
  <c r="AG221" i="20"/>
  <c r="AG222" i="20"/>
  <c r="AH222" i="20" s="1"/>
  <c r="AG224" i="20"/>
  <c r="AG225" i="20"/>
  <c r="AG226" i="20"/>
  <c r="AH226" i="20" s="1"/>
  <c r="AG227" i="20"/>
  <c r="AH227" i="20" s="1"/>
  <c r="AG229" i="20"/>
  <c r="AG230" i="20"/>
  <c r="AG231" i="20"/>
  <c r="AH231" i="20" s="1"/>
  <c r="AG233" i="20"/>
  <c r="AG234" i="20"/>
  <c r="AG235" i="20"/>
  <c r="AH235" i="20" s="1"/>
  <c r="AG237" i="20"/>
  <c r="AG238" i="20"/>
  <c r="AG240" i="20"/>
  <c r="AH240" i="20" s="1"/>
  <c r="AG241" i="20"/>
  <c r="AG242" i="20"/>
  <c r="AG243" i="20"/>
  <c r="AG245" i="20"/>
  <c r="AH245" i="20" s="1"/>
  <c r="AG246" i="20"/>
  <c r="AG249" i="20"/>
  <c r="AH249" i="20" s="1"/>
  <c r="AG250" i="20"/>
  <c r="AG251" i="20"/>
  <c r="AH251" i="20" s="1"/>
  <c r="AG253" i="20"/>
  <c r="AH253" i="20" s="1"/>
  <c r="AG254" i="20"/>
  <c r="AH254" i="20" s="1"/>
  <c r="AG257" i="20"/>
  <c r="AG258" i="20"/>
  <c r="AH258" i="20" s="1"/>
  <c r="AG259" i="20"/>
  <c r="AH259" i="20" s="1"/>
  <c r="AG261" i="20"/>
  <c r="AH261" i="20" s="1"/>
  <c r="AG262" i="20"/>
  <c r="AG263" i="20"/>
  <c r="AH263" i="20" s="1"/>
  <c r="AG264" i="20"/>
  <c r="AG265" i="20"/>
  <c r="AG266" i="20"/>
  <c r="AG267" i="20"/>
  <c r="AH267" i="20" s="1"/>
  <c r="AG269" i="20"/>
  <c r="AG270" i="20"/>
  <c r="AH270" i="20" s="1"/>
  <c r="AG272" i="20"/>
  <c r="AH272" i="20" s="1"/>
  <c r="AG273" i="20"/>
  <c r="AH273" i="20" s="1"/>
  <c r="AG274" i="20"/>
  <c r="AG275" i="20"/>
  <c r="AG277" i="20"/>
  <c r="AG278" i="20"/>
  <c r="AG279" i="20"/>
  <c r="AH279" i="20" s="1"/>
  <c r="AG280" i="20"/>
  <c r="AG281" i="20"/>
  <c r="AH281" i="20" s="1"/>
  <c r="AG282" i="20"/>
  <c r="AH282" i="20" s="1"/>
  <c r="AG283" i="20"/>
  <c r="AH283" i="20" s="1"/>
  <c r="AG285" i="20"/>
  <c r="AG286" i="20"/>
  <c r="AG288" i="20"/>
  <c r="AG289" i="20"/>
  <c r="AG290" i="20"/>
  <c r="AH290" i="20" s="1"/>
  <c r="AG291" i="20"/>
  <c r="AH291" i="20" s="1"/>
  <c r="AG293" i="20"/>
  <c r="AG294" i="20"/>
  <c r="AG297" i="20"/>
  <c r="AG298" i="20"/>
  <c r="AG299" i="20"/>
  <c r="AH299" i="20" s="1"/>
  <c r="AG301" i="20"/>
  <c r="AH301" i="20" s="1"/>
  <c r="AG302" i="20"/>
  <c r="AG304" i="20"/>
  <c r="AG305" i="20"/>
  <c r="AG306" i="20"/>
  <c r="AG307" i="20"/>
  <c r="AG309" i="20"/>
  <c r="AH309" i="20" s="1"/>
  <c r="AG310" i="20"/>
  <c r="AG313" i="20"/>
  <c r="AH313" i="20" s="1"/>
  <c r="AG314" i="20"/>
  <c r="AG315" i="20"/>
  <c r="AG317" i="20"/>
  <c r="AG318" i="20"/>
  <c r="AH318" i="20" s="1"/>
  <c r="AG321" i="20"/>
  <c r="AG322" i="20"/>
  <c r="AH322" i="20" s="1"/>
  <c r="AG323" i="20"/>
  <c r="AH323" i="20" s="1"/>
  <c r="AG325" i="20"/>
  <c r="AH325" i="20" s="1"/>
  <c r="AG326" i="20"/>
  <c r="AG328" i="20"/>
  <c r="AG329" i="20"/>
  <c r="AG330" i="20"/>
  <c r="AG331" i="20"/>
  <c r="AH331" i="20" s="1"/>
  <c r="AG333" i="20"/>
  <c r="AG334" i="20"/>
  <c r="AG335" i="20"/>
  <c r="AH335" i="20" s="1"/>
  <c r="AG336" i="20"/>
  <c r="AH336" i="20" s="1"/>
  <c r="AG337" i="20"/>
  <c r="AG338" i="20"/>
  <c r="AG339" i="20"/>
  <c r="AG341" i="20"/>
  <c r="AG342" i="20"/>
  <c r="AG343" i="20"/>
  <c r="AH343" i="20" s="1"/>
  <c r="AG344" i="20"/>
  <c r="AG345" i="20"/>
  <c r="AH345" i="20" s="1"/>
  <c r="AG346" i="20"/>
  <c r="AG347" i="20"/>
  <c r="AH347" i="20" s="1"/>
  <c r="AG349" i="20"/>
  <c r="AG350" i="20"/>
  <c r="AG352" i="20"/>
  <c r="AG353" i="20"/>
  <c r="AG354" i="20"/>
  <c r="AH354" i="20" s="1"/>
  <c r="AG355" i="20"/>
  <c r="AH355" i="20" s="1"/>
  <c r="AG357" i="20"/>
  <c r="AG358" i="20"/>
  <c r="AG361" i="20"/>
  <c r="AH361" i="20" s="1"/>
  <c r="AG362" i="20"/>
  <c r="AG363" i="20"/>
  <c r="AH363" i="20" s="1"/>
  <c r="AG365" i="20"/>
  <c r="AG366" i="20"/>
  <c r="AG368" i="20"/>
  <c r="AG369" i="20"/>
  <c r="AG370" i="20"/>
  <c r="AG371" i="20"/>
  <c r="AH371" i="20" s="1"/>
  <c r="AG373" i="20"/>
  <c r="AH373" i="20" s="1"/>
  <c r="AG374" i="20"/>
  <c r="AG377" i="20"/>
  <c r="AH377" i="20" s="1"/>
  <c r="AG378" i="20"/>
  <c r="AG379" i="20"/>
  <c r="AG381" i="20"/>
  <c r="AG382" i="20"/>
  <c r="AH382" i="20" s="1"/>
  <c r="AG383" i="20"/>
  <c r="AH383" i="20" s="1"/>
  <c r="AG385" i="20"/>
  <c r="AG386" i="20"/>
  <c r="AH386" i="20" s="1"/>
  <c r="AG387" i="20"/>
  <c r="AH387" i="20" s="1"/>
  <c r="AG389" i="20"/>
  <c r="AG390" i="20"/>
  <c r="AG392" i="20"/>
  <c r="AG393" i="20"/>
  <c r="AG394" i="20"/>
  <c r="AG395" i="20"/>
  <c r="AH395" i="20" s="1"/>
  <c r="AG397" i="20"/>
  <c r="AG398" i="20"/>
  <c r="AG400" i="20"/>
  <c r="AH400" i="20" s="1"/>
  <c r="AG401" i="20"/>
  <c r="AG402" i="20"/>
  <c r="AG403" i="20"/>
  <c r="AG405" i="20"/>
  <c r="AH405" i="20" s="1"/>
  <c r="AG406" i="20"/>
  <c r="AG408" i="20"/>
  <c r="AG409" i="20"/>
  <c r="AH409" i="20" s="1"/>
  <c r="AG410" i="20"/>
  <c r="AG411" i="20"/>
  <c r="AH411" i="20" s="1"/>
  <c r="AG413" i="20"/>
  <c r="AG414" i="20"/>
  <c r="AH414" i="20" s="1"/>
  <c r="AG416" i="20"/>
  <c r="AH416" i="20" s="1"/>
  <c r="AG417" i="20"/>
  <c r="AG418" i="20"/>
  <c r="AH418" i="20" s="1"/>
  <c r="AG419" i="20"/>
  <c r="AH419" i="20" s="1"/>
  <c r="AG421" i="20"/>
  <c r="AG422" i="20"/>
  <c r="AG423" i="20"/>
  <c r="AH423" i="20" s="1"/>
  <c r="AG425" i="20"/>
  <c r="AH425" i="20" s="1"/>
  <c r="AG426" i="20"/>
  <c r="AH426" i="20" s="1"/>
  <c r="AG427" i="20"/>
  <c r="AH427" i="20" s="1"/>
  <c r="AG429" i="20"/>
  <c r="AG430" i="20"/>
  <c r="AG432" i="20"/>
  <c r="AH432" i="20" s="1"/>
  <c r="AG433" i="20"/>
  <c r="AG434" i="20"/>
  <c r="AH434" i="20" s="1"/>
  <c r="AG435" i="20"/>
  <c r="AG437" i="20"/>
  <c r="AH437" i="20" s="1"/>
  <c r="AG438" i="20"/>
  <c r="AG441" i="20"/>
  <c r="AH441" i="20" s="1"/>
  <c r="AG442" i="20"/>
  <c r="AG445" i="20"/>
  <c r="AG446" i="20"/>
  <c r="AG447" i="20"/>
  <c r="AH447" i="20" s="1"/>
  <c r="AG448" i="20"/>
  <c r="AH448" i="20" s="1"/>
  <c r="AG449" i="20"/>
  <c r="AG450" i="20"/>
  <c r="AG451" i="20"/>
  <c r="AH451" i="20" s="1"/>
  <c r="AG453" i="20"/>
  <c r="AG454" i="20"/>
  <c r="AG456" i="20"/>
  <c r="AH456" i="20" s="1"/>
  <c r="AG457" i="20"/>
  <c r="AH457" i="20" s="1"/>
  <c r="AG458" i="20"/>
  <c r="AG459" i="20"/>
  <c r="AH459" i="20" s="1"/>
  <c r="AG461" i="20"/>
  <c r="AG462" i="20"/>
  <c r="AG464" i="20"/>
  <c r="AG465" i="20"/>
  <c r="AH465" i="20" s="1"/>
  <c r="AG466" i="20"/>
  <c r="AG467" i="20"/>
  <c r="AG469" i="20"/>
  <c r="AG470" i="20"/>
  <c r="AH470" i="20" s="1"/>
  <c r="AG472" i="20"/>
  <c r="AG473" i="20"/>
  <c r="AG474" i="20"/>
  <c r="AH474" i="20" s="1"/>
  <c r="AG475" i="20"/>
  <c r="AH475" i="20" s="1"/>
  <c r="AG477" i="20"/>
  <c r="AG478" i="20"/>
  <c r="AG481" i="20"/>
  <c r="AG482" i="20"/>
  <c r="AG483" i="20"/>
  <c r="AH483" i="20" s="1"/>
  <c r="AG485" i="20"/>
  <c r="AG486" i="20"/>
  <c r="AG488" i="20"/>
  <c r="AH488" i="20" s="1"/>
  <c r="AG489" i="20"/>
  <c r="AG490" i="20"/>
  <c r="AG491" i="20"/>
  <c r="AH491" i="20" s="1"/>
  <c r="AG493" i="20"/>
  <c r="AH493" i="20" s="1"/>
  <c r="AG494" i="20"/>
  <c r="AG497" i="20"/>
  <c r="AH497" i="20" s="1"/>
  <c r="AG498" i="20"/>
  <c r="AG499" i="20"/>
  <c r="AH499" i="20" s="1"/>
  <c r="AG501" i="20"/>
  <c r="AH501" i="20" s="1"/>
  <c r="AG502" i="20"/>
  <c r="AH502" i="20" s="1"/>
  <c r="AG505" i="20"/>
  <c r="AG506" i="20"/>
  <c r="AH506" i="20" s="1"/>
  <c r="AG509" i="20"/>
  <c r="AG510" i="20"/>
  <c r="AH510" i="20" s="1"/>
  <c r="AG511" i="20"/>
  <c r="AH511" i="20" s="1"/>
  <c r="AG512" i="20"/>
  <c r="AH512" i="20" s="1"/>
  <c r="AG513" i="20"/>
  <c r="AG514" i="20"/>
  <c r="AG515" i="20"/>
  <c r="AH515" i="20" s="1"/>
  <c r="AG517" i="20"/>
  <c r="AG518" i="20"/>
  <c r="AG519" i="20"/>
  <c r="AG520" i="20"/>
  <c r="AH520" i="20" s="1"/>
  <c r="AG521" i="20"/>
  <c r="AH521" i="20" s="1"/>
  <c r="AG522" i="20"/>
  <c r="AG523" i="20"/>
  <c r="AH523" i="20" s="1"/>
  <c r="AG525" i="20"/>
  <c r="AG526" i="20"/>
  <c r="AG528" i="20"/>
  <c r="AG529" i="20"/>
  <c r="AH529" i="20" s="1"/>
  <c r="AG530" i="20"/>
  <c r="AH530" i="20" s="1"/>
  <c r="AG531" i="20"/>
  <c r="AH531" i="20" s="1"/>
  <c r="AG533" i="20"/>
  <c r="AG534" i="20"/>
  <c r="AG537" i="20"/>
  <c r="AG538" i="20"/>
  <c r="AH538" i="20" s="1"/>
  <c r="AG539" i="20"/>
  <c r="AH539" i="20" s="1"/>
  <c r="AG541" i="20"/>
  <c r="AG542" i="20"/>
  <c r="AG544" i="20"/>
  <c r="AG545" i="20"/>
  <c r="AG546" i="20"/>
  <c r="AG547" i="20"/>
  <c r="AH547" i="20" s="1"/>
  <c r="AG549" i="20"/>
  <c r="AH549" i="20" s="1"/>
  <c r="AG550" i="20"/>
  <c r="AG553" i="20"/>
  <c r="AG554" i="20"/>
  <c r="AG555" i="20"/>
  <c r="AH555" i="20" s="1"/>
  <c r="AG557" i="20"/>
  <c r="AH557" i="20" s="1"/>
  <c r="AG558" i="20"/>
  <c r="AH558" i="20" s="1"/>
  <c r="AG561" i="20"/>
  <c r="AG562" i="20"/>
  <c r="AG563" i="20"/>
  <c r="AG565" i="20"/>
  <c r="AH565" i="20" s="1"/>
  <c r="AG566" i="20"/>
  <c r="AG568" i="20"/>
  <c r="AG569" i="20"/>
  <c r="AG570" i="20"/>
  <c r="AG573" i="20"/>
  <c r="AH573" i="20" s="1"/>
  <c r="AG574" i="20"/>
  <c r="AG575" i="20"/>
  <c r="AH575" i="20" s="1"/>
  <c r="AG576" i="20"/>
  <c r="AH576" i="20" s="1"/>
  <c r="AG577" i="20"/>
  <c r="AG578" i="20"/>
  <c r="AG579" i="20"/>
  <c r="AH579" i="20" s="1"/>
  <c r="AG581" i="20"/>
  <c r="AG582" i="20"/>
  <c r="AH582" i="20" s="1"/>
  <c r="AG584" i="20"/>
  <c r="AG585" i="20"/>
  <c r="AH585" i="20" s="1"/>
  <c r="AG586" i="20"/>
  <c r="AG587" i="20"/>
  <c r="AH587" i="20" s="1"/>
  <c r="AG589" i="20"/>
  <c r="AG590" i="20"/>
  <c r="AG591" i="20"/>
  <c r="AH591" i="20" s="1"/>
  <c r="AG593" i="20"/>
  <c r="AG594" i="20"/>
  <c r="AH594" i="20" s="1"/>
  <c r="AG595" i="20"/>
  <c r="AG597" i="20"/>
  <c r="AG598" i="20"/>
  <c r="AG600" i="20"/>
  <c r="AG601" i="20"/>
  <c r="AG602" i="20"/>
  <c r="AH602" i="20" s="1"/>
  <c r="AG603" i="20"/>
  <c r="AH603" i="20" s="1"/>
  <c r="AG605" i="20"/>
  <c r="AG606" i="20"/>
  <c r="AG609" i="20"/>
  <c r="AG610" i="20"/>
  <c r="AG611" i="20"/>
  <c r="AH611" i="20" s="1"/>
  <c r="AG613" i="20"/>
  <c r="AH613" i="20" s="1"/>
  <c r="AG614" i="20"/>
  <c r="AH614" i="20" s="1"/>
  <c r="AG615" i="20"/>
  <c r="AH615" i="20" s="1"/>
  <c r="AG617" i="20"/>
  <c r="AG618" i="20"/>
  <c r="AG619" i="20"/>
  <c r="AH619" i="20" s="1"/>
  <c r="AG621" i="20"/>
  <c r="AG622" i="20"/>
  <c r="AH622" i="20" s="1"/>
  <c r="AG624" i="20"/>
  <c r="AH624" i="20" s="1"/>
  <c r="AG625" i="20"/>
  <c r="AG626" i="20"/>
  <c r="AG627" i="20"/>
  <c r="AG629" i="20"/>
  <c r="AG630" i="20"/>
  <c r="AG632" i="20"/>
  <c r="AG633" i="20"/>
  <c r="AG634" i="20"/>
  <c r="AG637" i="20"/>
  <c r="AG638" i="20"/>
  <c r="AH638" i="20" s="1"/>
  <c r="AG640" i="20"/>
  <c r="AG641" i="20"/>
  <c r="AG642" i="20"/>
  <c r="AH642" i="20" s="1"/>
  <c r="AG643" i="20"/>
  <c r="AH643" i="20" s="1"/>
  <c r="AG645" i="20"/>
  <c r="AG646" i="20"/>
  <c r="AG647" i="20"/>
  <c r="AH647" i="20" s="1"/>
  <c r="AG649" i="20"/>
  <c r="AH649" i="20" s="1"/>
  <c r="AG650" i="20"/>
  <c r="AG651" i="20"/>
  <c r="AH651" i="20" s="1"/>
  <c r="AG653" i="20"/>
  <c r="AG654" i="20"/>
  <c r="AG656" i="20"/>
  <c r="AH656" i="20" s="1"/>
  <c r="AG657" i="20"/>
  <c r="AG658" i="20"/>
  <c r="AH658" i="20" s="1"/>
  <c r="AG659" i="20"/>
  <c r="AG661" i="20"/>
  <c r="AH661" i="20" s="1"/>
  <c r="AG662" i="20"/>
  <c r="AG665" i="20"/>
  <c r="AH665" i="20" s="1"/>
  <c r="AG666" i="20"/>
  <c r="AG667" i="20"/>
  <c r="AH667" i="20" s="1"/>
  <c r="AG669" i="20"/>
  <c r="AH669" i="20" s="1"/>
  <c r="AG670" i="20"/>
  <c r="AH670" i="20" s="1"/>
  <c r="AG671" i="20"/>
  <c r="AH671" i="20" s="1"/>
  <c r="AG673" i="20"/>
  <c r="AG674" i="20"/>
  <c r="AH674" i="20" s="1"/>
  <c r="AG675" i="20"/>
  <c r="AH675" i="20" s="1"/>
  <c r="AG677" i="20"/>
  <c r="AG678" i="20"/>
  <c r="AH678" i="20" s="1"/>
  <c r="AG679" i="20"/>
  <c r="AH679" i="20" s="1"/>
  <c r="AG680" i="20"/>
  <c r="AG681" i="20"/>
  <c r="AG682" i="20"/>
  <c r="AG683" i="20"/>
  <c r="AH683" i="20" s="1"/>
  <c r="AG685" i="20"/>
  <c r="AG686" i="20"/>
  <c r="AG688" i="20"/>
  <c r="AH688" i="20" s="1"/>
  <c r="AG689" i="20"/>
  <c r="AG690" i="20"/>
  <c r="AG691" i="20"/>
  <c r="AG693" i="20"/>
  <c r="AG694" i="20"/>
  <c r="AG696" i="20"/>
  <c r="AH696" i="20" s="1"/>
  <c r="AG697" i="20"/>
  <c r="AH697" i="20" s="1"/>
  <c r="AG698" i="20"/>
  <c r="AG701" i="20"/>
  <c r="AG702" i="20"/>
  <c r="AG705" i="20"/>
  <c r="AG706" i="20"/>
  <c r="AH706" i="20" s="1"/>
  <c r="AG707" i="20"/>
  <c r="AH707" i="20" s="1"/>
  <c r="AG709" i="20"/>
  <c r="AG710" i="20"/>
  <c r="AG712" i="20"/>
  <c r="AG713" i="20"/>
  <c r="AG714" i="20"/>
  <c r="AG715" i="20"/>
  <c r="AH715" i="20" s="1"/>
  <c r="AG717" i="20"/>
  <c r="AH717" i="20" s="1"/>
  <c r="AG718" i="20"/>
  <c r="AG721" i="20"/>
  <c r="AH721" i="20" s="1"/>
  <c r="AG722" i="20"/>
  <c r="AG723" i="20"/>
  <c r="AG725" i="20"/>
  <c r="AG726" i="20"/>
  <c r="AH726" i="20" s="1"/>
  <c r="AG729" i="20"/>
  <c r="AG730" i="20"/>
  <c r="AH730" i="20" s="1"/>
  <c r="AG731" i="20"/>
  <c r="AH731" i="20" s="1"/>
  <c r="AG733" i="20"/>
  <c r="AG734" i="20"/>
  <c r="AH734" i="20" s="1"/>
  <c r="AG736" i="20"/>
  <c r="AG737" i="20"/>
  <c r="AG738" i="20"/>
  <c r="AG739" i="20"/>
  <c r="AH739" i="20" s="1"/>
  <c r="AG741" i="20"/>
  <c r="AG742" i="20"/>
  <c r="AG743" i="20"/>
  <c r="AH743" i="20" s="1"/>
  <c r="AG744" i="20"/>
  <c r="AH744" i="20" s="1"/>
  <c r="AG745" i="20"/>
  <c r="AG746" i="20"/>
  <c r="AG747" i="20"/>
  <c r="AH747" i="20" s="1"/>
  <c r="AG749" i="20"/>
  <c r="AH749" i="20" s="1"/>
  <c r="AG750" i="20"/>
  <c r="AG751" i="20"/>
  <c r="AG752" i="20"/>
  <c r="AH752" i="20" s="1"/>
  <c r="AG753" i="20"/>
  <c r="AH753" i="20" s="1"/>
  <c r="AG754" i="20"/>
  <c r="AG755" i="20"/>
  <c r="AG757" i="20"/>
  <c r="AG758" i="20"/>
  <c r="AH758" i="20" s="1"/>
  <c r="AG760" i="20"/>
  <c r="AG761" i="20"/>
  <c r="AH761" i="20" s="1"/>
  <c r="AG762" i="20"/>
  <c r="AH762" i="20" s="1"/>
  <c r="AG765" i="20"/>
  <c r="AG766" i="20"/>
  <c r="AG768" i="20"/>
  <c r="AH768" i="20" s="1"/>
  <c r="AG769" i="20"/>
  <c r="AG770" i="20"/>
  <c r="AG771" i="20"/>
  <c r="AH771" i="20" s="1"/>
  <c r="AG773" i="20"/>
  <c r="AG774" i="20"/>
  <c r="AH774" i="20" s="1"/>
  <c r="AG777" i="20"/>
  <c r="AH777" i="20" s="1"/>
  <c r="AG778" i="20"/>
  <c r="AG779" i="20"/>
  <c r="AH779" i="20" s="1"/>
  <c r="AG781" i="20"/>
  <c r="AH781" i="20" s="1"/>
  <c r="AG782" i="20"/>
  <c r="AG783" i="20"/>
  <c r="AH783" i="20" s="1"/>
  <c r="AG785" i="20"/>
  <c r="AG786" i="20"/>
  <c r="AH786" i="20" s="1"/>
  <c r="AG787" i="20"/>
  <c r="AG789" i="20"/>
  <c r="AG790" i="20"/>
  <c r="AH790" i="20" s="1"/>
  <c r="AG792" i="20"/>
  <c r="AH792" i="20" s="1"/>
  <c r="AG793" i="20"/>
  <c r="AG794" i="20"/>
  <c r="AG795" i="20"/>
  <c r="AH795" i="20" s="1"/>
  <c r="AG797" i="20"/>
  <c r="AG798" i="20"/>
  <c r="AG800" i="20"/>
  <c r="AG801" i="20"/>
  <c r="AG802" i="20"/>
  <c r="AG803" i="20"/>
  <c r="AH803" i="20" s="1"/>
  <c r="AG805" i="20"/>
  <c r="AG806" i="20"/>
  <c r="AG808" i="20"/>
  <c r="AG809" i="20"/>
  <c r="AG810" i="20"/>
  <c r="AG811" i="20"/>
  <c r="AH811" i="20" s="1"/>
  <c r="AG813" i="20"/>
  <c r="AG814" i="20"/>
  <c r="AH814" i="20" s="1"/>
  <c r="AG816" i="20"/>
  <c r="AG817" i="20"/>
  <c r="AG818" i="20"/>
  <c r="AG819" i="20"/>
  <c r="AG821" i="20"/>
  <c r="AG822" i="20"/>
  <c r="AG823" i="20"/>
  <c r="AH823" i="20" s="1"/>
  <c r="AG825" i="20"/>
  <c r="AG826" i="20"/>
  <c r="AG829" i="20"/>
  <c r="AG830" i="20"/>
  <c r="AH830" i="20" s="1"/>
  <c r="AG833" i="20"/>
  <c r="AG834" i="20"/>
  <c r="AG835" i="20"/>
  <c r="AH835" i="20" s="1"/>
  <c r="AG837" i="20"/>
  <c r="AH837" i="20" s="1"/>
  <c r="AG838" i="20"/>
  <c r="AG841" i="20"/>
  <c r="AG842" i="20"/>
  <c r="AG843" i="20"/>
  <c r="AH843" i="20" s="1"/>
  <c r="AG845" i="20"/>
  <c r="AG846" i="20"/>
  <c r="AH846" i="20" s="1"/>
  <c r="AG847" i="20"/>
  <c r="AH847" i="20" s="1"/>
  <c r="AG848" i="20"/>
  <c r="AH848" i="20" s="1"/>
  <c r="AG849" i="20"/>
  <c r="AG850" i="20"/>
  <c r="AG851" i="20"/>
  <c r="AG853" i="20"/>
  <c r="AG854" i="20"/>
  <c r="AG855" i="20"/>
  <c r="AH855" i="20" s="1"/>
  <c r="AG856" i="20"/>
  <c r="AH856" i="20" s="1"/>
  <c r="AG857" i="20"/>
  <c r="AH857" i="20" s="1"/>
  <c r="AG858" i="20"/>
  <c r="AG859" i="20"/>
  <c r="AH859" i="20" s="1"/>
  <c r="AG861" i="20"/>
  <c r="AG862" i="20"/>
  <c r="AG864" i="20"/>
  <c r="AH864" i="20" s="1"/>
  <c r="AG865" i="20"/>
  <c r="AH865" i="20" s="1"/>
  <c r="AG866" i="20"/>
  <c r="AG867" i="20"/>
  <c r="AH867" i="20" s="1"/>
  <c r="AG869" i="20"/>
  <c r="AG870" i="20"/>
  <c r="AH870" i="20" s="1"/>
  <c r="AG872" i="20"/>
  <c r="AG873" i="20"/>
  <c r="AG874" i="20"/>
  <c r="AG875" i="20"/>
  <c r="AH875" i="20" s="1"/>
  <c r="AG877" i="20"/>
  <c r="AG878" i="20"/>
  <c r="AG881" i="20"/>
  <c r="AG882" i="20"/>
  <c r="AG883" i="20"/>
  <c r="AG885" i="20"/>
  <c r="AG886" i="20"/>
  <c r="AG888" i="20"/>
  <c r="AH888" i="20" s="1"/>
  <c r="AG889" i="20"/>
  <c r="AG890" i="20"/>
  <c r="AG893" i="20"/>
  <c r="AG894" i="20"/>
  <c r="AH894" i="20" s="1"/>
  <c r="AG895" i="20"/>
  <c r="AG897" i="20"/>
  <c r="AG898" i="20"/>
  <c r="AH898" i="20" s="1"/>
  <c r="AG899" i="20"/>
  <c r="AH899" i="20" s="1"/>
  <c r="AG901" i="20"/>
  <c r="AG902" i="20"/>
  <c r="AG903" i="20"/>
  <c r="AH903" i="20" s="1"/>
  <c r="AG904" i="20"/>
  <c r="AG905" i="20"/>
  <c r="AG906" i="20"/>
  <c r="AG907" i="20"/>
  <c r="AH907" i="20" s="1"/>
  <c r="AG909" i="20"/>
  <c r="AG910" i="20"/>
  <c r="AG912" i="20"/>
  <c r="AH912" i="20" s="1"/>
  <c r="AG913" i="20"/>
  <c r="AG914" i="20"/>
  <c r="AG915" i="20"/>
  <c r="AG917" i="20"/>
  <c r="AH917" i="20" s="1"/>
  <c r="AG918" i="20"/>
  <c r="AG920" i="20"/>
  <c r="AG921" i="20"/>
  <c r="AH921" i="20" s="1"/>
  <c r="AG922" i="20"/>
  <c r="AG923" i="20"/>
  <c r="AH923" i="20" s="1"/>
  <c r="AG925" i="20"/>
  <c r="AG926" i="20"/>
  <c r="AH926" i="20" s="1"/>
  <c r="AG928" i="20"/>
  <c r="AG929" i="20"/>
  <c r="AG930" i="20"/>
  <c r="AH930" i="20" s="1"/>
  <c r="AG931" i="20"/>
  <c r="AH931" i="20" s="1"/>
  <c r="AG933" i="20"/>
  <c r="AG934" i="20"/>
  <c r="AG935" i="20"/>
  <c r="AH935" i="20" s="1"/>
  <c r="AG937" i="20"/>
  <c r="AG938" i="20"/>
  <c r="AH938" i="20" s="1"/>
  <c r="AG939" i="20"/>
  <c r="AH939" i="20" s="1"/>
  <c r="AG941" i="20"/>
  <c r="AG942" i="20"/>
  <c r="AG944" i="20"/>
  <c r="AH944" i="20" s="1"/>
  <c r="AG945" i="20"/>
  <c r="AG946" i="20"/>
  <c r="AH946" i="20" s="1"/>
  <c r="AG947" i="20"/>
  <c r="AG949" i="20"/>
  <c r="AH949" i="20" s="1"/>
  <c r="AG950" i="20"/>
  <c r="AG953" i="20"/>
  <c r="AH953" i="20" s="1"/>
  <c r="AG954" i="20"/>
  <c r="AG957" i="20"/>
  <c r="AG958" i="20"/>
  <c r="AG959" i="20"/>
  <c r="AH959" i="20" s="1"/>
  <c r="AG960" i="20"/>
  <c r="AG961" i="20"/>
  <c r="AG962" i="20"/>
  <c r="AG963" i="20"/>
  <c r="AH963" i="20" s="1"/>
  <c r="AG965" i="20"/>
  <c r="AG966" i="20"/>
  <c r="AG967" i="20"/>
  <c r="AG968" i="20"/>
  <c r="AH968" i="20" s="1"/>
  <c r="AG969" i="20"/>
  <c r="AH969" i="20" s="1"/>
  <c r="AG970" i="20"/>
  <c r="AG971" i="20"/>
  <c r="AH971" i="20" s="1"/>
  <c r="AG973" i="20"/>
  <c r="AG974" i="20"/>
  <c r="AG976" i="20"/>
  <c r="AH976" i="20" s="1"/>
  <c r="AG977" i="20"/>
  <c r="AG978" i="20"/>
  <c r="AH978" i="20" s="1"/>
  <c r="AG981" i="20"/>
  <c r="AG982" i="20"/>
  <c r="AG985" i="20"/>
  <c r="AG986" i="20"/>
  <c r="AG987" i="20"/>
  <c r="AH987" i="20" s="1"/>
  <c r="AG989" i="20"/>
  <c r="AH989" i="20" s="1"/>
  <c r="AG990" i="20"/>
  <c r="AG992" i="20"/>
  <c r="AH992" i="20" s="1"/>
  <c r="AG993" i="20"/>
  <c r="AG994" i="20"/>
  <c r="AG995" i="20"/>
  <c r="AH995" i="20" s="1"/>
  <c r="AG997" i="20"/>
  <c r="AH997" i="20" s="1"/>
  <c r="AG998" i="20"/>
  <c r="AH998" i="20" s="1"/>
  <c r="AG1001" i="20"/>
  <c r="AH1001" i="20" s="1"/>
  <c r="AG1002" i="20"/>
  <c r="AG1003" i="20"/>
  <c r="AH1003" i="20" s="1"/>
  <c r="AG1005" i="20"/>
  <c r="AG1006" i="20"/>
  <c r="AH1006" i="20" s="1"/>
  <c r="AG1007" i="20"/>
  <c r="AG1009" i="20"/>
  <c r="AG1010" i="20"/>
  <c r="AH1010" i="20" s="1"/>
  <c r="AG1011" i="20"/>
  <c r="AG1013" i="20"/>
  <c r="AG1014" i="20"/>
  <c r="AH1014" i="20" s="1"/>
  <c r="AG1016" i="20"/>
  <c r="AG1017" i="20"/>
  <c r="AG1018" i="20"/>
  <c r="AG1021" i="20"/>
  <c r="AG1022" i="20"/>
  <c r="AG1023" i="20"/>
  <c r="AH1023" i="20" s="1"/>
  <c r="AG1024" i="20"/>
  <c r="AH1024" i="20" s="1"/>
  <c r="AG1025" i="20"/>
  <c r="AG1026" i="20"/>
  <c r="AG1027" i="20"/>
  <c r="AH1027" i="20" s="1"/>
  <c r="AG1029" i="20"/>
  <c r="AG1030" i="20"/>
  <c r="AH1030" i="20" s="1"/>
  <c r="AG1032" i="20"/>
  <c r="AH1032" i="20" s="1"/>
  <c r="AG1033" i="20"/>
  <c r="AH1033" i="20" s="1"/>
  <c r="AG1034" i="20"/>
  <c r="AG1035" i="20"/>
  <c r="AH1035" i="20" s="1"/>
  <c r="AG1037" i="20"/>
  <c r="AG1038" i="20"/>
  <c r="AG1041" i="20"/>
  <c r="AH1041" i="20" s="1"/>
  <c r="AG1042" i="20"/>
  <c r="AH1042" i="20" s="1"/>
  <c r="AG1045" i="20"/>
  <c r="AH1045" i="20" s="1"/>
  <c r="AG1046" i="20"/>
  <c r="AH1046" i="20" s="1"/>
  <c r="AG1049" i="20"/>
  <c r="AG1050" i="20"/>
  <c r="AG1051" i="20"/>
  <c r="AH1051" i="20" s="1"/>
  <c r="AG1053" i="20"/>
  <c r="AG1054" i="20"/>
  <c r="AH1054" i="20" s="1"/>
  <c r="AG1055" i="20"/>
  <c r="AG1057" i="20"/>
  <c r="AG1058" i="20"/>
  <c r="AH1058" i="20" s="1"/>
  <c r="AG1059" i="20"/>
  <c r="AH1059" i="20" s="1"/>
  <c r="AG1061" i="20"/>
  <c r="AG1062" i="20"/>
  <c r="AH1062" i="20" s="1"/>
  <c r="AG1064" i="20"/>
  <c r="AG1065" i="20"/>
  <c r="AG1066" i="20"/>
  <c r="AG1067" i="20"/>
  <c r="AH1067" i="20" s="1"/>
  <c r="AG1069" i="20"/>
  <c r="AG1070" i="20"/>
  <c r="AG1071" i="20"/>
  <c r="AG1072" i="20"/>
  <c r="AH1072" i="20" s="1"/>
  <c r="AG1073" i="20"/>
  <c r="AG1074" i="20"/>
  <c r="AG1075" i="20"/>
  <c r="AH1075" i="20" s="1"/>
  <c r="AG1077" i="20"/>
  <c r="AH1077" i="20" s="1"/>
  <c r="AG1078" i="20"/>
  <c r="AG1080" i="20"/>
  <c r="AG1081" i="20"/>
  <c r="AH1081" i="20" s="1"/>
  <c r="AG1082" i="20"/>
  <c r="AH1082" i="20" s="1"/>
  <c r="AG1085" i="20"/>
  <c r="AG1086" i="20"/>
  <c r="AG1087" i="20"/>
  <c r="AH1087" i="20" s="1"/>
  <c r="AG1089" i="20"/>
  <c r="AG1090" i="20"/>
  <c r="AH1090" i="20" s="1"/>
  <c r="AG1091" i="20"/>
  <c r="AH1091" i="20" s="1"/>
  <c r="AG1093" i="20"/>
  <c r="AG1094" i="20"/>
  <c r="AG1096" i="20"/>
  <c r="AH1096" i="20" s="1"/>
  <c r="AG1097" i="20"/>
  <c r="AG1098" i="20"/>
  <c r="AH1098" i="20" s="1"/>
  <c r="AG1099" i="20"/>
  <c r="AH1099" i="20" s="1"/>
  <c r="AG1101" i="20"/>
  <c r="AH1101" i="20" s="1"/>
  <c r="AG1102" i="20"/>
  <c r="AG1105" i="20"/>
  <c r="AH1105" i="20" s="1"/>
  <c r="AG1106" i="20"/>
  <c r="AG1109" i="20"/>
  <c r="AG1110" i="20"/>
  <c r="AH1110" i="20" s="1"/>
  <c r="AG1111" i="20"/>
  <c r="AG1112" i="20"/>
  <c r="AG1113" i="20"/>
  <c r="AG1114" i="20"/>
  <c r="AG1115" i="20"/>
  <c r="AH1115" i="20" s="1"/>
  <c r="AG1117" i="20"/>
  <c r="AG1118" i="20"/>
  <c r="AG1119" i="20"/>
  <c r="AH1119" i="20" s="1"/>
  <c r="AG1120" i="20"/>
  <c r="AH1120" i="20" s="1"/>
  <c r="AG1121" i="20"/>
  <c r="AG1122" i="20"/>
  <c r="AG1123" i="20"/>
  <c r="AG1125" i="20"/>
  <c r="AH1125" i="20" s="1"/>
  <c r="AG1126" i="20"/>
  <c r="AG1128" i="20"/>
  <c r="AH1128" i="20" s="1"/>
  <c r="AG1129" i="20"/>
  <c r="AG1130" i="20"/>
  <c r="AG1131" i="20"/>
  <c r="AG1133" i="20"/>
  <c r="AG1134" i="20"/>
  <c r="AH1134" i="20" s="1"/>
  <c r="AG1136" i="20"/>
  <c r="AH1136" i="20" s="1"/>
  <c r="AG1137" i="20"/>
  <c r="AH1137" i="20" s="1"/>
  <c r="AG1138" i="20"/>
  <c r="AH1138" i="20" s="1"/>
  <c r="AG1139" i="20"/>
  <c r="AG1141" i="20"/>
  <c r="AG1142" i="20"/>
  <c r="AG1144" i="20"/>
  <c r="AG1145" i="20"/>
  <c r="AG1146" i="20"/>
  <c r="AH1146" i="20" s="1"/>
  <c r="AG1149" i="20"/>
  <c r="AH1149" i="20" s="1"/>
  <c r="AG1150" i="20"/>
  <c r="AG1152" i="20"/>
  <c r="AG1154" i="20"/>
  <c r="AH1154" i="20" s="1"/>
  <c r="AG1155" i="20"/>
  <c r="AG1157" i="20"/>
  <c r="AG1158" i="20"/>
  <c r="AH1158" i="20" s="1"/>
  <c r="AG1160" i="20"/>
  <c r="AH1160" i="20" s="1"/>
  <c r="AG1161" i="20"/>
  <c r="AG1162" i="20"/>
  <c r="AG1163" i="20"/>
  <c r="AH1163" i="20" s="1"/>
  <c r="AG1165" i="20"/>
  <c r="AG1166" i="20"/>
  <c r="AG1168" i="20"/>
  <c r="AH1168" i="20" s="1"/>
  <c r="AG1169" i="20"/>
  <c r="AG1170" i="20"/>
  <c r="AH1170" i="20" s="1"/>
  <c r="AG1173" i="20"/>
  <c r="AG1174" i="20"/>
  <c r="AH1174" i="20" s="1"/>
  <c r="AG1176" i="20"/>
  <c r="AG1177" i="20"/>
  <c r="AG1178" i="20"/>
  <c r="AH1178" i="20" s="1"/>
  <c r="AG1179" i="20"/>
  <c r="AH1179" i="20" s="1"/>
  <c r="AG1181" i="20"/>
  <c r="AG1182" i="20"/>
  <c r="AG1184" i="20"/>
  <c r="AG1185" i="20"/>
  <c r="AG1186" i="20"/>
  <c r="AH1186" i="20" s="1"/>
  <c r="AG1187" i="20"/>
  <c r="AH1187" i="20" s="1"/>
  <c r="AG1189" i="20"/>
  <c r="AG1190" i="20"/>
  <c r="AG1194" i="20"/>
  <c r="AH1194" i="20" s="1"/>
  <c r="AG1195" i="20"/>
  <c r="AH1195" i="20" s="1"/>
  <c r="AG1197" i="20"/>
  <c r="AG1198" i="20"/>
  <c r="AH1198" i="20" s="1"/>
  <c r="AG1201" i="20"/>
  <c r="AG1202" i="20"/>
  <c r="AG1203" i="20"/>
  <c r="AG1205" i="20"/>
  <c r="AG1206" i="20"/>
  <c r="AG1208" i="20"/>
  <c r="AH1208" i="20" s="1"/>
  <c r="AG1209" i="20"/>
  <c r="AG1210" i="20"/>
  <c r="AG1213" i="20"/>
  <c r="AG1214" i="20"/>
  <c r="AG1218" i="20"/>
  <c r="AG1219" i="20"/>
  <c r="AH1219" i="20" s="1"/>
  <c r="AG1221" i="20"/>
  <c r="AG1222" i="20"/>
  <c r="AH1222" i="20" s="1"/>
  <c r="AG1225" i="20"/>
  <c r="AG1226" i="20"/>
  <c r="AG1227" i="20"/>
  <c r="AG1229" i="20"/>
  <c r="AG1230" i="20"/>
  <c r="AG1232" i="20"/>
  <c r="AG1233" i="20"/>
  <c r="AG1234" i="20"/>
  <c r="AH1234" i="20" s="1"/>
  <c r="AG1237" i="20"/>
  <c r="AG1238" i="20"/>
  <c r="AG1241" i="20"/>
  <c r="AG1242" i="20"/>
  <c r="AG1243" i="20"/>
  <c r="AG1245" i="20"/>
  <c r="AG1246" i="20"/>
  <c r="AH1246" i="20" s="1"/>
  <c r="AG1249" i="20"/>
  <c r="AH1249" i="20" s="1"/>
  <c r="AG1250" i="20"/>
  <c r="AH1250" i="20" s="1"/>
  <c r="AG1251" i="20"/>
  <c r="AG1253" i="20"/>
  <c r="AG1254" i="20"/>
  <c r="AG1256" i="20"/>
  <c r="AG1258" i="20"/>
  <c r="AG1259" i="20"/>
  <c r="AH1259" i="20" s="1"/>
  <c r="AG1261" i="20"/>
  <c r="AH1261" i="20" s="1"/>
  <c r="AG1262" i="20"/>
  <c r="AG1264" i="20"/>
  <c r="AG1265" i="20"/>
  <c r="AG1266" i="20"/>
  <c r="AG1267" i="20"/>
  <c r="AG1269" i="20"/>
  <c r="AG1270" i="20"/>
  <c r="AH1270" i="20" s="1"/>
  <c r="AG1272" i="20"/>
  <c r="AH1272" i="20" s="1"/>
  <c r="AG1273" i="20"/>
  <c r="AG1274" i="20"/>
  <c r="AG1277" i="20"/>
  <c r="AG1278" i="20"/>
  <c r="AG1280" i="20"/>
  <c r="AH1280" i="20" s="1"/>
  <c r="AG1282" i="20"/>
  <c r="AH1282" i="20" s="1"/>
  <c r="AG1283" i="20"/>
  <c r="AG1285" i="20"/>
  <c r="AH1285" i="20" s="1"/>
  <c r="AG1286" i="20"/>
  <c r="AG1288" i="20"/>
  <c r="AG1289" i="20"/>
  <c r="AH1289" i="20" s="1"/>
  <c r="AG1290" i="20"/>
  <c r="AG1291" i="20"/>
  <c r="AH1291" i="20" s="1"/>
  <c r="AG1293" i="20"/>
  <c r="AG1294" i="20"/>
  <c r="AG1296" i="20"/>
  <c r="AH1296" i="20" s="1"/>
  <c r="AG1297" i="20"/>
  <c r="AG1298" i="20"/>
  <c r="AG1301" i="20"/>
  <c r="AG1302" i="20"/>
  <c r="AH1302" i="20" s="1"/>
  <c r="AG1304" i="20"/>
  <c r="AG1305" i="20"/>
  <c r="AG1306" i="20"/>
  <c r="AG1307" i="20"/>
  <c r="AH1307" i="20" s="1"/>
  <c r="AG1309" i="20"/>
  <c r="AG1310" i="20"/>
  <c r="AG1312" i="20"/>
  <c r="AG1313" i="20"/>
  <c r="AG1314" i="20"/>
  <c r="AH1314" i="20" s="1"/>
  <c r="AG1315" i="20"/>
  <c r="AG1317" i="20"/>
  <c r="AG1318" i="20"/>
  <c r="AH1318" i="20" s="1"/>
  <c r="AG1322" i="20"/>
  <c r="AG1323" i="20"/>
  <c r="AG1325" i="20"/>
  <c r="AG1326" i="20"/>
  <c r="AG1329" i="20"/>
  <c r="AG1330" i="20"/>
  <c r="AG1331" i="20"/>
  <c r="AG1333" i="20"/>
  <c r="AH1333" i="20" s="1"/>
  <c r="AG1334" i="20"/>
  <c r="AG1336" i="20"/>
  <c r="AG1337" i="20"/>
  <c r="AG1338" i="20"/>
  <c r="AG1341" i="20"/>
  <c r="AG1342" i="20"/>
  <c r="AH1342" i="20" s="1"/>
  <c r="AG1346" i="20"/>
  <c r="AG1347" i="20"/>
  <c r="AH1347" i="20" s="1"/>
  <c r="AG1349" i="20"/>
  <c r="AG1350" i="20"/>
  <c r="AG1353" i="20"/>
  <c r="AG1354" i="20"/>
  <c r="AG1355" i="20"/>
  <c r="AG1357" i="20"/>
  <c r="AG1358" i="20"/>
  <c r="AG1360" i="20"/>
  <c r="AH1360" i="20" s="1"/>
  <c r="AG1361" i="20"/>
  <c r="AG1362" i="20"/>
  <c r="AG1365" i="20"/>
  <c r="AG1366" i="20"/>
  <c r="AG1369" i="20"/>
  <c r="AH1369" i="20" s="1"/>
  <c r="AG1370" i="20"/>
  <c r="AG1371" i="20"/>
  <c r="AG1373" i="20"/>
  <c r="AH1373" i="20" s="1"/>
  <c r="AG1374" i="20"/>
  <c r="AH1374" i="20" s="1"/>
  <c r="AG1377" i="20"/>
  <c r="AG1378" i="20"/>
  <c r="AG1379" i="20"/>
  <c r="AG1381" i="20"/>
  <c r="AG1382" i="20"/>
  <c r="AG1384" i="20"/>
  <c r="AG1386" i="20"/>
  <c r="AG1387" i="20"/>
  <c r="AG1389" i="20"/>
  <c r="AG1390" i="20"/>
  <c r="AG1393" i="20"/>
  <c r="AG1394" i="20"/>
  <c r="AG1395" i="20"/>
  <c r="AG1397" i="20"/>
  <c r="AG1398" i="20"/>
  <c r="AG1400" i="20"/>
  <c r="AG1401" i="20"/>
  <c r="AG1402" i="20"/>
  <c r="AG1405" i="20"/>
  <c r="AG1406" i="20"/>
  <c r="AG1410" i="20"/>
  <c r="AG1411" i="20"/>
  <c r="AG1413" i="20"/>
  <c r="AH1413" i="20" s="1"/>
  <c r="AG1414" i="20"/>
  <c r="AH1414" i="20" s="1"/>
  <c r="AG1417" i="20"/>
  <c r="AH1417" i="20" s="1"/>
  <c r="AG1418" i="20"/>
  <c r="AG1419" i="20"/>
  <c r="AG1421" i="20"/>
  <c r="AG1422" i="20"/>
  <c r="AG1424" i="20"/>
  <c r="AH1424" i="20" s="1"/>
  <c r="AG1425" i="20"/>
  <c r="AG1426" i="20"/>
  <c r="AG1429" i="20"/>
  <c r="AH1429" i="20" s="1"/>
  <c r="AG1430" i="20"/>
  <c r="AH1430" i="20" s="1"/>
  <c r="AG1433" i="20"/>
  <c r="AG1434" i="20"/>
  <c r="AG1435" i="20"/>
  <c r="AG1437" i="20"/>
  <c r="AG1438" i="20"/>
  <c r="AG1440" i="20"/>
  <c r="AG1441" i="20"/>
  <c r="AH1441" i="20" s="1"/>
  <c r="AG1442" i="20"/>
  <c r="AG1443" i="20"/>
  <c r="AG1445" i="20"/>
  <c r="AH1445" i="20" s="1"/>
  <c r="AG1446" i="20"/>
  <c r="AG1450" i="20"/>
  <c r="AG1451" i="20"/>
  <c r="AG1453" i="20"/>
  <c r="AG1454" i="20"/>
  <c r="AH1454" i="20" s="1"/>
  <c r="AG1457" i="20"/>
  <c r="AG1458" i="20"/>
  <c r="AG1459" i="20"/>
  <c r="AG1461" i="20"/>
  <c r="AG1462" i="20"/>
  <c r="AH1462" i="20" s="1"/>
  <c r="AG1465" i="20"/>
  <c r="AG1466" i="20"/>
  <c r="AG1469" i="20"/>
  <c r="AG1470" i="20"/>
  <c r="AG1474" i="20"/>
  <c r="AG1475" i="20"/>
  <c r="AG1477" i="20"/>
  <c r="AG1478" i="20"/>
  <c r="AG1481" i="20"/>
  <c r="AG1482" i="20"/>
  <c r="AG1483" i="20"/>
  <c r="AG1485" i="20"/>
  <c r="AG1486" i="20"/>
  <c r="AG1488" i="20"/>
  <c r="AG1489" i="20"/>
  <c r="AG1490" i="20"/>
  <c r="AG1493" i="20"/>
  <c r="AG1494" i="20"/>
  <c r="AG1497" i="20"/>
  <c r="AH1497" i="20" s="1"/>
  <c r="AG1498" i="20"/>
  <c r="AG1499" i="20"/>
  <c r="AG1501" i="20"/>
  <c r="AG1502" i="20"/>
  <c r="AH1502" i="20" s="1"/>
  <c r="AG1505" i="20"/>
  <c r="AG1506" i="20"/>
  <c r="AG1507" i="20"/>
  <c r="AG1509" i="20"/>
  <c r="AG1510" i="20"/>
  <c r="AG1512" i="20"/>
  <c r="AG1514" i="20"/>
  <c r="AG1515" i="20"/>
  <c r="AG1517" i="20"/>
  <c r="AG1518" i="20"/>
  <c r="AG1520" i="20"/>
  <c r="AG1521" i="20"/>
  <c r="AG1522" i="20"/>
  <c r="AG1523" i="20"/>
  <c r="AG1525" i="20"/>
  <c r="AG1526" i="20"/>
  <c r="AH1526" i="20" s="1"/>
  <c r="AG1529" i="20"/>
  <c r="AG1530" i="20"/>
  <c r="AH1530" i="20" s="1"/>
  <c r="AG1533" i="20"/>
  <c r="AG1534" i="20"/>
  <c r="AG1536" i="20"/>
  <c r="AG1538" i="20"/>
  <c r="AG1539" i="20"/>
  <c r="AG1541" i="20"/>
  <c r="AG1542" i="20"/>
  <c r="AG1544" i="20"/>
  <c r="AH1544" i="20" s="1"/>
  <c r="AG1545" i="20"/>
  <c r="AG1546" i="20"/>
  <c r="AG1547" i="20"/>
  <c r="AG1549" i="20"/>
  <c r="AG1550" i="20"/>
  <c r="AG1553" i="20"/>
  <c r="AG1554" i="20"/>
  <c r="AH1554" i="20" s="1"/>
  <c r="AG1557" i="20"/>
  <c r="AH1557" i="20" s="1"/>
  <c r="AG1558" i="20"/>
  <c r="AH1558" i="20" s="1"/>
  <c r="AG1560" i="20"/>
  <c r="AG1561" i="20"/>
  <c r="AG1562" i="20"/>
  <c r="AG1563" i="20"/>
  <c r="AG1565" i="20"/>
  <c r="AG1566" i="20"/>
  <c r="AG1569" i="20"/>
  <c r="AH1569" i="20" s="1"/>
  <c r="AG1570" i="20"/>
  <c r="AG1571" i="20"/>
  <c r="AG1573" i="20"/>
  <c r="AG1574" i="20"/>
  <c r="AG1578" i="20"/>
  <c r="AH1578" i="20" s="1"/>
  <c r="AG1579" i="20"/>
  <c r="AG1581" i="20"/>
  <c r="AG1582" i="20"/>
  <c r="AH1582" i="20" s="1"/>
  <c r="AG1585" i="20"/>
  <c r="AG1586" i="20"/>
  <c r="AG1587" i="20"/>
  <c r="AH1587" i="20" s="1"/>
  <c r="AG1589" i="20"/>
  <c r="AH1589" i="20" s="1"/>
  <c r="AG1590" i="20"/>
  <c r="AG1592" i="20"/>
  <c r="AG1593" i="20"/>
  <c r="AG1594" i="20"/>
  <c r="AG1597" i="20"/>
  <c r="AG1598" i="20"/>
  <c r="AH1598" i="20" s="1"/>
  <c r="AG1602" i="20"/>
  <c r="AG1603" i="20"/>
  <c r="AG1605" i="20"/>
  <c r="AG1606" i="20"/>
  <c r="AG1609" i="20"/>
  <c r="AG1610" i="20"/>
  <c r="AH1610" i="20" s="1"/>
  <c r="AG1611" i="20"/>
  <c r="AG1613" i="20"/>
  <c r="AG1614" i="20"/>
  <c r="AG1617" i="20"/>
  <c r="AH1617" i="20" s="1"/>
  <c r="AG1618" i="20"/>
  <c r="AG1621" i="20"/>
  <c r="AG1622" i="20"/>
  <c r="AG1625" i="20"/>
  <c r="AH1625" i="20" s="1"/>
  <c r="AG1626" i="20"/>
  <c r="AG1627" i="20"/>
  <c r="AG1629" i="20"/>
  <c r="AG1630" i="20"/>
  <c r="AH1630" i="20" s="1"/>
  <c r="AG1633" i="20"/>
  <c r="AH1633" i="20" s="1"/>
  <c r="AG1634" i="20"/>
  <c r="AH1634" i="20" s="1"/>
  <c r="AG1635" i="20"/>
  <c r="AG1637" i="20"/>
  <c r="AG1638" i="20"/>
  <c r="AG1640" i="20"/>
  <c r="AG1642" i="20"/>
  <c r="AG1643" i="20"/>
  <c r="AG1645" i="20"/>
  <c r="AH1645" i="20" s="1"/>
  <c r="AG1646" i="20"/>
  <c r="AG1648" i="20"/>
  <c r="AH1648" i="20" s="1"/>
  <c r="AG1649" i="20"/>
  <c r="AH1649" i="20" s="1"/>
  <c r="AG1650" i="20"/>
  <c r="AG1651" i="20"/>
  <c r="AG1653" i="20"/>
  <c r="AG1654" i="20"/>
  <c r="AG1656" i="20"/>
  <c r="AH1656" i="20" s="1"/>
  <c r="AG1657" i="20"/>
  <c r="AG1658" i="20"/>
  <c r="AH1658" i="20" s="1"/>
  <c r="AG1661" i="20"/>
  <c r="AH1661" i="20" s="1"/>
  <c r="AG1662" i="20"/>
  <c r="AG1664" i="20"/>
  <c r="AG1666" i="20"/>
  <c r="AG1667" i="20"/>
  <c r="AG1669" i="20"/>
  <c r="AH1669" i="20" s="1"/>
  <c r="AG1670" i="20"/>
  <c r="AH1670" i="20" s="1"/>
  <c r="AG1672" i="20"/>
  <c r="AH1672" i="20" s="1"/>
  <c r="AG1673" i="20"/>
  <c r="AH1673" i="20" s="1"/>
  <c r="AG1674" i="20"/>
  <c r="AG1675" i="20"/>
  <c r="AG1677" i="20"/>
  <c r="AG1678" i="20"/>
  <c r="AG1680" i="20"/>
  <c r="AG1681" i="20"/>
  <c r="AG1682" i="20"/>
  <c r="AH1682" i="20" s="1"/>
  <c r="AG1685" i="20"/>
  <c r="AH1685" i="20" s="1"/>
  <c r="AG1686" i="20"/>
  <c r="AH1686" i="20" s="1"/>
  <c r="AG1688" i="20"/>
  <c r="AH1688" i="20" s="1"/>
  <c r="AG1689" i="20"/>
  <c r="AG1690" i="20"/>
  <c r="AG1691" i="20"/>
  <c r="AG1693" i="20"/>
  <c r="AG1694" i="20"/>
  <c r="AG1696" i="20"/>
  <c r="AH1696" i="20" s="1"/>
  <c r="AG1697" i="20"/>
  <c r="AG1698" i="20"/>
  <c r="AH1698" i="20" s="1"/>
  <c r="AG1699" i="20"/>
  <c r="AG1701" i="20"/>
  <c r="AG1702" i="20"/>
  <c r="AG1706" i="20"/>
  <c r="AG1707" i="20"/>
  <c r="AH1707" i="20" s="1"/>
  <c r="AG1709" i="20"/>
  <c r="AH1709" i="20" s="1"/>
  <c r="AG1710" i="20"/>
  <c r="AH1710" i="20" s="1"/>
  <c r="AG1713" i="20"/>
  <c r="AG1714" i="20"/>
  <c r="AG1715" i="20"/>
  <c r="AG1717" i="20"/>
  <c r="AG1718" i="20"/>
  <c r="AG1720" i="20"/>
  <c r="AG1721" i="20"/>
  <c r="AH1721" i="20" s="1"/>
  <c r="AG1722" i="20"/>
  <c r="AG1725" i="20"/>
  <c r="AG1726" i="20"/>
  <c r="AH1726" i="20" s="1"/>
  <c r="AG1729" i="20"/>
  <c r="AG1730" i="20"/>
  <c r="AH1730" i="20" s="1"/>
  <c r="AG1731" i="20"/>
  <c r="AG1733" i="20"/>
  <c r="AG1734" i="20"/>
  <c r="AG1737" i="20"/>
  <c r="AG1738" i="20"/>
  <c r="AG1739" i="20"/>
  <c r="AH1739" i="20" s="1"/>
  <c r="AG1741" i="20"/>
  <c r="AG1742" i="20"/>
  <c r="AG1745" i="20"/>
  <c r="AG1746" i="20"/>
  <c r="AG1747" i="20"/>
  <c r="AH1747" i="20" s="1"/>
  <c r="AG1749" i="20"/>
  <c r="AH1749" i="20" s="1"/>
  <c r="AG1750" i="20"/>
  <c r="AG1752" i="20"/>
  <c r="AG1753" i="20"/>
  <c r="AG1754" i="20"/>
  <c r="AG1755" i="20"/>
  <c r="AG1757" i="20"/>
  <c r="AG1758" i="20"/>
  <c r="AH1758" i="20" s="1"/>
  <c r="AG1761" i="20"/>
  <c r="AG1762" i="20"/>
  <c r="AG1763" i="20"/>
  <c r="AG1765" i="20"/>
  <c r="AG1766" i="20"/>
  <c r="AG1770" i="20"/>
  <c r="AG1771" i="20"/>
  <c r="AG1773" i="20"/>
  <c r="AH1773" i="20" s="1"/>
  <c r="AG1774" i="20"/>
  <c r="AH1774" i="20" s="1"/>
  <c r="AG1777" i="20"/>
  <c r="AG1778" i="20"/>
  <c r="AG1779" i="20"/>
  <c r="AG1781" i="20"/>
  <c r="AH1781" i="20" s="1"/>
  <c r="AG1784" i="20"/>
  <c r="AG1785" i="20"/>
  <c r="AH1785" i="20" s="1"/>
  <c r="AG1786" i="20"/>
  <c r="AH1786" i="20" s="1"/>
  <c r="AG1789" i="20"/>
  <c r="AG1790" i="20"/>
  <c r="AG1793" i="20"/>
  <c r="AG1794" i="20"/>
  <c r="AG1795" i="20"/>
  <c r="AH1795" i="20" s="1"/>
  <c r="AG1797" i="20"/>
  <c r="AH1797" i="20" s="1"/>
  <c r="AG1798" i="20"/>
  <c r="AH1798" i="20" s="1"/>
  <c r="AG1800" i="20"/>
  <c r="AH1800" i="20" s="1"/>
  <c r="AG1801" i="20"/>
  <c r="AG1802" i="20"/>
  <c r="AH1802" i="20" s="1"/>
  <c r="AG1803" i="20"/>
  <c r="AG1806" i="20"/>
  <c r="AG1808" i="20"/>
  <c r="AH1808" i="20" s="1"/>
  <c r="AG1809" i="20"/>
  <c r="AG1810" i="20"/>
  <c r="AH1810" i="20" s="1"/>
  <c r="AG1811" i="20"/>
  <c r="AH1811" i="20" s="1"/>
  <c r="AG1813" i="20"/>
  <c r="AG1814" i="20"/>
  <c r="AG1817" i="20"/>
  <c r="AH1817" i="20" s="1"/>
  <c r="AG1818" i="20"/>
  <c r="AG1819" i="20"/>
  <c r="AG1821" i="20"/>
  <c r="AG1822" i="20"/>
  <c r="AH1822" i="20" s="1"/>
  <c r="AG1825" i="20"/>
  <c r="AH1825" i="20" s="1"/>
  <c r="AG1826" i="20"/>
  <c r="AG1827" i="20"/>
  <c r="AG1829" i="20"/>
  <c r="AG1830" i="20"/>
  <c r="AG1832" i="20"/>
  <c r="AG1834" i="20"/>
  <c r="AG1835" i="20"/>
  <c r="AG1837" i="20"/>
  <c r="AH1837" i="20" s="1"/>
  <c r="AG1841" i="20"/>
  <c r="AG1842" i="20"/>
  <c r="AG1843" i="20"/>
  <c r="AG1845" i="20"/>
  <c r="AG1846" i="20"/>
  <c r="AH1846" i="20" s="1"/>
  <c r="AG1848" i="20"/>
  <c r="AG1849" i="20"/>
  <c r="AG1850" i="20"/>
  <c r="AG1853" i="20"/>
  <c r="AG1854" i="20"/>
  <c r="AG1857" i="20"/>
  <c r="AG1858" i="20"/>
  <c r="AG1859" i="20"/>
  <c r="AG1862" i="20"/>
  <c r="AG1865" i="20"/>
  <c r="AH1865" i="20" s="1"/>
  <c r="AG1866" i="20"/>
  <c r="AH1866" i="20" s="1"/>
  <c r="AG1867" i="20"/>
  <c r="AG1869" i="20"/>
  <c r="AG1870" i="20"/>
  <c r="AG1873" i="20"/>
  <c r="AG1874" i="20"/>
  <c r="AH1874" i="20" s="1"/>
  <c r="AG1877" i="20"/>
  <c r="AG1878" i="20"/>
  <c r="AH1878" i="20" s="1"/>
  <c r="AG1881" i="20"/>
  <c r="AG1882" i="20"/>
  <c r="AG1883" i="20"/>
  <c r="AG1885" i="20"/>
  <c r="AG1886" i="20"/>
  <c r="AG1888" i="20"/>
  <c r="AH1888" i="20" s="1"/>
  <c r="AG1889" i="20"/>
  <c r="AG1890" i="20"/>
  <c r="AG1891" i="20"/>
  <c r="AG1893" i="20"/>
  <c r="AH1893" i="20" s="1"/>
  <c r="AG1896" i="20"/>
  <c r="AG1898" i="20"/>
  <c r="AG1899" i="20"/>
  <c r="AH1899" i="20" s="1"/>
  <c r="AG1901" i="20"/>
  <c r="AG1905" i="20"/>
  <c r="AG1906" i="20"/>
  <c r="AG1907" i="20"/>
  <c r="AH1907" i="20" s="1"/>
  <c r="AG1909" i="20"/>
  <c r="AG1910" i="20"/>
  <c r="AG1912" i="20"/>
  <c r="AG1913" i="20"/>
  <c r="AG1914" i="20"/>
  <c r="AG1917" i="20"/>
  <c r="AG1920" i="20"/>
  <c r="AH1920" i="20" s="1"/>
  <c r="AG1921" i="20"/>
  <c r="AH1921" i="20" s="1"/>
  <c r="AG1922" i="20"/>
  <c r="AG1923" i="20"/>
  <c r="AG1928" i="20"/>
  <c r="AG1929" i="20"/>
  <c r="AG1930" i="20"/>
  <c r="AH1930" i="20" s="1"/>
  <c r="AG1931" i="20"/>
  <c r="AG1933" i="20"/>
  <c r="AH1933" i="20" s="1"/>
  <c r="AG1934" i="20"/>
  <c r="AH1934" i="20" s="1"/>
  <c r="AG1937" i="20"/>
  <c r="AG1938" i="20"/>
  <c r="AG1939" i="20"/>
  <c r="AG1941" i="20"/>
  <c r="AH1941" i="20" s="1"/>
  <c r="AG1942" i="20"/>
  <c r="AH1942" i="20" s="1"/>
  <c r="AG1945" i="20"/>
  <c r="AG1946" i="20"/>
  <c r="AG1947" i="20"/>
  <c r="AG1949" i="20"/>
  <c r="AG1952" i="20"/>
  <c r="AG1953" i="20"/>
  <c r="AG1954" i="20"/>
  <c r="AG1955" i="20"/>
  <c r="AG1960" i="20"/>
  <c r="AH1960" i="20" s="1"/>
  <c r="AG1962" i="20"/>
  <c r="AH1962" i="20" s="1"/>
  <c r="AG1965" i="20"/>
  <c r="AG1966" i="20"/>
  <c r="AG1968" i="20"/>
  <c r="AG1969" i="20"/>
  <c r="AG1970" i="20"/>
  <c r="AG1971" i="20"/>
  <c r="AG1973" i="20"/>
  <c r="AH1973" i="20" s="1"/>
  <c r="AG1976" i="20"/>
  <c r="AH1976" i="20" s="1"/>
  <c r="AG1977" i="20"/>
  <c r="AG1978" i="20"/>
  <c r="AG1981" i="20"/>
  <c r="AG1985" i="20"/>
  <c r="AH1985" i="20" s="1"/>
  <c r="AG1986" i="20"/>
  <c r="AG1987" i="20"/>
  <c r="AG1989" i="20"/>
  <c r="AH1989" i="20" s="1"/>
  <c r="AG1990" i="20"/>
  <c r="AH1990" i="20" s="1"/>
  <c r="AG1993" i="20"/>
  <c r="AG1994" i="20"/>
  <c r="AG1995" i="20"/>
  <c r="AG1998" i="20"/>
  <c r="AH1998" i="20" s="1"/>
  <c r="AG2001" i="20"/>
  <c r="AH2001" i="20" s="1"/>
  <c r="AG2002" i="20"/>
  <c r="AH2002" i="20" s="1"/>
  <c r="AG2003" i="20"/>
  <c r="AG2006" i="20"/>
  <c r="AH2006" i="20" s="1"/>
  <c r="AG2009" i="20"/>
  <c r="AG2010" i="20"/>
  <c r="AG2013" i="20"/>
  <c r="AH2013" i="20" s="1"/>
  <c r="AG2017" i="20"/>
  <c r="AG2018" i="20"/>
  <c r="AG2019" i="20"/>
  <c r="AH2019" i="20" s="1"/>
  <c r="AG2021" i="20"/>
  <c r="AG2022" i="20"/>
  <c r="AG2024" i="20"/>
  <c r="AG2026" i="20"/>
  <c r="AG2027" i="20"/>
  <c r="AG2030" i="20"/>
  <c r="AH2030" i="20" s="1"/>
  <c r="AG2033" i="20"/>
  <c r="AG2034" i="20"/>
  <c r="AG2035" i="20"/>
  <c r="AG2037" i="20"/>
  <c r="AH2037" i="20" s="1"/>
  <c r="AG2041" i="20"/>
  <c r="AH2041" i="20" s="1"/>
  <c r="AG2042" i="20"/>
  <c r="AG2046" i="20"/>
  <c r="AG2048" i="20"/>
  <c r="AH2048" i="20" s="1"/>
  <c r="AG2049" i="20"/>
  <c r="AG2050" i="20"/>
  <c r="AG2051" i="20"/>
  <c r="AG2053" i="20"/>
  <c r="AH2053" i="20" s="1"/>
  <c r="AG2056" i="20"/>
  <c r="AH2056" i="20" s="1"/>
  <c r="AG2057" i="20"/>
  <c r="AG2058" i="20"/>
  <c r="AH2058" i="20" s="1"/>
  <c r="AG2061" i="20"/>
  <c r="AG2065" i="20"/>
  <c r="AG2066" i="20"/>
  <c r="AG2067" i="20"/>
  <c r="AH2067" i="20" s="1"/>
  <c r="AG2069" i="20"/>
  <c r="AH2069" i="20" s="1"/>
  <c r="AG2070" i="20"/>
  <c r="AH2070" i="20" s="1"/>
  <c r="AG2073" i="20"/>
  <c r="AG2074" i="20"/>
  <c r="AG2080" i="20"/>
  <c r="AH2080" i="20" s="1"/>
  <c r="AG2081" i="20"/>
  <c r="AG2082" i="20"/>
  <c r="AH2082" i="20" s="1"/>
  <c r="AG2083" i="20"/>
  <c r="AH2083" i="20" s="1"/>
  <c r="AG2090" i="20"/>
  <c r="AG2091" i="20"/>
  <c r="AH2091" i="20" s="1"/>
  <c r="AG2094" i="20"/>
  <c r="AG2096" i="20"/>
  <c r="AG2097" i="20"/>
  <c r="AH2097" i="20" s="1"/>
  <c r="AG2098" i="20"/>
  <c r="AG2099" i="20"/>
  <c r="AG2102" i="20"/>
  <c r="AH2102" i="20" s="1"/>
  <c r="AG2104" i="20"/>
  <c r="AH2104" i="20" s="1"/>
  <c r="AG2105" i="20"/>
  <c r="AG2106" i="20"/>
  <c r="AG2112" i="20"/>
  <c r="AG2113" i="20"/>
  <c r="AG2114" i="20"/>
  <c r="AG2115" i="20"/>
  <c r="AG2117" i="20"/>
  <c r="AG2118" i="20"/>
  <c r="AH2118" i="20" s="1"/>
  <c r="AG2121" i="20"/>
  <c r="AG2122" i="20"/>
  <c r="AG2126" i="20"/>
  <c r="AG2128" i="20"/>
  <c r="AG2129" i="20"/>
  <c r="AH2129" i="20" s="1"/>
  <c r="AG2130" i="20"/>
  <c r="AG2131" i="20"/>
  <c r="AG2134" i="20"/>
  <c r="AH2134" i="20" s="1"/>
  <c r="AG2137" i="20"/>
  <c r="AG2138" i="20"/>
  <c r="AG2141" i="20"/>
  <c r="AG2142" i="20"/>
  <c r="AH2142" i="20" s="1"/>
  <c r="AG2145" i="20"/>
  <c r="AG2146" i="20"/>
  <c r="AG2147" i="20"/>
  <c r="AG2149" i="20"/>
  <c r="AG2152" i="20"/>
  <c r="AH2152" i="20" s="1"/>
  <c r="AG2154" i="20"/>
  <c r="AG2155" i="20"/>
  <c r="AH2155" i="20" s="1"/>
  <c r="AG2158" i="20"/>
  <c r="AG2161" i="20"/>
  <c r="AG2162" i="20"/>
  <c r="AG2163" i="20"/>
  <c r="AG2169" i="20"/>
  <c r="AH2169" i="20" s="1"/>
  <c r="AG2170" i="20"/>
  <c r="AG2173" i="20"/>
  <c r="AG2174" i="20"/>
  <c r="AH2174" i="20" s="1"/>
  <c r="AG2177" i="20"/>
  <c r="AG2178" i="20"/>
  <c r="AG2179" i="20"/>
  <c r="AG2181" i="20"/>
  <c r="AH2181" i="20" s="1"/>
  <c r="AG2184" i="20"/>
  <c r="AH2184" i="20" s="1"/>
  <c r="AG2185" i="20"/>
  <c r="AH2185" i="20" s="1"/>
  <c r="AG2186" i="20"/>
  <c r="AG2193" i="20"/>
  <c r="AH2193" i="20" s="1"/>
  <c r="AG2194" i="20"/>
  <c r="AG2195" i="20"/>
  <c r="AG2197" i="20"/>
  <c r="AH2197" i="20" s="1"/>
  <c r="AG2198" i="20"/>
  <c r="AH2198" i="20" s="1"/>
  <c r="AG2200" i="20"/>
  <c r="AH2200" i="20" s="1"/>
  <c r="AG2201" i="20"/>
  <c r="AG2202" i="20"/>
  <c r="AG2203" i="20"/>
  <c r="AG2206" i="20"/>
  <c r="AG2209" i="20"/>
  <c r="AG2210" i="20"/>
  <c r="AG2211" i="20"/>
  <c r="AG2214" i="20"/>
  <c r="AH2214" i="20" s="1"/>
  <c r="AG2218" i="20"/>
  <c r="AG2221" i="20"/>
  <c r="AG2222" i="20"/>
  <c r="AH2222" i="20" s="1"/>
  <c r="AG2225" i="20"/>
  <c r="AG2226" i="20"/>
  <c r="AG2227" i="20"/>
  <c r="AG2230" i="20"/>
  <c r="AH2230" i="20" s="1"/>
  <c r="AG2233" i="20"/>
  <c r="AH2233" i="20" s="1"/>
  <c r="AG2234" i="20"/>
  <c r="AH2234" i="20" s="1"/>
  <c r="AG2240" i="20"/>
  <c r="AG2241" i="20"/>
  <c r="AG2242" i="20"/>
  <c r="AH2242" i="20" s="1"/>
  <c r="AG2245" i="20"/>
  <c r="AG2248" i="20"/>
  <c r="AH2248" i="20" s="1"/>
  <c r="AG2249" i="20"/>
  <c r="AG2250" i="20"/>
  <c r="AG2251" i="20"/>
  <c r="AH2251" i="20" s="1"/>
  <c r="AG2254" i="20"/>
  <c r="AG2256" i="20"/>
  <c r="AG2257" i="20"/>
  <c r="AG2258" i="20"/>
  <c r="AG2259" i="20"/>
  <c r="AG2262" i="20"/>
  <c r="AG2265" i="20"/>
  <c r="AG2266" i="20"/>
  <c r="AH2266" i="20" s="1"/>
  <c r="AG2269" i="20"/>
  <c r="AG2270" i="20"/>
  <c r="AH2270" i="20" s="1"/>
  <c r="AG2272" i="20"/>
  <c r="AG2273" i="20"/>
  <c r="AG2274" i="20"/>
  <c r="AG2277" i="20"/>
  <c r="AH2277" i="20" s="1"/>
  <c r="AG2280" i="20"/>
  <c r="AH2280" i="20" s="1"/>
  <c r="AG2282" i="20"/>
  <c r="AH2282" i="20" s="1"/>
  <c r="AG2283" i="20"/>
  <c r="AG2285" i="20"/>
  <c r="AG2289" i="20"/>
  <c r="AG2290" i="20"/>
  <c r="AH2290" i="20" s="1"/>
  <c r="AG2294" i="20"/>
  <c r="AH2294" i="20" s="1"/>
  <c r="AG2296" i="20"/>
  <c r="AH2296" i="20" s="1"/>
  <c r="AG2297" i="20"/>
  <c r="AH2297" i="20" s="1"/>
  <c r="AG2298" i="20"/>
  <c r="AH2298" i="20" s="1"/>
  <c r="AG2304" i="20"/>
  <c r="AG2305" i="20"/>
  <c r="AG2306" i="20"/>
  <c r="AG2309" i="20"/>
  <c r="AG2310" i="20"/>
  <c r="AH2310" i="20" s="1"/>
  <c r="AG2312" i="20"/>
  <c r="AG2313" i="20"/>
  <c r="AG2314" i="20"/>
  <c r="AH2314" i="20" s="1"/>
  <c r="AG2317" i="20"/>
  <c r="AG2318" i="20"/>
  <c r="AG2321" i="20"/>
  <c r="AG2322" i="20"/>
  <c r="AG2323" i="20"/>
  <c r="AH2323" i="20" s="1"/>
  <c r="AG2326" i="20"/>
  <c r="AG2329" i="20"/>
  <c r="AG2330" i="20"/>
  <c r="AH2330" i="20" s="1"/>
  <c r="AG2331" i="20"/>
  <c r="AG2333" i="20"/>
  <c r="AG2334" i="20"/>
  <c r="AH2334" i="20" s="1"/>
  <c r="AG2337" i="20"/>
  <c r="AG2338" i="20"/>
  <c r="AG2342" i="20"/>
  <c r="AH2342" i="20" s="1"/>
  <c r="AG2344" i="20"/>
  <c r="AH2344" i="20" s="1"/>
  <c r="AG2346" i="20"/>
  <c r="AG2347" i="20"/>
  <c r="AH2347" i="20" s="1"/>
  <c r="AG2349" i="20"/>
  <c r="AG2350" i="20"/>
  <c r="AG2352" i="20"/>
  <c r="AG2353" i="20"/>
  <c r="AG2354" i="20"/>
  <c r="AG2357" i="20"/>
  <c r="AH2357" i="20" s="1"/>
  <c r="AG2360" i="20"/>
  <c r="AH2360" i="20" s="1"/>
  <c r="AG2361" i="20"/>
  <c r="AG2362" i="20"/>
  <c r="AG2365" i="20"/>
  <c r="AG2368" i="20"/>
  <c r="AG2369" i="20"/>
  <c r="AG2370" i="20"/>
  <c r="AG2372" i="20"/>
  <c r="AH2372" i="20" s="1"/>
  <c r="AG2373" i="20"/>
  <c r="AH2373" i="20" s="1"/>
  <c r="AG2376" i="20"/>
  <c r="AG2377" i="20"/>
  <c r="AG2378" i="20"/>
  <c r="AG2380" i="20"/>
  <c r="AG2382" i="20"/>
  <c r="AH2382" i="20" s="1"/>
  <c r="AG2384" i="20"/>
  <c r="AH2384" i="20" s="1"/>
  <c r="AG2385" i="20"/>
  <c r="AH2385" i="20" s="1"/>
  <c r="AG2386" i="20"/>
  <c r="AG2388" i="20"/>
  <c r="AG2389" i="20"/>
  <c r="AG2390" i="20"/>
  <c r="AG2393" i="20"/>
  <c r="AG2394" i="20"/>
  <c r="AH2394" i="20" s="1"/>
  <c r="AG2396" i="20"/>
  <c r="AH2396" i="20" s="1"/>
  <c r="AG2397" i="20"/>
  <c r="AH2397" i="20" s="1"/>
  <c r="AG2400" i="20"/>
  <c r="AG2401" i="20"/>
  <c r="AG2402" i="20"/>
  <c r="AG2404" i="20"/>
  <c r="AG2405" i="20"/>
  <c r="AG2406" i="20"/>
  <c r="AH2406" i="20" s="1"/>
  <c r="AG2408" i="20"/>
  <c r="AG2409" i="20"/>
  <c r="AG2410" i="20"/>
  <c r="AG2412" i="20"/>
  <c r="AG2414" i="20"/>
  <c r="AG2416" i="20"/>
  <c r="AH2416" i="20" s="1"/>
  <c r="AG2417" i="20"/>
  <c r="AG2418" i="20"/>
  <c r="AH2418" i="20" s="1"/>
  <c r="AG2420" i="20"/>
  <c r="AG2421" i="20"/>
  <c r="AH2421" i="20" s="1"/>
  <c r="AG2425" i="20"/>
  <c r="AH2425" i="20" s="1"/>
  <c r="AG2426" i="20"/>
  <c r="AG2428" i="20"/>
  <c r="AG2429" i="20"/>
  <c r="AG2432" i="20"/>
  <c r="AG2433" i="20"/>
  <c r="AG2434" i="20"/>
  <c r="AG2436" i="20"/>
  <c r="AG2437" i="20"/>
  <c r="AH2437" i="20" s="1"/>
  <c r="AG2438" i="20"/>
  <c r="AG2440" i="20"/>
  <c r="AG2441" i="20"/>
  <c r="AG2442" i="20"/>
  <c r="AG2444" i="20"/>
  <c r="AG2446" i="20"/>
  <c r="AH2446" i="20" s="1"/>
  <c r="AG2448" i="20"/>
  <c r="AG2449" i="20"/>
  <c r="AH2449" i="20" s="1"/>
  <c r="AG2450" i="20"/>
  <c r="AG2452" i="20"/>
  <c r="AG2453" i="20"/>
  <c r="AG2454" i="20"/>
  <c r="AG2457" i="20"/>
  <c r="AH2457" i="20" s="1"/>
  <c r="AG2458" i="20"/>
  <c r="AH2458" i="20" s="1"/>
  <c r="AG2460" i="20"/>
  <c r="AG2461" i="20"/>
  <c r="AH2461" i="20" s="1"/>
  <c r="AG2464" i="20"/>
  <c r="AG2465" i="20"/>
  <c r="AG2466" i="20"/>
  <c r="AG2468" i="20"/>
  <c r="AG2469" i="20"/>
  <c r="AH2469" i="20" s="1"/>
  <c r="AG2470" i="20"/>
  <c r="AH2470" i="20" s="1"/>
  <c r="AG2472" i="20"/>
  <c r="AG2473" i="20"/>
  <c r="AG2474" i="20"/>
  <c r="AG2476" i="20"/>
  <c r="AG2478" i="20"/>
  <c r="AG2480" i="20"/>
  <c r="AH2480" i="20" s="1"/>
  <c r="AG2481" i="20"/>
  <c r="AH2481" i="20" s="1"/>
  <c r="AG2482" i="20"/>
  <c r="AH2482" i="20" s="1"/>
  <c r="AG2484" i="20"/>
  <c r="AG2485" i="20"/>
  <c r="AH2485" i="20" s="1"/>
  <c r="AG2486" i="20"/>
  <c r="AG2489" i="20"/>
  <c r="AH2489" i="20" s="1"/>
  <c r="AG2490" i="20"/>
  <c r="AG2492" i="20"/>
  <c r="AG2493" i="20"/>
  <c r="AH2493" i="20" s="1"/>
  <c r="AG2496" i="20"/>
  <c r="AG2497" i="20"/>
  <c r="AG2498" i="20"/>
  <c r="AG2500" i="20"/>
  <c r="AG2501" i="20"/>
  <c r="AG2502" i="20"/>
  <c r="AG2504" i="20"/>
  <c r="AG2505" i="20"/>
  <c r="AG2506" i="20"/>
  <c r="AG2508" i="20"/>
  <c r="AG2510" i="20"/>
  <c r="AH2510" i="20" s="1"/>
  <c r="AG2512" i="20"/>
  <c r="AG2513" i="20"/>
  <c r="AG2514" i="20"/>
  <c r="AG2516" i="20"/>
  <c r="AG2517" i="20"/>
  <c r="AG2518" i="20"/>
  <c r="AG2521" i="20"/>
  <c r="AG2522" i="20"/>
  <c r="AH2522" i="20" s="1"/>
  <c r="AH3" i="20"/>
  <c r="AH5" i="20"/>
  <c r="AH8" i="20"/>
  <c r="AH9" i="20"/>
  <c r="AH10" i="20"/>
  <c r="AH13" i="20"/>
  <c r="AH15" i="20"/>
  <c r="AH17" i="20"/>
  <c r="AH18" i="20"/>
  <c r="AH19" i="20"/>
  <c r="AH22" i="20"/>
  <c r="AH24" i="20"/>
  <c r="AH26" i="20"/>
  <c r="AH29" i="20"/>
  <c r="AH32" i="20"/>
  <c r="AH33" i="20"/>
  <c r="AH37" i="20"/>
  <c r="AH38" i="20"/>
  <c r="AH41" i="20"/>
  <c r="AH42" i="20"/>
  <c r="AH45" i="20"/>
  <c r="AH46" i="20"/>
  <c r="AH49" i="20"/>
  <c r="AH50" i="20"/>
  <c r="AH51" i="20"/>
  <c r="AH54" i="20"/>
  <c r="AH58" i="20"/>
  <c r="AH59" i="20"/>
  <c r="AH61" i="20"/>
  <c r="AH65" i="20"/>
  <c r="AH67" i="20"/>
  <c r="AH70" i="20"/>
  <c r="AH72" i="20"/>
  <c r="AH73" i="20"/>
  <c r="AH74" i="20"/>
  <c r="AH77" i="20"/>
  <c r="AH78" i="20"/>
  <c r="AH79" i="20"/>
  <c r="AH81" i="20"/>
  <c r="AH82" i="20"/>
  <c r="AH83" i="20"/>
  <c r="AH86" i="20"/>
  <c r="AH88" i="20"/>
  <c r="AH90" i="20"/>
  <c r="AH93" i="20"/>
  <c r="AH97" i="20"/>
  <c r="AH101" i="20"/>
  <c r="AH102" i="20"/>
  <c r="AH105" i="20"/>
  <c r="AH106" i="20"/>
  <c r="AH110" i="20"/>
  <c r="AH113" i="20"/>
  <c r="AH114" i="20"/>
  <c r="AH115" i="20"/>
  <c r="AH118" i="20"/>
  <c r="AH122" i="20"/>
  <c r="AH123" i="20"/>
  <c r="AH125" i="20"/>
  <c r="AH127" i="20"/>
  <c r="AH129" i="20"/>
  <c r="AH131" i="20"/>
  <c r="AH133" i="20"/>
  <c r="AH134" i="20"/>
  <c r="AH136" i="20"/>
  <c r="AH137" i="20"/>
  <c r="AH138" i="20"/>
  <c r="AH141" i="20"/>
  <c r="AH142" i="20"/>
  <c r="AH145" i="20"/>
  <c r="AH146" i="20"/>
  <c r="AH147" i="20"/>
  <c r="AH150" i="20"/>
  <c r="AH152" i="20"/>
  <c r="AH154" i="20"/>
  <c r="AH157" i="20"/>
  <c r="AH160" i="20"/>
  <c r="AH161" i="20"/>
  <c r="AH165" i="20"/>
  <c r="AH166" i="20"/>
  <c r="AH169" i="20"/>
  <c r="AH170" i="20"/>
  <c r="AH173" i="20"/>
  <c r="AH174" i="20"/>
  <c r="AH177" i="20"/>
  <c r="AH179" i="20"/>
  <c r="AH182" i="20"/>
  <c r="AH186" i="20"/>
  <c r="AH187" i="20"/>
  <c r="AH191" i="20"/>
  <c r="AH193" i="20"/>
  <c r="AH194" i="20"/>
  <c r="AH195" i="20"/>
  <c r="AH197" i="20"/>
  <c r="AH198" i="20"/>
  <c r="AH201" i="20"/>
  <c r="AH202" i="20"/>
  <c r="AH205" i="20"/>
  <c r="AH206" i="20"/>
  <c r="AH209" i="20"/>
  <c r="AH210" i="20"/>
  <c r="AH211" i="20"/>
  <c r="AH214" i="20"/>
  <c r="AH216" i="20"/>
  <c r="AH218" i="20"/>
  <c r="AH221" i="20"/>
  <c r="AH224" i="20"/>
  <c r="AH225" i="20"/>
  <c r="AH229" i="20"/>
  <c r="AH230" i="20"/>
  <c r="AH233" i="20"/>
  <c r="AH234" i="20"/>
  <c r="AH237" i="20"/>
  <c r="AH238" i="20"/>
  <c r="AH241" i="20"/>
  <c r="AH242" i="20"/>
  <c r="AH243" i="20"/>
  <c r="AH246" i="20"/>
  <c r="AH250" i="20"/>
  <c r="AH257" i="20"/>
  <c r="AH262" i="20"/>
  <c r="AH264" i="20"/>
  <c r="AH265" i="20"/>
  <c r="AH266" i="20"/>
  <c r="AH269" i="20"/>
  <c r="AH274" i="20"/>
  <c r="AH275" i="20"/>
  <c r="AH277" i="20"/>
  <c r="AH278" i="20"/>
  <c r="AH280" i="20"/>
  <c r="AH285" i="20"/>
  <c r="AH286" i="20"/>
  <c r="AH288" i="20"/>
  <c r="AH289" i="20"/>
  <c r="AH293" i="20"/>
  <c r="AH294" i="20"/>
  <c r="AH297" i="20"/>
  <c r="AH298" i="20"/>
  <c r="AH302" i="20"/>
  <c r="AH304" i="20"/>
  <c r="AH305" i="20"/>
  <c r="AH306" i="20"/>
  <c r="AH307" i="20"/>
  <c r="AH310" i="20"/>
  <c r="AH314" i="20"/>
  <c r="AH315" i="20"/>
  <c r="AH317" i="20"/>
  <c r="AH321" i="20"/>
  <c r="AH326" i="20"/>
  <c r="AH328" i="20"/>
  <c r="AH329" i="20"/>
  <c r="AH330" i="20"/>
  <c r="AH333" i="20"/>
  <c r="AH334" i="20"/>
  <c r="AH337" i="20"/>
  <c r="AH338" i="20"/>
  <c r="AH339" i="20"/>
  <c r="AH341" i="20"/>
  <c r="AH342" i="20"/>
  <c r="AH344" i="20"/>
  <c r="AH346" i="20"/>
  <c r="AH349" i="20"/>
  <c r="AH350" i="20"/>
  <c r="AH352" i="20"/>
  <c r="AH353" i="20"/>
  <c r="AH357" i="20"/>
  <c r="AH358" i="20"/>
  <c r="AH362" i="20"/>
  <c r="AH365" i="20"/>
  <c r="AH366" i="20"/>
  <c r="AH368" i="20"/>
  <c r="AH369" i="20"/>
  <c r="AH370" i="20"/>
  <c r="AH374" i="20"/>
  <c r="AH378" i="20"/>
  <c r="AH379" i="20"/>
  <c r="AH381" i="20"/>
  <c r="AH385" i="20"/>
  <c r="AH389" i="20"/>
  <c r="AH390" i="20"/>
  <c r="AH392" i="20"/>
  <c r="AH393" i="20"/>
  <c r="AH394" i="20"/>
  <c r="AH397" i="20"/>
  <c r="AH398" i="20"/>
  <c r="AH401" i="20"/>
  <c r="AH402" i="20"/>
  <c r="AH403" i="20"/>
  <c r="AH406" i="20"/>
  <c r="AH408" i="20"/>
  <c r="AH410" i="20"/>
  <c r="AH413" i="20"/>
  <c r="AH417" i="20"/>
  <c r="AH421" i="20"/>
  <c r="AH422" i="20"/>
  <c r="AH429" i="20"/>
  <c r="AH430" i="20"/>
  <c r="AH433" i="20"/>
  <c r="AH435" i="20"/>
  <c r="AH438" i="20"/>
  <c r="AH442" i="20"/>
  <c r="AH445" i="20"/>
  <c r="AH446" i="20"/>
  <c r="AH449" i="20"/>
  <c r="AH450" i="20"/>
  <c r="AH453" i="20"/>
  <c r="AH454" i="20"/>
  <c r="AH458" i="20"/>
  <c r="AH461" i="20"/>
  <c r="AH462" i="20"/>
  <c r="AH464" i="20"/>
  <c r="AH466" i="20"/>
  <c r="AH467" i="20"/>
  <c r="AH469" i="20"/>
  <c r="AH472" i="20"/>
  <c r="AH473" i="20"/>
  <c r="AH477" i="20"/>
  <c r="AH478" i="20"/>
  <c r="AH481" i="20"/>
  <c r="AH482" i="20"/>
  <c r="AH485" i="20"/>
  <c r="AH486" i="20"/>
  <c r="AH489" i="20"/>
  <c r="AH490" i="20"/>
  <c r="AH494" i="20"/>
  <c r="AH498" i="20"/>
  <c r="AH505" i="20"/>
  <c r="AH509" i="20"/>
  <c r="AH513" i="20"/>
  <c r="AH514" i="20"/>
  <c r="AH517" i="20"/>
  <c r="AH518" i="20"/>
  <c r="AH519" i="20"/>
  <c r="AH522" i="20"/>
  <c r="AH525" i="20"/>
  <c r="AH526" i="20"/>
  <c r="AH528" i="20"/>
  <c r="AH533" i="20"/>
  <c r="AH534" i="20"/>
  <c r="AH537" i="20"/>
  <c r="AH541" i="20"/>
  <c r="AH542" i="20"/>
  <c r="AH544" i="20"/>
  <c r="AH545" i="20"/>
  <c r="AH546" i="20"/>
  <c r="AH550" i="20"/>
  <c r="AH553" i="20"/>
  <c r="AH554" i="20"/>
  <c r="AH561" i="20"/>
  <c r="AH562" i="20"/>
  <c r="AH563" i="20"/>
  <c r="AH566" i="20"/>
  <c r="AH568" i="20"/>
  <c r="AH569" i="20"/>
  <c r="AH570" i="20"/>
  <c r="AH574" i="20"/>
  <c r="AH577" i="20"/>
  <c r="AH578" i="20"/>
  <c r="AH581" i="20"/>
  <c r="AH584" i="20"/>
  <c r="AH586" i="20"/>
  <c r="AH589" i="20"/>
  <c r="AH590" i="20"/>
  <c r="AH593" i="20"/>
  <c r="AH595" i="20"/>
  <c r="AH597" i="20"/>
  <c r="AH598" i="20"/>
  <c r="AH600" i="20"/>
  <c r="AH601" i="20"/>
  <c r="AH605" i="20"/>
  <c r="AH606" i="20"/>
  <c r="AH609" i="20"/>
  <c r="AH610" i="20"/>
  <c r="AH617" i="20"/>
  <c r="AH618" i="20"/>
  <c r="AH621" i="20"/>
  <c r="AH625" i="20"/>
  <c r="AH626" i="20"/>
  <c r="AH627" i="20"/>
  <c r="AH629" i="20"/>
  <c r="AH630" i="20"/>
  <c r="AH632" i="20"/>
  <c r="AH633" i="20"/>
  <c r="AH634" i="20"/>
  <c r="AH637" i="20"/>
  <c r="AH640" i="20"/>
  <c r="AH641" i="20"/>
  <c r="AH645" i="20"/>
  <c r="AH646" i="20"/>
  <c r="AH650" i="20"/>
  <c r="AH653" i="20"/>
  <c r="AH654" i="20"/>
  <c r="AH657" i="20"/>
  <c r="AH659" i="20"/>
  <c r="AH662" i="20"/>
  <c r="AH666" i="20"/>
  <c r="AH673" i="20"/>
  <c r="AH677" i="20"/>
  <c r="AH680" i="20"/>
  <c r="AH681" i="20"/>
  <c r="AH682" i="20"/>
  <c r="AH685" i="20"/>
  <c r="AH686" i="20"/>
  <c r="AH689" i="20"/>
  <c r="AH690" i="20"/>
  <c r="AH691" i="20"/>
  <c r="AH693" i="20"/>
  <c r="AH694" i="20"/>
  <c r="AH698" i="20"/>
  <c r="AH701" i="20"/>
  <c r="AH702" i="20"/>
  <c r="AH705" i="20"/>
  <c r="AH709" i="20"/>
  <c r="AH710" i="20"/>
  <c r="AH712" i="20"/>
  <c r="AH713" i="20"/>
  <c r="AH714" i="20"/>
  <c r="AH718" i="20"/>
  <c r="AH722" i="20"/>
  <c r="AH723" i="20"/>
  <c r="AH725" i="20"/>
  <c r="AH729" i="20"/>
  <c r="AH733" i="20"/>
  <c r="AH736" i="20"/>
  <c r="AH737" i="20"/>
  <c r="AH738" i="20"/>
  <c r="AH741" i="20"/>
  <c r="AH742" i="20"/>
  <c r="AH745" i="20"/>
  <c r="AH746" i="20"/>
  <c r="AH750" i="20"/>
  <c r="AH751" i="20"/>
  <c r="AH754" i="20"/>
  <c r="AH755" i="20"/>
  <c r="AH757" i="20"/>
  <c r="AH760" i="20"/>
  <c r="AH765" i="20"/>
  <c r="AH766" i="20"/>
  <c r="AH769" i="20"/>
  <c r="AH770" i="20"/>
  <c r="AH773" i="20"/>
  <c r="AH778" i="20"/>
  <c r="AH782" i="20"/>
  <c r="AH785" i="20"/>
  <c r="AH787" i="20"/>
  <c r="AH789" i="20"/>
  <c r="AH793" i="20"/>
  <c r="AH794" i="20"/>
  <c r="AH797" i="20"/>
  <c r="AH798" i="20"/>
  <c r="AH800" i="20"/>
  <c r="AH801" i="20"/>
  <c r="AH802" i="20"/>
  <c r="AH805" i="20"/>
  <c r="AH806" i="20"/>
  <c r="AH808" i="20"/>
  <c r="AH809" i="20"/>
  <c r="AH810" i="20"/>
  <c r="AH813" i="20"/>
  <c r="AH816" i="20"/>
  <c r="AH817" i="20"/>
  <c r="AH818" i="20"/>
  <c r="AH819" i="20"/>
  <c r="AH821" i="20"/>
  <c r="AH822" i="20"/>
  <c r="AH825" i="20"/>
  <c r="AH826" i="20"/>
  <c r="AH829" i="20"/>
  <c r="AH833" i="20"/>
  <c r="AH834" i="20"/>
  <c r="AH838" i="20"/>
  <c r="AH841" i="20"/>
  <c r="AH842" i="20"/>
  <c r="AH845" i="20"/>
  <c r="AH849" i="20"/>
  <c r="AH850" i="20"/>
  <c r="AH851" i="20"/>
  <c r="AH853" i="20"/>
  <c r="AH854" i="20"/>
  <c r="AH858" i="20"/>
  <c r="AH861" i="20"/>
  <c r="AH862" i="20"/>
  <c r="AH866" i="20"/>
  <c r="AH869" i="20"/>
  <c r="AH872" i="20"/>
  <c r="AH873" i="20"/>
  <c r="AH874" i="20"/>
  <c r="AH877" i="20"/>
  <c r="AH878" i="20"/>
  <c r="AH881" i="20"/>
  <c r="AH882" i="20"/>
  <c r="AH883" i="20"/>
  <c r="AH885" i="20"/>
  <c r="AH886" i="20"/>
  <c r="AH889" i="20"/>
  <c r="AH890" i="20"/>
  <c r="AH893" i="20"/>
  <c r="AH895" i="20"/>
  <c r="AH897" i="20"/>
  <c r="AH901" i="20"/>
  <c r="AH902" i="20"/>
  <c r="AH904" i="20"/>
  <c r="AH905" i="20"/>
  <c r="AH906" i="20"/>
  <c r="AH909" i="20"/>
  <c r="AH910" i="20"/>
  <c r="AH913" i="20"/>
  <c r="AH914" i="20"/>
  <c r="AH915" i="20"/>
  <c r="AH918" i="20"/>
  <c r="AH920" i="20"/>
  <c r="AH922" i="20"/>
  <c r="AH925" i="20"/>
  <c r="AH928" i="20"/>
  <c r="AH929" i="20"/>
  <c r="AH933" i="20"/>
  <c r="AH934" i="20"/>
  <c r="AH937" i="20"/>
  <c r="AH941" i="20"/>
  <c r="AH942" i="20"/>
  <c r="AH945" i="20"/>
  <c r="AH947" i="20"/>
  <c r="AH950" i="20"/>
  <c r="AH954" i="20"/>
  <c r="AH957" i="20"/>
  <c r="AH958" i="20"/>
  <c r="AH960" i="20"/>
  <c r="AH961" i="20"/>
  <c r="AH962" i="20"/>
  <c r="AH965" i="20"/>
  <c r="AH966" i="20"/>
  <c r="AH967" i="20"/>
  <c r="AH970" i="20"/>
  <c r="AH973" i="20"/>
  <c r="AH974" i="20"/>
  <c r="AH977" i="20"/>
  <c r="AH981" i="20"/>
  <c r="AH982" i="20"/>
  <c r="AH985" i="20"/>
  <c r="AH986" i="20"/>
  <c r="AH990" i="20"/>
  <c r="AH993" i="20"/>
  <c r="AH994" i="20"/>
  <c r="AH1002" i="20"/>
  <c r="AH1005" i="20"/>
  <c r="AH1007" i="20"/>
  <c r="AH1009" i="20"/>
  <c r="AH1011" i="20"/>
  <c r="AH1013" i="20"/>
  <c r="AH1016" i="20"/>
  <c r="AH1017" i="20"/>
  <c r="AH1018" i="20"/>
  <c r="AH1021" i="20"/>
  <c r="AH1022" i="20"/>
  <c r="AH1025" i="20"/>
  <c r="AH1026" i="20"/>
  <c r="AH1029" i="20"/>
  <c r="AH1034" i="20"/>
  <c r="AH1037" i="20"/>
  <c r="AH1038" i="20"/>
  <c r="AH1049" i="20"/>
  <c r="AH1050" i="20"/>
  <c r="AH1053" i="20"/>
  <c r="AH1055" i="20"/>
  <c r="AH1057" i="20"/>
  <c r="AH1060" i="20"/>
  <c r="AH1061" i="20"/>
  <c r="AH1064" i="20"/>
  <c r="AH1065" i="20"/>
  <c r="AH1066" i="20"/>
  <c r="AH1069" i="20"/>
  <c r="AH1070" i="20"/>
  <c r="AH1071" i="20"/>
  <c r="AH1073" i="20"/>
  <c r="AH1074" i="20"/>
  <c r="AH1076" i="20"/>
  <c r="AH1078" i="20"/>
  <c r="AH1080" i="20"/>
  <c r="AH1085" i="20"/>
  <c r="AH1086" i="20"/>
  <c r="AH1089" i="20"/>
  <c r="AH1093" i="20"/>
  <c r="AH1094" i="20"/>
  <c r="AH1097" i="20"/>
  <c r="AH1102" i="20"/>
  <c r="AH1106" i="20"/>
  <c r="AH1109" i="20"/>
  <c r="AH1111" i="20"/>
  <c r="AH1112" i="20"/>
  <c r="AH1113" i="20"/>
  <c r="AH1114" i="20"/>
  <c r="AH1117" i="20"/>
  <c r="AH1118" i="20"/>
  <c r="AH1121" i="20"/>
  <c r="AH1122" i="20"/>
  <c r="AH1123" i="20"/>
  <c r="AH1126" i="20"/>
  <c r="AH1129" i="20"/>
  <c r="AH1130" i="20"/>
  <c r="AH1131" i="20"/>
  <c r="AH1133" i="20"/>
  <c r="AH1139" i="20"/>
  <c r="AH1141" i="20"/>
  <c r="AH1142" i="20"/>
  <c r="AH1144" i="20"/>
  <c r="AH1145" i="20"/>
  <c r="AH1150" i="20"/>
  <c r="AH1152" i="20"/>
  <c r="AH1155" i="20"/>
  <c r="AH1157" i="20"/>
  <c r="AH1161" i="20"/>
  <c r="AH1162" i="20"/>
  <c r="AH1165" i="20"/>
  <c r="AH1166" i="20"/>
  <c r="AH1169" i="20"/>
  <c r="AH1173" i="20"/>
  <c r="AH1176" i="20"/>
  <c r="AH1177" i="20"/>
  <c r="AH1181" i="20"/>
  <c r="AH1182" i="20"/>
  <c r="AH1184" i="20"/>
  <c r="AH1185" i="20"/>
  <c r="AH1189" i="20"/>
  <c r="AH1190" i="20"/>
  <c r="AH1197" i="20"/>
  <c r="AH1201" i="20"/>
  <c r="AH1202" i="20"/>
  <c r="AH1203" i="20"/>
  <c r="AH1205" i="20"/>
  <c r="AH1206" i="20"/>
  <c r="AH1209" i="20"/>
  <c r="AH1210" i="20"/>
  <c r="AH1213" i="20"/>
  <c r="AH1214" i="20"/>
  <c r="AH1218" i="20"/>
  <c r="AH1221" i="20"/>
  <c r="AH1225" i="20"/>
  <c r="AH1226" i="20"/>
  <c r="AH1227" i="20"/>
  <c r="AH1229" i="20"/>
  <c r="AH1230" i="20"/>
  <c r="AH1232" i="20"/>
  <c r="AH1233" i="20"/>
  <c r="AH1237" i="20"/>
  <c r="AH1238" i="20"/>
  <c r="AH1241" i="20"/>
  <c r="AH1242" i="20"/>
  <c r="AH1243" i="20"/>
  <c r="AH1245" i="20"/>
  <c r="AH1251" i="20"/>
  <c r="AH1253" i="20"/>
  <c r="AH1254" i="20"/>
  <c r="AH1256" i="20"/>
  <c r="AH1258" i="20"/>
  <c r="AH1262" i="20"/>
  <c r="AH1264" i="20"/>
  <c r="AH1265" i="20"/>
  <c r="AH1266" i="20"/>
  <c r="AH1267" i="20"/>
  <c r="AH1269" i="20"/>
  <c r="AH1273" i="20"/>
  <c r="AH1274" i="20"/>
  <c r="AH1277" i="20"/>
  <c r="AH1278" i="20"/>
  <c r="AH1283" i="20"/>
  <c r="AH1286" i="20"/>
  <c r="AH1288" i="20"/>
  <c r="AH1290" i="20"/>
  <c r="AH1293" i="20"/>
  <c r="AH1294" i="20"/>
  <c r="AH1297" i="20"/>
  <c r="AH1298" i="20"/>
  <c r="AH1301" i="20"/>
  <c r="AH1304" i="20"/>
  <c r="AH1305" i="20"/>
  <c r="AH1306" i="20"/>
  <c r="AH1308" i="20"/>
  <c r="AH1309" i="20"/>
  <c r="AH1310" i="20"/>
  <c r="AH1312" i="20"/>
  <c r="AH1313" i="20"/>
  <c r="AH1315" i="20"/>
  <c r="AH1317" i="20"/>
  <c r="AH1322" i="20"/>
  <c r="AH1323" i="20"/>
  <c r="AH1325" i="20"/>
  <c r="AH1326" i="20"/>
  <c r="AH1329" i="20"/>
  <c r="AH1330" i="20"/>
  <c r="AH1331" i="20"/>
  <c r="AH1334" i="20"/>
  <c r="AH1336" i="20"/>
  <c r="AH1337" i="20"/>
  <c r="AH1338" i="20"/>
  <c r="AH1341" i="20"/>
  <c r="AH1346" i="20"/>
  <c r="AH1349" i="20"/>
  <c r="AH1350" i="20"/>
  <c r="AH1353" i="20"/>
  <c r="AH1354" i="20"/>
  <c r="AH1355" i="20"/>
  <c r="AH1357" i="20"/>
  <c r="AH1358" i="20"/>
  <c r="AH1361" i="20"/>
  <c r="AH1362" i="20"/>
  <c r="AH1365" i="20"/>
  <c r="AH1366" i="20"/>
  <c r="AH1370" i="20"/>
  <c r="AH1371" i="20"/>
  <c r="AH1377" i="20"/>
  <c r="AH1378" i="20"/>
  <c r="AH1379" i="20"/>
  <c r="AH1381" i="20"/>
  <c r="AH1382" i="20"/>
  <c r="AH1384" i="20"/>
  <c r="AH1386" i="20"/>
  <c r="AH1387" i="20"/>
  <c r="AH1389" i="20"/>
  <c r="AH1390" i="20"/>
  <c r="AH1393" i="20"/>
  <c r="AH1394" i="20"/>
  <c r="AH1395" i="20"/>
  <c r="AH1397" i="20"/>
  <c r="AH1398" i="20"/>
  <c r="AH1400" i="20"/>
  <c r="AH1401" i="20"/>
  <c r="AH1402" i="20"/>
  <c r="AH1405" i="20"/>
  <c r="AH1406" i="20"/>
  <c r="AH1410" i="20"/>
  <c r="AH1411" i="20"/>
  <c r="AH1418" i="20"/>
  <c r="AH1419" i="20"/>
  <c r="AH1421" i="20"/>
  <c r="AH1422" i="20"/>
  <c r="AH1425" i="20"/>
  <c r="AH1426" i="20"/>
  <c r="AH1433" i="20"/>
  <c r="AH1434" i="20"/>
  <c r="AH1435" i="20"/>
  <c r="AH1437" i="20"/>
  <c r="AH1438" i="20"/>
  <c r="AH1440" i="20"/>
  <c r="AH1442" i="20"/>
  <c r="AH1443" i="20"/>
  <c r="AH1446" i="20"/>
  <c r="AH1450" i="20"/>
  <c r="AH1451" i="20"/>
  <c r="AH1453" i="20"/>
  <c r="AH1457" i="20"/>
  <c r="AH1458" i="20"/>
  <c r="AH1459" i="20"/>
  <c r="AH1461" i="20"/>
  <c r="AH1465" i="20"/>
  <c r="AH1466" i="20"/>
  <c r="AH1469" i="20"/>
  <c r="AH1470" i="20"/>
  <c r="AH1474" i="20"/>
  <c r="AH1475" i="20"/>
  <c r="AH1476" i="20"/>
  <c r="AH1477" i="20"/>
  <c r="AH1478" i="20"/>
  <c r="AH1481" i="20"/>
  <c r="AH1482" i="20"/>
  <c r="AH1483" i="20"/>
  <c r="AH1485" i="20"/>
  <c r="AH1486" i="20"/>
  <c r="AH1488" i="20"/>
  <c r="AH1489" i="20"/>
  <c r="AH1490" i="20"/>
  <c r="AH1493" i="20"/>
  <c r="AH1494" i="20"/>
  <c r="AH1498" i="20"/>
  <c r="AH1499" i="20"/>
  <c r="AH1501" i="20"/>
  <c r="AH1505" i="20"/>
  <c r="AH1506" i="20"/>
  <c r="AH1507" i="20"/>
  <c r="AH1509" i="20"/>
  <c r="AH1510" i="20"/>
  <c r="AH1512" i="20"/>
  <c r="AH1514" i="20"/>
  <c r="AH1515" i="20"/>
  <c r="AH1517" i="20"/>
  <c r="AH1518" i="20"/>
  <c r="AH1520" i="20"/>
  <c r="AH1521" i="20"/>
  <c r="AH1522" i="20"/>
  <c r="AH1523" i="20"/>
  <c r="AH1525" i="20"/>
  <c r="AH1529" i="20"/>
  <c r="AH1533" i="20"/>
  <c r="AH1534" i="20"/>
  <c r="AH1536" i="20"/>
  <c r="AH1538" i="20"/>
  <c r="AH1539" i="20"/>
  <c r="AH1541" i="20"/>
  <c r="AH1542" i="20"/>
  <c r="AH1545" i="20"/>
  <c r="AH1546" i="20"/>
  <c r="AH1547" i="20"/>
  <c r="AH1549" i="20"/>
  <c r="AH1550" i="20"/>
  <c r="AH1553" i="20"/>
  <c r="AH1560" i="20"/>
  <c r="AH1561" i="20"/>
  <c r="AH1562" i="20"/>
  <c r="AH1563" i="20"/>
  <c r="AH1565" i="20"/>
  <c r="AH1566" i="20"/>
  <c r="AH1570" i="20"/>
  <c r="AH1571" i="20"/>
  <c r="AH1573" i="20"/>
  <c r="AH1574" i="20"/>
  <c r="AH1579" i="20"/>
  <c r="AH1581" i="20"/>
  <c r="AH1585" i="20"/>
  <c r="AH1586" i="20"/>
  <c r="AH1588" i="20"/>
  <c r="AH1590" i="20"/>
  <c r="AH1592" i="20"/>
  <c r="AH1593" i="20"/>
  <c r="AH1594" i="20"/>
  <c r="AH1597" i="20"/>
  <c r="AH1602" i="20"/>
  <c r="AH1603" i="20"/>
  <c r="AH1605" i="20"/>
  <c r="AH1606" i="20"/>
  <c r="AH1609" i="20"/>
  <c r="AH1611" i="20"/>
  <c r="AH1613" i="20"/>
  <c r="AH1614" i="20"/>
  <c r="AH1618" i="20"/>
  <c r="AH1621" i="20"/>
  <c r="AH1622" i="20"/>
  <c r="AH1626" i="20"/>
  <c r="AH1627" i="20"/>
  <c r="AH1629" i="20"/>
  <c r="AH1635" i="20"/>
  <c r="AH1637" i="20"/>
  <c r="AH1638" i="20"/>
  <c r="AH1640" i="20"/>
  <c r="AH1642" i="20"/>
  <c r="AH1643" i="20"/>
  <c r="AH1646" i="20"/>
  <c r="AH1650" i="20"/>
  <c r="AH1651" i="20"/>
  <c r="AH1653" i="20"/>
  <c r="AH1654" i="20"/>
  <c r="AH1657" i="20"/>
  <c r="AH1662" i="20"/>
  <c r="AH1664" i="20"/>
  <c r="AH1666" i="20"/>
  <c r="AH1667" i="20"/>
  <c r="AH1674" i="20"/>
  <c r="AH1675" i="20"/>
  <c r="AH1677" i="20"/>
  <c r="AH1678" i="20"/>
  <c r="AH1680" i="20"/>
  <c r="AH1681" i="20"/>
  <c r="AH1689" i="20"/>
  <c r="AH1690" i="20"/>
  <c r="AH1691" i="20"/>
  <c r="AH1693" i="20"/>
  <c r="AH1694" i="20"/>
  <c r="AH1697" i="20"/>
  <c r="AH1699" i="20"/>
  <c r="AH1700" i="20"/>
  <c r="AH1701" i="20"/>
  <c r="AH1702" i="20"/>
  <c r="AH1706" i="20"/>
  <c r="AH1713" i="20"/>
  <c r="AH1714" i="20"/>
  <c r="AH1715" i="20"/>
  <c r="AH1717" i="20"/>
  <c r="AH1718" i="20"/>
  <c r="AH1720" i="20"/>
  <c r="AH1722" i="20"/>
  <c r="AH1725" i="20"/>
  <c r="AH1729" i="20"/>
  <c r="AH1731" i="20"/>
  <c r="AH1732" i="20"/>
  <c r="AH1733" i="20"/>
  <c r="AH1734" i="20"/>
  <c r="AH1737" i="20"/>
  <c r="AH1738" i="20"/>
  <c r="AH1741" i="20"/>
  <c r="AH1742" i="20"/>
  <c r="AH1745" i="20"/>
  <c r="AH1746" i="20"/>
  <c r="AH1750" i="20"/>
  <c r="AH1752" i="20"/>
  <c r="AH1753" i="20"/>
  <c r="AH1754" i="20"/>
  <c r="AH1755" i="20"/>
  <c r="AH1757" i="20"/>
  <c r="AH1761" i="20"/>
  <c r="AH1762" i="20"/>
  <c r="AH1763" i="20"/>
  <c r="AH1765" i="20"/>
  <c r="AH1766" i="20"/>
  <c r="AH1770" i="20"/>
  <c r="AH1771" i="20"/>
  <c r="AH1777" i="20"/>
  <c r="AH1778" i="20"/>
  <c r="AH1779" i="20"/>
  <c r="AH1784" i="20"/>
  <c r="AH1789" i="20"/>
  <c r="AH1790" i="20"/>
  <c r="AH1793" i="20"/>
  <c r="AH1794" i="20"/>
  <c r="AH1801" i="20"/>
  <c r="AH1803" i="20"/>
  <c r="AH1806" i="20"/>
  <c r="AH1809" i="20"/>
  <c r="AH1813" i="20"/>
  <c r="AH1814" i="20"/>
  <c r="AH1818" i="20"/>
  <c r="AH1819" i="20"/>
  <c r="AH1821" i="20"/>
  <c r="AH1826" i="20"/>
  <c r="AH1827" i="20"/>
  <c r="AH1829" i="20"/>
  <c r="AH1830" i="20"/>
  <c r="AH1832" i="20"/>
  <c r="AH1834" i="20"/>
  <c r="AH1835" i="20"/>
  <c r="AH1841" i="20"/>
  <c r="AH1842" i="20"/>
  <c r="AH1843" i="20"/>
  <c r="AH1845" i="20"/>
  <c r="AH1848" i="20"/>
  <c r="AH1849" i="20"/>
  <c r="AH1850" i="20"/>
  <c r="AH1853" i="20"/>
  <c r="AH1854" i="20"/>
  <c r="AH1857" i="20"/>
  <c r="AH1858" i="20"/>
  <c r="AH1859" i="20"/>
  <c r="AH1862" i="20"/>
  <c r="AH1867" i="20"/>
  <c r="AH1869" i="20"/>
  <c r="AH1870" i="20"/>
  <c r="AH1873" i="20"/>
  <c r="AH1877" i="20"/>
  <c r="AH1881" i="20"/>
  <c r="AH1882" i="20"/>
  <c r="AH1883" i="20"/>
  <c r="AH1885" i="20"/>
  <c r="AH1886" i="20"/>
  <c r="AH1889" i="20"/>
  <c r="AH1890" i="20"/>
  <c r="AH1891" i="20"/>
  <c r="AH1896" i="20"/>
  <c r="AH1898" i="20"/>
  <c r="AH1901" i="20"/>
  <c r="AH1905" i="20"/>
  <c r="AH1906" i="20"/>
  <c r="AH1908" i="20"/>
  <c r="AH1909" i="20"/>
  <c r="AH1910" i="20"/>
  <c r="AH1912" i="20"/>
  <c r="AH1913" i="20"/>
  <c r="AH1914" i="20"/>
  <c r="AH1917" i="20"/>
  <c r="AH1922" i="20"/>
  <c r="AH1923" i="20"/>
  <c r="AH1928" i="20"/>
  <c r="AH1929" i="20"/>
  <c r="AH1931" i="20"/>
  <c r="AH1936" i="20"/>
  <c r="AH1937" i="20"/>
  <c r="AH1938" i="20"/>
  <c r="AH1939" i="20"/>
  <c r="AH1945" i="20"/>
  <c r="AH1946" i="20"/>
  <c r="AH1947" i="20"/>
  <c r="AH1949" i="20"/>
  <c r="AH1952" i="20"/>
  <c r="AH1953" i="20"/>
  <c r="AH1954" i="20"/>
  <c r="AH1955" i="20"/>
  <c r="AH1964" i="20"/>
  <c r="AH1965" i="20"/>
  <c r="AH1966" i="20"/>
  <c r="AH1968" i="20"/>
  <c r="AH1969" i="20"/>
  <c r="AH1970" i="20"/>
  <c r="AH1971" i="20"/>
  <c r="AH1977" i="20"/>
  <c r="AH1978" i="20"/>
  <c r="AH1981" i="20"/>
  <c r="AH1986" i="20"/>
  <c r="AH1987" i="20"/>
  <c r="AH1993" i="20"/>
  <c r="AH1994" i="20"/>
  <c r="AH1995" i="20"/>
  <c r="AH2003" i="20"/>
  <c r="AH2009" i="20"/>
  <c r="AH2010" i="20"/>
  <c r="AH2017" i="20"/>
  <c r="AH2018" i="20"/>
  <c r="AH2021" i="20"/>
  <c r="AH2022" i="20"/>
  <c r="AH2024" i="20"/>
  <c r="AH2025" i="20"/>
  <c r="AH2026" i="20"/>
  <c r="AH2027" i="20"/>
  <c r="AH2033" i="20"/>
  <c r="AH2034" i="20"/>
  <c r="AH2035" i="20"/>
  <c r="AH2042" i="20"/>
  <c r="AH2046" i="20"/>
  <c r="AH2049" i="20"/>
  <c r="AH2050" i="20"/>
  <c r="AH2051" i="20"/>
  <c r="AH2057" i="20"/>
  <c r="AH2061" i="20"/>
  <c r="AH2065" i="20"/>
  <c r="AH2066" i="20"/>
  <c r="AH2073" i="20"/>
  <c r="AH2074" i="20"/>
  <c r="AH2081" i="20"/>
  <c r="AH2090" i="20"/>
  <c r="AH2094" i="20"/>
  <c r="AH2096" i="20"/>
  <c r="AH2098" i="20"/>
  <c r="AH2099" i="20"/>
  <c r="AH2105" i="20"/>
  <c r="AH2106" i="20"/>
  <c r="AH2112" i="20"/>
  <c r="AH2113" i="20"/>
  <c r="AH2114" i="20"/>
  <c r="AH2115" i="20"/>
  <c r="AH2117" i="20"/>
  <c r="AH2121" i="20"/>
  <c r="AH2122" i="20"/>
  <c r="AH2124" i="20"/>
  <c r="AH2126" i="20"/>
  <c r="AH2128" i="20"/>
  <c r="AH2130" i="20"/>
  <c r="AH2131" i="20"/>
  <c r="AH2137" i="20"/>
  <c r="AH2138" i="20"/>
  <c r="AH2141" i="20"/>
  <c r="AH2145" i="20"/>
  <c r="AH2146" i="20"/>
  <c r="AH2147" i="20"/>
  <c r="AH2149" i="20"/>
  <c r="AH2154" i="20"/>
  <c r="AH2158" i="20"/>
  <c r="AH2161" i="20"/>
  <c r="AH2162" i="20"/>
  <c r="AH2163" i="20"/>
  <c r="AH2170" i="20"/>
  <c r="AH2173" i="20"/>
  <c r="AH2177" i="20"/>
  <c r="AH2178" i="20"/>
  <c r="AH2179" i="20"/>
  <c r="AH2186" i="20"/>
  <c r="AH2194" i="20"/>
  <c r="AH2195" i="20"/>
  <c r="AH2201" i="20"/>
  <c r="AH2202" i="20"/>
  <c r="AH2203" i="20"/>
  <c r="AH2204" i="20"/>
  <c r="AH2206" i="20"/>
  <c r="AH2209" i="20"/>
  <c r="AH2210" i="20"/>
  <c r="AH2211" i="20"/>
  <c r="AH2218" i="20"/>
  <c r="AH2221" i="20"/>
  <c r="AH2225" i="20"/>
  <c r="AH2226" i="20"/>
  <c r="AH2227" i="20"/>
  <c r="AH2240" i="20"/>
  <c r="AH2241" i="20"/>
  <c r="AH2245" i="20"/>
  <c r="AH2249" i="20"/>
  <c r="AH2250" i="20"/>
  <c r="AH2254" i="20"/>
  <c r="AH2256" i="20"/>
  <c r="AH2257" i="20"/>
  <c r="AH2258" i="20"/>
  <c r="AH2259" i="20"/>
  <c r="AH2260" i="20"/>
  <c r="AH2262" i="20"/>
  <c r="AH2265" i="20"/>
  <c r="AH2269" i="20"/>
  <c r="AH2272" i="20"/>
  <c r="AH2273" i="20"/>
  <c r="AH2274" i="20"/>
  <c r="AH2278" i="20"/>
  <c r="AH2283" i="20"/>
  <c r="AH2285" i="20"/>
  <c r="AH2289" i="20"/>
  <c r="AH2304" i="20"/>
  <c r="AH2305" i="20"/>
  <c r="AH2306" i="20"/>
  <c r="AH2309" i="20"/>
  <c r="AH2312" i="20"/>
  <c r="AH2313" i="20"/>
  <c r="AH2317" i="20"/>
  <c r="AH2318" i="20"/>
  <c r="AH2321" i="20"/>
  <c r="AH2322" i="20"/>
  <c r="AH2326" i="20"/>
  <c r="AH2329" i="20"/>
  <c r="AH2331" i="20"/>
  <c r="AH2332" i="20"/>
  <c r="AH2333" i="20"/>
  <c r="AH2337" i="20"/>
  <c r="AH2338" i="20"/>
  <c r="AH2346" i="20"/>
  <c r="AH2349" i="20"/>
  <c r="AH2350" i="20"/>
  <c r="AH2352" i="20"/>
  <c r="AH2353" i="20"/>
  <c r="AH2354" i="20"/>
  <c r="AH2361" i="20"/>
  <c r="AH2362" i="20"/>
  <c r="AH2365" i="20"/>
  <c r="AH2368" i="20"/>
  <c r="AH2369" i="20"/>
  <c r="AH2370" i="20"/>
  <c r="AH2376" i="20"/>
  <c r="AH2377" i="20"/>
  <c r="AH2378" i="20"/>
  <c r="AH2380" i="20"/>
  <c r="AH2386" i="20"/>
  <c r="AH2388" i="20"/>
  <c r="AH2389" i="20"/>
  <c r="AH2390" i="20"/>
  <c r="AH2393" i="20"/>
  <c r="AH2400" i="20"/>
  <c r="AH2401" i="20"/>
  <c r="AH2402" i="20"/>
  <c r="AH2404" i="20"/>
  <c r="AH2405" i="20"/>
  <c r="AH2408" i="20"/>
  <c r="AH2409" i="20"/>
  <c r="AH2410" i="20"/>
  <c r="AH2412" i="20"/>
  <c r="AH2414" i="20"/>
  <c r="AH2417" i="20"/>
  <c r="AH2420" i="20"/>
  <c r="AH2426" i="20"/>
  <c r="AH2428" i="20"/>
  <c r="AH2429" i="20"/>
  <c r="AH2432" i="20"/>
  <c r="AH2433" i="20"/>
  <c r="AH2434" i="20"/>
  <c r="AH2436" i="20"/>
  <c r="AH2438" i="20"/>
  <c r="AH2440" i="20"/>
  <c r="AH2441" i="20"/>
  <c r="AH2442" i="20"/>
  <c r="AH2443" i="20"/>
  <c r="AH2444" i="20"/>
  <c r="AH2448" i="20"/>
  <c r="AH2450" i="20"/>
  <c r="AH2452" i="20"/>
  <c r="AH2453" i="20"/>
  <c r="AH2454" i="20"/>
  <c r="AH2460" i="20"/>
  <c r="AH2464" i="20"/>
  <c r="AH2465" i="20"/>
  <c r="AH2466" i="20"/>
  <c r="AH2468" i="20"/>
  <c r="AH2472" i="20"/>
  <c r="AH2473" i="20"/>
  <c r="AH2474" i="20"/>
  <c r="AH2476" i="20"/>
  <c r="AH2478" i="20"/>
  <c r="AH2484" i="20"/>
  <c r="AH2486" i="20"/>
  <c r="AH2490" i="20"/>
  <c r="AH2492" i="20"/>
  <c r="AH2496" i="20"/>
  <c r="AH2497" i="20"/>
  <c r="AH2498" i="20"/>
  <c r="AH2500" i="20"/>
  <c r="AH2501" i="20"/>
  <c r="AH2502" i="20"/>
  <c r="AH2504" i="20"/>
  <c r="AH2505" i="20"/>
  <c r="AH2506" i="20"/>
  <c r="AH2508" i="20"/>
  <c r="AH2512" i="20"/>
  <c r="AH2513" i="20"/>
  <c r="AH2514" i="20"/>
  <c r="AH2516" i="20"/>
  <c r="AH2517" i="20"/>
  <c r="AH2518" i="20"/>
  <c r="AH2521" i="20"/>
  <c r="AI2" i="20"/>
  <c r="AI3" i="20"/>
  <c r="AI4" i="20"/>
  <c r="AI5" i="20"/>
  <c r="AI6" i="20"/>
  <c r="AI7" i="20"/>
  <c r="AI8" i="20"/>
  <c r="AI9" i="20"/>
  <c r="AI10" i="20"/>
  <c r="AI11" i="20"/>
  <c r="AI12" i="20"/>
  <c r="AI13" i="20"/>
  <c r="AI14" i="20"/>
  <c r="AI15" i="20"/>
  <c r="AI16" i="20"/>
  <c r="AI17" i="20"/>
  <c r="AI18" i="20"/>
  <c r="AI19" i="20"/>
  <c r="AI20" i="20"/>
  <c r="AI21" i="20"/>
  <c r="AI22" i="20"/>
  <c r="AI23" i="20"/>
  <c r="AI24" i="20"/>
  <c r="AI25" i="20"/>
  <c r="AI26" i="20"/>
  <c r="AI27" i="20"/>
  <c r="AI28" i="20"/>
  <c r="AI29" i="20"/>
  <c r="AI30" i="20"/>
  <c r="AI31" i="20"/>
  <c r="AI32" i="20"/>
  <c r="AI33" i="20"/>
  <c r="AI34" i="20"/>
  <c r="AI35" i="20"/>
  <c r="AI36" i="20"/>
  <c r="AI37" i="20"/>
  <c r="AI38" i="20"/>
  <c r="AI39" i="20"/>
  <c r="AI40" i="20"/>
  <c r="AI41" i="20"/>
  <c r="AI42" i="20"/>
  <c r="AI43" i="20"/>
  <c r="AI44" i="20"/>
  <c r="AI45" i="20"/>
  <c r="AI46" i="20"/>
  <c r="AI47" i="20"/>
  <c r="AI48" i="20"/>
  <c r="AI49" i="20"/>
  <c r="AI50" i="20"/>
  <c r="AI51" i="20"/>
  <c r="AI52" i="20"/>
  <c r="AI53" i="20"/>
  <c r="AI54" i="20"/>
  <c r="AI55" i="20"/>
  <c r="AI56" i="20"/>
  <c r="AI57" i="20"/>
  <c r="AI58" i="20"/>
  <c r="AI59" i="20"/>
  <c r="AI60" i="20"/>
  <c r="AI61" i="20"/>
  <c r="AI62" i="20"/>
  <c r="AI63" i="20"/>
  <c r="AI64" i="20"/>
  <c r="AI65" i="20"/>
  <c r="AI66" i="20"/>
  <c r="AI67" i="20"/>
  <c r="AI68" i="20"/>
  <c r="AI69" i="20"/>
  <c r="AI70" i="20"/>
  <c r="AI71" i="20"/>
  <c r="AI72" i="20"/>
  <c r="AI73" i="20"/>
  <c r="AI74" i="20"/>
  <c r="AI75" i="20"/>
  <c r="AI76" i="20"/>
  <c r="AI77" i="20"/>
  <c r="AI78" i="20"/>
  <c r="AI79" i="20"/>
  <c r="AI80" i="20"/>
  <c r="AI81" i="20"/>
  <c r="AI82" i="20"/>
  <c r="AI83" i="20"/>
  <c r="AI84" i="20"/>
  <c r="AI85" i="20"/>
  <c r="AI86" i="20"/>
  <c r="AI87" i="20"/>
  <c r="AI88" i="20"/>
  <c r="AI89" i="20"/>
  <c r="AI90" i="20"/>
  <c r="AI91" i="20"/>
  <c r="AI92" i="20"/>
  <c r="AI93" i="20"/>
  <c r="AI94" i="20"/>
  <c r="AI95" i="20"/>
  <c r="AI96" i="20"/>
  <c r="AI97" i="20"/>
  <c r="AI98" i="20"/>
  <c r="AI99" i="20"/>
  <c r="AI100" i="20"/>
  <c r="AI101" i="20"/>
  <c r="AI102" i="20"/>
  <c r="AI103" i="20"/>
  <c r="AI104" i="20"/>
  <c r="AI105" i="20"/>
  <c r="AI106" i="20"/>
  <c r="AI107" i="20"/>
  <c r="AI108" i="20"/>
  <c r="AI109" i="20"/>
  <c r="AI110" i="20"/>
  <c r="AI111" i="20"/>
  <c r="AI112" i="20"/>
  <c r="AI113" i="20"/>
  <c r="AI114" i="20"/>
  <c r="AI115" i="20"/>
  <c r="AI116" i="20"/>
  <c r="AI117" i="20"/>
  <c r="AI118" i="20"/>
  <c r="AI119" i="20"/>
  <c r="AI120" i="20"/>
  <c r="AI121" i="20"/>
  <c r="AI122" i="20"/>
  <c r="AI123" i="20"/>
  <c r="AI124" i="20"/>
  <c r="AI125" i="20"/>
  <c r="AI126" i="20"/>
  <c r="AI127" i="20"/>
  <c r="AI128" i="20"/>
  <c r="AI129" i="20"/>
  <c r="AI130" i="20"/>
  <c r="AI131" i="20"/>
  <c r="AI132" i="20"/>
  <c r="AI133" i="20"/>
  <c r="AI134" i="20"/>
  <c r="AI135" i="20"/>
  <c r="AI136" i="20"/>
  <c r="AI137" i="20"/>
  <c r="AI138" i="20"/>
  <c r="AI139" i="20"/>
  <c r="AI140" i="20"/>
  <c r="AI141" i="20"/>
  <c r="AI142" i="20"/>
  <c r="AI143" i="20"/>
  <c r="AI144" i="20"/>
  <c r="AI145" i="20"/>
  <c r="AI146" i="20"/>
  <c r="AI147" i="20"/>
  <c r="AI148" i="20"/>
  <c r="AI149" i="20"/>
  <c r="AI150" i="20"/>
  <c r="AI151" i="20"/>
  <c r="AI152" i="20"/>
  <c r="AI153" i="20"/>
  <c r="AI154" i="20"/>
  <c r="AI155" i="20"/>
  <c r="AI156" i="20"/>
  <c r="AI157" i="20"/>
  <c r="AI158" i="20"/>
  <c r="AI159" i="20"/>
  <c r="AI160" i="20"/>
  <c r="AI161" i="20"/>
  <c r="AI162" i="20"/>
  <c r="AI163" i="20"/>
  <c r="AI164" i="20"/>
  <c r="AI165" i="20"/>
  <c r="AI166" i="20"/>
  <c r="AI167" i="20"/>
  <c r="AI168" i="20"/>
  <c r="AI169" i="20"/>
  <c r="AI170" i="20"/>
  <c r="AI171" i="20"/>
  <c r="AI172" i="20"/>
  <c r="AI173" i="20"/>
  <c r="AI174" i="20"/>
  <c r="AI175" i="20"/>
  <c r="AI176" i="20"/>
  <c r="AI177" i="20"/>
  <c r="AI178" i="20"/>
  <c r="AI179" i="20"/>
  <c r="AI180" i="20"/>
  <c r="AI181" i="20"/>
  <c r="AI182" i="20"/>
  <c r="AI183" i="20"/>
  <c r="AI184" i="20"/>
  <c r="AI185" i="20"/>
  <c r="AI186" i="20"/>
  <c r="AI187" i="20"/>
  <c r="AI188" i="20"/>
  <c r="AI189" i="20"/>
  <c r="AI190" i="20"/>
  <c r="AI191" i="20"/>
  <c r="AI192" i="20"/>
  <c r="AI193" i="20"/>
  <c r="AI194" i="20"/>
  <c r="AI195" i="20"/>
  <c r="AI196" i="20"/>
  <c r="AI197" i="20"/>
  <c r="AI198" i="20"/>
  <c r="AI199" i="20"/>
  <c r="AI200" i="20"/>
  <c r="AI201" i="20"/>
  <c r="AI202" i="20"/>
  <c r="AI203" i="20"/>
  <c r="AI204" i="20"/>
  <c r="AI205" i="20"/>
  <c r="AI206" i="20"/>
  <c r="AI207" i="20"/>
  <c r="AI208" i="20"/>
  <c r="AI209" i="20"/>
  <c r="AI210" i="20"/>
  <c r="AI211" i="20"/>
  <c r="AI212" i="20"/>
  <c r="AI213" i="20"/>
  <c r="AI214" i="20"/>
  <c r="AI215" i="20"/>
  <c r="AI216" i="20"/>
  <c r="AI217" i="20"/>
  <c r="AI218" i="20"/>
  <c r="AI219" i="20"/>
  <c r="AI220" i="20"/>
  <c r="AI221" i="20"/>
  <c r="AI222" i="20"/>
  <c r="AI223" i="20"/>
  <c r="AI224" i="20"/>
  <c r="AI225" i="20"/>
  <c r="AI226" i="20"/>
  <c r="AI227" i="20"/>
  <c r="AI228" i="20"/>
  <c r="AI229" i="20"/>
  <c r="AI230" i="20"/>
  <c r="AI231" i="20"/>
  <c r="AI232" i="20"/>
  <c r="AI233" i="20"/>
  <c r="AI234" i="20"/>
  <c r="AI235" i="20"/>
  <c r="AI236" i="20"/>
  <c r="AI237" i="20"/>
  <c r="AI238" i="20"/>
  <c r="AI239" i="20"/>
  <c r="AI240" i="20"/>
  <c r="AI241" i="20"/>
  <c r="AI242" i="20"/>
  <c r="AI243" i="20"/>
  <c r="AI244" i="20"/>
  <c r="AI245" i="20"/>
  <c r="AI246" i="20"/>
  <c r="AI247" i="20"/>
  <c r="AI248" i="20"/>
  <c r="AI249" i="20"/>
  <c r="AI250" i="20"/>
  <c r="AI251" i="20"/>
  <c r="AI252" i="20"/>
  <c r="AI253" i="20"/>
  <c r="AI254" i="20"/>
  <c r="AI255" i="20"/>
  <c r="AI256" i="20"/>
  <c r="AI257" i="20"/>
  <c r="AI258" i="20"/>
  <c r="AI259" i="20"/>
  <c r="AI260" i="20"/>
  <c r="AI261" i="20"/>
  <c r="AI262" i="20"/>
  <c r="AI263" i="20"/>
  <c r="AI264" i="20"/>
  <c r="AI265" i="20"/>
  <c r="AI266" i="20"/>
  <c r="AI267" i="20"/>
  <c r="AI268" i="20"/>
  <c r="AI269" i="20"/>
  <c r="AI270" i="20"/>
  <c r="AI271" i="20"/>
  <c r="AI272" i="20"/>
  <c r="AI273" i="20"/>
  <c r="AI274" i="20"/>
  <c r="AI275" i="20"/>
  <c r="AI276" i="20"/>
  <c r="AI277" i="20"/>
  <c r="AI278" i="20"/>
  <c r="AI279" i="20"/>
  <c r="AI280" i="20"/>
  <c r="AI281" i="20"/>
  <c r="AI282" i="20"/>
  <c r="AI283" i="20"/>
  <c r="AI284" i="20"/>
  <c r="AI285" i="20"/>
  <c r="AI286" i="20"/>
  <c r="AI287" i="20"/>
  <c r="AI288" i="20"/>
  <c r="AI289" i="20"/>
  <c r="AI290" i="20"/>
  <c r="AI291" i="20"/>
  <c r="AI292" i="20"/>
  <c r="AI293" i="20"/>
  <c r="AI294" i="20"/>
  <c r="AI295" i="20"/>
  <c r="AI296" i="20"/>
  <c r="AI297" i="20"/>
  <c r="AI298" i="20"/>
  <c r="AI299" i="20"/>
  <c r="AI300" i="20"/>
  <c r="AI301" i="20"/>
  <c r="AI302" i="20"/>
  <c r="AI303" i="20"/>
  <c r="AI304" i="20"/>
  <c r="AI305" i="20"/>
  <c r="AI306" i="20"/>
  <c r="AI307" i="20"/>
  <c r="AI308" i="20"/>
  <c r="AI309" i="20"/>
  <c r="AI310" i="20"/>
  <c r="AI311" i="20"/>
  <c r="AI312" i="20"/>
  <c r="AI313" i="20"/>
  <c r="AI314" i="20"/>
  <c r="AI315" i="20"/>
  <c r="AI316" i="20"/>
  <c r="AI317" i="20"/>
  <c r="AI318" i="20"/>
  <c r="AI319" i="20"/>
  <c r="AI320" i="20"/>
  <c r="AI321" i="20"/>
  <c r="AI322" i="20"/>
  <c r="AI323" i="20"/>
  <c r="AI324" i="20"/>
  <c r="AI325" i="20"/>
  <c r="AI326" i="20"/>
  <c r="AI327" i="20"/>
  <c r="AI328" i="20"/>
  <c r="AI329" i="20"/>
  <c r="AI330" i="20"/>
  <c r="AI331" i="20"/>
  <c r="AI332" i="20"/>
  <c r="AI333" i="20"/>
  <c r="AI334" i="20"/>
  <c r="AI335" i="20"/>
  <c r="AI336" i="20"/>
  <c r="AI337" i="20"/>
  <c r="AI338" i="20"/>
  <c r="AI339" i="20"/>
  <c r="AI340" i="20"/>
  <c r="AI341" i="20"/>
  <c r="AI342" i="20"/>
  <c r="AI343" i="20"/>
  <c r="AI344" i="20"/>
  <c r="AI345" i="20"/>
  <c r="AI346" i="20"/>
  <c r="AI347" i="20"/>
  <c r="AI348" i="20"/>
  <c r="AI349" i="20"/>
  <c r="AI350" i="20"/>
  <c r="AI351" i="20"/>
  <c r="AI352" i="20"/>
  <c r="AI353" i="20"/>
  <c r="AI354" i="20"/>
  <c r="AI355" i="20"/>
  <c r="AI356" i="20"/>
  <c r="AI357" i="20"/>
  <c r="AI358" i="20"/>
  <c r="AI359" i="20"/>
  <c r="AI360" i="20"/>
  <c r="AI361" i="20"/>
  <c r="AI362" i="20"/>
  <c r="AI363" i="20"/>
  <c r="AI364" i="20"/>
  <c r="AI365" i="20"/>
  <c r="AI366" i="20"/>
  <c r="AI367" i="20"/>
  <c r="AI368" i="20"/>
  <c r="AI369" i="20"/>
  <c r="AI370" i="20"/>
  <c r="AI371" i="20"/>
  <c r="AI372" i="20"/>
  <c r="AI373" i="20"/>
  <c r="AI374" i="20"/>
  <c r="AI375" i="20"/>
  <c r="AI376" i="20"/>
  <c r="AI377" i="20"/>
  <c r="AI378" i="20"/>
  <c r="AI379" i="20"/>
  <c r="AI380" i="20"/>
  <c r="AI381" i="20"/>
  <c r="AI382" i="20"/>
  <c r="AI383" i="20"/>
  <c r="AI384" i="20"/>
  <c r="AI385" i="20"/>
  <c r="AI386" i="20"/>
  <c r="AI387" i="20"/>
  <c r="AI388" i="20"/>
  <c r="AI389" i="20"/>
  <c r="AI390" i="20"/>
  <c r="AI391" i="20"/>
  <c r="AI392" i="20"/>
  <c r="AI393" i="20"/>
  <c r="AI394" i="20"/>
  <c r="AI395" i="20"/>
  <c r="AI396" i="20"/>
  <c r="AI397" i="20"/>
  <c r="AI398" i="20"/>
  <c r="AI399" i="20"/>
  <c r="AI400" i="20"/>
  <c r="AI401" i="20"/>
  <c r="AI402" i="20"/>
  <c r="AI403" i="20"/>
  <c r="AI404" i="20"/>
  <c r="AI405" i="20"/>
  <c r="AI406" i="20"/>
  <c r="AI407" i="20"/>
  <c r="AI408" i="20"/>
  <c r="AI409" i="20"/>
  <c r="AI410" i="20"/>
  <c r="AI411" i="20"/>
  <c r="AI412" i="20"/>
  <c r="AI413" i="20"/>
  <c r="AI414" i="20"/>
  <c r="AI415" i="20"/>
  <c r="AI416" i="20"/>
  <c r="AI417" i="20"/>
  <c r="AI418" i="20"/>
  <c r="AI419" i="20"/>
  <c r="AI420" i="20"/>
  <c r="AI421" i="20"/>
  <c r="AI422" i="20"/>
  <c r="AI423" i="20"/>
  <c r="AI424" i="20"/>
  <c r="AI425" i="20"/>
  <c r="AI426" i="20"/>
  <c r="AI427" i="20"/>
  <c r="AI428" i="20"/>
  <c r="AI429" i="20"/>
  <c r="AI430" i="20"/>
  <c r="AI431" i="20"/>
  <c r="AI432" i="20"/>
  <c r="AI433" i="20"/>
  <c r="AI434" i="20"/>
  <c r="AI435" i="20"/>
  <c r="AI436" i="20"/>
  <c r="AI437" i="20"/>
  <c r="AI438" i="20"/>
  <c r="AI439" i="20"/>
  <c r="AI440" i="20"/>
  <c r="AI441" i="20"/>
  <c r="AI442" i="20"/>
  <c r="AI443" i="20"/>
  <c r="AI444" i="20"/>
  <c r="AI445" i="20"/>
  <c r="AI446" i="20"/>
  <c r="AI447" i="20"/>
  <c r="AI448" i="20"/>
  <c r="AI449" i="20"/>
  <c r="AI450" i="20"/>
  <c r="AI451" i="20"/>
  <c r="AI452" i="20"/>
  <c r="AI453" i="20"/>
  <c r="AI454" i="20"/>
  <c r="AI455" i="20"/>
  <c r="AI456" i="20"/>
  <c r="AI457" i="20"/>
  <c r="AI458" i="20"/>
  <c r="AI459" i="20"/>
  <c r="AI460" i="20"/>
  <c r="AI461" i="20"/>
  <c r="AI462" i="20"/>
  <c r="AI463" i="20"/>
  <c r="AI464" i="20"/>
  <c r="AI465" i="20"/>
  <c r="AI466" i="20"/>
  <c r="AI467" i="20"/>
  <c r="AI468" i="20"/>
  <c r="AI469" i="20"/>
  <c r="AI470" i="20"/>
  <c r="AI471" i="20"/>
  <c r="AI472" i="20"/>
  <c r="AI473" i="20"/>
  <c r="AI474" i="20"/>
  <c r="AI475" i="20"/>
  <c r="AI476" i="20"/>
  <c r="AI477" i="20"/>
  <c r="AI478" i="20"/>
  <c r="AI479" i="20"/>
  <c r="AI480" i="20"/>
  <c r="AI481" i="20"/>
  <c r="AI482" i="20"/>
  <c r="AI483" i="20"/>
  <c r="AI484" i="20"/>
  <c r="AI485" i="20"/>
  <c r="AI486" i="20"/>
  <c r="AI487" i="20"/>
  <c r="AI488" i="20"/>
  <c r="AI489" i="20"/>
  <c r="AI490" i="20"/>
  <c r="AI491" i="20"/>
  <c r="AI492" i="20"/>
  <c r="AI493" i="20"/>
  <c r="AI494" i="20"/>
  <c r="AI495" i="20"/>
  <c r="AI496" i="20"/>
  <c r="AI497" i="20"/>
  <c r="AI498" i="20"/>
  <c r="AI499" i="20"/>
  <c r="AI500" i="20"/>
  <c r="AI501" i="20"/>
  <c r="AI502" i="20"/>
  <c r="AI503" i="20"/>
  <c r="AI504" i="20"/>
  <c r="AI505" i="20"/>
  <c r="AI506" i="20"/>
  <c r="AI507" i="20"/>
  <c r="AI508" i="20"/>
  <c r="AI509" i="20"/>
  <c r="AI510" i="20"/>
  <c r="AI511" i="20"/>
  <c r="AI512" i="20"/>
  <c r="AI513" i="20"/>
  <c r="AI514" i="20"/>
  <c r="AI515" i="20"/>
  <c r="AI516" i="20"/>
  <c r="AI517" i="20"/>
  <c r="AI518" i="20"/>
  <c r="AI519" i="20"/>
  <c r="AI520" i="20"/>
  <c r="AI521" i="20"/>
  <c r="AI522" i="20"/>
  <c r="AI523" i="20"/>
  <c r="AI524" i="20"/>
  <c r="AI525" i="20"/>
  <c r="AI526" i="20"/>
  <c r="AI527" i="20"/>
  <c r="AI528" i="20"/>
  <c r="AI529" i="20"/>
  <c r="AI530" i="20"/>
  <c r="AI531" i="20"/>
  <c r="AI532" i="20"/>
  <c r="AI533" i="20"/>
  <c r="AI534" i="20"/>
  <c r="AI535" i="20"/>
  <c r="AI536" i="20"/>
  <c r="AI537" i="20"/>
  <c r="AI538" i="20"/>
  <c r="AI539" i="20"/>
  <c r="AI540" i="20"/>
  <c r="AI541" i="20"/>
  <c r="AI542" i="20"/>
  <c r="AI543" i="20"/>
  <c r="AI544" i="20"/>
  <c r="AI545" i="20"/>
  <c r="AI546" i="20"/>
  <c r="AI547" i="20"/>
  <c r="AI548" i="20"/>
  <c r="AI549" i="20"/>
  <c r="AI550" i="20"/>
  <c r="AI551" i="20"/>
  <c r="AI552" i="20"/>
  <c r="AI553" i="20"/>
  <c r="AI554" i="20"/>
  <c r="AI555" i="20"/>
  <c r="AI556" i="20"/>
  <c r="AI557" i="20"/>
  <c r="AI558" i="20"/>
  <c r="AI559" i="20"/>
  <c r="AI560" i="20"/>
  <c r="AI561" i="20"/>
  <c r="AI562" i="20"/>
  <c r="AI563" i="20"/>
  <c r="AI564" i="20"/>
  <c r="AI565" i="20"/>
  <c r="AI566" i="20"/>
  <c r="AI567" i="20"/>
  <c r="AI568" i="20"/>
  <c r="AI569" i="20"/>
  <c r="AI570" i="20"/>
  <c r="AI571" i="20"/>
  <c r="AI572" i="20"/>
  <c r="AI573" i="20"/>
  <c r="AI574" i="20"/>
  <c r="AI575" i="20"/>
  <c r="AI576" i="20"/>
  <c r="AI577" i="20"/>
  <c r="AI578" i="20"/>
  <c r="AI579" i="20"/>
  <c r="AI580" i="20"/>
  <c r="AI581" i="20"/>
  <c r="AI582" i="20"/>
  <c r="AI583" i="20"/>
  <c r="AI584" i="20"/>
  <c r="AI585" i="20"/>
  <c r="AI586" i="20"/>
  <c r="AI587" i="20"/>
  <c r="AI588" i="20"/>
  <c r="AI589" i="20"/>
  <c r="AI590" i="20"/>
  <c r="AI591" i="20"/>
  <c r="AI592" i="20"/>
  <c r="AI593" i="20"/>
  <c r="AI594" i="20"/>
  <c r="AI595" i="20"/>
  <c r="AI596" i="20"/>
  <c r="AI597" i="20"/>
  <c r="AI598" i="20"/>
  <c r="AI599" i="20"/>
  <c r="AI600" i="20"/>
  <c r="AI601" i="20"/>
  <c r="AI602" i="20"/>
  <c r="AI603" i="20"/>
  <c r="AI604" i="20"/>
  <c r="AI605" i="20"/>
  <c r="AI606" i="20"/>
  <c r="AI607" i="20"/>
  <c r="AI608" i="20"/>
  <c r="AI609" i="20"/>
  <c r="AI610" i="20"/>
  <c r="AI611" i="20"/>
  <c r="AI612" i="20"/>
  <c r="AI613" i="20"/>
  <c r="AI614" i="20"/>
  <c r="AI615" i="20"/>
  <c r="AI616" i="20"/>
  <c r="AI617" i="20"/>
  <c r="AI618" i="20"/>
  <c r="AI619" i="20"/>
  <c r="AI620" i="20"/>
  <c r="AI621" i="20"/>
  <c r="AI622" i="20"/>
  <c r="AI623" i="20"/>
  <c r="AI624" i="20"/>
  <c r="AI625" i="20"/>
  <c r="AI626" i="20"/>
  <c r="AI627" i="20"/>
  <c r="AI628" i="20"/>
  <c r="AI629" i="20"/>
  <c r="AI630" i="20"/>
  <c r="AI631" i="20"/>
  <c r="AI632" i="20"/>
  <c r="AI633" i="20"/>
  <c r="AI634" i="20"/>
  <c r="AI635" i="20"/>
  <c r="AI636" i="20"/>
  <c r="AI637" i="20"/>
  <c r="AI638" i="20"/>
  <c r="AI639" i="20"/>
  <c r="AI640" i="20"/>
  <c r="AI641" i="20"/>
  <c r="AI642" i="20"/>
  <c r="AI643" i="20"/>
  <c r="AI644" i="20"/>
  <c r="AI645" i="20"/>
  <c r="AI646" i="20"/>
  <c r="AI647" i="20"/>
  <c r="AI648" i="20"/>
  <c r="AI649" i="20"/>
  <c r="AI650" i="20"/>
  <c r="AI651" i="20"/>
  <c r="AI652" i="20"/>
  <c r="AI653" i="20"/>
  <c r="AI654" i="20"/>
  <c r="AI655" i="20"/>
  <c r="AI656" i="20"/>
  <c r="AI657" i="20"/>
  <c r="AI658" i="20"/>
  <c r="AI659" i="20"/>
  <c r="AI660" i="20"/>
  <c r="AI661" i="20"/>
  <c r="AI662" i="20"/>
  <c r="AI663" i="20"/>
  <c r="AI664" i="20"/>
  <c r="AI665" i="20"/>
  <c r="AI666" i="20"/>
  <c r="AI667" i="20"/>
  <c r="AI668" i="20"/>
  <c r="AI669" i="20"/>
  <c r="AI670" i="20"/>
  <c r="AI671" i="20"/>
  <c r="AI672" i="20"/>
  <c r="AI673" i="20"/>
  <c r="AI674" i="20"/>
  <c r="AI675" i="20"/>
  <c r="AI676" i="20"/>
  <c r="AI677" i="20"/>
  <c r="AI678" i="20"/>
  <c r="AI679" i="20"/>
  <c r="AI680" i="20"/>
  <c r="AI681" i="20"/>
  <c r="AI682" i="20"/>
  <c r="AI683" i="20"/>
  <c r="AI684" i="20"/>
  <c r="AI685" i="20"/>
  <c r="AI686" i="20"/>
  <c r="AI687" i="20"/>
  <c r="AI688" i="20"/>
  <c r="AI689" i="20"/>
  <c r="AI690" i="20"/>
  <c r="AI691" i="20"/>
  <c r="AI692" i="20"/>
  <c r="AI693" i="20"/>
  <c r="AI694" i="20"/>
  <c r="AI695" i="20"/>
  <c r="AI696" i="20"/>
  <c r="AI697" i="20"/>
  <c r="AI698" i="20"/>
  <c r="AI699" i="20"/>
  <c r="AI700" i="20"/>
  <c r="AI701" i="20"/>
  <c r="AI702" i="20"/>
  <c r="AI703" i="20"/>
  <c r="AI704" i="20"/>
  <c r="AI705" i="20"/>
  <c r="AI706" i="20"/>
  <c r="AI707" i="20"/>
  <c r="AI708" i="20"/>
  <c r="AI709" i="20"/>
  <c r="AI710" i="20"/>
  <c r="AI711" i="20"/>
  <c r="AI712" i="20"/>
  <c r="AI713" i="20"/>
  <c r="AI714" i="20"/>
  <c r="AI715" i="20"/>
  <c r="AI716" i="20"/>
  <c r="AI717" i="20"/>
  <c r="AI718" i="20"/>
  <c r="AI719" i="20"/>
  <c r="AI720" i="20"/>
  <c r="AI721" i="20"/>
  <c r="AI722" i="20"/>
  <c r="AI723" i="20"/>
  <c r="AI724" i="20"/>
  <c r="AI725" i="20"/>
  <c r="AI726" i="20"/>
  <c r="AI727" i="20"/>
  <c r="AI728" i="20"/>
  <c r="AI729" i="20"/>
  <c r="AI730" i="20"/>
  <c r="AI731" i="20"/>
  <c r="AI732" i="20"/>
  <c r="AI733" i="20"/>
  <c r="AI734" i="20"/>
  <c r="AI735" i="20"/>
  <c r="AI736" i="20"/>
  <c r="AI737" i="20"/>
  <c r="AI738" i="20"/>
  <c r="AI739" i="20"/>
  <c r="AI740" i="20"/>
  <c r="AI741" i="20"/>
  <c r="AI742" i="20"/>
  <c r="AI743" i="20"/>
  <c r="AI744" i="20"/>
  <c r="AI745" i="20"/>
  <c r="AI746" i="20"/>
  <c r="AI747" i="20"/>
  <c r="AI748" i="20"/>
  <c r="AI749" i="20"/>
  <c r="AI750" i="20"/>
  <c r="AI751" i="20"/>
  <c r="AI752" i="20"/>
  <c r="AI753" i="20"/>
  <c r="AI754" i="20"/>
  <c r="AI755" i="20"/>
  <c r="AI756" i="20"/>
  <c r="AI757" i="20"/>
  <c r="AI758" i="20"/>
  <c r="AI759" i="20"/>
  <c r="AI760" i="20"/>
  <c r="AI761" i="20"/>
  <c r="AI762" i="20"/>
  <c r="AI763" i="20"/>
  <c r="AI764" i="20"/>
  <c r="AI765" i="20"/>
  <c r="AI766" i="20"/>
  <c r="AI767" i="20"/>
  <c r="AI768" i="20"/>
  <c r="AI769" i="20"/>
  <c r="AI770" i="20"/>
  <c r="AI771" i="20"/>
  <c r="AI772" i="20"/>
  <c r="AI773" i="20"/>
  <c r="AI774" i="20"/>
  <c r="AI775" i="20"/>
  <c r="AI776" i="20"/>
  <c r="AI777" i="20"/>
  <c r="AI778" i="20"/>
  <c r="AI779" i="20"/>
  <c r="AI780" i="20"/>
  <c r="AI781" i="20"/>
  <c r="AI782" i="20"/>
  <c r="AI783" i="20"/>
  <c r="AI784" i="20"/>
  <c r="AI785" i="20"/>
  <c r="AI786" i="20"/>
  <c r="AI787" i="20"/>
  <c r="AI788" i="20"/>
  <c r="AI789" i="20"/>
  <c r="AI790" i="20"/>
  <c r="AI791" i="20"/>
  <c r="AI792" i="20"/>
  <c r="AI793" i="20"/>
  <c r="AI794" i="20"/>
  <c r="AI795" i="20"/>
  <c r="AI796" i="20"/>
  <c r="AI797" i="20"/>
  <c r="AI798" i="20"/>
  <c r="AI799" i="20"/>
  <c r="AI800" i="20"/>
  <c r="AI801" i="20"/>
  <c r="AI802" i="20"/>
  <c r="AI803" i="20"/>
  <c r="AI804" i="20"/>
  <c r="AI805" i="20"/>
  <c r="AI806" i="20"/>
  <c r="AI807" i="20"/>
  <c r="AI808" i="20"/>
  <c r="AI809" i="20"/>
  <c r="AI810" i="20"/>
  <c r="AI811" i="20"/>
  <c r="AI812" i="20"/>
  <c r="AI813" i="20"/>
  <c r="AI814" i="20"/>
  <c r="AI815" i="20"/>
  <c r="AI816" i="20"/>
  <c r="AI817" i="20"/>
  <c r="AI818" i="20"/>
  <c r="AI819" i="20"/>
  <c r="AI820" i="20"/>
  <c r="AI821" i="20"/>
  <c r="AI822" i="20"/>
  <c r="AI823" i="20"/>
  <c r="AI824" i="20"/>
  <c r="AI825" i="20"/>
  <c r="AI826" i="20"/>
  <c r="AI827" i="20"/>
  <c r="AI828" i="20"/>
  <c r="AI829" i="20"/>
  <c r="AI830" i="20"/>
  <c r="AI831" i="20"/>
  <c r="AI832" i="20"/>
  <c r="AI833" i="20"/>
  <c r="AI834" i="20"/>
  <c r="AI835" i="20"/>
  <c r="AI836" i="20"/>
  <c r="AI837" i="20"/>
  <c r="AI838" i="20"/>
  <c r="AI839" i="20"/>
  <c r="AI840" i="20"/>
  <c r="AI841" i="20"/>
  <c r="AI842" i="20"/>
  <c r="AI843" i="20"/>
  <c r="AI844" i="20"/>
  <c r="AI845" i="20"/>
  <c r="AI846" i="20"/>
  <c r="AI847" i="20"/>
  <c r="AI848" i="20"/>
  <c r="AI849" i="20"/>
  <c r="AI850" i="20"/>
  <c r="AI851" i="20"/>
  <c r="AI852" i="20"/>
  <c r="AI853" i="20"/>
  <c r="AI854" i="20"/>
  <c r="AI855" i="20"/>
  <c r="AI856" i="20"/>
  <c r="AI857" i="20"/>
  <c r="AI858" i="20"/>
  <c r="AI859" i="20"/>
  <c r="AI860" i="20"/>
  <c r="AI861" i="20"/>
  <c r="AI862" i="20"/>
  <c r="AI863" i="20"/>
  <c r="AI864" i="20"/>
  <c r="AI865" i="20"/>
  <c r="AI866" i="20"/>
  <c r="AI867" i="20"/>
  <c r="AI868" i="20"/>
  <c r="AI869" i="20"/>
  <c r="AI870" i="20"/>
  <c r="AI871" i="20"/>
  <c r="AI872" i="20"/>
  <c r="AI873" i="20"/>
  <c r="AI874" i="20"/>
  <c r="AI875" i="20"/>
  <c r="AI876" i="20"/>
  <c r="AI877" i="20"/>
  <c r="AI878" i="20"/>
  <c r="AI879" i="20"/>
  <c r="AI880" i="20"/>
  <c r="AI881" i="20"/>
  <c r="AI882" i="20"/>
  <c r="AI883" i="20"/>
  <c r="AI884" i="20"/>
  <c r="AI885" i="20"/>
  <c r="AI886" i="20"/>
  <c r="AI887" i="20"/>
  <c r="AI888" i="20"/>
  <c r="AI889" i="20"/>
  <c r="AI890" i="20"/>
  <c r="AI891" i="20"/>
  <c r="AI892" i="20"/>
  <c r="AI893" i="20"/>
  <c r="AI894" i="20"/>
  <c r="AI895" i="20"/>
  <c r="AI896" i="20"/>
  <c r="AI897" i="20"/>
  <c r="AI898" i="20"/>
  <c r="AI899" i="20"/>
  <c r="AI900" i="20"/>
  <c r="AI901" i="20"/>
  <c r="AI902" i="20"/>
  <c r="AI903" i="20"/>
  <c r="AI904" i="20"/>
  <c r="AI905" i="20"/>
  <c r="AI906" i="20"/>
  <c r="AI907" i="20"/>
  <c r="AI908" i="20"/>
  <c r="AI909" i="20"/>
  <c r="AI910" i="20"/>
  <c r="AI911" i="20"/>
  <c r="AI912" i="20"/>
  <c r="AI913" i="20"/>
  <c r="AI914" i="20"/>
  <c r="AI915" i="20"/>
  <c r="AI916" i="20"/>
  <c r="AI917" i="20"/>
  <c r="AI918" i="20"/>
  <c r="AI919" i="20"/>
  <c r="AI920" i="20"/>
  <c r="AI921" i="20"/>
  <c r="AI922" i="20"/>
  <c r="AI923" i="20"/>
  <c r="AI924" i="20"/>
  <c r="AI925" i="20"/>
  <c r="AI926" i="20"/>
  <c r="AI927" i="20"/>
  <c r="AI928" i="20"/>
  <c r="AI929" i="20"/>
  <c r="AI930" i="20"/>
  <c r="AI931" i="20"/>
  <c r="AI932" i="20"/>
  <c r="AI933" i="20"/>
  <c r="AI934" i="20"/>
  <c r="AI935" i="20"/>
  <c r="AI936" i="20"/>
  <c r="AI937" i="20"/>
  <c r="AI938" i="20"/>
  <c r="AI939" i="20"/>
  <c r="AI940" i="20"/>
  <c r="AI941" i="20"/>
  <c r="AI942" i="20"/>
  <c r="AI943" i="20"/>
  <c r="AI944" i="20"/>
  <c r="AI945" i="20"/>
  <c r="AI946" i="20"/>
  <c r="AI947" i="20"/>
  <c r="AI948" i="20"/>
  <c r="AI949" i="20"/>
  <c r="AI950" i="20"/>
  <c r="AI951" i="20"/>
  <c r="AI952" i="20"/>
  <c r="AI953" i="20"/>
  <c r="AI954" i="20"/>
  <c r="AI955" i="20"/>
  <c r="AI956" i="20"/>
  <c r="AI957" i="20"/>
  <c r="AI958" i="20"/>
  <c r="AI959" i="20"/>
  <c r="AI960" i="20"/>
  <c r="AI961" i="20"/>
  <c r="AI962" i="20"/>
  <c r="AI963" i="20"/>
  <c r="AI964" i="20"/>
  <c r="AI965" i="20"/>
  <c r="AI966" i="20"/>
  <c r="AI967" i="20"/>
  <c r="AI968" i="20"/>
  <c r="AI969" i="20"/>
  <c r="AI970" i="20"/>
  <c r="AI971" i="20"/>
  <c r="AI972" i="20"/>
  <c r="AI973" i="20"/>
  <c r="AI974" i="20"/>
  <c r="AI975" i="20"/>
  <c r="AI976" i="20"/>
  <c r="AI977" i="20"/>
  <c r="AI978" i="20"/>
  <c r="AI979" i="20"/>
  <c r="AI980" i="20"/>
  <c r="AI981" i="20"/>
  <c r="AI982" i="20"/>
  <c r="AI983" i="20"/>
  <c r="AI984" i="20"/>
  <c r="AI985" i="20"/>
  <c r="AI986" i="20"/>
  <c r="AI987" i="20"/>
  <c r="AI988" i="20"/>
  <c r="AI989" i="20"/>
  <c r="AI990" i="20"/>
  <c r="AI991" i="20"/>
  <c r="AI992" i="20"/>
  <c r="AI993" i="20"/>
  <c r="AI994" i="20"/>
  <c r="AI995" i="20"/>
  <c r="AI996" i="20"/>
  <c r="AI997" i="20"/>
  <c r="AI998" i="20"/>
  <c r="AI999" i="20"/>
  <c r="AI1000" i="20"/>
  <c r="AI1001" i="20"/>
  <c r="AI1002" i="20"/>
  <c r="AI1003" i="20"/>
  <c r="AI1004" i="20"/>
  <c r="AI1005" i="20"/>
  <c r="AI1006" i="20"/>
  <c r="AI1007" i="20"/>
  <c r="AI1008" i="20"/>
  <c r="AI1009" i="20"/>
  <c r="AI1010" i="20"/>
  <c r="AI1011" i="20"/>
  <c r="AI1012" i="20"/>
  <c r="AI1013" i="20"/>
  <c r="AI1014" i="20"/>
  <c r="AI1015" i="20"/>
  <c r="AI1016" i="20"/>
  <c r="AI1017" i="20"/>
  <c r="AI1018" i="20"/>
  <c r="AI1019" i="20"/>
  <c r="AI1020" i="20"/>
  <c r="AI1021" i="20"/>
  <c r="AI1022" i="20"/>
  <c r="AI1023" i="20"/>
  <c r="AI1024" i="20"/>
  <c r="AI1025" i="20"/>
  <c r="AI1026" i="20"/>
  <c r="AI1027" i="20"/>
  <c r="AI1028" i="20"/>
  <c r="AI1029" i="20"/>
  <c r="AI1030" i="20"/>
  <c r="AI1031" i="20"/>
  <c r="AI1032" i="20"/>
  <c r="AI1033" i="20"/>
  <c r="AI1034" i="20"/>
  <c r="AI1035" i="20"/>
  <c r="AI1036" i="20"/>
  <c r="AI1037" i="20"/>
  <c r="AI1038" i="20"/>
  <c r="AI1039" i="20"/>
  <c r="AI1040" i="20"/>
  <c r="AI1041" i="20"/>
  <c r="AI1042" i="20"/>
  <c r="AI1043" i="20"/>
  <c r="AI1044" i="20"/>
  <c r="AI1045" i="20"/>
  <c r="AI1046" i="20"/>
  <c r="AI1047" i="20"/>
  <c r="AI1048" i="20"/>
  <c r="AI1049" i="20"/>
  <c r="AI1050" i="20"/>
  <c r="AI1051" i="20"/>
  <c r="AI1052" i="20"/>
  <c r="AI1053" i="20"/>
  <c r="AI1054" i="20"/>
  <c r="AI1055" i="20"/>
  <c r="AI1056" i="20"/>
  <c r="AI1057" i="20"/>
  <c r="AI1058" i="20"/>
  <c r="AI1059" i="20"/>
  <c r="AI1060" i="20"/>
  <c r="AI1061" i="20"/>
  <c r="AI1062" i="20"/>
  <c r="AI1063" i="20"/>
  <c r="AI1064" i="20"/>
  <c r="AI1065" i="20"/>
  <c r="AI1066" i="20"/>
  <c r="AI1067" i="20"/>
  <c r="AI1068" i="20"/>
  <c r="AI1069" i="20"/>
  <c r="AI1070" i="20"/>
  <c r="AI1071" i="20"/>
  <c r="AI1072" i="20"/>
  <c r="AI1073" i="20"/>
  <c r="AI1074" i="20"/>
  <c r="AI1075" i="20"/>
  <c r="AI1076" i="20"/>
  <c r="AI1077" i="20"/>
  <c r="AI1078" i="20"/>
  <c r="AI1079" i="20"/>
  <c r="AI1080" i="20"/>
  <c r="AI1081" i="20"/>
  <c r="AI1082" i="20"/>
  <c r="AI1083" i="20"/>
  <c r="AI1084" i="20"/>
  <c r="AI1085" i="20"/>
  <c r="AI1086" i="20"/>
  <c r="AI1087" i="20"/>
  <c r="AI1088" i="20"/>
  <c r="AI1089" i="20"/>
  <c r="AI1090" i="20"/>
  <c r="AI1091" i="20"/>
  <c r="AI1092" i="20"/>
  <c r="AI1093" i="20"/>
  <c r="AI1094" i="20"/>
  <c r="AI1095" i="20"/>
  <c r="AI1096" i="20"/>
  <c r="AI1097" i="20"/>
  <c r="AI1098" i="20"/>
  <c r="AI1099" i="20"/>
  <c r="AI1100" i="20"/>
  <c r="AI1101" i="20"/>
  <c r="AI1102" i="20"/>
  <c r="AI1103" i="20"/>
  <c r="AI1104" i="20"/>
  <c r="AI1105" i="20"/>
  <c r="AI1106" i="20"/>
  <c r="AI1107" i="20"/>
  <c r="AI1108" i="20"/>
  <c r="AI1109" i="20"/>
  <c r="AI1110" i="20"/>
  <c r="AI1111" i="20"/>
  <c r="AI1112" i="20"/>
  <c r="AI1113" i="20"/>
  <c r="AI1114" i="20"/>
  <c r="AI1115" i="20"/>
  <c r="AI1116" i="20"/>
  <c r="AI1117" i="20"/>
  <c r="AI1118" i="20"/>
  <c r="AI1119" i="20"/>
  <c r="AI1120" i="20"/>
  <c r="AI1121" i="20"/>
  <c r="AI1122" i="20"/>
  <c r="AI1123" i="20"/>
  <c r="AI1124" i="20"/>
  <c r="AI1125" i="20"/>
  <c r="AI1126" i="20"/>
  <c r="AI1127" i="20"/>
  <c r="AI1128" i="20"/>
  <c r="AI1129" i="20"/>
  <c r="AI1130" i="20"/>
  <c r="AI1131" i="20"/>
  <c r="AI1132" i="20"/>
  <c r="AI1133" i="20"/>
  <c r="AI1134" i="20"/>
  <c r="AI1135" i="20"/>
  <c r="AI1136" i="20"/>
  <c r="AI1137" i="20"/>
  <c r="AI1138" i="20"/>
  <c r="AI1139" i="20"/>
  <c r="AI1140" i="20"/>
  <c r="AI1141" i="20"/>
  <c r="AI1142" i="20"/>
  <c r="AI1144" i="20"/>
  <c r="AI1145" i="20"/>
  <c r="AI1146" i="20"/>
  <c r="AI1147" i="20"/>
  <c r="AI1148" i="20"/>
  <c r="AI1149" i="20"/>
  <c r="AI1150" i="20"/>
  <c r="AI1152" i="20"/>
  <c r="AI1153" i="20"/>
  <c r="AI1154" i="20"/>
  <c r="AI1155" i="20"/>
  <c r="AI1156" i="20"/>
  <c r="AI1157" i="20"/>
  <c r="AI1158" i="20"/>
  <c r="AI1160" i="20"/>
  <c r="AI1161" i="20"/>
  <c r="AI1162" i="20"/>
  <c r="AI1163" i="20"/>
  <c r="AI1164" i="20"/>
  <c r="AI1165" i="20"/>
  <c r="AI1166" i="20"/>
  <c r="AI1168" i="20"/>
  <c r="AI1169" i="20"/>
  <c r="AI1170" i="20"/>
  <c r="AI1171" i="20"/>
  <c r="AI1172" i="20"/>
  <c r="AI1173" i="20"/>
  <c r="AI1174" i="20"/>
  <c r="AI1176" i="20"/>
  <c r="AI1177" i="20"/>
  <c r="AI1178" i="20"/>
  <c r="AI1179" i="20"/>
  <c r="AI1180" i="20"/>
  <c r="AI1181" i="20"/>
  <c r="AI1182" i="20"/>
  <c r="AI1184" i="20"/>
  <c r="AI1185" i="20"/>
  <c r="AI1186" i="20"/>
  <c r="AI1187" i="20"/>
  <c r="AI1188" i="20"/>
  <c r="AI1189" i="20"/>
  <c r="AI1190" i="20"/>
  <c r="AI1192" i="20"/>
  <c r="AI1193" i="20"/>
  <c r="AI1194" i="20"/>
  <c r="AI1195" i="20"/>
  <c r="AI1196" i="20"/>
  <c r="AI1197" i="20"/>
  <c r="AI1198" i="20"/>
  <c r="AI1200" i="20"/>
  <c r="AI1201" i="20"/>
  <c r="AI1202" i="20"/>
  <c r="AI1203" i="20"/>
  <c r="AI1204" i="20"/>
  <c r="AI1205" i="20"/>
  <c r="AI1206" i="20"/>
  <c r="AI1208" i="20"/>
  <c r="AI1209" i="20"/>
  <c r="AI1210" i="20"/>
  <c r="AI1211" i="20"/>
  <c r="AI1212" i="20"/>
  <c r="AI1213" i="20"/>
  <c r="AI1214" i="20"/>
  <c r="AI1216" i="20"/>
  <c r="AI1217" i="20"/>
  <c r="AI1218" i="20"/>
  <c r="AI1219" i="20"/>
  <c r="AI1220" i="20"/>
  <c r="AI1221" i="20"/>
  <c r="AI1222" i="20"/>
  <c r="AI1224" i="20"/>
  <c r="AI1225" i="20"/>
  <c r="AI1226" i="20"/>
  <c r="AI1227" i="20"/>
  <c r="AI1228" i="20"/>
  <c r="AI1229" i="20"/>
  <c r="AI1230" i="20"/>
  <c r="AI1232" i="20"/>
  <c r="AI1233" i="20"/>
  <c r="AI1234" i="20"/>
  <c r="AI1235" i="20"/>
  <c r="AI1236" i="20"/>
  <c r="AI1237" i="20"/>
  <c r="AI1238" i="20"/>
  <c r="AI1240" i="20"/>
  <c r="AI1241" i="20"/>
  <c r="AI1242" i="20"/>
  <c r="AI1243" i="20"/>
  <c r="AI1244" i="20"/>
  <c r="AI1245" i="20"/>
  <c r="AI1246" i="20"/>
  <c r="AI1248" i="20"/>
  <c r="AI1249" i="20"/>
  <c r="AI1250" i="20"/>
  <c r="AI1251" i="20"/>
  <c r="AI1252" i="20"/>
  <c r="AI1253" i="20"/>
  <c r="AI1254" i="20"/>
  <c r="AI1256" i="20"/>
  <c r="AI1257" i="20"/>
  <c r="AI1258" i="20"/>
  <c r="AI1259" i="20"/>
  <c r="AI1260" i="20"/>
  <c r="AI1261" i="20"/>
  <c r="AI1262" i="20"/>
  <c r="AI1264" i="20"/>
  <c r="AI1265" i="20"/>
  <c r="AI1266" i="20"/>
  <c r="AI1267" i="20"/>
  <c r="AI1268" i="20"/>
  <c r="AI1269" i="20"/>
  <c r="AI1270" i="20"/>
  <c r="AI1272" i="20"/>
  <c r="AI1273" i="20"/>
  <c r="AI1274" i="20"/>
  <c r="AI1275" i="20"/>
  <c r="AI1276" i="20"/>
  <c r="AI1277" i="20"/>
  <c r="AI1278" i="20"/>
  <c r="AI1280" i="20"/>
  <c r="AI1281" i="20"/>
  <c r="AI1282" i="20"/>
  <c r="AI1283" i="20"/>
  <c r="AI1284" i="20"/>
  <c r="AI1285" i="20"/>
  <c r="AI1286" i="20"/>
  <c r="AI1288" i="20"/>
  <c r="AI1289" i="20"/>
  <c r="AI1290" i="20"/>
  <c r="AI1291" i="20"/>
  <c r="AI1292" i="20"/>
  <c r="AI1293" i="20"/>
  <c r="AI1294" i="20"/>
  <c r="AI1296" i="20"/>
  <c r="AI1297" i="20"/>
  <c r="AI1298" i="20"/>
  <c r="AI1299" i="20"/>
  <c r="AI1300" i="20"/>
  <c r="AI1301" i="20"/>
  <c r="AI1302" i="20"/>
  <c r="AI1304" i="20"/>
  <c r="AI1305" i="20"/>
  <c r="AI1306" i="20"/>
  <c r="AI1307" i="20"/>
  <c r="AI1308" i="20"/>
  <c r="AI1309" i="20"/>
  <c r="AI1310" i="20"/>
  <c r="AI1312" i="20"/>
  <c r="AI1313" i="20"/>
  <c r="AI1314" i="20"/>
  <c r="AI1315" i="20"/>
  <c r="AI1316" i="20"/>
  <c r="AI1317" i="20"/>
  <c r="AI1318" i="20"/>
  <c r="AI1320" i="20"/>
  <c r="AI1321" i="20"/>
  <c r="AI1322" i="20"/>
  <c r="AI1323" i="20"/>
  <c r="AI1324" i="20"/>
  <c r="AI1325" i="20"/>
  <c r="AI1326" i="20"/>
  <c r="AI1328" i="20"/>
  <c r="AI1329" i="20"/>
  <c r="AI1330" i="20"/>
  <c r="AI1331" i="20"/>
  <c r="AI1332" i="20"/>
  <c r="AI1333" i="20"/>
  <c r="AI1334" i="20"/>
  <c r="AI1336" i="20"/>
  <c r="AI1337" i="20"/>
  <c r="AI1338" i="20"/>
  <c r="AI1339" i="20"/>
  <c r="AI1340" i="20"/>
  <c r="AI1341" i="20"/>
  <c r="AI1342" i="20"/>
  <c r="AI1344" i="20"/>
  <c r="AI1345" i="20"/>
  <c r="AI1346" i="20"/>
  <c r="AI1347" i="20"/>
  <c r="AI1348" i="20"/>
  <c r="AI1349" i="20"/>
  <c r="AI1350" i="20"/>
  <c r="AI1352" i="20"/>
  <c r="AI1353" i="20"/>
  <c r="AI1354" i="20"/>
  <c r="AI1355" i="20"/>
  <c r="AI1356" i="20"/>
  <c r="AI1357" i="20"/>
  <c r="AI1358" i="20"/>
  <c r="AI1360" i="20"/>
  <c r="AI1361" i="20"/>
  <c r="AI1362" i="20"/>
  <c r="AI1363" i="20"/>
  <c r="AI1364" i="20"/>
  <c r="AI1365" i="20"/>
  <c r="AI1366" i="20"/>
  <c r="AI1368" i="20"/>
  <c r="AI1369" i="20"/>
  <c r="AI1370" i="20"/>
  <c r="AI1371" i="20"/>
  <c r="AI1372" i="20"/>
  <c r="AI1373" i="20"/>
  <c r="AI1374" i="20"/>
  <c r="AI1376" i="20"/>
  <c r="AI1377" i="20"/>
  <c r="AI1378" i="20"/>
  <c r="AI1379" i="20"/>
  <c r="AI1380" i="20"/>
  <c r="AI1381" i="20"/>
  <c r="AI1382" i="20"/>
  <c r="AI1384" i="20"/>
  <c r="AI1385" i="20"/>
  <c r="AI1386" i="20"/>
  <c r="AI1387" i="20"/>
  <c r="AI1388" i="20"/>
  <c r="AI1389" i="20"/>
  <c r="AI1390" i="20"/>
  <c r="AI1392" i="20"/>
  <c r="AI1393" i="20"/>
  <c r="AI1394" i="20"/>
  <c r="AI1395" i="20"/>
  <c r="AI1396" i="20"/>
  <c r="AI1397" i="20"/>
  <c r="AI1398" i="20"/>
  <c r="AI1400" i="20"/>
  <c r="AI1401" i="20"/>
  <c r="AI1402" i="20"/>
  <c r="AI1403" i="20"/>
  <c r="AI1404" i="20"/>
  <c r="AI1405" i="20"/>
  <c r="AI1406" i="20"/>
  <c r="AI1408" i="20"/>
  <c r="AI1409" i="20"/>
  <c r="AI1410" i="20"/>
  <c r="AI1411" i="20"/>
  <c r="AI1412" i="20"/>
  <c r="AI1413" i="20"/>
  <c r="AI1414" i="20"/>
  <c r="AI1416" i="20"/>
  <c r="AI1417" i="20"/>
  <c r="AI1418" i="20"/>
  <c r="AI1419" i="20"/>
  <c r="AI1420" i="20"/>
  <c r="AI1421" i="20"/>
  <c r="AI1422" i="20"/>
  <c r="AI1424" i="20"/>
  <c r="AI1425" i="20"/>
  <c r="AI1426" i="20"/>
  <c r="AI1427" i="20"/>
  <c r="AI1428" i="20"/>
  <c r="AI1429" i="20"/>
  <c r="AI1430" i="20"/>
  <c r="AI1432" i="20"/>
  <c r="AI1433" i="20"/>
  <c r="AI1434" i="20"/>
  <c r="AI1435" i="20"/>
  <c r="AI1436" i="20"/>
  <c r="AI1437" i="20"/>
  <c r="AI1438" i="20"/>
  <c r="AI1440" i="20"/>
  <c r="AI1441" i="20"/>
  <c r="AI1442" i="20"/>
  <c r="AI1443" i="20"/>
  <c r="AI1444" i="20"/>
  <c r="AI1445" i="20"/>
  <c r="AI1446" i="20"/>
  <c r="AI1448" i="20"/>
  <c r="AI1449" i="20"/>
  <c r="AI1450" i="20"/>
  <c r="AI1451" i="20"/>
  <c r="AI1452" i="20"/>
  <c r="AI1453" i="20"/>
  <c r="AI1454" i="20"/>
  <c r="AI1456" i="20"/>
  <c r="AI1457" i="20"/>
  <c r="AI1458" i="20"/>
  <c r="AI1459" i="20"/>
  <c r="AI1460" i="20"/>
  <c r="AI1461" i="20"/>
  <c r="AI1462" i="20"/>
  <c r="AI1464" i="20"/>
  <c r="AI1465" i="20"/>
  <c r="AI1466" i="20"/>
  <c r="AI1467" i="20"/>
  <c r="AI1468" i="20"/>
  <c r="AI1469" i="20"/>
  <c r="AI1470" i="20"/>
  <c r="AI1472" i="20"/>
  <c r="AI1473" i="20"/>
  <c r="AI1474" i="20"/>
  <c r="AI1475" i="20"/>
  <c r="AI1476" i="20"/>
  <c r="AI1477" i="20"/>
  <c r="AI1478" i="20"/>
  <c r="AI1480" i="20"/>
  <c r="AI1481" i="20"/>
  <c r="AI1482" i="20"/>
  <c r="AI1483" i="20"/>
  <c r="AI1484" i="20"/>
  <c r="AI1485" i="20"/>
  <c r="AI1486" i="20"/>
  <c r="AI1488" i="20"/>
  <c r="AI1489" i="20"/>
  <c r="AI1490" i="20"/>
  <c r="AI1491" i="20"/>
  <c r="AI1492" i="20"/>
  <c r="AI1493" i="20"/>
  <c r="AI1494" i="20"/>
  <c r="AI1496" i="20"/>
  <c r="AI1497" i="20"/>
  <c r="AI1498" i="20"/>
  <c r="AI1499" i="20"/>
  <c r="AI1500" i="20"/>
  <c r="AI1501" i="20"/>
  <c r="AI1502" i="20"/>
  <c r="AI1504" i="20"/>
  <c r="AI1505" i="20"/>
  <c r="AI1506" i="20"/>
  <c r="AI1507" i="20"/>
  <c r="AI1508" i="20"/>
  <c r="AI1509" i="20"/>
  <c r="AI1510" i="20"/>
  <c r="AI1512" i="20"/>
  <c r="AI1513" i="20"/>
  <c r="AI1514" i="20"/>
  <c r="AI1515" i="20"/>
  <c r="AI1516" i="20"/>
  <c r="AI1517" i="20"/>
  <c r="AI1518" i="20"/>
  <c r="AI1520" i="20"/>
  <c r="AI1521" i="20"/>
  <c r="AI1522" i="20"/>
  <c r="AI1523" i="20"/>
  <c r="AI1524" i="20"/>
  <c r="AI1525" i="20"/>
  <c r="AI1526" i="20"/>
  <c r="AI1528" i="20"/>
  <c r="AI1529" i="20"/>
  <c r="AI1530" i="20"/>
  <c r="AI1531" i="20"/>
  <c r="AI1532" i="20"/>
  <c r="AI1533" i="20"/>
  <c r="AI1534" i="20"/>
  <c r="AI1536" i="20"/>
  <c r="AI1537" i="20"/>
  <c r="AI1538" i="20"/>
  <c r="AI1539" i="20"/>
  <c r="AI1540" i="20"/>
  <c r="AI1541" i="20"/>
  <c r="AI1542" i="20"/>
  <c r="AI1544" i="20"/>
  <c r="AI1545" i="20"/>
  <c r="AI1546" i="20"/>
  <c r="AI1547" i="20"/>
  <c r="AI1548" i="20"/>
  <c r="AI1549" i="20"/>
  <c r="AI1550" i="20"/>
  <c r="AI1552" i="20"/>
  <c r="AI1553" i="20"/>
  <c r="AI1554" i="20"/>
  <c r="AI1555" i="20"/>
  <c r="AI1556" i="20"/>
  <c r="AI1557" i="20"/>
  <c r="AI1558" i="20"/>
  <c r="AI1560" i="20"/>
  <c r="AI1561" i="20"/>
  <c r="AI1562" i="20"/>
  <c r="AI1563" i="20"/>
  <c r="AI1564" i="20"/>
  <c r="AI1565" i="20"/>
  <c r="AI1566" i="20"/>
  <c r="AI1568" i="20"/>
  <c r="AI1569" i="20"/>
  <c r="AI1570" i="20"/>
  <c r="AI1571" i="20"/>
  <c r="AI1572" i="20"/>
  <c r="AI1573" i="20"/>
  <c r="AI1574" i="20"/>
  <c r="AI1576" i="20"/>
  <c r="AI1577" i="20"/>
  <c r="AI1578" i="20"/>
  <c r="AI1579" i="20"/>
  <c r="AI1580" i="20"/>
  <c r="AI1581" i="20"/>
  <c r="AI1582" i="20"/>
  <c r="AI1584" i="20"/>
  <c r="AI1585" i="20"/>
  <c r="AI1586" i="20"/>
  <c r="AI1587" i="20"/>
  <c r="AI1588" i="20"/>
  <c r="AI1589" i="20"/>
  <c r="AI1590" i="20"/>
  <c r="AI1592" i="20"/>
  <c r="AI1593" i="20"/>
  <c r="AI1594" i="20"/>
  <c r="AI1595" i="20"/>
  <c r="AI1596" i="20"/>
  <c r="AI1597" i="20"/>
  <c r="AI1598" i="20"/>
  <c r="AI1600" i="20"/>
  <c r="AI1601" i="20"/>
  <c r="AI1602" i="20"/>
  <c r="AI1603" i="20"/>
  <c r="AI1604" i="20"/>
  <c r="AI1605" i="20"/>
  <c r="AI1606" i="20"/>
  <c r="AI1608" i="20"/>
  <c r="AI1609" i="20"/>
  <c r="AI1610" i="20"/>
  <c r="AI1611" i="20"/>
  <c r="AI1612" i="20"/>
  <c r="AI1613" i="20"/>
  <c r="AI1614" i="20"/>
  <c r="AI1616" i="20"/>
  <c r="AI1617" i="20"/>
  <c r="AI1618" i="20"/>
  <c r="AI1619" i="20"/>
  <c r="AI1620" i="20"/>
  <c r="AI1621" i="20"/>
  <c r="AI1622" i="20"/>
  <c r="AI1624" i="20"/>
  <c r="AI1625" i="20"/>
  <c r="AI1626" i="20"/>
  <c r="AI1627" i="20"/>
  <c r="AI1628" i="20"/>
  <c r="AI1629" i="20"/>
  <c r="AI1630" i="20"/>
  <c r="AI1632" i="20"/>
  <c r="AI1633" i="20"/>
  <c r="AI1634" i="20"/>
  <c r="AI1635" i="20"/>
  <c r="AI1636" i="20"/>
  <c r="AI1637" i="20"/>
  <c r="AI1638" i="20"/>
  <c r="AI1640" i="20"/>
  <c r="AI1641" i="20"/>
  <c r="AI1642" i="20"/>
  <c r="AI1643" i="20"/>
  <c r="AI1644" i="20"/>
  <c r="AI1645" i="20"/>
  <c r="AI1646" i="20"/>
  <c r="AI1648" i="20"/>
  <c r="AI1649" i="20"/>
  <c r="AI1650" i="20"/>
  <c r="AI1651" i="20"/>
  <c r="AI1652" i="20"/>
  <c r="AI1653" i="20"/>
  <c r="AI1654" i="20"/>
  <c r="AI1656" i="20"/>
  <c r="AI1657" i="20"/>
  <c r="AI1658" i="20"/>
  <c r="AI1659" i="20"/>
  <c r="AI1660" i="20"/>
  <c r="AI1661" i="20"/>
  <c r="AI1662" i="20"/>
  <c r="AI1664" i="20"/>
  <c r="AI1665" i="20"/>
  <c r="AI1666" i="20"/>
  <c r="AI1667" i="20"/>
  <c r="AI1668" i="20"/>
  <c r="AI1669" i="20"/>
  <c r="AI1670" i="20"/>
  <c r="AI1672" i="20"/>
  <c r="AI1673" i="20"/>
  <c r="AI1674" i="20"/>
  <c r="AI1675" i="20"/>
  <c r="AI1676" i="20"/>
  <c r="AI1677" i="20"/>
  <c r="AI1678" i="20"/>
  <c r="AI1680" i="20"/>
  <c r="AI1681" i="20"/>
  <c r="AI1682" i="20"/>
  <c r="AI1683" i="20"/>
  <c r="AI1684" i="20"/>
  <c r="AI1685" i="20"/>
  <c r="AI1686" i="20"/>
  <c r="AI1688" i="20"/>
  <c r="AI1689" i="20"/>
  <c r="AI1690" i="20"/>
  <c r="AI1691" i="20"/>
  <c r="AI1692" i="20"/>
  <c r="AI1693" i="20"/>
  <c r="AI1694" i="20"/>
  <c r="AI1696" i="20"/>
  <c r="AI1697" i="20"/>
  <c r="AI1698" i="20"/>
  <c r="AI1699" i="20"/>
  <c r="AI1700" i="20"/>
  <c r="AI1701" i="20"/>
  <c r="AI1702" i="20"/>
  <c r="AI1704" i="20"/>
  <c r="AI1705" i="20"/>
  <c r="AI1706" i="20"/>
  <c r="AI1707" i="20"/>
  <c r="AI1708" i="20"/>
  <c r="AI1709" i="20"/>
  <c r="AI1710" i="20"/>
  <c r="AI1712" i="20"/>
  <c r="AI1713" i="20"/>
  <c r="AI1714" i="20"/>
  <c r="AI1715" i="20"/>
  <c r="AI1716" i="20"/>
  <c r="AI1717" i="20"/>
  <c r="AI1718" i="20"/>
  <c r="AI1720" i="20"/>
  <c r="AI1721" i="20"/>
  <c r="AI1722" i="20"/>
  <c r="AI1723" i="20"/>
  <c r="AI1724" i="20"/>
  <c r="AI1725" i="20"/>
  <c r="AI1726" i="20"/>
  <c r="AI1728" i="20"/>
  <c r="AI1729" i="20"/>
  <c r="AI1730" i="20"/>
  <c r="AI1731" i="20"/>
  <c r="AI1732" i="20"/>
  <c r="AI1733" i="20"/>
  <c r="AI1734" i="20"/>
  <c r="AI1736" i="20"/>
  <c r="AI1737" i="20"/>
  <c r="AI1738" i="20"/>
  <c r="AI1739" i="20"/>
  <c r="AI1740" i="20"/>
  <c r="AI1741" i="20"/>
  <c r="AI1742" i="20"/>
  <c r="AI1744" i="20"/>
  <c r="AI1745" i="20"/>
  <c r="AI1746" i="20"/>
  <c r="AI1747" i="20"/>
  <c r="AI1748" i="20"/>
  <c r="AI1749" i="20"/>
  <c r="AI1750" i="20"/>
  <c r="AI1752" i="20"/>
  <c r="AI1753" i="20"/>
  <c r="AI1754" i="20"/>
  <c r="AI1755" i="20"/>
  <c r="AI1756" i="20"/>
  <c r="AI1757" i="20"/>
  <c r="AI1758" i="20"/>
  <c r="AI1760" i="20"/>
  <c r="AI1761" i="20"/>
  <c r="AI1762" i="20"/>
  <c r="AI1763" i="20"/>
  <c r="AI1764" i="20"/>
  <c r="AI1765" i="20"/>
  <c r="AI1766" i="20"/>
  <c r="AI1768" i="20"/>
  <c r="AI1769" i="20"/>
  <c r="AI1770" i="20"/>
  <c r="AI1771" i="20"/>
  <c r="AI1772" i="20"/>
  <c r="AI1773" i="20"/>
  <c r="AI1774" i="20"/>
  <c r="AI1776" i="20"/>
  <c r="AI1777" i="20"/>
  <c r="AI1778" i="20"/>
  <c r="AI1779" i="20"/>
  <c r="AI1780" i="20"/>
  <c r="AI1781" i="20"/>
  <c r="AI1782" i="20"/>
  <c r="AI1784" i="20"/>
  <c r="AI1785" i="20"/>
  <c r="AI1786" i="20"/>
  <c r="AI1787" i="20"/>
  <c r="AI1788" i="20"/>
  <c r="AI1789" i="20"/>
  <c r="AI1790" i="20"/>
  <c r="AI1792" i="20"/>
  <c r="AI1793" i="20"/>
  <c r="AI1794" i="20"/>
  <c r="AI1795" i="20"/>
  <c r="AI1796" i="20"/>
  <c r="AI1797" i="20"/>
  <c r="AI1798" i="20"/>
  <c r="AI1800" i="20"/>
  <c r="AI1801" i="20"/>
  <c r="AI1802" i="20"/>
  <c r="AI1803" i="20"/>
  <c r="AI1804" i="20"/>
  <c r="AI1805" i="20"/>
  <c r="AI1806" i="20"/>
  <c r="AI1808" i="20"/>
  <c r="AI1809" i="20"/>
  <c r="AI1810" i="20"/>
  <c r="AI1811" i="20"/>
  <c r="AI1812" i="20"/>
  <c r="AI1813" i="20"/>
  <c r="AI1814" i="20"/>
  <c r="AI1816" i="20"/>
  <c r="AI1817" i="20"/>
  <c r="AI1818" i="20"/>
  <c r="AI1819" i="20"/>
  <c r="AI1820" i="20"/>
  <c r="AI1821" i="20"/>
  <c r="AI1822" i="20"/>
  <c r="AI1824" i="20"/>
  <c r="AI1825" i="20"/>
  <c r="AI1826" i="20"/>
  <c r="AI1827" i="20"/>
  <c r="AI1828" i="20"/>
  <c r="AI1829" i="20"/>
  <c r="AI1830" i="20"/>
  <c r="AI1832" i="20"/>
  <c r="AI1833" i="20"/>
  <c r="AI1834" i="20"/>
  <c r="AI1835" i="20"/>
  <c r="AI1836" i="20"/>
  <c r="AI1837" i="20"/>
  <c r="AI1838" i="20"/>
  <c r="AI1840" i="20"/>
  <c r="AI1841" i="20"/>
  <c r="AI1842" i="20"/>
  <c r="AI1843" i="20"/>
  <c r="AI1844" i="20"/>
  <c r="AI1845" i="20"/>
  <c r="AI1846" i="20"/>
  <c r="AI1848" i="20"/>
  <c r="AI1849" i="20"/>
  <c r="AI1850" i="20"/>
  <c r="AI1851" i="20"/>
  <c r="AI1852" i="20"/>
  <c r="AI1853" i="20"/>
  <c r="AI1854" i="20"/>
  <c r="AI1856" i="20"/>
  <c r="AI1857" i="20"/>
  <c r="AI1858" i="20"/>
  <c r="AI1859" i="20"/>
  <c r="AI1860" i="20"/>
  <c r="AI1861" i="20"/>
  <c r="AI1862" i="20"/>
  <c r="AI1864" i="20"/>
  <c r="AI1865" i="20"/>
  <c r="AI1866" i="20"/>
  <c r="AI1867" i="20"/>
  <c r="AI1868" i="20"/>
  <c r="AI1869" i="20"/>
  <c r="AI1870" i="20"/>
  <c r="AI1872" i="20"/>
  <c r="AI1873" i="20"/>
  <c r="AI1874" i="20"/>
  <c r="AI1875" i="20"/>
  <c r="AI1876" i="20"/>
  <c r="AI1877" i="20"/>
  <c r="AI1878" i="20"/>
  <c r="AI1880" i="20"/>
  <c r="AI1881" i="20"/>
  <c r="AI1882" i="20"/>
  <c r="AI1883" i="20"/>
  <c r="AI1884" i="20"/>
  <c r="AI1885" i="20"/>
  <c r="AI1886" i="20"/>
  <c r="AI1888" i="20"/>
  <c r="AI1889" i="20"/>
  <c r="AI1890" i="20"/>
  <c r="AI1891" i="20"/>
  <c r="AI1892" i="20"/>
  <c r="AI1893" i="20"/>
  <c r="AI1894" i="20"/>
  <c r="AI1896" i="20"/>
  <c r="AI1897" i="20"/>
  <c r="AI1898" i="20"/>
  <c r="AI1899" i="20"/>
  <c r="AI1900" i="20"/>
  <c r="AI1901" i="20"/>
  <c r="AI1902" i="20"/>
  <c r="AI1904" i="20"/>
  <c r="AI1905" i="20"/>
  <c r="AI1906" i="20"/>
  <c r="AI1907" i="20"/>
  <c r="AI1908" i="20"/>
  <c r="AI1909" i="20"/>
  <c r="AI1910" i="20"/>
  <c r="AI1912" i="20"/>
  <c r="AI1913" i="20"/>
  <c r="AI1914" i="20"/>
  <c r="AI1915" i="20"/>
  <c r="AI1916" i="20"/>
  <c r="AI1917" i="20"/>
  <c r="AI1918" i="20"/>
  <c r="AI1920" i="20"/>
  <c r="AI1921" i="20"/>
  <c r="AI1922" i="20"/>
  <c r="AI1923" i="20"/>
  <c r="AI1924" i="20"/>
  <c r="AI1925" i="20"/>
  <c r="AI1926" i="20"/>
  <c r="AI1928" i="20"/>
  <c r="AI1929" i="20"/>
  <c r="AI1930" i="20"/>
  <c r="AI1931" i="20"/>
  <c r="AI1932" i="20"/>
  <c r="AI1933" i="20"/>
  <c r="AI1934" i="20"/>
  <c r="AI1936" i="20"/>
  <c r="AI1937" i="20"/>
  <c r="AI1938" i="20"/>
  <c r="AI1939" i="20"/>
  <c r="AI1940" i="20"/>
  <c r="AI1941" i="20"/>
  <c r="AI1942" i="20"/>
  <c r="AI1944" i="20"/>
  <c r="AI1945" i="20"/>
  <c r="AI1946" i="20"/>
  <c r="AI1947" i="20"/>
  <c r="AI1948" i="20"/>
  <c r="AI1949" i="20"/>
  <c r="AI1950" i="20"/>
  <c r="AI1952" i="20"/>
  <c r="AI1953" i="20"/>
  <c r="AI1954" i="20"/>
  <c r="AI1955" i="20"/>
  <c r="AI1956" i="20"/>
  <c r="AI1957" i="20"/>
  <c r="AI1958" i="20"/>
  <c r="AI1960" i="20"/>
  <c r="AI1961" i="20"/>
  <c r="AI1962" i="20"/>
  <c r="AI1963" i="20"/>
  <c r="AI1964" i="20"/>
  <c r="AI1965" i="20"/>
  <c r="AI1966" i="20"/>
  <c r="AI1968" i="20"/>
  <c r="AI1969" i="20"/>
  <c r="AI1970" i="20"/>
  <c r="AI1971" i="20"/>
  <c r="AI1972" i="20"/>
  <c r="AI1973" i="20"/>
  <c r="AI1974" i="20"/>
  <c r="AI1976" i="20"/>
  <c r="AI1977" i="20"/>
  <c r="AI1978" i="20"/>
  <c r="AI1979" i="20"/>
  <c r="AI1980" i="20"/>
  <c r="AI1981" i="20"/>
  <c r="AI1982" i="20"/>
  <c r="AI1984" i="20"/>
  <c r="AI1985" i="20"/>
  <c r="AI1986" i="20"/>
  <c r="AI1987" i="20"/>
  <c r="AI1988" i="20"/>
  <c r="AI1989" i="20"/>
  <c r="AI1990" i="20"/>
  <c r="AI1992" i="20"/>
  <c r="AI1993" i="20"/>
  <c r="AI1994" i="20"/>
  <c r="AI1995" i="20"/>
  <c r="AI1996" i="20"/>
  <c r="AI1997" i="20"/>
  <c r="AI1998" i="20"/>
  <c r="AI2000" i="20"/>
  <c r="AI2001" i="20"/>
  <c r="AI2002" i="20"/>
  <c r="AI2003" i="20"/>
  <c r="AI2004" i="20"/>
  <c r="AI2005" i="20"/>
  <c r="AI2006" i="20"/>
  <c r="AI2008" i="20"/>
  <c r="AI2009" i="20"/>
  <c r="AI2010" i="20"/>
  <c r="AI2011" i="20"/>
  <c r="AI2012" i="20"/>
  <c r="AI2013" i="20"/>
  <c r="AI2014" i="20"/>
  <c r="AI2016" i="20"/>
  <c r="AI2017" i="20"/>
  <c r="AI2018" i="20"/>
  <c r="AI2019" i="20"/>
  <c r="AI2020" i="20"/>
  <c r="AI2021" i="20"/>
  <c r="AI2022" i="20"/>
  <c r="AI2024" i="20"/>
  <c r="AI2025" i="20"/>
  <c r="AI2026" i="20"/>
  <c r="AI2027" i="20"/>
  <c r="AI2028" i="20"/>
  <c r="AI2029" i="20"/>
  <c r="AI2030" i="20"/>
  <c r="AI2032" i="20"/>
  <c r="AI2033" i="20"/>
  <c r="AI2034" i="20"/>
  <c r="AI2035" i="20"/>
  <c r="AI2036" i="20"/>
  <c r="AI2037" i="20"/>
  <c r="AI2038" i="20"/>
  <c r="AI2040" i="20"/>
  <c r="AI2041" i="20"/>
  <c r="AI2042" i="20"/>
  <c r="AI2043" i="20"/>
  <c r="AI2044" i="20"/>
  <c r="AI2045" i="20"/>
  <c r="AI2046" i="20"/>
  <c r="AI2048" i="20"/>
  <c r="AI2049" i="20"/>
  <c r="AI2050" i="20"/>
  <c r="AI2051" i="20"/>
  <c r="AI2052" i="20"/>
  <c r="AI2053" i="20"/>
  <c r="AI2054" i="20"/>
  <c r="AI2056" i="20"/>
  <c r="AI2057" i="20"/>
  <c r="AI2058" i="20"/>
  <c r="AI2059" i="20"/>
  <c r="AI2060" i="20"/>
  <c r="AI2061" i="20"/>
  <c r="AI2062" i="20"/>
  <c r="AI2064" i="20"/>
  <c r="AI2065" i="20"/>
  <c r="AI2066" i="20"/>
  <c r="AI2067" i="20"/>
  <c r="AI2068" i="20"/>
  <c r="AI2069" i="20"/>
  <c r="AI2070" i="20"/>
  <c r="AI2072" i="20"/>
  <c r="AI2073" i="20"/>
  <c r="AI2074" i="20"/>
  <c r="AI2075" i="20"/>
  <c r="AI2076" i="20"/>
  <c r="AI2077" i="20"/>
  <c r="AI2078" i="20"/>
  <c r="AI2080" i="20"/>
  <c r="AI2081" i="20"/>
  <c r="AI2082" i="20"/>
  <c r="AI2083" i="20"/>
  <c r="AI2084" i="20"/>
  <c r="AI2085" i="20"/>
  <c r="AI2086" i="20"/>
  <c r="AI2088" i="20"/>
  <c r="AI2089" i="20"/>
  <c r="AI2090" i="20"/>
  <c r="AI2091" i="20"/>
  <c r="AI2092" i="20"/>
  <c r="AI2093" i="20"/>
  <c r="AI2094" i="20"/>
  <c r="AI2096" i="20"/>
  <c r="AI2097" i="20"/>
  <c r="AI2098" i="20"/>
  <c r="AI2099" i="20"/>
  <c r="AI2100" i="20"/>
  <c r="AI2101" i="20"/>
  <c r="AI2102" i="20"/>
  <c r="AI2104" i="20"/>
  <c r="AI2105" i="20"/>
  <c r="AI2106" i="20"/>
  <c r="AI2107" i="20"/>
  <c r="AI2108" i="20"/>
  <c r="AI2109" i="20"/>
  <c r="AI2110" i="20"/>
  <c r="AI2112" i="20"/>
  <c r="AI2113" i="20"/>
  <c r="AI2114" i="20"/>
  <c r="AI2115" i="20"/>
  <c r="AI2116" i="20"/>
  <c r="AI2117" i="20"/>
  <c r="AI2118" i="20"/>
  <c r="AI2120" i="20"/>
  <c r="AI2121" i="20"/>
  <c r="AI2122" i="20"/>
  <c r="AI2123" i="20"/>
  <c r="AI2124" i="20"/>
  <c r="AI2125" i="20"/>
  <c r="AI2126" i="20"/>
  <c r="AI2128" i="20"/>
  <c r="AI2129" i="20"/>
  <c r="AI2130" i="20"/>
  <c r="AI2131" i="20"/>
  <c r="AI2132" i="20"/>
  <c r="AI2133" i="20"/>
  <c r="AI2134" i="20"/>
  <c r="AI2136" i="20"/>
  <c r="AI2137" i="20"/>
  <c r="AI2138" i="20"/>
  <c r="AI2139" i="20"/>
  <c r="AI2140" i="20"/>
  <c r="AI2141" i="20"/>
  <c r="AI2142" i="20"/>
  <c r="AI2144" i="20"/>
  <c r="AI2145" i="20"/>
  <c r="AI2146" i="20"/>
  <c r="AI2147" i="20"/>
  <c r="AI2148" i="20"/>
  <c r="AI2149" i="20"/>
  <c r="AI2150" i="20"/>
  <c r="AI2152" i="20"/>
  <c r="AI2153" i="20"/>
  <c r="AI2154" i="20"/>
  <c r="AI2155" i="20"/>
  <c r="AI2156" i="20"/>
  <c r="AI2157" i="20"/>
  <c r="AI2158" i="20"/>
  <c r="AI2160" i="20"/>
  <c r="AI2161" i="20"/>
  <c r="AI2162" i="20"/>
  <c r="AI2163" i="20"/>
  <c r="AI2164" i="20"/>
  <c r="AI2165" i="20"/>
  <c r="AI2166" i="20"/>
  <c r="AI2168" i="20"/>
  <c r="AI2169" i="20"/>
  <c r="AI2170" i="20"/>
  <c r="AI2171" i="20"/>
  <c r="AI2172" i="20"/>
  <c r="AI2173" i="20"/>
  <c r="AI2174" i="20"/>
  <c r="AI2176" i="20"/>
  <c r="AI2177" i="20"/>
  <c r="AI2178" i="20"/>
  <c r="AI2179" i="20"/>
  <c r="AI2180" i="20"/>
  <c r="AI2181" i="20"/>
  <c r="AI2182" i="20"/>
  <c r="AI2184" i="20"/>
  <c r="AI2185" i="20"/>
  <c r="AI2186" i="20"/>
  <c r="AI2187" i="20"/>
  <c r="AI2188" i="20"/>
  <c r="AI2189" i="20"/>
  <c r="AI2190" i="20"/>
  <c r="AI2192" i="20"/>
  <c r="AI2193" i="20"/>
  <c r="AI2194" i="20"/>
  <c r="AI2195" i="20"/>
  <c r="AI2196" i="20"/>
  <c r="AI2197" i="20"/>
  <c r="AI2198" i="20"/>
  <c r="AI2200" i="20"/>
  <c r="AI2201" i="20"/>
  <c r="AI2202" i="20"/>
  <c r="AI2203" i="20"/>
  <c r="AI2204" i="20"/>
  <c r="AI2205" i="20"/>
  <c r="AI2206" i="20"/>
  <c r="AI2208" i="20"/>
  <c r="AI2209" i="20"/>
  <c r="AI2210" i="20"/>
  <c r="AI2211" i="20"/>
  <c r="AI2212" i="20"/>
  <c r="AI2213" i="20"/>
  <c r="AI2214" i="20"/>
  <c r="AI2216" i="20"/>
  <c r="AI2217" i="20"/>
  <c r="AI2218" i="20"/>
  <c r="AI2219" i="20"/>
  <c r="AI2220" i="20"/>
  <c r="AI2221" i="20"/>
  <c r="AI2222" i="20"/>
  <c r="AI2224" i="20"/>
  <c r="AI2225" i="20"/>
  <c r="AI2226" i="20"/>
  <c r="AI2227" i="20"/>
  <c r="AI2228" i="20"/>
  <c r="AI2229" i="20"/>
  <c r="AI2230" i="20"/>
  <c r="AI2232" i="20"/>
  <c r="AI2233" i="20"/>
  <c r="AI2234" i="20"/>
  <c r="AI2235" i="20"/>
  <c r="AI2236" i="20"/>
  <c r="AI2237" i="20"/>
  <c r="AI2238" i="20"/>
  <c r="AI2240" i="20"/>
  <c r="AI2241" i="20"/>
  <c r="AI2242" i="20"/>
  <c r="AI2243" i="20"/>
  <c r="AI2244" i="20"/>
  <c r="AI2245" i="20"/>
  <c r="AI2246" i="20"/>
  <c r="AI2248" i="20"/>
  <c r="AI2249" i="20"/>
  <c r="AI2250" i="20"/>
  <c r="AI2251" i="20"/>
  <c r="AI2252" i="20"/>
  <c r="AI2253" i="20"/>
  <c r="AI2254" i="20"/>
  <c r="AI2256" i="20"/>
  <c r="AI2257" i="20"/>
  <c r="AI2258" i="20"/>
  <c r="AI2259" i="20"/>
  <c r="AI2260" i="20"/>
  <c r="AI2261" i="20"/>
  <c r="AI2262" i="20"/>
  <c r="AI2264" i="20"/>
  <c r="AI2265" i="20"/>
  <c r="AI2266" i="20"/>
  <c r="AI2267" i="20"/>
  <c r="AI2268" i="20"/>
  <c r="AI2269" i="20"/>
  <c r="AI2270" i="20"/>
  <c r="AI2272" i="20"/>
  <c r="AI2273" i="20"/>
  <c r="AI2274" i="20"/>
  <c r="AI2275" i="20"/>
  <c r="AI2276" i="20"/>
  <c r="AI2277" i="20"/>
  <c r="AI2278" i="20"/>
  <c r="AI2280" i="20"/>
  <c r="AI2281" i="20"/>
  <c r="AI2282" i="20"/>
  <c r="AI2283" i="20"/>
  <c r="AI2284" i="20"/>
  <c r="AI2285" i="20"/>
  <c r="AI2286" i="20"/>
  <c r="AI2288" i="20"/>
  <c r="AI2289" i="20"/>
  <c r="AI2290" i="20"/>
  <c r="AI2291" i="20"/>
  <c r="AI2292" i="20"/>
  <c r="AI2293" i="20"/>
  <c r="AI2294" i="20"/>
  <c r="AI2296" i="20"/>
  <c r="AI2297" i="20"/>
  <c r="AI2298" i="20"/>
  <c r="AI2299" i="20"/>
  <c r="AI2300" i="20"/>
  <c r="AI2301" i="20"/>
  <c r="AI2302" i="20"/>
  <c r="AI2304" i="20"/>
  <c r="AI2305" i="20"/>
  <c r="AI2306" i="20"/>
  <c r="AI2307" i="20"/>
  <c r="AI2308" i="20"/>
  <c r="AI2309" i="20"/>
  <c r="AI2310" i="20"/>
  <c r="AI2312" i="20"/>
  <c r="AI2313" i="20"/>
  <c r="AI2314" i="20"/>
  <c r="AI2315" i="20"/>
  <c r="AI2316" i="20"/>
  <c r="AI2317" i="20"/>
  <c r="AI2318" i="20"/>
  <c r="AI2320" i="20"/>
  <c r="AI2321" i="20"/>
  <c r="AI2322" i="20"/>
  <c r="AI2323" i="20"/>
  <c r="AI2324" i="20"/>
  <c r="AI2325" i="20"/>
  <c r="AI2326" i="20"/>
  <c r="AI2328" i="20"/>
  <c r="AI2329" i="20"/>
  <c r="AI2330" i="20"/>
  <c r="AI2331" i="20"/>
  <c r="AI2332" i="20"/>
  <c r="AI2333" i="20"/>
  <c r="AI2334" i="20"/>
  <c r="AI2336" i="20"/>
  <c r="AI2337" i="20"/>
  <c r="AI2338" i="20"/>
  <c r="AI2339" i="20"/>
  <c r="AI2340" i="20"/>
  <c r="AI2341" i="20"/>
  <c r="AI2342" i="20"/>
  <c r="AI2344" i="20"/>
  <c r="AI2345" i="20"/>
  <c r="AI2346" i="20"/>
  <c r="AI2347" i="20"/>
  <c r="AI2348" i="20"/>
  <c r="AI2349" i="20"/>
  <c r="AI2350" i="20"/>
  <c r="AI2352" i="20"/>
  <c r="AI2353" i="20"/>
  <c r="AI2354" i="20"/>
  <c r="AI2355" i="20"/>
  <c r="AI2356" i="20"/>
  <c r="AI2357" i="20"/>
  <c r="AI2358" i="20"/>
  <c r="AI2360" i="20"/>
  <c r="AI2361" i="20"/>
  <c r="AI2362" i="20"/>
  <c r="AI2363" i="20"/>
  <c r="AI2364" i="20"/>
  <c r="AI2365" i="20"/>
  <c r="AI2366" i="20"/>
  <c r="AI2368" i="20"/>
  <c r="AI2369" i="20"/>
  <c r="AI2370" i="20"/>
  <c r="AI2371" i="20"/>
  <c r="AI2372" i="20"/>
  <c r="AI2373" i="20"/>
  <c r="AI2374" i="20"/>
  <c r="AI2376" i="20"/>
  <c r="AI2377" i="20"/>
  <c r="AI2378" i="20"/>
  <c r="AI2379" i="20"/>
  <c r="AI2380" i="20"/>
  <c r="AI2381" i="20"/>
  <c r="AI2382" i="20"/>
  <c r="AI2384" i="20"/>
  <c r="AI2385" i="20"/>
  <c r="AI2386" i="20"/>
  <c r="AI2387" i="20"/>
  <c r="AI2388" i="20"/>
  <c r="AI2389" i="20"/>
  <c r="AI2390" i="20"/>
  <c r="AI2392" i="20"/>
  <c r="AI2393" i="20"/>
  <c r="AI2394" i="20"/>
  <c r="AI2395" i="20"/>
  <c r="AI2396" i="20"/>
  <c r="AI2397" i="20"/>
  <c r="AI2398" i="20"/>
  <c r="AI2400" i="20"/>
  <c r="AI2401" i="20"/>
  <c r="AI2402" i="20"/>
  <c r="AI2403" i="20"/>
  <c r="AI2404" i="20"/>
  <c r="AI2405" i="20"/>
  <c r="AI2406" i="20"/>
  <c r="AI2408" i="20"/>
  <c r="AI2409" i="20"/>
  <c r="AI2410" i="20"/>
  <c r="AI2411" i="20"/>
  <c r="AI2412" i="20"/>
  <c r="AI2413" i="20"/>
  <c r="AI2414" i="20"/>
  <c r="AI2416" i="20"/>
  <c r="AI2417" i="20"/>
  <c r="AI2418" i="20"/>
  <c r="AI2419" i="20"/>
  <c r="AI2420" i="20"/>
  <c r="AI2421" i="20"/>
  <c r="AI2422" i="20"/>
  <c r="AI2424" i="20"/>
  <c r="AI2425" i="20"/>
  <c r="AI2426" i="20"/>
  <c r="AI2427" i="20"/>
  <c r="AI2428" i="20"/>
  <c r="AI2429" i="20"/>
  <c r="AI2430" i="20"/>
  <c r="AI2432" i="20"/>
  <c r="AI2433" i="20"/>
  <c r="AI2434" i="20"/>
  <c r="AI2435" i="20"/>
  <c r="AI2436" i="20"/>
  <c r="AI2437" i="20"/>
  <c r="AI2438" i="20"/>
  <c r="AI2440" i="20"/>
  <c r="AI2441" i="20"/>
  <c r="AI2442" i="20"/>
  <c r="AI2443" i="20"/>
  <c r="AI2444" i="20"/>
  <c r="AI2445" i="20"/>
  <c r="AI2446" i="20"/>
  <c r="AI2448" i="20"/>
  <c r="AI2449" i="20"/>
  <c r="AI2450" i="20"/>
  <c r="AI2451" i="20"/>
  <c r="AI2452" i="20"/>
  <c r="AI2453" i="20"/>
  <c r="AI2454" i="20"/>
  <c r="AI2456" i="20"/>
  <c r="AI2457" i="20"/>
  <c r="AI2458" i="20"/>
  <c r="AI2459" i="20"/>
  <c r="AI2460" i="20"/>
  <c r="AI2461" i="20"/>
  <c r="AI2462" i="20"/>
  <c r="AI2464" i="20"/>
  <c r="AI2465" i="20"/>
  <c r="AI2466" i="20"/>
  <c r="AI2467" i="20"/>
  <c r="AI2468" i="20"/>
  <c r="AI2469" i="20"/>
  <c r="AI2470" i="20"/>
  <c r="AI2472" i="20"/>
  <c r="AI2473" i="20"/>
  <c r="AI2474" i="20"/>
  <c r="AI2475" i="20"/>
  <c r="AI2476" i="20"/>
  <c r="AI2477" i="20"/>
  <c r="AI2478" i="20"/>
  <c r="AI2480" i="20"/>
  <c r="AI2481" i="20"/>
  <c r="AI2482" i="20"/>
  <c r="AI2483" i="20"/>
  <c r="AI2484" i="20"/>
  <c r="AI2485" i="20"/>
  <c r="AI2486" i="20"/>
  <c r="AI2488" i="20"/>
  <c r="AI2489" i="20"/>
  <c r="AI2490" i="20"/>
  <c r="AI2491" i="20"/>
  <c r="AI2492" i="20"/>
  <c r="AI2493" i="20"/>
  <c r="AI2494" i="20"/>
  <c r="AI2496" i="20"/>
  <c r="AI2497" i="20"/>
  <c r="AI2498" i="20"/>
  <c r="AI2499" i="20"/>
  <c r="AI2500" i="20"/>
  <c r="AI2501" i="20"/>
  <c r="AI2502" i="20"/>
  <c r="AI2504" i="20"/>
  <c r="AI2505" i="20"/>
  <c r="AI2506" i="20"/>
  <c r="AI2507" i="20"/>
  <c r="AI2508" i="20"/>
  <c r="AI2509" i="20"/>
  <c r="AI2510" i="20"/>
  <c r="AI2512" i="20"/>
  <c r="AI2513" i="20"/>
  <c r="AI2514" i="20"/>
  <c r="AI2515" i="20"/>
  <c r="AI2516" i="20"/>
  <c r="AI2517" i="20"/>
  <c r="AI2518" i="20"/>
  <c r="AI2520" i="20"/>
  <c r="AI2521" i="20"/>
  <c r="AI2522" i="20"/>
  <c r="AJ2" i="20"/>
  <c r="AJ3" i="20"/>
  <c r="AJ4" i="20"/>
  <c r="AJ5" i="20"/>
  <c r="AJ6" i="20"/>
  <c r="AJ7" i="20"/>
  <c r="AJ8" i="20"/>
  <c r="AJ9" i="20"/>
  <c r="AJ10" i="20"/>
  <c r="AJ11" i="20"/>
  <c r="AJ12" i="20"/>
  <c r="AJ13" i="20"/>
  <c r="AJ14" i="20"/>
  <c r="AJ15" i="20"/>
  <c r="AJ16" i="20"/>
  <c r="AJ17" i="20"/>
  <c r="AJ18" i="20"/>
  <c r="AJ19" i="20"/>
  <c r="AJ20" i="20"/>
  <c r="AJ21" i="20"/>
  <c r="AJ22" i="20"/>
  <c r="AJ23" i="20"/>
  <c r="AJ24" i="20"/>
  <c r="AJ25" i="20"/>
  <c r="AJ26" i="20"/>
  <c r="AJ27" i="20"/>
  <c r="AJ28" i="20"/>
  <c r="AJ29" i="20"/>
  <c r="AJ30" i="20"/>
  <c r="AJ31" i="20"/>
  <c r="AJ32" i="20"/>
  <c r="AJ33" i="20"/>
  <c r="AJ34" i="20"/>
  <c r="AJ35" i="20"/>
  <c r="AJ36" i="20"/>
  <c r="AJ37" i="20"/>
  <c r="AJ38" i="20"/>
  <c r="AJ39" i="20"/>
  <c r="AJ40" i="20"/>
  <c r="AJ41" i="20"/>
  <c r="AJ42" i="20"/>
  <c r="AJ43" i="20"/>
  <c r="AJ44" i="20"/>
  <c r="AJ45" i="20"/>
  <c r="AJ46" i="20"/>
  <c r="AJ47" i="20"/>
  <c r="AJ48" i="20"/>
  <c r="AJ49" i="20"/>
  <c r="AJ50" i="20"/>
  <c r="AJ51" i="20"/>
  <c r="AJ52" i="20"/>
  <c r="AJ53" i="20"/>
  <c r="AJ54" i="20"/>
  <c r="AJ55" i="20"/>
  <c r="AJ56" i="20"/>
  <c r="AJ57" i="20"/>
  <c r="AJ58" i="20"/>
  <c r="AJ59" i="20"/>
  <c r="AJ60" i="20"/>
  <c r="AJ61" i="20"/>
  <c r="AJ62" i="20"/>
  <c r="AJ63" i="20"/>
  <c r="AJ64" i="20"/>
  <c r="AJ65" i="20"/>
  <c r="AJ66" i="20"/>
  <c r="AJ67" i="20"/>
  <c r="AJ68" i="20"/>
  <c r="AJ69" i="20"/>
  <c r="AJ70" i="20"/>
  <c r="AJ71" i="20"/>
  <c r="AJ72" i="20"/>
  <c r="AJ73" i="20"/>
  <c r="AJ74" i="20"/>
  <c r="AJ75" i="20"/>
  <c r="AJ76" i="20"/>
  <c r="AJ77" i="20"/>
  <c r="AJ78" i="20"/>
  <c r="AJ79" i="20"/>
  <c r="AJ80" i="20"/>
  <c r="AJ81" i="20"/>
  <c r="AJ82" i="20"/>
  <c r="AJ83" i="20"/>
  <c r="AJ84" i="20"/>
  <c r="AJ85" i="20"/>
  <c r="AJ86" i="20"/>
  <c r="AJ87" i="20"/>
  <c r="AJ88" i="20"/>
  <c r="AJ89" i="20"/>
  <c r="AJ90" i="20"/>
  <c r="AJ91" i="20"/>
  <c r="AJ92" i="20"/>
  <c r="AJ93" i="20"/>
  <c r="AJ94" i="20"/>
  <c r="AJ95" i="20"/>
  <c r="AJ96" i="20"/>
  <c r="AJ97" i="20"/>
  <c r="AJ98" i="20"/>
  <c r="AJ99" i="20"/>
  <c r="AJ100" i="20"/>
  <c r="AJ101" i="20"/>
  <c r="AJ102" i="20"/>
  <c r="AJ103" i="20"/>
  <c r="AJ104" i="20"/>
  <c r="AJ105" i="20"/>
  <c r="AJ106" i="20"/>
  <c r="AJ107" i="20"/>
  <c r="AJ108" i="20"/>
  <c r="AJ109" i="20"/>
  <c r="AJ110" i="20"/>
  <c r="AJ111" i="20"/>
  <c r="AJ112" i="20"/>
  <c r="AJ113" i="20"/>
  <c r="AJ114" i="20"/>
  <c r="AJ115" i="20"/>
  <c r="AJ116" i="20"/>
  <c r="AJ117" i="20"/>
  <c r="AJ118" i="20"/>
  <c r="AJ119" i="20"/>
  <c r="AJ120" i="20"/>
  <c r="AJ121" i="20"/>
  <c r="AJ122" i="20"/>
  <c r="AJ123" i="20"/>
  <c r="AJ124" i="20"/>
  <c r="AJ125" i="20"/>
  <c r="AJ126" i="20"/>
  <c r="AJ127" i="20"/>
  <c r="AJ128" i="20"/>
  <c r="AJ129" i="20"/>
  <c r="AJ130" i="20"/>
  <c r="AJ131" i="20"/>
  <c r="AJ132" i="20"/>
  <c r="AJ133" i="20"/>
  <c r="AJ134" i="20"/>
  <c r="AJ135" i="20"/>
  <c r="AJ136" i="20"/>
  <c r="AJ137" i="20"/>
  <c r="AJ138" i="20"/>
  <c r="AJ139" i="20"/>
  <c r="AJ140" i="20"/>
  <c r="AJ141" i="20"/>
  <c r="AJ142" i="20"/>
  <c r="AJ143" i="20"/>
  <c r="AJ144" i="20"/>
  <c r="AJ145" i="20"/>
  <c r="AJ146" i="20"/>
  <c r="AJ147" i="20"/>
  <c r="AJ148" i="20"/>
  <c r="AJ149" i="20"/>
  <c r="AJ150" i="20"/>
  <c r="AJ151" i="20"/>
  <c r="AJ152" i="20"/>
  <c r="AJ153" i="20"/>
  <c r="AJ154" i="20"/>
  <c r="AJ155" i="20"/>
  <c r="AJ156" i="20"/>
  <c r="AJ157" i="20"/>
  <c r="AJ158" i="20"/>
  <c r="AJ159" i="20"/>
  <c r="AJ160" i="20"/>
  <c r="AJ161" i="20"/>
  <c r="AJ162" i="20"/>
  <c r="AJ163" i="20"/>
  <c r="AJ164" i="20"/>
  <c r="AJ165" i="20"/>
  <c r="AJ166" i="20"/>
  <c r="AJ167" i="20"/>
  <c r="AJ168" i="20"/>
  <c r="AJ169" i="20"/>
  <c r="AJ170" i="20"/>
  <c r="AJ171" i="20"/>
  <c r="AJ172" i="20"/>
  <c r="AJ173" i="20"/>
  <c r="AJ174" i="20"/>
  <c r="AJ175" i="20"/>
  <c r="AJ176" i="20"/>
  <c r="AJ177" i="20"/>
  <c r="AJ178" i="20"/>
  <c r="AJ179" i="20"/>
  <c r="AJ180" i="20"/>
  <c r="AJ181" i="20"/>
  <c r="AJ182" i="20"/>
  <c r="AJ183" i="20"/>
  <c r="AJ184" i="20"/>
  <c r="AJ185" i="20"/>
  <c r="AJ186" i="20"/>
  <c r="AJ187" i="20"/>
  <c r="AJ188" i="20"/>
  <c r="AJ189" i="20"/>
  <c r="AJ190" i="20"/>
  <c r="AJ191" i="20"/>
  <c r="AJ192" i="20"/>
  <c r="AJ193" i="20"/>
  <c r="AJ194" i="20"/>
  <c r="AJ195" i="20"/>
  <c r="AJ196" i="20"/>
  <c r="AJ197" i="20"/>
  <c r="AJ198" i="20"/>
  <c r="AJ199" i="20"/>
  <c r="AJ200" i="20"/>
  <c r="AJ201" i="20"/>
  <c r="AJ202" i="20"/>
  <c r="AJ203" i="20"/>
  <c r="AJ204" i="20"/>
  <c r="AJ205" i="20"/>
  <c r="AJ206" i="20"/>
  <c r="AJ207" i="20"/>
  <c r="AJ208" i="20"/>
  <c r="AJ209" i="20"/>
  <c r="AJ210" i="20"/>
  <c r="AJ211" i="20"/>
  <c r="AJ212" i="20"/>
  <c r="AJ213" i="20"/>
  <c r="AJ214" i="20"/>
  <c r="AJ215" i="20"/>
  <c r="AJ216" i="20"/>
  <c r="AJ217" i="20"/>
  <c r="AJ218" i="20"/>
  <c r="AJ219" i="20"/>
  <c r="AJ220" i="20"/>
  <c r="AJ221" i="20"/>
  <c r="AJ222" i="20"/>
  <c r="AJ223" i="20"/>
  <c r="AJ224" i="20"/>
  <c r="AJ225" i="20"/>
  <c r="AJ226" i="20"/>
  <c r="AJ227" i="20"/>
  <c r="AJ228" i="20"/>
  <c r="AJ229" i="20"/>
  <c r="AJ230" i="20"/>
  <c r="AJ231" i="20"/>
  <c r="AJ232" i="20"/>
  <c r="AJ233" i="20"/>
  <c r="AJ234" i="20"/>
  <c r="AJ235" i="20"/>
  <c r="AJ236" i="20"/>
  <c r="AJ237" i="20"/>
  <c r="AJ238" i="20"/>
  <c r="AJ239" i="20"/>
  <c r="AJ240" i="20"/>
  <c r="AJ241" i="20"/>
  <c r="AJ242" i="20"/>
  <c r="AJ243" i="20"/>
  <c r="AJ244" i="20"/>
  <c r="AJ245" i="20"/>
  <c r="AJ246" i="20"/>
  <c r="AJ247" i="20"/>
  <c r="AJ248" i="20"/>
  <c r="AJ249" i="20"/>
  <c r="AJ250" i="20"/>
  <c r="AJ251" i="20"/>
  <c r="AJ252" i="20"/>
  <c r="AJ253" i="20"/>
  <c r="AJ254" i="20"/>
  <c r="AJ255" i="20"/>
  <c r="AJ256" i="20"/>
  <c r="AJ257" i="20"/>
  <c r="AJ258" i="20"/>
  <c r="AJ259" i="20"/>
  <c r="AJ260" i="20"/>
  <c r="AJ261" i="20"/>
  <c r="AJ262" i="20"/>
  <c r="AJ263" i="20"/>
  <c r="AJ264" i="20"/>
  <c r="AJ265" i="20"/>
  <c r="AJ266" i="20"/>
  <c r="AJ267" i="20"/>
  <c r="AJ268" i="20"/>
  <c r="AJ269" i="20"/>
  <c r="AJ270" i="20"/>
  <c r="AJ271" i="20"/>
  <c r="AJ272" i="20"/>
  <c r="AJ273" i="20"/>
  <c r="AJ274" i="20"/>
  <c r="AJ275" i="20"/>
  <c r="AJ276" i="20"/>
  <c r="AJ277" i="20"/>
  <c r="AJ278" i="20"/>
  <c r="AJ279" i="20"/>
  <c r="AJ280" i="20"/>
  <c r="AJ281" i="20"/>
  <c r="AJ282" i="20"/>
  <c r="AJ283" i="20"/>
  <c r="AJ284" i="20"/>
  <c r="AJ285" i="20"/>
  <c r="AJ286" i="20"/>
  <c r="AJ287" i="20"/>
  <c r="AJ288" i="20"/>
  <c r="AJ289" i="20"/>
  <c r="AJ290" i="20"/>
  <c r="AJ291" i="20"/>
  <c r="AJ292" i="20"/>
  <c r="AJ293" i="20"/>
  <c r="AJ294" i="20"/>
  <c r="AJ295" i="20"/>
  <c r="AJ296" i="20"/>
  <c r="AJ297" i="20"/>
  <c r="AJ298" i="20"/>
  <c r="AJ299" i="20"/>
  <c r="AJ300" i="20"/>
  <c r="AJ301" i="20"/>
  <c r="AJ302" i="20"/>
  <c r="AJ303" i="20"/>
  <c r="AJ304" i="20"/>
  <c r="AJ305" i="20"/>
  <c r="AJ306" i="20"/>
  <c r="AJ307" i="20"/>
  <c r="AJ308" i="20"/>
  <c r="AJ309" i="20"/>
  <c r="AJ310" i="20"/>
  <c r="AJ311" i="20"/>
  <c r="AJ312" i="20"/>
  <c r="AJ313" i="20"/>
  <c r="AJ314" i="20"/>
  <c r="AJ315" i="20"/>
  <c r="AJ316" i="20"/>
  <c r="AJ317" i="20"/>
  <c r="AJ318" i="20"/>
  <c r="AJ319" i="20"/>
  <c r="AJ320" i="20"/>
  <c r="AJ321" i="20"/>
  <c r="AJ322" i="20"/>
  <c r="AJ323" i="20"/>
  <c r="AJ324" i="20"/>
  <c r="AJ325" i="20"/>
  <c r="AJ326" i="20"/>
  <c r="AJ327" i="20"/>
  <c r="AJ328" i="20"/>
  <c r="AJ329" i="20"/>
  <c r="AJ330" i="20"/>
  <c r="AJ331" i="20"/>
  <c r="AJ332" i="20"/>
  <c r="AJ333" i="20"/>
  <c r="AJ334" i="20"/>
  <c r="AJ335" i="20"/>
  <c r="AJ336" i="20"/>
  <c r="AJ337" i="20"/>
  <c r="AJ338" i="20"/>
  <c r="AJ339" i="20"/>
  <c r="AJ340" i="20"/>
  <c r="AJ341" i="20"/>
  <c r="AJ342" i="20"/>
  <c r="AJ343" i="20"/>
  <c r="AJ344" i="20"/>
  <c r="AJ345" i="20"/>
  <c r="AJ346" i="20"/>
  <c r="AJ347" i="20"/>
  <c r="AJ348" i="20"/>
  <c r="AJ349" i="20"/>
  <c r="AJ350" i="20"/>
  <c r="AJ351" i="20"/>
  <c r="AJ352" i="20"/>
  <c r="AJ353" i="20"/>
  <c r="AJ354" i="20"/>
  <c r="AJ355" i="20"/>
  <c r="AJ356" i="20"/>
  <c r="AJ357" i="20"/>
  <c r="AJ358" i="20"/>
  <c r="AJ359" i="20"/>
  <c r="AJ360" i="20"/>
  <c r="AJ361" i="20"/>
  <c r="AJ362" i="20"/>
  <c r="AJ363" i="20"/>
  <c r="AJ364" i="20"/>
  <c r="AJ365" i="20"/>
  <c r="AJ366" i="20"/>
  <c r="AJ367" i="20"/>
  <c r="AJ368" i="20"/>
  <c r="AJ369" i="20"/>
  <c r="AJ370" i="20"/>
  <c r="AJ371" i="20"/>
  <c r="AJ372" i="20"/>
  <c r="AJ373" i="20"/>
  <c r="AJ374" i="20"/>
  <c r="AJ375" i="20"/>
  <c r="AJ376" i="20"/>
  <c r="AJ377" i="20"/>
  <c r="AJ378" i="20"/>
  <c r="AJ379" i="20"/>
  <c r="AJ380" i="20"/>
  <c r="AJ381" i="20"/>
  <c r="AJ382" i="20"/>
  <c r="AJ383" i="20"/>
  <c r="AJ384" i="20"/>
  <c r="AJ385" i="20"/>
  <c r="AJ386" i="20"/>
  <c r="AJ387" i="20"/>
  <c r="AJ388" i="20"/>
  <c r="AJ389" i="20"/>
  <c r="AJ390" i="20"/>
  <c r="AJ391" i="20"/>
  <c r="AJ392" i="20"/>
  <c r="AJ393" i="20"/>
  <c r="AJ394" i="20"/>
  <c r="AJ395" i="20"/>
  <c r="AJ396" i="20"/>
  <c r="AJ397" i="20"/>
  <c r="AJ398" i="20"/>
  <c r="AJ399" i="20"/>
  <c r="AJ400" i="20"/>
  <c r="AJ401" i="20"/>
  <c r="AJ402" i="20"/>
  <c r="AJ403" i="20"/>
  <c r="AJ404" i="20"/>
  <c r="AJ405" i="20"/>
  <c r="AJ406" i="20"/>
  <c r="AJ407" i="20"/>
  <c r="AJ408" i="20"/>
  <c r="AJ409" i="20"/>
  <c r="AJ410" i="20"/>
  <c r="AJ411" i="20"/>
  <c r="AJ412" i="20"/>
  <c r="AJ413" i="20"/>
  <c r="AJ414" i="20"/>
  <c r="AJ415" i="20"/>
  <c r="AJ416" i="20"/>
  <c r="AJ417" i="20"/>
  <c r="AJ418" i="20"/>
  <c r="AJ419" i="20"/>
  <c r="AJ420" i="20"/>
  <c r="AJ421" i="20"/>
  <c r="AJ422" i="20"/>
  <c r="AJ423" i="20"/>
  <c r="AJ424" i="20"/>
  <c r="AJ425" i="20"/>
  <c r="AJ426" i="20"/>
  <c r="AJ427" i="20"/>
  <c r="AJ428" i="20"/>
  <c r="AJ429" i="20"/>
  <c r="AJ430" i="20"/>
  <c r="AJ431" i="20"/>
  <c r="AJ432" i="20"/>
  <c r="AJ433" i="20"/>
  <c r="AJ434" i="20"/>
  <c r="AJ435" i="20"/>
  <c r="AJ436" i="20"/>
  <c r="AJ437" i="20"/>
  <c r="AJ438" i="20"/>
  <c r="AJ439" i="20"/>
  <c r="AJ440" i="20"/>
  <c r="AJ441" i="20"/>
  <c r="AJ442" i="20"/>
  <c r="AJ443" i="20"/>
  <c r="AJ444" i="20"/>
  <c r="AJ445" i="20"/>
  <c r="AJ446" i="20"/>
  <c r="AJ447" i="20"/>
  <c r="AJ448" i="20"/>
  <c r="AJ449" i="20"/>
  <c r="AJ450" i="20"/>
  <c r="AJ451" i="20"/>
  <c r="AJ452" i="20"/>
  <c r="AJ453" i="20"/>
  <c r="AJ454" i="20"/>
  <c r="AJ455" i="20"/>
  <c r="AJ456" i="20"/>
  <c r="AJ457" i="20"/>
  <c r="AJ458" i="20"/>
  <c r="AJ459" i="20"/>
  <c r="AJ460" i="20"/>
  <c r="AJ461" i="20"/>
  <c r="AJ462" i="20"/>
  <c r="AJ463" i="20"/>
  <c r="AJ464" i="20"/>
  <c r="AJ465" i="20"/>
  <c r="AJ466" i="20"/>
  <c r="AJ467" i="20"/>
  <c r="AJ468" i="20"/>
  <c r="AJ469" i="20"/>
  <c r="AJ470" i="20"/>
  <c r="AJ471" i="20"/>
  <c r="AJ472" i="20"/>
  <c r="AJ473" i="20"/>
  <c r="AJ474" i="20"/>
  <c r="AJ475" i="20"/>
  <c r="AJ476" i="20"/>
  <c r="AJ477" i="20"/>
  <c r="AJ478" i="20"/>
  <c r="AJ479" i="20"/>
  <c r="AJ480" i="20"/>
  <c r="AJ481" i="20"/>
  <c r="AJ482" i="20"/>
  <c r="AJ483" i="20"/>
  <c r="AJ484" i="20"/>
  <c r="AJ485" i="20"/>
  <c r="AJ486" i="20"/>
  <c r="AJ487" i="20"/>
  <c r="AJ488" i="20"/>
  <c r="AJ489" i="20"/>
  <c r="AJ490" i="20"/>
  <c r="AJ491" i="20"/>
  <c r="AJ492" i="20"/>
  <c r="AJ493" i="20"/>
  <c r="AJ494" i="20"/>
  <c r="AJ495" i="20"/>
  <c r="AJ496" i="20"/>
  <c r="AJ497" i="20"/>
  <c r="AJ498" i="20"/>
  <c r="AJ499" i="20"/>
  <c r="AJ500" i="20"/>
  <c r="AJ501" i="20"/>
  <c r="AJ502" i="20"/>
  <c r="AJ503" i="20"/>
  <c r="AJ504" i="20"/>
  <c r="AJ505" i="20"/>
  <c r="AJ506" i="20"/>
  <c r="AJ507" i="20"/>
  <c r="AJ508" i="20"/>
  <c r="AJ509" i="20"/>
  <c r="AJ510" i="20"/>
  <c r="AJ511" i="20"/>
  <c r="AJ512" i="20"/>
  <c r="AJ513" i="20"/>
  <c r="AJ514" i="20"/>
  <c r="AJ515" i="20"/>
  <c r="AJ516" i="20"/>
  <c r="AJ517" i="20"/>
  <c r="AJ518" i="20"/>
  <c r="AJ519" i="20"/>
  <c r="AJ520" i="20"/>
  <c r="AJ521" i="20"/>
  <c r="AJ522" i="20"/>
  <c r="AJ523" i="20"/>
  <c r="AJ524" i="20"/>
  <c r="AJ525" i="20"/>
  <c r="AJ526" i="20"/>
  <c r="AJ527" i="20"/>
  <c r="AJ528" i="20"/>
  <c r="AJ529" i="20"/>
  <c r="AJ530" i="20"/>
  <c r="AJ531" i="20"/>
  <c r="AJ532" i="20"/>
  <c r="AJ533" i="20"/>
  <c r="AJ534" i="20"/>
  <c r="AJ535" i="20"/>
  <c r="AJ536" i="20"/>
  <c r="AJ537" i="20"/>
  <c r="AJ538" i="20"/>
  <c r="AJ539" i="20"/>
  <c r="AJ540" i="20"/>
  <c r="AJ541" i="20"/>
  <c r="AJ542" i="20"/>
  <c r="AJ543" i="20"/>
  <c r="AJ544" i="20"/>
  <c r="AJ545" i="20"/>
  <c r="AJ546" i="20"/>
  <c r="AJ547" i="20"/>
  <c r="AJ548" i="20"/>
  <c r="AJ549" i="20"/>
  <c r="AJ550" i="20"/>
  <c r="AJ551" i="20"/>
  <c r="AJ552" i="20"/>
  <c r="AJ553" i="20"/>
  <c r="AJ554" i="20"/>
  <c r="AJ555" i="20"/>
  <c r="AJ556" i="20"/>
  <c r="AJ557" i="20"/>
  <c r="AJ558" i="20"/>
  <c r="AJ559" i="20"/>
  <c r="AJ560" i="20"/>
  <c r="AJ561" i="20"/>
  <c r="AJ562" i="20"/>
  <c r="AJ563" i="20"/>
  <c r="AJ564" i="20"/>
  <c r="AJ565" i="20"/>
  <c r="AJ566" i="20"/>
  <c r="AJ567" i="20"/>
  <c r="AJ568" i="20"/>
  <c r="AJ569" i="20"/>
  <c r="AJ570" i="20"/>
  <c r="AJ571" i="20"/>
  <c r="AJ572" i="20"/>
  <c r="AJ573" i="20"/>
  <c r="AJ574" i="20"/>
  <c r="AJ575" i="20"/>
  <c r="AJ576" i="20"/>
  <c r="AJ577" i="20"/>
  <c r="AJ578" i="20"/>
  <c r="AJ579" i="20"/>
  <c r="AJ580" i="20"/>
  <c r="AJ581" i="20"/>
  <c r="AJ582" i="20"/>
  <c r="AJ583" i="20"/>
  <c r="AJ584" i="20"/>
  <c r="AJ585" i="20"/>
  <c r="AJ586" i="20"/>
  <c r="AJ587" i="20"/>
  <c r="AJ588" i="20"/>
  <c r="AJ589" i="20"/>
  <c r="AJ590" i="20"/>
  <c r="AJ591" i="20"/>
  <c r="AJ592" i="20"/>
  <c r="AJ593" i="20"/>
  <c r="AJ594" i="20"/>
  <c r="AJ595" i="20"/>
  <c r="AJ596" i="20"/>
  <c r="AJ597" i="20"/>
  <c r="AJ598" i="20"/>
  <c r="AJ599" i="20"/>
  <c r="AJ600" i="20"/>
  <c r="AJ601" i="20"/>
  <c r="AJ602" i="20"/>
  <c r="AJ603" i="20"/>
  <c r="AJ604" i="20"/>
  <c r="AJ605" i="20"/>
  <c r="AJ606" i="20"/>
  <c r="AJ607" i="20"/>
  <c r="AJ608" i="20"/>
  <c r="AJ609" i="20"/>
  <c r="AJ610" i="20"/>
  <c r="AJ611" i="20"/>
  <c r="AJ612" i="20"/>
  <c r="AJ613" i="20"/>
  <c r="AJ614" i="20"/>
  <c r="AJ615" i="20"/>
  <c r="AJ616" i="20"/>
  <c r="AJ617" i="20"/>
  <c r="AJ618" i="20"/>
  <c r="AJ619" i="20"/>
  <c r="AJ620" i="20"/>
  <c r="AJ621" i="20"/>
  <c r="AJ622" i="20"/>
  <c r="AJ623" i="20"/>
  <c r="AJ624" i="20"/>
  <c r="AJ625" i="20"/>
  <c r="AJ626" i="20"/>
  <c r="AJ627" i="20"/>
  <c r="AJ628" i="20"/>
  <c r="AJ629" i="20"/>
  <c r="AJ630" i="20"/>
  <c r="AJ631" i="20"/>
  <c r="AJ632" i="20"/>
  <c r="AJ633" i="20"/>
  <c r="AJ634" i="20"/>
  <c r="AJ635" i="20"/>
  <c r="AJ636" i="20"/>
  <c r="AJ637" i="20"/>
  <c r="AJ638" i="20"/>
  <c r="AJ639" i="20"/>
  <c r="AJ640" i="20"/>
  <c r="AJ641" i="20"/>
  <c r="AJ642" i="20"/>
  <c r="AJ643" i="20"/>
  <c r="AJ644" i="20"/>
  <c r="AJ645" i="20"/>
  <c r="AJ646" i="20"/>
  <c r="AJ647" i="20"/>
  <c r="AJ648" i="20"/>
  <c r="AJ649" i="20"/>
  <c r="AJ650" i="20"/>
  <c r="AJ651" i="20"/>
  <c r="AJ652" i="20"/>
  <c r="AJ653" i="20"/>
  <c r="AJ654" i="20"/>
  <c r="AJ655" i="20"/>
  <c r="AJ656" i="20"/>
  <c r="AJ657" i="20"/>
  <c r="AJ658" i="20"/>
  <c r="AJ659" i="20"/>
  <c r="AJ660" i="20"/>
  <c r="AJ661" i="20"/>
  <c r="AJ662" i="20"/>
  <c r="AJ663" i="20"/>
  <c r="AJ664" i="20"/>
  <c r="AJ665" i="20"/>
  <c r="AJ666" i="20"/>
  <c r="AJ667" i="20"/>
  <c r="AJ668" i="20"/>
  <c r="AJ669" i="20"/>
  <c r="AJ670" i="20"/>
  <c r="AJ671" i="20"/>
  <c r="AJ672" i="20"/>
  <c r="AJ673" i="20"/>
  <c r="AJ674" i="20"/>
  <c r="AJ675" i="20"/>
  <c r="AJ676" i="20"/>
  <c r="AJ677" i="20"/>
  <c r="AJ678" i="20"/>
  <c r="AJ679" i="20"/>
  <c r="AJ680" i="20"/>
  <c r="AJ681" i="20"/>
  <c r="AJ682" i="20"/>
  <c r="AJ683" i="20"/>
  <c r="AJ684" i="20"/>
  <c r="AJ685" i="20"/>
  <c r="AJ686" i="20"/>
  <c r="AJ687" i="20"/>
  <c r="AJ688" i="20"/>
  <c r="AJ689" i="20"/>
  <c r="AJ690" i="20"/>
  <c r="AJ691" i="20"/>
  <c r="AJ692" i="20"/>
  <c r="AJ693" i="20"/>
  <c r="AJ694" i="20"/>
  <c r="AJ695" i="20"/>
  <c r="AJ696" i="20"/>
  <c r="AJ697" i="20"/>
  <c r="AJ698" i="20"/>
  <c r="AJ699" i="20"/>
  <c r="AJ700" i="20"/>
  <c r="AJ701" i="20"/>
  <c r="AJ702" i="20"/>
  <c r="AJ703" i="20"/>
  <c r="AJ704" i="20"/>
  <c r="AJ705" i="20"/>
  <c r="AJ706" i="20"/>
  <c r="AJ707" i="20"/>
  <c r="AJ708" i="20"/>
  <c r="AJ709" i="20"/>
  <c r="AJ710" i="20"/>
  <c r="AJ711" i="20"/>
  <c r="AJ712" i="20"/>
  <c r="AJ713" i="20"/>
  <c r="AJ714" i="20"/>
  <c r="AJ715" i="20"/>
  <c r="AJ716" i="20"/>
  <c r="AJ717" i="20"/>
  <c r="AJ718" i="20"/>
  <c r="AJ719" i="20"/>
  <c r="AJ720" i="20"/>
  <c r="AJ721" i="20"/>
  <c r="AJ722" i="20"/>
  <c r="AJ723" i="20"/>
  <c r="AJ724" i="20"/>
  <c r="AJ725" i="20"/>
  <c r="AJ726" i="20"/>
  <c r="AJ727" i="20"/>
  <c r="AJ728" i="20"/>
  <c r="AJ729" i="20"/>
  <c r="AJ730" i="20"/>
  <c r="AJ731" i="20"/>
  <c r="AJ732" i="20"/>
  <c r="AJ733" i="20"/>
  <c r="AJ734" i="20"/>
  <c r="AJ735" i="20"/>
  <c r="AJ736" i="20"/>
  <c r="AJ737" i="20"/>
  <c r="AJ738" i="20"/>
  <c r="AJ739" i="20"/>
  <c r="AJ740" i="20"/>
  <c r="AJ741" i="20"/>
  <c r="AJ742" i="20"/>
  <c r="AJ743" i="20"/>
  <c r="AJ744" i="20"/>
  <c r="AJ745" i="20"/>
  <c r="AJ746" i="20"/>
  <c r="AJ747" i="20"/>
  <c r="AJ748" i="20"/>
  <c r="AJ749" i="20"/>
  <c r="AJ750" i="20"/>
  <c r="AJ751" i="20"/>
  <c r="AJ752" i="20"/>
  <c r="AJ753" i="20"/>
  <c r="AJ754" i="20"/>
  <c r="AJ755" i="20"/>
  <c r="AJ756" i="20"/>
  <c r="AJ757" i="20"/>
  <c r="AJ758" i="20"/>
  <c r="AJ759" i="20"/>
  <c r="AJ760" i="20"/>
  <c r="AJ761" i="20"/>
  <c r="AJ762" i="20"/>
  <c r="AJ763" i="20"/>
  <c r="AJ764" i="20"/>
  <c r="AJ765" i="20"/>
  <c r="AJ766" i="20"/>
  <c r="AJ767" i="20"/>
  <c r="AJ768" i="20"/>
  <c r="AJ769" i="20"/>
  <c r="AJ770" i="20"/>
  <c r="AJ771" i="20"/>
  <c r="AJ772" i="20"/>
  <c r="AJ773" i="20"/>
  <c r="AJ774" i="20"/>
  <c r="AJ775" i="20"/>
  <c r="AJ776" i="20"/>
  <c r="AJ777" i="20"/>
  <c r="AJ778" i="20"/>
  <c r="AJ779" i="20"/>
  <c r="AJ780" i="20"/>
  <c r="AJ781" i="20"/>
  <c r="AJ782" i="20"/>
  <c r="AJ783" i="20"/>
  <c r="AJ784" i="20"/>
  <c r="AJ785" i="20"/>
  <c r="AJ786" i="20"/>
  <c r="AJ787" i="20"/>
  <c r="AJ788" i="20"/>
  <c r="AJ789" i="20"/>
  <c r="AJ790" i="20"/>
  <c r="AJ791" i="20"/>
  <c r="AJ792" i="20"/>
  <c r="AJ793" i="20"/>
  <c r="AJ794" i="20"/>
  <c r="AJ795" i="20"/>
  <c r="AJ796" i="20"/>
  <c r="AJ797" i="20"/>
  <c r="AJ798" i="20"/>
  <c r="AJ799" i="20"/>
  <c r="AJ800" i="20"/>
  <c r="AJ801" i="20"/>
  <c r="AJ802" i="20"/>
  <c r="AJ803" i="20"/>
  <c r="AJ804" i="20"/>
  <c r="AJ805" i="20"/>
  <c r="AJ806" i="20"/>
  <c r="AJ807" i="20"/>
  <c r="AJ808" i="20"/>
  <c r="AJ809" i="20"/>
  <c r="AJ810" i="20"/>
  <c r="AJ811" i="20"/>
  <c r="AJ812" i="20"/>
  <c r="AJ813" i="20"/>
  <c r="AJ814" i="20"/>
  <c r="AJ815" i="20"/>
  <c r="AJ816" i="20"/>
  <c r="AJ817" i="20"/>
  <c r="AJ818" i="20"/>
  <c r="AJ819" i="20"/>
  <c r="AJ820" i="20"/>
  <c r="AJ821" i="20"/>
  <c r="AJ822" i="20"/>
  <c r="AJ823" i="20"/>
  <c r="AJ824" i="20"/>
  <c r="AJ825" i="20"/>
  <c r="AJ826" i="20"/>
  <c r="AJ827" i="20"/>
  <c r="AJ828" i="20"/>
  <c r="AJ829" i="20"/>
  <c r="AJ830" i="20"/>
  <c r="AJ831" i="20"/>
  <c r="AJ832" i="20"/>
  <c r="AJ833" i="20"/>
  <c r="AJ834" i="20"/>
  <c r="AJ835" i="20"/>
  <c r="AJ836" i="20"/>
  <c r="AJ837" i="20"/>
  <c r="AJ838" i="20"/>
  <c r="AJ839" i="20"/>
  <c r="AJ840" i="20"/>
  <c r="AJ841" i="20"/>
  <c r="AJ842" i="20"/>
  <c r="AJ843" i="20"/>
  <c r="AJ844" i="20"/>
  <c r="AJ845" i="20"/>
  <c r="AJ846" i="20"/>
  <c r="AJ847" i="20"/>
  <c r="AJ848" i="20"/>
  <c r="AJ849" i="20"/>
  <c r="AJ850" i="20"/>
  <c r="AJ851" i="20"/>
  <c r="AJ852" i="20"/>
  <c r="AJ853" i="20"/>
  <c r="AJ854" i="20"/>
  <c r="AJ855" i="20"/>
  <c r="AJ856" i="20"/>
  <c r="AJ857" i="20"/>
  <c r="AJ858" i="20"/>
  <c r="AJ859" i="20"/>
  <c r="AJ860" i="20"/>
  <c r="AJ861" i="20"/>
  <c r="AJ862" i="20"/>
  <c r="AJ863" i="20"/>
  <c r="AJ864" i="20"/>
  <c r="AJ865" i="20"/>
  <c r="AJ866" i="20"/>
  <c r="AJ867" i="20"/>
  <c r="AJ868" i="20"/>
  <c r="AJ869" i="20"/>
  <c r="AJ870" i="20"/>
  <c r="AJ871" i="20"/>
  <c r="AJ872" i="20"/>
  <c r="AJ873" i="20"/>
  <c r="AJ874" i="20"/>
  <c r="AJ875" i="20"/>
  <c r="AJ876" i="20"/>
  <c r="AJ877" i="20"/>
  <c r="AJ878" i="20"/>
  <c r="AJ879" i="20"/>
  <c r="AJ880" i="20"/>
  <c r="AJ881" i="20"/>
  <c r="AJ882" i="20"/>
  <c r="AJ883" i="20"/>
  <c r="AJ884" i="20"/>
  <c r="AJ885" i="20"/>
  <c r="AJ886" i="20"/>
  <c r="AJ887" i="20"/>
  <c r="AJ888" i="20"/>
  <c r="AJ889" i="20"/>
  <c r="AJ890" i="20"/>
  <c r="AJ891" i="20"/>
  <c r="AJ892" i="20"/>
  <c r="AJ893" i="20"/>
  <c r="AJ894" i="20"/>
  <c r="AJ895" i="20"/>
  <c r="AJ896" i="20"/>
  <c r="AJ897" i="20"/>
  <c r="AJ898" i="20"/>
  <c r="AJ899" i="20"/>
  <c r="AJ900" i="20"/>
  <c r="AJ901" i="20"/>
  <c r="AJ902" i="20"/>
  <c r="AJ903" i="20"/>
  <c r="AJ904" i="20"/>
  <c r="AJ905" i="20"/>
  <c r="AJ906" i="20"/>
  <c r="AJ907" i="20"/>
  <c r="AJ908" i="20"/>
  <c r="AJ909" i="20"/>
  <c r="AJ910" i="20"/>
  <c r="AJ911" i="20"/>
  <c r="AJ912" i="20"/>
  <c r="AJ913" i="20"/>
  <c r="AJ914" i="20"/>
  <c r="AJ915" i="20"/>
  <c r="AJ916" i="20"/>
  <c r="AJ917" i="20"/>
  <c r="AJ918" i="20"/>
  <c r="AJ919" i="20"/>
  <c r="AJ920" i="20"/>
  <c r="AJ921" i="20"/>
  <c r="AJ922" i="20"/>
  <c r="AJ923" i="20"/>
  <c r="AJ924" i="20"/>
  <c r="AJ925" i="20"/>
  <c r="AJ926" i="20"/>
  <c r="AJ927" i="20"/>
  <c r="AJ928" i="20"/>
  <c r="AJ929" i="20"/>
  <c r="AJ930" i="20"/>
  <c r="AJ931" i="20"/>
  <c r="AJ932" i="20"/>
  <c r="AJ933" i="20"/>
  <c r="AJ934" i="20"/>
  <c r="AJ935" i="20"/>
  <c r="AJ936" i="20"/>
  <c r="AJ937" i="20"/>
  <c r="AJ938" i="20"/>
  <c r="AJ939" i="20"/>
  <c r="AJ940" i="20"/>
  <c r="AJ941" i="20"/>
  <c r="AJ942" i="20"/>
  <c r="AJ943" i="20"/>
  <c r="AJ944" i="20"/>
  <c r="AJ945" i="20"/>
  <c r="AJ946" i="20"/>
  <c r="AJ947" i="20"/>
  <c r="AJ948" i="20"/>
  <c r="AJ949" i="20"/>
  <c r="AJ950" i="20"/>
  <c r="AJ951" i="20"/>
  <c r="AJ952" i="20"/>
  <c r="AJ953" i="20"/>
  <c r="AJ954" i="20"/>
  <c r="AJ955" i="20"/>
  <c r="AJ956" i="20"/>
  <c r="AJ957" i="20"/>
  <c r="AJ958" i="20"/>
  <c r="AJ959" i="20"/>
  <c r="AJ960" i="20"/>
  <c r="AJ961" i="20"/>
  <c r="AJ962" i="20"/>
  <c r="AJ963" i="20"/>
  <c r="AJ964" i="20"/>
  <c r="AJ965" i="20"/>
  <c r="AJ966" i="20"/>
  <c r="AJ967" i="20"/>
  <c r="AJ968" i="20"/>
  <c r="AJ969" i="20"/>
  <c r="AJ970" i="20"/>
  <c r="AJ971" i="20"/>
  <c r="AJ972" i="20"/>
  <c r="AJ973" i="20"/>
  <c r="AJ974" i="20"/>
  <c r="AJ975" i="20"/>
  <c r="AJ976" i="20"/>
  <c r="AJ977" i="20"/>
  <c r="AJ978" i="20"/>
  <c r="AJ979" i="20"/>
  <c r="AJ980" i="20"/>
  <c r="AJ981" i="20"/>
  <c r="AJ982" i="20"/>
  <c r="AJ983" i="20"/>
  <c r="AJ984" i="20"/>
  <c r="AJ985" i="20"/>
  <c r="AJ986" i="20"/>
  <c r="AJ987" i="20"/>
  <c r="AJ988" i="20"/>
  <c r="AJ989" i="20"/>
  <c r="AJ990" i="20"/>
  <c r="AJ991" i="20"/>
  <c r="AJ992" i="20"/>
  <c r="AJ993" i="20"/>
  <c r="AJ994" i="20"/>
  <c r="AJ995" i="20"/>
  <c r="AJ996" i="20"/>
  <c r="AJ997" i="20"/>
  <c r="AJ998" i="20"/>
  <c r="AJ999" i="20"/>
  <c r="AJ1000" i="20"/>
  <c r="AJ1001" i="20"/>
  <c r="AJ1002" i="20"/>
  <c r="AJ1003" i="20"/>
  <c r="AJ1004" i="20"/>
  <c r="AJ1005" i="20"/>
  <c r="AJ1006" i="20"/>
  <c r="AJ1007" i="20"/>
  <c r="AJ1008" i="20"/>
  <c r="AJ1009" i="20"/>
  <c r="AJ1010" i="20"/>
  <c r="AJ1011" i="20"/>
  <c r="AJ1012" i="20"/>
  <c r="AJ1013" i="20"/>
  <c r="AJ1014" i="20"/>
  <c r="AJ1015" i="20"/>
  <c r="AJ1016" i="20"/>
  <c r="AJ1017" i="20"/>
  <c r="AJ1018" i="20"/>
  <c r="AJ1019" i="20"/>
  <c r="AJ1020" i="20"/>
  <c r="AJ1021" i="20"/>
  <c r="AJ1022" i="20"/>
  <c r="AJ1023" i="20"/>
  <c r="AJ1024" i="20"/>
  <c r="AJ1025" i="20"/>
  <c r="AJ1026" i="20"/>
  <c r="AJ1027" i="20"/>
  <c r="AJ1028" i="20"/>
  <c r="AJ1029" i="20"/>
  <c r="AJ1030" i="20"/>
  <c r="AJ1031" i="20"/>
  <c r="AJ1032" i="20"/>
  <c r="AJ1033" i="20"/>
  <c r="AJ1034" i="20"/>
  <c r="AJ1035" i="20"/>
  <c r="AJ1036" i="20"/>
  <c r="AJ1037" i="20"/>
  <c r="AJ1038" i="20"/>
  <c r="AJ1039" i="20"/>
  <c r="AJ1040" i="20"/>
  <c r="AJ1041" i="20"/>
  <c r="AJ1042" i="20"/>
  <c r="AJ1043" i="20"/>
  <c r="AJ1044" i="20"/>
  <c r="AJ1045" i="20"/>
  <c r="AJ1046" i="20"/>
  <c r="AJ1047" i="20"/>
  <c r="AJ1048" i="20"/>
  <c r="AJ1049" i="20"/>
  <c r="AJ1050" i="20"/>
  <c r="AJ1051" i="20"/>
  <c r="AJ1052" i="20"/>
  <c r="AJ1053" i="20"/>
  <c r="AJ1054" i="20"/>
  <c r="AJ1055" i="20"/>
  <c r="AJ1056" i="20"/>
  <c r="AJ1057" i="20"/>
  <c r="AJ1058" i="20"/>
  <c r="AJ1059" i="20"/>
  <c r="AJ1060" i="20"/>
  <c r="AJ1061" i="20"/>
  <c r="AJ1062" i="20"/>
  <c r="AJ1063" i="20"/>
  <c r="AJ1064" i="20"/>
  <c r="AJ1065" i="20"/>
  <c r="AJ1066" i="20"/>
  <c r="AJ1067" i="20"/>
  <c r="AJ1068" i="20"/>
  <c r="AJ1069" i="20"/>
  <c r="AJ1070" i="20"/>
  <c r="AJ1071" i="20"/>
  <c r="AJ1072" i="20"/>
  <c r="AJ1073" i="20"/>
  <c r="AJ1074" i="20"/>
  <c r="AJ1075" i="20"/>
  <c r="AJ1076" i="20"/>
  <c r="AJ1077" i="20"/>
  <c r="AJ1078" i="20"/>
  <c r="AJ1079" i="20"/>
  <c r="AJ1080" i="20"/>
  <c r="AJ1081" i="20"/>
  <c r="AJ1082" i="20"/>
  <c r="AJ1083" i="20"/>
  <c r="AJ1084" i="20"/>
  <c r="AJ1085" i="20"/>
  <c r="AJ1086" i="20"/>
  <c r="AJ1087" i="20"/>
  <c r="AJ1088" i="20"/>
  <c r="AJ1089" i="20"/>
  <c r="AJ1090" i="20"/>
  <c r="AJ1091" i="20"/>
  <c r="AJ1092" i="20"/>
  <c r="AJ1093" i="20"/>
  <c r="AJ1094" i="20"/>
  <c r="AJ1095" i="20"/>
  <c r="AJ1096" i="20"/>
  <c r="AJ1097" i="20"/>
  <c r="AJ1098" i="20"/>
  <c r="AJ1099" i="20"/>
  <c r="AJ1100" i="20"/>
  <c r="AJ1101" i="20"/>
  <c r="AJ1102" i="20"/>
  <c r="AJ1103" i="20"/>
  <c r="AJ1104" i="20"/>
  <c r="AJ1105" i="20"/>
  <c r="AJ1106" i="20"/>
  <c r="AJ1107" i="20"/>
  <c r="AJ1108" i="20"/>
  <c r="AJ1109" i="20"/>
  <c r="AJ1110" i="20"/>
  <c r="AJ1111" i="20"/>
  <c r="AJ1112" i="20"/>
  <c r="AJ1113" i="20"/>
  <c r="AJ1114" i="20"/>
  <c r="AJ1115" i="20"/>
  <c r="AJ1116" i="20"/>
  <c r="AJ1117" i="20"/>
  <c r="AJ1118" i="20"/>
  <c r="AJ1119" i="20"/>
  <c r="AJ1120" i="20"/>
  <c r="AJ1121" i="20"/>
  <c r="AJ1122" i="20"/>
  <c r="AJ1123" i="20"/>
  <c r="AJ1124" i="20"/>
  <c r="AJ1125" i="20"/>
  <c r="AJ1126" i="20"/>
  <c r="AJ1127" i="20"/>
  <c r="AJ1128" i="20"/>
  <c r="AJ1129" i="20"/>
  <c r="AJ1130" i="20"/>
  <c r="AJ1131" i="20"/>
  <c r="AJ1132" i="20"/>
  <c r="AJ1133" i="20"/>
  <c r="AJ1134" i="20"/>
  <c r="AJ1135" i="20"/>
  <c r="AJ1136" i="20"/>
  <c r="AJ1137" i="20"/>
  <c r="AJ1138" i="20"/>
  <c r="AJ1139" i="20"/>
  <c r="AJ1140" i="20"/>
  <c r="AJ1141" i="20"/>
  <c r="AJ1142" i="20"/>
  <c r="AJ1144" i="20"/>
  <c r="AJ1145" i="20"/>
  <c r="AJ1146" i="20"/>
  <c r="AJ1147" i="20"/>
  <c r="AJ1148" i="20"/>
  <c r="AJ1149" i="20"/>
  <c r="AJ1150" i="20"/>
  <c r="AJ1152" i="20"/>
  <c r="AJ1153" i="20"/>
  <c r="AJ1154" i="20"/>
  <c r="AJ1155" i="20"/>
  <c r="AJ1156" i="20"/>
  <c r="AJ1157" i="20"/>
  <c r="AJ1158" i="20"/>
  <c r="AJ1160" i="20"/>
  <c r="AJ1161" i="20"/>
  <c r="AJ1162" i="20"/>
  <c r="AJ1163" i="20"/>
  <c r="AJ1164" i="20"/>
  <c r="AJ1165" i="20"/>
  <c r="AJ1166" i="20"/>
  <c r="AJ1168" i="20"/>
  <c r="AJ1169" i="20"/>
  <c r="AJ1170" i="20"/>
  <c r="AJ1171" i="20"/>
  <c r="AJ1172" i="20"/>
  <c r="AJ1173" i="20"/>
  <c r="AJ1174" i="20"/>
  <c r="AJ1176" i="20"/>
  <c r="AJ1177" i="20"/>
  <c r="AJ1178" i="20"/>
  <c r="AJ1179" i="20"/>
  <c r="AJ1180" i="20"/>
  <c r="AJ1181" i="20"/>
  <c r="AJ1182" i="20"/>
  <c r="AJ1184" i="20"/>
  <c r="AJ1185" i="20"/>
  <c r="AJ1186" i="20"/>
  <c r="AJ1187" i="20"/>
  <c r="AJ1188" i="20"/>
  <c r="AJ1189" i="20"/>
  <c r="AJ1190" i="20"/>
  <c r="AJ1192" i="20"/>
  <c r="AJ1193" i="20"/>
  <c r="AJ1194" i="20"/>
  <c r="AJ1195" i="20"/>
  <c r="AJ1196" i="20"/>
  <c r="AJ1197" i="20"/>
  <c r="AJ1198" i="20"/>
  <c r="AJ1200" i="20"/>
  <c r="AJ1201" i="20"/>
  <c r="AJ1202" i="20"/>
  <c r="AJ1203" i="20"/>
  <c r="AJ1204" i="20"/>
  <c r="AJ1205" i="20"/>
  <c r="AJ1206" i="20"/>
  <c r="AJ1208" i="20"/>
  <c r="AJ1209" i="20"/>
  <c r="AJ1210" i="20"/>
  <c r="AJ1211" i="20"/>
  <c r="AJ1212" i="20"/>
  <c r="AJ1213" i="20"/>
  <c r="AJ1214" i="20"/>
  <c r="AJ1216" i="20"/>
  <c r="AJ1217" i="20"/>
  <c r="AJ1218" i="20"/>
  <c r="AJ1219" i="20"/>
  <c r="AJ1220" i="20"/>
  <c r="AJ1221" i="20"/>
  <c r="AJ1222" i="20"/>
  <c r="AJ1224" i="20"/>
  <c r="AJ1225" i="20"/>
  <c r="AJ1226" i="20"/>
  <c r="AJ1227" i="20"/>
  <c r="AJ1228" i="20"/>
  <c r="AJ1229" i="20"/>
  <c r="AJ1230" i="20"/>
  <c r="AJ1232" i="20"/>
  <c r="AJ1233" i="20"/>
  <c r="AJ1234" i="20"/>
  <c r="AJ1235" i="20"/>
  <c r="AJ1236" i="20"/>
  <c r="AJ1237" i="20"/>
  <c r="AJ1238" i="20"/>
  <c r="AJ1240" i="20"/>
  <c r="AJ1241" i="20"/>
  <c r="AJ1242" i="20"/>
  <c r="AJ1243" i="20"/>
  <c r="AJ1244" i="20"/>
  <c r="AJ1245" i="20"/>
  <c r="AJ1246" i="20"/>
  <c r="AJ1248" i="20"/>
  <c r="AJ1249" i="20"/>
  <c r="AJ1250" i="20"/>
  <c r="AJ1251" i="20"/>
  <c r="AJ1252" i="20"/>
  <c r="AJ1253" i="20"/>
  <c r="AJ1254" i="20"/>
  <c r="AJ1256" i="20"/>
  <c r="AJ1257" i="20"/>
  <c r="AJ1258" i="20"/>
  <c r="AJ1259" i="20"/>
  <c r="AJ1260" i="20"/>
  <c r="AJ1261" i="20"/>
  <c r="AJ1262" i="20"/>
  <c r="AJ1264" i="20"/>
  <c r="AJ1265" i="20"/>
  <c r="AJ1266" i="20"/>
  <c r="AJ1267" i="20"/>
  <c r="AJ1268" i="20"/>
  <c r="AJ1269" i="20"/>
  <c r="AJ1270" i="20"/>
  <c r="AJ1272" i="20"/>
  <c r="AJ1273" i="20"/>
  <c r="AJ1274" i="20"/>
  <c r="AJ1275" i="20"/>
  <c r="AJ1276" i="20"/>
  <c r="AJ1277" i="20"/>
  <c r="AJ1278" i="20"/>
  <c r="AJ1280" i="20"/>
  <c r="AJ1281" i="20"/>
  <c r="AJ1282" i="20"/>
  <c r="AJ1283" i="20"/>
  <c r="AJ1284" i="20"/>
  <c r="AJ1285" i="20"/>
  <c r="AJ1286" i="20"/>
  <c r="AJ1288" i="20"/>
  <c r="AJ1289" i="20"/>
  <c r="AJ1290" i="20"/>
  <c r="AJ1291" i="20"/>
  <c r="AJ1292" i="20"/>
  <c r="AJ1293" i="20"/>
  <c r="AJ1294" i="20"/>
  <c r="AJ1296" i="20"/>
  <c r="AJ1297" i="20"/>
  <c r="AJ1298" i="20"/>
  <c r="AJ1299" i="20"/>
  <c r="AJ1300" i="20"/>
  <c r="AJ1301" i="20"/>
  <c r="AJ1302" i="20"/>
  <c r="AJ1304" i="20"/>
  <c r="AJ1305" i="20"/>
  <c r="AJ1306" i="20"/>
  <c r="AJ1307" i="20"/>
  <c r="AJ1308" i="20"/>
  <c r="AJ1309" i="20"/>
  <c r="AJ1310" i="20"/>
  <c r="AJ1312" i="20"/>
  <c r="AJ1313" i="20"/>
  <c r="AJ1314" i="20"/>
  <c r="AJ1315" i="20"/>
  <c r="AJ1316" i="20"/>
  <c r="AJ1317" i="20"/>
  <c r="AJ1318" i="20"/>
  <c r="AJ1320" i="20"/>
  <c r="AJ1321" i="20"/>
  <c r="AJ1322" i="20"/>
  <c r="AJ1323" i="20"/>
  <c r="AJ1324" i="20"/>
  <c r="AJ1325" i="20"/>
  <c r="AJ1326" i="20"/>
  <c r="AJ1328" i="20"/>
  <c r="AJ1329" i="20"/>
  <c r="AJ1330" i="20"/>
  <c r="AJ1331" i="20"/>
  <c r="AJ1332" i="20"/>
  <c r="AJ1333" i="20"/>
  <c r="AJ1334" i="20"/>
  <c r="AJ1336" i="20"/>
  <c r="AJ1337" i="20"/>
  <c r="AJ1338" i="20"/>
  <c r="AJ1339" i="20"/>
  <c r="AJ1340" i="20"/>
  <c r="AJ1341" i="20"/>
  <c r="AJ1342" i="20"/>
  <c r="AJ1344" i="20"/>
  <c r="AJ1345" i="20"/>
  <c r="AJ1346" i="20"/>
  <c r="AJ1347" i="20"/>
  <c r="AJ1348" i="20"/>
  <c r="AJ1349" i="20"/>
  <c r="AJ1350" i="20"/>
  <c r="AJ1352" i="20"/>
  <c r="AJ1353" i="20"/>
  <c r="AJ1354" i="20"/>
  <c r="AJ1355" i="20"/>
  <c r="AJ1356" i="20"/>
  <c r="AJ1357" i="20"/>
  <c r="AJ1358" i="20"/>
  <c r="AJ1360" i="20"/>
  <c r="AJ1361" i="20"/>
  <c r="AJ1362" i="20"/>
  <c r="AJ1363" i="20"/>
  <c r="AJ1364" i="20"/>
  <c r="AJ1365" i="20"/>
  <c r="AJ1366" i="20"/>
  <c r="AJ1368" i="20"/>
  <c r="AJ1369" i="20"/>
  <c r="AJ1370" i="20"/>
  <c r="AJ1371" i="20"/>
  <c r="AJ1372" i="20"/>
  <c r="AJ1373" i="20"/>
  <c r="AJ1374" i="20"/>
  <c r="AJ1376" i="20"/>
  <c r="AJ1377" i="20"/>
  <c r="AJ1378" i="20"/>
  <c r="AJ1379" i="20"/>
  <c r="AJ1380" i="20"/>
  <c r="AJ1381" i="20"/>
  <c r="AJ1382" i="20"/>
  <c r="AJ1384" i="20"/>
  <c r="AJ1385" i="20"/>
  <c r="AJ1386" i="20"/>
  <c r="AJ1387" i="20"/>
  <c r="AJ1388" i="20"/>
  <c r="AJ1389" i="20"/>
  <c r="AJ1390" i="20"/>
  <c r="AJ1392" i="20"/>
  <c r="AJ1393" i="20"/>
  <c r="AJ1394" i="20"/>
  <c r="AJ1395" i="20"/>
  <c r="AJ1396" i="20"/>
  <c r="AJ1397" i="20"/>
  <c r="AJ1398" i="20"/>
  <c r="AJ1400" i="20"/>
  <c r="AJ1401" i="20"/>
  <c r="AJ1402" i="20"/>
  <c r="AJ1403" i="20"/>
  <c r="AJ1404" i="20"/>
  <c r="AJ1405" i="20"/>
  <c r="AJ1406" i="20"/>
  <c r="AJ1408" i="20"/>
  <c r="AJ1409" i="20"/>
  <c r="AJ1410" i="20"/>
  <c r="AJ1411" i="20"/>
  <c r="AJ1412" i="20"/>
  <c r="AJ1413" i="20"/>
  <c r="AJ1414" i="20"/>
  <c r="AJ1416" i="20"/>
  <c r="AJ1417" i="20"/>
  <c r="AJ1418" i="20"/>
  <c r="AJ1419" i="20"/>
  <c r="AJ1420" i="20"/>
  <c r="AJ1421" i="20"/>
  <c r="AJ1422" i="20"/>
  <c r="AJ1424" i="20"/>
  <c r="AJ1425" i="20"/>
  <c r="AJ1426" i="20"/>
  <c r="AJ1427" i="20"/>
  <c r="AJ1428" i="20"/>
  <c r="AJ1429" i="20"/>
  <c r="AJ1430" i="20"/>
  <c r="AJ1432" i="20"/>
  <c r="AJ1433" i="20"/>
  <c r="AJ1434" i="20"/>
  <c r="AJ1435" i="20"/>
  <c r="AJ1436" i="20"/>
  <c r="AJ1437" i="20"/>
  <c r="AJ1438" i="20"/>
  <c r="AJ1440" i="20"/>
  <c r="AJ1441" i="20"/>
  <c r="AJ1442" i="20"/>
  <c r="AJ1443" i="20"/>
  <c r="AJ1444" i="20"/>
  <c r="AJ1445" i="20"/>
  <c r="AJ1446" i="20"/>
  <c r="AJ1448" i="20"/>
  <c r="AJ1449" i="20"/>
  <c r="AJ1450" i="20"/>
  <c r="AJ1451" i="20"/>
  <c r="AJ1452" i="20"/>
  <c r="AJ1453" i="20"/>
  <c r="AJ1454" i="20"/>
  <c r="AJ1456" i="20"/>
  <c r="AJ1457" i="20"/>
  <c r="AJ1458" i="20"/>
  <c r="AJ1459" i="20"/>
  <c r="AJ1460" i="20"/>
  <c r="AJ1461" i="20"/>
  <c r="AJ1462" i="20"/>
  <c r="AJ1464" i="20"/>
  <c r="AJ1465" i="20"/>
  <c r="AJ1466" i="20"/>
  <c r="AJ1467" i="20"/>
  <c r="AJ1468" i="20"/>
  <c r="AJ1469" i="20"/>
  <c r="AJ1470" i="20"/>
  <c r="AJ1472" i="20"/>
  <c r="AJ1473" i="20"/>
  <c r="AJ1474" i="20"/>
  <c r="AJ1475" i="20"/>
  <c r="AJ1476" i="20"/>
  <c r="AJ1477" i="20"/>
  <c r="AJ1478" i="20"/>
  <c r="AJ1480" i="20"/>
  <c r="AJ1481" i="20"/>
  <c r="AJ1482" i="20"/>
  <c r="AJ1483" i="20"/>
  <c r="AJ1484" i="20"/>
  <c r="AJ1485" i="20"/>
  <c r="AJ1486" i="20"/>
  <c r="AJ1488" i="20"/>
  <c r="AJ1489" i="20"/>
  <c r="AJ1490" i="20"/>
  <c r="AJ1491" i="20"/>
  <c r="AJ1492" i="20"/>
  <c r="AJ1493" i="20"/>
  <c r="AJ1494" i="20"/>
  <c r="AJ1496" i="20"/>
  <c r="AJ1497" i="20"/>
  <c r="AJ1498" i="20"/>
  <c r="AJ1499" i="20"/>
  <c r="AJ1500" i="20"/>
  <c r="AJ1501" i="20"/>
  <c r="AJ1502" i="20"/>
  <c r="AJ1504" i="20"/>
  <c r="AJ1505" i="20"/>
  <c r="AJ1506" i="20"/>
  <c r="AJ1507" i="20"/>
  <c r="AJ1508" i="20"/>
  <c r="AJ1509" i="20"/>
  <c r="AJ1510" i="20"/>
  <c r="AJ1512" i="20"/>
  <c r="AJ1513" i="20"/>
  <c r="AJ1514" i="20"/>
  <c r="AJ1515" i="20"/>
  <c r="AJ1516" i="20"/>
  <c r="AJ1517" i="20"/>
  <c r="AJ1518" i="20"/>
  <c r="AJ1520" i="20"/>
  <c r="AJ1521" i="20"/>
  <c r="AJ1522" i="20"/>
  <c r="AJ1523" i="20"/>
  <c r="AJ1524" i="20"/>
  <c r="AJ1525" i="20"/>
  <c r="AJ1526" i="20"/>
  <c r="AJ1528" i="20"/>
  <c r="AJ1529" i="20"/>
  <c r="AJ1530" i="20"/>
  <c r="AJ1531" i="20"/>
  <c r="AJ1532" i="20"/>
  <c r="AJ1533" i="20"/>
  <c r="AJ1534" i="20"/>
  <c r="AJ1536" i="20"/>
  <c r="AJ1537" i="20"/>
  <c r="AJ1538" i="20"/>
  <c r="AJ1539" i="20"/>
  <c r="AJ1540" i="20"/>
  <c r="AJ1541" i="20"/>
  <c r="AJ1542" i="20"/>
  <c r="AJ1544" i="20"/>
  <c r="AJ1545" i="20"/>
  <c r="AJ1546" i="20"/>
  <c r="AJ1547" i="20"/>
  <c r="AJ1548" i="20"/>
  <c r="AJ1549" i="20"/>
  <c r="AJ1550" i="20"/>
  <c r="AJ1552" i="20"/>
  <c r="AJ1553" i="20"/>
  <c r="AJ1554" i="20"/>
  <c r="AJ1555" i="20"/>
  <c r="AJ1556" i="20"/>
  <c r="AJ1557" i="20"/>
  <c r="AJ1558" i="20"/>
  <c r="AJ1560" i="20"/>
  <c r="AJ1561" i="20"/>
  <c r="AJ1562" i="20"/>
  <c r="AJ1563" i="20"/>
  <c r="AJ1564" i="20"/>
  <c r="AJ1565" i="20"/>
  <c r="AJ1566" i="20"/>
  <c r="AJ1568" i="20"/>
  <c r="AJ1569" i="20"/>
  <c r="AJ1570" i="20"/>
  <c r="AJ1571" i="20"/>
  <c r="AJ1572" i="20"/>
  <c r="AJ1573" i="20"/>
  <c r="AJ1574" i="20"/>
  <c r="AJ1576" i="20"/>
  <c r="AJ1577" i="20"/>
  <c r="AJ1578" i="20"/>
  <c r="AJ1579" i="20"/>
  <c r="AJ1580" i="20"/>
  <c r="AJ1581" i="20"/>
  <c r="AJ1582" i="20"/>
  <c r="AJ1584" i="20"/>
  <c r="AJ1585" i="20"/>
  <c r="AJ1586" i="20"/>
  <c r="AJ1587" i="20"/>
  <c r="AJ1588" i="20"/>
  <c r="AJ1589" i="20"/>
  <c r="AJ1590" i="20"/>
  <c r="AJ1592" i="20"/>
  <c r="AJ1593" i="20"/>
  <c r="AJ1594" i="20"/>
  <c r="AJ1595" i="20"/>
  <c r="AJ1596" i="20"/>
  <c r="AJ1597" i="20"/>
  <c r="AJ1598" i="20"/>
  <c r="AJ1600" i="20"/>
  <c r="AJ1601" i="20"/>
  <c r="AJ1602" i="20"/>
  <c r="AJ1603" i="20"/>
  <c r="AJ1604" i="20"/>
  <c r="AJ1605" i="20"/>
  <c r="AJ1606" i="20"/>
  <c r="AJ1608" i="20"/>
  <c r="AJ1609" i="20"/>
  <c r="AJ1610" i="20"/>
  <c r="AJ1611" i="20"/>
  <c r="AJ1612" i="20"/>
  <c r="AJ1613" i="20"/>
  <c r="AJ1614" i="20"/>
  <c r="AJ1616" i="20"/>
  <c r="AJ1617" i="20"/>
  <c r="AJ1618" i="20"/>
  <c r="AJ1619" i="20"/>
  <c r="AJ1620" i="20"/>
  <c r="AJ1621" i="20"/>
  <c r="AJ1622" i="20"/>
  <c r="AJ1624" i="20"/>
  <c r="AJ1625" i="20"/>
  <c r="AJ1626" i="20"/>
  <c r="AJ1627" i="20"/>
  <c r="AJ1628" i="20"/>
  <c r="AJ1629" i="20"/>
  <c r="AJ1630" i="20"/>
  <c r="AJ1632" i="20"/>
  <c r="AJ1633" i="20"/>
  <c r="AJ1634" i="20"/>
  <c r="AJ1635" i="20"/>
  <c r="AJ1636" i="20"/>
  <c r="AJ1637" i="20"/>
  <c r="AJ1638" i="20"/>
  <c r="AJ1640" i="20"/>
  <c r="AJ1641" i="20"/>
  <c r="AJ1642" i="20"/>
  <c r="AJ1643" i="20"/>
  <c r="AJ1644" i="20"/>
  <c r="AJ1645" i="20"/>
  <c r="AJ1646" i="20"/>
  <c r="AJ1648" i="20"/>
  <c r="AJ1649" i="20"/>
  <c r="AJ1650" i="20"/>
  <c r="AJ1651" i="20"/>
  <c r="AJ1652" i="20"/>
  <c r="AJ1653" i="20"/>
  <c r="AJ1654" i="20"/>
  <c r="AJ1656" i="20"/>
  <c r="AJ1657" i="20"/>
  <c r="AJ1658" i="20"/>
  <c r="AJ1659" i="20"/>
  <c r="AJ1660" i="20"/>
  <c r="AJ1661" i="20"/>
  <c r="AJ1662" i="20"/>
  <c r="AJ1664" i="20"/>
  <c r="AJ1665" i="20"/>
  <c r="AJ1666" i="20"/>
  <c r="AJ1667" i="20"/>
  <c r="AJ1668" i="20"/>
  <c r="AJ1669" i="20"/>
  <c r="AJ1670" i="20"/>
  <c r="AJ1672" i="20"/>
  <c r="AJ1673" i="20"/>
  <c r="AJ1674" i="20"/>
  <c r="AJ1675" i="20"/>
  <c r="AJ1676" i="20"/>
  <c r="AJ1677" i="20"/>
  <c r="AJ1678" i="20"/>
  <c r="AJ1680" i="20"/>
  <c r="AJ1681" i="20"/>
  <c r="AJ1682" i="20"/>
  <c r="AJ1683" i="20"/>
  <c r="AJ1684" i="20"/>
  <c r="AJ1685" i="20"/>
  <c r="AJ1686" i="20"/>
  <c r="AJ1688" i="20"/>
  <c r="AJ1689" i="20"/>
  <c r="AJ1690" i="20"/>
  <c r="AJ1691" i="20"/>
  <c r="AJ1692" i="20"/>
  <c r="AJ1693" i="20"/>
  <c r="AJ1694" i="20"/>
  <c r="AJ1696" i="20"/>
  <c r="AJ1697" i="20"/>
  <c r="AJ1698" i="20"/>
  <c r="AJ1699" i="20"/>
  <c r="AJ1700" i="20"/>
  <c r="AJ1701" i="20"/>
  <c r="AJ1702" i="20"/>
  <c r="AJ1704" i="20"/>
  <c r="AJ1705" i="20"/>
  <c r="AJ1706" i="20"/>
  <c r="AJ1707" i="20"/>
  <c r="AJ1708" i="20"/>
  <c r="AJ1709" i="20"/>
  <c r="AJ1710" i="20"/>
  <c r="AJ1712" i="20"/>
  <c r="AJ1713" i="20"/>
  <c r="AJ1714" i="20"/>
  <c r="AJ1715" i="20"/>
  <c r="AJ1716" i="20"/>
  <c r="AJ1717" i="20"/>
  <c r="AJ1718" i="20"/>
  <c r="AJ1720" i="20"/>
  <c r="AJ1721" i="20"/>
  <c r="AJ1722" i="20"/>
  <c r="AJ1723" i="20"/>
  <c r="AJ1724" i="20"/>
  <c r="AJ1725" i="20"/>
  <c r="AJ1726" i="20"/>
  <c r="AJ1728" i="20"/>
  <c r="AJ1729" i="20"/>
  <c r="AJ1730" i="20"/>
  <c r="AJ1731" i="20"/>
  <c r="AJ1732" i="20"/>
  <c r="AJ1733" i="20"/>
  <c r="AJ1734" i="20"/>
  <c r="AJ1736" i="20"/>
  <c r="AJ1737" i="20"/>
  <c r="AJ1738" i="20"/>
  <c r="AJ1739" i="20"/>
  <c r="AJ1740" i="20"/>
  <c r="AJ1741" i="20"/>
  <c r="AJ1742" i="20"/>
  <c r="AJ1744" i="20"/>
  <c r="AJ1745" i="20"/>
  <c r="AJ1746" i="20"/>
  <c r="AJ1747" i="20"/>
  <c r="AJ1748" i="20"/>
  <c r="AJ1749" i="20"/>
  <c r="AJ1750" i="20"/>
  <c r="AJ1752" i="20"/>
  <c r="AJ1753" i="20"/>
  <c r="AJ1754" i="20"/>
  <c r="AJ1755" i="20"/>
  <c r="AJ1756" i="20"/>
  <c r="AJ1757" i="20"/>
  <c r="AJ1758" i="20"/>
  <c r="AJ1760" i="20"/>
  <c r="AJ1761" i="20"/>
  <c r="AJ1762" i="20"/>
  <c r="AJ1763" i="20"/>
  <c r="AJ1764" i="20"/>
  <c r="AJ1765" i="20"/>
  <c r="AJ1766" i="20"/>
  <c r="AJ1768" i="20"/>
  <c r="AJ1769" i="20"/>
  <c r="AJ1770" i="20"/>
  <c r="AJ1771" i="20"/>
  <c r="AJ1772" i="20"/>
  <c r="AJ1773" i="20"/>
  <c r="AJ1774" i="20"/>
  <c r="AJ1776" i="20"/>
  <c r="AJ1777" i="20"/>
  <c r="AJ1778" i="20"/>
  <c r="AJ1779" i="20"/>
  <c r="AJ1780" i="20"/>
  <c r="AJ1781" i="20"/>
  <c r="AJ1782" i="20"/>
  <c r="AJ1784" i="20"/>
  <c r="AJ1785" i="20"/>
  <c r="AJ1786" i="20"/>
  <c r="AJ1787" i="20"/>
  <c r="AJ1788" i="20"/>
  <c r="AJ1789" i="20"/>
  <c r="AJ1790" i="20"/>
  <c r="AJ1792" i="20"/>
  <c r="AJ1793" i="20"/>
  <c r="AJ1794" i="20"/>
  <c r="AJ1795" i="20"/>
  <c r="AJ1796" i="20"/>
  <c r="AJ1797" i="20"/>
  <c r="AJ1798" i="20"/>
  <c r="AJ1800" i="20"/>
  <c r="AJ1801" i="20"/>
  <c r="AJ1802" i="20"/>
  <c r="AJ1803" i="20"/>
  <c r="AJ1804" i="20"/>
  <c r="AJ1805" i="20"/>
  <c r="AJ1806" i="20"/>
  <c r="AJ1808" i="20"/>
  <c r="AJ1809" i="20"/>
  <c r="AJ1810" i="20"/>
  <c r="AJ1811" i="20"/>
  <c r="AJ1812" i="20"/>
  <c r="AJ1813" i="20"/>
  <c r="AJ1814" i="20"/>
  <c r="AJ1816" i="20"/>
  <c r="AJ1817" i="20"/>
  <c r="AJ1818" i="20"/>
  <c r="AJ1819" i="20"/>
  <c r="AJ1820" i="20"/>
  <c r="AJ1821" i="20"/>
  <c r="AJ1822" i="20"/>
  <c r="AJ1824" i="20"/>
  <c r="AJ1825" i="20"/>
  <c r="AJ1826" i="20"/>
  <c r="AJ1827" i="20"/>
  <c r="AJ1828" i="20"/>
  <c r="AJ1829" i="20"/>
  <c r="AJ1830" i="20"/>
  <c r="AJ1832" i="20"/>
  <c r="AJ1833" i="20"/>
  <c r="AJ1834" i="20"/>
  <c r="AJ1835" i="20"/>
  <c r="AJ1836" i="20"/>
  <c r="AJ1837" i="20"/>
  <c r="AJ1838" i="20"/>
  <c r="AJ1840" i="20"/>
  <c r="AJ1841" i="20"/>
  <c r="AJ1842" i="20"/>
  <c r="AJ1843" i="20"/>
  <c r="AJ1844" i="20"/>
  <c r="AJ1845" i="20"/>
  <c r="AJ1846" i="20"/>
  <c r="AJ1848" i="20"/>
  <c r="AJ1849" i="20"/>
  <c r="AJ1850" i="20"/>
  <c r="AJ1851" i="20"/>
  <c r="AJ1852" i="20"/>
  <c r="AJ1853" i="20"/>
  <c r="AJ1854" i="20"/>
  <c r="AJ1856" i="20"/>
  <c r="AJ1857" i="20"/>
  <c r="AJ1858" i="20"/>
  <c r="AJ1859" i="20"/>
  <c r="AJ1860" i="20"/>
  <c r="AJ1861" i="20"/>
  <c r="AJ1862" i="20"/>
  <c r="AJ1864" i="20"/>
  <c r="AJ1865" i="20"/>
  <c r="AJ1866" i="20"/>
  <c r="AJ1867" i="20"/>
  <c r="AJ1868" i="20"/>
  <c r="AJ1869" i="20"/>
  <c r="AJ1870" i="20"/>
  <c r="AJ1872" i="20"/>
  <c r="AJ1873" i="20"/>
  <c r="AJ1874" i="20"/>
  <c r="AJ1875" i="20"/>
  <c r="AJ1876" i="20"/>
  <c r="AJ1877" i="20"/>
  <c r="AJ1878" i="20"/>
  <c r="AJ1880" i="20"/>
  <c r="AJ1881" i="20"/>
  <c r="AJ1882" i="20"/>
  <c r="AJ1883" i="20"/>
  <c r="AJ1884" i="20"/>
  <c r="AJ1885" i="20"/>
  <c r="AJ1886" i="20"/>
  <c r="AJ1888" i="20"/>
  <c r="AJ1889" i="20"/>
  <c r="AJ1890" i="20"/>
  <c r="AJ1891" i="20"/>
  <c r="AJ1892" i="20"/>
  <c r="AJ1893" i="20"/>
  <c r="AJ1894" i="20"/>
  <c r="AJ1896" i="20"/>
  <c r="AJ1897" i="20"/>
  <c r="AJ1898" i="20"/>
  <c r="AJ1899" i="20"/>
  <c r="AJ1900" i="20"/>
  <c r="AJ1901" i="20"/>
  <c r="AJ1902" i="20"/>
  <c r="AJ1904" i="20"/>
  <c r="AJ1905" i="20"/>
  <c r="AJ1906" i="20"/>
  <c r="AJ1907" i="20"/>
  <c r="AJ1908" i="20"/>
  <c r="AJ1909" i="20"/>
  <c r="AJ1910" i="20"/>
  <c r="AJ1912" i="20"/>
  <c r="AJ1913" i="20"/>
  <c r="AJ1914" i="20"/>
  <c r="AJ1915" i="20"/>
  <c r="AJ1916" i="20"/>
  <c r="AJ1917" i="20"/>
  <c r="AJ1918" i="20"/>
  <c r="AJ1920" i="20"/>
  <c r="AJ1921" i="20"/>
  <c r="AJ1922" i="20"/>
  <c r="AJ1923" i="20"/>
  <c r="AJ1924" i="20"/>
  <c r="AJ1925" i="20"/>
  <c r="AJ1926" i="20"/>
  <c r="AJ1928" i="20"/>
  <c r="AJ1929" i="20"/>
  <c r="AJ1930" i="20"/>
  <c r="AJ1931" i="20"/>
  <c r="AJ1932" i="20"/>
  <c r="AJ1933" i="20"/>
  <c r="AJ1934" i="20"/>
  <c r="AJ1936" i="20"/>
  <c r="AJ1937" i="20"/>
  <c r="AJ1938" i="20"/>
  <c r="AJ1939" i="20"/>
  <c r="AJ1940" i="20"/>
  <c r="AJ1941" i="20"/>
  <c r="AJ1942" i="20"/>
  <c r="AJ1944" i="20"/>
  <c r="AJ1945" i="20"/>
  <c r="AJ1946" i="20"/>
  <c r="AJ1947" i="20"/>
  <c r="AJ1948" i="20"/>
  <c r="AJ1949" i="20"/>
  <c r="AJ1950" i="20"/>
  <c r="AJ1952" i="20"/>
  <c r="AJ1953" i="20"/>
  <c r="AJ1954" i="20"/>
  <c r="AJ1955" i="20"/>
  <c r="AJ1956" i="20"/>
  <c r="AJ1957" i="20"/>
  <c r="AJ1958" i="20"/>
  <c r="AJ1960" i="20"/>
  <c r="AJ1961" i="20"/>
  <c r="AJ1962" i="20"/>
  <c r="AJ1963" i="20"/>
  <c r="AJ1964" i="20"/>
  <c r="AJ1965" i="20"/>
  <c r="AJ1966" i="20"/>
  <c r="AJ1968" i="20"/>
  <c r="AJ1969" i="20"/>
  <c r="AJ1970" i="20"/>
  <c r="AJ1971" i="20"/>
  <c r="AJ1972" i="20"/>
  <c r="AJ1973" i="20"/>
  <c r="AJ1974" i="20"/>
  <c r="AJ1976" i="20"/>
  <c r="AJ1977" i="20"/>
  <c r="AJ1978" i="20"/>
  <c r="AJ1979" i="20"/>
  <c r="AJ1980" i="20"/>
  <c r="AJ1981" i="20"/>
  <c r="AJ1982" i="20"/>
  <c r="AJ1984" i="20"/>
  <c r="AJ1985" i="20"/>
  <c r="AJ1986" i="20"/>
  <c r="AJ1987" i="20"/>
  <c r="AJ1988" i="20"/>
  <c r="AJ1989" i="20"/>
  <c r="AJ1990" i="20"/>
  <c r="AJ1992" i="20"/>
  <c r="AJ1993" i="20"/>
  <c r="AJ1994" i="20"/>
  <c r="AJ1995" i="20"/>
  <c r="AJ1996" i="20"/>
  <c r="AJ1997" i="20"/>
  <c r="AJ1998" i="20"/>
  <c r="AJ2000" i="20"/>
  <c r="AJ2001" i="20"/>
  <c r="AJ2002" i="20"/>
  <c r="AJ2003" i="20"/>
  <c r="AJ2004" i="20"/>
  <c r="AJ2005" i="20"/>
  <c r="AJ2006" i="20"/>
  <c r="AJ2008" i="20"/>
  <c r="AJ2009" i="20"/>
  <c r="AJ2010" i="20"/>
  <c r="AJ2011" i="20"/>
  <c r="AJ2012" i="20"/>
  <c r="AJ2013" i="20"/>
  <c r="AJ2014" i="20"/>
  <c r="AJ2016" i="20"/>
  <c r="AJ2017" i="20"/>
  <c r="AJ2018" i="20"/>
  <c r="AJ2019" i="20"/>
  <c r="AJ2020" i="20"/>
  <c r="AJ2021" i="20"/>
  <c r="AJ2022" i="20"/>
  <c r="AJ2024" i="20"/>
  <c r="AJ2025" i="20"/>
  <c r="AJ2026" i="20"/>
  <c r="AJ2027" i="20"/>
  <c r="AJ2028" i="20"/>
  <c r="AJ2029" i="20"/>
  <c r="AJ2030" i="20"/>
  <c r="AJ2032" i="20"/>
  <c r="AJ2033" i="20"/>
  <c r="AJ2034" i="20"/>
  <c r="AJ2035" i="20"/>
  <c r="AJ2036" i="20"/>
  <c r="AJ2037" i="20"/>
  <c r="AJ2038" i="20"/>
  <c r="AJ2040" i="20"/>
  <c r="AJ2041" i="20"/>
  <c r="AJ2042" i="20"/>
  <c r="AJ2043" i="20"/>
  <c r="AJ2044" i="20"/>
  <c r="AJ2045" i="20"/>
  <c r="AJ2046" i="20"/>
  <c r="AJ2048" i="20"/>
  <c r="AJ2049" i="20"/>
  <c r="AJ2050" i="20"/>
  <c r="AJ2051" i="20"/>
  <c r="AJ2052" i="20"/>
  <c r="AJ2053" i="20"/>
  <c r="AJ2054" i="20"/>
  <c r="AJ2056" i="20"/>
  <c r="AJ2057" i="20"/>
  <c r="AJ2058" i="20"/>
  <c r="AJ2059" i="20"/>
  <c r="AJ2060" i="20"/>
  <c r="AJ2061" i="20"/>
  <c r="AJ2062" i="20"/>
  <c r="AJ2064" i="20"/>
  <c r="AJ2065" i="20"/>
  <c r="AJ2066" i="20"/>
  <c r="AJ2067" i="20"/>
  <c r="AJ2068" i="20"/>
  <c r="AJ2069" i="20"/>
  <c r="AJ2070" i="20"/>
  <c r="AJ2072" i="20"/>
  <c r="AJ2073" i="20"/>
  <c r="AJ2074" i="20"/>
  <c r="AJ2075" i="20"/>
  <c r="AJ2076" i="20"/>
  <c r="AJ2077" i="20"/>
  <c r="AJ2078" i="20"/>
  <c r="AJ2080" i="20"/>
  <c r="AJ2081" i="20"/>
  <c r="AJ2082" i="20"/>
  <c r="AJ2083" i="20"/>
  <c r="AJ2084" i="20"/>
  <c r="AJ2085" i="20"/>
  <c r="AJ2086" i="20"/>
  <c r="AJ2088" i="20"/>
  <c r="AJ2089" i="20"/>
  <c r="AJ2090" i="20"/>
  <c r="AJ2091" i="20"/>
  <c r="AJ2092" i="20"/>
  <c r="AJ2093" i="20"/>
  <c r="AJ2094" i="20"/>
  <c r="AJ2096" i="20"/>
  <c r="AJ2097" i="20"/>
  <c r="AJ2098" i="20"/>
  <c r="AJ2099" i="20"/>
  <c r="AJ2100" i="20"/>
  <c r="AJ2101" i="20"/>
  <c r="AJ2102" i="20"/>
  <c r="AJ2104" i="20"/>
  <c r="AJ2105" i="20"/>
  <c r="AJ2106" i="20"/>
  <c r="AJ2107" i="20"/>
  <c r="AJ2108" i="20"/>
  <c r="AJ2109" i="20"/>
  <c r="AJ2110" i="20"/>
  <c r="AJ2112" i="20"/>
  <c r="AJ2113" i="20"/>
  <c r="AJ2114" i="20"/>
  <c r="AJ2115" i="20"/>
  <c r="AJ2116" i="20"/>
  <c r="AJ2117" i="20"/>
  <c r="AJ2118" i="20"/>
  <c r="AJ2120" i="20"/>
  <c r="AJ2121" i="20"/>
  <c r="AJ2122" i="20"/>
  <c r="AJ2123" i="20"/>
  <c r="AJ2124" i="20"/>
  <c r="AJ2125" i="20"/>
  <c r="AJ2126" i="20"/>
  <c r="AJ2128" i="20"/>
  <c r="AJ2129" i="20"/>
  <c r="AJ2130" i="20"/>
  <c r="AJ2131" i="20"/>
  <c r="AJ2132" i="20"/>
  <c r="AJ2133" i="20"/>
  <c r="AJ2134" i="20"/>
  <c r="AJ2136" i="20"/>
  <c r="AJ2137" i="20"/>
  <c r="AJ2138" i="20"/>
  <c r="AJ2139" i="20"/>
  <c r="AJ2140" i="20"/>
  <c r="AJ2141" i="20"/>
  <c r="AJ2142" i="20"/>
  <c r="AJ2144" i="20"/>
  <c r="AJ2145" i="20"/>
  <c r="AJ2146" i="20"/>
  <c r="AJ2147" i="20"/>
  <c r="AJ2148" i="20"/>
  <c r="AJ2149" i="20"/>
  <c r="AJ2150" i="20"/>
  <c r="AJ2152" i="20"/>
  <c r="AJ2153" i="20"/>
  <c r="AJ2154" i="20"/>
  <c r="AJ2155" i="20"/>
  <c r="AJ2156" i="20"/>
  <c r="AJ2157" i="20"/>
  <c r="AJ2158" i="20"/>
  <c r="AJ2160" i="20"/>
  <c r="AJ2161" i="20"/>
  <c r="AJ2162" i="20"/>
  <c r="AJ2163" i="20"/>
  <c r="AJ2164" i="20"/>
  <c r="AJ2165" i="20"/>
  <c r="AJ2166" i="20"/>
  <c r="AJ2168" i="20"/>
  <c r="AJ2169" i="20"/>
  <c r="AJ2170" i="20"/>
  <c r="AJ2171" i="20"/>
  <c r="AJ2172" i="20"/>
  <c r="AJ2173" i="20"/>
  <c r="AJ2174" i="20"/>
  <c r="AJ2176" i="20"/>
  <c r="AJ2177" i="20"/>
  <c r="AJ2178" i="20"/>
  <c r="AJ2179" i="20"/>
  <c r="AJ2180" i="20"/>
  <c r="AJ2181" i="20"/>
  <c r="AJ2182" i="20"/>
  <c r="AJ2184" i="20"/>
  <c r="AJ2185" i="20"/>
  <c r="AJ2186" i="20"/>
  <c r="AJ2187" i="20"/>
  <c r="AJ2188" i="20"/>
  <c r="AJ2189" i="20"/>
  <c r="AJ2190" i="20"/>
  <c r="AJ2192" i="20"/>
  <c r="AJ2193" i="20"/>
  <c r="AJ2194" i="20"/>
  <c r="AJ2195" i="20"/>
  <c r="AJ2196" i="20"/>
  <c r="AJ2197" i="20"/>
  <c r="AJ2198" i="20"/>
  <c r="AJ2200" i="20"/>
  <c r="AJ2201" i="20"/>
  <c r="AJ2202" i="20"/>
  <c r="AJ2203" i="20"/>
  <c r="AJ2204" i="20"/>
  <c r="AJ2205" i="20"/>
  <c r="AJ2206" i="20"/>
  <c r="AJ2208" i="20"/>
  <c r="AJ2209" i="20"/>
  <c r="AJ2210" i="20"/>
  <c r="AJ2211" i="20"/>
  <c r="AJ2212" i="20"/>
  <c r="AJ2213" i="20"/>
  <c r="AJ2214" i="20"/>
  <c r="AJ2216" i="20"/>
  <c r="AJ2217" i="20"/>
  <c r="AJ2218" i="20"/>
  <c r="AJ2219" i="20"/>
  <c r="AJ2220" i="20"/>
  <c r="AJ2221" i="20"/>
  <c r="AJ2222" i="20"/>
  <c r="AJ2224" i="20"/>
  <c r="AJ2225" i="20"/>
  <c r="AJ2226" i="20"/>
  <c r="AJ2227" i="20"/>
  <c r="AJ2228" i="20"/>
  <c r="AJ2229" i="20"/>
  <c r="AJ2230" i="20"/>
  <c r="AJ2232" i="20"/>
  <c r="AJ2233" i="20"/>
  <c r="AJ2234" i="20"/>
  <c r="AJ2235" i="20"/>
  <c r="AJ2236" i="20"/>
  <c r="AJ2237" i="20"/>
  <c r="AJ2238" i="20"/>
  <c r="AJ2240" i="20"/>
  <c r="AJ2241" i="20"/>
  <c r="AJ2242" i="20"/>
  <c r="AJ2243" i="20"/>
  <c r="AJ2244" i="20"/>
  <c r="AJ2245" i="20"/>
  <c r="AJ2246" i="20"/>
  <c r="AJ2248" i="20"/>
  <c r="AJ2249" i="20"/>
  <c r="AJ2250" i="20"/>
  <c r="AJ2251" i="20"/>
  <c r="AJ2252" i="20"/>
  <c r="AJ2253" i="20"/>
  <c r="AJ2254" i="20"/>
  <c r="AJ2256" i="20"/>
  <c r="AJ2257" i="20"/>
  <c r="AJ2258" i="20"/>
  <c r="AJ2259" i="20"/>
  <c r="AJ2260" i="20"/>
  <c r="AJ2261" i="20"/>
  <c r="AJ2262" i="20"/>
  <c r="AJ2264" i="20"/>
  <c r="AJ2265" i="20"/>
  <c r="AJ2266" i="20"/>
  <c r="AJ2267" i="20"/>
  <c r="AJ2268" i="20"/>
  <c r="AJ2269" i="20"/>
  <c r="AJ2270" i="20"/>
  <c r="AJ2272" i="20"/>
  <c r="AJ2273" i="20"/>
  <c r="AJ2274" i="20"/>
  <c r="AJ2275" i="20"/>
  <c r="AJ2276" i="20"/>
  <c r="AJ2277" i="20"/>
  <c r="AJ2278" i="20"/>
  <c r="AJ2280" i="20"/>
  <c r="AJ2281" i="20"/>
  <c r="AJ2282" i="20"/>
  <c r="AJ2283" i="20"/>
  <c r="AJ2284" i="20"/>
  <c r="AJ2285" i="20"/>
  <c r="AJ2286" i="20"/>
  <c r="AJ2288" i="20"/>
  <c r="AJ2289" i="20"/>
  <c r="AJ2290" i="20"/>
  <c r="AJ2291" i="20"/>
  <c r="AJ2292" i="20"/>
  <c r="AJ2293" i="20"/>
  <c r="AJ2294" i="20"/>
  <c r="AJ2296" i="20"/>
  <c r="AJ2297" i="20"/>
  <c r="AJ2298" i="20"/>
  <c r="AJ2299" i="20"/>
  <c r="AJ2300" i="20"/>
  <c r="AJ2301" i="20"/>
  <c r="AJ2302" i="20"/>
  <c r="AJ2304" i="20"/>
  <c r="AJ2305" i="20"/>
  <c r="AJ2306" i="20"/>
  <c r="AJ2307" i="20"/>
  <c r="AJ2308" i="20"/>
  <c r="AJ2309" i="20"/>
  <c r="AJ2310" i="20"/>
  <c r="AJ2312" i="20"/>
  <c r="AJ2313" i="20"/>
  <c r="AJ2314" i="20"/>
  <c r="AJ2315" i="20"/>
  <c r="AJ2316" i="20"/>
  <c r="AJ2317" i="20"/>
  <c r="AJ2318" i="20"/>
  <c r="AJ2320" i="20"/>
  <c r="AJ2321" i="20"/>
  <c r="AJ2322" i="20"/>
  <c r="AJ2323" i="20"/>
  <c r="AJ2324" i="20"/>
  <c r="AJ2325" i="20"/>
  <c r="AJ2326" i="20"/>
  <c r="AJ2328" i="20"/>
  <c r="AJ2329" i="20"/>
  <c r="AJ2330" i="20"/>
  <c r="AJ2331" i="20"/>
  <c r="AJ2332" i="20"/>
  <c r="AJ2333" i="20"/>
  <c r="AJ2334" i="20"/>
  <c r="AJ2336" i="20"/>
  <c r="AJ2337" i="20"/>
  <c r="AJ2338" i="20"/>
  <c r="AJ2339" i="20"/>
  <c r="AJ2340" i="20"/>
  <c r="AJ2341" i="20"/>
  <c r="AJ2342" i="20"/>
  <c r="AJ2344" i="20"/>
  <c r="AJ2345" i="20"/>
  <c r="AJ2346" i="20"/>
  <c r="AJ2347" i="20"/>
  <c r="AJ2348" i="20"/>
  <c r="AJ2349" i="20"/>
  <c r="AJ2350" i="20"/>
  <c r="AJ2352" i="20"/>
  <c r="AJ2353" i="20"/>
  <c r="AJ2354" i="20"/>
  <c r="AJ2355" i="20"/>
  <c r="AJ2356" i="20"/>
  <c r="AJ2357" i="20"/>
  <c r="AJ2358" i="20"/>
  <c r="AJ2360" i="20"/>
  <c r="AJ2361" i="20"/>
  <c r="AJ2362" i="20"/>
  <c r="AJ2363" i="20"/>
  <c r="AJ2364" i="20"/>
  <c r="AJ2365" i="20"/>
  <c r="AJ2366" i="20"/>
  <c r="AJ2368" i="20"/>
  <c r="AJ2369" i="20"/>
  <c r="AJ2370" i="20"/>
  <c r="AJ2371" i="20"/>
  <c r="AJ2372" i="20"/>
  <c r="AJ2373" i="20"/>
  <c r="AJ2374" i="20"/>
  <c r="AJ2376" i="20"/>
  <c r="AJ2377" i="20"/>
  <c r="AJ2378" i="20"/>
  <c r="AJ2379" i="20"/>
  <c r="AJ2380" i="20"/>
  <c r="AJ2381" i="20"/>
  <c r="AJ2382" i="20"/>
  <c r="AJ2384" i="20"/>
  <c r="AJ2385" i="20"/>
  <c r="AJ2386" i="20"/>
  <c r="AJ2387" i="20"/>
  <c r="AJ2388" i="20"/>
  <c r="AJ2389" i="20"/>
  <c r="AJ2390" i="20"/>
  <c r="AJ2392" i="20"/>
  <c r="AJ2393" i="20"/>
  <c r="AJ2394" i="20"/>
  <c r="AJ2395" i="20"/>
  <c r="AJ2396" i="20"/>
  <c r="AJ2397" i="20"/>
  <c r="AJ2398" i="20"/>
  <c r="AJ2400" i="20"/>
  <c r="AJ2401" i="20"/>
  <c r="AJ2402" i="20"/>
  <c r="AJ2403" i="20"/>
  <c r="AJ2404" i="20"/>
  <c r="AJ2405" i="20"/>
  <c r="AJ2406" i="20"/>
  <c r="AJ2408" i="20"/>
  <c r="AJ2409" i="20"/>
  <c r="AJ2410" i="20"/>
  <c r="AJ2411" i="20"/>
  <c r="AJ2412" i="20"/>
  <c r="AJ2413" i="20"/>
  <c r="AJ2414" i="20"/>
  <c r="AJ2416" i="20"/>
  <c r="AJ2417" i="20"/>
  <c r="AJ2418" i="20"/>
  <c r="AJ2419" i="20"/>
  <c r="AJ2420" i="20"/>
  <c r="AJ2421" i="20"/>
  <c r="AJ2422" i="20"/>
  <c r="AJ2424" i="20"/>
  <c r="AJ2425" i="20"/>
  <c r="AJ2426" i="20"/>
  <c r="AJ2427" i="20"/>
  <c r="AJ2428" i="20"/>
  <c r="AJ2429" i="20"/>
  <c r="AJ2430" i="20"/>
  <c r="AJ2432" i="20"/>
  <c r="AJ2433" i="20"/>
  <c r="AJ2434" i="20"/>
  <c r="AJ2435" i="20"/>
  <c r="AJ2436" i="20"/>
  <c r="AJ2437" i="20"/>
  <c r="AJ2438" i="20"/>
  <c r="AJ2440" i="20"/>
  <c r="AJ2441" i="20"/>
  <c r="AJ2442" i="20"/>
  <c r="AJ2443" i="20"/>
  <c r="AJ2444" i="20"/>
  <c r="AJ2445" i="20"/>
  <c r="AJ2446" i="20"/>
  <c r="AJ2447" i="20"/>
  <c r="AJ2448" i="20"/>
  <c r="AJ2449" i="20"/>
  <c r="AJ2450" i="20"/>
  <c r="AJ2451" i="20"/>
  <c r="AJ2452" i="20"/>
  <c r="AJ2453" i="20"/>
  <c r="AJ2454" i="20"/>
  <c r="AJ2455" i="20"/>
  <c r="AJ2456" i="20"/>
  <c r="AJ2457" i="20"/>
  <c r="AJ2458" i="20"/>
  <c r="AJ2459" i="20"/>
  <c r="AJ2460" i="20"/>
  <c r="AJ2461" i="20"/>
  <c r="AJ2462" i="20"/>
  <c r="AJ2463" i="20"/>
  <c r="AJ2464" i="20"/>
  <c r="AJ2465" i="20"/>
  <c r="AJ2466" i="20"/>
  <c r="AJ2467" i="20"/>
  <c r="AJ2468" i="20"/>
  <c r="AJ2469" i="20"/>
  <c r="AJ2470" i="20"/>
  <c r="AJ2471" i="20"/>
  <c r="AJ2472" i="20"/>
  <c r="AJ2473" i="20"/>
  <c r="AJ2474" i="20"/>
  <c r="AJ2475" i="20"/>
  <c r="AJ2476" i="20"/>
  <c r="AJ2477" i="20"/>
  <c r="AJ2478" i="20"/>
  <c r="AJ2479" i="20"/>
  <c r="AJ2480" i="20"/>
  <c r="AJ2481" i="20"/>
  <c r="AJ2482" i="20"/>
  <c r="AJ2483" i="20"/>
  <c r="AJ2484" i="20"/>
  <c r="AJ2485" i="20"/>
  <c r="AJ2486" i="20"/>
  <c r="AJ2487" i="20"/>
  <c r="AJ2488" i="20"/>
  <c r="AJ2489" i="20"/>
  <c r="AJ2490" i="20"/>
  <c r="AJ2491" i="20"/>
  <c r="AJ2492" i="20"/>
  <c r="AJ2493" i="20"/>
  <c r="AJ2494" i="20"/>
  <c r="AJ2495" i="20"/>
  <c r="AJ2496" i="20"/>
  <c r="AJ2497" i="20"/>
  <c r="AJ2498" i="20"/>
  <c r="AJ2499" i="20"/>
  <c r="AJ2500" i="20"/>
  <c r="AJ2501" i="20"/>
  <c r="AJ2502" i="20"/>
  <c r="AJ2503" i="20"/>
  <c r="AJ2504" i="20"/>
  <c r="AJ2505" i="20"/>
  <c r="AJ2506" i="20"/>
  <c r="AJ2507" i="20"/>
  <c r="AJ2508" i="20"/>
  <c r="AJ2509" i="20"/>
  <c r="AJ2510" i="20"/>
  <c r="AJ2511" i="20"/>
  <c r="AJ2512" i="20"/>
  <c r="AJ2513" i="20"/>
  <c r="AJ2514" i="20"/>
  <c r="AJ2515" i="20"/>
  <c r="AJ2516" i="20"/>
  <c r="AJ2517" i="20"/>
  <c r="AJ2518" i="20"/>
  <c r="AJ2519" i="20"/>
  <c r="AJ2520" i="20"/>
  <c r="AJ2521" i="20"/>
  <c r="AJ2522" i="20"/>
  <c r="AK2" i="20"/>
  <c r="AK3" i="20"/>
  <c r="AK4" i="20"/>
  <c r="AK5" i="20"/>
  <c r="AK6" i="20"/>
  <c r="AK7" i="20"/>
  <c r="AK8" i="20"/>
  <c r="AK9" i="20"/>
  <c r="AK10" i="20"/>
  <c r="AK11" i="20"/>
  <c r="AK12" i="20"/>
  <c r="AK13" i="20"/>
  <c r="AK14" i="20"/>
  <c r="AK15" i="20"/>
  <c r="AK16" i="20"/>
  <c r="AK17" i="20"/>
  <c r="AK18" i="20"/>
  <c r="AK19" i="20"/>
  <c r="AK20" i="20"/>
  <c r="AK21" i="20"/>
  <c r="AK22" i="20"/>
  <c r="AK23" i="20"/>
  <c r="AK24" i="20"/>
  <c r="AK25" i="20"/>
  <c r="AK26" i="20"/>
  <c r="AK27" i="20"/>
  <c r="AK28" i="20"/>
  <c r="AK29" i="20"/>
  <c r="AK30" i="20"/>
  <c r="AK31" i="20"/>
  <c r="AK32" i="20"/>
  <c r="AK33" i="20"/>
  <c r="AK34" i="20"/>
  <c r="AK35" i="20"/>
  <c r="AK36" i="20"/>
  <c r="AK37" i="20"/>
  <c r="AK38" i="20"/>
  <c r="AK39" i="20"/>
  <c r="AK40" i="20"/>
  <c r="AK41" i="20"/>
  <c r="AK42" i="20"/>
  <c r="AK43" i="20"/>
  <c r="AK44" i="20"/>
  <c r="AK45" i="20"/>
  <c r="AK46" i="20"/>
  <c r="AK47" i="20"/>
  <c r="AK48" i="20"/>
  <c r="AK49" i="20"/>
  <c r="AK50" i="20"/>
  <c r="AK51" i="20"/>
  <c r="AK52" i="20"/>
  <c r="AK53" i="20"/>
  <c r="AK54" i="20"/>
  <c r="AK55" i="20"/>
  <c r="AK56" i="20"/>
  <c r="AK57" i="20"/>
  <c r="AK58" i="20"/>
  <c r="AK59" i="20"/>
  <c r="AK60" i="20"/>
  <c r="AK61" i="20"/>
  <c r="AK62" i="20"/>
  <c r="AK63" i="20"/>
  <c r="AK64" i="20"/>
  <c r="AK65" i="20"/>
  <c r="AK66" i="20"/>
  <c r="AK67" i="20"/>
  <c r="AK68" i="20"/>
  <c r="AK69" i="20"/>
  <c r="AK70" i="20"/>
  <c r="AK71" i="20"/>
  <c r="AK72" i="20"/>
  <c r="AK73" i="20"/>
  <c r="AK74" i="20"/>
  <c r="AK75" i="20"/>
  <c r="AK76" i="20"/>
  <c r="AK77" i="20"/>
  <c r="AK78" i="20"/>
  <c r="AK79" i="20"/>
  <c r="AK80" i="20"/>
  <c r="AK81" i="20"/>
  <c r="AK82" i="20"/>
  <c r="AK83" i="20"/>
  <c r="AK84" i="20"/>
  <c r="AK85" i="20"/>
  <c r="AK86" i="20"/>
  <c r="AK87" i="20"/>
  <c r="AK88" i="20"/>
  <c r="AK89" i="20"/>
  <c r="AK90" i="20"/>
  <c r="AK91" i="20"/>
  <c r="AK92" i="20"/>
  <c r="AK93" i="20"/>
  <c r="AK94" i="20"/>
  <c r="AK95" i="20"/>
  <c r="AK96" i="20"/>
  <c r="AK97" i="20"/>
  <c r="AK98" i="20"/>
  <c r="AK99" i="20"/>
  <c r="AK100" i="20"/>
  <c r="AK101" i="20"/>
  <c r="AK102" i="20"/>
  <c r="AK103" i="20"/>
  <c r="AK104" i="20"/>
  <c r="AK105" i="20"/>
  <c r="AK106" i="20"/>
  <c r="AK107" i="20"/>
  <c r="AK108" i="20"/>
  <c r="AK109" i="20"/>
  <c r="AK110" i="20"/>
  <c r="AK111" i="20"/>
  <c r="AK112" i="20"/>
  <c r="AK113" i="20"/>
  <c r="AK114" i="20"/>
  <c r="AK115" i="20"/>
  <c r="AK116" i="20"/>
  <c r="AK117" i="20"/>
  <c r="AK118" i="20"/>
  <c r="AK119" i="20"/>
  <c r="AK120" i="20"/>
  <c r="AK121" i="20"/>
  <c r="AK122" i="20"/>
  <c r="AK123" i="20"/>
  <c r="AK124" i="20"/>
  <c r="AK125" i="20"/>
  <c r="AK126" i="20"/>
  <c r="AK127" i="20"/>
  <c r="AK128" i="20"/>
  <c r="AK129" i="20"/>
  <c r="AK130" i="20"/>
  <c r="AK131" i="20"/>
  <c r="AK132" i="20"/>
  <c r="AK133" i="20"/>
  <c r="AK134" i="20"/>
  <c r="AK135" i="20"/>
  <c r="AK136" i="20"/>
  <c r="AK137" i="20"/>
  <c r="AK138" i="20"/>
  <c r="AK139" i="20"/>
  <c r="AK140" i="20"/>
  <c r="AK141" i="20"/>
  <c r="AK142" i="20"/>
  <c r="AK143" i="20"/>
  <c r="AK144" i="20"/>
  <c r="AK145" i="20"/>
  <c r="AK146" i="20"/>
  <c r="AK147" i="20"/>
  <c r="AK148" i="20"/>
  <c r="AK149" i="20"/>
  <c r="AK150" i="20"/>
  <c r="AK151" i="20"/>
  <c r="AK152" i="20"/>
  <c r="AK153" i="20"/>
  <c r="AK154" i="20"/>
  <c r="AK155" i="20"/>
  <c r="AK156" i="20"/>
  <c r="AK157" i="20"/>
  <c r="AK158" i="20"/>
  <c r="AK159" i="20"/>
  <c r="AK160" i="20"/>
  <c r="AK161" i="20"/>
  <c r="AK162" i="20"/>
  <c r="AK163" i="20"/>
  <c r="AK164" i="20"/>
  <c r="AK165" i="20"/>
  <c r="AK166" i="20"/>
  <c r="AK167" i="20"/>
  <c r="AK168" i="20"/>
  <c r="AK169" i="20"/>
  <c r="AK170" i="20"/>
  <c r="AK171" i="20"/>
  <c r="AK172" i="20"/>
  <c r="AK173" i="20"/>
  <c r="AK174" i="20"/>
  <c r="AK175" i="20"/>
  <c r="AK176" i="20"/>
  <c r="AK177" i="20"/>
  <c r="AK178" i="20"/>
  <c r="AK179" i="20"/>
  <c r="AK180" i="20"/>
  <c r="AK181" i="20"/>
  <c r="AK182" i="20"/>
  <c r="AK183" i="20"/>
  <c r="AK184" i="20"/>
  <c r="AK185" i="20"/>
  <c r="AK186" i="20"/>
  <c r="AK187" i="20"/>
  <c r="AK188" i="20"/>
  <c r="AK189" i="20"/>
  <c r="AK190" i="20"/>
  <c r="AK191" i="20"/>
  <c r="AK192" i="20"/>
  <c r="AK193" i="20"/>
  <c r="AK194" i="20"/>
  <c r="AK195" i="20"/>
  <c r="AK196" i="20"/>
  <c r="AK197" i="20"/>
  <c r="AK198" i="20"/>
  <c r="AK199" i="20"/>
  <c r="AK200" i="20"/>
  <c r="AK201" i="20"/>
  <c r="AK202" i="20"/>
  <c r="AK203" i="20"/>
  <c r="AK204" i="20"/>
  <c r="AK205" i="20"/>
  <c r="AK206" i="20"/>
  <c r="AK207" i="20"/>
  <c r="AK208" i="20"/>
  <c r="AK209" i="20"/>
  <c r="AK210" i="20"/>
  <c r="AK211" i="20"/>
  <c r="AK212" i="20"/>
  <c r="AK213" i="20"/>
  <c r="AK214" i="20"/>
  <c r="AK215" i="20"/>
  <c r="AK216" i="20"/>
  <c r="AK217" i="20"/>
  <c r="AK218" i="20"/>
  <c r="AK219" i="20"/>
  <c r="AK220" i="20"/>
  <c r="AK221" i="20"/>
  <c r="AK222" i="20"/>
  <c r="AK223" i="20"/>
  <c r="AK224" i="20"/>
  <c r="AK225" i="20"/>
  <c r="AK226" i="20"/>
  <c r="AK227" i="20"/>
  <c r="AK228" i="20"/>
  <c r="AK229" i="20"/>
  <c r="AK230" i="20"/>
  <c r="AK231" i="20"/>
  <c r="AK232" i="20"/>
  <c r="AK233" i="20"/>
  <c r="AK234" i="20"/>
  <c r="AK235" i="20"/>
  <c r="AK236" i="20"/>
  <c r="AK237" i="20"/>
  <c r="AK238" i="20"/>
  <c r="AK239" i="20"/>
  <c r="AK240" i="20"/>
  <c r="AK241" i="20"/>
  <c r="AK242" i="20"/>
  <c r="AK243" i="20"/>
  <c r="AK244" i="20"/>
  <c r="AK245" i="20"/>
  <c r="AK246" i="20"/>
  <c r="AK247" i="20"/>
  <c r="AK248" i="20"/>
  <c r="AK249" i="20"/>
  <c r="AK250" i="20"/>
  <c r="AK251" i="20"/>
  <c r="AK252" i="20"/>
  <c r="AK253" i="20"/>
  <c r="AK254" i="20"/>
  <c r="AK255" i="20"/>
  <c r="AK256" i="20"/>
  <c r="AK257" i="20"/>
  <c r="AK258" i="20"/>
  <c r="AK259" i="20"/>
  <c r="AK260" i="20"/>
  <c r="AK261" i="20"/>
  <c r="AK262" i="20"/>
  <c r="AK263" i="20"/>
  <c r="AK264" i="20"/>
  <c r="AK265" i="20"/>
  <c r="AK266" i="20"/>
  <c r="AK267" i="20"/>
  <c r="AK268" i="20"/>
  <c r="AK269" i="20"/>
  <c r="AK270" i="20"/>
  <c r="AK271" i="20"/>
  <c r="AK272" i="20"/>
  <c r="AK273" i="20"/>
  <c r="AK274" i="20"/>
  <c r="AK275" i="20"/>
  <c r="AK276" i="20"/>
  <c r="AK277" i="20"/>
  <c r="AK278" i="20"/>
  <c r="AK279" i="20"/>
  <c r="AK280" i="20"/>
  <c r="AK281" i="20"/>
  <c r="AK282" i="20"/>
  <c r="AK283" i="20"/>
  <c r="AK284" i="20"/>
  <c r="AK285" i="20"/>
  <c r="AK286" i="20"/>
  <c r="AK287" i="20"/>
  <c r="AK288" i="20"/>
  <c r="AK289" i="20"/>
  <c r="AK290" i="20"/>
  <c r="AK291" i="20"/>
  <c r="AK292" i="20"/>
  <c r="AK293" i="20"/>
  <c r="AK294" i="20"/>
  <c r="AK295" i="20"/>
  <c r="AK296" i="20"/>
  <c r="AK297" i="20"/>
  <c r="AK298" i="20"/>
  <c r="AK299" i="20"/>
  <c r="AK300" i="20"/>
  <c r="AK301" i="20"/>
  <c r="AK302" i="20"/>
  <c r="AK303" i="20"/>
  <c r="AK304" i="20"/>
  <c r="AK305" i="20"/>
  <c r="AK306" i="20"/>
  <c r="AK307" i="20"/>
  <c r="AK308" i="20"/>
  <c r="AK309" i="20"/>
  <c r="AK310" i="20"/>
  <c r="AK311" i="20"/>
  <c r="AK312" i="20"/>
  <c r="AK313" i="20"/>
  <c r="AK314" i="20"/>
  <c r="AK315" i="20"/>
  <c r="AK316" i="20"/>
  <c r="AK317" i="20"/>
  <c r="AK318" i="20"/>
  <c r="AK319" i="20"/>
  <c r="AK320" i="20"/>
  <c r="AK321" i="20"/>
  <c r="AK322" i="20"/>
  <c r="AK323" i="20"/>
  <c r="AK324" i="20"/>
  <c r="AK325" i="20"/>
  <c r="AK326" i="20"/>
  <c r="AK327" i="20"/>
  <c r="AK328" i="20"/>
  <c r="AK329" i="20"/>
  <c r="AK330" i="20"/>
  <c r="AK331" i="20"/>
  <c r="AK332" i="20"/>
  <c r="AK333" i="20"/>
  <c r="AK334" i="20"/>
  <c r="AK335" i="20"/>
  <c r="AK336" i="20"/>
  <c r="AK337" i="20"/>
  <c r="AK338" i="20"/>
  <c r="AK339" i="20"/>
  <c r="AK340" i="20"/>
  <c r="AK341" i="20"/>
  <c r="AK342" i="20"/>
  <c r="AK343" i="20"/>
  <c r="AK344" i="20"/>
  <c r="AK345" i="20"/>
  <c r="AK346" i="20"/>
  <c r="AK347" i="20"/>
  <c r="AK348" i="20"/>
  <c r="AK349" i="20"/>
  <c r="AK350" i="20"/>
  <c r="AK351" i="20"/>
  <c r="AK352" i="20"/>
  <c r="AK353" i="20"/>
  <c r="AK354" i="20"/>
  <c r="AK355" i="20"/>
  <c r="AK356" i="20"/>
  <c r="AK357" i="20"/>
  <c r="AK358" i="20"/>
  <c r="AK359" i="20"/>
  <c r="AK360" i="20"/>
  <c r="AK361" i="20"/>
  <c r="AK362" i="20"/>
  <c r="AK363" i="20"/>
  <c r="AK364" i="20"/>
  <c r="AK365" i="20"/>
  <c r="AK366" i="20"/>
  <c r="AK367" i="20"/>
  <c r="AK368" i="20"/>
  <c r="AK369" i="20"/>
  <c r="AK370" i="20"/>
  <c r="AK371" i="20"/>
  <c r="AK372" i="20"/>
  <c r="AK373" i="20"/>
  <c r="AK374" i="20"/>
  <c r="AK375" i="20"/>
  <c r="AK376" i="20"/>
  <c r="AK377" i="20"/>
  <c r="AK378" i="20"/>
  <c r="AK379" i="20"/>
  <c r="AK380" i="20"/>
  <c r="AK381" i="20"/>
  <c r="AK382" i="20"/>
  <c r="AK383" i="20"/>
  <c r="AK384" i="20"/>
  <c r="AK385" i="20"/>
  <c r="AK386" i="20"/>
  <c r="AK387" i="20"/>
  <c r="AK388" i="20"/>
  <c r="AK389" i="20"/>
  <c r="AK390" i="20"/>
  <c r="AK391" i="20"/>
  <c r="AK392" i="20"/>
  <c r="AK393" i="20"/>
  <c r="AK394" i="20"/>
  <c r="AK395" i="20"/>
  <c r="AK396" i="20"/>
  <c r="AK397" i="20"/>
  <c r="AK398" i="20"/>
  <c r="AK399" i="20"/>
  <c r="AK400" i="20"/>
  <c r="AK401" i="20"/>
  <c r="AK402" i="20"/>
  <c r="AK403" i="20"/>
  <c r="AK404" i="20"/>
  <c r="AK405" i="20"/>
  <c r="AK406" i="20"/>
  <c r="AK407" i="20"/>
  <c r="AK408" i="20"/>
  <c r="AK409" i="20"/>
  <c r="AK410" i="20"/>
  <c r="AK411" i="20"/>
  <c r="AK412" i="20"/>
  <c r="AK413" i="20"/>
  <c r="AK414" i="20"/>
  <c r="AK415" i="20"/>
  <c r="AK416" i="20"/>
  <c r="AK417" i="20"/>
  <c r="AK418" i="20"/>
  <c r="AK419" i="20"/>
  <c r="AK420" i="20"/>
  <c r="AK421" i="20"/>
  <c r="AK422" i="20"/>
  <c r="AK423" i="20"/>
  <c r="AK424" i="20"/>
  <c r="AK425" i="20"/>
  <c r="AK426" i="20"/>
  <c r="AK427" i="20"/>
  <c r="AK428" i="20"/>
  <c r="AK429" i="20"/>
  <c r="AK430" i="20"/>
  <c r="AK431" i="20"/>
  <c r="AK432" i="20"/>
  <c r="AK433" i="20"/>
  <c r="AK434" i="20"/>
  <c r="AK435" i="20"/>
  <c r="AK436" i="20"/>
  <c r="AK437" i="20"/>
  <c r="AK438" i="20"/>
  <c r="AK439" i="20"/>
  <c r="AK440" i="20"/>
  <c r="AK441" i="20"/>
  <c r="AK442" i="20"/>
  <c r="AK443" i="20"/>
  <c r="AK444" i="20"/>
  <c r="AK445" i="20"/>
  <c r="AK446" i="20"/>
  <c r="AK447" i="20"/>
  <c r="AK448" i="20"/>
  <c r="AK449" i="20"/>
  <c r="AK450" i="20"/>
  <c r="AK451" i="20"/>
  <c r="AK452" i="20"/>
  <c r="AK453" i="20"/>
  <c r="AK454" i="20"/>
  <c r="AK455" i="20"/>
  <c r="AK456" i="20"/>
  <c r="AK457" i="20"/>
  <c r="AK458" i="20"/>
  <c r="AK459" i="20"/>
  <c r="AK460" i="20"/>
  <c r="AK461" i="20"/>
  <c r="AK462" i="20"/>
  <c r="AK463" i="20"/>
  <c r="AK464" i="20"/>
  <c r="AK465" i="20"/>
  <c r="AK466" i="20"/>
  <c r="AK467" i="20"/>
  <c r="AK468" i="20"/>
  <c r="AK469" i="20"/>
  <c r="AK470" i="20"/>
  <c r="AK471" i="20"/>
  <c r="AK472" i="20"/>
  <c r="AK473" i="20"/>
  <c r="AK474" i="20"/>
  <c r="AK475" i="20"/>
  <c r="AK476" i="20"/>
  <c r="AK477" i="20"/>
  <c r="AK478" i="20"/>
  <c r="AK479" i="20"/>
  <c r="AK480" i="20"/>
  <c r="AK481" i="20"/>
  <c r="AK482" i="20"/>
  <c r="AK483" i="20"/>
  <c r="AK484" i="20"/>
  <c r="AK485" i="20"/>
  <c r="AK486" i="20"/>
  <c r="AK487" i="20"/>
  <c r="AK488" i="20"/>
  <c r="AK489" i="20"/>
  <c r="AK490" i="20"/>
  <c r="AK491" i="20"/>
  <c r="AK492" i="20"/>
  <c r="AK493" i="20"/>
  <c r="AK494" i="20"/>
  <c r="AK495" i="20"/>
  <c r="AK496" i="20"/>
  <c r="AK497" i="20"/>
  <c r="AK498" i="20"/>
  <c r="AK499" i="20"/>
  <c r="AK500" i="20"/>
  <c r="AK501" i="20"/>
  <c r="AK502" i="20"/>
  <c r="AK503" i="20"/>
  <c r="AK504" i="20"/>
  <c r="AK505" i="20"/>
  <c r="AK506" i="20"/>
  <c r="AK507" i="20"/>
  <c r="AK508" i="20"/>
  <c r="AK509" i="20"/>
  <c r="AK510" i="20"/>
  <c r="AK511" i="20"/>
  <c r="AK512" i="20"/>
  <c r="AK513" i="20"/>
  <c r="AK514" i="20"/>
  <c r="AK515" i="20"/>
  <c r="AK516" i="20"/>
  <c r="AK517" i="20"/>
  <c r="AK518" i="20"/>
  <c r="AK519" i="20"/>
  <c r="AK520" i="20"/>
  <c r="AK521" i="20"/>
  <c r="AK522" i="20"/>
  <c r="AK523" i="20"/>
  <c r="AK524" i="20"/>
  <c r="AK525" i="20"/>
  <c r="AK526" i="20"/>
  <c r="AK527" i="20"/>
  <c r="AK528" i="20"/>
  <c r="AK529" i="20"/>
  <c r="AK530" i="20"/>
  <c r="AK531" i="20"/>
  <c r="AK532" i="20"/>
  <c r="AK533" i="20"/>
  <c r="AK534" i="20"/>
  <c r="AK535" i="20"/>
  <c r="AK536" i="20"/>
  <c r="AK537" i="20"/>
  <c r="AK538" i="20"/>
  <c r="AK539" i="20"/>
  <c r="AK540" i="20"/>
  <c r="AK541" i="20"/>
  <c r="AK542" i="20"/>
  <c r="AK543" i="20"/>
  <c r="AK544" i="20"/>
  <c r="AK545" i="20"/>
  <c r="AK546" i="20"/>
  <c r="AK547" i="20"/>
  <c r="AK548" i="20"/>
  <c r="AK549" i="20"/>
  <c r="AK550" i="20"/>
  <c r="AK551" i="20"/>
  <c r="AK552" i="20"/>
  <c r="AK553" i="20"/>
  <c r="AK554" i="20"/>
  <c r="AK555" i="20"/>
  <c r="AK556" i="20"/>
  <c r="AK557" i="20"/>
  <c r="AK558" i="20"/>
  <c r="AK559" i="20"/>
  <c r="AK560" i="20"/>
  <c r="AK561" i="20"/>
  <c r="AK562" i="20"/>
  <c r="AK563" i="20"/>
  <c r="AK564" i="20"/>
  <c r="AK565" i="20"/>
  <c r="AK566" i="20"/>
  <c r="AK567" i="20"/>
  <c r="AK568" i="20"/>
  <c r="AK569" i="20"/>
  <c r="AK570" i="20"/>
  <c r="AK571" i="20"/>
  <c r="AK572" i="20"/>
  <c r="AK573" i="20"/>
  <c r="AK574" i="20"/>
  <c r="AK575" i="20"/>
  <c r="AK576" i="20"/>
  <c r="AK577" i="20"/>
  <c r="AK578" i="20"/>
  <c r="AK579" i="20"/>
  <c r="AK580" i="20"/>
  <c r="AK581" i="20"/>
  <c r="AK582" i="20"/>
  <c r="AK583" i="20"/>
  <c r="AK584" i="20"/>
  <c r="AK585" i="20"/>
  <c r="AK586" i="20"/>
  <c r="AK587" i="20"/>
  <c r="AK588" i="20"/>
  <c r="AK589" i="20"/>
  <c r="AK590" i="20"/>
  <c r="AK591" i="20"/>
  <c r="AK592" i="20"/>
  <c r="AK593" i="20"/>
  <c r="AK594" i="20"/>
  <c r="AK595" i="20"/>
  <c r="AK596" i="20"/>
  <c r="AK597" i="20"/>
  <c r="AK598" i="20"/>
  <c r="AK599" i="20"/>
  <c r="AK600" i="20"/>
  <c r="AK601" i="20"/>
  <c r="AK602" i="20"/>
  <c r="AK603" i="20"/>
  <c r="AK604" i="20"/>
  <c r="AK605" i="20"/>
  <c r="AK606" i="20"/>
  <c r="AK607" i="20"/>
  <c r="AK608" i="20"/>
  <c r="AK609" i="20"/>
  <c r="AK610" i="20"/>
  <c r="AK611" i="20"/>
  <c r="AK612" i="20"/>
  <c r="AK613" i="20"/>
  <c r="AK614" i="20"/>
  <c r="AK615" i="20"/>
  <c r="AK616" i="20"/>
  <c r="AK617" i="20"/>
  <c r="AK618" i="20"/>
  <c r="AK619" i="20"/>
  <c r="AK620" i="20"/>
  <c r="AK621" i="20"/>
  <c r="AK622" i="20"/>
  <c r="AK623" i="20"/>
  <c r="AK624" i="20"/>
  <c r="AK625" i="20"/>
  <c r="AK626" i="20"/>
  <c r="AK627" i="20"/>
  <c r="AK628" i="20"/>
  <c r="AK629" i="20"/>
  <c r="AK630" i="20"/>
  <c r="AK631" i="20"/>
  <c r="AK632" i="20"/>
  <c r="AK633" i="20"/>
  <c r="AK634" i="20"/>
  <c r="AK635" i="20"/>
  <c r="AK636" i="20"/>
  <c r="AK637" i="20"/>
  <c r="AK638" i="20"/>
  <c r="AK639" i="20"/>
  <c r="AK640" i="20"/>
  <c r="AK641" i="20"/>
  <c r="AK642" i="20"/>
  <c r="AK643" i="20"/>
  <c r="AK644" i="20"/>
  <c r="AK645" i="20"/>
  <c r="AK646" i="20"/>
  <c r="AK647" i="20"/>
  <c r="AK648" i="20"/>
  <c r="AK649" i="20"/>
  <c r="AK650" i="20"/>
  <c r="AK651" i="20"/>
  <c r="AK652" i="20"/>
  <c r="AK653" i="20"/>
  <c r="AK654" i="20"/>
  <c r="AK655" i="20"/>
  <c r="AK656" i="20"/>
  <c r="AK657" i="20"/>
  <c r="AK658" i="20"/>
  <c r="AK659" i="20"/>
  <c r="AK660" i="20"/>
  <c r="AK661" i="20"/>
  <c r="AK662" i="20"/>
  <c r="AK663" i="20"/>
  <c r="AK664" i="20"/>
  <c r="AK665" i="20"/>
  <c r="AK666" i="20"/>
  <c r="AK667" i="20"/>
  <c r="AK668" i="20"/>
  <c r="AK669" i="20"/>
  <c r="AK670" i="20"/>
  <c r="AK671" i="20"/>
  <c r="AK672" i="20"/>
  <c r="AK673" i="20"/>
  <c r="AK674" i="20"/>
  <c r="AK675" i="20"/>
  <c r="AK676" i="20"/>
  <c r="AK677" i="20"/>
  <c r="AK678" i="20"/>
  <c r="AK679" i="20"/>
  <c r="AK680" i="20"/>
  <c r="AK681" i="20"/>
  <c r="AK682" i="20"/>
  <c r="AK683" i="20"/>
  <c r="AK684" i="20"/>
  <c r="AK685" i="20"/>
  <c r="AK686" i="20"/>
  <c r="AK687" i="20"/>
  <c r="AK688" i="20"/>
  <c r="AK689" i="20"/>
  <c r="AK690" i="20"/>
  <c r="AK691" i="20"/>
  <c r="AK692" i="20"/>
  <c r="AK693" i="20"/>
  <c r="AK694" i="20"/>
  <c r="AK695" i="20"/>
  <c r="AK696" i="20"/>
  <c r="AK697" i="20"/>
  <c r="AK698" i="20"/>
  <c r="AK699" i="20"/>
  <c r="AK700" i="20"/>
  <c r="AK701" i="20"/>
  <c r="AK702" i="20"/>
  <c r="AK703" i="20"/>
  <c r="AK704" i="20"/>
  <c r="AK705" i="20"/>
  <c r="AK706" i="20"/>
  <c r="AK707" i="20"/>
  <c r="AK708" i="20"/>
  <c r="AK709" i="20"/>
  <c r="AK710" i="20"/>
  <c r="AK711" i="20"/>
  <c r="AK712" i="20"/>
  <c r="AK713" i="20"/>
  <c r="AK714" i="20"/>
  <c r="AK715" i="20"/>
  <c r="AK716" i="20"/>
  <c r="AK717" i="20"/>
  <c r="AK718" i="20"/>
  <c r="AK719" i="20"/>
  <c r="AK720" i="20"/>
  <c r="AK721" i="20"/>
  <c r="AK722" i="20"/>
  <c r="AK723" i="20"/>
  <c r="AK724" i="20"/>
  <c r="AK725" i="20"/>
  <c r="AK726" i="20"/>
  <c r="AK727" i="20"/>
  <c r="AK728" i="20"/>
  <c r="AK729" i="20"/>
  <c r="AK730" i="20"/>
  <c r="AK731" i="20"/>
  <c r="AK732" i="20"/>
  <c r="AK733" i="20"/>
  <c r="AK734" i="20"/>
  <c r="AK735" i="20"/>
  <c r="AK736" i="20"/>
  <c r="AK737" i="20"/>
  <c r="AK738" i="20"/>
  <c r="AK739" i="20"/>
  <c r="AK740" i="20"/>
  <c r="AK741" i="20"/>
  <c r="AK742" i="20"/>
  <c r="AK743" i="20"/>
  <c r="AK744" i="20"/>
  <c r="AK745" i="20"/>
  <c r="AK746" i="20"/>
  <c r="AK747" i="20"/>
  <c r="AK748" i="20"/>
  <c r="AK749" i="20"/>
  <c r="AK750" i="20"/>
  <c r="AK751" i="20"/>
  <c r="AK752" i="20"/>
  <c r="AK753" i="20"/>
  <c r="AK754" i="20"/>
  <c r="AK755" i="20"/>
  <c r="AK756" i="20"/>
  <c r="AK757" i="20"/>
  <c r="AK758" i="20"/>
  <c r="AK759" i="20"/>
  <c r="AK760" i="20"/>
  <c r="AK761" i="20"/>
  <c r="AK762" i="20"/>
  <c r="AK763" i="20"/>
  <c r="AK764" i="20"/>
  <c r="AK765" i="20"/>
  <c r="AK766" i="20"/>
  <c r="AK767" i="20"/>
  <c r="AK768" i="20"/>
  <c r="AK769" i="20"/>
  <c r="AK770" i="20"/>
  <c r="AK771" i="20"/>
  <c r="AK772" i="20"/>
  <c r="AK773" i="20"/>
  <c r="AK774" i="20"/>
  <c r="AK775" i="20"/>
  <c r="AK776" i="20"/>
  <c r="AK777" i="20"/>
  <c r="AK778" i="20"/>
  <c r="AK779" i="20"/>
  <c r="AK780" i="20"/>
  <c r="AK781" i="20"/>
  <c r="AK782" i="20"/>
  <c r="AK783" i="20"/>
  <c r="AK784" i="20"/>
  <c r="AK785" i="20"/>
  <c r="AK786" i="20"/>
  <c r="AK787" i="20"/>
  <c r="AK788" i="20"/>
  <c r="AK789" i="20"/>
  <c r="AK790" i="20"/>
  <c r="AK791" i="20"/>
  <c r="AK792" i="20"/>
  <c r="AK793" i="20"/>
  <c r="AK794" i="20"/>
  <c r="AK795" i="20"/>
  <c r="AK796" i="20"/>
  <c r="AK797" i="20"/>
  <c r="AK798" i="20"/>
  <c r="AK799" i="20"/>
  <c r="AK800" i="20"/>
  <c r="AK801" i="20"/>
  <c r="AK802" i="20"/>
  <c r="AK803" i="20"/>
  <c r="AK804" i="20"/>
  <c r="AK805" i="20"/>
  <c r="AK806" i="20"/>
  <c r="AK807" i="20"/>
  <c r="AK808" i="20"/>
  <c r="AK809" i="20"/>
  <c r="AK810" i="20"/>
  <c r="AK811" i="20"/>
  <c r="AK812" i="20"/>
  <c r="AK813" i="20"/>
  <c r="AK814" i="20"/>
  <c r="AK815" i="20"/>
  <c r="AK816" i="20"/>
  <c r="AK817" i="20"/>
  <c r="AK818" i="20"/>
  <c r="AK819" i="20"/>
  <c r="AK820" i="20"/>
  <c r="AK821" i="20"/>
  <c r="AK822" i="20"/>
  <c r="AK823" i="20"/>
  <c r="AK824" i="20"/>
  <c r="AK825" i="20"/>
  <c r="AK826" i="20"/>
  <c r="AK827" i="20"/>
  <c r="AK828" i="20"/>
  <c r="AK829" i="20"/>
  <c r="AK830" i="20"/>
  <c r="AK831" i="20"/>
  <c r="AK832" i="20"/>
  <c r="AK833" i="20"/>
  <c r="AK834" i="20"/>
  <c r="AK835" i="20"/>
  <c r="AK836" i="20"/>
  <c r="AK837" i="20"/>
  <c r="AK838" i="20"/>
  <c r="AK839" i="20"/>
  <c r="AK840" i="20"/>
  <c r="AK841" i="20"/>
  <c r="AK842" i="20"/>
  <c r="AK843" i="20"/>
  <c r="AK844" i="20"/>
  <c r="AK845" i="20"/>
  <c r="AK846" i="20"/>
  <c r="AK847" i="20"/>
  <c r="AK848" i="20"/>
  <c r="AK849" i="20"/>
  <c r="AK850" i="20"/>
  <c r="AK851" i="20"/>
  <c r="AK852" i="20"/>
  <c r="AK853" i="20"/>
  <c r="AK854" i="20"/>
  <c r="AK855" i="20"/>
  <c r="AK856" i="20"/>
  <c r="AK857" i="20"/>
  <c r="AK858" i="20"/>
  <c r="AK859" i="20"/>
  <c r="AK860" i="20"/>
  <c r="AK861" i="20"/>
  <c r="AK862" i="20"/>
  <c r="AK863" i="20"/>
  <c r="AK864" i="20"/>
  <c r="AK865" i="20"/>
  <c r="AK866" i="20"/>
  <c r="AK867" i="20"/>
  <c r="AK868" i="20"/>
  <c r="AK869" i="20"/>
  <c r="AK870" i="20"/>
  <c r="AK871" i="20"/>
  <c r="AK872" i="20"/>
  <c r="AK873" i="20"/>
  <c r="AK874" i="20"/>
  <c r="AK875" i="20"/>
  <c r="AK876" i="20"/>
  <c r="AK877" i="20"/>
  <c r="AK878" i="20"/>
  <c r="AK879" i="20"/>
  <c r="AK880" i="20"/>
  <c r="AK881" i="20"/>
  <c r="AK882" i="20"/>
  <c r="AK883" i="20"/>
  <c r="AK884" i="20"/>
  <c r="AK885" i="20"/>
  <c r="AK886" i="20"/>
  <c r="AK887" i="20"/>
  <c r="AK888" i="20"/>
  <c r="AK889" i="20"/>
  <c r="AK890" i="20"/>
  <c r="AK891" i="20"/>
  <c r="AK892" i="20"/>
  <c r="AK893" i="20"/>
  <c r="AK894" i="20"/>
  <c r="AK895" i="20"/>
  <c r="AK896" i="20"/>
  <c r="AK897" i="20"/>
  <c r="AK898" i="20"/>
  <c r="AK899" i="20"/>
  <c r="AK900" i="20"/>
  <c r="AK901" i="20"/>
  <c r="AK902" i="20"/>
  <c r="AK903" i="20"/>
  <c r="AK904" i="20"/>
  <c r="AK905" i="20"/>
  <c r="AK906" i="20"/>
  <c r="AK907" i="20"/>
  <c r="AK908" i="20"/>
  <c r="AK909" i="20"/>
  <c r="AK910" i="20"/>
  <c r="AK911" i="20"/>
  <c r="AK912" i="20"/>
  <c r="AK913" i="20"/>
  <c r="AK914" i="20"/>
  <c r="AK915" i="20"/>
  <c r="AK916" i="20"/>
  <c r="AK917" i="20"/>
  <c r="AK918" i="20"/>
  <c r="AK919" i="20"/>
  <c r="AK920" i="20"/>
  <c r="AK921" i="20"/>
  <c r="AK922" i="20"/>
  <c r="AK923" i="20"/>
  <c r="AK924" i="20"/>
  <c r="AK925" i="20"/>
  <c r="AK926" i="20"/>
  <c r="AK927" i="20"/>
  <c r="AK928" i="20"/>
  <c r="AK929" i="20"/>
  <c r="AK930" i="20"/>
  <c r="AK931" i="20"/>
  <c r="AK932" i="20"/>
  <c r="AK933" i="20"/>
  <c r="AK934" i="20"/>
  <c r="AK935" i="20"/>
  <c r="AK936" i="20"/>
  <c r="AK937" i="20"/>
  <c r="AK938" i="20"/>
  <c r="AK939" i="20"/>
  <c r="AK940" i="20"/>
  <c r="AK941" i="20"/>
  <c r="AK942" i="20"/>
  <c r="AK943" i="20"/>
  <c r="AK944" i="20"/>
  <c r="AK945" i="20"/>
  <c r="AK946" i="20"/>
  <c r="AK947" i="20"/>
  <c r="AK948" i="20"/>
  <c r="AK949" i="20"/>
  <c r="AK950" i="20"/>
  <c r="AK951" i="20"/>
  <c r="AK952" i="20"/>
  <c r="AK953" i="20"/>
  <c r="AK954" i="20"/>
  <c r="AK955" i="20"/>
  <c r="AK956" i="20"/>
  <c r="AK957" i="20"/>
  <c r="AK958" i="20"/>
  <c r="AK959" i="20"/>
  <c r="AK960" i="20"/>
  <c r="AK961" i="20"/>
  <c r="AK962" i="20"/>
  <c r="AK963" i="20"/>
  <c r="AK964" i="20"/>
  <c r="AK965" i="20"/>
  <c r="AK966" i="20"/>
  <c r="AK967" i="20"/>
  <c r="AK968" i="20"/>
  <c r="AK969" i="20"/>
  <c r="AK970" i="20"/>
  <c r="AK971" i="20"/>
  <c r="AK972" i="20"/>
  <c r="AK973" i="20"/>
  <c r="AK974" i="20"/>
  <c r="AK975" i="20"/>
  <c r="AK976" i="20"/>
  <c r="AK977" i="20"/>
  <c r="AK978" i="20"/>
  <c r="AK979" i="20"/>
  <c r="AK980" i="20"/>
  <c r="AK981" i="20"/>
  <c r="AK982" i="20"/>
  <c r="AK983" i="20"/>
  <c r="AK984" i="20"/>
  <c r="AK985" i="20"/>
  <c r="AK986" i="20"/>
  <c r="AK987" i="20"/>
  <c r="AK988" i="20"/>
  <c r="AK989" i="20"/>
  <c r="AK990" i="20"/>
  <c r="AK991" i="20"/>
  <c r="AK992" i="20"/>
  <c r="AK993" i="20"/>
  <c r="AK994" i="20"/>
  <c r="AK995" i="20"/>
  <c r="AK996" i="20"/>
  <c r="AK997" i="20"/>
  <c r="AK998" i="20"/>
  <c r="AK999" i="20"/>
  <c r="AK1000" i="20"/>
  <c r="AK1001" i="20"/>
  <c r="AK1002" i="20"/>
  <c r="AK1003" i="20"/>
  <c r="AK1004" i="20"/>
  <c r="AK1005" i="20"/>
  <c r="AK1006" i="20"/>
  <c r="AK1007" i="20"/>
  <c r="AK1008" i="20"/>
  <c r="AK1009" i="20"/>
  <c r="AK1010" i="20"/>
  <c r="AK1011" i="20"/>
  <c r="AK1012" i="20"/>
  <c r="AK1013" i="20"/>
  <c r="AK1014" i="20"/>
  <c r="AK1015" i="20"/>
  <c r="AK1016" i="20"/>
  <c r="AK1017" i="20"/>
  <c r="AK1018" i="20"/>
  <c r="AK1019" i="20"/>
  <c r="AK1020" i="20"/>
  <c r="AK1021" i="20"/>
  <c r="AK1022" i="20"/>
  <c r="AK1023" i="20"/>
  <c r="AK1024" i="20"/>
  <c r="AK1025" i="20"/>
  <c r="AK1026" i="20"/>
  <c r="AK1027" i="20"/>
  <c r="AK1028" i="20"/>
  <c r="AK1029" i="20"/>
  <c r="AK1030" i="20"/>
  <c r="AK1031" i="20"/>
  <c r="AK1032" i="20"/>
  <c r="AK1033" i="20"/>
  <c r="AK1034" i="20"/>
  <c r="AK1035" i="20"/>
  <c r="AK1036" i="20"/>
  <c r="AK1037" i="20"/>
  <c r="AK1038" i="20"/>
  <c r="AK1039" i="20"/>
  <c r="AK1040" i="20"/>
  <c r="AK1041" i="20"/>
  <c r="AK1042" i="20"/>
  <c r="AK1043" i="20"/>
  <c r="AK1044" i="20"/>
  <c r="AK1045" i="20"/>
  <c r="AK1046" i="20"/>
  <c r="AK1047" i="20"/>
  <c r="AK1048" i="20"/>
  <c r="AK1049" i="20"/>
  <c r="AK1050" i="20"/>
  <c r="AK1051" i="20"/>
  <c r="AK1052" i="20"/>
  <c r="AK1053" i="20"/>
  <c r="AK1054" i="20"/>
  <c r="AK1055" i="20"/>
  <c r="AK1056" i="20"/>
  <c r="AK1057" i="20"/>
  <c r="AK1058" i="20"/>
  <c r="AK1059" i="20"/>
  <c r="AK1060" i="20"/>
  <c r="AK1061" i="20"/>
  <c r="AK1062" i="20"/>
  <c r="AK1063" i="20"/>
  <c r="AK1064" i="20"/>
  <c r="AK1065" i="20"/>
  <c r="AK1066" i="20"/>
  <c r="AK1067" i="20"/>
  <c r="AK1068" i="20"/>
  <c r="AK1069" i="20"/>
  <c r="AK1070" i="20"/>
  <c r="AK1071" i="20"/>
  <c r="AK1072" i="20"/>
  <c r="AK1073" i="20"/>
  <c r="AK1074" i="20"/>
  <c r="AK1075" i="20"/>
  <c r="AK1076" i="20"/>
  <c r="AK1077" i="20"/>
  <c r="AK1078" i="20"/>
  <c r="AK1079" i="20"/>
  <c r="AK1080" i="20"/>
  <c r="AK1081" i="20"/>
  <c r="AK1082" i="20"/>
  <c r="AK1083" i="20"/>
  <c r="AK1084" i="20"/>
  <c r="AK1085" i="20"/>
  <c r="AK1086" i="20"/>
  <c r="AK1087" i="20"/>
  <c r="AK1088" i="20"/>
  <c r="AK1089" i="20"/>
  <c r="AK1090" i="20"/>
  <c r="AK1091" i="20"/>
  <c r="AK1092" i="20"/>
  <c r="AK1093" i="20"/>
  <c r="AK1094" i="20"/>
  <c r="AK1095" i="20"/>
  <c r="AK1096" i="20"/>
  <c r="AK1097" i="20"/>
  <c r="AK1098" i="20"/>
  <c r="AK1099" i="20"/>
  <c r="AK1100" i="20"/>
  <c r="AK1101" i="20"/>
  <c r="AK1102" i="20"/>
  <c r="AK1103" i="20"/>
  <c r="AK1104" i="20"/>
  <c r="AK1105" i="20"/>
  <c r="AK1106" i="20"/>
  <c r="AK1107" i="20"/>
  <c r="AK1108" i="20"/>
  <c r="AK1109" i="20"/>
  <c r="AK1110" i="20"/>
  <c r="AK1111" i="20"/>
  <c r="AK1112" i="20"/>
  <c r="AK1113" i="20"/>
  <c r="AK1114" i="20"/>
  <c r="AK1115" i="20"/>
  <c r="AK1116" i="20"/>
  <c r="AK1117" i="20"/>
  <c r="AK1118" i="20"/>
  <c r="AK1119" i="20"/>
  <c r="AK1120" i="20"/>
  <c r="AK1121" i="20"/>
  <c r="AK1122" i="20"/>
  <c r="AK1123" i="20"/>
  <c r="AK1124" i="20"/>
  <c r="AK1125" i="20"/>
  <c r="AK1126" i="20"/>
  <c r="AK1127" i="20"/>
  <c r="AK1128" i="20"/>
  <c r="AK1129" i="20"/>
  <c r="AK1130" i="20"/>
  <c r="AK1131" i="20"/>
  <c r="AK1132" i="20"/>
  <c r="AK1133" i="20"/>
  <c r="AK1134" i="20"/>
  <c r="AK1135" i="20"/>
  <c r="AK1136" i="20"/>
  <c r="AK1137" i="20"/>
  <c r="AK1138" i="20"/>
  <c r="AK1139" i="20"/>
  <c r="AK1140" i="20"/>
  <c r="AK1141" i="20"/>
  <c r="AK1142" i="20"/>
  <c r="AK1144" i="20"/>
  <c r="AK1145" i="20"/>
  <c r="AK1146" i="20"/>
  <c r="AK1147" i="20"/>
  <c r="AK1148" i="20"/>
  <c r="AK1149" i="20"/>
  <c r="AK1150" i="20"/>
  <c r="AK1152" i="20"/>
  <c r="AK1153" i="20"/>
  <c r="AK1154" i="20"/>
  <c r="AK1155" i="20"/>
  <c r="AK1156" i="20"/>
  <c r="AK1157" i="20"/>
  <c r="AK1158" i="20"/>
  <c r="AK1160" i="20"/>
  <c r="AK1161" i="20"/>
  <c r="AK1162" i="20"/>
  <c r="AK1163" i="20"/>
  <c r="AK1164" i="20"/>
  <c r="AK1165" i="20"/>
  <c r="AK1166" i="20"/>
  <c r="AK1168" i="20"/>
  <c r="AK1169" i="20"/>
  <c r="AK1170" i="20"/>
  <c r="AK1171" i="20"/>
  <c r="AK1172" i="20"/>
  <c r="AK1173" i="20"/>
  <c r="AK1174" i="20"/>
  <c r="AK1176" i="20"/>
  <c r="AK1177" i="20"/>
  <c r="AK1178" i="20"/>
  <c r="AK1179" i="20"/>
  <c r="AK1180" i="20"/>
  <c r="AK1181" i="20"/>
  <c r="AK1182" i="20"/>
  <c r="AK1184" i="20"/>
  <c r="AK1185" i="20"/>
  <c r="AK1186" i="20"/>
  <c r="AK1187" i="20"/>
  <c r="AK1188" i="20"/>
  <c r="AK1189" i="20"/>
  <c r="AK1190" i="20"/>
  <c r="AK1192" i="20"/>
  <c r="AK1193" i="20"/>
  <c r="AK1194" i="20"/>
  <c r="AK1195" i="20"/>
  <c r="AK1196" i="20"/>
  <c r="AK1197" i="20"/>
  <c r="AK1198" i="20"/>
  <c r="AK1200" i="20"/>
  <c r="AK1201" i="20"/>
  <c r="AK1202" i="20"/>
  <c r="AK1203" i="20"/>
  <c r="AK1204" i="20"/>
  <c r="AK1205" i="20"/>
  <c r="AK1206" i="20"/>
  <c r="AK1208" i="20"/>
  <c r="AK1209" i="20"/>
  <c r="AK1210" i="20"/>
  <c r="AK1211" i="20"/>
  <c r="AK1212" i="20"/>
  <c r="AK1213" i="20"/>
  <c r="AK1214" i="20"/>
  <c r="AK1216" i="20"/>
  <c r="AK1217" i="20"/>
  <c r="AK1218" i="20"/>
  <c r="AK1219" i="20"/>
  <c r="AK1220" i="20"/>
  <c r="AK1221" i="20"/>
  <c r="AK1222" i="20"/>
  <c r="AK1224" i="20"/>
  <c r="AK1225" i="20"/>
  <c r="AK1226" i="20"/>
  <c r="AK1227" i="20"/>
  <c r="AK1228" i="20"/>
  <c r="AK1229" i="20"/>
  <c r="AK1230" i="20"/>
  <c r="AK1232" i="20"/>
  <c r="AK1233" i="20"/>
  <c r="AK1234" i="20"/>
  <c r="AK1235" i="20"/>
  <c r="AK1236" i="20"/>
  <c r="AK1237" i="20"/>
  <c r="AK1238" i="20"/>
  <c r="AK1240" i="20"/>
  <c r="AK1241" i="20"/>
  <c r="AK1242" i="20"/>
  <c r="AK1243" i="20"/>
  <c r="AK1244" i="20"/>
  <c r="AK1245" i="20"/>
  <c r="AK1246" i="20"/>
  <c r="AK1248" i="20"/>
  <c r="AK1249" i="20"/>
  <c r="AK1250" i="20"/>
  <c r="AK1251" i="20"/>
  <c r="AK1252" i="20"/>
  <c r="AK1253" i="20"/>
  <c r="AK1254" i="20"/>
  <c r="AK1256" i="20"/>
  <c r="AK1257" i="20"/>
  <c r="AK1258" i="20"/>
  <c r="AK1259" i="20"/>
  <c r="AK1260" i="20"/>
  <c r="AK1261" i="20"/>
  <c r="AK1262" i="20"/>
  <c r="AK1264" i="20"/>
  <c r="AK1265" i="20"/>
  <c r="AK1266" i="20"/>
  <c r="AK1267" i="20"/>
  <c r="AK1268" i="20"/>
  <c r="AK1269" i="20"/>
  <c r="AK1270" i="20"/>
  <c r="AK1272" i="20"/>
  <c r="AK1273" i="20"/>
  <c r="AK1274" i="20"/>
  <c r="AK1275" i="20"/>
  <c r="AK1276" i="20"/>
  <c r="AK1277" i="20"/>
  <c r="AK1278" i="20"/>
  <c r="AK1280" i="20"/>
  <c r="AK1281" i="20"/>
  <c r="AK1282" i="20"/>
  <c r="AK1283" i="20"/>
  <c r="AK1284" i="20"/>
  <c r="AK1285" i="20"/>
  <c r="AK1286" i="20"/>
  <c r="AK1288" i="20"/>
  <c r="AK1289" i="20"/>
  <c r="AK1290" i="20"/>
  <c r="AK1291" i="20"/>
  <c r="AK1292" i="20"/>
  <c r="AK1293" i="20"/>
  <c r="AK1294" i="20"/>
  <c r="AK1296" i="20"/>
  <c r="AK1297" i="20"/>
  <c r="AK1298" i="20"/>
  <c r="AK1299" i="20"/>
  <c r="AK1300" i="20"/>
  <c r="AK1301" i="20"/>
  <c r="AK1302" i="20"/>
  <c r="AK1304" i="20"/>
  <c r="AK1305" i="20"/>
  <c r="AK1306" i="20"/>
  <c r="AK1307" i="20"/>
  <c r="AK1308" i="20"/>
  <c r="AK1309" i="20"/>
  <c r="AK1310" i="20"/>
  <c r="AK1312" i="20"/>
  <c r="AK1313" i="20"/>
  <c r="AK1314" i="20"/>
  <c r="AK1315" i="20"/>
  <c r="AK1316" i="20"/>
  <c r="AK1317" i="20"/>
  <c r="AK1318" i="20"/>
  <c r="AK1320" i="20"/>
  <c r="AK1321" i="20"/>
  <c r="AK1322" i="20"/>
  <c r="AK1323" i="20"/>
  <c r="AK1324" i="20"/>
  <c r="AK1325" i="20"/>
  <c r="AK1326" i="20"/>
  <c r="AK1328" i="20"/>
  <c r="AK1329" i="20"/>
  <c r="AK1330" i="20"/>
  <c r="AK1331" i="20"/>
  <c r="AK1332" i="20"/>
  <c r="AK1333" i="20"/>
  <c r="AK1334" i="20"/>
  <c r="AK1336" i="20"/>
  <c r="AK1337" i="20"/>
  <c r="AK1338" i="20"/>
  <c r="AK1339" i="20"/>
  <c r="AK1340" i="20"/>
  <c r="AK1341" i="20"/>
  <c r="AK1342" i="20"/>
  <c r="AK1344" i="20"/>
  <c r="AK1345" i="20"/>
  <c r="AK1346" i="20"/>
  <c r="AK1347" i="20"/>
  <c r="AK1348" i="20"/>
  <c r="AK1349" i="20"/>
  <c r="AK1350" i="20"/>
  <c r="AK1352" i="20"/>
  <c r="AK1353" i="20"/>
  <c r="AK1354" i="20"/>
  <c r="AK1355" i="20"/>
  <c r="AK1356" i="20"/>
  <c r="AK1357" i="20"/>
  <c r="AK1358" i="20"/>
  <c r="AK1360" i="20"/>
  <c r="AK1361" i="20"/>
  <c r="AK1362" i="20"/>
  <c r="AK1363" i="20"/>
  <c r="AK1364" i="20"/>
  <c r="AK1365" i="20"/>
  <c r="AK1366" i="20"/>
  <c r="AK1368" i="20"/>
  <c r="AK1369" i="20"/>
  <c r="AK1370" i="20"/>
  <c r="AK1371" i="20"/>
  <c r="AK1372" i="20"/>
  <c r="AK1373" i="20"/>
  <c r="AK1374" i="20"/>
  <c r="AK1376" i="20"/>
  <c r="AK1377" i="20"/>
  <c r="AK1378" i="20"/>
  <c r="AK1379" i="20"/>
  <c r="AK1380" i="20"/>
  <c r="AK1381" i="20"/>
  <c r="AK1382" i="20"/>
  <c r="AK1384" i="20"/>
  <c r="AK1385" i="20"/>
  <c r="AK1386" i="20"/>
  <c r="AK1387" i="20"/>
  <c r="AK1388" i="20"/>
  <c r="AK1389" i="20"/>
  <c r="AK1390" i="20"/>
  <c r="AK1392" i="20"/>
  <c r="AK1393" i="20"/>
  <c r="AK1394" i="20"/>
  <c r="AK1395" i="20"/>
  <c r="AK1396" i="20"/>
  <c r="AK1397" i="20"/>
  <c r="AK1398" i="20"/>
  <c r="AK1400" i="20"/>
  <c r="AK1401" i="20"/>
  <c r="AK1402" i="20"/>
  <c r="AK1403" i="20"/>
  <c r="AK1404" i="20"/>
  <c r="AK1405" i="20"/>
  <c r="AK1406" i="20"/>
  <c r="AK1408" i="20"/>
  <c r="AK1409" i="20"/>
  <c r="AK1410" i="20"/>
  <c r="AK1411" i="20"/>
  <c r="AK1412" i="20"/>
  <c r="AK1413" i="20"/>
  <c r="AK1414" i="20"/>
  <c r="AK1416" i="20"/>
  <c r="AK1417" i="20"/>
  <c r="AK1418" i="20"/>
  <c r="AK1419" i="20"/>
  <c r="AK1420" i="20"/>
  <c r="AK1421" i="20"/>
  <c r="AK1422" i="20"/>
  <c r="AK1424" i="20"/>
  <c r="AK1425" i="20"/>
  <c r="AK1426" i="20"/>
  <c r="AK1427" i="20"/>
  <c r="AK1428" i="20"/>
  <c r="AK1429" i="20"/>
  <c r="AK1430" i="20"/>
  <c r="AK1432" i="20"/>
  <c r="AK1433" i="20"/>
  <c r="AK1434" i="20"/>
  <c r="AK1435" i="20"/>
  <c r="AK1436" i="20"/>
  <c r="AK1437" i="20"/>
  <c r="AK1438" i="20"/>
  <c r="AK1440" i="20"/>
  <c r="AK1441" i="20"/>
  <c r="AK1442" i="20"/>
  <c r="AK1443" i="20"/>
  <c r="AK1444" i="20"/>
  <c r="AK1445" i="20"/>
  <c r="AK1446" i="20"/>
  <c r="AK1448" i="20"/>
  <c r="AK1449" i="20"/>
  <c r="AK1450" i="20"/>
  <c r="AK1451" i="20"/>
  <c r="AK1452" i="20"/>
  <c r="AK1453" i="20"/>
  <c r="AK1454" i="20"/>
  <c r="AK1456" i="20"/>
  <c r="AK1457" i="20"/>
  <c r="AK1458" i="20"/>
  <c r="AK1459" i="20"/>
  <c r="AK1460" i="20"/>
  <c r="AK1461" i="20"/>
  <c r="AK1462" i="20"/>
  <c r="AK1464" i="20"/>
  <c r="AK1465" i="20"/>
  <c r="AK1466" i="20"/>
  <c r="AK1467" i="20"/>
  <c r="AK1468" i="20"/>
  <c r="AK1469" i="20"/>
  <c r="AK1470" i="20"/>
  <c r="AK1472" i="20"/>
  <c r="AK1473" i="20"/>
  <c r="AK1474" i="20"/>
  <c r="AK1475" i="20"/>
  <c r="AK1476" i="20"/>
  <c r="AK1477" i="20"/>
  <c r="AK1478" i="20"/>
  <c r="AK1480" i="20"/>
  <c r="AK1481" i="20"/>
  <c r="AK1482" i="20"/>
  <c r="AK1483" i="20"/>
  <c r="AK1484" i="20"/>
  <c r="AK1485" i="20"/>
  <c r="AK1486" i="20"/>
  <c r="AK1488" i="20"/>
  <c r="AK1489" i="20"/>
  <c r="AK1490" i="20"/>
  <c r="AK1491" i="20"/>
  <c r="AK1492" i="20"/>
  <c r="AK1493" i="20"/>
  <c r="AK1494" i="20"/>
  <c r="AK1496" i="20"/>
  <c r="AK1497" i="20"/>
  <c r="AK1498" i="20"/>
  <c r="AK1499" i="20"/>
  <c r="AK1500" i="20"/>
  <c r="AK1501" i="20"/>
  <c r="AK1502" i="20"/>
  <c r="AK1504" i="20"/>
  <c r="AK1505" i="20"/>
  <c r="AK1506" i="20"/>
  <c r="AK1507" i="20"/>
  <c r="AK1508" i="20"/>
  <c r="AK1509" i="20"/>
  <c r="AK1510" i="20"/>
  <c r="AK1512" i="20"/>
  <c r="AK1513" i="20"/>
  <c r="AK1514" i="20"/>
  <c r="AK1515" i="20"/>
  <c r="AK1516" i="20"/>
  <c r="AK1517" i="20"/>
  <c r="AK1518" i="20"/>
  <c r="AK1520" i="20"/>
  <c r="AK1521" i="20"/>
  <c r="AK1522" i="20"/>
  <c r="AK1523" i="20"/>
  <c r="AK1524" i="20"/>
  <c r="AK1525" i="20"/>
  <c r="AK1526" i="20"/>
  <c r="AK1528" i="20"/>
  <c r="AK1529" i="20"/>
  <c r="AK1530" i="20"/>
  <c r="AK1531" i="20"/>
  <c r="AK1532" i="20"/>
  <c r="AK1533" i="20"/>
  <c r="AK1534" i="20"/>
  <c r="AK1536" i="20"/>
  <c r="AK1537" i="20"/>
  <c r="AK1538" i="20"/>
  <c r="AK1539" i="20"/>
  <c r="AK1540" i="20"/>
  <c r="AK1541" i="20"/>
  <c r="AK1542" i="20"/>
  <c r="AK1544" i="20"/>
  <c r="AK1545" i="20"/>
  <c r="AK1546" i="20"/>
  <c r="AK1547" i="20"/>
  <c r="AK1548" i="20"/>
  <c r="AK1549" i="20"/>
  <c r="AK1550" i="20"/>
  <c r="AK1552" i="20"/>
  <c r="AK1553" i="20"/>
  <c r="AK1554" i="20"/>
  <c r="AK1555" i="20"/>
  <c r="AK1556" i="20"/>
  <c r="AK1557" i="20"/>
  <c r="AK1558" i="20"/>
  <c r="AK1560" i="20"/>
  <c r="AK1561" i="20"/>
  <c r="AK1562" i="20"/>
  <c r="AK1563" i="20"/>
  <c r="AK1564" i="20"/>
  <c r="AK1565" i="20"/>
  <c r="AK1566" i="20"/>
  <c r="AK1568" i="20"/>
  <c r="AK1569" i="20"/>
  <c r="AK1570" i="20"/>
  <c r="AK1571" i="20"/>
  <c r="AK1572" i="20"/>
  <c r="AK1573" i="20"/>
  <c r="AK1574" i="20"/>
  <c r="AK1576" i="20"/>
  <c r="AK1577" i="20"/>
  <c r="AK1578" i="20"/>
  <c r="AK1579" i="20"/>
  <c r="AK1580" i="20"/>
  <c r="AK1581" i="20"/>
  <c r="AK1582" i="20"/>
  <c r="AK1584" i="20"/>
  <c r="AK1585" i="20"/>
  <c r="AK1586" i="20"/>
  <c r="AK1587" i="20"/>
  <c r="AK1588" i="20"/>
  <c r="AK1589" i="20"/>
  <c r="AK1590" i="20"/>
  <c r="AK1592" i="20"/>
  <c r="AK1593" i="20"/>
  <c r="AK1594" i="20"/>
  <c r="AK1595" i="20"/>
  <c r="AK1596" i="20"/>
  <c r="AK1597" i="20"/>
  <c r="AK1598" i="20"/>
  <c r="AK1600" i="20"/>
  <c r="AK1601" i="20"/>
  <c r="AK1602" i="20"/>
  <c r="AK1603" i="20"/>
  <c r="AK1604" i="20"/>
  <c r="AK1605" i="20"/>
  <c r="AK1606" i="20"/>
  <c r="AK1608" i="20"/>
  <c r="AK1609" i="20"/>
  <c r="AK1610" i="20"/>
  <c r="AK1611" i="20"/>
  <c r="AK1612" i="20"/>
  <c r="AK1613" i="20"/>
  <c r="AK1614" i="20"/>
  <c r="AK1616" i="20"/>
  <c r="AK1617" i="20"/>
  <c r="AK1618" i="20"/>
  <c r="AK1619" i="20"/>
  <c r="AK1620" i="20"/>
  <c r="AK1621" i="20"/>
  <c r="AK1622" i="20"/>
  <c r="AK1624" i="20"/>
  <c r="AK1625" i="20"/>
  <c r="AK1626" i="20"/>
  <c r="AK1627" i="20"/>
  <c r="AK1628" i="20"/>
  <c r="AK1629" i="20"/>
  <c r="AK1630" i="20"/>
  <c r="AK1632" i="20"/>
  <c r="AK1633" i="20"/>
  <c r="AK1634" i="20"/>
  <c r="AK1635" i="20"/>
  <c r="AK1636" i="20"/>
  <c r="AK1637" i="20"/>
  <c r="AK1638" i="20"/>
  <c r="AK1640" i="20"/>
  <c r="AK1641" i="20"/>
  <c r="AK1642" i="20"/>
  <c r="AK1643" i="20"/>
  <c r="AK1644" i="20"/>
  <c r="AK1645" i="20"/>
  <c r="AK1646" i="20"/>
  <c r="AK1648" i="20"/>
  <c r="AK1649" i="20"/>
  <c r="AK1650" i="20"/>
  <c r="AK1651" i="20"/>
  <c r="AK1652" i="20"/>
  <c r="AK1653" i="20"/>
  <c r="AK1654" i="20"/>
  <c r="AK1656" i="20"/>
  <c r="AK1657" i="20"/>
  <c r="AK1658" i="20"/>
  <c r="AK1659" i="20"/>
  <c r="AK1660" i="20"/>
  <c r="AK1661" i="20"/>
  <c r="AK1662" i="20"/>
  <c r="AK1664" i="20"/>
  <c r="AK1665" i="20"/>
  <c r="AK1666" i="20"/>
  <c r="AK1667" i="20"/>
  <c r="AK1668" i="20"/>
  <c r="AK1669" i="20"/>
  <c r="AK1670" i="20"/>
  <c r="AK1672" i="20"/>
  <c r="AK1673" i="20"/>
  <c r="AK1674" i="20"/>
  <c r="AK1675" i="20"/>
  <c r="AK1676" i="20"/>
  <c r="AK1677" i="20"/>
  <c r="AK1678" i="20"/>
  <c r="AK1680" i="20"/>
  <c r="AK1681" i="20"/>
  <c r="AK1682" i="20"/>
  <c r="AK1683" i="20"/>
  <c r="AK1684" i="20"/>
  <c r="AK1685" i="20"/>
  <c r="AK1686" i="20"/>
  <c r="AK1688" i="20"/>
  <c r="AK1689" i="20"/>
  <c r="AK1690" i="20"/>
  <c r="AK1691" i="20"/>
  <c r="AK1692" i="20"/>
  <c r="AK1693" i="20"/>
  <c r="AK1694" i="20"/>
  <c r="AK1696" i="20"/>
  <c r="AK1697" i="20"/>
  <c r="AK1698" i="20"/>
  <c r="AK1699" i="20"/>
  <c r="AK1700" i="20"/>
  <c r="AK1701" i="20"/>
  <c r="AK1702" i="20"/>
  <c r="AK1704" i="20"/>
  <c r="AK1705" i="20"/>
  <c r="AK1706" i="20"/>
  <c r="AK1707" i="20"/>
  <c r="AK1708" i="20"/>
  <c r="AK1709" i="20"/>
  <c r="AK1710" i="20"/>
  <c r="AK1712" i="20"/>
  <c r="AK1713" i="20"/>
  <c r="AK1714" i="20"/>
  <c r="AK1715" i="20"/>
  <c r="AK1716" i="20"/>
  <c r="AK1717" i="20"/>
  <c r="AK1718" i="20"/>
  <c r="AK1720" i="20"/>
  <c r="AK1721" i="20"/>
  <c r="AK1722" i="20"/>
  <c r="AK1723" i="20"/>
  <c r="AK1724" i="20"/>
  <c r="AK1725" i="20"/>
  <c r="AK1726" i="20"/>
  <c r="AK1728" i="20"/>
  <c r="AK1729" i="20"/>
  <c r="AK1730" i="20"/>
  <c r="AK1731" i="20"/>
  <c r="AK1732" i="20"/>
  <c r="AK1733" i="20"/>
  <c r="AK1734" i="20"/>
  <c r="AK1736" i="20"/>
  <c r="AK1737" i="20"/>
  <c r="AK1738" i="20"/>
  <c r="AK1739" i="20"/>
  <c r="AK1740" i="20"/>
  <c r="AK1741" i="20"/>
  <c r="AK1742" i="20"/>
  <c r="AK1744" i="20"/>
  <c r="AK1745" i="20"/>
  <c r="AK1746" i="20"/>
  <c r="AK1747" i="20"/>
  <c r="AK1748" i="20"/>
  <c r="AK1749" i="20"/>
  <c r="AK1750" i="20"/>
  <c r="AK1752" i="20"/>
  <c r="AK1753" i="20"/>
  <c r="AK1754" i="20"/>
  <c r="AK1755" i="20"/>
  <c r="AK1756" i="20"/>
  <c r="AK1757" i="20"/>
  <c r="AK1758" i="20"/>
  <c r="AK1760" i="20"/>
  <c r="AK1761" i="20"/>
  <c r="AK1762" i="20"/>
  <c r="AK1763" i="20"/>
  <c r="AK1764" i="20"/>
  <c r="AK1765" i="20"/>
  <c r="AK1766" i="20"/>
  <c r="AK1768" i="20"/>
  <c r="AK1769" i="20"/>
  <c r="AK1770" i="20"/>
  <c r="AK1771" i="20"/>
  <c r="AK1772" i="20"/>
  <c r="AK1773" i="20"/>
  <c r="AK1774" i="20"/>
  <c r="AK1776" i="20"/>
  <c r="AK1777" i="20"/>
  <c r="AK1778" i="20"/>
  <c r="AK1779" i="20"/>
  <c r="AK1780" i="20"/>
  <c r="AK1781" i="20"/>
  <c r="AK1782" i="20"/>
  <c r="AK1784" i="20"/>
  <c r="AK1785" i="20"/>
  <c r="AK1786" i="20"/>
  <c r="AK1787" i="20"/>
  <c r="AK1788" i="20"/>
  <c r="AK1789" i="20"/>
  <c r="AK1790" i="20"/>
  <c r="AK1792" i="20"/>
  <c r="AK1793" i="20"/>
  <c r="AK1794" i="20"/>
  <c r="AK1795" i="20"/>
  <c r="AK1796" i="20"/>
  <c r="AK1797" i="20"/>
  <c r="AK1798" i="20"/>
  <c r="AK1800" i="20"/>
  <c r="AK1801" i="20"/>
  <c r="AK1802" i="20"/>
  <c r="AK1803" i="20"/>
  <c r="AK1804" i="20"/>
  <c r="AK1805" i="20"/>
  <c r="AK1806" i="20"/>
  <c r="AK1808" i="20"/>
  <c r="AK1809" i="20"/>
  <c r="AK1810" i="20"/>
  <c r="AK1811" i="20"/>
  <c r="AK1812" i="20"/>
  <c r="AK1813" i="20"/>
  <c r="AK1814" i="20"/>
  <c r="AK1816" i="20"/>
  <c r="AK1817" i="20"/>
  <c r="AK1818" i="20"/>
  <c r="AK1819" i="20"/>
  <c r="AK1820" i="20"/>
  <c r="AK1821" i="20"/>
  <c r="AK1822" i="20"/>
  <c r="AK1824" i="20"/>
  <c r="AK1825" i="20"/>
  <c r="AK1826" i="20"/>
  <c r="AK1827" i="20"/>
  <c r="AK1828" i="20"/>
  <c r="AK1829" i="20"/>
  <c r="AK1830" i="20"/>
  <c r="AK1832" i="20"/>
  <c r="AK1833" i="20"/>
  <c r="AK1834" i="20"/>
  <c r="AK1835" i="20"/>
  <c r="AK1836" i="20"/>
  <c r="AK1837" i="20"/>
  <c r="AK1838" i="20"/>
  <c r="AK1840" i="20"/>
  <c r="AK1841" i="20"/>
  <c r="AK1842" i="20"/>
  <c r="AK1843" i="20"/>
  <c r="AK1844" i="20"/>
  <c r="AK1845" i="20"/>
  <c r="AK1846" i="20"/>
  <c r="AK1848" i="20"/>
  <c r="AK1849" i="20"/>
  <c r="AK1850" i="20"/>
  <c r="AK1851" i="20"/>
  <c r="AK1852" i="20"/>
  <c r="AK1853" i="20"/>
  <c r="AK1854" i="20"/>
  <c r="AK1856" i="20"/>
  <c r="AK1857" i="20"/>
  <c r="AK1858" i="20"/>
  <c r="AK1859" i="20"/>
  <c r="AK1860" i="20"/>
  <c r="AK1861" i="20"/>
  <c r="AK1862" i="20"/>
  <c r="AK1864" i="20"/>
  <c r="AK1865" i="20"/>
  <c r="AK1866" i="20"/>
  <c r="AK1867" i="20"/>
  <c r="AK1868" i="20"/>
  <c r="AK1869" i="20"/>
  <c r="AK1870" i="20"/>
  <c r="AK1872" i="20"/>
  <c r="AK1873" i="20"/>
  <c r="AK1874" i="20"/>
  <c r="AK1875" i="20"/>
  <c r="AK1876" i="20"/>
  <c r="AK1877" i="20"/>
  <c r="AK1878" i="20"/>
  <c r="AK1880" i="20"/>
  <c r="AK1881" i="20"/>
  <c r="AK1882" i="20"/>
  <c r="AK1883" i="20"/>
  <c r="AK1884" i="20"/>
  <c r="AK1885" i="20"/>
  <c r="AK1886" i="20"/>
  <c r="AK1888" i="20"/>
  <c r="AK1889" i="20"/>
  <c r="AK1890" i="20"/>
  <c r="AK1891" i="20"/>
  <c r="AK1892" i="20"/>
  <c r="AK1893" i="20"/>
  <c r="AK1894" i="20"/>
  <c r="AK1896" i="20"/>
  <c r="AK1897" i="20"/>
  <c r="AK1898" i="20"/>
  <c r="AK1899" i="20"/>
  <c r="AK1900" i="20"/>
  <c r="AK1901" i="20"/>
  <c r="AK1902" i="20"/>
  <c r="AK1904" i="20"/>
  <c r="AK1905" i="20"/>
  <c r="AK1906" i="20"/>
  <c r="AK1907" i="20"/>
  <c r="AK1908" i="20"/>
  <c r="AK1909" i="20"/>
  <c r="AK1910" i="20"/>
  <c r="AK1912" i="20"/>
  <c r="AK1913" i="20"/>
  <c r="AK1914" i="20"/>
  <c r="AK1915" i="20"/>
  <c r="AK1916" i="20"/>
  <c r="AK1917" i="20"/>
  <c r="AK1918" i="20"/>
  <c r="AK1920" i="20"/>
  <c r="AK1921" i="20"/>
  <c r="AK1922" i="20"/>
  <c r="AK1923" i="20"/>
  <c r="AK1924" i="20"/>
  <c r="AK1925" i="20"/>
  <c r="AK1926" i="20"/>
  <c r="AK1928" i="20"/>
  <c r="AK1929" i="20"/>
  <c r="AK1930" i="20"/>
  <c r="AK1931" i="20"/>
  <c r="AK1932" i="20"/>
  <c r="AK1933" i="20"/>
  <c r="AK1934" i="20"/>
  <c r="AK1936" i="20"/>
  <c r="AK1937" i="20"/>
  <c r="AK1938" i="20"/>
  <c r="AK1939" i="20"/>
  <c r="AK1940" i="20"/>
  <c r="AK1941" i="20"/>
  <c r="AK1942" i="20"/>
  <c r="AK1944" i="20"/>
  <c r="AK1945" i="20"/>
  <c r="AK1946" i="20"/>
  <c r="AK1947" i="20"/>
  <c r="AK1948" i="20"/>
  <c r="AK1949" i="20"/>
  <c r="AK1950" i="20"/>
  <c r="AK1952" i="20"/>
  <c r="AK1953" i="20"/>
  <c r="AK1954" i="20"/>
  <c r="AK1955" i="20"/>
  <c r="AK1956" i="20"/>
  <c r="AK1957" i="20"/>
  <c r="AK1958" i="20"/>
  <c r="AK1960" i="20"/>
  <c r="AK1961" i="20"/>
  <c r="AK1962" i="20"/>
  <c r="AK1963" i="20"/>
  <c r="AK1964" i="20"/>
  <c r="AK1965" i="20"/>
  <c r="AK1966" i="20"/>
  <c r="AK1968" i="20"/>
  <c r="AK1969" i="20"/>
  <c r="AK1970" i="20"/>
  <c r="AK1971" i="20"/>
  <c r="AK1972" i="20"/>
  <c r="AK1973" i="20"/>
  <c r="AK1974" i="20"/>
  <c r="AK1976" i="20"/>
  <c r="AK1977" i="20"/>
  <c r="AK1978" i="20"/>
  <c r="AK1979" i="20"/>
  <c r="AK1980" i="20"/>
  <c r="AK1981" i="20"/>
  <c r="AK1982" i="20"/>
  <c r="AK1984" i="20"/>
  <c r="AK1985" i="20"/>
  <c r="AK1986" i="20"/>
  <c r="AK1987" i="20"/>
  <c r="AK1988" i="20"/>
  <c r="AK1989" i="20"/>
  <c r="AK1990" i="20"/>
  <c r="AK1992" i="20"/>
  <c r="AK1993" i="20"/>
  <c r="AK1994" i="20"/>
  <c r="AK1995" i="20"/>
  <c r="AK1996" i="20"/>
  <c r="AK1997" i="20"/>
  <c r="AK1998" i="20"/>
  <c r="AK2000" i="20"/>
  <c r="AK2001" i="20"/>
  <c r="AK2002" i="20"/>
  <c r="AK2003" i="20"/>
  <c r="AK2004" i="20"/>
  <c r="AK2005" i="20"/>
  <c r="AK2006" i="20"/>
  <c r="AK2008" i="20"/>
  <c r="AK2009" i="20"/>
  <c r="AK2010" i="20"/>
  <c r="AK2011" i="20"/>
  <c r="AK2012" i="20"/>
  <c r="AK2013" i="20"/>
  <c r="AK2014" i="20"/>
  <c r="AK2016" i="20"/>
  <c r="AK2017" i="20"/>
  <c r="AK2018" i="20"/>
  <c r="AK2019" i="20"/>
  <c r="AK2020" i="20"/>
  <c r="AK2021" i="20"/>
  <c r="AK2022" i="20"/>
  <c r="AK2024" i="20"/>
  <c r="AK2025" i="20"/>
  <c r="AK2026" i="20"/>
  <c r="AK2027" i="20"/>
  <c r="AK2028" i="20"/>
  <c r="AK2029" i="20"/>
  <c r="AK2030" i="20"/>
  <c r="AK2032" i="20"/>
  <c r="AK2033" i="20"/>
  <c r="AK2034" i="20"/>
  <c r="AK2035" i="20"/>
  <c r="AK2036" i="20"/>
  <c r="AK2037" i="20"/>
  <c r="AK2038" i="20"/>
  <c r="AK2040" i="20"/>
  <c r="AK2041" i="20"/>
  <c r="AK2042" i="20"/>
  <c r="AK2043" i="20"/>
  <c r="AK2044" i="20"/>
  <c r="AK2045" i="20"/>
  <c r="AK2046" i="20"/>
  <c r="AK2048" i="20"/>
  <c r="AK2049" i="20"/>
  <c r="AK2050" i="20"/>
  <c r="AK2051" i="20"/>
  <c r="AK2052" i="20"/>
  <c r="AK2053" i="20"/>
  <c r="AK2054" i="20"/>
  <c r="AK2056" i="20"/>
  <c r="AK2057" i="20"/>
  <c r="AK2058" i="20"/>
  <c r="AK2059" i="20"/>
  <c r="AK2060" i="20"/>
  <c r="AK2061" i="20"/>
  <c r="AK2062" i="20"/>
  <c r="AK2064" i="20"/>
  <c r="AK2065" i="20"/>
  <c r="AK2066" i="20"/>
  <c r="AK2067" i="20"/>
  <c r="AK2068" i="20"/>
  <c r="AK2069" i="20"/>
  <c r="AK2070" i="20"/>
  <c r="AK2072" i="20"/>
  <c r="AK2073" i="20"/>
  <c r="AK2074" i="20"/>
  <c r="AK2075" i="20"/>
  <c r="AK2076" i="20"/>
  <c r="AK2077" i="20"/>
  <c r="AK2078" i="20"/>
  <c r="AK2080" i="20"/>
  <c r="AK2081" i="20"/>
  <c r="AK2082" i="20"/>
  <c r="AK2083" i="20"/>
  <c r="AK2084" i="20"/>
  <c r="AK2085" i="20"/>
  <c r="AK2086" i="20"/>
  <c r="AK2088" i="20"/>
  <c r="AK2089" i="20"/>
  <c r="AK2090" i="20"/>
  <c r="AK2091" i="20"/>
  <c r="AK2092" i="20"/>
  <c r="AK2093" i="20"/>
  <c r="AK2094" i="20"/>
  <c r="AK2096" i="20"/>
  <c r="AK2097" i="20"/>
  <c r="AK2098" i="20"/>
  <c r="AK2099" i="20"/>
  <c r="AK2100" i="20"/>
  <c r="AK2101" i="20"/>
  <c r="AK2102" i="20"/>
  <c r="AK2104" i="20"/>
  <c r="AK2105" i="20"/>
  <c r="AK2106" i="20"/>
  <c r="AK2107" i="20"/>
  <c r="AK2108" i="20"/>
  <c r="AK2109" i="20"/>
  <c r="AK2110" i="20"/>
  <c r="AK2112" i="20"/>
  <c r="AK2113" i="20"/>
  <c r="AK2114" i="20"/>
  <c r="AK2115" i="20"/>
  <c r="AK2116" i="20"/>
  <c r="AK2117" i="20"/>
  <c r="AK2118" i="20"/>
  <c r="AK2120" i="20"/>
  <c r="AK2121" i="20"/>
  <c r="AK2122" i="20"/>
  <c r="AK2123" i="20"/>
  <c r="AK2124" i="20"/>
  <c r="AK2125" i="20"/>
  <c r="AK2126" i="20"/>
  <c r="AK2128" i="20"/>
  <c r="AK2129" i="20"/>
  <c r="AK2130" i="20"/>
  <c r="AK2131" i="20"/>
  <c r="AK2132" i="20"/>
  <c r="AK2133" i="20"/>
  <c r="AK2134" i="20"/>
  <c r="AK2136" i="20"/>
  <c r="AK2137" i="20"/>
  <c r="AK2138" i="20"/>
  <c r="AK2139" i="20"/>
  <c r="AK2140" i="20"/>
  <c r="AK2141" i="20"/>
  <c r="AK2142" i="20"/>
  <c r="AK2144" i="20"/>
  <c r="AK2145" i="20"/>
  <c r="AK2146" i="20"/>
  <c r="AK2147" i="20"/>
  <c r="AK2148" i="20"/>
  <c r="AK2149" i="20"/>
  <c r="AK2150" i="20"/>
  <c r="AK2152" i="20"/>
  <c r="AK2153" i="20"/>
  <c r="AK2154" i="20"/>
  <c r="AK2155" i="20"/>
  <c r="AK2156" i="20"/>
  <c r="AK2157" i="20"/>
  <c r="AK2158" i="20"/>
  <c r="AK2160" i="20"/>
  <c r="AK2161" i="20"/>
  <c r="AK2162" i="20"/>
  <c r="AK2163" i="20"/>
  <c r="AK2164" i="20"/>
  <c r="AK2165" i="20"/>
  <c r="AK2166" i="20"/>
  <c r="AK2168" i="20"/>
  <c r="AK2169" i="20"/>
  <c r="AK2170" i="20"/>
  <c r="AK2171" i="20"/>
  <c r="AK2172" i="20"/>
  <c r="AK2173" i="20"/>
  <c r="AK2174" i="20"/>
  <c r="AK2176" i="20"/>
  <c r="AK2177" i="20"/>
  <c r="AK2178" i="20"/>
  <c r="AK2179" i="20"/>
  <c r="AK2180" i="20"/>
  <c r="AK2181" i="20"/>
  <c r="AK2182" i="20"/>
  <c r="AK2184" i="20"/>
  <c r="AK2185" i="20"/>
  <c r="AK2186" i="20"/>
  <c r="AK2187" i="20"/>
  <c r="AK2188" i="20"/>
  <c r="AK2189" i="20"/>
  <c r="AK2190" i="20"/>
  <c r="AK2192" i="20"/>
  <c r="AK2193" i="20"/>
  <c r="AK2194" i="20"/>
  <c r="AK2195" i="20"/>
  <c r="AK2196" i="20"/>
  <c r="AK2197" i="20"/>
  <c r="AK2198" i="20"/>
  <c r="AK2200" i="20"/>
  <c r="AK2201" i="20"/>
  <c r="AK2202" i="20"/>
  <c r="AK2203" i="20"/>
  <c r="AK2204" i="20"/>
  <c r="AK2205" i="20"/>
  <c r="AK2206" i="20"/>
  <c r="AK2208" i="20"/>
  <c r="AK2209" i="20"/>
  <c r="AK2210" i="20"/>
  <c r="AK2211" i="20"/>
  <c r="AK2212" i="20"/>
  <c r="AK2213" i="20"/>
  <c r="AK2214" i="20"/>
  <c r="AK2216" i="20"/>
  <c r="AK2217" i="20"/>
  <c r="AK2218" i="20"/>
  <c r="AK2219" i="20"/>
  <c r="AK2220" i="20"/>
  <c r="AK2221" i="20"/>
  <c r="AK2222" i="20"/>
  <c r="AK2224" i="20"/>
  <c r="AK2225" i="20"/>
  <c r="AK2226" i="20"/>
  <c r="AK2227" i="20"/>
  <c r="AK2228" i="20"/>
  <c r="AK2229" i="20"/>
  <c r="AK2230" i="20"/>
  <c r="AK2232" i="20"/>
  <c r="AK2233" i="20"/>
  <c r="AK2234" i="20"/>
  <c r="AK2235" i="20"/>
  <c r="AK2236" i="20"/>
  <c r="AK2237" i="20"/>
  <c r="AK2238" i="20"/>
  <c r="AK2240" i="20"/>
  <c r="AK2241" i="20"/>
  <c r="AK2242" i="20"/>
  <c r="AK2243" i="20"/>
  <c r="AK2244" i="20"/>
  <c r="AK2245" i="20"/>
  <c r="AK2246" i="20"/>
  <c r="AK2248" i="20"/>
  <c r="AK2249" i="20"/>
  <c r="AK2250" i="20"/>
  <c r="AK2251" i="20"/>
  <c r="AK2252" i="20"/>
  <c r="AK2253" i="20"/>
  <c r="AK2254" i="20"/>
  <c r="AK2256" i="20"/>
  <c r="AK2257" i="20"/>
  <c r="AK2258" i="20"/>
  <c r="AK2259" i="20"/>
  <c r="AK2260" i="20"/>
  <c r="AK2261" i="20"/>
  <c r="AK2262" i="20"/>
  <c r="AK2264" i="20"/>
  <c r="AK2265" i="20"/>
  <c r="AK2266" i="20"/>
  <c r="AK2267" i="20"/>
  <c r="AK2268" i="20"/>
  <c r="AK2269" i="20"/>
  <c r="AK2270" i="20"/>
  <c r="AK2272" i="20"/>
  <c r="AK2273" i="20"/>
  <c r="AK2274" i="20"/>
  <c r="AK2275" i="20"/>
  <c r="AK2276" i="20"/>
  <c r="AK2277" i="20"/>
  <c r="AK2278" i="20"/>
  <c r="AK2280" i="20"/>
  <c r="AK2281" i="20"/>
  <c r="AK2282" i="20"/>
  <c r="AK2283" i="20"/>
  <c r="AK2284" i="20"/>
  <c r="AK2285" i="20"/>
  <c r="AK2286" i="20"/>
  <c r="AK2288" i="20"/>
  <c r="AK2289" i="20"/>
  <c r="AK2290" i="20"/>
  <c r="AK2291" i="20"/>
  <c r="AK2292" i="20"/>
  <c r="AK2293" i="20"/>
  <c r="AK2294" i="20"/>
  <c r="AK2296" i="20"/>
  <c r="AK2297" i="20"/>
  <c r="AK2298" i="20"/>
  <c r="AK2299" i="20"/>
  <c r="AK2300" i="20"/>
  <c r="AK2301" i="20"/>
  <c r="AK2302" i="20"/>
  <c r="AK2304" i="20"/>
  <c r="AK2305" i="20"/>
  <c r="AK2306" i="20"/>
  <c r="AK2307" i="20"/>
  <c r="AK2308" i="20"/>
  <c r="AK2309" i="20"/>
  <c r="AK2310" i="20"/>
  <c r="AK2312" i="20"/>
  <c r="AK2313" i="20"/>
  <c r="AK2314" i="20"/>
  <c r="AK2315" i="20"/>
  <c r="AK2316" i="20"/>
  <c r="AK2317" i="20"/>
  <c r="AK2318" i="20"/>
  <c r="AK2320" i="20"/>
  <c r="AK2321" i="20"/>
  <c r="AK2322" i="20"/>
  <c r="AK2323" i="20"/>
  <c r="AK2324" i="20"/>
  <c r="AK2325" i="20"/>
  <c r="AK2326" i="20"/>
  <c r="AK2328" i="20"/>
  <c r="AK2329" i="20"/>
  <c r="AK2330" i="20"/>
  <c r="AK2331" i="20"/>
  <c r="AK2332" i="20"/>
  <c r="AK2333" i="20"/>
  <c r="AK2334" i="20"/>
  <c r="AK2336" i="20"/>
  <c r="AK2337" i="20"/>
  <c r="AK2338" i="20"/>
  <c r="AK2339" i="20"/>
  <c r="AK2340" i="20"/>
  <c r="AK2341" i="20"/>
  <c r="AK2342" i="20"/>
  <c r="AK2344" i="20"/>
  <c r="AK2345" i="20"/>
  <c r="AK2346" i="20"/>
  <c r="AK2347" i="20"/>
  <c r="AK2348" i="20"/>
  <c r="AK2349" i="20"/>
  <c r="AK2350" i="20"/>
  <c r="AK2352" i="20"/>
  <c r="AK2353" i="20"/>
  <c r="AK2354" i="20"/>
  <c r="AK2355" i="20"/>
  <c r="AK2356" i="20"/>
  <c r="AK2357" i="20"/>
  <c r="AK2358" i="20"/>
  <c r="AK2360" i="20"/>
  <c r="AK2361" i="20"/>
  <c r="AK2362" i="20"/>
  <c r="AK2363" i="20"/>
  <c r="AK2364" i="20"/>
  <c r="AK2365" i="20"/>
  <c r="AK2366" i="20"/>
  <c r="AK2368" i="20"/>
  <c r="AK2369" i="20"/>
  <c r="AK2370" i="20"/>
  <c r="AK2371" i="20"/>
  <c r="AK2372" i="20"/>
  <c r="AK2373" i="20"/>
  <c r="AK2374" i="20"/>
  <c r="AK2376" i="20"/>
  <c r="AK2377" i="20"/>
  <c r="AK2378" i="20"/>
  <c r="AK2379" i="20"/>
  <c r="AK2380" i="20"/>
  <c r="AK2381" i="20"/>
  <c r="AK2382" i="20"/>
  <c r="AK2384" i="20"/>
  <c r="AK2385" i="20"/>
  <c r="AK2386" i="20"/>
  <c r="AK2387" i="20"/>
  <c r="AK2388" i="20"/>
  <c r="AK2389" i="20"/>
  <c r="AK2390" i="20"/>
  <c r="AK2392" i="20"/>
  <c r="AK2393" i="20"/>
  <c r="AK2394" i="20"/>
  <c r="AK2395" i="20"/>
  <c r="AK2396" i="20"/>
  <c r="AK2397" i="20"/>
  <c r="AK2398" i="20"/>
  <c r="AK2400" i="20"/>
  <c r="AK2401" i="20"/>
  <c r="AK2402" i="20"/>
  <c r="AK2403" i="20"/>
  <c r="AK2404" i="20"/>
  <c r="AK2405" i="20"/>
  <c r="AK2406" i="20"/>
  <c r="AK2408" i="20"/>
  <c r="AK2409" i="20"/>
  <c r="AK2410" i="20"/>
  <c r="AK2411" i="20"/>
  <c r="AK2412" i="20"/>
  <c r="AK2413" i="20"/>
  <c r="AK2414" i="20"/>
  <c r="AK2416" i="20"/>
  <c r="AK2417" i="20"/>
  <c r="AK2418" i="20"/>
  <c r="AK2419" i="20"/>
  <c r="AK2420" i="20"/>
  <c r="AK2421" i="20"/>
  <c r="AK2422" i="20"/>
  <c r="AK2424" i="20"/>
  <c r="AK2425" i="20"/>
  <c r="AK2426" i="20"/>
  <c r="AK2427" i="20"/>
  <c r="AK2428" i="20"/>
  <c r="AK2429" i="20"/>
  <c r="AK2430" i="20"/>
  <c r="AK2432" i="20"/>
  <c r="AK2433" i="20"/>
  <c r="AK2434" i="20"/>
  <c r="AK2435" i="20"/>
  <c r="AK2436" i="20"/>
  <c r="AK2437" i="20"/>
  <c r="AK2438" i="20"/>
  <c r="AK2440" i="20"/>
  <c r="AK2441" i="20"/>
  <c r="AK2442" i="20"/>
  <c r="AK2443" i="20"/>
  <c r="AK2444" i="20"/>
  <c r="AK2445" i="20"/>
  <c r="AK2446" i="20"/>
  <c r="AK2448" i="20"/>
  <c r="AK2449" i="20"/>
  <c r="AK2450" i="20"/>
  <c r="AK2451" i="20"/>
  <c r="AK2452" i="20"/>
  <c r="AK2453" i="20"/>
  <c r="AK2454" i="20"/>
  <c r="AK2456" i="20"/>
  <c r="AK2457" i="20"/>
  <c r="AK2458" i="20"/>
  <c r="AK2459" i="20"/>
  <c r="AK2460" i="20"/>
  <c r="AK2461" i="20"/>
  <c r="AK2462" i="20"/>
  <c r="AK2464" i="20"/>
  <c r="AK2465" i="20"/>
  <c r="AK2466" i="20"/>
  <c r="AK2467" i="20"/>
  <c r="AK2468" i="20"/>
  <c r="AK2469" i="20"/>
  <c r="AK2470" i="20"/>
  <c r="AK2472" i="20"/>
  <c r="AK2473" i="20"/>
  <c r="AK2474" i="20"/>
  <c r="AK2475" i="20"/>
  <c r="AK2476" i="20"/>
  <c r="AK2477" i="20"/>
  <c r="AK2478" i="20"/>
  <c r="AK2480" i="20"/>
  <c r="AK2481" i="20"/>
  <c r="AK2482" i="20"/>
  <c r="AK2483" i="20"/>
  <c r="AK2484" i="20"/>
  <c r="AK2485" i="20"/>
  <c r="AK2486" i="20"/>
  <c r="AK2488" i="20"/>
  <c r="AK2489" i="20"/>
  <c r="AK2490" i="20"/>
  <c r="AK2491" i="20"/>
  <c r="AK2492" i="20"/>
  <c r="AK2493" i="20"/>
  <c r="AK2494" i="20"/>
  <c r="AK2496" i="20"/>
  <c r="AK2497" i="20"/>
  <c r="AK2498" i="20"/>
  <c r="AK2499" i="20"/>
  <c r="AK2500" i="20"/>
  <c r="AK2501" i="20"/>
  <c r="AK2502" i="20"/>
  <c r="AK2504" i="20"/>
  <c r="AK2505" i="20"/>
  <c r="AK2506" i="20"/>
  <c r="AK2507" i="20"/>
  <c r="AK2508" i="20"/>
  <c r="AK2509" i="20"/>
  <c r="AK2510" i="20"/>
  <c r="AK2512" i="20"/>
  <c r="AK2513" i="20"/>
  <c r="AK2514" i="20"/>
  <c r="AK2515" i="20"/>
  <c r="AK2516" i="20"/>
  <c r="AK2517" i="20"/>
  <c r="AK2518" i="20"/>
  <c r="AK2520" i="20"/>
  <c r="AK2521" i="20"/>
  <c r="AK2522" i="20"/>
  <c r="AJ6" i="18"/>
  <c r="AJ7" i="18"/>
  <c r="AJ8" i="18"/>
  <c r="AJ9" i="18"/>
  <c r="AJ10" i="18"/>
  <c r="AJ11" i="18"/>
  <c r="AJ12" i="18"/>
  <c r="AJ13" i="18"/>
  <c r="AJ14" i="18"/>
  <c r="AJ15" i="18"/>
  <c r="AJ16" i="18"/>
  <c r="AJ17" i="18"/>
  <c r="AJ18" i="18"/>
  <c r="AJ19" i="18"/>
  <c r="AJ20" i="18"/>
  <c r="AJ21" i="18"/>
  <c r="AJ22" i="18"/>
  <c r="AJ23" i="18"/>
  <c r="AJ24" i="18"/>
  <c r="AJ25" i="18"/>
  <c r="AJ26" i="18"/>
  <c r="AJ27" i="18"/>
  <c r="AJ28" i="18"/>
  <c r="AJ29" i="18"/>
  <c r="AJ30" i="18"/>
  <c r="AJ31" i="18"/>
  <c r="AJ32" i="18"/>
  <c r="AJ33" i="18"/>
  <c r="AJ34" i="18"/>
  <c r="AJ35" i="18"/>
  <c r="AJ36" i="18"/>
  <c r="AJ37" i="18"/>
  <c r="AJ38" i="18"/>
  <c r="AJ39" i="18"/>
  <c r="AJ40" i="18"/>
  <c r="AJ41" i="18"/>
  <c r="AJ42" i="18"/>
  <c r="AJ43" i="18"/>
  <c r="AJ44" i="18"/>
  <c r="AJ45" i="18"/>
  <c r="AJ46" i="18"/>
  <c r="AJ47" i="18"/>
  <c r="AJ48" i="18"/>
  <c r="AJ49" i="18"/>
  <c r="AJ50" i="18"/>
  <c r="AJ51" i="18"/>
  <c r="AJ52" i="18"/>
  <c r="AJ53" i="18"/>
  <c r="AJ54" i="18"/>
  <c r="AJ55" i="18"/>
  <c r="AJ56" i="18"/>
  <c r="AJ57" i="18"/>
  <c r="AJ58" i="18"/>
  <c r="AJ59" i="18"/>
  <c r="AJ60" i="18"/>
  <c r="AJ61" i="18"/>
  <c r="AJ62" i="18"/>
  <c r="AJ63" i="18"/>
  <c r="AJ64" i="18"/>
  <c r="AJ65" i="18"/>
  <c r="AJ66" i="18"/>
  <c r="AJ67" i="18"/>
  <c r="AJ68" i="18"/>
  <c r="AJ69" i="18"/>
  <c r="AJ70" i="18"/>
  <c r="AJ71" i="18"/>
  <c r="AJ72" i="18"/>
  <c r="AJ73" i="18"/>
  <c r="AJ74" i="18"/>
  <c r="AJ75" i="18"/>
  <c r="AJ76" i="18"/>
  <c r="AJ77" i="18"/>
  <c r="AJ78" i="18"/>
  <c r="AJ79" i="18"/>
  <c r="AJ80" i="18"/>
  <c r="AJ81" i="18"/>
  <c r="AJ82" i="18"/>
  <c r="AJ83" i="18"/>
  <c r="AJ84" i="18"/>
  <c r="AJ85" i="18"/>
  <c r="AJ86" i="18"/>
  <c r="AJ87" i="18"/>
  <c r="AJ88" i="18"/>
  <c r="AJ89" i="18"/>
  <c r="AJ90" i="18"/>
  <c r="AJ91" i="18"/>
  <c r="AJ92" i="18"/>
  <c r="AJ93" i="18"/>
  <c r="AJ94" i="18"/>
  <c r="AJ95" i="18"/>
  <c r="AJ96" i="18"/>
  <c r="AJ97" i="18"/>
  <c r="AJ98" i="18"/>
  <c r="AJ99" i="18"/>
  <c r="AJ100" i="18"/>
  <c r="AJ101" i="18"/>
  <c r="AJ102" i="18"/>
  <c r="AJ103" i="18"/>
  <c r="AJ104" i="18"/>
  <c r="AJ105" i="18"/>
  <c r="AJ106" i="18"/>
  <c r="AJ107" i="18"/>
  <c r="AJ108" i="18"/>
  <c r="AJ109" i="18"/>
  <c r="AJ110" i="18"/>
  <c r="AJ111" i="18"/>
  <c r="AJ112" i="18"/>
  <c r="AJ113" i="18"/>
  <c r="AJ114" i="18"/>
  <c r="AJ115" i="18"/>
  <c r="AJ116" i="18"/>
  <c r="AJ117" i="18"/>
  <c r="AJ118" i="18"/>
  <c r="AJ119" i="18"/>
  <c r="AJ120" i="18"/>
  <c r="AJ121" i="18"/>
  <c r="AJ122" i="18"/>
  <c r="AJ123" i="18"/>
  <c r="AJ124" i="18"/>
  <c r="AJ125" i="18"/>
  <c r="AJ126" i="18"/>
  <c r="AJ127" i="18"/>
  <c r="AJ128" i="18"/>
  <c r="AJ129" i="18"/>
  <c r="AJ130" i="18"/>
  <c r="AJ131" i="18"/>
  <c r="AJ132" i="18"/>
  <c r="AJ133" i="18"/>
  <c r="AJ134" i="18"/>
  <c r="AJ135" i="18"/>
  <c r="AJ136" i="18"/>
  <c r="AJ137" i="18"/>
  <c r="AJ138" i="18"/>
  <c r="AJ139" i="18"/>
  <c r="AJ140" i="18"/>
  <c r="AJ141" i="18"/>
  <c r="AJ142" i="18"/>
  <c r="AJ143" i="18"/>
  <c r="AJ144" i="18"/>
  <c r="AJ145" i="18"/>
  <c r="AJ146" i="18"/>
  <c r="AJ147" i="18"/>
  <c r="AJ148" i="18"/>
  <c r="AJ149" i="18"/>
  <c r="AJ150" i="18"/>
  <c r="AJ151" i="18"/>
  <c r="AJ152" i="18"/>
  <c r="AJ153" i="18"/>
  <c r="AJ154" i="18"/>
  <c r="AJ155" i="18"/>
  <c r="AJ156" i="18"/>
  <c r="AJ157" i="18"/>
  <c r="AJ158" i="18"/>
  <c r="AJ159" i="18"/>
  <c r="AJ160" i="18"/>
  <c r="AJ161" i="18"/>
  <c r="AJ162" i="18"/>
  <c r="AJ163" i="18"/>
  <c r="AJ164" i="18"/>
  <c r="AJ165" i="18"/>
  <c r="AJ166" i="18"/>
  <c r="AJ167" i="18"/>
  <c r="AJ168" i="18"/>
  <c r="AJ169" i="18"/>
  <c r="AJ170" i="18"/>
  <c r="AJ171" i="18"/>
  <c r="AJ172" i="18"/>
  <c r="AJ173" i="18"/>
  <c r="AJ174" i="18"/>
  <c r="AJ175" i="18"/>
  <c r="AJ176" i="18"/>
  <c r="AJ177" i="18"/>
  <c r="AJ178" i="18"/>
  <c r="AJ179" i="18"/>
  <c r="AJ180" i="18"/>
  <c r="AJ181" i="18"/>
  <c r="AJ182" i="18"/>
  <c r="AJ183" i="18"/>
  <c r="AJ184" i="18"/>
  <c r="AJ185" i="18"/>
  <c r="AJ186" i="18"/>
  <c r="AJ187" i="18"/>
  <c r="AJ188" i="18"/>
  <c r="AJ189" i="18"/>
  <c r="AJ190" i="18"/>
  <c r="AJ191" i="18"/>
  <c r="AJ192" i="18"/>
  <c r="AJ193" i="18"/>
  <c r="AJ194" i="18"/>
  <c r="AJ195" i="18"/>
  <c r="AJ196" i="18"/>
  <c r="AJ197" i="18"/>
  <c r="AJ198" i="18"/>
  <c r="AJ199" i="18"/>
  <c r="AJ200" i="18"/>
  <c r="AJ201" i="18"/>
  <c r="AJ202" i="18"/>
  <c r="AJ203" i="18"/>
  <c r="AJ204" i="18"/>
  <c r="AJ205" i="18"/>
  <c r="AJ206" i="18"/>
  <c r="AJ207" i="18"/>
  <c r="AJ208" i="18"/>
  <c r="AJ209" i="18"/>
  <c r="AJ210" i="18"/>
  <c r="AJ211" i="18"/>
  <c r="AJ212" i="18"/>
  <c r="AJ213" i="18"/>
  <c r="AJ214" i="18"/>
  <c r="AJ215" i="18"/>
  <c r="AJ216" i="18"/>
  <c r="AJ217" i="18"/>
  <c r="AJ218" i="18"/>
  <c r="AJ219" i="18"/>
  <c r="AJ220" i="18"/>
  <c r="AJ221" i="18"/>
  <c r="AJ222" i="18"/>
  <c r="AJ223" i="18"/>
  <c r="AJ224" i="18"/>
  <c r="AJ225" i="18"/>
  <c r="AJ226" i="18"/>
  <c r="AJ227" i="18"/>
  <c r="AJ228" i="18"/>
  <c r="AJ229" i="18"/>
  <c r="AJ230" i="18"/>
  <c r="AJ231" i="18"/>
  <c r="AJ232" i="18"/>
  <c r="AJ233" i="18"/>
  <c r="AJ234" i="18"/>
  <c r="AJ235" i="18"/>
  <c r="AJ236" i="18"/>
  <c r="AJ237" i="18"/>
  <c r="AJ238" i="18"/>
  <c r="AJ239" i="18"/>
  <c r="AJ240" i="18"/>
  <c r="AJ241" i="18"/>
  <c r="AJ242" i="18"/>
  <c r="AJ243" i="18"/>
  <c r="AJ244" i="18"/>
  <c r="AJ245" i="18"/>
  <c r="AJ246" i="18"/>
  <c r="AJ247" i="18"/>
  <c r="AJ248" i="18"/>
  <c r="AJ249" i="18"/>
  <c r="AJ250" i="18"/>
  <c r="AJ251" i="18"/>
  <c r="AJ252" i="18"/>
  <c r="AJ253" i="18"/>
  <c r="AJ254" i="18"/>
  <c r="AJ255" i="18"/>
  <c r="AJ256" i="18"/>
  <c r="AJ257" i="18"/>
  <c r="AJ258" i="18"/>
  <c r="AJ259" i="18"/>
  <c r="AJ260" i="18"/>
  <c r="AJ261" i="18"/>
  <c r="AJ262" i="18"/>
  <c r="AJ263" i="18"/>
  <c r="AJ264" i="18"/>
  <c r="AJ265" i="18"/>
  <c r="AJ266" i="18"/>
  <c r="AJ267" i="18"/>
  <c r="AJ268" i="18"/>
  <c r="AJ269" i="18"/>
  <c r="AJ270" i="18"/>
  <c r="AJ271" i="18"/>
  <c r="AJ272" i="18"/>
  <c r="AJ273" i="18"/>
  <c r="AJ274" i="18"/>
  <c r="AJ275" i="18"/>
  <c r="AJ276" i="18"/>
  <c r="AJ277" i="18"/>
  <c r="AJ278" i="18"/>
  <c r="AJ279" i="18"/>
  <c r="AJ280" i="18"/>
  <c r="AJ281" i="18"/>
  <c r="AJ282" i="18"/>
  <c r="AJ283" i="18"/>
  <c r="AJ284" i="18"/>
  <c r="AJ285" i="18"/>
  <c r="AJ286" i="18"/>
  <c r="AJ287" i="18"/>
  <c r="AJ288" i="18"/>
  <c r="AJ289" i="18"/>
  <c r="AJ290" i="18"/>
  <c r="AJ291" i="18"/>
  <c r="AJ292" i="18"/>
  <c r="AJ293" i="18"/>
  <c r="AJ294" i="18"/>
  <c r="AJ295" i="18"/>
  <c r="AJ296" i="18"/>
  <c r="AJ297" i="18"/>
  <c r="AJ298" i="18"/>
  <c r="AJ299" i="18"/>
  <c r="AJ300" i="18"/>
  <c r="AJ301" i="18"/>
  <c r="AJ302" i="18"/>
  <c r="AJ303" i="18"/>
  <c r="AJ304" i="18"/>
  <c r="AJ305" i="18"/>
  <c r="AJ306" i="18"/>
  <c r="AJ307" i="18"/>
  <c r="AJ308" i="18"/>
  <c r="AJ309" i="18"/>
  <c r="AJ310" i="18"/>
  <c r="AJ311" i="18"/>
  <c r="AJ312" i="18"/>
  <c r="AJ313" i="18"/>
  <c r="AJ314" i="18"/>
  <c r="AJ315" i="18"/>
  <c r="AJ316" i="18"/>
  <c r="AJ317" i="18"/>
  <c r="AJ318" i="18"/>
  <c r="AJ319" i="18"/>
  <c r="AJ320" i="18"/>
  <c r="AJ321" i="18"/>
  <c r="AJ322" i="18"/>
  <c r="AJ323" i="18"/>
  <c r="AJ324" i="18"/>
  <c r="AJ325" i="18"/>
  <c r="AJ326" i="18"/>
  <c r="AJ327" i="18"/>
  <c r="AJ328" i="18"/>
  <c r="AJ329" i="18"/>
  <c r="AJ330" i="18"/>
  <c r="AJ331" i="18"/>
  <c r="AJ332" i="18"/>
  <c r="AJ333" i="18"/>
  <c r="AJ334" i="18"/>
  <c r="AJ335" i="18"/>
  <c r="AJ336" i="18"/>
  <c r="AJ337" i="18"/>
  <c r="AJ338" i="18"/>
  <c r="AJ339" i="18"/>
  <c r="AJ340" i="18"/>
  <c r="AE2520" i="20" l="1"/>
  <c r="AG2520" i="20"/>
  <c r="AH2520" i="20" s="1"/>
  <c r="AE2488" i="20"/>
  <c r="AG2488" i="20"/>
  <c r="AH2488" i="20" s="1"/>
  <c r="AE2456" i="20"/>
  <c r="AG2456" i="20"/>
  <c r="AH2456" i="20" s="1"/>
  <c r="AE2424" i="20"/>
  <c r="AG2424" i="20"/>
  <c r="AH2424" i="20" s="1"/>
  <c r="AE2392" i="20"/>
  <c r="AG2392" i="20"/>
  <c r="AH2392" i="20" s="1"/>
  <c r="AE2336" i="20"/>
  <c r="AG2336" i="20"/>
  <c r="AH2336" i="20" s="1"/>
  <c r="AE2328" i="20"/>
  <c r="AG2328" i="20"/>
  <c r="AH2328" i="20" s="1"/>
  <c r="AE2320" i="20"/>
  <c r="AG2320" i="20"/>
  <c r="AH2320" i="20" s="1"/>
  <c r="AE2288" i="20"/>
  <c r="AG2288" i="20"/>
  <c r="AH2288" i="20" s="1"/>
  <c r="AE2264" i="20"/>
  <c r="AG2264" i="20"/>
  <c r="AH2264" i="20" s="1"/>
  <c r="AE2232" i="20"/>
  <c r="AG2232" i="20"/>
  <c r="AH2232" i="20" s="1"/>
  <c r="AE2278" i="20"/>
  <c r="AE1135" i="20"/>
  <c r="AG1135" i="20"/>
  <c r="AH1135" i="20" s="1"/>
  <c r="AE1103" i="20"/>
  <c r="AG1103" i="20"/>
  <c r="AH1103" i="20" s="1"/>
  <c r="AE1095" i="20"/>
  <c r="AG1095" i="20"/>
  <c r="AH1095" i="20" s="1"/>
  <c r="AE1079" i="20"/>
  <c r="AG1079" i="20"/>
  <c r="AH1079" i="20" s="1"/>
  <c r="AE1063" i="20"/>
  <c r="AG1063" i="20"/>
  <c r="AH1063" i="20" s="1"/>
  <c r="AE1047" i="20"/>
  <c r="AG1047" i="20"/>
  <c r="AH1047" i="20" s="1"/>
  <c r="AE1039" i="20"/>
  <c r="AG1039" i="20"/>
  <c r="AH1039" i="20" s="1"/>
  <c r="AE1031" i="20"/>
  <c r="AG1031" i="20"/>
  <c r="AH1031" i="20" s="1"/>
  <c r="AE1015" i="20"/>
  <c r="AG1015" i="20"/>
  <c r="AH1015" i="20" s="1"/>
  <c r="AE999" i="20"/>
  <c r="AG999" i="20"/>
  <c r="AH999" i="20" s="1"/>
  <c r="AE991" i="20"/>
  <c r="AG991" i="20"/>
  <c r="AH991" i="20" s="1"/>
  <c r="AE983" i="20"/>
  <c r="AG983" i="20"/>
  <c r="AH983" i="20" s="1"/>
  <c r="AE975" i="20"/>
  <c r="AG975" i="20"/>
  <c r="AH975" i="20" s="1"/>
  <c r="AE951" i="20"/>
  <c r="AG951" i="20"/>
  <c r="AH951" i="20" s="1"/>
  <c r="AE943" i="20"/>
  <c r="AG943" i="20"/>
  <c r="AH943" i="20" s="1"/>
  <c r="AE927" i="20"/>
  <c r="AG927" i="20"/>
  <c r="AH927" i="20" s="1"/>
  <c r="AE919" i="20"/>
  <c r="AG919" i="20"/>
  <c r="AH919" i="20" s="1"/>
  <c r="AE911" i="20"/>
  <c r="AG911" i="20"/>
  <c r="AH911" i="20" s="1"/>
  <c r="AE887" i="20"/>
  <c r="AG887" i="20"/>
  <c r="AH887" i="20" s="1"/>
  <c r="AE879" i="20"/>
  <c r="AG879" i="20"/>
  <c r="AH879" i="20" s="1"/>
  <c r="AE871" i="20"/>
  <c r="AG871" i="20"/>
  <c r="AH871" i="20" s="1"/>
  <c r="AE839" i="20"/>
  <c r="AG839" i="20"/>
  <c r="AH839" i="20" s="1"/>
  <c r="AE831" i="20"/>
  <c r="AG831" i="20"/>
  <c r="AH831" i="20" s="1"/>
  <c r="AE815" i="20"/>
  <c r="AG815" i="20"/>
  <c r="AH815" i="20" s="1"/>
  <c r="AE807" i="20"/>
  <c r="AG807" i="20"/>
  <c r="AH807" i="20" s="1"/>
  <c r="AE799" i="20"/>
  <c r="AG799" i="20"/>
  <c r="AH799" i="20" s="1"/>
  <c r="AE791" i="20"/>
  <c r="AG791" i="20"/>
  <c r="AH791" i="20" s="1"/>
  <c r="AE775" i="20"/>
  <c r="AG775" i="20"/>
  <c r="AH775" i="20" s="1"/>
  <c r="AE767" i="20"/>
  <c r="AG767" i="20"/>
  <c r="AH767" i="20" s="1"/>
  <c r="AE759" i="20"/>
  <c r="AG759" i="20"/>
  <c r="AH759" i="20" s="1"/>
  <c r="AE735" i="20"/>
  <c r="AG735" i="20"/>
  <c r="AH735" i="20" s="1"/>
  <c r="AE727" i="20"/>
  <c r="AG727" i="20"/>
  <c r="AH727" i="20" s="1"/>
  <c r="AE719" i="20"/>
  <c r="AG719" i="20"/>
  <c r="AH719" i="20" s="1"/>
  <c r="AE711" i="20"/>
  <c r="AG711" i="20"/>
  <c r="AH711" i="20" s="1"/>
  <c r="AE703" i="20"/>
  <c r="AG703" i="20"/>
  <c r="AH703" i="20" s="1"/>
  <c r="AE695" i="20"/>
  <c r="AG695" i="20"/>
  <c r="AH695" i="20" s="1"/>
  <c r="AE663" i="20"/>
  <c r="AG663" i="20"/>
  <c r="AH663" i="20" s="1"/>
  <c r="AE655" i="20"/>
  <c r="AG655" i="20"/>
  <c r="AH655" i="20" s="1"/>
  <c r="AE639" i="20"/>
  <c r="AG639" i="20"/>
  <c r="AH639" i="20" s="1"/>
  <c r="AE631" i="20"/>
  <c r="AG631" i="20"/>
  <c r="AH631" i="20" s="1"/>
  <c r="AE623" i="20"/>
  <c r="AG623" i="20"/>
  <c r="AH623" i="20" s="1"/>
  <c r="AE607" i="20"/>
  <c r="AG607" i="20"/>
  <c r="AH607" i="20" s="1"/>
  <c r="AE599" i="20"/>
  <c r="AG599" i="20"/>
  <c r="AH599" i="20" s="1"/>
  <c r="AE583" i="20"/>
  <c r="AG583" i="20"/>
  <c r="AH583" i="20" s="1"/>
  <c r="AE567" i="20"/>
  <c r="AG567" i="20"/>
  <c r="AH567" i="20" s="1"/>
  <c r="AE559" i="20"/>
  <c r="AG559" i="20"/>
  <c r="AH559" i="20" s="1"/>
  <c r="AE551" i="20"/>
  <c r="AG551" i="20"/>
  <c r="AH551" i="20" s="1"/>
  <c r="AE543" i="20"/>
  <c r="AG543" i="20"/>
  <c r="AH543" i="20" s="1"/>
  <c r="AE535" i="20"/>
  <c r="AG535" i="20"/>
  <c r="AH535" i="20" s="1"/>
  <c r="AE527" i="20"/>
  <c r="AG527" i="20"/>
  <c r="AH527" i="20" s="1"/>
  <c r="AE503" i="20"/>
  <c r="AG503" i="20"/>
  <c r="AH503" i="20" s="1"/>
  <c r="AE495" i="20"/>
  <c r="AG495" i="20"/>
  <c r="AH495" i="20" s="1"/>
  <c r="AE487" i="20"/>
  <c r="AG487" i="20"/>
  <c r="AH487" i="20" s="1"/>
  <c r="AE479" i="20"/>
  <c r="AG479" i="20"/>
  <c r="AH479" i="20" s="1"/>
  <c r="AE471" i="20"/>
  <c r="AG471" i="20"/>
  <c r="AH471" i="20" s="1"/>
  <c r="AE463" i="20"/>
  <c r="AG463" i="20"/>
  <c r="AH463" i="20" s="1"/>
  <c r="AE439" i="20"/>
  <c r="AG439" i="20"/>
  <c r="AH439" i="20" s="1"/>
  <c r="AE431" i="20"/>
  <c r="AG431" i="20"/>
  <c r="AH431" i="20" s="1"/>
  <c r="AE415" i="20"/>
  <c r="AG415" i="20"/>
  <c r="AH415" i="20" s="1"/>
  <c r="AE407" i="20"/>
  <c r="AG407" i="20"/>
  <c r="AH407" i="20" s="1"/>
  <c r="AE399" i="20"/>
  <c r="AG399" i="20"/>
  <c r="AH399" i="20" s="1"/>
  <c r="AE391" i="20"/>
  <c r="AG391" i="20"/>
  <c r="AH391" i="20" s="1"/>
  <c r="AE375" i="20"/>
  <c r="AG375" i="20"/>
  <c r="AH375" i="20" s="1"/>
  <c r="AE367" i="20"/>
  <c r="AG367" i="20"/>
  <c r="AH367" i="20" s="1"/>
  <c r="AE359" i="20"/>
  <c r="AG359" i="20"/>
  <c r="AH359" i="20" s="1"/>
  <c r="AE351" i="20"/>
  <c r="AG351" i="20"/>
  <c r="AH351" i="20" s="1"/>
  <c r="AE327" i="20"/>
  <c r="AG327" i="20"/>
  <c r="AH327" i="20" s="1"/>
  <c r="AE319" i="20"/>
  <c r="AG319" i="20"/>
  <c r="AH319" i="20" s="1"/>
  <c r="AE311" i="20"/>
  <c r="AG311" i="20"/>
  <c r="AH311" i="20" s="1"/>
  <c r="AE303" i="20"/>
  <c r="AG303" i="20"/>
  <c r="AH303" i="20" s="1"/>
  <c r="AE295" i="20"/>
  <c r="AG295" i="20"/>
  <c r="AH295" i="20" s="1"/>
  <c r="AE287" i="20"/>
  <c r="AG287" i="20"/>
  <c r="AH287" i="20" s="1"/>
  <c r="AE255" i="20"/>
  <c r="AG255" i="20"/>
  <c r="AH255" i="20" s="1"/>
  <c r="AE247" i="20"/>
  <c r="AG247" i="20"/>
  <c r="AH247" i="20" s="1"/>
  <c r="AE239" i="20"/>
  <c r="AG239" i="20"/>
  <c r="AH239" i="20" s="1"/>
  <c r="AE223" i="20"/>
  <c r="AG223" i="20"/>
  <c r="AH223" i="20" s="1"/>
  <c r="AE215" i="20"/>
  <c r="AG215" i="20"/>
  <c r="AH215" i="20" s="1"/>
  <c r="AE207" i="20"/>
  <c r="AG207" i="20"/>
  <c r="AH207" i="20" s="1"/>
  <c r="AE183" i="20"/>
  <c r="AG183" i="20"/>
  <c r="AH183" i="20" s="1"/>
  <c r="AE175" i="20"/>
  <c r="AG175" i="20"/>
  <c r="AH175" i="20" s="1"/>
  <c r="AE159" i="20"/>
  <c r="AG159" i="20"/>
  <c r="AH159" i="20" s="1"/>
  <c r="AE151" i="20"/>
  <c r="AG151" i="20"/>
  <c r="AH151" i="20" s="1"/>
  <c r="AE143" i="20"/>
  <c r="AG143" i="20"/>
  <c r="AH143" i="20" s="1"/>
  <c r="AE135" i="20"/>
  <c r="AG135" i="20"/>
  <c r="AH135" i="20" s="1"/>
  <c r="AE119" i="20"/>
  <c r="AG119" i="20"/>
  <c r="AH119" i="20" s="1"/>
  <c r="AE111" i="20"/>
  <c r="AG111" i="20"/>
  <c r="AH111" i="20" s="1"/>
  <c r="AE103" i="20"/>
  <c r="AG103" i="20"/>
  <c r="AH103" i="20" s="1"/>
  <c r="AE95" i="20"/>
  <c r="AG95" i="20"/>
  <c r="AH95" i="20" s="1"/>
  <c r="AE71" i="20"/>
  <c r="AG71" i="20"/>
  <c r="AH71" i="20" s="1"/>
  <c r="AE63" i="20"/>
  <c r="AG63" i="20"/>
  <c r="AH63" i="20" s="1"/>
  <c r="AE55" i="20"/>
  <c r="AG55" i="20"/>
  <c r="AH55" i="20" s="1"/>
  <c r="AE47" i="20"/>
  <c r="AG47" i="20"/>
  <c r="AH47" i="20" s="1"/>
  <c r="AE39" i="20"/>
  <c r="AG39" i="20"/>
  <c r="AH39" i="20" s="1"/>
  <c r="AE31" i="20"/>
  <c r="AG31" i="20"/>
  <c r="AH31" i="20" s="1"/>
  <c r="AE2494" i="20"/>
  <c r="AG2494" i="20"/>
  <c r="AH2494" i="20" s="1"/>
  <c r="AE2462" i="20"/>
  <c r="AG2462" i="20"/>
  <c r="AH2462" i="20" s="1"/>
  <c r="AE2430" i="20"/>
  <c r="AG2430" i="20"/>
  <c r="AH2430" i="20" s="1"/>
  <c r="AE2398" i="20"/>
  <c r="AG2398" i="20"/>
  <c r="AH2398" i="20" s="1"/>
  <c r="AE2366" i="20"/>
  <c r="AG2366" i="20"/>
  <c r="AH2366" i="20" s="1"/>
  <c r="AE2358" i="20"/>
  <c r="AG2358" i="20"/>
  <c r="AH2358" i="20" s="1"/>
  <c r="AE2302" i="20"/>
  <c r="AG2302" i="20"/>
  <c r="AH2302" i="20" s="1"/>
  <c r="AE2286" i="20"/>
  <c r="AG2286" i="20"/>
  <c r="AH2286" i="20" s="1"/>
  <c r="AE2246" i="20"/>
  <c r="AG2246" i="20"/>
  <c r="AH2246" i="20" s="1"/>
  <c r="AE2238" i="20"/>
  <c r="AG2238" i="20"/>
  <c r="AH2238" i="20" s="1"/>
  <c r="AE2190" i="20"/>
  <c r="AG2190" i="20"/>
  <c r="AH2190" i="20" s="1"/>
  <c r="AE2182" i="20"/>
  <c r="AG2182" i="20"/>
  <c r="AH2182" i="20" s="1"/>
  <c r="AE2166" i="20"/>
  <c r="AG2166" i="20"/>
  <c r="AH2166" i="20" s="1"/>
  <c r="AE2150" i="20"/>
  <c r="AG2150" i="20"/>
  <c r="AH2150" i="20" s="1"/>
  <c r="AE2110" i="20"/>
  <c r="AG2110" i="20"/>
  <c r="AH2110" i="20" s="1"/>
  <c r="AE2086" i="20"/>
  <c r="AG2086" i="20"/>
  <c r="AH2086" i="20" s="1"/>
  <c r="AE2078" i="20"/>
  <c r="AG2078" i="20"/>
  <c r="AH2078" i="20" s="1"/>
  <c r="AE2062" i="20"/>
  <c r="AG2062" i="20"/>
  <c r="AH2062" i="20" s="1"/>
  <c r="AG2054" i="20"/>
  <c r="AH2054" i="20" s="1"/>
  <c r="AE2054" i="20"/>
  <c r="AE2038" i="20"/>
  <c r="AG2038" i="20"/>
  <c r="AH2038" i="20" s="1"/>
  <c r="AE2014" i="20"/>
  <c r="AG2014" i="20"/>
  <c r="AH2014" i="20" s="1"/>
  <c r="AE1982" i="20"/>
  <c r="AG1982" i="20"/>
  <c r="AH1982" i="20" s="1"/>
  <c r="AE1974" i="20"/>
  <c r="AG1974" i="20"/>
  <c r="AH1974" i="20" s="1"/>
  <c r="AE1958" i="20"/>
  <c r="AG1958" i="20"/>
  <c r="AH1958" i="20" s="1"/>
  <c r="AE2509" i="20"/>
  <c r="AG2509" i="20"/>
  <c r="AH2509" i="20" s="1"/>
  <c r="AE2477" i="20"/>
  <c r="AG2477" i="20"/>
  <c r="AH2477" i="20" s="1"/>
  <c r="AE2445" i="20"/>
  <c r="AG2445" i="20"/>
  <c r="AH2445" i="20" s="1"/>
  <c r="AE2413" i="20"/>
  <c r="AG2413" i="20"/>
  <c r="AH2413" i="20" s="1"/>
  <c r="AE2381" i="20"/>
  <c r="AG2381" i="20"/>
  <c r="AH2381" i="20" s="1"/>
  <c r="AE2341" i="20"/>
  <c r="AG2341" i="20"/>
  <c r="AH2341" i="20" s="1"/>
  <c r="AE2325" i="20"/>
  <c r="AG2325" i="20"/>
  <c r="AH2325" i="20" s="1"/>
  <c r="AE2301" i="20"/>
  <c r="AG2301" i="20"/>
  <c r="AH2301" i="20" s="1"/>
  <c r="AE2293" i="20"/>
  <c r="AG2293" i="20"/>
  <c r="AH2293" i="20" s="1"/>
  <c r="AE2261" i="20"/>
  <c r="AG2261" i="20"/>
  <c r="AH2261" i="20" s="1"/>
  <c r="AE2253" i="20"/>
  <c r="AG2253" i="20"/>
  <c r="AH2253" i="20" s="1"/>
  <c r="AE2237" i="20"/>
  <c r="AG2237" i="20"/>
  <c r="AH2237" i="20" s="1"/>
  <c r="AE2229" i="20"/>
  <c r="AG2229" i="20"/>
  <c r="AH2229" i="20" s="1"/>
  <c r="AE2213" i="20"/>
  <c r="AG2213" i="20"/>
  <c r="AH2213" i="20" s="1"/>
  <c r="AE2205" i="20"/>
  <c r="AG2205" i="20"/>
  <c r="AH2205" i="20" s="1"/>
  <c r="AE2189" i="20"/>
  <c r="AG2189" i="20"/>
  <c r="AH2189" i="20" s="1"/>
  <c r="AE2165" i="20"/>
  <c r="AG2165" i="20"/>
  <c r="AH2165" i="20" s="1"/>
  <c r="AE2157" i="20"/>
  <c r="AG2157" i="20"/>
  <c r="AH2157" i="20" s="1"/>
  <c r="AE2133" i="20"/>
  <c r="AG2133" i="20"/>
  <c r="AH2133" i="20" s="1"/>
  <c r="AE2125" i="20"/>
  <c r="AG2125" i="20"/>
  <c r="AH2125" i="20" s="1"/>
  <c r="AE2109" i="20"/>
  <c r="AG2109" i="20"/>
  <c r="AH2109" i="20" s="1"/>
  <c r="AE2101" i="20"/>
  <c r="AG2101" i="20"/>
  <c r="AH2101" i="20" s="1"/>
  <c r="AE2093" i="20"/>
  <c r="AG2093" i="20"/>
  <c r="AH2093" i="20" s="1"/>
  <c r="AE2085" i="20"/>
  <c r="AG2085" i="20"/>
  <c r="AH2085" i="20" s="1"/>
  <c r="AE2077" i="20"/>
  <c r="AG2077" i="20"/>
  <c r="AH2077" i="20" s="1"/>
  <c r="AE2045" i="20"/>
  <c r="AG2045" i="20"/>
  <c r="AH2045" i="20" s="1"/>
  <c r="AE2029" i="20"/>
  <c r="AG2029" i="20"/>
  <c r="AH2029" i="20" s="1"/>
  <c r="AE2005" i="20"/>
  <c r="AG2005" i="20"/>
  <c r="AH2005" i="20" s="1"/>
  <c r="AE1997" i="20"/>
  <c r="AG1997" i="20"/>
  <c r="AH1997" i="20" s="1"/>
  <c r="AG2422" i="20"/>
  <c r="AH2422" i="20" s="1"/>
  <c r="AG2374" i="20"/>
  <c r="AH2374" i="20" s="1"/>
  <c r="AG1127" i="20"/>
  <c r="AH1127" i="20" s="1"/>
  <c r="AG863" i="20"/>
  <c r="AH863" i="20" s="1"/>
  <c r="AG687" i="20"/>
  <c r="AH687" i="20" s="1"/>
  <c r="AG455" i="20"/>
  <c r="AH455" i="20" s="1"/>
  <c r="AG271" i="20"/>
  <c r="AH271" i="20" s="1"/>
  <c r="AG87" i="20"/>
  <c r="AH87" i="20" s="1"/>
  <c r="AG2224" i="20"/>
  <c r="AH2224" i="20" s="1"/>
  <c r="AG2208" i="20"/>
  <c r="AH2208" i="20" s="1"/>
  <c r="AG1992" i="20"/>
  <c r="AH1992" i="20" s="1"/>
  <c r="AG1856" i="20"/>
  <c r="AH1856" i="20" s="1"/>
  <c r="AG1744" i="20"/>
  <c r="AH1744" i="20" s="1"/>
  <c r="AG1568" i="20"/>
  <c r="AH1568" i="20" s="1"/>
  <c r="AG1432" i="20"/>
  <c r="AH1432" i="20" s="1"/>
  <c r="AG1408" i="20"/>
  <c r="AH1408" i="20" s="1"/>
  <c r="AE2275" i="20"/>
  <c r="AG2275" i="20"/>
  <c r="AH2275" i="20" s="1"/>
  <c r="AE1936" i="20"/>
  <c r="AG2176" i="20"/>
  <c r="AH2176" i="20" s="1"/>
  <c r="AG2088" i="20"/>
  <c r="AH2088" i="20" s="1"/>
  <c r="AG2072" i="20"/>
  <c r="AH2072" i="20" s="1"/>
  <c r="AG2000" i="20"/>
  <c r="AH2000" i="20" s="1"/>
  <c r="AG1944" i="20"/>
  <c r="AH1944" i="20" s="1"/>
  <c r="AG1864" i="20"/>
  <c r="AH1864" i="20" s="1"/>
  <c r="AG1840" i="20"/>
  <c r="AH1840" i="20" s="1"/>
  <c r="AG1776" i="20"/>
  <c r="AH1776" i="20" s="1"/>
  <c r="AG1616" i="20"/>
  <c r="AH1616" i="20" s="1"/>
  <c r="AG1552" i="20"/>
  <c r="AH1552" i="20" s="1"/>
  <c r="AG1528" i="20"/>
  <c r="AH1528" i="20" s="1"/>
  <c r="AG1464" i="20"/>
  <c r="AH1464" i="20" s="1"/>
  <c r="AG1416" i="20"/>
  <c r="AH1416" i="20" s="1"/>
  <c r="AG1392" i="20"/>
  <c r="AH1392" i="20" s="1"/>
  <c r="AE2216" i="20"/>
  <c r="AG2216" i="20"/>
  <c r="AH2216" i="20" s="1"/>
  <c r="AE2192" i="20"/>
  <c r="AG2192" i="20"/>
  <c r="AH2192" i="20" s="1"/>
  <c r="AE2168" i="20"/>
  <c r="AG2168" i="20"/>
  <c r="AH2168" i="20" s="1"/>
  <c r="AE2160" i="20"/>
  <c r="AG2160" i="20"/>
  <c r="AH2160" i="20" s="1"/>
  <c r="AG2144" i="20"/>
  <c r="AH2144" i="20" s="1"/>
  <c r="AE2144" i="20"/>
  <c r="AE2136" i="20"/>
  <c r="AG2136" i="20"/>
  <c r="AH2136" i="20" s="1"/>
  <c r="AE2120" i="20"/>
  <c r="AG2120" i="20"/>
  <c r="AH2120" i="20" s="1"/>
  <c r="AE2064" i="20"/>
  <c r="AG2064" i="20"/>
  <c r="AH2064" i="20" s="1"/>
  <c r="AE2040" i="20"/>
  <c r="AG2040" i="20"/>
  <c r="AH2040" i="20" s="1"/>
  <c r="AE2032" i="20"/>
  <c r="AG2032" i="20"/>
  <c r="AH2032" i="20" s="1"/>
  <c r="AE2016" i="20"/>
  <c r="AG2016" i="20"/>
  <c r="AH2016" i="20" s="1"/>
  <c r="AE2008" i="20"/>
  <c r="AG2008" i="20"/>
  <c r="AH2008" i="20" s="1"/>
  <c r="AE1984" i="20"/>
  <c r="AG1984" i="20"/>
  <c r="AH1984" i="20" s="1"/>
  <c r="AE1904" i="20"/>
  <c r="AG1904" i="20"/>
  <c r="AH1904" i="20" s="1"/>
  <c r="AE1880" i="20"/>
  <c r="AG1880" i="20"/>
  <c r="AH1880" i="20" s="1"/>
  <c r="AE1872" i="20"/>
  <c r="AG1872" i="20"/>
  <c r="AH1872" i="20" s="1"/>
  <c r="AE1824" i="20"/>
  <c r="AG1824" i="20"/>
  <c r="AH1824" i="20" s="1"/>
  <c r="AE1816" i="20"/>
  <c r="AG1816" i="20"/>
  <c r="AH1816" i="20" s="1"/>
  <c r="AE1792" i="20"/>
  <c r="AG1792" i="20"/>
  <c r="AH1792" i="20" s="1"/>
  <c r="AE1768" i="20"/>
  <c r="AG1768" i="20"/>
  <c r="AH1768" i="20" s="1"/>
  <c r="AE1760" i="20"/>
  <c r="AG1760" i="20"/>
  <c r="AH1760" i="20" s="1"/>
  <c r="AE1736" i="20"/>
  <c r="AG1736" i="20"/>
  <c r="AH1736" i="20" s="1"/>
  <c r="AE1728" i="20"/>
  <c r="AG1728" i="20"/>
  <c r="AH1728" i="20" s="1"/>
  <c r="AE1712" i="20"/>
  <c r="AG1712" i="20"/>
  <c r="AH1712" i="20" s="1"/>
  <c r="AE1704" i="20"/>
  <c r="AG1704" i="20"/>
  <c r="AH1704" i="20" s="1"/>
  <c r="AE1632" i="20"/>
  <c r="AG1632" i="20"/>
  <c r="AH1632" i="20" s="1"/>
  <c r="AE1624" i="20"/>
  <c r="AG1624" i="20"/>
  <c r="AH1624" i="20" s="1"/>
  <c r="AE1608" i="20"/>
  <c r="AG1608" i="20"/>
  <c r="AH1608" i="20" s="1"/>
  <c r="AE1600" i="20"/>
  <c r="AG1600" i="20"/>
  <c r="AH1600" i="20" s="1"/>
  <c r="AE1584" i="20"/>
  <c r="AG1584" i="20"/>
  <c r="AH1584" i="20" s="1"/>
  <c r="AE1576" i="20"/>
  <c r="AG1576" i="20"/>
  <c r="AH1576" i="20" s="1"/>
  <c r="AE1504" i="20"/>
  <c r="AG1504" i="20"/>
  <c r="AH1504" i="20" s="1"/>
  <c r="AE1496" i="20"/>
  <c r="AG1496" i="20"/>
  <c r="AH1496" i="20" s="1"/>
  <c r="AE1480" i="20"/>
  <c r="AG1480" i="20"/>
  <c r="AH1480" i="20" s="1"/>
  <c r="AE1472" i="20"/>
  <c r="AG1472" i="20"/>
  <c r="AH1472" i="20" s="1"/>
  <c r="AE1456" i="20"/>
  <c r="AG1456" i="20"/>
  <c r="AH1456" i="20" s="1"/>
  <c r="AE1448" i="20"/>
  <c r="AG1448" i="20"/>
  <c r="AH1448" i="20" s="1"/>
  <c r="AE1376" i="20"/>
  <c r="AG1376" i="20"/>
  <c r="AH1376" i="20" s="1"/>
  <c r="AE1368" i="20"/>
  <c r="AG1368" i="20"/>
  <c r="AH1368" i="20" s="1"/>
  <c r="AE1352" i="20"/>
  <c r="AG1352" i="20"/>
  <c r="AH1352" i="20" s="1"/>
  <c r="AE1344" i="20"/>
  <c r="AG1344" i="20"/>
  <c r="AH1344" i="20" s="1"/>
  <c r="AE1328" i="20"/>
  <c r="AG1328" i="20"/>
  <c r="AH1328" i="20" s="1"/>
  <c r="AE1320" i="20"/>
  <c r="AG1320" i="20"/>
  <c r="AH1320" i="20" s="1"/>
  <c r="AE1248" i="20"/>
  <c r="AG1248" i="20"/>
  <c r="AH1248" i="20" s="1"/>
  <c r="AE1240" i="20"/>
  <c r="AG1240" i="20"/>
  <c r="AH1240" i="20" s="1"/>
  <c r="AE1224" i="20"/>
  <c r="AG1224" i="20"/>
  <c r="AH1224" i="20" s="1"/>
  <c r="AE1216" i="20"/>
  <c r="AG1216" i="20"/>
  <c r="AH1216" i="20" s="1"/>
  <c r="AE1200" i="20"/>
  <c r="AG1200" i="20"/>
  <c r="AH1200" i="20" s="1"/>
  <c r="AE1192" i="20"/>
  <c r="AG1192" i="20"/>
  <c r="AH1192" i="20" s="1"/>
  <c r="AE1104" i="20"/>
  <c r="AG1104" i="20"/>
  <c r="AH1104" i="20" s="1"/>
  <c r="AE1088" i="20"/>
  <c r="AG1088" i="20"/>
  <c r="AH1088" i="20" s="1"/>
  <c r="AE1056" i="20"/>
  <c r="AG1056" i="20"/>
  <c r="AH1056" i="20" s="1"/>
  <c r="AE1048" i="20"/>
  <c r="AG1048" i="20"/>
  <c r="AH1048" i="20" s="1"/>
  <c r="AE1040" i="20"/>
  <c r="AG1040" i="20"/>
  <c r="AH1040" i="20" s="1"/>
  <c r="AE1008" i="20"/>
  <c r="AG1008" i="20"/>
  <c r="AH1008" i="20" s="1"/>
  <c r="AE1000" i="20"/>
  <c r="AG1000" i="20"/>
  <c r="AH1000" i="20" s="1"/>
  <c r="AE984" i="20"/>
  <c r="AG984" i="20"/>
  <c r="AH984" i="20" s="1"/>
  <c r="AE952" i="20"/>
  <c r="AG952" i="20"/>
  <c r="AH952" i="20" s="1"/>
  <c r="AE936" i="20"/>
  <c r="AG936" i="20"/>
  <c r="AH936" i="20" s="1"/>
  <c r="AE896" i="20"/>
  <c r="AG896" i="20"/>
  <c r="AH896" i="20" s="1"/>
  <c r="AE880" i="20"/>
  <c r="AG880" i="20"/>
  <c r="AH880" i="20" s="1"/>
  <c r="AE840" i="20"/>
  <c r="AG840" i="20"/>
  <c r="AH840" i="20" s="1"/>
  <c r="AE832" i="20"/>
  <c r="AG832" i="20"/>
  <c r="AH832" i="20" s="1"/>
  <c r="AE824" i="20"/>
  <c r="AG824" i="20"/>
  <c r="AH824" i="20" s="1"/>
  <c r="AE784" i="20"/>
  <c r="AG784" i="20"/>
  <c r="AH784" i="20" s="1"/>
  <c r="AE776" i="20"/>
  <c r="AG776" i="20"/>
  <c r="AH776" i="20" s="1"/>
  <c r="AE728" i="20"/>
  <c r="AG728" i="20"/>
  <c r="AH728" i="20" s="1"/>
  <c r="AE720" i="20"/>
  <c r="AG720" i="20"/>
  <c r="AH720" i="20" s="1"/>
  <c r="AE704" i="20"/>
  <c r="AG704" i="20"/>
  <c r="AH704" i="20" s="1"/>
  <c r="AE672" i="20"/>
  <c r="AG672" i="20"/>
  <c r="AH672" i="20" s="1"/>
  <c r="AE664" i="20"/>
  <c r="AG664" i="20"/>
  <c r="AH664" i="20" s="1"/>
  <c r="AE648" i="20"/>
  <c r="AG648" i="20"/>
  <c r="AH648" i="20" s="1"/>
  <c r="AE616" i="20"/>
  <c r="AG616" i="20"/>
  <c r="AH616" i="20" s="1"/>
  <c r="AE608" i="20"/>
  <c r="AG608" i="20"/>
  <c r="AH608" i="20" s="1"/>
  <c r="AE592" i="20"/>
  <c r="AG592" i="20"/>
  <c r="AH592" i="20" s="1"/>
  <c r="AE560" i="20"/>
  <c r="AG560" i="20"/>
  <c r="AH560" i="20" s="1"/>
  <c r="AE552" i="20"/>
  <c r="AG552" i="20"/>
  <c r="AH552" i="20" s="1"/>
  <c r="AE536" i="20"/>
  <c r="AG536" i="20"/>
  <c r="AH536" i="20" s="1"/>
  <c r="AE504" i="20"/>
  <c r="AG504" i="20"/>
  <c r="AH504" i="20" s="1"/>
  <c r="AE496" i="20"/>
  <c r="AG496" i="20"/>
  <c r="AH496" i="20" s="1"/>
  <c r="AE480" i="20"/>
  <c r="AG480" i="20"/>
  <c r="AH480" i="20" s="1"/>
  <c r="AE440" i="20"/>
  <c r="AG440" i="20"/>
  <c r="AH440" i="20" s="1"/>
  <c r="AE424" i="20"/>
  <c r="AG424" i="20"/>
  <c r="AH424" i="20" s="1"/>
  <c r="AE384" i="20"/>
  <c r="AG384" i="20"/>
  <c r="AH384" i="20" s="1"/>
  <c r="AE376" i="20"/>
  <c r="AG376" i="20"/>
  <c r="AH376" i="20" s="1"/>
  <c r="AE360" i="20"/>
  <c r="AG360" i="20"/>
  <c r="AH360" i="20" s="1"/>
  <c r="AE320" i="20"/>
  <c r="AG320" i="20"/>
  <c r="AH320" i="20" s="1"/>
  <c r="AE312" i="20"/>
  <c r="AG312" i="20"/>
  <c r="AH312" i="20" s="1"/>
  <c r="AE296" i="20"/>
  <c r="AG296" i="20"/>
  <c r="AH296" i="20" s="1"/>
  <c r="AE256" i="20"/>
  <c r="AG256" i="20"/>
  <c r="AH256" i="20" s="1"/>
  <c r="AE248" i="20"/>
  <c r="AG248" i="20"/>
  <c r="AH248" i="20" s="1"/>
  <c r="AE232" i="20"/>
  <c r="AG232" i="20"/>
  <c r="AH232" i="20" s="1"/>
  <c r="AE192" i="20"/>
  <c r="AG192" i="20"/>
  <c r="AH192" i="20" s="1"/>
  <c r="AE184" i="20"/>
  <c r="AG184" i="20"/>
  <c r="AH184" i="20" s="1"/>
  <c r="AE168" i="20"/>
  <c r="AG168" i="20"/>
  <c r="AH168" i="20" s="1"/>
  <c r="AE128" i="20"/>
  <c r="AG128" i="20"/>
  <c r="AH128" i="20" s="1"/>
  <c r="AE120" i="20"/>
  <c r="AG120" i="20"/>
  <c r="AH120" i="20" s="1"/>
  <c r="AE104" i="20"/>
  <c r="AG104" i="20"/>
  <c r="AH104" i="20" s="1"/>
  <c r="AE64" i="20"/>
  <c r="AG64" i="20"/>
  <c r="AH64" i="20" s="1"/>
  <c r="AE56" i="20"/>
  <c r="AG56" i="20"/>
  <c r="AH56" i="20" s="1"/>
  <c r="AE40" i="20"/>
  <c r="AG40" i="20"/>
  <c r="AH40" i="20" s="1"/>
  <c r="AE2025" i="20"/>
  <c r="AE1476" i="20"/>
  <c r="AG1950" i="20"/>
  <c r="AH1950" i="20" s="1"/>
  <c r="AG1918" i="20"/>
  <c r="AH1918" i="20" s="1"/>
  <c r="AG1894" i="20"/>
  <c r="AH1894" i="20" s="1"/>
  <c r="AG1861" i="20"/>
  <c r="AH1861" i="20" s="1"/>
  <c r="AG1838" i="20"/>
  <c r="AH1838" i="20" s="1"/>
  <c r="AG1805" i="20"/>
  <c r="AH1805" i="20" s="1"/>
  <c r="AG1782" i="20"/>
  <c r="AH1782" i="20" s="1"/>
  <c r="AE1308" i="20"/>
  <c r="AG1926" i="20"/>
  <c r="AH1926" i="20" s="1"/>
  <c r="AG1957" i="20"/>
  <c r="AH1957" i="20" s="1"/>
  <c r="AG1925" i="20"/>
  <c r="AH1925" i="20" s="1"/>
  <c r="AG1902" i="20"/>
  <c r="AH1902" i="20" s="1"/>
  <c r="AE1700" i="20"/>
  <c r="AE2495" i="20"/>
  <c r="AG2495" i="20"/>
  <c r="AH2495" i="20" s="1"/>
  <c r="AI2495" i="20"/>
  <c r="AE2447" i="20"/>
  <c r="AG2447" i="20"/>
  <c r="AH2447" i="20" s="1"/>
  <c r="AI2447" i="20"/>
  <c r="AE2391" i="20"/>
  <c r="AG2391" i="20"/>
  <c r="AH2391" i="20" s="1"/>
  <c r="AI2391" i="20"/>
  <c r="AJ2391" i="20"/>
  <c r="AE2343" i="20"/>
  <c r="AG2343" i="20"/>
  <c r="AH2343" i="20" s="1"/>
  <c r="AI2343" i="20"/>
  <c r="AJ2343" i="20"/>
  <c r="AE2303" i="20"/>
  <c r="AG2303" i="20"/>
  <c r="AH2303" i="20" s="1"/>
  <c r="AI2303" i="20"/>
  <c r="AJ2303" i="20"/>
  <c r="AE2255" i="20"/>
  <c r="AG2255" i="20"/>
  <c r="AH2255" i="20" s="1"/>
  <c r="AI2255" i="20"/>
  <c r="AJ2255" i="20"/>
  <c r="AE2207" i="20"/>
  <c r="AG2207" i="20"/>
  <c r="AH2207" i="20" s="1"/>
  <c r="AI2207" i="20"/>
  <c r="AJ2207" i="20"/>
  <c r="AE2167" i="20"/>
  <c r="AG2167" i="20"/>
  <c r="AH2167" i="20" s="1"/>
  <c r="AI2167" i="20"/>
  <c r="AJ2167" i="20"/>
  <c r="AE2127" i="20"/>
  <c r="AG2127" i="20"/>
  <c r="AH2127" i="20" s="1"/>
  <c r="AI2127" i="20"/>
  <c r="AJ2127" i="20"/>
  <c r="AE2071" i="20"/>
  <c r="AG2071" i="20"/>
  <c r="AH2071" i="20" s="1"/>
  <c r="AI2071" i="20"/>
  <c r="AJ2071" i="20"/>
  <c r="AE2023" i="20"/>
  <c r="AG2023" i="20"/>
  <c r="AH2023" i="20" s="1"/>
  <c r="AI2023" i="20"/>
  <c r="AJ2023" i="20"/>
  <c r="AE1959" i="20"/>
  <c r="AG1959" i="20"/>
  <c r="AH1959" i="20" s="1"/>
  <c r="AI1959" i="20"/>
  <c r="AJ1959" i="20"/>
  <c r="AE1903" i="20"/>
  <c r="AG1903" i="20"/>
  <c r="AH1903" i="20" s="1"/>
  <c r="AI1903" i="20"/>
  <c r="AJ1903" i="20"/>
  <c r="AE1855" i="20"/>
  <c r="AI1855" i="20"/>
  <c r="AJ1855" i="20"/>
  <c r="AG1855" i="20"/>
  <c r="AH1855" i="20" s="1"/>
  <c r="AE1807" i="20"/>
  <c r="AG1807" i="20"/>
  <c r="AH1807" i="20" s="1"/>
  <c r="AI1807" i="20"/>
  <c r="AJ1807" i="20"/>
  <c r="AE1767" i="20"/>
  <c r="AG1767" i="20"/>
  <c r="AH1767" i="20" s="1"/>
  <c r="AI1767" i="20"/>
  <c r="AJ1767" i="20"/>
  <c r="AE1719" i="20"/>
  <c r="AI1719" i="20"/>
  <c r="AG1719" i="20"/>
  <c r="AH1719" i="20" s="1"/>
  <c r="AJ1719" i="20"/>
  <c r="AE1679" i="20"/>
  <c r="AG1679" i="20"/>
  <c r="AH1679" i="20" s="1"/>
  <c r="AI1679" i="20"/>
  <c r="AJ1679" i="20"/>
  <c r="AE1639" i="20"/>
  <c r="AG1639" i="20"/>
  <c r="AH1639" i="20" s="1"/>
  <c r="AI1639" i="20"/>
  <c r="AJ1639" i="20"/>
  <c r="AE1599" i="20"/>
  <c r="AG1599" i="20"/>
  <c r="AH1599" i="20" s="1"/>
  <c r="AI1599" i="20"/>
  <c r="AJ1599" i="20"/>
  <c r="AE1559" i="20"/>
  <c r="AG1559" i="20"/>
  <c r="AH1559" i="20" s="1"/>
  <c r="AI1559" i="20"/>
  <c r="AJ1559" i="20"/>
  <c r="AE1511" i="20"/>
  <c r="AG1511" i="20"/>
  <c r="AH1511" i="20" s="1"/>
  <c r="AI1511" i="20"/>
  <c r="AJ1511" i="20"/>
  <c r="AE1471" i="20"/>
  <c r="AG1471" i="20"/>
  <c r="AH1471" i="20" s="1"/>
  <c r="AI1471" i="20"/>
  <c r="AJ1471" i="20"/>
  <c r="AE1431" i="20"/>
  <c r="AG1431" i="20"/>
  <c r="AH1431" i="20" s="1"/>
  <c r="AI1431" i="20"/>
  <c r="AJ1431" i="20"/>
  <c r="AE1383" i="20"/>
  <c r="AG1383" i="20"/>
  <c r="AH1383" i="20" s="1"/>
  <c r="AI1383" i="20"/>
  <c r="AJ1383" i="20"/>
  <c r="AE1335" i="20"/>
  <c r="AG1335" i="20"/>
  <c r="AH1335" i="20" s="1"/>
  <c r="AI1335" i="20"/>
  <c r="AJ1335" i="20"/>
  <c r="AE1295" i="20"/>
  <c r="AG1295" i="20"/>
  <c r="AH1295" i="20" s="1"/>
  <c r="AI1295" i="20"/>
  <c r="AJ1295" i="20"/>
  <c r="AE1255" i="20"/>
  <c r="AG1255" i="20"/>
  <c r="AH1255" i="20" s="1"/>
  <c r="AI1255" i="20"/>
  <c r="AJ1255" i="20"/>
  <c r="AE1215" i="20"/>
  <c r="AI1215" i="20"/>
  <c r="AJ1215" i="20"/>
  <c r="AG1215" i="20"/>
  <c r="AH1215" i="20" s="1"/>
  <c r="AE1191" i="20"/>
  <c r="AG1191" i="20"/>
  <c r="AH1191" i="20" s="1"/>
  <c r="AI1191" i="20"/>
  <c r="AJ1191" i="20"/>
  <c r="AE1175" i="20"/>
  <c r="AG1175" i="20"/>
  <c r="AH1175" i="20" s="1"/>
  <c r="AI1175" i="20"/>
  <c r="AJ1175" i="20"/>
  <c r="AE1167" i="20"/>
  <c r="AG1167" i="20"/>
  <c r="AH1167" i="20" s="1"/>
  <c r="AI1167" i="20"/>
  <c r="AJ1167" i="20"/>
  <c r="AE1143" i="20"/>
  <c r="AG1143" i="20"/>
  <c r="AH1143" i="20" s="1"/>
  <c r="AI1143" i="20"/>
  <c r="AJ1143" i="20"/>
  <c r="AE2519" i="20"/>
  <c r="AG2519" i="20"/>
  <c r="AH2519" i="20" s="1"/>
  <c r="AI2519" i="20"/>
  <c r="AE2463" i="20"/>
  <c r="AG2463" i="20"/>
  <c r="AH2463" i="20" s="1"/>
  <c r="AI2463" i="20"/>
  <c r="AE2415" i="20"/>
  <c r="AG2415" i="20"/>
  <c r="AH2415" i="20" s="1"/>
  <c r="AI2415" i="20"/>
  <c r="AJ2415" i="20"/>
  <c r="AE2375" i="20"/>
  <c r="AG2375" i="20"/>
  <c r="AH2375" i="20" s="1"/>
  <c r="AI2375" i="20"/>
  <c r="AJ2375" i="20"/>
  <c r="AE2335" i="20"/>
  <c r="AG2335" i="20"/>
  <c r="AH2335" i="20" s="1"/>
  <c r="AI2335" i="20"/>
  <c r="AJ2335" i="20"/>
  <c r="AE2279" i="20"/>
  <c r="AI2279" i="20"/>
  <c r="AJ2279" i="20"/>
  <c r="AE2239" i="20"/>
  <c r="AG2239" i="20"/>
  <c r="AH2239" i="20" s="1"/>
  <c r="AI2239" i="20"/>
  <c r="AJ2239" i="20"/>
  <c r="AE2191" i="20"/>
  <c r="AG2191" i="20"/>
  <c r="AH2191" i="20" s="1"/>
  <c r="AI2191" i="20"/>
  <c r="AJ2191" i="20"/>
  <c r="AE2143" i="20"/>
  <c r="AG2143" i="20"/>
  <c r="AH2143" i="20" s="1"/>
  <c r="AI2143" i="20"/>
  <c r="AJ2143" i="20"/>
  <c r="AE2087" i="20"/>
  <c r="AG2087" i="20"/>
  <c r="AH2087" i="20" s="1"/>
  <c r="AI2087" i="20"/>
  <c r="AJ2087" i="20"/>
  <c r="AE2031" i="20"/>
  <c r="AG2031" i="20"/>
  <c r="AH2031" i="20" s="1"/>
  <c r="AI2031" i="20"/>
  <c r="AJ2031" i="20"/>
  <c r="AE1967" i="20"/>
  <c r="AG1967" i="20"/>
  <c r="AH1967" i="20" s="1"/>
  <c r="AI1967" i="20"/>
  <c r="AJ1967" i="20"/>
  <c r="AE1919" i="20"/>
  <c r="AG1919" i="20"/>
  <c r="AH1919" i="20" s="1"/>
  <c r="AI1919" i="20"/>
  <c r="AJ1919" i="20"/>
  <c r="AE1871" i="20"/>
  <c r="AG1871" i="20"/>
  <c r="AH1871" i="20" s="1"/>
  <c r="AI1871" i="20"/>
  <c r="AJ1871" i="20"/>
  <c r="AE1831" i="20"/>
  <c r="AG1831" i="20"/>
  <c r="AH1831" i="20" s="1"/>
  <c r="AI1831" i="20"/>
  <c r="AJ1831" i="20"/>
  <c r="AE1791" i="20"/>
  <c r="AG1791" i="20"/>
  <c r="AH1791" i="20" s="1"/>
  <c r="AI1791" i="20"/>
  <c r="AJ1791" i="20"/>
  <c r="AE1751" i="20"/>
  <c r="AG1751" i="20"/>
  <c r="AH1751" i="20" s="1"/>
  <c r="AI1751" i="20"/>
  <c r="AJ1751" i="20"/>
  <c r="AE1727" i="20"/>
  <c r="AG1727" i="20"/>
  <c r="AH1727" i="20" s="1"/>
  <c r="AI1727" i="20"/>
  <c r="AJ1727" i="20"/>
  <c r="AE1671" i="20"/>
  <c r="AG1671" i="20"/>
  <c r="AH1671" i="20" s="1"/>
  <c r="AI1671" i="20"/>
  <c r="AJ1671" i="20"/>
  <c r="AE1631" i="20"/>
  <c r="AG1631" i="20"/>
  <c r="AH1631" i="20" s="1"/>
  <c r="AI1631" i="20"/>
  <c r="AJ1631" i="20"/>
  <c r="AE1583" i="20"/>
  <c r="AG1583" i="20"/>
  <c r="AH1583" i="20" s="1"/>
  <c r="AI1583" i="20"/>
  <c r="AJ1583" i="20"/>
  <c r="AE1543" i="20"/>
  <c r="AG1543" i="20"/>
  <c r="AH1543" i="20" s="1"/>
  <c r="AI1543" i="20"/>
  <c r="AJ1543" i="20"/>
  <c r="AE1503" i="20"/>
  <c r="AG1503" i="20"/>
  <c r="AH1503" i="20" s="1"/>
  <c r="AI1503" i="20"/>
  <c r="AJ1503" i="20"/>
  <c r="AE1463" i="20"/>
  <c r="AG1463" i="20"/>
  <c r="AH1463" i="20" s="1"/>
  <c r="AI1463" i="20"/>
  <c r="AJ1463" i="20"/>
  <c r="AE1415" i="20"/>
  <c r="AG1415" i="20"/>
  <c r="AH1415" i="20" s="1"/>
  <c r="AI1415" i="20"/>
  <c r="AJ1415" i="20"/>
  <c r="AE1359" i="20"/>
  <c r="AG1359" i="20"/>
  <c r="AH1359" i="20" s="1"/>
  <c r="AI1359" i="20"/>
  <c r="AJ1359" i="20"/>
  <c r="AE1311" i="20"/>
  <c r="AG1311" i="20"/>
  <c r="AH1311" i="20" s="1"/>
  <c r="AI1311" i="20"/>
  <c r="AJ1311" i="20"/>
  <c r="AE1247" i="20"/>
  <c r="AG1247" i="20"/>
  <c r="AH1247" i="20" s="1"/>
  <c r="AI1247" i="20"/>
  <c r="AJ1247" i="20"/>
  <c r="AE2511" i="20"/>
  <c r="AG2511" i="20"/>
  <c r="AH2511" i="20" s="1"/>
  <c r="AI2511" i="20"/>
  <c r="AE2471" i="20"/>
  <c r="AI2471" i="20"/>
  <c r="AE2439" i="20"/>
  <c r="AG2439" i="20"/>
  <c r="AH2439" i="20" s="1"/>
  <c r="AI2439" i="20"/>
  <c r="AJ2439" i="20"/>
  <c r="AE2407" i="20"/>
  <c r="AI2407" i="20"/>
  <c r="AJ2407" i="20"/>
  <c r="AE2367" i="20"/>
  <c r="AG2367" i="20"/>
  <c r="AH2367" i="20" s="1"/>
  <c r="AI2367" i="20"/>
  <c r="AJ2367" i="20"/>
  <c r="AE2327" i="20"/>
  <c r="AG2327" i="20"/>
  <c r="AH2327" i="20" s="1"/>
  <c r="AI2327" i="20"/>
  <c r="AJ2327" i="20"/>
  <c r="AE2295" i="20"/>
  <c r="AG2295" i="20"/>
  <c r="AH2295" i="20" s="1"/>
  <c r="AI2295" i="20"/>
  <c r="AJ2295" i="20"/>
  <c r="AE2263" i="20"/>
  <c r="AG2263" i="20"/>
  <c r="AH2263" i="20" s="1"/>
  <c r="AI2263" i="20"/>
  <c r="AJ2263" i="20"/>
  <c r="AE2231" i="20"/>
  <c r="AG2231" i="20"/>
  <c r="AH2231" i="20" s="1"/>
  <c r="AI2231" i="20"/>
  <c r="AJ2231" i="20"/>
  <c r="AE2199" i="20"/>
  <c r="AG2199" i="20"/>
  <c r="AH2199" i="20" s="1"/>
  <c r="AI2199" i="20"/>
  <c r="AJ2199" i="20"/>
  <c r="AE2159" i="20"/>
  <c r="AG2159" i="20"/>
  <c r="AH2159" i="20" s="1"/>
  <c r="AI2159" i="20"/>
  <c r="AJ2159" i="20"/>
  <c r="AE2111" i="20"/>
  <c r="AG2111" i="20"/>
  <c r="AH2111" i="20" s="1"/>
  <c r="AI2111" i="20"/>
  <c r="AJ2111" i="20"/>
  <c r="AE2079" i="20"/>
  <c r="AG2079" i="20"/>
  <c r="AH2079" i="20" s="1"/>
  <c r="AI2079" i="20"/>
  <c r="AJ2079" i="20"/>
  <c r="AE2047" i="20"/>
  <c r="AG2047" i="20"/>
  <c r="AH2047" i="20" s="1"/>
  <c r="AI2047" i="20"/>
  <c r="AJ2047" i="20"/>
  <c r="AE1999" i="20"/>
  <c r="AG1999" i="20"/>
  <c r="AH1999" i="20" s="1"/>
  <c r="AI1999" i="20"/>
  <c r="AJ1999" i="20"/>
  <c r="AE1975" i="20"/>
  <c r="AG1975" i="20"/>
  <c r="AH1975" i="20" s="1"/>
  <c r="AI1975" i="20"/>
  <c r="AJ1975" i="20"/>
  <c r="AE1935" i="20"/>
  <c r="AG1935" i="20"/>
  <c r="AH1935" i="20" s="1"/>
  <c r="AI1935" i="20"/>
  <c r="AJ1935" i="20"/>
  <c r="AE1895" i="20"/>
  <c r="AG1895" i="20"/>
  <c r="AH1895" i="20" s="1"/>
  <c r="AI1895" i="20"/>
  <c r="AJ1895" i="20"/>
  <c r="AE1863" i="20"/>
  <c r="AG1863" i="20"/>
  <c r="AH1863" i="20" s="1"/>
  <c r="AI1863" i="20"/>
  <c r="AJ1863" i="20"/>
  <c r="AE1823" i="20"/>
  <c r="AG1823" i="20"/>
  <c r="AH1823" i="20" s="1"/>
  <c r="AI1823" i="20"/>
  <c r="AJ1823" i="20"/>
  <c r="AE1775" i="20"/>
  <c r="AG1775" i="20"/>
  <c r="AH1775" i="20" s="1"/>
  <c r="AI1775" i="20"/>
  <c r="AJ1775" i="20"/>
  <c r="AE1735" i="20"/>
  <c r="AG1735" i="20"/>
  <c r="AH1735" i="20" s="1"/>
  <c r="AI1735" i="20"/>
  <c r="AJ1735" i="20"/>
  <c r="AG1695" i="20"/>
  <c r="AH1695" i="20" s="1"/>
  <c r="AI1695" i="20"/>
  <c r="AJ1695" i="20"/>
  <c r="AE1655" i="20"/>
  <c r="AI1655" i="20"/>
  <c r="AJ1655" i="20"/>
  <c r="AE1615" i="20"/>
  <c r="AG1615" i="20"/>
  <c r="AH1615" i="20" s="1"/>
  <c r="AI1615" i="20"/>
  <c r="AJ1615" i="20"/>
  <c r="AE1567" i="20"/>
  <c r="AI1567" i="20"/>
  <c r="AJ1567" i="20"/>
  <c r="AE1535" i="20"/>
  <c r="AG1535" i="20"/>
  <c r="AH1535" i="20" s="1"/>
  <c r="AI1535" i="20"/>
  <c r="AJ1535" i="20"/>
  <c r="AE1495" i="20"/>
  <c r="AG1495" i="20"/>
  <c r="AH1495" i="20" s="1"/>
  <c r="AI1495" i="20"/>
  <c r="AJ1495" i="20"/>
  <c r="AE1447" i="20"/>
  <c r="AG1447" i="20"/>
  <c r="AH1447" i="20" s="1"/>
  <c r="AI1447" i="20"/>
  <c r="AJ1447" i="20"/>
  <c r="AE1399" i="20"/>
  <c r="AG1399" i="20"/>
  <c r="AH1399" i="20" s="1"/>
  <c r="AI1399" i="20"/>
  <c r="AJ1399" i="20"/>
  <c r="AE1375" i="20"/>
  <c r="AG1375" i="20"/>
  <c r="AH1375" i="20" s="1"/>
  <c r="AI1375" i="20"/>
  <c r="AJ1375" i="20"/>
  <c r="AE1343" i="20"/>
  <c r="AG1343" i="20"/>
  <c r="AH1343" i="20" s="1"/>
  <c r="AI1343" i="20"/>
  <c r="AJ1343" i="20"/>
  <c r="AE1319" i="20"/>
  <c r="AG1319" i="20"/>
  <c r="AH1319" i="20" s="1"/>
  <c r="AI1319" i="20"/>
  <c r="AJ1319" i="20"/>
  <c r="AE1279" i="20"/>
  <c r="AG1279" i="20"/>
  <c r="AH1279" i="20" s="1"/>
  <c r="AI1279" i="20"/>
  <c r="AJ1279" i="20"/>
  <c r="AE1271" i="20"/>
  <c r="AG1271" i="20"/>
  <c r="AH1271" i="20" s="1"/>
  <c r="AI1271" i="20"/>
  <c r="AJ1271" i="20"/>
  <c r="AE1231" i="20"/>
  <c r="AG1231" i="20"/>
  <c r="AH1231" i="20" s="1"/>
  <c r="AI1231" i="20"/>
  <c r="AJ1231" i="20"/>
  <c r="AE1207" i="20"/>
  <c r="AG1207" i="20"/>
  <c r="AH1207" i="20" s="1"/>
  <c r="AI1207" i="20"/>
  <c r="AJ1207" i="20"/>
  <c r="AE1159" i="20"/>
  <c r="AI1159" i="20"/>
  <c r="AG1159" i="20"/>
  <c r="AH1159" i="20" s="1"/>
  <c r="AJ1159" i="20"/>
  <c r="AG1567" i="20"/>
  <c r="AH1567" i="20" s="1"/>
  <c r="AG2471" i="20"/>
  <c r="AH2471" i="20" s="1"/>
  <c r="AE2487" i="20"/>
  <c r="AG2487" i="20"/>
  <c r="AH2487" i="20" s="1"/>
  <c r="AI2487" i="20"/>
  <c r="AE2455" i="20"/>
  <c r="AG2455" i="20"/>
  <c r="AH2455" i="20" s="1"/>
  <c r="AI2455" i="20"/>
  <c r="AE2423" i="20"/>
  <c r="AG2423" i="20"/>
  <c r="AH2423" i="20" s="1"/>
  <c r="AI2423" i="20"/>
  <c r="AJ2423" i="20"/>
  <c r="AE2383" i="20"/>
  <c r="AG2383" i="20"/>
  <c r="AH2383" i="20" s="1"/>
  <c r="AI2383" i="20"/>
  <c r="AJ2383" i="20"/>
  <c r="AE2359" i="20"/>
  <c r="AG2359" i="20"/>
  <c r="AH2359" i="20" s="1"/>
  <c r="AI2359" i="20"/>
  <c r="AJ2359" i="20"/>
  <c r="AE2319" i="20"/>
  <c r="AG2319" i="20"/>
  <c r="AH2319" i="20" s="1"/>
  <c r="AI2319" i="20"/>
  <c r="AJ2319" i="20"/>
  <c r="AE2271" i="20"/>
  <c r="AG2271" i="20"/>
  <c r="AH2271" i="20" s="1"/>
  <c r="AI2271" i="20"/>
  <c r="AJ2271" i="20"/>
  <c r="AE2223" i="20"/>
  <c r="AG2223" i="20"/>
  <c r="AH2223" i="20" s="1"/>
  <c r="AI2223" i="20"/>
  <c r="AJ2223" i="20"/>
  <c r="AE2175" i="20"/>
  <c r="AG2175" i="20"/>
  <c r="AH2175" i="20" s="1"/>
  <c r="AI2175" i="20"/>
  <c r="AJ2175" i="20"/>
  <c r="AE2135" i="20"/>
  <c r="AG2135" i="20"/>
  <c r="AH2135" i="20" s="1"/>
  <c r="AI2135" i="20"/>
  <c r="AJ2135" i="20"/>
  <c r="AE2103" i="20"/>
  <c r="AG2103" i="20"/>
  <c r="AH2103" i="20" s="1"/>
  <c r="AI2103" i="20"/>
  <c r="AJ2103" i="20"/>
  <c r="AE2063" i="20"/>
  <c r="AG2063" i="20"/>
  <c r="AH2063" i="20" s="1"/>
  <c r="AI2063" i="20"/>
  <c r="AJ2063" i="20"/>
  <c r="AE2039" i="20"/>
  <c r="AG2039" i="20"/>
  <c r="AH2039" i="20" s="1"/>
  <c r="AI2039" i="20"/>
  <c r="AJ2039" i="20"/>
  <c r="AE2007" i="20"/>
  <c r="AG2007" i="20"/>
  <c r="AH2007" i="20" s="1"/>
  <c r="AI2007" i="20"/>
  <c r="AJ2007" i="20"/>
  <c r="AE1991" i="20"/>
  <c r="AG1991" i="20"/>
  <c r="AH1991" i="20" s="1"/>
  <c r="AI1991" i="20"/>
  <c r="AJ1991" i="20"/>
  <c r="AE1943" i="20"/>
  <c r="AG1943" i="20"/>
  <c r="AH1943" i="20" s="1"/>
  <c r="AI1943" i="20"/>
  <c r="AJ1943" i="20"/>
  <c r="AE1911" i="20"/>
  <c r="AG1911" i="20"/>
  <c r="AH1911" i="20" s="1"/>
  <c r="AI1911" i="20"/>
  <c r="AJ1911" i="20"/>
  <c r="AE1879" i="20"/>
  <c r="AG1879" i="20"/>
  <c r="AH1879" i="20" s="1"/>
  <c r="AI1879" i="20"/>
  <c r="AJ1879" i="20"/>
  <c r="AE1839" i="20"/>
  <c r="AG1839" i="20"/>
  <c r="AH1839" i="20" s="1"/>
  <c r="AI1839" i="20"/>
  <c r="AJ1839" i="20"/>
  <c r="AE1799" i="20"/>
  <c r="AG1799" i="20"/>
  <c r="AH1799" i="20" s="1"/>
  <c r="AI1799" i="20"/>
  <c r="AJ1799" i="20"/>
  <c r="AE1759" i="20"/>
  <c r="AG1759" i="20"/>
  <c r="AH1759" i="20" s="1"/>
  <c r="AI1759" i="20"/>
  <c r="AJ1759" i="20"/>
  <c r="AE1711" i="20"/>
  <c r="AG1711" i="20"/>
  <c r="AH1711" i="20" s="1"/>
  <c r="AI1711" i="20"/>
  <c r="AJ1711" i="20"/>
  <c r="AE1687" i="20"/>
  <c r="AG1687" i="20"/>
  <c r="AH1687" i="20" s="1"/>
  <c r="AI1687" i="20"/>
  <c r="AJ1687" i="20"/>
  <c r="AE1647" i="20"/>
  <c r="AG1647" i="20"/>
  <c r="AH1647" i="20" s="1"/>
  <c r="AI1647" i="20"/>
  <c r="AJ1647" i="20"/>
  <c r="AE1607" i="20"/>
  <c r="AG1607" i="20"/>
  <c r="AH1607" i="20" s="1"/>
  <c r="AI1607" i="20"/>
  <c r="AJ1607" i="20"/>
  <c r="AE1575" i="20"/>
  <c r="AG1575" i="20"/>
  <c r="AH1575" i="20" s="1"/>
  <c r="AI1575" i="20"/>
  <c r="AJ1575" i="20"/>
  <c r="AE1527" i="20"/>
  <c r="AG1527" i="20"/>
  <c r="AH1527" i="20" s="1"/>
  <c r="AI1527" i="20"/>
  <c r="AJ1527" i="20"/>
  <c r="AE1479" i="20"/>
  <c r="AG1479" i="20"/>
  <c r="AH1479" i="20" s="1"/>
  <c r="AI1479" i="20"/>
  <c r="AJ1479" i="20"/>
  <c r="AE1439" i="20"/>
  <c r="AG1439" i="20"/>
  <c r="AH1439" i="20" s="1"/>
  <c r="AI1439" i="20"/>
  <c r="AJ1439" i="20"/>
  <c r="AE1407" i="20"/>
  <c r="AG1407" i="20"/>
  <c r="AH1407" i="20" s="1"/>
  <c r="AI1407" i="20"/>
  <c r="AJ1407" i="20"/>
  <c r="AE1367" i="20"/>
  <c r="AG1367" i="20"/>
  <c r="AH1367" i="20" s="1"/>
  <c r="AI1367" i="20"/>
  <c r="AJ1367" i="20"/>
  <c r="AE1303" i="20"/>
  <c r="AG1303" i="20"/>
  <c r="AH1303" i="20" s="1"/>
  <c r="AI1303" i="20"/>
  <c r="AJ1303" i="20"/>
  <c r="AE1199" i="20"/>
  <c r="AG1199" i="20"/>
  <c r="AH1199" i="20" s="1"/>
  <c r="AI1199" i="20"/>
  <c r="AJ1199" i="20"/>
  <c r="AG2407" i="20"/>
  <c r="AH2407" i="20" s="1"/>
  <c r="AG2279" i="20"/>
  <c r="AH2279" i="20" s="1"/>
  <c r="AE2503" i="20"/>
  <c r="AG2503" i="20"/>
  <c r="AH2503" i="20" s="1"/>
  <c r="AI2503" i="20"/>
  <c r="AE2479" i="20"/>
  <c r="AG2479" i="20"/>
  <c r="AH2479" i="20" s="1"/>
  <c r="AI2479" i="20"/>
  <c r="AE2431" i="20"/>
  <c r="AG2431" i="20"/>
  <c r="AH2431" i="20" s="1"/>
  <c r="AI2431" i="20"/>
  <c r="AJ2431" i="20"/>
  <c r="AE2399" i="20"/>
  <c r="AG2399" i="20"/>
  <c r="AH2399" i="20" s="1"/>
  <c r="AI2399" i="20"/>
  <c r="AJ2399" i="20"/>
  <c r="AG2351" i="20"/>
  <c r="AH2351" i="20" s="1"/>
  <c r="AE2351" i="20"/>
  <c r="AI2351" i="20"/>
  <c r="AJ2351" i="20"/>
  <c r="AE2311" i="20"/>
  <c r="AG2311" i="20"/>
  <c r="AH2311" i="20" s="1"/>
  <c r="AI2311" i="20"/>
  <c r="AJ2311" i="20"/>
  <c r="AE2287" i="20"/>
  <c r="AG2287" i="20"/>
  <c r="AH2287" i="20" s="1"/>
  <c r="AI2287" i="20"/>
  <c r="AJ2287" i="20"/>
  <c r="AE2247" i="20"/>
  <c r="AG2247" i="20"/>
  <c r="AH2247" i="20" s="1"/>
  <c r="AI2247" i="20"/>
  <c r="AJ2247" i="20"/>
  <c r="AE2215" i="20"/>
  <c r="AG2215" i="20"/>
  <c r="AH2215" i="20" s="1"/>
  <c r="AI2215" i="20"/>
  <c r="AJ2215" i="20"/>
  <c r="AE2183" i="20"/>
  <c r="AG2183" i="20"/>
  <c r="AH2183" i="20" s="1"/>
  <c r="AI2183" i="20"/>
  <c r="AJ2183" i="20"/>
  <c r="AE2151" i="20"/>
  <c r="AG2151" i="20"/>
  <c r="AH2151" i="20" s="1"/>
  <c r="AI2151" i="20"/>
  <c r="AJ2151" i="20"/>
  <c r="AE2119" i="20"/>
  <c r="AG2119" i="20"/>
  <c r="AH2119" i="20" s="1"/>
  <c r="AI2119" i="20"/>
  <c r="AJ2119" i="20"/>
  <c r="AE2095" i="20"/>
  <c r="AG2095" i="20"/>
  <c r="AH2095" i="20" s="1"/>
  <c r="AI2095" i="20"/>
  <c r="AJ2095" i="20"/>
  <c r="AE2055" i="20"/>
  <c r="AG2055" i="20"/>
  <c r="AH2055" i="20" s="1"/>
  <c r="AI2055" i="20"/>
  <c r="AJ2055" i="20"/>
  <c r="AE2015" i="20"/>
  <c r="AI2015" i="20"/>
  <c r="AJ2015" i="20"/>
  <c r="AE1983" i="20"/>
  <c r="AG1983" i="20"/>
  <c r="AH1983" i="20" s="1"/>
  <c r="AI1983" i="20"/>
  <c r="AJ1983" i="20"/>
  <c r="AE1951" i="20"/>
  <c r="AI1951" i="20"/>
  <c r="AG1951" i="20"/>
  <c r="AH1951" i="20" s="1"/>
  <c r="AJ1951" i="20"/>
  <c r="AE1927" i="20"/>
  <c r="AG1927" i="20"/>
  <c r="AH1927" i="20" s="1"/>
  <c r="AI1927" i="20"/>
  <c r="AJ1927" i="20"/>
  <c r="AE1887" i="20"/>
  <c r="AG1887" i="20"/>
  <c r="AH1887" i="20" s="1"/>
  <c r="AI1887" i="20"/>
  <c r="AJ1887" i="20"/>
  <c r="AE1847" i="20"/>
  <c r="AG1847" i="20"/>
  <c r="AH1847" i="20" s="1"/>
  <c r="AI1847" i="20"/>
  <c r="AJ1847" i="20"/>
  <c r="AE1815" i="20"/>
  <c r="AG1815" i="20"/>
  <c r="AH1815" i="20" s="1"/>
  <c r="AI1815" i="20"/>
  <c r="AJ1815" i="20"/>
  <c r="AE1783" i="20"/>
  <c r="AG1783" i="20"/>
  <c r="AH1783" i="20" s="1"/>
  <c r="AI1783" i="20"/>
  <c r="AJ1783" i="20"/>
  <c r="AE1743" i="20"/>
  <c r="AG1743" i="20"/>
  <c r="AH1743" i="20" s="1"/>
  <c r="AI1743" i="20"/>
  <c r="AJ1743" i="20"/>
  <c r="AE1703" i="20"/>
  <c r="AG1703" i="20"/>
  <c r="AH1703" i="20" s="1"/>
  <c r="AI1703" i="20"/>
  <c r="AJ1703" i="20"/>
  <c r="AE1663" i="20"/>
  <c r="AG1663" i="20"/>
  <c r="AH1663" i="20" s="1"/>
  <c r="AI1663" i="20"/>
  <c r="AJ1663" i="20"/>
  <c r="AE1623" i="20"/>
  <c r="AG1623" i="20"/>
  <c r="AH1623" i="20" s="1"/>
  <c r="AI1623" i="20"/>
  <c r="AJ1623" i="20"/>
  <c r="AE1591" i="20"/>
  <c r="AG1591" i="20"/>
  <c r="AH1591" i="20" s="1"/>
  <c r="AI1591" i="20"/>
  <c r="AJ1591" i="20"/>
  <c r="AE1551" i="20"/>
  <c r="AG1551" i="20"/>
  <c r="AH1551" i="20" s="1"/>
  <c r="AI1551" i="20"/>
  <c r="AJ1551" i="20"/>
  <c r="AE1519" i="20"/>
  <c r="AG1519" i="20"/>
  <c r="AH1519" i="20" s="1"/>
  <c r="AI1519" i="20"/>
  <c r="AJ1519" i="20"/>
  <c r="AE1487" i="20"/>
  <c r="AG1487" i="20"/>
  <c r="AH1487" i="20" s="1"/>
  <c r="AI1487" i="20"/>
  <c r="AJ1487" i="20"/>
  <c r="AE1455" i="20"/>
  <c r="AG1455" i="20"/>
  <c r="AH1455" i="20" s="1"/>
  <c r="AI1455" i="20"/>
  <c r="AJ1455" i="20"/>
  <c r="AE1423" i="20"/>
  <c r="AI1423" i="20"/>
  <c r="AJ1423" i="20"/>
  <c r="AG1423" i="20"/>
  <c r="AH1423" i="20" s="1"/>
  <c r="AE1391" i="20"/>
  <c r="AG1391" i="20"/>
  <c r="AH1391" i="20" s="1"/>
  <c r="AI1391" i="20"/>
  <c r="AJ1391" i="20"/>
  <c r="AE1351" i="20"/>
  <c r="AG1351" i="20"/>
  <c r="AH1351" i="20" s="1"/>
  <c r="AI1351" i="20"/>
  <c r="AJ1351" i="20"/>
  <c r="AE1327" i="20"/>
  <c r="AG1327" i="20"/>
  <c r="AH1327" i="20" s="1"/>
  <c r="AI1327" i="20"/>
  <c r="AJ1327" i="20"/>
  <c r="AE1287" i="20"/>
  <c r="AG1287" i="20"/>
  <c r="AH1287" i="20" s="1"/>
  <c r="AI1287" i="20"/>
  <c r="AJ1287" i="20"/>
  <c r="AE1263" i="20"/>
  <c r="AG1263" i="20"/>
  <c r="AH1263" i="20" s="1"/>
  <c r="AI1263" i="20"/>
  <c r="AJ1263" i="20"/>
  <c r="AE1239" i="20"/>
  <c r="AG1239" i="20"/>
  <c r="AH1239" i="20" s="1"/>
  <c r="AI1239" i="20"/>
  <c r="AJ1239" i="20"/>
  <c r="AE1223" i="20"/>
  <c r="AG1223" i="20"/>
  <c r="AH1223" i="20" s="1"/>
  <c r="AI1223" i="20"/>
  <c r="AJ1223" i="20"/>
  <c r="AE1183" i="20"/>
  <c r="AG1183" i="20"/>
  <c r="AH1183" i="20" s="1"/>
  <c r="AI1183" i="20"/>
  <c r="AJ1183" i="20"/>
  <c r="AE1151" i="20"/>
  <c r="AG1151" i="20"/>
  <c r="AH1151" i="20" s="1"/>
  <c r="AI1151" i="20"/>
  <c r="AJ1151" i="20"/>
  <c r="AK2519" i="20"/>
  <c r="AK2511" i="20"/>
  <c r="AK2503" i="20"/>
  <c r="AK2495" i="20"/>
  <c r="AK2487" i="20"/>
  <c r="AK2479" i="20"/>
  <c r="AK2471" i="20"/>
  <c r="AK2463" i="20"/>
  <c r="AK2455" i="20"/>
  <c r="AK2447" i="20"/>
  <c r="AK2439" i="20"/>
  <c r="AK2431" i="20"/>
  <c r="AK2423" i="20"/>
  <c r="AK2415" i="20"/>
  <c r="AK2407" i="20"/>
  <c r="AK2399" i="20"/>
  <c r="AK2391" i="20"/>
  <c r="AK2383" i="20"/>
  <c r="AK2375" i="20"/>
  <c r="AK2367" i="20"/>
  <c r="AK2359" i="20"/>
  <c r="AK2351" i="20"/>
  <c r="AK2343" i="20"/>
  <c r="AK2335" i="20"/>
  <c r="AK2327" i="20"/>
  <c r="AK2319" i="20"/>
  <c r="AK2311" i="20"/>
  <c r="AK2303" i="20"/>
  <c r="AK2295" i="20"/>
  <c r="AK2287" i="20"/>
  <c r="AK2279" i="20"/>
  <c r="AK2271" i="20"/>
  <c r="AK2263" i="20"/>
  <c r="AK2255" i="20"/>
  <c r="AK2247" i="20"/>
  <c r="AK2239" i="20"/>
  <c r="AK2231" i="20"/>
  <c r="AK2223" i="20"/>
  <c r="AK2215" i="20"/>
  <c r="AK2207" i="20"/>
  <c r="AK2199" i="20"/>
  <c r="AK2191" i="20"/>
  <c r="AK2183" i="20"/>
  <c r="AK2175" i="20"/>
  <c r="AK2167" i="20"/>
  <c r="AK2159" i="20"/>
  <c r="AK2151" i="20"/>
  <c r="AK2143" i="20"/>
  <c r="AK2135" i="20"/>
  <c r="AK2127" i="20"/>
  <c r="AK2119" i="20"/>
  <c r="AK2111" i="20"/>
  <c r="AK2103" i="20"/>
  <c r="AK2095" i="20"/>
  <c r="AK2087" i="20"/>
  <c r="AK2079" i="20"/>
  <c r="AK2071" i="20"/>
  <c r="AK2063" i="20"/>
  <c r="AK2055" i="20"/>
  <c r="AK2047" i="20"/>
  <c r="AK2039" i="20"/>
  <c r="AK2031" i="20"/>
  <c r="AK2023" i="20"/>
  <c r="AK2015" i="20"/>
  <c r="AK2007" i="20"/>
  <c r="AK1999" i="20"/>
  <c r="AK1991" i="20"/>
  <c r="AK1983" i="20"/>
  <c r="AK1975" i="20"/>
  <c r="AK1967" i="20"/>
  <c r="AK1959" i="20"/>
  <c r="AK1951" i="20"/>
  <c r="AK1943" i="20"/>
  <c r="AK1935" i="20"/>
  <c r="AK1927" i="20"/>
  <c r="AK1919" i="20"/>
  <c r="AK1911" i="20"/>
  <c r="AK1903" i="20"/>
  <c r="AK1895" i="20"/>
  <c r="AK1887" i="20"/>
  <c r="AK1879" i="20"/>
  <c r="AK1871" i="20"/>
  <c r="AK1863" i="20"/>
  <c r="AK1855" i="20"/>
  <c r="AK1847" i="20"/>
  <c r="AK1839" i="20"/>
  <c r="AK1831" i="20"/>
  <c r="AK1823" i="20"/>
  <c r="AK1815" i="20"/>
  <c r="AK1807" i="20"/>
  <c r="AK1799" i="20"/>
  <c r="AK1791" i="20"/>
  <c r="AK1783" i="20"/>
  <c r="AK1775" i="20"/>
  <c r="AK1767" i="20"/>
  <c r="AK1759" i="20"/>
  <c r="AK1751" i="20"/>
  <c r="AK1743" i="20"/>
  <c r="AK1735" i="20"/>
  <c r="AK1727" i="20"/>
  <c r="AK1719" i="20"/>
  <c r="AK1711" i="20"/>
  <c r="AK1703" i="20"/>
  <c r="AK1695" i="20"/>
  <c r="AK1687" i="20"/>
  <c r="AK1679" i="20"/>
  <c r="AK1671" i="20"/>
  <c r="AK1663" i="20"/>
  <c r="AK1655" i="20"/>
  <c r="AK1647" i="20"/>
  <c r="AK1639" i="20"/>
  <c r="AK1631" i="20"/>
  <c r="AK1623" i="20"/>
  <c r="AK1615" i="20"/>
  <c r="AK1607" i="20"/>
  <c r="AK1599" i="20"/>
  <c r="AK1591" i="20"/>
  <c r="AK1583" i="20"/>
  <c r="AK1575" i="20"/>
  <c r="AK1567" i="20"/>
  <c r="AK1559" i="20"/>
  <c r="AK1551" i="20"/>
  <c r="AK1543" i="20"/>
  <c r="AK1535" i="20"/>
  <c r="AK1527" i="20"/>
  <c r="AK1519" i="20"/>
  <c r="AK1511" i="20"/>
  <c r="AK1503" i="20"/>
  <c r="AK1495" i="20"/>
  <c r="AK1487" i="20"/>
  <c r="AK1479" i="20"/>
  <c r="AK1471" i="20"/>
  <c r="AK1463" i="20"/>
  <c r="AK1455" i="20"/>
  <c r="AK1447" i="20"/>
  <c r="AK1439" i="20"/>
  <c r="AK1431" i="20"/>
  <c r="AK1423" i="20"/>
  <c r="AK1415" i="20"/>
  <c r="AK1407" i="20"/>
  <c r="AK1399" i="20"/>
  <c r="AK1391" i="20"/>
  <c r="AK1383" i="20"/>
  <c r="AK1375" i="20"/>
  <c r="AK1367" i="20"/>
  <c r="AK1359" i="20"/>
  <c r="AK1351" i="20"/>
  <c r="AK1343" i="20"/>
  <c r="AK1335" i="20"/>
  <c r="AK1327" i="20"/>
  <c r="AK1319" i="20"/>
  <c r="AK1311" i="20"/>
  <c r="AK1303" i="20"/>
  <c r="AK1295" i="20"/>
  <c r="AK1287" i="20"/>
  <c r="AK1279" i="20"/>
  <c r="AK1271" i="20"/>
  <c r="AK1263" i="20"/>
  <c r="AK1255" i="20"/>
  <c r="AK1247" i="20"/>
  <c r="AK1239" i="20"/>
  <c r="AK1231" i="20"/>
  <c r="AK1223" i="20"/>
  <c r="AK1215" i="20"/>
  <c r="AK1207" i="20"/>
  <c r="AK1199" i="20"/>
  <c r="AK1191" i="20"/>
  <c r="AK1183" i="20"/>
  <c r="AK1175" i="20"/>
  <c r="AK1167" i="20"/>
  <c r="AK1159" i="20"/>
  <c r="AK1151" i="20"/>
  <c r="AK1143" i="20"/>
  <c r="AG2355" i="20"/>
  <c r="AH2355" i="20" s="1"/>
  <c r="AG2307" i="20"/>
  <c r="AH2307" i="20" s="1"/>
  <c r="AG2123" i="20"/>
  <c r="AH2123" i="20" s="1"/>
  <c r="AG2075" i="20"/>
  <c r="AH2075" i="20" s="1"/>
  <c r="AE2443" i="20"/>
  <c r="AG2315" i="20"/>
  <c r="AH2315" i="20" s="1"/>
  <c r="AG2267" i="20"/>
  <c r="AH2267" i="20" s="1"/>
  <c r="AG2219" i="20"/>
  <c r="AH2219" i="20" s="1"/>
  <c r="AE2363" i="20"/>
  <c r="AG2363" i="20"/>
  <c r="AH2363" i="20" s="1"/>
  <c r="AE2299" i="20"/>
  <c r="AG2299" i="20"/>
  <c r="AH2299" i="20" s="1"/>
  <c r="AE2235" i="20"/>
  <c r="AG2235" i="20"/>
  <c r="AH2235" i="20" s="1"/>
  <c r="AE2171" i="20"/>
  <c r="AG2171" i="20"/>
  <c r="AH2171" i="20" s="1"/>
  <c r="AE2107" i="20"/>
  <c r="AG2107" i="20"/>
  <c r="AH2107" i="20" s="1"/>
  <c r="AE2043" i="20"/>
  <c r="AG2043" i="20"/>
  <c r="AH2043" i="20" s="1"/>
  <c r="AE1979" i="20"/>
  <c r="AG1979" i="20"/>
  <c r="AH1979" i="20" s="1"/>
  <c r="AE1915" i="20"/>
  <c r="AG1915" i="20"/>
  <c r="AH1915" i="20" s="1"/>
  <c r="AE1851" i="20"/>
  <c r="AG1851" i="20"/>
  <c r="AH1851" i="20" s="1"/>
  <c r="AE1787" i="20"/>
  <c r="AG1787" i="20"/>
  <c r="AH1787" i="20" s="1"/>
  <c r="AE1723" i="20"/>
  <c r="AG1723" i="20"/>
  <c r="AH1723" i="20" s="1"/>
  <c r="AE1683" i="20"/>
  <c r="AG1683" i="20"/>
  <c r="AH1683" i="20" s="1"/>
  <c r="AE1659" i="20"/>
  <c r="AG1659" i="20"/>
  <c r="AH1659" i="20" s="1"/>
  <c r="AE1619" i="20"/>
  <c r="AG1619" i="20"/>
  <c r="AH1619" i="20" s="1"/>
  <c r="AE1595" i="20"/>
  <c r="AG1595" i="20"/>
  <c r="AH1595" i="20" s="1"/>
  <c r="AE1555" i="20"/>
  <c r="AG1555" i="20"/>
  <c r="AH1555" i="20" s="1"/>
  <c r="AE1531" i="20"/>
  <c r="AG1531" i="20"/>
  <c r="AH1531" i="20" s="1"/>
  <c r="AE1491" i="20"/>
  <c r="AG1491" i="20"/>
  <c r="AH1491" i="20" s="1"/>
  <c r="AE1467" i="20"/>
  <c r="AG1467" i="20"/>
  <c r="AH1467" i="20" s="1"/>
  <c r="AE1427" i="20"/>
  <c r="AG1427" i="20"/>
  <c r="AH1427" i="20" s="1"/>
  <c r="AE1403" i="20"/>
  <c r="AG1403" i="20"/>
  <c r="AH1403" i="20" s="1"/>
  <c r="AE1363" i="20"/>
  <c r="AG1363" i="20"/>
  <c r="AH1363" i="20" s="1"/>
  <c r="AE1339" i="20"/>
  <c r="AG1339" i="20"/>
  <c r="AH1339" i="20" s="1"/>
  <c r="AE1299" i="20"/>
  <c r="AG1299" i="20"/>
  <c r="AH1299" i="20" s="1"/>
  <c r="AE1275" i="20"/>
  <c r="AG1275" i="20"/>
  <c r="AH1275" i="20" s="1"/>
  <c r="AE1235" i="20"/>
  <c r="AG1235" i="20"/>
  <c r="AH1235" i="20" s="1"/>
  <c r="AE1211" i="20"/>
  <c r="AG1211" i="20"/>
  <c r="AH1211" i="20" s="1"/>
  <c r="AE1171" i="20"/>
  <c r="AG1171" i="20"/>
  <c r="AH1171" i="20" s="1"/>
  <c r="AE1147" i="20"/>
  <c r="AG1147" i="20"/>
  <c r="AH1147" i="20" s="1"/>
  <c r="AG2515" i="20"/>
  <c r="AH2515" i="20" s="1"/>
  <c r="AG2507" i="20"/>
  <c r="AH2507" i="20" s="1"/>
  <c r="AG2499" i="20"/>
  <c r="AH2499" i="20" s="1"/>
  <c r="AG2491" i="20"/>
  <c r="AH2491" i="20" s="1"/>
  <c r="AG2483" i="20"/>
  <c r="AH2483" i="20" s="1"/>
  <c r="AG2475" i="20"/>
  <c r="AH2475" i="20" s="1"/>
  <c r="AG2467" i="20"/>
  <c r="AH2467" i="20" s="1"/>
  <c r="AG2459" i="20"/>
  <c r="AH2459" i="20" s="1"/>
  <c r="AG2451" i="20"/>
  <c r="AH2451" i="20" s="1"/>
  <c r="AG2435" i="20"/>
  <c r="AH2435" i="20" s="1"/>
  <c r="AG2427" i="20"/>
  <c r="AH2427" i="20" s="1"/>
  <c r="AG2419" i="20"/>
  <c r="AH2419" i="20" s="1"/>
  <c r="AG2411" i="20"/>
  <c r="AH2411" i="20" s="1"/>
  <c r="AG2403" i="20"/>
  <c r="AH2403" i="20" s="1"/>
  <c r="AG2395" i="20"/>
  <c r="AH2395" i="20" s="1"/>
  <c r="AG2387" i="20"/>
  <c r="AH2387" i="20" s="1"/>
  <c r="AG2379" i="20"/>
  <c r="AH2379" i="20" s="1"/>
  <c r="AG2371" i="20"/>
  <c r="AH2371" i="20" s="1"/>
  <c r="AG2187" i="20"/>
  <c r="AH2187" i="20" s="1"/>
  <c r="AG2139" i="20"/>
  <c r="AH2139" i="20" s="1"/>
  <c r="AE2345" i="20"/>
  <c r="AG2345" i="20"/>
  <c r="AH2345" i="20" s="1"/>
  <c r="AE2281" i="20"/>
  <c r="AG2281" i="20"/>
  <c r="AH2281" i="20" s="1"/>
  <c r="AE2217" i="20"/>
  <c r="AG2217" i="20"/>
  <c r="AH2217" i="20" s="1"/>
  <c r="AE2153" i="20"/>
  <c r="AG2153" i="20"/>
  <c r="AH2153" i="20" s="1"/>
  <c r="AE2089" i="20"/>
  <c r="AG2089" i="20"/>
  <c r="AH2089" i="20" s="1"/>
  <c r="AE1961" i="20"/>
  <c r="AG1961" i="20"/>
  <c r="AH1961" i="20" s="1"/>
  <c r="AE1897" i="20"/>
  <c r="AG1897" i="20"/>
  <c r="AH1897" i="20" s="1"/>
  <c r="AE1833" i="20"/>
  <c r="AG1833" i="20"/>
  <c r="AH1833" i="20" s="1"/>
  <c r="AE1769" i="20"/>
  <c r="AG1769" i="20"/>
  <c r="AH1769" i="20" s="1"/>
  <c r="AE1705" i="20"/>
  <c r="AG1705" i="20"/>
  <c r="AH1705" i="20" s="1"/>
  <c r="AE1665" i="20"/>
  <c r="AG1665" i="20"/>
  <c r="AH1665" i="20" s="1"/>
  <c r="AG1641" i="20"/>
  <c r="AH1641" i="20" s="1"/>
  <c r="AE1641" i="20"/>
  <c r="AE1601" i="20"/>
  <c r="AG1601" i="20"/>
  <c r="AH1601" i="20" s="1"/>
  <c r="AE1577" i="20"/>
  <c r="AG1577" i="20"/>
  <c r="AH1577" i="20" s="1"/>
  <c r="AE1537" i="20"/>
  <c r="AG1537" i="20"/>
  <c r="AH1537" i="20" s="1"/>
  <c r="AE1513" i="20"/>
  <c r="AG1513" i="20"/>
  <c r="AH1513" i="20" s="1"/>
  <c r="AE1473" i="20"/>
  <c r="AG1473" i="20"/>
  <c r="AH1473" i="20" s="1"/>
  <c r="AE1449" i="20"/>
  <c r="AG1449" i="20"/>
  <c r="AH1449" i="20" s="1"/>
  <c r="AE1409" i="20"/>
  <c r="AG1409" i="20"/>
  <c r="AH1409" i="20" s="1"/>
  <c r="AE1385" i="20"/>
  <c r="AG1385" i="20"/>
  <c r="AH1385" i="20" s="1"/>
  <c r="AE1345" i="20"/>
  <c r="AG1345" i="20"/>
  <c r="AH1345" i="20" s="1"/>
  <c r="AE1321" i="20"/>
  <c r="AG1321" i="20"/>
  <c r="AH1321" i="20" s="1"/>
  <c r="AE1281" i="20"/>
  <c r="AG1281" i="20"/>
  <c r="AH1281" i="20" s="1"/>
  <c r="AE1257" i="20"/>
  <c r="AG1257" i="20"/>
  <c r="AH1257" i="20" s="1"/>
  <c r="AE1217" i="20"/>
  <c r="AG1217" i="20"/>
  <c r="AH1217" i="20" s="1"/>
  <c r="AE1193" i="20"/>
  <c r="AG1193" i="20"/>
  <c r="AH1193" i="20" s="1"/>
  <c r="AE1153" i="20"/>
  <c r="AG1153" i="20"/>
  <c r="AH1153" i="20" s="1"/>
  <c r="AG2339" i="20"/>
  <c r="AH2339" i="20" s="1"/>
  <c r="AG2291" i="20"/>
  <c r="AH2291" i="20" s="1"/>
  <c r="AG2243" i="20"/>
  <c r="AH2243" i="20" s="1"/>
  <c r="AG2059" i="20"/>
  <c r="AH2059" i="20" s="1"/>
  <c r="AG2011" i="20"/>
  <c r="AH2011" i="20" s="1"/>
  <c r="AG1963" i="20"/>
  <c r="AH1963" i="20" s="1"/>
  <c r="AG1875" i="20"/>
  <c r="AH1875" i="20" s="1"/>
  <c r="AE2204" i="20"/>
  <c r="AE2124" i="20"/>
  <c r="AG1083" i="20"/>
  <c r="AH1083" i="20" s="1"/>
  <c r="AG1019" i="20"/>
  <c r="AH1019" i="20" s="1"/>
  <c r="AG955" i="20"/>
  <c r="AH955" i="20" s="1"/>
  <c r="AG891" i="20"/>
  <c r="AH891" i="20" s="1"/>
  <c r="AG827" i="20"/>
  <c r="AH827" i="20" s="1"/>
  <c r="AG763" i="20"/>
  <c r="AH763" i="20" s="1"/>
  <c r="AG699" i="20"/>
  <c r="AH699" i="20" s="1"/>
  <c r="AG635" i="20"/>
  <c r="AH635" i="20" s="1"/>
  <c r="AG571" i="20"/>
  <c r="AH571" i="20" s="1"/>
  <c r="AG507" i="20"/>
  <c r="AH507" i="20" s="1"/>
  <c r="AG443" i="20"/>
  <c r="AH443" i="20" s="1"/>
  <c r="AE2260" i="20"/>
  <c r="AE1076" i="20"/>
  <c r="AE2364" i="20"/>
  <c r="AG2364" i="20"/>
  <c r="AH2364" i="20" s="1"/>
  <c r="AE2356" i="20"/>
  <c r="AG2356" i="20"/>
  <c r="AH2356" i="20" s="1"/>
  <c r="AG2348" i="20"/>
  <c r="AH2348" i="20" s="1"/>
  <c r="AE2348" i="20"/>
  <c r="AG2340" i="20"/>
  <c r="AH2340" i="20" s="1"/>
  <c r="AE2340" i="20"/>
  <c r="AG2324" i="20"/>
  <c r="AH2324" i="20" s="1"/>
  <c r="AE2324" i="20"/>
  <c r="AE2316" i="20"/>
  <c r="AG2316" i="20"/>
  <c r="AH2316" i="20" s="1"/>
  <c r="AE2308" i="20"/>
  <c r="AG2308" i="20"/>
  <c r="AH2308" i="20" s="1"/>
  <c r="AE2300" i="20"/>
  <c r="AG2300" i="20"/>
  <c r="AH2300" i="20" s="1"/>
  <c r="AE2292" i="20"/>
  <c r="AG2292" i="20"/>
  <c r="AH2292" i="20" s="1"/>
  <c r="AE2284" i="20"/>
  <c r="AG2284" i="20"/>
  <c r="AH2284" i="20" s="1"/>
  <c r="AG2276" i="20"/>
  <c r="AH2276" i="20" s="1"/>
  <c r="AE2276" i="20"/>
  <c r="AG2268" i="20"/>
  <c r="AH2268" i="20" s="1"/>
  <c r="AE2268" i="20"/>
  <c r="AE2252" i="20"/>
  <c r="AG2252" i="20"/>
  <c r="AH2252" i="20" s="1"/>
  <c r="AE2244" i="20"/>
  <c r="AG2244" i="20"/>
  <c r="AH2244" i="20" s="1"/>
  <c r="AE2236" i="20"/>
  <c r="AG2236" i="20"/>
  <c r="AH2236" i="20" s="1"/>
  <c r="AE2228" i="20"/>
  <c r="AG2228" i="20"/>
  <c r="AH2228" i="20" s="1"/>
  <c r="AG2220" i="20"/>
  <c r="AH2220" i="20" s="1"/>
  <c r="AE2220" i="20"/>
  <c r="AG2212" i="20"/>
  <c r="AH2212" i="20" s="1"/>
  <c r="AE2212" i="20"/>
  <c r="AG2196" i="20"/>
  <c r="AH2196" i="20" s="1"/>
  <c r="AE2196" i="20"/>
  <c r="AE2188" i="20"/>
  <c r="AG2188" i="20"/>
  <c r="AH2188" i="20" s="1"/>
  <c r="AE2180" i="20"/>
  <c r="AG2180" i="20"/>
  <c r="AH2180" i="20" s="1"/>
  <c r="AE2172" i="20"/>
  <c r="AG2172" i="20"/>
  <c r="AH2172" i="20" s="1"/>
  <c r="AG2164" i="20"/>
  <c r="AH2164" i="20" s="1"/>
  <c r="AE2164" i="20"/>
  <c r="AG2156" i="20"/>
  <c r="AH2156" i="20" s="1"/>
  <c r="AE2156" i="20"/>
  <c r="AE2148" i="20"/>
  <c r="AG2148" i="20"/>
  <c r="AH2148" i="20" s="1"/>
  <c r="AE2140" i="20"/>
  <c r="AG2140" i="20"/>
  <c r="AH2140" i="20" s="1"/>
  <c r="AE2132" i="20"/>
  <c r="AG2132" i="20"/>
  <c r="AH2132" i="20" s="1"/>
  <c r="AE2116" i="20"/>
  <c r="AG2116" i="20"/>
  <c r="AH2116" i="20" s="1"/>
  <c r="AE2108" i="20"/>
  <c r="AG2108" i="20"/>
  <c r="AH2108" i="20" s="1"/>
  <c r="AG2100" i="20"/>
  <c r="AH2100" i="20" s="1"/>
  <c r="AE2100" i="20"/>
  <c r="AG2092" i="20"/>
  <c r="AH2092" i="20" s="1"/>
  <c r="AE2092" i="20"/>
  <c r="AE2084" i="20"/>
  <c r="AG2084" i="20"/>
  <c r="AH2084" i="20" s="1"/>
  <c r="AE2076" i="20"/>
  <c r="AG2076" i="20"/>
  <c r="AH2076" i="20" s="1"/>
  <c r="AE2068" i="20"/>
  <c r="AG2068" i="20"/>
  <c r="AH2068" i="20" s="1"/>
  <c r="AE2060" i="20"/>
  <c r="AG2060" i="20"/>
  <c r="AH2060" i="20" s="1"/>
  <c r="AG2052" i="20"/>
  <c r="AH2052" i="20" s="1"/>
  <c r="AE2052" i="20"/>
  <c r="AE2044" i="20"/>
  <c r="AG2044" i="20"/>
  <c r="AH2044" i="20" s="1"/>
  <c r="AG2036" i="20"/>
  <c r="AH2036" i="20" s="1"/>
  <c r="AE2036" i="20"/>
  <c r="AE2028" i="20"/>
  <c r="AG2028" i="20"/>
  <c r="AH2028" i="20" s="1"/>
  <c r="AG2020" i="20"/>
  <c r="AH2020" i="20" s="1"/>
  <c r="AE2020" i="20"/>
  <c r="AE2012" i="20"/>
  <c r="AG2012" i="20"/>
  <c r="AH2012" i="20" s="1"/>
  <c r="AE2004" i="20"/>
  <c r="AG2004" i="20"/>
  <c r="AH2004" i="20" s="1"/>
  <c r="AE1996" i="20"/>
  <c r="AG1996" i="20"/>
  <c r="AH1996" i="20" s="1"/>
  <c r="AE1988" i="20"/>
  <c r="AG1988" i="20"/>
  <c r="AH1988" i="20" s="1"/>
  <c r="AG1980" i="20"/>
  <c r="AH1980" i="20" s="1"/>
  <c r="AE1980" i="20"/>
  <c r="AE1972" i="20"/>
  <c r="AG1972" i="20"/>
  <c r="AH1972" i="20" s="1"/>
  <c r="AE1956" i="20"/>
  <c r="AG1956" i="20"/>
  <c r="AH1956" i="20" s="1"/>
  <c r="AE1948" i="20"/>
  <c r="AG1948" i="20"/>
  <c r="AH1948" i="20" s="1"/>
  <c r="AE1940" i="20"/>
  <c r="AG1940" i="20"/>
  <c r="AH1940" i="20" s="1"/>
  <c r="AE1932" i="20"/>
  <c r="AG1932" i="20"/>
  <c r="AH1932" i="20" s="1"/>
  <c r="AG1924" i="20"/>
  <c r="AH1924" i="20" s="1"/>
  <c r="AE1924" i="20"/>
  <c r="AE1916" i="20"/>
  <c r="AG1916" i="20"/>
  <c r="AH1916" i="20" s="1"/>
  <c r="AE1900" i="20"/>
  <c r="AG1900" i="20"/>
  <c r="AH1900" i="20" s="1"/>
  <c r="AG1892" i="20"/>
  <c r="AH1892" i="20" s="1"/>
  <c r="AE1892" i="20"/>
  <c r="AE1884" i="20"/>
  <c r="AG1884" i="20"/>
  <c r="AH1884" i="20" s="1"/>
  <c r="AE1876" i="20"/>
  <c r="AG1876" i="20"/>
  <c r="AH1876" i="20" s="1"/>
  <c r="AE1868" i="20"/>
  <c r="AG1868" i="20"/>
  <c r="AH1868" i="20" s="1"/>
  <c r="AE1860" i="20"/>
  <c r="AG1860" i="20"/>
  <c r="AH1860" i="20" s="1"/>
  <c r="AE1852" i="20"/>
  <c r="AG1852" i="20"/>
  <c r="AH1852" i="20" s="1"/>
  <c r="AG1844" i="20"/>
  <c r="AH1844" i="20" s="1"/>
  <c r="AE1844" i="20"/>
  <c r="AE1836" i="20"/>
  <c r="AG1836" i="20"/>
  <c r="AH1836" i="20" s="1"/>
  <c r="AE1828" i="20"/>
  <c r="AG1828" i="20"/>
  <c r="AH1828" i="20" s="1"/>
  <c r="AE1820" i="20"/>
  <c r="AG1820" i="20"/>
  <c r="AH1820" i="20" s="1"/>
  <c r="AE1812" i="20"/>
  <c r="AG1812" i="20"/>
  <c r="AH1812" i="20" s="1"/>
  <c r="AE1804" i="20"/>
  <c r="AG1804" i="20"/>
  <c r="AH1804" i="20" s="1"/>
  <c r="AE1796" i="20"/>
  <c r="AG1796" i="20"/>
  <c r="AH1796" i="20" s="1"/>
  <c r="AG1788" i="20"/>
  <c r="AH1788" i="20" s="1"/>
  <c r="AE1788" i="20"/>
  <c r="AE1780" i="20"/>
  <c r="AG1780" i="20"/>
  <c r="AH1780" i="20" s="1"/>
  <c r="AG1772" i="20"/>
  <c r="AH1772" i="20" s="1"/>
  <c r="AE1772" i="20"/>
  <c r="AE1764" i="20"/>
  <c r="AG1764" i="20"/>
  <c r="AH1764" i="20" s="1"/>
  <c r="AE1756" i="20"/>
  <c r="AG1756" i="20"/>
  <c r="AH1756" i="20" s="1"/>
  <c r="AE1748" i="20"/>
  <c r="AG1748" i="20"/>
  <c r="AH1748" i="20" s="1"/>
  <c r="AE1740" i="20"/>
  <c r="AG1740" i="20"/>
  <c r="AH1740" i="20" s="1"/>
  <c r="AE1724" i="20"/>
  <c r="AG1724" i="20"/>
  <c r="AH1724" i="20" s="1"/>
  <c r="AE1716" i="20"/>
  <c r="AG1716" i="20"/>
  <c r="AH1716" i="20" s="1"/>
  <c r="AE1708" i="20"/>
  <c r="AG1708" i="20"/>
  <c r="AH1708" i="20" s="1"/>
  <c r="AG1692" i="20"/>
  <c r="AH1692" i="20" s="1"/>
  <c r="AE1692" i="20"/>
  <c r="AE1684" i="20"/>
  <c r="AG1684" i="20"/>
  <c r="AH1684" i="20" s="1"/>
  <c r="AE1676" i="20"/>
  <c r="AG1676" i="20"/>
  <c r="AH1676" i="20" s="1"/>
  <c r="AE1668" i="20"/>
  <c r="AG1668" i="20"/>
  <c r="AH1668" i="20" s="1"/>
  <c r="AE1660" i="20"/>
  <c r="AG1660" i="20"/>
  <c r="AH1660" i="20" s="1"/>
  <c r="AE1652" i="20"/>
  <c r="AG1652" i="20"/>
  <c r="AH1652" i="20" s="1"/>
  <c r="AE1644" i="20"/>
  <c r="AG1644" i="20"/>
  <c r="AH1644" i="20" s="1"/>
  <c r="AE1636" i="20"/>
  <c r="AG1636" i="20"/>
  <c r="AH1636" i="20" s="1"/>
  <c r="AE1628" i="20"/>
  <c r="AG1628" i="20"/>
  <c r="AH1628" i="20" s="1"/>
  <c r="AE1620" i="20"/>
  <c r="AG1620" i="20"/>
  <c r="AH1620" i="20" s="1"/>
  <c r="AE1612" i="20"/>
  <c r="AG1612" i="20"/>
  <c r="AH1612" i="20" s="1"/>
  <c r="AE1604" i="20"/>
  <c r="AG1604" i="20"/>
  <c r="AH1604" i="20" s="1"/>
  <c r="AE1596" i="20"/>
  <c r="AG1596" i="20"/>
  <c r="AH1596" i="20" s="1"/>
  <c r="AG1580" i="20"/>
  <c r="AH1580" i="20" s="1"/>
  <c r="AE1580" i="20"/>
  <c r="AE1572" i="20"/>
  <c r="AG1572" i="20"/>
  <c r="AH1572" i="20" s="1"/>
  <c r="AE1564" i="20"/>
  <c r="AG1564" i="20"/>
  <c r="AH1564" i="20" s="1"/>
  <c r="AG1556" i="20"/>
  <c r="AH1556" i="20" s="1"/>
  <c r="AE1556" i="20"/>
  <c r="AE1548" i="20"/>
  <c r="AG1548" i="20"/>
  <c r="AH1548" i="20" s="1"/>
  <c r="AE1540" i="20"/>
  <c r="AG1540" i="20"/>
  <c r="AH1540" i="20" s="1"/>
  <c r="AE1532" i="20"/>
  <c r="AG1532" i="20"/>
  <c r="AH1532" i="20" s="1"/>
  <c r="AE1524" i="20"/>
  <c r="AG1524" i="20"/>
  <c r="AH1524" i="20" s="1"/>
  <c r="AE1516" i="20"/>
  <c r="AG1516" i="20"/>
  <c r="AH1516" i="20" s="1"/>
  <c r="AE1508" i="20"/>
  <c r="AG1508" i="20"/>
  <c r="AH1508" i="20" s="1"/>
  <c r="AE1500" i="20"/>
  <c r="AG1500" i="20"/>
  <c r="AH1500" i="20" s="1"/>
  <c r="AE1492" i="20"/>
  <c r="AG1492" i="20"/>
  <c r="AH1492" i="20" s="1"/>
  <c r="AE1484" i="20"/>
  <c r="AG1484" i="20"/>
  <c r="AH1484" i="20" s="1"/>
  <c r="AE1468" i="20"/>
  <c r="AG1468" i="20"/>
  <c r="AH1468" i="20" s="1"/>
  <c r="AE1460" i="20"/>
  <c r="AG1460" i="20"/>
  <c r="AH1460" i="20" s="1"/>
  <c r="AE1452" i="20"/>
  <c r="AG1452" i="20"/>
  <c r="AH1452" i="20" s="1"/>
  <c r="AG1444" i="20"/>
  <c r="AH1444" i="20" s="1"/>
  <c r="AE1444" i="20"/>
  <c r="AE1436" i="20"/>
  <c r="AG1436" i="20"/>
  <c r="AH1436" i="20" s="1"/>
  <c r="AE1428" i="20"/>
  <c r="AG1428" i="20"/>
  <c r="AH1428" i="20" s="1"/>
  <c r="AE1420" i="20"/>
  <c r="AG1420" i="20"/>
  <c r="AH1420" i="20" s="1"/>
  <c r="AE1412" i="20"/>
  <c r="AG1412" i="20"/>
  <c r="AH1412" i="20" s="1"/>
  <c r="AE1404" i="20"/>
  <c r="AG1404" i="20"/>
  <c r="AH1404" i="20" s="1"/>
  <c r="AE1396" i="20"/>
  <c r="AG1396" i="20"/>
  <c r="AH1396" i="20" s="1"/>
  <c r="AE1388" i="20"/>
  <c r="AG1388" i="20"/>
  <c r="AH1388" i="20" s="1"/>
  <c r="AE1380" i="20"/>
  <c r="AG1380" i="20"/>
  <c r="AH1380" i="20" s="1"/>
  <c r="AE1372" i="20"/>
  <c r="AG1372" i="20"/>
  <c r="AH1372" i="20" s="1"/>
  <c r="AE1364" i="20"/>
  <c r="AG1364" i="20"/>
  <c r="AH1364" i="20" s="1"/>
  <c r="AE1356" i="20"/>
  <c r="AG1356" i="20"/>
  <c r="AH1356" i="20" s="1"/>
  <c r="AE1348" i="20"/>
  <c r="AG1348" i="20"/>
  <c r="AH1348" i="20" s="1"/>
  <c r="AE1340" i="20"/>
  <c r="AG1340" i="20"/>
  <c r="AH1340" i="20" s="1"/>
  <c r="AE1332" i="20"/>
  <c r="AG1332" i="20"/>
  <c r="AH1332" i="20" s="1"/>
  <c r="AE1324" i="20"/>
  <c r="AG1324" i="20"/>
  <c r="AH1324" i="20" s="1"/>
  <c r="AE1316" i="20"/>
  <c r="AG1316" i="20"/>
  <c r="AH1316" i="20" s="1"/>
  <c r="AE1300" i="20"/>
  <c r="AG1300" i="20"/>
  <c r="AH1300" i="20" s="1"/>
  <c r="AE1292" i="20"/>
  <c r="AG1292" i="20"/>
  <c r="AH1292" i="20" s="1"/>
  <c r="AE1284" i="20"/>
  <c r="AG1284" i="20"/>
  <c r="AH1284" i="20" s="1"/>
  <c r="AE1276" i="20"/>
  <c r="AG1276" i="20"/>
  <c r="AH1276" i="20" s="1"/>
  <c r="AE1268" i="20"/>
  <c r="AG1268" i="20"/>
  <c r="AH1268" i="20" s="1"/>
  <c r="AE1260" i="20"/>
  <c r="AG1260" i="20"/>
  <c r="AH1260" i="20" s="1"/>
  <c r="AE1252" i="20"/>
  <c r="AG1252" i="20"/>
  <c r="AH1252" i="20" s="1"/>
  <c r="AE1244" i="20"/>
  <c r="AG1244" i="20"/>
  <c r="AH1244" i="20" s="1"/>
  <c r="AE1236" i="20"/>
  <c r="AG1236" i="20"/>
  <c r="AH1236" i="20" s="1"/>
  <c r="AE1228" i="20"/>
  <c r="AG1228" i="20"/>
  <c r="AH1228" i="20" s="1"/>
  <c r="AE1220" i="20"/>
  <c r="AG1220" i="20"/>
  <c r="AH1220" i="20" s="1"/>
  <c r="AE1212" i="20"/>
  <c r="AG1212" i="20"/>
  <c r="AH1212" i="20" s="1"/>
  <c r="AE1204" i="20"/>
  <c r="AG1204" i="20"/>
  <c r="AH1204" i="20" s="1"/>
  <c r="AE1196" i="20"/>
  <c r="AG1196" i="20"/>
  <c r="AH1196" i="20" s="1"/>
  <c r="AE1188" i="20"/>
  <c r="AG1188" i="20"/>
  <c r="AH1188" i="20" s="1"/>
  <c r="AE1180" i="20"/>
  <c r="AG1180" i="20"/>
  <c r="AH1180" i="20" s="1"/>
  <c r="AE1172" i="20"/>
  <c r="AG1172" i="20"/>
  <c r="AH1172" i="20" s="1"/>
  <c r="AE1164" i="20"/>
  <c r="AG1164" i="20"/>
  <c r="AH1164" i="20" s="1"/>
  <c r="AE1156" i="20"/>
  <c r="AG1156" i="20"/>
  <c r="AH1156" i="20" s="1"/>
  <c r="AE1148" i="20"/>
  <c r="AG1148" i="20"/>
  <c r="AH1148" i="20" s="1"/>
  <c r="AE1140" i="20"/>
  <c r="AG1140" i="20"/>
  <c r="AH1140" i="20" s="1"/>
  <c r="AE1132" i="20"/>
  <c r="AG1132" i="20"/>
  <c r="AH1132" i="20" s="1"/>
  <c r="AE1124" i="20"/>
  <c r="AG1124" i="20"/>
  <c r="AH1124" i="20" s="1"/>
  <c r="AE1116" i="20"/>
  <c r="AG1116" i="20"/>
  <c r="AH1116" i="20" s="1"/>
  <c r="AE1108" i="20"/>
  <c r="AG1108" i="20"/>
  <c r="AH1108" i="20" s="1"/>
  <c r="AE1100" i="20"/>
  <c r="AG1100" i="20"/>
  <c r="AH1100" i="20" s="1"/>
  <c r="AE1092" i="20"/>
  <c r="AG1092" i="20"/>
  <c r="AH1092" i="20" s="1"/>
  <c r="AE1084" i="20"/>
  <c r="AG1084" i="20"/>
  <c r="AH1084" i="20" s="1"/>
  <c r="AE1068" i="20"/>
  <c r="AG1068" i="20"/>
  <c r="AH1068" i="20" s="1"/>
  <c r="AE1052" i="20"/>
  <c r="AG1052" i="20"/>
  <c r="AH1052" i="20" s="1"/>
  <c r="AG1044" i="20"/>
  <c r="AH1044" i="20" s="1"/>
  <c r="AE1044" i="20"/>
  <c r="AE1036" i="20"/>
  <c r="AG1036" i="20"/>
  <c r="AH1036" i="20" s="1"/>
  <c r="AE1028" i="20"/>
  <c r="AG1028" i="20"/>
  <c r="AH1028" i="20" s="1"/>
  <c r="AE1020" i="20"/>
  <c r="AG1020" i="20"/>
  <c r="AH1020" i="20" s="1"/>
  <c r="AE1012" i="20"/>
  <c r="AG1012" i="20"/>
  <c r="AH1012" i="20" s="1"/>
  <c r="AE1004" i="20"/>
  <c r="AG1004" i="20"/>
  <c r="AH1004" i="20" s="1"/>
  <c r="AE996" i="20"/>
  <c r="AG996" i="20"/>
  <c r="AH996" i="20" s="1"/>
  <c r="AE988" i="20"/>
  <c r="AG988" i="20"/>
  <c r="AH988" i="20" s="1"/>
  <c r="AE980" i="20"/>
  <c r="AG980" i="20"/>
  <c r="AH980" i="20" s="1"/>
  <c r="AE972" i="20"/>
  <c r="AG972" i="20"/>
  <c r="AH972" i="20" s="1"/>
  <c r="AE964" i="20"/>
  <c r="AG964" i="20"/>
  <c r="AH964" i="20" s="1"/>
  <c r="AE956" i="20"/>
  <c r="AG956" i="20"/>
  <c r="AH956" i="20" s="1"/>
  <c r="AE948" i="20"/>
  <c r="AG948" i="20"/>
  <c r="AH948" i="20" s="1"/>
  <c r="AE940" i="20"/>
  <c r="AG940" i="20"/>
  <c r="AH940" i="20" s="1"/>
  <c r="AE932" i="20"/>
  <c r="AG932" i="20"/>
  <c r="AH932" i="20" s="1"/>
  <c r="AE924" i="20"/>
  <c r="AG924" i="20"/>
  <c r="AH924" i="20" s="1"/>
  <c r="AE916" i="20"/>
  <c r="AG916" i="20"/>
  <c r="AH916" i="20" s="1"/>
  <c r="AE908" i="20"/>
  <c r="AG908" i="20"/>
  <c r="AH908" i="20" s="1"/>
  <c r="AE900" i="20"/>
  <c r="AG900" i="20"/>
  <c r="AH900" i="20" s="1"/>
  <c r="AE892" i="20"/>
  <c r="AG892" i="20"/>
  <c r="AH892" i="20" s="1"/>
  <c r="AE884" i="20"/>
  <c r="AG884" i="20"/>
  <c r="AH884" i="20" s="1"/>
  <c r="AE876" i="20"/>
  <c r="AG876" i="20"/>
  <c r="AH876" i="20" s="1"/>
  <c r="AE868" i="20"/>
  <c r="AG868" i="20"/>
  <c r="AH868" i="20" s="1"/>
  <c r="AE860" i="20"/>
  <c r="AG860" i="20"/>
  <c r="AH860" i="20" s="1"/>
  <c r="AE852" i="20"/>
  <c r="AG852" i="20"/>
  <c r="AH852" i="20" s="1"/>
  <c r="AE844" i="20"/>
  <c r="AG844" i="20"/>
  <c r="AH844" i="20" s="1"/>
  <c r="AE836" i="20"/>
  <c r="AG836" i="20"/>
  <c r="AH836" i="20" s="1"/>
  <c r="AE828" i="20"/>
  <c r="AG828" i="20"/>
  <c r="AH828" i="20" s="1"/>
  <c r="AE820" i="20"/>
  <c r="AG820" i="20"/>
  <c r="AH820" i="20" s="1"/>
  <c r="AE812" i="20"/>
  <c r="AG812" i="20"/>
  <c r="AH812" i="20" s="1"/>
  <c r="AE804" i="20"/>
  <c r="AG804" i="20"/>
  <c r="AH804" i="20" s="1"/>
  <c r="AE796" i="20"/>
  <c r="AG796" i="20"/>
  <c r="AH796" i="20" s="1"/>
  <c r="AE788" i="20"/>
  <c r="AG788" i="20"/>
  <c r="AH788" i="20" s="1"/>
  <c r="AE780" i="20"/>
  <c r="AG780" i="20"/>
  <c r="AH780" i="20" s="1"/>
  <c r="AE772" i="20"/>
  <c r="AG772" i="20"/>
  <c r="AH772" i="20" s="1"/>
  <c r="AE764" i="20"/>
  <c r="AG764" i="20"/>
  <c r="AH764" i="20" s="1"/>
  <c r="AE756" i="20"/>
  <c r="AG756" i="20"/>
  <c r="AH756" i="20" s="1"/>
  <c r="AG748" i="20"/>
  <c r="AH748" i="20" s="1"/>
  <c r="AE748" i="20"/>
  <c r="AE740" i="20"/>
  <c r="AG740" i="20"/>
  <c r="AH740" i="20" s="1"/>
  <c r="AE732" i="20"/>
  <c r="AG732" i="20"/>
  <c r="AH732" i="20" s="1"/>
  <c r="AE724" i="20"/>
  <c r="AG724" i="20"/>
  <c r="AH724" i="20" s="1"/>
  <c r="AE716" i="20"/>
  <c r="AG716" i="20"/>
  <c r="AH716" i="20" s="1"/>
  <c r="AE708" i="20"/>
  <c r="AG708" i="20"/>
  <c r="AH708" i="20" s="1"/>
  <c r="AE700" i="20"/>
  <c r="AG700" i="20"/>
  <c r="AH700" i="20" s="1"/>
  <c r="AE692" i="20"/>
  <c r="AG692" i="20"/>
  <c r="AH692" i="20" s="1"/>
  <c r="AE684" i="20"/>
  <c r="AG684" i="20"/>
  <c r="AH684" i="20" s="1"/>
  <c r="AE676" i="20"/>
  <c r="AG676" i="20"/>
  <c r="AH676" i="20" s="1"/>
  <c r="AE668" i="20"/>
  <c r="AG668" i="20"/>
  <c r="AH668" i="20" s="1"/>
  <c r="AE660" i="20"/>
  <c r="AG660" i="20"/>
  <c r="AH660" i="20" s="1"/>
  <c r="AE652" i="20"/>
  <c r="AG652" i="20"/>
  <c r="AH652" i="20" s="1"/>
  <c r="AE644" i="20"/>
  <c r="AG644" i="20"/>
  <c r="AH644" i="20" s="1"/>
  <c r="AE636" i="20"/>
  <c r="AG636" i="20"/>
  <c r="AH636" i="20" s="1"/>
  <c r="AE628" i="20"/>
  <c r="AG628" i="20"/>
  <c r="AH628" i="20" s="1"/>
  <c r="AE620" i="20"/>
  <c r="AG620" i="20"/>
  <c r="AH620" i="20" s="1"/>
  <c r="AE612" i="20"/>
  <c r="AG612" i="20"/>
  <c r="AH612" i="20" s="1"/>
  <c r="AE604" i="20"/>
  <c r="AG604" i="20"/>
  <c r="AH604" i="20" s="1"/>
  <c r="AE596" i="20"/>
  <c r="AG596" i="20"/>
  <c r="AH596" i="20" s="1"/>
  <c r="AE588" i="20"/>
  <c r="AG588" i="20"/>
  <c r="AH588" i="20" s="1"/>
  <c r="AE580" i="20"/>
  <c r="AG580" i="20"/>
  <c r="AH580" i="20" s="1"/>
  <c r="AE572" i="20"/>
  <c r="AG572" i="20"/>
  <c r="AH572" i="20" s="1"/>
  <c r="AE564" i="20"/>
  <c r="AG564" i="20"/>
  <c r="AH564" i="20" s="1"/>
  <c r="AE556" i="20"/>
  <c r="AG556" i="20"/>
  <c r="AH556" i="20" s="1"/>
  <c r="AE548" i="20"/>
  <c r="AG548" i="20"/>
  <c r="AH548" i="20" s="1"/>
  <c r="AE540" i="20"/>
  <c r="AG540" i="20"/>
  <c r="AH540" i="20" s="1"/>
  <c r="AE532" i="20"/>
  <c r="AG532" i="20"/>
  <c r="AH532" i="20" s="1"/>
  <c r="AE524" i="20"/>
  <c r="AG524" i="20"/>
  <c r="AH524" i="20" s="1"/>
  <c r="AE516" i="20"/>
  <c r="AG516" i="20"/>
  <c r="AH516" i="20" s="1"/>
  <c r="AE508" i="20"/>
  <c r="AG508" i="20"/>
  <c r="AH508" i="20" s="1"/>
  <c r="AE500" i="20"/>
  <c r="AG500" i="20"/>
  <c r="AH500" i="20" s="1"/>
  <c r="AE492" i="20"/>
  <c r="AG492" i="20"/>
  <c r="AH492" i="20" s="1"/>
  <c r="AE484" i="20"/>
  <c r="AG484" i="20"/>
  <c r="AH484" i="20" s="1"/>
  <c r="AE476" i="20"/>
  <c r="AG476" i="20"/>
  <c r="AH476" i="20" s="1"/>
  <c r="AE468" i="20"/>
  <c r="AG468" i="20"/>
  <c r="AH468" i="20" s="1"/>
  <c r="AE460" i="20"/>
  <c r="AG460" i="20"/>
  <c r="AH460" i="20" s="1"/>
  <c r="AE452" i="20"/>
  <c r="AG452" i="20"/>
  <c r="AH452" i="20" s="1"/>
  <c r="AE444" i="20"/>
  <c r="AG444" i="20"/>
  <c r="AH444" i="20" s="1"/>
  <c r="AE436" i="20"/>
  <c r="AG436" i="20"/>
  <c r="AH436" i="20" s="1"/>
  <c r="AE428" i="20"/>
  <c r="AG428" i="20"/>
  <c r="AH428" i="20" s="1"/>
  <c r="AE420" i="20"/>
  <c r="AG420" i="20"/>
  <c r="AH420" i="20" s="1"/>
  <c r="AE412" i="20"/>
  <c r="AG412" i="20"/>
  <c r="AH412" i="20" s="1"/>
  <c r="AE404" i="20"/>
  <c r="AG404" i="20"/>
  <c r="AH404" i="20" s="1"/>
  <c r="AE396" i="20"/>
  <c r="AG396" i="20"/>
  <c r="AH396" i="20" s="1"/>
  <c r="AE388" i="20"/>
  <c r="AG388" i="20"/>
  <c r="AH388" i="20" s="1"/>
  <c r="AE380" i="20"/>
  <c r="AG380" i="20"/>
  <c r="AH380" i="20" s="1"/>
  <c r="AE372" i="20"/>
  <c r="AG372" i="20"/>
  <c r="AH372" i="20" s="1"/>
  <c r="AE364" i="20"/>
  <c r="AG364" i="20"/>
  <c r="AH364" i="20" s="1"/>
  <c r="AE356" i="20"/>
  <c r="AG356" i="20"/>
  <c r="AH356" i="20" s="1"/>
  <c r="AE348" i="20"/>
  <c r="AG348" i="20"/>
  <c r="AH348" i="20" s="1"/>
  <c r="AE340" i="20"/>
  <c r="AG340" i="20"/>
  <c r="AH340" i="20" s="1"/>
  <c r="AE332" i="20"/>
  <c r="AG332" i="20"/>
  <c r="AH332" i="20" s="1"/>
  <c r="AE324" i="20"/>
  <c r="AG324" i="20"/>
  <c r="AH324" i="20" s="1"/>
  <c r="AE316" i="20"/>
  <c r="AG316" i="20"/>
  <c r="AH316" i="20" s="1"/>
  <c r="AE308" i="20"/>
  <c r="AG308" i="20"/>
  <c r="AH308" i="20" s="1"/>
  <c r="AE300" i="20"/>
  <c r="AG300" i="20"/>
  <c r="AH300" i="20" s="1"/>
  <c r="AE292" i="20"/>
  <c r="AG292" i="20"/>
  <c r="AH292" i="20" s="1"/>
  <c r="AE284" i="20"/>
  <c r="AG284" i="20"/>
  <c r="AH284" i="20" s="1"/>
  <c r="AE276" i="20"/>
  <c r="AG276" i="20"/>
  <c r="AH276" i="20" s="1"/>
  <c r="AE268" i="20"/>
  <c r="AG268" i="20"/>
  <c r="AH268" i="20" s="1"/>
  <c r="AE260" i="20"/>
  <c r="AG260" i="20"/>
  <c r="AH260" i="20" s="1"/>
  <c r="AE252" i="20"/>
  <c r="AG252" i="20"/>
  <c r="AH252" i="20" s="1"/>
  <c r="AE244" i="20"/>
  <c r="AG244" i="20"/>
  <c r="AH244" i="20" s="1"/>
  <c r="AE236" i="20"/>
  <c r="AG236" i="20"/>
  <c r="AH236" i="20" s="1"/>
  <c r="AE228" i="20"/>
  <c r="AG228" i="20"/>
  <c r="AH228" i="20" s="1"/>
  <c r="AE220" i="20"/>
  <c r="AG220" i="20"/>
  <c r="AH220" i="20" s="1"/>
  <c r="AE212" i="20"/>
  <c r="AG212" i="20"/>
  <c r="AH212" i="20" s="1"/>
  <c r="AE204" i="20"/>
  <c r="AG204" i="20"/>
  <c r="AH204" i="20" s="1"/>
  <c r="AE196" i="20"/>
  <c r="AG196" i="20"/>
  <c r="AH196" i="20" s="1"/>
  <c r="AE188" i="20"/>
  <c r="AG188" i="20"/>
  <c r="AH188" i="20" s="1"/>
  <c r="AE180" i="20"/>
  <c r="AG180" i="20"/>
  <c r="AH180" i="20" s="1"/>
  <c r="AE172" i="20"/>
  <c r="AG172" i="20"/>
  <c r="AH172" i="20" s="1"/>
  <c r="AE164" i="20"/>
  <c r="AG164" i="20"/>
  <c r="AH164" i="20" s="1"/>
  <c r="AE156" i="20"/>
  <c r="AG156" i="20"/>
  <c r="AH156" i="20" s="1"/>
  <c r="AE148" i="20"/>
  <c r="AG148" i="20"/>
  <c r="AH148" i="20" s="1"/>
  <c r="AE140" i="20"/>
  <c r="AG140" i="20"/>
  <c r="AH140" i="20" s="1"/>
  <c r="AE132" i="20"/>
  <c r="AG132" i="20"/>
  <c r="AH132" i="20" s="1"/>
  <c r="AE124" i="20"/>
  <c r="AG124" i="20"/>
  <c r="AH124" i="20" s="1"/>
  <c r="AE116" i="20"/>
  <c r="AG116" i="20"/>
  <c r="AH116" i="20" s="1"/>
  <c r="AE108" i="20"/>
  <c r="AG108" i="20"/>
  <c r="AH108" i="20" s="1"/>
  <c r="AE100" i="20"/>
  <c r="AG100" i="20"/>
  <c r="AH100" i="20" s="1"/>
  <c r="AE92" i="20"/>
  <c r="AG92" i="20"/>
  <c r="AH92" i="20" s="1"/>
  <c r="AE84" i="20"/>
  <c r="AG84" i="20"/>
  <c r="AH84" i="20" s="1"/>
  <c r="AE76" i="20"/>
  <c r="AG76" i="20"/>
  <c r="AH76" i="20" s="1"/>
  <c r="AE68" i="20"/>
  <c r="AG68" i="20"/>
  <c r="AH68" i="20" s="1"/>
  <c r="AE60" i="20"/>
  <c r="AG60" i="20"/>
  <c r="AH60" i="20" s="1"/>
  <c r="AE52" i="20"/>
  <c r="AG52" i="20"/>
  <c r="AH52" i="20" s="1"/>
  <c r="AE44" i="20"/>
  <c r="AG44" i="20"/>
  <c r="AH44" i="20" s="1"/>
  <c r="AE36" i="20"/>
  <c r="AG36" i="20"/>
  <c r="AH36" i="20" s="1"/>
  <c r="AE28" i="20"/>
  <c r="AG28" i="20"/>
  <c r="AH28" i="20" s="1"/>
  <c r="AE20" i="20"/>
  <c r="AG20" i="20"/>
  <c r="AH20" i="20" s="1"/>
  <c r="AE12" i="20"/>
  <c r="AG12" i="20"/>
  <c r="AH12" i="20" s="1"/>
  <c r="AE4" i="20"/>
  <c r="AG4" i="20"/>
  <c r="AH4" i="20" s="1"/>
  <c r="AE2332" i="20"/>
  <c r="AE1588" i="20"/>
  <c r="AE1060" i="20"/>
  <c r="AG1107" i="20"/>
  <c r="AH1107" i="20" s="1"/>
  <c r="AG1043" i="20"/>
  <c r="AH1043" i="20" s="1"/>
  <c r="AG979" i="20"/>
  <c r="AH979" i="20" s="1"/>
  <c r="AE1964" i="20"/>
  <c r="AE1732" i="20"/>
  <c r="AJ5" i="18"/>
  <c r="Y49" i="18" l="1"/>
  <c r="Y50" i="18"/>
  <c r="Y51" i="18"/>
  <c r="Y52" i="18"/>
  <c r="Y53" i="18"/>
  <c r="Y54" i="18"/>
  <c r="Y55" i="18"/>
  <c r="Y56" i="18"/>
  <c r="Y57" i="18"/>
  <c r="Y58" i="18"/>
  <c r="Y59" i="18"/>
  <c r="Y60" i="18"/>
  <c r="Y61" i="18"/>
  <c r="Y62" i="18"/>
  <c r="Y63" i="18"/>
  <c r="Y64" i="18"/>
  <c r="Y65" i="18"/>
  <c r="Y66" i="18"/>
  <c r="Y67" i="18"/>
  <c r="Y68" i="18"/>
  <c r="Y69" i="18"/>
  <c r="Y70" i="18"/>
  <c r="Y71" i="18"/>
  <c r="Y72" i="18"/>
  <c r="Y73" i="18"/>
  <c r="Y74" i="18"/>
  <c r="Y75" i="18"/>
  <c r="Y76" i="18"/>
  <c r="Y77" i="18"/>
  <c r="Y78" i="18"/>
  <c r="Y79" i="18"/>
  <c r="Y80" i="18"/>
  <c r="Y81" i="18"/>
  <c r="Y82" i="18"/>
  <c r="Y83" i="18"/>
  <c r="Y84" i="18"/>
  <c r="Y85" i="18"/>
  <c r="Y86" i="18"/>
  <c r="Y87" i="18"/>
  <c r="Y88" i="18"/>
  <c r="Y89" i="18"/>
  <c r="Y90" i="18"/>
  <c r="Y91" i="18"/>
  <c r="Y92" i="18"/>
  <c r="Y93" i="18"/>
  <c r="Y94" i="18"/>
  <c r="Y95" i="18"/>
  <c r="Y96" i="18"/>
  <c r="Y97" i="18"/>
  <c r="Y98" i="18"/>
  <c r="Y99" i="18"/>
  <c r="Y100" i="18"/>
  <c r="Y101" i="18"/>
  <c r="Y102" i="18"/>
  <c r="Y103" i="18"/>
  <c r="Y104" i="18"/>
  <c r="Y105" i="18"/>
  <c r="Y106" i="18"/>
  <c r="Y107" i="18"/>
  <c r="Y108" i="18"/>
  <c r="Y109" i="18"/>
  <c r="Y110" i="18"/>
  <c r="Y111" i="18"/>
  <c r="Y112" i="18"/>
  <c r="Y113" i="18"/>
  <c r="Y114" i="18"/>
  <c r="Y115" i="18"/>
  <c r="Y116" i="18"/>
  <c r="Y117" i="18"/>
  <c r="Y118" i="18"/>
  <c r="Y119" i="18"/>
  <c r="Y120" i="18"/>
  <c r="Y121" i="18"/>
  <c r="Y122" i="18"/>
  <c r="Y123" i="18"/>
  <c r="Y124" i="18"/>
  <c r="Y125" i="18"/>
  <c r="Y126" i="18"/>
  <c r="Y127" i="18"/>
  <c r="Y128" i="18"/>
  <c r="Y129" i="18"/>
  <c r="Y130" i="18"/>
  <c r="Y131" i="18"/>
  <c r="Y132" i="18"/>
  <c r="Y133" i="18"/>
  <c r="Y134" i="18"/>
  <c r="Y135" i="18"/>
  <c r="Y136" i="18"/>
  <c r="Y137" i="18"/>
  <c r="Y138" i="18"/>
  <c r="Y139" i="18"/>
  <c r="Y140" i="18"/>
  <c r="Y141" i="18"/>
  <c r="Y142" i="18"/>
  <c r="Y143" i="18"/>
  <c r="Y144" i="18"/>
  <c r="Y145" i="18"/>
  <c r="Y146" i="18"/>
  <c r="Y147" i="18"/>
  <c r="Y148" i="18"/>
  <c r="Y149" i="18"/>
  <c r="Y150" i="18"/>
  <c r="Y151" i="18"/>
  <c r="Y152" i="18"/>
  <c r="Y153" i="18"/>
  <c r="Y154" i="18"/>
  <c r="Y155" i="18"/>
  <c r="Y156" i="18"/>
  <c r="Y157" i="18"/>
  <c r="Y158" i="18"/>
  <c r="Y159" i="18"/>
  <c r="Y160" i="18"/>
  <c r="Y161" i="18"/>
  <c r="Y162" i="18"/>
  <c r="Y163" i="18"/>
  <c r="Y164" i="18"/>
  <c r="Y165" i="18"/>
  <c r="Y166" i="18"/>
  <c r="Y167" i="18"/>
  <c r="Y168" i="18"/>
  <c r="Y169" i="18"/>
  <c r="Y170" i="18"/>
  <c r="Y171" i="18"/>
  <c r="Y172" i="18"/>
  <c r="Y173" i="18"/>
  <c r="Y174" i="18"/>
  <c r="Y175" i="18"/>
  <c r="Y176" i="18"/>
  <c r="Y177" i="18"/>
  <c r="Y178" i="18"/>
  <c r="Y179" i="18"/>
  <c r="Y180" i="18"/>
  <c r="Y181" i="18"/>
  <c r="Y182" i="18"/>
  <c r="Y183" i="18"/>
  <c r="Y184" i="18"/>
  <c r="Y185" i="18"/>
  <c r="Y186" i="18"/>
  <c r="Y187" i="18"/>
  <c r="Y188" i="18"/>
  <c r="Y189" i="18"/>
  <c r="Y190" i="18"/>
  <c r="Y191" i="18"/>
  <c r="Y192" i="18"/>
  <c r="Y193" i="18"/>
  <c r="Y194" i="18"/>
  <c r="Y195" i="18"/>
  <c r="Y196" i="18"/>
  <c r="Y197" i="18"/>
  <c r="Y198" i="18"/>
  <c r="Y199" i="18"/>
  <c r="Y200" i="18"/>
  <c r="Z49" i="18"/>
  <c r="AA49" i="18"/>
  <c r="AB49" i="18"/>
  <c r="AC49" i="18"/>
  <c r="Z50" i="18"/>
  <c r="AA50" i="18"/>
  <c r="AB50" i="18"/>
  <c r="AC50" i="18"/>
  <c r="Z51" i="18"/>
  <c r="AA51" i="18"/>
  <c r="AB51" i="18"/>
  <c r="AC51" i="18"/>
  <c r="Z52" i="18"/>
  <c r="AA52" i="18"/>
  <c r="AB52" i="18"/>
  <c r="AC52" i="18"/>
  <c r="Z53" i="18"/>
  <c r="AA53" i="18"/>
  <c r="AB53" i="18"/>
  <c r="AC53" i="18"/>
  <c r="Z54" i="18"/>
  <c r="AA54" i="18"/>
  <c r="AB54" i="18"/>
  <c r="AC54" i="18"/>
  <c r="Z55" i="18"/>
  <c r="AA55" i="18"/>
  <c r="AB55" i="18"/>
  <c r="AC55" i="18"/>
  <c r="Z56" i="18"/>
  <c r="AA56" i="18"/>
  <c r="AB56" i="18"/>
  <c r="AC56" i="18"/>
  <c r="Z57" i="18"/>
  <c r="AA57" i="18"/>
  <c r="AB57" i="18"/>
  <c r="AC57" i="18"/>
  <c r="Z58" i="18"/>
  <c r="AA58" i="18"/>
  <c r="AB58" i="18"/>
  <c r="AC58" i="18"/>
  <c r="Z59" i="18"/>
  <c r="AA59" i="18"/>
  <c r="AB59" i="18"/>
  <c r="AC59" i="18"/>
  <c r="Z60" i="18"/>
  <c r="AA60" i="18"/>
  <c r="AB60" i="18"/>
  <c r="AC60" i="18"/>
  <c r="Z61" i="18"/>
  <c r="AA61" i="18"/>
  <c r="AB61" i="18"/>
  <c r="AC61" i="18"/>
  <c r="Z62" i="18"/>
  <c r="AA62" i="18"/>
  <c r="AB62" i="18"/>
  <c r="AC62" i="18"/>
  <c r="Z63" i="18"/>
  <c r="AA63" i="18"/>
  <c r="AB63" i="18"/>
  <c r="AC63" i="18"/>
  <c r="Z64" i="18"/>
  <c r="AA64" i="18"/>
  <c r="AB64" i="18"/>
  <c r="AC64" i="18"/>
  <c r="Z65" i="18"/>
  <c r="AA65" i="18"/>
  <c r="AB65" i="18"/>
  <c r="AC65" i="18"/>
  <c r="Z66" i="18"/>
  <c r="AA66" i="18"/>
  <c r="AB66" i="18"/>
  <c r="AC66" i="18"/>
  <c r="Z67" i="18"/>
  <c r="AA67" i="18"/>
  <c r="AB67" i="18"/>
  <c r="AC67" i="18"/>
  <c r="Z68" i="18"/>
  <c r="AA68" i="18"/>
  <c r="AB68" i="18"/>
  <c r="AC68" i="18"/>
  <c r="Z69" i="18"/>
  <c r="AA69" i="18"/>
  <c r="AB69" i="18"/>
  <c r="AC69" i="18"/>
  <c r="Z70" i="18"/>
  <c r="AA70" i="18"/>
  <c r="AB70" i="18"/>
  <c r="AC70" i="18"/>
  <c r="Z71" i="18"/>
  <c r="AA71" i="18"/>
  <c r="AB71" i="18"/>
  <c r="AC71" i="18"/>
  <c r="Z72" i="18"/>
  <c r="AA72" i="18"/>
  <c r="AB72" i="18"/>
  <c r="AC72" i="18"/>
  <c r="Z73" i="18"/>
  <c r="AA73" i="18"/>
  <c r="AB73" i="18"/>
  <c r="AC73" i="18"/>
  <c r="Z74" i="18"/>
  <c r="AA74" i="18"/>
  <c r="AB74" i="18"/>
  <c r="AC74" i="18"/>
  <c r="Z75" i="18"/>
  <c r="AA75" i="18"/>
  <c r="AB75" i="18"/>
  <c r="AC75" i="18"/>
  <c r="Z76" i="18"/>
  <c r="AA76" i="18"/>
  <c r="AB76" i="18"/>
  <c r="AC76" i="18"/>
  <c r="Z77" i="18"/>
  <c r="AA77" i="18"/>
  <c r="AB77" i="18"/>
  <c r="AC77" i="18"/>
  <c r="Z78" i="18"/>
  <c r="AA78" i="18"/>
  <c r="AB78" i="18"/>
  <c r="AC78" i="18"/>
  <c r="Z79" i="18"/>
  <c r="AA79" i="18"/>
  <c r="AB79" i="18"/>
  <c r="AC79" i="18"/>
  <c r="Z80" i="18"/>
  <c r="AA80" i="18"/>
  <c r="AB80" i="18"/>
  <c r="AC80" i="18"/>
  <c r="Z81" i="18"/>
  <c r="AA81" i="18"/>
  <c r="AB81" i="18"/>
  <c r="AC81" i="18"/>
  <c r="Z82" i="18"/>
  <c r="AA82" i="18"/>
  <c r="AB82" i="18"/>
  <c r="AC82" i="18"/>
  <c r="Z83" i="18"/>
  <c r="AA83" i="18"/>
  <c r="AB83" i="18"/>
  <c r="AC83" i="18"/>
  <c r="Z84" i="18"/>
  <c r="AA84" i="18"/>
  <c r="AB84" i="18"/>
  <c r="AC84" i="18"/>
  <c r="Z85" i="18"/>
  <c r="AA85" i="18"/>
  <c r="AB85" i="18"/>
  <c r="AC85" i="18"/>
  <c r="Z86" i="18"/>
  <c r="AA86" i="18"/>
  <c r="AB86" i="18"/>
  <c r="AC86" i="18"/>
  <c r="Z87" i="18"/>
  <c r="AA87" i="18"/>
  <c r="AB87" i="18"/>
  <c r="AC87" i="18"/>
  <c r="Z88" i="18"/>
  <c r="AA88" i="18"/>
  <c r="AB88" i="18"/>
  <c r="AC88" i="18"/>
  <c r="Z89" i="18"/>
  <c r="AA89" i="18"/>
  <c r="AB89" i="18"/>
  <c r="AC89" i="18"/>
  <c r="Z90" i="18"/>
  <c r="AA90" i="18"/>
  <c r="AB90" i="18"/>
  <c r="AC90" i="18"/>
  <c r="Z91" i="18"/>
  <c r="AA91" i="18"/>
  <c r="AB91" i="18"/>
  <c r="AC91" i="18"/>
  <c r="Z92" i="18"/>
  <c r="AA92" i="18"/>
  <c r="AB92" i="18"/>
  <c r="AC92" i="18"/>
  <c r="Z93" i="18"/>
  <c r="AA93" i="18"/>
  <c r="AB93" i="18"/>
  <c r="AC93" i="18"/>
  <c r="Z94" i="18"/>
  <c r="AA94" i="18"/>
  <c r="AB94" i="18"/>
  <c r="AC94" i="18"/>
  <c r="Z95" i="18"/>
  <c r="AA95" i="18"/>
  <c r="AB95" i="18"/>
  <c r="AC95" i="18"/>
  <c r="Z96" i="18"/>
  <c r="AA96" i="18"/>
  <c r="AB96" i="18"/>
  <c r="AC96" i="18"/>
  <c r="Z97" i="18"/>
  <c r="AA97" i="18"/>
  <c r="AB97" i="18"/>
  <c r="AC97" i="18"/>
  <c r="Z98" i="18"/>
  <c r="AA98" i="18"/>
  <c r="AB98" i="18"/>
  <c r="AC98" i="18"/>
  <c r="Z99" i="18"/>
  <c r="AA99" i="18"/>
  <c r="AB99" i="18"/>
  <c r="AC99" i="18"/>
  <c r="Z100" i="18"/>
  <c r="AA100" i="18"/>
  <c r="AB100" i="18"/>
  <c r="AC100" i="18"/>
  <c r="Z101" i="18"/>
  <c r="AA101" i="18"/>
  <c r="AB101" i="18"/>
  <c r="AC101" i="18"/>
  <c r="Z102" i="18"/>
  <c r="AA102" i="18"/>
  <c r="AB102" i="18"/>
  <c r="AC102" i="18"/>
  <c r="Z103" i="18"/>
  <c r="AA103" i="18"/>
  <c r="AB103" i="18"/>
  <c r="AC103" i="18"/>
  <c r="Z104" i="18"/>
  <c r="AA104" i="18"/>
  <c r="AB104" i="18"/>
  <c r="AC104" i="18"/>
  <c r="Z105" i="18"/>
  <c r="AA105" i="18"/>
  <c r="AB105" i="18"/>
  <c r="AC105" i="18"/>
  <c r="Z106" i="18"/>
  <c r="AA106" i="18"/>
  <c r="AB106" i="18"/>
  <c r="AC106" i="18"/>
  <c r="Z107" i="18"/>
  <c r="AA107" i="18"/>
  <c r="AB107" i="18"/>
  <c r="AC107" i="18"/>
  <c r="Z108" i="18"/>
  <c r="AA108" i="18"/>
  <c r="AB108" i="18"/>
  <c r="AC108" i="18"/>
  <c r="Z109" i="18"/>
  <c r="AA109" i="18"/>
  <c r="AB109" i="18"/>
  <c r="AC109" i="18"/>
  <c r="Z110" i="18"/>
  <c r="AA110" i="18"/>
  <c r="AB110" i="18"/>
  <c r="AC110" i="18"/>
  <c r="Z111" i="18"/>
  <c r="AA111" i="18"/>
  <c r="AB111" i="18"/>
  <c r="AC111" i="18"/>
  <c r="Z112" i="18"/>
  <c r="AA112" i="18"/>
  <c r="AB112" i="18"/>
  <c r="AC112" i="18"/>
  <c r="Z113" i="18"/>
  <c r="AA113" i="18"/>
  <c r="AB113" i="18"/>
  <c r="AC113" i="18"/>
  <c r="Z114" i="18"/>
  <c r="AA114" i="18"/>
  <c r="AB114" i="18"/>
  <c r="AC114" i="18"/>
  <c r="Z115" i="18"/>
  <c r="AA115" i="18"/>
  <c r="AB115" i="18"/>
  <c r="AC115" i="18"/>
  <c r="Z116" i="18"/>
  <c r="AA116" i="18"/>
  <c r="AB116" i="18"/>
  <c r="AC116" i="18"/>
  <c r="Z117" i="18"/>
  <c r="AA117" i="18"/>
  <c r="AB117" i="18"/>
  <c r="AC117" i="18"/>
  <c r="Z118" i="18"/>
  <c r="AA118" i="18"/>
  <c r="AB118" i="18"/>
  <c r="AC118" i="18"/>
  <c r="Z119" i="18"/>
  <c r="AA119" i="18"/>
  <c r="AB119" i="18"/>
  <c r="AC119" i="18"/>
  <c r="Z120" i="18"/>
  <c r="AA120" i="18"/>
  <c r="AB120" i="18"/>
  <c r="AC120" i="18"/>
  <c r="Z121" i="18"/>
  <c r="AA121" i="18"/>
  <c r="AB121" i="18"/>
  <c r="AC121" i="18"/>
  <c r="Z122" i="18"/>
  <c r="AA122" i="18"/>
  <c r="AB122" i="18"/>
  <c r="AC122" i="18"/>
  <c r="Z123" i="18"/>
  <c r="AA123" i="18"/>
  <c r="AB123" i="18"/>
  <c r="AC123" i="18"/>
  <c r="Z124" i="18"/>
  <c r="AA124" i="18"/>
  <c r="AB124" i="18"/>
  <c r="AC124" i="18"/>
  <c r="Z125" i="18"/>
  <c r="AA125" i="18"/>
  <c r="AB125" i="18"/>
  <c r="AC125" i="18"/>
  <c r="Z126" i="18"/>
  <c r="AA126" i="18"/>
  <c r="AB126" i="18"/>
  <c r="AC126" i="18"/>
  <c r="Z127" i="18"/>
  <c r="AA127" i="18"/>
  <c r="AB127" i="18"/>
  <c r="AC127" i="18"/>
  <c r="Z128" i="18"/>
  <c r="AA128" i="18"/>
  <c r="AB128" i="18"/>
  <c r="AC128" i="18"/>
  <c r="Z129" i="18"/>
  <c r="AA129" i="18"/>
  <c r="AB129" i="18"/>
  <c r="AC129" i="18"/>
  <c r="Z130" i="18"/>
  <c r="AA130" i="18"/>
  <c r="AB130" i="18"/>
  <c r="AC130" i="18"/>
  <c r="Z131" i="18"/>
  <c r="AA131" i="18"/>
  <c r="AB131" i="18"/>
  <c r="AC131" i="18"/>
  <c r="Z132" i="18"/>
  <c r="AA132" i="18"/>
  <c r="AB132" i="18"/>
  <c r="AC132" i="18"/>
  <c r="Z133" i="18"/>
  <c r="AA133" i="18"/>
  <c r="AB133" i="18"/>
  <c r="AC133" i="18"/>
  <c r="Z134" i="18"/>
  <c r="AA134" i="18"/>
  <c r="AB134" i="18"/>
  <c r="AC134" i="18"/>
  <c r="Z135" i="18"/>
  <c r="AA135" i="18"/>
  <c r="AB135" i="18"/>
  <c r="AC135" i="18"/>
  <c r="Z136" i="18"/>
  <c r="AA136" i="18"/>
  <c r="AB136" i="18"/>
  <c r="AC136" i="18"/>
  <c r="Z137" i="18"/>
  <c r="AA137" i="18"/>
  <c r="AB137" i="18"/>
  <c r="AC137" i="18"/>
  <c r="Z138" i="18"/>
  <c r="AA138" i="18"/>
  <c r="AB138" i="18"/>
  <c r="AC138" i="18"/>
  <c r="Z139" i="18"/>
  <c r="AA139" i="18"/>
  <c r="AB139" i="18"/>
  <c r="AC139" i="18"/>
  <c r="Z140" i="18"/>
  <c r="AA140" i="18"/>
  <c r="AB140" i="18"/>
  <c r="AC140" i="18"/>
  <c r="Z141" i="18"/>
  <c r="AA141" i="18"/>
  <c r="AB141" i="18"/>
  <c r="AC141" i="18"/>
  <c r="Z142" i="18"/>
  <c r="AA142" i="18"/>
  <c r="AB142" i="18"/>
  <c r="AC142" i="18"/>
  <c r="Z143" i="18"/>
  <c r="AA143" i="18"/>
  <c r="AB143" i="18"/>
  <c r="AC143" i="18"/>
  <c r="Z144" i="18"/>
  <c r="AA144" i="18"/>
  <c r="AB144" i="18"/>
  <c r="AC144" i="18"/>
  <c r="Z145" i="18"/>
  <c r="AA145" i="18"/>
  <c r="AB145" i="18"/>
  <c r="AC145" i="18"/>
  <c r="Z146" i="18"/>
  <c r="AA146" i="18"/>
  <c r="AB146" i="18"/>
  <c r="AC146" i="18"/>
  <c r="Z147" i="18"/>
  <c r="AA147" i="18"/>
  <c r="AB147" i="18"/>
  <c r="AC147" i="18"/>
  <c r="Z148" i="18"/>
  <c r="AA148" i="18"/>
  <c r="AB148" i="18"/>
  <c r="AC148" i="18"/>
  <c r="Z149" i="18"/>
  <c r="AA149" i="18"/>
  <c r="AB149" i="18"/>
  <c r="AC149" i="18"/>
  <c r="Z150" i="18"/>
  <c r="AA150" i="18"/>
  <c r="AB150" i="18"/>
  <c r="AC150" i="18"/>
  <c r="Z151" i="18"/>
  <c r="AA151" i="18"/>
  <c r="AB151" i="18"/>
  <c r="AC151" i="18"/>
  <c r="Z152" i="18"/>
  <c r="AA152" i="18"/>
  <c r="AB152" i="18"/>
  <c r="AC152" i="18"/>
  <c r="Z153" i="18"/>
  <c r="AA153" i="18"/>
  <c r="AB153" i="18"/>
  <c r="AC153" i="18"/>
  <c r="Z154" i="18"/>
  <c r="AA154" i="18"/>
  <c r="AB154" i="18"/>
  <c r="AC154" i="18"/>
  <c r="Z155" i="18"/>
  <c r="AA155" i="18"/>
  <c r="AB155" i="18"/>
  <c r="AC155" i="18"/>
  <c r="Z156" i="18"/>
  <c r="AA156" i="18"/>
  <c r="AB156" i="18"/>
  <c r="AC156" i="18"/>
  <c r="Z157" i="18"/>
  <c r="AA157" i="18"/>
  <c r="AB157" i="18"/>
  <c r="AC157" i="18"/>
  <c r="Z158" i="18"/>
  <c r="AA158" i="18"/>
  <c r="AB158" i="18"/>
  <c r="AC158" i="18"/>
  <c r="Z159" i="18"/>
  <c r="AA159" i="18"/>
  <c r="AB159" i="18"/>
  <c r="AC159" i="18"/>
  <c r="Z160" i="18"/>
  <c r="AA160" i="18"/>
  <c r="AB160" i="18"/>
  <c r="AC160" i="18"/>
  <c r="Z161" i="18"/>
  <c r="AA161" i="18"/>
  <c r="AB161" i="18"/>
  <c r="AC161" i="18"/>
  <c r="Z162" i="18"/>
  <c r="AA162" i="18"/>
  <c r="AB162" i="18"/>
  <c r="AC162" i="18"/>
  <c r="Z163" i="18"/>
  <c r="AA163" i="18"/>
  <c r="AB163" i="18"/>
  <c r="AC163" i="18"/>
  <c r="Z164" i="18"/>
  <c r="AA164" i="18"/>
  <c r="AB164" i="18"/>
  <c r="AC164" i="18"/>
  <c r="Z165" i="18"/>
  <c r="AA165" i="18"/>
  <c r="AB165" i="18"/>
  <c r="AC165" i="18"/>
  <c r="Z166" i="18"/>
  <c r="AA166" i="18"/>
  <c r="AB166" i="18"/>
  <c r="AC166" i="18"/>
  <c r="Z167" i="18"/>
  <c r="AA167" i="18"/>
  <c r="AB167" i="18"/>
  <c r="AC167" i="18"/>
  <c r="Z168" i="18"/>
  <c r="AA168" i="18"/>
  <c r="AB168" i="18"/>
  <c r="AC168" i="18"/>
  <c r="Z169" i="18"/>
  <c r="AA169" i="18"/>
  <c r="AB169" i="18"/>
  <c r="AC169" i="18"/>
  <c r="Z170" i="18"/>
  <c r="AA170" i="18"/>
  <c r="AB170" i="18"/>
  <c r="AC170" i="18"/>
  <c r="Z171" i="18"/>
  <c r="AA171" i="18"/>
  <c r="AB171" i="18"/>
  <c r="AC171" i="18"/>
  <c r="Z172" i="18"/>
  <c r="AA172" i="18"/>
  <c r="AB172" i="18"/>
  <c r="AC172" i="18"/>
  <c r="Z173" i="18"/>
  <c r="AA173" i="18"/>
  <c r="AB173" i="18"/>
  <c r="AC173" i="18"/>
  <c r="Z174" i="18"/>
  <c r="AA174" i="18"/>
  <c r="AB174" i="18"/>
  <c r="AC174" i="18"/>
  <c r="Z175" i="18"/>
  <c r="AA175" i="18"/>
  <c r="AB175" i="18"/>
  <c r="AC175" i="18"/>
  <c r="Z176" i="18"/>
  <c r="AA176" i="18"/>
  <c r="AB176" i="18"/>
  <c r="AC176" i="18"/>
  <c r="Z177" i="18"/>
  <c r="AA177" i="18"/>
  <c r="AB177" i="18"/>
  <c r="AC177" i="18"/>
  <c r="Z178" i="18"/>
  <c r="AA178" i="18"/>
  <c r="AB178" i="18"/>
  <c r="AC178" i="18"/>
  <c r="Z179" i="18"/>
  <c r="AA179" i="18"/>
  <c r="AB179" i="18"/>
  <c r="AC179" i="18"/>
  <c r="Z180" i="18"/>
  <c r="AA180" i="18"/>
  <c r="AB180" i="18"/>
  <c r="AC180" i="18"/>
  <c r="Z181" i="18"/>
  <c r="AA181" i="18"/>
  <c r="AB181" i="18"/>
  <c r="AC181" i="18"/>
  <c r="Z182" i="18"/>
  <c r="AA182" i="18"/>
  <c r="AB182" i="18"/>
  <c r="AC182" i="18"/>
  <c r="Z183" i="18"/>
  <c r="AA183" i="18"/>
  <c r="AB183" i="18"/>
  <c r="AC183" i="18"/>
  <c r="Z184" i="18"/>
  <c r="AA184" i="18"/>
  <c r="AB184" i="18"/>
  <c r="AC184" i="18"/>
  <c r="Z185" i="18"/>
  <c r="AA185" i="18"/>
  <c r="AB185" i="18"/>
  <c r="AC185" i="18"/>
  <c r="Z186" i="18"/>
  <c r="AA186" i="18"/>
  <c r="AB186" i="18"/>
  <c r="AC186" i="18"/>
  <c r="Z187" i="18"/>
  <c r="AA187" i="18"/>
  <c r="AB187" i="18"/>
  <c r="AC187" i="18"/>
  <c r="Z188" i="18"/>
  <c r="AA188" i="18"/>
  <c r="AB188" i="18"/>
  <c r="AC188" i="18"/>
  <c r="Z189" i="18"/>
  <c r="AA189" i="18"/>
  <c r="AB189" i="18"/>
  <c r="AC189" i="18"/>
  <c r="Z190" i="18"/>
  <c r="AA190" i="18"/>
  <c r="AB190" i="18"/>
  <c r="AC190" i="18"/>
  <c r="Z191" i="18"/>
  <c r="AA191" i="18"/>
  <c r="AB191" i="18"/>
  <c r="AC191" i="18"/>
  <c r="Z192" i="18"/>
  <c r="AA192" i="18"/>
  <c r="AB192" i="18"/>
  <c r="AC192" i="18"/>
  <c r="Z193" i="18"/>
  <c r="AA193" i="18"/>
  <c r="AB193" i="18"/>
  <c r="AC193" i="18"/>
  <c r="Z194" i="18"/>
  <c r="AA194" i="18"/>
  <c r="AB194" i="18"/>
  <c r="AC194" i="18"/>
  <c r="Z195" i="18"/>
  <c r="AA195" i="18"/>
  <c r="AB195" i="18"/>
  <c r="AC195" i="18"/>
  <c r="Z196" i="18"/>
  <c r="AA196" i="18"/>
  <c r="AB196" i="18"/>
  <c r="AC196" i="18"/>
  <c r="Z197" i="18"/>
  <c r="AA197" i="18"/>
  <c r="AB197" i="18"/>
  <c r="AC197" i="18"/>
  <c r="Z198" i="18"/>
  <c r="AA198" i="18"/>
  <c r="AB198" i="18"/>
  <c r="AC198" i="18"/>
  <c r="Z199" i="18"/>
  <c r="AA199" i="18"/>
  <c r="AB199" i="18"/>
  <c r="AC199" i="18"/>
  <c r="Z200" i="18"/>
  <c r="AA200" i="18"/>
  <c r="AB200" i="18"/>
  <c r="AC200" i="18"/>
  <c r="J96" i="18"/>
  <c r="K96" i="18"/>
  <c r="L96" i="18"/>
  <c r="M96" i="18"/>
  <c r="N96" i="18"/>
  <c r="J97" i="18"/>
  <c r="K97" i="18"/>
  <c r="L97" i="18"/>
  <c r="M97" i="18"/>
  <c r="N97" i="18"/>
  <c r="J98" i="18"/>
  <c r="K98" i="18"/>
  <c r="L98" i="18"/>
  <c r="M98" i="18"/>
  <c r="N98" i="18"/>
  <c r="J99" i="18"/>
  <c r="K99" i="18"/>
  <c r="L99" i="18"/>
  <c r="M99" i="18"/>
  <c r="N99" i="18"/>
  <c r="J100" i="18"/>
  <c r="K100" i="18"/>
  <c r="L100" i="18"/>
  <c r="M100" i="18"/>
  <c r="N100" i="18"/>
  <c r="J101" i="18"/>
  <c r="K101" i="18"/>
  <c r="L101" i="18"/>
  <c r="M101" i="18"/>
  <c r="N101" i="18"/>
  <c r="J102" i="18"/>
  <c r="K102" i="18"/>
  <c r="L102" i="18"/>
  <c r="M102" i="18"/>
  <c r="N102" i="18"/>
  <c r="J103" i="18"/>
  <c r="K103" i="18"/>
  <c r="L103" i="18"/>
  <c r="M103" i="18"/>
  <c r="N103" i="18"/>
  <c r="J104" i="18"/>
  <c r="K104" i="18"/>
  <c r="L104" i="18"/>
  <c r="M104" i="18"/>
  <c r="N104" i="18"/>
  <c r="J105" i="18"/>
  <c r="K105" i="18"/>
  <c r="L105" i="18"/>
  <c r="M105" i="18"/>
  <c r="N105" i="18"/>
  <c r="J106" i="18"/>
  <c r="K106" i="18"/>
  <c r="L106" i="18"/>
  <c r="M106" i="18"/>
  <c r="N106" i="18"/>
  <c r="J107" i="18"/>
  <c r="K107" i="18"/>
  <c r="L107" i="18"/>
  <c r="M107" i="18"/>
  <c r="N107" i="18"/>
  <c r="J108" i="18"/>
  <c r="K108" i="18"/>
  <c r="L108" i="18"/>
  <c r="M108" i="18"/>
  <c r="N108" i="18"/>
  <c r="J109" i="18"/>
  <c r="K109" i="18"/>
  <c r="L109" i="18"/>
  <c r="M109" i="18"/>
  <c r="N109" i="18"/>
  <c r="J110" i="18"/>
  <c r="K110" i="18"/>
  <c r="L110" i="18"/>
  <c r="M110" i="18"/>
  <c r="N110" i="18"/>
  <c r="J111" i="18"/>
  <c r="K111" i="18"/>
  <c r="L111" i="18"/>
  <c r="M111" i="18"/>
  <c r="N111" i="18"/>
  <c r="J112" i="18"/>
  <c r="K112" i="18"/>
  <c r="L112" i="18"/>
  <c r="M112" i="18"/>
  <c r="N112" i="18"/>
  <c r="J113" i="18"/>
  <c r="K113" i="18"/>
  <c r="L113" i="18"/>
  <c r="M113" i="18"/>
  <c r="N113" i="18"/>
  <c r="J114" i="18"/>
  <c r="K114" i="18"/>
  <c r="L114" i="18"/>
  <c r="M114" i="18"/>
  <c r="N114" i="18"/>
  <c r="J115" i="18"/>
  <c r="K115" i="18"/>
  <c r="L115" i="18"/>
  <c r="M115" i="18"/>
  <c r="N115" i="18"/>
  <c r="J116" i="18"/>
  <c r="K116" i="18"/>
  <c r="L116" i="18"/>
  <c r="M116" i="18"/>
  <c r="N116" i="18"/>
  <c r="J117" i="18"/>
  <c r="K117" i="18"/>
  <c r="L117" i="18"/>
  <c r="M117" i="18"/>
  <c r="N117" i="18"/>
  <c r="J118" i="18"/>
  <c r="K118" i="18"/>
  <c r="L118" i="18"/>
  <c r="M118" i="18"/>
  <c r="N118" i="18"/>
  <c r="J119" i="18"/>
  <c r="K119" i="18"/>
  <c r="L119" i="18"/>
  <c r="M119" i="18"/>
  <c r="N119" i="18"/>
  <c r="J120" i="18"/>
  <c r="K120" i="18"/>
  <c r="L120" i="18"/>
  <c r="M120" i="18"/>
  <c r="N120" i="18"/>
  <c r="J121" i="18"/>
  <c r="K121" i="18"/>
  <c r="L121" i="18"/>
  <c r="M121" i="18"/>
  <c r="N121" i="18"/>
  <c r="J122" i="18"/>
  <c r="K122" i="18"/>
  <c r="L122" i="18"/>
  <c r="M122" i="18"/>
  <c r="N122" i="18"/>
  <c r="J123" i="18"/>
  <c r="K123" i="18"/>
  <c r="L123" i="18"/>
  <c r="M123" i="18"/>
  <c r="N123" i="18"/>
  <c r="J124" i="18"/>
  <c r="K124" i="18"/>
  <c r="L124" i="18"/>
  <c r="M124" i="18"/>
  <c r="N124" i="18"/>
  <c r="J125" i="18"/>
  <c r="K125" i="18"/>
  <c r="L125" i="18"/>
  <c r="M125" i="18"/>
  <c r="N125" i="18"/>
  <c r="J126" i="18"/>
  <c r="K126" i="18"/>
  <c r="L126" i="18"/>
  <c r="M126" i="18"/>
  <c r="N126" i="18"/>
  <c r="J127" i="18"/>
  <c r="K127" i="18"/>
  <c r="L127" i="18"/>
  <c r="M127" i="18"/>
  <c r="N127" i="18"/>
  <c r="J128" i="18"/>
  <c r="K128" i="18"/>
  <c r="L128" i="18"/>
  <c r="M128" i="18"/>
  <c r="N128" i="18"/>
  <c r="J129" i="18"/>
  <c r="K129" i="18"/>
  <c r="L129" i="18"/>
  <c r="M129" i="18"/>
  <c r="N129" i="18"/>
  <c r="J130" i="18"/>
  <c r="K130" i="18"/>
  <c r="L130" i="18"/>
  <c r="M130" i="18"/>
  <c r="N130" i="18"/>
  <c r="J131" i="18"/>
  <c r="K131" i="18"/>
  <c r="L131" i="18"/>
  <c r="M131" i="18"/>
  <c r="N131" i="18"/>
  <c r="J132" i="18"/>
  <c r="K132" i="18"/>
  <c r="L132" i="18"/>
  <c r="M132" i="18"/>
  <c r="N132" i="18"/>
  <c r="J133" i="18"/>
  <c r="K133" i="18"/>
  <c r="L133" i="18"/>
  <c r="M133" i="18"/>
  <c r="N133" i="18"/>
  <c r="J134" i="18"/>
  <c r="K134" i="18"/>
  <c r="L134" i="18"/>
  <c r="M134" i="18"/>
  <c r="N134" i="18"/>
  <c r="J135" i="18"/>
  <c r="K135" i="18"/>
  <c r="L135" i="18"/>
  <c r="M135" i="18"/>
  <c r="N135" i="18"/>
  <c r="J136" i="18"/>
  <c r="K136" i="18"/>
  <c r="L136" i="18"/>
  <c r="M136" i="18"/>
  <c r="N136" i="18"/>
  <c r="J137" i="18"/>
  <c r="K137" i="18"/>
  <c r="L137" i="18"/>
  <c r="M137" i="18"/>
  <c r="N137" i="18"/>
  <c r="J138" i="18"/>
  <c r="K138" i="18"/>
  <c r="L138" i="18"/>
  <c r="M138" i="18"/>
  <c r="N138" i="18"/>
  <c r="J139" i="18"/>
  <c r="K139" i="18"/>
  <c r="L139" i="18"/>
  <c r="M139" i="18"/>
  <c r="N139" i="18"/>
  <c r="J140" i="18"/>
  <c r="K140" i="18"/>
  <c r="L140" i="18"/>
  <c r="M140" i="18"/>
  <c r="N140" i="18"/>
  <c r="J141" i="18"/>
  <c r="K141" i="18"/>
  <c r="L141" i="18"/>
  <c r="M141" i="18"/>
  <c r="N141" i="18"/>
  <c r="J142" i="18"/>
  <c r="K142" i="18"/>
  <c r="L142" i="18"/>
  <c r="M142" i="18"/>
  <c r="N142" i="18"/>
  <c r="J143" i="18"/>
  <c r="K143" i="18"/>
  <c r="L143" i="18"/>
  <c r="M143" i="18"/>
  <c r="N143" i="18"/>
  <c r="J144" i="18"/>
  <c r="K144" i="18"/>
  <c r="L144" i="18"/>
  <c r="M144" i="18"/>
  <c r="N144" i="18"/>
  <c r="J145" i="18"/>
  <c r="K145" i="18"/>
  <c r="L145" i="18"/>
  <c r="M145" i="18"/>
  <c r="N145" i="18"/>
  <c r="J146" i="18"/>
  <c r="K146" i="18"/>
  <c r="L146" i="18"/>
  <c r="M146" i="18"/>
  <c r="N146" i="18"/>
  <c r="J147" i="18"/>
  <c r="K147" i="18"/>
  <c r="L147" i="18"/>
  <c r="M147" i="18"/>
  <c r="N147" i="18"/>
  <c r="J148" i="18"/>
  <c r="K148" i="18"/>
  <c r="L148" i="18"/>
  <c r="M148" i="18"/>
  <c r="N148" i="18"/>
  <c r="J149" i="18"/>
  <c r="K149" i="18"/>
  <c r="L149" i="18"/>
  <c r="M149" i="18"/>
  <c r="N149" i="18"/>
  <c r="J150" i="18"/>
  <c r="K150" i="18"/>
  <c r="L150" i="18"/>
  <c r="M150" i="18"/>
  <c r="N150" i="18"/>
  <c r="J151" i="18"/>
  <c r="K151" i="18"/>
  <c r="L151" i="18"/>
  <c r="M151" i="18"/>
  <c r="N151" i="18"/>
  <c r="J152" i="18"/>
  <c r="K152" i="18"/>
  <c r="L152" i="18"/>
  <c r="M152" i="18"/>
  <c r="N152" i="18"/>
  <c r="J153" i="18"/>
  <c r="K153" i="18"/>
  <c r="L153" i="18"/>
  <c r="M153" i="18"/>
  <c r="N153" i="18"/>
  <c r="J154" i="18"/>
  <c r="K154" i="18"/>
  <c r="L154" i="18"/>
  <c r="M154" i="18"/>
  <c r="N154" i="18"/>
  <c r="J155" i="18"/>
  <c r="K155" i="18"/>
  <c r="L155" i="18"/>
  <c r="M155" i="18"/>
  <c r="N155" i="18"/>
  <c r="J156" i="18"/>
  <c r="K156" i="18"/>
  <c r="L156" i="18"/>
  <c r="M156" i="18"/>
  <c r="N156" i="18"/>
  <c r="J157" i="18"/>
  <c r="K157" i="18"/>
  <c r="L157" i="18"/>
  <c r="M157" i="18"/>
  <c r="N157" i="18"/>
  <c r="J158" i="18"/>
  <c r="K158" i="18"/>
  <c r="L158" i="18"/>
  <c r="M158" i="18"/>
  <c r="N158" i="18"/>
  <c r="J159" i="18"/>
  <c r="K159" i="18"/>
  <c r="L159" i="18"/>
  <c r="M159" i="18"/>
  <c r="N159" i="18"/>
  <c r="J160" i="18"/>
  <c r="K160" i="18"/>
  <c r="L160" i="18"/>
  <c r="M160" i="18"/>
  <c r="N160" i="18"/>
  <c r="J161" i="18"/>
  <c r="K161" i="18"/>
  <c r="L161" i="18"/>
  <c r="M161" i="18"/>
  <c r="N161" i="18"/>
  <c r="J162" i="18"/>
  <c r="K162" i="18"/>
  <c r="L162" i="18"/>
  <c r="M162" i="18"/>
  <c r="N162" i="18"/>
  <c r="J163" i="18"/>
  <c r="K163" i="18"/>
  <c r="L163" i="18"/>
  <c r="M163" i="18"/>
  <c r="N163" i="18"/>
  <c r="J164" i="18"/>
  <c r="K164" i="18"/>
  <c r="L164" i="18"/>
  <c r="M164" i="18"/>
  <c r="N164" i="18"/>
  <c r="J165" i="18"/>
  <c r="K165" i="18"/>
  <c r="L165" i="18"/>
  <c r="M165" i="18"/>
  <c r="N165" i="18"/>
  <c r="J166" i="18"/>
  <c r="K166" i="18"/>
  <c r="L166" i="18"/>
  <c r="M166" i="18"/>
  <c r="N166" i="18"/>
  <c r="J167" i="18"/>
  <c r="K167" i="18"/>
  <c r="L167" i="18"/>
  <c r="M167" i="18"/>
  <c r="N167" i="18"/>
  <c r="J168" i="18"/>
  <c r="K168" i="18"/>
  <c r="L168" i="18"/>
  <c r="M168" i="18"/>
  <c r="N168" i="18"/>
  <c r="J169" i="18"/>
  <c r="K169" i="18"/>
  <c r="L169" i="18"/>
  <c r="M169" i="18"/>
  <c r="N169" i="18"/>
  <c r="J170" i="18"/>
  <c r="K170" i="18"/>
  <c r="L170" i="18"/>
  <c r="M170" i="18"/>
  <c r="N170" i="18"/>
  <c r="J171" i="18"/>
  <c r="K171" i="18"/>
  <c r="L171" i="18"/>
  <c r="M171" i="18"/>
  <c r="N171" i="18"/>
  <c r="J172" i="18"/>
  <c r="K172" i="18"/>
  <c r="L172" i="18"/>
  <c r="M172" i="18"/>
  <c r="N172" i="18"/>
  <c r="J173" i="18"/>
  <c r="K173" i="18"/>
  <c r="L173" i="18"/>
  <c r="M173" i="18"/>
  <c r="N173" i="18"/>
  <c r="J174" i="18"/>
  <c r="K174" i="18"/>
  <c r="L174" i="18"/>
  <c r="M174" i="18"/>
  <c r="N174" i="18"/>
  <c r="J175" i="18"/>
  <c r="K175" i="18"/>
  <c r="L175" i="18"/>
  <c r="M175" i="18"/>
  <c r="N175" i="18"/>
  <c r="J176" i="18"/>
  <c r="K176" i="18"/>
  <c r="L176" i="18"/>
  <c r="M176" i="18"/>
  <c r="N176" i="18"/>
  <c r="J177" i="18"/>
  <c r="K177" i="18"/>
  <c r="L177" i="18"/>
  <c r="M177" i="18"/>
  <c r="N177" i="18"/>
  <c r="J178" i="18"/>
  <c r="K178" i="18"/>
  <c r="L178" i="18"/>
  <c r="M178" i="18"/>
  <c r="N178" i="18"/>
  <c r="J179" i="18"/>
  <c r="K179" i="18"/>
  <c r="L179" i="18"/>
  <c r="M179" i="18"/>
  <c r="N179" i="18"/>
  <c r="J180" i="18"/>
  <c r="K180" i="18"/>
  <c r="L180" i="18"/>
  <c r="M180" i="18"/>
  <c r="N180" i="18"/>
  <c r="J181" i="18"/>
  <c r="K181" i="18"/>
  <c r="L181" i="18"/>
  <c r="M181" i="18"/>
  <c r="N181" i="18"/>
  <c r="J182" i="18"/>
  <c r="K182" i="18"/>
  <c r="L182" i="18"/>
  <c r="M182" i="18"/>
  <c r="N182" i="18"/>
  <c r="J183" i="18"/>
  <c r="K183" i="18"/>
  <c r="L183" i="18"/>
  <c r="M183" i="18"/>
  <c r="N183" i="18"/>
  <c r="J184" i="18"/>
  <c r="K184" i="18"/>
  <c r="L184" i="18"/>
  <c r="M184" i="18"/>
  <c r="N184" i="18"/>
  <c r="J185" i="18"/>
  <c r="K185" i="18"/>
  <c r="L185" i="18"/>
  <c r="M185" i="18"/>
  <c r="N185" i="18"/>
  <c r="J186" i="18"/>
  <c r="K186" i="18"/>
  <c r="L186" i="18"/>
  <c r="M186" i="18"/>
  <c r="N186" i="18"/>
  <c r="J187" i="18"/>
  <c r="K187" i="18"/>
  <c r="L187" i="18"/>
  <c r="M187" i="18"/>
  <c r="N187" i="18"/>
  <c r="J188" i="18"/>
  <c r="K188" i="18"/>
  <c r="L188" i="18"/>
  <c r="M188" i="18"/>
  <c r="N188" i="18"/>
  <c r="J189" i="18"/>
  <c r="K189" i="18"/>
  <c r="L189" i="18"/>
  <c r="M189" i="18"/>
  <c r="N189" i="18"/>
  <c r="J190" i="18"/>
  <c r="K190" i="18"/>
  <c r="L190" i="18"/>
  <c r="M190" i="18"/>
  <c r="N190" i="18"/>
  <c r="J191" i="18"/>
  <c r="K191" i="18"/>
  <c r="L191" i="18"/>
  <c r="M191" i="18"/>
  <c r="N191" i="18"/>
  <c r="J192" i="18"/>
  <c r="K192" i="18"/>
  <c r="L192" i="18"/>
  <c r="M192" i="18"/>
  <c r="N192" i="18"/>
  <c r="J193" i="18"/>
  <c r="K193" i="18"/>
  <c r="L193" i="18"/>
  <c r="M193" i="18"/>
  <c r="N193" i="18"/>
  <c r="J194" i="18"/>
  <c r="K194" i="18"/>
  <c r="L194" i="18"/>
  <c r="M194" i="18"/>
  <c r="N194" i="18"/>
  <c r="J195" i="18"/>
  <c r="K195" i="18"/>
  <c r="L195" i="18"/>
  <c r="M195" i="18"/>
  <c r="N195" i="18"/>
  <c r="J196" i="18"/>
  <c r="K196" i="18"/>
  <c r="L196" i="18"/>
  <c r="M196" i="18"/>
  <c r="N196" i="18"/>
  <c r="J197" i="18"/>
  <c r="K197" i="18"/>
  <c r="L197" i="18"/>
  <c r="M197" i="18"/>
  <c r="N197" i="18"/>
  <c r="J198" i="18"/>
  <c r="K198" i="18"/>
  <c r="L198" i="18"/>
  <c r="M198" i="18"/>
  <c r="N198" i="18"/>
  <c r="J199" i="18"/>
  <c r="K199" i="18"/>
  <c r="L199" i="18"/>
  <c r="M199" i="18"/>
  <c r="N199" i="18"/>
  <c r="J200" i="18"/>
  <c r="K200" i="18"/>
  <c r="L200" i="18"/>
  <c r="M200" i="18"/>
  <c r="N200" i="18"/>
  <c r="J201" i="18"/>
  <c r="K201" i="18"/>
  <c r="L201" i="18"/>
  <c r="M201" i="18"/>
  <c r="N201" i="18"/>
  <c r="J202" i="18"/>
  <c r="K202" i="18"/>
  <c r="L202" i="18"/>
  <c r="M202" i="18"/>
  <c r="N202" i="18"/>
  <c r="J203" i="18"/>
  <c r="K203" i="18"/>
  <c r="L203" i="18"/>
  <c r="M203" i="18"/>
  <c r="N203" i="18"/>
  <c r="J204" i="18"/>
  <c r="K204" i="18"/>
  <c r="L204" i="18"/>
  <c r="M204" i="18"/>
  <c r="N204" i="18"/>
  <c r="J205" i="18"/>
  <c r="K205" i="18"/>
  <c r="L205" i="18"/>
  <c r="M205" i="18"/>
  <c r="N205" i="18"/>
  <c r="J206" i="18"/>
  <c r="K206" i="18"/>
  <c r="L206" i="18"/>
  <c r="M206" i="18"/>
  <c r="N206" i="18"/>
  <c r="J207" i="18"/>
  <c r="K207" i="18"/>
  <c r="L207" i="18"/>
  <c r="M207" i="18"/>
  <c r="N207" i="18"/>
  <c r="J208" i="18"/>
  <c r="K208" i="18"/>
  <c r="L208" i="18"/>
  <c r="M208" i="18"/>
  <c r="N208" i="18"/>
  <c r="J209" i="18"/>
  <c r="K209" i="18"/>
  <c r="L209" i="18"/>
  <c r="M209" i="18"/>
  <c r="N209" i="18"/>
  <c r="J210" i="18"/>
  <c r="K210" i="18"/>
  <c r="L210" i="18"/>
  <c r="M210" i="18"/>
  <c r="N210" i="18"/>
  <c r="J211" i="18"/>
  <c r="K211" i="18"/>
  <c r="L211" i="18"/>
  <c r="M211" i="18"/>
  <c r="N211" i="18"/>
  <c r="J212" i="18"/>
  <c r="K212" i="18"/>
  <c r="L212" i="18"/>
  <c r="M212" i="18"/>
  <c r="N212" i="18"/>
  <c r="J213" i="18"/>
  <c r="K213" i="18"/>
  <c r="L213" i="18"/>
  <c r="M213" i="18"/>
  <c r="N213" i="18"/>
  <c r="J214" i="18"/>
  <c r="K214" i="18"/>
  <c r="L214" i="18"/>
  <c r="M214" i="18"/>
  <c r="N214" i="18"/>
  <c r="J215" i="18"/>
  <c r="K215" i="18"/>
  <c r="L215" i="18"/>
  <c r="M215" i="18"/>
  <c r="N215" i="18"/>
  <c r="J216" i="18"/>
  <c r="K216" i="18"/>
  <c r="L216" i="18"/>
  <c r="M216" i="18"/>
  <c r="N216" i="18"/>
  <c r="J217" i="18"/>
  <c r="K217" i="18"/>
  <c r="L217" i="18"/>
  <c r="M217" i="18"/>
  <c r="N217" i="18"/>
  <c r="J218" i="18"/>
  <c r="K218" i="18"/>
  <c r="L218" i="18"/>
  <c r="M218" i="18"/>
  <c r="N218" i="18"/>
  <c r="J219" i="18"/>
  <c r="K219" i="18"/>
  <c r="L219" i="18"/>
  <c r="M219" i="18"/>
  <c r="N219" i="18"/>
  <c r="J220" i="18"/>
  <c r="K220" i="18"/>
  <c r="L220" i="18"/>
  <c r="M220" i="18"/>
  <c r="N220" i="18"/>
  <c r="J221" i="18"/>
  <c r="K221" i="18"/>
  <c r="L221" i="18"/>
  <c r="M221" i="18"/>
  <c r="N221" i="18"/>
  <c r="J222" i="18"/>
  <c r="K222" i="18"/>
  <c r="L222" i="18"/>
  <c r="M222" i="18"/>
  <c r="N222" i="18"/>
  <c r="J223" i="18"/>
  <c r="K223" i="18"/>
  <c r="L223" i="18"/>
  <c r="M223" i="18"/>
  <c r="N223" i="18"/>
  <c r="J224" i="18"/>
  <c r="K224" i="18"/>
  <c r="L224" i="18"/>
  <c r="M224" i="18"/>
  <c r="N224" i="18"/>
  <c r="J225" i="18"/>
  <c r="K225" i="18"/>
  <c r="L225" i="18"/>
  <c r="M225" i="18"/>
  <c r="N225" i="18"/>
  <c r="J226" i="18"/>
  <c r="K226" i="18"/>
  <c r="L226" i="18"/>
  <c r="M226" i="18"/>
  <c r="N226" i="18"/>
  <c r="J227" i="18"/>
  <c r="K227" i="18"/>
  <c r="L227" i="18"/>
  <c r="M227" i="18"/>
  <c r="N227" i="18"/>
  <c r="J228" i="18"/>
  <c r="K228" i="18"/>
  <c r="L228" i="18"/>
  <c r="M228" i="18"/>
  <c r="N228" i="18"/>
  <c r="J229" i="18"/>
  <c r="K229" i="18"/>
  <c r="L229" i="18"/>
  <c r="M229" i="18"/>
  <c r="N229" i="18"/>
  <c r="J230" i="18"/>
  <c r="K230" i="18"/>
  <c r="L230" i="18"/>
  <c r="M230" i="18"/>
  <c r="N230" i="18"/>
  <c r="J231" i="18"/>
  <c r="K231" i="18"/>
  <c r="L231" i="18"/>
  <c r="M231" i="18"/>
  <c r="N231" i="18"/>
  <c r="J232" i="18"/>
  <c r="K232" i="18"/>
  <c r="L232" i="18"/>
  <c r="M232" i="18"/>
  <c r="N232" i="18"/>
  <c r="J233" i="18"/>
  <c r="K233" i="18"/>
  <c r="L233" i="18"/>
  <c r="M233" i="18"/>
  <c r="N233" i="18"/>
  <c r="J234" i="18"/>
  <c r="K234" i="18"/>
  <c r="L234" i="18"/>
  <c r="M234" i="18"/>
  <c r="N234" i="18"/>
  <c r="J235" i="18"/>
  <c r="K235" i="18"/>
  <c r="L235" i="18"/>
  <c r="M235" i="18"/>
  <c r="N235" i="18"/>
  <c r="J236" i="18"/>
  <c r="K236" i="18"/>
  <c r="L236" i="18"/>
  <c r="M236" i="18"/>
  <c r="N236" i="18"/>
  <c r="J237" i="18"/>
  <c r="K237" i="18"/>
  <c r="L237" i="18"/>
  <c r="M237" i="18"/>
  <c r="N237" i="18"/>
  <c r="J238" i="18"/>
  <c r="K238" i="18"/>
  <c r="L238" i="18"/>
  <c r="M238" i="18"/>
  <c r="N238" i="18"/>
  <c r="J239" i="18"/>
  <c r="K239" i="18"/>
  <c r="L239" i="18"/>
  <c r="M239" i="18"/>
  <c r="N239" i="18"/>
  <c r="J240" i="18"/>
  <c r="K240" i="18"/>
  <c r="L240" i="18"/>
  <c r="M240" i="18"/>
  <c r="N240" i="18"/>
  <c r="J241" i="18"/>
  <c r="K241" i="18"/>
  <c r="L241" i="18"/>
  <c r="M241" i="18"/>
  <c r="N241" i="18"/>
  <c r="J242" i="18"/>
  <c r="K242" i="18"/>
  <c r="L242" i="18"/>
  <c r="M242" i="18"/>
  <c r="N242" i="18"/>
  <c r="J243" i="18"/>
  <c r="K243" i="18"/>
  <c r="L243" i="18"/>
  <c r="M243" i="18"/>
  <c r="N243" i="18"/>
  <c r="J244" i="18"/>
  <c r="K244" i="18"/>
  <c r="L244" i="18"/>
  <c r="M244" i="18"/>
  <c r="N244" i="18"/>
  <c r="J245" i="18"/>
  <c r="K245" i="18"/>
  <c r="L245" i="18"/>
  <c r="M245" i="18"/>
  <c r="N245" i="18"/>
  <c r="J246" i="18"/>
  <c r="K246" i="18"/>
  <c r="L246" i="18"/>
  <c r="M246" i="18"/>
  <c r="N246" i="18"/>
  <c r="J247" i="18"/>
  <c r="K247" i="18"/>
  <c r="L247" i="18"/>
  <c r="M247" i="18"/>
  <c r="N247" i="18"/>
  <c r="J248" i="18"/>
  <c r="K248" i="18"/>
  <c r="L248" i="18"/>
  <c r="M248" i="18"/>
  <c r="N248" i="18"/>
  <c r="J249" i="18"/>
  <c r="K249" i="18"/>
  <c r="L249" i="18"/>
  <c r="M249" i="18"/>
  <c r="N249" i="18"/>
  <c r="J250" i="18"/>
  <c r="K250" i="18"/>
  <c r="L250" i="18"/>
  <c r="M250" i="18"/>
  <c r="N250" i="18"/>
  <c r="J251" i="18"/>
  <c r="K251" i="18"/>
  <c r="L251" i="18"/>
  <c r="M251" i="18"/>
  <c r="N251" i="18"/>
  <c r="J252" i="18"/>
  <c r="K252" i="18"/>
  <c r="L252" i="18"/>
  <c r="M252" i="18"/>
  <c r="N252" i="18"/>
  <c r="J253" i="18"/>
  <c r="K253" i="18"/>
  <c r="L253" i="18"/>
  <c r="M253" i="18"/>
  <c r="N253" i="18"/>
  <c r="J254" i="18"/>
  <c r="K254" i="18"/>
  <c r="L254" i="18"/>
  <c r="M254" i="18"/>
  <c r="N254" i="18"/>
  <c r="J255" i="18"/>
  <c r="K255" i="18"/>
  <c r="L255" i="18"/>
  <c r="M255" i="18"/>
  <c r="N255" i="18"/>
  <c r="J256" i="18"/>
  <c r="K256" i="18"/>
  <c r="L256" i="18"/>
  <c r="M256" i="18"/>
  <c r="N256" i="18"/>
  <c r="J257" i="18"/>
  <c r="K257" i="18"/>
  <c r="L257" i="18"/>
  <c r="M257" i="18"/>
  <c r="N257" i="18"/>
  <c r="J258" i="18"/>
  <c r="K258" i="18"/>
  <c r="L258" i="18"/>
  <c r="M258" i="18"/>
  <c r="N258" i="18"/>
  <c r="J259" i="18"/>
  <c r="K259" i="18"/>
  <c r="L259" i="18"/>
  <c r="M259" i="18"/>
  <c r="N259" i="18"/>
  <c r="J260" i="18"/>
  <c r="K260" i="18"/>
  <c r="L260" i="18"/>
  <c r="M260" i="18"/>
  <c r="N260" i="18"/>
  <c r="J261" i="18"/>
  <c r="K261" i="18"/>
  <c r="L261" i="18"/>
  <c r="M261" i="18"/>
  <c r="N261" i="18"/>
  <c r="J262" i="18"/>
  <c r="K262" i="18"/>
  <c r="L262" i="18"/>
  <c r="M262" i="18"/>
  <c r="N262" i="18"/>
  <c r="J263" i="18"/>
  <c r="K263" i="18"/>
  <c r="L263" i="18"/>
  <c r="M263" i="18"/>
  <c r="N263" i="18"/>
  <c r="J264" i="18"/>
  <c r="K264" i="18"/>
  <c r="L264" i="18"/>
  <c r="M264" i="18"/>
  <c r="N264" i="18"/>
  <c r="J265" i="18"/>
  <c r="K265" i="18"/>
  <c r="L265" i="18"/>
  <c r="M265" i="18"/>
  <c r="N265" i="18"/>
  <c r="J266" i="18"/>
  <c r="K266" i="18"/>
  <c r="L266" i="18"/>
  <c r="M266" i="18"/>
  <c r="N266" i="18"/>
  <c r="J267" i="18"/>
  <c r="K267" i="18"/>
  <c r="L267" i="18"/>
  <c r="M267" i="18"/>
  <c r="N267" i="18"/>
  <c r="J268" i="18"/>
  <c r="K268" i="18"/>
  <c r="L268" i="18"/>
  <c r="M268" i="18"/>
  <c r="N268" i="18"/>
  <c r="J269" i="18"/>
  <c r="K269" i="18"/>
  <c r="L269" i="18"/>
  <c r="M269" i="18"/>
  <c r="N269" i="18"/>
  <c r="J270" i="18"/>
  <c r="K270" i="18"/>
  <c r="L270" i="18"/>
  <c r="M270" i="18"/>
  <c r="N270" i="18"/>
  <c r="J271" i="18"/>
  <c r="K271" i="18"/>
  <c r="L271" i="18"/>
  <c r="M271" i="18"/>
  <c r="N271" i="18"/>
  <c r="J272" i="18"/>
  <c r="K272" i="18"/>
  <c r="L272" i="18"/>
  <c r="M272" i="18"/>
  <c r="N272" i="18"/>
  <c r="J273" i="18"/>
  <c r="K273" i="18"/>
  <c r="L273" i="18"/>
  <c r="M273" i="18"/>
  <c r="N273" i="18"/>
  <c r="J274" i="18"/>
  <c r="K274" i="18"/>
  <c r="L274" i="18"/>
  <c r="M274" i="18"/>
  <c r="N274" i="18"/>
  <c r="J275" i="18"/>
  <c r="K275" i="18"/>
  <c r="L275" i="18"/>
  <c r="M275" i="18"/>
  <c r="N275" i="18"/>
  <c r="J276" i="18"/>
  <c r="K276" i="18"/>
  <c r="L276" i="18"/>
  <c r="M276" i="18"/>
  <c r="N276" i="18"/>
  <c r="J277" i="18"/>
  <c r="K277" i="18"/>
  <c r="L277" i="18"/>
  <c r="M277" i="18"/>
  <c r="N277" i="18"/>
  <c r="J278" i="18"/>
  <c r="K278" i="18"/>
  <c r="L278" i="18"/>
  <c r="M278" i="18"/>
  <c r="N278" i="18"/>
  <c r="J279" i="18"/>
  <c r="K279" i="18"/>
  <c r="L279" i="18"/>
  <c r="M279" i="18"/>
  <c r="N279" i="18"/>
  <c r="J280" i="18"/>
  <c r="K280" i="18"/>
  <c r="L280" i="18"/>
  <c r="M280" i="18"/>
  <c r="N280" i="18"/>
  <c r="J281" i="18"/>
  <c r="K281" i="18"/>
  <c r="L281" i="18"/>
  <c r="M281" i="18"/>
  <c r="N281" i="18"/>
  <c r="J282" i="18"/>
  <c r="K282" i="18"/>
  <c r="L282" i="18"/>
  <c r="M282" i="18"/>
  <c r="N282" i="18"/>
  <c r="J283" i="18"/>
  <c r="K283" i="18"/>
  <c r="L283" i="18"/>
  <c r="M283" i="18"/>
  <c r="N283" i="18"/>
  <c r="J284" i="18"/>
  <c r="K284" i="18"/>
  <c r="L284" i="18"/>
  <c r="M284" i="18"/>
  <c r="N284" i="18"/>
  <c r="J285" i="18"/>
  <c r="K285" i="18"/>
  <c r="L285" i="18"/>
  <c r="M285" i="18"/>
  <c r="N285" i="18"/>
  <c r="J286" i="18"/>
  <c r="K286" i="18"/>
  <c r="L286" i="18"/>
  <c r="M286" i="18"/>
  <c r="N286" i="18"/>
  <c r="J287" i="18"/>
  <c r="K287" i="18"/>
  <c r="L287" i="18"/>
  <c r="M287" i="18"/>
  <c r="N287" i="18"/>
  <c r="J288" i="18"/>
  <c r="K288" i="18"/>
  <c r="L288" i="18"/>
  <c r="M288" i="18"/>
  <c r="N288" i="18"/>
  <c r="J289" i="18"/>
  <c r="K289" i="18"/>
  <c r="L289" i="18"/>
  <c r="M289" i="18"/>
  <c r="N289" i="18"/>
  <c r="J290" i="18"/>
  <c r="K290" i="18"/>
  <c r="L290" i="18"/>
  <c r="M290" i="18"/>
  <c r="N290" i="18"/>
  <c r="J291" i="18"/>
  <c r="K291" i="18"/>
  <c r="L291" i="18"/>
  <c r="M291" i="18"/>
  <c r="N291" i="18"/>
  <c r="J292" i="18"/>
  <c r="K292" i="18"/>
  <c r="L292" i="18"/>
  <c r="M292" i="18"/>
  <c r="N292" i="18"/>
  <c r="J293" i="18"/>
  <c r="K293" i="18"/>
  <c r="L293" i="18"/>
  <c r="M293" i="18"/>
  <c r="N293" i="18"/>
  <c r="J294" i="18"/>
  <c r="K294" i="18"/>
  <c r="L294" i="18"/>
  <c r="M294" i="18"/>
  <c r="N294" i="18"/>
  <c r="J295" i="18"/>
  <c r="K295" i="18"/>
  <c r="L295" i="18"/>
  <c r="M295" i="18"/>
  <c r="N295" i="18"/>
  <c r="J296" i="18"/>
  <c r="K296" i="18"/>
  <c r="L296" i="18"/>
  <c r="M296" i="18"/>
  <c r="N296" i="18"/>
  <c r="J297" i="18"/>
  <c r="K297" i="18"/>
  <c r="L297" i="18"/>
  <c r="M297" i="18"/>
  <c r="N297" i="18"/>
  <c r="J298" i="18"/>
  <c r="K298" i="18"/>
  <c r="L298" i="18"/>
  <c r="M298" i="18"/>
  <c r="N298" i="18"/>
  <c r="J299" i="18"/>
  <c r="K299" i="18"/>
  <c r="L299" i="18"/>
  <c r="M299" i="18"/>
  <c r="N299" i="18"/>
  <c r="J300" i="18"/>
  <c r="K300" i="18"/>
  <c r="L300" i="18"/>
  <c r="M300" i="18"/>
  <c r="N300" i="18"/>
  <c r="J301" i="18"/>
  <c r="K301" i="18"/>
  <c r="L301" i="18"/>
  <c r="M301" i="18"/>
  <c r="N301" i="18"/>
  <c r="J302" i="18"/>
  <c r="K302" i="18"/>
  <c r="L302" i="18"/>
  <c r="M302" i="18"/>
  <c r="N302" i="18"/>
  <c r="J303" i="18"/>
  <c r="K303" i="18"/>
  <c r="L303" i="18"/>
  <c r="M303" i="18"/>
  <c r="N303" i="18"/>
  <c r="J304" i="18"/>
  <c r="K304" i="18"/>
  <c r="L304" i="18"/>
  <c r="M304" i="18"/>
  <c r="N304" i="18"/>
  <c r="J305" i="18"/>
  <c r="K305" i="18"/>
  <c r="L305" i="18"/>
  <c r="M305" i="18"/>
  <c r="N305" i="18"/>
  <c r="J306" i="18"/>
  <c r="K306" i="18"/>
  <c r="L306" i="18"/>
  <c r="M306" i="18"/>
  <c r="N306" i="18"/>
  <c r="J307" i="18"/>
  <c r="K307" i="18"/>
  <c r="L307" i="18"/>
  <c r="M307" i="18"/>
  <c r="N307" i="18"/>
  <c r="J308" i="18"/>
  <c r="K308" i="18"/>
  <c r="L308" i="18"/>
  <c r="M308" i="18"/>
  <c r="N308" i="18"/>
  <c r="J309" i="18"/>
  <c r="K309" i="18"/>
  <c r="L309" i="18"/>
  <c r="M309" i="18"/>
  <c r="N309" i="18"/>
  <c r="J310" i="18"/>
  <c r="K310" i="18"/>
  <c r="L310" i="18"/>
  <c r="M310" i="18"/>
  <c r="N310" i="18"/>
  <c r="J311" i="18"/>
  <c r="K311" i="18"/>
  <c r="L311" i="18"/>
  <c r="M311" i="18"/>
  <c r="N311" i="18"/>
  <c r="J312" i="18"/>
  <c r="K312" i="18"/>
  <c r="L312" i="18"/>
  <c r="M312" i="18"/>
  <c r="N312" i="18"/>
  <c r="J313" i="18"/>
  <c r="K313" i="18"/>
  <c r="L313" i="18"/>
  <c r="M313" i="18"/>
  <c r="N313" i="18"/>
  <c r="J314" i="18"/>
  <c r="K314" i="18"/>
  <c r="L314" i="18"/>
  <c r="M314" i="18"/>
  <c r="N314" i="18"/>
  <c r="J315" i="18"/>
  <c r="K315" i="18"/>
  <c r="L315" i="18"/>
  <c r="M315" i="18"/>
  <c r="N315" i="18"/>
  <c r="J316" i="18"/>
  <c r="K316" i="18"/>
  <c r="L316" i="18"/>
  <c r="M316" i="18"/>
  <c r="N316" i="18"/>
  <c r="J317" i="18"/>
  <c r="K317" i="18"/>
  <c r="L317" i="18"/>
  <c r="M317" i="18"/>
  <c r="N317" i="18"/>
  <c r="J318" i="18"/>
  <c r="K318" i="18"/>
  <c r="L318" i="18"/>
  <c r="M318" i="18"/>
  <c r="N318" i="18"/>
  <c r="J319" i="18"/>
  <c r="K319" i="18"/>
  <c r="L319" i="18"/>
  <c r="M319" i="18"/>
  <c r="N319" i="18"/>
  <c r="J320" i="18"/>
  <c r="K320" i="18"/>
  <c r="L320" i="18"/>
  <c r="M320" i="18"/>
  <c r="N320" i="18"/>
  <c r="J321" i="18"/>
  <c r="K321" i="18"/>
  <c r="L321" i="18"/>
  <c r="M321" i="18"/>
  <c r="N321" i="18"/>
  <c r="J322" i="18"/>
  <c r="K322" i="18"/>
  <c r="L322" i="18"/>
  <c r="M322" i="18"/>
  <c r="N322" i="18"/>
  <c r="J323" i="18"/>
  <c r="K323" i="18"/>
  <c r="L323" i="18"/>
  <c r="M323" i="18"/>
  <c r="N323" i="18"/>
  <c r="J324" i="18"/>
  <c r="K324" i="18"/>
  <c r="L324" i="18"/>
  <c r="M324" i="18"/>
  <c r="N324" i="18"/>
  <c r="J325" i="18"/>
  <c r="K325" i="18"/>
  <c r="L325" i="18"/>
  <c r="M325" i="18"/>
  <c r="N325" i="18"/>
  <c r="J326" i="18"/>
  <c r="K326" i="18"/>
  <c r="L326" i="18"/>
  <c r="M326" i="18"/>
  <c r="N326" i="18"/>
  <c r="J327" i="18"/>
  <c r="K327" i="18"/>
  <c r="L327" i="18"/>
  <c r="M327" i="18"/>
  <c r="N327" i="18"/>
  <c r="J328" i="18"/>
  <c r="K328" i="18"/>
  <c r="L328" i="18"/>
  <c r="M328" i="18"/>
  <c r="N328" i="18"/>
  <c r="J329" i="18"/>
  <c r="K329" i="18"/>
  <c r="L329" i="18"/>
  <c r="M329" i="18"/>
  <c r="N329" i="18"/>
  <c r="J330" i="18"/>
  <c r="K330" i="18"/>
  <c r="L330" i="18"/>
  <c r="M330" i="18"/>
  <c r="N330" i="18"/>
  <c r="J331" i="18"/>
  <c r="K331" i="18"/>
  <c r="L331" i="18"/>
  <c r="M331" i="18"/>
  <c r="N331" i="18"/>
  <c r="J332" i="18"/>
  <c r="K332" i="18"/>
  <c r="L332" i="18"/>
  <c r="M332" i="18"/>
  <c r="N332" i="18"/>
  <c r="J333" i="18"/>
  <c r="K333" i="18"/>
  <c r="L333" i="18"/>
  <c r="M333" i="18"/>
  <c r="N333" i="18"/>
  <c r="J334" i="18"/>
  <c r="K334" i="18"/>
  <c r="L334" i="18"/>
  <c r="M334" i="18"/>
  <c r="N334" i="18"/>
  <c r="J335" i="18"/>
  <c r="K335" i="18"/>
  <c r="L335" i="18"/>
  <c r="M335" i="18"/>
  <c r="N335" i="18"/>
  <c r="J336" i="18"/>
  <c r="K336" i="18"/>
  <c r="L336" i="18"/>
  <c r="M336" i="18"/>
  <c r="N336" i="18"/>
  <c r="J337" i="18"/>
  <c r="K337" i="18"/>
  <c r="L337" i="18"/>
  <c r="M337" i="18"/>
  <c r="N337" i="18"/>
  <c r="J338" i="18"/>
  <c r="K338" i="18"/>
  <c r="L338" i="18"/>
  <c r="M338" i="18"/>
  <c r="N338" i="18"/>
  <c r="J339" i="18"/>
  <c r="K339" i="18"/>
  <c r="L339" i="18"/>
  <c r="M339" i="18"/>
  <c r="N339" i="18"/>
  <c r="J340" i="18"/>
  <c r="K340" i="18"/>
  <c r="L340" i="18"/>
  <c r="M340" i="18"/>
  <c r="N340" i="18"/>
  <c r="J341" i="18"/>
  <c r="K341" i="18"/>
  <c r="L341" i="18"/>
  <c r="M341" i="18"/>
  <c r="N341" i="18"/>
  <c r="J342" i="18"/>
  <c r="K342" i="18"/>
  <c r="L342" i="18"/>
  <c r="M342" i="18"/>
  <c r="N342" i="18"/>
  <c r="J343" i="18"/>
  <c r="K343" i="18"/>
  <c r="L343" i="18"/>
  <c r="M343" i="18"/>
  <c r="N343" i="18"/>
  <c r="J344" i="18"/>
  <c r="K344" i="18"/>
  <c r="L344" i="18"/>
  <c r="M344" i="18"/>
  <c r="N344" i="18"/>
  <c r="J345" i="18"/>
  <c r="K345" i="18"/>
  <c r="L345" i="18"/>
  <c r="M345" i="18"/>
  <c r="N345" i="18"/>
  <c r="J346" i="18"/>
  <c r="K346" i="18"/>
  <c r="L346" i="18"/>
  <c r="M346" i="18"/>
  <c r="N346" i="18"/>
  <c r="J347" i="18"/>
  <c r="K347" i="18"/>
  <c r="L347" i="18"/>
  <c r="M347" i="18"/>
  <c r="N347" i="18"/>
  <c r="J348" i="18"/>
  <c r="K348" i="18"/>
  <c r="L348" i="18"/>
  <c r="M348" i="18"/>
  <c r="N348" i="18"/>
  <c r="J349" i="18"/>
  <c r="K349" i="18"/>
  <c r="L349" i="18"/>
  <c r="M349" i="18"/>
  <c r="N349" i="18"/>
  <c r="J350" i="18"/>
  <c r="K350" i="18"/>
  <c r="L350" i="18"/>
  <c r="M350" i="18"/>
  <c r="N350" i="18"/>
  <c r="J351" i="18"/>
  <c r="K351" i="18"/>
  <c r="L351" i="18"/>
  <c r="M351" i="18"/>
  <c r="N351" i="18"/>
  <c r="J352" i="18"/>
  <c r="K352" i="18"/>
  <c r="L352" i="18"/>
  <c r="M352" i="18"/>
  <c r="N352" i="18"/>
  <c r="J353" i="18"/>
  <c r="K353" i="18"/>
  <c r="L353" i="18"/>
  <c r="M353" i="18"/>
  <c r="N353" i="18"/>
  <c r="J354" i="18"/>
  <c r="K354" i="18"/>
  <c r="L354" i="18"/>
  <c r="M354" i="18"/>
  <c r="N354" i="18"/>
  <c r="J355" i="18"/>
  <c r="K355" i="18"/>
  <c r="L355" i="18"/>
  <c r="M355" i="18"/>
  <c r="N355" i="18"/>
  <c r="J356" i="18"/>
  <c r="K356" i="18"/>
  <c r="L356" i="18"/>
  <c r="M356" i="18"/>
  <c r="N356" i="18"/>
  <c r="J357" i="18"/>
  <c r="K357" i="18"/>
  <c r="L357" i="18"/>
  <c r="M357" i="18"/>
  <c r="N357" i="18"/>
  <c r="J358" i="18"/>
  <c r="K358" i="18"/>
  <c r="L358" i="18"/>
  <c r="M358" i="18"/>
  <c r="N358" i="18"/>
  <c r="J359" i="18"/>
  <c r="K359" i="18"/>
  <c r="L359" i="18"/>
  <c r="M359" i="18"/>
  <c r="N359" i="18"/>
  <c r="J360" i="18"/>
  <c r="K360" i="18"/>
  <c r="L360" i="18"/>
  <c r="M360" i="18"/>
  <c r="N360" i="18"/>
  <c r="J361" i="18"/>
  <c r="K361" i="18"/>
  <c r="L361" i="18"/>
  <c r="M361" i="18"/>
  <c r="N361" i="18"/>
  <c r="J362" i="18"/>
  <c r="K362" i="18"/>
  <c r="L362" i="18"/>
  <c r="M362" i="18"/>
  <c r="N362" i="18"/>
  <c r="J363" i="18"/>
  <c r="K363" i="18"/>
  <c r="L363" i="18"/>
  <c r="M363" i="18"/>
  <c r="N363" i="18"/>
  <c r="J364" i="18"/>
  <c r="K364" i="18"/>
  <c r="L364" i="18"/>
  <c r="M364" i="18"/>
  <c r="N364" i="18"/>
  <c r="J365" i="18"/>
  <c r="K365" i="18"/>
  <c r="L365" i="18"/>
  <c r="M365" i="18"/>
  <c r="N365" i="18"/>
  <c r="J366" i="18"/>
  <c r="K366" i="18"/>
  <c r="L366" i="18"/>
  <c r="M366" i="18"/>
  <c r="N366" i="18"/>
  <c r="J367" i="18"/>
  <c r="K367" i="18"/>
  <c r="L367" i="18"/>
  <c r="M367" i="18"/>
  <c r="N367" i="18"/>
  <c r="J368" i="18"/>
  <c r="K368" i="18"/>
  <c r="L368" i="18"/>
  <c r="M368" i="18"/>
  <c r="N368" i="18"/>
  <c r="J369" i="18"/>
  <c r="K369" i="18"/>
  <c r="L369" i="18"/>
  <c r="M369" i="18"/>
  <c r="N369" i="18"/>
  <c r="J370" i="18"/>
  <c r="K370" i="18"/>
  <c r="L370" i="18"/>
  <c r="M370" i="18"/>
  <c r="N370" i="18"/>
  <c r="J371" i="18"/>
  <c r="K371" i="18"/>
  <c r="L371" i="18"/>
  <c r="M371" i="18"/>
  <c r="N371" i="18"/>
  <c r="J372" i="18"/>
  <c r="K372" i="18"/>
  <c r="L372" i="18"/>
  <c r="M372" i="18"/>
  <c r="N372" i="18"/>
  <c r="J373" i="18"/>
  <c r="K373" i="18"/>
  <c r="L373" i="18"/>
  <c r="M373" i="18"/>
  <c r="N373" i="18"/>
  <c r="J374" i="18"/>
  <c r="K374" i="18"/>
  <c r="L374" i="18"/>
  <c r="M374" i="18"/>
  <c r="N374" i="18"/>
  <c r="J375" i="18"/>
  <c r="K375" i="18"/>
  <c r="L375" i="18"/>
  <c r="M375" i="18"/>
  <c r="N375" i="18"/>
  <c r="J376" i="18"/>
  <c r="K376" i="18"/>
  <c r="L376" i="18"/>
  <c r="M376" i="18"/>
  <c r="N376" i="18"/>
  <c r="J377" i="18"/>
  <c r="K377" i="18"/>
  <c r="L377" i="18"/>
  <c r="M377" i="18"/>
  <c r="N377" i="18"/>
  <c r="J378" i="18"/>
  <c r="K378" i="18"/>
  <c r="L378" i="18"/>
  <c r="M378" i="18"/>
  <c r="N378" i="18"/>
  <c r="J379" i="18"/>
  <c r="K379" i="18"/>
  <c r="L379" i="18"/>
  <c r="M379" i="18"/>
  <c r="N379" i="18"/>
  <c r="J380" i="18"/>
  <c r="K380" i="18"/>
  <c r="L380" i="18"/>
  <c r="M380" i="18"/>
  <c r="N380" i="18"/>
  <c r="AC48" i="18"/>
  <c r="AB48" i="18"/>
  <c r="AA48" i="18"/>
  <c r="Z48" i="18"/>
  <c r="Y48" i="18"/>
  <c r="AC47" i="18"/>
  <c r="AB47" i="18"/>
  <c r="AA47" i="18"/>
  <c r="Z47" i="18"/>
  <c r="Y47" i="18"/>
  <c r="AC46" i="18"/>
  <c r="AB46" i="18"/>
  <c r="AA46" i="18"/>
  <c r="Z46" i="18"/>
  <c r="Y46" i="18"/>
  <c r="AC45" i="18"/>
  <c r="AB45" i="18"/>
  <c r="AA45" i="18"/>
  <c r="Z45" i="18"/>
  <c r="Y45" i="18"/>
  <c r="AC44" i="18"/>
  <c r="AB44" i="18"/>
  <c r="AA44" i="18"/>
  <c r="Z44" i="18"/>
  <c r="Y44" i="18"/>
  <c r="AC43" i="18"/>
  <c r="AB43" i="18"/>
  <c r="AA43" i="18"/>
  <c r="Z43" i="18"/>
  <c r="Y43" i="18"/>
  <c r="AC42" i="18"/>
  <c r="AB42" i="18"/>
  <c r="AA42" i="18"/>
  <c r="Z42" i="18"/>
  <c r="Y42" i="18"/>
  <c r="AC41" i="18"/>
  <c r="AB41" i="18"/>
  <c r="AA41" i="18"/>
  <c r="Z41" i="18"/>
  <c r="Y41" i="18"/>
  <c r="AC40" i="18"/>
  <c r="AB40" i="18"/>
  <c r="AA40" i="18"/>
  <c r="Z40" i="18"/>
  <c r="Y40" i="18"/>
  <c r="AC39" i="18"/>
  <c r="AB39" i="18"/>
  <c r="AA39" i="18"/>
  <c r="Z39" i="18"/>
  <c r="Y39" i="18"/>
  <c r="AC38" i="18"/>
  <c r="AB38" i="18"/>
  <c r="AA38" i="18"/>
  <c r="Z38" i="18"/>
  <c r="Y38" i="18"/>
  <c r="AC37" i="18"/>
  <c r="AB37" i="18"/>
  <c r="AA37" i="18"/>
  <c r="Z37" i="18"/>
  <c r="Y37" i="18"/>
  <c r="AC36" i="18"/>
  <c r="AB36" i="18"/>
  <c r="AA36" i="18"/>
  <c r="Z36" i="18"/>
  <c r="Y36" i="18"/>
  <c r="AC35" i="18"/>
  <c r="AB35" i="18"/>
  <c r="AA35" i="18"/>
  <c r="Z35" i="18"/>
  <c r="Y35" i="18"/>
  <c r="AC34" i="18"/>
  <c r="AB34" i="18"/>
  <c r="AA34" i="18"/>
  <c r="Z34" i="18"/>
  <c r="Y34" i="18"/>
  <c r="AC33" i="18"/>
  <c r="AB33" i="18"/>
  <c r="AA33" i="18"/>
  <c r="Z33" i="18"/>
  <c r="Y33" i="18"/>
  <c r="AC32" i="18"/>
  <c r="AB32" i="18"/>
  <c r="AA32" i="18"/>
  <c r="Z32" i="18"/>
  <c r="Y32" i="18"/>
  <c r="AC31" i="18"/>
  <c r="AB31" i="18"/>
  <c r="AA31" i="18"/>
  <c r="Z31" i="18"/>
  <c r="Y31" i="18"/>
  <c r="AC30" i="18"/>
  <c r="AB30" i="18"/>
  <c r="AA30" i="18"/>
  <c r="Z30" i="18"/>
  <c r="Y30" i="18"/>
  <c r="AC29" i="18"/>
  <c r="AB29" i="18"/>
  <c r="AA29" i="18"/>
  <c r="Z29" i="18"/>
  <c r="Y29" i="18"/>
  <c r="AC28" i="18"/>
  <c r="AB28" i="18"/>
  <c r="AA28" i="18"/>
  <c r="Z28" i="18"/>
  <c r="Y28" i="18"/>
  <c r="AC27" i="18"/>
  <c r="AB27" i="18"/>
  <c r="AA27" i="18"/>
  <c r="Z27" i="18"/>
  <c r="Y27" i="18"/>
  <c r="AC26" i="18"/>
  <c r="AB26" i="18"/>
  <c r="AA26" i="18"/>
  <c r="Z26" i="18"/>
  <c r="Y26" i="18"/>
  <c r="AC25" i="18"/>
  <c r="AB25" i="18"/>
  <c r="AA25" i="18"/>
  <c r="Z25" i="18"/>
  <c r="Y25" i="18"/>
  <c r="AC24" i="18"/>
  <c r="AB24" i="18"/>
  <c r="AA24" i="18"/>
  <c r="Z24" i="18"/>
  <c r="Y24" i="18"/>
  <c r="AC23" i="18"/>
  <c r="AB23" i="18"/>
  <c r="AA23" i="18"/>
  <c r="Z23" i="18"/>
  <c r="Y23" i="18"/>
  <c r="AC22" i="18"/>
  <c r="AB22" i="18"/>
  <c r="AA22" i="18"/>
  <c r="Z22" i="18"/>
  <c r="Y22" i="18"/>
  <c r="AC21" i="18"/>
  <c r="AB21" i="18"/>
  <c r="AA21" i="18"/>
  <c r="Z21" i="18"/>
  <c r="Y21" i="18"/>
  <c r="AC20" i="18"/>
  <c r="AB20" i="18"/>
  <c r="AA20" i="18"/>
  <c r="Z20" i="18"/>
  <c r="Y20" i="18"/>
  <c r="AC19" i="18"/>
  <c r="AB19" i="18"/>
  <c r="AA19" i="18"/>
  <c r="Z19" i="18"/>
  <c r="Y19" i="18"/>
  <c r="AC18" i="18"/>
  <c r="AB18" i="18"/>
  <c r="AA18" i="18"/>
  <c r="Z18" i="18"/>
  <c r="Y18" i="18"/>
  <c r="AC17" i="18"/>
  <c r="AB17" i="18"/>
  <c r="AA17" i="18"/>
  <c r="Z17" i="18"/>
  <c r="Y17" i="18"/>
  <c r="AC16" i="18"/>
  <c r="AB16" i="18"/>
  <c r="AA16" i="18"/>
  <c r="Z16" i="18"/>
  <c r="Y16" i="18"/>
  <c r="AC15" i="18"/>
  <c r="AB15" i="18"/>
  <c r="AA15" i="18"/>
  <c r="Z15" i="18"/>
  <c r="Y15" i="18"/>
  <c r="AC14" i="18"/>
  <c r="AB14" i="18"/>
  <c r="AA14" i="18"/>
  <c r="Z14" i="18"/>
  <c r="Y14" i="18"/>
  <c r="AC13" i="18"/>
  <c r="AB13" i="18"/>
  <c r="AA13" i="18"/>
  <c r="Z13" i="18"/>
  <c r="Y13" i="18"/>
  <c r="AC12" i="18"/>
  <c r="AB12" i="18"/>
  <c r="AA12" i="18"/>
  <c r="Z12" i="18"/>
  <c r="Y12" i="18"/>
  <c r="AC11" i="18"/>
  <c r="AB11" i="18"/>
  <c r="AA11" i="18"/>
  <c r="Z11" i="18"/>
  <c r="Y11" i="18"/>
  <c r="AC10" i="18"/>
  <c r="AB10" i="18"/>
  <c r="AA10" i="18"/>
  <c r="Z10" i="18"/>
  <c r="Y10" i="18"/>
  <c r="AC9" i="18"/>
  <c r="AB9" i="18"/>
  <c r="AA9" i="18"/>
  <c r="Z9" i="18"/>
  <c r="Y9" i="18"/>
  <c r="AC8" i="18"/>
  <c r="AB8" i="18"/>
  <c r="AA8" i="18"/>
  <c r="Z8" i="18"/>
  <c r="Y8" i="18"/>
  <c r="AC7" i="18"/>
  <c r="AB7" i="18"/>
  <c r="AA7" i="18"/>
  <c r="Z7" i="18"/>
  <c r="Y7" i="18"/>
  <c r="AC6" i="18"/>
  <c r="AB6" i="18"/>
  <c r="AA6" i="18"/>
  <c r="Z6" i="18"/>
  <c r="Y6" i="18"/>
  <c r="AC5" i="18"/>
  <c r="AB5" i="18"/>
  <c r="AA5" i="18"/>
  <c r="Z5" i="18"/>
  <c r="Y5" i="18"/>
  <c r="J6" i="18"/>
  <c r="K6" i="18"/>
  <c r="L6" i="18"/>
  <c r="M6" i="18"/>
  <c r="N6" i="18"/>
  <c r="J7" i="18"/>
  <c r="K7" i="18"/>
  <c r="L7" i="18"/>
  <c r="M7" i="18"/>
  <c r="N7" i="18"/>
  <c r="J8" i="18"/>
  <c r="K8" i="18"/>
  <c r="L8" i="18"/>
  <c r="M8" i="18"/>
  <c r="N8" i="18"/>
  <c r="J9" i="18"/>
  <c r="K9" i="18"/>
  <c r="L9" i="18"/>
  <c r="M9" i="18"/>
  <c r="N9" i="18"/>
  <c r="J10" i="18"/>
  <c r="K10" i="18"/>
  <c r="L10" i="18"/>
  <c r="M10" i="18"/>
  <c r="N10" i="18"/>
  <c r="J11" i="18"/>
  <c r="K11" i="18"/>
  <c r="L11" i="18"/>
  <c r="M11" i="18"/>
  <c r="N11" i="18"/>
  <c r="J12" i="18"/>
  <c r="K12" i="18"/>
  <c r="L12" i="18"/>
  <c r="M12" i="18"/>
  <c r="N12" i="18"/>
  <c r="J13" i="18"/>
  <c r="K13" i="18"/>
  <c r="L13" i="18"/>
  <c r="M13" i="18"/>
  <c r="N13" i="18"/>
  <c r="J14" i="18"/>
  <c r="K14" i="18"/>
  <c r="L14" i="18"/>
  <c r="M14" i="18"/>
  <c r="N14" i="18"/>
  <c r="J15" i="18"/>
  <c r="K15" i="18"/>
  <c r="L15" i="18"/>
  <c r="M15" i="18"/>
  <c r="N15" i="18"/>
  <c r="J16" i="18"/>
  <c r="K16" i="18"/>
  <c r="L16" i="18"/>
  <c r="M16" i="18"/>
  <c r="N16" i="18"/>
  <c r="J17" i="18"/>
  <c r="K17" i="18"/>
  <c r="L17" i="18"/>
  <c r="M17" i="18"/>
  <c r="N17" i="18"/>
  <c r="J18" i="18"/>
  <c r="K18" i="18"/>
  <c r="L18" i="18"/>
  <c r="M18" i="18"/>
  <c r="N18" i="18"/>
  <c r="J19" i="18"/>
  <c r="K19" i="18"/>
  <c r="L19" i="18"/>
  <c r="M19" i="18"/>
  <c r="N19" i="18"/>
  <c r="J20" i="18"/>
  <c r="K20" i="18"/>
  <c r="L20" i="18"/>
  <c r="M20" i="18"/>
  <c r="N20" i="18"/>
  <c r="J21" i="18"/>
  <c r="K21" i="18"/>
  <c r="L21" i="18"/>
  <c r="M21" i="18"/>
  <c r="N21" i="18"/>
  <c r="J22" i="18"/>
  <c r="K22" i="18"/>
  <c r="L22" i="18"/>
  <c r="M22" i="18"/>
  <c r="N22" i="18"/>
  <c r="J23" i="18"/>
  <c r="K23" i="18"/>
  <c r="L23" i="18"/>
  <c r="M23" i="18"/>
  <c r="N23" i="18"/>
  <c r="J24" i="18"/>
  <c r="K24" i="18"/>
  <c r="L24" i="18"/>
  <c r="M24" i="18"/>
  <c r="N24" i="18"/>
  <c r="J25" i="18"/>
  <c r="K25" i="18"/>
  <c r="L25" i="18"/>
  <c r="M25" i="18"/>
  <c r="N25" i="18"/>
  <c r="J26" i="18"/>
  <c r="K26" i="18"/>
  <c r="L26" i="18"/>
  <c r="M26" i="18"/>
  <c r="N26" i="18"/>
  <c r="J27" i="18"/>
  <c r="K27" i="18"/>
  <c r="L27" i="18"/>
  <c r="M27" i="18"/>
  <c r="N27" i="18"/>
  <c r="J28" i="18"/>
  <c r="K28" i="18"/>
  <c r="L28" i="18"/>
  <c r="M28" i="18"/>
  <c r="N28" i="18"/>
  <c r="J29" i="18"/>
  <c r="K29" i="18"/>
  <c r="L29" i="18"/>
  <c r="M29" i="18"/>
  <c r="N29" i="18"/>
  <c r="J30" i="18"/>
  <c r="K30" i="18"/>
  <c r="L30" i="18"/>
  <c r="M30" i="18"/>
  <c r="N30" i="18"/>
  <c r="J31" i="18"/>
  <c r="K31" i="18"/>
  <c r="L31" i="18"/>
  <c r="M31" i="18"/>
  <c r="N31" i="18"/>
  <c r="J32" i="18"/>
  <c r="K32" i="18"/>
  <c r="L32" i="18"/>
  <c r="M32" i="18"/>
  <c r="N32" i="18"/>
  <c r="J33" i="18"/>
  <c r="K33" i="18"/>
  <c r="L33" i="18"/>
  <c r="M33" i="18"/>
  <c r="N33" i="18"/>
  <c r="J34" i="18"/>
  <c r="K34" i="18"/>
  <c r="L34" i="18"/>
  <c r="M34" i="18"/>
  <c r="N34" i="18"/>
  <c r="J35" i="18"/>
  <c r="K35" i="18"/>
  <c r="L35" i="18"/>
  <c r="M35" i="18"/>
  <c r="N35" i="18"/>
  <c r="J36" i="18"/>
  <c r="K36" i="18"/>
  <c r="L36" i="18"/>
  <c r="M36" i="18"/>
  <c r="N36" i="18"/>
  <c r="J37" i="18"/>
  <c r="K37" i="18"/>
  <c r="L37" i="18"/>
  <c r="M37" i="18"/>
  <c r="N37" i="18"/>
  <c r="J38" i="18"/>
  <c r="K38" i="18"/>
  <c r="L38" i="18"/>
  <c r="M38" i="18"/>
  <c r="N38" i="18"/>
  <c r="J39" i="18"/>
  <c r="K39" i="18"/>
  <c r="L39" i="18"/>
  <c r="M39" i="18"/>
  <c r="N39" i="18"/>
  <c r="J40" i="18"/>
  <c r="K40" i="18"/>
  <c r="L40" i="18"/>
  <c r="M40" i="18"/>
  <c r="N40" i="18"/>
  <c r="J41" i="18"/>
  <c r="K41" i="18"/>
  <c r="L41" i="18"/>
  <c r="M41" i="18"/>
  <c r="N41" i="18"/>
  <c r="J42" i="18"/>
  <c r="K42" i="18"/>
  <c r="L42" i="18"/>
  <c r="M42" i="18"/>
  <c r="N42" i="18"/>
  <c r="J43" i="18"/>
  <c r="K43" i="18"/>
  <c r="L43" i="18"/>
  <c r="M43" i="18"/>
  <c r="N43" i="18"/>
  <c r="J44" i="18"/>
  <c r="K44" i="18"/>
  <c r="L44" i="18"/>
  <c r="M44" i="18"/>
  <c r="N44" i="18"/>
  <c r="J45" i="18"/>
  <c r="K45" i="18"/>
  <c r="L45" i="18"/>
  <c r="M45" i="18"/>
  <c r="N45" i="18"/>
  <c r="J46" i="18"/>
  <c r="K46" i="18"/>
  <c r="L46" i="18"/>
  <c r="M46" i="18"/>
  <c r="N46" i="18"/>
  <c r="J47" i="18"/>
  <c r="K47" i="18"/>
  <c r="L47" i="18"/>
  <c r="M47" i="18"/>
  <c r="N47" i="18"/>
  <c r="J48" i="18"/>
  <c r="K48" i="18"/>
  <c r="L48" i="18"/>
  <c r="M48" i="18"/>
  <c r="N48" i="18"/>
  <c r="J49" i="18"/>
  <c r="K49" i="18"/>
  <c r="L49" i="18"/>
  <c r="M49" i="18"/>
  <c r="N49" i="18"/>
  <c r="J50" i="18"/>
  <c r="K50" i="18"/>
  <c r="L50" i="18"/>
  <c r="M50" i="18"/>
  <c r="N50" i="18"/>
  <c r="J51" i="18"/>
  <c r="K51" i="18"/>
  <c r="L51" i="18"/>
  <c r="M51" i="18"/>
  <c r="N51" i="18"/>
  <c r="J52" i="18"/>
  <c r="K52" i="18"/>
  <c r="L52" i="18"/>
  <c r="M52" i="18"/>
  <c r="N52" i="18"/>
  <c r="J53" i="18"/>
  <c r="K53" i="18"/>
  <c r="L53" i="18"/>
  <c r="M53" i="18"/>
  <c r="N53" i="18"/>
  <c r="J54" i="18"/>
  <c r="K54" i="18"/>
  <c r="L54" i="18"/>
  <c r="M54" i="18"/>
  <c r="N54" i="18"/>
  <c r="J55" i="18"/>
  <c r="K55" i="18"/>
  <c r="L55" i="18"/>
  <c r="M55" i="18"/>
  <c r="N55" i="18"/>
  <c r="J56" i="18"/>
  <c r="K56" i="18"/>
  <c r="L56" i="18"/>
  <c r="M56" i="18"/>
  <c r="N56" i="18"/>
  <c r="J57" i="18"/>
  <c r="K57" i="18"/>
  <c r="L57" i="18"/>
  <c r="M57" i="18"/>
  <c r="N57" i="18"/>
  <c r="J58" i="18"/>
  <c r="K58" i="18"/>
  <c r="L58" i="18"/>
  <c r="M58" i="18"/>
  <c r="N58" i="18"/>
  <c r="J59" i="18"/>
  <c r="K59" i="18"/>
  <c r="L59" i="18"/>
  <c r="M59" i="18"/>
  <c r="N59" i="18"/>
  <c r="J60" i="18"/>
  <c r="K60" i="18"/>
  <c r="L60" i="18"/>
  <c r="M60" i="18"/>
  <c r="N60" i="18"/>
  <c r="J61" i="18"/>
  <c r="K61" i="18"/>
  <c r="L61" i="18"/>
  <c r="M61" i="18"/>
  <c r="N61" i="18"/>
  <c r="J62" i="18"/>
  <c r="K62" i="18"/>
  <c r="L62" i="18"/>
  <c r="M62" i="18"/>
  <c r="N62" i="18"/>
  <c r="J63" i="18"/>
  <c r="K63" i="18"/>
  <c r="L63" i="18"/>
  <c r="M63" i="18"/>
  <c r="N63" i="18"/>
  <c r="J64" i="18"/>
  <c r="K64" i="18"/>
  <c r="L64" i="18"/>
  <c r="M64" i="18"/>
  <c r="N64" i="18"/>
  <c r="J65" i="18"/>
  <c r="K65" i="18"/>
  <c r="L65" i="18"/>
  <c r="M65" i="18"/>
  <c r="N65" i="18"/>
  <c r="J66" i="18"/>
  <c r="K66" i="18"/>
  <c r="L66" i="18"/>
  <c r="M66" i="18"/>
  <c r="N66" i="18"/>
  <c r="J67" i="18"/>
  <c r="K67" i="18"/>
  <c r="L67" i="18"/>
  <c r="M67" i="18"/>
  <c r="N67" i="18"/>
  <c r="J68" i="18"/>
  <c r="K68" i="18"/>
  <c r="L68" i="18"/>
  <c r="M68" i="18"/>
  <c r="N68" i="18"/>
  <c r="J69" i="18"/>
  <c r="K69" i="18"/>
  <c r="L69" i="18"/>
  <c r="M69" i="18"/>
  <c r="N69" i="18"/>
  <c r="J70" i="18"/>
  <c r="K70" i="18"/>
  <c r="L70" i="18"/>
  <c r="M70" i="18"/>
  <c r="N70" i="18"/>
  <c r="J71" i="18"/>
  <c r="K71" i="18"/>
  <c r="L71" i="18"/>
  <c r="M71" i="18"/>
  <c r="N71" i="18"/>
  <c r="J72" i="18"/>
  <c r="K72" i="18"/>
  <c r="L72" i="18"/>
  <c r="M72" i="18"/>
  <c r="N72" i="18"/>
  <c r="J73" i="18"/>
  <c r="K73" i="18"/>
  <c r="L73" i="18"/>
  <c r="M73" i="18"/>
  <c r="N73" i="18"/>
  <c r="J74" i="18"/>
  <c r="K74" i="18"/>
  <c r="L74" i="18"/>
  <c r="M74" i="18"/>
  <c r="N74" i="18"/>
  <c r="J75" i="18"/>
  <c r="K75" i="18"/>
  <c r="L75" i="18"/>
  <c r="M75" i="18"/>
  <c r="N75" i="18"/>
  <c r="J76" i="18"/>
  <c r="K76" i="18"/>
  <c r="L76" i="18"/>
  <c r="M76" i="18"/>
  <c r="N76" i="18"/>
  <c r="J77" i="18"/>
  <c r="K77" i="18"/>
  <c r="L77" i="18"/>
  <c r="M77" i="18"/>
  <c r="N77" i="18"/>
  <c r="J78" i="18"/>
  <c r="K78" i="18"/>
  <c r="L78" i="18"/>
  <c r="M78" i="18"/>
  <c r="N78" i="18"/>
  <c r="J79" i="18"/>
  <c r="K79" i="18"/>
  <c r="L79" i="18"/>
  <c r="M79" i="18"/>
  <c r="N79" i="18"/>
  <c r="J80" i="18"/>
  <c r="K80" i="18"/>
  <c r="L80" i="18"/>
  <c r="M80" i="18"/>
  <c r="N80" i="18"/>
  <c r="J81" i="18"/>
  <c r="K81" i="18"/>
  <c r="L81" i="18"/>
  <c r="M81" i="18"/>
  <c r="N81" i="18"/>
  <c r="J82" i="18"/>
  <c r="K82" i="18"/>
  <c r="L82" i="18"/>
  <c r="M82" i="18"/>
  <c r="N82" i="18"/>
  <c r="J83" i="18"/>
  <c r="K83" i="18"/>
  <c r="L83" i="18"/>
  <c r="M83" i="18"/>
  <c r="N83" i="18"/>
  <c r="J84" i="18"/>
  <c r="K84" i="18"/>
  <c r="L84" i="18"/>
  <c r="M84" i="18"/>
  <c r="N84" i="18"/>
  <c r="J85" i="18"/>
  <c r="K85" i="18"/>
  <c r="L85" i="18"/>
  <c r="M85" i="18"/>
  <c r="N85" i="18"/>
  <c r="J86" i="18"/>
  <c r="K86" i="18"/>
  <c r="L86" i="18"/>
  <c r="M86" i="18"/>
  <c r="N86" i="18"/>
  <c r="J87" i="18"/>
  <c r="K87" i="18"/>
  <c r="L87" i="18"/>
  <c r="M87" i="18"/>
  <c r="N87" i="18"/>
  <c r="J88" i="18"/>
  <c r="K88" i="18"/>
  <c r="L88" i="18"/>
  <c r="M88" i="18"/>
  <c r="N88" i="18"/>
  <c r="J89" i="18"/>
  <c r="K89" i="18"/>
  <c r="L89" i="18"/>
  <c r="M89" i="18"/>
  <c r="N89" i="18"/>
  <c r="J90" i="18"/>
  <c r="K90" i="18"/>
  <c r="L90" i="18"/>
  <c r="M90" i="18"/>
  <c r="N90" i="18"/>
  <c r="J91" i="18"/>
  <c r="K91" i="18"/>
  <c r="L91" i="18"/>
  <c r="M91" i="18"/>
  <c r="N91" i="18"/>
  <c r="J92" i="18"/>
  <c r="K92" i="18"/>
  <c r="L92" i="18"/>
  <c r="M92" i="18"/>
  <c r="N92" i="18"/>
  <c r="J93" i="18"/>
  <c r="K93" i="18"/>
  <c r="L93" i="18"/>
  <c r="M93" i="18"/>
  <c r="N93" i="18"/>
  <c r="J94" i="18"/>
  <c r="K94" i="18"/>
  <c r="L94" i="18"/>
  <c r="M94" i="18"/>
  <c r="N94" i="18"/>
  <c r="J95" i="18"/>
  <c r="K95" i="18"/>
  <c r="L95" i="18"/>
  <c r="M95" i="18"/>
  <c r="N95" i="18"/>
  <c r="K5" i="18"/>
  <c r="L5" i="18"/>
  <c r="M5" i="18"/>
  <c r="N5" i="18"/>
  <c r="J5" i="18"/>
  <c r="I91" i="18" l="1"/>
  <c r="I83" i="18"/>
  <c r="I75" i="18"/>
  <c r="I67" i="18"/>
  <c r="I59" i="18"/>
  <c r="I51" i="18"/>
  <c r="I43" i="18"/>
  <c r="I35" i="18"/>
  <c r="I27" i="18"/>
  <c r="I19" i="18"/>
  <c r="I11" i="18"/>
  <c r="X11" i="18"/>
  <c r="X19" i="18"/>
  <c r="X27" i="18"/>
  <c r="X35" i="18"/>
  <c r="X43" i="18"/>
  <c r="I374" i="18"/>
  <c r="I366" i="18"/>
  <c r="I358" i="18"/>
  <c r="I350" i="18"/>
  <c r="I342" i="18"/>
  <c r="I334" i="18"/>
  <c r="I326" i="18"/>
  <c r="I318" i="18"/>
  <c r="I310" i="18"/>
  <c r="I302" i="18"/>
  <c r="I294" i="18"/>
  <c r="I286" i="18"/>
  <c r="I278" i="18"/>
  <c r="I270" i="18"/>
  <c r="I262" i="18"/>
  <c r="I254" i="18"/>
  <c r="I246" i="18"/>
  <c r="I238" i="18"/>
  <c r="I230" i="18"/>
  <c r="I222" i="18"/>
  <c r="I214" i="18"/>
  <c r="I206" i="18"/>
  <c r="I198" i="18"/>
  <c r="I190" i="18"/>
  <c r="I182" i="18"/>
  <c r="I174" i="18"/>
  <c r="I166" i="18"/>
  <c r="I158" i="18"/>
  <c r="I150" i="18"/>
  <c r="I142" i="18"/>
  <c r="I134" i="18"/>
  <c r="I126" i="18"/>
  <c r="I118" i="18"/>
  <c r="I110" i="18"/>
  <c r="I102" i="18"/>
  <c r="X199" i="18"/>
  <c r="X191" i="18"/>
  <c r="X183" i="18"/>
  <c r="X175" i="18"/>
  <c r="X167" i="18"/>
  <c r="X159" i="18"/>
  <c r="X151" i="18"/>
  <c r="X143" i="18"/>
  <c r="X135" i="18"/>
  <c r="X127" i="18"/>
  <c r="X119" i="18"/>
  <c r="X111" i="18"/>
  <c r="X103" i="18"/>
  <c r="X95" i="18"/>
  <c r="X87" i="18"/>
  <c r="X79" i="18"/>
  <c r="X71" i="18"/>
  <c r="X63" i="18"/>
  <c r="X55" i="18"/>
  <c r="I89" i="18"/>
  <c r="I81" i="18"/>
  <c r="I73" i="18"/>
  <c r="I65" i="18"/>
  <c r="I57" i="18"/>
  <c r="I49" i="18"/>
  <c r="I41" i="18"/>
  <c r="I33" i="18"/>
  <c r="I25" i="18"/>
  <c r="I17" i="18"/>
  <c r="I9" i="18"/>
  <c r="X5" i="18"/>
  <c r="X13" i="18"/>
  <c r="X21" i="18"/>
  <c r="X29" i="18"/>
  <c r="X37" i="18"/>
  <c r="X45" i="18"/>
  <c r="I380" i="18"/>
  <c r="I372" i="18"/>
  <c r="I364" i="18"/>
  <c r="I356" i="18"/>
  <c r="I348" i="18"/>
  <c r="I340" i="18"/>
  <c r="I332" i="18"/>
  <c r="I324" i="18"/>
  <c r="I316" i="18"/>
  <c r="I308" i="18"/>
  <c r="I300" i="18"/>
  <c r="I292" i="18"/>
  <c r="I284" i="18"/>
  <c r="I276" i="18"/>
  <c r="I268" i="18"/>
  <c r="I260" i="18"/>
  <c r="I252" i="18"/>
  <c r="I244" i="18"/>
  <c r="I236" i="18"/>
  <c r="I228" i="18"/>
  <c r="I220" i="18"/>
  <c r="I212" i="18"/>
  <c r="I204" i="18"/>
  <c r="I196" i="18"/>
  <c r="I188" i="18"/>
  <c r="I180" i="18"/>
  <c r="I172" i="18"/>
  <c r="I164" i="18"/>
  <c r="I156" i="18"/>
  <c r="I148" i="18"/>
  <c r="I140" i="18"/>
  <c r="I132" i="18"/>
  <c r="I124" i="18"/>
  <c r="I116" i="18"/>
  <c r="I108" i="18"/>
  <c r="I100" i="18"/>
  <c r="X197" i="18"/>
  <c r="X189" i="18"/>
  <c r="X181" i="18"/>
  <c r="X173" i="18"/>
  <c r="X165" i="18"/>
  <c r="X157" i="18"/>
  <c r="X149" i="18"/>
  <c r="X141" i="18"/>
  <c r="X133" i="18"/>
  <c r="X125" i="18"/>
  <c r="X117" i="18"/>
  <c r="X109" i="18"/>
  <c r="X101" i="18"/>
  <c r="X93" i="18"/>
  <c r="X85" i="18"/>
  <c r="X77" i="18"/>
  <c r="X69" i="18"/>
  <c r="X61" i="18"/>
  <c r="X53" i="18"/>
  <c r="I93" i="18"/>
  <c r="I85" i="18"/>
  <c r="I77" i="18"/>
  <c r="I69" i="18"/>
  <c r="I61" i="18"/>
  <c r="I53" i="18"/>
  <c r="I45" i="18"/>
  <c r="I37" i="18"/>
  <c r="I29" i="18"/>
  <c r="I21" i="18"/>
  <c r="I13" i="18"/>
  <c r="I376" i="18"/>
  <c r="I368" i="18"/>
  <c r="I360" i="18"/>
  <c r="I352" i="18"/>
  <c r="I344" i="18"/>
  <c r="I336" i="18"/>
  <c r="I328" i="18"/>
  <c r="I320" i="18"/>
  <c r="I312" i="18"/>
  <c r="I304" i="18"/>
  <c r="I296" i="18"/>
  <c r="I288" i="18"/>
  <c r="I280" i="18"/>
  <c r="I272" i="18"/>
  <c r="I264" i="18"/>
  <c r="I256" i="18"/>
  <c r="I248" i="18"/>
  <c r="I240" i="18"/>
  <c r="I232" i="18"/>
  <c r="I224" i="18"/>
  <c r="I216" i="18"/>
  <c r="I208" i="18"/>
  <c r="I200" i="18"/>
  <c r="I192" i="18"/>
  <c r="I184" i="18"/>
  <c r="I176" i="18"/>
  <c r="I168" i="18"/>
  <c r="I160" i="18"/>
  <c r="I112" i="18"/>
  <c r="I104" i="18"/>
  <c r="I96" i="18"/>
  <c r="I94" i="18"/>
  <c r="I86" i="18"/>
  <c r="I78" i="18"/>
  <c r="I70" i="18"/>
  <c r="I62" i="18"/>
  <c r="I54" i="18"/>
  <c r="I46" i="18"/>
  <c r="I38" i="18"/>
  <c r="I30" i="18"/>
  <c r="I22" i="18"/>
  <c r="I14" i="18"/>
  <c r="I6" i="18"/>
  <c r="X8" i="18"/>
  <c r="X16" i="18"/>
  <c r="X24" i="18"/>
  <c r="X32" i="18"/>
  <c r="X40" i="18"/>
  <c r="X48" i="18"/>
  <c r="I377" i="18"/>
  <c r="I369" i="18"/>
  <c r="I361" i="18"/>
  <c r="I353" i="18"/>
  <c r="I345" i="18"/>
  <c r="I337" i="18"/>
  <c r="I329" i="18"/>
  <c r="I321" i="18"/>
  <c r="I313" i="18"/>
  <c r="I305" i="18"/>
  <c r="I297" i="18"/>
  <c r="I289" i="18"/>
  <c r="I281" i="18"/>
  <c r="I273" i="18"/>
  <c r="I265" i="18"/>
  <c r="I257" i="18"/>
  <c r="I249" i="18"/>
  <c r="I241" i="18"/>
  <c r="I233" i="18"/>
  <c r="I225" i="18"/>
  <c r="I217" i="18"/>
  <c r="I209" i="18"/>
  <c r="I201" i="18"/>
  <c r="I193" i="18"/>
  <c r="I185" i="18"/>
  <c r="I177" i="18"/>
  <c r="I169" i="18"/>
  <c r="I161" i="18"/>
  <c r="I153" i="18"/>
  <c r="I145" i="18"/>
  <c r="I137" i="18"/>
  <c r="I129" i="18"/>
  <c r="I121" i="18"/>
  <c r="I113" i="18"/>
  <c r="I105" i="18"/>
  <c r="I97" i="18"/>
  <c r="X198" i="18"/>
  <c r="X190" i="18"/>
  <c r="X182" i="18"/>
  <c r="X174" i="18"/>
  <c r="X166" i="18"/>
  <c r="X158" i="18"/>
  <c r="X150" i="18"/>
  <c r="X142" i="18"/>
  <c r="X134" i="18"/>
  <c r="X126" i="18"/>
  <c r="X118" i="18"/>
  <c r="X110" i="18"/>
  <c r="X102" i="18"/>
  <c r="X94" i="18"/>
  <c r="X86" i="18"/>
  <c r="X78" i="18"/>
  <c r="X70" i="18"/>
  <c r="X62" i="18"/>
  <c r="X54" i="18"/>
  <c r="I5" i="18"/>
  <c r="I92" i="18"/>
  <c r="I84" i="18"/>
  <c r="I76" i="18"/>
  <c r="I68" i="18"/>
  <c r="I60" i="18"/>
  <c r="I52" i="18"/>
  <c r="I44" i="18"/>
  <c r="I36" i="18"/>
  <c r="I28" i="18"/>
  <c r="I20" i="18"/>
  <c r="I12" i="18"/>
  <c r="X10" i="18"/>
  <c r="X18" i="18"/>
  <c r="X26" i="18"/>
  <c r="X34" i="18"/>
  <c r="X42" i="18"/>
  <c r="I375" i="18"/>
  <c r="I367" i="18"/>
  <c r="I359" i="18"/>
  <c r="I351" i="18"/>
  <c r="I343" i="18"/>
  <c r="I335" i="18"/>
  <c r="I327" i="18"/>
  <c r="I319" i="18"/>
  <c r="I311" i="18"/>
  <c r="I303" i="18"/>
  <c r="I295" i="18"/>
  <c r="I287" i="18"/>
  <c r="I279" i="18"/>
  <c r="I271" i="18"/>
  <c r="I263" i="18"/>
  <c r="I255" i="18"/>
  <c r="I247" i="18"/>
  <c r="I239" i="18"/>
  <c r="I231" i="18"/>
  <c r="I223" i="18"/>
  <c r="I215" i="18"/>
  <c r="I207" i="18"/>
  <c r="I199" i="18"/>
  <c r="I191" i="18"/>
  <c r="I183" i="18"/>
  <c r="I175" i="18"/>
  <c r="I167" i="18"/>
  <c r="I159" i="18"/>
  <c r="I151" i="18"/>
  <c r="I143" i="18"/>
  <c r="I135" i="18"/>
  <c r="I127" i="18"/>
  <c r="I119" i="18"/>
  <c r="I111" i="18"/>
  <c r="I103" i="18"/>
  <c r="X196" i="18"/>
  <c r="X188" i="18"/>
  <c r="X180" i="18"/>
  <c r="X172" i="18"/>
  <c r="X164" i="18"/>
  <c r="X156" i="18"/>
  <c r="X148" i="18"/>
  <c r="X140" i="18"/>
  <c r="X132" i="18"/>
  <c r="X124" i="18"/>
  <c r="X116" i="18"/>
  <c r="X108" i="18"/>
  <c r="X100" i="18"/>
  <c r="X92" i="18"/>
  <c r="X84" i="18"/>
  <c r="X76" i="18"/>
  <c r="X68" i="18"/>
  <c r="X60" i="18"/>
  <c r="X52" i="18"/>
  <c r="I95" i="18"/>
  <c r="I87" i="18"/>
  <c r="I79" i="18"/>
  <c r="I71" i="18"/>
  <c r="I63" i="18"/>
  <c r="I55" i="18"/>
  <c r="I47" i="18"/>
  <c r="I39" i="18"/>
  <c r="I31" i="18"/>
  <c r="I23" i="18"/>
  <c r="I15" i="18"/>
  <c r="I7" i="18"/>
  <c r="X7" i="18"/>
  <c r="X15" i="18"/>
  <c r="X23" i="18"/>
  <c r="X31" i="18"/>
  <c r="X39" i="18"/>
  <c r="X47" i="18"/>
  <c r="I378" i="18"/>
  <c r="I370" i="18"/>
  <c r="I362" i="18"/>
  <c r="I354" i="18"/>
  <c r="I346" i="18"/>
  <c r="I338" i="18"/>
  <c r="I330" i="18"/>
  <c r="I322" i="18"/>
  <c r="I314" i="18"/>
  <c r="I306" i="18"/>
  <c r="I298" i="18"/>
  <c r="I290" i="18"/>
  <c r="I282" i="18"/>
  <c r="I274" i="18"/>
  <c r="I266" i="18"/>
  <c r="I258" i="18"/>
  <c r="I250" i="18"/>
  <c r="I242" i="18"/>
  <c r="I234" i="18"/>
  <c r="I226" i="18"/>
  <c r="I218" i="18"/>
  <c r="I210" i="18"/>
  <c r="I202" i="18"/>
  <c r="I194" i="18"/>
  <c r="I186" i="18"/>
  <c r="I178" i="18"/>
  <c r="I170" i="18"/>
  <c r="I162" i="18"/>
  <c r="I154" i="18"/>
  <c r="I146" i="18"/>
  <c r="I138" i="18"/>
  <c r="I130" i="18"/>
  <c r="I122" i="18"/>
  <c r="I114" i="18"/>
  <c r="I106" i="18"/>
  <c r="I98" i="18"/>
  <c r="X195" i="18"/>
  <c r="X187" i="18"/>
  <c r="X179" i="18"/>
  <c r="X171" i="18"/>
  <c r="X163" i="18"/>
  <c r="X155" i="18"/>
  <c r="X147" i="18"/>
  <c r="X139" i="18"/>
  <c r="X131" i="18"/>
  <c r="X123" i="18"/>
  <c r="X115" i="18"/>
  <c r="X107" i="18"/>
  <c r="X99" i="18"/>
  <c r="X91" i="18"/>
  <c r="X83" i="18"/>
  <c r="X75" i="18"/>
  <c r="X67" i="18"/>
  <c r="X59" i="18"/>
  <c r="X51" i="18"/>
  <c r="I90" i="18"/>
  <c r="I82" i="18"/>
  <c r="I74" i="18"/>
  <c r="I66" i="18"/>
  <c r="I58" i="18"/>
  <c r="I50" i="18"/>
  <c r="I42" i="18"/>
  <c r="I34" i="18"/>
  <c r="I26" i="18"/>
  <c r="I18" i="18"/>
  <c r="I10" i="18"/>
  <c r="X12" i="18"/>
  <c r="X20" i="18"/>
  <c r="X28" i="18"/>
  <c r="X36" i="18"/>
  <c r="X44" i="18"/>
  <c r="I373" i="18"/>
  <c r="I365" i="18"/>
  <c r="I357" i="18"/>
  <c r="I349" i="18"/>
  <c r="I341" i="18"/>
  <c r="I333" i="18"/>
  <c r="I325" i="18"/>
  <c r="I317" i="18"/>
  <c r="I309" i="18"/>
  <c r="I301" i="18"/>
  <c r="I293" i="18"/>
  <c r="I285" i="18"/>
  <c r="I277" i="18"/>
  <c r="I269" i="18"/>
  <c r="I261" i="18"/>
  <c r="I253" i="18"/>
  <c r="I245" i="18"/>
  <c r="I237" i="18"/>
  <c r="I229" i="18"/>
  <c r="I221" i="18"/>
  <c r="I213" i="18"/>
  <c r="I205" i="18"/>
  <c r="I197" i="18"/>
  <c r="I189" i="18"/>
  <c r="I181" i="18"/>
  <c r="I173" i="18"/>
  <c r="I165" i="18"/>
  <c r="I157" i="18"/>
  <c r="I149" i="18"/>
  <c r="I141" i="18"/>
  <c r="I133" i="18"/>
  <c r="I125" i="18"/>
  <c r="I117" i="18"/>
  <c r="I109" i="18"/>
  <c r="I101" i="18"/>
  <c r="X194" i="18"/>
  <c r="X186" i="18"/>
  <c r="X178" i="18"/>
  <c r="X170" i="18"/>
  <c r="X162" i="18"/>
  <c r="X154" i="18"/>
  <c r="X146" i="18"/>
  <c r="X138" i="18"/>
  <c r="X130" i="18"/>
  <c r="X122" i="18"/>
  <c r="X114" i="18"/>
  <c r="X106" i="18"/>
  <c r="X98" i="18"/>
  <c r="X90" i="18"/>
  <c r="X82" i="18"/>
  <c r="X74" i="18"/>
  <c r="X66" i="18"/>
  <c r="X58" i="18"/>
  <c r="X50" i="18"/>
  <c r="X9" i="18"/>
  <c r="X17" i="18"/>
  <c r="X25" i="18"/>
  <c r="X33" i="18"/>
  <c r="X41" i="18"/>
  <c r="I152" i="18"/>
  <c r="I144" i="18"/>
  <c r="I136" i="18"/>
  <c r="I128" i="18"/>
  <c r="I120" i="18"/>
  <c r="X193" i="18"/>
  <c r="X185" i="18"/>
  <c r="X177" i="18"/>
  <c r="X169" i="18"/>
  <c r="X161" i="18"/>
  <c r="X153" i="18"/>
  <c r="X145" i="18"/>
  <c r="X137" i="18"/>
  <c r="X129" i="18"/>
  <c r="X121" i="18"/>
  <c r="X113" i="18"/>
  <c r="X105" i="18"/>
  <c r="X97" i="18"/>
  <c r="X89" i="18"/>
  <c r="X81" i="18"/>
  <c r="X73" i="18"/>
  <c r="X65" i="18"/>
  <c r="X57" i="18"/>
  <c r="X49" i="18"/>
  <c r="I88" i="18"/>
  <c r="I80" i="18"/>
  <c r="I72" i="18"/>
  <c r="I64" i="18"/>
  <c r="I56" i="18"/>
  <c r="I48" i="18"/>
  <c r="I40" i="18"/>
  <c r="I32" i="18"/>
  <c r="I24" i="18"/>
  <c r="I16" i="18"/>
  <c r="I8" i="18"/>
  <c r="X6" i="18"/>
  <c r="X14" i="18"/>
  <c r="X22" i="18"/>
  <c r="X30" i="18"/>
  <c r="X38" i="18"/>
  <c r="X46" i="18"/>
  <c r="I379" i="18"/>
  <c r="I371" i="18"/>
  <c r="I363" i="18"/>
  <c r="I355" i="18"/>
  <c r="I347" i="18"/>
  <c r="I339" i="18"/>
  <c r="I331" i="18"/>
  <c r="I323" i="18"/>
  <c r="I315" i="18"/>
  <c r="I307" i="18"/>
  <c r="I299" i="18"/>
  <c r="I291" i="18"/>
  <c r="I283" i="18"/>
  <c r="I275" i="18"/>
  <c r="I267" i="18"/>
  <c r="I259" i="18"/>
  <c r="I251" i="18"/>
  <c r="I243" i="18"/>
  <c r="I235" i="18"/>
  <c r="I227" i="18"/>
  <c r="I219" i="18"/>
  <c r="I211" i="18"/>
  <c r="I203" i="18"/>
  <c r="I195" i="18"/>
  <c r="I187" i="18"/>
  <c r="I179" i="18"/>
  <c r="I171" i="18"/>
  <c r="I163" i="18"/>
  <c r="I155" i="18"/>
  <c r="I147" i="18"/>
  <c r="I139" i="18"/>
  <c r="I131" i="18"/>
  <c r="I123" i="18"/>
  <c r="I115" i="18"/>
  <c r="I107" i="18"/>
  <c r="I99" i="18"/>
  <c r="X200" i="18"/>
  <c r="X192" i="18"/>
  <c r="X184" i="18"/>
  <c r="X176" i="18"/>
  <c r="X168" i="18"/>
  <c r="X160" i="18"/>
  <c r="X152" i="18"/>
  <c r="X144" i="18"/>
  <c r="X136" i="18"/>
  <c r="X128" i="18"/>
  <c r="X120" i="18"/>
  <c r="X112" i="18"/>
  <c r="X104" i="18"/>
  <c r="X96" i="18"/>
  <c r="X88" i="18"/>
  <c r="X80" i="18"/>
  <c r="X72" i="18"/>
  <c r="X64" i="18"/>
  <c r="X56" i="18"/>
  <c r="AK7" i="18" l="1"/>
  <c r="AK15" i="18"/>
  <c r="AK23" i="18"/>
  <c r="AK31" i="18"/>
  <c r="AK39" i="18"/>
  <c r="AK47" i="18"/>
  <c r="AH47" i="18" s="1"/>
  <c r="AK55" i="18"/>
  <c r="AH55" i="18" s="1"/>
  <c r="AK63" i="18"/>
  <c r="AH63" i="18" s="1"/>
  <c r="AK71" i="18"/>
  <c r="AK79" i="18"/>
  <c r="AK87" i="18"/>
  <c r="AK95" i="18"/>
  <c r="AK103" i="18"/>
  <c r="AK111" i="18"/>
  <c r="AH111" i="18" s="1"/>
  <c r="AK119" i="18"/>
  <c r="AH119" i="18" s="1"/>
  <c r="AK127" i="18"/>
  <c r="AH127" i="18" s="1"/>
  <c r="AK135" i="18"/>
  <c r="AK143" i="18"/>
  <c r="AK151" i="18"/>
  <c r="AK159" i="18"/>
  <c r="AK167" i="18"/>
  <c r="AK175" i="18"/>
  <c r="AH175" i="18" s="1"/>
  <c r="AK183" i="18"/>
  <c r="AH183" i="18" s="1"/>
  <c r="AK191" i="18"/>
  <c r="AH191" i="18" s="1"/>
  <c r="AK199" i="18"/>
  <c r="AK207" i="18"/>
  <c r="AK215" i="18"/>
  <c r="AK223" i="18"/>
  <c r="AK231" i="18"/>
  <c r="AK239" i="18"/>
  <c r="AH239" i="18" s="1"/>
  <c r="AK8" i="18"/>
  <c r="AH8" i="18" s="1"/>
  <c r="AK16" i="18"/>
  <c r="AH16" i="18" s="1"/>
  <c r="AK24" i="18"/>
  <c r="AK32" i="18"/>
  <c r="AK40" i="18"/>
  <c r="AK48" i="18"/>
  <c r="AK56" i="18"/>
  <c r="AK64" i="18"/>
  <c r="AH64" i="18" s="1"/>
  <c r="AK72" i="18"/>
  <c r="AH72" i="18" s="1"/>
  <c r="AK80" i="18"/>
  <c r="AH80" i="18" s="1"/>
  <c r="AK88" i="18"/>
  <c r="AK96" i="18"/>
  <c r="AK104" i="18"/>
  <c r="AK112" i="18"/>
  <c r="AK120" i="18"/>
  <c r="AK128" i="18"/>
  <c r="AH128" i="18" s="1"/>
  <c r="AK136" i="18"/>
  <c r="AH136" i="18" s="1"/>
  <c r="AK144" i="18"/>
  <c r="AH144" i="18" s="1"/>
  <c r="AK152" i="18"/>
  <c r="AK160" i="18"/>
  <c r="AK168" i="18"/>
  <c r="AK176" i="18"/>
  <c r="AK184" i="18"/>
  <c r="AK192" i="18"/>
  <c r="AH192" i="18" s="1"/>
  <c r="AK200" i="18"/>
  <c r="AH200" i="18" s="1"/>
  <c r="AK208" i="18"/>
  <c r="AH208" i="18" s="1"/>
  <c r="AK216" i="18"/>
  <c r="AK224" i="18"/>
  <c r="AK232" i="18"/>
  <c r="AK240" i="18"/>
  <c r="AK9" i="18"/>
  <c r="AK17" i="18"/>
  <c r="AH17" i="18" s="1"/>
  <c r="AK25" i="18"/>
  <c r="AH25" i="18" s="1"/>
  <c r="AK33" i="18"/>
  <c r="AH33" i="18" s="1"/>
  <c r="AK41" i="18"/>
  <c r="AK49" i="18"/>
  <c r="AK57" i="18"/>
  <c r="AK65" i="18"/>
  <c r="AK73" i="18"/>
  <c r="AK81" i="18"/>
  <c r="AH81" i="18" s="1"/>
  <c r="AK89" i="18"/>
  <c r="AH89" i="18" s="1"/>
  <c r="AK97" i="18"/>
  <c r="AH97" i="18" s="1"/>
  <c r="AK105" i="18"/>
  <c r="AK113" i="18"/>
  <c r="AK121" i="18"/>
  <c r="AK129" i="18"/>
  <c r="AK137" i="18"/>
  <c r="AK145" i="18"/>
  <c r="AH145" i="18" s="1"/>
  <c r="AK153" i="18"/>
  <c r="AH153" i="18" s="1"/>
  <c r="AK161" i="18"/>
  <c r="AH161" i="18" s="1"/>
  <c r="AK169" i="18"/>
  <c r="AK177" i="18"/>
  <c r="AK185" i="18"/>
  <c r="AK193" i="18"/>
  <c r="AK201" i="18"/>
  <c r="AK209" i="18"/>
  <c r="AK217" i="18"/>
  <c r="AH217" i="18" s="1"/>
  <c r="AK225" i="18"/>
  <c r="AH225" i="18" s="1"/>
  <c r="AK233" i="18"/>
  <c r="AK241" i="18"/>
  <c r="AK37" i="18"/>
  <c r="AK61" i="18"/>
  <c r="AK85" i="18"/>
  <c r="AK109" i="18"/>
  <c r="AH109" i="18" s="1"/>
  <c r="AK141" i="18"/>
  <c r="AH141" i="18" s="1"/>
  <c r="AK157" i="18"/>
  <c r="AH157" i="18" s="1"/>
  <c r="AK181" i="18"/>
  <c r="AK197" i="18"/>
  <c r="AK221" i="18"/>
  <c r="AK10" i="18"/>
  <c r="AK18" i="18"/>
  <c r="AK26" i="18"/>
  <c r="AH26" i="18" s="1"/>
  <c r="AK34" i="18"/>
  <c r="AH34" i="18" s="1"/>
  <c r="AK42" i="18"/>
  <c r="AH42" i="18" s="1"/>
  <c r="AK50" i="18"/>
  <c r="AK58" i="18"/>
  <c r="AK66" i="18"/>
  <c r="AK74" i="18"/>
  <c r="AK82" i="18"/>
  <c r="AK90" i="18"/>
  <c r="AH90" i="18" s="1"/>
  <c r="AK98" i="18"/>
  <c r="AH98" i="18" s="1"/>
  <c r="AK106" i="18"/>
  <c r="AH106" i="18" s="1"/>
  <c r="AK114" i="18"/>
  <c r="AK122" i="18"/>
  <c r="AK130" i="18"/>
  <c r="AK138" i="18"/>
  <c r="AK146" i="18"/>
  <c r="AK154" i="18"/>
  <c r="AH154" i="18" s="1"/>
  <c r="AK162" i="18"/>
  <c r="AH162" i="18" s="1"/>
  <c r="AK170" i="18"/>
  <c r="AH170" i="18" s="1"/>
  <c r="AK178" i="18"/>
  <c r="AK186" i="18"/>
  <c r="AK194" i="18"/>
  <c r="AK202" i="18"/>
  <c r="AK210" i="18"/>
  <c r="AK218" i="18"/>
  <c r="AH218" i="18" s="1"/>
  <c r="AK226" i="18"/>
  <c r="AH226" i="18" s="1"/>
  <c r="AK234" i="18"/>
  <c r="AH234" i="18" s="1"/>
  <c r="AK242" i="18"/>
  <c r="AK13" i="18"/>
  <c r="AK29" i="18"/>
  <c r="AK53" i="18"/>
  <c r="AK93" i="18"/>
  <c r="AK125" i="18"/>
  <c r="AK173" i="18"/>
  <c r="AH173" i="18" s="1"/>
  <c r="AK205" i="18"/>
  <c r="AH205" i="18" s="1"/>
  <c r="AK237" i="18"/>
  <c r="AK11" i="18"/>
  <c r="AK19" i="18"/>
  <c r="AK27" i="18"/>
  <c r="AK35" i="18"/>
  <c r="AK43" i="18"/>
  <c r="AH43" i="18" s="1"/>
  <c r="AK51" i="18"/>
  <c r="AH51" i="18" s="1"/>
  <c r="AK59" i="18"/>
  <c r="AH59" i="18" s="1"/>
  <c r="AK67" i="18"/>
  <c r="AK75" i="18"/>
  <c r="AK83" i="18"/>
  <c r="AK91" i="18"/>
  <c r="AK99" i="18"/>
  <c r="AK107" i="18"/>
  <c r="AH107" i="18" s="1"/>
  <c r="AK115" i="18"/>
  <c r="AH115" i="18" s="1"/>
  <c r="AK123" i="18"/>
  <c r="AH123" i="18" s="1"/>
  <c r="AK131" i="18"/>
  <c r="AK139" i="18"/>
  <c r="AK147" i="18"/>
  <c r="AK155" i="18"/>
  <c r="AK163" i="18"/>
  <c r="AH163" i="18" s="1"/>
  <c r="AK171" i="18"/>
  <c r="AH171" i="18" s="1"/>
  <c r="AK179" i="18"/>
  <c r="AH179" i="18" s="1"/>
  <c r="AK187" i="18"/>
  <c r="AH187" i="18" s="1"/>
  <c r="AK195" i="18"/>
  <c r="AK203" i="18"/>
  <c r="AK211" i="18"/>
  <c r="AK219" i="18"/>
  <c r="AK227" i="18"/>
  <c r="AK235" i="18"/>
  <c r="AH235" i="18" s="1"/>
  <c r="AK243" i="18"/>
  <c r="AH243" i="18" s="1"/>
  <c r="AK77" i="18"/>
  <c r="AH77" i="18" s="1"/>
  <c r="AK117" i="18"/>
  <c r="AK149" i="18"/>
  <c r="AK189" i="18"/>
  <c r="AK229" i="18"/>
  <c r="AK12" i="18"/>
  <c r="AK20" i="18"/>
  <c r="AH20" i="18" s="1"/>
  <c r="AK28" i="18"/>
  <c r="AH28" i="18" s="1"/>
  <c r="AK36" i="18"/>
  <c r="AH36" i="18" s="1"/>
  <c r="AK44" i="18"/>
  <c r="AK52" i="18"/>
  <c r="AK60" i="18"/>
  <c r="AK68" i="18"/>
  <c r="AK76" i="18"/>
  <c r="AK84" i="18"/>
  <c r="AH84" i="18" s="1"/>
  <c r="AK92" i="18"/>
  <c r="AH92" i="18" s="1"/>
  <c r="AK100" i="18"/>
  <c r="AH100" i="18" s="1"/>
  <c r="AK108" i="18"/>
  <c r="AK116" i="18"/>
  <c r="AK124" i="18"/>
  <c r="AK132" i="18"/>
  <c r="AH132" i="18" s="1"/>
  <c r="AK140" i="18"/>
  <c r="AH140" i="18" s="1"/>
  <c r="AK148" i="18"/>
  <c r="AH148" i="18" s="1"/>
  <c r="AK156" i="18"/>
  <c r="AH156" i="18" s="1"/>
  <c r="AK164" i="18"/>
  <c r="AH164" i="18" s="1"/>
  <c r="AK172" i="18"/>
  <c r="AK180" i="18"/>
  <c r="AK188" i="18"/>
  <c r="AK196" i="18"/>
  <c r="AH196" i="18" s="1"/>
  <c r="AK204" i="18"/>
  <c r="AH204" i="18" s="1"/>
  <c r="AK212" i="18"/>
  <c r="AH212" i="18" s="1"/>
  <c r="AK220" i="18"/>
  <c r="AH220" i="18" s="1"/>
  <c r="AK228" i="18"/>
  <c r="AH228" i="18" s="1"/>
  <c r="AK236" i="18"/>
  <c r="AK244" i="18"/>
  <c r="AK5" i="18"/>
  <c r="AK21" i="18"/>
  <c r="AH21" i="18" s="1"/>
  <c r="AK45" i="18"/>
  <c r="AH45" i="18" s="1"/>
  <c r="AK69" i="18"/>
  <c r="AH69" i="18" s="1"/>
  <c r="AK101" i="18"/>
  <c r="AH101" i="18" s="1"/>
  <c r="AK133" i="18"/>
  <c r="AH133" i="18" s="1"/>
  <c r="AK165" i="18"/>
  <c r="AK213" i="18"/>
  <c r="AK6" i="18"/>
  <c r="AK14" i="18"/>
  <c r="AH14" i="18" s="1"/>
  <c r="AK22" i="18"/>
  <c r="AH22" i="18" s="1"/>
  <c r="AK30" i="18"/>
  <c r="AH30" i="18" s="1"/>
  <c r="AK38" i="18"/>
  <c r="AH38" i="18" s="1"/>
  <c r="AK46" i="18"/>
  <c r="AH46" i="18" s="1"/>
  <c r="AK54" i="18"/>
  <c r="AK62" i="18"/>
  <c r="AK70" i="18"/>
  <c r="AK78" i="18"/>
  <c r="AH78" i="18" s="1"/>
  <c r="AK86" i="18"/>
  <c r="AH86" i="18" s="1"/>
  <c r="AK94" i="18"/>
  <c r="AH94" i="18" s="1"/>
  <c r="AK102" i="18"/>
  <c r="AH102" i="18" s="1"/>
  <c r="AK110" i="18"/>
  <c r="AH110" i="18" s="1"/>
  <c r="AK118" i="18"/>
  <c r="AK126" i="18"/>
  <c r="AK134" i="18"/>
  <c r="AK142" i="18"/>
  <c r="AK150" i="18"/>
  <c r="AH150" i="18" s="1"/>
  <c r="AK158" i="18"/>
  <c r="AH158" i="18" s="1"/>
  <c r="AK166" i="18"/>
  <c r="AH166" i="18" s="1"/>
  <c r="AK174" i="18"/>
  <c r="AH174" i="18" s="1"/>
  <c r="AK182" i="18"/>
  <c r="AK190" i="18"/>
  <c r="AH190" i="18" s="1"/>
  <c r="AK198" i="18"/>
  <c r="AK206" i="18"/>
  <c r="AH206" i="18" s="1"/>
  <c r="AK214" i="18"/>
  <c r="AH214" i="18" s="1"/>
  <c r="AK222" i="18"/>
  <c r="AH222" i="18" s="1"/>
  <c r="AK230" i="18"/>
  <c r="AH230" i="18" s="1"/>
  <c r="AK238" i="18"/>
  <c r="AH238" i="18" s="1"/>
  <c r="AK247" i="18"/>
  <c r="AK255" i="18"/>
  <c r="AK263" i="18"/>
  <c r="AK271" i="18"/>
  <c r="AK279" i="18"/>
  <c r="AH279" i="18" s="1"/>
  <c r="AK287" i="18"/>
  <c r="AH287" i="18" s="1"/>
  <c r="AK295" i="18"/>
  <c r="AH295" i="18" s="1"/>
  <c r="AK303" i="18"/>
  <c r="AH303" i="18" s="1"/>
  <c r="AK311" i="18"/>
  <c r="AK319" i="18"/>
  <c r="AK327" i="18"/>
  <c r="AK335" i="18"/>
  <c r="AH335" i="18" s="1"/>
  <c r="AK301" i="18"/>
  <c r="AK248" i="18"/>
  <c r="AH248" i="18" s="1"/>
  <c r="AK256" i="18"/>
  <c r="AH256" i="18" s="1"/>
  <c r="AK264" i="18"/>
  <c r="AH264" i="18" s="1"/>
  <c r="AK272" i="18"/>
  <c r="AH272" i="18" s="1"/>
  <c r="AK280" i="18"/>
  <c r="AK288" i="18"/>
  <c r="AK296" i="18"/>
  <c r="AH296" i="18" s="1"/>
  <c r="AK304" i="18"/>
  <c r="AH304" i="18" s="1"/>
  <c r="AK312" i="18"/>
  <c r="AH312" i="18" s="1"/>
  <c r="AK320" i="18"/>
  <c r="AH320" i="18" s="1"/>
  <c r="AK328" i="18"/>
  <c r="AH328" i="18" s="1"/>
  <c r="AK336" i="18"/>
  <c r="AK293" i="18"/>
  <c r="AH293" i="18" s="1"/>
  <c r="AK249" i="18"/>
  <c r="AK257" i="18"/>
  <c r="AH257" i="18" s="1"/>
  <c r="AK265" i="18"/>
  <c r="AH265" i="18" s="1"/>
  <c r="AK273" i="18"/>
  <c r="AH273" i="18" s="1"/>
  <c r="AK281" i="18"/>
  <c r="AH281" i="18" s="1"/>
  <c r="AK289" i="18"/>
  <c r="AH289" i="18" s="1"/>
  <c r="AK297" i="18"/>
  <c r="AH297" i="18" s="1"/>
  <c r="AK305" i="18"/>
  <c r="AK313" i="18"/>
  <c r="AK321" i="18"/>
  <c r="AH321" i="18" s="1"/>
  <c r="AK329" i="18"/>
  <c r="AH329" i="18" s="1"/>
  <c r="AK337" i="18"/>
  <c r="AH337" i="18" s="1"/>
  <c r="AK269" i="18"/>
  <c r="AH269" i="18" s="1"/>
  <c r="AK245" i="18"/>
  <c r="AH245" i="18" s="1"/>
  <c r="AK250" i="18"/>
  <c r="AK258" i="18"/>
  <c r="AK266" i="18"/>
  <c r="AH266" i="18" s="1"/>
  <c r="AK274" i="18"/>
  <c r="AH274" i="18" s="1"/>
  <c r="AK282" i="18"/>
  <c r="AH282" i="18" s="1"/>
  <c r="AK290" i="18"/>
  <c r="AH290" i="18" s="1"/>
  <c r="AK298" i="18"/>
  <c r="AH298" i="18" s="1"/>
  <c r="AK306" i="18"/>
  <c r="AH306" i="18" s="1"/>
  <c r="AK314" i="18"/>
  <c r="AK322" i="18"/>
  <c r="AK330" i="18"/>
  <c r="AH330" i="18" s="1"/>
  <c r="AK338" i="18"/>
  <c r="AK277" i="18"/>
  <c r="AH277" i="18" s="1"/>
  <c r="AK317" i="18"/>
  <c r="AH317" i="18" s="1"/>
  <c r="AK333" i="18"/>
  <c r="AH333" i="18" s="1"/>
  <c r="AK251" i="18"/>
  <c r="AH251" i="18" s="1"/>
  <c r="AK259" i="18"/>
  <c r="AK267" i="18"/>
  <c r="AK275" i="18"/>
  <c r="AK283" i="18"/>
  <c r="AK291" i="18"/>
  <c r="AH291" i="18" s="1"/>
  <c r="AK299" i="18"/>
  <c r="AH299" i="18" s="1"/>
  <c r="AK307" i="18"/>
  <c r="AH307" i="18" s="1"/>
  <c r="AK315" i="18"/>
  <c r="AH315" i="18" s="1"/>
  <c r="AK323" i="18"/>
  <c r="AK331" i="18"/>
  <c r="AK339" i="18"/>
  <c r="AH339" i="18" s="1"/>
  <c r="AK285" i="18"/>
  <c r="AH285" i="18" s="1"/>
  <c r="AK252" i="18"/>
  <c r="AH252" i="18" s="1"/>
  <c r="AK260" i="18"/>
  <c r="AH260" i="18" s="1"/>
  <c r="AK268" i="18"/>
  <c r="AH268" i="18" s="1"/>
  <c r="AK276" i="18"/>
  <c r="AH276" i="18" s="1"/>
  <c r="AK284" i="18"/>
  <c r="AK292" i="18"/>
  <c r="AH292" i="18" s="1"/>
  <c r="AK300" i="18"/>
  <c r="AK308" i="18"/>
  <c r="AH308" i="18" s="1"/>
  <c r="AK316" i="18"/>
  <c r="AH316" i="18" s="1"/>
  <c r="AK324" i="18"/>
  <c r="AH324" i="18" s="1"/>
  <c r="AK332" i="18"/>
  <c r="AH332" i="18" s="1"/>
  <c r="AK340" i="18"/>
  <c r="AH340" i="18" s="1"/>
  <c r="AK261" i="18"/>
  <c r="AK325" i="18"/>
  <c r="AK253" i="18"/>
  <c r="AK246" i="18"/>
  <c r="AH246" i="18" s="1"/>
  <c r="AK254" i="18"/>
  <c r="AH254" i="18" s="1"/>
  <c r="AK262" i="18"/>
  <c r="AH262" i="18" s="1"/>
  <c r="AK270" i="18"/>
  <c r="AH270" i="18" s="1"/>
  <c r="AK278" i="18"/>
  <c r="AH278" i="18" s="1"/>
  <c r="AK286" i="18"/>
  <c r="AK294" i="18"/>
  <c r="AK302" i="18"/>
  <c r="AK310" i="18"/>
  <c r="AH310" i="18" s="1"/>
  <c r="AK318" i="18"/>
  <c r="AH318" i="18" s="1"/>
  <c r="AK326" i="18"/>
  <c r="AH326" i="18" s="1"/>
  <c r="AK334" i="18"/>
  <c r="AH334" i="18" s="1"/>
  <c r="AK309" i="18"/>
  <c r="AH309" i="18" s="1"/>
  <c r="AH52" i="18"/>
  <c r="AH325" i="18"/>
  <c r="AH327" i="18"/>
  <c r="AH313" i="18"/>
  <c r="AH319" i="18"/>
  <c r="AH305" i="18"/>
  <c r="AH322" i="18"/>
  <c r="AH331" i="18"/>
  <c r="AH311" i="18"/>
  <c r="AH323" i="18"/>
  <c r="AH336" i="18"/>
  <c r="AH314" i="18"/>
  <c r="AH338" i="18"/>
  <c r="AH232" i="18"/>
  <c r="AH227" i="18"/>
  <c r="AH223" i="18"/>
  <c r="AH79" i="18"/>
  <c r="AH237" i="18"/>
  <c r="AH31" i="18"/>
  <c r="AH66" i="18"/>
  <c r="AH160" i="18"/>
  <c r="AH18" i="18"/>
  <c r="AH58" i="18"/>
  <c r="AH152" i="18"/>
  <c r="AH210" i="18"/>
  <c r="AH10" i="18"/>
  <c r="AH139" i="18"/>
  <c r="AH24" i="18"/>
  <c r="AH39" i="18"/>
  <c r="AH54" i="18"/>
  <c r="AH12" i="18"/>
  <c r="AH143" i="18"/>
  <c r="AH172" i="18"/>
  <c r="AH181" i="18"/>
  <c r="AH13" i="18"/>
  <c r="AH29" i="18"/>
  <c r="AH62" i="18"/>
  <c r="AH118" i="18"/>
  <c r="AH131" i="18"/>
  <c r="AH147" i="18"/>
  <c r="AH138" i="18"/>
  <c r="AH15" i="18"/>
  <c r="AH108" i="18"/>
  <c r="AH215" i="18"/>
  <c r="AH188" i="18"/>
  <c r="AH70" i="18"/>
  <c r="AH124" i="18"/>
  <c r="AH189" i="18"/>
  <c r="AH85" i="18"/>
  <c r="AH202" i="18"/>
  <c r="AH99" i="18"/>
  <c r="AH37" i="18"/>
  <c r="AH198" i="18"/>
  <c r="AH176" i="18"/>
  <c r="AH121" i="18"/>
  <c r="AH61" i="18"/>
  <c r="AH125" i="18"/>
  <c r="AH60" i="18"/>
  <c r="AH182" i="18"/>
  <c r="AH23" i="18"/>
  <c r="AH178" i="18"/>
  <c r="AH5" i="18"/>
  <c r="AH74" i="18"/>
  <c r="AH88" i="18"/>
  <c r="AH195" i="18"/>
  <c r="AH6" i="18"/>
  <c r="AH193" i="18"/>
  <c r="AH41" i="18"/>
  <c r="AH19" i="18"/>
  <c r="AH67" i="18"/>
  <c r="AH7" i="18"/>
  <c r="AH113" i="18"/>
  <c r="AH53" i="18"/>
  <c r="AH120" i="18"/>
  <c r="AH103" i="18"/>
  <c r="AH180" i="18"/>
  <c r="AH165" i="18"/>
  <c r="AH209" i="18"/>
  <c r="AH65" i="18"/>
  <c r="AH56" i="18"/>
  <c r="AH185" i="18"/>
  <c r="AH142" i="18"/>
  <c r="AH203" i="18"/>
  <c r="AH146" i="18"/>
  <c r="AH186" i="18"/>
  <c r="AH114" i="18"/>
  <c r="AH48" i="18"/>
  <c r="AH105" i="18"/>
  <c r="AH40" i="18"/>
  <c r="AH112" i="18"/>
  <c r="AH169" i="18"/>
  <c r="AH167" i="18"/>
  <c r="AH129" i="18"/>
  <c r="AH149" i="18"/>
  <c r="AH201" i="18"/>
  <c r="AH57" i="18"/>
  <c r="AH177" i="18"/>
  <c r="AH213" i="18"/>
  <c r="AH155" i="18"/>
  <c r="AH32" i="18"/>
  <c r="AH104" i="18"/>
  <c r="AH219" i="18"/>
  <c r="AH82" i="18"/>
  <c r="AH9" i="18"/>
  <c r="AH130" i="18"/>
  <c r="AH116" i="18"/>
  <c r="AH159" i="18"/>
  <c r="AH137" i="18"/>
  <c r="AH199" i="18"/>
  <c r="AH135" i="18"/>
  <c r="AH83" i="18"/>
  <c r="AH122" i="18"/>
  <c r="AH27" i="18"/>
  <c r="AH91" i="18"/>
  <c r="AH211" i="18"/>
  <c r="AH75" i="18"/>
  <c r="AH117" i="18"/>
  <c r="AH151" i="18"/>
  <c r="AH44" i="18"/>
  <c r="AH95" i="18"/>
  <c r="AH35" i="18"/>
  <c r="AH194" i="18"/>
  <c r="AH50" i="18"/>
  <c r="AH197" i="18"/>
  <c r="AH87" i="18"/>
  <c r="AH134" i="18"/>
  <c r="AH11" i="18"/>
  <c r="AH76" i="18"/>
  <c r="AH73" i="18"/>
  <c r="AH71" i="18"/>
  <c r="AH168" i="18"/>
  <c r="AH93" i="18"/>
  <c r="AH184" i="18"/>
  <c r="AH126" i="18"/>
  <c r="AH68" i="18"/>
  <c r="AH216" i="18"/>
  <c r="AH207" i="18"/>
  <c r="AH96" i="18"/>
  <c r="AH49" i="18"/>
  <c r="AH267" i="18"/>
  <c r="AH229" i="18"/>
  <c r="AH283" i="18"/>
  <c r="AH301" i="18"/>
  <c r="AH240" i="18"/>
  <c r="AH258" i="18"/>
  <c r="AH244" i="18"/>
  <c r="AH261" i="18"/>
  <c r="AH294" i="18"/>
  <c r="AH233" i="18"/>
  <c r="AH241" i="18"/>
  <c r="AH271" i="18"/>
  <c r="AH302" i="18"/>
  <c r="AH300" i="18"/>
  <c r="AH263" i="18"/>
  <c r="AH280" i="18"/>
  <c r="AH221" i="18"/>
  <c r="AH236" i="18"/>
  <c r="AH242" i="18"/>
  <c r="AH255" i="18"/>
  <c r="AH224" i="18"/>
  <c r="AH249" i="18"/>
  <c r="AH284" i="18"/>
  <c r="AH288" i="18"/>
  <c r="AH259" i="18"/>
  <c r="AH247" i="18"/>
  <c r="AH253" i="18"/>
  <c r="AH250" i="18"/>
  <c r="AH231" i="18"/>
  <c r="AH286" i="18"/>
  <c r="AH275"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1D3ADA-FFDC-4369-960D-BFE6A88244B3}" keepAlive="1" name="Query - pub?gid=0&amp;single=true&amp;output=csv" description="Connection to the 'pub?gid=0&amp;single=true&amp;output=csv' query in the workbook." type="5" refreshedVersion="8" background="1" saveData="1">
    <dbPr connection="Provider=Microsoft.Mashup.OleDb.1;Data Source=$Workbook$;Location=&quot;pub?gid=0&amp;single=true&amp;output=csv&quot;;Extended Properties=&quot;&quot;" command="SELECT * FROM [pub?gid=0&amp;single=true&amp;output=csv]"/>
  </connection>
</connections>
</file>

<file path=xl/sharedStrings.xml><?xml version="1.0" encoding="utf-8"?>
<sst xmlns="http://schemas.openxmlformats.org/spreadsheetml/2006/main" count="66838" uniqueCount="518">
  <si>
    <t>NO</t>
  </si>
  <si>
    <t>NIS</t>
  </si>
  <si>
    <t>KELAS</t>
  </si>
  <si>
    <t>NAMA</t>
  </si>
  <si>
    <t>ASAL KABUPATEN</t>
  </si>
  <si>
    <t>TANGGAL</t>
  </si>
  <si>
    <t>Day</t>
  </si>
  <si>
    <t>Month</t>
  </si>
  <si>
    <t>Year</t>
  </si>
  <si>
    <t>KATEGORI PENILAIAN</t>
  </si>
  <si>
    <t>JENIS PENILAIAN</t>
  </si>
  <si>
    <t>BENTUK PENILAIAN</t>
  </si>
  <si>
    <t>TIPE PENILAIAN</t>
  </si>
  <si>
    <t>TEMA</t>
  </si>
  <si>
    <t>TOPIK</t>
  </si>
  <si>
    <t>PROYEK</t>
  </si>
  <si>
    <t>SKILL</t>
  </si>
  <si>
    <t>SUB SKILL</t>
  </si>
  <si>
    <t>KODE MATERI</t>
  </si>
  <si>
    <t>NO TP</t>
  </si>
  <si>
    <t>KETERANGAN TP</t>
  </si>
  <si>
    <t>NO MATERI</t>
  </si>
  <si>
    <t>KETERANGAN MATERI</t>
  </si>
  <si>
    <t>MATERI KELAS</t>
  </si>
  <si>
    <t>FASE</t>
  </si>
  <si>
    <t>KKM</t>
  </si>
  <si>
    <t>NILAI</t>
  </si>
  <si>
    <t>KETUNTASAN</t>
  </si>
  <si>
    <t>MAPEL</t>
  </si>
  <si>
    <t>NAMA GURU</t>
  </si>
  <si>
    <t>Yohanes Bagau</t>
  </si>
  <si>
    <t>Nalar</t>
  </si>
  <si>
    <t>Analisa</t>
  </si>
  <si>
    <t>Roison Sondegau</t>
  </si>
  <si>
    <t>Onance Mbaguau</t>
  </si>
  <si>
    <t>Agustinus Tipagau</t>
  </si>
  <si>
    <t>Teori</t>
  </si>
  <si>
    <t>Kognitif Formatif</t>
  </si>
  <si>
    <t>Biologi</t>
  </si>
  <si>
    <t>Apia Miagoni</t>
  </si>
  <si>
    <t>Fisika</t>
  </si>
  <si>
    <t>Skill</t>
  </si>
  <si>
    <t>Jupiten Bagau</t>
  </si>
  <si>
    <t>Lince Tigi</t>
  </si>
  <si>
    <t>Arno Agimbau</t>
  </si>
  <si>
    <t>Etty Ebrata Holombau</t>
  </si>
  <si>
    <t>Jonias Bagau</t>
  </si>
  <si>
    <t>Lovin Miagoni</t>
  </si>
  <si>
    <t>Wenes Tapani</t>
  </si>
  <si>
    <t>Kimia</t>
  </si>
  <si>
    <t>Gabriel Iwan Prasetyono, M.Si.</t>
  </si>
  <si>
    <t>Proyek Kopi</t>
  </si>
  <si>
    <t>Proyek Tepung</t>
  </si>
  <si>
    <t>Sejarah</t>
  </si>
  <si>
    <t>11A</t>
  </si>
  <si>
    <t>Alfrida Kamo</t>
  </si>
  <si>
    <t>Benyamin Wenda</t>
  </si>
  <si>
    <t>Bida Ruth U. Magai</t>
  </si>
  <si>
    <t>Oni Tipagau</t>
  </si>
  <si>
    <t>Roberto Richardo S Bokoryopces</t>
  </si>
  <si>
    <t>Soni Tipagau</t>
  </si>
  <si>
    <t>Judalia Wasti Miagoni</t>
  </si>
  <si>
    <t>Opince Atika Bagau</t>
  </si>
  <si>
    <t>Mariyon Bagau</t>
  </si>
  <si>
    <t>Matematika Tingkat Lanjut</t>
  </si>
  <si>
    <t>12A</t>
  </si>
  <si>
    <t>Diko Kiwo</t>
  </si>
  <si>
    <t>Ika Bogum</t>
  </si>
  <si>
    <t>Nelson Mandela Yikwa</t>
  </si>
  <si>
    <t>Resalina Kogoya</t>
  </si>
  <si>
    <t>Teku Weya</t>
  </si>
  <si>
    <t>Yerni Bogum</t>
  </si>
  <si>
    <t>Elison Miagoni</t>
  </si>
  <si>
    <t>Dolpince Widigipa</t>
  </si>
  <si>
    <t>Noliana Dorince Sani</t>
  </si>
  <si>
    <t>Mapel TDU</t>
  </si>
  <si>
    <t>Nilai2</t>
  </si>
  <si>
    <t>Predikat</t>
  </si>
  <si>
    <t>MatKls</t>
  </si>
  <si>
    <t>Mata Pelajaran SMA</t>
  </si>
  <si>
    <t>Lap TDU</t>
  </si>
  <si>
    <t>B.Indo</t>
  </si>
  <si>
    <t>B.Ing</t>
  </si>
  <si>
    <t>B.Sunda</t>
  </si>
  <si>
    <t>Math</t>
  </si>
  <si>
    <t>A.Katolik</t>
  </si>
  <si>
    <t>A.Kristen</t>
  </si>
  <si>
    <t>PKWU</t>
  </si>
  <si>
    <t>TIK</t>
  </si>
  <si>
    <t>PJOK</t>
  </si>
  <si>
    <t>Karakter</t>
  </si>
  <si>
    <t>Pantang menyerah dalam belajar dan mengerjakan tugas</t>
  </si>
  <si>
    <t>Mandiri</t>
  </si>
  <si>
    <t>Mengerjakan setiap tugas dan kewajiban di sekolah</t>
  </si>
  <si>
    <t>Yoas Bagau</t>
  </si>
  <si>
    <t>Keinginan untuk memperkaya pengetahuan melalui literasi</t>
  </si>
  <si>
    <t>Evaluasi</t>
  </si>
  <si>
    <t>Abson Duwitau</t>
  </si>
  <si>
    <t>Ani Mirip</t>
  </si>
  <si>
    <t>Deni Tipagau</t>
  </si>
  <si>
    <t>Eni Wandagau</t>
  </si>
  <si>
    <t>Inenus Wandikmbo</t>
  </si>
  <si>
    <t>Inep Wandikmbo</t>
  </si>
  <si>
    <t>Kana Mbogau</t>
  </si>
  <si>
    <t>Marni Majau</t>
  </si>
  <si>
    <t>Menu Moniby M Abugau</t>
  </si>
  <si>
    <t>Ndan Mirip</t>
  </si>
  <si>
    <t>Eden Abugau</t>
  </si>
  <si>
    <t>Samuel Gelanggagani</t>
  </si>
  <si>
    <t>Amelia E. Wandagau</t>
  </si>
  <si>
    <t>Apelina Abugau</t>
  </si>
  <si>
    <t>Apniel Jagani</t>
  </si>
  <si>
    <t>Count of Predikat</t>
  </si>
  <si>
    <t>Row Labels</t>
  </si>
  <si>
    <t>Baik</t>
  </si>
  <si>
    <t>Kurang</t>
  </si>
  <si>
    <t>Sangat baik</t>
  </si>
  <si>
    <t>Sangat kurang</t>
  </si>
  <si>
    <t>Grand Total</t>
  </si>
  <si>
    <t>(Multiple Items)</t>
  </si>
  <si>
    <t>Total</t>
  </si>
  <si>
    <t>Average of MatKls</t>
  </si>
  <si>
    <t>Values</t>
  </si>
  <si>
    <t>Average of Nilai2</t>
  </si>
  <si>
    <t>Average of KKM</t>
  </si>
  <si>
    <t>Rizal Fahmi, A.Md.Kom</t>
  </si>
  <si>
    <t>Apina Dendegau</t>
  </si>
  <si>
    <t>Setina Tipagau</t>
  </si>
  <si>
    <t>Hetina Tipagau</t>
  </si>
  <si>
    <t>Epinus Kobogau</t>
  </si>
  <si>
    <t>Predikat Krktr</t>
  </si>
  <si>
    <t>Wk#</t>
  </si>
  <si>
    <t>Cukup</t>
  </si>
  <si>
    <t>Count of Predikat Krktr</t>
  </si>
  <si>
    <t>Column Labels</t>
  </si>
  <si>
    <t>Count of JENIS PENILAIAN</t>
  </si>
  <si>
    <t>Unit</t>
  </si>
  <si>
    <t>SMA</t>
  </si>
  <si>
    <t>Kelas</t>
  </si>
  <si>
    <t>Nama</t>
  </si>
  <si>
    <t>Intan Jaya</t>
  </si>
  <si>
    <t>Real</t>
  </si>
  <si>
    <t>Entrepreneur</t>
  </si>
  <si>
    <t>Tuntas</t>
  </si>
  <si>
    <t>Agama Katolik</t>
  </si>
  <si>
    <t>Agama Kristen</t>
  </si>
  <si>
    <t>Dogiyai</t>
  </si>
  <si>
    <t>Inta jaya</t>
  </si>
  <si>
    <t>Nabire</t>
  </si>
  <si>
    <t>Bahasa Indonesia</t>
  </si>
  <si>
    <t>Latihan</t>
  </si>
  <si>
    <t>Tidak tuntas</t>
  </si>
  <si>
    <t>Bahasa Sunda</t>
  </si>
  <si>
    <t>Praktik Formatif</t>
  </si>
  <si>
    <t>Matematika</t>
  </si>
  <si>
    <t>Product development</t>
  </si>
  <si>
    <t>Tolikara</t>
  </si>
  <si>
    <t>Konsep</t>
  </si>
  <si>
    <t>Kreasi</t>
  </si>
  <si>
    <t/>
  </si>
  <si>
    <t>Bahasa Inggris</t>
  </si>
  <si>
    <t>Informatika</t>
  </si>
  <si>
    <t>Pendidikan Jasmani, Olahraga, dan Kesehatan</t>
  </si>
  <si>
    <t>Prakarya dan Kewirausahaan</t>
  </si>
  <si>
    <t>Seni Budaya dan Keterampilan</t>
  </si>
  <si>
    <t>Score IQ</t>
  </si>
  <si>
    <t>Status</t>
  </si>
  <si>
    <t>Abepira Bagau</t>
  </si>
  <si>
    <t>Superior</t>
  </si>
  <si>
    <t>Abrian Bagau</t>
  </si>
  <si>
    <t>Average</t>
  </si>
  <si>
    <t>Abyatar Miagoni</t>
  </si>
  <si>
    <t>Agun Bagubau</t>
  </si>
  <si>
    <t>Agung Yuda Weko Wenda</t>
  </si>
  <si>
    <t>Agus Tipagau</t>
  </si>
  <si>
    <t>High average</t>
  </si>
  <si>
    <t>Agustina Sondegau</t>
  </si>
  <si>
    <t>Agustinus Pogau</t>
  </si>
  <si>
    <t>Extremely low</t>
  </si>
  <si>
    <t>Akim Miagoni</t>
  </si>
  <si>
    <t>Akon Tipagau</t>
  </si>
  <si>
    <t>Alexander Stevan Wiliam Tipagau</t>
  </si>
  <si>
    <t>Alomen Agimbau</t>
  </si>
  <si>
    <t>Ames Tipagau</t>
  </si>
  <si>
    <t>Amos Belau</t>
  </si>
  <si>
    <t>Very superior</t>
  </si>
  <si>
    <t>Apelina Wandagau</t>
  </si>
  <si>
    <t>Low average</t>
  </si>
  <si>
    <t>Arnold Jogobega Bagau</t>
  </si>
  <si>
    <t>Aten Migau</t>
  </si>
  <si>
    <t>Ato Emani</t>
  </si>
  <si>
    <t>Billy Brian Miagoni</t>
  </si>
  <si>
    <t>Christian R Belau</t>
  </si>
  <si>
    <t>Dalen Ugipa</t>
  </si>
  <si>
    <t>Damaskus Mbogau</t>
  </si>
  <si>
    <t>Debora Bagau</t>
  </si>
  <si>
    <t>Demison Somau</t>
  </si>
  <si>
    <t>Dena Yapugau</t>
  </si>
  <si>
    <t>Devius Domegame</t>
  </si>
  <si>
    <t>Dobiut Holombau</t>
  </si>
  <si>
    <t>Ebenezer Zagani</t>
  </si>
  <si>
    <t>Edison Bagau</t>
  </si>
  <si>
    <t>Edy Nopatris Miagoni</t>
  </si>
  <si>
    <t>Efrati Janeeta Judit Bagau</t>
  </si>
  <si>
    <t>Eli Nayagau</t>
  </si>
  <si>
    <t>Eliakem Bagubau</t>
  </si>
  <si>
    <t>Elihakim Jagani</t>
  </si>
  <si>
    <t>Eroi Wenda</t>
  </si>
  <si>
    <t>Estus Donardo Ugipa</t>
  </si>
  <si>
    <t>Ferdon Miagoni</t>
  </si>
  <si>
    <t>Gardion Zanambani</t>
  </si>
  <si>
    <t>Henokh Sondegau</t>
  </si>
  <si>
    <t>Iko Tipagau</t>
  </si>
  <si>
    <t>Iyan Maryam Kegepe</t>
  </si>
  <si>
    <t>Jakob Agimbau</t>
  </si>
  <si>
    <t>Jefrida Tipagau</t>
  </si>
  <si>
    <t>Jekni Bagubau</t>
  </si>
  <si>
    <t>Jeno Mbaguau</t>
  </si>
  <si>
    <t>Jepon Bagau</t>
  </si>
  <si>
    <t>Jermias Jagani</t>
  </si>
  <si>
    <t>Jesiko Alfian Bagau</t>
  </si>
  <si>
    <t>Junaedi Miagoni</t>
  </si>
  <si>
    <t>Junice Kobogau</t>
  </si>
  <si>
    <t>Kartika Sarong Allo</t>
  </si>
  <si>
    <t>Kimelia Somau</t>
  </si>
  <si>
    <t>Lamekh Sondegau</t>
  </si>
  <si>
    <t>Lea Leorike Ugipa</t>
  </si>
  <si>
    <t>Makarius Duwitau</t>
  </si>
  <si>
    <t>Manoak Bagau</t>
  </si>
  <si>
    <t>Marsi Akwila</t>
  </si>
  <si>
    <t>Mianus Belau</t>
  </si>
  <si>
    <t>Misail Miagoni</t>
  </si>
  <si>
    <t>Misan Bagubau</t>
  </si>
  <si>
    <t>Misolon Kundau</t>
  </si>
  <si>
    <t>Mita Milance Miagoni</t>
  </si>
  <si>
    <t>Moni Kobogau</t>
  </si>
  <si>
    <t>Nabu Tipagau</t>
  </si>
  <si>
    <t>Nanda Janampa</t>
  </si>
  <si>
    <t>Natan Nagapa</t>
  </si>
  <si>
    <t>Nelson Agimbau</t>
  </si>
  <si>
    <t>Nelson Ilfanus Sondegau</t>
  </si>
  <si>
    <t>Nikita Wili Sondegau</t>
  </si>
  <si>
    <t>Nojelon Tipagau</t>
  </si>
  <si>
    <t>Nolince Ugipa</t>
  </si>
  <si>
    <t>Nopelina Bagubau</t>
  </si>
  <si>
    <t>Noprianus Agimbau</t>
  </si>
  <si>
    <t>Notena Kobogau</t>
  </si>
  <si>
    <t>Notinol Tipagau</t>
  </si>
  <si>
    <t>Olin Raissa Somauw</t>
  </si>
  <si>
    <t>Onesta Kobogau</t>
  </si>
  <si>
    <t>Borderline</t>
  </si>
  <si>
    <t>Ostina Sani</t>
  </si>
  <si>
    <t>Paskalius Tipagau</t>
  </si>
  <si>
    <t>Peles Bagau</t>
  </si>
  <si>
    <t>Putra Sanjaya Wenda</t>
  </si>
  <si>
    <t>Roberta Bellarmina Belau</t>
  </si>
  <si>
    <t>Rona Zanambani</t>
  </si>
  <si>
    <t>Rudi Fransiskus Sondegau</t>
  </si>
  <si>
    <t>Sena Ugipa</t>
  </si>
  <si>
    <t>Setianus Zanambani</t>
  </si>
  <si>
    <t>Tandimince Wenda</t>
  </si>
  <si>
    <t>Tiberianus Zanambani</t>
  </si>
  <si>
    <t>Tiopirus Jagani</t>
  </si>
  <si>
    <t>Uni Bagau</t>
  </si>
  <si>
    <t>Vinera Lenora Wamuni</t>
  </si>
  <si>
    <t>Wim Nocolan Everionde Selegani</t>
  </si>
  <si>
    <t>Yabal Bagau</t>
  </si>
  <si>
    <t>Yanti Bagau</t>
  </si>
  <si>
    <t>Yiska Tipagau</t>
  </si>
  <si>
    <t>Yoamira Bagau</t>
  </si>
  <si>
    <t>Yosua Maiseni</t>
  </si>
  <si>
    <t>Yupen Bagubau</t>
  </si>
  <si>
    <t>Rencana Sukses</t>
  </si>
  <si>
    <t>Pengembangan produk inovasi</t>
  </si>
  <si>
    <t>Helper</t>
  </si>
  <si>
    <t>Nilai</t>
  </si>
  <si>
    <t>Average of Nilai</t>
  </si>
  <si>
    <t>IQ Status</t>
  </si>
  <si>
    <t>Fenty Yunia Vianarika, S.Pd., Gr.</t>
  </si>
  <si>
    <t>Minat</t>
  </si>
  <si>
    <t>Fokus, aktif berpartisipasi dan bertanya atau menanggapi</t>
  </si>
  <si>
    <t>Pengolahan Kopi atau Tepung</t>
  </si>
  <si>
    <t>242510013</t>
  </si>
  <si>
    <t xml:space="preserve">Yohanes Bagau </t>
  </si>
  <si>
    <t>25</t>
  </si>
  <si>
    <t>01.01</t>
  </si>
  <si>
    <t>242510011</t>
  </si>
  <si>
    <t>242510010</t>
  </si>
  <si>
    <t>242510002</t>
  </si>
  <si>
    <t>242510001</t>
  </si>
  <si>
    <t>242510007</t>
  </si>
  <si>
    <t>242510008</t>
  </si>
  <si>
    <t>242510014</t>
  </si>
  <si>
    <t>242510004</t>
  </si>
  <si>
    <t>242510006</t>
  </si>
  <si>
    <t>242510009</t>
  </si>
  <si>
    <t>242510012</t>
  </si>
  <si>
    <t>#N/A</t>
  </si>
  <si>
    <t>#VALUE!</t>
  </si>
  <si>
    <t>,</t>
  </si>
  <si>
    <t>N</t>
  </si>
  <si>
    <t>#REF!</t>
  </si>
  <si>
    <t>Produksi berkelanjutan</t>
  </si>
  <si>
    <t>02.01</t>
  </si>
  <si>
    <t>30</t>
  </si>
  <si>
    <t>22</t>
  </si>
  <si>
    <t>K11</t>
  </si>
  <si>
    <t>F</t>
  </si>
  <si>
    <t>28</t>
  </si>
  <si>
    <t>F11.01.01</t>
  </si>
  <si>
    <t>Eka Dewi Sriyani, S.Pd., M.Si., Gr.</t>
  </si>
  <si>
    <t>232410001</t>
  </si>
  <si>
    <t>232410002</t>
  </si>
  <si>
    <t>232410003</t>
  </si>
  <si>
    <t>232410004</t>
  </si>
  <si>
    <t>232410006</t>
  </si>
  <si>
    <t>232410007</t>
  </si>
  <si>
    <t>232410009</t>
  </si>
  <si>
    <t>232410008</t>
  </si>
  <si>
    <t>Produk</t>
  </si>
  <si>
    <t>29</t>
  </si>
  <si>
    <t>PR</t>
  </si>
  <si>
    <t>Observ</t>
  </si>
  <si>
    <t>18</t>
  </si>
  <si>
    <t>Kuis</t>
  </si>
  <si>
    <t>mengidentifikasi dan memetakan berbagai produk dan olahan dari bahan baku kopi dari Papua, serta menjelaskan proses transformasinya dari bahan mentah menjadi produk jadi</t>
  </si>
  <si>
    <t>Pemetaan produk dan olahan</t>
  </si>
  <si>
    <t>Branding</t>
  </si>
  <si>
    <t>Inovasi market</t>
  </si>
  <si>
    <t>Produktivitas berbasis sustainablity</t>
  </si>
  <si>
    <t>F12.01.01</t>
  </si>
  <si>
    <t>K12</t>
  </si>
  <si>
    <t>232410005</t>
  </si>
  <si>
    <t>Asmat</t>
  </si>
  <si>
    <t>Web Programming</t>
  </si>
  <si>
    <t>D</t>
  </si>
  <si>
    <t>Pendidikan Pancasila</t>
  </si>
  <si>
    <t>Pancasila</t>
  </si>
  <si>
    <t>SBdK</t>
  </si>
  <si>
    <t>Kopi</t>
  </si>
  <si>
    <t>Tepung</t>
  </si>
  <si>
    <t>21</t>
  </si>
  <si>
    <t>01.02</t>
  </si>
  <si>
    <t>01.03</t>
  </si>
  <si>
    <t>01.04</t>
  </si>
  <si>
    <t>F11.01.03</t>
  </si>
  <si>
    <t>05</t>
  </si>
  <si>
    <t>08</t>
  </si>
  <si>
    <t>04</t>
  </si>
  <si>
    <t>06</t>
  </si>
  <si>
    <t>BMC masuk real market</t>
  </si>
  <si>
    <t>Penugasan</t>
  </si>
  <si>
    <t>11</t>
  </si>
  <si>
    <t>14</t>
  </si>
  <si>
    <t>12</t>
  </si>
  <si>
    <t>F11.02.01</t>
  </si>
  <si>
    <t>15</t>
  </si>
  <si>
    <t>Rekomendasi</t>
  </si>
  <si>
    <t>13</t>
  </si>
  <si>
    <t>Mampu memahami, memformulasikan dan menyelesaikan pemecahan masalah kelembaban dalam Rumah Kaca</t>
  </si>
  <si>
    <t>Marketing</t>
  </si>
  <si>
    <t>Praktik Sumatif</t>
  </si>
  <si>
    <t>Kognitif Sumatif</t>
  </si>
  <si>
    <t>SH</t>
  </si>
  <si>
    <t>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t>
  </si>
  <si>
    <t>Discovery</t>
  </si>
  <si>
    <t>Bergotong royong</t>
  </si>
  <si>
    <t>Presentasi</t>
  </si>
  <si>
    <t>Bekerja sama dengan semua warga komunitas SAI (tugas kelompok, piket, dll)</t>
  </si>
  <si>
    <t>F11.01.02</t>
  </si>
  <si>
    <t>19</t>
  </si>
  <si>
    <t>26</t>
  </si>
  <si>
    <t>03</t>
  </si>
  <si>
    <t>27</t>
  </si>
  <si>
    <t>10</t>
  </si>
  <si>
    <t>F12.01.02</t>
  </si>
  <si>
    <t>09</t>
  </si>
  <si>
    <t>Beriman, bertakwa kepada Tuhan YME dan berakhlak mulia</t>
  </si>
  <si>
    <t>Mengambil keputusan yang baik dan bisa dipertanggungjawabkan</t>
  </si>
  <si>
    <t>02</t>
  </si>
  <si>
    <t>F11.03.01</t>
  </si>
  <si>
    <t>03.01</t>
  </si>
  <si>
    <t>16</t>
  </si>
  <si>
    <t>Projek</t>
  </si>
  <si>
    <t>mengidentifikasi dan menjelaskan spesifikasi produk kopi, termasuk jenis, cita rasa, aroma, bentuk kemasan, dan standar mutu yang sesuai dengan kebutuhan pasar lokal maupun nasional</t>
  </si>
  <si>
    <t>Spesifikasi Produk</t>
  </si>
  <si>
    <t>K07</t>
  </si>
  <si>
    <t>F12.02.01</t>
  </si>
  <si>
    <t>F12.03.01</t>
  </si>
  <si>
    <t>menyusun karya tulis ilmiah berbasis data terkait kualitas produk olahan</t>
  </si>
  <si>
    <t>Argumentative Text</t>
  </si>
  <si>
    <t>K09</t>
  </si>
  <si>
    <t>F12.01.03</t>
  </si>
  <si>
    <t>melakukan market study sederhana dengan mengidentifikasi produk makanan olahan singkong serta menganalisis pasar nasional dan global untuk melihat peluang usaha</t>
  </si>
  <si>
    <t>Market survey</t>
  </si>
  <si>
    <t>Unjuk Kerja</t>
  </si>
  <si>
    <t>Implementasi</t>
  </si>
  <si>
    <t>Remedial</t>
  </si>
  <si>
    <t>Mengelola dan mengekpresikan emosi secara positif</t>
  </si>
  <si>
    <t>Menaati peraturan dan tata tertib sekolah dan asrama</t>
  </si>
  <si>
    <t>Menghormati dan berkomunikasi dengan baik/sopan kepada semua orang</t>
  </si>
  <si>
    <t>Ermelinda Janul, S. Pd., Gr.</t>
  </si>
  <si>
    <t>D07.01.08</t>
  </si>
  <si>
    <t>01.08</t>
  </si>
  <si>
    <t>Bonafasia Jaju, S. Pd., Gr.</t>
  </si>
  <si>
    <t>Jan</t>
  </si>
  <si>
    <t>Membentuk komunitas yang bertumbuh dalam pengenalan akan Firman Tuhan dan meyediakan ruang untuk saling membangun, berbagi serta mendalami Iman</t>
  </si>
  <si>
    <t>Gaya hidup saleh di tengah budaya hedonisme</t>
  </si>
  <si>
    <t>Pemetaan Awal</t>
  </si>
  <si>
    <t>menganalisis dan mengkomunikasikan gagasan, ide, dan pengalaman mereka secara tertulis  untuk menentukan makna tersurat dan tersirat serta menentukan isi, struktur dengan menggunakan data sebagai dasar argumen, serta menerapkan kaidah kebahasaan Bahasa Indonesia secara tepat</t>
  </si>
  <si>
    <t>Mengkaji Tesis-argumen-simpulan dalam Teks</t>
  </si>
  <si>
    <t>Menganalisis struktur dalam penulisan Teks</t>
  </si>
  <si>
    <t>Feb</t>
  </si>
  <si>
    <t>Menganalisis Data sebagai bukti dari berbagai sumber ilmiah</t>
  </si>
  <si>
    <t>mengargumentasikan yang berkaitan dengan pengembangan produk untuk peningkatan taraf perekonomian masyarakat melalui karya tulis ilmiah</t>
  </si>
  <si>
    <t>Exposition Text</t>
  </si>
  <si>
    <t>,,,,,,,,,,,,</t>
  </si>
  <si>
    <t>||||||||||||</t>
  </si>
  <si>
    <t>,,,,,</t>
  </si>
  <si>
    <t>Pemahaman nutrisi yang terkandung pada makanan terutama pada kopi dan singkong</t>
  </si>
  <si>
    <t>Nutrisi pada Makanan</t>
  </si>
  <si>
    <t>Konversi Satuan</t>
  </si>
  <si>
    <t>merancang dan mengoperasikan sistem inventori dan analisis usaha berbasis Microsoft Excel secara otomatis dan terintegrasi untuk membantu pengelolaan data usaha sederhana hingga menengah</t>
  </si>
  <si>
    <t>Sistem inventori dan analisis usaha</t>
  </si>
  <si>
    <t>menerapkan konsep massa molekul relatif, persamaan reaksi, hukum-hukum dasar kimia, dan konsep mol untuk menyelesaikan perhitungan kimia</t>
  </si>
  <si>
    <t>Stoikiometri</t>
  </si>
  <si>
    <t>Febriyani Sulistyaningsih, M.Pd., Gr.</t>
  </si>
  <si>
    <t>D09.01.01</t>
  </si>
  <si>
    <t>mengaplikasikan perbandingan trigonometri (sinus, cosinus, tangen) dari sudut lancip.</t>
  </si>
  <si>
    <t>Teorema Pythagoras</t>
  </si>
  <si>
    <t>Perbandingan trigonometri</t>
  </si>
  <si>
    <t>menganalisis kelas sosial masyarakat</t>
  </si>
  <si>
    <t>Faktor pembentuk kelas sosial</t>
  </si>
  <si>
    <t>Jenis kelas sosial</t>
  </si>
  <si>
    <t>Dampak kelas sosial</t>
  </si>
  <si>
    <t>menganalisis kelas sosial dalam Masyarakat</t>
  </si>
  <si>
    <t>Konsep kelas sosial dalam sejarah manusia</t>
  </si>
  <si>
    <t>Bentuk dampak Lingkungan</t>
  </si>
  <si>
    <t>Prilaku Sosial</t>
  </si>
  <si>
    <t>,,,,,,,,,</t>
  </si>
  <si>
    <t>|||||||||</t>
  </si>
  <si>
    <t>Memahami proses evolusi yang terjadi pada kopi dan singkong</t>
  </si>
  <si>
    <t>Evolusi Kopi dan Singkong</t>
  </si>
  <si>
    <t>manganalisis struktur, sifat, sintesis, dan kegunaan senyawa turunan hidrokarbon</t>
  </si>
  <si>
    <t>Sifat Senyawa Turunan Hidrokarbon</t>
  </si>
  <si>
    <t>memahami integral, baik sebagai proses yang merupakan kebalikan dari derivatif dan juga sebagai cara menghitung luas; serta memahami teorema dasar kalkulus sebagai penghubung antara derivatif dan integral.</t>
  </si>
  <si>
    <t>integral sebagai keballikan dari derivatif</t>
  </si>
  <si>
    <t>aplikasi integral</t>
  </si>
  <si>
    <t>integral tentu</t>
  </si>
  <si>
    <t>menjelaskan dinamika sosial yang terjadi di masyarakat</t>
  </si>
  <si>
    <t>Konsep dasar dinamika sosial</t>
  </si>
  <si>
    <t>mennganalisis dinamika persatuan bangsa dan pengaruh IPTEK terhadap isu Papua</t>
  </si>
  <si>
    <t>Pengaruh Positif</t>
  </si>
  <si>
    <t>Faktor Pendorong dan Penghambat Perubahan</t>
  </si>
  <si>
    <t>F12.01.04</t>
  </si>
  <si>
    <t>Bentuk dan Dampak Perubahan</t>
  </si>
  <si>
    <t xml:space="preserve">menganalisis dinamika sosial dalam kehidupan Masyarakat (pengaruh teknologi, globalisasi, konflik sosial) dan pengaruh dengan isu Papua </t>
  </si>
  <si>
    <t>Konsep Dinamika Sosial dalam Kajian Sejarah</t>
  </si>
  <si>
    <t>Faktor Penyebab Dinamika Sosial dalam Sejarah</t>
  </si>
  <si>
    <t>Dinamika Sosial pada Setiap Periode Sejarah</t>
  </si>
  <si>
    <t>(All)</t>
  </si>
  <si>
    <t>Wk.3</t>
  </si>
  <si>
    <t>Wk.4</t>
  </si>
  <si>
    <t>Wk.5</t>
  </si>
  <si>
    <t>Wk.6</t>
  </si>
  <si>
    <t>Wk.7</t>
  </si>
  <si>
    <t>Wk.2</t>
  </si>
  <si>
    <t>Wk.8</t>
  </si>
  <si>
    <t>23</t>
  </si>
  <si>
    <t>17</t>
  </si>
  <si>
    <t>F11.04.01</t>
  </si>
  <si>
    <t>mengelola aktivitas produksi makanan olahan singkong mulai dari perencanaan, proses pembuatan, hingga menghasilkan produk olahan singkong yang siap dipasarkan</t>
  </si>
  <si>
    <t>04.01</t>
  </si>
  <si>
    <t>Aktivitas produksi</t>
  </si>
  <si>
    <t>20</t>
  </si>
  <si>
    <t>Menghargai perbedaan pendapat dan mau melaksanakan keputusan bersama</t>
  </si>
  <si>
    <t>24</t>
  </si>
  <si>
    <t>F12.05.01</t>
  </si>
  <si>
    <t>menyajikan gagasan, pikiran, dan kreativitas dalam berbahasa dalam bentuk monolog, dialog, dan gelar wicara secara logis, sistematis, kritis, dan kreatif</t>
  </si>
  <si>
    <t>05.01</t>
  </si>
  <si>
    <t>Teks eksplanasi</t>
  </si>
  <si>
    <t>F12.07.01</t>
  </si>
  <si>
    <t>mengungkapkan pesan moral dan isu-isu publik yang tertangkap melalui karya sastra (novel) agar dapat menjadi refleksi kehidupan</t>
  </si>
  <si>
    <t>07.01</t>
  </si>
  <si>
    <t>Cerita Sejarah</t>
  </si>
  <si>
    <t>memaksimalkan volume penjualan untuk memenuhi target yang direncanakan</t>
  </si>
  <si>
    <t>Wk.9</t>
  </si>
  <si>
    <t>E10.01.09</t>
  </si>
  <si>
    <t>01.09</t>
  </si>
  <si>
    <t>Gerak Lurus Beraturan</t>
  </si>
  <si>
    <t>K10</t>
  </si>
  <si>
    <t>E</t>
  </si>
  <si>
    <t>Count of NAMA</t>
  </si>
  <si>
    <t>Wk.10</t>
  </si>
  <si>
    <t>Wk.11</t>
  </si>
  <si>
    <t>Wk.12</t>
  </si>
  <si>
    <t>Wk.13</t>
  </si>
  <si>
    <t>Wk.14</t>
  </si>
  <si>
    <t>Wk.15</t>
  </si>
  <si>
    <t>Wk.16</t>
  </si>
  <si>
    <t>Wk.17</t>
  </si>
  <si>
    <t>Wk.18</t>
  </si>
  <si>
    <t>Wk.19</t>
  </si>
  <si>
    <t>Wk.20</t>
  </si>
  <si>
    <t>Wk.21</t>
  </si>
  <si>
    <t>Wk.22</t>
  </si>
  <si>
    <t>Wk.23</t>
  </si>
  <si>
    <t>Wk.24</t>
  </si>
  <si>
    <t>Wk.25</t>
  </si>
  <si>
    <t>Yanto Sutrisno Saragih, S.Pd., Gr.</t>
  </si>
  <si>
    <t>Peran Kristen di media sosial</t>
  </si>
  <si>
    <t>Evaluasi &amp; Kalibrasi</t>
  </si>
  <si>
    <t>Dunia vs transformasi rohani</t>
  </si>
  <si>
    <t>F11.01.04</t>
  </si>
  <si>
    <t>Isu lingkungan &amp; peran manusia</t>
  </si>
  <si>
    <t>D08.01.02</t>
  </si>
  <si>
    <t>Radiasi</t>
  </si>
  <si>
    <t>K08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</si>
</sst>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7"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sz val="11"/>
      <color theme="1"/>
      <name val="Calibri"/>
      <family val="2"/>
    </font>
    <font>
      <sz val="10"/>
      <color theme="1"/>
      <name val="Arial"/>
      <family val="2"/>
    </font>
    <font>
      <sz val="8"/>
      <name val="Calibri"/>
      <family val="2"/>
      <scheme val="minor"/>
    </font>
  </fonts>
  <fills count="3">
    <fill>
      <patternFill patternType="none"/>
    </fill>
    <fill>
      <patternFill patternType="gray125"/>
    </fill>
    <fill>
      <patternFill patternType="solid">
        <fgColor theme="4"/>
        <bgColor theme="4"/>
      </patternFill>
    </fill>
  </fills>
  <borders count="7">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2">
    <xf numFmtId="0" fontId="0" fillId="0" borderId="0"/>
    <xf numFmtId="41" fontId="3" fillId="0" borderId="0" applyFont="0" applyFill="0" applyBorder="0" applyAlignment="0" applyProtection="0"/>
  </cellStyleXfs>
  <cellXfs count="33">
    <xf numFmtId="0" fontId="0" fillId="0" borderId="0" xfId="0"/>
    <xf numFmtId="1" fontId="0" fillId="0" borderId="0" xfId="0" applyNumberFormat="1"/>
    <xf numFmtId="0" fontId="1" fillId="0" borderId="2" xfId="0" applyFont="1" applyBorder="1"/>
    <xf numFmtId="0" fontId="0" fillId="0" borderId="0" xfId="0" pivotButton="1"/>
    <xf numFmtId="0" fontId="0" fillId="0" borderId="0" xfId="0" applyAlignment="1">
      <alignment horizontal="left"/>
    </xf>
    <xf numFmtId="9" fontId="0" fillId="0" borderId="0" xfId="0" applyNumberFormat="1"/>
    <xf numFmtId="41" fontId="0" fillId="0" borderId="0" xfId="0" applyNumberFormat="1"/>
    <xf numFmtId="0" fontId="1" fillId="0" borderId="1" xfId="0" applyFont="1" applyBorder="1"/>
    <xf numFmtId="0" fontId="1" fillId="0" borderId="3" xfId="0" applyFont="1" applyBorder="1"/>
    <xf numFmtId="0" fontId="2" fillId="0" borderId="0" xfId="0" applyFon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5" fillId="0" borderId="0" xfId="0" applyFont="1"/>
    <xf numFmtId="0" fontId="0" fillId="0" borderId="0" xfId="0" applyAlignment="1">
      <alignment horizontal="center" vertical="top"/>
    </xf>
    <xf numFmtId="0" fontId="4" fillId="0" borderId="0" xfId="0" applyFont="1" applyAlignment="1">
      <alignment horizontal="center" vertical="top"/>
    </xf>
    <xf numFmtId="0" fontId="2" fillId="0" borderId="2" xfId="0" applyFont="1" applyBorder="1" applyAlignment="1">
      <alignment vertical="top"/>
    </xf>
    <xf numFmtId="0" fontId="2" fillId="0" borderId="0" xfId="0" applyFont="1" applyAlignment="1">
      <alignment horizontal="center" vertical="top"/>
    </xf>
    <xf numFmtId="0" fontId="0" fillId="0" borderId="0" xfId="0" applyAlignment="1">
      <alignment vertical="top"/>
    </xf>
    <xf numFmtId="0" fontId="3" fillId="0" borderId="2" xfId="0" applyFont="1" applyBorder="1" applyAlignment="1">
      <alignment vertical="top"/>
    </xf>
    <xf numFmtId="0" fontId="3" fillId="0" borderId="0" xfId="0" applyFont="1" applyAlignment="1">
      <alignment horizontal="center" vertical="top"/>
    </xf>
    <xf numFmtId="0" fontId="3" fillId="0" borderId="0" xfId="0" applyFont="1" applyAlignment="1">
      <alignment vertical="top"/>
    </xf>
    <xf numFmtId="0" fontId="1" fillId="2" borderId="0" xfId="0" applyFont="1" applyFill="1"/>
    <xf numFmtId="0" fontId="1" fillId="0" borderId="0" xfId="0" applyFont="1"/>
    <xf numFmtId="41" fontId="0" fillId="0" borderId="0" xfId="1" applyFont="1" applyFill="1" applyBorder="1"/>
    <xf numFmtId="14" fontId="0" fillId="0" borderId="0" xfId="0" applyNumberFormat="1"/>
    <xf numFmtId="41" fontId="0" fillId="0" borderId="0" xfId="1" applyFont="1"/>
    <xf numFmtId="0" fontId="0" fillId="0" borderId="4" xfId="0" applyBorder="1"/>
    <xf numFmtId="0" fontId="0" fillId="0" borderId="5" xfId="0" applyBorder="1"/>
    <xf numFmtId="0" fontId="0" fillId="0" borderId="6" xfId="0" applyBorder="1"/>
    <xf numFmtId="0" fontId="0" fillId="0" borderId="1" xfId="0" applyBorder="1"/>
    <xf numFmtId="0" fontId="0" fillId="0" borderId="2" xfId="0" applyBorder="1"/>
    <xf numFmtId="0" fontId="0" fillId="0" borderId="3" xfId="0" applyBorder="1"/>
  </cellXfs>
  <cellStyles count="2">
    <cellStyle name="Comma [0]" xfId="1" builtinId="6"/>
    <cellStyle name="Normal" xfId="0" builtinId="0"/>
  </cellStyles>
  <dxfs count="88">
    <dxf>
      <fill>
        <patternFill patternType="none">
          <fgColor indexed="64"/>
          <bgColor indexed="65"/>
        </patternFill>
      </fill>
      <alignment vertical="top"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none">
          <fgColor indexed="64"/>
          <bgColor indexed="65"/>
        </patternFill>
      </fill>
      <alignment vertical="top" textRotation="0" wrapText="0" indent="0" justifyLastLine="0" shrinkToFit="0" readingOrder="0"/>
      <border diagonalUp="0" diagonalDown="0" outline="0">
        <left/>
        <right/>
        <top/>
        <bottom style="thin">
          <color theme="4" tint="0.39997558519241921"/>
        </bottom>
      </border>
    </dxf>
    <dxf>
      <border outline="0">
        <bottom style="thin">
          <color indexed="64"/>
        </bottom>
      </border>
    </dxf>
    <dxf>
      <alignment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theme="0"/>
        <name val="Calibri"/>
        <scheme val="minor"/>
      </font>
      <fill>
        <patternFill patternType="none">
          <fgColor indexed="64"/>
          <bgColor indexed="65"/>
        </patternFill>
      </fill>
    </dxf>
    <dxf>
      <numFmt numFmtId="33" formatCode="_(* #,##0_);_(* \(#,##0\);_(* &quot;-&quot;_);_(@_)"/>
    </dxf>
    <dxf>
      <numFmt numFmtId="33" formatCode="_(* #,##0_);_(* \(#,##0\);_(* &quot;-&quot;_);_(@_)"/>
    </dxf>
    <dxf>
      <numFmt numFmtId="0" formatCode="General"/>
    </dxf>
    <dxf>
      <numFmt numFmtId="0" formatCode="General"/>
    </dxf>
    <dxf>
      <numFmt numFmtId="0" formatCode="General"/>
      <border diagonalUp="0" diagonalDown="0">
        <left/>
        <right/>
        <top style="thin">
          <color theme="4" tint="0.39997558519241921"/>
        </top>
        <bottom style="thin">
          <color theme="4" tint="0.39997558519241921"/>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33" formatCode="_(* #,##0_);_(* \(#,##0\);_(* &quot;-&quot;_);_(@_)"/>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numFmt numFmtId="13" formatCode="0%"/>
    </dxf>
    <dxf>
      <numFmt numFmtId="13" formatCode="0%"/>
    </dxf>
    <dxf>
      <numFmt numFmtId="1" formatCode="0"/>
    </dxf>
    <dxf>
      <numFmt numFmtId="13" formatCode="0%"/>
    </dxf>
    <dxf>
      <numFmt numFmtId="13" formatCode="0%"/>
    </dxf>
    <dxf>
      <numFmt numFmtId="13" formatCode="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13" formatCode="0%"/>
    </dxf>
    <dxf>
      <numFmt numFmtId="13" formatCode="0%"/>
    </dxf>
    <dxf>
      <numFmt numFmtId="13" formatCode="0%"/>
    </dxf>
    <dxf>
      <numFmt numFmtId="13" formatCode="0%"/>
    </dxf>
    <dxf>
      <numFmt numFmtId="13" formatCode="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2.xml"/><Relationship Id="rId21" Type="http://schemas.microsoft.com/office/2007/relationships/slicerCache" Target="slicerCaches/slicerCache7.xml"/><Relationship Id="rId42" Type="http://schemas.microsoft.com/office/2007/relationships/slicerCache" Target="slicerCaches/slicerCache28.xml"/><Relationship Id="rId47" Type="http://schemas.microsoft.com/office/2007/relationships/slicerCache" Target="slicerCaches/slicerCache33.xml"/><Relationship Id="rId63" Type="http://schemas.microsoft.com/office/2007/relationships/slicerCache" Target="slicerCaches/slicerCache49.xml"/><Relationship Id="rId68" Type="http://schemas.microsoft.com/office/2007/relationships/slicerCache" Target="slicerCaches/slicerCache54.xml"/><Relationship Id="rId84" Type="http://schemas.microsoft.com/office/2007/relationships/slicerCache" Target="slicerCaches/slicerCache70.xml"/><Relationship Id="rId89" Type="http://schemas.openxmlformats.org/officeDocument/2006/relationships/calcChain" Target="calcChain.xml"/><Relationship Id="rId16" Type="http://schemas.microsoft.com/office/2007/relationships/slicerCache" Target="slicerCaches/slicerCache2.xml"/><Relationship Id="rId11" Type="http://schemas.openxmlformats.org/officeDocument/2006/relationships/worksheet" Target="worksheets/sheet11.xml"/><Relationship Id="rId32" Type="http://schemas.microsoft.com/office/2007/relationships/slicerCache" Target="slicerCaches/slicerCache18.xml"/><Relationship Id="rId37" Type="http://schemas.microsoft.com/office/2007/relationships/slicerCache" Target="slicerCaches/slicerCache23.xml"/><Relationship Id="rId53" Type="http://schemas.microsoft.com/office/2007/relationships/slicerCache" Target="slicerCaches/slicerCache39.xml"/><Relationship Id="rId58" Type="http://schemas.microsoft.com/office/2007/relationships/slicerCache" Target="slicerCaches/slicerCache44.xml"/><Relationship Id="rId74" Type="http://schemas.microsoft.com/office/2007/relationships/slicerCache" Target="slicerCaches/slicerCache60.xml"/><Relationship Id="rId79" Type="http://schemas.microsoft.com/office/2007/relationships/slicerCache" Target="slicerCaches/slicerCache65.xml"/><Relationship Id="rId5" Type="http://schemas.openxmlformats.org/officeDocument/2006/relationships/worksheet" Target="worksheets/sheet5.xml"/><Relationship Id="rId90" Type="http://schemas.openxmlformats.org/officeDocument/2006/relationships/customXml" Target="../customXml/item1.xml"/><Relationship Id="rId14" Type="http://schemas.openxmlformats.org/officeDocument/2006/relationships/pivotCacheDefinition" Target="pivotCache/pivotCacheDefinition2.xml"/><Relationship Id="rId22" Type="http://schemas.microsoft.com/office/2007/relationships/slicerCache" Target="slicerCaches/slicerCache8.xml"/><Relationship Id="rId27" Type="http://schemas.microsoft.com/office/2007/relationships/slicerCache" Target="slicerCaches/slicerCache13.xml"/><Relationship Id="rId30" Type="http://schemas.microsoft.com/office/2007/relationships/slicerCache" Target="slicerCaches/slicerCache16.xml"/><Relationship Id="rId35" Type="http://schemas.microsoft.com/office/2007/relationships/slicerCache" Target="slicerCaches/slicerCache21.xml"/><Relationship Id="rId43" Type="http://schemas.microsoft.com/office/2007/relationships/slicerCache" Target="slicerCaches/slicerCache29.xml"/><Relationship Id="rId48" Type="http://schemas.microsoft.com/office/2007/relationships/slicerCache" Target="slicerCaches/slicerCache34.xml"/><Relationship Id="rId56" Type="http://schemas.microsoft.com/office/2007/relationships/slicerCache" Target="slicerCaches/slicerCache42.xml"/><Relationship Id="rId64" Type="http://schemas.microsoft.com/office/2007/relationships/slicerCache" Target="slicerCaches/slicerCache50.xml"/><Relationship Id="rId69" Type="http://schemas.microsoft.com/office/2007/relationships/slicerCache" Target="slicerCaches/slicerCache55.xml"/><Relationship Id="rId77" Type="http://schemas.microsoft.com/office/2007/relationships/slicerCache" Target="slicerCaches/slicerCache63.xml"/><Relationship Id="rId8" Type="http://schemas.openxmlformats.org/officeDocument/2006/relationships/worksheet" Target="worksheets/sheet8.xml"/><Relationship Id="rId51" Type="http://schemas.microsoft.com/office/2007/relationships/slicerCache" Target="slicerCaches/slicerCache37.xml"/><Relationship Id="rId72" Type="http://schemas.microsoft.com/office/2007/relationships/slicerCache" Target="slicerCaches/slicerCache58.xml"/><Relationship Id="rId80" Type="http://schemas.microsoft.com/office/2007/relationships/slicerCache" Target="slicerCaches/slicerCache66.xml"/><Relationship Id="rId85"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3.xml"/><Relationship Id="rId25" Type="http://schemas.microsoft.com/office/2007/relationships/slicerCache" Target="slicerCaches/slicerCache11.xml"/><Relationship Id="rId33" Type="http://schemas.microsoft.com/office/2007/relationships/slicerCache" Target="slicerCaches/slicerCache19.xml"/><Relationship Id="rId38" Type="http://schemas.microsoft.com/office/2007/relationships/slicerCache" Target="slicerCaches/slicerCache24.xml"/><Relationship Id="rId46" Type="http://schemas.microsoft.com/office/2007/relationships/slicerCache" Target="slicerCaches/slicerCache32.xml"/><Relationship Id="rId59" Type="http://schemas.microsoft.com/office/2007/relationships/slicerCache" Target="slicerCaches/slicerCache45.xml"/><Relationship Id="rId67" Type="http://schemas.microsoft.com/office/2007/relationships/slicerCache" Target="slicerCaches/slicerCache53.xml"/><Relationship Id="rId20" Type="http://schemas.microsoft.com/office/2007/relationships/slicerCache" Target="slicerCaches/slicerCache6.xml"/><Relationship Id="rId41" Type="http://schemas.microsoft.com/office/2007/relationships/slicerCache" Target="slicerCaches/slicerCache27.xml"/><Relationship Id="rId54" Type="http://schemas.microsoft.com/office/2007/relationships/slicerCache" Target="slicerCaches/slicerCache40.xml"/><Relationship Id="rId62" Type="http://schemas.microsoft.com/office/2007/relationships/slicerCache" Target="slicerCaches/slicerCache48.xml"/><Relationship Id="rId70" Type="http://schemas.microsoft.com/office/2007/relationships/slicerCache" Target="slicerCaches/slicerCache56.xml"/><Relationship Id="rId75" Type="http://schemas.microsoft.com/office/2007/relationships/slicerCache" Target="slicerCaches/slicerCache61.xml"/><Relationship Id="rId83" Type="http://schemas.microsoft.com/office/2007/relationships/slicerCache" Target="slicerCaches/slicerCache69.xml"/><Relationship Id="rId88"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1.xml"/><Relationship Id="rId23" Type="http://schemas.microsoft.com/office/2007/relationships/slicerCache" Target="slicerCaches/slicerCache9.xml"/><Relationship Id="rId28" Type="http://schemas.microsoft.com/office/2007/relationships/slicerCache" Target="slicerCaches/slicerCache14.xml"/><Relationship Id="rId36" Type="http://schemas.microsoft.com/office/2007/relationships/slicerCache" Target="slicerCaches/slicerCache22.xml"/><Relationship Id="rId49" Type="http://schemas.microsoft.com/office/2007/relationships/slicerCache" Target="slicerCaches/slicerCache35.xml"/><Relationship Id="rId57" Type="http://schemas.microsoft.com/office/2007/relationships/slicerCache" Target="slicerCaches/slicerCache43.xml"/><Relationship Id="rId10" Type="http://schemas.openxmlformats.org/officeDocument/2006/relationships/worksheet" Target="worksheets/sheet10.xml"/><Relationship Id="rId31" Type="http://schemas.microsoft.com/office/2007/relationships/slicerCache" Target="slicerCaches/slicerCache17.xml"/><Relationship Id="rId44" Type="http://schemas.microsoft.com/office/2007/relationships/slicerCache" Target="slicerCaches/slicerCache30.xml"/><Relationship Id="rId52" Type="http://schemas.microsoft.com/office/2007/relationships/slicerCache" Target="slicerCaches/slicerCache38.xml"/><Relationship Id="rId60" Type="http://schemas.microsoft.com/office/2007/relationships/slicerCache" Target="slicerCaches/slicerCache46.xml"/><Relationship Id="rId65" Type="http://schemas.microsoft.com/office/2007/relationships/slicerCache" Target="slicerCaches/slicerCache51.xml"/><Relationship Id="rId73" Type="http://schemas.microsoft.com/office/2007/relationships/slicerCache" Target="slicerCaches/slicerCache59.xml"/><Relationship Id="rId78" Type="http://schemas.microsoft.com/office/2007/relationships/slicerCache" Target="slicerCaches/slicerCache64.xml"/><Relationship Id="rId81" Type="http://schemas.microsoft.com/office/2007/relationships/slicerCache" Target="slicerCaches/slicerCache67.xml"/><Relationship Id="rId86"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9" Type="http://schemas.microsoft.com/office/2007/relationships/slicerCache" Target="slicerCaches/slicerCache25.xml"/><Relationship Id="rId34" Type="http://schemas.microsoft.com/office/2007/relationships/slicerCache" Target="slicerCaches/slicerCache20.xml"/><Relationship Id="rId50" Type="http://schemas.microsoft.com/office/2007/relationships/slicerCache" Target="slicerCaches/slicerCache36.xml"/><Relationship Id="rId55" Type="http://schemas.microsoft.com/office/2007/relationships/slicerCache" Target="slicerCaches/slicerCache41.xml"/><Relationship Id="rId76" Type="http://schemas.microsoft.com/office/2007/relationships/slicerCache" Target="slicerCaches/slicerCache62.xml"/><Relationship Id="rId7" Type="http://schemas.openxmlformats.org/officeDocument/2006/relationships/worksheet" Target="worksheets/sheet7.xml"/><Relationship Id="rId71" Type="http://schemas.microsoft.com/office/2007/relationships/slicerCache" Target="slicerCaches/slicerCache57.xml"/><Relationship Id="rId2" Type="http://schemas.openxmlformats.org/officeDocument/2006/relationships/worksheet" Target="worksheets/sheet2.xml"/><Relationship Id="rId29" Type="http://schemas.microsoft.com/office/2007/relationships/slicerCache" Target="slicerCaches/slicerCache15.xml"/><Relationship Id="rId24" Type="http://schemas.microsoft.com/office/2007/relationships/slicerCache" Target="slicerCaches/slicerCache10.xml"/><Relationship Id="rId40" Type="http://schemas.microsoft.com/office/2007/relationships/slicerCache" Target="slicerCaches/slicerCache26.xml"/><Relationship Id="rId45" Type="http://schemas.microsoft.com/office/2007/relationships/slicerCache" Target="slicerCaches/slicerCache31.xml"/><Relationship Id="rId66" Type="http://schemas.microsoft.com/office/2007/relationships/slicerCache" Target="slicerCaches/slicerCache52.xml"/><Relationship Id="rId87" Type="http://schemas.openxmlformats.org/officeDocument/2006/relationships/styles" Target="styles.xml"/><Relationship Id="rId61" Type="http://schemas.microsoft.com/office/2007/relationships/slicerCache" Target="slicerCaches/slicerCache47.xml"/><Relationship Id="rId82" Type="http://schemas.microsoft.com/office/2007/relationships/slicerCache" Target="slicerCaches/slicerCache68.xml"/><Relationship Id="rId1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[TDU_SMA_2526_S2.xlsx]HPL!PivotTable3</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a:t>Predikat Penilaian - SMA</a:t>
            </a:r>
            <a:r>
              <a:rPr lang="en-US" sz="2000" baseline="0"/>
              <a:t> SAI</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bg1"/>
            </a:solidFill>
          </a:ln>
          <a:effectLst/>
        </c:spPr>
      </c:pivotFmt>
      <c:pivotFmt>
        <c:idx val="2"/>
        <c:spPr>
          <a:solidFill>
            <a:srgbClr val="92D050"/>
          </a:solidFill>
          <a:ln w="19050">
            <a:solidFill>
              <a:schemeClr val="bg1"/>
            </a:solidFill>
          </a:ln>
          <a:effectLst/>
        </c:spPr>
      </c:pivotFmt>
      <c:pivotFmt>
        <c:idx val="3"/>
        <c:spPr>
          <a:solidFill>
            <a:srgbClr val="FF0000"/>
          </a:solidFill>
          <a:ln w="19050">
            <a:solidFill>
              <a:schemeClr val="bg1"/>
            </a:solidFill>
          </a:ln>
          <a:effectLst/>
        </c:spPr>
      </c:pivotFmt>
      <c:pivotFmt>
        <c:idx val="4"/>
        <c:spPr>
          <a:solidFill>
            <a:srgbClr val="FF0000"/>
          </a:solidFill>
          <a:ln w="19050">
            <a:solidFill>
              <a:schemeClr val="bg1"/>
            </a:solidFill>
          </a:ln>
          <a:effectLst/>
        </c:spPr>
      </c:pivotFmt>
      <c:pivotFmt>
        <c:idx val="5"/>
        <c:spPr>
          <a:solidFill>
            <a:srgbClr val="FFFF00"/>
          </a:solidFill>
          <a:ln w="19050">
            <a:solidFill>
              <a:schemeClr val="bg1"/>
            </a:solidFill>
          </a:ln>
          <a:effectLst/>
        </c:spPr>
      </c:pivotFmt>
    </c:pivotFmts>
    <c:plotArea>
      <c:layout/>
      <c:pieChart>
        <c:varyColors val="1"/>
        <c:ser>
          <c:idx val="0"/>
          <c:order val="0"/>
          <c:tx>
            <c:strRef>
              <c:f>HPL!$B$3</c:f>
              <c:strCache>
                <c:ptCount val="1"/>
                <c:pt idx="0">
                  <c:v>Total</c:v>
                </c:pt>
              </c:strCache>
            </c:strRef>
          </c:tx>
          <c:spPr>
            <a:ln w="19050">
              <a:solidFill>
                <a:schemeClr val="bg1"/>
              </a:solidFill>
            </a:ln>
          </c:spPr>
          <c:dPt>
            <c:idx val="0"/>
            <c:bubble3D val="0"/>
            <c:spPr>
              <a:solidFill>
                <a:srgbClr val="00B050"/>
              </a:solidFill>
              <a:ln w="19050">
                <a:solidFill>
                  <a:schemeClr val="bg1"/>
                </a:solidFill>
              </a:ln>
              <a:effectLst/>
            </c:spPr>
            <c:extLst>
              <c:ext xmlns:c16="http://schemas.microsoft.com/office/drawing/2014/chart" uri="{C3380CC4-5D6E-409C-BE32-E72D297353CC}">
                <c16:uniqueId val="{00000001-FB13-9643-B287-CD483BAE14D1}"/>
              </c:ext>
            </c:extLst>
          </c:dPt>
          <c:dPt>
            <c:idx val="1"/>
            <c:bubble3D val="0"/>
            <c:spPr>
              <a:solidFill>
                <a:srgbClr val="92D050"/>
              </a:solidFill>
              <a:ln w="19050">
                <a:solidFill>
                  <a:schemeClr val="bg1"/>
                </a:solidFill>
              </a:ln>
              <a:effectLst/>
            </c:spPr>
            <c:extLst>
              <c:ext xmlns:c16="http://schemas.microsoft.com/office/drawing/2014/chart" uri="{C3380CC4-5D6E-409C-BE32-E72D297353CC}">
                <c16:uniqueId val="{00000003-FB13-9643-B287-CD483BAE14D1}"/>
              </c:ext>
            </c:extLst>
          </c:dPt>
          <c:dPt>
            <c:idx val="2"/>
            <c:bubble3D val="0"/>
            <c:spPr>
              <a:solidFill>
                <a:srgbClr val="FFFF00"/>
              </a:solidFill>
              <a:ln w="19050">
                <a:solidFill>
                  <a:schemeClr val="bg1"/>
                </a:solidFill>
              </a:ln>
              <a:effectLst/>
            </c:spPr>
            <c:extLst>
              <c:ext xmlns:c16="http://schemas.microsoft.com/office/drawing/2014/chart" uri="{C3380CC4-5D6E-409C-BE32-E72D297353CC}">
                <c16:uniqueId val="{00000005-FB13-9643-B287-CD483BAE14D1}"/>
              </c:ext>
            </c:extLst>
          </c:dPt>
          <c:dPt>
            <c:idx val="3"/>
            <c:bubble3D val="0"/>
            <c:spPr>
              <a:solidFill>
                <a:srgbClr val="FF0000"/>
              </a:solidFill>
              <a:ln w="19050">
                <a:solidFill>
                  <a:schemeClr val="bg1"/>
                </a:solidFill>
              </a:ln>
              <a:effectLst/>
            </c:spPr>
            <c:extLst>
              <c:ext xmlns:c16="http://schemas.microsoft.com/office/drawing/2014/chart" uri="{C3380CC4-5D6E-409C-BE32-E72D297353CC}">
                <c16:uniqueId val="{00000007-FB13-9643-B287-CD483BAE14D1}"/>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HPL!$A$4:$A$8</c:f>
              <c:strCache>
                <c:ptCount val="4"/>
                <c:pt idx="0">
                  <c:v>Sangat baik</c:v>
                </c:pt>
                <c:pt idx="1">
                  <c:v>Baik</c:v>
                </c:pt>
                <c:pt idx="2">
                  <c:v>Cukup</c:v>
                </c:pt>
                <c:pt idx="3">
                  <c:v>Kurang</c:v>
                </c:pt>
              </c:strCache>
            </c:strRef>
          </c:cat>
          <c:val>
            <c:numRef>
              <c:f>HPL!$B$4:$B$8</c:f>
              <c:numCache>
                <c:formatCode>0%</c:formatCode>
                <c:ptCount val="4"/>
                <c:pt idx="0">
                  <c:v>5.4521276595744683E-2</c:v>
                </c:pt>
                <c:pt idx="1">
                  <c:v>0.21985815602836881</c:v>
                </c:pt>
                <c:pt idx="2">
                  <c:v>0.52393617021276595</c:v>
                </c:pt>
                <c:pt idx="3">
                  <c:v>0.20168439716312056</c:v>
                </c:pt>
              </c:numCache>
            </c:numRef>
          </c:val>
          <c:extLst>
            <c:ext xmlns:c16="http://schemas.microsoft.com/office/drawing/2014/chart" uri="{C3380CC4-5D6E-409C-BE32-E72D297353CC}">
              <c16:uniqueId val="{00000000-F6EE-6B42-8EA8-91FA8ED227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[TDU_SMA_2526_S2.xlsx]HPL!PivotTable4</c:name>
    <c:fmtId val="1"/>
  </c:pivotSource>
  <c:chart>
    <c:title>
      <c:tx>
        <c:rich>
          <a:bodyPr rot="0" spcFirstLastPara="1" vertOverflow="ellipsis" vert="horz" wrap="square" anchor="ctr" anchorCtr="1"/>
          <a:lstStyle/>
          <a:p>
            <a:pPr>
              <a:defRPr sz="1680" b="1" i="0" u="none" strike="noStrike" kern="1200" spc="0" baseline="0">
                <a:solidFill>
                  <a:schemeClr val="tx1"/>
                </a:solidFill>
                <a:latin typeface="+mn-lt"/>
                <a:ea typeface="+mn-ea"/>
                <a:cs typeface="+mn-cs"/>
              </a:defRPr>
            </a:pPr>
            <a:r>
              <a:rPr lang="en-US"/>
              <a:t>Predikat Penilaian Kelas 10A - SMA SAI</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solidFill>
              <a:latin typeface="+mn-lt"/>
              <a:ea typeface="+mn-ea"/>
              <a:cs typeface="+mn-cs"/>
            </a:defRPr>
          </a:pPr>
          <a:endParaRPr lang="id-ID"/>
        </a:p>
      </c:txPr>
    </c:title>
    <c:autoTitleDeleted val="0"/>
    <c:pivotFmts>
      <c:pivotFmt>
        <c:idx val="0"/>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bg1"/>
            </a:solidFill>
          </a:ln>
          <a:effectLst/>
        </c:spPr>
      </c:pivotFmt>
      <c:pivotFmt>
        <c:idx val="2"/>
        <c:spPr>
          <a:solidFill>
            <a:srgbClr val="00B050"/>
          </a:solidFill>
          <a:ln w="19050">
            <a:solidFill>
              <a:schemeClr val="bg1"/>
            </a:solidFill>
          </a:ln>
          <a:effectLst/>
        </c:spPr>
      </c:pivotFmt>
      <c:pivotFmt>
        <c:idx val="3"/>
        <c:spPr>
          <a:solidFill>
            <a:srgbClr val="FF0000"/>
          </a:solidFill>
          <a:ln w="19050">
            <a:solidFill>
              <a:schemeClr val="bg1"/>
            </a:solidFill>
          </a:ln>
          <a:effectLst/>
        </c:spPr>
      </c:pivotFmt>
      <c:pivotFmt>
        <c:idx val="4"/>
        <c:spPr>
          <a:solidFill>
            <a:srgbClr val="FF0000"/>
          </a:solidFill>
          <a:ln w="19050">
            <a:solidFill>
              <a:schemeClr val="bg1"/>
            </a:solidFill>
          </a:ln>
          <a:effectLst/>
        </c:spPr>
      </c:pivotFmt>
      <c:pivotFmt>
        <c:idx val="5"/>
        <c:spPr>
          <a:solidFill>
            <a:srgbClr val="FFFF00"/>
          </a:solidFill>
          <a:ln w="19050">
            <a:solidFill>
              <a:schemeClr val="bg1"/>
            </a:solidFill>
          </a:ln>
          <a:effectLst/>
        </c:spPr>
      </c:pivotFmt>
    </c:pivotFmts>
    <c:plotArea>
      <c:layout/>
      <c:pieChart>
        <c:varyColors val="1"/>
        <c:ser>
          <c:idx val="0"/>
          <c:order val="0"/>
          <c:tx>
            <c:strRef>
              <c:f>HPL!$B$20</c:f>
              <c:strCache>
                <c:ptCount val="1"/>
                <c:pt idx="0">
                  <c:v>Total</c:v>
                </c:pt>
              </c:strCache>
            </c:strRef>
          </c:tx>
          <c:spPr>
            <a:ln w="19050">
              <a:solidFill>
                <a:schemeClr val="bg1"/>
              </a:solidFill>
            </a:ln>
          </c:spPr>
          <c:dPt>
            <c:idx val="0"/>
            <c:bubble3D val="0"/>
            <c:spPr>
              <a:solidFill>
                <a:srgbClr val="00B050"/>
              </a:solidFill>
              <a:ln w="19050">
                <a:solidFill>
                  <a:schemeClr val="bg1"/>
                </a:solidFill>
              </a:ln>
              <a:effectLst/>
            </c:spPr>
            <c:extLst>
              <c:ext xmlns:c16="http://schemas.microsoft.com/office/drawing/2014/chart" uri="{C3380CC4-5D6E-409C-BE32-E72D297353CC}">
                <c16:uniqueId val="{00000003-A53C-3346-9D1E-3ABCAF43D6AE}"/>
              </c:ext>
            </c:extLst>
          </c:dPt>
          <c:dPt>
            <c:idx val="1"/>
            <c:bubble3D val="0"/>
            <c:spPr>
              <a:solidFill>
                <a:srgbClr val="92D050"/>
              </a:solidFill>
              <a:ln w="19050">
                <a:solidFill>
                  <a:schemeClr val="bg1"/>
                </a:solidFill>
              </a:ln>
              <a:effectLst/>
            </c:spPr>
            <c:extLst>
              <c:ext xmlns:c16="http://schemas.microsoft.com/office/drawing/2014/chart" uri="{C3380CC4-5D6E-409C-BE32-E72D297353CC}">
                <c16:uniqueId val="{00000002-A53C-3346-9D1E-3ABCAF43D6AE}"/>
              </c:ext>
            </c:extLst>
          </c:dPt>
          <c:dPt>
            <c:idx val="2"/>
            <c:bubble3D val="0"/>
            <c:spPr>
              <a:solidFill>
                <a:srgbClr val="FFFF00"/>
              </a:solidFill>
              <a:ln w="19050">
                <a:solidFill>
                  <a:schemeClr val="bg1"/>
                </a:solidFill>
              </a:ln>
              <a:effectLst/>
            </c:spPr>
            <c:extLst>
              <c:ext xmlns:c16="http://schemas.microsoft.com/office/drawing/2014/chart" uri="{C3380CC4-5D6E-409C-BE32-E72D297353CC}">
                <c16:uniqueId val="{00000005-A53C-3346-9D1E-3ABCAF43D6AE}"/>
              </c:ext>
            </c:extLst>
          </c:dPt>
          <c:dPt>
            <c:idx val="3"/>
            <c:bubble3D val="0"/>
            <c:spPr>
              <a:solidFill>
                <a:srgbClr val="FF0000"/>
              </a:solidFill>
              <a:ln w="19050">
                <a:solidFill>
                  <a:schemeClr val="bg1"/>
                </a:solidFill>
              </a:ln>
              <a:effectLst/>
            </c:spPr>
            <c:extLst>
              <c:ext xmlns:c16="http://schemas.microsoft.com/office/drawing/2014/chart" uri="{C3380CC4-5D6E-409C-BE32-E72D297353CC}">
                <c16:uniqueId val="{00000004-A53C-3346-9D1E-3ABCAF43D6AE}"/>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HPL!$A$21:$A$25</c:f>
              <c:strCache>
                <c:ptCount val="4"/>
                <c:pt idx="0">
                  <c:v>Sangat baik</c:v>
                </c:pt>
                <c:pt idx="1">
                  <c:v>Baik</c:v>
                </c:pt>
                <c:pt idx="2">
                  <c:v>Cukup</c:v>
                </c:pt>
                <c:pt idx="3">
                  <c:v>Kurang</c:v>
                </c:pt>
              </c:strCache>
            </c:strRef>
          </c:cat>
          <c:val>
            <c:numRef>
              <c:f>HPL!$B$21:$B$25</c:f>
              <c:numCache>
                <c:formatCode>0%</c:formatCode>
                <c:ptCount val="4"/>
                <c:pt idx="0">
                  <c:v>5.4035087719298248E-2</c:v>
                </c:pt>
                <c:pt idx="1">
                  <c:v>0.19438596491228069</c:v>
                </c:pt>
                <c:pt idx="2">
                  <c:v>0.5557894736842105</c:v>
                </c:pt>
                <c:pt idx="3">
                  <c:v>0.19578947368421051</c:v>
                </c:pt>
              </c:numCache>
            </c:numRef>
          </c:val>
          <c:extLst>
            <c:ext xmlns:c16="http://schemas.microsoft.com/office/drawing/2014/chart" uri="{C3380CC4-5D6E-409C-BE32-E72D297353CC}">
              <c16:uniqueId val="{00000000-A53C-3346-9D1E-3ABCAF43D6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[TDU_SMA_2526_S2.xlsx]HPL!PivotTable5</c:name>
    <c:fmtId val="1"/>
  </c:pivotSource>
  <c:chart>
    <c:title>
      <c:tx>
        <c:rich>
          <a:bodyPr rot="0" spcFirstLastPara="1" vertOverflow="ellipsis" vert="horz" wrap="square" anchor="ctr" anchorCtr="1"/>
          <a:lstStyle/>
          <a:p>
            <a:pPr>
              <a:defRPr sz="1680" b="1" i="0" u="none" strike="noStrike" kern="1200" spc="0" baseline="0">
                <a:solidFill>
                  <a:schemeClr val="tx1"/>
                </a:solidFill>
                <a:latin typeface="+mn-lt"/>
                <a:ea typeface="+mn-ea"/>
                <a:cs typeface="+mn-cs"/>
              </a:defRPr>
            </a:pPr>
            <a:r>
              <a:rPr lang="en-US"/>
              <a:t>Predikat Penilaian</a:t>
            </a:r>
            <a:r>
              <a:rPr lang="en-US" baseline="0"/>
              <a:t> </a:t>
            </a:r>
            <a:r>
              <a:rPr lang="en-US"/>
              <a:t>Kelas 11A - SMA SAI</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solidFill>
              <a:latin typeface="+mn-lt"/>
              <a:ea typeface="+mn-ea"/>
              <a:cs typeface="+mn-cs"/>
            </a:defRPr>
          </a:pPr>
          <a:endParaRPr lang="id-ID"/>
        </a:p>
      </c:txPr>
    </c:title>
    <c:autoTitleDeleted val="0"/>
    <c:pivotFmts>
      <c:pivotFmt>
        <c:idx val="0"/>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bg1"/>
            </a:solidFill>
          </a:ln>
          <a:effectLst/>
        </c:spPr>
      </c:pivotFmt>
      <c:pivotFmt>
        <c:idx val="2"/>
        <c:spPr>
          <a:solidFill>
            <a:srgbClr val="00B050"/>
          </a:solidFill>
          <a:ln w="19050">
            <a:solidFill>
              <a:schemeClr val="bg1"/>
            </a:solidFill>
          </a:ln>
          <a:effectLst/>
        </c:spPr>
      </c:pivotFmt>
      <c:pivotFmt>
        <c:idx val="3"/>
        <c:spPr>
          <a:solidFill>
            <a:srgbClr val="FF0000"/>
          </a:solidFill>
          <a:ln w="19050">
            <a:solidFill>
              <a:schemeClr val="bg1"/>
            </a:solidFill>
          </a:ln>
          <a:effectLst/>
        </c:spPr>
      </c:pivotFmt>
      <c:pivotFmt>
        <c:idx val="4"/>
        <c:spPr>
          <a:solidFill>
            <a:srgbClr val="FF0000"/>
          </a:solidFill>
          <a:ln w="19050">
            <a:solidFill>
              <a:schemeClr val="bg1"/>
            </a:solidFill>
          </a:ln>
          <a:effectLst/>
        </c:spPr>
      </c:pivotFmt>
      <c:pivotFmt>
        <c:idx val="5"/>
        <c:spPr>
          <a:solidFill>
            <a:srgbClr val="FFFF00"/>
          </a:solidFill>
          <a:ln w="19050">
            <a:solidFill>
              <a:schemeClr val="bg1"/>
            </a:solidFill>
          </a:ln>
          <a:effectLst/>
        </c:spPr>
      </c:pivotFmt>
    </c:pivotFmts>
    <c:plotArea>
      <c:layout/>
      <c:pieChart>
        <c:varyColors val="1"/>
        <c:ser>
          <c:idx val="0"/>
          <c:order val="0"/>
          <c:tx>
            <c:strRef>
              <c:f>HPL!$B$38</c:f>
              <c:strCache>
                <c:ptCount val="1"/>
                <c:pt idx="0">
                  <c:v>Total</c:v>
                </c:pt>
              </c:strCache>
            </c:strRef>
          </c:tx>
          <c:spPr>
            <a:ln w="19050">
              <a:solidFill>
                <a:schemeClr val="bg1"/>
              </a:solidFill>
            </a:ln>
          </c:spPr>
          <c:dPt>
            <c:idx val="0"/>
            <c:bubble3D val="0"/>
            <c:spPr>
              <a:solidFill>
                <a:srgbClr val="00B050"/>
              </a:solidFill>
              <a:ln w="19050">
                <a:solidFill>
                  <a:schemeClr val="bg1"/>
                </a:solidFill>
              </a:ln>
              <a:effectLst/>
            </c:spPr>
            <c:extLst>
              <c:ext xmlns:c16="http://schemas.microsoft.com/office/drawing/2014/chart" uri="{C3380CC4-5D6E-409C-BE32-E72D297353CC}">
                <c16:uniqueId val="{00000003-221B-3A4A-9F66-68178DEB523D}"/>
              </c:ext>
            </c:extLst>
          </c:dPt>
          <c:dPt>
            <c:idx val="1"/>
            <c:bubble3D val="0"/>
            <c:spPr>
              <a:solidFill>
                <a:srgbClr val="92D050"/>
              </a:solidFill>
              <a:ln w="19050">
                <a:solidFill>
                  <a:schemeClr val="bg1"/>
                </a:solidFill>
              </a:ln>
              <a:effectLst/>
            </c:spPr>
            <c:extLst>
              <c:ext xmlns:c16="http://schemas.microsoft.com/office/drawing/2014/chart" uri="{C3380CC4-5D6E-409C-BE32-E72D297353CC}">
                <c16:uniqueId val="{00000002-221B-3A4A-9F66-68178DEB523D}"/>
              </c:ext>
            </c:extLst>
          </c:dPt>
          <c:dPt>
            <c:idx val="2"/>
            <c:bubble3D val="0"/>
            <c:spPr>
              <a:solidFill>
                <a:srgbClr val="FFFF00"/>
              </a:solidFill>
              <a:ln w="19050">
                <a:solidFill>
                  <a:schemeClr val="bg1"/>
                </a:solidFill>
              </a:ln>
              <a:effectLst/>
            </c:spPr>
            <c:extLst>
              <c:ext xmlns:c16="http://schemas.microsoft.com/office/drawing/2014/chart" uri="{C3380CC4-5D6E-409C-BE32-E72D297353CC}">
                <c16:uniqueId val="{00000005-221B-3A4A-9F66-68178DEB523D}"/>
              </c:ext>
            </c:extLst>
          </c:dPt>
          <c:dPt>
            <c:idx val="3"/>
            <c:bubble3D val="0"/>
            <c:spPr>
              <a:solidFill>
                <a:srgbClr val="FF0000"/>
              </a:solidFill>
              <a:ln w="19050">
                <a:solidFill>
                  <a:schemeClr val="bg1"/>
                </a:solidFill>
              </a:ln>
              <a:effectLst/>
            </c:spPr>
            <c:extLst>
              <c:ext xmlns:c16="http://schemas.microsoft.com/office/drawing/2014/chart" uri="{C3380CC4-5D6E-409C-BE32-E72D297353CC}">
                <c16:uniqueId val="{00000004-221B-3A4A-9F66-68178DEB523D}"/>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HPL!$A$39:$A$43</c:f>
              <c:strCache>
                <c:ptCount val="4"/>
                <c:pt idx="0">
                  <c:v>Sangat baik</c:v>
                </c:pt>
                <c:pt idx="1">
                  <c:v>Baik</c:v>
                </c:pt>
                <c:pt idx="2">
                  <c:v>Cukup</c:v>
                </c:pt>
                <c:pt idx="3">
                  <c:v>Kurang</c:v>
                </c:pt>
              </c:strCache>
            </c:strRef>
          </c:cat>
          <c:val>
            <c:numRef>
              <c:f>HPL!$B$39:$B$43</c:f>
              <c:numCache>
                <c:formatCode>0%</c:formatCode>
                <c:ptCount val="4"/>
                <c:pt idx="0">
                  <c:v>5.4035087719298248E-2</c:v>
                </c:pt>
                <c:pt idx="1">
                  <c:v>0.19438596491228069</c:v>
                </c:pt>
                <c:pt idx="2">
                  <c:v>0.5557894736842105</c:v>
                </c:pt>
                <c:pt idx="3">
                  <c:v>0.19578947368421051</c:v>
                </c:pt>
              </c:numCache>
            </c:numRef>
          </c:val>
          <c:extLst>
            <c:ext xmlns:c16="http://schemas.microsoft.com/office/drawing/2014/chart" uri="{C3380CC4-5D6E-409C-BE32-E72D297353CC}">
              <c16:uniqueId val="{00000000-221B-3A4A-9F66-68178DEB523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[TDU_SMA_2526_S2.xlsx]HPL!PivotTable6</c:name>
    <c:fmtId val="1"/>
  </c:pivotSource>
  <c:chart>
    <c:title>
      <c:tx>
        <c:rich>
          <a:bodyPr rot="0" spcFirstLastPara="1" vertOverflow="ellipsis" vert="horz" wrap="square" anchor="ctr" anchorCtr="1"/>
          <a:lstStyle/>
          <a:p>
            <a:pPr>
              <a:defRPr sz="1680" b="1" i="0" u="none" strike="noStrike" kern="1200" spc="0" baseline="0">
                <a:solidFill>
                  <a:schemeClr val="tx1"/>
                </a:solidFill>
                <a:latin typeface="+mn-lt"/>
                <a:ea typeface="+mn-ea"/>
                <a:cs typeface="+mn-cs"/>
              </a:defRPr>
            </a:pPr>
            <a:r>
              <a:rPr lang="en-US"/>
              <a:t>Persentase Capaian Kelas 12A - SMA SAI</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solidFill>
              <a:latin typeface="+mn-lt"/>
              <a:ea typeface="+mn-ea"/>
              <a:cs typeface="+mn-cs"/>
            </a:defRPr>
          </a:pPr>
          <a:endParaRPr lang="id-ID"/>
        </a:p>
      </c:txPr>
    </c:title>
    <c:autoTitleDeleted val="0"/>
    <c:pivotFmts>
      <c:pivotFmt>
        <c:idx val="0"/>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bg1"/>
            </a:solidFill>
          </a:ln>
          <a:effectLst/>
        </c:spPr>
      </c:pivotFmt>
      <c:pivotFmt>
        <c:idx val="2"/>
        <c:spPr>
          <a:solidFill>
            <a:srgbClr val="FF0000"/>
          </a:solidFill>
          <a:ln w="19050">
            <a:solidFill>
              <a:schemeClr val="bg1"/>
            </a:solidFill>
          </a:ln>
          <a:effectLst/>
        </c:spPr>
      </c:pivotFmt>
      <c:pivotFmt>
        <c:idx val="3"/>
        <c:spPr>
          <a:solidFill>
            <a:srgbClr val="00B050"/>
          </a:solidFill>
          <a:ln w="19050">
            <a:solidFill>
              <a:schemeClr val="bg1"/>
            </a:solidFill>
          </a:ln>
          <a:effectLst/>
        </c:spPr>
      </c:pivotFmt>
      <c:pivotFmt>
        <c:idx val="4"/>
        <c:spPr>
          <a:solidFill>
            <a:srgbClr val="92D050"/>
          </a:solidFill>
          <a:ln w="19050">
            <a:solidFill>
              <a:schemeClr val="bg1"/>
            </a:solidFill>
          </a:ln>
          <a:effectLst/>
        </c:spPr>
      </c:pivotFmt>
      <c:pivotFmt>
        <c:idx val="5"/>
        <c:spPr>
          <a:solidFill>
            <a:schemeClr val="accent1"/>
          </a:solidFill>
          <a:ln w="19050">
            <a:solidFill>
              <a:schemeClr val="bg1"/>
            </a:solidFill>
          </a:ln>
          <a:effectLst/>
        </c:spPr>
      </c:pivotFmt>
      <c:pivotFmt>
        <c:idx val="6"/>
        <c:spPr>
          <a:solidFill>
            <a:srgbClr val="FFFF00"/>
          </a:solidFill>
          <a:ln w="19050">
            <a:solidFill>
              <a:schemeClr val="bg1"/>
            </a:solidFill>
          </a:ln>
          <a:effectLst/>
        </c:spPr>
      </c:pivotFmt>
    </c:pivotFmts>
    <c:plotArea>
      <c:layout/>
      <c:pieChart>
        <c:varyColors val="1"/>
        <c:ser>
          <c:idx val="0"/>
          <c:order val="0"/>
          <c:tx>
            <c:strRef>
              <c:f>HPL!$B$57</c:f>
              <c:strCache>
                <c:ptCount val="1"/>
                <c:pt idx="0">
                  <c:v>Total</c:v>
                </c:pt>
              </c:strCache>
            </c:strRef>
          </c:tx>
          <c:spPr>
            <a:ln w="19050">
              <a:solidFill>
                <a:schemeClr val="bg1"/>
              </a:solidFill>
            </a:ln>
          </c:spPr>
          <c:dPt>
            <c:idx val="0"/>
            <c:bubble3D val="0"/>
            <c:spPr>
              <a:solidFill>
                <a:srgbClr val="00B050"/>
              </a:solidFill>
              <a:ln w="19050">
                <a:solidFill>
                  <a:schemeClr val="bg1"/>
                </a:solidFill>
              </a:ln>
              <a:effectLst/>
            </c:spPr>
            <c:extLst>
              <c:ext xmlns:c16="http://schemas.microsoft.com/office/drawing/2014/chart" uri="{C3380CC4-5D6E-409C-BE32-E72D297353CC}">
                <c16:uniqueId val="{00000004-610E-9146-A141-D4A8C59149C6}"/>
              </c:ext>
            </c:extLst>
          </c:dPt>
          <c:dPt>
            <c:idx val="1"/>
            <c:bubble3D val="0"/>
            <c:spPr>
              <a:solidFill>
                <a:srgbClr val="92D050"/>
              </a:solidFill>
              <a:ln w="19050">
                <a:solidFill>
                  <a:schemeClr val="bg1"/>
                </a:solidFill>
              </a:ln>
              <a:effectLst/>
            </c:spPr>
            <c:extLst>
              <c:ext xmlns:c16="http://schemas.microsoft.com/office/drawing/2014/chart" uri="{C3380CC4-5D6E-409C-BE32-E72D297353CC}">
                <c16:uniqueId val="{00000005-610E-9146-A141-D4A8C59149C6}"/>
              </c:ext>
            </c:extLst>
          </c:dPt>
          <c:dPt>
            <c:idx val="2"/>
            <c:bubble3D val="0"/>
            <c:spPr>
              <a:solidFill>
                <a:srgbClr val="FFFF00"/>
              </a:solidFill>
              <a:ln w="19050">
                <a:solidFill>
                  <a:schemeClr val="bg1"/>
                </a:solidFill>
              </a:ln>
              <a:effectLst/>
            </c:spPr>
            <c:extLst>
              <c:ext xmlns:c16="http://schemas.microsoft.com/office/drawing/2014/chart" uri="{C3380CC4-5D6E-409C-BE32-E72D297353CC}">
                <c16:uniqueId val="{00000002-610E-9146-A141-D4A8C59149C6}"/>
              </c:ext>
            </c:extLst>
          </c:dPt>
          <c:dPt>
            <c:idx val="3"/>
            <c:bubble3D val="0"/>
            <c:spPr>
              <a:solidFill>
                <a:srgbClr val="FF0000"/>
              </a:solidFill>
              <a:ln w="19050">
                <a:solidFill>
                  <a:schemeClr val="bg1"/>
                </a:solidFill>
              </a:ln>
              <a:effectLst/>
            </c:spPr>
            <c:extLst>
              <c:ext xmlns:c16="http://schemas.microsoft.com/office/drawing/2014/chart" uri="{C3380CC4-5D6E-409C-BE32-E72D297353CC}">
                <c16:uniqueId val="{00000003-610E-9146-A141-D4A8C59149C6}"/>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HPL!$A$58:$A$62</c:f>
              <c:strCache>
                <c:ptCount val="4"/>
                <c:pt idx="0">
                  <c:v>Sangat baik</c:v>
                </c:pt>
                <c:pt idx="1">
                  <c:v>Baik</c:v>
                </c:pt>
                <c:pt idx="2">
                  <c:v>Cukup</c:v>
                </c:pt>
                <c:pt idx="3">
                  <c:v>Kurang</c:v>
                </c:pt>
              </c:strCache>
            </c:strRef>
          </c:cat>
          <c:val>
            <c:numRef>
              <c:f>HPL!$B$58:$B$62</c:f>
              <c:numCache>
                <c:formatCode>0%</c:formatCode>
                <c:ptCount val="4"/>
                <c:pt idx="0">
                  <c:v>5.5354993983152828E-2</c:v>
                </c:pt>
                <c:pt idx="1">
                  <c:v>0.26353790613718414</c:v>
                </c:pt>
                <c:pt idx="2">
                  <c:v>0.46931407942238268</c:v>
                </c:pt>
                <c:pt idx="3">
                  <c:v>0.21179302045728038</c:v>
                </c:pt>
              </c:numCache>
            </c:numRef>
          </c:val>
          <c:extLst>
            <c:ext xmlns:c16="http://schemas.microsoft.com/office/drawing/2014/chart" uri="{C3380CC4-5D6E-409C-BE32-E72D297353CC}">
              <c16:uniqueId val="{00000000-610E-9146-A141-D4A8C59149C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[TDU_SMA_2526_S2.xlsx]HPL!PivotTable10</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a:t>Predikat Penilaian Mapel per Bulan</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id-ID"/>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HPL!$AH$1:$AH$2</c:f>
              <c:strCache>
                <c:ptCount val="1"/>
                <c:pt idx="0">
                  <c:v>Sangat baik</c:v>
                </c:pt>
              </c:strCache>
            </c:strRef>
          </c:tx>
          <c:spPr>
            <a:solidFill>
              <a:srgbClr val="00B050"/>
            </a:solidFill>
            <a:ln>
              <a:noFill/>
            </a:ln>
            <a:effectLst/>
          </c:spPr>
          <c:invertIfNegative val="0"/>
          <c:cat>
            <c:multiLvlStrRef>
              <c:f>HPL!$AE$3:$AG$24</c:f>
              <c:multiLvlStrCache>
                <c:ptCount val="22"/>
                <c:lvl>
                  <c:pt idx="0">
                    <c:v>Jan</c:v>
                  </c:pt>
                  <c:pt idx="1">
                    <c:v>Feb</c:v>
                  </c:pt>
                  <c:pt idx="2">
                    <c:v>Jan</c:v>
                  </c:pt>
                  <c:pt idx="3">
                    <c:v>Jan</c:v>
                  </c:pt>
                  <c:pt idx="4">
                    <c:v>Feb</c:v>
                  </c:pt>
                  <c:pt idx="5">
                    <c:v>Jan</c:v>
                  </c:pt>
                  <c:pt idx="6">
                    <c:v>Feb</c:v>
                  </c:pt>
                  <c:pt idx="7">
                    <c:v>Jan</c:v>
                  </c:pt>
                  <c:pt idx="8">
                    <c:v>Feb</c:v>
                  </c:pt>
                  <c:pt idx="9">
                    <c:v>Jan</c:v>
                  </c:pt>
                  <c:pt idx="10">
                    <c:v>Jan</c:v>
                  </c:pt>
                  <c:pt idx="11">
                    <c:v>Feb</c:v>
                  </c:pt>
                  <c:pt idx="12">
                    <c:v>Jan</c:v>
                  </c:pt>
                  <c:pt idx="13">
                    <c:v>Feb</c:v>
                  </c:pt>
                  <c:pt idx="14">
                    <c:v>Jan</c:v>
                  </c:pt>
                  <c:pt idx="15">
                    <c:v>Feb</c:v>
                  </c:pt>
                  <c:pt idx="16">
                    <c:v>Jan</c:v>
                  </c:pt>
                  <c:pt idx="17">
                    <c:v>Feb</c:v>
                  </c:pt>
                  <c:pt idx="18">
                    <c:v>Jan</c:v>
                  </c:pt>
                  <c:pt idx="19">
                    <c:v>Feb</c:v>
                  </c:pt>
                  <c:pt idx="20">
                    <c:v>Jan</c:v>
                  </c:pt>
                  <c:pt idx="21">
                    <c:v>Feb</c:v>
                  </c:pt>
                </c:lvl>
                <c:lvl>
                  <c:pt idx="0">
                    <c:v>B.Indo</c:v>
                  </c:pt>
                  <c:pt idx="2">
                    <c:v>Biologi</c:v>
                  </c:pt>
                  <c:pt idx="3">
                    <c:v>TIK</c:v>
                  </c:pt>
                  <c:pt idx="5">
                    <c:v>Kimia</c:v>
                  </c:pt>
                  <c:pt idx="7">
                    <c:v>Math</c:v>
                  </c:pt>
                  <c:pt idx="9">
                    <c:v>Kopi</c:v>
                  </c:pt>
                  <c:pt idx="10">
                    <c:v>B.Ing</c:v>
                  </c:pt>
                  <c:pt idx="12">
                    <c:v>Pancasila</c:v>
                  </c:pt>
                  <c:pt idx="14">
                    <c:v>Sejarah</c:v>
                  </c:pt>
                  <c:pt idx="16">
                    <c:v>PKWU</c:v>
                  </c:pt>
                  <c:pt idx="17">
                    <c:v>Fisika</c:v>
                  </c:pt>
                  <c:pt idx="18">
                    <c:v>A.Katolik</c:v>
                  </c:pt>
                  <c:pt idx="20">
                    <c:v>A.Kristen</c:v>
                  </c:pt>
                </c:lvl>
                <c:lvl>
                  <c:pt idx="0">
                    <c:v>12A</c:v>
                  </c:pt>
                </c:lvl>
              </c:multiLvlStrCache>
            </c:multiLvlStrRef>
          </c:cat>
          <c:val>
            <c:numRef>
              <c:f>HPL!$AH$3:$AH$24</c:f>
              <c:numCache>
                <c:formatCode>0%</c:formatCode>
                <c:ptCount val="22"/>
                <c:pt idx="0">
                  <c:v>5.5555555555555552E-2</c:v>
                </c:pt>
                <c:pt idx="1">
                  <c:v>0</c:v>
                </c:pt>
                <c:pt idx="2">
                  <c:v>0.1111111111111111</c:v>
                </c:pt>
                <c:pt idx="3">
                  <c:v>0</c:v>
                </c:pt>
                <c:pt idx="4">
                  <c:v>0</c:v>
                </c:pt>
                <c:pt idx="5">
                  <c:v>3.7037037037037035E-2</c:v>
                </c:pt>
                <c:pt idx="6">
                  <c:v>0</c:v>
                </c:pt>
                <c:pt idx="7">
                  <c:v>0.41860465116279072</c:v>
                </c:pt>
                <c:pt idx="8">
                  <c:v>0.5</c:v>
                </c:pt>
                <c:pt idx="9">
                  <c:v>0</c:v>
                </c:pt>
                <c:pt idx="10">
                  <c:v>0</c:v>
                </c:pt>
                <c:pt idx="11">
                  <c:v>0</c:v>
                </c:pt>
                <c:pt idx="12">
                  <c:v>0</c:v>
                </c:pt>
                <c:pt idx="13">
                  <c:v>0</c:v>
                </c:pt>
                <c:pt idx="14">
                  <c:v>7.4074074074074077E-3</c:v>
                </c:pt>
                <c:pt idx="15">
                  <c:v>2.0202020202020204E-2</c:v>
                </c:pt>
                <c:pt idx="16">
                  <c:v>0</c:v>
                </c:pt>
                <c:pt idx="17">
                  <c:v>0</c:v>
                </c:pt>
                <c:pt idx="18">
                  <c:v>0</c:v>
                </c:pt>
                <c:pt idx="19">
                  <c:v>0</c:v>
                </c:pt>
                <c:pt idx="20">
                  <c:v>4.1666666666666664E-2</c:v>
                </c:pt>
                <c:pt idx="21">
                  <c:v>0</c:v>
                </c:pt>
              </c:numCache>
            </c:numRef>
          </c:val>
          <c:extLst>
            <c:ext xmlns:c16="http://schemas.microsoft.com/office/drawing/2014/chart" uri="{C3380CC4-5D6E-409C-BE32-E72D297353CC}">
              <c16:uniqueId val="{00000002-A710-A443-9EA8-2E1EE21AFF0D}"/>
            </c:ext>
          </c:extLst>
        </c:ser>
        <c:ser>
          <c:idx val="1"/>
          <c:order val="1"/>
          <c:tx>
            <c:strRef>
              <c:f>HPL!$AI$1:$AI$2</c:f>
              <c:strCache>
                <c:ptCount val="1"/>
                <c:pt idx="0">
                  <c:v>Baik</c:v>
                </c:pt>
              </c:strCache>
            </c:strRef>
          </c:tx>
          <c:spPr>
            <a:solidFill>
              <a:srgbClr val="92D050"/>
            </a:solidFill>
            <a:ln>
              <a:noFill/>
            </a:ln>
            <a:effectLst/>
          </c:spPr>
          <c:invertIfNegative val="0"/>
          <c:cat>
            <c:multiLvlStrRef>
              <c:f>HPL!$AE$3:$AG$24</c:f>
              <c:multiLvlStrCache>
                <c:ptCount val="22"/>
                <c:lvl>
                  <c:pt idx="0">
                    <c:v>Jan</c:v>
                  </c:pt>
                  <c:pt idx="1">
                    <c:v>Feb</c:v>
                  </c:pt>
                  <c:pt idx="2">
                    <c:v>Jan</c:v>
                  </c:pt>
                  <c:pt idx="3">
                    <c:v>Jan</c:v>
                  </c:pt>
                  <c:pt idx="4">
                    <c:v>Feb</c:v>
                  </c:pt>
                  <c:pt idx="5">
                    <c:v>Jan</c:v>
                  </c:pt>
                  <c:pt idx="6">
                    <c:v>Feb</c:v>
                  </c:pt>
                  <c:pt idx="7">
                    <c:v>Jan</c:v>
                  </c:pt>
                  <c:pt idx="8">
                    <c:v>Feb</c:v>
                  </c:pt>
                  <c:pt idx="9">
                    <c:v>Jan</c:v>
                  </c:pt>
                  <c:pt idx="10">
                    <c:v>Jan</c:v>
                  </c:pt>
                  <c:pt idx="11">
                    <c:v>Feb</c:v>
                  </c:pt>
                  <c:pt idx="12">
                    <c:v>Jan</c:v>
                  </c:pt>
                  <c:pt idx="13">
                    <c:v>Feb</c:v>
                  </c:pt>
                  <c:pt idx="14">
                    <c:v>Jan</c:v>
                  </c:pt>
                  <c:pt idx="15">
                    <c:v>Feb</c:v>
                  </c:pt>
                  <c:pt idx="16">
                    <c:v>Jan</c:v>
                  </c:pt>
                  <c:pt idx="17">
                    <c:v>Feb</c:v>
                  </c:pt>
                  <c:pt idx="18">
                    <c:v>Jan</c:v>
                  </c:pt>
                  <c:pt idx="19">
                    <c:v>Feb</c:v>
                  </c:pt>
                  <c:pt idx="20">
                    <c:v>Jan</c:v>
                  </c:pt>
                  <c:pt idx="21">
                    <c:v>Feb</c:v>
                  </c:pt>
                </c:lvl>
                <c:lvl>
                  <c:pt idx="0">
                    <c:v>B.Indo</c:v>
                  </c:pt>
                  <c:pt idx="2">
                    <c:v>Biologi</c:v>
                  </c:pt>
                  <c:pt idx="3">
                    <c:v>TIK</c:v>
                  </c:pt>
                  <c:pt idx="5">
                    <c:v>Kimia</c:v>
                  </c:pt>
                  <c:pt idx="7">
                    <c:v>Math</c:v>
                  </c:pt>
                  <c:pt idx="9">
                    <c:v>Kopi</c:v>
                  </c:pt>
                  <c:pt idx="10">
                    <c:v>B.Ing</c:v>
                  </c:pt>
                  <c:pt idx="12">
                    <c:v>Pancasila</c:v>
                  </c:pt>
                  <c:pt idx="14">
                    <c:v>Sejarah</c:v>
                  </c:pt>
                  <c:pt idx="16">
                    <c:v>PKWU</c:v>
                  </c:pt>
                  <c:pt idx="17">
                    <c:v>Fisika</c:v>
                  </c:pt>
                  <c:pt idx="18">
                    <c:v>A.Katolik</c:v>
                  </c:pt>
                  <c:pt idx="20">
                    <c:v>A.Kristen</c:v>
                  </c:pt>
                </c:lvl>
                <c:lvl>
                  <c:pt idx="0">
                    <c:v>12A</c:v>
                  </c:pt>
                </c:lvl>
              </c:multiLvlStrCache>
            </c:multiLvlStrRef>
          </c:cat>
          <c:val>
            <c:numRef>
              <c:f>HPL!$AI$3:$AI$24</c:f>
              <c:numCache>
                <c:formatCode>0%</c:formatCode>
                <c:ptCount val="22"/>
                <c:pt idx="0">
                  <c:v>0.55555555555555558</c:v>
                </c:pt>
                <c:pt idx="1">
                  <c:v>1</c:v>
                </c:pt>
                <c:pt idx="2">
                  <c:v>0.33333333333333331</c:v>
                </c:pt>
                <c:pt idx="3">
                  <c:v>0.14285714285714285</c:v>
                </c:pt>
                <c:pt idx="4">
                  <c:v>0.25925925925925924</c:v>
                </c:pt>
                <c:pt idx="5">
                  <c:v>0.25925925925925924</c:v>
                </c:pt>
                <c:pt idx="6">
                  <c:v>0</c:v>
                </c:pt>
                <c:pt idx="7">
                  <c:v>0.11627906976744186</c:v>
                </c:pt>
                <c:pt idx="8">
                  <c:v>0.14285714285714285</c:v>
                </c:pt>
                <c:pt idx="9">
                  <c:v>1</c:v>
                </c:pt>
                <c:pt idx="10">
                  <c:v>0.12962962962962962</c:v>
                </c:pt>
                <c:pt idx="11">
                  <c:v>0.16666666666666666</c:v>
                </c:pt>
                <c:pt idx="12">
                  <c:v>0.14285714285714285</c:v>
                </c:pt>
                <c:pt idx="13">
                  <c:v>0.22222222222222221</c:v>
                </c:pt>
                <c:pt idx="14">
                  <c:v>0.1111111111111111</c:v>
                </c:pt>
                <c:pt idx="15">
                  <c:v>0.21212121212121213</c:v>
                </c:pt>
                <c:pt idx="16">
                  <c:v>1</c:v>
                </c:pt>
                <c:pt idx="17">
                  <c:v>0.1111111111111111</c:v>
                </c:pt>
                <c:pt idx="18">
                  <c:v>1</c:v>
                </c:pt>
                <c:pt idx="19">
                  <c:v>1</c:v>
                </c:pt>
                <c:pt idx="20">
                  <c:v>0.25</c:v>
                </c:pt>
                <c:pt idx="21">
                  <c:v>0.375</c:v>
                </c:pt>
              </c:numCache>
            </c:numRef>
          </c:val>
          <c:extLst>
            <c:ext xmlns:c16="http://schemas.microsoft.com/office/drawing/2014/chart" uri="{C3380CC4-5D6E-409C-BE32-E72D297353CC}">
              <c16:uniqueId val="{00000003-A710-A443-9EA8-2E1EE21AFF0D}"/>
            </c:ext>
          </c:extLst>
        </c:ser>
        <c:ser>
          <c:idx val="2"/>
          <c:order val="2"/>
          <c:tx>
            <c:strRef>
              <c:f>HPL!$AJ$1:$AJ$2</c:f>
              <c:strCache>
                <c:ptCount val="1"/>
                <c:pt idx="0">
                  <c:v>Cukup</c:v>
                </c:pt>
              </c:strCache>
            </c:strRef>
          </c:tx>
          <c:spPr>
            <a:solidFill>
              <a:srgbClr val="FFFF00"/>
            </a:solidFill>
            <a:ln>
              <a:noFill/>
            </a:ln>
            <a:effectLst/>
          </c:spPr>
          <c:invertIfNegative val="0"/>
          <c:cat>
            <c:multiLvlStrRef>
              <c:f>HPL!$AE$3:$AG$24</c:f>
              <c:multiLvlStrCache>
                <c:ptCount val="22"/>
                <c:lvl>
                  <c:pt idx="0">
                    <c:v>Jan</c:v>
                  </c:pt>
                  <c:pt idx="1">
                    <c:v>Feb</c:v>
                  </c:pt>
                  <c:pt idx="2">
                    <c:v>Jan</c:v>
                  </c:pt>
                  <c:pt idx="3">
                    <c:v>Jan</c:v>
                  </c:pt>
                  <c:pt idx="4">
                    <c:v>Feb</c:v>
                  </c:pt>
                  <c:pt idx="5">
                    <c:v>Jan</c:v>
                  </c:pt>
                  <c:pt idx="6">
                    <c:v>Feb</c:v>
                  </c:pt>
                  <c:pt idx="7">
                    <c:v>Jan</c:v>
                  </c:pt>
                  <c:pt idx="8">
                    <c:v>Feb</c:v>
                  </c:pt>
                  <c:pt idx="9">
                    <c:v>Jan</c:v>
                  </c:pt>
                  <c:pt idx="10">
                    <c:v>Jan</c:v>
                  </c:pt>
                  <c:pt idx="11">
                    <c:v>Feb</c:v>
                  </c:pt>
                  <c:pt idx="12">
                    <c:v>Jan</c:v>
                  </c:pt>
                  <c:pt idx="13">
                    <c:v>Feb</c:v>
                  </c:pt>
                  <c:pt idx="14">
                    <c:v>Jan</c:v>
                  </c:pt>
                  <c:pt idx="15">
                    <c:v>Feb</c:v>
                  </c:pt>
                  <c:pt idx="16">
                    <c:v>Jan</c:v>
                  </c:pt>
                  <c:pt idx="17">
                    <c:v>Feb</c:v>
                  </c:pt>
                  <c:pt idx="18">
                    <c:v>Jan</c:v>
                  </c:pt>
                  <c:pt idx="19">
                    <c:v>Feb</c:v>
                  </c:pt>
                  <c:pt idx="20">
                    <c:v>Jan</c:v>
                  </c:pt>
                  <c:pt idx="21">
                    <c:v>Feb</c:v>
                  </c:pt>
                </c:lvl>
                <c:lvl>
                  <c:pt idx="0">
                    <c:v>B.Indo</c:v>
                  </c:pt>
                  <c:pt idx="2">
                    <c:v>Biologi</c:v>
                  </c:pt>
                  <c:pt idx="3">
                    <c:v>TIK</c:v>
                  </c:pt>
                  <c:pt idx="5">
                    <c:v>Kimia</c:v>
                  </c:pt>
                  <c:pt idx="7">
                    <c:v>Math</c:v>
                  </c:pt>
                  <c:pt idx="9">
                    <c:v>Kopi</c:v>
                  </c:pt>
                  <c:pt idx="10">
                    <c:v>B.Ing</c:v>
                  </c:pt>
                  <c:pt idx="12">
                    <c:v>Pancasila</c:v>
                  </c:pt>
                  <c:pt idx="14">
                    <c:v>Sejarah</c:v>
                  </c:pt>
                  <c:pt idx="16">
                    <c:v>PKWU</c:v>
                  </c:pt>
                  <c:pt idx="17">
                    <c:v>Fisika</c:v>
                  </c:pt>
                  <c:pt idx="18">
                    <c:v>A.Katolik</c:v>
                  </c:pt>
                  <c:pt idx="20">
                    <c:v>A.Kristen</c:v>
                  </c:pt>
                </c:lvl>
                <c:lvl>
                  <c:pt idx="0">
                    <c:v>12A</c:v>
                  </c:pt>
                </c:lvl>
              </c:multiLvlStrCache>
            </c:multiLvlStrRef>
          </c:cat>
          <c:val>
            <c:numRef>
              <c:f>HPL!$AJ$3:$AJ$24</c:f>
              <c:numCache>
                <c:formatCode>0%</c:formatCode>
                <c:ptCount val="22"/>
                <c:pt idx="0">
                  <c:v>0.3888888888888889</c:v>
                </c:pt>
                <c:pt idx="1">
                  <c:v>0</c:v>
                </c:pt>
                <c:pt idx="2">
                  <c:v>0.33333333333333331</c:v>
                </c:pt>
                <c:pt idx="3">
                  <c:v>0.31746031746031744</c:v>
                </c:pt>
                <c:pt idx="4">
                  <c:v>7.407407407407407E-2</c:v>
                </c:pt>
                <c:pt idx="5">
                  <c:v>0.48148148148148145</c:v>
                </c:pt>
                <c:pt idx="6">
                  <c:v>0.1111111111111111</c:v>
                </c:pt>
                <c:pt idx="7">
                  <c:v>4.6511627906976744E-2</c:v>
                </c:pt>
                <c:pt idx="8">
                  <c:v>9.5238095238095233E-2</c:v>
                </c:pt>
                <c:pt idx="9">
                  <c:v>0</c:v>
                </c:pt>
                <c:pt idx="10">
                  <c:v>0.46296296296296297</c:v>
                </c:pt>
                <c:pt idx="11">
                  <c:v>0.41666666666666669</c:v>
                </c:pt>
                <c:pt idx="12">
                  <c:v>0.75324675324675328</c:v>
                </c:pt>
                <c:pt idx="13">
                  <c:v>0.73015873015873012</c:v>
                </c:pt>
                <c:pt idx="14">
                  <c:v>0.76296296296296295</c:v>
                </c:pt>
                <c:pt idx="15">
                  <c:v>0.65656565656565657</c:v>
                </c:pt>
                <c:pt idx="16">
                  <c:v>0</c:v>
                </c:pt>
                <c:pt idx="17">
                  <c:v>0.44444444444444442</c:v>
                </c:pt>
                <c:pt idx="18">
                  <c:v>0</c:v>
                </c:pt>
                <c:pt idx="19">
                  <c:v>0</c:v>
                </c:pt>
                <c:pt idx="20">
                  <c:v>0.70833333333333337</c:v>
                </c:pt>
                <c:pt idx="21">
                  <c:v>0.625</c:v>
                </c:pt>
              </c:numCache>
            </c:numRef>
          </c:val>
          <c:extLst>
            <c:ext xmlns:c16="http://schemas.microsoft.com/office/drawing/2014/chart" uri="{C3380CC4-5D6E-409C-BE32-E72D297353CC}">
              <c16:uniqueId val="{00000004-A710-A443-9EA8-2E1EE21AFF0D}"/>
            </c:ext>
          </c:extLst>
        </c:ser>
        <c:ser>
          <c:idx val="3"/>
          <c:order val="3"/>
          <c:tx>
            <c:strRef>
              <c:f>HPL!$AK$1:$AK$2</c:f>
              <c:strCache>
                <c:ptCount val="1"/>
                <c:pt idx="0">
                  <c:v>Kurang</c:v>
                </c:pt>
              </c:strCache>
            </c:strRef>
          </c:tx>
          <c:spPr>
            <a:solidFill>
              <a:srgbClr val="FF0000"/>
            </a:solidFill>
            <a:ln>
              <a:noFill/>
            </a:ln>
            <a:effectLst/>
          </c:spPr>
          <c:invertIfNegative val="0"/>
          <c:cat>
            <c:multiLvlStrRef>
              <c:f>HPL!$AE$3:$AG$24</c:f>
              <c:multiLvlStrCache>
                <c:ptCount val="22"/>
                <c:lvl>
                  <c:pt idx="0">
                    <c:v>Jan</c:v>
                  </c:pt>
                  <c:pt idx="1">
                    <c:v>Feb</c:v>
                  </c:pt>
                  <c:pt idx="2">
                    <c:v>Jan</c:v>
                  </c:pt>
                  <c:pt idx="3">
                    <c:v>Jan</c:v>
                  </c:pt>
                  <c:pt idx="4">
                    <c:v>Feb</c:v>
                  </c:pt>
                  <c:pt idx="5">
                    <c:v>Jan</c:v>
                  </c:pt>
                  <c:pt idx="6">
                    <c:v>Feb</c:v>
                  </c:pt>
                  <c:pt idx="7">
                    <c:v>Jan</c:v>
                  </c:pt>
                  <c:pt idx="8">
                    <c:v>Feb</c:v>
                  </c:pt>
                  <c:pt idx="9">
                    <c:v>Jan</c:v>
                  </c:pt>
                  <c:pt idx="10">
                    <c:v>Jan</c:v>
                  </c:pt>
                  <c:pt idx="11">
                    <c:v>Feb</c:v>
                  </c:pt>
                  <c:pt idx="12">
                    <c:v>Jan</c:v>
                  </c:pt>
                  <c:pt idx="13">
                    <c:v>Feb</c:v>
                  </c:pt>
                  <c:pt idx="14">
                    <c:v>Jan</c:v>
                  </c:pt>
                  <c:pt idx="15">
                    <c:v>Feb</c:v>
                  </c:pt>
                  <c:pt idx="16">
                    <c:v>Jan</c:v>
                  </c:pt>
                  <c:pt idx="17">
                    <c:v>Feb</c:v>
                  </c:pt>
                  <c:pt idx="18">
                    <c:v>Jan</c:v>
                  </c:pt>
                  <c:pt idx="19">
                    <c:v>Feb</c:v>
                  </c:pt>
                  <c:pt idx="20">
                    <c:v>Jan</c:v>
                  </c:pt>
                  <c:pt idx="21">
                    <c:v>Feb</c:v>
                  </c:pt>
                </c:lvl>
                <c:lvl>
                  <c:pt idx="0">
                    <c:v>B.Indo</c:v>
                  </c:pt>
                  <c:pt idx="2">
                    <c:v>Biologi</c:v>
                  </c:pt>
                  <c:pt idx="3">
                    <c:v>TIK</c:v>
                  </c:pt>
                  <c:pt idx="5">
                    <c:v>Kimia</c:v>
                  </c:pt>
                  <c:pt idx="7">
                    <c:v>Math</c:v>
                  </c:pt>
                  <c:pt idx="9">
                    <c:v>Kopi</c:v>
                  </c:pt>
                  <c:pt idx="10">
                    <c:v>B.Ing</c:v>
                  </c:pt>
                  <c:pt idx="12">
                    <c:v>Pancasila</c:v>
                  </c:pt>
                  <c:pt idx="14">
                    <c:v>Sejarah</c:v>
                  </c:pt>
                  <c:pt idx="16">
                    <c:v>PKWU</c:v>
                  </c:pt>
                  <c:pt idx="17">
                    <c:v>Fisika</c:v>
                  </c:pt>
                  <c:pt idx="18">
                    <c:v>A.Katolik</c:v>
                  </c:pt>
                  <c:pt idx="20">
                    <c:v>A.Kristen</c:v>
                  </c:pt>
                </c:lvl>
                <c:lvl>
                  <c:pt idx="0">
                    <c:v>12A</c:v>
                  </c:pt>
                </c:lvl>
              </c:multiLvlStrCache>
            </c:multiLvlStrRef>
          </c:cat>
          <c:val>
            <c:numRef>
              <c:f>HPL!$AK$3:$AK$24</c:f>
              <c:numCache>
                <c:formatCode>0%</c:formatCode>
                <c:ptCount val="22"/>
                <c:pt idx="0">
                  <c:v>0</c:v>
                </c:pt>
                <c:pt idx="1">
                  <c:v>0</c:v>
                </c:pt>
                <c:pt idx="2">
                  <c:v>0.22222222222222221</c:v>
                </c:pt>
                <c:pt idx="3">
                  <c:v>0.53968253968253965</c:v>
                </c:pt>
                <c:pt idx="4">
                  <c:v>0.66666666666666663</c:v>
                </c:pt>
                <c:pt idx="5">
                  <c:v>0.22222222222222221</c:v>
                </c:pt>
                <c:pt idx="6">
                  <c:v>0.88888888888888884</c:v>
                </c:pt>
                <c:pt idx="7">
                  <c:v>0.41860465116279072</c:v>
                </c:pt>
                <c:pt idx="8">
                  <c:v>0.26190476190476192</c:v>
                </c:pt>
                <c:pt idx="9">
                  <c:v>0</c:v>
                </c:pt>
                <c:pt idx="10">
                  <c:v>0.40740740740740738</c:v>
                </c:pt>
                <c:pt idx="11">
                  <c:v>0.41666666666666669</c:v>
                </c:pt>
                <c:pt idx="12">
                  <c:v>0.1038961038961039</c:v>
                </c:pt>
                <c:pt idx="13">
                  <c:v>4.7619047619047616E-2</c:v>
                </c:pt>
                <c:pt idx="14">
                  <c:v>0.11851851851851852</c:v>
                </c:pt>
                <c:pt idx="15">
                  <c:v>0.1111111111111111</c:v>
                </c:pt>
                <c:pt idx="16">
                  <c:v>0</c:v>
                </c:pt>
                <c:pt idx="17">
                  <c:v>0.44444444444444442</c:v>
                </c:pt>
                <c:pt idx="18">
                  <c:v>0</c:v>
                </c:pt>
                <c:pt idx="19">
                  <c:v>0</c:v>
                </c:pt>
                <c:pt idx="20">
                  <c:v>0</c:v>
                </c:pt>
                <c:pt idx="21">
                  <c:v>0</c:v>
                </c:pt>
              </c:numCache>
            </c:numRef>
          </c:val>
          <c:extLst>
            <c:ext xmlns:c16="http://schemas.microsoft.com/office/drawing/2014/chart" uri="{C3380CC4-5D6E-409C-BE32-E72D297353CC}">
              <c16:uniqueId val="{00000001-6BFB-9142-A0D9-026ED024B3BA}"/>
            </c:ext>
          </c:extLst>
        </c:ser>
        <c:dLbls>
          <c:showLegendKey val="0"/>
          <c:showVal val="0"/>
          <c:showCatName val="0"/>
          <c:showSerName val="0"/>
          <c:showPercent val="0"/>
          <c:showBubbleSize val="0"/>
        </c:dLbls>
        <c:gapWidth val="219"/>
        <c:overlap val="100"/>
        <c:axId val="-41062304"/>
        <c:axId val="-41061760"/>
      </c:barChart>
      <c:catAx>
        <c:axId val="-4106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crossAx val="-41061760"/>
        <c:crosses val="autoZero"/>
        <c:auto val="1"/>
        <c:lblAlgn val="ctr"/>
        <c:lblOffset val="100"/>
        <c:noMultiLvlLbl val="0"/>
      </c:catAx>
      <c:valAx>
        <c:axId val="-4106176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crossAx val="-41062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[TDU_SMA_2526_S2.xlsx]progmat!PivotTable1</c:name>
    <c:fmtId val="0"/>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a:t>Progres Materi Kelas SMA SAI</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71532960"/>
        <c:axId val="-2116908816"/>
      </c:barChart>
      <c:catAx>
        <c:axId val="-17153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id-ID"/>
          </a:p>
        </c:txPr>
        <c:crossAx val="-2116908816"/>
        <c:crosses val="autoZero"/>
        <c:auto val="1"/>
        <c:lblAlgn val="ctr"/>
        <c:lblOffset val="100"/>
        <c:noMultiLvlLbl val="0"/>
      </c:catAx>
      <c:valAx>
        <c:axId val="-211690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id-ID"/>
          </a:p>
        </c:txPr>
        <c:crossAx val="-17153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solidFill>
            <a:sysClr val="windowText" lastClr="000000"/>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[TDU_SMA_2526_S2.xlsx]progmat!PivotTable2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ysClr val="windowText" lastClr="000000"/>
                </a:solidFill>
                <a:latin typeface="+mn-lt"/>
                <a:ea typeface="+mn-ea"/>
                <a:cs typeface="+mn-cs"/>
              </a:defRPr>
            </a:pPr>
            <a:r>
              <a:rPr lang="en-US" sz="2000" b="1" i="0" u="none" strike="noStrike" kern="1200" spc="0" baseline="0">
                <a:solidFill>
                  <a:sysClr val="windowText" lastClr="000000"/>
                </a:solidFill>
              </a:rPr>
              <a:t>Progres Materi Kelas Siswa SMA SAI</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ysClr val="windowText" lastClr="000000"/>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2116903920"/>
        <c:axId val="-2116904464"/>
      </c:barChart>
      <c:catAx>
        <c:axId val="-211690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id-ID"/>
          </a:p>
        </c:txPr>
        <c:crossAx val="-2116904464"/>
        <c:crosses val="autoZero"/>
        <c:auto val="1"/>
        <c:lblAlgn val="ctr"/>
        <c:lblOffset val="100"/>
        <c:noMultiLvlLbl val="0"/>
      </c:catAx>
      <c:valAx>
        <c:axId val="-2116904464"/>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id-ID"/>
          </a:p>
        </c:txPr>
        <c:crossAx val="-211690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solidFill>
            <a:sysClr val="windowText" lastClr="000000"/>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[TDU_SMA_2526_S2.xlsx]rerata nilai!PivotTable14</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a:t>Rerata Nilai Kelas SMA SAI</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'rerata nilai'!$D$3:$D$4</c:f>
              <c:strCache>
                <c:ptCount val="1"/>
                <c:pt idx="0">
                  <c:v>Average of Nilai2</c:v>
                </c:pt>
              </c:strCache>
            </c:strRef>
          </c:tx>
          <c:spPr>
            <a:solidFill>
              <a:schemeClr val="accent1"/>
            </a:solidFill>
            <a:ln>
              <a:noFill/>
            </a:ln>
            <a:effectLst/>
          </c:spPr>
          <c:invertIfNegative val="0"/>
          <c:cat>
            <c:multiLvlStrRef>
              <c:f>'rerata nilai'!$A$5:$C$26</c:f>
              <c:multiLvlStrCache>
                <c:ptCount val="22"/>
                <c:lvl>
                  <c:pt idx="0">
                    <c:v>Jan</c:v>
                  </c:pt>
                  <c:pt idx="1">
                    <c:v>Feb</c:v>
                  </c:pt>
                  <c:pt idx="2">
                    <c:v>Jan</c:v>
                  </c:pt>
                  <c:pt idx="3">
                    <c:v>Jan</c:v>
                  </c:pt>
                  <c:pt idx="4">
                    <c:v>Feb</c:v>
                  </c:pt>
                  <c:pt idx="5">
                    <c:v>Jan</c:v>
                  </c:pt>
                  <c:pt idx="6">
                    <c:v>Feb</c:v>
                  </c:pt>
                  <c:pt idx="7">
                    <c:v>Jan</c:v>
                  </c:pt>
                  <c:pt idx="8">
                    <c:v>Feb</c:v>
                  </c:pt>
                  <c:pt idx="9">
                    <c:v>Jan</c:v>
                  </c:pt>
                  <c:pt idx="10">
                    <c:v>Feb</c:v>
                  </c:pt>
                  <c:pt idx="11">
                    <c:v>Jan</c:v>
                  </c:pt>
                  <c:pt idx="12">
                    <c:v>Feb</c:v>
                  </c:pt>
                  <c:pt idx="13">
                    <c:v>Jan</c:v>
                  </c:pt>
                  <c:pt idx="14">
                    <c:v>Feb</c:v>
                  </c:pt>
                  <c:pt idx="15">
                    <c:v>Jan</c:v>
                  </c:pt>
                  <c:pt idx="16">
                    <c:v>Feb</c:v>
                  </c:pt>
                  <c:pt idx="17">
                    <c:v>Jan</c:v>
                  </c:pt>
                  <c:pt idx="18">
                    <c:v>Feb</c:v>
                  </c:pt>
                  <c:pt idx="19">
                    <c:v>Feb</c:v>
                  </c:pt>
                  <c:pt idx="20">
                    <c:v>Jan</c:v>
                  </c:pt>
                  <c:pt idx="21">
                    <c:v>Feb</c:v>
                  </c:pt>
                </c:lvl>
                <c:lvl>
                  <c:pt idx="0">
                    <c:v>B.Indo</c:v>
                  </c:pt>
                  <c:pt idx="2">
                    <c:v>Biologi</c:v>
                  </c:pt>
                  <c:pt idx="3">
                    <c:v>TIK</c:v>
                  </c:pt>
                  <c:pt idx="5">
                    <c:v>Kimia</c:v>
                  </c:pt>
                  <c:pt idx="7">
                    <c:v>Math</c:v>
                  </c:pt>
                  <c:pt idx="9">
                    <c:v>Kopi</c:v>
                  </c:pt>
                  <c:pt idx="11">
                    <c:v>B.Ing</c:v>
                  </c:pt>
                  <c:pt idx="13">
                    <c:v>Pancasila</c:v>
                  </c:pt>
                  <c:pt idx="15">
                    <c:v>Sejarah</c:v>
                  </c:pt>
                  <c:pt idx="17">
                    <c:v>PKWU</c:v>
                  </c:pt>
                  <c:pt idx="19">
                    <c:v>Fisika</c:v>
                  </c:pt>
                  <c:pt idx="20">
                    <c:v>Tepung</c:v>
                  </c:pt>
                </c:lvl>
                <c:lvl>
                  <c:pt idx="0">
                    <c:v>11A</c:v>
                  </c:pt>
                </c:lvl>
              </c:multiLvlStrCache>
            </c:multiLvlStrRef>
          </c:cat>
          <c:val>
            <c:numRef>
              <c:f>'rerata nilai'!$D$5:$D$26</c:f>
              <c:numCache>
                <c:formatCode>_(* #,##0_);_(* \(#,##0\);_(* "-"_);_(@_)</c:formatCode>
                <c:ptCount val="22"/>
                <c:pt idx="0">
                  <c:v>65.518716577540104</c:v>
                </c:pt>
                <c:pt idx="1">
                  <c:v>69.572727272727278</c:v>
                </c:pt>
                <c:pt idx="2">
                  <c:v>80.666666666666671</c:v>
                </c:pt>
                <c:pt idx="3">
                  <c:v>64.31506849315069</c:v>
                </c:pt>
                <c:pt idx="4">
                  <c:v>63.212121212121211</c:v>
                </c:pt>
                <c:pt idx="5">
                  <c:v>71.458333333333329</c:v>
                </c:pt>
                <c:pt idx="6">
                  <c:v>73.125</c:v>
                </c:pt>
                <c:pt idx="7">
                  <c:v>65.19101123595506</c:v>
                </c:pt>
                <c:pt idx="8">
                  <c:v>70.709090909090904</c:v>
                </c:pt>
                <c:pt idx="9">
                  <c:v>70.75</c:v>
                </c:pt>
                <c:pt idx="10">
                  <c:v>78</c:v>
                </c:pt>
                <c:pt idx="11">
                  <c:v>50.372093023255815</c:v>
                </c:pt>
                <c:pt idx="12">
                  <c:v>60.685185185185183</c:v>
                </c:pt>
                <c:pt idx="13">
                  <c:v>73.902173913043484</c:v>
                </c:pt>
                <c:pt idx="14">
                  <c:v>73.288461538461533</c:v>
                </c:pt>
                <c:pt idx="15">
                  <c:v>72.424242424242422</c:v>
                </c:pt>
                <c:pt idx="16">
                  <c:v>69.126126126126124</c:v>
                </c:pt>
                <c:pt idx="17">
                  <c:v>80.8</c:v>
                </c:pt>
                <c:pt idx="18">
                  <c:v>78.561403508771932</c:v>
                </c:pt>
                <c:pt idx="19">
                  <c:v>70.904761904761898</c:v>
                </c:pt>
                <c:pt idx="20">
                  <c:v>87.5</c:v>
                </c:pt>
                <c:pt idx="21">
                  <c:v>78.615384615384613</c:v>
                </c:pt>
              </c:numCache>
            </c:numRef>
          </c:val>
          <c:extLst>
            <c:ext xmlns:c16="http://schemas.microsoft.com/office/drawing/2014/chart" uri="{C3380CC4-5D6E-409C-BE32-E72D297353CC}">
              <c16:uniqueId val="{00000000-423C-9D4F-A0AC-46EF65BFF935}"/>
            </c:ext>
          </c:extLst>
        </c:ser>
        <c:dLbls>
          <c:showLegendKey val="0"/>
          <c:showVal val="0"/>
          <c:showCatName val="0"/>
          <c:showSerName val="0"/>
          <c:showPercent val="0"/>
          <c:showBubbleSize val="0"/>
        </c:dLbls>
        <c:gapWidth val="219"/>
        <c:axId val="-2116898480"/>
        <c:axId val="-2116897936"/>
      </c:barChart>
      <c:lineChart>
        <c:grouping val="standard"/>
        <c:varyColors val="0"/>
        <c:ser>
          <c:idx val="1"/>
          <c:order val="1"/>
          <c:tx>
            <c:strRef>
              <c:f>'rerata nilai'!$E$3:$E$4</c:f>
              <c:strCache>
                <c:ptCount val="1"/>
                <c:pt idx="0">
                  <c:v>Average of KKM</c:v>
                </c:pt>
              </c:strCache>
            </c:strRef>
          </c:tx>
          <c:spPr>
            <a:ln w="28575" cap="rnd">
              <a:solidFill>
                <a:schemeClr val="accent2"/>
              </a:solidFill>
              <a:round/>
            </a:ln>
            <a:effectLst/>
          </c:spPr>
          <c:marker>
            <c:symbol val="none"/>
          </c:marker>
          <c:cat>
            <c:multiLvlStrRef>
              <c:f>'rerata nilai'!$A$5:$C$26</c:f>
              <c:multiLvlStrCache>
                <c:ptCount val="22"/>
                <c:lvl>
                  <c:pt idx="0">
                    <c:v>Jan</c:v>
                  </c:pt>
                  <c:pt idx="1">
                    <c:v>Feb</c:v>
                  </c:pt>
                  <c:pt idx="2">
                    <c:v>Jan</c:v>
                  </c:pt>
                  <c:pt idx="3">
                    <c:v>Jan</c:v>
                  </c:pt>
                  <c:pt idx="4">
                    <c:v>Feb</c:v>
                  </c:pt>
                  <c:pt idx="5">
                    <c:v>Jan</c:v>
                  </c:pt>
                  <c:pt idx="6">
                    <c:v>Feb</c:v>
                  </c:pt>
                  <c:pt idx="7">
                    <c:v>Jan</c:v>
                  </c:pt>
                  <c:pt idx="8">
                    <c:v>Feb</c:v>
                  </c:pt>
                  <c:pt idx="9">
                    <c:v>Jan</c:v>
                  </c:pt>
                  <c:pt idx="10">
                    <c:v>Feb</c:v>
                  </c:pt>
                  <c:pt idx="11">
                    <c:v>Jan</c:v>
                  </c:pt>
                  <c:pt idx="12">
                    <c:v>Feb</c:v>
                  </c:pt>
                  <c:pt idx="13">
                    <c:v>Jan</c:v>
                  </c:pt>
                  <c:pt idx="14">
                    <c:v>Feb</c:v>
                  </c:pt>
                  <c:pt idx="15">
                    <c:v>Jan</c:v>
                  </c:pt>
                  <c:pt idx="16">
                    <c:v>Feb</c:v>
                  </c:pt>
                  <c:pt idx="17">
                    <c:v>Jan</c:v>
                  </c:pt>
                  <c:pt idx="18">
                    <c:v>Feb</c:v>
                  </c:pt>
                  <c:pt idx="19">
                    <c:v>Feb</c:v>
                  </c:pt>
                  <c:pt idx="20">
                    <c:v>Jan</c:v>
                  </c:pt>
                  <c:pt idx="21">
                    <c:v>Feb</c:v>
                  </c:pt>
                </c:lvl>
                <c:lvl>
                  <c:pt idx="0">
                    <c:v>B.Indo</c:v>
                  </c:pt>
                  <c:pt idx="2">
                    <c:v>Biologi</c:v>
                  </c:pt>
                  <c:pt idx="3">
                    <c:v>TIK</c:v>
                  </c:pt>
                  <c:pt idx="5">
                    <c:v>Kimia</c:v>
                  </c:pt>
                  <c:pt idx="7">
                    <c:v>Math</c:v>
                  </c:pt>
                  <c:pt idx="9">
                    <c:v>Kopi</c:v>
                  </c:pt>
                  <c:pt idx="11">
                    <c:v>B.Ing</c:v>
                  </c:pt>
                  <c:pt idx="13">
                    <c:v>Pancasila</c:v>
                  </c:pt>
                  <c:pt idx="15">
                    <c:v>Sejarah</c:v>
                  </c:pt>
                  <c:pt idx="17">
                    <c:v>PKWU</c:v>
                  </c:pt>
                  <c:pt idx="19">
                    <c:v>Fisika</c:v>
                  </c:pt>
                  <c:pt idx="20">
                    <c:v>Tepung</c:v>
                  </c:pt>
                </c:lvl>
                <c:lvl>
                  <c:pt idx="0">
                    <c:v>11A</c:v>
                  </c:pt>
                </c:lvl>
              </c:multiLvlStrCache>
            </c:multiLvlStrRef>
          </c:cat>
          <c:val>
            <c:numRef>
              <c:f>'rerata nilai'!$E$5:$E$26</c:f>
              <c:numCache>
                <c:formatCode>_(* #,##0_);_(* \(#,##0\);_(* "-"_);_(@_)</c:formatCode>
                <c:ptCount val="22"/>
                <c:pt idx="0">
                  <c:v>65</c:v>
                </c:pt>
                <c:pt idx="1">
                  <c:v>65</c:v>
                </c:pt>
                <c:pt idx="2">
                  <c:v>65</c:v>
                </c:pt>
                <c:pt idx="3">
                  <c:v>65</c:v>
                </c:pt>
                <c:pt idx="4">
                  <c:v>65</c:v>
                </c:pt>
                <c:pt idx="5">
                  <c:v>65</c:v>
                </c:pt>
                <c:pt idx="6">
                  <c:v>65</c:v>
                </c:pt>
                <c:pt idx="7">
                  <c:v>65</c:v>
                </c:pt>
                <c:pt idx="8">
                  <c:v>65</c:v>
                </c:pt>
                <c:pt idx="9">
                  <c:v>65</c:v>
                </c:pt>
                <c:pt idx="10">
                  <c:v>65</c:v>
                </c:pt>
                <c:pt idx="11">
                  <c:v>65</c:v>
                </c:pt>
                <c:pt idx="12">
                  <c:v>65</c:v>
                </c:pt>
                <c:pt idx="13">
                  <c:v>65</c:v>
                </c:pt>
                <c:pt idx="14">
                  <c:v>65</c:v>
                </c:pt>
                <c:pt idx="15">
                  <c:v>65</c:v>
                </c:pt>
                <c:pt idx="16">
                  <c:v>65</c:v>
                </c:pt>
                <c:pt idx="17">
                  <c:v>65</c:v>
                </c:pt>
                <c:pt idx="18">
                  <c:v>65</c:v>
                </c:pt>
                <c:pt idx="19">
                  <c:v>65</c:v>
                </c:pt>
                <c:pt idx="20">
                  <c:v>65</c:v>
                </c:pt>
                <c:pt idx="21">
                  <c:v>65</c:v>
                </c:pt>
              </c:numCache>
            </c:numRef>
          </c:val>
          <c:smooth val="0"/>
          <c:extLst>
            <c:ext xmlns:c16="http://schemas.microsoft.com/office/drawing/2014/chart" uri="{C3380CC4-5D6E-409C-BE32-E72D297353CC}">
              <c16:uniqueId val="{00000001-423C-9D4F-A0AC-46EF65BFF935}"/>
            </c:ext>
          </c:extLst>
        </c:ser>
        <c:dLbls>
          <c:showLegendKey val="0"/>
          <c:showVal val="0"/>
          <c:showCatName val="0"/>
          <c:showSerName val="0"/>
          <c:showPercent val="0"/>
          <c:showBubbleSize val="0"/>
        </c:dLbls>
        <c:marker val="1"/>
        <c:smooth val="0"/>
        <c:axId val="-2116898480"/>
        <c:axId val="-2116897936"/>
      </c:lineChart>
      <c:catAx>
        <c:axId val="-211689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crossAx val="-2116897936"/>
        <c:crosses val="autoZero"/>
        <c:auto val="1"/>
        <c:lblAlgn val="ctr"/>
        <c:lblOffset val="100"/>
        <c:noMultiLvlLbl val="0"/>
      </c:catAx>
      <c:valAx>
        <c:axId val="-211689793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crossAx val="-2116898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[TDU_SMA_2526_S2.xlsx]rerata nilai!PivotTable1</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a:t>Rerta Nilai STNK per Mapel</a:t>
            </a:r>
          </a:p>
          <a:p>
            <a:pPr>
              <a:defRPr sz="2000"/>
            </a:pPr>
            <a:r>
              <a:rPr lang="en-US" sz="2000"/>
              <a:t>SMA SAI</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'rerata nilai'!$AD$1:$AD$2</c:f>
              <c:strCache>
                <c:ptCount val="1"/>
                <c:pt idx="0">
                  <c:v>Average of Nilai2</c:v>
                </c:pt>
              </c:strCache>
            </c:strRef>
          </c:tx>
          <c:spPr>
            <a:solidFill>
              <a:schemeClr val="accent1"/>
            </a:solidFill>
            <a:ln>
              <a:noFill/>
            </a:ln>
            <a:effectLst/>
          </c:spPr>
          <c:invertIfNegative val="0"/>
          <c:cat>
            <c:multiLvlStrRef>
              <c:f>'rerata nilai'!$Z$3:$AC$63</c:f>
              <c:multiLvlStrCache>
                <c:ptCount val="61"/>
                <c:lvl>
                  <c:pt idx="0">
                    <c:v>Minat</c:v>
                  </c:pt>
                  <c:pt idx="1">
                    <c:v>Karakter</c:v>
                  </c:pt>
                  <c:pt idx="2">
                    <c:v>Teori</c:v>
                  </c:pt>
                  <c:pt idx="3">
                    <c:v>Nalar</c:v>
                  </c:pt>
                  <c:pt idx="4">
                    <c:v>Minat</c:v>
                  </c:pt>
                  <c:pt idx="5">
                    <c:v>Karakter</c:v>
                  </c:pt>
                  <c:pt idx="6">
                    <c:v>Teori</c:v>
                  </c:pt>
                  <c:pt idx="7">
                    <c:v>Nalar</c:v>
                  </c:pt>
                  <c:pt idx="8">
                    <c:v>Teori</c:v>
                  </c:pt>
                  <c:pt idx="9">
                    <c:v>Minat</c:v>
                  </c:pt>
                  <c:pt idx="10">
                    <c:v>Karakter</c:v>
                  </c:pt>
                  <c:pt idx="11">
                    <c:v>Teori</c:v>
                  </c:pt>
                  <c:pt idx="12">
                    <c:v>Nalar</c:v>
                  </c:pt>
                  <c:pt idx="13">
                    <c:v>Skill</c:v>
                  </c:pt>
                  <c:pt idx="14">
                    <c:v>Karakter</c:v>
                  </c:pt>
                  <c:pt idx="15">
                    <c:v>Teori</c:v>
                  </c:pt>
                  <c:pt idx="16">
                    <c:v>Skill</c:v>
                  </c:pt>
                  <c:pt idx="17">
                    <c:v>Nalar</c:v>
                  </c:pt>
                  <c:pt idx="18">
                    <c:v>Skill</c:v>
                  </c:pt>
                  <c:pt idx="19">
                    <c:v>Teori</c:v>
                  </c:pt>
                  <c:pt idx="20">
                    <c:v>Karakter</c:v>
                  </c:pt>
                  <c:pt idx="21">
                    <c:v>Teori</c:v>
                  </c:pt>
                  <c:pt idx="22">
                    <c:v>Teori</c:v>
                  </c:pt>
                  <c:pt idx="23">
                    <c:v>Skill</c:v>
                  </c:pt>
                  <c:pt idx="24">
                    <c:v>Skill</c:v>
                  </c:pt>
                  <c:pt idx="25">
                    <c:v>Karakter</c:v>
                  </c:pt>
                  <c:pt idx="26">
                    <c:v>Teori</c:v>
                  </c:pt>
                  <c:pt idx="27">
                    <c:v>Nalar</c:v>
                  </c:pt>
                  <c:pt idx="28">
                    <c:v>Skill</c:v>
                  </c:pt>
                  <c:pt idx="29">
                    <c:v>Teori</c:v>
                  </c:pt>
                  <c:pt idx="30">
                    <c:v>Skill</c:v>
                  </c:pt>
                  <c:pt idx="31">
                    <c:v>Minat</c:v>
                  </c:pt>
                  <c:pt idx="32">
                    <c:v>Karakter</c:v>
                  </c:pt>
                  <c:pt idx="33">
                    <c:v>Teori</c:v>
                  </c:pt>
                  <c:pt idx="34">
                    <c:v>Nalar</c:v>
                  </c:pt>
                  <c:pt idx="35">
                    <c:v>Minat</c:v>
                  </c:pt>
                  <c:pt idx="36">
                    <c:v>Karakter</c:v>
                  </c:pt>
                  <c:pt idx="37">
                    <c:v>Teori</c:v>
                  </c:pt>
                  <c:pt idx="38">
                    <c:v>Nalar</c:v>
                  </c:pt>
                  <c:pt idx="39">
                    <c:v>Skill</c:v>
                  </c:pt>
                  <c:pt idx="40">
                    <c:v>Minat</c:v>
                  </c:pt>
                  <c:pt idx="41">
                    <c:v>Karakter</c:v>
                  </c:pt>
                  <c:pt idx="42">
                    <c:v>Teori</c:v>
                  </c:pt>
                  <c:pt idx="43">
                    <c:v>Nalar</c:v>
                  </c:pt>
                  <c:pt idx="44">
                    <c:v>Minat</c:v>
                  </c:pt>
                  <c:pt idx="45">
                    <c:v>Karakter</c:v>
                  </c:pt>
                  <c:pt idx="46">
                    <c:v>Teori</c:v>
                  </c:pt>
                  <c:pt idx="47">
                    <c:v>Nalar</c:v>
                  </c:pt>
                  <c:pt idx="48">
                    <c:v>Karakter</c:v>
                  </c:pt>
                  <c:pt idx="49">
                    <c:v>Teori</c:v>
                  </c:pt>
                  <c:pt idx="50">
                    <c:v>Skill</c:v>
                  </c:pt>
                  <c:pt idx="51">
                    <c:v>Teori</c:v>
                  </c:pt>
                  <c:pt idx="52">
                    <c:v>Nalar</c:v>
                  </c:pt>
                  <c:pt idx="53">
                    <c:v>Skill</c:v>
                  </c:pt>
                  <c:pt idx="54">
                    <c:v>Teori</c:v>
                  </c:pt>
                  <c:pt idx="55">
                    <c:v>Karakter</c:v>
                  </c:pt>
                  <c:pt idx="56">
                    <c:v>Teori</c:v>
                  </c:pt>
                  <c:pt idx="57">
                    <c:v>Skill</c:v>
                  </c:pt>
                  <c:pt idx="58">
                    <c:v>Teori</c:v>
                  </c:pt>
                  <c:pt idx="59">
                    <c:v>Nalar</c:v>
                  </c:pt>
                  <c:pt idx="60">
                    <c:v>Skill</c:v>
                  </c:pt>
                </c:lvl>
                <c:lvl>
                  <c:pt idx="0">
                    <c:v>Jan</c:v>
                  </c:pt>
                  <c:pt idx="4">
                    <c:v>Feb</c:v>
                  </c:pt>
                  <c:pt idx="8">
                    <c:v>Jan</c:v>
                  </c:pt>
                  <c:pt idx="9">
                    <c:v>Jan</c:v>
                  </c:pt>
                  <c:pt idx="14">
                    <c:v>Feb</c:v>
                  </c:pt>
                  <c:pt idx="17">
                    <c:v>Jan</c:v>
                  </c:pt>
                  <c:pt idx="19">
                    <c:v>Feb</c:v>
                  </c:pt>
                  <c:pt idx="20">
                    <c:v>Jan</c:v>
                  </c:pt>
                  <c:pt idx="22">
                    <c:v>Feb</c:v>
                  </c:pt>
                  <c:pt idx="23">
                    <c:v>Jan</c:v>
                  </c:pt>
                  <c:pt idx="24">
                    <c:v>Feb</c:v>
                  </c:pt>
                  <c:pt idx="25">
                    <c:v>Jan</c:v>
                  </c:pt>
                  <c:pt idx="29">
                    <c:v>Feb</c:v>
                  </c:pt>
                  <c:pt idx="31">
                    <c:v>Jan</c:v>
                  </c:pt>
                  <c:pt idx="35">
                    <c:v>Feb</c:v>
                  </c:pt>
                  <c:pt idx="40">
                    <c:v>Jan</c:v>
                  </c:pt>
                  <c:pt idx="44">
                    <c:v>Feb</c:v>
                  </c:pt>
                  <c:pt idx="48">
                    <c:v>Jan</c:v>
                  </c:pt>
                  <c:pt idx="51">
                    <c:v>Feb</c:v>
                  </c:pt>
                  <c:pt idx="54">
                    <c:v>Feb</c:v>
                  </c:pt>
                  <c:pt idx="55">
                    <c:v>Jan</c:v>
                  </c:pt>
                  <c:pt idx="58">
                    <c:v>Feb</c:v>
                  </c:pt>
                </c:lvl>
                <c:lvl>
                  <c:pt idx="0">
                    <c:v>B.Indo</c:v>
                  </c:pt>
                  <c:pt idx="8">
                    <c:v>Biologi</c:v>
                  </c:pt>
                  <c:pt idx="9">
                    <c:v>TIK</c:v>
                  </c:pt>
                  <c:pt idx="17">
                    <c:v>Kimia</c:v>
                  </c:pt>
                  <c:pt idx="20">
                    <c:v>Math</c:v>
                  </c:pt>
                  <c:pt idx="23">
                    <c:v>Kopi</c:v>
                  </c:pt>
                  <c:pt idx="25">
                    <c:v>B.Ing</c:v>
                  </c:pt>
                  <c:pt idx="31">
                    <c:v>Pancasila</c:v>
                  </c:pt>
                  <c:pt idx="40">
                    <c:v>Sejarah</c:v>
                  </c:pt>
                  <c:pt idx="48">
                    <c:v>PKWU</c:v>
                  </c:pt>
                  <c:pt idx="54">
                    <c:v>Fisika</c:v>
                  </c:pt>
                  <c:pt idx="55">
                    <c:v>Tepung</c:v>
                  </c:pt>
                </c:lvl>
                <c:lvl>
                  <c:pt idx="0">
                    <c:v>11A</c:v>
                  </c:pt>
                </c:lvl>
              </c:multiLvlStrCache>
            </c:multiLvlStrRef>
          </c:cat>
          <c:val>
            <c:numRef>
              <c:f>'rerata nilai'!$AD$3:$AD$63</c:f>
              <c:numCache>
                <c:formatCode>_(* #,##0_);_(* \(#,##0\);_(* "-"_);_(@_)</c:formatCode>
                <c:ptCount val="61"/>
                <c:pt idx="0">
                  <c:v>69.090909090909093</c:v>
                </c:pt>
                <c:pt idx="1">
                  <c:v>69.772727272727266</c:v>
                </c:pt>
                <c:pt idx="2">
                  <c:v>60.254545454545458</c:v>
                </c:pt>
                <c:pt idx="3">
                  <c:v>64.272727272727266</c:v>
                </c:pt>
                <c:pt idx="4">
                  <c:v>71.272727272727266</c:v>
                </c:pt>
                <c:pt idx="5">
                  <c:v>71.13636363636364</c:v>
                </c:pt>
                <c:pt idx="6">
                  <c:v>67.848484848484844</c:v>
                </c:pt>
                <c:pt idx="7">
                  <c:v>69.121212121212125</c:v>
                </c:pt>
                <c:pt idx="8">
                  <c:v>80.666666666666671</c:v>
                </c:pt>
                <c:pt idx="9">
                  <c:v>70</c:v>
                </c:pt>
                <c:pt idx="10">
                  <c:v>73.181818181818187</c:v>
                </c:pt>
                <c:pt idx="11">
                  <c:v>61.25</c:v>
                </c:pt>
                <c:pt idx="12">
                  <c:v>60.909090909090907</c:v>
                </c:pt>
                <c:pt idx="13">
                  <c:v>61.25</c:v>
                </c:pt>
                <c:pt idx="14">
                  <c:v>74.545454545454547</c:v>
                </c:pt>
                <c:pt idx="15">
                  <c:v>56.727272727272727</c:v>
                </c:pt>
                <c:pt idx="16">
                  <c:v>58.363636363636367</c:v>
                </c:pt>
                <c:pt idx="17">
                  <c:v>66.25</c:v>
                </c:pt>
                <c:pt idx="18">
                  <c:v>76.666666666666671</c:v>
                </c:pt>
                <c:pt idx="19">
                  <c:v>73.125</c:v>
                </c:pt>
                <c:pt idx="20">
                  <c:v>78.75</c:v>
                </c:pt>
                <c:pt idx="21">
                  <c:v>61.260869565217391</c:v>
                </c:pt>
                <c:pt idx="22">
                  <c:v>70.709090909090904</c:v>
                </c:pt>
                <c:pt idx="23">
                  <c:v>70.75</c:v>
                </c:pt>
                <c:pt idx="24">
                  <c:v>78</c:v>
                </c:pt>
                <c:pt idx="25">
                  <c:v>70.833333333333329</c:v>
                </c:pt>
                <c:pt idx="26">
                  <c:v>47.8</c:v>
                </c:pt>
                <c:pt idx="27">
                  <c:v>24.8</c:v>
                </c:pt>
                <c:pt idx="28">
                  <c:v>43.18181818181818</c:v>
                </c:pt>
                <c:pt idx="29">
                  <c:v>59.28125</c:v>
                </c:pt>
                <c:pt idx="30">
                  <c:v>62.727272727272727</c:v>
                </c:pt>
                <c:pt idx="31">
                  <c:v>71.826086956521735</c:v>
                </c:pt>
                <c:pt idx="32">
                  <c:v>76.130434782608702</c:v>
                </c:pt>
                <c:pt idx="33">
                  <c:v>74.739130434782609</c:v>
                </c:pt>
                <c:pt idx="34">
                  <c:v>72.913043478260875</c:v>
                </c:pt>
                <c:pt idx="35">
                  <c:v>75.75</c:v>
                </c:pt>
                <c:pt idx="36">
                  <c:v>75.75</c:v>
                </c:pt>
                <c:pt idx="37">
                  <c:v>73.066666666666663</c:v>
                </c:pt>
                <c:pt idx="38">
                  <c:v>75.583333333333329</c:v>
                </c:pt>
                <c:pt idx="39">
                  <c:v>69.956521739130437</c:v>
                </c:pt>
                <c:pt idx="40">
                  <c:v>69.393939393939391</c:v>
                </c:pt>
                <c:pt idx="41">
                  <c:v>79.333333333333329</c:v>
                </c:pt>
                <c:pt idx="42">
                  <c:v>72.272727272727266</c:v>
                </c:pt>
                <c:pt idx="43">
                  <c:v>68.696969696969703</c:v>
                </c:pt>
                <c:pt idx="44">
                  <c:v>67</c:v>
                </c:pt>
                <c:pt idx="45">
                  <c:v>70.470588235294116</c:v>
                </c:pt>
                <c:pt idx="46">
                  <c:v>69.36363636363636</c:v>
                </c:pt>
                <c:pt idx="47">
                  <c:v>68.818181818181813</c:v>
                </c:pt>
                <c:pt idx="48">
                  <c:v>100</c:v>
                </c:pt>
                <c:pt idx="49">
                  <c:v>85</c:v>
                </c:pt>
                <c:pt idx="50">
                  <c:v>77.875</c:v>
                </c:pt>
                <c:pt idx="51">
                  <c:v>78.588235294117652</c:v>
                </c:pt>
                <c:pt idx="52">
                  <c:v>78</c:v>
                </c:pt>
                <c:pt idx="53">
                  <c:v>78.647058823529406</c:v>
                </c:pt>
                <c:pt idx="54">
                  <c:v>70.904761904761898</c:v>
                </c:pt>
                <c:pt idx="55">
                  <c:v>100</c:v>
                </c:pt>
                <c:pt idx="56">
                  <c:v>85</c:v>
                </c:pt>
                <c:pt idx="57">
                  <c:v>85</c:v>
                </c:pt>
                <c:pt idx="58">
                  <c:v>78.588235294117652</c:v>
                </c:pt>
                <c:pt idx="59">
                  <c:v>78</c:v>
                </c:pt>
                <c:pt idx="60">
                  <c:v>78.758620689655174</c:v>
                </c:pt>
              </c:numCache>
            </c:numRef>
          </c:val>
          <c:extLst>
            <c:ext xmlns:c16="http://schemas.microsoft.com/office/drawing/2014/chart" uri="{C3380CC4-5D6E-409C-BE32-E72D297353CC}">
              <c16:uniqueId val="{00000000-143C-2241-B991-29A78DFAA41B}"/>
            </c:ext>
          </c:extLst>
        </c:ser>
        <c:dLbls>
          <c:showLegendKey val="0"/>
          <c:showVal val="0"/>
          <c:showCatName val="0"/>
          <c:showSerName val="0"/>
          <c:showPercent val="0"/>
          <c:showBubbleSize val="0"/>
        </c:dLbls>
        <c:gapWidth val="219"/>
        <c:axId val="-2116900656"/>
        <c:axId val="-2116907184"/>
      </c:barChart>
      <c:lineChart>
        <c:grouping val="standard"/>
        <c:varyColors val="0"/>
        <c:ser>
          <c:idx val="1"/>
          <c:order val="1"/>
          <c:tx>
            <c:strRef>
              <c:f>'rerata nilai'!$AE$1:$AE$2</c:f>
              <c:strCache>
                <c:ptCount val="1"/>
                <c:pt idx="0">
                  <c:v>Average of KKM</c:v>
                </c:pt>
              </c:strCache>
            </c:strRef>
          </c:tx>
          <c:spPr>
            <a:ln w="28575" cap="rnd">
              <a:solidFill>
                <a:schemeClr val="accent2"/>
              </a:solidFill>
              <a:round/>
            </a:ln>
            <a:effectLst/>
          </c:spPr>
          <c:marker>
            <c:symbol val="none"/>
          </c:marker>
          <c:cat>
            <c:multiLvlStrRef>
              <c:f>'rerata nilai'!$Z$3:$AC$63</c:f>
              <c:multiLvlStrCache>
                <c:ptCount val="61"/>
                <c:lvl>
                  <c:pt idx="0">
                    <c:v>Minat</c:v>
                  </c:pt>
                  <c:pt idx="1">
                    <c:v>Karakter</c:v>
                  </c:pt>
                  <c:pt idx="2">
                    <c:v>Teori</c:v>
                  </c:pt>
                  <c:pt idx="3">
                    <c:v>Nalar</c:v>
                  </c:pt>
                  <c:pt idx="4">
                    <c:v>Minat</c:v>
                  </c:pt>
                  <c:pt idx="5">
                    <c:v>Karakter</c:v>
                  </c:pt>
                  <c:pt idx="6">
                    <c:v>Teori</c:v>
                  </c:pt>
                  <c:pt idx="7">
                    <c:v>Nalar</c:v>
                  </c:pt>
                  <c:pt idx="8">
                    <c:v>Teori</c:v>
                  </c:pt>
                  <c:pt idx="9">
                    <c:v>Minat</c:v>
                  </c:pt>
                  <c:pt idx="10">
                    <c:v>Karakter</c:v>
                  </c:pt>
                  <c:pt idx="11">
                    <c:v>Teori</c:v>
                  </c:pt>
                  <c:pt idx="12">
                    <c:v>Nalar</c:v>
                  </c:pt>
                  <c:pt idx="13">
                    <c:v>Skill</c:v>
                  </c:pt>
                  <c:pt idx="14">
                    <c:v>Karakter</c:v>
                  </c:pt>
                  <c:pt idx="15">
                    <c:v>Teori</c:v>
                  </c:pt>
                  <c:pt idx="16">
                    <c:v>Skill</c:v>
                  </c:pt>
                  <c:pt idx="17">
                    <c:v>Nalar</c:v>
                  </c:pt>
                  <c:pt idx="18">
                    <c:v>Skill</c:v>
                  </c:pt>
                  <c:pt idx="19">
                    <c:v>Teori</c:v>
                  </c:pt>
                  <c:pt idx="20">
                    <c:v>Karakter</c:v>
                  </c:pt>
                  <c:pt idx="21">
                    <c:v>Teori</c:v>
                  </c:pt>
                  <c:pt idx="22">
                    <c:v>Teori</c:v>
                  </c:pt>
                  <c:pt idx="23">
                    <c:v>Skill</c:v>
                  </c:pt>
                  <c:pt idx="24">
                    <c:v>Skill</c:v>
                  </c:pt>
                  <c:pt idx="25">
                    <c:v>Karakter</c:v>
                  </c:pt>
                  <c:pt idx="26">
                    <c:v>Teori</c:v>
                  </c:pt>
                  <c:pt idx="27">
                    <c:v>Nalar</c:v>
                  </c:pt>
                  <c:pt idx="28">
                    <c:v>Skill</c:v>
                  </c:pt>
                  <c:pt idx="29">
                    <c:v>Teori</c:v>
                  </c:pt>
                  <c:pt idx="30">
                    <c:v>Skill</c:v>
                  </c:pt>
                  <c:pt idx="31">
                    <c:v>Minat</c:v>
                  </c:pt>
                  <c:pt idx="32">
                    <c:v>Karakter</c:v>
                  </c:pt>
                  <c:pt idx="33">
                    <c:v>Teori</c:v>
                  </c:pt>
                  <c:pt idx="34">
                    <c:v>Nalar</c:v>
                  </c:pt>
                  <c:pt idx="35">
                    <c:v>Minat</c:v>
                  </c:pt>
                  <c:pt idx="36">
                    <c:v>Karakter</c:v>
                  </c:pt>
                  <c:pt idx="37">
                    <c:v>Teori</c:v>
                  </c:pt>
                  <c:pt idx="38">
                    <c:v>Nalar</c:v>
                  </c:pt>
                  <c:pt idx="39">
                    <c:v>Skill</c:v>
                  </c:pt>
                  <c:pt idx="40">
                    <c:v>Minat</c:v>
                  </c:pt>
                  <c:pt idx="41">
                    <c:v>Karakter</c:v>
                  </c:pt>
                  <c:pt idx="42">
                    <c:v>Teori</c:v>
                  </c:pt>
                  <c:pt idx="43">
                    <c:v>Nalar</c:v>
                  </c:pt>
                  <c:pt idx="44">
                    <c:v>Minat</c:v>
                  </c:pt>
                  <c:pt idx="45">
                    <c:v>Karakter</c:v>
                  </c:pt>
                  <c:pt idx="46">
                    <c:v>Teori</c:v>
                  </c:pt>
                  <c:pt idx="47">
                    <c:v>Nalar</c:v>
                  </c:pt>
                  <c:pt idx="48">
                    <c:v>Karakter</c:v>
                  </c:pt>
                  <c:pt idx="49">
                    <c:v>Teori</c:v>
                  </c:pt>
                  <c:pt idx="50">
                    <c:v>Skill</c:v>
                  </c:pt>
                  <c:pt idx="51">
                    <c:v>Teori</c:v>
                  </c:pt>
                  <c:pt idx="52">
                    <c:v>Nalar</c:v>
                  </c:pt>
                  <c:pt idx="53">
                    <c:v>Skill</c:v>
                  </c:pt>
                  <c:pt idx="54">
                    <c:v>Teori</c:v>
                  </c:pt>
                  <c:pt idx="55">
                    <c:v>Karakter</c:v>
                  </c:pt>
                  <c:pt idx="56">
                    <c:v>Teori</c:v>
                  </c:pt>
                  <c:pt idx="57">
                    <c:v>Skill</c:v>
                  </c:pt>
                  <c:pt idx="58">
                    <c:v>Teori</c:v>
                  </c:pt>
                  <c:pt idx="59">
                    <c:v>Nalar</c:v>
                  </c:pt>
                  <c:pt idx="60">
                    <c:v>Skill</c:v>
                  </c:pt>
                </c:lvl>
                <c:lvl>
                  <c:pt idx="0">
                    <c:v>Jan</c:v>
                  </c:pt>
                  <c:pt idx="4">
                    <c:v>Feb</c:v>
                  </c:pt>
                  <c:pt idx="8">
                    <c:v>Jan</c:v>
                  </c:pt>
                  <c:pt idx="9">
                    <c:v>Jan</c:v>
                  </c:pt>
                  <c:pt idx="14">
                    <c:v>Feb</c:v>
                  </c:pt>
                  <c:pt idx="17">
                    <c:v>Jan</c:v>
                  </c:pt>
                  <c:pt idx="19">
                    <c:v>Feb</c:v>
                  </c:pt>
                  <c:pt idx="20">
                    <c:v>Jan</c:v>
                  </c:pt>
                  <c:pt idx="22">
                    <c:v>Feb</c:v>
                  </c:pt>
                  <c:pt idx="23">
                    <c:v>Jan</c:v>
                  </c:pt>
                  <c:pt idx="24">
                    <c:v>Feb</c:v>
                  </c:pt>
                  <c:pt idx="25">
                    <c:v>Jan</c:v>
                  </c:pt>
                  <c:pt idx="29">
                    <c:v>Feb</c:v>
                  </c:pt>
                  <c:pt idx="31">
                    <c:v>Jan</c:v>
                  </c:pt>
                  <c:pt idx="35">
                    <c:v>Feb</c:v>
                  </c:pt>
                  <c:pt idx="40">
                    <c:v>Jan</c:v>
                  </c:pt>
                  <c:pt idx="44">
                    <c:v>Feb</c:v>
                  </c:pt>
                  <c:pt idx="48">
                    <c:v>Jan</c:v>
                  </c:pt>
                  <c:pt idx="51">
                    <c:v>Feb</c:v>
                  </c:pt>
                  <c:pt idx="54">
                    <c:v>Feb</c:v>
                  </c:pt>
                  <c:pt idx="55">
                    <c:v>Jan</c:v>
                  </c:pt>
                  <c:pt idx="58">
                    <c:v>Feb</c:v>
                  </c:pt>
                </c:lvl>
                <c:lvl>
                  <c:pt idx="0">
                    <c:v>B.Indo</c:v>
                  </c:pt>
                  <c:pt idx="8">
                    <c:v>Biologi</c:v>
                  </c:pt>
                  <c:pt idx="9">
                    <c:v>TIK</c:v>
                  </c:pt>
                  <c:pt idx="17">
                    <c:v>Kimia</c:v>
                  </c:pt>
                  <c:pt idx="20">
                    <c:v>Math</c:v>
                  </c:pt>
                  <c:pt idx="23">
                    <c:v>Kopi</c:v>
                  </c:pt>
                  <c:pt idx="25">
                    <c:v>B.Ing</c:v>
                  </c:pt>
                  <c:pt idx="31">
                    <c:v>Pancasila</c:v>
                  </c:pt>
                  <c:pt idx="40">
                    <c:v>Sejarah</c:v>
                  </c:pt>
                  <c:pt idx="48">
                    <c:v>PKWU</c:v>
                  </c:pt>
                  <c:pt idx="54">
                    <c:v>Fisika</c:v>
                  </c:pt>
                  <c:pt idx="55">
                    <c:v>Tepung</c:v>
                  </c:pt>
                </c:lvl>
                <c:lvl>
                  <c:pt idx="0">
                    <c:v>11A</c:v>
                  </c:pt>
                </c:lvl>
              </c:multiLvlStrCache>
            </c:multiLvlStrRef>
          </c:cat>
          <c:val>
            <c:numRef>
              <c:f>'rerata nilai'!$AE$3:$AE$63</c:f>
              <c:numCache>
                <c:formatCode>_(* #,##0_);_(* \(#,##0\);_(* "-"_);_(@_)</c:formatCode>
                <c:ptCount val="61"/>
                <c:pt idx="0">
                  <c:v>65</c:v>
                </c:pt>
                <c:pt idx="1">
                  <c:v>65</c:v>
                </c:pt>
                <c:pt idx="2">
                  <c:v>65</c:v>
                </c:pt>
                <c:pt idx="3">
                  <c:v>65</c:v>
                </c:pt>
                <c:pt idx="4">
                  <c:v>65</c:v>
                </c:pt>
                <c:pt idx="5">
                  <c:v>65</c:v>
                </c:pt>
                <c:pt idx="6">
                  <c:v>65</c:v>
                </c:pt>
                <c:pt idx="7">
                  <c:v>65</c:v>
                </c:pt>
                <c:pt idx="8">
                  <c:v>65</c:v>
                </c:pt>
                <c:pt idx="9">
                  <c:v>65</c:v>
                </c:pt>
                <c:pt idx="10">
                  <c:v>65</c:v>
                </c:pt>
                <c:pt idx="11">
                  <c:v>65</c:v>
                </c:pt>
                <c:pt idx="12">
                  <c:v>65</c:v>
                </c:pt>
                <c:pt idx="13">
                  <c:v>65</c:v>
                </c:pt>
                <c:pt idx="14">
                  <c:v>65</c:v>
                </c:pt>
                <c:pt idx="15">
                  <c:v>65</c:v>
                </c:pt>
                <c:pt idx="16">
                  <c:v>65</c:v>
                </c:pt>
                <c:pt idx="17">
                  <c:v>65</c:v>
                </c:pt>
                <c:pt idx="18">
                  <c:v>65</c:v>
                </c:pt>
                <c:pt idx="19">
                  <c:v>65</c:v>
                </c:pt>
                <c:pt idx="20">
                  <c:v>65</c:v>
                </c:pt>
                <c:pt idx="21">
                  <c:v>65</c:v>
                </c:pt>
                <c:pt idx="22">
                  <c:v>65</c:v>
                </c:pt>
                <c:pt idx="23">
                  <c:v>65</c:v>
                </c:pt>
                <c:pt idx="24">
                  <c:v>65</c:v>
                </c:pt>
                <c:pt idx="25">
                  <c:v>65</c:v>
                </c:pt>
                <c:pt idx="26">
                  <c:v>65</c:v>
                </c:pt>
                <c:pt idx="27">
                  <c:v>65</c:v>
                </c:pt>
                <c:pt idx="28">
                  <c:v>65</c:v>
                </c:pt>
                <c:pt idx="29">
                  <c:v>65</c:v>
                </c:pt>
                <c:pt idx="30">
                  <c:v>65</c:v>
                </c:pt>
                <c:pt idx="31">
                  <c:v>65</c:v>
                </c:pt>
                <c:pt idx="32">
                  <c:v>65</c:v>
                </c:pt>
                <c:pt idx="33">
                  <c:v>65</c:v>
                </c:pt>
                <c:pt idx="34">
                  <c:v>65</c:v>
                </c:pt>
                <c:pt idx="35">
                  <c:v>65</c:v>
                </c:pt>
                <c:pt idx="36">
                  <c:v>65</c:v>
                </c:pt>
                <c:pt idx="37">
                  <c:v>65</c:v>
                </c:pt>
                <c:pt idx="38">
                  <c:v>65</c:v>
                </c:pt>
                <c:pt idx="39">
                  <c:v>65</c:v>
                </c:pt>
                <c:pt idx="40">
                  <c:v>65</c:v>
                </c:pt>
                <c:pt idx="41">
                  <c:v>65</c:v>
                </c:pt>
                <c:pt idx="42">
                  <c:v>65</c:v>
                </c:pt>
                <c:pt idx="43">
                  <c:v>65</c:v>
                </c:pt>
                <c:pt idx="44">
                  <c:v>65</c:v>
                </c:pt>
                <c:pt idx="45">
                  <c:v>65</c:v>
                </c:pt>
                <c:pt idx="46">
                  <c:v>65</c:v>
                </c:pt>
                <c:pt idx="47">
                  <c:v>65</c:v>
                </c:pt>
                <c:pt idx="48">
                  <c:v>65</c:v>
                </c:pt>
                <c:pt idx="49">
                  <c:v>65</c:v>
                </c:pt>
                <c:pt idx="50">
                  <c:v>65</c:v>
                </c:pt>
                <c:pt idx="51">
                  <c:v>65</c:v>
                </c:pt>
                <c:pt idx="52">
                  <c:v>65</c:v>
                </c:pt>
                <c:pt idx="53">
                  <c:v>65</c:v>
                </c:pt>
                <c:pt idx="54">
                  <c:v>65</c:v>
                </c:pt>
                <c:pt idx="55">
                  <c:v>65</c:v>
                </c:pt>
                <c:pt idx="56">
                  <c:v>65</c:v>
                </c:pt>
                <c:pt idx="57">
                  <c:v>65</c:v>
                </c:pt>
                <c:pt idx="58">
                  <c:v>65</c:v>
                </c:pt>
                <c:pt idx="59">
                  <c:v>65</c:v>
                </c:pt>
                <c:pt idx="60">
                  <c:v>65</c:v>
                </c:pt>
              </c:numCache>
            </c:numRef>
          </c:val>
          <c:smooth val="0"/>
          <c:extLst>
            <c:ext xmlns:c16="http://schemas.microsoft.com/office/drawing/2014/chart" uri="{C3380CC4-5D6E-409C-BE32-E72D297353CC}">
              <c16:uniqueId val="{00000001-143C-2241-B991-29A78DFAA41B}"/>
            </c:ext>
          </c:extLst>
        </c:ser>
        <c:dLbls>
          <c:showLegendKey val="0"/>
          <c:showVal val="0"/>
          <c:showCatName val="0"/>
          <c:showSerName val="0"/>
          <c:showPercent val="0"/>
          <c:showBubbleSize val="0"/>
        </c:dLbls>
        <c:marker val="1"/>
        <c:smooth val="0"/>
        <c:axId val="-2116900656"/>
        <c:axId val="-2116907184"/>
      </c:lineChart>
      <c:catAx>
        <c:axId val="-211690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id-ID"/>
          </a:p>
        </c:txPr>
        <c:crossAx val="-2116907184"/>
        <c:crosses val="autoZero"/>
        <c:auto val="1"/>
        <c:lblAlgn val="ctr"/>
        <c:lblOffset val="100"/>
        <c:noMultiLvlLbl val="0"/>
      </c:catAx>
      <c:valAx>
        <c:axId val="-2116907184"/>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id-ID"/>
          </a:p>
        </c:txPr>
        <c:crossAx val="-211690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[TDU_SMA_2526_S2.xlsx]rerata siswa!PivotTable15</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a:t>Rerata Nilai Siswa</a:t>
            </a:r>
            <a:endParaRPr lang="en-US" sz="2000" baseline="0"/>
          </a:p>
          <a:p>
            <a:pPr>
              <a:defRPr sz="2000"/>
            </a:pPr>
            <a:r>
              <a:rPr lang="en-US" sz="2000" baseline="0"/>
              <a:t>SMA SAI</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'rerata siswa'!$E$3:$E$4</c:f>
              <c:strCache>
                <c:ptCount val="1"/>
                <c:pt idx="0">
                  <c:v>Average of Nilai2</c:v>
                </c:pt>
              </c:strCache>
            </c:strRef>
          </c:tx>
          <c:spPr>
            <a:solidFill>
              <a:schemeClr val="accent1"/>
            </a:solidFill>
            <a:ln>
              <a:noFill/>
            </a:ln>
            <a:effectLst/>
          </c:spPr>
          <c:invertIfNegative val="0"/>
          <c:cat>
            <c:multiLvlStrRef>
              <c:f>'rerata siswa'!$A$5:$D$27</c:f>
              <c:multiLvlStrCache>
                <c:ptCount val="23"/>
                <c:lvl>
                  <c:pt idx="0">
                    <c:v>Jan</c:v>
                  </c:pt>
                  <c:pt idx="1">
                    <c:v>Feb</c:v>
                  </c:pt>
                  <c:pt idx="2">
                    <c:v>Jan</c:v>
                  </c:pt>
                  <c:pt idx="3">
                    <c:v>Feb</c:v>
                  </c:pt>
                  <c:pt idx="4">
                    <c:v>Jan</c:v>
                  </c:pt>
                  <c:pt idx="5">
                    <c:v>Feb</c:v>
                  </c:pt>
                  <c:pt idx="6">
                    <c:v>Jan</c:v>
                  </c:pt>
                  <c:pt idx="7">
                    <c:v>Feb</c:v>
                  </c:pt>
                  <c:pt idx="8">
                    <c:v>Jan</c:v>
                  </c:pt>
                  <c:pt idx="9">
                    <c:v>Feb</c:v>
                  </c:pt>
                  <c:pt idx="10">
                    <c:v>Jan</c:v>
                  </c:pt>
                  <c:pt idx="11">
                    <c:v>Feb</c:v>
                  </c:pt>
                  <c:pt idx="12">
                    <c:v>Jan</c:v>
                  </c:pt>
                  <c:pt idx="13">
                    <c:v>Feb</c:v>
                  </c:pt>
                  <c:pt idx="14">
                    <c:v>Jan</c:v>
                  </c:pt>
                  <c:pt idx="15">
                    <c:v>Feb</c:v>
                  </c:pt>
                  <c:pt idx="16">
                    <c:v>Jan</c:v>
                  </c:pt>
                  <c:pt idx="17">
                    <c:v>Feb</c:v>
                  </c:pt>
                  <c:pt idx="18">
                    <c:v>Jan</c:v>
                  </c:pt>
                  <c:pt idx="19">
                    <c:v>Feb</c:v>
                  </c:pt>
                  <c:pt idx="20">
                    <c:v>Jan</c:v>
                  </c:pt>
                  <c:pt idx="21">
                    <c:v>Feb</c:v>
                  </c:pt>
                  <c:pt idx="22">
                    <c:v>Jan</c:v>
                  </c:pt>
                </c:lvl>
                <c:lvl>
                  <c:pt idx="0">
                    <c:v>Math</c:v>
                  </c:pt>
                  <c:pt idx="2">
                    <c:v>Math</c:v>
                  </c:pt>
                  <c:pt idx="4">
                    <c:v>Math</c:v>
                  </c:pt>
                  <c:pt idx="6">
                    <c:v>Math</c:v>
                  </c:pt>
                  <c:pt idx="8">
                    <c:v>Math</c:v>
                  </c:pt>
                  <c:pt idx="10">
                    <c:v>Math</c:v>
                  </c:pt>
                  <c:pt idx="12">
                    <c:v>Math</c:v>
                  </c:pt>
                  <c:pt idx="14">
                    <c:v>Math</c:v>
                  </c:pt>
                  <c:pt idx="16">
                    <c:v>Math</c:v>
                  </c:pt>
                  <c:pt idx="18">
                    <c:v>Math</c:v>
                  </c:pt>
                  <c:pt idx="20">
                    <c:v>Math</c:v>
                  </c:pt>
                  <c:pt idx="22">
                    <c:v>Math</c:v>
                  </c:pt>
                </c:lvl>
                <c:lvl>
                  <c:pt idx="0">
                    <c:v>Agustinus Tipagau</c:v>
                  </c:pt>
                  <c:pt idx="2">
                    <c:v>Apia Miagoni</c:v>
                  </c:pt>
                  <c:pt idx="4">
                    <c:v>Etty Ebrata Holombau</c:v>
                  </c:pt>
                  <c:pt idx="6">
                    <c:v>Jonias Bagau</c:v>
                  </c:pt>
                  <c:pt idx="8">
                    <c:v>Jupiten Bagau</c:v>
                  </c:pt>
                  <c:pt idx="10">
                    <c:v>Lince Tigi</c:v>
                  </c:pt>
                  <c:pt idx="12">
                    <c:v>Lovin Miagoni</c:v>
                  </c:pt>
                  <c:pt idx="14">
                    <c:v>Onance Mbaguau</c:v>
                  </c:pt>
                  <c:pt idx="16">
                    <c:v>Roison Sondegau</c:v>
                  </c:pt>
                  <c:pt idx="18">
                    <c:v>Wenes Tapani</c:v>
                  </c:pt>
                  <c:pt idx="20">
                    <c:v>Yoas Bagau</c:v>
                  </c:pt>
                  <c:pt idx="22">
                    <c:v>Yohanes Bagau </c:v>
                  </c:pt>
                </c:lvl>
                <c:lvl>
                  <c:pt idx="0">
                    <c:v>11A</c:v>
                  </c:pt>
                </c:lvl>
              </c:multiLvlStrCache>
            </c:multiLvlStrRef>
          </c:cat>
          <c:val>
            <c:numRef>
              <c:f>'rerata siswa'!$E$5:$E$27</c:f>
              <c:numCache>
                <c:formatCode>_(* #,##0_);_(* \(#,##0\);_(* "-"_);_(@_)</c:formatCode>
                <c:ptCount val="23"/>
                <c:pt idx="0">
                  <c:v>68</c:v>
                </c:pt>
                <c:pt idx="1">
                  <c:v>81.400000000000006</c:v>
                </c:pt>
                <c:pt idx="2">
                  <c:v>69</c:v>
                </c:pt>
                <c:pt idx="3">
                  <c:v>73.2</c:v>
                </c:pt>
                <c:pt idx="4">
                  <c:v>67.222222222222229</c:v>
                </c:pt>
                <c:pt idx="5">
                  <c:v>82.6</c:v>
                </c:pt>
                <c:pt idx="6">
                  <c:v>55</c:v>
                </c:pt>
                <c:pt idx="7">
                  <c:v>73.599999999999994</c:v>
                </c:pt>
                <c:pt idx="8">
                  <c:v>47.857142857142854</c:v>
                </c:pt>
                <c:pt idx="9">
                  <c:v>63.6</c:v>
                </c:pt>
                <c:pt idx="10">
                  <c:v>83.888888888888886</c:v>
                </c:pt>
                <c:pt idx="11">
                  <c:v>89.6</c:v>
                </c:pt>
                <c:pt idx="12">
                  <c:v>58.75</c:v>
                </c:pt>
                <c:pt idx="13">
                  <c:v>30</c:v>
                </c:pt>
                <c:pt idx="14">
                  <c:v>70</c:v>
                </c:pt>
                <c:pt idx="15">
                  <c:v>65</c:v>
                </c:pt>
                <c:pt idx="16">
                  <c:v>70</c:v>
                </c:pt>
                <c:pt idx="17">
                  <c:v>76.8</c:v>
                </c:pt>
                <c:pt idx="18">
                  <c:v>65.111111111111114</c:v>
                </c:pt>
                <c:pt idx="19">
                  <c:v>66.2</c:v>
                </c:pt>
                <c:pt idx="20">
                  <c:v>51.428571428571431</c:v>
                </c:pt>
                <c:pt idx="21">
                  <c:v>75.8</c:v>
                </c:pt>
                <c:pt idx="22">
                  <c:v>70</c:v>
                </c:pt>
              </c:numCache>
            </c:numRef>
          </c:val>
          <c:extLst>
            <c:ext xmlns:c16="http://schemas.microsoft.com/office/drawing/2014/chart" uri="{C3380CC4-5D6E-409C-BE32-E72D297353CC}">
              <c16:uniqueId val="{00000005-EF50-4E49-BCE9-1BF70C875562}"/>
            </c:ext>
          </c:extLst>
        </c:ser>
        <c:dLbls>
          <c:showLegendKey val="0"/>
          <c:showVal val="0"/>
          <c:showCatName val="0"/>
          <c:showSerName val="0"/>
          <c:showPercent val="0"/>
          <c:showBubbleSize val="0"/>
        </c:dLbls>
        <c:gapWidth val="219"/>
        <c:axId val="-2116902288"/>
        <c:axId val="-2116903376"/>
      </c:barChart>
      <c:lineChart>
        <c:grouping val="standard"/>
        <c:varyColors val="0"/>
        <c:ser>
          <c:idx val="1"/>
          <c:order val="1"/>
          <c:tx>
            <c:strRef>
              <c:f>'rerata siswa'!$F$3:$F$4</c:f>
              <c:strCache>
                <c:ptCount val="1"/>
                <c:pt idx="0">
                  <c:v>Average of KKM</c:v>
                </c:pt>
              </c:strCache>
            </c:strRef>
          </c:tx>
          <c:spPr>
            <a:ln w="28575" cap="rnd">
              <a:solidFill>
                <a:schemeClr val="accent2"/>
              </a:solidFill>
              <a:round/>
            </a:ln>
            <a:effectLst/>
          </c:spPr>
          <c:marker>
            <c:symbol val="none"/>
          </c:marker>
          <c:cat>
            <c:multiLvlStrRef>
              <c:f>'rerata siswa'!$A$5:$D$27</c:f>
              <c:multiLvlStrCache>
                <c:ptCount val="23"/>
                <c:lvl>
                  <c:pt idx="0">
                    <c:v>Jan</c:v>
                  </c:pt>
                  <c:pt idx="1">
                    <c:v>Feb</c:v>
                  </c:pt>
                  <c:pt idx="2">
                    <c:v>Jan</c:v>
                  </c:pt>
                  <c:pt idx="3">
                    <c:v>Feb</c:v>
                  </c:pt>
                  <c:pt idx="4">
                    <c:v>Jan</c:v>
                  </c:pt>
                  <c:pt idx="5">
                    <c:v>Feb</c:v>
                  </c:pt>
                  <c:pt idx="6">
                    <c:v>Jan</c:v>
                  </c:pt>
                  <c:pt idx="7">
                    <c:v>Feb</c:v>
                  </c:pt>
                  <c:pt idx="8">
                    <c:v>Jan</c:v>
                  </c:pt>
                  <c:pt idx="9">
                    <c:v>Feb</c:v>
                  </c:pt>
                  <c:pt idx="10">
                    <c:v>Jan</c:v>
                  </c:pt>
                  <c:pt idx="11">
                    <c:v>Feb</c:v>
                  </c:pt>
                  <c:pt idx="12">
                    <c:v>Jan</c:v>
                  </c:pt>
                  <c:pt idx="13">
                    <c:v>Feb</c:v>
                  </c:pt>
                  <c:pt idx="14">
                    <c:v>Jan</c:v>
                  </c:pt>
                  <c:pt idx="15">
                    <c:v>Feb</c:v>
                  </c:pt>
                  <c:pt idx="16">
                    <c:v>Jan</c:v>
                  </c:pt>
                  <c:pt idx="17">
                    <c:v>Feb</c:v>
                  </c:pt>
                  <c:pt idx="18">
                    <c:v>Jan</c:v>
                  </c:pt>
                  <c:pt idx="19">
                    <c:v>Feb</c:v>
                  </c:pt>
                  <c:pt idx="20">
                    <c:v>Jan</c:v>
                  </c:pt>
                  <c:pt idx="21">
                    <c:v>Feb</c:v>
                  </c:pt>
                  <c:pt idx="22">
                    <c:v>Jan</c:v>
                  </c:pt>
                </c:lvl>
                <c:lvl>
                  <c:pt idx="0">
                    <c:v>Math</c:v>
                  </c:pt>
                  <c:pt idx="2">
                    <c:v>Math</c:v>
                  </c:pt>
                  <c:pt idx="4">
                    <c:v>Math</c:v>
                  </c:pt>
                  <c:pt idx="6">
                    <c:v>Math</c:v>
                  </c:pt>
                  <c:pt idx="8">
                    <c:v>Math</c:v>
                  </c:pt>
                  <c:pt idx="10">
                    <c:v>Math</c:v>
                  </c:pt>
                  <c:pt idx="12">
                    <c:v>Math</c:v>
                  </c:pt>
                  <c:pt idx="14">
                    <c:v>Math</c:v>
                  </c:pt>
                  <c:pt idx="16">
                    <c:v>Math</c:v>
                  </c:pt>
                  <c:pt idx="18">
                    <c:v>Math</c:v>
                  </c:pt>
                  <c:pt idx="20">
                    <c:v>Math</c:v>
                  </c:pt>
                  <c:pt idx="22">
                    <c:v>Math</c:v>
                  </c:pt>
                </c:lvl>
                <c:lvl>
                  <c:pt idx="0">
                    <c:v>Agustinus Tipagau</c:v>
                  </c:pt>
                  <c:pt idx="2">
                    <c:v>Apia Miagoni</c:v>
                  </c:pt>
                  <c:pt idx="4">
                    <c:v>Etty Ebrata Holombau</c:v>
                  </c:pt>
                  <c:pt idx="6">
                    <c:v>Jonias Bagau</c:v>
                  </c:pt>
                  <c:pt idx="8">
                    <c:v>Jupiten Bagau</c:v>
                  </c:pt>
                  <c:pt idx="10">
                    <c:v>Lince Tigi</c:v>
                  </c:pt>
                  <c:pt idx="12">
                    <c:v>Lovin Miagoni</c:v>
                  </c:pt>
                  <c:pt idx="14">
                    <c:v>Onance Mbaguau</c:v>
                  </c:pt>
                  <c:pt idx="16">
                    <c:v>Roison Sondegau</c:v>
                  </c:pt>
                  <c:pt idx="18">
                    <c:v>Wenes Tapani</c:v>
                  </c:pt>
                  <c:pt idx="20">
                    <c:v>Yoas Bagau</c:v>
                  </c:pt>
                  <c:pt idx="22">
                    <c:v>Yohanes Bagau </c:v>
                  </c:pt>
                </c:lvl>
                <c:lvl>
                  <c:pt idx="0">
                    <c:v>11A</c:v>
                  </c:pt>
                </c:lvl>
              </c:multiLvlStrCache>
            </c:multiLvlStrRef>
          </c:cat>
          <c:val>
            <c:numRef>
              <c:f>'rerata siswa'!$F$5:$F$27</c:f>
              <c:numCache>
                <c:formatCode>_(* #,##0_);_(* \(#,##0\);_(* "-"_);_(@_)</c:formatCode>
                <c:ptCount val="23"/>
                <c:pt idx="0">
                  <c:v>65</c:v>
                </c:pt>
                <c:pt idx="1">
                  <c:v>65</c:v>
                </c:pt>
                <c:pt idx="2">
                  <c:v>65</c:v>
                </c:pt>
                <c:pt idx="3">
                  <c:v>65</c:v>
                </c:pt>
                <c:pt idx="4">
                  <c:v>65</c:v>
                </c:pt>
                <c:pt idx="5">
                  <c:v>65</c:v>
                </c:pt>
                <c:pt idx="6">
                  <c:v>65</c:v>
                </c:pt>
                <c:pt idx="7">
                  <c:v>65</c:v>
                </c:pt>
                <c:pt idx="8">
                  <c:v>65</c:v>
                </c:pt>
                <c:pt idx="9">
                  <c:v>65</c:v>
                </c:pt>
                <c:pt idx="10">
                  <c:v>65</c:v>
                </c:pt>
                <c:pt idx="11">
                  <c:v>65</c:v>
                </c:pt>
                <c:pt idx="12">
                  <c:v>65</c:v>
                </c:pt>
                <c:pt idx="13">
                  <c:v>65</c:v>
                </c:pt>
                <c:pt idx="14">
                  <c:v>65</c:v>
                </c:pt>
                <c:pt idx="15">
                  <c:v>65</c:v>
                </c:pt>
                <c:pt idx="16">
                  <c:v>65</c:v>
                </c:pt>
                <c:pt idx="17">
                  <c:v>65</c:v>
                </c:pt>
                <c:pt idx="18">
                  <c:v>65</c:v>
                </c:pt>
                <c:pt idx="19">
                  <c:v>65</c:v>
                </c:pt>
                <c:pt idx="20">
                  <c:v>65</c:v>
                </c:pt>
                <c:pt idx="21">
                  <c:v>65</c:v>
                </c:pt>
                <c:pt idx="22">
                  <c:v>65</c:v>
                </c:pt>
              </c:numCache>
            </c:numRef>
          </c:val>
          <c:smooth val="0"/>
          <c:extLst>
            <c:ext xmlns:c16="http://schemas.microsoft.com/office/drawing/2014/chart" uri="{C3380CC4-5D6E-409C-BE32-E72D297353CC}">
              <c16:uniqueId val="{00000006-EF50-4E49-BCE9-1BF70C875562}"/>
            </c:ext>
          </c:extLst>
        </c:ser>
        <c:dLbls>
          <c:showLegendKey val="0"/>
          <c:showVal val="0"/>
          <c:showCatName val="0"/>
          <c:showSerName val="0"/>
          <c:showPercent val="0"/>
          <c:showBubbleSize val="0"/>
        </c:dLbls>
        <c:marker val="1"/>
        <c:smooth val="0"/>
        <c:axId val="-2116902288"/>
        <c:axId val="-2116903376"/>
      </c:lineChart>
      <c:catAx>
        <c:axId val="-211690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crossAx val="-2116903376"/>
        <c:crosses val="autoZero"/>
        <c:auto val="1"/>
        <c:lblAlgn val="ctr"/>
        <c:lblOffset val="100"/>
        <c:noMultiLvlLbl val="0"/>
      </c:catAx>
      <c:valAx>
        <c:axId val="-2116903376"/>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crossAx val="-2116902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[TDU_SMA_2526_S2.xlsx]rerata siswa!PivotTable2</c:name>
    <c:fmtId val="0"/>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a:t>Rerata Nilai STNK Siswa per Mapel</a:t>
            </a:r>
          </a:p>
          <a:p>
            <a:pPr>
              <a:defRPr sz="1800"/>
            </a:pPr>
            <a:r>
              <a:rPr lang="en-US" sz="1800"/>
              <a:t>SMA SAI</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'rerata siswa'!$AI$1:$AI$2</c:f>
              <c:strCache>
                <c:ptCount val="1"/>
                <c:pt idx="0">
                  <c:v>Average of Nilai2</c:v>
                </c:pt>
              </c:strCache>
            </c:strRef>
          </c:tx>
          <c:spPr>
            <a:solidFill>
              <a:schemeClr val="accent1"/>
            </a:solidFill>
            <a:ln>
              <a:noFill/>
            </a:ln>
            <a:effectLst/>
          </c:spPr>
          <c:invertIfNegative val="0"/>
          <c:cat>
            <c:multiLvlStrRef>
              <c:f>'rerata siswa'!$AC$3:$AH$391</c:f>
              <c:multiLvlStrCache>
                <c:ptCount val="389"/>
                <c:lvl>
                  <c:pt idx="0">
                    <c:v>Jan</c:v>
                  </c:pt>
                  <c:pt idx="1">
                    <c:v>Feb</c:v>
                  </c:pt>
                  <c:pt idx="2">
                    <c:v>Jan</c:v>
                  </c:pt>
                  <c:pt idx="3">
                    <c:v>Feb</c:v>
                  </c:pt>
                  <c:pt idx="4">
                    <c:v>Jan</c:v>
                  </c:pt>
                  <c:pt idx="5">
                    <c:v>Feb</c:v>
                  </c:pt>
                  <c:pt idx="6">
                    <c:v>Jan</c:v>
                  </c:pt>
                  <c:pt idx="7">
                    <c:v>Jan</c:v>
                  </c:pt>
                  <c:pt idx="8">
                    <c:v>Feb</c:v>
                  </c:pt>
                  <c:pt idx="9">
                    <c:v>Jan</c:v>
                  </c:pt>
                  <c:pt idx="10">
                    <c:v>Jan</c:v>
                  </c:pt>
                  <c:pt idx="11">
                    <c:v>Jan</c:v>
                  </c:pt>
                  <c:pt idx="12">
                    <c:v>Jan</c:v>
                  </c:pt>
                  <c:pt idx="13">
                    <c:v>Feb</c:v>
                  </c:pt>
                  <c:pt idx="14">
                    <c:v>Jan</c:v>
                  </c:pt>
                  <c:pt idx="15">
                    <c:v>Feb</c:v>
                  </c:pt>
                  <c:pt idx="16">
                    <c:v>Jan</c:v>
                  </c:pt>
                  <c:pt idx="17">
                    <c:v>Jan</c:v>
                  </c:pt>
                  <c:pt idx="18">
                    <c:v>Feb</c:v>
                  </c:pt>
                  <c:pt idx="19">
                    <c:v>Feb</c:v>
                  </c:pt>
                  <c:pt idx="20">
                    <c:v>Jan</c:v>
                  </c:pt>
                  <c:pt idx="21">
                    <c:v>Jan</c:v>
                  </c:pt>
                  <c:pt idx="22">
                    <c:v>Jan</c:v>
                  </c:pt>
                  <c:pt idx="23">
                    <c:v>Jan</c:v>
                  </c:pt>
                  <c:pt idx="24">
                    <c:v>Feb</c:v>
                  </c:pt>
                  <c:pt idx="25">
                    <c:v>Jan</c:v>
                  </c:pt>
                  <c:pt idx="26">
                    <c:v>Feb</c:v>
                  </c:pt>
                  <c:pt idx="27">
                    <c:v>Jan</c:v>
                  </c:pt>
                  <c:pt idx="28">
                    <c:v>Jan</c:v>
                  </c:pt>
                  <c:pt idx="29">
                    <c:v>Jan</c:v>
                  </c:pt>
                  <c:pt idx="30">
                    <c:v>Jan</c:v>
                  </c:pt>
                  <c:pt idx="31">
                    <c:v>Feb</c:v>
                  </c:pt>
                  <c:pt idx="32">
                    <c:v>Jan</c:v>
                  </c:pt>
                  <c:pt idx="33">
                    <c:v>Feb</c:v>
                  </c:pt>
                  <c:pt idx="34">
                    <c:v>Jan</c:v>
                  </c:pt>
                  <c:pt idx="35">
                    <c:v>Feb</c:v>
                  </c:pt>
                  <c:pt idx="36">
                    <c:v>Jan</c:v>
                  </c:pt>
                  <c:pt idx="37">
                    <c:v>Feb</c:v>
                  </c:pt>
                  <c:pt idx="38">
                    <c:v>Jan</c:v>
                  </c:pt>
                  <c:pt idx="39">
                    <c:v>Feb</c:v>
                  </c:pt>
                  <c:pt idx="40">
                    <c:v>Jan</c:v>
                  </c:pt>
                  <c:pt idx="41">
                    <c:v>Jan</c:v>
                  </c:pt>
                  <c:pt idx="42">
                    <c:v>Feb</c:v>
                  </c:pt>
                  <c:pt idx="43">
                    <c:v>Jan</c:v>
                  </c:pt>
                  <c:pt idx="44">
                    <c:v>Jan</c:v>
                  </c:pt>
                  <c:pt idx="45">
                    <c:v>Jan</c:v>
                  </c:pt>
                  <c:pt idx="46">
                    <c:v>Jan</c:v>
                  </c:pt>
                  <c:pt idx="47">
                    <c:v>Feb</c:v>
                  </c:pt>
                  <c:pt idx="48">
                    <c:v>Jan</c:v>
                  </c:pt>
                  <c:pt idx="49">
                    <c:v>Feb</c:v>
                  </c:pt>
                  <c:pt idx="50">
                    <c:v>Jan</c:v>
                  </c:pt>
                  <c:pt idx="51">
                    <c:v>Jan</c:v>
                  </c:pt>
                  <c:pt idx="52">
                    <c:v>Feb</c:v>
                  </c:pt>
                  <c:pt idx="53">
                    <c:v>Feb</c:v>
                  </c:pt>
                  <c:pt idx="54">
                    <c:v>Jan</c:v>
                  </c:pt>
                  <c:pt idx="55">
                    <c:v>Jan</c:v>
                  </c:pt>
                  <c:pt idx="56">
                    <c:v>Jan</c:v>
                  </c:pt>
                  <c:pt idx="57">
                    <c:v>Jan</c:v>
                  </c:pt>
                  <c:pt idx="58">
                    <c:v>Feb</c:v>
                  </c:pt>
                  <c:pt idx="59">
                    <c:v>Jan</c:v>
                  </c:pt>
                  <c:pt idx="60">
                    <c:v>Jan</c:v>
                  </c:pt>
                  <c:pt idx="61">
                    <c:v>Jan</c:v>
                  </c:pt>
                  <c:pt idx="62">
                    <c:v>Feb</c:v>
                  </c:pt>
                  <c:pt idx="63">
                    <c:v>Jan</c:v>
                  </c:pt>
                  <c:pt idx="64">
                    <c:v>Jan</c:v>
                  </c:pt>
                  <c:pt idx="65">
                    <c:v>Jan</c:v>
                  </c:pt>
                  <c:pt idx="66">
                    <c:v>Feb</c:v>
                  </c:pt>
                  <c:pt idx="67">
                    <c:v>Jan</c:v>
                  </c:pt>
                  <c:pt idx="68">
                    <c:v>Feb</c:v>
                  </c:pt>
                  <c:pt idx="69">
                    <c:v>Jan</c:v>
                  </c:pt>
                  <c:pt idx="70">
                    <c:v>Feb</c:v>
                  </c:pt>
                  <c:pt idx="71">
                    <c:v>Jan</c:v>
                  </c:pt>
                  <c:pt idx="72">
                    <c:v>Feb</c:v>
                  </c:pt>
                  <c:pt idx="73">
                    <c:v>Jan</c:v>
                  </c:pt>
                  <c:pt idx="74">
                    <c:v>Jan</c:v>
                  </c:pt>
                  <c:pt idx="75">
                    <c:v>Feb</c:v>
                  </c:pt>
                  <c:pt idx="76">
                    <c:v>Jan</c:v>
                  </c:pt>
                  <c:pt idx="77">
                    <c:v>Jan</c:v>
                  </c:pt>
                  <c:pt idx="78">
                    <c:v>Jan</c:v>
                  </c:pt>
                  <c:pt idx="79">
                    <c:v>Jan</c:v>
                  </c:pt>
                  <c:pt idx="80">
                    <c:v>Feb</c:v>
                  </c:pt>
                  <c:pt idx="81">
                    <c:v>Jan</c:v>
                  </c:pt>
                  <c:pt idx="82">
                    <c:v>Feb</c:v>
                  </c:pt>
                  <c:pt idx="83">
                    <c:v>Jan</c:v>
                  </c:pt>
                  <c:pt idx="84">
                    <c:v>Jan</c:v>
                  </c:pt>
                  <c:pt idx="85">
                    <c:v>Feb</c:v>
                  </c:pt>
                  <c:pt idx="86">
                    <c:v>Feb</c:v>
                  </c:pt>
                  <c:pt idx="87">
                    <c:v>Jan</c:v>
                  </c:pt>
                  <c:pt idx="88">
                    <c:v>Jan</c:v>
                  </c:pt>
                  <c:pt idx="89">
                    <c:v>Jan</c:v>
                  </c:pt>
                  <c:pt idx="90">
                    <c:v>Jan</c:v>
                  </c:pt>
                  <c:pt idx="91">
                    <c:v>Feb</c:v>
                  </c:pt>
                  <c:pt idx="92">
                    <c:v>Jan</c:v>
                  </c:pt>
                  <c:pt idx="93">
                    <c:v>Jan</c:v>
                  </c:pt>
                  <c:pt idx="94">
                    <c:v>Jan</c:v>
                  </c:pt>
                  <c:pt idx="95">
                    <c:v>Feb</c:v>
                  </c:pt>
                  <c:pt idx="96">
                    <c:v>Jan</c:v>
                  </c:pt>
                  <c:pt idx="97">
                    <c:v>Jan</c:v>
                  </c:pt>
                  <c:pt idx="98">
                    <c:v>Jan</c:v>
                  </c:pt>
                  <c:pt idx="99">
                    <c:v>Feb</c:v>
                  </c:pt>
                  <c:pt idx="100">
                    <c:v>Jan</c:v>
                  </c:pt>
                  <c:pt idx="101">
                    <c:v>Feb</c:v>
                  </c:pt>
                  <c:pt idx="102">
                    <c:v>Jan</c:v>
                  </c:pt>
                  <c:pt idx="103">
                    <c:v>Feb</c:v>
                  </c:pt>
                  <c:pt idx="104">
                    <c:v>Jan</c:v>
                  </c:pt>
                  <c:pt idx="105">
                    <c:v>Feb</c:v>
                  </c:pt>
                  <c:pt idx="106">
                    <c:v>Jan</c:v>
                  </c:pt>
                  <c:pt idx="107">
                    <c:v>Jan</c:v>
                  </c:pt>
                  <c:pt idx="108">
                    <c:v>Feb</c:v>
                  </c:pt>
                  <c:pt idx="109">
                    <c:v>Jan</c:v>
                  </c:pt>
                  <c:pt idx="110">
                    <c:v>Jan</c:v>
                  </c:pt>
                  <c:pt idx="111">
                    <c:v>Jan</c:v>
                  </c:pt>
                  <c:pt idx="112">
                    <c:v>Jan</c:v>
                  </c:pt>
                  <c:pt idx="113">
                    <c:v>Feb</c:v>
                  </c:pt>
                  <c:pt idx="114">
                    <c:v>Jan</c:v>
                  </c:pt>
                  <c:pt idx="115">
                    <c:v>Feb</c:v>
                  </c:pt>
                  <c:pt idx="116">
                    <c:v>Jan</c:v>
                  </c:pt>
                  <c:pt idx="117">
                    <c:v>Jan</c:v>
                  </c:pt>
                  <c:pt idx="118">
                    <c:v>Feb</c:v>
                  </c:pt>
                  <c:pt idx="119">
                    <c:v>Feb</c:v>
                  </c:pt>
                  <c:pt idx="120">
                    <c:v>Jan</c:v>
                  </c:pt>
                  <c:pt idx="121">
                    <c:v>Jan</c:v>
                  </c:pt>
                  <c:pt idx="122">
                    <c:v>Jan</c:v>
                  </c:pt>
                  <c:pt idx="123">
                    <c:v>Jan</c:v>
                  </c:pt>
                  <c:pt idx="124">
                    <c:v>Feb</c:v>
                  </c:pt>
                  <c:pt idx="125">
                    <c:v>Jan</c:v>
                  </c:pt>
                  <c:pt idx="126">
                    <c:v>Jan</c:v>
                  </c:pt>
                  <c:pt idx="127">
                    <c:v>Jan</c:v>
                  </c:pt>
                  <c:pt idx="128">
                    <c:v>Feb</c:v>
                  </c:pt>
                  <c:pt idx="129">
                    <c:v>Jan</c:v>
                  </c:pt>
                  <c:pt idx="130">
                    <c:v>Jan</c:v>
                  </c:pt>
                  <c:pt idx="131">
                    <c:v>Jan</c:v>
                  </c:pt>
                  <c:pt idx="132">
                    <c:v>Feb</c:v>
                  </c:pt>
                  <c:pt idx="133">
                    <c:v>Jan</c:v>
                  </c:pt>
                  <c:pt idx="134">
                    <c:v>Feb</c:v>
                  </c:pt>
                  <c:pt idx="135">
                    <c:v>Jan</c:v>
                  </c:pt>
                  <c:pt idx="136">
                    <c:v>Feb</c:v>
                  </c:pt>
                  <c:pt idx="137">
                    <c:v>Jan</c:v>
                  </c:pt>
                  <c:pt idx="138">
                    <c:v>Feb</c:v>
                  </c:pt>
                  <c:pt idx="139">
                    <c:v>Jan</c:v>
                  </c:pt>
                  <c:pt idx="140">
                    <c:v>Jan</c:v>
                  </c:pt>
                  <c:pt idx="141">
                    <c:v>Feb</c:v>
                  </c:pt>
                  <c:pt idx="142">
                    <c:v>Jan</c:v>
                  </c:pt>
                  <c:pt idx="143">
                    <c:v>Jan</c:v>
                  </c:pt>
                  <c:pt idx="144">
                    <c:v>Jan</c:v>
                  </c:pt>
                  <c:pt idx="145">
                    <c:v>Jan</c:v>
                  </c:pt>
                  <c:pt idx="146">
                    <c:v>Feb</c:v>
                  </c:pt>
                  <c:pt idx="147">
                    <c:v>Jan</c:v>
                  </c:pt>
                  <c:pt idx="148">
                    <c:v>Feb</c:v>
                  </c:pt>
                  <c:pt idx="149">
                    <c:v>Jan</c:v>
                  </c:pt>
                  <c:pt idx="150">
                    <c:v>Jan</c:v>
                  </c:pt>
                  <c:pt idx="151">
                    <c:v>Feb</c:v>
                  </c:pt>
                  <c:pt idx="152">
                    <c:v>Feb</c:v>
                  </c:pt>
                  <c:pt idx="153">
                    <c:v>Jan</c:v>
                  </c:pt>
                  <c:pt idx="154">
                    <c:v>Jan</c:v>
                  </c:pt>
                  <c:pt idx="155">
                    <c:v>Jan</c:v>
                  </c:pt>
                  <c:pt idx="156">
                    <c:v>Jan</c:v>
                  </c:pt>
                  <c:pt idx="157">
                    <c:v>Feb</c:v>
                  </c:pt>
                  <c:pt idx="158">
                    <c:v>Jan</c:v>
                  </c:pt>
                  <c:pt idx="159">
                    <c:v>Jan</c:v>
                  </c:pt>
                  <c:pt idx="160">
                    <c:v>Jan</c:v>
                  </c:pt>
                  <c:pt idx="161">
                    <c:v>Feb</c:v>
                  </c:pt>
                  <c:pt idx="162">
                    <c:v>Jan</c:v>
                  </c:pt>
                  <c:pt idx="163">
                    <c:v>Feb</c:v>
                  </c:pt>
                  <c:pt idx="164">
                    <c:v>Jan</c:v>
                  </c:pt>
                  <c:pt idx="165">
                    <c:v>Feb</c:v>
                  </c:pt>
                  <c:pt idx="166">
                    <c:v>Jan</c:v>
                  </c:pt>
                  <c:pt idx="167">
                    <c:v>Feb</c:v>
                  </c:pt>
                  <c:pt idx="168">
                    <c:v>Jan</c:v>
                  </c:pt>
                  <c:pt idx="169">
                    <c:v>Feb</c:v>
                  </c:pt>
                  <c:pt idx="170">
                    <c:v>Jan</c:v>
                  </c:pt>
                  <c:pt idx="171">
                    <c:v>Jan</c:v>
                  </c:pt>
                  <c:pt idx="172">
                    <c:v>Feb</c:v>
                  </c:pt>
                  <c:pt idx="173">
                    <c:v>Jan</c:v>
                  </c:pt>
                  <c:pt idx="174">
                    <c:v>Jan</c:v>
                  </c:pt>
                  <c:pt idx="175">
                    <c:v>Jan</c:v>
                  </c:pt>
                  <c:pt idx="176">
                    <c:v>Jan</c:v>
                  </c:pt>
                  <c:pt idx="177">
                    <c:v>Feb</c:v>
                  </c:pt>
                  <c:pt idx="178">
                    <c:v>Jan</c:v>
                  </c:pt>
                  <c:pt idx="179">
                    <c:v>Feb</c:v>
                  </c:pt>
                  <c:pt idx="180">
                    <c:v>Jan</c:v>
                  </c:pt>
                  <c:pt idx="181">
                    <c:v>Jan</c:v>
                  </c:pt>
                  <c:pt idx="182">
                    <c:v>Feb</c:v>
                  </c:pt>
                  <c:pt idx="183">
                    <c:v>Feb</c:v>
                  </c:pt>
                  <c:pt idx="184">
                    <c:v>Jan</c:v>
                  </c:pt>
                  <c:pt idx="185">
                    <c:v>Jan</c:v>
                  </c:pt>
                  <c:pt idx="186">
                    <c:v>Jan</c:v>
                  </c:pt>
                  <c:pt idx="187">
                    <c:v>Jan</c:v>
                  </c:pt>
                  <c:pt idx="188">
                    <c:v>Feb</c:v>
                  </c:pt>
                  <c:pt idx="189">
                    <c:v>Jan</c:v>
                  </c:pt>
                  <c:pt idx="190">
                    <c:v>Jan</c:v>
                  </c:pt>
                  <c:pt idx="191">
                    <c:v>Jan</c:v>
                  </c:pt>
                  <c:pt idx="192">
                    <c:v>Feb</c:v>
                  </c:pt>
                  <c:pt idx="193">
                    <c:v>Jan</c:v>
                  </c:pt>
                  <c:pt idx="194">
                    <c:v>Jan</c:v>
                  </c:pt>
                  <c:pt idx="195">
                    <c:v>Jan</c:v>
                  </c:pt>
                  <c:pt idx="196">
                    <c:v>Feb</c:v>
                  </c:pt>
                  <c:pt idx="197">
                    <c:v>Jan</c:v>
                  </c:pt>
                  <c:pt idx="198">
                    <c:v>Feb</c:v>
                  </c:pt>
                  <c:pt idx="199">
                    <c:v>Jan</c:v>
                  </c:pt>
                  <c:pt idx="200">
                    <c:v>Feb</c:v>
                  </c:pt>
                  <c:pt idx="201">
                    <c:v>Jan</c:v>
                  </c:pt>
                  <c:pt idx="202">
                    <c:v>Feb</c:v>
                  </c:pt>
                  <c:pt idx="203">
                    <c:v>Jan</c:v>
                  </c:pt>
                  <c:pt idx="204">
                    <c:v>Jan</c:v>
                  </c:pt>
                  <c:pt idx="205">
                    <c:v>Feb</c:v>
                  </c:pt>
                  <c:pt idx="206">
                    <c:v>Jan</c:v>
                  </c:pt>
                  <c:pt idx="207">
                    <c:v>Jan</c:v>
                  </c:pt>
                  <c:pt idx="208">
                    <c:v>Feb</c:v>
                  </c:pt>
                  <c:pt idx="209">
                    <c:v>Jan</c:v>
                  </c:pt>
                  <c:pt idx="210">
                    <c:v>Feb</c:v>
                  </c:pt>
                  <c:pt idx="211">
                    <c:v>Jan</c:v>
                  </c:pt>
                  <c:pt idx="212">
                    <c:v>Feb</c:v>
                  </c:pt>
                  <c:pt idx="213">
                    <c:v>Feb</c:v>
                  </c:pt>
                  <c:pt idx="214">
                    <c:v>Jan</c:v>
                  </c:pt>
                  <c:pt idx="215">
                    <c:v>Jan</c:v>
                  </c:pt>
                  <c:pt idx="216">
                    <c:v>Jan</c:v>
                  </c:pt>
                  <c:pt idx="217">
                    <c:v>Jan</c:v>
                  </c:pt>
                  <c:pt idx="218">
                    <c:v>Feb</c:v>
                  </c:pt>
                  <c:pt idx="219">
                    <c:v>Jan</c:v>
                  </c:pt>
                  <c:pt idx="220">
                    <c:v>Feb</c:v>
                  </c:pt>
                  <c:pt idx="221">
                    <c:v>Jan</c:v>
                  </c:pt>
                  <c:pt idx="222">
                    <c:v>Jan</c:v>
                  </c:pt>
                  <c:pt idx="223">
                    <c:v>Jan</c:v>
                  </c:pt>
                  <c:pt idx="224">
                    <c:v>Jan</c:v>
                  </c:pt>
                  <c:pt idx="225">
                    <c:v>Feb</c:v>
                  </c:pt>
                  <c:pt idx="226">
                    <c:v>Jan</c:v>
                  </c:pt>
                  <c:pt idx="227">
                    <c:v>Jan</c:v>
                  </c:pt>
                  <c:pt idx="228">
                    <c:v>Jan</c:v>
                  </c:pt>
                  <c:pt idx="229">
                    <c:v>Feb</c:v>
                  </c:pt>
                  <c:pt idx="230">
                    <c:v>Jan</c:v>
                  </c:pt>
                  <c:pt idx="231">
                    <c:v>Feb</c:v>
                  </c:pt>
                  <c:pt idx="232">
                    <c:v>Jan</c:v>
                  </c:pt>
                  <c:pt idx="233">
                    <c:v>Feb</c:v>
                  </c:pt>
                  <c:pt idx="234">
                    <c:v>Jan</c:v>
                  </c:pt>
                  <c:pt idx="235">
                    <c:v>Feb</c:v>
                  </c:pt>
                  <c:pt idx="236">
                    <c:v>Jan</c:v>
                  </c:pt>
                  <c:pt idx="237">
                    <c:v>Jan</c:v>
                  </c:pt>
                  <c:pt idx="238">
                    <c:v>Feb</c:v>
                  </c:pt>
                  <c:pt idx="239">
                    <c:v>Jan</c:v>
                  </c:pt>
                  <c:pt idx="240">
                    <c:v>Jan</c:v>
                  </c:pt>
                  <c:pt idx="241">
                    <c:v>Jan</c:v>
                  </c:pt>
                  <c:pt idx="242">
                    <c:v>Jan</c:v>
                  </c:pt>
                  <c:pt idx="243">
                    <c:v>Feb</c:v>
                  </c:pt>
                  <c:pt idx="244">
                    <c:v>Jan</c:v>
                  </c:pt>
                  <c:pt idx="245">
                    <c:v>Feb</c:v>
                  </c:pt>
                  <c:pt idx="246">
                    <c:v>Jan</c:v>
                  </c:pt>
                  <c:pt idx="247">
                    <c:v>Jan</c:v>
                  </c:pt>
                  <c:pt idx="248">
                    <c:v>Feb</c:v>
                  </c:pt>
                  <c:pt idx="249">
                    <c:v>Feb</c:v>
                  </c:pt>
                  <c:pt idx="250">
                    <c:v>Jan</c:v>
                  </c:pt>
                  <c:pt idx="251">
                    <c:v>Jan</c:v>
                  </c:pt>
                  <c:pt idx="252">
                    <c:v>Jan</c:v>
                  </c:pt>
                  <c:pt idx="253">
                    <c:v>Jan</c:v>
                  </c:pt>
                  <c:pt idx="254">
                    <c:v>Feb</c:v>
                  </c:pt>
                  <c:pt idx="255">
                    <c:v>Jan</c:v>
                  </c:pt>
                  <c:pt idx="256">
                    <c:v>Feb</c:v>
                  </c:pt>
                  <c:pt idx="257">
                    <c:v>Jan</c:v>
                  </c:pt>
                  <c:pt idx="258">
                    <c:v>Jan</c:v>
                  </c:pt>
                  <c:pt idx="259">
                    <c:v>Jan</c:v>
                  </c:pt>
                  <c:pt idx="260">
                    <c:v>Jan</c:v>
                  </c:pt>
                  <c:pt idx="261">
                    <c:v>Feb</c:v>
                  </c:pt>
                  <c:pt idx="262">
                    <c:v>Jan</c:v>
                  </c:pt>
                  <c:pt idx="263">
                    <c:v>Jan</c:v>
                  </c:pt>
                  <c:pt idx="264">
                    <c:v>Jan</c:v>
                  </c:pt>
                  <c:pt idx="265">
                    <c:v>Feb</c:v>
                  </c:pt>
                  <c:pt idx="266">
                    <c:v>Jan</c:v>
                  </c:pt>
                  <c:pt idx="267">
                    <c:v>Feb</c:v>
                  </c:pt>
                  <c:pt idx="268">
                    <c:v>Jan</c:v>
                  </c:pt>
                  <c:pt idx="269">
                    <c:v>Feb</c:v>
                  </c:pt>
                  <c:pt idx="270">
                    <c:v>Jan</c:v>
                  </c:pt>
                  <c:pt idx="271">
                    <c:v>Feb</c:v>
                  </c:pt>
                  <c:pt idx="272">
                    <c:v>Jan</c:v>
                  </c:pt>
                  <c:pt idx="273">
                    <c:v>Jan</c:v>
                  </c:pt>
                  <c:pt idx="274">
                    <c:v>Feb</c:v>
                  </c:pt>
                  <c:pt idx="275">
                    <c:v>Jan</c:v>
                  </c:pt>
                  <c:pt idx="276">
                    <c:v>Jan</c:v>
                  </c:pt>
                  <c:pt idx="277">
                    <c:v>Jan</c:v>
                  </c:pt>
                  <c:pt idx="278">
                    <c:v>Jan</c:v>
                  </c:pt>
                  <c:pt idx="279">
                    <c:v>Feb</c:v>
                  </c:pt>
                  <c:pt idx="280">
                    <c:v>Jan</c:v>
                  </c:pt>
                  <c:pt idx="281">
                    <c:v>Feb</c:v>
                  </c:pt>
                  <c:pt idx="282">
                    <c:v>Jan</c:v>
                  </c:pt>
                  <c:pt idx="283">
                    <c:v>Jan</c:v>
                  </c:pt>
                  <c:pt idx="284">
                    <c:v>Feb</c:v>
                  </c:pt>
                  <c:pt idx="285">
                    <c:v>Feb</c:v>
                  </c:pt>
                  <c:pt idx="286">
                    <c:v>Jan</c:v>
                  </c:pt>
                  <c:pt idx="287">
                    <c:v>Jan</c:v>
                  </c:pt>
                  <c:pt idx="288">
                    <c:v>Jan</c:v>
                  </c:pt>
                  <c:pt idx="289">
                    <c:v>Jan</c:v>
                  </c:pt>
                  <c:pt idx="290">
                    <c:v>Feb</c:v>
                  </c:pt>
                  <c:pt idx="291">
                    <c:v>Jan</c:v>
                  </c:pt>
                  <c:pt idx="292">
                    <c:v>Feb</c:v>
                  </c:pt>
                  <c:pt idx="293">
                    <c:v>Jan</c:v>
                  </c:pt>
                  <c:pt idx="294">
                    <c:v>Jan</c:v>
                  </c:pt>
                  <c:pt idx="295">
                    <c:v>Jan</c:v>
                  </c:pt>
                  <c:pt idx="296">
                    <c:v>Jan</c:v>
                  </c:pt>
                  <c:pt idx="297">
                    <c:v>Feb</c:v>
                  </c:pt>
                  <c:pt idx="298">
                    <c:v>Jan</c:v>
                  </c:pt>
                  <c:pt idx="299">
                    <c:v>Jan</c:v>
                  </c:pt>
                  <c:pt idx="300">
                    <c:v>Jan</c:v>
                  </c:pt>
                  <c:pt idx="301">
                    <c:v>Feb</c:v>
                  </c:pt>
                  <c:pt idx="302">
                    <c:v>Jan</c:v>
                  </c:pt>
                  <c:pt idx="303">
                    <c:v>Feb</c:v>
                  </c:pt>
                  <c:pt idx="304">
                    <c:v>Jan</c:v>
                  </c:pt>
                  <c:pt idx="305">
                    <c:v>Feb</c:v>
                  </c:pt>
                  <c:pt idx="306">
                    <c:v>Jan</c:v>
                  </c:pt>
                  <c:pt idx="307">
                    <c:v>Feb</c:v>
                  </c:pt>
                  <c:pt idx="308">
                    <c:v>Jan</c:v>
                  </c:pt>
                  <c:pt idx="309">
                    <c:v>Jan</c:v>
                  </c:pt>
                  <c:pt idx="310">
                    <c:v>Feb</c:v>
                  </c:pt>
                  <c:pt idx="311">
                    <c:v>Jan</c:v>
                  </c:pt>
                  <c:pt idx="312">
                    <c:v>Jan</c:v>
                  </c:pt>
                  <c:pt idx="313">
                    <c:v>Jan</c:v>
                  </c:pt>
                  <c:pt idx="314">
                    <c:v>Jan</c:v>
                  </c:pt>
                  <c:pt idx="315">
                    <c:v>Feb</c:v>
                  </c:pt>
                  <c:pt idx="316">
                    <c:v>Jan</c:v>
                  </c:pt>
                  <c:pt idx="317">
                    <c:v>Feb</c:v>
                  </c:pt>
                  <c:pt idx="318">
                    <c:v>Jan</c:v>
                  </c:pt>
                  <c:pt idx="319">
                    <c:v>Jan</c:v>
                  </c:pt>
                  <c:pt idx="320">
                    <c:v>Feb</c:v>
                  </c:pt>
                  <c:pt idx="321">
                    <c:v>Feb</c:v>
                  </c:pt>
                  <c:pt idx="322">
                    <c:v>Jan</c:v>
                  </c:pt>
                  <c:pt idx="323">
                    <c:v>Jan</c:v>
                  </c:pt>
                  <c:pt idx="324">
                    <c:v>Jan</c:v>
                  </c:pt>
                  <c:pt idx="325">
                    <c:v>Jan</c:v>
                  </c:pt>
                  <c:pt idx="326">
                    <c:v>Feb</c:v>
                  </c:pt>
                  <c:pt idx="327">
                    <c:v>Jan</c:v>
                  </c:pt>
                  <c:pt idx="328">
                    <c:v>Feb</c:v>
                  </c:pt>
                  <c:pt idx="329">
                    <c:v>Jan</c:v>
                  </c:pt>
                  <c:pt idx="330">
                    <c:v>Jan</c:v>
                  </c:pt>
                  <c:pt idx="331">
                    <c:v>Jan</c:v>
                  </c:pt>
                  <c:pt idx="332">
                    <c:v>Jan</c:v>
                  </c:pt>
                  <c:pt idx="333">
                    <c:v>Feb</c:v>
                  </c:pt>
                  <c:pt idx="334">
                    <c:v>Jan</c:v>
                  </c:pt>
                  <c:pt idx="335">
                    <c:v>Jan</c:v>
                  </c:pt>
                  <c:pt idx="336">
                    <c:v>Jan</c:v>
                  </c:pt>
                  <c:pt idx="337">
                    <c:v>Feb</c:v>
                  </c:pt>
                  <c:pt idx="338">
                    <c:v>Jan</c:v>
                  </c:pt>
                  <c:pt idx="339">
                    <c:v>Feb</c:v>
                  </c:pt>
                  <c:pt idx="340">
                    <c:v>Jan</c:v>
                  </c:pt>
                  <c:pt idx="341">
                    <c:v>Feb</c:v>
                  </c:pt>
                  <c:pt idx="342">
                    <c:v>Jan</c:v>
                  </c:pt>
                  <c:pt idx="343">
                    <c:v>Feb</c:v>
                  </c:pt>
                  <c:pt idx="344">
                    <c:v>Jan</c:v>
                  </c:pt>
                  <c:pt idx="345">
                    <c:v>Jan</c:v>
                  </c:pt>
                  <c:pt idx="346">
                    <c:v>Feb</c:v>
                  </c:pt>
                  <c:pt idx="347">
                    <c:v>Jan</c:v>
                  </c:pt>
                  <c:pt idx="348">
                    <c:v>Jan</c:v>
                  </c:pt>
                  <c:pt idx="349">
                    <c:v>Jan</c:v>
                  </c:pt>
                  <c:pt idx="350">
                    <c:v>Jan</c:v>
                  </c:pt>
                  <c:pt idx="351">
                    <c:v>Feb</c:v>
                  </c:pt>
                  <c:pt idx="352">
                    <c:v>Jan</c:v>
                  </c:pt>
                  <c:pt idx="353">
                    <c:v>Feb</c:v>
                  </c:pt>
                  <c:pt idx="354">
                    <c:v>Jan</c:v>
                  </c:pt>
                  <c:pt idx="355">
                    <c:v>Jan</c:v>
                  </c:pt>
                  <c:pt idx="356">
                    <c:v>Feb</c:v>
                  </c:pt>
                  <c:pt idx="357">
                    <c:v>Feb</c:v>
                  </c:pt>
                  <c:pt idx="358">
                    <c:v>Jan</c:v>
                  </c:pt>
                  <c:pt idx="359">
                    <c:v>Jan</c:v>
                  </c:pt>
                  <c:pt idx="360">
                    <c:v>Jan</c:v>
                  </c:pt>
                  <c:pt idx="361">
                    <c:v>Jan</c:v>
                  </c:pt>
                  <c:pt idx="362">
                    <c:v>Feb</c:v>
                  </c:pt>
                  <c:pt idx="363">
                    <c:v>Jan</c:v>
                  </c:pt>
                  <c:pt idx="364">
                    <c:v>Jan</c:v>
                  </c:pt>
                  <c:pt idx="365">
                    <c:v>Jan</c:v>
                  </c:pt>
                  <c:pt idx="366">
                    <c:v>Feb</c:v>
                  </c:pt>
                  <c:pt idx="367">
                    <c:v>Jan</c:v>
                  </c:pt>
                  <c:pt idx="368">
                    <c:v>Jan</c:v>
                  </c:pt>
                  <c:pt idx="369">
                    <c:v>Jan</c:v>
                  </c:pt>
                  <c:pt idx="370">
                    <c:v>Feb</c:v>
                  </c:pt>
                  <c:pt idx="371">
                    <c:v>Jan</c:v>
                  </c:pt>
                  <c:pt idx="372">
                    <c:v>Jan</c:v>
                  </c:pt>
                  <c:pt idx="373">
                    <c:v>Jan</c:v>
                  </c:pt>
                  <c:pt idx="374">
                    <c:v>Jan</c:v>
                  </c:pt>
                  <c:pt idx="375">
                    <c:v>Jan</c:v>
                  </c:pt>
                  <c:pt idx="376">
                    <c:v>Jan</c:v>
                  </c:pt>
                  <c:pt idx="377">
                    <c:v>Feb</c:v>
                  </c:pt>
                  <c:pt idx="378">
                    <c:v>Jan</c:v>
                  </c:pt>
                  <c:pt idx="379">
                    <c:v>Jan</c:v>
                  </c:pt>
                  <c:pt idx="380">
                    <c:v>Jan</c:v>
                  </c:pt>
                  <c:pt idx="381">
                    <c:v>Jan</c:v>
                  </c:pt>
                  <c:pt idx="382">
                    <c:v>Jan</c:v>
                  </c:pt>
                  <c:pt idx="383">
                    <c:v>Jan</c:v>
                  </c:pt>
                  <c:pt idx="384">
                    <c:v>Jan</c:v>
                  </c:pt>
                  <c:pt idx="385">
                    <c:v>Jan</c:v>
                  </c:pt>
                  <c:pt idx="386">
                    <c:v>Jan</c:v>
                  </c:pt>
                  <c:pt idx="387">
                    <c:v>Jan</c:v>
                  </c:pt>
                  <c:pt idx="388">
                    <c:v>Jan</c:v>
                  </c:pt>
                </c:lvl>
                <c:lvl>
                  <c:pt idx="0">
                    <c:v>Fokus, aktif berpartisipasi dan bertanya atau menanggapi</c:v>
                  </c:pt>
                  <c:pt idx="2">
                    <c:v>Mandiri</c:v>
                  </c:pt>
                  <c:pt idx="4">
                    <c:v>Kognitif Formatif</c:v>
                  </c:pt>
                  <c:pt idx="6">
                    <c:v>Kognitif Sumatif</c:v>
                  </c:pt>
                  <c:pt idx="7">
                    <c:v>Evaluasi</c:v>
                  </c:pt>
                  <c:pt idx="9">
                    <c:v>Analisa</c:v>
                  </c:pt>
                  <c:pt idx="10">
                    <c:v>Kognitif Formatif</c:v>
                  </c:pt>
                  <c:pt idx="11">
                    <c:v>Fokus, aktif berpartisipasi dan bertanya atau menanggapi</c:v>
                  </c:pt>
                  <c:pt idx="12">
                    <c:v>Beriman, bertakwa kepada Tuhan YME dan berakhlak mulia</c:v>
                  </c:pt>
                  <c:pt idx="14">
                    <c:v>Praktik Formatif</c:v>
                  </c:pt>
                  <c:pt idx="16">
                    <c:v>Kreasi</c:v>
                  </c:pt>
                  <c:pt idx="17">
                    <c:v>Konsep</c:v>
                  </c:pt>
                  <c:pt idx="19">
                    <c:v>Kognitif Formatif</c:v>
                  </c:pt>
                  <c:pt idx="20">
                    <c:v>Analisa</c:v>
                  </c:pt>
                  <c:pt idx="21">
                    <c:v>Discovery</c:v>
                  </c:pt>
                  <c:pt idx="22">
                    <c:v>Beriman, bertakwa kepada Tuhan YME dan berakhlak mulia</c:v>
                  </c:pt>
                  <c:pt idx="23">
                    <c:v>Kognitif Formatif</c:v>
                  </c:pt>
                  <c:pt idx="25">
                    <c:v>Konsep</c:v>
                  </c:pt>
                  <c:pt idx="27">
                    <c:v>Rencana Sukses</c:v>
                  </c:pt>
                  <c:pt idx="28">
                    <c:v>Mandiri</c:v>
                  </c:pt>
                  <c:pt idx="29">
                    <c:v>Beriman, bertakwa kepada Tuhan YME dan berakhlak mulia</c:v>
                  </c:pt>
                  <c:pt idx="30">
                    <c:v>Kognitif Formatif</c:v>
                  </c:pt>
                  <c:pt idx="32">
                    <c:v>Konsep</c:v>
                  </c:pt>
                  <c:pt idx="33">
                    <c:v>Discovery</c:v>
                  </c:pt>
                  <c:pt idx="34">
                    <c:v>Fokus, aktif berpartisipasi dan bertanya atau menanggapi</c:v>
                  </c:pt>
                  <c:pt idx="36">
                    <c:v>Mandiri</c:v>
                  </c:pt>
                  <c:pt idx="38">
                    <c:v>Kognitif Formatif</c:v>
                  </c:pt>
                  <c:pt idx="40">
                    <c:v>Kognitif Sumatif</c:v>
                  </c:pt>
                  <c:pt idx="41">
                    <c:v>Evaluasi</c:v>
                  </c:pt>
                  <c:pt idx="43">
                    <c:v>Analisa</c:v>
                  </c:pt>
                  <c:pt idx="44">
                    <c:v>Kognitif Formatif</c:v>
                  </c:pt>
                  <c:pt idx="45">
                    <c:v>Fokus, aktif berpartisipasi dan bertanya atau menanggapi</c:v>
                  </c:pt>
                  <c:pt idx="46">
                    <c:v>Beriman, bertakwa kepada Tuhan YME dan berakhlak mulia</c:v>
                  </c:pt>
                  <c:pt idx="48">
                    <c:v>Praktik Formatif</c:v>
                  </c:pt>
                  <c:pt idx="50">
                    <c:v>Kreasi</c:v>
                  </c:pt>
                  <c:pt idx="51">
                    <c:v>Konsep</c:v>
                  </c:pt>
                  <c:pt idx="53">
                    <c:v>Kognitif Formatif</c:v>
                  </c:pt>
                  <c:pt idx="54">
                    <c:v>Analisa</c:v>
                  </c:pt>
                  <c:pt idx="55">
                    <c:v>Discovery</c:v>
                  </c:pt>
                  <c:pt idx="56">
                    <c:v>Beriman, bertakwa kepada Tuhan YME dan berakhlak mulia</c:v>
                  </c:pt>
                  <c:pt idx="57">
                    <c:v>Kognitif Formatif</c:v>
                  </c:pt>
                  <c:pt idx="59">
                    <c:v>Mandiri</c:v>
                  </c:pt>
                  <c:pt idx="60">
                    <c:v>Beriman, bertakwa kepada Tuhan YME dan berakhlak mulia</c:v>
                  </c:pt>
                  <c:pt idx="61">
                    <c:v>Kognitif Formatif</c:v>
                  </c:pt>
                  <c:pt idx="63">
                    <c:v>Analisa</c:v>
                  </c:pt>
                  <c:pt idx="64">
                    <c:v>Konsep</c:v>
                  </c:pt>
                  <c:pt idx="65">
                    <c:v>Discovery</c:v>
                  </c:pt>
                  <c:pt idx="67">
                    <c:v>Fokus, aktif berpartisipasi dan bertanya atau menanggapi</c:v>
                  </c:pt>
                  <c:pt idx="69">
                    <c:v>Mandiri</c:v>
                  </c:pt>
                  <c:pt idx="71">
                    <c:v>Kognitif Formatif</c:v>
                  </c:pt>
                  <c:pt idx="73">
                    <c:v>Kognitif Sumatif</c:v>
                  </c:pt>
                  <c:pt idx="74">
                    <c:v>Evaluasi</c:v>
                  </c:pt>
                  <c:pt idx="76">
                    <c:v>Analisa</c:v>
                  </c:pt>
                  <c:pt idx="77">
                    <c:v>Kognitif Formatif</c:v>
                  </c:pt>
                  <c:pt idx="78">
                    <c:v>Fokus, aktif berpartisipasi dan bertanya atau menanggapi</c:v>
                  </c:pt>
                  <c:pt idx="79">
                    <c:v>Beriman, bertakwa kepada Tuhan YME dan berakhlak mulia</c:v>
                  </c:pt>
                  <c:pt idx="81">
                    <c:v>Praktik Formatif</c:v>
                  </c:pt>
                  <c:pt idx="83">
                    <c:v>Kreasi</c:v>
                  </c:pt>
                  <c:pt idx="84">
                    <c:v>Konsep</c:v>
                  </c:pt>
                  <c:pt idx="86">
                    <c:v>Kognitif Formatif</c:v>
                  </c:pt>
                  <c:pt idx="87">
                    <c:v>Analisa</c:v>
                  </c:pt>
                  <c:pt idx="88">
                    <c:v>Discovery</c:v>
                  </c:pt>
                  <c:pt idx="89">
                    <c:v>Beriman, bertakwa kepada Tuhan YME dan berakhlak mulia</c:v>
                  </c:pt>
                  <c:pt idx="90">
                    <c:v>Kognitif Formatif</c:v>
                  </c:pt>
                  <c:pt idx="92">
                    <c:v>Mandiri</c:v>
                  </c:pt>
                  <c:pt idx="93">
                    <c:v>Beriman, bertakwa kepada Tuhan YME dan berakhlak mulia</c:v>
                  </c:pt>
                  <c:pt idx="94">
                    <c:v>Kognitif Formatif</c:v>
                  </c:pt>
                  <c:pt idx="96">
                    <c:v>Analisa</c:v>
                  </c:pt>
                  <c:pt idx="97">
                    <c:v>Konsep</c:v>
                  </c:pt>
                  <c:pt idx="98">
                    <c:v>Discovery</c:v>
                  </c:pt>
                  <c:pt idx="100">
                    <c:v>Fokus, aktif berpartisipasi dan bertanya atau menanggapi</c:v>
                  </c:pt>
                  <c:pt idx="102">
                    <c:v>Mandiri</c:v>
                  </c:pt>
                  <c:pt idx="104">
                    <c:v>Kognitif Formatif</c:v>
                  </c:pt>
                  <c:pt idx="106">
                    <c:v>Kognitif Sumatif</c:v>
                  </c:pt>
                  <c:pt idx="107">
                    <c:v>Evaluasi</c:v>
                  </c:pt>
                  <c:pt idx="109">
                    <c:v>Analisa</c:v>
                  </c:pt>
                  <c:pt idx="110">
                    <c:v>Kognitif Formatif</c:v>
                  </c:pt>
                  <c:pt idx="111">
                    <c:v>Fokus, aktif berpartisipasi dan bertanya atau menanggapi</c:v>
                  </c:pt>
                  <c:pt idx="112">
                    <c:v>Beriman, bertakwa kepada Tuhan YME dan berakhlak mulia</c:v>
                  </c:pt>
                  <c:pt idx="114">
                    <c:v>Praktik Formatif</c:v>
                  </c:pt>
                  <c:pt idx="116">
                    <c:v>Kreasi</c:v>
                  </c:pt>
                  <c:pt idx="117">
                    <c:v>Konsep</c:v>
                  </c:pt>
                  <c:pt idx="119">
                    <c:v>Kognitif Formatif</c:v>
                  </c:pt>
                  <c:pt idx="120">
                    <c:v>Analisa</c:v>
                  </c:pt>
                  <c:pt idx="121">
                    <c:v>Discovery</c:v>
                  </c:pt>
                  <c:pt idx="122">
                    <c:v>Beriman, bertakwa kepada Tuhan YME dan berakhlak mulia</c:v>
                  </c:pt>
                  <c:pt idx="123">
                    <c:v>Kognitif Formatif</c:v>
                  </c:pt>
                  <c:pt idx="125">
                    <c:v>Mandiri</c:v>
                  </c:pt>
                  <c:pt idx="126">
                    <c:v>Beriman, bertakwa kepada Tuhan YME dan berakhlak mulia</c:v>
                  </c:pt>
                  <c:pt idx="127">
                    <c:v>Kognitif Formatif</c:v>
                  </c:pt>
                  <c:pt idx="129">
                    <c:v>Analisa</c:v>
                  </c:pt>
                  <c:pt idx="130">
                    <c:v>Konsep</c:v>
                  </c:pt>
                  <c:pt idx="131">
                    <c:v>Discovery</c:v>
                  </c:pt>
                  <c:pt idx="133">
                    <c:v>Fokus, aktif berpartisipasi dan bertanya atau menanggapi</c:v>
                  </c:pt>
                  <c:pt idx="135">
                    <c:v>Mandiri</c:v>
                  </c:pt>
                  <c:pt idx="137">
                    <c:v>Kognitif Formatif</c:v>
                  </c:pt>
                  <c:pt idx="139">
                    <c:v>Kognitif Sumatif</c:v>
                  </c:pt>
                  <c:pt idx="140">
                    <c:v>Evaluasi</c:v>
                  </c:pt>
                  <c:pt idx="142">
                    <c:v>Analisa</c:v>
                  </c:pt>
                  <c:pt idx="143">
                    <c:v>Kognitif Formatif</c:v>
                  </c:pt>
                  <c:pt idx="144">
                    <c:v>Fokus, aktif berpartisipasi dan bertanya atau menanggapi</c:v>
                  </c:pt>
                  <c:pt idx="145">
                    <c:v>Beriman, bertakwa kepada Tuhan YME dan berakhlak mulia</c:v>
                  </c:pt>
                  <c:pt idx="147">
                    <c:v>Praktik Formatif</c:v>
                  </c:pt>
                  <c:pt idx="149">
                    <c:v>Kreasi</c:v>
                  </c:pt>
                  <c:pt idx="150">
                    <c:v>Konsep</c:v>
                  </c:pt>
                  <c:pt idx="152">
                    <c:v>Kognitif Formatif</c:v>
                  </c:pt>
                  <c:pt idx="153">
                    <c:v>Analisa</c:v>
                  </c:pt>
                  <c:pt idx="154">
                    <c:v>Discovery</c:v>
                  </c:pt>
                  <c:pt idx="155">
                    <c:v>Beriman, bertakwa kepada Tuhan YME dan berakhlak mulia</c:v>
                  </c:pt>
                  <c:pt idx="156">
                    <c:v>Kognitif Formatif</c:v>
                  </c:pt>
                  <c:pt idx="158">
                    <c:v>Mandiri</c:v>
                  </c:pt>
                  <c:pt idx="159">
                    <c:v>Beriman, bertakwa kepada Tuhan YME dan berakhlak mulia</c:v>
                  </c:pt>
                  <c:pt idx="160">
                    <c:v>Kognitif Formatif</c:v>
                  </c:pt>
                  <c:pt idx="162">
                    <c:v>Konsep</c:v>
                  </c:pt>
                  <c:pt idx="163">
                    <c:v>Discovery</c:v>
                  </c:pt>
                  <c:pt idx="164">
                    <c:v>Fokus, aktif berpartisipasi dan bertanya atau menanggapi</c:v>
                  </c:pt>
                  <c:pt idx="166">
                    <c:v>Mandiri</c:v>
                  </c:pt>
                  <c:pt idx="168">
                    <c:v>Kognitif Formatif</c:v>
                  </c:pt>
                  <c:pt idx="170">
                    <c:v>Kognitif Sumatif</c:v>
                  </c:pt>
                  <c:pt idx="171">
                    <c:v>Evaluasi</c:v>
                  </c:pt>
                  <c:pt idx="173">
                    <c:v>Analisa</c:v>
                  </c:pt>
                  <c:pt idx="174">
                    <c:v>Kognitif Formatif</c:v>
                  </c:pt>
                  <c:pt idx="175">
                    <c:v>Fokus, aktif berpartisipasi dan bertanya atau menanggapi</c:v>
                  </c:pt>
                  <c:pt idx="176">
                    <c:v>Beriman, bertakwa kepada Tuhan YME dan berakhlak mulia</c:v>
                  </c:pt>
                  <c:pt idx="178">
                    <c:v>Praktik Formatif</c:v>
                  </c:pt>
                  <c:pt idx="180">
                    <c:v>Kreasi</c:v>
                  </c:pt>
                  <c:pt idx="181">
                    <c:v>Konsep</c:v>
                  </c:pt>
                  <c:pt idx="183">
                    <c:v>Kognitif Formatif</c:v>
                  </c:pt>
                  <c:pt idx="184">
                    <c:v>Analisa</c:v>
                  </c:pt>
                  <c:pt idx="185">
                    <c:v>Discovery</c:v>
                  </c:pt>
                  <c:pt idx="186">
                    <c:v>Beriman, bertakwa kepada Tuhan YME dan berakhlak mulia</c:v>
                  </c:pt>
                  <c:pt idx="187">
                    <c:v>Kognitif Formatif</c:v>
                  </c:pt>
                  <c:pt idx="189">
                    <c:v>Mandiri</c:v>
                  </c:pt>
                  <c:pt idx="190">
                    <c:v>Beriman, bertakwa kepada Tuhan YME dan berakhlak mulia</c:v>
                  </c:pt>
                  <c:pt idx="191">
                    <c:v>Kognitif Formatif</c:v>
                  </c:pt>
                  <c:pt idx="193">
                    <c:v>Analisa</c:v>
                  </c:pt>
                  <c:pt idx="194">
                    <c:v>Konsep</c:v>
                  </c:pt>
                  <c:pt idx="195">
                    <c:v>Discovery</c:v>
                  </c:pt>
                  <c:pt idx="197">
                    <c:v>Fokus, aktif berpartisipasi dan bertanya atau menanggapi</c:v>
                  </c:pt>
                  <c:pt idx="199">
                    <c:v>Mandiri</c:v>
                  </c:pt>
                  <c:pt idx="201">
                    <c:v>Kognitif Formatif</c:v>
                  </c:pt>
                  <c:pt idx="203">
                    <c:v>Kognitif Sumatif</c:v>
                  </c:pt>
                  <c:pt idx="204">
                    <c:v>Evaluasi</c:v>
                  </c:pt>
                  <c:pt idx="206">
                    <c:v>Analisa</c:v>
                  </c:pt>
                  <c:pt idx="207">
                    <c:v>Kognitif Formatif</c:v>
                  </c:pt>
                  <c:pt idx="208">
                    <c:v>Beriman, bertakwa kepada Tuhan YME dan berakhlak mulia</c:v>
                  </c:pt>
                  <c:pt idx="209">
                    <c:v>Praktik Formatif</c:v>
                  </c:pt>
                  <c:pt idx="211">
                    <c:v>Konsep</c:v>
                  </c:pt>
                  <c:pt idx="213">
                    <c:v>Kognitif Formatif</c:v>
                  </c:pt>
                  <c:pt idx="214">
                    <c:v>Analisa</c:v>
                  </c:pt>
                  <c:pt idx="215">
                    <c:v>Discovery</c:v>
                  </c:pt>
                  <c:pt idx="216">
                    <c:v>Beriman, bertakwa kepada Tuhan YME dan berakhlak mulia</c:v>
                  </c:pt>
                  <c:pt idx="217">
                    <c:v>Kognitif Formatif</c:v>
                  </c:pt>
                  <c:pt idx="219">
                    <c:v>Konsep</c:v>
                  </c:pt>
                  <c:pt idx="221">
                    <c:v>Rencana Sukses</c:v>
                  </c:pt>
                  <c:pt idx="222">
                    <c:v>Mandiri</c:v>
                  </c:pt>
                  <c:pt idx="223">
                    <c:v>Beriman, bertakwa kepada Tuhan YME dan berakhlak mulia</c:v>
                  </c:pt>
                  <c:pt idx="224">
                    <c:v>Kognitif Formatif</c:v>
                  </c:pt>
                  <c:pt idx="226">
                    <c:v>Analisa</c:v>
                  </c:pt>
                  <c:pt idx="227">
                    <c:v>Konsep</c:v>
                  </c:pt>
                  <c:pt idx="228">
                    <c:v>Discovery</c:v>
                  </c:pt>
                  <c:pt idx="230">
                    <c:v>Fokus, aktif berpartisipasi dan bertanya atau menanggapi</c:v>
                  </c:pt>
                  <c:pt idx="232">
                    <c:v>Mandiri</c:v>
                  </c:pt>
                  <c:pt idx="234">
                    <c:v>Kognitif Formatif</c:v>
                  </c:pt>
                  <c:pt idx="236">
                    <c:v>Kognitif Sumatif</c:v>
                  </c:pt>
                  <c:pt idx="237">
                    <c:v>Evaluasi</c:v>
                  </c:pt>
                  <c:pt idx="239">
                    <c:v>Analisa</c:v>
                  </c:pt>
                  <c:pt idx="240">
                    <c:v>Kognitif Formatif</c:v>
                  </c:pt>
                  <c:pt idx="241">
                    <c:v>Fokus, aktif berpartisipasi dan bertanya atau menanggapi</c:v>
                  </c:pt>
                  <c:pt idx="242">
                    <c:v>Beriman, bertakwa kepada Tuhan YME dan berakhlak mulia</c:v>
                  </c:pt>
                  <c:pt idx="244">
                    <c:v>Praktik Formatif</c:v>
                  </c:pt>
                  <c:pt idx="246">
                    <c:v>Kreasi</c:v>
                  </c:pt>
                  <c:pt idx="247">
                    <c:v>Konsep</c:v>
                  </c:pt>
                  <c:pt idx="249">
                    <c:v>Kognitif Formatif</c:v>
                  </c:pt>
                  <c:pt idx="250">
                    <c:v>Analisa</c:v>
                  </c:pt>
                  <c:pt idx="251">
                    <c:v>Discovery</c:v>
                  </c:pt>
                  <c:pt idx="252">
                    <c:v>Beriman, bertakwa kepada Tuhan YME dan berakhlak mulia</c:v>
                  </c:pt>
                  <c:pt idx="253">
                    <c:v>Kognitif Formatif</c:v>
                  </c:pt>
                  <c:pt idx="255">
                    <c:v>Konsep</c:v>
                  </c:pt>
                  <c:pt idx="257">
                    <c:v>Rencana Sukses</c:v>
                  </c:pt>
                  <c:pt idx="258">
                    <c:v>Mandiri</c:v>
                  </c:pt>
                  <c:pt idx="259">
                    <c:v>Beriman, bertakwa kepada Tuhan YME dan berakhlak mulia</c:v>
                  </c:pt>
                  <c:pt idx="260">
                    <c:v>Kognitif Formatif</c:v>
                  </c:pt>
                  <c:pt idx="262">
                    <c:v>Analisa</c:v>
                  </c:pt>
                  <c:pt idx="263">
                    <c:v>Konsep</c:v>
                  </c:pt>
                  <c:pt idx="264">
                    <c:v>Discovery</c:v>
                  </c:pt>
                  <c:pt idx="266">
                    <c:v>Fokus, aktif berpartisipasi dan bertanya atau menanggapi</c:v>
                  </c:pt>
                  <c:pt idx="268">
                    <c:v>Mandiri</c:v>
                  </c:pt>
                  <c:pt idx="270">
                    <c:v>Kognitif Formatif</c:v>
                  </c:pt>
                  <c:pt idx="272">
                    <c:v>Kognitif Sumatif</c:v>
                  </c:pt>
                  <c:pt idx="273">
                    <c:v>Evaluasi</c:v>
                  </c:pt>
                  <c:pt idx="275">
                    <c:v>Analisa</c:v>
                  </c:pt>
                  <c:pt idx="276">
                    <c:v>Kognitif Formatif</c:v>
                  </c:pt>
                  <c:pt idx="277">
                    <c:v>Fokus, aktif berpartisipasi dan bertanya atau menanggapi</c:v>
                  </c:pt>
                  <c:pt idx="278">
                    <c:v>Beriman, bertakwa kepada Tuhan YME dan berakhlak mulia</c:v>
                  </c:pt>
                  <c:pt idx="280">
                    <c:v>Praktik Formatif</c:v>
                  </c:pt>
                  <c:pt idx="282">
                    <c:v>Kreasi</c:v>
                  </c:pt>
                  <c:pt idx="283">
                    <c:v>Konsep</c:v>
                  </c:pt>
                  <c:pt idx="285">
                    <c:v>Kognitif Formatif</c:v>
                  </c:pt>
                  <c:pt idx="286">
                    <c:v>Analisa</c:v>
                  </c:pt>
                  <c:pt idx="287">
                    <c:v>Discovery</c:v>
                  </c:pt>
                  <c:pt idx="288">
                    <c:v>Beriman, bertakwa kepada Tuhan YME dan berakhlak mulia</c:v>
                  </c:pt>
                  <c:pt idx="289">
                    <c:v>Kognitif Formatif</c:v>
                  </c:pt>
                  <c:pt idx="291">
                    <c:v>Konsep</c:v>
                  </c:pt>
                  <c:pt idx="293">
                    <c:v>Rencana Sukses</c:v>
                  </c:pt>
                  <c:pt idx="294">
                    <c:v>Mandiri</c:v>
                  </c:pt>
                  <c:pt idx="295">
                    <c:v>Beriman, bertakwa kepada Tuhan YME dan berakhlak mulia</c:v>
                  </c:pt>
                  <c:pt idx="296">
                    <c:v>Kognitif Formatif</c:v>
                  </c:pt>
                  <c:pt idx="298">
                    <c:v>Analisa</c:v>
                  </c:pt>
                  <c:pt idx="299">
                    <c:v>Konsep</c:v>
                  </c:pt>
                  <c:pt idx="300">
                    <c:v>Discovery</c:v>
                  </c:pt>
                  <c:pt idx="302">
                    <c:v>Fokus, aktif berpartisipasi dan bertanya atau menanggapi</c:v>
                  </c:pt>
                  <c:pt idx="304">
                    <c:v>Mandiri</c:v>
                  </c:pt>
                  <c:pt idx="306">
                    <c:v>Kognitif Formatif</c:v>
                  </c:pt>
                  <c:pt idx="308">
                    <c:v>Kognitif Sumatif</c:v>
                  </c:pt>
                  <c:pt idx="309">
                    <c:v>Evaluasi</c:v>
                  </c:pt>
                  <c:pt idx="311">
                    <c:v>Analisa</c:v>
                  </c:pt>
                  <c:pt idx="312">
                    <c:v>Kognitif Formatif</c:v>
                  </c:pt>
                  <c:pt idx="313">
                    <c:v>Fokus, aktif berpartisipasi dan bertanya atau menanggapi</c:v>
                  </c:pt>
                  <c:pt idx="314">
                    <c:v>Beriman, bertakwa kepada Tuhan YME dan berakhlak mulia</c:v>
                  </c:pt>
                  <c:pt idx="316">
                    <c:v>Praktik Formatif</c:v>
                  </c:pt>
                  <c:pt idx="318">
                    <c:v>Kreasi</c:v>
                  </c:pt>
                  <c:pt idx="319">
                    <c:v>Konsep</c:v>
                  </c:pt>
                  <c:pt idx="321">
                    <c:v>Kognitif Formatif</c:v>
                  </c:pt>
                  <c:pt idx="322">
                    <c:v>Analisa</c:v>
                  </c:pt>
                  <c:pt idx="323">
                    <c:v>Discovery</c:v>
                  </c:pt>
                  <c:pt idx="324">
                    <c:v>Beriman, bertakwa kepada Tuhan YME dan berakhlak mulia</c:v>
                  </c:pt>
                  <c:pt idx="325">
                    <c:v>Kognitif Formatif</c:v>
                  </c:pt>
                  <c:pt idx="327">
                    <c:v>Konsep</c:v>
                  </c:pt>
                  <c:pt idx="329">
                    <c:v>Rencana Sukses</c:v>
                  </c:pt>
                  <c:pt idx="330">
                    <c:v>Mandiri</c:v>
                  </c:pt>
                  <c:pt idx="331">
                    <c:v>Beriman, bertakwa kepada Tuhan YME dan berakhlak mulia</c:v>
                  </c:pt>
                  <c:pt idx="332">
                    <c:v>Kognitif Formatif</c:v>
                  </c:pt>
                  <c:pt idx="334">
                    <c:v>Analisa</c:v>
                  </c:pt>
                  <c:pt idx="335">
                    <c:v>Konsep</c:v>
                  </c:pt>
                  <c:pt idx="336">
                    <c:v>Discovery</c:v>
                  </c:pt>
                  <c:pt idx="338">
                    <c:v>Fokus, aktif berpartisipasi dan bertanya atau menanggapi</c:v>
                  </c:pt>
                  <c:pt idx="340">
                    <c:v>Mandiri</c:v>
                  </c:pt>
                  <c:pt idx="342">
                    <c:v>Kognitif Formatif</c:v>
                  </c:pt>
                  <c:pt idx="344">
                    <c:v>Kognitif Sumatif</c:v>
                  </c:pt>
                  <c:pt idx="345">
                    <c:v>Evaluasi</c:v>
                  </c:pt>
                  <c:pt idx="347">
                    <c:v>Analisa</c:v>
                  </c:pt>
                  <c:pt idx="348">
                    <c:v>Kognitif Formatif</c:v>
                  </c:pt>
                  <c:pt idx="349">
                    <c:v>Fokus, aktif berpartisipasi dan bertanya atau menanggapi</c:v>
                  </c:pt>
                  <c:pt idx="350">
                    <c:v>Beriman, bertakwa kepada Tuhan YME dan berakhlak mulia</c:v>
                  </c:pt>
                  <c:pt idx="352">
                    <c:v>Praktik Formatif</c:v>
                  </c:pt>
                  <c:pt idx="354">
                    <c:v>Kreasi</c:v>
                  </c:pt>
                  <c:pt idx="355">
                    <c:v>Konsep</c:v>
                  </c:pt>
                  <c:pt idx="357">
                    <c:v>Kognitif Formatif</c:v>
                  </c:pt>
                  <c:pt idx="358">
                    <c:v>Analisa</c:v>
                  </c:pt>
                  <c:pt idx="359">
                    <c:v>Discovery</c:v>
                  </c:pt>
                  <c:pt idx="360">
                    <c:v>Beriman, bertakwa kepada Tuhan YME dan berakhlak mulia</c:v>
                  </c:pt>
                  <c:pt idx="361">
                    <c:v>Kognitif Formatif</c:v>
                  </c:pt>
                  <c:pt idx="363">
                    <c:v>Mandiri</c:v>
                  </c:pt>
                  <c:pt idx="364">
                    <c:v>Beriman, bertakwa kepada Tuhan YME dan berakhlak mulia</c:v>
                  </c:pt>
                  <c:pt idx="365">
                    <c:v>Kognitif Formatif</c:v>
                  </c:pt>
                  <c:pt idx="367">
                    <c:v>Analisa</c:v>
                  </c:pt>
                  <c:pt idx="368">
                    <c:v>Konsep</c:v>
                  </c:pt>
                  <c:pt idx="369">
                    <c:v>Discovery</c:v>
                  </c:pt>
                  <c:pt idx="371">
                    <c:v>Kognitif Formatif</c:v>
                  </c:pt>
                  <c:pt idx="372">
                    <c:v>Fokus, aktif berpartisipasi dan bertanya atau menanggapi</c:v>
                  </c:pt>
                  <c:pt idx="373">
                    <c:v>Beriman, bertakwa kepada Tuhan YME dan berakhlak mulia</c:v>
                  </c:pt>
                  <c:pt idx="374">
                    <c:v>Praktik Formatif</c:v>
                  </c:pt>
                  <c:pt idx="375">
                    <c:v>Kreasi</c:v>
                  </c:pt>
                  <c:pt idx="376">
                    <c:v>Konsep</c:v>
                  </c:pt>
                  <c:pt idx="377">
                    <c:v>Kognitif Formatif</c:v>
                  </c:pt>
                  <c:pt idx="378">
                    <c:v>Analisa</c:v>
                  </c:pt>
                  <c:pt idx="379">
                    <c:v>Discovery</c:v>
                  </c:pt>
                  <c:pt idx="380">
                    <c:v>Kognitif Formatif</c:v>
                  </c:pt>
                  <c:pt idx="381">
                    <c:v>Konsep</c:v>
                  </c:pt>
                  <c:pt idx="382">
                    <c:v>Rencana Sukses</c:v>
                  </c:pt>
                  <c:pt idx="383">
                    <c:v>Mandiri</c:v>
                  </c:pt>
                  <c:pt idx="384">
                    <c:v>Beriman, bertakwa kepada Tuhan YME dan berakhlak mulia</c:v>
                  </c:pt>
                  <c:pt idx="385">
                    <c:v>Kognitif Formatif</c:v>
                  </c:pt>
                  <c:pt idx="386">
                    <c:v>Analisa</c:v>
                  </c:pt>
                  <c:pt idx="387">
                    <c:v>Konsep</c:v>
                  </c:pt>
                  <c:pt idx="388">
                    <c:v>Discovery</c:v>
                  </c:pt>
                </c:lvl>
                <c:lvl>
                  <c:pt idx="0">
                    <c:v>Minat</c:v>
                  </c:pt>
                  <c:pt idx="2">
                    <c:v>Karakter</c:v>
                  </c:pt>
                  <c:pt idx="4">
                    <c:v>Teori</c:v>
                  </c:pt>
                  <c:pt idx="7">
                    <c:v>Nalar</c:v>
                  </c:pt>
                  <c:pt idx="10">
                    <c:v>Teori</c:v>
                  </c:pt>
                  <c:pt idx="11">
                    <c:v>Minat</c:v>
                  </c:pt>
                  <c:pt idx="12">
                    <c:v>Karakter</c:v>
                  </c:pt>
                  <c:pt idx="14">
                    <c:v>Teori</c:v>
                  </c:pt>
                  <c:pt idx="16">
                    <c:v>Nalar</c:v>
                  </c:pt>
                  <c:pt idx="17">
                    <c:v>Skill</c:v>
                  </c:pt>
                  <c:pt idx="19">
                    <c:v>Teori</c:v>
                  </c:pt>
                  <c:pt idx="20">
                    <c:v>Nalar</c:v>
                  </c:pt>
                  <c:pt idx="21">
                    <c:v>Skill</c:v>
                  </c:pt>
                  <c:pt idx="22">
                    <c:v>Karakter</c:v>
                  </c:pt>
                  <c:pt idx="23">
                    <c:v>Teori</c:v>
                  </c:pt>
                  <c:pt idx="25">
                    <c:v>Skill</c:v>
                  </c:pt>
                  <c:pt idx="28">
                    <c:v>Karakter</c:v>
                  </c:pt>
                  <c:pt idx="30">
                    <c:v>Teori</c:v>
                  </c:pt>
                  <c:pt idx="32">
                    <c:v>Skill</c:v>
                  </c:pt>
                  <c:pt idx="34">
                    <c:v>Minat</c:v>
                  </c:pt>
                  <c:pt idx="36">
                    <c:v>Karakter</c:v>
                  </c:pt>
                  <c:pt idx="38">
                    <c:v>Teori</c:v>
                  </c:pt>
                  <c:pt idx="41">
                    <c:v>Nalar</c:v>
                  </c:pt>
                  <c:pt idx="44">
                    <c:v>Teori</c:v>
                  </c:pt>
                  <c:pt idx="45">
                    <c:v>Minat</c:v>
                  </c:pt>
                  <c:pt idx="46">
                    <c:v>Karakter</c:v>
                  </c:pt>
                  <c:pt idx="48">
                    <c:v>Teori</c:v>
                  </c:pt>
                  <c:pt idx="50">
                    <c:v>Nalar</c:v>
                  </c:pt>
                  <c:pt idx="51">
                    <c:v>Skill</c:v>
                  </c:pt>
                  <c:pt idx="53">
                    <c:v>Teori</c:v>
                  </c:pt>
                  <c:pt idx="54">
                    <c:v>Nalar</c:v>
                  </c:pt>
                  <c:pt idx="55">
                    <c:v>Skill</c:v>
                  </c:pt>
                  <c:pt idx="56">
                    <c:v>Karakter</c:v>
                  </c:pt>
                  <c:pt idx="57">
                    <c:v>Teori</c:v>
                  </c:pt>
                  <c:pt idx="59">
                    <c:v>Karakter</c:v>
                  </c:pt>
                  <c:pt idx="61">
                    <c:v>Teori</c:v>
                  </c:pt>
                  <c:pt idx="63">
                    <c:v>Nalar</c:v>
                  </c:pt>
                  <c:pt idx="64">
                    <c:v>Skill</c:v>
                  </c:pt>
                  <c:pt idx="67">
                    <c:v>Minat</c:v>
                  </c:pt>
                  <c:pt idx="69">
                    <c:v>Karakter</c:v>
                  </c:pt>
                  <c:pt idx="71">
                    <c:v>Teori</c:v>
                  </c:pt>
                  <c:pt idx="74">
                    <c:v>Nalar</c:v>
                  </c:pt>
                  <c:pt idx="77">
                    <c:v>Teori</c:v>
                  </c:pt>
                  <c:pt idx="78">
                    <c:v>Minat</c:v>
                  </c:pt>
                  <c:pt idx="79">
                    <c:v>Karakter</c:v>
                  </c:pt>
                  <c:pt idx="81">
                    <c:v>Teori</c:v>
                  </c:pt>
                  <c:pt idx="83">
                    <c:v>Nalar</c:v>
                  </c:pt>
                  <c:pt idx="84">
                    <c:v>Skill</c:v>
                  </c:pt>
                  <c:pt idx="86">
                    <c:v>Teori</c:v>
                  </c:pt>
                  <c:pt idx="87">
                    <c:v>Nalar</c:v>
                  </c:pt>
                  <c:pt idx="88">
                    <c:v>Skill</c:v>
                  </c:pt>
                  <c:pt idx="89">
                    <c:v>Karakter</c:v>
                  </c:pt>
                  <c:pt idx="90">
                    <c:v>Teori</c:v>
                  </c:pt>
                  <c:pt idx="92">
                    <c:v>Karakter</c:v>
                  </c:pt>
                  <c:pt idx="94">
                    <c:v>Teori</c:v>
                  </c:pt>
                  <c:pt idx="96">
                    <c:v>Nalar</c:v>
                  </c:pt>
                  <c:pt idx="97">
                    <c:v>Skill</c:v>
                  </c:pt>
                  <c:pt idx="100">
                    <c:v>Minat</c:v>
                  </c:pt>
                  <c:pt idx="102">
                    <c:v>Karakter</c:v>
                  </c:pt>
                  <c:pt idx="104">
                    <c:v>Teori</c:v>
                  </c:pt>
                  <c:pt idx="107">
                    <c:v>Nalar</c:v>
                  </c:pt>
                  <c:pt idx="110">
                    <c:v>Teori</c:v>
                  </c:pt>
                  <c:pt idx="111">
                    <c:v>Minat</c:v>
                  </c:pt>
                  <c:pt idx="112">
                    <c:v>Karakter</c:v>
                  </c:pt>
                  <c:pt idx="114">
                    <c:v>Teori</c:v>
                  </c:pt>
                  <c:pt idx="116">
                    <c:v>Nalar</c:v>
                  </c:pt>
                  <c:pt idx="117">
                    <c:v>Skill</c:v>
                  </c:pt>
                  <c:pt idx="119">
                    <c:v>Teori</c:v>
                  </c:pt>
                  <c:pt idx="120">
                    <c:v>Nalar</c:v>
                  </c:pt>
                  <c:pt idx="121">
                    <c:v>Skill</c:v>
                  </c:pt>
                  <c:pt idx="122">
                    <c:v>Karakter</c:v>
                  </c:pt>
                  <c:pt idx="123">
                    <c:v>Teori</c:v>
                  </c:pt>
                  <c:pt idx="125">
                    <c:v>Karakter</c:v>
                  </c:pt>
                  <c:pt idx="127">
                    <c:v>Teori</c:v>
                  </c:pt>
                  <c:pt idx="129">
                    <c:v>Nalar</c:v>
                  </c:pt>
                  <c:pt idx="130">
                    <c:v>Skill</c:v>
                  </c:pt>
                  <c:pt idx="133">
                    <c:v>Minat</c:v>
                  </c:pt>
                  <c:pt idx="135">
                    <c:v>Karakter</c:v>
                  </c:pt>
                  <c:pt idx="137">
                    <c:v>Teori</c:v>
                  </c:pt>
                  <c:pt idx="140">
                    <c:v>Nalar</c:v>
                  </c:pt>
                  <c:pt idx="143">
                    <c:v>Teori</c:v>
                  </c:pt>
                  <c:pt idx="144">
                    <c:v>Minat</c:v>
                  </c:pt>
                  <c:pt idx="145">
                    <c:v>Karakter</c:v>
                  </c:pt>
                  <c:pt idx="147">
                    <c:v>Teori</c:v>
                  </c:pt>
                  <c:pt idx="149">
                    <c:v>Nalar</c:v>
                  </c:pt>
                  <c:pt idx="150">
                    <c:v>Skill</c:v>
                  </c:pt>
                  <c:pt idx="152">
                    <c:v>Teori</c:v>
                  </c:pt>
                  <c:pt idx="153">
                    <c:v>Nalar</c:v>
                  </c:pt>
                  <c:pt idx="154">
                    <c:v>Skill</c:v>
                  </c:pt>
                  <c:pt idx="155">
                    <c:v>Karakter</c:v>
                  </c:pt>
                  <c:pt idx="156">
                    <c:v>Teori</c:v>
                  </c:pt>
                  <c:pt idx="158">
                    <c:v>Karakter</c:v>
                  </c:pt>
                  <c:pt idx="160">
                    <c:v>Teori</c:v>
                  </c:pt>
                  <c:pt idx="162">
                    <c:v>Skill</c:v>
                  </c:pt>
                  <c:pt idx="164">
                    <c:v>Minat</c:v>
                  </c:pt>
                  <c:pt idx="166">
                    <c:v>Karakter</c:v>
                  </c:pt>
                  <c:pt idx="168">
                    <c:v>Teori</c:v>
                  </c:pt>
                  <c:pt idx="171">
                    <c:v>Nalar</c:v>
                  </c:pt>
                  <c:pt idx="174">
                    <c:v>Teori</c:v>
                  </c:pt>
                  <c:pt idx="175">
                    <c:v>Minat</c:v>
                  </c:pt>
                  <c:pt idx="176">
                    <c:v>Karakter</c:v>
                  </c:pt>
                  <c:pt idx="178">
                    <c:v>Teori</c:v>
                  </c:pt>
                  <c:pt idx="180">
                    <c:v>Nalar</c:v>
                  </c:pt>
                  <c:pt idx="181">
                    <c:v>Skill</c:v>
                  </c:pt>
                  <c:pt idx="183">
                    <c:v>Teori</c:v>
                  </c:pt>
                  <c:pt idx="184">
                    <c:v>Nalar</c:v>
                  </c:pt>
                  <c:pt idx="185">
                    <c:v>Skill</c:v>
                  </c:pt>
                  <c:pt idx="186">
                    <c:v>Karakter</c:v>
                  </c:pt>
                  <c:pt idx="187">
                    <c:v>Teori</c:v>
                  </c:pt>
                  <c:pt idx="189">
                    <c:v>Karakter</c:v>
                  </c:pt>
                  <c:pt idx="191">
                    <c:v>Teori</c:v>
                  </c:pt>
                  <c:pt idx="193">
                    <c:v>Nalar</c:v>
                  </c:pt>
                  <c:pt idx="194">
                    <c:v>Skill</c:v>
                  </c:pt>
                  <c:pt idx="197">
                    <c:v>Minat</c:v>
                  </c:pt>
                  <c:pt idx="199">
                    <c:v>Karakter</c:v>
                  </c:pt>
                  <c:pt idx="201">
                    <c:v>Teori</c:v>
                  </c:pt>
                  <c:pt idx="204">
                    <c:v>Nalar</c:v>
                  </c:pt>
                  <c:pt idx="207">
                    <c:v>Teori</c:v>
                  </c:pt>
                  <c:pt idx="208">
                    <c:v>Karakter</c:v>
                  </c:pt>
                  <c:pt idx="209">
                    <c:v>Teori</c:v>
                  </c:pt>
                  <c:pt idx="211">
                    <c:v>Skill</c:v>
                  </c:pt>
                  <c:pt idx="213">
                    <c:v>Teori</c:v>
                  </c:pt>
                  <c:pt idx="214">
                    <c:v>Nalar</c:v>
                  </c:pt>
                  <c:pt idx="215">
                    <c:v>Skill</c:v>
                  </c:pt>
                  <c:pt idx="216">
                    <c:v>Karakter</c:v>
                  </c:pt>
                  <c:pt idx="217">
                    <c:v>Teori</c:v>
                  </c:pt>
                  <c:pt idx="219">
                    <c:v>Skill</c:v>
                  </c:pt>
                  <c:pt idx="222">
                    <c:v>Karakter</c:v>
                  </c:pt>
                  <c:pt idx="224">
                    <c:v>Teori</c:v>
                  </c:pt>
                  <c:pt idx="226">
                    <c:v>Nalar</c:v>
                  </c:pt>
                  <c:pt idx="227">
                    <c:v>Skill</c:v>
                  </c:pt>
                  <c:pt idx="230">
                    <c:v>Minat</c:v>
                  </c:pt>
                  <c:pt idx="232">
                    <c:v>Karakter</c:v>
                  </c:pt>
                  <c:pt idx="234">
                    <c:v>Teori</c:v>
                  </c:pt>
                  <c:pt idx="237">
                    <c:v>Nalar</c:v>
                  </c:pt>
                  <c:pt idx="240">
                    <c:v>Teori</c:v>
                  </c:pt>
                  <c:pt idx="241">
                    <c:v>Minat</c:v>
                  </c:pt>
                  <c:pt idx="242">
                    <c:v>Karakter</c:v>
                  </c:pt>
                  <c:pt idx="244">
                    <c:v>Teori</c:v>
                  </c:pt>
                  <c:pt idx="246">
                    <c:v>Nalar</c:v>
                  </c:pt>
                  <c:pt idx="247">
                    <c:v>Skill</c:v>
                  </c:pt>
                  <c:pt idx="249">
                    <c:v>Teori</c:v>
                  </c:pt>
                  <c:pt idx="250">
                    <c:v>Nalar</c:v>
                  </c:pt>
                  <c:pt idx="251">
                    <c:v>Skill</c:v>
                  </c:pt>
                  <c:pt idx="252">
                    <c:v>Karakter</c:v>
                  </c:pt>
                  <c:pt idx="253">
                    <c:v>Teori</c:v>
                  </c:pt>
                  <c:pt idx="255">
                    <c:v>Skill</c:v>
                  </c:pt>
                  <c:pt idx="258">
                    <c:v>Karakter</c:v>
                  </c:pt>
                  <c:pt idx="260">
                    <c:v>Teori</c:v>
                  </c:pt>
                  <c:pt idx="262">
                    <c:v>Nalar</c:v>
                  </c:pt>
                  <c:pt idx="263">
                    <c:v>Skill</c:v>
                  </c:pt>
                  <c:pt idx="266">
                    <c:v>Minat</c:v>
                  </c:pt>
                  <c:pt idx="268">
                    <c:v>Karakter</c:v>
                  </c:pt>
                  <c:pt idx="270">
                    <c:v>Teori</c:v>
                  </c:pt>
                  <c:pt idx="273">
                    <c:v>Nalar</c:v>
                  </c:pt>
                  <c:pt idx="276">
                    <c:v>Teori</c:v>
                  </c:pt>
                  <c:pt idx="277">
                    <c:v>Minat</c:v>
                  </c:pt>
                  <c:pt idx="278">
                    <c:v>Karakter</c:v>
                  </c:pt>
                  <c:pt idx="280">
                    <c:v>Teori</c:v>
                  </c:pt>
                  <c:pt idx="282">
                    <c:v>Nalar</c:v>
                  </c:pt>
                  <c:pt idx="283">
                    <c:v>Skill</c:v>
                  </c:pt>
                  <c:pt idx="285">
                    <c:v>Teori</c:v>
                  </c:pt>
                  <c:pt idx="286">
                    <c:v>Nalar</c:v>
                  </c:pt>
                  <c:pt idx="287">
                    <c:v>Skill</c:v>
                  </c:pt>
                  <c:pt idx="288">
                    <c:v>Karakter</c:v>
                  </c:pt>
                  <c:pt idx="289">
                    <c:v>Teori</c:v>
                  </c:pt>
                  <c:pt idx="291">
                    <c:v>Skill</c:v>
                  </c:pt>
                  <c:pt idx="294">
                    <c:v>Karakter</c:v>
                  </c:pt>
                  <c:pt idx="296">
                    <c:v>Teori</c:v>
                  </c:pt>
                  <c:pt idx="298">
                    <c:v>Nalar</c:v>
                  </c:pt>
                  <c:pt idx="299">
                    <c:v>Skill</c:v>
                  </c:pt>
                  <c:pt idx="302">
                    <c:v>Minat</c:v>
                  </c:pt>
                  <c:pt idx="304">
                    <c:v>Karakter</c:v>
                  </c:pt>
                  <c:pt idx="306">
                    <c:v>Teori</c:v>
                  </c:pt>
                  <c:pt idx="309">
                    <c:v>Nalar</c:v>
                  </c:pt>
                  <c:pt idx="312">
                    <c:v>Teori</c:v>
                  </c:pt>
                  <c:pt idx="313">
                    <c:v>Minat</c:v>
                  </c:pt>
                  <c:pt idx="314">
                    <c:v>Karakter</c:v>
                  </c:pt>
                  <c:pt idx="316">
                    <c:v>Teori</c:v>
                  </c:pt>
                  <c:pt idx="318">
                    <c:v>Nalar</c:v>
                  </c:pt>
                  <c:pt idx="319">
                    <c:v>Skill</c:v>
                  </c:pt>
                  <c:pt idx="321">
                    <c:v>Teori</c:v>
                  </c:pt>
                  <c:pt idx="322">
                    <c:v>Nalar</c:v>
                  </c:pt>
                  <c:pt idx="323">
                    <c:v>Skill</c:v>
                  </c:pt>
                  <c:pt idx="324">
                    <c:v>Karakter</c:v>
                  </c:pt>
                  <c:pt idx="325">
                    <c:v>Teori</c:v>
                  </c:pt>
                  <c:pt idx="327">
                    <c:v>Skill</c:v>
                  </c:pt>
                  <c:pt idx="330">
                    <c:v>Karakter</c:v>
                  </c:pt>
                  <c:pt idx="332">
                    <c:v>Teori</c:v>
                  </c:pt>
                  <c:pt idx="334">
                    <c:v>Nalar</c:v>
                  </c:pt>
                  <c:pt idx="335">
                    <c:v>Skill</c:v>
                  </c:pt>
                  <c:pt idx="338">
                    <c:v>Minat</c:v>
                  </c:pt>
                  <c:pt idx="340">
                    <c:v>Karakter</c:v>
                  </c:pt>
                  <c:pt idx="342">
                    <c:v>Teori</c:v>
                  </c:pt>
                  <c:pt idx="345">
                    <c:v>Nalar</c:v>
                  </c:pt>
                  <c:pt idx="348">
                    <c:v>Teori</c:v>
                  </c:pt>
                  <c:pt idx="349">
                    <c:v>Minat</c:v>
                  </c:pt>
                  <c:pt idx="350">
                    <c:v>Karakter</c:v>
                  </c:pt>
                  <c:pt idx="352">
                    <c:v>Teori</c:v>
                  </c:pt>
                  <c:pt idx="354">
                    <c:v>Nalar</c:v>
                  </c:pt>
                  <c:pt idx="355">
                    <c:v>Skill</c:v>
                  </c:pt>
                  <c:pt idx="357">
                    <c:v>Teori</c:v>
                  </c:pt>
                  <c:pt idx="358">
                    <c:v>Nalar</c:v>
                  </c:pt>
                  <c:pt idx="359">
                    <c:v>Skill</c:v>
                  </c:pt>
                  <c:pt idx="360">
                    <c:v>Karakter</c:v>
                  </c:pt>
                  <c:pt idx="361">
                    <c:v>Teori</c:v>
                  </c:pt>
                  <c:pt idx="363">
                    <c:v>Karakter</c:v>
                  </c:pt>
                  <c:pt idx="365">
                    <c:v>Teori</c:v>
                  </c:pt>
                  <c:pt idx="367">
                    <c:v>Nalar</c:v>
                  </c:pt>
                  <c:pt idx="368">
                    <c:v>Skill</c:v>
                  </c:pt>
                  <c:pt idx="371">
                    <c:v>Teori</c:v>
                  </c:pt>
                  <c:pt idx="372">
                    <c:v>Minat</c:v>
                  </c:pt>
                  <c:pt idx="373">
                    <c:v>Karakter</c:v>
                  </c:pt>
                  <c:pt idx="374">
                    <c:v>Teori</c:v>
                  </c:pt>
                  <c:pt idx="375">
                    <c:v>Nalar</c:v>
                  </c:pt>
                  <c:pt idx="376">
                    <c:v>Skill</c:v>
                  </c:pt>
                  <c:pt idx="377">
                    <c:v>Teori</c:v>
                  </c:pt>
                  <c:pt idx="378">
                    <c:v>Nalar</c:v>
                  </c:pt>
                  <c:pt idx="379">
                    <c:v>Skill</c:v>
                  </c:pt>
                  <c:pt idx="380">
                    <c:v>Teori</c:v>
                  </c:pt>
                  <c:pt idx="381">
                    <c:v>Skill</c:v>
                  </c:pt>
                  <c:pt idx="383">
                    <c:v>Karakter</c:v>
                  </c:pt>
                  <c:pt idx="385">
                    <c:v>Teori</c:v>
                  </c:pt>
                  <c:pt idx="386">
                    <c:v>Nalar</c:v>
                  </c:pt>
                  <c:pt idx="387">
                    <c:v>Skill</c:v>
                  </c:pt>
                </c:lvl>
                <c:lvl>
                  <c:pt idx="0">
                    <c:v>B.Indo</c:v>
                  </c:pt>
                  <c:pt idx="10">
                    <c:v>Biologi</c:v>
                  </c:pt>
                  <c:pt idx="11">
                    <c:v>TIK</c:v>
                  </c:pt>
                  <c:pt idx="19">
                    <c:v>Kimia</c:v>
                  </c:pt>
                  <c:pt idx="22">
                    <c:v>Math</c:v>
                  </c:pt>
                  <c:pt idx="25">
                    <c:v>Kopi</c:v>
                  </c:pt>
                  <c:pt idx="28">
                    <c:v>B.Ing</c:v>
                  </c:pt>
                  <c:pt idx="34">
                    <c:v>B.Indo</c:v>
                  </c:pt>
                  <c:pt idx="44">
                    <c:v>Biologi</c:v>
                  </c:pt>
                  <c:pt idx="45">
                    <c:v>TIK</c:v>
                  </c:pt>
                  <c:pt idx="53">
                    <c:v>Kimia</c:v>
                  </c:pt>
                  <c:pt idx="56">
                    <c:v>Math</c:v>
                  </c:pt>
                  <c:pt idx="59">
                    <c:v>B.Ing</c:v>
                  </c:pt>
                  <c:pt idx="67">
                    <c:v>B.Indo</c:v>
                  </c:pt>
                  <c:pt idx="77">
                    <c:v>Biologi</c:v>
                  </c:pt>
                  <c:pt idx="78">
                    <c:v>TIK</c:v>
                  </c:pt>
                  <c:pt idx="86">
                    <c:v>Kimia</c:v>
                  </c:pt>
                  <c:pt idx="89">
                    <c:v>Math</c:v>
                  </c:pt>
                  <c:pt idx="92">
                    <c:v>B.Ing</c:v>
                  </c:pt>
                  <c:pt idx="100">
                    <c:v>B.Indo</c:v>
                  </c:pt>
                  <c:pt idx="110">
                    <c:v>Biologi</c:v>
                  </c:pt>
                  <c:pt idx="111">
                    <c:v>TIK</c:v>
                  </c:pt>
                  <c:pt idx="119">
                    <c:v>Kimia</c:v>
                  </c:pt>
                  <c:pt idx="122">
                    <c:v>Math</c:v>
                  </c:pt>
                  <c:pt idx="125">
                    <c:v>B.Ing</c:v>
                  </c:pt>
                  <c:pt idx="133">
                    <c:v>B.Indo</c:v>
                  </c:pt>
                  <c:pt idx="143">
                    <c:v>Biologi</c:v>
                  </c:pt>
                  <c:pt idx="144">
                    <c:v>TIK</c:v>
                  </c:pt>
                  <c:pt idx="152">
                    <c:v>Kimia</c:v>
                  </c:pt>
                  <c:pt idx="155">
                    <c:v>Math</c:v>
                  </c:pt>
                  <c:pt idx="158">
                    <c:v>B.Ing</c:v>
                  </c:pt>
                  <c:pt idx="164">
                    <c:v>B.Indo</c:v>
                  </c:pt>
                  <c:pt idx="174">
                    <c:v>Biologi</c:v>
                  </c:pt>
                  <c:pt idx="175">
                    <c:v>TIK</c:v>
                  </c:pt>
                  <c:pt idx="183">
                    <c:v>Kimia</c:v>
                  </c:pt>
                  <c:pt idx="186">
                    <c:v>Math</c:v>
                  </c:pt>
                  <c:pt idx="189">
                    <c:v>B.Ing</c:v>
                  </c:pt>
                  <c:pt idx="197">
                    <c:v>B.Indo</c:v>
                  </c:pt>
                  <c:pt idx="207">
                    <c:v>Biologi</c:v>
                  </c:pt>
                  <c:pt idx="208">
                    <c:v>TIK</c:v>
                  </c:pt>
                  <c:pt idx="213">
                    <c:v>Kimia</c:v>
                  </c:pt>
                  <c:pt idx="216">
                    <c:v>Math</c:v>
                  </c:pt>
                  <c:pt idx="219">
                    <c:v>Kopi</c:v>
                  </c:pt>
                  <c:pt idx="222">
                    <c:v>B.Ing</c:v>
                  </c:pt>
                  <c:pt idx="230">
                    <c:v>B.Indo</c:v>
                  </c:pt>
                  <c:pt idx="240">
                    <c:v>Biologi</c:v>
                  </c:pt>
                  <c:pt idx="241">
                    <c:v>TIK</c:v>
                  </c:pt>
                  <c:pt idx="249">
                    <c:v>Kimia</c:v>
                  </c:pt>
                  <c:pt idx="252">
                    <c:v>Math</c:v>
                  </c:pt>
                  <c:pt idx="255">
                    <c:v>Kopi</c:v>
                  </c:pt>
                  <c:pt idx="258">
                    <c:v>B.Ing</c:v>
                  </c:pt>
                  <c:pt idx="266">
                    <c:v>B.Indo</c:v>
                  </c:pt>
                  <c:pt idx="276">
                    <c:v>Biologi</c:v>
                  </c:pt>
                  <c:pt idx="277">
                    <c:v>TIK</c:v>
                  </c:pt>
                  <c:pt idx="285">
                    <c:v>Kimia</c:v>
                  </c:pt>
                  <c:pt idx="288">
                    <c:v>Math</c:v>
                  </c:pt>
                  <c:pt idx="291">
                    <c:v>Kopi</c:v>
                  </c:pt>
                  <c:pt idx="294">
                    <c:v>B.Ing</c:v>
                  </c:pt>
                  <c:pt idx="302">
                    <c:v>B.Indo</c:v>
                  </c:pt>
                  <c:pt idx="312">
                    <c:v>Biologi</c:v>
                  </c:pt>
                  <c:pt idx="313">
                    <c:v>TIK</c:v>
                  </c:pt>
                  <c:pt idx="321">
                    <c:v>Kimia</c:v>
                  </c:pt>
                  <c:pt idx="324">
                    <c:v>Math</c:v>
                  </c:pt>
                  <c:pt idx="327">
                    <c:v>Kopi</c:v>
                  </c:pt>
                  <c:pt idx="330">
                    <c:v>B.Ing</c:v>
                  </c:pt>
                  <c:pt idx="338">
                    <c:v>B.Indo</c:v>
                  </c:pt>
                  <c:pt idx="348">
                    <c:v>Biologi</c:v>
                  </c:pt>
                  <c:pt idx="349">
                    <c:v>TIK</c:v>
                  </c:pt>
                  <c:pt idx="357">
                    <c:v>Kimia</c:v>
                  </c:pt>
                  <c:pt idx="360">
                    <c:v>Math</c:v>
                  </c:pt>
                  <c:pt idx="363">
                    <c:v>B.Ing</c:v>
                  </c:pt>
                  <c:pt idx="371">
                    <c:v>Biologi</c:v>
                  </c:pt>
                  <c:pt idx="372">
                    <c:v>TIK</c:v>
                  </c:pt>
                  <c:pt idx="377">
                    <c:v>Kimia</c:v>
                  </c:pt>
                  <c:pt idx="380">
                    <c:v>Math</c:v>
                  </c:pt>
                  <c:pt idx="381">
                    <c:v>Kopi</c:v>
                  </c:pt>
                  <c:pt idx="383">
                    <c:v>B.Ing</c:v>
                  </c:pt>
                </c:lvl>
                <c:lvl>
                  <c:pt idx="0">
                    <c:v>Agustinus Tipagau</c:v>
                  </c:pt>
                  <c:pt idx="34">
                    <c:v>Apia Miagoni</c:v>
                  </c:pt>
                  <c:pt idx="67">
                    <c:v>Etty Ebrata Holombau</c:v>
                  </c:pt>
                  <c:pt idx="100">
                    <c:v>Jonias Bagau</c:v>
                  </c:pt>
                  <c:pt idx="133">
                    <c:v>Jupiten Bagau</c:v>
                  </c:pt>
                  <c:pt idx="164">
                    <c:v>Lince Tigi</c:v>
                  </c:pt>
                  <c:pt idx="197">
                    <c:v>Lovin Miagoni</c:v>
                  </c:pt>
                  <c:pt idx="230">
                    <c:v>Onance Mbaguau</c:v>
                  </c:pt>
                  <c:pt idx="266">
                    <c:v>Roison Sondegau</c:v>
                  </c:pt>
                  <c:pt idx="302">
                    <c:v>Wenes Tapani</c:v>
                  </c:pt>
                  <c:pt idx="338">
                    <c:v>Yoas Bagau</c:v>
                  </c:pt>
                  <c:pt idx="371">
                    <c:v>Yohanes Bagau </c:v>
                  </c:pt>
                </c:lvl>
                <c:lvl>
                  <c:pt idx="0">
                    <c:v>11A</c:v>
                  </c:pt>
                </c:lvl>
              </c:multiLvlStrCache>
            </c:multiLvlStrRef>
          </c:cat>
          <c:val>
            <c:numRef>
              <c:f>'rerata siswa'!$AI$3:$AI$391</c:f>
              <c:numCache>
                <c:formatCode>_(* #,##0_);_(* \(#,##0\);_(* "-"_);_(@_)</c:formatCode>
                <c:ptCount val="389"/>
                <c:pt idx="0">
                  <c:v>68.5</c:v>
                </c:pt>
                <c:pt idx="1">
                  <c:v>70</c:v>
                </c:pt>
                <c:pt idx="2">
                  <c:v>70</c:v>
                </c:pt>
                <c:pt idx="3">
                  <c:v>67.5</c:v>
                </c:pt>
                <c:pt idx="4">
                  <c:v>68.75</c:v>
                </c:pt>
                <c:pt idx="5">
                  <c:v>66.333333333333329</c:v>
                </c:pt>
                <c:pt idx="6">
                  <c:v>10</c:v>
                </c:pt>
                <c:pt idx="7">
                  <c:v>65</c:v>
                </c:pt>
                <c:pt idx="8">
                  <c:v>65.666666666666671</c:v>
                </c:pt>
                <c:pt idx="9">
                  <c:v>68</c:v>
                </c:pt>
                <c:pt idx="10">
                  <c:v>40</c:v>
                </c:pt>
                <c:pt idx="11">
                  <c:v>65</c:v>
                </c:pt>
                <c:pt idx="12">
                  <c:v>70</c:v>
                </c:pt>
                <c:pt idx="13">
                  <c:v>75</c:v>
                </c:pt>
                <c:pt idx="14">
                  <c:v>60</c:v>
                </c:pt>
                <c:pt idx="15">
                  <c:v>50</c:v>
                </c:pt>
                <c:pt idx="16">
                  <c:v>60</c:v>
                </c:pt>
                <c:pt idx="17">
                  <c:v>60</c:v>
                </c:pt>
                <c:pt idx="18">
                  <c:v>55</c:v>
                </c:pt>
                <c:pt idx="19">
                  <c:v>66</c:v>
                </c:pt>
                <c:pt idx="20">
                  <c:v>70</c:v>
                </c:pt>
                <c:pt idx="21">
                  <c:v>65</c:v>
                </c:pt>
                <c:pt idx="22">
                  <c:v>90</c:v>
                </c:pt>
                <c:pt idx="23">
                  <c:v>62.5</c:v>
                </c:pt>
                <c:pt idx="24">
                  <c:v>81.400000000000006</c:v>
                </c:pt>
                <c:pt idx="25">
                  <c:v>65</c:v>
                </c:pt>
                <c:pt idx="26">
                  <c:v>80</c:v>
                </c:pt>
                <c:pt idx="27">
                  <c:v>80</c:v>
                </c:pt>
                <c:pt idx="28">
                  <c:v>30</c:v>
                </c:pt>
                <c:pt idx="29">
                  <c:v>25</c:v>
                </c:pt>
                <c:pt idx="30">
                  <c:v>10</c:v>
                </c:pt>
                <c:pt idx="31">
                  <c:v>60</c:v>
                </c:pt>
                <c:pt idx="32">
                  <c:v>10</c:v>
                </c:pt>
                <c:pt idx="33">
                  <c:v>67.5</c:v>
                </c:pt>
                <c:pt idx="34">
                  <c:v>68.75</c:v>
                </c:pt>
                <c:pt idx="35">
                  <c:v>72.5</c:v>
                </c:pt>
                <c:pt idx="36">
                  <c:v>70</c:v>
                </c:pt>
                <c:pt idx="37">
                  <c:v>75</c:v>
                </c:pt>
                <c:pt idx="38">
                  <c:v>87</c:v>
                </c:pt>
                <c:pt idx="39">
                  <c:v>70</c:v>
                </c:pt>
                <c:pt idx="40">
                  <c:v>20</c:v>
                </c:pt>
                <c:pt idx="41">
                  <c:v>68.333333333333329</c:v>
                </c:pt>
                <c:pt idx="42">
                  <c:v>73</c:v>
                </c:pt>
                <c:pt idx="43">
                  <c:v>70</c:v>
                </c:pt>
                <c:pt idx="44">
                  <c:v>100</c:v>
                </c:pt>
                <c:pt idx="45">
                  <c:v>80</c:v>
                </c:pt>
                <c:pt idx="46">
                  <c:v>80</c:v>
                </c:pt>
                <c:pt idx="47">
                  <c:v>80</c:v>
                </c:pt>
                <c:pt idx="48">
                  <c:v>75</c:v>
                </c:pt>
                <c:pt idx="49">
                  <c:v>68</c:v>
                </c:pt>
                <c:pt idx="50">
                  <c:v>70</c:v>
                </c:pt>
                <c:pt idx="51">
                  <c:v>75</c:v>
                </c:pt>
                <c:pt idx="52">
                  <c:v>68</c:v>
                </c:pt>
                <c:pt idx="53">
                  <c:v>78.5</c:v>
                </c:pt>
                <c:pt idx="54">
                  <c:v>70</c:v>
                </c:pt>
                <c:pt idx="55">
                  <c:v>100</c:v>
                </c:pt>
                <c:pt idx="56">
                  <c:v>90</c:v>
                </c:pt>
                <c:pt idx="57">
                  <c:v>63</c:v>
                </c:pt>
                <c:pt idx="58">
                  <c:v>73.2</c:v>
                </c:pt>
                <c:pt idx="59">
                  <c:v>90</c:v>
                </c:pt>
                <c:pt idx="60">
                  <c:v>100</c:v>
                </c:pt>
                <c:pt idx="61">
                  <c:v>82.333333333333329</c:v>
                </c:pt>
                <c:pt idx="62">
                  <c:v>60</c:v>
                </c:pt>
                <c:pt idx="63">
                  <c:v>68</c:v>
                </c:pt>
                <c:pt idx="64">
                  <c:v>94</c:v>
                </c:pt>
                <c:pt idx="65">
                  <c:v>68</c:v>
                </c:pt>
                <c:pt idx="66">
                  <c:v>67.5</c:v>
                </c:pt>
                <c:pt idx="67">
                  <c:v>71.25</c:v>
                </c:pt>
                <c:pt idx="68">
                  <c:v>72.5</c:v>
                </c:pt>
                <c:pt idx="69">
                  <c:v>69.75</c:v>
                </c:pt>
                <c:pt idx="70">
                  <c:v>75</c:v>
                </c:pt>
                <c:pt idx="71">
                  <c:v>74.5</c:v>
                </c:pt>
                <c:pt idx="72">
                  <c:v>71.666666666666671</c:v>
                </c:pt>
                <c:pt idx="73">
                  <c:v>25</c:v>
                </c:pt>
                <c:pt idx="74">
                  <c:v>65.666666666666671</c:v>
                </c:pt>
                <c:pt idx="75">
                  <c:v>76.333333333333329</c:v>
                </c:pt>
                <c:pt idx="76">
                  <c:v>68</c:v>
                </c:pt>
                <c:pt idx="77">
                  <c:v>98</c:v>
                </c:pt>
                <c:pt idx="78">
                  <c:v>80</c:v>
                </c:pt>
                <c:pt idx="79">
                  <c:v>80</c:v>
                </c:pt>
                <c:pt idx="80">
                  <c:v>80</c:v>
                </c:pt>
                <c:pt idx="81">
                  <c:v>62.5</c:v>
                </c:pt>
                <c:pt idx="82">
                  <c:v>65</c:v>
                </c:pt>
                <c:pt idx="83">
                  <c:v>60</c:v>
                </c:pt>
                <c:pt idx="84">
                  <c:v>62.5</c:v>
                </c:pt>
                <c:pt idx="85">
                  <c:v>65</c:v>
                </c:pt>
                <c:pt idx="86">
                  <c:v>81</c:v>
                </c:pt>
                <c:pt idx="87">
                  <c:v>70</c:v>
                </c:pt>
                <c:pt idx="88">
                  <c:v>100</c:v>
                </c:pt>
                <c:pt idx="89">
                  <c:v>90</c:v>
                </c:pt>
                <c:pt idx="90">
                  <c:v>60.714285714285715</c:v>
                </c:pt>
                <c:pt idx="91">
                  <c:v>82.6</c:v>
                </c:pt>
                <c:pt idx="92">
                  <c:v>90</c:v>
                </c:pt>
                <c:pt idx="93">
                  <c:v>100</c:v>
                </c:pt>
                <c:pt idx="94">
                  <c:v>53</c:v>
                </c:pt>
                <c:pt idx="95">
                  <c:v>61.666666666666664</c:v>
                </c:pt>
                <c:pt idx="96">
                  <c:v>5</c:v>
                </c:pt>
                <c:pt idx="97">
                  <c:v>66</c:v>
                </c:pt>
                <c:pt idx="98">
                  <c:v>5</c:v>
                </c:pt>
                <c:pt idx="99">
                  <c:v>65</c:v>
                </c:pt>
                <c:pt idx="100">
                  <c:v>68.5</c:v>
                </c:pt>
                <c:pt idx="101">
                  <c:v>70</c:v>
                </c:pt>
                <c:pt idx="102">
                  <c:v>69.75</c:v>
                </c:pt>
                <c:pt idx="103">
                  <c:v>67.5</c:v>
                </c:pt>
                <c:pt idx="104">
                  <c:v>53.75</c:v>
                </c:pt>
                <c:pt idx="105">
                  <c:v>65</c:v>
                </c:pt>
                <c:pt idx="106">
                  <c:v>23</c:v>
                </c:pt>
                <c:pt idx="107">
                  <c:v>58.333333333333336</c:v>
                </c:pt>
                <c:pt idx="108">
                  <c:v>65</c:v>
                </c:pt>
                <c:pt idx="109">
                  <c:v>60</c:v>
                </c:pt>
                <c:pt idx="110">
                  <c:v>91</c:v>
                </c:pt>
                <c:pt idx="111">
                  <c:v>50</c:v>
                </c:pt>
                <c:pt idx="112">
                  <c:v>65</c:v>
                </c:pt>
                <c:pt idx="113">
                  <c:v>65</c:v>
                </c:pt>
                <c:pt idx="114">
                  <c:v>40</c:v>
                </c:pt>
                <c:pt idx="115">
                  <c:v>40</c:v>
                </c:pt>
                <c:pt idx="116">
                  <c:v>40</c:v>
                </c:pt>
                <c:pt idx="117">
                  <c:v>40</c:v>
                </c:pt>
                <c:pt idx="118">
                  <c:v>40</c:v>
                </c:pt>
                <c:pt idx="119">
                  <c:v>73.5</c:v>
                </c:pt>
                <c:pt idx="120">
                  <c:v>65</c:v>
                </c:pt>
                <c:pt idx="121">
                  <c:v>65</c:v>
                </c:pt>
                <c:pt idx="122">
                  <c:v>65</c:v>
                </c:pt>
                <c:pt idx="123">
                  <c:v>50</c:v>
                </c:pt>
                <c:pt idx="124">
                  <c:v>73.599999999999994</c:v>
                </c:pt>
                <c:pt idx="125">
                  <c:v>65</c:v>
                </c:pt>
                <c:pt idx="126">
                  <c:v>35</c:v>
                </c:pt>
                <c:pt idx="127">
                  <c:v>41.333333333333336</c:v>
                </c:pt>
                <c:pt idx="128">
                  <c:v>42.5</c:v>
                </c:pt>
                <c:pt idx="129">
                  <c:v>9</c:v>
                </c:pt>
                <c:pt idx="130">
                  <c:v>100</c:v>
                </c:pt>
                <c:pt idx="131">
                  <c:v>9</c:v>
                </c:pt>
                <c:pt idx="132">
                  <c:v>42.5</c:v>
                </c:pt>
                <c:pt idx="133">
                  <c:v>68.75</c:v>
                </c:pt>
                <c:pt idx="134">
                  <c:v>70</c:v>
                </c:pt>
                <c:pt idx="135">
                  <c:v>70</c:v>
                </c:pt>
                <c:pt idx="136">
                  <c:v>70</c:v>
                </c:pt>
                <c:pt idx="137">
                  <c:v>58.75</c:v>
                </c:pt>
                <c:pt idx="138">
                  <c:v>58.333333333333336</c:v>
                </c:pt>
                <c:pt idx="139">
                  <c:v>18</c:v>
                </c:pt>
                <c:pt idx="140">
                  <c:v>65</c:v>
                </c:pt>
                <c:pt idx="141">
                  <c:v>73</c:v>
                </c:pt>
                <c:pt idx="142">
                  <c:v>60</c:v>
                </c:pt>
                <c:pt idx="143">
                  <c:v>40</c:v>
                </c:pt>
                <c:pt idx="144">
                  <c:v>60</c:v>
                </c:pt>
                <c:pt idx="145">
                  <c:v>65</c:v>
                </c:pt>
                <c:pt idx="146">
                  <c:v>65</c:v>
                </c:pt>
                <c:pt idx="147">
                  <c:v>60</c:v>
                </c:pt>
                <c:pt idx="148">
                  <c:v>58</c:v>
                </c:pt>
                <c:pt idx="149">
                  <c:v>60</c:v>
                </c:pt>
                <c:pt idx="150">
                  <c:v>60</c:v>
                </c:pt>
                <c:pt idx="151">
                  <c:v>60</c:v>
                </c:pt>
                <c:pt idx="152">
                  <c:v>66</c:v>
                </c:pt>
                <c:pt idx="153">
                  <c:v>65</c:v>
                </c:pt>
                <c:pt idx="154">
                  <c:v>65</c:v>
                </c:pt>
                <c:pt idx="155">
                  <c:v>65</c:v>
                </c:pt>
                <c:pt idx="156">
                  <c:v>45</c:v>
                </c:pt>
                <c:pt idx="157">
                  <c:v>63.6</c:v>
                </c:pt>
                <c:pt idx="158">
                  <c:v>60</c:v>
                </c:pt>
                <c:pt idx="159">
                  <c:v>50</c:v>
                </c:pt>
                <c:pt idx="160">
                  <c:v>10</c:v>
                </c:pt>
                <c:pt idx="161">
                  <c:v>65</c:v>
                </c:pt>
                <c:pt idx="162">
                  <c:v>10</c:v>
                </c:pt>
                <c:pt idx="163">
                  <c:v>70</c:v>
                </c:pt>
                <c:pt idx="164">
                  <c:v>71.25</c:v>
                </c:pt>
                <c:pt idx="165">
                  <c:v>72.5</c:v>
                </c:pt>
                <c:pt idx="166">
                  <c:v>70</c:v>
                </c:pt>
                <c:pt idx="167">
                  <c:v>75</c:v>
                </c:pt>
                <c:pt idx="168">
                  <c:v>87.5</c:v>
                </c:pt>
                <c:pt idx="169">
                  <c:v>72.333333333333329</c:v>
                </c:pt>
                <c:pt idx="170">
                  <c:v>23</c:v>
                </c:pt>
                <c:pt idx="171">
                  <c:v>69.333333333333329</c:v>
                </c:pt>
                <c:pt idx="172">
                  <c:v>76.666666666666671</c:v>
                </c:pt>
                <c:pt idx="173">
                  <c:v>70</c:v>
                </c:pt>
                <c:pt idx="174">
                  <c:v>89</c:v>
                </c:pt>
                <c:pt idx="175">
                  <c:v>80</c:v>
                </c:pt>
                <c:pt idx="176">
                  <c:v>80</c:v>
                </c:pt>
                <c:pt idx="177">
                  <c:v>80</c:v>
                </c:pt>
                <c:pt idx="178">
                  <c:v>72.5</c:v>
                </c:pt>
                <c:pt idx="179">
                  <c:v>68</c:v>
                </c:pt>
                <c:pt idx="180">
                  <c:v>70</c:v>
                </c:pt>
                <c:pt idx="181">
                  <c:v>72.5</c:v>
                </c:pt>
                <c:pt idx="182">
                  <c:v>68</c:v>
                </c:pt>
                <c:pt idx="183">
                  <c:v>87.5</c:v>
                </c:pt>
                <c:pt idx="184">
                  <c:v>70</c:v>
                </c:pt>
                <c:pt idx="185">
                  <c:v>100</c:v>
                </c:pt>
                <c:pt idx="186">
                  <c:v>90</c:v>
                </c:pt>
                <c:pt idx="187">
                  <c:v>82.142857142857139</c:v>
                </c:pt>
                <c:pt idx="188">
                  <c:v>89.6</c:v>
                </c:pt>
                <c:pt idx="189">
                  <c:v>90</c:v>
                </c:pt>
                <c:pt idx="190">
                  <c:v>100</c:v>
                </c:pt>
                <c:pt idx="191">
                  <c:v>52.666666666666664</c:v>
                </c:pt>
                <c:pt idx="192">
                  <c:v>55</c:v>
                </c:pt>
                <c:pt idx="193">
                  <c:v>14</c:v>
                </c:pt>
                <c:pt idx="194">
                  <c:v>56</c:v>
                </c:pt>
                <c:pt idx="195">
                  <c:v>14</c:v>
                </c:pt>
                <c:pt idx="196">
                  <c:v>60</c:v>
                </c:pt>
                <c:pt idx="197">
                  <c:v>66</c:v>
                </c:pt>
                <c:pt idx="198">
                  <c:v>69.5</c:v>
                </c:pt>
                <c:pt idx="199">
                  <c:v>68.5</c:v>
                </c:pt>
                <c:pt idx="200">
                  <c:v>67.5</c:v>
                </c:pt>
                <c:pt idx="201">
                  <c:v>48.75</c:v>
                </c:pt>
                <c:pt idx="202">
                  <c:v>61.333333333333336</c:v>
                </c:pt>
                <c:pt idx="203">
                  <c:v>18</c:v>
                </c:pt>
                <c:pt idx="204">
                  <c:v>51.666666666666664</c:v>
                </c:pt>
                <c:pt idx="205">
                  <c:v>60</c:v>
                </c:pt>
                <c:pt idx="206">
                  <c:v>50</c:v>
                </c:pt>
                <c:pt idx="207">
                  <c:v>94</c:v>
                </c:pt>
                <c:pt idx="208">
                  <c:v>65</c:v>
                </c:pt>
                <c:pt idx="209">
                  <c:v>40</c:v>
                </c:pt>
                <c:pt idx="210">
                  <c:v>40</c:v>
                </c:pt>
                <c:pt idx="211">
                  <c:v>40</c:v>
                </c:pt>
                <c:pt idx="212">
                  <c:v>40</c:v>
                </c:pt>
                <c:pt idx="213">
                  <c:v>53.5</c:v>
                </c:pt>
                <c:pt idx="214">
                  <c:v>50</c:v>
                </c:pt>
                <c:pt idx="215">
                  <c:v>65</c:v>
                </c:pt>
                <c:pt idx="216">
                  <c:v>90</c:v>
                </c:pt>
                <c:pt idx="217">
                  <c:v>48.333333333333336</c:v>
                </c:pt>
                <c:pt idx="218">
                  <c:v>30</c:v>
                </c:pt>
                <c:pt idx="219">
                  <c:v>65</c:v>
                </c:pt>
                <c:pt idx="220">
                  <c:v>75</c:v>
                </c:pt>
                <c:pt idx="221">
                  <c:v>70</c:v>
                </c:pt>
                <c:pt idx="222">
                  <c:v>65</c:v>
                </c:pt>
                <c:pt idx="223">
                  <c:v>100</c:v>
                </c:pt>
                <c:pt idx="224">
                  <c:v>23</c:v>
                </c:pt>
                <c:pt idx="225">
                  <c:v>61.666666666666664</c:v>
                </c:pt>
                <c:pt idx="226">
                  <c:v>9</c:v>
                </c:pt>
                <c:pt idx="227">
                  <c:v>25</c:v>
                </c:pt>
                <c:pt idx="228">
                  <c:v>9</c:v>
                </c:pt>
                <c:pt idx="229">
                  <c:v>42.5</c:v>
                </c:pt>
                <c:pt idx="230">
                  <c:v>68.5</c:v>
                </c:pt>
                <c:pt idx="231">
                  <c:v>70</c:v>
                </c:pt>
                <c:pt idx="232">
                  <c:v>70</c:v>
                </c:pt>
                <c:pt idx="233">
                  <c:v>70</c:v>
                </c:pt>
                <c:pt idx="234">
                  <c:v>78.25</c:v>
                </c:pt>
                <c:pt idx="235">
                  <c:v>65</c:v>
                </c:pt>
                <c:pt idx="236">
                  <c:v>13</c:v>
                </c:pt>
                <c:pt idx="237">
                  <c:v>63.333333333333336</c:v>
                </c:pt>
                <c:pt idx="238">
                  <c:v>66.333333333333329</c:v>
                </c:pt>
                <c:pt idx="239">
                  <c:v>70</c:v>
                </c:pt>
                <c:pt idx="240">
                  <c:v>82</c:v>
                </c:pt>
                <c:pt idx="241">
                  <c:v>80</c:v>
                </c:pt>
                <c:pt idx="242">
                  <c:v>80</c:v>
                </c:pt>
                <c:pt idx="243">
                  <c:v>80</c:v>
                </c:pt>
                <c:pt idx="244">
                  <c:v>62.5</c:v>
                </c:pt>
                <c:pt idx="245">
                  <c:v>65</c:v>
                </c:pt>
                <c:pt idx="246">
                  <c:v>60</c:v>
                </c:pt>
                <c:pt idx="247">
                  <c:v>62.5</c:v>
                </c:pt>
                <c:pt idx="248">
                  <c:v>65</c:v>
                </c:pt>
                <c:pt idx="249">
                  <c:v>66</c:v>
                </c:pt>
                <c:pt idx="250">
                  <c:v>65</c:v>
                </c:pt>
                <c:pt idx="251">
                  <c:v>100</c:v>
                </c:pt>
                <c:pt idx="252">
                  <c:v>90</c:v>
                </c:pt>
                <c:pt idx="253">
                  <c:v>63.333333333333336</c:v>
                </c:pt>
                <c:pt idx="254">
                  <c:v>65</c:v>
                </c:pt>
                <c:pt idx="255">
                  <c:v>80</c:v>
                </c:pt>
                <c:pt idx="256">
                  <c:v>80</c:v>
                </c:pt>
                <c:pt idx="257">
                  <c:v>70</c:v>
                </c:pt>
                <c:pt idx="258">
                  <c:v>90</c:v>
                </c:pt>
                <c:pt idx="259">
                  <c:v>100</c:v>
                </c:pt>
                <c:pt idx="260">
                  <c:v>64</c:v>
                </c:pt>
                <c:pt idx="261">
                  <c:v>63.333333333333336</c:v>
                </c:pt>
                <c:pt idx="262">
                  <c:v>59</c:v>
                </c:pt>
                <c:pt idx="263">
                  <c:v>80</c:v>
                </c:pt>
                <c:pt idx="264">
                  <c:v>59</c:v>
                </c:pt>
                <c:pt idx="265">
                  <c:v>72.5</c:v>
                </c:pt>
                <c:pt idx="266">
                  <c:v>71.25</c:v>
                </c:pt>
                <c:pt idx="267">
                  <c:v>77.5</c:v>
                </c:pt>
                <c:pt idx="268">
                  <c:v>69.75</c:v>
                </c:pt>
                <c:pt idx="269">
                  <c:v>75</c:v>
                </c:pt>
                <c:pt idx="270">
                  <c:v>78.75</c:v>
                </c:pt>
                <c:pt idx="271">
                  <c:v>77.333333333333329</c:v>
                </c:pt>
                <c:pt idx="272">
                  <c:v>45</c:v>
                </c:pt>
                <c:pt idx="273">
                  <c:v>70</c:v>
                </c:pt>
                <c:pt idx="274">
                  <c:v>73</c:v>
                </c:pt>
                <c:pt idx="275">
                  <c:v>70</c:v>
                </c:pt>
                <c:pt idx="276">
                  <c:v>98</c:v>
                </c:pt>
                <c:pt idx="277">
                  <c:v>80</c:v>
                </c:pt>
                <c:pt idx="278">
                  <c:v>80</c:v>
                </c:pt>
                <c:pt idx="279">
                  <c:v>80</c:v>
                </c:pt>
                <c:pt idx="280">
                  <c:v>67.5</c:v>
                </c:pt>
                <c:pt idx="281">
                  <c:v>60</c:v>
                </c:pt>
                <c:pt idx="282">
                  <c:v>70</c:v>
                </c:pt>
                <c:pt idx="283">
                  <c:v>67.5</c:v>
                </c:pt>
                <c:pt idx="284">
                  <c:v>63</c:v>
                </c:pt>
                <c:pt idx="285">
                  <c:v>82.5</c:v>
                </c:pt>
                <c:pt idx="286">
                  <c:v>70</c:v>
                </c:pt>
                <c:pt idx="287">
                  <c:v>65</c:v>
                </c:pt>
                <c:pt idx="288">
                  <c:v>65</c:v>
                </c:pt>
                <c:pt idx="289">
                  <c:v>71.666666666666671</c:v>
                </c:pt>
                <c:pt idx="290">
                  <c:v>76.8</c:v>
                </c:pt>
                <c:pt idx="291">
                  <c:v>65</c:v>
                </c:pt>
                <c:pt idx="292">
                  <c:v>80</c:v>
                </c:pt>
                <c:pt idx="293">
                  <c:v>80</c:v>
                </c:pt>
                <c:pt idx="294">
                  <c:v>65</c:v>
                </c:pt>
                <c:pt idx="295">
                  <c:v>35</c:v>
                </c:pt>
                <c:pt idx="296">
                  <c:v>38.666666666666664</c:v>
                </c:pt>
                <c:pt idx="297">
                  <c:v>76</c:v>
                </c:pt>
                <c:pt idx="298">
                  <c:v>10</c:v>
                </c:pt>
                <c:pt idx="299">
                  <c:v>65</c:v>
                </c:pt>
                <c:pt idx="300">
                  <c:v>10</c:v>
                </c:pt>
                <c:pt idx="301">
                  <c:v>77.5</c:v>
                </c:pt>
                <c:pt idx="302">
                  <c:v>68.5</c:v>
                </c:pt>
                <c:pt idx="303">
                  <c:v>69.5</c:v>
                </c:pt>
                <c:pt idx="304">
                  <c:v>69.75</c:v>
                </c:pt>
                <c:pt idx="305">
                  <c:v>67.5</c:v>
                </c:pt>
                <c:pt idx="306">
                  <c:v>60.75</c:v>
                </c:pt>
                <c:pt idx="307">
                  <c:v>67.333333333333329</c:v>
                </c:pt>
                <c:pt idx="308">
                  <c:v>5</c:v>
                </c:pt>
                <c:pt idx="309">
                  <c:v>56.666666666666664</c:v>
                </c:pt>
                <c:pt idx="310">
                  <c:v>61.666666666666664</c:v>
                </c:pt>
                <c:pt idx="311">
                  <c:v>68</c:v>
                </c:pt>
                <c:pt idx="312">
                  <c:v>97</c:v>
                </c:pt>
                <c:pt idx="313">
                  <c:v>65</c:v>
                </c:pt>
                <c:pt idx="314">
                  <c:v>65</c:v>
                </c:pt>
                <c:pt idx="315">
                  <c:v>75</c:v>
                </c:pt>
                <c:pt idx="316">
                  <c:v>60</c:v>
                </c:pt>
                <c:pt idx="317">
                  <c:v>50</c:v>
                </c:pt>
                <c:pt idx="318">
                  <c:v>60</c:v>
                </c:pt>
                <c:pt idx="319">
                  <c:v>60</c:v>
                </c:pt>
                <c:pt idx="320">
                  <c:v>55</c:v>
                </c:pt>
                <c:pt idx="321">
                  <c:v>78.5</c:v>
                </c:pt>
                <c:pt idx="322">
                  <c:v>60</c:v>
                </c:pt>
                <c:pt idx="323">
                  <c:v>65</c:v>
                </c:pt>
                <c:pt idx="324">
                  <c:v>65</c:v>
                </c:pt>
                <c:pt idx="325">
                  <c:v>65.142857142857139</c:v>
                </c:pt>
                <c:pt idx="326">
                  <c:v>66.2</c:v>
                </c:pt>
                <c:pt idx="327">
                  <c:v>65</c:v>
                </c:pt>
                <c:pt idx="328">
                  <c:v>75</c:v>
                </c:pt>
                <c:pt idx="329">
                  <c:v>70</c:v>
                </c:pt>
                <c:pt idx="330">
                  <c:v>90</c:v>
                </c:pt>
                <c:pt idx="331">
                  <c:v>75</c:v>
                </c:pt>
                <c:pt idx="332">
                  <c:v>48</c:v>
                </c:pt>
                <c:pt idx="333">
                  <c:v>49.333333333333336</c:v>
                </c:pt>
                <c:pt idx="334">
                  <c:v>10</c:v>
                </c:pt>
                <c:pt idx="335">
                  <c:v>86</c:v>
                </c:pt>
                <c:pt idx="336">
                  <c:v>10</c:v>
                </c:pt>
                <c:pt idx="337">
                  <c:v>65</c:v>
                </c:pt>
                <c:pt idx="338">
                  <c:v>68.75</c:v>
                </c:pt>
                <c:pt idx="339">
                  <c:v>70</c:v>
                </c:pt>
                <c:pt idx="340">
                  <c:v>70</c:v>
                </c:pt>
                <c:pt idx="341">
                  <c:v>72.5</c:v>
                </c:pt>
                <c:pt idx="342">
                  <c:v>73.5</c:v>
                </c:pt>
                <c:pt idx="343">
                  <c:v>71.666666666666671</c:v>
                </c:pt>
                <c:pt idx="344">
                  <c:v>33</c:v>
                </c:pt>
                <c:pt idx="345">
                  <c:v>68.666666666666671</c:v>
                </c:pt>
                <c:pt idx="346">
                  <c:v>69.666666666666671</c:v>
                </c:pt>
                <c:pt idx="347">
                  <c:v>68</c:v>
                </c:pt>
                <c:pt idx="348">
                  <c:v>99</c:v>
                </c:pt>
                <c:pt idx="349">
                  <c:v>65</c:v>
                </c:pt>
                <c:pt idx="350">
                  <c:v>70</c:v>
                </c:pt>
                <c:pt idx="351">
                  <c:v>75</c:v>
                </c:pt>
                <c:pt idx="352">
                  <c:v>62.5</c:v>
                </c:pt>
                <c:pt idx="353">
                  <c:v>60</c:v>
                </c:pt>
                <c:pt idx="354">
                  <c:v>60</c:v>
                </c:pt>
                <c:pt idx="355">
                  <c:v>62.5</c:v>
                </c:pt>
                <c:pt idx="356">
                  <c:v>63</c:v>
                </c:pt>
                <c:pt idx="357">
                  <c:v>78.5</c:v>
                </c:pt>
                <c:pt idx="358">
                  <c:v>70</c:v>
                </c:pt>
                <c:pt idx="359">
                  <c:v>65</c:v>
                </c:pt>
                <c:pt idx="360">
                  <c:v>65</c:v>
                </c:pt>
                <c:pt idx="361">
                  <c:v>46</c:v>
                </c:pt>
                <c:pt idx="362">
                  <c:v>75.8</c:v>
                </c:pt>
                <c:pt idx="363">
                  <c:v>90</c:v>
                </c:pt>
                <c:pt idx="364">
                  <c:v>100</c:v>
                </c:pt>
                <c:pt idx="365">
                  <c:v>70.333333333333329</c:v>
                </c:pt>
                <c:pt idx="366">
                  <c:v>52</c:v>
                </c:pt>
                <c:pt idx="367">
                  <c:v>32</c:v>
                </c:pt>
                <c:pt idx="368">
                  <c:v>100</c:v>
                </c:pt>
                <c:pt idx="369">
                  <c:v>32</c:v>
                </c:pt>
                <c:pt idx="370">
                  <c:v>60</c:v>
                </c:pt>
                <c:pt idx="371">
                  <c:v>40</c:v>
                </c:pt>
                <c:pt idx="372">
                  <c:v>65</c:v>
                </c:pt>
                <c:pt idx="373">
                  <c:v>70</c:v>
                </c:pt>
                <c:pt idx="374">
                  <c:v>60</c:v>
                </c:pt>
                <c:pt idx="375">
                  <c:v>60</c:v>
                </c:pt>
                <c:pt idx="376">
                  <c:v>60</c:v>
                </c:pt>
                <c:pt idx="377">
                  <c:v>66</c:v>
                </c:pt>
                <c:pt idx="378">
                  <c:v>70</c:v>
                </c:pt>
                <c:pt idx="379">
                  <c:v>65</c:v>
                </c:pt>
                <c:pt idx="380">
                  <c:v>70</c:v>
                </c:pt>
                <c:pt idx="381">
                  <c:v>65</c:v>
                </c:pt>
                <c:pt idx="382">
                  <c:v>74</c:v>
                </c:pt>
                <c:pt idx="383">
                  <c:v>30</c:v>
                </c:pt>
                <c:pt idx="384">
                  <c:v>25</c:v>
                </c:pt>
                <c:pt idx="385">
                  <c:v>21</c:v>
                </c:pt>
                <c:pt idx="386">
                  <c:v>32</c:v>
                </c:pt>
                <c:pt idx="387">
                  <c:v>10</c:v>
                </c:pt>
                <c:pt idx="388">
                  <c:v>32</c:v>
                </c:pt>
              </c:numCache>
            </c:numRef>
          </c:val>
          <c:extLst>
            <c:ext xmlns:c16="http://schemas.microsoft.com/office/drawing/2014/chart" uri="{C3380CC4-5D6E-409C-BE32-E72D297353CC}">
              <c16:uniqueId val="{00000000-B699-6746-B809-425E9C4B85BD}"/>
            </c:ext>
          </c:extLst>
        </c:ser>
        <c:dLbls>
          <c:showLegendKey val="0"/>
          <c:showVal val="0"/>
          <c:showCatName val="0"/>
          <c:showSerName val="0"/>
          <c:showPercent val="0"/>
          <c:showBubbleSize val="0"/>
        </c:dLbls>
        <c:gapWidth val="219"/>
        <c:axId val="-2116906096"/>
        <c:axId val="-2116905008"/>
      </c:barChart>
      <c:lineChart>
        <c:grouping val="standard"/>
        <c:varyColors val="0"/>
        <c:ser>
          <c:idx val="1"/>
          <c:order val="1"/>
          <c:tx>
            <c:strRef>
              <c:f>'rerata siswa'!$AJ$1:$AJ$2</c:f>
              <c:strCache>
                <c:ptCount val="1"/>
                <c:pt idx="0">
                  <c:v>Average of KKM</c:v>
                </c:pt>
              </c:strCache>
            </c:strRef>
          </c:tx>
          <c:spPr>
            <a:ln w="28575" cap="rnd">
              <a:solidFill>
                <a:schemeClr val="accent2"/>
              </a:solidFill>
              <a:round/>
            </a:ln>
            <a:effectLst/>
          </c:spPr>
          <c:marker>
            <c:symbol val="none"/>
          </c:marker>
          <c:cat>
            <c:multiLvlStrRef>
              <c:f>'rerata siswa'!$AC$3:$AH$391</c:f>
              <c:multiLvlStrCache>
                <c:ptCount val="389"/>
                <c:lvl>
                  <c:pt idx="0">
                    <c:v>Jan</c:v>
                  </c:pt>
                  <c:pt idx="1">
                    <c:v>Feb</c:v>
                  </c:pt>
                  <c:pt idx="2">
                    <c:v>Jan</c:v>
                  </c:pt>
                  <c:pt idx="3">
                    <c:v>Feb</c:v>
                  </c:pt>
                  <c:pt idx="4">
                    <c:v>Jan</c:v>
                  </c:pt>
                  <c:pt idx="5">
                    <c:v>Feb</c:v>
                  </c:pt>
                  <c:pt idx="6">
                    <c:v>Jan</c:v>
                  </c:pt>
                  <c:pt idx="7">
                    <c:v>Jan</c:v>
                  </c:pt>
                  <c:pt idx="8">
                    <c:v>Feb</c:v>
                  </c:pt>
                  <c:pt idx="9">
                    <c:v>Jan</c:v>
                  </c:pt>
                  <c:pt idx="10">
                    <c:v>Jan</c:v>
                  </c:pt>
                  <c:pt idx="11">
                    <c:v>Jan</c:v>
                  </c:pt>
                  <c:pt idx="12">
                    <c:v>Jan</c:v>
                  </c:pt>
                  <c:pt idx="13">
                    <c:v>Feb</c:v>
                  </c:pt>
                  <c:pt idx="14">
                    <c:v>Jan</c:v>
                  </c:pt>
                  <c:pt idx="15">
                    <c:v>Feb</c:v>
                  </c:pt>
                  <c:pt idx="16">
                    <c:v>Jan</c:v>
                  </c:pt>
                  <c:pt idx="17">
                    <c:v>Jan</c:v>
                  </c:pt>
                  <c:pt idx="18">
                    <c:v>Feb</c:v>
                  </c:pt>
                  <c:pt idx="19">
                    <c:v>Feb</c:v>
                  </c:pt>
                  <c:pt idx="20">
                    <c:v>Jan</c:v>
                  </c:pt>
                  <c:pt idx="21">
                    <c:v>Jan</c:v>
                  </c:pt>
                  <c:pt idx="22">
                    <c:v>Jan</c:v>
                  </c:pt>
                  <c:pt idx="23">
                    <c:v>Jan</c:v>
                  </c:pt>
                  <c:pt idx="24">
                    <c:v>Feb</c:v>
                  </c:pt>
                  <c:pt idx="25">
                    <c:v>Jan</c:v>
                  </c:pt>
                  <c:pt idx="26">
                    <c:v>Feb</c:v>
                  </c:pt>
                  <c:pt idx="27">
                    <c:v>Jan</c:v>
                  </c:pt>
                  <c:pt idx="28">
                    <c:v>Jan</c:v>
                  </c:pt>
                  <c:pt idx="29">
                    <c:v>Jan</c:v>
                  </c:pt>
                  <c:pt idx="30">
                    <c:v>Jan</c:v>
                  </c:pt>
                  <c:pt idx="31">
                    <c:v>Feb</c:v>
                  </c:pt>
                  <c:pt idx="32">
                    <c:v>Jan</c:v>
                  </c:pt>
                  <c:pt idx="33">
                    <c:v>Feb</c:v>
                  </c:pt>
                  <c:pt idx="34">
                    <c:v>Jan</c:v>
                  </c:pt>
                  <c:pt idx="35">
                    <c:v>Feb</c:v>
                  </c:pt>
                  <c:pt idx="36">
                    <c:v>Jan</c:v>
                  </c:pt>
                  <c:pt idx="37">
                    <c:v>Feb</c:v>
                  </c:pt>
                  <c:pt idx="38">
                    <c:v>Jan</c:v>
                  </c:pt>
                  <c:pt idx="39">
                    <c:v>Feb</c:v>
                  </c:pt>
                  <c:pt idx="40">
                    <c:v>Jan</c:v>
                  </c:pt>
                  <c:pt idx="41">
                    <c:v>Jan</c:v>
                  </c:pt>
                  <c:pt idx="42">
                    <c:v>Feb</c:v>
                  </c:pt>
                  <c:pt idx="43">
                    <c:v>Jan</c:v>
                  </c:pt>
                  <c:pt idx="44">
                    <c:v>Jan</c:v>
                  </c:pt>
                  <c:pt idx="45">
                    <c:v>Jan</c:v>
                  </c:pt>
                  <c:pt idx="46">
                    <c:v>Jan</c:v>
                  </c:pt>
                  <c:pt idx="47">
                    <c:v>Feb</c:v>
                  </c:pt>
                  <c:pt idx="48">
                    <c:v>Jan</c:v>
                  </c:pt>
                  <c:pt idx="49">
                    <c:v>Feb</c:v>
                  </c:pt>
                  <c:pt idx="50">
                    <c:v>Jan</c:v>
                  </c:pt>
                  <c:pt idx="51">
                    <c:v>Jan</c:v>
                  </c:pt>
                  <c:pt idx="52">
                    <c:v>Feb</c:v>
                  </c:pt>
                  <c:pt idx="53">
                    <c:v>Feb</c:v>
                  </c:pt>
                  <c:pt idx="54">
                    <c:v>Jan</c:v>
                  </c:pt>
                  <c:pt idx="55">
                    <c:v>Jan</c:v>
                  </c:pt>
                  <c:pt idx="56">
                    <c:v>Jan</c:v>
                  </c:pt>
                  <c:pt idx="57">
                    <c:v>Jan</c:v>
                  </c:pt>
                  <c:pt idx="58">
                    <c:v>Feb</c:v>
                  </c:pt>
                  <c:pt idx="59">
                    <c:v>Jan</c:v>
                  </c:pt>
                  <c:pt idx="60">
                    <c:v>Jan</c:v>
                  </c:pt>
                  <c:pt idx="61">
                    <c:v>Jan</c:v>
                  </c:pt>
                  <c:pt idx="62">
                    <c:v>Feb</c:v>
                  </c:pt>
                  <c:pt idx="63">
                    <c:v>Jan</c:v>
                  </c:pt>
                  <c:pt idx="64">
                    <c:v>Jan</c:v>
                  </c:pt>
                  <c:pt idx="65">
                    <c:v>Jan</c:v>
                  </c:pt>
                  <c:pt idx="66">
                    <c:v>Feb</c:v>
                  </c:pt>
                  <c:pt idx="67">
                    <c:v>Jan</c:v>
                  </c:pt>
                  <c:pt idx="68">
                    <c:v>Feb</c:v>
                  </c:pt>
                  <c:pt idx="69">
                    <c:v>Jan</c:v>
                  </c:pt>
                  <c:pt idx="70">
                    <c:v>Feb</c:v>
                  </c:pt>
                  <c:pt idx="71">
                    <c:v>Jan</c:v>
                  </c:pt>
                  <c:pt idx="72">
                    <c:v>Feb</c:v>
                  </c:pt>
                  <c:pt idx="73">
                    <c:v>Jan</c:v>
                  </c:pt>
                  <c:pt idx="74">
                    <c:v>Jan</c:v>
                  </c:pt>
                  <c:pt idx="75">
                    <c:v>Feb</c:v>
                  </c:pt>
                  <c:pt idx="76">
                    <c:v>Jan</c:v>
                  </c:pt>
                  <c:pt idx="77">
                    <c:v>Jan</c:v>
                  </c:pt>
                  <c:pt idx="78">
                    <c:v>Jan</c:v>
                  </c:pt>
                  <c:pt idx="79">
                    <c:v>Jan</c:v>
                  </c:pt>
                  <c:pt idx="80">
                    <c:v>Feb</c:v>
                  </c:pt>
                  <c:pt idx="81">
                    <c:v>Jan</c:v>
                  </c:pt>
                  <c:pt idx="82">
                    <c:v>Feb</c:v>
                  </c:pt>
                  <c:pt idx="83">
                    <c:v>Jan</c:v>
                  </c:pt>
                  <c:pt idx="84">
                    <c:v>Jan</c:v>
                  </c:pt>
                  <c:pt idx="85">
                    <c:v>Feb</c:v>
                  </c:pt>
                  <c:pt idx="86">
                    <c:v>Feb</c:v>
                  </c:pt>
                  <c:pt idx="87">
                    <c:v>Jan</c:v>
                  </c:pt>
                  <c:pt idx="88">
                    <c:v>Jan</c:v>
                  </c:pt>
                  <c:pt idx="89">
                    <c:v>Jan</c:v>
                  </c:pt>
                  <c:pt idx="90">
                    <c:v>Jan</c:v>
                  </c:pt>
                  <c:pt idx="91">
                    <c:v>Feb</c:v>
                  </c:pt>
                  <c:pt idx="92">
                    <c:v>Jan</c:v>
                  </c:pt>
                  <c:pt idx="93">
                    <c:v>Jan</c:v>
                  </c:pt>
                  <c:pt idx="94">
                    <c:v>Jan</c:v>
                  </c:pt>
                  <c:pt idx="95">
                    <c:v>Feb</c:v>
                  </c:pt>
                  <c:pt idx="96">
                    <c:v>Jan</c:v>
                  </c:pt>
                  <c:pt idx="97">
                    <c:v>Jan</c:v>
                  </c:pt>
                  <c:pt idx="98">
                    <c:v>Jan</c:v>
                  </c:pt>
                  <c:pt idx="99">
                    <c:v>Feb</c:v>
                  </c:pt>
                  <c:pt idx="100">
                    <c:v>Jan</c:v>
                  </c:pt>
                  <c:pt idx="101">
                    <c:v>Feb</c:v>
                  </c:pt>
                  <c:pt idx="102">
                    <c:v>Jan</c:v>
                  </c:pt>
                  <c:pt idx="103">
                    <c:v>Feb</c:v>
                  </c:pt>
                  <c:pt idx="104">
                    <c:v>Jan</c:v>
                  </c:pt>
                  <c:pt idx="105">
                    <c:v>Feb</c:v>
                  </c:pt>
                  <c:pt idx="106">
                    <c:v>Jan</c:v>
                  </c:pt>
                  <c:pt idx="107">
                    <c:v>Jan</c:v>
                  </c:pt>
                  <c:pt idx="108">
                    <c:v>Feb</c:v>
                  </c:pt>
                  <c:pt idx="109">
                    <c:v>Jan</c:v>
                  </c:pt>
                  <c:pt idx="110">
                    <c:v>Jan</c:v>
                  </c:pt>
                  <c:pt idx="111">
                    <c:v>Jan</c:v>
                  </c:pt>
                  <c:pt idx="112">
                    <c:v>Jan</c:v>
                  </c:pt>
                  <c:pt idx="113">
                    <c:v>Feb</c:v>
                  </c:pt>
                  <c:pt idx="114">
                    <c:v>Jan</c:v>
                  </c:pt>
                  <c:pt idx="115">
                    <c:v>Feb</c:v>
                  </c:pt>
                  <c:pt idx="116">
                    <c:v>Jan</c:v>
                  </c:pt>
                  <c:pt idx="117">
                    <c:v>Jan</c:v>
                  </c:pt>
                  <c:pt idx="118">
                    <c:v>Feb</c:v>
                  </c:pt>
                  <c:pt idx="119">
                    <c:v>Feb</c:v>
                  </c:pt>
                  <c:pt idx="120">
                    <c:v>Jan</c:v>
                  </c:pt>
                  <c:pt idx="121">
                    <c:v>Jan</c:v>
                  </c:pt>
                  <c:pt idx="122">
                    <c:v>Jan</c:v>
                  </c:pt>
                  <c:pt idx="123">
                    <c:v>Jan</c:v>
                  </c:pt>
                  <c:pt idx="124">
                    <c:v>Feb</c:v>
                  </c:pt>
                  <c:pt idx="125">
                    <c:v>Jan</c:v>
                  </c:pt>
                  <c:pt idx="126">
                    <c:v>Jan</c:v>
                  </c:pt>
                  <c:pt idx="127">
                    <c:v>Jan</c:v>
                  </c:pt>
                  <c:pt idx="128">
                    <c:v>Feb</c:v>
                  </c:pt>
                  <c:pt idx="129">
                    <c:v>Jan</c:v>
                  </c:pt>
                  <c:pt idx="130">
                    <c:v>Jan</c:v>
                  </c:pt>
                  <c:pt idx="131">
                    <c:v>Jan</c:v>
                  </c:pt>
                  <c:pt idx="132">
                    <c:v>Feb</c:v>
                  </c:pt>
                  <c:pt idx="133">
                    <c:v>Jan</c:v>
                  </c:pt>
                  <c:pt idx="134">
                    <c:v>Feb</c:v>
                  </c:pt>
                  <c:pt idx="135">
                    <c:v>Jan</c:v>
                  </c:pt>
                  <c:pt idx="136">
                    <c:v>Feb</c:v>
                  </c:pt>
                  <c:pt idx="137">
                    <c:v>Jan</c:v>
                  </c:pt>
                  <c:pt idx="138">
                    <c:v>Feb</c:v>
                  </c:pt>
                  <c:pt idx="139">
                    <c:v>Jan</c:v>
                  </c:pt>
                  <c:pt idx="140">
                    <c:v>Jan</c:v>
                  </c:pt>
                  <c:pt idx="141">
                    <c:v>Feb</c:v>
                  </c:pt>
                  <c:pt idx="142">
                    <c:v>Jan</c:v>
                  </c:pt>
                  <c:pt idx="143">
                    <c:v>Jan</c:v>
                  </c:pt>
                  <c:pt idx="144">
                    <c:v>Jan</c:v>
                  </c:pt>
                  <c:pt idx="145">
                    <c:v>Jan</c:v>
                  </c:pt>
                  <c:pt idx="146">
                    <c:v>Feb</c:v>
                  </c:pt>
                  <c:pt idx="147">
                    <c:v>Jan</c:v>
                  </c:pt>
                  <c:pt idx="148">
                    <c:v>Feb</c:v>
                  </c:pt>
                  <c:pt idx="149">
                    <c:v>Jan</c:v>
                  </c:pt>
                  <c:pt idx="150">
                    <c:v>Jan</c:v>
                  </c:pt>
                  <c:pt idx="151">
                    <c:v>Feb</c:v>
                  </c:pt>
                  <c:pt idx="152">
                    <c:v>Feb</c:v>
                  </c:pt>
                  <c:pt idx="153">
                    <c:v>Jan</c:v>
                  </c:pt>
                  <c:pt idx="154">
                    <c:v>Jan</c:v>
                  </c:pt>
                  <c:pt idx="155">
                    <c:v>Jan</c:v>
                  </c:pt>
                  <c:pt idx="156">
                    <c:v>Jan</c:v>
                  </c:pt>
                  <c:pt idx="157">
                    <c:v>Feb</c:v>
                  </c:pt>
                  <c:pt idx="158">
                    <c:v>Jan</c:v>
                  </c:pt>
                  <c:pt idx="159">
                    <c:v>Jan</c:v>
                  </c:pt>
                  <c:pt idx="160">
                    <c:v>Jan</c:v>
                  </c:pt>
                  <c:pt idx="161">
                    <c:v>Feb</c:v>
                  </c:pt>
                  <c:pt idx="162">
                    <c:v>Jan</c:v>
                  </c:pt>
                  <c:pt idx="163">
                    <c:v>Feb</c:v>
                  </c:pt>
                  <c:pt idx="164">
                    <c:v>Jan</c:v>
                  </c:pt>
                  <c:pt idx="165">
                    <c:v>Feb</c:v>
                  </c:pt>
                  <c:pt idx="166">
                    <c:v>Jan</c:v>
                  </c:pt>
                  <c:pt idx="167">
                    <c:v>Feb</c:v>
                  </c:pt>
                  <c:pt idx="168">
                    <c:v>Jan</c:v>
                  </c:pt>
                  <c:pt idx="169">
                    <c:v>Feb</c:v>
                  </c:pt>
                  <c:pt idx="170">
                    <c:v>Jan</c:v>
                  </c:pt>
                  <c:pt idx="171">
                    <c:v>Jan</c:v>
                  </c:pt>
                  <c:pt idx="172">
                    <c:v>Feb</c:v>
                  </c:pt>
                  <c:pt idx="173">
                    <c:v>Jan</c:v>
                  </c:pt>
                  <c:pt idx="174">
                    <c:v>Jan</c:v>
                  </c:pt>
                  <c:pt idx="175">
                    <c:v>Jan</c:v>
                  </c:pt>
                  <c:pt idx="176">
                    <c:v>Jan</c:v>
                  </c:pt>
                  <c:pt idx="177">
                    <c:v>Feb</c:v>
                  </c:pt>
                  <c:pt idx="178">
                    <c:v>Jan</c:v>
                  </c:pt>
                  <c:pt idx="179">
                    <c:v>Feb</c:v>
                  </c:pt>
                  <c:pt idx="180">
                    <c:v>Jan</c:v>
                  </c:pt>
                  <c:pt idx="181">
                    <c:v>Jan</c:v>
                  </c:pt>
                  <c:pt idx="182">
                    <c:v>Feb</c:v>
                  </c:pt>
                  <c:pt idx="183">
                    <c:v>Feb</c:v>
                  </c:pt>
                  <c:pt idx="184">
                    <c:v>Jan</c:v>
                  </c:pt>
                  <c:pt idx="185">
                    <c:v>Jan</c:v>
                  </c:pt>
                  <c:pt idx="186">
                    <c:v>Jan</c:v>
                  </c:pt>
                  <c:pt idx="187">
                    <c:v>Jan</c:v>
                  </c:pt>
                  <c:pt idx="188">
                    <c:v>Feb</c:v>
                  </c:pt>
                  <c:pt idx="189">
                    <c:v>Jan</c:v>
                  </c:pt>
                  <c:pt idx="190">
                    <c:v>Jan</c:v>
                  </c:pt>
                  <c:pt idx="191">
                    <c:v>Jan</c:v>
                  </c:pt>
                  <c:pt idx="192">
                    <c:v>Feb</c:v>
                  </c:pt>
                  <c:pt idx="193">
                    <c:v>Jan</c:v>
                  </c:pt>
                  <c:pt idx="194">
                    <c:v>Jan</c:v>
                  </c:pt>
                  <c:pt idx="195">
                    <c:v>Jan</c:v>
                  </c:pt>
                  <c:pt idx="196">
                    <c:v>Feb</c:v>
                  </c:pt>
                  <c:pt idx="197">
                    <c:v>Jan</c:v>
                  </c:pt>
                  <c:pt idx="198">
                    <c:v>Feb</c:v>
                  </c:pt>
                  <c:pt idx="199">
                    <c:v>Jan</c:v>
                  </c:pt>
                  <c:pt idx="200">
                    <c:v>Feb</c:v>
                  </c:pt>
                  <c:pt idx="201">
                    <c:v>Jan</c:v>
                  </c:pt>
                  <c:pt idx="202">
                    <c:v>Feb</c:v>
                  </c:pt>
                  <c:pt idx="203">
                    <c:v>Jan</c:v>
                  </c:pt>
                  <c:pt idx="204">
                    <c:v>Jan</c:v>
                  </c:pt>
                  <c:pt idx="205">
                    <c:v>Feb</c:v>
                  </c:pt>
                  <c:pt idx="206">
                    <c:v>Jan</c:v>
                  </c:pt>
                  <c:pt idx="207">
                    <c:v>Jan</c:v>
                  </c:pt>
                  <c:pt idx="208">
                    <c:v>Feb</c:v>
                  </c:pt>
                  <c:pt idx="209">
                    <c:v>Jan</c:v>
                  </c:pt>
                  <c:pt idx="210">
                    <c:v>Feb</c:v>
                  </c:pt>
                  <c:pt idx="211">
                    <c:v>Jan</c:v>
                  </c:pt>
                  <c:pt idx="212">
                    <c:v>Feb</c:v>
                  </c:pt>
                  <c:pt idx="213">
                    <c:v>Feb</c:v>
                  </c:pt>
                  <c:pt idx="214">
                    <c:v>Jan</c:v>
                  </c:pt>
                  <c:pt idx="215">
                    <c:v>Jan</c:v>
                  </c:pt>
                  <c:pt idx="216">
                    <c:v>Jan</c:v>
                  </c:pt>
                  <c:pt idx="217">
                    <c:v>Jan</c:v>
                  </c:pt>
                  <c:pt idx="218">
                    <c:v>Feb</c:v>
                  </c:pt>
                  <c:pt idx="219">
                    <c:v>Jan</c:v>
                  </c:pt>
                  <c:pt idx="220">
                    <c:v>Feb</c:v>
                  </c:pt>
                  <c:pt idx="221">
                    <c:v>Jan</c:v>
                  </c:pt>
                  <c:pt idx="222">
                    <c:v>Jan</c:v>
                  </c:pt>
                  <c:pt idx="223">
                    <c:v>Jan</c:v>
                  </c:pt>
                  <c:pt idx="224">
                    <c:v>Jan</c:v>
                  </c:pt>
                  <c:pt idx="225">
                    <c:v>Feb</c:v>
                  </c:pt>
                  <c:pt idx="226">
                    <c:v>Jan</c:v>
                  </c:pt>
                  <c:pt idx="227">
                    <c:v>Jan</c:v>
                  </c:pt>
                  <c:pt idx="228">
                    <c:v>Jan</c:v>
                  </c:pt>
                  <c:pt idx="229">
                    <c:v>Feb</c:v>
                  </c:pt>
                  <c:pt idx="230">
                    <c:v>Jan</c:v>
                  </c:pt>
                  <c:pt idx="231">
                    <c:v>Feb</c:v>
                  </c:pt>
                  <c:pt idx="232">
                    <c:v>Jan</c:v>
                  </c:pt>
                  <c:pt idx="233">
                    <c:v>Feb</c:v>
                  </c:pt>
                  <c:pt idx="234">
                    <c:v>Jan</c:v>
                  </c:pt>
                  <c:pt idx="235">
                    <c:v>Feb</c:v>
                  </c:pt>
                  <c:pt idx="236">
                    <c:v>Jan</c:v>
                  </c:pt>
                  <c:pt idx="237">
                    <c:v>Jan</c:v>
                  </c:pt>
                  <c:pt idx="238">
                    <c:v>Feb</c:v>
                  </c:pt>
                  <c:pt idx="239">
                    <c:v>Jan</c:v>
                  </c:pt>
                  <c:pt idx="240">
                    <c:v>Jan</c:v>
                  </c:pt>
                  <c:pt idx="241">
                    <c:v>Jan</c:v>
                  </c:pt>
                  <c:pt idx="242">
                    <c:v>Jan</c:v>
                  </c:pt>
                  <c:pt idx="243">
                    <c:v>Feb</c:v>
                  </c:pt>
                  <c:pt idx="244">
                    <c:v>Jan</c:v>
                  </c:pt>
                  <c:pt idx="245">
                    <c:v>Feb</c:v>
                  </c:pt>
                  <c:pt idx="246">
                    <c:v>Jan</c:v>
                  </c:pt>
                  <c:pt idx="247">
                    <c:v>Jan</c:v>
                  </c:pt>
                  <c:pt idx="248">
                    <c:v>Feb</c:v>
                  </c:pt>
                  <c:pt idx="249">
                    <c:v>Feb</c:v>
                  </c:pt>
                  <c:pt idx="250">
                    <c:v>Jan</c:v>
                  </c:pt>
                  <c:pt idx="251">
                    <c:v>Jan</c:v>
                  </c:pt>
                  <c:pt idx="252">
                    <c:v>Jan</c:v>
                  </c:pt>
                  <c:pt idx="253">
                    <c:v>Jan</c:v>
                  </c:pt>
                  <c:pt idx="254">
                    <c:v>Feb</c:v>
                  </c:pt>
                  <c:pt idx="255">
                    <c:v>Jan</c:v>
                  </c:pt>
                  <c:pt idx="256">
                    <c:v>Feb</c:v>
                  </c:pt>
                  <c:pt idx="257">
                    <c:v>Jan</c:v>
                  </c:pt>
                  <c:pt idx="258">
                    <c:v>Jan</c:v>
                  </c:pt>
                  <c:pt idx="259">
                    <c:v>Jan</c:v>
                  </c:pt>
                  <c:pt idx="260">
                    <c:v>Jan</c:v>
                  </c:pt>
                  <c:pt idx="261">
                    <c:v>Feb</c:v>
                  </c:pt>
                  <c:pt idx="262">
                    <c:v>Jan</c:v>
                  </c:pt>
                  <c:pt idx="263">
                    <c:v>Jan</c:v>
                  </c:pt>
                  <c:pt idx="264">
                    <c:v>Jan</c:v>
                  </c:pt>
                  <c:pt idx="265">
                    <c:v>Feb</c:v>
                  </c:pt>
                  <c:pt idx="266">
                    <c:v>Jan</c:v>
                  </c:pt>
                  <c:pt idx="267">
                    <c:v>Feb</c:v>
                  </c:pt>
                  <c:pt idx="268">
                    <c:v>Jan</c:v>
                  </c:pt>
                  <c:pt idx="269">
                    <c:v>Feb</c:v>
                  </c:pt>
                  <c:pt idx="270">
                    <c:v>Jan</c:v>
                  </c:pt>
                  <c:pt idx="271">
                    <c:v>Feb</c:v>
                  </c:pt>
                  <c:pt idx="272">
                    <c:v>Jan</c:v>
                  </c:pt>
                  <c:pt idx="273">
                    <c:v>Jan</c:v>
                  </c:pt>
                  <c:pt idx="274">
                    <c:v>Feb</c:v>
                  </c:pt>
                  <c:pt idx="275">
                    <c:v>Jan</c:v>
                  </c:pt>
                  <c:pt idx="276">
                    <c:v>Jan</c:v>
                  </c:pt>
                  <c:pt idx="277">
                    <c:v>Jan</c:v>
                  </c:pt>
                  <c:pt idx="278">
                    <c:v>Jan</c:v>
                  </c:pt>
                  <c:pt idx="279">
                    <c:v>Feb</c:v>
                  </c:pt>
                  <c:pt idx="280">
                    <c:v>Jan</c:v>
                  </c:pt>
                  <c:pt idx="281">
                    <c:v>Feb</c:v>
                  </c:pt>
                  <c:pt idx="282">
                    <c:v>Jan</c:v>
                  </c:pt>
                  <c:pt idx="283">
                    <c:v>Jan</c:v>
                  </c:pt>
                  <c:pt idx="284">
                    <c:v>Feb</c:v>
                  </c:pt>
                  <c:pt idx="285">
                    <c:v>Feb</c:v>
                  </c:pt>
                  <c:pt idx="286">
                    <c:v>Jan</c:v>
                  </c:pt>
                  <c:pt idx="287">
                    <c:v>Jan</c:v>
                  </c:pt>
                  <c:pt idx="288">
                    <c:v>Jan</c:v>
                  </c:pt>
                  <c:pt idx="289">
                    <c:v>Jan</c:v>
                  </c:pt>
                  <c:pt idx="290">
                    <c:v>Feb</c:v>
                  </c:pt>
                  <c:pt idx="291">
                    <c:v>Jan</c:v>
                  </c:pt>
                  <c:pt idx="292">
                    <c:v>Feb</c:v>
                  </c:pt>
                  <c:pt idx="293">
                    <c:v>Jan</c:v>
                  </c:pt>
                  <c:pt idx="294">
                    <c:v>Jan</c:v>
                  </c:pt>
                  <c:pt idx="295">
                    <c:v>Jan</c:v>
                  </c:pt>
                  <c:pt idx="296">
                    <c:v>Jan</c:v>
                  </c:pt>
                  <c:pt idx="297">
                    <c:v>Feb</c:v>
                  </c:pt>
                  <c:pt idx="298">
                    <c:v>Jan</c:v>
                  </c:pt>
                  <c:pt idx="299">
                    <c:v>Jan</c:v>
                  </c:pt>
                  <c:pt idx="300">
                    <c:v>Jan</c:v>
                  </c:pt>
                  <c:pt idx="301">
                    <c:v>Feb</c:v>
                  </c:pt>
                  <c:pt idx="302">
                    <c:v>Jan</c:v>
                  </c:pt>
                  <c:pt idx="303">
                    <c:v>Feb</c:v>
                  </c:pt>
                  <c:pt idx="304">
                    <c:v>Jan</c:v>
                  </c:pt>
                  <c:pt idx="305">
                    <c:v>Feb</c:v>
                  </c:pt>
                  <c:pt idx="306">
                    <c:v>Jan</c:v>
                  </c:pt>
                  <c:pt idx="307">
                    <c:v>Feb</c:v>
                  </c:pt>
                  <c:pt idx="308">
                    <c:v>Jan</c:v>
                  </c:pt>
                  <c:pt idx="309">
                    <c:v>Jan</c:v>
                  </c:pt>
                  <c:pt idx="310">
                    <c:v>Feb</c:v>
                  </c:pt>
                  <c:pt idx="311">
                    <c:v>Jan</c:v>
                  </c:pt>
                  <c:pt idx="312">
                    <c:v>Jan</c:v>
                  </c:pt>
                  <c:pt idx="313">
                    <c:v>Jan</c:v>
                  </c:pt>
                  <c:pt idx="314">
                    <c:v>Jan</c:v>
                  </c:pt>
                  <c:pt idx="315">
                    <c:v>Feb</c:v>
                  </c:pt>
                  <c:pt idx="316">
                    <c:v>Jan</c:v>
                  </c:pt>
                  <c:pt idx="317">
                    <c:v>Feb</c:v>
                  </c:pt>
                  <c:pt idx="318">
                    <c:v>Jan</c:v>
                  </c:pt>
                  <c:pt idx="319">
                    <c:v>Jan</c:v>
                  </c:pt>
                  <c:pt idx="320">
                    <c:v>Feb</c:v>
                  </c:pt>
                  <c:pt idx="321">
                    <c:v>Feb</c:v>
                  </c:pt>
                  <c:pt idx="322">
                    <c:v>Jan</c:v>
                  </c:pt>
                  <c:pt idx="323">
                    <c:v>Jan</c:v>
                  </c:pt>
                  <c:pt idx="324">
                    <c:v>Jan</c:v>
                  </c:pt>
                  <c:pt idx="325">
                    <c:v>Jan</c:v>
                  </c:pt>
                  <c:pt idx="326">
                    <c:v>Feb</c:v>
                  </c:pt>
                  <c:pt idx="327">
                    <c:v>Jan</c:v>
                  </c:pt>
                  <c:pt idx="328">
                    <c:v>Feb</c:v>
                  </c:pt>
                  <c:pt idx="329">
                    <c:v>Jan</c:v>
                  </c:pt>
                  <c:pt idx="330">
                    <c:v>Jan</c:v>
                  </c:pt>
                  <c:pt idx="331">
                    <c:v>Jan</c:v>
                  </c:pt>
                  <c:pt idx="332">
                    <c:v>Jan</c:v>
                  </c:pt>
                  <c:pt idx="333">
                    <c:v>Feb</c:v>
                  </c:pt>
                  <c:pt idx="334">
                    <c:v>Jan</c:v>
                  </c:pt>
                  <c:pt idx="335">
                    <c:v>Jan</c:v>
                  </c:pt>
                  <c:pt idx="336">
                    <c:v>Jan</c:v>
                  </c:pt>
                  <c:pt idx="337">
                    <c:v>Feb</c:v>
                  </c:pt>
                  <c:pt idx="338">
                    <c:v>Jan</c:v>
                  </c:pt>
                  <c:pt idx="339">
                    <c:v>Feb</c:v>
                  </c:pt>
                  <c:pt idx="340">
                    <c:v>Jan</c:v>
                  </c:pt>
                  <c:pt idx="341">
                    <c:v>Feb</c:v>
                  </c:pt>
                  <c:pt idx="342">
                    <c:v>Jan</c:v>
                  </c:pt>
                  <c:pt idx="343">
                    <c:v>Feb</c:v>
                  </c:pt>
                  <c:pt idx="344">
                    <c:v>Jan</c:v>
                  </c:pt>
                  <c:pt idx="345">
                    <c:v>Jan</c:v>
                  </c:pt>
                  <c:pt idx="346">
                    <c:v>Feb</c:v>
                  </c:pt>
                  <c:pt idx="347">
                    <c:v>Jan</c:v>
                  </c:pt>
                  <c:pt idx="348">
                    <c:v>Jan</c:v>
                  </c:pt>
                  <c:pt idx="349">
                    <c:v>Jan</c:v>
                  </c:pt>
                  <c:pt idx="350">
                    <c:v>Jan</c:v>
                  </c:pt>
                  <c:pt idx="351">
                    <c:v>Feb</c:v>
                  </c:pt>
                  <c:pt idx="352">
                    <c:v>Jan</c:v>
                  </c:pt>
                  <c:pt idx="353">
                    <c:v>Feb</c:v>
                  </c:pt>
                  <c:pt idx="354">
                    <c:v>Jan</c:v>
                  </c:pt>
                  <c:pt idx="355">
                    <c:v>Jan</c:v>
                  </c:pt>
                  <c:pt idx="356">
                    <c:v>Feb</c:v>
                  </c:pt>
                  <c:pt idx="357">
                    <c:v>Feb</c:v>
                  </c:pt>
                  <c:pt idx="358">
                    <c:v>Jan</c:v>
                  </c:pt>
                  <c:pt idx="359">
                    <c:v>Jan</c:v>
                  </c:pt>
                  <c:pt idx="360">
                    <c:v>Jan</c:v>
                  </c:pt>
                  <c:pt idx="361">
                    <c:v>Jan</c:v>
                  </c:pt>
                  <c:pt idx="362">
                    <c:v>Feb</c:v>
                  </c:pt>
                  <c:pt idx="363">
                    <c:v>Jan</c:v>
                  </c:pt>
                  <c:pt idx="364">
                    <c:v>Jan</c:v>
                  </c:pt>
                  <c:pt idx="365">
                    <c:v>Jan</c:v>
                  </c:pt>
                  <c:pt idx="366">
                    <c:v>Feb</c:v>
                  </c:pt>
                  <c:pt idx="367">
                    <c:v>Jan</c:v>
                  </c:pt>
                  <c:pt idx="368">
                    <c:v>Jan</c:v>
                  </c:pt>
                  <c:pt idx="369">
                    <c:v>Jan</c:v>
                  </c:pt>
                  <c:pt idx="370">
                    <c:v>Feb</c:v>
                  </c:pt>
                  <c:pt idx="371">
                    <c:v>Jan</c:v>
                  </c:pt>
                  <c:pt idx="372">
                    <c:v>Jan</c:v>
                  </c:pt>
                  <c:pt idx="373">
                    <c:v>Jan</c:v>
                  </c:pt>
                  <c:pt idx="374">
                    <c:v>Jan</c:v>
                  </c:pt>
                  <c:pt idx="375">
                    <c:v>Jan</c:v>
                  </c:pt>
                  <c:pt idx="376">
                    <c:v>Jan</c:v>
                  </c:pt>
                  <c:pt idx="377">
                    <c:v>Feb</c:v>
                  </c:pt>
                  <c:pt idx="378">
                    <c:v>Jan</c:v>
                  </c:pt>
                  <c:pt idx="379">
                    <c:v>Jan</c:v>
                  </c:pt>
                  <c:pt idx="380">
                    <c:v>Jan</c:v>
                  </c:pt>
                  <c:pt idx="381">
                    <c:v>Jan</c:v>
                  </c:pt>
                  <c:pt idx="382">
                    <c:v>Jan</c:v>
                  </c:pt>
                  <c:pt idx="383">
                    <c:v>Jan</c:v>
                  </c:pt>
                  <c:pt idx="384">
                    <c:v>Jan</c:v>
                  </c:pt>
                  <c:pt idx="385">
                    <c:v>Jan</c:v>
                  </c:pt>
                  <c:pt idx="386">
                    <c:v>Jan</c:v>
                  </c:pt>
                  <c:pt idx="387">
                    <c:v>Jan</c:v>
                  </c:pt>
                  <c:pt idx="388">
                    <c:v>Jan</c:v>
                  </c:pt>
                </c:lvl>
                <c:lvl>
                  <c:pt idx="0">
                    <c:v>Fokus, aktif berpartisipasi dan bertanya atau menanggapi</c:v>
                  </c:pt>
                  <c:pt idx="2">
                    <c:v>Mandiri</c:v>
                  </c:pt>
                  <c:pt idx="4">
                    <c:v>Kognitif Formatif</c:v>
                  </c:pt>
                  <c:pt idx="6">
                    <c:v>Kognitif Sumatif</c:v>
                  </c:pt>
                  <c:pt idx="7">
                    <c:v>Evaluasi</c:v>
                  </c:pt>
                  <c:pt idx="9">
                    <c:v>Analisa</c:v>
                  </c:pt>
                  <c:pt idx="10">
                    <c:v>Kognitif Formatif</c:v>
                  </c:pt>
                  <c:pt idx="11">
                    <c:v>Fokus, aktif berpartisipasi dan bertanya atau menanggapi</c:v>
                  </c:pt>
                  <c:pt idx="12">
                    <c:v>Beriman, bertakwa kepada Tuhan YME dan berakhlak mulia</c:v>
                  </c:pt>
                  <c:pt idx="14">
                    <c:v>Praktik Formatif</c:v>
                  </c:pt>
                  <c:pt idx="16">
                    <c:v>Kreasi</c:v>
                  </c:pt>
                  <c:pt idx="17">
                    <c:v>Konsep</c:v>
                  </c:pt>
                  <c:pt idx="19">
                    <c:v>Kognitif Formatif</c:v>
                  </c:pt>
                  <c:pt idx="20">
                    <c:v>Analisa</c:v>
                  </c:pt>
                  <c:pt idx="21">
                    <c:v>Discovery</c:v>
                  </c:pt>
                  <c:pt idx="22">
                    <c:v>Beriman, bertakwa kepada Tuhan YME dan berakhlak mulia</c:v>
                  </c:pt>
                  <c:pt idx="23">
                    <c:v>Kognitif Formatif</c:v>
                  </c:pt>
                  <c:pt idx="25">
                    <c:v>Konsep</c:v>
                  </c:pt>
                  <c:pt idx="27">
                    <c:v>Rencana Sukses</c:v>
                  </c:pt>
                  <c:pt idx="28">
                    <c:v>Mandiri</c:v>
                  </c:pt>
                  <c:pt idx="29">
                    <c:v>Beriman, bertakwa kepada Tuhan YME dan berakhlak mulia</c:v>
                  </c:pt>
                  <c:pt idx="30">
                    <c:v>Kognitif Formatif</c:v>
                  </c:pt>
                  <c:pt idx="32">
                    <c:v>Konsep</c:v>
                  </c:pt>
                  <c:pt idx="33">
                    <c:v>Discovery</c:v>
                  </c:pt>
                  <c:pt idx="34">
                    <c:v>Fokus, aktif berpartisipasi dan bertanya atau menanggapi</c:v>
                  </c:pt>
                  <c:pt idx="36">
                    <c:v>Mandiri</c:v>
                  </c:pt>
                  <c:pt idx="38">
                    <c:v>Kognitif Formatif</c:v>
                  </c:pt>
                  <c:pt idx="40">
                    <c:v>Kognitif Sumatif</c:v>
                  </c:pt>
                  <c:pt idx="41">
                    <c:v>Evaluasi</c:v>
                  </c:pt>
                  <c:pt idx="43">
                    <c:v>Analisa</c:v>
                  </c:pt>
                  <c:pt idx="44">
                    <c:v>Kognitif Formatif</c:v>
                  </c:pt>
                  <c:pt idx="45">
                    <c:v>Fokus, aktif berpartisipasi dan bertanya atau menanggapi</c:v>
                  </c:pt>
                  <c:pt idx="46">
                    <c:v>Beriman, bertakwa kepada Tuhan YME dan berakhlak mulia</c:v>
                  </c:pt>
                  <c:pt idx="48">
                    <c:v>Praktik Formatif</c:v>
                  </c:pt>
                  <c:pt idx="50">
                    <c:v>Kreasi</c:v>
                  </c:pt>
                  <c:pt idx="51">
                    <c:v>Konsep</c:v>
                  </c:pt>
                  <c:pt idx="53">
                    <c:v>Kognitif Formatif</c:v>
                  </c:pt>
                  <c:pt idx="54">
                    <c:v>Analisa</c:v>
                  </c:pt>
                  <c:pt idx="55">
                    <c:v>Discovery</c:v>
                  </c:pt>
                  <c:pt idx="56">
                    <c:v>Beriman, bertakwa kepada Tuhan YME dan berakhlak mulia</c:v>
                  </c:pt>
                  <c:pt idx="57">
                    <c:v>Kognitif Formatif</c:v>
                  </c:pt>
                  <c:pt idx="59">
                    <c:v>Mandiri</c:v>
                  </c:pt>
                  <c:pt idx="60">
                    <c:v>Beriman, bertakwa kepada Tuhan YME dan berakhlak mulia</c:v>
                  </c:pt>
                  <c:pt idx="61">
                    <c:v>Kognitif Formatif</c:v>
                  </c:pt>
                  <c:pt idx="63">
                    <c:v>Analisa</c:v>
                  </c:pt>
                  <c:pt idx="64">
                    <c:v>Konsep</c:v>
                  </c:pt>
                  <c:pt idx="65">
                    <c:v>Discovery</c:v>
                  </c:pt>
                  <c:pt idx="67">
                    <c:v>Fokus, aktif berpartisipasi dan bertanya atau menanggapi</c:v>
                  </c:pt>
                  <c:pt idx="69">
                    <c:v>Mandiri</c:v>
                  </c:pt>
                  <c:pt idx="71">
                    <c:v>Kognitif Formatif</c:v>
                  </c:pt>
                  <c:pt idx="73">
                    <c:v>Kognitif Sumatif</c:v>
                  </c:pt>
                  <c:pt idx="74">
                    <c:v>Evaluasi</c:v>
                  </c:pt>
                  <c:pt idx="76">
                    <c:v>Analisa</c:v>
                  </c:pt>
                  <c:pt idx="77">
                    <c:v>Kognitif Formatif</c:v>
                  </c:pt>
                  <c:pt idx="78">
                    <c:v>Fokus, aktif berpartisipasi dan bertanya atau menanggapi</c:v>
                  </c:pt>
                  <c:pt idx="79">
                    <c:v>Beriman, bertakwa kepada Tuhan YME dan berakhlak mulia</c:v>
                  </c:pt>
                  <c:pt idx="81">
                    <c:v>Praktik Formatif</c:v>
                  </c:pt>
                  <c:pt idx="83">
                    <c:v>Kreasi</c:v>
                  </c:pt>
                  <c:pt idx="84">
                    <c:v>Konsep</c:v>
                  </c:pt>
                  <c:pt idx="86">
                    <c:v>Kognitif Formatif</c:v>
                  </c:pt>
                  <c:pt idx="87">
                    <c:v>Analisa</c:v>
                  </c:pt>
                  <c:pt idx="88">
                    <c:v>Discovery</c:v>
                  </c:pt>
                  <c:pt idx="89">
                    <c:v>Beriman, bertakwa kepada Tuhan YME dan berakhlak mulia</c:v>
                  </c:pt>
                  <c:pt idx="90">
                    <c:v>Kognitif Formatif</c:v>
                  </c:pt>
                  <c:pt idx="92">
                    <c:v>Mandiri</c:v>
                  </c:pt>
                  <c:pt idx="93">
                    <c:v>Beriman, bertakwa kepada Tuhan YME dan berakhlak mulia</c:v>
                  </c:pt>
                  <c:pt idx="94">
                    <c:v>Kognitif Formatif</c:v>
                  </c:pt>
                  <c:pt idx="96">
                    <c:v>Analisa</c:v>
                  </c:pt>
                  <c:pt idx="97">
                    <c:v>Konsep</c:v>
                  </c:pt>
                  <c:pt idx="98">
                    <c:v>Discovery</c:v>
                  </c:pt>
                  <c:pt idx="100">
                    <c:v>Fokus, aktif berpartisipasi dan bertanya atau menanggapi</c:v>
                  </c:pt>
                  <c:pt idx="102">
                    <c:v>Mandiri</c:v>
                  </c:pt>
                  <c:pt idx="104">
                    <c:v>Kognitif Formatif</c:v>
                  </c:pt>
                  <c:pt idx="106">
                    <c:v>Kognitif Sumatif</c:v>
                  </c:pt>
                  <c:pt idx="107">
                    <c:v>Evaluasi</c:v>
                  </c:pt>
                  <c:pt idx="109">
                    <c:v>Analisa</c:v>
                  </c:pt>
                  <c:pt idx="110">
                    <c:v>Kognitif Formatif</c:v>
                  </c:pt>
                  <c:pt idx="111">
                    <c:v>Fokus, aktif berpartisipasi dan bertanya atau menanggapi</c:v>
                  </c:pt>
                  <c:pt idx="112">
                    <c:v>Beriman, bertakwa kepada Tuhan YME dan berakhlak mulia</c:v>
                  </c:pt>
                  <c:pt idx="114">
                    <c:v>Praktik Formatif</c:v>
                  </c:pt>
                  <c:pt idx="116">
                    <c:v>Kreasi</c:v>
                  </c:pt>
                  <c:pt idx="117">
                    <c:v>Konsep</c:v>
                  </c:pt>
                  <c:pt idx="119">
                    <c:v>Kognitif Formatif</c:v>
                  </c:pt>
                  <c:pt idx="120">
                    <c:v>Analisa</c:v>
                  </c:pt>
                  <c:pt idx="121">
                    <c:v>Discovery</c:v>
                  </c:pt>
                  <c:pt idx="122">
                    <c:v>Beriman, bertakwa kepada Tuhan YME dan berakhlak mulia</c:v>
                  </c:pt>
                  <c:pt idx="123">
                    <c:v>Kognitif Formatif</c:v>
                  </c:pt>
                  <c:pt idx="125">
                    <c:v>Mandiri</c:v>
                  </c:pt>
                  <c:pt idx="126">
                    <c:v>Beriman, bertakwa kepada Tuhan YME dan berakhlak mulia</c:v>
                  </c:pt>
                  <c:pt idx="127">
                    <c:v>Kognitif Formatif</c:v>
                  </c:pt>
                  <c:pt idx="129">
                    <c:v>Analisa</c:v>
                  </c:pt>
                  <c:pt idx="130">
                    <c:v>Konsep</c:v>
                  </c:pt>
                  <c:pt idx="131">
                    <c:v>Discovery</c:v>
                  </c:pt>
                  <c:pt idx="133">
                    <c:v>Fokus, aktif berpartisipasi dan bertanya atau menanggapi</c:v>
                  </c:pt>
                  <c:pt idx="135">
                    <c:v>Mandiri</c:v>
                  </c:pt>
                  <c:pt idx="137">
                    <c:v>Kognitif Formatif</c:v>
                  </c:pt>
                  <c:pt idx="139">
                    <c:v>Kognitif Sumatif</c:v>
                  </c:pt>
                  <c:pt idx="140">
                    <c:v>Evaluasi</c:v>
                  </c:pt>
                  <c:pt idx="142">
                    <c:v>Analisa</c:v>
                  </c:pt>
                  <c:pt idx="143">
                    <c:v>Kognitif Formatif</c:v>
                  </c:pt>
                  <c:pt idx="144">
                    <c:v>Fokus, aktif berpartisipasi dan bertanya atau menanggapi</c:v>
                  </c:pt>
                  <c:pt idx="145">
                    <c:v>Beriman, bertakwa kepada Tuhan YME dan berakhlak mulia</c:v>
                  </c:pt>
                  <c:pt idx="147">
                    <c:v>Praktik Formatif</c:v>
                  </c:pt>
                  <c:pt idx="149">
                    <c:v>Kreasi</c:v>
                  </c:pt>
                  <c:pt idx="150">
                    <c:v>Konsep</c:v>
                  </c:pt>
                  <c:pt idx="152">
                    <c:v>Kognitif Formatif</c:v>
                  </c:pt>
                  <c:pt idx="153">
                    <c:v>Analisa</c:v>
                  </c:pt>
                  <c:pt idx="154">
                    <c:v>Discovery</c:v>
                  </c:pt>
                  <c:pt idx="155">
                    <c:v>Beriman, bertakwa kepada Tuhan YME dan berakhlak mulia</c:v>
                  </c:pt>
                  <c:pt idx="156">
                    <c:v>Kognitif Formatif</c:v>
                  </c:pt>
                  <c:pt idx="158">
                    <c:v>Mandiri</c:v>
                  </c:pt>
                  <c:pt idx="159">
                    <c:v>Beriman, bertakwa kepada Tuhan YME dan berakhlak mulia</c:v>
                  </c:pt>
                  <c:pt idx="160">
                    <c:v>Kognitif Formatif</c:v>
                  </c:pt>
                  <c:pt idx="162">
                    <c:v>Konsep</c:v>
                  </c:pt>
                  <c:pt idx="163">
                    <c:v>Discovery</c:v>
                  </c:pt>
                  <c:pt idx="164">
                    <c:v>Fokus, aktif berpartisipasi dan bertanya atau menanggapi</c:v>
                  </c:pt>
                  <c:pt idx="166">
                    <c:v>Mandiri</c:v>
                  </c:pt>
                  <c:pt idx="168">
                    <c:v>Kognitif Formatif</c:v>
                  </c:pt>
                  <c:pt idx="170">
                    <c:v>Kognitif Sumatif</c:v>
                  </c:pt>
                  <c:pt idx="171">
                    <c:v>Evaluasi</c:v>
                  </c:pt>
                  <c:pt idx="173">
                    <c:v>Analisa</c:v>
                  </c:pt>
                  <c:pt idx="174">
                    <c:v>Kognitif Formatif</c:v>
                  </c:pt>
                  <c:pt idx="175">
                    <c:v>Fokus, aktif berpartisipasi dan bertanya atau menanggapi</c:v>
                  </c:pt>
                  <c:pt idx="176">
                    <c:v>Beriman, bertakwa kepada Tuhan YME dan berakhlak mulia</c:v>
                  </c:pt>
                  <c:pt idx="178">
                    <c:v>Praktik Formatif</c:v>
                  </c:pt>
                  <c:pt idx="180">
                    <c:v>Kreasi</c:v>
                  </c:pt>
                  <c:pt idx="181">
                    <c:v>Konsep</c:v>
                  </c:pt>
                  <c:pt idx="183">
                    <c:v>Kognitif Formatif</c:v>
                  </c:pt>
                  <c:pt idx="184">
                    <c:v>Analisa</c:v>
                  </c:pt>
                  <c:pt idx="185">
                    <c:v>Discovery</c:v>
                  </c:pt>
                  <c:pt idx="186">
                    <c:v>Beriman, bertakwa kepada Tuhan YME dan berakhlak mulia</c:v>
                  </c:pt>
                  <c:pt idx="187">
                    <c:v>Kognitif Formatif</c:v>
                  </c:pt>
                  <c:pt idx="189">
                    <c:v>Mandiri</c:v>
                  </c:pt>
                  <c:pt idx="190">
                    <c:v>Beriman, bertakwa kepada Tuhan YME dan berakhlak mulia</c:v>
                  </c:pt>
                  <c:pt idx="191">
                    <c:v>Kognitif Formatif</c:v>
                  </c:pt>
                  <c:pt idx="193">
                    <c:v>Analisa</c:v>
                  </c:pt>
                  <c:pt idx="194">
                    <c:v>Konsep</c:v>
                  </c:pt>
                  <c:pt idx="195">
                    <c:v>Discovery</c:v>
                  </c:pt>
                  <c:pt idx="197">
                    <c:v>Fokus, aktif berpartisipasi dan bertanya atau menanggapi</c:v>
                  </c:pt>
                  <c:pt idx="199">
                    <c:v>Mandiri</c:v>
                  </c:pt>
                  <c:pt idx="201">
                    <c:v>Kognitif Formatif</c:v>
                  </c:pt>
                  <c:pt idx="203">
                    <c:v>Kognitif Sumatif</c:v>
                  </c:pt>
                  <c:pt idx="204">
                    <c:v>Evaluasi</c:v>
                  </c:pt>
                  <c:pt idx="206">
                    <c:v>Analisa</c:v>
                  </c:pt>
                  <c:pt idx="207">
                    <c:v>Kognitif Formatif</c:v>
                  </c:pt>
                  <c:pt idx="208">
                    <c:v>Beriman, bertakwa kepada Tuhan YME dan berakhlak mulia</c:v>
                  </c:pt>
                  <c:pt idx="209">
                    <c:v>Praktik Formatif</c:v>
                  </c:pt>
                  <c:pt idx="211">
                    <c:v>Konsep</c:v>
                  </c:pt>
                  <c:pt idx="213">
                    <c:v>Kognitif Formatif</c:v>
                  </c:pt>
                  <c:pt idx="214">
                    <c:v>Analisa</c:v>
                  </c:pt>
                  <c:pt idx="215">
                    <c:v>Discovery</c:v>
                  </c:pt>
                  <c:pt idx="216">
                    <c:v>Beriman, bertakwa kepada Tuhan YME dan berakhlak mulia</c:v>
                  </c:pt>
                  <c:pt idx="217">
                    <c:v>Kognitif Formatif</c:v>
                  </c:pt>
                  <c:pt idx="219">
                    <c:v>Konsep</c:v>
                  </c:pt>
                  <c:pt idx="221">
                    <c:v>Rencana Sukses</c:v>
                  </c:pt>
                  <c:pt idx="222">
                    <c:v>Mandiri</c:v>
                  </c:pt>
                  <c:pt idx="223">
                    <c:v>Beriman, bertakwa kepada Tuhan YME dan berakhlak mulia</c:v>
                  </c:pt>
                  <c:pt idx="224">
                    <c:v>Kognitif Formatif</c:v>
                  </c:pt>
                  <c:pt idx="226">
                    <c:v>Analisa</c:v>
                  </c:pt>
                  <c:pt idx="227">
                    <c:v>Konsep</c:v>
                  </c:pt>
                  <c:pt idx="228">
                    <c:v>Discovery</c:v>
                  </c:pt>
                  <c:pt idx="230">
                    <c:v>Fokus, aktif berpartisipasi dan bertanya atau menanggapi</c:v>
                  </c:pt>
                  <c:pt idx="232">
                    <c:v>Mandiri</c:v>
                  </c:pt>
                  <c:pt idx="234">
                    <c:v>Kognitif Formatif</c:v>
                  </c:pt>
                  <c:pt idx="236">
                    <c:v>Kognitif Sumatif</c:v>
                  </c:pt>
                  <c:pt idx="237">
                    <c:v>Evaluasi</c:v>
                  </c:pt>
                  <c:pt idx="239">
                    <c:v>Analisa</c:v>
                  </c:pt>
                  <c:pt idx="240">
                    <c:v>Kognitif Formatif</c:v>
                  </c:pt>
                  <c:pt idx="241">
                    <c:v>Fokus, aktif berpartisipasi dan bertanya atau menanggapi</c:v>
                  </c:pt>
                  <c:pt idx="242">
                    <c:v>Beriman, bertakwa kepada Tuhan YME dan berakhlak mulia</c:v>
                  </c:pt>
                  <c:pt idx="244">
                    <c:v>Praktik Formatif</c:v>
                  </c:pt>
                  <c:pt idx="246">
                    <c:v>Kreasi</c:v>
                  </c:pt>
                  <c:pt idx="247">
                    <c:v>Konsep</c:v>
                  </c:pt>
                  <c:pt idx="249">
                    <c:v>Kognitif Formatif</c:v>
                  </c:pt>
                  <c:pt idx="250">
                    <c:v>Analisa</c:v>
                  </c:pt>
                  <c:pt idx="251">
                    <c:v>Discovery</c:v>
                  </c:pt>
                  <c:pt idx="252">
                    <c:v>Beriman, bertakwa kepada Tuhan YME dan berakhlak mulia</c:v>
                  </c:pt>
                  <c:pt idx="253">
                    <c:v>Kognitif Formatif</c:v>
                  </c:pt>
                  <c:pt idx="255">
                    <c:v>Konsep</c:v>
                  </c:pt>
                  <c:pt idx="257">
                    <c:v>Rencana Sukses</c:v>
                  </c:pt>
                  <c:pt idx="258">
                    <c:v>Mandiri</c:v>
                  </c:pt>
                  <c:pt idx="259">
                    <c:v>Beriman, bertakwa kepada Tuhan YME dan berakhlak mulia</c:v>
                  </c:pt>
                  <c:pt idx="260">
                    <c:v>Kognitif Formatif</c:v>
                  </c:pt>
                  <c:pt idx="262">
                    <c:v>Analisa</c:v>
                  </c:pt>
                  <c:pt idx="263">
                    <c:v>Konsep</c:v>
                  </c:pt>
                  <c:pt idx="264">
                    <c:v>Discovery</c:v>
                  </c:pt>
                  <c:pt idx="266">
                    <c:v>Fokus, aktif berpartisipasi dan bertanya atau menanggapi</c:v>
                  </c:pt>
                  <c:pt idx="268">
                    <c:v>Mandiri</c:v>
                  </c:pt>
                  <c:pt idx="270">
                    <c:v>Kognitif Formatif</c:v>
                  </c:pt>
                  <c:pt idx="272">
                    <c:v>Kognitif Sumatif</c:v>
                  </c:pt>
                  <c:pt idx="273">
                    <c:v>Evaluasi</c:v>
                  </c:pt>
                  <c:pt idx="275">
                    <c:v>Analisa</c:v>
                  </c:pt>
                  <c:pt idx="276">
                    <c:v>Kognitif Formatif</c:v>
                  </c:pt>
                  <c:pt idx="277">
                    <c:v>Fokus, aktif berpartisipasi dan bertanya atau menanggapi</c:v>
                  </c:pt>
                  <c:pt idx="278">
                    <c:v>Beriman, bertakwa kepada Tuhan YME dan berakhlak mulia</c:v>
                  </c:pt>
                  <c:pt idx="280">
                    <c:v>Praktik Formatif</c:v>
                  </c:pt>
                  <c:pt idx="282">
                    <c:v>Kreasi</c:v>
                  </c:pt>
                  <c:pt idx="283">
                    <c:v>Konsep</c:v>
                  </c:pt>
                  <c:pt idx="285">
                    <c:v>Kognitif Formatif</c:v>
                  </c:pt>
                  <c:pt idx="286">
                    <c:v>Analisa</c:v>
                  </c:pt>
                  <c:pt idx="287">
                    <c:v>Discovery</c:v>
                  </c:pt>
                  <c:pt idx="288">
                    <c:v>Beriman, bertakwa kepada Tuhan YME dan berakhlak mulia</c:v>
                  </c:pt>
                  <c:pt idx="289">
                    <c:v>Kognitif Formatif</c:v>
                  </c:pt>
                  <c:pt idx="291">
                    <c:v>Konsep</c:v>
                  </c:pt>
                  <c:pt idx="293">
                    <c:v>Rencana Sukses</c:v>
                  </c:pt>
                  <c:pt idx="294">
                    <c:v>Mandiri</c:v>
                  </c:pt>
                  <c:pt idx="295">
                    <c:v>Beriman, bertakwa kepada Tuhan YME dan berakhlak mulia</c:v>
                  </c:pt>
                  <c:pt idx="296">
                    <c:v>Kognitif Formatif</c:v>
                  </c:pt>
                  <c:pt idx="298">
                    <c:v>Analisa</c:v>
                  </c:pt>
                  <c:pt idx="299">
                    <c:v>Konsep</c:v>
                  </c:pt>
                  <c:pt idx="300">
                    <c:v>Discovery</c:v>
                  </c:pt>
                  <c:pt idx="302">
                    <c:v>Fokus, aktif berpartisipasi dan bertanya atau menanggapi</c:v>
                  </c:pt>
                  <c:pt idx="304">
                    <c:v>Mandiri</c:v>
                  </c:pt>
                  <c:pt idx="306">
                    <c:v>Kognitif Formatif</c:v>
                  </c:pt>
                  <c:pt idx="308">
                    <c:v>Kognitif Sumatif</c:v>
                  </c:pt>
                  <c:pt idx="309">
                    <c:v>Evaluasi</c:v>
                  </c:pt>
                  <c:pt idx="311">
                    <c:v>Analisa</c:v>
                  </c:pt>
                  <c:pt idx="312">
                    <c:v>Kognitif Formatif</c:v>
                  </c:pt>
                  <c:pt idx="313">
                    <c:v>Fokus, aktif berpartisipasi dan bertanya atau menanggapi</c:v>
                  </c:pt>
                  <c:pt idx="314">
                    <c:v>Beriman, bertakwa kepada Tuhan YME dan berakhlak mulia</c:v>
                  </c:pt>
                  <c:pt idx="316">
                    <c:v>Praktik Formatif</c:v>
                  </c:pt>
                  <c:pt idx="318">
                    <c:v>Kreasi</c:v>
                  </c:pt>
                  <c:pt idx="319">
                    <c:v>Konsep</c:v>
                  </c:pt>
                  <c:pt idx="321">
                    <c:v>Kognitif Formatif</c:v>
                  </c:pt>
                  <c:pt idx="322">
                    <c:v>Analisa</c:v>
                  </c:pt>
                  <c:pt idx="323">
                    <c:v>Discovery</c:v>
                  </c:pt>
                  <c:pt idx="324">
                    <c:v>Beriman, bertakwa kepada Tuhan YME dan berakhlak mulia</c:v>
                  </c:pt>
                  <c:pt idx="325">
                    <c:v>Kognitif Formatif</c:v>
                  </c:pt>
                  <c:pt idx="327">
                    <c:v>Konsep</c:v>
                  </c:pt>
                  <c:pt idx="329">
                    <c:v>Rencana Sukses</c:v>
                  </c:pt>
                  <c:pt idx="330">
                    <c:v>Mandiri</c:v>
                  </c:pt>
                  <c:pt idx="331">
                    <c:v>Beriman, bertakwa kepada Tuhan YME dan berakhlak mulia</c:v>
                  </c:pt>
                  <c:pt idx="332">
                    <c:v>Kognitif Formatif</c:v>
                  </c:pt>
                  <c:pt idx="334">
                    <c:v>Analisa</c:v>
                  </c:pt>
                  <c:pt idx="335">
                    <c:v>Konsep</c:v>
                  </c:pt>
                  <c:pt idx="336">
                    <c:v>Discovery</c:v>
                  </c:pt>
                  <c:pt idx="338">
                    <c:v>Fokus, aktif berpartisipasi dan bertanya atau menanggapi</c:v>
                  </c:pt>
                  <c:pt idx="340">
                    <c:v>Mandiri</c:v>
                  </c:pt>
                  <c:pt idx="342">
                    <c:v>Kognitif Formatif</c:v>
                  </c:pt>
                  <c:pt idx="344">
                    <c:v>Kognitif Sumatif</c:v>
                  </c:pt>
                  <c:pt idx="345">
                    <c:v>Evaluasi</c:v>
                  </c:pt>
                  <c:pt idx="347">
                    <c:v>Analisa</c:v>
                  </c:pt>
                  <c:pt idx="348">
                    <c:v>Kognitif Formatif</c:v>
                  </c:pt>
                  <c:pt idx="349">
                    <c:v>Fokus, aktif berpartisipasi dan bertanya atau menanggapi</c:v>
                  </c:pt>
                  <c:pt idx="350">
                    <c:v>Beriman, bertakwa kepada Tuhan YME dan berakhlak mulia</c:v>
                  </c:pt>
                  <c:pt idx="352">
                    <c:v>Praktik Formatif</c:v>
                  </c:pt>
                  <c:pt idx="354">
                    <c:v>Kreasi</c:v>
                  </c:pt>
                  <c:pt idx="355">
                    <c:v>Konsep</c:v>
                  </c:pt>
                  <c:pt idx="357">
                    <c:v>Kognitif Formatif</c:v>
                  </c:pt>
                  <c:pt idx="358">
                    <c:v>Analisa</c:v>
                  </c:pt>
                  <c:pt idx="359">
                    <c:v>Discovery</c:v>
                  </c:pt>
                  <c:pt idx="360">
                    <c:v>Beriman, bertakwa kepada Tuhan YME dan berakhlak mulia</c:v>
                  </c:pt>
                  <c:pt idx="361">
                    <c:v>Kognitif Formatif</c:v>
                  </c:pt>
                  <c:pt idx="363">
                    <c:v>Mandiri</c:v>
                  </c:pt>
                  <c:pt idx="364">
                    <c:v>Beriman, bertakwa kepada Tuhan YME dan berakhlak mulia</c:v>
                  </c:pt>
                  <c:pt idx="365">
                    <c:v>Kognitif Formatif</c:v>
                  </c:pt>
                  <c:pt idx="367">
                    <c:v>Analisa</c:v>
                  </c:pt>
                  <c:pt idx="368">
                    <c:v>Konsep</c:v>
                  </c:pt>
                  <c:pt idx="369">
                    <c:v>Discovery</c:v>
                  </c:pt>
                  <c:pt idx="371">
                    <c:v>Kognitif Formatif</c:v>
                  </c:pt>
                  <c:pt idx="372">
                    <c:v>Fokus, aktif berpartisipasi dan bertanya atau menanggapi</c:v>
                  </c:pt>
                  <c:pt idx="373">
                    <c:v>Beriman, bertakwa kepada Tuhan YME dan berakhlak mulia</c:v>
                  </c:pt>
                  <c:pt idx="374">
                    <c:v>Praktik Formatif</c:v>
                  </c:pt>
                  <c:pt idx="375">
                    <c:v>Kreasi</c:v>
                  </c:pt>
                  <c:pt idx="376">
                    <c:v>Konsep</c:v>
                  </c:pt>
                  <c:pt idx="377">
                    <c:v>Kognitif Formatif</c:v>
                  </c:pt>
                  <c:pt idx="378">
                    <c:v>Analisa</c:v>
                  </c:pt>
                  <c:pt idx="379">
                    <c:v>Discovery</c:v>
                  </c:pt>
                  <c:pt idx="380">
                    <c:v>Kognitif Formatif</c:v>
                  </c:pt>
                  <c:pt idx="381">
                    <c:v>Konsep</c:v>
                  </c:pt>
                  <c:pt idx="382">
                    <c:v>Rencana Sukses</c:v>
                  </c:pt>
                  <c:pt idx="383">
                    <c:v>Mandiri</c:v>
                  </c:pt>
                  <c:pt idx="384">
                    <c:v>Beriman, bertakwa kepada Tuhan YME dan berakhlak mulia</c:v>
                  </c:pt>
                  <c:pt idx="385">
                    <c:v>Kognitif Formatif</c:v>
                  </c:pt>
                  <c:pt idx="386">
                    <c:v>Analisa</c:v>
                  </c:pt>
                  <c:pt idx="387">
                    <c:v>Konsep</c:v>
                  </c:pt>
                  <c:pt idx="388">
                    <c:v>Discovery</c:v>
                  </c:pt>
                </c:lvl>
                <c:lvl>
                  <c:pt idx="0">
                    <c:v>Minat</c:v>
                  </c:pt>
                  <c:pt idx="2">
                    <c:v>Karakter</c:v>
                  </c:pt>
                  <c:pt idx="4">
                    <c:v>Teori</c:v>
                  </c:pt>
                  <c:pt idx="7">
                    <c:v>Nalar</c:v>
                  </c:pt>
                  <c:pt idx="10">
                    <c:v>Teori</c:v>
                  </c:pt>
                  <c:pt idx="11">
                    <c:v>Minat</c:v>
                  </c:pt>
                  <c:pt idx="12">
                    <c:v>Karakter</c:v>
                  </c:pt>
                  <c:pt idx="14">
                    <c:v>Teori</c:v>
                  </c:pt>
                  <c:pt idx="16">
                    <c:v>Nalar</c:v>
                  </c:pt>
                  <c:pt idx="17">
                    <c:v>Skill</c:v>
                  </c:pt>
                  <c:pt idx="19">
                    <c:v>Teori</c:v>
                  </c:pt>
                  <c:pt idx="20">
                    <c:v>Nalar</c:v>
                  </c:pt>
                  <c:pt idx="21">
                    <c:v>Skill</c:v>
                  </c:pt>
                  <c:pt idx="22">
                    <c:v>Karakter</c:v>
                  </c:pt>
                  <c:pt idx="23">
                    <c:v>Teori</c:v>
                  </c:pt>
                  <c:pt idx="25">
                    <c:v>Skill</c:v>
                  </c:pt>
                  <c:pt idx="28">
                    <c:v>Karakter</c:v>
                  </c:pt>
                  <c:pt idx="30">
                    <c:v>Teori</c:v>
                  </c:pt>
                  <c:pt idx="32">
                    <c:v>Skill</c:v>
                  </c:pt>
                  <c:pt idx="34">
                    <c:v>Minat</c:v>
                  </c:pt>
                  <c:pt idx="36">
                    <c:v>Karakter</c:v>
                  </c:pt>
                  <c:pt idx="38">
                    <c:v>Teori</c:v>
                  </c:pt>
                  <c:pt idx="41">
                    <c:v>Nalar</c:v>
                  </c:pt>
                  <c:pt idx="44">
                    <c:v>Teori</c:v>
                  </c:pt>
                  <c:pt idx="45">
                    <c:v>Minat</c:v>
                  </c:pt>
                  <c:pt idx="46">
                    <c:v>Karakter</c:v>
                  </c:pt>
                  <c:pt idx="48">
                    <c:v>Teori</c:v>
                  </c:pt>
                  <c:pt idx="50">
                    <c:v>Nalar</c:v>
                  </c:pt>
                  <c:pt idx="51">
                    <c:v>Skill</c:v>
                  </c:pt>
                  <c:pt idx="53">
                    <c:v>Teori</c:v>
                  </c:pt>
                  <c:pt idx="54">
                    <c:v>Nalar</c:v>
                  </c:pt>
                  <c:pt idx="55">
                    <c:v>Skill</c:v>
                  </c:pt>
                  <c:pt idx="56">
                    <c:v>Karakter</c:v>
                  </c:pt>
                  <c:pt idx="57">
                    <c:v>Teori</c:v>
                  </c:pt>
                  <c:pt idx="59">
                    <c:v>Karakter</c:v>
                  </c:pt>
                  <c:pt idx="61">
                    <c:v>Teori</c:v>
                  </c:pt>
                  <c:pt idx="63">
                    <c:v>Nalar</c:v>
                  </c:pt>
                  <c:pt idx="64">
                    <c:v>Skill</c:v>
                  </c:pt>
                  <c:pt idx="67">
                    <c:v>Minat</c:v>
                  </c:pt>
                  <c:pt idx="69">
                    <c:v>Karakter</c:v>
                  </c:pt>
                  <c:pt idx="71">
                    <c:v>Teori</c:v>
                  </c:pt>
                  <c:pt idx="74">
                    <c:v>Nalar</c:v>
                  </c:pt>
                  <c:pt idx="77">
                    <c:v>Teori</c:v>
                  </c:pt>
                  <c:pt idx="78">
                    <c:v>Minat</c:v>
                  </c:pt>
                  <c:pt idx="79">
                    <c:v>Karakter</c:v>
                  </c:pt>
                  <c:pt idx="81">
                    <c:v>Teori</c:v>
                  </c:pt>
                  <c:pt idx="83">
                    <c:v>Nalar</c:v>
                  </c:pt>
                  <c:pt idx="84">
                    <c:v>Skill</c:v>
                  </c:pt>
                  <c:pt idx="86">
                    <c:v>Teori</c:v>
                  </c:pt>
                  <c:pt idx="87">
                    <c:v>Nalar</c:v>
                  </c:pt>
                  <c:pt idx="88">
                    <c:v>Skill</c:v>
                  </c:pt>
                  <c:pt idx="89">
                    <c:v>Karakter</c:v>
                  </c:pt>
                  <c:pt idx="90">
                    <c:v>Teori</c:v>
                  </c:pt>
                  <c:pt idx="92">
                    <c:v>Karakter</c:v>
                  </c:pt>
                  <c:pt idx="94">
                    <c:v>Teori</c:v>
                  </c:pt>
                  <c:pt idx="96">
                    <c:v>Nalar</c:v>
                  </c:pt>
                  <c:pt idx="97">
                    <c:v>Skill</c:v>
                  </c:pt>
                  <c:pt idx="100">
                    <c:v>Minat</c:v>
                  </c:pt>
                  <c:pt idx="102">
                    <c:v>Karakter</c:v>
                  </c:pt>
                  <c:pt idx="104">
                    <c:v>Teori</c:v>
                  </c:pt>
                  <c:pt idx="107">
                    <c:v>Nalar</c:v>
                  </c:pt>
                  <c:pt idx="110">
                    <c:v>Teori</c:v>
                  </c:pt>
                  <c:pt idx="111">
                    <c:v>Minat</c:v>
                  </c:pt>
                  <c:pt idx="112">
                    <c:v>Karakter</c:v>
                  </c:pt>
                  <c:pt idx="114">
                    <c:v>Teori</c:v>
                  </c:pt>
                  <c:pt idx="116">
                    <c:v>Nalar</c:v>
                  </c:pt>
                  <c:pt idx="117">
                    <c:v>Skill</c:v>
                  </c:pt>
                  <c:pt idx="119">
                    <c:v>Teori</c:v>
                  </c:pt>
                  <c:pt idx="120">
                    <c:v>Nalar</c:v>
                  </c:pt>
                  <c:pt idx="121">
                    <c:v>Skill</c:v>
                  </c:pt>
                  <c:pt idx="122">
                    <c:v>Karakter</c:v>
                  </c:pt>
                  <c:pt idx="123">
                    <c:v>Teori</c:v>
                  </c:pt>
                  <c:pt idx="125">
                    <c:v>Karakter</c:v>
                  </c:pt>
                  <c:pt idx="127">
                    <c:v>Teori</c:v>
                  </c:pt>
                  <c:pt idx="129">
                    <c:v>Nalar</c:v>
                  </c:pt>
                  <c:pt idx="130">
                    <c:v>Skill</c:v>
                  </c:pt>
                  <c:pt idx="133">
                    <c:v>Minat</c:v>
                  </c:pt>
                  <c:pt idx="135">
                    <c:v>Karakter</c:v>
                  </c:pt>
                  <c:pt idx="137">
                    <c:v>Teori</c:v>
                  </c:pt>
                  <c:pt idx="140">
                    <c:v>Nalar</c:v>
                  </c:pt>
                  <c:pt idx="143">
                    <c:v>Teori</c:v>
                  </c:pt>
                  <c:pt idx="144">
                    <c:v>Minat</c:v>
                  </c:pt>
                  <c:pt idx="145">
                    <c:v>Karakter</c:v>
                  </c:pt>
                  <c:pt idx="147">
                    <c:v>Teori</c:v>
                  </c:pt>
                  <c:pt idx="149">
                    <c:v>Nalar</c:v>
                  </c:pt>
                  <c:pt idx="150">
                    <c:v>Skill</c:v>
                  </c:pt>
                  <c:pt idx="152">
                    <c:v>Teori</c:v>
                  </c:pt>
                  <c:pt idx="153">
                    <c:v>Nalar</c:v>
                  </c:pt>
                  <c:pt idx="154">
                    <c:v>Skill</c:v>
                  </c:pt>
                  <c:pt idx="155">
                    <c:v>Karakter</c:v>
                  </c:pt>
                  <c:pt idx="156">
                    <c:v>Teori</c:v>
                  </c:pt>
                  <c:pt idx="158">
                    <c:v>Karakter</c:v>
                  </c:pt>
                  <c:pt idx="160">
                    <c:v>Teori</c:v>
                  </c:pt>
                  <c:pt idx="162">
                    <c:v>Skill</c:v>
                  </c:pt>
                  <c:pt idx="164">
                    <c:v>Minat</c:v>
                  </c:pt>
                  <c:pt idx="166">
                    <c:v>Karakter</c:v>
                  </c:pt>
                  <c:pt idx="168">
                    <c:v>Teori</c:v>
                  </c:pt>
                  <c:pt idx="171">
                    <c:v>Nalar</c:v>
                  </c:pt>
                  <c:pt idx="174">
                    <c:v>Teori</c:v>
                  </c:pt>
                  <c:pt idx="175">
                    <c:v>Minat</c:v>
                  </c:pt>
                  <c:pt idx="176">
                    <c:v>Karakter</c:v>
                  </c:pt>
                  <c:pt idx="178">
                    <c:v>Teori</c:v>
                  </c:pt>
                  <c:pt idx="180">
                    <c:v>Nalar</c:v>
                  </c:pt>
                  <c:pt idx="181">
                    <c:v>Skill</c:v>
                  </c:pt>
                  <c:pt idx="183">
                    <c:v>Teori</c:v>
                  </c:pt>
                  <c:pt idx="184">
                    <c:v>Nalar</c:v>
                  </c:pt>
                  <c:pt idx="185">
                    <c:v>Skill</c:v>
                  </c:pt>
                  <c:pt idx="186">
                    <c:v>Karakter</c:v>
                  </c:pt>
                  <c:pt idx="187">
                    <c:v>Teori</c:v>
                  </c:pt>
                  <c:pt idx="189">
                    <c:v>Karakter</c:v>
                  </c:pt>
                  <c:pt idx="191">
                    <c:v>Teori</c:v>
                  </c:pt>
                  <c:pt idx="193">
                    <c:v>Nalar</c:v>
                  </c:pt>
                  <c:pt idx="194">
                    <c:v>Skill</c:v>
                  </c:pt>
                  <c:pt idx="197">
                    <c:v>Minat</c:v>
                  </c:pt>
                  <c:pt idx="199">
                    <c:v>Karakter</c:v>
                  </c:pt>
                  <c:pt idx="201">
                    <c:v>Teori</c:v>
                  </c:pt>
                  <c:pt idx="204">
                    <c:v>Nalar</c:v>
                  </c:pt>
                  <c:pt idx="207">
                    <c:v>Teori</c:v>
                  </c:pt>
                  <c:pt idx="208">
                    <c:v>Karakter</c:v>
                  </c:pt>
                  <c:pt idx="209">
                    <c:v>Teori</c:v>
                  </c:pt>
                  <c:pt idx="211">
                    <c:v>Skill</c:v>
                  </c:pt>
                  <c:pt idx="213">
                    <c:v>Teori</c:v>
                  </c:pt>
                  <c:pt idx="214">
                    <c:v>Nalar</c:v>
                  </c:pt>
                  <c:pt idx="215">
                    <c:v>Skill</c:v>
                  </c:pt>
                  <c:pt idx="216">
                    <c:v>Karakter</c:v>
                  </c:pt>
                  <c:pt idx="217">
                    <c:v>Teori</c:v>
                  </c:pt>
                  <c:pt idx="219">
                    <c:v>Skill</c:v>
                  </c:pt>
                  <c:pt idx="222">
                    <c:v>Karakter</c:v>
                  </c:pt>
                  <c:pt idx="224">
                    <c:v>Teori</c:v>
                  </c:pt>
                  <c:pt idx="226">
                    <c:v>Nalar</c:v>
                  </c:pt>
                  <c:pt idx="227">
                    <c:v>Skill</c:v>
                  </c:pt>
                  <c:pt idx="230">
                    <c:v>Minat</c:v>
                  </c:pt>
                  <c:pt idx="232">
                    <c:v>Karakter</c:v>
                  </c:pt>
                  <c:pt idx="234">
                    <c:v>Teori</c:v>
                  </c:pt>
                  <c:pt idx="237">
                    <c:v>Nalar</c:v>
                  </c:pt>
                  <c:pt idx="240">
                    <c:v>Teori</c:v>
                  </c:pt>
                  <c:pt idx="241">
                    <c:v>Minat</c:v>
                  </c:pt>
                  <c:pt idx="242">
                    <c:v>Karakter</c:v>
                  </c:pt>
                  <c:pt idx="244">
                    <c:v>Teori</c:v>
                  </c:pt>
                  <c:pt idx="246">
                    <c:v>Nalar</c:v>
                  </c:pt>
                  <c:pt idx="247">
                    <c:v>Skill</c:v>
                  </c:pt>
                  <c:pt idx="249">
                    <c:v>Teori</c:v>
                  </c:pt>
                  <c:pt idx="250">
                    <c:v>Nalar</c:v>
                  </c:pt>
                  <c:pt idx="251">
                    <c:v>Skill</c:v>
                  </c:pt>
                  <c:pt idx="252">
                    <c:v>Karakter</c:v>
                  </c:pt>
                  <c:pt idx="253">
                    <c:v>Teori</c:v>
                  </c:pt>
                  <c:pt idx="255">
                    <c:v>Skill</c:v>
                  </c:pt>
                  <c:pt idx="258">
                    <c:v>Karakter</c:v>
                  </c:pt>
                  <c:pt idx="260">
                    <c:v>Teori</c:v>
                  </c:pt>
                  <c:pt idx="262">
                    <c:v>Nalar</c:v>
                  </c:pt>
                  <c:pt idx="263">
                    <c:v>Skill</c:v>
                  </c:pt>
                  <c:pt idx="266">
                    <c:v>Minat</c:v>
                  </c:pt>
                  <c:pt idx="268">
                    <c:v>Karakter</c:v>
                  </c:pt>
                  <c:pt idx="270">
                    <c:v>Teori</c:v>
                  </c:pt>
                  <c:pt idx="273">
                    <c:v>Nalar</c:v>
                  </c:pt>
                  <c:pt idx="276">
                    <c:v>Teori</c:v>
                  </c:pt>
                  <c:pt idx="277">
                    <c:v>Minat</c:v>
                  </c:pt>
                  <c:pt idx="278">
                    <c:v>Karakter</c:v>
                  </c:pt>
                  <c:pt idx="280">
                    <c:v>Teori</c:v>
                  </c:pt>
                  <c:pt idx="282">
                    <c:v>Nalar</c:v>
                  </c:pt>
                  <c:pt idx="283">
                    <c:v>Skill</c:v>
                  </c:pt>
                  <c:pt idx="285">
                    <c:v>Teori</c:v>
                  </c:pt>
                  <c:pt idx="286">
                    <c:v>Nalar</c:v>
                  </c:pt>
                  <c:pt idx="287">
                    <c:v>Skill</c:v>
                  </c:pt>
                  <c:pt idx="288">
                    <c:v>Karakter</c:v>
                  </c:pt>
                  <c:pt idx="289">
                    <c:v>Teori</c:v>
                  </c:pt>
                  <c:pt idx="291">
                    <c:v>Skill</c:v>
                  </c:pt>
                  <c:pt idx="294">
                    <c:v>Karakter</c:v>
                  </c:pt>
                  <c:pt idx="296">
                    <c:v>Teori</c:v>
                  </c:pt>
                  <c:pt idx="298">
                    <c:v>Nalar</c:v>
                  </c:pt>
                  <c:pt idx="299">
                    <c:v>Skill</c:v>
                  </c:pt>
                  <c:pt idx="302">
                    <c:v>Minat</c:v>
                  </c:pt>
                  <c:pt idx="304">
                    <c:v>Karakter</c:v>
                  </c:pt>
                  <c:pt idx="306">
                    <c:v>Teori</c:v>
                  </c:pt>
                  <c:pt idx="309">
                    <c:v>Nalar</c:v>
                  </c:pt>
                  <c:pt idx="312">
                    <c:v>Teori</c:v>
                  </c:pt>
                  <c:pt idx="313">
                    <c:v>Minat</c:v>
                  </c:pt>
                  <c:pt idx="314">
                    <c:v>Karakter</c:v>
                  </c:pt>
                  <c:pt idx="316">
                    <c:v>Teori</c:v>
                  </c:pt>
                  <c:pt idx="318">
                    <c:v>Nalar</c:v>
                  </c:pt>
                  <c:pt idx="319">
                    <c:v>Skill</c:v>
                  </c:pt>
                  <c:pt idx="321">
                    <c:v>Teori</c:v>
                  </c:pt>
                  <c:pt idx="322">
                    <c:v>Nalar</c:v>
                  </c:pt>
                  <c:pt idx="323">
                    <c:v>Skill</c:v>
                  </c:pt>
                  <c:pt idx="324">
                    <c:v>Karakter</c:v>
                  </c:pt>
                  <c:pt idx="325">
                    <c:v>Teori</c:v>
                  </c:pt>
                  <c:pt idx="327">
                    <c:v>Skill</c:v>
                  </c:pt>
                  <c:pt idx="330">
                    <c:v>Karakter</c:v>
                  </c:pt>
                  <c:pt idx="332">
                    <c:v>Teori</c:v>
                  </c:pt>
                  <c:pt idx="334">
                    <c:v>Nalar</c:v>
                  </c:pt>
                  <c:pt idx="335">
                    <c:v>Skill</c:v>
                  </c:pt>
                  <c:pt idx="338">
                    <c:v>Minat</c:v>
                  </c:pt>
                  <c:pt idx="340">
                    <c:v>Karakter</c:v>
                  </c:pt>
                  <c:pt idx="342">
                    <c:v>Teori</c:v>
                  </c:pt>
                  <c:pt idx="345">
                    <c:v>Nalar</c:v>
                  </c:pt>
                  <c:pt idx="348">
                    <c:v>Teori</c:v>
                  </c:pt>
                  <c:pt idx="349">
                    <c:v>Minat</c:v>
                  </c:pt>
                  <c:pt idx="350">
                    <c:v>Karakter</c:v>
                  </c:pt>
                  <c:pt idx="352">
                    <c:v>Teori</c:v>
                  </c:pt>
                  <c:pt idx="354">
                    <c:v>Nalar</c:v>
                  </c:pt>
                  <c:pt idx="355">
                    <c:v>Skill</c:v>
                  </c:pt>
                  <c:pt idx="357">
                    <c:v>Teori</c:v>
                  </c:pt>
                  <c:pt idx="358">
                    <c:v>Nalar</c:v>
                  </c:pt>
                  <c:pt idx="359">
                    <c:v>Skill</c:v>
                  </c:pt>
                  <c:pt idx="360">
                    <c:v>Karakter</c:v>
                  </c:pt>
                  <c:pt idx="361">
                    <c:v>Teori</c:v>
                  </c:pt>
                  <c:pt idx="363">
                    <c:v>Karakter</c:v>
                  </c:pt>
                  <c:pt idx="365">
                    <c:v>Teori</c:v>
                  </c:pt>
                  <c:pt idx="367">
                    <c:v>Nalar</c:v>
                  </c:pt>
                  <c:pt idx="368">
                    <c:v>Skill</c:v>
                  </c:pt>
                  <c:pt idx="371">
                    <c:v>Teori</c:v>
                  </c:pt>
                  <c:pt idx="372">
                    <c:v>Minat</c:v>
                  </c:pt>
                  <c:pt idx="373">
                    <c:v>Karakter</c:v>
                  </c:pt>
                  <c:pt idx="374">
                    <c:v>Teori</c:v>
                  </c:pt>
                  <c:pt idx="375">
                    <c:v>Nalar</c:v>
                  </c:pt>
                  <c:pt idx="376">
                    <c:v>Skill</c:v>
                  </c:pt>
                  <c:pt idx="377">
                    <c:v>Teori</c:v>
                  </c:pt>
                  <c:pt idx="378">
                    <c:v>Nalar</c:v>
                  </c:pt>
                  <c:pt idx="379">
                    <c:v>Skill</c:v>
                  </c:pt>
                  <c:pt idx="380">
                    <c:v>Teori</c:v>
                  </c:pt>
                  <c:pt idx="381">
                    <c:v>Skill</c:v>
                  </c:pt>
                  <c:pt idx="383">
                    <c:v>Karakter</c:v>
                  </c:pt>
                  <c:pt idx="385">
                    <c:v>Teori</c:v>
                  </c:pt>
                  <c:pt idx="386">
                    <c:v>Nalar</c:v>
                  </c:pt>
                  <c:pt idx="387">
                    <c:v>Skill</c:v>
                  </c:pt>
                </c:lvl>
                <c:lvl>
                  <c:pt idx="0">
                    <c:v>B.Indo</c:v>
                  </c:pt>
                  <c:pt idx="10">
                    <c:v>Biologi</c:v>
                  </c:pt>
                  <c:pt idx="11">
                    <c:v>TIK</c:v>
                  </c:pt>
                  <c:pt idx="19">
                    <c:v>Kimia</c:v>
                  </c:pt>
                  <c:pt idx="22">
                    <c:v>Math</c:v>
                  </c:pt>
                  <c:pt idx="25">
                    <c:v>Kopi</c:v>
                  </c:pt>
                  <c:pt idx="28">
                    <c:v>B.Ing</c:v>
                  </c:pt>
                  <c:pt idx="34">
                    <c:v>B.Indo</c:v>
                  </c:pt>
                  <c:pt idx="44">
                    <c:v>Biologi</c:v>
                  </c:pt>
                  <c:pt idx="45">
                    <c:v>TIK</c:v>
                  </c:pt>
                  <c:pt idx="53">
                    <c:v>Kimia</c:v>
                  </c:pt>
                  <c:pt idx="56">
                    <c:v>Math</c:v>
                  </c:pt>
                  <c:pt idx="59">
                    <c:v>B.Ing</c:v>
                  </c:pt>
                  <c:pt idx="67">
                    <c:v>B.Indo</c:v>
                  </c:pt>
                  <c:pt idx="77">
                    <c:v>Biologi</c:v>
                  </c:pt>
                  <c:pt idx="78">
                    <c:v>TIK</c:v>
                  </c:pt>
                  <c:pt idx="86">
                    <c:v>Kimia</c:v>
                  </c:pt>
                  <c:pt idx="89">
                    <c:v>Math</c:v>
                  </c:pt>
                  <c:pt idx="92">
                    <c:v>B.Ing</c:v>
                  </c:pt>
                  <c:pt idx="100">
                    <c:v>B.Indo</c:v>
                  </c:pt>
                  <c:pt idx="110">
                    <c:v>Biologi</c:v>
                  </c:pt>
                  <c:pt idx="111">
                    <c:v>TIK</c:v>
                  </c:pt>
                  <c:pt idx="119">
                    <c:v>Kimia</c:v>
                  </c:pt>
                  <c:pt idx="122">
                    <c:v>Math</c:v>
                  </c:pt>
                  <c:pt idx="125">
                    <c:v>B.Ing</c:v>
                  </c:pt>
                  <c:pt idx="133">
                    <c:v>B.Indo</c:v>
                  </c:pt>
                  <c:pt idx="143">
                    <c:v>Biologi</c:v>
                  </c:pt>
                  <c:pt idx="144">
                    <c:v>TIK</c:v>
                  </c:pt>
                  <c:pt idx="152">
                    <c:v>Kimia</c:v>
                  </c:pt>
                  <c:pt idx="155">
                    <c:v>Math</c:v>
                  </c:pt>
                  <c:pt idx="158">
                    <c:v>B.Ing</c:v>
                  </c:pt>
                  <c:pt idx="164">
                    <c:v>B.Indo</c:v>
                  </c:pt>
                  <c:pt idx="174">
                    <c:v>Biologi</c:v>
                  </c:pt>
                  <c:pt idx="175">
                    <c:v>TIK</c:v>
                  </c:pt>
                  <c:pt idx="183">
                    <c:v>Kimia</c:v>
                  </c:pt>
                  <c:pt idx="186">
                    <c:v>Math</c:v>
                  </c:pt>
                  <c:pt idx="189">
                    <c:v>B.Ing</c:v>
                  </c:pt>
                  <c:pt idx="197">
                    <c:v>B.Indo</c:v>
                  </c:pt>
                  <c:pt idx="207">
                    <c:v>Biologi</c:v>
                  </c:pt>
                  <c:pt idx="208">
                    <c:v>TIK</c:v>
                  </c:pt>
                  <c:pt idx="213">
                    <c:v>Kimia</c:v>
                  </c:pt>
                  <c:pt idx="216">
                    <c:v>Math</c:v>
                  </c:pt>
                  <c:pt idx="219">
                    <c:v>Kopi</c:v>
                  </c:pt>
                  <c:pt idx="222">
                    <c:v>B.Ing</c:v>
                  </c:pt>
                  <c:pt idx="230">
                    <c:v>B.Indo</c:v>
                  </c:pt>
                  <c:pt idx="240">
                    <c:v>Biologi</c:v>
                  </c:pt>
                  <c:pt idx="241">
                    <c:v>TIK</c:v>
                  </c:pt>
                  <c:pt idx="249">
                    <c:v>Kimia</c:v>
                  </c:pt>
                  <c:pt idx="252">
                    <c:v>Math</c:v>
                  </c:pt>
                  <c:pt idx="255">
                    <c:v>Kopi</c:v>
                  </c:pt>
                  <c:pt idx="258">
                    <c:v>B.Ing</c:v>
                  </c:pt>
                  <c:pt idx="266">
                    <c:v>B.Indo</c:v>
                  </c:pt>
                  <c:pt idx="276">
                    <c:v>Biologi</c:v>
                  </c:pt>
                  <c:pt idx="277">
                    <c:v>TIK</c:v>
                  </c:pt>
                  <c:pt idx="285">
                    <c:v>Kimia</c:v>
                  </c:pt>
                  <c:pt idx="288">
                    <c:v>Math</c:v>
                  </c:pt>
                  <c:pt idx="291">
                    <c:v>Kopi</c:v>
                  </c:pt>
                  <c:pt idx="294">
                    <c:v>B.Ing</c:v>
                  </c:pt>
                  <c:pt idx="302">
                    <c:v>B.Indo</c:v>
                  </c:pt>
                  <c:pt idx="312">
                    <c:v>Biologi</c:v>
                  </c:pt>
                  <c:pt idx="313">
                    <c:v>TIK</c:v>
                  </c:pt>
                  <c:pt idx="321">
                    <c:v>Kimia</c:v>
                  </c:pt>
                  <c:pt idx="324">
                    <c:v>Math</c:v>
                  </c:pt>
                  <c:pt idx="327">
                    <c:v>Kopi</c:v>
                  </c:pt>
                  <c:pt idx="330">
                    <c:v>B.Ing</c:v>
                  </c:pt>
                  <c:pt idx="338">
                    <c:v>B.Indo</c:v>
                  </c:pt>
                  <c:pt idx="348">
                    <c:v>Biologi</c:v>
                  </c:pt>
                  <c:pt idx="349">
                    <c:v>TIK</c:v>
                  </c:pt>
                  <c:pt idx="357">
                    <c:v>Kimia</c:v>
                  </c:pt>
                  <c:pt idx="360">
                    <c:v>Math</c:v>
                  </c:pt>
                  <c:pt idx="363">
                    <c:v>B.Ing</c:v>
                  </c:pt>
                  <c:pt idx="371">
                    <c:v>Biologi</c:v>
                  </c:pt>
                  <c:pt idx="372">
                    <c:v>TIK</c:v>
                  </c:pt>
                  <c:pt idx="377">
                    <c:v>Kimia</c:v>
                  </c:pt>
                  <c:pt idx="380">
                    <c:v>Math</c:v>
                  </c:pt>
                  <c:pt idx="381">
                    <c:v>Kopi</c:v>
                  </c:pt>
                  <c:pt idx="383">
                    <c:v>B.Ing</c:v>
                  </c:pt>
                </c:lvl>
                <c:lvl>
                  <c:pt idx="0">
                    <c:v>Agustinus Tipagau</c:v>
                  </c:pt>
                  <c:pt idx="34">
                    <c:v>Apia Miagoni</c:v>
                  </c:pt>
                  <c:pt idx="67">
                    <c:v>Etty Ebrata Holombau</c:v>
                  </c:pt>
                  <c:pt idx="100">
                    <c:v>Jonias Bagau</c:v>
                  </c:pt>
                  <c:pt idx="133">
                    <c:v>Jupiten Bagau</c:v>
                  </c:pt>
                  <c:pt idx="164">
                    <c:v>Lince Tigi</c:v>
                  </c:pt>
                  <c:pt idx="197">
                    <c:v>Lovin Miagoni</c:v>
                  </c:pt>
                  <c:pt idx="230">
                    <c:v>Onance Mbaguau</c:v>
                  </c:pt>
                  <c:pt idx="266">
                    <c:v>Roison Sondegau</c:v>
                  </c:pt>
                  <c:pt idx="302">
                    <c:v>Wenes Tapani</c:v>
                  </c:pt>
                  <c:pt idx="338">
                    <c:v>Yoas Bagau</c:v>
                  </c:pt>
                  <c:pt idx="371">
                    <c:v>Yohanes Bagau </c:v>
                  </c:pt>
                </c:lvl>
                <c:lvl>
                  <c:pt idx="0">
                    <c:v>11A</c:v>
                  </c:pt>
                </c:lvl>
              </c:multiLvlStrCache>
            </c:multiLvlStrRef>
          </c:cat>
          <c:val>
            <c:numRef>
              <c:f>'rerata siswa'!$AJ$3:$AJ$391</c:f>
              <c:numCache>
                <c:formatCode>_(* #,##0_);_(* \(#,##0\);_(* "-"_);_(@_)</c:formatCode>
                <c:ptCount val="389"/>
                <c:pt idx="0">
                  <c:v>65</c:v>
                </c:pt>
                <c:pt idx="1">
                  <c:v>65</c:v>
                </c:pt>
                <c:pt idx="2">
                  <c:v>65</c:v>
                </c:pt>
                <c:pt idx="3">
                  <c:v>65</c:v>
                </c:pt>
                <c:pt idx="4">
                  <c:v>65</c:v>
                </c:pt>
                <c:pt idx="5">
                  <c:v>65</c:v>
                </c:pt>
                <c:pt idx="6">
                  <c:v>65</c:v>
                </c:pt>
                <c:pt idx="7">
                  <c:v>65</c:v>
                </c:pt>
                <c:pt idx="8">
                  <c:v>65</c:v>
                </c:pt>
                <c:pt idx="9">
                  <c:v>65</c:v>
                </c:pt>
                <c:pt idx="10">
                  <c:v>65</c:v>
                </c:pt>
                <c:pt idx="11">
                  <c:v>65</c:v>
                </c:pt>
                <c:pt idx="12">
                  <c:v>65</c:v>
                </c:pt>
                <c:pt idx="13">
                  <c:v>65</c:v>
                </c:pt>
                <c:pt idx="14">
                  <c:v>65</c:v>
                </c:pt>
                <c:pt idx="15">
                  <c:v>65</c:v>
                </c:pt>
                <c:pt idx="16">
                  <c:v>65</c:v>
                </c:pt>
                <c:pt idx="17">
                  <c:v>65</c:v>
                </c:pt>
                <c:pt idx="18">
                  <c:v>65</c:v>
                </c:pt>
                <c:pt idx="19">
                  <c:v>65</c:v>
                </c:pt>
                <c:pt idx="20">
                  <c:v>65</c:v>
                </c:pt>
                <c:pt idx="21">
                  <c:v>65</c:v>
                </c:pt>
                <c:pt idx="22">
                  <c:v>65</c:v>
                </c:pt>
                <c:pt idx="23">
                  <c:v>65</c:v>
                </c:pt>
                <c:pt idx="24">
                  <c:v>65</c:v>
                </c:pt>
                <c:pt idx="25">
                  <c:v>65</c:v>
                </c:pt>
                <c:pt idx="26">
                  <c:v>65</c:v>
                </c:pt>
                <c:pt idx="27">
                  <c:v>65</c:v>
                </c:pt>
                <c:pt idx="28">
                  <c:v>65</c:v>
                </c:pt>
                <c:pt idx="29">
                  <c:v>65</c:v>
                </c:pt>
                <c:pt idx="30">
                  <c:v>65</c:v>
                </c:pt>
                <c:pt idx="31">
                  <c:v>65</c:v>
                </c:pt>
                <c:pt idx="32">
                  <c:v>65</c:v>
                </c:pt>
                <c:pt idx="33">
                  <c:v>65</c:v>
                </c:pt>
                <c:pt idx="34">
                  <c:v>65</c:v>
                </c:pt>
                <c:pt idx="35">
                  <c:v>65</c:v>
                </c:pt>
                <c:pt idx="36">
                  <c:v>65</c:v>
                </c:pt>
                <c:pt idx="37">
                  <c:v>65</c:v>
                </c:pt>
                <c:pt idx="38">
                  <c:v>65</c:v>
                </c:pt>
                <c:pt idx="39">
                  <c:v>65</c:v>
                </c:pt>
                <c:pt idx="40">
                  <c:v>65</c:v>
                </c:pt>
                <c:pt idx="41">
                  <c:v>65</c:v>
                </c:pt>
                <c:pt idx="42">
                  <c:v>65</c:v>
                </c:pt>
                <c:pt idx="43">
                  <c:v>65</c:v>
                </c:pt>
                <c:pt idx="44">
                  <c:v>65</c:v>
                </c:pt>
                <c:pt idx="45">
                  <c:v>65</c:v>
                </c:pt>
                <c:pt idx="46">
                  <c:v>65</c:v>
                </c:pt>
                <c:pt idx="47">
                  <c:v>65</c:v>
                </c:pt>
                <c:pt idx="48">
                  <c:v>65</c:v>
                </c:pt>
                <c:pt idx="49">
                  <c:v>65</c:v>
                </c:pt>
                <c:pt idx="50">
                  <c:v>65</c:v>
                </c:pt>
                <c:pt idx="51">
                  <c:v>65</c:v>
                </c:pt>
                <c:pt idx="52">
                  <c:v>65</c:v>
                </c:pt>
                <c:pt idx="53">
                  <c:v>65</c:v>
                </c:pt>
                <c:pt idx="54">
                  <c:v>65</c:v>
                </c:pt>
                <c:pt idx="55">
                  <c:v>65</c:v>
                </c:pt>
                <c:pt idx="56">
                  <c:v>65</c:v>
                </c:pt>
                <c:pt idx="57">
                  <c:v>65</c:v>
                </c:pt>
                <c:pt idx="58">
                  <c:v>65</c:v>
                </c:pt>
                <c:pt idx="59">
                  <c:v>65</c:v>
                </c:pt>
                <c:pt idx="60">
                  <c:v>65</c:v>
                </c:pt>
                <c:pt idx="61">
                  <c:v>65</c:v>
                </c:pt>
                <c:pt idx="62">
                  <c:v>65</c:v>
                </c:pt>
                <c:pt idx="63">
                  <c:v>65</c:v>
                </c:pt>
                <c:pt idx="64">
                  <c:v>65</c:v>
                </c:pt>
                <c:pt idx="65">
                  <c:v>65</c:v>
                </c:pt>
                <c:pt idx="66">
                  <c:v>65</c:v>
                </c:pt>
                <c:pt idx="67">
                  <c:v>65</c:v>
                </c:pt>
                <c:pt idx="68">
                  <c:v>65</c:v>
                </c:pt>
                <c:pt idx="69">
                  <c:v>65</c:v>
                </c:pt>
                <c:pt idx="70">
                  <c:v>65</c:v>
                </c:pt>
                <c:pt idx="71">
                  <c:v>65</c:v>
                </c:pt>
                <c:pt idx="72">
                  <c:v>65</c:v>
                </c:pt>
                <c:pt idx="73">
                  <c:v>65</c:v>
                </c:pt>
                <c:pt idx="74">
                  <c:v>65</c:v>
                </c:pt>
                <c:pt idx="75">
                  <c:v>65</c:v>
                </c:pt>
                <c:pt idx="76">
                  <c:v>65</c:v>
                </c:pt>
                <c:pt idx="77">
                  <c:v>65</c:v>
                </c:pt>
                <c:pt idx="78">
                  <c:v>65</c:v>
                </c:pt>
                <c:pt idx="79">
                  <c:v>65</c:v>
                </c:pt>
                <c:pt idx="80">
                  <c:v>65</c:v>
                </c:pt>
                <c:pt idx="81">
                  <c:v>65</c:v>
                </c:pt>
                <c:pt idx="82">
                  <c:v>65</c:v>
                </c:pt>
                <c:pt idx="83">
                  <c:v>65</c:v>
                </c:pt>
                <c:pt idx="84">
                  <c:v>65</c:v>
                </c:pt>
                <c:pt idx="85">
                  <c:v>65</c:v>
                </c:pt>
                <c:pt idx="86">
                  <c:v>65</c:v>
                </c:pt>
                <c:pt idx="87">
                  <c:v>65</c:v>
                </c:pt>
                <c:pt idx="88">
                  <c:v>65</c:v>
                </c:pt>
                <c:pt idx="89">
                  <c:v>65</c:v>
                </c:pt>
                <c:pt idx="90">
                  <c:v>65</c:v>
                </c:pt>
                <c:pt idx="91">
                  <c:v>65</c:v>
                </c:pt>
                <c:pt idx="92">
                  <c:v>65</c:v>
                </c:pt>
                <c:pt idx="93">
                  <c:v>65</c:v>
                </c:pt>
                <c:pt idx="94">
                  <c:v>65</c:v>
                </c:pt>
                <c:pt idx="95">
                  <c:v>65</c:v>
                </c:pt>
                <c:pt idx="96">
                  <c:v>65</c:v>
                </c:pt>
                <c:pt idx="97">
                  <c:v>65</c:v>
                </c:pt>
                <c:pt idx="98">
                  <c:v>65</c:v>
                </c:pt>
                <c:pt idx="99">
                  <c:v>65</c:v>
                </c:pt>
                <c:pt idx="100">
                  <c:v>65</c:v>
                </c:pt>
                <c:pt idx="101">
                  <c:v>65</c:v>
                </c:pt>
                <c:pt idx="102">
                  <c:v>65</c:v>
                </c:pt>
                <c:pt idx="103">
                  <c:v>65</c:v>
                </c:pt>
                <c:pt idx="104">
                  <c:v>65</c:v>
                </c:pt>
                <c:pt idx="105">
                  <c:v>65</c:v>
                </c:pt>
                <c:pt idx="106">
                  <c:v>65</c:v>
                </c:pt>
                <c:pt idx="107">
                  <c:v>65</c:v>
                </c:pt>
                <c:pt idx="108">
                  <c:v>65</c:v>
                </c:pt>
                <c:pt idx="109">
                  <c:v>65</c:v>
                </c:pt>
                <c:pt idx="110">
                  <c:v>65</c:v>
                </c:pt>
                <c:pt idx="111">
                  <c:v>65</c:v>
                </c:pt>
                <c:pt idx="112">
                  <c:v>65</c:v>
                </c:pt>
                <c:pt idx="113">
                  <c:v>65</c:v>
                </c:pt>
                <c:pt idx="114">
                  <c:v>65</c:v>
                </c:pt>
                <c:pt idx="115">
                  <c:v>65</c:v>
                </c:pt>
                <c:pt idx="116">
                  <c:v>65</c:v>
                </c:pt>
                <c:pt idx="117">
                  <c:v>65</c:v>
                </c:pt>
                <c:pt idx="118">
                  <c:v>65</c:v>
                </c:pt>
                <c:pt idx="119">
                  <c:v>65</c:v>
                </c:pt>
                <c:pt idx="120">
                  <c:v>65</c:v>
                </c:pt>
                <c:pt idx="121">
                  <c:v>65</c:v>
                </c:pt>
                <c:pt idx="122">
                  <c:v>65</c:v>
                </c:pt>
                <c:pt idx="123">
                  <c:v>65</c:v>
                </c:pt>
                <c:pt idx="124">
                  <c:v>65</c:v>
                </c:pt>
                <c:pt idx="125">
                  <c:v>65</c:v>
                </c:pt>
                <c:pt idx="126">
                  <c:v>65</c:v>
                </c:pt>
                <c:pt idx="127">
                  <c:v>65</c:v>
                </c:pt>
                <c:pt idx="128">
                  <c:v>65</c:v>
                </c:pt>
                <c:pt idx="129">
                  <c:v>65</c:v>
                </c:pt>
                <c:pt idx="130">
                  <c:v>65</c:v>
                </c:pt>
                <c:pt idx="131">
                  <c:v>65</c:v>
                </c:pt>
                <c:pt idx="132">
                  <c:v>65</c:v>
                </c:pt>
                <c:pt idx="133">
                  <c:v>65</c:v>
                </c:pt>
                <c:pt idx="134">
                  <c:v>65</c:v>
                </c:pt>
                <c:pt idx="135">
                  <c:v>65</c:v>
                </c:pt>
                <c:pt idx="136">
                  <c:v>65</c:v>
                </c:pt>
                <c:pt idx="137">
                  <c:v>65</c:v>
                </c:pt>
                <c:pt idx="138">
                  <c:v>65</c:v>
                </c:pt>
                <c:pt idx="139">
                  <c:v>65</c:v>
                </c:pt>
                <c:pt idx="140">
                  <c:v>65</c:v>
                </c:pt>
                <c:pt idx="141">
                  <c:v>65</c:v>
                </c:pt>
                <c:pt idx="142">
                  <c:v>65</c:v>
                </c:pt>
                <c:pt idx="143">
                  <c:v>65</c:v>
                </c:pt>
                <c:pt idx="144">
                  <c:v>65</c:v>
                </c:pt>
                <c:pt idx="145">
                  <c:v>65</c:v>
                </c:pt>
                <c:pt idx="146">
                  <c:v>65</c:v>
                </c:pt>
                <c:pt idx="147">
                  <c:v>65</c:v>
                </c:pt>
                <c:pt idx="148">
                  <c:v>65</c:v>
                </c:pt>
                <c:pt idx="149">
                  <c:v>65</c:v>
                </c:pt>
                <c:pt idx="150">
                  <c:v>65</c:v>
                </c:pt>
                <c:pt idx="151">
                  <c:v>65</c:v>
                </c:pt>
                <c:pt idx="152">
                  <c:v>65</c:v>
                </c:pt>
                <c:pt idx="153">
                  <c:v>65</c:v>
                </c:pt>
                <c:pt idx="154">
                  <c:v>65</c:v>
                </c:pt>
                <c:pt idx="155">
                  <c:v>65</c:v>
                </c:pt>
                <c:pt idx="156">
                  <c:v>65</c:v>
                </c:pt>
                <c:pt idx="157">
                  <c:v>65</c:v>
                </c:pt>
                <c:pt idx="158">
                  <c:v>65</c:v>
                </c:pt>
                <c:pt idx="159">
                  <c:v>65</c:v>
                </c:pt>
                <c:pt idx="160">
                  <c:v>65</c:v>
                </c:pt>
                <c:pt idx="161">
                  <c:v>65</c:v>
                </c:pt>
                <c:pt idx="162">
                  <c:v>65</c:v>
                </c:pt>
                <c:pt idx="163">
                  <c:v>65</c:v>
                </c:pt>
                <c:pt idx="164">
                  <c:v>65</c:v>
                </c:pt>
                <c:pt idx="165">
                  <c:v>65</c:v>
                </c:pt>
                <c:pt idx="166">
                  <c:v>65</c:v>
                </c:pt>
                <c:pt idx="167">
                  <c:v>65</c:v>
                </c:pt>
                <c:pt idx="168">
                  <c:v>65</c:v>
                </c:pt>
                <c:pt idx="169">
                  <c:v>65</c:v>
                </c:pt>
                <c:pt idx="170">
                  <c:v>65</c:v>
                </c:pt>
                <c:pt idx="171">
                  <c:v>65</c:v>
                </c:pt>
                <c:pt idx="172">
                  <c:v>65</c:v>
                </c:pt>
                <c:pt idx="173">
                  <c:v>65</c:v>
                </c:pt>
                <c:pt idx="174">
                  <c:v>65</c:v>
                </c:pt>
                <c:pt idx="175">
                  <c:v>65</c:v>
                </c:pt>
                <c:pt idx="176">
                  <c:v>65</c:v>
                </c:pt>
                <c:pt idx="177">
                  <c:v>65</c:v>
                </c:pt>
                <c:pt idx="178">
                  <c:v>65</c:v>
                </c:pt>
                <c:pt idx="179">
                  <c:v>65</c:v>
                </c:pt>
                <c:pt idx="180">
                  <c:v>65</c:v>
                </c:pt>
                <c:pt idx="181">
                  <c:v>65</c:v>
                </c:pt>
                <c:pt idx="182">
                  <c:v>65</c:v>
                </c:pt>
                <c:pt idx="183">
                  <c:v>65</c:v>
                </c:pt>
                <c:pt idx="184">
                  <c:v>65</c:v>
                </c:pt>
                <c:pt idx="185">
                  <c:v>65</c:v>
                </c:pt>
                <c:pt idx="186">
                  <c:v>65</c:v>
                </c:pt>
                <c:pt idx="187">
                  <c:v>65</c:v>
                </c:pt>
                <c:pt idx="188">
                  <c:v>65</c:v>
                </c:pt>
                <c:pt idx="189">
                  <c:v>65</c:v>
                </c:pt>
                <c:pt idx="190">
                  <c:v>65</c:v>
                </c:pt>
                <c:pt idx="191">
                  <c:v>65</c:v>
                </c:pt>
                <c:pt idx="192">
                  <c:v>65</c:v>
                </c:pt>
                <c:pt idx="193">
                  <c:v>65</c:v>
                </c:pt>
                <c:pt idx="194">
                  <c:v>65</c:v>
                </c:pt>
                <c:pt idx="195">
                  <c:v>65</c:v>
                </c:pt>
                <c:pt idx="196">
                  <c:v>65</c:v>
                </c:pt>
                <c:pt idx="197">
                  <c:v>65</c:v>
                </c:pt>
                <c:pt idx="198">
                  <c:v>65</c:v>
                </c:pt>
                <c:pt idx="199">
                  <c:v>65</c:v>
                </c:pt>
                <c:pt idx="200">
                  <c:v>65</c:v>
                </c:pt>
                <c:pt idx="201">
                  <c:v>65</c:v>
                </c:pt>
                <c:pt idx="202">
                  <c:v>65</c:v>
                </c:pt>
                <c:pt idx="203">
                  <c:v>65</c:v>
                </c:pt>
                <c:pt idx="204">
                  <c:v>65</c:v>
                </c:pt>
                <c:pt idx="205">
                  <c:v>65</c:v>
                </c:pt>
                <c:pt idx="206">
                  <c:v>65</c:v>
                </c:pt>
                <c:pt idx="207">
                  <c:v>65</c:v>
                </c:pt>
                <c:pt idx="208">
                  <c:v>65</c:v>
                </c:pt>
                <c:pt idx="209">
                  <c:v>65</c:v>
                </c:pt>
                <c:pt idx="210">
                  <c:v>65</c:v>
                </c:pt>
                <c:pt idx="211">
                  <c:v>65</c:v>
                </c:pt>
                <c:pt idx="212">
                  <c:v>65</c:v>
                </c:pt>
                <c:pt idx="213">
                  <c:v>65</c:v>
                </c:pt>
                <c:pt idx="214">
                  <c:v>65</c:v>
                </c:pt>
                <c:pt idx="215">
                  <c:v>65</c:v>
                </c:pt>
                <c:pt idx="216">
                  <c:v>65</c:v>
                </c:pt>
                <c:pt idx="217">
                  <c:v>65</c:v>
                </c:pt>
                <c:pt idx="218">
                  <c:v>65</c:v>
                </c:pt>
                <c:pt idx="219">
                  <c:v>65</c:v>
                </c:pt>
                <c:pt idx="220">
                  <c:v>65</c:v>
                </c:pt>
                <c:pt idx="221">
                  <c:v>65</c:v>
                </c:pt>
                <c:pt idx="222">
                  <c:v>65</c:v>
                </c:pt>
                <c:pt idx="223">
                  <c:v>65</c:v>
                </c:pt>
                <c:pt idx="224">
                  <c:v>65</c:v>
                </c:pt>
                <c:pt idx="225">
                  <c:v>65</c:v>
                </c:pt>
                <c:pt idx="226">
                  <c:v>65</c:v>
                </c:pt>
                <c:pt idx="227">
                  <c:v>65</c:v>
                </c:pt>
                <c:pt idx="228">
                  <c:v>65</c:v>
                </c:pt>
                <c:pt idx="229">
                  <c:v>65</c:v>
                </c:pt>
                <c:pt idx="230">
                  <c:v>65</c:v>
                </c:pt>
                <c:pt idx="231">
                  <c:v>65</c:v>
                </c:pt>
                <c:pt idx="232">
                  <c:v>65</c:v>
                </c:pt>
                <c:pt idx="233">
                  <c:v>65</c:v>
                </c:pt>
                <c:pt idx="234">
                  <c:v>65</c:v>
                </c:pt>
                <c:pt idx="235">
                  <c:v>65</c:v>
                </c:pt>
                <c:pt idx="236">
                  <c:v>65</c:v>
                </c:pt>
                <c:pt idx="237">
                  <c:v>65</c:v>
                </c:pt>
                <c:pt idx="238">
                  <c:v>65</c:v>
                </c:pt>
                <c:pt idx="239">
                  <c:v>65</c:v>
                </c:pt>
                <c:pt idx="240">
                  <c:v>65</c:v>
                </c:pt>
                <c:pt idx="241">
                  <c:v>65</c:v>
                </c:pt>
                <c:pt idx="242">
                  <c:v>65</c:v>
                </c:pt>
                <c:pt idx="243">
                  <c:v>65</c:v>
                </c:pt>
                <c:pt idx="244">
                  <c:v>65</c:v>
                </c:pt>
                <c:pt idx="245">
                  <c:v>65</c:v>
                </c:pt>
                <c:pt idx="246">
                  <c:v>65</c:v>
                </c:pt>
                <c:pt idx="247">
                  <c:v>65</c:v>
                </c:pt>
                <c:pt idx="248">
                  <c:v>65</c:v>
                </c:pt>
                <c:pt idx="249">
                  <c:v>65</c:v>
                </c:pt>
                <c:pt idx="250">
                  <c:v>65</c:v>
                </c:pt>
                <c:pt idx="251">
                  <c:v>65</c:v>
                </c:pt>
                <c:pt idx="252">
                  <c:v>65</c:v>
                </c:pt>
                <c:pt idx="253">
                  <c:v>65</c:v>
                </c:pt>
                <c:pt idx="254">
                  <c:v>65</c:v>
                </c:pt>
                <c:pt idx="255">
                  <c:v>65</c:v>
                </c:pt>
                <c:pt idx="256">
                  <c:v>65</c:v>
                </c:pt>
                <c:pt idx="257">
                  <c:v>65</c:v>
                </c:pt>
                <c:pt idx="258">
                  <c:v>65</c:v>
                </c:pt>
                <c:pt idx="259">
                  <c:v>65</c:v>
                </c:pt>
                <c:pt idx="260">
                  <c:v>65</c:v>
                </c:pt>
                <c:pt idx="261">
                  <c:v>65</c:v>
                </c:pt>
                <c:pt idx="262">
                  <c:v>65</c:v>
                </c:pt>
                <c:pt idx="263">
                  <c:v>65</c:v>
                </c:pt>
                <c:pt idx="264">
                  <c:v>65</c:v>
                </c:pt>
                <c:pt idx="265">
                  <c:v>65</c:v>
                </c:pt>
                <c:pt idx="266">
                  <c:v>65</c:v>
                </c:pt>
                <c:pt idx="267">
                  <c:v>65</c:v>
                </c:pt>
                <c:pt idx="268">
                  <c:v>65</c:v>
                </c:pt>
                <c:pt idx="269">
                  <c:v>65</c:v>
                </c:pt>
                <c:pt idx="270">
                  <c:v>65</c:v>
                </c:pt>
                <c:pt idx="271">
                  <c:v>65</c:v>
                </c:pt>
                <c:pt idx="272">
                  <c:v>65</c:v>
                </c:pt>
                <c:pt idx="273">
                  <c:v>65</c:v>
                </c:pt>
                <c:pt idx="274">
                  <c:v>65</c:v>
                </c:pt>
                <c:pt idx="275">
                  <c:v>65</c:v>
                </c:pt>
                <c:pt idx="276">
                  <c:v>65</c:v>
                </c:pt>
                <c:pt idx="277">
                  <c:v>65</c:v>
                </c:pt>
                <c:pt idx="278">
                  <c:v>65</c:v>
                </c:pt>
                <c:pt idx="279">
                  <c:v>65</c:v>
                </c:pt>
                <c:pt idx="280">
                  <c:v>65</c:v>
                </c:pt>
                <c:pt idx="281">
                  <c:v>65</c:v>
                </c:pt>
                <c:pt idx="282">
                  <c:v>65</c:v>
                </c:pt>
                <c:pt idx="283">
                  <c:v>65</c:v>
                </c:pt>
                <c:pt idx="284">
                  <c:v>65</c:v>
                </c:pt>
                <c:pt idx="285">
                  <c:v>65</c:v>
                </c:pt>
                <c:pt idx="286">
                  <c:v>65</c:v>
                </c:pt>
                <c:pt idx="287">
                  <c:v>65</c:v>
                </c:pt>
                <c:pt idx="288">
                  <c:v>65</c:v>
                </c:pt>
                <c:pt idx="289">
                  <c:v>65</c:v>
                </c:pt>
                <c:pt idx="290">
                  <c:v>65</c:v>
                </c:pt>
                <c:pt idx="291">
                  <c:v>65</c:v>
                </c:pt>
                <c:pt idx="292">
                  <c:v>65</c:v>
                </c:pt>
                <c:pt idx="293">
                  <c:v>65</c:v>
                </c:pt>
                <c:pt idx="294">
                  <c:v>65</c:v>
                </c:pt>
                <c:pt idx="295">
                  <c:v>65</c:v>
                </c:pt>
                <c:pt idx="296">
                  <c:v>65</c:v>
                </c:pt>
                <c:pt idx="297">
                  <c:v>65</c:v>
                </c:pt>
                <c:pt idx="298">
                  <c:v>65</c:v>
                </c:pt>
                <c:pt idx="299">
                  <c:v>65</c:v>
                </c:pt>
                <c:pt idx="300">
                  <c:v>65</c:v>
                </c:pt>
                <c:pt idx="301">
                  <c:v>65</c:v>
                </c:pt>
                <c:pt idx="302">
                  <c:v>65</c:v>
                </c:pt>
                <c:pt idx="303">
                  <c:v>65</c:v>
                </c:pt>
                <c:pt idx="304">
                  <c:v>65</c:v>
                </c:pt>
                <c:pt idx="305">
                  <c:v>65</c:v>
                </c:pt>
                <c:pt idx="306">
                  <c:v>65</c:v>
                </c:pt>
                <c:pt idx="307">
                  <c:v>65</c:v>
                </c:pt>
                <c:pt idx="308">
                  <c:v>65</c:v>
                </c:pt>
                <c:pt idx="309">
                  <c:v>65</c:v>
                </c:pt>
                <c:pt idx="310">
                  <c:v>65</c:v>
                </c:pt>
                <c:pt idx="311">
                  <c:v>65</c:v>
                </c:pt>
                <c:pt idx="312">
                  <c:v>65</c:v>
                </c:pt>
                <c:pt idx="313">
                  <c:v>65</c:v>
                </c:pt>
                <c:pt idx="314">
                  <c:v>65</c:v>
                </c:pt>
                <c:pt idx="315">
                  <c:v>65</c:v>
                </c:pt>
                <c:pt idx="316">
                  <c:v>65</c:v>
                </c:pt>
                <c:pt idx="317">
                  <c:v>65</c:v>
                </c:pt>
                <c:pt idx="318">
                  <c:v>65</c:v>
                </c:pt>
                <c:pt idx="319">
                  <c:v>65</c:v>
                </c:pt>
                <c:pt idx="320">
                  <c:v>65</c:v>
                </c:pt>
                <c:pt idx="321">
                  <c:v>65</c:v>
                </c:pt>
                <c:pt idx="322">
                  <c:v>65</c:v>
                </c:pt>
                <c:pt idx="323">
                  <c:v>65</c:v>
                </c:pt>
                <c:pt idx="324">
                  <c:v>65</c:v>
                </c:pt>
                <c:pt idx="325">
                  <c:v>65</c:v>
                </c:pt>
                <c:pt idx="326">
                  <c:v>65</c:v>
                </c:pt>
                <c:pt idx="327">
                  <c:v>65</c:v>
                </c:pt>
                <c:pt idx="328">
                  <c:v>65</c:v>
                </c:pt>
                <c:pt idx="329">
                  <c:v>65</c:v>
                </c:pt>
                <c:pt idx="330">
                  <c:v>65</c:v>
                </c:pt>
                <c:pt idx="331">
                  <c:v>65</c:v>
                </c:pt>
                <c:pt idx="332">
                  <c:v>65</c:v>
                </c:pt>
                <c:pt idx="333">
                  <c:v>65</c:v>
                </c:pt>
                <c:pt idx="334">
                  <c:v>65</c:v>
                </c:pt>
                <c:pt idx="335">
                  <c:v>65</c:v>
                </c:pt>
                <c:pt idx="336">
                  <c:v>65</c:v>
                </c:pt>
                <c:pt idx="337">
                  <c:v>65</c:v>
                </c:pt>
                <c:pt idx="338">
                  <c:v>65</c:v>
                </c:pt>
                <c:pt idx="339">
                  <c:v>65</c:v>
                </c:pt>
                <c:pt idx="340">
                  <c:v>65</c:v>
                </c:pt>
                <c:pt idx="341">
                  <c:v>65</c:v>
                </c:pt>
                <c:pt idx="342">
                  <c:v>65</c:v>
                </c:pt>
                <c:pt idx="343">
                  <c:v>65</c:v>
                </c:pt>
                <c:pt idx="344">
                  <c:v>65</c:v>
                </c:pt>
                <c:pt idx="345">
                  <c:v>65</c:v>
                </c:pt>
                <c:pt idx="346">
                  <c:v>65</c:v>
                </c:pt>
                <c:pt idx="347">
                  <c:v>65</c:v>
                </c:pt>
                <c:pt idx="348">
                  <c:v>65</c:v>
                </c:pt>
                <c:pt idx="349">
                  <c:v>65</c:v>
                </c:pt>
                <c:pt idx="350">
                  <c:v>65</c:v>
                </c:pt>
                <c:pt idx="351">
                  <c:v>65</c:v>
                </c:pt>
                <c:pt idx="352">
                  <c:v>65</c:v>
                </c:pt>
                <c:pt idx="353">
                  <c:v>65</c:v>
                </c:pt>
                <c:pt idx="354">
                  <c:v>65</c:v>
                </c:pt>
                <c:pt idx="355">
                  <c:v>65</c:v>
                </c:pt>
                <c:pt idx="356">
                  <c:v>65</c:v>
                </c:pt>
                <c:pt idx="357">
                  <c:v>65</c:v>
                </c:pt>
                <c:pt idx="358">
                  <c:v>65</c:v>
                </c:pt>
                <c:pt idx="359">
                  <c:v>65</c:v>
                </c:pt>
                <c:pt idx="360">
                  <c:v>65</c:v>
                </c:pt>
                <c:pt idx="361">
                  <c:v>65</c:v>
                </c:pt>
                <c:pt idx="362">
                  <c:v>65</c:v>
                </c:pt>
                <c:pt idx="363">
                  <c:v>65</c:v>
                </c:pt>
                <c:pt idx="364">
                  <c:v>65</c:v>
                </c:pt>
                <c:pt idx="365">
                  <c:v>65</c:v>
                </c:pt>
                <c:pt idx="366">
                  <c:v>65</c:v>
                </c:pt>
                <c:pt idx="367">
                  <c:v>65</c:v>
                </c:pt>
                <c:pt idx="368">
                  <c:v>65</c:v>
                </c:pt>
                <c:pt idx="369">
                  <c:v>65</c:v>
                </c:pt>
                <c:pt idx="370">
                  <c:v>65</c:v>
                </c:pt>
                <c:pt idx="371">
                  <c:v>65</c:v>
                </c:pt>
                <c:pt idx="372">
                  <c:v>65</c:v>
                </c:pt>
                <c:pt idx="373">
                  <c:v>65</c:v>
                </c:pt>
                <c:pt idx="374">
                  <c:v>65</c:v>
                </c:pt>
                <c:pt idx="375">
                  <c:v>65</c:v>
                </c:pt>
                <c:pt idx="376">
                  <c:v>65</c:v>
                </c:pt>
                <c:pt idx="377">
                  <c:v>65</c:v>
                </c:pt>
                <c:pt idx="378">
                  <c:v>65</c:v>
                </c:pt>
                <c:pt idx="379">
                  <c:v>65</c:v>
                </c:pt>
                <c:pt idx="380">
                  <c:v>65</c:v>
                </c:pt>
                <c:pt idx="381">
                  <c:v>65</c:v>
                </c:pt>
                <c:pt idx="382">
                  <c:v>65</c:v>
                </c:pt>
                <c:pt idx="383">
                  <c:v>65</c:v>
                </c:pt>
                <c:pt idx="384">
                  <c:v>65</c:v>
                </c:pt>
                <c:pt idx="385">
                  <c:v>65</c:v>
                </c:pt>
                <c:pt idx="386">
                  <c:v>65</c:v>
                </c:pt>
                <c:pt idx="387">
                  <c:v>65</c:v>
                </c:pt>
                <c:pt idx="388">
                  <c:v>65</c:v>
                </c:pt>
              </c:numCache>
            </c:numRef>
          </c:val>
          <c:smooth val="0"/>
          <c:extLst>
            <c:ext xmlns:c16="http://schemas.microsoft.com/office/drawing/2014/chart" uri="{C3380CC4-5D6E-409C-BE32-E72D297353CC}">
              <c16:uniqueId val="{00000001-B699-6746-B809-425E9C4B85BD}"/>
            </c:ext>
          </c:extLst>
        </c:ser>
        <c:dLbls>
          <c:showLegendKey val="0"/>
          <c:showVal val="0"/>
          <c:showCatName val="0"/>
          <c:showSerName val="0"/>
          <c:showPercent val="0"/>
          <c:showBubbleSize val="0"/>
        </c:dLbls>
        <c:marker val="1"/>
        <c:smooth val="0"/>
        <c:axId val="-2116906096"/>
        <c:axId val="-2116905008"/>
      </c:lineChart>
      <c:catAx>
        <c:axId val="-211690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id-ID"/>
          </a:p>
        </c:txPr>
        <c:crossAx val="-2116905008"/>
        <c:crosses val="autoZero"/>
        <c:auto val="1"/>
        <c:lblAlgn val="ctr"/>
        <c:lblOffset val="100"/>
        <c:noMultiLvlLbl val="0"/>
      </c:catAx>
      <c:valAx>
        <c:axId val="-211690500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id-ID"/>
          </a:p>
        </c:txPr>
        <c:crossAx val="-2116906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[TDU_SMA_2526_S2.xlsx]skill!PivotTable16</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a:t>Progres Skill Proyek</a:t>
            </a:r>
          </a:p>
          <a:p>
            <a:pPr>
              <a:defRPr sz="2000"/>
            </a:pPr>
            <a:r>
              <a:rPr lang="en-US" sz="2000" baseline="0"/>
              <a:t>SMA SAI </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a:noFill/>
          </a:ln>
          <a:effectLst/>
        </c:spPr>
        <c:marker>
          <c:symbol val="none"/>
        </c:marker>
      </c:pivotFmt>
      <c:pivotFmt>
        <c:idx val="5"/>
        <c:spPr>
          <a:solidFill>
            <a:schemeClr val="accent1"/>
          </a:solidFill>
          <a:ln w="25400"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skill!$E$3:$E$4</c:f>
              <c:strCache>
                <c:ptCount val="1"/>
                <c:pt idx="0">
                  <c:v>Skill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skill!$A$5:$D$20</c:f>
              <c:multiLvlStrCache>
                <c:ptCount val="16"/>
                <c:lvl>
                  <c:pt idx="0">
                    <c:v>Product development</c:v>
                  </c:pt>
                  <c:pt idx="1">
                    <c:v>Inovasi market</c:v>
                  </c:pt>
                  <c:pt idx="2">
                    <c:v>Product development</c:v>
                  </c:pt>
                  <c:pt idx="3">
                    <c:v>Inovasi market</c:v>
                  </c:pt>
                  <c:pt idx="4">
                    <c:v>Product development</c:v>
                  </c:pt>
                  <c:pt idx="5">
                    <c:v>Inovasi market</c:v>
                  </c:pt>
                  <c:pt idx="6">
                    <c:v>Product development</c:v>
                  </c:pt>
                  <c:pt idx="7">
                    <c:v>Inovasi market</c:v>
                  </c:pt>
                  <c:pt idx="8">
                    <c:v>Product development</c:v>
                  </c:pt>
                  <c:pt idx="9">
                    <c:v>Inovasi market</c:v>
                  </c:pt>
                  <c:pt idx="10">
                    <c:v>Product development</c:v>
                  </c:pt>
                  <c:pt idx="11">
                    <c:v>Inovasi market</c:v>
                  </c:pt>
                  <c:pt idx="12">
                    <c:v>Product development</c:v>
                  </c:pt>
                  <c:pt idx="13">
                    <c:v>Inovasi market</c:v>
                  </c:pt>
                  <c:pt idx="14">
                    <c:v>Product development</c:v>
                  </c:pt>
                  <c:pt idx="15">
                    <c:v>Inovasi market</c:v>
                  </c:pt>
                </c:lvl>
                <c:lvl>
                  <c:pt idx="0">
                    <c:v>Wk.2</c:v>
                  </c:pt>
                  <c:pt idx="2">
                    <c:v>Wk.3</c:v>
                  </c:pt>
                  <c:pt idx="4">
                    <c:v>Wk.4</c:v>
                  </c:pt>
                  <c:pt idx="6">
                    <c:v>Wk.5</c:v>
                  </c:pt>
                  <c:pt idx="8">
                    <c:v>Wk.6</c:v>
                  </c:pt>
                  <c:pt idx="10">
                    <c:v>Wk.7</c:v>
                  </c:pt>
                  <c:pt idx="12">
                    <c:v>Wk.8</c:v>
                  </c:pt>
                  <c:pt idx="14">
                    <c:v>Wk.9</c:v>
                  </c:pt>
                </c:lvl>
                <c:lvl>
                  <c:pt idx="0">
                    <c:v>Jan</c:v>
                  </c:pt>
                  <c:pt idx="8">
                    <c:v>Feb</c:v>
                  </c:pt>
                </c:lvl>
                <c:lvl>
                  <c:pt idx="0">
                    <c:v>Pengolahan Kopi atau Tepung</c:v>
                  </c:pt>
                </c:lvl>
              </c:multiLvlStrCache>
            </c:multiLvlStrRef>
          </c:cat>
          <c:val>
            <c:numRef>
              <c:f>skill!$E$5:$E$20</c:f>
              <c:numCache>
                <c:formatCode>_(* #,##0_);_(* \(#,##0\);_(* "-"_);_(@_)</c:formatCode>
                <c:ptCount val="16"/>
                <c:pt idx="0">
                  <c:v>67.555555555555557</c:v>
                </c:pt>
                <c:pt idx="2">
                  <c:v>90</c:v>
                </c:pt>
                <c:pt idx="3">
                  <c:v>65.740740740740748</c:v>
                </c:pt>
                <c:pt idx="4">
                  <c:v>55.333333333333336</c:v>
                </c:pt>
                <c:pt idx="5">
                  <c:v>84</c:v>
                </c:pt>
                <c:pt idx="6">
                  <c:v>73.875</c:v>
                </c:pt>
                <c:pt idx="7">
                  <c:v>71.111111111111114</c:v>
                </c:pt>
                <c:pt idx="8">
                  <c:v>74.063829787234042</c:v>
                </c:pt>
                <c:pt idx="9">
                  <c:v>75.333333333333329</c:v>
                </c:pt>
                <c:pt idx="10">
                  <c:v>66.659090909090907</c:v>
                </c:pt>
                <c:pt idx="11">
                  <c:v>62.777777777777779</c:v>
                </c:pt>
                <c:pt idx="12">
                  <c:v>76.739130434782609</c:v>
                </c:pt>
                <c:pt idx="14">
                  <c:v>80</c:v>
                </c:pt>
              </c:numCache>
            </c:numRef>
          </c:val>
          <c:smooth val="0"/>
          <c:extLst>
            <c:ext xmlns:c16="http://schemas.microsoft.com/office/drawing/2014/chart" uri="{C3380CC4-5D6E-409C-BE32-E72D297353CC}">
              <c16:uniqueId val="{00000004-6C9C-5047-BD43-6B290BCB9DC0}"/>
            </c:ext>
          </c:extLst>
        </c:ser>
        <c:ser>
          <c:idx val="1"/>
          <c:order val="1"/>
          <c:tx>
            <c:strRef>
              <c:f>skill!$F$3:$F$4</c:f>
              <c:strCache>
                <c:ptCount val="1"/>
                <c:pt idx="0">
                  <c:v>Teori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skill!$A$5:$D$20</c:f>
              <c:multiLvlStrCache>
                <c:ptCount val="16"/>
                <c:lvl>
                  <c:pt idx="0">
                    <c:v>Product development</c:v>
                  </c:pt>
                  <c:pt idx="1">
                    <c:v>Inovasi market</c:v>
                  </c:pt>
                  <c:pt idx="2">
                    <c:v>Product development</c:v>
                  </c:pt>
                  <c:pt idx="3">
                    <c:v>Inovasi market</c:v>
                  </c:pt>
                  <c:pt idx="4">
                    <c:v>Product development</c:v>
                  </c:pt>
                  <c:pt idx="5">
                    <c:v>Inovasi market</c:v>
                  </c:pt>
                  <c:pt idx="6">
                    <c:v>Product development</c:v>
                  </c:pt>
                  <c:pt idx="7">
                    <c:v>Inovasi market</c:v>
                  </c:pt>
                  <c:pt idx="8">
                    <c:v>Product development</c:v>
                  </c:pt>
                  <c:pt idx="9">
                    <c:v>Inovasi market</c:v>
                  </c:pt>
                  <c:pt idx="10">
                    <c:v>Product development</c:v>
                  </c:pt>
                  <c:pt idx="11">
                    <c:v>Inovasi market</c:v>
                  </c:pt>
                  <c:pt idx="12">
                    <c:v>Product development</c:v>
                  </c:pt>
                  <c:pt idx="13">
                    <c:v>Inovasi market</c:v>
                  </c:pt>
                  <c:pt idx="14">
                    <c:v>Product development</c:v>
                  </c:pt>
                  <c:pt idx="15">
                    <c:v>Inovasi market</c:v>
                  </c:pt>
                </c:lvl>
                <c:lvl>
                  <c:pt idx="0">
                    <c:v>Wk.2</c:v>
                  </c:pt>
                  <c:pt idx="2">
                    <c:v>Wk.3</c:v>
                  </c:pt>
                  <c:pt idx="4">
                    <c:v>Wk.4</c:v>
                  </c:pt>
                  <c:pt idx="6">
                    <c:v>Wk.5</c:v>
                  </c:pt>
                  <c:pt idx="8">
                    <c:v>Wk.6</c:v>
                  </c:pt>
                  <c:pt idx="10">
                    <c:v>Wk.7</c:v>
                  </c:pt>
                  <c:pt idx="12">
                    <c:v>Wk.8</c:v>
                  </c:pt>
                  <c:pt idx="14">
                    <c:v>Wk.9</c:v>
                  </c:pt>
                </c:lvl>
                <c:lvl>
                  <c:pt idx="0">
                    <c:v>Jan</c:v>
                  </c:pt>
                  <c:pt idx="8">
                    <c:v>Feb</c:v>
                  </c:pt>
                </c:lvl>
                <c:lvl>
                  <c:pt idx="0">
                    <c:v>Pengolahan Kopi atau Tepung</c:v>
                  </c:pt>
                </c:lvl>
              </c:multiLvlStrCache>
            </c:multiLvlStrRef>
          </c:cat>
          <c:val>
            <c:numRef>
              <c:f>skill!$F$5:$F$20</c:f>
              <c:numCache>
                <c:formatCode>_(* #,##0_);_(* \(#,##0\);_(* "-"_);_(@_)</c:formatCode>
                <c:ptCount val="16"/>
                <c:pt idx="0">
                  <c:v>58.5</c:v>
                </c:pt>
                <c:pt idx="2">
                  <c:v>65.467391304347828</c:v>
                </c:pt>
                <c:pt idx="3">
                  <c:v>69.544117647058826</c:v>
                </c:pt>
                <c:pt idx="4">
                  <c:v>62.824742268041234</c:v>
                </c:pt>
                <c:pt idx="5">
                  <c:v>75.393442622950815</c:v>
                </c:pt>
                <c:pt idx="6">
                  <c:v>66.594202898550719</c:v>
                </c:pt>
                <c:pt idx="7">
                  <c:v>74.055555555555557</c:v>
                </c:pt>
                <c:pt idx="8">
                  <c:v>75.276785714285708</c:v>
                </c:pt>
                <c:pt idx="9">
                  <c:v>75.907407407407405</c:v>
                </c:pt>
                <c:pt idx="10">
                  <c:v>64.344262295081961</c:v>
                </c:pt>
                <c:pt idx="11">
                  <c:v>68.583333333333329</c:v>
                </c:pt>
                <c:pt idx="12">
                  <c:v>71.977777777777774</c:v>
                </c:pt>
                <c:pt idx="13">
                  <c:v>70</c:v>
                </c:pt>
                <c:pt idx="14">
                  <c:v>72.3</c:v>
                </c:pt>
                <c:pt idx="15">
                  <c:v>90.333333333333329</c:v>
                </c:pt>
              </c:numCache>
            </c:numRef>
          </c:val>
          <c:smooth val="0"/>
          <c:extLst>
            <c:ext xmlns:c16="http://schemas.microsoft.com/office/drawing/2014/chart" uri="{C3380CC4-5D6E-409C-BE32-E72D297353CC}">
              <c16:uniqueId val="{00000005-6C9C-5047-BD43-6B290BCB9DC0}"/>
            </c:ext>
          </c:extLst>
        </c:ser>
        <c:ser>
          <c:idx val="2"/>
          <c:order val="2"/>
          <c:tx>
            <c:strRef>
              <c:f>skill!$G$3:$G$4</c:f>
              <c:strCache>
                <c:ptCount val="1"/>
                <c:pt idx="0">
                  <c:v>Nalar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skill!$A$5:$D$20</c:f>
              <c:multiLvlStrCache>
                <c:ptCount val="16"/>
                <c:lvl>
                  <c:pt idx="0">
                    <c:v>Product development</c:v>
                  </c:pt>
                  <c:pt idx="1">
                    <c:v>Inovasi market</c:v>
                  </c:pt>
                  <c:pt idx="2">
                    <c:v>Product development</c:v>
                  </c:pt>
                  <c:pt idx="3">
                    <c:v>Inovasi market</c:v>
                  </c:pt>
                  <c:pt idx="4">
                    <c:v>Product development</c:v>
                  </c:pt>
                  <c:pt idx="5">
                    <c:v>Inovasi market</c:v>
                  </c:pt>
                  <c:pt idx="6">
                    <c:v>Product development</c:v>
                  </c:pt>
                  <c:pt idx="7">
                    <c:v>Inovasi market</c:v>
                  </c:pt>
                  <c:pt idx="8">
                    <c:v>Product development</c:v>
                  </c:pt>
                  <c:pt idx="9">
                    <c:v>Inovasi market</c:v>
                  </c:pt>
                  <c:pt idx="10">
                    <c:v>Product development</c:v>
                  </c:pt>
                  <c:pt idx="11">
                    <c:v>Inovasi market</c:v>
                  </c:pt>
                  <c:pt idx="12">
                    <c:v>Product development</c:v>
                  </c:pt>
                  <c:pt idx="13">
                    <c:v>Inovasi market</c:v>
                  </c:pt>
                  <c:pt idx="14">
                    <c:v>Product development</c:v>
                  </c:pt>
                  <c:pt idx="15">
                    <c:v>Inovasi market</c:v>
                  </c:pt>
                </c:lvl>
                <c:lvl>
                  <c:pt idx="0">
                    <c:v>Wk.2</c:v>
                  </c:pt>
                  <c:pt idx="2">
                    <c:v>Wk.3</c:v>
                  </c:pt>
                  <c:pt idx="4">
                    <c:v>Wk.4</c:v>
                  </c:pt>
                  <c:pt idx="6">
                    <c:v>Wk.5</c:v>
                  </c:pt>
                  <c:pt idx="8">
                    <c:v>Wk.6</c:v>
                  </c:pt>
                  <c:pt idx="10">
                    <c:v>Wk.7</c:v>
                  </c:pt>
                  <c:pt idx="12">
                    <c:v>Wk.8</c:v>
                  </c:pt>
                  <c:pt idx="14">
                    <c:v>Wk.9</c:v>
                  </c:pt>
                </c:lvl>
                <c:lvl>
                  <c:pt idx="0">
                    <c:v>Jan</c:v>
                  </c:pt>
                  <c:pt idx="8">
                    <c:v>Feb</c:v>
                  </c:pt>
                </c:lvl>
                <c:lvl>
                  <c:pt idx="0">
                    <c:v>Pengolahan Kopi atau Tepung</c:v>
                  </c:pt>
                </c:lvl>
              </c:multiLvlStrCache>
            </c:multiLvlStrRef>
          </c:cat>
          <c:val>
            <c:numRef>
              <c:f>skill!$G$5:$G$20</c:f>
              <c:numCache>
                <c:formatCode>_(* #,##0_);_(* \(#,##0\);_(* "-"_);_(@_)</c:formatCode>
                <c:ptCount val="16"/>
                <c:pt idx="1">
                  <c:v>71.111111111111114</c:v>
                </c:pt>
                <c:pt idx="2">
                  <c:v>66.555555555555557</c:v>
                </c:pt>
                <c:pt idx="3">
                  <c:v>67.333333333333329</c:v>
                </c:pt>
                <c:pt idx="4">
                  <c:v>56.704545454545453</c:v>
                </c:pt>
                <c:pt idx="5">
                  <c:v>67.407407407407405</c:v>
                </c:pt>
                <c:pt idx="6">
                  <c:v>68.068181818181813</c:v>
                </c:pt>
                <c:pt idx="7">
                  <c:v>76.081081081081081</c:v>
                </c:pt>
                <c:pt idx="8">
                  <c:v>74.264705882352942</c:v>
                </c:pt>
                <c:pt idx="9">
                  <c:v>72.5</c:v>
                </c:pt>
                <c:pt idx="10">
                  <c:v>70</c:v>
                </c:pt>
                <c:pt idx="11">
                  <c:v>70.444444444444443</c:v>
                </c:pt>
                <c:pt idx="12">
                  <c:v>66.63636363636364</c:v>
                </c:pt>
                <c:pt idx="13">
                  <c:v>71.111111111111114</c:v>
                </c:pt>
                <c:pt idx="15">
                  <c:v>82.222222222222229</c:v>
                </c:pt>
              </c:numCache>
            </c:numRef>
          </c:val>
          <c:smooth val="0"/>
          <c:extLst>
            <c:ext xmlns:c16="http://schemas.microsoft.com/office/drawing/2014/chart" uri="{C3380CC4-5D6E-409C-BE32-E72D297353CC}">
              <c16:uniqueId val="{00000006-6C9C-5047-BD43-6B290BCB9DC0}"/>
            </c:ext>
          </c:extLst>
        </c:ser>
        <c:ser>
          <c:idx val="3"/>
          <c:order val="3"/>
          <c:tx>
            <c:strRef>
              <c:f>skill!$H$3:$H$4</c:f>
              <c:strCache>
                <c:ptCount val="1"/>
                <c:pt idx="0">
                  <c:v>Karakter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skill!$A$5:$D$20</c:f>
              <c:multiLvlStrCache>
                <c:ptCount val="16"/>
                <c:lvl>
                  <c:pt idx="0">
                    <c:v>Product development</c:v>
                  </c:pt>
                  <c:pt idx="1">
                    <c:v>Inovasi market</c:v>
                  </c:pt>
                  <c:pt idx="2">
                    <c:v>Product development</c:v>
                  </c:pt>
                  <c:pt idx="3">
                    <c:v>Inovasi market</c:v>
                  </c:pt>
                  <c:pt idx="4">
                    <c:v>Product development</c:v>
                  </c:pt>
                  <c:pt idx="5">
                    <c:v>Inovasi market</c:v>
                  </c:pt>
                  <c:pt idx="6">
                    <c:v>Product development</c:v>
                  </c:pt>
                  <c:pt idx="7">
                    <c:v>Inovasi market</c:v>
                  </c:pt>
                  <c:pt idx="8">
                    <c:v>Product development</c:v>
                  </c:pt>
                  <c:pt idx="9">
                    <c:v>Inovasi market</c:v>
                  </c:pt>
                  <c:pt idx="10">
                    <c:v>Product development</c:v>
                  </c:pt>
                  <c:pt idx="11">
                    <c:v>Inovasi market</c:v>
                  </c:pt>
                  <c:pt idx="12">
                    <c:v>Product development</c:v>
                  </c:pt>
                  <c:pt idx="13">
                    <c:v>Inovasi market</c:v>
                  </c:pt>
                  <c:pt idx="14">
                    <c:v>Product development</c:v>
                  </c:pt>
                  <c:pt idx="15">
                    <c:v>Inovasi market</c:v>
                  </c:pt>
                </c:lvl>
                <c:lvl>
                  <c:pt idx="0">
                    <c:v>Wk.2</c:v>
                  </c:pt>
                  <c:pt idx="2">
                    <c:v>Wk.3</c:v>
                  </c:pt>
                  <c:pt idx="4">
                    <c:v>Wk.4</c:v>
                  </c:pt>
                  <c:pt idx="6">
                    <c:v>Wk.5</c:v>
                  </c:pt>
                  <c:pt idx="8">
                    <c:v>Wk.6</c:v>
                  </c:pt>
                  <c:pt idx="10">
                    <c:v>Wk.7</c:v>
                  </c:pt>
                  <c:pt idx="12">
                    <c:v>Wk.8</c:v>
                  </c:pt>
                  <c:pt idx="14">
                    <c:v>Wk.9</c:v>
                  </c:pt>
                </c:lvl>
                <c:lvl>
                  <c:pt idx="0">
                    <c:v>Jan</c:v>
                  </c:pt>
                  <c:pt idx="8">
                    <c:v>Feb</c:v>
                  </c:pt>
                </c:lvl>
                <c:lvl>
                  <c:pt idx="0">
                    <c:v>Pengolahan Kopi atau Tepung</c:v>
                  </c:pt>
                </c:lvl>
              </c:multiLvlStrCache>
            </c:multiLvlStrRef>
          </c:cat>
          <c:val>
            <c:numRef>
              <c:f>skill!$H$5:$H$20</c:f>
              <c:numCache>
                <c:formatCode>_(* #,##0_);_(* \(#,##0\);_(* "-"_);_(@_)</c:formatCode>
                <c:ptCount val="16"/>
                <c:pt idx="0">
                  <c:v>71.25</c:v>
                </c:pt>
                <c:pt idx="2">
                  <c:v>76.382352941176464</c:v>
                </c:pt>
                <c:pt idx="3">
                  <c:v>75.259259259259252</c:v>
                </c:pt>
                <c:pt idx="4">
                  <c:v>78.389830508474574</c:v>
                </c:pt>
                <c:pt idx="5">
                  <c:v>77.333333333333329</c:v>
                </c:pt>
                <c:pt idx="6">
                  <c:v>72.178571428571431</c:v>
                </c:pt>
                <c:pt idx="7">
                  <c:v>75.535714285714292</c:v>
                </c:pt>
                <c:pt idx="8">
                  <c:v>71.257142857142853</c:v>
                </c:pt>
                <c:pt idx="9">
                  <c:v>76.027777777777771</c:v>
                </c:pt>
                <c:pt idx="10">
                  <c:v>73.227272727272734</c:v>
                </c:pt>
                <c:pt idx="11">
                  <c:v>78.888888888888886</c:v>
                </c:pt>
                <c:pt idx="12">
                  <c:v>72.045454545454547</c:v>
                </c:pt>
                <c:pt idx="13">
                  <c:v>85</c:v>
                </c:pt>
              </c:numCache>
            </c:numRef>
          </c:val>
          <c:smooth val="0"/>
          <c:extLst>
            <c:ext xmlns:c16="http://schemas.microsoft.com/office/drawing/2014/chart" uri="{C3380CC4-5D6E-409C-BE32-E72D297353CC}">
              <c16:uniqueId val="{00000007-6C9C-5047-BD43-6B290BCB9DC0}"/>
            </c:ext>
          </c:extLst>
        </c:ser>
        <c:ser>
          <c:idx val="4"/>
          <c:order val="4"/>
          <c:tx>
            <c:strRef>
              <c:f>skill!$I$3:$I$4</c:f>
              <c:strCache>
                <c:ptCount val="1"/>
                <c:pt idx="0">
                  <c:v>Minat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skill!$A$5:$D$20</c:f>
              <c:multiLvlStrCache>
                <c:ptCount val="16"/>
                <c:lvl>
                  <c:pt idx="0">
                    <c:v>Product development</c:v>
                  </c:pt>
                  <c:pt idx="1">
                    <c:v>Inovasi market</c:v>
                  </c:pt>
                  <c:pt idx="2">
                    <c:v>Product development</c:v>
                  </c:pt>
                  <c:pt idx="3">
                    <c:v>Inovasi market</c:v>
                  </c:pt>
                  <c:pt idx="4">
                    <c:v>Product development</c:v>
                  </c:pt>
                  <c:pt idx="5">
                    <c:v>Inovasi market</c:v>
                  </c:pt>
                  <c:pt idx="6">
                    <c:v>Product development</c:v>
                  </c:pt>
                  <c:pt idx="7">
                    <c:v>Inovasi market</c:v>
                  </c:pt>
                  <c:pt idx="8">
                    <c:v>Product development</c:v>
                  </c:pt>
                  <c:pt idx="9">
                    <c:v>Inovasi market</c:v>
                  </c:pt>
                  <c:pt idx="10">
                    <c:v>Product development</c:v>
                  </c:pt>
                  <c:pt idx="11">
                    <c:v>Inovasi market</c:v>
                  </c:pt>
                  <c:pt idx="12">
                    <c:v>Product development</c:v>
                  </c:pt>
                  <c:pt idx="13">
                    <c:v>Inovasi market</c:v>
                  </c:pt>
                  <c:pt idx="14">
                    <c:v>Product development</c:v>
                  </c:pt>
                  <c:pt idx="15">
                    <c:v>Inovasi market</c:v>
                  </c:pt>
                </c:lvl>
                <c:lvl>
                  <c:pt idx="0">
                    <c:v>Wk.2</c:v>
                  </c:pt>
                  <c:pt idx="2">
                    <c:v>Wk.3</c:v>
                  </c:pt>
                  <c:pt idx="4">
                    <c:v>Wk.4</c:v>
                  </c:pt>
                  <c:pt idx="6">
                    <c:v>Wk.5</c:v>
                  </c:pt>
                  <c:pt idx="8">
                    <c:v>Wk.6</c:v>
                  </c:pt>
                  <c:pt idx="10">
                    <c:v>Wk.7</c:v>
                  </c:pt>
                  <c:pt idx="12">
                    <c:v>Wk.8</c:v>
                  </c:pt>
                  <c:pt idx="14">
                    <c:v>Wk.9</c:v>
                  </c:pt>
                </c:lvl>
                <c:lvl>
                  <c:pt idx="0">
                    <c:v>Jan</c:v>
                  </c:pt>
                  <c:pt idx="8">
                    <c:v>Feb</c:v>
                  </c:pt>
                </c:lvl>
                <c:lvl>
                  <c:pt idx="0">
                    <c:v>Pengolahan Kopi atau Tepung</c:v>
                  </c:pt>
                </c:lvl>
              </c:multiLvlStrCache>
            </c:multiLvlStrRef>
          </c:cat>
          <c:val>
            <c:numRef>
              <c:f>skill!$I$5:$I$20</c:f>
              <c:numCache>
                <c:formatCode>_(* #,##0_);_(* \(#,##0\);_(* "-"_);_(@_)</c:formatCode>
                <c:ptCount val="16"/>
                <c:pt idx="2">
                  <c:v>70.264705882352942</c:v>
                </c:pt>
                <c:pt idx="3">
                  <c:v>74.5</c:v>
                </c:pt>
                <c:pt idx="4">
                  <c:v>69.545454545454547</c:v>
                </c:pt>
                <c:pt idx="5">
                  <c:v>72.666666666666671</c:v>
                </c:pt>
                <c:pt idx="6">
                  <c:v>69.727272727272734</c:v>
                </c:pt>
                <c:pt idx="7">
                  <c:v>69.777777777777771</c:v>
                </c:pt>
                <c:pt idx="8">
                  <c:v>70.411764705882348</c:v>
                </c:pt>
                <c:pt idx="9">
                  <c:v>70.222222222222229</c:v>
                </c:pt>
                <c:pt idx="10">
                  <c:v>69</c:v>
                </c:pt>
                <c:pt idx="11">
                  <c:v>76.055555555555557</c:v>
                </c:pt>
                <c:pt idx="12">
                  <c:v>72.545454545454547</c:v>
                </c:pt>
                <c:pt idx="13">
                  <c:v>70</c:v>
                </c:pt>
              </c:numCache>
            </c:numRef>
          </c:val>
          <c:smooth val="0"/>
          <c:extLst>
            <c:ext xmlns:c16="http://schemas.microsoft.com/office/drawing/2014/chart" uri="{C3380CC4-5D6E-409C-BE32-E72D297353CC}">
              <c16:uniqueId val="{00000008-6C9C-5047-BD43-6B290BCB9DC0}"/>
            </c:ext>
          </c:extLst>
        </c:ser>
        <c:dLbls>
          <c:showLegendKey val="0"/>
          <c:showVal val="0"/>
          <c:showCatName val="0"/>
          <c:showSerName val="0"/>
          <c:showPercent val="0"/>
          <c:showBubbleSize val="0"/>
        </c:dLbls>
        <c:marker val="1"/>
        <c:smooth val="0"/>
        <c:axId val="-2116895760"/>
        <c:axId val="-2116895216"/>
      </c:lineChart>
      <c:catAx>
        <c:axId val="-211689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400" b="1" i="0" u="none" strike="noStrike" kern="1200" baseline="0">
                <a:solidFill>
                  <a:schemeClr val="tx1"/>
                </a:solidFill>
                <a:latin typeface="+mn-lt"/>
                <a:ea typeface="+mn-ea"/>
                <a:cs typeface="+mn-cs"/>
              </a:defRPr>
            </a:pPr>
            <a:endParaRPr lang="id-ID"/>
          </a:p>
        </c:txPr>
        <c:crossAx val="-2116895216"/>
        <c:crosses val="autoZero"/>
        <c:auto val="1"/>
        <c:lblAlgn val="ctr"/>
        <c:lblOffset val="100"/>
        <c:noMultiLvlLbl val="0"/>
      </c:catAx>
      <c:valAx>
        <c:axId val="-211689521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crossAx val="-2116895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[TDU_SMA_2526_S2.xlsx]skill!PivotTable18</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a:t>Progres Skill-Subskill Proyek</a:t>
            </a:r>
          </a:p>
          <a:p>
            <a:pPr>
              <a:defRPr sz="2000"/>
            </a:pPr>
            <a:r>
              <a:rPr lang="en-US" sz="2000"/>
              <a:t>SMA</a:t>
            </a:r>
            <a:r>
              <a:rPr lang="en-US" sz="2000" baseline="0"/>
              <a:t> SAI</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skill!$BD$1:$BD$2</c:f>
              <c:strCache>
                <c:ptCount val="1"/>
                <c:pt idx="0">
                  <c:v>Skill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skill!$AY$3:$BC$18</c:f>
              <c:multiLvlStrCache>
                <c:ptCount val="16"/>
                <c:lvl>
                  <c:pt idx="0">
                    <c:v>Pengembangan produk inovasi</c:v>
                  </c:pt>
                  <c:pt idx="1">
                    <c:v>Produksi berkelanjutan</c:v>
                  </c:pt>
                  <c:pt idx="2">
                    <c:v>Pengembangan produk inovasi</c:v>
                  </c:pt>
                  <c:pt idx="3">
                    <c:v>Produksi berkelanjutan</c:v>
                  </c:pt>
                  <c:pt idx="4">
                    <c:v>Pengembangan produk inovasi</c:v>
                  </c:pt>
                  <c:pt idx="5">
                    <c:v>Produksi berkelanjutan</c:v>
                  </c:pt>
                  <c:pt idx="6">
                    <c:v>Pengembangan produk inovasi</c:v>
                  </c:pt>
                  <c:pt idx="7">
                    <c:v>Produksi berkelanjutan</c:v>
                  </c:pt>
                  <c:pt idx="8">
                    <c:v>Pengembangan produk inovasi</c:v>
                  </c:pt>
                  <c:pt idx="9">
                    <c:v>Produksi berkelanjutan</c:v>
                  </c:pt>
                  <c:pt idx="10">
                    <c:v>Pengembangan produk inovasi</c:v>
                  </c:pt>
                  <c:pt idx="11">
                    <c:v>Produksi berkelanjutan</c:v>
                  </c:pt>
                  <c:pt idx="12">
                    <c:v>Pengembangan produk inovasi</c:v>
                  </c:pt>
                  <c:pt idx="13">
                    <c:v>Produksi berkelanjutan</c:v>
                  </c:pt>
                  <c:pt idx="14">
                    <c:v>Pengembangan produk inovasi</c:v>
                  </c:pt>
                  <c:pt idx="15">
                    <c:v>Produksi berkelanjutan</c:v>
                  </c:pt>
                </c:lvl>
                <c:lvl>
                  <c:pt idx="0">
                    <c:v>Wk.2</c:v>
                  </c:pt>
                  <c:pt idx="2">
                    <c:v>Wk.3</c:v>
                  </c:pt>
                  <c:pt idx="4">
                    <c:v>Wk.4</c:v>
                  </c:pt>
                  <c:pt idx="6">
                    <c:v>Wk.5</c:v>
                  </c:pt>
                  <c:pt idx="8">
                    <c:v>Wk.6</c:v>
                  </c:pt>
                  <c:pt idx="10">
                    <c:v>Wk.7</c:v>
                  </c:pt>
                  <c:pt idx="12">
                    <c:v>Wk.8</c:v>
                  </c:pt>
                  <c:pt idx="14">
                    <c:v>Wk.9</c:v>
                  </c:pt>
                </c:lvl>
                <c:lvl>
                  <c:pt idx="0">
                    <c:v>Jan</c:v>
                  </c:pt>
                  <c:pt idx="8">
                    <c:v>Feb</c:v>
                  </c:pt>
                </c:lvl>
                <c:lvl>
                  <c:pt idx="0">
                    <c:v>Product development</c:v>
                  </c:pt>
                </c:lvl>
                <c:lvl>
                  <c:pt idx="0">
                    <c:v>Pengolahan Kopi atau Tepung</c:v>
                  </c:pt>
                </c:lvl>
              </c:multiLvlStrCache>
            </c:multiLvlStrRef>
          </c:cat>
          <c:val>
            <c:numRef>
              <c:f>skill!$BD$3:$BD$18</c:f>
              <c:numCache>
                <c:formatCode>_(* #,##0_);_(* \(#,##0\);_(* "-"_);_(@_)</c:formatCode>
                <c:ptCount val="16"/>
                <c:pt idx="0">
                  <c:v>67.583333333333329</c:v>
                </c:pt>
                <c:pt idx="1">
                  <c:v>67.5</c:v>
                </c:pt>
                <c:pt idx="2">
                  <c:v>90</c:v>
                </c:pt>
                <c:pt idx="4">
                  <c:v>55.333333333333336</c:v>
                </c:pt>
                <c:pt idx="6">
                  <c:v>73.875</c:v>
                </c:pt>
                <c:pt idx="8">
                  <c:v>78</c:v>
                </c:pt>
                <c:pt idx="9">
                  <c:v>69.956521739130437</c:v>
                </c:pt>
                <c:pt idx="10">
                  <c:v>66.659090909090907</c:v>
                </c:pt>
                <c:pt idx="12">
                  <c:v>76.739130434782609</c:v>
                </c:pt>
                <c:pt idx="14">
                  <c:v>80</c:v>
                </c:pt>
              </c:numCache>
            </c:numRef>
          </c:val>
          <c:smooth val="0"/>
          <c:extLst>
            <c:ext xmlns:c16="http://schemas.microsoft.com/office/drawing/2014/chart" uri="{C3380CC4-5D6E-409C-BE32-E72D297353CC}">
              <c16:uniqueId val="{0000000A-A2EC-894E-BD15-5C20E1D8040C}"/>
            </c:ext>
          </c:extLst>
        </c:ser>
        <c:ser>
          <c:idx val="1"/>
          <c:order val="1"/>
          <c:tx>
            <c:strRef>
              <c:f>skill!$BE$1:$BE$2</c:f>
              <c:strCache>
                <c:ptCount val="1"/>
                <c:pt idx="0">
                  <c:v>Teori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skill!$AY$3:$BC$18</c:f>
              <c:multiLvlStrCache>
                <c:ptCount val="16"/>
                <c:lvl>
                  <c:pt idx="0">
                    <c:v>Pengembangan produk inovasi</c:v>
                  </c:pt>
                  <c:pt idx="1">
                    <c:v>Produksi berkelanjutan</c:v>
                  </c:pt>
                  <c:pt idx="2">
                    <c:v>Pengembangan produk inovasi</c:v>
                  </c:pt>
                  <c:pt idx="3">
                    <c:v>Produksi berkelanjutan</c:v>
                  </c:pt>
                  <c:pt idx="4">
                    <c:v>Pengembangan produk inovasi</c:v>
                  </c:pt>
                  <c:pt idx="5">
                    <c:v>Produksi berkelanjutan</c:v>
                  </c:pt>
                  <c:pt idx="6">
                    <c:v>Pengembangan produk inovasi</c:v>
                  </c:pt>
                  <c:pt idx="7">
                    <c:v>Produksi berkelanjutan</c:v>
                  </c:pt>
                  <c:pt idx="8">
                    <c:v>Pengembangan produk inovasi</c:v>
                  </c:pt>
                  <c:pt idx="9">
                    <c:v>Produksi berkelanjutan</c:v>
                  </c:pt>
                  <c:pt idx="10">
                    <c:v>Pengembangan produk inovasi</c:v>
                  </c:pt>
                  <c:pt idx="11">
                    <c:v>Produksi berkelanjutan</c:v>
                  </c:pt>
                  <c:pt idx="12">
                    <c:v>Pengembangan produk inovasi</c:v>
                  </c:pt>
                  <c:pt idx="13">
                    <c:v>Produksi berkelanjutan</c:v>
                  </c:pt>
                  <c:pt idx="14">
                    <c:v>Pengembangan produk inovasi</c:v>
                  </c:pt>
                  <c:pt idx="15">
                    <c:v>Produksi berkelanjutan</c:v>
                  </c:pt>
                </c:lvl>
                <c:lvl>
                  <c:pt idx="0">
                    <c:v>Wk.2</c:v>
                  </c:pt>
                  <c:pt idx="2">
                    <c:v>Wk.3</c:v>
                  </c:pt>
                  <c:pt idx="4">
                    <c:v>Wk.4</c:v>
                  </c:pt>
                  <c:pt idx="6">
                    <c:v>Wk.5</c:v>
                  </c:pt>
                  <c:pt idx="8">
                    <c:v>Wk.6</c:v>
                  </c:pt>
                  <c:pt idx="10">
                    <c:v>Wk.7</c:v>
                  </c:pt>
                  <c:pt idx="12">
                    <c:v>Wk.8</c:v>
                  </c:pt>
                  <c:pt idx="14">
                    <c:v>Wk.9</c:v>
                  </c:pt>
                </c:lvl>
                <c:lvl>
                  <c:pt idx="0">
                    <c:v>Jan</c:v>
                  </c:pt>
                  <c:pt idx="8">
                    <c:v>Feb</c:v>
                  </c:pt>
                </c:lvl>
                <c:lvl>
                  <c:pt idx="0">
                    <c:v>Product development</c:v>
                  </c:pt>
                </c:lvl>
                <c:lvl>
                  <c:pt idx="0">
                    <c:v>Pengolahan Kopi atau Tepung</c:v>
                  </c:pt>
                </c:lvl>
              </c:multiLvlStrCache>
            </c:multiLvlStrRef>
          </c:cat>
          <c:val>
            <c:numRef>
              <c:f>skill!$BE$3:$BE$18</c:f>
              <c:numCache>
                <c:formatCode>_(* #,##0_);_(* \(#,##0\);_(* "-"_);_(@_)</c:formatCode>
                <c:ptCount val="16"/>
                <c:pt idx="0">
                  <c:v>58.5</c:v>
                </c:pt>
                <c:pt idx="2">
                  <c:v>61.14</c:v>
                </c:pt>
                <c:pt idx="3">
                  <c:v>70.61904761904762</c:v>
                </c:pt>
                <c:pt idx="4">
                  <c:v>64.522727272727266</c:v>
                </c:pt>
                <c:pt idx="5">
                  <c:v>61.415094339622641</c:v>
                </c:pt>
                <c:pt idx="6">
                  <c:v>59.941176470588232</c:v>
                </c:pt>
                <c:pt idx="7">
                  <c:v>68.769230769230774</c:v>
                </c:pt>
                <c:pt idx="8">
                  <c:v>76.521739130434781</c:v>
                </c:pt>
                <c:pt idx="9">
                  <c:v>74.955056179775283</c:v>
                </c:pt>
                <c:pt idx="10">
                  <c:v>61.946428571428569</c:v>
                </c:pt>
                <c:pt idx="11">
                  <c:v>66.378787878787875</c:v>
                </c:pt>
                <c:pt idx="12">
                  <c:v>75.782608695652172</c:v>
                </c:pt>
                <c:pt idx="13">
                  <c:v>68</c:v>
                </c:pt>
                <c:pt idx="14">
                  <c:v>80</c:v>
                </c:pt>
                <c:pt idx="15">
                  <c:v>64.599999999999994</c:v>
                </c:pt>
              </c:numCache>
            </c:numRef>
          </c:val>
          <c:smooth val="0"/>
          <c:extLst>
            <c:ext xmlns:c16="http://schemas.microsoft.com/office/drawing/2014/chart" uri="{C3380CC4-5D6E-409C-BE32-E72D297353CC}">
              <c16:uniqueId val="{0000000B-A2EC-894E-BD15-5C20E1D8040C}"/>
            </c:ext>
          </c:extLst>
        </c:ser>
        <c:ser>
          <c:idx val="2"/>
          <c:order val="2"/>
          <c:tx>
            <c:strRef>
              <c:f>skill!$BF$1:$BF$2</c:f>
              <c:strCache>
                <c:ptCount val="1"/>
                <c:pt idx="0">
                  <c:v>Nalar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skill!$AY$3:$BC$18</c:f>
              <c:multiLvlStrCache>
                <c:ptCount val="16"/>
                <c:lvl>
                  <c:pt idx="0">
                    <c:v>Pengembangan produk inovasi</c:v>
                  </c:pt>
                  <c:pt idx="1">
                    <c:v>Produksi berkelanjutan</c:v>
                  </c:pt>
                  <c:pt idx="2">
                    <c:v>Pengembangan produk inovasi</c:v>
                  </c:pt>
                  <c:pt idx="3">
                    <c:v>Produksi berkelanjutan</c:v>
                  </c:pt>
                  <c:pt idx="4">
                    <c:v>Pengembangan produk inovasi</c:v>
                  </c:pt>
                  <c:pt idx="5">
                    <c:v>Produksi berkelanjutan</c:v>
                  </c:pt>
                  <c:pt idx="6">
                    <c:v>Pengembangan produk inovasi</c:v>
                  </c:pt>
                  <c:pt idx="7">
                    <c:v>Produksi berkelanjutan</c:v>
                  </c:pt>
                  <c:pt idx="8">
                    <c:v>Pengembangan produk inovasi</c:v>
                  </c:pt>
                  <c:pt idx="9">
                    <c:v>Produksi berkelanjutan</c:v>
                  </c:pt>
                  <c:pt idx="10">
                    <c:v>Pengembangan produk inovasi</c:v>
                  </c:pt>
                  <c:pt idx="11">
                    <c:v>Produksi berkelanjutan</c:v>
                  </c:pt>
                  <c:pt idx="12">
                    <c:v>Pengembangan produk inovasi</c:v>
                  </c:pt>
                  <c:pt idx="13">
                    <c:v>Produksi berkelanjutan</c:v>
                  </c:pt>
                  <c:pt idx="14">
                    <c:v>Pengembangan produk inovasi</c:v>
                  </c:pt>
                  <c:pt idx="15">
                    <c:v>Produksi berkelanjutan</c:v>
                  </c:pt>
                </c:lvl>
                <c:lvl>
                  <c:pt idx="0">
                    <c:v>Wk.2</c:v>
                  </c:pt>
                  <c:pt idx="2">
                    <c:v>Wk.3</c:v>
                  </c:pt>
                  <c:pt idx="4">
                    <c:v>Wk.4</c:v>
                  </c:pt>
                  <c:pt idx="6">
                    <c:v>Wk.5</c:v>
                  </c:pt>
                  <c:pt idx="8">
                    <c:v>Wk.6</c:v>
                  </c:pt>
                  <c:pt idx="10">
                    <c:v>Wk.7</c:v>
                  </c:pt>
                  <c:pt idx="12">
                    <c:v>Wk.8</c:v>
                  </c:pt>
                  <c:pt idx="14">
                    <c:v>Wk.9</c:v>
                  </c:pt>
                </c:lvl>
                <c:lvl>
                  <c:pt idx="0">
                    <c:v>Jan</c:v>
                  </c:pt>
                  <c:pt idx="8">
                    <c:v>Feb</c:v>
                  </c:pt>
                </c:lvl>
                <c:lvl>
                  <c:pt idx="0">
                    <c:v>Product development</c:v>
                  </c:pt>
                </c:lvl>
                <c:lvl>
                  <c:pt idx="0">
                    <c:v>Pengolahan Kopi atau Tepung</c:v>
                  </c:pt>
                </c:lvl>
              </c:multiLvlStrCache>
            </c:multiLvlStrRef>
          </c:cat>
          <c:val>
            <c:numRef>
              <c:f>skill!$BF$3:$BF$18</c:f>
              <c:numCache>
                <c:formatCode>_(* #,##0_);_(* \(#,##0\);_(* "-"_);_(@_)</c:formatCode>
                <c:ptCount val="16"/>
                <c:pt idx="2">
                  <c:v>63.272727272727273</c:v>
                </c:pt>
                <c:pt idx="3">
                  <c:v>69.695652173913047</c:v>
                </c:pt>
                <c:pt idx="4">
                  <c:v>47.409090909090907</c:v>
                </c:pt>
                <c:pt idx="5">
                  <c:v>66</c:v>
                </c:pt>
                <c:pt idx="7">
                  <c:v>68.068181818181813</c:v>
                </c:pt>
                <c:pt idx="9">
                  <c:v>74.264705882352942</c:v>
                </c:pt>
                <c:pt idx="10">
                  <c:v>78</c:v>
                </c:pt>
                <c:pt idx="11">
                  <c:v>65.63636363636364</c:v>
                </c:pt>
                <c:pt idx="13">
                  <c:v>66.63636363636364</c:v>
                </c:pt>
              </c:numCache>
            </c:numRef>
          </c:val>
          <c:smooth val="0"/>
          <c:extLst>
            <c:ext xmlns:c16="http://schemas.microsoft.com/office/drawing/2014/chart" uri="{C3380CC4-5D6E-409C-BE32-E72D297353CC}">
              <c16:uniqueId val="{0000000C-A2EC-894E-BD15-5C20E1D8040C}"/>
            </c:ext>
          </c:extLst>
        </c:ser>
        <c:ser>
          <c:idx val="3"/>
          <c:order val="3"/>
          <c:tx>
            <c:strRef>
              <c:f>skill!$BG$1:$BG$2</c:f>
              <c:strCache>
                <c:ptCount val="1"/>
                <c:pt idx="0">
                  <c:v>Karakter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skill!$AY$3:$BC$18</c:f>
              <c:multiLvlStrCache>
                <c:ptCount val="16"/>
                <c:lvl>
                  <c:pt idx="0">
                    <c:v>Pengembangan produk inovasi</c:v>
                  </c:pt>
                  <c:pt idx="1">
                    <c:v>Produksi berkelanjutan</c:v>
                  </c:pt>
                  <c:pt idx="2">
                    <c:v>Pengembangan produk inovasi</c:v>
                  </c:pt>
                  <c:pt idx="3">
                    <c:v>Produksi berkelanjutan</c:v>
                  </c:pt>
                  <c:pt idx="4">
                    <c:v>Pengembangan produk inovasi</c:v>
                  </c:pt>
                  <c:pt idx="5">
                    <c:v>Produksi berkelanjutan</c:v>
                  </c:pt>
                  <c:pt idx="6">
                    <c:v>Pengembangan produk inovasi</c:v>
                  </c:pt>
                  <c:pt idx="7">
                    <c:v>Produksi berkelanjutan</c:v>
                  </c:pt>
                  <c:pt idx="8">
                    <c:v>Pengembangan produk inovasi</c:v>
                  </c:pt>
                  <c:pt idx="9">
                    <c:v>Produksi berkelanjutan</c:v>
                  </c:pt>
                  <c:pt idx="10">
                    <c:v>Pengembangan produk inovasi</c:v>
                  </c:pt>
                  <c:pt idx="11">
                    <c:v>Produksi berkelanjutan</c:v>
                  </c:pt>
                  <c:pt idx="12">
                    <c:v>Pengembangan produk inovasi</c:v>
                  </c:pt>
                  <c:pt idx="13">
                    <c:v>Produksi berkelanjutan</c:v>
                  </c:pt>
                  <c:pt idx="14">
                    <c:v>Pengembangan produk inovasi</c:v>
                  </c:pt>
                  <c:pt idx="15">
                    <c:v>Produksi berkelanjutan</c:v>
                  </c:pt>
                </c:lvl>
                <c:lvl>
                  <c:pt idx="0">
                    <c:v>Wk.2</c:v>
                  </c:pt>
                  <c:pt idx="2">
                    <c:v>Wk.3</c:v>
                  </c:pt>
                  <c:pt idx="4">
                    <c:v>Wk.4</c:v>
                  </c:pt>
                  <c:pt idx="6">
                    <c:v>Wk.5</c:v>
                  </c:pt>
                  <c:pt idx="8">
                    <c:v>Wk.6</c:v>
                  </c:pt>
                  <c:pt idx="10">
                    <c:v>Wk.7</c:v>
                  </c:pt>
                  <c:pt idx="12">
                    <c:v>Wk.8</c:v>
                  </c:pt>
                  <c:pt idx="14">
                    <c:v>Wk.9</c:v>
                  </c:pt>
                </c:lvl>
                <c:lvl>
                  <c:pt idx="0">
                    <c:v>Jan</c:v>
                  </c:pt>
                  <c:pt idx="8">
                    <c:v>Feb</c:v>
                  </c:pt>
                </c:lvl>
                <c:lvl>
                  <c:pt idx="0">
                    <c:v>Product development</c:v>
                  </c:pt>
                </c:lvl>
                <c:lvl>
                  <c:pt idx="0">
                    <c:v>Pengolahan Kopi atau Tepung</c:v>
                  </c:pt>
                </c:lvl>
              </c:multiLvlStrCache>
            </c:multiLvlStrRef>
          </c:cat>
          <c:val>
            <c:numRef>
              <c:f>skill!$BG$3:$BG$18</c:f>
              <c:numCache>
                <c:formatCode>_(* #,##0_);_(* \(#,##0\);_(* "-"_);_(@_)</c:formatCode>
                <c:ptCount val="16"/>
                <c:pt idx="0">
                  <c:v>71.25</c:v>
                </c:pt>
                <c:pt idx="2">
                  <c:v>69.545454545454547</c:v>
                </c:pt>
                <c:pt idx="3">
                  <c:v>79.652173913043484</c:v>
                </c:pt>
                <c:pt idx="4">
                  <c:v>82.647058823529406</c:v>
                </c:pt>
                <c:pt idx="5">
                  <c:v>76.666666666666671</c:v>
                </c:pt>
                <c:pt idx="6">
                  <c:v>70.416666666666671</c:v>
                </c:pt>
                <c:pt idx="7">
                  <c:v>72.659090909090907</c:v>
                </c:pt>
                <c:pt idx="9">
                  <c:v>71.257142857142853</c:v>
                </c:pt>
                <c:pt idx="10">
                  <c:v>74.545454545454547</c:v>
                </c:pt>
                <c:pt idx="11">
                  <c:v>71.909090909090907</c:v>
                </c:pt>
                <c:pt idx="13">
                  <c:v>72.045454545454547</c:v>
                </c:pt>
              </c:numCache>
            </c:numRef>
          </c:val>
          <c:smooth val="0"/>
          <c:extLst>
            <c:ext xmlns:c16="http://schemas.microsoft.com/office/drawing/2014/chart" uri="{C3380CC4-5D6E-409C-BE32-E72D297353CC}">
              <c16:uniqueId val="{0000000D-A2EC-894E-BD15-5C20E1D8040C}"/>
            </c:ext>
          </c:extLst>
        </c:ser>
        <c:ser>
          <c:idx val="4"/>
          <c:order val="4"/>
          <c:tx>
            <c:strRef>
              <c:f>skill!$BH$1:$BH$2</c:f>
              <c:strCache>
                <c:ptCount val="1"/>
                <c:pt idx="0">
                  <c:v>Minat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skill!$AY$3:$BC$18</c:f>
              <c:multiLvlStrCache>
                <c:ptCount val="16"/>
                <c:lvl>
                  <c:pt idx="0">
                    <c:v>Pengembangan produk inovasi</c:v>
                  </c:pt>
                  <c:pt idx="1">
                    <c:v>Produksi berkelanjutan</c:v>
                  </c:pt>
                  <c:pt idx="2">
                    <c:v>Pengembangan produk inovasi</c:v>
                  </c:pt>
                  <c:pt idx="3">
                    <c:v>Produksi berkelanjutan</c:v>
                  </c:pt>
                  <c:pt idx="4">
                    <c:v>Pengembangan produk inovasi</c:v>
                  </c:pt>
                  <c:pt idx="5">
                    <c:v>Produksi berkelanjutan</c:v>
                  </c:pt>
                  <c:pt idx="6">
                    <c:v>Pengembangan produk inovasi</c:v>
                  </c:pt>
                  <c:pt idx="7">
                    <c:v>Produksi berkelanjutan</c:v>
                  </c:pt>
                  <c:pt idx="8">
                    <c:v>Pengembangan produk inovasi</c:v>
                  </c:pt>
                  <c:pt idx="9">
                    <c:v>Produksi berkelanjutan</c:v>
                  </c:pt>
                  <c:pt idx="10">
                    <c:v>Pengembangan produk inovasi</c:v>
                  </c:pt>
                  <c:pt idx="11">
                    <c:v>Produksi berkelanjutan</c:v>
                  </c:pt>
                  <c:pt idx="12">
                    <c:v>Pengembangan produk inovasi</c:v>
                  </c:pt>
                  <c:pt idx="13">
                    <c:v>Produksi berkelanjutan</c:v>
                  </c:pt>
                  <c:pt idx="14">
                    <c:v>Pengembangan produk inovasi</c:v>
                  </c:pt>
                  <c:pt idx="15">
                    <c:v>Produksi berkelanjutan</c:v>
                  </c:pt>
                </c:lvl>
                <c:lvl>
                  <c:pt idx="0">
                    <c:v>Wk.2</c:v>
                  </c:pt>
                  <c:pt idx="2">
                    <c:v>Wk.3</c:v>
                  </c:pt>
                  <c:pt idx="4">
                    <c:v>Wk.4</c:v>
                  </c:pt>
                  <c:pt idx="6">
                    <c:v>Wk.5</c:v>
                  </c:pt>
                  <c:pt idx="8">
                    <c:v>Wk.6</c:v>
                  </c:pt>
                  <c:pt idx="10">
                    <c:v>Wk.7</c:v>
                  </c:pt>
                  <c:pt idx="12">
                    <c:v>Wk.8</c:v>
                  </c:pt>
                  <c:pt idx="14">
                    <c:v>Wk.9</c:v>
                  </c:pt>
                </c:lvl>
                <c:lvl>
                  <c:pt idx="0">
                    <c:v>Jan</c:v>
                  </c:pt>
                  <c:pt idx="8">
                    <c:v>Feb</c:v>
                  </c:pt>
                </c:lvl>
                <c:lvl>
                  <c:pt idx="0">
                    <c:v>Product development</c:v>
                  </c:pt>
                </c:lvl>
                <c:lvl>
                  <c:pt idx="0">
                    <c:v>Pengolahan Kopi atau Tepung</c:v>
                  </c:pt>
                </c:lvl>
              </c:multiLvlStrCache>
            </c:multiLvlStrRef>
          </c:cat>
          <c:val>
            <c:numRef>
              <c:f>skill!$BH$3:$BH$18</c:f>
              <c:numCache>
                <c:formatCode>_(* #,##0_);_(* \(#,##0\);_(* "-"_);_(@_)</c:formatCode>
                <c:ptCount val="16"/>
                <c:pt idx="2">
                  <c:v>69.090909090909093</c:v>
                </c:pt>
                <c:pt idx="3">
                  <c:v>70.826086956521735</c:v>
                </c:pt>
                <c:pt idx="4">
                  <c:v>70</c:v>
                </c:pt>
                <c:pt idx="5">
                  <c:v>69.318181818181813</c:v>
                </c:pt>
                <c:pt idx="7">
                  <c:v>69.727272727272734</c:v>
                </c:pt>
                <c:pt idx="9">
                  <c:v>70.411764705882348</c:v>
                </c:pt>
                <c:pt idx="11">
                  <c:v>69</c:v>
                </c:pt>
                <c:pt idx="13">
                  <c:v>72.545454545454547</c:v>
                </c:pt>
              </c:numCache>
            </c:numRef>
          </c:val>
          <c:smooth val="0"/>
          <c:extLst>
            <c:ext xmlns:c16="http://schemas.microsoft.com/office/drawing/2014/chart" uri="{C3380CC4-5D6E-409C-BE32-E72D297353CC}">
              <c16:uniqueId val="{00000010-A2EC-894E-BD15-5C20E1D8040C}"/>
            </c:ext>
          </c:extLst>
        </c:ser>
        <c:dLbls>
          <c:showLegendKey val="0"/>
          <c:showVal val="0"/>
          <c:showCatName val="0"/>
          <c:showSerName val="0"/>
          <c:showPercent val="0"/>
          <c:showBubbleSize val="0"/>
        </c:dLbls>
        <c:marker val="1"/>
        <c:smooth val="0"/>
        <c:axId val="-2114092160"/>
        <c:axId val="-2114097600"/>
      </c:lineChart>
      <c:catAx>
        <c:axId val="-211409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crossAx val="-2114097600"/>
        <c:crosses val="autoZero"/>
        <c:auto val="1"/>
        <c:lblAlgn val="ctr"/>
        <c:lblOffset val="100"/>
        <c:noMultiLvlLbl val="0"/>
      </c:catAx>
      <c:valAx>
        <c:axId val="-2114097600"/>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crossAx val="-2114092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[TDU_SMA_2526_S2.xlsx]stnk!PivotTable17</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aseline="0"/>
              <a:t>Prgres </a:t>
            </a:r>
            <a:r>
              <a:rPr lang="en-US" sz="2000"/>
              <a:t>STNK Proyek</a:t>
            </a:r>
          </a:p>
          <a:p>
            <a:pPr>
              <a:defRPr sz="2000"/>
            </a:pPr>
            <a:r>
              <a:rPr lang="en-US" sz="2000"/>
              <a:t>Siswa SMA SAI</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id-ID"/>
        </a:p>
      </c:txPr>
    </c:title>
    <c:autoTitleDeleted val="0"/>
    <c:pivotFmts>
      <c:pivotFmt>
        <c:idx val="0"/>
        <c:spPr>
          <a:solidFill>
            <a:schemeClr val="accent1"/>
          </a:solidFill>
          <a:ln w="38100" cap="rnd">
            <a:solidFill>
              <a:schemeClr val="accent1"/>
            </a:solidFill>
            <a:round/>
          </a:ln>
          <a:effectLst/>
        </c:spPr>
        <c:marker>
          <c:symbol val="star"/>
          <c:size val="10"/>
          <c:spPr>
            <a:noFill/>
            <a:ln w="31750">
              <a:solidFill>
                <a:schemeClr val="accent1"/>
              </a:solidFill>
            </a:ln>
            <a:effectLst/>
          </c:spPr>
        </c:marker>
      </c:pivotFmt>
      <c:pivotFmt>
        <c:idx val="1"/>
        <c:spPr>
          <a:solidFill>
            <a:schemeClr val="accent1"/>
          </a:solidFill>
          <a:ln w="38100" cap="rnd">
            <a:solidFill>
              <a:schemeClr val="accent1"/>
            </a:solidFill>
            <a:round/>
          </a:ln>
          <a:effectLst/>
        </c:spPr>
        <c:marker>
          <c:symbol val="diamond"/>
          <c:size val="10"/>
          <c:spPr>
            <a:solidFill>
              <a:schemeClr val="accent1"/>
            </a:solidFill>
            <a:ln w="9525">
              <a:solidFill>
                <a:schemeClr val="accent1"/>
              </a:solidFill>
            </a:ln>
            <a:effectLst/>
          </c:spPr>
        </c:marker>
      </c:pivotFmt>
      <c:pivotFmt>
        <c:idx val="2"/>
        <c:spPr>
          <a:solidFill>
            <a:schemeClr val="accent1"/>
          </a:solidFill>
          <a:ln w="38100" cap="rnd">
            <a:solidFill>
              <a:schemeClr val="accent1"/>
            </a:solidFill>
            <a:round/>
          </a:ln>
          <a:effectLst/>
        </c:spPr>
        <c:marker>
          <c:symbol val="circle"/>
          <c:size val="10"/>
          <c:spPr>
            <a:solidFill>
              <a:schemeClr val="accent1"/>
            </a:solidFill>
            <a:ln w="9525">
              <a:solidFill>
                <a:schemeClr val="accent1"/>
              </a:solidFill>
            </a:ln>
            <a:effectLst/>
          </c:spPr>
        </c:marker>
      </c:pivotFmt>
      <c:pivotFmt>
        <c:idx val="3"/>
        <c:spPr>
          <a:solidFill>
            <a:schemeClr val="accent1"/>
          </a:solidFill>
          <a:ln w="38100" cap="rnd">
            <a:solidFill>
              <a:schemeClr val="accent1"/>
            </a:solidFill>
            <a:round/>
          </a:ln>
          <a:effectLst/>
        </c:spPr>
        <c:marker>
          <c:symbol val="square"/>
          <c:size val="10"/>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bg2">
                <a:lumMod val="75000"/>
              </a:schemeClr>
            </a:solidFill>
            <a:round/>
          </a:ln>
          <a:effectLst/>
        </c:spPr>
        <c:marker>
          <c:symbol val="diamond"/>
          <c:size val="10"/>
          <c:spPr>
            <a:solidFill>
              <a:schemeClr val="bg2">
                <a:lumMod val="50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star"/>
          <c:size val="10"/>
          <c:spPr>
            <a:noFill/>
            <a:ln w="31750">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chemeClr val="accent1"/>
            </a:solidFill>
            <a:round/>
          </a:ln>
          <a:effectLst/>
        </c:spPr>
        <c:marker>
          <c:symbol val="square"/>
          <c:size val="10"/>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chemeClr val="accent1"/>
            </a:solidFill>
            <a:round/>
          </a:ln>
          <a:effectLst/>
        </c:spPr>
        <c:marker>
          <c:symbol val="square"/>
          <c:size val="10"/>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8100" cap="rnd">
            <a:solidFill>
              <a:schemeClr val="accent1"/>
            </a:solidFill>
            <a:round/>
          </a:ln>
          <a:effectLst/>
        </c:spPr>
        <c:marker>
          <c:symbol val="circle"/>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stnk!$AK$66:$AK$67</c:f>
              <c:strCache>
                <c:ptCount val="1"/>
                <c:pt idx="0">
                  <c:v>Skill</c:v>
                </c:pt>
              </c:strCache>
            </c:strRef>
          </c:tx>
          <c:spPr>
            <a:ln w="38100" cap="rnd">
              <a:solidFill>
                <a:schemeClr val="accent1"/>
              </a:solidFill>
              <a:round/>
            </a:ln>
            <a:effectLst/>
          </c:spPr>
          <c:marker>
            <c:symbol val="circle"/>
            <c:size val="10"/>
            <c:spPr>
              <a:solidFill>
                <a:schemeClr val="accent1"/>
              </a:solidFill>
              <a:ln w="9525">
                <a:solidFill>
                  <a:schemeClr val="accent1"/>
                </a:solidFill>
              </a:ln>
              <a:effectLst/>
            </c:spPr>
          </c:marker>
          <c:cat>
            <c:multiLvlStrRef>
              <c:f>stnk!$AE$68:$AJ$75</c:f>
              <c:multiLvlStrCache>
                <c:ptCount val="8"/>
                <c:lvl>
                  <c:pt idx="0">
                    <c:v>Wk.3</c:v>
                  </c:pt>
                  <c:pt idx="1">
                    <c:v>Wk.4</c:v>
                  </c:pt>
                  <c:pt idx="2">
                    <c:v>Wk.5</c:v>
                  </c:pt>
                  <c:pt idx="3">
                    <c:v>Wk.2</c:v>
                  </c:pt>
                  <c:pt idx="4">
                    <c:v>Wk.6</c:v>
                  </c:pt>
                  <c:pt idx="5">
                    <c:v>Wk.7</c:v>
                  </c:pt>
                  <c:pt idx="6">
                    <c:v>Wk.8</c:v>
                  </c:pt>
                  <c:pt idx="7">
                    <c:v>Wk.9</c:v>
                  </c:pt>
                </c:lvl>
                <c:lvl>
                  <c:pt idx="0">
                    <c:v>Jan</c:v>
                  </c:pt>
                  <c:pt idx="4">
                    <c:v>Feb</c:v>
                  </c:pt>
                </c:lvl>
                <c:lvl>
                  <c:pt idx="0">
                    <c:v>Product development</c:v>
                  </c:pt>
                </c:lvl>
                <c:lvl>
                  <c:pt idx="0">
                    <c:v>Pengolahan Kopi atau Tepung</c:v>
                  </c:pt>
                </c:lvl>
                <c:lvl>
                  <c:pt idx="0">
                    <c:v>Agustinus Tipagau</c:v>
                  </c:pt>
                </c:lvl>
                <c:lvl>
                  <c:pt idx="0">
                    <c:v>11A</c:v>
                  </c:pt>
                </c:lvl>
              </c:multiLvlStrCache>
            </c:multiLvlStrRef>
          </c:cat>
          <c:val>
            <c:numRef>
              <c:f>stnk!$AK$68:$AK$75</c:f>
              <c:numCache>
                <c:formatCode>_(* #,##0_);_(* \(#,##0\);_(* "-"_);_(@_)</c:formatCode>
                <c:ptCount val="8"/>
                <c:pt idx="1">
                  <c:v>73.333333333333329</c:v>
                </c:pt>
                <c:pt idx="2">
                  <c:v>70</c:v>
                </c:pt>
                <c:pt idx="3">
                  <c:v>51.25</c:v>
                </c:pt>
                <c:pt idx="4">
                  <c:v>67.5</c:v>
                </c:pt>
                <c:pt idx="5">
                  <c:v>68.75</c:v>
                </c:pt>
                <c:pt idx="6">
                  <c:v>75</c:v>
                </c:pt>
              </c:numCache>
            </c:numRef>
          </c:val>
          <c:smooth val="0"/>
          <c:extLst>
            <c:ext xmlns:c16="http://schemas.microsoft.com/office/drawing/2014/chart" uri="{C3380CC4-5D6E-409C-BE32-E72D297353CC}">
              <c16:uniqueId val="{00000007-C57E-304D-987D-4C3AC3714BF5}"/>
            </c:ext>
          </c:extLst>
        </c:ser>
        <c:ser>
          <c:idx val="1"/>
          <c:order val="1"/>
          <c:tx>
            <c:strRef>
              <c:f>stnk!$AL$66:$AL$67</c:f>
              <c:strCache>
                <c:ptCount val="1"/>
                <c:pt idx="0">
                  <c:v>Teori</c:v>
                </c:pt>
              </c:strCache>
            </c:strRef>
          </c:tx>
          <c:spPr>
            <a:ln w="38100" cap="rnd">
              <a:solidFill>
                <a:schemeClr val="accent2"/>
              </a:solidFill>
              <a:round/>
            </a:ln>
            <a:effectLst/>
          </c:spPr>
          <c:marker>
            <c:symbol val="square"/>
            <c:size val="10"/>
            <c:spPr>
              <a:solidFill>
                <a:schemeClr val="accent2"/>
              </a:solidFill>
              <a:ln w="9525">
                <a:solidFill>
                  <a:schemeClr val="accent2"/>
                </a:solidFill>
              </a:ln>
              <a:effectLst/>
            </c:spPr>
          </c:marker>
          <c:cat>
            <c:multiLvlStrRef>
              <c:f>stnk!$AE$68:$AJ$75</c:f>
              <c:multiLvlStrCache>
                <c:ptCount val="8"/>
                <c:lvl>
                  <c:pt idx="0">
                    <c:v>Wk.3</c:v>
                  </c:pt>
                  <c:pt idx="1">
                    <c:v>Wk.4</c:v>
                  </c:pt>
                  <c:pt idx="2">
                    <c:v>Wk.5</c:v>
                  </c:pt>
                  <c:pt idx="3">
                    <c:v>Wk.2</c:v>
                  </c:pt>
                  <c:pt idx="4">
                    <c:v>Wk.6</c:v>
                  </c:pt>
                  <c:pt idx="5">
                    <c:v>Wk.7</c:v>
                  </c:pt>
                  <c:pt idx="6">
                    <c:v>Wk.8</c:v>
                  </c:pt>
                  <c:pt idx="7">
                    <c:v>Wk.9</c:v>
                  </c:pt>
                </c:lvl>
                <c:lvl>
                  <c:pt idx="0">
                    <c:v>Jan</c:v>
                  </c:pt>
                  <c:pt idx="4">
                    <c:v>Feb</c:v>
                  </c:pt>
                </c:lvl>
                <c:lvl>
                  <c:pt idx="0">
                    <c:v>Product development</c:v>
                  </c:pt>
                </c:lvl>
                <c:lvl>
                  <c:pt idx="0">
                    <c:v>Pengolahan Kopi atau Tepung</c:v>
                  </c:pt>
                </c:lvl>
                <c:lvl>
                  <c:pt idx="0">
                    <c:v>Agustinus Tipagau</c:v>
                  </c:pt>
                </c:lvl>
                <c:lvl>
                  <c:pt idx="0">
                    <c:v>11A</c:v>
                  </c:pt>
                </c:lvl>
              </c:multiLvlStrCache>
            </c:multiLvlStrRef>
          </c:cat>
          <c:val>
            <c:numRef>
              <c:f>stnk!$AL$68:$AL$75</c:f>
              <c:numCache>
                <c:formatCode>_(* #,##0_);_(* \(#,##0\);_(* "-"_);_(@_)</c:formatCode>
                <c:ptCount val="8"/>
                <c:pt idx="0">
                  <c:v>61.375</c:v>
                </c:pt>
                <c:pt idx="1">
                  <c:v>59.666666666666664</c:v>
                </c:pt>
                <c:pt idx="2">
                  <c:v>65</c:v>
                </c:pt>
                <c:pt idx="3">
                  <c:v>10</c:v>
                </c:pt>
                <c:pt idx="4">
                  <c:v>78.555555555555557</c:v>
                </c:pt>
                <c:pt idx="5">
                  <c:v>62.5</c:v>
                </c:pt>
                <c:pt idx="6">
                  <c:v>68.25</c:v>
                </c:pt>
                <c:pt idx="7">
                  <c:v>61</c:v>
                </c:pt>
              </c:numCache>
            </c:numRef>
          </c:val>
          <c:smooth val="0"/>
          <c:extLst>
            <c:ext xmlns:c16="http://schemas.microsoft.com/office/drawing/2014/chart" uri="{C3380CC4-5D6E-409C-BE32-E72D297353CC}">
              <c16:uniqueId val="{00000008-C57E-304D-987D-4C3AC3714BF5}"/>
            </c:ext>
          </c:extLst>
        </c:ser>
        <c:ser>
          <c:idx val="2"/>
          <c:order val="2"/>
          <c:tx>
            <c:strRef>
              <c:f>stnk!$AM$66:$AM$67</c:f>
              <c:strCache>
                <c:ptCount val="1"/>
                <c:pt idx="0">
                  <c:v>Nalar</c:v>
                </c:pt>
              </c:strCache>
            </c:strRef>
          </c:tx>
          <c:spPr>
            <a:ln w="38100" cap="rnd">
              <a:solidFill>
                <a:schemeClr val="accent3"/>
              </a:solidFill>
              <a:round/>
            </a:ln>
            <a:effectLst/>
          </c:spPr>
          <c:marker>
            <c:symbol val="square"/>
            <c:size val="10"/>
            <c:spPr>
              <a:solidFill>
                <a:schemeClr val="accent3"/>
              </a:solidFill>
              <a:ln w="9525">
                <a:solidFill>
                  <a:schemeClr val="accent3"/>
                </a:solidFill>
              </a:ln>
              <a:effectLst/>
            </c:spPr>
          </c:marker>
          <c:cat>
            <c:multiLvlStrRef>
              <c:f>stnk!$AE$68:$AJ$75</c:f>
              <c:multiLvlStrCache>
                <c:ptCount val="8"/>
                <c:lvl>
                  <c:pt idx="0">
                    <c:v>Wk.3</c:v>
                  </c:pt>
                  <c:pt idx="1">
                    <c:v>Wk.4</c:v>
                  </c:pt>
                  <c:pt idx="2">
                    <c:v>Wk.5</c:v>
                  </c:pt>
                  <c:pt idx="3">
                    <c:v>Wk.2</c:v>
                  </c:pt>
                  <c:pt idx="4">
                    <c:v>Wk.6</c:v>
                  </c:pt>
                  <c:pt idx="5">
                    <c:v>Wk.7</c:v>
                  </c:pt>
                  <c:pt idx="6">
                    <c:v>Wk.8</c:v>
                  </c:pt>
                  <c:pt idx="7">
                    <c:v>Wk.9</c:v>
                  </c:pt>
                </c:lvl>
                <c:lvl>
                  <c:pt idx="0">
                    <c:v>Jan</c:v>
                  </c:pt>
                  <c:pt idx="4">
                    <c:v>Feb</c:v>
                  </c:pt>
                </c:lvl>
                <c:lvl>
                  <c:pt idx="0">
                    <c:v>Product development</c:v>
                  </c:pt>
                </c:lvl>
                <c:lvl>
                  <c:pt idx="0">
                    <c:v>Pengolahan Kopi atau Tepung</c:v>
                  </c:pt>
                </c:lvl>
                <c:lvl>
                  <c:pt idx="0">
                    <c:v>Agustinus Tipagau</c:v>
                  </c:pt>
                </c:lvl>
                <c:lvl>
                  <c:pt idx="0">
                    <c:v>11A</c:v>
                  </c:pt>
                </c:lvl>
              </c:multiLvlStrCache>
            </c:multiLvlStrRef>
          </c:cat>
          <c:val>
            <c:numRef>
              <c:f>stnk!$AM$68:$AM$75</c:f>
              <c:numCache>
                <c:formatCode>_(* #,##0_);_(* \(#,##0\);_(* "-"_);_(@_)</c:formatCode>
                <c:ptCount val="8"/>
                <c:pt idx="0">
                  <c:v>64.5</c:v>
                </c:pt>
                <c:pt idx="1">
                  <c:v>66.666666666666671</c:v>
                </c:pt>
                <c:pt idx="2">
                  <c:v>65</c:v>
                </c:pt>
                <c:pt idx="4">
                  <c:v>66.666666666666671</c:v>
                </c:pt>
                <c:pt idx="5">
                  <c:v>63.5</c:v>
                </c:pt>
                <c:pt idx="6">
                  <c:v>65</c:v>
                </c:pt>
              </c:numCache>
            </c:numRef>
          </c:val>
          <c:smooth val="0"/>
          <c:extLst>
            <c:ext xmlns:c16="http://schemas.microsoft.com/office/drawing/2014/chart" uri="{C3380CC4-5D6E-409C-BE32-E72D297353CC}">
              <c16:uniqueId val="{00000009-C57E-304D-987D-4C3AC3714BF5}"/>
            </c:ext>
          </c:extLst>
        </c:ser>
        <c:ser>
          <c:idx val="3"/>
          <c:order val="3"/>
          <c:tx>
            <c:strRef>
              <c:f>stnk!$AN$66:$AN$67</c:f>
              <c:strCache>
                <c:ptCount val="1"/>
                <c:pt idx="0">
                  <c:v>Karakter</c:v>
                </c:pt>
              </c:strCache>
            </c:strRef>
          </c:tx>
          <c:spPr>
            <a:ln w="38100" cap="rnd">
              <a:solidFill>
                <a:schemeClr val="accent4"/>
              </a:solidFill>
              <a:round/>
            </a:ln>
            <a:effectLst/>
          </c:spPr>
          <c:marker>
            <c:symbol val="star"/>
            <c:size val="10"/>
            <c:spPr>
              <a:noFill/>
              <a:ln w="31750">
                <a:solidFill>
                  <a:schemeClr val="accent4"/>
                </a:solidFill>
              </a:ln>
              <a:effectLst/>
            </c:spPr>
          </c:marker>
          <c:cat>
            <c:multiLvlStrRef>
              <c:f>stnk!$AE$68:$AJ$75</c:f>
              <c:multiLvlStrCache>
                <c:ptCount val="8"/>
                <c:lvl>
                  <c:pt idx="0">
                    <c:v>Wk.3</c:v>
                  </c:pt>
                  <c:pt idx="1">
                    <c:v>Wk.4</c:v>
                  </c:pt>
                  <c:pt idx="2">
                    <c:v>Wk.5</c:v>
                  </c:pt>
                  <c:pt idx="3">
                    <c:v>Wk.2</c:v>
                  </c:pt>
                  <c:pt idx="4">
                    <c:v>Wk.6</c:v>
                  </c:pt>
                  <c:pt idx="5">
                    <c:v>Wk.7</c:v>
                  </c:pt>
                  <c:pt idx="6">
                    <c:v>Wk.8</c:v>
                  </c:pt>
                  <c:pt idx="7">
                    <c:v>Wk.9</c:v>
                  </c:pt>
                </c:lvl>
                <c:lvl>
                  <c:pt idx="0">
                    <c:v>Jan</c:v>
                  </c:pt>
                  <c:pt idx="4">
                    <c:v>Feb</c:v>
                  </c:pt>
                </c:lvl>
                <c:lvl>
                  <c:pt idx="0">
                    <c:v>Product development</c:v>
                  </c:pt>
                </c:lvl>
                <c:lvl>
                  <c:pt idx="0">
                    <c:v>Pengolahan Kopi atau Tepung</c:v>
                  </c:pt>
                </c:lvl>
                <c:lvl>
                  <c:pt idx="0">
                    <c:v>Agustinus Tipagau</c:v>
                  </c:pt>
                </c:lvl>
                <c:lvl>
                  <c:pt idx="0">
                    <c:v>11A</c:v>
                  </c:pt>
                </c:lvl>
              </c:multiLvlStrCache>
            </c:multiLvlStrRef>
          </c:cat>
          <c:val>
            <c:numRef>
              <c:f>stnk!$AN$68:$AN$75</c:f>
              <c:numCache>
                <c:formatCode>_(* #,##0_);_(* \(#,##0\);_(* "-"_);_(@_)</c:formatCode>
                <c:ptCount val="8"/>
                <c:pt idx="0">
                  <c:v>71.666666666666671</c:v>
                </c:pt>
                <c:pt idx="1">
                  <c:v>77.5</c:v>
                </c:pt>
                <c:pt idx="2">
                  <c:v>58.75</c:v>
                </c:pt>
                <c:pt idx="3">
                  <c:v>30</c:v>
                </c:pt>
                <c:pt idx="4">
                  <c:v>68.333333333333329</c:v>
                </c:pt>
                <c:pt idx="5">
                  <c:v>72</c:v>
                </c:pt>
                <c:pt idx="6">
                  <c:v>70</c:v>
                </c:pt>
              </c:numCache>
            </c:numRef>
          </c:val>
          <c:smooth val="0"/>
          <c:extLst>
            <c:ext xmlns:c16="http://schemas.microsoft.com/office/drawing/2014/chart" uri="{C3380CC4-5D6E-409C-BE32-E72D297353CC}">
              <c16:uniqueId val="{0000000A-C57E-304D-987D-4C3AC3714BF5}"/>
            </c:ext>
          </c:extLst>
        </c:ser>
        <c:ser>
          <c:idx val="4"/>
          <c:order val="4"/>
          <c:tx>
            <c:strRef>
              <c:f>stnk!$AO$66:$AO$67</c:f>
              <c:strCache>
                <c:ptCount val="1"/>
                <c:pt idx="0">
                  <c:v>Minat</c:v>
                </c:pt>
              </c:strCache>
            </c:strRef>
          </c:tx>
          <c:spPr>
            <a:ln w="38100" cap="rnd">
              <a:solidFill>
                <a:schemeClr val="bg2">
                  <a:lumMod val="75000"/>
                </a:schemeClr>
              </a:solidFill>
              <a:round/>
            </a:ln>
            <a:effectLst/>
          </c:spPr>
          <c:marker>
            <c:symbol val="diamond"/>
            <c:size val="10"/>
            <c:spPr>
              <a:solidFill>
                <a:schemeClr val="bg2">
                  <a:lumMod val="50000"/>
                </a:schemeClr>
              </a:solidFill>
              <a:ln w="9525">
                <a:solidFill>
                  <a:schemeClr val="bg2">
                    <a:lumMod val="50000"/>
                  </a:schemeClr>
                </a:solidFill>
              </a:ln>
              <a:effectLst/>
            </c:spPr>
          </c:marker>
          <c:cat>
            <c:multiLvlStrRef>
              <c:f>stnk!$AE$68:$AJ$75</c:f>
              <c:multiLvlStrCache>
                <c:ptCount val="8"/>
                <c:lvl>
                  <c:pt idx="0">
                    <c:v>Wk.3</c:v>
                  </c:pt>
                  <c:pt idx="1">
                    <c:v>Wk.4</c:v>
                  </c:pt>
                  <c:pt idx="2">
                    <c:v>Wk.5</c:v>
                  </c:pt>
                  <c:pt idx="3">
                    <c:v>Wk.2</c:v>
                  </c:pt>
                  <c:pt idx="4">
                    <c:v>Wk.6</c:v>
                  </c:pt>
                  <c:pt idx="5">
                    <c:v>Wk.7</c:v>
                  </c:pt>
                  <c:pt idx="6">
                    <c:v>Wk.8</c:v>
                  </c:pt>
                  <c:pt idx="7">
                    <c:v>Wk.9</c:v>
                  </c:pt>
                </c:lvl>
                <c:lvl>
                  <c:pt idx="0">
                    <c:v>Jan</c:v>
                  </c:pt>
                  <c:pt idx="4">
                    <c:v>Feb</c:v>
                  </c:pt>
                </c:lvl>
                <c:lvl>
                  <c:pt idx="0">
                    <c:v>Product development</c:v>
                  </c:pt>
                </c:lvl>
                <c:lvl>
                  <c:pt idx="0">
                    <c:v>Pengolahan Kopi atau Tepung</c:v>
                  </c:pt>
                </c:lvl>
                <c:lvl>
                  <c:pt idx="0">
                    <c:v>Agustinus Tipagau</c:v>
                  </c:pt>
                </c:lvl>
                <c:lvl>
                  <c:pt idx="0">
                    <c:v>11A</c:v>
                  </c:pt>
                </c:lvl>
              </c:multiLvlStrCache>
            </c:multiLvlStrRef>
          </c:cat>
          <c:val>
            <c:numRef>
              <c:f>stnk!$AO$68:$AO$75</c:f>
              <c:numCache>
                <c:formatCode>_(* #,##0_);_(* \(#,##0\);_(* "-"_);_(@_)</c:formatCode>
                <c:ptCount val="8"/>
                <c:pt idx="0">
                  <c:v>70</c:v>
                </c:pt>
                <c:pt idx="1">
                  <c:v>68.333333333333329</c:v>
                </c:pt>
                <c:pt idx="2">
                  <c:v>66.333333333333329</c:v>
                </c:pt>
                <c:pt idx="4">
                  <c:v>68.333333333333329</c:v>
                </c:pt>
                <c:pt idx="5">
                  <c:v>69</c:v>
                </c:pt>
                <c:pt idx="6">
                  <c:v>70</c:v>
                </c:pt>
              </c:numCache>
            </c:numRef>
          </c:val>
          <c:smooth val="0"/>
          <c:extLst>
            <c:ext xmlns:c16="http://schemas.microsoft.com/office/drawing/2014/chart" uri="{C3380CC4-5D6E-409C-BE32-E72D297353CC}">
              <c16:uniqueId val="{0000000B-C57E-304D-987D-4C3AC3714BF5}"/>
            </c:ext>
          </c:extLst>
        </c:ser>
        <c:dLbls>
          <c:showLegendKey val="0"/>
          <c:showVal val="0"/>
          <c:showCatName val="0"/>
          <c:showSerName val="0"/>
          <c:showPercent val="0"/>
          <c:showBubbleSize val="0"/>
        </c:dLbls>
        <c:marker val="1"/>
        <c:smooth val="0"/>
        <c:axId val="-2114095968"/>
        <c:axId val="-2114103040"/>
      </c:lineChart>
      <c:catAx>
        <c:axId val="-211409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crossAx val="-2114103040"/>
        <c:crosses val="autoZero"/>
        <c:auto val="1"/>
        <c:lblAlgn val="ctr"/>
        <c:lblOffset val="100"/>
        <c:noMultiLvlLbl val="0"/>
      </c:catAx>
      <c:valAx>
        <c:axId val="-2114103040"/>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crossAx val="-2114095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b="1">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[TDU_SMA_2526_S2.xlsx]stnk!PivotTable6</c:name>
    <c:fmtId val="3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8100" cap="rnd">
            <a:solidFill>
              <a:schemeClr val="accent1"/>
            </a:solidFill>
            <a:round/>
          </a:ln>
          <a:effectLst/>
        </c:spPr>
        <c:marker>
          <c:symbol val="circle"/>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8100" cap="rnd">
            <a:solidFill>
              <a:schemeClr val="accent1"/>
            </a:solidFill>
            <a:round/>
          </a:ln>
          <a:effectLst/>
        </c:spPr>
        <c:marker>
          <c:symbol val="square"/>
          <c:size val="10"/>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1750" cap="rnd">
            <a:solidFill>
              <a:schemeClr val="accent1"/>
            </a:solidFill>
            <a:round/>
          </a:ln>
          <a:effectLst/>
        </c:spPr>
        <c:marker>
          <c:symbol val="diamond"/>
          <c:size val="10"/>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8100" cap="rnd">
            <a:solidFill>
              <a:schemeClr val="accent1"/>
            </a:solidFill>
            <a:round/>
          </a:ln>
          <a:effectLst/>
        </c:spPr>
        <c:marker>
          <c:symbol val="star"/>
          <c:size val="10"/>
          <c:spPr>
            <a:noFill/>
            <a:ln w="31750">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31750" cap="rnd">
            <a:solidFill>
              <a:schemeClr val="accent1"/>
            </a:solidFill>
            <a:round/>
          </a:ln>
          <a:effectLst/>
        </c:spPr>
        <c:marker>
          <c:symbol val="triangle"/>
          <c:size val="10"/>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1750" cap="rnd">
            <a:solidFill>
              <a:schemeClr val="accent1"/>
            </a:solidFill>
            <a:round/>
          </a:ln>
          <a:effectLst/>
        </c:spPr>
        <c:marker>
          <c:symbol val="x"/>
          <c:size val="10"/>
          <c:spPr>
            <a:noFill/>
            <a:ln w="31750">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38100" cap="rnd">
            <a:solidFill>
              <a:schemeClr val="accent1"/>
            </a:solidFill>
            <a:round/>
          </a:ln>
          <a:effectLst/>
        </c:spPr>
        <c:marker>
          <c:symbol val="circle"/>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38100" cap="rnd">
            <a:solidFill>
              <a:schemeClr val="accent1"/>
            </a:solidFill>
            <a:round/>
          </a:ln>
          <a:effectLst/>
        </c:spPr>
        <c:marker>
          <c:symbol val="square"/>
          <c:size val="10"/>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31750" cap="rnd">
            <a:solidFill>
              <a:schemeClr val="accent1"/>
            </a:solidFill>
            <a:round/>
          </a:ln>
          <a:effectLst/>
        </c:spPr>
        <c:marker>
          <c:symbol val="diamond"/>
          <c:size val="10"/>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38100" cap="rnd">
            <a:solidFill>
              <a:schemeClr val="accent1"/>
            </a:solidFill>
            <a:round/>
          </a:ln>
          <a:effectLst/>
        </c:spPr>
        <c:marker>
          <c:symbol val="star"/>
          <c:size val="10"/>
          <c:spPr>
            <a:noFill/>
            <a:ln w="31750">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31750" cap="rnd">
            <a:solidFill>
              <a:schemeClr val="accent1"/>
            </a:solidFill>
            <a:round/>
          </a:ln>
          <a:effectLst/>
        </c:spPr>
        <c:marker>
          <c:symbol val="triangle"/>
          <c:size val="10"/>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31750" cap="rnd">
            <a:solidFill>
              <a:schemeClr val="accent1"/>
            </a:solidFill>
            <a:round/>
          </a:ln>
          <a:effectLst/>
        </c:spPr>
        <c:marker>
          <c:symbol val="x"/>
          <c:size val="10"/>
          <c:spPr>
            <a:noFill/>
            <a:ln w="31750">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4"/>
        <c:spPr>
          <a:ln w="38100" cap="rnd">
            <a:solidFill>
              <a:schemeClr val="accent1"/>
            </a:solidFill>
            <a:round/>
          </a:ln>
          <a:effectLst/>
        </c:spPr>
        <c:marker>
          <c:symbol val="circle"/>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8100" cap="rnd">
            <a:solidFill>
              <a:schemeClr val="accent1"/>
            </a:solidFill>
            <a:round/>
          </a:ln>
          <a:effectLst/>
        </c:spPr>
        <c:marker>
          <c:symbol val="square"/>
          <c:size val="10"/>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8100" cap="rnd">
            <a:solidFill>
              <a:srgbClr val="00B050"/>
            </a:solidFill>
            <a:round/>
          </a:ln>
          <a:effectLst/>
        </c:spPr>
        <c:marker>
          <c:symbol val="diamond"/>
          <c:size val="10"/>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8100" cap="rnd">
            <a:solidFill>
              <a:schemeClr val="accent1"/>
            </a:solidFill>
            <a:round/>
          </a:ln>
          <a:effectLst/>
        </c:spPr>
        <c:marker>
          <c:symbol val="star"/>
          <c:size val="10"/>
          <c:spPr>
            <a:noFill/>
            <a:ln w="2857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38100" cap="rnd">
            <a:solidFill>
              <a:srgbClr val="00B0F0"/>
            </a:solidFill>
            <a:round/>
          </a:ln>
          <a:effectLst/>
        </c:spPr>
        <c:marker>
          <c:symbol val="triangle"/>
          <c:size val="10"/>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38100" cap="rnd">
            <a:solidFill>
              <a:schemeClr val="accent6">
                <a:lumMod val="75000"/>
              </a:schemeClr>
            </a:solidFill>
            <a:round/>
          </a:ln>
          <a:effectLst/>
        </c:spPr>
        <c:marker>
          <c:symbol val="x"/>
          <c:size val="10"/>
          <c:spPr>
            <a:noFill/>
            <a:ln w="31750">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38100" cap="rnd">
            <a:solidFill>
              <a:schemeClr val="bg2">
                <a:lumMod val="75000"/>
              </a:schemeClr>
            </a:solidFill>
            <a:round/>
          </a:ln>
          <a:effectLst/>
        </c:spPr>
        <c:marker>
          <c:symbol val="diamond"/>
          <c:size val="10"/>
          <c:spPr>
            <a:solidFill>
              <a:schemeClr val="bg2">
                <a:lumMod val="50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stnk!$C$3:$C$4</c:f>
              <c:strCache>
                <c:ptCount val="1"/>
                <c:pt idx="0">
                  <c:v>Skill</c:v>
                </c:pt>
              </c:strCache>
            </c:strRef>
          </c:tx>
          <c:spPr>
            <a:ln w="38100" cap="rnd">
              <a:solidFill>
                <a:schemeClr val="accent1"/>
              </a:solidFill>
              <a:round/>
            </a:ln>
            <a:effectLst/>
          </c:spPr>
          <c:marker>
            <c:symbol val="circle"/>
            <c:size val="10"/>
            <c:spPr>
              <a:solidFill>
                <a:schemeClr val="accent1"/>
              </a:solidFill>
              <a:ln w="9525">
                <a:solidFill>
                  <a:schemeClr val="accent1"/>
                </a:solidFill>
              </a:ln>
              <a:effectLst/>
            </c:spPr>
          </c:marker>
          <c:cat>
            <c:multiLvlStrRef>
              <c:f>stnk!$A$5:$B$12</c:f>
              <c:multiLvlStrCache>
                <c:ptCount val="8"/>
                <c:lvl>
                  <c:pt idx="0">
                    <c:v>Wk.2</c:v>
                  </c:pt>
                  <c:pt idx="1">
                    <c:v>Wk.3</c:v>
                  </c:pt>
                  <c:pt idx="2">
                    <c:v>Wk.4</c:v>
                  </c:pt>
                  <c:pt idx="3">
                    <c:v>Wk.5</c:v>
                  </c:pt>
                  <c:pt idx="4">
                    <c:v>Wk.6</c:v>
                  </c:pt>
                  <c:pt idx="5">
                    <c:v>Wk.7</c:v>
                  </c:pt>
                  <c:pt idx="6">
                    <c:v>Wk.8</c:v>
                  </c:pt>
                  <c:pt idx="7">
                    <c:v>Wk.9</c:v>
                  </c:pt>
                </c:lvl>
                <c:lvl>
                  <c:pt idx="0">
                    <c:v>Jan</c:v>
                  </c:pt>
                  <c:pt idx="4">
                    <c:v>Feb</c:v>
                  </c:pt>
                </c:lvl>
              </c:multiLvlStrCache>
            </c:multiLvlStrRef>
          </c:cat>
          <c:val>
            <c:numRef>
              <c:f>stnk!$C$5:$C$12</c:f>
              <c:numCache>
                <c:formatCode>_(* #,##0_);_(* \(#,##0\);_(* "-"_);_(@_)</c:formatCode>
                <c:ptCount val="8"/>
                <c:pt idx="0">
                  <c:v>67.555555555555557</c:v>
                </c:pt>
                <c:pt idx="1">
                  <c:v>90</c:v>
                </c:pt>
                <c:pt idx="2">
                  <c:v>55.333333333333336</c:v>
                </c:pt>
                <c:pt idx="3">
                  <c:v>71.19047619047619</c:v>
                </c:pt>
                <c:pt idx="4">
                  <c:v>74.063829787234042</c:v>
                </c:pt>
                <c:pt idx="5">
                  <c:v>66.659090909090907</c:v>
                </c:pt>
                <c:pt idx="6">
                  <c:v>76.739130434782609</c:v>
                </c:pt>
                <c:pt idx="7">
                  <c:v>80</c:v>
                </c:pt>
              </c:numCache>
            </c:numRef>
          </c:val>
          <c:smooth val="0"/>
          <c:extLst>
            <c:ext xmlns:c16="http://schemas.microsoft.com/office/drawing/2014/chart" uri="{C3380CC4-5D6E-409C-BE32-E72D297353CC}">
              <c16:uniqueId val="{00000000-E6E0-8A47-BA72-C5773A658B64}"/>
            </c:ext>
          </c:extLst>
        </c:ser>
        <c:ser>
          <c:idx val="1"/>
          <c:order val="1"/>
          <c:tx>
            <c:strRef>
              <c:f>stnk!$D$3:$D$4</c:f>
              <c:strCache>
                <c:ptCount val="1"/>
                <c:pt idx="0">
                  <c:v>Teori</c:v>
                </c:pt>
              </c:strCache>
            </c:strRef>
          </c:tx>
          <c:spPr>
            <a:ln w="38100" cap="rnd">
              <a:solidFill>
                <a:schemeClr val="accent2"/>
              </a:solidFill>
              <a:round/>
            </a:ln>
            <a:effectLst/>
          </c:spPr>
          <c:marker>
            <c:symbol val="square"/>
            <c:size val="10"/>
            <c:spPr>
              <a:solidFill>
                <a:schemeClr val="accent2"/>
              </a:solidFill>
              <a:ln w="9525">
                <a:solidFill>
                  <a:schemeClr val="accent2"/>
                </a:solidFill>
              </a:ln>
              <a:effectLst/>
            </c:spPr>
          </c:marker>
          <c:cat>
            <c:multiLvlStrRef>
              <c:f>stnk!$A$5:$B$12</c:f>
              <c:multiLvlStrCache>
                <c:ptCount val="8"/>
                <c:lvl>
                  <c:pt idx="0">
                    <c:v>Wk.2</c:v>
                  </c:pt>
                  <c:pt idx="1">
                    <c:v>Wk.3</c:v>
                  </c:pt>
                  <c:pt idx="2">
                    <c:v>Wk.4</c:v>
                  </c:pt>
                  <c:pt idx="3">
                    <c:v>Wk.5</c:v>
                  </c:pt>
                  <c:pt idx="4">
                    <c:v>Wk.6</c:v>
                  </c:pt>
                  <c:pt idx="5">
                    <c:v>Wk.7</c:v>
                  </c:pt>
                  <c:pt idx="6">
                    <c:v>Wk.8</c:v>
                  </c:pt>
                  <c:pt idx="7">
                    <c:v>Wk.9</c:v>
                  </c:pt>
                </c:lvl>
                <c:lvl>
                  <c:pt idx="0">
                    <c:v>Jan</c:v>
                  </c:pt>
                  <c:pt idx="4">
                    <c:v>Feb</c:v>
                  </c:pt>
                </c:lvl>
              </c:multiLvlStrCache>
            </c:multiLvlStrRef>
          </c:cat>
          <c:val>
            <c:numRef>
              <c:f>stnk!$D$5:$D$12</c:f>
              <c:numCache>
                <c:formatCode>_(* #,##0_);_(* \(#,##0\);_(* "-"_);_(@_)</c:formatCode>
                <c:ptCount val="8"/>
                <c:pt idx="0">
                  <c:v>58.5</c:v>
                </c:pt>
                <c:pt idx="1">
                  <c:v>64.493827160493822</c:v>
                </c:pt>
                <c:pt idx="2">
                  <c:v>61.174418604651166</c:v>
                </c:pt>
                <c:pt idx="3">
                  <c:v>66.594202898550719</c:v>
                </c:pt>
                <c:pt idx="4">
                  <c:v>75.316831683168317</c:v>
                </c:pt>
                <c:pt idx="5">
                  <c:v>64.344262295081961</c:v>
                </c:pt>
                <c:pt idx="6">
                  <c:v>71.977777777777774</c:v>
                </c:pt>
                <c:pt idx="7">
                  <c:v>72.3</c:v>
                </c:pt>
              </c:numCache>
            </c:numRef>
          </c:val>
          <c:smooth val="0"/>
          <c:extLst>
            <c:ext xmlns:c16="http://schemas.microsoft.com/office/drawing/2014/chart" uri="{C3380CC4-5D6E-409C-BE32-E72D297353CC}">
              <c16:uniqueId val="{00000001-E6E0-8A47-BA72-C5773A658B64}"/>
            </c:ext>
          </c:extLst>
        </c:ser>
        <c:ser>
          <c:idx val="2"/>
          <c:order val="2"/>
          <c:tx>
            <c:strRef>
              <c:f>stnk!$E$3:$E$4</c:f>
              <c:strCache>
                <c:ptCount val="1"/>
                <c:pt idx="0">
                  <c:v>Nalar</c:v>
                </c:pt>
              </c:strCache>
            </c:strRef>
          </c:tx>
          <c:spPr>
            <a:ln w="38100" cap="rnd">
              <a:solidFill>
                <a:srgbClr val="00B050"/>
              </a:solidFill>
              <a:round/>
            </a:ln>
            <a:effectLst/>
          </c:spPr>
          <c:marker>
            <c:symbol val="diamond"/>
            <c:size val="10"/>
            <c:spPr>
              <a:solidFill>
                <a:srgbClr val="00B050"/>
              </a:solidFill>
              <a:ln w="9525">
                <a:solidFill>
                  <a:srgbClr val="00B050"/>
                </a:solidFill>
              </a:ln>
              <a:effectLst/>
            </c:spPr>
          </c:marker>
          <c:cat>
            <c:multiLvlStrRef>
              <c:f>stnk!$A$5:$B$12</c:f>
              <c:multiLvlStrCache>
                <c:ptCount val="8"/>
                <c:lvl>
                  <c:pt idx="0">
                    <c:v>Wk.2</c:v>
                  </c:pt>
                  <c:pt idx="1">
                    <c:v>Wk.3</c:v>
                  </c:pt>
                  <c:pt idx="2">
                    <c:v>Wk.4</c:v>
                  </c:pt>
                  <c:pt idx="3">
                    <c:v>Wk.5</c:v>
                  </c:pt>
                  <c:pt idx="4">
                    <c:v>Wk.6</c:v>
                  </c:pt>
                  <c:pt idx="5">
                    <c:v>Wk.7</c:v>
                  </c:pt>
                  <c:pt idx="6">
                    <c:v>Wk.8</c:v>
                  </c:pt>
                  <c:pt idx="7">
                    <c:v>Wk.9</c:v>
                  </c:pt>
                </c:lvl>
                <c:lvl>
                  <c:pt idx="0">
                    <c:v>Jan</c:v>
                  </c:pt>
                  <c:pt idx="4">
                    <c:v>Feb</c:v>
                  </c:pt>
                </c:lvl>
              </c:multiLvlStrCache>
            </c:multiLvlStrRef>
          </c:cat>
          <c:val>
            <c:numRef>
              <c:f>stnk!$E$5:$E$12</c:f>
              <c:numCache>
                <c:formatCode>_(* #,##0_);_(* \(#,##0\);_(* "-"_);_(@_)</c:formatCode>
                <c:ptCount val="8"/>
                <c:pt idx="1">
                  <c:v>66.555555555555557</c:v>
                </c:pt>
                <c:pt idx="2">
                  <c:v>56.704545454545453</c:v>
                </c:pt>
                <c:pt idx="3">
                  <c:v>68.068181818181813</c:v>
                </c:pt>
                <c:pt idx="4">
                  <c:v>74.264705882352942</c:v>
                </c:pt>
                <c:pt idx="5">
                  <c:v>70</c:v>
                </c:pt>
                <c:pt idx="6">
                  <c:v>66.63636363636364</c:v>
                </c:pt>
              </c:numCache>
            </c:numRef>
          </c:val>
          <c:smooth val="0"/>
          <c:extLst>
            <c:ext xmlns:c16="http://schemas.microsoft.com/office/drawing/2014/chart" uri="{C3380CC4-5D6E-409C-BE32-E72D297353CC}">
              <c16:uniqueId val="{00000003-2A36-6F43-9909-314868C03EC8}"/>
            </c:ext>
          </c:extLst>
        </c:ser>
        <c:ser>
          <c:idx val="3"/>
          <c:order val="3"/>
          <c:tx>
            <c:strRef>
              <c:f>stnk!$F$3:$F$4</c:f>
              <c:strCache>
                <c:ptCount val="1"/>
                <c:pt idx="0">
                  <c:v>Karakter</c:v>
                </c:pt>
              </c:strCache>
            </c:strRef>
          </c:tx>
          <c:spPr>
            <a:ln w="38100" cap="rnd">
              <a:solidFill>
                <a:schemeClr val="accent4"/>
              </a:solidFill>
              <a:round/>
            </a:ln>
            <a:effectLst/>
          </c:spPr>
          <c:marker>
            <c:symbol val="star"/>
            <c:size val="10"/>
            <c:spPr>
              <a:noFill/>
              <a:ln w="28575">
                <a:solidFill>
                  <a:schemeClr val="accent4"/>
                </a:solidFill>
              </a:ln>
              <a:effectLst/>
            </c:spPr>
          </c:marker>
          <c:cat>
            <c:multiLvlStrRef>
              <c:f>stnk!$A$5:$B$12</c:f>
              <c:multiLvlStrCache>
                <c:ptCount val="8"/>
                <c:lvl>
                  <c:pt idx="0">
                    <c:v>Wk.2</c:v>
                  </c:pt>
                  <c:pt idx="1">
                    <c:v>Wk.3</c:v>
                  </c:pt>
                  <c:pt idx="2">
                    <c:v>Wk.4</c:v>
                  </c:pt>
                  <c:pt idx="3">
                    <c:v>Wk.5</c:v>
                  </c:pt>
                  <c:pt idx="4">
                    <c:v>Wk.6</c:v>
                  </c:pt>
                  <c:pt idx="5">
                    <c:v>Wk.7</c:v>
                  </c:pt>
                  <c:pt idx="6">
                    <c:v>Wk.8</c:v>
                  </c:pt>
                  <c:pt idx="7">
                    <c:v>Wk.9</c:v>
                  </c:pt>
                </c:lvl>
                <c:lvl>
                  <c:pt idx="0">
                    <c:v>Jan</c:v>
                  </c:pt>
                  <c:pt idx="4">
                    <c:v>Feb</c:v>
                  </c:pt>
                </c:lvl>
              </c:multiLvlStrCache>
            </c:multiLvlStrRef>
          </c:cat>
          <c:val>
            <c:numRef>
              <c:f>stnk!$F$5:$F$12</c:f>
              <c:numCache>
                <c:formatCode>_(* #,##0_);_(* \(#,##0\);_(* "-"_);_(@_)</c:formatCode>
                <c:ptCount val="8"/>
                <c:pt idx="0">
                  <c:v>71.25</c:v>
                </c:pt>
                <c:pt idx="1">
                  <c:v>76.382352941176464</c:v>
                </c:pt>
                <c:pt idx="2">
                  <c:v>78.389830508474574</c:v>
                </c:pt>
                <c:pt idx="3">
                  <c:v>72.178571428571431</c:v>
                </c:pt>
                <c:pt idx="4">
                  <c:v>71.257142857142853</c:v>
                </c:pt>
                <c:pt idx="5">
                  <c:v>73.227272727272734</c:v>
                </c:pt>
                <c:pt idx="6">
                  <c:v>72.045454545454547</c:v>
                </c:pt>
              </c:numCache>
            </c:numRef>
          </c:val>
          <c:smooth val="0"/>
          <c:extLst>
            <c:ext xmlns:c16="http://schemas.microsoft.com/office/drawing/2014/chart" uri="{C3380CC4-5D6E-409C-BE32-E72D297353CC}">
              <c16:uniqueId val="{00000004-2A36-6F43-9909-314868C03EC8}"/>
            </c:ext>
          </c:extLst>
        </c:ser>
        <c:ser>
          <c:idx val="4"/>
          <c:order val="4"/>
          <c:tx>
            <c:strRef>
              <c:f>stnk!$G$3:$G$4</c:f>
              <c:strCache>
                <c:ptCount val="1"/>
                <c:pt idx="0">
                  <c:v>Minat</c:v>
                </c:pt>
              </c:strCache>
            </c:strRef>
          </c:tx>
          <c:spPr>
            <a:ln w="38100" cap="rnd">
              <a:solidFill>
                <a:schemeClr val="bg2">
                  <a:lumMod val="75000"/>
                </a:schemeClr>
              </a:solidFill>
              <a:round/>
            </a:ln>
            <a:effectLst/>
          </c:spPr>
          <c:marker>
            <c:symbol val="diamond"/>
            <c:size val="10"/>
            <c:spPr>
              <a:solidFill>
                <a:schemeClr val="bg2">
                  <a:lumMod val="50000"/>
                </a:schemeClr>
              </a:solidFill>
              <a:ln w="9525">
                <a:solidFill>
                  <a:schemeClr val="bg2">
                    <a:lumMod val="50000"/>
                  </a:schemeClr>
                </a:solidFill>
              </a:ln>
              <a:effectLst/>
            </c:spPr>
          </c:marker>
          <c:cat>
            <c:multiLvlStrRef>
              <c:f>stnk!$A$5:$B$12</c:f>
              <c:multiLvlStrCache>
                <c:ptCount val="8"/>
                <c:lvl>
                  <c:pt idx="0">
                    <c:v>Wk.2</c:v>
                  </c:pt>
                  <c:pt idx="1">
                    <c:v>Wk.3</c:v>
                  </c:pt>
                  <c:pt idx="2">
                    <c:v>Wk.4</c:v>
                  </c:pt>
                  <c:pt idx="3">
                    <c:v>Wk.5</c:v>
                  </c:pt>
                  <c:pt idx="4">
                    <c:v>Wk.6</c:v>
                  </c:pt>
                  <c:pt idx="5">
                    <c:v>Wk.7</c:v>
                  </c:pt>
                  <c:pt idx="6">
                    <c:v>Wk.8</c:v>
                  </c:pt>
                  <c:pt idx="7">
                    <c:v>Wk.9</c:v>
                  </c:pt>
                </c:lvl>
                <c:lvl>
                  <c:pt idx="0">
                    <c:v>Jan</c:v>
                  </c:pt>
                  <c:pt idx="4">
                    <c:v>Feb</c:v>
                  </c:pt>
                </c:lvl>
              </c:multiLvlStrCache>
            </c:multiLvlStrRef>
          </c:cat>
          <c:val>
            <c:numRef>
              <c:f>stnk!$G$5:$G$12</c:f>
              <c:numCache>
                <c:formatCode>_(* #,##0_);_(* \(#,##0\);_(* "-"_);_(@_)</c:formatCode>
                <c:ptCount val="8"/>
                <c:pt idx="1">
                  <c:v>70.264705882352942</c:v>
                </c:pt>
                <c:pt idx="2">
                  <c:v>69.545454545454547</c:v>
                </c:pt>
                <c:pt idx="3">
                  <c:v>69.727272727272734</c:v>
                </c:pt>
                <c:pt idx="4">
                  <c:v>70.411764705882348</c:v>
                </c:pt>
                <c:pt idx="5">
                  <c:v>69</c:v>
                </c:pt>
                <c:pt idx="6">
                  <c:v>72.545454545454547</c:v>
                </c:pt>
              </c:numCache>
            </c:numRef>
          </c:val>
          <c:smooth val="0"/>
          <c:extLst>
            <c:ext xmlns:c16="http://schemas.microsoft.com/office/drawing/2014/chart" uri="{C3380CC4-5D6E-409C-BE32-E72D297353CC}">
              <c16:uniqueId val="{00000005-2A36-6F43-9909-314868C03EC8}"/>
            </c:ext>
          </c:extLst>
        </c:ser>
        <c:ser>
          <c:idx val="5"/>
          <c:order val="5"/>
          <c:tx>
            <c:strRef>
              <c:f>stnk!$H$3:$H$4</c:f>
              <c:strCache>
                <c:ptCount val="1"/>
                <c:pt idx="0">
                  <c:v>B.Indo</c:v>
                </c:pt>
              </c:strCache>
            </c:strRef>
          </c:tx>
          <c:spPr>
            <a:ln w="38100" cap="rnd">
              <a:solidFill>
                <a:srgbClr val="00B0F0"/>
              </a:solidFill>
              <a:round/>
            </a:ln>
            <a:effectLst/>
          </c:spPr>
          <c:marker>
            <c:symbol val="triangle"/>
            <c:size val="10"/>
            <c:spPr>
              <a:solidFill>
                <a:srgbClr val="00B0F0"/>
              </a:solidFill>
              <a:ln w="9525">
                <a:solidFill>
                  <a:srgbClr val="00B0F0"/>
                </a:solidFill>
              </a:ln>
              <a:effectLst/>
            </c:spPr>
          </c:marker>
          <c:cat>
            <c:multiLvlStrRef>
              <c:f>stnk!$A$5:$B$12</c:f>
              <c:multiLvlStrCache>
                <c:ptCount val="8"/>
                <c:lvl>
                  <c:pt idx="0">
                    <c:v>Wk.2</c:v>
                  </c:pt>
                  <c:pt idx="1">
                    <c:v>Wk.3</c:v>
                  </c:pt>
                  <c:pt idx="2">
                    <c:v>Wk.4</c:v>
                  </c:pt>
                  <c:pt idx="3">
                    <c:v>Wk.5</c:v>
                  </c:pt>
                  <c:pt idx="4">
                    <c:v>Wk.6</c:v>
                  </c:pt>
                  <c:pt idx="5">
                    <c:v>Wk.7</c:v>
                  </c:pt>
                  <c:pt idx="6">
                    <c:v>Wk.8</c:v>
                  </c:pt>
                  <c:pt idx="7">
                    <c:v>Wk.9</c:v>
                  </c:pt>
                </c:lvl>
                <c:lvl>
                  <c:pt idx="0">
                    <c:v>Jan</c:v>
                  </c:pt>
                  <c:pt idx="4">
                    <c:v>Feb</c:v>
                  </c:pt>
                </c:lvl>
              </c:multiLvlStrCache>
            </c:multiLvlStrRef>
          </c:cat>
          <c:val>
            <c:numRef>
              <c:f>stnk!$H$5:$H$12</c:f>
              <c:numCache>
                <c:formatCode>_(* #,##0_);_(* \(#,##0\);_(* "-"_);_(@_)</c:formatCode>
                <c:ptCount val="8"/>
                <c:pt idx="1">
                  <c:v>48.090909090909093</c:v>
                </c:pt>
                <c:pt idx="2">
                  <c:v>71.818181818181813</c:v>
                </c:pt>
                <c:pt idx="3">
                  <c:v>66.63636363636364</c:v>
                </c:pt>
                <c:pt idx="4">
                  <c:v>68.36363636363636</c:v>
                </c:pt>
                <c:pt idx="5">
                  <c:v>66.63636363636364</c:v>
                </c:pt>
                <c:pt idx="6">
                  <c:v>68.545454545454547</c:v>
                </c:pt>
              </c:numCache>
            </c:numRef>
          </c:val>
          <c:smooth val="0"/>
          <c:extLst>
            <c:ext xmlns:c16="http://schemas.microsoft.com/office/drawing/2014/chart" uri="{C3380CC4-5D6E-409C-BE32-E72D297353CC}">
              <c16:uniqueId val="{00000006-2A36-6F43-9909-314868C03EC8}"/>
            </c:ext>
          </c:extLst>
        </c:ser>
        <c:ser>
          <c:idx val="6"/>
          <c:order val="6"/>
          <c:tx>
            <c:strRef>
              <c:f>stnk!$I$3:$I$4</c:f>
              <c:strCache>
                <c:ptCount val="1"/>
                <c:pt idx="0">
                  <c:v>Math</c:v>
                </c:pt>
              </c:strCache>
            </c:strRef>
          </c:tx>
          <c:spPr>
            <a:ln w="38100" cap="rnd">
              <a:solidFill>
                <a:schemeClr val="accent6">
                  <a:lumMod val="75000"/>
                </a:schemeClr>
              </a:solidFill>
              <a:round/>
            </a:ln>
            <a:effectLst/>
          </c:spPr>
          <c:marker>
            <c:symbol val="x"/>
            <c:size val="10"/>
            <c:spPr>
              <a:noFill/>
              <a:ln w="31750">
                <a:solidFill>
                  <a:schemeClr val="accent6">
                    <a:lumMod val="75000"/>
                  </a:schemeClr>
                </a:solidFill>
              </a:ln>
              <a:effectLst/>
            </c:spPr>
          </c:marker>
          <c:cat>
            <c:multiLvlStrRef>
              <c:f>stnk!$A$5:$B$12</c:f>
              <c:multiLvlStrCache>
                <c:ptCount val="8"/>
                <c:lvl>
                  <c:pt idx="0">
                    <c:v>Wk.2</c:v>
                  </c:pt>
                  <c:pt idx="1">
                    <c:v>Wk.3</c:v>
                  </c:pt>
                  <c:pt idx="2">
                    <c:v>Wk.4</c:v>
                  </c:pt>
                  <c:pt idx="3">
                    <c:v>Wk.5</c:v>
                  </c:pt>
                  <c:pt idx="4">
                    <c:v>Wk.6</c:v>
                  </c:pt>
                  <c:pt idx="5">
                    <c:v>Wk.7</c:v>
                  </c:pt>
                  <c:pt idx="6">
                    <c:v>Wk.8</c:v>
                  </c:pt>
                  <c:pt idx="7">
                    <c:v>Wk.9</c:v>
                  </c:pt>
                </c:lvl>
                <c:lvl>
                  <c:pt idx="0">
                    <c:v>Jan</c:v>
                  </c:pt>
                  <c:pt idx="4">
                    <c:v>Feb</c:v>
                  </c:pt>
                </c:lvl>
              </c:multiLvlStrCache>
            </c:multiLvlStrRef>
          </c:cat>
          <c:val>
            <c:numRef>
              <c:f>stnk!$I$5:$I$12</c:f>
              <c:numCache>
                <c:formatCode>_(* #,##0_);_(* \(#,##0\);_(* "-"_);_(@_)</c:formatCode>
                <c:ptCount val="8"/>
                <c:pt idx="1">
                  <c:v>69.05263157894737</c:v>
                </c:pt>
                <c:pt idx="2">
                  <c:v>59.404761904761905</c:v>
                </c:pt>
                <c:pt idx="3">
                  <c:v>52.5</c:v>
                </c:pt>
                <c:pt idx="4">
                  <c:v>79.969696969696969</c:v>
                </c:pt>
                <c:pt idx="5">
                  <c:v>56.81818181818182</c:v>
                </c:pt>
              </c:numCache>
            </c:numRef>
          </c:val>
          <c:smooth val="0"/>
          <c:extLst>
            <c:ext xmlns:c16="http://schemas.microsoft.com/office/drawing/2014/chart" uri="{C3380CC4-5D6E-409C-BE32-E72D297353CC}">
              <c16:uniqueId val="{00000003-D104-5847-8F4A-27FA900A5CC4}"/>
            </c:ext>
          </c:extLst>
        </c:ser>
        <c:dLbls>
          <c:showLegendKey val="0"/>
          <c:showVal val="0"/>
          <c:showCatName val="0"/>
          <c:showSerName val="0"/>
          <c:showPercent val="0"/>
          <c:showBubbleSize val="0"/>
        </c:dLbls>
        <c:marker val="1"/>
        <c:smooth val="0"/>
        <c:axId val="-2114099232"/>
        <c:axId val="-2114104672"/>
      </c:lineChart>
      <c:catAx>
        <c:axId val="-211409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crossAx val="-2114104672"/>
        <c:crosses val="autoZero"/>
        <c:auto val="1"/>
        <c:lblAlgn val="ctr"/>
        <c:lblOffset val="100"/>
        <c:noMultiLvlLbl val="0"/>
      </c:catAx>
      <c:valAx>
        <c:axId val="-2114104672"/>
        <c:scaling>
          <c:orientation val="minMax"/>
          <c:max val="100"/>
          <c:min val="4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crossAx val="-2114099232"/>
        <c:crosses val="autoZero"/>
        <c:crossBetween val="between"/>
        <c:majorUnit val="10"/>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b="1">
          <a:solidFill>
            <a:sysClr val="windowText" lastClr="000000"/>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[TDU_SMA_2526_S2.xlsx]stnk!PivotTable1</c:name>
    <c:fmtId val="0"/>
  </c:pivotSource>
  <c:chart>
    <c:title>
      <c:tx>
        <c:rich>
          <a:bodyPr rot="0" spcFirstLastPara="1" vertOverflow="ellipsis" vert="horz" wrap="square" anchor="ctr" anchorCtr="1"/>
          <a:lstStyle/>
          <a:p>
            <a:pPr>
              <a:defRPr sz="1680" b="1" i="0" u="none" strike="noStrike" kern="1200" spc="0" baseline="0">
                <a:solidFill>
                  <a:sysClr val="windowText" lastClr="000000"/>
                </a:solidFill>
                <a:latin typeface="+mn-lt"/>
                <a:ea typeface="+mn-ea"/>
                <a:cs typeface="+mn-cs"/>
              </a:defRPr>
            </a:pPr>
            <a:r>
              <a:rPr lang="en-US" sz="1680"/>
              <a:t>Progres STNK Mapel</a:t>
            </a:r>
          </a:p>
          <a:p>
            <a:pPr>
              <a:defRPr sz="1680"/>
            </a:pPr>
            <a:r>
              <a:rPr lang="en-US" sz="1680"/>
              <a:t>SMA SAI</a:t>
            </a:r>
          </a:p>
        </c:rich>
      </c:tx>
      <c:overlay val="0"/>
      <c:spPr>
        <a:noFill/>
        <a:ln>
          <a:noFill/>
        </a:ln>
        <a:effectLst/>
      </c:spPr>
      <c:txPr>
        <a:bodyPr rot="0" spcFirstLastPara="1" vertOverflow="ellipsis" vert="horz" wrap="square" anchor="ctr" anchorCtr="1"/>
        <a:lstStyle/>
        <a:p>
          <a:pPr>
            <a:defRPr sz="1680" b="1" i="0" u="none" strike="noStrike" kern="1200" spc="0" baseline="0">
              <a:solidFill>
                <a:sysClr val="windowText" lastClr="000000"/>
              </a:solidFill>
              <a:latin typeface="+mn-lt"/>
              <a:ea typeface="+mn-ea"/>
              <a:cs typeface="+mn-cs"/>
            </a:defRPr>
          </a:pPr>
          <a:endParaRPr lang="id-ID"/>
        </a:p>
      </c:txPr>
    </c:title>
    <c:autoTitleDeleted val="0"/>
    <c:pivotFmts>
      <c:pivotFmt>
        <c:idx val="0"/>
        <c:spPr>
          <a:solidFill>
            <a:schemeClr val="accent1"/>
          </a:solidFill>
          <a:ln w="38100" cap="rnd">
            <a:solidFill>
              <a:schemeClr val="accent1"/>
            </a:solidFill>
            <a:round/>
          </a:ln>
          <a:effectLst/>
        </c:spPr>
        <c:marker>
          <c:symbol val="square"/>
          <c:size val="10"/>
          <c:spPr>
            <a:solidFill>
              <a:schemeClr val="accent1"/>
            </a:solidFill>
            <a:ln w="9525">
              <a:solidFill>
                <a:schemeClr val="accent1"/>
              </a:solidFill>
            </a:ln>
            <a:effectLst/>
          </c:spPr>
        </c:marker>
      </c:pivotFmt>
      <c:pivotFmt>
        <c:idx val="1"/>
        <c:spPr>
          <a:solidFill>
            <a:schemeClr val="accent1"/>
          </a:solidFill>
          <a:ln w="38100" cap="rnd">
            <a:solidFill>
              <a:schemeClr val="accent1"/>
            </a:solidFill>
            <a:round/>
          </a:ln>
          <a:effectLst/>
        </c:spPr>
        <c:marker>
          <c:symbol val="diamond"/>
          <c:size val="10"/>
          <c:spPr>
            <a:solidFill>
              <a:schemeClr val="accent1"/>
            </a:solidFill>
            <a:ln w="9525">
              <a:solidFill>
                <a:schemeClr val="accent1"/>
              </a:solidFill>
            </a:ln>
            <a:effectLst/>
          </c:spPr>
        </c:marker>
      </c:pivotFmt>
      <c:pivotFmt>
        <c:idx val="2"/>
        <c:spPr>
          <a:solidFill>
            <a:schemeClr val="accent1"/>
          </a:solidFill>
          <a:ln w="38100" cap="rnd">
            <a:solidFill>
              <a:schemeClr val="accent1"/>
            </a:solidFill>
            <a:round/>
          </a:ln>
          <a:effectLst/>
        </c:spPr>
        <c:marker>
          <c:symbol val="star"/>
          <c:size val="10"/>
          <c:spPr>
            <a:noFill/>
            <a:ln w="31750">
              <a:solidFill>
                <a:schemeClr val="accent1"/>
              </a:solidFill>
            </a:ln>
            <a:effectLst/>
          </c:spPr>
        </c:marker>
      </c:pivotFmt>
      <c:pivotFmt>
        <c:idx val="3"/>
        <c:spPr>
          <a:solidFill>
            <a:schemeClr val="accent1"/>
          </a:solidFill>
          <a:ln w="38100" cap="rnd">
            <a:solidFill>
              <a:schemeClr val="accent1"/>
            </a:solidFill>
            <a:round/>
          </a:ln>
          <a:effectLst/>
        </c:spPr>
        <c:marker>
          <c:symbol val="circle"/>
          <c:size val="10"/>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8100" cap="rnd">
            <a:solidFill>
              <a:schemeClr val="accent1"/>
            </a:solidFill>
            <a:round/>
          </a:ln>
          <a:effectLst/>
        </c:spPr>
        <c:marker>
          <c:symbol val="circle"/>
          <c:size val="10"/>
          <c:spPr>
            <a:solidFill>
              <a:schemeClr val="accent1"/>
            </a:solidFill>
            <a:ln w="9525">
              <a:solidFill>
                <a:schemeClr val="accent1"/>
              </a:solidFill>
            </a:ln>
            <a:effectLst/>
          </c:spPr>
        </c:marker>
      </c:pivotFmt>
      <c:pivotFmt>
        <c:idx val="13"/>
        <c:spPr>
          <a:solidFill>
            <a:schemeClr val="accent1"/>
          </a:solidFill>
          <a:ln w="381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8100" cap="rnd">
            <a:solidFill>
              <a:schemeClr val="bg2">
                <a:lumMod val="75000"/>
              </a:schemeClr>
            </a:solidFill>
            <a:round/>
          </a:ln>
          <a:effectLst/>
        </c:spPr>
        <c:marker>
          <c:symbol val="diamond"/>
          <c:size val="10"/>
          <c:spPr>
            <a:solidFill>
              <a:schemeClr val="bg2">
                <a:lumMod val="50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38100" cap="rnd">
            <a:solidFill>
              <a:schemeClr val="accent1"/>
            </a:solidFill>
            <a:round/>
          </a:ln>
          <a:effectLst/>
        </c:spPr>
        <c:marker>
          <c:symbol val="star"/>
          <c:size val="10"/>
          <c:spPr>
            <a:noFill/>
            <a:ln w="31750">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8100" cap="rnd">
            <a:solidFill>
              <a:srgbClr val="C00000"/>
            </a:solidFill>
            <a:round/>
          </a:ln>
          <a:effectLst/>
        </c:spPr>
        <c:marker>
          <c:symbol val="square"/>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38100" cap="rnd">
            <a:solidFill>
              <a:srgbClr val="00B050"/>
            </a:solidFill>
            <a:round/>
          </a:ln>
          <a:effectLst/>
        </c:spPr>
        <c:marker>
          <c:symbol val="diamond"/>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38100" cap="rnd">
            <a:solidFill>
              <a:schemeClr val="accent1"/>
            </a:solidFill>
            <a:round/>
          </a:ln>
          <a:effectLst/>
        </c:spPr>
        <c:marker>
          <c:symbol val="circle"/>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2114098144"/>
        <c:axId val="-2114094880"/>
      </c:lineChart>
      <c:catAx>
        <c:axId val="-211409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crossAx val="-2114094880"/>
        <c:crosses val="autoZero"/>
        <c:auto val="1"/>
        <c:lblAlgn val="ctr"/>
        <c:lblOffset val="100"/>
        <c:noMultiLvlLbl val="0"/>
      </c:catAx>
      <c:valAx>
        <c:axId val="-211409488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crossAx val="-2114098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b="1">
          <a:solidFill>
            <a:sysClr val="windowText" lastClr="000000"/>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[TDU_SMA_2526_S2.xlsx]stnk!PivotTable4</c:name>
    <c:fmtId val="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a:t>Progres STNK Proyek</a:t>
            </a:r>
          </a:p>
          <a:p>
            <a:pPr>
              <a:defRPr sz="1600"/>
            </a:pPr>
            <a:r>
              <a:rPr lang="en-US" sz="1600"/>
              <a:t>SMA</a:t>
            </a:r>
            <a:r>
              <a:rPr lang="en-US" sz="1600" baseline="0"/>
              <a:t> SAI</a:t>
            </a:r>
            <a:endParaRPr lang="en-US" sz="1600"/>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id-ID"/>
        </a:p>
      </c:txPr>
    </c:title>
    <c:autoTitleDeleted val="0"/>
    <c:pivotFmts>
      <c:pivotFmt>
        <c:idx val="0"/>
        <c:spPr>
          <a:solidFill>
            <a:schemeClr val="accent1"/>
          </a:solidFill>
          <a:ln w="38100" cap="rnd">
            <a:solidFill>
              <a:schemeClr val="accent1"/>
            </a:solidFill>
            <a:round/>
          </a:ln>
          <a:effectLst/>
        </c:spPr>
        <c:marker>
          <c:symbol val="circle"/>
          <c:size val="10"/>
          <c:spPr>
            <a:solidFill>
              <a:schemeClr val="accent1"/>
            </a:solidFill>
            <a:ln w="9525">
              <a:solidFill>
                <a:schemeClr val="accent1"/>
              </a:solidFill>
            </a:ln>
            <a:effectLst/>
          </c:spPr>
        </c:marker>
      </c:pivotFmt>
      <c:pivotFmt>
        <c:idx val="1"/>
        <c:spPr>
          <a:solidFill>
            <a:schemeClr val="accent1"/>
          </a:solidFill>
          <a:ln w="38100" cap="rnd">
            <a:solidFill>
              <a:schemeClr val="accent1"/>
            </a:solidFill>
            <a:round/>
          </a:ln>
          <a:effectLst/>
        </c:spPr>
        <c:marker>
          <c:symbol val="square"/>
          <c:size val="10"/>
          <c:spPr>
            <a:solidFill>
              <a:schemeClr val="accent1"/>
            </a:solidFill>
            <a:ln w="9525">
              <a:solidFill>
                <a:schemeClr val="accent1"/>
              </a:solidFill>
            </a:ln>
            <a:effectLst/>
          </c:spPr>
        </c:marker>
      </c:pivotFmt>
      <c:pivotFmt>
        <c:idx val="2"/>
        <c:spPr>
          <a:solidFill>
            <a:schemeClr val="accent1"/>
          </a:solidFill>
          <a:ln w="38100" cap="rnd">
            <a:solidFill>
              <a:schemeClr val="accent1"/>
            </a:solidFill>
            <a:round/>
          </a:ln>
          <a:effectLst/>
        </c:spPr>
        <c:marker>
          <c:symbol val="triangle"/>
          <c:size val="10"/>
          <c:spPr>
            <a:solidFill>
              <a:schemeClr val="accent1"/>
            </a:solidFill>
            <a:ln w="9525">
              <a:solidFill>
                <a:schemeClr val="accent1"/>
              </a:solidFill>
            </a:ln>
            <a:effectLst/>
          </c:spPr>
        </c:marker>
      </c:pivotFmt>
      <c:pivotFmt>
        <c:idx val="3"/>
        <c:spPr>
          <a:solidFill>
            <a:schemeClr val="accent1"/>
          </a:solidFill>
          <a:ln w="38100" cap="rnd">
            <a:solidFill>
              <a:schemeClr val="accent1"/>
            </a:solidFill>
            <a:round/>
          </a:ln>
          <a:effectLst/>
        </c:spPr>
        <c:marker>
          <c:symbol val="star"/>
          <c:size val="10"/>
          <c:spPr>
            <a:noFill/>
            <a:ln w="31750">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star"/>
          <c:size val="10"/>
          <c:spPr>
            <a:noFill/>
            <a:ln w="31750">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chemeClr val="accent1"/>
            </a:solidFill>
            <a:round/>
          </a:ln>
          <a:effectLst/>
        </c:spPr>
        <c:marker>
          <c:symbol val="star"/>
          <c:size val="10"/>
          <c:spPr>
            <a:noFill/>
            <a:ln w="31750">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chemeClr val="accent1"/>
            </a:solidFill>
            <a:round/>
          </a:ln>
          <a:effectLst/>
        </c:spPr>
        <c:marker>
          <c:symbol val="square"/>
          <c:size val="10"/>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8100" cap="rnd">
            <a:solidFill>
              <a:srgbClr val="00B050"/>
            </a:solidFill>
            <a:round/>
          </a:ln>
          <a:effectLst/>
        </c:spPr>
        <c:marker>
          <c:symbol val="diamond"/>
          <c:size val="10"/>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8100" cap="rnd">
            <a:solidFill>
              <a:schemeClr val="accent1"/>
            </a:solidFill>
            <a:round/>
          </a:ln>
          <a:effectLst/>
        </c:spPr>
        <c:marker>
          <c:symbol val="circle"/>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stnk!$AX$3:$AX$4</c:f>
              <c:strCache>
                <c:ptCount val="1"/>
                <c:pt idx="0">
                  <c:v>Skill</c:v>
                </c:pt>
              </c:strCache>
            </c:strRef>
          </c:tx>
          <c:spPr>
            <a:ln w="38100" cap="rnd">
              <a:solidFill>
                <a:schemeClr val="accent1"/>
              </a:solidFill>
              <a:round/>
            </a:ln>
            <a:effectLst/>
          </c:spPr>
          <c:marker>
            <c:symbol val="circle"/>
            <c:size val="10"/>
            <c:spPr>
              <a:solidFill>
                <a:schemeClr val="accent1"/>
              </a:solidFill>
              <a:ln w="9525">
                <a:solidFill>
                  <a:schemeClr val="accent1"/>
                </a:solidFill>
              </a:ln>
              <a:effectLst/>
            </c:spPr>
          </c:marker>
          <c:cat>
            <c:multiLvlStrRef>
              <c:f>stnk!$AU$5:$AW$20</c:f>
              <c:multiLvlStrCache>
                <c:ptCount val="16"/>
                <c:lvl>
                  <c:pt idx="0">
                    <c:v>Wk.3</c:v>
                  </c:pt>
                  <c:pt idx="1">
                    <c:v>Wk.4</c:v>
                  </c:pt>
                  <c:pt idx="2">
                    <c:v>Wk.5</c:v>
                  </c:pt>
                  <c:pt idx="3">
                    <c:v>Wk.2</c:v>
                  </c:pt>
                  <c:pt idx="4">
                    <c:v>Wk.6</c:v>
                  </c:pt>
                  <c:pt idx="5">
                    <c:v>Wk.7</c:v>
                  </c:pt>
                  <c:pt idx="6">
                    <c:v>Wk.8</c:v>
                  </c:pt>
                  <c:pt idx="7">
                    <c:v>Wk.9</c:v>
                  </c:pt>
                  <c:pt idx="8">
                    <c:v>Wk.3</c:v>
                  </c:pt>
                  <c:pt idx="9">
                    <c:v>Wk.4</c:v>
                  </c:pt>
                  <c:pt idx="10">
                    <c:v>Wk.5</c:v>
                  </c:pt>
                  <c:pt idx="11">
                    <c:v>Wk.2</c:v>
                  </c:pt>
                  <c:pt idx="12">
                    <c:v>Wk.6</c:v>
                  </c:pt>
                  <c:pt idx="13">
                    <c:v>Wk.7</c:v>
                  </c:pt>
                  <c:pt idx="14">
                    <c:v>Wk.8</c:v>
                  </c:pt>
                  <c:pt idx="15">
                    <c:v>Wk.9</c:v>
                  </c:pt>
                </c:lvl>
                <c:lvl>
                  <c:pt idx="0">
                    <c:v>Jan</c:v>
                  </c:pt>
                  <c:pt idx="4">
                    <c:v>Feb</c:v>
                  </c:pt>
                  <c:pt idx="8">
                    <c:v>Jan</c:v>
                  </c:pt>
                  <c:pt idx="12">
                    <c:v>Feb</c:v>
                  </c:pt>
                </c:lvl>
                <c:lvl>
                  <c:pt idx="0">
                    <c:v>11A</c:v>
                  </c:pt>
                  <c:pt idx="8">
                    <c:v>12A</c:v>
                  </c:pt>
                </c:lvl>
              </c:multiLvlStrCache>
            </c:multiLvlStrRef>
          </c:cat>
          <c:val>
            <c:numRef>
              <c:f>stnk!$AX$5:$AX$20</c:f>
              <c:numCache>
                <c:formatCode>_(* #,##0_);_(* \(#,##0\);_(* "-"_);_(@_)</c:formatCode>
                <c:ptCount val="16"/>
                <c:pt idx="0">
                  <c:v>90</c:v>
                </c:pt>
                <c:pt idx="1">
                  <c:v>55.333333333333336</c:v>
                </c:pt>
                <c:pt idx="2">
                  <c:v>73.875</c:v>
                </c:pt>
                <c:pt idx="3">
                  <c:v>67.555555555555557</c:v>
                </c:pt>
                <c:pt idx="4">
                  <c:v>74.063829787234042</c:v>
                </c:pt>
                <c:pt idx="5">
                  <c:v>66.659090909090907</c:v>
                </c:pt>
                <c:pt idx="6">
                  <c:v>76.739130434782609</c:v>
                </c:pt>
                <c:pt idx="7">
                  <c:v>80</c:v>
                </c:pt>
                <c:pt idx="8">
                  <c:v>65.740740740740748</c:v>
                </c:pt>
                <c:pt idx="9">
                  <c:v>84</c:v>
                </c:pt>
                <c:pt idx="10">
                  <c:v>71.111111111111114</c:v>
                </c:pt>
                <c:pt idx="12">
                  <c:v>75.333333333333329</c:v>
                </c:pt>
                <c:pt idx="13">
                  <c:v>62.777777777777779</c:v>
                </c:pt>
              </c:numCache>
            </c:numRef>
          </c:val>
          <c:smooth val="0"/>
          <c:extLst>
            <c:ext xmlns:c16="http://schemas.microsoft.com/office/drawing/2014/chart" uri="{C3380CC4-5D6E-409C-BE32-E72D297353CC}">
              <c16:uniqueId val="{00000005-C51E-F049-922E-D9285DA55210}"/>
            </c:ext>
          </c:extLst>
        </c:ser>
        <c:ser>
          <c:idx val="1"/>
          <c:order val="1"/>
          <c:tx>
            <c:strRef>
              <c:f>stnk!$AY$3:$AY$4</c:f>
              <c:strCache>
                <c:ptCount val="1"/>
                <c:pt idx="0">
                  <c:v>Teori</c:v>
                </c:pt>
              </c:strCache>
            </c:strRef>
          </c:tx>
          <c:spPr>
            <a:ln w="38100" cap="rnd">
              <a:solidFill>
                <a:schemeClr val="accent2"/>
              </a:solidFill>
              <a:round/>
            </a:ln>
            <a:effectLst/>
          </c:spPr>
          <c:marker>
            <c:symbol val="square"/>
            <c:size val="10"/>
            <c:spPr>
              <a:solidFill>
                <a:schemeClr val="accent2"/>
              </a:solidFill>
              <a:ln w="9525">
                <a:solidFill>
                  <a:schemeClr val="accent2"/>
                </a:solidFill>
              </a:ln>
              <a:effectLst/>
            </c:spPr>
          </c:marker>
          <c:cat>
            <c:multiLvlStrRef>
              <c:f>stnk!$AU$5:$AW$20</c:f>
              <c:multiLvlStrCache>
                <c:ptCount val="16"/>
                <c:lvl>
                  <c:pt idx="0">
                    <c:v>Wk.3</c:v>
                  </c:pt>
                  <c:pt idx="1">
                    <c:v>Wk.4</c:v>
                  </c:pt>
                  <c:pt idx="2">
                    <c:v>Wk.5</c:v>
                  </c:pt>
                  <c:pt idx="3">
                    <c:v>Wk.2</c:v>
                  </c:pt>
                  <c:pt idx="4">
                    <c:v>Wk.6</c:v>
                  </c:pt>
                  <c:pt idx="5">
                    <c:v>Wk.7</c:v>
                  </c:pt>
                  <c:pt idx="6">
                    <c:v>Wk.8</c:v>
                  </c:pt>
                  <c:pt idx="7">
                    <c:v>Wk.9</c:v>
                  </c:pt>
                  <c:pt idx="8">
                    <c:v>Wk.3</c:v>
                  </c:pt>
                  <c:pt idx="9">
                    <c:v>Wk.4</c:v>
                  </c:pt>
                  <c:pt idx="10">
                    <c:v>Wk.5</c:v>
                  </c:pt>
                  <c:pt idx="11">
                    <c:v>Wk.2</c:v>
                  </c:pt>
                  <c:pt idx="12">
                    <c:v>Wk.6</c:v>
                  </c:pt>
                  <c:pt idx="13">
                    <c:v>Wk.7</c:v>
                  </c:pt>
                  <c:pt idx="14">
                    <c:v>Wk.8</c:v>
                  </c:pt>
                  <c:pt idx="15">
                    <c:v>Wk.9</c:v>
                  </c:pt>
                </c:lvl>
                <c:lvl>
                  <c:pt idx="0">
                    <c:v>Jan</c:v>
                  </c:pt>
                  <c:pt idx="4">
                    <c:v>Feb</c:v>
                  </c:pt>
                  <c:pt idx="8">
                    <c:v>Jan</c:v>
                  </c:pt>
                  <c:pt idx="12">
                    <c:v>Feb</c:v>
                  </c:pt>
                </c:lvl>
                <c:lvl>
                  <c:pt idx="0">
                    <c:v>11A</c:v>
                  </c:pt>
                  <c:pt idx="8">
                    <c:v>12A</c:v>
                  </c:pt>
                </c:lvl>
              </c:multiLvlStrCache>
            </c:multiLvlStrRef>
          </c:cat>
          <c:val>
            <c:numRef>
              <c:f>stnk!$AY$5:$AY$20</c:f>
              <c:numCache>
                <c:formatCode>_(* #,##0_);_(* \(#,##0\);_(* "-"_);_(@_)</c:formatCode>
                <c:ptCount val="16"/>
                <c:pt idx="0">
                  <c:v>65.467391304347828</c:v>
                </c:pt>
                <c:pt idx="1">
                  <c:v>62.824742268041234</c:v>
                </c:pt>
                <c:pt idx="2">
                  <c:v>66.594202898550719</c:v>
                </c:pt>
                <c:pt idx="3">
                  <c:v>58.5</c:v>
                </c:pt>
                <c:pt idx="4">
                  <c:v>75.276785714285708</c:v>
                </c:pt>
                <c:pt idx="5">
                  <c:v>64.344262295081961</c:v>
                </c:pt>
                <c:pt idx="6">
                  <c:v>71.977777777777774</c:v>
                </c:pt>
                <c:pt idx="7">
                  <c:v>72.3</c:v>
                </c:pt>
                <c:pt idx="8">
                  <c:v>69.544117647058826</c:v>
                </c:pt>
                <c:pt idx="9">
                  <c:v>75.393442622950815</c:v>
                </c:pt>
                <c:pt idx="10">
                  <c:v>74.055555555555557</c:v>
                </c:pt>
                <c:pt idx="12">
                  <c:v>75.907407407407405</c:v>
                </c:pt>
                <c:pt idx="13">
                  <c:v>68.583333333333329</c:v>
                </c:pt>
                <c:pt idx="14">
                  <c:v>70</c:v>
                </c:pt>
                <c:pt idx="15">
                  <c:v>90.333333333333329</c:v>
                </c:pt>
              </c:numCache>
            </c:numRef>
          </c:val>
          <c:smooth val="0"/>
          <c:extLst>
            <c:ext xmlns:c16="http://schemas.microsoft.com/office/drawing/2014/chart" uri="{C3380CC4-5D6E-409C-BE32-E72D297353CC}">
              <c16:uniqueId val="{00000006-C51E-F049-922E-D9285DA55210}"/>
            </c:ext>
          </c:extLst>
        </c:ser>
        <c:ser>
          <c:idx val="2"/>
          <c:order val="2"/>
          <c:tx>
            <c:strRef>
              <c:f>stnk!$AZ$3:$AZ$4</c:f>
              <c:strCache>
                <c:ptCount val="1"/>
                <c:pt idx="0">
                  <c:v>Nalar</c:v>
                </c:pt>
              </c:strCache>
            </c:strRef>
          </c:tx>
          <c:spPr>
            <a:ln w="38100" cap="rnd">
              <a:solidFill>
                <a:srgbClr val="00B050"/>
              </a:solidFill>
              <a:round/>
            </a:ln>
            <a:effectLst/>
          </c:spPr>
          <c:marker>
            <c:symbol val="diamond"/>
            <c:size val="10"/>
            <c:spPr>
              <a:solidFill>
                <a:srgbClr val="00B050"/>
              </a:solidFill>
              <a:ln w="9525">
                <a:solidFill>
                  <a:srgbClr val="00B050"/>
                </a:solidFill>
              </a:ln>
              <a:effectLst/>
            </c:spPr>
          </c:marker>
          <c:cat>
            <c:multiLvlStrRef>
              <c:f>stnk!$AU$5:$AW$20</c:f>
              <c:multiLvlStrCache>
                <c:ptCount val="16"/>
                <c:lvl>
                  <c:pt idx="0">
                    <c:v>Wk.3</c:v>
                  </c:pt>
                  <c:pt idx="1">
                    <c:v>Wk.4</c:v>
                  </c:pt>
                  <c:pt idx="2">
                    <c:v>Wk.5</c:v>
                  </c:pt>
                  <c:pt idx="3">
                    <c:v>Wk.2</c:v>
                  </c:pt>
                  <c:pt idx="4">
                    <c:v>Wk.6</c:v>
                  </c:pt>
                  <c:pt idx="5">
                    <c:v>Wk.7</c:v>
                  </c:pt>
                  <c:pt idx="6">
                    <c:v>Wk.8</c:v>
                  </c:pt>
                  <c:pt idx="7">
                    <c:v>Wk.9</c:v>
                  </c:pt>
                  <c:pt idx="8">
                    <c:v>Wk.3</c:v>
                  </c:pt>
                  <c:pt idx="9">
                    <c:v>Wk.4</c:v>
                  </c:pt>
                  <c:pt idx="10">
                    <c:v>Wk.5</c:v>
                  </c:pt>
                  <c:pt idx="11">
                    <c:v>Wk.2</c:v>
                  </c:pt>
                  <c:pt idx="12">
                    <c:v>Wk.6</c:v>
                  </c:pt>
                  <c:pt idx="13">
                    <c:v>Wk.7</c:v>
                  </c:pt>
                  <c:pt idx="14">
                    <c:v>Wk.8</c:v>
                  </c:pt>
                  <c:pt idx="15">
                    <c:v>Wk.9</c:v>
                  </c:pt>
                </c:lvl>
                <c:lvl>
                  <c:pt idx="0">
                    <c:v>Jan</c:v>
                  </c:pt>
                  <c:pt idx="4">
                    <c:v>Feb</c:v>
                  </c:pt>
                  <c:pt idx="8">
                    <c:v>Jan</c:v>
                  </c:pt>
                  <c:pt idx="12">
                    <c:v>Feb</c:v>
                  </c:pt>
                </c:lvl>
                <c:lvl>
                  <c:pt idx="0">
                    <c:v>11A</c:v>
                  </c:pt>
                  <c:pt idx="8">
                    <c:v>12A</c:v>
                  </c:pt>
                </c:lvl>
              </c:multiLvlStrCache>
            </c:multiLvlStrRef>
          </c:cat>
          <c:val>
            <c:numRef>
              <c:f>stnk!$AZ$5:$AZ$20</c:f>
              <c:numCache>
                <c:formatCode>_(* #,##0_);_(* \(#,##0\);_(* "-"_);_(@_)</c:formatCode>
                <c:ptCount val="16"/>
                <c:pt idx="0">
                  <c:v>66.555555555555557</c:v>
                </c:pt>
                <c:pt idx="1">
                  <c:v>56.704545454545453</c:v>
                </c:pt>
                <c:pt idx="2">
                  <c:v>68.068181818181813</c:v>
                </c:pt>
                <c:pt idx="4">
                  <c:v>74.264705882352942</c:v>
                </c:pt>
                <c:pt idx="5">
                  <c:v>70</c:v>
                </c:pt>
                <c:pt idx="6">
                  <c:v>66.63636363636364</c:v>
                </c:pt>
                <c:pt idx="8">
                  <c:v>67.333333333333329</c:v>
                </c:pt>
                <c:pt idx="9">
                  <c:v>67.407407407407405</c:v>
                </c:pt>
                <c:pt idx="10">
                  <c:v>76.081081081081081</c:v>
                </c:pt>
                <c:pt idx="11">
                  <c:v>71.111111111111114</c:v>
                </c:pt>
                <c:pt idx="12">
                  <c:v>72.5</c:v>
                </c:pt>
                <c:pt idx="13">
                  <c:v>70.444444444444443</c:v>
                </c:pt>
                <c:pt idx="14">
                  <c:v>71.111111111111114</c:v>
                </c:pt>
                <c:pt idx="15">
                  <c:v>82.222222222222229</c:v>
                </c:pt>
              </c:numCache>
            </c:numRef>
          </c:val>
          <c:smooth val="0"/>
          <c:extLst>
            <c:ext xmlns:c16="http://schemas.microsoft.com/office/drawing/2014/chart" uri="{C3380CC4-5D6E-409C-BE32-E72D297353CC}">
              <c16:uniqueId val="{00000007-C51E-F049-922E-D9285DA55210}"/>
            </c:ext>
          </c:extLst>
        </c:ser>
        <c:ser>
          <c:idx val="3"/>
          <c:order val="3"/>
          <c:tx>
            <c:strRef>
              <c:f>stnk!$BA$3:$BA$4</c:f>
              <c:strCache>
                <c:ptCount val="1"/>
                <c:pt idx="0">
                  <c:v>Karakter</c:v>
                </c:pt>
              </c:strCache>
            </c:strRef>
          </c:tx>
          <c:spPr>
            <a:ln w="38100" cap="rnd">
              <a:solidFill>
                <a:schemeClr val="accent4"/>
              </a:solidFill>
              <a:round/>
            </a:ln>
            <a:effectLst/>
          </c:spPr>
          <c:marker>
            <c:symbol val="star"/>
            <c:size val="10"/>
            <c:spPr>
              <a:noFill/>
              <a:ln w="31750">
                <a:solidFill>
                  <a:schemeClr val="accent4"/>
                </a:solidFill>
              </a:ln>
              <a:effectLst/>
            </c:spPr>
          </c:marker>
          <c:cat>
            <c:multiLvlStrRef>
              <c:f>stnk!$AU$5:$AW$20</c:f>
              <c:multiLvlStrCache>
                <c:ptCount val="16"/>
                <c:lvl>
                  <c:pt idx="0">
                    <c:v>Wk.3</c:v>
                  </c:pt>
                  <c:pt idx="1">
                    <c:v>Wk.4</c:v>
                  </c:pt>
                  <c:pt idx="2">
                    <c:v>Wk.5</c:v>
                  </c:pt>
                  <c:pt idx="3">
                    <c:v>Wk.2</c:v>
                  </c:pt>
                  <c:pt idx="4">
                    <c:v>Wk.6</c:v>
                  </c:pt>
                  <c:pt idx="5">
                    <c:v>Wk.7</c:v>
                  </c:pt>
                  <c:pt idx="6">
                    <c:v>Wk.8</c:v>
                  </c:pt>
                  <c:pt idx="7">
                    <c:v>Wk.9</c:v>
                  </c:pt>
                  <c:pt idx="8">
                    <c:v>Wk.3</c:v>
                  </c:pt>
                  <c:pt idx="9">
                    <c:v>Wk.4</c:v>
                  </c:pt>
                  <c:pt idx="10">
                    <c:v>Wk.5</c:v>
                  </c:pt>
                  <c:pt idx="11">
                    <c:v>Wk.2</c:v>
                  </c:pt>
                  <c:pt idx="12">
                    <c:v>Wk.6</c:v>
                  </c:pt>
                  <c:pt idx="13">
                    <c:v>Wk.7</c:v>
                  </c:pt>
                  <c:pt idx="14">
                    <c:v>Wk.8</c:v>
                  </c:pt>
                  <c:pt idx="15">
                    <c:v>Wk.9</c:v>
                  </c:pt>
                </c:lvl>
                <c:lvl>
                  <c:pt idx="0">
                    <c:v>Jan</c:v>
                  </c:pt>
                  <c:pt idx="4">
                    <c:v>Feb</c:v>
                  </c:pt>
                  <c:pt idx="8">
                    <c:v>Jan</c:v>
                  </c:pt>
                  <c:pt idx="12">
                    <c:v>Feb</c:v>
                  </c:pt>
                </c:lvl>
                <c:lvl>
                  <c:pt idx="0">
                    <c:v>11A</c:v>
                  </c:pt>
                  <c:pt idx="8">
                    <c:v>12A</c:v>
                  </c:pt>
                </c:lvl>
              </c:multiLvlStrCache>
            </c:multiLvlStrRef>
          </c:cat>
          <c:val>
            <c:numRef>
              <c:f>stnk!$BA$5:$BA$20</c:f>
              <c:numCache>
                <c:formatCode>_(* #,##0_);_(* \(#,##0\);_(* "-"_);_(@_)</c:formatCode>
                <c:ptCount val="16"/>
                <c:pt idx="0">
                  <c:v>76.382352941176464</c:v>
                </c:pt>
                <c:pt idx="1">
                  <c:v>78.389830508474574</c:v>
                </c:pt>
                <c:pt idx="2">
                  <c:v>72.178571428571431</c:v>
                </c:pt>
                <c:pt idx="3">
                  <c:v>71.25</c:v>
                </c:pt>
                <c:pt idx="4">
                  <c:v>71.257142857142853</c:v>
                </c:pt>
                <c:pt idx="5">
                  <c:v>73.227272727272734</c:v>
                </c:pt>
                <c:pt idx="6">
                  <c:v>72.045454545454547</c:v>
                </c:pt>
                <c:pt idx="8">
                  <c:v>75.259259259259252</c:v>
                </c:pt>
                <c:pt idx="9">
                  <c:v>77.333333333333329</c:v>
                </c:pt>
                <c:pt idx="10">
                  <c:v>75.535714285714292</c:v>
                </c:pt>
                <c:pt idx="12">
                  <c:v>76.027777777777771</c:v>
                </c:pt>
                <c:pt idx="13">
                  <c:v>78.888888888888886</c:v>
                </c:pt>
                <c:pt idx="14">
                  <c:v>85</c:v>
                </c:pt>
              </c:numCache>
            </c:numRef>
          </c:val>
          <c:smooth val="0"/>
          <c:extLst>
            <c:ext xmlns:c16="http://schemas.microsoft.com/office/drawing/2014/chart" uri="{C3380CC4-5D6E-409C-BE32-E72D297353CC}">
              <c16:uniqueId val="{00000008-C51E-F049-922E-D9285DA55210}"/>
            </c:ext>
          </c:extLst>
        </c:ser>
        <c:ser>
          <c:idx val="4"/>
          <c:order val="4"/>
          <c:tx>
            <c:strRef>
              <c:f>stnk!$BB$3:$BB$4</c:f>
              <c:strCache>
                <c:ptCount val="1"/>
                <c:pt idx="0">
                  <c:v>Minat</c:v>
                </c:pt>
              </c:strCache>
            </c:strRef>
          </c:tx>
          <c:spPr>
            <a:ln w="38100" cap="rnd">
              <a:solidFill>
                <a:schemeClr val="accent5"/>
              </a:solidFill>
              <a:round/>
            </a:ln>
            <a:effectLst/>
          </c:spPr>
          <c:marker>
            <c:symbol val="star"/>
            <c:size val="10"/>
            <c:spPr>
              <a:noFill/>
              <a:ln w="31750">
                <a:solidFill>
                  <a:schemeClr val="accent5"/>
                </a:solidFill>
              </a:ln>
              <a:effectLst/>
            </c:spPr>
          </c:marker>
          <c:cat>
            <c:multiLvlStrRef>
              <c:f>stnk!$AU$5:$AW$20</c:f>
              <c:multiLvlStrCache>
                <c:ptCount val="16"/>
                <c:lvl>
                  <c:pt idx="0">
                    <c:v>Wk.3</c:v>
                  </c:pt>
                  <c:pt idx="1">
                    <c:v>Wk.4</c:v>
                  </c:pt>
                  <c:pt idx="2">
                    <c:v>Wk.5</c:v>
                  </c:pt>
                  <c:pt idx="3">
                    <c:v>Wk.2</c:v>
                  </c:pt>
                  <c:pt idx="4">
                    <c:v>Wk.6</c:v>
                  </c:pt>
                  <c:pt idx="5">
                    <c:v>Wk.7</c:v>
                  </c:pt>
                  <c:pt idx="6">
                    <c:v>Wk.8</c:v>
                  </c:pt>
                  <c:pt idx="7">
                    <c:v>Wk.9</c:v>
                  </c:pt>
                  <c:pt idx="8">
                    <c:v>Wk.3</c:v>
                  </c:pt>
                  <c:pt idx="9">
                    <c:v>Wk.4</c:v>
                  </c:pt>
                  <c:pt idx="10">
                    <c:v>Wk.5</c:v>
                  </c:pt>
                  <c:pt idx="11">
                    <c:v>Wk.2</c:v>
                  </c:pt>
                  <c:pt idx="12">
                    <c:v>Wk.6</c:v>
                  </c:pt>
                  <c:pt idx="13">
                    <c:v>Wk.7</c:v>
                  </c:pt>
                  <c:pt idx="14">
                    <c:v>Wk.8</c:v>
                  </c:pt>
                  <c:pt idx="15">
                    <c:v>Wk.9</c:v>
                  </c:pt>
                </c:lvl>
                <c:lvl>
                  <c:pt idx="0">
                    <c:v>Jan</c:v>
                  </c:pt>
                  <c:pt idx="4">
                    <c:v>Feb</c:v>
                  </c:pt>
                  <c:pt idx="8">
                    <c:v>Jan</c:v>
                  </c:pt>
                  <c:pt idx="12">
                    <c:v>Feb</c:v>
                  </c:pt>
                </c:lvl>
                <c:lvl>
                  <c:pt idx="0">
                    <c:v>11A</c:v>
                  </c:pt>
                  <c:pt idx="8">
                    <c:v>12A</c:v>
                  </c:pt>
                </c:lvl>
              </c:multiLvlStrCache>
            </c:multiLvlStrRef>
          </c:cat>
          <c:val>
            <c:numRef>
              <c:f>stnk!$BB$5:$BB$20</c:f>
              <c:numCache>
                <c:formatCode>_(* #,##0_);_(* \(#,##0\);_(* "-"_);_(@_)</c:formatCode>
                <c:ptCount val="16"/>
                <c:pt idx="0">
                  <c:v>70.264705882352942</c:v>
                </c:pt>
                <c:pt idx="1">
                  <c:v>69.545454545454547</c:v>
                </c:pt>
                <c:pt idx="2">
                  <c:v>69.727272727272734</c:v>
                </c:pt>
                <c:pt idx="4">
                  <c:v>70.411764705882348</c:v>
                </c:pt>
                <c:pt idx="5">
                  <c:v>69</c:v>
                </c:pt>
                <c:pt idx="6">
                  <c:v>72.545454545454547</c:v>
                </c:pt>
                <c:pt idx="8">
                  <c:v>74.5</c:v>
                </c:pt>
                <c:pt idx="9">
                  <c:v>72.666666666666671</c:v>
                </c:pt>
                <c:pt idx="10">
                  <c:v>69.777777777777771</c:v>
                </c:pt>
                <c:pt idx="12">
                  <c:v>70.222222222222229</c:v>
                </c:pt>
                <c:pt idx="13">
                  <c:v>76.055555555555557</c:v>
                </c:pt>
                <c:pt idx="14">
                  <c:v>70</c:v>
                </c:pt>
              </c:numCache>
            </c:numRef>
          </c:val>
          <c:smooth val="0"/>
          <c:extLst>
            <c:ext xmlns:c16="http://schemas.microsoft.com/office/drawing/2014/chart" uri="{C3380CC4-5D6E-409C-BE32-E72D297353CC}">
              <c16:uniqueId val="{00000009-C51E-F049-922E-D9285DA55210}"/>
            </c:ext>
          </c:extLst>
        </c:ser>
        <c:dLbls>
          <c:showLegendKey val="0"/>
          <c:showVal val="0"/>
          <c:showCatName val="0"/>
          <c:showSerName val="0"/>
          <c:showPercent val="0"/>
          <c:showBubbleSize val="0"/>
        </c:dLbls>
        <c:marker val="1"/>
        <c:smooth val="0"/>
        <c:axId val="-2114096512"/>
        <c:axId val="-2114089984"/>
      </c:lineChart>
      <c:catAx>
        <c:axId val="-211409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id-ID"/>
          </a:p>
        </c:txPr>
        <c:crossAx val="-2114089984"/>
        <c:crosses val="autoZero"/>
        <c:auto val="1"/>
        <c:lblAlgn val="ctr"/>
        <c:lblOffset val="100"/>
        <c:noMultiLvlLbl val="0"/>
      </c:catAx>
      <c:valAx>
        <c:axId val="-2114089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id-ID"/>
          </a:p>
        </c:txPr>
        <c:crossAx val="-2114096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id-ID"/>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[TDU_SMA_2526_S2.xlsx]karakter!PivotTable1</c:name>
    <c:fmtId val="0"/>
  </c:pivotSource>
  <c:chart>
    <c:title>
      <c:tx>
        <c:rich>
          <a:bodyPr rot="0" vert="horz"/>
          <a:lstStyle/>
          <a:p>
            <a:pPr>
              <a:defRPr sz="2400"/>
            </a:pPr>
            <a:r>
              <a:rPr lang="en-US" sz="2400"/>
              <a:t>Persentase Perkembangan Karakter</a:t>
            </a:r>
          </a:p>
          <a:p>
            <a:pPr>
              <a:defRPr sz="2400"/>
            </a:pPr>
            <a:r>
              <a:rPr lang="en-US" sz="2400"/>
              <a:t>SMA SAI</a:t>
            </a:r>
          </a:p>
        </c:rich>
      </c:tx>
      <c:overlay val="0"/>
      <c:spPr>
        <a:noFill/>
        <a:ln>
          <a:noFill/>
        </a:ln>
        <a:effectLst/>
      </c:spPr>
    </c:title>
    <c:autoTitleDeleted val="0"/>
    <c:pivotFmts>
      <c:pivotFmt>
        <c:idx val="0"/>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bg1"/>
            </a:solidFill>
          </a:ln>
          <a:effectLst/>
        </c:spPr>
      </c:pivotFmt>
      <c:pivotFmt>
        <c:idx val="2"/>
        <c:spPr>
          <a:solidFill>
            <a:srgbClr val="00B050"/>
          </a:solidFill>
          <a:ln w="19050">
            <a:solidFill>
              <a:schemeClr val="bg1"/>
            </a:solidFill>
          </a:ln>
          <a:effectLst/>
        </c:spPr>
      </c:pivotFmt>
      <c:pivotFmt>
        <c:idx val="3"/>
        <c:spPr>
          <a:solidFill>
            <a:srgbClr val="FFFF00"/>
          </a:solidFill>
          <a:ln w="19050">
            <a:solidFill>
              <a:schemeClr val="bg1"/>
            </a:solidFill>
          </a:ln>
          <a:effectLst/>
        </c:spPr>
      </c:pivotFmt>
      <c:pivotFmt>
        <c:idx val="4"/>
        <c:spPr>
          <a:solidFill>
            <a:srgbClr val="FFC000"/>
          </a:solidFill>
          <a:ln w="19050">
            <a:solidFill>
              <a:schemeClr val="bg1"/>
            </a:solidFill>
          </a:ln>
          <a:effectLst/>
        </c:spPr>
      </c:pivotFmt>
      <c:pivotFmt>
        <c:idx val="5"/>
        <c:spPr>
          <a:solidFill>
            <a:srgbClr val="92D050"/>
          </a:solidFill>
          <a:ln w="19050">
            <a:solidFill>
              <a:schemeClr val="bg1"/>
            </a:solidFill>
          </a:ln>
          <a:effectLst/>
        </c:spPr>
      </c:pivotFmt>
      <c:pivotFmt>
        <c:idx val="6"/>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bg1"/>
            </a:solidFill>
          </a:ln>
          <a:effectLst/>
        </c:spPr>
      </c:pivotFmt>
      <c:pivotFmt>
        <c:idx val="8"/>
        <c:spPr>
          <a:solidFill>
            <a:srgbClr val="92D050"/>
          </a:solidFill>
          <a:ln w="19050">
            <a:solidFill>
              <a:schemeClr val="bg1"/>
            </a:solidFill>
          </a:ln>
          <a:effectLst/>
        </c:spPr>
      </c:pivotFmt>
      <c:pivotFmt>
        <c:idx val="9"/>
        <c:spPr>
          <a:solidFill>
            <a:srgbClr val="FFFF00"/>
          </a:solidFill>
          <a:ln w="19050">
            <a:solidFill>
              <a:schemeClr val="bg1"/>
            </a:solidFill>
          </a:ln>
          <a:effectLst/>
        </c:spPr>
      </c:pivotFmt>
      <c:pivotFmt>
        <c:idx val="10"/>
        <c:spPr>
          <a:solidFill>
            <a:srgbClr val="FFC000"/>
          </a:solidFill>
          <a:ln w="19050">
            <a:solidFill>
              <a:schemeClr val="bg1"/>
            </a:solidFill>
          </a:ln>
          <a:effectLst/>
        </c:spPr>
      </c:pivotFmt>
      <c:pivotFmt>
        <c:idx val="11"/>
        <c:spPr>
          <a:solidFill>
            <a:srgbClr val="FF0000"/>
          </a:solidFill>
          <a:ln w="19050">
            <a:solidFill>
              <a:schemeClr val="bg1"/>
            </a:solidFill>
          </a:ln>
          <a:effectLst/>
        </c:spPr>
      </c:pivotFmt>
      <c:pivotFmt>
        <c:idx val="12"/>
        <c:spPr>
          <a:ln w="19050">
            <a:solidFill>
              <a:schemeClr val="bg1"/>
            </a:solidFill>
          </a:ln>
        </c:spPr>
        <c:marker>
          <c:symbol val="none"/>
        </c:marker>
        <c:dLbl>
          <c:idx val="0"/>
          <c:spPr>
            <a:noFill/>
            <a:ln>
              <a:noFill/>
            </a:ln>
            <a:effectLst/>
          </c:spPr>
          <c:txPr>
            <a:bodyPr rot="0" vert="horz"/>
            <a:lstStyle/>
            <a:p>
              <a:pPr>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w="19050">
            <a:solidFill>
              <a:schemeClr val="bg1"/>
            </a:solidFill>
          </a:ln>
          <a:effectLst/>
        </c:spPr>
      </c:pivotFmt>
      <c:pivotFmt>
        <c:idx val="14"/>
        <c:spPr>
          <a:solidFill>
            <a:srgbClr val="92D050"/>
          </a:solidFill>
          <a:ln w="19050">
            <a:solidFill>
              <a:schemeClr val="bg1"/>
            </a:solidFill>
          </a:ln>
          <a:effectLst/>
        </c:spPr>
      </c:pivotFmt>
      <c:pivotFmt>
        <c:idx val="15"/>
        <c:spPr>
          <a:solidFill>
            <a:srgbClr val="FFFF00"/>
          </a:solidFill>
          <a:ln w="19050">
            <a:solidFill>
              <a:schemeClr val="bg1"/>
            </a:solidFill>
          </a:ln>
          <a:effectLst/>
        </c:spPr>
      </c:pivotFmt>
      <c:pivotFmt>
        <c:idx val="16"/>
        <c:spPr>
          <a:solidFill>
            <a:srgbClr val="FFC000"/>
          </a:solidFill>
          <a:ln w="19050">
            <a:solidFill>
              <a:schemeClr val="bg1"/>
            </a:solidFill>
          </a:ln>
          <a:effectLst/>
        </c:spPr>
      </c:pivotFmt>
      <c:pivotFmt>
        <c:idx val="17"/>
        <c:spPr>
          <a:solidFill>
            <a:srgbClr val="FF0000"/>
          </a:solidFill>
          <a:ln w="19050">
            <a:solidFill>
              <a:schemeClr val="bg1"/>
            </a:solidFill>
          </a:ln>
          <a:effectLst/>
        </c:spPr>
      </c:pivotFmt>
      <c:pivotFmt>
        <c:idx val="18"/>
        <c:spPr>
          <a:solidFill>
            <a:srgbClr val="FFC000"/>
          </a:solidFill>
          <a:ln w="19050">
            <a:solidFill>
              <a:schemeClr val="bg1"/>
            </a:solidFill>
          </a:ln>
        </c:spPr>
      </c:pivotFmt>
      <c:pivotFmt>
        <c:idx val="19"/>
        <c:spPr>
          <a:solidFill>
            <a:srgbClr val="00B050"/>
          </a:solidFill>
          <a:ln w="19050">
            <a:solidFill>
              <a:schemeClr val="bg1"/>
            </a:solidFill>
          </a:ln>
        </c:spPr>
      </c:pivotFmt>
      <c:pivotFmt>
        <c:idx val="20"/>
        <c:spPr>
          <a:solidFill>
            <a:srgbClr val="92D050"/>
          </a:solidFill>
          <a:ln w="19050">
            <a:solidFill>
              <a:schemeClr val="bg1"/>
            </a:solidFill>
          </a:ln>
        </c:spPr>
      </c:pivotFmt>
      <c:pivotFmt>
        <c:idx val="21"/>
        <c:spPr>
          <a:solidFill>
            <a:srgbClr val="FFFF00"/>
          </a:solidFill>
          <a:ln w="19050">
            <a:solidFill>
              <a:schemeClr val="bg1"/>
            </a:solidFill>
          </a:ln>
        </c:spPr>
      </c:pivotFmt>
      <c:pivotFmt>
        <c:idx val="22"/>
        <c:spPr>
          <a:solidFill>
            <a:srgbClr val="FFC000"/>
          </a:solidFill>
          <a:ln w="19050">
            <a:solidFill>
              <a:schemeClr val="bg1"/>
            </a:solidFill>
          </a:ln>
        </c:spPr>
      </c:pivotFmt>
      <c:pivotFmt>
        <c:idx val="23"/>
        <c:spPr>
          <a:solidFill>
            <a:srgbClr val="FF0000"/>
          </a:solidFill>
          <a:ln w="19050">
            <a:solidFill>
              <a:schemeClr val="bg1"/>
            </a:solidFill>
          </a:ln>
        </c:spPr>
      </c:pivotFmt>
    </c:pivotFmts>
    <c:plotArea>
      <c:layout/>
      <c:pieChart>
        <c:varyColors val="1"/>
        <c:ser>
          <c:idx val="0"/>
          <c:order val="0"/>
          <c:tx>
            <c:strRef>
              <c:f>karakter!$B$3</c:f>
              <c:strCache>
                <c:ptCount val="1"/>
                <c:pt idx="0">
                  <c:v>Total</c:v>
                </c:pt>
              </c:strCache>
            </c:strRef>
          </c:tx>
          <c:spPr>
            <a:ln w="19050">
              <a:solidFill>
                <a:schemeClr val="bg1"/>
              </a:solidFill>
            </a:ln>
          </c:spPr>
          <c:dPt>
            <c:idx val="0"/>
            <c:bubble3D val="0"/>
            <c:spPr>
              <a:solidFill>
                <a:srgbClr val="00B050"/>
              </a:solidFill>
              <a:ln w="19050">
                <a:solidFill>
                  <a:schemeClr val="bg1"/>
                </a:solidFill>
              </a:ln>
            </c:spPr>
            <c:extLst>
              <c:ext xmlns:c16="http://schemas.microsoft.com/office/drawing/2014/chart" uri="{C3380CC4-5D6E-409C-BE32-E72D297353CC}">
                <c16:uniqueId val="{00000009-5EA5-1047-A532-4D2ABF7F6E54}"/>
              </c:ext>
            </c:extLst>
          </c:dPt>
          <c:dPt>
            <c:idx val="1"/>
            <c:bubble3D val="0"/>
            <c:spPr>
              <a:solidFill>
                <a:srgbClr val="92D050"/>
              </a:solidFill>
              <a:ln w="19050">
                <a:solidFill>
                  <a:schemeClr val="bg1"/>
                </a:solidFill>
              </a:ln>
            </c:spPr>
            <c:extLst>
              <c:ext xmlns:c16="http://schemas.microsoft.com/office/drawing/2014/chart" uri="{C3380CC4-5D6E-409C-BE32-E72D297353CC}">
                <c16:uniqueId val="{0000000B-5EA5-1047-A532-4D2ABF7F6E54}"/>
              </c:ext>
            </c:extLst>
          </c:dPt>
          <c:dPt>
            <c:idx val="2"/>
            <c:bubble3D val="0"/>
            <c:spPr>
              <a:solidFill>
                <a:srgbClr val="FFFF00"/>
              </a:solidFill>
              <a:ln w="19050">
                <a:solidFill>
                  <a:schemeClr val="bg1"/>
                </a:solidFill>
              </a:ln>
            </c:spPr>
            <c:extLst>
              <c:ext xmlns:c16="http://schemas.microsoft.com/office/drawing/2014/chart" uri="{C3380CC4-5D6E-409C-BE32-E72D297353CC}">
                <c16:uniqueId val="{0000000D-5EA5-1047-A532-4D2ABF7F6E54}"/>
              </c:ext>
            </c:extLst>
          </c:dPt>
          <c:dPt>
            <c:idx val="3"/>
            <c:bubble3D val="0"/>
            <c:spPr>
              <a:solidFill>
                <a:srgbClr val="FFC000"/>
              </a:solidFill>
              <a:ln w="19050">
                <a:solidFill>
                  <a:schemeClr val="bg1"/>
                </a:solidFill>
              </a:ln>
            </c:spPr>
            <c:extLst>
              <c:ext xmlns:c16="http://schemas.microsoft.com/office/drawing/2014/chart" uri="{C3380CC4-5D6E-409C-BE32-E72D297353CC}">
                <c16:uniqueId val="{0000000F-5EA5-1047-A532-4D2ABF7F6E54}"/>
              </c:ext>
            </c:extLst>
          </c:dPt>
          <c:dPt>
            <c:idx val="4"/>
            <c:bubble3D val="0"/>
            <c:spPr>
              <a:solidFill>
                <a:srgbClr val="FF0000"/>
              </a:solidFill>
              <a:ln w="19050">
                <a:solidFill>
                  <a:schemeClr val="bg1"/>
                </a:solidFill>
              </a:ln>
            </c:spPr>
            <c:extLst>
              <c:ext xmlns:c16="http://schemas.microsoft.com/office/drawing/2014/chart" uri="{C3380CC4-5D6E-409C-BE32-E72D297353CC}">
                <c16:uniqueId val="{00000011-5EA5-1047-A532-4D2ABF7F6E54}"/>
              </c:ext>
            </c:extLst>
          </c:dPt>
          <c:dLbls>
            <c:spPr>
              <a:noFill/>
              <a:ln>
                <a:noFill/>
              </a:ln>
              <a:effectLst/>
            </c:spPr>
            <c:txPr>
              <a:bodyPr rot="0" vert="horz"/>
              <a:lstStyle/>
              <a:p>
                <a:pPr>
                  <a:defRPr/>
                </a:pPr>
                <a:endParaRPr lang="id-ID"/>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karakter!$A$4:$A$9</c:f>
              <c:strCache>
                <c:ptCount val="5"/>
                <c:pt idx="0">
                  <c:v>Sangat baik</c:v>
                </c:pt>
                <c:pt idx="1">
                  <c:v>Baik</c:v>
                </c:pt>
                <c:pt idx="2">
                  <c:v>Cukup</c:v>
                </c:pt>
                <c:pt idx="3">
                  <c:v>Kurang</c:v>
                </c:pt>
                <c:pt idx="4">
                  <c:v>Sangat kurang</c:v>
                </c:pt>
              </c:strCache>
            </c:strRef>
          </c:cat>
          <c:val>
            <c:numRef>
              <c:f>karakter!$B$4:$B$9</c:f>
              <c:numCache>
                <c:formatCode>0%</c:formatCode>
                <c:ptCount val="5"/>
                <c:pt idx="0">
                  <c:v>9.8701298701298706E-2</c:v>
                </c:pt>
                <c:pt idx="1">
                  <c:v>0.30649350649350648</c:v>
                </c:pt>
                <c:pt idx="2">
                  <c:v>0.46493506493506492</c:v>
                </c:pt>
                <c:pt idx="3">
                  <c:v>0.1012987012987013</c:v>
                </c:pt>
                <c:pt idx="4">
                  <c:v>2.8571428571428571E-2</c:v>
                </c:pt>
              </c:numCache>
            </c:numRef>
          </c:val>
          <c:extLst>
            <c:ext xmlns:c16="http://schemas.microsoft.com/office/drawing/2014/chart" uri="{C3380CC4-5D6E-409C-BE32-E72D297353CC}">
              <c16:uniqueId val="{00000012-5EA5-1047-A532-4D2ABF7F6E54}"/>
            </c:ext>
          </c:extLst>
        </c:ser>
        <c:dLbls>
          <c:dLblPos val="outEnd"/>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vert="horz"/>
        <a:lstStyle/>
        <a:p>
          <a:pPr>
            <a:defRPr/>
          </a:pPr>
          <a:endParaRPr lang="id-ID"/>
        </a:p>
      </c:txPr>
    </c:legend>
    <c:plotVisOnly val="1"/>
    <c:dispBlanksAs val="gap"/>
    <c:showDLblsOverMax val="0"/>
    <c:extLst/>
  </c:chart>
  <c:txPr>
    <a:bodyPr/>
    <a:lstStyle/>
    <a:p>
      <a:pPr>
        <a:defRPr sz="1400" b="1">
          <a:solidFill>
            <a:schemeClr val="tx1"/>
          </a:solidFill>
        </a:defRPr>
      </a:pPr>
      <a:endParaRPr lang="id-ID"/>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[TDU_SMA_2526_S2.xlsx]karakter!PivotTable4</c:name>
    <c:fmtId val="0"/>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a:t>Progres Perkembangan</a:t>
            </a:r>
            <a:r>
              <a:rPr lang="en-US" sz="2000" baseline="0"/>
              <a:t> Karakter per Kelas</a:t>
            </a:r>
          </a:p>
          <a:p>
            <a:pPr>
              <a:defRPr sz="2000"/>
            </a:pPr>
            <a:r>
              <a:rPr lang="en-US" sz="2000" baseline="0"/>
              <a:t>SMA SAI</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id-ID"/>
        </a:p>
      </c:txPr>
    </c:title>
    <c:autoTitleDeleted val="0"/>
    <c:pivotFmts>
      <c:pivotFmt>
        <c:idx val="0"/>
        <c:spPr>
          <a:solidFill>
            <a:srgbClr val="00B050"/>
          </a:solidFill>
          <a:ln>
            <a:noFill/>
          </a:ln>
          <a:effectLst/>
        </c:spPr>
        <c:marker>
          <c:symbol val="none"/>
        </c:marker>
      </c:pivotFmt>
      <c:pivotFmt>
        <c:idx val="1"/>
        <c:spPr>
          <a:solidFill>
            <a:srgbClr val="92D050"/>
          </a:solidFill>
          <a:ln>
            <a:noFill/>
          </a:ln>
          <a:effectLst/>
        </c:spPr>
        <c:marker>
          <c:symbol val="none"/>
        </c:marker>
      </c:pivotFmt>
      <c:pivotFmt>
        <c:idx val="2"/>
        <c:spPr>
          <a:solidFill>
            <a:srgbClr val="FFFF00"/>
          </a:solidFill>
          <a:ln>
            <a:noFill/>
          </a:ln>
          <a:effectLst/>
        </c:spPr>
        <c:marker>
          <c:symbol val="none"/>
        </c:marker>
      </c:pivotFmt>
      <c:pivotFmt>
        <c:idx val="3"/>
        <c:spPr>
          <a:solidFill>
            <a:srgbClr val="FFC000"/>
          </a:solidFill>
          <a:ln>
            <a:noFill/>
          </a:ln>
          <a:effectLst/>
        </c:spPr>
        <c:marker>
          <c:symbol val="none"/>
        </c:marker>
      </c:pivotFmt>
      <c:pivotFmt>
        <c:idx val="4"/>
        <c:spPr>
          <a:solidFill>
            <a:srgbClr val="FF0000"/>
          </a:solidFill>
          <a:ln>
            <a:noFill/>
          </a:ln>
          <a:effectLst/>
        </c:spPr>
        <c:marker>
          <c:symbol val="none"/>
        </c:marker>
      </c:pivotFmt>
      <c:pivotFmt>
        <c:idx val="5"/>
        <c:spPr>
          <a:solidFill>
            <a:srgbClr val="FFC000"/>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karakter!$C$34:$C$35</c:f>
              <c:strCache>
                <c:ptCount val="1"/>
                <c:pt idx="0">
                  <c:v>Sangat baik</c:v>
                </c:pt>
              </c:strCache>
            </c:strRef>
          </c:tx>
          <c:spPr>
            <a:solidFill>
              <a:srgbClr val="00B050"/>
            </a:solidFill>
            <a:ln>
              <a:noFill/>
            </a:ln>
            <a:effectLst/>
          </c:spPr>
          <c:invertIfNegative val="0"/>
          <c:cat>
            <c:multiLvlStrRef>
              <c:f>karakter!$A$36:$B$39</c:f>
              <c:multiLvlStrCache>
                <c:ptCount val="4"/>
                <c:lvl>
                  <c:pt idx="0">
                    <c:v>Jan</c:v>
                  </c:pt>
                  <c:pt idx="1">
                    <c:v>Feb</c:v>
                  </c:pt>
                  <c:pt idx="2">
                    <c:v>Jan</c:v>
                  </c:pt>
                  <c:pt idx="3">
                    <c:v>Feb</c:v>
                  </c:pt>
                </c:lvl>
                <c:lvl>
                  <c:pt idx="0">
                    <c:v>11A</c:v>
                  </c:pt>
                  <c:pt idx="2">
                    <c:v>12A</c:v>
                  </c:pt>
                </c:lvl>
              </c:multiLvlStrCache>
            </c:multiLvlStrRef>
          </c:cat>
          <c:val>
            <c:numRef>
              <c:f>karakter!$C$36:$C$39</c:f>
              <c:numCache>
                <c:formatCode>0%</c:formatCode>
                <c:ptCount val="4"/>
                <c:pt idx="0">
                  <c:v>0.19875776397515527</c:v>
                </c:pt>
                <c:pt idx="1">
                  <c:v>0</c:v>
                </c:pt>
                <c:pt idx="2">
                  <c:v>6.097560975609756E-2</c:v>
                </c:pt>
                <c:pt idx="3">
                  <c:v>1.5873015873015872E-2</c:v>
                </c:pt>
              </c:numCache>
            </c:numRef>
          </c:val>
          <c:extLst>
            <c:ext xmlns:c16="http://schemas.microsoft.com/office/drawing/2014/chart" uri="{C3380CC4-5D6E-409C-BE32-E72D297353CC}">
              <c16:uniqueId val="{00000000-DF69-F146-8A2F-A2704E90C8CF}"/>
            </c:ext>
          </c:extLst>
        </c:ser>
        <c:ser>
          <c:idx val="1"/>
          <c:order val="1"/>
          <c:tx>
            <c:strRef>
              <c:f>karakter!$D$34:$D$35</c:f>
              <c:strCache>
                <c:ptCount val="1"/>
                <c:pt idx="0">
                  <c:v>Baik</c:v>
                </c:pt>
              </c:strCache>
            </c:strRef>
          </c:tx>
          <c:spPr>
            <a:solidFill>
              <a:srgbClr val="92D050"/>
            </a:solidFill>
            <a:ln>
              <a:noFill/>
            </a:ln>
            <a:effectLst/>
          </c:spPr>
          <c:invertIfNegative val="0"/>
          <c:cat>
            <c:multiLvlStrRef>
              <c:f>karakter!$A$36:$B$39</c:f>
              <c:multiLvlStrCache>
                <c:ptCount val="4"/>
                <c:lvl>
                  <c:pt idx="0">
                    <c:v>Jan</c:v>
                  </c:pt>
                  <c:pt idx="1">
                    <c:v>Feb</c:v>
                  </c:pt>
                  <c:pt idx="2">
                    <c:v>Jan</c:v>
                  </c:pt>
                  <c:pt idx="3">
                    <c:v>Feb</c:v>
                  </c:pt>
                </c:lvl>
                <c:lvl>
                  <c:pt idx="0">
                    <c:v>11A</c:v>
                  </c:pt>
                  <c:pt idx="2">
                    <c:v>12A</c:v>
                  </c:pt>
                </c:lvl>
              </c:multiLvlStrCache>
            </c:multiLvlStrRef>
          </c:cat>
          <c:val>
            <c:numRef>
              <c:f>karakter!$D$36:$D$39</c:f>
              <c:numCache>
                <c:formatCode>0%</c:formatCode>
                <c:ptCount val="4"/>
                <c:pt idx="0">
                  <c:v>0.19254658385093168</c:v>
                </c:pt>
                <c:pt idx="1">
                  <c:v>0.15189873417721519</c:v>
                </c:pt>
                <c:pt idx="2">
                  <c:v>0.31707317073170732</c:v>
                </c:pt>
                <c:pt idx="3">
                  <c:v>0.77777777777777779</c:v>
                </c:pt>
              </c:numCache>
            </c:numRef>
          </c:val>
          <c:extLst>
            <c:ext xmlns:c16="http://schemas.microsoft.com/office/drawing/2014/chart" uri="{C3380CC4-5D6E-409C-BE32-E72D297353CC}">
              <c16:uniqueId val="{00000000-22E2-E044-BA0F-05AF5B4FED4A}"/>
            </c:ext>
          </c:extLst>
        </c:ser>
        <c:ser>
          <c:idx val="2"/>
          <c:order val="2"/>
          <c:tx>
            <c:strRef>
              <c:f>karakter!$E$34:$E$35</c:f>
              <c:strCache>
                <c:ptCount val="1"/>
                <c:pt idx="0">
                  <c:v>Cukup</c:v>
                </c:pt>
              </c:strCache>
            </c:strRef>
          </c:tx>
          <c:spPr>
            <a:solidFill>
              <a:srgbClr val="FFFF00"/>
            </a:solidFill>
            <a:ln>
              <a:noFill/>
            </a:ln>
            <a:effectLst/>
          </c:spPr>
          <c:invertIfNegative val="0"/>
          <c:cat>
            <c:multiLvlStrRef>
              <c:f>karakter!$A$36:$B$39</c:f>
              <c:multiLvlStrCache>
                <c:ptCount val="4"/>
                <c:lvl>
                  <c:pt idx="0">
                    <c:v>Jan</c:v>
                  </c:pt>
                  <c:pt idx="1">
                    <c:v>Feb</c:v>
                  </c:pt>
                  <c:pt idx="2">
                    <c:v>Jan</c:v>
                  </c:pt>
                  <c:pt idx="3">
                    <c:v>Feb</c:v>
                  </c:pt>
                </c:lvl>
                <c:lvl>
                  <c:pt idx="0">
                    <c:v>11A</c:v>
                  </c:pt>
                  <c:pt idx="2">
                    <c:v>12A</c:v>
                  </c:pt>
                </c:lvl>
              </c:multiLvlStrCache>
            </c:multiLvlStrRef>
          </c:cat>
          <c:val>
            <c:numRef>
              <c:f>karakter!$E$36:$E$39</c:f>
              <c:numCache>
                <c:formatCode>0%</c:formatCode>
                <c:ptCount val="4"/>
                <c:pt idx="0">
                  <c:v>0.42857142857142855</c:v>
                </c:pt>
                <c:pt idx="1">
                  <c:v>0.68354430379746833</c:v>
                </c:pt>
                <c:pt idx="2">
                  <c:v>0.57317073170731703</c:v>
                </c:pt>
                <c:pt idx="3">
                  <c:v>0.14285714285714285</c:v>
                </c:pt>
              </c:numCache>
            </c:numRef>
          </c:val>
          <c:extLst>
            <c:ext xmlns:c16="http://schemas.microsoft.com/office/drawing/2014/chart" uri="{C3380CC4-5D6E-409C-BE32-E72D297353CC}">
              <c16:uniqueId val="{00000001-22E2-E044-BA0F-05AF5B4FED4A}"/>
            </c:ext>
          </c:extLst>
        </c:ser>
        <c:ser>
          <c:idx val="3"/>
          <c:order val="3"/>
          <c:tx>
            <c:strRef>
              <c:f>karakter!$F$34:$F$35</c:f>
              <c:strCache>
                <c:ptCount val="1"/>
                <c:pt idx="0">
                  <c:v>Kurang</c:v>
                </c:pt>
              </c:strCache>
            </c:strRef>
          </c:tx>
          <c:spPr>
            <a:solidFill>
              <a:srgbClr val="FFC000"/>
            </a:solidFill>
            <a:ln>
              <a:noFill/>
            </a:ln>
            <a:effectLst/>
          </c:spPr>
          <c:invertIfNegative val="0"/>
          <c:cat>
            <c:multiLvlStrRef>
              <c:f>karakter!$A$36:$B$39</c:f>
              <c:multiLvlStrCache>
                <c:ptCount val="4"/>
                <c:lvl>
                  <c:pt idx="0">
                    <c:v>Jan</c:v>
                  </c:pt>
                  <c:pt idx="1">
                    <c:v>Feb</c:v>
                  </c:pt>
                  <c:pt idx="2">
                    <c:v>Jan</c:v>
                  </c:pt>
                  <c:pt idx="3">
                    <c:v>Feb</c:v>
                  </c:pt>
                </c:lvl>
                <c:lvl>
                  <c:pt idx="0">
                    <c:v>11A</c:v>
                  </c:pt>
                  <c:pt idx="2">
                    <c:v>12A</c:v>
                  </c:pt>
                </c:lvl>
              </c:multiLvlStrCache>
            </c:multiLvlStrRef>
          </c:cat>
          <c:val>
            <c:numRef>
              <c:f>karakter!$F$36:$F$39</c:f>
              <c:numCache>
                <c:formatCode>0%</c:formatCode>
                <c:ptCount val="4"/>
                <c:pt idx="0">
                  <c:v>0.13664596273291926</c:v>
                </c:pt>
                <c:pt idx="1">
                  <c:v>0.16455696202531644</c:v>
                </c:pt>
                <c:pt idx="2">
                  <c:v>4.878048780487805E-2</c:v>
                </c:pt>
                <c:pt idx="3">
                  <c:v>0</c:v>
                </c:pt>
              </c:numCache>
            </c:numRef>
          </c:val>
          <c:extLst>
            <c:ext xmlns:c16="http://schemas.microsoft.com/office/drawing/2014/chart" uri="{C3380CC4-5D6E-409C-BE32-E72D297353CC}">
              <c16:uniqueId val="{00000000-E92B-B042-87F4-4A22F4D8D190}"/>
            </c:ext>
          </c:extLst>
        </c:ser>
        <c:ser>
          <c:idx val="4"/>
          <c:order val="4"/>
          <c:tx>
            <c:strRef>
              <c:f>karakter!$G$34:$G$35</c:f>
              <c:strCache>
                <c:ptCount val="1"/>
                <c:pt idx="0">
                  <c:v>Sangat kurang</c:v>
                </c:pt>
              </c:strCache>
            </c:strRef>
          </c:tx>
          <c:spPr>
            <a:solidFill>
              <a:srgbClr val="FF0000"/>
            </a:solidFill>
            <a:ln>
              <a:noFill/>
            </a:ln>
            <a:effectLst/>
          </c:spPr>
          <c:invertIfNegative val="0"/>
          <c:cat>
            <c:multiLvlStrRef>
              <c:f>karakter!$A$36:$B$39</c:f>
              <c:multiLvlStrCache>
                <c:ptCount val="4"/>
                <c:lvl>
                  <c:pt idx="0">
                    <c:v>Jan</c:v>
                  </c:pt>
                  <c:pt idx="1">
                    <c:v>Feb</c:v>
                  </c:pt>
                  <c:pt idx="2">
                    <c:v>Jan</c:v>
                  </c:pt>
                  <c:pt idx="3">
                    <c:v>Feb</c:v>
                  </c:pt>
                </c:lvl>
                <c:lvl>
                  <c:pt idx="0">
                    <c:v>11A</c:v>
                  </c:pt>
                  <c:pt idx="2">
                    <c:v>12A</c:v>
                  </c:pt>
                </c:lvl>
              </c:multiLvlStrCache>
            </c:multiLvlStrRef>
          </c:cat>
          <c:val>
            <c:numRef>
              <c:f>karakter!$G$36:$G$39</c:f>
              <c:numCache>
                <c:formatCode>0%</c:formatCode>
                <c:ptCount val="4"/>
                <c:pt idx="0">
                  <c:v>4.3478260869565216E-2</c:v>
                </c:pt>
                <c:pt idx="1">
                  <c:v>0</c:v>
                </c:pt>
                <c:pt idx="2">
                  <c:v>0</c:v>
                </c:pt>
                <c:pt idx="3">
                  <c:v>6.3492063492063489E-2</c:v>
                </c:pt>
              </c:numCache>
            </c:numRef>
          </c:val>
          <c:extLst>
            <c:ext xmlns:c16="http://schemas.microsoft.com/office/drawing/2014/chart" uri="{C3380CC4-5D6E-409C-BE32-E72D297353CC}">
              <c16:uniqueId val="{00000001-E92B-B042-87F4-4A22F4D8D190}"/>
            </c:ext>
          </c:extLst>
        </c:ser>
        <c:dLbls>
          <c:showLegendKey val="0"/>
          <c:showVal val="0"/>
          <c:showCatName val="0"/>
          <c:showSerName val="0"/>
          <c:showPercent val="0"/>
          <c:showBubbleSize val="0"/>
        </c:dLbls>
        <c:gapWidth val="219"/>
        <c:overlap val="100"/>
        <c:axId val="-2114737056"/>
        <c:axId val="-2114725088"/>
      </c:barChart>
      <c:catAx>
        <c:axId val="-211473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id-ID"/>
          </a:p>
        </c:txPr>
        <c:crossAx val="-2114725088"/>
        <c:crosses val="autoZero"/>
        <c:auto val="1"/>
        <c:lblAlgn val="ctr"/>
        <c:lblOffset val="100"/>
        <c:noMultiLvlLbl val="0"/>
      </c:catAx>
      <c:valAx>
        <c:axId val="-211472508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id-ID"/>
          </a:p>
        </c:txPr>
        <c:crossAx val="-211473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solidFill>
            <a:sysClr val="windowText" lastClr="000000"/>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[TDU_SMA_2526_S2.xlsx]karakter!PivotTable5</c:name>
    <c:fmtId val="0"/>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a:t>Progres Perkembangan Karakter per Mapel</a:t>
            </a:r>
          </a:p>
          <a:p>
            <a:pPr>
              <a:defRPr sz="2000"/>
            </a:pPr>
            <a:r>
              <a:rPr lang="en-US" sz="2000"/>
              <a:t>SMA SAI</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id-ID"/>
        </a:p>
      </c:txPr>
    </c:title>
    <c:autoTitleDeleted val="0"/>
    <c:pivotFmts>
      <c:pivotFmt>
        <c:idx val="0"/>
        <c:spPr>
          <a:solidFill>
            <a:srgbClr val="00B050"/>
          </a:solidFill>
          <a:ln>
            <a:noFill/>
          </a:ln>
          <a:effectLst/>
        </c:spPr>
        <c:marker>
          <c:symbol val="none"/>
        </c:marker>
      </c:pivotFmt>
      <c:pivotFmt>
        <c:idx val="1"/>
        <c:spPr>
          <a:solidFill>
            <a:srgbClr val="92D050"/>
          </a:solidFill>
          <a:ln>
            <a:noFill/>
          </a:ln>
          <a:effectLst/>
        </c:spPr>
        <c:marker>
          <c:symbol val="none"/>
        </c:marker>
      </c:pivotFmt>
      <c:pivotFmt>
        <c:idx val="2"/>
        <c:spPr>
          <a:solidFill>
            <a:srgbClr val="FFFF00"/>
          </a:solidFill>
          <a:ln>
            <a:noFill/>
          </a:ln>
          <a:effectLst/>
        </c:spPr>
        <c:marker>
          <c:symbol val="none"/>
        </c:marker>
      </c:pivotFmt>
      <c:pivotFmt>
        <c:idx val="3"/>
        <c:spPr>
          <a:solidFill>
            <a:srgbClr val="FFC000"/>
          </a:solidFill>
          <a:ln>
            <a:noFill/>
          </a:ln>
          <a:effectLst/>
        </c:spPr>
        <c:marker>
          <c:symbol val="none"/>
        </c:marker>
      </c:pivotFmt>
      <c:pivotFmt>
        <c:idx val="4"/>
        <c:spPr>
          <a:solidFill>
            <a:srgbClr val="FF0000"/>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karakter!$B$70:$B$71</c:f>
              <c:strCache>
                <c:ptCount val="1"/>
                <c:pt idx="0">
                  <c:v>Sangat baik</c:v>
                </c:pt>
              </c:strCache>
            </c:strRef>
          </c:tx>
          <c:spPr>
            <a:solidFill>
              <a:srgbClr val="00B050"/>
            </a:solidFill>
            <a:ln>
              <a:noFill/>
            </a:ln>
            <a:effectLst/>
          </c:spPr>
          <c:invertIfNegative val="0"/>
          <c:cat>
            <c:multiLvlStrRef>
              <c:f>karakter!$A$72:$A$112</c:f>
              <c:multiLvlStrCache>
                <c:ptCount val="23"/>
                <c:lvl>
                  <c:pt idx="0">
                    <c:v>Jan</c:v>
                  </c:pt>
                  <c:pt idx="1">
                    <c:v>Feb</c:v>
                  </c:pt>
                  <c:pt idx="2">
                    <c:v>Jan</c:v>
                  </c:pt>
                  <c:pt idx="3">
                    <c:v>Feb</c:v>
                  </c:pt>
                  <c:pt idx="4">
                    <c:v>Jan</c:v>
                  </c:pt>
                  <c:pt idx="5">
                    <c:v>Jan</c:v>
                  </c:pt>
                  <c:pt idx="6">
                    <c:v>Jan</c:v>
                  </c:pt>
                  <c:pt idx="7">
                    <c:v>Feb</c:v>
                  </c:pt>
                  <c:pt idx="8">
                    <c:v>Jan</c:v>
                  </c:pt>
                  <c:pt idx="9">
                    <c:v>Feb</c:v>
                  </c:pt>
                  <c:pt idx="10">
                    <c:v>Jan</c:v>
                  </c:pt>
                  <c:pt idx="11">
                    <c:v>Jan</c:v>
                  </c:pt>
                  <c:pt idx="12">
                    <c:v>Feb</c:v>
                  </c:pt>
                  <c:pt idx="13">
                    <c:v>Jan</c:v>
                  </c:pt>
                  <c:pt idx="14">
                    <c:v>Feb</c:v>
                  </c:pt>
                  <c:pt idx="15">
                    <c:v>Jan</c:v>
                  </c:pt>
                  <c:pt idx="16">
                    <c:v>Jan</c:v>
                  </c:pt>
                  <c:pt idx="17">
                    <c:v>Feb</c:v>
                  </c:pt>
                  <c:pt idx="18">
                    <c:v>Jan</c:v>
                  </c:pt>
                  <c:pt idx="19">
                    <c:v>Feb</c:v>
                  </c:pt>
                  <c:pt idx="20">
                    <c:v>Jan</c:v>
                  </c:pt>
                  <c:pt idx="21">
                    <c:v>Feb</c:v>
                  </c:pt>
                  <c:pt idx="22">
                    <c:v>Jan</c:v>
                  </c:pt>
                </c:lvl>
                <c:lvl>
                  <c:pt idx="0">
                    <c:v>B.Indo</c:v>
                  </c:pt>
                  <c:pt idx="2">
                    <c:v>TIK</c:v>
                  </c:pt>
                  <c:pt idx="4">
                    <c:v>Math</c:v>
                  </c:pt>
                  <c:pt idx="5">
                    <c:v>B.Ing</c:v>
                  </c:pt>
                  <c:pt idx="6">
                    <c:v>Pancasila</c:v>
                  </c:pt>
                  <c:pt idx="8">
                    <c:v>Sejarah</c:v>
                  </c:pt>
                  <c:pt idx="10">
                    <c:v>PKWU</c:v>
                  </c:pt>
                  <c:pt idx="11">
                    <c:v>Tepung</c:v>
                  </c:pt>
                  <c:pt idx="12">
                    <c:v>B.Indo</c:v>
                  </c:pt>
                  <c:pt idx="13">
                    <c:v>TIK</c:v>
                  </c:pt>
                  <c:pt idx="15">
                    <c:v>Kopi</c:v>
                  </c:pt>
                  <c:pt idx="16">
                    <c:v>B.Ing</c:v>
                  </c:pt>
                  <c:pt idx="18">
                    <c:v>Pancasila</c:v>
                  </c:pt>
                  <c:pt idx="20">
                    <c:v>Sejarah</c:v>
                  </c:pt>
                  <c:pt idx="22">
                    <c:v>PKWU</c:v>
                  </c:pt>
                </c:lvl>
                <c:lvl>
                  <c:pt idx="0">
                    <c:v>11A</c:v>
                  </c:pt>
                  <c:pt idx="12">
                    <c:v>12A</c:v>
                  </c:pt>
                </c:lvl>
                <c:lvl>
                  <c:pt idx="0">
                    <c:v>Pengolahan Kopi atau Tepung</c:v>
                  </c:pt>
                </c:lvl>
              </c:multiLvlStrCache>
            </c:multiLvlStrRef>
          </c:cat>
          <c:val>
            <c:numRef>
              <c:f>karakter!$B$72:$B$112</c:f>
              <c:numCache>
                <c:formatCode>0%</c:formatCode>
                <c:ptCount val="23"/>
                <c:pt idx="0">
                  <c:v>0</c:v>
                </c:pt>
                <c:pt idx="1">
                  <c:v>0</c:v>
                </c:pt>
                <c:pt idx="2">
                  <c:v>0</c:v>
                </c:pt>
                <c:pt idx="3">
                  <c:v>0</c:v>
                </c:pt>
                <c:pt idx="4">
                  <c:v>0.55000000000000004</c:v>
                </c:pt>
                <c:pt idx="5">
                  <c:v>0.5</c:v>
                </c:pt>
                <c:pt idx="6">
                  <c:v>0</c:v>
                </c:pt>
                <c:pt idx="7">
                  <c:v>0</c:v>
                </c:pt>
                <c:pt idx="8">
                  <c:v>9.0909090909090912E-2</c:v>
                </c:pt>
                <c:pt idx="9">
                  <c:v>0</c:v>
                </c:pt>
                <c:pt idx="10">
                  <c:v>1</c:v>
                </c:pt>
                <c:pt idx="11">
                  <c:v>1</c:v>
                </c:pt>
                <c:pt idx="12">
                  <c:v>0</c:v>
                </c:pt>
                <c:pt idx="13">
                  <c:v>0</c:v>
                </c:pt>
                <c:pt idx="14">
                  <c:v>0</c:v>
                </c:pt>
                <c:pt idx="15">
                  <c:v>0</c:v>
                </c:pt>
                <c:pt idx="16">
                  <c:v>0.55555555555555558</c:v>
                </c:pt>
                <c:pt idx="17">
                  <c:v>0.1111111111111111</c:v>
                </c:pt>
                <c:pt idx="18">
                  <c:v>0</c:v>
                </c:pt>
                <c:pt idx="19">
                  <c:v>0</c:v>
                </c:pt>
                <c:pt idx="20">
                  <c:v>0</c:v>
                </c:pt>
                <c:pt idx="21">
                  <c:v>0</c:v>
                </c:pt>
                <c:pt idx="22">
                  <c:v>0</c:v>
                </c:pt>
              </c:numCache>
            </c:numRef>
          </c:val>
          <c:extLst>
            <c:ext xmlns:c16="http://schemas.microsoft.com/office/drawing/2014/chart" uri="{C3380CC4-5D6E-409C-BE32-E72D297353CC}">
              <c16:uniqueId val="{00000000-CC3F-2040-A6A2-5236E7C0AF86}"/>
            </c:ext>
          </c:extLst>
        </c:ser>
        <c:ser>
          <c:idx val="1"/>
          <c:order val="1"/>
          <c:tx>
            <c:strRef>
              <c:f>karakter!$C$70:$C$71</c:f>
              <c:strCache>
                <c:ptCount val="1"/>
                <c:pt idx="0">
                  <c:v>Baik</c:v>
                </c:pt>
              </c:strCache>
            </c:strRef>
          </c:tx>
          <c:spPr>
            <a:solidFill>
              <a:srgbClr val="92D050"/>
            </a:solidFill>
            <a:ln>
              <a:noFill/>
            </a:ln>
            <a:effectLst/>
          </c:spPr>
          <c:invertIfNegative val="0"/>
          <c:cat>
            <c:multiLvlStrRef>
              <c:f>karakter!$A$72:$A$112</c:f>
              <c:multiLvlStrCache>
                <c:ptCount val="23"/>
                <c:lvl>
                  <c:pt idx="0">
                    <c:v>Jan</c:v>
                  </c:pt>
                  <c:pt idx="1">
                    <c:v>Feb</c:v>
                  </c:pt>
                  <c:pt idx="2">
                    <c:v>Jan</c:v>
                  </c:pt>
                  <c:pt idx="3">
                    <c:v>Feb</c:v>
                  </c:pt>
                  <c:pt idx="4">
                    <c:v>Jan</c:v>
                  </c:pt>
                  <c:pt idx="5">
                    <c:v>Jan</c:v>
                  </c:pt>
                  <c:pt idx="6">
                    <c:v>Jan</c:v>
                  </c:pt>
                  <c:pt idx="7">
                    <c:v>Feb</c:v>
                  </c:pt>
                  <c:pt idx="8">
                    <c:v>Jan</c:v>
                  </c:pt>
                  <c:pt idx="9">
                    <c:v>Feb</c:v>
                  </c:pt>
                  <c:pt idx="10">
                    <c:v>Jan</c:v>
                  </c:pt>
                  <c:pt idx="11">
                    <c:v>Jan</c:v>
                  </c:pt>
                  <c:pt idx="12">
                    <c:v>Feb</c:v>
                  </c:pt>
                  <c:pt idx="13">
                    <c:v>Jan</c:v>
                  </c:pt>
                  <c:pt idx="14">
                    <c:v>Feb</c:v>
                  </c:pt>
                  <c:pt idx="15">
                    <c:v>Jan</c:v>
                  </c:pt>
                  <c:pt idx="16">
                    <c:v>Jan</c:v>
                  </c:pt>
                  <c:pt idx="17">
                    <c:v>Feb</c:v>
                  </c:pt>
                  <c:pt idx="18">
                    <c:v>Jan</c:v>
                  </c:pt>
                  <c:pt idx="19">
                    <c:v>Feb</c:v>
                  </c:pt>
                  <c:pt idx="20">
                    <c:v>Jan</c:v>
                  </c:pt>
                  <c:pt idx="21">
                    <c:v>Feb</c:v>
                  </c:pt>
                  <c:pt idx="22">
                    <c:v>Jan</c:v>
                  </c:pt>
                </c:lvl>
                <c:lvl>
                  <c:pt idx="0">
                    <c:v>B.Indo</c:v>
                  </c:pt>
                  <c:pt idx="2">
                    <c:v>TIK</c:v>
                  </c:pt>
                  <c:pt idx="4">
                    <c:v>Math</c:v>
                  </c:pt>
                  <c:pt idx="5">
                    <c:v>B.Ing</c:v>
                  </c:pt>
                  <c:pt idx="6">
                    <c:v>Pancasila</c:v>
                  </c:pt>
                  <c:pt idx="8">
                    <c:v>Sejarah</c:v>
                  </c:pt>
                  <c:pt idx="10">
                    <c:v>PKWU</c:v>
                  </c:pt>
                  <c:pt idx="11">
                    <c:v>Tepung</c:v>
                  </c:pt>
                  <c:pt idx="12">
                    <c:v>B.Indo</c:v>
                  </c:pt>
                  <c:pt idx="13">
                    <c:v>TIK</c:v>
                  </c:pt>
                  <c:pt idx="15">
                    <c:v>Kopi</c:v>
                  </c:pt>
                  <c:pt idx="16">
                    <c:v>B.Ing</c:v>
                  </c:pt>
                  <c:pt idx="18">
                    <c:v>Pancasila</c:v>
                  </c:pt>
                  <c:pt idx="20">
                    <c:v>Sejarah</c:v>
                  </c:pt>
                  <c:pt idx="22">
                    <c:v>PKWU</c:v>
                  </c:pt>
                </c:lvl>
                <c:lvl>
                  <c:pt idx="0">
                    <c:v>11A</c:v>
                  </c:pt>
                  <c:pt idx="12">
                    <c:v>12A</c:v>
                  </c:pt>
                </c:lvl>
                <c:lvl>
                  <c:pt idx="0">
                    <c:v>Pengolahan Kopi atau Tepung</c:v>
                  </c:pt>
                </c:lvl>
              </c:multiLvlStrCache>
            </c:multiLvlStrRef>
          </c:cat>
          <c:val>
            <c:numRef>
              <c:f>karakter!$C$72:$C$112</c:f>
              <c:numCache>
                <c:formatCode>0%</c:formatCode>
                <c:ptCount val="23"/>
                <c:pt idx="0">
                  <c:v>0</c:v>
                </c:pt>
                <c:pt idx="1">
                  <c:v>0.18181818181818182</c:v>
                </c:pt>
                <c:pt idx="2">
                  <c:v>0.45454545454545453</c:v>
                </c:pt>
                <c:pt idx="3">
                  <c:v>0.45454545454545453</c:v>
                </c:pt>
                <c:pt idx="4">
                  <c:v>0</c:v>
                </c:pt>
                <c:pt idx="5">
                  <c:v>0</c:v>
                </c:pt>
                <c:pt idx="6">
                  <c:v>0.17391304347826086</c:v>
                </c:pt>
                <c:pt idx="7">
                  <c:v>0.25</c:v>
                </c:pt>
                <c:pt idx="8">
                  <c:v>0.66666666666666663</c:v>
                </c:pt>
                <c:pt idx="9">
                  <c:v>0</c:v>
                </c:pt>
                <c:pt idx="10">
                  <c:v>0</c:v>
                </c:pt>
                <c:pt idx="11">
                  <c:v>0</c:v>
                </c:pt>
                <c:pt idx="12">
                  <c:v>1</c:v>
                </c:pt>
                <c:pt idx="13">
                  <c:v>0.77777777777777779</c:v>
                </c:pt>
                <c:pt idx="14">
                  <c:v>0.77777777777777779</c:v>
                </c:pt>
                <c:pt idx="15">
                  <c:v>1</c:v>
                </c:pt>
                <c:pt idx="16">
                  <c:v>0</c:v>
                </c:pt>
                <c:pt idx="17">
                  <c:v>0.33333333333333331</c:v>
                </c:pt>
                <c:pt idx="18">
                  <c:v>0</c:v>
                </c:pt>
                <c:pt idx="19">
                  <c:v>0.55555555555555558</c:v>
                </c:pt>
                <c:pt idx="20">
                  <c:v>0.25</c:v>
                </c:pt>
                <c:pt idx="21">
                  <c:v>0.88888888888888884</c:v>
                </c:pt>
                <c:pt idx="22">
                  <c:v>1</c:v>
                </c:pt>
              </c:numCache>
            </c:numRef>
          </c:val>
          <c:extLst>
            <c:ext xmlns:c16="http://schemas.microsoft.com/office/drawing/2014/chart" uri="{C3380CC4-5D6E-409C-BE32-E72D297353CC}">
              <c16:uniqueId val="{00000000-AD4E-A447-B835-D03B1C6901C8}"/>
            </c:ext>
          </c:extLst>
        </c:ser>
        <c:ser>
          <c:idx val="2"/>
          <c:order val="2"/>
          <c:tx>
            <c:strRef>
              <c:f>karakter!$D$70:$D$71</c:f>
              <c:strCache>
                <c:ptCount val="1"/>
                <c:pt idx="0">
                  <c:v>Cukup</c:v>
                </c:pt>
              </c:strCache>
            </c:strRef>
          </c:tx>
          <c:spPr>
            <a:solidFill>
              <a:srgbClr val="FFFF00"/>
            </a:solidFill>
            <a:ln>
              <a:noFill/>
            </a:ln>
            <a:effectLst/>
          </c:spPr>
          <c:invertIfNegative val="0"/>
          <c:cat>
            <c:multiLvlStrRef>
              <c:f>karakter!$A$72:$A$112</c:f>
              <c:multiLvlStrCache>
                <c:ptCount val="23"/>
                <c:lvl>
                  <c:pt idx="0">
                    <c:v>Jan</c:v>
                  </c:pt>
                  <c:pt idx="1">
                    <c:v>Feb</c:v>
                  </c:pt>
                  <c:pt idx="2">
                    <c:v>Jan</c:v>
                  </c:pt>
                  <c:pt idx="3">
                    <c:v>Feb</c:v>
                  </c:pt>
                  <c:pt idx="4">
                    <c:v>Jan</c:v>
                  </c:pt>
                  <c:pt idx="5">
                    <c:v>Jan</c:v>
                  </c:pt>
                  <c:pt idx="6">
                    <c:v>Jan</c:v>
                  </c:pt>
                  <c:pt idx="7">
                    <c:v>Feb</c:v>
                  </c:pt>
                  <c:pt idx="8">
                    <c:v>Jan</c:v>
                  </c:pt>
                  <c:pt idx="9">
                    <c:v>Feb</c:v>
                  </c:pt>
                  <c:pt idx="10">
                    <c:v>Jan</c:v>
                  </c:pt>
                  <c:pt idx="11">
                    <c:v>Jan</c:v>
                  </c:pt>
                  <c:pt idx="12">
                    <c:v>Feb</c:v>
                  </c:pt>
                  <c:pt idx="13">
                    <c:v>Jan</c:v>
                  </c:pt>
                  <c:pt idx="14">
                    <c:v>Feb</c:v>
                  </c:pt>
                  <c:pt idx="15">
                    <c:v>Jan</c:v>
                  </c:pt>
                  <c:pt idx="16">
                    <c:v>Jan</c:v>
                  </c:pt>
                  <c:pt idx="17">
                    <c:v>Feb</c:v>
                  </c:pt>
                  <c:pt idx="18">
                    <c:v>Jan</c:v>
                  </c:pt>
                  <c:pt idx="19">
                    <c:v>Feb</c:v>
                  </c:pt>
                  <c:pt idx="20">
                    <c:v>Jan</c:v>
                  </c:pt>
                  <c:pt idx="21">
                    <c:v>Feb</c:v>
                  </c:pt>
                  <c:pt idx="22">
                    <c:v>Jan</c:v>
                  </c:pt>
                </c:lvl>
                <c:lvl>
                  <c:pt idx="0">
                    <c:v>B.Indo</c:v>
                  </c:pt>
                  <c:pt idx="2">
                    <c:v>TIK</c:v>
                  </c:pt>
                  <c:pt idx="4">
                    <c:v>Math</c:v>
                  </c:pt>
                  <c:pt idx="5">
                    <c:v>B.Ing</c:v>
                  </c:pt>
                  <c:pt idx="6">
                    <c:v>Pancasila</c:v>
                  </c:pt>
                  <c:pt idx="8">
                    <c:v>Sejarah</c:v>
                  </c:pt>
                  <c:pt idx="10">
                    <c:v>PKWU</c:v>
                  </c:pt>
                  <c:pt idx="11">
                    <c:v>Tepung</c:v>
                  </c:pt>
                  <c:pt idx="12">
                    <c:v>B.Indo</c:v>
                  </c:pt>
                  <c:pt idx="13">
                    <c:v>TIK</c:v>
                  </c:pt>
                  <c:pt idx="15">
                    <c:v>Kopi</c:v>
                  </c:pt>
                  <c:pt idx="16">
                    <c:v>B.Ing</c:v>
                  </c:pt>
                  <c:pt idx="18">
                    <c:v>Pancasila</c:v>
                  </c:pt>
                  <c:pt idx="20">
                    <c:v>Sejarah</c:v>
                  </c:pt>
                  <c:pt idx="22">
                    <c:v>PKWU</c:v>
                  </c:pt>
                </c:lvl>
                <c:lvl>
                  <c:pt idx="0">
                    <c:v>11A</c:v>
                  </c:pt>
                  <c:pt idx="12">
                    <c:v>12A</c:v>
                  </c:pt>
                </c:lvl>
                <c:lvl>
                  <c:pt idx="0">
                    <c:v>Pengolahan Kopi atau Tepung</c:v>
                  </c:pt>
                </c:lvl>
              </c:multiLvlStrCache>
            </c:multiLvlStrRef>
          </c:cat>
          <c:val>
            <c:numRef>
              <c:f>karakter!$D$72:$D$112</c:f>
              <c:numCache>
                <c:formatCode>0%</c:formatCode>
                <c:ptCount val="23"/>
                <c:pt idx="0">
                  <c:v>0.86363636363636365</c:v>
                </c:pt>
                <c:pt idx="1">
                  <c:v>0.63636363636363635</c:v>
                </c:pt>
                <c:pt idx="2">
                  <c:v>0.27272727272727271</c:v>
                </c:pt>
                <c:pt idx="3">
                  <c:v>0.27272727272727271</c:v>
                </c:pt>
                <c:pt idx="4">
                  <c:v>0</c:v>
                </c:pt>
                <c:pt idx="5">
                  <c:v>4.1666666666666664E-2</c:v>
                </c:pt>
                <c:pt idx="6">
                  <c:v>0.82608695652173914</c:v>
                </c:pt>
                <c:pt idx="7">
                  <c:v>0.66666666666666663</c:v>
                </c:pt>
                <c:pt idx="8">
                  <c:v>0.24242424242424243</c:v>
                </c:pt>
                <c:pt idx="9">
                  <c:v>0.8529411764705882</c:v>
                </c:pt>
                <c:pt idx="10">
                  <c:v>0</c:v>
                </c:pt>
                <c:pt idx="11">
                  <c:v>0</c:v>
                </c:pt>
                <c:pt idx="12">
                  <c:v>0</c:v>
                </c:pt>
                <c:pt idx="13">
                  <c:v>0.22222222222222221</c:v>
                </c:pt>
                <c:pt idx="14">
                  <c:v>0.22222222222222221</c:v>
                </c:pt>
                <c:pt idx="15">
                  <c:v>0</c:v>
                </c:pt>
                <c:pt idx="16">
                  <c:v>0</c:v>
                </c:pt>
                <c:pt idx="17">
                  <c:v>0.1111111111111111</c:v>
                </c:pt>
                <c:pt idx="18">
                  <c:v>1</c:v>
                </c:pt>
                <c:pt idx="19">
                  <c:v>0.44444444444444442</c:v>
                </c:pt>
                <c:pt idx="20">
                  <c:v>0.75</c:v>
                </c:pt>
                <c:pt idx="21">
                  <c:v>0.1111111111111111</c:v>
                </c:pt>
                <c:pt idx="22">
                  <c:v>0</c:v>
                </c:pt>
              </c:numCache>
            </c:numRef>
          </c:val>
          <c:extLst>
            <c:ext xmlns:c16="http://schemas.microsoft.com/office/drawing/2014/chart" uri="{C3380CC4-5D6E-409C-BE32-E72D297353CC}">
              <c16:uniqueId val="{00000001-AD4E-A447-B835-D03B1C6901C8}"/>
            </c:ext>
          </c:extLst>
        </c:ser>
        <c:ser>
          <c:idx val="3"/>
          <c:order val="3"/>
          <c:tx>
            <c:strRef>
              <c:f>karakter!$E$70:$E$71</c:f>
              <c:strCache>
                <c:ptCount val="1"/>
                <c:pt idx="0">
                  <c:v>Kurang</c:v>
                </c:pt>
              </c:strCache>
            </c:strRef>
          </c:tx>
          <c:spPr>
            <a:solidFill>
              <a:srgbClr val="FFC000"/>
            </a:solidFill>
            <a:ln>
              <a:noFill/>
            </a:ln>
            <a:effectLst/>
          </c:spPr>
          <c:invertIfNegative val="0"/>
          <c:cat>
            <c:multiLvlStrRef>
              <c:f>karakter!$A$72:$A$112</c:f>
              <c:multiLvlStrCache>
                <c:ptCount val="23"/>
                <c:lvl>
                  <c:pt idx="0">
                    <c:v>Jan</c:v>
                  </c:pt>
                  <c:pt idx="1">
                    <c:v>Feb</c:v>
                  </c:pt>
                  <c:pt idx="2">
                    <c:v>Jan</c:v>
                  </c:pt>
                  <c:pt idx="3">
                    <c:v>Feb</c:v>
                  </c:pt>
                  <c:pt idx="4">
                    <c:v>Jan</c:v>
                  </c:pt>
                  <c:pt idx="5">
                    <c:v>Jan</c:v>
                  </c:pt>
                  <c:pt idx="6">
                    <c:v>Jan</c:v>
                  </c:pt>
                  <c:pt idx="7">
                    <c:v>Feb</c:v>
                  </c:pt>
                  <c:pt idx="8">
                    <c:v>Jan</c:v>
                  </c:pt>
                  <c:pt idx="9">
                    <c:v>Feb</c:v>
                  </c:pt>
                  <c:pt idx="10">
                    <c:v>Jan</c:v>
                  </c:pt>
                  <c:pt idx="11">
                    <c:v>Jan</c:v>
                  </c:pt>
                  <c:pt idx="12">
                    <c:v>Feb</c:v>
                  </c:pt>
                  <c:pt idx="13">
                    <c:v>Jan</c:v>
                  </c:pt>
                  <c:pt idx="14">
                    <c:v>Feb</c:v>
                  </c:pt>
                  <c:pt idx="15">
                    <c:v>Jan</c:v>
                  </c:pt>
                  <c:pt idx="16">
                    <c:v>Jan</c:v>
                  </c:pt>
                  <c:pt idx="17">
                    <c:v>Feb</c:v>
                  </c:pt>
                  <c:pt idx="18">
                    <c:v>Jan</c:v>
                  </c:pt>
                  <c:pt idx="19">
                    <c:v>Feb</c:v>
                  </c:pt>
                  <c:pt idx="20">
                    <c:v>Jan</c:v>
                  </c:pt>
                  <c:pt idx="21">
                    <c:v>Feb</c:v>
                  </c:pt>
                  <c:pt idx="22">
                    <c:v>Jan</c:v>
                  </c:pt>
                </c:lvl>
                <c:lvl>
                  <c:pt idx="0">
                    <c:v>B.Indo</c:v>
                  </c:pt>
                  <c:pt idx="2">
                    <c:v>TIK</c:v>
                  </c:pt>
                  <c:pt idx="4">
                    <c:v>Math</c:v>
                  </c:pt>
                  <c:pt idx="5">
                    <c:v>B.Ing</c:v>
                  </c:pt>
                  <c:pt idx="6">
                    <c:v>Pancasila</c:v>
                  </c:pt>
                  <c:pt idx="8">
                    <c:v>Sejarah</c:v>
                  </c:pt>
                  <c:pt idx="10">
                    <c:v>PKWU</c:v>
                  </c:pt>
                  <c:pt idx="11">
                    <c:v>Tepung</c:v>
                  </c:pt>
                  <c:pt idx="12">
                    <c:v>B.Indo</c:v>
                  </c:pt>
                  <c:pt idx="13">
                    <c:v>TIK</c:v>
                  </c:pt>
                  <c:pt idx="15">
                    <c:v>Kopi</c:v>
                  </c:pt>
                  <c:pt idx="16">
                    <c:v>B.Ing</c:v>
                  </c:pt>
                  <c:pt idx="18">
                    <c:v>Pancasila</c:v>
                  </c:pt>
                  <c:pt idx="20">
                    <c:v>Sejarah</c:v>
                  </c:pt>
                  <c:pt idx="22">
                    <c:v>PKWU</c:v>
                  </c:pt>
                </c:lvl>
                <c:lvl>
                  <c:pt idx="0">
                    <c:v>11A</c:v>
                  </c:pt>
                  <c:pt idx="12">
                    <c:v>12A</c:v>
                  </c:pt>
                </c:lvl>
                <c:lvl>
                  <c:pt idx="0">
                    <c:v>Pengolahan Kopi atau Tepung</c:v>
                  </c:pt>
                </c:lvl>
              </c:multiLvlStrCache>
            </c:multiLvlStrRef>
          </c:cat>
          <c:val>
            <c:numRef>
              <c:f>karakter!$E$72:$E$112</c:f>
              <c:numCache>
                <c:formatCode>0%</c:formatCode>
                <c:ptCount val="23"/>
                <c:pt idx="0">
                  <c:v>0.13636363636363635</c:v>
                </c:pt>
                <c:pt idx="1">
                  <c:v>0.18181818181818182</c:v>
                </c:pt>
                <c:pt idx="2">
                  <c:v>0.27272727272727271</c:v>
                </c:pt>
                <c:pt idx="3">
                  <c:v>0.27272727272727271</c:v>
                </c:pt>
                <c:pt idx="4">
                  <c:v>0.45</c:v>
                </c:pt>
                <c:pt idx="5">
                  <c:v>0.16666666666666666</c:v>
                </c:pt>
                <c:pt idx="6">
                  <c:v>0</c:v>
                </c:pt>
                <c:pt idx="7">
                  <c:v>8.3333333333333329E-2</c:v>
                </c:pt>
                <c:pt idx="8">
                  <c:v>0</c:v>
                </c:pt>
                <c:pt idx="9">
                  <c:v>0.14705882352941177</c:v>
                </c:pt>
                <c:pt idx="10">
                  <c:v>0</c:v>
                </c:pt>
                <c:pt idx="11">
                  <c:v>0</c:v>
                </c:pt>
                <c:pt idx="12">
                  <c:v>0</c:v>
                </c:pt>
                <c:pt idx="13">
                  <c:v>0</c:v>
                </c:pt>
                <c:pt idx="14">
                  <c:v>0</c:v>
                </c:pt>
                <c:pt idx="15">
                  <c:v>0</c:v>
                </c:pt>
                <c:pt idx="16">
                  <c:v>0.44444444444444442</c:v>
                </c:pt>
                <c:pt idx="17">
                  <c:v>0</c:v>
                </c:pt>
                <c:pt idx="18">
                  <c:v>0</c:v>
                </c:pt>
                <c:pt idx="19">
                  <c:v>0</c:v>
                </c:pt>
                <c:pt idx="20">
                  <c:v>0</c:v>
                </c:pt>
                <c:pt idx="21">
                  <c:v>0</c:v>
                </c:pt>
                <c:pt idx="22">
                  <c:v>0</c:v>
                </c:pt>
              </c:numCache>
            </c:numRef>
          </c:val>
          <c:extLst>
            <c:ext xmlns:c16="http://schemas.microsoft.com/office/drawing/2014/chart" uri="{C3380CC4-5D6E-409C-BE32-E72D297353CC}">
              <c16:uniqueId val="{00000000-061C-C743-8805-6BF7D6E6D3AD}"/>
            </c:ext>
          </c:extLst>
        </c:ser>
        <c:ser>
          <c:idx val="4"/>
          <c:order val="4"/>
          <c:tx>
            <c:strRef>
              <c:f>karakter!$F$70:$F$71</c:f>
              <c:strCache>
                <c:ptCount val="1"/>
                <c:pt idx="0">
                  <c:v>Sangat kurang</c:v>
                </c:pt>
              </c:strCache>
            </c:strRef>
          </c:tx>
          <c:spPr>
            <a:solidFill>
              <a:srgbClr val="FF0000"/>
            </a:solidFill>
            <a:ln>
              <a:noFill/>
            </a:ln>
            <a:effectLst/>
          </c:spPr>
          <c:invertIfNegative val="0"/>
          <c:cat>
            <c:multiLvlStrRef>
              <c:f>karakter!$A$72:$A$112</c:f>
              <c:multiLvlStrCache>
                <c:ptCount val="23"/>
                <c:lvl>
                  <c:pt idx="0">
                    <c:v>Jan</c:v>
                  </c:pt>
                  <c:pt idx="1">
                    <c:v>Feb</c:v>
                  </c:pt>
                  <c:pt idx="2">
                    <c:v>Jan</c:v>
                  </c:pt>
                  <c:pt idx="3">
                    <c:v>Feb</c:v>
                  </c:pt>
                  <c:pt idx="4">
                    <c:v>Jan</c:v>
                  </c:pt>
                  <c:pt idx="5">
                    <c:v>Jan</c:v>
                  </c:pt>
                  <c:pt idx="6">
                    <c:v>Jan</c:v>
                  </c:pt>
                  <c:pt idx="7">
                    <c:v>Feb</c:v>
                  </c:pt>
                  <c:pt idx="8">
                    <c:v>Jan</c:v>
                  </c:pt>
                  <c:pt idx="9">
                    <c:v>Feb</c:v>
                  </c:pt>
                  <c:pt idx="10">
                    <c:v>Jan</c:v>
                  </c:pt>
                  <c:pt idx="11">
                    <c:v>Jan</c:v>
                  </c:pt>
                  <c:pt idx="12">
                    <c:v>Feb</c:v>
                  </c:pt>
                  <c:pt idx="13">
                    <c:v>Jan</c:v>
                  </c:pt>
                  <c:pt idx="14">
                    <c:v>Feb</c:v>
                  </c:pt>
                  <c:pt idx="15">
                    <c:v>Jan</c:v>
                  </c:pt>
                  <c:pt idx="16">
                    <c:v>Jan</c:v>
                  </c:pt>
                  <c:pt idx="17">
                    <c:v>Feb</c:v>
                  </c:pt>
                  <c:pt idx="18">
                    <c:v>Jan</c:v>
                  </c:pt>
                  <c:pt idx="19">
                    <c:v>Feb</c:v>
                  </c:pt>
                  <c:pt idx="20">
                    <c:v>Jan</c:v>
                  </c:pt>
                  <c:pt idx="21">
                    <c:v>Feb</c:v>
                  </c:pt>
                  <c:pt idx="22">
                    <c:v>Jan</c:v>
                  </c:pt>
                </c:lvl>
                <c:lvl>
                  <c:pt idx="0">
                    <c:v>B.Indo</c:v>
                  </c:pt>
                  <c:pt idx="2">
                    <c:v>TIK</c:v>
                  </c:pt>
                  <c:pt idx="4">
                    <c:v>Math</c:v>
                  </c:pt>
                  <c:pt idx="5">
                    <c:v>B.Ing</c:v>
                  </c:pt>
                  <c:pt idx="6">
                    <c:v>Pancasila</c:v>
                  </c:pt>
                  <c:pt idx="8">
                    <c:v>Sejarah</c:v>
                  </c:pt>
                  <c:pt idx="10">
                    <c:v>PKWU</c:v>
                  </c:pt>
                  <c:pt idx="11">
                    <c:v>Tepung</c:v>
                  </c:pt>
                  <c:pt idx="12">
                    <c:v>B.Indo</c:v>
                  </c:pt>
                  <c:pt idx="13">
                    <c:v>TIK</c:v>
                  </c:pt>
                  <c:pt idx="15">
                    <c:v>Kopi</c:v>
                  </c:pt>
                  <c:pt idx="16">
                    <c:v>B.Ing</c:v>
                  </c:pt>
                  <c:pt idx="18">
                    <c:v>Pancasila</c:v>
                  </c:pt>
                  <c:pt idx="20">
                    <c:v>Sejarah</c:v>
                  </c:pt>
                  <c:pt idx="22">
                    <c:v>PKWU</c:v>
                  </c:pt>
                </c:lvl>
                <c:lvl>
                  <c:pt idx="0">
                    <c:v>11A</c:v>
                  </c:pt>
                  <c:pt idx="12">
                    <c:v>12A</c:v>
                  </c:pt>
                </c:lvl>
                <c:lvl>
                  <c:pt idx="0">
                    <c:v>Pengolahan Kopi atau Tepung</c:v>
                  </c:pt>
                </c:lvl>
              </c:multiLvlStrCache>
            </c:multiLvlStrRef>
          </c:cat>
          <c:val>
            <c:numRef>
              <c:f>karakter!$F$72:$F$112</c:f>
              <c:numCache>
                <c:formatCode>0%</c:formatCode>
                <c:ptCount val="23"/>
                <c:pt idx="0">
                  <c:v>0</c:v>
                </c:pt>
                <c:pt idx="1">
                  <c:v>0</c:v>
                </c:pt>
                <c:pt idx="2">
                  <c:v>0</c:v>
                </c:pt>
                <c:pt idx="3">
                  <c:v>0</c:v>
                </c:pt>
                <c:pt idx="4">
                  <c:v>0</c:v>
                </c:pt>
                <c:pt idx="5">
                  <c:v>0.29166666666666669</c:v>
                </c:pt>
                <c:pt idx="6">
                  <c:v>0</c:v>
                </c:pt>
                <c:pt idx="7">
                  <c:v>0</c:v>
                </c:pt>
                <c:pt idx="8">
                  <c:v>0</c:v>
                </c:pt>
                <c:pt idx="9">
                  <c:v>0</c:v>
                </c:pt>
                <c:pt idx="10">
                  <c:v>0</c:v>
                </c:pt>
                <c:pt idx="11">
                  <c:v>0</c:v>
                </c:pt>
                <c:pt idx="12">
                  <c:v>0</c:v>
                </c:pt>
                <c:pt idx="13">
                  <c:v>0</c:v>
                </c:pt>
                <c:pt idx="14">
                  <c:v>0</c:v>
                </c:pt>
                <c:pt idx="15">
                  <c:v>0</c:v>
                </c:pt>
                <c:pt idx="16">
                  <c:v>0</c:v>
                </c:pt>
                <c:pt idx="17">
                  <c:v>0.44444444444444442</c:v>
                </c:pt>
                <c:pt idx="18">
                  <c:v>0</c:v>
                </c:pt>
                <c:pt idx="19">
                  <c:v>0</c:v>
                </c:pt>
                <c:pt idx="20">
                  <c:v>0</c:v>
                </c:pt>
                <c:pt idx="21">
                  <c:v>0</c:v>
                </c:pt>
                <c:pt idx="22">
                  <c:v>0</c:v>
                </c:pt>
              </c:numCache>
            </c:numRef>
          </c:val>
          <c:extLst>
            <c:ext xmlns:c16="http://schemas.microsoft.com/office/drawing/2014/chart" uri="{C3380CC4-5D6E-409C-BE32-E72D297353CC}">
              <c16:uniqueId val="{00000001-061C-C743-8805-6BF7D6E6D3AD}"/>
            </c:ext>
          </c:extLst>
        </c:ser>
        <c:dLbls>
          <c:showLegendKey val="0"/>
          <c:showVal val="0"/>
          <c:showCatName val="0"/>
          <c:showSerName val="0"/>
          <c:showPercent val="0"/>
          <c:showBubbleSize val="0"/>
        </c:dLbls>
        <c:gapWidth val="219"/>
        <c:overlap val="100"/>
        <c:axId val="-2114733248"/>
        <c:axId val="-2114737600"/>
      </c:barChart>
      <c:catAx>
        <c:axId val="-211473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id-ID"/>
          </a:p>
        </c:txPr>
        <c:crossAx val="-2114737600"/>
        <c:crosses val="autoZero"/>
        <c:auto val="1"/>
        <c:lblAlgn val="ctr"/>
        <c:lblOffset val="100"/>
        <c:noMultiLvlLbl val="0"/>
      </c:catAx>
      <c:valAx>
        <c:axId val="-211473760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id-ID"/>
          </a:p>
        </c:txPr>
        <c:crossAx val="-2114733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solidFill>
            <a:sysClr val="windowText" lastClr="000000"/>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[TDU_SMA_2526_S2.xlsx]karakter!PivotTable6</c:name>
    <c:fmtId val="3"/>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i="0" u="none" strike="noStrike" kern="1200" spc="0" baseline="0">
                <a:solidFill>
                  <a:sysClr val="windowText" lastClr="000000"/>
                </a:solidFill>
              </a:rPr>
              <a:t>Progres Karakter-Indikator</a:t>
            </a:r>
          </a:p>
          <a:p>
            <a:pPr>
              <a:defRPr sz="1800"/>
            </a:pPr>
            <a:r>
              <a:rPr lang="en-US" sz="1800" b="1" i="0" u="none" strike="noStrike" kern="1200" spc="0" baseline="0">
                <a:solidFill>
                  <a:sysClr val="windowText" lastClr="000000"/>
                </a:solidFill>
              </a:rPr>
              <a:t>Siswa SMA SAI</a:t>
            </a: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B050"/>
          </a:solidFill>
          <a:ln>
            <a:noFill/>
          </a:ln>
          <a:effectLst/>
        </c:spPr>
      </c:pivotFmt>
      <c:pivotFmt>
        <c:idx val="1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92D050"/>
          </a:solidFill>
          <a:ln>
            <a:noFill/>
          </a:ln>
          <a:effectLst/>
        </c:spPr>
        <c:marker>
          <c:symbol val="none"/>
        </c:marker>
      </c:pivotFmt>
      <c:pivotFmt>
        <c:idx val="23"/>
        <c:spPr>
          <a:solidFill>
            <a:srgbClr val="FFFF00"/>
          </a:solidFill>
          <a:ln>
            <a:noFill/>
          </a:ln>
          <a:effectLst/>
        </c:spPr>
        <c:marker>
          <c:symbol val="none"/>
        </c:marker>
      </c:pivotFmt>
      <c:pivotFmt>
        <c:idx val="24"/>
        <c:spPr>
          <a:solidFill>
            <a:srgbClr val="FFC000"/>
          </a:solidFill>
          <a:ln>
            <a:noFill/>
          </a:ln>
          <a:effectLst/>
        </c:spPr>
        <c:marker>
          <c:symbol val="none"/>
        </c:marker>
      </c:pivotFmt>
      <c:pivotFmt>
        <c:idx val="25"/>
        <c:spPr>
          <a:solidFill>
            <a:srgbClr val="FF0000"/>
          </a:solidFill>
          <a:ln>
            <a:noFill/>
          </a:ln>
          <a:effectLst/>
        </c:spPr>
        <c:marker>
          <c:symbol val="none"/>
        </c:marker>
      </c:pivotFmt>
      <c:pivotFmt>
        <c:idx val="26"/>
        <c:spPr>
          <a:solidFill>
            <a:srgbClr val="00B050"/>
          </a:solidFill>
          <a:ln>
            <a:noFill/>
          </a:ln>
          <a:effectLst/>
        </c:spPr>
        <c:marker>
          <c:symbol val="none"/>
        </c:marke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FFC000"/>
          </a:solidFill>
          <a:ln>
            <a:noFill/>
          </a:ln>
          <a:effectLst/>
        </c:spPr>
        <c:marker>
          <c:symbol val="none"/>
        </c:marker>
      </c:pivotFmt>
      <c:pivotFmt>
        <c:idx val="29"/>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karakter!$AN$72:$AN$73</c:f>
              <c:strCache>
                <c:ptCount val="1"/>
                <c:pt idx="0">
                  <c:v>Sangat baik</c:v>
                </c:pt>
              </c:strCache>
            </c:strRef>
          </c:tx>
          <c:spPr>
            <a:solidFill>
              <a:srgbClr val="00B050"/>
            </a:solidFill>
            <a:ln>
              <a:noFill/>
            </a:ln>
            <a:effectLst/>
          </c:spPr>
          <c:invertIfNegative val="0"/>
          <c:cat>
            <c:multiLvlStrRef>
              <c:f>karakter!$AJ$74:$AM$81</c:f>
              <c:multiLvlStrCache>
                <c:ptCount val="8"/>
                <c:lvl>
                  <c:pt idx="0">
                    <c:v>Jan</c:v>
                  </c:pt>
                  <c:pt idx="1">
                    <c:v>Feb</c:v>
                  </c:pt>
                  <c:pt idx="2">
                    <c:v>Jan</c:v>
                  </c:pt>
                  <c:pt idx="3">
                    <c:v>Jan</c:v>
                  </c:pt>
                  <c:pt idx="4">
                    <c:v>Feb</c:v>
                  </c:pt>
                  <c:pt idx="5">
                    <c:v>Jan</c:v>
                  </c:pt>
                  <c:pt idx="6">
                    <c:v>Jan</c:v>
                  </c:pt>
                  <c:pt idx="7">
                    <c:v>Feb</c:v>
                  </c:pt>
                </c:lvl>
                <c:lvl>
                  <c:pt idx="0">
                    <c:v>Pantang menyerah dalam belajar dan mengerjakan tugas</c:v>
                  </c:pt>
                  <c:pt idx="2">
                    <c:v>Keinginan untuk memperkaya pengetahuan melalui literasi</c:v>
                  </c:pt>
                  <c:pt idx="3">
                    <c:v>Mengerjakan setiap tugas dan kewajiban di sekolah</c:v>
                  </c:pt>
                  <c:pt idx="5">
                    <c:v>Mengambil keputusan yang baik dan bisa dipertanggungjawabkan</c:v>
                  </c:pt>
                  <c:pt idx="6">
                    <c:v>Menaati peraturan dan tata tertib sekolah dan asrama</c:v>
                  </c:pt>
                </c:lvl>
                <c:lvl>
                  <c:pt idx="0">
                    <c:v>Mandiri</c:v>
                  </c:pt>
                  <c:pt idx="5">
                    <c:v>Beriman, bertakwa kepada Tuhan YME dan berakhlak mulia</c:v>
                  </c:pt>
                </c:lvl>
                <c:lvl>
                  <c:pt idx="0">
                    <c:v>Apia Miagoni</c:v>
                  </c:pt>
                </c:lvl>
              </c:multiLvlStrCache>
            </c:multiLvlStrRef>
          </c:cat>
          <c:val>
            <c:numRef>
              <c:f>karakter!$AN$74:$AN$81</c:f>
              <c:numCache>
                <c:formatCode>0</c:formatCode>
                <c:ptCount val="8"/>
                <c:pt idx="2">
                  <c:v>90</c:v>
                </c:pt>
                <c:pt idx="5">
                  <c:v>100</c:v>
                </c:pt>
                <c:pt idx="6">
                  <c:v>90</c:v>
                </c:pt>
              </c:numCache>
            </c:numRef>
          </c:val>
          <c:extLst>
            <c:ext xmlns:c16="http://schemas.microsoft.com/office/drawing/2014/chart" uri="{C3380CC4-5D6E-409C-BE32-E72D297353CC}">
              <c16:uniqueId val="{00000008-B5FC-A345-B6D8-B977B9FF8C25}"/>
            </c:ext>
          </c:extLst>
        </c:ser>
        <c:ser>
          <c:idx val="1"/>
          <c:order val="1"/>
          <c:tx>
            <c:strRef>
              <c:f>karakter!$AO$72:$AO$73</c:f>
              <c:strCache>
                <c:ptCount val="1"/>
                <c:pt idx="0">
                  <c:v>Baik</c:v>
                </c:pt>
              </c:strCache>
            </c:strRef>
          </c:tx>
          <c:spPr>
            <a:solidFill>
              <a:srgbClr val="92D050"/>
            </a:solidFill>
            <a:ln>
              <a:noFill/>
            </a:ln>
            <a:effectLst/>
          </c:spPr>
          <c:invertIfNegative val="0"/>
          <c:cat>
            <c:multiLvlStrRef>
              <c:f>karakter!$AJ$74:$AM$81</c:f>
              <c:multiLvlStrCache>
                <c:ptCount val="8"/>
                <c:lvl>
                  <c:pt idx="0">
                    <c:v>Jan</c:v>
                  </c:pt>
                  <c:pt idx="1">
                    <c:v>Feb</c:v>
                  </c:pt>
                  <c:pt idx="2">
                    <c:v>Jan</c:v>
                  </c:pt>
                  <c:pt idx="3">
                    <c:v>Jan</c:v>
                  </c:pt>
                  <c:pt idx="4">
                    <c:v>Feb</c:v>
                  </c:pt>
                  <c:pt idx="5">
                    <c:v>Jan</c:v>
                  </c:pt>
                  <c:pt idx="6">
                    <c:v>Jan</c:v>
                  </c:pt>
                  <c:pt idx="7">
                    <c:v>Feb</c:v>
                  </c:pt>
                </c:lvl>
                <c:lvl>
                  <c:pt idx="0">
                    <c:v>Pantang menyerah dalam belajar dan mengerjakan tugas</c:v>
                  </c:pt>
                  <c:pt idx="2">
                    <c:v>Keinginan untuk memperkaya pengetahuan melalui literasi</c:v>
                  </c:pt>
                  <c:pt idx="3">
                    <c:v>Mengerjakan setiap tugas dan kewajiban di sekolah</c:v>
                  </c:pt>
                  <c:pt idx="5">
                    <c:v>Mengambil keputusan yang baik dan bisa dipertanggungjawabkan</c:v>
                  </c:pt>
                  <c:pt idx="6">
                    <c:v>Menaati peraturan dan tata tertib sekolah dan asrama</c:v>
                  </c:pt>
                </c:lvl>
                <c:lvl>
                  <c:pt idx="0">
                    <c:v>Mandiri</c:v>
                  </c:pt>
                  <c:pt idx="5">
                    <c:v>Beriman, bertakwa kepada Tuhan YME dan berakhlak mulia</c:v>
                  </c:pt>
                </c:lvl>
                <c:lvl>
                  <c:pt idx="0">
                    <c:v>Apia Miagoni</c:v>
                  </c:pt>
                </c:lvl>
              </c:multiLvlStrCache>
            </c:multiLvlStrRef>
          </c:cat>
          <c:val>
            <c:numRef>
              <c:f>karakter!$AO$74:$AO$81</c:f>
              <c:numCache>
                <c:formatCode>0</c:formatCode>
                <c:ptCount val="8"/>
                <c:pt idx="4">
                  <c:v>80</c:v>
                </c:pt>
                <c:pt idx="6">
                  <c:v>80</c:v>
                </c:pt>
                <c:pt idx="7">
                  <c:v>80</c:v>
                </c:pt>
              </c:numCache>
            </c:numRef>
          </c:val>
          <c:extLst>
            <c:ext xmlns:c16="http://schemas.microsoft.com/office/drawing/2014/chart" uri="{C3380CC4-5D6E-409C-BE32-E72D297353CC}">
              <c16:uniqueId val="{0000000F-B5FC-A345-B6D8-B977B9FF8C25}"/>
            </c:ext>
          </c:extLst>
        </c:ser>
        <c:ser>
          <c:idx val="2"/>
          <c:order val="2"/>
          <c:tx>
            <c:strRef>
              <c:f>karakter!$AP$72:$AP$73</c:f>
              <c:strCache>
                <c:ptCount val="1"/>
                <c:pt idx="0">
                  <c:v>Cukup</c:v>
                </c:pt>
              </c:strCache>
            </c:strRef>
          </c:tx>
          <c:spPr>
            <a:solidFill>
              <a:srgbClr val="FFFF00"/>
            </a:solidFill>
            <a:ln>
              <a:noFill/>
            </a:ln>
            <a:effectLst/>
          </c:spPr>
          <c:invertIfNegative val="0"/>
          <c:cat>
            <c:multiLvlStrRef>
              <c:f>karakter!$AJ$74:$AM$81</c:f>
              <c:multiLvlStrCache>
                <c:ptCount val="8"/>
                <c:lvl>
                  <c:pt idx="0">
                    <c:v>Jan</c:v>
                  </c:pt>
                  <c:pt idx="1">
                    <c:v>Feb</c:v>
                  </c:pt>
                  <c:pt idx="2">
                    <c:v>Jan</c:v>
                  </c:pt>
                  <c:pt idx="3">
                    <c:v>Jan</c:v>
                  </c:pt>
                  <c:pt idx="4">
                    <c:v>Feb</c:v>
                  </c:pt>
                  <c:pt idx="5">
                    <c:v>Jan</c:v>
                  </c:pt>
                  <c:pt idx="6">
                    <c:v>Jan</c:v>
                  </c:pt>
                  <c:pt idx="7">
                    <c:v>Feb</c:v>
                  </c:pt>
                </c:lvl>
                <c:lvl>
                  <c:pt idx="0">
                    <c:v>Pantang menyerah dalam belajar dan mengerjakan tugas</c:v>
                  </c:pt>
                  <c:pt idx="2">
                    <c:v>Keinginan untuk memperkaya pengetahuan melalui literasi</c:v>
                  </c:pt>
                  <c:pt idx="3">
                    <c:v>Mengerjakan setiap tugas dan kewajiban di sekolah</c:v>
                  </c:pt>
                  <c:pt idx="5">
                    <c:v>Mengambil keputusan yang baik dan bisa dipertanggungjawabkan</c:v>
                  </c:pt>
                  <c:pt idx="6">
                    <c:v>Menaati peraturan dan tata tertib sekolah dan asrama</c:v>
                  </c:pt>
                </c:lvl>
                <c:lvl>
                  <c:pt idx="0">
                    <c:v>Mandiri</c:v>
                  </c:pt>
                  <c:pt idx="5">
                    <c:v>Beriman, bertakwa kepada Tuhan YME dan berakhlak mulia</c:v>
                  </c:pt>
                </c:lvl>
                <c:lvl>
                  <c:pt idx="0">
                    <c:v>Apia Miagoni</c:v>
                  </c:pt>
                </c:lvl>
              </c:multiLvlStrCache>
            </c:multiLvlStrRef>
          </c:cat>
          <c:val>
            <c:numRef>
              <c:f>karakter!$AP$74:$AP$81</c:f>
              <c:numCache>
                <c:formatCode>0</c:formatCode>
                <c:ptCount val="8"/>
                <c:pt idx="0">
                  <c:v>70</c:v>
                </c:pt>
                <c:pt idx="1">
                  <c:v>70</c:v>
                </c:pt>
                <c:pt idx="3">
                  <c:v>70</c:v>
                </c:pt>
              </c:numCache>
            </c:numRef>
          </c:val>
          <c:extLst>
            <c:ext xmlns:c16="http://schemas.microsoft.com/office/drawing/2014/chart" uri="{C3380CC4-5D6E-409C-BE32-E72D297353CC}">
              <c16:uniqueId val="{00000013-B5FC-A345-B6D8-B977B9FF8C25}"/>
            </c:ext>
          </c:extLst>
        </c:ser>
        <c:dLbls>
          <c:showLegendKey val="0"/>
          <c:showVal val="0"/>
          <c:showCatName val="0"/>
          <c:showSerName val="0"/>
          <c:showPercent val="0"/>
          <c:showBubbleSize val="0"/>
        </c:dLbls>
        <c:gapWidth val="219"/>
        <c:axId val="-2114725632"/>
        <c:axId val="-2114736512"/>
      </c:barChart>
      <c:catAx>
        <c:axId val="-211472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mn-lt"/>
                <a:ea typeface="+mn-ea"/>
                <a:cs typeface="+mn-cs"/>
              </a:defRPr>
            </a:pPr>
            <a:endParaRPr lang="id-ID"/>
          </a:p>
        </c:txPr>
        <c:crossAx val="-2114736512"/>
        <c:crosses val="autoZero"/>
        <c:auto val="1"/>
        <c:lblAlgn val="ctr"/>
        <c:lblOffset val="100"/>
        <c:noMultiLvlLbl val="0"/>
      </c:catAx>
      <c:valAx>
        <c:axId val="-2114736512"/>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crossAx val="-2114725632"/>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ysClr val="windowText" lastClr="000000"/>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[TDU_SMA_2526_S2.xlsx]karakter!PivotTable13</c:name>
    <c:fmtId val="0"/>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solidFill>
                  <a:sysClr val="windowText" lastClr="000000"/>
                </a:solidFill>
              </a:rPr>
              <a:t>Progres Karakter SMA SAI</a:t>
            </a: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id-ID"/>
        </a:p>
      </c:txPr>
    </c:title>
    <c:autoTitleDeleted val="0"/>
    <c:pivotFmts>
      <c:pivotFmt>
        <c:idx val="0"/>
        <c:spPr>
          <a:solidFill>
            <a:srgbClr val="00B050"/>
          </a:solidFill>
          <a:ln>
            <a:noFill/>
          </a:ln>
          <a:effectLst/>
        </c:spPr>
        <c:marker>
          <c:symbol val="none"/>
        </c:marker>
      </c:pivotFmt>
      <c:pivotFmt>
        <c:idx val="1"/>
        <c:spPr>
          <a:solidFill>
            <a:srgbClr val="92D050"/>
          </a:solidFill>
          <a:ln>
            <a:noFill/>
          </a:ln>
          <a:effectLst/>
        </c:spPr>
        <c:marker>
          <c:symbol val="none"/>
        </c:marker>
      </c:pivotFmt>
      <c:pivotFmt>
        <c:idx val="2"/>
        <c:spPr>
          <a:solidFill>
            <a:srgbClr val="FFFF00"/>
          </a:solidFill>
          <a:ln>
            <a:noFill/>
          </a:ln>
          <a:effectLst/>
        </c:spPr>
        <c:marker>
          <c:symbol val="none"/>
        </c:marker>
      </c:pivotFmt>
      <c:pivotFmt>
        <c:idx val="3"/>
        <c:spPr>
          <a:solidFill>
            <a:srgbClr val="FFC000"/>
          </a:solidFill>
          <a:ln>
            <a:noFill/>
          </a:ln>
          <a:effectLst/>
        </c:spPr>
        <c:marker>
          <c:symbol val="none"/>
        </c:marker>
      </c:pivotFmt>
      <c:pivotFmt>
        <c:idx val="4"/>
        <c:spPr>
          <a:solidFill>
            <a:srgbClr val="FF0000"/>
          </a:solidFill>
          <a:ln>
            <a:noFill/>
          </a:ln>
          <a:effectLst/>
        </c:spPr>
        <c:marker>
          <c:symbol val="none"/>
        </c:marker>
      </c:pivotFmt>
      <c:pivotFmt>
        <c:idx val="5"/>
        <c:spPr>
          <a:solidFill>
            <a:srgbClr val="FFC000"/>
          </a:solidFill>
          <a:ln>
            <a:noFill/>
          </a:ln>
          <a:effectLst/>
        </c:spPr>
        <c:marker>
          <c:symbol val="none"/>
        </c:marker>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karakter!$AW$5:$AW$6</c:f>
              <c:strCache>
                <c:ptCount val="1"/>
                <c:pt idx="0">
                  <c:v>Sangat baik</c:v>
                </c:pt>
              </c:strCache>
            </c:strRef>
          </c:tx>
          <c:spPr>
            <a:solidFill>
              <a:srgbClr val="00B050"/>
            </a:solidFill>
            <a:ln>
              <a:noFill/>
            </a:ln>
            <a:effectLst/>
          </c:spPr>
          <c:invertIfNegative val="0"/>
          <c:cat>
            <c:multiLvlStrRef>
              <c:f>karakter!$AT$7:$AV$24</c:f>
              <c:multiLvlStrCache>
                <c:ptCount val="18"/>
                <c:lvl>
                  <c:pt idx="0">
                    <c:v>Jan</c:v>
                  </c:pt>
                  <c:pt idx="1">
                    <c:v>Feb</c:v>
                  </c:pt>
                  <c:pt idx="2">
                    <c:v>Jan</c:v>
                  </c:pt>
                  <c:pt idx="3">
                    <c:v>Feb</c:v>
                  </c:pt>
                  <c:pt idx="4">
                    <c:v>Jan</c:v>
                  </c:pt>
                  <c:pt idx="5">
                    <c:v>Feb</c:v>
                  </c:pt>
                  <c:pt idx="6">
                    <c:v>Jan</c:v>
                  </c:pt>
                  <c:pt idx="7">
                    <c:v>Jan</c:v>
                  </c:pt>
                  <c:pt idx="8">
                    <c:v>Feb</c:v>
                  </c:pt>
                  <c:pt idx="9">
                    <c:v>Jan</c:v>
                  </c:pt>
                  <c:pt idx="10">
                    <c:v>Jan</c:v>
                  </c:pt>
                  <c:pt idx="11">
                    <c:v>Jan</c:v>
                  </c:pt>
                  <c:pt idx="12">
                    <c:v>Jan</c:v>
                  </c:pt>
                  <c:pt idx="13">
                    <c:v>Feb</c:v>
                  </c:pt>
                  <c:pt idx="14">
                    <c:v>Jan</c:v>
                  </c:pt>
                  <c:pt idx="15">
                    <c:v>Jan</c:v>
                  </c:pt>
                  <c:pt idx="16">
                    <c:v>Jan</c:v>
                  </c:pt>
                  <c:pt idx="17">
                    <c:v>Feb</c:v>
                  </c:pt>
                </c:lvl>
                <c:lvl>
                  <c:pt idx="0">
                    <c:v>B.Indo</c:v>
                  </c:pt>
                  <c:pt idx="2">
                    <c:v>TIK</c:v>
                  </c:pt>
                  <c:pt idx="4">
                    <c:v>B.Ing</c:v>
                  </c:pt>
                  <c:pt idx="6">
                    <c:v>Pancasila</c:v>
                  </c:pt>
                  <c:pt idx="7">
                    <c:v>Sejarah</c:v>
                  </c:pt>
                  <c:pt idx="9">
                    <c:v>Kopi</c:v>
                  </c:pt>
                  <c:pt idx="10">
                    <c:v>PKWU</c:v>
                  </c:pt>
                  <c:pt idx="11">
                    <c:v>Tepung</c:v>
                  </c:pt>
                  <c:pt idx="12">
                    <c:v>TIK</c:v>
                  </c:pt>
                  <c:pt idx="14">
                    <c:v>Math</c:v>
                  </c:pt>
                  <c:pt idx="15">
                    <c:v>B.Ing</c:v>
                  </c:pt>
                  <c:pt idx="16">
                    <c:v>Pancasila</c:v>
                  </c:pt>
                </c:lvl>
                <c:lvl>
                  <c:pt idx="0">
                    <c:v>Mandiri</c:v>
                  </c:pt>
                  <c:pt idx="9">
                    <c:v>Bergotong royong</c:v>
                  </c:pt>
                  <c:pt idx="12">
                    <c:v>Beriman, bertakwa kepada Tuhan YME dan berakhlak mulia</c:v>
                  </c:pt>
                </c:lvl>
              </c:multiLvlStrCache>
            </c:multiLvlStrRef>
          </c:cat>
          <c:val>
            <c:numRef>
              <c:f>karakter!$AW$7:$AW$24</c:f>
              <c:numCache>
                <c:formatCode>0%</c:formatCode>
                <c:ptCount val="18"/>
                <c:pt idx="0">
                  <c:v>0</c:v>
                </c:pt>
                <c:pt idx="1">
                  <c:v>0</c:v>
                </c:pt>
                <c:pt idx="2">
                  <c:v>0</c:v>
                </c:pt>
                <c:pt idx="3">
                  <c:v>0</c:v>
                </c:pt>
                <c:pt idx="4">
                  <c:v>0.52380952380952384</c:v>
                </c:pt>
                <c:pt idx="5">
                  <c:v>0.1111111111111111</c:v>
                </c:pt>
                <c:pt idx="6">
                  <c:v>0</c:v>
                </c:pt>
                <c:pt idx="7">
                  <c:v>4.3478260869565216E-2</c:v>
                </c:pt>
                <c:pt idx="8">
                  <c:v>0</c:v>
                </c:pt>
                <c:pt idx="9">
                  <c:v>0</c:v>
                </c:pt>
                <c:pt idx="10">
                  <c:v>0.375</c:v>
                </c:pt>
                <c:pt idx="11">
                  <c:v>1</c:v>
                </c:pt>
                <c:pt idx="12">
                  <c:v>0</c:v>
                </c:pt>
                <c:pt idx="13">
                  <c:v>0</c:v>
                </c:pt>
                <c:pt idx="14">
                  <c:v>0.55000000000000004</c:v>
                </c:pt>
                <c:pt idx="15">
                  <c:v>0.5</c:v>
                </c:pt>
                <c:pt idx="16">
                  <c:v>0</c:v>
                </c:pt>
                <c:pt idx="17">
                  <c:v>0</c:v>
                </c:pt>
              </c:numCache>
            </c:numRef>
          </c:val>
          <c:extLst>
            <c:ext xmlns:c16="http://schemas.microsoft.com/office/drawing/2014/chart" uri="{C3380CC4-5D6E-409C-BE32-E72D297353CC}">
              <c16:uniqueId val="{00000000-17C9-DF43-859D-697AA5F4AC28}"/>
            </c:ext>
          </c:extLst>
        </c:ser>
        <c:ser>
          <c:idx val="1"/>
          <c:order val="1"/>
          <c:tx>
            <c:strRef>
              <c:f>karakter!$AX$5:$AX$6</c:f>
              <c:strCache>
                <c:ptCount val="1"/>
                <c:pt idx="0">
                  <c:v>Baik</c:v>
                </c:pt>
              </c:strCache>
            </c:strRef>
          </c:tx>
          <c:spPr>
            <a:solidFill>
              <a:srgbClr val="92D050"/>
            </a:solidFill>
            <a:ln>
              <a:noFill/>
            </a:ln>
            <a:effectLst/>
          </c:spPr>
          <c:invertIfNegative val="0"/>
          <c:cat>
            <c:multiLvlStrRef>
              <c:f>karakter!$AT$7:$AV$24</c:f>
              <c:multiLvlStrCache>
                <c:ptCount val="18"/>
                <c:lvl>
                  <c:pt idx="0">
                    <c:v>Jan</c:v>
                  </c:pt>
                  <c:pt idx="1">
                    <c:v>Feb</c:v>
                  </c:pt>
                  <c:pt idx="2">
                    <c:v>Jan</c:v>
                  </c:pt>
                  <c:pt idx="3">
                    <c:v>Feb</c:v>
                  </c:pt>
                  <c:pt idx="4">
                    <c:v>Jan</c:v>
                  </c:pt>
                  <c:pt idx="5">
                    <c:v>Feb</c:v>
                  </c:pt>
                  <c:pt idx="6">
                    <c:v>Jan</c:v>
                  </c:pt>
                  <c:pt idx="7">
                    <c:v>Jan</c:v>
                  </c:pt>
                  <c:pt idx="8">
                    <c:v>Feb</c:v>
                  </c:pt>
                  <c:pt idx="9">
                    <c:v>Jan</c:v>
                  </c:pt>
                  <c:pt idx="10">
                    <c:v>Jan</c:v>
                  </c:pt>
                  <c:pt idx="11">
                    <c:v>Jan</c:v>
                  </c:pt>
                  <c:pt idx="12">
                    <c:v>Jan</c:v>
                  </c:pt>
                  <c:pt idx="13">
                    <c:v>Feb</c:v>
                  </c:pt>
                  <c:pt idx="14">
                    <c:v>Jan</c:v>
                  </c:pt>
                  <c:pt idx="15">
                    <c:v>Jan</c:v>
                  </c:pt>
                  <c:pt idx="16">
                    <c:v>Jan</c:v>
                  </c:pt>
                  <c:pt idx="17">
                    <c:v>Feb</c:v>
                  </c:pt>
                </c:lvl>
                <c:lvl>
                  <c:pt idx="0">
                    <c:v>B.Indo</c:v>
                  </c:pt>
                  <c:pt idx="2">
                    <c:v>TIK</c:v>
                  </c:pt>
                  <c:pt idx="4">
                    <c:v>B.Ing</c:v>
                  </c:pt>
                  <c:pt idx="6">
                    <c:v>Pancasila</c:v>
                  </c:pt>
                  <c:pt idx="7">
                    <c:v>Sejarah</c:v>
                  </c:pt>
                  <c:pt idx="9">
                    <c:v>Kopi</c:v>
                  </c:pt>
                  <c:pt idx="10">
                    <c:v>PKWU</c:v>
                  </c:pt>
                  <c:pt idx="11">
                    <c:v>Tepung</c:v>
                  </c:pt>
                  <c:pt idx="12">
                    <c:v>TIK</c:v>
                  </c:pt>
                  <c:pt idx="14">
                    <c:v>Math</c:v>
                  </c:pt>
                  <c:pt idx="15">
                    <c:v>B.Ing</c:v>
                  </c:pt>
                  <c:pt idx="16">
                    <c:v>Pancasila</c:v>
                  </c:pt>
                </c:lvl>
                <c:lvl>
                  <c:pt idx="0">
                    <c:v>Mandiri</c:v>
                  </c:pt>
                  <c:pt idx="9">
                    <c:v>Bergotong royong</c:v>
                  </c:pt>
                  <c:pt idx="12">
                    <c:v>Beriman, bertakwa kepada Tuhan YME dan berakhlak mulia</c:v>
                  </c:pt>
                </c:lvl>
              </c:multiLvlStrCache>
            </c:multiLvlStrRef>
          </c:cat>
          <c:val>
            <c:numRef>
              <c:f>karakter!$AX$7:$AX$24</c:f>
              <c:numCache>
                <c:formatCode>0%</c:formatCode>
                <c:ptCount val="18"/>
                <c:pt idx="0">
                  <c:v>0</c:v>
                </c:pt>
                <c:pt idx="1">
                  <c:v>0.55000000000000004</c:v>
                </c:pt>
                <c:pt idx="2">
                  <c:v>0.77777777777777779</c:v>
                </c:pt>
                <c:pt idx="3">
                  <c:v>0.77777777777777779</c:v>
                </c:pt>
                <c:pt idx="4">
                  <c:v>0</c:v>
                </c:pt>
                <c:pt idx="5">
                  <c:v>0.33333333333333331</c:v>
                </c:pt>
                <c:pt idx="6">
                  <c:v>0.13333333333333333</c:v>
                </c:pt>
                <c:pt idx="7">
                  <c:v>0.44927536231884058</c:v>
                </c:pt>
                <c:pt idx="8">
                  <c:v>0.30769230769230771</c:v>
                </c:pt>
                <c:pt idx="9">
                  <c:v>1</c:v>
                </c:pt>
                <c:pt idx="10">
                  <c:v>0.625</c:v>
                </c:pt>
                <c:pt idx="11">
                  <c:v>0</c:v>
                </c:pt>
                <c:pt idx="12">
                  <c:v>0.45454545454545453</c:v>
                </c:pt>
                <c:pt idx="13">
                  <c:v>0.45454545454545453</c:v>
                </c:pt>
                <c:pt idx="14">
                  <c:v>0</c:v>
                </c:pt>
                <c:pt idx="15">
                  <c:v>0</c:v>
                </c:pt>
                <c:pt idx="16">
                  <c:v>0</c:v>
                </c:pt>
                <c:pt idx="17">
                  <c:v>0.38095238095238093</c:v>
                </c:pt>
              </c:numCache>
            </c:numRef>
          </c:val>
          <c:extLst>
            <c:ext xmlns:c16="http://schemas.microsoft.com/office/drawing/2014/chart" uri="{C3380CC4-5D6E-409C-BE32-E72D297353CC}">
              <c16:uniqueId val="{00000006-17C9-DF43-859D-697AA5F4AC28}"/>
            </c:ext>
          </c:extLst>
        </c:ser>
        <c:ser>
          <c:idx val="2"/>
          <c:order val="2"/>
          <c:tx>
            <c:strRef>
              <c:f>karakter!$AY$5:$AY$6</c:f>
              <c:strCache>
                <c:ptCount val="1"/>
                <c:pt idx="0">
                  <c:v>Cukup</c:v>
                </c:pt>
              </c:strCache>
            </c:strRef>
          </c:tx>
          <c:spPr>
            <a:solidFill>
              <a:srgbClr val="FFFF00"/>
            </a:solidFill>
            <a:ln>
              <a:noFill/>
            </a:ln>
            <a:effectLst/>
          </c:spPr>
          <c:invertIfNegative val="0"/>
          <c:cat>
            <c:multiLvlStrRef>
              <c:f>karakter!$AT$7:$AV$24</c:f>
              <c:multiLvlStrCache>
                <c:ptCount val="18"/>
                <c:lvl>
                  <c:pt idx="0">
                    <c:v>Jan</c:v>
                  </c:pt>
                  <c:pt idx="1">
                    <c:v>Feb</c:v>
                  </c:pt>
                  <c:pt idx="2">
                    <c:v>Jan</c:v>
                  </c:pt>
                  <c:pt idx="3">
                    <c:v>Feb</c:v>
                  </c:pt>
                  <c:pt idx="4">
                    <c:v>Jan</c:v>
                  </c:pt>
                  <c:pt idx="5">
                    <c:v>Feb</c:v>
                  </c:pt>
                  <c:pt idx="6">
                    <c:v>Jan</c:v>
                  </c:pt>
                  <c:pt idx="7">
                    <c:v>Jan</c:v>
                  </c:pt>
                  <c:pt idx="8">
                    <c:v>Feb</c:v>
                  </c:pt>
                  <c:pt idx="9">
                    <c:v>Jan</c:v>
                  </c:pt>
                  <c:pt idx="10">
                    <c:v>Jan</c:v>
                  </c:pt>
                  <c:pt idx="11">
                    <c:v>Jan</c:v>
                  </c:pt>
                  <c:pt idx="12">
                    <c:v>Jan</c:v>
                  </c:pt>
                  <c:pt idx="13">
                    <c:v>Feb</c:v>
                  </c:pt>
                  <c:pt idx="14">
                    <c:v>Jan</c:v>
                  </c:pt>
                  <c:pt idx="15">
                    <c:v>Jan</c:v>
                  </c:pt>
                  <c:pt idx="16">
                    <c:v>Jan</c:v>
                  </c:pt>
                  <c:pt idx="17">
                    <c:v>Feb</c:v>
                  </c:pt>
                </c:lvl>
                <c:lvl>
                  <c:pt idx="0">
                    <c:v>B.Indo</c:v>
                  </c:pt>
                  <c:pt idx="2">
                    <c:v>TIK</c:v>
                  </c:pt>
                  <c:pt idx="4">
                    <c:v>B.Ing</c:v>
                  </c:pt>
                  <c:pt idx="6">
                    <c:v>Pancasila</c:v>
                  </c:pt>
                  <c:pt idx="7">
                    <c:v>Sejarah</c:v>
                  </c:pt>
                  <c:pt idx="9">
                    <c:v>Kopi</c:v>
                  </c:pt>
                  <c:pt idx="10">
                    <c:v>PKWU</c:v>
                  </c:pt>
                  <c:pt idx="11">
                    <c:v>Tepung</c:v>
                  </c:pt>
                  <c:pt idx="12">
                    <c:v>TIK</c:v>
                  </c:pt>
                  <c:pt idx="14">
                    <c:v>Math</c:v>
                  </c:pt>
                  <c:pt idx="15">
                    <c:v>B.Ing</c:v>
                  </c:pt>
                  <c:pt idx="16">
                    <c:v>Pancasila</c:v>
                  </c:pt>
                </c:lvl>
                <c:lvl>
                  <c:pt idx="0">
                    <c:v>Mandiri</c:v>
                  </c:pt>
                  <c:pt idx="9">
                    <c:v>Bergotong royong</c:v>
                  </c:pt>
                  <c:pt idx="12">
                    <c:v>Beriman, bertakwa kepada Tuhan YME dan berakhlak mulia</c:v>
                  </c:pt>
                </c:lvl>
              </c:multiLvlStrCache>
            </c:multiLvlStrRef>
          </c:cat>
          <c:val>
            <c:numRef>
              <c:f>karakter!$AY$7:$AY$24</c:f>
              <c:numCache>
                <c:formatCode>0%</c:formatCode>
                <c:ptCount val="18"/>
                <c:pt idx="0">
                  <c:v>0.86363636363636365</c:v>
                </c:pt>
                <c:pt idx="1">
                  <c:v>0.35</c:v>
                </c:pt>
                <c:pt idx="2">
                  <c:v>0.22222222222222221</c:v>
                </c:pt>
                <c:pt idx="3">
                  <c:v>0.22222222222222221</c:v>
                </c:pt>
                <c:pt idx="4">
                  <c:v>0</c:v>
                </c:pt>
                <c:pt idx="5">
                  <c:v>0.1111111111111111</c:v>
                </c:pt>
                <c:pt idx="6">
                  <c:v>0.8666666666666667</c:v>
                </c:pt>
                <c:pt idx="7">
                  <c:v>0.50724637681159424</c:v>
                </c:pt>
                <c:pt idx="8">
                  <c:v>0.59615384615384615</c:v>
                </c:pt>
                <c:pt idx="9">
                  <c:v>0</c:v>
                </c:pt>
                <c:pt idx="10">
                  <c:v>0</c:v>
                </c:pt>
                <c:pt idx="11">
                  <c:v>0</c:v>
                </c:pt>
                <c:pt idx="12">
                  <c:v>0.27272727272727271</c:v>
                </c:pt>
                <c:pt idx="13">
                  <c:v>0.27272727272727271</c:v>
                </c:pt>
                <c:pt idx="14">
                  <c:v>0</c:v>
                </c:pt>
                <c:pt idx="15">
                  <c:v>8.3333333333333329E-2</c:v>
                </c:pt>
                <c:pt idx="16">
                  <c:v>1</c:v>
                </c:pt>
                <c:pt idx="17">
                  <c:v>0.5714285714285714</c:v>
                </c:pt>
              </c:numCache>
            </c:numRef>
          </c:val>
          <c:extLst>
            <c:ext xmlns:c16="http://schemas.microsoft.com/office/drawing/2014/chart" uri="{C3380CC4-5D6E-409C-BE32-E72D297353CC}">
              <c16:uniqueId val="{00000007-17C9-DF43-859D-697AA5F4AC28}"/>
            </c:ext>
          </c:extLst>
        </c:ser>
        <c:ser>
          <c:idx val="3"/>
          <c:order val="3"/>
          <c:tx>
            <c:strRef>
              <c:f>karakter!$AZ$5:$AZ$6</c:f>
              <c:strCache>
                <c:ptCount val="1"/>
                <c:pt idx="0">
                  <c:v>Kurang</c:v>
                </c:pt>
              </c:strCache>
            </c:strRef>
          </c:tx>
          <c:spPr>
            <a:solidFill>
              <a:srgbClr val="FFC000"/>
            </a:solidFill>
            <a:ln>
              <a:noFill/>
            </a:ln>
            <a:effectLst/>
          </c:spPr>
          <c:invertIfNegative val="0"/>
          <c:cat>
            <c:multiLvlStrRef>
              <c:f>karakter!$AT$7:$AV$24</c:f>
              <c:multiLvlStrCache>
                <c:ptCount val="18"/>
                <c:lvl>
                  <c:pt idx="0">
                    <c:v>Jan</c:v>
                  </c:pt>
                  <c:pt idx="1">
                    <c:v>Feb</c:v>
                  </c:pt>
                  <c:pt idx="2">
                    <c:v>Jan</c:v>
                  </c:pt>
                  <c:pt idx="3">
                    <c:v>Feb</c:v>
                  </c:pt>
                  <c:pt idx="4">
                    <c:v>Jan</c:v>
                  </c:pt>
                  <c:pt idx="5">
                    <c:v>Feb</c:v>
                  </c:pt>
                  <c:pt idx="6">
                    <c:v>Jan</c:v>
                  </c:pt>
                  <c:pt idx="7">
                    <c:v>Jan</c:v>
                  </c:pt>
                  <c:pt idx="8">
                    <c:v>Feb</c:v>
                  </c:pt>
                  <c:pt idx="9">
                    <c:v>Jan</c:v>
                  </c:pt>
                  <c:pt idx="10">
                    <c:v>Jan</c:v>
                  </c:pt>
                  <c:pt idx="11">
                    <c:v>Jan</c:v>
                  </c:pt>
                  <c:pt idx="12">
                    <c:v>Jan</c:v>
                  </c:pt>
                  <c:pt idx="13">
                    <c:v>Feb</c:v>
                  </c:pt>
                  <c:pt idx="14">
                    <c:v>Jan</c:v>
                  </c:pt>
                  <c:pt idx="15">
                    <c:v>Jan</c:v>
                  </c:pt>
                  <c:pt idx="16">
                    <c:v>Jan</c:v>
                  </c:pt>
                  <c:pt idx="17">
                    <c:v>Feb</c:v>
                  </c:pt>
                </c:lvl>
                <c:lvl>
                  <c:pt idx="0">
                    <c:v>B.Indo</c:v>
                  </c:pt>
                  <c:pt idx="2">
                    <c:v>TIK</c:v>
                  </c:pt>
                  <c:pt idx="4">
                    <c:v>B.Ing</c:v>
                  </c:pt>
                  <c:pt idx="6">
                    <c:v>Pancasila</c:v>
                  </c:pt>
                  <c:pt idx="7">
                    <c:v>Sejarah</c:v>
                  </c:pt>
                  <c:pt idx="9">
                    <c:v>Kopi</c:v>
                  </c:pt>
                  <c:pt idx="10">
                    <c:v>PKWU</c:v>
                  </c:pt>
                  <c:pt idx="11">
                    <c:v>Tepung</c:v>
                  </c:pt>
                  <c:pt idx="12">
                    <c:v>TIK</c:v>
                  </c:pt>
                  <c:pt idx="14">
                    <c:v>Math</c:v>
                  </c:pt>
                  <c:pt idx="15">
                    <c:v>B.Ing</c:v>
                  </c:pt>
                  <c:pt idx="16">
                    <c:v>Pancasila</c:v>
                  </c:pt>
                </c:lvl>
                <c:lvl>
                  <c:pt idx="0">
                    <c:v>Mandiri</c:v>
                  </c:pt>
                  <c:pt idx="9">
                    <c:v>Bergotong royong</c:v>
                  </c:pt>
                  <c:pt idx="12">
                    <c:v>Beriman, bertakwa kepada Tuhan YME dan berakhlak mulia</c:v>
                  </c:pt>
                </c:lvl>
              </c:multiLvlStrCache>
            </c:multiLvlStrRef>
          </c:cat>
          <c:val>
            <c:numRef>
              <c:f>karakter!$AZ$7:$AZ$24</c:f>
              <c:numCache>
                <c:formatCode>0%</c:formatCode>
                <c:ptCount val="18"/>
                <c:pt idx="0">
                  <c:v>0.13636363636363635</c:v>
                </c:pt>
                <c:pt idx="1">
                  <c:v>0.1</c:v>
                </c:pt>
                <c:pt idx="2">
                  <c:v>0</c:v>
                </c:pt>
                <c:pt idx="3">
                  <c:v>0</c:v>
                </c:pt>
                <c:pt idx="4">
                  <c:v>0.38095238095238093</c:v>
                </c:pt>
                <c:pt idx="5">
                  <c:v>0</c:v>
                </c:pt>
                <c:pt idx="6">
                  <c:v>0</c:v>
                </c:pt>
                <c:pt idx="7">
                  <c:v>0</c:v>
                </c:pt>
                <c:pt idx="8">
                  <c:v>9.6153846153846159E-2</c:v>
                </c:pt>
                <c:pt idx="9">
                  <c:v>0</c:v>
                </c:pt>
                <c:pt idx="10">
                  <c:v>0</c:v>
                </c:pt>
                <c:pt idx="11">
                  <c:v>0</c:v>
                </c:pt>
                <c:pt idx="12">
                  <c:v>0.27272727272727271</c:v>
                </c:pt>
                <c:pt idx="13">
                  <c:v>0.27272727272727271</c:v>
                </c:pt>
                <c:pt idx="14">
                  <c:v>0.45</c:v>
                </c:pt>
                <c:pt idx="15">
                  <c:v>0</c:v>
                </c:pt>
                <c:pt idx="16">
                  <c:v>0</c:v>
                </c:pt>
                <c:pt idx="17">
                  <c:v>4.7619047619047616E-2</c:v>
                </c:pt>
              </c:numCache>
            </c:numRef>
          </c:val>
          <c:extLst>
            <c:ext xmlns:c16="http://schemas.microsoft.com/office/drawing/2014/chart" uri="{C3380CC4-5D6E-409C-BE32-E72D297353CC}">
              <c16:uniqueId val="{00000008-17C9-DF43-859D-697AA5F4AC28}"/>
            </c:ext>
          </c:extLst>
        </c:ser>
        <c:ser>
          <c:idx val="4"/>
          <c:order val="4"/>
          <c:tx>
            <c:strRef>
              <c:f>karakter!$BA$5:$BA$6</c:f>
              <c:strCache>
                <c:ptCount val="1"/>
                <c:pt idx="0">
                  <c:v>Sangat kurang</c:v>
                </c:pt>
              </c:strCache>
            </c:strRef>
          </c:tx>
          <c:spPr>
            <a:solidFill>
              <a:srgbClr val="FF0000"/>
            </a:solidFill>
            <a:ln>
              <a:noFill/>
            </a:ln>
            <a:effectLst/>
          </c:spPr>
          <c:invertIfNegative val="0"/>
          <c:cat>
            <c:multiLvlStrRef>
              <c:f>karakter!$AT$7:$AV$24</c:f>
              <c:multiLvlStrCache>
                <c:ptCount val="18"/>
                <c:lvl>
                  <c:pt idx="0">
                    <c:v>Jan</c:v>
                  </c:pt>
                  <c:pt idx="1">
                    <c:v>Feb</c:v>
                  </c:pt>
                  <c:pt idx="2">
                    <c:v>Jan</c:v>
                  </c:pt>
                  <c:pt idx="3">
                    <c:v>Feb</c:v>
                  </c:pt>
                  <c:pt idx="4">
                    <c:v>Jan</c:v>
                  </c:pt>
                  <c:pt idx="5">
                    <c:v>Feb</c:v>
                  </c:pt>
                  <c:pt idx="6">
                    <c:v>Jan</c:v>
                  </c:pt>
                  <c:pt idx="7">
                    <c:v>Jan</c:v>
                  </c:pt>
                  <c:pt idx="8">
                    <c:v>Feb</c:v>
                  </c:pt>
                  <c:pt idx="9">
                    <c:v>Jan</c:v>
                  </c:pt>
                  <c:pt idx="10">
                    <c:v>Jan</c:v>
                  </c:pt>
                  <c:pt idx="11">
                    <c:v>Jan</c:v>
                  </c:pt>
                  <c:pt idx="12">
                    <c:v>Jan</c:v>
                  </c:pt>
                  <c:pt idx="13">
                    <c:v>Feb</c:v>
                  </c:pt>
                  <c:pt idx="14">
                    <c:v>Jan</c:v>
                  </c:pt>
                  <c:pt idx="15">
                    <c:v>Jan</c:v>
                  </c:pt>
                  <c:pt idx="16">
                    <c:v>Jan</c:v>
                  </c:pt>
                  <c:pt idx="17">
                    <c:v>Feb</c:v>
                  </c:pt>
                </c:lvl>
                <c:lvl>
                  <c:pt idx="0">
                    <c:v>B.Indo</c:v>
                  </c:pt>
                  <c:pt idx="2">
                    <c:v>TIK</c:v>
                  </c:pt>
                  <c:pt idx="4">
                    <c:v>B.Ing</c:v>
                  </c:pt>
                  <c:pt idx="6">
                    <c:v>Pancasila</c:v>
                  </c:pt>
                  <c:pt idx="7">
                    <c:v>Sejarah</c:v>
                  </c:pt>
                  <c:pt idx="9">
                    <c:v>Kopi</c:v>
                  </c:pt>
                  <c:pt idx="10">
                    <c:v>PKWU</c:v>
                  </c:pt>
                  <c:pt idx="11">
                    <c:v>Tepung</c:v>
                  </c:pt>
                  <c:pt idx="12">
                    <c:v>TIK</c:v>
                  </c:pt>
                  <c:pt idx="14">
                    <c:v>Math</c:v>
                  </c:pt>
                  <c:pt idx="15">
                    <c:v>B.Ing</c:v>
                  </c:pt>
                  <c:pt idx="16">
                    <c:v>Pancasila</c:v>
                  </c:pt>
                </c:lvl>
                <c:lvl>
                  <c:pt idx="0">
                    <c:v>Mandiri</c:v>
                  </c:pt>
                  <c:pt idx="9">
                    <c:v>Bergotong royong</c:v>
                  </c:pt>
                  <c:pt idx="12">
                    <c:v>Beriman, bertakwa kepada Tuhan YME dan berakhlak mulia</c:v>
                  </c:pt>
                </c:lvl>
              </c:multiLvlStrCache>
            </c:multiLvlStrRef>
          </c:cat>
          <c:val>
            <c:numRef>
              <c:f>karakter!$BA$7:$BA$24</c:f>
              <c:numCache>
                <c:formatCode>0%</c:formatCode>
                <c:ptCount val="18"/>
                <c:pt idx="0">
                  <c:v>0</c:v>
                </c:pt>
                <c:pt idx="1">
                  <c:v>0</c:v>
                </c:pt>
                <c:pt idx="2">
                  <c:v>0</c:v>
                </c:pt>
                <c:pt idx="3">
                  <c:v>0</c:v>
                </c:pt>
                <c:pt idx="4">
                  <c:v>9.5238095238095233E-2</c:v>
                </c:pt>
                <c:pt idx="5">
                  <c:v>0.44444444444444442</c:v>
                </c:pt>
                <c:pt idx="6">
                  <c:v>0</c:v>
                </c:pt>
                <c:pt idx="7">
                  <c:v>0</c:v>
                </c:pt>
                <c:pt idx="8">
                  <c:v>0</c:v>
                </c:pt>
                <c:pt idx="9">
                  <c:v>0</c:v>
                </c:pt>
                <c:pt idx="10">
                  <c:v>0</c:v>
                </c:pt>
                <c:pt idx="11">
                  <c:v>0</c:v>
                </c:pt>
                <c:pt idx="12">
                  <c:v>0</c:v>
                </c:pt>
                <c:pt idx="13">
                  <c:v>0</c:v>
                </c:pt>
                <c:pt idx="14">
                  <c:v>0</c:v>
                </c:pt>
                <c:pt idx="15">
                  <c:v>0.41666666666666669</c:v>
                </c:pt>
                <c:pt idx="16">
                  <c:v>0</c:v>
                </c:pt>
                <c:pt idx="17">
                  <c:v>0</c:v>
                </c:pt>
              </c:numCache>
            </c:numRef>
          </c:val>
          <c:extLst>
            <c:ext xmlns:c16="http://schemas.microsoft.com/office/drawing/2014/chart" uri="{C3380CC4-5D6E-409C-BE32-E72D297353CC}">
              <c16:uniqueId val="{00000009-17C9-DF43-859D-697AA5F4AC28}"/>
            </c:ext>
          </c:extLst>
        </c:ser>
        <c:dLbls>
          <c:showLegendKey val="0"/>
          <c:showVal val="0"/>
          <c:showCatName val="0"/>
          <c:showSerName val="0"/>
          <c:showPercent val="0"/>
          <c:showBubbleSize val="0"/>
        </c:dLbls>
        <c:gapWidth val="219"/>
        <c:overlap val="100"/>
        <c:axId val="-2114732160"/>
        <c:axId val="-2114735968"/>
      </c:barChart>
      <c:catAx>
        <c:axId val="-211473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crossAx val="-2114735968"/>
        <c:crosses val="autoZero"/>
        <c:auto val="1"/>
        <c:lblAlgn val="ctr"/>
        <c:lblOffset val="100"/>
        <c:noMultiLvlLbl val="0"/>
      </c:catAx>
      <c:valAx>
        <c:axId val="-211473596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crossAx val="-2114732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ysClr val="windowText" lastClr="000000"/>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[TDU_SMA_2526_S2.xlsx]IQ-stnkm!PivotTable2</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a:t>Rerata</a:t>
            </a:r>
            <a:r>
              <a:rPr lang="en-US" sz="2000" baseline="0"/>
              <a:t> STNKM vs IQ</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10"/>
          <c:spPr>
            <a:solidFill>
              <a:schemeClr val="accent1"/>
            </a:solidFill>
            <a:ln w="31750">
              <a:solidFill>
                <a:schemeClr val="accent1"/>
              </a:solidFill>
            </a:ln>
            <a:effectLst/>
          </c:spPr>
        </c:marker>
      </c:pivotFmt>
      <c:pivotFmt>
        <c:idx val="1"/>
        <c:spPr>
          <a:solidFill>
            <a:schemeClr val="accent1"/>
          </a:solidFill>
          <a:ln w="38100" cap="rnd">
            <a:solidFill>
              <a:schemeClr val="accent1"/>
            </a:solidFill>
            <a:round/>
          </a:ln>
          <a:effectLst/>
        </c:spPr>
        <c:marker>
          <c:symbol val="square"/>
          <c:size val="10"/>
          <c:spPr>
            <a:solidFill>
              <a:schemeClr val="accent1"/>
            </a:solidFill>
            <a:ln w="31750">
              <a:solidFill>
                <a:schemeClr val="accent1"/>
              </a:solidFill>
            </a:ln>
            <a:effectLst/>
          </c:spPr>
        </c:marker>
      </c:pivotFmt>
      <c:pivotFmt>
        <c:idx val="2"/>
        <c:spPr>
          <a:solidFill>
            <a:schemeClr val="accent1"/>
          </a:solidFill>
          <a:ln w="38100" cap="rnd">
            <a:solidFill>
              <a:schemeClr val="accent1"/>
            </a:solidFill>
            <a:round/>
          </a:ln>
          <a:effectLst/>
        </c:spPr>
        <c:marker>
          <c:symbol val="diamond"/>
          <c:size val="10"/>
          <c:spPr>
            <a:solidFill>
              <a:schemeClr val="accent1"/>
            </a:solidFill>
            <a:ln w="31750">
              <a:solidFill>
                <a:schemeClr val="accent1"/>
              </a:solidFill>
            </a:ln>
            <a:effectLst/>
          </c:spPr>
        </c:marker>
      </c:pivotFmt>
      <c:pivotFmt>
        <c:idx val="3"/>
        <c:spPr>
          <a:solidFill>
            <a:schemeClr val="accent1"/>
          </a:solidFill>
          <a:ln w="38100" cap="rnd">
            <a:solidFill>
              <a:schemeClr val="accent1"/>
            </a:solidFill>
            <a:round/>
          </a:ln>
          <a:effectLst/>
        </c:spPr>
        <c:marker>
          <c:symbol val="star"/>
          <c:size val="10"/>
          <c:spPr>
            <a:noFill/>
            <a:ln w="31750">
              <a:solidFill>
                <a:schemeClr val="accent1"/>
              </a:solidFill>
            </a:ln>
            <a:effectLst/>
          </c:spPr>
        </c:marker>
      </c:pivotFmt>
      <c:pivotFmt>
        <c:idx val="4"/>
        <c:spPr>
          <a:ln w="38100" cap="rnd">
            <a:solidFill>
              <a:schemeClr val="bg2">
                <a:lumMod val="75000"/>
              </a:schemeClr>
            </a:solidFill>
            <a:round/>
          </a:ln>
          <a:effectLst/>
        </c:spPr>
        <c:marker>
          <c:symbol val="diamond"/>
          <c:size val="10"/>
          <c:spPr>
            <a:solidFill>
              <a:schemeClr val="bg2">
                <a:lumMod val="50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star"/>
          <c:size val="10"/>
          <c:spPr>
            <a:noFill/>
            <a:ln w="31750">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square"/>
          <c:size val="10"/>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00B050"/>
            </a:solidFill>
            <a:round/>
          </a:ln>
          <a:effectLst/>
        </c:spPr>
        <c:marker>
          <c:symbol val="diamond"/>
          <c:size val="10"/>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chemeClr val="accent1"/>
            </a:solidFill>
            <a:round/>
          </a:ln>
          <a:effectLst/>
        </c:spPr>
        <c:marker>
          <c:symbol val="circle"/>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'IQ-stnkm'!$D$3:$D$4</c:f>
              <c:strCache>
                <c:ptCount val="1"/>
                <c:pt idx="0">
                  <c:v>Skill</c:v>
                </c:pt>
              </c:strCache>
            </c:strRef>
          </c:tx>
          <c:spPr>
            <a:ln w="38100" cap="rnd">
              <a:solidFill>
                <a:schemeClr val="accent1"/>
              </a:solidFill>
              <a:round/>
            </a:ln>
            <a:effectLst/>
          </c:spPr>
          <c:marker>
            <c:symbol val="circle"/>
            <c:size val="10"/>
            <c:spPr>
              <a:solidFill>
                <a:schemeClr val="accent1"/>
              </a:solidFill>
              <a:ln w="9525">
                <a:solidFill>
                  <a:schemeClr val="accent1"/>
                </a:solidFill>
              </a:ln>
              <a:effectLst/>
            </c:spPr>
          </c:marker>
          <c:cat>
            <c:multiLvlStrRef>
              <c:f>'IQ-stnkm'!$A$5:$C$14</c:f>
              <c:multiLvlStrCache>
                <c:ptCount val="10"/>
                <c:lvl>
                  <c:pt idx="0">
                    <c:v>Jan</c:v>
                  </c:pt>
                  <c:pt idx="1">
                    <c:v>Feb</c:v>
                  </c:pt>
                  <c:pt idx="2">
                    <c:v>Jan</c:v>
                  </c:pt>
                  <c:pt idx="3">
                    <c:v>Feb</c:v>
                  </c:pt>
                  <c:pt idx="4">
                    <c:v>Jan</c:v>
                  </c:pt>
                  <c:pt idx="5">
                    <c:v>Feb</c:v>
                  </c:pt>
                  <c:pt idx="6">
                    <c:v>Jan</c:v>
                  </c:pt>
                  <c:pt idx="7">
                    <c:v>Feb</c:v>
                  </c:pt>
                  <c:pt idx="8">
                    <c:v>Jan</c:v>
                  </c:pt>
                  <c:pt idx="9">
                    <c:v>Feb</c:v>
                  </c:pt>
                </c:lvl>
                <c:lvl>
                  <c:pt idx="0">
                    <c:v>Extremely low</c:v>
                  </c:pt>
                  <c:pt idx="2">
                    <c:v>Low average</c:v>
                  </c:pt>
                  <c:pt idx="4">
                    <c:v>Average</c:v>
                  </c:pt>
                  <c:pt idx="6">
                    <c:v>High average</c:v>
                  </c:pt>
                  <c:pt idx="8">
                    <c:v>Superior</c:v>
                  </c:pt>
                </c:lvl>
                <c:lvl>
                  <c:pt idx="0">
                    <c:v>11A</c:v>
                  </c:pt>
                </c:lvl>
              </c:multiLvlStrCache>
            </c:multiLvlStrRef>
          </c:cat>
          <c:val>
            <c:numRef>
              <c:f>'IQ-stnkm'!$D$5:$D$14</c:f>
              <c:numCache>
                <c:formatCode>_(* #,##0_);_(* \(#,##0\);_(* "-"_);_(@_)</c:formatCode>
                <c:ptCount val="10"/>
                <c:pt idx="0">
                  <c:v>63.277777777777779</c:v>
                </c:pt>
                <c:pt idx="1">
                  <c:v>73.285714285714292</c:v>
                </c:pt>
                <c:pt idx="2">
                  <c:v>54.333333333333336</c:v>
                </c:pt>
                <c:pt idx="3">
                  <c:v>53.571428571428569</c:v>
                </c:pt>
                <c:pt idx="4">
                  <c:v>71.978723404255319</c:v>
                </c:pt>
                <c:pt idx="5">
                  <c:v>72.288135593220332</c:v>
                </c:pt>
                <c:pt idx="6">
                  <c:v>75.458333333333329</c:v>
                </c:pt>
                <c:pt idx="7">
                  <c:v>75.566666666666663</c:v>
                </c:pt>
                <c:pt idx="8">
                  <c:v>62.142857142857146</c:v>
                </c:pt>
                <c:pt idx="9">
                  <c:v>75.07692307692308</c:v>
                </c:pt>
              </c:numCache>
            </c:numRef>
          </c:val>
          <c:smooth val="0"/>
          <c:extLst>
            <c:ext xmlns:c16="http://schemas.microsoft.com/office/drawing/2014/chart" uri="{C3380CC4-5D6E-409C-BE32-E72D297353CC}">
              <c16:uniqueId val="{00000000-17B9-E547-B784-BE3897EF6B5E}"/>
            </c:ext>
          </c:extLst>
        </c:ser>
        <c:ser>
          <c:idx val="1"/>
          <c:order val="1"/>
          <c:tx>
            <c:strRef>
              <c:f>'IQ-stnkm'!$E$3:$E$4</c:f>
              <c:strCache>
                <c:ptCount val="1"/>
                <c:pt idx="0">
                  <c:v>Teori</c:v>
                </c:pt>
              </c:strCache>
            </c:strRef>
          </c:tx>
          <c:spPr>
            <a:ln w="38100" cap="rnd">
              <a:solidFill>
                <a:schemeClr val="accent2"/>
              </a:solidFill>
              <a:round/>
            </a:ln>
            <a:effectLst/>
          </c:spPr>
          <c:marker>
            <c:symbol val="square"/>
            <c:size val="10"/>
            <c:spPr>
              <a:solidFill>
                <a:schemeClr val="accent2"/>
              </a:solidFill>
              <a:ln w="9525">
                <a:solidFill>
                  <a:schemeClr val="accent2"/>
                </a:solidFill>
              </a:ln>
              <a:effectLst/>
            </c:spPr>
          </c:marker>
          <c:cat>
            <c:multiLvlStrRef>
              <c:f>'IQ-stnkm'!$A$5:$C$14</c:f>
              <c:multiLvlStrCache>
                <c:ptCount val="10"/>
                <c:lvl>
                  <c:pt idx="0">
                    <c:v>Jan</c:v>
                  </c:pt>
                  <c:pt idx="1">
                    <c:v>Feb</c:v>
                  </c:pt>
                  <c:pt idx="2">
                    <c:v>Jan</c:v>
                  </c:pt>
                  <c:pt idx="3">
                    <c:v>Feb</c:v>
                  </c:pt>
                  <c:pt idx="4">
                    <c:v>Jan</c:v>
                  </c:pt>
                  <c:pt idx="5">
                    <c:v>Feb</c:v>
                  </c:pt>
                  <c:pt idx="6">
                    <c:v>Jan</c:v>
                  </c:pt>
                  <c:pt idx="7">
                    <c:v>Feb</c:v>
                  </c:pt>
                  <c:pt idx="8">
                    <c:v>Jan</c:v>
                  </c:pt>
                  <c:pt idx="9">
                    <c:v>Feb</c:v>
                  </c:pt>
                </c:lvl>
                <c:lvl>
                  <c:pt idx="0">
                    <c:v>Extremely low</c:v>
                  </c:pt>
                  <c:pt idx="2">
                    <c:v>Low average</c:v>
                  </c:pt>
                  <c:pt idx="4">
                    <c:v>Average</c:v>
                  </c:pt>
                  <c:pt idx="6">
                    <c:v>High average</c:v>
                  </c:pt>
                  <c:pt idx="8">
                    <c:v>Superior</c:v>
                  </c:pt>
                </c:lvl>
                <c:lvl>
                  <c:pt idx="0">
                    <c:v>11A</c:v>
                  </c:pt>
                </c:lvl>
              </c:multiLvlStrCache>
            </c:multiLvlStrRef>
          </c:cat>
          <c:val>
            <c:numRef>
              <c:f>'IQ-stnkm'!$E$5:$E$14</c:f>
              <c:numCache>
                <c:formatCode>_(* #,##0_);_(* \(#,##0\);_(* "-"_);_(@_)</c:formatCode>
                <c:ptCount val="10"/>
                <c:pt idx="0">
                  <c:v>66.047619047619051</c:v>
                </c:pt>
                <c:pt idx="1">
                  <c:v>73.479166666666671</c:v>
                </c:pt>
                <c:pt idx="2">
                  <c:v>49.695652173913047</c:v>
                </c:pt>
                <c:pt idx="3">
                  <c:v>47.083333333333336</c:v>
                </c:pt>
                <c:pt idx="4">
                  <c:v>65.445378151260499</c:v>
                </c:pt>
                <c:pt idx="5">
                  <c:v>69.489051094890513</c:v>
                </c:pt>
                <c:pt idx="6">
                  <c:v>73.148148148148152</c:v>
                </c:pt>
                <c:pt idx="7">
                  <c:v>78.25</c:v>
                </c:pt>
                <c:pt idx="8">
                  <c:v>53.636363636363633</c:v>
                </c:pt>
                <c:pt idx="9">
                  <c:v>69.444444444444443</c:v>
                </c:pt>
              </c:numCache>
            </c:numRef>
          </c:val>
          <c:smooth val="0"/>
          <c:extLst>
            <c:ext xmlns:c16="http://schemas.microsoft.com/office/drawing/2014/chart" uri="{C3380CC4-5D6E-409C-BE32-E72D297353CC}">
              <c16:uniqueId val="{00000001-17B9-E547-B784-BE3897EF6B5E}"/>
            </c:ext>
          </c:extLst>
        </c:ser>
        <c:ser>
          <c:idx val="2"/>
          <c:order val="2"/>
          <c:tx>
            <c:strRef>
              <c:f>'IQ-stnkm'!$F$3:$F$4</c:f>
              <c:strCache>
                <c:ptCount val="1"/>
                <c:pt idx="0">
                  <c:v>Nalar</c:v>
                </c:pt>
              </c:strCache>
            </c:strRef>
          </c:tx>
          <c:spPr>
            <a:ln w="38100" cap="rnd">
              <a:solidFill>
                <a:srgbClr val="00B050"/>
              </a:solidFill>
              <a:round/>
            </a:ln>
            <a:effectLst/>
          </c:spPr>
          <c:marker>
            <c:symbol val="diamond"/>
            <c:size val="10"/>
            <c:spPr>
              <a:solidFill>
                <a:srgbClr val="00B050"/>
              </a:solidFill>
              <a:ln w="9525">
                <a:solidFill>
                  <a:srgbClr val="00B050"/>
                </a:solidFill>
              </a:ln>
              <a:effectLst/>
            </c:spPr>
          </c:marker>
          <c:cat>
            <c:multiLvlStrRef>
              <c:f>'IQ-stnkm'!$A$5:$C$14</c:f>
              <c:multiLvlStrCache>
                <c:ptCount val="10"/>
                <c:lvl>
                  <c:pt idx="0">
                    <c:v>Jan</c:v>
                  </c:pt>
                  <c:pt idx="1">
                    <c:v>Feb</c:v>
                  </c:pt>
                  <c:pt idx="2">
                    <c:v>Jan</c:v>
                  </c:pt>
                  <c:pt idx="3">
                    <c:v>Feb</c:v>
                  </c:pt>
                  <c:pt idx="4">
                    <c:v>Jan</c:v>
                  </c:pt>
                  <c:pt idx="5">
                    <c:v>Feb</c:v>
                  </c:pt>
                  <c:pt idx="6">
                    <c:v>Jan</c:v>
                  </c:pt>
                  <c:pt idx="7">
                    <c:v>Feb</c:v>
                  </c:pt>
                  <c:pt idx="8">
                    <c:v>Jan</c:v>
                  </c:pt>
                  <c:pt idx="9">
                    <c:v>Feb</c:v>
                  </c:pt>
                </c:lvl>
                <c:lvl>
                  <c:pt idx="0">
                    <c:v>Extremely low</c:v>
                  </c:pt>
                  <c:pt idx="2">
                    <c:v>Low average</c:v>
                  </c:pt>
                  <c:pt idx="4">
                    <c:v>Average</c:v>
                  </c:pt>
                  <c:pt idx="6">
                    <c:v>High average</c:v>
                  </c:pt>
                  <c:pt idx="8">
                    <c:v>Superior</c:v>
                  </c:pt>
                </c:lvl>
                <c:lvl>
                  <c:pt idx="0">
                    <c:v>11A</c:v>
                  </c:pt>
                </c:lvl>
              </c:multiLvlStrCache>
            </c:multiLvlStrRef>
          </c:cat>
          <c:val>
            <c:numRef>
              <c:f>'IQ-stnkm'!$F$5:$F$14</c:f>
              <c:numCache>
                <c:formatCode>_(* #,##0_);_(* \(#,##0\);_(* "-"_);_(@_)</c:formatCode>
                <c:ptCount val="10"/>
                <c:pt idx="0">
                  <c:v>67.272727272727266</c:v>
                </c:pt>
                <c:pt idx="1">
                  <c:v>70.833333333333329</c:v>
                </c:pt>
                <c:pt idx="2">
                  <c:v>50.363636363636367</c:v>
                </c:pt>
                <c:pt idx="3">
                  <c:v>58.333333333333336</c:v>
                </c:pt>
                <c:pt idx="4">
                  <c:v>63.633333333333333</c:v>
                </c:pt>
                <c:pt idx="5">
                  <c:v>69.75</c:v>
                </c:pt>
                <c:pt idx="6">
                  <c:v>66.25</c:v>
                </c:pt>
                <c:pt idx="7">
                  <c:v>77.6875</c:v>
                </c:pt>
                <c:pt idx="8">
                  <c:v>65.727272727272734</c:v>
                </c:pt>
                <c:pt idx="9">
                  <c:v>74.625</c:v>
                </c:pt>
              </c:numCache>
            </c:numRef>
          </c:val>
          <c:smooth val="0"/>
          <c:extLst>
            <c:ext xmlns:c16="http://schemas.microsoft.com/office/drawing/2014/chart" uri="{C3380CC4-5D6E-409C-BE32-E72D297353CC}">
              <c16:uniqueId val="{00000002-17B9-E547-B784-BE3897EF6B5E}"/>
            </c:ext>
          </c:extLst>
        </c:ser>
        <c:ser>
          <c:idx val="3"/>
          <c:order val="3"/>
          <c:tx>
            <c:strRef>
              <c:f>'IQ-stnkm'!$G$3:$G$4</c:f>
              <c:strCache>
                <c:ptCount val="1"/>
                <c:pt idx="0">
                  <c:v>Karakter</c:v>
                </c:pt>
              </c:strCache>
            </c:strRef>
          </c:tx>
          <c:spPr>
            <a:ln w="38100" cap="rnd">
              <a:solidFill>
                <a:schemeClr val="accent4"/>
              </a:solidFill>
              <a:round/>
            </a:ln>
            <a:effectLst/>
          </c:spPr>
          <c:marker>
            <c:symbol val="star"/>
            <c:size val="10"/>
            <c:spPr>
              <a:noFill/>
              <a:ln w="31750">
                <a:solidFill>
                  <a:schemeClr val="accent4"/>
                </a:solidFill>
              </a:ln>
              <a:effectLst/>
            </c:spPr>
          </c:marker>
          <c:cat>
            <c:multiLvlStrRef>
              <c:f>'IQ-stnkm'!$A$5:$C$14</c:f>
              <c:multiLvlStrCache>
                <c:ptCount val="10"/>
                <c:lvl>
                  <c:pt idx="0">
                    <c:v>Jan</c:v>
                  </c:pt>
                  <c:pt idx="1">
                    <c:v>Feb</c:v>
                  </c:pt>
                  <c:pt idx="2">
                    <c:v>Jan</c:v>
                  </c:pt>
                  <c:pt idx="3">
                    <c:v>Feb</c:v>
                  </c:pt>
                  <c:pt idx="4">
                    <c:v>Jan</c:v>
                  </c:pt>
                  <c:pt idx="5">
                    <c:v>Feb</c:v>
                  </c:pt>
                  <c:pt idx="6">
                    <c:v>Jan</c:v>
                  </c:pt>
                  <c:pt idx="7">
                    <c:v>Feb</c:v>
                  </c:pt>
                  <c:pt idx="8">
                    <c:v>Jan</c:v>
                  </c:pt>
                  <c:pt idx="9">
                    <c:v>Feb</c:v>
                  </c:pt>
                </c:lvl>
                <c:lvl>
                  <c:pt idx="0">
                    <c:v>Extremely low</c:v>
                  </c:pt>
                  <c:pt idx="2">
                    <c:v>Low average</c:v>
                  </c:pt>
                  <c:pt idx="4">
                    <c:v>Average</c:v>
                  </c:pt>
                  <c:pt idx="6">
                    <c:v>High average</c:v>
                  </c:pt>
                  <c:pt idx="8">
                    <c:v>Superior</c:v>
                  </c:pt>
                </c:lvl>
                <c:lvl>
                  <c:pt idx="0">
                    <c:v>11A</c:v>
                  </c:pt>
                </c:lvl>
              </c:multiLvlStrCache>
            </c:multiLvlStrRef>
          </c:cat>
          <c:val>
            <c:numRef>
              <c:f>'IQ-stnkm'!$G$5:$G$14</c:f>
              <c:numCache>
                <c:formatCode>_(* #,##0_);_(* \(#,##0\);_(* "-"_);_(@_)</c:formatCode>
                <c:ptCount val="10"/>
                <c:pt idx="0">
                  <c:v>68.34615384615384</c:v>
                </c:pt>
                <c:pt idx="1">
                  <c:v>72.285714285714292</c:v>
                </c:pt>
                <c:pt idx="2">
                  <c:v>76.07692307692308</c:v>
                </c:pt>
                <c:pt idx="3">
                  <c:v>69.571428571428569</c:v>
                </c:pt>
                <c:pt idx="4">
                  <c:v>76.111111111111114</c:v>
                </c:pt>
                <c:pt idx="5">
                  <c:v>72</c:v>
                </c:pt>
                <c:pt idx="6">
                  <c:v>83.53125</c:v>
                </c:pt>
                <c:pt idx="7">
                  <c:v>75</c:v>
                </c:pt>
                <c:pt idx="8">
                  <c:v>71.230769230769226</c:v>
                </c:pt>
                <c:pt idx="9">
                  <c:v>69.428571428571431</c:v>
                </c:pt>
              </c:numCache>
            </c:numRef>
          </c:val>
          <c:smooth val="0"/>
          <c:extLst>
            <c:ext xmlns:c16="http://schemas.microsoft.com/office/drawing/2014/chart" uri="{C3380CC4-5D6E-409C-BE32-E72D297353CC}">
              <c16:uniqueId val="{00000003-17B9-E547-B784-BE3897EF6B5E}"/>
            </c:ext>
          </c:extLst>
        </c:ser>
        <c:ser>
          <c:idx val="4"/>
          <c:order val="4"/>
          <c:tx>
            <c:strRef>
              <c:f>'IQ-stnkm'!$H$3:$H$4</c:f>
              <c:strCache>
                <c:ptCount val="1"/>
                <c:pt idx="0">
                  <c:v>Minat</c:v>
                </c:pt>
              </c:strCache>
            </c:strRef>
          </c:tx>
          <c:spPr>
            <a:ln w="38100" cap="rnd">
              <a:solidFill>
                <a:schemeClr val="bg2">
                  <a:lumMod val="75000"/>
                </a:schemeClr>
              </a:solidFill>
              <a:round/>
            </a:ln>
            <a:effectLst/>
          </c:spPr>
          <c:marker>
            <c:symbol val="diamond"/>
            <c:size val="10"/>
            <c:spPr>
              <a:solidFill>
                <a:schemeClr val="bg2">
                  <a:lumMod val="50000"/>
                </a:schemeClr>
              </a:solidFill>
              <a:ln w="9525">
                <a:solidFill>
                  <a:schemeClr val="bg2">
                    <a:lumMod val="50000"/>
                  </a:schemeClr>
                </a:solidFill>
              </a:ln>
              <a:effectLst/>
            </c:spPr>
          </c:marker>
          <c:cat>
            <c:multiLvlStrRef>
              <c:f>'IQ-stnkm'!$A$5:$C$14</c:f>
              <c:multiLvlStrCache>
                <c:ptCount val="10"/>
                <c:lvl>
                  <c:pt idx="0">
                    <c:v>Jan</c:v>
                  </c:pt>
                  <c:pt idx="1">
                    <c:v>Feb</c:v>
                  </c:pt>
                  <c:pt idx="2">
                    <c:v>Jan</c:v>
                  </c:pt>
                  <c:pt idx="3">
                    <c:v>Feb</c:v>
                  </c:pt>
                  <c:pt idx="4">
                    <c:v>Jan</c:v>
                  </c:pt>
                  <c:pt idx="5">
                    <c:v>Feb</c:v>
                  </c:pt>
                  <c:pt idx="6">
                    <c:v>Jan</c:v>
                  </c:pt>
                  <c:pt idx="7">
                    <c:v>Feb</c:v>
                  </c:pt>
                  <c:pt idx="8">
                    <c:v>Jan</c:v>
                  </c:pt>
                  <c:pt idx="9">
                    <c:v>Feb</c:v>
                  </c:pt>
                </c:lvl>
                <c:lvl>
                  <c:pt idx="0">
                    <c:v>Extremely low</c:v>
                  </c:pt>
                  <c:pt idx="2">
                    <c:v>Low average</c:v>
                  </c:pt>
                  <c:pt idx="4">
                    <c:v>Average</c:v>
                  </c:pt>
                  <c:pt idx="6">
                    <c:v>High average</c:v>
                  </c:pt>
                  <c:pt idx="8">
                    <c:v>Superior</c:v>
                  </c:pt>
                </c:lvl>
                <c:lvl>
                  <c:pt idx="0">
                    <c:v>11A</c:v>
                  </c:pt>
                </c:lvl>
              </c:multiLvlStrCache>
            </c:multiLvlStrRef>
          </c:cat>
          <c:val>
            <c:numRef>
              <c:f>'IQ-stnkm'!$H$5:$H$14</c:f>
              <c:numCache>
                <c:formatCode>_(* #,##0_);_(* \(#,##0\);_(* "-"_);_(@_)</c:formatCode>
                <c:ptCount val="10"/>
                <c:pt idx="0">
                  <c:v>71.05263157894737</c:v>
                </c:pt>
                <c:pt idx="1">
                  <c:v>71.7</c:v>
                </c:pt>
                <c:pt idx="2">
                  <c:v>66.222222222222229</c:v>
                </c:pt>
                <c:pt idx="3">
                  <c:v>69.400000000000006</c:v>
                </c:pt>
                <c:pt idx="4">
                  <c:v>68.58</c:v>
                </c:pt>
                <c:pt idx="5">
                  <c:v>70.040000000000006</c:v>
                </c:pt>
                <c:pt idx="6">
                  <c:v>73</c:v>
                </c:pt>
                <c:pt idx="7">
                  <c:v>72</c:v>
                </c:pt>
                <c:pt idx="8">
                  <c:v>69.599999999999994</c:v>
                </c:pt>
                <c:pt idx="9">
                  <c:v>70.2</c:v>
                </c:pt>
              </c:numCache>
            </c:numRef>
          </c:val>
          <c:smooth val="0"/>
          <c:extLst>
            <c:ext xmlns:c16="http://schemas.microsoft.com/office/drawing/2014/chart" uri="{C3380CC4-5D6E-409C-BE32-E72D297353CC}">
              <c16:uniqueId val="{00000006-17B9-E547-B784-BE3897EF6B5E}"/>
            </c:ext>
          </c:extLst>
        </c:ser>
        <c:dLbls>
          <c:showLegendKey val="0"/>
          <c:showVal val="0"/>
          <c:showCatName val="0"/>
          <c:showSerName val="0"/>
          <c:showPercent val="0"/>
          <c:showBubbleSize val="0"/>
        </c:dLbls>
        <c:marker val="1"/>
        <c:smooth val="0"/>
        <c:axId val="-2114724544"/>
        <c:axId val="-2114734880"/>
      </c:lineChart>
      <c:catAx>
        <c:axId val="-211472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crossAx val="-2114734880"/>
        <c:crosses val="autoZero"/>
        <c:auto val="1"/>
        <c:lblAlgn val="ctr"/>
        <c:lblOffset val="100"/>
        <c:noMultiLvlLbl val="0"/>
      </c:catAx>
      <c:valAx>
        <c:axId val="-211473488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crossAx val="-2114724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id-ID"/>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b="1">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5" Type="http://schemas.openxmlformats.org/officeDocument/2006/relationships/chart" Target="../charts/chart22.xml"/><Relationship Id="rId4"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4</xdr:col>
      <xdr:colOff>50800</xdr:colOff>
      <xdr:row>0</xdr:row>
      <xdr:rowOff>0</xdr:rowOff>
    </xdr:from>
    <xdr:to>
      <xdr:col>9</xdr:col>
      <xdr:colOff>495300</xdr:colOff>
      <xdr:row>14</xdr:row>
      <xdr:rowOff>76200</xdr:rowOff>
    </xdr:to>
    <xdr:graphicFrame macro="">
      <xdr:nvGraphicFramePr>
        <xdr:cNvPr id="2" name="Chart 1">
          <a:extLst>
            <a:ext uri="{FF2B5EF4-FFF2-40B4-BE49-F238E27FC236}">
              <a16:creationId xmlns:a16="http://schemas.microsoft.com/office/drawing/2014/main" id="{AC8403C9-8D8F-DD4B-53D6-FF280AC55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16</xdr:row>
      <xdr:rowOff>176213</xdr:rowOff>
    </xdr:from>
    <xdr:to>
      <xdr:col>9</xdr:col>
      <xdr:colOff>476250</xdr:colOff>
      <xdr:row>31</xdr:row>
      <xdr:rowOff>61913</xdr:rowOff>
    </xdr:to>
    <xdr:graphicFrame macro="">
      <xdr:nvGraphicFramePr>
        <xdr:cNvPr id="3" name="Chart 2">
          <a:extLst>
            <a:ext uri="{FF2B5EF4-FFF2-40B4-BE49-F238E27FC236}">
              <a16:creationId xmlns:a16="http://schemas.microsoft.com/office/drawing/2014/main" id="{783DD79B-0CDB-63E4-B76B-C155595CD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15875</xdr:colOff>
      <xdr:row>34</xdr:row>
      <xdr:rowOff>176213</xdr:rowOff>
    </xdr:from>
    <xdr:to>
      <xdr:col>9</xdr:col>
      <xdr:colOff>460375</xdr:colOff>
      <xdr:row>49</xdr:row>
      <xdr:rowOff>61913</xdr:rowOff>
    </xdr:to>
    <xdr:graphicFrame macro="">
      <xdr:nvGraphicFramePr>
        <xdr:cNvPr id="5" name="Chart 4">
          <a:extLst>
            <a:ext uri="{FF2B5EF4-FFF2-40B4-BE49-F238E27FC236}">
              <a16:creationId xmlns:a16="http://schemas.microsoft.com/office/drawing/2014/main" id="{788998F2-A807-9611-BDD3-12AD376F7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7938</xdr:colOff>
      <xdr:row>54</xdr:row>
      <xdr:rowOff>17463</xdr:rowOff>
    </xdr:from>
    <xdr:to>
      <xdr:col>9</xdr:col>
      <xdr:colOff>452438</xdr:colOff>
      <xdr:row>68</xdr:row>
      <xdr:rowOff>93663</xdr:rowOff>
    </xdr:to>
    <xdr:graphicFrame macro="">
      <xdr:nvGraphicFramePr>
        <xdr:cNvPr id="6" name="Chart 5">
          <a:extLst>
            <a:ext uri="{FF2B5EF4-FFF2-40B4-BE49-F238E27FC236}">
              <a16:creationId xmlns:a16="http://schemas.microsoft.com/office/drawing/2014/main" id="{CFD8828D-4E55-7760-B42B-6EE33B6AF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660400</xdr:colOff>
      <xdr:row>0</xdr:row>
      <xdr:rowOff>1</xdr:rowOff>
    </xdr:from>
    <xdr:to>
      <xdr:col>12</xdr:col>
      <xdr:colOff>12699</xdr:colOff>
      <xdr:row>5</xdr:row>
      <xdr:rowOff>38407</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6017871D-8129-5F8A-135B-35E3CD95E31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826795" y="1"/>
              <a:ext cx="1966139" cy="9982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644525</xdr:colOff>
      <xdr:row>17</xdr:row>
      <xdr:rowOff>0</xdr:rowOff>
    </xdr:from>
    <xdr:to>
      <xdr:col>12</xdr:col>
      <xdr:colOff>3174</xdr:colOff>
      <xdr:row>21</xdr:row>
      <xdr:rowOff>154442</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C658474B-0F1B-0057-475C-5EA17395489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810920" y="3263605"/>
              <a:ext cx="1972489" cy="922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612775</xdr:colOff>
      <xdr:row>34</xdr:row>
      <xdr:rowOff>158749</xdr:rowOff>
    </xdr:from>
    <xdr:to>
      <xdr:col>11</xdr:col>
      <xdr:colOff>878317</xdr:colOff>
      <xdr:row>40</xdr:row>
      <xdr:rowOff>14767</xdr:rowOff>
    </xdr:to>
    <mc:AlternateContent xmlns:mc="http://schemas.openxmlformats.org/markup-compatibility/2006" xmlns:a14="http://schemas.microsoft.com/office/drawing/2010/main">
      <mc:Choice Requires="a14">
        <xdr:graphicFrame macro="">
          <xdr:nvGraphicFramePr>
            <xdr:cNvPr id="11" name="Month 2">
              <a:extLst>
                <a:ext uri="{FF2B5EF4-FFF2-40B4-BE49-F238E27FC236}">
                  <a16:creationId xmlns:a16="http://schemas.microsoft.com/office/drawing/2014/main" id="{845249F2-E92F-B1B1-E19C-8254018CFDBA}"/>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8779170" y="6685958"/>
              <a:ext cx="2001064" cy="1007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628650</xdr:colOff>
      <xdr:row>54</xdr:row>
      <xdr:rowOff>15876</xdr:rowOff>
    </xdr:from>
    <xdr:to>
      <xdr:col>11</xdr:col>
      <xdr:colOff>758826</xdr:colOff>
      <xdr:row>59</xdr:row>
      <xdr:rowOff>25088</xdr:rowOff>
    </xdr:to>
    <mc:AlternateContent xmlns:mc="http://schemas.openxmlformats.org/markup-compatibility/2006" xmlns:a14="http://schemas.microsoft.com/office/drawing/2010/main">
      <mc:Choice Requires="a14">
        <xdr:graphicFrame macro="">
          <xdr:nvGraphicFramePr>
            <xdr:cNvPr id="12" name="Month 3">
              <a:extLst>
                <a:ext uri="{FF2B5EF4-FFF2-40B4-BE49-F238E27FC236}">
                  <a16:creationId xmlns:a16="http://schemas.microsoft.com/office/drawing/2014/main" id="{663DB60B-FCC7-91A4-B77B-1872EE0DEEB0}"/>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8795045" y="10382620"/>
              <a:ext cx="1872735" cy="969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571499</xdr:colOff>
      <xdr:row>0</xdr:row>
      <xdr:rowOff>15875</xdr:rowOff>
    </xdr:from>
    <xdr:to>
      <xdr:col>29</xdr:col>
      <xdr:colOff>444500</xdr:colOff>
      <xdr:row>33</xdr:row>
      <xdr:rowOff>79375</xdr:rowOff>
    </xdr:to>
    <xdr:graphicFrame macro="">
      <xdr:nvGraphicFramePr>
        <xdr:cNvPr id="15" name="Chart 14">
          <a:extLst>
            <a:ext uri="{FF2B5EF4-FFF2-40B4-BE49-F238E27FC236}">
              <a16:creationId xmlns:a16="http://schemas.microsoft.com/office/drawing/2014/main" id="{A3743722-144A-8712-2111-917746D20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596900</xdr:colOff>
      <xdr:row>33</xdr:row>
      <xdr:rowOff>168278</xdr:rowOff>
    </xdr:from>
    <xdr:to>
      <xdr:col>16</xdr:col>
      <xdr:colOff>3176</xdr:colOff>
      <xdr:row>37</xdr:row>
      <xdr:rowOff>29535</xdr:rowOff>
    </xdr:to>
    <mc:AlternateContent xmlns:mc="http://schemas.openxmlformats.org/markup-compatibility/2006" xmlns:a14="http://schemas.microsoft.com/office/drawing/2010/main">
      <mc:Choice Requires="a14">
        <xdr:graphicFrame macro="">
          <xdr:nvGraphicFramePr>
            <xdr:cNvPr id="16" name="KELAS">
              <a:extLst>
                <a:ext uri="{FF2B5EF4-FFF2-40B4-BE49-F238E27FC236}">
                  <a16:creationId xmlns:a16="http://schemas.microsoft.com/office/drawing/2014/main" id="{31DE6FAF-4801-4C67-9327-2555B767C2B1}"/>
                </a:ext>
              </a:extLst>
            </xdr:cNvPr>
            <xdr:cNvGraphicFramePr/>
          </xdr:nvGraphicFramePr>
          <xdr:xfrm>
            <a:off x="0" y="0"/>
            <a:ext cx="0" cy="0"/>
          </xdr:xfrm>
          <a:graphic>
            <a:graphicData uri="http://schemas.microsoft.com/office/drawing/2010/slicer">
              <sle:slicer xmlns:sle="http://schemas.microsoft.com/office/drawing/2010/slicer" name="KELAS"/>
            </a:graphicData>
          </a:graphic>
        </xdr:graphicFrame>
      </mc:Choice>
      <mc:Fallback xmlns="">
        <xdr:sp macro="" textlink="">
          <xdr:nvSpPr>
            <xdr:cNvPr id="0" name=""/>
            <xdr:cNvSpPr>
              <a:spLocks noTextEdit="1"/>
            </xdr:cNvSpPr>
          </xdr:nvSpPr>
          <xdr:spPr>
            <a:xfrm>
              <a:off x="11954329" y="6754133"/>
              <a:ext cx="1846943" cy="1770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15875</xdr:colOff>
      <xdr:row>34</xdr:row>
      <xdr:rowOff>1</xdr:rowOff>
    </xdr:from>
    <xdr:to>
      <xdr:col>18</xdr:col>
      <xdr:colOff>193677</xdr:colOff>
      <xdr:row>39</xdr:row>
      <xdr:rowOff>0</xdr:rowOff>
    </xdr:to>
    <mc:AlternateContent xmlns:mc="http://schemas.openxmlformats.org/markup-compatibility/2006" xmlns:a14="http://schemas.microsoft.com/office/drawing/2010/main">
      <mc:Choice Requires="a14">
        <xdr:graphicFrame macro="">
          <xdr:nvGraphicFramePr>
            <xdr:cNvPr id="17" name="Month 6">
              <a:extLst>
                <a:ext uri="{FF2B5EF4-FFF2-40B4-BE49-F238E27FC236}">
                  <a16:creationId xmlns:a16="http://schemas.microsoft.com/office/drawing/2014/main" id="{226C1B2A-FB0A-F9F8-6127-1FE80A289017}"/>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13877018" y="6785430"/>
              <a:ext cx="1846943" cy="1923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307975</xdr:colOff>
      <xdr:row>34</xdr:row>
      <xdr:rowOff>6350</xdr:rowOff>
    </xdr:from>
    <xdr:to>
      <xdr:col>20</xdr:col>
      <xdr:colOff>485773</xdr:colOff>
      <xdr:row>44</xdr:row>
      <xdr:rowOff>103372</xdr:rowOff>
    </xdr:to>
    <mc:AlternateContent xmlns:mc="http://schemas.openxmlformats.org/markup-compatibility/2006" xmlns:a14="http://schemas.microsoft.com/office/drawing/2010/main">
      <mc:Choice Requires="a14">
        <xdr:graphicFrame macro="">
          <xdr:nvGraphicFramePr>
            <xdr:cNvPr id="18" name="Mapel TDU">
              <a:extLst>
                <a:ext uri="{FF2B5EF4-FFF2-40B4-BE49-F238E27FC236}">
                  <a16:creationId xmlns:a16="http://schemas.microsoft.com/office/drawing/2014/main" id="{585AD153-D9F2-6A5B-C0ED-381C35F5164A}"/>
                </a:ext>
              </a:extLst>
            </xdr:cNvPr>
            <xdr:cNvGraphicFramePr/>
          </xdr:nvGraphicFramePr>
          <xdr:xfrm>
            <a:off x="0" y="0"/>
            <a:ext cx="0" cy="0"/>
          </xdr:xfrm>
          <a:graphic>
            <a:graphicData uri="http://schemas.microsoft.com/office/drawing/2010/slicer">
              <sle:slicer xmlns:sle="http://schemas.microsoft.com/office/drawing/2010/slicer" name="Mapel TDU"/>
            </a:graphicData>
          </a:graphic>
        </xdr:graphicFrame>
      </mc:Choice>
      <mc:Fallback xmlns="">
        <xdr:sp macro="" textlink="">
          <xdr:nvSpPr>
            <xdr:cNvPr id="0" name=""/>
            <xdr:cNvSpPr>
              <a:spLocks noTextEdit="1"/>
            </xdr:cNvSpPr>
          </xdr:nvSpPr>
          <xdr:spPr>
            <a:xfrm>
              <a:off x="15838261" y="6791779"/>
              <a:ext cx="1846942" cy="3034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254000</xdr:colOff>
      <xdr:row>0</xdr:row>
      <xdr:rowOff>0</xdr:rowOff>
    </xdr:from>
    <xdr:to>
      <xdr:col>20</xdr:col>
      <xdr:colOff>698500</xdr:colOff>
      <xdr:row>34</xdr:row>
      <xdr:rowOff>63500</xdr:rowOff>
    </xdr:to>
    <xdr:graphicFrame macro="">
      <xdr:nvGraphicFramePr>
        <xdr:cNvPr id="2" name="Chart 1">
          <a:extLst>
            <a:ext uri="{FF2B5EF4-FFF2-40B4-BE49-F238E27FC236}">
              <a16:creationId xmlns:a16="http://schemas.microsoft.com/office/drawing/2014/main" id="{436813AE-6E63-BFCC-5C7F-109DB2F3D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50800</xdr:colOff>
      <xdr:row>0</xdr:row>
      <xdr:rowOff>1</xdr:rowOff>
    </xdr:from>
    <xdr:to>
      <xdr:col>23</xdr:col>
      <xdr:colOff>228601</xdr:colOff>
      <xdr:row>3</xdr:row>
      <xdr:rowOff>30550</xdr:rowOff>
    </xdr:to>
    <mc:AlternateContent xmlns:mc="http://schemas.openxmlformats.org/markup-compatibility/2006" xmlns:a14="http://schemas.microsoft.com/office/drawing/2010/main">
      <mc:Choice Requires="a14">
        <xdr:graphicFrame macro="">
          <xdr:nvGraphicFramePr>
            <xdr:cNvPr id="3" name="KELAS 1">
              <a:extLst>
                <a:ext uri="{FF2B5EF4-FFF2-40B4-BE49-F238E27FC236}">
                  <a16:creationId xmlns:a16="http://schemas.microsoft.com/office/drawing/2014/main" id="{738505EC-ECB0-819C-68F8-2AD01F7D4D3C}"/>
                </a:ext>
              </a:extLst>
            </xdr:cNvPr>
            <xdr:cNvGraphicFramePr/>
          </xdr:nvGraphicFramePr>
          <xdr:xfrm>
            <a:off x="0" y="0"/>
            <a:ext cx="0" cy="0"/>
          </xdr:xfrm>
          <a:graphic>
            <a:graphicData uri="http://schemas.microsoft.com/office/drawing/2010/slicer">
              <sle:slicer xmlns:sle="http://schemas.microsoft.com/office/drawing/2010/slicer" name="KELAS 1"/>
            </a:graphicData>
          </a:graphic>
        </xdr:graphicFrame>
      </mc:Choice>
      <mc:Fallback xmlns="">
        <xdr:sp macro="" textlink="">
          <xdr:nvSpPr>
            <xdr:cNvPr id="0" name=""/>
            <xdr:cNvSpPr>
              <a:spLocks noTextEdit="1"/>
            </xdr:cNvSpPr>
          </xdr:nvSpPr>
          <xdr:spPr>
            <a:xfrm>
              <a:off x="24067911" y="1"/>
              <a:ext cx="1927578" cy="623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292100</xdr:colOff>
      <xdr:row>0</xdr:row>
      <xdr:rowOff>12702</xdr:rowOff>
    </xdr:from>
    <xdr:to>
      <xdr:col>25</xdr:col>
      <xdr:colOff>469900</xdr:colOff>
      <xdr:row>4</xdr:row>
      <xdr:rowOff>112890</xdr:rowOff>
    </xdr:to>
    <mc:AlternateContent xmlns:mc="http://schemas.openxmlformats.org/markup-compatibility/2006" xmlns:a14="http://schemas.microsoft.com/office/drawing/2010/main">
      <mc:Choice Requires="a14">
        <xdr:graphicFrame macro="">
          <xdr:nvGraphicFramePr>
            <xdr:cNvPr id="4" name="Month 7">
              <a:extLst>
                <a:ext uri="{FF2B5EF4-FFF2-40B4-BE49-F238E27FC236}">
                  <a16:creationId xmlns:a16="http://schemas.microsoft.com/office/drawing/2014/main" id="{45AC53BA-D44B-E602-5152-E7759E2AD03F}"/>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26058989" y="12702"/>
              <a:ext cx="1927577" cy="890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277989</xdr:colOff>
      <xdr:row>4</xdr:row>
      <xdr:rowOff>162278</xdr:rowOff>
    </xdr:from>
    <xdr:to>
      <xdr:col>25</xdr:col>
      <xdr:colOff>455789</xdr:colOff>
      <xdr:row>18</xdr:row>
      <xdr:rowOff>112889</xdr:rowOff>
    </xdr:to>
    <mc:AlternateContent xmlns:mc="http://schemas.openxmlformats.org/markup-compatibility/2006" xmlns:a14="http://schemas.microsoft.com/office/drawing/2010/main">
      <mc:Choice Requires="a14">
        <xdr:graphicFrame macro="">
          <xdr:nvGraphicFramePr>
            <xdr:cNvPr id="5" name="KETERANGAN MATERI">
              <a:extLst>
                <a:ext uri="{FF2B5EF4-FFF2-40B4-BE49-F238E27FC236}">
                  <a16:creationId xmlns:a16="http://schemas.microsoft.com/office/drawing/2014/main" id="{1834F559-0E9C-63EA-2379-256CBF399694}"/>
                </a:ext>
              </a:extLst>
            </xdr:cNvPr>
            <xdr:cNvGraphicFramePr/>
          </xdr:nvGraphicFramePr>
          <xdr:xfrm>
            <a:off x="0" y="0"/>
            <a:ext cx="0" cy="0"/>
          </xdr:xfrm>
          <a:graphic>
            <a:graphicData uri="http://schemas.microsoft.com/office/drawing/2010/slicer">
              <sle:slicer xmlns:sle="http://schemas.microsoft.com/office/drawing/2010/slicer" name="KETERANGAN MATERI"/>
            </a:graphicData>
          </a:graphic>
        </xdr:graphicFrame>
      </mc:Choice>
      <mc:Fallback xmlns="">
        <xdr:sp macro="" textlink="">
          <xdr:nvSpPr>
            <xdr:cNvPr id="0" name=""/>
            <xdr:cNvSpPr>
              <a:spLocks noTextEdit="1"/>
            </xdr:cNvSpPr>
          </xdr:nvSpPr>
          <xdr:spPr>
            <a:xfrm>
              <a:off x="26044878" y="952500"/>
              <a:ext cx="1927577" cy="2716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50800</xdr:colOff>
      <xdr:row>3</xdr:row>
      <xdr:rowOff>105833</xdr:rowOff>
    </xdr:from>
    <xdr:to>
      <xdr:col>23</xdr:col>
      <xdr:colOff>228601</xdr:colOff>
      <xdr:row>14</xdr:row>
      <xdr:rowOff>2017</xdr:rowOff>
    </xdr:to>
    <mc:AlternateContent xmlns:mc="http://schemas.openxmlformats.org/markup-compatibility/2006" xmlns:a14="http://schemas.microsoft.com/office/drawing/2010/main">
      <mc:Choice Requires="a14">
        <xdr:graphicFrame macro="">
          <xdr:nvGraphicFramePr>
            <xdr:cNvPr id="6" name="Mapel TDU 1">
              <a:extLst>
                <a:ext uri="{FF2B5EF4-FFF2-40B4-BE49-F238E27FC236}">
                  <a16:creationId xmlns:a16="http://schemas.microsoft.com/office/drawing/2014/main" id="{F656FFBE-3B9E-BCA5-16AA-2126C6A2AA49}"/>
                </a:ext>
              </a:extLst>
            </xdr:cNvPr>
            <xdr:cNvGraphicFramePr/>
          </xdr:nvGraphicFramePr>
          <xdr:xfrm>
            <a:off x="0" y="0"/>
            <a:ext cx="0" cy="0"/>
          </xdr:xfrm>
          <a:graphic>
            <a:graphicData uri="http://schemas.microsoft.com/office/drawing/2010/slicer">
              <sle:slicer xmlns:sle="http://schemas.microsoft.com/office/drawing/2010/slicer" name="Mapel TDU 1"/>
            </a:graphicData>
          </a:graphic>
        </xdr:graphicFrame>
      </mc:Choice>
      <mc:Fallback xmlns="">
        <xdr:sp macro="" textlink="">
          <xdr:nvSpPr>
            <xdr:cNvPr id="0" name=""/>
            <xdr:cNvSpPr>
              <a:spLocks noTextEdit="1"/>
            </xdr:cNvSpPr>
          </xdr:nvSpPr>
          <xdr:spPr>
            <a:xfrm>
              <a:off x="24067911" y="698500"/>
              <a:ext cx="1927578" cy="2053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254000</xdr:colOff>
      <xdr:row>35</xdr:row>
      <xdr:rowOff>63500</xdr:rowOff>
    </xdr:from>
    <xdr:to>
      <xdr:col>20</xdr:col>
      <xdr:colOff>708026</xdr:colOff>
      <xdr:row>69</xdr:row>
      <xdr:rowOff>95250</xdr:rowOff>
    </xdr:to>
    <xdr:graphicFrame macro="">
      <xdr:nvGraphicFramePr>
        <xdr:cNvPr id="7" name="Chart 6">
          <a:extLst>
            <a:ext uri="{FF2B5EF4-FFF2-40B4-BE49-F238E27FC236}">
              <a16:creationId xmlns:a16="http://schemas.microsoft.com/office/drawing/2014/main" id="{38E9D2F1-6EFF-20BD-77AE-91F629CDA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50800</xdr:colOff>
      <xdr:row>35</xdr:row>
      <xdr:rowOff>95251</xdr:rowOff>
    </xdr:from>
    <xdr:to>
      <xdr:col>23</xdr:col>
      <xdr:colOff>228601</xdr:colOff>
      <xdr:row>38</xdr:row>
      <xdr:rowOff>128863</xdr:rowOff>
    </xdr:to>
    <mc:AlternateContent xmlns:mc="http://schemas.openxmlformats.org/markup-compatibility/2006" xmlns:a14="http://schemas.microsoft.com/office/drawing/2010/main">
      <mc:Choice Requires="a14">
        <xdr:graphicFrame macro="">
          <xdr:nvGraphicFramePr>
            <xdr:cNvPr id="8" name="KELAS 2">
              <a:extLst>
                <a:ext uri="{FF2B5EF4-FFF2-40B4-BE49-F238E27FC236}">
                  <a16:creationId xmlns:a16="http://schemas.microsoft.com/office/drawing/2014/main" id="{CB0E807A-101F-9811-09C6-3A70286753CC}"/>
                </a:ext>
              </a:extLst>
            </xdr:cNvPr>
            <xdr:cNvGraphicFramePr/>
          </xdr:nvGraphicFramePr>
          <xdr:xfrm>
            <a:off x="0" y="0"/>
            <a:ext cx="0" cy="0"/>
          </xdr:xfrm>
          <a:graphic>
            <a:graphicData uri="http://schemas.microsoft.com/office/drawing/2010/slicer">
              <sle:slicer xmlns:sle="http://schemas.microsoft.com/office/drawing/2010/slicer" name="KELAS 2"/>
            </a:graphicData>
          </a:graphic>
        </xdr:graphicFrame>
      </mc:Choice>
      <mc:Fallback xmlns="">
        <xdr:sp macro="" textlink="">
          <xdr:nvSpPr>
            <xdr:cNvPr id="0" name=""/>
            <xdr:cNvSpPr>
              <a:spLocks noTextEdit="1"/>
            </xdr:cNvSpPr>
          </xdr:nvSpPr>
          <xdr:spPr>
            <a:xfrm>
              <a:off x="24067911" y="7009695"/>
              <a:ext cx="1927578" cy="626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69497</xdr:colOff>
      <xdr:row>38</xdr:row>
      <xdr:rowOff>179210</xdr:rowOff>
    </xdr:from>
    <xdr:to>
      <xdr:col>23</xdr:col>
      <xdr:colOff>247298</xdr:colOff>
      <xdr:row>55</xdr:row>
      <xdr:rowOff>141111</xdr:rowOff>
    </xdr:to>
    <mc:AlternateContent xmlns:mc="http://schemas.openxmlformats.org/markup-compatibility/2006" xmlns:a14="http://schemas.microsoft.com/office/drawing/2010/main">
      <mc:Choice Requires="a14">
        <xdr:graphicFrame macro="">
          <xdr:nvGraphicFramePr>
            <xdr:cNvPr id="9" name="NAMA">
              <a:extLst>
                <a:ext uri="{FF2B5EF4-FFF2-40B4-BE49-F238E27FC236}">
                  <a16:creationId xmlns:a16="http://schemas.microsoft.com/office/drawing/2014/main" id="{7FE2803A-2CEC-CEF8-FEDD-F7367800EC2B}"/>
                </a:ext>
              </a:extLst>
            </xdr:cNvPr>
            <xdr:cNvGraphicFramePr/>
          </xdr:nvGraphicFramePr>
          <xdr:xfrm>
            <a:off x="0" y="0"/>
            <a:ext cx="0" cy="0"/>
          </xdr:xfrm>
          <a:graphic>
            <a:graphicData uri="http://schemas.microsoft.com/office/drawing/2010/slicer">
              <sle:slicer xmlns:sle="http://schemas.microsoft.com/office/drawing/2010/slicer" name="NAMA"/>
            </a:graphicData>
          </a:graphic>
        </xdr:graphicFrame>
      </mc:Choice>
      <mc:Fallback xmlns="">
        <xdr:sp macro="" textlink="">
          <xdr:nvSpPr>
            <xdr:cNvPr id="0" name=""/>
            <xdr:cNvSpPr>
              <a:spLocks noTextEdit="1"/>
            </xdr:cNvSpPr>
          </xdr:nvSpPr>
          <xdr:spPr>
            <a:xfrm>
              <a:off x="24086608" y="7686321"/>
              <a:ext cx="1927578" cy="3320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301625</xdr:colOff>
      <xdr:row>35</xdr:row>
      <xdr:rowOff>76201</xdr:rowOff>
    </xdr:from>
    <xdr:to>
      <xdr:col>25</xdr:col>
      <xdr:colOff>479425</xdr:colOff>
      <xdr:row>40</xdr:row>
      <xdr:rowOff>2015</xdr:rowOff>
    </xdr:to>
    <mc:AlternateContent xmlns:mc="http://schemas.openxmlformats.org/markup-compatibility/2006" xmlns:a14="http://schemas.microsoft.com/office/drawing/2010/main">
      <mc:Choice Requires="a14">
        <xdr:graphicFrame macro="">
          <xdr:nvGraphicFramePr>
            <xdr:cNvPr id="10" name="Month 9">
              <a:extLst>
                <a:ext uri="{FF2B5EF4-FFF2-40B4-BE49-F238E27FC236}">
                  <a16:creationId xmlns:a16="http://schemas.microsoft.com/office/drawing/2014/main" id="{16C682A1-851E-934D-6516-9207DF7D40E4}"/>
                </a:ext>
              </a:extLst>
            </xdr:cNvPr>
            <xdr:cNvGraphicFramePr/>
          </xdr:nvGraphicFramePr>
          <xdr:xfrm>
            <a:off x="0" y="0"/>
            <a:ext cx="0" cy="0"/>
          </xdr:xfrm>
          <a:graphic>
            <a:graphicData uri="http://schemas.microsoft.com/office/drawing/2010/slicer">
              <sle:slicer xmlns:sle="http://schemas.microsoft.com/office/drawing/2010/slicer" name="Month 9"/>
            </a:graphicData>
          </a:graphic>
        </xdr:graphicFrame>
      </mc:Choice>
      <mc:Fallback xmlns="">
        <xdr:sp macro="" textlink="">
          <xdr:nvSpPr>
            <xdr:cNvPr id="0" name=""/>
            <xdr:cNvSpPr>
              <a:spLocks noTextEdit="1"/>
            </xdr:cNvSpPr>
          </xdr:nvSpPr>
          <xdr:spPr>
            <a:xfrm>
              <a:off x="26068514" y="6990645"/>
              <a:ext cx="1927577" cy="897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53975</xdr:colOff>
      <xdr:row>56</xdr:row>
      <xdr:rowOff>82550</xdr:rowOff>
    </xdr:from>
    <xdr:to>
      <xdr:col>25</xdr:col>
      <xdr:colOff>366891</xdr:colOff>
      <xdr:row>69</xdr:row>
      <xdr:rowOff>34919</xdr:rowOff>
    </xdr:to>
    <mc:AlternateContent xmlns:mc="http://schemas.openxmlformats.org/markup-compatibility/2006" xmlns:a14="http://schemas.microsoft.com/office/drawing/2010/main">
      <mc:Choice Requires="a14">
        <xdr:graphicFrame macro="">
          <xdr:nvGraphicFramePr>
            <xdr:cNvPr id="11" name="KETERANGAN MATERI 1">
              <a:extLst>
                <a:ext uri="{FF2B5EF4-FFF2-40B4-BE49-F238E27FC236}">
                  <a16:creationId xmlns:a16="http://schemas.microsoft.com/office/drawing/2014/main" id="{535A512B-63D7-0E1E-9B18-641F5191AA32}"/>
                </a:ext>
              </a:extLst>
            </xdr:cNvPr>
            <xdr:cNvGraphicFramePr/>
          </xdr:nvGraphicFramePr>
          <xdr:xfrm>
            <a:off x="0" y="0"/>
            <a:ext cx="0" cy="0"/>
          </xdr:xfrm>
          <a:graphic>
            <a:graphicData uri="http://schemas.microsoft.com/office/drawing/2010/slicer">
              <sle:slicer xmlns:sle="http://schemas.microsoft.com/office/drawing/2010/slicer" name="KETERANGAN MATERI 1"/>
            </a:graphicData>
          </a:graphic>
        </xdr:graphicFrame>
      </mc:Choice>
      <mc:Fallback xmlns="">
        <xdr:sp macro="" textlink="">
          <xdr:nvSpPr>
            <xdr:cNvPr id="0" name=""/>
            <xdr:cNvSpPr>
              <a:spLocks noTextEdit="1"/>
            </xdr:cNvSpPr>
          </xdr:nvSpPr>
          <xdr:spPr>
            <a:xfrm>
              <a:off x="18087975" y="11461750"/>
              <a:ext cx="1854200" cy="2593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300214</xdr:colOff>
      <xdr:row>40</xdr:row>
      <xdr:rowOff>74788</xdr:rowOff>
    </xdr:from>
    <xdr:to>
      <xdr:col>25</xdr:col>
      <xdr:colOff>478014</xdr:colOff>
      <xdr:row>52</xdr:row>
      <xdr:rowOff>28222</xdr:rowOff>
    </xdr:to>
    <mc:AlternateContent xmlns:mc="http://schemas.openxmlformats.org/markup-compatibility/2006" xmlns:a14="http://schemas.microsoft.com/office/drawing/2010/main">
      <mc:Choice Requires="a14">
        <xdr:graphicFrame macro="">
          <xdr:nvGraphicFramePr>
            <xdr:cNvPr id="12" name="Mapel TDU 3">
              <a:extLst>
                <a:ext uri="{FF2B5EF4-FFF2-40B4-BE49-F238E27FC236}">
                  <a16:creationId xmlns:a16="http://schemas.microsoft.com/office/drawing/2014/main" id="{C8679AD3-08AB-21B2-50D9-BBF4EF9292AF}"/>
                </a:ext>
              </a:extLst>
            </xdr:cNvPr>
            <xdr:cNvGraphicFramePr/>
          </xdr:nvGraphicFramePr>
          <xdr:xfrm>
            <a:off x="0" y="0"/>
            <a:ext cx="0" cy="0"/>
          </xdr:xfrm>
          <a:graphic>
            <a:graphicData uri="http://schemas.microsoft.com/office/drawing/2010/slicer">
              <sle:slicer xmlns:sle="http://schemas.microsoft.com/office/drawing/2010/slicer" name="Mapel TDU 3"/>
            </a:graphicData>
          </a:graphic>
        </xdr:graphicFrame>
      </mc:Choice>
      <mc:Fallback xmlns="">
        <xdr:sp macro="" textlink="">
          <xdr:nvSpPr>
            <xdr:cNvPr id="0" name=""/>
            <xdr:cNvSpPr>
              <a:spLocks noTextEdit="1"/>
            </xdr:cNvSpPr>
          </xdr:nvSpPr>
          <xdr:spPr>
            <a:xfrm>
              <a:off x="26067103" y="7977010"/>
              <a:ext cx="1927577" cy="2324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349251</xdr:colOff>
      <xdr:row>0</xdr:row>
      <xdr:rowOff>0</xdr:rowOff>
    </xdr:from>
    <xdr:to>
      <xdr:col>19</xdr:col>
      <xdr:colOff>50801</xdr:colOff>
      <xdr:row>29</xdr:row>
      <xdr:rowOff>38100</xdr:rowOff>
    </xdr:to>
    <xdr:graphicFrame macro="">
      <xdr:nvGraphicFramePr>
        <xdr:cNvPr id="2" name="Chart 1">
          <a:extLst>
            <a:ext uri="{FF2B5EF4-FFF2-40B4-BE49-F238E27FC236}">
              <a16:creationId xmlns:a16="http://schemas.microsoft.com/office/drawing/2014/main" id="{95B13941-9120-5DF0-BB39-481FF10D4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355600</xdr:colOff>
      <xdr:row>0</xdr:row>
      <xdr:rowOff>1</xdr:rowOff>
    </xdr:from>
    <xdr:to>
      <xdr:col>21</xdr:col>
      <xdr:colOff>533400</xdr:colOff>
      <xdr:row>3</xdr:row>
      <xdr:rowOff>19217</xdr:rowOff>
    </xdr:to>
    <mc:AlternateContent xmlns:mc="http://schemas.openxmlformats.org/markup-compatibility/2006" xmlns:a14="http://schemas.microsoft.com/office/drawing/2010/main">
      <mc:Choice Requires="a14">
        <xdr:graphicFrame macro="">
          <xdr:nvGraphicFramePr>
            <xdr:cNvPr id="3" name="KELAS 5">
              <a:extLst>
                <a:ext uri="{FF2B5EF4-FFF2-40B4-BE49-F238E27FC236}">
                  <a16:creationId xmlns:a16="http://schemas.microsoft.com/office/drawing/2014/main" id="{2B45389B-D3AD-2BD7-F781-F978104FF03D}"/>
                </a:ext>
              </a:extLst>
            </xdr:cNvPr>
            <xdr:cNvGraphicFramePr/>
          </xdr:nvGraphicFramePr>
          <xdr:xfrm>
            <a:off x="0" y="0"/>
            <a:ext cx="0" cy="0"/>
          </xdr:xfrm>
          <a:graphic>
            <a:graphicData uri="http://schemas.microsoft.com/office/drawing/2010/slicer">
              <sle:slicer xmlns:sle="http://schemas.microsoft.com/office/drawing/2010/slicer" name="KELAS 5"/>
            </a:graphicData>
          </a:graphic>
        </xdr:graphicFrame>
      </mc:Choice>
      <mc:Fallback xmlns="">
        <xdr:sp macro="" textlink="">
          <xdr:nvSpPr>
            <xdr:cNvPr id="0" name=""/>
            <xdr:cNvSpPr>
              <a:spLocks noTextEdit="1"/>
            </xdr:cNvSpPr>
          </xdr:nvSpPr>
          <xdr:spPr>
            <a:xfrm>
              <a:off x="17991282" y="1"/>
              <a:ext cx="1909618" cy="6253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358140</xdr:colOff>
      <xdr:row>3</xdr:row>
      <xdr:rowOff>48261</xdr:rowOff>
    </xdr:from>
    <xdr:to>
      <xdr:col>21</xdr:col>
      <xdr:colOff>535940</xdr:colOff>
      <xdr:row>7</xdr:row>
      <xdr:rowOff>132080</xdr:rowOff>
    </xdr:to>
    <mc:AlternateContent xmlns:mc="http://schemas.openxmlformats.org/markup-compatibility/2006" xmlns:a14="http://schemas.microsoft.com/office/drawing/2010/main">
      <mc:Choice Requires="a14">
        <xdr:graphicFrame macro="">
          <xdr:nvGraphicFramePr>
            <xdr:cNvPr id="4" name="Month 10">
              <a:extLst>
                <a:ext uri="{FF2B5EF4-FFF2-40B4-BE49-F238E27FC236}">
                  <a16:creationId xmlns:a16="http://schemas.microsoft.com/office/drawing/2014/main" id="{E1B9F3C8-681B-B31E-51CE-2F43A9D023D2}"/>
                </a:ext>
              </a:extLst>
            </xdr:cNvPr>
            <xdr:cNvGraphicFramePr/>
          </xdr:nvGraphicFramePr>
          <xdr:xfrm>
            <a:off x="0" y="0"/>
            <a:ext cx="0" cy="0"/>
          </xdr:xfrm>
          <a:graphic>
            <a:graphicData uri="http://schemas.microsoft.com/office/drawing/2010/slicer">
              <sle:slicer xmlns:sle="http://schemas.microsoft.com/office/drawing/2010/slicer" name="Month 10"/>
            </a:graphicData>
          </a:graphic>
        </xdr:graphicFrame>
      </mc:Choice>
      <mc:Fallback xmlns="">
        <xdr:sp macro="" textlink="">
          <xdr:nvSpPr>
            <xdr:cNvPr id="0" name=""/>
            <xdr:cNvSpPr>
              <a:spLocks noTextEdit="1"/>
            </xdr:cNvSpPr>
          </xdr:nvSpPr>
          <xdr:spPr>
            <a:xfrm>
              <a:off x="17993822" y="654397"/>
              <a:ext cx="1909618" cy="892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609600</xdr:colOff>
      <xdr:row>0</xdr:row>
      <xdr:rowOff>1</xdr:rowOff>
    </xdr:from>
    <xdr:to>
      <xdr:col>23</xdr:col>
      <xdr:colOff>758827</xdr:colOff>
      <xdr:row>10</xdr:row>
      <xdr:rowOff>1</xdr:rowOff>
    </xdr:to>
    <mc:AlternateContent xmlns:mc="http://schemas.openxmlformats.org/markup-compatibility/2006" xmlns:a14="http://schemas.microsoft.com/office/drawing/2010/main">
      <mc:Choice Requires="a14">
        <xdr:graphicFrame macro="">
          <xdr:nvGraphicFramePr>
            <xdr:cNvPr id="5" name="Mapel TDU 6">
              <a:extLst>
                <a:ext uri="{FF2B5EF4-FFF2-40B4-BE49-F238E27FC236}">
                  <a16:creationId xmlns:a16="http://schemas.microsoft.com/office/drawing/2014/main" id="{EB9A0AA8-871F-D38F-7D66-4801E0538DF5}"/>
                </a:ext>
              </a:extLst>
            </xdr:cNvPr>
            <xdr:cNvGraphicFramePr/>
          </xdr:nvGraphicFramePr>
          <xdr:xfrm>
            <a:off x="0" y="0"/>
            <a:ext cx="0" cy="0"/>
          </xdr:xfrm>
          <a:graphic>
            <a:graphicData uri="http://schemas.microsoft.com/office/drawing/2010/slicer">
              <sle:slicer xmlns:sle="http://schemas.microsoft.com/office/drawing/2010/slicer" name="Mapel TDU 6"/>
            </a:graphicData>
          </a:graphic>
        </xdr:graphicFrame>
      </mc:Choice>
      <mc:Fallback xmlns="">
        <xdr:sp macro="" textlink="">
          <xdr:nvSpPr>
            <xdr:cNvPr id="0" name=""/>
            <xdr:cNvSpPr>
              <a:spLocks noTextEdit="1"/>
            </xdr:cNvSpPr>
          </xdr:nvSpPr>
          <xdr:spPr>
            <a:xfrm>
              <a:off x="19418300" y="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119062</xdr:colOff>
      <xdr:row>0</xdr:row>
      <xdr:rowOff>0</xdr:rowOff>
    </xdr:from>
    <xdr:to>
      <xdr:col>48</xdr:col>
      <xdr:colOff>285749</xdr:colOff>
      <xdr:row>28</xdr:row>
      <xdr:rowOff>0</xdr:rowOff>
    </xdr:to>
    <xdr:graphicFrame macro="">
      <xdr:nvGraphicFramePr>
        <xdr:cNvPr id="6" name="Chart 5">
          <a:extLst>
            <a:ext uri="{FF2B5EF4-FFF2-40B4-BE49-F238E27FC236}">
              <a16:creationId xmlns:a16="http://schemas.microsoft.com/office/drawing/2014/main" id="{93C8B243-9E70-3D9F-E195-9929470E7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49</xdr:col>
      <xdr:colOff>107950</xdr:colOff>
      <xdr:row>0</xdr:row>
      <xdr:rowOff>1</xdr:rowOff>
    </xdr:from>
    <xdr:to>
      <xdr:col>51</xdr:col>
      <xdr:colOff>190501</xdr:colOff>
      <xdr:row>3</xdr:row>
      <xdr:rowOff>60961</xdr:rowOff>
    </xdr:to>
    <mc:AlternateContent xmlns:mc="http://schemas.openxmlformats.org/markup-compatibility/2006" xmlns:a14="http://schemas.microsoft.com/office/drawing/2010/main">
      <mc:Choice Requires="a14">
        <xdr:graphicFrame macro="">
          <xdr:nvGraphicFramePr>
            <xdr:cNvPr id="7" name="KELAS 10">
              <a:extLst>
                <a:ext uri="{FF2B5EF4-FFF2-40B4-BE49-F238E27FC236}">
                  <a16:creationId xmlns:a16="http://schemas.microsoft.com/office/drawing/2014/main" id="{4B16CA8C-2740-5680-1046-158940801823}"/>
                </a:ext>
              </a:extLst>
            </xdr:cNvPr>
            <xdr:cNvGraphicFramePr/>
          </xdr:nvGraphicFramePr>
          <xdr:xfrm>
            <a:off x="0" y="0"/>
            <a:ext cx="0" cy="0"/>
          </xdr:xfrm>
          <a:graphic>
            <a:graphicData uri="http://schemas.microsoft.com/office/drawing/2010/slicer">
              <sle:slicer xmlns:sle="http://schemas.microsoft.com/office/drawing/2010/slicer" name="KELAS 10"/>
            </a:graphicData>
          </a:graphic>
        </xdr:graphicFrame>
      </mc:Choice>
      <mc:Fallback xmlns="">
        <xdr:sp macro="" textlink="">
          <xdr:nvSpPr>
            <xdr:cNvPr id="0" name=""/>
            <xdr:cNvSpPr>
              <a:spLocks noTextEdit="1"/>
            </xdr:cNvSpPr>
          </xdr:nvSpPr>
          <xdr:spPr>
            <a:xfrm>
              <a:off x="45337268" y="1"/>
              <a:ext cx="1814368" cy="667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225425</xdr:colOff>
      <xdr:row>0</xdr:row>
      <xdr:rowOff>0</xdr:rowOff>
    </xdr:from>
    <xdr:to>
      <xdr:col>53</xdr:col>
      <xdr:colOff>307973</xdr:colOff>
      <xdr:row>4</xdr:row>
      <xdr:rowOff>142239</xdr:rowOff>
    </xdr:to>
    <mc:AlternateContent xmlns:mc="http://schemas.openxmlformats.org/markup-compatibility/2006" xmlns:a14="http://schemas.microsoft.com/office/drawing/2010/main">
      <mc:Choice Requires="a14">
        <xdr:graphicFrame macro="">
          <xdr:nvGraphicFramePr>
            <xdr:cNvPr id="8" name="Month 8">
              <a:extLst>
                <a:ext uri="{FF2B5EF4-FFF2-40B4-BE49-F238E27FC236}">
                  <a16:creationId xmlns:a16="http://schemas.microsoft.com/office/drawing/2014/main" id="{63BE0361-D6A8-91D4-E6B5-110352DDADC1}"/>
                </a:ext>
              </a:extLst>
            </xdr:cNvPr>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47186561" y="0"/>
              <a:ext cx="1814368" cy="950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114935</xdr:colOff>
      <xdr:row>10</xdr:row>
      <xdr:rowOff>3811</xdr:rowOff>
    </xdr:from>
    <xdr:to>
      <xdr:col>51</xdr:col>
      <xdr:colOff>197486</xdr:colOff>
      <xdr:row>15</xdr:row>
      <xdr:rowOff>141111</xdr:rowOff>
    </xdr:to>
    <mc:AlternateContent xmlns:mc="http://schemas.openxmlformats.org/markup-compatibility/2006" xmlns:a14="http://schemas.microsoft.com/office/drawing/2010/main">
      <mc:Choice Requires="a14">
        <xdr:graphicFrame macro="">
          <xdr:nvGraphicFramePr>
            <xdr:cNvPr id="9" name="KATEGORI PENILAIAN 4">
              <a:extLst>
                <a:ext uri="{FF2B5EF4-FFF2-40B4-BE49-F238E27FC236}">
                  <a16:creationId xmlns:a16="http://schemas.microsoft.com/office/drawing/2014/main" id="{BB9B8436-AFE5-7EAD-482A-E4397AE540A8}"/>
                </a:ext>
              </a:extLst>
            </xdr:cNvPr>
            <xdr:cNvGraphicFramePr/>
          </xdr:nvGraphicFramePr>
          <xdr:xfrm>
            <a:off x="0" y="0"/>
            <a:ext cx="0" cy="0"/>
          </xdr:xfrm>
          <a:graphic>
            <a:graphicData uri="http://schemas.microsoft.com/office/drawing/2010/slicer">
              <sle:slicer xmlns:sle="http://schemas.microsoft.com/office/drawing/2010/slicer" name="KATEGORI PENILAIAN 4"/>
            </a:graphicData>
          </a:graphic>
        </xdr:graphicFrame>
      </mc:Choice>
      <mc:Fallback xmlns="">
        <xdr:sp macro="" textlink="">
          <xdr:nvSpPr>
            <xdr:cNvPr id="0" name=""/>
            <xdr:cNvSpPr>
              <a:spLocks noTextEdit="1"/>
            </xdr:cNvSpPr>
          </xdr:nvSpPr>
          <xdr:spPr>
            <a:xfrm>
              <a:off x="45344253" y="2024265"/>
              <a:ext cx="1814368" cy="1578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115570</xdr:colOff>
      <xdr:row>3</xdr:row>
      <xdr:rowOff>116205</xdr:rowOff>
    </xdr:from>
    <xdr:to>
      <xdr:col>51</xdr:col>
      <xdr:colOff>198121</xdr:colOff>
      <xdr:row>9</xdr:row>
      <xdr:rowOff>121920</xdr:rowOff>
    </xdr:to>
    <mc:AlternateContent xmlns:mc="http://schemas.openxmlformats.org/markup-compatibility/2006" xmlns:a14="http://schemas.microsoft.com/office/drawing/2010/main">
      <mc:Choice Requires="a14">
        <xdr:graphicFrame macro="">
          <xdr:nvGraphicFramePr>
            <xdr:cNvPr id="10" name="PROYEK 4">
              <a:extLst>
                <a:ext uri="{FF2B5EF4-FFF2-40B4-BE49-F238E27FC236}">
                  <a16:creationId xmlns:a16="http://schemas.microsoft.com/office/drawing/2014/main" id="{7B5B3F4E-556D-A549-0E99-C111F3E2E609}"/>
                </a:ext>
              </a:extLst>
            </xdr:cNvPr>
            <xdr:cNvGraphicFramePr/>
          </xdr:nvGraphicFramePr>
          <xdr:xfrm>
            <a:off x="0" y="0"/>
            <a:ext cx="0" cy="0"/>
          </xdr:xfrm>
          <a:graphic>
            <a:graphicData uri="http://schemas.microsoft.com/office/drawing/2010/slicer">
              <sle:slicer xmlns:sle="http://schemas.microsoft.com/office/drawing/2010/slicer" name="PROYEK 4"/>
            </a:graphicData>
          </a:graphic>
        </xdr:graphicFrame>
      </mc:Choice>
      <mc:Fallback xmlns="">
        <xdr:sp macro="" textlink="">
          <xdr:nvSpPr>
            <xdr:cNvPr id="0" name=""/>
            <xdr:cNvSpPr>
              <a:spLocks noTextEdit="1"/>
            </xdr:cNvSpPr>
          </xdr:nvSpPr>
          <xdr:spPr>
            <a:xfrm>
              <a:off x="45344888" y="722341"/>
              <a:ext cx="1814368" cy="12179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244475</xdr:colOff>
      <xdr:row>4</xdr:row>
      <xdr:rowOff>180340</xdr:rowOff>
    </xdr:from>
    <xdr:to>
      <xdr:col>53</xdr:col>
      <xdr:colOff>327023</xdr:colOff>
      <xdr:row>14</xdr:row>
      <xdr:rowOff>172720</xdr:rowOff>
    </xdr:to>
    <mc:AlternateContent xmlns:mc="http://schemas.openxmlformats.org/markup-compatibility/2006" xmlns:a14="http://schemas.microsoft.com/office/drawing/2010/main">
      <mc:Choice Requires="a14">
        <xdr:graphicFrame macro="">
          <xdr:nvGraphicFramePr>
            <xdr:cNvPr id="11" name="Mapel TDU 2">
              <a:extLst>
                <a:ext uri="{FF2B5EF4-FFF2-40B4-BE49-F238E27FC236}">
                  <a16:creationId xmlns:a16="http://schemas.microsoft.com/office/drawing/2014/main" id="{82B673B9-7309-725A-CD5D-E6F32FAB6DC4}"/>
                </a:ext>
              </a:extLst>
            </xdr:cNvPr>
            <xdr:cNvGraphicFramePr/>
          </xdr:nvGraphicFramePr>
          <xdr:xfrm>
            <a:off x="0" y="0"/>
            <a:ext cx="0" cy="0"/>
          </xdr:xfrm>
          <a:graphic>
            <a:graphicData uri="http://schemas.microsoft.com/office/drawing/2010/slicer">
              <sle:slicer xmlns:sle="http://schemas.microsoft.com/office/drawing/2010/slicer" name="Mapel TDU 2"/>
            </a:graphicData>
          </a:graphic>
        </xdr:graphicFrame>
      </mc:Choice>
      <mc:Fallback xmlns="">
        <xdr:sp macro="" textlink="">
          <xdr:nvSpPr>
            <xdr:cNvPr id="0" name=""/>
            <xdr:cNvSpPr>
              <a:spLocks noTextEdit="1"/>
            </xdr:cNvSpPr>
          </xdr:nvSpPr>
          <xdr:spPr>
            <a:xfrm>
              <a:off x="47205611" y="988522"/>
              <a:ext cx="1814368" cy="2012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63500</xdr:colOff>
      <xdr:row>0</xdr:row>
      <xdr:rowOff>25400</xdr:rowOff>
    </xdr:from>
    <xdr:to>
      <xdr:col>20</xdr:col>
      <xdr:colOff>609600</xdr:colOff>
      <xdr:row>30</xdr:row>
      <xdr:rowOff>165100</xdr:rowOff>
    </xdr:to>
    <xdr:graphicFrame macro="">
      <xdr:nvGraphicFramePr>
        <xdr:cNvPr id="2" name="Chart 1">
          <a:extLst>
            <a:ext uri="{FF2B5EF4-FFF2-40B4-BE49-F238E27FC236}">
              <a16:creationId xmlns:a16="http://schemas.microsoft.com/office/drawing/2014/main" id="{0AFEF6FD-8CA0-62CE-4474-DB4D7CE99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104775</xdr:colOff>
      <xdr:row>0</xdr:row>
      <xdr:rowOff>0</xdr:rowOff>
    </xdr:from>
    <xdr:to>
      <xdr:col>23</xdr:col>
      <xdr:colOff>282572</xdr:colOff>
      <xdr:row>3</xdr:row>
      <xdr:rowOff>46777</xdr:rowOff>
    </xdr:to>
    <mc:AlternateContent xmlns:mc="http://schemas.openxmlformats.org/markup-compatibility/2006" xmlns:a14="http://schemas.microsoft.com/office/drawing/2010/main">
      <mc:Choice Requires="a14">
        <xdr:graphicFrame macro="">
          <xdr:nvGraphicFramePr>
            <xdr:cNvPr id="3" name="KELAS 6">
              <a:extLst>
                <a:ext uri="{FF2B5EF4-FFF2-40B4-BE49-F238E27FC236}">
                  <a16:creationId xmlns:a16="http://schemas.microsoft.com/office/drawing/2014/main" id="{E1D5BC18-205B-D668-998D-83F566A17AEA}"/>
                </a:ext>
              </a:extLst>
            </xdr:cNvPr>
            <xdr:cNvGraphicFramePr/>
          </xdr:nvGraphicFramePr>
          <xdr:xfrm>
            <a:off x="0" y="0"/>
            <a:ext cx="0" cy="0"/>
          </xdr:xfrm>
          <a:graphic>
            <a:graphicData uri="http://schemas.microsoft.com/office/drawing/2010/slicer">
              <sle:slicer xmlns:sle="http://schemas.microsoft.com/office/drawing/2010/slicer" name="KELAS 6"/>
            </a:graphicData>
          </a:graphic>
        </xdr:graphicFrame>
      </mc:Choice>
      <mc:Fallback xmlns="">
        <xdr:sp macro="" textlink="">
          <xdr:nvSpPr>
            <xdr:cNvPr id="0" name=""/>
            <xdr:cNvSpPr>
              <a:spLocks noTextEdit="1"/>
            </xdr:cNvSpPr>
          </xdr:nvSpPr>
          <xdr:spPr>
            <a:xfrm>
              <a:off x="20250004" y="0"/>
              <a:ext cx="1925504" cy="606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317500</xdr:colOff>
      <xdr:row>0</xdr:row>
      <xdr:rowOff>0</xdr:rowOff>
    </xdr:from>
    <xdr:to>
      <xdr:col>25</xdr:col>
      <xdr:colOff>495303</xdr:colOff>
      <xdr:row>14</xdr:row>
      <xdr:rowOff>128165</xdr:rowOff>
    </xdr:to>
    <mc:AlternateContent xmlns:mc="http://schemas.openxmlformats.org/markup-compatibility/2006" xmlns:a14="http://schemas.microsoft.com/office/drawing/2010/main">
      <mc:Choice Requires="a14">
        <xdr:graphicFrame macro="">
          <xdr:nvGraphicFramePr>
            <xdr:cNvPr id="4" name="NAMA 1">
              <a:extLst>
                <a:ext uri="{FF2B5EF4-FFF2-40B4-BE49-F238E27FC236}">
                  <a16:creationId xmlns:a16="http://schemas.microsoft.com/office/drawing/2014/main" id="{2B969161-A094-0166-AE6C-12F1188AAEBC}"/>
                </a:ext>
              </a:extLst>
            </xdr:cNvPr>
            <xdr:cNvGraphicFramePr/>
          </xdr:nvGraphicFramePr>
          <xdr:xfrm>
            <a:off x="0" y="0"/>
            <a:ext cx="0" cy="0"/>
          </xdr:xfrm>
          <a:graphic>
            <a:graphicData uri="http://schemas.microsoft.com/office/drawing/2010/slicer">
              <sle:slicer xmlns:sle="http://schemas.microsoft.com/office/drawing/2010/slicer" name="NAMA 1"/>
            </a:graphicData>
          </a:graphic>
        </xdr:graphicFrame>
      </mc:Choice>
      <mc:Fallback xmlns="">
        <xdr:sp macro="" textlink="">
          <xdr:nvSpPr>
            <xdr:cNvPr id="0" name=""/>
            <xdr:cNvSpPr>
              <a:spLocks noTextEdit="1"/>
            </xdr:cNvSpPr>
          </xdr:nvSpPr>
          <xdr:spPr>
            <a:xfrm>
              <a:off x="20653375" y="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103363</xdr:colOff>
      <xdr:row>3</xdr:row>
      <xdr:rowOff>83599</xdr:rowOff>
    </xdr:from>
    <xdr:to>
      <xdr:col>23</xdr:col>
      <xdr:colOff>281160</xdr:colOff>
      <xdr:row>8</xdr:row>
      <xdr:rowOff>69909</xdr:rowOff>
    </xdr:to>
    <mc:AlternateContent xmlns:mc="http://schemas.openxmlformats.org/markup-compatibility/2006" xmlns:a14="http://schemas.microsoft.com/office/drawing/2010/main">
      <mc:Choice Requires="a14">
        <xdr:graphicFrame macro="">
          <xdr:nvGraphicFramePr>
            <xdr:cNvPr id="5" name="Month 11">
              <a:extLst>
                <a:ext uri="{FF2B5EF4-FFF2-40B4-BE49-F238E27FC236}">
                  <a16:creationId xmlns:a16="http://schemas.microsoft.com/office/drawing/2014/main" id="{C4FAEFCF-86BA-DCCB-81E9-364219EEE9F1}"/>
                </a:ext>
              </a:extLst>
            </xdr:cNvPr>
            <xdr:cNvGraphicFramePr/>
          </xdr:nvGraphicFramePr>
          <xdr:xfrm>
            <a:off x="0" y="0"/>
            <a:ext cx="0" cy="0"/>
          </xdr:xfrm>
          <a:graphic>
            <a:graphicData uri="http://schemas.microsoft.com/office/drawing/2010/slicer">
              <sle:slicer xmlns:sle="http://schemas.microsoft.com/office/drawing/2010/slicer" name="Month 11"/>
            </a:graphicData>
          </a:graphic>
        </xdr:graphicFrame>
      </mc:Choice>
      <mc:Fallback xmlns="">
        <xdr:sp macro="" textlink="">
          <xdr:nvSpPr>
            <xdr:cNvPr id="0" name=""/>
            <xdr:cNvSpPr>
              <a:spLocks noTextEdit="1"/>
            </xdr:cNvSpPr>
          </xdr:nvSpPr>
          <xdr:spPr>
            <a:xfrm>
              <a:off x="20248592" y="642865"/>
              <a:ext cx="1925504" cy="918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113251</xdr:colOff>
      <xdr:row>8</xdr:row>
      <xdr:rowOff>141072</xdr:rowOff>
    </xdr:from>
    <xdr:to>
      <xdr:col>23</xdr:col>
      <xdr:colOff>291048</xdr:colOff>
      <xdr:row>19</xdr:row>
      <xdr:rowOff>23303</xdr:rowOff>
    </xdr:to>
    <mc:AlternateContent xmlns:mc="http://schemas.openxmlformats.org/markup-compatibility/2006" xmlns:a14="http://schemas.microsoft.com/office/drawing/2010/main">
      <mc:Choice Requires="a14">
        <xdr:graphicFrame macro="">
          <xdr:nvGraphicFramePr>
            <xdr:cNvPr id="6" name="Mapel TDU 7">
              <a:extLst>
                <a:ext uri="{FF2B5EF4-FFF2-40B4-BE49-F238E27FC236}">
                  <a16:creationId xmlns:a16="http://schemas.microsoft.com/office/drawing/2014/main" id="{805B4768-691E-6811-C79C-7DD4196C9E99}"/>
                </a:ext>
              </a:extLst>
            </xdr:cNvPr>
            <xdr:cNvGraphicFramePr/>
          </xdr:nvGraphicFramePr>
          <xdr:xfrm>
            <a:off x="0" y="0"/>
            <a:ext cx="0" cy="0"/>
          </xdr:xfrm>
          <a:graphic>
            <a:graphicData uri="http://schemas.microsoft.com/office/drawing/2010/slicer">
              <sle:slicer xmlns:sle="http://schemas.microsoft.com/office/drawing/2010/slicer" name="Mapel TDU 7"/>
            </a:graphicData>
          </a:graphic>
        </xdr:graphicFrame>
      </mc:Choice>
      <mc:Fallback xmlns="">
        <xdr:sp macro="" textlink="">
          <xdr:nvSpPr>
            <xdr:cNvPr id="0" name=""/>
            <xdr:cNvSpPr>
              <a:spLocks noTextEdit="1"/>
            </xdr:cNvSpPr>
          </xdr:nvSpPr>
          <xdr:spPr>
            <a:xfrm>
              <a:off x="20258480" y="1632448"/>
              <a:ext cx="1925504" cy="1932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38</xdr:col>
      <xdr:colOff>91722</xdr:colOff>
      <xdr:row>0</xdr:row>
      <xdr:rowOff>0</xdr:rowOff>
    </xdr:from>
    <xdr:to>
      <xdr:col>51</xdr:col>
      <xdr:colOff>536223</xdr:colOff>
      <xdr:row>31</xdr:row>
      <xdr:rowOff>127000</xdr:rowOff>
    </xdr:to>
    <xdr:graphicFrame macro="">
      <xdr:nvGraphicFramePr>
        <xdr:cNvPr id="7" name="Chart 6">
          <a:extLst>
            <a:ext uri="{FF2B5EF4-FFF2-40B4-BE49-F238E27FC236}">
              <a16:creationId xmlns:a16="http://schemas.microsoft.com/office/drawing/2014/main" id="{F0C08124-56C9-10D6-4F2F-5E4EC9831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51</xdr:col>
      <xdr:colOff>675921</xdr:colOff>
      <xdr:row>0</xdr:row>
      <xdr:rowOff>0</xdr:rowOff>
    </xdr:from>
    <xdr:to>
      <xdr:col>53</xdr:col>
      <xdr:colOff>754941</xdr:colOff>
      <xdr:row>3</xdr:row>
      <xdr:rowOff>50012</xdr:rowOff>
    </xdr:to>
    <mc:AlternateContent xmlns:mc="http://schemas.openxmlformats.org/markup-compatibility/2006" xmlns:a14="http://schemas.microsoft.com/office/drawing/2010/main">
      <mc:Choice Requires="a14">
        <xdr:graphicFrame macro="">
          <xdr:nvGraphicFramePr>
            <xdr:cNvPr id="8" name="KELAS 11">
              <a:extLst>
                <a:ext uri="{FF2B5EF4-FFF2-40B4-BE49-F238E27FC236}">
                  <a16:creationId xmlns:a16="http://schemas.microsoft.com/office/drawing/2014/main" id="{FBBDCCBD-2EE4-7183-BF05-4FBE916BE2C8}"/>
                </a:ext>
              </a:extLst>
            </xdr:cNvPr>
            <xdr:cNvGraphicFramePr/>
          </xdr:nvGraphicFramePr>
          <xdr:xfrm>
            <a:off x="0" y="0"/>
            <a:ext cx="0" cy="0"/>
          </xdr:xfrm>
          <a:graphic>
            <a:graphicData uri="http://schemas.microsoft.com/office/drawing/2010/slicer">
              <sle:slicer xmlns:sle="http://schemas.microsoft.com/office/drawing/2010/slicer" name="KELAS 11"/>
            </a:graphicData>
          </a:graphic>
        </xdr:graphicFrame>
      </mc:Choice>
      <mc:Fallback xmlns="">
        <xdr:sp macro="" textlink="">
          <xdr:nvSpPr>
            <xdr:cNvPr id="0" name=""/>
            <xdr:cNvSpPr>
              <a:spLocks noTextEdit="1"/>
            </xdr:cNvSpPr>
          </xdr:nvSpPr>
          <xdr:spPr>
            <a:xfrm>
              <a:off x="47584361" y="0"/>
              <a:ext cx="1826726" cy="609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833966</xdr:colOff>
      <xdr:row>7</xdr:row>
      <xdr:rowOff>59265</xdr:rowOff>
    </xdr:from>
    <xdr:to>
      <xdr:col>56</xdr:col>
      <xdr:colOff>38104</xdr:colOff>
      <xdr:row>26</xdr:row>
      <xdr:rowOff>46606</xdr:rowOff>
    </xdr:to>
    <mc:AlternateContent xmlns:mc="http://schemas.openxmlformats.org/markup-compatibility/2006" xmlns:a14="http://schemas.microsoft.com/office/drawing/2010/main">
      <mc:Choice Requires="a14">
        <xdr:graphicFrame macro="">
          <xdr:nvGraphicFramePr>
            <xdr:cNvPr id="9" name="NAMA 3">
              <a:extLst>
                <a:ext uri="{FF2B5EF4-FFF2-40B4-BE49-F238E27FC236}">
                  <a16:creationId xmlns:a16="http://schemas.microsoft.com/office/drawing/2014/main" id="{1D8CC80C-3A77-A915-4DF9-CCDFC0918CBA}"/>
                </a:ext>
              </a:extLst>
            </xdr:cNvPr>
            <xdr:cNvGraphicFramePr/>
          </xdr:nvGraphicFramePr>
          <xdr:xfrm>
            <a:off x="0" y="0"/>
            <a:ext cx="0" cy="0"/>
          </xdr:xfrm>
          <a:graphic>
            <a:graphicData uri="http://schemas.microsoft.com/office/drawing/2010/slicer">
              <sle:slicer xmlns:sle="http://schemas.microsoft.com/office/drawing/2010/slicer" name="NAMA 3"/>
            </a:graphicData>
          </a:graphic>
        </xdr:graphicFrame>
      </mc:Choice>
      <mc:Fallback xmlns="">
        <xdr:sp macro="" textlink="">
          <xdr:nvSpPr>
            <xdr:cNvPr id="0" name=""/>
            <xdr:cNvSpPr>
              <a:spLocks noTextEdit="1"/>
            </xdr:cNvSpPr>
          </xdr:nvSpPr>
          <xdr:spPr>
            <a:xfrm>
              <a:off x="48170330" y="1433175"/>
              <a:ext cx="1836497" cy="3418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667456</xdr:colOff>
      <xdr:row>8</xdr:row>
      <xdr:rowOff>104423</xdr:rowOff>
    </xdr:from>
    <xdr:to>
      <xdr:col>53</xdr:col>
      <xdr:colOff>746476</xdr:colOff>
      <xdr:row>13</xdr:row>
      <xdr:rowOff>93211</xdr:rowOff>
    </xdr:to>
    <mc:AlternateContent xmlns:mc="http://schemas.openxmlformats.org/markup-compatibility/2006" xmlns:a14="http://schemas.microsoft.com/office/drawing/2010/main">
      <mc:Choice Requires="a14">
        <xdr:graphicFrame macro="">
          <xdr:nvGraphicFramePr>
            <xdr:cNvPr id="10" name="Month 15">
              <a:extLst>
                <a:ext uri="{FF2B5EF4-FFF2-40B4-BE49-F238E27FC236}">
                  <a16:creationId xmlns:a16="http://schemas.microsoft.com/office/drawing/2014/main" id="{F97C5912-80D1-2F6E-6A6E-E211D622A543}"/>
                </a:ext>
              </a:extLst>
            </xdr:cNvPr>
            <xdr:cNvGraphicFramePr/>
          </xdr:nvGraphicFramePr>
          <xdr:xfrm>
            <a:off x="0" y="0"/>
            <a:ext cx="0" cy="0"/>
          </xdr:xfrm>
          <a:graphic>
            <a:graphicData uri="http://schemas.microsoft.com/office/drawing/2010/slicer">
              <sle:slicer xmlns:sle="http://schemas.microsoft.com/office/drawing/2010/slicer" name="Month 15"/>
            </a:graphicData>
          </a:graphic>
        </xdr:graphicFrame>
      </mc:Choice>
      <mc:Fallback xmlns="">
        <xdr:sp macro="" textlink="">
          <xdr:nvSpPr>
            <xdr:cNvPr id="0" name=""/>
            <xdr:cNvSpPr>
              <a:spLocks noTextEdit="1"/>
            </xdr:cNvSpPr>
          </xdr:nvSpPr>
          <xdr:spPr>
            <a:xfrm>
              <a:off x="47575896" y="1595799"/>
              <a:ext cx="1826726" cy="920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811389</xdr:colOff>
      <xdr:row>0</xdr:row>
      <xdr:rowOff>8469</xdr:rowOff>
    </xdr:from>
    <xdr:to>
      <xdr:col>56</xdr:col>
      <xdr:colOff>15527</xdr:colOff>
      <xdr:row>6</xdr:row>
      <xdr:rowOff>1</xdr:rowOff>
    </xdr:to>
    <mc:AlternateContent xmlns:mc="http://schemas.openxmlformats.org/markup-compatibility/2006" xmlns:a14="http://schemas.microsoft.com/office/drawing/2010/main">
      <mc:Choice Requires="a14">
        <xdr:graphicFrame macro="">
          <xdr:nvGraphicFramePr>
            <xdr:cNvPr id="11" name="KATEGORI PENILAIAN 5">
              <a:extLst>
                <a:ext uri="{FF2B5EF4-FFF2-40B4-BE49-F238E27FC236}">
                  <a16:creationId xmlns:a16="http://schemas.microsoft.com/office/drawing/2014/main" id="{AA8443ED-B8C1-C05E-76AA-3D929CF7158F}"/>
                </a:ext>
              </a:extLst>
            </xdr:cNvPr>
            <xdr:cNvGraphicFramePr/>
          </xdr:nvGraphicFramePr>
          <xdr:xfrm>
            <a:off x="0" y="0"/>
            <a:ext cx="0" cy="0"/>
          </xdr:xfrm>
          <a:graphic>
            <a:graphicData uri="http://schemas.microsoft.com/office/drawing/2010/slicer">
              <sle:slicer xmlns:sle="http://schemas.microsoft.com/office/drawing/2010/slicer" name="KATEGORI PENILAIAN 5"/>
            </a:graphicData>
          </a:graphic>
        </xdr:graphicFrame>
      </mc:Choice>
      <mc:Fallback xmlns="">
        <xdr:sp macro="" textlink="">
          <xdr:nvSpPr>
            <xdr:cNvPr id="0" name=""/>
            <xdr:cNvSpPr>
              <a:spLocks noTextEdit="1"/>
            </xdr:cNvSpPr>
          </xdr:nvSpPr>
          <xdr:spPr>
            <a:xfrm>
              <a:off x="48147753" y="8468"/>
              <a:ext cx="1836497" cy="1365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663908</xdr:colOff>
      <xdr:row>13</xdr:row>
      <xdr:rowOff>141474</xdr:rowOff>
    </xdr:from>
    <xdr:to>
      <xdr:col>53</xdr:col>
      <xdr:colOff>757340</xdr:colOff>
      <xdr:row>24</xdr:row>
      <xdr:rowOff>93212</xdr:rowOff>
    </xdr:to>
    <mc:AlternateContent xmlns:mc="http://schemas.openxmlformats.org/markup-compatibility/2006" xmlns:a14="http://schemas.microsoft.com/office/drawing/2010/main">
      <mc:Choice Requires="a14">
        <xdr:graphicFrame macro="">
          <xdr:nvGraphicFramePr>
            <xdr:cNvPr id="12" name="Mapel TDU 4">
              <a:extLst>
                <a:ext uri="{FF2B5EF4-FFF2-40B4-BE49-F238E27FC236}">
                  <a16:creationId xmlns:a16="http://schemas.microsoft.com/office/drawing/2014/main" id="{51D12FFA-5E92-9D2C-0235-281CC2587064}"/>
                </a:ext>
              </a:extLst>
            </xdr:cNvPr>
            <xdr:cNvGraphicFramePr/>
          </xdr:nvGraphicFramePr>
          <xdr:xfrm>
            <a:off x="0" y="0"/>
            <a:ext cx="0" cy="0"/>
          </xdr:xfrm>
          <a:graphic>
            <a:graphicData uri="http://schemas.microsoft.com/office/drawing/2010/slicer">
              <sle:slicer xmlns:sle="http://schemas.microsoft.com/office/drawing/2010/slicer" name="Mapel TDU 4"/>
            </a:graphicData>
          </a:graphic>
        </xdr:graphicFrame>
      </mc:Choice>
      <mc:Fallback xmlns="">
        <xdr:sp macro="" textlink="">
          <xdr:nvSpPr>
            <xdr:cNvPr id="0" name=""/>
            <xdr:cNvSpPr>
              <a:spLocks noTextEdit="1"/>
            </xdr:cNvSpPr>
          </xdr:nvSpPr>
          <xdr:spPr>
            <a:xfrm>
              <a:off x="47572348" y="2564960"/>
              <a:ext cx="1841138" cy="2002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10</xdr:col>
      <xdr:colOff>508000</xdr:colOff>
      <xdr:row>0</xdr:row>
      <xdr:rowOff>6348</xdr:rowOff>
    </xdr:from>
    <xdr:to>
      <xdr:col>19</xdr:col>
      <xdr:colOff>996042</xdr:colOff>
      <xdr:row>33</xdr:row>
      <xdr:rowOff>168088</xdr:rowOff>
    </xdr:to>
    <xdr:graphicFrame macro="">
      <xdr:nvGraphicFramePr>
        <xdr:cNvPr id="2" name="Chart 1">
          <a:extLst>
            <a:ext uri="{FF2B5EF4-FFF2-40B4-BE49-F238E27FC236}">
              <a16:creationId xmlns:a16="http://schemas.microsoft.com/office/drawing/2014/main" id="{C25EA44A-7BFA-3E08-2340-ED7CEBFE8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1458685</xdr:colOff>
      <xdr:row>6</xdr:row>
      <xdr:rowOff>38101</xdr:rowOff>
    </xdr:from>
    <xdr:to>
      <xdr:col>23</xdr:col>
      <xdr:colOff>154214</xdr:colOff>
      <xdr:row>11</xdr:row>
      <xdr:rowOff>63500</xdr:rowOff>
    </xdr:to>
    <mc:AlternateContent xmlns:mc="http://schemas.openxmlformats.org/markup-compatibility/2006" xmlns:a14="http://schemas.microsoft.com/office/drawing/2010/main">
      <mc:Choice Requires="a14">
        <xdr:graphicFrame macro="">
          <xdr:nvGraphicFramePr>
            <xdr:cNvPr id="4" name="Month 12">
              <a:extLst>
                <a:ext uri="{FF2B5EF4-FFF2-40B4-BE49-F238E27FC236}">
                  <a16:creationId xmlns:a16="http://schemas.microsoft.com/office/drawing/2014/main" id="{87C24F4D-8681-7863-7377-FBDB0A98ED76}"/>
                </a:ext>
              </a:extLst>
            </xdr:cNvPr>
            <xdr:cNvGraphicFramePr/>
          </xdr:nvGraphicFramePr>
          <xdr:xfrm>
            <a:off x="0" y="0"/>
            <a:ext cx="0" cy="0"/>
          </xdr:xfrm>
          <a:graphic>
            <a:graphicData uri="http://schemas.microsoft.com/office/drawing/2010/slicer">
              <sle:slicer xmlns:sle="http://schemas.microsoft.com/office/drawing/2010/slicer" name="Month 12"/>
            </a:graphicData>
          </a:graphic>
        </xdr:graphicFrame>
      </mc:Choice>
      <mc:Fallback xmlns="">
        <xdr:sp macro="" textlink="">
          <xdr:nvSpPr>
            <xdr:cNvPr id="0" name=""/>
            <xdr:cNvSpPr>
              <a:spLocks noTextEdit="1"/>
            </xdr:cNvSpPr>
          </xdr:nvSpPr>
          <xdr:spPr>
            <a:xfrm>
              <a:off x="22159685" y="1223434"/>
              <a:ext cx="1870528" cy="10131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1453242</xdr:colOff>
      <xdr:row>0</xdr:row>
      <xdr:rowOff>36285</xdr:rowOff>
    </xdr:from>
    <xdr:to>
      <xdr:col>23</xdr:col>
      <xdr:colOff>148771</xdr:colOff>
      <xdr:row>6</xdr:row>
      <xdr:rowOff>0</xdr:rowOff>
    </xdr:to>
    <mc:AlternateContent xmlns:mc="http://schemas.openxmlformats.org/markup-compatibility/2006" xmlns:a14="http://schemas.microsoft.com/office/drawing/2010/main">
      <mc:Choice Requires="a14">
        <xdr:graphicFrame macro="">
          <xdr:nvGraphicFramePr>
            <xdr:cNvPr id="5" name="KATEGORI PENILAIAN">
              <a:extLst>
                <a:ext uri="{FF2B5EF4-FFF2-40B4-BE49-F238E27FC236}">
                  <a16:creationId xmlns:a16="http://schemas.microsoft.com/office/drawing/2014/main" id="{A54301A9-3AF2-0218-F600-C60FC80486DE}"/>
                </a:ext>
              </a:extLst>
            </xdr:cNvPr>
            <xdr:cNvGraphicFramePr/>
          </xdr:nvGraphicFramePr>
          <xdr:xfrm>
            <a:off x="0" y="0"/>
            <a:ext cx="0" cy="0"/>
          </xdr:xfrm>
          <a:graphic>
            <a:graphicData uri="http://schemas.microsoft.com/office/drawing/2010/slicer">
              <sle:slicer xmlns:sle="http://schemas.microsoft.com/office/drawing/2010/slicer" name="KATEGORI PENILAIAN"/>
            </a:graphicData>
          </a:graphic>
        </xdr:graphicFrame>
      </mc:Choice>
      <mc:Fallback xmlns="">
        <xdr:sp macro="" textlink="">
          <xdr:nvSpPr>
            <xdr:cNvPr id="0" name=""/>
            <xdr:cNvSpPr>
              <a:spLocks noTextEdit="1"/>
            </xdr:cNvSpPr>
          </xdr:nvSpPr>
          <xdr:spPr>
            <a:xfrm>
              <a:off x="25188131" y="36285"/>
              <a:ext cx="1870528" cy="14736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1164771</xdr:colOff>
      <xdr:row>0</xdr:row>
      <xdr:rowOff>0</xdr:rowOff>
    </xdr:from>
    <xdr:to>
      <xdr:col>20</xdr:col>
      <xdr:colOff>1342571</xdr:colOff>
      <xdr:row>7</xdr:row>
      <xdr:rowOff>85271</xdr:rowOff>
    </xdr:to>
    <mc:AlternateContent xmlns:mc="http://schemas.openxmlformats.org/markup-compatibility/2006" xmlns:a14="http://schemas.microsoft.com/office/drawing/2010/main">
      <mc:Choice Requires="a14">
        <xdr:graphicFrame macro="">
          <xdr:nvGraphicFramePr>
            <xdr:cNvPr id="6" name="PROYEK">
              <a:extLst>
                <a:ext uri="{FF2B5EF4-FFF2-40B4-BE49-F238E27FC236}">
                  <a16:creationId xmlns:a16="http://schemas.microsoft.com/office/drawing/2014/main" id="{02008E99-3615-CD72-79D9-FE9ECDF53CA9}"/>
                </a:ext>
              </a:extLst>
            </xdr:cNvPr>
            <xdr:cNvGraphicFramePr/>
          </xdr:nvGraphicFramePr>
          <xdr:xfrm>
            <a:off x="0" y="0"/>
            <a:ext cx="0" cy="0"/>
          </xdr:xfrm>
          <a:graphic>
            <a:graphicData uri="http://schemas.microsoft.com/office/drawing/2010/slicer">
              <sle:slicer xmlns:sle="http://schemas.microsoft.com/office/drawing/2010/slicer" name="PROYEK"/>
            </a:graphicData>
          </a:graphic>
        </xdr:graphicFrame>
      </mc:Choice>
      <mc:Fallback xmlns="">
        <xdr:sp macro="" textlink="">
          <xdr:nvSpPr>
            <xdr:cNvPr id="0" name=""/>
            <xdr:cNvSpPr>
              <a:spLocks noTextEdit="1"/>
            </xdr:cNvSpPr>
          </xdr:nvSpPr>
          <xdr:spPr>
            <a:xfrm>
              <a:off x="23361549" y="0"/>
              <a:ext cx="1754010" cy="1468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1159329</xdr:colOff>
      <xdr:row>7</xdr:row>
      <xdr:rowOff>159658</xdr:rowOff>
    </xdr:from>
    <xdr:to>
      <xdr:col>20</xdr:col>
      <xdr:colOff>1341667</xdr:colOff>
      <xdr:row>17</xdr:row>
      <xdr:rowOff>0</xdr:rowOff>
    </xdr:to>
    <mc:AlternateContent xmlns:mc="http://schemas.openxmlformats.org/markup-compatibility/2006" xmlns:a14="http://schemas.microsoft.com/office/drawing/2010/main">
      <mc:Choice Requires="a14">
        <xdr:graphicFrame macro="">
          <xdr:nvGraphicFramePr>
            <xdr:cNvPr id="7" name="SKILL">
              <a:extLst>
                <a:ext uri="{FF2B5EF4-FFF2-40B4-BE49-F238E27FC236}">
                  <a16:creationId xmlns:a16="http://schemas.microsoft.com/office/drawing/2014/main" id="{64A9A21B-1648-5A86-8787-EAB0A8450ABD}"/>
                </a:ext>
              </a:extLst>
            </xdr:cNvPr>
            <xdr:cNvGraphicFramePr/>
          </xdr:nvGraphicFramePr>
          <xdr:xfrm>
            <a:off x="0" y="0"/>
            <a:ext cx="0" cy="0"/>
          </xdr:xfrm>
          <a:graphic>
            <a:graphicData uri="http://schemas.microsoft.com/office/drawing/2010/slicer">
              <sle:slicer xmlns:sle="http://schemas.microsoft.com/office/drawing/2010/slicer" name="SKILL"/>
            </a:graphicData>
          </a:graphic>
        </xdr:graphicFrame>
      </mc:Choice>
      <mc:Fallback xmlns="">
        <xdr:sp macro="" textlink="">
          <xdr:nvSpPr>
            <xdr:cNvPr id="0" name=""/>
            <xdr:cNvSpPr>
              <a:spLocks noTextEdit="1"/>
            </xdr:cNvSpPr>
          </xdr:nvSpPr>
          <xdr:spPr>
            <a:xfrm>
              <a:off x="23356107" y="1542547"/>
              <a:ext cx="1739498" cy="18158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453571</xdr:colOff>
      <xdr:row>0</xdr:row>
      <xdr:rowOff>0</xdr:rowOff>
    </xdr:from>
    <xdr:to>
      <xdr:col>45</xdr:col>
      <xdr:colOff>108857</xdr:colOff>
      <xdr:row>38</xdr:row>
      <xdr:rowOff>141111</xdr:rowOff>
    </xdr:to>
    <xdr:graphicFrame macro="">
      <xdr:nvGraphicFramePr>
        <xdr:cNvPr id="9" name="Chart 8">
          <a:extLst>
            <a:ext uri="{FF2B5EF4-FFF2-40B4-BE49-F238E27FC236}">
              <a16:creationId xmlns:a16="http://schemas.microsoft.com/office/drawing/2014/main" id="{F64C85A3-6508-E959-06B8-B2398D4FF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45</xdr:col>
      <xdr:colOff>296332</xdr:colOff>
      <xdr:row>5</xdr:row>
      <xdr:rowOff>14110</xdr:rowOff>
    </xdr:from>
    <xdr:to>
      <xdr:col>47</xdr:col>
      <xdr:colOff>279800</xdr:colOff>
      <xdr:row>9</xdr:row>
      <xdr:rowOff>76200</xdr:rowOff>
    </xdr:to>
    <mc:AlternateContent xmlns:mc="http://schemas.openxmlformats.org/markup-compatibility/2006" xmlns:a14="http://schemas.microsoft.com/office/drawing/2010/main">
      <mc:Choice Requires="a14">
        <xdr:graphicFrame macro="">
          <xdr:nvGraphicFramePr>
            <xdr:cNvPr id="8" name="Month 14">
              <a:extLst>
                <a:ext uri="{FF2B5EF4-FFF2-40B4-BE49-F238E27FC236}">
                  <a16:creationId xmlns:a16="http://schemas.microsoft.com/office/drawing/2014/main" id="{87506E37-540E-B744-9D46-B2B3411433E4}"/>
                </a:ext>
              </a:extLst>
            </xdr:cNvPr>
            <xdr:cNvGraphicFramePr/>
          </xdr:nvGraphicFramePr>
          <xdr:xfrm>
            <a:off x="0" y="0"/>
            <a:ext cx="0" cy="0"/>
          </xdr:xfrm>
          <a:graphic>
            <a:graphicData uri="http://schemas.microsoft.com/office/drawing/2010/slicer">
              <sle:slicer xmlns:sle="http://schemas.microsoft.com/office/drawing/2010/slicer" name="Month 14"/>
            </a:graphicData>
          </a:graphic>
        </xdr:graphicFrame>
      </mc:Choice>
      <mc:Fallback xmlns="">
        <xdr:sp macro="" textlink="">
          <xdr:nvSpPr>
            <xdr:cNvPr id="0" name=""/>
            <xdr:cNvSpPr>
              <a:spLocks noTextEdit="1"/>
            </xdr:cNvSpPr>
          </xdr:nvSpPr>
          <xdr:spPr>
            <a:xfrm>
              <a:off x="37380332" y="1001888"/>
              <a:ext cx="1733246" cy="852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296333</xdr:colOff>
      <xdr:row>9</xdr:row>
      <xdr:rowOff>121961</xdr:rowOff>
    </xdr:from>
    <xdr:to>
      <xdr:col>47</xdr:col>
      <xdr:colOff>270526</xdr:colOff>
      <xdr:row>15</xdr:row>
      <xdr:rowOff>127000</xdr:rowOff>
    </xdr:to>
    <mc:AlternateContent xmlns:mc="http://schemas.openxmlformats.org/markup-compatibility/2006" xmlns:a14="http://schemas.microsoft.com/office/drawing/2010/main">
      <mc:Choice Requires="a14">
        <xdr:graphicFrame macro="">
          <xdr:nvGraphicFramePr>
            <xdr:cNvPr id="16" name="KATEGORI PENILAIAN 2">
              <a:extLst>
                <a:ext uri="{FF2B5EF4-FFF2-40B4-BE49-F238E27FC236}">
                  <a16:creationId xmlns:a16="http://schemas.microsoft.com/office/drawing/2014/main" id="{4352BB5F-75CB-624C-A78A-05E79EC7BE64}"/>
                </a:ext>
              </a:extLst>
            </xdr:cNvPr>
            <xdr:cNvGraphicFramePr/>
          </xdr:nvGraphicFramePr>
          <xdr:xfrm>
            <a:off x="0" y="0"/>
            <a:ext cx="0" cy="0"/>
          </xdr:xfrm>
          <a:graphic>
            <a:graphicData uri="http://schemas.microsoft.com/office/drawing/2010/slicer">
              <sle:slicer xmlns:sle="http://schemas.microsoft.com/office/drawing/2010/slicer" name="KATEGORI PENILAIAN 2"/>
            </a:graphicData>
          </a:graphic>
        </xdr:graphicFrame>
      </mc:Choice>
      <mc:Fallback xmlns="">
        <xdr:sp macro="" textlink="">
          <xdr:nvSpPr>
            <xdr:cNvPr id="0" name=""/>
            <xdr:cNvSpPr>
              <a:spLocks noTextEdit="1"/>
            </xdr:cNvSpPr>
          </xdr:nvSpPr>
          <xdr:spPr>
            <a:xfrm>
              <a:off x="37380333" y="1899961"/>
              <a:ext cx="1723971" cy="1190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290284</xdr:colOff>
      <xdr:row>0</xdr:row>
      <xdr:rowOff>1</xdr:rowOff>
    </xdr:from>
    <xdr:to>
      <xdr:col>47</xdr:col>
      <xdr:colOff>268509</xdr:colOff>
      <xdr:row>4</xdr:row>
      <xdr:rowOff>165100</xdr:rowOff>
    </xdr:to>
    <mc:AlternateContent xmlns:mc="http://schemas.openxmlformats.org/markup-compatibility/2006" xmlns:a14="http://schemas.microsoft.com/office/drawing/2010/main">
      <mc:Choice Requires="a14">
        <xdr:graphicFrame macro="">
          <xdr:nvGraphicFramePr>
            <xdr:cNvPr id="17" name="PROYEK 2">
              <a:extLst>
                <a:ext uri="{FF2B5EF4-FFF2-40B4-BE49-F238E27FC236}">
                  <a16:creationId xmlns:a16="http://schemas.microsoft.com/office/drawing/2014/main" id="{BD429171-DCC3-4F4B-9184-5D51E28FBF7A}"/>
                </a:ext>
              </a:extLst>
            </xdr:cNvPr>
            <xdr:cNvGraphicFramePr/>
          </xdr:nvGraphicFramePr>
          <xdr:xfrm>
            <a:off x="0" y="0"/>
            <a:ext cx="0" cy="0"/>
          </xdr:xfrm>
          <a:graphic>
            <a:graphicData uri="http://schemas.microsoft.com/office/drawing/2010/slicer">
              <sle:slicer xmlns:sle="http://schemas.microsoft.com/office/drawing/2010/slicer" name="PROYEK 2"/>
            </a:graphicData>
          </a:graphic>
        </xdr:graphicFrame>
      </mc:Choice>
      <mc:Fallback xmlns="">
        <xdr:sp macro="" textlink="">
          <xdr:nvSpPr>
            <xdr:cNvPr id="0" name=""/>
            <xdr:cNvSpPr>
              <a:spLocks noTextEdit="1"/>
            </xdr:cNvSpPr>
          </xdr:nvSpPr>
          <xdr:spPr>
            <a:xfrm>
              <a:off x="40222713" y="1"/>
              <a:ext cx="1719941" cy="1425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340681</xdr:colOff>
      <xdr:row>0</xdr:row>
      <xdr:rowOff>0</xdr:rowOff>
    </xdr:from>
    <xdr:to>
      <xdr:col>49</xdr:col>
      <xdr:colOff>473123</xdr:colOff>
      <xdr:row>8</xdr:row>
      <xdr:rowOff>112284</xdr:rowOff>
    </xdr:to>
    <mc:AlternateContent xmlns:mc="http://schemas.openxmlformats.org/markup-compatibility/2006" xmlns:a14="http://schemas.microsoft.com/office/drawing/2010/main">
      <mc:Choice Requires="a14">
        <xdr:graphicFrame macro="">
          <xdr:nvGraphicFramePr>
            <xdr:cNvPr id="18" name="SKILL 1">
              <a:extLst>
                <a:ext uri="{FF2B5EF4-FFF2-40B4-BE49-F238E27FC236}">
                  <a16:creationId xmlns:a16="http://schemas.microsoft.com/office/drawing/2014/main" id="{E97F0498-DA0D-5B49-B05A-1F335CD76935}"/>
                </a:ext>
              </a:extLst>
            </xdr:cNvPr>
            <xdr:cNvGraphicFramePr/>
          </xdr:nvGraphicFramePr>
          <xdr:xfrm>
            <a:off x="0" y="0"/>
            <a:ext cx="0" cy="0"/>
          </xdr:xfrm>
          <a:graphic>
            <a:graphicData uri="http://schemas.microsoft.com/office/drawing/2010/slicer">
              <sle:slicer xmlns:sle="http://schemas.microsoft.com/office/drawing/2010/slicer" name="SKILL 1"/>
            </a:graphicData>
          </a:graphic>
        </xdr:graphicFrame>
      </mc:Choice>
      <mc:Fallback xmlns="">
        <xdr:sp macro="" textlink="">
          <xdr:nvSpPr>
            <xdr:cNvPr id="0" name=""/>
            <xdr:cNvSpPr>
              <a:spLocks noTextEdit="1"/>
            </xdr:cNvSpPr>
          </xdr:nvSpPr>
          <xdr:spPr>
            <a:xfrm>
              <a:off x="42014824" y="0"/>
              <a:ext cx="1874157" cy="1708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340682</xdr:colOff>
      <xdr:row>8</xdr:row>
      <xdr:rowOff>162278</xdr:rowOff>
    </xdr:from>
    <xdr:to>
      <xdr:col>49</xdr:col>
      <xdr:colOff>473124</xdr:colOff>
      <xdr:row>22</xdr:row>
      <xdr:rowOff>155221</xdr:rowOff>
    </xdr:to>
    <mc:AlternateContent xmlns:mc="http://schemas.openxmlformats.org/markup-compatibility/2006" xmlns:a14="http://schemas.microsoft.com/office/drawing/2010/main">
      <mc:Choice Requires="a14">
        <xdr:graphicFrame macro="">
          <xdr:nvGraphicFramePr>
            <xdr:cNvPr id="19" name="SUB SKILL">
              <a:extLst>
                <a:ext uri="{FF2B5EF4-FFF2-40B4-BE49-F238E27FC236}">
                  <a16:creationId xmlns:a16="http://schemas.microsoft.com/office/drawing/2014/main" id="{74CA108C-1F45-7943-B83F-F03E8FA05C85}"/>
                </a:ext>
              </a:extLst>
            </xdr:cNvPr>
            <xdr:cNvGraphicFramePr/>
          </xdr:nvGraphicFramePr>
          <xdr:xfrm>
            <a:off x="0" y="0"/>
            <a:ext cx="0" cy="0"/>
          </xdr:xfrm>
          <a:graphic>
            <a:graphicData uri="http://schemas.microsoft.com/office/drawing/2010/slicer">
              <sle:slicer xmlns:sle="http://schemas.microsoft.com/office/drawing/2010/slicer" name="SUB SKILL"/>
            </a:graphicData>
          </a:graphic>
        </xdr:graphicFrame>
      </mc:Choice>
      <mc:Fallback xmlns="">
        <xdr:sp macro="" textlink="">
          <xdr:nvSpPr>
            <xdr:cNvPr id="0" name=""/>
            <xdr:cNvSpPr>
              <a:spLocks noTextEdit="1"/>
            </xdr:cNvSpPr>
          </xdr:nvSpPr>
          <xdr:spPr>
            <a:xfrm>
              <a:off x="42014825" y="1758849"/>
              <a:ext cx="1874157" cy="2786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1460500</xdr:colOff>
      <xdr:row>11</xdr:row>
      <xdr:rowOff>127001</xdr:rowOff>
    </xdr:from>
    <xdr:to>
      <xdr:col>23</xdr:col>
      <xdr:colOff>114301</xdr:colOff>
      <xdr:row>15</xdr:row>
      <xdr:rowOff>1</xdr:rowOff>
    </xdr:to>
    <mc:AlternateContent xmlns:mc="http://schemas.openxmlformats.org/markup-compatibility/2006" xmlns:a14="http://schemas.microsoft.com/office/drawing/2010/main">
      <mc:Choice Requires="a14">
        <xdr:graphicFrame macro="">
          <xdr:nvGraphicFramePr>
            <xdr:cNvPr id="3" name="KELAS 12">
              <a:extLst>
                <a:ext uri="{FF2B5EF4-FFF2-40B4-BE49-F238E27FC236}">
                  <a16:creationId xmlns:a16="http://schemas.microsoft.com/office/drawing/2014/main" id="{518CDF31-E2C7-9909-BBD7-21092C8DC8B1}"/>
                </a:ext>
              </a:extLst>
            </xdr:cNvPr>
            <xdr:cNvGraphicFramePr/>
          </xdr:nvGraphicFramePr>
          <xdr:xfrm>
            <a:off x="0" y="0"/>
            <a:ext cx="0" cy="0"/>
          </xdr:xfrm>
          <a:graphic>
            <a:graphicData uri="http://schemas.microsoft.com/office/drawing/2010/slicer">
              <sle:slicer xmlns:sle="http://schemas.microsoft.com/office/drawing/2010/slicer" name="KELAS 12"/>
            </a:graphicData>
          </a:graphic>
        </xdr:graphicFrame>
      </mc:Choice>
      <mc:Fallback xmlns="">
        <xdr:sp macro="" textlink="">
          <xdr:nvSpPr>
            <xdr:cNvPr id="0" name=""/>
            <xdr:cNvSpPr>
              <a:spLocks noTextEdit="1"/>
            </xdr:cNvSpPr>
          </xdr:nvSpPr>
          <xdr:spPr>
            <a:xfrm>
              <a:off x="22161500" y="2300112"/>
              <a:ext cx="1828800" cy="663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27</xdr:col>
      <xdr:colOff>526143</xdr:colOff>
      <xdr:row>31</xdr:row>
      <xdr:rowOff>2512</xdr:rowOff>
    </xdr:from>
    <xdr:to>
      <xdr:col>39</xdr:col>
      <xdr:colOff>619369</xdr:colOff>
      <xdr:row>63</xdr:row>
      <xdr:rowOff>163286</xdr:rowOff>
    </xdr:to>
    <xdr:graphicFrame macro="">
      <xdr:nvGraphicFramePr>
        <xdr:cNvPr id="2" name="Chart 1">
          <a:extLst>
            <a:ext uri="{FF2B5EF4-FFF2-40B4-BE49-F238E27FC236}">
              <a16:creationId xmlns:a16="http://schemas.microsoft.com/office/drawing/2014/main" id="{7CC45F4A-8E6E-8FF8-3209-BC588B345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40</xdr:col>
      <xdr:colOff>47871</xdr:colOff>
      <xdr:row>31</xdr:row>
      <xdr:rowOff>119188</xdr:rowOff>
    </xdr:from>
    <xdr:to>
      <xdr:col>43</xdr:col>
      <xdr:colOff>563868</xdr:colOff>
      <xdr:row>36</xdr:row>
      <xdr:rowOff>169989</xdr:rowOff>
    </xdr:to>
    <mc:AlternateContent xmlns:mc="http://schemas.openxmlformats.org/markup-compatibility/2006" xmlns:a14="http://schemas.microsoft.com/office/drawing/2010/main">
      <mc:Choice Requires="a14">
        <xdr:graphicFrame macro="">
          <xdr:nvGraphicFramePr>
            <xdr:cNvPr id="8" name="KELAS 8">
              <a:extLst>
                <a:ext uri="{FF2B5EF4-FFF2-40B4-BE49-F238E27FC236}">
                  <a16:creationId xmlns:a16="http://schemas.microsoft.com/office/drawing/2014/main" id="{385FC254-2210-7441-B286-1BFEAAABDCBD}"/>
                </a:ext>
              </a:extLst>
            </xdr:cNvPr>
            <xdr:cNvGraphicFramePr/>
          </xdr:nvGraphicFramePr>
          <xdr:xfrm>
            <a:off x="0" y="0"/>
            <a:ext cx="0" cy="0"/>
          </xdr:xfrm>
          <a:graphic>
            <a:graphicData uri="http://schemas.microsoft.com/office/drawing/2010/slicer">
              <sle:slicer xmlns:sle="http://schemas.microsoft.com/office/drawing/2010/slicer" name="KELAS 8"/>
            </a:graphicData>
          </a:graphic>
        </xdr:graphicFrame>
      </mc:Choice>
      <mc:Fallback xmlns="">
        <xdr:sp macro="" textlink="">
          <xdr:nvSpPr>
            <xdr:cNvPr id="0" name=""/>
            <xdr:cNvSpPr>
              <a:spLocks noTextEdit="1"/>
            </xdr:cNvSpPr>
          </xdr:nvSpPr>
          <xdr:spPr>
            <a:xfrm>
              <a:off x="30328300" y="6305902"/>
              <a:ext cx="1944637" cy="1048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597055</xdr:colOff>
      <xdr:row>31</xdr:row>
      <xdr:rowOff>111168</xdr:rowOff>
    </xdr:from>
    <xdr:to>
      <xdr:col>46</xdr:col>
      <xdr:colOff>735265</xdr:colOff>
      <xdr:row>53</xdr:row>
      <xdr:rowOff>123867</xdr:rowOff>
    </xdr:to>
    <mc:AlternateContent xmlns:mc="http://schemas.openxmlformats.org/markup-compatibility/2006" xmlns:a14="http://schemas.microsoft.com/office/drawing/2010/main">
      <mc:Choice Requires="a14">
        <xdr:graphicFrame macro="">
          <xdr:nvGraphicFramePr>
            <xdr:cNvPr id="9" name="NAMA 2">
              <a:extLst>
                <a:ext uri="{FF2B5EF4-FFF2-40B4-BE49-F238E27FC236}">
                  <a16:creationId xmlns:a16="http://schemas.microsoft.com/office/drawing/2014/main" id="{E1BBD6BA-8CA5-CF42-BB0C-DF458E9525AF}"/>
                </a:ext>
              </a:extLst>
            </xdr:cNvPr>
            <xdr:cNvGraphicFramePr/>
          </xdr:nvGraphicFramePr>
          <xdr:xfrm>
            <a:off x="0" y="0"/>
            <a:ext cx="0" cy="0"/>
          </xdr:xfrm>
          <a:graphic>
            <a:graphicData uri="http://schemas.microsoft.com/office/drawing/2010/slicer">
              <sle:slicer xmlns:sle="http://schemas.microsoft.com/office/drawing/2010/slicer" name="NAMA 2"/>
            </a:graphicData>
          </a:graphic>
        </xdr:graphicFrame>
      </mc:Choice>
      <mc:Fallback xmlns="">
        <xdr:sp macro="" textlink="">
          <xdr:nvSpPr>
            <xdr:cNvPr id="0" name=""/>
            <xdr:cNvSpPr>
              <a:spLocks noTextEdit="1"/>
            </xdr:cNvSpPr>
          </xdr:nvSpPr>
          <xdr:spPr>
            <a:xfrm>
              <a:off x="32018607" y="6220306"/>
              <a:ext cx="2108897" cy="4348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47871</xdr:colOff>
      <xdr:row>37</xdr:row>
      <xdr:rowOff>50805</xdr:rowOff>
    </xdr:from>
    <xdr:to>
      <xdr:col>43</xdr:col>
      <xdr:colOff>563867</xdr:colOff>
      <xdr:row>41</xdr:row>
      <xdr:rowOff>187739</xdr:rowOff>
    </xdr:to>
    <mc:AlternateContent xmlns:mc="http://schemas.openxmlformats.org/markup-compatibility/2006" xmlns:a14="http://schemas.microsoft.com/office/drawing/2010/main">
      <mc:Choice Requires="a14">
        <xdr:graphicFrame macro="">
          <xdr:nvGraphicFramePr>
            <xdr:cNvPr id="10" name="Month 13">
              <a:extLst>
                <a:ext uri="{FF2B5EF4-FFF2-40B4-BE49-F238E27FC236}">
                  <a16:creationId xmlns:a16="http://schemas.microsoft.com/office/drawing/2014/main" id="{0D94FAC4-79AB-E249-9B7F-A8558827DD2D}"/>
                </a:ext>
              </a:extLst>
            </xdr:cNvPr>
            <xdr:cNvGraphicFramePr/>
          </xdr:nvGraphicFramePr>
          <xdr:xfrm>
            <a:off x="0" y="0"/>
            <a:ext cx="0" cy="0"/>
          </xdr:xfrm>
          <a:graphic>
            <a:graphicData uri="http://schemas.microsoft.com/office/drawing/2010/slicer">
              <sle:slicer xmlns:sle="http://schemas.microsoft.com/office/drawing/2010/slicer" name="Month 13"/>
            </a:graphicData>
          </a:graphic>
        </xdr:graphicFrame>
      </mc:Choice>
      <mc:Fallback xmlns="">
        <xdr:sp macro="" textlink="">
          <xdr:nvSpPr>
            <xdr:cNvPr id="0" name=""/>
            <xdr:cNvSpPr>
              <a:spLocks noTextEdit="1"/>
            </xdr:cNvSpPr>
          </xdr:nvSpPr>
          <xdr:spPr>
            <a:xfrm>
              <a:off x="30328300" y="7434948"/>
              <a:ext cx="1944636" cy="1066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47871</xdr:colOff>
      <xdr:row>42</xdr:row>
      <xdr:rowOff>144589</xdr:rowOff>
    </xdr:from>
    <xdr:to>
      <xdr:col>43</xdr:col>
      <xdr:colOff>563867</xdr:colOff>
      <xdr:row>50</xdr:row>
      <xdr:rowOff>44715</xdr:rowOff>
    </xdr:to>
    <mc:AlternateContent xmlns:mc="http://schemas.openxmlformats.org/markup-compatibility/2006" xmlns:a14="http://schemas.microsoft.com/office/drawing/2010/main">
      <mc:Choice Requires="a14">
        <xdr:graphicFrame macro="">
          <xdr:nvGraphicFramePr>
            <xdr:cNvPr id="12" name="PROYEK 1">
              <a:extLst>
                <a:ext uri="{FF2B5EF4-FFF2-40B4-BE49-F238E27FC236}">
                  <a16:creationId xmlns:a16="http://schemas.microsoft.com/office/drawing/2014/main" id="{2F27461B-859F-5D42-8E4C-55541AF3461A}"/>
                </a:ext>
              </a:extLst>
            </xdr:cNvPr>
            <xdr:cNvGraphicFramePr/>
          </xdr:nvGraphicFramePr>
          <xdr:xfrm>
            <a:off x="0" y="0"/>
            <a:ext cx="0" cy="0"/>
          </xdr:xfrm>
          <a:graphic>
            <a:graphicData uri="http://schemas.microsoft.com/office/drawing/2010/slicer">
              <sle:slicer xmlns:sle="http://schemas.microsoft.com/office/drawing/2010/slicer" name="PROYEK 1"/>
            </a:graphicData>
          </a:graphic>
        </xdr:graphicFrame>
      </mc:Choice>
      <mc:Fallback xmlns="">
        <xdr:sp macro="" textlink="">
          <xdr:nvSpPr>
            <xdr:cNvPr id="0" name=""/>
            <xdr:cNvSpPr>
              <a:spLocks noTextEdit="1"/>
            </xdr:cNvSpPr>
          </xdr:nvSpPr>
          <xdr:spPr>
            <a:xfrm>
              <a:off x="30328300" y="8526589"/>
              <a:ext cx="1944636" cy="14966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47871</xdr:colOff>
      <xdr:row>50</xdr:row>
      <xdr:rowOff>136968</xdr:rowOff>
    </xdr:from>
    <xdr:to>
      <xdr:col>43</xdr:col>
      <xdr:colOff>563231</xdr:colOff>
      <xdr:row>59</xdr:row>
      <xdr:rowOff>68389</xdr:rowOff>
    </xdr:to>
    <mc:AlternateContent xmlns:mc="http://schemas.openxmlformats.org/markup-compatibility/2006" xmlns:a14="http://schemas.microsoft.com/office/drawing/2010/main">
      <mc:Choice Requires="a14">
        <xdr:graphicFrame macro="">
          <xdr:nvGraphicFramePr>
            <xdr:cNvPr id="17" name="SKILL 2">
              <a:extLst>
                <a:ext uri="{FF2B5EF4-FFF2-40B4-BE49-F238E27FC236}">
                  <a16:creationId xmlns:a16="http://schemas.microsoft.com/office/drawing/2014/main" id="{825272A0-2D89-F2CA-9A00-84BA3DF763F4}"/>
                </a:ext>
              </a:extLst>
            </xdr:cNvPr>
            <xdr:cNvGraphicFramePr/>
          </xdr:nvGraphicFramePr>
          <xdr:xfrm>
            <a:off x="0" y="0"/>
            <a:ext cx="0" cy="0"/>
          </xdr:xfrm>
          <a:graphic>
            <a:graphicData uri="http://schemas.microsoft.com/office/drawing/2010/slicer">
              <sle:slicer xmlns:sle="http://schemas.microsoft.com/office/drawing/2010/slicer" name="SKILL 2"/>
            </a:graphicData>
          </a:graphic>
        </xdr:graphicFrame>
      </mc:Choice>
      <mc:Fallback xmlns="">
        <xdr:sp macro="" textlink="">
          <xdr:nvSpPr>
            <xdr:cNvPr id="0" name=""/>
            <xdr:cNvSpPr>
              <a:spLocks noTextEdit="1"/>
            </xdr:cNvSpPr>
          </xdr:nvSpPr>
          <xdr:spPr>
            <a:xfrm>
              <a:off x="30328300" y="10115539"/>
              <a:ext cx="1934475" cy="17275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161637</xdr:colOff>
      <xdr:row>0</xdr:row>
      <xdr:rowOff>11869</xdr:rowOff>
    </xdr:from>
    <xdr:to>
      <xdr:col>27</xdr:col>
      <xdr:colOff>194163</xdr:colOff>
      <xdr:row>29</xdr:row>
      <xdr:rowOff>84667</xdr:rowOff>
    </xdr:to>
    <xdr:graphicFrame macro="">
      <xdr:nvGraphicFramePr>
        <xdr:cNvPr id="3" name="Chart 2">
          <a:extLst>
            <a:ext uri="{FF2B5EF4-FFF2-40B4-BE49-F238E27FC236}">
              <a16:creationId xmlns:a16="http://schemas.microsoft.com/office/drawing/2014/main" id="{0A8CC9FB-5AAA-4044-9C14-34D6329F5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27</xdr:col>
      <xdr:colOff>334981</xdr:colOff>
      <xdr:row>0</xdr:row>
      <xdr:rowOff>0</xdr:rowOff>
    </xdr:from>
    <xdr:to>
      <xdr:col>29</xdr:col>
      <xdr:colOff>434428</xdr:colOff>
      <xdr:row>6</xdr:row>
      <xdr:rowOff>21021</xdr:rowOff>
    </xdr:to>
    <mc:AlternateContent xmlns:mc="http://schemas.openxmlformats.org/markup-compatibility/2006" xmlns:a14="http://schemas.microsoft.com/office/drawing/2010/main">
      <mc:Choice Requires="a14">
        <xdr:graphicFrame macro="">
          <xdr:nvGraphicFramePr>
            <xdr:cNvPr id="4" name="KELAS 14">
              <a:extLst>
                <a:ext uri="{FF2B5EF4-FFF2-40B4-BE49-F238E27FC236}">
                  <a16:creationId xmlns:a16="http://schemas.microsoft.com/office/drawing/2014/main" id="{C59B835D-40BD-074C-9553-11397583FB4D}"/>
                </a:ext>
              </a:extLst>
            </xdr:cNvPr>
            <xdr:cNvGraphicFramePr/>
          </xdr:nvGraphicFramePr>
          <xdr:xfrm>
            <a:off x="0" y="0"/>
            <a:ext cx="0" cy="0"/>
          </xdr:xfrm>
          <a:graphic>
            <a:graphicData uri="http://schemas.microsoft.com/office/drawing/2010/slicer">
              <sle:slicer xmlns:sle="http://schemas.microsoft.com/office/drawing/2010/slicer" name="KELAS 14"/>
            </a:graphicData>
          </a:graphic>
        </xdr:graphicFrame>
      </mc:Choice>
      <mc:Fallback xmlns="">
        <xdr:sp macro="" textlink="">
          <xdr:nvSpPr>
            <xdr:cNvPr id="0" name=""/>
            <xdr:cNvSpPr>
              <a:spLocks noTextEdit="1"/>
            </xdr:cNvSpPr>
          </xdr:nvSpPr>
          <xdr:spPr>
            <a:xfrm>
              <a:off x="19947410" y="0"/>
              <a:ext cx="1841160" cy="1218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330168</xdr:colOff>
      <xdr:row>6</xdr:row>
      <xdr:rowOff>71822</xdr:rowOff>
    </xdr:from>
    <xdr:to>
      <xdr:col>29</xdr:col>
      <xdr:colOff>435137</xdr:colOff>
      <xdr:row>11</xdr:row>
      <xdr:rowOff>25400</xdr:rowOff>
    </xdr:to>
    <mc:AlternateContent xmlns:mc="http://schemas.openxmlformats.org/markup-compatibility/2006" xmlns:a14="http://schemas.microsoft.com/office/drawing/2010/main">
      <mc:Choice Requires="a14">
        <xdr:graphicFrame macro="">
          <xdr:nvGraphicFramePr>
            <xdr:cNvPr id="5" name="Month 23">
              <a:extLst>
                <a:ext uri="{FF2B5EF4-FFF2-40B4-BE49-F238E27FC236}">
                  <a16:creationId xmlns:a16="http://schemas.microsoft.com/office/drawing/2014/main" id="{352E09E6-1FD1-BF45-8087-E09AD8846465}"/>
                </a:ext>
              </a:extLst>
            </xdr:cNvPr>
            <xdr:cNvGraphicFramePr/>
          </xdr:nvGraphicFramePr>
          <xdr:xfrm>
            <a:off x="0" y="0"/>
            <a:ext cx="0" cy="0"/>
          </xdr:xfrm>
          <a:graphic>
            <a:graphicData uri="http://schemas.microsoft.com/office/drawing/2010/slicer">
              <sle:slicer xmlns:sle="http://schemas.microsoft.com/office/drawing/2010/slicer" name="Month 23"/>
            </a:graphicData>
          </a:graphic>
        </xdr:graphicFrame>
      </mc:Choice>
      <mc:Fallback xmlns="">
        <xdr:sp macro="" textlink="">
          <xdr:nvSpPr>
            <xdr:cNvPr id="0" name=""/>
            <xdr:cNvSpPr>
              <a:spLocks noTextEdit="1"/>
            </xdr:cNvSpPr>
          </xdr:nvSpPr>
          <xdr:spPr>
            <a:xfrm>
              <a:off x="19942597" y="1269251"/>
              <a:ext cx="1846682" cy="1218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981364</xdr:colOff>
      <xdr:row>30</xdr:row>
      <xdr:rowOff>151080</xdr:rowOff>
    </xdr:from>
    <xdr:to>
      <xdr:col>27</xdr:col>
      <xdr:colOff>150091</xdr:colOff>
      <xdr:row>63</xdr:row>
      <xdr:rowOff>173180</xdr:rowOff>
    </xdr:to>
    <xdr:graphicFrame macro="">
      <xdr:nvGraphicFramePr>
        <xdr:cNvPr id="11" name="Chart 10">
          <a:extLst>
            <a:ext uri="{FF2B5EF4-FFF2-40B4-BE49-F238E27FC236}">
              <a16:creationId xmlns:a16="http://schemas.microsoft.com/office/drawing/2014/main" id="{52E322CA-91EC-BD25-2ED2-A66588208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1339262</xdr:colOff>
      <xdr:row>64</xdr:row>
      <xdr:rowOff>106514</xdr:rowOff>
    </xdr:from>
    <xdr:to>
      <xdr:col>12</xdr:col>
      <xdr:colOff>313583</xdr:colOff>
      <xdr:row>70</xdr:row>
      <xdr:rowOff>115456</xdr:rowOff>
    </xdr:to>
    <mc:AlternateContent xmlns:mc="http://schemas.openxmlformats.org/markup-compatibility/2006" xmlns:a14="http://schemas.microsoft.com/office/drawing/2010/main">
      <mc:Choice Requires="a14">
        <xdr:graphicFrame macro="">
          <xdr:nvGraphicFramePr>
            <xdr:cNvPr id="13" name="KELAS 15">
              <a:extLst>
                <a:ext uri="{FF2B5EF4-FFF2-40B4-BE49-F238E27FC236}">
                  <a16:creationId xmlns:a16="http://schemas.microsoft.com/office/drawing/2014/main" id="{5139BD66-8482-33B4-364F-E7C5120D7767}"/>
                </a:ext>
              </a:extLst>
            </xdr:cNvPr>
            <xdr:cNvGraphicFramePr/>
          </xdr:nvGraphicFramePr>
          <xdr:xfrm>
            <a:off x="0" y="0"/>
            <a:ext cx="0" cy="0"/>
          </xdr:xfrm>
          <a:graphic>
            <a:graphicData uri="http://schemas.microsoft.com/office/drawing/2010/slicer">
              <sle:slicer xmlns:sle="http://schemas.microsoft.com/office/drawing/2010/slicer" name="KELAS 15"/>
            </a:graphicData>
          </a:graphic>
        </xdr:graphicFrame>
      </mc:Choice>
      <mc:Fallback xmlns="">
        <xdr:sp macro="" textlink="">
          <xdr:nvSpPr>
            <xdr:cNvPr id="0" name=""/>
            <xdr:cNvSpPr>
              <a:spLocks noTextEdit="1"/>
            </xdr:cNvSpPr>
          </xdr:nvSpPr>
          <xdr:spPr>
            <a:xfrm>
              <a:off x="8124691" y="12879085"/>
              <a:ext cx="1822748" cy="1206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12</xdr:col>
      <xdr:colOff>384455</xdr:colOff>
      <xdr:row>64</xdr:row>
      <xdr:rowOff>106514</xdr:rowOff>
    </xdr:from>
    <xdr:to>
      <xdr:col>13</xdr:col>
      <xdr:colOff>1309549</xdr:colOff>
      <xdr:row>69</xdr:row>
      <xdr:rowOff>84284</xdr:rowOff>
    </xdr:to>
    <mc:AlternateContent xmlns:mc="http://schemas.openxmlformats.org/markup-compatibility/2006" xmlns:a14="http://schemas.microsoft.com/office/drawing/2010/main">
      <mc:Choice Requires="a14">
        <xdr:graphicFrame macro="">
          <xdr:nvGraphicFramePr>
            <xdr:cNvPr id="14" name="Month 16">
              <a:extLst>
                <a:ext uri="{FF2B5EF4-FFF2-40B4-BE49-F238E27FC236}">
                  <a16:creationId xmlns:a16="http://schemas.microsoft.com/office/drawing/2014/main" id="{B6BA9548-277C-64F7-587B-53AD27B533E0}"/>
                </a:ext>
              </a:extLst>
            </xdr:cNvPr>
            <xdr:cNvGraphicFramePr/>
          </xdr:nvGraphicFramePr>
          <xdr:xfrm>
            <a:off x="0" y="0"/>
            <a:ext cx="0" cy="0"/>
          </xdr:xfrm>
          <a:graphic>
            <a:graphicData uri="http://schemas.microsoft.com/office/drawing/2010/slicer">
              <sle:slicer xmlns:sle="http://schemas.microsoft.com/office/drawing/2010/slicer" name="Month 16"/>
            </a:graphicData>
          </a:graphic>
        </xdr:graphicFrame>
      </mc:Choice>
      <mc:Fallback xmlns="">
        <xdr:sp macro="" textlink="">
          <xdr:nvSpPr>
            <xdr:cNvPr id="0" name=""/>
            <xdr:cNvSpPr>
              <a:spLocks noTextEdit="1"/>
            </xdr:cNvSpPr>
          </xdr:nvSpPr>
          <xdr:spPr>
            <a:xfrm>
              <a:off x="10018312" y="12879085"/>
              <a:ext cx="1826890" cy="975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15</xdr:col>
      <xdr:colOff>498753</xdr:colOff>
      <xdr:row>64</xdr:row>
      <xdr:rowOff>101894</xdr:rowOff>
    </xdr:from>
    <xdr:to>
      <xdr:col>20</xdr:col>
      <xdr:colOff>560</xdr:colOff>
      <xdr:row>77</xdr:row>
      <xdr:rowOff>1404</xdr:rowOff>
    </xdr:to>
    <mc:AlternateContent xmlns:mc="http://schemas.openxmlformats.org/markup-compatibility/2006" xmlns:a14="http://schemas.microsoft.com/office/drawing/2010/main">
      <mc:Choice Requires="a14">
        <xdr:graphicFrame macro="">
          <xdr:nvGraphicFramePr>
            <xdr:cNvPr id="18" name="Mapel TDU 5">
              <a:extLst>
                <a:ext uri="{FF2B5EF4-FFF2-40B4-BE49-F238E27FC236}">
                  <a16:creationId xmlns:a16="http://schemas.microsoft.com/office/drawing/2014/main" id="{14657A7B-8EA3-5CA4-543A-032DEBCF58E8}"/>
                </a:ext>
              </a:extLst>
            </xdr:cNvPr>
            <xdr:cNvGraphicFramePr/>
          </xdr:nvGraphicFramePr>
          <xdr:xfrm>
            <a:off x="0" y="0"/>
            <a:ext cx="0" cy="0"/>
          </xdr:xfrm>
          <a:graphic>
            <a:graphicData uri="http://schemas.microsoft.com/office/drawing/2010/slicer">
              <sle:slicer xmlns:sle="http://schemas.microsoft.com/office/drawing/2010/slicer" name="Mapel TDU 5"/>
            </a:graphicData>
          </a:graphic>
        </xdr:graphicFrame>
      </mc:Choice>
      <mc:Fallback xmlns="">
        <xdr:sp macro="" textlink="">
          <xdr:nvSpPr>
            <xdr:cNvPr id="0" name=""/>
            <xdr:cNvSpPr>
              <a:spLocks noTextEdit="1"/>
            </xdr:cNvSpPr>
          </xdr:nvSpPr>
          <xdr:spPr>
            <a:xfrm>
              <a:off x="11910610" y="12874466"/>
              <a:ext cx="2155693" cy="1786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30</xdr:col>
      <xdr:colOff>153865</xdr:colOff>
      <xdr:row>0</xdr:row>
      <xdr:rowOff>0</xdr:rowOff>
    </xdr:from>
    <xdr:to>
      <xdr:col>39</xdr:col>
      <xdr:colOff>626207</xdr:colOff>
      <xdr:row>28</xdr:row>
      <xdr:rowOff>163286</xdr:rowOff>
    </xdr:to>
    <xdr:graphicFrame macro="">
      <xdr:nvGraphicFramePr>
        <xdr:cNvPr id="6" name="Chart 5">
          <a:extLst>
            <a:ext uri="{FF2B5EF4-FFF2-40B4-BE49-F238E27FC236}">
              <a16:creationId xmlns:a16="http://schemas.microsoft.com/office/drawing/2014/main" id="{F1442B78-0525-78F5-FEF8-B5713507A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40</xdr:col>
      <xdr:colOff>66893</xdr:colOff>
      <xdr:row>9</xdr:row>
      <xdr:rowOff>129011</xdr:rowOff>
    </xdr:from>
    <xdr:to>
      <xdr:col>44</xdr:col>
      <xdr:colOff>517724</xdr:colOff>
      <xdr:row>15</xdr:row>
      <xdr:rowOff>178440</xdr:rowOff>
    </xdr:to>
    <mc:AlternateContent xmlns:mc="http://schemas.openxmlformats.org/markup-compatibility/2006" xmlns:a14="http://schemas.microsoft.com/office/drawing/2010/main">
      <mc:Choice Requires="a14">
        <xdr:graphicFrame macro="">
          <xdr:nvGraphicFramePr>
            <xdr:cNvPr id="7" name="PROYEK 3">
              <a:extLst>
                <a:ext uri="{FF2B5EF4-FFF2-40B4-BE49-F238E27FC236}">
                  <a16:creationId xmlns:a16="http://schemas.microsoft.com/office/drawing/2014/main" id="{CA4035CB-AB76-BD75-BFD5-8B4195A9CDF1}"/>
                </a:ext>
              </a:extLst>
            </xdr:cNvPr>
            <xdr:cNvGraphicFramePr/>
          </xdr:nvGraphicFramePr>
          <xdr:xfrm>
            <a:off x="0" y="0"/>
            <a:ext cx="0" cy="0"/>
          </xdr:xfrm>
          <a:graphic>
            <a:graphicData uri="http://schemas.microsoft.com/office/drawing/2010/slicer">
              <sle:slicer xmlns:sle="http://schemas.microsoft.com/office/drawing/2010/slicer" name="PROYEK 3"/>
            </a:graphicData>
          </a:graphic>
        </xdr:graphicFrame>
      </mc:Choice>
      <mc:Fallback xmlns="">
        <xdr:sp macro="" textlink="">
          <xdr:nvSpPr>
            <xdr:cNvPr id="0" name=""/>
            <xdr:cNvSpPr>
              <a:spLocks noTextEdit="1"/>
            </xdr:cNvSpPr>
          </xdr:nvSpPr>
          <xdr:spPr>
            <a:xfrm>
              <a:off x="29460337" y="1907011"/>
              <a:ext cx="2567498" cy="1234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44874</xdr:colOff>
      <xdr:row>0</xdr:row>
      <xdr:rowOff>0</xdr:rowOff>
    </xdr:from>
    <xdr:to>
      <xdr:col>42</xdr:col>
      <xdr:colOff>279400</xdr:colOff>
      <xdr:row>4</xdr:row>
      <xdr:rowOff>109640</xdr:rowOff>
    </xdr:to>
    <mc:AlternateContent xmlns:mc="http://schemas.openxmlformats.org/markup-compatibility/2006" xmlns:a14="http://schemas.microsoft.com/office/drawing/2010/main">
      <mc:Choice Requires="a14">
        <xdr:graphicFrame macro="">
          <xdr:nvGraphicFramePr>
            <xdr:cNvPr id="15" name="KELAS 16">
              <a:extLst>
                <a:ext uri="{FF2B5EF4-FFF2-40B4-BE49-F238E27FC236}">
                  <a16:creationId xmlns:a16="http://schemas.microsoft.com/office/drawing/2014/main" id="{F56D115E-CA1E-2C73-77FE-F3888CB845B9}"/>
                </a:ext>
              </a:extLst>
            </xdr:cNvPr>
            <xdr:cNvGraphicFramePr/>
          </xdr:nvGraphicFramePr>
          <xdr:xfrm>
            <a:off x="0" y="0"/>
            <a:ext cx="0" cy="0"/>
          </xdr:xfrm>
          <a:graphic>
            <a:graphicData uri="http://schemas.microsoft.com/office/drawing/2010/slicer">
              <sle:slicer xmlns:sle="http://schemas.microsoft.com/office/drawing/2010/slicer" name="KELAS 16"/>
            </a:graphicData>
          </a:graphic>
        </xdr:graphicFrame>
      </mc:Choice>
      <mc:Fallback xmlns="">
        <xdr:sp macro="" textlink="">
          <xdr:nvSpPr>
            <xdr:cNvPr id="0" name=""/>
            <xdr:cNvSpPr>
              <a:spLocks noTextEdit="1"/>
            </xdr:cNvSpPr>
          </xdr:nvSpPr>
          <xdr:spPr>
            <a:xfrm>
              <a:off x="30325303" y="0"/>
              <a:ext cx="1841391" cy="907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56500</xdr:colOff>
      <xdr:row>4</xdr:row>
      <xdr:rowOff>165100</xdr:rowOff>
    </xdr:from>
    <xdr:to>
      <xdr:col>43</xdr:col>
      <xdr:colOff>472684</xdr:colOff>
      <xdr:row>9</xdr:row>
      <xdr:rowOff>84240</xdr:rowOff>
    </xdr:to>
    <mc:AlternateContent xmlns:mc="http://schemas.openxmlformats.org/markup-compatibility/2006" xmlns:a14="http://schemas.microsoft.com/office/drawing/2010/main">
      <mc:Choice Requires="a14">
        <xdr:graphicFrame macro="">
          <xdr:nvGraphicFramePr>
            <xdr:cNvPr id="16" name="Month 24">
              <a:extLst>
                <a:ext uri="{FF2B5EF4-FFF2-40B4-BE49-F238E27FC236}">
                  <a16:creationId xmlns:a16="http://schemas.microsoft.com/office/drawing/2014/main" id="{B707D30E-8518-D1CD-F791-621F205FB4B0}"/>
                </a:ext>
              </a:extLst>
            </xdr:cNvPr>
            <xdr:cNvGraphicFramePr/>
          </xdr:nvGraphicFramePr>
          <xdr:xfrm>
            <a:off x="0" y="0"/>
            <a:ext cx="0" cy="0"/>
          </xdr:xfrm>
          <a:graphic>
            <a:graphicData uri="http://schemas.microsoft.com/office/drawing/2010/slicer">
              <sle:slicer xmlns:sle="http://schemas.microsoft.com/office/drawing/2010/slicer" name="Month 24"/>
            </a:graphicData>
          </a:graphic>
        </xdr:graphicFrame>
      </mc:Choice>
      <mc:Fallback xmlns="">
        <xdr:sp macro="" textlink="">
          <xdr:nvSpPr>
            <xdr:cNvPr id="0" name=""/>
            <xdr:cNvSpPr>
              <a:spLocks noTextEdit="1"/>
            </xdr:cNvSpPr>
          </xdr:nvSpPr>
          <xdr:spPr>
            <a:xfrm>
              <a:off x="29449944" y="955322"/>
              <a:ext cx="1869628" cy="906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11</xdr:col>
      <xdr:colOff>406400</xdr:colOff>
      <xdr:row>0</xdr:row>
      <xdr:rowOff>25400</xdr:rowOff>
    </xdr:from>
    <xdr:to>
      <xdr:col>18</xdr:col>
      <xdr:colOff>635000</xdr:colOff>
      <xdr:row>18</xdr:row>
      <xdr:rowOff>76200</xdr:rowOff>
    </xdr:to>
    <xdr:graphicFrame macro="">
      <xdr:nvGraphicFramePr>
        <xdr:cNvPr id="2" name="Chart 1">
          <a:extLst>
            <a:ext uri="{FF2B5EF4-FFF2-40B4-BE49-F238E27FC236}">
              <a16:creationId xmlns:a16="http://schemas.microsoft.com/office/drawing/2014/main" id="{F6FD2EF2-1166-1F8B-52AD-6E621412D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50800</xdr:colOff>
      <xdr:row>32</xdr:row>
      <xdr:rowOff>38100</xdr:rowOff>
    </xdr:from>
    <xdr:to>
      <xdr:col>21</xdr:col>
      <xdr:colOff>114300</xdr:colOff>
      <xdr:row>58</xdr:row>
      <xdr:rowOff>50800</xdr:rowOff>
    </xdr:to>
    <xdr:graphicFrame macro="">
      <xdr:nvGraphicFramePr>
        <xdr:cNvPr id="4" name="Chart 3">
          <a:extLst>
            <a:ext uri="{FF2B5EF4-FFF2-40B4-BE49-F238E27FC236}">
              <a16:creationId xmlns:a16="http://schemas.microsoft.com/office/drawing/2014/main" id="{B7CE7F63-FA53-B1E1-42B7-609CD3714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241300</xdr:colOff>
      <xdr:row>32</xdr:row>
      <xdr:rowOff>38102</xdr:rowOff>
    </xdr:from>
    <xdr:to>
      <xdr:col>23</xdr:col>
      <xdr:colOff>419100</xdr:colOff>
      <xdr:row>35</xdr:row>
      <xdr:rowOff>75106</xdr:rowOff>
    </xdr:to>
    <mc:AlternateContent xmlns:mc="http://schemas.openxmlformats.org/markup-compatibility/2006" xmlns:a14="http://schemas.microsoft.com/office/drawing/2010/main">
      <mc:Choice Requires="a14">
        <xdr:graphicFrame macro="">
          <xdr:nvGraphicFramePr>
            <xdr:cNvPr id="5" name="KELAS 3">
              <a:extLst>
                <a:ext uri="{FF2B5EF4-FFF2-40B4-BE49-F238E27FC236}">
                  <a16:creationId xmlns:a16="http://schemas.microsoft.com/office/drawing/2014/main" id="{D5B90057-9A81-7243-81B2-FF87192C5883}"/>
                </a:ext>
              </a:extLst>
            </xdr:cNvPr>
            <xdr:cNvGraphicFramePr/>
          </xdr:nvGraphicFramePr>
          <xdr:xfrm>
            <a:off x="0" y="0"/>
            <a:ext cx="0" cy="0"/>
          </xdr:xfrm>
          <a:graphic>
            <a:graphicData uri="http://schemas.microsoft.com/office/drawing/2010/slicer">
              <sle:slicer xmlns:sle="http://schemas.microsoft.com/office/drawing/2010/slicer" name="KELAS 3"/>
            </a:graphicData>
          </a:graphic>
        </xdr:graphicFrame>
      </mc:Choice>
      <mc:Fallback xmlns="">
        <xdr:sp macro="" textlink="">
          <xdr:nvSpPr>
            <xdr:cNvPr id="0" name=""/>
            <xdr:cNvSpPr>
              <a:spLocks noTextEdit="1"/>
            </xdr:cNvSpPr>
          </xdr:nvSpPr>
          <xdr:spPr>
            <a:xfrm>
              <a:off x="17428633" y="6359880"/>
              <a:ext cx="1927576" cy="629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241300</xdr:colOff>
      <xdr:row>38</xdr:row>
      <xdr:rowOff>90716</xdr:rowOff>
    </xdr:from>
    <xdr:to>
      <xdr:col>23</xdr:col>
      <xdr:colOff>419100</xdr:colOff>
      <xdr:row>43</xdr:row>
      <xdr:rowOff>101600</xdr:rowOff>
    </xdr:to>
    <mc:AlternateContent xmlns:mc="http://schemas.openxmlformats.org/markup-compatibility/2006" xmlns:a14="http://schemas.microsoft.com/office/drawing/2010/main">
      <mc:Choice Requires="a14">
        <xdr:graphicFrame macro="">
          <xdr:nvGraphicFramePr>
            <xdr:cNvPr id="6" name="Month 17">
              <a:extLst>
                <a:ext uri="{FF2B5EF4-FFF2-40B4-BE49-F238E27FC236}">
                  <a16:creationId xmlns:a16="http://schemas.microsoft.com/office/drawing/2014/main" id="{206FFAC8-80E7-CEAF-E854-5EA2EA06C4E4}"/>
                </a:ext>
              </a:extLst>
            </xdr:cNvPr>
            <xdr:cNvGraphicFramePr/>
          </xdr:nvGraphicFramePr>
          <xdr:xfrm>
            <a:off x="0" y="0"/>
            <a:ext cx="0" cy="0"/>
          </xdr:xfrm>
          <a:graphic>
            <a:graphicData uri="http://schemas.microsoft.com/office/drawing/2010/slicer">
              <sle:slicer xmlns:sle="http://schemas.microsoft.com/office/drawing/2010/slicer" name="Month 17"/>
            </a:graphicData>
          </a:graphic>
        </xdr:graphicFrame>
      </mc:Choice>
      <mc:Fallback xmlns="">
        <xdr:sp macro="" textlink="">
          <xdr:nvSpPr>
            <xdr:cNvPr id="0" name=""/>
            <xdr:cNvSpPr>
              <a:spLocks noTextEdit="1"/>
            </xdr:cNvSpPr>
          </xdr:nvSpPr>
          <xdr:spPr>
            <a:xfrm>
              <a:off x="17428633" y="7597827"/>
              <a:ext cx="1927576" cy="998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508000</xdr:colOff>
      <xdr:row>68</xdr:row>
      <xdr:rowOff>25400</xdr:rowOff>
    </xdr:from>
    <xdr:to>
      <xdr:col>21</xdr:col>
      <xdr:colOff>203200</xdr:colOff>
      <xdr:row>96</xdr:row>
      <xdr:rowOff>25400</xdr:rowOff>
    </xdr:to>
    <xdr:graphicFrame macro="">
      <xdr:nvGraphicFramePr>
        <xdr:cNvPr id="7" name="Chart 6">
          <a:extLst>
            <a:ext uri="{FF2B5EF4-FFF2-40B4-BE49-F238E27FC236}">
              <a16:creationId xmlns:a16="http://schemas.microsoft.com/office/drawing/2014/main" id="{6EC5F904-F1FA-6A29-07AE-5C61E7489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266700</xdr:colOff>
      <xdr:row>74</xdr:row>
      <xdr:rowOff>38101</xdr:rowOff>
    </xdr:from>
    <xdr:to>
      <xdr:col>23</xdr:col>
      <xdr:colOff>444500</xdr:colOff>
      <xdr:row>77</xdr:row>
      <xdr:rowOff>42333</xdr:rowOff>
    </xdr:to>
    <mc:AlternateContent xmlns:mc="http://schemas.openxmlformats.org/markup-compatibility/2006" xmlns:a14="http://schemas.microsoft.com/office/drawing/2010/main">
      <mc:Choice Requires="a14">
        <xdr:graphicFrame macro="">
          <xdr:nvGraphicFramePr>
            <xdr:cNvPr id="8" name="KELAS 7">
              <a:extLst>
                <a:ext uri="{FF2B5EF4-FFF2-40B4-BE49-F238E27FC236}">
                  <a16:creationId xmlns:a16="http://schemas.microsoft.com/office/drawing/2014/main" id="{9A30F522-DBF5-20FF-56BE-DBA78B0F147E}"/>
                </a:ext>
              </a:extLst>
            </xdr:cNvPr>
            <xdr:cNvGraphicFramePr/>
          </xdr:nvGraphicFramePr>
          <xdr:xfrm>
            <a:off x="0" y="0"/>
            <a:ext cx="0" cy="0"/>
          </xdr:xfrm>
          <a:graphic>
            <a:graphicData uri="http://schemas.microsoft.com/office/drawing/2010/slicer">
              <sle:slicer xmlns:sle="http://schemas.microsoft.com/office/drawing/2010/slicer" name="KELAS 7"/>
            </a:graphicData>
          </a:graphic>
        </xdr:graphicFrame>
      </mc:Choice>
      <mc:Fallback xmlns="">
        <xdr:sp macro="" textlink="">
          <xdr:nvSpPr>
            <xdr:cNvPr id="0" name=""/>
            <xdr:cNvSpPr>
              <a:spLocks noTextEdit="1"/>
            </xdr:cNvSpPr>
          </xdr:nvSpPr>
          <xdr:spPr>
            <a:xfrm>
              <a:off x="17477740" y="12199621"/>
              <a:ext cx="1823720" cy="1427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266700</xdr:colOff>
      <xdr:row>77</xdr:row>
      <xdr:rowOff>66323</xdr:rowOff>
    </xdr:from>
    <xdr:to>
      <xdr:col>23</xdr:col>
      <xdr:colOff>444500</xdr:colOff>
      <xdr:row>81</xdr:row>
      <xdr:rowOff>155222</xdr:rowOff>
    </xdr:to>
    <mc:AlternateContent xmlns:mc="http://schemas.openxmlformats.org/markup-compatibility/2006" xmlns:a14="http://schemas.microsoft.com/office/drawing/2010/main">
      <mc:Choice Requires="a14">
        <xdr:graphicFrame macro="">
          <xdr:nvGraphicFramePr>
            <xdr:cNvPr id="9" name="Month 18">
              <a:extLst>
                <a:ext uri="{FF2B5EF4-FFF2-40B4-BE49-F238E27FC236}">
                  <a16:creationId xmlns:a16="http://schemas.microsoft.com/office/drawing/2014/main" id="{744A047B-237A-C39C-EF4D-BBE1B5420532}"/>
                </a:ext>
              </a:extLst>
            </xdr:cNvPr>
            <xdr:cNvGraphicFramePr/>
          </xdr:nvGraphicFramePr>
          <xdr:xfrm>
            <a:off x="0" y="0"/>
            <a:ext cx="0" cy="0"/>
          </xdr:xfrm>
          <a:graphic>
            <a:graphicData uri="http://schemas.microsoft.com/office/drawing/2010/slicer">
              <sle:slicer xmlns:sle="http://schemas.microsoft.com/office/drawing/2010/slicer" name="Month 18"/>
            </a:graphicData>
          </a:graphic>
        </xdr:graphicFrame>
      </mc:Choice>
      <mc:Fallback xmlns="">
        <xdr:sp macro="" textlink="">
          <xdr:nvSpPr>
            <xdr:cNvPr id="0" name=""/>
            <xdr:cNvSpPr>
              <a:spLocks noTextEdit="1"/>
            </xdr:cNvSpPr>
          </xdr:nvSpPr>
          <xdr:spPr>
            <a:xfrm>
              <a:off x="18004367" y="15278101"/>
              <a:ext cx="1927577" cy="879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266700</xdr:colOff>
      <xdr:row>68</xdr:row>
      <xdr:rowOff>25401</xdr:rowOff>
    </xdr:from>
    <xdr:to>
      <xdr:col>23</xdr:col>
      <xdr:colOff>444500</xdr:colOff>
      <xdr:row>74</xdr:row>
      <xdr:rowOff>12700</xdr:rowOff>
    </xdr:to>
    <mc:AlternateContent xmlns:mc="http://schemas.openxmlformats.org/markup-compatibility/2006" xmlns:a14="http://schemas.microsoft.com/office/drawing/2010/main">
      <mc:Choice Requires="a14">
        <xdr:graphicFrame macro="">
          <xdr:nvGraphicFramePr>
            <xdr:cNvPr id="10" name="PROYEK 5">
              <a:extLst>
                <a:ext uri="{FF2B5EF4-FFF2-40B4-BE49-F238E27FC236}">
                  <a16:creationId xmlns:a16="http://schemas.microsoft.com/office/drawing/2014/main" id="{9A1284F0-2758-E9DD-AEC5-613228274E97}"/>
                </a:ext>
              </a:extLst>
            </xdr:cNvPr>
            <xdr:cNvGraphicFramePr/>
          </xdr:nvGraphicFramePr>
          <xdr:xfrm>
            <a:off x="0" y="0"/>
            <a:ext cx="0" cy="0"/>
          </xdr:xfrm>
          <a:graphic>
            <a:graphicData uri="http://schemas.microsoft.com/office/drawing/2010/slicer">
              <sle:slicer xmlns:sle="http://schemas.microsoft.com/office/drawing/2010/slicer" name="PROYEK 5"/>
            </a:graphicData>
          </a:graphic>
        </xdr:graphicFrame>
      </mc:Choice>
      <mc:Fallback xmlns="">
        <xdr:sp macro="" textlink="">
          <xdr:nvSpPr>
            <xdr:cNvPr id="0" name=""/>
            <xdr:cNvSpPr>
              <a:spLocks noTextEdit="1"/>
            </xdr:cNvSpPr>
          </xdr:nvSpPr>
          <xdr:spPr>
            <a:xfrm>
              <a:off x="17477740" y="11028681"/>
              <a:ext cx="1823720" cy="1145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495300</xdr:colOff>
      <xdr:row>68</xdr:row>
      <xdr:rowOff>38100</xdr:rowOff>
    </xdr:from>
    <xdr:to>
      <xdr:col>25</xdr:col>
      <xdr:colOff>673099</xdr:colOff>
      <xdr:row>82</xdr:row>
      <xdr:rowOff>177800</xdr:rowOff>
    </xdr:to>
    <mc:AlternateContent xmlns:mc="http://schemas.openxmlformats.org/markup-compatibility/2006" xmlns:a14="http://schemas.microsoft.com/office/drawing/2010/main">
      <mc:Choice Requires="a14">
        <xdr:graphicFrame macro="">
          <xdr:nvGraphicFramePr>
            <xdr:cNvPr id="11" name="Mapel TDU 8">
              <a:extLst>
                <a:ext uri="{FF2B5EF4-FFF2-40B4-BE49-F238E27FC236}">
                  <a16:creationId xmlns:a16="http://schemas.microsoft.com/office/drawing/2014/main" id="{2D9E152B-2FF0-1E14-36A7-1713EFA49A46}"/>
                </a:ext>
              </a:extLst>
            </xdr:cNvPr>
            <xdr:cNvGraphicFramePr/>
          </xdr:nvGraphicFramePr>
          <xdr:xfrm>
            <a:off x="0" y="0"/>
            <a:ext cx="0" cy="0"/>
          </xdr:xfrm>
          <a:graphic>
            <a:graphicData uri="http://schemas.microsoft.com/office/drawing/2010/slicer">
              <sle:slicer xmlns:sle="http://schemas.microsoft.com/office/drawing/2010/slicer" name="Mapel TDU 8"/>
            </a:graphicData>
          </a:graphic>
        </xdr:graphicFrame>
      </mc:Choice>
      <mc:Fallback xmlns="">
        <xdr:sp macro="" textlink="">
          <xdr:nvSpPr>
            <xdr:cNvPr id="0" name=""/>
            <xdr:cNvSpPr>
              <a:spLocks noTextEdit="1"/>
            </xdr:cNvSpPr>
          </xdr:nvSpPr>
          <xdr:spPr>
            <a:xfrm>
              <a:off x="19352260" y="11041380"/>
              <a:ext cx="1823720" cy="2842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495300</xdr:colOff>
      <xdr:row>28</xdr:row>
      <xdr:rowOff>55825</xdr:rowOff>
    </xdr:from>
    <xdr:to>
      <xdr:col>43</xdr:col>
      <xdr:colOff>97692</xdr:colOff>
      <xdr:row>67</xdr:row>
      <xdr:rowOff>13956</xdr:rowOff>
    </xdr:to>
    <xdr:graphicFrame macro="">
      <xdr:nvGraphicFramePr>
        <xdr:cNvPr id="14" name="Chart 13">
          <a:extLst>
            <a:ext uri="{FF2B5EF4-FFF2-40B4-BE49-F238E27FC236}">
              <a16:creationId xmlns:a16="http://schemas.microsoft.com/office/drawing/2014/main" id="{8885892F-B001-C64B-8684-5A345FB06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518188</xdr:colOff>
      <xdr:row>67</xdr:row>
      <xdr:rowOff>140960</xdr:rowOff>
    </xdr:from>
    <xdr:to>
      <xdr:col>29</xdr:col>
      <xdr:colOff>695988</xdr:colOff>
      <xdr:row>70</xdr:row>
      <xdr:rowOff>155223</xdr:rowOff>
    </xdr:to>
    <mc:AlternateContent xmlns:mc="http://schemas.openxmlformats.org/markup-compatibility/2006" xmlns:a14="http://schemas.microsoft.com/office/drawing/2010/main">
      <mc:Choice Requires="a14">
        <xdr:graphicFrame macro="">
          <xdr:nvGraphicFramePr>
            <xdr:cNvPr id="15" name="KELAS 9">
              <a:extLst>
                <a:ext uri="{FF2B5EF4-FFF2-40B4-BE49-F238E27FC236}">
                  <a16:creationId xmlns:a16="http://schemas.microsoft.com/office/drawing/2014/main" id="{E9B67962-7BBA-5AC7-2E96-21B9755E973E}"/>
                </a:ext>
              </a:extLst>
            </xdr:cNvPr>
            <xdr:cNvGraphicFramePr/>
          </xdr:nvGraphicFramePr>
          <xdr:xfrm>
            <a:off x="0" y="0"/>
            <a:ext cx="0" cy="0"/>
          </xdr:xfrm>
          <a:graphic>
            <a:graphicData uri="http://schemas.microsoft.com/office/drawing/2010/slicer">
              <sle:slicer xmlns:sle="http://schemas.microsoft.com/office/drawing/2010/slicer" name="KELAS 9"/>
            </a:graphicData>
          </a:graphic>
        </xdr:graphicFrame>
      </mc:Choice>
      <mc:Fallback xmlns="">
        <xdr:sp macro="" textlink="">
          <xdr:nvSpPr>
            <xdr:cNvPr id="0" name=""/>
            <xdr:cNvSpPr>
              <a:spLocks noTextEdit="1"/>
            </xdr:cNvSpPr>
          </xdr:nvSpPr>
          <xdr:spPr>
            <a:xfrm>
              <a:off x="22931595" y="13231728"/>
              <a:ext cx="1936262" cy="752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137188</xdr:colOff>
      <xdr:row>67</xdr:row>
      <xdr:rowOff>153657</xdr:rowOff>
    </xdr:from>
    <xdr:to>
      <xdr:col>34</xdr:col>
      <xdr:colOff>663221</xdr:colOff>
      <xdr:row>90</xdr:row>
      <xdr:rowOff>28222</xdr:rowOff>
    </xdr:to>
    <mc:AlternateContent xmlns:mc="http://schemas.openxmlformats.org/markup-compatibility/2006" xmlns:a14="http://schemas.microsoft.com/office/drawing/2010/main">
      <mc:Choice Requires="a14">
        <xdr:graphicFrame macro="">
          <xdr:nvGraphicFramePr>
            <xdr:cNvPr id="16" name="NAMA 4">
              <a:extLst>
                <a:ext uri="{FF2B5EF4-FFF2-40B4-BE49-F238E27FC236}">
                  <a16:creationId xmlns:a16="http://schemas.microsoft.com/office/drawing/2014/main" id="{8DF725A7-7BF6-AA8D-B3E6-831E761AA346}"/>
                </a:ext>
              </a:extLst>
            </xdr:cNvPr>
            <xdr:cNvGraphicFramePr/>
          </xdr:nvGraphicFramePr>
          <xdr:xfrm>
            <a:off x="0" y="0"/>
            <a:ext cx="0" cy="0"/>
          </xdr:xfrm>
          <a:graphic>
            <a:graphicData uri="http://schemas.microsoft.com/office/drawing/2010/slicer">
              <sle:slicer xmlns:sle="http://schemas.microsoft.com/office/drawing/2010/slicer" name="NAMA 4"/>
            </a:graphicData>
          </a:graphic>
        </xdr:graphicFrame>
      </mc:Choice>
      <mc:Fallback xmlns="">
        <xdr:sp macro="" textlink="">
          <xdr:nvSpPr>
            <xdr:cNvPr id="0" name=""/>
            <xdr:cNvSpPr>
              <a:spLocks noTextEdit="1"/>
            </xdr:cNvSpPr>
          </xdr:nvSpPr>
          <xdr:spPr>
            <a:xfrm>
              <a:off x="26946748" y="13244426"/>
              <a:ext cx="1936262" cy="4064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505333</xdr:colOff>
      <xdr:row>71</xdr:row>
      <xdr:rowOff>16005</xdr:rowOff>
    </xdr:from>
    <xdr:to>
      <xdr:col>29</xdr:col>
      <xdr:colOff>683133</xdr:colOff>
      <xdr:row>75</xdr:row>
      <xdr:rowOff>141112</xdr:rowOff>
    </xdr:to>
    <mc:AlternateContent xmlns:mc="http://schemas.openxmlformats.org/markup-compatibility/2006" xmlns:a14="http://schemas.microsoft.com/office/drawing/2010/main">
      <mc:Choice Requires="a14">
        <xdr:graphicFrame macro="">
          <xdr:nvGraphicFramePr>
            <xdr:cNvPr id="17" name="Month 19">
              <a:extLst>
                <a:ext uri="{FF2B5EF4-FFF2-40B4-BE49-F238E27FC236}">
                  <a16:creationId xmlns:a16="http://schemas.microsoft.com/office/drawing/2014/main" id="{AAF33F22-5965-2E5C-23E7-43521BF9B073}"/>
                </a:ext>
              </a:extLst>
            </xdr:cNvPr>
            <xdr:cNvGraphicFramePr/>
          </xdr:nvGraphicFramePr>
          <xdr:xfrm>
            <a:off x="0" y="0"/>
            <a:ext cx="0" cy="0"/>
          </xdr:xfrm>
          <a:graphic>
            <a:graphicData uri="http://schemas.microsoft.com/office/drawing/2010/slicer">
              <sle:slicer xmlns:sle="http://schemas.microsoft.com/office/drawing/2010/slicer" name="Month 19"/>
            </a:graphicData>
          </a:graphic>
        </xdr:graphicFrame>
      </mc:Choice>
      <mc:Fallback xmlns="">
        <xdr:sp macro="" textlink="">
          <xdr:nvSpPr>
            <xdr:cNvPr id="0" name=""/>
            <xdr:cNvSpPr>
              <a:spLocks noTextEdit="1"/>
            </xdr:cNvSpPr>
          </xdr:nvSpPr>
          <xdr:spPr>
            <a:xfrm>
              <a:off x="22942000" y="14042449"/>
              <a:ext cx="1927578" cy="915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344712</xdr:colOff>
      <xdr:row>0</xdr:row>
      <xdr:rowOff>0</xdr:rowOff>
    </xdr:from>
    <xdr:to>
      <xdr:col>40</xdr:col>
      <xdr:colOff>235856</xdr:colOff>
      <xdr:row>27</xdr:row>
      <xdr:rowOff>181428</xdr:rowOff>
    </xdr:to>
    <xdr:graphicFrame macro="">
      <xdr:nvGraphicFramePr>
        <xdr:cNvPr id="3" name="Chart 2">
          <a:extLst>
            <a:ext uri="{FF2B5EF4-FFF2-40B4-BE49-F238E27FC236}">
              <a16:creationId xmlns:a16="http://schemas.microsoft.com/office/drawing/2014/main" id="{F906390D-66C8-4D65-5A13-68A308B42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40</xdr:col>
      <xdr:colOff>333626</xdr:colOff>
      <xdr:row>8</xdr:row>
      <xdr:rowOff>25198</xdr:rowOff>
    </xdr:from>
    <xdr:to>
      <xdr:col>43</xdr:col>
      <xdr:colOff>934505</xdr:colOff>
      <xdr:row>16</xdr:row>
      <xdr:rowOff>141111</xdr:rowOff>
    </xdr:to>
    <mc:AlternateContent xmlns:mc="http://schemas.openxmlformats.org/markup-compatibility/2006" xmlns:a14="http://schemas.microsoft.com/office/drawing/2010/main">
      <mc:Choice Requires="a14">
        <xdr:graphicFrame macro="">
          <xdr:nvGraphicFramePr>
            <xdr:cNvPr id="12" name="JENIS PENILAIAN">
              <a:extLst>
                <a:ext uri="{FF2B5EF4-FFF2-40B4-BE49-F238E27FC236}">
                  <a16:creationId xmlns:a16="http://schemas.microsoft.com/office/drawing/2014/main" id="{0F6E368C-CF6D-D8C6-E682-FE07BDB310EB}"/>
                </a:ext>
              </a:extLst>
            </xdr:cNvPr>
            <xdr:cNvGraphicFramePr/>
          </xdr:nvGraphicFramePr>
          <xdr:xfrm>
            <a:off x="0" y="0"/>
            <a:ext cx="0" cy="0"/>
          </xdr:xfrm>
          <a:graphic>
            <a:graphicData uri="http://schemas.microsoft.com/office/drawing/2010/slicer">
              <sle:slicer xmlns:sle="http://schemas.microsoft.com/office/drawing/2010/slicer" name="JENIS PENILAIAN"/>
            </a:graphicData>
          </a:graphic>
        </xdr:graphicFrame>
      </mc:Choice>
      <mc:Fallback xmlns="">
        <xdr:sp macro="" textlink="">
          <xdr:nvSpPr>
            <xdr:cNvPr id="0" name=""/>
            <xdr:cNvSpPr>
              <a:spLocks noTextEdit="1"/>
            </xdr:cNvSpPr>
          </xdr:nvSpPr>
          <xdr:spPr>
            <a:xfrm>
              <a:off x="34807070" y="1605642"/>
              <a:ext cx="1913213" cy="1696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3628</xdr:colOff>
      <xdr:row>0</xdr:row>
      <xdr:rowOff>0</xdr:rowOff>
    </xdr:from>
    <xdr:to>
      <xdr:col>43</xdr:col>
      <xdr:colOff>825044</xdr:colOff>
      <xdr:row>3</xdr:row>
      <xdr:rowOff>28222</xdr:rowOff>
    </xdr:to>
    <mc:AlternateContent xmlns:mc="http://schemas.openxmlformats.org/markup-compatibility/2006" xmlns:a14="http://schemas.microsoft.com/office/drawing/2010/main">
      <mc:Choice Requires="a14">
        <xdr:graphicFrame macro="">
          <xdr:nvGraphicFramePr>
            <xdr:cNvPr id="13" name="KELAS 13">
              <a:extLst>
                <a:ext uri="{FF2B5EF4-FFF2-40B4-BE49-F238E27FC236}">
                  <a16:creationId xmlns:a16="http://schemas.microsoft.com/office/drawing/2014/main" id="{90199849-89C7-3E5B-1AA5-9AB66EAE45D2}"/>
                </a:ext>
              </a:extLst>
            </xdr:cNvPr>
            <xdr:cNvGraphicFramePr/>
          </xdr:nvGraphicFramePr>
          <xdr:xfrm>
            <a:off x="0" y="0"/>
            <a:ext cx="0" cy="0"/>
          </xdr:xfrm>
          <a:graphic>
            <a:graphicData uri="http://schemas.microsoft.com/office/drawing/2010/slicer">
              <sle:slicer xmlns:sle="http://schemas.microsoft.com/office/drawing/2010/slicer" name="KELAS 13"/>
            </a:graphicData>
          </a:graphic>
        </xdr:graphicFrame>
      </mc:Choice>
      <mc:Fallback xmlns="">
        <xdr:sp macro="" textlink="">
          <xdr:nvSpPr>
            <xdr:cNvPr id="0" name=""/>
            <xdr:cNvSpPr>
              <a:spLocks noTextEdit="1"/>
            </xdr:cNvSpPr>
          </xdr:nvSpPr>
          <xdr:spPr>
            <a:xfrm>
              <a:off x="35545485" y="0"/>
              <a:ext cx="1828800" cy="1723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2419</xdr:colOff>
      <xdr:row>3</xdr:row>
      <xdr:rowOff>68943</xdr:rowOff>
    </xdr:from>
    <xdr:to>
      <xdr:col>44</xdr:col>
      <xdr:colOff>0</xdr:colOff>
      <xdr:row>7</xdr:row>
      <xdr:rowOff>183444</xdr:rowOff>
    </xdr:to>
    <mc:AlternateContent xmlns:mc="http://schemas.openxmlformats.org/markup-compatibility/2006" xmlns:a14="http://schemas.microsoft.com/office/drawing/2010/main">
      <mc:Choice Requires="a14">
        <xdr:graphicFrame macro="">
          <xdr:nvGraphicFramePr>
            <xdr:cNvPr id="19" name="Month 20">
              <a:extLst>
                <a:ext uri="{FF2B5EF4-FFF2-40B4-BE49-F238E27FC236}">
                  <a16:creationId xmlns:a16="http://schemas.microsoft.com/office/drawing/2014/main" id="{29DA097C-0FBE-778F-B97C-197D99709E6A}"/>
                </a:ext>
              </a:extLst>
            </xdr:cNvPr>
            <xdr:cNvGraphicFramePr/>
          </xdr:nvGraphicFramePr>
          <xdr:xfrm>
            <a:off x="0" y="0"/>
            <a:ext cx="0" cy="0"/>
          </xdr:xfrm>
          <a:graphic>
            <a:graphicData uri="http://schemas.microsoft.com/office/drawing/2010/slicer">
              <sle:slicer xmlns:sle="http://schemas.microsoft.com/office/drawing/2010/slicer" name="Month 20"/>
            </a:graphicData>
          </a:graphic>
        </xdr:graphicFrame>
      </mc:Choice>
      <mc:Fallback xmlns="">
        <xdr:sp macro="" textlink="">
          <xdr:nvSpPr>
            <xdr:cNvPr id="0" name=""/>
            <xdr:cNvSpPr>
              <a:spLocks noTextEdit="1"/>
            </xdr:cNvSpPr>
          </xdr:nvSpPr>
          <xdr:spPr>
            <a:xfrm>
              <a:off x="34828641" y="661610"/>
              <a:ext cx="1916692" cy="904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748602</xdr:colOff>
      <xdr:row>67</xdr:row>
      <xdr:rowOff>159100</xdr:rowOff>
    </xdr:from>
    <xdr:to>
      <xdr:col>32</xdr:col>
      <xdr:colOff>73690</xdr:colOff>
      <xdr:row>75</xdr:row>
      <xdr:rowOff>68386</xdr:rowOff>
    </xdr:to>
    <mc:AlternateContent xmlns:mc="http://schemas.openxmlformats.org/markup-compatibility/2006" xmlns:a14="http://schemas.microsoft.com/office/drawing/2010/main">
      <mc:Choice Requires="a14">
        <xdr:graphicFrame macro="">
          <xdr:nvGraphicFramePr>
            <xdr:cNvPr id="20" name="JENIS PENILAIAN 1">
              <a:extLst>
                <a:ext uri="{FF2B5EF4-FFF2-40B4-BE49-F238E27FC236}">
                  <a16:creationId xmlns:a16="http://schemas.microsoft.com/office/drawing/2014/main" id="{C4074CFC-2E44-1975-968E-43F3F518923F}"/>
                </a:ext>
              </a:extLst>
            </xdr:cNvPr>
            <xdr:cNvGraphicFramePr/>
          </xdr:nvGraphicFramePr>
          <xdr:xfrm>
            <a:off x="0" y="0"/>
            <a:ext cx="0" cy="0"/>
          </xdr:xfrm>
          <a:graphic>
            <a:graphicData uri="http://schemas.microsoft.com/office/drawing/2010/slicer">
              <sle:slicer xmlns:sle="http://schemas.microsoft.com/office/drawing/2010/slicer" name="JENIS PENILAIAN 1"/>
            </a:graphicData>
          </a:graphic>
        </xdr:graphicFrame>
      </mc:Choice>
      <mc:Fallback xmlns="">
        <xdr:sp macro="" textlink="">
          <xdr:nvSpPr>
            <xdr:cNvPr id="0" name=""/>
            <xdr:cNvSpPr>
              <a:spLocks noTextEdit="1"/>
            </xdr:cNvSpPr>
          </xdr:nvSpPr>
          <xdr:spPr>
            <a:xfrm>
              <a:off x="24920470" y="13249869"/>
              <a:ext cx="1962779" cy="1472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11288</xdr:colOff>
      <xdr:row>0</xdr:row>
      <xdr:rowOff>11288</xdr:rowOff>
    </xdr:from>
    <xdr:to>
      <xdr:col>44</xdr:col>
      <xdr:colOff>1840088</xdr:colOff>
      <xdr:row>14</xdr:row>
      <xdr:rowOff>14111</xdr:rowOff>
    </xdr:to>
    <mc:AlternateContent xmlns:mc="http://schemas.openxmlformats.org/markup-compatibility/2006" xmlns:a14="http://schemas.microsoft.com/office/drawing/2010/main">
      <mc:Choice Requires="a14">
        <xdr:graphicFrame macro="">
          <xdr:nvGraphicFramePr>
            <xdr:cNvPr id="18" name="Mapel TDU 10">
              <a:extLst>
                <a:ext uri="{FF2B5EF4-FFF2-40B4-BE49-F238E27FC236}">
                  <a16:creationId xmlns:a16="http://schemas.microsoft.com/office/drawing/2014/main" id="{32536475-104E-A4C7-FB67-3CF5E9F9736B}"/>
                </a:ext>
              </a:extLst>
            </xdr:cNvPr>
            <xdr:cNvGraphicFramePr/>
          </xdr:nvGraphicFramePr>
          <xdr:xfrm>
            <a:off x="0" y="0"/>
            <a:ext cx="0" cy="0"/>
          </xdr:xfrm>
          <a:graphic>
            <a:graphicData uri="http://schemas.microsoft.com/office/drawing/2010/slicer">
              <sle:slicer xmlns:sle="http://schemas.microsoft.com/office/drawing/2010/slicer" name="Mapel TDU 10"/>
            </a:graphicData>
          </a:graphic>
        </xdr:graphicFrame>
      </mc:Choice>
      <mc:Fallback xmlns="">
        <xdr:sp macro="" textlink="">
          <xdr:nvSpPr>
            <xdr:cNvPr id="0" name=""/>
            <xdr:cNvSpPr>
              <a:spLocks noTextEdit="1"/>
            </xdr:cNvSpPr>
          </xdr:nvSpPr>
          <xdr:spPr>
            <a:xfrm>
              <a:off x="36756621" y="11288"/>
              <a:ext cx="1828800" cy="2768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8</xdr:col>
      <xdr:colOff>168314</xdr:colOff>
      <xdr:row>0</xdr:row>
      <xdr:rowOff>0</xdr:rowOff>
    </xdr:from>
    <xdr:to>
      <xdr:col>19</xdr:col>
      <xdr:colOff>723900</xdr:colOff>
      <xdr:row>31</xdr:row>
      <xdr:rowOff>152400</xdr:rowOff>
    </xdr:to>
    <xdr:graphicFrame macro="">
      <xdr:nvGraphicFramePr>
        <xdr:cNvPr id="2" name="Chart 1">
          <a:extLst>
            <a:ext uri="{FF2B5EF4-FFF2-40B4-BE49-F238E27FC236}">
              <a16:creationId xmlns:a16="http://schemas.microsoft.com/office/drawing/2014/main" id="{64ACB6EE-2ABF-B236-85E6-3B018C95A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12700</xdr:colOff>
      <xdr:row>0</xdr:row>
      <xdr:rowOff>1</xdr:rowOff>
    </xdr:from>
    <xdr:to>
      <xdr:col>22</xdr:col>
      <xdr:colOff>190500</xdr:colOff>
      <xdr:row>3</xdr:row>
      <xdr:rowOff>91808</xdr:rowOff>
    </xdr:to>
    <mc:AlternateContent xmlns:mc="http://schemas.openxmlformats.org/markup-compatibility/2006" xmlns:a14="http://schemas.microsoft.com/office/drawing/2010/main">
      <mc:Choice Requires="a14">
        <xdr:graphicFrame macro="">
          <xdr:nvGraphicFramePr>
            <xdr:cNvPr id="3" name="KELAS 4">
              <a:extLst>
                <a:ext uri="{FF2B5EF4-FFF2-40B4-BE49-F238E27FC236}">
                  <a16:creationId xmlns:a16="http://schemas.microsoft.com/office/drawing/2014/main" id="{0131DA9F-047B-A99A-E2E4-BE8D429E033B}"/>
                </a:ext>
              </a:extLst>
            </xdr:cNvPr>
            <xdr:cNvGraphicFramePr/>
          </xdr:nvGraphicFramePr>
          <xdr:xfrm>
            <a:off x="0" y="0"/>
            <a:ext cx="0" cy="0"/>
          </xdr:xfrm>
          <a:graphic>
            <a:graphicData uri="http://schemas.microsoft.com/office/drawing/2010/slicer">
              <sle:slicer xmlns:sle="http://schemas.microsoft.com/office/drawing/2010/slicer" name="KELAS 4"/>
            </a:graphicData>
          </a:graphic>
        </xdr:graphicFrame>
      </mc:Choice>
      <mc:Fallback xmlns="">
        <xdr:sp macro="" textlink="">
          <xdr:nvSpPr>
            <xdr:cNvPr id="0" name=""/>
            <xdr:cNvSpPr>
              <a:spLocks noTextEdit="1"/>
            </xdr:cNvSpPr>
          </xdr:nvSpPr>
          <xdr:spPr>
            <a:xfrm>
              <a:off x="17462500" y="1"/>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12700</xdr:colOff>
      <xdr:row>3</xdr:row>
      <xdr:rowOff>160511</xdr:rowOff>
    </xdr:from>
    <xdr:to>
      <xdr:col>22</xdr:col>
      <xdr:colOff>190500</xdr:colOff>
      <xdr:row>8</xdr:row>
      <xdr:rowOff>122411</xdr:rowOff>
    </xdr:to>
    <mc:AlternateContent xmlns:mc="http://schemas.openxmlformats.org/markup-compatibility/2006" xmlns:a14="http://schemas.microsoft.com/office/drawing/2010/main">
      <mc:Choice Requires="a14">
        <xdr:graphicFrame macro="">
          <xdr:nvGraphicFramePr>
            <xdr:cNvPr id="4" name="Month 22">
              <a:extLst>
                <a:ext uri="{FF2B5EF4-FFF2-40B4-BE49-F238E27FC236}">
                  <a16:creationId xmlns:a16="http://schemas.microsoft.com/office/drawing/2014/main" id="{25760A2E-9CC5-B1DD-8A80-41C644AB4B33}"/>
                </a:ext>
              </a:extLst>
            </xdr:cNvPr>
            <xdr:cNvGraphicFramePr/>
          </xdr:nvGraphicFramePr>
          <xdr:xfrm>
            <a:off x="0" y="0"/>
            <a:ext cx="0" cy="0"/>
          </xdr:xfrm>
          <a:graphic>
            <a:graphicData uri="http://schemas.microsoft.com/office/drawing/2010/slicer">
              <sle:slicer xmlns:sle="http://schemas.microsoft.com/office/drawing/2010/slicer" name="Month 22"/>
            </a:graphicData>
          </a:graphic>
        </xdr:graphicFrame>
      </mc:Choice>
      <mc:Fallback xmlns="">
        <xdr:sp macro="" textlink="">
          <xdr:nvSpPr>
            <xdr:cNvPr id="0" name=""/>
            <xdr:cNvSpPr>
              <a:spLocks noTextEdit="1"/>
            </xdr:cNvSpPr>
          </xdr:nvSpPr>
          <xdr:spPr>
            <a:xfrm>
              <a:off x="17348965" y="711354"/>
              <a:ext cx="1922137" cy="879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15301</xdr:colOff>
      <xdr:row>9</xdr:row>
      <xdr:rowOff>14997</xdr:rowOff>
    </xdr:from>
    <xdr:to>
      <xdr:col>22</xdr:col>
      <xdr:colOff>193101</xdr:colOff>
      <xdr:row>19</xdr:row>
      <xdr:rowOff>40396</xdr:rowOff>
    </xdr:to>
    <mc:AlternateContent xmlns:mc="http://schemas.openxmlformats.org/markup-compatibility/2006" xmlns:a14="http://schemas.microsoft.com/office/drawing/2010/main">
      <mc:Choice Requires="a14">
        <xdr:graphicFrame macro="">
          <xdr:nvGraphicFramePr>
            <xdr:cNvPr id="5" name="IQ Status">
              <a:extLst>
                <a:ext uri="{FF2B5EF4-FFF2-40B4-BE49-F238E27FC236}">
                  <a16:creationId xmlns:a16="http://schemas.microsoft.com/office/drawing/2014/main" id="{7E409EF7-A970-D9EF-F46B-3C8CD75A2B12}"/>
                </a:ext>
              </a:extLst>
            </xdr:cNvPr>
            <xdr:cNvGraphicFramePr/>
          </xdr:nvGraphicFramePr>
          <xdr:xfrm>
            <a:off x="0" y="0"/>
            <a:ext cx="0" cy="0"/>
          </xdr:xfrm>
          <a:graphic>
            <a:graphicData uri="http://schemas.microsoft.com/office/drawing/2010/slicer">
              <sle:slicer xmlns:sle="http://schemas.microsoft.com/office/drawing/2010/slicer" name="IQ Status"/>
            </a:graphicData>
          </a:graphic>
        </xdr:graphicFrame>
      </mc:Choice>
      <mc:Fallback xmlns="">
        <xdr:sp macro="" textlink="">
          <xdr:nvSpPr>
            <xdr:cNvPr id="0" name=""/>
            <xdr:cNvSpPr>
              <a:spLocks noTextEdit="1"/>
            </xdr:cNvSpPr>
          </xdr:nvSpPr>
          <xdr:spPr>
            <a:xfrm>
              <a:off x="17351566" y="1667527"/>
              <a:ext cx="1922137" cy="1861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17137</xdr:colOff>
      <xdr:row>19</xdr:row>
      <xdr:rowOff>75894</xdr:rowOff>
    </xdr:from>
    <xdr:to>
      <xdr:col>22</xdr:col>
      <xdr:colOff>241606</xdr:colOff>
      <xdr:row>32</xdr:row>
      <xdr:rowOff>28263</xdr:rowOff>
    </xdr:to>
    <mc:AlternateContent xmlns:mc="http://schemas.openxmlformats.org/markup-compatibility/2006" xmlns:a14="http://schemas.microsoft.com/office/drawing/2010/main">
      <mc:Choice Requires="a14">
        <xdr:graphicFrame macro="">
          <xdr:nvGraphicFramePr>
            <xdr:cNvPr id="6" name="Mapel TDU 9">
              <a:extLst>
                <a:ext uri="{FF2B5EF4-FFF2-40B4-BE49-F238E27FC236}">
                  <a16:creationId xmlns:a16="http://schemas.microsoft.com/office/drawing/2014/main" id="{51C1DD58-CBE8-5415-A336-AA870B78B0EC}"/>
                </a:ext>
              </a:extLst>
            </xdr:cNvPr>
            <xdr:cNvGraphicFramePr/>
          </xdr:nvGraphicFramePr>
          <xdr:xfrm>
            <a:off x="0" y="0"/>
            <a:ext cx="0" cy="0"/>
          </xdr:xfrm>
          <a:graphic>
            <a:graphicData uri="http://schemas.microsoft.com/office/drawing/2010/slicer">
              <sle:slicer xmlns:sle="http://schemas.microsoft.com/office/drawing/2010/slicer" name="Mapel TDU 9"/>
            </a:graphicData>
          </a:graphic>
        </xdr:graphicFrame>
      </mc:Choice>
      <mc:Fallback xmlns="">
        <xdr:sp macro="" textlink="">
          <xdr:nvSpPr>
            <xdr:cNvPr id="0" name=""/>
            <xdr:cNvSpPr>
              <a:spLocks noTextEdit="1"/>
            </xdr:cNvSpPr>
          </xdr:nvSpPr>
          <xdr:spPr>
            <a:xfrm>
              <a:off x="17353402" y="3564569"/>
              <a:ext cx="1968806" cy="2339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79.582330324076" missingItemsLimit="0" createdVersion="8" refreshedVersion="8" minRefreshableVersion="3" recordCount="2521" xr:uid="{E8156D64-F23B-0146-8E52-690EEAE55A50}">
  <cacheSource type="worksheet">
    <worksheetSource name="pub_gid_0_single_true_output_csv"/>
  </cacheSource>
  <cacheFields count="37">
    <cacheField name="NO" numFmtId="0">
      <sharedItems containsString="0" containsBlank="1" containsNumber="1" containsInteger="1" minValue="1" maxValue="2520"/>
    </cacheField>
    <cacheField name="NIS" numFmtId="0">
      <sharedItems/>
    </cacheField>
    <cacheField name="KELAS" numFmtId="0">
      <sharedItems count="5">
        <s v="11A"/>
        <s v="#VALUE!"/>
        <s v="12A"/>
        <s v="#REF!"/>
        <s v="#N/A"/>
      </sharedItems>
    </cacheField>
    <cacheField name="NAMA" numFmtId="0">
      <sharedItems count="24">
        <s v="Yohanes Bagau "/>
        <s v="Roison Sondegau"/>
        <s v="Onance Mbaguau"/>
        <s v="Agustinus Tipagau"/>
        <s v="Apia Miagoni"/>
        <s v="Jupiten Bagau"/>
        <s v="Lince Tigi"/>
        <s v="Yoas Bagau"/>
        <s v="Etty Ebrata Holombau"/>
        <s v="Jonias Bagau"/>
        <s v="Lovin Miagoni"/>
        <s v="Wenes Tapani"/>
        <s v="#VALUE!"/>
        <s v="Roberto Richardo S Bokoryopces"/>
        <s v="Alfrida Kamo"/>
        <s v="Benyamin Wenda"/>
        <s v="Bida Ruth U. Magai"/>
        <s v="Oni Tipagau"/>
        <s v="Soni Tipagau"/>
        <s v="Judalia Wasti Miagoni"/>
        <s v="Opince Atika Bagau"/>
        <s v="Mariyon Bagau"/>
        <s v="#REF!"/>
        <s v=""/>
      </sharedItems>
    </cacheField>
    <cacheField name="ASAL KABUPATEN" numFmtId="0">
      <sharedItems/>
    </cacheField>
    <cacheField name="TANGGAL" numFmtId="14">
      <sharedItems containsNonDate="0" containsDate="1" containsString="0" containsBlank="1" minDate="2026-01-06T00:00:00" maxDate="2026-02-26T00:00:00"/>
    </cacheField>
    <cacheField name="Day" numFmtId="0">
      <sharedItems/>
    </cacheField>
    <cacheField name="Month" numFmtId="0">
      <sharedItems count="6">
        <s v="Jan"/>
        <s v="Feb"/>
        <s v=",,,,,,,,,,,,"/>
        <s v=",,,,,,,,,"/>
        <s v="#REF!"/>
        <s v=""/>
      </sharedItems>
    </cacheField>
    <cacheField name="Year" numFmtId="0">
      <sharedItems/>
    </cacheField>
    <cacheField name="KATEGORI PENILAIAN" numFmtId="0">
      <sharedItems count="9">
        <s v="Teori"/>
        <s v="Skill"/>
        <s v="Nalar"/>
        <s v="Karakter"/>
        <s v="Minat"/>
        <s v=",,,,,,,,,,,,"/>
        <s v=",,,,,,,,,"/>
        <s v="#REF!"/>
        <s v=""/>
      </sharedItems>
    </cacheField>
    <cacheField name="JENIS PENILAIAN" numFmtId="0">
      <sharedItems count="21">
        <s v="Kognitif Formatif"/>
        <s v="Evaluasi &amp; Kalibrasi"/>
        <s v="Kognitif Sumatif"/>
        <s v="Analisa"/>
        <s v="Mandiri"/>
        <s v="Fokus, aktif berpartisipasi dan bertanya atau menanggapi"/>
        <s v="Evaluasi"/>
        <s v="Konsep"/>
        <s v="Beriman, bertakwa kepada Tuhan YME dan berakhlak mulia"/>
        <s v="Discovery"/>
        <s v="||||||||||||"/>
        <s v="Praktik Formatif"/>
        <s v="Kreasi"/>
        <s v="Rekomendasi"/>
        <s v="Rencana Sukses"/>
        <s v="Bergotong royong"/>
        <s v="Praktik Sumatif"/>
        <s v="|||||||||"/>
        <s v="#REF!"/>
        <s v="Implementasi"/>
        <s v=""/>
      </sharedItems>
    </cacheField>
    <cacheField name="BENTUK PENILAIAN" numFmtId="0">
      <sharedItems count="24">
        <s v="Observ"/>
        <s v="Pemetaan Awal"/>
        <s v="Latihan"/>
        <s v="Mengerjakan setiap tugas dan kewajiban di sekolah"/>
        <s v="PR"/>
        <s v="Pantang menyerah dalam belajar dan mengerjakan tugas"/>
        <s v="Penugasan"/>
        <s v="Unjuk Kerja"/>
        <s v="Keinginan untuk memperkaya pengetahuan melalui literasi"/>
        <s v="Kuis"/>
        <s v="Mengambil keputusan yang baik dan bisa dipertanggungjawabkan"/>
        <s v="Projek"/>
        <s v="||||||||||||"/>
        <s v="Produk"/>
        <s v="Menaati peraturan dan tata tertib sekolah dan asrama"/>
        <s v="Mengelola dan mengekpresikan emosi secara positif"/>
        <s v="Menghormati dan berkomunikasi dengan baik/sopan kepada semua orang"/>
        <s v="SH"/>
        <s v="Menghargai perbedaan pendapat dan mau melaksanakan keputusan bersama"/>
        <s v="|||||||||"/>
        <s v="#REF!"/>
        <s v="Presentasi"/>
        <s v="Bekerja sama dengan semua warga komunitas SAI (tugas kelompok, piket, dll)"/>
        <s v=""/>
      </sharedItems>
    </cacheField>
    <cacheField name="TIPE PENILAIAN" numFmtId="0">
      <sharedItems/>
    </cacheField>
    <cacheField name="TEMA" numFmtId="0">
      <sharedItems/>
    </cacheField>
    <cacheField name="TOPIK" numFmtId="0">
      <sharedItems/>
    </cacheField>
    <cacheField name="PROYEK" numFmtId="0">
      <sharedItems count="2">
        <s v="Pengolahan Kopi atau Tepung"/>
        <s v=""/>
      </sharedItems>
    </cacheField>
    <cacheField name="SKILL" numFmtId="0">
      <sharedItems count="5">
        <s v="Product development"/>
        <s v="N"/>
        <s v="Inovasi market"/>
        <s v="#REF!"/>
        <s v=""/>
      </sharedItems>
    </cacheField>
    <cacheField name="SUB SKILL" numFmtId="0">
      <sharedItems count="8">
        <s v="Pengembangan produk inovasi"/>
        <s v="Produksi berkelanjutan"/>
        <s v="N"/>
        <s v="Marketing"/>
        <s v="BMC masuk real market"/>
        <s v="Produktivitas berbasis sustainablity"/>
        <s v="#REF!"/>
        <s v=""/>
      </sharedItems>
    </cacheField>
    <cacheField name="KODE MATERI" numFmtId="0">
      <sharedItems/>
    </cacheField>
    <cacheField name="NO TP" numFmtId="0">
      <sharedItems containsString="0" containsBlank="1" containsNumber="1" containsInteger="1" minValue="1" maxValue="7"/>
    </cacheField>
    <cacheField name="KETERANGAN TP" numFmtId="0">
      <sharedItems longText="1"/>
    </cacheField>
    <cacheField name="NO MATERI" numFmtId="0">
      <sharedItems/>
    </cacheField>
    <cacheField name="KETERANGAN MATERI" numFmtId="0">
      <sharedItems count="46">
        <s v="Gaya hidup saleh di tengah budaya hedonisme"/>
        <s v="Peran Kristen di media sosial"/>
        <s v="Dunia vs transformasi rohani"/>
        <s v="Isu lingkungan &amp; peran manusia"/>
        <s v="Mengkaji Tesis-argumen-simpulan dalam Teks"/>
        <s v="Menganalisis struktur dalam penulisan Teks"/>
        <s v="Menganalisis Data sebagai bukti dari berbagai sumber ilmiah"/>
        <s v="Exposition Text"/>
        <s v="#N/A"/>
        <s v="Nutrisi pada Makanan"/>
        <s v="Konversi Satuan"/>
        <s v="Gerak Lurus Beraturan"/>
        <s v="Sistem inventori dan analisis usaha"/>
        <s v="Stoikiometri"/>
        <s v="Teorema Pythagoras"/>
        <s v="Perbandingan trigonometri"/>
        <s v="Faktor pembentuk kelas sosial"/>
        <s v="Jenis kelas sosial"/>
        <s v="Dampak kelas sosial"/>
        <s v="Konsep kelas sosial dalam sejarah manusia"/>
        <s v="Bentuk dampak Lingkungan"/>
        <s v="Prilaku Sosial"/>
        <s v="Spesifikasi Produk"/>
        <s v="Pemetaan produk dan olahan"/>
        <s v="Aktivitas produksi"/>
        <s v="Market survey"/>
        <s v="Teks eksplanasi"/>
        <s v="Cerita Sejarah"/>
        <s v="Argumentative Text"/>
        <s v="Evolusi Kopi dan Singkong"/>
        <s v="Radiasi"/>
        <s v="Web Programming"/>
        <s v="Sifat Senyawa Turunan Hidrokarbon"/>
        <s v="integral sebagai keballikan dari derivatif"/>
        <s v="aplikasi integral"/>
        <s v="integral tentu"/>
        <s v="Konsep dasar dinamika sosial"/>
        <s v="Pengaruh Positif"/>
        <s v="Faktor Pendorong dan Penghambat Perubahan"/>
        <s v="Bentuk dan Dampak Perubahan"/>
        <s v="#REF!"/>
        <s v="Konsep Dinamika Sosial dalam Kajian Sejarah"/>
        <s v="Faktor Penyebab Dinamika Sosial dalam Sejarah"/>
        <s v="Dinamika Sosial pada Setiap Periode Sejarah"/>
        <s v="Marketing"/>
        <s v=""/>
      </sharedItems>
    </cacheField>
    <cacheField name="MATERI KELAS" numFmtId="0">
      <sharedItems/>
    </cacheField>
    <cacheField name="FASE" numFmtId="0">
      <sharedItems/>
    </cacheField>
    <cacheField name="KKM" numFmtId="0">
      <sharedItems containsString="0" containsBlank="1" containsNumber="1" containsInteger="1" minValue="65" maxValue="70"/>
    </cacheField>
    <cacheField name="NILAI" numFmtId="0">
      <sharedItems containsString="0" containsBlank="1" containsNumber="1" containsInteger="1" minValue="0" maxValue="100"/>
    </cacheField>
    <cacheField name="KETUNTASAN" numFmtId="0">
      <sharedItems/>
    </cacheField>
    <cacheField name="MAPEL" numFmtId="0">
      <sharedItems/>
    </cacheField>
    <cacheField name="NAMA GURU" numFmtId="0">
      <sharedItems count="10">
        <s v="Fenty Yunia Vianarika, S.Pd., Gr."/>
        <s v="Bonafasia Jaju, S. Pd., Gr."/>
        <s v="Eka Dewi Sriyani, S.Pd., M.Si., Gr."/>
        <s v="Rizal Fahmi, A.Md.Kom"/>
        <s v="Febriyani Sulistyaningsih, M.Pd., Gr."/>
        <s v="Gabriel Iwan Prasetyono, M.Si."/>
        <s v="Yanto Sutrisno Saragih, S.Pd., Gr."/>
        <s v="Ermelinda Janul, S. Pd., Gr."/>
        <s v="#REF!"/>
        <s v=""/>
      </sharedItems>
    </cacheField>
    <cacheField name="Mapel TDU" numFmtId="0">
      <sharedItems count="15">
        <s v=""/>
        <s v="A.Katolik"/>
        <s v="A.Kristen"/>
        <s v="B.Indo"/>
        <s v="B.Ing"/>
        <s v="Biologi"/>
        <s v="Fisika"/>
        <s v="TIK"/>
        <s v="Kimia"/>
        <s v="Math"/>
        <s v="Pancasila"/>
        <s v="Sejarah"/>
        <s v="PKWU"/>
        <s v="Kopi"/>
        <s v="Tepung"/>
      </sharedItems>
    </cacheField>
    <cacheField name="Nilai2" numFmtId="0">
      <sharedItems containsMixedTypes="1" containsNumber="1" containsInteger="1" minValue="5" maxValue="100"/>
    </cacheField>
    <cacheField name="Predikat" numFmtId="0">
      <sharedItems count="5">
        <s v=""/>
        <s v="Cukup"/>
        <s v="Baik"/>
        <s v="Kurang"/>
        <s v="Sangat baik"/>
      </sharedItems>
    </cacheField>
    <cacheField name="MatKls" numFmtId="0">
      <sharedItems containsMixedTypes="1" containsNumber="1" containsInteger="1" minValue="7" maxValue="12"/>
    </cacheField>
    <cacheField name="Predikat Krktr" numFmtId="0">
      <sharedItems count="6">
        <s v=""/>
        <s v="Cukup"/>
        <s v="Baik"/>
        <s v="Kurang"/>
        <s v="Sangat baik"/>
        <s v="Sangat kurang"/>
      </sharedItems>
    </cacheField>
    <cacheField name="Wk#" numFmtId="0">
      <sharedItems count="9">
        <s v=""/>
        <s v="Wk.3"/>
        <s v="Wk.4"/>
        <s v="Wk.5"/>
        <s v="Wk.6"/>
        <s v="Wk.7"/>
        <s v="Wk.8"/>
        <s v="Wk.2"/>
        <s v="Wk.9"/>
      </sharedItems>
    </cacheField>
    <cacheField name="IQ Status" numFmtId="0">
      <sharedItems count="8">
        <s v=""/>
        <s v="Extremely low"/>
        <s v="Average"/>
        <s v="Superior"/>
        <s v="High average"/>
        <s v="Low average"/>
        <e v="#N/A"/>
        <s v="Borderline"/>
      </sharedItems>
    </cacheField>
  </cacheFields>
  <extLst>
    <ext xmlns:x14="http://schemas.microsoft.com/office/spreadsheetml/2009/9/main" uri="{725AE2AE-9491-48be-B2B4-4EB974FC3084}">
      <x14:pivotCacheDefinition pivotCacheId="17722987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79.582488194443" missingItemsLimit="0" createdVersion="8" refreshedVersion="8" minRefreshableVersion="3" recordCount="336" xr:uid="{00000000-000A-0000-FFFF-FFFF02000000}">
  <cacheSource type="worksheet">
    <worksheetSource name="table4"/>
  </cacheSource>
  <cacheFields count="6">
    <cacheField name="KELAS" numFmtId="0">
      <sharedItems count="2">
        <s v="11A"/>
        <s v="12A"/>
      </sharedItems>
    </cacheField>
    <cacheField name="Mapel TDU" numFmtId="0">
      <sharedItems count="7">
        <s v="Skill"/>
        <s v="Teori"/>
        <s v="Nalar"/>
        <s v="Karakter"/>
        <s v="Minat"/>
        <s v="B.Indo"/>
        <s v="Math"/>
      </sharedItems>
    </cacheField>
    <cacheField name="Month" numFmtId="0">
      <sharedItems count="4">
        <s v="Jan"/>
        <s v="Feb"/>
        <s v=""/>
        <e v="#N/A"/>
      </sharedItems>
    </cacheField>
    <cacheField name="Wk#" numFmtId="0">
      <sharedItems count="24">
        <s v="Wk.2"/>
        <s v="Wk.3"/>
        <s v="Wk.4"/>
        <s v="Wk.5"/>
        <s v="Wk.6"/>
        <s v="Wk.7"/>
        <s v="Wk.8"/>
        <s v="Wk.9"/>
        <s v="Wk.10"/>
        <s v="Wk.11"/>
        <s v="Wk.12"/>
        <s v="Wk.13"/>
        <s v="Wk.14"/>
        <s v="Wk.15"/>
        <s v="Wk.16"/>
        <s v="Wk.17"/>
        <s v="Wk.18"/>
        <s v="Wk.19"/>
        <s v="Wk.20"/>
        <s v="Wk.21"/>
        <s v="Wk.22"/>
        <s v="Wk.23"/>
        <s v="Wk.24"/>
        <s v="Wk.25"/>
      </sharedItems>
    </cacheField>
    <cacheField name="Helper" numFmtId="0">
      <sharedItems/>
    </cacheField>
    <cacheField name="Nilai" numFmtId="41">
      <sharedItems containsMixedTypes="1" containsNumber="1" minValue="48.090909090909093" maxValue="90.333333333333329"/>
    </cacheField>
  </cacheFields>
  <extLst>
    <ext xmlns:x14="http://schemas.microsoft.com/office/spreadsheetml/2009/9/main" uri="{725AE2AE-9491-48be-B2B4-4EB974FC3084}">
      <x14:pivotCacheDefinition pivotCacheId="944363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1">
  <r>
    <n v="1"/>
    <s v="242510013"/>
    <x v="0"/>
    <x v="0"/>
    <s v="Intan Jaya"/>
    <d v="2026-01-14T00:00:00"/>
    <s v="14"/>
    <x v="0"/>
    <s v="26"/>
    <x v="0"/>
    <x v="0"/>
    <x v="0"/>
    <s v="Real"/>
    <s v="Entrepreneur"/>
    <s v="Product development"/>
    <x v="0"/>
    <x v="0"/>
    <x v="0"/>
    <s v="F11.01.01"/>
    <n v="1"/>
    <s v="Membentuk komunitas yang bertumbuh dalam pengenalan akan Firman Tuhan dan meyediakan ruang untuk saling membangun, berbagi serta mendalami Iman"/>
    <s v="01.01"/>
    <x v="0"/>
    <s v="K11"/>
    <s v="F"/>
    <n v="65"/>
    <n v="0"/>
    <s v="Tidak tuntas"/>
    <s v="Agama Katolik"/>
    <x v="0"/>
    <x v="0"/>
    <s v=""/>
    <x v="0"/>
    <s v=""/>
    <x v="0"/>
    <x v="0"/>
    <x v="0"/>
  </r>
  <r>
    <n v="2"/>
    <s v="242510013"/>
    <x v="0"/>
    <x v="0"/>
    <s v="Intan Jaya"/>
    <d v="2026-01-21T00:00:00"/>
    <s v="21"/>
    <x v="0"/>
    <s v="26"/>
    <x v="0"/>
    <x v="0"/>
    <x v="0"/>
    <s v="Real"/>
    <s v="Entrepreneur"/>
    <s v="Product development"/>
    <x v="0"/>
    <x v="0"/>
    <x v="0"/>
    <s v="F11.01.02"/>
    <n v="1"/>
    <s v="Membentuk komunitas yang bertumbuh dalam pengenalan akan Firman Tuhan dan meyediakan ruang untuk saling membangun, berbagi serta mendalami Iman"/>
    <s v="01.02"/>
    <x v="1"/>
    <s v="K11"/>
    <s v="F"/>
    <n v="65"/>
    <n v="0"/>
    <s v="Tidak tuntas"/>
    <s v="Agama Katolik"/>
    <x v="0"/>
    <x v="0"/>
    <s v=""/>
    <x v="0"/>
    <s v=""/>
    <x v="0"/>
    <x v="0"/>
    <x v="0"/>
  </r>
  <r>
    <n v="3"/>
    <s v="242510013"/>
    <x v="0"/>
    <x v="0"/>
    <s v="Intan Jaya"/>
    <d v="2026-01-28T00:00:00"/>
    <s v="28"/>
    <x v="0"/>
    <s v="26"/>
    <x v="1"/>
    <x v="1"/>
    <x v="0"/>
    <s v="Real"/>
    <s v="Entrepreneur"/>
    <s v="Product development"/>
    <x v="0"/>
    <x v="0"/>
    <x v="0"/>
    <s v="F11.01.03"/>
    <n v="1"/>
    <s v="Membentuk komunitas yang bertumbuh dalam pengenalan akan Firman Tuhan dan meyediakan ruang untuk saling membangun, berbagi serta mendalami Iman"/>
    <s v="01.03"/>
    <x v="2"/>
    <s v="K11"/>
    <s v="F"/>
    <n v="65"/>
    <n v="0"/>
    <s v="Tidak tuntas"/>
    <s v="Agama Katolik"/>
    <x v="0"/>
    <x v="0"/>
    <s v=""/>
    <x v="0"/>
    <s v=""/>
    <x v="0"/>
    <x v="0"/>
    <x v="0"/>
  </r>
  <r>
    <n v="4"/>
    <s v="242510013"/>
    <x v="0"/>
    <x v="0"/>
    <s v="Intan Jaya"/>
    <d v="2026-02-04T00:00:00"/>
    <s v="04"/>
    <x v="1"/>
    <s v="26"/>
    <x v="0"/>
    <x v="0"/>
    <x v="0"/>
    <s v="Real"/>
    <s v="Entrepreneur"/>
    <s v="Product development"/>
    <x v="0"/>
    <x v="0"/>
    <x v="0"/>
    <s v="F11.01.04"/>
    <n v="1"/>
    <s v="Membentuk komunitas yang bertumbuh dalam pengenalan akan Firman Tuhan dan meyediakan ruang untuk saling membangun, berbagi serta mendalami Iman"/>
    <s v="01.04"/>
    <x v="3"/>
    <s v="K11"/>
    <s v="F"/>
    <n v="65"/>
    <n v="0"/>
    <s v="Tidak tuntas"/>
    <s v="Agama Katolik"/>
    <x v="0"/>
    <x v="0"/>
    <s v=""/>
    <x v="0"/>
    <s v=""/>
    <x v="0"/>
    <x v="0"/>
    <x v="0"/>
  </r>
  <r>
    <n v="5"/>
    <s v="242510011"/>
    <x v="0"/>
    <x v="1"/>
    <s v="Intan Jaya"/>
    <d v="2026-01-14T00:00:00"/>
    <s v="14"/>
    <x v="0"/>
    <s v="26"/>
    <x v="0"/>
    <x v="0"/>
    <x v="0"/>
    <s v="Real"/>
    <s v="Entrepreneur"/>
    <s v="Product development"/>
    <x v="0"/>
    <x v="0"/>
    <x v="0"/>
    <s v="F11.01.01"/>
    <n v="1"/>
    <s v="Membentuk komunitas yang bertumbuh dalam pengenalan akan Firman Tuhan dan meyediakan ruang untuk saling membangun, berbagi serta mendalami Iman"/>
    <s v="01.01"/>
    <x v="0"/>
    <s v="K11"/>
    <s v="F"/>
    <n v="65"/>
    <n v="70"/>
    <s v="Tuntas"/>
    <s v="Agama Katolik"/>
    <x v="0"/>
    <x v="1"/>
    <n v="70"/>
    <x v="1"/>
    <n v="11"/>
    <x v="0"/>
    <x v="1"/>
    <x v="1"/>
  </r>
  <r>
    <n v="6"/>
    <s v="242510011"/>
    <x v="0"/>
    <x v="1"/>
    <s v="Intan Jaya"/>
    <d v="2026-01-21T00:00:00"/>
    <s v="21"/>
    <x v="0"/>
    <s v="26"/>
    <x v="0"/>
    <x v="0"/>
    <x v="0"/>
    <s v="Real"/>
    <s v="Entrepreneur"/>
    <s v="Product development"/>
    <x v="0"/>
    <x v="0"/>
    <x v="0"/>
    <s v="F11.01.02"/>
    <n v="1"/>
    <s v="Membentuk komunitas yang bertumbuh dalam pengenalan akan Firman Tuhan dan meyediakan ruang untuk saling membangun, berbagi serta mendalami Iman"/>
    <s v="01.02"/>
    <x v="1"/>
    <s v="K11"/>
    <s v="F"/>
    <n v="65"/>
    <n v="75"/>
    <s v="Tuntas"/>
    <s v="Agama Katolik"/>
    <x v="0"/>
    <x v="1"/>
    <n v="75"/>
    <x v="1"/>
    <n v="11"/>
    <x v="0"/>
    <x v="2"/>
    <x v="1"/>
  </r>
  <r>
    <n v="7"/>
    <s v="242510011"/>
    <x v="0"/>
    <x v="1"/>
    <s v="Intan Jaya"/>
    <d v="2026-01-28T00:00:00"/>
    <s v="28"/>
    <x v="0"/>
    <s v="26"/>
    <x v="1"/>
    <x v="1"/>
    <x v="0"/>
    <s v="Real"/>
    <s v="Entrepreneur"/>
    <s v="Product development"/>
    <x v="0"/>
    <x v="0"/>
    <x v="0"/>
    <s v="F11.01.03"/>
    <n v="1"/>
    <s v="Membentuk komunitas yang bertumbuh dalam pengenalan akan Firman Tuhan dan meyediakan ruang untuk saling membangun, berbagi serta mendalami Iman"/>
    <s v="01.03"/>
    <x v="2"/>
    <s v="K11"/>
    <s v="F"/>
    <n v="65"/>
    <n v="79"/>
    <s v="Tuntas"/>
    <s v="Agama Katolik"/>
    <x v="0"/>
    <x v="1"/>
    <n v="79"/>
    <x v="1"/>
    <n v="11"/>
    <x v="0"/>
    <x v="3"/>
    <x v="1"/>
  </r>
  <r>
    <n v="8"/>
    <s v="242510011"/>
    <x v="0"/>
    <x v="1"/>
    <s v="Intan Jaya"/>
    <d v="2026-02-04T00:00:00"/>
    <s v="04"/>
    <x v="1"/>
    <s v="26"/>
    <x v="0"/>
    <x v="0"/>
    <x v="0"/>
    <s v="Real"/>
    <s v="Entrepreneur"/>
    <s v="Product development"/>
    <x v="0"/>
    <x v="0"/>
    <x v="0"/>
    <s v="F11.01.04"/>
    <n v="1"/>
    <s v="Membentuk komunitas yang bertumbuh dalam pengenalan akan Firman Tuhan dan meyediakan ruang untuk saling membangun, berbagi serta mendalami Iman"/>
    <s v="01.04"/>
    <x v="3"/>
    <s v="K11"/>
    <s v="F"/>
    <n v="65"/>
    <n v="80"/>
    <s v="Tuntas"/>
    <s v="Agama Katolik"/>
    <x v="0"/>
    <x v="1"/>
    <n v="80"/>
    <x v="2"/>
    <n v="11"/>
    <x v="0"/>
    <x v="4"/>
    <x v="1"/>
  </r>
  <r>
    <n v="9"/>
    <s v="242510010"/>
    <x v="0"/>
    <x v="2"/>
    <s v="Intan Jaya"/>
    <d v="2026-01-14T00:00:00"/>
    <s v="14"/>
    <x v="0"/>
    <s v="26"/>
    <x v="0"/>
    <x v="0"/>
    <x v="0"/>
    <s v="Real"/>
    <s v="Entrepreneur"/>
    <s v="Product development"/>
    <x v="0"/>
    <x v="0"/>
    <x v="0"/>
    <s v="F11.01.01"/>
    <n v="1"/>
    <s v="Membentuk komunitas yang bertumbuh dalam pengenalan akan Firman Tuhan dan meyediakan ruang untuk saling membangun, berbagi serta mendalami Iman"/>
    <s v="01.01"/>
    <x v="0"/>
    <s v="K11"/>
    <s v="F"/>
    <n v="65"/>
    <n v="70"/>
    <s v="Tuntas"/>
    <s v="Agama Katolik"/>
    <x v="0"/>
    <x v="1"/>
    <n v="70"/>
    <x v="1"/>
    <n v="11"/>
    <x v="0"/>
    <x v="1"/>
    <x v="2"/>
  </r>
  <r>
    <n v="10"/>
    <s v="242510010"/>
    <x v="0"/>
    <x v="2"/>
    <s v="Intan Jaya"/>
    <d v="2026-01-21T00:00:00"/>
    <s v="21"/>
    <x v="0"/>
    <s v="26"/>
    <x v="0"/>
    <x v="0"/>
    <x v="0"/>
    <s v="Real"/>
    <s v="Entrepreneur"/>
    <s v="Product development"/>
    <x v="0"/>
    <x v="0"/>
    <x v="0"/>
    <s v="F11.01.02"/>
    <n v="1"/>
    <s v="Membentuk komunitas yang bertumbuh dalam pengenalan akan Firman Tuhan dan meyediakan ruang untuk saling membangun, berbagi serta mendalami Iman"/>
    <s v="01.02"/>
    <x v="1"/>
    <s v="K11"/>
    <s v="F"/>
    <n v="65"/>
    <n v="75"/>
    <s v="Tuntas"/>
    <s v="Agama Katolik"/>
    <x v="0"/>
    <x v="1"/>
    <n v="75"/>
    <x v="1"/>
    <n v="11"/>
    <x v="0"/>
    <x v="2"/>
    <x v="2"/>
  </r>
  <r>
    <n v="11"/>
    <s v="242510010"/>
    <x v="0"/>
    <x v="2"/>
    <s v="Intan Jaya"/>
    <d v="2026-01-28T00:00:00"/>
    <s v="28"/>
    <x v="0"/>
    <s v="26"/>
    <x v="1"/>
    <x v="1"/>
    <x v="0"/>
    <s v="Real"/>
    <s v="Entrepreneur"/>
    <s v="Product development"/>
    <x v="0"/>
    <x v="0"/>
    <x v="0"/>
    <s v="F11.01.03"/>
    <n v="1"/>
    <s v="Membentuk komunitas yang bertumbuh dalam pengenalan akan Firman Tuhan dan meyediakan ruang untuk saling membangun, berbagi serta mendalami Iman"/>
    <s v="01.03"/>
    <x v="2"/>
    <s v="K11"/>
    <s v="F"/>
    <n v="65"/>
    <n v="80"/>
    <s v="Tuntas"/>
    <s v="Agama Katolik"/>
    <x v="0"/>
    <x v="1"/>
    <n v="80"/>
    <x v="2"/>
    <n v="11"/>
    <x v="0"/>
    <x v="3"/>
    <x v="2"/>
  </r>
  <r>
    <n v="12"/>
    <s v="242510010"/>
    <x v="0"/>
    <x v="2"/>
    <s v="Intan Jaya"/>
    <d v="2026-02-04T00:00:00"/>
    <s v="04"/>
    <x v="1"/>
    <s v="26"/>
    <x v="0"/>
    <x v="0"/>
    <x v="0"/>
    <s v="Real"/>
    <s v="Entrepreneur"/>
    <s v="Product development"/>
    <x v="0"/>
    <x v="0"/>
    <x v="0"/>
    <s v="F11.01.04"/>
    <n v="1"/>
    <s v="Membentuk komunitas yang bertumbuh dalam pengenalan akan Firman Tuhan dan meyediakan ruang untuk saling membangun, berbagi serta mendalami Iman"/>
    <s v="01.04"/>
    <x v="3"/>
    <s v="K11"/>
    <s v="F"/>
    <n v="65"/>
    <n v="75"/>
    <s v="Tuntas"/>
    <s v="Agama Katolik"/>
    <x v="0"/>
    <x v="1"/>
    <n v="75"/>
    <x v="1"/>
    <n v="11"/>
    <x v="0"/>
    <x v="4"/>
    <x v="2"/>
  </r>
  <r>
    <n v="13"/>
    <s v="242510002"/>
    <x v="0"/>
    <x v="3"/>
    <s v="Intan Jaya"/>
    <d v="2026-01-14T00:00:00"/>
    <s v="14"/>
    <x v="0"/>
    <s v="26"/>
    <x v="0"/>
    <x v="0"/>
    <x v="0"/>
    <s v="Real"/>
    <s v="Entrepreneur"/>
    <s v="Product development"/>
    <x v="0"/>
    <x v="0"/>
    <x v="0"/>
    <s v="F11.01.01"/>
    <n v="1"/>
    <s v="Membentuk komunitas yang bertumbuh dalam pengenalan akan Firman Tuhan dan meyediakan ruang untuk saling membangun, berbagi serta mendalami Iman"/>
    <s v="01.01"/>
    <x v="0"/>
    <s v="K11"/>
    <s v="F"/>
    <n v="65"/>
    <n v="70"/>
    <s v="Tuntas"/>
    <s v="Agama Katolik"/>
    <x v="0"/>
    <x v="1"/>
    <n v="70"/>
    <x v="1"/>
    <n v="11"/>
    <x v="0"/>
    <x v="1"/>
    <x v="1"/>
  </r>
  <r>
    <n v="14"/>
    <s v="242510002"/>
    <x v="0"/>
    <x v="3"/>
    <s v="Intan Jaya"/>
    <d v="2026-01-21T00:00:00"/>
    <s v="21"/>
    <x v="0"/>
    <s v="26"/>
    <x v="0"/>
    <x v="0"/>
    <x v="0"/>
    <s v="Real"/>
    <s v="Entrepreneur"/>
    <s v="Product development"/>
    <x v="0"/>
    <x v="0"/>
    <x v="0"/>
    <s v="F11.01.02"/>
    <n v="1"/>
    <s v="Membentuk komunitas yang bertumbuh dalam pengenalan akan Firman Tuhan dan meyediakan ruang untuk saling membangun, berbagi serta mendalami Iman"/>
    <s v="01.02"/>
    <x v="1"/>
    <s v="K11"/>
    <s v="F"/>
    <n v="65"/>
    <n v="70"/>
    <s v="Tuntas"/>
    <s v="Agama Katolik"/>
    <x v="0"/>
    <x v="1"/>
    <n v="70"/>
    <x v="1"/>
    <n v="11"/>
    <x v="0"/>
    <x v="2"/>
    <x v="1"/>
  </r>
  <r>
    <n v="15"/>
    <s v="242510002"/>
    <x v="0"/>
    <x v="3"/>
    <s v="Intan Jaya"/>
    <d v="2026-01-28T00:00:00"/>
    <s v="28"/>
    <x v="0"/>
    <s v="26"/>
    <x v="1"/>
    <x v="1"/>
    <x v="0"/>
    <s v="Real"/>
    <s v="Entrepreneur"/>
    <s v="Product development"/>
    <x v="0"/>
    <x v="0"/>
    <x v="0"/>
    <s v="F11.01.03"/>
    <n v="1"/>
    <s v="Membentuk komunitas yang bertumbuh dalam pengenalan akan Firman Tuhan dan meyediakan ruang untuk saling membangun, berbagi serta mendalami Iman"/>
    <s v="01.03"/>
    <x v="2"/>
    <s v="K11"/>
    <s v="F"/>
    <n v="65"/>
    <n v="70"/>
    <s v="Tuntas"/>
    <s v="Agama Katolik"/>
    <x v="0"/>
    <x v="1"/>
    <n v="70"/>
    <x v="1"/>
    <n v="11"/>
    <x v="0"/>
    <x v="3"/>
    <x v="1"/>
  </r>
  <r>
    <n v="16"/>
    <s v="242510002"/>
    <x v="0"/>
    <x v="3"/>
    <s v="Intan Jaya"/>
    <d v="2026-02-04T00:00:00"/>
    <s v="04"/>
    <x v="1"/>
    <s v="26"/>
    <x v="0"/>
    <x v="0"/>
    <x v="0"/>
    <s v="Real"/>
    <s v="Entrepreneur"/>
    <s v="Product development"/>
    <x v="0"/>
    <x v="0"/>
    <x v="0"/>
    <s v="F11.01.04"/>
    <n v="1"/>
    <s v="Membentuk komunitas yang bertumbuh dalam pengenalan akan Firman Tuhan dan meyediakan ruang untuk saling membangun, berbagi serta mendalami Iman"/>
    <s v="01.04"/>
    <x v="3"/>
    <s v="K11"/>
    <s v="F"/>
    <n v="65"/>
    <n v="70"/>
    <s v="Tuntas"/>
    <s v="Agama Katolik"/>
    <x v="0"/>
    <x v="1"/>
    <n v="70"/>
    <x v="1"/>
    <n v="11"/>
    <x v="0"/>
    <x v="4"/>
    <x v="1"/>
  </r>
  <r>
    <n v="17"/>
    <s v="242510001"/>
    <x v="0"/>
    <x v="4"/>
    <s v="Intan Jaya"/>
    <d v="2026-01-14T00:00:00"/>
    <s v="14"/>
    <x v="0"/>
    <s v="26"/>
    <x v="0"/>
    <x v="0"/>
    <x v="0"/>
    <s v="Real"/>
    <s v="Entrepreneur"/>
    <s v="Product development"/>
    <x v="0"/>
    <x v="0"/>
    <x v="0"/>
    <s v="F11.01.01"/>
    <n v="1"/>
    <s v="Membentuk komunitas yang bertumbuh dalam pengenalan akan Firman Tuhan dan meyediakan ruang untuk saling membangun, berbagi serta mendalami Iman"/>
    <s v="01.01"/>
    <x v="0"/>
    <s v="K11"/>
    <s v="F"/>
    <n v="65"/>
    <n v="79"/>
    <s v="Tuntas"/>
    <s v="Agama Kristen"/>
    <x v="1"/>
    <x v="2"/>
    <n v="79"/>
    <x v="1"/>
    <n v="11"/>
    <x v="0"/>
    <x v="1"/>
    <x v="2"/>
  </r>
  <r>
    <n v="18"/>
    <s v="242510001"/>
    <x v="0"/>
    <x v="4"/>
    <s v="Intan Jaya"/>
    <d v="2026-01-21T00:00:00"/>
    <s v="21"/>
    <x v="0"/>
    <s v="26"/>
    <x v="0"/>
    <x v="0"/>
    <x v="0"/>
    <s v="Real"/>
    <s v="Entrepreneur"/>
    <s v="Product development"/>
    <x v="0"/>
    <x v="0"/>
    <x v="0"/>
    <s v="F11.01.02"/>
    <n v="1"/>
    <s v="Membentuk komunitas yang bertumbuh dalam pengenalan akan Firman Tuhan dan meyediakan ruang untuk saling membangun, berbagi serta mendalami Iman"/>
    <s v="01.02"/>
    <x v="1"/>
    <s v="K11"/>
    <s v="F"/>
    <n v="65"/>
    <n v="85"/>
    <s v="Tuntas"/>
    <s v="Agama Kristen"/>
    <x v="1"/>
    <x v="2"/>
    <n v="85"/>
    <x v="2"/>
    <n v="11"/>
    <x v="0"/>
    <x v="2"/>
    <x v="2"/>
  </r>
  <r>
    <n v="19"/>
    <s v="242510001"/>
    <x v="0"/>
    <x v="4"/>
    <s v="Intan Jaya"/>
    <d v="2026-01-28T00:00:00"/>
    <s v="28"/>
    <x v="0"/>
    <s v="26"/>
    <x v="1"/>
    <x v="1"/>
    <x v="0"/>
    <s v="Real"/>
    <s v="Entrepreneur"/>
    <s v="Product development"/>
    <x v="0"/>
    <x v="0"/>
    <x v="0"/>
    <s v="F11.01.03"/>
    <n v="1"/>
    <s v="Membentuk komunitas yang bertumbuh dalam pengenalan akan Firman Tuhan dan meyediakan ruang untuk saling membangun, berbagi serta mendalami Iman"/>
    <s v="01.03"/>
    <x v="2"/>
    <s v="K11"/>
    <s v="F"/>
    <n v="65"/>
    <n v="80"/>
    <s v="Tuntas"/>
    <s v="Agama Kristen"/>
    <x v="1"/>
    <x v="2"/>
    <n v="80"/>
    <x v="2"/>
    <n v="11"/>
    <x v="0"/>
    <x v="3"/>
    <x v="2"/>
  </r>
  <r>
    <n v="20"/>
    <s v="242510001"/>
    <x v="0"/>
    <x v="4"/>
    <s v="Intan Jaya"/>
    <d v="2026-02-04T00:00:00"/>
    <s v="04"/>
    <x v="1"/>
    <s v="26"/>
    <x v="0"/>
    <x v="0"/>
    <x v="0"/>
    <s v="Real"/>
    <s v="Entrepreneur"/>
    <s v="Product development"/>
    <x v="0"/>
    <x v="0"/>
    <x v="0"/>
    <s v="F11.01.04"/>
    <n v="1"/>
    <s v="Membentuk komunitas yang bertumbuh dalam pengenalan akan Firman Tuhan dan meyediakan ruang untuk saling membangun, berbagi serta mendalami Iman"/>
    <s v="01.04"/>
    <x v="3"/>
    <s v="K11"/>
    <s v="F"/>
    <n v="65"/>
    <n v="80"/>
    <s v="Tuntas"/>
    <s v="Agama Kristen"/>
    <x v="1"/>
    <x v="2"/>
    <n v="80"/>
    <x v="2"/>
    <n v="11"/>
    <x v="0"/>
    <x v="4"/>
    <x v="2"/>
  </r>
  <r>
    <n v="21"/>
    <s v="242510007"/>
    <x v="0"/>
    <x v="5"/>
    <s v="Intan Jaya"/>
    <d v="2026-01-14T00:00:00"/>
    <s v="14"/>
    <x v="0"/>
    <s v="26"/>
    <x v="0"/>
    <x v="0"/>
    <x v="0"/>
    <s v="Real"/>
    <s v="Entrepreneur"/>
    <s v="Product development"/>
    <x v="0"/>
    <x v="0"/>
    <x v="0"/>
    <s v="F11.01.01"/>
    <n v="1"/>
    <s v="Membentuk komunitas yang bertumbuh dalam pengenalan akan Firman Tuhan dan meyediakan ruang untuk saling membangun, berbagi serta mendalami Iman"/>
    <s v="01.01"/>
    <x v="0"/>
    <s v="K11"/>
    <s v="F"/>
    <n v="65"/>
    <n v="70"/>
    <s v="Tuntas"/>
    <s v="Agama Kristen"/>
    <x v="1"/>
    <x v="2"/>
    <n v="70"/>
    <x v="1"/>
    <n v="11"/>
    <x v="0"/>
    <x v="1"/>
    <x v="3"/>
  </r>
  <r>
    <n v="22"/>
    <s v="242510007"/>
    <x v="0"/>
    <x v="5"/>
    <s v="Intan Jaya"/>
    <d v="2026-01-21T00:00:00"/>
    <s v="21"/>
    <x v="0"/>
    <s v="26"/>
    <x v="0"/>
    <x v="0"/>
    <x v="0"/>
    <s v="Real"/>
    <s v="Entrepreneur"/>
    <s v="Product development"/>
    <x v="0"/>
    <x v="0"/>
    <x v="0"/>
    <s v="F11.01.02"/>
    <n v="1"/>
    <s v="Membentuk komunitas yang bertumbuh dalam pengenalan akan Firman Tuhan dan meyediakan ruang untuk saling membangun, berbagi serta mendalami Iman"/>
    <s v="01.02"/>
    <x v="1"/>
    <s v="K11"/>
    <s v="F"/>
    <n v="65"/>
    <n v="70"/>
    <s v="Tuntas"/>
    <s v="Agama Kristen"/>
    <x v="1"/>
    <x v="2"/>
    <n v="70"/>
    <x v="1"/>
    <n v="11"/>
    <x v="0"/>
    <x v="2"/>
    <x v="3"/>
  </r>
  <r>
    <n v="23"/>
    <s v="242510007"/>
    <x v="0"/>
    <x v="5"/>
    <s v="Intan Jaya"/>
    <d v="2026-01-28T00:00:00"/>
    <s v="28"/>
    <x v="0"/>
    <s v="26"/>
    <x v="1"/>
    <x v="1"/>
    <x v="0"/>
    <s v="Real"/>
    <s v="Entrepreneur"/>
    <s v="Product development"/>
    <x v="0"/>
    <x v="0"/>
    <x v="0"/>
    <s v="F11.01.03"/>
    <n v="1"/>
    <s v="Membentuk komunitas yang bertumbuh dalam pengenalan akan Firman Tuhan dan meyediakan ruang untuk saling membangun, berbagi serta mendalami Iman"/>
    <s v="01.03"/>
    <x v="2"/>
    <s v="K11"/>
    <s v="F"/>
    <n v="65"/>
    <n v="80"/>
    <s v="Tuntas"/>
    <s v="Agama Kristen"/>
    <x v="1"/>
    <x v="2"/>
    <n v="80"/>
    <x v="2"/>
    <n v="11"/>
    <x v="0"/>
    <x v="3"/>
    <x v="3"/>
  </r>
  <r>
    <n v="24"/>
    <s v="242510007"/>
    <x v="0"/>
    <x v="5"/>
    <s v="Intan Jaya"/>
    <d v="2026-02-04T00:00:00"/>
    <s v="04"/>
    <x v="1"/>
    <s v="26"/>
    <x v="0"/>
    <x v="0"/>
    <x v="0"/>
    <s v="Real"/>
    <s v="Entrepreneur"/>
    <s v="Product development"/>
    <x v="0"/>
    <x v="0"/>
    <x v="0"/>
    <s v="F11.01.04"/>
    <n v="1"/>
    <s v="Membentuk komunitas yang bertumbuh dalam pengenalan akan Firman Tuhan dan meyediakan ruang untuk saling membangun, berbagi serta mendalami Iman"/>
    <s v="01.04"/>
    <x v="3"/>
    <s v="K11"/>
    <s v="F"/>
    <n v="65"/>
    <n v="70"/>
    <s v="Tuntas"/>
    <s v="Agama Kristen"/>
    <x v="1"/>
    <x v="2"/>
    <n v="70"/>
    <x v="1"/>
    <n v="11"/>
    <x v="0"/>
    <x v="4"/>
    <x v="3"/>
  </r>
  <r>
    <n v="25"/>
    <s v="242510008"/>
    <x v="0"/>
    <x v="6"/>
    <s v="Dogiyai"/>
    <d v="2026-01-14T00:00:00"/>
    <s v="14"/>
    <x v="0"/>
    <s v="26"/>
    <x v="0"/>
    <x v="0"/>
    <x v="0"/>
    <s v="Real"/>
    <s v="Entrepreneur"/>
    <s v="Product development"/>
    <x v="0"/>
    <x v="0"/>
    <x v="0"/>
    <s v="F11.01.01"/>
    <n v="1"/>
    <s v="Membentuk komunitas yang bertumbuh dalam pengenalan akan Firman Tuhan dan meyediakan ruang untuk saling membangun, berbagi serta mendalami Iman"/>
    <s v="01.01"/>
    <x v="0"/>
    <s v="K11"/>
    <s v="F"/>
    <n v="65"/>
    <n v="80"/>
    <s v="Tuntas"/>
    <s v="Agama Kristen"/>
    <x v="1"/>
    <x v="2"/>
    <n v="80"/>
    <x v="2"/>
    <n v="11"/>
    <x v="0"/>
    <x v="1"/>
    <x v="4"/>
  </r>
  <r>
    <n v="26"/>
    <s v="242510008"/>
    <x v="0"/>
    <x v="6"/>
    <s v="Dogiyai"/>
    <d v="2026-01-21T00:00:00"/>
    <s v="21"/>
    <x v="0"/>
    <s v="26"/>
    <x v="0"/>
    <x v="0"/>
    <x v="0"/>
    <s v="Real"/>
    <s v="Entrepreneur"/>
    <s v="Product development"/>
    <x v="0"/>
    <x v="0"/>
    <x v="0"/>
    <s v="F11.01.02"/>
    <n v="1"/>
    <s v="Membentuk komunitas yang bertumbuh dalam pengenalan akan Firman Tuhan dan meyediakan ruang untuk saling membangun, berbagi serta mendalami Iman"/>
    <s v="01.02"/>
    <x v="1"/>
    <s v="K11"/>
    <s v="F"/>
    <n v="65"/>
    <n v="89"/>
    <s v="Tuntas"/>
    <s v="Agama Kristen"/>
    <x v="1"/>
    <x v="2"/>
    <n v="89"/>
    <x v="2"/>
    <n v="11"/>
    <x v="0"/>
    <x v="2"/>
    <x v="4"/>
  </r>
  <r>
    <n v="27"/>
    <s v="242510008"/>
    <x v="0"/>
    <x v="6"/>
    <s v="Dogiyai"/>
    <d v="2026-01-28T00:00:00"/>
    <s v="28"/>
    <x v="0"/>
    <s v="26"/>
    <x v="1"/>
    <x v="1"/>
    <x v="0"/>
    <s v="Real"/>
    <s v="Entrepreneur"/>
    <s v="Product development"/>
    <x v="0"/>
    <x v="0"/>
    <x v="0"/>
    <s v="F11.01.03"/>
    <n v="1"/>
    <s v="Membentuk komunitas yang bertumbuh dalam pengenalan akan Firman Tuhan dan meyediakan ruang untuk saling membangun, berbagi serta mendalami Iman"/>
    <s v="01.03"/>
    <x v="2"/>
    <s v="K11"/>
    <s v="F"/>
    <n v="65"/>
    <n v="80"/>
    <s v="Tuntas"/>
    <s v="Agama Kristen"/>
    <x v="1"/>
    <x v="2"/>
    <n v="80"/>
    <x v="2"/>
    <n v="11"/>
    <x v="0"/>
    <x v="3"/>
    <x v="4"/>
  </r>
  <r>
    <n v="28"/>
    <s v="242510008"/>
    <x v="0"/>
    <x v="6"/>
    <s v="Dogiyai"/>
    <d v="2026-02-04T00:00:00"/>
    <s v="04"/>
    <x v="1"/>
    <s v="26"/>
    <x v="0"/>
    <x v="0"/>
    <x v="0"/>
    <s v="Real"/>
    <s v="Entrepreneur"/>
    <s v="Product development"/>
    <x v="0"/>
    <x v="0"/>
    <x v="0"/>
    <s v="F11.01.04"/>
    <n v="1"/>
    <s v="Membentuk komunitas yang bertumbuh dalam pengenalan akan Firman Tuhan dan meyediakan ruang untuk saling membangun, berbagi serta mendalami Iman"/>
    <s v="01.04"/>
    <x v="3"/>
    <s v="K11"/>
    <s v="F"/>
    <n v="65"/>
    <n v="85"/>
    <s v="Tuntas"/>
    <s v="Agama Kristen"/>
    <x v="1"/>
    <x v="2"/>
    <n v="85"/>
    <x v="2"/>
    <n v="11"/>
    <x v="0"/>
    <x v="4"/>
    <x v="4"/>
  </r>
  <r>
    <n v="29"/>
    <s v="242510014"/>
    <x v="0"/>
    <x v="7"/>
    <s v="Inta jaya"/>
    <d v="2026-01-14T00:00:00"/>
    <s v="14"/>
    <x v="0"/>
    <s v="26"/>
    <x v="0"/>
    <x v="0"/>
    <x v="0"/>
    <s v="Real"/>
    <s v="Entrepreneur"/>
    <s v="Product development"/>
    <x v="0"/>
    <x v="0"/>
    <x v="0"/>
    <s v="F11.01.01"/>
    <n v="1"/>
    <s v="Membentuk komunitas yang bertumbuh dalam pengenalan akan Firman Tuhan dan meyediakan ruang untuk saling membangun, berbagi serta mendalami Iman"/>
    <s v="01.01"/>
    <x v="0"/>
    <s v="K11"/>
    <s v="F"/>
    <n v="65"/>
    <n v="70"/>
    <s v="Tuntas"/>
    <s v="Agama Kristen"/>
    <x v="1"/>
    <x v="2"/>
    <n v="70"/>
    <x v="1"/>
    <n v="11"/>
    <x v="0"/>
    <x v="1"/>
    <x v="2"/>
  </r>
  <r>
    <n v="30"/>
    <s v="242510014"/>
    <x v="0"/>
    <x v="7"/>
    <s v="Inta jaya"/>
    <d v="2026-01-21T00:00:00"/>
    <s v="21"/>
    <x v="0"/>
    <s v="26"/>
    <x v="0"/>
    <x v="0"/>
    <x v="0"/>
    <s v="Real"/>
    <s v="Entrepreneur"/>
    <s v="Product development"/>
    <x v="0"/>
    <x v="0"/>
    <x v="0"/>
    <s v="F11.01.02"/>
    <n v="1"/>
    <s v="Membentuk komunitas yang bertumbuh dalam pengenalan akan Firman Tuhan dan meyediakan ruang untuk saling membangun, berbagi serta mendalami Iman"/>
    <s v="01.02"/>
    <x v="1"/>
    <s v="K11"/>
    <s v="F"/>
    <n v="65"/>
    <n v="70"/>
    <s v="Tuntas"/>
    <s v="Agama Kristen"/>
    <x v="1"/>
    <x v="2"/>
    <n v="70"/>
    <x v="1"/>
    <n v="11"/>
    <x v="0"/>
    <x v="2"/>
    <x v="2"/>
  </r>
  <r>
    <n v="31"/>
    <s v="242510014"/>
    <x v="0"/>
    <x v="7"/>
    <s v="Inta jaya"/>
    <d v="2026-01-28T00:00:00"/>
    <s v="28"/>
    <x v="0"/>
    <s v="26"/>
    <x v="1"/>
    <x v="1"/>
    <x v="0"/>
    <s v="Real"/>
    <s v="Entrepreneur"/>
    <s v="Product development"/>
    <x v="0"/>
    <x v="0"/>
    <x v="0"/>
    <s v="F11.01.03"/>
    <n v="1"/>
    <s v="Membentuk komunitas yang bertumbuh dalam pengenalan akan Firman Tuhan dan meyediakan ruang untuk saling membangun, berbagi serta mendalami Iman"/>
    <s v="01.03"/>
    <x v="2"/>
    <s v="K11"/>
    <s v="F"/>
    <n v="65"/>
    <n v="80"/>
    <s v="Tuntas"/>
    <s v="Agama Kristen"/>
    <x v="1"/>
    <x v="2"/>
    <n v="80"/>
    <x v="2"/>
    <n v="11"/>
    <x v="0"/>
    <x v="3"/>
    <x v="2"/>
  </r>
  <r>
    <n v="32"/>
    <s v="242510014"/>
    <x v="0"/>
    <x v="7"/>
    <s v="Inta jaya"/>
    <d v="2026-02-04T00:00:00"/>
    <s v="04"/>
    <x v="1"/>
    <s v="26"/>
    <x v="0"/>
    <x v="0"/>
    <x v="0"/>
    <s v="Real"/>
    <s v="Entrepreneur"/>
    <s v="Product development"/>
    <x v="0"/>
    <x v="0"/>
    <x v="0"/>
    <s v="F11.01.04"/>
    <n v="1"/>
    <s v="Membentuk komunitas yang bertumbuh dalam pengenalan akan Firman Tuhan dan meyediakan ruang untuk saling membangun, berbagi serta mendalami Iman"/>
    <s v="01.04"/>
    <x v="3"/>
    <s v="K11"/>
    <s v="F"/>
    <n v="65"/>
    <n v="70"/>
    <s v="Tuntas"/>
    <s v="Agama Kristen"/>
    <x v="1"/>
    <x v="2"/>
    <n v="70"/>
    <x v="1"/>
    <n v="11"/>
    <x v="0"/>
    <x v="4"/>
    <x v="2"/>
  </r>
  <r>
    <n v="33"/>
    <s v="242510004"/>
    <x v="0"/>
    <x v="8"/>
    <s v="Inta jaya"/>
    <d v="2026-01-14T00:00:00"/>
    <s v="14"/>
    <x v="0"/>
    <s v="26"/>
    <x v="0"/>
    <x v="0"/>
    <x v="0"/>
    <s v="Real"/>
    <s v="Entrepreneur"/>
    <s v="Product development"/>
    <x v="0"/>
    <x v="0"/>
    <x v="0"/>
    <s v="F11.01.01"/>
    <n v="1"/>
    <s v="Membentuk komunitas yang bertumbuh dalam pengenalan akan Firman Tuhan dan meyediakan ruang untuk saling membangun, berbagi serta mendalami Iman"/>
    <s v="01.01"/>
    <x v="0"/>
    <s v="K11"/>
    <s v="F"/>
    <n v="65"/>
    <n v="80"/>
    <s v="Tuntas"/>
    <s v="Agama Kristen"/>
    <x v="1"/>
    <x v="2"/>
    <n v="80"/>
    <x v="2"/>
    <n v="11"/>
    <x v="0"/>
    <x v="1"/>
    <x v="4"/>
  </r>
  <r>
    <n v="34"/>
    <s v="242510004"/>
    <x v="0"/>
    <x v="8"/>
    <s v="Inta jaya"/>
    <d v="2026-01-21T00:00:00"/>
    <s v="21"/>
    <x v="0"/>
    <s v="26"/>
    <x v="0"/>
    <x v="0"/>
    <x v="0"/>
    <s v="Real"/>
    <s v="Entrepreneur"/>
    <s v="Product development"/>
    <x v="0"/>
    <x v="0"/>
    <x v="0"/>
    <s v="F11.01.02"/>
    <n v="1"/>
    <s v="Membentuk komunitas yang bertumbuh dalam pengenalan akan Firman Tuhan dan meyediakan ruang untuk saling membangun, berbagi serta mendalami Iman"/>
    <s v="01.02"/>
    <x v="1"/>
    <s v="K11"/>
    <s v="F"/>
    <n v="65"/>
    <n v="89"/>
    <s v="Tuntas"/>
    <s v="Agama Kristen"/>
    <x v="1"/>
    <x v="2"/>
    <n v="89"/>
    <x v="2"/>
    <n v="11"/>
    <x v="0"/>
    <x v="2"/>
    <x v="4"/>
  </r>
  <r>
    <n v="35"/>
    <s v="242510004"/>
    <x v="0"/>
    <x v="8"/>
    <s v="Inta jaya"/>
    <d v="2026-01-28T00:00:00"/>
    <s v="28"/>
    <x v="0"/>
    <s v="26"/>
    <x v="1"/>
    <x v="1"/>
    <x v="0"/>
    <s v="Real"/>
    <s v="Entrepreneur"/>
    <s v="Product development"/>
    <x v="0"/>
    <x v="0"/>
    <x v="0"/>
    <s v="F11.01.03"/>
    <n v="1"/>
    <s v="Membentuk komunitas yang bertumbuh dalam pengenalan akan Firman Tuhan dan meyediakan ruang untuk saling membangun, berbagi serta mendalami Iman"/>
    <s v="01.03"/>
    <x v="2"/>
    <s v="K11"/>
    <s v="F"/>
    <n v="65"/>
    <n v="80"/>
    <s v="Tuntas"/>
    <s v="Agama Kristen"/>
    <x v="1"/>
    <x v="2"/>
    <n v="80"/>
    <x v="2"/>
    <n v="11"/>
    <x v="0"/>
    <x v="3"/>
    <x v="4"/>
  </r>
  <r>
    <n v="36"/>
    <s v="242510004"/>
    <x v="0"/>
    <x v="8"/>
    <s v="Inta jaya"/>
    <d v="2026-02-04T00:00:00"/>
    <s v="04"/>
    <x v="1"/>
    <s v="26"/>
    <x v="0"/>
    <x v="0"/>
    <x v="0"/>
    <s v="Real"/>
    <s v="Entrepreneur"/>
    <s v="Product development"/>
    <x v="0"/>
    <x v="0"/>
    <x v="0"/>
    <s v="F11.01.04"/>
    <n v="1"/>
    <s v="Membentuk komunitas yang bertumbuh dalam pengenalan akan Firman Tuhan dan meyediakan ruang untuk saling membangun, berbagi serta mendalami Iman"/>
    <s v="01.04"/>
    <x v="3"/>
    <s v="K11"/>
    <s v="F"/>
    <n v="65"/>
    <n v="84"/>
    <s v="Tuntas"/>
    <s v="Agama Kristen"/>
    <x v="1"/>
    <x v="2"/>
    <n v="84"/>
    <x v="2"/>
    <n v="11"/>
    <x v="0"/>
    <x v="4"/>
    <x v="4"/>
  </r>
  <r>
    <n v="37"/>
    <s v="242510006"/>
    <x v="0"/>
    <x v="9"/>
    <s v="Nabire"/>
    <d v="2026-01-14T00:00:00"/>
    <s v="14"/>
    <x v="0"/>
    <s v="26"/>
    <x v="0"/>
    <x v="0"/>
    <x v="0"/>
    <s v="Real"/>
    <s v="Entrepreneur"/>
    <s v="Product development"/>
    <x v="0"/>
    <x v="0"/>
    <x v="0"/>
    <s v="F11.01.01"/>
    <n v="1"/>
    <s v="Membentuk komunitas yang bertumbuh dalam pengenalan akan Firman Tuhan dan meyediakan ruang untuk saling membangun, berbagi serta mendalami Iman"/>
    <s v="01.01"/>
    <x v="0"/>
    <s v="K11"/>
    <s v="F"/>
    <n v="65"/>
    <n v="70"/>
    <s v="Tuntas"/>
    <s v="Agama Kristen"/>
    <x v="1"/>
    <x v="2"/>
    <n v="70"/>
    <x v="1"/>
    <n v="11"/>
    <x v="0"/>
    <x v="1"/>
    <x v="2"/>
  </r>
  <r>
    <n v="38"/>
    <s v="242510006"/>
    <x v="0"/>
    <x v="9"/>
    <s v="Nabire"/>
    <d v="2026-01-21T00:00:00"/>
    <s v="21"/>
    <x v="0"/>
    <s v="26"/>
    <x v="0"/>
    <x v="0"/>
    <x v="0"/>
    <s v="Real"/>
    <s v="Entrepreneur"/>
    <s v="Product development"/>
    <x v="0"/>
    <x v="0"/>
    <x v="0"/>
    <s v="F11.01.02"/>
    <n v="1"/>
    <s v="Membentuk komunitas yang bertumbuh dalam pengenalan akan Firman Tuhan dan meyediakan ruang untuk saling membangun, berbagi serta mendalami Iman"/>
    <s v="01.02"/>
    <x v="1"/>
    <s v="K11"/>
    <s v="F"/>
    <n v="65"/>
    <n v="70"/>
    <s v="Tuntas"/>
    <s v="Agama Kristen"/>
    <x v="1"/>
    <x v="2"/>
    <n v="70"/>
    <x v="1"/>
    <n v="11"/>
    <x v="0"/>
    <x v="2"/>
    <x v="2"/>
  </r>
  <r>
    <n v="39"/>
    <s v="242510006"/>
    <x v="0"/>
    <x v="9"/>
    <s v="Nabire"/>
    <d v="2026-01-28T00:00:00"/>
    <s v="28"/>
    <x v="0"/>
    <s v="26"/>
    <x v="1"/>
    <x v="1"/>
    <x v="0"/>
    <s v="Real"/>
    <s v="Entrepreneur"/>
    <s v="Product development"/>
    <x v="0"/>
    <x v="0"/>
    <x v="0"/>
    <s v="F11.01.03"/>
    <n v="1"/>
    <s v="Membentuk komunitas yang bertumbuh dalam pengenalan akan Firman Tuhan dan meyediakan ruang untuk saling membangun, berbagi serta mendalami Iman"/>
    <s v="01.03"/>
    <x v="2"/>
    <s v="K11"/>
    <s v="F"/>
    <n v="65"/>
    <n v="80"/>
    <s v="Tuntas"/>
    <s v="Agama Kristen"/>
    <x v="1"/>
    <x v="2"/>
    <n v="80"/>
    <x v="2"/>
    <n v="11"/>
    <x v="0"/>
    <x v="3"/>
    <x v="2"/>
  </r>
  <r>
    <n v="40"/>
    <s v="242510006"/>
    <x v="0"/>
    <x v="9"/>
    <s v="Nabire"/>
    <d v="2026-02-04T00:00:00"/>
    <s v="04"/>
    <x v="1"/>
    <s v="26"/>
    <x v="0"/>
    <x v="0"/>
    <x v="0"/>
    <s v="Real"/>
    <s v="Entrepreneur"/>
    <s v="Product development"/>
    <x v="0"/>
    <x v="0"/>
    <x v="0"/>
    <s v="F11.01.04"/>
    <n v="1"/>
    <s v="Membentuk komunitas yang bertumbuh dalam pengenalan akan Firman Tuhan dan meyediakan ruang untuk saling membangun, berbagi serta mendalami Iman"/>
    <s v="01.04"/>
    <x v="3"/>
    <s v="K11"/>
    <s v="F"/>
    <n v="65"/>
    <n v="70"/>
    <s v="Tuntas"/>
    <s v="Agama Kristen"/>
    <x v="1"/>
    <x v="2"/>
    <n v="70"/>
    <x v="1"/>
    <n v="11"/>
    <x v="0"/>
    <x v="4"/>
    <x v="2"/>
  </r>
  <r>
    <n v="41"/>
    <s v="242510009"/>
    <x v="0"/>
    <x v="10"/>
    <s v="Nabire"/>
    <d v="2026-01-14T00:00:00"/>
    <s v="14"/>
    <x v="0"/>
    <s v="26"/>
    <x v="0"/>
    <x v="0"/>
    <x v="0"/>
    <s v="Real"/>
    <s v="Entrepreneur"/>
    <s v="Product development"/>
    <x v="0"/>
    <x v="0"/>
    <x v="0"/>
    <s v="F11.01.01"/>
    <n v="1"/>
    <s v="Membentuk komunitas yang bertumbuh dalam pengenalan akan Firman Tuhan dan meyediakan ruang untuk saling membangun, berbagi serta mendalami Iman"/>
    <s v="01.01"/>
    <x v="0"/>
    <s v="K11"/>
    <s v="F"/>
    <n v="65"/>
    <n v="70"/>
    <s v="Tuntas"/>
    <s v="Agama Kristen"/>
    <x v="1"/>
    <x v="2"/>
    <n v="70"/>
    <x v="1"/>
    <n v="11"/>
    <x v="0"/>
    <x v="1"/>
    <x v="5"/>
  </r>
  <r>
    <n v="42"/>
    <s v="242510009"/>
    <x v="0"/>
    <x v="10"/>
    <s v="Nabire"/>
    <d v="2026-01-21T00:00:00"/>
    <s v="21"/>
    <x v="0"/>
    <s v="26"/>
    <x v="0"/>
    <x v="0"/>
    <x v="0"/>
    <s v="Real"/>
    <s v="Entrepreneur"/>
    <s v="Product development"/>
    <x v="0"/>
    <x v="0"/>
    <x v="0"/>
    <s v="F11.01.02"/>
    <n v="1"/>
    <s v="Membentuk komunitas yang bertumbuh dalam pengenalan akan Firman Tuhan dan meyediakan ruang untuk saling membangun, berbagi serta mendalami Iman"/>
    <s v="01.02"/>
    <x v="1"/>
    <s v="K11"/>
    <s v="F"/>
    <n v="65"/>
    <n v="70"/>
    <s v="Tuntas"/>
    <s v="Agama Kristen"/>
    <x v="1"/>
    <x v="2"/>
    <n v="70"/>
    <x v="1"/>
    <n v="11"/>
    <x v="0"/>
    <x v="2"/>
    <x v="5"/>
  </r>
  <r>
    <n v="43"/>
    <s v="242510009"/>
    <x v="0"/>
    <x v="10"/>
    <s v="Nabire"/>
    <d v="2026-01-28T00:00:00"/>
    <s v="28"/>
    <x v="0"/>
    <s v="26"/>
    <x v="1"/>
    <x v="1"/>
    <x v="0"/>
    <s v="Real"/>
    <s v="Entrepreneur"/>
    <s v="Product development"/>
    <x v="0"/>
    <x v="0"/>
    <x v="0"/>
    <s v="F11.01.03"/>
    <n v="1"/>
    <s v="Membentuk komunitas yang bertumbuh dalam pengenalan akan Firman Tuhan dan meyediakan ruang untuk saling membangun, berbagi serta mendalami Iman"/>
    <s v="01.03"/>
    <x v="2"/>
    <s v="K11"/>
    <s v="F"/>
    <n v="65"/>
    <n v="80"/>
    <s v="Tuntas"/>
    <s v="Agama Kristen"/>
    <x v="1"/>
    <x v="2"/>
    <n v="80"/>
    <x v="2"/>
    <n v="11"/>
    <x v="0"/>
    <x v="3"/>
    <x v="5"/>
  </r>
  <r>
    <n v="44"/>
    <s v="242510009"/>
    <x v="0"/>
    <x v="10"/>
    <s v="Nabire"/>
    <d v="2026-02-04T00:00:00"/>
    <s v="04"/>
    <x v="1"/>
    <s v="26"/>
    <x v="0"/>
    <x v="0"/>
    <x v="0"/>
    <s v="Real"/>
    <s v="Entrepreneur"/>
    <s v="Product development"/>
    <x v="0"/>
    <x v="0"/>
    <x v="0"/>
    <s v="F11.01.04"/>
    <n v="1"/>
    <s v="Membentuk komunitas yang bertumbuh dalam pengenalan akan Firman Tuhan dan meyediakan ruang untuk saling membangun, berbagi serta mendalami Iman"/>
    <s v="01.04"/>
    <x v="3"/>
    <s v="K11"/>
    <s v="F"/>
    <n v="65"/>
    <n v="70"/>
    <s v="Tuntas"/>
    <s v="Agama Kristen"/>
    <x v="1"/>
    <x v="2"/>
    <n v="70"/>
    <x v="1"/>
    <n v="11"/>
    <x v="0"/>
    <x v="4"/>
    <x v="5"/>
  </r>
  <r>
    <n v="45"/>
    <s v="242510012"/>
    <x v="0"/>
    <x v="11"/>
    <s v="Intan Jaya"/>
    <d v="2026-01-14T00:00:00"/>
    <s v="14"/>
    <x v="0"/>
    <s v="26"/>
    <x v="0"/>
    <x v="0"/>
    <x v="0"/>
    <s v="Real"/>
    <s v="Entrepreneur"/>
    <s v="Product development"/>
    <x v="0"/>
    <x v="0"/>
    <x v="0"/>
    <s v="F11.01.01"/>
    <n v="1"/>
    <s v="Membentuk komunitas yang bertumbuh dalam pengenalan akan Firman Tuhan dan meyediakan ruang untuk saling membangun, berbagi serta mendalami Iman"/>
    <s v="01.01"/>
    <x v="0"/>
    <s v="K11"/>
    <s v="F"/>
    <n v="65"/>
    <n v="70"/>
    <s v="Tuntas"/>
    <s v="Agama Kristen"/>
    <x v="1"/>
    <x v="2"/>
    <n v="70"/>
    <x v="1"/>
    <n v="11"/>
    <x v="0"/>
    <x v="1"/>
    <x v="2"/>
  </r>
  <r>
    <n v="46"/>
    <s v="242510012"/>
    <x v="0"/>
    <x v="11"/>
    <s v="Intan Jaya"/>
    <d v="2026-01-21T00:00:00"/>
    <s v="21"/>
    <x v="0"/>
    <s v="26"/>
    <x v="0"/>
    <x v="0"/>
    <x v="0"/>
    <s v="Real"/>
    <s v="Entrepreneur"/>
    <s v="Product development"/>
    <x v="0"/>
    <x v="0"/>
    <x v="0"/>
    <s v="F11.01.02"/>
    <n v="1"/>
    <s v="Membentuk komunitas yang bertumbuh dalam pengenalan akan Firman Tuhan dan meyediakan ruang untuk saling membangun, berbagi serta mendalami Iman"/>
    <s v="01.02"/>
    <x v="1"/>
    <s v="K11"/>
    <s v="F"/>
    <n v="65"/>
    <n v="70"/>
    <s v="Tuntas"/>
    <s v="Agama Kristen"/>
    <x v="1"/>
    <x v="2"/>
    <n v="70"/>
    <x v="1"/>
    <n v="11"/>
    <x v="0"/>
    <x v="2"/>
    <x v="2"/>
  </r>
  <r>
    <n v="47"/>
    <s v="242510012"/>
    <x v="0"/>
    <x v="11"/>
    <s v="Intan Jaya"/>
    <d v="2026-01-28T00:00:00"/>
    <s v="28"/>
    <x v="0"/>
    <s v="26"/>
    <x v="1"/>
    <x v="1"/>
    <x v="0"/>
    <s v="Real"/>
    <s v="Entrepreneur"/>
    <s v="Product development"/>
    <x v="0"/>
    <x v="0"/>
    <x v="0"/>
    <s v="F11.01.03"/>
    <n v="1"/>
    <s v="Membentuk komunitas yang bertumbuh dalam pengenalan akan Firman Tuhan dan meyediakan ruang untuk saling membangun, berbagi serta mendalami Iman"/>
    <s v="01.03"/>
    <x v="2"/>
    <s v="K11"/>
    <s v="F"/>
    <n v="65"/>
    <n v="80"/>
    <s v="Tuntas"/>
    <s v="Agama Kristen"/>
    <x v="1"/>
    <x v="2"/>
    <n v="80"/>
    <x v="2"/>
    <n v="11"/>
    <x v="0"/>
    <x v="3"/>
    <x v="2"/>
  </r>
  <r>
    <n v="48"/>
    <s v="242510012"/>
    <x v="0"/>
    <x v="11"/>
    <s v="Intan Jaya"/>
    <d v="2026-02-04T00:00:00"/>
    <s v="04"/>
    <x v="1"/>
    <s v="26"/>
    <x v="0"/>
    <x v="0"/>
    <x v="0"/>
    <s v="Real"/>
    <s v="Entrepreneur"/>
    <s v="Product development"/>
    <x v="0"/>
    <x v="0"/>
    <x v="0"/>
    <s v="F11.01.04"/>
    <n v="1"/>
    <s v="Membentuk komunitas yang bertumbuh dalam pengenalan akan Firman Tuhan dan meyediakan ruang untuk saling membangun, berbagi serta mendalami Iman"/>
    <s v="01.04"/>
    <x v="3"/>
    <s v="K11"/>
    <s v="F"/>
    <n v="65"/>
    <n v="70"/>
    <s v="Tuntas"/>
    <s v="Agama Kristen"/>
    <x v="1"/>
    <x v="2"/>
    <n v="70"/>
    <x v="1"/>
    <n v="11"/>
    <x v="0"/>
    <x v="4"/>
    <x v="2"/>
  </r>
  <r>
    <n v="49"/>
    <s v="242510001"/>
    <x v="0"/>
    <x v="4"/>
    <s v="Intan Jaya"/>
    <d v="2026-01-12T00:00:00"/>
    <s v="12"/>
    <x v="0"/>
    <s v="26"/>
    <x v="0"/>
    <x v="2"/>
    <x v="1"/>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20"/>
    <s v="Tidak tuntas"/>
    <s v="Bahasa Indonesia"/>
    <x v="1"/>
    <x v="3"/>
    <n v="20"/>
    <x v="3"/>
    <n v="11"/>
    <x v="0"/>
    <x v="1"/>
    <x v="2"/>
  </r>
  <r>
    <n v="50"/>
    <s v="242510001"/>
    <x v="0"/>
    <x v="4"/>
    <s v="Intan Jaya"/>
    <d v="2026-01-13T00:00:00"/>
    <s v="13"/>
    <x v="0"/>
    <s v="26"/>
    <x v="0"/>
    <x v="0"/>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100"/>
    <s v="Tuntas"/>
    <s v="Bahasa Indonesia"/>
    <x v="1"/>
    <x v="3"/>
    <n v="100"/>
    <x v="4"/>
    <n v="11"/>
    <x v="0"/>
    <x v="1"/>
    <x v="2"/>
  </r>
  <r>
    <n v="51"/>
    <s v="242510001"/>
    <x v="0"/>
    <x v="4"/>
    <s v="Intan Jaya"/>
    <d v="2026-01-13T00:00:00"/>
    <s v="13"/>
    <x v="0"/>
    <s v="26"/>
    <x v="2"/>
    <x v="3"/>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1"/>
    <x v="2"/>
  </r>
  <r>
    <n v="52"/>
    <s v="242510001"/>
    <x v="0"/>
    <x v="4"/>
    <s v="Intan Jaya"/>
    <d v="2026-01-13T00:00:00"/>
    <s v="13"/>
    <x v="0"/>
    <s v="26"/>
    <x v="3"/>
    <x v="4"/>
    <x v="3"/>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1"/>
    <x v="2"/>
  </r>
  <r>
    <n v="53"/>
    <s v="242510001"/>
    <x v="0"/>
    <x v="4"/>
    <s v="Intan Jaya"/>
    <d v="2026-01-13T00:00:00"/>
    <s v="13"/>
    <x v="0"/>
    <s v="26"/>
    <x v="4"/>
    <x v="5"/>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1"/>
    <x v="2"/>
  </r>
  <r>
    <n v="54"/>
    <s v="242510001"/>
    <x v="0"/>
    <x v="4"/>
    <s v="Intan Jaya"/>
    <d v="2026-01-19T00:00:00"/>
    <s v="19"/>
    <x v="0"/>
    <s v="26"/>
    <x v="0"/>
    <x v="0"/>
    <x v="4"/>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100"/>
    <s v="Tuntas"/>
    <s v="Bahasa Indonesia"/>
    <x v="1"/>
    <x v="3"/>
    <n v="100"/>
    <x v="4"/>
    <n v="11"/>
    <x v="0"/>
    <x v="2"/>
    <x v="2"/>
  </r>
  <r>
    <n v="55"/>
    <s v="242510001"/>
    <x v="0"/>
    <x v="4"/>
    <s v="Intan Jaya"/>
    <d v="2026-01-19T00:00:00"/>
    <s v="19"/>
    <x v="0"/>
    <s v="26"/>
    <x v="2"/>
    <x v="6"/>
    <x v="4"/>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5"/>
    <s v="Tuntas"/>
    <s v="Bahasa Indonesia"/>
    <x v="1"/>
    <x v="3"/>
    <n v="75"/>
    <x v="1"/>
    <n v="11"/>
    <x v="0"/>
    <x v="2"/>
    <x v="2"/>
  </r>
  <r>
    <n v="56"/>
    <s v="242510001"/>
    <x v="0"/>
    <x v="4"/>
    <s v="Intan Jaya"/>
    <d v="2026-01-19T00:00:00"/>
    <s v="19"/>
    <x v="0"/>
    <s v="26"/>
    <x v="3"/>
    <x v="4"/>
    <x v="5"/>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2"/>
    <x v="2"/>
  </r>
  <r>
    <n v="57"/>
    <s v="242510001"/>
    <x v="0"/>
    <x v="4"/>
    <s v="Intan Jaya"/>
    <d v="2026-01-19T00:00:00"/>
    <s v="19"/>
    <x v="0"/>
    <s v="26"/>
    <x v="4"/>
    <x v="5"/>
    <x v="0"/>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2"/>
    <x v="2"/>
  </r>
  <r>
    <n v="58"/>
    <s v="242510001"/>
    <x v="0"/>
    <x v="4"/>
    <s v="Intan Jaya"/>
    <d v="2026-01-26T00:00:00"/>
    <s v="26"/>
    <x v="0"/>
    <s v="26"/>
    <x v="0"/>
    <x v="0"/>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80"/>
    <s v="Tuntas"/>
    <s v="Bahasa Indonesia"/>
    <x v="1"/>
    <x v="3"/>
    <n v="80"/>
    <x v="2"/>
    <n v="11"/>
    <x v="0"/>
    <x v="3"/>
    <x v="2"/>
  </r>
  <r>
    <n v="59"/>
    <s v="242510001"/>
    <x v="0"/>
    <x v="4"/>
    <s v="Intan Jaya"/>
    <d v="2026-01-26T00:00:00"/>
    <s v="26"/>
    <x v="0"/>
    <s v="26"/>
    <x v="2"/>
    <x v="6"/>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2"/>
  </r>
  <r>
    <n v="60"/>
    <s v="242510001"/>
    <x v="0"/>
    <x v="4"/>
    <s v="Intan Jaya"/>
    <d v="2026-01-26T00:00:00"/>
    <s v="26"/>
    <x v="0"/>
    <s v="26"/>
    <x v="3"/>
    <x v="4"/>
    <x v="5"/>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2"/>
  </r>
  <r>
    <n v="61"/>
    <s v="242510001"/>
    <x v="0"/>
    <x v="4"/>
    <s v="Intan Jaya"/>
    <d v="2026-01-26T00:00:00"/>
    <s v="26"/>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2"/>
  </r>
  <r>
    <n v="62"/>
    <s v="242510001"/>
    <x v="0"/>
    <x v="4"/>
    <s v="Intan Jaya"/>
    <d v="2026-01-27T00:00:00"/>
    <s v="27"/>
    <x v="0"/>
    <s v="26"/>
    <x v="0"/>
    <x v="0"/>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8"/>
    <s v="Tuntas"/>
    <s v="Bahasa Indonesia"/>
    <x v="1"/>
    <x v="3"/>
    <n v="68"/>
    <x v="1"/>
    <n v="11"/>
    <x v="0"/>
    <x v="3"/>
    <x v="2"/>
  </r>
  <r>
    <n v="63"/>
    <s v="242510001"/>
    <x v="0"/>
    <x v="4"/>
    <s v="Intan Jaya"/>
    <d v="2026-01-27T00:00:00"/>
    <s v="27"/>
    <x v="0"/>
    <s v="26"/>
    <x v="2"/>
    <x v="6"/>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2"/>
  </r>
  <r>
    <n v="64"/>
    <s v="242510001"/>
    <x v="0"/>
    <x v="4"/>
    <s v="Intan Jaya"/>
    <d v="2026-01-27T00:00:00"/>
    <s v="27"/>
    <x v="0"/>
    <s v="26"/>
    <x v="3"/>
    <x v="4"/>
    <x v="3"/>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2"/>
  </r>
  <r>
    <n v="65"/>
    <s v="242510001"/>
    <x v="0"/>
    <x v="4"/>
    <s v="Intan Jaya"/>
    <d v="2026-01-27T00:00:00"/>
    <s v="27"/>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0"/>
    <x v="3"/>
    <x v="2"/>
  </r>
  <r>
    <n v="66"/>
    <s v="242510001"/>
    <x v="0"/>
    <x v="4"/>
    <s v="Intan Jaya"/>
    <d v="2026-02-02T00:00:00"/>
    <s v="02"/>
    <x v="1"/>
    <s v="26"/>
    <x v="0"/>
    <x v="0"/>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4"/>
    <x v="2"/>
  </r>
  <r>
    <n v="67"/>
    <s v="242510001"/>
    <x v="0"/>
    <x v="4"/>
    <s v="Intan Jaya"/>
    <d v="2026-02-02T00:00:00"/>
    <s v="02"/>
    <x v="1"/>
    <s v="26"/>
    <x v="2"/>
    <x v="6"/>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80"/>
    <s v="Tuntas"/>
    <s v="Bahasa Indonesia"/>
    <x v="1"/>
    <x v="3"/>
    <n v="80"/>
    <x v="2"/>
    <n v="11"/>
    <x v="0"/>
    <x v="4"/>
    <x v="2"/>
  </r>
  <r>
    <n v="68"/>
    <s v="242510001"/>
    <x v="0"/>
    <x v="4"/>
    <s v="Intan Jaya"/>
    <d v="2026-02-02T00:00:00"/>
    <s v="02"/>
    <x v="1"/>
    <s v="26"/>
    <x v="3"/>
    <x v="4"/>
    <x v="5"/>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1"/>
    <x v="4"/>
    <x v="2"/>
  </r>
  <r>
    <n v="69"/>
    <s v="242510001"/>
    <x v="0"/>
    <x v="4"/>
    <s v="Intan Jaya"/>
    <d v="2026-02-02T00:00:00"/>
    <s v="02"/>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4"/>
    <x v="2"/>
  </r>
  <r>
    <n v="70"/>
    <s v="242510001"/>
    <x v="0"/>
    <x v="4"/>
    <s v="Intan Jaya"/>
    <d v="2026-02-09T00:00:00"/>
    <s v="09"/>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1"/>
    <s v="Tuntas"/>
    <s v="Bahasa Indonesia"/>
    <x v="1"/>
    <x v="3"/>
    <n v="71"/>
    <x v="1"/>
    <n v="11"/>
    <x v="0"/>
    <x v="5"/>
    <x v="2"/>
  </r>
  <r>
    <n v="71"/>
    <s v="242510001"/>
    <x v="0"/>
    <x v="4"/>
    <s v="Intan Jaya"/>
    <d v="2026-02-09T00:00:00"/>
    <s v="09"/>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5"/>
    <x v="2"/>
  </r>
  <r>
    <n v="72"/>
    <s v="242510001"/>
    <x v="0"/>
    <x v="4"/>
    <s v="Intan Jaya"/>
    <d v="2026-02-16T00:00:00"/>
    <s v="16"/>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9"/>
    <s v="Tuntas"/>
    <s v="Bahasa Indonesia"/>
    <x v="1"/>
    <x v="3"/>
    <n v="69"/>
    <x v="1"/>
    <n v="11"/>
    <x v="0"/>
    <x v="6"/>
    <x v="2"/>
  </r>
  <r>
    <n v="73"/>
    <s v="242510001"/>
    <x v="0"/>
    <x v="4"/>
    <s v="Intan Jaya"/>
    <d v="2026-02-16T00:00:00"/>
    <s v="16"/>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9"/>
    <s v="Tuntas"/>
    <s v="Bahasa Indonesia"/>
    <x v="1"/>
    <x v="3"/>
    <n v="69"/>
    <x v="1"/>
    <n v="11"/>
    <x v="0"/>
    <x v="6"/>
    <x v="2"/>
  </r>
  <r>
    <n v="74"/>
    <s v="242510001"/>
    <x v="0"/>
    <x v="4"/>
    <s v="Intan Jaya"/>
    <d v="2026-02-16T00:00:00"/>
    <s v="16"/>
    <x v="1"/>
    <s v="26"/>
    <x v="3"/>
    <x v="4"/>
    <x v="3"/>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80"/>
    <s v="Tuntas"/>
    <s v="Bahasa Indonesia"/>
    <x v="1"/>
    <x v="3"/>
    <n v="80"/>
    <x v="2"/>
    <n v="11"/>
    <x v="2"/>
    <x v="6"/>
    <x v="2"/>
  </r>
  <r>
    <n v="75"/>
    <s v="242510001"/>
    <x v="0"/>
    <x v="4"/>
    <s v="Intan Jaya"/>
    <d v="2026-02-16T00:00:00"/>
    <s v="16"/>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5"/>
    <s v="Tuntas"/>
    <s v="Bahasa Indonesia"/>
    <x v="1"/>
    <x v="3"/>
    <n v="75"/>
    <x v="1"/>
    <n v="11"/>
    <x v="0"/>
    <x v="6"/>
    <x v="2"/>
  </r>
  <r>
    <n v="76"/>
    <s v="242510007"/>
    <x v="0"/>
    <x v="5"/>
    <s v="Intan Jaya"/>
    <d v="2026-01-12T00:00:00"/>
    <s v="12"/>
    <x v="0"/>
    <s v="26"/>
    <x v="0"/>
    <x v="2"/>
    <x v="1"/>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18"/>
    <s v="Tidak tuntas"/>
    <s v="Bahasa Indonesia"/>
    <x v="1"/>
    <x v="3"/>
    <n v="18"/>
    <x v="3"/>
    <n v="11"/>
    <x v="0"/>
    <x v="1"/>
    <x v="3"/>
  </r>
  <r>
    <n v="77"/>
    <s v="242510007"/>
    <x v="0"/>
    <x v="5"/>
    <s v="Intan Jaya"/>
    <d v="2026-01-13T00:00:00"/>
    <s v="13"/>
    <x v="0"/>
    <s v="26"/>
    <x v="0"/>
    <x v="0"/>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50"/>
    <s v="Tidak tuntas"/>
    <s v="Bahasa Indonesia"/>
    <x v="1"/>
    <x v="3"/>
    <n v="50"/>
    <x v="3"/>
    <n v="11"/>
    <x v="0"/>
    <x v="1"/>
    <x v="3"/>
  </r>
  <r>
    <n v="78"/>
    <s v="242510007"/>
    <x v="0"/>
    <x v="5"/>
    <s v="Intan Jaya"/>
    <d v="2026-01-13T00:00:00"/>
    <s v="13"/>
    <x v="0"/>
    <s v="26"/>
    <x v="2"/>
    <x v="3"/>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0"/>
    <s v="Tidak tuntas"/>
    <s v="Bahasa Indonesia"/>
    <x v="1"/>
    <x v="3"/>
    <n v="60"/>
    <x v="3"/>
    <n v="11"/>
    <x v="0"/>
    <x v="1"/>
    <x v="3"/>
  </r>
  <r>
    <n v="79"/>
    <s v="242510007"/>
    <x v="0"/>
    <x v="5"/>
    <s v="Intan Jaya"/>
    <d v="2026-01-13T00:00:00"/>
    <s v="13"/>
    <x v="0"/>
    <s v="26"/>
    <x v="3"/>
    <x v="4"/>
    <x v="3"/>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1"/>
    <x v="3"/>
  </r>
  <r>
    <n v="80"/>
    <s v="242510007"/>
    <x v="0"/>
    <x v="5"/>
    <s v="Intan Jaya"/>
    <d v="2026-01-13T00:00:00"/>
    <s v="13"/>
    <x v="0"/>
    <s v="26"/>
    <x v="4"/>
    <x v="5"/>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1"/>
    <x v="3"/>
  </r>
  <r>
    <n v="81"/>
    <s v="242510007"/>
    <x v="0"/>
    <x v="5"/>
    <s v="Intan Jaya"/>
    <d v="2026-01-19T00:00:00"/>
    <s v="19"/>
    <x v="0"/>
    <s v="26"/>
    <x v="0"/>
    <x v="0"/>
    <x v="4"/>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5"/>
    <s v="Tuntas"/>
    <s v="Bahasa Indonesia"/>
    <x v="1"/>
    <x v="3"/>
    <n v="65"/>
    <x v="1"/>
    <n v="11"/>
    <x v="0"/>
    <x v="2"/>
    <x v="3"/>
  </r>
  <r>
    <n v="82"/>
    <s v="242510007"/>
    <x v="0"/>
    <x v="5"/>
    <s v="Intan Jaya"/>
    <d v="2026-01-19T00:00:00"/>
    <s v="19"/>
    <x v="0"/>
    <s v="26"/>
    <x v="2"/>
    <x v="6"/>
    <x v="4"/>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5"/>
    <s v="Tuntas"/>
    <s v="Bahasa Indonesia"/>
    <x v="1"/>
    <x v="3"/>
    <n v="65"/>
    <x v="1"/>
    <n v="11"/>
    <x v="0"/>
    <x v="2"/>
    <x v="3"/>
  </r>
  <r>
    <n v="83"/>
    <s v="242510007"/>
    <x v="0"/>
    <x v="5"/>
    <s v="Intan Jaya"/>
    <d v="2026-01-19T00:00:00"/>
    <s v="19"/>
    <x v="0"/>
    <s v="26"/>
    <x v="3"/>
    <x v="4"/>
    <x v="5"/>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2"/>
    <x v="3"/>
  </r>
  <r>
    <n v="84"/>
    <s v="242510007"/>
    <x v="0"/>
    <x v="5"/>
    <s v="Intan Jaya"/>
    <d v="2026-01-19T00:00:00"/>
    <s v="19"/>
    <x v="0"/>
    <s v="26"/>
    <x v="4"/>
    <x v="5"/>
    <x v="0"/>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2"/>
    <x v="3"/>
  </r>
  <r>
    <n v="85"/>
    <s v="242510007"/>
    <x v="0"/>
    <x v="5"/>
    <s v="Intan Jaya"/>
    <d v="2026-01-26T00:00:00"/>
    <s v="26"/>
    <x v="0"/>
    <s v="26"/>
    <x v="0"/>
    <x v="0"/>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80"/>
    <s v="Tuntas"/>
    <s v="Bahasa Indonesia"/>
    <x v="1"/>
    <x v="3"/>
    <n v="80"/>
    <x v="2"/>
    <n v="11"/>
    <x v="0"/>
    <x v="3"/>
    <x v="3"/>
  </r>
  <r>
    <n v="86"/>
    <s v="242510007"/>
    <x v="0"/>
    <x v="5"/>
    <s v="Intan Jaya"/>
    <d v="2026-01-26T00:00:00"/>
    <s v="26"/>
    <x v="0"/>
    <s v="26"/>
    <x v="2"/>
    <x v="6"/>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3"/>
  </r>
  <r>
    <n v="87"/>
    <s v="242510007"/>
    <x v="0"/>
    <x v="5"/>
    <s v="Intan Jaya"/>
    <d v="2026-01-26T00:00:00"/>
    <s v="26"/>
    <x v="0"/>
    <s v="26"/>
    <x v="3"/>
    <x v="4"/>
    <x v="5"/>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3"/>
  </r>
  <r>
    <n v="88"/>
    <s v="242510007"/>
    <x v="0"/>
    <x v="5"/>
    <s v="Intan Jaya"/>
    <d v="2026-01-26T00:00:00"/>
    <s v="26"/>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3"/>
  </r>
  <r>
    <n v="89"/>
    <s v="242510007"/>
    <x v="0"/>
    <x v="5"/>
    <s v="Intan Jaya"/>
    <d v="2026-01-27T00:00:00"/>
    <s v="27"/>
    <x v="0"/>
    <s v="26"/>
    <x v="0"/>
    <x v="0"/>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40"/>
    <s v="Tidak tuntas"/>
    <s v="Bahasa Indonesia"/>
    <x v="1"/>
    <x v="3"/>
    <n v="40"/>
    <x v="3"/>
    <n v="11"/>
    <x v="0"/>
    <x v="3"/>
    <x v="3"/>
  </r>
  <r>
    <n v="90"/>
    <s v="242510007"/>
    <x v="0"/>
    <x v="5"/>
    <s v="Intan Jaya"/>
    <d v="2026-01-27T00:00:00"/>
    <s v="27"/>
    <x v="0"/>
    <s v="26"/>
    <x v="2"/>
    <x v="6"/>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3"/>
  </r>
  <r>
    <n v="91"/>
    <s v="242510007"/>
    <x v="0"/>
    <x v="5"/>
    <s v="Intan Jaya"/>
    <d v="2026-01-27T00:00:00"/>
    <s v="27"/>
    <x v="0"/>
    <s v="26"/>
    <x v="3"/>
    <x v="4"/>
    <x v="3"/>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3"/>
  </r>
  <r>
    <n v="92"/>
    <s v="242510007"/>
    <x v="0"/>
    <x v="5"/>
    <s v="Intan Jaya"/>
    <d v="2026-01-27T00:00:00"/>
    <s v="27"/>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0"/>
    <x v="3"/>
    <x v="3"/>
  </r>
  <r>
    <n v="93"/>
    <s v="242510007"/>
    <x v="0"/>
    <x v="5"/>
    <s v="Intan Jaya"/>
    <d v="2026-02-02T00:00:00"/>
    <s v="02"/>
    <x v="1"/>
    <s v="26"/>
    <x v="0"/>
    <x v="0"/>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40"/>
    <s v="Tidak tuntas"/>
    <s v="Bahasa Indonesia"/>
    <x v="1"/>
    <x v="3"/>
    <n v="40"/>
    <x v="3"/>
    <n v="11"/>
    <x v="0"/>
    <x v="4"/>
    <x v="3"/>
  </r>
  <r>
    <n v="94"/>
    <s v="242510007"/>
    <x v="0"/>
    <x v="5"/>
    <s v="Intan Jaya"/>
    <d v="2026-02-02T00:00:00"/>
    <s v="02"/>
    <x v="1"/>
    <s v="26"/>
    <x v="2"/>
    <x v="6"/>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80"/>
    <s v="Tuntas"/>
    <s v="Bahasa Indonesia"/>
    <x v="1"/>
    <x v="3"/>
    <n v="80"/>
    <x v="2"/>
    <n v="11"/>
    <x v="0"/>
    <x v="4"/>
    <x v="3"/>
  </r>
  <r>
    <n v="95"/>
    <s v="242510007"/>
    <x v="0"/>
    <x v="5"/>
    <s v="Intan Jaya"/>
    <d v="2026-02-02T00:00:00"/>
    <s v="02"/>
    <x v="1"/>
    <s v="26"/>
    <x v="3"/>
    <x v="4"/>
    <x v="5"/>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1"/>
    <x v="4"/>
    <x v="3"/>
  </r>
  <r>
    <n v="96"/>
    <s v="242510007"/>
    <x v="0"/>
    <x v="5"/>
    <s v="Intan Jaya"/>
    <d v="2026-02-02T00:00:00"/>
    <s v="02"/>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4"/>
    <x v="3"/>
  </r>
  <r>
    <n v="97"/>
    <s v="242510007"/>
    <x v="0"/>
    <x v="5"/>
    <s v="Intan Jaya"/>
    <d v="2026-02-09T00:00:00"/>
    <s v="09"/>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5"/>
    <x v="3"/>
  </r>
  <r>
    <n v="98"/>
    <s v="242510007"/>
    <x v="0"/>
    <x v="5"/>
    <s v="Intan Jaya"/>
    <d v="2026-02-09T00:00:00"/>
    <s v="09"/>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9"/>
    <s v="Tuntas"/>
    <s v="Bahasa Indonesia"/>
    <x v="1"/>
    <x v="3"/>
    <n v="69"/>
    <x v="1"/>
    <n v="11"/>
    <x v="0"/>
    <x v="5"/>
    <x v="3"/>
  </r>
  <r>
    <n v="99"/>
    <s v="242510007"/>
    <x v="0"/>
    <x v="5"/>
    <s v="Intan Jaya"/>
    <d v="2026-02-16T00:00:00"/>
    <s v="16"/>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6"/>
    <x v="3"/>
  </r>
  <r>
    <n v="100"/>
    <s v="242510007"/>
    <x v="0"/>
    <x v="5"/>
    <s v="Intan Jaya"/>
    <d v="2026-02-16T00:00:00"/>
    <s v="16"/>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6"/>
    <x v="3"/>
  </r>
  <r>
    <n v="101"/>
    <s v="242510007"/>
    <x v="0"/>
    <x v="5"/>
    <s v="Intan Jaya"/>
    <d v="2026-02-16T00:00:00"/>
    <s v="16"/>
    <x v="1"/>
    <s v="26"/>
    <x v="3"/>
    <x v="4"/>
    <x v="3"/>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1"/>
    <x v="6"/>
    <x v="3"/>
  </r>
  <r>
    <n v="102"/>
    <s v="242510007"/>
    <x v="0"/>
    <x v="5"/>
    <s v="Intan Jaya"/>
    <d v="2026-02-16T00:00:00"/>
    <s v="16"/>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6"/>
    <x v="3"/>
  </r>
  <r>
    <n v="103"/>
    <s v="242510008"/>
    <x v="0"/>
    <x v="6"/>
    <s v="Dogiyai"/>
    <d v="2026-01-12T00:00:00"/>
    <s v="12"/>
    <x v="0"/>
    <s v="26"/>
    <x v="0"/>
    <x v="2"/>
    <x v="1"/>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23"/>
    <s v="Tidak tuntas"/>
    <s v="Bahasa Indonesia"/>
    <x v="1"/>
    <x v="3"/>
    <n v="23"/>
    <x v="3"/>
    <n v="11"/>
    <x v="0"/>
    <x v="1"/>
    <x v="4"/>
  </r>
  <r>
    <n v="104"/>
    <s v="242510008"/>
    <x v="0"/>
    <x v="6"/>
    <s v="Dogiyai"/>
    <d v="2026-01-13T00:00:00"/>
    <s v="13"/>
    <x v="0"/>
    <s v="26"/>
    <x v="0"/>
    <x v="0"/>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90"/>
    <s v="Tuntas"/>
    <s v="Bahasa Indonesia"/>
    <x v="1"/>
    <x v="3"/>
    <n v="90"/>
    <x v="2"/>
    <n v="11"/>
    <x v="0"/>
    <x v="1"/>
    <x v="4"/>
  </r>
  <r>
    <n v="105"/>
    <s v="242510008"/>
    <x v="0"/>
    <x v="6"/>
    <s v="Dogiyai"/>
    <d v="2026-01-13T00:00:00"/>
    <s v="13"/>
    <x v="0"/>
    <s v="26"/>
    <x v="2"/>
    <x v="3"/>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1"/>
    <x v="4"/>
  </r>
  <r>
    <n v="106"/>
    <s v="242510008"/>
    <x v="0"/>
    <x v="6"/>
    <s v="Dogiyai"/>
    <d v="2026-01-13T00:00:00"/>
    <s v="13"/>
    <x v="0"/>
    <s v="26"/>
    <x v="3"/>
    <x v="4"/>
    <x v="3"/>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1"/>
    <x v="4"/>
  </r>
  <r>
    <n v="107"/>
    <s v="242510008"/>
    <x v="0"/>
    <x v="6"/>
    <s v="Dogiyai"/>
    <d v="2026-01-13T00:00:00"/>
    <s v="13"/>
    <x v="0"/>
    <s v="26"/>
    <x v="4"/>
    <x v="5"/>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1"/>
    <x v="4"/>
  </r>
  <r>
    <n v="108"/>
    <s v="242510008"/>
    <x v="0"/>
    <x v="6"/>
    <s v="Dogiyai"/>
    <d v="2026-01-19T00:00:00"/>
    <s v="19"/>
    <x v="0"/>
    <s v="26"/>
    <x v="0"/>
    <x v="0"/>
    <x v="4"/>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100"/>
    <s v="Tuntas"/>
    <s v="Bahasa Indonesia"/>
    <x v="1"/>
    <x v="3"/>
    <n v="100"/>
    <x v="4"/>
    <n v="11"/>
    <x v="0"/>
    <x v="2"/>
    <x v="4"/>
  </r>
  <r>
    <n v="109"/>
    <s v="242510008"/>
    <x v="0"/>
    <x v="6"/>
    <s v="Dogiyai"/>
    <d v="2026-01-19T00:00:00"/>
    <s v="19"/>
    <x v="0"/>
    <s v="26"/>
    <x v="2"/>
    <x v="6"/>
    <x v="4"/>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5"/>
    <s v="Tuntas"/>
    <s v="Bahasa Indonesia"/>
    <x v="1"/>
    <x v="3"/>
    <n v="75"/>
    <x v="1"/>
    <n v="11"/>
    <x v="0"/>
    <x v="2"/>
    <x v="4"/>
  </r>
  <r>
    <n v="110"/>
    <s v="242510008"/>
    <x v="0"/>
    <x v="6"/>
    <s v="Dogiyai"/>
    <d v="2026-01-19T00:00:00"/>
    <s v="19"/>
    <x v="0"/>
    <s v="26"/>
    <x v="3"/>
    <x v="4"/>
    <x v="5"/>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2"/>
    <x v="4"/>
  </r>
  <r>
    <n v="111"/>
    <s v="242510008"/>
    <x v="0"/>
    <x v="6"/>
    <s v="Dogiyai"/>
    <d v="2026-01-19T00:00:00"/>
    <s v="19"/>
    <x v="0"/>
    <s v="26"/>
    <x v="4"/>
    <x v="5"/>
    <x v="0"/>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2"/>
    <x v="4"/>
  </r>
  <r>
    <n v="112"/>
    <s v="242510008"/>
    <x v="0"/>
    <x v="6"/>
    <s v="Dogiyai"/>
    <d v="2026-01-26T00:00:00"/>
    <s v="26"/>
    <x v="0"/>
    <s v="26"/>
    <x v="0"/>
    <x v="0"/>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90"/>
    <s v="Tuntas"/>
    <s v="Bahasa Indonesia"/>
    <x v="1"/>
    <x v="3"/>
    <n v="90"/>
    <x v="2"/>
    <n v="11"/>
    <x v="0"/>
    <x v="3"/>
    <x v="4"/>
  </r>
  <r>
    <n v="113"/>
    <s v="242510008"/>
    <x v="0"/>
    <x v="6"/>
    <s v="Dogiyai"/>
    <d v="2026-01-26T00:00:00"/>
    <s v="26"/>
    <x v="0"/>
    <s v="26"/>
    <x v="2"/>
    <x v="6"/>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4"/>
  </r>
  <r>
    <n v="114"/>
    <s v="242510008"/>
    <x v="0"/>
    <x v="6"/>
    <s v="Dogiyai"/>
    <d v="2026-01-26T00:00:00"/>
    <s v="26"/>
    <x v="0"/>
    <s v="26"/>
    <x v="3"/>
    <x v="4"/>
    <x v="5"/>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4"/>
  </r>
  <r>
    <n v="115"/>
    <s v="242510008"/>
    <x v="0"/>
    <x v="6"/>
    <s v="Dogiyai"/>
    <d v="2026-01-26T00:00:00"/>
    <s v="26"/>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0"/>
    <x v="3"/>
    <x v="4"/>
  </r>
  <r>
    <n v="116"/>
    <s v="242510008"/>
    <x v="0"/>
    <x v="6"/>
    <s v="Dogiyai"/>
    <d v="2026-01-27T00:00:00"/>
    <s v="27"/>
    <x v="0"/>
    <s v="26"/>
    <x v="0"/>
    <x v="0"/>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0"/>
    <x v="3"/>
    <x v="4"/>
  </r>
  <r>
    <n v="117"/>
    <s v="242510008"/>
    <x v="0"/>
    <x v="6"/>
    <s v="Dogiyai"/>
    <d v="2026-01-27T00:00:00"/>
    <s v="27"/>
    <x v="0"/>
    <s v="26"/>
    <x v="2"/>
    <x v="6"/>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8"/>
    <s v="Tuntas"/>
    <s v="Bahasa Indonesia"/>
    <x v="1"/>
    <x v="3"/>
    <n v="68"/>
    <x v="1"/>
    <n v="11"/>
    <x v="0"/>
    <x v="3"/>
    <x v="4"/>
  </r>
  <r>
    <n v="118"/>
    <s v="242510008"/>
    <x v="0"/>
    <x v="6"/>
    <s v="Dogiyai"/>
    <d v="2026-01-27T00:00:00"/>
    <s v="27"/>
    <x v="0"/>
    <s v="26"/>
    <x v="3"/>
    <x v="4"/>
    <x v="3"/>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4"/>
  </r>
  <r>
    <n v="119"/>
    <s v="242510008"/>
    <x v="0"/>
    <x v="6"/>
    <s v="Dogiyai"/>
    <d v="2026-01-27T00:00:00"/>
    <s v="27"/>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5"/>
    <s v="Tuntas"/>
    <s v="Bahasa Indonesia"/>
    <x v="1"/>
    <x v="3"/>
    <n v="75"/>
    <x v="1"/>
    <n v="11"/>
    <x v="0"/>
    <x v="3"/>
    <x v="4"/>
  </r>
  <r>
    <n v="120"/>
    <s v="242510008"/>
    <x v="0"/>
    <x v="6"/>
    <s v="Dogiyai"/>
    <d v="2026-02-02T00:00:00"/>
    <s v="02"/>
    <x v="1"/>
    <s v="26"/>
    <x v="0"/>
    <x v="0"/>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5"/>
    <s v="Tuntas"/>
    <s v="Bahasa Indonesia"/>
    <x v="1"/>
    <x v="3"/>
    <n v="75"/>
    <x v="1"/>
    <n v="11"/>
    <x v="0"/>
    <x v="4"/>
    <x v="4"/>
  </r>
  <r>
    <n v="121"/>
    <s v="242510008"/>
    <x v="0"/>
    <x v="6"/>
    <s v="Dogiyai"/>
    <d v="2026-02-02T00:00:00"/>
    <s v="02"/>
    <x v="1"/>
    <s v="26"/>
    <x v="2"/>
    <x v="6"/>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90"/>
    <s v="Tuntas"/>
    <s v="Bahasa Indonesia"/>
    <x v="1"/>
    <x v="3"/>
    <n v="90"/>
    <x v="2"/>
    <n v="11"/>
    <x v="0"/>
    <x v="4"/>
    <x v="4"/>
  </r>
  <r>
    <n v="122"/>
    <s v="242510008"/>
    <x v="0"/>
    <x v="6"/>
    <s v="Dogiyai"/>
    <d v="2026-02-02T00:00:00"/>
    <s v="02"/>
    <x v="1"/>
    <s v="26"/>
    <x v="3"/>
    <x v="4"/>
    <x v="5"/>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1"/>
    <x v="4"/>
    <x v="4"/>
  </r>
  <r>
    <n v="123"/>
    <s v="242510008"/>
    <x v="0"/>
    <x v="6"/>
    <s v="Dogiyai"/>
    <d v="2026-02-02T00:00:00"/>
    <s v="02"/>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4"/>
    <x v="4"/>
  </r>
  <r>
    <n v="124"/>
    <s v="242510008"/>
    <x v="0"/>
    <x v="6"/>
    <s v="Dogiyai"/>
    <d v="2026-02-09T00:00:00"/>
    <s v="09"/>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2"/>
    <s v="Tuntas"/>
    <s v="Bahasa Indonesia"/>
    <x v="1"/>
    <x v="3"/>
    <n v="72"/>
    <x v="1"/>
    <n v="11"/>
    <x v="0"/>
    <x v="5"/>
    <x v="4"/>
  </r>
  <r>
    <n v="125"/>
    <s v="242510008"/>
    <x v="0"/>
    <x v="6"/>
    <s v="Dogiyai"/>
    <d v="2026-02-09T00:00:00"/>
    <s v="09"/>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5"/>
    <x v="4"/>
  </r>
  <r>
    <n v="126"/>
    <s v="242510008"/>
    <x v="0"/>
    <x v="6"/>
    <s v="Dogiyai"/>
    <d v="2026-02-16T00:00:00"/>
    <s v="16"/>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6"/>
    <x v="4"/>
  </r>
  <r>
    <n v="127"/>
    <s v="242510008"/>
    <x v="0"/>
    <x v="6"/>
    <s v="Dogiyai"/>
    <d v="2026-02-16T00:00:00"/>
    <s v="16"/>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6"/>
    <x v="4"/>
  </r>
  <r>
    <n v="128"/>
    <s v="242510008"/>
    <x v="0"/>
    <x v="6"/>
    <s v="Dogiyai"/>
    <d v="2026-02-16T00:00:00"/>
    <s v="16"/>
    <x v="1"/>
    <s v="26"/>
    <x v="3"/>
    <x v="4"/>
    <x v="3"/>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80"/>
    <s v="Tuntas"/>
    <s v="Bahasa Indonesia"/>
    <x v="1"/>
    <x v="3"/>
    <n v="80"/>
    <x v="2"/>
    <n v="11"/>
    <x v="2"/>
    <x v="6"/>
    <x v="4"/>
  </r>
  <r>
    <n v="129"/>
    <s v="242510008"/>
    <x v="0"/>
    <x v="6"/>
    <s v="Dogiyai"/>
    <d v="2026-02-16T00:00:00"/>
    <s v="16"/>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5"/>
    <s v="Tuntas"/>
    <s v="Bahasa Indonesia"/>
    <x v="1"/>
    <x v="3"/>
    <n v="75"/>
    <x v="1"/>
    <n v="11"/>
    <x v="0"/>
    <x v="6"/>
    <x v="4"/>
  </r>
  <r>
    <n v="130"/>
    <s v="242510013"/>
    <x v="0"/>
    <x v="0"/>
    <s v="Intan Jaya"/>
    <d v="2026-01-12T00:00:00"/>
    <s v="12"/>
    <x v="0"/>
    <s v="26"/>
    <x v="0"/>
    <x v="2"/>
    <x v="1"/>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0"/>
    <s v="Tidak tuntas"/>
    <s v="Bahasa Indonesia"/>
    <x v="1"/>
    <x v="0"/>
    <s v=""/>
    <x v="0"/>
    <s v=""/>
    <x v="0"/>
    <x v="0"/>
    <x v="0"/>
  </r>
  <r>
    <n v="131"/>
    <s v="242510013"/>
    <x v="0"/>
    <x v="0"/>
    <s v="Intan Jaya"/>
    <d v="2026-01-13T00:00:00"/>
    <s v="13"/>
    <x v="0"/>
    <s v="26"/>
    <x v="0"/>
    <x v="0"/>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0"/>
    <s v="Tidak tuntas"/>
    <s v="Bahasa Indonesia"/>
    <x v="1"/>
    <x v="0"/>
    <s v=""/>
    <x v="0"/>
    <s v=""/>
    <x v="0"/>
    <x v="0"/>
    <x v="0"/>
  </r>
  <r>
    <n v="132"/>
    <s v="242510013"/>
    <x v="0"/>
    <x v="0"/>
    <s v="Intan Jaya"/>
    <d v="2026-01-13T00:00:00"/>
    <s v="13"/>
    <x v="0"/>
    <s v="26"/>
    <x v="2"/>
    <x v="3"/>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0"/>
    <s v="Tidak tuntas"/>
    <s v="Bahasa Indonesia"/>
    <x v="1"/>
    <x v="0"/>
    <s v=""/>
    <x v="0"/>
    <s v=""/>
    <x v="0"/>
    <x v="0"/>
    <x v="0"/>
  </r>
  <r>
    <n v="133"/>
    <s v="242510013"/>
    <x v="0"/>
    <x v="0"/>
    <s v="Intan Jaya"/>
    <d v="2026-01-13T00:00:00"/>
    <s v="13"/>
    <x v="0"/>
    <s v="26"/>
    <x v="3"/>
    <x v="4"/>
    <x v="3"/>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0"/>
    <s v="Tidak tuntas"/>
    <s v="Bahasa Indonesia"/>
    <x v="1"/>
    <x v="0"/>
    <s v=""/>
    <x v="0"/>
    <s v=""/>
    <x v="0"/>
    <x v="0"/>
    <x v="0"/>
  </r>
  <r>
    <n v="134"/>
    <s v="242510013"/>
    <x v="0"/>
    <x v="0"/>
    <s v="Intan Jaya"/>
    <d v="2026-01-13T00:00:00"/>
    <s v="13"/>
    <x v="0"/>
    <s v="26"/>
    <x v="4"/>
    <x v="5"/>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0"/>
    <s v="Tidak tuntas"/>
    <s v="Bahasa Indonesia"/>
    <x v="1"/>
    <x v="0"/>
    <s v=""/>
    <x v="0"/>
    <s v=""/>
    <x v="0"/>
    <x v="0"/>
    <x v="0"/>
  </r>
  <r>
    <n v="135"/>
    <s v="242510013"/>
    <x v="0"/>
    <x v="0"/>
    <s v="Intan Jaya"/>
    <d v="2026-01-19T00:00:00"/>
    <s v="19"/>
    <x v="0"/>
    <s v="26"/>
    <x v="0"/>
    <x v="0"/>
    <x v="4"/>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0"/>
    <s v="Tidak tuntas"/>
    <s v="Bahasa Indonesia"/>
    <x v="1"/>
    <x v="0"/>
    <s v=""/>
    <x v="0"/>
    <s v=""/>
    <x v="0"/>
    <x v="0"/>
    <x v="0"/>
  </r>
  <r>
    <n v="136"/>
    <s v="242510013"/>
    <x v="0"/>
    <x v="0"/>
    <s v="Intan Jaya"/>
    <d v="2026-01-19T00:00:00"/>
    <s v="19"/>
    <x v="0"/>
    <s v="26"/>
    <x v="2"/>
    <x v="6"/>
    <x v="4"/>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0"/>
    <s v="Tidak tuntas"/>
    <s v="Bahasa Indonesia"/>
    <x v="1"/>
    <x v="0"/>
    <s v=""/>
    <x v="0"/>
    <s v=""/>
    <x v="0"/>
    <x v="0"/>
    <x v="0"/>
  </r>
  <r>
    <n v="137"/>
    <s v="242510013"/>
    <x v="0"/>
    <x v="0"/>
    <s v="Intan Jaya"/>
    <d v="2026-01-19T00:00:00"/>
    <s v="19"/>
    <x v="0"/>
    <s v="26"/>
    <x v="3"/>
    <x v="4"/>
    <x v="5"/>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0"/>
    <s v="Tidak tuntas"/>
    <s v="Bahasa Indonesia"/>
    <x v="1"/>
    <x v="0"/>
    <s v=""/>
    <x v="0"/>
    <s v=""/>
    <x v="0"/>
    <x v="0"/>
    <x v="0"/>
  </r>
  <r>
    <n v="138"/>
    <s v="242510013"/>
    <x v="0"/>
    <x v="0"/>
    <s v="Intan Jaya"/>
    <d v="2026-01-19T00:00:00"/>
    <s v="19"/>
    <x v="0"/>
    <s v="26"/>
    <x v="4"/>
    <x v="5"/>
    <x v="0"/>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0"/>
    <s v="Tidak tuntas"/>
    <s v="Bahasa Indonesia"/>
    <x v="1"/>
    <x v="0"/>
    <s v=""/>
    <x v="0"/>
    <s v=""/>
    <x v="0"/>
    <x v="0"/>
    <x v="0"/>
  </r>
  <r>
    <n v="139"/>
    <s v="242510013"/>
    <x v="0"/>
    <x v="0"/>
    <s v="Intan Jaya"/>
    <d v="2026-01-26T00:00:00"/>
    <s v="26"/>
    <x v="0"/>
    <s v="26"/>
    <x v="0"/>
    <x v="0"/>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0"/>
    <s v="Tidak tuntas"/>
    <s v="Bahasa Indonesia"/>
    <x v="1"/>
    <x v="0"/>
    <s v=""/>
    <x v="0"/>
    <s v=""/>
    <x v="0"/>
    <x v="0"/>
    <x v="0"/>
  </r>
  <r>
    <n v="140"/>
    <s v="242510013"/>
    <x v="0"/>
    <x v="0"/>
    <s v="Intan Jaya"/>
    <d v="2026-01-26T00:00:00"/>
    <s v="26"/>
    <x v="0"/>
    <s v="26"/>
    <x v="2"/>
    <x v="6"/>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0"/>
    <s v="Tidak tuntas"/>
    <s v="Bahasa Indonesia"/>
    <x v="1"/>
    <x v="0"/>
    <s v=""/>
    <x v="0"/>
    <s v=""/>
    <x v="0"/>
    <x v="0"/>
    <x v="0"/>
  </r>
  <r>
    <n v="141"/>
    <s v="242510013"/>
    <x v="0"/>
    <x v="0"/>
    <s v="Intan Jaya"/>
    <d v="2026-01-26T00:00:00"/>
    <s v="26"/>
    <x v="0"/>
    <s v="26"/>
    <x v="3"/>
    <x v="4"/>
    <x v="5"/>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0"/>
    <s v="Tidak tuntas"/>
    <s v="Bahasa Indonesia"/>
    <x v="1"/>
    <x v="0"/>
    <s v=""/>
    <x v="0"/>
    <s v=""/>
    <x v="0"/>
    <x v="0"/>
    <x v="0"/>
  </r>
  <r>
    <n v="142"/>
    <s v="242510013"/>
    <x v="0"/>
    <x v="0"/>
    <s v="Intan Jaya"/>
    <d v="2026-01-26T00:00:00"/>
    <s v="26"/>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0"/>
    <s v="Tidak tuntas"/>
    <s v="Bahasa Indonesia"/>
    <x v="1"/>
    <x v="0"/>
    <s v=""/>
    <x v="0"/>
    <s v=""/>
    <x v="0"/>
    <x v="0"/>
    <x v="0"/>
  </r>
  <r>
    <n v="143"/>
    <s v="242510013"/>
    <x v="0"/>
    <x v="0"/>
    <s v="Intan Jaya"/>
    <d v="2026-01-27T00:00:00"/>
    <s v="27"/>
    <x v="0"/>
    <s v="26"/>
    <x v="0"/>
    <x v="0"/>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0"/>
    <s v="Tidak tuntas"/>
    <s v="Bahasa Indonesia"/>
    <x v="1"/>
    <x v="0"/>
    <s v=""/>
    <x v="0"/>
    <s v=""/>
    <x v="0"/>
    <x v="0"/>
    <x v="0"/>
  </r>
  <r>
    <n v="144"/>
    <s v="242510013"/>
    <x v="0"/>
    <x v="0"/>
    <s v="Intan Jaya"/>
    <d v="2026-01-27T00:00:00"/>
    <s v="27"/>
    <x v="0"/>
    <s v="26"/>
    <x v="2"/>
    <x v="6"/>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0"/>
    <s v="Tidak tuntas"/>
    <s v="Bahasa Indonesia"/>
    <x v="1"/>
    <x v="0"/>
    <s v=""/>
    <x v="0"/>
    <s v=""/>
    <x v="0"/>
    <x v="0"/>
    <x v="0"/>
  </r>
  <r>
    <n v="145"/>
    <s v="242510013"/>
    <x v="0"/>
    <x v="0"/>
    <s v="Intan Jaya"/>
    <d v="2026-01-27T00:00:00"/>
    <s v="27"/>
    <x v="0"/>
    <s v="26"/>
    <x v="3"/>
    <x v="4"/>
    <x v="3"/>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0"/>
    <s v="Tidak tuntas"/>
    <s v="Bahasa Indonesia"/>
    <x v="1"/>
    <x v="0"/>
    <s v=""/>
    <x v="0"/>
    <s v=""/>
    <x v="0"/>
    <x v="0"/>
    <x v="0"/>
  </r>
  <r>
    <n v="146"/>
    <s v="242510013"/>
    <x v="0"/>
    <x v="0"/>
    <s v="Intan Jaya"/>
    <d v="2026-01-27T00:00:00"/>
    <s v="27"/>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0"/>
    <s v="Tidak tuntas"/>
    <s v="Bahasa Indonesia"/>
    <x v="1"/>
    <x v="0"/>
    <s v=""/>
    <x v="0"/>
    <s v=""/>
    <x v="0"/>
    <x v="0"/>
    <x v="0"/>
  </r>
  <r>
    <n v="147"/>
    <s v="242510013"/>
    <x v="0"/>
    <x v="0"/>
    <s v="Intan Jaya"/>
    <d v="2026-02-02T00:00:00"/>
    <s v="02"/>
    <x v="1"/>
    <s v="26"/>
    <x v="0"/>
    <x v="0"/>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0"/>
    <s v="Tidak tuntas"/>
    <s v="Bahasa Indonesia"/>
    <x v="1"/>
    <x v="0"/>
    <s v=""/>
    <x v="0"/>
    <s v=""/>
    <x v="0"/>
    <x v="0"/>
    <x v="0"/>
  </r>
  <r>
    <n v="148"/>
    <s v="242510013"/>
    <x v="0"/>
    <x v="0"/>
    <s v="Intan Jaya"/>
    <d v="2026-02-02T00:00:00"/>
    <s v="02"/>
    <x v="1"/>
    <s v="26"/>
    <x v="2"/>
    <x v="6"/>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0"/>
    <s v="Tidak tuntas"/>
    <s v="Bahasa Indonesia"/>
    <x v="1"/>
    <x v="0"/>
    <s v=""/>
    <x v="0"/>
    <s v=""/>
    <x v="0"/>
    <x v="0"/>
    <x v="0"/>
  </r>
  <r>
    <n v="149"/>
    <s v="242510013"/>
    <x v="0"/>
    <x v="0"/>
    <s v="Intan Jaya"/>
    <d v="2026-02-02T00:00:00"/>
    <s v="02"/>
    <x v="1"/>
    <s v="26"/>
    <x v="3"/>
    <x v="4"/>
    <x v="5"/>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0"/>
    <s v="Tidak tuntas"/>
    <s v="Bahasa Indonesia"/>
    <x v="1"/>
    <x v="0"/>
    <s v=""/>
    <x v="0"/>
    <s v=""/>
    <x v="0"/>
    <x v="0"/>
    <x v="0"/>
  </r>
  <r>
    <n v="150"/>
    <s v="242510013"/>
    <x v="0"/>
    <x v="0"/>
    <s v="Intan Jaya"/>
    <d v="2026-02-02T00:00:00"/>
    <s v="02"/>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0"/>
    <s v="Tidak tuntas"/>
    <s v="Bahasa Indonesia"/>
    <x v="1"/>
    <x v="0"/>
    <s v=""/>
    <x v="0"/>
    <s v=""/>
    <x v="0"/>
    <x v="0"/>
    <x v="0"/>
  </r>
  <r>
    <n v="151"/>
    <s v="242510013"/>
    <x v="0"/>
    <x v="0"/>
    <s v="Intan Jaya"/>
    <d v="2026-02-09T00:00:00"/>
    <s v="09"/>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0"/>
    <s v="Tidak tuntas"/>
    <s v="Bahasa Indonesia"/>
    <x v="1"/>
    <x v="0"/>
    <s v=""/>
    <x v="0"/>
    <s v=""/>
    <x v="0"/>
    <x v="0"/>
    <x v="0"/>
  </r>
  <r>
    <n v="152"/>
    <s v="242510013"/>
    <x v="0"/>
    <x v="0"/>
    <s v="Intan Jaya"/>
    <d v="2026-02-09T00:00:00"/>
    <s v="09"/>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0"/>
    <s v="Tidak tuntas"/>
    <s v="Bahasa Indonesia"/>
    <x v="1"/>
    <x v="0"/>
    <s v=""/>
    <x v="0"/>
    <s v=""/>
    <x v="0"/>
    <x v="0"/>
    <x v="0"/>
  </r>
  <r>
    <n v="153"/>
    <s v="242510013"/>
    <x v="0"/>
    <x v="0"/>
    <s v="Intan Jaya"/>
    <d v="2026-02-16T00:00:00"/>
    <s v="16"/>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0"/>
    <s v="Tidak tuntas"/>
    <s v="Bahasa Indonesia"/>
    <x v="1"/>
    <x v="0"/>
    <s v=""/>
    <x v="0"/>
    <s v=""/>
    <x v="0"/>
    <x v="0"/>
    <x v="0"/>
  </r>
  <r>
    <n v="154"/>
    <s v="242510013"/>
    <x v="0"/>
    <x v="0"/>
    <s v="Intan Jaya"/>
    <d v="2026-02-16T00:00:00"/>
    <s v="16"/>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0"/>
    <s v="Tidak tuntas"/>
    <s v="Bahasa Indonesia"/>
    <x v="1"/>
    <x v="0"/>
    <s v=""/>
    <x v="0"/>
    <s v=""/>
    <x v="0"/>
    <x v="0"/>
    <x v="0"/>
  </r>
  <r>
    <n v="155"/>
    <s v="242510013"/>
    <x v="0"/>
    <x v="0"/>
    <s v="Intan Jaya"/>
    <d v="2026-02-16T00:00:00"/>
    <s v="16"/>
    <x v="1"/>
    <s v="26"/>
    <x v="3"/>
    <x v="4"/>
    <x v="3"/>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0"/>
    <s v="Tidak tuntas"/>
    <s v="Bahasa Indonesia"/>
    <x v="1"/>
    <x v="0"/>
    <s v=""/>
    <x v="0"/>
    <s v=""/>
    <x v="0"/>
    <x v="0"/>
    <x v="0"/>
  </r>
  <r>
    <n v="156"/>
    <s v="242510013"/>
    <x v="0"/>
    <x v="0"/>
    <s v="Intan Jaya"/>
    <d v="2026-02-16T00:00:00"/>
    <s v="16"/>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0"/>
    <s v="Tidak tuntas"/>
    <s v="Bahasa Indonesia"/>
    <x v="1"/>
    <x v="0"/>
    <s v=""/>
    <x v="0"/>
    <s v=""/>
    <x v="0"/>
    <x v="0"/>
    <x v="0"/>
  </r>
  <r>
    <n v="157"/>
    <s v="242510014"/>
    <x v="0"/>
    <x v="7"/>
    <s v="Inta jaya"/>
    <d v="2026-01-12T00:00:00"/>
    <s v="12"/>
    <x v="0"/>
    <s v="26"/>
    <x v="0"/>
    <x v="2"/>
    <x v="1"/>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33"/>
    <s v="Tidak tuntas"/>
    <s v="Bahasa Indonesia"/>
    <x v="1"/>
    <x v="3"/>
    <n v="33"/>
    <x v="3"/>
    <n v="11"/>
    <x v="0"/>
    <x v="1"/>
    <x v="2"/>
  </r>
  <r>
    <n v="158"/>
    <s v="242510014"/>
    <x v="0"/>
    <x v="7"/>
    <s v="Inta jaya"/>
    <d v="2026-01-13T00:00:00"/>
    <s v="13"/>
    <x v="0"/>
    <s v="26"/>
    <x v="0"/>
    <x v="0"/>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1"/>
    <x v="2"/>
  </r>
  <r>
    <n v="159"/>
    <s v="242510014"/>
    <x v="0"/>
    <x v="7"/>
    <s v="Inta jaya"/>
    <d v="2026-01-13T00:00:00"/>
    <s v="13"/>
    <x v="0"/>
    <s v="26"/>
    <x v="2"/>
    <x v="3"/>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8"/>
    <s v="Tuntas"/>
    <s v="Bahasa Indonesia"/>
    <x v="1"/>
    <x v="3"/>
    <n v="68"/>
    <x v="1"/>
    <n v="11"/>
    <x v="0"/>
    <x v="1"/>
    <x v="2"/>
  </r>
  <r>
    <n v="160"/>
    <s v="242510014"/>
    <x v="0"/>
    <x v="7"/>
    <s v="Inta jaya"/>
    <d v="2026-01-13T00:00:00"/>
    <s v="13"/>
    <x v="0"/>
    <s v="26"/>
    <x v="3"/>
    <x v="4"/>
    <x v="3"/>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1"/>
    <x v="2"/>
  </r>
  <r>
    <n v="161"/>
    <s v="242510014"/>
    <x v="0"/>
    <x v="7"/>
    <s v="Inta jaya"/>
    <d v="2026-01-13T00:00:00"/>
    <s v="13"/>
    <x v="0"/>
    <s v="26"/>
    <x v="4"/>
    <x v="5"/>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1"/>
    <x v="2"/>
  </r>
  <r>
    <n v="162"/>
    <s v="242510014"/>
    <x v="0"/>
    <x v="7"/>
    <s v="Inta jaya"/>
    <d v="2026-01-19T00:00:00"/>
    <s v="19"/>
    <x v="0"/>
    <s v="26"/>
    <x v="0"/>
    <x v="0"/>
    <x v="4"/>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85"/>
    <s v="Tuntas"/>
    <s v="Bahasa Indonesia"/>
    <x v="1"/>
    <x v="3"/>
    <n v="85"/>
    <x v="2"/>
    <n v="11"/>
    <x v="0"/>
    <x v="2"/>
    <x v="2"/>
  </r>
  <r>
    <n v="163"/>
    <s v="242510014"/>
    <x v="0"/>
    <x v="7"/>
    <s v="Inta jaya"/>
    <d v="2026-01-19T00:00:00"/>
    <s v="19"/>
    <x v="0"/>
    <s v="26"/>
    <x v="2"/>
    <x v="6"/>
    <x v="4"/>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2"/>
    <x v="2"/>
  </r>
  <r>
    <n v="164"/>
    <s v="242510014"/>
    <x v="0"/>
    <x v="7"/>
    <s v="Inta jaya"/>
    <d v="2026-01-19T00:00:00"/>
    <s v="19"/>
    <x v="0"/>
    <s v="26"/>
    <x v="3"/>
    <x v="4"/>
    <x v="5"/>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2"/>
    <x v="2"/>
  </r>
  <r>
    <n v="165"/>
    <s v="242510014"/>
    <x v="0"/>
    <x v="7"/>
    <s v="Inta jaya"/>
    <d v="2026-01-19T00:00:00"/>
    <s v="19"/>
    <x v="0"/>
    <s v="26"/>
    <x v="4"/>
    <x v="5"/>
    <x v="0"/>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2"/>
    <x v="2"/>
  </r>
  <r>
    <n v="166"/>
    <s v="242510014"/>
    <x v="0"/>
    <x v="7"/>
    <s v="Inta jaya"/>
    <d v="2026-01-26T00:00:00"/>
    <s v="26"/>
    <x v="0"/>
    <s v="26"/>
    <x v="0"/>
    <x v="0"/>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9"/>
    <s v="Tuntas"/>
    <s v="Bahasa Indonesia"/>
    <x v="1"/>
    <x v="3"/>
    <n v="69"/>
    <x v="1"/>
    <n v="11"/>
    <x v="0"/>
    <x v="3"/>
    <x v="2"/>
  </r>
  <r>
    <n v="167"/>
    <s v="242510014"/>
    <x v="0"/>
    <x v="7"/>
    <s v="Inta jaya"/>
    <d v="2026-01-26T00:00:00"/>
    <s v="26"/>
    <x v="0"/>
    <s v="26"/>
    <x v="2"/>
    <x v="6"/>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8"/>
    <s v="Tuntas"/>
    <s v="Bahasa Indonesia"/>
    <x v="1"/>
    <x v="3"/>
    <n v="68"/>
    <x v="1"/>
    <n v="11"/>
    <x v="0"/>
    <x v="3"/>
    <x v="2"/>
  </r>
  <r>
    <n v="168"/>
    <s v="242510014"/>
    <x v="0"/>
    <x v="7"/>
    <s v="Inta jaya"/>
    <d v="2026-01-26T00:00:00"/>
    <s v="26"/>
    <x v="0"/>
    <s v="26"/>
    <x v="3"/>
    <x v="4"/>
    <x v="5"/>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2"/>
  </r>
  <r>
    <n v="169"/>
    <s v="242510014"/>
    <x v="0"/>
    <x v="7"/>
    <s v="Inta jaya"/>
    <d v="2026-01-26T00:00:00"/>
    <s v="26"/>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2"/>
  </r>
  <r>
    <n v="170"/>
    <s v="242510014"/>
    <x v="0"/>
    <x v="7"/>
    <s v="Inta jaya"/>
    <d v="2026-01-27T00:00:00"/>
    <s v="27"/>
    <x v="0"/>
    <s v="26"/>
    <x v="0"/>
    <x v="0"/>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0"/>
    <x v="3"/>
    <x v="2"/>
  </r>
  <r>
    <n v="171"/>
    <s v="242510014"/>
    <x v="0"/>
    <x v="7"/>
    <s v="Inta jaya"/>
    <d v="2026-01-27T00:00:00"/>
    <s v="27"/>
    <x v="0"/>
    <s v="26"/>
    <x v="2"/>
    <x v="6"/>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8"/>
    <s v="Tuntas"/>
    <s v="Bahasa Indonesia"/>
    <x v="1"/>
    <x v="3"/>
    <n v="68"/>
    <x v="1"/>
    <n v="11"/>
    <x v="0"/>
    <x v="3"/>
    <x v="2"/>
  </r>
  <r>
    <n v="172"/>
    <s v="242510014"/>
    <x v="0"/>
    <x v="7"/>
    <s v="Inta jaya"/>
    <d v="2026-01-27T00:00:00"/>
    <s v="27"/>
    <x v="0"/>
    <s v="26"/>
    <x v="3"/>
    <x v="4"/>
    <x v="3"/>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2"/>
  </r>
  <r>
    <n v="173"/>
    <s v="242510014"/>
    <x v="0"/>
    <x v="7"/>
    <s v="Inta jaya"/>
    <d v="2026-01-27T00:00:00"/>
    <s v="27"/>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0"/>
    <x v="3"/>
    <x v="2"/>
  </r>
  <r>
    <n v="174"/>
    <s v="242510014"/>
    <x v="0"/>
    <x v="7"/>
    <s v="Inta jaya"/>
    <d v="2026-02-02T00:00:00"/>
    <s v="02"/>
    <x v="1"/>
    <s v="26"/>
    <x v="0"/>
    <x v="0"/>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5"/>
    <s v="Tuntas"/>
    <s v="Bahasa Indonesia"/>
    <x v="1"/>
    <x v="3"/>
    <n v="75"/>
    <x v="1"/>
    <n v="11"/>
    <x v="0"/>
    <x v="4"/>
    <x v="2"/>
  </r>
  <r>
    <n v="175"/>
    <s v="242510014"/>
    <x v="0"/>
    <x v="7"/>
    <s v="Inta jaya"/>
    <d v="2026-02-02T00:00:00"/>
    <s v="02"/>
    <x v="1"/>
    <s v="26"/>
    <x v="2"/>
    <x v="6"/>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9"/>
    <s v="Tuntas"/>
    <s v="Bahasa Indonesia"/>
    <x v="1"/>
    <x v="3"/>
    <n v="69"/>
    <x v="1"/>
    <n v="11"/>
    <x v="0"/>
    <x v="4"/>
    <x v="2"/>
  </r>
  <r>
    <n v="176"/>
    <s v="242510014"/>
    <x v="0"/>
    <x v="7"/>
    <s v="Inta jaya"/>
    <d v="2026-02-02T00:00:00"/>
    <s v="02"/>
    <x v="1"/>
    <s v="26"/>
    <x v="3"/>
    <x v="4"/>
    <x v="5"/>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1"/>
    <x v="4"/>
    <x v="2"/>
  </r>
  <r>
    <n v="177"/>
    <s v="242510014"/>
    <x v="0"/>
    <x v="7"/>
    <s v="Inta jaya"/>
    <d v="2026-02-02T00:00:00"/>
    <s v="02"/>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4"/>
    <x v="2"/>
  </r>
  <r>
    <n v="178"/>
    <s v="242510014"/>
    <x v="0"/>
    <x v="7"/>
    <s v="Inta jaya"/>
    <d v="2026-02-09T00:00:00"/>
    <s v="09"/>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5"/>
    <x v="2"/>
  </r>
  <r>
    <n v="179"/>
    <s v="242510014"/>
    <x v="0"/>
    <x v="7"/>
    <s v="Inta jaya"/>
    <d v="2026-02-09T00:00:00"/>
    <s v="09"/>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5"/>
    <x v="2"/>
  </r>
  <r>
    <n v="180"/>
    <s v="242510014"/>
    <x v="0"/>
    <x v="7"/>
    <s v="Inta jaya"/>
    <d v="2026-02-16T00:00:00"/>
    <s v="16"/>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6"/>
    <x v="2"/>
  </r>
  <r>
    <n v="181"/>
    <s v="242510014"/>
    <x v="0"/>
    <x v="7"/>
    <s v="Inta jaya"/>
    <d v="2026-02-16T00:00:00"/>
    <s v="16"/>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6"/>
    <x v="2"/>
  </r>
  <r>
    <n v="182"/>
    <s v="242510014"/>
    <x v="0"/>
    <x v="7"/>
    <s v="Inta jaya"/>
    <d v="2026-02-16T00:00:00"/>
    <s v="16"/>
    <x v="1"/>
    <s v="26"/>
    <x v="3"/>
    <x v="4"/>
    <x v="3"/>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5"/>
    <s v="Tuntas"/>
    <s v="Bahasa Indonesia"/>
    <x v="1"/>
    <x v="3"/>
    <n v="75"/>
    <x v="1"/>
    <n v="11"/>
    <x v="1"/>
    <x v="6"/>
    <x v="2"/>
  </r>
  <r>
    <n v="183"/>
    <s v="242510014"/>
    <x v="0"/>
    <x v="7"/>
    <s v="Inta jaya"/>
    <d v="2026-02-16T00:00:00"/>
    <s v="16"/>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6"/>
    <x v="2"/>
  </r>
  <r>
    <n v="184"/>
    <s v="242510011"/>
    <x v="0"/>
    <x v="1"/>
    <s v="Intan Jaya"/>
    <d v="2026-01-12T00:00:00"/>
    <s v="12"/>
    <x v="0"/>
    <s v="26"/>
    <x v="0"/>
    <x v="2"/>
    <x v="1"/>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45"/>
    <s v="Tidak tuntas"/>
    <s v="Bahasa Indonesia"/>
    <x v="1"/>
    <x v="3"/>
    <n v="45"/>
    <x v="3"/>
    <n v="11"/>
    <x v="0"/>
    <x v="1"/>
    <x v="1"/>
  </r>
  <r>
    <n v="185"/>
    <s v="242510011"/>
    <x v="0"/>
    <x v="1"/>
    <s v="Intan Jaya"/>
    <d v="2026-01-13T00:00:00"/>
    <s v="13"/>
    <x v="0"/>
    <s v="26"/>
    <x v="0"/>
    <x v="0"/>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100"/>
    <s v="Tuntas"/>
    <s v="Bahasa Indonesia"/>
    <x v="1"/>
    <x v="3"/>
    <n v="100"/>
    <x v="4"/>
    <n v="11"/>
    <x v="0"/>
    <x v="1"/>
    <x v="1"/>
  </r>
  <r>
    <n v="186"/>
    <s v="242510011"/>
    <x v="0"/>
    <x v="1"/>
    <s v="Intan Jaya"/>
    <d v="2026-01-13T00:00:00"/>
    <s v="13"/>
    <x v="0"/>
    <s v="26"/>
    <x v="2"/>
    <x v="3"/>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1"/>
    <x v="1"/>
  </r>
  <r>
    <n v="187"/>
    <s v="242510011"/>
    <x v="0"/>
    <x v="1"/>
    <s v="Intan Jaya"/>
    <d v="2026-01-13T00:00:00"/>
    <s v="13"/>
    <x v="0"/>
    <s v="26"/>
    <x v="3"/>
    <x v="4"/>
    <x v="3"/>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1"/>
    <x v="1"/>
  </r>
  <r>
    <n v="188"/>
    <s v="242510011"/>
    <x v="0"/>
    <x v="1"/>
    <s v="Intan Jaya"/>
    <d v="2026-01-13T00:00:00"/>
    <s v="13"/>
    <x v="0"/>
    <s v="26"/>
    <x v="4"/>
    <x v="5"/>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1"/>
    <x v="1"/>
  </r>
  <r>
    <n v="189"/>
    <s v="242510011"/>
    <x v="0"/>
    <x v="1"/>
    <s v="Intan Jaya"/>
    <d v="2026-01-19T00:00:00"/>
    <s v="19"/>
    <x v="0"/>
    <s v="26"/>
    <x v="0"/>
    <x v="0"/>
    <x v="4"/>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5"/>
    <s v="Tuntas"/>
    <s v="Bahasa Indonesia"/>
    <x v="1"/>
    <x v="3"/>
    <n v="65"/>
    <x v="1"/>
    <n v="11"/>
    <x v="0"/>
    <x v="2"/>
    <x v="1"/>
  </r>
  <r>
    <n v="190"/>
    <s v="242510011"/>
    <x v="0"/>
    <x v="1"/>
    <s v="Intan Jaya"/>
    <d v="2026-01-19T00:00:00"/>
    <s v="19"/>
    <x v="0"/>
    <s v="26"/>
    <x v="2"/>
    <x v="6"/>
    <x v="4"/>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5"/>
    <s v="Tuntas"/>
    <s v="Bahasa Indonesia"/>
    <x v="1"/>
    <x v="3"/>
    <n v="65"/>
    <x v="1"/>
    <n v="11"/>
    <x v="0"/>
    <x v="2"/>
    <x v="1"/>
  </r>
  <r>
    <n v="191"/>
    <s v="242510011"/>
    <x v="0"/>
    <x v="1"/>
    <s v="Intan Jaya"/>
    <d v="2026-01-19T00:00:00"/>
    <s v="19"/>
    <x v="0"/>
    <s v="26"/>
    <x v="3"/>
    <x v="4"/>
    <x v="5"/>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9"/>
    <s v="Tuntas"/>
    <s v="Bahasa Indonesia"/>
    <x v="1"/>
    <x v="3"/>
    <n v="69"/>
    <x v="1"/>
    <n v="11"/>
    <x v="3"/>
    <x v="2"/>
    <x v="1"/>
  </r>
  <r>
    <n v="192"/>
    <s v="242510011"/>
    <x v="0"/>
    <x v="1"/>
    <s v="Intan Jaya"/>
    <d v="2026-01-19T00:00:00"/>
    <s v="19"/>
    <x v="0"/>
    <s v="26"/>
    <x v="4"/>
    <x v="5"/>
    <x v="0"/>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2"/>
    <x v="1"/>
  </r>
  <r>
    <n v="193"/>
    <s v="242510011"/>
    <x v="0"/>
    <x v="1"/>
    <s v="Intan Jaya"/>
    <d v="2026-01-26T00:00:00"/>
    <s v="26"/>
    <x v="0"/>
    <s v="26"/>
    <x v="0"/>
    <x v="0"/>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80"/>
    <s v="Tuntas"/>
    <s v="Bahasa Indonesia"/>
    <x v="1"/>
    <x v="3"/>
    <n v="80"/>
    <x v="2"/>
    <n v="11"/>
    <x v="0"/>
    <x v="3"/>
    <x v="1"/>
  </r>
  <r>
    <n v="194"/>
    <s v="242510011"/>
    <x v="0"/>
    <x v="1"/>
    <s v="Intan Jaya"/>
    <d v="2026-01-26T00:00:00"/>
    <s v="26"/>
    <x v="0"/>
    <s v="26"/>
    <x v="2"/>
    <x v="6"/>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0"/>
    <x v="3"/>
    <x v="1"/>
  </r>
  <r>
    <n v="195"/>
    <s v="242510011"/>
    <x v="0"/>
    <x v="1"/>
    <s v="Intan Jaya"/>
    <d v="2026-01-26T00:00:00"/>
    <s v="26"/>
    <x v="0"/>
    <s v="26"/>
    <x v="3"/>
    <x v="4"/>
    <x v="5"/>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1"/>
  </r>
  <r>
    <n v="196"/>
    <s v="242510011"/>
    <x v="0"/>
    <x v="1"/>
    <s v="Intan Jaya"/>
    <d v="2026-01-26T00:00:00"/>
    <s v="26"/>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0"/>
    <x v="3"/>
    <x v="1"/>
  </r>
  <r>
    <n v="197"/>
    <s v="242510011"/>
    <x v="0"/>
    <x v="1"/>
    <s v="Intan Jaya"/>
    <d v="2026-01-27T00:00:00"/>
    <s v="27"/>
    <x v="0"/>
    <s v="26"/>
    <x v="0"/>
    <x v="0"/>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0"/>
    <x v="3"/>
    <x v="1"/>
  </r>
  <r>
    <n v="198"/>
    <s v="242510011"/>
    <x v="0"/>
    <x v="1"/>
    <s v="Intan Jaya"/>
    <d v="2026-01-27T00:00:00"/>
    <s v="27"/>
    <x v="0"/>
    <s v="26"/>
    <x v="2"/>
    <x v="6"/>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5"/>
    <s v="Tuntas"/>
    <s v="Bahasa Indonesia"/>
    <x v="1"/>
    <x v="3"/>
    <n v="75"/>
    <x v="1"/>
    <n v="11"/>
    <x v="0"/>
    <x v="3"/>
    <x v="1"/>
  </r>
  <r>
    <n v="199"/>
    <s v="242510011"/>
    <x v="0"/>
    <x v="1"/>
    <s v="Intan Jaya"/>
    <d v="2026-01-27T00:00:00"/>
    <s v="27"/>
    <x v="0"/>
    <s v="26"/>
    <x v="3"/>
    <x v="4"/>
    <x v="3"/>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1"/>
  </r>
  <r>
    <n v="200"/>
    <s v="242510011"/>
    <x v="0"/>
    <x v="1"/>
    <s v="Intan Jaya"/>
    <d v="2026-01-27T00:00:00"/>
    <s v="27"/>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5"/>
    <s v="Tuntas"/>
    <s v="Bahasa Indonesia"/>
    <x v="1"/>
    <x v="3"/>
    <n v="75"/>
    <x v="1"/>
    <n v="11"/>
    <x v="0"/>
    <x v="3"/>
    <x v="1"/>
  </r>
  <r>
    <n v="201"/>
    <s v="242510011"/>
    <x v="0"/>
    <x v="1"/>
    <s v="Intan Jaya"/>
    <d v="2026-02-02T00:00:00"/>
    <s v="02"/>
    <x v="1"/>
    <s v="26"/>
    <x v="0"/>
    <x v="0"/>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90"/>
    <s v="Tuntas"/>
    <s v="Bahasa Indonesia"/>
    <x v="1"/>
    <x v="3"/>
    <n v="90"/>
    <x v="2"/>
    <n v="11"/>
    <x v="0"/>
    <x v="4"/>
    <x v="1"/>
  </r>
  <r>
    <n v="202"/>
    <s v="242510011"/>
    <x v="0"/>
    <x v="1"/>
    <s v="Intan Jaya"/>
    <d v="2026-02-02T00:00:00"/>
    <s v="02"/>
    <x v="1"/>
    <s v="26"/>
    <x v="2"/>
    <x v="6"/>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80"/>
    <s v="Tuntas"/>
    <s v="Bahasa Indonesia"/>
    <x v="1"/>
    <x v="3"/>
    <n v="80"/>
    <x v="2"/>
    <n v="11"/>
    <x v="0"/>
    <x v="4"/>
    <x v="1"/>
  </r>
  <r>
    <n v="203"/>
    <s v="242510011"/>
    <x v="0"/>
    <x v="1"/>
    <s v="Intan Jaya"/>
    <d v="2026-02-02T00:00:00"/>
    <s v="02"/>
    <x v="1"/>
    <s v="26"/>
    <x v="3"/>
    <x v="4"/>
    <x v="5"/>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1"/>
    <x v="4"/>
    <x v="1"/>
  </r>
  <r>
    <n v="204"/>
    <s v="242510011"/>
    <x v="0"/>
    <x v="1"/>
    <s v="Intan Jaya"/>
    <d v="2026-02-02T00:00:00"/>
    <s v="02"/>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4"/>
    <x v="1"/>
  </r>
  <r>
    <n v="205"/>
    <s v="242510011"/>
    <x v="0"/>
    <x v="1"/>
    <s v="Intan Jaya"/>
    <d v="2026-02-09T00:00:00"/>
    <s v="09"/>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5"/>
    <x v="1"/>
  </r>
  <r>
    <n v="206"/>
    <s v="242510011"/>
    <x v="0"/>
    <x v="1"/>
    <s v="Intan Jaya"/>
    <d v="2026-02-09T00:00:00"/>
    <s v="09"/>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9"/>
    <s v="Tuntas"/>
    <s v="Bahasa Indonesia"/>
    <x v="1"/>
    <x v="3"/>
    <n v="69"/>
    <x v="1"/>
    <n v="11"/>
    <x v="0"/>
    <x v="5"/>
    <x v="1"/>
  </r>
  <r>
    <n v="207"/>
    <s v="242510011"/>
    <x v="0"/>
    <x v="1"/>
    <s v="Intan Jaya"/>
    <d v="2026-02-16T00:00:00"/>
    <s v="16"/>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2"/>
    <s v="Tuntas"/>
    <s v="Bahasa Indonesia"/>
    <x v="1"/>
    <x v="3"/>
    <n v="72"/>
    <x v="1"/>
    <n v="11"/>
    <x v="0"/>
    <x v="6"/>
    <x v="1"/>
  </r>
  <r>
    <n v="208"/>
    <s v="242510011"/>
    <x v="0"/>
    <x v="1"/>
    <s v="Intan Jaya"/>
    <d v="2026-02-16T00:00:00"/>
    <s v="16"/>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6"/>
    <x v="1"/>
  </r>
  <r>
    <n v="209"/>
    <s v="242510011"/>
    <x v="0"/>
    <x v="1"/>
    <s v="Intan Jaya"/>
    <d v="2026-02-16T00:00:00"/>
    <s v="16"/>
    <x v="1"/>
    <s v="26"/>
    <x v="3"/>
    <x v="4"/>
    <x v="3"/>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80"/>
    <s v="Tuntas"/>
    <s v="Bahasa Indonesia"/>
    <x v="1"/>
    <x v="3"/>
    <n v="80"/>
    <x v="2"/>
    <n v="11"/>
    <x v="2"/>
    <x v="6"/>
    <x v="1"/>
  </r>
  <r>
    <n v="210"/>
    <s v="242510011"/>
    <x v="0"/>
    <x v="1"/>
    <s v="Intan Jaya"/>
    <d v="2026-02-16T00:00:00"/>
    <s v="16"/>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85"/>
    <s v="Tuntas"/>
    <s v="Bahasa Indonesia"/>
    <x v="1"/>
    <x v="3"/>
    <n v="85"/>
    <x v="2"/>
    <n v="11"/>
    <x v="0"/>
    <x v="6"/>
    <x v="1"/>
  </r>
  <r>
    <n v="211"/>
    <s v="242510004"/>
    <x v="0"/>
    <x v="8"/>
    <s v="Inta jaya"/>
    <d v="2026-01-12T00:00:00"/>
    <s v="12"/>
    <x v="0"/>
    <s v="26"/>
    <x v="0"/>
    <x v="2"/>
    <x v="1"/>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25"/>
    <s v="Tidak tuntas"/>
    <s v="Bahasa Indonesia"/>
    <x v="1"/>
    <x v="3"/>
    <n v="25"/>
    <x v="3"/>
    <n v="11"/>
    <x v="0"/>
    <x v="1"/>
    <x v="4"/>
  </r>
  <r>
    <n v="212"/>
    <s v="242510004"/>
    <x v="0"/>
    <x v="8"/>
    <s v="Inta jaya"/>
    <d v="2026-01-13T00:00:00"/>
    <s v="13"/>
    <x v="0"/>
    <s v="26"/>
    <x v="0"/>
    <x v="0"/>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5"/>
    <s v="Tuntas"/>
    <s v="Bahasa Indonesia"/>
    <x v="1"/>
    <x v="3"/>
    <n v="75"/>
    <x v="1"/>
    <n v="11"/>
    <x v="0"/>
    <x v="1"/>
    <x v="4"/>
  </r>
  <r>
    <n v="213"/>
    <s v="242510004"/>
    <x v="0"/>
    <x v="8"/>
    <s v="Inta jaya"/>
    <d v="2026-01-13T00:00:00"/>
    <s v="13"/>
    <x v="0"/>
    <s v="26"/>
    <x v="2"/>
    <x v="3"/>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8"/>
    <s v="Tuntas"/>
    <s v="Bahasa Indonesia"/>
    <x v="1"/>
    <x v="3"/>
    <n v="68"/>
    <x v="1"/>
    <n v="11"/>
    <x v="0"/>
    <x v="1"/>
    <x v="4"/>
  </r>
  <r>
    <n v="214"/>
    <s v="242510004"/>
    <x v="0"/>
    <x v="8"/>
    <s v="Inta jaya"/>
    <d v="2026-01-13T00:00:00"/>
    <s v="13"/>
    <x v="0"/>
    <s v="26"/>
    <x v="3"/>
    <x v="4"/>
    <x v="3"/>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1"/>
    <x v="4"/>
  </r>
  <r>
    <n v="215"/>
    <s v="242510004"/>
    <x v="0"/>
    <x v="8"/>
    <s v="Inta jaya"/>
    <d v="2026-01-13T00:00:00"/>
    <s v="13"/>
    <x v="0"/>
    <s v="26"/>
    <x v="4"/>
    <x v="5"/>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1"/>
    <x v="4"/>
  </r>
  <r>
    <n v="216"/>
    <s v="242510004"/>
    <x v="0"/>
    <x v="8"/>
    <s v="Inta jaya"/>
    <d v="2026-01-19T00:00:00"/>
    <s v="19"/>
    <x v="0"/>
    <s v="26"/>
    <x v="0"/>
    <x v="0"/>
    <x v="4"/>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5"/>
    <s v="Tuntas"/>
    <s v="Bahasa Indonesia"/>
    <x v="1"/>
    <x v="3"/>
    <n v="65"/>
    <x v="1"/>
    <n v="11"/>
    <x v="0"/>
    <x v="2"/>
    <x v="4"/>
  </r>
  <r>
    <n v="217"/>
    <s v="242510004"/>
    <x v="0"/>
    <x v="8"/>
    <s v="Inta jaya"/>
    <d v="2026-01-19T00:00:00"/>
    <s v="19"/>
    <x v="0"/>
    <s v="26"/>
    <x v="2"/>
    <x v="6"/>
    <x v="4"/>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5"/>
    <s v="Tuntas"/>
    <s v="Bahasa Indonesia"/>
    <x v="1"/>
    <x v="3"/>
    <n v="65"/>
    <x v="1"/>
    <n v="11"/>
    <x v="0"/>
    <x v="2"/>
    <x v="4"/>
  </r>
  <r>
    <n v="218"/>
    <s v="242510004"/>
    <x v="0"/>
    <x v="8"/>
    <s v="Inta jaya"/>
    <d v="2026-01-19T00:00:00"/>
    <s v="19"/>
    <x v="0"/>
    <s v="26"/>
    <x v="3"/>
    <x v="4"/>
    <x v="5"/>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9"/>
    <s v="Tuntas"/>
    <s v="Bahasa Indonesia"/>
    <x v="1"/>
    <x v="3"/>
    <n v="69"/>
    <x v="1"/>
    <n v="11"/>
    <x v="3"/>
    <x v="2"/>
    <x v="4"/>
  </r>
  <r>
    <n v="219"/>
    <s v="242510004"/>
    <x v="0"/>
    <x v="8"/>
    <s v="Inta jaya"/>
    <d v="2026-01-19T00:00:00"/>
    <s v="19"/>
    <x v="0"/>
    <s v="26"/>
    <x v="4"/>
    <x v="5"/>
    <x v="0"/>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2"/>
    <x v="4"/>
  </r>
  <r>
    <n v="220"/>
    <s v="242510004"/>
    <x v="0"/>
    <x v="8"/>
    <s v="Inta jaya"/>
    <d v="2026-01-26T00:00:00"/>
    <s v="26"/>
    <x v="0"/>
    <s v="26"/>
    <x v="0"/>
    <x v="0"/>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90"/>
    <s v="Tuntas"/>
    <s v="Bahasa Indonesia"/>
    <x v="1"/>
    <x v="3"/>
    <n v="90"/>
    <x v="2"/>
    <n v="11"/>
    <x v="0"/>
    <x v="3"/>
    <x v="4"/>
  </r>
  <r>
    <n v="221"/>
    <s v="242510004"/>
    <x v="0"/>
    <x v="8"/>
    <s v="Inta jaya"/>
    <d v="2026-01-26T00:00:00"/>
    <s v="26"/>
    <x v="0"/>
    <s v="26"/>
    <x v="2"/>
    <x v="6"/>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4"/>
  </r>
  <r>
    <n v="222"/>
    <s v="242510004"/>
    <x v="0"/>
    <x v="8"/>
    <s v="Inta jaya"/>
    <d v="2026-01-26T00:00:00"/>
    <s v="26"/>
    <x v="0"/>
    <s v="26"/>
    <x v="3"/>
    <x v="4"/>
    <x v="5"/>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4"/>
  </r>
  <r>
    <n v="223"/>
    <s v="242510004"/>
    <x v="0"/>
    <x v="8"/>
    <s v="Inta jaya"/>
    <d v="2026-01-26T00:00:00"/>
    <s v="26"/>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0"/>
    <x v="3"/>
    <x v="4"/>
  </r>
  <r>
    <n v="224"/>
    <s v="242510004"/>
    <x v="0"/>
    <x v="8"/>
    <s v="Inta jaya"/>
    <d v="2026-01-27T00:00:00"/>
    <s v="27"/>
    <x v="0"/>
    <s v="26"/>
    <x v="0"/>
    <x v="0"/>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8"/>
    <s v="Tuntas"/>
    <s v="Bahasa Indonesia"/>
    <x v="1"/>
    <x v="3"/>
    <n v="68"/>
    <x v="1"/>
    <n v="11"/>
    <x v="0"/>
    <x v="3"/>
    <x v="4"/>
  </r>
  <r>
    <n v="225"/>
    <s v="242510004"/>
    <x v="0"/>
    <x v="8"/>
    <s v="Inta jaya"/>
    <d v="2026-01-27T00:00:00"/>
    <s v="27"/>
    <x v="0"/>
    <s v="26"/>
    <x v="2"/>
    <x v="6"/>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7"/>
    <s v="Tuntas"/>
    <s v="Bahasa Indonesia"/>
    <x v="1"/>
    <x v="3"/>
    <n v="67"/>
    <x v="1"/>
    <n v="11"/>
    <x v="0"/>
    <x v="3"/>
    <x v="4"/>
  </r>
  <r>
    <n v="226"/>
    <s v="242510004"/>
    <x v="0"/>
    <x v="8"/>
    <s v="Inta jaya"/>
    <d v="2026-01-27T00:00:00"/>
    <s v="27"/>
    <x v="0"/>
    <s v="26"/>
    <x v="3"/>
    <x v="4"/>
    <x v="3"/>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4"/>
  </r>
  <r>
    <n v="227"/>
    <s v="242510004"/>
    <x v="0"/>
    <x v="8"/>
    <s v="Inta jaya"/>
    <d v="2026-01-27T00:00:00"/>
    <s v="27"/>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5"/>
    <s v="Tuntas"/>
    <s v="Bahasa Indonesia"/>
    <x v="1"/>
    <x v="3"/>
    <n v="75"/>
    <x v="1"/>
    <n v="11"/>
    <x v="0"/>
    <x v="3"/>
    <x v="4"/>
  </r>
  <r>
    <n v="228"/>
    <s v="242510004"/>
    <x v="0"/>
    <x v="8"/>
    <s v="Inta jaya"/>
    <d v="2026-02-02T00:00:00"/>
    <s v="02"/>
    <x v="1"/>
    <s v="26"/>
    <x v="0"/>
    <x v="0"/>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5"/>
    <s v="Tuntas"/>
    <s v="Bahasa Indonesia"/>
    <x v="1"/>
    <x v="3"/>
    <n v="75"/>
    <x v="1"/>
    <n v="11"/>
    <x v="0"/>
    <x v="4"/>
    <x v="4"/>
  </r>
  <r>
    <n v="229"/>
    <s v="242510004"/>
    <x v="0"/>
    <x v="8"/>
    <s v="Inta jaya"/>
    <d v="2026-02-02T00:00:00"/>
    <s v="02"/>
    <x v="1"/>
    <s v="26"/>
    <x v="2"/>
    <x v="6"/>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90"/>
    <s v="Tuntas"/>
    <s v="Bahasa Indonesia"/>
    <x v="1"/>
    <x v="3"/>
    <n v="90"/>
    <x v="2"/>
    <n v="11"/>
    <x v="0"/>
    <x v="4"/>
    <x v="4"/>
  </r>
  <r>
    <n v="230"/>
    <s v="242510004"/>
    <x v="0"/>
    <x v="8"/>
    <s v="Inta jaya"/>
    <d v="2026-02-02T00:00:00"/>
    <s v="02"/>
    <x v="1"/>
    <s v="26"/>
    <x v="3"/>
    <x v="4"/>
    <x v="5"/>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1"/>
    <x v="4"/>
    <x v="4"/>
  </r>
  <r>
    <n v="231"/>
    <s v="242510004"/>
    <x v="0"/>
    <x v="8"/>
    <s v="Inta jaya"/>
    <d v="2026-02-02T00:00:00"/>
    <s v="02"/>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4"/>
    <x v="4"/>
  </r>
  <r>
    <n v="232"/>
    <s v="242510004"/>
    <x v="0"/>
    <x v="8"/>
    <s v="Inta jaya"/>
    <d v="2026-02-09T00:00:00"/>
    <s v="09"/>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5"/>
    <x v="4"/>
  </r>
  <r>
    <n v="233"/>
    <s v="242510004"/>
    <x v="0"/>
    <x v="8"/>
    <s v="Inta jaya"/>
    <d v="2026-02-09T00:00:00"/>
    <s v="09"/>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9"/>
    <s v="Tuntas"/>
    <s v="Bahasa Indonesia"/>
    <x v="1"/>
    <x v="3"/>
    <n v="69"/>
    <x v="1"/>
    <n v="11"/>
    <x v="0"/>
    <x v="5"/>
    <x v="4"/>
  </r>
  <r>
    <n v="234"/>
    <s v="242510004"/>
    <x v="0"/>
    <x v="8"/>
    <s v="Inta jaya"/>
    <d v="2026-02-16T00:00:00"/>
    <s v="16"/>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6"/>
    <x v="4"/>
  </r>
  <r>
    <n v="235"/>
    <s v="242510004"/>
    <x v="0"/>
    <x v="8"/>
    <s v="Inta jaya"/>
    <d v="2026-02-16T00:00:00"/>
    <s v="16"/>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6"/>
    <x v="4"/>
  </r>
  <r>
    <n v="236"/>
    <s v="242510004"/>
    <x v="0"/>
    <x v="8"/>
    <s v="Inta jaya"/>
    <d v="2026-02-16T00:00:00"/>
    <s v="16"/>
    <x v="1"/>
    <s v="26"/>
    <x v="3"/>
    <x v="4"/>
    <x v="3"/>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80"/>
    <s v="Tuntas"/>
    <s v="Bahasa Indonesia"/>
    <x v="1"/>
    <x v="3"/>
    <n v="80"/>
    <x v="2"/>
    <n v="11"/>
    <x v="2"/>
    <x v="6"/>
    <x v="4"/>
  </r>
  <r>
    <n v="237"/>
    <s v="242510004"/>
    <x v="0"/>
    <x v="8"/>
    <s v="Inta jaya"/>
    <d v="2026-02-16T00:00:00"/>
    <s v="16"/>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5"/>
    <s v="Tuntas"/>
    <s v="Bahasa Indonesia"/>
    <x v="1"/>
    <x v="3"/>
    <n v="75"/>
    <x v="1"/>
    <n v="11"/>
    <x v="0"/>
    <x v="6"/>
    <x v="4"/>
  </r>
  <r>
    <n v="238"/>
    <s v="242510010"/>
    <x v="0"/>
    <x v="2"/>
    <s v="Intan Jaya"/>
    <d v="2026-01-12T00:00:00"/>
    <s v="12"/>
    <x v="0"/>
    <s v="26"/>
    <x v="0"/>
    <x v="2"/>
    <x v="1"/>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13"/>
    <s v="Tidak tuntas"/>
    <s v="Bahasa Indonesia"/>
    <x v="1"/>
    <x v="3"/>
    <n v="13"/>
    <x v="3"/>
    <n v="11"/>
    <x v="0"/>
    <x v="1"/>
    <x v="2"/>
  </r>
  <r>
    <n v="239"/>
    <s v="242510010"/>
    <x v="0"/>
    <x v="2"/>
    <s v="Intan Jaya"/>
    <d v="2026-01-13T00:00:00"/>
    <s v="13"/>
    <x v="0"/>
    <s v="26"/>
    <x v="0"/>
    <x v="0"/>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90"/>
    <s v="Tuntas"/>
    <s v="Bahasa Indonesia"/>
    <x v="1"/>
    <x v="3"/>
    <n v="90"/>
    <x v="2"/>
    <n v="11"/>
    <x v="0"/>
    <x v="1"/>
    <x v="2"/>
  </r>
  <r>
    <n v="240"/>
    <s v="242510010"/>
    <x v="0"/>
    <x v="2"/>
    <s v="Intan Jaya"/>
    <d v="2026-01-13T00:00:00"/>
    <s v="13"/>
    <x v="0"/>
    <s v="26"/>
    <x v="2"/>
    <x v="3"/>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1"/>
    <x v="2"/>
  </r>
  <r>
    <n v="241"/>
    <s v="242510010"/>
    <x v="0"/>
    <x v="2"/>
    <s v="Intan Jaya"/>
    <d v="2026-01-13T00:00:00"/>
    <s v="13"/>
    <x v="0"/>
    <s v="26"/>
    <x v="3"/>
    <x v="4"/>
    <x v="3"/>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1"/>
    <x v="2"/>
  </r>
  <r>
    <n v="242"/>
    <s v="242510010"/>
    <x v="0"/>
    <x v="2"/>
    <s v="Intan Jaya"/>
    <d v="2026-01-13T00:00:00"/>
    <s v="13"/>
    <x v="0"/>
    <s v="26"/>
    <x v="4"/>
    <x v="5"/>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1"/>
    <x v="2"/>
  </r>
  <r>
    <n v="243"/>
    <s v="242510010"/>
    <x v="0"/>
    <x v="2"/>
    <s v="Intan Jaya"/>
    <d v="2026-01-19T00:00:00"/>
    <s v="19"/>
    <x v="0"/>
    <s v="26"/>
    <x v="0"/>
    <x v="0"/>
    <x v="4"/>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90"/>
    <s v="Tuntas"/>
    <s v="Bahasa Indonesia"/>
    <x v="1"/>
    <x v="3"/>
    <n v="90"/>
    <x v="2"/>
    <n v="11"/>
    <x v="0"/>
    <x v="2"/>
    <x v="2"/>
  </r>
  <r>
    <n v="244"/>
    <s v="242510010"/>
    <x v="0"/>
    <x v="2"/>
    <s v="Intan Jaya"/>
    <d v="2026-01-19T00:00:00"/>
    <s v="19"/>
    <x v="0"/>
    <s v="26"/>
    <x v="2"/>
    <x v="6"/>
    <x v="4"/>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5"/>
    <s v="Tuntas"/>
    <s v="Bahasa Indonesia"/>
    <x v="1"/>
    <x v="3"/>
    <n v="65"/>
    <x v="1"/>
    <n v="11"/>
    <x v="0"/>
    <x v="2"/>
    <x v="2"/>
  </r>
  <r>
    <n v="245"/>
    <s v="242510010"/>
    <x v="0"/>
    <x v="2"/>
    <s v="Intan Jaya"/>
    <d v="2026-01-19T00:00:00"/>
    <s v="19"/>
    <x v="0"/>
    <s v="26"/>
    <x v="3"/>
    <x v="4"/>
    <x v="5"/>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2"/>
    <x v="2"/>
  </r>
  <r>
    <n v="246"/>
    <s v="242510010"/>
    <x v="0"/>
    <x v="2"/>
    <s v="Intan Jaya"/>
    <d v="2026-01-19T00:00:00"/>
    <s v="19"/>
    <x v="0"/>
    <s v="26"/>
    <x v="4"/>
    <x v="5"/>
    <x v="0"/>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2"/>
    <x v="2"/>
  </r>
  <r>
    <n v="247"/>
    <s v="242510010"/>
    <x v="0"/>
    <x v="2"/>
    <s v="Intan Jaya"/>
    <d v="2026-01-26T00:00:00"/>
    <s v="26"/>
    <x v="0"/>
    <s v="26"/>
    <x v="0"/>
    <x v="0"/>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0"/>
    <x v="3"/>
    <x v="2"/>
  </r>
  <r>
    <n v="248"/>
    <s v="242510010"/>
    <x v="0"/>
    <x v="2"/>
    <s v="Intan Jaya"/>
    <d v="2026-01-26T00:00:00"/>
    <s v="26"/>
    <x v="0"/>
    <s v="26"/>
    <x v="2"/>
    <x v="6"/>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0"/>
    <s v="Tidak tuntas"/>
    <s v="Bahasa Indonesia"/>
    <x v="1"/>
    <x v="3"/>
    <n v="60"/>
    <x v="3"/>
    <n v="11"/>
    <x v="0"/>
    <x v="3"/>
    <x v="2"/>
  </r>
  <r>
    <n v="249"/>
    <s v="242510010"/>
    <x v="0"/>
    <x v="2"/>
    <s v="Intan Jaya"/>
    <d v="2026-01-26T00:00:00"/>
    <s v="26"/>
    <x v="0"/>
    <s v="26"/>
    <x v="3"/>
    <x v="4"/>
    <x v="5"/>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2"/>
  </r>
  <r>
    <n v="250"/>
    <s v="242510010"/>
    <x v="0"/>
    <x v="2"/>
    <s v="Intan Jaya"/>
    <d v="2026-01-26T00:00:00"/>
    <s v="26"/>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2"/>
  </r>
  <r>
    <n v="251"/>
    <s v="242510010"/>
    <x v="0"/>
    <x v="2"/>
    <s v="Intan Jaya"/>
    <d v="2026-01-27T00:00:00"/>
    <s v="27"/>
    <x v="0"/>
    <s v="26"/>
    <x v="0"/>
    <x v="0"/>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3"/>
    <s v="Tidak tuntas"/>
    <s v="Bahasa Indonesia"/>
    <x v="1"/>
    <x v="3"/>
    <n v="63"/>
    <x v="3"/>
    <n v="11"/>
    <x v="0"/>
    <x v="3"/>
    <x v="2"/>
  </r>
  <r>
    <n v="252"/>
    <s v="242510010"/>
    <x v="0"/>
    <x v="2"/>
    <s v="Intan Jaya"/>
    <d v="2026-01-27T00:00:00"/>
    <s v="27"/>
    <x v="0"/>
    <s v="26"/>
    <x v="2"/>
    <x v="6"/>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2"/>
  </r>
  <r>
    <n v="253"/>
    <s v="242510010"/>
    <x v="0"/>
    <x v="2"/>
    <s v="Intan Jaya"/>
    <d v="2026-01-27T00:00:00"/>
    <s v="27"/>
    <x v="0"/>
    <s v="26"/>
    <x v="3"/>
    <x v="4"/>
    <x v="3"/>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2"/>
  </r>
  <r>
    <n v="254"/>
    <s v="242510010"/>
    <x v="0"/>
    <x v="2"/>
    <s v="Intan Jaya"/>
    <d v="2026-01-27T00:00:00"/>
    <s v="27"/>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9"/>
    <s v="Tuntas"/>
    <s v="Bahasa Indonesia"/>
    <x v="1"/>
    <x v="3"/>
    <n v="69"/>
    <x v="1"/>
    <n v="11"/>
    <x v="0"/>
    <x v="3"/>
    <x v="2"/>
  </r>
  <r>
    <n v="255"/>
    <s v="242510010"/>
    <x v="0"/>
    <x v="2"/>
    <s v="Intan Jaya"/>
    <d v="2026-02-02T00:00:00"/>
    <s v="02"/>
    <x v="1"/>
    <s v="26"/>
    <x v="0"/>
    <x v="0"/>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4"/>
    <x v="2"/>
  </r>
  <r>
    <n v="256"/>
    <s v="242510010"/>
    <x v="0"/>
    <x v="2"/>
    <s v="Intan Jaya"/>
    <d v="2026-02-02T00:00:00"/>
    <s v="02"/>
    <x v="1"/>
    <s v="26"/>
    <x v="2"/>
    <x v="6"/>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4"/>
    <x v="2"/>
  </r>
  <r>
    <n v="257"/>
    <s v="242510010"/>
    <x v="0"/>
    <x v="2"/>
    <s v="Intan Jaya"/>
    <d v="2026-02-02T00:00:00"/>
    <s v="02"/>
    <x v="1"/>
    <s v="26"/>
    <x v="3"/>
    <x v="4"/>
    <x v="5"/>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1"/>
    <x v="4"/>
    <x v="2"/>
  </r>
  <r>
    <n v="258"/>
    <s v="242510010"/>
    <x v="0"/>
    <x v="2"/>
    <s v="Intan Jaya"/>
    <d v="2026-02-02T00:00:00"/>
    <s v="02"/>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4"/>
    <x v="2"/>
  </r>
  <r>
    <n v="259"/>
    <s v="242510010"/>
    <x v="0"/>
    <x v="2"/>
    <s v="Intan Jaya"/>
    <d v="2026-02-09T00:00:00"/>
    <s v="09"/>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5"/>
    <x v="2"/>
  </r>
  <r>
    <n v="260"/>
    <s v="242510010"/>
    <x v="0"/>
    <x v="2"/>
    <s v="Intan Jaya"/>
    <d v="2026-02-09T00:00:00"/>
    <s v="09"/>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5"/>
    <x v="2"/>
  </r>
  <r>
    <n v="261"/>
    <s v="242510010"/>
    <x v="0"/>
    <x v="2"/>
    <s v="Intan Jaya"/>
    <d v="2026-02-16T00:00:00"/>
    <s v="16"/>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6"/>
    <x v="2"/>
  </r>
  <r>
    <n v="262"/>
    <s v="242510010"/>
    <x v="0"/>
    <x v="2"/>
    <s v="Intan Jaya"/>
    <d v="2026-02-16T00:00:00"/>
    <s v="16"/>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4"/>
    <s v="Tidak tuntas"/>
    <s v="Bahasa Indonesia"/>
    <x v="1"/>
    <x v="3"/>
    <n v="64"/>
    <x v="3"/>
    <n v="11"/>
    <x v="0"/>
    <x v="6"/>
    <x v="2"/>
  </r>
  <r>
    <n v="263"/>
    <s v="242510010"/>
    <x v="0"/>
    <x v="2"/>
    <s v="Intan Jaya"/>
    <d v="2026-02-16T00:00:00"/>
    <s v="16"/>
    <x v="1"/>
    <s v="26"/>
    <x v="3"/>
    <x v="4"/>
    <x v="3"/>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1"/>
    <x v="6"/>
    <x v="2"/>
  </r>
  <r>
    <n v="264"/>
    <s v="242510010"/>
    <x v="0"/>
    <x v="2"/>
    <s v="Intan Jaya"/>
    <d v="2026-02-16T00:00:00"/>
    <s v="16"/>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6"/>
    <x v="2"/>
  </r>
  <r>
    <n v="265"/>
    <s v="242510002"/>
    <x v="0"/>
    <x v="3"/>
    <s v="Intan Jaya"/>
    <d v="2026-01-12T00:00:00"/>
    <s v="12"/>
    <x v="0"/>
    <s v="26"/>
    <x v="0"/>
    <x v="2"/>
    <x v="1"/>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10"/>
    <s v="Tidak tuntas"/>
    <s v="Bahasa Indonesia"/>
    <x v="1"/>
    <x v="3"/>
    <n v="10"/>
    <x v="3"/>
    <n v="11"/>
    <x v="0"/>
    <x v="1"/>
    <x v="1"/>
  </r>
  <r>
    <n v="266"/>
    <s v="242510002"/>
    <x v="0"/>
    <x v="3"/>
    <s v="Intan Jaya"/>
    <d v="2026-01-13T00:00:00"/>
    <s v="13"/>
    <x v="0"/>
    <s v="26"/>
    <x v="0"/>
    <x v="0"/>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5"/>
    <s v="Tuntas"/>
    <s v="Bahasa Indonesia"/>
    <x v="1"/>
    <x v="3"/>
    <n v="75"/>
    <x v="1"/>
    <n v="11"/>
    <x v="0"/>
    <x v="1"/>
    <x v="1"/>
  </r>
  <r>
    <n v="267"/>
    <s v="242510002"/>
    <x v="0"/>
    <x v="3"/>
    <s v="Intan Jaya"/>
    <d v="2026-01-13T00:00:00"/>
    <s v="13"/>
    <x v="0"/>
    <s v="26"/>
    <x v="2"/>
    <x v="3"/>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8"/>
    <s v="Tuntas"/>
    <s v="Bahasa Indonesia"/>
    <x v="1"/>
    <x v="3"/>
    <n v="68"/>
    <x v="1"/>
    <n v="11"/>
    <x v="0"/>
    <x v="1"/>
    <x v="1"/>
  </r>
  <r>
    <n v="268"/>
    <s v="242510002"/>
    <x v="0"/>
    <x v="3"/>
    <s v="Intan Jaya"/>
    <d v="2026-01-13T00:00:00"/>
    <s v="13"/>
    <x v="0"/>
    <s v="26"/>
    <x v="3"/>
    <x v="4"/>
    <x v="3"/>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1"/>
    <x v="1"/>
  </r>
  <r>
    <n v="269"/>
    <s v="242510002"/>
    <x v="0"/>
    <x v="3"/>
    <s v="Intan Jaya"/>
    <d v="2026-01-13T00:00:00"/>
    <s v="13"/>
    <x v="0"/>
    <s v="26"/>
    <x v="4"/>
    <x v="5"/>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1"/>
    <x v="1"/>
  </r>
  <r>
    <n v="270"/>
    <s v="242510002"/>
    <x v="0"/>
    <x v="3"/>
    <s v="Intan Jaya"/>
    <d v="2026-01-19T00:00:00"/>
    <s v="19"/>
    <x v="0"/>
    <s v="26"/>
    <x v="0"/>
    <x v="0"/>
    <x v="4"/>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2"/>
    <x v="1"/>
  </r>
  <r>
    <n v="271"/>
    <s v="242510002"/>
    <x v="0"/>
    <x v="3"/>
    <s v="Intan Jaya"/>
    <d v="2026-01-19T00:00:00"/>
    <s v="19"/>
    <x v="0"/>
    <s v="26"/>
    <x v="2"/>
    <x v="6"/>
    <x v="4"/>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5"/>
    <s v="Tuntas"/>
    <s v="Bahasa Indonesia"/>
    <x v="1"/>
    <x v="3"/>
    <n v="65"/>
    <x v="1"/>
    <n v="11"/>
    <x v="0"/>
    <x v="2"/>
    <x v="1"/>
  </r>
  <r>
    <n v="272"/>
    <s v="242510002"/>
    <x v="0"/>
    <x v="3"/>
    <s v="Intan Jaya"/>
    <d v="2026-01-19T00:00:00"/>
    <s v="19"/>
    <x v="0"/>
    <s v="26"/>
    <x v="3"/>
    <x v="4"/>
    <x v="5"/>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2"/>
    <x v="1"/>
  </r>
  <r>
    <n v="273"/>
    <s v="242510002"/>
    <x v="0"/>
    <x v="3"/>
    <s v="Intan Jaya"/>
    <d v="2026-01-19T00:00:00"/>
    <s v="19"/>
    <x v="0"/>
    <s v="26"/>
    <x v="4"/>
    <x v="5"/>
    <x v="0"/>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2"/>
    <x v="1"/>
  </r>
  <r>
    <n v="274"/>
    <s v="242510002"/>
    <x v="0"/>
    <x v="3"/>
    <s v="Intan Jaya"/>
    <d v="2026-01-26T00:00:00"/>
    <s v="26"/>
    <x v="0"/>
    <s v="26"/>
    <x v="0"/>
    <x v="0"/>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1"/>
  </r>
  <r>
    <n v="275"/>
    <s v="242510002"/>
    <x v="0"/>
    <x v="3"/>
    <s v="Intan Jaya"/>
    <d v="2026-01-26T00:00:00"/>
    <s v="26"/>
    <x v="0"/>
    <s v="26"/>
    <x v="2"/>
    <x v="6"/>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1"/>
  </r>
  <r>
    <n v="276"/>
    <s v="242510002"/>
    <x v="0"/>
    <x v="3"/>
    <s v="Intan Jaya"/>
    <d v="2026-01-26T00:00:00"/>
    <s v="26"/>
    <x v="0"/>
    <s v="26"/>
    <x v="3"/>
    <x v="4"/>
    <x v="5"/>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1"/>
  </r>
  <r>
    <n v="277"/>
    <s v="242510002"/>
    <x v="0"/>
    <x v="3"/>
    <s v="Intan Jaya"/>
    <d v="2026-01-26T00:00:00"/>
    <s v="26"/>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1"/>
  </r>
  <r>
    <n v="278"/>
    <s v="242510002"/>
    <x v="0"/>
    <x v="3"/>
    <s v="Intan Jaya"/>
    <d v="2026-01-27T00:00:00"/>
    <s v="27"/>
    <x v="0"/>
    <s v="26"/>
    <x v="0"/>
    <x v="0"/>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1"/>
  </r>
  <r>
    <n v="279"/>
    <s v="242510002"/>
    <x v="0"/>
    <x v="3"/>
    <s v="Intan Jaya"/>
    <d v="2026-01-27T00:00:00"/>
    <s v="27"/>
    <x v="0"/>
    <s v="26"/>
    <x v="2"/>
    <x v="6"/>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1"/>
  </r>
  <r>
    <n v="280"/>
    <s v="242510002"/>
    <x v="0"/>
    <x v="3"/>
    <s v="Intan Jaya"/>
    <d v="2026-01-27T00:00:00"/>
    <s v="27"/>
    <x v="0"/>
    <s v="26"/>
    <x v="3"/>
    <x v="4"/>
    <x v="3"/>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1"/>
  </r>
  <r>
    <n v="281"/>
    <s v="242510002"/>
    <x v="0"/>
    <x v="3"/>
    <s v="Intan Jaya"/>
    <d v="2026-01-27T00:00:00"/>
    <s v="27"/>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9"/>
    <s v="Tuntas"/>
    <s v="Bahasa Indonesia"/>
    <x v="1"/>
    <x v="3"/>
    <n v="69"/>
    <x v="1"/>
    <n v="11"/>
    <x v="0"/>
    <x v="3"/>
    <x v="1"/>
  </r>
  <r>
    <n v="282"/>
    <s v="242510002"/>
    <x v="0"/>
    <x v="3"/>
    <s v="Intan Jaya"/>
    <d v="2026-02-02T00:00:00"/>
    <s v="02"/>
    <x v="1"/>
    <s v="26"/>
    <x v="0"/>
    <x v="0"/>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4"/>
    <x v="1"/>
  </r>
  <r>
    <n v="283"/>
    <s v="242510002"/>
    <x v="0"/>
    <x v="3"/>
    <s v="Intan Jaya"/>
    <d v="2026-02-02T00:00:00"/>
    <s v="02"/>
    <x v="1"/>
    <s v="26"/>
    <x v="2"/>
    <x v="6"/>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4"/>
    <x v="1"/>
  </r>
  <r>
    <n v="284"/>
    <s v="242510002"/>
    <x v="0"/>
    <x v="3"/>
    <s v="Intan Jaya"/>
    <d v="2026-02-02T00:00:00"/>
    <s v="02"/>
    <x v="1"/>
    <s v="26"/>
    <x v="3"/>
    <x v="4"/>
    <x v="5"/>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3"/>
    <x v="4"/>
    <x v="1"/>
  </r>
  <r>
    <n v="285"/>
    <s v="242510002"/>
    <x v="0"/>
    <x v="3"/>
    <s v="Intan Jaya"/>
    <d v="2026-02-02T00:00:00"/>
    <s v="02"/>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4"/>
    <x v="1"/>
  </r>
  <r>
    <n v="286"/>
    <s v="242510002"/>
    <x v="0"/>
    <x v="3"/>
    <s v="Intan Jaya"/>
    <d v="2026-02-09T00:00:00"/>
    <s v="09"/>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5"/>
    <x v="1"/>
  </r>
  <r>
    <n v="287"/>
    <s v="242510002"/>
    <x v="0"/>
    <x v="3"/>
    <s v="Intan Jaya"/>
    <d v="2026-02-09T00:00:00"/>
    <s v="09"/>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7"/>
    <s v="Tuntas"/>
    <s v="Bahasa Indonesia"/>
    <x v="1"/>
    <x v="3"/>
    <n v="67"/>
    <x v="1"/>
    <n v="11"/>
    <x v="0"/>
    <x v="5"/>
    <x v="1"/>
  </r>
  <r>
    <n v="288"/>
    <s v="242510002"/>
    <x v="0"/>
    <x v="3"/>
    <s v="Intan Jaya"/>
    <d v="2026-02-16T00:00:00"/>
    <s v="16"/>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9"/>
    <s v="Tuntas"/>
    <s v="Bahasa Indonesia"/>
    <x v="1"/>
    <x v="3"/>
    <n v="69"/>
    <x v="1"/>
    <n v="11"/>
    <x v="0"/>
    <x v="6"/>
    <x v="1"/>
  </r>
  <r>
    <n v="289"/>
    <s v="242510002"/>
    <x v="0"/>
    <x v="3"/>
    <s v="Intan Jaya"/>
    <d v="2026-02-16T00:00:00"/>
    <s v="16"/>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6"/>
    <x v="1"/>
  </r>
  <r>
    <n v="290"/>
    <s v="242510002"/>
    <x v="0"/>
    <x v="3"/>
    <s v="Intan Jaya"/>
    <d v="2026-02-16T00:00:00"/>
    <s v="16"/>
    <x v="1"/>
    <s v="26"/>
    <x v="3"/>
    <x v="4"/>
    <x v="3"/>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1"/>
    <x v="6"/>
    <x v="1"/>
  </r>
  <r>
    <n v="291"/>
    <s v="242510002"/>
    <x v="0"/>
    <x v="3"/>
    <s v="Intan Jaya"/>
    <d v="2026-02-16T00:00:00"/>
    <s v="16"/>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6"/>
    <x v="1"/>
  </r>
  <r>
    <n v="292"/>
    <s v="242510006"/>
    <x v="0"/>
    <x v="9"/>
    <s v="Nabire"/>
    <d v="2026-01-12T00:00:00"/>
    <s v="12"/>
    <x v="0"/>
    <s v="26"/>
    <x v="0"/>
    <x v="2"/>
    <x v="1"/>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23"/>
    <s v="Tidak tuntas"/>
    <s v="Bahasa Indonesia"/>
    <x v="1"/>
    <x v="3"/>
    <n v="23"/>
    <x v="3"/>
    <n v="11"/>
    <x v="0"/>
    <x v="1"/>
    <x v="2"/>
  </r>
  <r>
    <n v="293"/>
    <s v="242510006"/>
    <x v="0"/>
    <x v="9"/>
    <s v="Nabire"/>
    <d v="2026-01-13T00:00:00"/>
    <s v="13"/>
    <x v="0"/>
    <s v="26"/>
    <x v="0"/>
    <x v="0"/>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50"/>
    <s v="Tidak tuntas"/>
    <s v="Bahasa Indonesia"/>
    <x v="1"/>
    <x v="3"/>
    <n v="50"/>
    <x v="3"/>
    <n v="11"/>
    <x v="0"/>
    <x v="1"/>
    <x v="2"/>
  </r>
  <r>
    <n v="294"/>
    <s v="242510006"/>
    <x v="0"/>
    <x v="9"/>
    <s v="Nabire"/>
    <d v="2026-01-13T00:00:00"/>
    <s v="13"/>
    <x v="0"/>
    <s v="26"/>
    <x v="2"/>
    <x v="3"/>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0"/>
    <s v="Tidak tuntas"/>
    <s v="Bahasa Indonesia"/>
    <x v="1"/>
    <x v="3"/>
    <n v="60"/>
    <x v="3"/>
    <n v="11"/>
    <x v="0"/>
    <x v="1"/>
    <x v="2"/>
  </r>
  <r>
    <n v="295"/>
    <s v="242510006"/>
    <x v="0"/>
    <x v="9"/>
    <s v="Nabire"/>
    <d v="2026-01-13T00:00:00"/>
    <s v="13"/>
    <x v="0"/>
    <s v="26"/>
    <x v="3"/>
    <x v="4"/>
    <x v="3"/>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1"/>
    <x v="2"/>
  </r>
  <r>
    <n v="296"/>
    <s v="242510006"/>
    <x v="0"/>
    <x v="9"/>
    <s v="Nabire"/>
    <d v="2026-01-13T00:00:00"/>
    <s v="13"/>
    <x v="0"/>
    <s v="26"/>
    <x v="4"/>
    <x v="5"/>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1"/>
    <x v="2"/>
  </r>
  <r>
    <n v="297"/>
    <s v="242510006"/>
    <x v="0"/>
    <x v="9"/>
    <s v="Nabire"/>
    <d v="2026-01-19T00:00:00"/>
    <s v="19"/>
    <x v="0"/>
    <s v="26"/>
    <x v="0"/>
    <x v="0"/>
    <x v="4"/>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50"/>
    <s v="Tidak tuntas"/>
    <s v="Bahasa Indonesia"/>
    <x v="1"/>
    <x v="3"/>
    <n v="50"/>
    <x v="3"/>
    <n v="11"/>
    <x v="0"/>
    <x v="2"/>
    <x v="2"/>
  </r>
  <r>
    <n v="298"/>
    <s v="242510006"/>
    <x v="0"/>
    <x v="9"/>
    <s v="Nabire"/>
    <d v="2026-01-19T00:00:00"/>
    <s v="19"/>
    <x v="0"/>
    <s v="26"/>
    <x v="2"/>
    <x v="6"/>
    <x v="4"/>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0"/>
    <s v="Tidak tuntas"/>
    <s v="Bahasa Indonesia"/>
    <x v="1"/>
    <x v="3"/>
    <n v="60"/>
    <x v="3"/>
    <n v="11"/>
    <x v="0"/>
    <x v="2"/>
    <x v="2"/>
  </r>
  <r>
    <n v="299"/>
    <s v="242510006"/>
    <x v="0"/>
    <x v="9"/>
    <s v="Nabire"/>
    <d v="2026-01-19T00:00:00"/>
    <s v="19"/>
    <x v="0"/>
    <s v="26"/>
    <x v="3"/>
    <x v="4"/>
    <x v="5"/>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9"/>
    <s v="Tuntas"/>
    <s v="Bahasa Indonesia"/>
    <x v="1"/>
    <x v="3"/>
    <n v="69"/>
    <x v="1"/>
    <n v="11"/>
    <x v="3"/>
    <x v="2"/>
    <x v="2"/>
  </r>
  <r>
    <n v="300"/>
    <s v="242510006"/>
    <x v="0"/>
    <x v="9"/>
    <s v="Nabire"/>
    <d v="2026-01-19T00:00:00"/>
    <s v="19"/>
    <x v="0"/>
    <s v="26"/>
    <x v="4"/>
    <x v="5"/>
    <x v="0"/>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2"/>
    <x v="2"/>
  </r>
  <r>
    <n v="301"/>
    <s v="242510006"/>
    <x v="0"/>
    <x v="9"/>
    <s v="Nabire"/>
    <d v="2026-01-26T00:00:00"/>
    <s v="26"/>
    <x v="0"/>
    <s v="26"/>
    <x v="0"/>
    <x v="0"/>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2"/>
  </r>
  <r>
    <n v="302"/>
    <s v="242510006"/>
    <x v="0"/>
    <x v="9"/>
    <s v="Nabire"/>
    <d v="2026-01-26T00:00:00"/>
    <s v="26"/>
    <x v="0"/>
    <s v="26"/>
    <x v="2"/>
    <x v="6"/>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0"/>
    <s v="Tidak tuntas"/>
    <s v="Bahasa Indonesia"/>
    <x v="1"/>
    <x v="3"/>
    <n v="60"/>
    <x v="3"/>
    <n v="11"/>
    <x v="0"/>
    <x v="3"/>
    <x v="2"/>
  </r>
  <r>
    <n v="303"/>
    <s v="242510006"/>
    <x v="0"/>
    <x v="9"/>
    <s v="Nabire"/>
    <d v="2026-01-26T00:00:00"/>
    <s v="26"/>
    <x v="0"/>
    <s v="26"/>
    <x v="3"/>
    <x v="4"/>
    <x v="5"/>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2"/>
  </r>
  <r>
    <n v="304"/>
    <s v="242510006"/>
    <x v="0"/>
    <x v="9"/>
    <s v="Nabire"/>
    <d v="2026-01-26T00:00:00"/>
    <s v="26"/>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2"/>
  </r>
  <r>
    <n v="305"/>
    <s v="242510006"/>
    <x v="0"/>
    <x v="9"/>
    <s v="Nabire"/>
    <d v="2026-01-27T00:00:00"/>
    <s v="27"/>
    <x v="0"/>
    <s v="26"/>
    <x v="0"/>
    <x v="0"/>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50"/>
    <s v="Tidak tuntas"/>
    <s v="Bahasa Indonesia"/>
    <x v="1"/>
    <x v="3"/>
    <n v="50"/>
    <x v="3"/>
    <n v="11"/>
    <x v="0"/>
    <x v="3"/>
    <x v="2"/>
  </r>
  <r>
    <n v="306"/>
    <s v="242510006"/>
    <x v="0"/>
    <x v="9"/>
    <s v="Nabire"/>
    <d v="2026-01-27T00:00:00"/>
    <s v="27"/>
    <x v="0"/>
    <s v="26"/>
    <x v="2"/>
    <x v="6"/>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55"/>
    <s v="Tidak tuntas"/>
    <s v="Bahasa Indonesia"/>
    <x v="1"/>
    <x v="3"/>
    <n v="55"/>
    <x v="3"/>
    <n v="11"/>
    <x v="0"/>
    <x v="3"/>
    <x v="2"/>
  </r>
  <r>
    <n v="307"/>
    <s v="242510006"/>
    <x v="0"/>
    <x v="9"/>
    <s v="Nabire"/>
    <d v="2026-01-27T00:00:00"/>
    <s v="27"/>
    <x v="0"/>
    <s v="26"/>
    <x v="3"/>
    <x v="4"/>
    <x v="3"/>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2"/>
  </r>
  <r>
    <n v="308"/>
    <s v="242510006"/>
    <x v="0"/>
    <x v="9"/>
    <s v="Nabire"/>
    <d v="2026-01-27T00:00:00"/>
    <s v="27"/>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9"/>
    <s v="Tuntas"/>
    <s v="Bahasa Indonesia"/>
    <x v="1"/>
    <x v="3"/>
    <n v="69"/>
    <x v="1"/>
    <n v="11"/>
    <x v="0"/>
    <x v="3"/>
    <x v="2"/>
  </r>
  <r>
    <n v="309"/>
    <s v="242510006"/>
    <x v="0"/>
    <x v="9"/>
    <s v="Nabire"/>
    <d v="2026-02-02T00:00:00"/>
    <s v="02"/>
    <x v="1"/>
    <s v="26"/>
    <x v="0"/>
    <x v="0"/>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4"/>
    <x v="2"/>
  </r>
  <r>
    <n v="310"/>
    <s v="242510006"/>
    <x v="0"/>
    <x v="9"/>
    <s v="Nabire"/>
    <d v="2026-02-02T00:00:00"/>
    <s v="02"/>
    <x v="1"/>
    <s v="26"/>
    <x v="2"/>
    <x v="6"/>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4"/>
    <x v="2"/>
  </r>
  <r>
    <n v="311"/>
    <s v="242510006"/>
    <x v="0"/>
    <x v="9"/>
    <s v="Nabire"/>
    <d v="2026-02-02T00:00:00"/>
    <s v="02"/>
    <x v="1"/>
    <s v="26"/>
    <x v="3"/>
    <x v="4"/>
    <x v="5"/>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3"/>
    <x v="4"/>
    <x v="2"/>
  </r>
  <r>
    <n v="312"/>
    <s v="242510006"/>
    <x v="0"/>
    <x v="9"/>
    <s v="Nabire"/>
    <d v="2026-02-02T00:00:00"/>
    <s v="02"/>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4"/>
    <x v="2"/>
  </r>
  <r>
    <n v="313"/>
    <s v="242510006"/>
    <x v="0"/>
    <x v="9"/>
    <s v="Nabire"/>
    <d v="2026-02-09T00:00:00"/>
    <s v="09"/>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5"/>
    <x v="2"/>
  </r>
  <r>
    <n v="314"/>
    <s v="242510006"/>
    <x v="0"/>
    <x v="9"/>
    <s v="Nabire"/>
    <d v="2026-02-09T00:00:00"/>
    <s v="09"/>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5"/>
    <x v="2"/>
  </r>
  <r>
    <n v="315"/>
    <s v="242510006"/>
    <x v="0"/>
    <x v="9"/>
    <s v="Nabire"/>
    <d v="2026-02-16T00:00:00"/>
    <s v="16"/>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6"/>
    <x v="2"/>
  </r>
  <r>
    <n v="316"/>
    <s v="242510006"/>
    <x v="0"/>
    <x v="9"/>
    <s v="Nabire"/>
    <d v="2026-02-16T00:00:00"/>
    <s v="16"/>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6"/>
    <x v="2"/>
  </r>
  <r>
    <n v="317"/>
    <s v="242510006"/>
    <x v="0"/>
    <x v="9"/>
    <s v="Nabire"/>
    <d v="2026-02-16T00:00:00"/>
    <s v="16"/>
    <x v="1"/>
    <s v="26"/>
    <x v="3"/>
    <x v="4"/>
    <x v="3"/>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1"/>
    <x v="6"/>
    <x v="2"/>
  </r>
  <r>
    <n v="318"/>
    <s v="242510006"/>
    <x v="0"/>
    <x v="9"/>
    <s v="Nabire"/>
    <d v="2026-02-16T00:00:00"/>
    <s v="16"/>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6"/>
    <x v="2"/>
  </r>
  <r>
    <n v="319"/>
    <s v="242510009"/>
    <x v="0"/>
    <x v="10"/>
    <s v="Nabire"/>
    <d v="2026-01-12T00:00:00"/>
    <s v="12"/>
    <x v="0"/>
    <s v="26"/>
    <x v="0"/>
    <x v="2"/>
    <x v="1"/>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18"/>
    <s v="Tidak tuntas"/>
    <s v="Bahasa Indonesia"/>
    <x v="1"/>
    <x v="3"/>
    <n v="18"/>
    <x v="3"/>
    <n v="11"/>
    <x v="0"/>
    <x v="1"/>
    <x v="5"/>
  </r>
  <r>
    <n v="320"/>
    <s v="242510009"/>
    <x v="0"/>
    <x v="10"/>
    <s v="Nabire"/>
    <d v="2026-01-13T00:00:00"/>
    <s v="13"/>
    <x v="0"/>
    <s v="26"/>
    <x v="0"/>
    <x v="0"/>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50"/>
    <s v="Tidak tuntas"/>
    <s v="Bahasa Indonesia"/>
    <x v="1"/>
    <x v="3"/>
    <n v="50"/>
    <x v="3"/>
    <n v="11"/>
    <x v="0"/>
    <x v="1"/>
    <x v="5"/>
  </r>
  <r>
    <n v="321"/>
    <s v="242510009"/>
    <x v="0"/>
    <x v="10"/>
    <s v="Nabire"/>
    <d v="2026-01-13T00:00:00"/>
    <s v="13"/>
    <x v="0"/>
    <s v="26"/>
    <x v="2"/>
    <x v="3"/>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50"/>
    <s v="Tidak tuntas"/>
    <s v="Bahasa Indonesia"/>
    <x v="1"/>
    <x v="3"/>
    <n v="50"/>
    <x v="3"/>
    <n v="11"/>
    <x v="0"/>
    <x v="1"/>
    <x v="5"/>
  </r>
  <r>
    <n v="322"/>
    <s v="242510009"/>
    <x v="0"/>
    <x v="10"/>
    <s v="Nabire"/>
    <d v="2026-01-13T00:00:00"/>
    <s v="13"/>
    <x v="0"/>
    <s v="26"/>
    <x v="3"/>
    <x v="4"/>
    <x v="3"/>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5"/>
    <s v="Tuntas"/>
    <s v="Bahasa Indonesia"/>
    <x v="1"/>
    <x v="3"/>
    <n v="65"/>
    <x v="1"/>
    <n v="11"/>
    <x v="3"/>
    <x v="1"/>
    <x v="5"/>
  </r>
  <r>
    <n v="323"/>
    <s v="242510009"/>
    <x v="0"/>
    <x v="10"/>
    <s v="Nabire"/>
    <d v="2026-01-13T00:00:00"/>
    <s v="13"/>
    <x v="0"/>
    <s v="26"/>
    <x v="4"/>
    <x v="5"/>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0"/>
    <s v="Tidak tuntas"/>
    <s v="Bahasa Indonesia"/>
    <x v="1"/>
    <x v="3"/>
    <n v="60"/>
    <x v="3"/>
    <n v="11"/>
    <x v="0"/>
    <x v="1"/>
    <x v="5"/>
  </r>
  <r>
    <n v="324"/>
    <s v="242510009"/>
    <x v="0"/>
    <x v="10"/>
    <s v="Nabire"/>
    <d v="2026-01-19T00:00:00"/>
    <s v="19"/>
    <x v="0"/>
    <s v="26"/>
    <x v="0"/>
    <x v="0"/>
    <x v="4"/>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50"/>
    <s v="Tidak tuntas"/>
    <s v="Bahasa Indonesia"/>
    <x v="1"/>
    <x v="3"/>
    <n v="50"/>
    <x v="3"/>
    <n v="11"/>
    <x v="0"/>
    <x v="2"/>
    <x v="5"/>
  </r>
  <r>
    <n v="325"/>
    <s v="242510009"/>
    <x v="0"/>
    <x v="10"/>
    <s v="Nabire"/>
    <d v="2026-01-19T00:00:00"/>
    <s v="19"/>
    <x v="0"/>
    <s v="26"/>
    <x v="2"/>
    <x v="6"/>
    <x v="4"/>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45"/>
    <s v="Tidak tuntas"/>
    <s v="Bahasa Indonesia"/>
    <x v="1"/>
    <x v="3"/>
    <n v="45"/>
    <x v="3"/>
    <n v="11"/>
    <x v="0"/>
    <x v="2"/>
    <x v="5"/>
  </r>
  <r>
    <n v="326"/>
    <s v="242510009"/>
    <x v="0"/>
    <x v="10"/>
    <s v="Nabire"/>
    <d v="2026-01-19T00:00:00"/>
    <s v="19"/>
    <x v="0"/>
    <s v="26"/>
    <x v="3"/>
    <x v="4"/>
    <x v="5"/>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9"/>
    <s v="Tuntas"/>
    <s v="Bahasa Indonesia"/>
    <x v="1"/>
    <x v="3"/>
    <n v="69"/>
    <x v="1"/>
    <n v="11"/>
    <x v="3"/>
    <x v="2"/>
    <x v="5"/>
  </r>
  <r>
    <n v="327"/>
    <s v="242510009"/>
    <x v="0"/>
    <x v="10"/>
    <s v="Nabire"/>
    <d v="2026-01-19T00:00:00"/>
    <s v="19"/>
    <x v="0"/>
    <s v="26"/>
    <x v="4"/>
    <x v="5"/>
    <x v="0"/>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2"/>
    <x v="5"/>
  </r>
  <r>
    <n v="328"/>
    <s v="242510009"/>
    <x v="0"/>
    <x v="10"/>
    <s v="Nabire"/>
    <d v="2026-01-26T00:00:00"/>
    <s v="26"/>
    <x v="0"/>
    <s v="26"/>
    <x v="0"/>
    <x v="0"/>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45"/>
    <s v="Tidak tuntas"/>
    <s v="Bahasa Indonesia"/>
    <x v="1"/>
    <x v="3"/>
    <n v="45"/>
    <x v="3"/>
    <n v="11"/>
    <x v="0"/>
    <x v="3"/>
    <x v="5"/>
  </r>
  <r>
    <n v="329"/>
    <s v="242510009"/>
    <x v="0"/>
    <x v="10"/>
    <s v="Nabire"/>
    <d v="2026-01-26T00:00:00"/>
    <s v="26"/>
    <x v="0"/>
    <s v="26"/>
    <x v="2"/>
    <x v="6"/>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55"/>
    <s v="Tidak tuntas"/>
    <s v="Bahasa Indonesia"/>
    <x v="1"/>
    <x v="3"/>
    <n v="55"/>
    <x v="3"/>
    <n v="11"/>
    <x v="0"/>
    <x v="3"/>
    <x v="5"/>
  </r>
  <r>
    <n v="330"/>
    <s v="242510009"/>
    <x v="0"/>
    <x v="10"/>
    <s v="Nabire"/>
    <d v="2026-01-26T00:00:00"/>
    <s v="26"/>
    <x v="0"/>
    <s v="26"/>
    <x v="3"/>
    <x v="4"/>
    <x v="5"/>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5"/>
  </r>
  <r>
    <n v="331"/>
    <s v="242510009"/>
    <x v="0"/>
    <x v="10"/>
    <s v="Nabire"/>
    <d v="2026-01-26T00:00:00"/>
    <s v="26"/>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5"/>
  </r>
  <r>
    <n v="332"/>
    <s v="242510009"/>
    <x v="0"/>
    <x v="10"/>
    <s v="Nabire"/>
    <d v="2026-01-27T00:00:00"/>
    <s v="27"/>
    <x v="0"/>
    <s v="26"/>
    <x v="0"/>
    <x v="0"/>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50"/>
    <s v="Tidak tuntas"/>
    <s v="Bahasa Indonesia"/>
    <x v="1"/>
    <x v="3"/>
    <n v="50"/>
    <x v="3"/>
    <n v="11"/>
    <x v="0"/>
    <x v="3"/>
    <x v="5"/>
  </r>
  <r>
    <n v="333"/>
    <s v="242510009"/>
    <x v="0"/>
    <x v="10"/>
    <s v="Nabire"/>
    <d v="2026-01-27T00:00:00"/>
    <s v="27"/>
    <x v="0"/>
    <s v="26"/>
    <x v="2"/>
    <x v="6"/>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55"/>
    <s v="Tidak tuntas"/>
    <s v="Bahasa Indonesia"/>
    <x v="1"/>
    <x v="3"/>
    <n v="55"/>
    <x v="3"/>
    <n v="11"/>
    <x v="0"/>
    <x v="3"/>
    <x v="5"/>
  </r>
  <r>
    <n v="334"/>
    <s v="242510009"/>
    <x v="0"/>
    <x v="10"/>
    <s v="Nabire"/>
    <d v="2026-01-27T00:00:00"/>
    <s v="27"/>
    <x v="0"/>
    <s v="26"/>
    <x v="3"/>
    <x v="4"/>
    <x v="3"/>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5"/>
  </r>
  <r>
    <n v="335"/>
    <s v="242510009"/>
    <x v="0"/>
    <x v="10"/>
    <s v="Nabire"/>
    <d v="2026-01-27T00:00:00"/>
    <s v="27"/>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9"/>
    <s v="Tuntas"/>
    <s v="Bahasa Indonesia"/>
    <x v="1"/>
    <x v="3"/>
    <n v="69"/>
    <x v="1"/>
    <n v="11"/>
    <x v="0"/>
    <x v="3"/>
    <x v="5"/>
  </r>
  <r>
    <n v="336"/>
    <s v="242510009"/>
    <x v="0"/>
    <x v="10"/>
    <s v="Nabire"/>
    <d v="2026-02-02T00:00:00"/>
    <s v="02"/>
    <x v="1"/>
    <s v="26"/>
    <x v="0"/>
    <x v="0"/>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4"/>
    <s v="Tidak tuntas"/>
    <s v="Bahasa Indonesia"/>
    <x v="1"/>
    <x v="3"/>
    <n v="64"/>
    <x v="3"/>
    <n v="11"/>
    <x v="0"/>
    <x v="4"/>
    <x v="5"/>
  </r>
  <r>
    <n v="337"/>
    <s v="242510009"/>
    <x v="0"/>
    <x v="10"/>
    <s v="Nabire"/>
    <d v="2026-02-02T00:00:00"/>
    <s v="02"/>
    <x v="1"/>
    <s v="26"/>
    <x v="2"/>
    <x v="6"/>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0"/>
    <s v="Tidak tuntas"/>
    <s v="Bahasa Indonesia"/>
    <x v="1"/>
    <x v="3"/>
    <n v="60"/>
    <x v="3"/>
    <n v="11"/>
    <x v="0"/>
    <x v="4"/>
    <x v="5"/>
  </r>
  <r>
    <n v="338"/>
    <s v="242510009"/>
    <x v="0"/>
    <x v="10"/>
    <s v="Nabire"/>
    <d v="2026-02-02T00:00:00"/>
    <s v="02"/>
    <x v="1"/>
    <s v="26"/>
    <x v="3"/>
    <x v="4"/>
    <x v="5"/>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3"/>
    <x v="4"/>
    <x v="5"/>
  </r>
  <r>
    <n v="339"/>
    <s v="242510009"/>
    <x v="0"/>
    <x v="10"/>
    <s v="Nabire"/>
    <d v="2026-02-02T00:00:00"/>
    <s v="02"/>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4"/>
    <x v="5"/>
  </r>
  <r>
    <n v="340"/>
    <s v="242510009"/>
    <x v="0"/>
    <x v="10"/>
    <s v="Nabire"/>
    <d v="2026-02-09T00:00:00"/>
    <s v="09"/>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55"/>
    <s v="Tidak tuntas"/>
    <s v="Bahasa Indonesia"/>
    <x v="1"/>
    <x v="3"/>
    <n v="55"/>
    <x v="3"/>
    <n v="11"/>
    <x v="0"/>
    <x v="5"/>
    <x v="5"/>
  </r>
  <r>
    <n v="341"/>
    <s v="242510009"/>
    <x v="0"/>
    <x v="10"/>
    <s v="Nabire"/>
    <d v="2026-02-09T00:00:00"/>
    <s v="09"/>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0"/>
    <s v="Tidak tuntas"/>
    <s v="Bahasa Indonesia"/>
    <x v="1"/>
    <x v="3"/>
    <n v="60"/>
    <x v="3"/>
    <n v="11"/>
    <x v="0"/>
    <x v="5"/>
    <x v="5"/>
  </r>
  <r>
    <n v="342"/>
    <s v="242510009"/>
    <x v="0"/>
    <x v="10"/>
    <s v="Nabire"/>
    <d v="2026-02-16T00:00:00"/>
    <s v="16"/>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6"/>
    <x v="5"/>
  </r>
  <r>
    <n v="343"/>
    <s v="242510009"/>
    <x v="0"/>
    <x v="10"/>
    <s v="Nabire"/>
    <d v="2026-02-16T00:00:00"/>
    <s v="16"/>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0"/>
    <s v="Tidak tuntas"/>
    <s v="Bahasa Indonesia"/>
    <x v="1"/>
    <x v="3"/>
    <n v="60"/>
    <x v="3"/>
    <n v="11"/>
    <x v="0"/>
    <x v="6"/>
    <x v="5"/>
  </r>
  <r>
    <n v="344"/>
    <s v="242510009"/>
    <x v="0"/>
    <x v="10"/>
    <s v="Nabire"/>
    <d v="2026-02-16T00:00:00"/>
    <s v="16"/>
    <x v="1"/>
    <s v="26"/>
    <x v="3"/>
    <x v="4"/>
    <x v="3"/>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1"/>
    <x v="6"/>
    <x v="5"/>
  </r>
  <r>
    <n v="345"/>
    <s v="242510009"/>
    <x v="0"/>
    <x v="10"/>
    <s v="Nabire"/>
    <d v="2026-02-16T00:00:00"/>
    <s v="16"/>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9"/>
    <s v="Tuntas"/>
    <s v="Bahasa Indonesia"/>
    <x v="1"/>
    <x v="3"/>
    <n v="69"/>
    <x v="1"/>
    <n v="11"/>
    <x v="0"/>
    <x v="6"/>
    <x v="5"/>
  </r>
  <r>
    <n v="346"/>
    <s v="242510012"/>
    <x v="0"/>
    <x v="11"/>
    <s v="Intan Jaya"/>
    <d v="2026-01-12T00:00:00"/>
    <s v="12"/>
    <x v="0"/>
    <s v="26"/>
    <x v="0"/>
    <x v="2"/>
    <x v="1"/>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5"/>
    <s v="Tidak tuntas"/>
    <s v="Bahasa Indonesia"/>
    <x v="1"/>
    <x v="3"/>
    <n v="5"/>
    <x v="3"/>
    <n v="11"/>
    <x v="0"/>
    <x v="1"/>
    <x v="2"/>
  </r>
  <r>
    <n v="347"/>
    <s v="242510012"/>
    <x v="0"/>
    <x v="11"/>
    <s v="Intan Jaya"/>
    <d v="2026-01-13T00:00:00"/>
    <s v="13"/>
    <x v="0"/>
    <s v="26"/>
    <x v="0"/>
    <x v="0"/>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5"/>
    <s v="Tuntas"/>
    <s v="Bahasa Indonesia"/>
    <x v="1"/>
    <x v="3"/>
    <n v="75"/>
    <x v="1"/>
    <n v="11"/>
    <x v="0"/>
    <x v="1"/>
    <x v="2"/>
  </r>
  <r>
    <n v="348"/>
    <s v="242510012"/>
    <x v="0"/>
    <x v="11"/>
    <s v="Intan Jaya"/>
    <d v="2026-01-13T00:00:00"/>
    <s v="13"/>
    <x v="0"/>
    <s v="26"/>
    <x v="2"/>
    <x v="3"/>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8"/>
    <s v="Tuntas"/>
    <s v="Bahasa Indonesia"/>
    <x v="1"/>
    <x v="3"/>
    <n v="68"/>
    <x v="1"/>
    <n v="11"/>
    <x v="0"/>
    <x v="1"/>
    <x v="2"/>
  </r>
  <r>
    <n v="349"/>
    <s v="242510012"/>
    <x v="0"/>
    <x v="11"/>
    <s v="Intan Jaya"/>
    <d v="2026-01-13T00:00:00"/>
    <s v="13"/>
    <x v="0"/>
    <s v="26"/>
    <x v="3"/>
    <x v="4"/>
    <x v="3"/>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1"/>
    <x v="1"/>
    <x v="2"/>
  </r>
  <r>
    <n v="350"/>
    <s v="242510012"/>
    <x v="0"/>
    <x v="11"/>
    <s v="Intan Jaya"/>
    <d v="2026-01-13T00:00:00"/>
    <s v="13"/>
    <x v="0"/>
    <s v="26"/>
    <x v="4"/>
    <x v="5"/>
    <x v="2"/>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1"/>
    <x v="2"/>
  </r>
  <r>
    <n v="351"/>
    <s v="242510012"/>
    <x v="0"/>
    <x v="11"/>
    <s v="Intan Jaya"/>
    <d v="2026-01-19T00:00:00"/>
    <s v="19"/>
    <x v="0"/>
    <s v="26"/>
    <x v="0"/>
    <x v="0"/>
    <x v="4"/>
    <s v="Real"/>
    <s v="Entrepreneur"/>
    <s v="Product development"/>
    <x v="0"/>
    <x v="0"/>
    <x v="0"/>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50"/>
    <s v="Tidak tuntas"/>
    <s v="Bahasa Indonesia"/>
    <x v="1"/>
    <x v="3"/>
    <n v="50"/>
    <x v="3"/>
    <n v="11"/>
    <x v="0"/>
    <x v="2"/>
    <x v="2"/>
  </r>
  <r>
    <n v="352"/>
    <s v="242510012"/>
    <x v="0"/>
    <x v="11"/>
    <s v="Intan Jaya"/>
    <d v="2026-01-19T00:00:00"/>
    <s v="19"/>
    <x v="0"/>
    <s v="26"/>
    <x v="2"/>
    <x v="6"/>
    <x v="4"/>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0"/>
    <s v="Tidak tuntas"/>
    <s v="Bahasa Indonesia"/>
    <x v="1"/>
    <x v="3"/>
    <n v="60"/>
    <x v="3"/>
    <n v="11"/>
    <x v="0"/>
    <x v="2"/>
    <x v="2"/>
  </r>
  <r>
    <n v="353"/>
    <s v="242510012"/>
    <x v="0"/>
    <x v="11"/>
    <s v="Intan Jaya"/>
    <d v="2026-01-19T00:00:00"/>
    <s v="19"/>
    <x v="0"/>
    <s v="26"/>
    <x v="3"/>
    <x v="4"/>
    <x v="5"/>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69"/>
    <s v="Tuntas"/>
    <s v="Bahasa Indonesia"/>
    <x v="1"/>
    <x v="3"/>
    <n v="69"/>
    <x v="1"/>
    <n v="11"/>
    <x v="3"/>
    <x v="2"/>
    <x v="2"/>
  </r>
  <r>
    <n v="354"/>
    <s v="242510012"/>
    <x v="0"/>
    <x v="11"/>
    <s v="Intan Jaya"/>
    <d v="2026-01-19T00:00:00"/>
    <s v="19"/>
    <x v="0"/>
    <s v="26"/>
    <x v="4"/>
    <x v="5"/>
    <x v="0"/>
    <s v="Real"/>
    <s v="Entrepreneur"/>
    <s v="Product development"/>
    <x v="0"/>
    <x v="0"/>
    <x v="1"/>
    <s v="F11.01.01"/>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1"/>
    <x v="4"/>
    <s v="K11"/>
    <s v="F"/>
    <n v="65"/>
    <n v="70"/>
    <s v="Tuntas"/>
    <s v="Bahasa Indonesia"/>
    <x v="1"/>
    <x v="3"/>
    <n v="70"/>
    <x v="1"/>
    <n v="11"/>
    <x v="0"/>
    <x v="2"/>
    <x v="2"/>
  </r>
  <r>
    <n v="355"/>
    <s v="242510012"/>
    <x v="0"/>
    <x v="11"/>
    <s v="Intan Jaya"/>
    <d v="2026-01-26T00:00:00"/>
    <s v="26"/>
    <x v="0"/>
    <s v="26"/>
    <x v="0"/>
    <x v="0"/>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55"/>
    <s v="Tidak tuntas"/>
    <s v="Bahasa Indonesia"/>
    <x v="1"/>
    <x v="3"/>
    <n v="55"/>
    <x v="3"/>
    <n v="11"/>
    <x v="0"/>
    <x v="3"/>
    <x v="2"/>
  </r>
  <r>
    <n v="356"/>
    <s v="242510012"/>
    <x v="0"/>
    <x v="11"/>
    <s v="Intan Jaya"/>
    <d v="2026-01-26T00:00:00"/>
    <s v="26"/>
    <x v="0"/>
    <s v="26"/>
    <x v="2"/>
    <x v="6"/>
    <x v="6"/>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55"/>
    <s v="Tidak tuntas"/>
    <s v="Bahasa Indonesia"/>
    <x v="1"/>
    <x v="3"/>
    <n v="55"/>
    <x v="3"/>
    <n v="11"/>
    <x v="0"/>
    <x v="3"/>
    <x v="2"/>
  </r>
  <r>
    <n v="357"/>
    <s v="242510012"/>
    <x v="0"/>
    <x v="11"/>
    <s v="Intan Jaya"/>
    <d v="2026-01-26T00:00:00"/>
    <s v="26"/>
    <x v="0"/>
    <s v="26"/>
    <x v="3"/>
    <x v="4"/>
    <x v="5"/>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2"/>
  </r>
  <r>
    <n v="358"/>
    <s v="242510012"/>
    <x v="0"/>
    <x v="11"/>
    <s v="Intan Jaya"/>
    <d v="2026-01-26T00:00:00"/>
    <s v="26"/>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5"/>
    <s v="Tuntas"/>
    <s v="Bahasa Indonesia"/>
    <x v="1"/>
    <x v="3"/>
    <n v="65"/>
    <x v="1"/>
    <n v="11"/>
    <x v="0"/>
    <x v="3"/>
    <x v="2"/>
  </r>
  <r>
    <n v="359"/>
    <s v="242510012"/>
    <x v="0"/>
    <x v="11"/>
    <s v="Intan Jaya"/>
    <d v="2026-01-27T00:00:00"/>
    <s v="27"/>
    <x v="0"/>
    <s v="26"/>
    <x v="0"/>
    <x v="0"/>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3"/>
    <s v="Tidak tuntas"/>
    <s v="Bahasa Indonesia"/>
    <x v="1"/>
    <x v="3"/>
    <n v="63"/>
    <x v="3"/>
    <n v="11"/>
    <x v="0"/>
    <x v="3"/>
    <x v="2"/>
  </r>
  <r>
    <n v="360"/>
    <s v="242510012"/>
    <x v="0"/>
    <x v="11"/>
    <s v="Intan Jaya"/>
    <d v="2026-01-27T00:00:00"/>
    <s v="27"/>
    <x v="0"/>
    <s v="26"/>
    <x v="2"/>
    <x v="6"/>
    <x v="4"/>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55"/>
    <s v="Tidak tuntas"/>
    <s v="Bahasa Indonesia"/>
    <x v="1"/>
    <x v="3"/>
    <n v="55"/>
    <x v="3"/>
    <n v="11"/>
    <x v="0"/>
    <x v="3"/>
    <x v="2"/>
  </r>
  <r>
    <n v="361"/>
    <s v="242510012"/>
    <x v="0"/>
    <x v="11"/>
    <s v="Intan Jaya"/>
    <d v="2026-01-27T00:00:00"/>
    <s v="27"/>
    <x v="0"/>
    <s v="26"/>
    <x v="3"/>
    <x v="4"/>
    <x v="3"/>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70"/>
    <s v="Tuntas"/>
    <s v="Bahasa Indonesia"/>
    <x v="1"/>
    <x v="3"/>
    <n v="70"/>
    <x v="1"/>
    <n v="11"/>
    <x v="1"/>
    <x v="3"/>
    <x v="2"/>
  </r>
  <r>
    <n v="362"/>
    <s v="242510012"/>
    <x v="0"/>
    <x v="11"/>
    <s v="Intan Jaya"/>
    <d v="2026-01-27T00:00:00"/>
    <s v="27"/>
    <x v="0"/>
    <s v="26"/>
    <x v="4"/>
    <x v="5"/>
    <x v="0"/>
    <s v="Real"/>
    <s v="Entrepreneur"/>
    <s v="Product development"/>
    <x v="0"/>
    <x v="0"/>
    <x v="1"/>
    <s v="F11.01.02"/>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2"/>
    <x v="5"/>
    <s v="K11"/>
    <s v="F"/>
    <n v="65"/>
    <n v="69"/>
    <s v="Tuntas"/>
    <s v="Bahasa Indonesia"/>
    <x v="1"/>
    <x v="3"/>
    <n v="69"/>
    <x v="1"/>
    <n v="11"/>
    <x v="0"/>
    <x v="3"/>
    <x v="2"/>
  </r>
  <r>
    <n v="363"/>
    <s v="242510012"/>
    <x v="0"/>
    <x v="11"/>
    <s v="Intan Jaya"/>
    <d v="2026-02-02T00:00:00"/>
    <s v="02"/>
    <x v="1"/>
    <s v="26"/>
    <x v="0"/>
    <x v="0"/>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8"/>
    <s v="Tuntas"/>
    <s v="Bahasa Indonesia"/>
    <x v="1"/>
    <x v="3"/>
    <n v="68"/>
    <x v="1"/>
    <n v="11"/>
    <x v="0"/>
    <x v="4"/>
    <x v="2"/>
  </r>
  <r>
    <n v="364"/>
    <s v="242510012"/>
    <x v="0"/>
    <x v="11"/>
    <s v="Intan Jaya"/>
    <d v="2026-02-02T00:00:00"/>
    <s v="02"/>
    <x v="1"/>
    <s v="26"/>
    <x v="2"/>
    <x v="6"/>
    <x v="2"/>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0"/>
    <s v="Tidak tuntas"/>
    <s v="Bahasa Indonesia"/>
    <x v="1"/>
    <x v="3"/>
    <n v="60"/>
    <x v="3"/>
    <n v="11"/>
    <x v="0"/>
    <x v="4"/>
    <x v="2"/>
  </r>
  <r>
    <n v="365"/>
    <s v="242510012"/>
    <x v="0"/>
    <x v="11"/>
    <s v="Intan Jaya"/>
    <d v="2026-02-02T00:00:00"/>
    <s v="02"/>
    <x v="1"/>
    <s v="26"/>
    <x v="3"/>
    <x v="4"/>
    <x v="5"/>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3"/>
    <x v="4"/>
    <x v="2"/>
  </r>
  <r>
    <n v="366"/>
    <s v="242510012"/>
    <x v="0"/>
    <x v="11"/>
    <s v="Intan Jaya"/>
    <d v="2026-02-02T00:00:00"/>
    <s v="02"/>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0"/>
    <x v="4"/>
    <x v="2"/>
  </r>
  <r>
    <n v="367"/>
    <s v="242510012"/>
    <x v="0"/>
    <x v="11"/>
    <s v="Intan Jaya"/>
    <d v="2026-02-09T00:00:00"/>
    <s v="09"/>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5"/>
    <x v="2"/>
  </r>
  <r>
    <n v="368"/>
    <s v="242510012"/>
    <x v="0"/>
    <x v="11"/>
    <s v="Intan Jaya"/>
    <d v="2026-02-09T00:00:00"/>
    <s v="09"/>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5"/>
    <s v="Tuntas"/>
    <s v="Bahasa Indonesia"/>
    <x v="1"/>
    <x v="3"/>
    <n v="65"/>
    <x v="1"/>
    <n v="11"/>
    <x v="0"/>
    <x v="5"/>
    <x v="2"/>
  </r>
  <r>
    <n v="369"/>
    <s v="242510012"/>
    <x v="0"/>
    <x v="11"/>
    <s v="Intan Jaya"/>
    <d v="2026-02-16T00:00:00"/>
    <s v="16"/>
    <x v="1"/>
    <s v="26"/>
    <x v="0"/>
    <x v="0"/>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9"/>
    <s v="Tuntas"/>
    <s v="Bahasa Indonesia"/>
    <x v="1"/>
    <x v="3"/>
    <n v="69"/>
    <x v="1"/>
    <n v="11"/>
    <x v="0"/>
    <x v="6"/>
    <x v="2"/>
  </r>
  <r>
    <n v="370"/>
    <s v="242510012"/>
    <x v="0"/>
    <x v="11"/>
    <s v="Intan Jaya"/>
    <d v="2026-02-16T00:00:00"/>
    <s v="16"/>
    <x v="1"/>
    <s v="26"/>
    <x v="2"/>
    <x v="6"/>
    <x v="6"/>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0"/>
    <s v="Tidak tuntas"/>
    <s v="Bahasa Indonesia"/>
    <x v="1"/>
    <x v="3"/>
    <n v="60"/>
    <x v="3"/>
    <n v="11"/>
    <x v="0"/>
    <x v="6"/>
    <x v="2"/>
  </r>
  <r>
    <n v="371"/>
    <s v="242510012"/>
    <x v="0"/>
    <x v="11"/>
    <s v="Intan Jaya"/>
    <d v="2026-02-16T00:00:00"/>
    <s v="16"/>
    <x v="1"/>
    <s v="26"/>
    <x v="3"/>
    <x v="4"/>
    <x v="3"/>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70"/>
    <s v="Tuntas"/>
    <s v="Bahasa Indonesia"/>
    <x v="1"/>
    <x v="3"/>
    <n v="70"/>
    <x v="1"/>
    <n v="11"/>
    <x v="1"/>
    <x v="6"/>
    <x v="2"/>
  </r>
  <r>
    <n v="372"/>
    <s v="242510012"/>
    <x v="0"/>
    <x v="11"/>
    <s v="Intan Jaya"/>
    <d v="2026-02-16T00:00:00"/>
    <s v="16"/>
    <x v="1"/>
    <s v="26"/>
    <x v="4"/>
    <x v="5"/>
    <x v="0"/>
    <s v="Real"/>
    <s v="Entrepreneur"/>
    <s v="Product development"/>
    <x v="0"/>
    <x v="0"/>
    <x v="1"/>
    <s v="F11.01.03"/>
    <n v="1"/>
    <s v="menganalisis dan mengkomunikasikan gagasan, ide, dan pengalaman mereka secara tertulis  untuk menentukan makna tersurat dan tersirat serta menentukan isi, struktur dengan menggunakan data sebagai dasar argumen, serta menerapkan kaidah kebahasaan Bahasa Indonesia secara tepat"/>
    <s v="01.03"/>
    <x v="6"/>
    <s v="K11"/>
    <s v="F"/>
    <n v="65"/>
    <n v="69"/>
    <s v="Tuntas"/>
    <s v="Bahasa Indonesia"/>
    <x v="1"/>
    <x v="3"/>
    <n v="69"/>
    <x v="1"/>
    <n v="11"/>
    <x v="0"/>
    <x v="6"/>
    <x v="2"/>
  </r>
  <r>
    <n v="373"/>
    <s v="242510001"/>
    <x v="0"/>
    <x v="4"/>
    <s v="Intan Jaya"/>
    <d v="2026-01-08T00:00:00"/>
    <s v="08"/>
    <x v="0"/>
    <s v="26"/>
    <x v="0"/>
    <x v="0"/>
    <x v="4"/>
    <s v="Real"/>
    <s v="Entrepreneur"/>
    <s v="Product development"/>
    <x v="0"/>
    <x v="0"/>
    <x v="0"/>
    <s v="F11.02.01"/>
    <n v="2"/>
    <s v="mengargumentasikan yang berkaitan dengan pengembangan produk untuk peningkatan taraf perekonomian masyarakat melalui karya tulis ilmiah"/>
    <s v="02.01"/>
    <x v="7"/>
    <s v="K11"/>
    <s v="F"/>
    <n v="65"/>
    <n v="94"/>
    <s v="Tuntas"/>
    <s v="Bahasa Inggris"/>
    <x v="0"/>
    <x v="4"/>
    <n v="94"/>
    <x v="4"/>
    <n v="11"/>
    <x v="0"/>
    <x v="7"/>
    <x v="2"/>
  </r>
  <r>
    <n v="374"/>
    <s v="242510001"/>
    <x v="0"/>
    <x v="4"/>
    <s v="Intan Jaya"/>
    <d v="2026-01-08T00:00:00"/>
    <s v="08"/>
    <x v="0"/>
    <s v="26"/>
    <x v="1"/>
    <x v="7"/>
    <x v="7"/>
    <s v="Real"/>
    <s v="Entrepreneur"/>
    <s v="Product development"/>
    <x v="0"/>
    <x v="0"/>
    <x v="0"/>
    <s v="F11.02.01"/>
    <n v="2"/>
    <s v="mengargumentasikan yang berkaitan dengan pengembangan produk untuk peningkatan taraf perekonomian masyarakat melalui karya tulis ilmiah"/>
    <s v="02.01"/>
    <x v="7"/>
    <s v="K11"/>
    <s v="F"/>
    <n v="65"/>
    <n v="94"/>
    <s v="Tuntas"/>
    <s v="Bahasa Inggris"/>
    <x v="0"/>
    <x v="4"/>
    <n v="94"/>
    <x v="4"/>
    <n v="11"/>
    <x v="0"/>
    <x v="7"/>
    <x v="2"/>
  </r>
  <r>
    <n v="375"/>
    <s v="242510001"/>
    <x v="0"/>
    <x v="4"/>
    <s v="Intan Jaya"/>
    <d v="2026-01-08T00:00:00"/>
    <s v="08"/>
    <x v="0"/>
    <s v="26"/>
    <x v="3"/>
    <x v="4"/>
    <x v="8"/>
    <s v="Real"/>
    <s v="Entrepreneur"/>
    <s v="Product development"/>
    <x v="0"/>
    <x v="0"/>
    <x v="0"/>
    <s v="F11.02.01"/>
    <n v="2"/>
    <s v="mengargumentasikan yang berkaitan dengan pengembangan produk untuk peningkatan taraf perekonomian masyarakat melalui karya tulis ilmiah"/>
    <s v="02.01"/>
    <x v="7"/>
    <s v="K11"/>
    <s v="F"/>
    <n v="65"/>
    <n v="90"/>
    <s v="Tuntas"/>
    <s v="Bahasa Inggris"/>
    <x v="0"/>
    <x v="4"/>
    <n v="90"/>
    <x v="2"/>
    <n v="11"/>
    <x v="4"/>
    <x v="7"/>
    <x v="2"/>
  </r>
  <r>
    <n v="376"/>
    <s v="242510001"/>
    <x v="0"/>
    <x v="4"/>
    <s v="Intan Jaya"/>
    <d v="2026-01-29T00:00:00"/>
    <s v="29"/>
    <x v="0"/>
    <s v="26"/>
    <x v="0"/>
    <x v="0"/>
    <x v="9"/>
    <s v="Real"/>
    <s v="Entrepreneur"/>
    <s v="Product development"/>
    <x v="0"/>
    <x v="0"/>
    <x v="0"/>
    <s v="F11.02.01"/>
    <n v="2"/>
    <s v="mengargumentasikan yang berkaitan dengan pengembangan produk untuk peningkatan taraf perekonomian masyarakat melalui karya tulis ilmiah"/>
    <s v="02.01"/>
    <x v="7"/>
    <s v="K11"/>
    <s v="F"/>
    <n v="65"/>
    <n v="85"/>
    <s v="Tuntas"/>
    <s v="Bahasa Inggris"/>
    <x v="0"/>
    <x v="4"/>
    <n v="85"/>
    <x v="2"/>
    <n v="11"/>
    <x v="0"/>
    <x v="3"/>
    <x v="2"/>
  </r>
  <r>
    <n v="377"/>
    <s v="242510001"/>
    <x v="0"/>
    <x v="4"/>
    <s v="Intan Jaya"/>
    <d v="2026-01-29T00:00:00"/>
    <s v="29"/>
    <x v="0"/>
    <s v="26"/>
    <x v="3"/>
    <x v="8"/>
    <x v="10"/>
    <s v="Real"/>
    <s v="Entrepreneur"/>
    <s v="Product development"/>
    <x v="0"/>
    <x v="0"/>
    <x v="0"/>
    <s v="F11.02.01"/>
    <n v="2"/>
    <s v="mengargumentasikan yang berkaitan dengan pengembangan produk untuk peningkatan taraf perekonomian masyarakat melalui karya tulis ilmiah"/>
    <s v="02.01"/>
    <x v="7"/>
    <s v="K11"/>
    <s v="F"/>
    <n v="65"/>
    <n v="100"/>
    <s v="Tuntas"/>
    <s v="Bahasa Inggris"/>
    <x v="0"/>
    <x v="4"/>
    <n v="100"/>
    <x v="4"/>
    <n v="11"/>
    <x v="4"/>
    <x v="3"/>
    <x v="2"/>
  </r>
  <r>
    <n v="378"/>
    <s v="242510001"/>
    <x v="0"/>
    <x v="4"/>
    <s v="Intan Jaya"/>
    <d v="2026-01-22T00:00:00"/>
    <s v="22"/>
    <x v="0"/>
    <s v="26"/>
    <x v="1"/>
    <x v="9"/>
    <x v="11"/>
    <s v="Real"/>
    <s v="Entrepreneur"/>
    <s v="Product development"/>
    <x v="0"/>
    <x v="0"/>
    <x v="0"/>
    <s v="F11.02.01"/>
    <n v="2"/>
    <s v="mengargumentasikan yang berkaitan dengan pengembangan produk untuk peningkatan taraf perekonomian masyarakat melalui karya tulis ilmiah"/>
    <s v="02.01"/>
    <x v="7"/>
    <s v="K11"/>
    <s v="F"/>
    <n v="65"/>
    <n v="68"/>
    <s v="Tuntas"/>
    <s v="Bahasa Inggris"/>
    <x v="0"/>
    <x v="4"/>
    <n v="68"/>
    <x v="1"/>
    <n v="11"/>
    <x v="0"/>
    <x v="2"/>
    <x v="2"/>
  </r>
  <r>
    <n v="379"/>
    <s v="242510001"/>
    <x v="0"/>
    <x v="4"/>
    <s v="Intan Jaya"/>
    <d v="2026-01-22T00:00:00"/>
    <s v="22"/>
    <x v="0"/>
    <s v="26"/>
    <x v="0"/>
    <x v="0"/>
    <x v="4"/>
    <s v="Real"/>
    <s v="Entrepreneur"/>
    <s v="Product development"/>
    <x v="0"/>
    <x v="0"/>
    <x v="0"/>
    <s v="F11.02.01"/>
    <n v="2"/>
    <s v="mengargumentasikan yang berkaitan dengan pengembangan produk untuk peningkatan taraf perekonomian masyarakat melalui karya tulis ilmiah"/>
    <s v="02.01"/>
    <x v="7"/>
    <s v="K11"/>
    <s v="F"/>
    <n v="65"/>
    <n v="68"/>
    <s v="Tuntas"/>
    <s v="Bahasa Inggris"/>
    <x v="0"/>
    <x v="4"/>
    <n v="68"/>
    <x v="1"/>
    <n v="11"/>
    <x v="0"/>
    <x v="2"/>
    <x v="2"/>
  </r>
  <r>
    <n v="380"/>
    <s v="242510001"/>
    <x v="0"/>
    <x v="4"/>
    <s v="Intan Jaya"/>
    <d v="2026-01-22T00:00:00"/>
    <s v="22"/>
    <x v="0"/>
    <s v="26"/>
    <x v="2"/>
    <x v="3"/>
    <x v="4"/>
    <s v="Real"/>
    <s v="Entrepreneur"/>
    <s v="Product development"/>
    <x v="0"/>
    <x v="0"/>
    <x v="0"/>
    <s v="F11.02.01"/>
    <n v="2"/>
    <s v="mengargumentasikan yang berkaitan dengan pengembangan produk untuk peningkatan taraf perekonomian masyarakat melalui karya tulis ilmiah"/>
    <s v="02.01"/>
    <x v="7"/>
    <s v="K11"/>
    <s v="F"/>
    <n v="65"/>
    <n v="68"/>
    <s v="Tuntas"/>
    <s v="Bahasa Inggris"/>
    <x v="0"/>
    <x v="4"/>
    <n v="68"/>
    <x v="1"/>
    <n v="11"/>
    <x v="0"/>
    <x v="2"/>
    <x v="2"/>
  </r>
  <r>
    <n v="381"/>
    <s v="242510001"/>
    <x v="0"/>
    <x v="4"/>
    <s v="Intan Jaya"/>
    <d v="2026-02-12T00:00:00"/>
    <s v="12"/>
    <x v="1"/>
    <s v="26"/>
    <x v="0"/>
    <x v="0"/>
    <x v="9"/>
    <s v="Real"/>
    <s v="Entrepreneur"/>
    <s v="Product development"/>
    <x v="0"/>
    <x v="0"/>
    <x v="0"/>
    <s v="F11.02.01"/>
    <n v="2"/>
    <s v="mengargumentasikan yang berkaitan dengan pengembangan produk untuk peningkatan taraf perekonomian masyarakat melalui karya tulis ilmiah"/>
    <s v="02.01"/>
    <x v="7"/>
    <s v="K11"/>
    <s v="F"/>
    <n v="65"/>
    <n v="45"/>
    <s v="Tidak tuntas"/>
    <s v="Bahasa Inggris"/>
    <x v="0"/>
    <x v="4"/>
    <n v="45"/>
    <x v="3"/>
    <n v="11"/>
    <x v="0"/>
    <x v="5"/>
    <x v="2"/>
  </r>
  <r>
    <n v="382"/>
    <s v="242510001"/>
    <x v="0"/>
    <x v="4"/>
    <s v="Intan Jaya"/>
    <d v="2026-02-12T00:00:00"/>
    <s v="12"/>
    <x v="1"/>
    <s v="26"/>
    <x v="0"/>
    <x v="0"/>
    <x v="2"/>
    <s v="Real"/>
    <s v="Entrepreneur"/>
    <s v="Product development"/>
    <x v="0"/>
    <x v="0"/>
    <x v="0"/>
    <s v="F11.02.01"/>
    <n v="2"/>
    <s v="mengargumentasikan yang berkaitan dengan pengembangan produk untuk peningkatan taraf perekonomian masyarakat melalui karya tulis ilmiah"/>
    <s v="02.01"/>
    <x v="7"/>
    <s v="K11"/>
    <s v="F"/>
    <n v="65"/>
    <n v="55"/>
    <s v="Tidak tuntas"/>
    <s v="Bahasa Inggris"/>
    <x v="0"/>
    <x v="4"/>
    <n v="55"/>
    <x v="3"/>
    <n v="11"/>
    <x v="0"/>
    <x v="5"/>
    <x v="2"/>
  </r>
  <r>
    <n v="383"/>
    <s v="242510001"/>
    <x v="0"/>
    <x v="4"/>
    <s v="Intan Jaya"/>
    <d v="2026-02-12T00:00:00"/>
    <s v="12"/>
    <x v="1"/>
    <s v="26"/>
    <x v="1"/>
    <x v="9"/>
    <x v="2"/>
    <s v="Real"/>
    <s v="Entrepreneur"/>
    <s v="Product development"/>
    <x v="0"/>
    <x v="0"/>
    <x v="0"/>
    <s v="F11.02.01"/>
    <n v="2"/>
    <s v="mengargumentasikan yang berkaitan dengan pengembangan produk untuk peningkatan taraf perekonomian masyarakat melalui karya tulis ilmiah"/>
    <s v="02.01"/>
    <x v="7"/>
    <s v="K11"/>
    <s v="F"/>
    <n v="65"/>
    <n v="55"/>
    <s v="Tidak tuntas"/>
    <s v="Bahasa Inggris"/>
    <x v="0"/>
    <x v="4"/>
    <n v="55"/>
    <x v="3"/>
    <n v="11"/>
    <x v="0"/>
    <x v="5"/>
    <x v="2"/>
  </r>
  <r>
    <n v="384"/>
    <s v="242510001"/>
    <x v="0"/>
    <x v="4"/>
    <s v="Intan Jaya"/>
    <d v="2026-02-18T00:00:00"/>
    <s v="18"/>
    <x v="1"/>
    <s v="26"/>
    <x v="1"/>
    <x v="9"/>
    <x v="11"/>
    <s v="Real"/>
    <s v="Entrepreneur"/>
    <s v="Product development"/>
    <x v="0"/>
    <x v="0"/>
    <x v="0"/>
    <s v="F11.02.01"/>
    <n v="2"/>
    <s v="mengargumentasikan yang berkaitan dengan pengembangan produk untuk peningkatan taraf perekonomian masyarakat melalui karya tulis ilmiah"/>
    <s v="02.01"/>
    <x v="7"/>
    <s v="K11"/>
    <s v="F"/>
    <n v="65"/>
    <n v="80"/>
    <s v="Tuntas"/>
    <s v="Bahasa Inggris"/>
    <x v="0"/>
    <x v="4"/>
    <n v="80"/>
    <x v="2"/>
    <n v="11"/>
    <x v="0"/>
    <x v="6"/>
    <x v="2"/>
  </r>
  <r>
    <n v="385"/>
    <s v="242510001"/>
    <x v="0"/>
    <x v="4"/>
    <s v="Intan Jaya"/>
    <d v="2026-02-18T00:00:00"/>
    <s v="18"/>
    <x v="1"/>
    <s v="26"/>
    <x v="0"/>
    <x v="0"/>
    <x v="11"/>
    <s v="Real"/>
    <s v="Entrepreneur"/>
    <s v="Product development"/>
    <x v="0"/>
    <x v="0"/>
    <x v="0"/>
    <s v="F11.02.01"/>
    <n v="2"/>
    <s v="mengargumentasikan yang berkaitan dengan pengembangan produk untuk peningkatan taraf perekonomian masyarakat melalui karya tulis ilmiah"/>
    <s v="02.01"/>
    <x v="7"/>
    <s v="K11"/>
    <s v="F"/>
    <n v="65"/>
    <n v="80"/>
    <s v="Tuntas"/>
    <s v="Bahasa Inggris"/>
    <x v="0"/>
    <x v="4"/>
    <n v="80"/>
    <x v="2"/>
    <n v="11"/>
    <x v="0"/>
    <x v="6"/>
    <x v="2"/>
  </r>
  <r>
    <n v="386"/>
    <s v="242510007"/>
    <x v="0"/>
    <x v="5"/>
    <s v="Intan Jaya"/>
    <d v="2026-01-08T00:00:00"/>
    <s v="08"/>
    <x v="0"/>
    <s v="26"/>
    <x v="0"/>
    <x v="0"/>
    <x v="4"/>
    <s v="Real"/>
    <s v="Entrepreneur"/>
    <s v="Product development"/>
    <x v="0"/>
    <x v="0"/>
    <x v="0"/>
    <s v="F11.02.01"/>
    <n v="2"/>
    <s v="mengargumentasikan yang berkaitan dengan pengembangan produk untuk peningkatan taraf perekonomian masyarakat melalui karya tulis ilmiah"/>
    <s v="02.01"/>
    <x v="7"/>
    <s v="K11"/>
    <s v="F"/>
    <n v="65"/>
    <n v="10"/>
    <s v="Tidak tuntas"/>
    <s v="Bahasa Inggris"/>
    <x v="0"/>
    <x v="4"/>
    <n v="10"/>
    <x v="3"/>
    <n v="11"/>
    <x v="0"/>
    <x v="7"/>
    <x v="3"/>
  </r>
  <r>
    <n v="387"/>
    <s v="242510007"/>
    <x v="0"/>
    <x v="5"/>
    <s v="Intan Jaya"/>
    <d v="2026-01-08T00:00:00"/>
    <s v="08"/>
    <x v="0"/>
    <s v="26"/>
    <x v="1"/>
    <x v="7"/>
    <x v="7"/>
    <s v="Real"/>
    <s v="Entrepreneur"/>
    <s v="Product development"/>
    <x v="0"/>
    <x v="0"/>
    <x v="0"/>
    <s v="F11.02.01"/>
    <n v="2"/>
    <s v="mengargumentasikan yang berkaitan dengan pengembangan produk untuk peningkatan taraf perekonomian masyarakat melalui karya tulis ilmiah"/>
    <s v="02.01"/>
    <x v="7"/>
    <s v="K11"/>
    <s v="F"/>
    <n v="65"/>
    <n v="10"/>
    <s v="Tidak tuntas"/>
    <s v="Bahasa Inggris"/>
    <x v="0"/>
    <x v="4"/>
    <n v="10"/>
    <x v="3"/>
    <n v="11"/>
    <x v="0"/>
    <x v="7"/>
    <x v="3"/>
  </r>
  <r>
    <n v="388"/>
    <s v="242510007"/>
    <x v="0"/>
    <x v="5"/>
    <s v="Intan Jaya"/>
    <d v="2026-01-08T00:00:00"/>
    <s v="08"/>
    <x v="0"/>
    <s v="26"/>
    <x v="3"/>
    <x v="4"/>
    <x v="8"/>
    <s v="Real"/>
    <s v="Entrepreneur"/>
    <s v="Product development"/>
    <x v="0"/>
    <x v="0"/>
    <x v="0"/>
    <s v="F11.02.01"/>
    <n v="2"/>
    <s v="mengargumentasikan yang berkaitan dengan pengembangan produk untuk peningkatan taraf perekonomian masyarakat melalui karya tulis ilmiah"/>
    <s v="02.01"/>
    <x v="7"/>
    <s v="K11"/>
    <s v="F"/>
    <n v="65"/>
    <n v="60"/>
    <s v="Tidak tuntas"/>
    <s v="Bahasa Inggris"/>
    <x v="0"/>
    <x v="4"/>
    <n v="60"/>
    <x v="3"/>
    <n v="11"/>
    <x v="3"/>
    <x v="7"/>
    <x v="3"/>
  </r>
  <r>
    <n v="389"/>
    <s v="242510007"/>
    <x v="0"/>
    <x v="5"/>
    <s v="Intan Jaya"/>
    <d v="2026-01-29T00:00:00"/>
    <s v="29"/>
    <x v="0"/>
    <s v="26"/>
    <x v="0"/>
    <x v="0"/>
    <x v="9"/>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390"/>
    <s v="242510007"/>
    <x v="0"/>
    <x v="5"/>
    <s v="Intan Jaya"/>
    <d v="2026-01-29T00:00:00"/>
    <s v="29"/>
    <x v="0"/>
    <s v="26"/>
    <x v="3"/>
    <x v="8"/>
    <x v="10"/>
    <s v="Real"/>
    <s v="Entrepreneur"/>
    <s v="Product development"/>
    <x v="0"/>
    <x v="0"/>
    <x v="0"/>
    <s v="F11.02.01"/>
    <n v="2"/>
    <s v="mengargumentasikan yang berkaitan dengan pengembangan produk untuk peningkatan taraf perekonomian masyarakat melalui karya tulis ilmiah"/>
    <s v="02.01"/>
    <x v="7"/>
    <s v="K11"/>
    <s v="F"/>
    <n v="65"/>
    <n v="50"/>
    <s v="Tidak tuntas"/>
    <s v="Bahasa Inggris"/>
    <x v="0"/>
    <x v="4"/>
    <n v="50"/>
    <x v="3"/>
    <n v="11"/>
    <x v="5"/>
    <x v="3"/>
    <x v="3"/>
  </r>
  <r>
    <n v="391"/>
    <s v="242510007"/>
    <x v="0"/>
    <x v="5"/>
    <s v="Intan Jaya"/>
    <d v="2026-01-22T00:00:00"/>
    <s v="22"/>
    <x v="0"/>
    <s v="26"/>
    <x v="1"/>
    <x v="9"/>
    <x v="11"/>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392"/>
    <s v="242510007"/>
    <x v="0"/>
    <x v="5"/>
    <s v="Intan Jaya"/>
    <d v="2026-01-22T00:00:00"/>
    <s v="22"/>
    <x v="0"/>
    <s v="26"/>
    <x v="0"/>
    <x v="0"/>
    <x v="4"/>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393"/>
    <s v="242510007"/>
    <x v="0"/>
    <x v="5"/>
    <s v="Intan Jaya"/>
    <d v="2026-01-22T00:00:00"/>
    <s v="22"/>
    <x v="0"/>
    <s v="26"/>
    <x v="2"/>
    <x v="3"/>
    <x v="4"/>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394"/>
    <s v="242510007"/>
    <x v="0"/>
    <x v="5"/>
    <s v="Intan Jaya"/>
    <d v="2026-02-12T00:00:00"/>
    <s v="12"/>
    <x v="1"/>
    <s v="26"/>
    <x v="0"/>
    <x v="0"/>
    <x v="9"/>
    <s v="Real"/>
    <s v="Entrepreneur"/>
    <s v="Product development"/>
    <x v="0"/>
    <x v="0"/>
    <x v="0"/>
    <s v="F11.02.01"/>
    <n v="2"/>
    <s v="mengargumentasikan yang berkaitan dengan pengembangan produk untuk peningkatan taraf perekonomian masyarakat melalui karya tulis ilmiah"/>
    <s v="02.01"/>
    <x v="7"/>
    <s v="K11"/>
    <s v="F"/>
    <n v="65"/>
    <n v="55"/>
    <s v="Tidak tuntas"/>
    <s v="Bahasa Inggris"/>
    <x v="0"/>
    <x v="4"/>
    <n v="55"/>
    <x v="3"/>
    <n v="11"/>
    <x v="0"/>
    <x v="5"/>
    <x v="3"/>
  </r>
  <r>
    <n v="395"/>
    <s v="242510007"/>
    <x v="0"/>
    <x v="5"/>
    <s v="Intan Jaya"/>
    <d v="2026-02-12T00:00:00"/>
    <s v="12"/>
    <x v="1"/>
    <s v="26"/>
    <x v="0"/>
    <x v="0"/>
    <x v="2"/>
    <s v="Real"/>
    <s v="Entrepreneur"/>
    <s v="Product development"/>
    <x v="0"/>
    <x v="0"/>
    <x v="0"/>
    <s v="F11.02.01"/>
    <n v="2"/>
    <s v="mengargumentasikan yang berkaitan dengan pengembangan produk untuk peningkatan taraf perekonomian masyarakat melalui karya tulis ilmiah"/>
    <s v="02.01"/>
    <x v="7"/>
    <s v="K11"/>
    <s v="F"/>
    <n v="65"/>
    <n v="50"/>
    <s v="Tidak tuntas"/>
    <s v="Bahasa Inggris"/>
    <x v="0"/>
    <x v="4"/>
    <n v="50"/>
    <x v="3"/>
    <n v="11"/>
    <x v="0"/>
    <x v="5"/>
    <x v="3"/>
  </r>
  <r>
    <n v="396"/>
    <s v="242510007"/>
    <x v="0"/>
    <x v="5"/>
    <s v="Intan Jaya"/>
    <d v="2026-02-12T00:00:00"/>
    <s v="12"/>
    <x v="1"/>
    <s v="26"/>
    <x v="1"/>
    <x v="9"/>
    <x v="2"/>
    <s v="Real"/>
    <s v="Entrepreneur"/>
    <s v="Product development"/>
    <x v="0"/>
    <x v="0"/>
    <x v="0"/>
    <s v="F11.02.01"/>
    <n v="2"/>
    <s v="mengargumentasikan yang berkaitan dengan pengembangan produk untuk peningkatan taraf perekonomian masyarakat melalui karya tulis ilmiah"/>
    <s v="02.01"/>
    <x v="7"/>
    <s v="K11"/>
    <s v="F"/>
    <n v="65"/>
    <n v="50"/>
    <s v="Tidak tuntas"/>
    <s v="Bahasa Inggris"/>
    <x v="0"/>
    <x v="4"/>
    <n v="50"/>
    <x v="3"/>
    <n v="11"/>
    <x v="0"/>
    <x v="5"/>
    <x v="3"/>
  </r>
  <r>
    <n v="397"/>
    <s v="242510007"/>
    <x v="0"/>
    <x v="5"/>
    <s v="Intan Jaya"/>
    <d v="2026-02-18T00:00:00"/>
    <s v="18"/>
    <x v="1"/>
    <s v="26"/>
    <x v="1"/>
    <x v="9"/>
    <x v="11"/>
    <s v="Real"/>
    <s v="Entrepreneur"/>
    <s v="Product development"/>
    <x v="0"/>
    <x v="0"/>
    <x v="0"/>
    <s v="F11.02.01"/>
    <n v="2"/>
    <s v="mengargumentasikan yang berkaitan dengan pengembangan produk untuk peningkatan taraf perekonomian masyarakat melalui karya tulis ilmiah"/>
    <s v="02.01"/>
    <x v="7"/>
    <s v="K11"/>
    <s v="F"/>
    <n v="65"/>
    <n v="90"/>
    <s v="Tuntas"/>
    <s v="Bahasa Inggris"/>
    <x v="0"/>
    <x v="4"/>
    <n v="90"/>
    <x v="2"/>
    <n v="11"/>
    <x v="0"/>
    <x v="6"/>
    <x v="3"/>
  </r>
  <r>
    <n v="398"/>
    <s v="242510007"/>
    <x v="0"/>
    <x v="5"/>
    <s v="Intan Jaya"/>
    <d v="2026-02-18T00:00:00"/>
    <s v="18"/>
    <x v="1"/>
    <s v="26"/>
    <x v="0"/>
    <x v="0"/>
    <x v="11"/>
    <s v="Real"/>
    <s v="Entrepreneur"/>
    <s v="Product development"/>
    <x v="0"/>
    <x v="0"/>
    <x v="0"/>
    <s v="F11.02.01"/>
    <n v="2"/>
    <s v="mengargumentasikan yang berkaitan dengan pengembangan produk untuk peningkatan taraf perekonomian masyarakat melalui karya tulis ilmiah"/>
    <s v="02.01"/>
    <x v="7"/>
    <s v="K11"/>
    <s v="F"/>
    <n v="65"/>
    <n v="90"/>
    <s v="Tuntas"/>
    <s v="Bahasa Inggris"/>
    <x v="0"/>
    <x v="4"/>
    <n v="90"/>
    <x v="2"/>
    <n v="11"/>
    <x v="0"/>
    <x v="6"/>
    <x v="3"/>
  </r>
  <r>
    <n v="399"/>
    <s v="242510008"/>
    <x v="0"/>
    <x v="6"/>
    <s v="Dogiyai"/>
    <d v="2026-01-08T00:00:00"/>
    <s v="08"/>
    <x v="0"/>
    <s v="26"/>
    <x v="0"/>
    <x v="0"/>
    <x v="4"/>
    <s v="Real"/>
    <s v="Entrepreneur"/>
    <s v="Product development"/>
    <x v="0"/>
    <x v="0"/>
    <x v="0"/>
    <s v="F11.02.01"/>
    <n v="2"/>
    <s v="mengargumentasikan yang berkaitan dengan pengembangan produk untuk peningkatan taraf perekonomian masyarakat melalui karya tulis ilmiah"/>
    <s v="02.01"/>
    <x v="7"/>
    <s v="K11"/>
    <s v="F"/>
    <n v="65"/>
    <n v="56"/>
    <s v="Tidak tuntas"/>
    <s v="Bahasa Inggris"/>
    <x v="0"/>
    <x v="4"/>
    <n v="56"/>
    <x v="3"/>
    <n v="11"/>
    <x v="0"/>
    <x v="7"/>
    <x v="4"/>
  </r>
  <r>
    <n v="400"/>
    <s v="242510008"/>
    <x v="0"/>
    <x v="6"/>
    <s v="Dogiyai"/>
    <d v="2026-01-08T00:00:00"/>
    <s v="08"/>
    <x v="0"/>
    <s v="26"/>
    <x v="1"/>
    <x v="7"/>
    <x v="7"/>
    <s v="Real"/>
    <s v="Entrepreneur"/>
    <s v="Product development"/>
    <x v="0"/>
    <x v="0"/>
    <x v="0"/>
    <s v="F11.02.01"/>
    <n v="2"/>
    <s v="mengargumentasikan yang berkaitan dengan pengembangan produk untuk peningkatan taraf perekonomian masyarakat melalui karya tulis ilmiah"/>
    <s v="02.01"/>
    <x v="7"/>
    <s v="K11"/>
    <s v="F"/>
    <n v="65"/>
    <n v="56"/>
    <s v="Tidak tuntas"/>
    <s v="Bahasa Inggris"/>
    <x v="0"/>
    <x v="4"/>
    <n v="56"/>
    <x v="3"/>
    <n v="11"/>
    <x v="0"/>
    <x v="7"/>
    <x v="4"/>
  </r>
  <r>
    <n v="401"/>
    <s v="242510008"/>
    <x v="0"/>
    <x v="6"/>
    <s v="Dogiyai"/>
    <d v="2026-01-08T00:00:00"/>
    <s v="08"/>
    <x v="0"/>
    <s v="26"/>
    <x v="3"/>
    <x v="4"/>
    <x v="8"/>
    <s v="Real"/>
    <s v="Entrepreneur"/>
    <s v="Product development"/>
    <x v="0"/>
    <x v="0"/>
    <x v="0"/>
    <s v="F11.02.01"/>
    <n v="2"/>
    <s v="mengargumentasikan yang berkaitan dengan pengembangan produk untuk peningkatan taraf perekonomian masyarakat melalui karya tulis ilmiah"/>
    <s v="02.01"/>
    <x v="7"/>
    <s v="K11"/>
    <s v="F"/>
    <n v="65"/>
    <n v="90"/>
    <s v="Tuntas"/>
    <s v="Bahasa Inggris"/>
    <x v="0"/>
    <x v="4"/>
    <n v="90"/>
    <x v="2"/>
    <n v="11"/>
    <x v="4"/>
    <x v="7"/>
    <x v="4"/>
  </r>
  <r>
    <n v="402"/>
    <s v="242510008"/>
    <x v="0"/>
    <x v="6"/>
    <s v="Dogiyai"/>
    <d v="2026-01-29T00:00:00"/>
    <s v="29"/>
    <x v="0"/>
    <s v="26"/>
    <x v="0"/>
    <x v="0"/>
    <x v="9"/>
    <s v="Real"/>
    <s v="Entrepreneur"/>
    <s v="Product development"/>
    <x v="0"/>
    <x v="0"/>
    <x v="0"/>
    <s v="F11.02.01"/>
    <n v="2"/>
    <s v="mengargumentasikan yang berkaitan dengan pengembangan produk untuk peningkatan taraf perekonomian masyarakat melalui karya tulis ilmiah"/>
    <s v="02.01"/>
    <x v="7"/>
    <s v="K11"/>
    <s v="F"/>
    <n v="65"/>
    <n v="88"/>
    <s v="Tuntas"/>
    <s v="Bahasa Inggris"/>
    <x v="0"/>
    <x v="4"/>
    <n v="88"/>
    <x v="2"/>
    <n v="11"/>
    <x v="0"/>
    <x v="3"/>
    <x v="4"/>
  </r>
  <r>
    <n v="403"/>
    <s v="242510008"/>
    <x v="0"/>
    <x v="6"/>
    <s v="Dogiyai"/>
    <d v="2026-01-29T00:00:00"/>
    <s v="29"/>
    <x v="0"/>
    <s v="26"/>
    <x v="3"/>
    <x v="8"/>
    <x v="10"/>
    <s v="Real"/>
    <s v="Entrepreneur"/>
    <s v="Product development"/>
    <x v="0"/>
    <x v="0"/>
    <x v="0"/>
    <s v="F11.02.01"/>
    <n v="2"/>
    <s v="mengargumentasikan yang berkaitan dengan pengembangan produk untuk peningkatan taraf perekonomian masyarakat melalui karya tulis ilmiah"/>
    <s v="02.01"/>
    <x v="7"/>
    <s v="K11"/>
    <s v="F"/>
    <n v="65"/>
    <n v="100"/>
    <s v="Tuntas"/>
    <s v="Bahasa Inggris"/>
    <x v="0"/>
    <x v="4"/>
    <n v="100"/>
    <x v="4"/>
    <n v="11"/>
    <x v="4"/>
    <x v="3"/>
    <x v="4"/>
  </r>
  <r>
    <n v="404"/>
    <s v="242510008"/>
    <x v="0"/>
    <x v="6"/>
    <s v="Dogiyai"/>
    <d v="2026-01-22T00:00:00"/>
    <s v="22"/>
    <x v="0"/>
    <s v="26"/>
    <x v="1"/>
    <x v="9"/>
    <x v="11"/>
    <s v="Real"/>
    <s v="Entrepreneur"/>
    <s v="Product development"/>
    <x v="0"/>
    <x v="0"/>
    <x v="0"/>
    <s v="F11.02.01"/>
    <n v="2"/>
    <s v="mengargumentasikan yang berkaitan dengan pengembangan produk untuk peningkatan taraf perekonomian masyarakat melalui karya tulis ilmiah"/>
    <s v="02.01"/>
    <x v="7"/>
    <s v="K11"/>
    <s v="F"/>
    <n v="65"/>
    <n v="14"/>
    <s v="Tidak tuntas"/>
    <s v="Bahasa Inggris"/>
    <x v="0"/>
    <x v="4"/>
    <n v="14"/>
    <x v="3"/>
    <n v="11"/>
    <x v="0"/>
    <x v="2"/>
    <x v="4"/>
  </r>
  <r>
    <n v="405"/>
    <s v="242510008"/>
    <x v="0"/>
    <x v="6"/>
    <s v="Dogiyai"/>
    <d v="2026-01-22T00:00:00"/>
    <s v="22"/>
    <x v="0"/>
    <s v="26"/>
    <x v="0"/>
    <x v="0"/>
    <x v="4"/>
    <s v="Real"/>
    <s v="Entrepreneur"/>
    <s v="Product development"/>
    <x v="0"/>
    <x v="0"/>
    <x v="0"/>
    <s v="F11.02.01"/>
    <n v="2"/>
    <s v="mengargumentasikan yang berkaitan dengan pengembangan produk untuk peningkatan taraf perekonomian masyarakat melalui karya tulis ilmiah"/>
    <s v="02.01"/>
    <x v="7"/>
    <s v="K11"/>
    <s v="F"/>
    <n v="65"/>
    <n v="14"/>
    <s v="Tidak tuntas"/>
    <s v="Bahasa Inggris"/>
    <x v="0"/>
    <x v="4"/>
    <n v="14"/>
    <x v="3"/>
    <n v="11"/>
    <x v="0"/>
    <x v="2"/>
    <x v="4"/>
  </r>
  <r>
    <n v="406"/>
    <s v="242510008"/>
    <x v="0"/>
    <x v="6"/>
    <s v="Dogiyai"/>
    <d v="2026-01-22T00:00:00"/>
    <s v="22"/>
    <x v="0"/>
    <s v="26"/>
    <x v="2"/>
    <x v="3"/>
    <x v="4"/>
    <s v="Real"/>
    <s v="Entrepreneur"/>
    <s v="Product development"/>
    <x v="0"/>
    <x v="0"/>
    <x v="0"/>
    <s v="F11.02.01"/>
    <n v="2"/>
    <s v="mengargumentasikan yang berkaitan dengan pengembangan produk untuk peningkatan taraf perekonomian masyarakat melalui karya tulis ilmiah"/>
    <s v="02.01"/>
    <x v="7"/>
    <s v="K11"/>
    <s v="F"/>
    <n v="65"/>
    <n v="14"/>
    <s v="Tidak tuntas"/>
    <s v="Bahasa Inggris"/>
    <x v="0"/>
    <x v="4"/>
    <n v="14"/>
    <x v="3"/>
    <n v="11"/>
    <x v="0"/>
    <x v="2"/>
    <x v="4"/>
  </r>
  <r>
    <n v="407"/>
    <s v="242510008"/>
    <x v="0"/>
    <x v="6"/>
    <s v="Dogiyai"/>
    <d v="2026-02-12T00:00:00"/>
    <s v="12"/>
    <x v="1"/>
    <s v="26"/>
    <x v="0"/>
    <x v="0"/>
    <x v="9"/>
    <s v="Real"/>
    <s v="Entrepreneur"/>
    <s v="Product development"/>
    <x v="0"/>
    <x v="0"/>
    <x v="0"/>
    <s v="F11.02.01"/>
    <n v="2"/>
    <s v="mengargumentasikan yang berkaitan dengan pengembangan produk untuk peningkatan taraf perekonomian masyarakat melalui karya tulis ilmiah"/>
    <s v="02.01"/>
    <x v="7"/>
    <s v="K11"/>
    <s v="F"/>
    <n v="65"/>
    <n v="45"/>
    <s v="Tidak tuntas"/>
    <s v="Bahasa Inggris"/>
    <x v="0"/>
    <x v="4"/>
    <n v="45"/>
    <x v="3"/>
    <n v="11"/>
    <x v="0"/>
    <x v="5"/>
    <x v="4"/>
  </r>
  <r>
    <n v="408"/>
    <s v="242510008"/>
    <x v="0"/>
    <x v="6"/>
    <s v="Dogiyai"/>
    <d v="2026-02-12T00:00:00"/>
    <s v="12"/>
    <x v="1"/>
    <s v="26"/>
    <x v="0"/>
    <x v="0"/>
    <x v="2"/>
    <s v="Real"/>
    <s v="Entrepreneur"/>
    <s v="Product development"/>
    <x v="0"/>
    <x v="0"/>
    <x v="0"/>
    <s v="F11.02.01"/>
    <n v="2"/>
    <s v="mengargumentasikan yang berkaitan dengan pengembangan produk untuk peningkatan taraf perekonomian masyarakat melalui karya tulis ilmiah"/>
    <s v="02.01"/>
    <x v="7"/>
    <s v="K11"/>
    <s v="F"/>
    <n v="65"/>
    <n v="50"/>
    <s v="Tidak tuntas"/>
    <s v="Bahasa Inggris"/>
    <x v="0"/>
    <x v="4"/>
    <n v="50"/>
    <x v="3"/>
    <n v="11"/>
    <x v="0"/>
    <x v="5"/>
    <x v="4"/>
  </r>
  <r>
    <n v="409"/>
    <s v="242510008"/>
    <x v="0"/>
    <x v="6"/>
    <s v="Dogiyai"/>
    <d v="2026-02-12T00:00:00"/>
    <s v="12"/>
    <x v="1"/>
    <s v="26"/>
    <x v="1"/>
    <x v="9"/>
    <x v="2"/>
    <s v="Real"/>
    <s v="Entrepreneur"/>
    <s v="Product development"/>
    <x v="0"/>
    <x v="0"/>
    <x v="0"/>
    <s v="F11.02.01"/>
    <n v="2"/>
    <s v="mengargumentasikan yang berkaitan dengan pengembangan produk untuk peningkatan taraf perekonomian masyarakat melalui karya tulis ilmiah"/>
    <s v="02.01"/>
    <x v="7"/>
    <s v="K11"/>
    <s v="F"/>
    <n v="65"/>
    <n v="50"/>
    <s v="Tidak tuntas"/>
    <s v="Bahasa Inggris"/>
    <x v="0"/>
    <x v="4"/>
    <n v="50"/>
    <x v="3"/>
    <n v="11"/>
    <x v="0"/>
    <x v="5"/>
    <x v="4"/>
  </r>
  <r>
    <n v="410"/>
    <s v="242510008"/>
    <x v="0"/>
    <x v="6"/>
    <s v="Dogiyai"/>
    <d v="2026-02-18T00:00:00"/>
    <s v="18"/>
    <x v="1"/>
    <s v="26"/>
    <x v="1"/>
    <x v="9"/>
    <x v="11"/>
    <s v="Real"/>
    <s v="Entrepreneur"/>
    <s v="Product development"/>
    <x v="0"/>
    <x v="0"/>
    <x v="0"/>
    <s v="F11.02.01"/>
    <n v="2"/>
    <s v="mengargumentasikan yang berkaitan dengan pengembangan produk untuk peningkatan taraf perekonomian masyarakat melalui karya tulis ilmiah"/>
    <s v="02.01"/>
    <x v="7"/>
    <s v="K11"/>
    <s v="F"/>
    <n v="65"/>
    <n v="70"/>
    <s v="Tuntas"/>
    <s v="Bahasa Inggris"/>
    <x v="0"/>
    <x v="4"/>
    <n v="70"/>
    <x v="1"/>
    <n v="11"/>
    <x v="0"/>
    <x v="6"/>
    <x v="4"/>
  </r>
  <r>
    <n v="411"/>
    <s v="242510008"/>
    <x v="0"/>
    <x v="6"/>
    <s v="Dogiyai"/>
    <d v="2026-02-18T00:00:00"/>
    <s v="18"/>
    <x v="1"/>
    <s v="26"/>
    <x v="0"/>
    <x v="0"/>
    <x v="11"/>
    <s v="Real"/>
    <s v="Entrepreneur"/>
    <s v="Product development"/>
    <x v="0"/>
    <x v="0"/>
    <x v="0"/>
    <s v="F11.02.01"/>
    <n v="2"/>
    <s v="mengargumentasikan yang berkaitan dengan pengembangan produk untuk peningkatan taraf perekonomian masyarakat melalui karya tulis ilmiah"/>
    <s v="02.01"/>
    <x v="7"/>
    <s v="K11"/>
    <s v="F"/>
    <n v="65"/>
    <n v="70"/>
    <s v="Tuntas"/>
    <s v="Bahasa Inggris"/>
    <x v="0"/>
    <x v="4"/>
    <n v="70"/>
    <x v="1"/>
    <n v="11"/>
    <x v="0"/>
    <x v="6"/>
    <x v="4"/>
  </r>
  <r>
    <n v="412"/>
    <s v="242510013"/>
    <x v="0"/>
    <x v="0"/>
    <s v="Intan Jaya"/>
    <d v="2026-01-08T00:00:00"/>
    <s v="08"/>
    <x v="0"/>
    <s v="26"/>
    <x v="0"/>
    <x v="0"/>
    <x v="4"/>
    <s v="Real"/>
    <s v="Entrepreneur"/>
    <s v="Product development"/>
    <x v="0"/>
    <x v="0"/>
    <x v="0"/>
    <s v="F11.02.01"/>
    <n v="2"/>
    <s v="mengargumentasikan yang berkaitan dengan pengembangan produk untuk peningkatan taraf perekonomian masyarakat melalui karya tulis ilmiah"/>
    <s v="02.01"/>
    <x v="7"/>
    <s v="K11"/>
    <s v="F"/>
    <n v="65"/>
    <n v="10"/>
    <s v="Tidak tuntas"/>
    <s v="Bahasa Inggris"/>
    <x v="0"/>
    <x v="4"/>
    <n v="10"/>
    <x v="3"/>
    <n v="11"/>
    <x v="0"/>
    <x v="7"/>
    <x v="6"/>
  </r>
  <r>
    <n v="413"/>
    <s v="242510013"/>
    <x v="0"/>
    <x v="0"/>
    <s v="Intan Jaya"/>
    <d v="2026-01-08T00:00:00"/>
    <s v="08"/>
    <x v="0"/>
    <s v="26"/>
    <x v="1"/>
    <x v="7"/>
    <x v="7"/>
    <s v="Real"/>
    <s v="Entrepreneur"/>
    <s v="Product development"/>
    <x v="0"/>
    <x v="0"/>
    <x v="0"/>
    <s v="F11.02.01"/>
    <n v="2"/>
    <s v="mengargumentasikan yang berkaitan dengan pengembangan produk untuk peningkatan taraf perekonomian masyarakat melalui karya tulis ilmiah"/>
    <s v="02.01"/>
    <x v="7"/>
    <s v="K11"/>
    <s v="F"/>
    <n v="65"/>
    <n v="10"/>
    <s v="Tidak tuntas"/>
    <s v="Bahasa Inggris"/>
    <x v="0"/>
    <x v="4"/>
    <n v="10"/>
    <x v="3"/>
    <n v="11"/>
    <x v="0"/>
    <x v="7"/>
    <x v="6"/>
  </r>
  <r>
    <n v="414"/>
    <s v="242510013"/>
    <x v="0"/>
    <x v="0"/>
    <s v="Intan Jaya"/>
    <d v="2026-01-08T00:00:00"/>
    <s v="08"/>
    <x v="0"/>
    <s v="26"/>
    <x v="3"/>
    <x v="4"/>
    <x v="8"/>
    <s v="Real"/>
    <s v="Entrepreneur"/>
    <s v="Product development"/>
    <x v="0"/>
    <x v="0"/>
    <x v="0"/>
    <s v="F11.02.01"/>
    <n v="2"/>
    <s v="mengargumentasikan yang berkaitan dengan pengembangan produk untuk peningkatan taraf perekonomian masyarakat melalui karya tulis ilmiah"/>
    <s v="02.01"/>
    <x v="7"/>
    <s v="K11"/>
    <s v="F"/>
    <n v="65"/>
    <n v="30"/>
    <s v="Tidak tuntas"/>
    <s v="Bahasa Inggris"/>
    <x v="0"/>
    <x v="4"/>
    <n v="30"/>
    <x v="3"/>
    <n v="11"/>
    <x v="5"/>
    <x v="7"/>
    <x v="6"/>
  </r>
  <r>
    <n v="415"/>
    <s v="242510013"/>
    <x v="0"/>
    <x v="0"/>
    <s v="Intan Jaya"/>
    <d v="2026-01-29T00:00:00"/>
    <s v="29"/>
    <x v="0"/>
    <s v="26"/>
    <x v="0"/>
    <x v="0"/>
    <x v="9"/>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416"/>
    <s v="242510013"/>
    <x v="0"/>
    <x v="0"/>
    <s v="Intan Jaya"/>
    <d v="2026-01-29T00:00:00"/>
    <s v="29"/>
    <x v="0"/>
    <s v="26"/>
    <x v="3"/>
    <x v="8"/>
    <x v="10"/>
    <s v="Real"/>
    <s v="Entrepreneur"/>
    <s v="Product development"/>
    <x v="0"/>
    <x v="0"/>
    <x v="0"/>
    <s v="F11.02.01"/>
    <n v="2"/>
    <s v="mengargumentasikan yang berkaitan dengan pengembangan produk untuk peningkatan taraf perekonomian masyarakat melalui karya tulis ilmiah"/>
    <s v="02.01"/>
    <x v="7"/>
    <s v="K11"/>
    <s v="F"/>
    <n v="65"/>
    <n v="25"/>
    <s v="Tidak tuntas"/>
    <s v="Bahasa Inggris"/>
    <x v="0"/>
    <x v="4"/>
    <n v="25"/>
    <x v="3"/>
    <n v="11"/>
    <x v="5"/>
    <x v="3"/>
    <x v="6"/>
  </r>
  <r>
    <n v="417"/>
    <s v="242510013"/>
    <x v="0"/>
    <x v="0"/>
    <s v="Intan Jaya"/>
    <d v="2026-01-22T00:00:00"/>
    <s v="22"/>
    <x v="0"/>
    <s v="26"/>
    <x v="1"/>
    <x v="9"/>
    <x v="11"/>
    <s v="Real"/>
    <s v="Entrepreneur"/>
    <s v="Product development"/>
    <x v="0"/>
    <x v="0"/>
    <x v="0"/>
    <s v="F11.02.01"/>
    <n v="2"/>
    <s v="mengargumentasikan yang berkaitan dengan pengembangan produk untuk peningkatan taraf perekonomian masyarakat melalui karya tulis ilmiah"/>
    <s v="02.01"/>
    <x v="7"/>
    <s v="K11"/>
    <s v="F"/>
    <n v="65"/>
    <n v="32"/>
    <s v="Tidak tuntas"/>
    <s v="Bahasa Inggris"/>
    <x v="0"/>
    <x v="4"/>
    <n v="32"/>
    <x v="3"/>
    <n v="11"/>
    <x v="0"/>
    <x v="2"/>
    <x v="6"/>
  </r>
  <r>
    <n v="418"/>
    <s v="242510013"/>
    <x v="0"/>
    <x v="0"/>
    <s v="Intan Jaya"/>
    <d v="2026-01-22T00:00:00"/>
    <s v="22"/>
    <x v="0"/>
    <s v="26"/>
    <x v="0"/>
    <x v="0"/>
    <x v="4"/>
    <s v="Real"/>
    <s v="Entrepreneur"/>
    <s v="Product development"/>
    <x v="0"/>
    <x v="0"/>
    <x v="0"/>
    <s v="F11.02.01"/>
    <n v="2"/>
    <s v="mengargumentasikan yang berkaitan dengan pengembangan produk untuk peningkatan taraf perekonomian masyarakat melalui karya tulis ilmiah"/>
    <s v="02.01"/>
    <x v="7"/>
    <s v="K11"/>
    <s v="F"/>
    <n v="65"/>
    <n v="32"/>
    <s v="Tidak tuntas"/>
    <s v="Bahasa Inggris"/>
    <x v="0"/>
    <x v="4"/>
    <n v="32"/>
    <x v="3"/>
    <n v="11"/>
    <x v="0"/>
    <x v="2"/>
    <x v="6"/>
  </r>
  <r>
    <n v="419"/>
    <s v="242510013"/>
    <x v="0"/>
    <x v="0"/>
    <s v="Intan Jaya"/>
    <d v="2026-01-22T00:00:00"/>
    <s v="22"/>
    <x v="0"/>
    <s v="26"/>
    <x v="2"/>
    <x v="3"/>
    <x v="4"/>
    <s v="Real"/>
    <s v="Entrepreneur"/>
    <s v="Product development"/>
    <x v="0"/>
    <x v="0"/>
    <x v="0"/>
    <s v="F11.02.01"/>
    <n v="2"/>
    <s v="mengargumentasikan yang berkaitan dengan pengembangan produk untuk peningkatan taraf perekonomian masyarakat melalui karya tulis ilmiah"/>
    <s v="02.01"/>
    <x v="7"/>
    <s v="K11"/>
    <s v="F"/>
    <n v="65"/>
    <n v="32"/>
    <s v="Tidak tuntas"/>
    <s v="Bahasa Inggris"/>
    <x v="0"/>
    <x v="4"/>
    <n v="32"/>
    <x v="3"/>
    <n v="11"/>
    <x v="0"/>
    <x v="2"/>
    <x v="6"/>
  </r>
  <r>
    <n v="420"/>
    <s v="242510013"/>
    <x v="0"/>
    <x v="0"/>
    <s v="Intan Jaya"/>
    <d v="2026-02-12T00:00:00"/>
    <s v="12"/>
    <x v="1"/>
    <s v="26"/>
    <x v="0"/>
    <x v="0"/>
    <x v="9"/>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421"/>
    <s v="242510013"/>
    <x v="0"/>
    <x v="0"/>
    <s v="Intan Jaya"/>
    <d v="2026-02-12T00:00:00"/>
    <s v="12"/>
    <x v="1"/>
    <s v="26"/>
    <x v="0"/>
    <x v="0"/>
    <x v="2"/>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422"/>
    <s v="242510013"/>
    <x v="0"/>
    <x v="0"/>
    <s v="Intan Jaya"/>
    <d v="2026-02-12T00:00:00"/>
    <s v="12"/>
    <x v="1"/>
    <s v="26"/>
    <x v="1"/>
    <x v="9"/>
    <x v="2"/>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423"/>
    <s v="242510013"/>
    <x v="0"/>
    <x v="0"/>
    <s v="Intan Jaya"/>
    <d v="2026-02-18T00:00:00"/>
    <s v="18"/>
    <x v="1"/>
    <s v="26"/>
    <x v="1"/>
    <x v="9"/>
    <x v="11"/>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424"/>
    <s v="242510013"/>
    <x v="0"/>
    <x v="0"/>
    <s v="Intan Jaya"/>
    <d v="2026-02-18T00:00:00"/>
    <s v="18"/>
    <x v="1"/>
    <s v="26"/>
    <x v="0"/>
    <x v="0"/>
    <x v="11"/>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425"/>
    <s v="242510014"/>
    <x v="0"/>
    <x v="7"/>
    <s v="Inta jaya"/>
    <d v="2026-01-08T00:00:00"/>
    <s v="08"/>
    <x v="0"/>
    <s v="26"/>
    <x v="0"/>
    <x v="0"/>
    <x v="4"/>
    <s v="Real"/>
    <s v="Entrepreneur"/>
    <s v="Product development"/>
    <x v="0"/>
    <x v="0"/>
    <x v="0"/>
    <s v="F11.02.01"/>
    <n v="2"/>
    <s v="mengargumentasikan yang berkaitan dengan pengembangan produk untuk peningkatan taraf perekonomian masyarakat melalui karya tulis ilmiah"/>
    <s v="02.01"/>
    <x v="7"/>
    <s v="K11"/>
    <s v="F"/>
    <n v="65"/>
    <n v="100"/>
    <s v="Tuntas"/>
    <s v="Bahasa Inggris"/>
    <x v="0"/>
    <x v="4"/>
    <n v="100"/>
    <x v="4"/>
    <n v="11"/>
    <x v="0"/>
    <x v="7"/>
    <x v="2"/>
  </r>
  <r>
    <n v="426"/>
    <s v="242510014"/>
    <x v="0"/>
    <x v="7"/>
    <s v="Inta jaya"/>
    <d v="2026-01-08T00:00:00"/>
    <s v="08"/>
    <x v="0"/>
    <s v="26"/>
    <x v="1"/>
    <x v="7"/>
    <x v="7"/>
    <s v="Real"/>
    <s v="Entrepreneur"/>
    <s v="Product development"/>
    <x v="0"/>
    <x v="0"/>
    <x v="0"/>
    <s v="F11.02.01"/>
    <n v="2"/>
    <s v="mengargumentasikan yang berkaitan dengan pengembangan produk untuk peningkatan taraf perekonomian masyarakat melalui karya tulis ilmiah"/>
    <s v="02.01"/>
    <x v="7"/>
    <s v="K11"/>
    <s v="F"/>
    <n v="65"/>
    <n v="100"/>
    <s v="Tuntas"/>
    <s v="Bahasa Inggris"/>
    <x v="0"/>
    <x v="4"/>
    <n v="100"/>
    <x v="4"/>
    <n v="11"/>
    <x v="0"/>
    <x v="7"/>
    <x v="2"/>
  </r>
  <r>
    <n v="427"/>
    <s v="242510014"/>
    <x v="0"/>
    <x v="7"/>
    <s v="Inta jaya"/>
    <d v="2026-01-08T00:00:00"/>
    <s v="08"/>
    <x v="0"/>
    <s v="26"/>
    <x v="3"/>
    <x v="4"/>
    <x v="8"/>
    <s v="Real"/>
    <s v="Entrepreneur"/>
    <s v="Product development"/>
    <x v="0"/>
    <x v="0"/>
    <x v="0"/>
    <s v="F11.02.01"/>
    <n v="2"/>
    <s v="mengargumentasikan yang berkaitan dengan pengembangan produk untuk peningkatan taraf perekonomian masyarakat melalui karya tulis ilmiah"/>
    <s v="02.01"/>
    <x v="7"/>
    <s v="K11"/>
    <s v="F"/>
    <n v="65"/>
    <n v="90"/>
    <s v="Tuntas"/>
    <s v="Bahasa Inggris"/>
    <x v="0"/>
    <x v="4"/>
    <n v="90"/>
    <x v="2"/>
    <n v="11"/>
    <x v="4"/>
    <x v="7"/>
    <x v="2"/>
  </r>
  <r>
    <n v="428"/>
    <s v="242510014"/>
    <x v="0"/>
    <x v="7"/>
    <s v="Inta jaya"/>
    <d v="2026-01-29T00:00:00"/>
    <s v="29"/>
    <x v="0"/>
    <s v="26"/>
    <x v="0"/>
    <x v="0"/>
    <x v="9"/>
    <s v="Real"/>
    <s v="Entrepreneur"/>
    <s v="Product development"/>
    <x v="0"/>
    <x v="0"/>
    <x v="0"/>
    <s v="F11.02.01"/>
    <n v="2"/>
    <s v="mengargumentasikan yang berkaitan dengan pengembangan produk untuk peningkatan taraf perekonomian masyarakat melalui karya tulis ilmiah"/>
    <s v="02.01"/>
    <x v="7"/>
    <s v="K11"/>
    <s v="F"/>
    <n v="65"/>
    <n v="79"/>
    <s v="Tuntas"/>
    <s v="Bahasa Inggris"/>
    <x v="0"/>
    <x v="4"/>
    <n v="79"/>
    <x v="1"/>
    <n v="11"/>
    <x v="0"/>
    <x v="3"/>
    <x v="2"/>
  </r>
  <r>
    <n v="429"/>
    <s v="242510014"/>
    <x v="0"/>
    <x v="7"/>
    <s v="Inta jaya"/>
    <d v="2026-01-29T00:00:00"/>
    <s v="29"/>
    <x v="0"/>
    <s v="26"/>
    <x v="3"/>
    <x v="8"/>
    <x v="10"/>
    <s v="Real"/>
    <s v="Entrepreneur"/>
    <s v="Product development"/>
    <x v="0"/>
    <x v="0"/>
    <x v="0"/>
    <s v="F11.02.01"/>
    <n v="2"/>
    <s v="mengargumentasikan yang berkaitan dengan pengembangan produk untuk peningkatan taraf perekonomian masyarakat melalui karya tulis ilmiah"/>
    <s v="02.01"/>
    <x v="7"/>
    <s v="K11"/>
    <s v="F"/>
    <n v="65"/>
    <n v="100"/>
    <s v="Tuntas"/>
    <s v="Bahasa Inggris"/>
    <x v="0"/>
    <x v="4"/>
    <n v="100"/>
    <x v="4"/>
    <n v="11"/>
    <x v="4"/>
    <x v="3"/>
    <x v="2"/>
  </r>
  <r>
    <n v="430"/>
    <s v="242510014"/>
    <x v="0"/>
    <x v="7"/>
    <s v="Inta jaya"/>
    <d v="2026-01-22T00:00:00"/>
    <s v="22"/>
    <x v="0"/>
    <s v="26"/>
    <x v="1"/>
    <x v="9"/>
    <x v="11"/>
    <s v="Real"/>
    <s v="Entrepreneur"/>
    <s v="Product development"/>
    <x v="0"/>
    <x v="0"/>
    <x v="0"/>
    <s v="F11.02.01"/>
    <n v="2"/>
    <s v="mengargumentasikan yang berkaitan dengan pengembangan produk untuk peningkatan taraf perekonomian masyarakat melalui karya tulis ilmiah"/>
    <s v="02.01"/>
    <x v="7"/>
    <s v="K11"/>
    <s v="F"/>
    <n v="65"/>
    <n v="32"/>
    <s v="Tidak tuntas"/>
    <s v="Bahasa Inggris"/>
    <x v="0"/>
    <x v="4"/>
    <n v="32"/>
    <x v="3"/>
    <n v="11"/>
    <x v="0"/>
    <x v="2"/>
    <x v="2"/>
  </r>
  <r>
    <n v="431"/>
    <s v="242510014"/>
    <x v="0"/>
    <x v="7"/>
    <s v="Inta jaya"/>
    <d v="2026-01-22T00:00:00"/>
    <s v="22"/>
    <x v="0"/>
    <s v="26"/>
    <x v="0"/>
    <x v="0"/>
    <x v="4"/>
    <s v="Real"/>
    <s v="Entrepreneur"/>
    <s v="Product development"/>
    <x v="0"/>
    <x v="0"/>
    <x v="0"/>
    <s v="F11.02.01"/>
    <n v="2"/>
    <s v="mengargumentasikan yang berkaitan dengan pengembangan produk untuk peningkatan taraf perekonomian masyarakat melalui karya tulis ilmiah"/>
    <s v="02.01"/>
    <x v="7"/>
    <s v="K11"/>
    <s v="F"/>
    <n v="65"/>
    <n v="32"/>
    <s v="Tidak tuntas"/>
    <s v="Bahasa Inggris"/>
    <x v="0"/>
    <x v="4"/>
    <n v="32"/>
    <x v="3"/>
    <n v="11"/>
    <x v="0"/>
    <x v="2"/>
    <x v="2"/>
  </r>
  <r>
    <n v="432"/>
    <s v="242510014"/>
    <x v="0"/>
    <x v="7"/>
    <s v="Inta jaya"/>
    <d v="2026-01-22T00:00:00"/>
    <s v="22"/>
    <x v="0"/>
    <s v="26"/>
    <x v="2"/>
    <x v="3"/>
    <x v="4"/>
    <s v="Real"/>
    <s v="Entrepreneur"/>
    <s v="Product development"/>
    <x v="0"/>
    <x v="0"/>
    <x v="0"/>
    <s v="F11.02.01"/>
    <n v="2"/>
    <s v="mengargumentasikan yang berkaitan dengan pengembangan produk untuk peningkatan taraf perekonomian masyarakat melalui karya tulis ilmiah"/>
    <s v="02.01"/>
    <x v="7"/>
    <s v="K11"/>
    <s v="F"/>
    <n v="65"/>
    <n v="32"/>
    <s v="Tidak tuntas"/>
    <s v="Bahasa Inggris"/>
    <x v="0"/>
    <x v="4"/>
    <n v="32"/>
    <x v="3"/>
    <n v="11"/>
    <x v="0"/>
    <x v="2"/>
    <x v="2"/>
  </r>
  <r>
    <n v="433"/>
    <s v="242510014"/>
    <x v="0"/>
    <x v="7"/>
    <s v="Inta jaya"/>
    <d v="2026-02-12T00:00:00"/>
    <s v="12"/>
    <x v="1"/>
    <s v="26"/>
    <x v="0"/>
    <x v="0"/>
    <x v="9"/>
    <s v="Real"/>
    <s v="Entrepreneur"/>
    <s v="Product development"/>
    <x v="0"/>
    <x v="0"/>
    <x v="0"/>
    <s v="F11.02.01"/>
    <n v="2"/>
    <s v="mengargumentasikan yang berkaitan dengan pengembangan produk untuk peningkatan taraf perekonomian masyarakat melalui karya tulis ilmiah"/>
    <s v="02.01"/>
    <x v="7"/>
    <s v="K11"/>
    <s v="F"/>
    <n v="65"/>
    <n v="36"/>
    <s v="Tidak tuntas"/>
    <s v="Bahasa Inggris"/>
    <x v="0"/>
    <x v="4"/>
    <n v="36"/>
    <x v="3"/>
    <n v="11"/>
    <x v="0"/>
    <x v="5"/>
    <x v="2"/>
  </r>
  <r>
    <n v="434"/>
    <s v="242510014"/>
    <x v="0"/>
    <x v="7"/>
    <s v="Inta jaya"/>
    <d v="2026-02-12T00:00:00"/>
    <s v="12"/>
    <x v="1"/>
    <s v="26"/>
    <x v="0"/>
    <x v="0"/>
    <x v="2"/>
    <s v="Real"/>
    <s v="Entrepreneur"/>
    <s v="Product development"/>
    <x v="0"/>
    <x v="0"/>
    <x v="0"/>
    <s v="F11.02.01"/>
    <n v="2"/>
    <s v="mengargumentasikan yang berkaitan dengan pengembangan produk untuk peningkatan taraf perekonomian masyarakat melalui karya tulis ilmiah"/>
    <s v="02.01"/>
    <x v="7"/>
    <s v="K11"/>
    <s v="F"/>
    <n v="65"/>
    <n v="65"/>
    <s v="Tuntas"/>
    <s v="Bahasa Inggris"/>
    <x v="0"/>
    <x v="4"/>
    <n v="65"/>
    <x v="1"/>
    <n v="11"/>
    <x v="0"/>
    <x v="5"/>
    <x v="2"/>
  </r>
  <r>
    <n v="435"/>
    <s v="242510014"/>
    <x v="0"/>
    <x v="7"/>
    <s v="Inta jaya"/>
    <d v="2026-02-12T00:00:00"/>
    <s v="12"/>
    <x v="1"/>
    <s v="26"/>
    <x v="1"/>
    <x v="9"/>
    <x v="2"/>
    <s v="Real"/>
    <s v="Entrepreneur"/>
    <s v="Product development"/>
    <x v="0"/>
    <x v="0"/>
    <x v="0"/>
    <s v="F11.02.01"/>
    <n v="2"/>
    <s v="mengargumentasikan yang berkaitan dengan pengembangan produk untuk peningkatan taraf perekonomian masyarakat melalui karya tulis ilmiah"/>
    <s v="02.01"/>
    <x v="7"/>
    <s v="K11"/>
    <s v="F"/>
    <n v="65"/>
    <n v="65"/>
    <s v="Tuntas"/>
    <s v="Bahasa Inggris"/>
    <x v="0"/>
    <x v="4"/>
    <n v="65"/>
    <x v="1"/>
    <n v="11"/>
    <x v="0"/>
    <x v="5"/>
    <x v="2"/>
  </r>
  <r>
    <n v="436"/>
    <s v="242510014"/>
    <x v="0"/>
    <x v="7"/>
    <s v="Inta jaya"/>
    <d v="2026-02-18T00:00:00"/>
    <s v="18"/>
    <x v="1"/>
    <s v="26"/>
    <x v="1"/>
    <x v="9"/>
    <x v="11"/>
    <s v="Real"/>
    <s v="Entrepreneur"/>
    <s v="Product development"/>
    <x v="0"/>
    <x v="0"/>
    <x v="0"/>
    <s v="F11.02.01"/>
    <n v="2"/>
    <s v="mengargumentasikan yang berkaitan dengan pengembangan produk untuk peningkatan taraf perekonomian masyarakat melalui karya tulis ilmiah"/>
    <s v="02.01"/>
    <x v="7"/>
    <s v="K11"/>
    <s v="F"/>
    <n v="65"/>
    <n v="55"/>
    <s v="Tidak tuntas"/>
    <s v="Bahasa Inggris"/>
    <x v="0"/>
    <x v="4"/>
    <n v="55"/>
    <x v="3"/>
    <n v="11"/>
    <x v="0"/>
    <x v="6"/>
    <x v="2"/>
  </r>
  <r>
    <n v="437"/>
    <s v="242510014"/>
    <x v="0"/>
    <x v="7"/>
    <s v="Inta jaya"/>
    <d v="2026-02-18T00:00:00"/>
    <s v="18"/>
    <x v="1"/>
    <s v="26"/>
    <x v="0"/>
    <x v="0"/>
    <x v="11"/>
    <s v="Real"/>
    <s v="Entrepreneur"/>
    <s v="Product development"/>
    <x v="0"/>
    <x v="0"/>
    <x v="0"/>
    <s v="F11.02.01"/>
    <n v="2"/>
    <s v="mengargumentasikan yang berkaitan dengan pengembangan produk untuk peningkatan taraf perekonomian masyarakat melalui karya tulis ilmiah"/>
    <s v="02.01"/>
    <x v="7"/>
    <s v="K11"/>
    <s v="F"/>
    <n v="65"/>
    <n v="55"/>
    <s v="Tidak tuntas"/>
    <s v="Bahasa Inggris"/>
    <x v="0"/>
    <x v="4"/>
    <n v="55"/>
    <x v="3"/>
    <n v="11"/>
    <x v="0"/>
    <x v="6"/>
    <x v="2"/>
  </r>
  <r>
    <n v="438"/>
    <s v="242510011"/>
    <x v="0"/>
    <x v="1"/>
    <s v="Intan Jaya"/>
    <d v="2026-01-08T00:00:00"/>
    <s v="08"/>
    <x v="0"/>
    <s v="26"/>
    <x v="0"/>
    <x v="0"/>
    <x v="4"/>
    <s v="Real"/>
    <s v="Entrepreneur"/>
    <s v="Product development"/>
    <x v="0"/>
    <x v="0"/>
    <x v="0"/>
    <s v="F11.02.01"/>
    <n v="2"/>
    <s v="mengargumentasikan yang berkaitan dengan pengembangan produk untuk peningkatan taraf perekonomian masyarakat melalui karya tulis ilmiah"/>
    <s v="02.01"/>
    <x v="7"/>
    <s v="K11"/>
    <s v="F"/>
    <n v="65"/>
    <n v="65"/>
    <s v="Tuntas"/>
    <s v="Bahasa Inggris"/>
    <x v="0"/>
    <x v="4"/>
    <n v="65"/>
    <x v="1"/>
    <n v="11"/>
    <x v="0"/>
    <x v="7"/>
    <x v="1"/>
  </r>
  <r>
    <n v="439"/>
    <s v="242510011"/>
    <x v="0"/>
    <x v="1"/>
    <s v="Intan Jaya"/>
    <d v="2026-01-08T00:00:00"/>
    <s v="08"/>
    <x v="0"/>
    <s v="26"/>
    <x v="1"/>
    <x v="7"/>
    <x v="7"/>
    <s v="Real"/>
    <s v="Entrepreneur"/>
    <s v="Product development"/>
    <x v="0"/>
    <x v="0"/>
    <x v="0"/>
    <s v="F11.02.01"/>
    <n v="2"/>
    <s v="mengargumentasikan yang berkaitan dengan pengembangan produk untuk peningkatan taraf perekonomian masyarakat melalui karya tulis ilmiah"/>
    <s v="02.01"/>
    <x v="7"/>
    <s v="K11"/>
    <s v="F"/>
    <n v="65"/>
    <n v="65"/>
    <s v="Tuntas"/>
    <s v="Bahasa Inggris"/>
    <x v="0"/>
    <x v="4"/>
    <n v="65"/>
    <x v="1"/>
    <n v="11"/>
    <x v="0"/>
    <x v="7"/>
    <x v="1"/>
  </r>
  <r>
    <n v="440"/>
    <s v="242510011"/>
    <x v="0"/>
    <x v="1"/>
    <s v="Intan Jaya"/>
    <d v="2026-01-08T00:00:00"/>
    <s v="08"/>
    <x v="0"/>
    <s v="26"/>
    <x v="3"/>
    <x v="4"/>
    <x v="8"/>
    <s v="Real"/>
    <s v="Entrepreneur"/>
    <s v="Product development"/>
    <x v="0"/>
    <x v="0"/>
    <x v="0"/>
    <s v="F11.02.01"/>
    <n v="2"/>
    <s v="mengargumentasikan yang berkaitan dengan pengembangan produk untuk peningkatan taraf perekonomian masyarakat melalui karya tulis ilmiah"/>
    <s v="02.01"/>
    <x v="7"/>
    <s v="K11"/>
    <s v="F"/>
    <n v="65"/>
    <n v="65"/>
    <s v="Tuntas"/>
    <s v="Bahasa Inggris"/>
    <x v="0"/>
    <x v="4"/>
    <n v="65"/>
    <x v="1"/>
    <n v="11"/>
    <x v="3"/>
    <x v="7"/>
    <x v="1"/>
  </r>
  <r>
    <n v="441"/>
    <s v="242510011"/>
    <x v="0"/>
    <x v="1"/>
    <s v="Intan Jaya"/>
    <d v="2026-01-29T00:00:00"/>
    <s v="29"/>
    <x v="0"/>
    <s v="26"/>
    <x v="0"/>
    <x v="0"/>
    <x v="9"/>
    <s v="Real"/>
    <s v="Entrepreneur"/>
    <s v="Product development"/>
    <x v="0"/>
    <x v="0"/>
    <x v="0"/>
    <s v="F11.02.01"/>
    <n v="2"/>
    <s v="mengargumentasikan yang berkaitan dengan pengembangan produk untuk peningkatan taraf perekonomian masyarakat melalui karya tulis ilmiah"/>
    <s v="02.01"/>
    <x v="7"/>
    <s v="K11"/>
    <s v="F"/>
    <n v="65"/>
    <n v="41"/>
    <s v="Tidak tuntas"/>
    <s v="Bahasa Inggris"/>
    <x v="0"/>
    <x v="4"/>
    <n v="41"/>
    <x v="3"/>
    <n v="11"/>
    <x v="0"/>
    <x v="3"/>
    <x v="1"/>
  </r>
  <r>
    <n v="442"/>
    <s v="242510011"/>
    <x v="0"/>
    <x v="1"/>
    <s v="Intan Jaya"/>
    <d v="2026-01-29T00:00:00"/>
    <s v="29"/>
    <x v="0"/>
    <s v="26"/>
    <x v="3"/>
    <x v="8"/>
    <x v="10"/>
    <s v="Real"/>
    <s v="Entrepreneur"/>
    <s v="Product development"/>
    <x v="0"/>
    <x v="0"/>
    <x v="0"/>
    <s v="F11.02.01"/>
    <n v="2"/>
    <s v="mengargumentasikan yang berkaitan dengan pengembangan produk untuk peningkatan taraf perekonomian masyarakat melalui karya tulis ilmiah"/>
    <s v="02.01"/>
    <x v="7"/>
    <s v="K11"/>
    <s v="F"/>
    <n v="65"/>
    <n v="35"/>
    <s v="Tidak tuntas"/>
    <s v="Bahasa Inggris"/>
    <x v="0"/>
    <x v="4"/>
    <n v="35"/>
    <x v="3"/>
    <n v="11"/>
    <x v="5"/>
    <x v="3"/>
    <x v="1"/>
  </r>
  <r>
    <n v="443"/>
    <s v="242510011"/>
    <x v="0"/>
    <x v="1"/>
    <s v="Intan Jaya"/>
    <d v="2026-01-22T00:00:00"/>
    <s v="22"/>
    <x v="0"/>
    <s v="26"/>
    <x v="1"/>
    <x v="9"/>
    <x v="11"/>
    <s v="Real"/>
    <s v="Entrepreneur"/>
    <s v="Product development"/>
    <x v="0"/>
    <x v="0"/>
    <x v="0"/>
    <s v="F11.02.01"/>
    <n v="2"/>
    <s v="mengargumentasikan yang berkaitan dengan pengembangan produk untuk peningkatan taraf perekonomian masyarakat melalui karya tulis ilmiah"/>
    <s v="02.01"/>
    <x v="7"/>
    <s v="K11"/>
    <s v="F"/>
    <n v="65"/>
    <n v="10"/>
    <s v="Tidak tuntas"/>
    <s v="Bahasa Inggris"/>
    <x v="0"/>
    <x v="4"/>
    <n v="10"/>
    <x v="3"/>
    <n v="11"/>
    <x v="0"/>
    <x v="2"/>
    <x v="1"/>
  </r>
  <r>
    <n v="444"/>
    <s v="242510011"/>
    <x v="0"/>
    <x v="1"/>
    <s v="Intan Jaya"/>
    <d v="2026-01-22T00:00:00"/>
    <s v="22"/>
    <x v="0"/>
    <s v="26"/>
    <x v="0"/>
    <x v="0"/>
    <x v="4"/>
    <s v="Real"/>
    <s v="Entrepreneur"/>
    <s v="Product development"/>
    <x v="0"/>
    <x v="0"/>
    <x v="0"/>
    <s v="F11.02.01"/>
    <n v="2"/>
    <s v="mengargumentasikan yang berkaitan dengan pengembangan produk untuk peningkatan taraf perekonomian masyarakat melalui karya tulis ilmiah"/>
    <s v="02.01"/>
    <x v="7"/>
    <s v="K11"/>
    <s v="F"/>
    <n v="65"/>
    <n v="10"/>
    <s v="Tidak tuntas"/>
    <s v="Bahasa Inggris"/>
    <x v="0"/>
    <x v="4"/>
    <n v="10"/>
    <x v="3"/>
    <n v="11"/>
    <x v="0"/>
    <x v="2"/>
    <x v="1"/>
  </r>
  <r>
    <n v="445"/>
    <s v="242510011"/>
    <x v="0"/>
    <x v="1"/>
    <s v="Intan Jaya"/>
    <d v="2026-01-22T00:00:00"/>
    <s v="22"/>
    <x v="0"/>
    <s v="26"/>
    <x v="2"/>
    <x v="3"/>
    <x v="4"/>
    <s v="Real"/>
    <s v="Entrepreneur"/>
    <s v="Product development"/>
    <x v="0"/>
    <x v="0"/>
    <x v="0"/>
    <s v="F11.02.01"/>
    <n v="2"/>
    <s v="mengargumentasikan yang berkaitan dengan pengembangan produk untuk peningkatan taraf perekonomian masyarakat melalui karya tulis ilmiah"/>
    <s v="02.01"/>
    <x v="7"/>
    <s v="K11"/>
    <s v="F"/>
    <n v="65"/>
    <n v="10"/>
    <s v="Tidak tuntas"/>
    <s v="Bahasa Inggris"/>
    <x v="0"/>
    <x v="4"/>
    <n v="10"/>
    <x v="3"/>
    <n v="11"/>
    <x v="0"/>
    <x v="2"/>
    <x v="1"/>
  </r>
  <r>
    <n v="446"/>
    <s v="242510011"/>
    <x v="0"/>
    <x v="1"/>
    <s v="Intan Jaya"/>
    <d v="2026-02-12T00:00:00"/>
    <s v="12"/>
    <x v="1"/>
    <s v="26"/>
    <x v="0"/>
    <x v="0"/>
    <x v="9"/>
    <s v="Real"/>
    <s v="Entrepreneur"/>
    <s v="Product development"/>
    <x v="0"/>
    <x v="0"/>
    <x v="0"/>
    <s v="F11.02.01"/>
    <n v="2"/>
    <s v="mengargumentasikan yang berkaitan dengan pengembangan produk untuk peningkatan taraf perekonomian masyarakat melalui karya tulis ilmiah"/>
    <s v="02.01"/>
    <x v="7"/>
    <s v="K11"/>
    <s v="F"/>
    <n v="65"/>
    <n v="73"/>
    <s v="Tuntas"/>
    <s v="Bahasa Inggris"/>
    <x v="0"/>
    <x v="4"/>
    <n v="73"/>
    <x v="1"/>
    <n v="11"/>
    <x v="0"/>
    <x v="5"/>
    <x v="1"/>
  </r>
  <r>
    <n v="447"/>
    <s v="242510011"/>
    <x v="0"/>
    <x v="1"/>
    <s v="Intan Jaya"/>
    <d v="2026-02-12T00:00:00"/>
    <s v="12"/>
    <x v="1"/>
    <s v="26"/>
    <x v="0"/>
    <x v="0"/>
    <x v="2"/>
    <s v="Real"/>
    <s v="Entrepreneur"/>
    <s v="Product development"/>
    <x v="0"/>
    <x v="0"/>
    <x v="0"/>
    <s v="F11.02.01"/>
    <n v="2"/>
    <s v="mengargumentasikan yang berkaitan dengan pengembangan produk untuk peningkatan taraf perekonomian masyarakat melalui karya tulis ilmiah"/>
    <s v="02.01"/>
    <x v="7"/>
    <s v="K11"/>
    <s v="F"/>
    <n v="65"/>
    <n v="60"/>
    <s v="Tidak tuntas"/>
    <s v="Bahasa Inggris"/>
    <x v="0"/>
    <x v="4"/>
    <n v="60"/>
    <x v="3"/>
    <n v="11"/>
    <x v="0"/>
    <x v="5"/>
    <x v="1"/>
  </r>
  <r>
    <n v="448"/>
    <s v="242510011"/>
    <x v="0"/>
    <x v="1"/>
    <s v="Intan Jaya"/>
    <d v="2026-02-12T00:00:00"/>
    <s v="12"/>
    <x v="1"/>
    <s v="26"/>
    <x v="1"/>
    <x v="9"/>
    <x v="2"/>
    <s v="Real"/>
    <s v="Entrepreneur"/>
    <s v="Product development"/>
    <x v="0"/>
    <x v="0"/>
    <x v="0"/>
    <s v="F11.02.01"/>
    <n v="2"/>
    <s v="mengargumentasikan yang berkaitan dengan pengembangan produk untuk peningkatan taraf perekonomian masyarakat melalui karya tulis ilmiah"/>
    <s v="02.01"/>
    <x v="7"/>
    <s v="K11"/>
    <s v="F"/>
    <n v="65"/>
    <n v="60"/>
    <s v="Tidak tuntas"/>
    <s v="Bahasa Inggris"/>
    <x v="0"/>
    <x v="4"/>
    <n v="60"/>
    <x v="3"/>
    <n v="11"/>
    <x v="0"/>
    <x v="5"/>
    <x v="1"/>
  </r>
  <r>
    <n v="449"/>
    <s v="242510011"/>
    <x v="0"/>
    <x v="1"/>
    <s v="Intan Jaya"/>
    <d v="2026-02-18T00:00:00"/>
    <s v="18"/>
    <x v="1"/>
    <s v="26"/>
    <x v="1"/>
    <x v="9"/>
    <x v="11"/>
    <s v="Real"/>
    <s v="Entrepreneur"/>
    <s v="Product development"/>
    <x v="0"/>
    <x v="0"/>
    <x v="0"/>
    <s v="F11.02.01"/>
    <n v="2"/>
    <s v="mengargumentasikan yang berkaitan dengan pengembangan produk untuk peningkatan taraf perekonomian masyarakat melalui karya tulis ilmiah"/>
    <s v="02.01"/>
    <x v="7"/>
    <s v="K11"/>
    <s v="F"/>
    <n v="65"/>
    <n v="95"/>
    <s v="Tuntas"/>
    <s v="Bahasa Inggris"/>
    <x v="0"/>
    <x v="4"/>
    <n v="95"/>
    <x v="4"/>
    <n v="11"/>
    <x v="0"/>
    <x v="6"/>
    <x v="1"/>
  </r>
  <r>
    <n v="450"/>
    <s v="242510011"/>
    <x v="0"/>
    <x v="1"/>
    <s v="Intan Jaya"/>
    <d v="2026-02-18T00:00:00"/>
    <s v="18"/>
    <x v="1"/>
    <s v="26"/>
    <x v="0"/>
    <x v="0"/>
    <x v="11"/>
    <s v="Real"/>
    <s v="Entrepreneur"/>
    <s v="Product development"/>
    <x v="0"/>
    <x v="0"/>
    <x v="0"/>
    <s v="F11.02.01"/>
    <n v="2"/>
    <s v="mengargumentasikan yang berkaitan dengan pengembangan produk untuk peningkatan taraf perekonomian masyarakat melalui karya tulis ilmiah"/>
    <s v="02.01"/>
    <x v="7"/>
    <s v="K11"/>
    <s v="F"/>
    <n v="65"/>
    <n v="95"/>
    <s v="Tuntas"/>
    <s v="Bahasa Inggris"/>
    <x v="0"/>
    <x v="4"/>
    <n v="95"/>
    <x v="4"/>
    <n v="11"/>
    <x v="0"/>
    <x v="6"/>
    <x v="1"/>
  </r>
  <r>
    <n v="451"/>
    <s v="242510004"/>
    <x v="0"/>
    <x v="8"/>
    <s v="Inta jaya"/>
    <d v="2026-01-08T00:00:00"/>
    <s v="08"/>
    <x v="0"/>
    <s v="26"/>
    <x v="0"/>
    <x v="0"/>
    <x v="4"/>
    <s v="Real"/>
    <s v="Entrepreneur"/>
    <s v="Product development"/>
    <x v="0"/>
    <x v="0"/>
    <x v="0"/>
    <s v="F11.02.01"/>
    <n v="2"/>
    <s v="mengargumentasikan yang berkaitan dengan pengembangan produk untuk peningkatan taraf perekonomian masyarakat melalui karya tulis ilmiah"/>
    <s v="02.01"/>
    <x v="7"/>
    <s v="K11"/>
    <s v="F"/>
    <n v="65"/>
    <n v="66"/>
    <s v="Tuntas"/>
    <s v="Bahasa Inggris"/>
    <x v="0"/>
    <x v="4"/>
    <n v="66"/>
    <x v="1"/>
    <n v="11"/>
    <x v="0"/>
    <x v="7"/>
    <x v="4"/>
  </r>
  <r>
    <n v="452"/>
    <s v="242510004"/>
    <x v="0"/>
    <x v="8"/>
    <s v="Inta jaya"/>
    <d v="2026-01-08T00:00:00"/>
    <s v="08"/>
    <x v="0"/>
    <s v="26"/>
    <x v="1"/>
    <x v="7"/>
    <x v="7"/>
    <s v="Real"/>
    <s v="Entrepreneur"/>
    <s v="Product development"/>
    <x v="0"/>
    <x v="0"/>
    <x v="0"/>
    <s v="F11.02.01"/>
    <n v="2"/>
    <s v="mengargumentasikan yang berkaitan dengan pengembangan produk untuk peningkatan taraf perekonomian masyarakat melalui karya tulis ilmiah"/>
    <s v="02.01"/>
    <x v="7"/>
    <s v="K11"/>
    <s v="F"/>
    <n v="65"/>
    <n v="66"/>
    <s v="Tuntas"/>
    <s v="Bahasa Inggris"/>
    <x v="0"/>
    <x v="4"/>
    <n v="66"/>
    <x v="1"/>
    <n v="11"/>
    <x v="0"/>
    <x v="7"/>
    <x v="4"/>
  </r>
  <r>
    <n v="453"/>
    <s v="242510004"/>
    <x v="0"/>
    <x v="8"/>
    <s v="Inta jaya"/>
    <d v="2026-01-08T00:00:00"/>
    <s v="08"/>
    <x v="0"/>
    <s v="26"/>
    <x v="3"/>
    <x v="4"/>
    <x v="8"/>
    <s v="Real"/>
    <s v="Entrepreneur"/>
    <s v="Product development"/>
    <x v="0"/>
    <x v="0"/>
    <x v="0"/>
    <s v="F11.02.01"/>
    <n v="2"/>
    <s v="mengargumentasikan yang berkaitan dengan pengembangan produk untuk peningkatan taraf perekonomian masyarakat melalui karya tulis ilmiah"/>
    <s v="02.01"/>
    <x v="7"/>
    <s v="K11"/>
    <s v="F"/>
    <n v="65"/>
    <n v="90"/>
    <s v="Tuntas"/>
    <s v="Bahasa Inggris"/>
    <x v="0"/>
    <x v="4"/>
    <n v="90"/>
    <x v="2"/>
    <n v="11"/>
    <x v="4"/>
    <x v="7"/>
    <x v="4"/>
  </r>
  <r>
    <n v="454"/>
    <s v="242510004"/>
    <x v="0"/>
    <x v="8"/>
    <s v="Inta jaya"/>
    <d v="2026-01-29T00:00:00"/>
    <s v="29"/>
    <x v="0"/>
    <s v="26"/>
    <x v="0"/>
    <x v="0"/>
    <x v="9"/>
    <s v="Real"/>
    <s v="Entrepreneur"/>
    <s v="Product development"/>
    <x v="0"/>
    <x v="0"/>
    <x v="0"/>
    <s v="F11.02.01"/>
    <n v="2"/>
    <s v="mengargumentasikan yang berkaitan dengan pengembangan produk untuk peningkatan taraf perekonomian masyarakat melalui karya tulis ilmiah"/>
    <s v="02.01"/>
    <x v="7"/>
    <s v="K11"/>
    <s v="F"/>
    <n v="65"/>
    <n v="88"/>
    <s v="Tuntas"/>
    <s v="Bahasa Inggris"/>
    <x v="0"/>
    <x v="4"/>
    <n v="88"/>
    <x v="2"/>
    <n v="11"/>
    <x v="0"/>
    <x v="3"/>
    <x v="4"/>
  </r>
  <r>
    <n v="455"/>
    <s v="242510004"/>
    <x v="0"/>
    <x v="8"/>
    <s v="Inta jaya"/>
    <d v="2026-01-29T00:00:00"/>
    <s v="29"/>
    <x v="0"/>
    <s v="26"/>
    <x v="3"/>
    <x v="8"/>
    <x v="10"/>
    <s v="Real"/>
    <s v="Entrepreneur"/>
    <s v="Product development"/>
    <x v="0"/>
    <x v="0"/>
    <x v="0"/>
    <s v="F11.02.01"/>
    <n v="2"/>
    <s v="mengargumentasikan yang berkaitan dengan pengembangan produk untuk peningkatan taraf perekonomian masyarakat melalui karya tulis ilmiah"/>
    <s v="02.01"/>
    <x v="7"/>
    <s v="K11"/>
    <s v="F"/>
    <n v="65"/>
    <n v="100"/>
    <s v="Tuntas"/>
    <s v="Bahasa Inggris"/>
    <x v="0"/>
    <x v="4"/>
    <n v="100"/>
    <x v="4"/>
    <n v="11"/>
    <x v="4"/>
    <x v="3"/>
    <x v="4"/>
  </r>
  <r>
    <n v="456"/>
    <s v="242510004"/>
    <x v="0"/>
    <x v="8"/>
    <s v="Inta jaya"/>
    <d v="2026-01-22T00:00:00"/>
    <s v="22"/>
    <x v="0"/>
    <s v="26"/>
    <x v="1"/>
    <x v="9"/>
    <x v="11"/>
    <s v="Real"/>
    <s v="Entrepreneur"/>
    <s v="Product development"/>
    <x v="0"/>
    <x v="0"/>
    <x v="0"/>
    <s v="F11.02.01"/>
    <n v="2"/>
    <s v="mengargumentasikan yang berkaitan dengan pengembangan produk untuk peningkatan taraf perekonomian masyarakat melalui karya tulis ilmiah"/>
    <s v="02.01"/>
    <x v="7"/>
    <s v="K11"/>
    <s v="F"/>
    <n v="65"/>
    <n v="5"/>
    <s v="Tidak tuntas"/>
    <s v="Bahasa Inggris"/>
    <x v="0"/>
    <x v="4"/>
    <n v="5"/>
    <x v="3"/>
    <n v="11"/>
    <x v="0"/>
    <x v="2"/>
    <x v="4"/>
  </r>
  <r>
    <n v="457"/>
    <s v="242510004"/>
    <x v="0"/>
    <x v="8"/>
    <s v="Inta jaya"/>
    <d v="2026-01-22T00:00:00"/>
    <s v="22"/>
    <x v="0"/>
    <s v="26"/>
    <x v="0"/>
    <x v="0"/>
    <x v="4"/>
    <s v="Real"/>
    <s v="Entrepreneur"/>
    <s v="Product development"/>
    <x v="0"/>
    <x v="0"/>
    <x v="0"/>
    <s v="F11.02.01"/>
    <n v="2"/>
    <s v="mengargumentasikan yang berkaitan dengan pengembangan produk untuk peningkatan taraf perekonomian masyarakat melalui karya tulis ilmiah"/>
    <s v="02.01"/>
    <x v="7"/>
    <s v="K11"/>
    <s v="F"/>
    <n v="65"/>
    <n v="5"/>
    <s v="Tidak tuntas"/>
    <s v="Bahasa Inggris"/>
    <x v="0"/>
    <x v="4"/>
    <n v="5"/>
    <x v="3"/>
    <n v="11"/>
    <x v="0"/>
    <x v="2"/>
    <x v="4"/>
  </r>
  <r>
    <n v="458"/>
    <s v="242510004"/>
    <x v="0"/>
    <x v="8"/>
    <s v="Inta jaya"/>
    <d v="2026-01-22T00:00:00"/>
    <s v="22"/>
    <x v="0"/>
    <s v="26"/>
    <x v="2"/>
    <x v="3"/>
    <x v="4"/>
    <s v="Real"/>
    <s v="Entrepreneur"/>
    <s v="Product development"/>
    <x v="0"/>
    <x v="0"/>
    <x v="0"/>
    <s v="F11.02.01"/>
    <n v="2"/>
    <s v="mengargumentasikan yang berkaitan dengan pengembangan produk untuk peningkatan taraf perekonomian masyarakat melalui karya tulis ilmiah"/>
    <s v="02.01"/>
    <x v="7"/>
    <s v="K11"/>
    <s v="F"/>
    <n v="65"/>
    <n v="5"/>
    <s v="Tidak tuntas"/>
    <s v="Bahasa Inggris"/>
    <x v="0"/>
    <x v="4"/>
    <n v="5"/>
    <x v="3"/>
    <n v="11"/>
    <x v="0"/>
    <x v="2"/>
    <x v="4"/>
  </r>
  <r>
    <n v="459"/>
    <s v="242510004"/>
    <x v="0"/>
    <x v="8"/>
    <s v="Inta jaya"/>
    <d v="2026-02-12T00:00:00"/>
    <s v="12"/>
    <x v="1"/>
    <s v="26"/>
    <x v="0"/>
    <x v="0"/>
    <x v="9"/>
    <s v="Real"/>
    <s v="Entrepreneur"/>
    <s v="Product development"/>
    <x v="0"/>
    <x v="0"/>
    <x v="0"/>
    <s v="F11.02.01"/>
    <n v="2"/>
    <s v="mengargumentasikan yang berkaitan dengan pengembangan produk untuk peningkatan taraf perekonomian masyarakat melalui karya tulis ilmiah"/>
    <s v="02.01"/>
    <x v="7"/>
    <s v="K11"/>
    <s v="F"/>
    <n v="65"/>
    <n v="55"/>
    <s v="Tidak tuntas"/>
    <s v="Bahasa Inggris"/>
    <x v="0"/>
    <x v="4"/>
    <n v="55"/>
    <x v="3"/>
    <n v="11"/>
    <x v="0"/>
    <x v="5"/>
    <x v="4"/>
  </r>
  <r>
    <n v="460"/>
    <s v="242510004"/>
    <x v="0"/>
    <x v="8"/>
    <s v="Inta jaya"/>
    <d v="2026-02-12T00:00:00"/>
    <s v="12"/>
    <x v="1"/>
    <s v="26"/>
    <x v="0"/>
    <x v="0"/>
    <x v="2"/>
    <s v="Real"/>
    <s v="Entrepreneur"/>
    <s v="Product development"/>
    <x v="0"/>
    <x v="0"/>
    <x v="0"/>
    <s v="F11.02.01"/>
    <n v="2"/>
    <s v="mengargumentasikan yang berkaitan dengan pengembangan produk untuk peningkatan taraf perekonomian masyarakat melalui karya tulis ilmiah"/>
    <s v="02.01"/>
    <x v="7"/>
    <s v="K11"/>
    <s v="F"/>
    <n v="65"/>
    <n v="50"/>
    <s v="Tidak tuntas"/>
    <s v="Bahasa Inggris"/>
    <x v="0"/>
    <x v="4"/>
    <n v="50"/>
    <x v="3"/>
    <n v="11"/>
    <x v="0"/>
    <x v="5"/>
    <x v="4"/>
  </r>
  <r>
    <n v="461"/>
    <s v="242510004"/>
    <x v="0"/>
    <x v="8"/>
    <s v="Inta jaya"/>
    <d v="2026-02-12T00:00:00"/>
    <s v="12"/>
    <x v="1"/>
    <s v="26"/>
    <x v="1"/>
    <x v="9"/>
    <x v="2"/>
    <s v="Real"/>
    <s v="Entrepreneur"/>
    <s v="Product development"/>
    <x v="0"/>
    <x v="0"/>
    <x v="0"/>
    <s v="F11.02.01"/>
    <n v="2"/>
    <s v="mengargumentasikan yang berkaitan dengan pengembangan produk untuk peningkatan taraf perekonomian masyarakat melalui karya tulis ilmiah"/>
    <s v="02.01"/>
    <x v="7"/>
    <s v="K11"/>
    <s v="F"/>
    <n v="65"/>
    <n v="50"/>
    <s v="Tidak tuntas"/>
    <s v="Bahasa Inggris"/>
    <x v="0"/>
    <x v="4"/>
    <n v="50"/>
    <x v="3"/>
    <n v="11"/>
    <x v="0"/>
    <x v="5"/>
    <x v="4"/>
  </r>
  <r>
    <n v="462"/>
    <s v="242510004"/>
    <x v="0"/>
    <x v="8"/>
    <s v="Inta jaya"/>
    <d v="2026-02-18T00:00:00"/>
    <s v="18"/>
    <x v="1"/>
    <s v="26"/>
    <x v="1"/>
    <x v="9"/>
    <x v="11"/>
    <s v="Real"/>
    <s v="Entrepreneur"/>
    <s v="Product development"/>
    <x v="0"/>
    <x v="0"/>
    <x v="0"/>
    <s v="F11.02.01"/>
    <n v="2"/>
    <s v="mengargumentasikan yang berkaitan dengan pengembangan produk untuk peningkatan taraf perekonomian masyarakat melalui karya tulis ilmiah"/>
    <s v="02.01"/>
    <x v="7"/>
    <s v="K11"/>
    <s v="F"/>
    <n v="65"/>
    <n v="80"/>
    <s v="Tuntas"/>
    <s v="Bahasa Inggris"/>
    <x v="0"/>
    <x v="4"/>
    <n v="80"/>
    <x v="2"/>
    <n v="11"/>
    <x v="0"/>
    <x v="6"/>
    <x v="4"/>
  </r>
  <r>
    <n v="463"/>
    <s v="242510004"/>
    <x v="0"/>
    <x v="8"/>
    <s v="Inta jaya"/>
    <d v="2026-02-18T00:00:00"/>
    <s v="18"/>
    <x v="1"/>
    <s v="26"/>
    <x v="0"/>
    <x v="0"/>
    <x v="11"/>
    <s v="Real"/>
    <s v="Entrepreneur"/>
    <s v="Product development"/>
    <x v="0"/>
    <x v="0"/>
    <x v="0"/>
    <s v="F11.02.01"/>
    <n v="2"/>
    <s v="mengargumentasikan yang berkaitan dengan pengembangan produk untuk peningkatan taraf perekonomian masyarakat melalui karya tulis ilmiah"/>
    <s v="02.01"/>
    <x v="7"/>
    <s v="K11"/>
    <s v="F"/>
    <n v="65"/>
    <n v="80"/>
    <s v="Tuntas"/>
    <s v="Bahasa Inggris"/>
    <x v="0"/>
    <x v="4"/>
    <n v="80"/>
    <x v="2"/>
    <n v="11"/>
    <x v="0"/>
    <x v="6"/>
    <x v="4"/>
  </r>
  <r>
    <n v="464"/>
    <s v="242510010"/>
    <x v="0"/>
    <x v="2"/>
    <s v="Intan Jaya"/>
    <d v="2026-01-08T00:00:00"/>
    <s v="08"/>
    <x v="0"/>
    <s v="26"/>
    <x v="0"/>
    <x v="0"/>
    <x v="4"/>
    <s v="Real"/>
    <s v="Entrepreneur"/>
    <s v="Product development"/>
    <x v="0"/>
    <x v="0"/>
    <x v="0"/>
    <s v="F11.02.01"/>
    <n v="2"/>
    <s v="mengargumentasikan yang berkaitan dengan pengembangan produk untuk peningkatan taraf perekonomian masyarakat melalui karya tulis ilmiah"/>
    <s v="02.01"/>
    <x v="7"/>
    <s v="K11"/>
    <s v="F"/>
    <n v="65"/>
    <n v="80"/>
    <s v="Tuntas"/>
    <s v="Bahasa Inggris"/>
    <x v="0"/>
    <x v="4"/>
    <n v="80"/>
    <x v="2"/>
    <n v="11"/>
    <x v="0"/>
    <x v="7"/>
    <x v="2"/>
  </r>
  <r>
    <n v="465"/>
    <s v="242510010"/>
    <x v="0"/>
    <x v="2"/>
    <s v="Intan Jaya"/>
    <d v="2026-01-08T00:00:00"/>
    <s v="08"/>
    <x v="0"/>
    <s v="26"/>
    <x v="1"/>
    <x v="7"/>
    <x v="7"/>
    <s v="Real"/>
    <s v="Entrepreneur"/>
    <s v="Product development"/>
    <x v="0"/>
    <x v="0"/>
    <x v="0"/>
    <s v="F11.02.01"/>
    <n v="2"/>
    <s v="mengargumentasikan yang berkaitan dengan pengembangan produk untuk peningkatan taraf perekonomian masyarakat melalui karya tulis ilmiah"/>
    <s v="02.01"/>
    <x v="7"/>
    <s v="K11"/>
    <s v="F"/>
    <n v="65"/>
    <n v="80"/>
    <s v="Tuntas"/>
    <s v="Bahasa Inggris"/>
    <x v="0"/>
    <x v="4"/>
    <n v="80"/>
    <x v="2"/>
    <n v="11"/>
    <x v="0"/>
    <x v="7"/>
    <x v="2"/>
  </r>
  <r>
    <n v="466"/>
    <s v="242510010"/>
    <x v="0"/>
    <x v="2"/>
    <s v="Intan Jaya"/>
    <d v="2026-01-08T00:00:00"/>
    <s v="08"/>
    <x v="0"/>
    <s v="26"/>
    <x v="3"/>
    <x v="4"/>
    <x v="8"/>
    <s v="Real"/>
    <s v="Entrepreneur"/>
    <s v="Product development"/>
    <x v="0"/>
    <x v="0"/>
    <x v="0"/>
    <s v="F11.02.01"/>
    <n v="2"/>
    <s v="mengargumentasikan yang berkaitan dengan pengembangan produk untuk peningkatan taraf perekonomian masyarakat melalui karya tulis ilmiah"/>
    <s v="02.01"/>
    <x v="7"/>
    <s v="K11"/>
    <s v="F"/>
    <n v="65"/>
    <n v="90"/>
    <s v="Tuntas"/>
    <s v="Bahasa Inggris"/>
    <x v="0"/>
    <x v="4"/>
    <n v="90"/>
    <x v="2"/>
    <n v="11"/>
    <x v="4"/>
    <x v="7"/>
    <x v="2"/>
  </r>
  <r>
    <n v="467"/>
    <s v="242510010"/>
    <x v="0"/>
    <x v="2"/>
    <s v="Intan Jaya"/>
    <d v="2026-01-29T00:00:00"/>
    <s v="29"/>
    <x v="0"/>
    <s v="26"/>
    <x v="0"/>
    <x v="0"/>
    <x v="9"/>
    <s v="Real"/>
    <s v="Entrepreneur"/>
    <s v="Product development"/>
    <x v="0"/>
    <x v="0"/>
    <x v="0"/>
    <s v="F11.02.01"/>
    <n v="2"/>
    <s v="mengargumentasikan yang berkaitan dengan pengembangan produk untuk peningkatan taraf perekonomian masyarakat melalui karya tulis ilmiah"/>
    <s v="02.01"/>
    <x v="7"/>
    <s v="K11"/>
    <s v="F"/>
    <n v="65"/>
    <n v="53"/>
    <s v="Tidak tuntas"/>
    <s v="Bahasa Inggris"/>
    <x v="0"/>
    <x v="4"/>
    <n v="53"/>
    <x v="3"/>
    <n v="11"/>
    <x v="0"/>
    <x v="3"/>
    <x v="2"/>
  </r>
  <r>
    <n v="468"/>
    <s v="242510010"/>
    <x v="0"/>
    <x v="2"/>
    <s v="Intan Jaya"/>
    <d v="2026-01-29T00:00:00"/>
    <s v="29"/>
    <x v="0"/>
    <s v="26"/>
    <x v="3"/>
    <x v="8"/>
    <x v="10"/>
    <s v="Real"/>
    <s v="Entrepreneur"/>
    <s v="Product development"/>
    <x v="0"/>
    <x v="0"/>
    <x v="0"/>
    <s v="F11.02.01"/>
    <n v="2"/>
    <s v="mengargumentasikan yang berkaitan dengan pengembangan produk untuk peningkatan taraf perekonomian masyarakat melalui karya tulis ilmiah"/>
    <s v="02.01"/>
    <x v="7"/>
    <s v="K11"/>
    <s v="F"/>
    <n v="65"/>
    <n v="100"/>
    <s v="Tuntas"/>
    <s v="Bahasa Inggris"/>
    <x v="0"/>
    <x v="4"/>
    <n v="100"/>
    <x v="4"/>
    <n v="11"/>
    <x v="4"/>
    <x v="3"/>
    <x v="2"/>
  </r>
  <r>
    <n v="469"/>
    <s v="242510010"/>
    <x v="0"/>
    <x v="2"/>
    <s v="Intan Jaya"/>
    <d v="2026-01-22T00:00:00"/>
    <s v="22"/>
    <x v="0"/>
    <s v="26"/>
    <x v="1"/>
    <x v="9"/>
    <x v="11"/>
    <s v="Real"/>
    <s v="Entrepreneur"/>
    <s v="Product development"/>
    <x v="0"/>
    <x v="0"/>
    <x v="0"/>
    <s v="F11.02.01"/>
    <n v="2"/>
    <s v="mengargumentasikan yang berkaitan dengan pengembangan produk untuk peningkatan taraf perekonomian masyarakat melalui karya tulis ilmiah"/>
    <s v="02.01"/>
    <x v="7"/>
    <s v="K11"/>
    <s v="F"/>
    <n v="65"/>
    <n v="59"/>
    <s v="Tidak tuntas"/>
    <s v="Bahasa Inggris"/>
    <x v="0"/>
    <x v="4"/>
    <n v="59"/>
    <x v="3"/>
    <n v="11"/>
    <x v="0"/>
    <x v="2"/>
    <x v="2"/>
  </r>
  <r>
    <n v="470"/>
    <s v="242510010"/>
    <x v="0"/>
    <x v="2"/>
    <s v="Intan Jaya"/>
    <d v="2026-01-22T00:00:00"/>
    <s v="22"/>
    <x v="0"/>
    <s v="26"/>
    <x v="0"/>
    <x v="0"/>
    <x v="4"/>
    <s v="Real"/>
    <s v="Entrepreneur"/>
    <s v="Product development"/>
    <x v="0"/>
    <x v="0"/>
    <x v="0"/>
    <s v="F11.02.01"/>
    <n v="2"/>
    <s v="mengargumentasikan yang berkaitan dengan pengembangan produk untuk peningkatan taraf perekonomian masyarakat melalui karya tulis ilmiah"/>
    <s v="02.01"/>
    <x v="7"/>
    <s v="K11"/>
    <s v="F"/>
    <n v="65"/>
    <n v="59"/>
    <s v="Tidak tuntas"/>
    <s v="Bahasa Inggris"/>
    <x v="0"/>
    <x v="4"/>
    <n v="59"/>
    <x v="3"/>
    <n v="11"/>
    <x v="0"/>
    <x v="2"/>
    <x v="2"/>
  </r>
  <r>
    <n v="471"/>
    <s v="242510010"/>
    <x v="0"/>
    <x v="2"/>
    <s v="Intan Jaya"/>
    <d v="2026-01-22T00:00:00"/>
    <s v="22"/>
    <x v="0"/>
    <s v="26"/>
    <x v="2"/>
    <x v="3"/>
    <x v="4"/>
    <s v="Real"/>
    <s v="Entrepreneur"/>
    <s v="Product development"/>
    <x v="0"/>
    <x v="0"/>
    <x v="0"/>
    <s v="F11.02.01"/>
    <n v="2"/>
    <s v="mengargumentasikan yang berkaitan dengan pengembangan produk untuk peningkatan taraf perekonomian masyarakat melalui karya tulis ilmiah"/>
    <s v="02.01"/>
    <x v="7"/>
    <s v="K11"/>
    <s v="F"/>
    <n v="65"/>
    <n v="59"/>
    <s v="Tidak tuntas"/>
    <s v="Bahasa Inggris"/>
    <x v="0"/>
    <x v="4"/>
    <n v="59"/>
    <x v="3"/>
    <n v="11"/>
    <x v="0"/>
    <x v="2"/>
    <x v="2"/>
  </r>
  <r>
    <n v="472"/>
    <s v="242510010"/>
    <x v="0"/>
    <x v="2"/>
    <s v="Intan Jaya"/>
    <d v="2026-02-12T00:00:00"/>
    <s v="12"/>
    <x v="1"/>
    <s v="26"/>
    <x v="0"/>
    <x v="0"/>
    <x v="9"/>
    <s v="Real"/>
    <s v="Entrepreneur"/>
    <s v="Product development"/>
    <x v="0"/>
    <x v="0"/>
    <x v="0"/>
    <s v="F11.02.01"/>
    <n v="2"/>
    <s v="mengargumentasikan yang berkaitan dengan pengembangan produk untuk peningkatan taraf perekonomian masyarakat melalui karya tulis ilmiah"/>
    <s v="02.01"/>
    <x v="7"/>
    <s v="K11"/>
    <s v="F"/>
    <n v="65"/>
    <n v="45"/>
    <s v="Tidak tuntas"/>
    <s v="Bahasa Inggris"/>
    <x v="0"/>
    <x v="4"/>
    <n v="45"/>
    <x v="3"/>
    <n v="11"/>
    <x v="0"/>
    <x v="5"/>
    <x v="2"/>
  </r>
  <r>
    <n v="473"/>
    <s v="242510010"/>
    <x v="0"/>
    <x v="2"/>
    <s v="Intan Jaya"/>
    <d v="2026-02-12T00:00:00"/>
    <s v="12"/>
    <x v="1"/>
    <s v="26"/>
    <x v="0"/>
    <x v="0"/>
    <x v="2"/>
    <s v="Real"/>
    <s v="Entrepreneur"/>
    <s v="Product development"/>
    <x v="0"/>
    <x v="0"/>
    <x v="0"/>
    <s v="F11.02.01"/>
    <n v="2"/>
    <s v="mengargumentasikan yang berkaitan dengan pengembangan produk untuk peningkatan taraf perekonomian masyarakat melalui karya tulis ilmiah"/>
    <s v="02.01"/>
    <x v="7"/>
    <s v="K11"/>
    <s v="F"/>
    <n v="65"/>
    <n v="50"/>
    <s v="Tidak tuntas"/>
    <s v="Bahasa Inggris"/>
    <x v="0"/>
    <x v="4"/>
    <n v="50"/>
    <x v="3"/>
    <n v="11"/>
    <x v="0"/>
    <x v="5"/>
    <x v="2"/>
  </r>
  <r>
    <n v="474"/>
    <s v="242510010"/>
    <x v="0"/>
    <x v="2"/>
    <s v="Intan Jaya"/>
    <d v="2026-02-12T00:00:00"/>
    <s v="12"/>
    <x v="1"/>
    <s v="26"/>
    <x v="1"/>
    <x v="9"/>
    <x v="2"/>
    <s v="Real"/>
    <s v="Entrepreneur"/>
    <s v="Product development"/>
    <x v="0"/>
    <x v="0"/>
    <x v="0"/>
    <s v="F11.02.01"/>
    <n v="2"/>
    <s v="mengargumentasikan yang berkaitan dengan pengembangan produk untuk peningkatan taraf perekonomian masyarakat melalui karya tulis ilmiah"/>
    <s v="02.01"/>
    <x v="7"/>
    <s v="K11"/>
    <s v="F"/>
    <n v="65"/>
    <n v="50"/>
    <s v="Tidak tuntas"/>
    <s v="Bahasa Inggris"/>
    <x v="0"/>
    <x v="4"/>
    <n v="50"/>
    <x v="3"/>
    <n v="11"/>
    <x v="0"/>
    <x v="5"/>
    <x v="2"/>
  </r>
  <r>
    <n v="475"/>
    <s v="242510010"/>
    <x v="0"/>
    <x v="2"/>
    <s v="Intan Jaya"/>
    <d v="2026-02-18T00:00:00"/>
    <s v="18"/>
    <x v="1"/>
    <s v="26"/>
    <x v="1"/>
    <x v="9"/>
    <x v="11"/>
    <s v="Real"/>
    <s v="Entrepreneur"/>
    <s v="Product development"/>
    <x v="0"/>
    <x v="0"/>
    <x v="0"/>
    <s v="F11.02.01"/>
    <n v="2"/>
    <s v="mengargumentasikan yang berkaitan dengan pengembangan produk untuk peningkatan taraf perekonomian masyarakat melalui karya tulis ilmiah"/>
    <s v="02.01"/>
    <x v="7"/>
    <s v="K11"/>
    <s v="F"/>
    <n v="65"/>
    <n v="95"/>
    <s v="Tuntas"/>
    <s v="Bahasa Inggris"/>
    <x v="0"/>
    <x v="4"/>
    <n v="95"/>
    <x v="4"/>
    <n v="11"/>
    <x v="0"/>
    <x v="6"/>
    <x v="2"/>
  </r>
  <r>
    <n v="476"/>
    <s v="242510010"/>
    <x v="0"/>
    <x v="2"/>
    <s v="Intan Jaya"/>
    <d v="2026-02-18T00:00:00"/>
    <s v="18"/>
    <x v="1"/>
    <s v="26"/>
    <x v="0"/>
    <x v="0"/>
    <x v="11"/>
    <s v="Real"/>
    <s v="Entrepreneur"/>
    <s v="Product development"/>
    <x v="0"/>
    <x v="0"/>
    <x v="0"/>
    <s v="F11.02.01"/>
    <n v="2"/>
    <s v="mengargumentasikan yang berkaitan dengan pengembangan produk untuk peningkatan taraf perekonomian masyarakat melalui karya tulis ilmiah"/>
    <s v="02.01"/>
    <x v="7"/>
    <s v="K11"/>
    <s v="F"/>
    <n v="65"/>
    <n v="95"/>
    <s v="Tuntas"/>
    <s v="Bahasa Inggris"/>
    <x v="0"/>
    <x v="4"/>
    <n v="95"/>
    <x v="4"/>
    <n v="11"/>
    <x v="0"/>
    <x v="6"/>
    <x v="2"/>
  </r>
  <r>
    <n v="477"/>
    <s v="242510002"/>
    <x v="0"/>
    <x v="3"/>
    <s v="Intan Jaya"/>
    <d v="2026-01-08T00:00:00"/>
    <s v="08"/>
    <x v="0"/>
    <s v="26"/>
    <x v="0"/>
    <x v="0"/>
    <x v="4"/>
    <s v="Real"/>
    <s v="Entrepreneur"/>
    <s v="Product development"/>
    <x v="0"/>
    <x v="0"/>
    <x v="0"/>
    <s v="F11.02.01"/>
    <n v="2"/>
    <s v="mengargumentasikan yang berkaitan dengan pengembangan produk untuk peningkatan taraf perekonomian masyarakat melalui karya tulis ilmiah"/>
    <s v="02.01"/>
    <x v="7"/>
    <s v="K11"/>
    <s v="F"/>
    <n v="65"/>
    <n v="10"/>
    <s v="Tidak tuntas"/>
    <s v="Bahasa Inggris"/>
    <x v="0"/>
    <x v="4"/>
    <n v="10"/>
    <x v="3"/>
    <n v="11"/>
    <x v="0"/>
    <x v="7"/>
    <x v="1"/>
  </r>
  <r>
    <n v="478"/>
    <s v="242510002"/>
    <x v="0"/>
    <x v="3"/>
    <s v="Intan Jaya"/>
    <d v="2026-01-08T00:00:00"/>
    <s v="08"/>
    <x v="0"/>
    <s v="26"/>
    <x v="1"/>
    <x v="7"/>
    <x v="7"/>
    <s v="Real"/>
    <s v="Entrepreneur"/>
    <s v="Product development"/>
    <x v="0"/>
    <x v="0"/>
    <x v="0"/>
    <s v="F11.02.01"/>
    <n v="2"/>
    <s v="mengargumentasikan yang berkaitan dengan pengembangan produk untuk peningkatan taraf perekonomian masyarakat melalui karya tulis ilmiah"/>
    <s v="02.01"/>
    <x v="7"/>
    <s v="K11"/>
    <s v="F"/>
    <n v="65"/>
    <n v="10"/>
    <s v="Tidak tuntas"/>
    <s v="Bahasa Inggris"/>
    <x v="0"/>
    <x v="4"/>
    <n v="10"/>
    <x v="3"/>
    <n v="11"/>
    <x v="0"/>
    <x v="7"/>
    <x v="1"/>
  </r>
  <r>
    <n v="479"/>
    <s v="242510002"/>
    <x v="0"/>
    <x v="3"/>
    <s v="Intan Jaya"/>
    <d v="2026-01-08T00:00:00"/>
    <s v="08"/>
    <x v="0"/>
    <s v="26"/>
    <x v="3"/>
    <x v="4"/>
    <x v="8"/>
    <s v="Real"/>
    <s v="Entrepreneur"/>
    <s v="Product development"/>
    <x v="0"/>
    <x v="0"/>
    <x v="0"/>
    <s v="F11.02.01"/>
    <n v="2"/>
    <s v="mengargumentasikan yang berkaitan dengan pengembangan produk untuk peningkatan taraf perekonomian masyarakat melalui karya tulis ilmiah"/>
    <s v="02.01"/>
    <x v="7"/>
    <s v="K11"/>
    <s v="F"/>
    <n v="65"/>
    <n v="30"/>
    <s v="Tidak tuntas"/>
    <s v="Bahasa Inggris"/>
    <x v="0"/>
    <x v="4"/>
    <n v="30"/>
    <x v="3"/>
    <n v="11"/>
    <x v="5"/>
    <x v="7"/>
    <x v="1"/>
  </r>
  <r>
    <n v="480"/>
    <s v="242510002"/>
    <x v="0"/>
    <x v="3"/>
    <s v="Intan Jaya"/>
    <d v="2026-01-29T00:00:00"/>
    <s v="29"/>
    <x v="0"/>
    <s v="26"/>
    <x v="0"/>
    <x v="0"/>
    <x v="9"/>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481"/>
    <s v="242510002"/>
    <x v="0"/>
    <x v="3"/>
    <s v="Intan Jaya"/>
    <d v="2026-01-29T00:00:00"/>
    <s v="29"/>
    <x v="0"/>
    <s v="26"/>
    <x v="3"/>
    <x v="8"/>
    <x v="10"/>
    <s v="Real"/>
    <s v="Entrepreneur"/>
    <s v="Product development"/>
    <x v="0"/>
    <x v="0"/>
    <x v="0"/>
    <s v="F11.02.01"/>
    <n v="2"/>
    <s v="mengargumentasikan yang berkaitan dengan pengembangan produk untuk peningkatan taraf perekonomian masyarakat melalui karya tulis ilmiah"/>
    <s v="02.01"/>
    <x v="7"/>
    <s v="K11"/>
    <s v="F"/>
    <n v="65"/>
    <n v="25"/>
    <s v="Tidak tuntas"/>
    <s v="Bahasa Inggris"/>
    <x v="0"/>
    <x v="4"/>
    <n v="25"/>
    <x v="3"/>
    <n v="11"/>
    <x v="5"/>
    <x v="3"/>
    <x v="1"/>
  </r>
  <r>
    <n v="482"/>
    <s v="242510002"/>
    <x v="0"/>
    <x v="3"/>
    <s v="Intan Jaya"/>
    <d v="2026-01-22T00:00:00"/>
    <s v="22"/>
    <x v="0"/>
    <s v="26"/>
    <x v="1"/>
    <x v="9"/>
    <x v="11"/>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483"/>
    <s v="242510002"/>
    <x v="0"/>
    <x v="3"/>
    <s v="Intan Jaya"/>
    <d v="2026-01-22T00:00:00"/>
    <s v="22"/>
    <x v="0"/>
    <s v="26"/>
    <x v="0"/>
    <x v="0"/>
    <x v="4"/>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484"/>
    <s v="242510002"/>
    <x v="0"/>
    <x v="3"/>
    <s v="Intan Jaya"/>
    <d v="2026-01-22T00:00:00"/>
    <s v="22"/>
    <x v="0"/>
    <s v="26"/>
    <x v="2"/>
    <x v="3"/>
    <x v="4"/>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485"/>
    <s v="242510002"/>
    <x v="0"/>
    <x v="3"/>
    <s v="Intan Jaya"/>
    <d v="2026-02-12T00:00:00"/>
    <s v="12"/>
    <x v="1"/>
    <s v="26"/>
    <x v="0"/>
    <x v="0"/>
    <x v="9"/>
    <s v="Real"/>
    <s v="Entrepreneur"/>
    <s v="Product development"/>
    <x v="0"/>
    <x v="0"/>
    <x v="0"/>
    <s v="F11.02.01"/>
    <n v="2"/>
    <s v="mengargumentasikan yang berkaitan dengan pengembangan produk untuk peningkatan taraf perekonomian masyarakat melalui karya tulis ilmiah"/>
    <s v="02.01"/>
    <x v="7"/>
    <s v="K11"/>
    <s v="F"/>
    <n v="65"/>
    <n v="45"/>
    <s v="Tidak tuntas"/>
    <s v="Bahasa Inggris"/>
    <x v="0"/>
    <x v="4"/>
    <n v="45"/>
    <x v="3"/>
    <n v="11"/>
    <x v="0"/>
    <x v="5"/>
    <x v="1"/>
  </r>
  <r>
    <n v="486"/>
    <s v="242510002"/>
    <x v="0"/>
    <x v="3"/>
    <s v="Intan Jaya"/>
    <d v="2026-02-12T00:00:00"/>
    <s v="12"/>
    <x v="1"/>
    <s v="26"/>
    <x v="0"/>
    <x v="0"/>
    <x v="2"/>
    <s v="Real"/>
    <s v="Entrepreneur"/>
    <s v="Product development"/>
    <x v="0"/>
    <x v="0"/>
    <x v="0"/>
    <s v="F11.02.01"/>
    <n v="2"/>
    <s v="mengargumentasikan yang berkaitan dengan pengembangan produk untuk peningkatan taraf perekonomian masyarakat melalui karya tulis ilmiah"/>
    <s v="02.01"/>
    <x v="7"/>
    <s v="K11"/>
    <s v="F"/>
    <n v="65"/>
    <n v="60"/>
    <s v="Tidak tuntas"/>
    <s v="Bahasa Inggris"/>
    <x v="0"/>
    <x v="4"/>
    <n v="60"/>
    <x v="3"/>
    <n v="11"/>
    <x v="0"/>
    <x v="5"/>
    <x v="1"/>
  </r>
  <r>
    <n v="487"/>
    <s v="242510002"/>
    <x v="0"/>
    <x v="3"/>
    <s v="Intan Jaya"/>
    <d v="2026-02-12T00:00:00"/>
    <s v="12"/>
    <x v="1"/>
    <s v="26"/>
    <x v="1"/>
    <x v="9"/>
    <x v="2"/>
    <s v="Real"/>
    <s v="Entrepreneur"/>
    <s v="Product development"/>
    <x v="0"/>
    <x v="0"/>
    <x v="0"/>
    <s v="F11.02.01"/>
    <n v="2"/>
    <s v="mengargumentasikan yang berkaitan dengan pengembangan produk untuk peningkatan taraf perekonomian masyarakat melalui karya tulis ilmiah"/>
    <s v="02.01"/>
    <x v="7"/>
    <s v="K11"/>
    <s v="F"/>
    <n v="65"/>
    <n v="60"/>
    <s v="Tidak tuntas"/>
    <s v="Bahasa Inggris"/>
    <x v="0"/>
    <x v="4"/>
    <n v="60"/>
    <x v="3"/>
    <n v="11"/>
    <x v="0"/>
    <x v="5"/>
    <x v="1"/>
  </r>
  <r>
    <n v="488"/>
    <s v="242510002"/>
    <x v="0"/>
    <x v="3"/>
    <s v="Intan Jaya"/>
    <d v="2026-02-18T00:00:00"/>
    <s v="18"/>
    <x v="1"/>
    <s v="26"/>
    <x v="1"/>
    <x v="9"/>
    <x v="11"/>
    <s v="Real"/>
    <s v="Entrepreneur"/>
    <s v="Product development"/>
    <x v="0"/>
    <x v="0"/>
    <x v="0"/>
    <s v="F11.02.01"/>
    <n v="2"/>
    <s v="mengargumentasikan yang berkaitan dengan pengembangan produk untuk peningkatan taraf perekonomian masyarakat melalui karya tulis ilmiah"/>
    <s v="02.01"/>
    <x v="7"/>
    <s v="K11"/>
    <s v="F"/>
    <n v="65"/>
    <n v="75"/>
    <s v="Tuntas"/>
    <s v="Bahasa Inggris"/>
    <x v="0"/>
    <x v="4"/>
    <n v="75"/>
    <x v="1"/>
    <n v="11"/>
    <x v="0"/>
    <x v="6"/>
    <x v="1"/>
  </r>
  <r>
    <n v="489"/>
    <s v="242510002"/>
    <x v="0"/>
    <x v="3"/>
    <s v="Intan Jaya"/>
    <d v="2026-02-18T00:00:00"/>
    <s v="18"/>
    <x v="1"/>
    <s v="26"/>
    <x v="0"/>
    <x v="0"/>
    <x v="11"/>
    <s v="Real"/>
    <s v="Entrepreneur"/>
    <s v="Product development"/>
    <x v="0"/>
    <x v="0"/>
    <x v="0"/>
    <s v="F11.02.01"/>
    <n v="2"/>
    <s v="mengargumentasikan yang berkaitan dengan pengembangan produk untuk peningkatan taraf perekonomian masyarakat melalui karya tulis ilmiah"/>
    <s v="02.01"/>
    <x v="7"/>
    <s v="K11"/>
    <s v="F"/>
    <n v="65"/>
    <n v="75"/>
    <s v="Tuntas"/>
    <s v="Bahasa Inggris"/>
    <x v="0"/>
    <x v="4"/>
    <n v="75"/>
    <x v="1"/>
    <n v="11"/>
    <x v="0"/>
    <x v="6"/>
    <x v="1"/>
  </r>
  <r>
    <n v="490"/>
    <s v="242510006"/>
    <x v="0"/>
    <x v="9"/>
    <s v="Nabire"/>
    <d v="2026-01-08T00:00:00"/>
    <s v="08"/>
    <x v="0"/>
    <s v="26"/>
    <x v="0"/>
    <x v="0"/>
    <x v="4"/>
    <s v="Real"/>
    <s v="Entrepreneur"/>
    <s v="Product development"/>
    <x v="0"/>
    <x v="0"/>
    <x v="0"/>
    <s v="F11.02.01"/>
    <n v="2"/>
    <s v="mengargumentasikan yang berkaitan dengan pengembangan produk untuk peningkatan taraf perekonomian masyarakat melalui karya tulis ilmiah"/>
    <s v="02.01"/>
    <x v="7"/>
    <s v="K11"/>
    <s v="F"/>
    <n v="65"/>
    <n v="100"/>
    <s v="Tuntas"/>
    <s v="Bahasa Inggris"/>
    <x v="0"/>
    <x v="4"/>
    <n v="100"/>
    <x v="4"/>
    <n v="11"/>
    <x v="0"/>
    <x v="7"/>
    <x v="2"/>
  </r>
  <r>
    <n v="491"/>
    <s v="242510006"/>
    <x v="0"/>
    <x v="9"/>
    <s v="Nabire"/>
    <d v="2026-01-08T00:00:00"/>
    <s v="08"/>
    <x v="0"/>
    <s v="26"/>
    <x v="1"/>
    <x v="7"/>
    <x v="7"/>
    <s v="Real"/>
    <s v="Entrepreneur"/>
    <s v="Product development"/>
    <x v="0"/>
    <x v="0"/>
    <x v="0"/>
    <s v="F11.02.01"/>
    <n v="2"/>
    <s v="mengargumentasikan yang berkaitan dengan pengembangan produk untuk peningkatan taraf perekonomian masyarakat melalui karya tulis ilmiah"/>
    <s v="02.01"/>
    <x v="7"/>
    <s v="K11"/>
    <s v="F"/>
    <n v="65"/>
    <n v="100"/>
    <s v="Tuntas"/>
    <s v="Bahasa Inggris"/>
    <x v="0"/>
    <x v="4"/>
    <n v="100"/>
    <x v="4"/>
    <n v="11"/>
    <x v="0"/>
    <x v="7"/>
    <x v="2"/>
  </r>
  <r>
    <n v="492"/>
    <s v="242510006"/>
    <x v="0"/>
    <x v="9"/>
    <s v="Nabire"/>
    <d v="2026-01-08T00:00:00"/>
    <s v="08"/>
    <x v="0"/>
    <s v="26"/>
    <x v="3"/>
    <x v="4"/>
    <x v="8"/>
    <s v="Real"/>
    <s v="Entrepreneur"/>
    <s v="Product development"/>
    <x v="0"/>
    <x v="0"/>
    <x v="0"/>
    <s v="F11.02.01"/>
    <n v="2"/>
    <s v="mengargumentasikan yang berkaitan dengan pengembangan produk untuk peningkatan taraf perekonomian masyarakat melalui karya tulis ilmiah"/>
    <s v="02.01"/>
    <x v="7"/>
    <s v="K11"/>
    <s v="F"/>
    <n v="65"/>
    <n v="65"/>
    <s v="Tuntas"/>
    <s v="Bahasa Inggris"/>
    <x v="0"/>
    <x v="4"/>
    <n v="65"/>
    <x v="1"/>
    <n v="11"/>
    <x v="3"/>
    <x v="7"/>
    <x v="2"/>
  </r>
  <r>
    <n v="493"/>
    <s v="242510006"/>
    <x v="0"/>
    <x v="9"/>
    <s v="Nabire"/>
    <d v="2026-01-29T00:00:00"/>
    <s v="29"/>
    <x v="0"/>
    <s v="26"/>
    <x v="0"/>
    <x v="0"/>
    <x v="9"/>
    <s v="Real"/>
    <s v="Entrepreneur"/>
    <s v="Product development"/>
    <x v="0"/>
    <x v="0"/>
    <x v="0"/>
    <s v="F11.02.01"/>
    <n v="2"/>
    <s v="mengargumentasikan yang berkaitan dengan pengembangan produk untuk peningkatan taraf perekonomian masyarakat melalui karya tulis ilmiah"/>
    <s v="02.01"/>
    <x v="7"/>
    <s v="K11"/>
    <s v="F"/>
    <n v="65"/>
    <n v="15"/>
    <s v="Tidak tuntas"/>
    <s v="Bahasa Inggris"/>
    <x v="0"/>
    <x v="4"/>
    <n v="15"/>
    <x v="3"/>
    <n v="11"/>
    <x v="0"/>
    <x v="3"/>
    <x v="2"/>
  </r>
  <r>
    <n v="494"/>
    <s v="242510006"/>
    <x v="0"/>
    <x v="9"/>
    <s v="Nabire"/>
    <d v="2026-01-29T00:00:00"/>
    <s v="29"/>
    <x v="0"/>
    <s v="26"/>
    <x v="3"/>
    <x v="8"/>
    <x v="10"/>
    <s v="Real"/>
    <s v="Entrepreneur"/>
    <s v="Product development"/>
    <x v="0"/>
    <x v="0"/>
    <x v="0"/>
    <s v="F11.02.01"/>
    <n v="2"/>
    <s v="mengargumentasikan yang berkaitan dengan pengembangan produk untuk peningkatan taraf perekonomian masyarakat melalui karya tulis ilmiah"/>
    <s v="02.01"/>
    <x v="7"/>
    <s v="K11"/>
    <s v="F"/>
    <n v="65"/>
    <n v="35"/>
    <s v="Tidak tuntas"/>
    <s v="Bahasa Inggris"/>
    <x v="0"/>
    <x v="4"/>
    <n v="35"/>
    <x v="3"/>
    <n v="11"/>
    <x v="5"/>
    <x v="3"/>
    <x v="2"/>
  </r>
  <r>
    <n v="495"/>
    <s v="242510006"/>
    <x v="0"/>
    <x v="9"/>
    <s v="Nabire"/>
    <d v="2026-01-22T00:00:00"/>
    <s v="22"/>
    <x v="0"/>
    <s v="26"/>
    <x v="1"/>
    <x v="9"/>
    <x v="11"/>
    <s v="Real"/>
    <s v="Entrepreneur"/>
    <s v="Product development"/>
    <x v="0"/>
    <x v="0"/>
    <x v="0"/>
    <s v="F11.02.01"/>
    <n v="2"/>
    <s v="mengargumentasikan yang berkaitan dengan pengembangan produk untuk peningkatan taraf perekonomian masyarakat melalui karya tulis ilmiah"/>
    <s v="02.01"/>
    <x v="7"/>
    <s v="K11"/>
    <s v="F"/>
    <n v="65"/>
    <n v="9"/>
    <s v="Tidak tuntas"/>
    <s v="Bahasa Inggris"/>
    <x v="0"/>
    <x v="4"/>
    <n v="9"/>
    <x v="3"/>
    <n v="11"/>
    <x v="0"/>
    <x v="2"/>
    <x v="2"/>
  </r>
  <r>
    <n v="496"/>
    <s v="242510006"/>
    <x v="0"/>
    <x v="9"/>
    <s v="Nabire"/>
    <d v="2026-01-22T00:00:00"/>
    <s v="22"/>
    <x v="0"/>
    <s v="26"/>
    <x v="0"/>
    <x v="0"/>
    <x v="4"/>
    <s v="Real"/>
    <s v="Entrepreneur"/>
    <s v="Product development"/>
    <x v="0"/>
    <x v="0"/>
    <x v="0"/>
    <s v="F11.02.01"/>
    <n v="2"/>
    <s v="mengargumentasikan yang berkaitan dengan pengembangan produk untuk peningkatan taraf perekonomian masyarakat melalui karya tulis ilmiah"/>
    <s v="02.01"/>
    <x v="7"/>
    <s v="K11"/>
    <s v="F"/>
    <n v="65"/>
    <n v="9"/>
    <s v="Tidak tuntas"/>
    <s v="Bahasa Inggris"/>
    <x v="0"/>
    <x v="4"/>
    <n v="9"/>
    <x v="3"/>
    <n v="11"/>
    <x v="0"/>
    <x v="2"/>
    <x v="2"/>
  </r>
  <r>
    <n v="497"/>
    <s v="242510006"/>
    <x v="0"/>
    <x v="9"/>
    <s v="Nabire"/>
    <d v="2026-01-22T00:00:00"/>
    <s v="22"/>
    <x v="0"/>
    <s v="26"/>
    <x v="2"/>
    <x v="3"/>
    <x v="4"/>
    <s v="Real"/>
    <s v="Entrepreneur"/>
    <s v="Product development"/>
    <x v="0"/>
    <x v="0"/>
    <x v="0"/>
    <s v="F11.02.01"/>
    <n v="2"/>
    <s v="mengargumentasikan yang berkaitan dengan pengembangan produk untuk peningkatan taraf perekonomian masyarakat melalui karya tulis ilmiah"/>
    <s v="02.01"/>
    <x v="7"/>
    <s v="K11"/>
    <s v="F"/>
    <n v="65"/>
    <n v="9"/>
    <s v="Tidak tuntas"/>
    <s v="Bahasa Inggris"/>
    <x v="0"/>
    <x v="4"/>
    <n v="9"/>
    <x v="3"/>
    <n v="11"/>
    <x v="0"/>
    <x v="2"/>
    <x v="2"/>
  </r>
  <r>
    <n v="498"/>
    <s v="242510006"/>
    <x v="0"/>
    <x v="9"/>
    <s v="Nabire"/>
    <d v="2026-02-12T00:00:00"/>
    <s v="12"/>
    <x v="1"/>
    <s v="26"/>
    <x v="0"/>
    <x v="0"/>
    <x v="9"/>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499"/>
    <s v="242510006"/>
    <x v="0"/>
    <x v="9"/>
    <s v="Nabire"/>
    <d v="2026-02-12T00:00:00"/>
    <s v="12"/>
    <x v="1"/>
    <s v="26"/>
    <x v="0"/>
    <x v="0"/>
    <x v="2"/>
    <s v="Real"/>
    <s v="Entrepreneur"/>
    <s v="Product development"/>
    <x v="0"/>
    <x v="0"/>
    <x v="0"/>
    <s v="F11.02.01"/>
    <n v="2"/>
    <s v="mengargumentasikan yang berkaitan dengan pengembangan produk untuk peningkatan taraf perekonomian masyarakat melalui karya tulis ilmiah"/>
    <s v="02.01"/>
    <x v="7"/>
    <s v="K11"/>
    <s v="F"/>
    <n v="65"/>
    <n v="40"/>
    <s v="Tidak tuntas"/>
    <s v="Bahasa Inggris"/>
    <x v="0"/>
    <x v="4"/>
    <n v="40"/>
    <x v="3"/>
    <n v="11"/>
    <x v="0"/>
    <x v="5"/>
    <x v="2"/>
  </r>
  <r>
    <n v="500"/>
    <s v="242510006"/>
    <x v="0"/>
    <x v="9"/>
    <s v="Nabire"/>
    <d v="2026-02-12T00:00:00"/>
    <s v="12"/>
    <x v="1"/>
    <s v="26"/>
    <x v="1"/>
    <x v="9"/>
    <x v="2"/>
    <s v="Real"/>
    <s v="Entrepreneur"/>
    <s v="Product development"/>
    <x v="0"/>
    <x v="0"/>
    <x v="0"/>
    <s v="F11.02.01"/>
    <n v="2"/>
    <s v="mengargumentasikan yang berkaitan dengan pengembangan produk untuk peningkatan taraf perekonomian masyarakat melalui karya tulis ilmiah"/>
    <s v="02.01"/>
    <x v="7"/>
    <s v="K11"/>
    <s v="F"/>
    <n v="65"/>
    <n v="40"/>
    <s v="Tidak tuntas"/>
    <s v="Bahasa Inggris"/>
    <x v="0"/>
    <x v="4"/>
    <n v="40"/>
    <x v="3"/>
    <n v="11"/>
    <x v="0"/>
    <x v="5"/>
    <x v="2"/>
  </r>
  <r>
    <n v="501"/>
    <s v="242510006"/>
    <x v="0"/>
    <x v="9"/>
    <s v="Nabire"/>
    <d v="2026-02-18T00:00:00"/>
    <s v="18"/>
    <x v="1"/>
    <s v="26"/>
    <x v="1"/>
    <x v="9"/>
    <x v="11"/>
    <s v="Real"/>
    <s v="Entrepreneur"/>
    <s v="Product development"/>
    <x v="0"/>
    <x v="0"/>
    <x v="0"/>
    <s v="F11.02.01"/>
    <n v="2"/>
    <s v="mengargumentasikan yang berkaitan dengan pengembangan produk untuk peningkatan taraf perekonomian masyarakat melalui karya tulis ilmiah"/>
    <s v="02.01"/>
    <x v="7"/>
    <s v="K11"/>
    <s v="F"/>
    <n v="65"/>
    <n v="45"/>
    <s v="Tidak tuntas"/>
    <s v="Bahasa Inggris"/>
    <x v="0"/>
    <x v="4"/>
    <n v="45"/>
    <x v="3"/>
    <n v="11"/>
    <x v="0"/>
    <x v="6"/>
    <x v="2"/>
  </r>
  <r>
    <n v="502"/>
    <s v="242510006"/>
    <x v="0"/>
    <x v="9"/>
    <s v="Nabire"/>
    <d v="2026-02-18T00:00:00"/>
    <s v="18"/>
    <x v="1"/>
    <s v="26"/>
    <x v="0"/>
    <x v="0"/>
    <x v="11"/>
    <s v="Real"/>
    <s v="Entrepreneur"/>
    <s v="Product development"/>
    <x v="0"/>
    <x v="0"/>
    <x v="0"/>
    <s v="F11.02.01"/>
    <n v="2"/>
    <s v="mengargumentasikan yang berkaitan dengan pengembangan produk untuk peningkatan taraf perekonomian masyarakat melalui karya tulis ilmiah"/>
    <s v="02.01"/>
    <x v="7"/>
    <s v="K11"/>
    <s v="F"/>
    <n v="65"/>
    <n v="45"/>
    <s v="Tidak tuntas"/>
    <s v="Bahasa Inggris"/>
    <x v="0"/>
    <x v="4"/>
    <n v="45"/>
    <x v="3"/>
    <n v="11"/>
    <x v="0"/>
    <x v="6"/>
    <x v="2"/>
  </r>
  <r>
    <n v="503"/>
    <s v="242510009"/>
    <x v="0"/>
    <x v="10"/>
    <s v="Nabire"/>
    <d v="2026-01-08T00:00:00"/>
    <s v="08"/>
    <x v="0"/>
    <s v="26"/>
    <x v="0"/>
    <x v="0"/>
    <x v="4"/>
    <s v="Real"/>
    <s v="Entrepreneur"/>
    <s v="Product development"/>
    <x v="0"/>
    <x v="0"/>
    <x v="0"/>
    <s v="F11.02.01"/>
    <n v="2"/>
    <s v="mengargumentasikan yang berkaitan dengan pengembangan produk untuk peningkatan taraf perekonomian masyarakat melalui karya tulis ilmiah"/>
    <s v="02.01"/>
    <x v="7"/>
    <s v="K11"/>
    <s v="F"/>
    <n v="65"/>
    <n v="25"/>
    <s v="Tidak tuntas"/>
    <s v="Bahasa Inggris"/>
    <x v="0"/>
    <x v="4"/>
    <n v="25"/>
    <x v="3"/>
    <n v="11"/>
    <x v="0"/>
    <x v="7"/>
    <x v="5"/>
  </r>
  <r>
    <n v="504"/>
    <s v="242510009"/>
    <x v="0"/>
    <x v="10"/>
    <s v="Nabire"/>
    <d v="2026-01-08T00:00:00"/>
    <s v="08"/>
    <x v="0"/>
    <s v="26"/>
    <x v="1"/>
    <x v="7"/>
    <x v="7"/>
    <s v="Real"/>
    <s v="Entrepreneur"/>
    <s v="Product development"/>
    <x v="0"/>
    <x v="0"/>
    <x v="0"/>
    <s v="F11.02.01"/>
    <n v="2"/>
    <s v="mengargumentasikan yang berkaitan dengan pengembangan produk untuk peningkatan taraf perekonomian masyarakat melalui karya tulis ilmiah"/>
    <s v="02.01"/>
    <x v="7"/>
    <s v="K11"/>
    <s v="F"/>
    <n v="65"/>
    <n v="25"/>
    <s v="Tidak tuntas"/>
    <s v="Bahasa Inggris"/>
    <x v="0"/>
    <x v="4"/>
    <n v="25"/>
    <x v="3"/>
    <n v="11"/>
    <x v="0"/>
    <x v="7"/>
    <x v="5"/>
  </r>
  <r>
    <n v="505"/>
    <s v="242510009"/>
    <x v="0"/>
    <x v="10"/>
    <s v="Nabire"/>
    <d v="2026-01-08T00:00:00"/>
    <s v="08"/>
    <x v="0"/>
    <s v="26"/>
    <x v="3"/>
    <x v="4"/>
    <x v="8"/>
    <s v="Real"/>
    <s v="Entrepreneur"/>
    <s v="Product development"/>
    <x v="0"/>
    <x v="0"/>
    <x v="0"/>
    <s v="F11.02.01"/>
    <n v="2"/>
    <s v="mengargumentasikan yang berkaitan dengan pengembangan produk untuk peningkatan taraf perekonomian masyarakat melalui karya tulis ilmiah"/>
    <s v="02.01"/>
    <x v="7"/>
    <s v="K11"/>
    <s v="F"/>
    <n v="65"/>
    <n v="65"/>
    <s v="Tuntas"/>
    <s v="Bahasa Inggris"/>
    <x v="0"/>
    <x v="4"/>
    <n v="65"/>
    <x v="1"/>
    <n v="11"/>
    <x v="3"/>
    <x v="7"/>
    <x v="5"/>
  </r>
  <r>
    <n v="506"/>
    <s v="242510009"/>
    <x v="0"/>
    <x v="10"/>
    <s v="Nabire"/>
    <d v="2026-01-29T00:00:00"/>
    <s v="29"/>
    <x v="0"/>
    <s v="26"/>
    <x v="0"/>
    <x v="0"/>
    <x v="9"/>
    <s v="Real"/>
    <s v="Entrepreneur"/>
    <s v="Product development"/>
    <x v="0"/>
    <x v="0"/>
    <x v="0"/>
    <s v="F11.02.01"/>
    <n v="2"/>
    <s v="mengargumentasikan yang berkaitan dengan pengembangan produk untuk peningkatan taraf perekonomian masyarakat melalui karya tulis ilmiah"/>
    <s v="02.01"/>
    <x v="7"/>
    <s v="K11"/>
    <s v="F"/>
    <n v="65"/>
    <n v="35"/>
    <s v="Tidak tuntas"/>
    <s v="Bahasa Inggris"/>
    <x v="0"/>
    <x v="4"/>
    <n v="35"/>
    <x v="3"/>
    <n v="11"/>
    <x v="0"/>
    <x v="3"/>
    <x v="5"/>
  </r>
  <r>
    <n v="507"/>
    <s v="242510009"/>
    <x v="0"/>
    <x v="10"/>
    <s v="Nabire"/>
    <d v="2026-01-29T00:00:00"/>
    <s v="29"/>
    <x v="0"/>
    <s v="26"/>
    <x v="3"/>
    <x v="8"/>
    <x v="10"/>
    <s v="Real"/>
    <s v="Entrepreneur"/>
    <s v="Product development"/>
    <x v="0"/>
    <x v="0"/>
    <x v="0"/>
    <s v="F11.02.01"/>
    <n v="2"/>
    <s v="mengargumentasikan yang berkaitan dengan pengembangan produk untuk peningkatan taraf perekonomian masyarakat melalui karya tulis ilmiah"/>
    <s v="02.01"/>
    <x v="7"/>
    <s v="K11"/>
    <s v="F"/>
    <n v="65"/>
    <n v="100"/>
    <s v="Tuntas"/>
    <s v="Bahasa Inggris"/>
    <x v="0"/>
    <x v="4"/>
    <n v="100"/>
    <x v="4"/>
    <n v="11"/>
    <x v="4"/>
    <x v="3"/>
    <x v="5"/>
  </r>
  <r>
    <n v="508"/>
    <s v="242510009"/>
    <x v="0"/>
    <x v="10"/>
    <s v="Nabire"/>
    <d v="2026-01-22T00:00:00"/>
    <s v="22"/>
    <x v="0"/>
    <s v="26"/>
    <x v="1"/>
    <x v="9"/>
    <x v="11"/>
    <s v="Real"/>
    <s v="Entrepreneur"/>
    <s v="Product development"/>
    <x v="0"/>
    <x v="0"/>
    <x v="0"/>
    <s v="F11.02.01"/>
    <n v="2"/>
    <s v="mengargumentasikan yang berkaitan dengan pengembangan produk untuk peningkatan taraf perekonomian masyarakat melalui karya tulis ilmiah"/>
    <s v="02.01"/>
    <x v="7"/>
    <s v="K11"/>
    <s v="F"/>
    <n v="65"/>
    <n v="9"/>
    <s v="Tidak tuntas"/>
    <s v="Bahasa Inggris"/>
    <x v="0"/>
    <x v="4"/>
    <n v="9"/>
    <x v="3"/>
    <n v="11"/>
    <x v="0"/>
    <x v="2"/>
    <x v="5"/>
  </r>
  <r>
    <n v="509"/>
    <s v="242510009"/>
    <x v="0"/>
    <x v="10"/>
    <s v="Nabire"/>
    <d v="2026-01-22T00:00:00"/>
    <s v="22"/>
    <x v="0"/>
    <s v="26"/>
    <x v="0"/>
    <x v="0"/>
    <x v="4"/>
    <s v="Real"/>
    <s v="Entrepreneur"/>
    <s v="Product development"/>
    <x v="0"/>
    <x v="0"/>
    <x v="0"/>
    <s v="F11.02.01"/>
    <n v="2"/>
    <s v="mengargumentasikan yang berkaitan dengan pengembangan produk untuk peningkatan taraf perekonomian masyarakat melalui karya tulis ilmiah"/>
    <s v="02.01"/>
    <x v="7"/>
    <s v="K11"/>
    <s v="F"/>
    <n v="65"/>
    <n v="9"/>
    <s v="Tidak tuntas"/>
    <s v="Bahasa Inggris"/>
    <x v="0"/>
    <x v="4"/>
    <n v="9"/>
    <x v="3"/>
    <n v="11"/>
    <x v="0"/>
    <x v="2"/>
    <x v="5"/>
  </r>
  <r>
    <n v="510"/>
    <s v="242510009"/>
    <x v="0"/>
    <x v="10"/>
    <s v="Nabire"/>
    <d v="2026-01-22T00:00:00"/>
    <s v="22"/>
    <x v="0"/>
    <s v="26"/>
    <x v="2"/>
    <x v="3"/>
    <x v="4"/>
    <s v="Real"/>
    <s v="Entrepreneur"/>
    <s v="Product development"/>
    <x v="0"/>
    <x v="0"/>
    <x v="0"/>
    <s v="F11.02.01"/>
    <n v="2"/>
    <s v="mengargumentasikan yang berkaitan dengan pengembangan produk untuk peningkatan taraf perekonomian masyarakat melalui karya tulis ilmiah"/>
    <s v="02.01"/>
    <x v="7"/>
    <s v="K11"/>
    <s v="F"/>
    <n v="65"/>
    <n v="9"/>
    <s v="Tidak tuntas"/>
    <s v="Bahasa Inggris"/>
    <x v="0"/>
    <x v="4"/>
    <n v="9"/>
    <x v="3"/>
    <n v="11"/>
    <x v="0"/>
    <x v="2"/>
    <x v="5"/>
  </r>
  <r>
    <n v="511"/>
    <s v="242510009"/>
    <x v="0"/>
    <x v="10"/>
    <s v="Nabire"/>
    <d v="2026-02-12T00:00:00"/>
    <s v="12"/>
    <x v="1"/>
    <s v="26"/>
    <x v="0"/>
    <x v="0"/>
    <x v="9"/>
    <s v="Real"/>
    <s v="Entrepreneur"/>
    <s v="Product development"/>
    <x v="0"/>
    <x v="0"/>
    <x v="0"/>
    <s v="F11.02.01"/>
    <n v="2"/>
    <s v="mengargumentasikan yang berkaitan dengan pengembangan produk untuk peningkatan taraf perekonomian masyarakat melalui karya tulis ilmiah"/>
    <s v="02.01"/>
    <x v="7"/>
    <s v="K11"/>
    <s v="F"/>
    <n v="65"/>
    <n v="100"/>
    <s v="Tuntas"/>
    <s v="Bahasa Inggris"/>
    <x v="0"/>
    <x v="4"/>
    <n v="100"/>
    <x v="4"/>
    <n v="11"/>
    <x v="0"/>
    <x v="5"/>
    <x v="5"/>
  </r>
  <r>
    <n v="512"/>
    <s v="242510009"/>
    <x v="0"/>
    <x v="10"/>
    <s v="Nabire"/>
    <d v="2026-02-12T00:00:00"/>
    <s v="12"/>
    <x v="1"/>
    <s v="26"/>
    <x v="0"/>
    <x v="0"/>
    <x v="2"/>
    <s v="Real"/>
    <s v="Entrepreneur"/>
    <s v="Product development"/>
    <x v="0"/>
    <x v="0"/>
    <x v="0"/>
    <s v="F11.02.01"/>
    <n v="2"/>
    <s v="mengargumentasikan yang berkaitan dengan pengembangan produk untuk peningkatan taraf perekonomian masyarakat melalui karya tulis ilmiah"/>
    <s v="02.01"/>
    <x v="7"/>
    <s v="K11"/>
    <s v="F"/>
    <n v="65"/>
    <n v="35"/>
    <s v="Tidak tuntas"/>
    <s v="Bahasa Inggris"/>
    <x v="0"/>
    <x v="4"/>
    <n v="35"/>
    <x v="3"/>
    <n v="11"/>
    <x v="0"/>
    <x v="5"/>
    <x v="5"/>
  </r>
  <r>
    <n v="513"/>
    <s v="242510009"/>
    <x v="0"/>
    <x v="10"/>
    <s v="Nabire"/>
    <d v="2026-02-12T00:00:00"/>
    <s v="12"/>
    <x v="1"/>
    <s v="26"/>
    <x v="1"/>
    <x v="9"/>
    <x v="2"/>
    <s v="Real"/>
    <s v="Entrepreneur"/>
    <s v="Product development"/>
    <x v="0"/>
    <x v="0"/>
    <x v="0"/>
    <s v="F11.02.01"/>
    <n v="2"/>
    <s v="mengargumentasikan yang berkaitan dengan pengembangan produk untuk peningkatan taraf perekonomian masyarakat melalui karya tulis ilmiah"/>
    <s v="02.01"/>
    <x v="7"/>
    <s v="K11"/>
    <s v="F"/>
    <n v="65"/>
    <n v="35"/>
    <s v="Tidak tuntas"/>
    <s v="Bahasa Inggris"/>
    <x v="0"/>
    <x v="4"/>
    <n v="35"/>
    <x v="3"/>
    <n v="11"/>
    <x v="0"/>
    <x v="5"/>
    <x v="5"/>
  </r>
  <r>
    <n v="514"/>
    <s v="242510009"/>
    <x v="0"/>
    <x v="10"/>
    <s v="Nabire"/>
    <d v="2026-02-18T00:00:00"/>
    <s v="18"/>
    <x v="1"/>
    <s v="26"/>
    <x v="1"/>
    <x v="9"/>
    <x v="11"/>
    <s v="Real"/>
    <s v="Entrepreneur"/>
    <s v="Product development"/>
    <x v="0"/>
    <x v="0"/>
    <x v="0"/>
    <s v="F11.02.01"/>
    <n v="2"/>
    <s v="mengargumentasikan yang berkaitan dengan pengembangan produk untuk peningkatan taraf perekonomian masyarakat melalui karya tulis ilmiah"/>
    <s v="02.01"/>
    <x v="7"/>
    <s v="K11"/>
    <s v="F"/>
    <n v="65"/>
    <n v="50"/>
    <s v="Tidak tuntas"/>
    <s v="Bahasa Inggris"/>
    <x v="0"/>
    <x v="4"/>
    <n v="50"/>
    <x v="3"/>
    <n v="11"/>
    <x v="0"/>
    <x v="6"/>
    <x v="5"/>
  </r>
  <r>
    <n v="515"/>
    <s v="242510009"/>
    <x v="0"/>
    <x v="10"/>
    <s v="Nabire"/>
    <d v="2026-02-18T00:00:00"/>
    <s v="18"/>
    <x v="1"/>
    <s v="26"/>
    <x v="0"/>
    <x v="0"/>
    <x v="11"/>
    <s v="Real"/>
    <s v="Entrepreneur"/>
    <s v="Product development"/>
    <x v="0"/>
    <x v="0"/>
    <x v="0"/>
    <s v="F11.02.01"/>
    <n v="2"/>
    <s v="mengargumentasikan yang berkaitan dengan pengembangan produk untuk peningkatan taraf perekonomian masyarakat melalui karya tulis ilmiah"/>
    <s v="02.01"/>
    <x v="7"/>
    <s v="K11"/>
    <s v="F"/>
    <n v="65"/>
    <n v="50"/>
    <s v="Tidak tuntas"/>
    <s v="Bahasa Inggris"/>
    <x v="0"/>
    <x v="4"/>
    <n v="50"/>
    <x v="3"/>
    <n v="11"/>
    <x v="0"/>
    <x v="6"/>
    <x v="5"/>
  </r>
  <r>
    <n v="516"/>
    <s v="242510012"/>
    <x v="0"/>
    <x v="11"/>
    <s v="Intan Jaya"/>
    <d v="2026-01-08T00:00:00"/>
    <s v="08"/>
    <x v="0"/>
    <s v="26"/>
    <x v="0"/>
    <x v="0"/>
    <x v="4"/>
    <s v="Real"/>
    <s v="Entrepreneur"/>
    <s v="Product development"/>
    <x v="0"/>
    <x v="0"/>
    <x v="0"/>
    <s v="F11.02.01"/>
    <n v="2"/>
    <s v="mengargumentasikan yang berkaitan dengan pengembangan produk untuk peningkatan taraf perekonomian masyarakat melalui karya tulis ilmiah"/>
    <s v="02.01"/>
    <x v="7"/>
    <s v="K11"/>
    <s v="F"/>
    <n v="65"/>
    <n v="86"/>
    <s v="Tuntas"/>
    <s v="Bahasa Inggris"/>
    <x v="0"/>
    <x v="4"/>
    <n v="86"/>
    <x v="2"/>
    <n v="11"/>
    <x v="0"/>
    <x v="7"/>
    <x v="2"/>
  </r>
  <r>
    <n v="517"/>
    <s v="242510012"/>
    <x v="0"/>
    <x v="11"/>
    <s v="Intan Jaya"/>
    <d v="2026-01-08T00:00:00"/>
    <s v="08"/>
    <x v="0"/>
    <s v="26"/>
    <x v="1"/>
    <x v="7"/>
    <x v="7"/>
    <s v="Real"/>
    <s v="Entrepreneur"/>
    <s v="Product development"/>
    <x v="0"/>
    <x v="0"/>
    <x v="0"/>
    <s v="F11.02.01"/>
    <n v="2"/>
    <s v="mengargumentasikan yang berkaitan dengan pengembangan produk untuk peningkatan taraf perekonomian masyarakat melalui karya tulis ilmiah"/>
    <s v="02.01"/>
    <x v="7"/>
    <s v="K11"/>
    <s v="F"/>
    <n v="65"/>
    <n v="86"/>
    <s v="Tuntas"/>
    <s v="Bahasa Inggris"/>
    <x v="0"/>
    <x v="4"/>
    <n v="86"/>
    <x v="2"/>
    <n v="11"/>
    <x v="0"/>
    <x v="7"/>
    <x v="2"/>
  </r>
  <r>
    <n v="518"/>
    <s v="242510012"/>
    <x v="0"/>
    <x v="11"/>
    <s v="Intan Jaya"/>
    <d v="2026-01-08T00:00:00"/>
    <s v="08"/>
    <x v="0"/>
    <s v="26"/>
    <x v="3"/>
    <x v="4"/>
    <x v="8"/>
    <s v="Real"/>
    <s v="Entrepreneur"/>
    <s v="Product development"/>
    <x v="0"/>
    <x v="0"/>
    <x v="0"/>
    <s v="F11.02.01"/>
    <n v="2"/>
    <s v="mengargumentasikan yang berkaitan dengan pengembangan produk untuk peningkatan taraf perekonomian masyarakat melalui karya tulis ilmiah"/>
    <s v="02.01"/>
    <x v="7"/>
    <s v="K11"/>
    <s v="F"/>
    <n v="65"/>
    <n v="90"/>
    <s v="Tuntas"/>
    <s v="Bahasa Inggris"/>
    <x v="0"/>
    <x v="4"/>
    <n v="90"/>
    <x v="2"/>
    <n v="11"/>
    <x v="4"/>
    <x v="7"/>
    <x v="2"/>
  </r>
  <r>
    <n v="519"/>
    <s v="242510012"/>
    <x v="0"/>
    <x v="11"/>
    <s v="Intan Jaya"/>
    <d v="2026-01-29T00:00:00"/>
    <s v="29"/>
    <x v="0"/>
    <s v="26"/>
    <x v="0"/>
    <x v="0"/>
    <x v="9"/>
    <s v="Real"/>
    <s v="Entrepreneur"/>
    <s v="Product development"/>
    <x v="0"/>
    <x v="0"/>
    <x v="0"/>
    <s v="F11.02.01"/>
    <n v="2"/>
    <s v="mengargumentasikan yang berkaitan dengan pengembangan produk untuk peningkatan taraf perekonomian masyarakat melalui karya tulis ilmiah"/>
    <s v="02.01"/>
    <x v="7"/>
    <s v="K11"/>
    <s v="F"/>
    <n v="65"/>
    <n v="0"/>
    <s v="Tidak tuntas"/>
    <s v="Bahasa Inggris"/>
    <x v="0"/>
    <x v="0"/>
    <s v=""/>
    <x v="0"/>
    <s v=""/>
    <x v="0"/>
    <x v="0"/>
    <x v="0"/>
  </r>
  <r>
    <n v="520"/>
    <s v="242510012"/>
    <x v="0"/>
    <x v="11"/>
    <s v="Intan Jaya"/>
    <d v="2026-01-29T00:00:00"/>
    <s v="29"/>
    <x v="0"/>
    <s v="26"/>
    <x v="3"/>
    <x v="8"/>
    <x v="10"/>
    <s v="Real"/>
    <s v="Entrepreneur"/>
    <s v="Product development"/>
    <x v="0"/>
    <x v="0"/>
    <x v="0"/>
    <s v="F11.02.01"/>
    <n v="2"/>
    <s v="mengargumentasikan yang berkaitan dengan pengembangan produk untuk peningkatan taraf perekonomian masyarakat melalui karya tulis ilmiah"/>
    <s v="02.01"/>
    <x v="7"/>
    <s v="K11"/>
    <s v="F"/>
    <n v="65"/>
    <n v="75"/>
    <s v="Tuntas"/>
    <s v="Bahasa Inggris"/>
    <x v="0"/>
    <x v="4"/>
    <n v="75"/>
    <x v="1"/>
    <n v="11"/>
    <x v="1"/>
    <x v="3"/>
    <x v="2"/>
  </r>
  <r>
    <n v="521"/>
    <s v="242510012"/>
    <x v="0"/>
    <x v="11"/>
    <s v="Intan Jaya"/>
    <d v="2026-01-22T00:00:00"/>
    <s v="22"/>
    <x v="0"/>
    <s v="26"/>
    <x v="1"/>
    <x v="9"/>
    <x v="11"/>
    <s v="Real"/>
    <s v="Entrepreneur"/>
    <s v="Product development"/>
    <x v="0"/>
    <x v="0"/>
    <x v="0"/>
    <s v="F11.02.01"/>
    <n v="2"/>
    <s v="mengargumentasikan yang berkaitan dengan pengembangan produk untuk peningkatan taraf perekonomian masyarakat melalui karya tulis ilmiah"/>
    <s v="02.01"/>
    <x v="7"/>
    <s v="K11"/>
    <s v="F"/>
    <n v="65"/>
    <n v="10"/>
    <s v="Tidak tuntas"/>
    <s v="Bahasa Inggris"/>
    <x v="0"/>
    <x v="4"/>
    <n v="10"/>
    <x v="3"/>
    <n v="11"/>
    <x v="0"/>
    <x v="2"/>
    <x v="2"/>
  </r>
  <r>
    <n v="522"/>
    <s v="242510012"/>
    <x v="0"/>
    <x v="11"/>
    <s v="Intan Jaya"/>
    <d v="2026-01-22T00:00:00"/>
    <s v="22"/>
    <x v="0"/>
    <s v="26"/>
    <x v="0"/>
    <x v="0"/>
    <x v="4"/>
    <s v="Real"/>
    <s v="Entrepreneur"/>
    <s v="Product development"/>
    <x v="0"/>
    <x v="0"/>
    <x v="0"/>
    <s v="F11.02.01"/>
    <n v="2"/>
    <s v="mengargumentasikan yang berkaitan dengan pengembangan produk untuk peningkatan taraf perekonomian masyarakat melalui karya tulis ilmiah"/>
    <s v="02.01"/>
    <x v="7"/>
    <s v="K11"/>
    <s v="F"/>
    <n v="65"/>
    <n v="10"/>
    <s v="Tidak tuntas"/>
    <s v="Bahasa Inggris"/>
    <x v="0"/>
    <x v="4"/>
    <n v="10"/>
    <x v="3"/>
    <n v="11"/>
    <x v="0"/>
    <x v="2"/>
    <x v="2"/>
  </r>
  <r>
    <n v="523"/>
    <s v="242510012"/>
    <x v="0"/>
    <x v="11"/>
    <s v="Intan Jaya"/>
    <d v="2026-01-22T00:00:00"/>
    <s v="22"/>
    <x v="0"/>
    <s v="26"/>
    <x v="2"/>
    <x v="3"/>
    <x v="4"/>
    <s v="Real"/>
    <s v="Entrepreneur"/>
    <s v="Product development"/>
    <x v="0"/>
    <x v="0"/>
    <x v="0"/>
    <s v="F11.02.01"/>
    <n v="2"/>
    <s v="mengargumentasikan yang berkaitan dengan pengembangan produk untuk peningkatan taraf perekonomian masyarakat melalui karya tulis ilmiah"/>
    <s v="02.01"/>
    <x v="7"/>
    <s v="K11"/>
    <s v="F"/>
    <n v="65"/>
    <n v="10"/>
    <s v="Tidak tuntas"/>
    <s v="Bahasa Inggris"/>
    <x v="0"/>
    <x v="4"/>
    <n v="10"/>
    <x v="3"/>
    <n v="11"/>
    <x v="0"/>
    <x v="2"/>
    <x v="2"/>
  </r>
  <r>
    <n v="524"/>
    <s v="242510012"/>
    <x v="0"/>
    <x v="11"/>
    <s v="Intan Jaya"/>
    <d v="2026-02-12T00:00:00"/>
    <s v="12"/>
    <x v="1"/>
    <s v="26"/>
    <x v="0"/>
    <x v="0"/>
    <x v="9"/>
    <s v="Real"/>
    <s v="Entrepreneur"/>
    <s v="Product development"/>
    <x v="0"/>
    <x v="0"/>
    <x v="0"/>
    <s v="F11.02.01"/>
    <n v="2"/>
    <s v="mengargumentasikan yang berkaitan dengan pengembangan produk untuk peningkatan taraf perekonomian masyarakat melalui karya tulis ilmiah"/>
    <s v="02.01"/>
    <x v="7"/>
    <s v="K11"/>
    <s v="F"/>
    <n v="65"/>
    <n v="18"/>
    <s v="Tidak tuntas"/>
    <s v="Bahasa Inggris"/>
    <x v="0"/>
    <x v="4"/>
    <n v="18"/>
    <x v="3"/>
    <n v="11"/>
    <x v="0"/>
    <x v="5"/>
    <x v="2"/>
  </r>
  <r>
    <n v="525"/>
    <s v="242510012"/>
    <x v="0"/>
    <x v="11"/>
    <s v="Intan Jaya"/>
    <d v="2026-02-12T00:00:00"/>
    <s v="12"/>
    <x v="1"/>
    <s v="26"/>
    <x v="0"/>
    <x v="0"/>
    <x v="2"/>
    <s v="Real"/>
    <s v="Entrepreneur"/>
    <s v="Product development"/>
    <x v="0"/>
    <x v="0"/>
    <x v="0"/>
    <s v="F11.02.01"/>
    <n v="2"/>
    <s v="mengargumentasikan yang berkaitan dengan pengembangan produk untuk peningkatan taraf perekonomian masyarakat melalui karya tulis ilmiah"/>
    <s v="02.01"/>
    <x v="7"/>
    <s v="K11"/>
    <s v="F"/>
    <n v="65"/>
    <n v="60"/>
    <s v="Tidak tuntas"/>
    <s v="Bahasa Inggris"/>
    <x v="0"/>
    <x v="4"/>
    <n v="60"/>
    <x v="3"/>
    <n v="11"/>
    <x v="0"/>
    <x v="5"/>
    <x v="2"/>
  </r>
  <r>
    <n v="526"/>
    <s v="242510012"/>
    <x v="0"/>
    <x v="11"/>
    <s v="Intan Jaya"/>
    <d v="2026-02-12T00:00:00"/>
    <s v="12"/>
    <x v="1"/>
    <s v="26"/>
    <x v="1"/>
    <x v="9"/>
    <x v="2"/>
    <s v="Real"/>
    <s v="Entrepreneur"/>
    <s v="Product development"/>
    <x v="0"/>
    <x v="0"/>
    <x v="0"/>
    <s v="F11.02.01"/>
    <n v="2"/>
    <s v="mengargumentasikan yang berkaitan dengan pengembangan produk untuk peningkatan taraf perekonomian masyarakat melalui karya tulis ilmiah"/>
    <s v="02.01"/>
    <x v="7"/>
    <s v="K11"/>
    <s v="F"/>
    <n v="65"/>
    <n v="60"/>
    <s v="Tidak tuntas"/>
    <s v="Bahasa Inggris"/>
    <x v="0"/>
    <x v="4"/>
    <n v="60"/>
    <x v="3"/>
    <n v="11"/>
    <x v="0"/>
    <x v="5"/>
    <x v="2"/>
  </r>
  <r>
    <n v="527"/>
    <s v="242510012"/>
    <x v="0"/>
    <x v="11"/>
    <s v="Intan Jaya"/>
    <d v="2026-02-18T00:00:00"/>
    <s v="18"/>
    <x v="1"/>
    <s v="26"/>
    <x v="1"/>
    <x v="9"/>
    <x v="11"/>
    <s v="Real"/>
    <s v="Entrepreneur"/>
    <s v="Product development"/>
    <x v="0"/>
    <x v="0"/>
    <x v="0"/>
    <s v="F11.02.01"/>
    <n v="2"/>
    <s v="mengargumentasikan yang berkaitan dengan pengembangan produk untuk peningkatan taraf perekonomian masyarakat melalui karya tulis ilmiah"/>
    <s v="02.01"/>
    <x v="7"/>
    <s v="K11"/>
    <s v="F"/>
    <n v="65"/>
    <n v="70"/>
    <s v="Tuntas"/>
    <s v="Bahasa Inggris"/>
    <x v="0"/>
    <x v="4"/>
    <n v="70"/>
    <x v="1"/>
    <n v="11"/>
    <x v="0"/>
    <x v="6"/>
    <x v="2"/>
  </r>
  <r>
    <n v="528"/>
    <s v="242510012"/>
    <x v="0"/>
    <x v="11"/>
    <s v="Intan Jaya"/>
    <d v="2026-02-18T00:00:00"/>
    <s v="18"/>
    <x v="1"/>
    <s v="26"/>
    <x v="0"/>
    <x v="0"/>
    <x v="11"/>
    <s v="Real"/>
    <s v="Entrepreneur"/>
    <s v="Product development"/>
    <x v="0"/>
    <x v="0"/>
    <x v="0"/>
    <s v="F11.02.01"/>
    <n v="2"/>
    <s v="mengargumentasikan yang berkaitan dengan pengembangan produk untuk peningkatan taraf perekonomian masyarakat melalui karya tulis ilmiah"/>
    <s v="02.01"/>
    <x v="7"/>
    <s v="K11"/>
    <s v="F"/>
    <n v="65"/>
    <n v="70"/>
    <s v="Tuntas"/>
    <s v="Bahasa Inggris"/>
    <x v="0"/>
    <x v="4"/>
    <n v="70"/>
    <x v="1"/>
    <n v="11"/>
    <x v="0"/>
    <x v="6"/>
    <x v="2"/>
  </r>
  <r>
    <n v="529"/>
    <s v="#N/A"/>
    <x v="1"/>
    <x v="12"/>
    <s v="#VALUE!"/>
    <m/>
    <s v=",,,,,,,,,,,,"/>
    <x v="2"/>
    <s v=",,,,,,,,,,,,"/>
    <x v="5"/>
    <x v="10"/>
    <x v="12"/>
    <s v=",,,,,,,,,,,,"/>
    <s v=""/>
    <s v=""/>
    <x v="1"/>
    <x v="1"/>
    <x v="2"/>
    <s v=",,,,,,,,,,,,"/>
    <m/>
    <s v=""/>
    <s v=",,,,,"/>
    <x v="8"/>
    <s v=",,,,,,,,,,,,"/>
    <s v=","/>
    <n v="65"/>
    <m/>
    <s v="#REF!"/>
    <s v="Bahasa Sunda"/>
    <x v="0"/>
    <x v="0"/>
    <s v=""/>
    <x v="0"/>
    <s v=""/>
    <x v="0"/>
    <x v="0"/>
    <x v="0"/>
  </r>
  <r>
    <n v="530"/>
    <s v="242510001"/>
    <x v="0"/>
    <x v="4"/>
    <s v="Intan Jaya"/>
    <d v="2026-01-19T00:00:00"/>
    <s v="19"/>
    <x v="0"/>
    <s v="26"/>
    <x v="0"/>
    <x v="0"/>
    <x v="2"/>
    <s v="Real"/>
    <s v="Entrepreneur"/>
    <s v="Product development"/>
    <x v="0"/>
    <x v="0"/>
    <x v="0"/>
    <s v="F11.03.01"/>
    <n v="3"/>
    <s v="Pemahaman nutrisi yang terkandung pada makanan terutama pada kopi dan singkong"/>
    <s v="03.01"/>
    <x v="9"/>
    <s v="K11"/>
    <s v="F"/>
    <n v="65"/>
    <n v="100"/>
    <s v="Tuntas"/>
    <s v="Biologi"/>
    <x v="2"/>
    <x v="5"/>
    <n v="100"/>
    <x v="4"/>
    <n v="11"/>
    <x v="0"/>
    <x v="2"/>
    <x v="2"/>
  </r>
  <r>
    <n v="531"/>
    <s v="242510007"/>
    <x v="0"/>
    <x v="5"/>
    <s v="Intan Jaya"/>
    <d v="2026-01-19T00:00:00"/>
    <s v="19"/>
    <x v="0"/>
    <s v="26"/>
    <x v="0"/>
    <x v="0"/>
    <x v="2"/>
    <s v="Real"/>
    <s v="Entrepreneur"/>
    <s v="Product development"/>
    <x v="0"/>
    <x v="0"/>
    <x v="0"/>
    <s v="F11.03.01"/>
    <n v="3"/>
    <s v="Pemahaman nutrisi yang terkandung pada makanan terutama pada kopi dan singkong"/>
    <s v="03.01"/>
    <x v="9"/>
    <s v="K11"/>
    <s v="F"/>
    <n v="65"/>
    <n v="40"/>
    <s v="Tidak tuntas"/>
    <s v="Biologi"/>
    <x v="2"/>
    <x v="5"/>
    <n v="40"/>
    <x v="3"/>
    <n v="11"/>
    <x v="0"/>
    <x v="2"/>
    <x v="3"/>
  </r>
  <r>
    <n v="532"/>
    <s v="242510008"/>
    <x v="0"/>
    <x v="6"/>
    <s v="Dogiyai"/>
    <d v="2026-01-19T00:00:00"/>
    <s v="19"/>
    <x v="0"/>
    <s v="26"/>
    <x v="0"/>
    <x v="0"/>
    <x v="2"/>
    <s v="Real"/>
    <s v="Entrepreneur"/>
    <s v="Product development"/>
    <x v="0"/>
    <x v="0"/>
    <x v="0"/>
    <s v="F11.03.01"/>
    <n v="3"/>
    <s v="Pemahaman nutrisi yang terkandung pada makanan terutama pada kopi dan singkong"/>
    <s v="03.01"/>
    <x v="9"/>
    <s v="K11"/>
    <s v="F"/>
    <n v="65"/>
    <n v="89"/>
    <s v="Tuntas"/>
    <s v="Biologi"/>
    <x v="2"/>
    <x v="5"/>
    <n v="89"/>
    <x v="2"/>
    <n v="11"/>
    <x v="0"/>
    <x v="2"/>
    <x v="4"/>
  </r>
  <r>
    <n v="533"/>
    <s v="242510013"/>
    <x v="0"/>
    <x v="0"/>
    <s v="Intan Jaya"/>
    <d v="2026-01-19T00:00:00"/>
    <s v="19"/>
    <x v="0"/>
    <s v="26"/>
    <x v="0"/>
    <x v="0"/>
    <x v="2"/>
    <s v="Real"/>
    <s v="Entrepreneur"/>
    <s v="Product development"/>
    <x v="0"/>
    <x v="0"/>
    <x v="0"/>
    <s v="F11.03.01"/>
    <n v="3"/>
    <s v="Pemahaman nutrisi yang terkandung pada makanan terutama pada kopi dan singkong"/>
    <s v="03.01"/>
    <x v="9"/>
    <s v="K11"/>
    <s v="F"/>
    <n v="65"/>
    <n v="40"/>
    <s v="Tidak tuntas"/>
    <s v="Biologi"/>
    <x v="2"/>
    <x v="5"/>
    <n v="40"/>
    <x v="3"/>
    <n v="11"/>
    <x v="0"/>
    <x v="2"/>
    <x v="6"/>
  </r>
  <r>
    <n v="534"/>
    <s v="242510014"/>
    <x v="0"/>
    <x v="7"/>
    <s v="Inta jaya"/>
    <d v="2026-01-19T00:00:00"/>
    <s v="19"/>
    <x v="0"/>
    <s v="26"/>
    <x v="0"/>
    <x v="0"/>
    <x v="2"/>
    <s v="Real"/>
    <s v="Entrepreneur"/>
    <s v="Product development"/>
    <x v="0"/>
    <x v="0"/>
    <x v="0"/>
    <s v="F11.03.01"/>
    <n v="3"/>
    <s v="Pemahaman nutrisi yang terkandung pada makanan terutama pada kopi dan singkong"/>
    <s v="03.01"/>
    <x v="9"/>
    <s v="K11"/>
    <s v="F"/>
    <n v="65"/>
    <n v="99"/>
    <s v="Tuntas"/>
    <s v="Biologi"/>
    <x v="2"/>
    <x v="5"/>
    <n v="99"/>
    <x v="4"/>
    <n v="11"/>
    <x v="0"/>
    <x v="2"/>
    <x v="2"/>
  </r>
  <r>
    <n v="535"/>
    <s v="242510011"/>
    <x v="0"/>
    <x v="1"/>
    <s v="Intan Jaya"/>
    <d v="2026-01-19T00:00:00"/>
    <s v="19"/>
    <x v="0"/>
    <s v="26"/>
    <x v="0"/>
    <x v="0"/>
    <x v="2"/>
    <s v="Real"/>
    <s v="Entrepreneur"/>
    <s v="Product development"/>
    <x v="0"/>
    <x v="0"/>
    <x v="0"/>
    <s v="F11.03.01"/>
    <n v="3"/>
    <s v="Pemahaman nutrisi yang terkandung pada makanan terutama pada kopi dan singkong"/>
    <s v="03.01"/>
    <x v="9"/>
    <s v="K11"/>
    <s v="F"/>
    <n v="65"/>
    <n v="98"/>
    <s v="Tuntas"/>
    <s v="Biologi"/>
    <x v="2"/>
    <x v="5"/>
    <n v="98"/>
    <x v="4"/>
    <n v="11"/>
    <x v="0"/>
    <x v="2"/>
    <x v="1"/>
  </r>
  <r>
    <n v="536"/>
    <s v="242510004"/>
    <x v="0"/>
    <x v="8"/>
    <s v="Inta jaya"/>
    <d v="2026-01-19T00:00:00"/>
    <s v="19"/>
    <x v="0"/>
    <s v="26"/>
    <x v="0"/>
    <x v="0"/>
    <x v="2"/>
    <s v="Real"/>
    <s v="Entrepreneur"/>
    <s v="Product development"/>
    <x v="0"/>
    <x v="0"/>
    <x v="0"/>
    <s v="F11.03.01"/>
    <n v="3"/>
    <s v="Pemahaman nutrisi yang terkandung pada makanan terutama pada kopi dan singkong"/>
    <s v="03.01"/>
    <x v="9"/>
    <s v="K11"/>
    <s v="F"/>
    <n v="65"/>
    <n v="98"/>
    <s v="Tuntas"/>
    <s v="Biologi"/>
    <x v="2"/>
    <x v="5"/>
    <n v="98"/>
    <x v="4"/>
    <n v="11"/>
    <x v="0"/>
    <x v="2"/>
    <x v="4"/>
  </r>
  <r>
    <n v="537"/>
    <s v="242510010"/>
    <x v="0"/>
    <x v="2"/>
    <s v="Intan Jaya"/>
    <d v="2026-01-19T00:00:00"/>
    <s v="19"/>
    <x v="0"/>
    <s v="26"/>
    <x v="0"/>
    <x v="0"/>
    <x v="2"/>
    <s v="Real"/>
    <s v="Entrepreneur"/>
    <s v="Product development"/>
    <x v="0"/>
    <x v="0"/>
    <x v="0"/>
    <s v="F11.03.01"/>
    <n v="3"/>
    <s v="Pemahaman nutrisi yang terkandung pada makanan terutama pada kopi dan singkong"/>
    <s v="03.01"/>
    <x v="9"/>
    <s v="K11"/>
    <s v="F"/>
    <n v="65"/>
    <n v="82"/>
    <s v="Tuntas"/>
    <s v="Biologi"/>
    <x v="2"/>
    <x v="5"/>
    <n v="82"/>
    <x v="2"/>
    <n v="11"/>
    <x v="0"/>
    <x v="2"/>
    <x v="2"/>
  </r>
  <r>
    <n v="538"/>
    <s v="242510002"/>
    <x v="0"/>
    <x v="3"/>
    <s v="Intan Jaya"/>
    <d v="2026-01-19T00:00:00"/>
    <s v="19"/>
    <x v="0"/>
    <s v="26"/>
    <x v="0"/>
    <x v="0"/>
    <x v="2"/>
    <s v="Real"/>
    <s v="Entrepreneur"/>
    <s v="Product development"/>
    <x v="0"/>
    <x v="0"/>
    <x v="0"/>
    <s v="F11.03.01"/>
    <n v="3"/>
    <s v="Pemahaman nutrisi yang terkandung pada makanan terutama pada kopi dan singkong"/>
    <s v="03.01"/>
    <x v="9"/>
    <s v="K11"/>
    <s v="F"/>
    <n v="65"/>
    <n v="40"/>
    <s v="Tidak tuntas"/>
    <s v="Biologi"/>
    <x v="2"/>
    <x v="5"/>
    <n v="40"/>
    <x v="3"/>
    <n v="11"/>
    <x v="0"/>
    <x v="2"/>
    <x v="1"/>
  </r>
  <r>
    <n v="539"/>
    <s v="242510006"/>
    <x v="0"/>
    <x v="9"/>
    <s v="Nabire"/>
    <d v="2026-01-19T00:00:00"/>
    <s v="19"/>
    <x v="0"/>
    <s v="26"/>
    <x v="0"/>
    <x v="0"/>
    <x v="2"/>
    <s v="Real"/>
    <s v="Entrepreneur"/>
    <s v="Product development"/>
    <x v="0"/>
    <x v="0"/>
    <x v="0"/>
    <s v="F11.03.01"/>
    <n v="3"/>
    <s v="Pemahaman nutrisi yang terkandung pada makanan terutama pada kopi dan singkong"/>
    <s v="03.01"/>
    <x v="9"/>
    <s v="K11"/>
    <s v="F"/>
    <n v="65"/>
    <n v="91"/>
    <s v="Tuntas"/>
    <s v="Biologi"/>
    <x v="2"/>
    <x v="5"/>
    <n v="91"/>
    <x v="4"/>
    <n v="11"/>
    <x v="0"/>
    <x v="2"/>
    <x v="2"/>
  </r>
  <r>
    <n v="540"/>
    <s v="242510009"/>
    <x v="0"/>
    <x v="10"/>
    <s v="Nabire"/>
    <d v="2026-01-19T00:00:00"/>
    <s v="19"/>
    <x v="0"/>
    <s v="26"/>
    <x v="0"/>
    <x v="0"/>
    <x v="2"/>
    <s v="Real"/>
    <s v="Entrepreneur"/>
    <s v="Product development"/>
    <x v="0"/>
    <x v="0"/>
    <x v="0"/>
    <s v="F11.03.01"/>
    <n v="3"/>
    <s v="Pemahaman nutrisi yang terkandung pada makanan terutama pada kopi dan singkong"/>
    <s v="03.01"/>
    <x v="9"/>
    <s v="K11"/>
    <s v="F"/>
    <n v="65"/>
    <n v="94"/>
    <s v="Tuntas"/>
    <s v="Biologi"/>
    <x v="2"/>
    <x v="5"/>
    <n v="94"/>
    <x v="4"/>
    <n v="11"/>
    <x v="0"/>
    <x v="2"/>
    <x v="5"/>
  </r>
  <r>
    <n v="541"/>
    <s v="242510012"/>
    <x v="0"/>
    <x v="11"/>
    <s v="Intan Jaya"/>
    <d v="2026-01-19T00:00:00"/>
    <s v="19"/>
    <x v="0"/>
    <s v="26"/>
    <x v="0"/>
    <x v="0"/>
    <x v="2"/>
    <s v="Real"/>
    <s v="Entrepreneur"/>
    <s v="Product development"/>
    <x v="0"/>
    <x v="0"/>
    <x v="0"/>
    <s v="F11.03.01"/>
    <n v="3"/>
    <s v="Pemahaman nutrisi yang terkandung pada makanan terutama pada kopi dan singkong"/>
    <s v="03.01"/>
    <x v="9"/>
    <s v="K11"/>
    <s v="F"/>
    <n v="65"/>
    <n v="97"/>
    <s v="Tuntas"/>
    <s v="Biologi"/>
    <x v="2"/>
    <x v="5"/>
    <n v="97"/>
    <x v="4"/>
    <n v="11"/>
    <x v="0"/>
    <x v="2"/>
    <x v="2"/>
  </r>
  <r>
    <n v="542"/>
    <s v="242510001"/>
    <x v="0"/>
    <x v="4"/>
    <s v="Intan Jaya"/>
    <d v="2026-02-04T00:00:00"/>
    <s v="04"/>
    <x v="1"/>
    <s v="26"/>
    <x v="0"/>
    <x v="0"/>
    <x v="2"/>
    <s v="Real"/>
    <s v="Entrepreneur"/>
    <s v="Product development"/>
    <x v="0"/>
    <x v="0"/>
    <x v="1"/>
    <s v="D07.01.08"/>
    <n v="1"/>
    <s v="Mampu memahami, memformulasikan dan menyelesaikan pemecahan masalah kelembaban dalam Rumah Kaca"/>
    <s v="01.08"/>
    <x v="10"/>
    <s v="K07"/>
    <s v="D"/>
    <n v="65"/>
    <n v="85"/>
    <s v="Tuntas"/>
    <s v="Fisika"/>
    <x v="0"/>
    <x v="6"/>
    <n v="85"/>
    <x v="2"/>
    <n v="7"/>
    <x v="0"/>
    <x v="4"/>
    <x v="2"/>
  </r>
  <r>
    <n v="543"/>
    <s v="242510001"/>
    <x v="0"/>
    <x v="4"/>
    <s v="Intan Jaya"/>
    <d v="2026-02-25T00:00:00"/>
    <s v="25"/>
    <x v="1"/>
    <s v="26"/>
    <x v="0"/>
    <x v="0"/>
    <x v="4"/>
    <s v="Real"/>
    <s v="Entrepreneur"/>
    <s v="Product development"/>
    <x v="0"/>
    <x v="0"/>
    <x v="1"/>
    <s v="E10.01.09"/>
    <n v="1"/>
    <s v="Mampu memahami, memformulasikan dan menyelesaikan pemecahan masalah kelembaban dalam Rumah Kaca"/>
    <s v="01.09"/>
    <x v="11"/>
    <s v="K10"/>
    <s v="E"/>
    <n v="65"/>
    <n v="91"/>
    <s v="Tuntas"/>
    <s v="Fisika"/>
    <x v="0"/>
    <x v="6"/>
    <n v="91"/>
    <x v="4"/>
    <n v="10"/>
    <x v="0"/>
    <x v="8"/>
    <x v="2"/>
  </r>
  <r>
    <n v="544"/>
    <s v="242510007"/>
    <x v="0"/>
    <x v="5"/>
    <s v="Intan Jaya"/>
    <d v="2026-02-04T00:00:00"/>
    <s v="04"/>
    <x v="1"/>
    <s v="26"/>
    <x v="0"/>
    <x v="0"/>
    <x v="2"/>
    <s v="Real"/>
    <s v="Entrepreneur"/>
    <s v="Product development"/>
    <x v="0"/>
    <x v="0"/>
    <x v="1"/>
    <s v="D07.01.08"/>
    <n v="1"/>
    <s v="Mampu memahami, memformulasikan dan menyelesaikan pemecahan masalah kelembaban dalam Rumah Kaca"/>
    <s v="01.08"/>
    <x v="10"/>
    <s v="K07"/>
    <s v="D"/>
    <n v="65"/>
    <n v="65"/>
    <s v="Tuntas"/>
    <s v="Fisika"/>
    <x v="0"/>
    <x v="6"/>
    <n v="65"/>
    <x v="1"/>
    <n v="7"/>
    <x v="0"/>
    <x v="4"/>
    <x v="3"/>
  </r>
  <r>
    <n v="545"/>
    <s v="242510007"/>
    <x v="0"/>
    <x v="5"/>
    <s v="Intan Jaya"/>
    <d v="2026-02-25T00:00:00"/>
    <s v="25"/>
    <x v="1"/>
    <s v="26"/>
    <x v="0"/>
    <x v="0"/>
    <x v="4"/>
    <s v="Real"/>
    <s v="Entrepreneur"/>
    <s v="Product development"/>
    <x v="0"/>
    <x v="0"/>
    <x v="1"/>
    <s v="E10.01.09"/>
    <n v="1"/>
    <s v="Mampu memahami, memformulasikan dan menyelesaikan pemecahan masalah kelembaban dalam Rumah Kaca"/>
    <s v="01.09"/>
    <x v="11"/>
    <s v="K10"/>
    <s v="E"/>
    <n v="65"/>
    <n v="0"/>
    <s v="Tidak tuntas"/>
    <s v="Fisika"/>
    <x v="0"/>
    <x v="0"/>
    <s v=""/>
    <x v="0"/>
    <s v=""/>
    <x v="0"/>
    <x v="0"/>
    <x v="0"/>
  </r>
  <r>
    <n v="546"/>
    <s v="242510008"/>
    <x v="0"/>
    <x v="6"/>
    <s v="Dogiyai"/>
    <d v="2026-02-04T00:00:00"/>
    <s v="04"/>
    <x v="1"/>
    <s v="26"/>
    <x v="0"/>
    <x v="0"/>
    <x v="2"/>
    <s v="Real"/>
    <s v="Entrepreneur"/>
    <s v="Product development"/>
    <x v="0"/>
    <x v="0"/>
    <x v="1"/>
    <s v="D07.01.08"/>
    <n v="1"/>
    <s v="Mampu memahami, memformulasikan dan menyelesaikan pemecahan masalah kelembaban dalam Rumah Kaca"/>
    <s v="01.08"/>
    <x v="10"/>
    <s v="K07"/>
    <s v="D"/>
    <n v="65"/>
    <n v="99"/>
    <s v="Tuntas"/>
    <s v="Fisika"/>
    <x v="0"/>
    <x v="6"/>
    <n v="99"/>
    <x v="4"/>
    <n v="7"/>
    <x v="0"/>
    <x v="4"/>
    <x v="4"/>
  </r>
  <r>
    <n v="547"/>
    <s v="242510008"/>
    <x v="0"/>
    <x v="6"/>
    <s v="Dogiyai"/>
    <d v="2026-02-25T00:00:00"/>
    <s v="25"/>
    <x v="1"/>
    <s v="26"/>
    <x v="0"/>
    <x v="0"/>
    <x v="4"/>
    <s v="Real"/>
    <s v="Entrepreneur"/>
    <s v="Product development"/>
    <x v="0"/>
    <x v="0"/>
    <x v="1"/>
    <s v="E10.01.09"/>
    <n v="1"/>
    <s v="Mampu memahami, memformulasikan dan menyelesaikan pemecahan masalah kelembaban dalam Rumah Kaca"/>
    <s v="01.09"/>
    <x v="11"/>
    <s v="K10"/>
    <s v="E"/>
    <n v="65"/>
    <n v="80"/>
    <s v="Tuntas"/>
    <s v="Fisika"/>
    <x v="0"/>
    <x v="6"/>
    <n v="80"/>
    <x v="2"/>
    <n v="10"/>
    <x v="0"/>
    <x v="8"/>
    <x v="4"/>
  </r>
  <r>
    <n v="548"/>
    <s v="242510013"/>
    <x v="0"/>
    <x v="0"/>
    <s v="Intan Jaya"/>
    <d v="2026-02-04T00:00:00"/>
    <s v="04"/>
    <x v="1"/>
    <s v="26"/>
    <x v="0"/>
    <x v="0"/>
    <x v="2"/>
    <s v="Real"/>
    <s v="Entrepreneur"/>
    <s v="Product development"/>
    <x v="0"/>
    <x v="0"/>
    <x v="1"/>
    <s v="D07.01.08"/>
    <n v="1"/>
    <s v="Mampu memahami, memformulasikan dan menyelesaikan pemecahan masalah kelembaban dalam Rumah Kaca"/>
    <s v="01.08"/>
    <x v="10"/>
    <s v="K07"/>
    <s v="D"/>
    <n v="65"/>
    <n v="0"/>
    <s v="Tidak tuntas"/>
    <s v="Fisika"/>
    <x v="0"/>
    <x v="0"/>
    <s v=""/>
    <x v="0"/>
    <s v=""/>
    <x v="0"/>
    <x v="0"/>
    <x v="0"/>
  </r>
  <r>
    <n v="549"/>
    <s v="242510013"/>
    <x v="0"/>
    <x v="0"/>
    <s v="Intan Jaya"/>
    <d v="2026-02-25T00:00:00"/>
    <s v="25"/>
    <x v="1"/>
    <s v="26"/>
    <x v="0"/>
    <x v="0"/>
    <x v="4"/>
    <s v="Real"/>
    <s v="Entrepreneur"/>
    <s v="Product development"/>
    <x v="0"/>
    <x v="0"/>
    <x v="1"/>
    <s v="E10.01.09"/>
    <n v="1"/>
    <s v="Mampu memahami, memformulasikan dan menyelesaikan pemecahan masalah kelembaban dalam Rumah Kaca"/>
    <s v="01.09"/>
    <x v="11"/>
    <s v="K10"/>
    <s v="E"/>
    <n v="65"/>
    <n v="0"/>
    <s v="Tidak tuntas"/>
    <s v="Fisika"/>
    <x v="0"/>
    <x v="0"/>
    <s v=""/>
    <x v="0"/>
    <s v=""/>
    <x v="0"/>
    <x v="0"/>
    <x v="0"/>
  </r>
  <r>
    <n v="550"/>
    <s v="242510014"/>
    <x v="0"/>
    <x v="7"/>
    <s v="Inta jaya"/>
    <d v="2026-02-04T00:00:00"/>
    <s v="04"/>
    <x v="1"/>
    <s v="26"/>
    <x v="0"/>
    <x v="0"/>
    <x v="2"/>
    <s v="Real"/>
    <s v="Entrepreneur"/>
    <s v="Product development"/>
    <x v="0"/>
    <x v="0"/>
    <x v="1"/>
    <s v="D07.01.08"/>
    <n v="1"/>
    <s v="Mampu memahami, memformulasikan dan menyelesaikan pemecahan masalah kelembaban dalam Rumah Kaca"/>
    <s v="01.08"/>
    <x v="10"/>
    <s v="K07"/>
    <s v="D"/>
    <n v="65"/>
    <n v="85"/>
    <s v="Tuntas"/>
    <s v="Fisika"/>
    <x v="0"/>
    <x v="6"/>
    <n v="85"/>
    <x v="2"/>
    <n v="7"/>
    <x v="0"/>
    <x v="4"/>
    <x v="2"/>
  </r>
  <r>
    <n v="551"/>
    <s v="242510014"/>
    <x v="0"/>
    <x v="7"/>
    <s v="Inta jaya"/>
    <d v="2026-02-25T00:00:00"/>
    <s v="25"/>
    <x v="1"/>
    <s v="26"/>
    <x v="0"/>
    <x v="0"/>
    <x v="4"/>
    <s v="Real"/>
    <s v="Entrepreneur"/>
    <s v="Product development"/>
    <x v="0"/>
    <x v="0"/>
    <x v="1"/>
    <s v="E10.01.09"/>
    <n v="1"/>
    <s v="Mampu memahami, memformulasikan dan menyelesaikan pemecahan masalah kelembaban dalam Rumah Kaca"/>
    <s v="01.09"/>
    <x v="11"/>
    <s v="K10"/>
    <s v="E"/>
    <n v="65"/>
    <n v="85"/>
    <s v="Tuntas"/>
    <s v="Fisika"/>
    <x v="0"/>
    <x v="6"/>
    <n v="85"/>
    <x v="2"/>
    <n v="10"/>
    <x v="0"/>
    <x v="8"/>
    <x v="2"/>
  </r>
  <r>
    <n v="552"/>
    <s v="242510011"/>
    <x v="0"/>
    <x v="1"/>
    <s v="Intan Jaya"/>
    <d v="2026-02-04T00:00:00"/>
    <s v="04"/>
    <x v="1"/>
    <s v="26"/>
    <x v="0"/>
    <x v="0"/>
    <x v="2"/>
    <s v="Real"/>
    <s v="Entrepreneur"/>
    <s v="Product development"/>
    <x v="0"/>
    <x v="0"/>
    <x v="1"/>
    <s v="D07.01.08"/>
    <n v="1"/>
    <s v="Mampu memahami, memformulasikan dan menyelesaikan pemecahan masalah kelembaban dalam Rumah Kaca"/>
    <s v="01.08"/>
    <x v="10"/>
    <s v="K07"/>
    <s v="D"/>
    <n v="65"/>
    <n v="70"/>
    <s v="Tuntas"/>
    <s v="Fisika"/>
    <x v="0"/>
    <x v="6"/>
    <n v="70"/>
    <x v="1"/>
    <n v="7"/>
    <x v="0"/>
    <x v="4"/>
    <x v="1"/>
  </r>
  <r>
    <n v="553"/>
    <s v="242510011"/>
    <x v="0"/>
    <x v="1"/>
    <s v="Intan Jaya"/>
    <d v="2026-02-25T00:00:00"/>
    <s v="25"/>
    <x v="1"/>
    <s v="26"/>
    <x v="0"/>
    <x v="0"/>
    <x v="4"/>
    <s v="Real"/>
    <s v="Entrepreneur"/>
    <s v="Product development"/>
    <x v="0"/>
    <x v="0"/>
    <x v="1"/>
    <s v="E10.01.09"/>
    <n v="1"/>
    <s v="Mampu memahami, memformulasikan dan menyelesaikan pemecahan masalah kelembaban dalam Rumah Kaca"/>
    <s v="01.09"/>
    <x v="11"/>
    <s v="K10"/>
    <s v="E"/>
    <n v="65"/>
    <n v="62"/>
    <s v="Tidak tuntas"/>
    <s v="Fisika"/>
    <x v="0"/>
    <x v="6"/>
    <n v="62"/>
    <x v="3"/>
    <n v="10"/>
    <x v="0"/>
    <x v="8"/>
    <x v="1"/>
  </r>
  <r>
    <n v="554"/>
    <s v="242510004"/>
    <x v="0"/>
    <x v="8"/>
    <s v="Inta jaya"/>
    <d v="2026-02-04T00:00:00"/>
    <s v="04"/>
    <x v="1"/>
    <s v="26"/>
    <x v="0"/>
    <x v="0"/>
    <x v="2"/>
    <s v="Real"/>
    <s v="Entrepreneur"/>
    <s v="Product development"/>
    <x v="0"/>
    <x v="0"/>
    <x v="1"/>
    <s v="D07.01.08"/>
    <n v="1"/>
    <s v="Mampu memahami, memformulasikan dan menyelesaikan pemecahan masalah kelembaban dalam Rumah Kaca"/>
    <s v="01.08"/>
    <x v="10"/>
    <s v="K07"/>
    <s v="D"/>
    <n v="65"/>
    <n v="99"/>
    <s v="Tuntas"/>
    <s v="Fisika"/>
    <x v="0"/>
    <x v="6"/>
    <n v="99"/>
    <x v="4"/>
    <n v="7"/>
    <x v="0"/>
    <x v="4"/>
    <x v="4"/>
  </r>
  <r>
    <n v="555"/>
    <s v="242510004"/>
    <x v="0"/>
    <x v="8"/>
    <s v="Inta jaya"/>
    <d v="2026-02-25T00:00:00"/>
    <s v="25"/>
    <x v="1"/>
    <s v="26"/>
    <x v="0"/>
    <x v="0"/>
    <x v="4"/>
    <s v="Real"/>
    <s v="Entrepreneur"/>
    <s v="Product development"/>
    <x v="0"/>
    <x v="0"/>
    <x v="1"/>
    <s v="E10.01.09"/>
    <n v="1"/>
    <s v="Mampu memahami, memformulasikan dan menyelesaikan pemecahan masalah kelembaban dalam Rumah Kaca"/>
    <s v="01.09"/>
    <x v="11"/>
    <s v="K10"/>
    <s v="E"/>
    <n v="65"/>
    <n v="77"/>
    <s v="Tuntas"/>
    <s v="Fisika"/>
    <x v="0"/>
    <x v="6"/>
    <n v="77"/>
    <x v="1"/>
    <n v="10"/>
    <x v="0"/>
    <x v="8"/>
    <x v="4"/>
  </r>
  <r>
    <n v="556"/>
    <s v="242510010"/>
    <x v="0"/>
    <x v="2"/>
    <s v="Intan Jaya"/>
    <d v="2026-02-04T00:00:00"/>
    <s v="04"/>
    <x v="1"/>
    <s v="26"/>
    <x v="0"/>
    <x v="0"/>
    <x v="2"/>
    <s v="Real"/>
    <s v="Entrepreneur"/>
    <s v="Product development"/>
    <x v="0"/>
    <x v="0"/>
    <x v="1"/>
    <s v="D07.01.08"/>
    <n v="1"/>
    <s v="Mampu memahami, memformulasikan dan menyelesaikan pemecahan masalah kelembaban dalam Rumah Kaca"/>
    <s v="01.08"/>
    <x v="10"/>
    <s v="K07"/>
    <s v="D"/>
    <n v="65"/>
    <n v="75"/>
    <s v="Tuntas"/>
    <s v="Fisika"/>
    <x v="0"/>
    <x v="6"/>
    <n v="75"/>
    <x v="1"/>
    <n v="7"/>
    <x v="0"/>
    <x v="4"/>
    <x v="2"/>
  </r>
  <r>
    <n v="557"/>
    <s v="242510010"/>
    <x v="0"/>
    <x v="2"/>
    <s v="Intan Jaya"/>
    <d v="2026-02-25T00:00:00"/>
    <s v="25"/>
    <x v="1"/>
    <s v="26"/>
    <x v="0"/>
    <x v="0"/>
    <x v="4"/>
    <s v="Real"/>
    <s v="Entrepreneur"/>
    <s v="Product development"/>
    <x v="0"/>
    <x v="0"/>
    <x v="1"/>
    <s v="E10.01.09"/>
    <n v="1"/>
    <s v="Mampu memahami, memformulasikan dan menyelesaikan pemecahan masalah kelembaban dalam Rumah Kaca"/>
    <s v="01.09"/>
    <x v="11"/>
    <s v="K10"/>
    <s v="E"/>
    <n v="65"/>
    <n v="84"/>
    <s v="Tuntas"/>
    <s v="Fisika"/>
    <x v="0"/>
    <x v="6"/>
    <n v="84"/>
    <x v="2"/>
    <n v="10"/>
    <x v="0"/>
    <x v="8"/>
    <x v="2"/>
  </r>
  <r>
    <n v="558"/>
    <s v="242510002"/>
    <x v="0"/>
    <x v="3"/>
    <s v="Intan Jaya"/>
    <d v="2026-02-04T00:00:00"/>
    <s v="04"/>
    <x v="1"/>
    <s v="26"/>
    <x v="0"/>
    <x v="0"/>
    <x v="2"/>
    <s v="Real"/>
    <s v="Entrepreneur"/>
    <s v="Product development"/>
    <x v="0"/>
    <x v="0"/>
    <x v="1"/>
    <s v="D07.01.08"/>
    <n v="1"/>
    <s v="Mampu memahami, memformulasikan dan menyelesaikan pemecahan masalah kelembaban dalam Rumah Kaca"/>
    <s v="01.08"/>
    <x v="10"/>
    <s v="K07"/>
    <s v="D"/>
    <n v="65"/>
    <n v="95"/>
    <s v="Tuntas"/>
    <s v="Fisika"/>
    <x v="0"/>
    <x v="6"/>
    <n v="95"/>
    <x v="4"/>
    <n v="7"/>
    <x v="0"/>
    <x v="4"/>
    <x v="1"/>
  </r>
  <r>
    <n v="559"/>
    <s v="242510002"/>
    <x v="0"/>
    <x v="3"/>
    <s v="Intan Jaya"/>
    <d v="2026-02-25T00:00:00"/>
    <s v="25"/>
    <x v="1"/>
    <s v="26"/>
    <x v="0"/>
    <x v="0"/>
    <x v="4"/>
    <s v="Real"/>
    <s v="Entrepreneur"/>
    <s v="Product development"/>
    <x v="0"/>
    <x v="0"/>
    <x v="1"/>
    <s v="E10.01.09"/>
    <n v="1"/>
    <s v="Mampu memahami, memformulasikan dan menyelesaikan pemecahan masalah kelembaban dalam Rumah Kaca"/>
    <s v="01.09"/>
    <x v="11"/>
    <s v="K10"/>
    <s v="E"/>
    <n v="65"/>
    <n v="61"/>
    <s v="Tidak tuntas"/>
    <s v="Fisika"/>
    <x v="0"/>
    <x v="6"/>
    <n v="61"/>
    <x v="3"/>
    <n v="10"/>
    <x v="0"/>
    <x v="8"/>
    <x v="1"/>
  </r>
  <r>
    <n v="560"/>
    <s v="242510006"/>
    <x v="0"/>
    <x v="9"/>
    <s v="Nabire"/>
    <d v="2026-02-04T00:00:00"/>
    <s v="04"/>
    <x v="1"/>
    <s v="26"/>
    <x v="0"/>
    <x v="0"/>
    <x v="2"/>
    <s v="Real"/>
    <s v="Entrepreneur"/>
    <s v="Product development"/>
    <x v="0"/>
    <x v="0"/>
    <x v="1"/>
    <s v="D07.01.08"/>
    <n v="1"/>
    <s v="Mampu memahami, memformulasikan dan menyelesaikan pemecahan masalah kelembaban dalam Rumah Kaca"/>
    <s v="01.08"/>
    <x v="10"/>
    <s v="K07"/>
    <s v="D"/>
    <n v="65"/>
    <n v="80"/>
    <s v="Tuntas"/>
    <s v="Fisika"/>
    <x v="0"/>
    <x v="6"/>
    <n v="80"/>
    <x v="2"/>
    <n v="7"/>
    <x v="0"/>
    <x v="4"/>
    <x v="2"/>
  </r>
  <r>
    <n v="561"/>
    <s v="242510006"/>
    <x v="0"/>
    <x v="9"/>
    <s v="Nabire"/>
    <d v="2026-02-25T00:00:00"/>
    <s v="25"/>
    <x v="1"/>
    <s v="26"/>
    <x v="0"/>
    <x v="0"/>
    <x v="4"/>
    <s v="Real"/>
    <s v="Entrepreneur"/>
    <s v="Product development"/>
    <x v="0"/>
    <x v="0"/>
    <x v="1"/>
    <s v="E10.01.09"/>
    <n v="1"/>
    <s v="Mampu memahami, memformulasikan dan menyelesaikan pemecahan masalah kelembaban dalam Rumah Kaca"/>
    <s v="01.09"/>
    <x v="11"/>
    <s v="K10"/>
    <s v="E"/>
    <n v="65"/>
    <n v="48"/>
    <s v="Tidak tuntas"/>
    <s v="Fisika"/>
    <x v="0"/>
    <x v="6"/>
    <n v="48"/>
    <x v="3"/>
    <n v="10"/>
    <x v="0"/>
    <x v="8"/>
    <x v="2"/>
  </r>
  <r>
    <n v="562"/>
    <s v="242510009"/>
    <x v="0"/>
    <x v="10"/>
    <s v="Nabire"/>
    <d v="2026-02-04T00:00:00"/>
    <s v="04"/>
    <x v="1"/>
    <s v="26"/>
    <x v="0"/>
    <x v="0"/>
    <x v="2"/>
    <s v="Real"/>
    <s v="Entrepreneur"/>
    <s v="Product development"/>
    <x v="0"/>
    <x v="0"/>
    <x v="1"/>
    <s v="D07.01.08"/>
    <n v="1"/>
    <s v="Mampu memahami, memformulasikan dan menyelesaikan pemecahan masalah kelembaban dalam Rumah Kaca"/>
    <s v="01.08"/>
    <x v="10"/>
    <s v="K07"/>
    <s v="D"/>
    <n v="65"/>
    <n v="10"/>
    <s v="Tidak tuntas"/>
    <s v="Fisika"/>
    <x v="0"/>
    <x v="6"/>
    <n v="10"/>
    <x v="3"/>
    <n v="7"/>
    <x v="0"/>
    <x v="4"/>
    <x v="5"/>
  </r>
  <r>
    <n v="563"/>
    <s v="242510009"/>
    <x v="0"/>
    <x v="10"/>
    <s v="Nabire"/>
    <d v="2026-02-25T00:00:00"/>
    <s v="25"/>
    <x v="1"/>
    <s v="26"/>
    <x v="0"/>
    <x v="0"/>
    <x v="4"/>
    <s v="Real"/>
    <s v="Entrepreneur"/>
    <s v="Product development"/>
    <x v="0"/>
    <x v="0"/>
    <x v="1"/>
    <s v="E10.01.09"/>
    <n v="1"/>
    <s v="Mampu memahami, memformulasikan dan menyelesaikan pemecahan masalah kelembaban dalam Rumah Kaca"/>
    <s v="01.09"/>
    <x v="11"/>
    <s v="K10"/>
    <s v="E"/>
    <n v="65"/>
    <n v="18"/>
    <s v="Tidak tuntas"/>
    <s v="Fisika"/>
    <x v="0"/>
    <x v="6"/>
    <n v="18"/>
    <x v="3"/>
    <n v="10"/>
    <x v="0"/>
    <x v="8"/>
    <x v="5"/>
  </r>
  <r>
    <n v="564"/>
    <s v="242510012"/>
    <x v="0"/>
    <x v="11"/>
    <s v="Intan Jaya"/>
    <d v="2026-02-04T00:00:00"/>
    <s v="04"/>
    <x v="1"/>
    <s v="26"/>
    <x v="0"/>
    <x v="0"/>
    <x v="2"/>
    <s v="Real"/>
    <s v="Entrepreneur"/>
    <s v="Product development"/>
    <x v="0"/>
    <x v="0"/>
    <x v="1"/>
    <s v="D07.01.08"/>
    <n v="1"/>
    <s v="Mampu memahami, memformulasikan dan menyelesaikan pemecahan masalah kelembaban dalam Rumah Kaca"/>
    <s v="01.08"/>
    <x v="10"/>
    <s v="K07"/>
    <s v="D"/>
    <n v="65"/>
    <n v="80"/>
    <s v="Tuntas"/>
    <s v="Fisika"/>
    <x v="0"/>
    <x v="6"/>
    <n v="80"/>
    <x v="2"/>
    <n v="7"/>
    <x v="0"/>
    <x v="4"/>
    <x v="2"/>
  </r>
  <r>
    <n v="565"/>
    <s v="242510012"/>
    <x v="0"/>
    <x v="11"/>
    <s v="Intan Jaya"/>
    <d v="2026-02-25T00:00:00"/>
    <s v="25"/>
    <x v="1"/>
    <s v="26"/>
    <x v="0"/>
    <x v="0"/>
    <x v="4"/>
    <s v="Real"/>
    <s v="Entrepreneur"/>
    <s v="Product development"/>
    <x v="0"/>
    <x v="0"/>
    <x v="1"/>
    <s v="E10.01.09"/>
    <n v="1"/>
    <s v="Mampu memahami, memformulasikan dan menyelesaikan pemecahan masalah kelembaban dalam Rumah Kaca"/>
    <s v="01.09"/>
    <x v="11"/>
    <s v="K10"/>
    <s v="E"/>
    <n v="65"/>
    <n v="40"/>
    <s v="Tidak tuntas"/>
    <s v="Fisika"/>
    <x v="0"/>
    <x v="6"/>
    <n v="40"/>
    <x v="3"/>
    <n v="10"/>
    <x v="0"/>
    <x v="8"/>
    <x v="2"/>
  </r>
  <r>
    <n v="566"/>
    <s v="242510001"/>
    <x v="0"/>
    <x v="4"/>
    <s v="Intan Jaya"/>
    <d v="2026-01-15T00:00:00"/>
    <s v="15"/>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0"/>
    <x v="1"/>
    <x v="2"/>
  </r>
  <r>
    <n v="567"/>
    <s v="242510001"/>
    <x v="0"/>
    <x v="4"/>
    <s v="Intan Jaya"/>
    <d v="2026-01-15T00:00:00"/>
    <s v="15"/>
    <x v="0"/>
    <s v="26"/>
    <x v="2"/>
    <x v="12"/>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0"/>
    <s v="Tuntas"/>
    <s v="Informatika"/>
    <x v="3"/>
    <x v="7"/>
    <n v="70"/>
    <x v="1"/>
    <n v="11"/>
    <x v="0"/>
    <x v="1"/>
    <x v="2"/>
  </r>
  <r>
    <n v="568"/>
    <s v="242510001"/>
    <x v="0"/>
    <x v="4"/>
    <s v="Intan Jaya"/>
    <d v="2026-01-22T00:00:00"/>
    <s v="22"/>
    <x v="0"/>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2"/>
    <x v="2"/>
    <x v="2"/>
  </r>
  <r>
    <n v="569"/>
    <s v="242510001"/>
    <x v="0"/>
    <x v="4"/>
    <s v="Intan Jaya"/>
    <d v="2026-01-22T00:00:00"/>
    <s v="22"/>
    <x v="0"/>
    <s v="26"/>
    <x v="4"/>
    <x v="5"/>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0"/>
    <x v="2"/>
    <x v="2"/>
  </r>
  <r>
    <n v="570"/>
    <s v="242510001"/>
    <x v="0"/>
    <x v="4"/>
    <s v="Intan Jaya"/>
    <d v="2026-01-22T00:00:00"/>
    <s v="22"/>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0"/>
    <x v="2"/>
    <x v="2"/>
  </r>
  <r>
    <n v="571"/>
    <s v="242510001"/>
    <x v="0"/>
    <x v="4"/>
    <s v="Intan Jaya"/>
    <d v="2026-01-29T00:00:00"/>
    <s v="29"/>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0"/>
    <s v="Tuntas"/>
    <s v="Informatika"/>
    <x v="3"/>
    <x v="7"/>
    <n v="70"/>
    <x v="1"/>
    <n v="11"/>
    <x v="0"/>
    <x v="3"/>
    <x v="2"/>
  </r>
  <r>
    <n v="572"/>
    <s v="242510001"/>
    <x v="0"/>
    <x v="4"/>
    <s v="Intan Jaya"/>
    <d v="2026-01-29T00:00:00"/>
    <s v="29"/>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0"/>
    <s v="Tuntas"/>
    <s v="Informatika"/>
    <x v="3"/>
    <x v="7"/>
    <n v="70"/>
    <x v="1"/>
    <n v="11"/>
    <x v="0"/>
    <x v="3"/>
    <x v="2"/>
  </r>
  <r>
    <n v="573"/>
    <s v="242510001"/>
    <x v="0"/>
    <x v="4"/>
    <s v="Intan Jaya"/>
    <d v="2026-02-12T00:00:00"/>
    <s v="12"/>
    <x v="1"/>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8"/>
    <s v="Tuntas"/>
    <s v="Informatika"/>
    <x v="3"/>
    <x v="7"/>
    <n v="68"/>
    <x v="1"/>
    <n v="11"/>
    <x v="0"/>
    <x v="5"/>
    <x v="2"/>
  </r>
  <r>
    <n v="574"/>
    <s v="242510001"/>
    <x v="0"/>
    <x v="4"/>
    <s v="Intan Jaya"/>
    <d v="2026-02-12T00:00:00"/>
    <s v="12"/>
    <x v="1"/>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8"/>
    <s v="Tuntas"/>
    <s v="Informatika"/>
    <x v="3"/>
    <x v="7"/>
    <n v="68"/>
    <x v="1"/>
    <n v="11"/>
    <x v="0"/>
    <x v="5"/>
    <x v="2"/>
  </r>
  <r>
    <n v="575"/>
    <s v="242510001"/>
    <x v="0"/>
    <x v="4"/>
    <s v="Intan Jaya"/>
    <d v="2026-02-12T00:00:00"/>
    <s v="12"/>
    <x v="1"/>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2"/>
    <x v="5"/>
    <x v="2"/>
  </r>
  <r>
    <n v="576"/>
    <s v="242510007"/>
    <x v="0"/>
    <x v="5"/>
    <s v="Intan Jaya"/>
    <d v="2026-01-15T00:00:00"/>
    <s v="15"/>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1"/>
    <x v="3"/>
  </r>
  <r>
    <n v="577"/>
    <s v="242510007"/>
    <x v="0"/>
    <x v="5"/>
    <s v="Intan Jaya"/>
    <d v="2026-01-15T00:00:00"/>
    <s v="15"/>
    <x v="0"/>
    <s v="26"/>
    <x v="2"/>
    <x v="12"/>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1"/>
    <x v="3"/>
  </r>
  <r>
    <n v="578"/>
    <s v="242510007"/>
    <x v="0"/>
    <x v="5"/>
    <s v="Intan Jaya"/>
    <d v="2026-01-22T00:00:00"/>
    <s v="22"/>
    <x v="0"/>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3"/>
    <x v="2"/>
    <x v="3"/>
  </r>
  <r>
    <n v="579"/>
    <s v="242510007"/>
    <x v="0"/>
    <x v="5"/>
    <s v="Intan Jaya"/>
    <d v="2026-01-22T00:00:00"/>
    <s v="22"/>
    <x v="0"/>
    <s v="26"/>
    <x v="4"/>
    <x v="5"/>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2"/>
    <x v="3"/>
  </r>
  <r>
    <n v="580"/>
    <s v="242510007"/>
    <x v="0"/>
    <x v="5"/>
    <s v="Intan Jaya"/>
    <d v="2026-01-22T00:00:00"/>
    <s v="22"/>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2"/>
    <x v="3"/>
  </r>
  <r>
    <n v="581"/>
    <s v="242510007"/>
    <x v="0"/>
    <x v="5"/>
    <s v="Intan Jaya"/>
    <d v="2026-01-29T00:00:00"/>
    <s v="29"/>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3"/>
    <x v="3"/>
  </r>
  <r>
    <n v="582"/>
    <s v="242510007"/>
    <x v="0"/>
    <x v="5"/>
    <s v="Intan Jaya"/>
    <d v="2026-01-29T00:00:00"/>
    <s v="29"/>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3"/>
    <x v="3"/>
  </r>
  <r>
    <n v="583"/>
    <s v="242510007"/>
    <x v="0"/>
    <x v="5"/>
    <s v="Intan Jaya"/>
    <d v="2026-02-12T00:00:00"/>
    <s v="12"/>
    <x v="1"/>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5"/>
    <x v="3"/>
  </r>
  <r>
    <n v="584"/>
    <s v="242510007"/>
    <x v="0"/>
    <x v="5"/>
    <s v="Intan Jaya"/>
    <d v="2026-02-12T00:00:00"/>
    <s v="12"/>
    <x v="1"/>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58"/>
    <s v="Tidak tuntas"/>
    <s v="Informatika"/>
    <x v="3"/>
    <x v="7"/>
    <n v="58"/>
    <x v="3"/>
    <n v="11"/>
    <x v="0"/>
    <x v="5"/>
    <x v="3"/>
  </r>
  <r>
    <n v="585"/>
    <s v="242510007"/>
    <x v="0"/>
    <x v="5"/>
    <s v="Intan Jaya"/>
    <d v="2026-02-12T00:00:00"/>
    <s v="12"/>
    <x v="1"/>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3"/>
    <x v="5"/>
    <x v="3"/>
  </r>
  <r>
    <n v="586"/>
    <s v="242510008"/>
    <x v="0"/>
    <x v="6"/>
    <s v="Dogiyai"/>
    <d v="2026-01-15T00:00:00"/>
    <s v="15"/>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5"/>
    <s v="Tuntas"/>
    <s v="Informatika"/>
    <x v="3"/>
    <x v="7"/>
    <n v="75"/>
    <x v="1"/>
    <n v="11"/>
    <x v="0"/>
    <x v="1"/>
    <x v="4"/>
  </r>
  <r>
    <n v="587"/>
    <s v="242510008"/>
    <x v="0"/>
    <x v="6"/>
    <s v="Dogiyai"/>
    <d v="2026-01-15T00:00:00"/>
    <s v="15"/>
    <x v="0"/>
    <s v="26"/>
    <x v="2"/>
    <x v="12"/>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0"/>
    <s v="Tuntas"/>
    <s v="Informatika"/>
    <x v="3"/>
    <x v="7"/>
    <n v="70"/>
    <x v="1"/>
    <n v="11"/>
    <x v="0"/>
    <x v="1"/>
    <x v="4"/>
  </r>
  <r>
    <n v="588"/>
    <s v="242510008"/>
    <x v="0"/>
    <x v="6"/>
    <s v="Dogiyai"/>
    <d v="2026-01-22T00:00:00"/>
    <s v="22"/>
    <x v="0"/>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2"/>
    <x v="2"/>
    <x v="4"/>
  </r>
  <r>
    <n v="589"/>
    <s v="242510008"/>
    <x v="0"/>
    <x v="6"/>
    <s v="Dogiyai"/>
    <d v="2026-01-22T00:00:00"/>
    <s v="22"/>
    <x v="0"/>
    <s v="26"/>
    <x v="4"/>
    <x v="5"/>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0"/>
    <x v="2"/>
    <x v="4"/>
  </r>
  <r>
    <n v="590"/>
    <s v="242510008"/>
    <x v="0"/>
    <x v="6"/>
    <s v="Dogiyai"/>
    <d v="2026-01-22T00:00:00"/>
    <s v="22"/>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5"/>
    <s v="Tuntas"/>
    <s v="Informatika"/>
    <x v="3"/>
    <x v="7"/>
    <n v="75"/>
    <x v="1"/>
    <n v="11"/>
    <x v="0"/>
    <x v="2"/>
    <x v="4"/>
  </r>
  <r>
    <n v="591"/>
    <s v="242510008"/>
    <x v="0"/>
    <x v="6"/>
    <s v="Dogiyai"/>
    <d v="2026-01-29T00:00:00"/>
    <s v="29"/>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0"/>
    <s v="Tuntas"/>
    <s v="Informatika"/>
    <x v="3"/>
    <x v="7"/>
    <n v="70"/>
    <x v="1"/>
    <n v="11"/>
    <x v="0"/>
    <x v="3"/>
    <x v="4"/>
  </r>
  <r>
    <n v="592"/>
    <s v="242510008"/>
    <x v="0"/>
    <x v="6"/>
    <s v="Dogiyai"/>
    <d v="2026-01-29T00:00:00"/>
    <s v="29"/>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0"/>
    <s v="Tuntas"/>
    <s v="Informatika"/>
    <x v="3"/>
    <x v="7"/>
    <n v="70"/>
    <x v="1"/>
    <n v="11"/>
    <x v="0"/>
    <x v="3"/>
    <x v="4"/>
  </r>
  <r>
    <n v="593"/>
    <s v="242510008"/>
    <x v="0"/>
    <x v="6"/>
    <s v="Dogiyai"/>
    <d v="2026-02-12T00:00:00"/>
    <s v="12"/>
    <x v="1"/>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8"/>
    <s v="Tuntas"/>
    <s v="Informatika"/>
    <x v="3"/>
    <x v="7"/>
    <n v="68"/>
    <x v="1"/>
    <n v="11"/>
    <x v="0"/>
    <x v="5"/>
    <x v="4"/>
  </r>
  <r>
    <n v="594"/>
    <s v="242510008"/>
    <x v="0"/>
    <x v="6"/>
    <s v="Dogiyai"/>
    <d v="2026-02-12T00:00:00"/>
    <s v="12"/>
    <x v="1"/>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8"/>
    <s v="Tuntas"/>
    <s v="Informatika"/>
    <x v="3"/>
    <x v="7"/>
    <n v="68"/>
    <x v="1"/>
    <n v="11"/>
    <x v="0"/>
    <x v="5"/>
    <x v="4"/>
  </r>
  <r>
    <n v="595"/>
    <s v="242510008"/>
    <x v="0"/>
    <x v="6"/>
    <s v="Dogiyai"/>
    <d v="2026-02-12T00:00:00"/>
    <s v="12"/>
    <x v="1"/>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2"/>
    <x v="5"/>
    <x v="4"/>
  </r>
  <r>
    <n v="596"/>
    <s v="242510013"/>
    <x v="0"/>
    <x v="0"/>
    <s v="Intan Jaya"/>
    <d v="2026-01-15T00:00:00"/>
    <s v="15"/>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1"/>
    <x v="6"/>
  </r>
  <r>
    <n v="597"/>
    <s v="242510013"/>
    <x v="0"/>
    <x v="0"/>
    <s v="Intan Jaya"/>
    <d v="2026-01-15T00:00:00"/>
    <s v="15"/>
    <x v="0"/>
    <s v="26"/>
    <x v="2"/>
    <x v="12"/>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1"/>
    <x v="6"/>
  </r>
  <r>
    <n v="598"/>
    <s v="242510013"/>
    <x v="0"/>
    <x v="0"/>
    <s v="Intan Jaya"/>
    <d v="2026-01-22T00:00:00"/>
    <s v="22"/>
    <x v="0"/>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0"/>
    <s v="Tuntas"/>
    <s v="Informatika"/>
    <x v="3"/>
    <x v="7"/>
    <n v="70"/>
    <x v="1"/>
    <n v="11"/>
    <x v="1"/>
    <x v="2"/>
    <x v="6"/>
  </r>
  <r>
    <n v="599"/>
    <s v="242510013"/>
    <x v="0"/>
    <x v="0"/>
    <s v="Intan Jaya"/>
    <d v="2026-01-22T00:00:00"/>
    <s v="22"/>
    <x v="0"/>
    <s v="26"/>
    <x v="4"/>
    <x v="5"/>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0"/>
    <x v="2"/>
    <x v="6"/>
  </r>
  <r>
    <n v="600"/>
    <s v="242510013"/>
    <x v="0"/>
    <x v="0"/>
    <s v="Intan Jaya"/>
    <d v="2026-01-22T00:00:00"/>
    <s v="22"/>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2"/>
    <x v="6"/>
  </r>
  <r>
    <n v="601"/>
    <s v="242510013"/>
    <x v="0"/>
    <x v="0"/>
    <s v="Intan Jaya"/>
    <d v="2026-01-29T00:00:00"/>
    <s v="29"/>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0"/>
    <s v="Tidak tuntas"/>
    <s v="Informatika"/>
    <x v="3"/>
    <x v="0"/>
    <s v=""/>
    <x v="0"/>
    <s v=""/>
    <x v="0"/>
    <x v="0"/>
    <x v="0"/>
  </r>
  <r>
    <n v="602"/>
    <s v="242510013"/>
    <x v="0"/>
    <x v="0"/>
    <s v="Intan Jaya"/>
    <d v="2026-01-29T00:00:00"/>
    <s v="29"/>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0"/>
    <s v="Tidak tuntas"/>
    <s v="Informatika"/>
    <x v="3"/>
    <x v="0"/>
    <s v=""/>
    <x v="0"/>
    <s v=""/>
    <x v="0"/>
    <x v="0"/>
    <x v="0"/>
  </r>
  <r>
    <n v="603"/>
    <s v="242510013"/>
    <x v="0"/>
    <x v="0"/>
    <s v="Intan Jaya"/>
    <d v="2026-02-12T00:00:00"/>
    <s v="12"/>
    <x v="1"/>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0"/>
    <s v="Tidak tuntas"/>
    <s v="Informatika"/>
    <x v="3"/>
    <x v="0"/>
    <s v=""/>
    <x v="0"/>
    <s v=""/>
    <x v="0"/>
    <x v="0"/>
    <x v="0"/>
  </r>
  <r>
    <n v="604"/>
    <s v="242510013"/>
    <x v="0"/>
    <x v="0"/>
    <s v="Intan Jaya"/>
    <d v="2026-02-12T00:00:00"/>
    <s v="12"/>
    <x v="1"/>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0"/>
    <s v="Tidak tuntas"/>
    <s v="Informatika"/>
    <x v="3"/>
    <x v="0"/>
    <s v=""/>
    <x v="0"/>
    <s v=""/>
    <x v="0"/>
    <x v="0"/>
    <x v="0"/>
  </r>
  <r>
    <n v="605"/>
    <s v="242510013"/>
    <x v="0"/>
    <x v="0"/>
    <s v="Intan Jaya"/>
    <d v="2026-02-12T00:00:00"/>
    <s v="12"/>
    <x v="1"/>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0"/>
    <s v="Tidak tuntas"/>
    <s v="Informatika"/>
    <x v="3"/>
    <x v="0"/>
    <s v=""/>
    <x v="0"/>
    <s v=""/>
    <x v="0"/>
    <x v="0"/>
    <x v="0"/>
  </r>
  <r>
    <n v="606"/>
    <s v="242510014"/>
    <x v="0"/>
    <x v="7"/>
    <s v="Inta jaya"/>
    <d v="2026-01-15T00:00:00"/>
    <s v="15"/>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1"/>
    <x v="2"/>
  </r>
  <r>
    <n v="607"/>
    <s v="242510014"/>
    <x v="0"/>
    <x v="7"/>
    <s v="Inta jaya"/>
    <d v="2026-01-15T00:00:00"/>
    <s v="15"/>
    <x v="0"/>
    <s v="26"/>
    <x v="2"/>
    <x v="12"/>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1"/>
    <x v="2"/>
  </r>
  <r>
    <n v="608"/>
    <s v="242510014"/>
    <x v="0"/>
    <x v="7"/>
    <s v="Inta jaya"/>
    <d v="2026-01-22T00:00:00"/>
    <s v="22"/>
    <x v="0"/>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0"/>
    <s v="Tuntas"/>
    <s v="Informatika"/>
    <x v="3"/>
    <x v="7"/>
    <n v="70"/>
    <x v="1"/>
    <n v="11"/>
    <x v="1"/>
    <x v="2"/>
    <x v="2"/>
  </r>
  <r>
    <n v="609"/>
    <s v="242510014"/>
    <x v="0"/>
    <x v="7"/>
    <s v="Inta jaya"/>
    <d v="2026-01-22T00:00:00"/>
    <s v="22"/>
    <x v="0"/>
    <s v="26"/>
    <x v="4"/>
    <x v="5"/>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0"/>
    <x v="2"/>
    <x v="2"/>
  </r>
  <r>
    <n v="610"/>
    <s v="242510014"/>
    <x v="0"/>
    <x v="7"/>
    <s v="Inta jaya"/>
    <d v="2026-01-22T00:00:00"/>
    <s v="22"/>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2"/>
    <x v="2"/>
  </r>
  <r>
    <n v="611"/>
    <s v="242510014"/>
    <x v="0"/>
    <x v="7"/>
    <s v="Inta jaya"/>
    <d v="2026-01-29T00:00:00"/>
    <s v="29"/>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0"/>
    <x v="3"/>
    <x v="2"/>
  </r>
  <r>
    <n v="612"/>
    <s v="242510014"/>
    <x v="0"/>
    <x v="7"/>
    <s v="Inta jaya"/>
    <d v="2026-01-29T00:00:00"/>
    <s v="29"/>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0"/>
    <x v="3"/>
    <x v="2"/>
  </r>
  <r>
    <n v="613"/>
    <s v="242510014"/>
    <x v="0"/>
    <x v="7"/>
    <s v="Inta jaya"/>
    <d v="2026-02-12T00:00:00"/>
    <s v="12"/>
    <x v="1"/>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3"/>
    <s v="Tidak tuntas"/>
    <s v="Informatika"/>
    <x v="3"/>
    <x v="7"/>
    <n v="63"/>
    <x v="3"/>
    <n v="11"/>
    <x v="0"/>
    <x v="5"/>
    <x v="2"/>
  </r>
  <r>
    <n v="614"/>
    <s v="242510014"/>
    <x v="0"/>
    <x v="7"/>
    <s v="Inta jaya"/>
    <d v="2026-02-12T00:00:00"/>
    <s v="12"/>
    <x v="1"/>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5"/>
    <x v="2"/>
  </r>
  <r>
    <n v="615"/>
    <s v="242510014"/>
    <x v="0"/>
    <x v="7"/>
    <s v="Inta jaya"/>
    <d v="2026-02-12T00:00:00"/>
    <s v="12"/>
    <x v="1"/>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5"/>
    <s v="Tuntas"/>
    <s v="Informatika"/>
    <x v="3"/>
    <x v="7"/>
    <n v="75"/>
    <x v="1"/>
    <n v="11"/>
    <x v="1"/>
    <x v="5"/>
    <x v="2"/>
  </r>
  <r>
    <n v="616"/>
    <s v="242510011"/>
    <x v="0"/>
    <x v="1"/>
    <s v="Intan Jaya"/>
    <d v="2026-01-15T00:00:00"/>
    <s v="15"/>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5"/>
    <s v="Tuntas"/>
    <s v="Informatika"/>
    <x v="3"/>
    <x v="7"/>
    <n v="75"/>
    <x v="1"/>
    <n v="11"/>
    <x v="0"/>
    <x v="1"/>
    <x v="1"/>
  </r>
  <r>
    <n v="617"/>
    <s v="242510011"/>
    <x v="0"/>
    <x v="1"/>
    <s v="Intan Jaya"/>
    <d v="2026-01-15T00:00:00"/>
    <s v="15"/>
    <x v="0"/>
    <s v="26"/>
    <x v="2"/>
    <x v="12"/>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0"/>
    <s v="Tuntas"/>
    <s v="Informatika"/>
    <x v="3"/>
    <x v="7"/>
    <n v="70"/>
    <x v="1"/>
    <n v="11"/>
    <x v="0"/>
    <x v="1"/>
    <x v="1"/>
  </r>
  <r>
    <n v="618"/>
    <s v="242510011"/>
    <x v="0"/>
    <x v="1"/>
    <s v="Intan Jaya"/>
    <d v="2026-01-22T00:00:00"/>
    <s v="22"/>
    <x v="0"/>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2"/>
    <x v="2"/>
    <x v="1"/>
  </r>
  <r>
    <n v="619"/>
    <s v="242510011"/>
    <x v="0"/>
    <x v="1"/>
    <s v="Intan Jaya"/>
    <d v="2026-01-22T00:00:00"/>
    <s v="22"/>
    <x v="0"/>
    <s v="26"/>
    <x v="4"/>
    <x v="5"/>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0"/>
    <x v="2"/>
    <x v="1"/>
  </r>
  <r>
    <n v="620"/>
    <s v="242510011"/>
    <x v="0"/>
    <x v="1"/>
    <s v="Intan Jaya"/>
    <d v="2026-01-22T00:00:00"/>
    <s v="22"/>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5"/>
    <s v="Tuntas"/>
    <s v="Informatika"/>
    <x v="3"/>
    <x v="7"/>
    <n v="75"/>
    <x v="1"/>
    <n v="11"/>
    <x v="0"/>
    <x v="2"/>
    <x v="1"/>
  </r>
  <r>
    <n v="621"/>
    <s v="242510011"/>
    <x v="0"/>
    <x v="1"/>
    <s v="Intan Jaya"/>
    <d v="2026-01-29T00:00:00"/>
    <s v="29"/>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3"/>
    <x v="1"/>
  </r>
  <r>
    <n v="622"/>
    <s v="242510011"/>
    <x v="0"/>
    <x v="1"/>
    <s v="Intan Jaya"/>
    <d v="2026-01-29T00:00:00"/>
    <s v="29"/>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3"/>
    <x v="1"/>
  </r>
  <r>
    <n v="623"/>
    <s v="242510011"/>
    <x v="0"/>
    <x v="1"/>
    <s v="Intan Jaya"/>
    <d v="2026-02-12T00:00:00"/>
    <s v="12"/>
    <x v="1"/>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3"/>
    <s v="Tidak tuntas"/>
    <s v="Informatika"/>
    <x v="3"/>
    <x v="7"/>
    <n v="63"/>
    <x v="3"/>
    <n v="11"/>
    <x v="0"/>
    <x v="5"/>
    <x v="1"/>
  </r>
  <r>
    <n v="624"/>
    <s v="242510011"/>
    <x v="0"/>
    <x v="1"/>
    <s v="Intan Jaya"/>
    <d v="2026-02-12T00:00:00"/>
    <s v="12"/>
    <x v="1"/>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5"/>
    <x v="1"/>
  </r>
  <r>
    <n v="625"/>
    <s v="242510011"/>
    <x v="0"/>
    <x v="1"/>
    <s v="Intan Jaya"/>
    <d v="2026-02-12T00:00:00"/>
    <s v="12"/>
    <x v="1"/>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2"/>
    <x v="5"/>
    <x v="1"/>
  </r>
  <r>
    <n v="626"/>
    <s v="242510004"/>
    <x v="0"/>
    <x v="8"/>
    <s v="Inta jaya"/>
    <d v="2026-01-15T00:00:00"/>
    <s v="15"/>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1"/>
    <x v="4"/>
  </r>
  <r>
    <n v="627"/>
    <s v="242510004"/>
    <x v="0"/>
    <x v="8"/>
    <s v="Inta jaya"/>
    <d v="2026-01-15T00:00:00"/>
    <s v="15"/>
    <x v="0"/>
    <s v="26"/>
    <x v="2"/>
    <x v="12"/>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1"/>
    <x v="4"/>
  </r>
  <r>
    <n v="628"/>
    <s v="242510004"/>
    <x v="0"/>
    <x v="8"/>
    <s v="Inta jaya"/>
    <d v="2026-01-22T00:00:00"/>
    <s v="22"/>
    <x v="0"/>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2"/>
    <x v="2"/>
    <x v="4"/>
  </r>
  <r>
    <n v="629"/>
    <s v="242510004"/>
    <x v="0"/>
    <x v="8"/>
    <s v="Inta jaya"/>
    <d v="2026-01-22T00:00:00"/>
    <s v="22"/>
    <x v="0"/>
    <s v="26"/>
    <x v="4"/>
    <x v="5"/>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0"/>
    <x v="2"/>
    <x v="4"/>
  </r>
  <r>
    <n v="630"/>
    <s v="242510004"/>
    <x v="0"/>
    <x v="8"/>
    <s v="Inta jaya"/>
    <d v="2026-01-22T00:00:00"/>
    <s v="22"/>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2"/>
    <x v="4"/>
  </r>
  <r>
    <n v="631"/>
    <s v="242510004"/>
    <x v="0"/>
    <x v="8"/>
    <s v="Inta jaya"/>
    <d v="2026-01-29T00:00:00"/>
    <s v="29"/>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0"/>
    <x v="3"/>
    <x v="4"/>
  </r>
  <r>
    <n v="632"/>
    <s v="242510004"/>
    <x v="0"/>
    <x v="8"/>
    <s v="Inta jaya"/>
    <d v="2026-01-29T00:00:00"/>
    <s v="29"/>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0"/>
    <x v="3"/>
    <x v="4"/>
  </r>
  <r>
    <n v="633"/>
    <s v="242510004"/>
    <x v="0"/>
    <x v="8"/>
    <s v="Inta jaya"/>
    <d v="2026-02-12T00:00:00"/>
    <s v="12"/>
    <x v="1"/>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0"/>
    <x v="5"/>
    <x v="4"/>
  </r>
  <r>
    <n v="634"/>
    <s v="242510004"/>
    <x v="0"/>
    <x v="8"/>
    <s v="Inta jaya"/>
    <d v="2026-02-12T00:00:00"/>
    <s v="12"/>
    <x v="1"/>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0"/>
    <x v="5"/>
    <x v="4"/>
  </r>
  <r>
    <n v="635"/>
    <s v="242510004"/>
    <x v="0"/>
    <x v="8"/>
    <s v="Inta jaya"/>
    <d v="2026-02-12T00:00:00"/>
    <s v="12"/>
    <x v="1"/>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2"/>
    <x v="5"/>
    <x v="4"/>
  </r>
  <r>
    <n v="636"/>
    <s v="242510010"/>
    <x v="0"/>
    <x v="2"/>
    <s v="Intan Jaya"/>
    <d v="2026-01-15T00:00:00"/>
    <s v="15"/>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1"/>
    <x v="2"/>
  </r>
  <r>
    <n v="637"/>
    <s v="242510010"/>
    <x v="0"/>
    <x v="2"/>
    <s v="Intan Jaya"/>
    <d v="2026-01-15T00:00:00"/>
    <s v="15"/>
    <x v="0"/>
    <s v="26"/>
    <x v="2"/>
    <x v="12"/>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1"/>
    <x v="2"/>
  </r>
  <r>
    <n v="638"/>
    <s v="242510010"/>
    <x v="0"/>
    <x v="2"/>
    <s v="Intan Jaya"/>
    <d v="2026-01-22T00:00:00"/>
    <s v="22"/>
    <x v="0"/>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2"/>
    <x v="2"/>
    <x v="2"/>
  </r>
  <r>
    <n v="639"/>
    <s v="242510010"/>
    <x v="0"/>
    <x v="2"/>
    <s v="Intan Jaya"/>
    <d v="2026-01-22T00:00:00"/>
    <s v="22"/>
    <x v="0"/>
    <s v="26"/>
    <x v="4"/>
    <x v="5"/>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0"/>
    <x v="2"/>
    <x v="2"/>
  </r>
  <r>
    <n v="640"/>
    <s v="242510010"/>
    <x v="0"/>
    <x v="2"/>
    <s v="Intan Jaya"/>
    <d v="2026-01-22T00:00:00"/>
    <s v="22"/>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2"/>
    <x v="2"/>
  </r>
  <r>
    <n v="641"/>
    <s v="242510010"/>
    <x v="0"/>
    <x v="2"/>
    <s v="Intan Jaya"/>
    <d v="2026-01-29T00:00:00"/>
    <s v="29"/>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0"/>
    <x v="3"/>
    <x v="2"/>
  </r>
  <r>
    <n v="642"/>
    <s v="242510010"/>
    <x v="0"/>
    <x v="2"/>
    <s v="Intan Jaya"/>
    <d v="2026-01-29T00:00:00"/>
    <s v="29"/>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0"/>
    <x v="3"/>
    <x v="2"/>
  </r>
  <r>
    <n v="643"/>
    <s v="242510010"/>
    <x v="0"/>
    <x v="2"/>
    <s v="Intan Jaya"/>
    <d v="2026-02-12T00:00:00"/>
    <s v="12"/>
    <x v="1"/>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0"/>
    <x v="5"/>
    <x v="2"/>
  </r>
  <r>
    <n v="644"/>
    <s v="242510010"/>
    <x v="0"/>
    <x v="2"/>
    <s v="Intan Jaya"/>
    <d v="2026-02-12T00:00:00"/>
    <s v="12"/>
    <x v="1"/>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0"/>
    <x v="5"/>
    <x v="2"/>
  </r>
  <r>
    <n v="645"/>
    <s v="242510010"/>
    <x v="0"/>
    <x v="2"/>
    <s v="Intan Jaya"/>
    <d v="2026-02-12T00:00:00"/>
    <s v="12"/>
    <x v="1"/>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80"/>
    <s v="Tuntas"/>
    <s v="Informatika"/>
    <x v="3"/>
    <x v="7"/>
    <n v="80"/>
    <x v="2"/>
    <n v="11"/>
    <x v="2"/>
    <x v="5"/>
    <x v="2"/>
  </r>
  <r>
    <n v="646"/>
    <s v="242510002"/>
    <x v="0"/>
    <x v="3"/>
    <s v="Intan Jaya"/>
    <d v="2026-01-15T00:00:00"/>
    <s v="15"/>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1"/>
    <x v="1"/>
  </r>
  <r>
    <n v="647"/>
    <s v="242510002"/>
    <x v="0"/>
    <x v="3"/>
    <s v="Intan Jaya"/>
    <d v="2026-01-15T00:00:00"/>
    <s v="15"/>
    <x v="0"/>
    <s v="26"/>
    <x v="2"/>
    <x v="12"/>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1"/>
    <x v="1"/>
  </r>
  <r>
    <n v="648"/>
    <s v="242510002"/>
    <x v="0"/>
    <x v="3"/>
    <s v="Intan Jaya"/>
    <d v="2026-01-22T00:00:00"/>
    <s v="22"/>
    <x v="0"/>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0"/>
    <s v="Tuntas"/>
    <s v="Informatika"/>
    <x v="3"/>
    <x v="7"/>
    <n v="70"/>
    <x v="1"/>
    <n v="11"/>
    <x v="1"/>
    <x v="2"/>
    <x v="1"/>
  </r>
  <r>
    <n v="649"/>
    <s v="242510002"/>
    <x v="0"/>
    <x v="3"/>
    <s v="Intan Jaya"/>
    <d v="2026-01-22T00:00:00"/>
    <s v="22"/>
    <x v="0"/>
    <s v="26"/>
    <x v="4"/>
    <x v="5"/>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0"/>
    <x v="2"/>
    <x v="1"/>
  </r>
  <r>
    <n v="650"/>
    <s v="242510002"/>
    <x v="0"/>
    <x v="3"/>
    <s v="Intan Jaya"/>
    <d v="2026-01-22T00:00:00"/>
    <s v="22"/>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2"/>
    <x v="1"/>
  </r>
  <r>
    <n v="651"/>
    <s v="242510002"/>
    <x v="0"/>
    <x v="3"/>
    <s v="Intan Jaya"/>
    <d v="2026-01-29T00:00:00"/>
    <s v="29"/>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0"/>
    <s v="Tidak tuntas"/>
    <s v="Informatika"/>
    <x v="3"/>
    <x v="0"/>
    <s v=""/>
    <x v="0"/>
    <s v=""/>
    <x v="0"/>
    <x v="0"/>
    <x v="0"/>
  </r>
  <r>
    <n v="652"/>
    <s v="242510002"/>
    <x v="0"/>
    <x v="3"/>
    <s v="Intan Jaya"/>
    <d v="2026-01-29T00:00:00"/>
    <s v="29"/>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0"/>
    <s v="Tidak tuntas"/>
    <s v="Informatika"/>
    <x v="3"/>
    <x v="0"/>
    <s v=""/>
    <x v="0"/>
    <s v=""/>
    <x v="0"/>
    <x v="0"/>
    <x v="0"/>
  </r>
  <r>
    <n v="653"/>
    <s v="242510002"/>
    <x v="0"/>
    <x v="3"/>
    <s v="Intan Jaya"/>
    <d v="2026-02-12T00:00:00"/>
    <s v="12"/>
    <x v="1"/>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55"/>
    <s v="Tidak tuntas"/>
    <s v="Informatika"/>
    <x v="3"/>
    <x v="7"/>
    <n v="55"/>
    <x v="3"/>
    <n v="11"/>
    <x v="0"/>
    <x v="5"/>
    <x v="1"/>
  </r>
  <r>
    <n v="654"/>
    <s v="242510002"/>
    <x v="0"/>
    <x v="3"/>
    <s v="Intan Jaya"/>
    <d v="2026-02-12T00:00:00"/>
    <s v="12"/>
    <x v="1"/>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50"/>
    <s v="Tidak tuntas"/>
    <s v="Informatika"/>
    <x v="3"/>
    <x v="7"/>
    <n v="50"/>
    <x v="3"/>
    <n v="11"/>
    <x v="0"/>
    <x v="5"/>
    <x v="1"/>
  </r>
  <r>
    <n v="655"/>
    <s v="242510002"/>
    <x v="0"/>
    <x v="3"/>
    <s v="Intan Jaya"/>
    <d v="2026-02-12T00:00:00"/>
    <s v="12"/>
    <x v="1"/>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5"/>
    <s v="Tuntas"/>
    <s v="Informatika"/>
    <x v="3"/>
    <x v="7"/>
    <n v="75"/>
    <x v="1"/>
    <n v="11"/>
    <x v="1"/>
    <x v="5"/>
    <x v="1"/>
  </r>
  <r>
    <n v="656"/>
    <s v="242510006"/>
    <x v="0"/>
    <x v="9"/>
    <s v="Nabire"/>
    <d v="2026-01-15T00:00:00"/>
    <s v="15"/>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40"/>
    <s v="Tidak tuntas"/>
    <s v="Informatika"/>
    <x v="3"/>
    <x v="7"/>
    <n v="40"/>
    <x v="3"/>
    <n v="11"/>
    <x v="0"/>
    <x v="1"/>
    <x v="2"/>
  </r>
  <r>
    <n v="657"/>
    <s v="242510006"/>
    <x v="0"/>
    <x v="9"/>
    <s v="Nabire"/>
    <d v="2026-01-15T00:00:00"/>
    <s v="15"/>
    <x v="0"/>
    <s v="26"/>
    <x v="2"/>
    <x v="12"/>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40"/>
    <s v="Tidak tuntas"/>
    <s v="Informatika"/>
    <x v="3"/>
    <x v="7"/>
    <n v="40"/>
    <x v="3"/>
    <n v="11"/>
    <x v="0"/>
    <x v="1"/>
    <x v="2"/>
  </r>
  <r>
    <n v="658"/>
    <s v="242510006"/>
    <x v="0"/>
    <x v="9"/>
    <s v="Nabire"/>
    <d v="2026-01-22T00:00:00"/>
    <s v="22"/>
    <x v="0"/>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3"/>
    <x v="2"/>
    <x v="2"/>
  </r>
  <r>
    <n v="659"/>
    <s v="242510006"/>
    <x v="0"/>
    <x v="9"/>
    <s v="Nabire"/>
    <d v="2026-01-22T00:00:00"/>
    <s v="22"/>
    <x v="0"/>
    <s v="26"/>
    <x v="4"/>
    <x v="5"/>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50"/>
    <s v="Tidak tuntas"/>
    <s v="Informatika"/>
    <x v="3"/>
    <x v="7"/>
    <n v="50"/>
    <x v="3"/>
    <n v="11"/>
    <x v="0"/>
    <x v="2"/>
    <x v="2"/>
  </r>
  <r>
    <n v="660"/>
    <s v="242510006"/>
    <x v="0"/>
    <x v="9"/>
    <s v="Nabire"/>
    <d v="2026-01-22T00:00:00"/>
    <s v="22"/>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40"/>
    <s v="Tidak tuntas"/>
    <s v="Informatika"/>
    <x v="3"/>
    <x v="7"/>
    <n v="40"/>
    <x v="3"/>
    <n v="11"/>
    <x v="0"/>
    <x v="2"/>
    <x v="2"/>
  </r>
  <r>
    <n v="661"/>
    <s v="242510006"/>
    <x v="0"/>
    <x v="9"/>
    <s v="Nabire"/>
    <d v="2026-01-29T00:00:00"/>
    <s v="29"/>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40"/>
    <s v="Tidak tuntas"/>
    <s v="Informatika"/>
    <x v="3"/>
    <x v="7"/>
    <n v="40"/>
    <x v="3"/>
    <n v="11"/>
    <x v="0"/>
    <x v="3"/>
    <x v="2"/>
  </r>
  <r>
    <n v="662"/>
    <s v="242510006"/>
    <x v="0"/>
    <x v="9"/>
    <s v="Nabire"/>
    <d v="2026-01-29T00:00:00"/>
    <s v="29"/>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40"/>
    <s v="Tidak tuntas"/>
    <s v="Informatika"/>
    <x v="3"/>
    <x v="7"/>
    <n v="40"/>
    <x v="3"/>
    <n v="11"/>
    <x v="0"/>
    <x v="3"/>
    <x v="2"/>
  </r>
  <r>
    <n v="663"/>
    <s v="242510006"/>
    <x v="0"/>
    <x v="9"/>
    <s v="Nabire"/>
    <d v="2026-02-12T00:00:00"/>
    <s v="12"/>
    <x v="1"/>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40"/>
    <s v="Tidak tuntas"/>
    <s v="Informatika"/>
    <x v="3"/>
    <x v="7"/>
    <n v="40"/>
    <x v="3"/>
    <n v="11"/>
    <x v="0"/>
    <x v="5"/>
    <x v="2"/>
  </r>
  <r>
    <n v="664"/>
    <s v="242510006"/>
    <x v="0"/>
    <x v="9"/>
    <s v="Nabire"/>
    <d v="2026-02-12T00:00:00"/>
    <s v="12"/>
    <x v="1"/>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40"/>
    <s v="Tidak tuntas"/>
    <s v="Informatika"/>
    <x v="3"/>
    <x v="7"/>
    <n v="40"/>
    <x v="3"/>
    <n v="11"/>
    <x v="0"/>
    <x v="5"/>
    <x v="2"/>
  </r>
  <r>
    <n v="665"/>
    <s v="242510006"/>
    <x v="0"/>
    <x v="9"/>
    <s v="Nabire"/>
    <d v="2026-02-12T00:00:00"/>
    <s v="12"/>
    <x v="1"/>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3"/>
    <x v="5"/>
    <x v="2"/>
  </r>
  <r>
    <n v="666"/>
    <s v="242510009"/>
    <x v="0"/>
    <x v="10"/>
    <s v="Nabire"/>
    <d v="2026-01-15T00:00:00"/>
    <s v="15"/>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0"/>
    <s v="Tidak tuntas"/>
    <s v="Informatika"/>
    <x v="3"/>
    <x v="0"/>
    <s v=""/>
    <x v="0"/>
    <s v=""/>
    <x v="0"/>
    <x v="0"/>
    <x v="0"/>
  </r>
  <r>
    <n v="667"/>
    <s v="242510009"/>
    <x v="0"/>
    <x v="10"/>
    <s v="Nabire"/>
    <d v="2026-01-15T00:00:00"/>
    <s v="15"/>
    <x v="0"/>
    <s v="26"/>
    <x v="2"/>
    <x v="12"/>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0"/>
    <s v="Tidak tuntas"/>
    <s v="Informatika"/>
    <x v="3"/>
    <x v="0"/>
    <s v=""/>
    <x v="0"/>
    <s v=""/>
    <x v="0"/>
    <x v="0"/>
    <x v="0"/>
  </r>
  <r>
    <n v="668"/>
    <s v="242510009"/>
    <x v="0"/>
    <x v="10"/>
    <s v="Nabire"/>
    <d v="2026-01-22T00:00:00"/>
    <s v="22"/>
    <x v="0"/>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0"/>
    <s v="Tidak tuntas"/>
    <s v="Informatika"/>
    <x v="3"/>
    <x v="0"/>
    <s v=""/>
    <x v="0"/>
    <s v=""/>
    <x v="0"/>
    <x v="0"/>
    <x v="0"/>
  </r>
  <r>
    <n v="669"/>
    <s v="242510009"/>
    <x v="0"/>
    <x v="10"/>
    <s v="Nabire"/>
    <d v="2026-01-22T00:00:00"/>
    <s v="22"/>
    <x v="0"/>
    <s v="26"/>
    <x v="4"/>
    <x v="5"/>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0"/>
    <s v="Tidak tuntas"/>
    <s v="Informatika"/>
    <x v="3"/>
    <x v="0"/>
    <s v=""/>
    <x v="0"/>
    <s v=""/>
    <x v="0"/>
    <x v="0"/>
    <x v="0"/>
  </r>
  <r>
    <n v="670"/>
    <s v="242510009"/>
    <x v="0"/>
    <x v="10"/>
    <s v="Nabire"/>
    <d v="2026-01-22T00:00:00"/>
    <s v="22"/>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0"/>
    <s v="Tidak tuntas"/>
    <s v="Informatika"/>
    <x v="3"/>
    <x v="0"/>
    <s v=""/>
    <x v="0"/>
    <s v=""/>
    <x v="0"/>
    <x v="0"/>
    <x v="0"/>
  </r>
  <r>
    <n v="671"/>
    <s v="242510009"/>
    <x v="0"/>
    <x v="10"/>
    <s v="Nabire"/>
    <d v="2026-01-29T00:00:00"/>
    <s v="29"/>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40"/>
    <s v="Tidak tuntas"/>
    <s v="Informatika"/>
    <x v="3"/>
    <x v="7"/>
    <n v="40"/>
    <x v="3"/>
    <n v="11"/>
    <x v="0"/>
    <x v="3"/>
    <x v="5"/>
  </r>
  <r>
    <n v="672"/>
    <s v="242510009"/>
    <x v="0"/>
    <x v="10"/>
    <s v="Nabire"/>
    <d v="2026-01-29T00:00:00"/>
    <s v="29"/>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40"/>
    <s v="Tidak tuntas"/>
    <s v="Informatika"/>
    <x v="3"/>
    <x v="7"/>
    <n v="40"/>
    <x v="3"/>
    <n v="11"/>
    <x v="0"/>
    <x v="3"/>
    <x v="5"/>
  </r>
  <r>
    <n v="673"/>
    <s v="242510009"/>
    <x v="0"/>
    <x v="10"/>
    <s v="Nabire"/>
    <d v="2026-02-12T00:00:00"/>
    <s v="12"/>
    <x v="1"/>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40"/>
    <s v="Tidak tuntas"/>
    <s v="Informatika"/>
    <x v="3"/>
    <x v="7"/>
    <n v="40"/>
    <x v="3"/>
    <n v="11"/>
    <x v="0"/>
    <x v="5"/>
    <x v="5"/>
  </r>
  <r>
    <n v="674"/>
    <s v="242510009"/>
    <x v="0"/>
    <x v="10"/>
    <s v="Nabire"/>
    <d v="2026-02-12T00:00:00"/>
    <s v="12"/>
    <x v="1"/>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40"/>
    <s v="Tidak tuntas"/>
    <s v="Informatika"/>
    <x v="3"/>
    <x v="7"/>
    <n v="40"/>
    <x v="3"/>
    <n v="11"/>
    <x v="0"/>
    <x v="5"/>
    <x v="5"/>
  </r>
  <r>
    <n v="675"/>
    <s v="242510009"/>
    <x v="0"/>
    <x v="10"/>
    <s v="Nabire"/>
    <d v="2026-02-12T00:00:00"/>
    <s v="12"/>
    <x v="1"/>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3"/>
    <x v="5"/>
    <x v="5"/>
  </r>
  <r>
    <n v="676"/>
    <s v="242510012"/>
    <x v="0"/>
    <x v="11"/>
    <s v="Intan Jaya"/>
    <d v="2026-01-15T00:00:00"/>
    <s v="15"/>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1"/>
    <x v="2"/>
  </r>
  <r>
    <n v="677"/>
    <s v="242510012"/>
    <x v="0"/>
    <x v="11"/>
    <s v="Intan Jaya"/>
    <d v="2026-01-15T00:00:00"/>
    <s v="15"/>
    <x v="0"/>
    <s v="26"/>
    <x v="2"/>
    <x v="12"/>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1"/>
    <x v="2"/>
  </r>
  <r>
    <n v="678"/>
    <s v="242510012"/>
    <x v="0"/>
    <x v="11"/>
    <s v="Intan Jaya"/>
    <d v="2026-01-22T00:00:00"/>
    <s v="22"/>
    <x v="0"/>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3"/>
    <x v="2"/>
    <x v="2"/>
  </r>
  <r>
    <n v="679"/>
    <s v="242510012"/>
    <x v="0"/>
    <x v="11"/>
    <s v="Intan Jaya"/>
    <d v="2026-01-22T00:00:00"/>
    <s v="22"/>
    <x v="0"/>
    <s v="26"/>
    <x v="4"/>
    <x v="5"/>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5"/>
    <s v="Tuntas"/>
    <s v="Informatika"/>
    <x v="3"/>
    <x v="7"/>
    <n v="65"/>
    <x v="1"/>
    <n v="11"/>
    <x v="0"/>
    <x v="2"/>
    <x v="2"/>
  </r>
  <r>
    <n v="680"/>
    <s v="242510012"/>
    <x v="0"/>
    <x v="11"/>
    <s v="Intan Jaya"/>
    <d v="2026-01-22T00:00:00"/>
    <s v="22"/>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60"/>
    <s v="Tidak tuntas"/>
    <s v="Informatika"/>
    <x v="3"/>
    <x v="7"/>
    <n v="60"/>
    <x v="3"/>
    <n v="11"/>
    <x v="0"/>
    <x v="2"/>
    <x v="2"/>
  </r>
  <r>
    <n v="681"/>
    <s v="242510012"/>
    <x v="0"/>
    <x v="11"/>
    <s v="Intan Jaya"/>
    <d v="2026-01-29T00:00:00"/>
    <s v="29"/>
    <x v="0"/>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0"/>
    <s v="Tidak tuntas"/>
    <s v="Informatika"/>
    <x v="3"/>
    <x v="0"/>
    <s v=""/>
    <x v="0"/>
    <s v=""/>
    <x v="0"/>
    <x v="0"/>
    <x v="0"/>
  </r>
  <r>
    <n v="682"/>
    <s v="242510012"/>
    <x v="0"/>
    <x v="11"/>
    <s v="Intan Jaya"/>
    <d v="2026-01-29T00:00:00"/>
    <s v="29"/>
    <x v="0"/>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0"/>
    <s v="Tidak tuntas"/>
    <s v="Informatika"/>
    <x v="3"/>
    <x v="0"/>
    <s v=""/>
    <x v="0"/>
    <s v=""/>
    <x v="0"/>
    <x v="0"/>
    <x v="0"/>
  </r>
  <r>
    <n v="683"/>
    <s v="242510012"/>
    <x v="0"/>
    <x v="11"/>
    <s v="Intan Jaya"/>
    <d v="2026-02-12T00:00:00"/>
    <s v="12"/>
    <x v="1"/>
    <s v="26"/>
    <x v="1"/>
    <x v="7"/>
    <x v="2"/>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55"/>
    <s v="Tidak tuntas"/>
    <s v="Informatika"/>
    <x v="3"/>
    <x v="7"/>
    <n v="55"/>
    <x v="3"/>
    <n v="11"/>
    <x v="0"/>
    <x v="5"/>
    <x v="2"/>
  </r>
  <r>
    <n v="684"/>
    <s v="242510012"/>
    <x v="0"/>
    <x v="11"/>
    <s v="Intan Jaya"/>
    <d v="2026-02-12T00:00:00"/>
    <s v="12"/>
    <x v="1"/>
    <s v="26"/>
    <x v="0"/>
    <x v="11"/>
    <x v="13"/>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50"/>
    <s v="Tidak tuntas"/>
    <s v="Informatika"/>
    <x v="3"/>
    <x v="7"/>
    <n v="50"/>
    <x v="3"/>
    <n v="11"/>
    <x v="0"/>
    <x v="5"/>
    <x v="2"/>
  </r>
  <r>
    <n v="685"/>
    <s v="242510012"/>
    <x v="0"/>
    <x v="11"/>
    <s v="Intan Jaya"/>
    <d v="2026-02-12T00:00:00"/>
    <s v="12"/>
    <x v="1"/>
    <s v="26"/>
    <x v="3"/>
    <x v="8"/>
    <x v="14"/>
    <s v="Real"/>
    <s v="Entrepreneur"/>
    <s v="Product development"/>
    <x v="0"/>
    <x v="0"/>
    <x v="0"/>
    <s v="F11.01.01"/>
    <n v="1"/>
    <s v="merancang dan mengoperasikan sistem inventori dan analisis usaha berbasis Microsoft Excel secara otomatis dan terintegrasi untuk membantu pengelolaan data usaha sederhana hingga menengah"/>
    <s v="01.01"/>
    <x v="12"/>
    <s v="K11"/>
    <s v="F"/>
    <n v="65"/>
    <n v="75"/>
    <s v="Tuntas"/>
    <s v="Informatika"/>
    <x v="3"/>
    <x v="7"/>
    <n v="75"/>
    <x v="1"/>
    <n v="11"/>
    <x v="1"/>
    <x v="5"/>
    <x v="2"/>
  </r>
  <r>
    <n v="686"/>
    <s v="242510001"/>
    <x v="0"/>
    <x v="4"/>
    <s v="Intan Jaya"/>
    <d v="2026-01-06T00:00:00"/>
    <s v="06"/>
    <x v="0"/>
    <s v="26"/>
    <x v="1"/>
    <x v="9"/>
    <x v="7"/>
    <s v="Real"/>
    <s v="Entrepreneur"/>
    <s v="Product development"/>
    <x v="0"/>
    <x v="0"/>
    <x v="0"/>
    <s v="F11.01.01"/>
    <n v="1"/>
    <s v="menerapkan konsep massa molekul relatif, persamaan reaksi, hukum-hukum dasar kimia, dan konsep mol untuk menyelesaikan perhitungan kimia"/>
    <s v="01.01"/>
    <x v="13"/>
    <s v="K11"/>
    <s v="F"/>
    <n v="65"/>
    <n v="100"/>
    <s v="Tuntas"/>
    <s v="Kimia"/>
    <x v="4"/>
    <x v="8"/>
    <n v="100"/>
    <x v="4"/>
    <n v="11"/>
    <x v="0"/>
    <x v="7"/>
    <x v="2"/>
  </r>
  <r>
    <n v="687"/>
    <s v="242510001"/>
    <x v="0"/>
    <x v="4"/>
    <s v="Intan Jaya"/>
    <d v="2026-01-23T00:00:00"/>
    <s v="23"/>
    <x v="0"/>
    <s v="26"/>
    <x v="2"/>
    <x v="3"/>
    <x v="2"/>
    <s v="Real"/>
    <s v="Entrepreneur"/>
    <s v="Product development"/>
    <x v="0"/>
    <x v="0"/>
    <x v="0"/>
    <s v="F11.01.01"/>
    <n v="1"/>
    <s v="menerapkan konsep massa molekul relatif, persamaan reaksi, hukum-hukum dasar kimia, dan konsep mol untuk menyelesaikan perhitungan kimia"/>
    <s v="01.01"/>
    <x v="13"/>
    <s v="K11"/>
    <s v="F"/>
    <n v="65"/>
    <n v="70"/>
    <s v="Tuntas"/>
    <s v="Kimia"/>
    <x v="4"/>
    <x v="8"/>
    <n v="70"/>
    <x v="1"/>
    <n v="11"/>
    <x v="0"/>
    <x v="2"/>
    <x v="2"/>
  </r>
  <r>
    <n v="688"/>
    <s v="242510001"/>
    <x v="0"/>
    <x v="4"/>
    <s v="Intan Jaya"/>
    <d v="2026-02-10T00:00:00"/>
    <s v="10"/>
    <x v="1"/>
    <s v="26"/>
    <x v="0"/>
    <x v="0"/>
    <x v="2"/>
    <s v="Real"/>
    <s v="Entrepreneur"/>
    <s v="Product development"/>
    <x v="0"/>
    <x v="0"/>
    <x v="0"/>
    <s v="F11.01.01"/>
    <n v="1"/>
    <s v="menerapkan konsep massa molekul relatif, persamaan reaksi, hukum-hukum dasar kimia, dan konsep mol untuk menyelesaikan perhitungan kimia"/>
    <s v="01.01"/>
    <x v="13"/>
    <s v="K11"/>
    <s v="F"/>
    <n v="65"/>
    <n v="67"/>
    <s v="Tuntas"/>
    <s v="Kimia"/>
    <x v="4"/>
    <x v="8"/>
    <n v="67"/>
    <x v="1"/>
    <n v="11"/>
    <x v="0"/>
    <x v="5"/>
    <x v="2"/>
  </r>
  <r>
    <n v="689"/>
    <s v="242510001"/>
    <x v="0"/>
    <x v="4"/>
    <s v="Intan Jaya"/>
    <d v="2026-02-17T00:00:00"/>
    <s v="17"/>
    <x v="1"/>
    <s v="26"/>
    <x v="0"/>
    <x v="0"/>
    <x v="2"/>
    <s v="Real"/>
    <s v="Entrepreneur"/>
    <s v="Product development"/>
    <x v="0"/>
    <x v="0"/>
    <x v="0"/>
    <s v="F11.01.01"/>
    <n v="1"/>
    <s v="menerapkan konsep massa molekul relatif, persamaan reaksi, hukum-hukum dasar kimia, dan konsep mol untuk menyelesaikan perhitungan kimia"/>
    <s v="01.01"/>
    <x v="13"/>
    <s v="K11"/>
    <s v="F"/>
    <n v="65"/>
    <n v="90"/>
    <s v="Tuntas"/>
    <s v="Kimia"/>
    <x v="4"/>
    <x v="8"/>
    <n v="90"/>
    <x v="2"/>
    <n v="11"/>
    <x v="0"/>
    <x v="6"/>
    <x v="2"/>
  </r>
  <r>
    <n v="690"/>
    <s v="242510007"/>
    <x v="0"/>
    <x v="5"/>
    <s v="Intan Jaya"/>
    <d v="2026-01-06T00:00:00"/>
    <s v="06"/>
    <x v="0"/>
    <s v="26"/>
    <x v="1"/>
    <x v="9"/>
    <x v="7"/>
    <s v="Real"/>
    <s v="Entrepreneur"/>
    <s v="Product development"/>
    <x v="0"/>
    <x v="0"/>
    <x v="0"/>
    <s v="F11.01.01"/>
    <n v="1"/>
    <s v="menerapkan konsep massa molekul relatif, persamaan reaksi, hukum-hukum dasar kimia, dan konsep mol untuk menyelesaikan perhitungan kimia"/>
    <s v="01.01"/>
    <x v="13"/>
    <s v="K11"/>
    <s v="F"/>
    <n v="65"/>
    <n v="65"/>
    <s v="Tuntas"/>
    <s v="Kimia"/>
    <x v="4"/>
    <x v="8"/>
    <n v="65"/>
    <x v="1"/>
    <n v="11"/>
    <x v="0"/>
    <x v="7"/>
    <x v="3"/>
  </r>
  <r>
    <n v="691"/>
    <s v="242510007"/>
    <x v="0"/>
    <x v="5"/>
    <s v="Intan Jaya"/>
    <d v="2026-01-23T00:00:00"/>
    <s v="23"/>
    <x v="0"/>
    <s v="26"/>
    <x v="2"/>
    <x v="3"/>
    <x v="2"/>
    <s v="Real"/>
    <s v="Entrepreneur"/>
    <s v="Product development"/>
    <x v="0"/>
    <x v="0"/>
    <x v="0"/>
    <s v="F11.01.01"/>
    <n v="1"/>
    <s v="menerapkan konsep massa molekul relatif, persamaan reaksi, hukum-hukum dasar kimia, dan konsep mol untuk menyelesaikan perhitungan kimia"/>
    <s v="01.01"/>
    <x v="13"/>
    <s v="K11"/>
    <s v="F"/>
    <n v="65"/>
    <n v="65"/>
    <s v="Tuntas"/>
    <s v="Kimia"/>
    <x v="4"/>
    <x v="8"/>
    <n v="65"/>
    <x v="1"/>
    <n v="11"/>
    <x v="0"/>
    <x v="2"/>
    <x v="3"/>
  </r>
  <r>
    <n v="692"/>
    <s v="242510007"/>
    <x v="0"/>
    <x v="5"/>
    <s v="Intan Jaya"/>
    <d v="2026-02-10T00:00:00"/>
    <s v="10"/>
    <x v="1"/>
    <s v="26"/>
    <x v="0"/>
    <x v="0"/>
    <x v="2"/>
    <s v="Real"/>
    <s v="Entrepreneur"/>
    <s v="Product development"/>
    <x v="0"/>
    <x v="0"/>
    <x v="0"/>
    <s v="F11.01.01"/>
    <n v="1"/>
    <s v="menerapkan konsep massa molekul relatif, persamaan reaksi, hukum-hukum dasar kimia, dan konsep mol untuk menyelesaikan perhitungan kimia"/>
    <s v="01.01"/>
    <x v="13"/>
    <s v="K11"/>
    <s v="F"/>
    <n v="65"/>
    <n v="67"/>
    <s v="Tuntas"/>
    <s v="Kimia"/>
    <x v="4"/>
    <x v="8"/>
    <n v="67"/>
    <x v="1"/>
    <n v="11"/>
    <x v="0"/>
    <x v="5"/>
    <x v="3"/>
  </r>
  <r>
    <n v="693"/>
    <s v="242510007"/>
    <x v="0"/>
    <x v="5"/>
    <s v="Intan Jaya"/>
    <d v="2026-02-17T00:00:00"/>
    <s v="17"/>
    <x v="1"/>
    <s v="26"/>
    <x v="0"/>
    <x v="0"/>
    <x v="2"/>
    <s v="Real"/>
    <s v="Entrepreneur"/>
    <s v="Product development"/>
    <x v="0"/>
    <x v="0"/>
    <x v="0"/>
    <s v="F11.01.01"/>
    <n v="1"/>
    <s v="menerapkan konsep massa molekul relatif, persamaan reaksi, hukum-hukum dasar kimia, dan konsep mol untuk menyelesaikan perhitungan kimia"/>
    <s v="01.01"/>
    <x v="13"/>
    <s v="K11"/>
    <s v="F"/>
    <n v="65"/>
    <n v="65"/>
    <s v="Tuntas"/>
    <s v="Kimia"/>
    <x v="4"/>
    <x v="8"/>
    <n v="65"/>
    <x v="1"/>
    <n v="11"/>
    <x v="0"/>
    <x v="6"/>
    <x v="3"/>
  </r>
  <r>
    <n v="694"/>
    <s v="242510008"/>
    <x v="0"/>
    <x v="6"/>
    <s v="Dogiyai"/>
    <d v="2026-01-06T00:00:00"/>
    <s v="06"/>
    <x v="0"/>
    <s v="26"/>
    <x v="1"/>
    <x v="9"/>
    <x v="7"/>
    <s v="Real"/>
    <s v="Entrepreneur"/>
    <s v="Product development"/>
    <x v="0"/>
    <x v="0"/>
    <x v="0"/>
    <s v="F11.01.01"/>
    <n v="1"/>
    <s v="menerapkan konsep massa molekul relatif, persamaan reaksi, hukum-hukum dasar kimia, dan konsep mol untuk menyelesaikan perhitungan kimia"/>
    <s v="01.01"/>
    <x v="13"/>
    <s v="K11"/>
    <s v="F"/>
    <n v="65"/>
    <n v="100"/>
    <s v="Tuntas"/>
    <s v="Kimia"/>
    <x v="4"/>
    <x v="8"/>
    <n v="100"/>
    <x v="4"/>
    <n v="11"/>
    <x v="0"/>
    <x v="7"/>
    <x v="4"/>
  </r>
  <r>
    <n v="695"/>
    <s v="242510008"/>
    <x v="0"/>
    <x v="6"/>
    <s v="Dogiyai"/>
    <d v="2026-01-23T00:00:00"/>
    <s v="23"/>
    <x v="0"/>
    <s v="26"/>
    <x v="2"/>
    <x v="3"/>
    <x v="2"/>
    <s v="Real"/>
    <s v="Entrepreneur"/>
    <s v="Product development"/>
    <x v="0"/>
    <x v="0"/>
    <x v="0"/>
    <s v="F11.01.01"/>
    <n v="1"/>
    <s v="menerapkan konsep massa molekul relatif, persamaan reaksi, hukum-hukum dasar kimia, dan konsep mol untuk menyelesaikan perhitungan kimia"/>
    <s v="01.01"/>
    <x v="13"/>
    <s v="K11"/>
    <s v="F"/>
    <n v="65"/>
    <n v="70"/>
    <s v="Tuntas"/>
    <s v="Kimia"/>
    <x v="4"/>
    <x v="8"/>
    <n v="70"/>
    <x v="1"/>
    <n v="11"/>
    <x v="0"/>
    <x v="2"/>
    <x v="4"/>
  </r>
  <r>
    <n v="696"/>
    <s v="242510008"/>
    <x v="0"/>
    <x v="6"/>
    <s v="Dogiyai"/>
    <d v="2026-02-10T00:00:00"/>
    <s v="10"/>
    <x v="1"/>
    <s v="26"/>
    <x v="0"/>
    <x v="0"/>
    <x v="2"/>
    <s v="Real"/>
    <s v="Entrepreneur"/>
    <s v="Product development"/>
    <x v="0"/>
    <x v="0"/>
    <x v="0"/>
    <s v="F11.01.01"/>
    <n v="1"/>
    <s v="menerapkan konsep massa molekul relatif, persamaan reaksi, hukum-hukum dasar kimia, dan konsep mol untuk menyelesaikan perhitungan kimia"/>
    <s v="01.01"/>
    <x v="13"/>
    <s v="K11"/>
    <s v="F"/>
    <n v="65"/>
    <n v="80"/>
    <s v="Tuntas"/>
    <s v="Kimia"/>
    <x v="4"/>
    <x v="8"/>
    <n v="80"/>
    <x v="2"/>
    <n v="11"/>
    <x v="0"/>
    <x v="5"/>
    <x v="4"/>
  </r>
  <r>
    <n v="697"/>
    <s v="242510008"/>
    <x v="0"/>
    <x v="6"/>
    <s v="Dogiyai"/>
    <d v="2026-02-17T00:00:00"/>
    <s v="17"/>
    <x v="1"/>
    <s v="26"/>
    <x v="0"/>
    <x v="0"/>
    <x v="2"/>
    <s v="Real"/>
    <s v="Entrepreneur"/>
    <s v="Product development"/>
    <x v="0"/>
    <x v="0"/>
    <x v="0"/>
    <s v="F11.01.01"/>
    <n v="1"/>
    <s v="menerapkan konsep massa molekul relatif, persamaan reaksi, hukum-hukum dasar kimia, dan konsep mol untuk menyelesaikan perhitungan kimia"/>
    <s v="01.01"/>
    <x v="13"/>
    <s v="K11"/>
    <s v="F"/>
    <n v="65"/>
    <n v="95"/>
    <s v="Tuntas"/>
    <s v="Kimia"/>
    <x v="4"/>
    <x v="8"/>
    <n v="95"/>
    <x v="4"/>
    <n v="11"/>
    <x v="0"/>
    <x v="6"/>
    <x v="4"/>
  </r>
  <r>
    <n v="698"/>
    <s v="242510013"/>
    <x v="0"/>
    <x v="0"/>
    <s v="Intan Jaya"/>
    <d v="2026-01-06T00:00:00"/>
    <s v="06"/>
    <x v="0"/>
    <s v="26"/>
    <x v="1"/>
    <x v="9"/>
    <x v="7"/>
    <s v="Real"/>
    <s v="Entrepreneur"/>
    <s v="Product development"/>
    <x v="0"/>
    <x v="0"/>
    <x v="0"/>
    <s v="F11.01.01"/>
    <n v="1"/>
    <s v="menerapkan konsep massa molekul relatif, persamaan reaksi, hukum-hukum dasar kimia, dan konsep mol untuk menyelesaikan perhitungan kimia"/>
    <s v="01.01"/>
    <x v="13"/>
    <s v="K11"/>
    <s v="F"/>
    <n v="65"/>
    <n v="65"/>
    <s v="Tuntas"/>
    <s v="Kimia"/>
    <x v="4"/>
    <x v="8"/>
    <n v="65"/>
    <x v="1"/>
    <n v="11"/>
    <x v="0"/>
    <x v="7"/>
    <x v="6"/>
  </r>
  <r>
    <n v="699"/>
    <s v="242510013"/>
    <x v="0"/>
    <x v="0"/>
    <s v="Intan Jaya"/>
    <d v="2026-01-23T00:00:00"/>
    <s v="23"/>
    <x v="0"/>
    <s v="26"/>
    <x v="2"/>
    <x v="3"/>
    <x v="2"/>
    <s v="Real"/>
    <s v="Entrepreneur"/>
    <s v="Product development"/>
    <x v="0"/>
    <x v="0"/>
    <x v="0"/>
    <s v="F11.01.01"/>
    <n v="1"/>
    <s v="menerapkan konsep massa molekul relatif, persamaan reaksi, hukum-hukum dasar kimia, dan konsep mol untuk menyelesaikan perhitungan kimia"/>
    <s v="01.01"/>
    <x v="13"/>
    <s v="K11"/>
    <s v="F"/>
    <n v="65"/>
    <n v="70"/>
    <s v="Tuntas"/>
    <s v="Kimia"/>
    <x v="4"/>
    <x v="8"/>
    <n v="70"/>
    <x v="1"/>
    <n v="11"/>
    <x v="0"/>
    <x v="2"/>
    <x v="6"/>
  </r>
  <r>
    <n v="700"/>
    <s v="242510013"/>
    <x v="0"/>
    <x v="0"/>
    <s v="Intan Jaya"/>
    <d v="2026-02-10T00:00:00"/>
    <s v="10"/>
    <x v="1"/>
    <s v="26"/>
    <x v="0"/>
    <x v="0"/>
    <x v="2"/>
    <s v="Real"/>
    <s v="Entrepreneur"/>
    <s v="Product development"/>
    <x v="0"/>
    <x v="0"/>
    <x v="0"/>
    <s v="F11.01.01"/>
    <n v="1"/>
    <s v="menerapkan konsep massa molekul relatif, persamaan reaksi, hukum-hukum dasar kimia, dan konsep mol untuk menyelesaikan perhitungan kimia"/>
    <s v="01.01"/>
    <x v="13"/>
    <s v="K11"/>
    <s v="F"/>
    <n v="65"/>
    <n v="67"/>
    <s v="Tuntas"/>
    <s v="Kimia"/>
    <x v="4"/>
    <x v="8"/>
    <n v="67"/>
    <x v="1"/>
    <n v="11"/>
    <x v="0"/>
    <x v="5"/>
    <x v="6"/>
  </r>
  <r>
    <n v="701"/>
    <s v="242510013"/>
    <x v="0"/>
    <x v="0"/>
    <s v="Intan Jaya"/>
    <d v="2026-02-17T00:00:00"/>
    <s v="17"/>
    <x v="1"/>
    <s v="26"/>
    <x v="0"/>
    <x v="0"/>
    <x v="2"/>
    <s v="Real"/>
    <s v="Entrepreneur"/>
    <s v="Product development"/>
    <x v="0"/>
    <x v="0"/>
    <x v="0"/>
    <s v="F11.01.01"/>
    <n v="1"/>
    <s v="menerapkan konsep massa molekul relatif, persamaan reaksi, hukum-hukum dasar kimia, dan konsep mol untuk menyelesaikan perhitungan kimia"/>
    <s v="01.01"/>
    <x v="13"/>
    <s v="K11"/>
    <s v="F"/>
    <n v="65"/>
    <n v="65"/>
    <s v="Tuntas"/>
    <s v="Kimia"/>
    <x v="4"/>
    <x v="8"/>
    <n v="65"/>
    <x v="1"/>
    <n v="11"/>
    <x v="0"/>
    <x v="6"/>
    <x v="6"/>
  </r>
  <r>
    <n v="702"/>
    <s v="242510014"/>
    <x v="0"/>
    <x v="7"/>
    <s v="Inta jaya"/>
    <d v="2026-01-06T00:00:00"/>
    <s v="06"/>
    <x v="0"/>
    <s v="26"/>
    <x v="1"/>
    <x v="9"/>
    <x v="7"/>
    <s v="Real"/>
    <s v="Entrepreneur"/>
    <s v="Product development"/>
    <x v="0"/>
    <x v="0"/>
    <x v="0"/>
    <s v="F11.01.01"/>
    <n v="1"/>
    <s v="menerapkan konsep massa molekul relatif, persamaan reaksi, hukum-hukum dasar kimia, dan konsep mol untuk menyelesaikan perhitungan kimia"/>
    <s v="01.01"/>
    <x v="13"/>
    <s v="K11"/>
    <s v="F"/>
    <n v="65"/>
    <n v="65"/>
    <s v="Tuntas"/>
    <s v="Kimia"/>
    <x v="4"/>
    <x v="8"/>
    <n v="65"/>
    <x v="1"/>
    <n v="11"/>
    <x v="0"/>
    <x v="7"/>
    <x v="2"/>
  </r>
  <r>
    <n v="703"/>
    <s v="242510014"/>
    <x v="0"/>
    <x v="7"/>
    <s v="Inta jaya"/>
    <d v="2026-01-23T00:00:00"/>
    <s v="23"/>
    <x v="0"/>
    <s v="26"/>
    <x v="2"/>
    <x v="3"/>
    <x v="2"/>
    <s v="Real"/>
    <s v="Entrepreneur"/>
    <s v="Product development"/>
    <x v="0"/>
    <x v="0"/>
    <x v="0"/>
    <s v="F11.01.01"/>
    <n v="1"/>
    <s v="menerapkan konsep massa molekul relatif, persamaan reaksi, hukum-hukum dasar kimia, dan konsep mol untuk menyelesaikan perhitungan kimia"/>
    <s v="01.01"/>
    <x v="13"/>
    <s v="K11"/>
    <s v="F"/>
    <n v="65"/>
    <n v="70"/>
    <s v="Tuntas"/>
    <s v="Kimia"/>
    <x v="4"/>
    <x v="8"/>
    <n v="70"/>
    <x v="1"/>
    <n v="11"/>
    <x v="0"/>
    <x v="2"/>
    <x v="2"/>
  </r>
  <r>
    <n v="704"/>
    <s v="242510014"/>
    <x v="0"/>
    <x v="7"/>
    <s v="Inta jaya"/>
    <d v="2026-02-10T00:00:00"/>
    <s v="10"/>
    <x v="1"/>
    <s v="26"/>
    <x v="0"/>
    <x v="0"/>
    <x v="2"/>
    <s v="Real"/>
    <s v="Entrepreneur"/>
    <s v="Product development"/>
    <x v="0"/>
    <x v="0"/>
    <x v="0"/>
    <s v="F11.01.01"/>
    <n v="1"/>
    <s v="menerapkan konsep massa molekul relatif, persamaan reaksi, hukum-hukum dasar kimia, dan konsep mol untuk menyelesaikan perhitungan kimia"/>
    <s v="01.01"/>
    <x v="13"/>
    <s v="K11"/>
    <s v="F"/>
    <n v="65"/>
    <n v="67"/>
    <s v="Tuntas"/>
    <s v="Kimia"/>
    <x v="4"/>
    <x v="8"/>
    <n v="67"/>
    <x v="1"/>
    <n v="11"/>
    <x v="0"/>
    <x v="5"/>
    <x v="2"/>
  </r>
  <r>
    <n v="705"/>
    <s v="242510014"/>
    <x v="0"/>
    <x v="7"/>
    <s v="Inta jaya"/>
    <d v="2026-02-17T00:00:00"/>
    <s v="17"/>
    <x v="1"/>
    <s v="26"/>
    <x v="0"/>
    <x v="0"/>
    <x v="2"/>
    <s v="Real"/>
    <s v="Entrepreneur"/>
    <s v="Product development"/>
    <x v="0"/>
    <x v="0"/>
    <x v="0"/>
    <s v="F11.01.01"/>
    <n v="1"/>
    <s v="menerapkan konsep massa molekul relatif, persamaan reaksi, hukum-hukum dasar kimia, dan konsep mol untuk menyelesaikan perhitungan kimia"/>
    <s v="01.01"/>
    <x v="13"/>
    <s v="K11"/>
    <s v="F"/>
    <n v="65"/>
    <n v="90"/>
    <s v="Tuntas"/>
    <s v="Kimia"/>
    <x v="4"/>
    <x v="8"/>
    <n v="90"/>
    <x v="2"/>
    <n v="11"/>
    <x v="0"/>
    <x v="6"/>
    <x v="2"/>
  </r>
  <r>
    <n v="706"/>
    <s v="242510011"/>
    <x v="0"/>
    <x v="1"/>
    <s v="Intan Jaya"/>
    <d v="2026-01-06T00:00:00"/>
    <s v="06"/>
    <x v="0"/>
    <s v="26"/>
    <x v="1"/>
    <x v="9"/>
    <x v="7"/>
    <s v="Real"/>
    <s v="Entrepreneur"/>
    <s v="Product development"/>
    <x v="0"/>
    <x v="0"/>
    <x v="0"/>
    <s v="F11.01.01"/>
    <n v="1"/>
    <s v="menerapkan konsep massa molekul relatif, persamaan reaksi, hukum-hukum dasar kimia, dan konsep mol untuk menyelesaikan perhitungan kimia"/>
    <s v="01.01"/>
    <x v="13"/>
    <s v="K11"/>
    <s v="F"/>
    <n v="65"/>
    <n v="65"/>
    <s v="Tuntas"/>
    <s v="Kimia"/>
    <x v="4"/>
    <x v="8"/>
    <n v="65"/>
    <x v="1"/>
    <n v="11"/>
    <x v="0"/>
    <x v="7"/>
    <x v="1"/>
  </r>
  <r>
    <n v="707"/>
    <s v="242510011"/>
    <x v="0"/>
    <x v="1"/>
    <s v="Intan Jaya"/>
    <d v="2026-01-23T00:00:00"/>
    <s v="23"/>
    <x v="0"/>
    <s v="26"/>
    <x v="2"/>
    <x v="3"/>
    <x v="2"/>
    <s v="Real"/>
    <s v="Entrepreneur"/>
    <s v="Product development"/>
    <x v="0"/>
    <x v="0"/>
    <x v="0"/>
    <s v="F11.01.01"/>
    <n v="1"/>
    <s v="menerapkan konsep massa molekul relatif, persamaan reaksi, hukum-hukum dasar kimia, dan konsep mol untuk menyelesaikan perhitungan kimia"/>
    <s v="01.01"/>
    <x v="13"/>
    <s v="K11"/>
    <s v="F"/>
    <n v="65"/>
    <n v="70"/>
    <s v="Tuntas"/>
    <s v="Kimia"/>
    <x v="4"/>
    <x v="8"/>
    <n v="70"/>
    <x v="1"/>
    <n v="11"/>
    <x v="0"/>
    <x v="2"/>
    <x v="1"/>
  </r>
  <r>
    <n v="708"/>
    <s v="242510011"/>
    <x v="0"/>
    <x v="1"/>
    <s v="Intan Jaya"/>
    <d v="2026-02-10T00:00:00"/>
    <s v="10"/>
    <x v="1"/>
    <s v="26"/>
    <x v="0"/>
    <x v="0"/>
    <x v="2"/>
    <s v="Real"/>
    <s v="Entrepreneur"/>
    <s v="Product development"/>
    <x v="0"/>
    <x v="0"/>
    <x v="0"/>
    <s v="F11.01.01"/>
    <n v="1"/>
    <s v="menerapkan konsep massa molekul relatif, persamaan reaksi, hukum-hukum dasar kimia, dan konsep mol untuk menyelesaikan perhitungan kimia"/>
    <s v="01.01"/>
    <x v="13"/>
    <s v="K11"/>
    <s v="F"/>
    <n v="65"/>
    <n v="67"/>
    <s v="Tuntas"/>
    <s v="Kimia"/>
    <x v="4"/>
    <x v="8"/>
    <n v="67"/>
    <x v="1"/>
    <n v="11"/>
    <x v="0"/>
    <x v="5"/>
    <x v="1"/>
  </r>
  <r>
    <n v="709"/>
    <s v="242510011"/>
    <x v="0"/>
    <x v="1"/>
    <s v="Intan Jaya"/>
    <d v="2026-02-17T00:00:00"/>
    <s v="17"/>
    <x v="1"/>
    <s v="26"/>
    <x v="0"/>
    <x v="0"/>
    <x v="2"/>
    <s v="Real"/>
    <s v="Entrepreneur"/>
    <s v="Product development"/>
    <x v="0"/>
    <x v="0"/>
    <x v="0"/>
    <s v="F11.01.01"/>
    <n v="1"/>
    <s v="menerapkan konsep massa molekul relatif, persamaan reaksi, hukum-hukum dasar kimia, dan konsep mol untuk menyelesaikan perhitungan kimia"/>
    <s v="01.01"/>
    <x v="13"/>
    <s v="K11"/>
    <s v="F"/>
    <n v="65"/>
    <n v="98"/>
    <s v="Tuntas"/>
    <s v="Kimia"/>
    <x v="4"/>
    <x v="8"/>
    <n v="98"/>
    <x v="4"/>
    <n v="11"/>
    <x v="0"/>
    <x v="6"/>
    <x v="1"/>
  </r>
  <r>
    <n v="710"/>
    <s v="242510004"/>
    <x v="0"/>
    <x v="8"/>
    <s v="Inta jaya"/>
    <d v="2026-01-06T00:00:00"/>
    <s v="06"/>
    <x v="0"/>
    <s v="26"/>
    <x v="1"/>
    <x v="9"/>
    <x v="7"/>
    <s v="Real"/>
    <s v="Entrepreneur"/>
    <s v="Product development"/>
    <x v="0"/>
    <x v="0"/>
    <x v="0"/>
    <s v="F11.01.01"/>
    <n v="1"/>
    <s v="menerapkan konsep massa molekul relatif, persamaan reaksi, hukum-hukum dasar kimia, dan konsep mol untuk menyelesaikan perhitungan kimia"/>
    <s v="01.01"/>
    <x v="13"/>
    <s v="K11"/>
    <s v="F"/>
    <n v="65"/>
    <n v="100"/>
    <s v="Tuntas"/>
    <s v="Kimia"/>
    <x v="4"/>
    <x v="8"/>
    <n v="100"/>
    <x v="4"/>
    <n v="11"/>
    <x v="0"/>
    <x v="7"/>
    <x v="4"/>
  </r>
  <r>
    <n v="711"/>
    <s v="242510004"/>
    <x v="0"/>
    <x v="8"/>
    <s v="Inta jaya"/>
    <d v="2026-01-23T00:00:00"/>
    <s v="23"/>
    <x v="0"/>
    <s v="26"/>
    <x v="2"/>
    <x v="3"/>
    <x v="2"/>
    <s v="Real"/>
    <s v="Entrepreneur"/>
    <s v="Product development"/>
    <x v="0"/>
    <x v="0"/>
    <x v="0"/>
    <s v="F11.01.01"/>
    <n v="1"/>
    <s v="menerapkan konsep massa molekul relatif, persamaan reaksi, hukum-hukum dasar kimia, dan konsep mol untuk menyelesaikan perhitungan kimia"/>
    <s v="01.01"/>
    <x v="13"/>
    <s v="K11"/>
    <s v="F"/>
    <n v="65"/>
    <n v="70"/>
    <s v="Tuntas"/>
    <s v="Kimia"/>
    <x v="4"/>
    <x v="8"/>
    <n v="70"/>
    <x v="1"/>
    <n v="11"/>
    <x v="0"/>
    <x v="2"/>
    <x v="4"/>
  </r>
  <r>
    <n v="712"/>
    <s v="242510004"/>
    <x v="0"/>
    <x v="8"/>
    <s v="Inta jaya"/>
    <d v="2026-02-10T00:00:00"/>
    <s v="10"/>
    <x v="1"/>
    <s v="26"/>
    <x v="0"/>
    <x v="0"/>
    <x v="2"/>
    <s v="Real"/>
    <s v="Entrepreneur"/>
    <s v="Product development"/>
    <x v="0"/>
    <x v="0"/>
    <x v="0"/>
    <s v="F11.01.01"/>
    <n v="1"/>
    <s v="menerapkan konsep massa molekul relatif, persamaan reaksi, hukum-hukum dasar kimia, dan konsep mol untuk menyelesaikan perhitungan kimia"/>
    <s v="01.01"/>
    <x v="13"/>
    <s v="K11"/>
    <s v="F"/>
    <n v="65"/>
    <n v="67"/>
    <s v="Tuntas"/>
    <s v="Kimia"/>
    <x v="4"/>
    <x v="8"/>
    <n v="67"/>
    <x v="1"/>
    <n v="11"/>
    <x v="0"/>
    <x v="5"/>
    <x v="4"/>
  </r>
  <r>
    <n v="713"/>
    <s v="242510004"/>
    <x v="0"/>
    <x v="8"/>
    <s v="Inta jaya"/>
    <d v="2026-02-17T00:00:00"/>
    <s v="17"/>
    <x v="1"/>
    <s v="26"/>
    <x v="0"/>
    <x v="0"/>
    <x v="2"/>
    <s v="Real"/>
    <s v="Entrepreneur"/>
    <s v="Product development"/>
    <x v="0"/>
    <x v="0"/>
    <x v="0"/>
    <s v="F11.01.01"/>
    <n v="1"/>
    <s v="menerapkan konsep massa molekul relatif, persamaan reaksi, hukum-hukum dasar kimia, dan konsep mol untuk menyelesaikan perhitungan kimia"/>
    <s v="01.01"/>
    <x v="13"/>
    <s v="K11"/>
    <s v="F"/>
    <n v="65"/>
    <n v="95"/>
    <s v="Tuntas"/>
    <s v="Kimia"/>
    <x v="4"/>
    <x v="8"/>
    <n v="95"/>
    <x v="4"/>
    <n v="11"/>
    <x v="0"/>
    <x v="6"/>
    <x v="4"/>
  </r>
  <r>
    <n v="714"/>
    <s v="242510010"/>
    <x v="0"/>
    <x v="2"/>
    <s v="Intan Jaya"/>
    <d v="2026-01-06T00:00:00"/>
    <s v="06"/>
    <x v="0"/>
    <s v="26"/>
    <x v="1"/>
    <x v="9"/>
    <x v="7"/>
    <s v="Real"/>
    <s v="Entrepreneur"/>
    <s v="Product development"/>
    <x v="0"/>
    <x v="0"/>
    <x v="0"/>
    <s v="F11.01.01"/>
    <n v="1"/>
    <s v="menerapkan konsep massa molekul relatif, persamaan reaksi, hukum-hukum dasar kimia, dan konsep mol untuk menyelesaikan perhitungan kimia"/>
    <s v="01.01"/>
    <x v="13"/>
    <s v="K11"/>
    <s v="F"/>
    <n v="65"/>
    <n v="100"/>
    <s v="Tuntas"/>
    <s v="Kimia"/>
    <x v="4"/>
    <x v="8"/>
    <n v="100"/>
    <x v="4"/>
    <n v="11"/>
    <x v="0"/>
    <x v="7"/>
    <x v="2"/>
  </r>
  <r>
    <n v="715"/>
    <s v="242510010"/>
    <x v="0"/>
    <x v="2"/>
    <s v="Intan Jaya"/>
    <d v="2026-01-23T00:00:00"/>
    <s v="23"/>
    <x v="0"/>
    <s v="26"/>
    <x v="2"/>
    <x v="3"/>
    <x v="2"/>
    <s v="Real"/>
    <s v="Entrepreneur"/>
    <s v="Product development"/>
    <x v="0"/>
    <x v="0"/>
    <x v="0"/>
    <s v="F11.01.01"/>
    <n v="1"/>
    <s v="menerapkan konsep massa molekul relatif, persamaan reaksi, hukum-hukum dasar kimia, dan konsep mol untuk menyelesaikan perhitungan kimia"/>
    <s v="01.01"/>
    <x v="13"/>
    <s v="K11"/>
    <s v="F"/>
    <n v="65"/>
    <n v="65"/>
    <s v="Tuntas"/>
    <s v="Kimia"/>
    <x v="4"/>
    <x v="8"/>
    <n v="65"/>
    <x v="1"/>
    <n v="11"/>
    <x v="0"/>
    <x v="2"/>
    <x v="2"/>
  </r>
  <r>
    <n v="716"/>
    <s v="242510010"/>
    <x v="0"/>
    <x v="2"/>
    <s v="Intan Jaya"/>
    <d v="2026-02-10T00:00:00"/>
    <s v="10"/>
    <x v="1"/>
    <s v="26"/>
    <x v="0"/>
    <x v="0"/>
    <x v="2"/>
    <s v="Real"/>
    <s v="Entrepreneur"/>
    <s v="Product development"/>
    <x v="0"/>
    <x v="0"/>
    <x v="0"/>
    <s v="F11.01.01"/>
    <n v="1"/>
    <s v="menerapkan konsep massa molekul relatif, persamaan reaksi, hukum-hukum dasar kimia, dan konsep mol untuk menyelesaikan perhitungan kimia"/>
    <s v="01.01"/>
    <x v="13"/>
    <s v="K11"/>
    <s v="F"/>
    <n v="65"/>
    <n v="67"/>
    <s v="Tuntas"/>
    <s v="Kimia"/>
    <x v="4"/>
    <x v="8"/>
    <n v="67"/>
    <x v="1"/>
    <n v="11"/>
    <x v="0"/>
    <x v="5"/>
    <x v="2"/>
  </r>
  <r>
    <n v="717"/>
    <s v="242510010"/>
    <x v="0"/>
    <x v="2"/>
    <s v="Intan Jaya"/>
    <d v="2026-02-17T00:00:00"/>
    <s v="17"/>
    <x v="1"/>
    <s v="26"/>
    <x v="0"/>
    <x v="0"/>
    <x v="2"/>
    <s v="Real"/>
    <s v="Entrepreneur"/>
    <s v="Product development"/>
    <x v="0"/>
    <x v="0"/>
    <x v="0"/>
    <s v="F11.01.01"/>
    <n v="1"/>
    <s v="menerapkan konsep massa molekul relatif, persamaan reaksi, hukum-hukum dasar kimia, dan konsep mol untuk menyelesaikan perhitungan kimia"/>
    <s v="01.01"/>
    <x v="13"/>
    <s v="K11"/>
    <s v="F"/>
    <n v="65"/>
    <n v="65"/>
    <s v="Tuntas"/>
    <s v="Kimia"/>
    <x v="4"/>
    <x v="8"/>
    <n v="65"/>
    <x v="1"/>
    <n v="11"/>
    <x v="0"/>
    <x v="6"/>
    <x v="2"/>
  </r>
  <r>
    <n v="718"/>
    <s v="242510002"/>
    <x v="0"/>
    <x v="3"/>
    <s v="Intan Jaya"/>
    <d v="2026-01-06T00:00:00"/>
    <s v="06"/>
    <x v="0"/>
    <s v="26"/>
    <x v="1"/>
    <x v="9"/>
    <x v="7"/>
    <s v="Real"/>
    <s v="Entrepreneur"/>
    <s v="Product development"/>
    <x v="0"/>
    <x v="0"/>
    <x v="0"/>
    <s v="F11.01.01"/>
    <n v="1"/>
    <s v="menerapkan konsep massa molekul relatif, persamaan reaksi, hukum-hukum dasar kimia, dan konsep mol untuk menyelesaikan perhitungan kimia"/>
    <s v="01.01"/>
    <x v="13"/>
    <s v="K11"/>
    <s v="F"/>
    <n v="65"/>
    <n v="65"/>
    <s v="Tuntas"/>
    <s v="Kimia"/>
    <x v="4"/>
    <x v="8"/>
    <n v="65"/>
    <x v="1"/>
    <n v="11"/>
    <x v="0"/>
    <x v="7"/>
    <x v="1"/>
  </r>
  <r>
    <n v="719"/>
    <s v="242510002"/>
    <x v="0"/>
    <x v="3"/>
    <s v="Intan Jaya"/>
    <d v="2026-01-23T00:00:00"/>
    <s v="23"/>
    <x v="0"/>
    <s v="26"/>
    <x v="2"/>
    <x v="3"/>
    <x v="2"/>
    <s v="Real"/>
    <s v="Entrepreneur"/>
    <s v="Product development"/>
    <x v="0"/>
    <x v="0"/>
    <x v="0"/>
    <s v="F11.01.01"/>
    <n v="1"/>
    <s v="menerapkan konsep massa molekul relatif, persamaan reaksi, hukum-hukum dasar kimia, dan konsep mol untuk menyelesaikan perhitungan kimia"/>
    <s v="01.01"/>
    <x v="13"/>
    <s v="K11"/>
    <s v="F"/>
    <n v="65"/>
    <n v="70"/>
    <s v="Tuntas"/>
    <s v="Kimia"/>
    <x v="4"/>
    <x v="8"/>
    <n v="70"/>
    <x v="1"/>
    <n v="11"/>
    <x v="0"/>
    <x v="2"/>
    <x v="1"/>
  </r>
  <r>
    <n v="720"/>
    <s v="242510002"/>
    <x v="0"/>
    <x v="3"/>
    <s v="Intan Jaya"/>
    <d v="2026-02-10T00:00:00"/>
    <s v="10"/>
    <x v="1"/>
    <s v="26"/>
    <x v="0"/>
    <x v="0"/>
    <x v="2"/>
    <s v="Real"/>
    <s v="Entrepreneur"/>
    <s v="Product development"/>
    <x v="0"/>
    <x v="0"/>
    <x v="0"/>
    <s v="F11.01.01"/>
    <n v="1"/>
    <s v="menerapkan konsep massa molekul relatif, persamaan reaksi, hukum-hukum dasar kimia, dan konsep mol untuk menyelesaikan perhitungan kimia"/>
    <s v="01.01"/>
    <x v="13"/>
    <s v="K11"/>
    <s v="F"/>
    <n v="65"/>
    <n v="67"/>
    <s v="Tuntas"/>
    <s v="Kimia"/>
    <x v="4"/>
    <x v="8"/>
    <n v="67"/>
    <x v="1"/>
    <n v="11"/>
    <x v="0"/>
    <x v="5"/>
    <x v="1"/>
  </r>
  <r>
    <n v="721"/>
    <s v="242510002"/>
    <x v="0"/>
    <x v="3"/>
    <s v="Intan Jaya"/>
    <d v="2026-02-17T00:00:00"/>
    <s v="17"/>
    <x v="1"/>
    <s v="26"/>
    <x v="0"/>
    <x v="0"/>
    <x v="2"/>
    <s v="Real"/>
    <s v="Entrepreneur"/>
    <s v="Product development"/>
    <x v="0"/>
    <x v="0"/>
    <x v="0"/>
    <s v="F11.01.01"/>
    <n v="1"/>
    <s v="menerapkan konsep massa molekul relatif, persamaan reaksi, hukum-hukum dasar kimia, dan konsep mol untuk menyelesaikan perhitungan kimia"/>
    <s v="01.01"/>
    <x v="13"/>
    <s v="K11"/>
    <s v="F"/>
    <n v="65"/>
    <n v="65"/>
    <s v="Tuntas"/>
    <s v="Kimia"/>
    <x v="4"/>
    <x v="8"/>
    <n v="65"/>
    <x v="1"/>
    <n v="11"/>
    <x v="0"/>
    <x v="6"/>
    <x v="1"/>
  </r>
  <r>
    <n v="722"/>
    <s v="242510006"/>
    <x v="0"/>
    <x v="9"/>
    <s v="Nabire"/>
    <d v="2026-01-06T00:00:00"/>
    <s v="06"/>
    <x v="0"/>
    <s v="26"/>
    <x v="1"/>
    <x v="9"/>
    <x v="7"/>
    <s v="Real"/>
    <s v="Entrepreneur"/>
    <s v="Product development"/>
    <x v="0"/>
    <x v="0"/>
    <x v="0"/>
    <s v="F11.01.01"/>
    <n v="1"/>
    <s v="menerapkan konsep massa molekul relatif, persamaan reaksi, hukum-hukum dasar kimia, dan konsep mol untuk menyelesaikan perhitungan kimia"/>
    <s v="01.01"/>
    <x v="13"/>
    <s v="K11"/>
    <s v="F"/>
    <n v="65"/>
    <n v="65"/>
    <s v="Tuntas"/>
    <s v="Kimia"/>
    <x v="4"/>
    <x v="8"/>
    <n v="65"/>
    <x v="1"/>
    <n v="11"/>
    <x v="0"/>
    <x v="7"/>
    <x v="2"/>
  </r>
  <r>
    <n v="723"/>
    <s v="242510006"/>
    <x v="0"/>
    <x v="9"/>
    <s v="Nabire"/>
    <d v="2026-01-23T00:00:00"/>
    <s v="23"/>
    <x v="0"/>
    <s v="26"/>
    <x v="2"/>
    <x v="3"/>
    <x v="2"/>
    <s v="Real"/>
    <s v="Entrepreneur"/>
    <s v="Product development"/>
    <x v="0"/>
    <x v="0"/>
    <x v="0"/>
    <s v="F11.01.01"/>
    <n v="1"/>
    <s v="menerapkan konsep massa molekul relatif, persamaan reaksi, hukum-hukum dasar kimia, dan konsep mol untuk menyelesaikan perhitungan kimia"/>
    <s v="01.01"/>
    <x v="13"/>
    <s v="K11"/>
    <s v="F"/>
    <n v="65"/>
    <n v="65"/>
    <s v="Tuntas"/>
    <s v="Kimia"/>
    <x v="4"/>
    <x v="8"/>
    <n v="65"/>
    <x v="1"/>
    <n v="11"/>
    <x v="0"/>
    <x v="2"/>
    <x v="2"/>
  </r>
  <r>
    <n v="724"/>
    <s v="242510006"/>
    <x v="0"/>
    <x v="9"/>
    <s v="Nabire"/>
    <d v="2026-02-10T00:00:00"/>
    <s v="10"/>
    <x v="1"/>
    <s v="26"/>
    <x v="0"/>
    <x v="0"/>
    <x v="2"/>
    <s v="Real"/>
    <s v="Entrepreneur"/>
    <s v="Product development"/>
    <x v="0"/>
    <x v="0"/>
    <x v="0"/>
    <s v="F11.01.01"/>
    <n v="1"/>
    <s v="menerapkan konsep massa molekul relatif, persamaan reaksi, hukum-hukum dasar kimia, dan konsep mol untuk menyelesaikan perhitungan kimia"/>
    <s v="01.01"/>
    <x v="13"/>
    <s v="K11"/>
    <s v="F"/>
    <n v="65"/>
    <n v="67"/>
    <s v="Tuntas"/>
    <s v="Kimia"/>
    <x v="4"/>
    <x v="8"/>
    <n v="67"/>
    <x v="1"/>
    <n v="11"/>
    <x v="0"/>
    <x v="5"/>
    <x v="2"/>
  </r>
  <r>
    <n v="725"/>
    <s v="242510006"/>
    <x v="0"/>
    <x v="9"/>
    <s v="Nabire"/>
    <d v="2026-02-17T00:00:00"/>
    <s v="17"/>
    <x v="1"/>
    <s v="26"/>
    <x v="0"/>
    <x v="0"/>
    <x v="2"/>
    <s v="Real"/>
    <s v="Entrepreneur"/>
    <s v="Product development"/>
    <x v="0"/>
    <x v="0"/>
    <x v="0"/>
    <s v="F11.01.01"/>
    <n v="1"/>
    <s v="menerapkan konsep massa molekul relatif, persamaan reaksi, hukum-hukum dasar kimia, dan konsep mol untuk menyelesaikan perhitungan kimia"/>
    <s v="01.01"/>
    <x v="13"/>
    <s v="K11"/>
    <s v="F"/>
    <n v="65"/>
    <n v="80"/>
    <s v="Tuntas"/>
    <s v="Kimia"/>
    <x v="4"/>
    <x v="8"/>
    <n v="80"/>
    <x v="2"/>
    <n v="11"/>
    <x v="0"/>
    <x v="6"/>
    <x v="2"/>
  </r>
  <r>
    <n v="726"/>
    <s v="242510009"/>
    <x v="0"/>
    <x v="10"/>
    <s v="Nabire"/>
    <d v="2026-01-06T00:00:00"/>
    <s v="06"/>
    <x v="0"/>
    <s v="26"/>
    <x v="1"/>
    <x v="9"/>
    <x v="7"/>
    <s v="Real"/>
    <s v="Entrepreneur"/>
    <s v="Product development"/>
    <x v="0"/>
    <x v="0"/>
    <x v="0"/>
    <s v="F11.01.01"/>
    <n v="1"/>
    <s v="menerapkan konsep massa molekul relatif, persamaan reaksi, hukum-hukum dasar kimia, dan konsep mol untuk menyelesaikan perhitungan kimia"/>
    <s v="01.01"/>
    <x v="13"/>
    <s v="K11"/>
    <s v="F"/>
    <n v="65"/>
    <n v="65"/>
    <s v="Tuntas"/>
    <s v="Kimia"/>
    <x v="4"/>
    <x v="8"/>
    <n v="65"/>
    <x v="1"/>
    <n v="11"/>
    <x v="0"/>
    <x v="7"/>
    <x v="5"/>
  </r>
  <r>
    <n v="727"/>
    <s v="242510009"/>
    <x v="0"/>
    <x v="10"/>
    <s v="Nabire"/>
    <d v="2026-01-23T00:00:00"/>
    <s v="23"/>
    <x v="0"/>
    <s v="26"/>
    <x v="2"/>
    <x v="3"/>
    <x v="2"/>
    <s v="Real"/>
    <s v="Entrepreneur"/>
    <s v="Product development"/>
    <x v="0"/>
    <x v="0"/>
    <x v="0"/>
    <s v="F11.01.01"/>
    <n v="1"/>
    <s v="menerapkan konsep massa molekul relatif, persamaan reaksi, hukum-hukum dasar kimia, dan konsep mol untuk menyelesaikan perhitungan kimia"/>
    <s v="01.01"/>
    <x v="13"/>
    <s v="K11"/>
    <s v="F"/>
    <n v="65"/>
    <n v="50"/>
    <s v="Tidak tuntas"/>
    <s v="Kimia"/>
    <x v="4"/>
    <x v="8"/>
    <n v="50"/>
    <x v="3"/>
    <n v="11"/>
    <x v="0"/>
    <x v="2"/>
    <x v="5"/>
  </r>
  <r>
    <n v="728"/>
    <s v="242510009"/>
    <x v="0"/>
    <x v="10"/>
    <s v="Nabire"/>
    <d v="2026-02-10T00:00:00"/>
    <s v="10"/>
    <x v="1"/>
    <s v="26"/>
    <x v="0"/>
    <x v="0"/>
    <x v="2"/>
    <s v="Real"/>
    <s v="Entrepreneur"/>
    <s v="Product development"/>
    <x v="0"/>
    <x v="0"/>
    <x v="0"/>
    <s v="F11.01.01"/>
    <n v="1"/>
    <s v="menerapkan konsep massa molekul relatif, persamaan reaksi, hukum-hukum dasar kimia, dan konsep mol untuk menyelesaikan perhitungan kimia"/>
    <s v="01.01"/>
    <x v="13"/>
    <s v="K11"/>
    <s v="F"/>
    <n v="65"/>
    <n v="67"/>
    <s v="Tuntas"/>
    <s v="Kimia"/>
    <x v="4"/>
    <x v="8"/>
    <n v="67"/>
    <x v="1"/>
    <n v="11"/>
    <x v="0"/>
    <x v="5"/>
    <x v="5"/>
  </r>
  <r>
    <n v="729"/>
    <s v="242510009"/>
    <x v="0"/>
    <x v="10"/>
    <s v="Nabire"/>
    <d v="2026-02-17T00:00:00"/>
    <s v="17"/>
    <x v="1"/>
    <s v="26"/>
    <x v="0"/>
    <x v="0"/>
    <x v="2"/>
    <s v="Real"/>
    <s v="Entrepreneur"/>
    <s v="Product development"/>
    <x v="0"/>
    <x v="0"/>
    <x v="0"/>
    <s v="F11.01.01"/>
    <n v="1"/>
    <s v="menerapkan konsep massa molekul relatif, persamaan reaksi, hukum-hukum dasar kimia, dan konsep mol untuk menyelesaikan perhitungan kimia"/>
    <s v="01.01"/>
    <x v="13"/>
    <s v="K11"/>
    <s v="F"/>
    <n v="65"/>
    <n v="40"/>
    <s v="Tidak tuntas"/>
    <s v="Kimia"/>
    <x v="4"/>
    <x v="8"/>
    <n v="40"/>
    <x v="3"/>
    <n v="11"/>
    <x v="0"/>
    <x v="6"/>
    <x v="5"/>
  </r>
  <r>
    <n v="730"/>
    <s v="242510012"/>
    <x v="0"/>
    <x v="11"/>
    <s v="Intan Jaya"/>
    <d v="2026-01-06T00:00:00"/>
    <s v="06"/>
    <x v="0"/>
    <s v="26"/>
    <x v="1"/>
    <x v="9"/>
    <x v="7"/>
    <s v="Real"/>
    <s v="Entrepreneur"/>
    <s v="Product development"/>
    <x v="0"/>
    <x v="0"/>
    <x v="0"/>
    <s v="F11.01.01"/>
    <n v="1"/>
    <s v="menerapkan konsep massa molekul relatif, persamaan reaksi, hukum-hukum dasar kimia, dan konsep mol untuk menyelesaikan perhitungan kimia"/>
    <s v="01.01"/>
    <x v="13"/>
    <s v="K11"/>
    <s v="F"/>
    <n v="65"/>
    <n v="65"/>
    <s v="Tuntas"/>
    <s v="Kimia"/>
    <x v="4"/>
    <x v="8"/>
    <n v="65"/>
    <x v="1"/>
    <n v="11"/>
    <x v="0"/>
    <x v="7"/>
    <x v="2"/>
  </r>
  <r>
    <n v="731"/>
    <s v="242510012"/>
    <x v="0"/>
    <x v="11"/>
    <s v="Intan Jaya"/>
    <d v="2026-01-23T00:00:00"/>
    <s v="23"/>
    <x v="0"/>
    <s v="26"/>
    <x v="2"/>
    <x v="3"/>
    <x v="2"/>
    <s v="Real"/>
    <s v="Entrepreneur"/>
    <s v="Product development"/>
    <x v="0"/>
    <x v="0"/>
    <x v="0"/>
    <s v="F11.01.01"/>
    <n v="1"/>
    <s v="menerapkan konsep massa molekul relatif, persamaan reaksi, hukum-hukum dasar kimia, dan konsep mol untuk menyelesaikan perhitungan kimia"/>
    <s v="01.01"/>
    <x v="13"/>
    <s v="K11"/>
    <s v="F"/>
    <n v="65"/>
    <n v="60"/>
    <s v="Tidak tuntas"/>
    <s v="Kimia"/>
    <x v="4"/>
    <x v="8"/>
    <n v="60"/>
    <x v="3"/>
    <n v="11"/>
    <x v="0"/>
    <x v="2"/>
    <x v="2"/>
  </r>
  <r>
    <n v="732"/>
    <s v="242510012"/>
    <x v="0"/>
    <x v="11"/>
    <s v="Intan Jaya"/>
    <d v="2026-02-10T00:00:00"/>
    <s v="10"/>
    <x v="1"/>
    <s v="26"/>
    <x v="0"/>
    <x v="0"/>
    <x v="2"/>
    <s v="Real"/>
    <s v="Entrepreneur"/>
    <s v="Product development"/>
    <x v="0"/>
    <x v="0"/>
    <x v="0"/>
    <s v="F11.01.01"/>
    <n v="1"/>
    <s v="menerapkan konsep massa molekul relatif, persamaan reaksi, hukum-hukum dasar kimia, dan konsep mol untuk menyelesaikan perhitungan kimia"/>
    <s v="01.01"/>
    <x v="13"/>
    <s v="K11"/>
    <s v="F"/>
    <n v="65"/>
    <n v="67"/>
    <s v="Tuntas"/>
    <s v="Kimia"/>
    <x v="4"/>
    <x v="8"/>
    <n v="67"/>
    <x v="1"/>
    <n v="11"/>
    <x v="0"/>
    <x v="5"/>
    <x v="2"/>
  </r>
  <r>
    <n v="733"/>
    <s v="242510012"/>
    <x v="0"/>
    <x v="11"/>
    <s v="Intan Jaya"/>
    <d v="2026-02-17T00:00:00"/>
    <s v="17"/>
    <x v="1"/>
    <s v="26"/>
    <x v="0"/>
    <x v="0"/>
    <x v="2"/>
    <s v="Real"/>
    <s v="Entrepreneur"/>
    <s v="Product development"/>
    <x v="0"/>
    <x v="0"/>
    <x v="0"/>
    <s v="F11.01.01"/>
    <n v="1"/>
    <s v="menerapkan konsep massa molekul relatif, persamaan reaksi, hukum-hukum dasar kimia, dan konsep mol untuk menyelesaikan perhitungan kimia"/>
    <s v="01.01"/>
    <x v="13"/>
    <s v="K11"/>
    <s v="F"/>
    <n v="65"/>
    <n v="90"/>
    <s v="Tuntas"/>
    <s v="Kimia"/>
    <x v="4"/>
    <x v="8"/>
    <n v="90"/>
    <x v="2"/>
    <n v="11"/>
    <x v="0"/>
    <x v="6"/>
    <x v="2"/>
  </r>
  <r>
    <n v="734"/>
    <s v="242510001"/>
    <x v="0"/>
    <x v="4"/>
    <s v="Intan Jaya"/>
    <d v="2026-01-14T00:00:00"/>
    <s v="14"/>
    <x v="0"/>
    <s v="26"/>
    <x v="0"/>
    <x v="0"/>
    <x v="2"/>
    <s v="Real"/>
    <s v="Entrepreneur"/>
    <s v="Product development"/>
    <x v="0"/>
    <x v="0"/>
    <x v="1"/>
    <s v="D09.01.01"/>
    <n v="1"/>
    <s v="mengaplikasikan perbandingan trigonometri (sinus, cosinus, tangen) dari sudut lancip."/>
    <s v="01.01"/>
    <x v="14"/>
    <s v="K09"/>
    <s v="D"/>
    <n v="65"/>
    <n v="60"/>
    <s v="Tidak tuntas"/>
    <s v="Matematika"/>
    <x v="5"/>
    <x v="9"/>
    <n v="60"/>
    <x v="3"/>
    <n v="9"/>
    <x v="0"/>
    <x v="1"/>
    <x v="2"/>
  </r>
  <r>
    <n v="735"/>
    <s v="242510001"/>
    <x v="0"/>
    <x v="4"/>
    <s v="Intan Jaya"/>
    <d v="2026-01-14T00:00:00"/>
    <s v="14"/>
    <x v="0"/>
    <s v="26"/>
    <x v="0"/>
    <x v="0"/>
    <x v="2"/>
    <s v="Real"/>
    <s v="Entrepreneur"/>
    <s v="Product development"/>
    <x v="0"/>
    <x v="0"/>
    <x v="1"/>
    <s v="F11.01.02"/>
    <n v="1"/>
    <s v="mengaplikasikan perbandingan trigonometri (sinus, cosinus, tangen) dari sudut lancip."/>
    <s v="01.02"/>
    <x v="15"/>
    <s v="K11"/>
    <s v="F"/>
    <n v="65"/>
    <n v="91"/>
    <s v="Tuntas"/>
    <s v="Matematika"/>
    <x v="5"/>
    <x v="9"/>
    <n v="91"/>
    <x v="4"/>
    <n v="11"/>
    <x v="0"/>
    <x v="1"/>
    <x v="2"/>
  </r>
  <r>
    <n v="736"/>
    <s v="242510001"/>
    <x v="0"/>
    <x v="4"/>
    <s v="Intan Jaya"/>
    <d v="2026-01-19T00:00:00"/>
    <s v="19"/>
    <x v="0"/>
    <s v="26"/>
    <x v="0"/>
    <x v="0"/>
    <x v="2"/>
    <s v="Real"/>
    <s v="Entrepreneur"/>
    <s v="Product development"/>
    <x v="0"/>
    <x v="0"/>
    <x v="1"/>
    <s v="D09.01.01"/>
    <n v="1"/>
    <s v="mengaplikasikan perbandingan trigonometri (sinus, cosinus, tangen) dari sudut lancip."/>
    <s v="01.01"/>
    <x v="14"/>
    <s v="K09"/>
    <s v="D"/>
    <n v="65"/>
    <n v="80"/>
    <s v="Tuntas"/>
    <s v="Matematika"/>
    <x v="5"/>
    <x v="9"/>
    <n v="80"/>
    <x v="2"/>
    <n v="9"/>
    <x v="0"/>
    <x v="2"/>
    <x v="2"/>
  </r>
  <r>
    <n v="737"/>
    <s v="242510001"/>
    <x v="0"/>
    <x v="4"/>
    <s v="Intan Jaya"/>
    <d v="2026-01-19T00:00:00"/>
    <s v="19"/>
    <x v="0"/>
    <s v="26"/>
    <x v="3"/>
    <x v="8"/>
    <x v="14"/>
    <s v="Real"/>
    <s v="Entrepreneur"/>
    <s v="Product development"/>
    <x v="0"/>
    <x v="0"/>
    <x v="1"/>
    <s v="F11.01.02"/>
    <n v="1"/>
    <s v="mengaplikasikan perbandingan trigonometri (sinus, cosinus, tangen) dari sudut lancip."/>
    <s v="01.02"/>
    <x v="15"/>
    <s v="K11"/>
    <s v="F"/>
    <n v="65"/>
    <n v="90"/>
    <s v="Tuntas"/>
    <s v="Matematika"/>
    <x v="5"/>
    <x v="9"/>
    <n v="90"/>
    <x v="2"/>
    <n v="11"/>
    <x v="4"/>
    <x v="2"/>
    <x v="2"/>
  </r>
  <r>
    <n v="738"/>
    <s v="242510001"/>
    <x v="0"/>
    <x v="4"/>
    <s v="Intan Jaya"/>
    <d v="2026-01-21T00:00:00"/>
    <s v="21"/>
    <x v="0"/>
    <s v="26"/>
    <x v="0"/>
    <x v="0"/>
    <x v="2"/>
    <s v="Real"/>
    <s v="Entrepreneur"/>
    <s v="Product development"/>
    <x v="0"/>
    <x v="0"/>
    <x v="1"/>
    <s v="D09.01.01"/>
    <n v="1"/>
    <s v="mengaplikasikan perbandingan trigonometri (sinus, cosinus, tangen) dari sudut lancip."/>
    <s v="01.01"/>
    <x v="14"/>
    <s v="K09"/>
    <s v="D"/>
    <n v="65"/>
    <n v="40"/>
    <s v="Tidak tuntas"/>
    <s v="Matematika"/>
    <x v="5"/>
    <x v="9"/>
    <n v="40"/>
    <x v="3"/>
    <n v="9"/>
    <x v="0"/>
    <x v="2"/>
    <x v="2"/>
  </r>
  <r>
    <n v="739"/>
    <s v="242510001"/>
    <x v="0"/>
    <x v="4"/>
    <s v="Intan Jaya"/>
    <d v="2026-01-21T00:00:00"/>
    <s v="21"/>
    <x v="0"/>
    <s v="26"/>
    <x v="3"/>
    <x v="8"/>
    <x v="14"/>
    <s v="Real"/>
    <s v="Entrepreneur"/>
    <s v="Product development"/>
    <x v="0"/>
    <x v="0"/>
    <x v="1"/>
    <s v="D09.01.01"/>
    <n v="1"/>
    <s v="mengaplikasikan perbandingan trigonometri (sinus, cosinus, tangen) dari sudut lancip."/>
    <s v="01.01"/>
    <x v="14"/>
    <s v="K09"/>
    <s v="D"/>
    <n v="65"/>
    <n v="90"/>
    <s v="Tuntas"/>
    <s v="Matematika"/>
    <x v="5"/>
    <x v="9"/>
    <n v="90"/>
    <x v="2"/>
    <n v="9"/>
    <x v="4"/>
    <x v="2"/>
    <x v="2"/>
  </r>
  <r>
    <n v="740"/>
    <s v="242510001"/>
    <x v="0"/>
    <x v="4"/>
    <s v="Intan Jaya"/>
    <d v="2026-01-19T00:00:00"/>
    <s v="19"/>
    <x v="0"/>
    <s v="26"/>
    <x v="0"/>
    <x v="0"/>
    <x v="4"/>
    <s v="Real"/>
    <s v="Entrepreneur"/>
    <s v="Product development"/>
    <x v="0"/>
    <x v="0"/>
    <x v="1"/>
    <s v="D09.01.01"/>
    <n v="1"/>
    <s v="mengaplikasikan perbandingan trigonometri (sinus, cosinus, tangen) dari sudut lancip."/>
    <s v="01.01"/>
    <x v="14"/>
    <s v="K09"/>
    <s v="D"/>
    <n v="65"/>
    <n v="100"/>
    <s v="Tuntas"/>
    <s v="Matematika"/>
    <x v="5"/>
    <x v="9"/>
    <n v="100"/>
    <x v="4"/>
    <n v="9"/>
    <x v="0"/>
    <x v="2"/>
    <x v="2"/>
  </r>
  <r>
    <n v="741"/>
    <s v="242510001"/>
    <x v="0"/>
    <x v="4"/>
    <s v="Intan Jaya"/>
    <d v="2026-01-19T00:00:00"/>
    <s v="19"/>
    <x v="0"/>
    <s v="26"/>
    <x v="0"/>
    <x v="0"/>
    <x v="4"/>
    <s v="Real"/>
    <s v="Entrepreneur"/>
    <s v="Product development"/>
    <x v="0"/>
    <x v="0"/>
    <x v="1"/>
    <s v="F11.01.02"/>
    <n v="1"/>
    <s v="mengaplikasikan perbandingan trigonometri (sinus, cosinus, tangen) dari sudut lancip."/>
    <s v="01.02"/>
    <x v="15"/>
    <s v="K11"/>
    <s v="F"/>
    <n v="65"/>
    <n v="20"/>
    <s v="Tidak tuntas"/>
    <s v="Matematika"/>
    <x v="5"/>
    <x v="9"/>
    <n v="20"/>
    <x v="3"/>
    <n v="11"/>
    <x v="0"/>
    <x v="2"/>
    <x v="2"/>
  </r>
  <r>
    <n v="742"/>
    <s v="242510001"/>
    <x v="0"/>
    <x v="4"/>
    <s v="Intan Jaya"/>
    <d v="2026-01-28T00:00:00"/>
    <s v="28"/>
    <x v="0"/>
    <s v="26"/>
    <x v="0"/>
    <x v="0"/>
    <x v="2"/>
    <s v="Real"/>
    <s v="Entrepreneur"/>
    <s v="Product development"/>
    <x v="0"/>
    <x v="0"/>
    <x v="1"/>
    <s v="D09.01.01"/>
    <n v="1"/>
    <s v="mengaplikasikan perbandingan trigonometri (sinus, cosinus, tangen) dari sudut lancip."/>
    <s v="01.01"/>
    <x v="14"/>
    <s v="K09"/>
    <s v="D"/>
    <n v="65"/>
    <n v="50"/>
    <s v="Tidak tuntas"/>
    <s v="Matematika"/>
    <x v="5"/>
    <x v="9"/>
    <n v="50"/>
    <x v="3"/>
    <n v="9"/>
    <x v="0"/>
    <x v="3"/>
    <x v="2"/>
  </r>
  <r>
    <n v="743"/>
    <s v="242510001"/>
    <x v="0"/>
    <x v="4"/>
    <s v="Intan Jaya"/>
    <d v="2026-02-04T00:00:00"/>
    <s v="04"/>
    <x v="1"/>
    <s v="26"/>
    <x v="0"/>
    <x v="0"/>
    <x v="2"/>
    <s v="Real"/>
    <s v="Entrepreneur"/>
    <s v="Product development"/>
    <x v="0"/>
    <x v="0"/>
    <x v="1"/>
    <s v="F11.01.02"/>
    <n v="1"/>
    <s v="mengaplikasikan perbandingan trigonometri (sinus, cosinus, tangen) dari sudut lancip."/>
    <s v="01.02"/>
    <x v="15"/>
    <s v="K11"/>
    <s v="F"/>
    <n v="65"/>
    <n v="89"/>
    <s v="Tuntas"/>
    <s v="Matematika"/>
    <x v="5"/>
    <x v="9"/>
    <n v="89"/>
    <x v="2"/>
    <n v="11"/>
    <x v="0"/>
    <x v="4"/>
    <x v="2"/>
  </r>
  <r>
    <n v="744"/>
    <s v="242510001"/>
    <x v="0"/>
    <x v="4"/>
    <s v="Intan Jaya"/>
    <d v="2026-02-06T00:00:00"/>
    <s v="06"/>
    <x v="1"/>
    <s v="26"/>
    <x v="0"/>
    <x v="0"/>
    <x v="2"/>
    <s v="Real"/>
    <s v="Entrepreneur"/>
    <s v="Product development"/>
    <x v="0"/>
    <x v="0"/>
    <x v="1"/>
    <s v="F11.01.02"/>
    <n v="1"/>
    <s v="mengaplikasikan perbandingan trigonometri (sinus, cosinus, tangen) dari sudut lancip."/>
    <s v="01.02"/>
    <x v="15"/>
    <s v="K11"/>
    <s v="F"/>
    <n v="65"/>
    <n v="90"/>
    <s v="Tuntas"/>
    <s v="Matematika"/>
    <x v="5"/>
    <x v="9"/>
    <n v="90"/>
    <x v="2"/>
    <n v="11"/>
    <x v="0"/>
    <x v="4"/>
    <x v="2"/>
  </r>
  <r>
    <n v="745"/>
    <s v="242510001"/>
    <x v="0"/>
    <x v="4"/>
    <s v="Intan Jaya"/>
    <d v="2026-02-09T00:00:00"/>
    <s v="09"/>
    <x v="1"/>
    <s v="26"/>
    <x v="0"/>
    <x v="0"/>
    <x v="2"/>
    <s v="Real"/>
    <s v="Entrepreneur"/>
    <s v="Product development"/>
    <x v="0"/>
    <x v="0"/>
    <x v="1"/>
    <s v="F11.01.02"/>
    <n v="1"/>
    <s v="mengaplikasikan perbandingan trigonometri (sinus, cosinus, tangen) dari sudut lancip."/>
    <s v="01.02"/>
    <x v="15"/>
    <s v="K11"/>
    <s v="F"/>
    <n v="65"/>
    <n v="60"/>
    <s v="Tidak tuntas"/>
    <s v="Matematika"/>
    <x v="5"/>
    <x v="9"/>
    <n v="60"/>
    <x v="3"/>
    <n v="11"/>
    <x v="0"/>
    <x v="5"/>
    <x v="2"/>
  </r>
  <r>
    <n v="746"/>
    <s v="242510001"/>
    <x v="0"/>
    <x v="4"/>
    <s v="Intan Jaya"/>
    <d v="2026-02-06T00:00:00"/>
    <s v="06"/>
    <x v="1"/>
    <s v="26"/>
    <x v="0"/>
    <x v="0"/>
    <x v="4"/>
    <s v="Real"/>
    <s v="Entrepreneur"/>
    <s v="Product development"/>
    <x v="0"/>
    <x v="0"/>
    <x v="1"/>
    <s v="F11.01.02"/>
    <n v="1"/>
    <s v="mengaplikasikan perbandingan trigonometri (sinus, cosinus, tangen) dari sudut lancip."/>
    <s v="01.02"/>
    <x v="15"/>
    <s v="K11"/>
    <s v="F"/>
    <n v="65"/>
    <n v="77"/>
    <s v="Tuntas"/>
    <s v="Matematika"/>
    <x v="5"/>
    <x v="9"/>
    <n v="77"/>
    <x v="1"/>
    <n v="11"/>
    <x v="0"/>
    <x v="4"/>
    <x v="2"/>
  </r>
  <r>
    <n v="747"/>
    <s v="242510001"/>
    <x v="0"/>
    <x v="4"/>
    <s v="Intan Jaya"/>
    <d v="2026-02-11T00:00:00"/>
    <s v="11"/>
    <x v="1"/>
    <s v="26"/>
    <x v="0"/>
    <x v="0"/>
    <x v="2"/>
    <s v="Real"/>
    <s v="Entrepreneur"/>
    <s v="Product development"/>
    <x v="0"/>
    <x v="0"/>
    <x v="1"/>
    <s v="F11.01.02"/>
    <n v="1"/>
    <s v="mengaplikasikan perbandingan trigonometri (sinus, cosinus, tangen) dari sudut lancip."/>
    <s v="01.02"/>
    <x v="15"/>
    <s v="K11"/>
    <s v="F"/>
    <n v="65"/>
    <n v="50"/>
    <s v="Tidak tuntas"/>
    <s v="Matematika"/>
    <x v="5"/>
    <x v="9"/>
    <n v="50"/>
    <x v="3"/>
    <n v="11"/>
    <x v="0"/>
    <x v="5"/>
    <x v="2"/>
  </r>
  <r>
    <n v="748"/>
    <s v="242510007"/>
    <x v="0"/>
    <x v="5"/>
    <s v="Intan Jaya"/>
    <d v="2026-01-14T00:00:00"/>
    <s v="14"/>
    <x v="0"/>
    <s v="26"/>
    <x v="0"/>
    <x v="0"/>
    <x v="2"/>
    <s v="Real"/>
    <s v="Entrepreneur"/>
    <s v="Product development"/>
    <x v="0"/>
    <x v="0"/>
    <x v="1"/>
    <s v="D09.01.01"/>
    <n v="1"/>
    <s v="mengaplikasikan perbandingan trigonometri (sinus, cosinus, tangen) dari sudut lancip."/>
    <s v="01.01"/>
    <x v="14"/>
    <s v="K09"/>
    <s v="D"/>
    <n v="65"/>
    <n v="20"/>
    <s v="Tidak tuntas"/>
    <s v="Matematika"/>
    <x v="5"/>
    <x v="9"/>
    <n v="20"/>
    <x v="3"/>
    <n v="9"/>
    <x v="0"/>
    <x v="1"/>
    <x v="3"/>
  </r>
  <r>
    <n v="749"/>
    <s v="242510007"/>
    <x v="0"/>
    <x v="5"/>
    <s v="Intan Jaya"/>
    <d v="2026-01-14T00:00:00"/>
    <s v="14"/>
    <x v="0"/>
    <s v="26"/>
    <x v="0"/>
    <x v="0"/>
    <x v="2"/>
    <s v="Real"/>
    <s v="Entrepreneur"/>
    <s v="Product development"/>
    <x v="0"/>
    <x v="0"/>
    <x v="1"/>
    <s v="F11.01.02"/>
    <n v="1"/>
    <s v="mengaplikasikan perbandingan trigonometri (sinus, cosinus, tangen) dari sudut lancip."/>
    <s v="01.02"/>
    <x v="15"/>
    <s v="K11"/>
    <s v="F"/>
    <n v="65"/>
    <n v="100"/>
    <s v="Tuntas"/>
    <s v="Matematika"/>
    <x v="5"/>
    <x v="9"/>
    <n v="100"/>
    <x v="4"/>
    <n v="11"/>
    <x v="0"/>
    <x v="1"/>
    <x v="3"/>
  </r>
  <r>
    <n v="750"/>
    <s v="242510007"/>
    <x v="0"/>
    <x v="5"/>
    <s v="Intan Jaya"/>
    <d v="2026-01-19T00:00:00"/>
    <s v="19"/>
    <x v="0"/>
    <s v="26"/>
    <x v="0"/>
    <x v="0"/>
    <x v="2"/>
    <s v="Real"/>
    <s v="Entrepreneur"/>
    <s v="Product development"/>
    <x v="0"/>
    <x v="0"/>
    <x v="1"/>
    <s v="D09.01.01"/>
    <n v="1"/>
    <s v="mengaplikasikan perbandingan trigonometri (sinus, cosinus, tangen) dari sudut lancip."/>
    <s v="01.01"/>
    <x v="14"/>
    <s v="K09"/>
    <s v="D"/>
    <n v="65"/>
    <n v="0"/>
    <s v="Tidak tuntas"/>
    <s v="Matematika"/>
    <x v="5"/>
    <x v="0"/>
    <s v=""/>
    <x v="0"/>
    <s v=""/>
    <x v="0"/>
    <x v="0"/>
    <x v="0"/>
  </r>
  <r>
    <n v="751"/>
    <s v="242510007"/>
    <x v="0"/>
    <x v="5"/>
    <s v="Intan Jaya"/>
    <d v="2026-01-19T00:00:00"/>
    <s v="19"/>
    <x v="0"/>
    <s v="26"/>
    <x v="3"/>
    <x v="8"/>
    <x v="14"/>
    <s v="Real"/>
    <s v="Entrepreneur"/>
    <s v="Product development"/>
    <x v="0"/>
    <x v="0"/>
    <x v="1"/>
    <s v="F11.01.02"/>
    <n v="1"/>
    <s v="mengaplikasikan perbandingan trigonometri (sinus, cosinus, tangen) dari sudut lancip."/>
    <s v="01.02"/>
    <x v="15"/>
    <s v="K11"/>
    <s v="F"/>
    <n v="65"/>
    <n v="0"/>
    <s v="Tidak tuntas"/>
    <s v="Matematika"/>
    <x v="5"/>
    <x v="0"/>
    <s v=""/>
    <x v="0"/>
    <s v=""/>
    <x v="0"/>
    <x v="0"/>
    <x v="0"/>
  </r>
  <r>
    <n v="752"/>
    <s v="242510007"/>
    <x v="0"/>
    <x v="5"/>
    <s v="Intan Jaya"/>
    <d v="2026-01-21T00:00:00"/>
    <s v="21"/>
    <x v="0"/>
    <s v="26"/>
    <x v="0"/>
    <x v="0"/>
    <x v="2"/>
    <s v="Real"/>
    <s v="Entrepreneur"/>
    <s v="Product development"/>
    <x v="0"/>
    <x v="0"/>
    <x v="1"/>
    <s v="D09.01.01"/>
    <n v="1"/>
    <s v="mengaplikasikan perbandingan trigonometri (sinus, cosinus, tangen) dari sudut lancip."/>
    <s v="01.01"/>
    <x v="14"/>
    <s v="K09"/>
    <s v="D"/>
    <n v="65"/>
    <n v="20"/>
    <s v="Tidak tuntas"/>
    <s v="Matematika"/>
    <x v="5"/>
    <x v="9"/>
    <n v="20"/>
    <x v="3"/>
    <n v="9"/>
    <x v="0"/>
    <x v="2"/>
    <x v="3"/>
  </r>
  <r>
    <n v="753"/>
    <s v="242510007"/>
    <x v="0"/>
    <x v="5"/>
    <s v="Intan Jaya"/>
    <d v="2026-01-21T00:00:00"/>
    <s v="21"/>
    <x v="0"/>
    <s v="26"/>
    <x v="3"/>
    <x v="8"/>
    <x v="14"/>
    <s v="Real"/>
    <s v="Entrepreneur"/>
    <s v="Product development"/>
    <x v="0"/>
    <x v="0"/>
    <x v="1"/>
    <s v="D09.01.01"/>
    <n v="1"/>
    <s v="mengaplikasikan perbandingan trigonometri (sinus, cosinus, tangen) dari sudut lancip."/>
    <s v="01.01"/>
    <x v="14"/>
    <s v="K09"/>
    <s v="D"/>
    <n v="65"/>
    <n v="65"/>
    <s v="Tuntas"/>
    <s v="Matematika"/>
    <x v="5"/>
    <x v="9"/>
    <n v="65"/>
    <x v="1"/>
    <n v="9"/>
    <x v="3"/>
    <x v="2"/>
    <x v="3"/>
  </r>
  <r>
    <n v="754"/>
    <s v="242510007"/>
    <x v="0"/>
    <x v="5"/>
    <s v="Intan Jaya"/>
    <d v="2026-01-19T00:00:00"/>
    <s v="19"/>
    <x v="0"/>
    <s v="26"/>
    <x v="0"/>
    <x v="0"/>
    <x v="4"/>
    <s v="Real"/>
    <s v="Entrepreneur"/>
    <s v="Product development"/>
    <x v="0"/>
    <x v="0"/>
    <x v="1"/>
    <s v="D09.01.01"/>
    <n v="1"/>
    <s v="mengaplikasikan perbandingan trigonometri (sinus, cosinus, tangen) dari sudut lancip."/>
    <s v="01.01"/>
    <x v="14"/>
    <s v="K09"/>
    <s v="D"/>
    <n v="65"/>
    <n v="80"/>
    <s v="Tuntas"/>
    <s v="Matematika"/>
    <x v="5"/>
    <x v="9"/>
    <n v="80"/>
    <x v="2"/>
    <n v="9"/>
    <x v="0"/>
    <x v="2"/>
    <x v="3"/>
  </r>
  <r>
    <n v="755"/>
    <s v="242510007"/>
    <x v="0"/>
    <x v="5"/>
    <s v="Intan Jaya"/>
    <d v="2026-01-19T00:00:00"/>
    <s v="19"/>
    <x v="0"/>
    <s v="26"/>
    <x v="0"/>
    <x v="0"/>
    <x v="4"/>
    <s v="Real"/>
    <s v="Entrepreneur"/>
    <s v="Product development"/>
    <x v="0"/>
    <x v="0"/>
    <x v="1"/>
    <s v="F11.01.02"/>
    <n v="1"/>
    <s v="mengaplikasikan perbandingan trigonometri (sinus, cosinus, tangen) dari sudut lancip."/>
    <s v="01.02"/>
    <x v="15"/>
    <s v="K11"/>
    <s v="F"/>
    <n v="65"/>
    <n v="30"/>
    <s v="Tidak tuntas"/>
    <s v="Matematika"/>
    <x v="5"/>
    <x v="9"/>
    <n v="30"/>
    <x v="3"/>
    <n v="11"/>
    <x v="0"/>
    <x v="2"/>
    <x v="3"/>
  </r>
  <r>
    <n v="756"/>
    <s v="242510007"/>
    <x v="0"/>
    <x v="5"/>
    <s v="Intan Jaya"/>
    <d v="2026-01-28T00:00:00"/>
    <s v="28"/>
    <x v="0"/>
    <s v="26"/>
    <x v="0"/>
    <x v="0"/>
    <x v="2"/>
    <s v="Real"/>
    <s v="Entrepreneur"/>
    <s v="Product development"/>
    <x v="0"/>
    <x v="0"/>
    <x v="1"/>
    <s v="D09.01.01"/>
    <n v="1"/>
    <s v="mengaplikasikan perbandingan trigonometri (sinus, cosinus, tangen) dari sudut lancip."/>
    <s v="01.01"/>
    <x v="14"/>
    <s v="K09"/>
    <s v="D"/>
    <n v="65"/>
    <n v="20"/>
    <s v="Tidak tuntas"/>
    <s v="Matematika"/>
    <x v="5"/>
    <x v="9"/>
    <n v="20"/>
    <x v="3"/>
    <n v="9"/>
    <x v="0"/>
    <x v="3"/>
    <x v="3"/>
  </r>
  <r>
    <n v="757"/>
    <s v="242510007"/>
    <x v="0"/>
    <x v="5"/>
    <s v="Intan Jaya"/>
    <d v="2026-02-04T00:00:00"/>
    <s v="04"/>
    <x v="1"/>
    <s v="26"/>
    <x v="0"/>
    <x v="0"/>
    <x v="2"/>
    <s v="Real"/>
    <s v="Entrepreneur"/>
    <s v="Product development"/>
    <x v="0"/>
    <x v="0"/>
    <x v="1"/>
    <s v="F11.01.02"/>
    <n v="1"/>
    <s v="mengaplikasikan perbandingan trigonometri (sinus, cosinus, tangen) dari sudut lancip."/>
    <s v="01.02"/>
    <x v="15"/>
    <s v="K11"/>
    <s v="F"/>
    <n v="65"/>
    <n v="95"/>
    <s v="Tuntas"/>
    <s v="Matematika"/>
    <x v="5"/>
    <x v="9"/>
    <n v="95"/>
    <x v="4"/>
    <n v="11"/>
    <x v="0"/>
    <x v="4"/>
    <x v="3"/>
  </r>
  <r>
    <n v="758"/>
    <s v="242510007"/>
    <x v="0"/>
    <x v="5"/>
    <s v="Intan Jaya"/>
    <d v="2026-02-06T00:00:00"/>
    <s v="06"/>
    <x v="1"/>
    <s v="26"/>
    <x v="0"/>
    <x v="0"/>
    <x v="2"/>
    <s v="Real"/>
    <s v="Entrepreneur"/>
    <s v="Product development"/>
    <x v="0"/>
    <x v="0"/>
    <x v="1"/>
    <s v="F11.01.02"/>
    <n v="1"/>
    <s v="mengaplikasikan perbandingan trigonometri (sinus, cosinus, tangen) dari sudut lancip."/>
    <s v="01.02"/>
    <x v="15"/>
    <s v="K11"/>
    <s v="F"/>
    <n v="65"/>
    <n v="90"/>
    <s v="Tuntas"/>
    <s v="Matematika"/>
    <x v="5"/>
    <x v="9"/>
    <n v="90"/>
    <x v="2"/>
    <n v="11"/>
    <x v="0"/>
    <x v="4"/>
    <x v="3"/>
  </r>
  <r>
    <n v="759"/>
    <s v="242510007"/>
    <x v="0"/>
    <x v="5"/>
    <s v="Intan Jaya"/>
    <d v="2026-02-09T00:00:00"/>
    <s v="09"/>
    <x v="1"/>
    <s v="26"/>
    <x v="0"/>
    <x v="0"/>
    <x v="2"/>
    <s v="Real"/>
    <s v="Entrepreneur"/>
    <s v="Product development"/>
    <x v="0"/>
    <x v="0"/>
    <x v="1"/>
    <s v="F11.01.02"/>
    <n v="1"/>
    <s v="mengaplikasikan perbandingan trigonometri (sinus, cosinus, tangen) dari sudut lancip."/>
    <s v="01.02"/>
    <x v="15"/>
    <s v="K11"/>
    <s v="F"/>
    <n v="65"/>
    <n v="50"/>
    <s v="Tidak tuntas"/>
    <s v="Matematika"/>
    <x v="5"/>
    <x v="9"/>
    <n v="50"/>
    <x v="3"/>
    <n v="11"/>
    <x v="0"/>
    <x v="5"/>
    <x v="3"/>
  </r>
  <r>
    <n v="760"/>
    <s v="242510007"/>
    <x v="0"/>
    <x v="5"/>
    <s v="Intan Jaya"/>
    <d v="2026-02-06T00:00:00"/>
    <s v="06"/>
    <x v="1"/>
    <s v="26"/>
    <x v="0"/>
    <x v="0"/>
    <x v="4"/>
    <s v="Real"/>
    <s v="Entrepreneur"/>
    <s v="Product development"/>
    <x v="0"/>
    <x v="0"/>
    <x v="1"/>
    <s v="F11.01.02"/>
    <n v="1"/>
    <s v="mengaplikasikan perbandingan trigonometri (sinus, cosinus, tangen) dari sudut lancip."/>
    <s v="01.02"/>
    <x v="15"/>
    <s v="K11"/>
    <s v="F"/>
    <n v="65"/>
    <n v="53"/>
    <s v="Tidak tuntas"/>
    <s v="Matematika"/>
    <x v="5"/>
    <x v="9"/>
    <n v="53"/>
    <x v="3"/>
    <n v="11"/>
    <x v="0"/>
    <x v="4"/>
    <x v="3"/>
  </r>
  <r>
    <n v="761"/>
    <s v="242510007"/>
    <x v="0"/>
    <x v="5"/>
    <s v="Intan Jaya"/>
    <d v="2026-02-11T00:00:00"/>
    <s v="11"/>
    <x v="1"/>
    <s v="26"/>
    <x v="0"/>
    <x v="0"/>
    <x v="2"/>
    <s v="Real"/>
    <s v="Entrepreneur"/>
    <s v="Product development"/>
    <x v="0"/>
    <x v="0"/>
    <x v="1"/>
    <s v="F11.01.02"/>
    <n v="1"/>
    <s v="mengaplikasikan perbandingan trigonometri (sinus, cosinus, tangen) dari sudut lancip."/>
    <s v="01.02"/>
    <x v="15"/>
    <s v="K11"/>
    <s v="F"/>
    <n v="65"/>
    <n v="30"/>
    <s v="Tidak tuntas"/>
    <s v="Matematika"/>
    <x v="5"/>
    <x v="9"/>
    <n v="30"/>
    <x v="3"/>
    <n v="11"/>
    <x v="0"/>
    <x v="5"/>
    <x v="3"/>
  </r>
  <r>
    <n v="762"/>
    <s v="242510008"/>
    <x v="0"/>
    <x v="6"/>
    <s v="Dogiyai"/>
    <d v="2026-01-14T00:00:00"/>
    <s v="14"/>
    <x v="0"/>
    <s v="26"/>
    <x v="0"/>
    <x v="0"/>
    <x v="2"/>
    <s v="Real"/>
    <s v="Entrepreneur"/>
    <s v="Product development"/>
    <x v="0"/>
    <x v="0"/>
    <x v="1"/>
    <s v="D09.01.01"/>
    <n v="1"/>
    <s v="mengaplikasikan perbandingan trigonometri (sinus, cosinus, tangen) dari sudut lancip."/>
    <s v="01.01"/>
    <x v="14"/>
    <s v="K09"/>
    <s v="D"/>
    <n v="65"/>
    <n v="100"/>
    <s v="Tuntas"/>
    <s v="Matematika"/>
    <x v="5"/>
    <x v="9"/>
    <n v="100"/>
    <x v="4"/>
    <n v="9"/>
    <x v="0"/>
    <x v="1"/>
    <x v="4"/>
  </r>
  <r>
    <n v="763"/>
    <s v="242510008"/>
    <x v="0"/>
    <x v="6"/>
    <s v="Dogiyai"/>
    <d v="2026-01-14T00:00:00"/>
    <s v="14"/>
    <x v="0"/>
    <s v="26"/>
    <x v="0"/>
    <x v="0"/>
    <x v="2"/>
    <s v="Real"/>
    <s v="Entrepreneur"/>
    <s v="Product development"/>
    <x v="0"/>
    <x v="0"/>
    <x v="1"/>
    <s v="F11.01.02"/>
    <n v="1"/>
    <s v="mengaplikasikan perbandingan trigonometri (sinus, cosinus, tangen) dari sudut lancip."/>
    <s v="01.02"/>
    <x v="15"/>
    <s v="K11"/>
    <s v="F"/>
    <n v="65"/>
    <n v="100"/>
    <s v="Tuntas"/>
    <s v="Matematika"/>
    <x v="5"/>
    <x v="9"/>
    <n v="100"/>
    <x v="4"/>
    <n v="11"/>
    <x v="0"/>
    <x v="1"/>
    <x v="4"/>
  </r>
  <r>
    <n v="764"/>
    <s v="242510008"/>
    <x v="0"/>
    <x v="6"/>
    <s v="Dogiyai"/>
    <d v="2026-01-19T00:00:00"/>
    <s v="19"/>
    <x v="0"/>
    <s v="26"/>
    <x v="0"/>
    <x v="0"/>
    <x v="2"/>
    <s v="Real"/>
    <s v="Entrepreneur"/>
    <s v="Product development"/>
    <x v="0"/>
    <x v="0"/>
    <x v="1"/>
    <s v="D09.01.01"/>
    <n v="1"/>
    <s v="mengaplikasikan perbandingan trigonometri (sinus, cosinus, tangen) dari sudut lancip."/>
    <s v="01.01"/>
    <x v="14"/>
    <s v="K09"/>
    <s v="D"/>
    <n v="65"/>
    <n v="70"/>
    <s v="Tuntas"/>
    <s v="Matematika"/>
    <x v="5"/>
    <x v="9"/>
    <n v="70"/>
    <x v="1"/>
    <n v="9"/>
    <x v="0"/>
    <x v="2"/>
    <x v="4"/>
  </r>
  <r>
    <n v="765"/>
    <s v="242510008"/>
    <x v="0"/>
    <x v="6"/>
    <s v="Dogiyai"/>
    <d v="2026-01-19T00:00:00"/>
    <s v="19"/>
    <x v="0"/>
    <s v="26"/>
    <x v="3"/>
    <x v="8"/>
    <x v="14"/>
    <s v="Real"/>
    <s v="Entrepreneur"/>
    <s v="Product development"/>
    <x v="0"/>
    <x v="0"/>
    <x v="1"/>
    <s v="F11.01.02"/>
    <n v="1"/>
    <s v="mengaplikasikan perbandingan trigonometri (sinus, cosinus, tangen) dari sudut lancip."/>
    <s v="01.02"/>
    <x v="15"/>
    <s v="K11"/>
    <s v="F"/>
    <n v="65"/>
    <n v="90"/>
    <s v="Tuntas"/>
    <s v="Matematika"/>
    <x v="5"/>
    <x v="9"/>
    <n v="90"/>
    <x v="2"/>
    <n v="11"/>
    <x v="4"/>
    <x v="2"/>
    <x v="4"/>
  </r>
  <r>
    <n v="766"/>
    <s v="242510008"/>
    <x v="0"/>
    <x v="6"/>
    <s v="Dogiyai"/>
    <d v="2026-01-21T00:00:00"/>
    <s v="21"/>
    <x v="0"/>
    <s v="26"/>
    <x v="0"/>
    <x v="0"/>
    <x v="2"/>
    <s v="Real"/>
    <s v="Entrepreneur"/>
    <s v="Product development"/>
    <x v="0"/>
    <x v="0"/>
    <x v="1"/>
    <s v="D09.01.01"/>
    <n v="1"/>
    <s v="mengaplikasikan perbandingan trigonometri (sinus, cosinus, tangen) dari sudut lancip."/>
    <s v="01.01"/>
    <x v="14"/>
    <s v="K09"/>
    <s v="D"/>
    <n v="65"/>
    <n v="40"/>
    <s v="Tidak tuntas"/>
    <s v="Matematika"/>
    <x v="5"/>
    <x v="9"/>
    <n v="40"/>
    <x v="3"/>
    <n v="9"/>
    <x v="0"/>
    <x v="2"/>
    <x v="4"/>
  </r>
  <r>
    <n v="767"/>
    <s v="242510008"/>
    <x v="0"/>
    <x v="6"/>
    <s v="Dogiyai"/>
    <d v="2026-01-21T00:00:00"/>
    <s v="21"/>
    <x v="0"/>
    <s v="26"/>
    <x v="3"/>
    <x v="8"/>
    <x v="14"/>
    <s v="Real"/>
    <s v="Entrepreneur"/>
    <s v="Product development"/>
    <x v="0"/>
    <x v="0"/>
    <x v="1"/>
    <s v="D09.01.01"/>
    <n v="1"/>
    <s v="mengaplikasikan perbandingan trigonometri (sinus, cosinus, tangen) dari sudut lancip."/>
    <s v="01.01"/>
    <x v="14"/>
    <s v="K09"/>
    <s v="D"/>
    <n v="65"/>
    <n v="90"/>
    <s v="Tuntas"/>
    <s v="Matematika"/>
    <x v="5"/>
    <x v="9"/>
    <n v="90"/>
    <x v="2"/>
    <n v="9"/>
    <x v="4"/>
    <x v="2"/>
    <x v="4"/>
  </r>
  <r>
    <n v="768"/>
    <s v="242510008"/>
    <x v="0"/>
    <x v="6"/>
    <s v="Dogiyai"/>
    <d v="2026-01-19T00:00:00"/>
    <s v="19"/>
    <x v="0"/>
    <s v="26"/>
    <x v="0"/>
    <x v="0"/>
    <x v="4"/>
    <s v="Real"/>
    <s v="Entrepreneur"/>
    <s v="Product development"/>
    <x v="0"/>
    <x v="0"/>
    <x v="1"/>
    <s v="D09.01.01"/>
    <n v="1"/>
    <s v="mengaplikasikan perbandingan trigonometri (sinus, cosinus, tangen) dari sudut lancip."/>
    <s v="01.01"/>
    <x v="14"/>
    <s v="K09"/>
    <s v="D"/>
    <n v="65"/>
    <n v="100"/>
    <s v="Tuntas"/>
    <s v="Matematika"/>
    <x v="5"/>
    <x v="9"/>
    <n v="100"/>
    <x v="4"/>
    <n v="9"/>
    <x v="0"/>
    <x v="2"/>
    <x v="4"/>
  </r>
  <r>
    <n v="769"/>
    <s v="242510008"/>
    <x v="0"/>
    <x v="6"/>
    <s v="Dogiyai"/>
    <d v="2026-01-19T00:00:00"/>
    <s v="19"/>
    <x v="0"/>
    <s v="26"/>
    <x v="0"/>
    <x v="0"/>
    <x v="4"/>
    <s v="Real"/>
    <s v="Entrepreneur"/>
    <s v="Product development"/>
    <x v="0"/>
    <x v="0"/>
    <x v="1"/>
    <s v="F11.01.02"/>
    <n v="1"/>
    <s v="mengaplikasikan perbandingan trigonometri (sinus, cosinus, tangen) dari sudut lancip."/>
    <s v="01.02"/>
    <x v="15"/>
    <s v="K11"/>
    <s v="F"/>
    <n v="65"/>
    <n v="70"/>
    <s v="Tuntas"/>
    <s v="Matematika"/>
    <x v="5"/>
    <x v="9"/>
    <n v="70"/>
    <x v="1"/>
    <n v="11"/>
    <x v="0"/>
    <x v="2"/>
    <x v="4"/>
  </r>
  <r>
    <n v="770"/>
    <s v="242510008"/>
    <x v="0"/>
    <x v="6"/>
    <s v="Dogiyai"/>
    <d v="2026-01-28T00:00:00"/>
    <s v="28"/>
    <x v="0"/>
    <s v="26"/>
    <x v="0"/>
    <x v="0"/>
    <x v="2"/>
    <s v="Real"/>
    <s v="Entrepreneur"/>
    <s v="Product development"/>
    <x v="0"/>
    <x v="0"/>
    <x v="1"/>
    <s v="D09.01.01"/>
    <n v="1"/>
    <s v="mengaplikasikan perbandingan trigonometri (sinus, cosinus, tangen) dari sudut lancip."/>
    <s v="01.01"/>
    <x v="14"/>
    <s v="K09"/>
    <s v="D"/>
    <n v="65"/>
    <n v="95"/>
    <s v="Tuntas"/>
    <s v="Matematika"/>
    <x v="5"/>
    <x v="9"/>
    <n v="95"/>
    <x v="4"/>
    <n v="9"/>
    <x v="0"/>
    <x v="3"/>
    <x v="4"/>
  </r>
  <r>
    <n v="771"/>
    <s v="242510008"/>
    <x v="0"/>
    <x v="6"/>
    <s v="Dogiyai"/>
    <d v="2026-02-04T00:00:00"/>
    <s v="04"/>
    <x v="1"/>
    <s v="26"/>
    <x v="0"/>
    <x v="0"/>
    <x v="2"/>
    <s v="Real"/>
    <s v="Entrepreneur"/>
    <s v="Product development"/>
    <x v="0"/>
    <x v="0"/>
    <x v="1"/>
    <s v="F11.01.02"/>
    <n v="1"/>
    <s v="mengaplikasikan perbandingan trigonometri (sinus, cosinus, tangen) dari sudut lancip."/>
    <s v="01.02"/>
    <x v="15"/>
    <s v="K11"/>
    <s v="F"/>
    <n v="65"/>
    <n v="98"/>
    <s v="Tuntas"/>
    <s v="Matematika"/>
    <x v="5"/>
    <x v="9"/>
    <n v="98"/>
    <x v="4"/>
    <n v="11"/>
    <x v="0"/>
    <x v="4"/>
    <x v="4"/>
  </r>
  <r>
    <n v="772"/>
    <s v="242510008"/>
    <x v="0"/>
    <x v="6"/>
    <s v="Dogiyai"/>
    <d v="2026-02-06T00:00:00"/>
    <s v="06"/>
    <x v="1"/>
    <s v="26"/>
    <x v="0"/>
    <x v="0"/>
    <x v="2"/>
    <s v="Real"/>
    <s v="Entrepreneur"/>
    <s v="Product development"/>
    <x v="0"/>
    <x v="0"/>
    <x v="1"/>
    <s v="F11.01.02"/>
    <n v="1"/>
    <s v="mengaplikasikan perbandingan trigonometri (sinus, cosinus, tangen) dari sudut lancip."/>
    <s v="01.02"/>
    <x v="15"/>
    <s v="K11"/>
    <s v="F"/>
    <n v="65"/>
    <n v="100"/>
    <s v="Tuntas"/>
    <s v="Matematika"/>
    <x v="5"/>
    <x v="9"/>
    <n v="100"/>
    <x v="4"/>
    <n v="11"/>
    <x v="0"/>
    <x v="4"/>
    <x v="4"/>
  </r>
  <r>
    <n v="773"/>
    <s v="242510008"/>
    <x v="0"/>
    <x v="6"/>
    <s v="Dogiyai"/>
    <d v="2026-02-09T00:00:00"/>
    <s v="09"/>
    <x v="1"/>
    <s v="26"/>
    <x v="0"/>
    <x v="0"/>
    <x v="2"/>
    <s v="Real"/>
    <s v="Entrepreneur"/>
    <s v="Product development"/>
    <x v="0"/>
    <x v="0"/>
    <x v="1"/>
    <s v="F11.01.02"/>
    <n v="1"/>
    <s v="mengaplikasikan perbandingan trigonometri (sinus, cosinus, tangen) dari sudut lancip."/>
    <s v="01.02"/>
    <x v="15"/>
    <s v="K11"/>
    <s v="F"/>
    <n v="65"/>
    <n v="80"/>
    <s v="Tuntas"/>
    <s v="Matematika"/>
    <x v="5"/>
    <x v="9"/>
    <n v="80"/>
    <x v="2"/>
    <n v="11"/>
    <x v="0"/>
    <x v="5"/>
    <x v="4"/>
  </r>
  <r>
    <n v="774"/>
    <s v="242510008"/>
    <x v="0"/>
    <x v="6"/>
    <s v="Dogiyai"/>
    <d v="2026-02-06T00:00:00"/>
    <s v="06"/>
    <x v="1"/>
    <s v="26"/>
    <x v="0"/>
    <x v="0"/>
    <x v="4"/>
    <s v="Real"/>
    <s v="Entrepreneur"/>
    <s v="Product development"/>
    <x v="0"/>
    <x v="0"/>
    <x v="1"/>
    <s v="F11.01.02"/>
    <n v="1"/>
    <s v="mengaplikasikan perbandingan trigonometri (sinus, cosinus, tangen) dari sudut lancip."/>
    <s v="01.02"/>
    <x v="15"/>
    <s v="K11"/>
    <s v="F"/>
    <n v="65"/>
    <n v="90"/>
    <s v="Tuntas"/>
    <s v="Matematika"/>
    <x v="5"/>
    <x v="9"/>
    <n v="90"/>
    <x v="2"/>
    <n v="11"/>
    <x v="0"/>
    <x v="4"/>
    <x v="4"/>
  </r>
  <r>
    <n v="775"/>
    <s v="242510008"/>
    <x v="0"/>
    <x v="6"/>
    <s v="Dogiyai"/>
    <d v="2026-02-11T00:00:00"/>
    <s v="11"/>
    <x v="1"/>
    <s v="26"/>
    <x v="0"/>
    <x v="0"/>
    <x v="2"/>
    <s v="Real"/>
    <s v="Entrepreneur"/>
    <s v="Product development"/>
    <x v="0"/>
    <x v="0"/>
    <x v="1"/>
    <s v="F11.01.02"/>
    <n v="1"/>
    <s v="mengaplikasikan perbandingan trigonometri (sinus, cosinus, tangen) dari sudut lancip."/>
    <s v="01.02"/>
    <x v="15"/>
    <s v="K11"/>
    <s v="F"/>
    <n v="65"/>
    <n v="80"/>
    <s v="Tuntas"/>
    <s v="Matematika"/>
    <x v="5"/>
    <x v="9"/>
    <n v="80"/>
    <x v="2"/>
    <n v="11"/>
    <x v="0"/>
    <x v="5"/>
    <x v="4"/>
  </r>
  <r>
    <n v="776"/>
    <s v="242510013"/>
    <x v="0"/>
    <x v="0"/>
    <s v="Intan Jaya"/>
    <d v="2026-01-14T00:00:00"/>
    <s v="14"/>
    <x v="0"/>
    <s v="26"/>
    <x v="0"/>
    <x v="0"/>
    <x v="2"/>
    <s v="Real"/>
    <s v="Entrepreneur"/>
    <s v="Product development"/>
    <x v="0"/>
    <x v="0"/>
    <x v="1"/>
    <s v="D09.01.01"/>
    <n v="1"/>
    <s v="mengaplikasikan perbandingan trigonometri (sinus, cosinus, tangen) dari sudut lancip."/>
    <s v="01.01"/>
    <x v="14"/>
    <s v="K09"/>
    <s v="D"/>
    <n v="65"/>
    <n v="40"/>
    <s v="Tidak tuntas"/>
    <s v="Matematika"/>
    <x v="5"/>
    <x v="9"/>
    <n v="40"/>
    <x v="3"/>
    <n v="9"/>
    <x v="0"/>
    <x v="1"/>
    <x v="6"/>
  </r>
  <r>
    <n v="777"/>
    <s v="242510013"/>
    <x v="0"/>
    <x v="0"/>
    <s v="Intan Jaya"/>
    <d v="2026-01-14T00:00:00"/>
    <s v="14"/>
    <x v="0"/>
    <s v="26"/>
    <x v="0"/>
    <x v="0"/>
    <x v="2"/>
    <s v="Real"/>
    <s v="Entrepreneur"/>
    <s v="Product development"/>
    <x v="0"/>
    <x v="0"/>
    <x v="1"/>
    <s v="F11.01.02"/>
    <n v="1"/>
    <s v="mengaplikasikan perbandingan trigonometri (sinus, cosinus, tangen) dari sudut lancip."/>
    <s v="01.02"/>
    <x v="15"/>
    <s v="K11"/>
    <s v="F"/>
    <n v="65"/>
    <n v="100"/>
    <s v="Tuntas"/>
    <s v="Matematika"/>
    <x v="5"/>
    <x v="9"/>
    <n v="100"/>
    <x v="4"/>
    <n v="11"/>
    <x v="0"/>
    <x v="1"/>
    <x v="6"/>
  </r>
  <r>
    <n v="778"/>
    <s v="242510013"/>
    <x v="0"/>
    <x v="0"/>
    <s v="Intan Jaya"/>
    <d v="2026-01-19T00:00:00"/>
    <s v="19"/>
    <x v="0"/>
    <s v="26"/>
    <x v="0"/>
    <x v="0"/>
    <x v="2"/>
    <s v="Real"/>
    <s v="Entrepreneur"/>
    <s v="Product development"/>
    <x v="0"/>
    <x v="0"/>
    <x v="1"/>
    <s v="D09.01.01"/>
    <n v="1"/>
    <s v="mengaplikasikan perbandingan trigonometri (sinus, cosinus, tangen) dari sudut lancip."/>
    <s v="01.01"/>
    <x v="14"/>
    <s v="K09"/>
    <s v="D"/>
    <n v="65"/>
    <n v="0"/>
    <s v="Tidak tuntas"/>
    <s v="Matematika"/>
    <x v="5"/>
    <x v="0"/>
    <s v=""/>
    <x v="0"/>
    <s v=""/>
    <x v="0"/>
    <x v="0"/>
    <x v="0"/>
  </r>
  <r>
    <n v="779"/>
    <s v="242510013"/>
    <x v="0"/>
    <x v="0"/>
    <s v="Intan Jaya"/>
    <d v="2026-01-19T00:00:00"/>
    <s v="19"/>
    <x v="0"/>
    <s v="26"/>
    <x v="3"/>
    <x v="8"/>
    <x v="14"/>
    <s v="Real"/>
    <s v="Entrepreneur"/>
    <s v="Product development"/>
    <x v="0"/>
    <x v="0"/>
    <x v="1"/>
    <s v="F11.01.02"/>
    <n v="1"/>
    <s v="mengaplikasikan perbandingan trigonometri (sinus, cosinus, tangen) dari sudut lancip."/>
    <s v="01.02"/>
    <x v="15"/>
    <s v="K11"/>
    <s v="F"/>
    <n v="65"/>
    <n v="0"/>
    <s v="Tidak tuntas"/>
    <s v="Matematika"/>
    <x v="5"/>
    <x v="0"/>
    <s v=""/>
    <x v="0"/>
    <s v=""/>
    <x v="0"/>
    <x v="0"/>
    <x v="0"/>
  </r>
  <r>
    <n v="780"/>
    <s v="242510013"/>
    <x v="0"/>
    <x v="0"/>
    <s v="Intan Jaya"/>
    <d v="2026-01-21T00:00:00"/>
    <s v="21"/>
    <x v="0"/>
    <s v="26"/>
    <x v="0"/>
    <x v="0"/>
    <x v="2"/>
    <s v="Real"/>
    <s v="Entrepreneur"/>
    <s v="Product development"/>
    <x v="0"/>
    <x v="0"/>
    <x v="1"/>
    <s v="D09.01.01"/>
    <n v="1"/>
    <s v="mengaplikasikan perbandingan trigonometri (sinus, cosinus, tangen) dari sudut lancip."/>
    <s v="01.01"/>
    <x v="14"/>
    <s v="K09"/>
    <s v="D"/>
    <n v="65"/>
    <n v="0"/>
    <s v="Tidak tuntas"/>
    <s v="Matematika"/>
    <x v="5"/>
    <x v="0"/>
    <s v=""/>
    <x v="0"/>
    <s v=""/>
    <x v="0"/>
    <x v="0"/>
    <x v="0"/>
  </r>
  <r>
    <n v="781"/>
    <s v="242510013"/>
    <x v="0"/>
    <x v="0"/>
    <s v="Intan Jaya"/>
    <d v="2026-01-21T00:00:00"/>
    <s v="21"/>
    <x v="0"/>
    <s v="26"/>
    <x v="3"/>
    <x v="8"/>
    <x v="14"/>
    <s v="Real"/>
    <s v="Entrepreneur"/>
    <s v="Product development"/>
    <x v="0"/>
    <x v="0"/>
    <x v="1"/>
    <s v="D09.01.01"/>
    <n v="1"/>
    <s v="mengaplikasikan perbandingan trigonometri (sinus, cosinus, tangen) dari sudut lancip."/>
    <s v="01.01"/>
    <x v="14"/>
    <s v="K09"/>
    <s v="D"/>
    <n v="65"/>
    <n v="0"/>
    <s v="Tidak tuntas"/>
    <s v="Matematika"/>
    <x v="5"/>
    <x v="0"/>
    <s v=""/>
    <x v="0"/>
    <s v=""/>
    <x v="0"/>
    <x v="0"/>
    <x v="0"/>
  </r>
  <r>
    <n v="782"/>
    <s v="242510013"/>
    <x v="0"/>
    <x v="0"/>
    <s v="Intan Jaya"/>
    <d v="2026-01-19T00:00:00"/>
    <s v="19"/>
    <x v="0"/>
    <s v="26"/>
    <x v="0"/>
    <x v="0"/>
    <x v="4"/>
    <s v="Real"/>
    <s v="Entrepreneur"/>
    <s v="Product development"/>
    <x v="0"/>
    <x v="0"/>
    <x v="1"/>
    <s v="D09.01.01"/>
    <n v="1"/>
    <s v="mengaplikasikan perbandingan trigonometri (sinus, cosinus, tangen) dari sudut lancip."/>
    <s v="01.01"/>
    <x v="14"/>
    <s v="K09"/>
    <s v="D"/>
    <n v="65"/>
    <n v="90"/>
    <s v="Tuntas"/>
    <s v="Matematika"/>
    <x v="5"/>
    <x v="9"/>
    <n v="90"/>
    <x v="2"/>
    <n v="9"/>
    <x v="0"/>
    <x v="2"/>
    <x v="6"/>
  </r>
  <r>
    <n v="783"/>
    <s v="242510013"/>
    <x v="0"/>
    <x v="0"/>
    <s v="Intan Jaya"/>
    <d v="2026-01-19T00:00:00"/>
    <s v="19"/>
    <x v="0"/>
    <s v="26"/>
    <x v="0"/>
    <x v="0"/>
    <x v="4"/>
    <s v="Real"/>
    <s v="Entrepreneur"/>
    <s v="Product development"/>
    <x v="0"/>
    <x v="0"/>
    <x v="1"/>
    <s v="F11.01.02"/>
    <n v="1"/>
    <s v="mengaplikasikan perbandingan trigonometri (sinus, cosinus, tangen) dari sudut lancip."/>
    <s v="01.02"/>
    <x v="15"/>
    <s v="K11"/>
    <s v="F"/>
    <n v="65"/>
    <n v="50"/>
    <s v="Tidak tuntas"/>
    <s v="Matematika"/>
    <x v="5"/>
    <x v="9"/>
    <n v="50"/>
    <x v="3"/>
    <n v="11"/>
    <x v="0"/>
    <x v="2"/>
    <x v="6"/>
  </r>
  <r>
    <n v="784"/>
    <s v="242510013"/>
    <x v="0"/>
    <x v="0"/>
    <s v="Intan Jaya"/>
    <d v="2026-01-28T00:00:00"/>
    <s v="28"/>
    <x v="0"/>
    <s v="26"/>
    <x v="0"/>
    <x v="0"/>
    <x v="2"/>
    <s v="Real"/>
    <s v="Entrepreneur"/>
    <s v="Product development"/>
    <x v="0"/>
    <x v="0"/>
    <x v="1"/>
    <s v="D09.01.01"/>
    <n v="1"/>
    <s v="mengaplikasikan perbandingan trigonometri (sinus, cosinus, tangen) dari sudut lancip."/>
    <s v="01.01"/>
    <x v="14"/>
    <s v="K09"/>
    <s v="D"/>
    <n v="65"/>
    <n v="0"/>
    <s v="Tidak tuntas"/>
    <s v="Matematika"/>
    <x v="5"/>
    <x v="0"/>
    <s v=""/>
    <x v="0"/>
    <s v=""/>
    <x v="0"/>
    <x v="0"/>
    <x v="0"/>
  </r>
  <r>
    <n v="785"/>
    <s v="242510013"/>
    <x v="0"/>
    <x v="0"/>
    <s v="Intan Jaya"/>
    <d v="2026-02-04T00:00:00"/>
    <s v="04"/>
    <x v="1"/>
    <s v="26"/>
    <x v="0"/>
    <x v="0"/>
    <x v="2"/>
    <s v="Real"/>
    <s v="Entrepreneur"/>
    <s v="Product development"/>
    <x v="0"/>
    <x v="0"/>
    <x v="1"/>
    <s v="F11.01.02"/>
    <n v="1"/>
    <s v="mengaplikasikan perbandingan trigonometri (sinus, cosinus, tangen) dari sudut lancip."/>
    <s v="01.02"/>
    <x v="15"/>
    <s v="K11"/>
    <s v="F"/>
    <n v="65"/>
    <n v="0"/>
    <s v="Tidak tuntas"/>
    <s v="Matematika"/>
    <x v="5"/>
    <x v="0"/>
    <s v=""/>
    <x v="0"/>
    <s v=""/>
    <x v="0"/>
    <x v="0"/>
    <x v="0"/>
  </r>
  <r>
    <n v="786"/>
    <s v="242510013"/>
    <x v="0"/>
    <x v="0"/>
    <s v="Intan Jaya"/>
    <d v="2026-02-06T00:00:00"/>
    <s v="06"/>
    <x v="1"/>
    <s v="26"/>
    <x v="0"/>
    <x v="0"/>
    <x v="2"/>
    <s v="Real"/>
    <s v="Entrepreneur"/>
    <s v="Product development"/>
    <x v="0"/>
    <x v="0"/>
    <x v="1"/>
    <s v="F11.01.02"/>
    <n v="1"/>
    <s v="mengaplikasikan perbandingan trigonometri (sinus, cosinus, tangen) dari sudut lancip."/>
    <s v="01.02"/>
    <x v="15"/>
    <s v="K11"/>
    <s v="F"/>
    <n v="65"/>
    <n v="0"/>
    <s v="Tidak tuntas"/>
    <s v="Matematika"/>
    <x v="5"/>
    <x v="0"/>
    <s v=""/>
    <x v="0"/>
    <s v=""/>
    <x v="0"/>
    <x v="0"/>
    <x v="0"/>
  </r>
  <r>
    <n v="787"/>
    <s v="242510013"/>
    <x v="0"/>
    <x v="0"/>
    <s v="Intan Jaya"/>
    <d v="2026-02-09T00:00:00"/>
    <s v="09"/>
    <x v="1"/>
    <s v="26"/>
    <x v="0"/>
    <x v="0"/>
    <x v="2"/>
    <s v="Real"/>
    <s v="Entrepreneur"/>
    <s v="Product development"/>
    <x v="0"/>
    <x v="0"/>
    <x v="1"/>
    <s v="F11.01.02"/>
    <n v="1"/>
    <s v="mengaplikasikan perbandingan trigonometri (sinus, cosinus, tangen) dari sudut lancip."/>
    <s v="01.02"/>
    <x v="15"/>
    <s v="K11"/>
    <s v="F"/>
    <n v="65"/>
    <n v="0"/>
    <s v="Tidak tuntas"/>
    <s v="Matematika"/>
    <x v="5"/>
    <x v="0"/>
    <s v=""/>
    <x v="0"/>
    <s v=""/>
    <x v="0"/>
    <x v="0"/>
    <x v="0"/>
  </r>
  <r>
    <n v="788"/>
    <s v="242510013"/>
    <x v="0"/>
    <x v="0"/>
    <s v="Intan Jaya"/>
    <d v="2026-02-06T00:00:00"/>
    <s v="06"/>
    <x v="1"/>
    <s v="26"/>
    <x v="0"/>
    <x v="0"/>
    <x v="4"/>
    <s v="Real"/>
    <s v="Entrepreneur"/>
    <s v="Product development"/>
    <x v="0"/>
    <x v="0"/>
    <x v="1"/>
    <s v="F11.01.02"/>
    <n v="1"/>
    <s v="mengaplikasikan perbandingan trigonometri (sinus, cosinus, tangen) dari sudut lancip."/>
    <s v="01.02"/>
    <x v="15"/>
    <s v="K11"/>
    <s v="F"/>
    <n v="65"/>
    <n v="0"/>
    <s v="Tidak tuntas"/>
    <s v="Matematika"/>
    <x v="5"/>
    <x v="0"/>
    <s v=""/>
    <x v="0"/>
    <s v=""/>
    <x v="0"/>
    <x v="0"/>
    <x v="0"/>
  </r>
  <r>
    <n v="789"/>
    <s v="242510013"/>
    <x v="0"/>
    <x v="0"/>
    <s v="Intan Jaya"/>
    <d v="2026-02-11T00:00:00"/>
    <s v="11"/>
    <x v="1"/>
    <s v="26"/>
    <x v="0"/>
    <x v="0"/>
    <x v="2"/>
    <s v="Real"/>
    <s v="Entrepreneur"/>
    <s v="Product development"/>
    <x v="0"/>
    <x v="0"/>
    <x v="1"/>
    <s v="F11.01.02"/>
    <n v="1"/>
    <s v="mengaplikasikan perbandingan trigonometri (sinus, cosinus, tangen) dari sudut lancip."/>
    <s v="01.02"/>
    <x v="15"/>
    <s v="K11"/>
    <s v="F"/>
    <n v="65"/>
    <n v="0"/>
    <s v="Tidak tuntas"/>
    <s v="Matematika"/>
    <x v="5"/>
    <x v="0"/>
    <s v=""/>
    <x v="0"/>
    <s v=""/>
    <x v="0"/>
    <x v="0"/>
    <x v="0"/>
  </r>
  <r>
    <n v="790"/>
    <s v="242510014"/>
    <x v="0"/>
    <x v="7"/>
    <s v="Inta jaya"/>
    <d v="2026-01-14T00:00:00"/>
    <s v="14"/>
    <x v="0"/>
    <s v="26"/>
    <x v="0"/>
    <x v="0"/>
    <x v="2"/>
    <s v="Real"/>
    <s v="Entrepreneur"/>
    <s v="Product development"/>
    <x v="0"/>
    <x v="0"/>
    <x v="1"/>
    <s v="D09.01.01"/>
    <n v="1"/>
    <s v="mengaplikasikan perbandingan trigonometri (sinus, cosinus, tangen) dari sudut lancip."/>
    <s v="01.01"/>
    <x v="14"/>
    <s v="K09"/>
    <s v="D"/>
    <n v="65"/>
    <n v="0"/>
    <s v="Tidak tuntas"/>
    <s v="Matematika"/>
    <x v="5"/>
    <x v="0"/>
    <s v=""/>
    <x v="0"/>
    <s v=""/>
    <x v="0"/>
    <x v="0"/>
    <x v="0"/>
  </r>
  <r>
    <n v="791"/>
    <s v="242510014"/>
    <x v="0"/>
    <x v="7"/>
    <s v="Inta jaya"/>
    <d v="2026-01-14T00:00:00"/>
    <s v="14"/>
    <x v="0"/>
    <s v="26"/>
    <x v="0"/>
    <x v="0"/>
    <x v="2"/>
    <s v="Real"/>
    <s v="Entrepreneur"/>
    <s v="Product development"/>
    <x v="0"/>
    <x v="0"/>
    <x v="1"/>
    <s v="F11.01.02"/>
    <n v="1"/>
    <s v="mengaplikasikan perbandingan trigonometri (sinus, cosinus, tangen) dari sudut lancip."/>
    <s v="01.02"/>
    <x v="15"/>
    <s v="K11"/>
    <s v="F"/>
    <n v="65"/>
    <n v="0"/>
    <s v="Tidak tuntas"/>
    <s v="Matematika"/>
    <x v="5"/>
    <x v="0"/>
    <s v=""/>
    <x v="0"/>
    <s v=""/>
    <x v="0"/>
    <x v="0"/>
    <x v="0"/>
  </r>
  <r>
    <n v="792"/>
    <s v="242510014"/>
    <x v="0"/>
    <x v="7"/>
    <s v="Inta jaya"/>
    <d v="2026-01-19T00:00:00"/>
    <s v="19"/>
    <x v="0"/>
    <s v="26"/>
    <x v="0"/>
    <x v="0"/>
    <x v="2"/>
    <s v="Real"/>
    <s v="Entrepreneur"/>
    <s v="Product development"/>
    <x v="0"/>
    <x v="0"/>
    <x v="1"/>
    <s v="D09.01.01"/>
    <n v="1"/>
    <s v="mengaplikasikan perbandingan trigonometri (sinus, cosinus, tangen) dari sudut lancip."/>
    <s v="01.01"/>
    <x v="14"/>
    <s v="K09"/>
    <s v="D"/>
    <n v="65"/>
    <n v="40"/>
    <s v="Tidak tuntas"/>
    <s v="Matematika"/>
    <x v="5"/>
    <x v="9"/>
    <n v="40"/>
    <x v="3"/>
    <n v="9"/>
    <x v="0"/>
    <x v="2"/>
    <x v="2"/>
  </r>
  <r>
    <n v="793"/>
    <s v="242510014"/>
    <x v="0"/>
    <x v="7"/>
    <s v="Inta jaya"/>
    <d v="2026-01-19T00:00:00"/>
    <s v="19"/>
    <x v="0"/>
    <s v="26"/>
    <x v="3"/>
    <x v="8"/>
    <x v="14"/>
    <s v="Real"/>
    <s v="Entrepreneur"/>
    <s v="Product development"/>
    <x v="0"/>
    <x v="0"/>
    <x v="1"/>
    <s v="F11.01.02"/>
    <n v="1"/>
    <s v="mengaplikasikan perbandingan trigonometri (sinus, cosinus, tangen) dari sudut lancip."/>
    <s v="01.02"/>
    <x v="15"/>
    <s v="K11"/>
    <s v="F"/>
    <n v="65"/>
    <n v="65"/>
    <s v="Tuntas"/>
    <s v="Matematika"/>
    <x v="5"/>
    <x v="9"/>
    <n v="65"/>
    <x v="1"/>
    <n v="11"/>
    <x v="3"/>
    <x v="2"/>
    <x v="2"/>
  </r>
  <r>
    <n v="794"/>
    <s v="242510014"/>
    <x v="0"/>
    <x v="7"/>
    <s v="Inta jaya"/>
    <d v="2026-01-21T00:00:00"/>
    <s v="21"/>
    <x v="0"/>
    <s v="26"/>
    <x v="0"/>
    <x v="0"/>
    <x v="2"/>
    <s v="Real"/>
    <s v="Entrepreneur"/>
    <s v="Product development"/>
    <x v="0"/>
    <x v="0"/>
    <x v="1"/>
    <s v="D09.01.01"/>
    <n v="1"/>
    <s v="mengaplikasikan perbandingan trigonometri (sinus, cosinus, tangen) dari sudut lancip."/>
    <s v="01.01"/>
    <x v="14"/>
    <s v="K09"/>
    <s v="D"/>
    <n v="65"/>
    <n v="20"/>
    <s v="Tidak tuntas"/>
    <s v="Matematika"/>
    <x v="5"/>
    <x v="9"/>
    <n v="20"/>
    <x v="3"/>
    <n v="9"/>
    <x v="0"/>
    <x v="2"/>
    <x v="2"/>
  </r>
  <r>
    <n v="795"/>
    <s v="242510014"/>
    <x v="0"/>
    <x v="7"/>
    <s v="Inta jaya"/>
    <d v="2026-01-21T00:00:00"/>
    <s v="21"/>
    <x v="0"/>
    <s v="26"/>
    <x v="3"/>
    <x v="8"/>
    <x v="14"/>
    <s v="Real"/>
    <s v="Entrepreneur"/>
    <s v="Product development"/>
    <x v="0"/>
    <x v="0"/>
    <x v="1"/>
    <s v="D09.01.01"/>
    <n v="1"/>
    <s v="mengaplikasikan perbandingan trigonometri (sinus, cosinus, tangen) dari sudut lancip."/>
    <s v="01.01"/>
    <x v="14"/>
    <s v="K09"/>
    <s v="D"/>
    <n v="65"/>
    <n v="65"/>
    <s v="Tuntas"/>
    <s v="Matematika"/>
    <x v="5"/>
    <x v="9"/>
    <n v="65"/>
    <x v="1"/>
    <n v="9"/>
    <x v="3"/>
    <x v="2"/>
    <x v="2"/>
  </r>
  <r>
    <n v="796"/>
    <s v="242510014"/>
    <x v="0"/>
    <x v="7"/>
    <s v="Inta jaya"/>
    <d v="2026-01-19T00:00:00"/>
    <s v="19"/>
    <x v="0"/>
    <s v="26"/>
    <x v="0"/>
    <x v="0"/>
    <x v="4"/>
    <s v="Real"/>
    <s v="Entrepreneur"/>
    <s v="Product development"/>
    <x v="0"/>
    <x v="0"/>
    <x v="1"/>
    <s v="D09.01.01"/>
    <n v="1"/>
    <s v="mengaplikasikan perbandingan trigonometri (sinus, cosinus, tangen) dari sudut lancip."/>
    <s v="01.01"/>
    <x v="14"/>
    <s v="K09"/>
    <s v="D"/>
    <n v="65"/>
    <n v="90"/>
    <s v="Tuntas"/>
    <s v="Matematika"/>
    <x v="5"/>
    <x v="9"/>
    <n v="90"/>
    <x v="2"/>
    <n v="9"/>
    <x v="0"/>
    <x v="2"/>
    <x v="2"/>
  </r>
  <r>
    <n v="797"/>
    <s v="242510014"/>
    <x v="0"/>
    <x v="7"/>
    <s v="Inta jaya"/>
    <d v="2026-01-19T00:00:00"/>
    <s v="19"/>
    <x v="0"/>
    <s v="26"/>
    <x v="0"/>
    <x v="0"/>
    <x v="4"/>
    <s v="Real"/>
    <s v="Entrepreneur"/>
    <s v="Product development"/>
    <x v="0"/>
    <x v="0"/>
    <x v="1"/>
    <s v="F11.01.02"/>
    <n v="1"/>
    <s v="mengaplikasikan perbandingan trigonometri (sinus, cosinus, tangen) dari sudut lancip."/>
    <s v="01.02"/>
    <x v="15"/>
    <s v="K11"/>
    <s v="F"/>
    <n v="65"/>
    <n v="40"/>
    <s v="Tidak tuntas"/>
    <s v="Matematika"/>
    <x v="5"/>
    <x v="9"/>
    <n v="40"/>
    <x v="3"/>
    <n v="11"/>
    <x v="0"/>
    <x v="2"/>
    <x v="2"/>
  </r>
  <r>
    <n v="798"/>
    <s v="242510014"/>
    <x v="0"/>
    <x v="7"/>
    <s v="Inta jaya"/>
    <d v="2026-01-28T00:00:00"/>
    <s v="28"/>
    <x v="0"/>
    <s v="26"/>
    <x v="0"/>
    <x v="0"/>
    <x v="2"/>
    <s v="Real"/>
    <s v="Entrepreneur"/>
    <s v="Product development"/>
    <x v="0"/>
    <x v="0"/>
    <x v="1"/>
    <s v="D09.01.01"/>
    <n v="1"/>
    <s v="mengaplikasikan perbandingan trigonometri (sinus, cosinus, tangen) dari sudut lancip."/>
    <s v="01.01"/>
    <x v="14"/>
    <s v="K09"/>
    <s v="D"/>
    <n v="65"/>
    <n v="40"/>
    <s v="Tidak tuntas"/>
    <s v="Matematika"/>
    <x v="5"/>
    <x v="9"/>
    <n v="40"/>
    <x v="3"/>
    <n v="9"/>
    <x v="0"/>
    <x v="3"/>
    <x v="2"/>
  </r>
  <r>
    <n v="799"/>
    <s v="242510014"/>
    <x v="0"/>
    <x v="7"/>
    <s v="Inta jaya"/>
    <d v="2026-02-04T00:00:00"/>
    <s v="04"/>
    <x v="1"/>
    <s v="26"/>
    <x v="0"/>
    <x v="0"/>
    <x v="2"/>
    <s v="Real"/>
    <s v="Entrepreneur"/>
    <s v="Product development"/>
    <x v="0"/>
    <x v="0"/>
    <x v="1"/>
    <s v="F11.01.02"/>
    <n v="1"/>
    <s v="mengaplikasikan perbandingan trigonometri (sinus, cosinus, tangen) dari sudut lancip."/>
    <s v="01.02"/>
    <x v="15"/>
    <s v="K11"/>
    <s v="F"/>
    <n v="65"/>
    <n v="90"/>
    <s v="Tuntas"/>
    <s v="Matematika"/>
    <x v="5"/>
    <x v="9"/>
    <n v="90"/>
    <x v="2"/>
    <n v="11"/>
    <x v="0"/>
    <x v="4"/>
    <x v="2"/>
  </r>
  <r>
    <n v="800"/>
    <s v="242510014"/>
    <x v="0"/>
    <x v="7"/>
    <s v="Inta jaya"/>
    <d v="2026-02-06T00:00:00"/>
    <s v="06"/>
    <x v="1"/>
    <s v="26"/>
    <x v="0"/>
    <x v="0"/>
    <x v="2"/>
    <s v="Real"/>
    <s v="Entrepreneur"/>
    <s v="Product development"/>
    <x v="0"/>
    <x v="0"/>
    <x v="1"/>
    <s v="F11.01.02"/>
    <n v="1"/>
    <s v="mengaplikasikan perbandingan trigonometri (sinus, cosinus, tangen) dari sudut lancip."/>
    <s v="01.02"/>
    <x v="15"/>
    <s v="K11"/>
    <s v="F"/>
    <n v="65"/>
    <n v="80"/>
    <s v="Tuntas"/>
    <s v="Matematika"/>
    <x v="5"/>
    <x v="9"/>
    <n v="80"/>
    <x v="2"/>
    <n v="11"/>
    <x v="0"/>
    <x v="4"/>
    <x v="2"/>
  </r>
  <r>
    <n v="801"/>
    <s v="242510014"/>
    <x v="0"/>
    <x v="7"/>
    <s v="Inta jaya"/>
    <d v="2026-02-09T00:00:00"/>
    <s v="09"/>
    <x v="1"/>
    <s v="26"/>
    <x v="0"/>
    <x v="0"/>
    <x v="2"/>
    <s v="Real"/>
    <s v="Entrepreneur"/>
    <s v="Product development"/>
    <x v="0"/>
    <x v="0"/>
    <x v="1"/>
    <s v="F11.01.02"/>
    <n v="1"/>
    <s v="mengaplikasikan perbandingan trigonometri (sinus, cosinus, tangen) dari sudut lancip."/>
    <s v="01.02"/>
    <x v="15"/>
    <s v="K11"/>
    <s v="F"/>
    <n v="65"/>
    <n v="60"/>
    <s v="Tidak tuntas"/>
    <s v="Matematika"/>
    <x v="5"/>
    <x v="9"/>
    <n v="60"/>
    <x v="3"/>
    <n v="11"/>
    <x v="0"/>
    <x v="5"/>
    <x v="2"/>
  </r>
  <r>
    <n v="802"/>
    <s v="242510014"/>
    <x v="0"/>
    <x v="7"/>
    <s v="Inta jaya"/>
    <d v="2026-02-06T00:00:00"/>
    <s v="06"/>
    <x v="1"/>
    <s v="26"/>
    <x v="0"/>
    <x v="0"/>
    <x v="4"/>
    <s v="Real"/>
    <s v="Entrepreneur"/>
    <s v="Product development"/>
    <x v="0"/>
    <x v="0"/>
    <x v="1"/>
    <s v="F11.01.02"/>
    <n v="1"/>
    <s v="mengaplikasikan perbandingan trigonometri (sinus, cosinus, tangen) dari sudut lancip."/>
    <s v="01.02"/>
    <x v="15"/>
    <s v="K11"/>
    <s v="F"/>
    <n v="65"/>
    <n v="69"/>
    <s v="Tuntas"/>
    <s v="Matematika"/>
    <x v="5"/>
    <x v="9"/>
    <n v="69"/>
    <x v="1"/>
    <n v="11"/>
    <x v="0"/>
    <x v="4"/>
    <x v="2"/>
  </r>
  <r>
    <n v="803"/>
    <s v="242510014"/>
    <x v="0"/>
    <x v="7"/>
    <s v="Inta jaya"/>
    <d v="2026-02-11T00:00:00"/>
    <s v="11"/>
    <x v="1"/>
    <s v="26"/>
    <x v="0"/>
    <x v="0"/>
    <x v="2"/>
    <s v="Real"/>
    <s v="Entrepreneur"/>
    <s v="Product development"/>
    <x v="0"/>
    <x v="0"/>
    <x v="1"/>
    <s v="F11.01.02"/>
    <n v="1"/>
    <s v="mengaplikasikan perbandingan trigonometri (sinus, cosinus, tangen) dari sudut lancip."/>
    <s v="01.02"/>
    <x v="15"/>
    <s v="K11"/>
    <s v="F"/>
    <n v="65"/>
    <n v="80"/>
    <s v="Tuntas"/>
    <s v="Matematika"/>
    <x v="5"/>
    <x v="9"/>
    <n v="80"/>
    <x v="2"/>
    <n v="11"/>
    <x v="0"/>
    <x v="5"/>
    <x v="2"/>
  </r>
  <r>
    <n v="804"/>
    <s v="242510011"/>
    <x v="0"/>
    <x v="1"/>
    <s v="Intan Jaya"/>
    <d v="2026-01-14T00:00:00"/>
    <s v="14"/>
    <x v="0"/>
    <s v="26"/>
    <x v="0"/>
    <x v="0"/>
    <x v="2"/>
    <s v="Real"/>
    <s v="Entrepreneur"/>
    <s v="Product development"/>
    <x v="0"/>
    <x v="0"/>
    <x v="1"/>
    <s v="D09.01.01"/>
    <n v="1"/>
    <s v="mengaplikasikan perbandingan trigonometri (sinus, cosinus, tangen) dari sudut lancip."/>
    <s v="01.01"/>
    <x v="14"/>
    <s v="K09"/>
    <s v="D"/>
    <n v="65"/>
    <n v="20"/>
    <s v="Tidak tuntas"/>
    <s v="Matematika"/>
    <x v="5"/>
    <x v="9"/>
    <n v="20"/>
    <x v="3"/>
    <n v="9"/>
    <x v="0"/>
    <x v="1"/>
    <x v="1"/>
  </r>
  <r>
    <n v="805"/>
    <s v="242510011"/>
    <x v="0"/>
    <x v="1"/>
    <s v="Intan Jaya"/>
    <d v="2026-01-14T00:00:00"/>
    <s v="14"/>
    <x v="0"/>
    <s v="26"/>
    <x v="0"/>
    <x v="0"/>
    <x v="2"/>
    <s v="Real"/>
    <s v="Entrepreneur"/>
    <s v="Product development"/>
    <x v="0"/>
    <x v="0"/>
    <x v="1"/>
    <s v="F11.01.02"/>
    <n v="1"/>
    <s v="mengaplikasikan perbandingan trigonometri (sinus, cosinus, tangen) dari sudut lancip."/>
    <s v="01.02"/>
    <x v="15"/>
    <s v="K11"/>
    <s v="F"/>
    <n v="65"/>
    <n v="100"/>
    <s v="Tuntas"/>
    <s v="Matematika"/>
    <x v="5"/>
    <x v="9"/>
    <n v="100"/>
    <x v="4"/>
    <n v="11"/>
    <x v="0"/>
    <x v="1"/>
    <x v="1"/>
  </r>
  <r>
    <n v="806"/>
    <s v="242510011"/>
    <x v="0"/>
    <x v="1"/>
    <s v="Intan Jaya"/>
    <d v="2026-01-19T00:00:00"/>
    <s v="19"/>
    <x v="0"/>
    <s v="26"/>
    <x v="0"/>
    <x v="0"/>
    <x v="2"/>
    <s v="Real"/>
    <s v="Entrepreneur"/>
    <s v="Product development"/>
    <x v="0"/>
    <x v="0"/>
    <x v="1"/>
    <s v="D09.01.01"/>
    <n v="1"/>
    <s v="mengaplikasikan perbandingan trigonometri (sinus, cosinus, tangen) dari sudut lancip."/>
    <s v="01.01"/>
    <x v="14"/>
    <s v="K09"/>
    <s v="D"/>
    <n v="65"/>
    <n v="70"/>
    <s v="Tuntas"/>
    <s v="Matematika"/>
    <x v="5"/>
    <x v="9"/>
    <n v="70"/>
    <x v="1"/>
    <n v="9"/>
    <x v="0"/>
    <x v="2"/>
    <x v="1"/>
  </r>
  <r>
    <n v="807"/>
    <s v="242510011"/>
    <x v="0"/>
    <x v="1"/>
    <s v="Intan Jaya"/>
    <d v="2026-01-19T00:00:00"/>
    <s v="19"/>
    <x v="0"/>
    <s v="26"/>
    <x v="3"/>
    <x v="8"/>
    <x v="14"/>
    <s v="Real"/>
    <s v="Entrepreneur"/>
    <s v="Product development"/>
    <x v="0"/>
    <x v="0"/>
    <x v="1"/>
    <s v="F11.01.02"/>
    <n v="1"/>
    <s v="mengaplikasikan perbandingan trigonometri (sinus, cosinus, tangen) dari sudut lancip."/>
    <s v="01.02"/>
    <x v="15"/>
    <s v="K11"/>
    <s v="F"/>
    <n v="65"/>
    <n v="65"/>
    <s v="Tuntas"/>
    <s v="Matematika"/>
    <x v="5"/>
    <x v="9"/>
    <n v="65"/>
    <x v="1"/>
    <n v="11"/>
    <x v="3"/>
    <x v="2"/>
    <x v="1"/>
  </r>
  <r>
    <n v="808"/>
    <s v="242510011"/>
    <x v="0"/>
    <x v="1"/>
    <s v="Intan Jaya"/>
    <d v="2026-01-21T00:00:00"/>
    <s v="21"/>
    <x v="0"/>
    <s v="26"/>
    <x v="0"/>
    <x v="0"/>
    <x v="2"/>
    <s v="Real"/>
    <s v="Entrepreneur"/>
    <s v="Product development"/>
    <x v="0"/>
    <x v="0"/>
    <x v="1"/>
    <s v="D09.01.01"/>
    <n v="1"/>
    <s v="mengaplikasikan perbandingan trigonometri (sinus, cosinus, tangen) dari sudut lancip."/>
    <s v="01.01"/>
    <x v="14"/>
    <s v="K09"/>
    <s v="D"/>
    <n v="65"/>
    <n v="60"/>
    <s v="Tidak tuntas"/>
    <s v="Matematika"/>
    <x v="5"/>
    <x v="9"/>
    <n v="60"/>
    <x v="3"/>
    <n v="9"/>
    <x v="0"/>
    <x v="2"/>
    <x v="1"/>
  </r>
  <r>
    <n v="809"/>
    <s v="242510011"/>
    <x v="0"/>
    <x v="1"/>
    <s v="Intan Jaya"/>
    <d v="2026-01-21T00:00:00"/>
    <s v="21"/>
    <x v="0"/>
    <s v="26"/>
    <x v="3"/>
    <x v="8"/>
    <x v="14"/>
    <s v="Real"/>
    <s v="Entrepreneur"/>
    <s v="Product development"/>
    <x v="0"/>
    <x v="0"/>
    <x v="1"/>
    <s v="D09.01.01"/>
    <n v="1"/>
    <s v="mengaplikasikan perbandingan trigonometri (sinus, cosinus, tangen) dari sudut lancip."/>
    <s v="01.01"/>
    <x v="14"/>
    <s v="K09"/>
    <s v="D"/>
    <n v="65"/>
    <n v="65"/>
    <s v="Tuntas"/>
    <s v="Matematika"/>
    <x v="5"/>
    <x v="9"/>
    <n v="65"/>
    <x v="1"/>
    <n v="9"/>
    <x v="3"/>
    <x v="2"/>
    <x v="1"/>
  </r>
  <r>
    <n v="810"/>
    <s v="242510011"/>
    <x v="0"/>
    <x v="1"/>
    <s v="Intan Jaya"/>
    <d v="2026-01-19T00:00:00"/>
    <s v="19"/>
    <x v="0"/>
    <s v="26"/>
    <x v="0"/>
    <x v="0"/>
    <x v="4"/>
    <s v="Real"/>
    <s v="Entrepreneur"/>
    <s v="Product development"/>
    <x v="0"/>
    <x v="0"/>
    <x v="1"/>
    <s v="D09.01.01"/>
    <n v="1"/>
    <s v="mengaplikasikan perbandingan trigonometri (sinus, cosinus, tangen) dari sudut lancip."/>
    <s v="01.01"/>
    <x v="14"/>
    <s v="K09"/>
    <s v="D"/>
    <n v="65"/>
    <n v="80"/>
    <s v="Tuntas"/>
    <s v="Matematika"/>
    <x v="5"/>
    <x v="9"/>
    <n v="80"/>
    <x v="2"/>
    <n v="9"/>
    <x v="0"/>
    <x v="2"/>
    <x v="1"/>
  </r>
  <r>
    <n v="811"/>
    <s v="242510011"/>
    <x v="0"/>
    <x v="1"/>
    <s v="Intan Jaya"/>
    <d v="2026-01-19T00:00:00"/>
    <s v="19"/>
    <x v="0"/>
    <s v="26"/>
    <x v="0"/>
    <x v="0"/>
    <x v="4"/>
    <s v="Real"/>
    <s v="Entrepreneur"/>
    <s v="Product development"/>
    <x v="0"/>
    <x v="0"/>
    <x v="1"/>
    <s v="F11.01.02"/>
    <n v="1"/>
    <s v="mengaplikasikan perbandingan trigonometri (sinus, cosinus, tangen) dari sudut lancip."/>
    <s v="01.02"/>
    <x v="15"/>
    <s v="K11"/>
    <s v="F"/>
    <n v="65"/>
    <n v="0"/>
    <s v="Tidak tuntas"/>
    <s v="Matematika"/>
    <x v="5"/>
    <x v="0"/>
    <s v=""/>
    <x v="0"/>
    <s v=""/>
    <x v="0"/>
    <x v="0"/>
    <x v="0"/>
  </r>
  <r>
    <n v="812"/>
    <s v="242510011"/>
    <x v="0"/>
    <x v="1"/>
    <s v="Intan Jaya"/>
    <d v="2026-01-28T00:00:00"/>
    <s v="28"/>
    <x v="0"/>
    <s v="26"/>
    <x v="0"/>
    <x v="0"/>
    <x v="2"/>
    <s v="Real"/>
    <s v="Entrepreneur"/>
    <s v="Product development"/>
    <x v="0"/>
    <x v="0"/>
    <x v="1"/>
    <s v="D09.01.01"/>
    <n v="1"/>
    <s v="mengaplikasikan perbandingan trigonometri (sinus, cosinus, tangen) dari sudut lancip."/>
    <s v="01.01"/>
    <x v="14"/>
    <s v="K09"/>
    <s v="D"/>
    <n v="65"/>
    <n v="100"/>
    <s v="Tuntas"/>
    <s v="Matematika"/>
    <x v="5"/>
    <x v="9"/>
    <n v="100"/>
    <x v="4"/>
    <n v="9"/>
    <x v="0"/>
    <x v="3"/>
    <x v="1"/>
  </r>
  <r>
    <n v="813"/>
    <s v="242510011"/>
    <x v="0"/>
    <x v="1"/>
    <s v="Intan Jaya"/>
    <d v="2026-02-04T00:00:00"/>
    <s v="04"/>
    <x v="1"/>
    <s v="26"/>
    <x v="0"/>
    <x v="0"/>
    <x v="2"/>
    <s v="Real"/>
    <s v="Entrepreneur"/>
    <s v="Product development"/>
    <x v="0"/>
    <x v="0"/>
    <x v="1"/>
    <s v="F11.01.02"/>
    <n v="1"/>
    <s v="mengaplikasikan perbandingan trigonometri (sinus, cosinus, tangen) dari sudut lancip."/>
    <s v="01.02"/>
    <x v="15"/>
    <s v="K11"/>
    <s v="F"/>
    <n v="65"/>
    <n v="90"/>
    <s v="Tuntas"/>
    <s v="Matematika"/>
    <x v="5"/>
    <x v="9"/>
    <n v="90"/>
    <x v="2"/>
    <n v="11"/>
    <x v="0"/>
    <x v="4"/>
    <x v="1"/>
  </r>
  <r>
    <n v="814"/>
    <s v="242510011"/>
    <x v="0"/>
    <x v="1"/>
    <s v="Intan Jaya"/>
    <d v="2026-02-06T00:00:00"/>
    <s v="06"/>
    <x v="1"/>
    <s v="26"/>
    <x v="0"/>
    <x v="0"/>
    <x v="2"/>
    <s v="Real"/>
    <s v="Entrepreneur"/>
    <s v="Product development"/>
    <x v="0"/>
    <x v="0"/>
    <x v="1"/>
    <s v="F11.01.02"/>
    <n v="1"/>
    <s v="mengaplikasikan perbandingan trigonometri (sinus, cosinus, tangen) dari sudut lancip."/>
    <s v="01.02"/>
    <x v="15"/>
    <s v="K11"/>
    <s v="F"/>
    <n v="65"/>
    <n v="100"/>
    <s v="Tuntas"/>
    <s v="Matematika"/>
    <x v="5"/>
    <x v="9"/>
    <n v="100"/>
    <x v="4"/>
    <n v="11"/>
    <x v="0"/>
    <x v="4"/>
    <x v="1"/>
  </r>
  <r>
    <n v="815"/>
    <s v="242510011"/>
    <x v="0"/>
    <x v="1"/>
    <s v="Intan Jaya"/>
    <d v="2026-02-09T00:00:00"/>
    <s v="09"/>
    <x v="1"/>
    <s v="26"/>
    <x v="0"/>
    <x v="0"/>
    <x v="2"/>
    <s v="Real"/>
    <s v="Entrepreneur"/>
    <s v="Product development"/>
    <x v="0"/>
    <x v="0"/>
    <x v="1"/>
    <s v="F11.01.02"/>
    <n v="1"/>
    <s v="mengaplikasikan perbandingan trigonometri (sinus, cosinus, tangen) dari sudut lancip."/>
    <s v="01.02"/>
    <x v="15"/>
    <s v="K11"/>
    <s v="F"/>
    <n v="65"/>
    <n v="60"/>
    <s v="Tidak tuntas"/>
    <s v="Matematika"/>
    <x v="5"/>
    <x v="9"/>
    <n v="60"/>
    <x v="3"/>
    <n v="11"/>
    <x v="0"/>
    <x v="5"/>
    <x v="1"/>
  </r>
  <r>
    <n v="816"/>
    <s v="242510011"/>
    <x v="0"/>
    <x v="1"/>
    <s v="Intan Jaya"/>
    <d v="2026-02-06T00:00:00"/>
    <s v="06"/>
    <x v="1"/>
    <s v="26"/>
    <x v="0"/>
    <x v="0"/>
    <x v="4"/>
    <s v="Real"/>
    <s v="Entrepreneur"/>
    <s v="Product development"/>
    <x v="0"/>
    <x v="0"/>
    <x v="1"/>
    <s v="F11.01.02"/>
    <n v="1"/>
    <s v="mengaplikasikan perbandingan trigonometri (sinus, cosinus, tangen) dari sudut lancip."/>
    <s v="01.02"/>
    <x v="15"/>
    <s v="K11"/>
    <s v="F"/>
    <n v="65"/>
    <n v="74"/>
    <s v="Tuntas"/>
    <s v="Matematika"/>
    <x v="5"/>
    <x v="9"/>
    <n v="74"/>
    <x v="1"/>
    <n v="11"/>
    <x v="0"/>
    <x v="4"/>
    <x v="1"/>
  </r>
  <r>
    <n v="817"/>
    <s v="242510011"/>
    <x v="0"/>
    <x v="1"/>
    <s v="Intan Jaya"/>
    <d v="2026-02-11T00:00:00"/>
    <s v="11"/>
    <x v="1"/>
    <s v="26"/>
    <x v="0"/>
    <x v="0"/>
    <x v="2"/>
    <s v="Real"/>
    <s v="Entrepreneur"/>
    <s v="Product development"/>
    <x v="0"/>
    <x v="0"/>
    <x v="1"/>
    <s v="F11.01.02"/>
    <n v="1"/>
    <s v="mengaplikasikan perbandingan trigonometri (sinus, cosinus, tangen) dari sudut lancip."/>
    <s v="01.02"/>
    <x v="15"/>
    <s v="K11"/>
    <s v="F"/>
    <n v="65"/>
    <n v="60"/>
    <s v="Tidak tuntas"/>
    <s v="Matematika"/>
    <x v="5"/>
    <x v="9"/>
    <n v="60"/>
    <x v="3"/>
    <n v="11"/>
    <x v="0"/>
    <x v="5"/>
    <x v="1"/>
  </r>
  <r>
    <n v="818"/>
    <s v="242510004"/>
    <x v="0"/>
    <x v="8"/>
    <s v="Inta jaya"/>
    <d v="2026-01-14T00:00:00"/>
    <s v="14"/>
    <x v="0"/>
    <s v="26"/>
    <x v="0"/>
    <x v="0"/>
    <x v="2"/>
    <s v="Real"/>
    <s v="Entrepreneur"/>
    <s v="Product development"/>
    <x v="0"/>
    <x v="0"/>
    <x v="1"/>
    <s v="D09.01.01"/>
    <n v="1"/>
    <s v="mengaplikasikan perbandingan trigonometri (sinus, cosinus, tangen) dari sudut lancip."/>
    <s v="01.01"/>
    <x v="14"/>
    <s v="K09"/>
    <s v="D"/>
    <n v="65"/>
    <n v="60"/>
    <s v="Tidak tuntas"/>
    <s v="Matematika"/>
    <x v="5"/>
    <x v="9"/>
    <n v="60"/>
    <x v="3"/>
    <n v="9"/>
    <x v="0"/>
    <x v="1"/>
    <x v="4"/>
  </r>
  <r>
    <n v="819"/>
    <s v="242510004"/>
    <x v="0"/>
    <x v="8"/>
    <s v="Inta jaya"/>
    <d v="2026-01-14T00:00:00"/>
    <s v="14"/>
    <x v="0"/>
    <s v="26"/>
    <x v="0"/>
    <x v="0"/>
    <x v="2"/>
    <s v="Real"/>
    <s v="Entrepreneur"/>
    <s v="Product development"/>
    <x v="0"/>
    <x v="0"/>
    <x v="1"/>
    <s v="F11.01.02"/>
    <n v="1"/>
    <s v="mengaplikasikan perbandingan trigonometri (sinus, cosinus, tangen) dari sudut lancip."/>
    <s v="01.02"/>
    <x v="15"/>
    <s v="K11"/>
    <s v="F"/>
    <n v="65"/>
    <n v="100"/>
    <s v="Tuntas"/>
    <s v="Matematika"/>
    <x v="5"/>
    <x v="9"/>
    <n v="100"/>
    <x v="4"/>
    <n v="11"/>
    <x v="0"/>
    <x v="1"/>
    <x v="4"/>
  </r>
  <r>
    <n v="820"/>
    <s v="242510004"/>
    <x v="0"/>
    <x v="8"/>
    <s v="Inta jaya"/>
    <d v="2026-01-19T00:00:00"/>
    <s v="19"/>
    <x v="0"/>
    <s v="26"/>
    <x v="0"/>
    <x v="0"/>
    <x v="2"/>
    <s v="Real"/>
    <s v="Entrepreneur"/>
    <s v="Product development"/>
    <x v="0"/>
    <x v="0"/>
    <x v="1"/>
    <s v="D09.01.01"/>
    <n v="1"/>
    <s v="mengaplikasikan perbandingan trigonometri (sinus, cosinus, tangen) dari sudut lancip."/>
    <s v="01.01"/>
    <x v="14"/>
    <s v="K09"/>
    <s v="D"/>
    <n v="65"/>
    <n v="70"/>
    <s v="Tuntas"/>
    <s v="Matematika"/>
    <x v="5"/>
    <x v="9"/>
    <n v="70"/>
    <x v="1"/>
    <n v="9"/>
    <x v="0"/>
    <x v="2"/>
    <x v="4"/>
  </r>
  <r>
    <n v="821"/>
    <s v="242510004"/>
    <x v="0"/>
    <x v="8"/>
    <s v="Inta jaya"/>
    <d v="2026-01-19T00:00:00"/>
    <s v="19"/>
    <x v="0"/>
    <s v="26"/>
    <x v="3"/>
    <x v="8"/>
    <x v="14"/>
    <s v="Real"/>
    <s v="Entrepreneur"/>
    <s v="Product development"/>
    <x v="0"/>
    <x v="0"/>
    <x v="1"/>
    <s v="F11.01.02"/>
    <n v="1"/>
    <s v="mengaplikasikan perbandingan trigonometri (sinus, cosinus, tangen) dari sudut lancip."/>
    <s v="01.02"/>
    <x v="15"/>
    <s v="K11"/>
    <s v="F"/>
    <n v="65"/>
    <n v="90"/>
    <s v="Tuntas"/>
    <s v="Matematika"/>
    <x v="5"/>
    <x v="9"/>
    <n v="90"/>
    <x v="2"/>
    <n v="11"/>
    <x v="4"/>
    <x v="2"/>
    <x v="4"/>
  </r>
  <r>
    <n v="822"/>
    <s v="242510004"/>
    <x v="0"/>
    <x v="8"/>
    <s v="Inta jaya"/>
    <d v="2026-01-21T00:00:00"/>
    <s v="21"/>
    <x v="0"/>
    <s v="26"/>
    <x v="0"/>
    <x v="0"/>
    <x v="2"/>
    <s v="Real"/>
    <s v="Entrepreneur"/>
    <s v="Product development"/>
    <x v="0"/>
    <x v="0"/>
    <x v="1"/>
    <s v="D09.01.01"/>
    <n v="1"/>
    <s v="mengaplikasikan perbandingan trigonometri (sinus, cosinus, tangen) dari sudut lancip."/>
    <s v="01.01"/>
    <x v="14"/>
    <s v="K09"/>
    <s v="D"/>
    <n v="65"/>
    <n v="40"/>
    <s v="Tidak tuntas"/>
    <s v="Matematika"/>
    <x v="5"/>
    <x v="9"/>
    <n v="40"/>
    <x v="3"/>
    <n v="9"/>
    <x v="0"/>
    <x v="2"/>
    <x v="4"/>
  </r>
  <r>
    <n v="823"/>
    <s v="242510004"/>
    <x v="0"/>
    <x v="8"/>
    <s v="Inta jaya"/>
    <d v="2026-01-21T00:00:00"/>
    <s v="21"/>
    <x v="0"/>
    <s v="26"/>
    <x v="3"/>
    <x v="8"/>
    <x v="14"/>
    <s v="Real"/>
    <s v="Entrepreneur"/>
    <s v="Product development"/>
    <x v="0"/>
    <x v="0"/>
    <x v="1"/>
    <s v="D09.01.01"/>
    <n v="1"/>
    <s v="mengaplikasikan perbandingan trigonometri (sinus, cosinus, tangen) dari sudut lancip."/>
    <s v="01.01"/>
    <x v="14"/>
    <s v="K09"/>
    <s v="D"/>
    <n v="65"/>
    <n v="90"/>
    <s v="Tuntas"/>
    <s v="Matematika"/>
    <x v="5"/>
    <x v="9"/>
    <n v="90"/>
    <x v="2"/>
    <n v="9"/>
    <x v="4"/>
    <x v="2"/>
    <x v="4"/>
  </r>
  <r>
    <n v="824"/>
    <s v="242510004"/>
    <x v="0"/>
    <x v="8"/>
    <s v="Inta jaya"/>
    <d v="2026-01-19T00:00:00"/>
    <s v="19"/>
    <x v="0"/>
    <s v="26"/>
    <x v="0"/>
    <x v="0"/>
    <x v="4"/>
    <s v="Real"/>
    <s v="Entrepreneur"/>
    <s v="Product development"/>
    <x v="0"/>
    <x v="0"/>
    <x v="1"/>
    <s v="D09.01.01"/>
    <n v="1"/>
    <s v="mengaplikasikan perbandingan trigonometri (sinus, cosinus, tangen) dari sudut lancip."/>
    <s v="01.01"/>
    <x v="14"/>
    <s v="K09"/>
    <s v="D"/>
    <n v="65"/>
    <n v="85"/>
    <s v="Tuntas"/>
    <s v="Matematika"/>
    <x v="5"/>
    <x v="9"/>
    <n v="85"/>
    <x v="2"/>
    <n v="9"/>
    <x v="0"/>
    <x v="2"/>
    <x v="4"/>
  </r>
  <r>
    <n v="825"/>
    <s v="242510004"/>
    <x v="0"/>
    <x v="8"/>
    <s v="Inta jaya"/>
    <d v="2026-01-19T00:00:00"/>
    <s v="19"/>
    <x v="0"/>
    <s v="26"/>
    <x v="0"/>
    <x v="0"/>
    <x v="4"/>
    <s v="Real"/>
    <s v="Entrepreneur"/>
    <s v="Product development"/>
    <x v="0"/>
    <x v="0"/>
    <x v="1"/>
    <s v="F11.01.02"/>
    <n v="1"/>
    <s v="mengaplikasikan perbandingan trigonometri (sinus, cosinus, tangen) dari sudut lancip."/>
    <s v="01.02"/>
    <x v="15"/>
    <s v="K11"/>
    <s v="F"/>
    <n v="65"/>
    <n v="30"/>
    <s v="Tidak tuntas"/>
    <s v="Matematika"/>
    <x v="5"/>
    <x v="9"/>
    <n v="30"/>
    <x v="3"/>
    <n v="11"/>
    <x v="0"/>
    <x v="2"/>
    <x v="4"/>
  </r>
  <r>
    <n v="826"/>
    <s v="242510004"/>
    <x v="0"/>
    <x v="8"/>
    <s v="Inta jaya"/>
    <d v="2026-01-28T00:00:00"/>
    <s v="28"/>
    <x v="0"/>
    <s v="26"/>
    <x v="0"/>
    <x v="0"/>
    <x v="2"/>
    <s v="Real"/>
    <s v="Entrepreneur"/>
    <s v="Product development"/>
    <x v="0"/>
    <x v="0"/>
    <x v="1"/>
    <s v="D09.01.01"/>
    <n v="1"/>
    <s v="mengaplikasikan perbandingan trigonometri (sinus, cosinus, tangen) dari sudut lancip."/>
    <s v="01.01"/>
    <x v="14"/>
    <s v="K09"/>
    <s v="D"/>
    <n v="65"/>
    <n v="40"/>
    <s v="Tidak tuntas"/>
    <s v="Matematika"/>
    <x v="5"/>
    <x v="9"/>
    <n v="40"/>
    <x v="3"/>
    <n v="9"/>
    <x v="0"/>
    <x v="3"/>
    <x v="4"/>
  </r>
  <r>
    <n v="827"/>
    <s v="242510004"/>
    <x v="0"/>
    <x v="8"/>
    <s v="Inta jaya"/>
    <d v="2026-02-04T00:00:00"/>
    <s v="04"/>
    <x v="1"/>
    <s v="26"/>
    <x v="0"/>
    <x v="0"/>
    <x v="2"/>
    <s v="Real"/>
    <s v="Entrepreneur"/>
    <s v="Product development"/>
    <x v="0"/>
    <x v="0"/>
    <x v="1"/>
    <s v="F11.01.02"/>
    <n v="1"/>
    <s v="mengaplikasikan perbandingan trigonometri (sinus, cosinus, tangen) dari sudut lancip."/>
    <s v="01.02"/>
    <x v="15"/>
    <s v="K11"/>
    <s v="F"/>
    <n v="65"/>
    <n v="97"/>
    <s v="Tuntas"/>
    <s v="Matematika"/>
    <x v="5"/>
    <x v="9"/>
    <n v="97"/>
    <x v="4"/>
    <n v="11"/>
    <x v="0"/>
    <x v="4"/>
    <x v="4"/>
  </r>
  <r>
    <n v="828"/>
    <s v="242510004"/>
    <x v="0"/>
    <x v="8"/>
    <s v="Inta jaya"/>
    <d v="2026-02-06T00:00:00"/>
    <s v="06"/>
    <x v="1"/>
    <s v="26"/>
    <x v="0"/>
    <x v="0"/>
    <x v="2"/>
    <s v="Real"/>
    <s v="Entrepreneur"/>
    <s v="Product development"/>
    <x v="0"/>
    <x v="0"/>
    <x v="1"/>
    <s v="F11.01.02"/>
    <n v="1"/>
    <s v="mengaplikasikan perbandingan trigonometri (sinus, cosinus, tangen) dari sudut lancip."/>
    <s v="01.02"/>
    <x v="15"/>
    <s v="K11"/>
    <s v="F"/>
    <n v="65"/>
    <n v="100"/>
    <s v="Tuntas"/>
    <s v="Matematika"/>
    <x v="5"/>
    <x v="9"/>
    <n v="100"/>
    <x v="4"/>
    <n v="11"/>
    <x v="0"/>
    <x v="4"/>
    <x v="4"/>
  </r>
  <r>
    <n v="829"/>
    <s v="242510004"/>
    <x v="0"/>
    <x v="8"/>
    <s v="Inta jaya"/>
    <d v="2026-02-09T00:00:00"/>
    <s v="09"/>
    <x v="1"/>
    <s v="26"/>
    <x v="0"/>
    <x v="0"/>
    <x v="2"/>
    <s v="Real"/>
    <s v="Entrepreneur"/>
    <s v="Product development"/>
    <x v="0"/>
    <x v="0"/>
    <x v="1"/>
    <s v="F11.01.02"/>
    <n v="1"/>
    <s v="mengaplikasikan perbandingan trigonometri (sinus, cosinus, tangen) dari sudut lancip."/>
    <s v="01.02"/>
    <x v="15"/>
    <s v="K11"/>
    <s v="F"/>
    <n v="65"/>
    <n v="50"/>
    <s v="Tidak tuntas"/>
    <s v="Matematika"/>
    <x v="5"/>
    <x v="9"/>
    <n v="50"/>
    <x v="3"/>
    <n v="11"/>
    <x v="0"/>
    <x v="5"/>
    <x v="4"/>
  </r>
  <r>
    <n v="830"/>
    <s v="242510004"/>
    <x v="0"/>
    <x v="8"/>
    <s v="Inta jaya"/>
    <d v="2026-02-06T00:00:00"/>
    <s v="06"/>
    <x v="1"/>
    <s v="26"/>
    <x v="0"/>
    <x v="0"/>
    <x v="4"/>
    <s v="Real"/>
    <s v="Entrepreneur"/>
    <s v="Product development"/>
    <x v="0"/>
    <x v="0"/>
    <x v="1"/>
    <s v="F11.01.02"/>
    <n v="1"/>
    <s v="mengaplikasikan perbandingan trigonometri (sinus, cosinus, tangen) dari sudut lancip."/>
    <s v="01.02"/>
    <x v="15"/>
    <s v="K11"/>
    <s v="F"/>
    <n v="65"/>
    <n v="86"/>
    <s v="Tuntas"/>
    <s v="Matematika"/>
    <x v="5"/>
    <x v="9"/>
    <n v="86"/>
    <x v="2"/>
    <n v="11"/>
    <x v="0"/>
    <x v="4"/>
    <x v="4"/>
  </r>
  <r>
    <n v="831"/>
    <s v="242510004"/>
    <x v="0"/>
    <x v="8"/>
    <s v="Inta jaya"/>
    <d v="2026-02-11T00:00:00"/>
    <s v="11"/>
    <x v="1"/>
    <s v="26"/>
    <x v="0"/>
    <x v="0"/>
    <x v="2"/>
    <s v="Real"/>
    <s v="Entrepreneur"/>
    <s v="Product development"/>
    <x v="0"/>
    <x v="0"/>
    <x v="1"/>
    <s v="F11.01.02"/>
    <n v="1"/>
    <s v="mengaplikasikan perbandingan trigonometri (sinus, cosinus, tangen) dari sudut lancip."/>
    <s v="01.02"/>
    <x v="15"/>
    <s v="K11"/>
    <s v="F"/>
    <n v="65"/>
    <n v="80"/>
    <s v="Tuntas"/>
    <s v="Matematika"/>
    <x v="5"/>
    <x v="9"/>
    <n v="80"/>
    <x v="2"/>
    <n v="11"/>
    <x v="0"/>
    <x v="5"/>
    <x v="4"/>
  </r>
  <r>
    <n v="832"/>
    <s v="242510010"/>
    <x v="0"/>
    <x v="2"/>
    <s v="Intan Jaya"/>
    <d v="2026-01-14T00:00:00"/>
    <s v="14"/>
    <x v="0"/>
    <s v="26"/>
    <x v="0"/>
    <x v="0"/>
    <x v="2"/>
    <s v="Real"/>
    <s v="Entrepreneur"/>
    <s v="Product development"/>
    <x v="0"/>
    <x v="0"/>
    <x v="1"/>
    <s v="D09.01.01"/>
    <n v="1"/>
    <s v="mengaplikasikan perbandingan trigonometri (sinus, cosinus, tangen) dari sudut lancip."/>
    <s v="01.01"/>
    <x v="14"/>
    <s v="K09"/>
    <s v="D"/>
    <n v="65"/>
    <n v="0"/>
    <s v="Tidak tuntas"/>
    <s v="Matematika"/>
    <x v="5"/>
    <x v="0"/>
    <s v=""/>
    <x v="0"/>
    <s v=""/>
    <x v="0"/>
    <x v="0"/>
    <x v="0"/>
  </r>
  <r>
    <n v="833"/>
    <s v="242510010"/>
    <x v="0"/>
    <x v="2"/>
    <s v="Intan Jaya"/>
    <d v="2026-01-14T00:00:00"/>
    <s v="14"/>
    <x v="0"/>
    <s v="26"/>
    <x v="0"/>
    <x v="0"/>
    <x v="2"/>
    <s v="Real"/>
    <s v="Entrepreneur"/>
    <s v="Product development"/>
    <x v="0"/>
    <x v="0"/>
    <x v="1"/>
    <s v="F11.01.02"/>
    <n v="1"/>
    <s v="mengaplikasikan perbandingan trigonometri (sinus, cosinus, tangen) dari sudut lancip."/>
    <s v="01.02"/>
    <x v="15"/>
    <s v="K11"/>
    <s v="F"/>
    <n v="65"/>
    <n v="100"/>
    <s v="Tuntas"/>
    <s v="Matematika"/>
    <x v="5"/>
    <x v="9"/>
    <n v="100"/>
    <x v="4"/>
    <n v="11"/>
    <x v="0"/>
    <x v="1"/>
    <x v="2"/>
  </r>
  <r>
    <n v="834"/>
    <s v="242510010"/>
    <x v="0"/>
    <x v="2"/>
    <s v="Intan Jaya"/>
    <d v="2026-01-19T00:00:00"/>
    <s v="19"/>
    <x v="0"/>
    <s v="26"/>
    <x v="0"/>
    <x v="0"/>
    <x v="2"/>
    <s v="Real"/>
    <s v="Entrepreneur"/>
    <s v="Product development"/>
    <x v="0"/>
    <x v="0"/>
    <x v="1"/>
    <s v="D09.01.01"/>
    <n v="1"/>
    <s v="mengaplikasikan perbandingan trigonometri (sinus, cosinus, tangen) dari sudut lancip."/>
    <s v="01.01"/>
    <x v="14"/>
    <s v="K09"/>
    <s v="D"/>
    <n v="65"/>
    <n v="50"/>
    <s v="Tidak tuntas"/>
    <s v="Matematika"/>
    <x v="5"/>
    <x v="9"/>
    <n v="50"/>
    <x v="3"/>
    <n v="9"/>
    <x v="0"/>
    <x v="2"/>
    <x v="2"/>
  </r>
  <r>
    <n v="835"/>
    <s v="242510010"/>
    <x v="0"/>
    <x v="2"/>
    <s v="Intan Jaya"/>
    <d v="2026-01-19T00:00:00"/>
    <s v="19"/>
    <x v="0"/>
    <s v="26"/>
    <x v="3"/>
    <x v="8"/>
    <x v="14"/>
    <s v="Real"/>
    <s v="Entrepreneur"/>
    <s v="Product development"/>
    <x v="0"/>
    <x v="0"/>
    <x v="1"/>
    <s v="F11.01.02"/>
    <n v="1"/>
    <s v="mengaplikasikan perbandingan trigonometri (sinus, cosinus, tangen) dari sudut lancip."/>
    <s v="01.02"/>
    <x v="15"/>
    <s v="K11"/>
    <s v="F"/>
    <n v="65"/>
    <n v="90"/>
    <s v="Tuntas"/>
    <s v="Matematika"/>
    <x v="5"/>
    <x v="9"/>
    <n v="90"/>
    <x v="2"/>
    <n v="11"/>
    <x v="4"/>
    <x v="2"/>
    <x v="2"/>
  </r>
  <r>
    <n v="836"/>
    <s v="242510010"/>
    <x v="0"/>
    <x v="2"/>
    <s v="Intan Jaya"/>
    <d v="2026-01-21T00:00:00"/>
    <s v="21"/>
    <x v="0"/>
    <s v="26"/>
    <x v="0"/>
    <x v="0"/>
    <x v="2"/>
    <s v="Real"/>
    <s v="Entrepreneur"/>
    <s v="Product development"/>
    <x v="0"/>
    <x v="0"/>
    <x v="1"/>
    <s v="D09.01.01"/>
    <n v="1"/>
    <s v="mengaplikasikan perbandingan trigonometri (sinus, cosinus, tangen) dari sudut lancip."/>
    <s v="01.01"/>
    <x v="14"/>
    <s v="K09"/>
    <s v="D"/>
    <n v="65"/>
    <n v="20"/>
    <s v="Tidak tuntas"/>
    <s v="Matematika"/>
    <x v="5"/>
    <x v="9"/>
    <n v="20"/>
    <x v="3"/>
    <n v="9"/>
    <x v="0"/>
    <x v="2"/>
    <x v="2"/>
  </r>
  <r>
    <n v="837"/>
    <s v="242510010"/>
    <x v="0"/>
    <x v="2"/>
    <s v="Intan Jaya"/>
    <d v="2026-01-21T00:00:00"/>
    <s v="21"/>
    <x v="0"/>
    <s v="26"/>
    <x v="3"/>
    <x v="8"/>
    <x v="14"/>
    <s v="Real"/>
    <s v="Entrepreneur"/>
    <s v="Product development"/>
    <x v="0"/>
    <x v="0"/>
    <x v="1"/>
    <s v="D09.01.01"/>
    <n v="1"/>
    <s v="mengaplikasikan perbandingan trigonometri (sinus, cosinus, tangen) dari sudut lancip."/>
    <s v="01.01"/>
    <x v="14"/>
    <s v="K09"/>
    <s v="D"/>
    <n v="65"/>
    <n v="90"/>
    <s v="Tuntas"/>
    <s v="Matematika"/>
    <x v="5"/>
    <x v="9"/>
    <n v="90"/>
    <x v="2"/>
    <n v="9"/>
    <x v="4"/>
    <x v="2"/>
    <x v="2"/>
  </r>
  <r>
    <n v="838"/>
    <s v="242510010"/>
    <x v="0"/>
    <x v="2"/>
    <s v="Intan Jaya"/>
    <d v="2026-01-19T00:00:00"/>
    <s v="19"/>
    <x v="0"/>
    <s v="26"/>
    <x v="0"/>
    <x v="0"/>
    <x v="4"/>
    <s v="Real"/>
    <s v="Entrepreneur"/>
    <s v="Product development"/>
    <x v="0"/>
    <x v="0"/>
    <x v="1"/>
    <s v="D09.01.01"/>
    <n v="1"/>
    <s v="mengaplikasikan perbandingan trigonometri (sinus, cosinus, tangen) dari sudut lancip."/>
    <s v="01.01"/>
    <x v="14"/>
    <s v="K09"/>
    <s v="D"/>
    <n v="65"/>
    <n v="100"/>
    <s v="Tuntas"/>
    <s v="Matematika"/>
    <x v="5"/>
    <x v="9"/>
    <n v="100"/>
    <x v="4"/>
    <n v="9"/>
    <x v="0"/>
    <x v="2"/>
    <x v="2"/>
  </r>
  <r>
    <n v="839"/>
    <s v="242510010"/>
    <x v="0"/>
    <x v="2"/>
    <s v="Intan Jaya"/>
    <d v="2026-01-19T00:00:00"/>
    <s v="19"/>
    <x v="0"/>
    <s v="26"/>
    <x v="0"/>
    <x v="0"/>
    <x v="4"/>
    <s v="Real"/>
    <s v="Entrepreneur"/>
    <s v="Product development"/>
    <x v="0"/>
    <x v="0"/>
    <x v="1"/>
    <s v="F11.01.02"/>
    <n v="1"/>
    <s v="mengaplikasikan perbandingan trigonometri (sinus, cosinus, tangen) dari sudut lancip."/>
    <s v="01.02"/>
    <x v="15"/>
    <s v="K11"/>
    <s v="F"/>
    <n v="65"/>
    <n v="100"/>
    <s v="Tuntas"/>
    <s v="Matematika"/>
    <x v="5"/>
    <x v="9"/>
    <n v="100"/>
    <x v="4"/>
    <n v="11"/>
    <x v="0"/>
    <x v="2"/>
    <x v="2"/>
  </r>
  <r>
    <n v="840"/>
    <s v="242510010"/>
    <x v="0"/>
    <x v="2"/>
    <s v="Intan Jaya"/>
    <d v="2026-01-28T00:00:00"/>
    <s v="28"/>
    <x v="0"/>
    <s v="26"/>
    <x v="0"/>
    <x v="0"/>
    <x v="2"/>
    <s v="Real"/>
    <s v="Entrepreneur"/>
    <s v="Product development"/>
    <x v="0"/>
    <x v="0"/>
    <x v="1"/>
    <s v="D09.01.01"/>
    <n v="1"/>
    <s v="mengaplikasikan perbandingan trigonometri (sinus, cosinus, tangen) dari sudut lancip."/>
    <s v="01.01"/>
    <x v="14"/>
    <s v="K09"/>
    <s v="D"/>
    <n v="65"/>
    <n v="10"/>
    <s v="Tidak tuntas"/>
    <s v="Matematika"/>
    <x v="5"/>
    <x v="9"/>
    <n v="10"/>
    <x v="3"/>
    <n v="9"/>
    <x v="0"/>
    <x v="3"/>
    <x v="2"/>
  </r>
  <r>
    <n v="841"/>
    <s v="242510010"/>
    <x v="0"/>
    <x v="2"/>
    <s v="Intan Jaya"/>
    <d v="2026-02-04T00:00:00"/>
    <s v="04"/>
    <x v="1"/>
    <s v="26"/>
    <x v="0"/>
    <x v="0"/>
    <x v="2"/>
    <s v="Real"/>
    <s v="Entrepreneur"/>
    <s v="Product development"/>
    <x v="0"/>
    <x v="0"/>
    <x v="1"/>
    <s v="F11.01.02"/>
    <n v="1"/>
    <s v="mengaplikasikan perbandingan trigonometri (sinus, cosinus, tangen) dari sudut lancip."/>
    <s v="01.02"/>
    <x v="15"/>
    <s v="K11"/>
    <s v="F"/>
    <n v="65"/>
    <n v="90"/>
    <s v="Tuntas"/>
    <s v="Matematika"/>
    <x v="5"/>
    <x v="9"/>
    <n v="90"/>
    <x v="2"/>
    <n v="11"/>
    <x v="0"/>
    <x v="4"/>
    <x v="2"/>
  </r>
  <r>
    <n v="842"/>
    <s v="242510010"/>
    <x v="0"/>
    <x v="2"/>
    <s v="Intan Jaya"/>
    <d v="2026-02-06T00:00:00"/>
    <s v="06"/>
    <x v="1"/>
    <s v="26"/>
    <x v="0"/>
    <x v="0"/>
    <x v="2"/>
    <s v="Real"/>
    <s v="Entrepreneur"/>
    <s v="Product development"/>
    <x v="0"/>
    <x v="0"/>
    <x v="1"/>
    <s v="F11.01.02"/>
    <n v="1"/>
    <s v="mengaplikasikan perbandingan trigonometri (sinus, cosinus, tangen) dari sudut lancip."/>
    <s v="01.02"/>
    <x v="15"/>
    <s v="K11"/>
    <s v="F"/>
    <n v="65"/>
    <n v="40"/>
    <s v="Tidak tuntas"/>
    <s v="Matematika"/>
    <x v="5"/>
    <x v="9"/>
    <n v="40"/>
    <x v="3"/>
    <n v="11"/>
    <x v="0"/>
    <x v="4"/>
    <x v="2"/>
  </r>
  <r>
    <n v="843"/>
    <s v="242510010"/>
    <x v="0"/>
    <x v="2"/>
    <s v="Intan Jaya"/>
    <d v="2026-02-09T00:00:00"/>
    <s v="09"/>
    <x v="1"/>
    <s v="26"/>
    <x v="0"/>
    <x v="0"/>
    <x v="2"/>
    <s v="Real"/>
    <s v="Entrepreneur"/>
    <s v="Product development"/>
    <x v="0"/>
    <x v="0"/>
    <x v="1"/>
    <s v="F11.01.02"/>
    <n v="1"/>
    <s v="mengaplikasikan perbandingan trigonometri (sinus, cosinus, tangen) dari sudut lancip."/>
    <s v="01.02"/>
    <x v="15"/>
    <s v="K11"/>
    <s v="F"/>
    <n v="65"/>
    <n v="60"/>
    <s v="Tidak tuntas"/>
    <s v="Matematika"/>
    <x v="5"/>
    <x v="9"/>
    <n v="60"/>
    <x v="3"/>
    <n v="11"/>
    <x v="0"/>
    <x v="5"/>
    <x v="2"/>
  </r>
  <r>
    <n v="844"/>
    <s v="242510010"/>
    <x v="0"/>
    <x v="2"/>
    <s v="Intan Jaya"/>
    <d v="2026-02-06T00:00:00"/>
    <s v="06"/>
    <x v="1"/>
    <s v="26"/>
    <x v="0"/>
    <x v="0"/>
    <x v="4"/>
    <s v="Real"/>
    <s v="Entrepreneur"/>
    <s v="Product development"/>
    <x v="0"/>
    <x v="0"/>
    <x v="1"/>
    <s v="F11.01.02"/>
    <n v="1"/>
    <s v="mengaplikasikan perbandingan trigonometri (sinus, cosinus, tangen) dari sudut lancip."/>
    <s v="01.02"/>
    <x v="15"/>
    <s v="K11"/>
    <s v="F"/>
    <n v="65"/>
    <n v="85"/>
    <s v="Tuntas"/>
    <s v="Matematika"/>
    <x v="5"/>
    <x v="9"/>
    <n v="85"/>
    <x v="2"/>
    <n v="11"/>
    <x v="0"/>
    <x v="4"/>
    <x v="2"/>
  </r>
  <r>
    <n v="845"/>
    <s v="242510010"/>
    <x v="0"/>
    <x v="2"/>
    <s v="Intan Jaya"/>
    <d v="2026-02-11T00:00:00"/>
    <s v="11"/>
    <x v="1"/>
    <s v="26"/>
    <x v="0"/>
    <x v="0"/>
    <x v="2"/>
    <s v="Real"/>
    <s v="Entrepreneur"/>
    <s v="Product development"/>
    <x v="0"/>
    <x v="0"/>
    <x v="1"/>
    <s v="F11.01.02"/>
    <n v="1"/>
    <s v="mengaplikasikan perbandingan trigonometri (sinus, cosinus, tangen) dari sudut lancip."/>
    <s v="01.02"/>
    <x v="15"/>
    <s v="K11"/>
    <s v="F"/>
    <n v="65"/>
    <n v="50"/>
    <s v="Tidak tuntas"/>
    <s v="Matematika"/>
    <x v="5"/>
    <x v="9"/>
    <n v="50"/>
    <x v="3"/>
    <n v="11"/>
    <x v="0"/>
    <x v="5"/>
    <x v="2"/>
  </r>
  <r>
    <n v="846"/>
    <s v="242510002"/>
    <x v="0"/>
    <x v="3"/>
    <s v="Intan Jaya"/>
    <d v="2026-01-14T00:00:00"/>
    <s v="14"/>
    <x v="0"/>
    <s v="26"/>
    <x v="0"/>
    <x v="0"/>
    <x v="2"/>
    <s v="Real"/>
    <s v="Entrepreneur"/>
    <s v="Product development"/>
    <x v="0"/>
    <x v="0"/>
    <x v="1"/>
    <s v="D09.01.01"/>
    <n v="1"/>
    <s v="mengaplikasikan perbandingan trigonometri (sinus, cosinus, tangen) dari sudut lancip."/>
    <s v="01.01"/>
    <x v="14"/>
    <s v="K09"/>
    <s v="D"/>
    <n v="65"/>
    <n v="40"/>
    <s v="Tidak tuntas"/>
    <s v="Matematika"/>
    <x v="5"/>
    <x v="9"/>
    <n v="40"/>
    <x v="3"/>
    <n v="9"/>
    <x v="0"/>
    <x v="1"/>
    <x v="1"/>
  </r>
  <r>
    <n v="847"/>
    <s v="242510002"/>
    <x v="0"/>
    <x v="3"/>
    <s v="Intan Jaya"/>
    <d v="2026-01-14T00:00:00"/>
    <s v="14"/>
    <x v="0"/>
    <s v="26"/>
    <x v="0"/>
    <x v="0"/>
    <x v="2"/>
    <s v="Real"/>
    <s v="Entrepreneur"/>
    <s v="Product development"/>
    <x v="0"/>
    <x v="0"/>
    <x v="1"/>
    <s v="F11.01.02"/>
    <n v="1"/>
    <s v="mengaplikasikan perbandingan trigonometri (sinus, cosinus, tangen) dari sudut lancip."/>
    <s v="01.02"/>
    <x v="15"/>
    <s v="K11"/>
    <s v="F"/>
    <n v="65"/>
    <n v="100"/>
    <s v="Tuntas"/>
    <s v="Matematika"/>
    <x v="5"/>
    <x v="9"/>
    <n v="100"/>
    <x v="4"/>
    <n v="11"/>
    <x v="0"/>
    <x v="1"/>
    <x v="1"/>
  </r>
  <r>
    <n v="848"/>
    <s v="242510002"/>
    <x v="0"/>
    <x v="3"/>
    <s v="Intan Jaya"/>
    <d v="2026-01-19T00:00:00"/>
    <s v="19"/>
    <x v="0"/>
    <s v="26"/>
    <x v="0"/>
    <x v="0"/>
    <x v="2"/>
    <s v="Real"/>
    <s v="Entrepreneur"/>
    <s v="Product development"/>
    <x v="0"/>
    <x v="0"/>
    <x v="1"/>
    <s v="D09.01.01"/>
    <n v="1"/>
    <s v="mengaplikasikan perbandingan trigonometri (sinus, cosinus, tangen) dari sudut lancip."/>
    <s v="01.01"/>
    <x v="14"/>
    <s v="K09"/>
    <s v="D"/>
    <n v="65"/>
    <n v="0"/>
    <s v="Tidak tuntas"/>
    <s v="Matematika"/>
    <x v="5"/>
    <x v="0"/>
    <s v=""/>
    <x v="0"/>
    <s v=""/>
    <x v="0"/>
    <x v="0"/>
    <x v="0"/>
  </r>
  <r>
    <n v="849"/>
    <s v="242510002"/>
    <x v="0"/>
    <x v="3"/>
    <s v="Intan Jaya"/>
    <d v="2026-01-19T00:00:00"/>
    <s v="19"/>
    <x v="0"/>
    <s v="26"/>
    <x v="3"/>
    <x v="8"/>
    <x v="14"/>
    <s v="Real"/>
    <s v="Entrepreneur"/>
    <s v="Product development"/>
    <x v="0"/>
    <x v="0"/>
    <x v="1"/>
    <s v="F11.01.02"/>
    <n v="1"/>
    <s v="mengaplikasikan perbandingan trigonometri (sinus, cosinus, tangen) dari sudut lancip."/>
    <s v="01.02"/>
    <x v="15"/>
    <s v="K11"/>
    <s v="F"/>
    <n v="65"/>
    <n v="0"/>
    <s v="Tidak tuntas"/>
    <s v="Matematika"/>
    <x v="5"/>
    <x v="0"/>
    <s v=""/>
    <x v="0"/>
    <s v=""/>
    <x v="0"/>
    <x v="0"/>
    <x v="0"/>
  </r>
  <r>
    <n v="850"/>
    <s v="242510002"/>
    <x v="0"/>
    <x v="3"/>
    <s v="Intan Jaya"/>
    <d v="2026-01-21T00:00:00"/>
    <s v="21"/>
    <x v="0"/>
    <s v="26"/>
    <x v="0"/>
    <x v="0"/>
    <x v="2"/>
    <s v="Real"/>
    <s v="Entrepreneur"/>
    <s v="Product development"/>
    <x v="0"/>
    <x v="0"/>
    <x v="1"/>
    <s v="D09.01.01"/>
    <n v="1"/>
    <s v="mengaplikasikan perbandingan trigonometri (sinus, cosinus, tangen) dari sudut lancip."/>
    <s v="01.01"/>
    <x v="14"/>
    <s v="K09"/>
    <s v="D"/>
    <n v="65"/>
    <n v="40"/>
    <s v="Tidak tuntas"/>
    <s v="Matematika"/>
    <x v="5"/>
    <x v="9"/>
    <n v="40"/>
    <x v="3"/>
    <n v="9"/>
    <x v="0"/>
    <x v="2"/>
    <x v="1"/>
  </r>
  <r>
    <n v="851"/>
    <s v="242510002"/>
    <x v="0"/>
    <x v="3"/>
    <s v="Intan Jaya"/>
    <d v="2026-01-21T00:00:00"/>
    <s v="21"/>
    <x v="0"/>
    <s v="26"/>
    <x v="3"/>
    <x v="8"/>
    <x v="14"/>
    <s v="Real"/>
    <s v="Entrepreneur"/>
    <s v="Product development"/>
    <x v="0"/>
    <x v="0"/>
    <x v="1"/>
    <s v="D09.01.01"/>
    <n v="1"/>
    <s v="mengaplikasikan perbandingan trigonometri (sinus, cosinus, tangen) dari sudut lancip."/>
    <s v="01.01"/>
    <x v="14"/>
    <s v="K09"/>
    <s v="D"/>
    <n v="65"/>
    <n v="90"/>
    <s v="Tuntas"/>
    <s v="Matematika"/>
    <x v="5"/>
    <x v="9"/>
    <n v="90"/>
    <x v="2"/>
    <n v="9"/>
    <x v="4"/>
    <x v="2"/>
    <x v="1"/>
  </r>
  <r>
    <n v="852"/>
    <s v="242510002"/>
    <x v="0"/>
    <x v="3"/>
    <s v="Intan Jaya"/>
    <d v="2026-01-19T00:00:00"/>
    <s v="19"/>
    <x v="0"/>
    <s v="26"/>
    <x v="0"/>
    <x v="0"/>
    <x v="4"/>
    <s v="Real"/>
    <s v="Entrepreneur"/>
    <s v="Product development"/>
    <x v="0"/>
    <x v="0"/>
    <x v="1"/>
    <s v="D09.01.01"/>
    <n v="1"/>
    <s v="mengaplikasikan perbandingan trigonometri (sinus, cosinus, tangen) dari sudut lancip."/>
    <s v="01.01"/>
    <x v="14"/>
    <s v="K09"/>
    <s v="D"/>
    <n v="65"/>
    <n v="0"/>
    <s v="Tidak tuntas"/>
    <s v="Matematika"/>
    <x v="5"/>
    <x v="0"/>
    <s v=""/>
    <x v="0"/>
    <s v=""/>
    <x v="0"/>
    <x v="0"/>
    <x v="0"/>
  </r>
  <r>
    <n v="853"/>
    <s v="242510002"/>
    <x v="0"/>
    <x v="3"/>
    <s v="Intan Jaya"/>
    <d v="2026-01-19T00:00:00"/>
    <s v="19"/>
    <x v="0"/>
    <s v="26"/>
    <x v="0"/>
    <x v="0"/>
    <x v="4"/>
    <s v="Real"/>
    <s v="Entrepreneur"/>
    <s v="Product development"/>
    <x v="0"/>
    <x v="0"/>
    <x v="1"/>
    <s v="F11.01.02"/>
    <n v="1"/>
    <s v="mengaplikasikan perbandingan trigonometri (sinus, cosinus, tangen) dari sudut lancip."/>
    <s v="01.02"/>
    <x v="15"/>
    <s v="K11"/>
    <s v="F"/>
    <n v="65"/>
    <n v="70"/>
    <s v="Tuntas"/>
    <s v="Matematika"/>
    <x v="5"/>
    <x v="9"/>
    <n v="70"/>
    <x v="1"/>
    <n v="11"/>
    <x v="0"/>
    <x v="2"/>
    <x v="1"/>
  </r>
  <r>
    <n v="854"/>
    <s v="242510002"/>
    <x v="0"/>
    <x v="3"/>
    <s v="Intan Jaya"/>
    <d v="2026-01-28T00:00:00"/>
    <s v="28"/>
    <x v="0"/>
    <s v="26"/>
    <x v="0"/>
    <x v="0"/>
    <x v="2"/>
    <s v="Real"/>
    <s v="Entrepreneur"/>
    <s v="Product development"/>
    <x v="0"/>
    <x v="0"/>
    <x v="1"/>
    <s v="D09.01.01"/>
    <n v="1"/>
    <s v="mengaplikasikan perbandingan trigonometri (sinus, cosinus, tangen) dari sudut lancip."/>
    <s v="01.01"/>
    <x v="14"/>
    <s v="K09"/>
    <s v="D"/>
    <n v="65"/>
    <n v="0"/>
    <s v="Tidak tuntas"/>
    <s v="Matematika"/>
    <x v="5"/>
    <x v="0"/>
    <s v=""/>
    <x v="0"/>
    <s v=""/>
    <x v="0"/>
    <x v="0"/>
    <x v="0"/>
  </r>
  <r>
    <n v="855"/>
    <s v="242510002"/>
    <x v="0"/>
    <x v="3"/>
    <s v="Intan Jaya"/>
    <d v="2026-02-04T00:00:00"/>
    <s v="04"/>
    <x v="1"/>
    <s v="26"/>
    <x v="0"/>
    <x v="0"/>
    <x v="2"/>
    <s v="Real"/>
    <s v="Entrepreneur"/>
    <s v="Product development"/>
    <x v="0"/>
    <x v="0"/>
    <x v="1"/>
    <s v="F11.01.02"/>
    <n v="1"/>
    <s v="mengaplikasikan perbandingan trigonometri (sinus, cosinus, tangen) dari sudut lancip."/>
    <s v="01.02"/>
    <x v="15"/>
    <s v="K11"/>
    <s v="F"/>
    <n v="65"/>
    <n v="100"/>
    <s v="Tuntas"/>
    <s v="Matematika"/>
    <x v="5"/>
    <x v="9"/>
    <n v="100"/>
    <x v="4"/>
    <n v="11"/>
    <x v="0"/>
    <x v="4"/>
    <x v="1"/>
  </r>
  <r>
    <n v="856"/>
    <s v="242510002"/>
    <x v="0"/>
    <x v="3"/>
    <s v="Intan Jaya"/>
    <d v="2026-02-06T00:00:00"/>
    <s v="06"/>
    <x v="1"/>
    <s v="26"/>
    <x v="0"/>
    <x v="0"/>
    <x v="2"/>
    <s v="Real"/>
    <s v="Entrepreneur"/>
    <s v="Product development"/>
    <x v="0"/>
    <x v="0"/>
    <x v="1"/>
    <s v="F11.01.02"/>
    <n v="1"/>
    <s v="mengaplikasikan perbandingan trigonometri (sinus, cosinus, tangen) dari sudut lancip."/>
    <s v="01.02"/>
    <x v="15"/>
    <s v="K11"/>
    <s v="F"/>
    <n v="65"/>
    <n v="100"/>
    <s v="Tuntas"/>
    <s v="Matematika"/>
    <x v="5"/>
    <x v="9"/>
    <n v="100"/>
    <x v="4"/>
    <n v="11"/>
    <x v="0"/>
    <x v="4"/>
    <x v="1"/>
  </r>
  <r>
    <n v="857"/>
    <s v="242510002"/>
    <x v="0"/>
    <x v="3"/>
    <s v="Intan Jaya"/>
    <d v="2026-02-09T00:00:00"/>
    <s v="09"/>
    <x v="1"/>
    <s v="26"/>
    <x v="0"/>
    <x v="0"/>
    <x v="2"/>
    <s v="Real"/>
    <s v="Entrepreneur"/>
    <s v="Product development"/>
    <x v="0"/>
    <x v="0"/>
    <x v="1"/>
    <s v="F11.01.02"/>
    <n v="1"/>
    <s v="mengaplikasikan perbandingan trigonometri (sinus, cosinus, tangen) dari sudut lancip."/>
    <s v="01.02"/>
    <x v="15"/>
    <s v="K11"/>
    <s v="F"/>
    <n v="65"/>
    <n v="80"/>
    <s v="Tuntas"/>
    <s v="Matematika"/>
    <x v="5"/>
    <x v="9"/>
    <n v="80"/>
    <x v="2"/>
    <n v="11"/>
    <x v="0"/>
    <x v="5"/>
    <x v="1"/>
  </r>
  <r>
    <n v="858"/>
    <s v="242510002"/>
    <x v="0"/>
    <x v="3"/>
    <s v="Intan Jaya"/>
    <d v="2026-02-06T00:00:00"/>
    <s v="06"/>
    <x v="1"/>
    <s v="26"/>
    <x v="0"/>
    <x v="0"/>
    <x v="4"/>
    <s v="Real"/>
    <s v="Entrepreneur"/>
    <s v="Product development"/>
    <x v="0"/>
    <x v="0"/>
    <x v="1"/>
    <s v="F11.01.02"/>
    <n v="1"/>
    <s v="mengaplikasikan perbandingan trigonometri (sinus, cosinus, tangen) dari sudut lancip."/>
    <s v="01.02"/>
    <x v="15"/>
    <s v="K11"/>
    <s v="F"/>
    <n v="65"/>
    <n v="77"/>
    <s v="Tuntas"/>
    <s v="Matematika"/>
    <x v="5"/>
    <x v="9"/>
    <n v="77"/>
    <x v="1"/>
    <n v="11"/>
    <x v="0"/>
    <x v="4"/>
    <x v="1"/>
  </r>
  <r>
    <n v="859"/>
    <s v="242510002"/>
    <x v="0"/>
    <x v="3"/>
    <s v="Intan Jaya"/>
    <d v="2026-02-11T00:00:00"/>
    <s v="11"/>
    <x v="1"/>
    <s v="26"/>
    <x v="0"/>
    <x v="0"/>
    <x v="2"/>
    <s v="Real"/>
    <s v="Entrepreneur"/>
    <s v="Product development"/>
    <x v="0"/>
    <x v="0"/>
    <x v="1"/>
    <s v="F11.01.02"/>
    <n v="1"/>
    <s v="mengaplikasikan perbandingan trigonometri (sinus, cosinus, tangen) dari sudut lancip."/>
    <s v="01.02"/>
    <x v="15"/>
    <s v="K11"/>
    <s v="F"/>
    <n v="65"/>
    <n v="50"/>
    <s v="Tidak tuntas"/>
    <s v="Matematika"/>
    <x v="5"/>
    <x v="9"/>
    <n v="50"/>
    <x v="3"/>
    <n v="11"/>
    <x v="0"/>
    <x v="5"/>
    <x v="1"/>
  </r>
  <r>
    <n v="860"/>
    <s v="242510006"/>
    <x v="0"/>
    <x v="9"/>
    <s v="Nabire"/>
    <d v="2026-01-14T00:00:00"/>
    <s v="14"/>
    <x v="0"/>
    <s v="26"/>
    <x v="0"/>
    <x v="0"/>
    <x v="2"/>
    <s v="Real"/>
    <s v="Entrepreneur"/>
    <s v="Product development"/>
    <x v="0"/>
    <x v="0"/>
    <x v="1"/>
    <s v="D09.01.01"/>
    <n v="1"/>
    <s v="mengaplikasikan perbandingan trigonometri (sinus, cosinus, tangen) dari sudut lancip."/>
    <s v="01.01"/>
    <x v="14"/>
    <s v="K09"/>
    <s v="D"/>
    <n v="65"/>
    <n v="0"/>
    <s v="Tidak tuntas"/>
    <s v="Matematika"/>
    <x v="5"/>
    <x v="0"/>
    <s v=""/>
    <x v="0"/>
    <s v=""/>
    <x v="0"/>
    <x v="0"/>
    <x v="0"/>
  </r>
  <r>
    <n v="861"/>
    <s v="242510006"/>
    <x v="0"/>
    <x v="9"/>
    <s v="Nabire"/>
    <d v="2026-01-14T00:00:00"/>
    <s v="14"/>
    <x v="0"/>
    <s v="26"/>
    <x v="0"/>
    <x v="0"/>
    <x v="2"/>
    <s v="Real"/>
    <s v="Entrepreneur"/>
    <s v="Product development"/>
    <x v="0"/>
    <x v="0"/>
    <x v="1"/>
    <s v="F11.01.02"/>
    <n v="1"/>
    <s v="mengaplikasikan perbandingan trigonometri (sinus, cosinus, tangen) dari sudut lancip."/>
    <s v="01.02"/>
    <x v="15"/>
    <s v="K11"/>
    <s v="F"/>
    <n v="65"/>
    <n v="0"/>
    <s v="Tidak tuntas"/>
    <s v="Matematika"/>
    <x v="5"/>
    <x v="0"/>
    <s v=""/>
    <x v="0"/>
    <s v=""/>
    <x v="0"/>
    <x v="0"/>
    <x v="0"/>
  </r>
  <r>
    <n v="862"/>
    <s v="242510006"/>
    <x v="0"/>
    <x v="9"/>
    <s v="Nabire"/>
    <d v="2026-01-19T00:00:00"/>
    <s v="19"/>
    <x v="0"/>
    <s v="26"/>
    <x v="0"/>
    <x v="0"/>
    <x v="2"/>
    <s v="Real"/>
    <s v="Entrepreneur"/>
    <s v="Product development"/>
    <x v="0"/>
    <x v="0"/>
    <x v="1"/>
    <s v="D09.01.01"/>
    <n v="1"/>
    <s v="mengaplikasikan perbandingan trigonometri (sinus, cosinus, tangen) dari sudut lancip."/>
    <s v="01.01"/>
    <x v="14"/>
    <s v="K09"/>
    <s v="D"/>
    <n v="65"/>
    <n v="30"/>
    <s v="Tidak tuntas"/>
    <s v="Matematika"/>
    <x v="5"/>
    <x v="9"/>
    <n v="30"/>
    <x v="3"/>
    <n v="9"/>
    <x v="0"/>
    <x v="2"/>
    <x v="2"/>
  </r>
  <r>
    <n v="863"/>
    <s v="242510006"/>
    <x v="0"/>
    <x v="9"/>
    <s v="Nabire"/>
    <d v="2026-01-19T00:00:00"/>
    <s v="19"/>
    <x v="0"/>
    <s v="26"/>
    <x v="3"/>
    <x v="8"/>
    <x v="14"/>
    <s v="Real"/>
    <s v="Entrepreneur"/>
    <s v="Product development"/>
    <x v="0"/>
    <x v="0"/>
    <x v="1"/>
    <s v="F11.01.02"/>
    <n v="1"/>
    <s v="mengaplikasikan perbandingan trigonometri (sinus, cosinus, tangen) dari sudut lancip."/>
    <s v="01.02"/>
    <x v="15"/>
    <s v="K11"/>
    <s v="F"/>
    <n v="65"/>
    <n v="65"/>
    <s v="Tuntas"/>
    <s v="Matematika"/>
    <x v="5"/>
    <x v="9"/>
    <n v="65"/>
    <x v="1"/>
    <n v="11"/>
    <x v="3"/>
    <x v="2"/>
    <x v="2"/>
  </r>
  <r>
    <n v="864"/>
    <s v="242510006"/>
    <x v="0"/>
    <x v="9"/>
    <s v="Nabire"/>
    <d v="2026-01-21T00:00:00"/>
    <s v="21"/>
    <x v="0"/>
    <s v="26"/>
    <x v="0"/>
    <x v="0"/>
    <x v="2"/>
    <s v="Real"/>
    <s v="Entrepreneur"/>
    <s v="Product development"/>
    <x v="0"/>
    <x v="0"/>
    <x v="1"/>
    <s v="D09.01.01"/>
    <n v="1"/>
    <s v="mengaplikasikan perbandingan trigonometri (sinus, cosinus, tangen) dari sudut lancip."/>
    <s v="01.01"/>
    <x v="14"/>
    <s v="K09"/>
    <s v="D"/>
    <n v="65"/>
    <n v="40"/>
    <s v="Tidak tuntas"/>
    <s v="Matematika"/>
    <x v="5"/>
    <x v="9"/>
    <n v="40"/>
    <x v="3"/>
    <n v="9"/>
    <x v="0"/>
    <x v="2"/>
    <x v="2"/>
  </r>
  <r>
    <n v="865"/>
    <s v="242510006"/>
    <x v="0"/>
    <x v="9"/>
    <s v="Nabire"/>
    <d v="2026-01-21T00:00:00"/>
    <s v="21"/>
    <x v="0"/>
    <s v="26"/>
    <x v="3"/>
    <x v="8"/>
    <x v="14"/>
    <s v="Real"/>
    <s v="Entrepreneur"/>
    <s v="Product development"/>
    <x v="0"/>
    <x v="0"/>
    <x v="1"/>
    <s v="D09.01.01"/>
    <n v="1"/>
    <s v="mengaplikasikan perbandingan trigonometri (sinus, cosinus, tangen) dari sudut lancip."/>
    <s v="01.01"/>
    <x v="14"/>
    <s v="K09"/>
    <s v="D"/>
    <n v="65"/>
    <n v="65"/>
    <s v="Tuntas"/>
    <s v="Matematika"/>
    <x v="5"/>
    <x v="9"/>
    <n v="65"/>
    <x v="1"/>
    <n v="9"/>
    <x v="3"/>
    <x v="2"/>
    <x v="2"/>
  </r>
  <r>
    <n v="866"/>
    <s v="242510006"/>
    <x v="0"/>
    <x v="9"/>
    <s v="Nabire"/>
    <d v="2026-01-19T00:00:00"/>
    <s v="19"/>
    <x v="0"/>
    <s v="26"/>
    <x v="0"/>
    <x v="0"/>
    <x v="4"/>
    <s v="Real"/>
    <s v="Entrepreneur"/>
    <s v="Product development"/>
    <x v="0"/>
    <x v="0"/>
    <x v="1"/>
    <s v="D09.01.01"/>
    <n v="1"/>
    <s v="mengaplikasikan perbandingan trigonometri (sinus, cosinus, tangen) dari sudut lancip."/>
    <s v="01.01"/>
    <x v="14"/>
    <s v="K09"/>
    <s v="D"/>
    <n v="65"/>
    <n v="30"/>
    <s v="Tidak tuntas"/>
    <s v="Matematika"/>
    <x v="5"/>
    <x v="9"/>
    <n v="30"/>
    <x v="3"/>
    <n v="9"/>
    <x v="0"/>
    <x v="2"/>
    <x v="2"/>
  </r>
  <r>
    <n v="867"/>
    <s v="242510006"/>
    <x v="0"/>
    <x v="9"/>
    <s v="Nabire"/>
    <d v="2026-01-19T00:00:00"/>
    <s v="19"/>
    <x v="0"/>
    <s v="26"/>
    <x v="0"/>
    <x v="0"/>
    <x v="4"/>
    <s v="Real"/>
    <s v="Entrepreneur"/>
    <s v="Product development"/>
    <x v="0"/>
    <x v="0"/>
    <x v="1"/>
    <s v="F11.01.02"/>
    <n v="1"/>
    <s v="mengaplikasikan perbandingan trigonometri (sinus, cosinus, tangen) dari sudut lancip."/>
    <s v="01.02"/>
    <x v="15"/>
    <s v="K11"/>
    <s v="F"/>
    <n v="65"/>
    <n v="100"/>
    <s v="Tuntas"/>
    <s v="Matematika"/>
    <x v="5"/>
    <x v="9"/>
    <n v="100"/>
    <x v="4"/>
    <n v="11"/>
    <x v="0"/>
    <x v="2"/>
    <x v="2"/>
  </r>
  <r>
    <n v="868"/>
    <s v="242510006"/>
    <x v="0"/>
    <x v="9"/>
    <s v="Nabire"/>
    <d v="2026-01-28T00:00:00"/>
    <s v="28"/>
    <x v="0"/>
    <s v="26"/>
    <x v="0"/>
    <x v="0"/>
    <x v="2"/>
    <s v="Real"/>
    <s v="Entrepreneur"/>
    <s v="Product development"/>
    <x v="0"/>
    <x v="0"/>
    <x v="1"/>
    <s v="D09.01.01"/>
    <n v="1"/>
    <s v="mengaplikasikan perbandingan trigonometri (sinus, cosinus, tangen) dari sudut lancip."/>
    <s v="01.01"/>
    <x v="14"/>
    <s v="K09"/>
    <s v="D"/>
    <n v="65"/>
    <n v="0"/>
    <s v="Tidak tuntas"/>
    <s v="Matematika"/>
    <x v="5"/>
    <x v="0"/>
    <s v=""/>
    <x v="0"/>
    <s v=""/>
    <x v="0"/>
    <x v="0"/>
    <x v="0"/>
  </r>
  <r>
    <n v="869"/>
    <s v="242510006"/>
    <x v="0"/>
    <x v="9"/>
    <s v="Nabire"/>
    <d v="2026-02-04T00:00:00"/>
    <s v="04"/>
    <x v="1"/>
    <s v="26"/>
    <x v="0"/>
    <x v="0"/>
    <x v="2"/>
    <s v="Real"/>
    <s v="Entrepreneur"/>
    <s v="Product development"/>
    <x v="0"/>
    <x v="0"/>
    <x v="1"/>
    <s v="F11.01.02"/>
    <n v="1"/>
    <s v="mengaplikasikan perbandingan trigonometri (sinus, cosinus, tangen) dari sudut lancip."/>
    <s v="01.02"/>
    <x v="15"/>
    <s v="K11"/>
    <s v="F"/>
    <n v="65"/>
    <n v="93"/>
    <s v="Tuntas"/>
    <s v="Matematika"/>
    <x v="5"/>
    <x v="9"/>
    <n v="93"/>
    <x v="4"/>
    <n v="11"/>
    <x v="0"/>
    <x v="4"/>
    <x v="2"/>
  </r>
  <r>
    <n v="870"/>
    <s v="242510006"/>
    <x v="0"/>
    <x v="9"/>
    <s v="Nabire"/>
    <d v="2026-02-06T00:00:00"/>
    <s v="06"/>
    <x v="1"/>
    <s v="26"/>
    <x v="0"/>
    <x v="0"/>
    <x v="2"/>
    <s v="Real"/>
    <s v="Entrepreneur"/>
    <s v="Product development"/>
    <x v="0"/>
    <x v="0"/>
    <x v="1"/>
    <s v="F11.01.02"/>
    <n v="1"/>
    <s v="mengaplikasikan perbandingan trigonometri (sinus, cosinus, tangen) dari sudut lancip."/>
    <s v="01.02"/>
    <x v="15"/>
    <s v="K11"/>
    <s v="F"/>
    <n v="65"/>
    <n v="100"/>
    <s v="Tuntas"/>
    <s v="Matematika"/>
    <x v="5"/>
    <x v="9"/>
    <n v="100"/>
    <x v="4"/>
    <n v="11"/>
    <x v="0"/>
    <x v="4"/>
    <x v="2"/>
  </r>
  <r>
    <n v="871"/>
    <s v="242510006"/>
    <x v="0"/>
    <x v="9"/>
    <s v="Nabire"/>
    <d v="2026-02-09T00:00:00"/>
    <s v="09"/>
    <x v="1"/>
    <s v="26"/>
    <x v="0"/>
    <x v="0"/>
    <x v="2"/>
    <s v="Real"/>
    <s v="Entrepreneur"/>
    <s v="Product development"/>
    <x v="0"/>
    <x v="0"/>
    <x v="1"/>
    <s v="F11.01.02"/>
    <n v="1"/>
    <s v="mengaplikasikan perbandingan trigonometri (sinus, cosinus, tangen) dari sudut lancip."/>
    <s v="01.02"/>
    <x v="15"/>
    <s v="K11"/>
    <s v="F"/>
    <n v="65"/>
    <n v="50"/>
    <s v="Tidak tuntas"/>
    <s v="Matematika"/>
    <x v="5"/>
    <x v="9"/>
    <n v="50"/>
    <x v="3"/>
    <n v="11"/>
    <x v="0"/>
    <x v="5"/>
    <x v="2"/>
  </r>
  <r>
    <n v="872"/>
    <s v="242510006"/>
    <x v="0"/>
    <x v="9"/>
    <s v="Nabire"/>
    <d v="2026-02-06T00:00:00"/>
    <s v="06"/>
    <x v="1"/>
    <s v="26"/>
    <x v="0"/>
    <x v="0"/>
    <x v="4"/>
    <s v="Real"/>
    <s v="Entrepreneur"/>
    <s v="Product development"/>
    <x v="0"/>
    <x v="0"/>
    <x v="1"/>
    <s v="F11.01.02"/>
    <n v="1"/>
    <s v="mengaplikasikan perbandingan trigonometri (sinus, cosinus, tangen) dari sudut lancip."/>
    <s v="01.02"/>
    <x v="15"/>
    <s v="K11"/>
    <s v="F"/>
    <n v="65"/>
    <n v="75"/>
    <s v="Tuntas"/>
    <s v="Matematika"/>
    <x v="5"/>
    <x v="9"/>
    <n v="75"/>
    <x v="1"/>
    <n v="11"/>
    <x v="0"/>
    <x v="4"/>
    <x v="2"/>
  </r>
  <r>
    <n v="873"/>
    <s v="242510006"/>
    <x v="0"/>
    <x v="9"/>
    <s v="Nabire"/>
    <d v="2026-02-11T00:00:00"/>
    <s v="11"/>
    <x v="1"/>
    <s v="26"/>
    <x v="0"/>
    <x v="0"/>
    <x v="2"/>
    <s v="Real"/>
    <s v="Entrepreneur"/>
    <s v="Product development"/>
    <x v="0"/>
    <x v="0"/>
    <x v="1"/>
    <s v="F11.01.02"/>
    <n v="1"/>
    <s v="mengaplikasikan perbandingan trigonometri (sinus, cosinus, tangen) dari sudut lancip."/>
    <s v="01.02"/>
    <x v="15"/>
    <s v="K11"/>
    <s v="F"/>
    <n v="65"/>
    <n v="50"/>
    <s v="Tidak tuntas"/>
    <s v="Matematika"/>
    <x v="5"/>
    <x v="9"/>
    <n v="50"/>
    <x v="3"/>
    <n v="11"/>
    <x v="0"/>
    <x v="5"/>
    <x v="2"/>
  </r>
  <r>
    <n v="874"/>
    <s v="242510009"/>
    <x v="0"/>
    <x v="10"/>
    <s v="Nabire"/>
    <d v="2026-01-14T00:00:00"/>
    <s v="14"/>
    <x v="0"/>
    <s v="26"/>
    <x v="0"/>
    <x v="0"/>
    <x v="2"/>
    <s v="Real"/>
    <s v="Entrepreneur"/>
    <s v="Product development"/>
    <x v="0"/>
    <x v="0"/>
    <x v="1"/>
    <s v="D09.01.01"/>
    <n v="1"/>
    <s v="mengaplikasikan perbandingan trigonometri (sinus, cosinus, tangen) dari sudut lancip."/>
    <s v="01.01"/>
    <x v="14"/>
    <s v="K09"/>
    <s v="D"/>
    <n v="65"/>
    <n v="40"/>
    <s v="Tidak tuntas"/>
    <s v="Matematika"/>
    <x v="5"/>
    <x v="9"/>
    <n v="40"/>
    <x v="3"/>
    <n v="9"/>
    <x v="0"/>
    <x v="1"/>
    <x v="5"/>
  </r>
  <r>
    <n v="875"/>
    <s v="242510009"/>
    <x v="0"/>
    <x v="10"/>
    <s v="Nabire"/>
    <d v="2026-01-14T00:00:00"/>
    <s v="14"/>
    <x v="0"/>
    <s v="26"/>
    <x v="0"/>
    <x v="0"/>
    <x v="2"/>
    <s v="Real"/>
    <s v="Entrepreneur"/>
    <s v="Product development"/>
    <x v="0"/>
    <x v="0"/>
    <x v="1"/>
    <s v="F11.01.02"/>
    <n v="1"/>
    <s v="mengaplikasikan perbandingan trigonometri (sinus, cosinus, tangen) dari sudut lancip."/>
    <s v="01.02"/>
    <x v="15"/>
    <s v="K11"/>
    <s v="F"/>
    <n v="65"/>
    <n v="10"/>
    <s v="Tidak tuntas"/>
    <s v="Matematika"/>
    <x v="5"/>
    <x v="9"/>
    <n v="10"/>
    <x v="3"/>
    <n v="11"/>
    <x v="0"/>
    <x v="1"/>
    <x v="5"/>
  </r>
  <r>
    <n v="876"/>
    <s v="242510009"/>
    <x v="0"/>
    <x v="10"/>
    <s v="Nabire"/>
    <d v="2026-01-19T00:00:00"/>
    <s v="19"/>
    <x v="0"/>
    <s v="26"/>
    <x v="0"/>
    <x v="0"/>
    <x v="2"/>
    <s v="Real"/>
    <s v="Entrepreneur"/>
    <s v="Product development"/>
    <x v="0"/>
    <x v="0"/>
    <x v="1"/>
    <s v="D09.01.01"/>
    <n v="1"/>
    <s v="mengaplikasikan perbandingan trigonometri (sinus, cosinus, tangen) dari sudut lancip."/>
    <s v="01.01"/>
    <x v="14"/>
    <s v="K09"/>
    <s v="D"/>
    <n v="65"/>
    <n v="50"/>
    <s v="Tidak tuntas"/>
    <s v="Matematika"/>
    <x v="5"/>
    <x v="9"/>
    <n v="50"/>
    <x v="3"/>
    <n v="9"/>
    <x v="0"/>
    <x v="2"/>
    <x v="5"/>
  </r>
  <r>
    <n v="877"/>
    <s v="242510009"/>
    <x v="0"/>
    <x v="10"/>
    <s v="Nabire"/>
    <d v="2026-01-19T00:00:00"/>
    <s v="19"/>
    <x v="0"/>
    <s v="26"/>
    <x v="3"/>
    <x v="8"/>
    <x v="14"/>
    <s v="Real"/>
    <s v="Entrepreneur"/>
    <s v="Product development"/>
    <x v="0"/>
    <x v="0"/>
    <x v="1"/>
    <s v="F11.01.02"/>
    <n v="1"/>
    <s v="mengaplikasikan perbandingan trigonometri (sinus, cosinus, tangen) dari sudut lancip."/>
    <s v="01.02"/>
    <x v="15"/>
    <s v="K11"/>
    <s v="F"/>
    <n v="65"/>
    <n v="90"/>
    <s v="Tuntas"/>
    <s v="Matematika"/>
    <x v="5"/>
    <x v="9"/>
    <n v="90"/>
    <x v="2"/>
    <n v="11"/>
    <x v="4"/>
    <x v="2"/>
    <x v="5"/>
  </r>
  <r>
    <n v="878"/>
    <s v="242510009"/>
    <x v="0"/>
    <x v="10"/>
    <s v="Nabire"/>
    <d v="2026-01-21T00:00:00"/>
    <s v="21"/>
    <x v="0"/>
    <s v="26"/>
    <x v="0"/>
    <x v="0"/>
    <x v="2"/>
    <s v="Real"/>
    <s v="Entrepreneur"/>
    <s v="Product development"/>
    <x v="0"/>
    <x v="0"/>
    <x v="1"/>
    <s v="D09.01.01"/>
    <n v="1"/>
    <s v="mengaplikasikan perbandingan trigonometri (sinus, cosinus, tangen) dari sudut lancip."/>
    <s v="01.01"/>
    <x v="14"/>
    <s v="K09"/>
    <s v="D"/>
    <n v="65"/>
    <n v="40"/>
    <s v="Tidak tuntas"/>
    <s v="Matematika"/>
    <x v="5"/>
    <x v="9"/>
    <n v="40"/>
    <x v="3"/>
    <n v="9"/>
    <x v="0"/>
    <x v="2"/>
    <x v="5"/>
  </r>
  <r>
    <n v="879"/>
    <s v="242510009"/>
    <x v="0"/>
    <x v="10"/>
    <s v="Nabire"/>
    <d v="2026-01-21T00:00:00"/>
    <s v="21"/>
    <x v="0"/>
    <s v="26"/>
    <x v="3"/>
    <x v="8"/>
    <x v="14"/>
    <s v="Real"/>
    <s v="Entrepreneur"/>
    <s v="Product development"/>
    <x v="0"/>
    <x v="0"/>
    <x v="1"/>
    <s v="D09.01.01"/>
    <n v="1"/>
    <s v="mengaplikasikan perbandingan trigonometri (sinus, cosinus, tangen) dari sudut lancip."/>
    <s v="01.01"/>
    <x v="14"/>
    <s v="K09"/>
    <s v="D"/>
    <n v="65"/>
    <n v="90"/>
    <s v="Tuntas"/>
    <s v="Matematika"/>
    <x v="5"/>
    <x v="9"/>
    <n v="90"/>
    <x v="2"/>
    <n v="9"/>
    <x v="4"/>
    <x v="2"/>
    <x v="5"/>
  </r>
  <r>
    <n v="880"/>
    <s v="242510009"/>
    <x v="0"/>
    <x v="10"/>
    <s v="Nabire"/>
    <d v="2026-01-19T00:00:00"/>
    <s v="19"/>
    <x v="0"/>
    <s v="26"/>
    <x v="0"/>
    <x v="0"/>
    <x v="4"/>
    <s v="Real"/>
    <s v="Entrepreneur"/>
    <s v="Product development"/>
    <x v="0"/>
    <x v="0"/>
    <x v="1"/>
    <s v="D09.01.01"/>
    <n v="1"/>
    <s v="mengaplikasikan perbandingan trigonometri (sinus, cosinus, tangen) dari sudut lancip."/>
    <s v="01.01"/>
    <x v="14"/>
    <s v="K09"/>
    <s v="D"/>
    <n v="65"/>
    <n v="80"/>
    <s v="Tuntas"/>
    <s v="Matematika"/>
    <x v="5"/>
    <x v="9"/>
    <n v="80"/>
    <x v="2"/>
    <n v="9"/>
    <x v="0"/>
    <x v="2"/>
    <x v="5"/>
  </r>
  <r>
    <n v="881"/>
    <s v="242510009"/>
    <x v="0"/>
    <x v="10"/>
    <s v="Nabire"/>
    <d v="2026-01-19T00:00:00"/>
    <s v="19"/>
    <x v="0"/>
    <s v="26"/>
    <x v="0"/>
    <x v="0"/>
    <x v="4"/>
    <s v="Real"/>
    <s v="Entrepreneur"/>
    <s v="Product development"/>
    <x v="0"/>
    <x v="0"/>
    <x v="1"/>
    <s v="F11.01.02"/>
    <n v="1"/>
    <s v="mengaplikasikan perbandingan trigonometri (sinus, cosinus, tangen) dari sudut lancip."/>
    <s v="01.02"/>
    <x v="15"/>
    <s v="K11"/>
    <s v="F"/>
    <n v="65"/>
    <n v="70"/>
    <s v="Tuntas"/>
    <s v="Matematika"/>
    <x v="5"/>
    <x v="9"/>
    <n v="70"/>
    <x v="1"/>
    <n v="11"/>
    <x v="0"/>
    <x v="2"/>
    <x v="5"/>
  </r>
  <r>
    <n v="882"/>
    <s v="242510009"/>
    <x v="0"/>
    <x v="10"/>
    <s v="Nabire"/>
    <d v="2026-01-28T00:00:00"/>
    <s v="28"/>
    <x v="0"/>
    <s v="26"/>
    <x v="0"/>
    <x v="0"/>
    <x v="2"/>
    <s v="Real"/>
    <s v="Entrepreneur"/>
    <s v="Product development"/>
    <x v="0"/>
    <x v="0"/>
    <x v="1"/>
    <s v="D09.01.01"/>
    <n v="1"/>
    <s v="mengaplikasikan perbandingan trigonometri (sinus, cosinus, tangen) dari sudut lancip."/>
    <s v="01.01"/>
    <x v="14"/>
    <s v="K09"/>
    <s v="D"/>
    <n v="65"/>
    <n v="0"/>
    <s v="Tidak tuntas"/>
    <s v="Matematika"/>
    <x v="5"/>
    <x v="0"/>
    <s v=""/>
    <x v="0"/>
    <s v=""/>
    <x v="0"/>
    <x v="0"/>
    <x v="0"/>
  </r>
  <r>
    <n v="883"/>
    <s v="242510009"/>
    <x v="0"/>
    <x v="10"/>
    <s v="Nabire"/>
    <d v="2026-02-04T00:00:00"/>
    <s v="04"/>
    <x v="1"/>
    <s v="26"/>
    <x v="0"/>
    <x v="0"/>
    <x v="2"/>
    <s v="Real"/>
    <s v="Entrepreneur"/>
    <s v="Product development"/>
    <x v="0"/>
    <x v="0"/>
    <x v="1"/>
    <s v="F11.01.02"/>
    <n v="1"/>
    <s v="mengaplikasikan perbandingan trigonometri (sinus, cosinus, tangen) dari sudut lancip."/>
    <s v="01.02"/>
    <x v="15"/>
    <s v="K11"/>
    <s v="F"/>
    <n v="65"/>
    <n v="50"/>
    <s v="Tidak tuntas"/>
    <s v="Matematika"/>
    <x v="5"/>
    <x v="9"/>
    <n v="50"/>
    <x v="3"/>
    <n v="11"/>
    <x v="0"/>
    <x v="4"/>
    <x v="5"/>
  </r>
  <r>
    <n v="884"/>
    <s v="242510009"/>
    <x v="0"/>
    <x v="10"/>
    <s v="Nabire"/>
    <d v="2026-02-06T00:00:00"/>
    <s v="06"/>
    <x v="1"/>
    <s v="26"/>
    <x v="0"/>
    <x v="0"/>
    <x v="2"/>
    <s v="Real"/>
    <s v="Entrepreneur"/>
    <s v="Product development"/>
    <x v="0"/>
    <x v="0"/>
    <x v="1"/>
    <s v="F11.01.02"/>
    <n v="1"/>
    <s v="mengaplikasikan perbandingan trigonometri (sinus, cosinus, tangen) dari sudut lancip."/>
    <s v="01.02"/>
    <x v="15"/>
    <s v="K11"/>
    <s v="F"/>
    <n v="65"/>
    <n v="30"/>
    <s v="Tidak tuntas"/>
    <s v="Matematika"/>
    <x v="5"/>
    <x v="9"/>
    <n v="30"/>
    <x v="3"/>
    <n v="11"/>
    <x v="0"/>
    <x v="4"/>
    <x v="5"/>
  </r>
  <r>
    <n v="885"/>
    <s v="242510009"/>
    <x v="0"/>
    <x v="10"/>
    <s v="Nabire"/>
    <d v="2026-02-09T00:00:00"/>
    <s v="09"/>
    <x v="1"/>
    <s v="26"/>
    <x v="0"/>
    <x v="0"/>
    <x v="2"/>
    <s v="Real"/>
    <s v="Entrepreneur"/>
    <s v="Product development"/>
    <x v="0"/>
    <x v="0"/>
    <x v="1"/>
    <s v="F11.01.02"/>
    <n v="1"/>
    <s v="mengaplikasikan perbandingan trigonometri (sinus, cosinus, tangen) dari sudut lancip."/>
    <s v="01.02"/>
    <x v="15"/>
    <s v="K11"/>
    <s v="F"/>
    <n v="65"/>
    <n v="30"/>
    <s v="Tidak tuntas"/>
    <s v="Matematika"/>
    <x v="5"/>
    <x v="9"/>
    <n v="30"/>
    <x v="3"/>
    <n v="11"/>
    <x v="0"/>
    <x v="5"/>
    <x v="5"/>
  </r>
  <r>
    <n v="886"/>
    <s v="242510009"/>
    <x v="0"/>
    <x v="10"/>
    <s v="Nabire"/>
    <d v="2026-02-06T00:00:00"/>
    <s v="06"/>
    <x v="1"/>
    <s v="26"/>
    <x v="0"/>
    <x v="0"/>
    <x v="4"/>
    <s v="Real"/>
    <s v="Entrepreneur"/>
    <s v="Product development"/>
    <x v="0"/>
    <x v="0"/>
    <x v="1"/>
    <s v="F11.01.02"/>
    <n v="1"/>
    <s v="mengaplikasikan perbandingan trigonometri (sinus, cosinus, tangen) dari sudut lancip."/>
    <s v="01.02"/>
    <x v="15"/>
    <s v="K11"/>
    <s v="F"/>
    <n v="65"/>
    <n v="10"/>
    <s v="Tidak tuntas"/>
    <s v="Matematika"/>
    <x v="5"/>
    <x v="9"/>
    <n v="10"/>
    <x v="3"/>
    <n v="11"/>
    <x v="0"/>
    <x v="4"/>
    <x v="5"/>
  </r>
  <r>
    <n v="887"/>
    <s v="242510009"/>
    <x v="0"/>
    <x v="10"/>
    <s v="Nabire"/>
    <d v="2026-02-11T00:00:00"/>
    <s v="11"/>
    <x v="1"/>
    <s v="26"/>
    <x v="0"/>
    <x v="0"/>
    <x v="2"/>
    <s v="Real"/>
    <s v="Entrepreneur"/>
    <s v="Product development"/>
    <x v="0"/>
    <x v="0"/>
    <x v="1"/>
    <s v="F11.01.02"/>
    <n v="1"/>
    <s v="mengaplikasikan perbandingan trigonometri (sinus, cosinus, tangen) dari sudut lancip."/>
    <s v="01.02"/>
    <x v="15"/>
    <s v="K11"/>
    <s v="F"/>
    <n v="65"/>
    <n v="30"/>
    <s v="Tidak tuntas"/>
    <s v="Matematika"/>
    <x v="5"/>
    <x v="9"/>
    <n v="30"/>
    <x v="3"/>
    <n v="11"/>
    <x v="0"/>
    <x v="5"/>
    <x v="5"/>
  </r>
  <r>
    <n v="888"/>
    <s v="242510012"/>
    <x v="0"/>
    <x v="11"/>
    <s v="Intan Jaya"/>
    <d v="2026-01-14T00:00:00"/>
    <s v="14"/>
    <x v="0"/>
    <s v="26"/>
    <x v="0"/>
    <x v="0"/>
    <x v="2"/>
    <s v="Real"/>
    <s v="Entrepreneur"/>
    <s v="Product development"/>
    <x v="0"/>
    <x v="0"/>
    <x v="1"/>
    <s v="D09.01.01"/>
    <n v="1"/>
    <s v="mengaplikasikan perbandingan trigonometri (sinus, cosinus, tangen) dari sudut lancip."/>
    <s v="01.01"/>
    <x v="14"/>
    <s v="K09"/>
    <s v="D"/>
    <n v="65"/>
    <n v="40"/>
    <s v="Tidak tuntas"/>
    <s v="Matematika"/>
    <x v="5"/>
    <x v="9"/>
    <n v="40"/>
    <x v="3"/>
    <n v="9"/>
    <x v="0"/>
    <x v="1"/>
    <x v="2"/>
  </r>
  <r>
    <n v="889"/>
    <s v="242510012"/>
    <x v="0"/>
    <x v="11"/>
    <s v="Intan Jaya"/>
    <d v="2026-01-14T00:00:00"/>
    <s v="14"/>
    <x v="0"/>
    <s v="26"/>
    <x v="0"/>
    <x v="0"/>
    <x v="2"/>
    <s v="Real"/>
    <s v="Entrepreneur"/>
    <s v="Product development"/>
    <x v="0"/>
    <x v="0"/>
    <x v="1"/>
    <s v="F11.01.02"/>
    <n v="1"/>
    <s v="mengaplikasikan perbandingan trigonometri (sinus, cosinus, tangen) dari sudut lancip."/>
    <s v="01.02"/>
    <x v="15"/>
    <s v="K11"/>
    <s v="F"/>
    <n v="65"/>
    <n v="91"/>
    <s v="Tuntas"/>
    <s v="Matematika"/>
    <x v="5"/>
    <x v="9"/>
    <n v="91"/>
    <x v="4"/>
    <n v="11"/>
    <x v="0"/>
    <x v="1"/>
    <x v="2"/>
  </r>
  <r>
    <n v="890"/>
    <s v="242510012"/>
    <x v="0"/>
    <x v="11"/>
    <s v="Intan Jaya"/>
    <d v="2026-01-19T00:00:00"/>
    <s v="19"/>
    <x v="0"/>
    <s v="26"/>
    <x v="0"/>
    <x v="0"/>
    <x v="2"/>
    <s v="Real"/>
    <s v="Entrepreneur"/>
    <s v="Product development"/>
    <x v="0"/>
    <x v="0"/>
    <x v="1"/>
    <s v="D09.01.01"/>
    <n v="1"/>
    <s v="mengaplikasikan perbandingan trigonometri (sinus, cosinus, tangen) dari sudut lancip."/>
    <s v="01.01"/>
    <x v="14"/>
    <s v="K09"/>
    <s v="D"/>
    <n v="65"/>
    <n v="70"/>
    <s v="Tuntas"/>
    <s v="Matematika"/>
    <x v="5"/>
    <x v="9"/>
    <n v="70"/>
    <x v="1"/>
    <n v="9"/>
    <x v="0"/>
    <x v="2"/>
    <x v="2"/>
  </r>
  <r>
    <n v="891"/>
    <s v="242510012"/>
    <x v="0"/>
    <x v="11"/>
    <s v="Intan Jaya"/>
    <d v="2026-01-19T00:00:00"/>
    <s v="19"/>
    <x v="0"/>
    <s v="26"/>
    <x v="3"/>
    <x v="8"/>
    <x v="14"/>
    <s v="Real"/>
    <s v="Entrepreneur"/>
    <s v="Product development"/>
    <x v="0"/>
    <x v="0"/>
    <x v="1"/>
    <s v="F11.01.02"/>
    <n v="1"/>
    <s v="mengaplikasikan perbandingan trigonometri (sinus, cosinus, tangen) dari sudut lancip."/>
    <s v="01.02"/>
    <x v="15"/>
    <s v="K11"/>
    <s v="F"/>
    <n v="65"/>
    <n v="65"/>
    <s v="Tuntas"/>
    <s v="Matematika"/>
    <x v="5"/>
    <x v="9"/>
    <n v="65"/>
    <x v="1"/>
    <n v="11"/>
    <x v="3"/>
    <x v="2"/>
    <x v="2"/>
  </r>
  <r>
    <n v="892"/>
    <s v="242510012"/>
    <x v="0"/>
    <x v="11"/>
    <s v="Intan Jaya"/>
    <d v="2026-01-21T00:00:00"/>
    <s v="21"/>
    <x v="0"/>
    <s v="26"/>
    <x v="0"/>
    <x v="0"/>
    <x v="2"/>
    <s v="Real"/>
    <s v="Entrepreneur"/>
    <s v="Product development"/>
    <x v="0"/>
    <x v="0"/>
    <x v="1"/>
    <s v="D09.01.01"/>
    <n v="1"/>
    <s v="mengaplikasikan perbandingan trigonometri (sinus, cosinus, tangen) dari sudut lancip."/>
    <s v="01.01"/>
    <x v="14"/>
    <s v="K09"/>
    <s v="D"/>
    <n v="65"/>
    <n v="80"/>
    <s v="Tuntas"/>
    <s v="Matematika"/>
    <x v="5"/>
    <x v="9"/>
    <n v="80"/>
    <x v="2"/>
    <n v="9"/>
    <x v="0"/>
    <x v="2"/>
    <x v="2"/>
  </r>
  <r>
    <n v="893"/>
    <s v="242510012"/>
    <x v="0"/>
    <x v="11"/>
    <s v="Intan Jaya"/>
    <d v="2026-01-21T00:00:00"/>
    <s v="21"/>
    <x v="0"/>
    <s v="26"/>
    <x v="3"/>
    <x v="8"/>
    <x v="14"/>
    <s v="Real"/>
    <s v="Entrepreneur"/>
    <s v="Product development"/>
    <x v="0"/>
    <x v="0"/>
    <x v="1"/>
    <s v="D09.01.01"/>
    <n v="1"/>
    <s v="mengaplikasikan perbandingan trigonometri (sinus, cosinus, tangen) dari sudut lancip."/>
    <s v="01.01"/>
    <x v="14"/>
    <s v="K09"/>
    <s v="D"/>
    <n v="65"/>
    <n v="65"/>
    <s v="Tuntas"/>
    <s v="Matematika"/>
    <x v="5"/>
    <x v="9"/>
    <n v="65"/>
    <x v="1"/>
    <n v="9"/>
    <x v="3"/>
    <x v="2"/>
    <x v="2"/>
  </r>
  <r>
    <n v="894"/>
    <s v="242510012"/>
    <x v="0"/>
    <x v="11"/>
    <s v="Intan Jaya"/>
    <d v="2026-01-19T00:00:00"/>
    <s v="19"/>
    <x v="0"/>
    <s v="26"/>
    <x v="0"/>
    <x v="0"/>
    <x v="4"/>
    <s v="Real"/>
    <s v="Entrepreneur"/>
    <s v="Product development"/>
    <x v="0"/>
    <x v="0"/>
    <x v="1"/>
    <s v="D09.01.01"/>
    <n v="1"/>
    <s v="mengaplikasikan perbandingan trigonometri (sinus, cosinus, tangen) dari sudut lancip."/>
    <s v="01.01"/>
    <x v="14"/>
    <s v="K09"/>
    <s v="D"/>
    <n v="65"/>
    <n v="60"/>
    <s v="Tidak tuntas"/>
    <s v="Matematika"/>
    <x v="5"/>
    <x v="9"/>
    <n v="60"/>
    <x v="3"/>
    <n v="9"/>
    <x v="0"/>
    <x v="2"/>
    <x v="2"/>
  </r>
  <r>
    <n v="895"/>
    <s v="242510012"/>
    <x v="0"/>
    <x v="11"/>
    <s v="Intan Jaya"/>
    <d v="2026-01-19T00:00:00"/>
    <s v="19"/>
    <x v="0"/>
    <s v="26"/>
    <x v="0"/>
    <x v="0"/>
    <x v="4"/>
    <s v="Real"/>
    <s v="Entrepreneur"/>
    <s v="Product development"/>
    <x v="0"/>
    <x v="0"/>
    <x v="1"/>
    <s v="F11.01.02"/>
    <n v="1"/>
    <s v="mengaplikasikan perbandingan trigonometri (sinus, cosinus, tangen) dari sudut lancip."/>
    <s v="01.02"/>
    <x v="15"/>
    <s v="K11"/>
    <s v="F"/>
    <n v="65"/>
    <n v="50"/>
    <s v="Tidak tuntas"/>
    <s v="Matematika"/>
    <x v="5"/>
    <x v="9"/>
    <n v="50"/>
    <x v="3"/>
    <n v="11"/>
    <x v="0"/>
    <x v="2"/>
    <x v="2"/>
  </r>
  <r>
    <n v="896"/>
    <s v="242510012"/>
    <x v="0"/>
    <x v="11"/>
    <s v="Intan Jaya"/>
    <d v="2026-01-28T00:00:00"/>
    <s v="28"/>
    <x v="0"/>
    <s v="26"/>
    <x v="0"/>
    <x v="0"/>
    <x v="2"/>
    <s v="Real"/>
    <s v="Entrepreneur"/>
    <s v="Product development"/>
    <x v="0"/>
    <x v="0"/>
    <x v="1"/>
    <s v="D09.01.01"/>
    <n v="1"/>
    <s v="mengaplikasikan perbandingan trigonometri (sinus, cosinus, tangen) dari sudut lancip."/>
    <s v="01.01"/>
    <x v="14"/>
    <s v="K09"/>
    <s v="D"/>
    <n v="65"/>
    <n v="65"/>
    <s v="Tuntas"/>
    <s v="Matematika"/>
    <x v="5"/>
    <x v="9"/>
    <n v="65"/>
    <x v="1"/>
    <n v="9"/>
    <x v="0"/>
    <x v="3"/>
    <x v="2"/>
  </r>
  <r>
    <n v="897"/>
    <s v="242510012"/>
    <x v="0"/>
    <x v="11"/>
    <s v="Intan Jaya"/>
    <d v="2026-02-04T00:00:00"/>
    <s v="04"/>
    <x v="1"/>
    <s v="26"/>
    <x v="0"/>
    <x v="0"/>
    <x v="2"/>
    <s v="Real"/>
    <s v="Entrepreneur"/>
    <s v="Product development"/>
    <x v="0"/>
    <x v="0"/>
    <x v="1"/>
    <s v="F11.01.02"/>
    <n v="1"/>
    <s v="mengaplikasikan perbandingan trigonometri (sinus, cosinus, tangen) dari sudut lancip."/>
    <s v="01.02"/>
    <x v="15"/>
    <s v="K11"/>
    <s v="F"/>
    <n v="65"/>
    <n v="93"/>
    <s v="Tuntas"/>
    <s v="Matematika"/>
    <x v="5"/>
    <x v="9"/>
    <n v="93"/>
    <x v="4"/>
    <n v="11"/>
    <x v="0"/>
    <x v="4"/>
    <x v="2"/>
  </r>
  <r>
    <n v="898"/>
    <s v="242510012"/>
    <x v="0"/>
    <x v="11"/>
    <s v="Intan Jaya"/>
    <d v="2026-02-06T00:00:00"/>
    <s v="06"/>
    <x v="1"/>
    <s v="26"/>
    <x v="0"/>
    <x v="0"/>
    <x v="2"/>
    <s v="Real"/>
    <s v="Entrepreneur"/>
    <s v="Product development"/>
    <x v="0"/>
    <x v="0"/>
    <x v="1"/>
    <s v="F11.01.02"/>
    <n v="1"/>
    <s v="mengaplikasikan perbandingan trigonometri (sinus, cosinus, tangen) dari sudut lancip."/>
    <s v="01.02"/>
    <x v="15"/>
    <s v="K11"/>
    <s v="F"/>
    <n v="65"/>
    <n v="50"/>
    <s v="Tidak tuntas"/>
    <s v="Matematika"/>
    <x v="5"/>
    <x v="9"/>
    <n v="50"/>
    <x v="3"/>
    <n v="11"/>
    <x v="0"/>
    <x v="4"/>
    <x v="2"/>
  </r>
  <r>
    <n v="899"/>
    <s v="242510012"/>
    <x v="0"/>
    <x v="11"/>
    <s v="Intan Jaya"/>
    <d v="2026-02-09T00:00:00"/>
    <s v="09"/>
    <x v="1"/>
    <s v="26"/>
    <x v="0"/>
    <x v="0"/>
    <x v="2"/>
    <s v="Real"/>
    <s v="Entrepreneur"/>
    <s v="Product development"/>
    <x v="0"/>
    <x v="0"/>
    <x v="1"/>
    <s v="F11.01.02"/>
    <n v="1"/>
    <s v="mengaplikasikan perbandingan trigonometri (sinus, cosinus, tangen) dari sudut lancip."/>
    <s v="01.02"/>
    <x v="15"/>
    <s v="K11"/>
    <s v="F"/>
    <n v="65"/>
    <n v="80"/>
    <s v="Tuntas"/>
    <s v="Matematika"/>
    <x v="5"/>
    <x v="9"/>
    <n v="80"/>
    <x v="2"/>
    <n v="11"/>
    <x v="0"/>
    <x v="5"/>
    <x v="2"/>
  </r>
  <r>
    <n v="900"/>
    <s v="242510012"/>
    <x v="0"/>
    <x v="11"/>
    <s v="Intan Jaya"/>
    <d v="2026-02-06T00:00:00"/>
    <s v="06"/>
    <x v="1"/>
    <s v="26"/>
    <x v="0"/>
    <x v="0"/>
    <x v="4"/>
    <s v="Real"/>
    <s v="Entrepreneur"/>
    <s v="Product development"/>
    <x v="0"/>
    <x v="0"/>
    <x v="1"/>
    <s v="F11.01.02"/>
    <n v="1"/>
    <s v="mengaplikasikan perbandingan trigonometri (sinus, cosinus, tangen) dari sudut lancip."/>
    <s v="01.02"/>
    <x v="15"/>
    <s v="K11"/>
    <s v="F"/>
    <n v="65"/>
    <n v="78"/>
    <s v="Tuntas"/>
    <s v="Matematika"/>
    <x v="5"/>
    <x v="9"/>
    <n v="78"/>
    <x v="1"/>
    <n v="11"/>
    <x v="0"/>
    <x v="4"/>
    <x v="2"/>
  </r>
  <r>
    <n v="901"/>
    <s v="242510012"/>
    <x v="0"/>
    <x v="11"/>
    <s v="Intan Jaya"/>
    <d v="2026-02-11T00:00:00"/>
    <s v="11"/>
    <x v="1"/>
    <s v="26"/>
    <x v="0"/>
    <x v="0"/>
    <x v="2"/>
    <s v="Real"/>
    <s v="Entrepreneur"/>
    <s v="Product development"/>
    <x v="0"/>
    <x v="0"/>
    <x v="1"/>
    <s v="F11.01.02"/>
    <n v="1"/>
    <s v="mengaplikasikan perbandingan trigonometri (sinus, cosinus, tangen) dari sudut lancip."/>
    <s v="01.02"/>
    <x v="15"/>
    <s v="K11"/>
    <s v="F"/>
    <n v="65"/>
    <n v="30"/>
    <s v="Tidak tuntas"/>
    <s v="Matematika"/>
    <x v="5"/>
    <x v="9"/>
    <n v="30"/>
    <x v="3"/>
    <n v="11"/>
    <x v="0"/>
    <x v="5"/>
    <x v="2"/>
  </r>
  <r>
    <n v="902"/>
    <s v="#N/A"/>
    <x v="1"/>
    <x v="12"/>
    <s v="#VALUE!"/>
    <m/>
    <s v=",,,,,,,,,,,,"/>
    <x v="2"/>
    <s v=",,,,,,,,,,,,"/>
    <x v="5"/>
    <x v="10"/>
    <x v="12"/>
    <s v=",,,,,,,,,,,,"/>
    <s v=""/>
    <s v=""/>
    <x v="1"/>
    <x v="1"/>
    <x v="2"/>
    <s v=",,,,,,,,,,,,"/>
    <m/>
    <s v=""/>
    <s v=",,,,,"/>
    <x v="8"/>
    <s v=",,,,,,,,,,,,"/>
    <s v=","/>
    <n v="65"/>
    <m/>
    <s v="#REF!"/>
    <s v="Matematika Tingkat Lanjut"/>
    <x v="0"/>
    <x v="0"/>
    <s v=""/>
    <x v="0"/>
    <s v=""/>
    <x v="0"/>
    <x v="0"/>
    <x v="0"/>
  </r>
  <r>
    <n v="903"/>
    <s v="#N/A"/>
    <x v="1"/>
    <x v="12"/>
    <s v="#VALUE!"/>
    <m/>
    <s v=",,,,,,,,,,,,"/>
    <x v="2"/>
    <s v=",,,,,,,,,,,,"/>
    <x v="5"/>
    <x v="10"/>
    <x v="12"/>
    <s v=",,,,,,,,,,,,"/>
    <s v=""/>
    <s v=""/>
    <x v="1"/>
    <x v="1"/>
    <x v="2"/>
    <s v=",,,,,,,,,,,,"/>
    <m/>
    <s v=""/>
    <s v=",,,,,"/>
    <x v="8"/>
    <s v=",,,,,,,,,,,,"/>
    <s v=","/>
    <n v="65"/>
    <m/>
    <s v="#REF!"/>
    <s v="Pendidikan Jasmani, Olahraga, dan Kesehatan"/>
    <x v="0"/>
    <x v="0"/>
    <s v=""/>
    <x v="0"/>
    <s v=""/>
    <x v="0"/>
    <x v="0"/>
    <x v="0"/>
  </r>
  <r>
    <n v="904"/>
    <s v="242510001"/>
    <x v="0"/>
    <x v="4"/>
    <s v="Intan Jaya"/>
    <d v="2026-01-12T00:00:00"/>
    <s v="12"/>
    <x v="0"/>
    <s v="26"/>
    <x v="3"/>
    <x v="4"/>
    <x v="15"/>
    <s v="Real"/>
    <s v="Entrepreneur"/>
    <s v="Product development"/>
    <x v="0"/>
    <x v="0"/>
    <x v="1"/>
    <s v="F11.01.01"/>
    <n v="1"/>
    <s v="menganalisis kelas sosial masyarakat"/>
    <s v="01.01"/>
    <x v="16"/>
    <s v="K11"/>
    <s v="F"/>
    <n v="65"/>
    <n v="83"/>
    <s v="Tuntas"/>
    <s v="Pendidikan Pancasila"/>
    <x v="0"/>
    <x v="10"/>
    <n v="83"/>
    <x v="2"/>
    <n v="11"/>
    <x v="2"/>
    <x v="1"/>
    <x v="2"/>
  </r>
  <r>
    <n v="905"/>
    <s v="242510001"/>
    <x v="0"/>
    <x v="4"/>
    <s v="Intan Jaya"/>
    <d v="2026-01-12T00:00:00"/>
    <s v="12"/>
    <x v="0"/>
    <s v="26"/>
    <x v="0"/>
    <x v="0"/>
    <x v="2"/>
    <s v="Real"/>
    <s v="Entrepreneur"/>
    <s v="Product development"/>
    <x v="0"/>
    <x v="0"/>
    <x v="1"/>
    <s v="F11.01.01"/>
    <n v="1"/>
    <s v="menganalisis kelas sosial masyarakat"/>
    <s v="01.01"/>
    <x v="16"/>
    <s v="K11"/>
    <s v="F"/>
    <n v="65"/>
    <n v="78"/>
    <s v="Tuntas"/>
    <s v="Pendidikan Pancasila"/>
    <x v="0"/>
    <x v="10"/>
    <n v="78"/>
    <x v="1"/>
    <n v="11"/>
    <x v="0"/>
    <x v="1"/>
    <x v="2"/>
  </r>
  <r>
    <n v="906"/>
    <s v="242510001"/>
    <x v="0"/>
    <x v="4"/>
    <s v="Intan Jaya"/>
    <d v="2026-01-12T00:00:00"/>
    <s v="12"/>
    <x v="0"/>
    <s v="26"/>
    <x v="2"/>
    <x v="3"/>
    <x v="2"/>
    <s v="Real"/>
    <s v="Entrepreneur"/>
    <s v="Product development"/>
    <x v="0"/>
    <x v="0"/>
    <x v="1"/>
    <s v="F11.01.01"/>
    <n v="1"/>
    <s v="menganalisis kelas sosial masyarakat"/>
    <s v="01.01"/>
    <x v="16"/>
    <s v="K11"/>
    <s v="F"/>
    <n v="65"/>
    <n v="75"/>
    <s v="Tuntas"/>
    <s v="Pendidikan Pancasila"/>
    <x v="0"/>
    <x v="10"/>
    <n v="75"/>
    <x v="1"/>
    <n v="11"/>
    <x v="0"/>
    <x v="1"/>
    <x v="2"/>
  </r>
  <r>
    <n v="907"/>
    <s v="242510001"/>
    <x v="0"/>
    <x v="4"/>
    <s v="Intan Jaya"/>
    <d v="2026-01-12T00:00:00"/>
    <s v="12"/>
    <x v="0"/>
    <s v="26"/>
    <x v="4"/>
    <x v="5"/>
    <x v="0"/>
    <s v="Real"/>
    <s v="Entrepreneur"/>
    <s v="Product development"/>
    <x v="0"/>
    <x v="0"/>
    <x v="1"/>
    <s v="F11.01.01"/>
    <n v="1"/>
    <s v="menganalisis kelas sosial masyarakat"/>
    <s v="01.01"/>
    <x v="16"/>
    <s v="K11"/>
    <s v="F"/>
    <n v="65"/>
    <n v="74"/>
    <s v="Tuntas"/>
    <s v="Pendidikan Pancasila"/>
    <x v="0"/>
    <x v="10"/>
    <n v="74"/>
    <x v="1"/>
    <n v="11"/>
    <x v="0"/>
    <x v="1"/>
    <x v="2"/>
  </r>
  <r>
    <n v="908"/>
    <s v="242510001"/>
    <x v="0"/>
    <x v="4"/>
    <s v="Intan Jaya"/>
    <d v="2026-01-26T00:00:00"/>
    <s v="26"/>
    <x v="0"/>
    <s v="26"/>
    <x v="0"/>
    <x v="0"/>
    <x v="6"/>
    <s v="Real"/>
    <s v="Entrepreneur"/>
    <s v="Product development"/>
    <x v="0"/>
    <x v="0"/>
    <x v="1"/>
    <s v="F11.01.02"/>
    <n v="1"/>
    <s v="menganalisis kelas sosial masyarakat"/>
    <s v="01.02"/>
    <x v="17"/>
    <s v="K11"/>
    <s v="F"/>
    <n v="65"/>
    <n v="78"/>
    <s v="Tuntas"/>
    <s v="Pendidikan Pancasila"/>
    <x v="0"/>
    <x v="10"/>
    <n v="78"/>
    <x v="1"/>
    <n v="11"/>
    <x v="0"/>
    <x v="3"/>
    <x v="2"/>
  </r>
  <r>
    <n v="909"/>
    <s v="242510001"/>
    <x v="0"/>
    <x v="4"/>
    <s v="Intan Jaya"/>
    <d v="2026-01-26T00:00:00"/>
    <s v="26"/>
    <x v="0"/>
    <s v="26"/>
    <x v="2"/>
    <x v="6"/>
    <x v="6"/>
    <s v="Real"/>
    <s v="Entrepreneur"/>
    <s v="Product development"/>
    <x v="0"/>
    <x v="0"/>
    <x v="1"/>
    <s v="F11.01.02"/>
    <n v="1"/>
    <s v="menganalisis kelas sosial masyarakat"/>
    <s v="01.02"/>
    <x v="17"/>
    <s v="K11"/>
    <s v="F"/>
    <n v="65"/>
    <n v="75"/>
    <s v="Tuntas"/>
    <s v="Pendidikan Pancasila"/>
    <x v="0"/>
    <x v="10"/>
    <n v="75"/>
    <x v="1"/>
    <n v="11"/>
    <x v="0"/>
    <x v="3"/>
    <x v="2"/>
  </r>
  <r>
    <n v="910"/>
    <s v="242510001"/>
    <x v="0"/>
    <x v="4"/>
    <s v="Intan Jaya"/>
    <d v="2026-01-26T00:00:00"/>
    <s v="26"/>
    <x v="0"/>
    <s v="26"/>
    <x v="3"/>
    <x v="8"/>
    <x v="10"/>
    <s v="Real"/>
    <s v="Entrepreneur"/>
    <s v="Product development"/>
    <x v="0"/>
    <x v="0"/>
    <x v="1"/>
    <s v="F11.01.02"/>
    <n v="1"/>
    <s v="menganalisis kelas sosial masyarakat"/>
    <s v="01.02"/>
    <x v="17"/>
    <s v="K11"/>
    <s v="F"/>
    <n v="65"/>
    <n v="78"/>
    <s v="Tuntas"/>
    <s v="Pendidikan Pancasila"/>
    <x v="0"/>
    <x v="10"/>
    <n v="78"/>
    <x v="1"/>
    <n v="11"/>
    <x v="1"/>
    <x v="3"/>
    <x v="2"/>
  </r>
  <r>
    <n v="911"/>
    <s v="242510001"/>
    <x v="0"/>
    <x v="4"/>
    <s v="Intan Jaya"/>
    <d v="2026-01-26T00:00:00"/>
    <s v="26"/>
    <x v="0"/>
    <s v="26"/>
    <x v="4"/>
    <x v="5"/>
    <x v="0"/>
    <s v="Real"/>
    <s v="Entrepreneur"/>
    <s v="Product development"/>
    <x v="0"/>
    <x v="0"/>
    <x v="1"/>
    <s v="F11.01.02"/>
    <n v="1"/>
    <s v="menganalisis kelas sosial masyarakat"/>
    <s v="01.02"/>
    <x v="17"/>
    <s v="K11"/>
    <s v="F"/>
    <n v="65"/>
    <n v="75"/>
    <s v="Tuntas"/>
    <s v="Pendidikan Pancasila"/>
    <x v="0"/>
    <x v="10"/>
    <n v="75"/>
    <x v="1"/>
    <n v="11"/>
    <x v="0"/>
    <x v="3"/>
    <x v="2"/>
  </r>
  <r>
    <n v="912"/>
    <s v="242510001"/>
    <x v="0"/>
    <x v="4"/>
    <s v="Intan Jaya"/>
    <d v="2026-02-02T00:00:00"/>
    <s v="02"/>
    <x v="1"/>
    <s v="26"/>
    <x v="3"/>
    <x v="8"/>
    <x v="16"/>
    <s v="Real"/>
    <s v="Entrepreneur"/>
    <s v="Product development"/>
    <x v="0"/>
    <x v="0"/>
    <x v="1"/>
    <s v="F11.01.03"/>
    <n v="1"/>
    <s v="menganalisis kelas sosial masyarakat"/>
    <s v="01.03"/>
    <x v="18"/>
    <s v="K11"/>
    <s v="F"/>
    <n v="65"/>
    <n v="80"/>
    <s v="Tuntas"/>
    <s v="Pendidikan Pancasila"/>
    <x v="0"/>
    <x v="10"/>
    <n v="80"/>
    <x v="2"/>
    <n v="11"/>
    <x v="2"/>
    <x v="4"/>
    <x v="2"/>
  </r>
  <r>
    <n v="913"/>
    <s v="242510001"/>
    <x v="0"/>
    <x v="4"/>
    <s v="Intan Jaya"/>
    <d v="2026-02-02T00:00:00"/>
    <s v="02"/>
    <x v="1"/>
    <s v="26"/>
    <x v="4"/>
    <x v="5"/>
    <x v="0"/>
    <s v="Real"/>
    <s v="Entrepreneur"/>
    <s v="Product development"/>
    <x v="0"/>
    <x v="0"/>
    <x v="1"/>
    <s v="F11.01.03"/>
    <n v="1"/>
    <s v="menganalisis kelas sosial masyarakat"/>
    <s v="01.03"/>
    <x v="18"/>
    <s v="K11"/>
    <s v="F"/>
    <n v="65"/>
    <n v="80"/>
    <s v="Tuntas"/>
    <s v="Pendidikan Pancasila"/>
    <x v="0"/>
    <x v="10"/>
    <n v="80"/>
    <x v="2"/>
    <n v="11"/>
    <x v="0"/>
    <x v="4"/>
    <x v="2"/>
  </r>
  <r>
    <n v="914"/>
    <s v="242510001"/>
    <x v="0"/>
    <x v="4"/>
    <s v="Intan Jaya"/>
    <d v="2026-02-02T00:00:00"/>
    <s v="02"/>
    <x v="1"/>
    <s v="26"/>
    <x v="1"/>
    <x v="9"/>
    <x v="6"/>
    <s v="Real"/>
    <s v="Entrepreneur"/>
    <s v="Product development"/>
    <x v="0"/>
    <x v="0"/>
    <x v="1"/>
    <s v="F11.01.03"/>
    <n v="1"/>
    <s v="menganalisis kelas sosial masyarakat"/>
    <s v="01.03"/>
    <x v="18"/>
    <s v="K11"/>
    <s v="F"/>
    <n v="65"/>
    <n v="78"/>
    <s v="Tuntas"/>
    <s v="Pendidikan Pancasila"/>
    <x v="0"/>
    <x v="10"/>
    <n v="78"/>
    <x v="1"/>
    <n v="11"/>
    <x v="0"/>
    <x v="4"/>
    <x v="2"/>
  </r>
  <r>
    <n v="915"/>
    <s v="242510001"/>
    <x v="0"/>
    <x v="4"/>
    <s v="Intan Jaya"/>
    <d v="2026-02-02T00:00:00"/>
    <s v="02"/>
    <x v="1"/>
    <s v="26"/>
    <x v="2"/>
    <x v="6"/>
    <x v="6"/>
    <s v="Real"/>
    <s v="Entrepreneur"/>
    <s v="Product development"/>
    <x v="0"/>
    <x v="0"/>
    <x v="1"/>
    <s v="F11.01.03"/>
    <n v="1"/>
    <s v="menganalisis kelas sosial masyarakat"/>
    <s v="01.03"/>
    <x v="18"/>
    <s v="K11"/>
    <s v="F"/>
    <n v="65"/>
    <n v="87"/>
    <s v="Tuntas"/>
    <s v="Pendidikan Pancasila"/>
    <x v="0"/>
    <x v="10"/>
    <n v="87"/>
    <x v="2"/>
    <n v="11"/>
    <x v="0"/>
    <x v="4"/>
    <x v="2"/>
  </r>
  <r>
    <n v="916"/>
    <s v="242510001"/>
    <x v="0"/>
    <x v="4"/>
    <s v="Intan Jaya"/>
    <d v="2026-02-02T00:00:00"/>
    <s v="02"/>
    <x v="1"/>
    <s v="26"/>
    <x v="0"/>
    <x v="0"/>
    <x v="9"/>
    <s v="Real"/>
    <s v="Entrepreneur"/>
    <s v="Product development"/>
    <x v="0"/>
    <x v="0"/>
    <x v="1"/>
    <s v="F11.01.03"/>
    <n v="1"/>
    <s v="menganalisis kelas sosial masyarakat"/>
    <s v="01.03"/>
    <x v="18"/>
    <s v="K11"/>
    <s v="F"/>
    <n v="65"/>
    <n v="88"/>
    <s v="Tuntas"/>
    <s v="Pendidikan Pancasila"/>
    <x v="0"/>
    <x v="10"/>
    <n v="88"/>
    <x v="2"/>
    <n v="11"/>
    <x v="0"/>
    <x v="4"/>
    <x v="2"/>
  </r>
  <r>
    <n v="917"/>
    <s v="242510001"/>
    <x v="0"/>
    <x v="4"/>
    <s v="Intan Jaya"/>
    <d v="2026-02-09T00:00:00"/>
    <s v="09"/>
    <x v="1"/>
    <s v="26"/>
    <x v="0"/>
    <x v="2"/>
    <x v="17"/>
    <s v="Real"/>
    <s v="Entrepreneur"/>
    <s v="Product development"/>
    <x v="0"/>
    <x v="0"/>
    <x v="1"/>
    <s v="F11.01.01"/>
    <n v="1"/>
    <s v="menganalisis kelas sosial masyarakat"/>
    <s v="01.01"/>
    <x v="16"/>
    <s v="K11"/>
    <s v="F"/>
    <n v="65"/>
    <n v="75"/>
    <s v="Tuntas"/>
    <s v="Pendidikan Pancasila"/>
    <x v="0"/>
    <x v="10"/>
    <n v="75"/>
    <x v="1"/>
    <n v="11"/>
    <x v="0"/>
    <x v="5"/>
    <x v="2"/>
  </r>
  <r>
    <n v="918"/>
    <s v="242510001"/>
    <x v="0"/>
    <x v="4"/>
    <s v="Intan Jaya"/>
    <d v="2026-02-09T00:00:00"/>
    <s v="09"/>
    <x v="1"/>
    <s v="26"/>
    <x v="0"/>
    <x v="2"/>
    <x v="17"/>
    <s v="Real"/>
    <s v="Entrepreneur"/>
    <s v="Product development"/>
    <x v="0"/>
    <x v="0"/>
    <x v="1"/>
    <s v="F11.01.02"/>
    <n v="1"/>
    <s v="menganalisis kelas sosial masyarakat"/>
    <s v="01.02"/>
    <x v="17"/>
    <s v="K11"/>
    <s v="F"/>
    <n v="65"/>
    <n v="75"/>
    <s v="Tuntas"/>
    <s v="Pendidikan Pancasila"/>
    <x v="0"/>
    <x v="10"/>
    <n v="75"/>
    <x v="1"/>
    <n v="11"/>
    <x v="0"/>
    <x v="5"/>
    <x v="2"/>
  </r>
  <r>
    <n v="919"/>
    <s v="242510001"/>
    <x v="0"/>
    <x v="4"/>
    <s v="Intan Jaya"/>
    <d v="2026-02-06T00:00:00"/>
    <s v="06"/>
    <x v="1"/>
    <s v="26"/>
    <x v="1"/>
    <x v="13"/>
    <x v="6"/>
    <s v="Real"/>
    <s v="Entrepreneur"/>
    <s v="Product development"/>
    <x v="0"/>
    <x v="0"/>
    <x v="1"/>
    <s v="F11.01.03"/>
    <n v="1"/>
    <s v="menganalisis kelas sosial masyarakat"/>
    <s v="01.03"/>
    <x v="18"/>
    <s v="K11"/>
    <s v="F"/>
    <n v="65"/>
    <n v="65"/>
    <s v="Tuntas"/>
    <s v="Pendidikan Pancasila"/>
    <x v="0"/>
    <x v="10"/>
    <n v="65"/>
    <x v="1"/>
    <n v="11"/>
    <x v="0"/>
    <x v="4"/>
    <x v="2"/>
  </r>
  <r>
    <n v="920"/>
    <s v="242510001"/>
    <x v="0"/>
    <x v="4"/>
    <s v="Intan Jaya"/>
    <d v="2026-02-06T00:00:00"/>
    <s v="06"/>
    <x v="1"/>
    <s v="26"/>
    <x v="0"/>
    <x v="0"/>
    <x v="6"/>
    <s v="Real"/>
    <s v="Entrepreneur"/>
    <s v="Product development"/>
    <x v="0"/>
    <x v="0"/>
    <x v="1"/>
    <s v="F11.01.03"/>
    <n v="1"/>
    <s v="menganalisis kelas sosial masyarakat"/>
    <s v="01.03"/>
    <x v="18"/>
    <s v="K11"/>
    <s v="F"/>
    <n v="65"/>
    <n v="67"/>
    <s v="Tuntas"/>
    <s v="Pendidikan Pancasila"/>
    <x v="0"/>
    <x v="10"/>
    <n v="67"/>
    <x v="1"/>
    <n v="11"/>
    <x v="0"/>
    <x v="4"/>
    <x v="2"/>
  </r>
  <r>
    <n v="921"/>
    <s v="242510007"/>
    <x v="0"/>
    <x v="5"/>
    <s v="Intan Jaya"/>
    <d v="2026-01-12T00:00:00"/>
    <s v="12"/>
    <x v="0"/>
    <s v="26"/>
    <x v="3"/>
    <x v="4"/>
    <x v="15"/>
    <s v="Real"/>
    <s v="Entrepreneur"/>
    <s v="Product development"/>
    <x v="0"/>
    <x v="0"/>
    <x v="1"/>
    <s v="F11.01.01"/>
    <n v="1"/>
    <s v="menganalisis kelas sosial masyarakat"/>
    <s v="01.01"/>
    <x v="16"/>
    <s v="K11"/>
    <s v="F"/>
    <n v="65"/>
    <n v="76"/>
    <s v="Tuntas"/>
    <s v="Pendidikan Pancasila"/>
    <x v="0"/>
    <x v="10"/>
    <n v="76"/>
    <x v="1"/>
    <n v="11"/>
    <x v="1"/>
    <x v="1"/>
    <x v="3"/>
  </r>
  <r>
    <n v="922"/>
    <s v="242510007"/>
    <x v="0"/>
    <x v="5"/>
    <s v="Intan Jaya"/>
    <d v="2026-01-12T00:00:00"/>
    <s v="12"/>
    <x v="0"/>
    <s v="26"/>
    <x v="0"/>
    <x v="0"/>
    <x v="2"/>
    <s v="Real"/>
    <s v="Entrepreneur"/>
    <s v="Product development"/>
    <x v="0"/>
    <x v="0"/>
    <x v="1"/>
    <s v="F11.01.01"/>
    <n v="1"/>
    <s v="menganalisis kelas sosial masyarakat"/>
    <s v="01.01"/>
    <x v="16"/>
    <s v="K11"/>
    <s v="F"/>
    <n v="65"/>
    <n v="65"/>
    <s v="Tuntas"/>
    <s v="Pendidikan Pancasila"/>
    <x v="0"/>
    <x v="10"/>
    <n v="65"/>
    <x v="1"/>
    <n v="11"/>
    <x v="0"/>
    <x v="1"/>
    <x v="3"/>
  </r>
  <r>
    <n v="923"/>
    <s v="242510007"/>
    <x v="0"/>
    <x v="5"/>
    <s v="Intan Jaya"/>
    <d v="2026-01-12T00:00:00"/>
    <s v="12"/>
    <x v="0"/>
    <s v="26"/>
    <x v="2"/>
    <x v="3"/>
    <x v="2"/>
    <s v="Real"/>
    <s v="Entrepreneur"/>
    <s v="Product development"/>
    <x v="0"/>
    <x v="0"/>
    <x v="1"/>
    <s v="F11.01.01"/>
    <n v="1"/>
    <s v="menganalisis kelas sosial masyarakat"/>
    <s v="01.01"/>
    <x v="16"/>
    <s v="K11"/>
    <s v="F"/>
    <n v="65"/>
    <n v="65"/>
    <s v="Tuntas"/>
    <s v="Pendidikan Pancasila"/>
    <x v="0"/>
    <x v="10"/>
    <n v="65"/>
    <x v="1"/>
    <n v="11"/>
    <x v="0"/>
    <x v="1"/>
    <x v="3"/>
  </r>
  <r>
    <n v="924"/>
    <s v="242510007"/>
    <x v="0"/>
    <x v="5"/>
    <s v="Intan Jaya"/>
    <d v="2026-01-12T00:00:00"/>
    <s v="12"/>
    <x v="0"/>
    <s v="26"/>
    <x v="4"/>
    <x v="5"/>
    <x v="0"/>
    <s v="Real"/>
    <s v="Entrepreneur"/>
    <s v="Product development"/>
    <x v="0"/>
    <x v="0"/>
    <x v="1"/>
    <s v="F11.01.01"/>
    <n v="1"/>
    <s v="menganalisis kelas sosial masyarakat"/>
    <s v="01.01"/>
    <x v="16"/>
    <s v="K11"/>
    <s v="F"/>
    <n v="65"/>
    <n v="75"/>
    <s v="Tuntas"/>
    <s v="Pendidikan Pancasila"/>
    <x v="0"/>
    <x v="10"/>
    <n v="75"/>
    <x v="1"/>
    <n v="11"/>
    <x v="0"/>
    <x v="1"/>
    <x v="3"/>
  </r>
  <r>
    <n v="925"/>
    <s v="242510007"/>
    <x v="0"/>
    <x v="5"/>
    <s v="Intan Jaya"/>
    <d v="2026-01-26T00:00:00"/>
    <s v="26"/>
    <x v="0"/>
    <s v="26"/>
    <x v="0"/>
    <x v="0"/>
    <x v="6"/>
    <s v="Real"/>
    <s v="Entrepreneur"/>
    <s v="Product development"/>
    <x v="0"/>
    <x v="0"/>
    <x v="1"/>
    <s v="F11.01.02"/>
    <n v="1"/>
    <s v="menganalisis kelas sosial masyarakat"/>
    <s v="01.02"/>
    <x v="17"/>
    <s v="K11"/>
    <s v="F"/>
    <n v="65"/>
    <n v="72"/>
    <s v="Tuntas"/>
    <s v="Pendidikan Pancasila"/>
    <x v="0"/>
    <x v="10"/>
    <n v="72"/>
    <x v="1"/>
    <n v="11"/>
    <x v="0"/>
    <x v="3"/>
    <x v="3"/>
  </r>
  <r>
    <n v="926"/>
    <s v="242510007"/>
    <x v="0"/>
    <x v="5"/>
    <s v="Intan Jaya"/>
    <d v="2026-01-26T00:00:00"/>
    <s v="26"/>
    <x v="0"/>
    <s v="26"/>
    <x v="2"/>
    <x v="6"/>
    <x v="6"/>
    <s v="Real"/>
    <s v="Entrepreneur"/>
    <s v="Product development"/>
    <x v="0"/>
    <x v="0"/>
    <x v="1"/>
    <s v="F11.01.02"/>
    <n v="1"/>
    <s v="menganalisis kelas sosial masyarakat"/>
    <s v="01.02"/>
    <x v="17"/>
    <s v="K11"/>
    <s v="F"/>
    <n v="65"/>
    <n v="70"/>
    <s v="Tuntas"/>
    <s v="Pendidikan Pancasila"/>
    <x v="0"/>
    <x v="10"/>
    <n v="70"/>
    <x v="1"/>
    <n v="11"/>
    <x v="0"/>
    <x v="3"/>
    <x v="3"/>
  </r>
  <r>
    <n v="927"/>
    <s v="242510007"/>
    <x v="0"/>
    <x v="5"/>
    <s v="Intan Jaya"/>
    <d v="2026-01-26T00:00:00"/>
    <s v="26"/>
    <x v="0"/>
    <s v="26"/>
    <x v="3"/>
    <x v="8"/>
    <x v="10"/>
    <s v="Real"/>
    <s v="Entrepreneur"/>
    <s v="Product development"/>
    <x v="0"/>
    <x v="0"/>
    <x v="1"/>
    <s v="F11.01.02"/>
    <n v="1"/>
    <s v="menganalisis kelas sosial masyarakat"/>
    <s v="01.02"/>
    <x v="17"/>
    <s v="K11"/>
    <s v="F"/>
    <n v="65"/>
    <n v="75"/>
    <s v="Tuntas"/>
    <s v="Pendidikan Pancasila"/>
    <x v="0"/>
    <x v="10"/>
    <n v="75"/>
    <x v="1"/>
    <n v="11"/>
    <x v="1"/>
    <x v="3"/>
    <x v="3"/>
  </r>
  <r>
    <n v="928"/>
    <s v="242510007"/>
    <x v="0"/>
    <x v="5"/>
    <s v="Intan Jaya"/>
    <d v="2026-01-26T00:00:00"/>
    <s v="26"/>
    <x v="0"/>
    <s v="26"/>
    <x v="4"/>
    <x v="5"/>
    <x v="0"/>
    <s v="Real"/>
    <s v="Entrepreneur"/>
    <s v="Product development"/>
    <x v="0"/>
    <x v="0"/>
    <x v="1"/>
    <s v="F11.01.02"/>
    <n v="1"/>
    <s v="menganalisis kelas sosial masyarakat"/>
    <s v="01.02"/>
    <x v="17"/>
    <s v="K11"/>
    <s v="F"/>
    <n v="65"/>
    <n v="76"/>
    <s v="Tuntas"/>
    <s v="Pendidikan Pancasila"/>
    <x v="0"/>
    <x v="10"/>
    <n v="76"/>
    <x v="1"/>
    <n v="11"/>
    <x v="0"/>
    <x v="3"/>
    <x v="3"/>
  </r>
  <r>
    <n v="929"/>
    <s v="242510007"/>
    <x v="0"/>
    <x v="5"/>
    <s v="Intan Jaya"/>
    <d v="2026-02-02T00:00:00"/>
    <s v="02"/>
    <x v="1"/>
    <s v="26"/>
    <x v="3"/>
    <x v="8"/>
    <x v="16"/>
    <s v="Real"/>
    <s v="Entrepreneur"/>
    <s v="Product development"/>
    <x v="0"/>
    <x v="0"/>
    <x v="1"/>
    <s v="F11.01.03"/>
    <n v="1"/>
    <s v="menganalisis kelas sosial masyarakat"/>
    <s v="01.03"/>
    <x v="18"/>
    <s v="K11"/>
    <s v="F"/>
    <n v="65"/>
    <n v="76"/>
    <s v="Tuntas"/>
    <s v="Pendidikan Pancasila"/>
    <x v="0"/>
    <x v="10"/>
    <n v="76"/>
    <x v="1"/>
    <n v="11"/>
    <x v="1"/>
    <x v="4"/>
    <x v="3"/>
  </r>
  <r>
    <n v="930"/>
    <s v="242510007"/>
    <x v="0"/>
    <x v="5"/>
    <s v="Intan Jaya"/>
    <d v="2026-02-02T00:00:00"/>
    <s v="02"/>
    <x v="1"/>
    <s v="26"/>
    <x v="4"/>
    <x v="5"/>
    <x v="0"/>
    <s v="Real"/>
    <s v="Entrepreneur"/>
    <s v="Product development"/>
    <x v="0"/>
    <x v="0"/>
    <x v="1"/>
    <s v="F11.01.03"/>
    <n v="1"/>
    <s v="menganalisis kelas sosial masyarakat"/>
    <s v="01.03"/>
    <x v="18"/>
    <s v="K11"/>
    <s v="F"/>
    <n v="65"/>
    <n v="76"/>
    <s v="Tuntas"/>
    <s v="Pendidikan Pancasila"/>
    <x v="0"/>
    <x v="10"/>
    <n v="76"/>
    <x v="1"/>
    <n v="11"/>
    <x v="0"/>
    <x v="4"/>
    <x v="3"/>
  </r>
  <r>
    <n v="931"/>
    <s v="242510007"/>
    <x v="0"/>
    <x v="5"/>
    <s v="Intan Jaya"/>
    <d v="2026-02-02T00:00:00"/>
    <s v="02"/>
    <x v="1"/>
    <s v="26"/>
    <x v="1"/>
    <x v="9"/>
    <x v="6"/>
    <s v="Real"/>
    <s v="Entrepreneur"/>
    <s v="Product development"/>
    <x v="0"/>
    <x v="0"/>
    <x v="1"/>
    <s v="F11.01.03"/>
    <n v="1"/>
    <s v="menganalisis kelas sosial masyarakat"/>
    <s v="01.03"/>
    <x v="18"/>
    <s v="K11"/>
    <s v="F"/>
    <n v="65"/>
    <n v="75"/>
    <s v="Tuntas"/>
    <s v="Pendidikan Pancasila"/>
    <x v="0"/>
    <x v="10"/>
    <n v="75"/>
    <x v="1"/>
    <n v="11"/>
    <x v="0"/>
    <x v="4"/>
    <x v="3"/>
  </r>
  <r>
    <n v="932"/>
    <s v="242510007"/>
    <x v="0"/>
    <x v="5"/>
    <s v="Intan Jaya"/>
    <d v="2026-02-02T00:00:00"/>
    <s v="02"/>
    <x v="1"/>
    <s v="26"/>
    <x v="2"/>
    <x v="6"/>
    <x v="6"/>
    <s v="Real"/>
    <s v="Entrepreneur"/>
    <s v="Product development"/>
    <x v="0"/>
    <x v="0"/>
    <x v="1"/>
    <s v="F11.01.03"/>
    <n v="1"/>
    <s v="menganalisis kelas sosial masyarakat"/>
    <s v="01.03"/>
    <x v="18"/>
    <s v="K11"/>
    <s v="F"/>
    <n v="65"/>
    <n v="87"/>
    <s v="Tuntas"/>
    <s v="Pendidikan Pancasila"/>
    <x v="0"/>
    <x v="10"/>
    <n v="87"/>
    <x v="2"/>
    <n v="11"/>
    <x v="0"/>
    <x v="4"/>
    <x v="3"/>
  </r>
  <r>
    <n v="933"/>
    <s v="242510007"/>
    <x v="0"/>
    <x v="5"/>
    <s v="Intan Jaya"/>
    <d v="2026-02-02T00:00:00"/>
    <s v="02"/>
    <x v="1"/>
    <s v="26"/>
    <x v="0"/>
    <x v="0"/>
    <x v="9"/>
    <s v="Real"/>
    <s v="Entrepreneur"/>
    <s v="Product development"/>
    <x v="0"/>
    <x v="0"/>
    <x v="1"/>
    <s v="F11.01.03"/>
    <n v="1"/>
    <s v="menganalisis kelas sosial masyarakat"/>
    <s v="01.03"/>
    <x v="18"/>
    <s v="K11"/>
    <s v="F"/>
    <n v="65"/>
    <n v="87"/>
    <s v="Tuntas"/>
    <s v="Pendidikan Pancasila"/>
    <x v="0"/>
    <x v="10"/>
    <n v="87"/>
    <x v="2"/>
    <n v="11"/>
    <x v="0"/>
    <x v="4"/>
    <x v="3"/>
  </r>
  <r>
    <n v="934"/>
    <s v="242510007"/>
    <x v="0"/>
    <x v="5"/>
    <s v="Intan Jaya"/>
    <d v="2026-02-09T00:00:00"/>
    <s v="09"/>
    <x v="1"/>
    <s v="26"/>
    <x v="0"/>
    <x v="2"/>
    <x v="17"/>
    <s v="Real"/>
    <s v="Entrepreneur"/>
    <s v="Product development"/>
    <x v="0"/>
    <x v="0"/>
    <x v="1"/>
    <s v="F11.01.01"/>
    <n v="1"/>
    <s v="menganalisis kelas sosial masyarakat"/>
    <s v="01.01"/>
    <x v="16"/>
    <s v="K11"/>
    <s v="F"/>
    <n v="65"/>
    <n v="88"/>
    <s v="Tuntas"/>
    <s v="Pendidikan Pancasila"/>
    <x v="0"/>
    <x v="10"/>
    <n v="88"/>
    <x v="2"/>
    <n v="11"/>
    <x v="0"/>
    <x v="5"/>
    <x v="3"/>
  </r>
  <r>
    <n v="935"/>
    <s v="242510007"/>
    <x v="0"/>
    <x v="5"/>
    <s v="Intan Jaya"/>
    <d v="2026-02-09T00:00:00"/>
    <s v="09"/>
    <x v="1"/>
    <s v="26"/>
    <x v="0"/>
    <x v="2"/>
    <x v="17"/>
    <s v="Real"/>
    <s v="Entrepreneur"/>
    <s v="Product development"/>
    <x v="0"/>
    <x v="0"/>
    <x v="1"/>
    <s v="F11.01.02"/>
    <n v="1"/>
    <s v="menganalisis kelas sosial masyarakat"/>
    <s v="01.02"/>
    <x v="17"/>
    <s v="K11"/>
    <s v="F"/>
    <n v="65"/>
    <n v="90"/>
    <s v="Tuntas"/>
    <s v="Pendidikan Pancasila"/>
    <x v="0"/>
    <x v="10"/>
    <n v="90"/>
    <x v="2"/>
    <n v="11"/>
    <x v="0"/>
    <x v="5"/>
    <x v="3"/>
  </r>
  <r>
    <n v="936"/>
    <s v="242510007"/>
    <x v="0"/>
    <x v="5"/>
    <s v="Intan Jaya"/>
    <d v="2026-02-06T00:00:00"/>
    <s v="06"/>
    <x v="1"/>
    <s v="26"/>
    <x v="1"/>
    <x v="13"/>
    <x v="6"/>
    <s v="Real"/>
    <s v="Entrepreneur"/>
    <s v="Product development"/>
    <x v="0"/>
    <x v="0"/>
    <x v="1"/>
    <s v="F11.01.03"/>
    <n v="1"/>
    <s v="menganalisis kelas sosial masyarakat"/>
    <s v="01.03"/>
    <x v="18"/>
    <s v="K11"/>
    <s v="F"/>
    <n v="65"/>
    <n v="73"/>
    <s v="Tuntas"/>
    <s v="Pendidikan Pancasila"/>
    <x v="0"/>
    <x v="10"/>
    <n v="73"/>
    <x v="1"/>
    <n v="11"/>
    <x v="0"/>
    <x v="4"/>
    <x v="3"/>
  </r>
  <r>
    <n v="937"/>
    <s v="242510007"/>
    <x v="0"/>
    <x v="5"/>
    <s v="Intan Jaya"/>
    <d v="2026-02-06T00:00:00"/>
    <s v="06"/>
    <x v="1"/>
    <s v="26"/>
    <x v="0"/>
    <x v="0"/>
    <x v="6"/>
    <s v="Real"/>
    <s v="Entrepreneur"/>
    <s v="Product development"/>
    <x v="0"/>
    <x v="0"/>
    <x v="1"/>
    <s v="F11.01.03"/>
    <n v="1"/>
    <s v="menganalisis kelas sosial masyarakat"/>
    <s v="01.03"/>
    <x v="18"/>
    <s v="K11"/>
    <s v="F"/>
    <n v="65"/>
    <n v="75"/>
    <s v="Tuntas"/>
    <s v="Pendidikan Pancasila"/>
    <x v="0"/>
    <x v="10"/>
    <n v="75"/>
    <x v="1"/>
    <n v="11"/>
    <x v="0"/>
    <x v="4"/>
    <x v="3"/>
  </r>
  <r>
    <n v="938"/>
    <s v="242510008"/>
    <x v="0"/>
    <x v="6"/>
    <s v="Dogiyai"/>
    <d v="2026-01-12T00:00:00"/>
    <s v="12"/>
    <x v="0"/>
    <s v="26"/>
    <x v="3"/>
    <x v="4"/>
    <x v="15"/>
    <s v="Real"/>
    <s v="Entrepreneur"/>
    <s v="Product development"/>
    <x v="0"/>
    <x v="0"/>
    <x v="1"/>
    <s v="F11.01.01"/>
    <n v="1"/>
    <s v="menganalisis kelas sosial masyarakat"/>
    <s v="01.01"/>
    <x v="16"/>
    <s v="K11"/>
    <s v="F"/>
    <n v="65"/>
    <n v="85"/>
    <s v="Tuntas"/>
    <s v="Pendidikan Pancasila"/>
    <x v="0"/>
    <x v="10"/>
    <n v="85"/>
    <x v="2"/>
    <n v="11"/>
    <x v="2"/>
    <x v="1"/>
    <x v="4"/>
  </r>
  <r>
    <n v="939"/>
    <s v="242510008"/>
    <x v="0"/>
    <x v="6"/>
    <s v="Dogiyai"/>
    <d v="2026-01-12T00:00:00"/>
    <s v="12"/>
    <x v="0"/>
    <s v="26"/>
    <x v="0"/>
    <x v="0"/>
    <x v="2"/>
    <s v="Real"/>
    <s v="Entrepreneur"/>
    <s v="Product development"/>
    <x v="0"/>
    <x v="0"/>
    <x v="1"/>
    <s v="F11.01.01"/>
    <n v="1"/>
    <s v="menganalisis kelas sosial masyarakat"/>
    <s v="01.01"/>
    <x v="16"/>
    <s v="K11"/>
    <s v="F"/>
    <n v="65"/>
    <n v="77"/>
    <s v="Tuntas"/>
    <s v="Pendidikan Pancasila"/>
    <x v="0"/>
    <x v="10"/>
    <n v="77"/>
    <x v="1"/>
    <n v="11"/>
    <x v="0"/>
    <x v="1"/>
    <x v="4"/>
  </r>
  <r>
    <n v="940"/>
    <s v="242510008"/>
    <x v="0"/>
    <x v="6"/>
    <s v="Dogiyai"/>
    <d v="2026-01-12T00:00:00"/>
    <s v="12"/>
    <x v="0"/>
    <s v="26"/>
    <x v="2"/>
    <x v="3"/>
    <x v="2"/>
    <s v="Real"/>
    <s v="Entrepreneur"/>
    <s v="Product development"/>
    <x v="0"/>
    <x v="0"/>
    <x v="1"/>
    <s v="F11.01.01"/>
    <n v="1"/>
    <s v="menganalisis kelas sosial masyarakat"/>
    <s v="01.01"/>
    <x v="16"/>
    <s v="K11"/>
    <s v="F"/>
    <n v="65"/>
    <n v="75"/>
    <s v="Tuntas"/>
    <s v="Pendidikan Pancasila"/>
    <x v="0"/>
    <x v="10"/>
    <n v="75"/>
    <x v="1"/>
    <n v="11"/>
    <x v="0"/>
    <x v="1"/>
    <x v="4"/>
  </r>
  <r>
    <n v="941"/>
    <s v="242510008"/>
    <x v="0"/>
    <x v="6"/>
    <s v="Dogiyai"/>
    <d v="2026-01-12T00:00:00"/>
    <s v="12"/>
    <x v="0"/>
    <s v="26"/>
    <x v="4"/>
    <x v="5"/>
    <x v="0"/>
    <s v="Real"/>
    <s v="Entrepreneur"/>
    <s v="Product development"/>
    <x v="0"/>
    <x v="0"/>
    <x v="1"/>
    <s v="F11.01.01"/>
    <n v="1"/>
    <s v="menganalisis kelas sosial masyarakat"/>
    <s v="01.01"/>
    <x v="16"/>
    <s v="K11"/>
    <s v="F"/>
    <n v="65"/>
    <n v="76"/>
    <s v="Tuntas"/>
    <s v="Pendidikan Pancasila"/>
    <x v="0"/>
    <x v="10"/>
    <n v="76"/>
    <x v="1"/>
    <n v="11"/>
    <x v="0"/>
    <x v="1"/>
    <x v="4"/>
  </r>
  <r>
    <n v="942"/>
    <s v="242510008"/>
    <x v="0"/>
    <x v="6"/>
    <s v="Dogiyai"/>
    <d v="2026-01-26T00:00:00"/>
    <s v="26"/>
    <x v="0"/>
    <s v="26"/>
    <x v="0"/>
    <x v="0"/>
    <x v="6"/>
    <s v="Real"/>
    <s v="Entrepreneur"/>
    <s v="Product development"/>
    <x v="0"/>
    <x v="0"/>
    <x v="1"/>
    <s v="F11.01.02"/>
    <n v="1"/>
    <s v="menganalisis kelas sosial masyarakat"/>
    <s v="01.02"/>
    <x v="17"/>
    <s v="K11"/>
    <s v="F"/>
    <n v="65"/>
    <n v="85"/>
    <s v="Tuntas"/>
    <s v="Pendidikan Pancasila"/>
    <x v="0"/>
    <x v="10"/>
    <n v="85"/>
    <x v="2"/>
    <n v="11"/>
    <x v="0"/>
    <x v="3"/>
    <x v="4"/>
  </r>
  <r>
    <n v="943"/>
    <s v="242510008"/>
    <x v="0"/>
    <x v="6"/>
    <s v="Dogiyai"/>
    <d v="2026-01-26T00:00:00"/>
    <s v="26"/>
    <x v="0"/>
    <s v="26"/>
    <x v="2"/>
    <x v="6"/>
    <x v="6"/>
    <s v="Real"/>
    <s v="Entrepreneur"/>
    <s v="Product development"/>
    <x v="0"/>
    <x v="0"/>
    <x v="1"/>
    <s v="F11.01.02"/>
    <n v="1"/>
    <s v="menganalisis kelas sosial masyarakat"/>
    <s v="01.02"/>
    <x v="17"/>
    <s v="K11"/>
    <s v="F"/>
    <n v="65"/>
    <n v="85"/>
    <s v="Tuntas"/>
    <s v="Pendidikan Pancasila"/>
    <x v="0"/>
    <x v="10"/>
    <n v="85"/>
    <x v="2"/>
    <n v="11"/>
    <x v="0"/>
    <x v="3"/>
    <x v="4"/>
  </r>
  <r>
    <n v="944"/>
    <s v="242510008"/>
    <x v="0"/>
    <x v="6"/>
    <s v="Dogiyai"/>
    <d v="2026-01-26T00:00:00"/>
    <s v="26"/>
    <x v="0"/>
    <s v="26"/>
    <x v="3"/>
    <x v="8"/>
    <x v="10"/>
    <s v="Real"/>
    <s v="Entrepreneur"/>
    <s v="Product development"/>
    <x v="0"/>
    <x v="0"/>
    <x v="1"/>
    <s v="F11.01.02"/>
    <n v="1"/>
    <s v="menganalisis kelas sosial masyarakat"/>
    <s v="01.02"/>
    <x v="17"/>
    <s v="K11"/>
    <s v="F"/>
    <n v="65"/>
    <n v="78"/>
    <s v="Tuntas"/>
    <s v="Pendidikan Pancasila"/>
    <x v="0"/>
    <x v="10"/>
    <n v="78"/>
    <x v="1"/>
    <n v="11"/>
    <x v="1"/>
    <x v="3"/>
    <x v="4"/>
  </r>
  <r>
    <n v="945"/>
    <s v="242510008"/>
    <x v="0"/>
    <x v="6"/>
    <s v="Dogiyai"/>
    <d v="2026-01-26T00:00:00"/>
    <s v="26"/>
    <x v="0"/>
    <s v="26"/>
    <x v="4"/>
    <x v="5"/>
    <x v="0"/>
    <s v="Real"/>
    <s v="Entrepreneur"/>
    <s v="Product development"/>
    <x v="0"/>
    <x v="0"/>
    <x v="1"/>
    <s v="F11.01.02"/>
    <n v="1"/>
    <s v="menganalisis kelas sosial masyarakat"/>
    <s v="01.02"/>
    <x v="17"/>
    <s v="K11"/>
    <s v="F"/>
    <n v="65"/>
    <n v="76"/>
    <s v="Tuntas"/>
    <s v="Pendidikan Pancasila"/>
    <x v="0"/>
    <x v="10"/>
    <n v="76"/>
    <x v="1"/>
    <n v="11"/>
    <x v="0"/>
    <x v="3"/>
    <x v="4"/>
  </r>
  <r>
    <n v="946"/>
    <s v="242510008"/>
    <x v="0"/>
    <x v="6"/>
    <s v="Dogiyai"/>
    <d v="2026-02-02T00:00:00"/>
    <s v="02"/>
    <x v="1"/>
    <s v="26"/>
    <x v="3"/>
    <x v="8"/>
    <x v="16"/>
    <s v="Real"/>
    <s v="Entrepreneur"/>
    <s v="Product development"/>
    <x v="0"/>
    <x v="0"/>
    <x v="1"/>
    <s v="F11.01.03"/>
    <n v="1"/>
    <s v="menganalisis kelas sosial masyarakat"/>
    <s v="01.03"/>
    <x v="18"/>
    <s v="K11"/>
    <s v="F"/>
    <n v="65"/>
    <n v="80"/>
    <s v="Tuntas"/>
    <s v="Pendidikan Pancasila"/>
    <x v="0"/>
    <x v="10"/>
    <n v="80"/>
    <x v="2"/>
    <n v="11"/>
    <x v="2"/>
    <x v="4"/>
    <x v="4"/>
  </r>
  <r>
    <n v="947"/>
    <s v="242510008"/>
    <x v="0"/>
    <x v="6"/>
    <s v="Dogiyai"/>
    <d v="2026-02-02T00:00:00"/>
    <s v="02"/>
    <x v="1"/>
    <s v="26"/>
    <x v="4"/>
    <x v="5"/>
    <x v="0"/>
    <s v="Real"/>
    <s v="Entrepreneur"/>
    <s v="Product development"/>
    <x v="0"/>
    <x v="0"/>
    <x v="1"/>
    <s v="F11.01.03"/>
    <n v="1"/>
    <s v="menganalisis kelas sosial masyarakat"/>
    <s v="01.03"/>
    <x v="18"/>
    <s v="K11"/>
    <s v="F"/>
    <n v="65"/>
    <n v="80"/>
    <s v="Tuntas"/>
    <s v="Pendidikan Pancasila"/>
    <x v="0"/>
    <x v="10"/>
    <n v="80"/>
    <x v="2"/>
    <n v="11"/>
    <x v="0"/>
    <x v="4"/>
    <x v="4"/>
  </r>
  <r>
    <n v="948"/>
    <s v="242510008"/>
    <x v="0"/>
    <x v="6"/>
    <s v="Dogiyai"/>
    <d v="2026-02-02T00:00:00"/>
    <s v="02"/>
    <x v="1"/>
    <s v="26"/>
    <x v="1"/>
    <x v="9"/>
    <x v="6"/>
    <s v="Real"/>
    <s v="Entrepreneur"/>
    <s v="Product development"/>
    <x v="0"/>
    <x v="0"/>
    <x v="1"/>
    <s v="F11.01.03"/>
    <n v="1"/>
    <s v="menganalisis kelas sosial masyarakat"/>
    <s v="01.03"/>
    <x v="18"/>
    <s v="K11"/>
    <s v="F"/>
    <n v="65"/>
    <n v="77"/>
    <s v="Tuntas"/>
    <s v="Pendidikan Pancasila"/>
    <x v="0"/>
    <x v="10"/>
    <n v="77"/>
    <x v="1"/>
    <n v="11"/>
    <x v="0"/>
    <x v="4"/>
    <x v="4"/>
  </r>
  <r>
    <n v="949"/>
    <s v="242510008"/>
    <x v="0"/>
    <x v="6"/>
    <s v="Dogiyai"/>
    <d v="2026-02-02T00:00:00"/>
    <s v="02"/>
    <x v="1"/>
    <s v="26"/>
    <x v="2"/>
    <x v="6"/>
    <x v="6"/>
    <s v="Real"/>
    <s v="Entrepreneur"/>
    <s v="Product development"/>
    <x v="0"/>
    <x v="0"/>
    <x v="1"/>
    <s v="F11.01.03"/>
    <n v="1"/>
    <s v="menganalisis kelas sosial masyarakat"/>
    <s v="01.03"/>
    <x v="18"/>
    <s v="K11"/>
    <s v="F"/>
    <n v="65"/>
    <n v="85"/>
    <s v="Tuntas"/>
    <s v="Pendidikan Pancasila"/>
    <x v="0"/>
    <x v="10"/>
    <n v="85"/>
    <x v="2"/>
    <n v="11"/>
    <x v="0"/>
    <x v="4"/>
    <x v="4"/>
  </r>
  <r>
    <n v="950"/>
    <s v="242510008"/>
    <x v="0"/>
    <x v="6"/>
    <s v="Dogiyai"/>
    <d v="2026-02-02T00:00:00"/>
    <s v="02"/>
    <x v="1"/>
    <s v="26"/>
    <x v="0"/>
    <x v="0"/>
    <x v="9"/>
    <s v="Real"/>
    <s v="Entrepreneur"/>
    <s v="Product development"/>
    <x v="0"/>
    <x v="0"/>
    <x v="1"/>
    <s v="F11.01.03"/>
    <n v="1"/>
    <s v="menganalisis kelas sosial masyarakat"/>
    <s v="01.03"/>
    <x v="18"/>
    <s v="K11"/>
    <s v="F"/>
    <n v="65"/>
    <n v="85"/>
    <s v="Tuntas"/>
    <s v="Pendidikan Pancasila"/>
    <x v="0"/>
    <x v="10"/>
    <n v="85"/>
    <x v="2"/>
    <n v="11"/>
    <x v="0"/>
    <x v="4"/>
    <x v="4"/>
  </r>
  <r>
    <n v="951"/>
    <s v="242510008"/>
    <x v="0"/>
    <x v="6"/>
    <s v="Dogiyai"/>
    <d v="2026-02-09T00:00:00"/>
    <s v="09"/>
    <x v="1"/>
    <s v="26"/>
    <x v="0"/>
    <x v="2"/>
    <x v="17"/>
    <s v="Real"/>
    <s v="Entrepreneur"/>
    <s v="Product development"/>
    <x v="0"/>
    <x v="0"/>
    <x v="1"/>
    <s v="F11.01.01"/>
    <n v="1"/>
    <s v="menganalisis kelas sosial masyarakat"/>
    <s v="01.01"/>
    <x v="16"/>
    <s v="K11"/>
    <s v="F"/>
    <n v="65"/>
    <n v="88"/>
    <s v="Tuntas"/>
    <s v="Pendidikan Pancasila"/>
    <x v="0"/>
    <x v="10"/>
    <n v="88"/>
    <x v="2"/>
    <n v="11"/>
    <x v="0"/>
    <x v="5"/>
    <x v="4"/>
  </r>
  <r>
    <n v="952"/>
    <s v="242510008"/>
    <x v="0"/>
    <x v="6"/>
    <s v="Dogiyai"/>
    <d v="2026-02-09T00:00:00"/>
    <s v="09"/>
    <x v="1"/>
    <s v="26"/>
    <x v="0"/>
    <x v="2"/>
    <x v="17"/>
    <s v="Real"/>
    <s v="Entrepreneur"/>
    <s v="Product development"/>
    <x v="0"/>
    <x v="0"/>
    <x v="1"/>
    <s v="F11.01.02"/>
    <n v="1"/>
    <s v="menganalisis kelas sosial masyarakat"/>
    <s v="01.02"/>
    <x v="17"/>
    <s v="K11"/>
    <s v="F"/>
    <n v="65"/>
    <n v="90"/>
    <s v="Tuntas"/>
    <s v="Pendidikan Pancasila"/>
    <x v="0"/>
    <x v="10"/>
    <n v="90"/>
    <x v="2"/>
    <n v="11"/>
    <x v="0"/>
    <x v="5"/>
    <x v="4"/>
  </r>
  <r>
    <n v="953"/>
    <s v="242510008"/>
    <x v="0"/>
    <x v="6"/>
    <s v="Dogiyai"/>
    <d v="2026-02-06T00:00:00"/>
    <s v="06"/>
    <x v="1"/>
    <s v="26"/>
    <x v="1"/>
    <x v="13"/>
    <x v="6"/>
    <s v="Real"/>
    <s v="Entrepreneur"/>
    <s v="Product development"/>
    <x v="0"/>
    <x v="0"/>
    <x v="1"/>
    <s v="F11.01.03"/>
    <n v="1"/>
    <s v="menganalisis kelas sosial masyarakat"/>
    <s v="01.03"/>
    <x v="18"/>
    <s v="K11"/>
    <s v="F"/>
    <n v="65"/>
    <n v="75"/>
    <s v="Tuntas"/>
    <s v="Pendidikan Pancasila"/>
    <x v="0"/>
    <x v="10"/>
    <n v="75"/>
    <x v="1"/>
    <n v="11"/>
    <x v="0"/>
    <x v="4"/>
    <x v="4"/>
  </r>
  <r>
    <n v="954"/>
    <s v="242510008"/>
    <x v="0"/>
    <x v="6"/>
    <s v="Dogiyai"/>
    <d v="2026-02-06T00:00:00"/>
    <s v="06"/>
    <x v="1"/>
    <s v="26"/>
    <x v="0"/>
    <x v="0"/>
    <x v="6"/>
    <s v="Real"/>
    <s v="Entrepreneur"/>
    <s v="Product development"/>
    <x v="0"/>
    <x v="0"/>
    <x v="1"/>
    <s v="F11.01.03"/>
    <n v="1"/>
    <s v="menganalisis kelas sosial masyarakat"/>
    <s v="01.03"/>
    <x v="18"/>
    <s v="K11"/>
    <s v="F"/>
    <n v="65"/>
    <n v="76"/>
    <s v="Tuntas"/>
    <s v="Pendidikan Pancasila"/>
    <x v="0"/>
    <x v="10"/>
    <n v="76"/>
    <x v="1"/>
    <n v="11"/>
    <x v="0"/>
    <x v="4"/>
    <x v="4"/>
  </r>
  <r>
    <n v="955"/>
    <s v="242510013"/>
    <x v="0"/>
    <x v="0"/>
    <s v="Intan Jaya"/>
    <d v="2026-01-12T00:00:00"/>
    <s v="12"/>
    <x v="0"/>
    <s v="26"/>
    <x v="3"/>
    <x v="4"/>
    <x v="15"/>
    <s v="Real"/>
    <s v="Entrepreneur"/>
    <s v="Product development"/>
    <x v="0"/>
    <x v="0"/>
    <x v="1"/>
    <s v="F11.01.01"/>
    <n v="1"/>
    <s v="menganalisis kelas sosial masyarakat"/>
    <s v="01.01"/>
    <x v="16"/>
    <s v="K11"/>
    <s v="F"/>
    <n v="65"/>
    <n v="74"/>
    <s v="Tuntas"/>
    <s v="Pendidikan Pancasila"/>
    <x v="0"/>
    <x v="10"/>
    <n v="74"/>
    <x v="1"/>
    <n v="11"/>
    <x v="1"/>
    <x v="1"/>
    <x v="6"/>
  </r>
  <r>
    <n v="956"/>
    <s v="242510013"/>
    <x v="0"/>
    <x v="0"/>
    <s v="Intan Jaya"/>
    <d v="2026-01-12T00:00:00"/>
    <s v="12"/>
    <x v="0"/>
    <s v="26"/>
    <x v="0"/>
    <x v="0"/>
    <x v="2"/>
    <s v="Real"/>
    <s v="Entrepreneur"/>
    <s v="Product development"/>
    <x v="0"/>
    <x v="0"/>
    <x v="1"/>
    <s v="F11.01.01"/>
    <n v="1"/>
    <s v="menganalisis kelas sosial masyarakat"/>
    <s v="01.01"/>
    <x v="16"/>
    <s v="K11"/>
    <s v="F"/>
    <n v="65"/>
    <n v="70"/>
    <s v="Tuntas"/>
    <s v="Pendidikan Pancasila"/>
    <x v="0"/>
    <x v="10"/>
    <n v="70"/>
    <x v="1"/>
    <n v="11"/>
    <x v="0"/>
    <x v="1"/>
    <x v="6"/>
  </r>
  <r>
    <n v="957"/>
    <s v="242510013"/>
    <x v="0"/>
    <x v="0"/>
    <s v="Intan Jaya"/>
    <d v="2026-01-12T00:00:00"/>
    <s v="12"/>
    <x v="0"/>
    <s v="26"/>
    <x v="2"/>
    <x v="3"/>
    <x v="2"/>
    <s v="Real"/>
    <s v="Entrepreneur"/>
    <s v="Product development"/>
    <x v="0"/>
    <x v="0"/>
    <x v="1"/>
    <s v="F11.01.01"/>
    <n v="1"/>
    <s v="menganalisis kelas sosial masyarakat"/>
    <s v="01.01"/>
    <x v="16"/>
    <s v="K11"/>
    <s v="F"/>
    <n v="65"/>
    <n v="73"/>
    <s v="Tuntas"/>
    <s v="Pendidikan Pancasila"/>
    <x v="0"/>
    <x v="10"/>
    <n v="73"/>
    <x v="1"/>
    <n v="11"/>
    <x v="0"/>
    <x v="1"/>
    <x v="6"/>
  </r>
  <r>
    <n v="958"/>
    <s v="242510013"/>
    <x v="0"/>
    <x v="0"/>
    <s v="Intan Jaya"/>
    <d v="2026-01-12T00:00:00"/>
    <s v="12"/>
    <x v="0"/>
    <s v="26"/>
    <x v="4"/>
    <x v="5"/>
    <x v="0"/>
    <s v="Real"/>
    <s v="Entrepreneur"/>
    <s v="Product development"/>
    <x v="0"/>
    <x v="0"/>
    <x v="1"/>
    <s v="F11.01.01"/>
    <n v="1"/>
    <s v="menganalisis kelas sosial masyarakat"/>
    <s v="01.01"/>
    <x v="16"/>
    <s v="K11"/>
    <s v="F"/>
    <n v="65"/>
    <n v="78"/>
    <s v="Tuntas"/>
    <s v="Pendidikan Pancasila"/>
    <x v="0"/>
    <x v="10"/>
    <n v="78"/>
    <x v="1"/>
    <n v="11"/>
    <x v="0"/>
    <x v="1"/>
    <x v="6"/>
  </r>
  <r>
    <n v="959"/>
    <s v="242510013"/>
    <x v="0"/>
    <x v="0"/>
    <s v="Intan Jaya"/>
    <d v="2026-01-26T00:00:00"/>
    <s v="26"/>
    <x v="0"/>
    <s v="26"/>
    <x v="0"/>
    <x v="0"/>
    <x v="6"/>
    <s v="Real"/>
    <s v="Entrepreneur"/>
    <s v="Product development"/>
    <x v="0"/>
    <x v="0"/>
    <x v="1"/>
    <s v="F11.01.02"/>
    <n v="1"/>
    <s v="menganalisis kelas sosial masyarakat"/>
    <s v="01.02"/>
    <x v="17"/>
    <s v="K11"/>
    <s v="F"/>
    <n v="65"/>
    <n v="87"/>
    <s v="Tuntas"/>
    <s v="Pendidikan Pancasila"/>
    <x v="0"/>
    <x v="10"/>
    <n v="87"/>
    <x v="2"/>
    <n v="11"/>
    <x v="0"/>
    <x v="3"/>
    <x v="6"/>
  </r>
  <r>
    <n v="960"/>
    <s v="242510013"/>
    <x v="0"/>
    <x v="0"/>
    <s v="Intan Jaya"/>
    <d v="2026-01-26T00:00:00"/>
    <s v="26"/>
    <x v="0"/>
    <s v="26"/>
    <x v="2"/>
    <x v="6"/>
    <x v="6"/>
    <s v="Real"/>
    <s v="Entrepreneur"/>
    <s v="Product development"/>
    <x v="0"/>
    <x v="0"/>
    <x v="1"/>
    <s v="F11.01.02"/>
    <n v="1"/>
    <s v="menganalisis kelas sosial masyarakat"/>
    <s v="01.02"/>
    <x v="17"/>
    <s v="K11"/>
    <s v="F"/>
    <n v="65"/>
    <n v="85"/>
    <s v="Tuntas"/>
    <s v="Pendidikan Pancasila"/>
    <x v="0"/>
    <x v="10"/>
    <n v="85"/>
    <x v="2"/>
    <n v="11"/>
    <x v="0"/>
    <x v="3"/>
    <x v="6"/>
  </r>
  <r>
    <n v="961"/>
    <s v="242510013"/>
    <x v="0"/>
    <x v="0"/>
    <s v="Intan Jaya"/>
    <d v="2026-01-26T00:00:00"/>
    <s v="26"/>
    <x v="0"/>
    <s v="26"/>
    <x v="3"/>
    <x v="8"/>
    <x v="10"/>
    <s v="Real"/>
    <s v="Entrepreneur"/>
    <s v="Product development"/>
    <x v="0"/>
    <x v="0"/>
    <x v="1"/>
    <s v="F11.01.02"/>
    <n v="1"/>
    <s v="menganalisis kelas sosial masyarakat"/>
    <s v="01.02"/>
    <x v="17"/>
    <s v="K11"/>
    <s v="F"/>
    <n v="65"/>
    <n v="75"/>
    <s v="Tuntas"/>
    <s v="Pendidikan Pancasila"/>
    <x v="0"/>
    <x v="10"/>
    <n v="75"/>
    <x v="1"/>
    <n v="11"/>
    <x v="1"/>
    <x v="3"/>
    <x v="6"/>
  </r>
  <r>
    <n v="962"/>
    <s v="242510013"/>
    <x v="0"/>
    <x v="0"/>
    <s v="Intan Jaya"/>
    <d v="2026-01-26T00:00:00"/>
    <s v="26"/>
    <x v="0"/>
    <s v="26"/>
    <x v="4"/>
    <x v="5"/>
    <x v="0"/>
    <s v="Real"/>
    <s v="Entrepreneur"/>
    <s v="Product development"/>
    <x v="0"/>
    <x v="0"/>
    <x v="1"/>
    <s v="F11.01.02"/>
    <n v="1"/>
    <s v="menganalisis kelas sosial masyarakat"/>
    <s v="01.02"/>
    <x v="17"/>
    <s v="K11"/>
    <s v="F"/>
    <n v="65"/>
    <n v="78"/>
    <s v="Tuntas"/>
    <s v="Pendidikan Pancasila"/>
    <x v="0"/>
    <x v="10"/>
    <n v="78"/>
    <x v="1"/>
    <n v="11"/>
    <x v="0"/>
    <x v="3"/>
    <x v="6"/>
  </r>
  <r>
    <n v="963"/>
    <s v="242510013"/>
    <x v="0"/>
    <x v="0"/>
    <s v="Intan Jaya"/>
    <d v="2026-02-02T00:00:00"/>
    <s v="02"/>
    <x v="1"/>
    <s v="26"/>
    <x v="3"/>
    <x v="8"/>
    <x v="16"/>
    <s v="Real"/>
    <s v="Entrepreneur"/>
    <s v="Product development"/>
    <x v="0"/>
    <x v="0"/>
    <x v="1"/>
    <s v="F11.01.03"/>
    <n v="1"/>
    <s v="menganalisis kelas sosial masyarakat"/>
    <s v="01.03"/>
    <x v="18"/>
    <s v="K11"/>
    <s v="F"/>
    <n v="65"/>
    <n v="65"/>
    <s v="Tuntas"/>
    <s v="Pendidikan Pancasila"/>
    <x v="0"/>
    <x v="10"/>
    <n v="65"/>
    <x v="1"/>
    <n v="11"/>
    <x v="3"/>
    <x v="4"/>
    <x v="6"/>
  </r>
  <r>
    <n v="964"/>
    <s v="242510013"/>
    <x v="0"/>
    <x v="0"/>
    <s v="Intan Jaya"/>
    <d v="2026-02-02T00:00:00"/>
    <s v="02"/>
    <x v="1"/>
    <s v="26"/>
    <x v="4"/>
    <x v="5"/>
    <x v="0"/>
    <s v="Real"/>
    <s v="Entrepreneur"/>
    <s v="Product development"/>
    <x v="0"/>
    <x v="0"/>
    <x v="1"/>
    <s v="F11.01.03"/>
    <n v="1"/>
    <s v="menganalisis kelas sosial masyarakat"/>
    <s v="01.03"/>
    <x v="18"/>
    <s v="K11"/>
    <s v="F"/>
    <n v="65"/>
    <n v="65"/>
    <s v="Tuntas"/>
    <s v="Pendidikan Pancasila"/>
    <x v="0"/>
    <x v="10"/>
    <n v="65"/>
    <x v="1"/>
    <n v="11"/>
    <x v="0"/>
    <x v="4"/>
    <x v="6"/>
  </r>
  <r>
    <n v="965"/>
    <s v="242510013"/>
    <x v="0"/>
    <x v="0"/>
    <s v="Intan Jaya"/>
    <d v="2026-02-02T00:00:00"/>
    <s v="02"/>
    <x v="1"/>
    <s v="26"/>
    <x v="1"/>
    <x v="9"/>
    <x v="6"/>
    <s v="Real"/>
    <s v="Entrepreneur"/>
    <s v="Product development"/>
    <x v="0"/>
    <x v="0"/>
    <x v="1"/>
    <s v="F11.01.03"/>
    <n v="1"/>
    <s v="menganalisis kelas sosial masyarakat"/>
    <s v="01.03"/>
    <x v="18"/>
    <s v="K11"/>
    <s v="F"/>
    <n v="65"/>
    <n v="70"/>
    <s v="Tuntas"/>
    <s v="Pendidikan Pancasila"/>
    <x v="0"/>
    <x v="10"/>
    <n v="70"/>
    <x v="1"/>
    <n v="11"/>
    <x v="0"/>
    <x v="4"/>
    <x v="6"/>
  </r>
  <r>
    <n v="966"/>
    <s v="242510013"/>
    <x v="0"/>
    <x v="0"/>
    <s v="Intan Jaya"/>
    <d v="2026-02-02T00:00:00"/>
    <s v="02"/>
    <x v="1"/>
    <s v="26"/>
    <x v="2"/>
    <x v="6"/>
    <x v="6"/>
    <s v="Real"/>
    <s v="Entrepreneur"/>
    <s v="Product development"/>
    <x v="0"/>
    <x v="0"/>
    <x v="1"/>
    <s v="F11.01.03"/>
    <n v="1"/>
    <s v="menganalisis kelas sosial masyarakat"/>
    <s v="01.03"/>
    <x v="18"/>
    <s v="K11"/>
    <s v="F"/>
    <n v="65"/>
    <n v="87"/>
    <s v="Tuntas"/>
    <s v="Pendidikan Pancasila"/>
    <x v="0"/>
    <x v="10"/>
    <n v="87"/>
    <x v="2"/>
    <n v="11"/>
    <x v="0"/>
    <x v="4"/>
    <x v="6"/>
  </r>
  <r>
    <n v="967"/>
    <s v="242510013"/>
    <x v="0"/>
    <x v="0"/>
    <s v="Intan Jaya"/>
    <d v="2026-02-02T00:00:00"/>
    <s v="02"/>
    <x v="1"/>
    <s v="26"/>
    <x v="0"/>
    <x v="0"/>
    <x v="9"/>
    <s v="Real"/>
    <s v="Entrepreneur"/>
    <s v="Product development"/>
    <x v="0"/>
    <x v="0"/>
    <x v="1"/>
    <s v="F11.01.03"/>
    <n v="1"/>
    <s v="menganalisis kelas sosial masyarakat"/>
    <s v="01.03"/>
    <x v="18"/>
    <s v="K11"/>
    <s v="F"/>
    <n v="65"/>
    <n v="87"/>
    <s v="Tuntas"/>
    <s v="Pendidikan Pancasila"/>
    <x v="0"/>
    <x v="10"/>
    <n v="87"/>
    <x v="2"/>
    <n v="11"/>
    <x v="0"/>
    <x v="4"/>
    <x v="6"/>
  </r>
  <r>
    <n v="968"/>
    <s v="242510013"/>
    <x v="0"/>
    <x v="0"/>
    <s v="Intan Jaya"/>
    <d v="2026-02-09T00:00:00"/>
    <s v="09"/>
    <x v="1"/>
    <s v="26"/>
    <x v="0"/>
    <x v="2"/>
    <x v="17"/>
    <s v="Real"/>
    <s v="Entrepreneur"/>
    <s v="Product development"/>
    <x v="0"/>
    <x v="0"/>
    <x v="1"/>
    <s v="F11.01.01"/>
    <n v="1"/>
    <s v="menganalisis kelas sosial masyarakat"/>
    <s v="01.01"/>
    <x v="16"/>
    <s v="K11"/>
    <s v="F"/>
    <n v="65"/>
    <n v="0"/>
    <s v="Tidak tuntas"/>
    <s v="Pendidikan Pancasila"/>
    <x v="0"/>
    <x v="0"/>
    <s v=""/>
    <x v="0"/>
    <s v=""/>
    <x v="0"/>
    <x v="0"/>
    <x v="0"/>
  </r>
  <r>
    <n v="969"/>
    <s v="242510013"/>
    <x v="0"/>
    <x v="0"/>
    <s v="Intan Jaya"/>
    <d v="2026-02-09T00:00:00"/>
    <s v="09"/>
    <x v="1"/>
    <s v="26"/>
    <x v="0"/>
    <x v="2"/>
    <x v="17"/>
    <s v="Real"/>
    <s v="Entrepreneur"/>
    <s v="Product development"/>
    <x v="0"/>
    <x v="0"/>
    <x v="1"/>
    <s v="F11.01.02"/>
    <n v="1"/>
    <s v="menganalisis kelas sosial masyarakat"/>
    <s v="01.02"/>
    <x v="17"/>
    <s v="K11"/>
    <s v="F"/>
    <n v="65"/>
    <n v="0"/>
    <s v="Tidak tuntas"/>
    <s v="Pendidikan Pancasila"/>
    <x v="0"/>
    <x v="0"/>
    <s v=""/>
    <x v="0"/>
    <s v=""/>
    <x v="0"/>
    <x v="0"/>
    <x v="0"/>
  </r>
  <r>
    <n v="970"/>
    <s v="242510013"/>
    <x v="0"/>
    <x v="0"/>
    <s v="Intan Jaya"/>
    <d v="2026-02-06T00:00:00"/>
    <s v="06"/>
    <x v="1"/>
    <s v="26"/>
    <x v="1"/>
    <x v="13"/>
    <x v="6"/>
    <s v="Real"/>
    <s v="Entrepreneur"/>
    <s v="Product development"/>
    <x v="0"/>
    <x v="0"/>
    <x v="1"/>
    <s v="F11.01.03"/>
    <n v="1"/>
    <s v="menganalisis kelas sosial masyarakat"/>
    <s v="01.03"/>
    <x v="18"/>
    <s v="K11"/>
    <s v="F"/>
    <n v="65"/>
    <n v="0"/>
    <s v="Tidak tuntas"/>
    <s v="Pendidikan Pancasila"/>
    <x v="0"/>
    <x v="0"/>
    <s v=""/>
    <x v="0"/>
    <s v=""/>
    <x v="0"/>
    <x v="0"/>
    <x v="0"/>
  </r>
  <r>
    <n v="971"/>
    <s v="242510013"/>
    <x v="0"/>
    <x v="0"/>
    <s v="Intan Jaya"/>
    <d v="2026-02-06T00:00:00"/>
    <s v="06"/>
    <x v="1"/>
    <s v="26"/>
    <x v="0"/>
    <x v="0"/>
    <x v="6"/>
    <s v="Real"/>
    <s v="Entrepreneur"/>
    <s v="Product development"/>
    <x v="0"/>
    <x v="0"/>
    <x v="1"/>
    <s v="F11.01.03"/>
    <n v="1"/>
    <s v="menganalisis kelas sosial masyarakat"/>
    <s v="01.03"/>
    <x v="18"/>
    <s v="K11"/>
    <s v="F"/>
    <n v="65"/>
    <n v="0"/>
    <s v="Tidak tuntas"/>
    <s v="Pendidikan Pancasila"/>
    <x v="0"/>
    <x v="0"/>
    <s v=""/>
    <x v="0"/>
    <s v=""/>
    <x v="0"/>
    <x v="0"/>
    <x v="0"/>
  </r>
  <r>
    <n v="972"/>
    <s v="242510014"/>
    <x v="0"/>
    <x v="7"/>
    <s v="Inta jaya"/>
    <d v="2026-01-12T00:00:00"/>
    <s v="12"/>
    <x v="0"/>
    <s v="26"/>
    <x v="3"/>
    <x v="4"/>
    <x v="15"/>
    <s v="Real"/>
    <s v="Entrepreneur"/>
    <s v="Product development"/>
    <x v="0"/>
    <x v="0"/>
    <x v="1"/>
    <s v="F11.01.01"/>
    <n v="1"/>
    <s v="menganalisis kelas sosial masyarakat"/>
    <s v="01.01"/>
    <x v="16"/>
    <s v="K11"/>
    <s v="F"/>
    <n v="65"/>
    <n v="73"/>
    <s v="Tuntas"/>
    <s v="Pendidikan Pancasila"/>
    <x v="0"/>
    <x v="10"/>
    <n v="73"/>
    <x v="1"/>
    <n v="11"/>
    <x v="1"/>
    <x v="1"/>
    <x v="2"/>
  </r>
  <r>
    <n v="973"/>
    <s v="242510014"/>
    <x v="0"/>
    <x v="7"/>
    <s v="Inta jaya"/>
    <d v="2026-01-12T00:00:00"/>
    <s v="12"/>
    <x v="0"/>
    <s v="26"/>
    <x v="0"/>
    <x v="0"/>
    <x v="2"/>
    <s v="Real"/>
    <s v="Entrepreneur"/>
    <s v="Product development"/>
    <x v="0"/>
    <x v="0"/>
    <x v="1"/>
    <s v="F11.01.01"/>
    <n v="1"/>
    <s v="menganalisis kelas sosial masyarakat"/>
    <s v="01.01"/>
    <x v="16"/>
    <s v="K11"/>
    <s v="F"/>
    <n v="65"/>
    <n v="60"/>
    <s v="Tidak tuntas"/>
    <s v="Pendidikan Pancasila"/>
    <x v="0"/>
    <x v="10"/>
    <n v="60"/>
    <x v="3"/>
    <n v="11"/>
    <x v="0"/>
    <x v="1"/>
    <x v="2"/>
  </r>
  <r>
    <n v="974"/>
    <s v="242510014"/>
    <x v="0"/>
    <x v="7"/>
    <s v="Inta jaya"/>
    <d v="2026-01-12T00:00:00"/>
    <s v="12"/>
    <x v="0"/>
    <s v="26"/>
    <x v="2"/>
    <x v="3"/>
    <x v="2"/>
    <s v="Real"/>
    <s v="Entrepreneur"/>
    <s v="Product development"/>
    <x v="0"/>
    <x v="0"/>
    <x v="1"/>
    <s v="F11.01.01"/>
    <n v="1"/>
    <s v="menganalisis kelas sosial masyarakat"/>
    <s v="01.01"/>
    <x v="16"/>
    <s v="K11"/>
    <s v="F"/>
    <n v="65"/>
    <n v="65"/>
    <s v="Tuntas"/>
    <s v="Pendidikan Pancasila"/>
    <x v="0"/>
    <x v="10"/>
    <n v="65"/>
    <x v="1"/>
    <n v="11"/>
    <x v="0"/>
    <x v="1"/>
    <x v="2"/>
  </r>
  <r>
    <n v="975"/>
    <s v="242510014"/>
    <x v="0"/>
    <x v="7"/>
    <s v="Inta jaya"/>
    <d v="2026-01-12T00:00:00"/>
    <s v="12"/>
    <x v="0"/>
    <s v="26"/>
    <x v="4"/>
    <x v="5"/>
    <x v="0"/>
    <s v="Real"/>
    <s v="Entrepreneur"/>
    <s v="Product development"/>
    <x v="0"/>
    <x v="0"/>
    <x v="1"/>
    <s v="F11.01.01"/>
    <n v="1"/>
    <s v="menganalisis kelas sosial masyarakat"/>
    <s v="01.01"/>
    <x v="16"/>
    <s v="K11"/>
    <s v="F"/>
    <n v="65"/>
    <n v="70"/>
    <s v="Tuntas"/>
    <s v="Pendidikan Pancasila"/>
    <x v="0"/>
    <x v="10"/>
    <n v="70"/>
    <x v="1"/>
    <n v="11"/>
    <x v="0"/>
    <x v="1"/>
    <x v="2"/>
  </r>
  <r>
    <n v="976"/>
    <s v="242510014"/>
    <x v="0"/>
    <x v="7"/>
    <s v="Inta jaya"/>
    <d v="2026-01-26T00:00:00"/>
    <s v="26"/>
    <x v="0"/>
    <s v="26"/>
    <x v="0"/>
    <x v="0"/>
    <x v="6"/>
    <s v="Real"/>
    <s v="Entrepreneur"/>
    <s v="Product development"/>
    <x v="0"/>
    <x v="0"/>
    <x v="1"/>
    <s v="F11.01.02"/>
    <n v="1"/>
    <s v="menganalisis kelas sosial masyarakat"/>
    <s v="01.02"/>
    <x v="17"/>
    <s v="K11"/>
    <s v="F"/>
    <n v="65"/>
    <n v="86"/>
    <s v="Tuntas"/>
    <s v="Pendidikan Pancasila"/>
    <x v="0"/>
    <x v="10"/>
    <n v="86"/>
    <x v="2"/>
    <n v="11"/>
    <x v="0"/>
    <x v="3"/>
    <x v="2"/>
  </r>
  <r>
    <n v="977"/>
    <s v="242510014"/>
    <x v="0"/>
    <x v="7"/>
    <s v="Inta jaya"/>
    <d v="2026-01-26T00:00:00"/>
    <s v="26"/>
    <x v="0"/>
    <s v="26"/>
    <x v="2"/>
    <x v="6"/>
    <x v="6"/>
    <s v="Real"/>
    <s v="Entrepreneur"/>
    <s v="Product development"/>
    <x v="0"/>
    <x v="0"/>
    <x v="1"/>
    <s v="F11.01.02"/>
    <n v="1"/>
    <s v="menganalisis kelas sosial masyarakat"/>
    <s v="01.02"/>
    <x v="17"/>
    <s v="K11"/>
    <s v="F"/>
    <n v="65"/>
    <n v="80"/>
    <s v="Tuntas"/>
    <s v="Pendidikan Pancasila"/>
    <x v="0"/>
    <x v="10"/>
    <n v="80"/>
    <x v="2"/>
    <n v="11"/>
    <x v="0"/>
    <x v="3"/>
    <x v="2"/>
  </r>
  <r>
    <n v="978"/>
    <s v="242510014"/>
    <x v="0"/>
    <x v="7"/>
    <s v="Inta jaya"/>
    <d v="2026-01-26T00:00:00"/>
    <s v="26"/>
    <x v="0"/>
    <s v="26"/>
    <x v="3"/>
    <x v="8"/>
    <x v="10"/>
    <s v="Real"/>
    <s v="Entrepreneur"/>
    <s v="Product development"/>
    <x v="0"/>
    <x v="0"/>
    <x v="1"/>
    <s v="F11.01.02"/>
    <n v="1"/>
    <s v="menganalisis kelas sosial masyarakat"/>
    <s v="01.02"/>
    <x v="17"/>
    <s v="K11"/>
    <s v="F"/>
    <n v="65"/>
    <n v="73"/>
    <s v="Tuntas"/>
    <s v="Pendidikan Pancasila"/>
    <x v="0"/>
    <x v="10"/>
    <n v="73"/>
    <x v="1"/>
    <n v="11"/>
    <x v="1"/>
    <x v="3"/>
    <x v="2"/>
  </r>
  <r>
    <n v="979"/>
    <s v="242510014"/>
    <x v="0"/>
    <x v="7"/>
    <s v="Inta jaya"/>
    <d v="2026-01-26T00:00:00"/>
    <s v="26"/>
    <x v="0"/>
    <s v="26"/>
    <x v="4"/>
    <x v="5"/>
    <x v="0"/>
    <s v="Real"/>
    <s v="Entrepreneur"/>
    <s v="Product development"/>
    <x v="0"/>
    <x v="0"/>
    <x v="1"/>
    <s v="F11.01.02"/>
    <n v="1"/>
    <s v="menganalisis kelas sosial masyarakat"/>
    <s v="01.02"/>
    <x v="17"/>
    <s v="K11"/>
    <s v="F"/>
    <n v="65"/>
    <n v="73"/>
    <s v="Tuntas"/>
    <s v="Pendidikan Pancasila"/>
    <x v="0"/>
    <x v="10"/>
    <n v="73"/>
    <x v="1"/>
    <n v="11"/>
    <x v="0"/>
    <x v="3"/>
    <x v="2"/>
  </r>
  <r>
    <n v="980"/>
    <s v="242510014"/>
    <x v="0"/>
    <x v="7"/>
    <s v="Inta jaya"/>
    <d v="2026-02-02T00:00:00"/>
    <s v="02"/>
    <x v="1"/>
    <s v="26"/>
    <x v="3"/>
    <x v="8"/>
    <x v="16"/>
    <s v="Real"/>
    <s v="Entrepreneur"/>
    <s v="Product development"/>
    <x v="0"/>
    <x v="0"/>
    <x v="1"/>
    <s v="F11.01.03"/>
    <n v="1"/>
    <s v="menganalisis kelas sosial masyarakat"/>
    <s v="01.03"/>
    <x v="18"/>
    <s v="K11"/>
    <s v="F"/>
    <n v="65"/>
    <n v="76"/>
    <s v="Tuntas"/>
    <s v="Pendidikan Pancasila"/>
    <x v="0"/>
    <x v="10"/>
    <n v="76"/>
    <x v="1"/>
    <n v="11"/>
    <x v="1"/>
    <x v="4"/>
    <x v="2"/>
  </r>
  <r>
    <n v="981"/>
    <s v="242510014"/>
    <x v="0"/>
    <x v="7"/>
    <s v="Inta jaya"/>
    <d v="2026-02-02T00:00:00"/>
    <s v="02"/>
    <x v="1"/>
    <s v="26"/>
    <x v="4"/>
    <x v="5"/>
    <x v="0"/>
    <s v="Real"/>
    <s v="Entrepreneur"/>
    <s v="Product development"/>
    <x v="0"/>
    <x v="0"/>
    <x v="1"/>
    <s v="F11.01.03"/>
    <n v="1"/>
    <s v="menganalisis kelas sosial masyarakat"/>
    <s v="01.03"/>
    <x v="18"/>
    <s v="K11"/>
    <s v="F"/>
    <n v="65"/>
    <n v="76"/>
    <s v="Tuntas"/>
    <s v="Pendidikan Pancasila"/>
    <x v="0"/>
    <x v="10"/>
    <n v="76"/>
    <x v="1"/>
    <n v="11"/>
    <x v="0"/>
    <x v="4"/>
    <x v="2"/>
  </r>
  <r>
    <n v="982"/>
    <s v="242510014"/>
    <x v="0"/>
    <x v="7"/>
    <s v="Inta jaya"/>
    <d v="2026-02-02T00:00:00"/>
    <s v="02"/>
    <x v="1"/>
    <s v="26"/>
    <x v="1"/>
    <x v="9"/>
    <x v="6"/>
    <s v="Real"/>
    <s v="Entrepreneur"/>
    <s v="Product development"/>
    <x v="0"/>
    <x v="0"/>
    <x v="1"/>
    <s v="F11.01.03"/>
    <n v="1"/>
    <s v="menganalisis kelas sosial masyarakat"/>
    <s v="01.03"/>
    <x v="18"/>
    <s v="K11"/>
    <s v="F"/>
    <n v="65"/>
    <n v="78"/>
    <s v="Tuntas"/>
    <s v="Pendidikan Pancasila"/>
    <x v="0"/>
    <x v="10"/>
    <n v="78"/>
    <x v="1"/>
    <n v="11"/>
    <x v="0"/>
    <x v="4"/>
    <x v="2"/>
  </r>
  <r>
    <n v="983"/>
    <s v="242510014"/>
    <x v="0"/>
    <x v="7"/>
    <s v="Inta jaya"/>
    <d v="2026-02-02T00:00:00"/>
    <s v="02"/>
    <x v="1"/>
    <s v="26"/>
    <x v="2"/>
    <x v="6"/>
    <x v="6"/>
    <s v="Real"/>
    <s v="Entrepreneur"/>
    <s v="Product development"/>
    <x v="0"/>
    <x v="0"/>
    <x v="1"/>
    <s v="F11.01.03"/>
    <n v="1"/>
    <s v="menganalisis kelas sosial masyarakat"/>
    <s v="01.03"/>
    <x v="18"/>
    <s v="K11"/>
    <s v="F"/>
    <n v="65"/>
    <n v="72"/>
    <s v="Tuntas"/>
    <s v="Pendidikan Pancasila"/>
    <x v="0"/>
    <x v="10"/>
    <n v="72"/>
    <x v="1"/>
    <n v="11"/>
    <x v="0"/>
    <x v="4"/>
    <x v="2"/>
  </r>
  <r>
    <n v="984"/>
    <s v="242510014"/>
    <x v="0"/>
    <x v="7"/>
    <s v="Inta jaya"/>
    <d v="2026-02-02T00:00:00"/>
    <s v="02"/>
    <x v="1"/>
    <s v="26"/>
    <x v="0"/>
    <x v="0"/>
    <x v="9"/>
    <s v="Real"/>
    <s v="Entrepreneur"/>
    <s v="Product development"/>
    <x v="0"/>
    <x v="0"/>
    <x v="1"/>
    <s v="F11.01.03"/>
    <n v="1"/>
    <s v="menganalisis kelas sosial masyarakat"/>
    <s v="01.03"/>
    <x v="18"/>
    <s v="K11"/>
    <s v="F"/>
    <n v="65"/>
    <n v="70"/>
    <s v="Tuntas"/>
    <s v="Pendidikan Pancasila"/>
    <x v="0"/>
    <x v="10"/>
    <n v="70"/>
    <x v="1"/>
    <n v="11"/>
    <x v="0"/>
    <x v="4"/>
    <x v="2"/>
  </r>
  <r>
    <n v="985"/>
    <s v="242510014"/>
    <x v="0"/>
    <x v="7"/>
    <s v="Inta jaya"/>
    <d v="2026-02-09T00:00:00"/>
    <s v="09"/>
    <x v="1"/>
    <s v="26"/>
    <x v="0"/>
    <x v="2"/>
    <x v="17"/>
    <s v="Real"/>
    <s v="Entrepreneur"/>
    <s v="Product development"/>
    <x v="0"/>
    <x v="0"/>
    <x v="1"/>
    <s v="F11.01.01"/>
    <n v="1"/>
    <s v="menganalisis kelas sosial masyarakat"/>
    <s v="01.01"/>
    <x v="16"/>
    <s v="K11"/>
    <s v="F"/>
    <n v="65"/>
    <n v="68"/>
    <s v="Tuntas"/>
    <s v="Pendidikan Pancasila"/>
    <x v="0"/>
    <x v="10"/>
    <n v="68"/>
    <x v="1"/>
    <n v="11"/>
    <x v="0"/>
    <x v="5"/>
    <x v="2"/>
  </r>
  <r>
    <n v="986"/>
    <s v="242510014"/>
    <x v="0"/>
    <x v="7"/>
    <s v="Inta jaya"/>
    <d v="2026-02-09T00:00:00"/>
    <s v="09"/>
    <x v="1"/>
    <s v="26"/>
    <x v="0"/>
    <x v="2"/>
    <x v="17"/>
    <s v="Real"/>
    <s v="Entrepreneur"/>
    <s v="Product development"/>
    <x v="0"/>
    <x v="0"/>
    <x v="1"/>
    <s v="F11.01.02"/>
    <n v="1"/>
    <s v="menganalisis kelas sosial masyarakat"/>
    <s v="01.02"/>
    <x v="17"/>
    <s v="K11"/>
    <s v="F"/>
    <n v="65"/>
    <n v="74"/>
    <s v="Tuntas"/>
    <s v="Pendidikan Pancasila"/>
    <x v="0"/>
    <x v="10"/>
    <n v="74"/>
    <x v="1"/>
    <n v="11"/>
    <x v="0"/>
    <x v="5"/>
    <x v="2"/>
  </r>
  <r>
    <n v="987"/>
    <s v="242510014"/>
    <x v="0"/>
    <x v="7"/>
    <s v="Inta jaya"/>
    <d v="2026-02-06T00:00:00"/>
    <s v="06"/>
    <x v="1"/>
    <s v="26"/>
    <x v="1"/>
    <x v="13"/>
    <x v="6"/>
    <s v="Real"/>
    <s v="Entrepreneur"/>
    <s v="Product development"/>
    <x v="0"/>
    <x v="0"/>
    <x v="1"/>
    <s v="F11.01.03"/>
    <n v="1"/>
    <s v="menganalisis kelas sosial masyarakat"/>
    <s v="01.03"/>
    <x v="18"/>
    <s v="K11"/>
    <s v="F"/>
    <n v="65"/>
    <n v="65"/>
    <s v="Tuntas"/>
    <s v="Pendidikan Pancasila"/>
    <x v="0"/>
    <x v="10"/>
    <n v="65"/>
    <x v="1"/>
    <n v="11"/>
    <x v="0"/>
    <x v="4"/>
    <x v="2"/>
  </r>
  <r>
    <n v="988"/>
    <s v="242510014"/>
    <x v="0"/>
    <x v="7"/>
    <s v="Inta jaya"/>
    <d v="2026-02-06T00:00:00"/>
    <s v="06"/>
    <x v="1"/>
    <s v="26"/>
    <x v="0"/>
    <x v="0"/>
    <x v="6"/>
    <s v="Real"/>
    <s v="Entrepreneur"/>
    <s v="Product development"/>
    <x v="0"/>
    <x v="0"/>
    <x v="1"/>
    <s v="F11.01.03"/>
    <n v="1"/>
    <s v="menganalisis kelas sosial masyarakat"/>
    <s v="01.03"/>
    <x v="18"/>
    <s v="K11"/>
    <s v="F"/>
    <n v="65"/>
    <n v="65"/>
    <s v="Tuntas"/>
    <s v="Pendidikan Pancasila"/>
    <x v="0"/>
    <x v="10"/>
    <n v="65"/>
    <x v="1"/>
    <n v="11"/>
    <x v="0"/>
    <x v="4"/>
    <x v="2"/>
  </r>
  <r>
    <n v="989"/>
    <s v="242510011"/>
    <x v="0"/>
    <x v="1"/>
    <s v="Intan Jaya"/>
    <d v="2026-01-12T00:00:00"/>
    <s v="12"/>
    <x v="0"/>
    <s v="26"/>
    <x v="3"/>
    <x v="4"/>
    <x v="15"/>
    <s v="Real"/>
    <s v="Entrepreneur"/>
    <s v="Product development"/>
    <x v="0"/>
    <x v="0"/>
    <x v="1"/>
    <s v="F11.01.01"/>
    <n v="1"/>
    <s v="menganalisis kelas sosial masyarakat"/>
    <s v="01.01"/>
    <x v="16"/>
    <s v="K11"/>
    <s v="F"/>
    <n v="65"/>
    <n v="80"/>
    <s v="Tuntas"/>
    <s v="Pendidikan Pancasila"/>
    <x v="0"/>
    <x v="10"/>
    <n v="80"/>
    <x v="2"/>
    <n v="11"/>
    <x v="2"/>
    <x v="1"/>
    <x v="1"/>
  </r>
  <r>
    <n v="990"/>
    <s v="242510011"/>
    <x v="0"/>
    <x v="1"/>
    <s v="Intan Jaya"/>
    <d v="2026-01-12T00:00:00"/>
    <s v="12"/>
    <x v="0"/>
    <s v="26"/>
    <x v="0"/>
    <x v="0"/>
    <x v="2"/>
    <s v="Real"/>
    <s v="Entrepreneur"/>
    <s v="Product development"/>
    <x v="0"/>
    <x v="0"/>
    <x v="1"/>
    <s v="F11.01.01"/>
    <n v="1"/>
    <s v="menganalisis kelas sosial masyarakat"/>
    <s v="01.01"/>
    <x v="16"/>
    <s v="K11"/>
    <s v="F"/>
    <n v="65"/>
    <n v="78"/>
    <s v="Tuntas"/>
    <s v="Pendidikan Pancasila"/>
    <x v="0"/>
    <x v="10"/>
    <n v="78"/>
    <x v="1"/>
    <n v="11"/>
    <x v="0"/>
    <x v="1"/>
    <x v="1"/>
  </r>
  <r>
    <n v="991"/>
    <s v="242510011"/>
    <x v="0"/>
    <x v="1"/>
    <s v="Intan Jaya"/>
    <d v="2026-01-12T00:00:00"/>
    <s v="12"/>
    <x v="0"/>
    <s v="26"/>
    <x v="2"/>
    <x v="3"/>
    <x v="2"/>
    <s v="Real"/>
    <s v="Entrepreneur"/>
    <s v="Product development"/>
    <x v="0"/>
    <x v="0"/>
    <x v="1"/>
    <s v="F11.01.01"/>
    <n v="1"/>
    <s v="menganalisis kelas sosial masyarakat"/>
    <s v="01.01"/>
    <x v="16"/>
    <s v="K11"/>
    <s v="F"/>
    <n v="65"/>
    <n v="76"/>
    <s v="Tuntas"/>
    <s v="Pendidikan Pancasila"/>
    <x v="0"/>
    <x v="10"/>
    <n v="76"/>
    <x v="1"/>
    <n v="11"/>
    <x v="0"/>
    <x v="1"/>
    <x v="1"/>
  </r>
  <r>
    <n v="992"/>
    <s v="242510011"/>
    <x v="0"/>
    <x v="1"/>
    <s v="Intan Jaya"/>
    <d v="2026-01-12T00:00:00"/>
    <s v="12"/>
    <x v="0"/>
    <s v="26"/>
    <x v="4"/>
    <x v="5"/>
    <x v="0"/>
    <s v="Real"/>
    <s v="Entrepreneur"/>
    <s v="Product development"/>
    <x v="0"/>
    <x v="0"/>
    <x v="1"/>
    <s v="F11.01.01"/>
    <n v="1"/>
    <s v="menganalisis kelas sosial masyarakat"/>
    <s v="01.01"/>
    <x v="16"/>
    <s v="K11"/>
    <s v="F"/>
    <n v="65"/>
    <n v="78"/>
    <s v="Tuntas"/>
    <s v="Pendidikan Pancasila"/>
    <x v="0"/>
    <x v="10"/>
    <n v="78"/>
    <x v="1"/>
    <n v="11"/>
    <x v="0"/>
    <x v="1"/>
    <x v="1"/>
  </r>
  <r>
    <n v="993"/>
    <s v="242510011"/>
    <x v="0"/>
    <x v="1"/>
    <s v="Intan Jaya"/>
    <d v="2026-01-26T00:00:00"/>
    <s v="26"/>
    <x v="0"/>
    <s v="26"/>
    <x v="0"/>
    <x v="0"/>
    <x v="6"/>
    <s v="Real"/>
    <s v="Entrepreneur"/>
    <s v="Product development"/>
    <x v="0"/>
    <x v="0"/>
    <x v="1"/>
    <s v="F11.01.02"/>
    <n v="1"/>
    <s v="menganalisis kelas sosial masyarakat"/>
    <s v="01.02"/>
    <x v="17"/>
    <s v="K11"/>
    <s v="F"/>
    <n v="65"/>
    <n v="90"/>
    <s v="Tuntas"/>
    <s v="Pendidikan Pancasila"/>
    <x v="0"/>
    <x v="10"/>
    <n v="90"/>
    <x v="2"/>
    <n v="11"/>
    <x v="0"/>
    <x v="3"/>
    <x v="1"/>
  </r>
  <r>
    <n v="994"/>
    <s v="242510011"/>
    <x v="0"/>
    <x v="1"/>
    <s v="Intan Jaya"/>
    <d v="2026-01-26T00:00:00"/>
    <s v="26"/>
    <x v="0"/>
    <s v="26"/>
    <x v="2"/>
    <x v="6"/>
    <x v="6"/>
    <s v="Real"/>
    <s v="Entrepreneur"/>
    <s v="Product development"/>
    <x v="0"/>
    <x v="0"/>
    <x v="1"/>
    <s v="F11.01.02"/>
    <n v="1"/>
    <s v="menganalisis kelas sosial masyarakat"/>
    <s v="01.02"/>
    <x v="17"/>
    <s v="K11"/>
    <s v="F"/>
    <n v="65"/>
    <n v="86"/>
    <s v="Tuntas"/>
    <s v="Pendidikan Pancasila"/>
    <x v="0"/>
    <x v="10"/>
    <n v="86"/>
    <x v="2"/>
    <n v="11"/>
    <x v="0"/>
    <x v="3"/>
    <x v="1"/>
  </r>
  <r>
    <n v="995"/>
    <s v="242510011"/>
    <x v="0"/>
    <x v="1"/>
    <s v="Intan Jaya"/>
    <d v="2026-01-26T00:00:00"/>
    <s v="26"/>
    <x v="0"/>
    <s v="26"/>
    <x v="3"/>
    <x v="8"/>
    <x v="10"/>
    <s v="Real"/>
    <s v="Entrepreneur"/>
    <s v="Product development"/>
    <x v="0"/>
    <x v="0"/>
    <x v="1"/>
    <s v="F11.01.02"/>
    <n v="1"/>
    <s v="menganalisis kelas sosial masyarakat"/>
    <s v="01.02"/>
    <x v="17"/>
    <s v="K11"/>
    <s v="F"/>
    <n v="65"/>
    <n v="78"/>
    <s v="Tuntas"/>
    <s v="Pendidikan Pancasila"/>
    <x v="0"/>
    <x v="10"/>
    <n v="78"/>
    <x v="1"/>
    <n v="11"/>
    <x v="1"/>
    <x v="3"/>
    <x v="1"/>
  </r>
  <r>
    <n v="996"/>
    <s v="242510011"/>
    <x v="0"/>
    <x v="1"/>
    <s v="Intan Jaya"/>
    <d v="2026-01-26T00:00:00"/>
    <s v="26"/>
    <x v="0"/>
    <s v="26"/>
    <x v="4"/>
    <x v="5"/>
    <x v="0"/>
    <s v="Real"/>
    <s v="Entrepreneur"/>
    <s v="Product development"/>
    <x v="0"/>
    <x v="0"/>
    <x v="1"/>
    <s v="F11.01.02"/>
    <n v="1"/>
    <s v="menganalisis kelas sosial masyarakat"/>
    <s v="01.02"/>
    <x v="17"/>
    <s v="K11"/>
    <s v="F"/>
    <n v="65"/>
    <n v="78"/>
    <s v="Tuntas"/>
    <s v="Pendidikan Pancasila"/>
    <x v="0"/>
    <x v="10"/>
    <n v="78"/>
    <x v="1"/>
    <n v="11"/>
    <x v="0"/>
    <x v="3"/>
    <x v="1"/>
  </r>
  <r>
    <n v="997"/>
    <s v="242510011"/>
    <x v="0"/>
    <x v="1"/>
    <s v="Intan Jaya"/>
    <d v="2026-02-02T00:00:00"/>
    <s v="02"/>
    <x v="1"/>
    <s v="26"/>
    <x v="3"/>
    <x v="8"/>
    <x v="16"/>
    <s v="Real"/>
    <s v="Entrepreneur"/>
    <s v="Product development"/>
    <x v="0"/>
    <x v="0"/>
    <x v="1"/>
    <s v="F11.01.03"/>
    <n v="1"/>
    <s v="menganalisis kelas sosial masyarakat"/>
    <s v="01.03"/>
    <x v="18"/>
    <s v="K11"/>
    <s v="F"/>
    <n v="65"/>
    <n v="78"/>
    <s v="Tuntas"/>
    <s v="Pendidikan Pancasila"/>
    <x v="0"/>
    <x v="10"/>
    <n v="78"/>
    <x v="1"/>
    <n v="11"/>
    <x v="1"/>
    <x v="4"/>
    <x v="1"/>
  </r>
  <r>
    <n v="998"/>
    <s v="242510011"/>
    <x v="0"/>
    <x v="1"/>
    <s v="Intan Jaya"/>
    <d v="2026-02-02T00:00:00"/>
    <s v="02"/>
    <x v="1"/>
    <s v="26"/>
    <x v="4"/>
    <x v="5"/>
    <x v="0"/>
    <s v="Real"/>
    <s v="Entrepreneur"/>
    <s v="Product development"/>
    <x v="0"/>
    <x v="0"/>
    <x v="1"/>
    <s v="F11.01.03"/>
    <n v="1"/>
    <s v="menganalisis kelas sosial masyarakat"/>
    <s v="01.03"/>
    <x v="18"/>
    <s v="K11"/>
    <s v="F"/>
    <n v="65"/>
    <n v="78"/>
    <s v="Tuntas"/>
    <s v="Pendidikan Pancasila"/>
    <x v="0"/>
    <x v="10"/>
    <n v="78"/>
    <x v="1"/>
    <n v="11"/>
    <x v="0"/>
    <x v="4"/>
    <x v="1"/>
  </r>
  <r>
    <n v="999"/>
    <s v="242510011"/>
    <x v="0"/>
    <x v="1"/>
    <s v="Intan Jaya"/>
    <d v="2026-02-02T00:00:00"/>
    <s v="02"/>
    <x v="1"/>
    <s v="26"/>
    <x v="1"/>
    <x v="9"/>
    <x v="6"/>
    <s v="Real"/>
    <s v="Entrepreneur"/>
    <s v="Product development"/>
    <x v="0"/>
    <x v="0"/>
    <x v="1"/>
    <s v="F11.01.03"/>
    <n v="1"/>
    <s v="menganalisis kelas sosial masyarakat"/>
    <s v="01.03"/>
    <x v="18"/>
    <s v="K11"/>
    <s v="F"/>
    <n v="65"/>
    <n v="76"/>
    <s v="Tuntas"/>
    <s v="Pendidikan Pancasila"/>
    <x v="0"/>
    <x v="10"/>
    <n v="76"/>
    <x v="1"/>
    <n v="11"/>
    <x v="0"/>
    <x v="4"/>
    <x v="1"/>
  </r>
  <r>
    <n v="1000"/>
    <s v="242510011"/>
    <x v="0"/>
    <x v="1"/>
    <s v="Intan Jaya"/>
    <d v="2026-02-02T00:00:00"/>
    <s v="02"/>
    <x v="1"/>
    <s v="26"/>
    <x v="2"/>
    <x v="6"/>
    <x v="6"/>
    <s v="Real"/>
    <s v="Entrepreneur"/>
    <s v="Product development"/>
    <x v="0"/>
    <x v="0"/>
    <x v="1"/>
    <s v="F11.01.03"/>
    <n v="1"/>
    <s v="menganalisis kelas sosial masyarakat"/>
    <s v="01.03"/>
    <x v="18"/>
    <s v="K11"/>
    <s v="F"/>
    <n v="65"/>
    <n v="80"/>
    <s v="Tuntas"/>
    <s v="Pendidikan Pancasila"/>
    <x v="0"/>
    <x v="10"/>
    <n v="80"/>
    <x v="2"/>
    <n v="11"/>
    <x v="0"/>
    <x v="4"/>
    <x v="1"/>
  </r>
  <r>
    <n v="1001"/>
    <s v="242510011"/>
    <x v="0"/>
    <x v="1"/>
    <s v="Intan Jaya"/>
    <d v="2026-02-02T00:00:00"/>
    <s v="02"/>
    <x v="1"/>
    <s v="26"/>
    <x v="0"/>
    <x v="0"/>
    <x v="9"/>
    <s v="Real"/>
    <s v="Entrepreneur"/>
    <s v="Product development"/>
    <x v="0"/>
    <x v="0"/>
    <x v="1"/>
    <s v="F11.01.03"/>
    <n v="1"/>
    <s v="menganalisis kelas sosial masyarakat"/>
    <s v="01.03"/>
    <x v="18"/>
    <s v="K11"/>
    <s v="F"/>
    <n v="65"/>
    <n v="78"/>
    <s v="Tuntas"/>
    <s v="Pendidikan Pancasila"/>
    <x v="0"/>
    <x v="10"/>
    <n v="78"/>
    <x v="1"/>
    <n v="11"/>
    <x v="0"/>
    <x v="4"/>
    <x v="1"/>
  </r>
  <r>
    <n v="1002"/>
    <s v="242510011"/>
    <x v="0"/>
    <x v="1"/>
    <s v="Intan Jaya"/>
    <d v="2026-02-09T00:00:00"/>
    <s v="09"/>
    <x v="1"/>
    <s v="26"/>
    <x v="0"/>
    <x v="2"/>
    <x v="17"/>
    <s v="Real"/>
    <s v="Entrepreneur"/>
    <s v="Product development"/>
    <x v="0"/>
    <x v="0"/>
    <x v="1"/>
    <s v="F11.01.01"/>
    <n v="1"/>
    <s v="menganalisis kelas sosial masyarakat"/>
    <s v="01.01"/>
    <x v="16"/>
    <s v="K11"/>
    <s v="F"/>
    <n v="65"/>
    <n v="69"/>
    <s v="Tuntas"/>
    <s v="Pendidikan Pancasila"/>
    <x v="0"/>
    <x v="10"/>
    <n v="69"/>
    <x v="1"/>
    <n v="11"/>
    <x v="0"/>
    <x v="5"/>
    <x v="1"/>
  </r>
  <r>
    <n v="1003"/>
    <s v="242510011"/>
    <x v="0"/>
    <x v="1"/>
    <s v="Intan Jaya"/>
    <d v="2026-02-09T00:00:00"/>
    <s v="09"/>
    <x v="1"/>
    <s v="26"/>
    <x v="0"/>
    <x v="2"/>
    <x v="17"/>
    <s v="Real"/>
    <s v="Entrepreneur"/>
    <s v="Product development"/>
    <x v="0"/>
    <x v="0"/>
    <x v="1"/>
    <s v="F11.01.02"/>
    <n v="1"/>
    <s v="menganalisis kelas sosial masyarakat"/>
    <s v="01.02"/>
    <x v="17"/>
    <s v="K11"/>
    <s v="F"/>
    <n v="65"/>
    <n v="73"/>
    <s v="Tuntas"/>
    <s v="Pendidikan Pancasila"/>
    <x v="0"/>
    <x v="10"/>
    <n v="73"/>
    <x v="1"/>
    <n v="11"/>
    <x v="0"/>
    <x v="5"/>
    <x v="1"/>
  </r>
  <r>
    <n v="1004"/>
    <s v="242510011"/>
    <x v="0"/>
    <x v="1"/>
    <s v="Intan Jaya"/>
    <d v="2026-02-06T00:00:00"/>
    <s v="06"/>
    <x v="1"/>
    <s v="26"/>
    <x v="1"/>
    <x v="13"/>
    <x v="6"/>
    <s v="Real"/>
    <s v="Entrepreneur"/>
    <s v="Product development"/>
    <x v="0"/>
    <x v="0"/>
    <x v="1"/>
    <s v="F11.01.03"/>
    <n v="1"/>
    <s v="menganalisis kelas sosial masyarakat"/>
    <s v="01.03"/>
    <x v="18"/>
    <s v="K11"/>
    <s v="F"/>
    <n v="65"/>
    <n v="87"/>
    <s v="Tuntas"/>
    <s v="Pendidikan Pancasila"/>
    <x v="0"/>
    <x v="10"/>
    <n v="87"/>
    <x v="2"/>
    <n v="11"/>
    <x v="0"/>
    <x v="4"/>
    <x v="1"/>
  </r>
  <r>
    <n v="1005"/>
    <s v="242510011"/>
    <x v="0"/>
    <x v="1"/>
    <s v="Intan Jaya"/>
    <d v="2026-02-06T00:00:00"/>
    <s v="06"/>
    <x v="1"/>
    <s v="26"/>
    <x v="0"/>
    <x v="0"/>
    <x v="6"/>
    <s v="Real"/>
    <s v="Entrepreneur"/>
    <s v="Product development"/>
    <x v="0"/>
    <x v="0"/>
    <x v="1"/>
    <s v="F11.01.03"/>
    <n v="1"/>
    <s v="menganalisis kelas sosial masyarakat"/>
    <s v="01.03"/>
    <x v="18"/>
    <s v="K11"/>
    <s v="F"/>
    <n v="65"/>
    <n v="87"/>
    <s v="Tuntas"/>
    <s v="Pendidikan Pancasila"/>
    <x v="0"/>
    <x v="10"/>
    <n v="87"/>
    <x v="2"/>
    <n v="11"/>
    <x v="0"/>
    <x v="4"/>
    <x v="1"/>
  </r>
  <r>
    <n v="1006"/>
    <s v="242510004"/>
    <x v="0"/>
    <x v="8"/>
    <s v="Inta jaya"/>
    <d v="2026-01-12T00:00:00"/>
    <s v="12"/>
    <x v="0"/>
    <s v="26"/>
    <x v="3"/>
    <x v="4"/>
    <x v="15"/>
    <s v="Real"/>
    <s v="Entrepreneur"/>
    <s v="Product development"/>
    <x v="0"/>
    <x v="0"/>
    <x v="1"/>
    <s v="F11.01.01"/>
    <n v="1"/>
    <s v="menganalisis kelas sosial masyarakat"/>
    <s v="01.01"/>
    <x v="16"/>
    <s v="K11"/>
    <s v="F"/>
    <n v="65"/>
    <n v="80"/>
    <s v="Tuntas"/>
    <s v="Pendidikan Pancasila"/>
    <x v="0"/>
    <x v="10"/>
    <n v="80"/>
    <x v="2"/>
    <n v="11"/>
    <x v="2"/>
    <x v="1"/>
    <x v="4"/>
  </r>
  <r>
    <n v="1007"/>
    <s v="242510004"/>
    <x v="0"/>
    <x v="8"/>
    <s v="Inta jaya"/>
    <d v="2026-01-12T00:00:00"/>
    <s v="12"/>
    <x v="0"/>
    <s v="26"/>
    <x v="0"/>
    <x v="0"/>
    <x v="2"/>
    <s v="Real"/>
    <s v="Entrepreneur"/>
    <s v="Product development"/>
    <x v="0"/>
    <x v="0"/>
    <x v="1"/>
    <s v="F11.01.01"/>
    <n v="1"/>
    <s v="menganalisis kelas sosial masyarakat"/>
    <s v="01.01"/>
    <x v="16"/>
    <s v="K11"/>
    <s v="F"/>
    <n v="65"/>
    <n v="75"/>
    <s v="Tuntas"/>
    <s v="Pendidikan Pancasila"/>
    <x v="0"/>
    <x v="10"/>
    <n v="75"/>
    <x v="1"/>
    <n v="11"/>
    <x v="0"/>
    <x v="1"/>
    <x v="4"/>
  </r>
  <r>
    <n v="1008"/>
    <s v="242510004"/>
    <x v="0"/>
    <x v="8"/>
    <s v="Inta jaya"/>
    <d v="2026-01-12T00:00:00"/>
    <s v="12"/>
    <x v="0"/>
    <s v="26"/>
    <x v="2"/>
    <x v="3"/>
    <x v="2"/>
    <s v="Real"/>
    <s v="Entrepreneur"/>
    <s v="Product development"/>
    <x v="0"/>
    <x v="0"/>
    <x v="1"/>
    <s v="F11.01.01"/>
    <n v="1"/>
    <s v="menganalisis kelas sosial masyarakat"/>
    <s v="01.01"/>
    <x v="16"/>
    <s v="K11"/>
    <s v="F"/>
    <n v="65"/>
    <n v="72"/>
    <s v="Tuntas"/>
    <s v="Pendidikan Pancasila"/>
    <x v="0"/>
    <x v="10"/>
    <n v="72"/>
    <x v="1"/>
    <n v="11"/>
    <x v="0"/>
    <x v="1"/>
    <x v="4"/>
  </r>
  <r>
    <n v="1009"/>
    <s v="242510004"/>
    <x v="0"/>
    <x v="8"/>
    <s v="Inta jaya"/>
    <d v="2026-01-12T00:00:00"/>
    <s v="12"/>
    <x v="0"/>
    <s v="26"/>
    <x v="4"/>
    <x v="5"/>
    <x v="0"/>
    <s v="Real"/>
    <s v="Entrepreneur"/>
    <s v="Product development"/>
    <x v="0"/>
    <x v="0"/>
    <x v="1"/>
    <s v="F11.01.01"/>
    <n v="1"/>
    <s v="menganalisis kelas sosial masyarakat"/>
    <s v="01.01"/>
    <x v="16"/>
    <s v="K11"/>
    <s v="F"/>
    <n v="65"/>
    <n v="74"/>
    <s v="Tuntas"/>
    <s v="Pendidikan Pancasila"/>
    <x v="0"/>
    <x v="10"/>
    <n v="74"/>
    <x v="1"/>
    <n v="11"/>
    <x v="0"/>
    <x v="1"/>
    <x v="4"/>
  </r>
  <r>
    <n v="1010"/>
    <s v="242510004"/>
    <x v="0"/>
    <x v="8"/>
    <s v="Inta jaya"/>
    <d v="2026-01-26T00:00:00"/>
    <s v="26"/>
    <x v="0"/>
    <s v="26"/>
    <x v="0"/>
    <x v="0"/>
    <x v="6"/>
    <s v="Real"/>
    <s v="Entrepreneur"/>
    <s v="Product development"/>
    <x v="0"/>
    <x v="0"/>
    <x v="1"/>
    <s v="F11.01.02"/>
    <n v="1"/>
    <s v="menganalisis kelas sosial masyarakat"/>
    <s v="01.02"/>
    <x v="17"/>
    <s v="K11"/>
    <s v="F"/>
    <n v="65"/>
    <n v="90"/>
    <s v="Tuntas"/>
    <s v="Pendidikan Pancasila"/>
    <x v="0"/>
    <x v="10"/>
    <n v="90"/>
    <x v="2"/>
    <n v="11"/>
    <x v="0"/>
    <x v="3"/>
    <x v="4"/>
  </r>
  <r>
    <n v="1011"/>
    <s v="242510004"/>
    <x v="0"/>
    <x v="8"/>
    <s v="Inta jaya"/>
    <d v="2026-01-26T00:00:00"/>
    <s v="26"/>
    <x v="0"/>
    <s v="26"/>
    <x v="2"/>
    <x v="6"/>
    <x v="6"/>
    <s v="Real"/>
    <s v="Entrepreneur"/>
    <s v="Product development"/>
    <x v="0"/>
    <x v="0"/>
    <x v="1"/>
    <s v="F11.01.02"/>
    <n v="1"/>
    <s v="menganalisis kelas sosial masyarakat"/>
    <s v="01.02"/>
    <x v="17"/>
    <s v="K11"/>
    <s v="F"/>
    <n v="65"/>
    <n v="88"/>
    <s v="Tuntas"/>
    <s v="Pendidikan Pancasila"/>
    <x v="0"/>
    <x v="10"/>
    <n v="88"/>
    <x v="2"/>
    <n v="11"/>
    <x v="0"/>
    <x v="3"/>
    <x v="4"/>
  </r>
  <r>
    <n v="1012"/>
    <s v="242510004"/>
    <x v="0"/>
    <x v="8"/>
    <s v="Inta jaya"/>
    <d v="2026-01-26T00:00:00"/>
    <s v="26"/>
    <x v="0"/>
    <s v="26"/>
    <x v="3"/>
    <x v="8"/>
    <x v="10"/>
    <s v="Real"/>
    <s v="Entrepreneur"/>
    <s v="Product development"/>
    <x v="0"/>
    <x v="0"/>
    <x v="1"/>
    <s v="F11.01.02"/>
    <n v="1"/>
    <s v="menganalisis kelas sosial masyarakat"/>
    <s v="01.02"/>
    <x v="17"/>
    <s v="K11"/>
    <s v="F"/>
    <n v="65"/>
    <n v="78"/>
    <s v="Tuntas"/>
    <s v="Pendidikan Pancasila"/>
    <x v="0"/>
    <x v="10"/>
    <n v="78"/>
    <x v="1"/>
    <n v="11"/>
    <x v="1"/>
    <x v="3"/>
    <x v="4"/>
  </r>
  <r>
    <n v="1013"/>
    <s v="242510004"/>
    <x v="0"/>
    <x v="8"/>
    <s v="Inta jaya"/>
    <d v="2026-01-26T00:00:00"/>
    <s v="26"/>
    <x v="0"/>
    <s v="26"/>
    <x v="4"/>
    <x v="5"/>
    <x v="0"/>
    <s v="Real"/>
    <s v="Entrepreneur"/>
    <s v="Product development"/>
    <x v="0"/>
    <x v="0"/>
    <x v="1"/>
    <s v="F11.01.02"/>
    <n v="1"/>
    <s v="menganalisis kelas sosial masyarakat"/>
    <s v="01.02"/>
    <x v="17"/>
    <s v="K11"/>
    <s v="F"/>
    <n v="65"/>
    <n v="74"/>
    <s v="Tuntas"/>
    <s v="Pendidikan Pancasila"/>
    <x v="0"/>
    <x v="10"/>
    <n v="74"/>
    <x v="1"/>
    <n v="11"/>
    <x v="0"/>
    <x v="3"/>
    <x v="4"/>
  </r>
  <r>
    <n v="1014"/>
    <s v="242510004"/>
    <x v="0"/>
    <x v="8"/>
    <s v="Inta jaya"/>
    <d v="2026-02-02T00:00:00"/>
    <s v="02"/>
    <x v="1"/>
    <s v="26"/>
    <x v="3"/>
    <x v="8"/>
    <x v="16"/>
    <s v="Real"/>
    <s v="Entrepreneur"/>
    <s v="Product development"/>
    <x v="0"/>
    <x v="0"/>
    <x v="1"/>
    <s v="F11.01.03"/>
    <n v="1"/>
    <s v="menganalisis kelas sosial masyarakat"/>
    <s v="01.03"/>
    <x v="18"/>
    <s v="K11"/>
    <s v="F"/>
    <n v="65"/>
    <n v="80"/>
    <s v="Tuntas"/>
    <s v="Pendidikan Pancasila"/>
    <x v="0"/>
    <x v="10"/>
    <n v="80"/>
    <x v="2"/>
    <n v="11"/>
    <x v="2"/>
    <x v="4"/>
    <x v="4"/>
  </r>
  <r>
    <n v="1015"/>
    <s v="242510004"/>
    <x v="0"/>
    <x v="8"/>
    <s v="Inta jaya"/>
    <d v="2026-02-02T00:00:00"/>
    <s v="02"/>
    <x v="1"/>
    <s v="26"/>
    <x v="4"/>
    <x v="5"/>
    <x v="0"/>
    <s v="Real"/>
    <s v="Entrepreneur"/>
    <s v="Product development"/>
    <x v="0"/>
    <x v="0"/>
    <x v="1"/>
    <s v="F11.01.03"/>
    <n v="1"/>
    <s v="menganalisis kelas sosial masyarakat"/>
    <s v="01.03"/>
    <x v="18"/>
    <s v="K11"/>
    <s v="F"/>
    <n v="65"/>
    <n v="80"/>
    <s v="Tuntas"/>
    <s v="Pendidikan Pancasila"/>
    <x v="0"/>
    <x v="10"/>
    <n v="80"/>
    <x v="2"/>
    <n v="11"/>
    <x v="0"/>
    <x v="4"/>
    <x v="4"/>
  </r>
  <r>
    <n v="1016"/>
    <s v="242510004"/>
    <x v="0"/>
    <x v="8"/>
    <s v="Inta jaya"/>
    <d v="2026-02-02T00:00:00"/>
    <s v="02"/>
    <x v="1"/>
    <s v="26"/>
    <x v="1"/>
    <x v="9"/>
    <x v="6"/>
    <s v="Real"/>
    <s v="Entrepreneur"/>
    <s v="Product development"/>
    <x v="0"/>
    <x v="0"/>
    <x v="1"/>
    <s v="F11.01.03"/>
    <n v="1"/>
    <s v="menganalisis kelas sosial masyarakat"/>
    <s v="01.03"/>
    <x v="18"/>
    <s v="K11"/>
    <s v="F"/>
    <n v="65"/>
    <n v="78"/>
    <s v="Tuntas"/>
    <s v="Pendidikan Pancasila"/>
    <x v="0"/>
    <x v="10"/>
    <n v="78"/>
    <x v="1"/>
    <n v="11"/>
    <x v="0"/>
    <x v="4"/>
    <x v="4"/>
  </r>
  <r>
    <n v="1017"/>
    <s v="242510004"/>
    <x v="0"/>
    <x v="8"/>
    <s v="Inta jaya"/>
    <d v="2026-02-02T00:00:00"/>
    <s v="02"/>
    <x v="1"/>
    <s v="26"/>
    <x v="2"/>
    <x v="6"/>
    <x v="6"/>
    <s v="Real"/>
    <s v="Entrepreneur"/>
    <s v="Product development"/>
    <x v="0"/>
    <x v="0"/>
    <x v="1"/>
    <s v="F11.01.03"/>
    <n v="1"/>
    <s v="menganalisis kelas sosial masyarakat"/>
    <s v="01.03"/>
    <x v="18"/>
    <s v="K11"/>
    <s v="F"/>
    <n v="65"/>
    <n v="87"/>
    <s v="Tuntas"/>
    <s v="Pendidikan Pancasila"/>
    <x v="0"/>
    <x v="10"/>
    <n v="87"/>
    <x v="2"/>
    <n v="11"/>
    <x v="0"/>
    <x v="4"/>
    <x v="4"/>
  </r>
  <r>
    <n v="1018"/>
    <s v="242510004"/>
    <x v="0"/>
    <x v="8"/>
    <s v="Inta jaya"/>
    <d v="2026-02-02T00:00:00"/>
    <s v="02"/>
    <x v="1"/>
    <s v="26"/>
    <x v="0"/>
    <x v="0"/>
    <x v="9"/>
    <s v="Real"/>
    <s v="Entrepreneur"/>
    <s v="Product development"/>
    <x v="0"/>
    <x v="0"/>
    <x v="1"/>
    <s v="F11.01.03"/>
    <n v="1"/>
    <s v="menganalisis kelas sosial masyarakat"/>
    <s v="01.03"/>
    <x v="18"/>
    <s v="K11"/>
    <s v="F"/>
    <n v="65"/>
    <n v="87"/>
    <s v="Tuntas"/>
    <s v="Pendidikan Pancasila"/>
    <x v="0"/>
    <x v="10"/>
    <n v="87"/>
    <x v="2"/>
    <n v="11"/>
    <x v="0"/>
    <x v="4"/>
    <x v="4"/>
  </r>
  <r>
    <n v="1019"/>
    <s v="242510004"/>
    <x v="0"/>
    <x v="8"/>
    <s v="Inta jaya"/>
    <d v="2026-02-09T00:00:00"/>
    <s v="09"/>
    <x v="1"/>
    <s v="26"/>
    <x v="0"/>
    <x v="2"/>
    <x v="17"/>
    <s v="Real"/>
    <s v="Entrepreneur"/>
    <s v="Product development"/>
    <x v="0"/>
    <x v="0"/>
    <x v="1"/>
    <s v="F11.01.01"/>
    <n v="1"/>
    <s v="menganalisis kelas sosial masyarakat"/>
    <s v="01.01"/>
    <x v="16"/>
    <s v="K11"/>
    <s v="F"/>
    <n v="65"/>
    <n v="80"/>
    <s v="Tuntas"/>
    <s v="Pendidikan Pancasila"/>
    <x v="0"/>
    <x v="10"/>
    <n v="80"/>
    <x v="2"/>
    <n v="11"/>
    <x v="0"/>
    <x v="5"/>
    <x v="4"/>
  </r>
  <r>
    <n v="1020"/>
    <s v="242510004"/>
    <x v="0"/>
    <x v="8"/>
    <s v="Inta jaya"/>
    <d v="2026-02-09T00:00:00"/>
    <s v="09"/>
    <x v="1"/>
    <s v="26"/>
    <x v="0"/>
    <x v="2"/>
    <x v="17"/>
    <s v="Real"/>
    <s v="Entrepreneur"/>
    <s v="Product development"/>
    <x v="0"/>
    <x v="0"/>
    <x v="1"/>
    <s v="F11.01.02"/>
    <n v="1"/>
    <s v="menganalisis kelas sosial masyarakat"/>
    <s v="01.02"/>
    <x v="17"/>
    <s v="K11"/>
    <s v="F"/>
    <n v="65"/>
    <n v="85"/>
    <s v="Tuntas"/>
    <s v="Pendidikan Pancasila"/>
    <x v="0"/>
    <x v="10"/>
    <n v="85"/>
    <x v="2"/>
    <n v="11"/>
    <x v="0"/>
    <x v="5"/>
    <x v="4"/>
  </r>
  <r>
    <n v="1021"/>
    <s v="242510004"/>
    <x v="0"/>
    <x v="8"/>
    <s v="Inta jaya"/>
    <d v="2026-02-06T00:00:00"/>
    <s v="06"/>
    <x v="1"/>
    <s v="26"/>
    <x v="1"/>
    <x v="13"/>
    <x v="6"/>
    <s v="Real"/>
    <s v="Entrepreneur"/>
    <s v="Product development"/>
    <x v="0"/>
    <x v="0"/>
    <x v="1"/>
    <s v="F11.01.03"/>
    <n v="1"/>
    <s v="menganalisis kelas sosial masyarakat"/>
    <s v="01.03"/>
    <x v="18"/>
    <s v="K11"/>
    <s v="F"/>
    <n v="65"/>
    <n v="78"/>
    <s v="Tuntas"/>
    <s v="Pendidikan Pancasila"/>
    <x v="0"/>
    <x v="10"/>
    <n v="78"/>
    <x v="1"/>
    <n v="11"/>
    <x v="0"/>
    <x v="4"/>
    <x v="4"/>
  </r>
  <r>
    <n v="1022"/>
    <s v="242510004"/>
    <x v="0"/>
    <x v="8"/>
    <s v="Inta jaya"/>
    <d v="2026-02-06T00:00:00"/>
    <s v="06"/>
    <x v="1"/>
    <s v="26"/>
    <x v="0"/>
    <x v="0"/>
    <x v="6"/>
    <s v="Real"/>
    <s v="Entrepreneur"/>
    <s v="Product development"/>
    <x v="0"/>
    <x v="0"/>
    <x v="1"/>
    <s v="F11.01.03"/>
    <n v="1"/>
    <s v="menganalisis kelas sosial masyarakat"/>
    <s v="01.03"/>
    <x v="18"/>
    <s v="K11"/>
    <s v="F"/>
    <n v="65"/>
    <n v="80"/>
    <s v="Tuntas"/>
    <s v="Pendidikan Pancasila"/>
    <x v="0"/>
    <x v="10"/>
    <n v="80"/>
    <x v="2"/>
    <n v="11"/>
    <x v="0"/>
    <x v="4"/>
    <x v="4"/>
  </r>
  <r>
    <n v="1023"/>
    <s v="242510010"/>
    <x v="0"/>
    <x v="2"/>
    <s v="Intan Jaya"/>
    <d v="2026-01-12T00:00:00"/>
    <s v="12"/>
    <x v="0"/>
    <s v="26"/>
    <x v="3"/>
    <x v="4"/>
    <x v="15"/>
    <s v="Real"/>
    <s v="Entrepreneur"/>
    <s v="Product development"/>
    <x v="0"/>
    <x v="0"/>
    <x v="1"/>
    <s v="F11.01.01"/>
    <n v="1"/>
    <s v="menganalisis kelas sosial masyarakat"/>
    <s v="01.01"/>
    <x v="16"/>
    <s v="K11"/>
    <s v="F"/>
    <n v="65"/>
    <n v="78"/>
    <s v="Tuntas"/>
    <s v="Pendidikan Pancasila"/>
    <x v="0"/>
    <x v="10"/>
    <n v="78"/>
    <x v="1"/>
    <n v="11"/>
    <x v="1"/>
    <x v="1"/>
    <x v="2"/>
  </r>
  <r>
    <n v="1024"/>
    <s v="242510010"/>
    <x v="0"/>
    <x v="2"/>
    <s v="Intan Jaya"/>
    <d v="2026-01-12T00:00:00"/>
    <s v="12"/>
    <x v="0"/>
    <s v="26"/>
    <x v="0"/>
    <x v="0"/>
    <x v="2"/>
    <s v="Real"/>
    <s v="Entrepreneur"/>
    <s v="Product development"/>
    <x v="0"/>
    <x v="0"/>
    <x v="1"/>
    <s v="F11.01.01"/>
    <n v="1"/>
    <s v="menganalisis kelas sosial masyarakat"/>
    <s v="01.01"/>
    <x v="16"/>
    <s v="K11"/>
    <s v="F"/>
    <n v="65"/>
    <n v="77"/>
    <s v="Tuntas"/>
    <s v="Pendidikan Pancasila"/>
    <x v="0"/>
    <x v="10"/>
    <n v="77"/>
    <x v="1"/>
    <n v="11"/>
    <x v="0"/>
    <x v="1"/>
    <x v="2"/>
  </r>
  <r>
    <n v="1025"/>
    <s v="242510010"/>
    <x v="0"/>
    <x v="2"/>
    <s v="Intan Jaya"/>
    <d v="2026-01-12T00:00:00"/>
    <s v="12"/>
    <x v="0"/>
    <s v="26"/>
    <x v="2"/>
    <x v="3"/>
    <x v="2"/>
    <s v="Real"/>
    <s v="Entrepreneur"/>
    <s v="Product development"/>
    <x v="0"/>
    <x v="0"/>
    <x v="1"/>
    <s v="F11.01.01"/>
    <n v="1"/>
    <s v="menganalisis kelas sosial masyarakat"/>
    <s v="01.01"/>
    <x v="16"/>
    <s v="K11"/>
    <s v="F"/>
    <n v="65"/>
    <n v="74"/>
    <s v="Tuntas"/>
    <s v="Pendidikan Pancasila"/>
    <x v="0"/>
    <x v="10"/>
    <n v="74"/>
    <x v="1"/>
    <n v="11"/>
    <x v="0"/>
    <x v="1"/>
    <x v="2"/>
  </r>
  <r>
    <n v="1026"/>
    <s v="242510010"/>
    <x v="0"/>
    <x v="2"/>
    <s v="Intan Jaya"/>
    <d v="2026-01-12T00:00:00"/>
    <s v="12"/>
    <x v="0"/>
    <s v="26"/>
    <x v="4"/>
    <x v="5"/>
    <x v="0"/>
    <s v="Real"/>
    <s v="Entrepreneur"/>
    <s v="Product development"/>
    <x v="0"/>
    <x v="0"/>
    <x v="1"/>
    <s v="F11.01.01"/>
    <n v="1"/>
    <s v="menganalisis kelas sosial masyarakat"/>
    <s v="01.01"/>
    <x v="16"/>
    <s v="K11"/>
    <s v="F"/>
    <n v="65"/>
    <n v="67"/>
    <s v="Tuntas"/>
    <s v="Pendidikan Pancasila"/>
    <x v="0"/>
    <x v="10"/>
    <n v="67"/>
    <x v="1"/>
    <n v="11"/>
    <x v="0"/>
    <x v="1"/>
    <x v="2"/>
  </r>
  <r>
    <n v="1027"/>
    <s v="242510010"/>
    <x v="0"/>
    <x v="2"/>
    <s v="Intan Jaya"/>
    <d v="2026-01-26T00:00:00"/>
    <s v="26"/>
    <x v="0"/>
    <s v="26"/>
    <x v="0"/>
    <x v="0"/>
    <x v="6"/>
    <s v="Real"/>
    <s v="Entrepreneur"/>
    <s v="Product development"/>
    <x v="0"/>
    <x v="0"/>
    <x v="1"/>
    <s v="F11.01.02"/>
    <n v="1"/>
    <s v="menganalisis kelas sosial masyarakat"/>
    <s v="01.02"/>
    <x v="17"/>
    <s v="K11"/>
    <s v="F"/>
    <n v="65"/>
    <n v="70"/>
    <s v="Tuntas"/>
    <s v="Pendidikan Pancasila"/>
    <x v="0"/>
    <x v="10"/>
    <n v="70"/>
    <x v="1"/>
    <n v="11"/>
    <x v="0"/>
    <x v="3"/>
    <x v="2"/>
  </r>
  <r>
    <n v="1028"/>
    <s v="242510010"/>
    <x v="0"/>
    <x v="2"/>
    <s v="Intan Jaya"/>
    <d v="2026-01-26T00:00:00"/>
    <s v="26"/>
    <x v="0"/>
    <s v="26"/>
    <x v="2"/>
    <x v="6"/>
    <x v="6"/>
    <s v="Real"/>
    <s v="Entrepreneur"/>
    <s v="Product development"/>
    <x v="0"/>
    <x v="0"/>
    <x v="1"/>
    <s v="F11.01.02"/>
    <n v="1"/>
    <s v="menganalisis kelas sosial masyarakat"/>
    <s v="01.02"/>
    <x v="17"/>
    <s v="K11"/>
    <s v="F"/>
    <n v="65"/>
    <n v="68"/>
    <s v="Tuntas"/>
    <s v="Pendidikan Pancasila"/>
    <x v="0"/>
    <x v="10"/>
    <n v="68"/>
    <x v="1"/>
    <n v="11"/>
    <x v="0"/>
    <x v="3"/>
    <x v="2"/>
  </r>
  <r>
    <n v="1029"/>
    <s v="242510010"/>
    <x v="0"/>
    <x v="2"/>
    <s v="Intan Jaya"/>
    <d v="2026-01-26T00:00:00"/>
    <s v="26"/>
    <x v="0"/>
    <s v="26"/>
    <x v="3"/>
    <x v="8"/>
    <x v="10"/>
    <s v="Real"/>
    <s v="Entrepreneur"/>
    <s v="Product development"/>
    <x v="0"/>
    <x v="0"/>
    <x v="1"/>
    <s v="F11.01.02"/>
    <n v="1"/>
    <s v="menganalisis kelas sosial masyarakat"/>
    <s v="01.02"/>
    <x v="17"/>
    <s v="K11"/>
    <s v="F"/>
    <n v="65"/>
    <n v="74"/>
    <s v="Tuntas"/>
    <s v="Pendidikan Pancasila"/>
    <x v="0"/>
    <x v="10"/>
    <n v="74"/>
    <x v="1"/>
    <n v="11"/>
    <x v="1"/>
    <x v="3"/>
    <x v="2"/>
  </r>
  <r>
    <n v="1030"/>
    <s v="242510010"/>
    <x v="0"/>
    <x v="2"/>
    <s v="Intan Jaya"/>
    <d v="2026-01-26T00:00:00"/>
    <s v="26"/>
    <x v="0"/>
    <s v="26"/>
    <x v="4"/>
    <x v="5"/>
    <x v="0"/>
    <s v="Real"/>
    <s v="Entrepreneur"/>
    <s v="Product development"/>
    <x v="0"/>
    <x v="0"/>
    <x v="1"/>
    <s v="F11.01.02"/>
    <n v="1"/>
    <s v="menganalisis kelas sosial masyarakat"/>
    <s v="01.02"/>
    <x v="17"/>
    <s v="K11"/>
    <s v="F"/>
    <n v="65"/>
    <n v="68"/>
    <s v="Tuntas"/>
    <s v="Pendidikan Pancasila"/>
    <x v="0"/>
    <x v="10"/>
    <n v="68"/>
    <x v="1"/>
    <n v="11"/>
    <x v="0"/>
    <x v="3"/>
    <x v="2"/>
  </r>
  <r>
    <n v="1031"/>
    <s v="242510010"/>
    <x v="0"/>
    <x v="2"/>
    <s v="Intan Jaya"/>
    <d v="2026-02-02T00:00:00"/>
    <s v="02"/>
    <x v="1"/>
    <s v="26"/>
    <x v="3"/>
    <x v="8"/>
    <x v="16"/>
    <s v="Real"/>
    <s v="Entrepreneur"/>
    <s v="Product development"/>
    <x v="0"/>
    <x v="0"/>
    <x v="1"/>
    <s v="F11.01.03"/>
    <n v="1"/>
    <s v="menganalisis kelas sosial masyarakat"/>
    <s v="01.03"/>
    <x v="18"/>
    <s v="K11"/>
    <s v="F"/>
    <n v="65"/>
    <n v="77"/>
    <s v="Tuntas"/>
    <s v="Pendidikan Pancasila"/>
    <x v="0"/>
    <x v="10"/>
    <n v="77"/>
    <x v="1"/>
    <n v="11"/>
    <x v="1"/>
    <x v="4"/>
    <x v="2"/>
  </r>
  <r>
    <n v="1032"/>
    <s v="242510010"/>
    <x v="0"/>
    <x v="2"/>
    <s v="Intan Jaya"/>
    <d v="2026-02-02T00:00:00"/>
    <s v="02"/>
    <x v="1"/>
    <s v="26"/>
    <x v="4"/>
    <x v="5"/>
    <x v="0"/>
    <s v="Real"/>
    <s v="Entrepreneur"/>
    <s v="Product development"/>
    <x v="0"/>
    <x v="0"/>
    <x v="1"/>
    <s v="F11.01.03"/>
    <n v="1"/>
    <s v="menganalisis kelas sosial masyarakat"/>
    <s v="01.03"/>
    <x v="18"/>
    <s v="K11"/>
    <s v="F"/>
    <n v="65"/>
    <n v="77"/>
    <s v="Tuntas"/>
    <s v="Pendidikan Pancasila"/>
    <x v="0"/>
    <x v="10"/>
    <n v="77"/>
    <x v="1"/>
    <n v="11"/>
    <x v="0"/>
    <x v="4"/>
    <x v="2"/>
  </r>
  <r>
    <n v="1033"/>
    <s v="242510010"/>
    <x v="0"/>
    <x v="2"/>
    <s v="Intan Jaya"/>
    <d v="2026-02-02T00:00:00"/>
    <s v="02"/>
    <x v="1"/>
    <s v="26"/>
    <x v="1"/>
    <x v="9"/>
    <x v="6"/>
    <s v="Real"/>
    <s v="Entrepreneur"/>
    <s v="Product development"/>
    <x v="0"/>
    <x v="0"/>
    <x v="1"/>
    <s v="F11.01.03"/>
    <n v="1"/>
    <s v="menganalisis kelas sosial masyarakat"/>
    <s v="01.03"/>
    <x v="18"/>
    <s v="K11"/>
    <s v="F"/>
    <n v="65"/>
    <n v="70"/>
    <s v="Tuntas"/>
    <s v="Pendidikan Pancasila"/>
    <x v="0"/>
    <x v="10"/>
    <n v="70"/>
    <x v="1"/>
    <n v="11"/>
    <x v="0"/>
    <x v="4"/>
    <x v="2"/>
  </r>
  <r>
    <n v="1034"/>
    <s v="242510010"/>
    <x v="0"/>
    <x v="2"/>
    <s v="Intan Jaya"/>
    <d v="2026-02-02T00:00:00"/>
    <s v="02"/>
    <x v="1"/>
    <s v="26"/>
    <x v="2"/>
    <x v="6"/>
    <x v="6"/>
    <s v="Real"/>
    <s v="Entrepreneur"/>
    <s v="Product development"/>
    <x v="0"/>
    <x v="0"/>
    <x v="1"/>
    <s v="F11.01.03"/>
    <n v="1"/>
    <s v="menganalisis kelas sosial masyarakat"/>
    <s v="01.03"/>
    <x v="18"/>
    <s v="K11"/>
    <s v="F"/>
    <n v="65"/>
    <n v="70"/>
    <s v="Tuntas"/>
    <s v="Pendidikan Pancasila"/>
    <x v="0"/>
    <x v="10"/>
    <n v="70"/>
    <x v="1"/>
    <n v="11"/>
    <x v="0"/>
    <x v="4"/>
    <x v="2"/>
  </r>
  <r>
    <n v="1035"/>
    <s v="242510010"/>
    <x v="0"/>
    <x v="2"/>
    <s v="Intan Jaya"/>
    <d v="2026-02-02T00:00:00"/>
    <s v="02"/>
    <x v="1"/>
    <s v="26"/>
    <x v="0"/>
    <x v="0"/>
    <x v="9"/>
    <s v="Real"/>
    <s v="Entrepreneur"/>
    <s v="Product development"/>
    <x v="0"/>
    <x v="0"/>
    <x v="1"/>
    <s v="F11.01.03"/>
    <n v="1"/>
    <s v="menganalisis kelas sosial masyarakat"/>
    <s v="01.03"/>
    <x v="18"/>
    <s v="K11"/>
    <s v="F"/>
    <n v="65"/>
    <n v="73"/>
    <s v="Tuntas"/>
    <s v="Pendidikan Pancasila"/>
    <x v="0"/>
    <x v="10"/>
    <n v="73"/>
    <x v="1"/>
    <n v="11"/>
    <x v="0"/>
    <x v="4"/>
    <x v="2"/>
  </r>
  <r>
    <n v="1036"/>
    <s v="242510010"/>
    <x v="0"/>
    <x v="2"/>
    <s v="Intan Jaya"/>
    <d v="2026-02-09T00:00:00"/>
    <s v="09"/>
    <x v="1"/>
    <s v="26"/>
    <x v="0"/>
    <x v="2"/>
    <x v="17"/>
    <s v="Real"/>
    <s v="Entrepreneur"/>
    <s v="Product development"/>
    <x v="0"/>
    <x v="0"/>
    <x v="1"/>
    <s v="F11.01.01"/>
    <n v="1"/>
    <s v="menganalisis kelas sosial masyarakat"/>
    <s v="01.01"/>
    <x v="16"/>
    <s v="K11"/>
    <s v="F"/>
    <n v="65"/>
    <n v="65"/>
    <s v="Tuntas"/>
    <s v="Pendidikan Pancasila"/>
    <x v="0"/>
    <x v="10"/>
    <n v="65"/>
    <x v="1"/>
    <n v="11"/>
    <x v="0"/>
    <x v="5"/>
    <x v="2"/>
  </r>
  <r>
    <n v="1037"/>
    <s v="242510010"/>
    <x v="0"/>
    <x v="2"/>
    <s v="Intan Jaya"/>
    <d v="2026-02-09T00:00:00"/>
    <s v="09"/>
    <x v="1"/>
    <s v="26"/>
    <x v="0"/>
    <x v="2"/>
    <x v="17"/>
    <s v="Real"/>
    <s v="Entrepreneur"/>
    <s v="Product development"/>
    <x v="0"/>
    <x v="0"/>
    <x v="1"/>
    <s v="F11.01.02"/>
    <n v="1"/>
    <s v="menganalisis kelas sosial masyarakat"/>
    <s v="01.02"/>
    <x v="17"/>
    <s v="K11"/>
    <s v="F"/>
    <n v="65"/>
    <n v="70"/>
    <s v="Tuntas"/>
    <s v="Pendidikan Pancasila"/>
    <x v="0"/>
    <x v="10"/>
    <n v="70"/>
    <x v="1"/>
    <n v="11"/>
    <x v="0"/>
    <x v="5"/>
    <x v="2"/>
  </r>
  <r>
    <n v="1038"/>
    <s v="242510010"/>
    <x v="0"/>
    <x v="2"/>
    <s v="Intan Jaya"/>
    <d v="2026-02-06T00:00:00"/>
    <s v="06"/>
    <x v="1"/>
    <s v="26"/>
    <x v="1"/>
    <x v="13"/>
    <x v="6"/>
    <s v="Real"/>
    <s v="Entrepreneur"/>
    <s v="Product development"/>
    <x v="0"/>
    <x v="0"/>
    <x v="1"/>
    <s v="F11.01.03"/>
    <n v="1"/>
    <s v="menganalisis kelas sosial masyarakat"/>
    <s v="01.03"/>
    <x v="18"/>
    <s v="K11"/>
    <s v="F"/>
    <n v="65"/>
    <n v="70"/>
    <s v="Tuntas"/>
    <s v="Pendidikan Pancasila"/>
    <x v="0"/>
    <x v="10"/>
    <n v="70"/>
    <x v="1"/>
    <n v="11"/>
    <x v="0"/>
    <x v="4"/>
    <x v="2"/>
  </r>
  <r>
    <n v="1039"/>
    <s v="242510010"/>
    <x v="0"/>
    <x v="2"/>
    <s v="Intan Jaya"/>
    <d v="2026-02-06T00:00:00"/>
    <s v="06"/>
    <x v="1"/>
    <s v="26"/>
    <x v="0"/>
    <x v="0"/>
    <x v="6"/>
    <s v="Real"/>
    <s v="Entrepreneur"/>
    <s v="Product development"/>
    <x v="0"/>
    <x v="0"/>
    <x v="1"/>
    <s v="F11.01.03"/>
    <n v="1"/>
    <s v="menganalisis kelas sosial masyarakat"/>
    <s v="01.03"/>
    <x v="18"/>
    <s v="K11"/>
    <s v="F"/>
    <n v="65"/>
    <n v="70"/>
    <s v="Tuntas"/>
    <s v="Pendidikan Pancasila"/>
    <x v="0"/>
    <x v="10"/>
    <n v="70"/>
    <x v="1"/>
    <n v="11"/>
    <x v="0"/>
    <x v="4"/>
    <x v="2"/>
  </r>
  <r>
    <n v="1040"/>
    <s v="242510002"/>
    <x v="0"/>
    <x v="3"/>
    <s v="Intan Jaya"/>
    <d v="2026-01-12T00:00:00"/>
    <s v="12"/>
    <x v="0"/>
    <s v="26"/>
    <x v="3"/>
    <x v="4"/>
    <x v="15"/>
    <s v="Real"/>
    <s v="Entrepreneur"/>
    <s v="Product development"/>
    <x v="0"/>
    <x v="0"/>
    <x v="1"/>
    <s v="F11.01.01"/>
    <n v="1"/>
    <s v="menganalisis kelas sosial masyarakat"/>
    <s v="01.01"/>
    <x v="16"/>
    <s v="K11"/>
    <s v="F"/>
    <n v="65"/>
    <n v="70"/>
    <s v="Tuntas"/>
    <s v="Pendidikan Pancasila"/>
    <x v="0"/>
    <x v="10"/>
    <n v="70"/>
    <x v="1"/>
    <n v="11"/>
    <x v="1"/>
    <x v="1"/>
    <x v="1"/>
  </r>
  <r>
    <n v="1041"/>
    <s v="242510002"/>
    <x v="0"/>
    <x v="3"/>
    <s v="Intan Jaya"/>
    <d v="2026-01-12T00:00:00"/>
    <s v="12"/>
    <x v="0"/>
    <s v="26"/>
    <x v="0"/>
    <x v="0"/>
    <x v="2"/>
    <s v="Real"/>
    <s v="Entrepreneur"/>
    <s v="Product development"/>
    <x v="0"/>
    <x v="0"/>
    <x v="1"/>
    <s v="F11.01.01"/>
    <n v="1"/>
    <s v="menganalisis kelas sosial masyarakat"/>
    <s v="01.01"/>
    <x v="16"/>
    <s v="K11"/>
    <s v="F"/>
    <n v="65"/>
    <n v="68"/>
    <s v="Tuntas"/>
    <s v="Pendidikan Pancasila"/>
    <x v="0"/>
    <x v="10"/>
    <n v="68"/>
    <x v="1"/>
    <n v="11"/>
    <x v="0"/>
    <x v="1"/>
    <x v="1"/>
  </r>
  <r>
    <n v="1042"/>
    <s v="242510002"/>
    <x v="0"/>
    <x v="3"/>
    <s v="Intan Jaya"/>
    <d v="2026-01-12T00:00:00"/>
    <s v="12"/>
    <x v="0"/>
    <s v="26"/>
    <x v="2"/>
    <x v="3"/>
    <x v="2"/>
    <s v="Real"/>
    <s v="Entrepreneur"/>
    <s v="Product development"/>
    <x v="0"/>
    <x v="0"/>
    <x v="1"/>
    <s v="F11.01.01"/>
    <n v="1"/>
    <s v="menganalisis kelas sosial masyarakat"/>
    <s v="01.01"/>
    <x v="16"/>
    <s v="K11"/>
    <s v="F"/>
    <n v="65"/>
    <n v="65"/>
    <s v="Tuntas"/>
    <s v="Pendidikan Pancasila"/>
    <x v="0"/>
    <x v="10"/>
    <n v="65"/>
    <x v="1"/>
    <n v="11"/>
    <x v="0"/>
    <x v="1"/>
    <x v="1"/>
  </r>
  <r>
    <n v="1043"/>
    <s v="242510002"/>
    <x v="0"/>
    <x v="3"/>
    <s v="Intan Jaya"/>
    <d v="2026-01-12T00:00:00"/>
    <s v="12"/>
    <x v="0"/>
    <s v="26"/>
    <x v="4"/>
    <x v="5"/>
    <x v="0"/>
    <s v="Real"/>
    <s v="Entrepreneur"/>
    <s v="Product development"/>
    <x v="0"/>
    <x v="0"/>
    <x v="1"/>
    <s v="F11.01.01"/>
    <n v="1"/>
    <s v="menganalisis kelas sosial masyarakat"/>
    <s v="01.01"/>
    <x v="16"/>
    <s v="K11"/>
    <s v="F"/>
    <n v="65"/>
    <n v="70"/>
    <s v="Tuntas"/>
    <s v="Pendidikan Pancasila"/>
    <x v="0"/>
    <x v="10"/>
    <n v="70"/>
    <x v="1"/>
    <n v="11"/>
    <x v="0"/>
    <x v="1"/>
    <x v="1"/>
  </r>
  <r>
    <n v="1044"/>
    <s v="242510002"/>
    <x v="0"/>
    <x v="3"/>
    <s v="Intan Jaya"/>
    <d v="2026-01-26T00:00:00"/>
    <s v="26"/>
    <x v="0"/>
    <s v="26"/>
    <x v="0"/>
    <x v="0"/>
    <x v="6"/>
    <s v="Real"/>
    <s v="Entrepreneur"/>
    <s v="Product development"/>
    <x v="0"/>
    <x v="0"/>
    <x v="1"/>
    <s v="F11.01.02"/>
    <n v="1"/>
    <s v="menganalisis kelas sosial masyarakat"/>
    <s v="01.02"/>
    <x v="17"/>
    <s v="K11"/>
    <s v="F"/>
    <n v="65"/>
    <n v="0"/>
    <s v="Tidak tuntas"/>
    <s v="Pendidikan Pancasila"/>
    <x v="0"/>
    <x v="0"/>
    <s v=""/>
    <x v="0"/>
    <s v=""/>
    <x v="0"/>
    <x v="0"/>
    <x v="0"/>
  </r>
  <r>
    <n v="1045"/>
    <s v="242510002"/>
    <x v="0"/>
    <x v="3"/>
    <s v="Intan Jaya"/>
    <d v="2026-01-26T00:00:00"/>
    <s v="26"/>
    <x v="0"/>
    <s v="26"/>
    <x v="2"/>
    <x v="6"/>
    <x v="6"/>
    <s v="Real"/>
    <s v="Entrepreneur"/>
    <s v="Product development"/>
    <x v="0"/>
    <x v="0"/>
    <x v="1"/>
    <s v="F11.01.02"/>
    <n v="1"/>
    <s v="menganalisis kelas sosial masyarakat"/>
    <s v="01.02"/>
    <x v="17"/>
    <s v="K11"/>
    <s v="F"/>
    <n v="65"/>
    <n v="0"/>
    <s v="Tidak tuntas"/>
    <s v="Pendidikan Pancasila"/>
    <x v="0"/>
    <x v="0"/>
    <s v=""/>
    <x v="0"/>
    <s v=""/>
    <x v="0"/>
    <x v="0"/>
    <x v="0"/>
  </r>
  <r>
    <n v="1046"/>
    <s v="242510002"/>
    <x v="0"/>
    <x v="3"/>
    <s v="Intan Jaya"/>
    <d v="2026-01-26T00:00:00"/>
    <s v="26"/>
    <x v="0"/>
    <s v="26"/>
    <x v="3"/>
    <x v="8"/>
    <x v="10"/>
    <s v="Real"/>
    <s v="Entrepreneur"/>
    <s v="Product development"/>
    <x v="0"/>
    <x v="0"/>
    <x v="1"/>
    <s v="F11.01.02"/>
    <n v="1"/>
    <s v="menganalisis kelas sosial masyarakat"/>
    <s v="01.02"/>
    <x v="17"/>
    <s v="K11"/>
    <s v="F"/>
    <n v="65"/>
    <n v="0"/>
    <s v="Tidak tuntas"/>
    <s v="Pendidikan Pancasila"/>
    <x v="0"/>
    <x v="0"/>
    <s v=""/>
    <x v="0"/>
    <s v=""/>
    <x v="0"/>
    <x v="0"/>
    <x v="0"/>
  </r>
  <r>
    <n v="1047"/>
    <s v="242510002"/>
    <x v="0"/>
    <x v="3"/>
    <s v="Intan Jaya"/>
    <d v="2026-01-26T00:00:00"/>
    <s v="26"/>
    <x v="0"/>
    <s v="26"/>
    <x v="4"/>
    <x v="5"/>
    <x v="0"/>
    <s v="Real"/>
    <s v="Entrepreneur"/>
    <s v="Product development"/>
    <x v="0"/>
    <x v="0"/>
    <x v="1"/>
    <s v="F11.01.02"/>
    <n v="1"/>
    <s v="menganalisis kelas sosial masyarakat"/>
    <s v="01.02"/>
    <x v="17"/>
    <s v="K11"/>
    <s v="F"/>
    <n v="65"/>
    <n v="0"/>
    <s v="Tidak tuntas"/>
    <s v="Pendidikan Pancasila"/>
    <x v="0"/>
    <x v="0"/>
    <s v=""/>
    <x v="0"/>
    <s v=""/>
    <x v="0"/>
    <x v="0"/>
    <x v="0"/>
  </r>
  <r>
    <n v="1048"/>
    <s v="242510002"/>
    <x v="0"/>
    <x v="3"/>
    <s v="Intan Jaya"/>
    <d v="2026-02-02T00:00:00"/>
    <s v="02"/>
    <x v="1"/>
    <s v="26"/>
    <x v="3"/>
    <x v="8"/>
    <x v="16"/>
    <s v="Real"/>
    <s v="Entrepreneur"/>
    <s v="Product development"/>
    <x v="0"/>
    <x v="0"/>
    <x v="1"/>
    <s v="F11.01.03"/>
    <n v="1"/>
    <s v="menganalisis kelas sosial masyarakat"/>
    <s v="01.03"/>
    <x v="18"/>
    <s v="K11"/>
    <s v="F"/>
    <n v="65"/>
    <n v="70"/>
    <s v="Tuntas"/>
    <s v="Pendidikan Pancasila"/>
    <x v="0"/>
    <x v="10"/>
    <n v="70"/>
    <x v="1"/>
    <n v="11"/>
    <x v="1"/>
    <x v="4"/>
    <x v="1"/>
  </r>
  <r>
    <n v="1049"/>
    <s v="242510002"/>
    <x v="0"/>
    <x v="3"/>
    <s v="Intan Jaya"/>
    <d v="2026-02-02T00:00:00"/>
    <s v="02"/>
    <x v="1"/>
    <s v="26"/>
    <x v="4"/>
    <x v="5"/>
    <x v="0"/>
    <s v="Real"/>
    <s v="Entrepreneur"/>
    <s v="Product development"/>
    <x v="0"/>
    <x v="0"/>
    <x v="1"/>
    <s v="F11.01.03"/>
    <n v="1"/>
    <s v="menganalisis kelas sosial masyarakat"/>
    <s v="01.03"/>
    <x v="18"/>
    <s v="K11"/>
    <s v="F"/>
    <n v="65"/>
    <n v="70"/>
    <s v="Tuntas"/>
    <s v="Pendidikan Pancasila"/>
    <x v="0"/>
    <x v="10"/>
    <n v="70"/>
    <x v="1"/>
    <n v="11"/>
    <x v="0"/>
    <x v="4"/>
    <x v="1"/>
  </r>
  <r>
    <n v="1050"/>
    <s v="242510002"/>
    <x v="0"/>
    <x v="3"/>
    <s v="Intan Jaya"/>
    <d v="2026-02-02T00:00:00"/>
    <s v="02"/>
    <x v="1"/>
    <s v="26"/>
    <x v="1"/>
    <x v="9"/>
    <x v="6"/>
    <s v="Real"/>
    <s v="Entrepreneur"/>
    <s v="Product development"/>
    <x v="0"/>
    <x v="0"/>
    <x v="1"/>
    <s v="F11.01.03"/>
    <n v="1"/>
    <s v="menganalisis kelas sosial masyarakat"/>
    <s v="01.03"/>
    <x v="18"/>
    <s v="K11"/>
    <s v="F"/>
    <n v="65"/>
    <n v="70"/>
    <s v="Tuntas"/>
    <s v="Pendidikan Pancasila"/>
    <x v="0"/>
    <x v="10"/>
    <n v="70"/>
    <x v="1"/>
    <n v="11"/>
    <x v="0"/>
    <x v="4"/>
    <x v="1"/>
  </r>
  <r>
    <n v="1051"/>
    <s v="242510002"/>
    <x v="0"/>
    <x v="3"/>
    <s v="Intan Jaya"/>
    <d v="2026-02-02T00:00:00"/>
    <s v="02"/>
    <x v="1"/>
    <s v="26"/>
    <x v="2"/>
    <x v="6"/>
    <x v="6"/>
    <s v="Real"/>
    <s v="Entrepreneur"/>
    <s v="Product development"/>
    <x v="0"/>
    <x v="0"/>
    <x v="1"/>
    <s v="F11.01.03"/>
    <n v="1"/>
    <s v="menganalisis kelas sosial masyarakat"/>
    <s v="01.03"/>
    <x v="18"/>
    <s v="K11"/>
    <s v="F"/>
    <n v="65"/>
    <n v="70"/>
    <s v="Tuntas"/>
    <s v="Pendidikan Pancasila"/>
    <x v="0"/>
    <x v="10"/>
    <n v="70"/>
    <x v="1"/>
    <n v="11"/>
    <x v="0"/>
    <x v="4"/>
    <x v="1"/>
  </r>
  <r>
    <n v="1052"/>
    <s v="242510002"/>
    <x v="0"/>
    <x v="3"/>
    <s v="Intan Jaya"/>
    <d v="2026-02-02T00:00:00"/>
    <s v="02"/>
    <x v="1"/>
    <s v="26"/>
    <x v="0"/>
    <x v="0"/>
    <x v="9"/>
    <s v="Real"/>
    <s v="Entrepreneur"/>
    <s v="Product development"/>
    <x v="0"/>
    <x v="0"/>
    <x v="1"/>
    <s v="F11.01.03"/>
    <n v="1"/>
    <s v="menganalisis kelas sosial masyarakat"/>
    <s v="01.03"/>
    <x v="18"/>
    <s v="K11"/>
    <s v="F"/>
    <n v="65"/>
    <n v="67"/>
    <s v="Tuntas"/>
    <s v="Pendidikan Pancasila"/>
    <x v="0"/>
    <x v="10"/>
    <n v="67"/>
    <x v="1"/>
    <n v="11"/>
    <x v="0"/>
    <x v="4"/>
    <x v="1"/>
  </r>
  <r>
    <n v="1053"/>
    <s v="242510002"/>
    <x v="0"/>
    <x v="3"/>
    <s v="Intan Jaya"/>
    <d v="2026-02-09T00:00:00"/>
    <s v="09"/>
    <x v="1"/>
    <s v="26"/>
    <x v="0"/>
    <x v="2"/>
    <x v="17"/>
    <s v="Real"/>
    <s v="Entrepreneur"/>
    <s v="Product development"/>
    <x v="0"/>
    <x v="0"/>
    <x v="1"/>
    <s v="F11.01.01"/>
    <n v="1"/>
    <s v="menganalisis kelas sosial masyarakat"/>
    <s v="01.01"/>
    <x v="16"/>
    <s v="K11"/>
    <s v="F"/>
    <n v="65"/>
    <n v="68"/>
    <s v="Tuntas"/>
    <s v="Pendidikan Pancasila"/>
    <x v="0"/>
    <x v="10"/>
    <n v="68"/>
    <x v="1"/>
    <n v="11"/>
    <x v="0"/>
    <x v="5"/>
    <x v="1"/>
  </r>
  <r>
    <n v="1054"/>
    <s v="242510002"/>
    <x v="0"/>
    <x v="3"/>
    <s v="Intan Jaya"/>
    <d v="2026-02-09T00:00:00"/>
    <s v="09"/>
    <x v="1"/>
    <s v="26"/>
    <x v="0"/>
    <x v="2"/>
    <x v="17"/>
    <s v="Real"/>
    <s v="Entrepreneur"/>
    <s v="Product development"/>
    <x v="0"/>
    <x v="0"/>
    <x v="1"/>
    <s v="F11.01.02"/>
    <n v="1"/>
    <s v="menganalisis kelas sosial masyarakat"/>
    <s v="01.02"/>
    <x v="17"/>
    <s v="K11"/>
    <s v="F"/>
    <n v="65"/>
    <n v="72"/>
    <s v="Tuntas"/>
    <s v="Pendidikan Pancasila"/>
    <x v="0"/>
    <x v="10"/>
    <n v="72"/>
    <x v="1"/>
    <n v="11"/>
    <x v="0"/>
    <x v="5"/>
    <x v="1"/>
  </r>
  <r>
    <n v="1055"/>
    <s v="242510002"/>
    <x v="0"/>
    <x v="3"/>
    <s v="Intan Jaya"/>
    <d v="2026-02-06T00:00:00"/>
    <s v="06"/>
    <x v="1"/>
    <s v="26"/>
    <x v="1"/>
    <x v="13"/>
    <x v="6"/>
    <s v="Real"/>
    <s v="Entrepreneur"/>
    <s v="Product development"/>
    <x v="0"/>
    <x v="0"/>
    <x v="1"/>
    <s v="F11.01.03"/>
    <n v="1"/>
    <s v="menganalisis kelas sosial masyarakat"/>
    <s v="01.03"/>
    <x v="18"/>
    <s v="K11"/>
    <s v="F"/>
    <n v="65"/>
    <n v="65"/>
    <s v="Tuntas"/>
    <s v="Pendidikan Pancasila"/>
    <x v="0"/>
    <x v="10"/>
    <n v="65"/>
    <x v="1"/>
    <n v="11"/>
    <x v="0"/>
    <x v="4"/>
    <x v="1"/>
  </r>
  <r>
    <n v="1056"/>
    <s v="242510002"/>
    <x v="0"/>
    <x v="3"/>
    <s v="Intan Jaya"/>
    <d v="2026-02-06T00:00:00"/>
    <s v="06"/>
    <x v="1"/>
    <s v="26"/>
    <x v="0"/>
    <x v="0"/>
    <x v="6"/>
    <s v="Real"/>
    <s v="Entrepreneur"/>
    <s v="Product development"/>
    <x v="0"/>
    <x v="0"/>
    <x v="1"/>
    <s v="F11.01.03"/>
    <n v="1"/>
    <s v="menganalisis kelas sosial masyarakat"/>
    <s v="01.03"/>
    <x v="18"/>
    <s v="K11"/>
    <s v="F"/>
    <n v="65"/>
    <n v="65"/>
    <s v="Tuntas"/>
    <s v="Pendidikan Pancasila"/>
    <x v="0"/>
    <x v="10"/>
    <n v="65"/>
    <x v="1"/>
    <n v="11"/>
    <x v="0"/>
    <x v="4"/>
    <x v="1"/>
  </r>
  <r>
    <n v="1057"/>
    <s v="242510006"/>
    <x v="0"/>
    <x v="9"/>
    <s v="Nabire"/>
    <d v="2026-01-12T00:00:00"/>
    <s v="12"/>
    <x v="0"/>
    <s v="26"/>
    <x v="3"/>
    <x v="4"/>
    <x v="15"/>
    <s v="Real"/>
    <s v="Entrepreneur"/>
    <s v="Product development"/>
    <x v="0"/>
    <x v="0"/>
    <x v="1"/>
    <s v="F11.01.01"/>
    <n v="1"/>
    <s v="menganalisis kelas sosial masyarakat"/>
    <s v="01.01"/>
    <x v="16"/>
    <s v="K11"/>
    <s v="F"/>
    <n v="65"/>
    <n v="75"/>
    <s v="Tuntas"/>
    <s v="Pendidikan Pancasila"/>
    <x v="0"/>
    <x v="10"/>
    <n v="75"/>
    <x v="1"/>
    <n v="11"/>
    <x v="1"/>
    <x v="1"/>
    <x v="2"/>
  </r>
  <r>
    <n v="1058"/>
    <s v="242510006"/>
    <x v="0"/>
    <x v="9"/>
    <s v="Nabire"/>
    <d v="2026-01-12T00:00:00"/>
    <s v="12"/>
    <x v="0"/>
    <s v="26"/>
    <x v="0"/>
    <x v="0"/>
    <x v="2"/>
    <s v="Real"/>
    <s v="Entrepreneur"/>
    <s v="Product development"/>
    <x v="0"/>
    <x v="0"/>
    <x v="1"/>
    <s v="F11.01.01"/>
    <n v="1"/>
    <s v="menganalisis kelas sosial masyarakat"/>
    <s v="01.01"/>
    <x v="16"/>
    <s v="K11"/>
    <s v="F"/>
    <n v="65"/>
    <n v="62"/>
    <s v="Tidak tuntas"/>
    <s v="Pendidikan Pancasila"/>
    <x v="0"/>
    <x v="10"/>
    <n v="62"/>
    <x v="3"/>
    <n v="11"/>
    <x v="0"/>
    <x v="1"/>
    <x v="2"/>
  </r>
  <r>
    <n v="1059"/>
    <s v="242510006"/>
    <x v="0"/>
    <x v="9"/>
    <s v="Nabire"/>
    <d v="2026-01-12T00:00:00"/>
    <s v="12"/>
    <x v="0"/>
    <s v="26"/>
    <x v="2"/>
    <x v="3"/>
    <x v="2"/>
    <s v="Real"/>
    <s v="Entrepreneur"/>
    <s v="Product development"/>
    <x v="0"/>
    <x v="0"/>
    <x v="1"/>
    <s v="F11.01.01"/>
    <n v="1"/>
    <s v="menganalisis kelas sosial masyarakat"/>
    <s v="01.01"/>
    <x v="16"/>
    <s v="K11"/>
    <s v="F"/>
    <n v="65"/>
    <n v="63"/>
    <s v="Tidak tuntas"/>
    <s v="Pendidikan Pancasila"/>
    <x v="0"/>
    <x v="10"/>
    <n v="63"/>
    <x v="3"/>
    <n v="11"/>
    <x v="0"/>
    <x v="1"/>
    <x v="2"/>
  </r>
  <r>
    <n v="1060"/>
    <s v="242510006"/>
    <x v="0"/>
    <x v="9"/>
    <s v="Nabire"/>
    <d v="2026-01-12T00:00:00"/>
    <s v="12"/>
    <x v="0"/>
    <s v="26"/>
    <x v="4"/>
    <x v="5"/>
    <x v="0"/>
    <s v="Real"/>
    <s v="Entrepreneur"/>
    <s v="Product development"/>
    <x v="0"/>
    <x v="0"/>
    <x v="1"/>
    <s v="F11.01.01"/>
    <n v="1"/>
    <s v="menganalisis kelas sosial masyarakat"/>
    <s v="01.01"/>
    <x v="16"/>
    <s v="K11"/>
    <s v="F"/>
    <n v="65"/>
    <n v="65"/>
    <s v="Tuntas"/>
    <s v="Pendidikan Pancasila"/>
    <x v="0"/>
    <x v="10"/>
    <n v="65"/>
    <x v="1"/>
    <n v="11"/>
    <x v="0"/>
    <x v="1"/>
    <x v="2"/>
  </r>
  <r>
    <n v="1061"/>
    <s v="242510006"/>
    <x v="0"/>
    <x v="9"/>
    <s v="Nabire"/>
    <d v="2026-01-26T00:00:00"/>
    <s v="26"/>
    <x v="0"/>
    <s v="26"/>
    <x v="0"/>
    <x v="0"/>
    <x v="6"/>
    <s v="Real"/>
    <s v="Entrepreneur"/>
    <s v="Product development"/>
    <x v="0"/>
    <x v="0"/>
    <x v="1"/>
    <s v="F11.01.02"/>
    <n v="1"/>
    <s v="menganalisis kelas sosial masyarakat"/>
    <s v="01.02"/>
    <x v="17"/>
    <s v="K11"/>
    <s v="F"/>
    <n v="65"/>
    <n v="73"/>
    <s v="Tuntas"/>
    <s v="Pendidikan Pancasila"/>
    <x v="0"/>
    <x v="10"/>
    <n v="73"/>
    <x v="1"/>
    <n v="11"/>
    <x v="0"/>
    <x v="3"/>
    <x v="2"/>
  </r>
  <r>
    <n v="1062"/>
    <s v="242510006"/>
    <x v="0"/>
    <x v="9"/>
    <s v="Nabire"/>
    <d v="2026-01-26T00:00:00"/>
    <s v="26"/>
    <x v="0"/>
    <s v="26"/>
    <x v="2"/>
    <x v="6"/>
    <x v="6"/>
    <s v="Real"/>
    <s v="Entrepreneur"/>
    <s v="Product development"/>
    <x v="0"/>
    <x v="0"/>
    <x v="1"/>
    <s v="F11.01.02"/>
    <n v="1"/>
    <s v="menganalisis kelas sosial masyarakat"/>
    <s v="01.02"/>
    <x v="17"/>
    <s v="K11"/>
    <s v="F"/>
    <n v="65"/>
    <n v="70"/>
    <s v="Tuntas"/>
    <s v="Pendidikan Pancasila"/>
    <x v="0"/>
    <x v="10"/>
    <n v="70"/>
    <x v="1"/>
    <n v="11"/>
    <x v="0"/>
    <x v="3"/>
    <x v="2"/>
  </r>
  <r>
    <n v="1063"/>
    <s v="242510006"/>
    <x v="0"/>
    <x v="9"/>
    <s v="Nabire"/>
    <d v="2026-01-26T00:00:00"/>
    <s v="26"/>
    <x v="0"/>
    <s v="26"/>
    <x v="3"/>
    <x v="8"/>
    <x v="10"/>
    <s v="Real"/>
    <s v="Entrepreneur"/>
    <s v="Product development"/>
    <x v="0"/>
    <x v="0"/>
    <x v="1"/>
    <s v="F11.01.02"/>
    <n v="1"/>
    <s v="menganalisis kelas sosial masyarakat"/>
    <s v="01.02"/>
    <x v="17"/>
    <s v="K11"/>
    <s v="F"/>
    <n v="65"/>
    <n v="70"/>
    <s v="Tuntas"/>
    <s v="Pendidikan Pancasila"/>
    <x v="0"/>
    <x v="10"/>
    <n v="70"/>
    <x v="1"/>
    <n v="11"/>
    <x v="1"/>
    <x v="3"/>
    <x v="2"/>
  </r>
  <r>
    <n v="1064"/>
    <s v="242510006"/>
    <x v="0"/>
    <x v="9"/>
    <s v="Nabire"/>
    <d v="2026-01-26T00:00:00"/>
    <s v="26"/>
    <x v="0"/>
    <s v="26"/>
    <x v="4"/>
    <x v="5"/>
    <x v="0"/>
    <s v="Real"/>
    <s v="Entrepreneur"/>
    <s v="Product development"/>
    <x v="0"/>
    <x v="0"/>
    <x v="1"/>
    <s v="F11.01.02"/>
    <n v="1"/>
    <s v="menganalisis kelas sosial masyarakat"/>
    <s v="01.02"/>
    <x v="17"/>
    <s v="K11"/>
    <s v="F"/>
    <n v="65"/>
    <n v="65"/>
    <s v="Tuntas"/>
    <s v="Pendidikan Pancasila"/>
    <x v="0"/>
    <x v="10"/>
    <n v="65"/>
    <x v="1"/>
    <n v="11"/>
    <x v="0"/>
    <x v="3"/>
    <x v="2"/>
  </r>
  <r>
    <n v="1065"/>
    <s v="242510006"/>
    <x v="0"/>
    <x v="9"/>
    <s v="Nabire"/>
    <d v="2026-02-02T00:00:00"/>
    <s v="02"/>
    <x v="1"/>
    <s v="26"/>
    <x v="3"/>
    <x v="8"/>
    <x v="16"/>
    <s v="Real"/>
    <s v="Entrepreneur"/>
    <s v="Product development"/>
    <x v="0"/>
    <x v="0"/>
    <x v="1"/>
    <s v="F11.01.03"/>
    <n v="1"/>
    <s v="menganalisis kelas sosial masyarakat"/>
    <s v="01.03"/>
    <x v="18"/>
    <s v="K11"/>
    <s v="F"/>
    <n v="65"/>
    <n v="74"/>
    <s v="Tuntas"/>
    <s v="Pendidikan Pancasila"/>
    <x v="0"/>
    <x v="10"/>
    <n v="74"/>
    <x v="1"/>
    <n v="11"/>
    <x v="1"/>
    <x v="4"/>
    <x v="2"/>
  </r>
  <r>
    <n v="1066"/>
    <s v="242510006"/>
    <x v="0"/>
    <x v="9"/>
    <s v="Nabire"/>
    <d v="2026-02-02T00:00:00"/>
    <s v="02"/>
    <x v="1"/>
    <s v="26"/>
    <x v="4"/>
    <x v="5"/>
    <x v="0"/>
    <s v="Real"/>
    <s v="Entrepreneur"/>
    <s v="Product development"/>
    <x v="0"/>
    <x v="0"/>
    <x v="1"/>
    <s v="F11.01.03"/>
    <n v="1"/>
    <s v="menganalisis kelas sosial masyarakat"/>
    <s v="01.03"/>
    <x v="18"/>
    <s v="K11"/>
    <s v="F"/>
    <n v="65"/>
    <n v="74"/>
    <s v="Tuntas"/>
    <s v="Pendidikan Pancasila"/>
    <x v="0"/>
    <x v="10"/>
    <n v="74"/>
    <x v="1"/>
    <n v="11"/>
    <x v="0"/>
    <x v="4"/>
    <x v="2"/>
  </r>
  <r>
    <n v="1067"/>
    <s v="242510006"/>
    <x v="0"/>
    <x v="9"/>
    <s v="Nabire"/>
    <d v="2026-02-02T00:00:00"/>
    <s v="02"/>
    <x v="1"/>
    <s v="26"/>
    <x v="1"/>
    <x v="9"/>
    <x v="6"/>
    <s v="Real"/>
    <s v="Entrepreneur"/>
    <s v="Product development"/>
    <x v="0"/>
    <x v="0"/>
    <x v="1"/>
    <s v="F11.01.03"/>
    <n v="1"/>
    <s v="menganalisis kelas sosial masyarakat"/>
    <s v="01.03"/>
    <x v="18"/>
    <s v="K11"/>
    <s v="F"/>
    <n v="65"/>
    <n v="72"/>
    <s v="Tuntas"/>
    <s v="Pendidikan Pancasila"/>
    <x v="0"/>
    <x v="10"/>
    <n v="72"/>
    <x v="1"/>
    <n v="11"/>
    <x v="0"/>
    <x v="4"/>
    <x v="2"/>
  </r>
  <r>
    <n v="1068"/>
    <s v="242510006"/>
    <x v="0"/>
    <x v="9"/>
    <s v="Nabire"/>
    <d v="2026-02-02T00:00:00"/>
    <s v="02"/>
    <x v="1"/>
    <s v="26"/>
    <x v="2"/>
    <x v="6"/>
    <x v="6"/>
    <s v="Real"/>
    <s v="Entrepreneur"/>
    <s v="Product development"/>
    <x v="0"/>
    <x v="0"/>
    <x v="1"/>
    <s v="F11.01.03"/>
    <n v="1"/>
    <s v="menganalisis kelas sosial masyarakat"/>
    <s v="01.03"/>
    <x v="18"/>
    <s v="K11"/>
    <s v="F"/>
    <n v="65"/>
    <n v="57"/>
    <s v="Tidak tuntas"/>
    <s v="Pendidikan Pancasila"/>
    <x v="0"/>
    <x v="10"/>
    <n v="57"/>
    <x v="3"/>
    <n v="11"/>
    <x v="0"/>
    <x v="4"/>
    <x v="2"/>
  </r>
  <r>
    <n v="1069"/>
    <s v="242510006"/>
    <x v="0"/>
    <x v="9"/>
    <s v="Nabire"/>
    <d v="2026-02-02T00:00:00"/>
    <s v="02"/>
    <x v="1"/>
    <s v="26"/>
    <x v="0"/>
    <x v="0"/>
    <x v="9"/>
    <s v="Real"/>
    <s v="Entrepreneur"/>
    <s v="Product development"/>
    <x v="0"/>
    <x v="0"/>
    <x v="1"/>
    <s v="F11.01.03"/>
    <n v="1"/>
    <s v="menganalisis kelas sosial masyarakat"/>
    <s v="01.03"/>
    <x v="18"/>
    <s v="K11"/>
    <s v="F"/>
    <n v="65"/>
    <n v="60"/>
    <s v="Tidak tuntas"/>
    <s v="Pendidikan Pancasila"/>
    <x v="0"/>
    <x v="10"/>
    <n v="60"/>
    <x v="3"/>
    <n v="11"/>
    <x v="0"/>
    <x v="4"/>
    <x v="2"/>
  </r>
  <r>
    <n v="1070"/>
    <s v="242510006"/>
    <x v="0"/>
    <x v="9"/>
    <s v="Nabire"/>
    <d v="2026-02-09T00:00:00"/>
    <s v="09"/>
    <x v="1"/>
    <s v="26"/>
    <x v="0"/>
    <x v="2"/>
    <x v="17"/>
    <s v="Real"/>
    <s v="Entrepreneur"/>
    <s v="Product development"/>
    <x v="0"/>
    <x v="0"/>
    <x v="1"/>
    <s v="F11.01.01"/>
    <n v="1"/>
    <s v="menganalisis kelas sosial masyarakat"/>
    <s v="01.01"/>
    <x v="16"/>
    <s v="K11"/>
    <s v="F"/>
    <n v="65"/>
    <n v="50"/>
    <s v="Tidak tuntas"/>
    <s v="Pendidikan Pancasila"/>
    <x v="0"/>
    <x v="10"/>
    <n v="50"/>
    <x v="3"/>
    <n v="11"/>
    <x v="0"/>
    <x v="5"/>
    <x v="2"/>
  </r>
  <r>
    <n v="1071"/>
    <s v="242510006"/>
    <x v="0"/>
    <x v="9"/>
    <s v="Nabire"/>
    <d v="2026-02-09T00:00:00"/>
    <s v="09"/>
    <x v="1"/>
    <s v="26"/>
    <x v="0"/>
    <x v="2"/>
    <x v="17"/>
    <s v="Real"/>
    <s v="Entrepreneur"/>
    <s v="Product development"/>
    <x v="0"/>
    <x v="0"/>
    <x v="1"/>
    <s v="F11.01.02"/>
    <n v="1"/>
    <s v="menganalisis kelas sosial masyarakat"/>
    <s v="01.02"/>
    <x v="17"/>
    <s v="K11"/>
    <s v="F"/>
    <n v="65"/>
    <n v="70"/>
    <s v="Tuntas"/>
    <s v="Pendidikan Pancasila"/>
    <x v="0"/>
    <x v="10"/>
    <n v="70"/>
    <x v="1"/>
    <n v="11"/>
    <x v="0"/>
    <x v="5"/>
    <x v="2"/>
  </r>
  <r>
    <n v="1072"/>
    <s v="242510006"/>
    <x v="0"/>
    <x v="9"/>
    <s v="Nabire"/>
    <d v="2026-02-06T00:00:00"/>
    <s v="06"/>
    <x v="1"/>
    <s v="26"/>
    <x v="1"/>
    <x v="13"/>
    <x v="6"/>
    <s v="Real"/>
    <s v="Entrepreneur"/>
    <s v="Product development"/>
    <x v="0"/>
    <x v="0"/>
    <x v="1"/>
    <s v="F11.01.03"/>
    <n v="1"/>
    <s v="menganalisis kelas sosial masyarakat"/>
    <s v="01.03"/>
    <x v="18"/>
    <s v="K11"/>
    <s v="F"/>
    <n v="65"/>
    <n v="67"/>
    <s v="Tuntas"/>
    <s v="Pendidikan Pancasila"/>
    <x v="0"/>
    <x v="10"/>
    <n v="67"/>
    <x v="1"/>
    <n v="11"/>
    <x v="0"/>
    <x v="4"/>
    <x v="2"/>
  </r>
  <r>
    <n v="1073"/>
    <s v="242510006"/>
    <x v="0"/>
    <x v="9"/>
    <s v="Nabire"/>
    <d v="2026-02-06T00:00:00"/>
    <s v="06"/>
    <x v="1"/>
    <s v="26"/>
    <x v="0"/>
    <x v="0"/>
    <x v="6"/>
    <s v="Real"/>
    <s v="Entrepreneur"/>
    <s v="Product development"/>
    <x v="0"/>
    <x v="0"/>
    <x v="1"/>
    <s v="F11.01.03"/>
    <n v="1"/>
    <s v="menganalisis kelas sosial masyarakat"/>
    <s v="01.03"/>
    <x v="18"/>
    <s v="K11"/>
    <s v="F"/>
    <n v="65"/>
    <n v="67"/>
    <s v="Tuntas"/>
    <s v="Pendidikan Pancasila"/>
    <x v="0"/>
    <x v="10"/>
    <n v="67"/>
    <x v="1"/>
    <n v="11"/>
    <x v="0"/>
    <x v="4"/>
    <x v="2"/>
  </r>
  <r>
    <n v="1074"/>
    <s v="242510009"/>
    <x v="0"/>
    <x v="10"/>
    <s v="Nabire"/>
    <d v="2026-01-12T00:00:00"/>
    <s v="12"/>
    <x v="0"/>
    <s v="26"/>
    <x v="3"/>
    <x v="4"/>
    <x v="15"/>
    <s v="Real"/>
    <s v="Entrepreneur"/>
    <s v="Product development"/>
    <x v="0"/>
    <x v="0"/>
    <x v="1"/>
    <s v="F11.01.01"/>
    <n v="1"/>
    <s v="menganalisis kelas sosial masyarakat"/>
    <s v="01.01"/>
    <x v="16"/>
    <s v="K11"/>
    <s v="F"/>
    <n v="65"/>
    <n v="75"/>
    <s v="Tuntas"/>
    <s v="Pendidikan Pancasila"/>
    <x v="0"/>
    <x v="10"/>
    <n v="75"/>
    <x v="1"/>
    <n v="11"/>
    <x v="1"/>
    <x v="1"/>
    <x v="5"/>
  </r>
  <r>
    <n v="1075"/>
    <s v="242510009"/>
    <x v="0"/>
    <x v="10"/>
    <s v="Nabire"/>
    <d v="2026-01-12T00:00:00"/>
    <s v="12"/>
    <x v="0"/>
    <s v="26"/>
    <x v="0"/>
    <x v="0"/>
    <x v="2"/>
    <s v="Real"/>
    <s v="Entrepreneur"/>
    <s v="Product development"/>
    <x v="0"/>
    <x v="0"/>
    <x v="1"/>
    <s v="F11.01.01"/>
    <n v="1"/>
    <s v="menganalisis kelas sosial masyarakat"/>
    <s v="01.01"/>
    <x v="16"/>
    <s v="K11"/>
    <s v="F"/>
    <n v="65"/>
    <n v="60"/>
    <s v="Tidak tuntas"/>
    <s v="Pendidikan Pancasila"/>
    <x v="0"/>
    <x v="10"/>
    <n v="60"/>
    <x v="3"/>
    <n v="11"/>
    <x v="0"/>
    <x v="1"/>
    <x v="5"/>
  </r>
  <r>
    <n v="1076"/>
    <s v="242510009"/>
    <x v="0"/>
    <x v="10"/>
    <s v="Nabire"/>
    <d v="2026-01-12T00:00:00"/>
    <s v="12"/>
    <x v="0"/>
    <s v="26"/>
    <x v="2"/>
    <x v="3"/>
    <x v="2"/>
    <s v="Real"/>
    <s v="Entrepreneur"/>
    <s v="Product development"/>
    <x v="0"/>
    <x v="0"/>
    <x v="1"/>
    <s v="F11.01.01"/>
    <n v="1"/>
    <s v="menganalisis kelas sosial masyarakat"/>
    <s v="01.01"/>
    <x v="16"/>
    <s v="K11"/>
    <s v="F"/>
    <n v="65"/>
    <n v="60"/>
    <s v="Tidak tuntas"/>
    <s v="Pendidikan Pancasila"/>
    <x v="0"/>
    <x v="10"/>
    <n v="60"/>
    <x v="3"/>
    <n v="11"/>
    <x v="0"/>
    <x v="1"/>
    <x v="5"/>
  </r>
  <r>
    <n v="1077"/>
    <s v="242510009"/>
    <x v="0"/>
    <x v="10"/>
    <s v="Nabire"/>
    <d v="2026-01-12T00:00:00"/>
    <s v="12"/>
    <x v="0"/>
    <s v="26"/>
    <x v="4"/>
    <x v="5"/>
    <x v="0"/>
    <s v="Real"/>
    <s v="Entrepreneur"/>
    <s v="Product development"/>
    <x v="0"/>
    <x v="0"/>
    <x v="1"/>
    <s v="F11.01.01"/>
    <n v="1"/>
    <s v="menganalisis kelas sosial masyarakat"/>
    <s v="01.01"/>
    <x v="16"/>
    <s v="K11"/>
    <s v="F"/>
    <n v="65"/>
    <n v="67"/>
    <s v="Tuntas"/>
    <s v="Pendidikan Pancasila"/>
    <x v="0"/>
    <x v="10"/>
    <n v="67"/>
    <x v="1"/>
    <n v="11"/>
    <x v="0"/>
    <x v="1"/>
    <x v="5"/>
  </r>
  <r>
    <n v="1078"/>
    <s v="242510009"/>
    <x v="0"/>
    <x v="10"/>
    <s v="Nabire"/>
    <d v="2026-01-26T00:00:00"/>
    <s v="26"/>
    <x v="0"/>
    <s v="26"/>
    <x v="0"/>
    <x v="0"/>
    <x v="6"/>
    <s v="Real"/>
    <s v="Entrepreneur"/>
    <s v="Product development"/>
    <x v="0"/>
    <x v="0"/>
    <x v="1"/>
    <s v="F11.01.02"/>
    <n v="1"/>
    <s v="menganalisis kelas sosial masyarakat"/>
    <s v="01.02"/>
    <x v="17"/>
    <s v="K11"/>
    <s v="F"/>
    <n v="65"/>
    <n v="67"/>
    <s v="Tuntas"/>
    <s v="Pendidikan Pancasila"/>
    <x v="0"/>
    <x v="10"/>
    <n v="67"/>
    <x v="1"/>
    <n v="11"/>
    <x v="0"/>
    <x v="3"/>
    <x v="5"/>
  </r>
  <r>
    <n v="1079"/>
    <s v="242510009"/>
    <x v="0"/>
    <x v="10"/>
    <s v="Nabire"/>
    <d v="2026-01-26T00:00:00"/>
    <s v="26"/>
    <x v="0"/>
    <s v="26"/>
    <x v="2"/>
    <x v="6"/>
    <x v="6"/>
    <s v="Real"/>
    <s v="Entrepreneur"/>
    <s v="Product development"/>
    <x v="0"/>
    <x v="0"/>
    <x v="1"/>
    <s v="F11.01.02"/>
    <n v="1"/>
    <s v="menganalisis kelas sosial masyarakat"/>
    <s v="01.02"/>
    <x v="17"/>
    <s v="K11"/>
    <s v="F"/>
    <n v="65"/>
    <n v="65"/>
    <s v="Tuntas"/>
    <s v="Pendidikan Pancasila"/>
    <x v="0"/>
    <x v="10"/>
    <n v="65"/>
    <x v="1"/>
    <n v="11"/>
    <x v="0"/>
    <x v="3"/>
    <x v="5"/>
  </r>
  <r>
    <n v="1080"/>
    <s v="242510009"/>
    <x v="0"/>
    <x v="10"/>
    <s v="Nabire"/>
    <d v="2026-01-26T00:00:00"/>
    <s v="26"/>
    <x v="0"/>
    <s v="26"/>
    <x v="3"/>
    <x v="8"/>
    <x v="10"/>
    <s v="Real"/>
    <s v="Entrepreneur"/>
    <s v="Product development"/>
    <x v="0"/>
    <x v="0"/>
    <x v="1"/>
    <s v="F11.01.02"/>
    <n v="1"/>
    <s v="menganalisis kelas sosial masyarakat"/>
    <s v="01.02"/>
    <x v="17"/>
    <s v="K11"/>
    <s v="F"/>
    <n v="65"/>
    <n v="75"/>
    <s v="Tuntas"/>
    <s v="Pendidikan Pancasila"/>
    <x v="0"/>
    <x v="10"/>
    <n v="75"/>
    <x v="1"/>
    <n v="11"/>
    <x v="1"/>
    <x v="3"/>
    <x v="5"/>
  </r>
  <r>
    <n v="1081"/>
    <s v="242510009"/>
    <x v="0"/>
    <x v="10"/>
    <s v="Nabire"/>
    <d v="2026-01-26T00:00:00"/>
    <s v="26"/>
    <x v="0"/>
    <s v="26"/>
    <x v="4"/>
    <x v="5"/>
    <x v="0"/>
    <s v="Real"/>
    <s v="Entrepreneur"/>
    <s v="Product development"/>
    <x v="0"/>
    <x v="0"/>
    <x v="1"/>
    <s v="F11.01.02"/>
    <n v="1"/>
    <s v="menganalisis kelas sosial masyarakat"/>
    <s v="01.02"/>
    <x v="17"/>
    <s v="K11"/>
    <s v="F"/>
    <n v="65"/>
    <n v="65"/>
    <s v="Tuntas"/>
    <s v="Pendidikan Pancasila"/>
    <x v="0"/>
    <x v="10"/>
    <n v="65"/>
    <x v="1"/>
    <n v="11"/>
    <x v="0"/>
    <x v="3"/>
    <x v="5"/>
  </r>
  <r>
    <n v="1082"/>
    <s v="242510009"/>
    <x v="0"/>
    <x v="10"/>
    <s v="Nabire"/>
    <d v="2026-02-02T00:00:00"/>
    <s v="02"/>
    <x v="1"/>
    <s v="26"/>
    <x v="3"/>
    <x v="8"/>
    <x v="16"/>
    <s v="Real"/>
    <s v="Entrepreneur"/>
    <s v="Product development"/>
    <x v="0"/>
    <x v="0"/>
    <x v="1"/>
    <s v="F11.01.03"/>
    <n v="1"/>
    <s v="menganalisis kelas sosial masyarakat"/>
    <s v="01.03"/>
    <x v="18"/>
    <s v="K11"/>
    <s v="F"/>
    <n v="65"/>
    <n v="78"/>
    <s v="Tuntas"/>
    <s v="Pendidikan Pancasila"/>
    <x v="0"/>
    <x v="10"/>
    <n v="78"/>
    <x v="1"/>
    <n v="11"/>
    <x v="1"/>
    <x v="4"/>
    <x v="5"/>
  </r>
  <r>
    <n v="1083"/>
    <s v="242510009"/>
    <x v="0"/>
    <x v="10"/>
    <s v="Nabire"/>
    <d v="2026-02-02T00:00:00"/>
    <s v="02"/>
    <x v="1"/>
    <s v="26"/>
    <x v="4"/>
    <x v="5"/>
    <x v="0"/>
    <s v="Real"/>
    <s v="Entrepreneur"/>
    <s v="Product development"/>
    <x v="0"/>
    <x v="0"/>
    <x v="1"/>
    <s v="F11.01.03"/>
    <n v="1"/>
    <s v="menganalisis kelas sosial masyarakat"/>
    <s v="01.03"/>
    <x v="18"/>
    <s v="K11"/>
    <s v="F"/>
    <n v="65"/>
    <n v="78"/>
    <s v="Tuntas"/>
    <s v="Pendidikan Pancasila"/>
    <x v="0"/>
    <x v="10"/>
    <n v="78"/>
    <x v="1"/>
    <n v="11"/>
    <x v="0"/>
    <x v="4"/>
    <x v="5"/>
  </r>
  <r>
    <n v="1084"/>
    <s v="242510009"/>
    <x v="0"/>
    <x v="10"/>
    <s v="Nabire"/>
    <d v="2026-02-02T00:00:00"/>
    <s v="02"/>
    <x v="1"/>
    <s v="26"/>
    <x v="1"/>
    <x v="9"/>
    <x v="6"/>
    <s v="Real"/>
    <s v="Entrepreneur"/>
    <s v="Product development"/>
    <x v="0"/>
    <x v="0"/>
    <x v="1"/>
    <s v="F11.01.03"/>
    <n v="1"/>
    <s v="menganalisis kelas sosial masyarakat"/>
    <s v="01.03"/>
    <x v="18"/>
    <s v="K11"/>
    <s v="F"/>
    <n v="65"/>
    <n v="70"/>
    <s v="Tuntas"/>
    <s v="Pendidikan Pancasila"/>
    <x v="0"/>
    <x v="10"/>
    <n v="70"/>
    <x v="1"/>
    <n v="11"/>
    <x v="0"/>
    <x v="4"/>
    <x v="5"/>
  </r>
  <r>
    <n v="1085"/>
    <s v="242510009"/>
    <x v="0"/>
    <x v="10"/>
    <s v="Nabire"/>
    <d v="2026-02-02T00:00:00"/>
    <s v="02"/>
    <x v="1"/>
    <s v="26"/>
    <x v="2"/>
    <x v="6"/>
    <x v="6"/>
    <s v="Real"/>
    <s v="Entrepreneur"/>
    <s v="Product development"/>
    <x v="0"/>
    <x v="0"/>
    <x v="1"/>
    <s v="F11.01.03"/>
    <n v="1"/>
    <s v="menganalisis kelas sosial masyarakat"/>
    <s v="01.03"/>
    <x v="18"/>
    <s v="K11"/>
    <s v="F"/>
    <n v="65"/>
    <n v="55"/>
    <s v="Tidak tuntas"/>
    <s v="Pendidikan Pancasila"/>
    <x v="0"/>
    <x v="10"/>
    <n v="55"/>
    <x v="3"/>
    <n v="11"/>
    <x v="0"/>
    <x v="4"/>
    <x v="5"/>
  </r>
  <r>
    <n v="1086"/>
    <s v="242510009"/>
    <x v="0"/>
    <x v="10"/>
    <s v="Nabire"/>
    <d v="2026-02-02T00:00:00"/>
    <s v="02"/>
    <x v="1"/>
    <s v="26"/>
    <x v="0"/>
    <x v="0"/>
    <x v="9"/>
    <s v="Real"/>
    <s v="Entrepreneur"/>
    <s v="Product development"/>
    <x v="0"/>
    <x v="0"/>
    <x v="1"/>
    <s v="F11.01.03"/>
    <n v="1"/>
    <s v="menganalisis kelas sosial masyarakat"/>
    <s v="01.03"/>
    <x v="18"/>
    <s v="K11"/>
    <s v="F"/>
    <n v="65"/>
    <n v="50"/>
    <s v="Tidak tuntas"/>
    <s v="Pendidikan Pancasila"/>
    <x v="0"/>
    <x v="10"/>
    <n v="50"/>
    <x v="3"/>
    <n v="11"/>
    <x v="0"/>
    <x v="4"/>
    <x v="5"/>
  </r>
  <r>
    <n v="1087"/>
    <s v="242510009"/>
    <x v="0"/>
    <x v="10"/>
    <s v="Nabire"/>
    <d v="2026-02-09T00:00:00"/>
    <s v="09"/>
    <x v="1"/>
    <s v="26"/>
    <x v="0"/>
    <x v="2"/>
    <x v="17"/>
    <s v="Real"/>
    <s v="Entrepreneur"/>
    <s v="Product development"/>
    <x v="0"/>
    <x v="0"/>
    <x v="1"/>
    <s v="F11.01.01"/>
    <n v="1"/>
    <s v="menganalisis kelas sosial masyarakat"/>
    <s v="01.01"/>
    <x v="16"/>
    <s v="K11"/>
    <s v="F"/>
    <n v="65"/>
    <n v="50"/>
    <s v="Tidak tuntas"/>
    <s v="Pendidikan Pancasila"/>
    <x v="0"/>
    <x v="10"/>
    <n v="50"/>
    <x v="3"/>
    <n v="11"/>
    <x v="0"/>
    <x v="5"/>
    <x v="5"/>
  </r>
  <r>
    <n v="1088"/>
    <s v="242510009"/>
    <x v="0"/>
    <x v="10"/>
    <s v="Nabire"/>
    <d v="2026-02-09T00:00:00"/>
    <s v="09"/>
    <x v="1"/>
    <s v="26"/>
    <x v="0"/>
    <x v="2"/>
    <x v="17"/>
    <s v="Real"/>
    <s v="Entrepreneur"/>
    <s v="Product development"/>
    <x v="0"/>
    <x v="0"/>
    <x v="1"/>
    <s v="F11.01.02"/>
    <n v="1"/>
    <s v="menganalisis kelas sosial masyarakat"/>
    <s v="01.02"/>
    <x v="17"/>
    <s v="K11"/>
    <s v="F"/>
    <n v="65"/>
    <n v="68"/>
    <s v="Tuntas"/>
    <s v="Pendidikan Pancasila"/>
    <x v="0"/>
    <x v="10"/>
    <n v="68"/>
    <x v="1"/>
    <n v="11"/>
    <x v="0"/>
    <x v="5"/>
    <x v="5"/>
  </r>
  <r>
    <n v="1089"/>
    <s v="242510009"/>
    <x v="0"/>
    <x v="10"/>
    <s v="Nabire"/>
    <d v="2026-02-06T00:00:00"/>
    <s v="06"/>
    <x v="1"/>
    <s v="26"/>
    <x v="1"/>
    <x v="13"/>
    <x v="6"/>
    <s v="Real"/>
    <s v="Entrepreneur"/>
    <s v="Product development"/>
    <x v="0"/>
    <x v="0"/>
    <x v="1"/>
    <s v="F11.01.03"/>
    <n v="1"/>
    <s v="menganalisis kelas sosial masyarakat"/>
    <s v="01.03"/>
    <x v="18"/>
    <s v="K11"/>
    <s v="F"/>
    <n v="65"/>
    <n v="30"/>
    <s v="Tidak tuntas"/>
    <s v="Pendidikan Pancasila"/>
    <x v="0"/>
    <x v="10"/>
    <n v="30"/>
    <x v="3"/>
    <n v="11"/>
    <x v="0"/>
    <x v="4"/>
    <x v="5"/>
  </r>
  <r>
    <n v="1090"/>
    <s v="242510009"/>
    <x v="0"/>
    <x v="10"/>
    <s v="Nabire"/>
    <d v="2026-02-06T00:00:00"/>
    <s v="06"/>
    <x v="1"/>
    <s v="26"/>
    <x v="0"/>
    <x v="0"/>
    <x v="6"/>
    <s v="Real"/>
    <s v="Entrepreneur"/>
    <s v="Product development"/>
    <x v="0"/>
    <x v="0"/>
    <x v="1"/>
    <s v="F11.01.03"/>
    <n v="1"/>
    <s v="menganalisis kelas sosial masyarakat"/>
    <s v="01.03"/>
    <x v="18"/>
    <s v="K11"/>
    <s v="F"/>
    <n v="65"/>
    <n v="50"/>
    <s v="Tidak tuntas"/>
    <s v="Pendidikan Pancasila"/>
    <x v="0"/>
    <x v="10"/>
    <n v="50"/>
    <x v="3"/>
    <n v="11"/>
    <x v="0"/>
    <x v="4"/>
    <x v="5"/>
  </r>
  <r>
    <n v="1091"/>
    <s v="242510012"/>
    <x v="0"/>
    <x v="11"/>
    <s v="Intan Jaya"/>
    <d v="2026-01-12T00:00:00"/>
    <s v="12"/>
    <x v="0"/>
    <s v="26"/>
    <x v="3"/>
    <x v="4"/>
    <x v="15"/>
    <s v="Real"/>
    <s v="Entrepreneur"/>
    <s v="Product development"/>
    <x v="0"/>
    <x v="0"/>
    <x v="1"/>
    <s v="F11.01.01"/>
    <n v="1"/>
    <s v="menganalisis kelas sosial masyarakat"/>
    <s v="01.01"/>
    <x v="16"/>
    <s v="K11"/>
    <s v="F"/>
    <n v="65"/>
    <n v="73"/>
    <s v="Tuntas"/>
    <s v="Pendidikan Pancasila"/>
    <x v="0"/>
    <x v="10"/>
    <n v="73"/>
    <x v="1"/>
    <n v="11"/>
    <x v="1"/>
    <x v="1"/>
    <x v="2"/>
  </r>
  <r>
    <n v="1092"/>
    <s v="242510012"/>
    <x v="0"/>
    <x v="11"/>
    <s v="Intan Jaya"/>
    <d v="2026-01-12T00:00:00"/>
    <s v="12"/>
    <x v="0"/>
    <s v="26"/>
    <x v="0"/>
    <x v="0"/>
    <x v="2"/>
    <s v="Real"/>
    <s v="Entrepreneur"/>
    <s v="Product development"/>
    <x v="0"/>
    <x v="0"/>
    <x v="1"/>
    <s v="F11.01.01"/>
    <n v="1"/>
    <s v="menganalisis kelas sosial masyarakat"/>
    <s v="01.01"/>
    <x v="16"/>
    <s v="K11"/>
    <s v="F"/>
    <n v="65"/>
    <n v="68"/>
    <s v="Tuntas"/>
    <s v="Pendidikan Pancasila"/>
    <x v="0"/>
    <x v="10"/>
    <n v="68"/>
    <x v="1"/>
    <n v="11"/>
    <x v="0"/>
    <x v="1"/>
    <x v="2"/>
  </r>
  <r>
    <n v="1093"/>
    <s v="242510012"/>
    <x v="0"/>
    <x v="11"/>
    <s v="Intan Jaya"/>
    <d v="2026-01-12T00:00:00"/>
    <s v="12"/>
    <x v="0"/>
    <s v="26"/>
    <x v="2"/>
    <x v="3"/>
    <x v="2"/>
    <s v="Real"/>
    <s v="Entrepreneur"/>
    <s v="Product development"/>
    <x v="0"/>
    <x v="0"/>
    <x v="1"/>
    <s v="F11.01.01"/>
    <n v="1"/>
    <s v="menganalisis kelas sosial masyarakat"/>
    <s v="01.01"/>
    <x v="16"/>
    <s v="K11"/>
    <s v="F"/>
    <n v="65"/>
    <n v="65"/>
    <s v="Tuntas"/>
    <s v="Pendidikan Pancasila"/>
    <x v="0"/>
    <x v="10"/>
    <n v="65"/>
    <x v="1"/>
    <n v="11"/>
    <x v="0"/>
    <x v="1"/>
    <x v="2"/>
  </r>
  <r>
    <n v="1094"/>
    <s v="242510012"/>
    <x v="0"/>
    <x v="11"/>
    <s v="Intan Jaya"/>
    <d v="2026-01-12T00:00:00"/>
    <s v="12"/>
    <x v="0"/>
    <s v="26"/>
    <x v="4"/>
    <x v="5"/>
    <x v="0"/>
    <s v="Real"/>
    <s v="Entrepreneur"/>
    <s v="Product development"/>
    <x v="0"/>
    <x v="0"/>
    <x v="1"/>
    <s v="F11.01.01"/>
    <n v="1"/>
    <s v="menganalisis kelas sosial masyarakat"/>
    <s v="01.01"/>
    <x v="16"/>
    <s v="K11"/>
    <s v="F"/>
    <n v="65"/>
    <n v="65"/>
    <s v="Tuntas"/>
    <s v="Pendidikan Pancasila"/>
    <x v="0"/>
    <x v="10"/>
    <n v="65"/>
    <x v="1"/>
    <n v="11"/>
    <x v="0"/>
    <x v="1"/>
    <x v="2"/>
  </r>
  <r>
    <n v="1095"/>
    <s v="242510012"/>
    <x v="0"/>
    <x v="11"/>
    <s v="Intan Jaya"/>
    <d v="2026-01-26T00:00:00"/>
    <s v="26"/>
    <x v="0"/>
    <s v="26"/>
    <x v="0"/>
    <x v="0"/>
    <x v="6"/>
    <s v="Real"/>
    <s v="Entrepreneur"/>
    <s v="Product development"/>
    <x v="0"/>
    <x v="0"/>
    <x v="1"/>
    <s v="F11.01.02"/>
    <n v="1"/>
    <s v="menganalisis kelas sosial masyarakat"/>
    <s v="01.02"/>
    <x v="17"/>
    <s v="K11"/>
    <s v="F"/>
    <n v="65"/>
    <n v="83"/>
    <s v="Tuntas"/>
    <s v="Pendidikan Pancasila"/>
    <x v="0"/>
    <x v="10"/>
    <n v="83"/>
    <x v="2"/>
    <n v="11"/>
    <x v="0"/>
    <x v="3"/>
    <x v="2"/>
  </r>
  <r>
    <n v="1096"/>
    <s v="242510012"/>
    <x v="0"/>
    <x v="11"/>
    <s v="Intan Jaya"/>
    <d v="2026-01-26T00:00:00"/>
    <s v="26"/>
    <x v="0"/>
    <s v="26"/>
    <x v="2"/>
    <x v="6"/>
    <x v="6"/>
    <s v="Real"/>
    <s v="Entrepreneur"/>
    <s v="Product development"/>
    <x v="0"/>
    <x v="0"/>
    <x v="1"/>
    <s v="F11.01.02"/>
    <n v="1"/>
    <s v="menganalisis kelas sosial masyarakat"/>
    <s v="01.02"/>
    <x v="17"/>
    <s v="K11"/>
    <s v="F"/>
    <n v="65"/>
    <n v="77"/>
    <s v="Tuntas"/>
    <s v="Pendidikan Pancasila"/>
    <x v="0"/>
    <x v="10"/>
    <n v="77"/>
    <x v="1"/>
    <n v="11"/>
    <x v="0"/>
    <x v="3"/>
    <x v="2"/>
  </r>
  <r>
    <n v="1097"/>
    <s v="242510012"/>
    <x v="0"/>
    <x v="11"/>
    <s v="Intan Jaya"/>
    <d v="2026-01-26T00:00:00"/>
    <s v="26"/>
    <x v="0"/>
    <s v="26"/>
    <x v="3"/>
    <x v="8"/>
    <x v="10"/>
    <s v="Real"/>
    <s v="Entrepreneur"/>
    <s v="Product development"/>
    <x v="0"/>
    <x v="0"/>
    <x v="1"/>
    <s v="F11.01.02"/>
    <n v="1"/>
    <s v="menganalisis kelas sosial masyarakat"/>
    <s v="01.02"/>
    <x v="17"/>
    <s v="K11"/>
    <s v="F"/>
    <n v="65"/>
    <n v="75"/>
    <s v="Tuntas"/>
    <s v="Pendidikan Pancasila"/>
    <x v="0"/>
    <x v="10"/>
    <n v="75"/>
    <x v="1"/>
    <n v="11"/>
    <x v="1"/>
    <x v="3"/>
    <x v="2"/>
  </r>
  <r>
    <n v="1098"/>
    <s v="242510012"/>
    <x v="0"/>
    <x v="11"/>
    <s v="Intan Jaya"/>
    <d v="2026-01-26T00:00:00"/>
    <s v="26"/>
    <x v="0"/>
    <s v="26"/>
    <x v="4"/>
    <x v="5"/>
    <x v="0"/>
    <s v="Real"/>
    <s v="Entrepreneur"/>
    <s v="Product development"/>
    <x v="0"/>
    <x v="0"/>
    <x v="1"/>
    <s v="F11.01.02"/>
    <n v="1"/>
    <s v="menganalisis kelas sosial masyarakat"/>
    <s v="01.02"/>
    <x v="17"/>
    <s v="K11"/>
    <s v="F"/>
    <n v="65"/>
    <n v="65"/>
    <s v="Tuntas"/>
    <s v="Pendidikan Pancasila"/>
    <x v="0"/>
    <x v="10"/>
    <n v="65"/>
    <x v="1"/>
    <n v="11"/>
    <x v="0"/>
    <x v="3"/>
    <x v="2"/>
  </r>
  <r>
    <n v="1099"/>
    <s v="242510012"/>
    <x v="0"/>
    <x v="11"/>
    <s v="Intan Jaya"/>
    <d v="2026-02-02T00:00:00"/>
    <s v="02"/>
    <x v="1"/>
    <s v="26"/>
    <x v="3"/>
    <x v="8"/>
    <x v="16"/>
    <s v="Real"/>
    <s v="Entrepreneur"/>
    <s v="Product development"/>
    <x v="0"/>
    <x v="0"/>
    <x v="1"/>
    <s v="F11.01.03"/>
    <n v="1"/>
    <s v="menganalisis kelas sosial masyarakat"/>
    <s v="01.03"/>
    <x v="18"/>
    <s v="K11"/>
    <s v="F"/>
    <n v="65"/>
    <n v="75"/>
    <s v="Tuntas"/>
    <s v="Pendidikan Pancasila"/>
    <x v="0"/>
    <x v="10"/>
    <n v="75"/>
    <x v="1"/>
    <n v="11"/>
    <x v="1"/>
    <x v="4"/>
    <x v="2"/>
  </r>
  <r>
    <n v="1100"/>
    <s v="242510012"/>
    <x v="0"/>
    <x v="11"/>
    <s v="Intan Jaya"/>
    <d v="2026-02-02T00:00:00"/>
    <s v="02"/>
    <x v="1"/>
    <s v="26"/>
    <x v="4"/>
    <x v="5"/>
    <x v="0"/>
    <s v="Real"/>
    <s v="Entrepreneur"/>
    <s v="Product development"/>
    <x v="0"/>
    <x v="0"/>
    <x v="1"/>
    <s v="F11.01.03"/>
    <n v="1"/>
    <s v="menganalisis kelas sosial masyarakat"/>
    <s v="01.03"/>
    <x v="18"/>
    <s v="K11"/>
    <s v="F"/>
    <n v="65"/>
    <n v="75"/>
    <s v="Tuntas"/>
    <s v="Pendidikan Pancasila"/>
    <x v="0"/>
    <x v="10"/>
    <n v="75"/>
    <x v="1"/>
    <n v="11"/>
    <x v="0"/>
    <x v="4"/>
    <x v="2"/>
  </r>
  <r>
    <n v="1101"/>
    <s v="242510012"/>
    <x v="0"/>
    <x v="11"/>
    <s v="Intan Jaya"/>
    <d v="2026-02-02T00:00:00"/>
    <s v="02"/>
    <x v="1"/>
    <s v="26"/>
    <x v="1"/>
    <x v="9"/>
    <x v="6"/>
    <s v="Real"/>
    <s v="Entrepreneur"/>
    <s v="Product development"/>
    <x v="0"/>
    <x v="0"/>
    <x v="1"/>
    <s v="F11.01.03"/>
    <n v="1"/>
    <s v="menganalisis kelas sosial masyarakat"/>
    <s v="01.03"/>
    <x v="18"/>
    <s v="K11"/>
    <s v="F"/>
    <n v="65"/>
    <n v="70"/>
    <s v="Tuntas"/>
    <s v="Pendidikan Pancasila"/>
    <x v="0"/>
    <x v="10"/>
    <n v="70"/>
    <x v="1"/>
    <n v="11"/>
    <x v="0"/>
    <x v="4"/>
    <x v="2"/>
  </r>
  <r>
    <n v="1102"/>
    <s v="242510012"/>
    <x v="0"/>
    <x v="11"/>
    <s v="Intan Jaya"/>
    <d v="2026-02-02T00:00:00"/>
    <s v="02"/>
    <x v="1"/>
    <s v="26"/>
    <x v="2"/>
    <x v="6"/>
    <x v="6"/>
    <s v="Real"/>
    <s v="Entrepreneur"/>
    <s v="Product development"/>
    <x v="0"/>
    <x v="0"/>
    <x v="1"/>
    <s v="F11.01.03"/>
    <n v="1"/>
    <s v="menganalisis kelas sosial masyarakat"/>
    <s v="01.03"/>
    <x v="18"/>
    <s v="K11"/>
    <s v="F"/>
    <n v="65"/>
    <n v="70"/>
    <s v="Tuntas"/>
    <s v="Pendidikan Pancasila"/>
    <x v="0"/>
    <x v="10"/>
    <n v="70"/>
    <x v="1"/>
    <n v="11"/>
    <x v="0"/>
    <x v="4"/>
    <x v="2"/>
  </r>
  <r>
    <n v="1103"/>
    <s v="242510012"/>
    <x v="0"/>
    <x v="11"/>
    <s v="Intan Jaya"/>
    <d v="2026-02-02T00:00:00"/>
    <s v="02"/>
    <x v="1"/>
    <s v="26"/>
    <x v="0"/>
    <x v="0"/>
    <x v="9"/>
    <s v="Real"/>
    <s v="Entrepreneur"/>
    <s v="Product development"/>
    <x v="0"/>
    <x v="0"/>
    <x v="1"/>
    <s v="F11.01.03"/>
    <n v="1"/>
    <s v="menganalisis kelas sosial masyarakat"/>
    <s v="01.03"/>
    <x v="18"/>
    <s v="K11"/>
    <s v="F"/>
    <n v="65"/>
    <n v="72"/>
    <s v="Tuntas"/>
    <s v="Pendidikan Pancasila"/>
    <x v="0"/>
    <x v="10"/>
    <n v="72"/>
    <x v="1"/>
    <n v="11"/>
    <x v="0"/>
    <x v="4"/>
    <x v="2"/>
  </r>
  <r>
    <n v="1104"/>
    <s v="242510012"/>
    <x v="0"/>
    <x v="11"/>
    <s v="Intan Jaya"/>
    <d v="2026-02-09T00:00:00"/>
    <s v="09"/>
    <x v="1"/>
    <s v="26"/>
    <x v="0"/>
    <x v="2"/>
    <x v="17"/>
    <s v="Real"/>
    <s v="Entrepreneur"/>
    <s v="Product development"/>
    <x v="0"/>
    <x v="0"/>
    <x v="1"/>
    <s v="F11.01.01"/>
    <n v="1"/>
    <s v="menganalisis kelas sosial masyarakat"/>
    <s v="01.01"/>
    <x v="16"/>
    <s v="K11"/>
    <s v="F"/>
    <n v="65"/>
    <n v="73"/>
    <s v="Tuntas"/>
    <s v="Pendidikan Pancasila"/>
    <x v="0"/>
    <x v="10"/>
    <n v="73"/>
    <x v="1"/>
    <n v="11"/>
    <x v="0"/>
    <x v="5"/>
    <x v="2"/>
  </r>
  <r>
    <n v="1105"/>
    <s v="242510012"/>
    <x v="0"/>
    <x v="11"/>
    <s v="Intan Jaya"/>
    <d v="2026-02-09T00:00:00"/>
    <s v="09"/>
    <x v="1"/>
    <s v="26"/>
    <x v="0"/>
    <x v="2"/>
    <x v="17"/>
    <s v="Real"/>
    <s v="Entrepreneur"/>
    <s v="Product development"/>
    <x v="0"/>
    <x v="0"/>
    <x v="1"/>
    <s v="F11.01.02"/>
    <n v="1"/>
    <s v="menganalisis kelas sosial masyarakat"/>
    <s v="01.02"/>
    <x v="17"/>
    <s v="K11"/>
    <s v="F"/>
    <n v="65"/>
    <n v="76"/>
    <s v="Tuntas"/>
    <s v="Pendidikan Pancasila"/>
    <x v="0"/>
    <x v="10"/>
    <n v="76"/>
    <x v="1"/>
    <n v="11"/>
    <x v="0"/>
    <x v="5"/>
    <x v="2"/>
  </r>
  <r>
    <n v="1106"/>
    <s v="242510012"/>
    <x v="0"/>
    <x v="11"/>
    <s v="Intan Jaya"/>
    <d v="2026-02-06T00:00:00"/>
    <s v="06"/>
    <x v="1"/>
    <s v="26"/>
    <x v="1"/>
    <x v="13"/>
    <x v="6"/>
    <s v="Real"/>
    <s v="Entrepreneur"/>
    <s v="Product development"/>
    <x v="0"/>
    <x v="0"/>
    <x v="1"/>
    <s v="F11.01.03"/>
    <n v="1"/>
    <s v="menganalisis kelas sosial masyarakat"/>
    <s v="01.03"/>
    <x v="18"/>
    <s v="K11"/>
    <s v="F"/>
    <n v="65"/>
    <n v="50"/>
    <s v="Tidak tuntas"/>
    <s v="Pendidikan Pancasila"/>
    <x v="0"/>
    <x v="10"/>
    <n v="50"/>
    <x v="3"/>
    <n v="11"/>
    <x v="0"/>
    <x v="4"/>
    <x v="2"/>
  </r>
  <r>
    <n v="1107"/>
    <s v="242510012"/>
    <x v="0"/>
    <x v="11"/>
    <s v="Intan Jaya"/>
    <d v="2026-02-06T00:00:00"/>
    <s v="06"/>
    <x v="1"/>
    <s v="26"/>
    <x v="0"/>
    <x v="0"/>
    <x v="6"/>
    <s v="Real"/>
    <s v="Entrepreneur"/>
    <s v="Product development"/>
    <x v="0"/>
    <x v="0"/>
    <x v="1"/>
    <s v="F11.01.03"/>
    <n v="1"/>
    <s v="menganalisis kelas sosial masyarakat"/>
    <s v="01.03"/>
    <x v="18"/>
    <s v="K11"/>
    <s v="F"/>
    <n v="65"/>
    <n v="65"/>
    <s v="Tuntas"/>
    <s v="Pendidikan Pancasila"/>
    <x v="0"/>
    <x v="10"/>
    <n v="65"/>
    <x v="1"/>
    <n v="11"/>
    <x v="0"/>
    <x v="4"/>
    <x v="2"/>
  </r>
  <r>
    <n v="1108"/>
    <s v="242510001"/>
    <x v="0"/>
    <x v="4"/>
    <s v="Intan Jaya"/>
    <d v="2026-01-14T00:00:00"/>
    <s v="14"/>
    <x v="0"/>
    <s v="26"/>
    <x v="0"/>
    <x v="0"/>
    <x v="6"/>
    <s v="Real"/>
    <s v="Entrepreneur"/>
    <s v="Product development"/>
    <x v="0"/>
    <x v="0"/>
    <x v="1"/>
    <s v="F11.01.01"/>
    <n v="1"/>
    <s v="menganalisis kelas sosial dalam Masyarakat"/>
    <s v="01.01"/>
    <x v="19"/>
    <s v="K11"/>
    <s v="F"/>
    <n v="65"/>
    <n v="85"/>
    <s v="Tuntas"/>
    <s v="Sejarah"/>
    <x v="1"/>
    <x v="11"/>
    <n v="85"/>
    <x v="2"/>
    <n v="11"/>
    <x v="0"/>
    <x v="1"/>
    <x v="2"/>
  </r>
  <r>
    <n v="1109"/>
    <s v="242510001"/>
    <x v="0"/>
    <x v="4"/>
    <s v="Intan Jaya"/>
    <d v="2026-01-14T00:00:00"/>
    <s v="14"/>
    <x v="0"/>
    <s v="26"/>
    <x v="2"/>
    <x v="3"/>
    <x v="6"/>
    <s v="Real"/>
    <s v="Entrepreneur"/>
    <s v="Product development"/>
    <x v="0"/>
    <x v="0"/>
    <x v="1"/>
    <s v="F11.01.01"/>
    <n v="1"/>
    <s v="menganalisis kelas sosial dalam Masyarakat"/>
    <s v="01.01"/>
    <x v="19"/>
    <s v="K11"/>
    <s v="F"/>
    <n v="65"/>
    <n v="75"/>
    <s v="Tuntas"/>
    <s v="Sejarah"/>
    <x v="1"/>
    <x v="11"/>
    <n v="75"/>
    <x v="1"/>
    <n v="11"/>
    <x v="0"/>
    <x v="1"/>
    <x v="2"/>
  </r>
  <r>
    <n v="1110"/>
    <s v="242510001"/>
    <x v="0"/>
    <x v="4"/>
    <s v="Intan Jaya"/>
    <d v="2026-01-14T00:00:00"/>
    <s v="14"/>
    <x v="0"/>
    <s v="26"/>
    <x v="3"/>
    <x v="4"/>
    <x v="5"/>
    <s v="Real"/>
    <s v="Entrepreneur"/>
    <s v="Product development"/>
    <x v="0"/>
    <x v="0"/>
    <x v="1"/>
    <s v="F11.01.01"/>
    <n v="1"/>
    <s v="menganalisis kelas sosial dalam Masyarakat"/>
    <s v="01.01"/>
    <x v="19"/>
    <s v="K11"/>
    <s v="F"/>
    <n v="65"/>
    <n v="95"/>
    <s v="Tuntas"/>
    <s v="Sejarah"/>
    <x v="1"/>
    <x v="11"/>
    <n v="95"/>
    <x v="4"/>
    <n v="11"/>
    <x v="4"/>
    <x v="1"/>
    <x v="2"/>
  </r>
  <r>
    <n v="1111"/>
    <s v="242510001"/>
    <x v="0"/>
    <x v="4"/>
    <s v="Intan Jaya"/>
    <d v="2026-01-14T00:00:00"/>
    <s v="14"/>
    <x v="0"/>
    <s v="26"/>
    <x v="4"/>
    <x v="5"/>
    <x v="0"/>
    <s v="Real"/>
    <s v="Entrepreneur"/>
    <s v="Product development"/>
    <x v="0"/>
    <x v="0"/>
    <x v="1"/>
    <s v="F11.01.01"/>
    <n v="1"/>
    <s v="menganalisis kelas sosial dalam Masyarakat"/>
    <s v="01.01"/>
    <x v="19"/>
    <s v="K11"/>
    <s v="F"/>
    <n v="65"/>
    <n v="70"/>
    <s v="Tuntas"/>
    <s v="Sejarah"/>
    <x v="1"/>
    <x v="11"/>
    <n v="70"/>
    <x v="1"/>
    <n v="11"/>
    <x v="0"/>
    <x v="1"/>
    <x v="2"/>
  </r>
  <r>
    <n v="1112"/>
    <s v="242510001"/>
    <x v="0"/>
    <x v="4"/>
    <s v="Intan Jaya"/>
    <d v="2026-01-21T00:00:00"/>
    <s v="21"/>
    <x v="0"/>
    <s v="26"/>
    <x v="0"/>
    <x v="0"/>
    <x v="6"/>
    <s v="Real"/>
    <s v="Entrepreneur"/>
    <s v="Product development"/>
    <x v="0"/>
    <x v="0"/>
    <x v="1"/>
    <s v="F11.01.01"/>
    <n v="1"/>
    <s v="menganalisis kelas sosial dalam Masyarakat"/>
    <s v="01.01"/>
    <x v="19"/>
    <s v="K11"/>
    <s v="F"/>
    <n v="65"/>
    <n v="70"/>
    <s v="Tuntas"/>
    <s v="Sejarah"/>
    <x v="1"/>
    <x v="11"/>
    <n v="70"/>
    <x v="1"/>
    <n v="11"/>
    <x v="0"/>
    <x v="2"/>
    <x v="2"/>
  </r>
  <r>
    <n v="1113"/>
    <s v="242510001"/>
    <x v="0"/>
    <x v="4"/>
    <s v="Intan Jaya"/>
    <d v="2026-01-21T00:00:00"/>
    <s v="21"/>
    <x v="0"/>
    <s v="26"/>
    <x v="2"/>
    <x v="6"/>
    <x v="0"/>
    <s v="Real"/>
    <s v="Entrepreneur"/>
    <s v="Product development"/>
    <x v="0"/>
    <x v="0"/>
    <x v="1"/>
    <s v="F11.01.01"/>
    <n v="1"/>
    <s v="menganalisis kelas sosial dalam Masyarakat"/>
    <s v="01.01"/>
    <x v="19"/>
    <s v="K11"/>
    <s v="F"/>
    <n v="65"/>
    <n v="68"/>
    <s v="Tuntas"/>
    <s v="Sejarah"/>
    <x v="1"/>
    <x v="11"/>
    <n v="68"/>
    <x v="1"/>
    <n v="11"/>
    <x v="0"/>
    <x v="2"/>
    <x v="2"/>
  </r>
  <r>
    <n v="1114"/>
    <s v="242510001"/>
    <x v="0"/>
    <x v="4"/>
    <s v="Intan Jaya"/>
    <d v="2026-01-21T00:00:00"/>
    <s v="21"/>
    <x v="0"/>
    <s v="26"/>
    <x v="3"/>
    <x v="4"/>
    <x v="3"/>
    <s v="Real"/>
    <s v="Entrepreneur"/>
    <s v="Product development"/>
    <x v="0"/>
    <x v="0"/>
    <x v="1"/>
    <s v="F11.01.01"/>
    <n v="1"/>
    <s v="menganalisis kelas sosial dalam Masyarakat"/>
    <s v="01.01"/>
    <x v="19"/>
    <s v="K11"/>
    <s v="F"/>
    <n v="65"/>
    <n v="80"/>
    <s v="Tuntas"/>
    <s v="Sejarah"/>
    <x v="1"/>
    <x v="11"/>
    <n v="80"/>
    <x v="2"/>
    <n v="11"/>
    <x v="2"/>
    <x v="2"/>
    <x v="2"/>
  </r>
  <r>
    <n v="1115"/>
    <s v="242510001"/>
    <x v="0"/>
    <x v="4"/>
    <s v="Intan Jaya"/>
    <d v="2026-01-21T00:00:00"/>
    <s v="21"/>
    <x v="0"/>
    <s v="26"/>
    <x v="4"/>
    <x v="5"/>
    <x v="0"/>
    <s v="Real"/>
    <s v="Entrepreneur"/>
    <s v="Product development"/>
    <x v="0"/>
    <x v="0"/>
    <x v="1"/>
    <s v="F11.02.01"/>
    <n v="2"/>
    <s v=""/>
    <s v="02.01"/>
    <x v="20"/>
    <s v="K11"/>
    <s v="F"/>
    <n v="65"/>
    <n v="70"/>
    <s v="Tuntas"/>
    <s v="Sejarah"/>
    <x v="1"/>
    <x v="11"/>
    <n v="70"/>
    <x v="1"/>
    <n v="11"/>
    <x v="0"/>
    <x v="2"/>
    <x v="2"/>
  </r>
  <r>
    <n v="1116"/>
    <s v="242510001"/>
    <x v="0"/>
    <x v="4"/>
    <s v="Intan Jaya"/>
    <d v="2026-01-28T00:00:00"/>
    <s v="28"/>
    <x v="0"/>
    <s v="26"/>
    <x v="0"/>
    <x v="0"/>
    <x v="6"/>
    <s v="Real"/>
    <s v="Entrepreneur"/>
    <s v="Product development"/>
    <x v="0"/>
    <x v="0"/>
    <x v="1"/>
    <s v="F11.02.01"/>
    <n v="2"/>
    <s v=""/>
    <s v="02.01"/>
    <x v="20"/>
    <s v="K11"/>
    <s v="F"/>
    <n v="65"/>
    <n v="85"/>
    <s v="Tuntas"/>
    <s v="Sejarah"/>
    <x v="1"/>
    <x v="11"/>
    <n v="85"/>
    <x v="2"/>
    <n v="11"/>
    <x v="0"/>
    <x v="3"/>
    <x v="2"/>
  </r>
  <r>
    <n v="1117"/>
    <s v="242510001"/>
    <x v="0"/>
    <x v="4"/>
    <s v="Intan Jaya"/>
    <d v="2026-01-28T00:00:00"/>
    <s v="28"/>
    <x v="0"/>
    <s v="26"/>
    <x v="2"/>
    <x v="6"/>
    <x v="6"/>
    <s v="Real"/>
    <s v="Entrepreneur"/>
    <s v="Product development"/>
    <x v="0"/>
    <x v="0"/>
    <x v="1"/>
    <s v="F11.02.01"/>
    <n v="2"/>
    <s v=""/>
    <s v="02.01"/>
    <x v="20"/>
    <s v="K11"/>
    <s v="F"/>
    <n v="65"/>
    <n v="75"/>
    <s v="Tuntas"/>
    <s v="Sejarah"/>
    <x v="1"/>
    <x v="11"/>
    <n v="75"/>
    <x v="1"/>
    <n v="11"/>
    <x v="0"/>
    <x v="3"/>
    <x v="2"/>
  </r>
  <r>
    <n v="1118"/>
    <s v="242510001"/>
    <x v="0"/>
    <x v="4"/>
    <s v="Intan Jaya"/>
    <d v="2026-01-28T00:00:00"/>
    <s v="28"/>
    <x v="0"/>
    <s v="26"/>
    <x v="3"/>
    <x v="4"/>
    <x v="5"/>
    <s v="Real"/>
    <s v="Entrepreneur"/>
    <s v="Product development"/>
    <x v="0"/>
    <x v="0"/>
    <x v="1"/>
    <s v="F11.02.01"/>
    <n v="2"/>
    <s v=""/>
    <s v="02.01"/>
    <x v="20"/>
    <s v="K11"/>
    <s v="F"/>
    <n v="65"/>
    <n v="80"/>
    <s v="Tuntas"/>
    <s v="Sejarah"/>
    <x v="1"/>
    <x v="11"/>
    <n v="80"/>
    <x v="2"/>
    <n v="11"/>
    <x v="2"/>
    <x v="3"/>
    <x v="2"/>
  </r>
  <r>
    <n v="1119"/>
    <s v="242510001"/>
    <x v="0"/>
    <x v="4"/>
    <s v="Intan Jaya"/>
    <d v="2026-01-28T00:00:00"/>
    <s v="28"/>
    <x v="0"/>
    <s v="26"/>
    <x v="4"/>
    <x v="5"/>
    <x v="0"/>
    <s v="Real"/>
    <s v="Entrepreneur"/>
    <s v="Product development"/>
    <x v="0"/>
    <x v="0"/>
    <x v="1"/>
    <s v="F11.02.01"/>
    <n v="2"/>
    <s v=""/>
    <s v="02.01"/>
    <x v="20"/>
    <s v="K11"/>
    <s v="F"/>
    <n v="65"/>
    <n v="75"/>
    <s v="Tuntas"/>
    <s v="Sejarah"/>
    <x v="1"/>
    <x v="11"/>
    <n v="75"/>
    <x v="1"/>
    <n v="11"/>
    <x v="0"/>
    <x v="3"/>
    <x v="2"/>
  </r>
  <r>
    <n v="1120"/>
    <s v="242510001"/>
    <x v="0"/>
    <x v="4"/>
    <s v="Intan Jaya"/>
    <d v="2026-02-04T00:00:00"/>
    <s v="04"/>
    <x v="1"/>
    <s v="26"/>
    <x v="0"/>
    <x v="0"/>
    <x v="6"/>
    <s v="Real"/>
    <s v="Entrepreneur"/>
    <s v="Product development"/>
    <x v="0"/>
    <x v="0"/>
    <x v="1"/>
    <s v="F11.02.01"/>
    <n v="2"/>
    <s v=""/>
    <s v="02.01"/>
    <x v="20"/>
    <s v="K11"/>
    <s v="F"/>
    <n v="65"/>
    <n v="70"/>
    <s v="Tuntas"/>
    <s v="Sejarah"/>
    <x v="1"/>
    <x v="11"/>
    <n v="70"/>
    <x v="1"/>
    <n v="11"/>
    <x v="0"/>
    <x v="4"/>
    <x v="2"/>
  </r>
  <r>
    <n v="1121"/>
    <s v="242510001"/>
    <x v="0"/>
    <x v="4"/>
    <s v="Intan Jaya"/>
    <d v="2026-02-04T00:00:00"/>
    <s v="04"/>
    <x v="1"/>
    <s v="26"/>
    <x v="2"/>
    <x v="6"/>
    <x v="6"/>
    <s v="Real"/>
    <s v="Entrepreneur"/>
    <s v="Product development"/>
    <x v="0"/>
    <x v="0"/>
    <x v="1"/>
    <s v="F11.02.01"/>
    <n v="2"/>
    <s v=""/>
    <s v="02.01"/>
    <x v="20"/>
    <s v="K11"/>
    <s v="F"/>
    <n v="65"/>
    <n v="85"/>
    <s v="Tuntas"/>
    <s v="Sejarah"/>
    <x v="1"/>
    <x v="11"/>
    <n v="85"/>
    <x v="2"/>
    <n v="11"/>
    <x v="0"/>
    <x v="4"/>
    <x v="2"/>
  </r>
  <r>
    <n v="1122"/>
    <s v="242510001"/>
    <x v="0"/>
    <x v="4"/>
    <s v="Intan Jaya"/>
    <d v="2026-02-04T00:00:00"/>
    <s v="04"/>
    <x v="1"/>
    <s v="26"/>
    <x v="3"/>
    <x v="4"/>
    <x v="3"/>
    <s v="Real"/>
    <s v="Entrepreneur"/>
    <s v="Product development"/>
    <x v="0"/>
    <x v="0"/>
    <x v="1"/>
    <s v="F11.02.01"/>
    <n v="2"/>
    <s v=""/>
    <s v="02.01"/>
    <x v="20"/>
    <s v="K11"/>
    <s v="F"/>
    <n v="65"/>
    <n v="70"/>
    <s v="Tuntas"/>
    <s v="Sejarah"/>
    <x v="1"/>
    <x v="11"/>
    <n v="70"/>
    <x v="1"/>
    <n v="11"/>
    <x v="1"/>
    <x v="4"/>
    <x v="2"/>
  </r>
  <r>
    <n v="1123"/>
    <s v="242510001"/>
    <x v="0"/>
    <x v="4"/>
    <s v="Intan Jaya"/>
    <d v="2026-02-04T00:00:00"/>
    <s v="04"/>
    <x v="1"/>
    <s v="26"/>
    <x v="4"/>
    <x v="5"/>
    <x v="0"/>
    <s v="Real"/>
    <s v="Entrepreneur"/>
    <s v="Product development"/>
    <x v="0"/>
    <x v="0"/>
    <x v="1"/>
    <s v="F11.02.01"/>
    <n v="2"/>
    <s v=""/>
    <s v="02.01"/>
    <x v="20"/>
    <s v="K11"/>
    <s v="F"/>
    <n v="65"/>
    <n v="65"/>
    <s v="Tuntas"/>
    <s v="Sejarah"/>
    <x v="1"/>
    <x v="11"/>
    <n v="65"/>
    <x v="1"/>
    <n v="11"/>
    <x v="0"/>
    <x v="4"/>
    <x v="2"/>
  </r>
  <r>
    <n v="1124"/>
    <s v="242510001"/>
    <x v="0"/>
    <x v="4"/>
    <s v="Intan Jaya"/>
    <d v="2026-02-11T00:00:00"/>
    <s v="11"/>
    <x v="1"/>
    <s v="26"/>
    <x v="0"/>
    <x v="0"/>
    <x v="6"/>
    <s v="Real"/>
    <s v="Entrepreneur"/>
    <s v="Product development"/>
    <x v="0"/>
    <x v="0"/>
    <x v="1"/>
    <s v="F11.03.01"/>
    <n v="3"/>
    <s v=""/>
    <s v="03.01"/>
    <x v="21"/>
    <s v="K11"/>
    <s v="F"/>
    <n v="65"/>
    <n v="70"/>
    <s v="Tuntas"/>
    <s v="Sejarah"/>
    <x v="1"/>
    <x v="11"/>
    <n v="70"/>
    <x v="1"/>
    <n v="11"/>
    <x v="0"/>
    <x v="5"/>
    <x v="2"/>
  </r>
  <r>
    <n v="1125"/>
    <s v="242510001"/>
    <x v="0"/>
    <x v="4"/>
    <s v="Intan Jaya"/>
    <d v="2026-02-11T00:00:00"/>
    <s v="11"/>
    <x v="1"/>
    <s v="26"/>
    <x v="2"/>
    <x v="6"/>
    <x v="6"/>
    <s v="Real"/>
    <s v="Entrepreneur"/>
    <s v="Product development"/>
    <x v="0"/>
    <x v="0"/>
    <x v="1"/>
    <s v="F11.03.01"/>
    <n v="3"/>
    <s v=""/>
    <s v="03.01"/>
    <x v="21"/>
    <s v="K11"/>
    <s v="F"/>
    <n v="65"/>
    <n v="65"/>
    <s v="Tuntas"/>
    <s v="Sejarah"/>
    <x v="1"/>
    <x v="11"/>
    <n v="65"/>
    <x v="1"/>
    <n v="11"/>
    <x v="0"/>
    <x v="5"/>
    <x v="2"/>
  </r>
  <r>
    <n v="1126"/>
    <s v="242510001"/>
    <x v="0"/>
    <x v="4"/>
    <s v="Intan Jaya"/>
    <d v="2026-02-11T00:00:00"/>
    <s v="11"/>
    <x v="1"/>
    <s v="26"/>
    <x v="3"/>
    <x v="4"/>
    <x v="3"/>
    <s v="Real"/>
    <s v="Entrepreneur"/>
    <s v="Product development"/>
    <x v="0"/>
    <x v="0"/>
    <x v="1"/>
    <s v="F11.03.01"/>
    <n v="3"/>
    <s v=""/>
    <s v="03.01"/>
    <x v="21"/>
    <s v="K11"/>
    <s v="F"/>
    <n v="65"/>
    <n v="75"/>
    <s v="Tuntas"/>
    <s v="Sejarah"/>
    <x v="1"/>
    <x v="11"/>
    <n v="75"/>
    <x v="1"/>
    <n v="11"/>
    <x v="1"/>
    <x v="5"/>
    <x v="2"/>
  </r>
  <r>
    <n v="1127"/>
    <s v="242510001"/>
    <x v="0"/>
    <x v="4"/>
    <s v="Intan Jaya"/>
    <d v="2026-02-11T00:00:00"/>
    <s v="11"/>
    <x v="1"/>
    <s v="26"/>
    <x v="4"/>
    <x v="5"/>
    <x v="0"/>
    <s v="Real"/>
    <s v="Entrepreneur"/>
    <s v="Product development"/>
    <x v="0"/>
    <x v="0"/>
    <x v="1"/>
    <s v="F11.03.01"/>
    <n v="3"/>
    <s v=""/>
    <s v="03.01"/>
    <x v="21"/>
    <s v="K11"/>
    <s v="F"/>
    <n v="65"/>
    <n v="70"/>
    <s v="Tuntas"/>
    <s v="Sejarah"/>
    <x v="1"/>
    <x v="11"/>
    <n v="70"/>
    <x v="1"/>
    <n v="11"/>
    <x v="0"/>
    <x v="5"/>
    <x v="2"/>
  </r>
  <r>
    <n v="1128"/>
    <s v="242510001"/>
    <x v="0"/>
    <x v="4"/>
    <s v="Intan Jaya"/>
    <d v="2026-02-18T00:00:00"/>
    <s v="18"/>
    <x v="1"/>
    <s v="26"/>
    <x v="0"/>
    <x v="2"/>
    <x v="17"/>
    <s v="Real"/>
    <s v="Entrepreneur"/>
    <s v="Product development"/>
    <x v="0"/>
    <x v="0"/>
    <x v="1"/>
    <s v="F11.01.01"/>
    <n v="1"/>
    <s v="menganalisis kelas sosial dalam Masyarakat"/>
    <s v="01.01"/>
    <x v="19"/>
    <s v="K11"/>
    <s v="F"/>
    <n v="65"/>
    <n v="70"/>
    <s v="Tuntas"/>
    <s v="Sejarah"/>
    <x v="1"/>
    <x v="11"/>
    <n v="70"/>
    <x v="1"/>
    <n v="11"/>
    <x v="0"/>
    <x v="6"/>
    <x v="2"/>
  </r>
  <r>
    <n v="1129"/>
    <s v="242510001"/>
    <x v="0"/>
    <x v="4"/>
    <s v="Intan Jaya"/>
    <d v="2026-02-18T00:00:00"/>
    <s v="18"/>
    <x v="1"/>
    <s v="26"/>
    <x v="3"/>
    <x v="4"/>
    <x v="3"/>
    <s v="Real"/>
    <s v="Entrepreneur"/>
    <s v="Product development"/>
    <x v="0"/>
    <x v="0"/>
    <x v="1"/>
    <s v="F11.01.01"/>
    <n v="1"/>
    <s v="menganalisis kelas sosial dalam Masyarakat"/>
    <s v="01.01"/>
    <x v="19"/>
    <s v="K11"/>
    <s v="F"/>
    <n v="65"/>
    <n v="70"/>
    <s v="Tuntas"/>
    <s v="Sejarah"/>
    <x v="1"/>
    <x v="11"/>
    <n v="70"/>
    <x v="1"/>
    <n v="11"/>
    <x v="1"/>
    <x v="6"/>
    <x v="2"/>
  </r>
  <r>
    <n v="1130"/>
    <s v="242510007"/>
    <x v="0"/>
    <x v="5"/>
    <s v="Intan Jaya"/>
    <d v="2026-01-14T00:00:00"/>
    <s v="14"/>
    <x v="0"/>
    <s v="26"/>
    <x v="0"/>
    <x v="0"/>
    <x v="6"/>
    <s v="Real"/>
    <s v="Entrepreneur"/>
    <s v="Product development"/>
    <x v="0"/>
    <x v="0"/>
    <x v="1"/>
    <s v="F11.01.01"/>
    <n v="1"/>
    <s v="menganalisis kelas sosial dalam Masyarakat"/>
    <s v="01.01"/>
    <x v="19"/>
    <s v="K11"/>
    <s v="F"/>
    <n v="65"/>
    <n v="70"/>
    <s v="Tuntas"/>
    <s v="Sejarah"/>
    <x v="1"/>
    <x v="11"/>
    <n v="70"/>
    <x v="1"/>
    <n v="11"/>
    <x v="0"/>
    <x v="1"/>
    <x v="3"/>
  </r>
  <r>
    <n v="1131"/>
    <s v="242510007"/>
    <x v="0"/>
    <x v="5"/>
    <s v="Intan Jaya"/>
    <d v="2026-01-14T00:00:00"/>
    <s v="14"/>
    <x v="0"/>
    <s v="26"/>
    <x v="2"/>
    <x v="3"/>
    <x v="6"/>
    <s v="Real"/>
    <s v="Entrepreneur"/>
    <s v="Product development"/>
    <x v="0"/>
    <x v="0"/>
    <x v="1"/>
    <s v="F11.01.01"/>
    <n v="1"/>
    <s v="menganalisis kelas sosial dalam Masyarakat"/>
    <s v="01.01"/>
    <x v="19"/>
    <s v="K11"/>
    <s v="F"/>
    <n v="65"/>
    <n v="70"/>
    <s v="Tuntas"/>
    <s v="Sejarah"/>
    <x v="1"/>
    <x v="11"/>
    <n v="70"/>
    <x v="1"/>
    <n v="11"/>
    <x v="0"/>
    <x v="1"/>
    <x v="3"/>
  </r>
  <r>
    <n v="1132"/>
    <s v="242510007"/>
    <x v="0"/>
    <x v="5"/>
    <s v="Intan Jaya"/>
    <d v="2026-01-14T00:00:00"/>
    <s v="14"/>
    <x v="0"/>
    <s v="26"/>
    <x v="3"/>
    <x v="4"/>
    <x v="5"/>
    <s v="Real"/>
    <s v="Entrepreneur"/>
    <s v="Product development"/>
    <x v="0"/>
    <x v="0"/>
    <x v="1"/>
    <s v="F11.01.01"/>
    <n v="1"/>
    <s v="menganalisis kelas sosial dalam Masyarakat"/>
    <s v="01.01"/>
    <x v="19"/>
    <s v="K11"/>
    <s v="F"/>
    <n v="65"/>
    <n v="95"/>
    <s v="Tuntas"/>
    <s v="Sejarah"/>
    <x v="1"/>
    <x v="11"/>
    <n v="95"/>
    <x v="4"/>
    <n v="11"/>
    <x v="4"/>
    <x v="1"/>
    <x v="3"/>
  </r>
  <r>
    <n v="1133"/>
    <s v="242510007"/>
    <x v="0"/>
    <x v="5"/>
    <s v="Intan Jaya"/>
    <d v="2026-01-14T00:00:00"/>
    <s v="14"/>
    <x v="0"/>
    <s v="26"/>
    <x v="4"/>
    <x v="5"/>
    <x v="0"/>
    <s v="Real"/>
    <s v="Entrepreneur"/>
    <s v="Product development"/>
    <x v="0"/>
    <x v="0"/>
    <x v="1"/>
    <s v="F11.01.01"/>
    <n v="1"/>
    <s v="menganalisis kelas sosial dalam Masyarakat"/>
    <s v="01.01"/>
    <x v="19"/>
    <s v="K11"/>
    <s v="F"/>
    <n v="65"/>
    <n v="70"/>
    <s v="Tuntas"/>
    <s v="Sejarah"/>
    <x v="1"/>
    <x v="11"/>
    <n v="70"/>
    <x v="1"/>
    <n v="11"/>
    <x v="0"/>
    <x v="1"/>
    <x v="3"/>
  </r>
  <r>
    <n v="1134"/>
    <s v="242510007"/>
    <x v="0"/>
    <x v="5"/>
    <s v="Intan Jaya"/>
    <d v="2026-01-21T00:00:00"/>
    <s v="21"/>
    <x v="0"/>
    <s v="26"/>
    <x v="0"/>
    <x v="0"/>
    <x v="6"/>
    <s v="Real"/>
    <s v="Entrepreneur"/>
    <s v="Product development"/>
    <x v="0"/>
    <x v="0"/>
    <x v="1"/>
    <s v="F11.01.01"/>
    <n v="1"/>
    <s v="menganalisis kelas sosial dalam Masyarakat"/>
    <s v="01.01"/>
    <x v="19"/>
    <s v="K11"/>
    <s v="F"/>
    <n v="65"/>
    <n v="70"/>
    <s v="Tuntas"/>
    <s v="Sejarah"/>
    <x v="1"/>
    <x v="11"/>
    <n v="70"/>
    <x v="1"/>
    <n v="11"/>
    <x v="0"/>
    <x v="2"/>
    <x v="3"/>
  </r>
  <r>
    <n v="1135"/>
    <s v="242510007"/>
    <x v="0"/>
    <x v="5"/>
    <s v="Intan Jaya"/>
    <d v="2026-01-21T00:00:00"/>
    <s v="21"/>
    <x v="0"/>
    <s v="26"/>
    <x v="2"/>
    <x v="6"/>
    <x v="0"/>
    <s v="Real"/>
    <s v="Entrepreneur"/>
    <s v="Product development"/>
    <x v="0"/>
    <x v="0"/>
    <x v="1"/>
    <s v="F11.01.01"/>
    <n v="1"/>
    <s v="menganalisis kelas sosial dalam Masyarakat"/>
    <s v="01.01"/>
    <x v="19"/>
    <s v="K11"/>
    <s v="F"/>
    <n v="65"/>
    <n v="68"/>
    <s v="Tuntas"/>
    <s v="Sejarah"/>
    <x v="1"/>
    <x v="11"/>
    <n v="68"/>
    <x v="1"/>
    <n v="11"/>
    <x v="0"/>
    <x v="2"/>
    <x v="3"/>
  </r>
  <r>
    <n v="1136"/>
    <s v="242510007"/>
    <x v="0"/>
    <x v="5"/>
    <s v="Intan Jaya"/>
    <d v="2026-01-21T00:00:00"/>
    <s v="21"/>
    <x v="0"/>
    <s v="26"/>
    <x v="3"/>
    <x v="4"/>
    <x v="3"/>
    <s v="Real"/>
    <s v="Entrepreneur"/>
    <s v="Product development"/>
    <x v="0"/>
    <x v="0"/>
    <x v="1"/>
    <s v="F11.01.01"/>
    <n v="1"/>
    <s v="menganalisis kelas sosial dalam Masyarakat"/>
    <s v="01.01"/>
    <x v="19"/>
    <s v="K11"/>
    <s v="F"/>
    <n v="65"/>
    <n v="80"/>
    <s v="Tuntas"/>
    <s v="Sejarah"/>
    <x v="1"/>
    <x v="11"/>
    <n v="80"/>
    <x v="2"/>
    <n v="11"/>
    <x v="2"/>
    <x v="2"/>
    <x v="3"/>
  </r>
  <r>
    <n v="1137"/>
    <s v="242510007"/>
    <x v="0"/>
    <x v="5"/>
    <s v="Intan Jaya"/>
    <d v="2026-01-21T00:00:00"/>
    <s v="21"/>
    <x v="0"/>
    <s v="26"/>
    <x v="4"/>
    <x v="5"/>
    <x v="0"/>
    <s v="Real"/>
    <s v="Entrepreneur"/>
    <s v="Product development"/>
    <x v="0"/>
    <x v="0"/>
    <x v="1"/>
    <s v="F11.02.01"/>
    <n v="2"/>
    <s v=""/>
    <s v="02.01"/>
    <x v="20"/>
    <s v="K11"/>
    <s v="F"/>
    <n v="65"/>
    <n v="70"/>
    <s v="Tuntas"/>
    <s v="Sejarah"/>
    <x v="1"/>
    <x v="11"/>
    <n v="70"/>
    <x v="1"/>
    <n v="11"/>
    <x v="0"/>
    <x v="2"/>
    <x v="3"/>
  </r>
  <r>
    <n v="1138"/>
    <s v="242510007"/>
    <x v="0"/>
    <x v="5"/>
    <s v="Intan Jaya"/>
    <d v="2026-01-28T00:00:00"/>
    <s v="28"/>
    <x v="0"/>
    <s v="26"/>
    <x v="0"/>
    <x v="0"/>
    <x v="6"/>
    <s v="Real"/>
    <s v="Entrepreneur"/>
    <s v="Product development"/>
    <x v="0"/>
    <x v="0"/>
    <x v="1"/>
    <s v="F11.02.01"/>
    <n v="2"/>
    <s v=""/>
    <s v="02.01"/>
    <x v="20"/>
    <s v="K11"/>
    <s v="F"/>
    <n v="65"/>
    <n v="70"/>
    <s v="Tuntas"/>
    <s v="Sejarah"/>
    <x v="1"/>
    <x v="11"/>
    <n v="70"/>
    <x v="1"/>
    <n v="11"/>
    <x v="0"/>
    <x v="3"/>
    <x v="3"/>
  </r>
  <r>
    <n v="1139"/>
    <s v="242510007"/>
    <x v="0"/>
    <x v="5"/>
    <s v="Intan Jaya"/>
    <d v="2026-01-28T00:00:00"/>
    <s v="28"/>
    <x v="0"/>
    <s v="26"/>
    <x v="2"/>
    <x v="6"/>
    <x v="6"/>
    <s v="Real"/>
    <s v="Entrepreneur"/>
    <s v="Product development"/>
    <x v="0"/>
    <x v="0"/>
    <x v="1"/>
    <s v="F11.02.01"/>
    <n v="2"/>
    <s v=""/>
    <s v="02.01"/>
    <x v="20"/>
    <s v="K11"/>
    <s v="F"/>
    <n v="65"/>
    <n v="70"/>
    <s v="Tuntas"/>
    <s v="Sejarah"/>
    <x v="1"/>
    <x v="11"/>
    <n v="70"/>
    <x v="1"/>
    <n v="11"/>
    <x v="0"/>
    <x v="3"/>
    <x v="3"/>
  </r>
  <r>
    <n v="1140"/>
    <s v="242510007"/>
    <x v="0"/>
    <x v="5"/>
    <s v="Intan Jaya"/>
    <d v="2026-01-28T00:00:00"/>
    <s v="28"/>
    <x v="0"/>
    <s v="26"/>
    <x v="3"/>
    <x v="4"/>
    <x v="5"/>
    <s v="Real"/>
    <s v="Entrepreneur"/>
    <s v="Product development"/>
    <x v="0"/>
    <x v="0"/>
    <x v="1"/>
    <s v="F11.02.01"/>
    <n v="2"/>
    <s v=""/>
    <s v="02.01"/>
    <x v="20"/>
    <s v="K11"/>
    <s v="F"/>
    <n v="65"/>
    <n v="80"/>
    <s v="Tuntas"/>
    <s v="Sejarah"/>
    <x v="1"/>
    <x v="11"/>
    <n v="80"/>
    <x v="2"/>
    <n v="11"/>
    <x v="2"/>
    <x v="3"/>
    <x v="3"/>
  </r>
  <r>
    <n v="1141"/>
    <s v="242510007"/>
    <x v="0"/>
    <x v="5"/>
    <s v="Intan Jaya"/>
    <d v="2026-01-28T00:00:00"/>
    <s v="28"/>
    <x v="0"/>
    <s v="26"/>
    <x v="4"/>
    <x v="5"/>
    <x v="0"/>
    <s v="Real"/>
    <s v="Entrepreneur"/>
    <s v="Product development"/>
    <x v="0"/>
    <x v="0"/>
    <x v="1"/>
    <s v="F11.02.01"/>
    <n v="2"/>
    <s v=""/>
    <s v="02.01"/>
    <x v="20"/>
    <s v="K11"/>
    <s v="F"/>
    <n v="65"/>
    <n v="70"/>
    <s v="Tuntas"/>
    <s v="Sejarah"/>
    <x v="1"/>
    <x v="11"/>
    <n v="70"/>
    <x v="1"/>
    <n v="11"/>
    <x v="0"/>
    <x v="3"/>
    <x v="3"/>
  </r>
  <r>
    <n v="1142"/>
    <s v="242510007"/>
    <x v="0"/>
    <x v="5"/>
    <s v="Intan Jaya"/>
    <d v="2026-02-04T00:00:00"/>
    <s v="04"/>
    <x v="1"/>
    <s v="26"/>
    <x v="0"/>
    <x v="0"/>
    <x v="6"/>
    <s v="Real"/>
    <s v="Entrepreneur"/>
    <s v="Product development"/>
    <x v="0"/>
    <x v="0"/>
    <x v="1"/>
    <s v="F11.02.01"/>
    <n v="2"/>
    <s v=""/>
    <s v="02.01"/>
    <x v="20"/>
    <s v="K11"/>
    <s v="F"/>
    <n v="65"/>
    <n v="70"/>
    <s v="Tuntas"/>
    <s v="Sejarah"/>
    <x v="1"/>
    <x v="11"/>
    <n v="70"/>
    <x v="1"/>
    <n v="11"/>
    <x v="0"/>
    <x v="4"/>
    <x v="3"/>
  </r>
  <r>
    <n v="1143"/>
    <s v="242510007"/>
    <x v="0"/>
    <x v="5"/>
    <s v="Intan Jaya"/>
    <d v="2026-02-04T00:00:00"/>
    <s v="04"/>
    <x v="1"/>
    <s v="26"/>
    <x v="2"/>
    <x v="6"/>
    <x v="6"/>
    <s v="Real"/>
    <s v="Entrepreneur"/>
    <s v="Product development"/>
    <x v="0"/>
    <x v="0"/>
    <x v="1"/>
    <s v="F11.02.01"/>
    <n v="2"/>
    <s v=""/>
    <s v="02.01"/>
    <x v="20"/>
    <s v="K11"/>
    <s v="F"/>
    <n v="65"/>
    <n v="70"/>
    <s v="Tuntas"/>
    <s v="Sejarah"/>
    <x v="1"/>
    <x v="11"/>
    <n v="70"/>
    <x v="1"/>
    <n v="11"/>
    <x v="0"/>
    <x v="4"/>
    <x v="3"/>
  </r>
  <r>
    <n v="1144"/>
    <s v="242510007"/>
    <x v="0"/>
    <x v="5"/>
    <s v="Intan Jaya"/>
    <d v="2026-02-04T00:00:00"/>
    <s v="04"/>
    <x v="1"/>
    <s v="26"/>
    <x v="3"/>
    <x v="4"/>
    <x v="3"/>
    <s v="Real"/>
    <s v="Entrepreneur"/>
    <s v="Product development"/>
    <x v="0"/>
    <x v="0"/>
    <x v="1"/>
    <s v="F11.02.01"/>
    <n v="2"/>
    <s v=""/>
    <s v="02.01"/>
    <x v="20"/>
    <s v="K11"/>
    <s v="F"/>
    <n v="65"/>
    <n v="65"/>
    <s v="Tuntas"/>
    <s v="Sejarah"/>
    <x v="1"/>
    <x v="11"/>
    <n v="65"/>
    <x v="1"/>
    <n v="11"/>
    <x v="3"/>
    <x v="4"/>
    <x v="3"/>
  </r>
  <r>
    <n v="1145"/>
    <s v="242510007"/>
    <x v="0"/>
    <x v="5"/>
    <s v="Intan Jaya"/>
    <d v="2026-02-04T00:00:00"/>
    <s v="04"/>
    <x v="1"/>
    <s v="26"/>
    <x v="4"/>
    <x v="5"/>
    <x v="0"/>
    <s v="Real"/>
    <s v="Entrepreneur"/>
    <s v="Product development"/>
    <x v="0"/>
    <x v="0"/>
    <x v="1"/>
    <s v="F11.02.01"/>
    <n v="2"/>
    <s v=""/>
    <s v="02.01"/>
    <x v="20"/>
    <s v="K11"/>
    <s v="F"/>
    <n v="65"/>
    <n v="65"/>
    <s v="Tuntas"/>
    <s v="Sejarah"/>
    <x v="1"/>
    <x v="11"/>
    <n v="65"/>
    <x v="1"/>
    <n v="11"/>
    <x v="0"/>
    <x v="4"/>
    <x v="3"/>
  </r>
  <r>
    <n v="1146"/>
    <s v="242510007"/>
    <x v="0"/>
    <x v="5"/>
    <s v="Intan Jaya"/>
    <d v="2026-02-11T00:00:00"/>
    <s v="11"/>
    <x v="1"/>
    <s v="26"/>
    <x v="0"/>
    <x v="0"/>
    <x v="6"/>
    <s v="Real"/>
    <s v="Entrepreneur"/>
    <s v="Product development"/>
    <x v="0"/>
    <x v="0"/>
    <x v="1"/>
    <s v="F11.03.01"/>
    <n v="3"/>
    <s v=""/>
    <s v="03.01"/>
    <x v="21"/>
    <s v="K11"/>
    <s v="F"/>
    <n v="65"/>
    <n v="70"/>
    <s v="Tuntas"/>
    <s v="Sejarah"/>
    <x v="1"/>
    <x v="11"/>
    <n v="70"/>
    <x v="1"/>
    <n v="11"/>
    <x v="0"/>
    <x v="5"/>
    <x v="3"/>
  </r>
  <r>
    <n v="1147"/>
    <s v="242510007"/>
    <x v="0"/>
    <x v="5"/>
    <s v="Intan Jaya"/>
    <d v="2026-02-11T00:00:00"/>
    <s v="11"/>
    <x v="1"/>
    <s v="26"/>
    <x v="2"/>
    <x v="6"/>
    <x v="6"/>
    <s v="Real"/>
    <s v="Entrepreneur"/>
    <s v="Product development"/>
    <x v="0"/>
    <x v="0"/>
    <x v="1"/>
    <s v="F11.03.01"/>
    <n v="3"/>
    <s v=""/>
    <s v="03.01"/>
    <x v="21"/>
    <s v="K11"/>
    <s v="F"/>
    <n v="65"/>
    <n v="65"/>
    <s v="Tuntas"/>
    <s v="Sejarah"/>
    <x v="1"/>
    <x v="11"/>
    <n v="65"/>
    <x v="1"/>
    <n v="11"/>
    <x v="0"/>
    <x v="5"/>
    <x v="3"/>
  </r>
  <r>
    <n v="1148"/>
    <s v="242510007"/>
    <x v="0"/>
    <x v="5"/>
    <s v="Intan Jaya"/>
    <d v="2026-02-11T00:00:00"/>
    <s v="11"/>
    <x v="1"/>
    <s v="26"/>
    <x v="3"/>
    <x v="4"/>
    <x v="3"/>
    <s v="Real"/>
    <s v="Entrepreneur"/>
    <s v="Product development"/>
    <x v="0"/>
    <x v="0"/>
    <x v="1"/>
    <s v="F11.03.01"/>
    <n v="3"/>
    <s v=""/>
    <s v="03.01"/>
    <x v="21"/>
    <s v="K11"/>
    <s v="F"/>
    <n v="65"/>
    <n v="70"/>
    <s v="Tuntas"/>
    <s v="Sejarah"/>
    <x v="1"/>
    <x v="11"/>
    <n v="70"/>
    <x v="1"/>
    <n v="11"/>
    <x v="1"/>
    <x v="5"/>
    <x v="3"/>
  </r>
  <r>
    <n v="1149"/>
    <s v="242510007"/>
    <x v="0"/>
    <x v="5"/>
    <s v="Intan Jaya"/>
    <d v="2026-02-11T00:00:00"/>
    <s v="11"/>
    <x v="1"/>
    <s v="26"/>
    <x v="4"/>
    <x v="5"/>
    <x v="0"/>
    <s v="Real"/>
    <s v="Entrepreneur"/>
    <s v="Product development"/>
    <x v="0"/>
    <x v="0"/>
    <x v="1"/>
    <s v="F11.03.01"/>
    <n v="3"/>
    <s v=""/>
    <s v="03.01"/>
    <x v="21"/>
    <s v="K11"/>
    <s v="F"/>
    <n v="65"/>
    <n v="70"/>
    <s v="Tuntas"/>
    <s v="Sejarah"/>
    <x v="1"/>
    <x v="11"/>
    <n v="70"/>
    <x v="1"/>
    <n v="11"/>
    <x v="0"/>
    <x v="5"/>
    <x v="3"/>
  </r>
  <r>
    <n v="1150"/>
    <s v="242510007"/>
    <x v="0"/>
    <x v="5"/>
    <s v="Intan Jaya"/>
    <d v="2026-02-18T00:00:00"/>
    <s v="18"/>
    <x v="1"/>
    <s v="26"/>
    <x v="0"/>
    <x v="2"/>
    <x v="17"/>
    <s v="Real"/>
    <s v="Entrepreneur"/>
    <s v="Product development"/>
    <x v="0"/>
    <x v="0"/>
    <x v="1"/>
    <s v="F11.01.01"/>
    <n v="1"/>
    <s v="menganalisis kelas sosial dalam Masyarakat"/>
    <s v="01.01"/>
    <x v="19"/>
    <s v="K11"/>
    <s v="F"/>
    <n v="65"/>
    <n v="70"/>
    <s v="Tuntas"/>
    <s v="Sejarah"/>
    <x v="1"/>
    <x v="11"/>
    <n v="70"/>
    <x v="1"/>
    <n v="11"/>
    <x v="0"/>
    <x v="6"/>
    <x v="3"/>
  </r>
  <r>
    <n v="1151"/>
    <s v="242510007"/>
    <x v="0"/>
    <x v="5"/>
    <s v="Intan Jaya"/>
    <d v="2026-02-18T00:00:00"/>
    <s v="18"/>
    <x v="1"/>
    <s v="26"/>
    <x v="3"/>
    <x v="4"/>
    <x v="3"/>
    <s v="Real"/>
    <s v="Entrepreneur"/>
    <s v="Product development"/>
    <x v="0"/>
    <x v="0"/>
    <x v="1"/>
    <s v="F11.01.01"/>
    <n v="1"/>
    <s v="menganalisis kelas sosial dalam Masyarakat"/>
    <s v="01.01"/>
    <x v="19"/>
    <s v="K11"/>
    <s v="F"/>
    <n v="65"/>
    <n v="70"/>
    <s v="Tuntas"/>
    <s v="Sejarah"/>
    <x v="1"/>
    <x v="11"/>
    <n v="70"/>
    <x v="1"/>
    <n v="11"/>
    <x v="1"/>
    <x v="6"/>
    <x v="3"/>
  </r>
  <r>
    <n v="1152"/>
    <s v="242510008"/>
    <x v="0"/>
    <x v="6"/>
    <s v="Dogiyai"/>
    <d v="2026-01-14T00:00:00"/>
    <s v="14"/>
    <x v="0"/>
    <s v="26"/>
    <x v="0"/>
    <x v="0"/>
    <x v="6"/>
    <s v="Real"/>
    <s v="Entrepreneur"/>
    <s v="Product development"/>
    <x v="0"/>
    <x v="0"/>
    <x v="1"/>
    <s v="F11.01.01"/>
    <n v="1"/>
    <s v="menganalisis kelas sosial dalam Masyarakat"/>
    <s v="01.01"/>
    <x v="19"/>
    <s v="K11"/>
    <s v="F"/>
    <n v="65"/>
    <n v="80"/>
    <s v="Tuntas"/>
    <s v="Sejarah"/>
    <x v="1"/>
    <x v="11"/>
    <n v="80"/>
    <x v="2"/>
    <n v="11"/>
    <x v="0"/>
    <x v="1"/>
    <x v="4"/>
  </r>
  <r>
    <n v="1153"/>
    <s v="242510008"/>
    <x v="0"/>
    <x v="6"/>
    <s v="Dogiyai"/>
    <d v="2026-01-14T00:00:00"/>
    <s v="14"/>
    <x v="0"/>
    <s v="26"/>
    <x v="2"/>
    <x v="3"/>
    <x v="6"/>
    <s v="Real"/>
    <s v="Entrepreneur"/>
    <s v="Product development"/>
    <x v="0"/>
    <x v="0"/>
    <x v="1"/>
    <s v="F11.01.01"/>
    <n v="1"/>
    <s v="menganalisis kelas sosial dalam Masyarakat"/>
    <s v="01.01"/>
    <x v="19"/>
    <s v="K11"/>
    <s v="F"/>
    <n v="65"/>
    <n v="75"/>
    <s v="Tuntas"/>
    <s v="Sejarah"/>
    <x v="1"/>
    <x v="11"/>
    <n v="75"/>
    <x v="1"/>
    <n v="11"/>
    <x v="0"/>
    <x v="1"/>
    <x v="4"/>
  </r>
  <r>
    <n v="1154"/>
    <s v="242510008"/>
    <x v="0"/>
    <x v="6"/>
    <s v="Dogiyai"/>
    <d v="2026-01-14T00:00:00"/>
    <s v="14"/>
    <x v="0"/>
    <s v="26"/>
    <x v="3"/>
    <x v="4"/>
    <x v="5"/>
    <s v="Real"/>
    <s v="Entrepreneur"/>
    <s v="Product development"/>
    <x v="0"/>
    <x v="0"/>
    <x v="1"/>
    <s v="F11.01.01"/>
    <n v="1"/>
    <s v="menganalisis kelas sosial dalam Masyarakat"/>
    <s v="01.01"/>
    <x v="19"/>
    <s v="K11"/>
    <s v="F"/>
    <n v="65"/>
    <n v="95"/>
    <s v="Tuntas"/>
    <s v="Sejarah"/>
    <x v="1"/>
    <x v="11"/>
    <n v="95"/>
    <x v="4"/>
    <n v="11"/>
    <x v="4"/>
    <x v="1"/>
    <x v="4"/>
  </r>
  <r>
    <n v="1155"/>
    <s v="242510008"/>
    <x v="0"/>
    <x v="6"/>
    <s v="Dogiyai"/>
    <d v="2026-01-14T00:00:00"/>
    <s v="14"/>
    <x v="0"/>
    <s v="26"/>
    <x v="4"/>
    <x v="5"/>
    <x v="0"/>
    <s v="Real"/>
    <s v="Entrepreneur"/>
    <s v="Product development"/>
    <x v="0"/>
    <x v="0"/>
    <x v="1"/>
    <s v="F11.01.01"/>
    <n v="1"/>
    <s v="menganalisis kelas sosial dalam Masyarakat"/>
    <s v="01.01"/>
    <x v="19"/>
    <s v="K11"/>
    <s v="F"/>
    <n v="65"/>
    <n v="70"/>
    <s v="Tuntas"/>
    <s v="Sejarah"/>
    <x v="1"/>
    <x v="11"/>
    <n v="70"/>
    <x v="1"/>
    <n v="11"/>
    <x v="0"/>
    <x v="1"/>
    <x v="4"/>
  </r>
  <r>
    <n v="1156"/>
    <s v="242510008"/>
    <x v="0"/>
    <x v="6"/>
    <s v="Dogiyai"/>
    <d v="2026-01-21T00:00:00"/>
    <s v="21"/>
    <x v="0"/>
    <s v="26"/>
    <x v="0"/>
    <x v="0"/>
    <x v="6"/>
    <s v="Real"/>
    <s v="Entrepreneur"/>
    <s v="Product development"/>
    <x v="0"/>
    <x v="0"/>
    <x v="1"/>
    <s v="F11.01.01"/>
    <n v="1"/>
    <s v="menganalisis kelas sosial dalam Masyarakat"/>
    <s v="01.01"/>
    <x v="19"/>
    <s v="K11"/>
    <s v="F"/>
    <n v="65"/>
    <n v="75"/>
    <s v="Tuntas"/>
    <s v="Sejarah"/>
    <x v="1"/>
    <x v="11"/>
    <n v="75"/>
    <x v="1"/>
    <n v="11"/>
    <x v="0"/>
    <x v="2"/>
    <x v="4"/>
  </r>
  <r>
    <n v="1157"/>
    <s v="242510008"/>
    <x v="0"/>
    <x v="6"/>
    <s v="Dogiyai"/>
    <d v="2026-01-21T00:00:00"/>
    <s v="21"/>
    <x v="0"/>
    <s v="26"/>
    <x v="2"/>
    <x v="6"/>
    <x v="0"/>
    <s v="Real"/>
    <s v="Entrepreneur"/>
    <s v="Product development"/>
    <x v="0"/>
    <x v="0"/>
    <x v="1"/>
    <s v="F11.01.01"/>
    <n v="1"/>
    <s v="menganalisis kelas sosial dalam Masyarakat"/>
    <s v="01.01"/>
    <x v="19"/>
    <s v="K11"/>
    <s v="F"/>
    <n v="65"/>
    <n v="70"/>
    <s v="Tuntas"/>
    <s v="Sejarah"/>
    <x v="1"/>
    <x v="11"/>
    <n v="70"/>
    <x v="1"/>
    <n v="11"/>
    <x v="0"/>
    <x v="2"/>
    <x v="4"/>
  </r>
  <r>
    <n v="1158"/>
    <s v="242510008"/>
    <x v="0"/>
    <x v="6"/>
    <s v="Dogiyai"/>
    <d v="2026-01-21T00:00:00"/>
    <s v="21"/>
    <x v="0"/>
    <s v="26"/>
    <x v="3"/>
    <x v="4"/>
    <x v="3"/>
    <s v="Real"/>
    <s v="Entrepreneur"/>
    <s v="Product development"/>
    <x v="0"/>
    <x v="0"/>
    <x v="1"/>
    <s v="F11.01.01"/>
    <n v="1"/>
    <s v="menganalisis kelas sosial dalam Masyarakat"/>
    <s v="01.01"/>
    <x v="19"/>
    <s v="K11"/>
    <s v="F"/>
    <n v="65"/>
    <n v="80"/>
    <s v="Tuntas"/>
    <s v="Sejarah"/>
    <x v="1"/>
    <x v="11"/>
    <n v="80"/>
    <x v="2"/>
    <n v="11"/>
    <x v="2"/>
    <x v="2"/>
    <x v="4"/>
  </r>
  <r>
    <n v="1159"/>
    <s v="242510008"/>
    <x v="0"/>
    <x v="6"/>
    <s v="Dogiyai"/>
    <d v="2026-01-21T00:00:00"/>
    <s v="21"/>
    <x v="0"/>
    <s v="26"/>
    <x v="4"/>
    <x v="5"/>
    <x v="0"/>
    <s v="Real"/>
    <s v="Entrepreneur"/>
    <s v="Product development"/>
    <x v="0"/>
    <x v="0"/>
    <x v="1"/>
    <s v="F11.02.01"/>
    <n v="2"/>
    <s v=""/>
    <s v="02.01"/>
    <x v="20"/>
    <s v="K11"/>
    <s v="F"/>
    <n v="65"/>
    <n v="70"/>
    <s v="Tuntas"/>
    <s v="Sejarah"/>
    <x v="1"/>
    <x v="11"/>
    <n v="70"/>
    <x v="1"/>
    <n v="11"/>
    <x v="0"/>
    <x v="2"/>
    <x v="4"/>
  </r>
  <r>
    <n v="1160"/>
    <s v="242510008"/>
    <x v="0"/>
    <x v="6"/>
    <s v="Dogiyai"/>
    <d v="2026-01-28T00:00:00"/>
    <s v="28"/>
    <x v="0"/>
    <s v="26"/>
    <x v="0"/>
    <x v="0"/>
    <x v="6"/>
    <s v="Real"/>
    <s v="Entrepreneur"/>
    <s v="Product development"/>
    <x v="0"/>
    <x v="0"/>
    <x v="1"/>
    <s v="F11.02.01"/>
    <n v="2"/>
    <s v=""/>
    <s v="02.01"/>
    <x v="20"/>
    <s v="K11"/>
    <s v="F"/>
    <n v="65"/>
    <n v="80"/>
    <s v="Tuntas"/>
    <s v="Sejarah"/>
    <x v="1"/>
    <x v="11"/>
    <n v="80"/>
    <x v="2"/>
    <n v="11"/>
    <x v="0"/>
    <x v="3"/>
    <x v="4"/>
  </r>
  <r>
    <n v="1161"/>
    <s v="242510008"/>
    <x v="0"/>
    <x v="6"/>
    <s v="Dogiyai"/>
    <d v="2026-01-28T00:00:00"/>
    <s v="28"/>
    <x v="0"/>
    <s v="26"/>
    <x v="2"/>
    <x v="6"/>
    <x v="6"/>
    <s v="Real"/>
    <s v="Entrepreneur"/>
    <s v="Product development"/>
    <x v="0"/>
    <x v="0"/>
    <x v="1"/>
    <s v="F11.02.01"/>
    <n v="2"/>
    <s v=""/>
    <s v="02.01"/>
    <x v="20"/>
    <s v="K11"/>
    <s v="F"/>
    <n v="65"/>
    <n v="75"/>
    <s v="Tuntas"/>
    <s v="Sejarah"/>
    <x v="1"/>
    <x v="11"/>
    <n v="75"/>
    <x v="1"/>
    <n v="11"/>
    <x v="0"/>
    <x v="3"/>
    <x v="4"/>
  </r>
  <r>
    <n v="1162"/>
    <s v="242510008"/>
    <x v="0"/>
    <x v="6"/>
    <s v="Dogiyai"/>
    <d v="2026-01-28T00:00:00"/>
    <s v="28"/>
    <x v="0"/>
    <s v="26"/>
    <x v="3"/>
    <x v="4"/>
    <x v="5"/>
    <s v="Real"/>
    <s v="Entrepreneur"/>
    <s v="Product development"/>
    <x v="0"/>
    <x v="0"/>
    <x v="1"/>
    <s v="F11.02.01"/>
    <n v="2"/>
    <s v=""/>
    <s v="02.01"/>
    <x v="20"/>
    <s v="K11"/>
    <s v="F"/>
    <n v="65"/>
    <n v="80"/>
    <s v="Tuntas"/>
    <s v="Sejarah"/>
    <x v="1"/>
    <x v="11"/>
    <n v="80"/>
    <x v="2"/>
    <n v="11"/>
    <x v="2"/>
    <x v="3"/>
    <x v="4"/>
  </r>
  <r>
    <n v="1163"/>
    <s v="242510008"/>
    <x v="0"/>
    <x v="6"/>
    <s v="Dogiyai"/>
    <d v="2026-01-28T00:00:00"/>
    <s v="28"/>
    <x v="0"/>
    <s v="26"/>
    <x v="4"/>
    <x v="5"/>
    <x v="0"/>
    <s v="Real"/>
    <s v="Entrepreneur"/>
    <s v="Product development"/>
    <x v="0"/>
    <x v="0"/>
    <x v="1"/>
    <s v="F11.02.01"/>
    <n v="2"/>
    <s v=""/>
    <s v="02.01"/>
    <x v="20"/>
    <s v="K11"/>
    <s v="F"/>
    <n v="65"/>
    <n v="75"/>
    <s v="Tuntas"/>
    <s v="Sejarah"/>
    <x v="1"/>
    <x v="11"/>
    <n v="75"/>
    <x v="1"/>
    <n v="11"/>
    <x v="0"/>
    <x v="3"/>
    <x v="4"/>
  </r>
  <r>
    <n v="1164"/>
    <s v="242510008"/>
    <x v="0"/>
    <x v="6"/>
    <s v="Dogiyai"/>
    <d v="2026-02-04T00:00:00"/>
    <s v="04"/>
    <x v="1"/>
    <s v="26"/>
    <x v="0"/>
    <x v="0"/>
    <x v="6"/>
    <s v="Real"/>
    <s v="Entrepreneur"/>
    <s v="Product development"/>
    <x v="0"/>
    <x v="0"/>
    <x v="1"/>
    <s v="F11.02.01"/>
    <n v="2"/>
    <s v=""/>
    <s v="02.01"/>
    <x v="20"/>
    <s v="K11"/>
    <s v="F"/>
    <n v="65"/>
    <n v="75"/>
    <s v="Tuntas"/>
    <s v="Sejarah"/>
    <x v="1"/>
    <x v="11"/>
    <n v="75"/>
    <x v="1"/>
    <n v="11"/>
    <x v="0"/>
    <x v="4"/>
    <x v="4"/>
  </r>
  <r>
    <n v="1165"/>
    <s v="242510008"/>
    <x v="0"/>
    <x v="6"/>
    <s v="Dogiyai"/>
    <d v="2026-02-04T00:00:00"/>
    <s v="04"/>
    <x v="1"/>
    <s v="26"/>
    <x v="2"/>
    <x v="6"/>
    <x v="6"/>
    <s v="Real"/>
    <s v="Entrepreneur"/>
    <s v="Product development"/>
    <x v="0"/>
    <x v="0"/>
    <x v="1"/>
    <s v="F11.02.01"/>
    <n v="2"/>
    <s v=""/>
    <s v="02.01"/>
    <x v="20"/>
    <s v="K11"/>
    <s v="F"/>
    <n v="65"/>
    <n v="80"/>
    <s v="Tuntas"/>
    <s v="Sejarah"/>
    <x v="1"/>
    <x v="11"/>
    <n v="80"/>
    <x v="2"/>
    <n v="11"/>
    <x v="0"/>
    <x v="4"/>
    <x v="4"/>
  </r>
  <r>
    <n v="1166"/>
    <s v="242510008"/>
    <x v="0"/>
    <x v="6"/>
    <s v="Dogiyai"/>
    <d v="2026-02-04T00:00:00"/>
    <s v="04"/>
    <x v="1"/>
    <s v="26"/>
    <x v="3"/>
    <x v="4"/>
    <x v="3"/>
    <s v="Real"/>
    <s v="Entrepreneur"/>
    <s v="Product development"/>
    <x v="0"/>
    <x v="0"/>
    <x v="1"/>
    <s v="F11.02.01"/>
    <n v="2"/>
    <s v=""/>
    <s v="02.01"/>
    <x v="20"/>
    <s v="K11"/>
    <s v="F"/>
    <n v="65"/>
    <n v="70"/>
    <s v="Tuntas"/>
    <s v="Sejarah"/>
    <x v="1"/>
    <x v="11"/>
    <n v="70"/>
    <x v="1"/>
    <n v="11"/>
    <x v="1"/>
    <x v="4"/>
    <x v="4"/>
  </r>
  <r>
    <n v="1167"/>
    <s v="242510008"/>
    <x v="0"/>
    <x v="6"/>
    <s v="Dogiyai"/>
    <d v="2026-02-04T00:00:00"/>
    <s v="04"/>
    <x v="1"/>
    <s v="26"/>
    <x v="4"/>
    <x v="5"/>
    <x v="0"/>
    <s v="Real"/>
    <s v="Entrepreneur"/>
    <s v="Product development"/>
    <x v="0"/>
    <x v="0"/>
    <x v="1"/>
    <s v="F11.02.01"/>
    <n v="2"/>
    <s v=""/>
    <s v="02.01"/>
    <x v="20"/>
    <s v="K11"/>
    <s v="F"/>
    <n v="65"/>
    <n v="65"/>
    <s v="Tuntas"/>
    <s v="Sejarah"/>
    <x v="1"/>
    <x v="11"/>
    <n v="65"/>
    <x v="1"/>
    <n v="11"/>
    <x v="0"/>
    <x v="4"/>
    <x v="4"/>
  </r>
  <r>
    <n v="1168"/>
    <s v="242510008"/>
    <x v="0"/>
    <x v="6"/>
    <s v="Dogiyai"/>
    <d v="2026-02-11T00:00:00"/>
    <s v="11"/>
    <x v="1"/>
    <s v="26"/>
    <x v="0"/>
    <x v="0"/>
    <x v="6"/>
    <s v="Real"/>
    <s v="Entrepreneur"/>
    <s v="Product development"/>
    <x v="0"/>
    <x v="0"/>
    <x v="1"/>
    <s v="F11.03.01"/>
    <n v="3"/>
    <s v=""/>
    <s v="03.01"/>
    <x v="21"/>
    <s v="K11"/>
    <s v="F"/>
    <n v="65"/>
    <n v="75"/>
    <s v="Tuntas"/>
    <s v="Sejarah"/>
    <x v="1"/>
    <x v="11"/>
    <n v="75"/>
    <x v="1"/>
    <n v="11"/>
    <x v="0"/>
    <x v="5"/>
    <x v="4"/>
  </r>
  <r>
    <n v="1169"/>
    <s v="242510008"/>
    <x v="0"/>
    <x v="6"/>
    <s v="Dogiyai"/>
    <d v="2026-02-11T00:00:00"/>
    <s v="11"/>
    <x v="1"/>
    <s v="26"/>
    <x v="2"/>
    <x v="6"/>
    <x v="6"/>
    <s v="Real"/>
    <s v="Entrepreneur"/>
    <s v="Product development"/>
    <x v="0"/>
    <x v="0"/>
    <x v="1"/>
    <s v="F11.03.01"/>
    <n v="3"/>
    <s v=""/>
    <s v="03.01"/>
    <x v="21"/>
    <s v="K11"/>
    <s v="F"/>
    <n v="65"/>
    <n v="70"/>
    <s v="Tuntas"/>
    <s v="Sejarah"/>
    <x v="1"/>
    <x v="11"/>
    <n v="70"/>
    <x v="1"/>
    <n v="11"/>
    <x v="0"/>
    <x v="5"/>
    <x v="4"/>
  </r>
  <r>
    <n v="1170"/>
    <s v="242510008"/>
    <x v="0"/>
    <x v="6"/>
    <s v="Dogiyai"/>
    <d v="2026-02-11T00:00:00"/>
    <s v="11"/>
    <x v="1"/>
    <s v="26"/>
    <x v="3"/>
    <x v="4"/>
    <x v="3"/>
    <s v="Real"/>
    <s v="Entrepreneur"/>
    <s v="Product development"/>
    <x v="0"/>
    <x v="0"/>
    <x v="1"/>
    <s v="F11.03.01"/>
    <n v="3"/>
    <s v=""/>
    <s v="03.01"/>
    <x v="21"/>
    <s v="K11"/>
    <s v="F"/>
    <n v="65"/>
    <n v="75"/>
    <s v="Tuntas"/>
    <s v="Sejarah"/>
    <x v="1"/>
    <x v="11"/>
    <n v="75"/>
    <x v="1"/>
    <n v="11"/>
    <x v="1"/>
    <x v="5"/>
    <x v="4"/>
  </r>
  <r>
    <n v="1171"/>
    <s v="242510008"/>
    <x v="0"/>
    <x v="6"/>
    <s v="Dogiyai"/>
    <d v="2026-02-11T00:00:00"/>
    <s v="11"/>
    <x v="1"/>
    <s v="26"/>
    <x v="4"/>
    <x v="5"/>
    <x v="0"/>
    <s v="Real"/>
    <s v="Entrepreneur"/>
    <s v="Product development"/>
    <x v="0"/>
    <x v="0"/>
    <x v="1"/>
    <s v="F11.03.01"/>
    <n v="3"/>
    <s v=""/>
    <s v="03.01"/>
    <x v="21"/>
    <s v="K11"/>
    <s v="F"/>
    <n v="65"/>
    <n v="70"/>
    <s v="Tuntas"/>
    <s v="Sejarah"/>
    <x v="1"/>
    <x v="11"/>
    <n v="70"/>
    <x v="1"/>
    <n v="11"/>
    <x v="0"/>
    <x v="5"/>
    <x v="4"/>
  </r>
  <r>
    <n v="1172"/>
    <s v="242510008"/>
    <x v="0"/>
    <x v="6"/>
    <s v="Dogiyai"/>
    <d v="2026-02-18T00:00:00"/>
    <s v="18"/>
    <x v="1"/>
    <s v="26"/>
    <x v="0"/>
    <x v="2"/>
    <x v="17"/>
    <s v="Real"/>
    <s v="Entrepreneur"/>
    <s v="Product development"/>
    <x v="0"/>
    <x v="0"/>
    <x v="1"/>
    <s v="F11.01.01"/>
    <n v="1"/>
    <s v="menganalisis kelas sosial dalam Masyarakat"/>
    <s v="01.01"/>
    <x v="19"/>
    <s v="K11"/>
    <s v="F"/>
    <n v="65"/>
    <n v="80"/>
    <s v="Tuntas"/>
    <s v="Sejarah"/>
    <x v="1"/>
    <x v="11"/>
    <n v="80"/>
    <x v="2"/>
    <n v="11"/>
    <x v="0"/>
    <x v="6"/>
    <x v="4"/>
  </r>
  <r>
    <n v="1173"/>
    <s v="242510008"/>
    <x v="0"/>
    <x v="6"/>
    <s v="Dogiyai"/>
    <d v="2026-02-18T00:00:00"/>
    <s v="18"/>
    <x v="1"/>
    <s v="26"/>
    <x v="3"/>
    <x v="4"/>
    <x v="3"/>
    <s v="Real"/>
    <s v="Entrepreneur"/>
    <s v="Product development"/>
    <x v="0"/>
    <x v="0"/>
    <x v="1"/>
    <s v="F11.01.01"/>
    <n v="1"/>
    <s v="menganalisis kelas sosial dalam Masyarakat"/>
    <s v="01.01"/>
    <x v="19"/>
    <s v="K11"/>
    <s v="F"/>
    <n v="65"/>
    <n v="70"/>
    <s v="Tuntas"/>
    <s v="Sejarah"/>
    <x v="1"/>
    <x v="11"/>
    <n v="70"/>
    <x v="1"/>
    <n v="11"/>
    <x v="1"/>
    <x v="6"/>
    <x v="4"/>
  </r>
  <r>
    <n v="1174"/>
    <s v="242510013"/>
    <x v="0"/>
    <x v="0"/>
    <s v="Intan Jaya"/>
    <d v="2026-01-14T00:00:00"/>
    <s v="14"/>
    <x v="0"/>
    <s v="26"/>
    <x v="0"/>
    <x v="0"/>
    <x v="6"/>
    <s v="Real"/>
    <s v="Entrepreneur"/>
    <s v="Product development"/>
    <x v="0"/>
    <x v="0"/>
    <x v="1"/>
    <s v="F11.01.01"/>
    <n v="1"/>
    <s v="menganalisis kelas sosial dalam Masyarakat"/>
    <s v="01.01"/>
    <x v="19"/>
    <s v="K11"/>
    <s v="F"/>
    <n v="65"/>
    <n v="0"/>
    <s v="Tidak tuntas"/>
    <s v="Sejarah"/>
    <x v="1"/>
    <x v="0"/>
    <s v=""/>
    <x v="0"/>
    <s v=""/>
    <x v="0"/>
    <x v="0"/>
    <x v="0"/>
  </r>
  <r>
    <n v="1175"/>
    <s v="242510013"/>
    <x v="0"/>
    <x v="0"/>
    <s v="Intan Jaya"/>
    <d v="2026-01-14T00:00:00"/>
    <s v="14"/>
    <x v="0"/>
    <s v="26"/>
    <x v="2"/>
    <x v="3"/>
    <x v="6"/>
    <s v="Real"/>
    <s v="Entrepreneur"/>
    <s v="Product development"/>
    <x v="0"/>
    <x v="0"/>
    <x v="1"/>
    <s v="F11.01.01"/>
    <n v="1"/>
    <s v="menganalisis kelas sosial dalam Masyarakat"/>
    <s v="01.01"/>
    <x v="19"/>
    <s v="K11"/>
    <s v="F"/>
    <n v="65"/>
    <n v="0"/>
    <s v="Tidak tuntas"/>
    <s v="Sejarah"/>
    <x v="1"/>
    <x v="0"/>
    <s v=""/>
    <x v="0"/>
    <s v=""/>
    <x v="0"/>
    <x v="0"/>
    <x v="0"/>
  </r>
  <r>
    <n v="1176"/>
    <s v="242510013"/>
    <x v="0"/>
    <x v="0"/>
    <s v="Intan Jaya"/>
    <d v="2026-01-14T00:00:00"/>
    <s v="14"/>
    <x v="0"/>
    <s v="26"/>
    <x v="3"/>
    <x v="4"/>
    <x v="5"/>
    <s v="Real"/>
    <s v="Entrepreneur"/>
    <s v="Product development"/>
    <x v="0"/>
    <x v="0"/>
    <x v="1"/>
    <s v="F11.01.01"/>
    <n v="1"/>
    <s v="menganalisis kelas sosial dalam Masyarakat"/>
    <s v="01.01"/>
    <x v="19"/>
    <s v="K11"/>
    <s v="F"/>
    <n v="65"/>
    <n v="0"/>
    <s v="Tidak tuntas"/>
    <s v="Sejarah"/>
    <x v="1"/>
    <x v="0"/>
    <s v=""/>
    <x v="0"/>
    <s v=""/>
    <x v="0"/>
    <x v="0"/>
    <x v="0"/>
  </r>
  <r>
    <n v="1177"/>
    <s v="242510013"/>
    <x v="0"/>
    <x v="0"/>
    <s v="Intan Jaya"/>
    <d v="2026-01-14T00:00:00"/>
    <s v="14"/>
    <x v="0"/>
    <s v="26"/>
    <x v="4"/>
    <x v="5"/>
    <x v="0"/>
    <s v="Real"/>
    <s v="Entrepreneur"/>
    <s v="Product development"/>
    <x v="0"/>
    <x v="0"/>
    <x v="1"/>
    <s v="F11.01.01"/>
    <n v="1"/>
    <s v="menganalisis kelas sosial dalam Masyarakat"/>
    <s v="01.01"/>
    <x v="19"/>
    <s v="K11"/>
    <s v="F"/>
    <n v="65"/>
    <n v="0"/>
    <s v="Tidak tuntas"/>
    <s v="Sejarah"/>
    <x v="1"/>
    <x v="0"/>
    <s v=""/>
    <x v="0"/>
    <s v=""/>
    <x v="0"/>
    <x v="0"/>
    <x v="0"/>
  </r>
  <r>
    <n v="1178"/>
    <s v="242510013"/>
    <x v="0"/>
    <x v="0"/>
    <s v="Intan Jaya"/>
    <d v="2026-01-21T00:00:00"/>
    <s v="21"/>
    <x v="0"/>
    <s v="26"/>
    <x v="0"/>
    <x v="0"/>
    <x v="6"/>
    <s v="Real"/>
    <s v="Entrepreneur"/>
    <s v="Product development"/>
    <x v="0"/>
    <x v="0"/>
    <x v="1"/>
    <s v="F11.01.01"/>
    <n v="1"/>
    <s v="menganalisis kelas sosial dalam Masyarakat"/>
    <s v="01.01"/>
    <x v="19"/>
    <s v="K11"/>
    <s v="F"/>
    <n v="65"/>
    <n v="0"/>
    <s v="Tidak tuntas"/>
    <s v="Sejarah"/>
    <x v="1"/>
    <x v="0"/>
    <s v=""/>
    <x v="0"/>
    <s v=""/>
    <x v="0"/>
    <x v="0"/>
    <x v="0"/>
  </r>
  <r>
    <n v="1179"/>
    <s v="242510013"/>
    <x v="0"/>
    <x v="0"/>
    <s v="Intan Jaya"/>
    <d v="2026-01-21T00:00:00"/>
    <s v="21"/>
    <x v="0"/>
    <s v="26"/>
    <x v="2"/>
    <x v="6"/>
    <x v="0"/>
    <s v="Real"/>
    <s v="Entrepreneur"/>
    <s v="Product development"/>
    <x v="0"/>
    <x v="0"/>
    <x v="1"/>
    <s v="F11.01.01"/>
    <n v="1"/>
    <s v="menganalisis kelas sosial dalam Masyarakat"/>
    <s v="01.01"/>
    <x v="19"/>
    <s v="K11"/>
    <s v="F"/>
    <n v="65"/>
    <n v="0"/>
    <s v="Tidak tuntas"/>
    <s v="Sejarah"/>
    <x v="1"/>
    <x v="0"/>
    <s v=""/>
    <x v="0"/>
    <s v=""/>
    <x v="0"/>
    <x v="0"/>
    <x v="0"/>
  </r>
  <r>
    <n v="1180"/>
    <s v="242510013"/>
    <x v="0"/>
    <x v="0"/>
    <s v="Intan Jaya"/>
    <d v="2026-01-21T00:00:00"/>
    <s v="21"/>
    <x v="0"/>
    <s v="26"/>
    <x v="3"/>
    <x v="4"/>
    <x v="3"/>
    <s v="Real"/>
    <s v="Entrepreneur"/>
    <s v="Product development"/>
    <x v="0"/>
    <x v="0"/>
    <x v="1"/>
    <s v="F11.01.01"/>
    <n v="1"/>
    <s v="menganalisis kelas sosial dalam Masyarakat"/>
    <s v="01.01"/>
    <x v="19"/>
    <s v="K11"/>
    <s v="F"/>
    <n v="65"/>
    <n v="0"/>
    <s v="Tidak tuntas"/>
    <s v="Sejarah"/>
    <x v="1"/>
    <x v="0"/>
    <s v=""/>
    <x v="0"/>
    <s v=""/>
    <x v="0"/>
    <x v="0"/>
    <x v="0"/>
  </r>
  <r>
    <n v="1181"/>
    <s v="242510013"/>
    <x v="0"/>
    <x v="0"/>
    <s v="Intan Jaya"/>
    <d v="2026-01-21T00:00:00"/>
    <s v="21"/>
    <x v="0"/>
    <s v="26"/>
    <x v="4"/>
    <x v="5"/>
    <x v="0"/>
    <s v="Real"/>
    <s v="Entrepreneur"/>
    <s v="Product development"/>
    <x v="0"/>
    <x v="0"/>
    <x v="1"/>
    <s v="F11.02.01"/>
    <n v="2"/>
    <s v=""/>
    <s v="02.01"/>
    <x v="20"/>
    <s v="K11"/>
    <s v="F"/>
    <n v="65"/>
    <n v="0"/>
    <s v="Tidak tuntas"/>
    <s v="Sejarah"/>
    <x v="1"/>
    <x v="0"/>
    <s v=""/>
    <x v="0"/>
    <s v=""/>
    <x v="0"/>
    <x v="0"/>
    <x v="0"/>
  </r>
  <r>
    <n v="1182"/>
    <s v="242510013"/>
    <x v="0"/>
    <x v="0"/>
    <s v="Intan Jaya"/>
    <d v="2026-01-28T00:00:00"/>
    <s v="28"/>
    <x v="0"/>
    <s v="26"/>
    <x v="0"/>
    <x v="0"/>
    <x v="6"/>
    <s v="Real"/>
    <s v="Entrepreneur"/>
    <s v="Product development"/>
    <x v="0"/>
    <x v="0"/>
    <x v="1"/>
    <s v="F11.02.01"/>
    <n v="2"/>
    <s v=""/>
    <s v="02.01"/>
    <x v="20"/>
    <s v="K11"/>
    <s v="F"/>
    <n v="65"/>
    <n v="0"/>
    <s v="Tidak tuntas"/>
    <s v="Sejarah"/>
    <x v="1"/>
    <x v="0"/>
    <s v=""/>
    <x v="0"/>
    <s v=""/>
    <x v="0"/>
    <x v="0"/>
    <x v="0"/>
  </r>
  <r>
    <n v="1183"/>
    <s v="242510013"/>
    <x v="0"/>
    <x v="0"/>
    <s v="Intan Jaya"/>
    <d v="2026-01-28T00:00:00"/>
    <s v="28"/>
    <x v="0"/>
    <s v="26"/>
    <x v="2"/>
    <x v="6"/>
    <x v="6"/>
    <s v="Real"/>
    <s v="Entrepreneur"/>
    <s v="Product development"/>
    <x v="0"/>
    <x v="0"/>
    <x v="1"/>
    <s v="F11.02.01"/>
    <n v="2"/>
    <s v=""/>
    <s v="02.01"/>
    <x v="20"/>
    <s v="K11"/>
    <s v="F"/>
    <n v="65"/>
    <n v="0"/>
    <s v="Tidak tuntas"/>
    <s v="Sejarah"/>
    <x v="1"/>
    <x v="0"/>
    <s v=""/>
    <x v="0"/>
    <s v=""/>
    <x v="0"/>
    <x v="0"/>
    <x v="0"/>
  </r>
  <r>
    <n v="1184"/>
    <s v="242510013"/>
    <x v="0"/>
    <x v="0"/>
    <s v="Intan Jaya"/>
    <d v="2026-01-28T00:00:00"/>
    <s v="28"/>
    <x v="0"/>
    <s v="26"/>
    <x v="3"/>
    <x v="4"/>
    <x v="5"/>
    <s v="Real"/>
    <s v="Entrepreneur"/>
    <s v="Product development"/>
    <x v="0"/>
    <x v="0"/>
    <x v="1"/>
    <s v="F11.02.01"/>
    <n v="2"/>
    <s v=""/>
    <s v="02.01"/>
    <x v="20"/>
    <s v="K11"/>
    <s v="F"/>
    <n v="65"/>
    <n v="0"/>
    <s v="Tidak tuntas"/>
    <s v="Sejarah"/>
    <x v="1"/>
    <x v="0"/>
    <s v=""/>
    <x v="0"/>
    <s v=""/>
    <x v="0"/>
    <x v="0"/>
    <x v="0"/>
  </r>
  <r>
    <n v="1185"/>
    <s v="242510013"/>
    <x v="0"/>
    <x v="0"/>
    <s v="Intan Jaya"/>
    <d v="2026-01-28T00:00:00"/>
    <s v="28"/>
    <x v="0"/>
    <s v="26"/>
    <x v="4"/>
    <x v="5"/>
    <x v="0"/>
    <s v="Real"/>
    <s v="Entrepreneur"/>
    <s v="Product development"/>
    <x v="0"/>
    <x v="0"/>
    <x v="1"/>
    <s v="F11.02.01"/>
    <n v="2"/>
    <s v=""/>
    <s v="02.01"/>
    <x v="20"/>
    <s v="K11"/>
    <s v="F"/>
    <n v="65"/>
    <n v="0"/>
    <s v="Tidak tuntas"/>
    <s v="Sejarah"/>
    <x v="1"/>
    <x v="0"/>
    <s v=""/>
    <x v="0"/>
    <s v=""/>
    <x v="0"/>
    <x v="0"/>
    <x v="0"/>
  </r>
  <r>
    <n v="1186"/>
    <s v="242510013"/>
    <x v="0"/>
    <x v="0"/>
    <s v="Intan Jaya"/>
    <d v="2026-02-04T00:00:00"/>
    <s v="04"/>
    <x v="1"/>
    <s v="26"/>
    <x v="0"/>
    <x v="0"/>
    <x v="6"/>
    <s v="Real"/>
    <s v="Entrepreneur"/>
    <s v="Product development"/>
    <x v="0"/>
    <x v="0"/>
    <x v="1"/>
    <s v="F11.02.01"/>
    <n v="2"/>
    <s v=""/>
    <s v="02.01"/>
    <x v="20"/>
    <s v="K11"/>
    <s v="F"/>
    <n v="65"/>
    <n v="0"/>
    <s v="Tidak tuntas"/>
    <s v="Sejarah"/>
    <x v="1"/>
    <x v="0"/>
    <s v=""/>
    <x v="0"/>
    <s v=""/>
    <x v="0"/>
    <x v="0"/>
    <x v="0"/>
  </r>
  <r>
    <n v="1187"/>
    <s v="242510013"/>
    <x v="0"/>
    <x v="0"/>
    <s v="Intan Jaya"/>
    <d v="2026-02-04T00:00:00"/>
    <s v="04"/>
    <x v="1"/>
    <s v="26"/>
    <x v="2"/>
    <x v="6"/>
    <x v="6"/>
    <s v="Real"/>
    <s v="Entrepreneur"/>
    <s v="Product development"/>
    <x v="0"/>
    <x v="0"/>
    <x v="1"/>
    <s v="F11.02.01"/>
    <n v="2"/>
    <s v=""/>
    <s v="02.01"/>
    <x v="20"/>
    <s v="K11"/>
    <s v="F"/>
    <n v="65"/>
    <n v="0"/>
    <s v="Tidak tuntas"/>
    <s v="Sejarah"/>
    <x v="1"/>
    <x v="0"/>
    <s v=""/>
    <x v="0"/>
    <s v=""/>
    <x v="0"/>
    <x v="0"/>
    <x v="0"/>
  </r>
  <r>
    <n v="1188"/>
    <s v="242510013"/>
    <x v="0"/>
    <x v="0"/>
    <s v="Intan Jaya"/>
    <d v="2026-02-04T00:00:00"/>
    <s v="04"/>
    <x v="1"/>
    <s v="26"/>
    <x v="3"/>
    <x v="4"/>
    <x v="3"/>
    <s v="Real"/>
    <s v="Entrepreneur"/>
    <s v="Product development"/>
    <x v="0"/>
    <x v="0"/>
    <x v="1"/>
    <s v="F11.02.01"/>
    <n v="2"/>
    <s v=""/>
    <s v="02.01"/>
    <x v="20"/>
    <s v="K11"/>
    <s v="F"/>
    <n v="65"/>
    <n v="70"/>
    <s v="Tuntas"/>
    <s v="Sejarah"/>
    <x v="1"/>
    <x v="11"/>
    <n v="70"/>
    <x v="1"/>
    <n v="11"/>
    <x v="1"/>
    <x v="4"/>
    <x v="6"/>
  </r>
  <r>
    <n v="1189"/>
    <s v="242510013"/>
    <x v="0"/>
    <x v="0"/>
    <s v="Intan Jaya"/>
    <d v="2026-02-04T00:00:00"/>
    <s v="04"/>
    <x v="1"/>
    <s v="26"/>
    <x v="4"/>
    <x v="5"/>
    <x v="0"/>
    <s v="Real"/>
    <s v="Entrepreneur"/>
    <s v="Product development"/>
    <x v="0"/>
    <x v="0"/>
    <x v="1"/>
    <s v="F11.02.01"/>
    <n v="2"/>
    <s v=""/>
    <s v="02.01"/>
    <x v="20"/>
    <s v="K11"/>
    <s v="F"/>
    <n v="65"/>
    <n v="0"/>
    <s v="Tidak tuntas"/>
    <s v="Sejarah"/>
    <x v="1"/>
    <x v="0"/>
    <s v=""/>
    <x v="0"/>
    <s v=""/>
    <x v="0"/>
    <x v="0"/>
    <x v="0"/>
  </r>
  <r>
    <n v="1190"/>
    <s v="242510013"/>
    <x v="0"/>
    <x v="0"/>
    <s v="Intan Jaya"/>
    <d v="2026-02-11T00:00:00"/>
    <s v="11"/>
    <x v="1"/>
    <s v="26"/>
    <x v="0"/>
    <x v="0"/>
    <x v="6"/>
    <s v="Real"/>
    <s v="Entrepreneur"/>
    <s v="Product development"/>
    <x v="0"/>
    <x v="0"/>
    <x v="1"/>
    <s v="F11.03.01"/>
    <n v="3"/>
    <s v=""/>
    <s v="03.01"/>
    <x v="21"/>
    <s v="K11"/>
    <s v="F"/>
    <n v="65"/>
    <n v="0"/>
    <s v="Tidak tuntas"/>
    <s v="Sejarah"/>
    <x v="1"/>
    <x v="0"/>
    <s v=""/>
    <x v="0"/>
    <s v=""/>
    <x v="0"/>
    <x v="0"/>
    <x v="0"/>
  </r>
  <r>
    <n v="1191"/>
    <s v="242510013"/>
    <x v="0"/>
    <x v="0"/>
    <s v="Intan Jaya"/>
    <d v="2026-02-11T00:00:00"/>
    <s v="11"/>
    <x v="1"/>
    <s v="26"/>
    <x v="2"/>
    <x v="6"/>
    <x v="6"/>
    <s v="Real"/>
    <s v="Entrepreneur"/>
    <s v="Product development"/>
    <x v="0"/>
    <x v="0"/>
    <x v="1"/>
    <s v="F11.03.01"/>
    <n v="3"/>
    <s v=""/>
    <s v="03.01"/>
    <x v="21"/>
    <s v="K11"/>
    <s v="F"/>
    <n v="65"/>
    <n v="0"/>
    <s v="Tidak tuntas"/>
    <s v="Sejarah"/>
    <x v="1"/>
    <x v="0"/>
    <s v=""/>
    <x v="0"/>
    <s v=""/>
    <x v="0"/>
    <x v="0"/>
    <x v="0"/>
  </r>
  <r>
    <n v="1192"/>
    <s v="242510013"/>
    <x v="0"/>
    <x v="0"/>
    <s v="Intan Jaya"/>
    <d v="2026-02-11T00:00:00"/>
    <s v="11"/>
    <x v="1"/>
    <s v="26"/>
    <x v="3"/>
    <x v="4"/>
    <x v="3"/>
    <s v="Real"/>
    <s v="Entrepreneur"/>
    <s v="Product development"/>
    <x v="0"/>
    <x v="0"/>
    <x v="1"/>
    <s v="F11.03.01"/>
    <n v="3"/>
    <s v=""/>
    <s v="03.01"/>
    <x v="21"/>
    <s v="K11"/>
    <s v="F"/>
    <n v="65"/>
    <n v="0"/>
    <s v="Tidak tuntas"/>
    <s v="Sejarah"/>
    <x v="1"/>
    <x v="0"/>
    <s v=""/>
    <x v="0"/>
    <s v=""/>
    <x v="0"/>
    <x v="0"/>
    <x v="0"/>
  </r>
  <r>
    <n v="1193"/>
    <s v="242510013"/>
    <x v="0"/>
    <x v="0"/>
    <s v="Intan Jaya"/>
    <d v="2026-02-11T00:00:00"/>
    <s v="11"/>
    <x v="1"/>
    <s v="26"/>
    <x v="4"/>
    <x v="5"/>
    <x v="0"/>
    <s v="Real"/>
    <s v="Entrepreneur"/>
    <s v="Product development"/>
    <x v="0"/>
    <x v="0"/>
    <x v="1"/>
    <s v="F11.03.01"/>
    <n v="3"/>
    <s v=""/>
    <s v="03.01"/>
    <x v="21"/>
    <s v="K11"/>
    <s v="F"/>
    <n v="65"/>
    <n v="0"/>
    <s v="Tidak tuntas"/>
    <s v="Sejarah"/>
    <x v="1"/>
    <x v="0"/>
    <s v=""/>
    <x v="0"/>
    <s v=""/>
    <x v="0"/>
    <x v="0"/>
    <x v="0"/>
  </r>
  <r>
    <n v="1194"/>
    <s v="242510013"/>
    <x v="0"/>
    <x v="0"/>
    <s v="Intan Jaya"/>
    <d v="2026-02-18T00:00:00"/>
    <s v="18"/>
    <x v="1"/>
    <s v="26"/>
    <x v="0"/>
    <x v="2"/>
    <x v="17"/>
    <s v="Real"/>
    <s v="Entrepreneur"/>
    <s v="Product development"/>
    <x v="0"/>
    <x v="0"/>
    <x v="1"/>
    <s v="F11.01.01"/>
    <n v="1"/>
    <s v="menganalisis kelas sosial dalam Masyarakat"/>
    <s v="01.01"/>
    <x v="19"/>
    <s v="K11"/>
    <s v="F"/>
    <n v="65"/>
    <n v="0"/>
    <s v="Tidak tuntas"/>
    <s v="Sejarah"/>
    <x v="1"/>
    <x v="0"/>
    <s v=""/>
    <x v="0"/>
    <s v=""/>
    <x v="0"/>
    <x v="0"/>
    <x v="0"/>
  </r>
  <r>
    <n v="1195"/>
    <s v="242510013"/>
    <x v="0"/>
    <x v="0"/>
    <s v="Intan Jaya"/>
    <d v="2026-02-18T00:00:00"/>
    <s v="18"/>
    <x v="1"/>
    <s v="26"/>
    <x v="3"/>
    <x v="4"/>
    <x v="3"/>
    <s v="Real"/>
    <s v="Entrepreneur"/>
    <s v="Product development"/>
    <x v="0"/>
    <x v="0"/>
    <x v="1"/>
    <s v="F11.01.01"/>
    <n v="1"/>
    <s v="menganalisis kelas sosial dalam Masyarakat"/>
    <s v="01.01"/>
    <x v="19"/>
    <s v="K11"/>
    <s v="F"/>
    <n v="65"/>
    <n v="0"/>
    <s v="Tidak tuntas"/>
    <s v="Sejarah"/>
    <x v="1"/>
    <x v="0"/>
    <s v=""/>
    <x v="0"/>
    <s v=""/>
    <x v="0"/>
    <x v="0"/>
    <x v="0"/>
  </r>
  <r>
    <n v="1196"/>
    <s v="242510014"/>
    <x v="0"/>
    <x v="7"/>
    <s v="Inta jaya"/>
    <d v="2026-01-14T00:00:00"/>
    <s v="14"/>
    <x v="0"/>
    <s v="26"/>
    <x v="0"/>
    <x v="0"/>
    <x v="6"/>
    <s v="Real"/>
    <s v="Entrepreneur"/>
    <s v="Product development"/>
    <x v="0"/>
    <x v="0"/>
    <x v="1"/>
    <s v="F11.01.01"/>
    <n v="1"/>
    <s v="menganalisis kelas sosial dalam Masyarakat"/>
    <s v="01.01"/>
    <x v="19"/>
    <s v="K11"/>
    <s v="F"/>
    <n v="65"/>
    <n v="69"/>
    <s v="Tuntas"/>
    <s v="Sejarah"/>
    <x v="1"/>
    <x v="11"/>
    <n v="69"/>
    <x v="1"/>
    <n v="11"/>
    <x v="0"/>
    <x v="1"/>
    <x v="2"/>
  </r>
  <r>
    <n v="1197"/>
    <s v="242510014"/>
    <x v="0"/>
    <x v="7"/>
    <s v="Inta jaya"/>
    <d v="2026-01-14T00:00:00"/>
    <s v="14"/>
    <x v="0"/>
    <s v="26"/>
    <x v="2"/>
    <x v="3"/>
    <x v="6"/>
    <s v="Real"/>
    <s v="Entrepreneur"/>
    <s v="Product development"/>
    <x v="0"/>
    <x v="0"/>
    <x v="1"/>
    <s v="F11.01.01"/>
    <n v="1"/>
    <s v="menganalisis kelas sosial dalam Masyarakat"/>
    <s v="01.01"/>
    <x v="19"/>
    <s v="K11"/>
    <s v="F"/>
    <n v="65"/>
    <n v="65"/>
    <s v="Tuntas"/>
    <s v="Sejarah"/>
    <x v="1"/>
    <x v="11"/>
    <n v="65"/>
    <x v="1"/>
    <n v="11"/>
    <x v="0"/>
    <x v="1"/>
    <x v="2"/>
  </r>
  <r>
    <n v="1198"/>
    <s v="242510014"/>
    <x v="0"/>
    <x v="7"/>
    <s v="Inta jaya"/>
    <d v="2026-01-14T00:00:00"/>
    <s v="14"/>
    <x v="0"/>
    <s v="26"/>
    <x v="3"/>
    <x v="4"/>
    <x v="5"/>
    <s v="Real"/>
    <s v="Entrepreneur"/>
    <s v="Product development"/>
    <x v="0"/>
    <x v="0"/>
    <x v="1"/>
    <s v="F11.01.01"/>
    <n v="1"/>
    <s v="menganalisis kelas sosial dalam Masyarakat"/>
    <s v="01.01"/>
    <x v="19"/>
    <s v="K11"/>
    <s v="F"/>
    <n v="65"/>
    <n v="80"/>
    <s v="Tuntas"/>
    <s v="Sejarah"/>
    <x v="1"/>
    <x v="11"/>
    <n v="80"/>
    <x v="2"/>
    <n v="11"/>
    <x v="2"/>
    <x v="1"/>
    <x v="2"/>
  </r>
  <r>
    <n v="1199"/>
    <s v="242510014"/>
    <x v="0"/>
    <x v="7"/>
    <s v="Inta jaya"/>
    <d v="2026-01-14T00:00:00"/>
    <s v="14"/>
    <x v="0"/>
    <s v="26"/>
    <x v="4"/>
    <x v="5"/>
    <x v="0"/>
    <s v="Real"/>
    <s v="Entrepreneur"/>
    <s v="Product development"/>
    <x v="0"/>
    <x v="0"/>
    <x v="1"/>
    <s v="F11.01.01"/>
    <n v="1"/>
    <s v="menganalisis kelas sosial dalam Masyarakat"/>
    <s v="01.01"/>
    <x v="19"/>
    <s v="K11"/>
    <s v="F"/>
    <n v="65"/>
    <n v="70"/>
    <s v="Tuntas"/>
    <s v="Sejarah"/>
    <x v="1"/>
    <x v="11"/>
    <n v="70"/>
    <x v="1"/>
    <n v="11"/>
    <x v="0"/>
    <x v="1"/>
    <x v="2"/>
  </r>
  <r>
    <n v="1200"/>
    <s v="242510014"/>
    <x v="0"/>
    <x v="7"/>
    <s v="Inta jaya"/>
    <d v="2026-01-21T00:00:00"/>
    <s v="21"/>
    <x v="0"/>
    <s v="26"/>
    <x v="0"/>
    <x v="0"/>
    <x v="6"/>
    <s v="Real"/>
    <s v="Entrepreneur"/>
    <s v="Product development"/>
    <x v="0"/>
    <x v="0"/>
    <x v="1"/>
    <s v="F11.01.01"/>
    <n v="1"/>
    <s v="menganalisis kelas sosial dalam Masyarakat"/>
    <s v="01.01"/>
    <x v="19"/>
    <s v="K11"/>
    <s v="F"/>
    <n v="65"/>
    <n v="75"/>
    <s v="Tuntas"/>
    <s v="Sejarah"/>
    <x v="1"/>
    <x v="11"/>
    <n v="75"/>
    <x v="1"/>
    <n v="11"/>
    <x v="0"/>
    <x v="2"/>
    <x v="2"/>
  </r>
  <r>
    <n v="1201"/>
    <s v="242510014"/>
    <x v="0"/>
    <x v="7"/>
    <s v="Inta jaya"/>
    <d v="2026-01-21T00:00:00"/>
    <s v="21"/>
    <x v="0"/>
    <s v="26"/>
    <x v="2"/>
    <x v="6"/>
    <x v="0"/>
    <s v="Real"/>
    <s v="Entrepreneur"/>
    <s v="Product development"/>
    <x v="0"/>
    <x v="0"/>
    <x v="1"/>
    <s v="F11.01.01"/>
    <n v="1"/>
    <s v="menganalisis kelas sosial dalam Masyarakat"/>
    <s v="01.01"/>
    <x v="19"/>
    <s v="K11"/>
    <s v="F"/>
    <n v="65"/>
    <n v="70"/>
    <s v="Tuntas"/>
    <s v="Sejarah"/>
    <x v="1"/>
    <x v="11"/>
    <n v="70"/>
    <x v="1"/>
    <n v="11"/>
    <x v="0"/>
    <x v="2"/>
    <x v="2"/>
  </r>
  <r>
    <n v="1202"/>
    <s v="242510014"/>
    <x v="0"/>
    <x v="7"/>
    <s v="Inta jaya"/>
    <d v="2026-01-21T00:00:00"/>
    <s v="21"/>
    <x v="0"/>
    <s v="26"/>
    <x v="3"/>
    <x v="4"/>
    <x v="3"/>
    <s v="Real"/>
    <s v="Entrepreneur"/>
    <s v="Product development"/>
    <x v="0"/>
    <x v="0"/>
    <x v="1"/>
    <s v="F11.01.01"/>
    <n v="1"/>
    <s v="menganalisis kelas sosial dalam Masyarakat"/>
    <s v="01.01"/>
    <x v="19"/>
    <s v="K11"/>
    <s v="F"/>
    <n v="65"/>
    <n v="80"/>
    <s v="Tuntas"/>
    <s v="Sejarah"/>
    <x v="1"/>
    <x v="11"/>
    <n v="80"/>
    <x v="2"/>
    <n v="11"/>
    <x v="2"/>
    <x v="2"/>
    <x v="2"/>
  </r>
  <r>
    <n v="1203"/>
    <s v="242510014"/>
    <x v="0"/>
    <x v="7"/>
    <s v="Inta jaya"/>
    <d v="2026-01-21T00:00:00"/>
    <s v="21"/>
    <x v="0"/>
    <s v="26"/>
    <x v="4"/>
    <x v="5"/>
    <x v="0"/>
    <s v="Real"/>
    <s v="Entrepreneur"/>
    <s v="Product development"/>
    <x v="0"/>
    <x v="0"/>
    <x v="1"/>
    <s v="F11.02.01"/>
    <n v="2"/>
    <s v=""/>
    <s v="02.01"/>
    <x v="20"/>
    <s v="K11"/>
    <s v="F"/>
    <n v="65"/>
    <n v="70"/>
    <s v="Tuntas"/>
    <s v="Sejarah"/>
    <x v="1"/>
    <x v="11"/>
    <n v="70"/>
    <x v="1"/>
    <n v="11"/>
    <x v="0"/>
    <x v="2"/>
    <x v="2"/>
  </r>
  <r>
    <n v="1204"/>
    <s v="242510014"/>
    <x v="0"/>
    <x v="7"/>
    <s v="Inta jaya"/>
    <d v="2026-01-28T00:00:00"/>
    <s v="28"/>
    <x v="0"/>
    <s v="26"/>
    <x v="0"/>
    <x v="0"/>
    <x v="6"/>
    <s v="Real"/>
    <s v="Entrepreneur"/>
    <s v="Product development"/>
    <x v="0"/>
    <x v="0"/>
    <x v="1"/>
    <s v="F11.02.01"/>
    <n v="2"/>
    <s v=""/>
    <s v="02.01"/>
    <x v="20"/>
    <s v="K11"/>
    <s v="F"/>
    <n v="65"/>
    <n v="65"/>
    <s v="Tuntas"/>
    <s v="Sejarah"/>
    <x v="1"/>
    <x v="11"/>
    <n v="65"/>
    <x v="1"/>
    <n v="11"/>
    <x v="0"/>
    <x v="3"/>
    <x v="2"/>
  </r>
  <r>
    <n v="1205"/>
    <s v="242510014"/>
    <x v="0"/>
    <x v="7"/>
    <s v="Inta jaya"/>
    <d v="2026-01-28T00:00:00"/>
    <s v="28"/>
    <x v="0"/>
    <s v="26"/>
    <x v="2"/>
    <x v="6"/>
    <x v="6"/>
    <s v="Real"/>
    <s v="Entrepreneur"/>
    <s v="Product development"/>
    <x v="0"/>
    <x v="0"/>
    <x v="1"/>
    <s v="F11.02.01"/>
    <n v="2"/>
    <s v=""/>
    <s v="02.01"/>
    <x v="20"/>
    <s v="K11"/>
    <s v="F"/>
    <n v="65"/>
    <n v="65"/>
    <s v="Tuntas"/>
    <s v="Sejarah"/>
    <x v="1"/>
    <x v="11"/>
    <n v="65"/>
    <x v="1"/>
    <n v="11"/>
    <x v="0"/>
    <x v="3"/>
    <x v="2"/>
  </r>
  <r>
    <n v="1206"/>
    <s v="242510014"/>
    <x v="0"/>
    <x v="7"/>
    <s v="Inta jaya"/>
    <d v="2026-01-28T00:00:00"/>
    <s v="28"/>
    <x v="0"/>
    <s v="26"/>
    <x v="3"/>
    <x v="4"/>
    <x v="5"/>
    <s v="Real"/>
    <s v="Entrepreneur"/>
    <s v="Product development"/>
    <x v="0"/>
    <x v="0"/>
    <x v="1"/>
    <s v="F11.02.01"/>
    <n v="2"/>
    <s v=""/>
    <s v="02.01"/>
    <x v="20"/>
    <s v="K11"/>
    <s v="F"/>
    <n v="65"/>
    <n v="80"/>
    <s v="Tuntas"/>
    <s v="Sejarah"/>
    <x v="1"/>
    <x v="11"/>
    <n v="80"/>
    <x v="2"/>
    <n v="11"/>
    <x v="2"/>
    <x v="3"/>
    <x v="2"/>
  </r>
  <r>
    <n v="1207"/>
    <s v="242510014"/>
    <x v="0"/>
    <x v="7"/>
    <s v="Inta jaya"/>
    <d v="2026-01-28T00:00:00"/>
    <s v="28"/>
    <x v="0"/>
    <s v="26"/>
    <x v="4"/>
    <x v="5"/>
    <x v="0"/>
    <s v="Real"/>
    <s v="Entrepreneur"/>
    <s v="Product development"/>
    <x v="0"/>
    <x v="0"/>
    <x v="1"/>
    <s v="F11.02.01"/>
    <n v="2"/>
    <s v=""/>
    <s v="02.01"/>
    <x v="20"/>
    <s v="K11"/>
    <s v="F"/>
    <n v="65"/>
    <n v="65"/>
    <s v="Tuntas"/>
    <s v="Sejarah"/>
    <x v="1"/>
    <x v="11"/>
    <n v="65"/>
    <x v="1"/>
    <n v="11"/>
    <x v="0"/>
    <x v="3"/>
    <x v="2"/>
  </r>
  <r>
    <n v="1208"/>
    <s v="242510014"/>
    <x v="0"/>
    <x v="7"/>
    <s v="Inta jaya"/>
    <d v="2026-02-04T00:00:00"/>
    <s v="04"/>
    <x v="1"/>
    <s v="26"/>
    <x v="0"/>
    <x v="0"/>
    <x v="6"/>
    <s v="Real"/>
    <s v="Entrepreneur"/>
    <s v="Product development"/>
    <x v="0"/>
    <x v="0"/>
    <x v="1"/>
    <s v="F11.02.01"/>
    <n v="2"/>
    <s v=""/>
    <s v="02.01"/>
    <x v="20"/>
    <s v="K11"/>
    <s v="F"/>
    <n v="65"/>
    <n v="75"/>
    <s v="Tuntas"/>
    <s v="Sejarah"/>
    <x v="1"/>
    <x v="11"/>
    <n v="75"/>
    <x v="1"/>
    <n v="11"/>
    <x v="0"/>
    <x v="4"/>
    <x v="2"/>
  </r>
  <r>
    <n v="1209"/>
    <s v="242510014"/>
    <x v="0"/>
    <x v="7"/>
    <s v="Inta jaya"/>
    <d v="2026-02-04T00:00:00"/>
    <s v="04"/>
    <x v="1"/>
    <s v="26"/>
    <x v="2"/>
    <x v="6"/>
    <x v="6"/>
    <s v="Real"/>
    <s v="Entrepreneur"/>
    <s v="Product development"/>
    <x v="0"/>
    <x v="0"/>
    <x v="1"/>
    <s v="F11.02.01"/>
    <n v="2"/>
    <s v=""/>
    <s v="02.01"/>
    <x v="20"/>
    <s v="K11"/>
    <s v="F"/>
    <n v="65"/>
    <n v="65"/>
    <s v="Tuntas"/>
    <s v="Sejarah"/>
    <x v="1"/>
    <x v="11"/>
    <n v="65"/>
    <x v="1"/>
    <n v="11"/>
    <x v="0"/>
    <x v="4"/>
    <x v="2"/>
  </r>
  <r>
    <n v="1210"/>
    <s v="242510014"/>
    <x v="0"/>
    <x v="7"/>
    <s v="Inta jaya"/>
    <d v="2026-02-04T00:00:00"/>
    <s v="04"/>
    <x v="1"/>
    <s v="26"/>
    <x v="3"/>
    <x v="4"/>
    <x v="3"/>
    <s v="Real"/>
    <s v="Entrepreneur"/>
    <s v="Product development"/>
    <x v="0"/>
    <x v="0"/>
    <x v="1"/>
    <s v="F11.02.01"/>
    <n v="2"/>
    <s v=""/>
    <s v="02.01"/>
    <x v="20"/>
    <s v="K11"/>
    <s v="F"/>
    <n v="65"/>
    <n v="70"/>
    <s v="Tuntas"/>
    <s v="Sejarah"/>
    <x v="1"/>
    <x v="11"/>
    <n v="70"/>
    <x v="1"/>
    <n v="11"/>
    <x v="1"/>
    <x v="4"/>
    <x v="2"/>
  </r>
  <r>
    <n v="1211"/>
    <s v="242510014"/>
    <x v="0"/>
    <x v="7"/>
    <s v="Inta jaya"/>
    <d v="2026-02-04T00:00:00"/>
    <s v="04"/>
    <x v="1"/>
    <s v="26"/>
    <x v="4"/>
    <x v="5"/>
    <x v="0"/>
    <s v="Real"/>
    <s v="Entrepreneur"/>
    <s v="Product development"/>
    <x v="0"/>
    <x v="0"/>
    <x v="1"/>
    <s v="F11.02.01"/>
    <n v="2"/>
    <s v=""/>
    <s v="02.01"/>
    <x v="20"/>
    <s v="K11"/>
    <s v="F"/>
    <n v="65"/>
    <n v="65"/>
    <s v="Tuntas"/>
    <s v="Sejarah"/>
    <x v="1"/>
    <x v="11"/>
    <n v="65"/>
    <x v="1"/>
    <n v="11"/>
    <x v="0"/>
    <x v="4"/>
    <x v="2"/>
  </r>
  <r>
    <n v="1212"/>
    <s v="242510014"/>
    <x v="0"/>
    <x v="7"/>
    <s v="Inta jaya"/>
    <d v="2026-02-11T00:00:00"/>
    <s v="11"/>
    <x v="1"/>
    <s v="26"/>
    <x v="0"/>
    <x v="0"/>
    <x v="6"/>
    <s v="Real"/>
    <s v="Entrepreneur"/>
    <s v="Product development"/>
    <x v="0"/>
    <x v="0"/>
    <x v="1"/>
    <s v="F11.03.01"/>
    <n v="3"/>
    <s v=""/>
    <s v="03.01"/>
    <x v="21"/>
    <s v="K11"/>
    <s v="F"/>
    <n v="65"/>
    <n v="75"/>
    <s v="Tuntas"/>
    <s v="Sejarah"/>
    <x v="1"/>
    <x v="11"/>
    <n v="75"/>
    <x v="1"/>
    <n v="11"/>
    <x v="0"/>
    <x v="5"/>
    <x v="2"/>
  </r>
  <r>
    <n v="1213"/>
    <s v="242510014"/>
    <x v="0"/>
    <x v="7"/>
    <s v="Inta jaya"/>
    <d v="2026-02-11T00:00:00"/>
    <s v="11"/>
    <x v="1"/>
    <s v="26"/>
    <x v="2"/>
    <x v="6"/>
    <x v="6"/>
    <s v="Real"/>
    <s v="Entrepreneur"/>
    <s v="Product development"/>
    <x v="0"/>
    <x v="0"/>
    <x v="1"/>
    <s v="F11.03.01"/>
    <n v="3"/>
    <s v=""/>
    <s v="03.01"/>
    <x v="21"/>
    <s v="K11"/>
    <s v="F"/>
    <n v="65"/>
    <n v="70"/>
    <s v="Tuntas"/>
    <s v="Sejarah"/>
    <x v="1"/>
    <x v="11"/>
    <n v="70"/>
    <x v="1"/>
    <n v="11"/>
    <x v="0"/>
    <x v="5"/>
    <x v="2"/>
  </r>
  <r>
    <n v="1214"/>
    <s v="242510014"/>
    <x v="0"/>
    <x v="7"/>
    <s v="Inta jaya"/>
    <d v="2026-02-11T00:00:00"/>
    <s v="11"/>
    <x v="1"/>
    <s v="26"/>
    <x v="3"/>
    <x v="4"/>
    <x v="3"/>
    <s v="Real"/>
    <s v="Entrepreneur"/>
    <s v="Product development"/>
    <x v="0"/>
    <x v="0"/>
    <x v="1"/>
    <s v="F11.03.01"/>
    <n v="3"/>
    <s v=""/>
    <s v="03.01"/>
    <x v="21"/>
    <s v="K11"/>
    <s v="F"/>
    <n v="65"/>
    <n v="75"/>
    <s v="Tuntas"/>
    <s v="Sejarah"/>
    <x v="1"/>
    <x v="11"/>
    <n v="75"/>
    <x v="1"/>
    <n v="11"/>
    <x v="1"/>
    <x v="5"/>
    <x v="2"/>
  </r>
  <r>
    <n v="1215"/>
    <s v="242510014"/>
    <x v="0"/>
    <x v="7"/>
    <s v="Inta jaya"/>
    <d v="2026-02-11T00:00:00"/>
    <s v="11"/>
    <x v="1"/>
    <s v="26"/>
    <x v="4"/>
    <x v="5"/>
    <x v="0"/>
    <s v="Real"/>
    <s v="Entrepreneur"/>
    <s v="Product development"/>
    <x v="0"/>
    <x v="0"/>
    <x v="1"/>
    <s v="F11.03.01"/>
    <n v="3"/>
    <s v=""/>
    <s v="03.01"/>
    <x v="21"/>
    <s v="K11"/>
    <s v="F"/>
    <n v="65"/>
    <n v="70"/>
    <s v="Tuntas"/>
    <s v="Sejarah"/>
    <x v="1"/>
    <x v="11"/>
    <n v="70"/>
    <x v="1"/>
    <n v="11"/>
    <x v="0"/>
    <x v="5"/>
    <x v="2"/>
  </r>
  <r>
    <n v="1216"/>
    <s v="242510014"/>
    <x v="0"/>
    <x v="7"/>
    <s v="Inta jaya"/>
    <d v="2026-02-18T00:00:00"/>
    <s v="18"/>
    <x v="1"/>
    <s v="26"/>
    <x v="0"/>
    <x v="2"/>
    <x v="17"/>
    <s v="Real"/>
    <s v="Entrepreneur"/>
    <s v="Product development"/>
    <x v="0"/>
    <x v="0"/>
    <x v="1"/>
    <s v="F11.01.01"/>
    <n v="1"/>
    <s v="menganalisis kelas sosial dalam Masyarakat"/>
    <s v="01.01"/>
    <x v="19"/>
    <s v="K11"/>
    <s v="F"/>
    <n v="65"/>
    <n v="66"/>
    <s v="Tuntas"/>
    <s v="Sejarah"/>
    <x v="1"/>
    <x v="11"/>
    <n v="66"/>
    <x v="1"/>
    <n v="11"/>
    <x v="0"/>
    <x v="6"/>
    <x v="2"/>
  </r>
  <r>
    <n v="1217"/>
    <s v="242510014"/>
    <x v="0"/>
    <x v="7"/>
    <s v="Inta jaya"/>
    <d v="2026-02-18T00:00:00"/>
    <s v="18"/>
    <x v="1"/>
    <s v="26"/>
    <x v="3"/>
    <x v="4"/>
    <x v="3"/>
    <s v="Real"/>
    <s v="Entrepreneur"/>
    <s v="Product development"/>
    <x v="0"/>
    <x v="0"/>
    <x v="1"/>
    <s v="F11.01.01"/>
    <n v="1"/>
    <s v="menganalisis kelas sosial dalam Masyarakat"/>
    <s v="01.01"/>
    <x v="19"/>
    <s v="K11"/>
    <s v="F"/>
    <n v="65"/>
    <n v="70"/>
    <s v="Tuntas"/>
    <s v="Sejarah"/>
    <x v="1"/>
    <x v="11"/>
    <n v="70"/>
    <x v="1"/>
    <n v="11"/>
    <x v="1"/>
    <x v="6"/>
    <x v="2"/>
  </r>
  <r>
    <n v="1218"/>
    <s v="242510011"/>
    <x v="0"/>
    <x v="1"/>
    <s v="Intan Jaya"/>
    <d v="2026-01-14T00:00:00"/>
    <s v="14"/>
    <x v="0"/>
    <s v="26"/>
    <x v="0"/>
    <x v="0"/>
    <x v="6"/>
    <s v="Real"/>
    <s v="Entrepreneur"/>
    <s v="Product development"/>
    <x v="0"/>
    <x v="0"/>
    <x v="1"/>
    <s v="F11.01.01"/>
    <n v="1"/>
    <s v="menganalisis kelas sosial dalam Masyarakat"/>
    <s v="01.01"/>
    <x v="19"/>
    <s v="K11"/>
    <s v="F"/>
    <n v="65"/>
    <n v="89"/>
    <s v="Tuntas"/>
    <s v="Sejarah"/>
    <x v="1"/>
    <x v="11"/>
    <n v="89"/>
    <x v="2"/>
    <n v="11"/>
    <x v="0"/>
    <x v="1"/>
    <x v="1"/>
  </r>
  <r>
    <n v="1219"/>
    <s v="242510011"/>
    <x v="0"/>
    <x v="1"/>
    <s v="Intan Jaya"/>
    <d v="2026-01-14T00:00:00"/>
    <s v="14"/>
    <x v="0"/>
    <s v="26"/>
    <x v="2"/>
    <x v="3"/>
    <x v="6"/>
    <s v="Real"/>
    <s v="Entrepreneur"/>
    <s v="Product development"/>
    <x v="0"/>
    <x v="0"/>
    <x v="1"/>
    <s v="F11.01.01"/>
    <n v="1"/>
    <s v="menganalisis kelas sosial dalam Masyarakat"/>
    <s v="01.01"/>
    <x v="19"/>
    <s v="K11"/>
    <s v="F"/>
    <n v="65"/>
    <n v="75"/>
    <s v="Tuntas"/>
    <s v="Sejarah"/>
    <x v="1"/>
    <x v="11"/>
    <n v="75"/>
    <x v="1"/>
    <n v="11"/>
    <x v="0"/>
    <x v="1"/>
    <x v="1"/>
  </r>
  <r>
    <n v="1220"/>
    <s v="242510011"/>
    <x v="0"/>
    <x v="1"/>
    <s v="Intan Jaya"/>
    <d v="2026-01-14T00:00:00"/>
    <s v="14"/>
    <x v="0"/>
    <s v="26"/>
    <x v="3"/>
    <x v="4"/>
    <x v="5"/>
    <s v="Real"/>
    <s v="Entrepreneur"/>
    <s v="Product development"/>
    <x v="0"/>
    <x v="0"/>
    <x v="1"/>
    <s v="F11.01.01"/>
    <n v="1"/>
    <s v="menganalisis kelas sosial dalam Masyarakat"/>
    <s v="01.01"/>
    <x v="19"/>
    <s v="K11"/>
    <s v="F"/>
    <n v="65"/>
    <n v="80"/>
    <s v="Tuntas"/>
    <s v="Sejarah"/>
    <x v="1"/>
    <x v="11"/>
    <n v="80"/>
    <x v="2"/>
    <n v="11"/>
    <x v="2"/>
    <x v="1"/>
    <x v="1"/>
  </r>
  <r>
    <n v="1221"/>
    <s v="242510011"/>
    <x v="0"/>
    <x v="1"/>
    <s v="Intan Jaya"/>
    <d v="2026-01-14T00:00:00"/>
    <s v="14"/>
    <x v="0"/>
    <s v="26"/>
    <x v="4"/>
    <x v="5"/>
    <x v="0"/>
    <s v="Real"/>
    <s v="Entrepreneur"/>
    <s v="Product development"/>
    <x v="0"/>
    <x v="0"/>
    <x v="1"/>
    <s v="F11.01.01"/>
    <n v="1"/>
    <s v="menganalisis kelas sosial dalam Masyarakat"/>
    <s v="01.01"/>
    <x v="19"/>
    <s v="K11"/>
    <s v="F"/>
    <n v="65"/>
    <n v="70"/>
    <s v="Tuntas"/>
    <s v="Sejarah"/>
    <x v="1"/>
    <x v="11"/>
    <n v="70"/>
    <x v="1"/>
    <n v="11"/>
    <x v="0"/>
    <x v="1"/>
    <x v="1"/>
  </r>
  <r>
    <n v="1222"/>
    <s v="242510011"/>
    <x v="0"/>
    <x v="1"/>
    <s v="Intan Jaya"/>
    <d v="2026-01-21T00:00:00"/>
    <s v="21"/>
    <x v="0"/>
    <s v="26"/>
    <x v="0"/>
    <x v="0"/>
    <x v="6"/>
    <s v="Real"/>
    <s v="Entrepreneur"/>
    <s v="Product development"/>
    <x v="0"/>
    <x v="0"/>
    <x v="1"/>
    <s v="F11.01.01"/>
    <n v="1"/>
    <s v="menganalisis kelas sosial dalam Masyarakat"/>
    <s v="01.01"/>
    <x v="19"/>
    <s v="K11"/>
    <s v="F"/>
    <n v="65"/>
    <n v="90"/>
    <s v="Tuntas"/>
    <s v="Sejarah"/>
    <x v="1"/>
    <x v="11"/>
    <n v="90"/>
    <x v="2"/>
    <n v="11"/>
    <x v="0"/>
    <x v="2"/>
    <x v="1"/>
  </r>
  <r>
    <n v="1223"/>
    <s v="242510011"/>
    <x v="0"/>
    <x v="1"/>
    <s v="Intan Jaya"/>
    <d v="2026-01-21T00:00:00"/>
    <s v="21"/>
    <x v="0"/>
    <s v="26"/>
    <x v="2"/>
    <x v="6"/>
    <x v="0"/>
    <s v="Real"/>
    <s v="Entrepreneur"/>
    <s v="Product development"/>
    <x v="0"/>
    <x v="0"/>
    <x v="1"/>
    <s v="F11.01.01"/>
    <n v="1"/>
    <s v="menganalisis kelas sosial dalam Masyarakat"/>
    <s v="01.01"/>
    <x v="19"/>
    <s v="K11"/>
    <s v="F"/>
    <n v="65"/>
    <n v="85"/>
    <s v="Tuntas"/>
    <s v="Sejarah"/>
    <x v="1"/>
    <x v="11"/>
    <n v="85"/>
    <x v="2"/>
    <n v="11"/>
    <x v="0"/>
    <x v="2"/>
    <x v="1"/>
  </r>
  <r>
    <n v="1224"/>
    <s v="242510011"/>
    <x v="0"/>
    <x v="1"/>
    <s v="Intan Jaya"/>
    <d v="2026-01-21T00:00:00"/>
    <s v="21"/>
    <x v="0"/>
    <s v="26"/>
    <x v="3"/>
    <x v="4"/>
    <x v="3"/>
    <s v="Real"/>
    <s v="Entrepreneur"/>
    <s v="Product development"/>
    <x v="0"/>
    <x v="0"/>
    <x v="1"/>
    <s v="F11.01.01"/>
    <n v="1"/>
    <s v="menganalisis kelas sosial dalam Masyarakat"/>
    <s v="01.01"/>
    <x v="19"/>
    <s v="K11"/>
    <s v="F"/>
    <n v="65"/>
    <n v="80"/>
    <s v="Tuntas"/>
    <s v="Sejarah"/>
    <x v="1"/>
    <x v="11"/>
    <n v="80"/>
    <x v="2"/>
    <n v="11"/>
    <x v="2"/>
    <x v="2"/>
    <x v="1"/>
  </r>
  <r>
    <n v="1225"/>
    <s v="242510011"/>
    <x v="0"/>
    <x v="1"/>
    <s v="Intan Jaya"/>
    <d v="2026-01-21T00:00:00"/>
    <s v="21"/>
    <x v="0"/>
    <s v="26"/>
    <x v="4"/>
    <x v="5"/>
    <x v="0"/>
    <s v="Real"/>
    <s v="Entrepreneur"/>
    <s v="Product development"/>
    <x v="0"/>
    <x v="0"/>
    <x v="1"/>
    <s v="F11.02.01"/>
    <n v="2"/>
    <s v=""/>
    <s v="02.01"/>
    <x v="20"/>
    <s v="K11"/>
    <s v="F"/>
    <n v="65"/>
    <n v="70"/>
    <s v="Tuntas"/>
    <s v="Sejarah"/>
    <x v="1"/>
    <x v="11"/>
    <n v="70"/>
    <x v="1"/>
    <n v="11"/>
    <x v="0"/>
    <x v="2"/>
    <x v="1"/>
  </r>
  <r>
    <n v="1226"/>
    <s v="242510011"/>
    <x v="0"/>
    <x v="1"/>
    <s v="Intan Jaya"/>
    <d v="2026-01-28T00:00:00"/>
    <s v="28"/>
    <x v="0"/>
    <s v="26"/>
    <x v="0"/>
    <x v="0"/>
    <x v="6"/>
    <s v="Real"/>
    <s v="Entrepreneur"/>
    <s v="Product development"/>
    <x v="0"/>
    <x v="0"/>
    <x v="1"/>
    <s v="F11.02.01"/>
    <n v="2"/>
    <s v=""/>
    <s v="02.01"/>
    <x v="20"/>
    <s v="K11"/>
    <s v="F"/>
    <n v="65"/>
    <n v="89"/>
    <s v="Tuntas"/>
    <s v="Sejarah"/>
    <x v="1"/>
    <x v="11"/>
    <n v="89"/>
    <x v="2"/>
    <n v="11"/>
    <x v="0"/>
    <x v="3"/>
    <x v="1"/>
  </r>
  <r>
    <n v="1227"/>
    <s v="242510011"/>
    <x v="0"/>
    <x v="1"/>
    <s v="Intan Jaya"/>
    <d v="2026-01-28T00:00:00"/>
    <s v="28"/>
    <x v="0"/>
    <s v="26"/>
    <x v="2"/>
    <x v="6"/>
    <x v="6"/>
    <s v="Real"/>
    <s v="Entrepreneur"/>
    <s v="Product development"/>
    <x v="0"/>
    <x v="0"/>
    <x v="1"/>
    <s v="F11.02.01"/>
    <n v="2"/>
    <s v=""/>
    <s v="02.01"/>
    <x v="20"/>
    <s v="K11"/>
    <s v="F"/>
    <n v="65"/>
    <n v="75"/>
    <s v="Tuntas"/>
    <s v="Sejarah"/>
    <x v="1"/>
    <x v="11"/>
    <n v="75"/>
    <x v="1"/>
    <n v="11"/>
    <x v="0"/>
    <x v="3"/>
    <x v="1"/>
  </r>
  <r>
    <n v="1228"/>
    <s v="242510011"/>
    <x v="0"/>
    <x v="1"/>
    <s v="Intan Jaya"/>
    <d v="2026-01-28T00:00:00"/>
    <s v="28"/>
    <x v="0"/>
    <s v="26"/>
    <x v="3"/>
    <x v="4"/>
    <x v="5"/>
    <s v="Real"/>
    <s v="Entrepreneur"/>
    <s v="Product development"/>
    <x v="0"/>
    <x v="0"/>
    <x v="1"/>
    <s v="F11.02.01"/>
    <n v="2"/>
    <s v=""/>
    <s v="02.01"/>
    <x v="20"/>
    <s v="K11"/>
    <s v="F"/>
    <n v="65"/>
    <n v="80"/>
    <s v="Tuntas"/>
    <s v="Sejarah"/>
    <x v="1"/>
    <x v="11"/>
    <n v="80"/>
    <x v="2"/>
    <n v="11"/>
    <x v="2"/>
    <x v="3"/>
    <x v="1"/>
  </r>
  <r>
    <n v="1229"/>
    <s v="242510011"/>
    <x v="0"/>
    <x v="1"/>
    <s v="Intan Jaya"/>
    <d v="2026-01-28T00:00:00"/>
    <s v="28"/>
    <x v="0"/>
    <s v="26"/>
    <x v="4"/>
    <x v="5"/>
    <x v="0"/>
    <s v="Real"/>
    <s v="Entrepreneur"/>
    <s v="Product development"/>
    <x v="0"/>
    <x v="0"/>
    <x v="1"/>
    <s v="F11.02.01"/>
    <n v="2"/>
    <s v=""/>
    <s v="02.01"/>
    <x v="20"/>
    <s v="K11"/>
    <s v="F"/>
    <n v="65"/>
    <n v="75"/>
    <s v="Tuntas"/>
    <s v="Sejarah"/>
    <x v="1"/>
    <x v="11"/>
    <n v="75"/>
    <x v="1"/>
    <n v="11"/>
    <x v="0"/>
    <x v="3"/>
    <x v="1"/>
  </r>
  <r>
    <n v="1230"/>
    <s v="242510011"/>
    <x v="0"/>
    <x v="1"/>
    <s v="Intan Jaya"/>
    <d v="2026-02-04T00:00:00"/>
    <s v="04"/>
    <x v="1"/>
    <s v="26"/>
    <x v="0"/>
    <x v="0"/>
    <x v="6"/>
    <s v="Real"/>
    <s v="Entrepreneur"/>
    <s v="Product development"/>
    <x v="0"/>
    <x v="0"/>
    <x v="1"/>
    <s v="F11.02.01"/>
    <n v="2"/>
    <s v=""/>
    <s v="02.01"/>
    <x v="20"/>
    <s v="K11"/>
    <s v="F"/>
    <n v="65"/>
    <n v="90"/>
    <s v="Tuntas"/>
    <s v="Sejarah"/>
    <x v="1"/>
    <x v="11"/>
    <n v="90"/>
    <x v="2"/>
    <n v="11"/>
    <x v="0"/>
    <x v="4"/>
    <x v="1"/>
  </r>
  <r>
    <n v="1231"/>
    <s v="242510011"/>
    <x v="0"/>
    <x v="1"/>
    <s v="Intan Jaya"/>
    <d v="2026-02-04T00:00:00"/>
    <s v="04"/>
    <x v="1"/>
    <s v="26"/>
    <x v="2"/>
    <x v="6"/>
    <x v="6"/>
    <s v="Real"/>
    <s v="Entrepreneur"/>
    <s v="Product development"/>
    <x v="0"/>
    <x v="0"/>
    <x v="1"/>
    <s v="F11.02.01"/>
    <n v="2"/>
    <s v=""/>
    <s v="02.01"/>
    <x v="20"/>
    <s v="K11"/>
    <s v="F"/>
    <n v="65"/>
    <n v="89"/>
    <s v="Tuntas"/>
    <s v="Sejarah"/>
    <x v="1"/>
    <x v="11"/>
    <n v="89"/>
    <x v="2"/>
    <n v="11"/>
    <x v="0"/>
    <x v="4"/>
    <x v="1"/>
  </r>
  <r>
    <n v="1232"/>
    <s v="242510011"/>
    <x v="0"/>
    <x v="1"/>
    <s v="Intan Jaya"/>
    <d v="2026-02-04T00:00:00"/>
    <s v="04"/>
    <x v="1"/>
    <s v="26"/>
    <x v="3"/>
    <x v="4"/>
    <x v="3"/>
    <s v="Real"/>
    <s v="Entrepreneur"/>
    <s v="Product development"/>
    <x v="0"/>
    <x v="0"/>
    <x v="1"/>
    <s v="F11.02.01"/>
    <n v="2"/>
    <s v=""/>
    <s v="02.01"/>
    <x v="20"/>
    <s v="K11"/>
    <s v="F"/>
    <n v="65"/>
    <n v="70"/>
    <s v="Tuntas"/>
    <s v="Sejarah"/>
    <x v="1"/>
    <x v="11"/>
    <n v="70"/>
    <x v="1"/>
    <n v="11"/>
    <x v="1"/>
    <x v="4"/>
    <x v="1"/>
  </r>
  <r>
    <n v="1233"/>
    <s v="242510011"/>
    <x v="0"/>
    <x v="1"/>
    <s v="Intan Jaya"/>
    <d v="2026-02-04T00:00:00"/>
    <s v="04"/>
    <x v="1"/>
    <s v="26"/>
    <x v="4"/>
    <x v="5"/>
    <x v="0"/>
    <s v="Real"/>
    <s v="Entrepreneur"/>
    <s v="Product development"/>
    <x v="0"/>
    <x v="0"/>
    <x v="1"/>
    <s v="F11.02.01"/>
    <n v="2"/>
    <s v=""/>
    <s v="02.01"/>
    <x v="20"/>
    <s v="K11"/>
    <s v="F"/>
    <n v="65"/>
    <n v="65"/>
    <s v="Tuntas"/>
    <s v="Sejarah"/>
    <x v="1"/>
    <x v="11"/>
    <n v="65"/>
    <x v="1"/>
    <n v="11"/>
    <x v="0"/>
    <x v="4"/>
    <x v="1"/>
  </r>
  <r>
    <n v="1234"/>
    <s v="242510011"/>
    <x v="0"/>
    <x v="1"/>
    <s v="Intan Jaya"/>
    <d v="2026-02-11T00:00:00"/>
    <s v="11"/>
    <x v="1"/>
    <s v="26"/>
    <x v="0"/>
    <x v="0"/>
    <x v="6"/>
    <s v="Real"/>
    <s v="Entrepreneur"/>
    <s v="Product development"/>
    <x v="0"/>
    <x v="0"/>
    <x v="1"/>
    <s v="F11.03.01"/>
    <n v="3"/>
    <s v=""/>
    <s v="03.01"/>
    <x v="21"/>
    <s v="K11"/>
    <s v="F"/>
    <n v="65"/>
    <n v="90"/>
    <s v="Tuntas"/>
    <s v="Sejarah"/>
    <x v="1"/>
    <x v="11"/>
    <n v="90"/>
    <x v="2"/>
    <n v="11"/>
    <x v="0"/>
    <x v="5"/>
    <x v="1"/>
  </r>
  <r>
    <n v="1235"/>
    <s v="242510011"/>
    <x v="0"/>
    <x v="1"/>
    <s v="Intan Jaya"/>
    <d v="2026-02-11T00:00:00"/>
    <s v="11"/>
    <x v="1"/>
    <s v="26"/>
    <x v="2"/>
    <x v="6"/>
    <x v="6"/>
    <s v="Real"/>
    <s v="Entrepreneur"/>
    <s v="Product development"/>
    <x v="0"/>
    <x v="0"/>
    <x v="1"/>
    <s v="F11.03.01"/>
    <n v="3"/>
    <s v=""/>
    <s v="03.01"/>
    <x v="21"/>
    <s v="K11"/>
    <s v="F"/>
    <n v="65"/>
    <n v="70"/>
    <s v="Tuntas"/>
    <s v="Sejarah"/>
    <x v="1"/>
    <x v="11"/>
    <n v="70"/>
    <x v="1"/>
    <n v="11"/>
    <x v="0"/>
    <x v="5"/>
    <x v="1"/>
  </r>
  <r>
    <n v="1236"/>
    <s v="242510011"/>
    <x v="0"/>
    <x v="1"/>
    <s v="Intan Jaya"/>
    <d v="2026-02-11T00:00:00"/>
    <s v="11"/>
    <x v="1"/>
    <s v="26"/>
    <x v="3"/>
    <x v="4"/>
    <x v="3"/>
    <s v="Real"/>
    <s v="Entrepreneur"/>
    <s v="Product development"/>
    <x v="0"/>
    <x v="0"/>
    <x v="1"/>
    <s v="F11.03.01"/>
    <n v="3"/>
    <s v=""/>
    <s v="03.01"/>
    <x v="21"/>
    <s v="K11"/>
    <s v="F"/>
    <n v="65"/>
    <n v="75"/>
    <s v="Tuntas"/>
    <s v="Sejarah"/>
    <x v="1"/>
    <x v="11"/>
    <n v="75"/>
    <x v="1"/>
    <n v="11"/>
    <x v="1"/>
    <x v="5"/>
    <x v="1"/>
  </r>
  <r>
    <n v="1237"/>
    <s v="242510011"/>
    <x v="0"/>
    <x v="1"/>
    <s v="Intan Jaya"/>
    <d v="2026-02-11T00:00:00"/>
    <s v="11"/>
    <x v="1"/>
    <s v="26"/>
    <x v="4"/>
    <x v="5"/>
    <x v="0"/>
    <s v="Real"/>
    <s v="Entrepreneur"/>
    <s v="Product development"/>
    <x v="0"/>
    <x v="0"/>
    <x v="1"/>
    <s v="F11.03.01"/>
    <n v="3"/>
    <s v=""/>
    <s v="03.01"/>
    <x v="21"/>
    <s v="K11"/>
    <s v="F"/>
    <n v="65"/>
    <n v="75"/>
    <s v="Tuntas"/>
    <s v="Sejarah"/>
    <x v="1"/>
    <x v="11"/>
    <n v="75"/>
    <x v="1"/>
    <n v="11"/>
    <x v="0"/>
    <x v="5"/>
    <x v="1"/>
  </r>
  <r>
    <n v="1238"/>
    <s v="242510011"/>
    <x v="0"/>
    <x v="1"/>
    <s v="Intan Jaya"/>
    <d v="2026-02-18T00:00:00"/>
    <s v="18"/>
    <x v="1"/>
    <s v="26"/>
    <x v="0"/>
    <x v="2"/>
    <x v="17"/>
    <s v="Real"/>
    <s v="Entrepreneur"/>
    <s v="Product development"/>
    <x v="0"/>
    <x v="0"/>
    <x v="1"/>
    <s v="F11.01.01"/>
    <n v="1"/>
    <s v="menganalisis kelas sosial dalam Masyarakat"/>
    <s v="01.01"/>
    <x v="19"/>
    <s v="K11"/>
    <s v="F"/>
    <n v="65"/>
    <n v="93"/>
    <s v="Tuntas"/>
    <s v="Sejarah"/>
    <x v="1"/>
    <x v="11"/>
    <n v="93"/>
    <x v="4"/>
    <n v="11"/>
    <x v="0"/>
    <x v="6"/>
    <x v="1"/>
  </r>
  <r>
    <n v="1239"/>
    <s v="242510011"/>
    <x v="0"/>
    <x v="1"/>
    <s v="Intan Jaya"/>
    <d v="2026-02-18T00:00:00"/>
    <s v="18"/>
    <x v="1"/>
    <s v="26"/>
    <x v="3"/>
    <x v="4"/>
    <x v="3"/>
    <s v="Real"/>
    <s v="Entrepreneur"/>
    <s v="Product development"/>
    <x v="0"/>
    <x v="0"/>
    <x v="1"/>
    <s v="F11.01.01"/>
    <n v="1"/>
    <s v="menganalisis kelas sosial dalam Masyarakat"/>
    <s v="01.01"/>
    <x v="19"/>
    <s v="K11"/>
    <s v="F"/>
    <n v="65"/>
    <n v="70"/>
    <s v="Tuntas"/>
    <s v="Sejarah"/>
    <x v="1"/>
    <x v="11"/>
    <n v="70"/>
    <x v="1"/>
    <n v="11"/>
    <x v="1"/>
    <x v="6"/>
    <x v="1"/>
  </r>
  <r>
    <n v="1240"/>
    <s v="242510004"/>
    <x v="0"/>
    <x v="8"/>
    <s v="Inta jaya"/>
    <d v="2026-01-14T00:00:00"/>
    <s v="14"/>
    <x v="0"/>
    <s v="26"/>
    <x v="0"/>
    <x v="0"/>
    <x v="6"/>
    <s v="Real"/>
    <s v="Entrepreneur"/>
    <s v="Product development"/>
    <x v="0"/>
    <x v="0"/>
    <x v="1"/>
    <s v="F11.01.01"/>
    <n v="1"/>
    <s v="menganalisis kelas sosial dalam Masyarakat"/>
    <s v="01.01"/>
    <x v="19"/>
    <s v="K11"/>
    <s v="F"/>
    <n v="65"/>
    <n v="85"/>
    <s v="Tuntas"/>
    <s v="Sejarah"/>
    <x v="1"/>
    <x v="11"/>
    <n v="85"/>
    <x v="2"/>
    <n v="11"/>
    <x v="0"/>
    <x v="1"/>
    <x v="4"/>
  </r>
  <r>
    <n v="1241"/>
    <s v="242510004"/>
    <x v="0"/>
    <x v="8"/>
    <s v="Inta jaya"/>
    <d v="2026-01-14T00:00:00"/>
    <s v="14"/>
    <x v="0"/>
    <s v="26"/>
    <x v="2"/>
    <x v="3"/>
    <x v="6"/>
    <s v="Real"/>
    <s v="Entrepreneur"/>
    <s v="Product development"/>
    <x v="0"/>
    <x v="0"/>
    <x v="1"/>
    <s v="F11.01.01"/>
    <n v="1"/>
    <s v="menganalisis kelas sosial dalam Masyarakat"/>
    <s v="01.01"/>
    <x v="19"/>
    <s v="K11"/>
    <s v="F"/>
    <n v="65"/>
    <n v="75"/>
    <s v="Tuntas"/>
    <s v="Sejarah"/>
    <x v="1"/>
    <x v="11"/>
    <n v="75"/>
    <x v="1"/>
    <n v="11"/>
    <x v="0"/>
    <x v="1"/>
    <x v="4"/>
  </r>
  <r>
    <n v="1242"/>
    <s v="242510004"/>
    <x v="0"/>
    <x v="8"/>
    <s v="Inta jaya"/>
    <d v="2026-01-14T00:00:00"/>
    <s v="14"/>
    <x v="0"/>
    <s v="26"/>
    <x v="3"/>
    <x v="4"/>
    <x v="5"/>
    <s v="Real"/>
    <s v="Entrepreneur"/>
    <s v="Product development"/>
    <x v="0"/>
    <x v="0"/>
    <x v="1"/>
    <s v="F11.01.01"/>
    <n v="1"/>
    <s v="menganalisis kelas sosial dalam Masyarakat"/>
    <s v="01.01"/>
    <x v="19"/>
    <s v="K11"/>
    <s v="F"/>
    <n v="65"/>
    <n v="80"/>
    <s v="Tuntas"/>
    <s v="Sejarah"/>
    <x v="1"/>
    <x v="11"/>
    <n v="80"/>
    <x v="2"/>
    <n v="11"/>
    <x v="2"/>
    <x v="1"/>
    <x v="4"/>
  </r>
  <r>
    <n v="1243"/>
    <s v="242510004"/>
    <x v="0"/>
    <x v="8"/>
    <s v="Inta jaya"/>
    <d v="2026-01-14T00:00:00"/>
    <s v="14"/>
    <x v="0"/>
    <s v="26"/>
    <x v="4"/>
    <x v="5"/>
    <x v="0"/>
    <s v="Real"/>
    <s v="Entrepreneur"/>
    <s v="Product development"/>
    <x v="0"/>
    <x v="0"/>
    <x v="1"/>
    <s v="F11.01.01"/>
    <n v="1"/>
    <s v="menganalisis kelas sosial dalam Masyarakat"/>
    <s v="01.01"/>
    <x v="19"/>
    <s v="K11"/>
    <s v="F"/>
    <n v="65"/>
    <n v="70"/>
    <s v="Tuntas"/>
    <s v="Sejarah"/>
    <x v="1"/>
    <x v="11"/>
    <n v="70"/>
    <x v="1"/>
    <n v="11"/>
    <x v="0"/>
    <x v="1"/>
    <x v="4"/>
  </r>
  <r>
    <n v="1244"/>
    <s v="242510004"/>
    <x v="0"/>
    <x v="8"/>
    <s v="Inta jaya"/>
    <d v="2026-01-21T00:00:00"/>
    <s v="21"/>
    <x v="0"/>
    <s v="26"/>
    <x v="0"/>
    <x v="0"/>
    <x v="6"/>
    <s v="Real"/>
    <s v="Entrepreneur"/>
    <s v="Product development"/>
    <x v="0"/>
    <x v="0"/>
    <x v="1"/>
    <s v="F11.01.01"/>
    <n v="1"/>
    <s v="menganalisis kelas sosial dalam Masyarakat"/>
    <s v="01.01"/>
    <x v="19"/>
    <s v="K11"/>
    <s v="F"/>
    <n v="65"/>
    <n v="70"/>
    <s v="Tuntas"/>
    <s v="Sejarah"/>
    <x v="1"/>
    <x v="11"/>
    <n v="70"/>
    <x v="1"/>
    <n v="11"/>
    <x v="0"/>
    <x v="2"/>
    <x v="4"/>
  </r>
  <r>
    <n v="1245"/>
    <s v="242510004"/>
    <x v="0"/>
    <x v="8"/>
    <s v="Inta jaya"/>
    <d v="2026-01-21T00:00:00"/>
    <s v="21"/>
    <x v="0"/>
    <s v="26"/>
    <x v="2"/>
    <x v="6"/>
    <x v="0"/>
    <s v="Real"/>
    <s v="Entrepreneur"/>
    <s v="Product development"/>
    <x v="0"/>
    <x v="0"/>
    <x v="1"/>
    <s v="F11.01.01"/>
    <n v="1"/>
    <s v="menganalisis kelas sosial dalam Masyarakat"/>
    <s v="01.01"/>
    <x v="19"/>
    <s v="K11"/>
    <s v="F"/>
    <n v="65"/>
    <n v="68"/>
    <s v="Tuntas"/>
    <s v="Sejarah"/>
    <x v="1"/>
    <x v="11"/>
    <n v="68"/>
    <x v="1"/>
    <n v="11"/>
    <x v="0"/>
    <x v="2"/>
    <x v="4"/>
  </r>
  <r>
    <n v="1246"/>
    <s v="242510004"/>
    <x v="0"/>
    <x v="8"/>
    <s v="Inta jaya"/>
    <d v="2026-01-21T00:00:00"/>
    <s v="21"/>
    <x v="0"/>
    <s v="26"/>
    <x v="3"/>
    <x v="4"/>
    <x v="3"/>
    <s v="Real"/>
    <s v="Entrepreneur"/>
    <s v="Product development"/>
    <x v="0"/>
    <x v="0"/>
    <x v="1"/>
    <s v="F11.01.01"/>
    <n v="1"/>
    <s v="menganalisis kelas sosial dalam Masyarakat"/>
    <s v="01.01"/>
    <x v="19"/>
    <s v="K11"/>
    <s v="F"/>
    <n v="65"/>
    <n v="80"/>
    <s v="Tuntas"/>
    <s v="Sejarah"/>
    <x v="1"/>
    <x v="11"/>
    <n v="80"/>
    <x v="2"/>
    <n v="11"/>
    <x v="2"/>
    <x v="2"/>
    <x v="4"/>
  </r>
  <r>
    <n v="1247"/>
    <s v="242510004"/>
    <x v="0"/>
    <x v="8"/>
    <s v="Inta jaya"/>
    <d v="2026-01-21T00:00:00"/>
    <s v="21"/>
    <x v="0"/>
    <s v="26"/>
    <x v="4"/>
    <x v="5"/>
    <x v="0"/>
    <s v="Real"/>
    <s v="Entrepreneur"/>
    <s v="Product development"/>
    <x v="0"/>
    <x v="0"/>
    <x v="1"/>
    <s v="F11.02.01"/>
    <n v="2"/>
    <s v=""/>
    <s v="02.01"/>
    <x v="20"/>
    <s v="K11"/>
    <s v="F"/>
    <n v="65"/>
    <n v="70"/>
    <s v="Tuntas"/>
    <s v="Sejarah"/>
    <x v="1"/>
    <x v="11"/>
    <n v="70"/>
    <x v="1"/>
    <n v="11"/>
    <x v="0"/>
    <x v="2"/>
    <x v="4"/>
  </r>
  <r>
    <n v="1248"/>
    <s v="242510004"/>
    <x v="0"/>
    <x v="8"/>
    <s v="Inta jaya"/>
    <d v="2026-01-28T00:00:00"/>
    <s v="28"/>
    <x v="0"/>
    <s v="26"/>
    <x v="0"/>
    <x v="0"/>
    <x v="6"/>
    <s v="Real"/>
    <s v="Entrepreneur"/>
    <s v="Product development"/>
    <x v="0"/>
    <x v="0"/>
    <x v="1"/>
    <s v="F11.02.01"/>
    <n v="2"/>
    <s v=""/>
    <s v="02.01"/>
    <x v="20"/>
    <s v="K11"/>
    <s v="F"/>
    <n v="65"/>
    <n v="85"/>
    <s v="Tuntas"/>
    <s v="Sejarah"/>
    <x v="1"/>
    <x v="11"/>
    <n v="85"/>
    <x v="2"/>
    <n v="11"/>
    <x v="0"/>
    <x v="3"/>
    <x v="4"/>
  </r>
  <r>
    <n v="1249"/>
    <s v="242510004"/>
    <x v="0"/>
    <x v="8"/>
    <s v="Inta jaya"/>
    <d v="2026-01-28T00:00:00"/>
    <s v="28"/>
    <x v="0"/>
    <s v="26"/>
    <x v="2"/>
    <x v="6"/>
    <x v="6"/>
    <s v="Real"/>
    <s v="Entrepreneur"/>
    <s v="Product development"/>
    <x v="0"/>
    <x v="0"/>
    <x v="1"/>
    <s v="F11.02.01"/>
    <n v="2"/>
    <s v=""/>
    <s v="02.01"/>
    <x v="20"/>
    <s v="K11"/>
    <s v="F"/>
    <n v="65"/>
    <n v="75"/>
    <s v="Tuntas"/>
    <s v="Sejarah"/>
    <x v="1"/>
    <x v="11"/>
    <n v="75"/>
    <x v="1"/>
    <n v="11"/>
    <x v="0"/>
    <x v="3"/>
    <x v="4"/>
  </r>
  <r>
    <n v="1250"/>
    <s v="242510004"/>
    <x v="0"/>
    <x v="8"/>
    <s v="Inta jaya"/>
    <d v="2026-01-28T00:00:00"/>
    <s v="28"/>
    <x v="0"/>
    <s v="26"/>
    <x v="3"/>
    <x v="4"/>
    <x v="5"/>
    <s v="Real"/>
    <s v="Entrepreneur"/>
    <s v="Product development"/>
    <x v="0"/>
    <x v="0"/>
    <x v="1"/>
    <s v="F11.02.01"/>
    <n v="2"/>
    <s v=""/>
    <s v="02.01"/>
    <x v="20"/>
    <s v="K11"/>
    <s v="F"/>
    <n v="65"/>
    <n v="78"/>
    <s v="Tuntas"/>
    <s v="Sejarah"/>
    <x v="1"/>
    <x v="11"/>
    <n v="78"/>
    <x v="1"/>
    <n v="11"/>
    <x v="1"/>
    <x v="3"/>
    <x v="4"/>
  </r>
  <r>
    <n v="1251"/>
    <s v="242510004"/>
    <x v="0"/>
    <x v="8"/>
    <s v="Inta jaya"/>
    <d v="2026-01-28T00:00:00"/>
    <s v="28"/>
    <x v="0"/>
    <s v="26"/>
    <x v="4"/>
    <x v="5"/>
    <x v="0"/>
    <s v="Real"/>
    <s v="Entrepreneur"/>
    <s v="Product development"/>
    <x v="0"/>
    <x v="0"/>
    <x v="1"/>
    <s v="F11.02.01"/>
    <n v="2"/>
    <s v=""/>
    <s v="02.01"/>
    <x v="20"/>
    <s v="K11"/>
    <s v="F"/>
    <n v="65"/>
    <n v="75"/>
    <s v="Tuntas"/>
    <s v="Sejarah"/>
    <x v="1"/>
    <x v="11"/>
    <n v="75"/>
    <x v="1"/>
    <n v="11"/>
    <x v="0"/>
    <x v="3"/>
    <x v="4"/>
  </r>
  <r>
    <n v="1252"/>
    <s v="242510004"/>
    <x v="0"/>
    <x v="8"/>
    <s v="Inta jaya"/>
    <d v="2026-02-04T00:00:00"/>
    <s v="04"/>
    <x v="1"/>
    <s v="26"/>
    <x v="0"/>
    <x v="0"/>
    <x v="6"/>
    <s v="Real"/>
    <s v="Entrepreneur"/>
    <s v="Product development"/>
    <x v="0"/>
    <x v="0"/>
    <x v="1"/>
    <s v="F11.02.01"/>
    <n v="2"/>
    <s v=""/>
    <s v="02.01"/>
    <x v="20"/>
    <s v="K11"/>
    <s v="F"/>
    <n v="65"/>
    <n v="70"/>
    <s v="Tuntas"/>
    <s v="Sejarah"/>
    <x v="1"/>
    <x v="11"/>
    <n v="70"/>
    <x v="1"/>
    <n v="11"/>
    <x v="0"/>
    <x v="4"/>
    <x v="4"/>
  </r>
  <r>
    <n v="1253"/>
    <s v="242510004"/>
    <x v="0"/>
    <x v="8"/>
    <s v="Inta jaya"/>
    <d v="2026-02-04T00:00:00"/>
    <s v="04"/>
    <x v="1"/>
    <s v="26"/>
    <x v="2"/>
    <x v="6"/>
    <x v="6"/>
    <s v="Real"/>
    <s v="Entrepreneur"/>
    <s v="Product development"/>
    <x v="0"/>
    <x v="0"/>
    <x v="1"/>
    <s v="F11.02.01"/>
    <n v="2"/>
    <s v=""/>
    <s v="02.01"/>
    <x v="20"/>
    <s v="K11"/>
    <s v="F"/>
    <n v="65"/>
    <n v="85"/>
    <s v="Tuntas"/>
    <s v="Sejarah"/>
    <x v="1"/>
    <x v="11"/>
    <n v="85"/>
    <x v="2"/>
    <n v="11"/>
    <x v="0"/>
    <x v="4"/>
    <x v="4"/>
  </r>
  <r>
    <n v="1254"/>
    <s v="242510004"/>
    <x v="0"/>
    <x v="8"/>
    <s v="Inta jaya"/>
    <d v="2026-02-04T00:00:00"/>
    <s v="04"/>
    <x v="1"/>
    <s v="26"/>
    <x v="3"/>
    <x v="4"/>
    <x v="3"/>
    <s v="Real"/>
    <s v="Entrepreneur"/>
    <s v="Product development"/>
    <x v="0"/>
    <x v="0"/>
    <x v="1"/>
    <s v="F11.02.01"/>
    <n v="2"/>
    <s v=""/>
    <s v="02.01"/>
    <x v="20"/>
    <s v="K11"/>
    <s v="F"/>
    <n v="65"/>
    <n v="70"/>
    <s v="Tuntas"/>
    <s v="Sejarah"/>
    <x v="1"/>
    <x v="11"/>
    <n v="70"/>
    <x v="1"/>
    <n v="11"/>
    <x v="1"/>
    <x v="4"/>
    <x v="4"/>
  </r>
  <r>
    <n v="1255"/>
    <s v="242510004"/>
    <x v="0"/>
    <x v="8"/>
    <s v="Inta jaya"/>
    <d v="2026-02-04T00:00:00"/>
    <s v="04"/>
    <x v="1"/>
    <s v="26"/>
    <x v="4"/>
    <x v="5"/>
    <x v="0"/>
    <s v="Real"/>
    <s v="Entrepreneur"/>
    <s v="Product development"/>
    <x v="0"/>
    <x v="0"/>
    <x v="1"/>
    <s v="F11.02.01"/>
    <n v="2"/>
    <s v=""/>
    <s v="02.01"/>
    <x v="20"/>
    <s v="K11"/>
    <s v="F"/>
    <n v="65"/>
    <n v="65"/>
    <s v="Tuntas"/>
    <s v="Sejarah"/>
    <x v="1"/>
    <x v="11"/>
    <n v="65"/>
    <x v="1"/>
    <n v="11"/>
    <x v="0"/>
    <x v="4"/>
    <x v="4"/>
  </r>
  <r>
    <n v="1256"/>
    <s v="242510004"/>
    <x v="0"/>
    <x v="8"/>
    <s v="Inta jaya"/>
    <d v="2026-02-11T00:00:00"/>
    <s v="11"/>
    <x v="1"/>
    <s v="26"/>
    <x v="0"/>
    <x v="0"/>
    <x v="6"/>
    <s v="Real"/>
    <s v="Entrepreneur"/>
    <s v="Product development"/>
    <x v="0"/>
    <x v="0"/>
    <x v="1"/>
    <s v="F11.03.01"/>
    <n v="3"/>
    <s v=""/>
    <s v="03.01"/>
    <x v="21"/>
    <s v="K11"/>
    <s v="F"/>
    <n v="65"/>
    <n v="70"/>
    <s v="Tuntas"/>
    <s v="Sejarah"/>
    <x v="1"/>
    <x v="11"/>
    <n v="70"/>
    <x v="1"/>
    <n v="11"/>
    <x v="0"/>
    <x v="5"/>
    <x v="4"/>
  </r>
  <r>
    <n v="1257"/>
    <s v="242510004"/>
    <x v="0"/>
    <x v="8"/>
    <s v="Inta jaya"/>
    <d v="2026-02-11T00:00:00"/>
    <s v="11"/>
    <x v="1"/>
    <s v="26"/>
    <x v="2"/>
    <x v="6"/>
    <x v="6"/>
    <s v="Real"/>
    <s v="Entrepreneur"/>
    <s v="Product development"/>
    <x v="0"/>
    <x v="0"/>
    <x v="1"/>
    <s v="F11.03.01"/>
    <n v="3"/>
    <s v=""/>
    <s v="03.01"/>
    <x v="21"/>
    <s v="K11"/>
    <s v="F"/>
    <n v="65"/>
    <n v="65"/>
    <s v="Tuntas"/>
    <s v="Sejarah"/>
    <x v="1"/>
    <x v="11"/>
    <n v="65"/>
    <x v="1"/>
    <n v="11"/>
    <x v="0"/>
    <x v="5"/>
    <x v="4"/>
  </r>
  <r>
    <n v="1258"/>
    <s v="242510004"/>
    <x v="0"/>
    <x v="8"/>
    <s v="Inta jaya"/>
    <d v="2026-02-11T00:00:00"/>
    <s v="11"/>
    <x v="1"/>
    <s v="26"/>
    <x v="3"/>
    <x v="4"/>
    <x v="3"/>
    <s v="Real"/>
    <s v="Entrepreneur"/>
    <s v="Product development"/>
    <x v="0"/>
    <x v="0"/>
    <x v="1"/>
    <s v="F11.03.01"/>
    <n v="3"/>
    <s v=""/>
    <s v="03.01"/>
    <x v="21"/>
    <s v="K11"/>
    <s v="F"/>
    <n v="65"/>
    <n v="75"/>
    <s v="Tuntas"/>
    <s v="Sejarah"/>
    <x v="1"/>
    <x v="11"/>
    <n v="75"/>
    <x v="1"/>
    <n v="11"/>
    <x v="1"/>
    <x v="5"/>
    <x v="4"/>
  </r>
  <r>
    <n v="1259"/>
    <s v="242510004"/>
    <x v="0"/>
    <x v="8"/>
    <s v="Inta jaya"/>
    <d v="2026-02-11T00:00:00"/>
    <s v="11"/>
    <x v="1"/>
    <s v="26"/>
    <x v="4"/>
    <x v="5"/>
    <x v="0"/>
    <s v="Real"/>
    <s v="Entrepreneur"/>
    <s v="Product development"/>
    <x v="0"/>
    <x v="0"/>
    <x v="1"/>
    <s v="F11.03.01"/>
    <n v="3"/>
    <s v=""/>
    <s v="03.01"/>
    <x v="21"/>
    <s v="K11"/>
    <s v="F"/>
    <n v="65"/>
    <n v="70"/>
    <s v="Tuntas"/>
    <s v="Sejarah"/>
    <x v="1"/>
    <x v="11"/>
    <n v="70"/>
    <x v="1"/>
    <n v="11"/>
    <x v="0"/>
    <x v="5"/>
    <x v="4"/>
  </r>
  <r>
    <n v="1260"/>
    <s v="242510004"/>
    <x v="0"/>
    <x v="8"/>
    <s v="Inta jaya"/>
    <d v="2026-02-18T00:00:00"/>
    <s v="18"/>
    <x v="1"/>
    <s v="26"/>
    <x v="0"/>
    <x v="2"/>
    <x v="17"/>
    <s v="Real"/>
    <s v="Entrepreneur"/>
    <s v="Product development"/>
    <x v="0"/>
    <x v="0"/>
    <x v="1"/>
    <s v="F11.01.01"/>
    <n v="1"/>
    <s v="menganalisis kelas sosial dalam Masyarakat"/>
    <s v="01.01"/>
    <x v="19"/>
    <s v="K11"/>
    <s v="F"/>
    <n v="65"/>
    <n v="73"/>
    <s v="Tuntas"/>
    <s v="Sejarah"/>
    <x v="1"/>
    <x v="11"/>
    <n v="73"/>
    <x v="1"/>
    <n v="11"/>
    <x v="0"/>
    <x v="6"/>
    <x v="4"/>
  </r>
  <r>
    <n v="1261"/>
    <s v="242510004"/>
    <x v="0"/>
    <x v="8"/>
    <s v="Inta jaya"/>
    <d v="2026-02-18T00:00:00"/>
    <s v="18"/>
    <x v="1"/>
    <s v="26"/>
    <x v="3"/>
    <x v="4"/>
    <x v="3"/>
    <s v="Real"/>
    <s v="Entrepreneur"/>
    <s v="Product development"/>
    <x v="0"/>
    <x v="0"/>
    <x v="1"/>
    <s v="F11.01.01"/>
    <n v="1"/>
    <s v="menganalisis kelas sosial dalam Masyarakat"/>
    <s v="01.01"/>
    <x v="19"/>
    <s v="K11"/>
    <s v="F"/>
    <n v="65"/>
    <n v="70"/>
    <s v="Tuntas"/>
    <s v="Sejarah"/>
    <x v="1"/>
    <x v="11"/>
    <n v="70"/>
    <x v="1"/>
    <n v="11"/>
    <x v="1"/>
    <x v="6"/>
    <x v="4"/>
  </r>
  <r>
    <n v="1262"/>
    <s v="242510010"/>
    <x v="0"/>
    <x v="2"/>
    <s v="Intan Jaya"/>
    <d v="2026-01-14T00:00:00"/>
    <s v="14"/>
    <x v="0"/>
    <s v="26"/>
    <x v="0"/>
    <x v="0"/>
    <x v="6"/>
    <s v="Real"/>
    <s v="Entrepreneur"/>
    <s v="Product development"/>
    <x v="0"/>
    <x v="0"/>
    <x v="1"/>
    <s v="F11.01.01"/>
    <n v="1"/>
    <s v="menganalisis kelas sosial dalam Masyarakat"/>
    <s v="01.01"/>
    <x v="19"/>
    <s v="K11"/>
    <s v="F"/>
    <n v="65"/>
    <n v="70"/>
    <s v="Tuntas"/>
    <s v="Sejarah"/>
    <x v="1"/>
    <x v="11"/>
    <n v="70"/>
    <x v="1"/>
    <n v="11"/>
    <x v="0"/>
    <x v="1"/>
    <x v="2"/>
  </r>
  <r>
    <n v="1263"/>
    <s v="242510010"/>
    <x v="0"/>
    <x v="2"/>
    <s v="Intan Jaya"/>
    <d v="2026-01-14T00:00:00"/>
    <s v="14"/>
    <x v="0"/>
    <s v="26"/>
    <x v="2"/>
    <x v="3"/>
    <x v="6"/>
    <s v="Real"/>
    <s v="Entrepreneur"/>
    <s v="Product development"/>
    <x v="0"/>
    <x v="0"/>
    <x v="1"/>
    <s v="F11.01.01"/>
    <n v="1"/>
    <s v="menganalisis kelas sosial dalam Masyarakat"/>
    <s v="01.01"/>
    <x v="19"/>
    <s v="K11"/>
    <s v="F"/>
    <n v="65"/>
    <n v="70"/>
    <s v="Tuntas"/>
    <s v="Sejarah"/>
    <x v="1"/>
    <x v="11"/>
    <n v="70"/>
    <x v="1"/>
    <n v="11"/>
    <x v="0"/>
    <x v="1"/>
    <x v="2"/>
  </r>
  <r>
    <n v="1264"/>
    <s v="242510010"/>
    <x v="0"/>
    <x v="2"/>
    <s v="Intan Jaya"/>
    <d v="2026-01-14T00:00:00"/>
    <s v="14"/>
    <x v="0"/>
    <s v="26"/>
    <x v="3"/>
    <x v="4"/>
    <x v="5"/>
    <s v="Real"/>
    <s v="Entrepreneur"/>
    <s v="Product development"/>
    <x v="0"/>
    <x v="0"/>
    <x v="1"/>
    <s v="F11.01.01"/>
    <n v="1"/>
    <s v="menganalisis kelas sosial dalam Masyarakat"/>
    <s v="01.01"/>
    <x v="19"/>
    <s v="K11"/>
    <s v="F"/>
    <n v="65"/>
    <n v="80"/>
    <s v="Tuntas"/>
    <s v="Sejarah"/>
    <x v="1"/>
    <x v="11"/>
    <n v="80"/>
    <x v="2"/>
    <n v="11"/>
    <x v="2"/>
    <x v="1"/>
    <x v="2"/>
  </r>
  <r>
    <n v="1265"/>
    <s v="242510010"/>
    <x v="0"/>
    <x v="2"/>
    <s v="Intan Jaya"/>
    <d v="2026-01-14T00:00:00"/>
    <s v="14"/>
    <x v="0"/>
    <s v="26"/>
    <x v="4"/>
    <x v="5"/>
    <x v="0"/>
    <s v="Real"/>
    <s v="Entrepreneur"/>
    <s v="Product development"/>
    <x v="0"/>
    <x v="0"/>
    <x v="1"/>
    <s v="F11.01.01"/>
    <n v="1"/>
    <s v="menganalisis kelas sosial dalam Masyarakat"/>
    <s v="01.01"/>
    <x v="19"/>
    <s v="K11"/>
    <s v="F"/>
    <n v="65"/>
    <n v="70"/>
    <s v="Tuntas"/>
    <s v="Sejarah"/>
    <x v="1"/>
    <x v="11"/>
    <n v="70"/>
    <x v="1"/>
    <n v="11"/>
    <x v="0"/>
    <x v="1"/>
    <x v="2"/>
  </r>
  <r>
    <n v="1266"/>
    <s v="242510010"/>
    <x v="0"/>
    <x v="2"/>
    <s v="Intan Jaya"/>
    <d v="2026-01-21T00:00:00"/>
    <s v="21"/>
    <x v="0"/>
    <s v="26"/>
    <x v="0"/>
    <x v="0"/>
    <x v="6"/>
    <s v="Real"/>
    <s v="Entrepreneur"/>
    <s v="Product development"/>
    <x v="0"/>
    <x v="0"/>
    <x v="1"/>
    <s v="F11.01.01"/>
    <n v="1"/>
    <s v="menganalisis kelas sosial dalam Masyarakat"/>
    <s v="01.01"/>
    <x v="19"/>
    <s v="K11"/>
    <s v="F"/>
    <n v="65"/>
    <n v="70"/>
    <s v="Tuntas"/>
    <s v="Sejarah"/>
    <x v="1"/>
    <x v="11"/>
    <n v="70"/>
    <x v="1"/>
    <n v="11"/>
    <x v="0"/>
    <x v="2"/>
    <x v="2"/>
  </r>
  <r>
    <n v="1267"/>
    <s v="242510010"/>
    <x v="0"/>
    <x v="2"/>
    <s v="Intan Jaya"/>
    <d v="2026-01-21T00:00:00"/>
    <s v="21"/>
    <x v="0"/>
    <s v="26"/>
    <x v="2"/>
    <x v="6"/>
    <x v="0"/>
    <s v="Real"/>
    <s v="Entrepreneur"/>
    <s v="Product development"/>
    <x v="0"/>
    <x v="0"/>
    <x v="1"/>
    <s v="F11.01.01"/>
    <n v="1"/>
    <s v="menganalisis kelas sosial dalam Masyarakat"/>
    <s v="01.01"/>
    <x v="19"/>
    <s v="K11"/>
    <s v="F"/>
    <n v="65"/>
    <n v="68"/>
    <s v="Tuntas"/>
    <s v="Sejarah"/>
    <x v="1"/>
    <x v="11"/>
    <n v="68"/>
    <x v="1"/>
    <n v="11"/>
    <x v="0"/>
    <x v="2"/>
    <x v="2"/>
  </r>
  <r>
    <n v="1268"/>
    <s v="242510010"/>
    <x v="0"/>
    <x v="2"/>
    <s v="Intan Jaya"/>
    <d v="2026-01-21T00:00:00"/>
    <s v="21"/>
    <x v="0"/>
    <s v="26"/>
    <x v="3"/>
    <x v="4"/>
    <x v="3"/>
    <s v="Real"/>
    <s v="Entrepreneur"/>
    <s v="Product development"/>
    <x v="0"/>
    <x v="0"/>
    <x v="1"/>
    <s v="F11.01.01"/>
    <n v="1"/>
    <s v="menganalisis kelas sosial dalam Masyarakat"/>
    <s v="01.01"/>
    <x v="19"/>
    <s v="K11"/>
    <s v="F"/>
    <n v="65"/>
    <n v="80"/>
    <s v="Tuntas"/>
    <s v="Sejarah"/>
    <x v="1"/>
    <x v="11"/>
    <n v="80"/>
    <x v="2"/>
    <n v="11"/>
    <x v="2"/>
    <x v="2"/>
    <x v="2"/>
  </r>
  <r>
    <n v="1269"/>
    <s v="242510010"/>
    <x v="0"/>
    <x v="2"/>
    <s v="Intan Jaya"/>
    <d v="2026-01-21T00:00:00"/>
    <s v="21"/>
    <x v="0"/>
    <s v="26"/>
    <x v="4"/>
    <x v="5"/>
    <x v="0"/>
    <s v="Real"/>
    <s v="Entrepreneur"/>
    <s v="Product development"/>
    <x v="0"/>
    <x v="0"/>
    <x v="1"/>
    <s v="F11.02.01"/>
    <n v="2"/>
    <s v=""/>
    <s v="02.01"/>
    <x v="20"/>
    <s v="K11"/>
    <s v="F"/>
    <n v="65"/>
    <n v="70"/>
    <s v="Tuntas"/>
    <s v="Sejarah"/>
    <x v="1"/>
    <x v="11"/>
    <n v="70"/>
    <x v="1"/>
    <n v="11"/>
    <x v="0"/>
    <x v="2"/>
    <x v="2"/>
  </r>
  <r>
    <n v="1270"/>
    <s v="242510010"/>
    <x v="0"/>
    <x v="2"/>
    <s v="Intan Jaya"/>
    <d v="2026-01-28T00:00:00"/>
    <s v="28"/>
    <x v="0"/>
    <s v="26"/>
    <x v="0"/>
    <x v="0"/>
    <x v="6"/>
    <s v="Real"/>
    <s v="Entrepreneur"/>
    <s v="Product development"/>
    <x v="0"/>
    <x v="0"/>
    <x v="1"/>
    <s v="F11.02.01"/>
    <n v="2"/>
    <s v=""/>
    <s v="02.01"/>
    <x v="20"/>
    <s v="K11"/>
    <s v="F"/>
    <n v="65"/>
    <n v="70"/>
    <s v="Tuntas"/>
    <s v="Sejarah"/>
    <x v="1"/>
    <x v="11"/>
    <n v="70"/>
    <x v="1"/>
    <n v="11"/>
    <x v="0"/>
    <x v="3"/>
    <x v="2"/>
  </r>
  <r>
    <n v="1271"/>
    <s v="242510010"/>
    <x v="0"/>
    <x v="2"/>
    <s v="Intan Jaya"/>
    <d v="2026-01-28T00:00:00"/>
    <s v="28"/>
    <x v="0"/>
    <s v="26"/>
    <x v="2"/>
    <x v="6"/>
    <x v="6"/>
    <s v="Real"/>
    <s v="Entrepreneur"/>
    <s v="Product development"/>
    <x v="0"/>
    <x v="0"/>
    <x v="1"/>
    <s v="F11.02.01"/>
    <n v="2"/>
    <s v=""/>
    <s v="02.01"/>
    <x v="20"/>
    <s v="K11"/>
    <s v="F"/>
    <n v="65"/>
    <n v="70"/>
    <s v="Tuntas"/>
    <s v="Sejarah"/>
    <x v="1"/>
    <x v="11"/>
    <n v="70"/>
    <x v="1"/>
    <n v="11"/>
    <x v="0"/>
    <x v="3"/>
    <x v="2"/>
  </r>
  <r>
    <n v="1272"/>
    <s v="242510010"/>
    <x v="0"/>
    <x v="2"/>
    <s v="Intan Jaya"/>
    <d v="2026-01-28T00:00:00"/>
    <s v="28"/>
    <x v="0"/>
    <s v="26"/>
    <x v="3"/>
    <x v="4"/>
    <x v="5"/>
    <s v="Real"/>
    <s v="Entrepreneur"/>
    <s v="Product development"/>
    <x v="0"/>
    <x v="0"/>
    <x v="1"/>
    <s v="F11.02.01"/>
    <n v="2"/>
    <s v=""/>
    <s v="02.01"/>
    <x v="20"/>
    <s v="K11"/>
    <s v="F"/>
    <n v="65"/>
    <n v="70"/>
    <s v="Tuntas"/>
    <s v="Sejarah"/>
    <x v="1"/>
    <x v="11"/>
    <n v="70"/>
    <x v="1"/>
    <n v="11"/>
    <x v="1"/>
    <x v="3"/>
    <x v="2"/>
  </r>
  <r>
    <n v="1273"/>
    <s v="242510010"/>
    <x v="0"/>
    <x v="2"/>
    <s v="Intan Jaya"/>
    <d v="2026-01-28T00:00:00"/>
    <s v="28"/>
    <x v="0"/>
    <s v="26"/>
    <x v="4"/>
    <x v="5"/>
    <x v="0"/>
    <s v="Real"/>
    <s v="Entrepreneur"/>
    <s v="Product development"/>
    <x v="0"/>
    <x v="0"/>
    <x v="1"/>
    <s v="F11.02.01"/>
    <n v="2"/>
    <s v=""/>
    <s v="02.01"/>
    <x v="20"/>
    <s v="K11"/>
    <s v="F"/>
    <n v="65"/>
    <n v="70"/>
    <s v="Tuntas"/>
    <s v="Sejarah"/>
    <x v="1"/>
    <x v="11"/>
    <n v="70"/>
    <x v="1"/>
    <n v="11"/>
    <x v="0"/>
    <x v="3"/>
    <x v="2"/>
  </r>
  <r>
    <n v="1274"/>
    <s v="242510010"/>
    <x v="0"/>
    <x v="2"/>
    <s v="Intan Jaya"/>
    <d v="2026-02-04T00:00:00"/>
    <s v="04"/>
    <x v="1"/>
    <s v="26"/>
    <x v="0"/>
    <x v="0"/>
    <x v="6"/>
    <s v="Real"/>
    <s v="Entrepreneur"/>
    <s v="Product development"/>
    <x v="0"/>
    <x v="0"/>
    <x v="1"/>
    <s v="F11.02.01"/>
    <n v="2"/>
    <s v=""/>
    <s v="02.01"/>
    <x v="20"/>
    <s v="K11"/>
    <s v="F"/>
    <n v="65"/>
    <n v="70"/>
    <s v="Tuntas"/>
    <s v="Sejarah"/>
    <x v="1"/>
    <x v="11"/>
    <n v="70"/>
    <x v="1"/>
    <n v="11"/>
    <x v="0"/>
    <x v="4"/>
    <x v="2"/>
  </r>
  <r>
    <n v="1275"/>
    <s v="242510010"/>
    <x v="0"/>
    <x v="2"/>
    <s v="Intan Jaya"/>
    <d v="2026-02-04T00:00:00"/>
    <s v="04"/>
    <x v="1"/>
    <s v="26"/>
    <x v="2"/>
    <x v="6"/>
    <x v="6"/>
    <s v="Real"/>
    <s v="Entrepreneur"/>
    <s v="Product development"/>
    <x v="0"/>
    <x v="0"/>
    <x v="1"/>
    <s v="F11.02.01"/>
    <n v="2"/>
    <s v=""/>
    <s v="02.01"/>
    <x v="20"/>
    <s v="K11"/>
    <s v="F"/>
    <n v="65"/>
    <n v="70"/>
    <s v="Tuntas"/>
    <s v="Sejarah"/>
    <x v="1"/>
    <x v="11"/>
    <n v="70"/>
    <x v="1"/>
    <n v="11"/>
    <x v="0"/>
    <x v="4"/>
    <x v="2"/>
  </r>
  <r>
    <n v="1276"/>
    <s v="242510010"/>
    <x v="0"/>
    <x v="2"/>
    <s v="Intan Jaya"/>
    <d v="2026-02-04T00:00:00"/>
    <s v="04"/>
    <x v="1"/>
    <s v="26"/>
    <x v="3"/>
    <x v="4"/>
    <x v="3"/>
    <s v="Real"/>
    <s v="Entrepreneur"/>
    <s v="Product development"/>
    <x v="0"/>
    <x v="0"/>
    <x v="1"/>
    <s v="F11.02.01"/>
    <n v="2"/>
    <s v=""/>
    <s v="02.01"/>
    <x v="20"/>
    <s v="K11"/>
    <s v="F"/>
    <n v="65"/>
    <n v="70"/>
    <s v="Tuntas"/>
    <s v="Sejarah"/>
    <x v="1"/>
    <x v="11"/>
    <n v="70"/>
    <x v="1"/>
    <n v="11"/>
    <x v="1"/>
    <x v="4"/>
    <x v="2"/>
  </r>
  <r>
    <n v="1277"/>
    <s v="242510010"/>
    <x v="0"/>
    <x v="2"/>
    <s v="Intan Jaya"/>
    <d v="2026-02-04T00:00:00"/>
    <s v="04"/>
    <x v="1"/>
    <s v="26"/>
    <x v="4"/>
    <x v="5"/>
    <x v="0"/>
    <s v="Real"/>
    <s v="Entrepreneur"/>
    <s v="Product development"/>
    <x v="0"/>
    <x v="0"/>
    <x v="1"/>
    <s v="F11.02.01"/>
    <n v="2"/>
    <s v=""/>
    <s v="02.01"/>
    <x v="20"/>
    <s v="K11"/>
    <s v="F"/>
    <n v="65"/>
    <n v="65"/>
    <s v="Tuntas"/>
    <s v="Sejarah"/>
    <x v="1"/>
    <x v="11"/>
    <n v="65"/>
    <x v="1"/>
    <n v="11"/>
    <x v="0"/>
    <x v="4"/>
    <x v="2"/>
  </r>
  <r>
    <n v="1278"/>
    <s v="242510010"/>
    <x v="0"/>
    <x v="2"/>
    <s v="Intan Jaya"/>
    <d v="2026-02-11T00:00:00"/>
    <s v="11"/>
    <x v="1"/>
    <s v="26"/>
    <x v="0"/>
    <x v="0"/>
    <x v="6"/>
    <s v="Real"/>
    <s v="Entrepreneur"/>
    <s v="Product development"/>
    <x v="0"/>
    <x v="0"/>
    <x v="1"/>
    <s v="F11.03.01"/>
    <n v="3"/>
    <s v=""/>
    <s v="03.01"/>
    <x v="21"/>
    <s v="K11"/>
    <s v="F"/>
    <n v="65"/>
    <n v="70"/>
    <s v="Tuntas"/>
    <s v="Sejarah"/>
    <x v="1"/>
    <x v="11"/>
    <n v="70"/>
    <x v="1"/>
    <n v="11"/>
    <x v="0"/>
    <x v="5"/>
    <x v="2"/>
  </r>
  <r>
    <n v="1279"/>
    <s v="242510010"/>
    <x v="0"/>
    <x v="2"/>
    <s v="Intan Jaya"/>
    <d v="2026-02-11T00:00:00"/>
    <s v="11"/>
    <x v="1"/>
    <s v="26"/>
    <x v="2"/>
    <x v="6"/>
    <x v="6"/>
    <s v="Real"/>
    <s v="Entrepreneur"/>
    <s v="Product development"/>
    <x v="0"/>
    <x v="0"/>
    <x v="1"/>
    <s v="F11.03.01"/>
    <n v="3"/>
    <s v=""/>
    <s v="03.01"/>
    <x v="21"/>
    <s v="K11"/>
    <s v="F"/>
    <n v="65"/>
    <n v="65"/>
    <s v="Tuntas"/>
    <s v="Sejarah"/>
    <x v="1"/>
    <x v="11"/>
    <n v="65"/>
    <x v="1"/>
    <n v="11"/>
    <x v="0"/>
    <x v="5"/>
    <x v="2"/>
  </r>
  <r>
    <n v="1280"/>
    <s v="242510010"/>
    <x v="0"/>
    <x v="2"/>
    <s v="Intan Jaya"/>
    <d v="2026-02-11T00:00:00"/>
    <s v="11"/>
    <x v="1"/>
    <s v="26"/>
    <x v="3"/>
    <x v="4"/>
    <x v="3"/>
    <s v="Real"/>
    <s v="Entrepreneur"/>
    <s v="Product development"/>
    <x v="0"/>
    <x v="0"/>
    <x v="1"/>
    <s v="F11.03.01"/>
    <n v="3"/>
    <s v=""/>
    <s v="03.01"/>
    <x v="21"/>
    <s v="K11"/>
    <s v="F"/>
    <n v="65"/>
    <n v="70"/>
    <s v="Tuntas"/>
    <s v="Sejarah"/>
    <x v="1"/>
    <x v="11"/>
    <n v="70"/>
    <x v="1"/>
    <n v="11"/>
    <x v="1"/>
    <x v="5"/>
    <x v="2"/>
  </r>
  <r>
    <n v="1281"/>
    <s v="242510010"/>
    <x v="0"/>
    <x v="2"/>
    <s v="Intan Jaya"/>
    <d v="2026-02-11T00:00:00"/>
    <s v="11"/>
    <x v="1"/>
    <s v="26"/>
    <x v="4"/>
    <x v="5"/>
    <x v="0"/>
    <s v="Real"/>
    <s v="Entrepreneur"/>
    <s v="Product development"/>
    <x v="0"/>
    <x v="0"/>
    <x v="1"/>
    <s v="F11.03.01"/>
    <n v="3"/>
    <s v=""/>
    <s v="03.01"/>
    <x v="21"/>
    <s v="K11"/>
    <s v="F"/>
    <n v="65"/>
    <n v="70"/>
    <s v="Tuntas"/>
    <s v="Sejarah"/>
    <x v="1"/>
    <x v="11"/>
    <n v="70"/>
    <x v="1"/>
    <n v="11"/>
    <x v="0"/>
    <x v="5"/>
    <x v="2"/>
  </r>
  <r>
    <n v="1282"/>
    <s v="242510010"/>
    <x v="0"/>
    <x v="2"/>
    <s v="Intan Jaya"/>
    <d v="2026-02-18T00:00:00"/>
    <s v="18"/>
    <x v="1"/>
    <s v="26"/>
    <x v="0"/>
    <x v="2"/>
    <x v="17"/>
    <s v="Real"/>
    <s v="Entrepreneur"/>
    <s v="Product development"/>
    <x v="0"/>
    <x v="0"/>
    <x v="1"/>
    <s v="F11.01.01"/>
    <n v="1"/>
    <s v="menganalisis kelas sosial dalam Masyarakat"/>
    <s v="01.01"/>
    <x v="19"/>
    <s v="K11"/>
    <s v="F"/>
    <n v="65"/>
    <n v="60"/>
    <s v="Tidak tuntas"/>
    <s v="Sejarah"/>
    <x v="1"/>
    <x v="11"/>
    <n v="60"/>
    <x v="3"/>
    <n v="11"/>
    <x v="0"/>
    <x v="6"/>
    <x v="2"/>
  </r>
  <r>
    <n v="1283"/>
    <s v="242510010"/>
    <x v="0"/>
    <x v="2"/>
    <s v="Intan Jaya"/>
    <d v="2026-02-18T00:00:00"/>
    <s v="18"/>
    <x v="1"/>
    <s v="26"/>
    <x v="3"/>
    <x v="4"/>
    <x v="3"/>
    <s v="Real"/>
    <s v="Entrepreneur"/>
    <s v="Product development"/>
    <x v="0"/>
    <x v="0"/>
    <x v="1"/>
    <s v="F11.01.01"/>
    <n v="1"/>
    <s v="menganalisis kelas sosial dalam Masyarakat"/>
    <s v="01.01"/>
    <x v="19"/>
    <s v="K11"/>
    <s v="F"/>
    <n v="65"/>
    <n v="70"/>
    <s v="Tuntas"/>
    <s v="Sejarah"/>
    <x v="1"/>
    <x v="11"/>
    <n v="70"/>
    <x v="1"/>
    <n v="11"/>
    <x v="1"/>
    <x v="6"/>
    <x v="2"/>
  </r>
  <r>
    <n v="1284"/>
    <s v="242510002"/>
    <x v="0"/>
    <x v="3"/>
    <s v="Intan Jaya"/>
    <d v="2026-01-14T00:00:00"/>
    <s v="14"/>
    <x v="0"/>
    <s v="26"/>
    <x v="0"/>
    <x v="0"/>
    <x v="6"/>
    <s v="Real"/>
    <s v="Entrepreneur"/>
    <s v="Product development"/>
    <x v="0"/>
    <x v="0"/>
    <x v="1"/>
    <s v="F11.01.01"/>
    <n v="1"/>
    <s v="menganalisis kelas sosial dalam Masyarakat"/>
    <s v="01.01"/>
    <x v="19"/>
    <s v="K11"/>
    <s v="F"/>
    <n v="65"/>
    <n v="68"/>
    <s v="Tuntas"/>
    <s v="Sejarah"/>
    <x v="1"/>
    <x v="11"/>
    <n v="68"/>
    <x v="1"/>
    <n v="11"/>
    <x v="0"/>
    <x v="1"/>
    <x v="1"/>
  </r>
  <r>
    <n v="1285"/>
    <s v="242510002"/>
    <x v="0"/>
    <x v="3"/>
    <s v="Intan Jaya"/>
    <d v="2026-01-14T00:00:00"/>
    <s v="14"/>
    <x v="0"/>
    <s v="26"/>
    <x v="2"/>
    <x v="3"/>
    <x v="6"/>
    <s v="Real"/>
    <s v="Entrepreneur"/>
    <s v="Product development"/>
    <x v="0"/>
    <x v="0"/>
    <x v="1"/>
    <s v="F11.01.01"/>
    <n v="1"/>
    <s v="menganalisis kelas sosial dalam Masyarakat"/>
    <s v="01.01"/>
    <x v="19"/>
    <s v="K11"/>
    <s v="F"/>
    <n v="65"/>
    <n v="65"/>
    <s v="Tuntas"/>
    <s v="Sejarah"/>
    <x v="1"/>
    <x v="11"/>
    <n v="65"/>
    <x v="1"/>
    <n v="11"/>
    <x v="0"/>
    <x v="1"/>
    <x v="1"/>
  </r>
  <r>
    <n v="1286"/>
    <s v="242510002"/>
    <x v="0"/>
    <x v="3"/>
    <s v="Intan Jaya"/>
    <d v="2026-01-14T00:00:00"/>
    <s v="14"/>
    <x v="0"/>
    <s v="26"/>
    <x v="3"/>
    <x v="4"/>
    <x v="5"/>
    <s v="Real"/>
    <s v="Entrepreneur"/>
    <s v="Product development"/>
    <x v="0"/>
    <x v="0"/>
    <x v="1"/>
    <s v="F11.01.01"/>
    <n v="1"/>
    <s v="menganalisis kelas sosial dalam Masyarakat"/>
    <s v="01.01"/>
    <x v="19"/>
    <s v="K11"/>
    <s v="F"/>
    <n v="65"/>
    <n v="75"/>
    <s v="Tuntas"/>
    <s v="Sejarah"/>
    <x v="1"/>
    <x v="11"/>
    <n v="75"/>
    <x v="1"/>
    <n v="11"/>
    <x v="1"/>
    <x v="1"/>
    <x v="1"/>
  </r>
  <r>
    <n v="1287"/>
    <s v="242510002"/>
    <x v="0"/>
    <x v="3"/>
    <s v="Intan Jaya"/>
    <d v="2026-01-14T00:00:00"/>
    <s v="14"/>
    <x v="0"/>
    <s v="26"/>
    <x v="4"/>
    <x v="5"/>
    <x v="0"/>
    <s v="Real"/>
    <s v="Entrepreneur"/>
    <s v="Product development"/>
    <x v="0"/>
    <x v="0"/>
    <x v="1"/>
    <s v="F11.01.01"/>
    <n v="1"/>
    <s v="menganalisis kelas sosial dalam Masyarakat"/>
    <s v="01.01"/>
    <x v="19"/>
    <s v="K11"/>
    <s v="F"/>
    <n v="65"/>
    <n v="70"/>
    <s v="Tuntas"/>
    <s v="Sejarah"/>
    <x v="1"/>
    <x v="11"/>
    <n v="70"/>
    <x v="1"/>
    <n v="11"/>
    <x v="0"/>
    <x v="1"/>
    <x v="1"/>
  </r>
  <r>
    <n v="1288"/>
    <s v="242510002"/>
    <x v="0"/>
    <x v="3"/>
    <s v="Intan Jaya"/>
    <d v="2026-01-21T00:00:00"/>
    <s v="21"/>
    <x v="0"/>
    <s v="26"/>
    <x v="0"/>
    <x v="0"/>
    <x v="6"/>
    <s v="Real"/>
    <s v="Entrepreneur"/>
    <s v="Product development"/>
    <x v="0"/>
    <x v="0"/>
    <x v="1"/>
    <s v="F11.01.01"/>
    <n v="1"/>
    <s v="menganalisis kelas sosial dalam Masyarakat"/>
    <s v="01.01"/>
    <x v="19"/>
    <s v="K11"/>
    <s v="F"/>
    <n v="65"/>
    <n v="68"/>
    <s v="Tuntas"/>
    <s v="Sejarah"/>
    <x v="1"/>
    <x v="11"/>
    <n v="68"/>
    <x v="1"/>
    <n v="11"/>
    <x v="0"/>
    <x v="2"/>
    <x v="1"/>
  </r>
  <r>
    <n v="1289"/>
    <s v="242510002"/>
    <x v="0"/>
    <x v="3"/>
    <s v="Intan Jaya"/>
    <d v="2026-01-21T00:00:00"/>
    <s v="21"/>
    <x v="0"/>
    <s v="26"/>
    <x v="2"/>
    <x v="6"/>
    <x v="0"/>
    <s v="Real"/>
    <s v="Entrepreneur"/>
    <s v="Product development"/>
    <x v="0"/>
    <x v="0"/>
    <x v="1"/>
    <s v="F11.01.01"/>
    <n v="1"/>
    <s v="menganalisis kelas sosial dalam Masyarakat"/>
    <s v="01.01"/>
    <x v="19"/>
    <s v="K11"/>
    <s v="F"/>
    <n v="65"/>
    <n v="65"/>
    <s v="Tuntas"/>
    <s v="Sejarah"/>
    <x v="1"/>
    <x v="11"/>
    <n v="65"/>
    <x v="1"/>
    <n v="11"/>
    <x v="0"/>
    <x v="2"/>
    <x v="1"/>
  </r>
  <r>
    <n v="1290"/>
    <s v="242510002"/>
    <x v="0"/>
    <x v="3"/>
    <s v="Intan Jaya"/>
    <d v="2026-01-21T00:00:00"/>
    <s v="21"/>
    <x v="0"/>
    <s v="26"/>
    <x v="3"/>
    <x v="4"/>
    <x v="3"/>
    <s v="Real"/>
    <s v="Entrepreneur"/>
    <s v="Product development"/>
    <x v="0"/>
    <x v="0"/>
    <x v="1"/>
    <s v="F11.01.01"/>
    <n v="1"/>
    <s v="menganalisis kelas sosial dalam Masyarakat"/>
    <s v="01.01"/>
    <x v="19"/>
    <s v="K11"/>
    <s v="F"/>
    <n v="65"/>
    <n v="80"/>
    <s v="Tuntas"/>
    <s v="Sejarah"/>
    <x v="1"/>
    <x v="11"/>
    <n v="80"/>
    <x v="2"/>
    <n v="11"/>
    <x v="2"/>
    <x v="2"/>
    <x v="1"/>
  </r>
  <r>
    <n v="1291"/>
    <s v="242510002"/>
    <x v="0"/>
    <x v="3"/>
    <s v="Intan Jaya"/>
    <d v="2026-01-21T00:00:00"/>
    <s v="21"/>
    <x v="0"/>
    <s v="26"/>
    <x v="4"/>
    <x v="5"/>
    <x v="0"/>
    <s v="Real"/>
    <s v="Entrepreneur"/>
    <s v="Product development"/>
    <x v="0"/>
    <x v="0"/>
    <x v="1"/>
    <s v="F11.02.01"/>
    <n v="2"/>
    <s v=""/>
    <s v="02.01"/>
    <x v="20"/>
    <s v="K11"/>
    <s v="F"/>
    <n v="65"/>
    <n v="70"/>
    <s v="Tuntas"/>
    <s v="Sejarah"/>
    <x v="1"/>
    <x v="11"/>
    <n v="70"/>
    <x v="1"/>
    <n v="11"/>
    <x v="0"/>
    <x v="2"/>
    <x v="1"/>
  </r>
  <r>
    <n v="1292"/>
    <s v="242510002"/>
    <x v="0"/>
    <x v="3"/>
    <s v="Intan Jaya"/>
    <d v="2026-01-28T00:00:00"/>
    <s v="28"/>
    <x v="0"/>
    <s v="26"/>
    <x v="0"/>
    <x v="0"/>
    <x v="6"/>
    <s v="Real"/>
    <s v="Entrepreneur"/>
    <s v="Product development"/>
    <x v="0"/>
    <x v="0"/>
    <x v="1"/>
    <s v="F11.02.01"/>
    <n v="2"/>
    <s v=""/>
    <s v="02.01"/>
    <x v="20"/>
    <s v="K11"/>
    <s v="F"/>
    <n v="65"/>
    <n v="65"/>
    <s v="Tuntas"/>
    <s v="Sejarah"/>
    <x v="1"/>
    <x v="11"/>
    <n v="65"/>
    <x v="1"/>
    <n v="11"/>
    <x v="0"/>
    <x v="3"/>
    <x v="1"/>
  </r>
  <r>
    <n v="1293"/>
    <s v="242510002"/>
    <x v="0"/>
    <x v="3"/>
    <s v="Intan Jaya"/>
    <d v="2026-01-28T00:00:00"/>
    <s v="28"/>
    <x v="0"/>
    <s v="26"/>
    <x v="2"/>
    <x v="6"/>
    <x v="6"/>
    <s v="Real"/>
    <s v="Entrepreneur"/>
    <s v="Product development"/>
    <x v="0"/>
    <x v="0"/>
    <x v="1"/>
    <s v="F11.02.01"/>
    <n v="2"/>
    <s v=""/>
    <s v="02.01"/>
    <x v="20"/>
    <s v="K11"/>
    <s v="F"/>
    <n v="65"/>
    <n v="65"/>
    <s v="Tuntas"/>
    <s v="Sejarah"/>
    <x v="1"/>
    <x v="11"/>
    <n v="65"/>
    <x v="1"/>
    <n v="11"/>
    <x v="0"/>
    <x v="3"/>
    <x v="1"/>
  </r>
  <r>
    <n v="1294"/>
    <s v="242510002"/>
    <x v="0"/>
    <x v="3"/>
    <s v="Intan Jaya"/>
    <d v="2026-01-28T00:00:00"/>
    <s v="28"/>
    <x v="0"/>
    <s v="26"/>
    <x v="3"/>
    <x v="4"/>
    <x v="5"/>
    <s v="Real"/>
    <s v="Entrepreneur"/>
    <s v="Product development"/>
    <x v="0"/>
    <x v="0"/>
    <x v="1"/>
    <s v="F11.02.01"/>
    <n v="2"/>
    <s v=""/>
    <s v="02.01"/>
    <x v="20"/>
    <s v="K11"/>
    <s v="F"/>
    <n v="65"/>
    <n v="70"/>
    <s v="Tuntas"/>
    <s v="Sejarah"/>
    <x v="1"/>
    <x v="11"/>
    <n v="70"/>
    <x v="1"/>
    <n v="11"/>
    <x v="1"/>
    <x v="3"/>
    <x v="1"/>
  </r>
  <r>
    <n v="1295"/>
    <s v="242510002"/>
    <x v="0"/>
    <x v="3"/>
    <s v="Intan Jaya"/>
    <d v="2026-01-28T00:00:00"/>
    <s v="28"/>
    <x v="0"/>
    <s v="26"/>
    <x v="4"/>
    <x v="5"/>
    <x v="0"/>
    <s v="Real"/>
    <s v="Entrepreneur"/>
    <s v="Product development"/>
    <x v="0"/>
    <x v="0"/>
    <x v="1"/>
    <s v="F11.02.01"/>
    <n v="2"/>
    <s v=""/>
    <s v="02.01"/>
    <x v="20"/>
    <s v="K11"/>
    <s v="F"/>
    <n v="65"/>
    <n v="65"/>
    <s v="Tuntas"/>
    <s v="Sejarah"/>
    <x v="1"/>
    <x v="11"/>
    <n v="65"/>
    <x v="1"/>
    <n v="11"/>
    <x v="0"/>
    <x v="3"/>
    <x v="1"/>
  </r>
  <r>
    <n v="1296"/>
    <s v="242510002"/>
    <x v="0"/>
    <x v="3"/>
    <s v="Intan Jaya"/>
    <d v="2026-02-04T00:00:00"/>
    <s v="04"/>
    <x v="1"/>
    <s v="26"/>
    <x v="0"/>
    <x v="0"/>
    <x v="6"/>
    <s v="Real"/>
    <s v="Entrepreneur"/>
    <s v="Product development"/>
    <x v="0"/>
    <x v="0"/>
    <x v="1"/>
    <s v="F11.02.01"/>
    <n v="2"/>
    <s v=""/>
    <s v="02.01"/>
    <x v="20"/>
    <s v="K11"/>
    <s v="F"/>
    <n v="65"/>
    <n v="68"/>
    <s v="Tuntas"/>
    <s v="Sejarah"/>
    <x v="1"/>
    <x v="11"/>
    <n v="68"/>
    <x v="1"/>
    <n v="11"/>
    <x v="0"/>
    <x v="4"/>
    <x v="1"/>
  </r>
  <r>
    <n v="1297"/>
    <s v="242510002"/>
    <x v="0"/>
    <x v="3"/>
    <s v="Intan Jaya"/>
    <d v="2026-02-04T00:00:00"/>
    <s v="04"/>
    <x v="1"/>
    <s v="26"/>
    <x v="2"/>
    <x v="6"/>
    <x v="6"/>
    <s v="Real"/>
    <s v="Entrepreneur"/>
    <s v="Product development"/>
    <x v="0"/>
    <x v="0"/>
    <x v="1"/>
    <s v="F11.02.01"/>
    <n v="2"/>
    <s v=""/>
    <s v="02.01"/>
    <x v="20"/>
    <s v="K11"/>
    <s v="F"/>
    <n v="65"/>
    <n v="65"/>
    <s v="Tuntas"/>
    <s v="Sejarah"/>
    <x v="1"/>
    <x v="11"/>
    <n v="65"/>
    <x v="1"/>
    <n v="11"/>
    <x v="0"/>
    <x v="4"/>
    <x v="1"/>
  </r>
  <r>
    <n v="1298"/>
    <s v="242510002"/>
    <x v="0"/>
    <x v="3"/>
    <s v="Intan Jaya"/>
    <d v="2026-02-04T00:00:00"/>
    <s v="04"/>
    <x v="1"/>
    <s v="26"/>
    <x v="3"/>
    <x v="4"/>
    <x v="3"/>
    <s v="Real"/>
    <s v="Entrepreneur"/>
    <s v="Product development"/>
    <x v="0"/>
    <x v="0"/>
    <x v="1"/>
    <s v="F11.02.01"/>
    <n v="2"/>
    <s v=""/>
    <s v="02.01"/>
    <x v="20"/>
    <s v="K11"/>
    <s v="F"/>
    <n v="65"/>
    <n v="70"/>
    <s v="Tuntas"/>
    <s v="Sejarah"/>
    <x v="1"/>
    <x v="11"/>
    <n v="70"/>
    <x v="1"/>
    <n v="11"/>
    <x v="1"/>
    <x v="4"/>
    <x v="1"/>
  </r>
  <r>
    <n v="1299"/>
    <s v="242510002"/>
    <x v="0"/>
    <x v="3"/>
    <s v="Intan Jaya"/>
    <d v="2026-02-04T00:00:00"/>
    <s v="04"/>
    <x v="1"/>
    <s v="26"/>
    <x v="4"/>
    <x v="5"/>
    <x v="0"/>
    <s v="Real"/>
    <s v="Entrepreneur"/>
    <s v="Product development"/>
    <x v="0"/>
    <x v="0"/>
    <x v="1"/>
    <s v="F11.02.01"/>
    <n v="2"/>
    <s v=""/>
    <s v="02.01"/>
    <x v="20"/>
    <s v="K11"/>
    <s v="F"/>
    <n v="65"/>
    <n v="65"/>
    <s v="Tuntas"/>
    <s v="Sejarah"/>
    <x v="1"/>
    <x v="11"/>
    <n v="65"/>
    <x v="1"/>
    <n v="11"/>
    <x v="0"/>
    <x v="4"/>
    <x v="1"/>
  </r>
  <r>
    <n v="1300"/>
    <s v="242510002"/>
    <x v="0"/>
    <x v="3"/>
    <s v="Intan Jaya"/>
    <d v="2026-02-11T00:00:00"/>
    <s v="11"/>
    <x v="1"/>
    <s v="26"/>
    <x v="0"/>
    <x v="0"/>
    <x v="6"/>
    <s v="Real"/>
    <s v="Entrepreneur"/>
    <s v="Product development"/>
    <x v="0"/>
    <x v="0"/>
    <x v="1"/>
    <s v="F11.03.01"/>
    <n v="3"/>
    <s v=""/>
    <s v="03.01"/>
    <x v="21"/>
    <s v="K11"/>
    <s v="F"/>
    <n v="65"/>
    <n v="68"/>
    <s v="Tuntas"/>
    <s v="Sejarah"/>
    <x v="1"/>
    <x v="11"/>
    <n v="68"/>
    <x v="1"/>
    <n v="11"/>
    <x v="0"/>
    <x v="5"/>
    <x v="1"/>
  </r>
  <r>
    <n v="1301"/>
    <s v="242510002"/>
    <x v="0"/>
    <x v="3"/>
    <s v="Intan Jaya"/>
    <d v="2026-02-11T00:00:00"/>
    <s v="11"/>
    <x v="1"/>
    <s v="26"/>
    <x v="2"/>
    <x v="6"/>
    <x v="6"/>
    <s v="Real"/>
    <s v="Entrepreneur"/>
    <s v="Product development"/>
    <x v="0"/>
    <x v="0"/>
    <x v="1"/>
    <s v="F11.03.01"/>
    <n v="3"/>
    <s v=""/>
    <s v="03.01"/>
    <x v="21"/>
    <s v="K11"/>
    <s v="F"/>
    <n v="65"/>
    <n v="60"/>
    <s v="Tidak tuntas"/>
    <s v="Sejarah"/>
    <x v="1"/>
    <x v="11"/>
    <n v="60"/>
    <x v="3"/>
    <n v="11"/>
    <x v="0"/>
    <x v="5"/>
    <x v="1"/>
  </r>
  <r>
    <n v="1302"/>
    <s v="242510002"/>
    <x v="0"/>
    <x v="3"/>
    <s v="Intan Jaya"/>
    <d v="2026-02-11T00:00:00"/>
    <s v="11"/>
    <x v="1"/>
    <s v="26"/>
    <x v="3"/>
    <x v="4"/>
    <x v="3"/>
    <s v="Real"/>
    <s v="Entrepreneur"/>
    <s v="Product development"/>
    <x v="0"/>
    <x v="0"/>
    <x v="1"/>
    <s v="F11.03.01"/>
    <n v="3"/>
    <s v=""/>
    <s v="03.01"/>
    <x v="21"/>
    <s v="K11"/>
    <s v="F"/>
    <n v="65"/>
    <n v="69"/>
    <s v="Tuntas"/>
    <s v="Sejarah"/>
    <x v="1"/>
    <x v="11"/>
    <n v="69"/>
    <x v="1"/>
    <n v="11"/>
    <x v="3"/>
    <x v="5"/>
    <x v="1"/>
  </r>
  <r>
    <n v="1303"/>
    <s v="242510002"/>
    <x v="0"/>
    <x v="3"/>
    <s v="Intan Jaya"/>
    <d v="2026-02-11T00:00:00"/>
    <s v="11"/>
    <x v="1"/>
    <s v="26"/>
    <x v="4"/>
    <x v="5"/>
    <x v="0"/>
    <s v="Real"/>
    <s v="Entrepreneur"/>
    <s v="Product development"/>
    <x v="0"/>
    <x v="0"/>
    <x v="1"/>
    <s v="F11.03.01"/>
    <n v="3"/>
    <s v=""/>
    <s v="03.01"/>
    <x v="21"/>
    <s v="K11"/>
    <s v="F"/>
    <n v="65"/>
    <n v="69"/>
    <s v="Tuntas"/>
    <s v="Sejarah"/>
    <x v="1"/>
    <x v="11"/>
    <n v="69"/>
    <x v="1"/>
    <n v="11"/>
    <x v="0"/>
    <x v="5"/>
    <x v="1"/>
  </r>
  <r>
    <n v="1304"/>
    <s v="242510002"/>
    <x v="0"/>
    <x v="3"/>
    <s v="Intan Jaya"/>
    <d v="2026-02-18T00:00:00"/>
    <s v="18"/>
    <x v="1"/>
    <s v="26"/>
    <x v="0"/>
    <x v="2"/>
    <x v="17"/>
    <s v="Real"/>
    <s v="Entrepreneur"/>
    <s v="Product development"/>
    <x v="0"/>
    <x v="0"/>
    <x v="1"/>
    <s v="F11.01.01"/>
    <n v="1"/>
    <s v="menganalisis kelas sosial dalam Masyarakat"/>
    <s v="01.01"/>
    <x v="19"/>
    <s v="K11"/>
    <s v="F"/>
    <n v="65"/>
    <n v="64"/>
    <s v="Tidak tuntas"/>
    <s v="Sejarah"/>
    <x v="1"/>
    <x v="11"/>
    <n v="64"/>
    <x v="3"/>
    <n v="11"/>
    <x v="0"/>
    <x v="6"/>
    <x v="1"/>
  </r>
  <r>
    <n v="1305"/>
    <s v="242510002"/>
    <x v="0"/>
    <x v="3"/>
    <s v="Intan Jaya"/>
    <d v="2026-02-18T00:00:00"/>
    <s v="18"/>
    <x v="1"/>
    <s v="26"/>
    <x v="3"/>
    <x v="4"/>
    <x v="3"/>
    <s v="Real"/>
    <s v="Entrepreneur"/>
    <s v="Product development"/>
    <x v="0"/>
    <x v="0"/>
    <x v="1"/>
    <s v="F11.01.01"/>
    <n v="1"/>
    <s v="menganalisis kelas sosial dalam Masyarakat"/>
    <s v="01.01"/>
    <x v="19"/>
    <s v="K11"/>
    <s v="F"/>
    <n v="65"/>
    <n v="70"/>
    <s v="Tuntas"/>
    <s v="Sejarah"/>
    <x v="1"/>
    <x v="11"/>
    <n v="70"/>
    <x v="1"/>
    <n v="11"/>
    <x v="1"/>
    <x v="6"/>
    <x v="1"/>
  </r>
  <r>
    <n v="1306"/>
    <s v="242510006"/>
    <x v="0"/>
    <x v="9"/>
    <s v="Nabire"/>
    <d v="2026-01-14T00:00:00"/>
    <s v="14"/>
    <x v="0"/>
    <s v="26"/>
    <x v="0"/>
    <x v="0"/>
    <x v="6"/>
    <s v="Real"/>
    <s v="Entrepreneur"/>
    <s v="Product development"/>
    <x v="0"/>
    <x v="0"/>
    <x v="1"/>
    <s v="F11.01.01"/>
    <n v="1"/>
    <s v="menganalisis kelas sosial dalam Masyarakat"/>
    <s v="01.01"/>
    <x v="19"/>
    <s v="K11"/>
    <s v="F"/>
    <n v="65"/>
    <n v="70"/>
    <s v="Tuntas"/>
    <s v="Sejarah"/>
    <x v="1"/>
    <x v="11"/>
    <n v="70"/>
    <x v="1"/>
    <n v="11"/>
    <x v="0"/>
    <x v="1"/>
    <x v="2"/>
  </r>
  <r>
    <n v="1307"/>
    <s v="242510006"/>
    <x v="0"/>
    <x v="9"/>
    <s v="Nabire"/>
    <d v="2026-01-14T00:00:00"/>
    <s v="14"/>
    <x v="0"/>
    <s v="26"/>
    <x v="2"/>
    <x v="3"/>
    <x v="6"/>
    <s v="Real"/>
    <s v="Entrepreneur"/>
    <s v="Product development"/>
    <x v="0"/>
    <x v="0"/>
    <x v="1"/>
    <s v="F11.01.01"/>
    <n v="1"/>
    <s v="menganalisis kelas sosial dalam Masyarakat"/>
    <s v="01.01"/>
    <x v="19"/>
    <s v="K11"/>
    <s v="F"/>
    <n v="65"/>
    <n v="70"/>
    <s v="Tuntas"/>
    <s v="Sejarah"/>
    <x v="1"/>
    <x v="11"/>
    <n v="70"/>
    <x v="1"/>
    <n v="11"/>
    <x v="0"/>
    <x v="1"/>
    <x v="2"/>
  </r>
  <r>
    <n v="1308"/>
    <s v="242510006"/>
    <x v="0"/>
    <x v="9"/>
    <s v="Nabire"/>
    <d v="2026-01-14T00:00:00"/>
    <s v="14"/>
    <x v="0"/>
    <s v="26"/>
    <x v="3"/>
    <x v="4"/>
    <x v="5"/>
    <s v="Real"/>
    <s v="Entrepreneur"/>
    <s v="Product development"/>
    <x v="0"/>
    <x v="0"/>
    <x v="1"/>
    <s v="F11.01.01"/>
    <n v="1"/>
    <s v="menganalisis kelas sosial dalam Masyarakat"/>
    <s v="01.01"/>
    <x v="19"/>
    <s v="K11"/>
    <s v="F"/>
    <n v="65"/>
    <n v="80"/>
    <s v="Tuntas"/>
    <s v="Sejarah"/>
    <x v="1"/>
    <x v="11"/>
    <n v="80"/>
    <x v="2"/>
    <n v="11"/>
    <x v="2"/>
    <x v="1"/>
    <x v="2"/>
  </r>
  <r>
    <n v="1309"/>
    <s v="242510006"/>
    <x v="0"/>
    <x v="9"/>
    <s v="Nabire"/>
    <d v="2026-01-14T00:00:00"/>
    <s v="14"/>
    <x v="0"/>
    <s v="26"/>
    <x v="4"/>
    <x v="5"/>
    <x v="0"/>
    <s v="Real"/>
    <s v="Entrepreneur"/>
    <s v="Product development"/>
    <x v="0"/>
    <x v="0"/>
    <x v="1"/>
    <s v="F11.01.01"/>
    <n v="1"/>
    <s v="menganalisis kelas sosial dalam Masyarakat"/>
    <s v="01.01"/>
    <x v="19"/>
    <s v="K11"/>
    <s v="F"/>
    <n v="65"/>
    <n v="70"/>
    <s v="Tuntas"/>
    <s v="Sejarah"/>
    <x v="1"/>
    <x v="11"/>
    <n v="70"/>
    <x v="1"/>
    <n v="11"/>
    <x v="0"/>
    <x v="1"/>
    <x v="2"/>
  </r>
  <r>
    <n v="1310"/>
    <s v="242510006"/>
    <x v="0"/>
    <x v="9"/>
    <s v="Nabire"/>
    <d v="2026-01-21T00:00:00"/>
    <s v="21"/>
    <x v="0"/>
    <s v="26"/>
    <x v="0"/>
    <x v="0"/>
    <x v="6"/>
    <s v="Real"/>
    <s v="Entrepreneur"/>
    <s v="Product development"/>
    <x v="0"/>
    <x v="0"/>
    <x v="1"/>
    <s v="F11.01.01"/>
    <n v="1"/>
    <s v="menganalisis kelas sosial dalam Masyarakat"/>
    <s v="01.01"/>
    <x v="19"/>
    <s v="K11"/>
    <s v="F"/>
    <n v="65"/>
    <n v="68"/>
    <s v="Tuntas"/>
    <s v="Sejarah"/>
    <x v="1"/>
    <x v="11"/>
    <n v="68"/>
    <x v="1"/>
    <n v="11"/>
    <x v="0"/>
    <x v="2"/>
    <x v="2"/>
  </r>
  <r>
    <n v="1311"/>
    <s v="242510006"/>
    <x v="0"/>
    <x v="9"/>
    <s v="Nabire"/>
    <d v="2026-01-21T00:00:00"/>
    <s v="21"/>
    <x v="0"/>
    <s v="26"/>
    <x v="2"/>
    <x v="6"/>
    <x v="0"/>
    <s v="Real"/>
    <s v="Entrepreneur"/>
    <s v="Product development"/>
    <x v="0"/>
    <x v="0"/>
    <x v="1"/>
    <s v="F11.01.01"/>
    <n v="1"/>
    <s v="menganalisis kelas sosial dalam Masyarakat"/>
    <s v="01.01"/>
    <x v="19"/>
    <s v="K11"/>
    <s v="F"/>
    <n v="65"/>
    <n v="65"/>
    <s v="Tuntas"/>
    <s v="Sejarah"/>
    <x v="1"/>
    <x v="11"/>
    <n v="65"/>
    <x v="1"/>
    <n v="11"/>
    <x v="0"/>
    <x v="2"/>
    <x v="2"/>
  </r>
  <r>
    <n v="1312"/>
    <s v="242510006"/>
    <x v="0"/>
    <x v="9"/>
    <s v="Nabire"/>
    <d v="2026-01-21T00:00:00"/>
    <s v="21"/>
    <x v="0"/>
    <s v="26"/>
    <x v="3"/>
    <x v="4"/>
    <x v="3"/>
    <s v="Real"/>
    <s v="Entrepreneur"/>
    <s v="Product development"/>
    <x v="0"/>
    <x v="0"/>
    <x v="1"/>
    <s v="F11.01.01"/>
    <n v="1"/>
    <s v="menganalisis kelas sosial dalam Masyarakat"/>
    <s v="01.01"/>
    <x v="19"/>
    <s v="K11"/>
    <s v="F"/>
    <n v="65"/>
    <n v="80"/>
    <s v="Tuntas"/>
    <s v="Sejarah"/>
    <x v="1"/>
    <x v="11"/>
    <n v="80"/>
    <x v="2"/>
    <n v="11"/>
    <x v="2"/>
    <x v="2"/>
    <x v="2"/>
  </r>
  <r>
    <n v="1313"/>
    <s v="242510006"/>
    <x v="0"/>
    <x v="9"/>
    <s v="Nabire"/>
    <d v="2026-01-21T00:00:00"/>
    <s v="21"/>
    <x v="0"/>
    <s v="26"/>
    <x v="4"/>
    <x v="5"/>
    <x v="0"/>
    <s v="Real"/>
    <s v="Entrepreneur"/>
    <s v="Product development"/>
    <x v="0"/>
    <x v="0"/>
    <x v="1"/>
    <s v="F11.02.01"/>
    <n v="2"/>
    <s v=""/>
    <s v="02.01"/>
    <x v="20"/>
    <s v="K11"/>
    <s v="F"/>
    <n v="65"/>
    <n v="65"/>
    <s v="Tuntas"/>
    <s v="Sejarah"/>
    <x v="1"/>
    <x v="11"/>
    <n v="65"/>
    <x v="1"/>
    <n v="11"/>
    <x v="0"/>
    <x v="2"/>
    <x v="2"/>
  </r>
  <r>
    <n v="1314"/>
    <s v="242510006"/>
    <x v="0"/>
    <x v="9"/>
    <s v="Nabire"/>
    <d v="2026-01-28T00:00:00"/>
    <s v="28"/>
    <x v="0"/>
    <s v="26"/>
    <x v="0"/>
    <x v="0"/>
    <x v="6"/>
    <s v="Real"/>
    <s v="Entrepreneur"/>
    <s v="Product development"/>
    <x v="0"/>
    <x v="0"/>
    <x v="1"/>
    <s v="F11.02.01"/>
    <n v="2"/>
    <s v=""/>
    <s v="02.01"/>
    <x v="20"/>
    <s v="K11"/>
    <s v="F"/>
    <n v="65"/>
    <n v="65"/>
    <s v="Tuntas"/>
    <s v="Sejarah"/>
    <x v="1"/>
    <x v="11"/>
    <n v="65"/>
    <x v="1"/>
    <n v="11"/>
    <x v="0"/>
    <x v="3"/>
    <x v="2"/>
  </r>
  <r>
    <n v="1315"/>
    <s v="242510006"/>
    <x v="0"/>
    <x v="9"/>
    <s v="Nabire"/>
    <d v="2026-01-28T00:00:00"/>
    <s v="28"/>
    <x v="0"/>
    <s v="26"/>
    <x v="2"/>
    <x v="6"/>
    <x v="6"/>
    <s v="Real"/>
    <s v="Entrepreneur"/>
    <s v="Product development"/>
    <x v="0"/>
    <x v="0"/>
    <x v="1"/>
    <s v="F11.02.01"/>
    <n v="2"/>
    <s v=""/>
    <s v="02.01"/>
    <x v="20"/>
    <s v="K11"/>
    <s v="F"/>
    <n v="65"/>
    <n v="65"/>
    <s v="Tuntas"/>
    <s v="Sejarah"/>
    <x v="1"/>
    <x v="11"/>
    <n v="65"/>
    <x v="1"/>
    <n v="11"/>
    <x v="0"/>
    <x v="3"/>
    <x v="2"/>
  </r>
  <r>
    <n v="1316"/>
    <s v="242510006"/>
    <x v="0"/>
    <x v="9"/>
    <s v="Nabire"/>
    <d v="2026-01-28T00:00:00"/>
    <s v="28"/>
    <x v="0"/>
    <s v="26"/>
    <x v="3"/>
    <x v="4"/>
    <x v="5"/>
    <s v="Real"/>
    <s v="Entrepreneur"/>
    <s v="Product development"/>
    <x v="0"/>
    <x v="0"/>
    <x v="1"/>
    <s v="F11.02.01"/>
    <n v="2"/>
    <s v=""/>
    <s v="02.01"/>
    <x v="20"/>
    <s v="K11"/>
    <s v="F"/>
    <n v="65"/>
    <n v="70"/>
    <s v="Tuntas"/>
    <s v="Sejarah"/>
    <x v="1"/>
    <x v="11"/>
    <n v="70"/>
    <x v="1"/>
    <n v="11"/>
    <x v="1"/>
    <x v="3"/>
    <x v="2"/>
  </r>
  <r>
    <n v="1317"/>
    <s v="242510006"/>
    <x v="0"/>
    <x v="9"/>
    <s v="Nabire"/>
    <d v="2026-01-28T00:00:00"/>
    <s v="28"/>
    <x v="0"/>
    <s v="26"/>
    <x v="4"/>
    <x v="5"/>
    <x v="0"/>
    <s v="Real"/>
    <s v="Entrepreneur"/>
    <s v="Product development"/>
    <x v="0"/>
    <x v="0"/>
    <x v="1"/>
    <s v="F11.02.01"/>
    <n v="2"/>
    <s v=""/>
    <s v="02.01"/>
    <x v="20"/>
    <s v="K11"/>
    <s v="F"/>
    <n v="65"/>
    <n v="65"/>
    <s v="Tuntas"/>
    <s v="Sejarah"/>
    <x v="1"/>
    <x v="11"/>
    <n v="65"/>
    <x v="1"/>
    <n v="11"/>
    <x v="0"/>
    <x v="3"/>
    <x v="2"/>
  </r>
  <r>
    <n v="1318"/>
    <s v="242510006"/>
    <x v="0"/>
    <x v="9"/>
    <s v="Nabire"/>
    <d v="2026-02-04T00:00:00"/>
    <s v="04"/>
    <x v="1"/>
    <s v="26"/>
    <x v="0"/>
    <x v="0"/>
    <x v="6"/>
    <s v="Real"/>
    <s v="Entrepreneur"/>
    <s v="Product development"/>
    <x v="0"/>
    <x v="0"/>
    <x v="1"/>
    <s v="F11.02.01"/>
    <n v="2"/>
    <s v=""/>
    <s v="02.01"/>
    <x v="20"/>
    <s v="K11"/>
    <s v="F"/>
    <n v="65"/>
    <n v="68"/>
    <s v="Tuntas"/>
    <s v="Sejarah"/>
    <x v="1"/>
    <x v="11"/>
    <n v="68"/>
    <x v="1"/>
    <n v="11"/>
    <x v="0"/>
    <x v="4"/>
    <x v="2"/>
  </r>
  <r>
    <n v="1319"/>
    <s v="242510006"/>
    <x v="0"/>
    <x v="9"/>
    <s v="Nabire"/>
    <d v="2026-02-04T00:00:00"/>
    <s v="04"/>
    <x v="1"/>
    <s v="26"/>
    <x v="2"/>
    <x v="6"/>
    <x v="6"/>
    <s v="Real"/>
    <s v="Entrepreneur"/>
    <s v="Product development"/>
    <x v="0"/>
    <x v="0"/>
    <x v="1"/>
    <s v="F11.02.01"/>
    <n v="2"/>
    <s v=""/>
    <s v="02.01"/>
    <x v="20"/>
    <s v="K11"/>
    <s v="F"/>
    <n v="65"/>
    <n v="70"/>
    <s v="Tuntas"/>
    <s v="Sejarah"/>
    <x v="1"/>
    <x v="11"/>
    <n v="70"/>
    <x v="1"/>
    <n v="11"/>
    <x v="0"/>
    <x v="4"/>
    <x v="2"/>
  </r>
  <r>
    <n v="1320"/>
    <s v="242510006"/>
    <x v="0"/>
    <x v="9"/>
    <s v="Nabire"/>
    <d v="2026-02-04T00:00:00"/>
    <s v="04"/>
    <x v="1"/>
    <s v="26"/>
    <x v="3"/>
    <x v="4"/>
    <x v="3"/>
    <s v="Real"/>
    <s v="Entrepreneur"/>
    <s v="Product development"/>
    <x v="0"/>
    <x v="0"/>
    <x v="1"/>
    <s v="F11.02.01"/>
    <n v="2"/>
    <s v=""/>
    <s v="02.01"/>
    <x v="20"/>
    <s v="K11"/>
    <s v="F"/>
    <n v="65"/>
    <n v="70"/>
    <s v="Tuntas"/>
    <s v="Sejarah"/>
    <x v="1"/>
    <x v="11"/>
    <n v="70"/>
    <x v="1"/>
    <n v="11"/>
    <x v="1"/>
    <x v="4"/>
    <x v="2"/>
  </r>
  <r>
    <n v="1321"/>
    <s v="242510006"/>
    <x v="0"/>
    <x v="9"/>
    <s v="Nabire"/>
    <d v="2026-02-04T00:00:00"/>
    <s v="04"/>
    <x v="1"/>
    <s v="26"/>
    <x v="4"/>
    <x v="5"/>
    <x v="0"/>
    <s v="Real"/>
    <s v="Entrepreneur"/>
    <s v="Product development"/>
    <x v="0"/>
    <x v="0"/>
    <x v="1"/>
    <s v="F11.02.01"/>
    <n v="2"/>
    <s v=""/>
    <s v="02.01"/>
    <x v="20"/>
    <s v="K11"/>
    <s v="F"/>
    <n v="65"/>
    <n v="65"/>
    <s v="Tuntas"/>
    <s v="Sejarah"/>
    <x v="1"/>
    <x v="11"/>
    <n v="65"/>
    <x v="1"/>
    <n v="11"/>
    <x v="0"/>
    <x v="4"/>
    <x v="2"/>
  </r>
  <r>
    <n v="1322"/>
    <s v="242510006"/>
    <x v="0"/>
    <x v="9"/>
    <s v="Nabire"/>
    <d v="2026-02-11T00:00:00"/>
    <s v="11"/>
    <x v="1"/>
    <s v="26"/>
    <x v="0"/>
    <x v="0"/>
    <x v="6"/>
    <s v="Real"/>
    <s v="Entrepreneur"/>
    <s v="Product development"/>
    <x v="0"/>
    <x v="0"/>
    <x v="1"/>
    <s v="F11.03.01"/>
    <n v="3"/>
    <s v=""/>
    <s v="03.01"/>
    <x v="21"/>
    <s v="K11"/>
    <s v="F"/>
    <n v="65"/>
    <n v="68"/>
    <s v="Tuntas"/>
    <s v="Sejarah"/>
    <x v="1"/>
    <x v="11"/>
    <n v="68"/>
    <x v="1"/>
    <n v="11"/>
    <x v="0"/>
    <x v="5"/>
    <x v="2"/>
  </r>
  <r>
    <n v="1323"/>
    <s v="242510006"/>
    <x v="0"/>
    <x v="9"/>
    <s v="Nabire"/>
    <d v="2026-02-11T00:00:00"/>
    <s v="11"/>
    <x v="1"/>
    <s v="26"/>
    <x v="2"/>
    <x v="6"/>
    <x v="6"/>
    <s v="Real"/>
    <s v="Entrepreneur"/>
    <s v="Product development"/>
    <x v="0"/>
    <x v="0"/>
    <x v="1"/>
    <s v="F11.03.01"/>
    <n v="3"/>
    <s v=""/>
    <s v="03.01"/>
    <x v="21"/>
    <s v="K11"/>
    <s v="F"/>
    <n v="65"/>
    <n v="60"/>
    <s v="Tidak tuntas"/>
    <s v="Sejarah"/>
    <x v="1"/>
    <x v="11"/>
    <n v="60"/>
    <x v="3"/>
    <n v="11"/>
    <x v="0"/>
    <x v="5"/>
    <x v="2"/>
  </r>
  <r>
    <n v="1324"/>
    <s v="242510006"/>
    <x v="0"/>
    <x v="9"/>
    <s v="Nabire"/>
    <d v="2026-02-11T00:00:00"/>
    <s v="11"/>
    <x v="1"/>
    <s v="26"/>
    <x v="3"/>
    <x v="4"/>
    <x v="3"/>
    <s v="Real"/>
    <s v="Entrepreneur"/>
    <s v="Product development"/>
    <x v="0"/>
    <x v="0"/>
    <x v="1"/>
    <s v="F11.03.01"/>
    <n v="3"/>
    <s v=""/>
    <s v="03.01"/>
    <x v="21"/>
    <s v="K11"/>
    <s v="F"/>
    <n v="65"/>
    <n v="69"/>
    <s v="Tuntas"/>
    <s v="Sejarah"/>
    <x v="1"/>
    <x v="11"/>
    <n v="69"/>
    <x v="1"/>
    <n v="11"/>
    <x v="3"/>
    <x v="5"/>
    <x v="2"/>
  </r>
  <r>
    <n v="1325"/>
    <s v="242510006"/>
    <x v="0"/>
    <x v="9"/>
    <s v="Nabire"/>
    <d v="2026-02-11T00:00:00"/>
    <s v="11"/>
    <x v="1"/>
    <s v="26"/>
    <x v="4"/>
    <x v="5"/>
    <x v="0"/>
    <s v="Real"/>
    <s v="Entrepreneur"/>
    <s v="Product development"/>
    <x v="0"/>
    <x v="0"/>
    <x v="1"/>
    <s v="F11.03.01"/>
    <n v="3"/>
    <s v=""/>
    <s v="03.01"/>
    <x v="21"/>
    <s v="K11"/>
    <s v="F"/>
    <n v="65"/>
    <n v="65"/>
    <s v="Tuntas"/>
    <s v="Sejarah"/>
    <x v="1"/>
    <x v="11"/>
    <n v="65"/>
    <x v="1"/>
    <n v="11"/>
    <x v="0"/>
    <x v="5"/>
    <x v="2"/>
  </r>
  <r>
    <n v="1326"/>
    <s v="242510006"/>
    <x v="0"/>
    <x v="9"/>
    <s v="Nabire"/>
    <d v="2026-02-18T00:00:00"/>
    <s v="18"/>
    <x v="1"/>
    <s v="26"/>
    <x v="0"/>
    <x v="2"/>
    <x v="17"/>
    <s v="Real"/>
    <s v="Entrepreneur"/>
    <s v="Product development"/>
    <x v="0"/>
    <x v="0"/>
    <x v="1"/>
    <s v="F11.01.01"/>
    <n v="1"/>
    <s v="menganalisis kelas sosial dalam Masyarakat"/>
    <s v="01.01"/>
    <x v="19"/>
    <s v="K11"/>
    <s v="F"/>
    <n v="65"/>
    <n v="73"/>
    <s v="Tuntas"/>
    <s v="Sejarah"/>
    <x v="1"/>
    <x v="11"/>
    <n v="73"/>
    <x v="1"/>
    <n v="11"/>
    <x v="0"/>
    <x v="6"/>
    <x v="2"/>
  </r>
  <r>
    <n v="1327"/>
    <s v="242510006"/>
    <x v="0"/>
    <x v="9"/>
    <s v="Nabire"/>
    <d v="2026-02-18T00:00:00"/>
    <s v="18"/>
    <x v="1"/>
    <s v="26"/>
    <x v="3"/>
    <x v="4"/>
    <x v="3"/>
    <s v="Real"/>
    <s v="Entrepreneur"/>
    <s v="Product development"/>
    <x v="0"/>
    <x v="0"/>
    <x v="1"/>
    <s v="F11.01.01"/>
    <n v="1"/>
    <s v="menganalisis kelas sosial dalam Masyarakat"/>
    <s v="01.01"/>
    <x v="19"/>
    <s v="K11"/>
    <s v="F"/>
    <n v="65"/>
    <n v="70"/>
    <s v="Tuntas"/>
    <s v="Sejarah"/>
    <x v="1"/>
    <x v="11"/>
    <n v="70"/>
    <x v="1"/>
    <n v="11"/>
    <x v="1"/>
    <x v="6"/>
    <x v="2"/>
  </r>
  <r>
    <n v="1328"/>
    <s v="242510009"/>
    <x v="0"/>
    <x v="10"/>
    <s v="Nabire"/>
    <d v="2026-01-14T00:00:00"/>
    <s v="14"/>
    <x v="0"/>
    <s v="26"/>
    <x v="0"/>
    <x v="0"/>
    <x v="6"/>
    <s v="Real"/>
    <s v="Entrepreneur"/>
    <s v="Product development"/>
    <x v="0"/>
    <x v="0"/>
    <x v="1"/>
    <s v="F11.01.01"/>
    <n v="1"/>
    <s v="menganalisis kelas sosial dalam Masyarakat"/>
    <s v="01.01"/>
    <x v="19"/>
    <s v="K11"/>
    <s v="F"/>
    <n v="65"/>
    <n v="60"/>
    <s v="Tidak tuntas"/>
    <s v="Sejarah"/>
    <x v="1"/>
    <x v="11"/>
    <n v="60"/>
    <x v="3"/>
    <n v="11"/>
    <x v="0"/>
    <x v="1"/>
    <x v="5"/>
  </r>
  <r>
    <n v="1329"/>
    <s v="242510009"/>
    <x v="0"/>
    <x v="10"/>
    <s v="Nabire"/>
    <d v="2026-01-14T00:00:00"/>
    <s v="14"/>
    <x v="0"/>
    <s v="26"/>
    <x v="2"/>
    <x v="3"/>
    <x v="6"/>
    <s v="Real"/>
    <s v="Entrepreneur"/>
    <s v="Product development"/>
    <x v="0"/>
    <x v="0"/>
    <x v="1"/>
    <s v="F11.01.01"/>
    <n v="1"/>
    <s v="menganalisis kelas sosial dalam Masyarakat"/>
    <s v="01.01"/>
    <x v="19"/>
    <s v="K11"/>
    <s v="F"/>
    <n v="65"/>
    <n v="65"/>
    <s v="Tuntas"/>
    <s v="Sejarah"/>
    <x v="1"/>
    <x v="11"/>
    <n v="65"/>
    <x v="1"/>
    <n v="11"/>
    <x v="0"/>
    <x v="1"/>
    <x v="5"/>
  </r>
  <r>
    <n v="1330"/>
    <s v="242510009"/>
    <x v="0"/>
    <x v="10"/>
    <s v="Nabire"/>
    <d v="2026-01-14T00:00:00"/>
    <s v="14"/>
    <x v="0"/>
    <s v="26"/>
    <x v="3"/>
    <x v="4"/>
    <x v="5"/>
    <s v="Real"/>
    <s v="Entrepreneur"/>
    <s v="Product development"/>
    <x v="0"/>
    <x v="0"/>
    <x v="1"/>
    <s v="F11.01.01"/>
    <n v="1"/>
    <s v="menganalisis kelas sosial dalam Masyarakat"/>
    <s v="01.01"/>
    <x v="19"/>
    <s v="K11"/>
    <s v="F"/>
    <n v="65"/>
    <n v="70"/>
    <s v="Tuntas"/>
    <s v="Sejarah"/>
    <x v="1"/>
    <x v="11"/>
    <n v="70"/>
    <x v="1"/>
    <n v="11"/>
    <x v="1"/>
    <x v="1"/>
    <x v="5"/>
  </r>
  <r>
    <n v="1331"/>
    <s v="242510009"/>
    <x v="0"/>
    <x v="10"/>
    <s v="Nabire"/>
    <d v="2026-01-14T00:00:00"/>
    <s v="14"/>
    <x v="0"/>
    <s v="26"/>
    <x v="4"/>
    <x v="5"/>
    <x v="0"/>
    <s v="Real"/>
    <s v="Entrepreneur"/>
    <s v="Product development"/>
    <x v="0"/>
    <x v="0"/>
    <x v="1"/>
    <s v="F11.01.01"/>
    <n v="1"/>
    <s v="menganalisis kelas sosial dalam Masyarakat"/>
    <s v="01.01"/>
    <x v="19"/>
    <s v="K11"/>
    <s v="F"/>
    <n v="65"/>
    <n v="70"/>
    <s v="Tuntas"/>
    <s v="Sejarah"/>
    <x v="1"/>
    <x v="11"/>
    <n v="70"/>
    <x v="1"/>
    <n v="11"/>
    <x v="0"/>
    <x v="1"/>
    <x v="5"/>
  </r>
  <r>
    <n v="1332"/>
    <s v="242510009"/>
    <x v="0"/>
    <x v="10"/>
    <s v="Nabire"/>
    <d v="2026-01-21T00:00:00"/>
    <s v="21"/>
    <x v="0"/>
    <s v="26"/>
    <x v="0"/>
    <x v="0"/>
    <x v="6"/>
    <s v="Real"/>
    <s v="Entrepreneur"/>
    <s v="Product development"/>
    <x v="0"/>
    <x v="0"/>
    <x v="1"/>
    <s v="F11.01.01"/>
    <n v="1"/>
    <s v="menganalisis kelas sosial dalam Masyarakat"/>
    <s v="01.01"/>
    <x v="19"/>
    <s v="K11"/>
    <s v="F"/>
    <n v="65"/>
    <n v="45"/>
    <s v="Tidak tuntas"/>
    <s v="Sejarah"/>
    <x v="1"/>
    <x v="11"/>
    <n v="45"/>
    <x v="3"/>
    <n v="11"/>
    <x v="0"/>
    <x v="2"/>
    <x v="5"/>
  </r>
  <r>
    <n v="1333"/>
    <s v="242510009"/>
    <x v="0"/>
    <x v="10"/>
    <s v="Nabire"/>
    <d v="2026-01-21T00:00:00"/>
    <s v="21"/>
    <x v="0"/>
    <s v="26"/>
    <x v="2"/>
    <x v="6"/>
    <x v="0"/>
    <s v="Real"/>
    <s v="Entrepreneur"/>
    <s v="Product development"/>
    <x v="0"/>
    <x v="0"/>
    <x v="1"/>
    <s v="F11.01.01"/>
    <n v="1"/>
    <s v="menganalisis kelas sosial dalam Masyarakat"/>
    <s v="01.01"/>
    <x v="19"/>
    <s v="K11"/>
    <s v="F"/>
    <n v="65"/>
    <n v="50"/>
    <s v="Tidak tuntas"/>
    <s v="Sejarah"/>
    <x v="1"/>
    <x v="11"/>
    <n v="50"/>
    <x v="3"/>
    <n v="11"/>
    <x v="0"/>
    <x v="2"/>
    <x v="5"/>
  </r>
  <r>
    <n v="1334"/>
    <s v="242510009"/>
    <x v="0"/>
    <x v="10"/>
    <s v="Nabire"/>
    <d v="2026-01-21T00:00:00"/>
    <s v="21"/>
    <x v="0"/>
    <s v="26"/>
    <x v="3"/>
    <x v="4"/>
    <x v="3"/>
    <s v="Real"/>
    <s v="Entrepreneur"/>
    <s v="Product development"/>
    <x v="0"/>
    <x v="0"/>
    <x v="1"/>
    <s v="F11.01.01"/>
    <n v="1"/>
    <s v="menganalisis kelas sosial dalam Masyarakat"/>
    <s v="01.01"/>
    <x v="19"/>
    <s v="K11"/>
    <s v="F"/>
    <n v="65"/>
    <n v="80"/>
    <s v="Tuntas"/>
    <s v="Sejarah"/>
    <x v="1"/>
    <x v="11"/>
    <n v="80"/>
    <x v="2"/>
    <n v="11"/>
    <x v="2"/>
    <x v="2"/>
    <x v="5"/>
  </r>
  <r>
    <n v="1335"/>
    <s v="242510009"/>
    <x v="0"/>
    <x v="10"/>
    <s v="Nabire"/>
    <d v="2026-01-21T00:00:00"/>
    <s v="21"/>
    <x v="0"/>
    <s v="26"/>
    <x v="4"/>
    <x v="5"/>
    <x v="0"/>
    <s v="Real"/>
    <s v="Entrepreneur"/>
    <s v="Product development"/>
    <x v="0"/>
    <x v="0"/>
    <x v="1"/>
    <s v="F11.02.01"/>
    <n v="2"/>
    <s v=""/>
    <s v="02.01"/>
    <x v="20"/>
    <s v="K11"/>
    <s v="F"/>
    <n v="65"/>
    <n v="65"/>
    <s v="Tuntas"/>
    <s v="Sejarah"/>
    <x v="1"/>
    <x v="11"/>
    <n v="65"/>
    <x v="1"/>
    <n v="11"/>
    <x v="0"/>
    <x v="2"/>
    <x v="5"/>
  </r>
  <r>
    <n v="1336"/>
    <s v="242510009"/>
    <x v="0"/>
    <x v="10"/>
    <s v="Nabire"/>
    <d v="2026-01-28T00:00:00"/>
    <s v="28"/>
    <x v="0"/>
    <s v="26"/>
    <x v="0"/>
    <x v="0"/>
    <x v="6"/>
    <s v="Real"/>
    <s v="Entrepreneur"/>
    <s v="Product development"/>
    <x v="0"/>
    <x v="0"/>
    <x v="1"/>
    <s v="F11.02.01"/>
    <n v="2"/>
    <s v=""/>
    <s v="02.01"/>
    <x v="20"/>
    <s v="K11"/>
    <s v="F"/>
    <n v="65"/>
    <n v="65"/>
    <s v="Tuntas"/>
    <s v="Sejarah"/>
    <x v="1"/>
    <x v="11"/>
    <n v="65"/>
    <x v="1"/>
    <n v="11"/>
    <x v="0"/>
    <x v="3"/>
    <x v="5"/>
  </r>
  <r>
    <n v="1337"/>
    <s v="242510009"/>
    <x v="0"/>
    <x v="10"/>
    <s v="Nabire"/>
    <d v="2026-01-28T00:00:00"/>
    <s v="28"/>
    <x v="0"/>
    <s v="26"/>
    <x v="2"/>
    <x v="6"/>
    <x v="6"/>
    <s v="Real"/>
    <s v="Entrepreneur"/>
    <s v="Product development"/>
    <x v="0"/>
    <x v="0"/>
    <x v="1"/>
    <s v="F11.02.01"/>
    <n v="2"/>
    <s v=""/>
    <s v="02.01"/>
    <x v="20"/>
    <s v="K11"/>
    <s v="F"/>
    <n v="65"/>
    <n v="50"/>
    <s v="Tidak tuntas"/>
    <s v="Sejarah"/>
    <x v="1"/>
    <x v="11"/>
    <n v="50"/>
    <x v="3"/>
    <n v="11"/>
    <x v="0"/>
    <x v="3"/>
    <x v="5"/>
  </r>
  <r>
    <n v="1338"/>
    <s v="242510009"/>
    <x v="0"/>
    <x v="10"/>
    <s v="Nabire"/>
    <d v="2026-01-28T00:00:00"/>
    <s v="28"/>
    <x v="0"/>
    <s v="26"/>
    <x v="3"/>
    <x v="4"/>
    <x v="5"/>
    <s v="Real"/>
    <s v="Entrepreneur"/>
    <s v="Product development"/>
    <x v="0"/>
    <x v="0"/>
    <x v="1"/>
    <s v="F11.02.01"/>
    <n v="2"/>
    <s v=""/>
    <s v="02.01"/>
    <x v="20"/>
    <s v="K11"/>
    <s v="F"/>
    <n v="65"/>
    <n v="70"/>
    <s v="Tuntas"/>
    <s v="Sejarah"/>
    <x v="1"/>
    <x v="11"/>
    <n v="70"/>
    <x v="1"/>
    <n v="11"/>
    <x v="1"/>
    <x v="3"/>
    <x v="5"/>
  </r>
  <r>
    <n v="1339"/>
    <s v="242510009"/>
    <x v="0"/>
    <x v="10"/>
    <s v="Nabire"/>
    <d v="2026-01-28T00:00:00"/>
    <s v="28"/>
    <x v="0"/>
    <s v="26"/>
    <x v="4"/>
    <x v="5"/>
    <x v="0"/>
    <s v="Real"/>
    <s v="Entrepreneur"/>
    <s v="Product development"/>
    <x v="0"/>
    <x v="0"/>
    <x v="1"/>
    <s v="F11.02.01"/>
    <n v="2"/>
    <s v=""/>
    <s v="02.01"/>
    <x v="20"/>
    <s v="K11"/>
    <s v="F"/>
    <n v="65"/>
    <n v="65"/>
    <s v="Tuntas"/>
    <s v="Sejarah"/>
    <x v="1"/>
    <x v="11"/>
    <n v="65"/>
    <x v="1"/>
    <n v="11"/>
    <x v="0"/>
    <x v="3"/>
    <x v="5"/>
  </r>
  <r>
    <n v="1340"/>
    <s v="242510009"/>
    <x v="0"/>
    <x v="10"/>
    <s v="Nabire"/>
    <d v="2026-02-04T00:00:00"/>
    <s v="04"/>
    <x v="1"/>
    <s v="26"/>
    <x v="0"/>
    <x v="0"/>
    <x v="6"/>
    <s v="Real"/>
    <s v="Entrepreneur"/>
    <s v="Product development"/>
    <x v="0"/>
    <x v="0"/>
    <x v="1"/>
    <s v="F11.02.01"/>
    <n v="2"/>
    <s v=""/>
    <s v="02.01"/>
    <x v="20"/>
    <s v="K11"/>
    <s v="F"/>
    <n v="65"/>
    <n v="55"/>
    <s v="Tidak tuntas"/>
    <s v="Sejarah"/>
    <x v="1"/>
    <x v="11"/>
    <n v="55"/>
    <x v="3"/>
    <n v="11"/>
    <x v="0"/>
    <x v="4"/>
    <x v="5"/>
  </r>
  <r>
    <n v="1341"/>
    <s v="242510009"/>
    <x v="0"/>
    <x v="10"/>
    <s v="Nabire"/>
    <d v="2026-02-04T00:00:00"/>
    <s v="04"/>
    <x v="1"/>
    <s v="26"/>
    <x v="2"/>
    <x v="6"/>
    <x v="6"/>
    <s v="Real"/>
    <s v="Entrepreneur"/>
    <s v="Product development"/>
    <x v="0"/>
    <x v="0"/>
    <x v="1"/>
    <s v="F11.02.01"/>
    <n v="2"/>
    <s v=""/>
    <s v="02.01"/>
    <x v="20"/>
    <s v="K11"/>
    <s v="F"/>
    <n v="65"/>
    <n v="60"/>
    <s v="Tidak tuntas"/>
    <s v="Sejarah"/>
    <x v="1"/>
    <x v="11"/>
    <n v="60"/>
    <x v="3"/>
    <n v="11"/>
    <x v="0"/>
    <x v="4"/>
    <x v="5"/>
  </r>
  <r>
    <n v="1342"/>
    <s v="242510009"/>
    <x v="0"/>
    <x v="10"/>
    <s v="Nabire"/>
    <d v="2026-02-04T00:00:00"/>
    <s v="04"/>
    <x v="1"/>
    <s v="26"/>
    <x v="3"/>
    <x v="4"/>
    <x v="3"/>
    <s v="Real"/>
    <s v="Entrepreneur"/>
    <s v="Product development"/>
    <x v="0"/>
    <x v="0"/>
    <x v="1"/>
    <s v="F11.02.01"/>
    <n v="2"/>
    <s v=""/>
    <s v="02.01"/>
    <x v="20"/>
    <s v="K11"/>
    <s v="F"/>
    <n v="65"/>
    <n v="70"/>
    <s v="Tuntas"/>
    <s v="Sejarah"/>
    <x v="1"/>
    <x v="11"/>
    <n v="70"/>
    <x v="1"/>
    <n v="11"/>
    <x v="1"/>
    <x v="4"/>
    <x v="5"/>
  </r>
  <r>
    <n v="1343"/>
    <s v="242510009"/>
    <x v="0"/>
    <x v="10"/>
    <s v="Nabire"/>
    <d v="2026-02-04T00:00:00"/>
    <s v="04"/>
    <x v="1"/>
    <s v="26"/>
    <x v="4"/>
    <x v="5"/>
    <x v="0"/>
    <s v="Real"/>
    <s v="Entrepreneur"/>
    <s v="Product development"/>
    <x v="0"/>
    <x v="0"/>
    <x v="1"/>
    <s v="F11.02.01"/>
    <n v="2"/>
    <s v=""/>
    <s v="02.01"/>
    <x v="20"/>
    <s v="K11"/>
    <s v="F"/>
    <n v="65"/>
    <n v="65"/>
    <s v="Tuntas"/>
    <s v="Sejarah"/>
    <x v="1"/>
    <x v="11"/>
    <n v="65"/>
    <x v="1"/>
    <n v="11"/>
    <x v="0"/>
    <x v="4"/>
    <x v="5"/>
  </r>
  <r>
    <n v="1344"/>
    <s v="242510009"/>
    <x v="0"/>
    <x v="10"/>
    <s v="Nabire"/>
    <d v="2026-02-11T00:00:00"/>
    <s v="11"/>
    <x v="1"/>
    <s v="26"/>
    <x v="0"/>
    <x v="0"/>
    <x v="6"/>
    <s v="Real"/>
    <s v="Entrepreneur"/>
    <s v="Product development"/>
    <x v="0"/>
    <x v="0"/>
    <x v="1"/>
    <s v="F11.03.01"/>
    <n v="3"/>
    <s v=""/>
    <s v="03.01"/>
    <x v="21"/>
    <s v="K11"/>
    <s v="F"/>
    <n v="65"/>
    <n v="60"/>
    <s v="Tidak tuntas"/>
    <s v="Sejarah"/>
    <x v="1"/>
    <x v="11"/>
    <n v="60"/>
    <x v="3"/>
    <n v="11"/>
    <x v="0"/>
    <x v="5"/>
    <x v="5"/>
  </r>
  <r>
    <n v="1345"/>
    <s v="242510009"/>
    <x v="0"/>
    <x v="10"/>
    <s v="Nabire"/>
    <d v="2026-02-11T00:00:00"/>
    <s v="11"/>
    <x v="1"/>
    <s v="26"/>
    <x v="2"/>
    <x v="6"/>
    <x v="6"/>
    <s v="Real"/>
    <s v="Entrepreneur"/>
    <s v="Product development"/>
    <x v="0"/>
    <x v="0"/>
    <x v="1"/>
    <s v="F11.03.01"/>
    <n v="3"/>
    <s v=""/>
    <s v="03.01"/>
    <x v="21"/>
    <s v="K11"/>
    <s v="F"/>
    <n v="65"/>
    <n v="55"/>
    <s v="Tidak tuntas"/>
    <s v="Sejarah"/>
    <x v="1"/>
    <x v="11"/>
    <n v="55"/>
    <x v="3"/>
    <n v="11"/>
    <x v="0"/>
    <x v="5"/>
    <x v="5"/>
  </r>
  <r>
    <n v="1346"/>
    <s v="242510009"/>
    <x v="0"/>
    <x v="10"/>
    <s v="Nabire"/>
    <d v="2026-02-11T00:00:00"/>
    <s v="11"/>
    <x v="1"/>
    <s v="26"/>
    <x v="3"/>
    <x v="4"/>
    <x v="3"/>
    <s v="Real"/>
    <s v="Entrepreneur"/>
    <s v="Product development"/>
    <x v="0"/>
    <x v="0"/>
    <x v="1"/>
    <s v="F11.03.01"/>
    <n v="3"/>
    <s v=""/>
    <s v="03.01"/>
    <x v="21"/>
    <s v="K11"/>
    <s v="F"/>
    <n v="65"/>
    <n v="69"/>
    <s v="Tuntas"/>
    <s v="Sejarah"/>
    <x v="1"/>
    <x v="11"/>
    <n v="69"/>
    <x v="1"/>
    <n v="11"/>
    <x v="3"/>
    <x v="5"/>
    <x v="5"/>
  </r>
  <r>
    <n v="1347"/>
    <s v="242510009"/>
    <x v="0"/>
    <x v="10"/>
    <s v="Nabire"/>
    <d v="2026-02-11T00:00:00"/>
    <s v="11"/>
    <x v="1"/>
    <s v="26"/>
    <x v="4"/>
    <x v="5"/>
    <x v="0"/>
    <s v="Real"/>
    <s v="Entrepreneur"/>
    <s v="Product development"/>
    <x v="0"/>
    <x v="0"/>
    <x v="1"/>
    <s v="F11.03.01"/>
    <n v="3"/>
    <s v=""/>
    <s v="03.01"/>
    <x v="21"/>
    <s v="K11"/>
    <s v="F"/>
    <n v="65"/>
    <n v="65"/>
    <s v="Tuntas"/>
    <s v="Sejarah"/>
    <x v="1"/>
    <x v="11"/>
    <n v="65"/>
    <x v="1"/>
    <n v="11"/>
    <x v="0"/>
    <x v="5"/>
    <x v="5"/>
  </r>
  <r>
    <n v="1348"/>
    <s v="242510009"/>
    <x v="0"/>
    <x v="10"/>
    <s v="Nabire"/>
    <d v="2026-02-18T00:00:00"/>
    <s v="18"/>
    <x v="1"/>
    <s v="26"/>
    <x v="0"/>
    <x v="2"/>
    <x v="17"/>
    <s v="Real"/>
    <s v="Entrepreneur"/>
    <s v="Product development"/>
    <x v="0"/>
    <x v="0"/>
    <x v="1"/>
    <s v="F11.01.01"/>
    <n v="1"/>
    <s v="menganalisis kelas sosial dalam Masyarakat"/>
    <s v="01.01"/>
    <x v="19"/>
    <s v="K11"/>
    <s v="F"/>
    <n v="65"/>
    <n v="33"/>
    <s v="Tidak tuntas"/>
    <s v="Sejarah"/>
    <x v="1"/>
    <x v="11"/>
    <n v="33"/>
    <x v="3"/>
    <n v="11"/>
    <x v="0"/>
    <x v="6"/>
    <x v="5"/>
  </r>
  <r>
    <n v="1349"/>
    <s v="242510009"/>
    <x v="0"/>
    <x v="10"/>
    <s v="Nabire"/>
    <d v="2026-02-18T00:00:00"/>
    <s v="18"/>
    <x v="1"/>
    <s v="26"/>
    <x v="3"/>
    <x v="4"/>
    <x v="3"/>
    <s v="Real"/>
    <s v="Entrepreneur"/>
    <s v="Product development"/>
    <x v="0"/>
    <x v="0"/>
    <x v="1"/>
    <s v="F11.01.01"/>
    <n v="1"/>
    <s v="menganalisis kelas sosial dalam Masyarakat"/>
    <s v="01.01"/>
    <x v="19"/>
    <s v="K11"/>
    <s v="F"/>
    <n v="65"/>
    <n v="70"/>
    <s v="Tuntas"/>
    <s v="Sejarah"/>
    <x v="1"/>
    <x v="11"/>
    <n v="70"/>
    <x v="1"/>
    <n v="11"/>
    <x v="1"/>
    <x v="6"/>
    <x v="5"/>
  </r>
  <r>
    <n v="1350"/>
    <s v="242510012"/>
    <x v="0"/>
    <x v="11"/>
    <s v="Intan Jaya"/>
    <d v="2026-01-14T00:00:00"/>
    <s v="14"/>
    <x v="0"/>
    <s v="26"/>
    <x v="0"/>
    <x v="0"/>
    <x v="6"/>
    <s v="Real"/>
    <s v="Entrepreneur"/>
    <s v="Product development"/>
    <x v="0"/>
    <x v="0"/>
    <x v="1"/>
    <s v="F11.01.01"/>
    <n v="1"/>
    <s v="menganalisis kelas sosial dalam Masyarakat"/>
    <s v="01.01"/>
    <x v="19"/>
    <s v="K11"/>
    <s v="F"/>
    <n v="65"/>
    <n v="70"/>
    <s v="Tuntas"/>
    <s v="Sejarah"/>
    <x v="1"/>
    <x v="11"/>
    <n v="70"/>
    <x v="1"/>
    <n v="11"/>
    <x v="0"/>
    <x v="1"/>
    <x v="2"/>
  </r>
  <r>
    <n v="1351"/>
    <s v="242510012"/>
    <x v="0"/>
    <x v="11"/>
    <s v="Intan Jaya"/>
    <d v="2026-01-14T00:00:00"/>
    <s v="14"/>
    <x v="0"/>
    <s v="26"/>
    <x v="2"/>
    <x v="3"/>
    <x v="6"/>
    <s v="Real"/>
    <s v="Entrepreneur"/>
    <s v="Product development"/>
    <x v="0"/>
    <x v="0"/>
    <x v="1"/>
    <s v="F11.01.01"/>
    <n v="1"/>
    <s v="menganalisis kelas sosial dalam Masyarakat"/>
    <s v="01.01"/>
    <x v="19"/>
    <s v="K11"/>
    <s v="F"/>
    <n v="65"/>
    <n v="70"/>
    <s v="Tuntas"/>
    <s v="Sejarah"/>
    <x v="1"/>
    <x v="11"/>
    <n v="70"/>
    <x v="1"/>
    <n v="11"/>
    <x v="0"/>
    <x v="1"/>
    <x v="2"/>
  </r>
  <r>
    <n v="1352"/>
    <s v="242510012"/>
    <x v="0"/>
    <x v="11"/>
    <s v="Intan Jaya"/>
    <d v="2026-01-14T00:00:00"/>
    <s v="14"/>
    <x v="0"/>
    <s v="26"/>
    <x v="3"/>
    <x v="4"/>
    <x v="5"/>
    <s v="Real"/>
    <s v="Entrepreneur"/>
    <s v="Product development"/>
    <x v="0"/>
    <x v="0"/>
    <x v="1"/>
    <s v="F11.01.01"/>
    <n v="1"/>
    <s v="menganalisis kelas sosial dalam Masyarakat"/>
    <s v="01.01"/>
    <x v="19"/>
    <s v="K11"/>
    <s v="F"/>
    <n v="65"/>
    <n v="80"/>
    <s v="Tuntas"/>
    <s v="Sejarah"/>
    <x v="1"/>
    <x v="11"/>
    <n v="80"/>
    <x v="2"/>
    <n v="11"/>
    <x v="2"/>
    <x v="1"/>
    <x v="2"/>
  </r>
  <r>
    <n v="1353"/>
    <s v="242510012"/>
    <x v="0"/>
    <x v="11"/>
    <s v="Intan Jaya"/>
    <d v="2026-01-14T00:00:00"/>
    <s v="14"/>
    <x v="0"/>
    <s v="26"/>
    <x v="4"/>
    <x v="5"/>
    <x v="0"/>
    <s v="Real"/>
    <s v="Entrepreneur"/>
    <s v="Product development"/>
    <x v="0"/>
    <x v="0"/>
    <x v="1"/>
    <s v="F11.01.01"/>
    <n v="1"/>
    <s v="menganalisis kelas sosial dalam Masyarakat"/>
    <s v="01.01"/>
    <x v="19"/>
    <s v="K11"/>
    <s v="F"/>
    <n v="65"/>
    <n v="70"/>
    <s v="Tuntas"/>
    <s v="Sejarah"/>
    <x v="1"/>
    <x v="11"/>
    <n v="70"/>
    <x v="1"/>
    <n v="11"/>
    <x v="0"/>
    <x v="1"/>
    <x v="2"/>
  </r>
  <r>
    <n v="1354"/>
    <s v="242510012"/>
    <x v="0"/>
    <x v="11"/>
    <s v="Intan Jaya"/>
    <d v="2026-01-21T00:00:00"/>
    <s v="21"/>
    <x v="0"/>
    <s v="26"/>
    <x v="0"/>
    <x v="0"/>
    <x v="6"/>
    <s v="Real"/>
    <s v="Entrepreneur"/>
    <s v="Product development"/>
    <x v="0"/>
    <x v="0"/>
    <x v="1"/>
    <s v="F11.01.01"/>
    <n v="1"/>
    <s v="menganalisis kelas sosial dalam Masyarakat"/>
    <s v="01.01"/>
    <x v="19"/>
    <s v="K11"/>
    <s v="F"/>
    <n v="65"/>
    <n v="59"/>
    <s v="Tidak tuntas"/>
    <s v="Sejarah"/>
    <x v="1"/>
    <x v="11"/>
    <n v="59"/>
    <x v="3"/>
    <n v="11"/>
    <x v="0"/>
    <x v="2"/>
    <x v="2"/>
  </r>
  <r>
    <n v="1355"/>
    <s v="242510012"/>
    <x v="0"/>
    <x v="11"/>
    <s v="Intan Jaya"/>
    <d v="2026-01-21T00:00:00"/>
    <s v="21"/>
    <x v="0"/>
    <s v="26"/>
    <x v="2"/>
    <x v="6"/>
    <x v="0"/>
    <s v="Real"/>
    <s v="Entrepreneur"/>
    <s v="Product development"/>
    <x v="0"/>
    <x v="0"/>
    <x v="1"/>
    <s v="F11.01.01"/>
    <n v="1"/>
    <s v="menganalisis kelas sosial dalam Masyarakat"/>
    <s v="01.01"/>
    <x v="19"/>
    <s v="K11"/>
    <s v="F"/>
    <n v="65"/>
    <n v="65"/>
    <s v="Tuntas"/>
    <s v="Sejarah"/>
    <x v="1"/>
    <x v="11"/>
    <n v="65"/>
    <x v="1"/>
    <n v="11"/>
    <x v="0"/>
    <x v="2"/>
    <x v="2"/>
  </r>
  <r>
    <n v="1356"/>
    <s v="242510012"/>
    <x v="0"/>
    <x v="11"/>
    <s v="Intan Jaya"/>
    <d v="2026-01-21T00:00:00"/>
    <s v="21"/>
    <x v="0"/>
    <s v="26"/>
    <x v="3"/>
    <x v="4"/>
    <x v="3"/>
    <s v="Real"/>
    <s v="Entrepreneur"/>
    <s v="Product development"/>
    <x v="0"/>
    <x v="0"/>
    <x v="1"/>
    <s v="F11.01.01"/>
    <n v="1"/>
    <s v="menganalisis kelas sosial dalam Masyarakat"/>
    <s v="01.01"/>
    <x v="19"/>
    <s v="K11"/>
    <s v="F"/>
    <n v="65"/>
    <n v="80"/>
    <s v="Tuntas"/>
    <s v="Sejarah"/>
    <x v="1"/>
    <x v="11"/>
    <n v="80"/>
    <x v="2"/>
    <n v="11"/>
    <x v="2"/>
    <x v="2"/>
    <x v="2"/>
  </r>
  <r>
    <n v="1357"/>
    <s v="242510012"/>
    <x v="0"/>
    <x v="11"/>
    <s v="Intan Jaya"/>
    <d v="2026-01-21T00:00:00"/>
    <s v="21"/>
    <x v="0"/>
    <s v="26"/>
    <x v="4"/>
    <x v="5"/>
    <x v="0"/>
    <s v="Real"/>
    <s v="Entrepreneur"/>
    <s v="Product development"/>
    <x v="0"/>
    <x v="0"/>
    <x v="1"/>
    <s v="F11.02.01"/>
    <n v="2"/>
    <s v=""/>
    <s v="02.01"/>
    <x v="20"/>
    <s v="K11"/>
    <s v="F"/>
    <n v="65"/>
    <n v="65"/>
    <s v="Tuntas"/>
    <s v="Sejarah"/>
    <x v="1"/>
    <x v="11"/>
    <n v="65"/>
    <x v="1"/>
    <n v="11"/>
    <x v="0"/>
    <x v="2"/>
    <x v="2"/>
  </r>
  <r>
    <n v="1358"/>
    <s v="242510012"/>
    <x v="0"/>
    <x v="11"/>
    <s v="Intan Jaya"/>
    <d v="2026-01-28T00:00:00"/>
    <s v="28"/>
    <x v="0"/>
    <s v="26"/>
    <x v="0"/>
    <x v="0"/>
    <x v="6"/>
    <s v="Real"/>
    <s v="Entrepreneur"/>
    <s v="Product development"/>
    <x v="0"/>
    <x v="0"/>
    <x v="1"/>
    <s v="F11.02.01"/>
    <n v="2"/>
    <s v=""/>
    <s v="02.01"/>
    <x v="20"/>
    <s v="K11"/>
    <s v="F"/>
    <n v="65"/>
    <n v="70"/>
    <s v="Tuntas"/>
    <s v="Sejarah"/>
    <x v="1"/>
    <x v="11"/>
    <n v="70"/>
    <x v="1"/>
    <n v="11"/>
    <x v="0"/>
    <x v="3"/>
    <x v="2"/>
  </r>
  <r>
    <n v="1359"/>
    <s v="242510012"/>
    <x v="0"/>
    <x v="11"/>
    <s v="Intan Jaya"/>
    <d v="2026-01-28T00:00:00"/>
    <s v="28"/>
    <x v="0"/>
    <s v="26"/>
    <x v="2"/>
    <x v="6"/>
    <x v="6"/>
    <s v="Real"/>
    <s v="Entrepreneur"/>
    <s v="Product development"/>
    <x v="0"/>
    <x v="0"/>
    <x v="1"/>
    <s v="F11.02.01"/>
    <n v="2"/>
    <s v=""/>
    <s v="02.01"/>
    <x v="20"/>
    <s v="K11"/>
    <s v="F"/>
    <n v="65"/>
    <n v="65"/>
    <s v="Tuntas"/>
    <s v="Sejarah"/>
    <x v="1"/>
    <x v="11"/>
    <n v="65"/>
    <x v="1"/>
    <n v="11"/>
    <x v="0"/>
    <x v="3"/>
    <x v="2"/>
  </r>
  <r>
    <n v="1360"/>
    <s v="242510012"/>
    <x v="0"/>
    <x v="11"/>
    <s v="Intan Jaya"/>
    <d v="2026-01-28T00:00:00"/>
    <s v="28"/>
    <x v="0"/>
    <s v="26"/>
    <x v="3"/>
    <x v="4"/>
    <x v="5"/>
    <s v="Real"/>
    <s v="Entrepreneur"/>
    <s v="Product development"/>
    <x v="0"/>
    <x v="0"/>
    <x v="1"/>
    <s v="F11.02.01"/>
    <n v="2"/>
    <s v=""/>
    <s v="02.01"/>
    <x v="20"/>
    <s v="K11"/>
    <s v="F"/>
    <n v="65"/>
    <n v="70"/>
    <s v="Tuntas"/>
    <s v="Sejarah"/>
    <x v="1"/>
    <x v="11"/>
    <n v="70"/>
    <x v="1"/>
    <n v="11"/>
    <x v="1"/>
    <x v="3"/>
    <x v="2"/>
  </r>
  <r>
    <n v="1361"/>
    <s v="242510012"/>
    <x v="0"/>
    <x v="11"/>
    <s v="Intan Jaya"/>
    <d v="2026-01-28T00:00:00"/>
    <s v="28"/>
    <x v="0"/>
    <s v="26"/>
    <x v="4"/>
    <x v="5"/>
    <x v="0"/>
    <s v="Real"/>
    <s v="Entrepreneur"/>
    <s v="Product development"/>
    <x v="0"/>
    <x v="0"/>
    <x v="1"/>
    <s v="F11.02.01"/>
    <n v="2"/>
    <s v=""/>
    <s v="02.01"/>
    <x v="20"/>
    <s v="K11"/>
    <s v="F"/>
    <n v="65"/>
    <n v="65"/>
    <s v="Tuntas"/>
    <s v="Sejarah"/>
    <x v="1"/>
    <x v="11"/>
    <n v="65"/>
    <x v="1"/>
    <n v="11"/>
    <x v="0"/>
    <x v="3"/>
    <x v="2"/>
  </r>
  <r>
    <n v="1362"/>
    <s v="242510012"/>
    <x v="0"/>
    <x v="11"/>
    <s v="Intan Jaya"/>
    <d v="2026-02-04T00:00:00"/>
    <s v="04"/>
    <x v="1"/>
    <s v="26"/>
    <x v="0"/>
    <x v="0"/>
    <x v="6"/>
    <s v="Real"/>
    <s v="Entrepreneur"/>
    <s v="Product development"/>
    <x v="0"/>
    <x v="0"/>
    <x v="1"/>
    <s v="F11.02.01"/>
    <n v="2"/>
    <s v=""/>
    <s v="02.01"/>
    <x v="20"/>
    <s v="K11"/>
    <s v="F"/>
    <n v="65"/>
    <n v="55"/>
    <s v="Tidak tuntas"/>
    <s v="Sejarah"/>
    <x v="1"/>
    <x v="11"/>
    <n v="55"/>
    <x v="3"/>
    <n v="11"/>
    <x v="0"/>
    <x v="4"/>
    <x v="2"/>
  </r>
  <r>
    <n v="1363"/>
    <s v="242510012"/>
    <x v="0"/>
    <x v="11"/>
    <s v="Intan Jaya"/>
    <d v="2026-02-04T00:00:00"/>
    <s v="04"/>
    <x v="1"/>
    <s v="26"/>
    <x v="2"/>
    <x v="6"/>
    <x v="6"/>
    <s v="Real"/>
    <s v="Entrepreneur"/>
    <s v="Product development"/>
    <x v="0"/>
    <x v="0"/>
    <x v="1"/>
    <s v="F11.02.01"/>
    <n v="2"/>
    <s v=""/>
    <s v="02.01"/>
    <x v="20"/>
    <s v="K11"/>
    <s v="F"/>
    <n v="65"/>
    <n v="70"/>
    <s v="Tuntas"/>
    <s v="Sejarah"/>
    <x v="1"/>
    <x v="11"/>
    <n v="70"/>
    <x v="1"/>
    <n v="11"/>
    <x v="0"/>
    <x v="4"/>
    <x v="2"/>
  </r>
  <r>
    <n v="1364"/>
    <s v="242510012"/>
    <x v="0"/>
    <x v="11"/>
    <s v="Intan Jaya"/>
    <d v="2026-02-04T00:00:00"/>
    <s v="04"/>
    <x v="1"/>
    <s v="26"/>
    <x v="3"/>
    <x v="4"/>
    <x v="3"/>
    <s v="Real"/>
    <s v="Entrepreneur"/>
    <s v="Product development"/>
    <x v="0"/>
    <x v="0"/>
    <x v="1"/>
    <s v="F11.02.01"/>
    <n v="2"/>
    <s v=""/>
    <s v="02.01"/>
    <x v="20"/>
    <s v="K11"/>
    <s v="F"/>
    <n v="65"/>
    <n v="70"/>
    <s v="Tuntas"/>
    <s v="Sejarah"/>
    <x v="1"/>
    <x v="11"/>
    <n v="70"/>
    <x v="1"/>
    <n v="11"/>
    <x v="1"/>
    <x v="4"/>
    <x v="2"/>
  </r>
  <r>
    <n v="1365"/>
    <s v="242510012"/>
    <x v="0"/>
    <x v="11"/>
    <s v="Intan Jaya"/>
    <d v="2026-02-04T00:00:00"/>
    <s v="04"/>
    <x v="1"/>
    <s v="26"/>
    <x v="4"/>
    <x v="5"/>
    <x v="0"/>
    <s v="Real"/>
    <s v="Entrepreneur"/>
    <s v="Product development"/>
    <x v="0"/>
    <x v="0"/>
    <x v="1"/>
    <s v="F11.02.01"/>
    <n v="2"/>
    <s v=""/>
    <s v="02.01"/>
    <x v="20"/>
    <s v="K11"/>
    <s v="F"/>
    <n v="65"/>
    <n v="65"/>
    <s v="Tuntas"/>
    <s v="Sejarah"/>
    <x v="1"/>
    <x v="11"/>
    <n v="65"/>
    <x v="1"/>
    <n v="11"/>
    <x v="0"/>
    <x v="4"/>
    <x v="2"/>
  </r>
  <r>
    <n v="1366"/>
    <s v="242510012"/>
    <x v="0"/>
    <x v="11"/>
    <s v="Intan Jaya"/>
    <d v="2026-02-11T00:00:00"/>
    <s v="11"/>
    <x v="1"/>
    <s v="26"/>
    <x v="0"/>
    <x v="0"/>
    <x v="6"/>
    <s v="Real"/>
    <s v="Entrepreneur"/>
    <s v="Product development"/>
    <x v="0"/>
    <x v="0"/>
    <x v="1"/>
    <s v="F11.03.01"/>
    <n v="3"/>
    <s v=""/>
    <s v="03.01"/>
    <x v="21"/>
    <s v="K11"/>
    <s v="F"/>
    <n v="65"/>
    <n v="65"/>
    <s v="Tuntas"/>
    <s v="Sejarah"/>
    <x v="1"/>
    <x v="11"/>
    <n v="65"/>
    <x v="1"/>
    <n v="11"/>
    <x v="0"/>
    <x v="5"/>
    <x v="2"/>
  </r>
  <r>
    <n v="1367"/>
    <s v="242510012"/>
    <x v="0"/>
    <x v="11"/>
    <s v="Intan Jaya"/>
    <d v="2026-02-11T00:00:00"/>
    <s v="11"/>
    <x v="1"/>
    <s v="26"/>
    <x v="2"/>
    <x v="6"/>
    <x v="6"/>
    <s v="Real"/>
    <s v="Entrepreneur"/>
    <s v="Product development"/>
    <x v="0"/>
    <x v="0"/>
    <x v="1"/>
    <s v="F11.03.01"/>
    <n v="3"/>
    <s v=""/>
    <s v="03.01"/>
    <x v="21"/>
    <s v="K11"/>
    <s v="F"/>
    <n v="65"/>
    <n v="60"/>
    <s v="Tidak tuntas"/>
    <s v="Sejarah"/>
    <x v="1"/>
    <x v="11"/>
    <n v="60"/>
    <x v="3"/>
    <n v="11"/>
    <x v="0"/>
    <x v="5"/>
    <x v="2"/>
  </r>
  <r>
    <n v="1368"/>
    <s v="242510012"/>
    <x v="0"/>
    <x v="11"/>
    <s v="Intan Jaya"/>
    <d v="2026-02-11T00:00:00"/>
    <s v="11"/>
    <x v="1"/>
    <s v="26"/>
    <x v="3"/>
    <x v="4"/>
    <x v="3"/>
    <s v="Real"/>
    <s v="Entrepreneur"/>
    <s v="Product development"/>
    <x v="0"/>
    <x v="0"/>
    <x v="1"/>
    <s v="F11.03.01"/>
    <n v="3"/>
    <s v=""/>
    <s v="03.01"/>
    <x v="21"/>
    <s v="K11"/>
    <s v="F"/>
    <n v="65"/>
    <n v="69"/>
    <s v="Tuntas"/>
    <s v="Sejarah"/>
    <x v="1"/>
    <x v="11"/>
    <n v="69"/>
    <x v="1"/>
    <n v="11"/>
    <x v="3"/>
    <x v="5"/>
    <x v="2"/>
  </r>
  <r>
    <n v="1369"/>
    <s v="242510012"/>
    <x v="0"/>
    <x v="11"/>
    <s v="Intan Jaya"/>
    <d v="2026-02-11T00:00:00"/>
    <s v="11"/>
    <x v="1"/>
    <s v="26"/>
    <x v="4"/>
    <x v="5"/>
    <x v="0"/>
    <s v="Real"/>
    <s v="Entrepreneur"/>
    <s v="Product development"/>
    <x v="0"/>
    <x v="0"/>
    <x v="1"/>
    <s v="F11.03.01"/>
    <n v="3"/>
    <s v=""/>
    <s v="03.01"/>
    <x v="21"/>
    <s v="K11"/>
    <s v="F"/>
    <n v="65"/>
    <n v="65"/>
    <s v="Tuntas"/>
    <s v="Sejarah"/>
    <x v="1"/>
    <x v="11"/>
    <n v="65"/>
    <x v="1"/>
    <n v="11"/>
    <x v="0"/>
    <x v="5"/>
    <x v="2"/>
  </r>
  <r>
    <n v="1370"/>
    <s v="242510012"/>
    <x v="0"/>
    <x v="11"/>
    <s v="Intan Jaya"/>
    <d v="2026-02-18T00:00:00"/>
    <s v="18"/>
    <x v="1"/>
    <s v="26"/>
    <x v="0"/>
    <x v="2"/>
    <x v="17"/>
    <s v="Real"/>
    <s v="Entrepreneur"/>
    <s v="Product development"/>
    <x v="0"/>
    <x v="0"/>
    <x v="1"/>
    <s v="F11.01.01"/>
    <n v="1"/>
    <s v="menganalisis kelas sosial dalam Masyarakat"/>
    <s v="01.01"/>
    <x v="19"/>
    <s v="K11"/>
    <s v="F"/>
    <n v="65"/>
    <n v="60"/>
    <s v="Tidak tuntas"/>
    <s v="Sejarah"/>
    <x v="1"/>
    <x v="11"/>
    <n v="60"/>
    <x v="3"/>
    <n v="11"/>
    <x v="0"/>
    <x v="6"/>
    <x v="2"/>
  </r>
  <r>
    <n v="1371"/>
    <s v="242510012"/>
    <x v="0"/>
    <x v="11"/>
    <s v="Intan Jaya"/>
    <d v="2026-02-18T00:00:00"/>
    <s v="18"/>
    <x v="1"/>
    <s v="26"/>
    <x v="3"/>
    <x v="4"/>
    <x v="3"/>
    <s v="Real"/>
    <s v="Entrepreneur"/>
    <s v="Product development"/>
    <x v="0"/>
    <x v="0"/>
    <x v="1"/>
    <s v="F11.01.01"/>
    <n v="1"/>
    <s v="menganalisis kelas sosial dalam Masyarakat"/>
    <s v="01.01"/>
    <x v="19"/>
    <s v="K11"/>
    <s v="F"/>
    <n v="65"/>
    <n v="70"/>
    <s v="Tuntas"/>
    <s v="Sejarah"/>
    <x v="1"/>
    <x v="11"/>
    <n v="70"/>
    <x v="1"/>
    <n v="11"/>
    <x v="1"/>
    <x v="6"/>
    <x v="2"/>
  </r>
  <r>
    <n v="1372"/>
    <s v="#N/A"/>
    <x v="1"/>
    <x v="12"/>
    <s v="#VALUE!"/>
    <m/>
    <s v=",,,,,,,,,,,,"/>
    <x v="2"/>
    <s v=",,,,,,,,,,,,"/>
    <x v="5"/>
    <x v="10"/>
    <x v="12"/>
    <s v=",,,,,,,,,,,,"/>
    <s v=""/>
    <s v=""/>
    <x v="1"/>
    <x v="1"/>
    <x v="2"/>
    <s v=",,,,,,,,,,,,"/>
    <m/>
    <s v=""/>
    <s v=",,,,,"/>
    <x v="8"/>
    <s v=",,,,,,,,,,,,"/>
    <s v=","/>
    <n v="65"/>
    <m/>
    <s v="#REF!"/>
    <s v="Seni Budaya dan Keterampilan"/>
    <x v="0"/>
    <x v="0"/>
    <s v=""/>
    <x v="0"/>
    <s v=""/>
    <x v="0"/>
    <x v="0"/>
    <x v="0"/>
  </r>
  <r>
    <n v="1373"/>
    <s v="242510013"/>
    <x v="0"/>
    <x v="0"/>
    <s v="Intan Jaya"/>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65"/>
    <s v="Tuntas"/>
    <s v="Prakarya dan Kewirausahaan"/>
    <x v="4"/>
    <x v="12"/>
    <n v="65"/>
    <x v="1"/>
    <n v="11"/>
    <x v="0"/>
    <x v="7"/>
    <x v="6"/>
  </r>
  <r>
    <n v="1374"/>
    <s v="242510013"/>
    <x v="0"/>
    <x v="0"/>
    <s v="Intan Jaya"/>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74"/>
    <s v="Tuntas"/>
    <s v="Prakarya dan Kewirausahaan"/>
    <x v="4"/>
    <x v="12"/>
    <n v="74"/>
    <x v="1"/>
    <n v="11"/>
    <x v="0"/>
    <x v="2"/>
    <x v="6"/>
  </r>
  <r>
    <n v="1375"/>
    <s v="242510011"/>
    <x v="0"/>
    <x v="1"/>
    <s v="Intan Jaya"/>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65"/>
    <s v="Tuntas"/>
    <s v="Prakarya dan Kewirausahaan"/>
    <x v="4"/>
    <x v="12"/>
    <n v="65"/>
    <x v="1"/>
    <n v="11"/>
    <x v="0"/>
    <x v="7"/>
    <x v="1"/>
  </r>
  <r>
    <n v="1376"/>
    <s v="242510011"/>
    <x v="0"/>
    <x v="1"/>
    <s v="Intan Jaya"/>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80"/>
    <s v="Tuntas"/>
    <s v="Prakarya dan Kewirausahaan"/>
    <x v="4"/>
    <x v="12"/>
    <n v="80"/>
    <x v="2"/>
    <n v="11"/>
    <x v="0"/>
    <x v="2"/>
    <x v="1"/>
  </r>
  <r>
    <n v="1377"/>
    <s v="242510011"/>
    <x v="0"/>
    <x v="1"/>
    <s v="Intan Jaya"/>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80"/>
    <s v="Tuntas"/>
    <s v="Prakarya dan Kewirausahaan"/>
    <x v="4"/>
    <x v="12"/>
    <n v="80"/>
    <x v="2"/>
    <n v="11"/>
    <x v="0"/>
    <x v="5"/>
    <x v="1"/>
  </r>
  <r>
    <n v="1378"/>
    <s v="242510010"/>
    <x v="0"/>
    <x v="2"/>
    <s v="Intan Jaya"/>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80"/>
    <s v="Tuntas"/>
    <s v="Prakarya dan Kewirausahaan"/>
    <x v="4"/>
    <x v="12"/>
    <n v="80"/>
    <x v="2"/>
    <n v="11"/>
    <x v="0"/>
    <x v="7"/>
    <x v="2"/>
  </r>
  <r>
    <n v="1379"/>
    <s v="242510010"/>
    <x v="0"/>
    <x v="2"/>
    <s v="Intan Jaya"/>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70"/>
    <s v="Tuntas"/>
    <s v="Prakarya dan Kewirausahaan"/>
    <x v="4"/>
    <x v="12"/>
    <n v="70"/>
    <x v="1"/>
    <n v="11"/>
    <x v="0"/>
    <x v="2"/>
    <x v="2"/>
  </r>
  <r>
    <n v="1380"/>
    <s v="242510010"/>
    <x v="0"/>
    <x v="2"/>
    <s v="Intan Jaya"/>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80"/>
    <s v="Tuntas"/>
    <s v="Prakarya dan Kewirausahaan"/>
    <x v="4"/>
    <x v="12"/>
    <n v="80"/>
    <x v="2"/>
    <n v="11"/>
    <x v="0"/>
    <x v="5"/>
    <x v="2"/>
  </r>
  <r>
    <n v="1381"/>
    <s v="242510002"/>
    <x v="0"/>
    <x v="3"/>
    <s v="Intan Jaya"/>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65"/>
    <s v="Tuntas"/>
    <s v="Prakarya dan Kewirausahaan"/>
    <x v="4"/>
    <x v="12"/>
    <n v="65"/>
    <x v="1"/>
    <n v="11"/>
    <x v="0"/>
    <x v="7"/>
    <x v="1"/>
  </r>
  <r>
    <n v="1382"/>
    <s v="242510002"/>
    <x v="0"/>
    <x v="3"/>
    <s v="Intan Jaya"/>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80"/>
    <s v="Tuntas"/>
    <s v="Prakarya dan Kewirausahaan"/>
    <x v="4"/>
    <x v="12"/>
    <n v="80"/>
    <x v="2"/>
    <n v="11"/>
    <x v="0"/>
    <x v="2"/>
    <x v="1"/>
  </r>
  <r>
    <n v="1383"/>
    <s v="242510002"/>
    <x v="0"/>
    <x v="3"/>
    <s v="Intan Jaya"/>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80"/>
    <s v="Tuntas"/>
    <s v="Prakarya dan Kewirausahaan"/>
    <x v="4"/>
    <x v="12"/>
    <n v="80"/>
    <x v="2"/>
    <n v="11"/>
    <x v="0"/>
    <x v="5"/>
    <x v="1"/>
  </r>
  <r>
    <n v="1384"/>
    <s v="242510009"/>
    <x v="0"/>
    <x v="10"/>
    <s v="Nabire"/>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65"/>
    <s v="Tuntas"/>
    <s v="Prakarya dan Kewirausahaan"/>
    <x v="4"/>
    <x v="12"/>
    <n v="65"/>
    <x v="1"/>
    <n v="11"/>
    <x v="0"/>
    <x v="7"/>
    <x v="5"/>
  </r>
  <r>
    <n v="1385"/>
    <s v="242510009"/>
    <x v="0"/>
    <x v="10"/>
    <s v="Nabire"/>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70"/>
    <s v="Tuntas"/>
    <s v="Prakarya dan Kewirausahaan"/>
    <x v="4"/>
    <x v="12"/>
    <n v="70"/>
    <x v="1"/>
    <n v="11"/>
    <x v="0"/>
    <x v="2"/>
    <x v="5"/>
  </r>
  <r>
    <n v="1386"/>
    <s v="242510009"/>
    <x v="0"/>
    <x v="10"/>
    <s v="Nabire"/>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75"/>
    <s v="Tuntas"/>
    <s v="Prakarya dan Kewirausahaan"/>
    <x v="4"/>
    <x v="12"/>
    <n v="75"/>
    <x v="1"/>
    <n v="11"/>
    <x v="0"/>
    <x v="5"/>
    <x v="5"/>
  </r>
  <r>
    <n v="1387"/>
    <s v="242510012"/>
    <x v="0"/>
    <x v="11"/>
    <s v="Intan Jaya"/>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65"/>
    <s v="Tuntas"/>
    <s v="Prakarya dan Kewirausahaan"/>
    <x v="4"/>
    <x v="12"/>
    <n v="65"/>
    <x v="1"/>
    <n v="11"/>
    <x v="0"/>
    <x v="7"/>
    <x v="2"/>
  </r>
  <r>
    <n v="1388"/>
    <s v="242510012"/>
    <x v="0"/>
    <x v="11"/>
    <s v="Intan Jaya"/>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70"/>
    <s v="Tuntas"/>
    <s v="Prakarya dan Kewirausahaan"/>
    <x v="4"/>
    <x v="12"/>
    <n v="70"/>
    <x v="1"/>
    <n v="11"/>
    <x v="0"/>
    <x v="2"/>
    <x v="2"/>
  </r>
  <r>
    <n v="1389"/>
    <s v="242510012"/>
    <x v="0"/>
    <x v="11"/>
    <s v="Intan Jaya"/>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75"/>
    <s v="Tuntas"/>
    <s v="Prakarya dan Kewirausahaan"/>
    <x v="4"/>
    <x v="12"/>
    <n v="75"/>
    <x v="1"/>
    <n v="11"/>
    <x v="0"/>
    <x v="5"/>
    <x v="2"/>
  </r>
  <r>
    <n v="1390"/>
    <s v="242510001"/>
    <x v="0"/>
    <x v="4"/>
    <s v="Intan Jaya"/>
    <d v="2026-01-13T00:00:00"/>
    <s v="13"/>
    <x v="0"/>
    <s v="26"/>
    <x v="1"/>
    <x v="9"/>
    <x v="0"/>
    <s v="Real"/>
    <s v="Entrepreneur"/>
    <s v="Product development"/>
    <x v="0"/>
    <x v="0"/>
    <x v="0"/>
    <s v="F11.04.01"/>
    <n v="4"/>
    <s v="mengelola aktivitas produksi makanan olahan singkong mulai dari perencanaan, proses pembuatan, hingga menghasilkan produk olahan singkong yang siap dipasarkan"/>
    <s v="04.01"/>
    <x v="24"/>
    <s v="K11"/>
    <s v="F"/>
    <n v="65"/>
    <n v="90"/>
    <s v="Tuntas"/>
    <s v="Prakarya dan Kewirausahaan"/>
    <x v="0"/>
    <x v="12"/>
    <n v="90"/>
    <x v="2"/>
    <n v="11"/>
    <x v="0"/>
    <x v="1"/>
    <x v="2"/>
  </r>
  <r>
    <n v="1391"/>
    <s v="242510001"/>
    <x v="0"/>
    <x v="4"/>
    <s v="Intan Jaya"/>
    <d v="2026-01-14T00:00:00"/>
    <s v="14"/>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90"/>
    <s v="Tuntas"/>
    <s v="Prakarya dan Kewirausahaan"/>
    <x v="0"/>
    <x v="12"/>
    <n v="90"/>
    <x v="2"/>
    <n v="11"/>
    <x v="0"/>
    <x v="1"/>
    <x v="2"/>
  </r>
  <r>
    <n v="1392"/>
    <s v="242510001"/>
    <x v="0"/>
    <x v="4"/>
    <s v="Intan Jaya"/>
    <d v="2026-01-15T00:00:00"/>
    <s v="15"/>
    <x v="0"/>
    <s v="26"/>
    <x v="0"/>
    <x v="0"/>
    <x v="11"/>
    <s v="Real"/>
    <s v="Entrepreneur"/>
    <s v="Product development"/>
    <x v="0"/>
    <x v="0"/>
    <x v="0"/>
    <s v="F11.04.01"/>
    <n v="4"/>
    <s v="mengelola aktivitas produksi makanan olahan singkong mulai dari perencanaan, proses pembuatan, hingga menghasilkan produk olahan singkong yang siap dipasarkan"/>
    <s v="04.01"/>
    <x v="24"/>
    <s v="K11"/>
    <s v="F"/>
    <n v="65"/>
    <n v="85"/>
    <s v="Tuntas"/>
    <s v="Prakarya dan Kewirausahaan"/>
    <x v="0"/>
    <x v="12"/>
    <n v="85"/>
    <x v="2"/>
    <n v="11"/>
    <x v="0"/>
    <x v="1"/>
    <x v="2"/>
  </r>
  <r>
    <n v="1393"/>
    <s v="242510001"/>
    <x v="0"/>
    <x v="4"/>
    <s v="Intan Jaya"/>
    <d v="2026-01-20T00:00:00"/>
    <s v="20"/>
    <x v="0"/>
    <s v="26"/>
    <x v="3"/>
    <x v="15"/>
    <x v="18"/>
    <s v="Real"/>
    <s v="Entrepreneur"/>
    <s v="Product development"/>
    <x v="0"/>
    <x v="0"/>
    <x v="0"/>
    <s v="F11.04.01"/>
    <n v="4"/>
    <s v="mengelola aktivitas produksi makanan olahan singkong mulai dari perencanaan, proses pembuatan, hingga menghasilkan produk olahan singkong yang siap dipasarkan"/>
    <s v="04.01"/>
    <x v="24"/>
    <s v="K11"/>
    <s v="F"/>
    <n v="65"/>
    <n v="100"/>
    <s v="Tuntas"/>
    <s v="Prakarya dan Kewirausahaan"/>
    <x v="0"/>
    <x v="12"/>
    <n v="100"/>
    <x v="4"/>
    <n v="11"/>
    <x v="4"/>
    <x v="2"/>
    <x v="2"/>
  </r>
  <r>
    <n v="1394"/>
    <s v="242510001"/>
    <x v="0"/>
    <x v="4"/>
    <s v="Intan Jaya"/>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3"/>
    <x v="2"/>
  </r>
  <r>
    <n v="1395"/>
    <s v="242510001"/>
    <x v="0"/>
    <x v="4"/>
    <s v="Intan Jaya"/>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2"/>
  </r>
  <r>
    <n v="1396"/>
    <s v="242510001"/>
    <x v="0"/>
    <x v="4"/>
    <s v="Intan Jaya"/>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2"/>
  </r>
  <r>
    <n v="1397"/>
    <s v="242510001"/>
    <x v="0"/>
    <x v="4"/>
    <s v="Intan Jaya"/>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2"/>
  </r>
  <r>
    <n v="1398"/>
    <s v="242510001"/>
    <x v="0"/>
    <x v="4"/>
    <s v="Intan Jaya"/>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2"/>
  </r>
  <r>
    <n v="1399"/>
    <s v="242510001"/>
    <x v="0"/>
    <x v="4"/>
    <s v="Intan Jaya"/>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2"/>
  </r>
  <r>
    <n v="1400"/>
    <s v="242510001"/>
    <x v="0"/>
    <x v="4"/>
    <s v="Intan Jaya"/>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2"/>
  </r>
  <r>
    <n v="1401"/>
    <s v="242510001"/>
    <x v="0"/>
    <x v="4"/>
    <s v="Intan Jaya"/>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6"/>
    <x v="2"/>
  </r>
  <r>
    <n v="1402"/>
    <s v="242510001"/>
    <x v="0"/>
    <x v="4"/>
    <s v="Intan Jaya"/>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8"/>
    <x v="2"/>
  </r>
  <r>
    <n v="1403"/>
    <s v="242510001"/>
    <x v="0"/>
    <x v="4"/>
    <s v="Intan Jaya"/>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8"/>
    <x v="2"/>
  </r>
  <r>
    <n v="1404"/>
    <s v="242510007"/>
    <x v="0"/>
    <x v="5"/>
    <s v="Intan Jaya"/>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3"/>
    <x v="3"/>
  </r>
  <r>
    <n v="1405"/>
    <s v="242510007"/>
    <x v="0"/>
    <x v="5"/>
    <s v="Intan Jaya"/>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3"/>
  </r>
  <r>
    <n v="1406"/>
    <s v="242510007"/>
    <x v="0"/>
    <x v="5"/>
    <s v="Intan Jaya"/>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3"/>
  </r>
  <r>
    <n v="1407"/>
    <s v="242510007"/>
    <x v="0"/>
    <x v="5"/>
    <s v="Intan Jaya"/>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3"/>
  </r>
  <r>
    <n v="1408"/>
    <s v="242510007"/>
    <x v="0"/>
    <x v="5"/>
    <s v="Intan Jaya"/>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3"/>
  </r>
  <r>
    <n v="1409"/>
    <s v="242510007"/>
    <x v="0"/>
    <x v="5"/>
    <s v="Intan Jaya"/>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3"/>
  </r>
  <r>
    <n v="1410"/>
    <s v="242510007"/>
    <x v="0"/>
    <x v="5"/>
    <s v="Intan Jaya"/>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3"/>
  </r>
  <r>
    <n v="1411"/>
    <s v="242510007"/>
    <x v="0"/>
    <x v="5"/>
    <s v="Intan Jaya"/>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6"/>
    <x v="3"/>
  </r>
  <r>
    <n v="1412"/>
    <s v="242510008"/>
    <x v="0"/>
    <x v="6"/>
    <s v="Dogiyai"/>
    <d v="2026-01-13T00:00:00"/>
    <s v="13"/>
    <x v="0"/>
    <s v="26"/>
    <x v="1"/>
    <x v="9"/>
    <x v="0"/>
    <s v="Real"/>
    <s v="Entrepreneur"/>
    <s v="Product development"/>
    <x v="0"/>
    <x v="0"/>
    <x v="0"/>
    <s v="F11.04.01"/>
    <n v="4"/>
    <s v="mengelola aktivitas produksi makanan olahan singkong mulai dari perencanaan, proses pembuatan, hingga menghasilkan produk olahan singkong yang siap dipasarkan"/>
    <s v="04.01"/>
    <x v="24"/>
    <s v="K11"/>
    <s v="F"/>
    <n v="65"/>
    <n v="90"/>
    <s v="Tuntas"/>
    <s v="Prakarya dan Kewirausahaan"/>
    <x v="0"/>
    <x v="12"/>
    <n v="90"/>
    <x v="2"/>
    <n v="11"/>
    <x v="0"/>
    <x v="1"/>
    <x v="4"/>
  </r>
  <r>
    <n v="1413"/>
    <s v="242510008"/>
    <x v="0"/>
    <x v="6"/>
    <s v="Dogiyai"/>
    <d v="2026-01-14T00:00:00"/>
    <s v="14"/>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90"/>
    <s v="Tuntas"/>
    <s v="Prakarya dan Kewirausahaan"/>
    <x v="0"/>
    <x v="12"/>
    <n v="90"/>
    <x v="2"/>
    <n v="11"/>
    <x v="0"/>
    <x v="1"/>
    <x v="4"/>
  </r>
  <r>
    <n v="1414"/>
    <s v="242510008"/>
    <x v="0"/>
    <x v="6"/>
    <s v="Dogiyai"/>
    <d v="2026-01-15T00:00:00"/>
    <s v="15"/>
    <x v="0"/>
    <s v="26"/>
    <x v="0"/>
    <x v="0"/>
    <x v="11"/>
    <s v="Real"/>
    <s v="Entrepreneur"/>
    <s v="Product development"/>
    <x v="0"/>
    <x v="0"/>
    <x v="0"/>
    <s v="F11.04.01"/>
    <n v="4"/>
    <s v="mengelola aktivitas produksi makanan olahan singkong mulai dari perencanaan, proses pembuatan, hingga menghasilkan produk olahan singkong yang siap dipasarkan"/>
    <s v="04.01"/>
    <x v="24"/>
    <s v="K11"/>
    <s v="F"/>
    <n v="65"/>
    <n v="85"/>
    <s v="Tuntas"/>
    <s v="Prakarya dan Kewirausahaan"/>
    <x v="0"/>
    <x v="12"/>
    <n v="85"/>
    <x v="2"/>
    <n v="11"/>
    <x v="0"/>
    <x v="1"/>
    <x v="4"/>
  </r>
  <r>
    <n v="1415"/>
    <s v="242510008"/>
    <x v="0"/>
    <x v="6"/>
    <s v="Dogiyai"/>
    <d v="2026-01-20T00:00:00"/>
    <s v="20"/>
    <x v="0"/>
    <s v="26"/>
    <x v="3"/>
    <x v="15"/>
    <x v="18"/>
    <s v="Real"/>
    <s v="Entrepreneur"/>
    <s v="Product development"/>
    <x v="0"/>
    <x v="0"/>
    <x v="0"/>
    <s v="F11.04.01"/>
    <n v="4"/>
    <s v="mengelola aktivitas produksi makanan olahan singkong mulai dari perencanaan, proses pembuatan, hingga menghasilkan produk olahan singkong yang siap dipasarkan"/>
    <s v="04.01"/>
    <x v="24"/>
    <s v="K11"/>
    <s v="F"/>
    <n v="65"/>
    <n v="100"/>
    <s v="Tuntas"/>
    <s v="Prakarya dan Kewirausahaan"/>
    <x v="0"/>
    <x v="12"/>
    <n v="100"/>
    <x v="4"/>
    <n v="11"/>
    <x v="4"/>
    <x v="2"/>
    <x v="4"/>
  </r>
  <r>
    <n v="1416"/>
    <s v="242510008"/>
    <x v="0"/>
    <x v="6"/>
    <s v="Dogiyai"/>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3"/>
    <x v="4"/>
  </r>
  <r>
    <n v="1417"/>
    <s v="242510008"/>
    <x v="0"/>
    <x v="6"/>
    <s v="Dogiyai"/>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4"/>
  </r>
  <r>
    <n v="1418"/>
    <s v="242510008"/>
    <x v="0"/>
    <x v="6"/>
    <s v="Dogiyai"/>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4"/>
  </r>
  <r>
    <n v="1419"/>
    <s v="242510008"/>
    <x v="0"/>
    <x v="6"/>
    <s v="Dogiyai"/>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4"/>
  </r>
  <r>
    <n v="1420"/>
    <s v="242510008"/>
    <x v="0"/>
    <x v="6"/>
    <s v="Dogiyai"/>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4"/>
  </r>
  <r>
    <n v="1421"/>
    <s v="242510008"/>
    <x v="0"/>
    <x v="6"/>
    <s v="Dogiyai"/>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4"/>
  </r>
  <r>
    <n v="1422"/>
    <s v="242510008"/>
    <x v="0"/>
    <x v="6"/>
    <s v="Dogiyai"/>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4"/>
  </r>
  <r>
    <n v="1423"/>
    <s v="242510008"/>
    <x v="0"/>
    <x v="6"/>
    <s v="Dogiyai"/>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6"/>
    <x v="4"/>
  </r>
  <r>
    <n v="1424"/>
    <s v="242510008"/>
    <x v="0"/>
    <x v="6"/>
    <s v="Dogiyai"/>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8"/>
    <x v="4"/>
  </r>
  <r>
    <n v="1425"/>
    <s v="242510008"/>
    <x v="0"/>
    <x v="6"/>
    <s v="Dogiyai"/>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8"/>
    <x v="4"/>
  </r>
  <r>
    <n v="1426"/>
    <s v="242510014"/>
    <x v="0"/>
    <x v="7"/>
    <s v="Inta jaya"/>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3"/>
    <x v="2"/>
  </r>
  <r>
    <n v="1427"/>
    <s v="242510014"/>
    <x v="0"/>
    <x v="7"/>
    <s v="Inta jaya"/>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2"/>
  </r>
  <r>
    <n v="1428"/>
    <s v="242510014"/>
    <x v="0"/>
    <x v="7"/>
    <s v="Inta jaya"/>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2"/>
  </r>
  <r>
    <n v="1429"/>
    <s v="242510014"/>
    <x v="0"/>
    <x v="7"/>
    <s v="Inta jaya"/>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2"/>
  </r>
  <r>
    <n v="1430"/>
    <s v="242510014"/>
    <x v="0"/>
    <x v="7"/>
    <s v="Inta jaya"/>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2"/>
  </r>
  <r>
    <n v="1431"/>
    <s v="242510014"/>
    <x v="0"/>
    <x v="7"/>
    <s v="Inta jaya"/>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2"/>
  </r>
  <r>
    <n v="1432"/>
    <s v="242510014"/>
    <x v="0"/>
    <x v="7"/>
    <s v="Inta jaya"/>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2"/>
  </r>
  <r>
    <n v="1433"/>
    <s v="242510014"/>
    <x v="0"/>
    <x v="7"/>
    <s v="Inta jaya"/>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6"/>
    <x v="2"/>
  </r>
  <r>
    <n v="1434"/>
    <s v="242510014"/>
    <x v="0"/>
    <x v="7"/>
    <s v="Inta jaya"/>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8"/>
    <x v="2"/>
  </r>
  <r>
    <n v="1435"/>
    <s v="242510014"/>
    <x v="0"/>
    <x v="7"/>
    <s v="Inta jaya"/>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8"/>
    <x v="2"/>
  </r>
  <r>
    <n v="1436"/>
    <s v="242510004"/>
    <x v="0"/>
    <x v="8"/>
    <s v="Inta jaya"/>
    <d v="2026-01-13T00:00:00"/>
    <s v="13"/>
    <x v="0"/>
    <s v="26"/>
    <x v="1"/>
    <x v="9"/>
    <x v="0"/>
    <s v="Real"/>
    <s v="Entrepreneur"/>
    <s v="Product development"/>
    <x v="0"/>
    <x v="0"/>
    <x v="0"/>
    <s v="F11.04.01"/>
    <n v="4"/>
    <s v="mengelola aktivitas produksi makanan olahan singkong mulai dari perencanaan, proses pembuatan, hingga menghasilkan produk olahan singkong yang siap dipasarkan"/>
    <s v="04.01"/>
    <x v="24"/>
    <s v="K11"/>
    <s v="F"/>
    <n v="65"/>
    <n v="90"/>
    <s v="Tuntas"/>
    <s v="Prakarya dan Kewirausahaan"/>
    <x v="0"/>
    <x v="12"/>
    <n v="90"/>
    <x v="2"/>
    <n v="11"/>
    <x v="0"/>
    <x v="1"/>
    <x v="4"/>
  </r>
  <r>
    <n v="1437"/>
    <s v="242510004"/>
    <x v="0"/>
    <x v="8"/>
    <s v="Inta jaya"/>
    <d v="2026-01-14T00:00:00"/>
    <s v="14"/>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90"/>
    <s v="Tuntas"/>
    <s v="Prakarya dan Kewirausahaan"/>
    <x v="0"/>
    <x v="12"/>
    <n v="90"/>
    <x v="2"/>
    <n v="11"/>
    <x v="0"/>
    <x v="1"/>
    <x v="4"/>
  </r>
  <r>
    <n v="1438"/>
    <s v="242510004"/>
    <x v="0"/>
    <x v="8"/>
    <s v="Inta jaya"/>
    <d v="2026-01-15T00:00:00"/>
    <s v="15"/>
    <x v="0"/>
    <s v="26"/>
    <x v="0"/>
    <x v="0"/>
    <x v="11"/>
    <s v="Real"/>
    <s v="Entrepreneur"/>
    <s v="Product development"/>
    <x v="0"/>
    <x v="0"/>
    <x v="0"/>
    <s v="F11.04.01"/>
    <n v="4"/>
    <s v="mengelola aktivitas produksi makanan olahan singkong mulai dari perencanaan, proses pembuatan, hingga menghasilkan produk olahan singkong yang siap dipasarkan"/>
    <s v="04.01"/>
    <x v="24"/>
    <s v="K11"/>
    <s v="F"/>
    <n v="65"/>
    <n v="85"/>
    <s v="Tuntas"/>
    <s v="Prakarya dan Kewirausahaan"/>
    <x v="0"/>
    <x v="12"/>
    <n v="85"/>
    <x v="2"/>
    <n v="11"/>
    <x v="0"/>
    <x v="1"/>
    <x v="4"/>
  </r>
  <r>
    <n v="1439"/>
    <s v="242510004"/>
    <x v="0"/>
    <x v="8"/>
    <s v="Inta jaya"/>
    <d v="2026-01-20T00:00:00"/>
    <s v="20"/>
    <x v="0"/>
    <s v="26"/>
    <x v="3"/>
    <x v="15"/>
    <x v="18"/>
    <s v="Real"/>
    <s v="Entrepreneur"/>
    <s v="Product development"/>
    <x v="0"/>
    <x v="0"/>
    <x v="0"/>
    <s v="F11.04.01"/>
    <n v="4"/>
    <s v="mengelola aktivitas produksi makanan olahan singkong mulai dari perencanaan, proses pembuatan, hingga menghasilkan produk olahan singkong yang siap dipasarkan"/>
    <s v="04.01"/>
    <x v="24"/>
    <s v="K11"/>
    <s v="F"/>
    <n v="65"/>
    <n v="100"/>
    <s v="Tuntas"/>
    <s v="Prakarya dan Kewirausahaan"/>
    <x v="0"/>
    <x v="12"/>
    <n v="100"/>
    <x v="4"/>
    <n v="11"/>
    <x v="4"/>
    <x v="2"/>
    <x v="4"/>
  </r>
  <r>
    <n v="1440"/>
    <s v="242510004"/>
    <x v="0"/>
    <x v="8"/>
    <s v="Inta jaya"/>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3"/>
    <x v="4"/>
  </r>
  <r>
    <n v="1441"/>
    <s v="242510004"/>
    <x v="0"/>
    <x v="8"/>
    <s v="Inta jaya"/>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4"/>
  </r>
  <r>
    <n v="1442"/>
    <s v="242510004"/>
    <x v="0"/>
    <x v="8"/>
    <s v="Inta jaya"/>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4"/>
  </r>
  <r>
    <n v="1443"/>
    <s v="242510004"/>
    <x v="0"/>
    <x v="8"/>
    <s v="Inta jaya"/>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4"/>
  </r>
  <r>
    <n v="1444"/>
    <s v="242510004"/>
    <x v="0"/>
    <x v="8"/>
    <s v="Inta jaya"/>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4"/>
  </r>
  <r>
    <n v="1445"/>
    <s v="242510004"/>
    <x v="0"/>
    <x v="8"/>
    <s v="Inta jaya"/>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4"/>
  </r>
  <r>
    <n v="1446"/>
    <s v="242510004"/>
    <x v="0"/>
    <x v="8"/>
    <s v="Inta jaya"/>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4"/>
  </r>
  <r>
    <n v="1447"/>
    <s v="242510004"/>
    <x v="0"/>
    <x v="8"/>
    <s v="Inta jaya"/>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6"/>
    <x v="4"/>
  </r>
  <r>
    <n v="1448"/>
    <s v="242510004"/>
    <x v="0"/>
    <x v="8"/>
    <s v="Inta jaya"/>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8"/>
    <x v="4"/>
  </r>
  <r>
    <n v="1449"/>
    <s v="242510004"/>
    <x v="0"/>
    <x v="8"/>
    <s v="Inta jaya"/>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8"/>
    <x v="4"/>
  </r>
  <r>
    <n v="1450"/>
    <s v="242510006"/>
    <x v="0"/>
    <x v="9"/>
    <s v="Nabire"/>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3"/>
    <x v="2"/>
  </r>
  <r>
    <n v="1451"/>
    <s v="242510006"/>
    <x v="0"/>
    <x v="9"/>
    <s v="Nabire"/>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2"/>
  </r>
  <r>
    <n v="1452"/>
    <s v="242510006"/>
    <x v="0"/>
    <x v="9"/>
    <s v="Nabire"/>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2"/>
  </r>
  <r>
    <n v="1453"/>
    <s v="242510006"/>
    <x v="0"/>
    <x v="9"/>
    <s v="Nabire"/>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4"/>
    <x v="2"/>
  </r>
  <r>
    <n v="1454"/>
    <s v="242510006"/>
    <x v="0"/>
    <x v="9"/>
    <s v="Nabire"/>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2"/>
  </r>
  <r>
    <n v="1455"/>
    <s v="242510006"/>
    <x v="0"/>
    <x v="9"/>
    <s v="Nabire"/>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2"/>
  </r>
  <r>
    <n v="1456"/>
    <s v="242510006"/>
    <x v="0"/>
    <x v="9"/>
    <s v="Nabire"/>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akarya dan Kewirausahaan"/>
    <x v="0"/>
    <x v="12"/>
    <n v="78"/>
    <x v="1"/>
    <n v="11"/>
    <x v="0"/>
    <x v="5"/>
    <x v="2"/>
  </r>
  <r>
    <n v="1457"/>
    <s v="242510006"/>
    <x v="0"/>
    <x v="9"/>
    <s v="Nabire"/>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6"/>
    <x v="2"/>
  </r>
  <r>
    <n v="1458"/>
    <s v="242510006"/>
    <x v="0"/>
    <x v="9"/>
    <s v="Nabire"/>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8"/>
    <x v="2"/>
  </r>
  <r>
    <n v="1459"/>
    <s v="242510006"/>
    <x v="0"/>
    <x v="9"/>
    <s v="Nabire"/>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akarya dan Kewirausahaan"/>
    <x v="0"/>
    <x v="12"/>
    <n v="80"/>
    <x v="2"/>
    <n v="11"/>
    <x v="0"/>
    <x v="8"/>
    <x v="2"/>
  </r>
  <r>
    <n v="1460"/>
    <s v="242510001"/>
    <x v="0"/>
    <x v="4"/>
    <s v="Intan Jaya"/>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0"/>
    <s v="Tidak tuntas"/>
    <s v="Proyek Kopi"/>
    <x v="4"/>
    <x v="0"/>
    <s v=""/>
    <x v="0"/>
    <s v=""/>
    <x v="0"/>
    <x v="0"/>
    <x v="0"/>
  </r>
  <r>
    <n v="1461"/>
    <s v="242510001"/>
    <x v="0"/>
    <x v="4"/>
    <s v="Intan Jaya"/>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0"/>
    <s v="Tidak tuntas"/>
    <s v="Proyek Kopi"/>
    <x v="4"/>
    <x v="0"/>
    <s v=""/>
    <x v="0"/>
    <s v=""/>
    <x v="0"/>
    <x v="0"/>
    <x v="0"/>
  </r>
  <r>
    <n v="1462"/>
    <s v="242510001"/>
    <x v="0"/>
    <x v="4"/>
    <s v="Intan Jaya"/>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0"/>
    <s v="Tidak tuntas"/>
    <s v="Proyek Kopi"/>
    <x v="4"/>
    <x v="0"/>
    <s v=""/>
    <x v="0"/>
    <s v=""/>
    <x v="0"/>
    <x v="0"/>
    <x v="0"/>
  </r>
  <r>
    <n v="1463"/>
    <s v="242510007"/>
    <x v="0"/>
    <x v="5"/>
    <s v="Intan Jaya"/>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0"/>
    <s v="Tidak tuntas"/>
    <s v="Proyek Kopi"/>
    <x v="4"/>
    <x v="0"/>
    <s v=""/>
    <x v="0"/>
    <s v=""/>
    <x v="0"/>
    <x v="0"/>
    <x v="0"/>
  </r>
  <r>
    <n v="1464"/>
    <s v="242510007"/>
    <x v="0"/>
    <x v="5"/>
    <s v="Intan Jaya"/>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0"/>
    <s v="Tidak tuntas"/>
    <s v="Proyek Kopi"/>
    <x v="4"/>
    <x v="0"/>
    <s v=""/>
    <x v="0"/>
    <s v=""/>
    <x v="0"/>
    <x v="0"/>
    <x v="0"/>
  </r>
  <r>
    <n v="1465"/>
    <s v="242510007"/>
    <x v="0"/>
    <x v="5"/>
    <s v="Intan Jaya"/>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0"/>
    <s v="Tidak tuntas"/>
    <s v="Proyek Kopi"/>
    <x v="4"/>
    <x v="0"/>
    <s v=""/>
    <x v="0"/>
    <s v=""/>
    <x v="0"/>
    <x v="0"/>
    <x v="0"/>
  </r>
  <r>
    <n v="1466"/>
    <s v="242510008"/>
    <x v="0"/>
    <x v="6"/>
    <s v="Dogiyai"/>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0"/>
    <s v="Tidak tuntas"/>
    <s v="Proyek Kopi"/>
    <x v="4"/>
    <x v="0"/>
    <s v=""/>
    <x v="0"/>
    <s v=""/>
    <x v="0"/>
    <x v="0"/>
    <x v="0"/>
  </r>
  <r>
    <n v="1467"/>
    <s v="242510008"/>
    <x v="0"/>
    <x v="6"/>
    <s v="Dogiyai"/>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0"/>
    <s v="Tidak tuntas"/>
    <s v="Proyek Kopi"/>
    <x v="4"/>
    <x v="0"/>
    <s v=""/>
    <x v="0"/>
    <s v=""/>
    <x v="0"/>
    <x v="0"/>
    <x v="0"/>
  </r>
  <r>
    <n v="1468"/>
    <s v="242510008"/>
    <x v="0"/>
    <x v="6"/>
    <s v="Dogiyai"/>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0"/>
    <s v="Tidak tuntas"/>
    <s v="Proyek Kopi"/>
    <x v="4"/>
    <x v="0"/>
    <s v=""/>
    <x v="0"/>
    <s v=""/>
    <x v="0"/>
    <x v="0"/>
    <x v="0"/>
  </r>
  <r>
    <n v="1469"/>
    <s v="242510013"/>
    <x v="0"/>
    <x v="0"/>
    <s v="Intan Jaya"/>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65"/>
    <s v="Tuntas"/>
    <s v="Proyek Kopi"/>
    <x v="4"/>
    <x v="13"/>
    <n v="65"/>
    <x v="1"/>
    <n v="11"/>
    <x v="0"/>
    <x v="7"/>
    <x v="6"/>
  </r>
  <r>
    <n v="1470"/>
    <s v="242510013"/>
    <x v="0"/>
    <x v="0"/>
    <s v="Intan Jaya"/>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74"/>
    <s v="Tuntas"/>
    <s v="Proyek Kopi"/>
    <x v="4"/>
    <x v="13"/>
    <n v="74"/>
    <x v="1"/>
    <n v="11"/>
    <x v="0"/>
    <x v="2"/>
    <x v="6"/>
  </r>
  <r>
    <n v="1471"/>
    <s v="242510013"/>
    <x v="0"/>
    <x v="0"/>
    <s v="Intan Jaya"/>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0"/>
    <s v="Tidak tuntas"/>
    <s v="Proyek Kopi"/>
    <x v="4"/>
    <x v="0"/>
    <s v=""/>
    <x v="0"/>
    <s v=""/>
    <x v="0"/>
    <x v="0"/>
    <x v="0"/>
  </r>
  <r>
    <n v="1472"/>
    <s v="242510014"/>
    <x v="0"/>
    <x v="7"/>
    <s v="Inta jaya"/>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0"/>
    <s v="Tidak tuntas"/>
    <s v="Proyek Kopi"/>
    <x v="4"/>
    <x v="0"/>
    <s v=""/>
    <x v="0"/>
    <s v=""/>
    <x v="0"/>
    <x v="0"/>
    <x v="0"/>
  </r>
  <r>
    <n v="1473"/>
    <s v="242510014"/>
    <x v="0"/>
    <x v="7"/>
    <s v="Inta jaya"/>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0"/>
    <s v="Tidak tuntas"/>
    <s v="Proyek Kopi"/>
    <x v="4"/>
    <x v="0"/>
    <s v=""/>
    <x v="0"/>
    <s v=""/>
    <x v="0"/>
    <x v="0"/>
    <x v="0"/>
  </r>
  <r>
    <n v="1474"/>
    <s v="242510014"/>
    <x v="0"/>
    <x v="7"/>
    <s v="Inta jaya"/>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0"/>
    <s v="Tidak tuntas"/>
    <s v="Proyek Kopi"/>
    <x v="4"/>
    <x v="0"/>
    <s v=""/>
    <x v="0"/>
    <s v=""/>
    <x v="0"/>
    <x v="0"/>
    <x v="0"/>
  </r>
  <r>
    <n v="1475"/>
    <s v="242510011"/>
    <x v="0"/>
    <x v="1"/>
    <s v="Intan Jaya"/>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65"/>
    <s v="Tuntas"/>
    <s v="Proyek Kopi"/>
    <x v="4"/>
    <x v="13"/>
    <n v="65"/>
    <x v="1"/>
    <n v="11"/>
    <x v="0"/>
    <x v="7"/>
    <x v="1"/>
  </r>
  <r>
    <n v="1476"/>
    <s v="242510011"/>
    <x v="0"/>
    <x v="1"/>
    <s v="Intan Jaya"/>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80"/>
    <s v="Tuntas"/>
    <s v="Proyek Kopi"/>
    <x v="4"/>
    <x v="13"/>
    <n v="80"/>
    <x v="2"/>
    <n v="11"/>
    <x v="0"/>
    <x v="2"/>
    <x v="1"/>
  </r>
  <r>
    <n v="1477"/>
    <s v="242510011"/>
    <x v="0"/>
    <x v="1"/>
    <s v="Intan Jaya"/>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80"/>
    <s v="Tuntas"/>
    <s v="Proyek Kopi"/>
    <x v="4"/>
    <x v="13"/>
    <n v="80"/>
    <x v="2"/>
    <n v="11"/>
    <x v="0"/>
    <x v="5"/>
    <x v="1"/>
  </r>
  <r>
    <n v="1478"/>
    <s v="242510004"/>
    <x v="0"/>
    <x v="8"/>
    <s v="Inta jaya"/>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0"/>
    <s v="Tidak tuntas"/>
    <s v="Proyek Kopi"/>
    <x v="4"/>
    <x v="0"/>
    <s v=""/>
    <x v="0"/>
    <s v=""/>
    <x v="0"/>
    <x v="0"/>
    <x v="0"/>
  </r>
  <r>
    <n v="1479"/>
    <s v="242510004"/>
    <x v="0"/>
    <x v="8"/>
    <s v="Inta jaya"/>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0"/>
    <s v="Tidak tuntas"/>
    <s v="Proyek Kopi"/>
    <x v="4"/>
    <x v="0"/>
    <s v=""/>
    <x v="0"/>
    <s v=""/>
    <x v="0"/>
    <x v="0"/>
    <x v="0"/>
  </r>
  <r>
    <n v="1480"/>
    <s v="242510004"/>
    <x v="0"/>
    <x v="8"/>
    <s v="Inta jaya"/>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0"/>
    <s v="Tidak tuntas"/>
    <s v="Proyek Kopi"/>
    <x v="4"/>
    <x v="0"/>
    <s v=""/>
    <x v="0"/>
    <s v=""/>
    <x v="0"/>
    <x v="0"/>
    <x v="0"/>
  </r>
  <r>
    <n v="1481"/>
    <s v="242510010"/>
    <x v="0"/>
    <x v="2"/>
    <s v="Intan Jaya"/>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80"/>
    <s v="Tuntas"/>
    <s v="Proyek Kopi"/>
    <x v="4"/>
    <x v="13"/>
    <n v="80"/>
    <x v="2"/>
    <n v="11"/>
    <x v="0"/>
    <x v="7"/>
    <x v="2"/>
  </r>
  <r>
    <n v="1482"/>
    <s v="242510010"/>
    <x v="0"/>
    <x v="2"/>
    <s v="Intan Jaya"/>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70"/>
    <s v="Tuntas"/>
    <s v="Proyek Kopi"/>
    <x v="4"/>
    <x v="13"/>
    <n v="70"/>
    <x v="1"/>
    <n v="11"/>
    <x v="0"/>
    <x v="2"/>
    <x v="2"/>
  </r>
  <r>
    <n v="1483"/>
    <s v="242510010"/>
    <x v="0"/>
    <x v="2"/>
    <s v="Intan Jaya"/>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80"/>
    <s v="Tuntas"/>
    <s v="Proyek Kopi"/>
    <x v="4"/>
    <x v="13"/>
    <n v="80"/>
    <x v="2"/>
    <n v="11"/>
    <x v="0"/>
    <x v="5"/>
    <x v="2"/>
  </r>
  <r>
    <n v="1484"/>
    <s v="242510002"/>
    <x v="0"/>
    <x v="3"/>
    <s v="Intan Jaya"/>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65"/>
    <s v="Tuntas"/>
    <s v="Proyek Kopi"/>
    <x v="4"/>
    <x v="13"/>
    <n v="65"/>
    <x v="1"/>
    <n v="11"/>
    <x v="0"/>
    <x v="7"/>
    <x v="1"/>
  </r>
  <r>
    <n v="1485"/>
    <s v="242510002"/>
    <x v="0"/>
    <x v="3"/>
    <s v="Intan Jaya"/>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80"/>
    <s v="Tuntas"/>
    <s v="Proyek Kopi"/>
    <x v="4"/>
    <x v="13"/>
    <n v="80"/>
    <x v="2"/>
    <n v="11"/>
    <x v="0"/>
    <x v="2"/>
    <x v="1"/>
  </r>
  <r>
    <n v="1486"/>
    <s v="242510002"/>
    <x v="0"/>
    <x v="3"/>
    <s v="Intan Jaya"/>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80"/>
    <s v="Tuntas"/>
    <s v="Proyek Kopi"/>
    <x v="4"/>
    <x v="13"/>
    <n v="80"/>
    <x v="2"/>
    <n v="11"/>
    <x v="0"/>
    <x v="5"/>
    <x v="1"/>
  </r>
  <r>
    <n v="1487"/>
    <s v="242510006"/>
    <x v="0"/>
    <x v="9"/>
    <s v="Nabire"/>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0"/>
    <s v="Tidak tuntas"/>
    <s v="Proyek Kopi"/>
    <x v="4"/>
    <x v="0"/>
    <s v=""/>
    <x v="0"/>
    <s v=""/>
    <x v="0"/>
    <x v="0"/>
    <x v="0"/>
  </r>
  <r>
    <n v="1488"/>
    <s v="242510006"/>
    <x v="0"/>
    <x v="9"/>
    <s v="Nabire"/>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0"/>
    <s v="Tidak tuntas"/>
    <s v="Proyek Kopi"/>
    <x v="4"/>
    <x v="0"/>
    <s v=""/>
    <x v="0"/>
    <s v=""/>
    <x v="0"/>
    <x v="0"/>
    <x v="0"/>
  </r>
  <r>
    <n v="1489"/>
    <s v="242510006"/>
    <x v="0"/>
    <x v="9"/>
    <s v="Nabire"/>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0"/>
    <s v="Tidak tuntas"/>
    <s v="Proyek Kopi"/>
    <x v="4"/>
    <x v="0"/>
    <s v=""/>
    <x v="0"/>
    <s v=""/>
    <x v="0"/>
    <x v="0"/>
    <x v="0"/>
  </r>
  <r>
    <n v="1490"/>
    <s v="242510009"/>
    <x v="0"/>
    <x v="10"/>
    <s v="Nabire"/>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65"/>
    <s v="Tuntas"/>
    <s v="Proyek Kopi"/>
    <x v="4"/>
    <x v="13"/>
    <n v="65"/>
    <x v="1"/>
    <n v="11"/>
    <x v="0"/>
    <x v="7"/>
    <x v="5"/>
  </r>
  <r>
    <n v="1491"/>
    <s v="242510009"/>
    <x v="0"/>
    <x v="10"/>
    <s v="Nabire"/>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70"/>
    <s v="Tuntas"/>
    <s v="Proyek Kopi"/>
    <x v="4"/>
    <x v="13"/>
    <n v="70"/>
    <x v="1"/>
    <n v="11"/>
    <x v="0"/>
    <x v="2"/>
    <x v="5"/>
  </r>
  <r>
    <n v="1492"/>
    <s v="242510009"/>
    <x v="0"/>
    <x v="10"/>
    <s v="Nabire"/>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75"/>
    <s v="Tuntas"/>
    <s v="Proyek Kopi"/>
    <x v="4"/>
    <x v="13"/>
    <n v="75"/>
    <x v="1"/>
    <n v="11"/>
    <x v="0"/>
    <x v="5"/>
    <x v="5"/>
  </r>
  <r>
    <n v="1493"/>
    <s v="242510012"/>
    <x v="0"/>
    <x v="11"/>
    <s v="Intan Jaya"/>
    <d v="2026-01-06T00:00:00"/>
    <s v="06"/>
    <x v="0"/>
    <s v="26"/>
    <x v="1"/>
    <x v="7"/>
    <x v="9"/>
    <s v="Real"/>
    <s v="Entrepreneur"/>
    <s v="Product development"/>
    <x v="0"/>
    <x v="0"/>
    <x v="1"/>
    <s v="F11.02.01"/>
    <n v="2"/>
    <s v="mengidentifikasi dan menjelaskan spesifikasi produk kopi, termasuk jenis, cita rasa, aroma, bentuk kemasan, dan standar mutu yang sesuai dengan kebutuhan pasar lokal maupun nasional"/>
    <s v="02.01"/>
    <x v="22"/>
    <s v="K11"/>
    <s v="F"/>
    <n v="65"/>
    <n v="65"/>
    <s v="Tuntas"/>
    <s v="Proyek Kopi"/>
    <x v="4"/>
    <x v="13"/>
    <n v="65"/>
    <x v="1"/>
    <n v="11"/>
    <x v="0"/>
    <x v="7"/>
    <x v="2"/>
  </r>
  <r>
    <n v="1494"/>
    <s v="242510012"/>
    <x v="0"/>
    <x v="11"/>
    <s v="Intan Jaya"/>
    <d v="2026-01-20T00:00:00"/>
    <s v="20"/>
    <x v="0"/>
    <s v="26"/>
    <x v="1"/>
    <x v="14"/>
    <x v="0"/>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70"/>
    <s v="Tuntas"/>
    <s v="Proyek Kopi"/>
    <x v="4"/>
    <x v="13"/>
    <n v="70"/>
    <x v="1"/>
    <n v="11"/>
    <x v="0"/>
    <x v="2"/>
    <x v="2"/>
  </r>
  <r>
    <n v="1495"/>
    <s v="242510012"/>
    <x v="0"/>
    <x v="11"/>
    <s v="Intan Jaya"/>
    <d v="2026-02-10T00:00:00"/>
    <s v="10"/>
    <x v="1"/>
    <s v="26"/>
    <x v="1"/>
    <x v="7"/>
    <x v="11"/>
    <s v="Real"/>
    <s v="Entrepreneur"/>
    <s v="Product development"/>
    <x v="0"/>
    <x v="0"/>
    <x v="0"/>
    <s v="F11.01.01"/>
    <n v="1"/>
    <s v="mengidentifikasi dan memetakan berbagai produk dan olahan dari bahan baku kopi dari Papua, serta menjelaskan proses transformasinya dari bahan mentah menjadi produk jadi"/>
    <s v="01.01"/>
    <x v="23"/>
    <s v="K11"/>
    <s v="F"/>
    <n v="65"/>
    <n v="75"/>
    <s v="Tuntas"/>
    <s v="Proyek Kopi"/>
    <x v="4"/>
    <x v="13"/>
    <n v="75"/>
    <x v="1"/>
    <n v="11"/>
    <x v="0"/>
    <x v="5"/>
    <x v="2"/>
  </r>
  <r>
    <n v="1496"/>
    <s v="242510001"/>
    <x v="0"/>
    <x v="4"/>
    <s v="Intan Jaya"/>
    <d v="2026-01-13T00:00:00"/>
    <s v="13"/>
    <x v="0"/>
    <s v="26"/>
    <x v="1"/>
    <x v="9"/>
    <x v="0"/>
    <s v="Real"/>
    <s v="Entrepreneur"/>
    <s v="Product development"/>
    <x v="0"/>
    <x v="0"/>
    <x v="0"/>
    <s v="F11.04.01"/>
    <n v="4"/>
    <s v="mengelola aktivitas produksi makanan olahan singkong mulai dari perencanaan, proses pembuatan, hingga menghasilkan produk olahan singkong yang siap dipasarkan"/>
    <s v="04.01"/>
    <x v="24"/>
    <s v="K11"/>
    <s v="F"/>
    <n v="65"/>
    <n v="90"/>
    <s v="Tuntas"/>
    <s v="Proyek Tepung"/>
    <x v="0"/>
    <x v="14"/>
    <n v="90"/>
    <x v="2"/>
    <n v="11"/>
    <x v="0"/>
    <x v="1"/>
    <x v="2"/>
  </r>
  <r>
    <n v="1497"/>
    <s v="242510001"/>
    <x v="0"/>
    <x v="4"/>
    <s v="Intan Jaya"/>
    <d v="2026-01-14T00:00:00"/>
    <s v="14"/>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90"/>
    <s v="Tuntas"/>
    <s v="Proyek Tepung"/>
    <x v="0"/>
    <x v="14"/>
    <n v="90"/>
    <x v="2"/>
    <n v="11"/>
    <x v="0"/>
    <x v="1"/>
    <x v="2"/>
  </r>
  <r>
    <n v="1498"/>
    <s v="242510001"/>
    <x v="0"/>
    <x v="4"/>
    <s v="Intan Jaya"/>
    <d v="2026-01-15T00:00:00"/>
    <s v="15"/>
    <x v="0"/>
    <s v="26"/>
    <x v="0"/>
    <x v="0"/>
    <x v="11"/>
    <s v="Real"/>
    <s v="Entrepreneur"/>
    <s v="Product development"/>
    <x v="0"/>
    <x v="0"/>
    <x v="0"/>
    <s v="F11.04.01"/>
    <n v="4"/>
    <s v="mengelola aktivitas produksi makanan olahan singkong mulai dari perencanaan, proses pembuatan, hingga menghasilkan produk olahan singkong yang siap dipasarkan"/>
    <s v="04.01"/>
    <x v="24"/>
    <s v="K11"/>
    <s v="F"/>
    <n v="65"/>
    <n v="85"/>
    <s v="Tuntas"/>
    <s v="Proyek Tepung"/>
    <x v="0"/>
    <x v="14"/>
    <n v="85"/>
    <x v="2"/>
    <n v="11"/>
    <x v="0"/>
    <x v="1"/>
    <x v="2"/>
  </r>
  <r>
    <n v="1499"/>
    <s v="242510001"/>
    <x v="0"/>
    <x v="4"/>
    <s v="Intan Jaya"/>
    <d v="2026-01-20T00:00:00"/>
    <s v="20"/>
    <x v="0"/>
    <s v="26"/>
    <x v="3"/>
    <x v="15"/>
    <x v="18"/>
    <s v="Real"/>
    <s v="Entrepreneur"/>
    <s v="Product development"/>
    <x v="0"/>
    <x v="0"/>
    <x v="0"/>
    <s v="F11.04.01"/>
    <n v="4"/>
    <s v="mengelola aktivitas produksi makanan olahan singkong mulai dari perencanaan, proses pembuatan, hingga menghasilkan produk olahan singkong yang siap dipasarkan"/>
    <s v="04.01"/>
    <x v="24"/>
    <s v="K11"/>
    <s v="F"/>
    <n v="65"/>
    <n v="100"/>
    <s v="Tuntas"/>
    <s v="Proyek Tepung"/>
    <x v="0"/>
    <x v="14"/>
    <n v="100"/>
    <x v="4"/>
    <n v="11"/>
    <x v="4"/>
    <x v="2"/>
    <x v="2"/>
  </r>
  <r>
    <n v="1500"/>
    <s v="242510001"/>
    <x v="0"/>
    <x v="4"/>
    <s v="Intan Jaya"/>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3"/>
    <x v="2"/>
  </r>
  <r>
    <n v="1501"/>
    <s v="242510001"/>
    <x v="0"/>
    <x v="4"/>
    <s v="Intan Jaya"/>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2"/>
  </r>
  <r>
    <n v="1502"/>
    <s v="242510001"/>
    <x v="0"/>
    <x v="4"/>
    <s v="Intan Jaya"/>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2"/>
  </r>
  <r>
    <n v="1503"/>
    <s v="242510001"/>
    <x v="0"/>
    <x v="4"/>
    <s v="Intan Jaya"/>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2"/>
  </r>
  <r>
    <n v="1504"/>
    <s v="242510001"/>
    <x v="0"/>
    <x v="4"/>
    <s v="Intan Jaya"/>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2"/>
  </r>
  <r>
    <n v="1505"/>
    <s v="242510001"/>
    <x v="0"/>
    <x v="4"/>
    <s v="Intan Jaya"/>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2"/>
  </r>
  <r>
    <n v="1506"/>
    <s v="242510001"/>
    <x v="0"/>
    <x v="4"/>
    <s v="Intan Jaya"/>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2"/>
  </r>
  <r>
    <n v="1507"/>
    <s v="242510001"/>
    <x v="0"/>
    <x v="4"/>
    <s v="Intan Jaya"/>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6"/>
    <x v="2"/>
  </r>
  <r>
    <n v="1508"/>
    <s v="242510001"/>
    <x v="0"/>
    <x v="4"/>
    <s v="Intan Jaya"/>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8"/>
    <x v="2"/>
  </r>
  <r>
    <n v="1509"/>
    <s v="242510001"/>
    <x v="0"/>
    <x v="4"/>
    <s v="Intan Jaya"/>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8"/>
    <x v="2"/>
  </r>
  <r>
    <n v="1510"/>
    <s v="242510007"/>
    <x v="0"/>
    <x v="5"/>
    <s v="Intan Jaya"/>
    <d v="2026-01-13T00:00:00"/>
    <s v="13"/>
    <x v="0"/>
    <s v="26"/>
    <x v="1"/>
    <x v="9"/>
    <x v="0"/>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11"/>
    <s v="242510007"/>
    <x v="0"/>
    <x v="5"/>
    <s v="Intan Jaya"/>
    <d v="2026-01-14T00:00:00"/>
    <s v="14"/>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12"/>
    <s v="242510007"/>
    <x v="0"/>
    <x v="5"/>
    <s v="Intan Jaya"/>
    <d v="2026-01-15T00:00:00"/>
    <s v="15"/>
    <x v="0"/>
    <s v="26"/>
    <x v="0"/>
    <x v="0"/>
    <x v="11"/>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13"/>
    <s v="242510007"/>
    <x v="0"/>
    <x v="5"/>
    <s v="Intan Jaya"/>
    <d v="2026-01-20T00:00:00"/>
    <s v="20"/>
    <x v="0"/>
    <s v="26"/>
    <x v="3"/>
    <x v="15"/>
    <x v="18"/>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14"/>
    <s v="242510007"/>
    <x v="0"/>
    <x v="5"/>
    <s v="Intan Jaya"/>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3"/>
    <x v="3"/>
  </r>
  <r>
    <n v="1515"/>
    <s v="242510007"/>
    <x v="0"/>
    <x v="5"/>
    <s v="Intan Jaya"/>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3"/>
  </r>
  <r>
    <n v="1516"/>
    <s v="242510007"/>
    <x v="0"/>
    <x v="5"/>
    <s v="Intan Jaya"/>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3"/>
  </r>
  <r>
    <n v="1517"/>
    <s v="242510007"/>
    <x v="0"/>
    <x v="5"/>
    <s v="Intan Jaya"/>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3"/>
  </r>
  <r>
    <n v="1518"/>
    <s v="242510007"/>
    <x v="0"/>
    <x v="5"/>
    <s v="Intan Jaya"/>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3"/>
  </r>
  <r>
    <n v="1519"/>
    <s v="242510007"/>
    <x v="0"/>
    <x v="5"/>
    <s v="Intan Jaya"/>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3"/>
  </r>
  <r>
    <n v="1520"/>
    <s v="242510007"/>
    <x v="0"/>
    <x v="5"/>
    <s v="Intan Jaya"/>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3"/>
  </r>
  <r>
    <n v="1521"/>
    <s v="242510007"/>
    <x v="0"/>
    <x v="5"/>
    <s v="Intan Jaya"/>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6"/>
    <x v="3"/>
  </r>
  <r>
    <n v="1522"/>
    <s v="242510007"/>
    <x v="0"/>
    <x v="5"/>
    <s v="Intan Jaya"/>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23"/>
    <s v="242510007"/>
    <x v="0"/>
    <x v="5"/>
    <s v="Intan Jaya"/>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24"/>
    <s v="242510008"/>
    <x v="0"/>
    <x v="6"/>
    <s v="Dogiyai"/>
    <d v="2026-01-13T00:00:00"/>
    <s v="13"/>
    <x v="0"/>
    <s v="26"/>
    <x v="1"/>
    <x v="9"/>
    <x v="0"/>
    <s v="Real"/>
    <s v="Entrepreneur"/>
    <s v="Product development"/>
    <x v="0"/>
    <x v="0"/>
    <x v="0"/>
    <s v="F11.04.01"/>
    <n v="4"/>
    <s v="mengelola aktivitas produksi makanan olahan singkong mulai dari perencanaan, proses pembuatan, hingga menghasilkan produk olahan singkong yang siap dipasarkan"/>
    <s v="04.01"/>
    <x v="24"/>
    <s v="K11"/>
    <s v="F"/>
    <n v="65"/>
    <n v="90"/>
    <s v="Tuntas"/>
    <s v="Proyek Tepung"/>
    <x v="0"/>
    <x v="14"/>
    <n v="90"/>
    <x v="2"/>
    <n v="11"/>
    <x v="0"/>
    <x v="1"/>
    <x v="4"/>
  </r>
  <r>
    <n v="1525"/>
    <s v="242510008"/>
    <x v="0"/>
    <x v="6"/>
    <s v="Dogiyai"/>
    <d v="2026-01-14T00:00:00"/>
    <s v="14"/>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90"/>
    <s v="Tuntas"/>
    <s v="Proyek Tepung"/>
    <x v="0"/>
    <x v="14"/>
    <n v="90"/>
    <x v="2"/>
    <n v="11"/>
    <x v="0"/>
    <x v="1"/>
    <x v="4"/>
  </r>
  <r>
    <n v="1526"/>
    <s v="242510008"/>
    <x v="0"/>
    <x v="6"/>
    <s v="Dogiyai"/>
    <d v="2026-01-15T00:00:00"/>
    <s v="15"/>
    <x v="0"/>
    <s v="26"/>
    <x v="0"/>
    <x v="0"/>
    <x v="11"/>
    <s v="Real"/>
    <s v="Entrepreneur"/>
    <s v="Product development"/>
    <x v="0"/>
    <x v="0"/>
    <x v="0"/>
    <s v="F11.04.01"/>
    <n v="4"/>
    <s v="mengelola aktivitas produksi makanan olahan singkong mulai dari perencanaan, proses pembuatan, hingga menghasilkan produk olahan singkong yang siap dipasarkan"/>
    <s v="04.01"/>
    <x v="24"/>
    <s v="K11"/>
    <s v="F"/>
    <n v="65"/>
    <n v="85"/>
    <s v="Tuntas"/>
    <s v="Proyek Tepung"/>
    <x v="0"/>
    <x v="14"/>
    <n v="85"/>
    <x v="2"/>
    <n v="11"/>
    <x v="0"/>
    <x v="1"/>
    <x v="4"/>
  </r>
  <r>
    <n v="1527"/>
    <s v="242510008"/>
    <x v="0"/>
    <x v="6"/>
    <s v="Dogiyai"/>
    <d v="2026-01-20T00:00:00"/>
    <s v="20"/>
    <x v="0"/>
    <s v="26"/>
    <x v="3"/>
    <x v="15"/>
    <x v="18"/>
    <s v="Real"/>
    <s v="Entrepreneur"/>
    <s v="Product development"/>
    <x v="0"/>
    <x v="0"/>
    <x v="0"/>
    <s v="F11.04.01"/>
    <n v="4"/>
    <s v="mengelola aktivitas produksi makanan olahan singkong mulai dari perencanaan, proses pembuatan, hingga menghasilkan produk olahan singkong yang siap dipasarkan"/>
    <s v="04.01"/>
    <x v="24"/>
    <s v="K11"/>
    <s v="F"/>
    <n v="65"/>
    <n v="100"/>
    <s v="Tuntas"/>
    <s v="Proyek Tepung"/>
    <x v="0"/>
    <x v="14"/>
    <n v="100"/>
    <x v="4"/>
    <n v="11"/>
    <x v="4"/>
    <x v="2"/>
    <x v="4"/>
  </r>
  <r>
    <n v="1528"/>
    <s v="242510008"/>
    <x v="0"/>
    <x v="6"/>
    <s v="Dogiyai"/>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3"/>
    <x v="4"/>
  </r>
  <r>
    <n v="1529"/>
    <s v="242510008"/>
    <x v="0"/>
    <x v="6"/>
    <s v="Dogiyai"/>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4"/>
  </r>
  <r>
    <n v="1530"/>
    <s v="242510008"/>
    <x v="0"/>
    <x v="6"/>
    <s v="Dogiyai"/>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4"/>
  </r>
  <r>
    <n v="1531"/>
    <s v="242510008"/>
    <x v="0"/>
    <x v="6"/>
    <s v="Dogiyai"/>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4"/>
  </r>
  <r>
    <n v="1532"/>
    <s v="242510008"/>
    <x v="0"/>
    <x v="6"/>
    <s v="Dogiyai"/>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4"/>
  </r>
  <r>
    <n v="1533"/>
    <s v="242510008"/>
    <x v="0"/>
    <x v="6"/>
    <s v="Dogiyai"/>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4"/>
  </r>
  <r>
    <n v="1534"/>
    <s v="242510008"/>
    <x v="0"/>
    <x v="6"/>
    <s v="Dogiyai"/>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4"/>
  </r>
  <r>
    <n v="1535"/>
    <s v="242510008"/>
    <x v="0"/>
    <x v="6"/>
    <s v="Dogiyai"/>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6"/>
    <x v="4"/>
  </r>
  <r>
    <n v="1536"/>
    <s v="242510008"/>
    <x v="0"/>
    <x v="6"/>
    <s v="Dogiyai"/>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8"/>
    <x v="4"/>
  </r>
  <r>
    <n v="1537"/>
    <s v="242510008"/>
    <x v="0"/>
    <x v="6"/>
    <s v="Dogiyai"/>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8"/>
    <x v="4"/>
  </r>
  <r>
    <n v="1538"/>
    <s v="242510013"/>
    <x v="0"/>
    <x v="0"/>
    <s v="Intan Jaya"/>
    <d v="2026-01-13T00:00:00"/>
    <s v="13"/>
    <x v="0"/>
    <s v="26"/>
    <x v="1"/>
    <x v="9"/>
    <x v="0"/>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39"/>
    <s v="242510013"/>
    <x v="0"/>
    <x v="0"/>
    <s v="Intan Jaya"/>
    <d v="2026-01-14T00:00:00"/>
    <s v="14"/>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40"/>
    <s v="242510013"/>
    <x v="0"/>
    <x v="0"/>
    <s v="Intan Jaya"/>
    <d v="2026-01-15T00:00:00"/>
    <s v="15"/>
    <x v="0"/>
    <s v="26"/>
    <x v="0"/>
    <x v="0"/>
    <x v="11"/>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41"/>
    <s v="242510013"/>
    <x v="0"/>
    <x v="0"/>
    <s v="Intan Jaya"/>
    <d v="2026-01-20T00:00:00"/>
    <s v="20"/>
    <x v="0"/>
    <s v="26"/>
    <x v="3"/>
    <x v="15"/>
    <x v="18"/>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42"/>
    <s v="242510013"/>
    <x v="0"/>
    <x v="0"/>
    <s v="Intan Jaya"/>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43"/>
    <s v="242510013"/>
    <x v="0"/>
    <x v="0"/>
    <s v="Intan Jaya"/>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544"/>
    <s v="242510013"/>
    <x v="0"/>
    <x v="0"/>
    <s v="Intan Jaya"/>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545"/>
    <s v="242510013"/>
    <x v="0"/>
    <x v="0"/>
    <s v="Intan Jaya"/>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546"/>
    <s v="242510013"/>
    <x v="0"/>
    <x v="0"/>
    <s v="Intan Jaya"/>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547"/>
    <s v="242510013"/>
    <x v="0"/>
    <x v="0"/>
    <s v="Intan Jaya"/>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548"/>
    <s v="242510013"/>
    <x v="0"/>
    <x v="0"/>
    <s v="Intan Jaya"/>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549"/>
    <s v="242510013"/>
    <x v="0"/>
    <x v="0"/>
    <s v="Intan Jaya"/>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50"/>
    <s v="242510013"/>
    <x v="0"/>
    <x v="0"/>
    <s v="Intan Jaya"/>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51"/>
    <s v="242510013"/>
    <x v="0"/>
    <x v="0"/>
    <s v="Intan Jaya"/>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52"/>
    <s v="242510014"/>
    <x v="0"/>
    <x v="7"/>
    <s v="Inta jaya"/>
    <d v="2026-01-13T00:00:00"/>
    <s v="13"/>
    <x v="0"/>
    <s v="26"/>
    <x v="1"/>
    <x v="9"/>
    <x v="0"/>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53"/>
    <s v="242510014"/>
    <x v="0"/>
    <x v="7"/>
    <s v="Inta jaya"/>
    <d v="2026-01-14T00:00:00"/>
    <s v="14"/>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54"/>
    <s v="242510014"/>
    <x v="0"/>
    <x v="7"/>
    <s v="Inta jaya"/>
    <d v="2026-01-15T00:00:00"/>
    <s v="15"/>
    <x v="0"/>
    <s v="26"/>
    <x v="0"/>
    <x v="0"/>
    <x v="11"/>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55"/>
    <s v="242510014"/>
    <x v="0"/>
    <x v="7"/>
    <s v="Inta jaya"/>
    <d v="2026-01-20T00:00:00"/>
    <s v="20"/>
    <x v="0"/>
    <s v="26"/>
    <x v="3"/>
    <x v="15"/>
    <x v="18"/>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56"/>
    <s v="242510014"/>
    <x v="0"/>
    <x v="7"/>
    <s v="Inta jaya"/>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3"/>
    <x v="2"/>
  </r>
  <r>
    <n v="1557"/>
    <s v="242510014"/>
    <x v="0"/>
    <x v="7"/>
    <s v="Inta jaya"/>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2"/>
  </r>
  <r>
    <n v="1558"/>
    <s v="242510014"/>
    <x v="0"/>
    <x v="7"/>
    <s v="Inta jaya"/>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2"/>
  </r>
  <r>
    <n v="1559"/>
    <s v="242510014"/>
    <x v="0"/>
    <x v="7"/>
    <s v="Inta jaya"/>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2"/>
  </r>
  <r>
    <n v="1560"/>
    <s v="242510014"/>
    <x v="0"/>
    <x v="7"/>
    <s v="Inta jaya"/>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2"/>
  </r>
  <r>
    <n v="1561"/>
    <s v="242510014"/>
    <x v="0"/>
    <x v="7"/>
    <s v="Inta jaya"/>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2"/>
  </r>
  <r>
    <n v="1562"/>
    <s v="242510014"/>
    <x v="0"/>
    <x v="7"/>
    <s v="Inta jaya"/>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2"/>
  </r>
  <r>
    <n v="1563"/>
    <s v="242510014"/>
    <x v="0"/>
    <x v="7"/>
    <s v="Inta jaya"/>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6"/>
    <x v="2"/>
  </r>
  <r>
    <n v="1564"/>
    <s v="242510014"/>
    <x v="0"/>
    <x v="7"/>
    <s v="Inta jaya"/>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8"/>
    <x v="2"/>
  </r>
  <r>
    <n v="1565"/>
    <s v="242510014"/>
    <x v="0"/>
    <x v="7"/>
    <s v="Inta jaya"/>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8"/>
    <x v="2"/>
  </r>
  <r>
    <n v="1566"/>
    <s v="242510011"/>
    <x v="0"/>
    <x v="1"/>
    <s v="Intan Jaya"/>
    <d v="2026-01-13T00:00:00"/>
    <s v="13"/>
    <x v="0"/>
    <s v="26"/>
    <x v="1"/>
    <x v="9"/>
    <x v="0"/>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67"/>
    <s v="242510011"/>
    <x v="0"/>
    <x v="1"/>
    <s v="Intan Jaya"/>
    <d v="2026-01-14T00:00:00"/>
    <s v="14"/>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68"/>
    <s v="242510011"/>
    <x v="0"/>
    <x v="1"/>
    <s v="Intan Jaya"/>
    <d v="2026-01-15T00:00:00"/>
    <s v="15"/>
    <x v="0"/>
    <s v="26"/>
    <x v="0"/>
    <x v="0"/>
    <x v="11"/>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69"/>
    <s v="242510011"/>
    <x v="0"/>
    <x v="1"/>
    <s v="Intan Jaya"/>
    <d v="2026-01-20T00:00:00"/>
    <s v="20"/>
    <x v="0"/>
    <s v="26"/>
    <x v="3"/>
    <x v="15"/>
    <x v="18"/>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70"/>
    <s v="242510011"/>
    <x v="0"/>
    <x v="1"/>
    <s v="Intan Jaya"/>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71"/>
    <s v="242510011"/>
    <x v="0"/>
    <x v="1"/>
    <s v="Intan Jaya"/>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572"/>
    <s v="242510011"/>
    <x v="0"/>
    <x v="1"/>
    <s v="Intan Jaya"/>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573"/>
    <s v="242510011"/>
    <x v="0"/>
    <x v="1"/>
    <s v="Intan Jaya"/>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574"/>
    <s v="242510011"/>
    <x v="0"/>
    <x v="1"/>
    <s v="Intan Jaya"/>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575"/>
    <s v="242510011"/>
    <x v="0"/>
    <x v="1"/>
    <s v="Intan Jaya"/>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576"/>
    <s v="242510011"/>
    <x v="0"/>
    <x v="1"/>
    <s v="Intan Jaya"/>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577"/>
    <s v="242510011"/>
    <x v="0"/>
    <x v="1"/>
    <s v="Intan Jaya"/>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78"/>
    <s v="242510011"/>
    <x v="0"/>
    <x v="1"/>
    <s v="Intan Jaya"/>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79"/>
    <s v="242510011"/>
    <x v="0"/>
    <x v="1"/>
    <s v="Intan Jaya"/>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80"/>
    <s v="242510004"/>
    <x v="0"/>
    <x v="8"/>
    <s v="Inta jaya"/>
    <d v="2026-01-13T00:00:00"/>
    <s v="13"/>
    <x v="0"/>
    <s v="26"/>
    <x v="1"/>
    <x v="9"/>
    <x v="0"/>
    <s v="Real"/>
    <s v="Entrepreneur"/>
    <s v="Product development"/>
    <x v="0"/>
    <x v="0"/>
    <x v="0"/>
    <s v="F11.04.01"/>
    <n v="4"/>
    <s v="mengelola aktivitas produksi makanan olahan singkong mulai dari perencanaan, proses pembuatan, hingga menghasilkan produk olahan singkong yang siap dipasarkan"/>
    <s v="04.01"/>
    <x v="24"/>
    <s v="K11"/>
    <s v="F"/>
    <n v="65"/>
    <n v="90"/>
    <s v="Tuntas"/>
    <s v="Proyek Tepung"/>
    <x v="0"/>
    <x v="14"/>
    <n v="90"/>
    <x v="2"/>
    <n v="11"/>
    <x v="0"/>
    <x v="1"/>
    <x v="4"/>
  </r>
  <r>
    <n v="1581"/>
    <s v="242510004"/>
    <x v="0"/>
    <x v="8"/>
    <s v="Inta jaya"/>
    <d v="2026-01-14T00:00:00"/>
    <s v="14"/>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90"/>
    <s v="Tuntas"/>
    <s v="Proyek Tepung"/>
    <x v="0"/>
    <x v="14"/>
    <n v="90"/>
    <x v="2"/>
    <n v="11"/>
    <x v="0"/>
    <x v="1"/>
    <x v="4"/>
  </r>
  <r>
    <n v="1582"/>
    <s v="242510004"/>
    <x v="0"/>
    <x v="8"/>
    <s v="Inta jaya"/>
    <d v="2026-01-15T00:00:00"/>
    <s v="15"/>
    <x v="0"/>
    <s v="26"/>
    <x v="0"/>
    <x v="0"/>
    <x v="11"/>
    <s v="Real"/>
    <s v="Entrepreneur"/>
    <s v="Product development"/>
    <x v="0"/>
    <x v="0"/>
    <x v="0"/>
    <s v="F11.04.01"/>
    <n v="4"/>
    <s v="mengelola aktivitas produksi makanan olahan singkong mulai dari perencanaan, proses pembuatan, hingga menghasilkan produk olahan singkong yang siap dipasarkan"/>
    <s v="04.01"/>
    <x v="24"/>
    <s v="K11"/>
    <s v="F"/>
    <n v="65"/>
    <n v="85"/>
    <s v="Tuntas"/>
    <s v="Proyek Tepung"/>
    <x v="0"/>
    <x v="14"/>
    <n v="85"/>
    <x v="2"/>
    <n v="11"/>
    <x v="0"/>
    <x v="1"/>
    <x v="4"/>
  </r>
  <r>
    <n v="1583"/>
    <s v="242510004"/>
    <x v="0"/>
    <x v="8"/>
    <s v="Inta jaya"/>
    <d v="2026-01-20T00:00:00"/>
    <s v="20"/>
    <x v="0"/>
    <s v="26"/>
    <x v="3"/>
    <x v="15"/>
    <x v="18"/>
    <s v="Real"/>
    <s v="Entrepreneur"/>
    <s v="Product development"/>
    <x v="0"/>
    <x v="0"/>
    <x v="0"/>
    <s v="F11.04.01"/>
    <n v="4"/>
    <s v="mengelola aktivitas produksi makanan olahan singkong mulai dari perencanaan, proses pembuatan, hingga menghasilkan produk olahan singkong yang siap dipasarkan"/>
    <s v="04.01"/>
    <x v="24"/>
    <s v="K11"/>
    <s v="F"/>
    <n v="65"/>
    <n v="100"/>
    <s v="Tuntas"/>
    <s v="Proyek Tepung"/>
    <x v="0"/>
    <x v="14"/>
    <n v="100"/>
    <x v="4"/>
    <n v="11"/>
    <x v="4"/>
    <x v="2"/>
    <x v="4"/>
  </r>
  <r>
    <n v="1584"/>
    <s v="242510004"/>
    <x v="0"/>
    <x v="8"/>
    <s v="Inta jaya"/>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3"/>
    <x v="4"/>
  </r>
  <r>
    <n v="1585"/>
    <s v="242510004"/>
    <x v="0"/>
    <x v="8"/>
    <s v="Inta jaya"/>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4"/>
  </r>
  <r>
    <n v="1586"/>
    <s v="242510004"/>
    <x v="0"/>
    <x v="8"/>
    <s v="Inta jaya"/>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4"/>
  </r>
  <r>
    <n v="1587"/>
    <s v="242510004"/>
    <x v="0"/>
    <x v="8"/>
    <s v="Inta jaya"/>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4"/>
  </r>
  <r>
    <n v="1588"/>
    <s v="242510004"/>
    <x v="0"/>
    <x v="8"/>
    <s v="Inta jaya"/>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4"/>
  </r>
  <r>
    <n v="1589"/>
    <s v="242510004"/>
    <x v="0"/>
    <x v="8"/>
    <s v="Inta jaya"/>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4"/>
  </r>
  <r>
    <n v="1590"/>
    <s v="242510004"/>
    <x v="0"/>
    <x v="8"/>
    <s v="Inta jaya"/>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4"/>
  </r>
  <r>
    <n v="1591"/>
    <s v="242510004"/>
    <x v="0"/>
    <x v="8"/>
    <s v="Inta jaya"/>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6"/>
    <x v="4"/>
  </r>
  <r>
    <n v="1592"/>
    <s v="242510004"/>
    <x v="0"/>
    <x v="8"/>
    <s v="Inta jaya"/>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8"/>
    <x v="4"/>
  </r>
  <r>
    <n v="1593"/>
    <s v="242510004"/>
    <x v="0"/>
    <x v="8"/>
    <s v="Inta jaya"/>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8"/>
    <x v="4"/>
  </r>
  <r>
    <n v="1594"/>
    <s v="242510010"/>
    <x v="0"/>
    <x v="2"/>
    <s v="Intan Jaya"/>
    <d v="2026-01-13T00:00:00"/>
    <s v="13"/>
    <x v="0"/>
    <s v="26"/>
    <x v="1"/>
    <x v="9"/>
    <x v="0"/>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95"/>
    <s v="242510010"/>
    <x v="0"/>
    <x v="2"/>
    <s v="Intan Jaya"/>
    <d v="2026-01-14T00:00:00"/>
    <s v="14"/>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96"/>
    <s v="242510010"/>
    <x v="0"/>
    <x v="2"/>
    <s v="Intan Jaya"/>
    <d v="2026-01-15T00:00:00"/>
    <s v="15"/>
    <x v="0"/>
    <s v="26"/>
    <x v="0"/>
    <x v="0"/>
    <x v="11"/>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97"/>
    <s v="242510010"/>
    <x v="0"/>
    <x v="2"/>
    <s v="Intan Jaya"/>
    <d v="2026-01-20T00:00:00"/>
    <s v="20"/>
    <x v="0"/>
    <s v="26"/>
    <x v="3"/>
    <x v="15"/>
    <x v="18"/>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98"/>
    <s v="242510010"/>
    <x v="0"/>
    <x v="2"/>
    <s v="Intan Jaya"/>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599"/>
    <s v="242510010"/>
    <x v="0"/>
    <x v="2"/>
    <s v="Intan Jaya"/>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00"/>
    <s v="242510010"/>
    <x v="0"/>
    <x v="2"/>
    <s v="Intan Jaya"/>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01"/>
    <s v="242510010"/>
    <x v="0"/>
    <x v="2"/>
    <s v="Intan Jaya"/>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02"/>
    <s v="242510010"/>
    <x v="0"/>
    <x v="2"/>
    <s v="Intan Jaya"/>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03"/>
    <s v="242510010"/>
    <x v="0"/>
    <x v="2"/>
    <s v="Intan Jaya"/>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04"/>
    <s v="242510010"/>
    <x v="0"/>
    <x v="2"/>
    <s v="Intan Jaya"/>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05"/>
    <s v="242510010"/>
    <x v="0"/>
    <x v="2"/>
    <s v="Intan Jaya"/>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06"/>
    <s v="242510010"/>
    <x v="0"/>
    <x v="2"/>
    <s v="Intan Jaya"/>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07"/>
    <s v="242510010"/>
    <x v="0"/>
    <x v="2"/>
    <s v="Intan Jaya"/>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08"/>
    <s v="242510002"/>
    <x v="0"/>
    <x v="3"/>
    <s v="Intan Jaya"/>
    <d v="2026-01-13T00:00:00"/>
    <s v="13"/>
    <x v="0"/>
    <s v="26"/>
    <x v="1"/>
    <x v="9"/>
    <x v="0"/>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09"/>
    <s v="242510002"/>
    <x v="0"/>
    <x v="3"/>
    <s v="Intan Jaya"/>
    <d v="2026-01-14T00:00:00"/>
    <s v="14"/>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10"/>
    <s v="242510002"/>
    <x v="0"/>
    <x v="3"/>
    <s v="Intan Jaya"/>
    <d v="2026-01-15T00:00:00"/>
    <s v="15"/>
    <x v="0"/>
    <s v="26"/>
    <x v="0"/>
    <x v="0"/>
    <x v="11"/>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11"/>
    <s v="242510002"/>
    <x v="0"/>
    <x v="3"/>
    <s v="Intan Jaya"/>
    <d v="2026-01-20T00:00:00"/>
    <s v="20"/>
    <x v="0"/>
    <s v="26"/>
    <x v="3"/>
    <x v="15"/>
    <x v="18"/>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12"/>
    <s v="242510002"/>
    <x v="0"/>
    <x v="3"/>
    <s v="Intan Jaya"/>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13"/>
    <s v="242510002"/>
    <x v="0"/>
    <x v="3"/>
    <s v="Intan Jaya"/>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14"/>
    <s v="242510002"/>
    <x v="0"/>
    <x v="3"/>
    <s v="Intan Jaya"/>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15"/>
    <s v="242510002"/>
    <x v="0"/>
    <x v="3"/>
    <s v="Intan Jaya"/>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16"/>
    <s v="242510002"/>
    <x v="0"/>
    <x v="3"/>
    <s v="Intan Jaya"/>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17"/>
    <s v="242510002"/>
    <x v="0"/>
    <x v="3"/>
    <s v="Intan Jaya"/>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18"/>
    <s v="242510002"/>
    <x v="0"/>
    <x v="3"/>
    <s v="Intan Jaya"/>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19"/>
    <s v="242510002"/>
    <x v="0"/>
    <x v="3"/>
    <s v="Intan Jaya"/>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20"/>
    <s v="242510002"/>
    <x v="0"/>
    <x v="3"/>
    <s v="Intan Jaya"/>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21"/>
    <s v="242510002"/>
    <x v="0"/>
    <x v="3"/>
    <s v="Intan Jaya"/>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22"/>
    <s v="242510006"/>
    <x v="0"/>
    <x v="9"/>
    <s v="Nabire"/>
    <d v="2026-01-13T00:00:00"/>
    <s v="13"/>
    <x v="0"/>
    <s v="26"/>
    <x v="1"/>
    <x v="9"/>
    <x v="0"/>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23"/>
    <s v="242510006"/>
    <x v="0"/>
    <x v="9"/>
    <s v="Nabire"/>
    <d v="2026-01-14T00:00:00"/>
    <s v="14"/>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24"/>
    <s v="242510006"/>
    <x v="0"/>
    <x v="9"/>
    <s v="Nabire"/>
    <d v="2026-01-15T00:00:00"/>
    <s v="15"/>
    <x v="0"/>
    <s v="26"/>
    <x v="0"/>
    <x v="0"/>
    <x v="11"/>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25"/>
    <s v="242510006"/>
    <x v="0"/>
    <x v="9"/>
    <s v="Nabire"/>
    <d v="2026-01-20T00:00:00"/>
    <s v="20"/>
    <x v="0"/>
    <s v="26"/>
    <x v="3"/>
    <x v="15"/>
    <x v="18"/>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26"/>
    <s v="242510006"/>
    <x v="0"/>
    <x v="9"/>
    <s v="Nabire"/>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3"/>
    <x v="2"/>
  </r>
  <r>
    <n v="1627"/>
    <s v="242510006"/>
    <x v="0"/>
    <x v="9"/>
    <s v="Nabire"/>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2"/>
  </r>
  <r>
    <n v="1628"/>
    <s v="242510006"/>
    <x v="0"/>
    <x v="9"/>
    <s v="Nabire"/>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2"/>
  </r>
  <r>
    <n v="1629"/>
    <s v="242510006"/>
    <x v="0"/>
    <x v="9"/>
    <s v="Nabire"/>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4"/>
    <x v="2"/>
  </r>
  <r>
    <n v="1630"/>
    <s v="242510006"/>
    <x v="0"/>
    <x v="9"/>
    <s v="Nabire"/>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2"/>
  </r>
  <r>
    <n v="1631"/>
    <s v="242510006"/>
    <x v="0"/>
    <x v="9"/>
    <s v="Nabire"/>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2"/>
  </r>
  <r>
    <n v="1632"/>
    <s v="242510006"/>
    <x v="0"/>
    <x v="9"/>
    <s v="Nabire"/>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78"/>
    <s v="Tuntas"/>
    <s v="Proyek Tepung"/>
    <x v="0"/>
    <x v="14"/>
    <n v="78"/>
    <x v="1"/>
    <n v="11"/>
    <x v="0"/>
    <x v="5"/>
    <x v="2"/>
  </r>
  <r>
    <n v="1633"/>
    <s v="242510006"/>
    <x v="0"/>
    <x v="9"/>
    <s v="Nabire"/>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6"/>
    <x v="2"/>
  </r>
  <r>
    <n v="1634"/>
    <s v="242510006"/>
    <x v="0"/>
    <x v="9"/>
    <s v="Nabire"/>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8"/>
    <x v="2"/>
  </r>
  <r>
    <n v="1635"/>
    <s v="242510006"/>
    <x v="0"/>
    <x v="9"/>
    <s v="Nabire"/>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80"/>
    <s v="Tuntas"/>
    <s v="Proyek Tepung"/>
    <x v="0"/>
    <x v="14"/>
    <n v="80"/>
    <x v="2"/>
    <n v="11"/>
    <x v="0"/>
    <x v="8"/>
    <x v="2"/>
  </r>
  <r>
    <n v="1636"/>
    <s v="242510009"/>
    <x v="0"/>
    <x v="10"/>
    <s v="Nabire"/>
    <d v="2026-01-13T00:00:00"/>
    <s v="13"/>
    <x v="0"/>
    <s v="26"/>
    <x v="1"/>
    <x v="9"/>
    <x v="0"/>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37"/>
    <s v="242510009"/>
    <x v="0"/>
    <x v="10"/>
    <s v="Nabire"/>
    <d v="2026-01-14T00:00:00"/>
    <s v="14"/>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38"/>
    <s v="242510009"/>
    <x v="0"/>
    <x v="10"/>
    <s v="Nabire"/>
    <d v="2026-01-15T00:00:00"/>
    <s v="15"/>
    <x v="0"/>
    <s v="26"/>
    <x v="0"/>
    <x v="0"/>
    <x v="11"/>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39"/>
    <s v="242510009"/>
    <x v="0"/>
    <x v="10"/>
    <s v="Nabire"/>
    <d v="2026-01-20T00:00:00"/>
    <s v="20"/>
    <x v="0"/>
    <s v="26"/>
    <x v="3"/>
    <x v="15"/>
    <x v="18"/>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40"/>
    <s v="242510009"/>
    <x v="0"/>
    <x v="10"/>
    <s v="Nabire"/>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41"/>
    <s v="242510009"/>
    <x v="0"/>
    <x v="10"/>
    <s v="Nabire"/>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42"/>
    <s v="242510009"/>
    <x v="0"/>
    <x v="10"/>
    <s v="Nabire"/>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43"/>
    <s v="242510009"/>
    <x v="0"/>
    <x v="10"/>
    <s v="Nabire"/>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44"/>
    <s v="242510009"/>
    <x v="0"/>
    <x v="10"/>
    <s v="Nabire"/>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45"/>
    <s v="242510009"/>
    <x v="0"/>
    <x v="10"/>
    <s v="Nabire"/>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46"/>
    <s v="242510009"/>
    <x v="0"/>
    <x v="10"/>
    <s v="Nabire"/>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47"/>
    <s v="242510009"/>
    <x v="0"/>
    <x v="10"/>
    <s v="Nabire"/>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48"/>
    <s v="242510009"/>
    <x v="0"/>
    <x v="10"/>
    <s v="Nabire"/>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49"/>
    <s v="242510009"/>
    <x v="0"/>
    <x v="10"/>
    <s v="Nabire"/>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50"/>
    <s v="242510012"/>
    <x v="0"/>
    <x v="11"/>
    <s v="Intan Jaya"/>
    <d v="2026-01-13T00:00:00"/>
    <s v="13"/>
    <x v="0"/>
    <s v="26"/>
    <x v="1"/>
    <x v="9"/>
    <x v="0"/>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51"/>
    <s v="242510012"/>
    <x v="0"/>
    <x v="11"/>
    <s v="Intan Jaya"/>
    <d v="2026-01-14T00:00:00"/>
    <s v="14"/>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52"/>
    <s v="242510012"/>
    <x v="0"/>
    <x v="11"/>
    <s v="Intan Jaya"/>
    <d v="2026-01-15T00:00:00"/>
    <s v="15"/>
    <x v="0"/>
    <s v="26"/>
    <x v="0"/>
    <x v="0"/>
    <x v="11"/>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53"/>
    <s v="242510012"/>
    <x v="0"/>
    <x v="11"/>
    <s v="Intan Jaya"/>
    <d v="2026-01-20T00:00:00"/>
    <s v="20"/>
    <x v="0"/>
    <s v="26"/>
    <x v="3"/>
    <x v="15"/>
    <x v="18"/>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54"/>
    <s v="242510012"/>
    <x v="0"/>
    <x v="11"/>
    <s v="Intan Jaya"/>
    <d v="2026-01-29T00:00:00"/>
    <s v="29"/>
    <x v="0"/>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55"/>
    <s v="242510012"/>
    <x v="0"/>
    <x v="11"/>
    <s v="Intan Jaya"/>
    <d v="2026-02-03T00:00:00"/>
    <s v="03"/>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56"/>
    <s v="242510012"/>
    <x v="0"/>
    <x v="11"/>
    <s v="Intan Jaya"/>
    <d v="2026-02-04T00:00:00"/>
    <s v="04"/>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57"/>
    <s v="242510012"/>
    <x v="0"/>
    <x v="11"/>
    <s v="Intan Jaya"/>
    <d v="2026-02-05T00:00:00"/>
    <s v="05"/>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58"/>
    <s v="242510012"/>
    <x v="0"/>
    <x v="11"/>
    <s v="Intan Jaya"/>
    <d v="2026-02-10T00:00:00"/>
    <s v="10"/>
    <x v="1"/>
    <s v="26"/>
    <x v="0"/>
    <x v="11"/>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59"/>
    <s v="242510012"/>
    <x v="0"/>
    <x v="11"/>
    <s v="Intan Jaya"/>
    <d v="2026-02-11T00:00:00"/>
    <s v="11"/>
    <x v="1"/>
    <s v="26"/>
    <x v="2"/>
    <x v="3"/>
    <x v="7"/>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60"/>
    <s v="242510012"/>
    <x v="0"/>
    <x v="11"/>
    <s v="Intan Jaya"/>
    <d v="2026-02-12T00:00:00"/>
    <s v="12"/>
    <x v="1"/>
    <s v="26"/>
    <x v="1"/>
    <x v="9"/>
    <x v="0"/>
    <s v="Real"/>
    <s v="Entrepreneur"/>
    <s v="Product development"/>
    <x v="0"/>
    <x v="0"/>
    <x v="0"/>
    <s v="F11.01.01"/>
    <n v="1"/>
    <s v="melakukan market study sederhana dengan mengidentifikasi produk makanan olahan singkong serta menganalisis pasar nasional dan global untuk melihat peluang usaha"/>
    <s v="01.01"/>
    <x v="25"/>
    <s v="K11"/>
    <s v="F"/>
    <n v="65"/>
    <n v="0"/>
    <s v="Tidak tuntas"/>
    <s v="Proyek Tepung"/>
    <x v="0"/>
    <x v="0"/>
    <s v=""/>
    <x v="0"/>
    <s v=""/>
    <x v="0"/>
    <x v="0"/>
    <x v="0"/>
  </r>
  <r>
    <n v="1661"/>
    <s v="242510012"/>
    <x v="0"/>
    <x v="11"/>
    <s v="Intan Jaya"/>
    <d v="2026-02-18T00:00:00"/>
    <s v="18"/>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62"/>
    <s v="242510012"/>
    <x v="0"/>
    <x v="11"/>
    <s v="Intan Jaya"/>
    <d v="2026-02-24T00:00:00"/>
    <s v="24"/>
    <x v="1"/>
    <s v="26"/>
    <x v="1"/>
    <x v="9"/>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63"/>
    <s v="242510012"/>
    <x v="0"/>
    <x v="11"/>
    <s v="Intan Jaya"/>
    <d v="2026-02-25T00:00:00"/>
    <s v="25"/>
    <x v="1"/>
    <s v="26"/>
    <x v="0"/>
    <x v="11"/>
    <x v="13"/>
    <s v="Real"/>
    <s v="Entrepreneur"/>
    <s v="Product development"/>
    <x v="0"/>
    <x v="0"/>
    <x v="0"/>
    <s v="F11.04.01"/>
    <n v="4"/>
    <s v="mengelola aktivitas produksi makanan olahan singkong mulai dari perencanaan, proses pembuatan, hingga menghasilkan produk olahan singkong yang siap dipasarkan"/>
    <s v="04.01"/>
    <x v="24"/>
    <s v="K11"/>
    <s v="F"/>
    <n v="65"/>
    <n v="0"/>
    <s v="Tidak tuntas"/>
    <s v="Proyek Tepung"/>
    <x v="0"/>
    <x v="0"/>
    <s v=""/>
    <x v="0"/>
    <s v=""/>
    <x v="0"/>
    <x v="0"/>
    <x v="0"/>
  </r>
  <r>
    <n v="1664"/>
    <s v="232410005"/>
    <x v="2"/>
    <x v="13"/>
    <s v="Asmat"/>
    <d v="2026-01-14T00:00:00"/>
    <s v="14"/>
    <x v="0"/>
    <s v="26"/>
    <x v="0"/>
    <x v="0"/>
    <x v="0"/>
    <s v="Real"/>
    <s v="Entrepreneur"/>
    <s v="Branding"/>
    <x v="0"/>
    <x v="2"/>
    <x v="3"/>
    <s v="F12.01.01"/>
    <n v="1"/>
    <s v="Membentuk komunitas yang bertumbuh dalam pengenalan akan Firman Tuhan dan meyediakan ruang untuk saling membangun, berbagi serta mendalami Iman"/>
    <s v="01.01"/>
    <x v="0"/>
    <s v="K12"/>
    <s v="F"/>
    <n v="70"/>
    <n v="85"/>
    <s v="Tuntas"/>
    <s v="Agama Katolik"/>
    <x v="1"/>
    <x v="1"/>
    <n v="85"/>
    <x v="2"/>
    <n v="12"/>
    <x v="0"/>
    <x v="1"/>
    <x v="3"/>
  </r>
  <r>
    <n v="1665"/>
    <s v="232410005"/>
    <x v="2"/>
    <x v="13"/>
    <s v="Asmat"/>
    <d v="2026-01-21T00:00:00"/>
    <s v="21"/>
    <x v="0"/>
    <s v="26"/>
    <x v="0"/>
    <x v="0"/>
    <x v="0"/>
    <s v="Real"/>
    <s v="Entrepreneur"/>
    <s v="Branding"/>
    <x v="0"/>
    <x v="2"/>
    <x v="3"/>
    <s v="F12.01.02"/>
    <n v="1"/>
    <s v="Membentuk komunitas yang bertumbuh dalam pengenalan akan Firman Tuhan dan meyediakan ruang untuk saling membangun, berbagi serta mendalami Iman"/>
    <s v="01.02"/>
    <x v="1"/>
    <s v="K12"/>
    <s v="F"/>
    <n v="70"/>
    <n v="85"/>
    <s v="Tuntas"/>
    <s v="Agama Katolik"/>
    <x v="1"/>
    <x v="1"/>
    <n v="85"/>
    <x v="2"/>
    <n v="12"/>
    <x v="0"/>
    <x v="2"/>
    <x v="3"/>
  </r>
  <r>
    <n v="1666"/>
    <s v="232410005"/>
    <x v="2"/>
    <x v="13"/>
    <s v="Asmat"/>
    <d v="2026-01-28T00:00:00"/>
    <s v="28"/>
    <x v="0"/>
    <s v="26"/>
    <x v="1"/>
    <x v="1"/>
    <x v="0"/>
    <s v="Real"/>
    <s v="Entrepreneur"/>
    <s v="Branding"/>
    <x v="0"/>
    <x v="2"/>
    <x v="3"/>
    <s v="F12.01.03"/>
    <n v="1"/>
    <s v="Membentuk komunitas yang bertumbuh dalam pengenalan akan Firman Tuhan dan meyediakan ruang untuk saling membangun, berbagi serta mendalami Iman"/>
    <s v="01.03"/>
    <x v="2"/>
    <s v="K12"/>
    <s v="F"/>
    <n v="70"/>
    <n v="89"/>
    <s v="Tuntas"/>
    <s v="Agama Katolik"/>
    <x v="1"/>
    <x v="1"/>
    <n v="89"/>
    <x v="2"/>
    <n v="12"/>
    <x v="0"/>
    <x v="3"/>
    <x v="3"/>
  </r>
  <r>
    <n v="1667"/>
    <s v="232410005"/>
    <x v="2"/>
    <x v="13"/>
    <s v="Asmat"/>
    <d v="2026-02-04T00:00:00"/>
    <s v="04"/>
    <x v="1"/>
    <s v="26"/>
    <x v="0"/>
    <x v="0"/>
    <x v="0"/>
    <s v="Real"/>
    <s v="Entrepreneur"/>
    <s v="Branding"/>
    <x v="0"/>
    <x v="2"/>
    <x v="3"/>
    <s v="F12.01.04"/>
    <n v="1"/>
    <s v="Membentuk komunitas yang bertumbuh dalam pengenalan akan Firman Tuhan dan meyediakan ruang untuk saling membangun, berbagi serta mendalami Iman"/>
    <s v="01.04"/>
    <x v="3"/>
    <s v="K12"/>
    <s v="F"/>
    <n v="70"/>
    <n v="90"/>
    <s v="Tuntas"/>
    <s v="Agama Katolik"/>
    <x v="1"/>
    <x v="1"/>
    <n v="90"/>
    <x v="2"/>
    <n v="12"/>
    <x v="0"/>
    <x v="4"/>
    <x v="3"/>
  </r>
  <r>
    <n v="1668"/>
    <s v="232410001"/>
    <x v="2"/>
    <x v="14"/>
    <s v="Dogiyai"/>
    <d v="2026-01-14T00:00:00"/>
    <s v="14"/>
    <x v="0"/>
    <s v="26"/>
    <x v="0"/>
    <x v="0"/>
    <x v="0"/>
    <s v="Real"/>
    <s v="Entrepreneur"/>
    <s v="Branding"/>
    <x v="0"/>
    <x v="2"/>
    <x v="3"/>
    <s v="F12.01.01"/>
    <n v="1"/>
    <s v="Membentuk komunitas yang bertumbuh dalam pengenalan akan Firman Tuhan dan meyediakan ruang untuk saling membangun, berbagi serta mendalami Iman"/>
    <s v="01.01"/>
    <x v="0"/>
    <s v="K12"/>
    <s v="F"/>
    <n v="70"/>
    <n v="75"/>
    <s v="Tuntas"/>
    <s v="Agama Kristen"/>
    <x v="1"/>
    <x v="2"/>
    <n v="75"/>
    <x v="1"/>
    <n v="12"/>
    <x v="0"/>
    <x v="1"/>
    <x v="2"/>
  </r>
  <r>
    <n v="1669"/>
    <s v="232410001"/>
    <x v="2"/>
    <x v="14"/>
    <s v="Dogiyai"/>
    <d v="2026-01-21T00:00:00"/>
    <s v="21"/>
    <x v="0"/>
    <s v="26"/>
    <x v="0"/>
    <x v="0"/>
    <x v="0"/>
    <s v="Real"/>
    <s v="Entrepreneur"/>
    <s v="Branding"/>
    <x v="0"/>
    <x v="2"/>
    <x v="3"/>
    <s v="F12.01.02"/>
    <n v="1"/>
    <s v="Membentuk komunitas yang bertumbuh dalam pengenalan akan Firman Tuhan dan meyediakan ruang untuk saling membangun, berbagi serta mendalami Iman"/>
    <s v="01.02"/>
    <x v="1"/>
    <s v="K12"/>
    <s v="F"/>
    <n v="70"/>
    <n v="75"/>
    <s v="Tuntas"/>
    <s v="Agama Kristen"/>
    <x v="1"/>
    <x v="2"/>
    <n v="75"/>
    <x v="1"/>
    <n v="12"/>
    <x v="0"/>
    <x v="2"/>
    <x v="2"/>
  </r>
  <r>
    <n v="1670"/>
    <s v="232410001"/>
    <x v="2"/>
    <x v="14"/>
    <s v="Dogiyai"/>
    <d v="2026-01-28T00:00:00"/>
    <s v="28"/>
    <x v="0"/>
    <s v="26"/>
    <x v="1"/>
    <x v="1"/>
    <x v="0"/>
    <s v="Real"/>
    <s v="Entrepreneur"/>
    <s v="Branding"/>
    <x v="0"/>
    <x v="2"/>
    <x v="3"/>
    <s v="F12.01.03"/>
    <n v="1"/>
    <s v="Membentuk komunitas yang bertumbuh dalam pengenalan akan Firman Tuhan dan meyediakan ruang untuk saling membangun, berbagi serta mendalami Iman"/>
    <s v="01.03"/>
    <x v="2"/>
    <s v="K12"/>
    <s v="F"/>
    <n v="70"/>
    <n v="80"/>
    <s v="Tuntas"/>
    <s v="Agama Kristen"/>
    <x v="1"/>
    <x v="2"/>
    <n v="80"/>
    <x v="2"/>
    <n v="12"/>
    <x v="0"/>
    <x v="3"/>
    <x v="2"/>
  </r>
  <r>
    <n v="1671"/>
    <s v="232410001"/>
    <x v="2"/>
    <x v="14"/>
    <s v="Dogiyai"/>
    <d v="2026-02-04T00:00:00"/>
    <s v="04"/>
    <x v="1"/>
    <s v="26"/>
    <x v="0"/>
    <x v="0"/>
    <x v="0"/>
    <s v="Real"/>
    <s v="Entrepreneur"/>
    <s v="Branding"/>
    <x v="0"/>
    <x v="2"/>
    <x v="3"/>
    <s v="F12.01.04"/>
    <n v="1"/>
    <s v="Membentuk komunitas yang bertumbuh dalam pengenalan akan Firman Tuhan dan meyediakan ruang untuk saling membangun, berbagi serta mendalami Iman"/>
    <s v="01.04"/>
    <x v="3"/>
    <s v="K12"/>
    <s v="F"/>
    <n v="70"/>
    <n v="80"/>
    <s v="Tuntas"/>
    <s v="Agama Kristen"/>
    <x v="1"/>
    <x v="2"/>
    <n v="80"/>
    <x v="2"/>
    <n v="12"/>
    <x v="0"/>
    <x v="4"/>
    <x v="2"/>
  </r>
  <r>
    <n v="1672"/>
    <s v="232410002"/>
    <x v="2"/>
    <x v="15"/>
    <s v="Tolikara"/>
    <d v="2026-01-14T00:00:00"/>
    <s v="14"/>
    <x v="0"/>
    <s v="26"/>
    <x v="0"/>
    <x v="0"/>
    <x v="0"/>
    <s v="Real"/>
    <s v="Entrepreneur"/>
    <s v="Branding"/>
    <x v="0"/>
    <x v="2"/>
    <x v="3"/>
    <s v="F12.01.01"/>
    <n v="1"/>
    <s v="Membentuk komunitas yang bertumbuh dalam pengenalan akan Firman Tuhan dan meyediakan ruang untuk saling membangun, berbagi serta mendalami Iman"/>
    <s v="01.01"/>
    <x v="0"/>
    <s v="K12"/>
    <s v="F"/>
    <n v="70"/>
    <n v="89"/>
    <s v="Tuntas"/>
    <s v="Agama Kristen"/>
    <x v="1"/>
    <x v="2"/>
    <n v="89"/>
    <x v="2"/>
    <n v="12"/>
    <x v="0"/>
    <x v="1"/>
    <x v="3"/>
  </r>
  <r>
    <n v="1673"/>
    <s v="232410002"/>
    <x v="2"/>
    <x v="15"/>
    <s v="Tolikara"/>
    <d v="2026-01-21T00:00:00"/>
    <s v="21"/>
    <x v="0"/>
    <s v="26"/>
    <x v="0"/>
    <x v="0"/>
    <x v="0"/>
    <s v="Real"/>
    <s v="Entrepreneur"/>
    <s v="Branding"/>
    <x v="0"/>
    <x v="2"/>
    <x v="3"/>
    <s v="F12.01.02"/>
    <n v="1"/>
    <s v="Membentuk komunitas yang bertumbuh dalam pengenalan akan Firman Tuhan dan meyediakan ruang untuk saling membangun, berbagi serta mendalami Iman"/>
    <s v="01.02"/>
    <x v="1"/>
    <s v="K12"/>
    <s v="F"/>
    <n v="70"/>
    <n v="90"/>
    <s v="Tuntas"/>
    <s v="Agama Kristen"/>
    <x v="1"/>
    <x v="2"/>
    <n v="90"/>
    <x v="2"/>
    <n v="12"/>
    <x v="0"/>
    <x v="2"/>
    <x v="3"/>
  </r>
  <r>
    <n v="1674"/>
    <s v="232410002"/>
    <x v="2"/>
    <x v="15"/>
    <s v="Tolikara"/>
    <d v="2026-01-28T00:00:00"/>
    <s v="28"/>
    <x v="0"/>
    <s v="26"/>
    <x v="1"/>
    <x v="1"/>
    <x v="0"/>
    <s v="Real"/>
    <s v="Entrepreneur"/>
    <s v="Branding"/>
    <x v="0"/>
    <x v="2"/>
    <x v="3"/>
    <s v="F12.01.03"/>
    <n v="1"/>
    <s v="Membentuk komunitas yang bertumbuh dalam pengenalan akan Firman Tuhan dan meyediakan ruang untuk saling membangun, berbagi serta mendalami Iman"/>
    <s v="01.03"/>
    <x v="2"/>
    <s v="K12"/>
    <s v="F"/>
    <n v="70"/>
    <n v="91"/>
    <s v="Tuntas"/>
    <s v="Agama Kristen"/>
    <x v="1"/>
    <x v="2"/>
    <n v="91"/>
    <x v="4"/>
    <n v="12"/>
    <x v="0"/>
    <x v="3"/>
    <x v="3"/>
  </r>
  <r>
    <n v="1675"/>
    <s v="232410002"/>
    <x v="2"/>
    <x v="15"/>
    <s v="Tolikara"/>
    <d v="2026-02-04T00:00:00"/>
    <s v="04"/>
    <x v="1"/>
    <s v="26"/>
    <x v="0"/>
    <x v="0"/>
    <x v="0"/>
    <s v="Real"/>
    <s v="Entrepreneur"/>
    <s v="Branding"/>
    <x v="0"/>
    <x v="2"/>
    <x v="3"/>
    <s v="F12.01.04"/>
    <n v="1"/>
    <s v="Membentuk komunitas yang bertumbuh dalam pengenalan akan Firman Tuhan dan meyediakan ruang untuk saling membangun, berbagi serta mendalami Iman"/>
    <s v="01.04"/>
    <x v="3"/>
    <s v="K12"/>
    <s v="F"/>
    <n v="70"/>
    <n v="90"/>
    <s v="Tuntas"/>
    <s v="Agama Kristen"/>
    <x v="1"/>
    <x v="2"/>
    <n v="90"/>
    <x v="2"/>
    <n v="12"/>
    <x v="0"/>
    <x v="4"/>
    <x v="3"/>
  </r>
  <r>
    <n v="1676"/>
    <s v="232410003"/>
    <x v="2"/>
    <x v="16"/>
    <s v="Dogiyai"/>
    <d v="2026-01-14T00:00:00"/>
    <s v="14"/>
    <x v="0"/>
    <s v="26"/>
    <x v="0"/>
    <x v="0"/>
    <x v="0"/>
    <s v="Real"/>
    <s v="Entrepreneur"/>
    <s v="Branding"/>
    <x v="0"/>
    <x v="2"/>
    <x v="3"/>
    <s v="F12.01.01"/>
    <n v="1"/>
    <s v="Membentuk komunitas yang bertumbuh dalam pengenalan akan Firman Tuhan dan meyediakan ruang untuk saling membangun, berbagi serta mendalami Iman"/>
    <s v="01.01"/>
    <x v="0"/>
    <s v="K12"/>
    <s v="F"/>
    <n v="70"/>
    <n v="89"/>
    <s v="Tuntas"/>
    <s v="Agama Kristen"/>
    <x v="1"/>
    <x v="2"/>
    <n v="89"/>
    <x v="2"/>
    <n v="12"/>
    <x v="0"/>
    <x v="1"/>
    <x v="4"/>
  </r>
  <r>
    <n v="1677"/>
    <s v="232410003"/>
    <x v="2"/>
    <x v="16"/>
    <s v="Dogiyai"/>
    <d v="2026-01-21T00:00:00"/>
    <s v="21"/>
    <x v="0"/>
    <s v="26"/>
    <x v="0"/>
    <x v="0"/>
    <x v="0"/>
    <s v="Real"/>
    <s v="Entrepreneur"/>
    <s v="Branding"/>
    <x v="0"/>
    <x v="2"/>
    <x v="3"/>
    <s v="F12.01.02"/>
    <n v="1"/>
    <s v="Membentuk komunitas yang bertumbuh dalam pengenalan akan Firman Tuhan dan meyediakan ruang untuk saling membangun, berbagi serta mendalami Iman"/>
    <s v="01.02"/>
    <x v="1"/>
    <s v="K12"/>
    <s v="F"/>
    <n v="70"/>
    <n v="89"/>
    <s v="Tuntas"/>
    <s v="Agama Kristen"/>
    <x v="1"/>
    <x v="2"/>
    <n v="89"/>
    <x v="2"/>
    <n v="12"/>
    <x v="0"/>
    <x v="2"/>
    <x v="4"/>
  </r>
  <r>
    <n v="1678"/>
    <s v="232410003"/>
    <x v="2"/>
    <x v="16"/>
    <s v="Dogiyai"/>
    <d v="2026-01-28T00:00:00"/>
    <s v="28"/>
    <x v="0"/>
    <s v="26"/>
    <x v="1"/>
    <x v="1"/>
    <x v="0"/>
    <s v="Real"/>
    <s v="Entrepreneur"/>
    <s v="Branding"/>
    <x v="0"/>
    <x v="2"/>
    <x v="3"/>
    <s v="F12.01.03"/>
    <n v="1"/>
    <s v="Membentuk komunitas yang bertumbuh dalam pengenalan akan Firman Tuhan dan meyediakan ruang untuk saling membangun, berbagi serta mendalami Iman"/>
    <s v="01.03"/>
    <x v="2"/>
    <s v="K12"/>
    <s v="F"/>
    <n v="70"/>
    <n v="90"/>
    <s v="Tuntas"/>
    <s v="Agama Kristen"/>
    <x v="1"/>
    <x v="2"/>
    <n v="90"/>
    <x v="2"/>
    <n v="12"/>
    <x v="0"/>
    <x v="3"/>
    <x v="4"/>
  </r>
  <r>
    <n v="1679"/>
    <s v="232410003"/>
    <x v="2"/>
    <x v="16"/>
    <s v="Dogiyai"/>
    <d v="2026-02-04T00:00:00"/>
    <s v="04"/>
    <x v="1"/>
    <s v="26"/>
    <x v="0"/>
    <x v="0"/>
    <x v="0"/>
    <s v="Real"/>
    <s v="Entrepreneur"/>
    <s v="Branding"/>
    <x v="0"/>
    <x v="2"/>
    <x v="3"/>
    <s v="F12.01.04"/>
    <n v="1"/>
    <s v="Membentuk komunitas yang bertumbuh dalam pengenalan akan Firman Tuhan dan meyediakan ruang untuk saling membangun, berbagi serta mendalami Iman"/>
    <s v="01.04"/>
    <x v="3"/>
    <s v="K12"/>
    <s v="F"/>
    <n v="70"/>
    <n v="90"/>
    <s v="Tuntas"/>
    <s v="Agama Kristen"/>
    <x v="1"/>
    <x v="2"/>
    <n v="90"/>
    <x v="2"/>
    <n v="12"/>
    <x v="0"/>
    <x v="4"/>
    <x v="4"/>
  </r>
  <r>
    <n v="1680"/>
    <s v="232410004"/>
    <x v="2"/>
    <x v="17"/>
    <s v="Intan Jaya"/>
    <d v="2026-01-14T00:00:00"/>
    <s v="14"/>
    <x v="0"/>
    <s v="26"/>
    <x v="0"/>
    <x v="0"/>
    <x v="0"/>
    <s v="Real"/>
    <s v="Entrepreneur"/>
    <s v="Branding"/>
    <x v="0"/>
    <x v="2"/>
    <x v="3"/>
    <s v="F12.01.01"/>
    <n v="1"/>
    <s v="Membentuk komunitas yang bertumbuh dalam pengenalan akan Firman Tuhan dan meyediakan ruang untuk saling membangun, berbagi serta mendalami Iman"/>
    <s v="01.01"/>
    <x v="0"/>
    <s v="K12"/>
    <s v="F"/>
    <n v="70"/>
    <n v="70"/>
    <s v="Tuntas"/>
    <s v="Agama Kristen"/>
    <x v="1"/>
    <x v="2"/>
    <n v="70"/>
    <x v="1"/>
    <n v="12"/>
    <x v="0"/>
    <x v="1"/>
    <x v="2"/>
  </r>
  <r>
    <n v="1681"/>
    <s v="232410004"/>
    <x v="2"/>
    <x v="17"/>
    <s v="Intan Jaya"/>
    <d v="2026-01-21T00:00:00"/>
    <s v="21"/>
    <x v="0"/>
    <s v="26"/>
    <x v="0"/>
    <x v="0"/>
    <x v="0"/>
    <s v="Real"/>
    <s v="Entrepreneur"/>
    <s v="Branding"/>
    <x v="0"/>
    <x v="2"/>
    <x v="3"/>
    <s v="F12.01.02"/>
    <n v="1"/>
    <s v="Membentuk komunitas yang bertumbuh dalam pengenalan akan Firman Tuhan dan meyediakan ruang untuk saling membangun, berbagi serta mendalami Iman"/>
    <s v="01.02"/>
    <x v="1"/>
    <s v="K12"/>
    <s v="F"/>
    <n v="70"/>
    <n v="70"/>
    <s v="Tuntas"/>
    <s v="Agama Kristen"/>
    <x v="1"/>
    <x v="2"/>
    <n v="70"/>
    <x v="1"/>
    <n v="12"/>
    <x v="0"/>
    <x v="2"/>
    <x v="2"/>
  </r>
  <r>
    <n v="1682"/>
    <s v="232410004"/>
    <x v="2"/>
    <x v="17"/>
    <s v="Intan Jaya"/>
    <d v="2026-01-28T00:00:00"/>
    <s v="28"/>
    <x v="0"/>
    <s v="26"/>
    <x v="1"/>
    <x v="1"/>
    <x v="0"/>
    <s v="Real"/>
    <s v="Entrepreneur"/>
    <s v="Branding"/>
    <x v="0"/>
    <x v="2"/>
    <x v="3"/>
    <s v="F12.01.03"/>
    <n v="1"/>
    <s v="Membentuk komunitas yang bertumbuh dalam pengenalan akan Firman Tuhan dan meyediakan ruang untuk saling membangun, berbagi serta mendalami Iman"/>
    <s v="01.03"/>
    <x v="2"/>
    <s v="K12"/>
    <s v="F"/>
    <n v="70"/>
    <n v="70"/>
    <s v="Tuntas"/>
    <s v="Agama Kristen"/>
    <x v="1"/>
    <x v="2"/>
    <n v="70"/>
    <x v="1"/>
    <n v="12"/>
    <x v="0"/>
    <x v="3"/>
    <x v="2"/>
  </r>
  <r>
    <n v="1683"/>
    <s v="232410004"/>
    <x v="2"/>
    <x v="17"/>
    <s v="Intan Jaya"/>
    <d v="2026-02-04T00:00:00"/>
    <s v="04"/>
    <x v="1"/>
    <s v="26"/>
    <x v="0"/>
    <x v="0"/>
    <x v="0"/>
    <s v="Real"/>
    <s v="Entrepreneur"/>
    <s v="Branding"/>
    <x v="0"/>
    <x v="2"/>
    <x v="3"/>
    <s v="F12.01.04"/>
    <n v="1"/>
    <s v="Membentuk komunitas yang bertumbuh dalam pengenalan akan Firman Tuhan dan meyediakan ruang untuk saling membangun, berbagi serta mendalami Iman"/>
    <s v="01.04"/>
    <x v="3"/>
    <s v="K12"/>
    <s v="F"/>
    <n v="70"/>
    <n v="70"/>
    <s v="Tuntas"/>
    <s v="Agama Kristen"/>
    <x v="1"/>
    <x v="2"/>
    <n v="70"/>
    <x v="1"/>
    <n v="12"/>
    <x v="0"/>
    <x v="4"/>
    <x v="2"/>
  </r>
  <r>
    <n v="1684"/>
    <s v="232410006"/>
    <x v="2"/>
    <x v="18"/>
    <s v="Intan Jaya"/>
    <d v="2026-01-14T00:00:00"/>
    <s v="14"/>
    <x v="0"/>
    <s v="26"/>
    <x v="0"/>
    <x v="0"/>
    <x v="0"/>
    <s v="Real"/>
    <s v="Entrepreneur"/>
    <s v="Branding"/>
    <x v="0"/>
    <x v="2"/>
    <x v="3"/>
    <s v="F12.01.01"/>
    <n v="1"/>
    <s v="Membentuk komunitas yang bertumbuh dalam pengenalan akan Firman Tuhan dan meyediakan ruang untuk saling membangun, berbagi serta mendalami Iman"/>
    <s v="01.01"/>
    <x v="0"/>
    <s v="K12"/>
    <s v="F"/>
    <n v="70"/>
    <n v="70"/>
    <s v="Tuntas"/>
    <s v="Agama Kristen"/>
    <x v="1"/>
    <x v="2"/>
    <n v="70"/>
    <x v="1"/>
    <n v="12"/>
    <x v="0"/>
    <x v="1"/>
    <x v="4"/>
  </r>
  <r>
    <n v="1685"/>
    <s v="232410006"/>
    <x v="2"/>
    <x v="18"/>
    <s v="Intan Jaya"/>
    <d v="2026-01-21T00:00:00"/>
    <s v="21"/>
    <x v="0"/>
    <s v="26"/>
    <x v="0"/>
    <x v="0"/>
    <x v="0"/>
    <s v="Real"/>
    <s v="Entrepreneur"/>
    <s v="Branding"/>
    <x v="0"/>
    <x v="2"/>
    <x v="3"/>
    <s v="F12.01.02"/>
    <n v="1"/>
    <s v="Membentuk komunitas yang bertumbuh dalam pengenalan akan Firman Tuhan dan meyediakan ruang untuk saling membangun, berbagi serta mendalami Iman"/>
    <s v="01.02"/>
    <x v="1"/>
    <s v="K12"/>
    <s v="F"/>
    <n v="70"/>
    <n v="72"/>
    <s v="Tuntas"/>
    <s v="Agama Kristen"/>
    <x v="1"/>
    <x v="2"/>
    <n v="72"/>
    <x v="1"/>
    <n v="12"/>
    <x v="0"/>
    <x v="2"/>
    <x v="4"/>
  </r>
  <r>
    <n v="1686"/>
    <s v="232410006"/>
    <x v="2"/>
    <x v="18"/>
    <s v="Intan Jaya"/>
    <d v="2026-01-28T00:00:00"/>
    <s v="28"/>
    <x v="0"/>
    <s v="26"/>
    <x v="1"/>
    <x v="1"/>
    <x v="0"/>
    <s v="Real"/>
    <s v="Entrepreneur"/>
    <s v="Branding"/>
    <x v="0"/>
    <x v="2"/>
    <x v="3"/>
    <s v="F12.01.03"/>
    <n v="1"/>
    <s v="Membentuk komunitas yang bertumbuh dalam pengenalan akan Firman Tuhan dan meyediakan ruang untuk saling membangun, berbagi serta mendalami Iman"/>
    <s v="01.03"/>
    <x v="2"/>
    <s v="K12"/>
    <s v="F"/>
    <n v="70"/>
    <n v="70"/>
    <s v="Tuntas"/>
    <s v="Agama Kristen"/>
    <x v="1"/>
    <x v="2"/>
    <n v="70"/>
    <x v="1"/>
    <n v="12"/>
    <x v="0"/>
    <x v="3"/>
    <x v="4"/>
  </r>
  <r>
    <n v="1687"/>
    <s v="232410006"/>
    <x v="2"/>
    <x v="18"/>
    <s v="Intan Jaya"/>
    <d v="2026-02-04T00:00:00"/>
    <s v="04"/>
    <x v="1"/>
    <s v="26"/>
    <x v="0"/>
    <x v="0"/>
    <x v="0"/>
    <s v="Real"/>
    <s v="Entrepreneur"/>
    <s v="Branding"/>
    <x v="0"/>
    <x v="2"/>
    <x v="3"/>
    <s v="F12.01.04"/>
    <n v="1"/>
    <s v="Membentuk komunitas yang bertumbuh dalam pengenalan akan Firman Tuhan dan meyediakan ruang untuk saling membangun, berbagi serta mendalami Iman"/>
    <s v="01.04"/>
    <x v="3"/>
    <s v="K12"/>
    <s v="F"/>
    <n v="70"/>
    <n v="70"/>
    <s v="Tuntas"/>
    <s v="Agama Kristen"/>
    <x v="1"/>
    <x v="2"/>
    <n v="70"/>
    <x v="1"/>
    <n v="12"/>
    <x v="0"/>
    <x v="4"/>
    <x v="4"/>
  </r>
  <r>
    <n v="1688"/>
    <s v="232410007"/>
    <x v="2"/>
    <x v="19"/>
    <s v="Intan Jaya"/>
    <d v="2026-01-14T00:00:00"/>
    <s v="14"/>
    <x v="0"/>
    <s v="26"/>
    <x v="0"/>
    <x v="0"/>
    <x v="0"/>
    <s v="Real"/>
    <s v="Entrepreneur"/>
    <s v="Branding"/>
    <x v="0"/>
    <x v="2"/>
    <x v="3"/>
    <s v="F12.01.01"/>
    <n v="1"/>
    <s v="Membentuk komunitas yang bertumbuh dalam pengenalan akan Firman Tuhan dan meyediakan ruang untuk saling membangun, berbagi serta mendalami Iman"/>
    <s v="01.01"/>
    <x v="0"/>
    <s v="K12"/>
    <s v="F"/>
    <n v="70"/>
    <n v="70"/>
    <s v="Tuntas"/>
    <s v="Agama Kristen"/>
    <x v="1"/>
    <x v="2"/>
    <n v="70"/>
    <x v="1"/>
    <n v="12"/>
    <x v="0"/>
    <x v="1"/>
    <x v="2"/>
  </r>
  <r>
    <n v="1689"/>
    <s v="232410007"/>
    <x v="2"/>
    <x v="19"/>
    <s v="Intan Jaya"/>
    <d v="2026-01-21T00:00:00"/>
    <s v="21"/>
    <x v="0"/>
    <s v="26"/>
    <x v="0"/>
    <x v="0"/>
    <x v="0"/>
    <s v="Real"/>
    <s v="Entrepreneur"/>
    <s v="Branding"/>
    <x v="0"/>
    <x v="2"/>
    <x v="3"/>
    <s v="F12.01.02"/>
    <n v="1"/>
    <s v="Membentuk komunitas yang bertumbuh dalam pengenalan akan Firman Tuhan dan meyediakan ruang untuk saling membangun, berbagi serta mendalami Iman"/>
    <s v="01.02"/>
    <x v="1"/>
    <s v="K12"/>
    <s v="F"/>
    <n v="70"/>
    <n v="70"/>
    <s v="Tuntas"/>
    <s v="Agama Kristen"/>
    <x v="1"/>
    <x v="2"/>
    <n v="70"/>
    <x v="1"/>
    <n v="12"/>
    <x v="0"/>
    <x v="2"/>
    <x v="2"/>
  </r>
  <r>
    <n v="1690"/>
    <s v="232410007"/>
    <x v="2"/>
    <x v="19"/>
    <s v="Intan Jaya"/>
    <d v="2026-01-28T00:00:00"/>
    <s v="28"/>
    <x v="0"/>
    <s v="26"/>
    <x v="1"/>
    <x v="1"/>
    <x v="0"/>
    <s v="Real"/>
    <s v="Entrepreneur"/>
    <s v="Branding"/>
    <x v="0"/>
    <x v="2"/>
    <x v="3"/>
    <s v="F12.01.03"/>
    <n v="1"/>
    <s v="Membentuk komunitas yang bertumbuh dalam pengenalan akan Firman Tuhan dan meyediakan ruang untuk saling membangun, berbagi serta mendalami Iman"/>
    <s v="01.03"/>
    <x v="2"/>
    <s v="K12"/>
    <s v="F"/>
    <n v="70"/>
    <n v="70"/>
    <s v="Tuntas"/>
    <s v="Agama Kristen"/>
    <x v="1"/>
    <x v="2"/>
    <n v="70"/>
    <x v="1"/>
    <n v="12"/>
    <x v="0"/>
    <x v="3"/>
    <x v="2"/>
  </r>
  <r>
    <n v="1691"/>
    <s v="232410007"/>
    <x v="2"/>
    <x v="19"/>
    <s v="Intan Jaya"/>
    <d v="2026-02-04T00:00:00"/>
    <s v="04"/>
    <x v="1"/>
    <s v="26"/>
    <x v="0"/>
    <x v="0"/>
    <x v="0"/>
    <s v="Real"/>
    <s v="Entrepreneur"/>
    <s v="Branding"/>
    <x v="0"/>
    <x v="2"/>
    <x v="3"/>
    <s v="F12.01.04"/>
    <n v="1"/>
    <s v="Membentuk komunitas yang bertumbuh dalam pengenalan akan Firman Tuhan dan meyediakan ruang untuk saling membangun, berbagi serta mendalami Iman"/>
    <s v="01.04"/>
    <x v="3"/>
    <s v="K12"/>
    <s v="F"/>
    <n v="70"/>
    <n v="70"/>
    <s v="Tuntas"/>
    <s v="Agama Kristen"/>
    <x v="1"/>
    <x v="2"/>
    <n v="70"/>
    <x v="1"/>
    <n v="12"/>
    <x v="0"/>
    <x v="4"/>
    <x v="2"/>
  </r>
  <r>
    <n v="1692"/>
    <s v="232410009"/>
    <x v="2"/>
    <x v="20"/>
    <s v="Intan Jaya"/>
    <d v="2026-01-14T00:00:00"/>
    <s v="14"/>
    <x v="0"/>
    <s v="26"/>
    <x v="0"/>
    <x v="0"/>
    <x v="0"/>
    <s v="Real"/>
    <s v="Entrepreneur"/>
    <s v="Branding"/>
    <x v="0"/>
    <x v="2"/>
    <x v="3"/>
    <s v="F12.01.01"/>
    <n v="1"/>
    <s v="Membentuk komunitas yang bertumbuh dalam pengenalan akan Firman Tuhan dan meyediakan ruang untuk saling membangun, berbagi serta mendalami Iman"/>
    <s v="01.01"/>
    <x v="0"/>
    <s v="K12"/>
    <s v="F"/>
    <n v="70"/>
    <n v="70"/>
    <s v="Tuntas"/>
    <s v="Agama Kristen"/>
    <x v="1"/>
    <x v="2"/>
    <n v="70"/>
    <x v="1"/>
    <n v="12"/>
    <x v="0"/>
    <x v="1"/>
    <x v="7"/>
  </r>
  <r>
    <n v="1693"/>
    <s v="232410009"/>
    <x v="2"/>
    <x v="20"/>
    <s v="Intan Jaya"/>
    <d v="2026-01-21T00:00:00"/>
    <s v="21"/>
    <x v="0"/>
    <s v="26"/>
    <x v="0"/>
    <x v="0"/>
    <x v="0"/>
    <s v="Real"/>
    <s v="Entrepreneur"/>
    <s v="Branding"/>
    <x v="0"/>
    <x v="2"/>
    <x v="3"/>
    <s v="F12.01.02"/>
    <n v="1"/>
    <s v="Membentuk komunitas yang bertumbuh dalam pengenalan akan Firman Tuhan dan meyediakan ruang untuk saling membangun, berbagi serta mendalami Iman"/>
    <s v="01.02"/>
    <x v="1"/>
    <s v="K12"/>
    <s v="F"/>
    <n v="70"/>
    <n v="70"/>
    <s v="Tuntas"/>
    <s v="Agama Kristen"/>
    <x v="1"/>
    <x v="2"/>
    <n v="70"/>
    <x v="1"/>
    <n v="12"/>
    <x v="0"/>
    <x v="2"/>
    <x v="7"/>
  </r>
  <r>
    <n v="1694"/>
    <s v="232410009"/>
    <x v="2"/>
    <x v="20"/>
    <s v="Intan Jaya"/>
    <d v="2026-01-28T00:00:00"/>
    <s v="28"/>
    <x v="0"/>
    <s v="26"/>
    <x v="1"/>
    <x v="1"/>
    <x v="0"/>
    <s v="Real"/>
    <s v="Entrepreneur"/>
    <s v="Branding"/>
    <x v="0"/>
    <x v="2"/>
    <x v="3"/>
    <s v="F12.01.03"/>
    <n v="1"/>
    <s v="Membentuk komunitas yang bertumbuh dalam pengenalan akan Firman Tuhan dan meyediakan ruang untuk saling membangun, berbagi serta mendalami Iman"/>
    <s v="01.03"/>
    <x v="2"/>
    <s v="K12"/>
    <s v="F"/>
    <n v="70"/>
    <n v="70"/>
    <s v="Tuntas"/>
    <s v="Agama Kristen"/>
    <x v="1"/>
    <x v="2"/>
    <n v="70"/>
    <x v="1"/>
    <n v="12"/>
    <x v="0"/>
    <x v="3"/>
    <x v="7"/>
  </r>
  <r>
    <n v="1695"/>
    <s v="232410009"/>
    <x v="2"/>
    <x v="20"/>
    <s v="Intan Jaya"/>
    <d v="2026-02-04T00:00:00"/>
    <s v="04"/>
    <x v="1"/>
    <s v="26"/>
    <x v="0"/>
    <x v="0"/>
    <x v="0"/>
    <s v="Real"/>
    <s v="Entrepreneur"/>
    <s v="Branding"/>
    <x v="0"/>
    <x v="2"/>
    <x v="3"/>
    <s v="F12.01.04"/>
    <n v="1"/>
    <s v="Membentuk komunitas yang bertumbuh dalam pengenalan akan Firman Tuhan dan meyediakan ruang untuk saling membangun, berbagi serta mendalami Iman"/>
    <s v="01.04"/>
    <x v="3"/>
    <s v="K12"/>
    <s v="F"/>
    <n v="70"/>
    <n v="70"/>
    <s v="Tuntas"/>
    <s v="Agama Kristen"/>
    <x v="1"/>
    <x v="2"/>
    <n v="70"/>
    <x v="1"/>
    <n v="12"/>
    <x v="0"/>
    <x v="4"/>
    <x v="7"/>
  </r>
  <r>
    <n v="1696"/>
    <s v="232410008"/>
    <x v="2"/>
    <x v="21"/>
    <s v="Intan Jaya"/>
    <d v="2026-01-14T00:00:00"/>
    <s v="14"/>
    <x v="0"/>
    <s v="26"/>
    <x v="0"/>
    <x v="0"/>
    <x v="0"/>
    <s v="Real"/>
    <s v="Entrepreneur"/>
    <s v="Branding"/>
    <x v="0"/>
    <x v="2"/>
    <x v="3"/>
    <s v="F12.01.01"/>
    <n v="1"/>
    <s v="Membentuk komunitas yang bertumbuh dalam pengenalan akan Firman Tuhan dan meyediakan ruang untuk saling membangun, berbagi serta mendalami Iman"/>
    <s v="01.01"/>
    <x v="0"/>
    <s v="K12"/>
    <s v="F"/>
    <n v="70"/>
    <n v="72"/>
    <s v="Tuntas"/>
    <s v="Agama Kristen"/>
    <x v="1"/>
    <x v="2"/>
    <n v="72"/>
    <x v="1"/>
    <n v="12"/>
    <x v="0"/>
    <x v="1"/>
    <x v="2"/>
  </r>
  <r>
    <n v="1697"/>
    <s v="232410008"/>
    <x v="2"/>
    <x v="21"/>
    <s v="Intan Jaya"/>
    <d v="2026-01-21T00:00:00"/>
    <s v="21"/>
    <x v="0"/>
    <s v="26"/>
    <x v="0"/>
    <x v="0"/>
    <x v="0"/>
    <s v="Real"/>
    <s v="Entrepreneur"/>
    <s v="Branding"/>
    <x v="0"/>
    <x v="2"/>
    <x v="3"/>
    <s v="F12.01.02"/>
    <n v="1"/>
    <s v="Membentuk komunitas yang bertumbuh dalam pengenalan akan Firman Tuhan dan meyediakan ruang untuk saling membangun, berbagi serta mendalami Iman"/>
    <s v="01.02"/>
    <x v="1"/>
    <s v="K12"/>
    <s v="F"/>
    <n v="70"/>
    <n v="71"/>
    <s v="Tuntas"/>
    <s v="Agama Kristen"/>
    <x v="1"/>
    <x v="2"/>
    <n v="71"/>
    <x v="1"/>
    <n v="12"/>
    <x v="0"/>
    <x v="2"/>
    <x v="2"/>
  </r>
  <r>
    <n v="1698"/>
    <s v="232410008"/>
    <x v="2"/>
    <x v="21"/>
    <s v="Intan Jaya"/>
    <d v="2026-01-28T00:00:00"/>
    <s v="28"/>
    <x v="0"/>
    <s v="26"/>
    <x v="1"/>
    <x v="1"/>
    <x v="0"/>
    <s v="Real"/>
    <s v="Entrepreneur"/>
    <s v="Branding"/>
    <x v="0"/>
    <x v="2"/>
    <x v="3"/>
    <s v="F12.01.03"/>
    <n v="1"/>
    <s v="Membentuk komunitas yang bertumbuh dalam pengenalan akan Firman Tuhan dan meyediakan ruang untuk saling membangun, berbagi serta mendalami Iman"/>
    <s v="01.03"/>
    <x v="2"/>
    <s v="K12"/>
    <s v="F"/>
    <n v="70"/>
    <n v="71"/>
    <s v="Tuntas"/>
    <s v="Agama Kristen"/>
    <x v="1"/>
    <x v="2"/>
    <n v="71"/>
    <x v="1"/>
    <n v="12"/>
    <x v="0"/>
    <x v="3"/>
    <x v="2"/>
  </r>
  <r>
    <n v="1699"/>
    <s v="232410008"/>
    <x v="2"/>
    <x v="21"/>
    <s v="Intan Jaya"/>
    <d v="2026-02-04T00:00:00"/>
    <s v="04"/>
    <x v="1"/>
    <s v="26"/>
    <x v="0"/>
    <x v="0"/>
    <x v="0"/>
    <s v="Real"/>
    <s v="Entrepreneur"/>
    <s v="Branding"/>
    <x v="0"/>
    <x v="2"/>
    <x v="3"/>
    <s v="F12.01.04"/>
    <n v="1"/>
    <s v="Membentuk komunitas yang bertumbuh dalam pengenalan akan Firman Tuhan dan meyediakan ruang untuk saling membangun, berbagi serta mendalami Iman"/>
    <s v="01.04"/>
    <x v="3"/>
    <s v="K12"/>
    <s v="F"/>
    <n v="70"/>
    <n v="70"/>
    <s v="Tuntas"/>
    <s v="Agama Kristen"/>
    <x v="1"/>
    <x v="2"/>
    <n v="70"/>
    <x v="1"/>
    <n v="12"/>
    <x v="0"/>
    <x v="4"/>
    <x v="2"/>
  </r>
  <r>
    <n v="1700"/>
    <s v="232410001"/>
    <x v="2"/>
    <x v="14"/>
    <s v="Dogiyai"/>
    <d v="2026-01-26T00:00:00"/>
    <s v="26"/>
    <x v="0"/>
    <s v="26"/>
    <x v="0"/>
    <x v="16"/>
    <x v="13"/>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3"/>
    <x v="2"/>
  </r>
  <r>
    <n v="1701"/>
    <s v="232410001"/>
    <x v="2"/>
    <x v="14"/>
    <s v="Dogiyai"/>
    <d v="2026-01-30T00:00:00"/>
    <s v="30"/>
    <x v="0"/>
    <s v="26"/>
    <x v="2"/>
    <x v="3"/>
    <x v="6"/>
    <s v="Real"/>
    <s v="Entrepreneur"/>
    <s v="Branding"/>
    <x v="0"/>
    <x v="2"/>
    <x v="4"/>
    <s v="F12.05.01"/>
    <n v="5"/>
    <s v="menyajikan gagasan, pikiran, dan kreativitas dalam berbahasa dalam bentuk monolog, dialog, dan gelar wicara secara logis, sistematis, kritis, dan kreatif"/>
    <s v="05.01"/>
    <x v="26"/>
    <s v="K12"/>
    <s v="F"/>
    <n v="70"/>
    <n v="75"/>
    <s v="Tuntas"/>
    <s v="Bahasa Indonesia"/>
    <x v="6"/>
    <x v="3"/>
    <n v="75"/>
    <x v="1"/>
    <n v="12"/>
    <x v="0"/>
    <x v="3"/>
    <x v="2"/>
  </r>
  <r>
    <n v="1702"/>
    <s v="232410001"/>
    <x v="2"/>
    <x v="14"/>
    <s v="Dogiyai"/>
    <d v="2026-02-02T00:00:00"/>
    <s v="02"/>
    <x v="1"/>
    <s v="26"/>
    <x v="3"/>
    <x v="4"/>
    <x v="3"/>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2"/>
    <x v="4"/>
    <x v="2"/>
  </r>
  <r>
    <n v="1703"/>
    <s v="232410001"/>
    <x v="2"/>
    <x v="14"/>
    <s v="Dogiyai"/>
    <d v="2026-02-09T00:00:00"/>
    <s v="09"/>
    <x v="1"/>
    <s v="26"/>
    <x v="0"/>
    <x v="2"/>
    <x v="17"/>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5"/>
    <x v="2"/>
  </r>
  <r>
    <n v="1704"/>
    <s v="232410001"/>
    <x v="2"/>
    <x v="14"/>
    <s v="Dogiyai"/>
    <d v="2026-02-13T00:00:00"/>
    <s v="13"/>
    <x v="1"/>
    <s v="26"/>
    <x v="4"/>
    <x v="5"/>
    <x v="6"/>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5"/>
    <x v="2"/>
  </r>
  <r>
    <n v="1705"/>
    <s v="232410001"/>
    <x v="2"/>
    <x v="14"/>
    <s v="Dogiyai"/>
    <d v="2026-02-16T00:00:00"/>
    <s v="16"/>
    <x v="1"/>
    <s v="26"/>
    <x v="3"/>
    <x v="4"/>
    <x v="8"/>
    <s v="Real"/>
    <s v="Entrepreneur"/>
    <s v="Branding"/>
    <x v="0"/>
    <x v="2"/>
    <x v="4"/>
    <s v="F12.07.01"/>
    <n v="7"/>
    <s v="mengungkapkan pesan moral dan isu-isu publik yang tertangkap melalui karya sastra (novel) agar dapat menjadi refleksi kehidupan"/>
    <s v="07.01"/>
    <x v="27"/>
    <s v="K12"/>
    <s v="F"/>
    <n v="70"/>
    <n v="85"/>
    <s v="Tuntas"/>
    <s v="Bahasa Indonesia"/>
    <x v="6"/>
    <x v="3"/>
    <n v="85"/>
    <x v="2"/>
    <n v="12"/>
    <x v="2"/>
    <x v="6"/>
    <x v="2"/>
  </r>
  <r>
    <n v="1706"/>
    <s v="232410001"/>
    <x v="2"/>
    <x v="14"/>
    <s v="Dogiyai"/>
    <d v="2026-02-20T00:00:00"/>
    <s v="20"/>
    <x v="1"/>
    <s v="26"/>
    <x v="0"/>
    <x v="16"/>
    <x v="13"/>
    <s v="Real"/>
    <s v="Entrepreneur"/>
    <s v="Branding"/>
    <x v="0"/>
    <x v="2"/>
    <x v="4"/>
    <s v="F12.07.01"/>
    <n v="7"/>
    <s v="mengungkapkan pesan moral dan isu-isu publik yang tertangkap melalui karya sastra (novel) agar dapat menjadi refleksi kehidupan"/>
    <s v="07.01"/>
    <x v="27"/>
    <s v="K12"/>
    <s v="F"/>
    <n v="70"/>
    <n v="80"/>
    <s v="Tuntas"/>
    <s v="Bahasa Indonesia"/>
    <x v="6"/>
    <x v="3"/>
    <n v="80"/>
    <x v="2"/>
    <n v="12"/>
    <x v="0"/>
    <x v="6"/>
    <x v="2"/>
  </r>
  <r>
    <n v="1707"/>
    <s v="232410001"/>
    <x v="2"/>
    <x v="14"/>
    <s v="Dogiyai"/>
    <d v="2026-02-23T00:00:00"/>
    <s v="23"/>
    <x v="1"/>
    <s v="26"/>
    <x v="2"/>
    <x v="6"/>
    <x v="13"/>
    <s v="Real"/>
    <s v="Entrepreneur"/>
    <s v="Branding"/>
    <x v="0"/>
    <x v="2"/>
    <x v="4"/>
    <s v="F12.07.01"/>
    <n v="7"/>
    <s v="mengungkapkan pesan moral dan isu-isu publik yang tertangkap melalui karya sastra (novel) agar dapat menjadi refleksi kehidupan"/>
    <s v="07.01"/>
    <x v="27"/>
    <s v="K12"/>
    <s v="F"/>
    <n v="70"/>
    <n v="80"/>
    <s v="Tuntas"/>
    <s v="Bahasa Indonesia"/>
    <x v="6"/>
    <x v="3"/>
    <n v="80"/>
    <x v="2"/>
    <n v="12"/>
    <x v="0"/>
    <x v="8"/>
    <x v="2"/>
  </r>
  <r>
    <n v="1708"/>
    <s v="232410002"/>
    <x v="2"/>
    <x v="15"/>
    <s v="Tolikara"/>
    <d v="2026-01-26T00:00:00"/>
    <s v="26"/>
    <x v="0"/>
    <s v="26"/>
    <x v="0"/>
    <x v="16"/>
    <x v="13"/>
    <s v="Real"/>
    <s v="Entrepreneur"/>
    <s v="Branding"/>
    <x v="0"/>
    <x v="2"/>
    <x v="4"/>
    <s v="F12.05.01"/>
    <n v="5"/>
    <s v="menyajikan gagasan, pikiran, dan kreativitas dalam berbahasa dalam bentuk monolog, dialog, dan gelar wicara secara logis, sistematis, kritis, dan kreatif"/>
    <s v="05.01"/>
    <x v="26"/>
    <s v="K12"/>
    <s v="F"/>
    <n v="70"/>
    <n v="95"/>
    <s v="Tuntas"/>
    <s v="Bahasa Indonesia"/>
    <x v="6"/>
    <x v="3"/>
    <n v="95"/>
    <x v="4"/>
    <n v="12"/>
    <x v="0"/>
    <x v="3"/>
    <x v="3"/>
  </r>
  <r>
    <n v="1709"/>
    <s v="232410002"/>
    <x v="2"/>
    <x v="15"/>
    <s v="Tolikara"/>
    <d v="2026-01-30T00:00:00"/>
    <s v="30"/>
    <x v="0"/>
    <s v="26"/>
    <x v="2"/>
    <x v="3"/>
    <x v="6"/>
    <s v="Real"/>
    <s v="Entrepreneur"/>
    <s v="Branding"/>
    <x v="0"/>
    <x v="2"/>
    <x v="4"/>
    <s v="F12.05.01"/>
    <n v="5"/>
    <s v="menyajikan gagasan, pikiran, dan kreativitas dalam berbahasa dalam bentuk monolog, dialog, dan gelar wicara secara logis, sistematis, kritis, dan kreatif"/>
    <s v="05.01"/>
    <x v="26"/>
    <s v="K12"/>
    <s v="F"/>
    <n v="70"/>
    <n v="85"/>
    <s v="Tuntas"/>
    <s v="Bahasa Indonesia"/>
    <x v="6"/>
    <x v="3"/>
    <n v="85"/>
    <x v="2"/>
    <n v="12"/>
    <x v="0"/>
    <x v="3"/>
    <x v="3"/>
  </r>
  <r>
    <n v="1710"/>
    <s v="232410002"/>
    <x v="2"/>
    <x v="15"/>
    <s v="Tolikara"/>
    <d v="2026-02-02T00:00:00"/>
    <s v="02"/>
    <x v="1"/>
    <s v="26"/>
    <x v="3"/>
    <x v="4"/>
    <x v="3"/>
    <s v="Real"/>
    <s v="Entrepreneur"/>
    <s v="Branding"/>
    <x v="0"/>
    <x v="2"/>
    <x v="4"/>
    <s v="F12.05.01"/>
    <n v="5"/>
    <s v="menyajikan gagasan, pikiran, dan kreativitas dalam berbahasa dalam bentuk monolog, dialog, dan gelar wicara secara logis, sistematis, kritis, dan kreatif"/>
    <s v="05.01"/>
    <x v="26"/>
    <s v="K12"/>
    <s v="F"/>
    <n v="70"/>
    <n v="85"/>
    <s v="Tuntas"/>
    <s v="Bahasa Indonesia"/>
    <x v="6"/>
    <x v="3"/>
    <n v="85"/>
    <x v="2"/>
    <n v="12"/>
    <x v="2"/>
    <x v="4"/>
    <x v="3"/>
  </r>
  <r>
    <n v="1711"/>
    <s v="232410002"/>
    <x v="2"/>
    <x v="15"/>
    <s v="Tolikara"/>
    <d v="2026-02-09T00:00:00"/>
    <s v="09"/>
    <x v="1"/>
    <s v="26"/>
    <x v="0"/>
    <x v="2"/>
    <x v="17"/>
    <s v="Real"/>
    <s v="Entrepreneur"/>
    <s v="Branding"/>
    <x v="0"/>
    <x v="2"/>
    <x v="4"/>
    <s v="F12.05.01"/>
    <n v="5"/>
    <s v="menyajikan gagasan, pikiran, dan kreativitas dalam berbahasa dalam bentuk monolog, dialog, dan gelar wicara secara logis, sistematis, kritis, dan kreatif"/>
    <s v="05.01"/>
    <x v="26"/>
    <s v="K12"/>
    <s v="F"/>
    <n v="70"/>
    <n v="90"/>
    <s v="Tuntas"/>
    <s v="Bahasa Indonesia"/>
    <x v="6"/>
    <x v="3"/>
    <n v="90"/>
    <x v="2"/>
    <n v="12"/>
    <x v="0"/>
    <x v="5"/>
    <x v="3"/>
  </r>
  <r>
    <n v="1712"/>
    <s v="232410002"/>
    <x v="2"/>
    <x v="15"/>
    <s v="Tolikara"/>
    <d v="2026-02-13T00:00:00"/>
    <s v="13"/>
    <x v="1"/>
    <s v="26"/>
    <x v="4"/>
    <x v="5"/>
    <x v="6"/>
    <s v="Real"/>
    <s v="Entrepreneur"/>
    <s v="Branding"/>
    <x v="0"/>
    <x v="2"/>
    <x v="4"/>
    <s v="F12.05.01"/>
    <n v="5"/>
    <s v="menyajikan gagasan, pikiran, dan kreativitas dalam berbahasa dalam bentuk monolog, dialog, dan gelar wicara secara logis, sistematis, kritis, dan kreatif"/>
    <s v="05.01"/>
    <x v="26"/>
    <s v="K12"/>
    <s v="F"/>
    <n v="70"/>
    <n v="90"/>
    <s v="Tuntas"/>
    <s v="Bahasa Indonesia"/>
    <x v="6"/>
    <x v="3"/>
    <n v="90"/>
    <x v="2"/>
    <n v="12"/>
    <x v="0"/>
    <x v="5"/>
    <x v="3"/>
  </r>
  <r>
    <n v="1713"/>
    <s v="232410002"/>
    <x v="2"/>
    <x v="15"/>
    <s v="Tolikara"/>
    <d v="2026-02-16T00:00:00"/>
    <s v="16"/>
    <x v="1"/>
    <s v="26"/>
    <x v="3"/>
    <x v="4"/>
    <x v="8"/>
    <s v="Real"/>
    <s v="Entrepreneur"/>
    <s v="Branding"/>
    <x v="0"/>
    <x v="2"/>
    <x v="4"/>
    <s v="F12.07.01"/>
    <n v="7"/>
    <s v="mengungkapkan pesan moral dan isu-isu publik yang tertangkap melalui karya sastra (novel) agar dapat menjadi refleksi kehidupan"/>
    <s v="07.01"/>
    <x v="27"/>
    <s v="K12"/>
    <s v="F"/>
    <n v="70"/>
    <n v="85"/>
    <s v="Tuntas"/>
    <s v="Bahasa Indonesia"/>
    <x v="6"/>
    <x v="3"/>
    <n v="85"/>
    <x v="2"/>
    <n v="12"/>
    <x v="2"/>
    <x v="6"/>
    <x v="3"/>
  </r>
  <r>
    <n v="1714"/>
    <s v="232410002"/>
    <x v="2"/>
    <x v="15"/>
    <s v="Tolikara"/>
    <d v="2026-02-20T00:00:00"/>
    <s v="20"/>
    <x v="1"/>
    <s v="26"/>
    <x v="0"/>
    <x v="16"/>
    <x v="13"/>
    <s v="Real"/>
    <s v="Entrepreneur"/>
    <s v="Branding"/>
    <x v="0"/>
    <x v="2"/>
    <x v="4"/>
    <s v="F12.07.01"/>
    <n v="7"/>
    <s v="mengungkapkan pesan moral dan isu-isu publik yang tertangkap melalui karya sastra (novel) agar dapat menjadi refleksi kehidupan"/>
    <s v="07.01"/>
    <x v="27"/>
    <s v="K12"/>
    <s v="F"/>
    <n v="70"/>
    <n v="90"/>
    <s v="Tuntas"/>
    <s v="Bahasa Indonesia"/>
    <x v="6"/>
    <x v="3"/>
    <n v="90"/>
    <x v="2"/>
    <n v="12"/>
    <x v="0"/>
    <x v="6"/>
    <x v="3"/>
  </r>
  <r>
    <n v="1715"/>
    <s v="232410002"/>
    <x v="2"/>
    <x v="15"/>
    <s v="Tolikara"/>
    <d v="2026-02-23T00:00:00"/>
    <s v="23"/>
    <x v="1"/>
    <s v="26"/>
    <x v="2"/>
    <x v="6"/>
    <x v="13"/>
    <s v="Real"/>
    <s v="Entrepreneur"/>
    <s v="Branding"/>
    <x v="0"/>
    <x v="2"/>
    <x v="4"/>
    <s v="F12.07.01"/>
    <n v="7"/>
    <s v="mengungkapkan pesan moral dan isu-isu publik yang tertangkap melalui karya sastra (novel) agar dapat menjadi refleksi kehidupan"/>
    <s v="07.01"/>
    <x v="27"/>
    <s v="K12"/>
    <s v="F"/>
    <n v="70"/>
    <n v="90"/>
    <s v="Tuntas"/>
    <s v="Bahasa Indonesia"/>
    <x v="6"/>
    <x v="3"/>
    <n v="90"/>
    <x v="2"/>
    <n v="12"/>
    <x v="0"/>
    <x v="8"/>
    <x v="3"/>
  </r>
  <r>
    <n v="1716"/>
    <s v="232410003"/>
    <x v="2"/>
    <x v="16"/>
    <s v="Dogiyai"/>
    <d v="2026-01-26T00:00:00"/>
    <s v="26"/>
    <x v="0"/>
    <s v="26"/>
    <x v="0"/>
    <x v="16"/>
    <x v="13"/>
    <s v="Real"/>
    <s v="Entrepreneur"/>
    <s v="Branding"/>
    <x v="0"/>
    <x v="2"/>
    <x v="4"/>
    <s v="F12.05.01"/>
    <n v="5"/>
    <s v="menyajikan gagasan, pikiran, dan kreativitas dalam berbahasa dalam bentuk monolog, dialog, dan gelar wicara secara logis, sistematis, kritis, dan kreatif"/>
    <s v="05.01"/>
    <x v="26"/>
    <s v="K12"/>
    <s v="F"/>
    <n v="70"/>
    <n v="85"/>
    <s v="Tuntas"/>
    <s v="Bahasa Indonesia"/>
    <x v="6"/>
    <x v="3"/>
    <n v="85"/>
    <x v="2"/>
    <n v="12"/>
    <x v="0"/>
    <x v="3"/>
    <x v="4"/>
  </r>
  <r>
    <n v="1717"/>
    <s v="232410003"/>
    <x v="2"/>
    <x v="16"/>
    <s v="Dogiyai"/>
    <d v="2026-01-30T00:00:00"/>
    <s v="30"/>
    <x v="0"/>
    <s v="26"/>
    <x v="2"/>
    <x v="3"/>
    <x v="6"/>
    <s v="Real"/>
    <s v="Entrepreneur"/>
    <s v="Branding"/>
    <x v="0"/>
    <x v="2"/>
    <x v="4"/>
    <s v="F12.05.01"/>
    <n v="5"/>
    <s v="menyajikan gagasan, pikiran, dan kreativitas dalam berbahasa dalam bentuk monolog, dialog, dan gelar wicara secara logis, sistematis, kritis, dan kreatif"/>
    <s v="05.01"/>
    <x v="26"/>
    <s v="K12"/>
    <s v="F"/>
    <n v="70"/>
    <n v="75"/>
    <s v="Tuntas"/>
    <s v="Bahasa Indonesia"/>
    <x v="6"/>
    <x v="3"/>
    <n v="75"/>
    <x v="1"/>
    <n v="12"/>
    <x v="0"/>
    <x v="3"/>
    <x v="4"/>
  </r>
  <r>
    <n v="1718"/>
    <s v="232410003"/>
    <x v="2"/>
    <x v="16"/>
    <s v="Dogiyai"/>
    <d v="2026-02-02T00:00:00"/>
    <s v="02"/>
    <x v="1"/>
    <s v="26"/>
    <x v="3"/>
    <x v="4"/>
    <x v="3"/>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2"/>
    <x v="4"/>
    <x v="4"/>
  </r>
  <r>
    <n v="1719"/>
    <s v="232410003"/>
    <x v="2"/>
    <x v="16"/>
    <s v="Dogiyai"/>
    <d v="2026-02-09T00:00:00"/>
    <s v="09"/>
    <x v="1"/>
    <s v="26"/>
    <x v="0"/>
    <x v="2"/>
    <x v="17"/>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5"/>
    <x v="4"/>
  </r>
  <r>
    <n v="1720"/>
    <s v="232410003"/>
    <x v="2"/>
    <x v="16"/>
    <s v="Dogiyai"/>
    <d v="2026-02-13T00:00:00"/>
    <s v="13"/>
    <x v="1"/>
    <s v="26"/>
    <x v="4"/>
    <x v="5"/>
    <x v="6"/>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5"/>
    <x v="4"/>
  </r>
  <r>
    <n v="1721"/>
    <s v="232410003"/>
    <x v="2"/>
    <x v="16"/>
    <s v="Dogiyai"/>
    <d v="2026-02-16T00:00:00"/>
    <s v="16"/>
    <x v="1"/>
    <s v="26"/>
    <x v="3"/>
    <x v="4"/>
    <x v="8"/>
    <s v="Real"/>
    <s v="Entrepreneur"/>
    <s v="Branding"/>
    <x v="0"/>
    <x v="2"/>
    <x v="4"/>
    <s v="F12.07.01"/>
    <n v="7"/>
    <s v="mengungkapkan pesan moral dan isu-isu publik yang tertangkap melalui karya sastra (novel) agar dapat menjadi refleksi kehidupan"/>
    <s v="07.01"/>
    <x v="27"/>
    <s v="K12"/>
    <s v="F"/>
    <n v="70"/>
    <n v="85"/>
    <s v="Tuntas"/>
    <s v="Bahasa Indonesia"/>
    <x v="6"/>
    <x v="3"/>
    <n v="85"/>
    <x v="2"/>
    <n v="12"/>
    <x v="2"/>
    <x v="6"/>
    <x v="4"/>
  </r>
  <r>
    <n v="1722"/>
    <s v="232410003"/>
    <x v="2"/>
    <x v="16"/>
    <s v="Dogiyai"/>
    <d v="2026-02-20T00:00:00"/>
    <s v="20"/>
    <x v="1"/>
    <s v="26"/>
    <x v="0"/>
    <x v="16"/>
    <x v="13"/>
    <s v="Real"/>
    <s v="Entrepreneur"/>
    <s v="Branding"/>
    <x v="0"/>
    <x v="2"/>
    <x v="4"/>
    <s v="F12.07.01"/>
    <n v="7"/>
    <s v="mengungkapkan pesan moral dan isu-isu publik yang tertangkap melalui karya sastra (novel) agar dapat menjadi refleksi kehidupan"/>
    <s v="07.01"/>
    <x v="27"/>
    <s v="K12"/>
    <s v="F"/>
    <n v="70"/>
    <n v="80"/>
    <s v="Tuntas"/>
    <s v="Bahasa Indonesia"/>
    <x v="6"/>
    <x v="3"/>
    <n v="80"/>
    <x v="2"/>
    <n v="12"/>
    <x v="0"/>
    <x v="6"/>
    <x v="4"/>
  </r>
  <r>
    <n v="1723"/>
    <s v="232410003"/>
    <x v="2"/>
    <x v="16"/>
    <s v="Dogiyai"/>
    <d v="2026-02-23T00:00:00"/>
    <s v="23"/>
    <x v="1"/>
    <s v="26"/>
    <x v="2"/>
    <x v="6"/>
    <x v="13"/>
    <s v="Real"/>
    <s v="Entrepreneur"/>
    <s v="Branding"/>
    <x v="0"/>
    <x v="2"/>
    <x v="4"/>
    <s v="F12.07.01"/>
    <n v="7"/>
    <s v="mengungkapkan pesan moral dan isu-isu publik yang tertangkap melalui karya sastra (novel) agar dapat menjadi refleksi kehidupan"/>
    <s v="07.01"/>
    <x v="27"/>
    <s v="K12"/>
    <s v="F"/>
    <n v="70"/>
    <n v="80"/>
    <s v="Tuntas"/>
    <s v="Bahasa Indonesia"/>
    <x v="6"/>
    <x v="3"/>
    <n v="80"/>
    <x v="2"/>
    <n v="12"/>
    <x v="0"/>
    <x v="8"/>
    <x v="4"/>
  </r>
  <r>
    <n v="1724"/>
    <s v="232410004"/>
    <x v="2"/>
    <x v="17"/>
    <s v="Intan Jaya"/>
    <d v="2026-01-26T00:00:00"/>
    <s v="26"/>
    <x v="0"/>
    <s v="26"/>
    <x v="0"/>
    <x v="16"/>
    <x v="13"/>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3"/>
    <x v="2"/>
  </r>
  <r>
    <n v="1725"/>
    <s v="232410004"/>
    <x v="2"/>
    <x v="17"/>
    <s v="Intan Jaya"/>
    <d v="2026-01-30T00:00:00"/>
    <s v="30"/>
    <x v="0"/>
    <s v="26"/>
    <x v="2"/>
    <x v="3"/>
    <x v="6"/>
    <s v="Real"/>
    <s v="Entrepreneur"/>
    <s v="Branding"/>
    <x v="0"/>
    <x v="2"/>
    <x v="4"/>
    <s v="F12.05.01"/>
    <n v="5"/>
    <s v="menyajikan gagasan, pikiran, dan kreativitas dalam berbahasa dalam bentuk monolog, dialog, dan gelar wicara secara logis, sistematis, kritis, dan kreatif"/>
    <s v="05.01"/>
    <x v="26"/>
    <s v="K12"/>
    <s v="F"/>
    <n v="70"/>
    <n v="75"/>
    <s v="Tuntas"/>
    <s v="Bahasa Indonesia"/>
    <x v="6"/>
    <x v="3"/>
    <n v="75"/>
    <x v="1"/>
    <n v="12"/>
    <x v="0"/>
    <x v="3"/>
    <x v="2"/>
  </r>
  <r>
    <n v="1726"/>
    <s v="232410004"/>
    <x v="2"/>
    <x v="17"/>
    <s v="Intan Jaya"/>
    <d v="2026-02-02T00:00:00"/>
    <s v="02"/>
    <x v="1"/>
    <s v="26"/>
    <x v="3"/>
    <x v="4"/>
    <x v="3"/>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2"/>
    <x v="4"/>
    <x v="2"/>
  </r>
  <r>
    <n v="1727"/>
    <s v="232410004"/>
    <x v="2"/>
    <x v="17"/>
    <s v="Intan Jaya"/>
    <d v="2026-02-09T00:00:00"/>
    <s v="09"/>
    <x v="1"/>
    <s v="26"/>
    <x v="0"/>
    <x v="2"/>
    <x v="17"/>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5"/>
    <x v="2"/>
  </r>
  <r>
    <n v="1728"/>
    <s v="232410004"/>
    <x v="2"/>
    <x v="17"/>
    <s v="Intan Jaya"/>
    <d v="2026-02-13T00:00:00"/>
    <s v="13"/>
    <x v="1"/>
    <s v="26"/>
    <x v="4"/>
    <x v="5"/>
    <x v="6"/>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5"/>
    <x v="2"/>
  </r>
  <r>
    <n v="1729"/>
    <s v="232410004"/>
    <x v="2"/>
    <x v="17"/>
    <s v="Intan Jaya"/>
    <d v="2026-02-16T00:00:00"/>
    <s v="16"/>
    <x v="1"/>
    <s v="26"/>
    <x v="3"/>
    <x v="4"/>
    <x v="8"/>
    <s v="Real"/>
    <s v="Entrepreneur"/>
    <s v="Branding"/>
    <x v="0"/>
    <x v="2"/>
    <x v="4"/>
    <s v="F12.07.01"/>
    <n v="7"/>
    <s v="mengungkapkan pesan moral dan isu-isu publik yang tertangkap melalui karya sastra (novel) agar dapat menjadi refleksi kehidupan"/>
    <s v="07.01"/>
    <x v="27"/>
    <s v="K12"/>
    <s v="F"/>
    <n v="70"/>
    <n v="85"/>
    <s v="Tuntas"/>
    <s v="Bahasa Indonesia"/>
    <x v="6"/>
    <x v="3"/>
    <n v="85"/>
    <x v="2"/>
    <n v="12"/>
    <x v="2"/>
    <x v="6"/>
    <x v="2"/>
  </r>
  <r>
    <n v="1730"/>
    <s v="232410004"/>
    <x v="2"/>
    <x v="17"/>
    <s v="Intan Jaya"/>
    <d v="2026-02-20T00:00:00"/>
    <s v="20"/>
    <x v="1"/>
    <s v="26"/>
    <x v="0"/>
    <x v="16"/>
    <x v="13"/>
    <s v="Real"/>
    <s v="Entrepreneur"/>
    <s v="Branding"/>
    <x v="0"/>
    <x v="2"/>
    <x v="4"/>
    <s v="F12.07.01"/>
    <n v="7"/>
    <s v="mengungkapkan pesan moral dan isu-isu publik yang tertangkap melalui karya sastra (novel) agar dapat menjadi refleksi kehidupan"/>
    <s v="07.01"/>
    <x v="27"/>
    <s v="K12"/>
    <s v="F"/>
    <n v="70"/>
    <n v="80"/>
    <s v="Tuntas"/>
    <s v="Bahasa Indonesia"/>
    <x v="6"/>
    <x v="3"/>
    <n v="80"/>
    <x v="2"/>
    <n v="12"/>
    <x v="0"/>
    <x v="6"/>
    <x v="2"/>
  </r>
  <r>
    <n v="1731"/>
    <s v="232410004"/>
    <x v="2"/>
    <x v="17"/>
    <s v="Intan Jaya"/>
    <d v="2026-02-23T00:00:00"/>
    <s v="23"/>
    <x v="1"/>
    <s v="26"/>
    <x v="2"/>
    <x v="6"/>
    <x v="13"/>
    <s v="Real"/>
    <s v="Entrepreneur"/>
    <s v="Branding"/>
    <x v="0"/>
    <x v="2"/>
    <x v="4"/>
    <s v="F12.07.01"/>
    <n v="7"/>
    <s v="mengungkapkan pesan moral dan isu-isu publik yang tertangkap melalui karya sastra (novel) agar dapat menjadi refleksi kehidupan"/>
    <s v="07.01"/>
    <x v="27"/>
    <s v="K12"/>
    <s v="F"/>
    <n v="70"/>
    <n v="80"/>
    <s v="Tuntas"/>
    <s v="Bahasa Indonesia"/>
    <x v="6"/>
    <x v="3"/>
    <n v="80"/>
    <x v="2"/>
    <n v="12"/>
    <x v="0"/>
    <x v="8"/>
    <x v="2"/>
  </r>
  <r>
    <n v="1732"/>
    <s v="232410005"/>
    <x v="2"/>
    <x v="13"/>
    <s v="Asmat"/>
    <d v="2026-01-26T00:00:00"/>
    <s v="26"/>
    <x v="0"/>
    <s v="26"/>
    <x v="0"/>
    <x v="16"/>
    <x v="13"/>
    <s v="Real"/>
    <s v="Entrepreneur"/>
    <s v="Branding"/>
    <x v="0"/>
    <x v="2"/>
    <x v="4"/>
    <s v="F12.05.01"/>
    <n v="5"/>
    <s v="menyajikan gagasan, pikiran, dan kreativitas dalam berbahasa dalam bentuk monolog, dialog, dan gelar wicara secara logis, sistematis, kritis, dan kreatif"/>
    <s v="05.01"/>
    <x v="26"/>
    <s v="K12"/>
    <s v="F"/>
    <n v="70"/>
    <n v="90"/>
    <s v="Tuntas"/>
    <s v="Bahasa Indonesia"/>
    <x v="6"/>
    <x v="3"/>
    <n v="90"/>
    <x v="2"/>
    <n v="12"/>
    <x v="0"/>
    <x v="3"/>
    <x v="3"/>
  </r>
  <r>
    <n v="1733"/>
    <s v="232410005"/>
    <x v="2"/>
    <x v="13"/>
    <s v="Asmat"/>
    <d v="2026-01-30T00:00:00"/>
    <s v="30"/>
    <x v="0"/>
    <s v="26"/>
    <x v="2"/>
    <x v="3"/>
    <x v="6"/>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3"/>
    <x v="3"/>
  </r>
  <r>
    <n v="1734"/>
    <s v="232410005"/>
    <x v="2"/>
    <x v="13"/>
    <s v="Asmat"/>
    <d v="2026-02-02T00:00:00"/>
    <s v="02"/>
    <x v="1"/>
    <s v="26"/>
    <x v="3"/>
    <x v="4"/>
    <x v="3"/>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2"/>
    <x v="4"/>
    <x v="3"/>
  </r>
  <r>
    <n v="1735"/>
    <s v="232410005"/>
    <x v="2"/>
    <x v="13"/>
    <s v="Asmat"/>
    <d v="2026-02-09T00:00:00"/>
    <s v="09"/>
    <x v="1"/>
    <s v="26"/>
    <x v="0"/>
    <x v="2"/>
    <x v="17"/>
    <s v="Real"/>
    <s v="Entrepreneur"/>
    <s v="Branding"/>
    <x v="0"/>
    <x v="2"/>
    <x v="4"/>
    <s v="F12.05.01"/>
    <n v="5"/>
    <s v="menyajikan gagasan, pikiran, dan kreativitas dalam berbahasa dalam bentuk monolog, dialog, dan gelar wicara secara logis, sistematis, kritis, dan kreatif"/>
    <s v="05.01"/>
    <x v="26"/>
    <s v="K12"/>
    <s v="F"/>
    <n v="70"/>
    <n v="85"/>
    <s v="Tuntas"/>
    <s v="Bahasa Indonesia"/>
    <x v="6"/>
    <x v="3"/>
    <n v="85"/>
    <x v="2"/>
    <n v="12"/>
    <x v="0"/>
    <x v="5"/>
    <x v="3"/>
  </r>
  <r>
    <n v="1736"/>
    <s v="232410005"/>
    <x v="2"/>
    <x v="13"/>
    <s v="Asmat"/>
    <d v="2026-02-13T00:00:00"/>
    <s v="13"/>
    <x v="1"/>
    <s v="26"/>
    <x v="4"/>
    <x v="5"/>
    <x v="6"/>
    <s v="Real"/>
    <s v="Entrepreneur"/>
    <s v="Branding"/>
    <x v="0"/>
    <x v="2"/>
    <x v="4"/>
    <s v="F12.05.01"/>
    <n v="5"/>
    <s v="menyajikan gagasan, pikiran, dan kreativitas dalam berbahasa dalam bentuk monolog, dialog, dan gelar wicara secara logis, sistematis, kritis, dan kreatif"/>
    <s v="05.01"/>
    <x v="26"/>
    <s v="K12"/>
    <s v="F"/>
    <n v="70"/>
    <n v="85"/>
    <s v="Tuntas"/>
    <s v="Bahasa Indonesia"/>
    <x v="6"/>
    <x v="3"/>
    <n v="85"/>
    <x v="2"/>
    <n v="12"/>
    <x v="0"/>
    <x v="5"/>
    <x v="3"/>
  </r>
  <r>
    <n v="1737"/>
    <s v="232410005"/>
    <x v="2"/>
    <x v="13"/>
    <s v="Asmat"/>
    <d v="2026-02-16T00:00:00"/>
    <s v="16"/>
    <x v="1"/>
    <s v="26"/>
    <x v="3"/>
    <x v="4"/>
    <x v="8"/>
    <s v="Real"/>
    <s v="Entrepreneur"/>
    <s v="Branding"/>
    <x v="0"/>
    <x v="2"/>
    <x v="4"/>
    <s v="F12.07.01"/>
    <n v="7"/>
    <s v="mengungkapkan pesan moral dan isu-isu publik yang tertangkap melalui karya sastra (novel) agar dapat menjadi refleksi kehidupan"/>
    <s v="07.01"/>
    <x v="27"/>
    <s v="K12"/>
    <s v="F"/>
    <n v="70"/>
    <n v="85"/>
    <s v="Tuntas"/>
    <s v="Bahasa Indonesia"/>
    <x v="6"/>
    <x v="3"/>
    <n v="85"/>
    <x v="2"/>
    <n v="12"/>
    <x v="2"/>
    <x v="6"/>
    <x v="3"/>
  </r>
  <r>
    <n v="1738"/>
    <s v="232410005"/>
    <x v="2"/>
    <x v="13"/>
    <s v="Asmat"/>
    <d v="2026-02-20T00:00:00"/>
    <s v="20"/>
    <x v="1"/>
    <s v="26"/>
    <x v="0"/>
    <x v="16"/>
    <x v="13"/>
    <s v="Real"/>
    <s v="Entrepreneur"/>
    <s v="Branding"/>
    <x v="0"/>
    <x v="2"/>
    <x v="4"/>
    <s v="F12.07.01"/>
    <n v="7"/>
    <s v="mengungkapkan pesan moral dan isu-isu publik yang tertangkap melalui karya sastra (novel) agar dapat menjadi refleksi kehidupan"/>
    <s v="07.01"/>
    <x v="27"/>
    <s v="K12"/>
    <s v="F"/>
    <n v="70"/>
    <n v="85"/>
    <s v="Tuntas"/>
    <s v="Bahasa Indonesia"/>
    <x v="6"/>
    <x v="3"/>
    <n v="85"/>
    <x v="2"/>
    <n v="12"/>
    <x v="0"/>
    <x v="6"/>
    <x v="3"/>
  </r>
  <r>
    <n v="1739"/>
    <s v="232410005"/>
    <x v="2"/>
    <x v="13"/>
    <s v="Asmat"/>
    <d v="2026-02-23T00:00:00"/>
    <s v="23"/>
    <x v="1"/>
    <s v="26"/>
    <x v="2"/>
    <x v="6"/>
    <x v="13"/>
    <s v="Real"/>
    <s v="Entrepreneur"/>
    <s v="Branding"/>
    <x v="0"/>
    <x v="2"/>
    <x v="4"/>
    <s v="F12.07.01"/>
    <n v="7"/>
    <s v="mengungkapkan pesan moral dan isu-isu publik yang tertangkap melalui karya sastra (novel) agar dapat menjadi refleksi kehidupan"/>
    <s v="07.01"/>
    <x v="27"/>
    <s v="K12"/>
    <s v="F"/>
    <n v="70"/>
    <n v="80"/>
    <s v="Tuntas"/>
    <s v="Bahasa Indonesia"/>
    <x v="6"/>
    <x v="3"/>
    <n v="80"/>
    <x v="2"/>
    <n v="12"/>
    <x v="0"/>
    <x v="8"/>
    <x v="3"/>
  </r>
  <r>
    <n v="1740"/>
    <s v="232410006"/>
    <x v="2"/>
    <x v="18"/>
    <s v="Intan Jaya"/>
    <d v="2026-01-26T00:00:00"/>
    <s v="26"/>
    <x v="0"/>
    <s v="26"/>
    <x v="0"/>
    <x v="16"/>
    <x v="13"/>
    <s v="Real"/>
    <s v="Entrepreneur"/>
    <s v="Branding"/>
    <x v="0"/>
    <x v="2"/>
    <x v="4"/>
    <s v="F12.05.01"/>
    <n v="5"/>
    <s v="menyajikan gagasan, pikiran, dan kreativitas dalam berbahasa dalam bentuk monolog, dialog, dan gelar wicara secara logis, sistematis, kritis, dan kreatif"/>
    <s v="05.01"/>
    <x v="26"/>
    <s v="K12"/>
    <s v="F"/>
    <n v="70"/>
    <n v="85"/>
    <s v="Tuntas"/>
    <s v="Bahasa Indonesia"/>
    <x v="6"/>
    <x v="3"/>
    <n v="85"/>
    <x v="2"/>
    <n v="12"/>
    <x v="0"/>
    <x v="3"/>
    <x v="4"/>
  </r>
  <r>
    <n v="1741"/>
    <s v="232410006"/>
    <x v="2"/>
    <x v="18"/>
    <s v="Intan Jaya"/>
    <d v="2026-01-30T00:00:00"/>
    <s v="30"/>
    <x v="0"/>
    <s v="26"/>
    <x v="2"/>
    <x v="3"/>
    <x v="6"/>
    <s v="Real"/>
    <s v="Entrepreneur"/>
    <s v="Branding"/>
    <x v="0"/>
    <x v="2"/>
    <x v="4"/>
    <s v="F12.05.01"/>
    <n v="5"/>
    <s v="menyajikan gagasan, pikiran, dan kreativitas dalam berbahasa dalam bentuk monolog, dialog, dan gelar wicara secara logis, sistematis, kritis, dan kreatif"/>
    <s v="05.01"/>
    <x v="26"/>
    <s v="K12"/>
    <s v="F"/>
    <n v="70"/>
    <n v="75"/>
    <s v="Tuntas"/>
    <s v="Bahasa Indonesia"/>
    <x v="6"/>
    <x v="3"/>
    <n v="75"/>
    <x v="1"/>
    <n v="12"/>
    <x v="0"/>
    <x v="3"/>
    <x v="4"/>
  </r>
  <r>
    <n v="1742"/>
    <s v="232410006"/>
    <x v="2"/>
    <x v="18"/>
    <s v="Intan Jaya"/>
    <d v="2026-02-02T00:00:00"/>
    <s v="02"/>
    <x v="1"/>
    <s v="26"/>
    <x v="3"/>
    <x v="4"/>
    <x v="3"/>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2"/>
    <x v="4"/>
    <x v="4"/>
  </r>
  <r>
    <n v="1743"/>
    <s v="232410006"/>
    <x v="2"/>
    <x v="18"/>
    <s v="Intan Jaya"/>
    <d v="2026-02-09T00:00:00"/>
    <s v="09"/>
    <x v="1"/>
    <s v="26"/>
    <x v="0"/>
    <x v="2"/>
    <x v="17"/>
    <s v="Real"/>
    <s v="Entrepreneur"/>
    <s v="Branding"/>
    <x v="0"/>
    <x v="2"/>
    <x v="4"/>
    <s v="F12.05.01"/>
    <n v="5"/>
    <s v="menyajikan gagasan, pikiran, dan kreativitas dalam berbahasa dalam bentuk monolog, dialog, dan gelar wicara secara logis, sistematis, kritis, dan kreatif"/>
    <s v="05.01"/>
    <x v="26"/>
    <s v="K12"/>
    <s v="F"/>
    <n v="70"/>
    <n v="85"/>
    <s v="Tuntas"/>
    <s v="Bahasa Indonesia"/>
    <x v="6"/>
    <x v="3"/>
    <n v="85"/>
    <x v="2"/>
    <n v="12"/>
    <x v="0"/>
    <x v="5"/>
    <x v="4"/>
  </r>
  <r>
    <n v="1744"/>
    <s v="232410006"/>
    <x v="2"/>
    <x v="18"/>
    <s v="Intan Jaya"/>
    <d v="2026-02-13T00:00:00"/>
    <s v="13"/>
    <x v="1"/>
    <s v="26"/>
    <x v="4"/>
    <x v="5"/>
    <x v="6"/>
    <s v="Real"/>
    <s v="Entrepreneur"/>
    <s v="Branding"/>
    <x v="0"/>
    <x v="2"/>
    <x v="4"/>
    <s v="F12.05.01"/>
    <n v="5"/>
    <s v="menyajikan gagasan, pikiran, dan kreativitas dalam berbahasa dalam bentuk monolog, dialog, dan gelar wicara secara logis, sistematis, kritis, dan kreatif"/>
    <s v="05.01"/>
    <x v="26"/>
    <s v="K12"/>
    <s v="F"/>
    <n v="70"/>
    <n v="85"/>
    <s v="Tuntas"/>
    <s v="Bahasa Indonesia"/>
    <x v="6"/>
    <x v="3"/>
    <n v="85"/>
    <x v="2"/>
    <n v="12"/>
    <x v="0"/>
    <x v="5"/>
    <x v="4"/>
  </r>
  <r>
    <n v="1745"/>
    <s v="232410006"/>
    <x v="2"/>
    <x v="18"/>
    <s v="Intan Jaya"/>
    <d v="2026-02-16T00:00:00"/>
    <s v="16"/>
    <x v="1"/>
    <s v="26"/>
    <x v="3"/>
    <x v="4"/>
    <x v="8"/>
    <s v="Real"/>
    <s v="Entrepreneur"/>
    <s v="Branding"/>
    <x v="0"/>
    <x v="2"/>
    <x v="4"/>
    <s v="F12.07.01"/>
    <n v="7"/>
    <s v="mengungkapkan pesan moral dan isu-isu publik yang tertangkap melalui karya sastra (novel) agar dapat menjadi refleksi kehidupan"/>
    <s v="07.01"/>
    <x v="27"/>
    <s v="K12"/>
    <s v="F"/>
    <n v="70"/>
    <n v="85"/>
    <s v="Tuntas"/>
    <s v="Bahasa Indonesia"/>
    <x v="6"/>
    <x v="3"/>
    <n v="85"/>
    <x v="2"/>
    <n v="12"/>
    <x v="2"/>
    <x v="6"/>
    <x v="4"/>
  </r>
  <r>
    <n v="1746"/>
    <s v="232410006"/>
    <x v="2"/>
    <x v="18"/>
    <s v="Intan Jaya"/>
    <d v="2026-02-20T00:00:00"/>
    <s v="20"/>
    <x v="1"/>
    <s v="26"/>
    <x v="0"/>
    <x v="16"/>
    <x v="13"/>
    <s v="Real"/>
    <s v="Entrepreneur"/>
    <s v="Branding"/>
    <x v="0"/>
    <x v="2"/>
    <x v="4"/>
    <s v="F12.07.01"/>
    <n v="7"/>
    <s v="mengungkapkan pesan moral dan isu-isu publik yang tertangkap melalui karya sastra (novel) agar dapat menjadi refleksi kehidupan"/>
    <s v="07.01"/>
    <x v="27"/>
    <s v="K12"/>
    <s v="F"/>
    <n v="70"/>
    <n v="85"/>
    <s v="Tuntas"/>
    <s v="Bahasa Indonesia"/>
    <x v="6"/>
    <x v="3"/>
    <n v="85"/>
    <x v="2"/>
    <n v="12"/>
    <x v="0"/>
    <x v="6"/>
    <x v="4"/>
  </r>
  <r>
    <n v="1747"/>
    <s v="232410006"/>
    <x v="2"/>
    <x v="18"/>
    <s v="Intan Jaya"/>
    <d v="2026-02-23T00:00:00"/>
    <s v="23"/>
    <x v="1"/>
    <s v="26"/>
    <x v="2"/>
    <x v="6"/>
    <x v="13"/>
    <s v="Real"/>
    <s v="Entrepreneur"/>
    <s v="Branding"/>
    <x v="0"/>
    <x v="2"/>
    <x v="4"/>
    <s v="F12.07.01"/>
    <n v="7"/>
    <s v="mengungkapkan pesan moral dan isu-isu publik yang tertangkap melalui karya sastra (novel) agar dapat menjadi refleksi kehidupan"/>
    <s v="07.01"/>
    <x v="27"/>
    <s v="K12"/>
    <s v="F"/>
    <n v="70"/>
    <n v="90"/>
    <s v="Tuntas"/>
    <s v="Bahasa Indonesia"/>
    <x v="6"/>
    <x v="3"/>
    <n v="90"/>
    <x v="2"/>
    <n v="12"/>
    <x v="0"/>
    <x v="8"/>
    <x v="4"/>
  </r>
  <r>
    <n v="1748"/>
    <s v="232410007"/>
    <x v="2"/>
    <x v="19"/>
    <s v="Intan Jaya"/>
    <d v="2026-01-26T00:00:00"/>
    <s v="26"/>
    <x v="0"/>
    <s v="26"/>
    <x v="0"/>
    <x v="16"/>
    <x v="13"/>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3"/>
    <x v="2"/>
  </r>
  <r>
    <n v="1749"/>
    <s v="232410007"/>
    <x v="2"/>
    <x v="19"/>
    <s v="Intan Jaya"/>
    <d v="2026-01-30T00:00:00"/>
    <s v="30"/>
    <x v="0"/>
    <s v="26"/>
    <x v="2"/>
    <x v="3"/>
    <x v="6"/>
    <s v="Real"/>
    <s v="Entrepreneur"/>
    <s v="Branding"/>
    <x v="0"/>
    <x v="2"/>
    <x v="4"/>
    <s v="F12.05.01"/>
    <n v="5"/>
    <s v="menyajikan gagasan, pikiran, dan kreativitas dalam berbahasa dalam bentuk monolog, dialog, dan gelar wicara secara logis, sistematis, kritis, dan kreatif"/>
    <s v="05.01"/>
    <x v="26"/>
    <s v="K12"/>
    <s v="F"/>
    <n v="70"/>
    <n v="75"/>
    <s v="Tuntas"/>
    <s v="Bahasa Indonesia"/>
    <x v="6"/>
    <x v="3"/>
    <n v="75"/>
    <x v="1"/>
    <n v="12"/>
    <x v="0"/>
    <x v="3"/>
    <x v="2"/>
  </r>
  <r>
    <n v="1750"/>
    <s v="232410007"/>
    <x v="2"/>
    <x v="19"/>
    <s v="Intan Jaya"/>
    <d v="2026-02-02T00:00:00"/>
    <s v="02"/>
    <x v="1"/>
    <s v="26"/>
    <x v="3"/>
    <x v="4"/>
    <x v="3"/>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2"/>
    <x v="4"/>
    <x v="2"/>
  </r>
  <r>
    <n v="1751"/>
    <s v="232410007"/>
    <x v="2"/>
    <x v="19"/>
    <s v="Intan Jaya"/>
    <d v="2026-02-09T00:00:00"/>
    <s v="09"/>
    <x v="1"/>
    <s v="26"/>
    <x v="0"/>
    <x v="2"/>
    <x v="17"/>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5"/>
    <x v="2"/>
  </r>
  <r>
    <n v="1752"/>
    <s v="232410007"/>
    <x v="2"/>
    <x v="19"/>
    <s v="Intan Jaya"/>
    <d v="2026-02-13T00:00:00"/>
    <s v="13"/>
    <x v="1"/>
    <s v="26"/>
    <x v="4"/>
    <x v="5"/>
    <x v="6"/>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5"/>
    <x v="2"/>
  </r>
  <r>
    <n v="1753"/>
    <s v="232410007"/>
    <x v="2"/>
    <x v="19"/>
    <s v="Intan Jaya"/>
    <d v="2026-02-16T00:00:00"/>
    <s v="16"/>
    <x v="1"/>
    <s v="26"/>
    <x v="3"/>
    <x v="4"/>
    <x v="8"/>
    <s v="Real"/>
    <s v="Entrepreneur"/>
    <s v="Branding"/>
    <x v="0"/>
    <x v="2"/>
    <x v="4"/>
    <s v="F12.07.01"/>
    <n v="7"/>
    <s v="mengungkapkan pesan moral dan isu-isu publik yang tertangkap melalui karya sastra (novel) agar dapat menjadi refleksi kehidupan"/>
    <s v="07.01"/>
    <x v="27"/>
    <s v="K12"/>
    <s v="F"/>
    <n v="70"/>
    <n v="85"/>
    <s v="Tuntas"/>
    <s v="Bahasa Indonesia"/>
    <x v="6"/>
    <x v="3"/>
    <n v="85"/>
    <x v="2"/>
    <n v="12"/>
    <x v="2"/>
    <x v="6"/>
    <x v="2"/>
  </r>
  <r>
    <n v="1754"/>
    <s v="232410007"/>
    <x v="2"/>
    <x v="19"/>
    <s v="Intan Jaya"/>
    <d v="2026-02-20T00:00:00"/>
    <s v="20"/>
    <x v="1"/>
    <s v="26"/>
    <x v="0"/>
    <x v="16"/>
    <x v="13"/>
    <s v="Real"/>
    <s v="Entrepreneur"/>
    <s v="Branding"/>
    <x v="0"/>
    <x v="2"/>
    <x v="4"/>
    <s v="F12.07.01"/>
    <n v="7"/>
    <s v="mengungkapkan pesan moral dan isu-isu publik yang tertangkap melalui karya sastra (novel) agar dapat menjadi refleksi kehidupan"/>
    <s v="07.01"/>
    <x v="27"/>
    <s v="K12"/>
    <s v="F"/>
    <n v="70"/>
    <n v="80"/>
    <s v="Tuntas"/>
    <s v="Bahasa Indonesia"/>
    <x v="6"/>
    <x v="3"/>
    <n v="80"/>
    <x v="2"/>
    <n v="12"/>
    <x v="0"/>
    <x v="6"/>
    <x v="2"/>
  </r>
  <r>
    <n v="1755"/>
    <s v="232410007"/>
    <x v="2"/>
    <x v="19"/>
    <s v="Intan Jaya"/>
    <d v="2026-02-23T00:00:00"/>
    <s v="23"/>
    <x v="1"/>
    <s v="26"/>
    <x v="2"/>
    <x v="6"/>
    <x v="13"/>
    <s v="Real"/>
    <s v="Entrepreneur"/>
    <s v="Branding"/>
    <x v="0"/>
    <x v="2"/>
    <x v="4"/>
    <s v="F12.07.01"/>
    <n v="7"/>
    <s v="mengungkapkan pesan moral dan isu-isu publik yang tertangkap melalui karya sastra (novel) agar dapat menjadi refleksi kehidupan"/>
    <s v="07.01"/>
    <x v="27"/>
    <s v="K12"/>
    <s v="F"/>
    <n v="70"/>
    <n v="80"/>
    <s v="Tuntas"/>
    <s v="Bahasa Indonesia"/>
    <x v="6"/>
    <x v="3"/>
    <n v="80"/>
    <x v="2"/>
    <n v="12"/>
    <x v="0"/>
    <x v="8"/>
    <x v="2"/>
  </r>
  <r>
    <n v="1756"/>
    <s v="232410009"/>
    <x v="2"/>
    <x v="20"/>
    <s v="Intan Jaya"/>
    <d v="2026-01-26T00:00:00"/>
    <s v="26"/>
    <x v="0"/>
    <s v="26"/>
    <x v="0"/>
    <x v="16"/>
    <x v="13"/>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3"/>
    <x v="7"/>
  </r>
  <r>
    <n v="1757"/>
    <s v="232410009"/>
    <x v="2"/>
    <x v="20"/>
    <s v="Intan Jaya"/>
    <d v="2026-01-30T00:00:00"/>
    <s v="30"/>
    <x v="0"/>
    <s v="26"/>
    <x v="2"/>
    <x v="3"/>
    <x v="6"/>
    <s v="Real"/>
    <s v="Entrepreneur"/>
    <s v="Branding"/>
    <x v="0"/>
    <x v="2"/>
    <x v="4"/>
    <s v="F12.05.01"/>
    <n v="5"/>
    <s v="menyajikan gagasan, pikiran, dan kreativitas dalam berbahasa dalam bentuk monolog, dialog, dan gelar wicara secara logis, sistematis, kritis, dan kreatif"/>
    <s v="05.01"/>
    <x v="26"/>
    <s v="K12"/>
    <s v="F"/>
    <n v="70"/>
    <n v="75"/>
    <s v="Tuntas"/>
    <s v="Bahasa Indonesia"/>
    <x v="6"/>
    <x v="3"/>
    <n v="75"/>
    <x v="1"/>
    <n v="12"/>
    <x v="0"/>
    <x v="3"/>
    <x v="7"/>
  </r>
  <r>
    <n v="1758"/>
    <s v="232410009"/>
    <x v="2"/>
    <x v="20"/>
    <s v="Intan Jaya"/>
    <d v="2026-02-02T00:00:00"/>
    <s v="02"/>
    <x v="1"/>
    <s v="26"/>
    <x v="3"/>
    <x v="4"/>
    <x v="3"/>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2"/>
    <x v="4"/>
    <x v="7"/>
  </r>
  <r>
    <n v="1759"/>
    <s v="232410009"/>
    <x v="2"/>
    <x v="20"/>
    <s v="Intan Jaya"/>
    <d v="2026-02-09T00:00:00"/>
    <s v="09"/>
    <x v="1"/>
    <s v="26"/>
    <x v="0"/>
    <x v="2"/>
    <x v="17"/>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5"/>
    <x v="7"/>
  </r>
  <r>
    <n v="1760"/>
    <s v="232410009"/>
    <x v="2"/>
    <x v="20"/>
    <s v="Intan Jaya"/>
    <d v="2026-02-13T00:00:00"/>
    <s v="13"/>
    <x v="1"/>
    <s v="26"/>
    <x v="4"/>
    <x v="5"/>
    <x v="6"/>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5"/>
    <x v="7"/>
  </r>
  <r>
    <n v="1761"/>
    <s v="232410009"/>
    <x v="2"/>
    <x v="20"/>
    <s v="Intan Jaya"/>
    <d v="2026-02-16T00:00:00"/>
    <s v="16"/>
    <x v="1"/>
    <s v="26"/>
    <x v="3"/>
    <x v="4"/>
    <x v="8"/>
    <s v="Real"/>
    <s v="Entrepreneur"/>
    <s v="Branding"/>
    <x v="0"/>
    <x v="2"/>
    <x v="4"/>
    <s v="F12.07.01"/>
    <n v="7"/>
    <s v="mengungkapkan pesan moral dan isu-isu publik yang tertangkap melalui karya sastra (novel) agar dapat menjadi refleksi kehidupan"/>
    <s v="07.01"/>
    <x v="27"/>
    <s v="K12"/>
    <s v="F"/>
    <n v="70"/>
    <n v="85"/>
    <s v="Tuntas"/>
    <s v="Bahasa Indonesia"/>
    <x v="6"/>
    <x v="3"/>
    <n v="85"/>
    <x v="2"/>
    <n v="12"/>
    <x v="2"/>
    <x v="6"/>
    <x v="7"/>
  </r>
  <r>
    <n v="1762"/>
    <s v="232410009"/>
    <x v="2"/>
    <x v="20"/>
    <s v="Intan Jaya"/>
    <d v="2026-02-20T00:00:00"/>
    <s v="20"/>
    <x v="1"/>
    <s v="26"/>
    <x v="0"/>
    <x v="16"/>
    <x v="13"/>
    <s v="Real"/>
    <s v="Entrepreneur"/>
    <s v="Branding"/>
    <x v="0"/>
    <x v="2"/>
    <x v="4"/>
    <s v="F12.07.01"/>
    <n v="7"/>
    <s v="mengungkapkan pesan moral dan isu-isu publik yang tertangkap melalui karya sastra (novel) agar dapat menjadi refleksi kehidupan"/>
    <s v="07.01"/>
    <x v="27"/>
    <s v="K12"/>
    <s v="F"/>
    <n v="70"/>
    <n v="80"/>
    <s v="Tuntas"/>
    <s v="Bahasa Indonesia"/>
    <x v="6"/>
    <x v="3"/>
    <n v="80"/>
    <x v="2"/>
    <n v="12"/>
    <x v="0"/>
    <x v="6"/>
    <x v="7"/>
  </r>
  <r>
    <n v="1763"/>
    <s v="232410009"/>
    <x v="2"/>
    <x v="20"/>
    <s v="Intan Jaya"/>
    <d v="2026-02-23T00:00:00"/>
    <s v="23"/>
    <x v="1"/>
    <s v="26"/>
    <x v="2"/>
    <x v="6"/>
    <x v="13"/>
    <s v="Real"/>
    <s v="Entrepreneur"/>
    <s v="Branding"/>
    <x v="0"/>
    <x v="2"/>
    <x v="4"/>
    <s v="F12.07.01"/>
    <n v="7"/>
    <s v="mengungkapkan pesan moral dan isu-isu publik yang tertangkap melalui karya sastra (novel) agar dapat menjadi refleksi kehidupan"/>
    <s v="07.01"/>
    <x v="27"/>
    <s v="K12"/>
    <s v="F"/>
    <n v="70"/>
    <n v="80"/>
    <s v="Tuntas"/>
    <s v="Bahasa Indonesia"/>
    <x v="6"/>
    <x v="3"/>
    <n v="80"/>
    <x v="2"/>
    <n v="12"/>
    <x v="0"/>
    <x v="8"/>
    <x v="7"/>
  </r>
  <r>
    <n v="1764"/>
    <s v="232410008"/>
    <x v="2"/>
    <x v="21"/>
    <s v="Intan Jaya"/>
    <d v="2026-01-26T00:00:00"/>
    <s v="26"/>
    <x v="0"/>
    <s v="26"/>
    <x v="0"/>
    <x v="16"/>
    <x v="13"/>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3"/>
    <x v="2"/>
  </r>
  <r>
    <n v="1765"/>
    <s v="232410008"/>
    <x v="2"/>
    <x v="21"/>
    <s v="Intan Jaya"/>
    <d v="2026-01-30T00:00:00"/>
    <s v="30"/>
    <x v="0"/>
    <s v="26"/>
    <x v="2"/>
    <x v="3"/>
    <x v="6"/>
    <s v="Real"/>
    <s v="Entrepreneur"/>
    <s v="Branding"/>
    <x v="0"/>
    <x v="2"/>
    <x v="4"/>
    <s v="F12.05.01"/>
    <n v="5"/>
    <s v="menyajikan gagasan, pikiran, dan kreativitas dalam berbahasa dalam bentuk monolog, dialog, dan gelar wicara secara logis, sistematis, kritis, dan kreatif"/>
    <s v="05.01"/>
    <x v="26"/>
    <s v="K12"/>
    <s v="F"/>
    <n v="70"/>
    <n v="75"/>
    <s v="Tuntas"/>
    <s v="Bahasa Indonesia"/>
    <x v="6"/>
    <x v="3"/>
    <n v="75"/>
    <x v="1"/>
    <n v="12"/>
    <x v="0"/>
    <x v="3"/>
    <x v="2"/>
  </r>
  <r>
    <n v="1766"/>
    <s v="232410008"/>
    <x v="2"/>
    <x v="21"/>
    <s v="Intan Jaya"/>
    <d v="2026-02-02T00:00:00"/>
    <s v="02"/>
    <x v="1"/>
    <s v="26"/>
    <x v="3"/>
    <x v="4"/>
    <x v="3"/>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2"/>
    <x v="4"/>
    <x v="2"/>
  </r>
  <r>
    <n v="1767"/>
    <s v="232410008"/>
    <x v="2"/>
    <x v="21"/>
    <s v="Intan Jaya"/>
    <d v="2026-02-09T00:00:00"/>
    <s v="09"/>
    <x v="1"/>
    <s v="26"/>
    <x v="0"/>
    <x v="2"/>
    <x v="17"/>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5"/>
    <x v="2"/>
  </r>
  <r>
    <n v="1768"/>
    <s v="232410008"/>
    <x v="2"/>
    <x v="21"/>
    <s v="Intan Jaya"/>
    <d v="2026-02-13T00:00:00"/>
    <s v="13"/>
    <x v="1"/>
    <s v="26"/>
    <x v="4"/>
    <x v="5"/>
    <x v="6"/>
    <s v="Real"/>
    <s v="Entrepreneur"/>
    <s v="Branding"/>
    <x v="0"/>
    <x v="2"/>
    <x v="4"/>
    <s v="F12.05.01"/>
    <n v="5"/>
    <s v="menyajikan gagasan, pikiran, dan kreativitas dalam berbahasa dalam bentuk monolog, dialog, dan gelar wicara secara logis, sistematis, kritis, dan kreatif"/>
    <s v="05.01"/>
    <x v="26"/>
    <s v="K12"/>
    <s v="F"/>
    <n v="70"/>
    <n v="80"/>
    <s v="Tuntas"/>
    <s v="Bahasa Indonesia"/>
    <x v="6"/>
    <x v="3"/>
    <n v="80"/>
    <x v="2"/>
    <n v="12"/>
    <x v="0"/>
    <x v="5"/>
    <x v="2"/>
  </r>
  <r>
    <n v="1769"/>
    <s v="232410008"/>
    <x v="2"/>
    <x v="21"/>
    <s v="Intan Jaya"/>
    <d v="2026-02-16T00:00:00"/>
    <s v="16"/>
    <x v="1"/>
    <s v="26"/>
    <x v="3"/>
    <x v="4"/>
    <x v="8"/>
    <s v="Real"/>
    <s v="Entrepreneur"/>
    <s v="Branding"/>
    <x v="0"/>
    <x v="2"/>
    <x v="4"/>
    <s v="F12.07.01"/>
    <n v="7"/>
    <s v="mengungkapkan pesan moral dan isu-isu publik yang tertangkap melalui karya sastra (novel) agar dapat menjadi refleksi kehidupan"/>
    <s v="07.01"/>
    <x v="27"/>
    <s v="K12"/>
    <s v="F"/>
    <n v="70"/>
    <n v="85"/>
    <s v="Tuntas"/>
    <s v="Bahasa Indonesia"/>
    <x v="6"/>
    <x v="3"/>
    <n v="85"/>
    <x v="2"/>
    <n v="12"/>
    <x v="2"/>
    <x v="6"/>
    <x v="2"/>
  </r>
  <r>
    <n v="1770"/>
    <s v="232410008"/>
    <x v="2"/>
    <x v="21"/>
    <s v="Intan Jaya"/>
    <d v="2026-02-20T00:00:00"/>
    <s v="20"/>
    <x v="1"/>
    <s v="26"/>
    <x v="0"/>
    <x v="16"/>
    <x v="13"/>
    <s v="Real"/>
    <s v="Entrepreneur"/>
    <s v="Branding"/>
    <x v="0"/>
    <x v="2"/>
    <x v="4"/>
    <s v="F12.07.01"/>
    <n v="7"/>
    <s v="mengungkapkan pesan moral dan isu-isu publik yang tertangkap melalui karya sastra (novel) agar dapat menjadi refleksi kehidupan"/>
    <s v="07.01"/>
    <x v="27"/>
    <s v="K12"/>
    <s v="F"/>
    <n v="70"/>
    <n v="80"/>
    <s v="Tuntas"/>
    <s v="Bahasa Indonesia"/>
    <x v="6"/>
    <x v="3"/>
    <n v="80"/>
    <x v="2"/>
    <n v="12"/>
    <x v="0"/>
    <x v="6"/>
    <x v="2"/>
  </r>
  <r>
    <n v="1771"/>
    <s v="232410008"/>
    <x v="2"/>
    <x v="21"/>
    <s v="Intan Jaya"/>
    <d v="2026-02-23T00:00:00"/>
    <s v="23"/>
    <x v="1"/>
    <s v="26"/>
    <x v="2"/>
    <x v="6"/>
    <x v="13"/>
    <s v="Real"/>
    <s v="Entrepreneur"/>
    <s v="Branding"/>
    <x v="0"/>
    <x v="2"/>
    <x v="4"/>
    <s v="F12.07.01"/>
    <n v="7"/>
    <s v="mengungkapkan pesan moral dan isu-isu publik yang tertangkap melalui karya sastra (novel) agar dapat menjadi refleksi kehidupan"/>
    <s v="07.01"/>
    <x v="27"/>
    <s v="K12"/>
    <s v="F"/>
    <n v="70"/>
    <n v="80"/>
    <s v="Tuntas"/>
    <s v="Bahasa Indonesia"/>
    <x v="6"/>
    <x v="3"/>
    <n v="80"/>
    <x v="2"/>
    <n v="12"/>
    <x v="0"/>
    <x v="8"/>
    <x v="2"/>
  </r>
  <r>
    <n v="1772"/>
    <s v="232410001"/>
    <x v="2"/>
    <x v="14"/>
    <s v="Dogiyai"/>
    <d v="2026-01-12T00:00:00"/>
    <s v="12"/>
    <x v="0"/>
    <s v="26"/>
    <x v="0"/>
    <x v="0"/>
    <x v="11"/>
    <s v="Real"/>
    <s v="Entrepreneur"/>
    <s v="Branding"/>
    <x v="0"/>
    <x v="2"/>
    <x v="5"/>
    <s v="F12.03.01"/>
    <n v="3"/>
    <s v="menyusun karya tulis ilmiah berbasis data terkait kualitas produk olahan"/>
    <s v="03.01"/>
    <x v="28"/>
    <s v="K12"/>
    <s v="F"/>
    <n v="70"/>
    <n v="70"/>
    <s v="Tuntas"/>
    <s v="Bahasa Inggris"/>
    <x v="0"/>
    <x v="4"/>
    <n v="70"/>
    <x v="1"/>
    <n v="12"/>
    <x v="0"/>
    <x v="1"/>
    <x v="2"/>
  </r>
  <r>
    <n v="1773"/>
    <s v="232410001"/>
    <x v="2"/>
    <x v="14"/>
    <s v="Dogiyai"/>
    <d v="2026-01-12T00:00:00"/>
    <s v="12"/>
    <x v="0"/>
    <s v="26"/>
    <x v="1"/>
    <x v="9"/>
    <x v="11"/>
    <s v="Real"/>
    <s v="Entrepreneur"/>
    <s v="Branding"/>
    <x v="0"/>
    <x v="2"/>
    <x v="5"/>
    <s v="F12.03.01"/>
    <n v="3"/>
    <s v="menyusun karya tulis ilmiah berbasis data terkait kualitas produk olahan"/>
    <s v="03.01"/>
    <x v="28"/>
    <s v="K12"/>
    <s v="F"/>
    <n v="70"/>
    <n v="70"/>
    <s v="Tuntas"/>
    <s v="Bahasa Inggris"/>
    <x v="0"/>
    <x v="4"/>
    <n v="70"/>
    <x v="1"/>
    <n v="12"/>
    <x v="0"/>
    <x v="1"/>
    <x v="2"/>
  </r>
  <r>
    <n v="1774"/>
    <s v="232410001"/>
    <x v="2"/>
    <x v="14"/>
    <s v="Dogiyai"/>
    <d v="2026-01-12T00:00:00"/>
    <s v="12"/>
    <x v="0"/>
    <s v="26"/>
    <x v="2"/>
    <x v="3"/>
    <x v="0"/>
    <s v="Real"/>
    <s v="Entrepreneur"/>
    <s v="Branding"/>
    <x v="0"/>
    <x v="2"/>
    <x v="5"/>
    <s v="F12.03.01"/>
    <n v="3"/>
    <s v="menyusun karya tulis ilmiah berbasis data terkait kualitas produk olahan"/>
    <s v="03.01"/>
    <x v="28"/>
    <s v="K12"/>
    <s v="F"/>
    <n v="70"/>
    <n v="65"/>
    <s v="Tidak tuntas"/>
    <s v="Bahasa Inggris"/>
    <x v="0"/>
    <x v="4"/>
    <n v="65"/>
    <x v="3"/>
    <n v="12"/>
    <x v="0"/>
    <x v="1"/>
    <x v="2"/>
  </r>
  <r>
    <n v="1775"/>
    <s v="232410001"/>
    <x v="2"/>
    <x v="14"/>
    <s v="Dogiyai"/>
    <d v="2026-01-12T00:00:00"/>
    <s v="12"/>
    <x v="0"/>
    <s v="26"/>
    <x v="3"/>
    <x v="4"/>
    <x v="3"/>
    <s v="Real"/>
    <s v="Entrepreneur"/>
    <s v="Branding"/>
    <x v="0"/>
    <x v="2"/>
    <x v="5"/>
    <s v="F12.03.01"/>
    <n v="3"/>
    <s v="menyusun karya tulis ilmiah berbasis data terkait kualitas produk olahan"/>
    <s v="03.01"/>
    <x v="28"/>
    <s v="K12"/>
    <s v="F"/>
    <n v="70"/>
    <n v="90"/>
    <s v="Tuntas"/>
    <s v="Bahasa Inggris"/>
    <x v="0"/>
    <x v="4"/>
    <n v="90"/>
    <x v="2"/>
    <n v="12"/>
    <x v="4"/>
    <x v="1"/>
    <x v="2"/>
  </r>
  <r>
    <n v="1776"/>
    <s v="232410001"/>
    <x v="2"/>
    <x v="14"/>
    <s v="Dogiyai"/>
    <d v="2026-01-26T00:00:00"/>
    <s v="26"/>
    <x v="0"/>
    <s v="26"/>
    <x v="0"/>
    <x v="0"/>
    <x v="11"/>
    <s v="Real"/>
    <s v="Entrepreneur"/>
    <s v="Branding"/>
    <x v="0"/>
    <x v="2"/>
    <x v="5"/>
    <s v="F12.03.01"/>
    <n v="3"/>
    <s v="menyusun karya tulis ilmiah berbasis data terkait kualitas produk olahan"/>
    <s v="03.01"/>
    <x v="28"/>
    <s v="K12"/>
    <s v="F"/>
    <n v="70"/>
    <n v="75"/>
    <s v="Tuntas"/>
    <s v="Bahasa Inggris"/>
    <x v="0"/>
    <x v="4"/>
    <n v="75"/>
    <x v="1"/>
    <n v="12"/>
    <x v="0"/>
    <x v="3"/>
    <x v="2"/>
  </r>
  <r>
    <n v="1777"/>
    <s v="232410001"/>
    <x v="2"/>
    <x v="14"/>
    <s v="Dogiyai"/>
    <d v="2026-01-26T00:00:00"/>
    <s v="26"/>
    <x v="0"/>
    <s v="26"/>
    <x v="1"/>
    <x v="9"/>
    <x v="11"/>
    <s v="Real"/>
    <s v="Entrepreneur"/>
    <s v="Branding"/>
    <x v="0"/>
    <x v="2"/>
    <x v="5"/>
    <s v="F12.03.01"/>
    <n v="3"/>
    <s v="menyusun karya tulis ilmiah berbasis data terkait kualitas produk olahan"/>
    <s v="03.01"/>
    <x v="28"/>
    <s v="K12"/>
    <s v="F"/>
    <n v="70"/>
    <n v="75"/>
    <s v="Tuntas"/>
    <s v="Bahasa Inggris"/>
    <x v="0"/>
    <x v="4"/>
    <n v="75"/>
    <x v="1"/>
    <n v="12"/>
    <x v="0"/>
    <x v="3"/>
    <x v="2"/>
  </r>
  <r>
    <n v="1778"/>
    <s v="232410001"/>
    <x v="2"/>
    <x v="14"/>
    <s v="Dogiyai"/>
    <d v="2026-02-02T00:00:00"/>
    <s v="02"/>
    <x v="1"/>
    <s v="26"/>
    <x v="0"/>
    <x v="0"/>
    <x v="6"/>
    <s v="Real"/>
    <s v="Entrepreneur"/>
    <s v="Branding"/>
    <x v="0"/>
    <x v="2"/>
    <x v="5"/>
    <s v="F12.03.01"/>
    <n v="3"/>
    <s v="menyusun karya tulis ilmiah berbasis data terkait kualitas produk olahan"/>
    <s v="03.01"/>
    <x v="28"/>
    <s v="K12"/>
    <s v="F"/>
    <n v="70"/>
    <n v="60"/>
    <s v="Tidak tuntas"/>
    <s v="Bahasa Inggris"/>
    <x v="0"/>
    <x v="4"/>
    <n v="60"/>
    <x v="3"/>
    <n v="12"/>
    <x v="0"/>
    <x v="4"/>
    <x v="2"/>
  </r>
  <r>
    <n v="1779"/>
    <s v="232410001"/>
    <x v="2"/>
    <x v="14"/>
    <s v="Dogiyai"/>
    <d v="2026-02-02T00:00:00"/>
    <s v="02"/>
    <x v="1"/>
    <s v="26"/>
    <x v="1"/>
    <x v="9"/>
    <x v="13"/>
    <s v="Real"/>
    <s v="Entrepreneur"/>
    <s v="Branding"/>
    <x v="0"/>
    <x v="2"/>
    <x v="5"/>
    <s v="F12.03.01"/>
    <n v="3"/>
    <s v="menyusun karya tulis ilmiah berbasis data terkait kualitas produk olahan"/>
    <s v="03.01"/>
    <x v="28"/>
    <s v="K12"/>
    <s v="F"/>
    <n v="70"/>
    <n v="60"/>
    <s v="Tidak tuntas"/>
    <s v="Bahasa Inggris"/>
    <x v="0"/>
    <x v="4"/>
    <n v="60"/>
    <x v="3"/>
    <n v="12"/>
    <x v="0"/>
    <x v="4"/>
    <x v="2"/>
  </r>
  <r>
    <n v="1780"/>
    <s v="232410001"/>
    <x v="2"/>
    <x v="14"/>
    <s v="Dogiyai"/>
    <d v="2026-02-02T00:00:00"/>
    <s v="02"/>
    <x v="1"/>
    <s v="26"/>
    <x v="3"/>
    <x v="4"/>
    <x v="5"/>
    <s v="Real"/>
    <s v="Entrepreneur"/>
    <s v="Branding"/>
    <x v="0"/>
    <x v="2"/>
    <x v="5"/>
    <s v="F12.03.01"/>
    <n v="3"/>
    <s v="menyusun karya tulis ilmiah berbasis data terkait kualitas produk olahan"/>
    <s v="03.01"/>
    <x v="28"/>
    <s v="K12"/>
    <s v="F"/>
    <n v="70"/>
    <n v="50"/>
    <s v="Tidak tuntas"/>
    <s v="Bahasa Inggris"/>
    <x v="0"/>
    <x v="4"/>
    <n v="50"/>
    <x v="3"/>
    <n v="12"/>
    <x v="5"/>
    <x v="4"/>
    <x v="2"/>
  </r>
  <r>
    <n v="1781"/>
    <s v="232410001"/>
    <x v="2"/>
    <x v="14"/>
    <s v="Dogiyai"/>
    <d v="2026-02-02T00:00:00"/>
    <s v="02"/>
    <x v="1"/>
    <s v="26"/>
    <x v="4"/>
    <x v="5"/>
    <x v="6"/>
    <s v="Real"/>
    <s v="Entrepreneur"/>
    <s v="Branding"/>
    <x v="0"/>
    <x v="2"/>
    <x v="5"/>
    <s v="F12.03.01"/>
    <n v="3"/>
    <s v="menyusun karya tulis ilmiah berbasis data terkait kualitas produk olahan"/>
    <s v="03.01"/>
    <x v="28"/>
    <s v="K12"/>
    <s v="F"/>
    <n v="70"/>
    <n v="50"/>
    <s v="Tidak tuntas"/>
    <s v="Bahasa Inggris"/>
    <x v="0"/>
    <x v="4"/>
    <n v="50"/>
    <x v="3"/>
    <n v="12"/>
    <x v="0"/>
    <x v="4"/>
    <x v="2"/>
  </r>
  <r>
    <n v="1782"/>
    <s v="232410002"/>
    <x v="2"/>
    <x v="15"/>
    <s v="Tolikara"/>
    <d v="2026-01-12T00:00:00"/>
    <s v="12"/>
    <x v="0"/>
    <s v="26"/>
    <x v="0"/>
    <x v="0"/>
    <x v="11"/>
    <s v="Real"/>
    <s v="Entrepreneur"/>
    <s v="Branding"/>
    <x v="0"/>
    <x v="2"/>
    <x v="5"/>
    <s v="F12.03.01"/>
    <n v="3"/>
    <s v="menyusun karya tulis ilmiah berbasis data terkait kualitas produk olahan"/>
    <s v="03.01"/>
    <x v="28"/>
    <s v="K12"/>
    <s v="F"/>
    <n v="70"/>
    <n v="75"/>
    <s v="Tuntas"/>
    <s v="Bahasa Inggris"/>
    <x v="0"/>
    <x v="4"/>
    <n v="75"/>
    <x v="1"/>
    <n v="12"/>
    <x v="0"/>
    <x v="1"/>
    <x v="3"/>
  </r>
  <r>
    <n v="1783"/>
    <s v="232410002"/>
    <x v="2"/>
    <x v="15"/>
    <s v="Tolikara"/>
    <d v="2026-01-12T00:00:00"/>
    <s v="12"/>
    <x v="0"/>
    <s v="26"/>
    <x v="1"/>
    <x v="9"/>
    <x v="11"/>
    <s v="Real"/>
    <s v="Entrepreneur"/>
    <s v="Branding"/>
    <x v="0"/>
    <x v="2"/>
    <x v="5"/>
    <s v="F12.03.01"/>
    <n v="3"/>
    <s v="menyusun karya tulis ilmiah berbasis data terkait kualitas produk olahan"/>
    <s v="03.01"/>
    <x v="28"/>
    <s v="K12"/>
    <s v="F"/>
    <n v="70"/>
    <n v="75"/>
    <s v="Tuntas"/>
    <s v="Bahasa Inggris"/>
    <x v="0"/>
    <x v="4"/>
    <n v="75"/>
    <x v="1"/>
    <n v="12"/>
    <x v="0"/>
    <x v="1"/>
    <x v="3"/>
  </r>
  <r>
    <n v="1784"/>
    <s v="232410002"/>
    <x v="2"/>
    <x v="15"/>
    <s v="Tolikara"/>
    <d v="2026-01-12T00:00:00"/>
    <s v="12"/>
    <x v="0"/>
    <s v="26"/>
    <x v="2"/>
    <x v="3"/>
    <x v="0"/>
    <s v="Real"/>
    <s v="Entrepreneur"/>
    <s v="Branding"/>
    <x v="0"/>
    <x v="2"/>
    <x v="5"/>
    <s v="F12.03.01"/>
    <n v="3"/>
    <s v="menyusun karya tulis ilmiah berbasis data terkait kualitas produk olahan"/>
    <s v="03.01"/>
    <x v="28"/>
    <s v="K12"/>
    <s v="F"/>
    <n v="70"/>
    <n v="75"/>
    <s v="Tuntas"/>
    <s v="Bahasa Inggris"/>
    <x v="0"/>
    <x v="4"/>
    <n v="75"/>
    <x v="1"/>
    <n v="12"/>
    <x v="0"/>
    <x v="1"/>
    <x v="3"/>
  </r>
  <r>
    <n v="1785"/>
    <s v="232410002"/>
    <x v="2"/>
    <x v="15"/>
    <s v="Tolikara"/>
    <d v="2026-01-12T00:00:00"/>
    <s v="12"/>
    <x v="0"/>
    <s v="26"/>
    <x v="3"/>
    <x v="4"/>
    <x v="3"/>
    <s v="Real"/>
    <s v="Entrepreneur"/>
    <s v="Branding"/>
    <x v="0"/>
    <x v="2"/>
    <x v="5"/>
    <s v="F12.03.01"/>
    <n v="3"/>
    <s v="menyusun karya tulis ilmiah berbasis data terkait kualitas produk olahan"/>
    <s v="03.01"/>
    <x v="28"/>
    <s v="K12"/>
    <s v="F"/>
    <n v="70"/>
    <n v="90"/>
    <s v="Tuntas"/>
    <s v="Bahasa Inggris"/>
    <x v="0"/>
    <x v="4"/>
    <n v="90"/>
    <x v="2"/>
    <n v="12"/>
    <x v="4"/>
    <x v="1"/>
    <x v="3"/>
  </r>
  <r>
    <n v="1786"/>
    <s v="232410002"/>
    <x v="2"/>
    <x v="15"/>
    <s v="Tolikara"/>
    <d v="2026-01-26T00:00:00"/>
    <s v="26"/>
    <x v="0"/>
    <s v="26"/>
    <x v="0"/>
    <x v="0"/>
    <x v="11"/>
    <s v="Real"/>
    <s v="Entrepreneur"/>
    <s v="Branding"/>
    <x v="0"/>
    <x v="2"/>
    <x v="5"/>
    <s v="F12.03.01"/>
    <n v="3"/>
    <s v="menyusun karya tulis ilmiah berbasis data terkait kualitas produk olahan"/>
    <s v="03.01"/>
    <x v="28"/>
    <s v="K12"/>
    <s v="F"/>
    <n v="70"/>
    <n v="89"/>
    <s v="Tuntas"/>
    <s v="Bahasa Inggris"/>
    <x v="0"/>
    <x v="4"/>
    <n v="89"/>
    <x v="2"/>
    <n v="12"/>
    <x v="0"/>
    <x v="3"/>
    <x v="3"/>
  </r>
  <r>
    <n v="1787"/>
    <s v="232410002"/>
    <x v="2"/>
    <x v="15"/>
    <s v="Tolikara"/>
    <d v="2026-01-26T00:00:00"/>
    <s v="26"/>
    <x v="0"/>
    <s v="26"/>
    <x v="1"/>
    <x v="9"/>
    <x v="11"/>
    <s v="Real"/>
    <s v="Entrepreneur"/>
    <s v="Branding"/>
    <x v="0"/>
    <x v="2"/>
    <x v="5"/>
    <s v="F12.03.01"/>
    <n v="3"/>
    <s v="menyusun karya tulis ilmiah berbasis data terkait kualitas produk olahan"/>
    <s v="03.01"/>
    <x v="28"/>
    <s v="K12"/>
    <s v="F"/>
    <n v="70"/>
    <n v="89"/>
    <s v="Tuntas"/>
    <s v="Bahasa Inggris"/>
    <x v="0"/>
    <x v="4"/>
    <n v="89"/>
    <x v="2"/>
    <n v="12"/>
    <x v="0"/>
    <x v="3"/>
    <x v="3"/>
  </r>
  <r>
    <n v="1788"/>
    <s v="232410002"/>
    <x v="2"/>
    <x v="15"/>
    <s v="Tolikara"/>
    <d v="2026-02-02T00:00:00"/>
    <s v="02"/>
    <x v="1"/>
    <s v="26"/>
    <x v="0"/>
    <x v="0"/>
    <x v="6"/>
    <s v="Real"/>
    <s v="Entrepreneur"/>
    <s v="Branding"/>
    <x v="0"/>
    <x v="2"/>
    <x v="5"/>
    <s v="F12.03.01"/>
    <n v="3"/>
    <s v="menyusun karya tulis ilmiah berbasis data terkait kualitas produk olahan"/>
    <s v="03.01"/>
    <x v="28"/>
    <s v="K12"/>
    <s v="F"/>
    <n v="70"/>
    <n v="90"/>
    <s v="Tuntas"/>
    <s v="Bahasa Inggris"/>
    <x v="0"/>
    <x v="4"/>
    <n v="90"/>
    <x v="2"/>
    <n v="12"/>
    <x v="0"/>
    <x v="4"/>
    <x v="3"/>
  </r>
  <r>
    <n v="1789"/>
    <s v="232410002"/>
    <x v="2"/>
    <x v="15"/>
    <s v="Tolikara"/>
    <d v="2026-02-02T00:00:00"/>
    <s v="02"/>
    <x v="1"/>
    <s v="26"/>
    <x v="1"/>
    <x v="9"/>
    <x v="13"/>
    <s v="Real"/>
    <s v="Entrepreneur"/>
    <s v="Branding"/>
    <x v="0"/>
    <x v="2"/>
    <x v="5"/>
    <s v="F12.03.01"/>
    <n v="3"/>
    <s v="menyusun karya tulis ilmiah berbasis data terkait kualitas produk olahan"/>
    <s v="03.01"/>
    <x v="28"/>
    <s v="K12"/>
    <s v="F"/>
    <n v="70"/>
    <n v="90"/>
    <s v="Tuntas"/>
    <s v="Bahasa Inggris"/>
    <x v="0"/>
    <x v="4"/>
    <n v="90"/>
    <x v="2"/>
    <n v="12"/>
    <x v="0"/>
    <x v="4"/>
    <x v="3"/>
  </r>
  <r>
    <n v="1790"/>
    <s v="232410002"/>
    <x v="2"/>
    <x v="15"/>
    <s v="Tolikara"/>
    <d v="2026-02-02T00:00:00"/>
    <s v="02"/>
    <x v="1"/>
    <s v="26"/>
    <x v="3"/>
    <x v="4"/>
    <x v="5"/>
    <s v="Real"/>
    <s v="Entrepreneur"/>
    <s v="Branding"/>
    <x v="0"/>
    <x v="2"/>
    <x v="5"/>
    <s v="F12.03.01"/>
    <n v="3"/>
    <s v="menyusun karya tulis ilmiah berbasis data terkait kualitas produk olahan"/>
    <s v="03.01"/>
    <x v="28"/>
    <s v="K12"/>
    <s v="F"/>
    <n v="70"/>
    <n v="90"/>
    <s v="Tuntas"/>
    <s v="Bahasa Inggris"/>
    <x v="0"/>
    <x v="4"/>
    <n v="90"/>
    <x v="2"/>
    <n v="12"/>
    <x v="4"/>
    <x v="4"/>
    <x v="3"/>
  </r>
  <r>
    <n v="1791"/>
    <s v="232410002"/>
    <x v="2"/>
    <x v="15"/>
    <s v="Tolikara"/>
    <d v="2026-02-02T00:00:00"/>
    <s v="02"/>
    <x v="1"/>
    <s v="26"/>
    <x v="4"/>
    <x v="5"/>
    <x v="6"/>
    <s v="Real"/>
    <s v="Entrepreneur"/>
    <s v="Branding"/>
    <x v="0"/>
    <x v="2"/>
    <x v="5"/>
    <s v="F12.03.01"/>
    <n v="3"/>
    <s v="menyusun karya tulis ilmiah berbasis data terkait kualitas produk olahan"/>
    <s v="03.01"/>
    <x v="28"/>
    <s v="K12"/>
    <s v="F"/>
    <n v="70"/>
    <n v="75"/>
    <s v="Tuntas"/>
    <s v="Bahasa Inggris"/>
    <x v="0"/>
    <x v="4"/>
    <n v="75"/>
    <x v="1"/>
    <n v="12"/>
    <x v="0"/>
    <x v="4"/>
    <x v="3"/>
  </r>
  <r>
    <n v="1792"/>
    <s v="232410003"/>
    <x v="2"/>
    <x v="16"/>
    <s v="Dogiyai"/>
    <d v="2026-01-12T00:00:00"/>
    <s v="12"/>
    <x v="0"/>
    <s v="26"/>
    <x v="0"/>
    <x v="0"/>
    <x v="11"/>
    <s v="Real"/>
    <s v="Entrepreneur"/>
    <s v="Branding"/>
    <x v="0"/>
    <x v="2"/>
    <x v="5"/>
    <s v="F12.03.01"/>
    <n v="3"/>
    <s v="menyusun karya tulis ilmiah berbasis data terkait kualitas produk olahan"/>
    <s v="03.01"/>
    <x v="28"/>
    <s v="K12"/>
    <s v="F"/>
    <n v="70"/>
    <n v="70"/>
    <s v="Tuntas"/>
    <s v="Bahasa Inggris"/>
    <x v="0"/>
    <x v="4"/>
    <n v="70"/>
    <x v="1"/>
    <n v="12"/>
    <x v="0"/>
    <x v="1"/>
    <x v="4"/>
  </r>
  <r>
    <n v="1793"/>
    <s v="232410003"/>
    <x v="2"/>
    <x v="16"/>
    <s v="Dogiyai"/>
    <d v="2026-01-12T00:00:00"/>
    <s v="12"/>
    <x v="0"/>
    <s v="26"/>
    <x v="1"/>
    <x v="9"/>
    <x v="11"/>
    <s v="Real"/>
    <s v="Entrepreneur"/>
    <s v="Branding"/>
    <x v="0"/>
    <x v="2"/>
    <x v="5"/>
    <s v="F12.03.01"/>
    <n v="3"/>
    <s v="menyusun karya tulis ilmiah berbasis data terkait kualitas produk olahan"/>
    <s v="03.01"/>
    <x v="28"/>
    <s v="K12"/>
    <s v="F"/>
    <n v="70"/>
    <n v="70"/>
    <s v="Tuntas"/>
    <s v="Bahasa Inggris"/>
    <x v="0"/>
    <x v="4"/>
    <n v="70"/>
    <x v="1"/>
    <n v="12"/>
    <x v="0"/>
    <x v="1"/>
    <x v="4"/>
  </r>
  <r>
    <n v="1794"/>
    <s v="232410003"/>
    <x v="2"/>
    <x v="16"/>
    <s v="Dogiyai"/>
    <d v="2026-01-12T00:00:00"/>
    <s v="12"/>
    <x v="0"/>
    <s v="26"/>
    <x v="2"/>
    <x v="3"/>
    <x v="0"/>
    <s v="Real"/>
    <s v="Entrepreneur"/>
    <s v="Branding"/>
    <x v="0"/>
    <x v="2"/>
    <x v="5"/>
    <s v="F12.03.01"/>
    <n v="3"/>
    <s v="menyusun karya tulis ilmiah berbasis data terkait kualitas produk olahan"/>
    <s v="03.01"/>
    <x v="28"/>
    <s v="K12"/>
    <s v="F"/>
    <n v="70"/>
    <n v="65"/>
    <s v="Tidak tuntas"/>
    <s v="Bahasa Inggris"/>
    <x v="0"/>
    <x v="4"/>
    <n v="65"/>
    <x v="3"/>
    <n v="12"/>
    <x v="0"/>
    <x v="1"/>
    <x v="4"/>
  </r>
  <r>
    <n v="1795"/>
    <s v="232410003"/>
    <x v="2"/>
    <x v="16"/>
    <s v="Dogiyai"/>
    <d v="2026-01-12T00:00:00"/>
    <s v="12"/>
    <x v="0"/>
    <s v="26"/>
    <x v="3"/>
    <x v="4"/>
    <x v="3"/>
    <s v="Real"/>
    <s v="Entrepreneur"/>
    <s v="Branding"/>
    <x v="0"/>
    <x v="2"/>
    <x v="5"/>
    <s v="F12.03.01"/>
    <n v="3"/>
    <s v="menyusun karya tulis ilmiah berbasis data terkait kualitas produk olahan"/>
    <s v="03.01"/>
    <x v="28"/>
    <s v="K12"/>
    <s v="F"/>
    <n v="70"/>
    <n v="90"/>
    <s v="Tuntas"/>
    <s v="Bahasa Inggris"/>
    <x v="0"/>
    <x v="4"/>
    <n v="90"/>
    <x v="2"/>
    <n v="12"/>
    <x v="4"/>
    <x v="1"/>
    <x v="4"/>
  </r>
  <r>
    <n v="1796"/>
    <s v="232410003"/>
    <x v="2"/>
    <x v="16"/>
    <s v="Dogiyai"/>
    <d v="2026-01-26T00:00:00"/>
    <s v="26"/>
    <x v="0"/>
    <s v="26"/>
    <x v="0"/>
    <x v="0"/>
    <x v="11"/>
    <s v="Real"/>
    <s v="Entrepreneur"/>
    <s v="Branding"/>
    <x v="0"/>
    <x v="2"/>
    <x v="5"/>
    <s v="F12.03.01"/>
    <n v="3"/>
    <s v="menyusun karya tulis ilmiah berbasis data terkait kualitas produk olahan"/>
    <s v="03.01"/>
    <x v="28"/>
    <s v="K12"/>
    <s v="F"/>
    <n v="70"/>
    <n v="75"/>
    <s v="Tuntas"/>
    <s v="Bahasa Inggris"/>
    <x v="0"/>
    <x v="4"/>
    <n v="75"/>
    <x v="1"/>
    <n v="12"/>
    <x v="0"/>
    <x v="3"/>
    <x v="4"/>
  </r>
  <r>
    <n v="1797"/>
    <s v="232410003"/>
    <x v="2"/>
    <x v="16"/>
    <s v="Dogiyai"/>
    <d v="2026-01-26T00:00:00"/>
    <s v="26"/>
    <x v="0"/>
    <s v="26"/>
    <x v="1"/>
    <x v="9"/>
    <x v="11"/>
    <s v="Real"/>
    <s v="Entrepreneur"/>
    <s v="Branding"/>
    <x v="0"/>
    <x v="2"/>
    <x v="5"/>
    <s v="F12.03.01"/>
    <n v="3"/>
    <s v="menyusun karya tulis ilmiah berbasis data terkait kualitas produk olahan"/>
    <s v="03.01"/>
    <x v="28"/>
    <s v="K12"/>
    <s v="F"/>
    <n v="70"/>
    <n v="75"/>
    <s v="Tuntas"/>
    <s v="Bahasa Inggris"/>
    <x v="0"/>
    <x v="4"/>
    <n v="75"/>
    <x v="1"/>
    <n v="12"/>
    <x v="0"/>
    <x v="3"/>
    <x v="4"/>
  </r>
  <r>
    <n v="1798"/>
    <s v="232410003"/>
    <x v="2"/>
    <x v="16"/>
    <s v="Dogiyai"/>
    <d v="2026-02-02T00:00:00"/>
    <s v="02"/>
    <x v="1"/>
    <s v="26"/>
    <x v="0"/>
    <x v="0"/>
    <x v="6"/>
    <s v="Real"/>
    <s v="Entrepreneur"/>
    <s v="Branding"/>
    <x v="0"/>
    <x v="2"/>
    <x v="5"/>
    <s v="F12.03.01"/>
    <n v="3"/>
    <s v="menyusun karya tulis ilmiah berbasis data terkait kualitas produk olahan"/>
    <s v="03.01"/>
    <x v="28"/>
    <s v="K12"/>
    <s v="F"/>
    <n v="70"/>
    <n v="78"/>
    <s v="Tuntas"/>
    <s v="Bahasa Inggris"/>
    <x v="0"/>
    <x v="4"/>
    <n v="78"/>
    <x v="1"/>
    <n v="12"/>
    <x v="0"/>
    <x v="4"/>
    <x v="4"/>
  </r>
  <r>
    <n v="1799"/>
    <s v="232410003"/>
    <x v="2"/>
    <x v="16"/>
    <s v="Dogiyai"/>
    <d v="2026-02-02T00:00:00"/>
    <s v="02"/>
    <x v="1"/>
    <s v="26"/>
    <x v="1"/>
    <x v="9"/>
    <x v="13"/>
    <s v="Real"/>
    <s v="Entrepreneur"/>
    <s v="Branding"/>
    <x v="0"/>
    <x v="2"/>
    <x v="5"/>
    <s v="F12.03.01"/>
    <n v="3"/>
    <s v="menyusun karya tulis ilmiah berbasis data terkait kualitas produk olahan"/>
    <s v="03.01"/>
    <x v="28"/>
    <s v="K12"/>
    <s v="F"/>
    <n v="70"/>
    <n v="78"/>
    <s v="Tuntas"/>
    <s v="Bahasa Inggris"/>
    <x v="0"/>
    <x v="4"/>
    <n v="78"/>
    <x v="1"/>
    <n v="12"/>
    <x v="0"/>
    <x v="4"/>
    <x v="4"/>
  </r>
  <r>
    <n v="1800"/>
    <s v="232410003"/>
    <x v="2"/>
    <x v="16"/>
    <s v="Dogiyai"/>
    <d v="2026-02-02T00:00:00"/>
    <s v="02"/>
    <x v="1"/>
    <s v="26"/>
    <x v="3"/>
    <x v="4"/>
    <x v="5"/>
    <s v="Real"/>
    <s v="Entrepreneur"/>
    <s v="Branding"/>
    <x v="0"/>
    <x v="2"/>
    <x v="5"/>
    <s v="F12.03.01"/>
    <n v="3"/>
    <s v="menyusun karya tulis ilmiah berbasis data terkait kualitas produk olahan"/>
    <s v="03.01"/>
    <x v="28"/>
    <s v="K12"/>
    <s v="F"/>
    <n v="70"/>
    <n v="80"/>
    <s v="Tuntas"/>
    <s v="Bahasa Inggris"/>
    <x v="0"/>
    <x v="4"/>
    <n v="80"/>
    <x v="2"/>
    <n v="12"/>
    <x v="2"/>
    <x v="4"/>
    <x v="4"/>
  </r>
  <r>
    <n v="1801"/>
    <s v="232410003"/>
    <x v="2"/>
    <x v="16"/>
    <s v="Dogiyai"/>
    <d v="2026-02-02T00:00:00"/>
    <s v="02"/>
    <x v="1"/>
    <s v="26"/>
    <x v="4"/>
    <x v="5"/>
    <x v="6"/>
    <s v="Real"/>
    <s v="Entrepreneur"/>
    <s v="Branding"/>
    <x v="0"/>
    <x v="2"/>
    <x v="5"/>
    <s v="F12.03.01"/>
    <n v="3"/>
    <s v="menyusun karya tulis ilmiah berbasis data terkait kualitas produk olahan"/>
    <s v="03.01"/>
    <x v="28"/>
    <s v="K12"/>
    <s v="F"/>
    <n v="70"/>
    <n v="75"/>
    <s v="Tuntas"/>
    <s v="Bahasa Inggris"/>
    <x v="0"/>
    <x v="4"/>
    <n v="75"/>
    <x v="1"/>
    <n v="12"/>
    <x v="0"/>
    <x v="4"/>
    <x v="4"/>
  </r>
  <r>
    <n v="1802"/>
    <s v="232410004"/>
    <x v="2"/>
    <x v="17"/>
    <s v="Intan Jaya"/>
    <d v="2026-01-12T00:00:00"/>
    <s v="12"/>
    <x v="0"/>
    <s v="26"/>
    <x v="0"/>
    <x v="0"/>
    <x v="11"/>
    <s v="Real"/>
    <s v="Entrepreneur"/>
    <s v="Branding"/>
    <x v="0"/>
    <x v="2"/>
    <x v="5"/>
    <s v="F12.03.01"/>
    <n v="3"/>
    <s v="menyusun karya tulis ilmiah berbasis data terkait kualitas produk olahan"/>
    <s v="03.01"/>
    <x v="28"/>
    <s v="K12"/>
    <s v="F"/>
    <n v="70"/>
    <n v="65"/>
    <s v="Tidak tuntas"/>
    <s v="Bahasa Inggris"/>
    <x v="0"/>
    <x v="4"/>
    <n v="65"/>
    <x v="3"/>
    <n v="12"/>
    <x v="0"/>
    <x v="1"/>
    <x v="2"/>
  </r>
  <r>
    <n v="1803"/>
    <s v="232410004"/>
    <x v="2"/>
    <x v="17"/>
    <s v="Intan Jaya"/>
    <d v="2026-01-12T00:00:00"/>
    <s v="12"/>
    <x v="0"/>
    <s v="26"/>
    <x v="1"/>
    <x v="9"/>
    <x v="11"/>
    <s v="Real"/>
    <s v="Entrepreneur"/>
    <s v="Branding"/>
    <x v="0"/>
    <x v="2"/>
    <x v="5"/>
    <s v="F12.03.01"/>
    <n v="3"/>
    <s v="menyusun karya tulis ilmiah berbasis data terkait kualitas produk olahan"/>
    <s v="03.01"/>
    <x v="28"/>
    <s v="K12"/>
    <s v="F"/>
    <n v="70"/>
    <n v="65"/>
    <s v="Tidak tuntas"/>
    <s v="Bahasa Inggris"/>
    <x v="0"/>
    <x v="4"/>
    <n v="65"/>
    <x v="3"/>
    <n v="12"/>
    <x v="0"/>
    <x v="1"/>
    <x v="2"/>
  </r>
  <r>
    <n v="1804"/>
    <s v="232410004"/>
    <x v="2"/>
    <x v="17"/>
    <s v="Intan Jaya"/>
    <d v="2026-01-12T00:00:00"/>
    <s v="12"/>
    <x v="0"/>
    <s v="26"/>
    <x v="2"/>
    <x v="3"/>
    <x v="0"/>
    <s v="Real"/>
    <s v="Entrepreneur"/>
    <s v="Branding"/>
    <x v="0"/>
    <x v="2"/>
    <x v="5"/>
    <s v="F12.03.01"/>
    <n v="3"/>
    <s v="menyusun karya tulis ilmiah berbasis data terkait kualitas produk olahan"/>
    <s v="03.01"/>
    <x v="28"/>
    <s v="K12"/>
    <s v="F"/>
    <n v="70"/>
    <n v="60"/>
    <s v="Tidak tuntas"/>
    <s v="Bahasa Inggris"/>
    <x v="0"/>
    <x v="4"/>
    <n v="60"/>
    <x v="3"/>
    <n v="12"/>
    <x v="0"/>
    <x v="1"/>
    <x v="2"/>
  </r>
  <r>
    <n v="1805"/>
    <s v="232410004"/>
    <x v="2"/>
    <x v="17"/>
    <s v="Intan Jaya"/>
    <d v="2026-01-12T00:00:00"/>
    <s v="12"/>
    <x v="0"/>
    <s v="26"/>
    <x v="3"/>
    <x v="4"/>
    <x v="3"/>
    <s v="Real"/>
    <s v="Entrepreneur"/>
    <s v="Branding"/>
    <x v="0"/>
    <x v="2"/>
    <x v="5"/>
    <s v="F12.03.01"/>
    <n v="3"/>
    <s v="menyusun karya tulis ilmiah berbasis data terkait kualitas produk olahan"/>
    <s v="03.01"/>
    <x v="28"/>
    <s v="K12"/>
    <s v="F"/>
    <n v="70"/>
    <n v="60"/>
    <s v="Tidak tuntas"/>
    <s v="Bahasa Inggris"/>
    <x v="0"/>
    <x v="4"/>
    <n v="60"/>
    <x v="3"/>
    <n v="12"/>
    <x v="3"/>
    <x v="1"/>
    <x v="2"/>
  </r>
  <r>
    <n v="1806"/>
    <s v="232410004"/>
    <x v="2"/>
    <x v="17"/>
    <s v="Intan Jaya"/>
    <d v="2026-01-26T00:00:00"/>
    <s v="26"/>
    <x v="0"/>
    <s v="26"/>
    <x v="0"/>
    <x v="0"/>
    <x v="11"/>
    <s v="Real"/>
    <s v="Entrepreneur"/>
    <s v="Branding"/>
    <x v="0"/>
    <x v="2"/>
    <x v="5"/>
    <s v="F12.03.01"/>
    <n v="3"/>
    <s v="menyusun karya tulis ilmiah berbasis data terkait kualitas produk olahan"/>
    <s v="03.01"/>
    <x v="28"/>
    <s v="K12"/>
    <s v="F"/>
    <n v="70"/>
    <n v="60"/>
    <s v="Tidak tuntas"/>
    <s v="Bahasa Inggris"/>
    <x v="0"/>
    <x v="4"/>
    <n v="60"/>
    <x v="3"/>
    <n v="12"/>
    <x v="0"/>
    <x v="3"/>
    <x v="2"/>
  </r>
  <r>
    <n v="1807"/>
    <s v="232410004"/>
    <x v="2"/>
    <x v="17"/>
    <s v="Intan Jaya"/>
    <d v="2026-01-26T00:00:00"/>
    <s v="26"/>
    <x v="0"/>
    <s v="26"/>
    <x v="1"/>
    <x v="9"/>
    <x v="11"/>
    <s v="Real"/>
    <s v="Entrepreneur"/>
    <s v="Branding"/>
    <x v="0"/>
    <x v="2"/>
    <x v="5"/>
    <s v="F12.03.01"/>
    <n v="3"/>
    <s v="menyusun karya tulis ilmiah berbasis data terkait kualitas produk olahan"/>
    <s v="03.01"/>
    <x v="28"/>
    <s v="K12"/>
    <s v="F"/>
    <n v="70"/>
    <n v="60"/>
    <s v="Tidak tuntas"/>
    <s v="Bahasa Inggris"/>
    <x v="0"/>
    <x v="4"/>
    <n v="60"/>
    <x v="3"/>
    <n v="12"/>
    <x v="0"/>
    <x v="3"/>
    <x v="2"/>
  </r>
  <r>
    <n v="1808"/>
    <s v="232410004"/>
    <x v="2"/>
    <x v="17"/>
    <s v="Intan Jaya"/>
    <d v="2026-02-02T00:00:00"/>
    <s v="02"/>
    <x v="1"/>
    <s v="26"/>
    <x v="0"/>
    <x v="0"/>
    <x v="6"/>
    <s v="Real"/>
    <s v="Entrepreneur"/>
    <s v="Branding"/>
    <x v="0"/>
    <x v="2"/>
    <x v="5"/>
    <s v="F12.03.01"/>
    <n v="3"/>
    <s v="menyusun karya tulis ilmiah berbasis data terkait kualitas produk olahan"/>
    <s v="03.01"/>
    <x v="28"/>
    <s v="K12"/>
    <s v="F"/>
    <n v="70"/>
    <n v="70"/>
    <s v="Tuntas"/>
    <s v="Bahasa Inggris"/>
    <x v="0"/>
    <x v="4"/>
    <n v="70"/>
    <x v="1"/>
    <n v="12"/>
    <x v="0"/>
    <x v="4"/>
    <x v="2"/>
  </r>
  <r>
    <n v="1809"/>
    <s v="232410004"/>
    <x v="2"/>
    <x v="17"/>
    <s v="Intan Jaya"/>
    <d v="2026-02-02T00:00:00"/>
    <s v="02"/>
    <x v="1"/>
    <s v="26"/>
    <x v="1"/>
    <x v="9"/>
    <x v="13"/>
    <s v="Real"/>
    <s v="Entrepreneur"/>
    <s v="Branding"/>
    <x v="0"/>
    <x v="2"/>
    <x v="5"/>
    <s v="F12.03.01"/>
    <n v="3"/>
    <s v="menyusun karya tulis ilmiah berbasis data terkait kualitas produk olahan"/>
    <s v="03.01"/>
    <x v="28"/>
    <s v="K12"/>
    <s v="F"/>
    <n v="70"/>
    <n v="70"/>
    <s v="Tuntas"/>
    <s v="Bahasa Inggris"/>
    <x v="0"/>
    <x v="4"/>
    <n v="70"/>
    <x v="1"/>
    <n v="12"/>
    <x v="0"/>
    <x v="4"/>
    <x v="2"/>
  </r>
  <r>
    <n v="1810"/>
    <s v="232410004"/>
    <x v="2"/>
    <x v="17"/>
    <s v="Intan Jaya"/>
    <d v="2026-02-02T00:00:00"/>
    <s v="02"/>
    <x v="1"/>
    <s v="26"/>
    <x v="3"/>
    <x v="4"/>
    <x v="5"/>
    <s v="Real"/>
    <s v="Entrepreneur"/>
    <s v="Branding"/>
    <x v="0"/>
    <x v="2"/>
    <x v="5"/>
    <s v="F12.03.01"/>
    <n v="3"/>
    <s v="menyusun karya tulis ilmiah berbasis data terkait kualitas produk olahan"/>
    <s v="03.01"/>
    <x v="28"/>
    <s v="K12"/>
    <s v="F"/>
    <n v="70"/>
    <n v="80"/>
    <s v="Tuntas"/>
    <s v="Bahasa Inggris"/>
    <x v="0"/>
    <x v="4"/>
    <n v="80"/>
    <x v="2"/>
    <n v="12"/>
    <x v="2"/>
    <x v="4"/>
    <x v="2"/>
  </r>
  <r>
    <n v="1811"/>
    <s v="232410004"/>
    <x v="2"/>
    <x v="17"/>
    <s v="Intan Jaya"/>
    <d v="2026-02-02T00:00:00"/>
    <s v="02"/>
    <x v="1"/>
    <s v="26"/>
    <x v="4"/>
    <x v="5"/>
    <x v="6"/>
    <s v="Real"/>
    <s v="Entrepreneur"/>
    <s v="Branding"/>
    <x v="0"/>
    <x v="2"/>
    <x v="5"/>
    <s v="F12.03.01"/>
    <n v="3"/>
    <s v="menyusun karya tulis ilmiah berbasis data terkait kualitas produk olahan"/>
    <s v="03.01"/>
    <x v="28"/>
    <s v="K12"/>
    <s v="F"/>
    <n v="70"/>
    <n v="75"/>
    <s v="Tuntas"/>
    <s v="Bahasa Inggris"/>
    <x v="0"/>
    <x v="4"/>
    <n v="75"/>
    <x v="1"/>
    <n v="12"/>
    <x v="0"/>
    <x v="4"/>
    <x v="2"/>
  </r>
  <r>
    <n v="1812"/>
    <s v="232410005"/>
    <x v="2"/>
    <x v="13"/>
    <s v="Asmat"/>
    <d v="2026-01-12T00:00:00"/>
    <s v="12"/>
    <x v="0"/>
    <s v="26"/>
    <x v="0"/>
    <x v="0"/>
    <x v="11"/>
    <s v="Real"/>
    <s v="Entrepreneur"/>
    <s v="Branding"/>
    <x v="0"/>
    <x v="2"/>
    <x v="5"/>
    <s v="F12.03.01"/>
    <n v="3"/>
    <s v="menyusun karya tulis ilmiah berbasis data terkait kualitas produk olahan"/>
    <s v="03.01"/>
    <x v="28"/>
    <s v="K12"/>
    <s v="F"/>
    <n v="70"/>
    <n v="65"/>
    <s v="Tidak tuntas"/>
    <s v="Bahasa Inggris"/>
    <x v="0"/>
    <x v="4"/>
    <n v="65"/>
    <x v="3"/>
    <n v="12"/>
    <x v="0"/>
    <x v="1"/>
    <x v="3"/>
  </r>
  <r>
    <n v="1813"/>
    <s v="232410005"/>
    <x v="2"/>
    <x v="13"/>
    <s v="Asmat"/>
    <d v="2026-01-12T00:00:00"/>
    <s v="12"/>
    <x v="0"/>
    <s v="26"/>
    <x v="1"/>
    <x v="9"/>
    <x v="11"/>
    <s v="Real"/>
    <s v="Entrepreneur"/>
    <s v="Branding"/>
    <x v="0"/>
    <x v="2"/>
    <x v="5"/>
    <s v="F12.03.01"/>
    <n v="3"/>
    <s v="menyusun karya tulis ilmiah berbasis data terkait kualitas produk olahan"/>
    <s v="03.01"/>
    <x v="28"/>
    <s v="K12"/>
    <s v="F"/>
    <n v="70"/>
    <n v="65"/>
    <s v="Tidak tuntas"/>
    <s v="Bahasa Inggris"/>
    <x v="0"/>
    <x v="4"/>
    <n v="65"/>
    <x v="3"/>
    <n v="12"/>
    <x v="0"/>
    <x v="1"/>
    <x v="3"/>
  </r>
  <r>
    <n v="1814"/>
    <s v="232410005"/>
    <x v="2"/>
    <x v="13"/>
    <s v="Asmat"/>
    <d v="2026-01-12T00:00:00"/>
    <s v="12"/>
    <x v="0"/>
    <s v="26"/>
    <x v="2"/>
    <x v="3"/>
    <x v="0"/>
    <s v="Real"/>
    <s v="Entrepreneur"/>
    <s v="Branding"/>
    <x v="0"/>
    <x v="2"/>
    <x v="5"/>
    <s v="F12.03.01"/>
    <n v="3"/>
    <s v="menyusun karya tulis ilmiah berbasis data terkait kualitas produk olahan"/>
    <s v="03.01"/>
    <x v="28"/>
    <s v="K12"/>
    <s v="F"/>
    <n v="70"/>
    <n v="60"/>
    <s v="Tidak tuntas"/>
    <s v="Bahasa Inggris"/>
    <x v="0"/>
    <x v="4"/>
    <n v="60"/>
    <x v="3"/>
    <n v="12"/>
    <x v="0"/>
    <x v="1"/>
    <x v="3"/>
  </r>
  <r>
    <n v="1815"/>
    <s v="232410005"/>
    <x v="2"/>
    <x v="13"/>
    <s v="Asmat"/>
    <d v="2026-01-12T00:00:00"/>
    <s v="12"/>
    <x v="0"/>
    <s v="26"/>
    <x v="3"/>
    <x v="4"/>
    <x v="3"/>
    <s v="Real"/>
    <s v="Entrepreneur"/>
    <s v="Branding"/>
    <x v="0"/>
    <x v="2"/>
    <x v="5"/>
    <s v="F12.03.01"/>
    <n v="3"/>
    <s v="menyusun karya tulis ilmiah berbasis data terkait kualitas produk olahan"/>
    <s v="03.01"/>
    <x v="28"/>
    <s v="K12"/>
    <s v="F"/>
    <n v="70"/>
    <n v="60"/>
    <s v="Tidak tuntas"/>
    <s v="Bahasa Inggris"/>
    <x v="0"/>
    <x v="4"/>
    <n v="60"/>
    <x v="3"/>
    <n v="12"/>
    <x v="3"/>
    <x v="1"/>
    <x v="3"/>
  </r>
  <r>
    <n v="1816"/>
    <s v="232410005"/>
    <x v="2"/>
    <x v="13"/>
    <s v="Asmat"/>
    <d v="2026-01-26T00:00:00"/>
    <s v="26"/>
    <x v="0"/>
    <s v="26"/>
    <x v="0"/>
    <x v="0"/>
    <x v="11"/>
    <s v="Real"/>
    <s v="Entrepreneur"/>
    <s v="Branding"/>
    <x v="0"/>
    <x v="2"/>
    <x v="5"/>
    <s v="F12.03.01"/>
    <n v="3"/>
    <s v="menyusun karya tulis ilmiah berbasis data terkait kualitas produk olahan"/>
    <s v="03.01"/>
    <x v="28"/>
    <s v="K12"/>
    <s v="F"/>
    <n v="70"/>
    <n v="75"/>
    <s v="Tuntas"/>
    <s v="Bahasa Inggris"/>
    <x v="0"/>
    <x v="4"/>
    <n v="75"/>
    <x v="1"/>
    <n v="12"/>
    <x v="0"/>
    <x v="3"/>
    <x v="3"/>
  </r>
  <r>
    <n v="1817"/>
    <s v="232410005"/>
    <x v="2"/>
    <x v="13"/>
    <s v="Asmat"/>
    <d v="2026-01-26T00:00:00"/>
    <s v="26"/>
    <x v="0"/>
    <s v="26"/>
    <x v="1"/>
    <x v="9"/>
    <x v="11"/>
    <s v="Real"/>
    <s v="Entrepreneur"/>
    <s v="Branding"/>
    <x v="0"/>
    <x v="2"/>
    <x v="5"/>
    <s v="F12.03.01"/>
    <n v="3"/>
    <s v="menyusun karya tulis ilmiah berbasis data terkait kualitas produk olahan"/>
    <s v="03.01"/>
    <x v="28"/>
    <s v="K12"/>
    <s v="F"/>
    <n v="70"/>
    <n v="75"/>
    <s v="Tuntas"/>
    <s v="Bahasa Inggris"/>
    <x v="0"/>
    <x v="4"/>
    <n v="75"/>
    <x v="1"/>
    <n v="12"/>
    <x v="0"/>
    <x v="3"/>
    <x v="3"/>
  </r>
  <r>
    <n v="1818"/>
    <s v="232410005"/>
    <x v="2"/>
    <x v="13"/>
    <s v="Asmat"/>
    <d v="2026-02-02T00:00:00"/>
    <s v="02"/>
    <x v="1"/>
    <s v="26"/>
    <x v="0"/>
    <x v="0"/>
    <x v="6"/>
    <s v="Real"/>
    <s v="Entrepreneur"/>
    <s v="Branding"/>
    <x v="0"/>
    <x v="2"/>
    <x v="5"/>
    <s v="F12.03.01"/>
    <n v="3"/>
    <s v="menyusun karya tulis ilmiah berbasis data terkait kualitas produk olahan"/>
    <s v="03.01"/>
    <x v="28"/>
    <s v="K12"/>
    <s v="F"/>
    <n v="70"/>
    <n v="78"/>
    <s v="Tuntas"/>
    <s v="Bahasa Inggris"/>
    <x v="0"/>
    <x v="4"/>
    <n v="78"/>
    <x v="1"/>
    <n v="12"/>
    <x v="0"/>
    <x v="4"/>
    <x v="3"/>
  </r>
  <r>
    <n v="1819"/>
    <s v="232410005"/>
    <x v="2"/>
    <x v="13"/>
    <s v="Asmat"/>
    <d v="2026-02-02T00:00:00"/>
    <s v="02"/>
    <x v="1"/>
    <s v="26"/>
    <x v="1"/>
    <x v="9"/>
    <x v="13"/>
    <s v="Real"/>
    <s v="Entrepreneur"/>
    <s v="Branding"/>
    <x v="0"/>
    <x v="2"/>
    <x v="5"/>
    <s v="F12.03.01"/>
    <n v="3"/>
    <s v="menyusun karya tulis ilmiah berbasis data terkait kualitas produk olahan"/>
    <s v="03.01"/>
    <x v="28"/>
    <s v="K12"/>
    <s v="F"/>
    <n v="70"/>
    <n v="78"/>
    <s v="Tuntas"/>
    <s v="Bahasa Inggris"/>
    <x v="0"/>
    <x v="4"/>
    <n v="78"/>
    <x v="1"/>
    <n v="12"/>
    <x v="0"/>
    <x v="4"/>
    <x v="3"/>
  </r>
  <r>
    <n v="1820"/>
    <s v="232410005"/>
    <x v="2"/>
    <x v="13"/>
    <s v="Asmat"/>
    <d v="2026-02-02T00:00:00"/>
    <s v="02"/>
    <x v="1"/>
    <s v="26"/>
    <x v="3"/>
    <x v="4"/>
    <x v="5"/>
    <s v="Real"/>
    <s v="Entrepreneur"/>
    <s v="Branding"/>
    <x v="0"/>
    <x v="2"/>
    <x v="5"/>
    <s v="F12.03.01"/>
    <n v="3"/>
    <s v="menyusun karya tulis ilmiah berbasis data terkait kualitas produk olahan"/>
    <s v="03.01"/>
    <x v="28"/>
    <s v="K12"/>
    <s v="F"/>
    <n v="70"/>
    <n v="80"/>
    <s v="Tuntas"/>
    <s v="Bahasa Inggris"/>
    <x v="0"/>
    <x v="4"/>
    <n v="80"/>
    <x v="2"/>
    <n v="12"/>
    <x v="2"/>
    <x v="4"/>
    <x v="3"/>
  </r>
  <r>
    <n v="1821"/>
    <s v="232410005"/>
    <x v="2"/>
    <x v="13"/>
    <s v="Asmat"/>
    <d v="2026-02-02T00:00:00"/>
    <s v="02"/>
    <x v="1"/>
    <s v="26"/>
    <x v="4"/>
    <x v="5"/>
    <x v="6"/>
    <s v="Real"/>
    <s v="Entrepreneur"/>
    <s v="Branding"/>
    <x v="0"/>
    <x v="2"/>
    <x v="5"/>
    <s v="F12.03.01"/>
    <n v="3"/>
    <s v="menyusun karya tulis ilmiah berbasis data terkait kualitas produk olahan"/>
    <s v="03.01"/>
    <x v="28"/>
    <s v="K12"/>
    <s v="F"/>
    <n v="70"/>
    <n v="75"/>
    <s v="Tuntas"/>
    <s v="Bahasa Inggris"/>
    <x v="0"/>
    <x v="4"/>
    <n v="75"/>
    <x v="1"/>
    <n v="12"/>
    <x v="0"/>
    <x v="4"/>
    <x v="3"/>
  </r>
  <r>
    <n v="1822"/>
    <s v="232410006"/>
    <x v="2"/>
    <x v="18"/>
    <s v="Intan Jaya"/>
    <d v="2026-01-12T00:00:00"/>
    <s v="12"/>
    <x v="0"/>
    <s v="26"/>
    <x v="0"/>
    <x v="0"/>
    <x v="11"/>
    <s v="Real"/>
    <s v="Entrepreneur"/>
    <s v="Branding"/>
    <x v="0"/>
    <x v="2"/>
    <x v="5"/>
    <s v="F12.03.01"/>
    <n v="3"/>
    <s v="menyusun karya tulis ilmiah berbasis data terkait kualitas produk olahan"/>
    <s v="03.01"/>
    <x v="28"/>
    <s v="K12"/>
    <s v="F"/>
    <n v="70"/>
    <n v="65"/>
    <s v="Tidak tuntas"/>
    <s v="Bahasa Inggris"/>
    <x v="0"/>
    <x v="4"/>
    <n v="65"/>
    <x v="3"/>
    <n v="12"/>
    <x v="0"/>
    <x v="1"/>
    <x v="4"/>
  </r>
  <r>
    <n v="1823"/>
    <s v="232410006"/>
    <x v="2"/>
    <x v="18"/>
    <s v="Intan Jaya"/>
    <d v="2026-01-12T00:00:00"/>
    <s v="12"/>
    <x v="0"/>
    <s v="26"/>
    <x v="1"/>
    <x v="9"/>
    <x v="11"/>
    <s v="Real"/>
    <s v="Entrepreneur"/>
    <s v="Branding"/>
    <x v="0"/>
    <x v="2"/>
    <x v="5"/>
    <s v="F12.03.01"/>
    <n v="3"/>
    <s v="menyusun karya tulis ilmiah berbasis data terkait kualitas produk olahan"/>
    <s v="03.01"/>
    <x v="28"/>
    <s v="K12"/>
    <s v="F"/>
    <n v="70"/>
    <n v="65"/>
    <s v="Tidak tuntas"/>
    <s v="Bahasa Inggris"/>
    <x v="0"/>
    <x v="4"/>
    <n v="65"/>
    <x v="3"/>
    <n v="12"/>
    <x v="0"/>
    <x v="1"/>
    <x v="4"/>
  </r>
  <r>
    <n v="1824"/>
    <s v="232410006"/>
    <x v="2"/>
    <x v="18"/>
    <s v="Intan Jaya"/>
    <d v="2026-01-12T00:00:00"/>
    <s v="12"/>
    <x v="0"/>
    <s v="26"/>
    <x v="2"/>
    <x v="3"/>
    <x v="0"/>
    <s v="Real"/>
    <s v="Entrepreneur"/>
    <s v="Branding"/>
    <x v="0"/>
    <x v="2"/>
    <x v="5"/>
    <s v="F12.03.01"/>
    <n v="3"/>
    <s v="menyusun karya tulis ilmiah berbasis data terkait kualitas produk olahan"/>
    <s v="03.01"/>
    <x v="28"/>
    <s v="K12"/>
    <s v="F"/>
    <n v="70"/>
    <n v="60"/>
    <s v="Tidak tuntas"/>
    <s v="Bahasa Inggris"/>
    <x v="0"/>
    <x v="4"/>
    <n v="60"/>
    <x v="3"/>
    <n v="12"/>
    <x v="0"/>
    <x v="1"/>
    <x v="4"/>
  </r>
  <r>
    <n v="1825"/>
    <s v="232410006"/>
    <x v="2"/>
    <x v="18"/>
    <s v="Intan Jaya"/>
    <d v="2026-01-12T00:00:00"/>
    <s v="12"/>
    <x v="0"/>
    <s v="26"/>
    <x v="3"/>
    <x v="4"/>
    <x v="3"/>
    <s v="Real"/>
    <s v="Entrepreneur"/>
    <s v="Branding"/>
    <x v="0"/>
    <x v="2"/>
    <x v="5"/>
    <s v="F12.03.01"/>
    <n v="3"/>
    <s v="menyusun karya tulis ilmiah berbasis data terkait kualitas produk olahan"/>
    <s v="03.01"/>
    <x v="28"/>
    <s v="K12"/>
    <s v="F"/>
    <n v="70"/>
    <n v="60"/>
    <s v="Tidak tuntas"/>
    <s v="Bahasa Inggris"/>
    <x v="0"/>
    <x v="4"/>
    <n v="60"/>
    <x v="3"/>
    <n v="12"/>
    <x v="3"/>
    <x v="1"/>
    <x v="4"/>
  </r>
  <r>
    <n v="1826"/>
    <s v="232410006"/>
    <x v="2"/>
    <x v="18"/>
    <s v="Intan Jaya"/>
    <d v="2026-01-26T00:00:00"/>
    <s v="26"/>
    <x v="0"/>
    <s v="26"/>
    <x v="0"/>
    <x v="0"/>
    <x v="11"/>
    <s v="Real"/>
    <s v="Entrepreneur"/>
    <s v="Branding"/>
    <x v="0"/>
    <x v="2"/>
    <x v="5"/>
    <s v="F12.03.01"/>
    <n v="3"/>
    <s v="menyusun karya tulis ilmiah berbasis data terkait kualitas produk olahan"/>
    <s v="03.01"/>
    <x v="28"/>
    <s v="K12"/>
    <s v="F"/>
    <n v="70"/>
    <n v="70"/>
    <s v="Tuntas"/>
    <s v="Bahasa Inggris"/>
    <x v="0"/>
    <x v="4"/>
    <n v="70"/>
    <x v="1"/>
    <n v="12"/>
    <x v="0"/>
    <x v="3"/>
    <x v="4"/>
  </r>
  <r>
    <n v="1827"/>
    <s v="232410006"/>
    <x v="2"/>
    <x v="18"/>
    <s v="Intan Jaya"/>
    <d v="2026-01-26T00:00:00"/>
    <s v="26"/>
    <x v="0"/>
    <s v="26"/>
    <x v="1"/>
    <x v="9"/>
    <x v="11"/>
    <s v="Real"/>
    <s v="Entrepreneur"/>
    <s v="Branding"/>
    <x v="0"/>
    <x v="2"/>
    <x v="5"/>
    <s v="F12.03.01"/>
    <n v="3"/>
    <s v="menyusun karya tulis ilmiah berbasis data terkait kualitas produk olahan"/>
    <s v="03.01"/>
    <x v="28"/>
    <s v="K12"/>
    <s v="F"/>
    <n v="70"/>
    <n v="70"/>
    <s v="Tuntas"/>
    <s v="Bahasa Inggris"/>
    <x v="0"/>
    <x v="4"/>
    <n v="70"/>
    <x v="1"/>
    <n v="12"/>
    <x v="0"/>
    <x v="3"/>
    <x v="4"/>
  </r>
  <r>
    <n v="1828"/>
    <s v="232410006"/>
    <x v="2"/>
    <x v="18"/>
    <s v="Intan Jaya"/>
    <d v="2026-02-02T00:00:00"/>
    <s v="02"/>
    <x v="1"/>
    <s v="26"/>
    <x v="0"/>
    <x v="0"/>
    <x v="6"/>
    <s v="Real"/>
    <s v="Entrepreneur"/>
    <s v="Branding"/>
    <x v="0"/>
    <x v="2"/>
    <x v="5"/>
    <s v="F12.03.01"/>
    <n v="3"/>
    <s v="menyusun karya tulis ilmiah berbasis data terkait kualitas produk olahan"/>
    <s v="03.01"/>
    <x v="28"/>
    <s v="K12"/>
    <s v="F"/>
    <n v="70"/>
    <n v="75"/>
    <s v="Tuntas"/>
    <s v="Bahasa Inggris"/>
    <x v="0"/>
    <x v="4"/>
    <n v="75"/>
    <x v="1"/>
    <n v="12"/>
    <x v="0"/>
    <x v="4"/>
    <x v="4"/>
  </r>
  <r>
    <n v="1829"/>
    <s v="232410006"/>
    <x v="2"/>
    <x v="18"/>
    <s v="Intan Jaya"/>
    <d v="2026-02-02T00:00:00"/>
    <s v="02"/>
    <x v="1"/>
    <s v="26"/>
    <x v="1"/>
    <x v="9"/>
    <x v="13"/>
    <s v="Real"/>
    <s v="Entrepreneur"/>
    <s v="Branding"/>
    <x v="0"/>
    <x v="2"/>
    <x v="5"/>
    <s v="F12.03.01"/>
    <n v="3"/>
    <s v="menyusun karya tulis ilmiah berbasis data terkait kualitas produk olahan"/>
    <s v="03.01"/>
    <x v="28"/>
    <s v="K12"/>
    <s v="F"/>
    <n v="70"/>
    <n v="75"/>
    <s v="Tuntas"/>
    <s v="Bahasa Inggris"/>
    <x v="0"/>
    <x v="4"/>
    <n v="75"/>
    <x v="1"/>
    <n v="12"/>
    <x v="0"/>
    <x v="4"/>
    <x v="4"/>
  </r>
  <r>
    <n v="1830"/>
    <s v="232410006"/>
    <x v="2"/>
    <x v="18"/>
    <s v="Intan Jaya"/>
    <d v="2026-02-02T00:00:00"/>
    <s v="02"/>
    <x v="1"/>
    <s v="26"/>
    <x v="3"/>
    <x v="4"/>
    <x v="5"/>
    <s v="Real"/>
    <s v="Entrepreneur"/>
    <s v="Branding"/>
    <x v="0"/>
    <x v="2"/>
    <x v="5"/>
    <s v="F12.03.01"/>
    <n v="3"/>
    <s v="menyusun karya tulis ilmiah berbasis data terkait kualitas produk olahan"/>
    <s v="03.01"/>
    <x v="28"/>
    <s v="K12"/>
    <s v="F"/>
    <n v="70"/>
    <n v="50"/>
    <s v="Tidak tuntas"/>
    <s v="Bahasa Inggris"/>
    <x v="0"/>
    <x v="4"/>
    <n v="50"/>
    <x v="3"/>
    <n v="12"/>
    <x v="5"/>
    <x v="4"/>
    <x v="4"/>
  </r>
  <r>
    <n v="1831"/>
    <s v="232410006"/>
    <x v="2"/>
    <x v="18"/>
    <s v="Intan Jaya"/>
    <d v="2026-02-02T00:00:00"/>
    <s v="02"/>
    <x v="1"/>
    <s v="26"/>
    <x v="4"/>
    <x v="5"/>
    <x v="6"/>
    <s v="Real"/>
    <s v="Entrepreneur"/>
    <s v="Branding"/>
    <x v="0"/>
    <x v="2"/>
    <x v="5"/>
    <s v="F12.03.01"/>
    <n v="3"/>
    <s v="menyusun karya tulis ilmiah berbasis data terkait kualitas produk olahan"/>
    <s v="03.01"/>
    <x v="28"/>
    <s v="K12"/>
    <s v="F"/>
    <n v="70"/>
    <n v="60"/>
    <s v="Tidak tuntas"/>
    <s v="Bahasa Inggris"/>
    <x v="0"/>
    <x v="4"/>
    <n v="60"/>
    <x v="3"/>
    <n v="12"/>
    <x v="0"/>
    <x v="4"/>
    <x v="4"/>
  </r>
  <r>
    <n v="1832"/>
    <s v="232410007"/>
    <x v="2"/>
    <x v="19"/>
    <s v="Intan Jaya"/>
    <d v="2026-01-12T00:00:00"/>
    <s v="12"/>
    <x v="0"/>
    <s v="26"/>
    <x v="0"/>
    <x v="0"/>
    <x v="11"/>
    <s v="Real"/>
    <s v="Entrepreneur"/>
    <s v="Branding"/>
    <x v="0"/>
    <x v="2"/>
    <x v="5"/>
    <s v="F12.03.01"/>
    <n v="3"/>
    <s v="menyusun karya tulis ilmiah berbasis data terkait kualitas produk olahan"/>
    <s v="03.01"/>
    <x v="28"/>
    <s v="K12"/>
    <s v="F"/>
    <n v="70"/>
    <n v="70"/>
    <s v="Tuntas"/>
    <s v="Bahasa Inggris"/>
    <x v="0"/>
    <x v="4"/>
    <n v="70"/>
    <x v="1"/>
    <n v="12"/>
    <x v="0"/>
    <x v="1"/>
    <x v="2"/>
  </r>
  <r>
    <n v="1833"/>
    <s v="232410007"/>
    <x v="2"/>
    <x v="19"/>
    <s v="Intan Jaya"/>
    <d v="2026-01-12T00:00:00"/>
    <s v="12"/>
    <x v="0"/>
    <s v="26"/>
    <x v="1"/>
    <x v="9"/>
    <x v="11"/>
    <s v="Real"/>
    <s v="Entrepreneur"/>
    <s v="Branding"/>
    <x v="0"/>
    <x v="2"/>
    <x v="5"/>
    <s v="F12.03.01"/>
    <n v="3"/>
    <s v="menyusun karya tulis ilmiah berbasis data terkait kualitas produk olahan"/>
    <s v="03.01"/>
    <x v="28"/>
    <s v="K12"/>
    <s v="F"/>
    <n v="70"/>
    <n v="70"/>
    <s v="Tuntas"/>
    <s v="Bahasa Inggris"/>
    <x v="0"/>
    <x v="4"/>
    <n v="70"/>
    <x v="1"/>
    <n v="12"/>
    <x v="0"/>
    <x v="1"/>
    <x v="2"/>
  </r>
  <r>
    <n v="1834"/>
    <s v="232410007"/>
    <x v="2"/>
    <x v="19"/>
    <s v="Intan Jaya"/>
    <d v="2026-01-12T00:00:00"/>
    <s v="12"/>
    <x v="0"/>
    <s v="26"/>
    <x v="2"/>
    <x v="3"/>
    <x v="0"/>
    <s v="Real"/>
    <s v="Entrepreneur"/>
    <s v="Branding"/>
    <x v="0"/>
    <x v="2"/>
    <x v="5"/>
    <s v="F12.03.01"/>
    <n v="3"/>
    <s v="menyusun karya tulis ilmiah berbasis data terkait kualitas produk olahan"/>
    <s v="03.01"/>
    <x v="28"/>
    <s v="K12"/>
    <s v="F"/>
    <n v="70"/>
    <n v="65"/>
    <s v="Tidak tuntas"/>
    <s v="Bahasa Inggris"/>
    <x v="0"/>
    <x v="4"/>
    <n v="65"/>
    <x v="3"/>
    <n v="12"/>
    <x v="0"/>
    <x v="1"/>
    <x v="2"/>
  </r>
  <r>
    <n v="1835"/>
    <s v="232410007"/>
    <x v="2"/>
    <x v="19"/>
    <s v="Intan Jaya"/>
    <d v="2026-01-12T00:00:00"/>
    <s v="12"/>
    <x v="0"/>
    <s v="26"/>
    <x v="3"/>
    <x v="4"/>
    <x v="3"/>
    <s v="Real"/>
    <s v="Entrepreneur"/>
    <s v="Branding"/>
    <x v="0"/>
    <x v="2"/>
    <x v="5"/>
    <s v="F12.03.01"/>
    <n v="3"/>
    <s v="menyusun karya tulis ilmiah berbasis data terkait kualitas produk olahan"/>
    <s v="03.01"/>
    <x v="28"/>
    <s v="K12"/>
    <s v="F"/>
    <n v="70"/>
    <n v="90"/>
    <s v="Tuntas"/>
    <s v="Bahasa Inggris"/>
    <x v="0"/>
    <x v="4"/>
    <n v="90"/>
    <x v="2"/>
    <n v="12"/>
    <x v="4"/>
    <x v="1"/>
    <x v="2"/>
  </r>
  <r>
    <n v="1836"/>
    <s v="232410007"/>
    <x v="2"/>
    <x v="19"/>
    <s v="Intan Jaya"/>
    <d v="2026-01-26T00:00:00"/>
    <s v="26"/>
    <x v="0"/>
    <s v="26"/>
    <x v="0"/>
    <x v="0"/>
    <x v="11"/>
    <s v="Real"/>
    <s v="Entrepreneur"/>
    <s v="Branding"/>
    <x v="0"/>
    <x v="2"/>
    <x v="5"/>
    <s v="F12.03.01"/>
    <n v="3"/>
    <s v="menyusun karya tulis ilmiah berbasis data terkait kualitas produk olahan"/>
    <s v="03.01"/>
    <x v="28"/>
    <s v="K12"/>
    <s v="F"/>
    <n v="70"/>
    <n v="75"/>
    <s v="Tuntas"/>
    <s v="Bahasa Inggris"/>
    <x v="0"/>
    <x v="4"/>
    <n v="75"/>
    <x v="1"/>
    <n v="12"/>
    <x v="0"/>
    <x v="3"/>
    <x v="2"/>
  </r>
  <r>
    <n v="1837"/>
    <s v="232410007"/>
    <x v="2"/>
    <x v="19"/>
    <s v="Intan Jaya"/>
    <d v="2026-01-26T00:00:00"/>
    <s v="26"/>
    <x v="0"/>
    <s v="26"/>
    <x v="1"/>
    <x v="9"/>
    <x v="11"/>
    <s v="Real"/>
    <s v="Entrepreneur"/>
    <s v="Branding"/>
    <x v="0"/>
    <x v="2"/>
    <x v="5"/>
    <s v="F12.03.01"/>
    <n v="3"/>
    <s v="menyusun karya tulis ilmiah berbasis data terkait kualitas produk olahan"/>
    <s v="03.01"/>
    <x v="28"/>
    <s v="K12"/>
    <s v="F"/>
    <n v="70"/>
    <n v="75"/>
    <s v="Tuntas"/>
    <s v="Bahasa Inggris"/>
    <x v="0"/>
    <x v="4"/>
    <n v="75"/>
    <x v="1"/>
    <n v="12"/>
    <x v="0"/>
    <x v="3"/>
    <x v="2"/>
  </r>
  <r>
    <n v="1838"/>
    <s v="232410007"/>
    <x v="2"/>
    <x v="19"/>
    <s v="Intan Jaya"/>
    <d v="2026-02-02T00:00:00"/>
    <s v="02"/>
    <x v="1"/>
    <s v="26"/>
    <x v="0"/>
    <x v="0"/>
    <x v="6"/>
    <s v="Real"/>
    <s v="Entrepreneur"/>
    <s v="Branding"/>
    <x v="0"/>
    <x v="2"/>
    <x v="5"/>
    <s v="F12.03.01"/>
    <n v="3"/>
    <s v="menyusun karya tulis ilmiah berbasis data terkait kualitas produk olahan"/>
    <s v="03.01"/>
    <x v="28"/>
    <s v="K12"/>
    <s v="F"/>
    <n v="70"/>
    <n v="60"/>
    <s v="Tidak tuntas"/>
    <s v="Bahasa Inggris"/>
    <x v="0"/>
    <x v="4"/>
    <n v="60"/>
    <x v="3"/>
    <n v="12"/>
    <x v="0"/>
    <x v="4"/>
    <x v="2"/>
  </r>
  <r>
    <n v="1839"/>
    <s v="232410007"/>
    <x v="2"/>
    <x v="19"/>
    <s v="Intan Jaya"/>
    <d v="2026-02-02T00:00:00"/>
    <s v="02"/>
    <x v="1"/>
    <s v="26"/>
    <x v="1"/>
    <x v="9"/>
    <x v="13"/>
    <s v="Real"/>
    <s v="Entrepreneur"/>
    <s v="Branding"/>
    <x v="0"/>
    <x v="2"/>
    <x v="5"/>
    <s v="F12.03.01"/>
    <n v="3"/>
    <s v="menyusun karya tulis ilmiah berbasis data terkait kualitas produk olahan"/>
    <s v="03.01"/>
    <x v="28"/>
    <s v="K12"/>
    <s v="F"/>
    <n v="70"/>
    <n v="60"/>
    <s v="Tidak tuntas"/>
    <s v="Bahasa Inggris"/>
    <x v="0"/>
    <x v="4"/>
    <n v="60"/>
    <x v="3"/>
    <n v="12"/>
    <x v="0"/>
    <x v="4"/>
    <x v="2"/>
  </r>
  <r>
    <n v="1840"/>
    <s v="232410007"/>
    <x v="2"/>
    <x v="19"/>
    <s v="Intan Jaya"/>
    <d v="2026-02-02T00:00:00"/>
    <s v="02"/>
    <x v="1"/>
    <s v="26"/>
    <x v="3"/>
    <x v="4"/>
    <x v="5"/>
    <s v="Real"/>
    <s v="Entrepreneur"/>
    <s v="Branding"/>
    <x v="0"/>
    <x v="2"/>
    <x v="5"/>
    <s v="F12.03.01"/>
    <n v="3"/>
    <s v="menyusun karya tulis ilmiah berbasis data terkait kualitas produk olahan"/>
    <s v="03.01"/>
    <x v="28"/>
    <s v="K12"/>
    <s v="F"/>
    <n v="70"/>
    <n v="50"/>
    <s v="Tidak tuntas"/>
    <s v="Bahasa Inggris"/>
    <x v="0"/>
    <x v="4"/>
    <n v="50"/>
    <x v="3"/>
    <n v="12"/>
    <x v="5"/>
    <x v="4"/>
    <x v="2"/>
  </r>
  <r>
    <n v="1841"/>
    <s v="232410007"/>
    <x v="2"/>
    <x v="19"/>
    <s v="Intan Jaya"/>
    <d v="2026-02-02T00:00:00"/>
    <s v="02"/>
    <x v="1"/>
    <s v="26"/>
    <x v="4"/>
    <x v="5"/>
    <x v="6"/>
    <s v="Real"/>
    <s v="Entrepreneur"/>
    <s v="Branding"/>
    <x v="0"/>
    <x v="2"/>
    <x v="5"/>
    <s v="F12.03.01"/>
    <n v="3"/>
    <s v="menyusun karya tulis ilmiah berbasis data terkait kualitas produk olahan"/>
    <s v="03.01"/>
    <x v="28"/>
    <s v="K12"/>
    <s v="F"/>
    <n v="70"/>
    <n v="55"/>
    <s v="Tidak tuntas"/>
    <s v="Bahasa Inggris"/>
    <x v="0"/>
    <x v="4"/>
    <n v="55"/>
    <x v="3"/>
    <n v="12"/>
    <x v="0"/>
    <x v="4"/>
    <x v="2"/>
  </r>
  <r>
    <n v="1842"/>
    <s v="232410009"/>
    <x v="2"/>
    <x v="20"/>
    <s v="Intan Jaya"/>
    <d v="2026-01-12T00:00:00"/>
    <s v="12"/>
    <x v="0"/>
    <s v="26"/>
    <x v="0"/>
    <x v="0"/>
    <x v="11"/>
    <s v="Real"/>
    <s v="Entrepreneur"/>
    <s v="Branding"/>
    <x v="0"/>
    <x v="2"/>
    <x v="5"/>
    <s v="F12.03.01"/>
    <n v="3"/>
    <s v="menyusun karya tulis ilmiah berbasis data terkait kualitas produk olahan"/>
    <s v="03.01"/>
    <x v="28"/>
    <s v="K12"/>
    <s v="F"/>
    <n v="70"/>
    <n v="70"/>
    <s v="Tuntas"/>
    <s v="Bahasa Inggris"/>
    <x v="0"/>
    <x v="4"/>
    <n v="70"/>
    <x v="1"/>
    <n v="12"/>
    <x v="0"/>
    <x v="1"/>
    <x v="7"/>
  </r>
  <r>
    <n v="1843"/>
    <s v="232410009"/>
    <x v="2"/>
    <x v="20"/>
    <s v="Intan Jaya"/>
    <d v="2026-01-12T00:00:00"/>
    <s v="12"/>
    <x v="0"/>
    <s v="26"/>
    <x v="1"/>
    <x v="9"/>
    <x v="11"/>
    <s v="Real"/>
    <s v="Entrepreneur"/>
    <s v="Branding"/>
    <x v="0"/>
    <x v="2"/>
    <x v="5"/>
    <s v="F12.03.01"/>
    <n v="3"/>
    <s v="menyusun karya tulis ilmiah berbasis data terkait kualitas produk olahan"/>
    <s v="03.01"/>
    <x v="28"/>
    <s v="K12"/>
    <s v="F"/>
    <n v="70"/>
    <n v="70"/>
    <s v="Tuntas"/>
    <s v="Bahasa Inggris"/>
    <x v="0"/>
    <x v="4"/>
    <n v="70"/>
    <x v="1"/>
    <n v="12"/>
    <x v="0"/>
    <x v="1"/>
    <x v="7"/>
  </r>
  <r>
    <n v="1844"/>
    <s v="232410009"/>
    <x v="2"/>
    <x v="20"/>
    <s v="Intan Jaya"/>
    <d v="2026-01-12T00:00:00"/>
    <s v="12"/>
    <x v="0"/>
    <s v="26"/>
    <x v="2"/>
    <x v="3"/>
    <x v="0"/>
    <s v="Real"/>
    <s v="Entrepreneur"/>
    <s v="Branding"/>
    <x v="0"/>
    <x v="2"/>
    <x v="5"/>
    <s v="F12.03.01"/>
    <n v="3"/>
    <s v="menyusun karya tulis ilmiah berbasis data terkait kualitas produk olahan"/>
    <s v="03.01"/>
    <x v="28"/>
    <s v="K12"/>
    <s v="F"/>
    <n v="70"/>
    <n v="65"/>
    <s v="Tidak tuntas"/>
    <s v="Bahasa Inggris"/>
    <x v="0"/>
    <x v="4"/>
    <n v="65"/>
    <x v="3"/>
    <n v="12"/>
    <x v="0"/>
    <x v="1"/>
    <x v="7"/>
  </r>
  <r>
    <n v="1845"/>
    <s v="232410009"/>
    <x v="2"/>
    <x v="20"/>
    <s v="Intan Jaya"/>
    <d v="2026-01-12T00:00:00"/>
    <s v="12"/>
    <x v="0"/>
    <s v="26"/>
    <x v="3"/>
    <x v="4"/>
    <x v="3"/>
    <s v="Real"/>
    <s v="Entrepreneur"/>
    <s v="Branding"/>
    <x v="0"/>
    <x v="2"/>
    <x v="5"/>
    <s v="F12.03.01"/>
    <n v="3"/>
    <s v="menyusun karya tulis ilmiah berbasis data terkait kualitas produk olahan"/>
    <s v="03.01"/>
    <x v="28"/>
    <s v="K12"/>
    <s v="F"/>
    <n v="70"/>
    <n v="90"/>
    <s v="Tuntas"/>
    <s v="Bahasa Inggris"/>
    <x v="0"/>
    <x v="4"/>
    <n v="90"/>
    <x v="2"/>
    <n v="12"/>
    <x v="4"/>
    <x v="1"/>
    <x v="7"/>
  </r>
  <r>
    <n v="1846"/>
    <s v="232410009"/>
    <x v="2"/>
    <x v="20"/>
    <s v="Intan Jaya"/>
    <d v="2026-01-26T00:00:00"/>
    <s v="26"/>
    <x v="0"/>
    <s v="26"/>
    <x v="0"/>
    <x v="0"/>
    <x v="11"/>
    <s v="Real"/>
    <s v="Entrepreneur"/>
    <s v="Branding"/>
    <x v="0"/>
    <x v="2"/>
    <x v="5"/>
    <s v="F12.03.01"/>
    <n v="3"/>
    <s v="menyusun karya tulis ilmiah berbasis data terkait kualitas produk olahan"/>
    <s v="03.01"/>
    <x v="28"/>
    <s v="K12"/>
    <s v="F"/>
    <n v="70"/>
    <n v="75"/>
    <s v="Tuntas"/>
    <s v="Bahasa Inggris"/>
    <x v="0"/>
    <x v="4"/>
    <n v="75"/>
    <x v="1"/>
    <n v="12"/>
    <x v="0"/>
    <x v="3"/>
    <x v="7"/>
  </r>
  <r>
    <n v="1847"/>
    <s v="232410009"/>
    <x v="2"/>
    <x v="20"/>
    <s v="Intan Jaya"/>
    <d v="2026-01-26T00:00:00"/>
    <s v="26"/>
    <x v="0"/>
    <s v="26"/>
    <x v="1"/>
    <x v="9"/>
    <x v="11"/>
    <s v="Real"/>
    <s v="Entrepreneur"/>
    <s v="Branding"/>
    <x v="0"/>
    <x v="2"/>
    <x v="5"/>
    <s v="F12.03.01"/>
    <n v="3"/>
    <s v="menyusun karya tulis ilmiah berbasis data terkait kualitas produk olahan"/>
    <s v="03.01"/>
    <x v="28"/>
    <s v="K12"/>
    <s v="F"/>
    <n v="70"/>
    <n v="75"/>
    <s v="Tuntas"/>
    <s v="Bahasa Inggris"/>
    <x v="0"/>
    <x v="4"/>
    <n v="75"/>
    <x v="1"/>
    <n v="12"/>
    <x v="0"/>
    <x v="3"/>
    <x v="7"/>
  </r>
  <r>
    <n v="1848"/>
    <s v="232410009"/>
    <x v="2"/>
    <x v="20"/>
    <s v="Intan Jaya"/>
    <d v="2026-02-02T00:00:00"/>
    <s v="02"/>
    <x v="1"/>
    <s v="26"/>
    <x v="0"/>
    <x v="0"/>
    <x v="6"/>
    <s v="Real"/>
    <s v="Entrepreneur"/>
    <s v="Branding"/>
    <x v="0"/>
    <x v="2"/>
    <x v="5"/>
    <s v="F12.03.01"/>
    <n v="3"/>
    <s v="menyusun karya tulis ilmiah berbasis data terkait kualitas produk olahan"/>
    <s v="03.01"/>
    <x v="28"/>
    <s v="K12"/>
    <s v="F"/>
    <n v="70"/>
    <n v="60"/>
    <s v="Tidak tuntas"/>
    <s v="Bahasa Inggris"/>
    <x v="0"/>
    <x v="4"/>
    <n v="60"/>
    <x v="3"/>
    <n v="12"/>
    <x v="0"/>
    <x v="4"/>
    <x v="7"/>
  </r>
  <r>
    <n v="1849"/>
    <s v="232410009"/>
    <x v="2"/>
    <x v="20"/>
    <s v="Intan Jaya"/>
    <d v="2026-02-02T00:00:00"/>
    <s v="02"/>
    <x v="1"/>
    <s v="26"/>
    <x v="1"/>
    <x v="9"/>
    <x v="13"/>
    <s v="Real"/>
    <s v="Entrepreneur"/>
    <s v="Branding"/>
    <x v="0"/>
    <x v="2"/>
    <x v="5"/>
    <s v="F12.03.01"/>
    <n v="3"/>
    <s v="menyusun karya tulis ilmiah berbasis data terkait kualitas produk olahan"/>
    <s v="03.01"/>
    <x v="28"/>
    <s v="K12"/>
    <s v="F"/>
    <n v="70"/>
    <n v="60"/>
    <s v="Tidak tuntas"/>
    <s v="Bahasa Inggris"/>
    <x v="0"/>
    <x v="4"/>
    <n v="60"/>
    <x v="3"/>
    <n v="12"/>
    <x v="0"/>
    <x v="4"/>
    <x v="7"/>
  </r>
  <r>
    <n v="1850"/>
    <s v="232410009"/>
    <x v="2"/>
    <x v="20"/>
    <s v="Intan Jaya"/>
    <d v="2026-02-02T00:00:00"/>
    <s v="02"/>
    <x v="1"/>
    <s v="26"/>
    <x v="3"/>
    <x v="4"/>
    <x v="5"/>
    <s v="Real"/>
    <s v="Entrepreneur"/>
    <s v="Branding"/>
    <x v="0"/>
    <x v="2"/>
    <x v="5"/>
    <s v="F12.03.01"/>
    <n v="3"/>
    <s v="menyusun karya tulis ilmiah berbasis data terkait kualitas produk olahan"/>
    <s v="03.01"/>
    <x v="28"/>
    <s v="K12"/>
    <s v="F"/>
    <n v="70"/>
    <n v="50"/>
    <s v="Tidak tuntas"/>
    <s v="Bahasa Inggris"/>
    <x v="0"/>
    <x v="4"/>
    <n v="50"/>
    <x v="3"/>
    <n v="12"/>
    <x v="5"/>
    <x v="4"/>
    <x v="7"/>
  </r>
  <r>
    <n v="1851"/>
    <s v="232410009"/>
    <x v="2"/>
    <x v="20"/>
    <s v="Intan Jaya"/>
    <d v="2026-02-02T00:00:00"/>
    <s v="02"/>
    <x v="1"/>
    <s v="26"/>
    <x v="4"/>
    <x v="5"/>
    <x v="6"/>
    <s v="Real"/>
    <s v="Entrepreneur"/>
    <s v="Branding"/>
    <x v="0"/>
    <x v="2"/>
    <x v="5"/>
    <s v="F12.03.01"/>
    <n v="3"/>
    <s v="menyusun karya tulis ilmiah berbasis data terkait kualitas produk olahan"/>
    <s v="03.01"/>
    <x v="28"/>
    <s v="K12"/>
    <s v="F"/>
    <n v="70"/>
    <n v="55"/>
    <s v="Tidak tuntas"/>
    <s v="Bahasa Inggris"/>
    <x v="0"/>
    <x v="4"/>
    <n v="55"/>
    <x v="3"/>
    <n v="12"/>
    <x v="0"/>
    <x v="4"/>
    <x v="7"/>
  </r>
  <r>
    <n v="1852"/>
    <s v="232410008"/>
    <x v="2"/>
    <x v="21"/>
    <s v="Intan Jaya"/>
    <d v="2026-01-12T00:00:00"/>
    <s v="12"/>
    <x v="0"/>
    <s v="26"/>
    <x v="0"/>
    <x v="0"/>
    <x v="11"/>
    <s v="Real"/>
    <s v="Entrepreneur"/>
    <s v="Branding"/>
    <x v="0"/>
    <x v="2"/>
    <x v="5"/>
    <s v="F12.03.01"/>
    <n v="3"/>
    <s v="menyusun karya tulis ilmiah berbasis data terkait kualitas produk olahan"/>
    <s v="03.01"/>
    <x v="28"/>
    <s v="K12"/>
    <s v="F"/>
    <n v="70"/>
    <n v="65"/>
    <s v="Tidak tuntas"/>
    <s v="Bahasa Inggris"/>
    <x v="0"/>
    <x v="4"/>
    <n v="65"/>
    <x v="3"/>
    <n v="12"/>
    <x v="0"/>
    <x v="1"/>
    <x v="2"/>
  </r>
  <r>
    <n v="1853"/>
    <s v="232410008"/>
    <x v="2"/>
    <x v="21"/>
    <s v="Intan Jaya"/>
    <d v="2026-01-12T00:00:00"/>
    <s v="12"/>
    <x v="0"/>
    <s v="26"/>
    <x v="1"/>
    <x v="9"/>
    <x v="11"/>
    <s v="Real"/>
    <s v="Entrepreneur"/>
    <s v="Branding"/>
    <x v="0"/>
    <x v="2"/>
    <x v="5"/>
    <s v="F12.03.01"/>
    <n v="3"/>
    <s v="menyusun karya tulis ilmiah berbasis data terkait kualitas produk olahan"/>
    <s v="03.01"/>
    <x v="28"/>
    <s v="K12"/>
    <s v="F"/>
    <n v="70"/>
    <n v="65"/>
    <s v="Tidak tuntas"/>
    <s v="Bahasa Inggris"/>
    <x v="0"/>
    <x v="4"/>
    <n v="65"/>
    <x v="3"/>
    <n v="12"/>
    <x v="0"/>
    <x v="1"/>
    <x v="2"/>
  </r>
  <r>
    <n v="1854"/>
    <s v="232410008"/>
    <x v="2"/>
    <x v="21"/>
    <s v="Intan Jaya"/>
    <d v="2026-01-12T00:00:00"/>
    <s v="12"/>
    <x v="0"/>
    <s v="26"/>
    <x v="2"/>
    <x v="3"/>
    <x v="0"/>
    <s v="Real"/>
    <s v="Entrepreneur"/>
    <s v="Branding"/>
    <x v="0"/>
    <x v="2"/>
    <x v="5"/>
    <s v="F12.03.01"/>
    <n v="3"/>
    <s v="menyusun karya tulis ilmiah berbasis data terkait kualitas produk olahan"/>
    <s v="03.01"/>
    <x v="28"/>
    <s v="K12"/>
    <s v="F"/>
    <n v="70"/>
    <n v="60"/>
    <s v="Tidak tuntas"/>
    <s v="Bahasa Inggris"/>
    <x v="0"/>
    <x v="4"/>
    <n v="60"/>
    <x v="3"/>
    <n v="12"/>
    <x v="0"/>
    <x v="1"/>
    <x v="2"/>
  </r>
  <r>
    <n v="1855"/>
    <s v="232410008"/>
    <x v="2"/>
    <x v="21"/>
    <s v="Intan Jaya"/>
    <d v="2026-01-12T00:00:00"/>
    <s v="12"/>
    <x v="0"/>
    <s v="26"/>
    <x v="3"/>
    <x v="4"/>
    <x v="3"/>
    <s v="Real"/>
    <s v="Entrepreneur"/>
    <s v="Branding"/>
    <x v="0"/>
    <x v="2"/>
    <x v="5"/>
    <s v="F12.03.01"/>
    <n v="3"/>
    <s v="menyusun karya tulis ilmiah berbasis data terkait kualitas produk olahan"/>
    <s v="03.01"/>
    <x v="28"/>
    <s v="K12"/>
    <s v="F"/>
    <n v="70"/>
    <n v="60"/>
    <s v="Tidak tuntas"/>
    <s v="Bahasa Inggris"/>
    <x v="0"/>
    <x v="4"/>
    <n v="60"/>
    <x v="3"/>
    <n v="12"/>
    <x v="3"/>
    <x v="1"/>
    <x v="2"/>
  </r>
  <r>
    <n v="1856"/>
    <s v="232410008"/>
    <x v="2"/>
    <x v="21"/>
    <s v="Intan Jaya"/>
    <d v="2026-01-26T00:00:00"/>
    <s v="26"/>
    <x v="0"/>
    <s v="26"/>
    <x v="0"/>
    <x v="0"/>
    <x v="11"/>
    <s v="Real"/>
    <s v="Entrepreneur"/>
    <s v="Branding"/>
    <x v="0"/>
    <x v="2"/>
    <x v="5"/>
    <s v="F12.03.01"/>
    <n v="3"/>
    <s v="menyusun karya tulis ilmiah berbasis data terkait kualitas produk olahan"/>
    <s v="03.01"/>
    <x v="28"/>
    <s v="K12"/>
    <s v="F"/>
    <n v="70"/>
    <n v="70"/>
    <s v="Tuntas"/>
    <s v="Bahasa Inggris"/>
    <x v="0"/>
    <x v="4"/>
    <n v="70"/>
    <x v="1"/>
    <n v="12"/>
    <x v="0"/>
    <x v="3"/>
    <x v="2"/>
  </r>
  <r>
    <n v="1857"/>
    <s v="232410008"/>
    <x v="2"/>
    <x v="21"/>
    <s v="Intan Jaya"/>
    <d v="2026-01-26T00:00:00"/>
    <s v="26"/>
    <x v="0"/>
    <s v="26"/>
    <x v="1"/>
    <x v="9"/>
    <x v="11"/>
    <s v="Real"/>
    <s v="Entrepreneur"/>
    <s v="Branding"/>
    <x v="0"/>
    <x v="2"/>
    <x v="5"/>
    <s v="F12.03.01"/>
    <n v="3"/>
    <s v="menyusun karya tulis ilmiah berbasis data terkait kualitas produk olahan"/>
    <s v="03.01"/>
    <x v="28"/>
    <s v="K12"/>
    <s v="F"/>
    <n v="70"/>
    <n v="70"/>
    <s v="Tuntas"/>
    <s v="Bahasa Inggris"/>
    <x v="0"/>
    <x v="4"/>
    <n v="70"/>
    <x v="1"/>
    <n v="12"/>
    <x v="0"/>
    <x v="3"/>
    <x v="2"/>
  </r>
  <r>
    <n v="1858"/>
    <s v="232410008"/>
    <x v="2"/>
    <x v="21"/>
    <s v="Intan Jaya"/>
    <d v="2026-02-02T00:00:00"/>
    <s v="02"/>
    <x v="1"/>
    <s v="26"/>
    <x v="0"/>
    <x v="0"/>
    <x v="6"/>
    <s v="Real"/>
    <s v="Entrepreneur"/>
    <s v="Branding"/>
    <x v="0"/>
    <x v="2"/>
    <x v="5"/>
    <s v="F12.03.01"/>
    <n v="3"/>
    <s v="menyusun karya tulis ilmiah berbasis data terkait kualitas produk olahan"/>
    <s v="03.01"/>
    <x v="28"/>
    <s v="K12"/>
    <s v="F"/>
    <n v="70"/>
    <n v="70"/>
    <s v="Tuntas"/>
    <s v="Bahasa Inggris"/>
    <x v="0"/>
    <x v="4"/>
    <n v="70"/>
    <x v="1"/>
    <n v="12"/>
    <x v="0"/>
    <x v="4"/>
    <x v="2"/>
  </r>
  <r>
    <n v="1859"/>
    <s v="232410008"/>
    <x v="2"/>
    <x v="21"/>
    <s v="Intan Jaya"/>
    <d v="2026-02-02T00:00:00"/>
    <s v="02"/>
    <x v="1"/>
    <s v="26"/>
    <x v="1"/>
    <x v="9"/>
    <x v="13"/>
    <s v="Real"/>
    <s v="Entrepreneur"/>
    <s v="Branding"/>
    <x v="0"/>
    <x v="2"/>
    <x v="5"/>
    <s v="F12.03.01"/>
    <n v="3"/>
    <s v="menyusun karya tulis ilmiah berbasis data terkait kualitas produk olahan"/>
    <s v="03.01"/>
    <x v="28"/>
    <s v="K12"/>
    <s v="F"/>
    <n v="70"/>
    <n v="70"/>
    <s v="Tuntas"/>
    <s v="Bahasa Inggris"/>
    <x v="0"/>
    <x v="4"/>
    <n v="70"/>
    <x v="1"/>
    <n v="12"/>
    <x v="0"/>
    <x v="4"/>
    <x v="2"/>
  </r>
  <r>
    <n v="1860"/>
    <s v="232410008"/>
    <x v="2"/>
    <x v="21"/>
    <s v="Intan Jaya"/>
    <d v="2026-02-02T00:00:00"/>
    <s v="02"/>
    <x v="1"/>
    <s v="26"/>
    <x v="3"/>
    <x v="4"/>
    <x v="5"/>
    <s v="Real"/>
    <s v="Entrepreneur"/>
    <s v="Branding"/>
    <x v="0"/>
    <x v="2"/>
    <x v="5"/>
    <s v="F12.03.01"/>
    <n v="3"/>
    <s v="menyusun karya tulis ilmiah berbasis data terkait kualitas produk olahan"/>
    <s v="03.01"/>
    <x v="28"/>
    <s v="K12"/>
    <s v="F"/>
    <n v="70"/>
    <n v="70"/>
    <s v="Tuntas"/>
    <s v="Bahasa Inggris"/>
    <x v="0"/>
    <x v="4"/>
    <n v="70"/>
    <x v="1"/>
    <n v="12"/>
    <x v="1"/>
    <x v="4"/>
    <x v="2"/>
  </r>
  <r>
    <n v="1861"/>
    <s v="232410008"/>
    <x v="2"/>
    <x v="21"/>
    <s v="Intan Jaya"/>
    <d v="2026-02-02T00:00:00"/>
    <s v="02"/>
    <x v="1"/>
    <s v="26"/>
    <x v="4"/>
    <x v="5"/>
    <x v="6"/>
    <s v="Real"/>
    <s v="Entrepreneur"/>
    <s v="Branding"/>
    <x v="0"/>
    <x v="2"/>
    <x v="5"/>
    <s v="F12.03.01"/>
    <n v="3"/>
    <s v="menyusun karya tulis ilmiah berbasis data terkait kualitas produk olahan"/>
    <s v="03.01"/>
    <x v="28"/>
    <s v="K12"/>
    <s v="F"/>
    <n v="70"/>
    <n v="55"/>
    <s v="Tidak tuntas"/>
    <s v="Bahasa Inggris"/>
    <x v="0"/>
    <x v="4"/>
    <n v="55"/>
    <x v="3"/>
    <n v="12"/>
    <x v="0"/>
    <x v="4"/>
    <x v="2"/>
  </r>
  <r>
    <n v="1862"/>
    <s v="#N/A"/>
    <x v="1"/>
    <x v="12"/>
    <s v="#VALUE!"/>
    <m/>
    <s v=",,,,,,,,,"/>
    <x v="3"/>
    <s v=",,,,,,,,,"/>
    <x v="6"/>
    <x v="17"/>
    <x v="19"/>
    <s v=",,,,,,,,,"/>
    <s v=""/>
    <s v=""/>
    <x v="1"/>
    <x v="1"/>
    <x v="2"/>
    <s v=",,,,,,,,,"/>
    <m/>
    <s v=""/>
    <s v=",,,,,"/>
    <x v="8"/>
    <s v=",,,,,,,,,"/>
    <s v=","/>
    <n v="65"/>
    <m/>
    <s v="#REF!"/>
    <s v="Bahasa Sunda"/>
    <x v="0"/>
    <x v="0"/>
    <s v=""/>
    <x v="0"/>
    <s v=""/>
    <x v="0"/>
    <x v="0"/>
    <x v="0"/>
  </r>
  <r>
    <n v="1863"/>
    <s v="232410001"/>
    <x v="2"/>
    <x v="14"/>
    <s v="Dogiyai"/>
    <d v="2026-01-15T00:00:00"/>
    <s v="15"/>
    <x v="0"/>
    <s v="26"/>
    <x v="0"/>
    <x v="0"/>
    <x v="2"/>
    <s v="Real"/>
    <s v="Entrepreneur"/>
    <s v="Branding"/>
    <x v="0"/>
    <x v="2"/>
    <x v="3"/>
    <s v="F12.03.01"/>
    <n v="3"/>
    <s v="Memahami proses evolusi yang terjadi pada kopi dan singkong"/>
    <s v="03.01"/>
    <x v="29"/>
    <s v="K12"/>
    <s v="F"/>
    <n v="65"/>
    <n v="80"/>
    <s v="Tuntas"/>
    <s v="Biologi"/>
    <x v="2"/>
    <x v="5"/>
    <n v="80"/>
    <x v="2"/>
    <n v="12"/>
    <x v="0"/>
    <x v="1"/>
    <x v="2"/>
  </r>
  <r>
    <n v="1864"/>
    <s v="232410002"/>
    <x v="2"/>
    <x v="15"/>
    <s v="Tolikara"/>
    <d v="2026-01-15T00:00:00"/>
    <s v="15"/>
    <x v="0"/>
    <s v="26"/>
    <x v="0"/>
    <x v="0"/>
    <x v="2"/>
    <s v="Real"/>
    <s v="Entrepreneur"/>
    <s v="Branding"/>
    <x v="0"/>
    <x v="2"/>
    <x v="3"/>
    <s v="F12.03.01"/>
    <n v="3"/>
    <s v="Memahami proses evolusi yang terjadi pada kopi dan singkong"/>
    <s v="03.01"/>
    <x v="29"/>
    <s v="K12"/>
    <s v="F"/>
    <n v="65"/>
    <n v="92"/>
    <s v="Tuntas"/>
    <s v="Biologi"/>
    <x v="2"/>
    <x v="5"/>
    <n v="92"/>
    <x v="4"/>
    <n v="12"/>
    <x v="0"/>
    <x v="1"/>
    <x v="3"/>
  </r>
  <r>
    <n v="1865"/>
    <s v="232410003"/>
    <x v="2"/>
    <x v="16"/>
    <s v="Dogiyai"/>
    <d v="2026-01-15T00:00:00"/>
    <s v="15"/>
    <x v="0"/>
    <s v="26"/>
    <x v="0"/>
    <x v="0"/>
    <x v="2"/>
    <s v="Real"/>
    <s v="Entrepreneur"/>
    <s v="Branding"/>
    <x v="0"/>
    <x v="2"/>
    <x v="3"/>
    <s v="F12.03.01"/>
    <n v="3"/>
    <s v="Memahami proses evolusi yang terjadi pada kopi dan singkong"/>
    <s v="03.01"/>
    <x v="29"/>
    <s v="K12"/>
    <s v="F"/>
    <n v="65"/>
    <n v="85"/>
    <s v="Tuntas"/>
    <s v="Biologi"/>
    <x v="2"/>
    <x v="5"/>
    <n v="85"/>
    <x v="2"/>
    <n v="12"/>
    <x v="0"/>
    <x v="1"/>
    <x v="4"/>
  </r>
  <r>
    <n v="1866"/>
    <s v="232410004"/>
    <x v="2"/>
    <x v="17"/>
    <s v="Intan Jaya"/>
    <d v="2026-01-15T00:00:00"/>
    <s v="15"/>
    <x v="0"/>
    <s v="26"/>
    <x v="0"/>
    <x v="0"/>
    <x v="2"/>
    <s v="Real"/>
    <s v="Entrepreneur"/>
    <s v="Branding"/>
    <x v="0"/>
    <x v="2"/>
    <x v="3"/>
    <s v="F12.03.01"/>
    <n v="3"/>
    <s v="Memahami proses evolusi yang terjadi pada kopi dan singkong"/>
    <s v="03.01"/>
    <x v="29"/>
    <s v="K12"/>
    <s v="F"/>
    <n v="65"/>
    <n v="75"/>
    <s v="Tuntas"/>
    <s v="Biologi"/>
    <x v="2"/>
    <x v="5"/>
    <n v="75"/>
    <x v="1"/>
    <n v="12"/>
    <x v="0"/>
    <x v="1"/>
    <x v="2"/>
  </r>
  <r>
    <n v="1867"/>
    <s v="232410005"/>
    <x v="2"/>
    <x v="13"/>
    <s v="Asmat"/>
    <d v="2026-01-15T00:00:00"/>
    <s v="15"/>
    <x v="0"/>
    <s v="26"/>
    <x v="0"/>
    <x v="0"/>
    <x v="2"/>
    <s v="Real"/>
    <s v="Entrepreneur"/>
    <s v="Branding"/>
    <x v="0"/>
    <x v="2"/>
    <x v="3"/>
    <s v="F12.03.01"/>
    <n v="3"/>
    <s v="Memahami proses evolusi yang terjadi pada kopi dan singkong"/>
    <s v="03.01"/>
    <x v="29"/>
    <s v="K12"/>
    <s v="F"/>
    <n v="65"/>
    <n v="90"/>
    <s v="Tuntas"/>
    <s v="Biologi"/>
    <x v="2"/>
    <x v="5"/>
    <n v="90"/>
    <x v="2"/>
    <n v="12"/>
    <x v="0"/>
    <x v="1"/>
    <x v="3"/>
  </r>
  <r>
    <n v="1868"/>
    <s v="232410006"/>
    <x v="2"/>
    <x v="18"/>
    <s v="Intan Jaya"/>
    <d v="2026-01-15T00:00:00"/>
    <s v="15"/>
    <x v="0"/>
    <s v="26"/>
    <x v="0"/>
    <x v="0"/>
    <x v="2"/>
    <s v="Real"/>
    <s v="Entrepreneur"/>
    <s v="Branding"/>
    <x v="0"/>
    <x v="2"/>
    <x v="3"/>
    <s v="F12.03.01"/>
    <n v="3"/>
    <s v="Memahami proses evolusi yang terjadi pada kopi dan singkong"/>
    <s v="03.01"/>
    <x v="29"/>
    <s v="K12"/>
    <s v="F"/>
    <n v="65"/>
    <n v="30"/>
    <s v="Tidak tuntas"/>
    <s v="Biologi"/>
    <x v="2"/>
    <x v="5"/>
    <n v="30"/>
    <x v="3"/>
    <n v="12"/>
    <x v="0"/>
    <x v="1"/>
    <x v="4"/>
  </r>
  <r>
    <n v="1869"/>
    <s v="232410007"/>
    <x v="2"/>
    <x v="19"/>
    <s v="Intan Jaya"/>
    <d v="2026-01-15T00:00:00"/>
    <s v="15"/>
    <x v="0"/>
    <s v="26"/>
    <x v="0"/>
    <x v="0"/>
    <x v="2"/>
    <s v="Real"/>
    <s v="Entrepreneur"/>
    <s v="Branding"/>
    <x v="0"/>
    <x v="2"/>
    <x v="3"/>
    <s v="F12.03.01"/>
    <n v="3"/>
    <s v="Memahami proses evolusi yang terjadi pada kopi dan singkong"/>
    <s v="03.01"/>
    <x v="29"/>
    <s v="K12"/>
    <s v="F"/>
    <n v="65"/>
    <n v="50"/>
    <s v="Tidak tuntas"/>
    <s v="Biologi"/>
    <x v="2"/>
    <x v="5"/>
    <n v="50"/>
    <x v="3"/>
    <n v="12"/>
    <x v="0"/>
    <x v="1"/>
    <x v="2"/>
  </r>
  <r>
    <n v="1870"/>
    <s v="232410009"/>
    <x v="2"/>
    <x v="20"/>
    <s v="Intan Jaya"/>
    <d v="2026-01-15T00:00:00"/>
    <s v="15"/>
    <x v="0"/>
    <s v="26"/>
    <x v="0"/>
    <x v="0"/>
    <x v="2"/>
    <s v="Real"/>
    <s v="Entrepreneur"/>
    <s v="Branding"/>
    <x v="0"/>
    <x v="2"/>
    <x v="3"/>
    <s v="F12.03.01"/>
    <n v="3"/>
    <s v="Memahami proses evolusi yang terjadi pada kopi dan singkong"/>
    <s v="03.01"/>
    <x v="29"/>
    <s v="K12"/>
    <s v="F"/>
    <n v="65"/>
    <n v="75"/>
    <s v="Tuntas"/>
    <s v="Biologi"/>
    <x v="2"/>
    <x v="5"/>
    <n v="75"/>
    <x v="1"/>
    <n v="12"/>
    <x v="0"/>
    <x v="1"/>
    <x v="7"/>
  </r>
  <r>
    <n v="1871"/>
    <s v="232410008"/>
    <x v="2"/>
    <x v="21"/>
    <s v="Intan Jaya"/>
    <d v="2026-01-15T00:00:00"/>
    <s v="15"/>
    <x v="0"/>
    <s v="26"/>
    <x v="0"/>
    <x v="0"/>
    <x v="2"/>
    <s v="Real"/>
    <s v="Entrepreneur"/>
    <s v="Branding"/>
    <x v="0"/>
    <x v="2"/>
    <x v="3"/>
    <s v="F12.03.01"/>
    <n v="3"/>
    <s v="Memahami proses evolusi yang terjadi pada kopi dan singkong"/>
    <s v="03.01"/>
    <x v="29"/>
    <s v="K12"/>
    <s v="F"/>
    <n v="65"/>
    <n v="70"/>
    <s v="Tuntas"/>
    <s v="Biologi"/>
    <x v="2"/>
    <x v="5"/>
    <n v="70"/>
    <x v="1"/>
    <n v="12"/>
    <x v="0"/>
    <x v="1"/>
    <x v="2"/>
  </r>
  <r>
    <n v="1872"/>
    <s v="232410001"/>
    <x v="2"/>
    <x v="14"/>
    <s v="Dogiyai"/>
    <d v="2026-02-10T00:00:00"/>
    <s v="10"/>
    <x v="1"/>
    <s v="26"/>
    <x v="1"/>
    <x v="7"/>
    <x v="2"/>
    <s v="Real"/>
    <s v="Entrepreneur"/>
    <s v="Branding"/>
    <x v="0"/>
    <x v="2"/>
    <x v="5"/>
    <s v="D08.01.02"/>
    <n v="1"/>
    <s v="Mampu memahami, memformulasikan dan menyelesaikan pemecahan masalah kelembaban dalam Rumah Kaca"/>
    <s v="01.02"/>
    <x v="30"/>
    <s v="K08"/>
    <s v="D"/>
    <n v="70"/>
    <n v="60"/>
    <s v="Tidak tuntas"/>
    <s v="Fisika"/>
    <x v="0"/>
    <x v="6"/>
    <n v="60"/>
    <x v="3"/>
    <n v="8"/>
    <x v="0"/>
    <x v="5"/>
    <x v="2"/>
  </r>
  <r>
    <n v="1873"/>
    <s v="232410002"/>
    <x v="2"/>
    <x v="15"/>
    <s v="Tolikara"/>
    <d v="2026-02-10T00:00:00"/>
    <s v="10"/>
    <x v="1"/>
    <s v="26"/>
    <x v="1"/>
    <x v="7"/>
    <x v="2"/>
    <s v="Real"/>
    <s v="Entrepreneur"/>
    <s v="Branding"/>
    <x v="0"/>
    <x v="2"/>
    <x v="5"/>
    <s v="D08.01.02"/>
    <n v="1"/>
    <s v="Mampu memahami, memformulasikan dan menyelesaikan pemecahan masalah kelembaban dalam Rumah Kaca"/>
    <s v="01.02"/>
    <x v="30"/>
    <s v="K08"/>
    <s v="D"/>
    <n v="70"/>
    <n v="80"/>
    <s v="Tuntas"/>
    <s v="Fisika"/>
    <x v="0"/>
    <x v="6"/>
    <n v="80"/>
    <x v="2"/>
    <n v="8"/>
    <x v="0"/>
    <x v="5"/>
    <x v="3"/>
  </r>
  <r>
    <n v="1874"/>
    <s v="232410003"/>
    <x v="2"/>
    <x v="16"/>
    <s v="Dogiyai"/>
    <d v="2026-02-10T00:00:00"/>
    <s v="10"/>
    <x v="1"/>
    <s v="26"/>
    <x v="1"/>
    <x v="7"/>
    <x v="2"/>
    <s v="Real"/>
    <s v="Entrepreneur"/>
    <s v="Branding"/>
    <x v="0"/>
    <x v="2"/>
    <x v="5"/>
    <s v="D08.01.02"/>
    <n v="1"/>
    <s v="Mampu memahami, memformulasikan dan menyelesaikan pemecahan masalah kelembaban dalam Rumah Kaca"/>
    <s v="01.02"/>
    <x v="30"/>
    <s v="K08"/>
    <s v="D"/>
    <n v="70"/>
    <n v="70"/>
    <s v="Tuntas"/>
    <s v="Fisika"/>
    <x v="0"/>
    <x v="6"/>
    <n v="70"/>
    <x v="1"/>
    <n v="8"/>
    <x v="0"/>
    <x v="5"/>
    <x v="4"/>
  </r>
  <r>
    <n v="1875"/>
    <s v="232410004"/>
    <x v="2"/>
    <x v="17"/>
    <s v="Intan Jaya"/>
    <d v="2026-02-10T00:00:00"/>
    <s v="10"/>
    <x v="1"/>
    <s v="26"/>
    <x v="1"/>
    <x v="7"/>
    <x v="2"/>
    <s v="Real"/>
    <s v="Entrepreneur"/>
    <s v="Branding"/>
    <x v="0"/>
    <x v="2"/>
    <x v="5"/>
    <s v="D08.01.02"/>
    <n v="1"/>
    <s v="Mampu memahami, memformulasikan dan menyelesaikan pemecahan masalah kelembaban dalam Rumah Kaca"/>
    <s v="01.02"/>
    <x v="30"/>
    <s v="K08"/>
    <s v="D"/>
    <n v="70"/>
    <n v="40"/>
    <s v="Tidak tuntas"/>
    <s v="Fisika"/>
    <x v="0"/>
    <x v="6"/>
    <n v="40"/>
    <x v="3"/>
    <n v="8"/>
    <x v="0"/>
    <x v="5"/>
    <x v="2"/>
  </r>
  <r>
    <n v="1876"/>
    <s v="232410005"/>
    <x v="2"/>
    <x v="13"/>
    <s v="Asmat"/>
    <d v="2026-02-10T00:00:00"/>
    <s v="10"/>
    <x v="1"/>
    <s v="26"/>
    <x v="1"/>
    <x v="7"/>
    <x v="2"/>
    <s v="Real"/>
    <s v="Entrepreneur"/>
    <s v="Branding"/>
    <x v="0"/>
    <x v="2"/>
    <x v="5"/>
    <s v="D08.01.02"/>
    <n v="1"/>
    <s v="Mampu memahami, memformulasikan dan menyelesaikan pemecahan masalah kelembaban dalam Rumah Kaca"/>
    <s v="01.02"/>
    <x v="30"/>
    <s v="K08"/>
    <s v="D"/>
    <n v="70"/>
    <n v="75"/>
    <s v="Tuntas"/>
    <s v="Fisika"/>
    <x v="0"/>
    <x v="6"/>
    <n v="75"/>
    <x v="1"/>
    <n v="8"/>
    <x v="0"/>
    <x v="5"/>
    <x v="3"/>
  </r>
  <r>
    <n v="1877"/>
    <s v="232410006"/>
    <x v="2"/>
    <x v="18"/>
    <s v="Intan Jaya"/>
    <d v="2026-02-10T00:00:00"/>
    <s v="10"/>
    <x v="1"/>
    <s v="26"/>
    <x v="1"/>
    <x v="7"/>
    <x v="2"/>
    <s v="Real"/>
    <s v="Entrepreneur"/>
    <s v="Branding"/>
    <x v="0"/>
    <x v="2"/>
    <x v="5"/>
    <s v="D08.01.02"/>
    <n v="1"/>
    <s v="Mampu memahami, memformulasikan dan menyelesaikan pemecahan masalah kelembaban dalam Rumah Kaca"/>
    <s v="01.02"/>
    <x v="30"/>
    <s v="K08"/>
    <s v="D"/>
    <n v="70"/>
    <n v="70"/>
    <s v="Tuntas"/>
    <s v="Fisika"/>
    <x v="0"/>
    <x v="6"/>
    <n v="70"/>
    <x v="1"/>
    <n v="8"/>
    <x v="0"/>
    <x v="5"/>
    <x v="4"/>
  </r>
  <r>
    <n v="1878"/>
    <s v="232410007"/>
    <x v="2"/>
    <x v="19"/>
    <s v="Intan Jaya"/>
    <d v="2026-02-10T00:00:00"/>
    <s v="10"/>
    <x v="1"/>
    <s v="26"/>
    <x v="1"/>
    <x v="7"/>
    <x v="2"/>
    <s v="Real"/>
    <s v="Entrepreneur"/>
    <s v="Branding"/>
    <x v="0"/>
    <x v="2"/>
    <x v="5"/>
    <s v="D08.01.02"/>
    <n v="1"/>
    <s v="Mampu memahami, memformulasikan dan menyelesaikan pemecahan masalah kelembaban dalam Rumah Kaca"/>
    <s v="01.02"/>
    <x v="30"/>
    <s v="K08"/>
    <s v="D"/>
    <n v="70"/>
    <n v="60"/>
    <s v="Tidak tuntas"/>
    <s v="Fisika"/>
    <x v="0"/>
    <x v="6"/>
    <n v="60"/>
    <x v="3"/>
    <n v="8"/>
    <x v="0"/>
    <x v="5"/>
    <x v="2"/>
  </r>
  <r>
    <n v="1879"/>
    <s v="232410009"/>
    <x v="2"/>
    <x v="20"/>
    <s v="Intan Jaya"/>
    <d v="2026-02-10T00:00:00"/>
    <s v="10"/>
    <x v="1"/>
    <s v="26"/>
    <x v="1"/>
    <x v="7"/>
    <x v="2"/>
    <s v="Real"/>
    <s v="Entrepreneur"/>
    <s v="Branding"/>
    <x v="0"/>
    <x v="2"/>
    <x v="5"/>
    <s v="D08.01.02"/>
    <n v="1"/>
    <s v="Mampu memahami, memformulasikan dan menyelesaikan pemecahan masalah kelembaban dalam Rumah Kaca"/>
    <s v="01.02"/>
    <x v="30"/>
    <s v="K08"/>
    <s v="D"/>
    <n v="70"/>
    <n v="60"/>
    <s v="Tidak tuntas"/>
    <s v="Fisika"/>
    <x v="0"/>
    <x v="6"/>
    <n v="60"/>
    <x v="3"/>
    <n v="8"/>
    <x v="0"/>
    <x v="5"/>
    <x v="7"/>
  </r>
  <r>
    <n v="1880"/>
    <s v="232410008"/>
    <x v="2"/>
    <x v="21"/>
    <s v="Intan Jaya"/>
    <d v="2026-02-10T00:00:00"/>
    <s v="10"/>
    <x v="1"/>
    <s v="26"/>
    <x v="1"/>
    <x v="7"/>
    <x v="2"/>
    <s v="Real"/>
    <s v="Entrepreneur"/>
    <s v="Branding"/>
    <x v="0"/>
    <x v="2"/>
    <x v="5"/>
    <s v="D08.01.02"/>
    <n v="1"/>
    <s v="Mampu memahami, memformulasikan dan menyelesaikan pemecahan masalah kelembaban dalam Rumah Kaca"/>
    <s v="01.02"/>
    <x v="30"/>
    <s v="K08"/>
    <s v="D"/>
    <n v="70"/>
    <n v="70"/>
    <s v="Tuntas"/>
    <s v="Fisika"/>
    <x v="0"/>
    <x v="6"/>
    <n v="70"/>
    <x v="1"/>
    <n v="8"/>
    <x v="0"/>
    <x v="5"/>
    <x v="2"/>
  </r>
  <r>
    <n v="1881"/>
    <s v="232410001"/>
    <x v="2"/>
    <x v="14"/>
    <s v="Dogiyai"/>
    <d v="2026-01-15T00:00:00"/>
    <s v="15"/>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1"/>
    <x v="2"/>
  </r>
  <r>
    <n v="1882"/>
    <s v="232410001"/>
    <x v="2"/>
    <x v="14"/>
    <s v="Dogiyai"/>
    <d v="2026-01-15T00:00:00"/>
    <s v="15"/>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1"/>
    <x v="2"/>
  </r>
  <r>
    <n v="1883"/>
    <s v="232410001"/>
    <x v="2"/>
    <x v="14"/>
    <s v="Dogiyai"/>
    <d v="2026-01-22T00:00:00"/>
    <s v="22"/>
    <x v="0"/>
    <s v="26"/>
    <x v="2"/>
    <x v="12"/>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2"/>
    <x v="2"/>
  </r>
  <r>
    <n v="1884"/>
    <s v="232410001"/>
    <x v="2"/>
    <x v="14"/>
    <s v="Dogiyai"/>
    <d v="2026-01-22T00:00:00"/>
    <s v="22"/>
    <x v="0"/>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2"/>
    <x v="2"/>
    <x v="2"/>
  </r>
  <r>
    <n v="1885"/>
    <s v="232410001"/>
    <x v="2"/>
    <x v="14"/>
    <s v="Dogiyai"/>
    <d v="2026-01-22T00:00:00"/>
    <s v="22"/>
    <x v="0"/>
    <s v="26"/>
    <x v="4"/>
    <x v="5"/>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2"/>
    <x v="2"/>
  </r>
  <r>
    <n v="1886"/>
    <s v="232410001"/>
    <x v="2"/>
    <x v="14"/>
    <s v="Dogiyai"/>
    <d v="2026-01-29T00:00:00"/>
    <s v="29"/>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3"/>
    <x v="2"/>
  </r>
  <r>
    <n v="1887"/>
    <s v="232410001"/>
    <x v="2"/>
    <x v="14"/>
    <s v="Dogiyai"/>
    <d v="2026-01-29T00:00:00"/>
    <s v="29"/>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3"/>
    <x v="2"/>
  </r>
  <r>
    <n v="1888"/>
    <s v="232410001"/>
    <x v="2"/>
    <x v="14"/>
    <s v="Dogiyai"/>
    <d v="2026-02-12T00:00:00"/>
    <s v="12"/>
    <x v="1"/>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8"/>
    <s v="Tidak tuntas"/>
    <s v="Informatika"/>
    <x v="0"/>
    <x v="7"/>
    <n v="68"/>
    <x v="3"/>
    <n v="12"/>
    <x v="0"/>
    <x v="5"/>
    <x v="2"/>
  </r>
  <r>
    <n v="1889"/>
    <s v="232410001"/>
    <x v="2"/>
    <x v="14"/>
    <s v="Dogiyai"/>
    <d v="2026-02-12T00:00:00"/>
    <s v="12"/>
    <x v="1"/>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8"/>
    <s v="Tidak tuntas"/>
    <s v="Informatika"/>
    <x v="0"/>
    <x v="7"/>
    <n v="68"/>
    <x v="3"/>
    <n v="12"/>
    <x v="0"/>
    <x v="5"/>
    <x v="2"/>
  </r>
  <r>
    <n v="1890"/>
    <s v="232410001"/>
    <x v="2"/>
    <x v="14"/>
    <s v="Dogiyai"/>
    <d v="2026-02-12T00:00:00"/>
    <s v="12"/>
    <x v="1"/>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2"/>
    <x v="5"/>
    <x v="2"/>
  </r>
  <r>
    <n v="1891"/>
    <s v="232410002"/>
    <x v="2"/>
    <x v="15"/>
    <s v="Tolikara"/>
    <d v="2026-01-15T00:00:00"/>
    <s v="15"/>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1"/>
    <x v="3"/>
  </r>
  <r>
    <n v="1892"/>
    <s v="232410002"/>
    <x v="2"/>
    <x v="15"/>
    <s v="Tolikara"/>
    <d v="2026-01-15T00:00:00"/>
    <s v="15"/>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1"/>
    <x v="3"/>
  </r>
  <r>
    <n v="1893"/>
    <s v="232410002"/>
    <x v="2"/>
    <x v="15"/>
    <s v="Tolikara"/>
    <d v="2026-01-22T00:00:00"/>
    <s v="22"/>
    <x v="0"/>
    <s v="26"/>
    <x v="2"/>
    <x v="12"/>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2"/>
    <x v="3"/>
  </r>
  <r>
    <n v="1894"/>
    <s v="232410002"/>
    <x v="2"/>
    <x v="15"/>
    <s v="Tolikara"/>
    <d v="2026-01-22T00:00:00"/>
    <s v="22"/>
    <x v="0"/>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2"/>
    <x v="2"/>
    <x v="3"/>
  </r>
  <r>
    <n v="1895"/>
    <s v="232410002"/>
    <x v="2"/>
    <x v="15"/>
    <s v="Tolikara"/>
    <d v="2026-01-22T00:00:00"/>
    <s v="22"/>
    <x v="0"/>
    <s v="26"/>
    <x v="4"/>
    <x v="5"/>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5"/>
    <s v="Tuntas"/>
    <s v="Informatika"/>
    <x v="0"/>
    <x v="7"/>
    <n v="75"/>
    <x v="1"/>
    <n v="12"/>
    <x v="0"/>
    <x v="2"/>
    <x v="3"/>
  </r>
  <r>
    <n v="1896"/>
    <s v="232410002"/>
    <x v="2"/>
    <x v="15"/>
    <s v="Tolikara"/>
    <d v="2026-01-29T00:00:00"/>
    <s v="29"/>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3"/>
    <x v="3"/>
  </r>
  <r>
    <n v="1897"/>
    <s v="232410002"/>
    <x v="2"/>
    <x v="15"/>
    <s v="Tolikara"/>
    <d v="2026-01-29T00:00:00"/>
    <s v="29"/>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3"/>
    <x v="3"/>
  </r>
  <r>
    <n v="1898"/>
    <s v="232410002"/>
    <x v="2"/>
    <x v="15"/>
    <s v="Tolikara"/>
    <d v="2026-02-12T00:00:00"/>
    <s v="12"/>
    <x v="1"/>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8"/>
    <s v="Tidak tuntas"/>
    <s v="Informatika"/>
    <x v="0"/>
    <x v="7"/>
    <n v="68"/>
    <x v="3"/>
    <n v="12"/>
    <x v="0"/>
    <x v="5"/>
    <x v="3"/>
  </r>
  <r>
    <n v="1899"/>
    <s v="232410002"/>
    <x v="2"/>
    <x v="15"/>
    <s v="Tolikara"/>
    <d v="2026-02-12T00:00:00"/>
    <s v="12"/>
    <x v="1"/>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8"/>
    <s v="Tidak tuntas"/>
    <s v="Informatika"/>
    <x v="0"/>
    <x v="7"/>
    <n v="68"/>
    <x v="3"/>
    <n v="12"/>
    <x v="0"/>
    <x v="5"/>
    <x v="3"/>
  </r>
  <r>
    <n v="1900"/>
    <s v="232410002"/>
    <x v="2"/>
    <x v="15"/>
    <s v="Tolikara"/>
    <d v="2026-02-12T00:00:00"/>
    <s v="12"/>
    <x v="1"/>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2"/>
    <x v="5"/>
    <x v="3"/>
  </r>
  <r>
    <n v="1901"/>
    <s v="232410003"/>
    <x v="2"/>
    <x v="16"/>
    <s v="Dogiyai"/>
    <d v="2026-01-15T00:00:00"/>
    <s v="15"/>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0"/>
    <s v="Tidak tuntas"/>
    <s v="Informatika"/>
    <x v="0"/>
    <x v="7"/>
    <n v="60"/>
    <x v="3"/>
    <n v="12"/>
    <x v="0"/>
    <x v="1"/>
    <x v="4"/>
  </r>
  <r>
    <n v="1902"/>
    <s v="232410003"/>
    <x v="2"/>
    <x v="16"/>
    <s v="Dogiyai"/>
    <d v="2026-01-15T00:00:00"/>
    <s v="15"/>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0"/>
    <s v="Tidak tuntas"/>
    <s v="Informatika"/>
    <x v="0"/>
    <x v="7"/>
    <n v="60"/>
    <x v="3"/>
    <n v="12"/>
    <x v="0"/>
    <x v="1"/>
    <x v="4"/>
  </r>
  <r>
    <n v="1903"/>
    <s v="232410003"/>
    <x v="2"/>
    <x v="16"/>
    <s v="Dogiyai"/>
    <d v="2026-01-22T00:00:00"/>
    <s v="22"/>
    <x v="0"/>
    <s v="26"/>
    <x v="2"/>
    <x v="12"/>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0"/>
    <s v="Tidak tuntas"/>
    <s v="Informatika"/>
    <x v="0"/>
    <x v="7"/>
    <n v="60"/>
    <x v="3"/>
    <n v="12"/>
    <x v="0"/>
    <x v="2"/>
    <x v="4"/>
  </r>
  <r>
    <n v="1904"/>
    <s v="232410003"/>
    <x v="2"/>
    <x v="16"/>
    <s v="Dogiyai"/>
    <d v="2026-01-22T00:00:00"/>
    <s v="22"/>
    <x v="0"/>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2"/>
    <x v="2"/>
    <x v="4"/>
  </r>
  <r>
    <n v="1905"/>
    <s v="232410003"/>
    <x v="2"/>
    <x v="16"/>
    <s v="Dogiyai"/>
    <d v="2026-01-22T00:00:00"/>
    <s v="22"/>
    <x v="0"/>
    <s v="26"/>
    <x v="4"/>
    <x v="5"/>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0"/>
    <x v="2"/>
    <x v="4"/>
  </r>
  <r>
    <n v="1906"/>
    <s v="232410003"/>
    <x v="2"/>
    <x v="16"/>
    <s v="Dogiyai"/>
    <d v="2026-01-29T00:00:00"/>
    <s v="29"/>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3"/>
    <x v="4"/>
  </r>
  <r>
    <n v="1907"/>
    <s v="232410003"/>
    <x v="2"/>
    <x v="16"/>
    <s v="Dogiyai"/>
    <d v="2026-01-29T00:00:00"/>
    <s v="29"/>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3"/>
    <x v="4"/>
  </r>
  <r>
    <n v="1908"/>
    <s v="232410003"/>
    <x v="2"/>
    <x v="16"/>
    <s v="Dogiyai"/>
    <d v="2026-02-12T00:00:00"/>
    <s v="12"/>
    <x v="1"/>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8"/>
    <s v="Tidak tuntas"/>
    <s v="Informatika"/>
    <x v="0"/>
    <x v="7"/>
    <n v="68"/>
    <x v="3"/>
    <n v="12"/>
    <x v="0"/>
    <x v="5"/>
    <x v="4"/>
  </r>
  <r>
    <n v="1909"/>
    <s v="232410003"/>
    <x v="2"/>
    <x v="16"/>
    <s v="Dogiyai"/>
    <d v="2026-02-12T00:00:00"/>
    <s v="12"/>
    <x v="1"/>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5"/>
    <x v="4"/>
  </r>
  <r>
    <n v="1910"/>
    <s v="232410003"/>
    <x v="2"/>
    <x v="16"/>
    <s v="Dogiyai"/>
    <d v="2026-02-12T00:00:00"/>
    <s v="12"/>
    <x v="1"/>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2"/>
    <x v="5"/>
    <x v="4"/>
  </r>
  <r>
    <n v="1911"/>
    <s v="232410004"/>
    <x v="2"/>
    <x v="17"/>
    <s v="Intan Jaya"/>
    <d v="2026-01-15T00:00:00"/>
    <s v="15"/>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50"/>
    <s v="Tidak tuntas"/>
    <s v="Informatika"/>
    <x v="0"/>
    <x v="7"/>
    <n v="50"/>
    <x v="3"/>
    <n v="12"/>
    <x v="0"/>
    <x v="1"/>
    <x v="2"/>
  </r>
  <r>
    <n v="1912"/>
    <s v="232410004"/>
    <x v="2"/>
    <x v="17"/>
    <s v="Intan Jaya"/>
    <d v="2026-01-15T00:00:00"/>
    <s v="15"/>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50"/>
    <s v="Tidak tuntas"/>
    <s v="Informatika"/>
    <x v="0"/>
    <x v="7"/>
    <n v="50"/>
    <x v="3"/>
    <n v="12"/>
    <x v="0"/>
    <x v="1"/>
    <x v="2"/>
  </r>
  <r>
    <n v="1913"/>
    <s v="232410004"/>
    <x v="2"/>
    <x v="17"/>
    <s v="Intan Jaya"/>
    <d v="2026-01-22T00:00:00"/>
    <s v="22"/>
    <x v="0"/>
    <s v="26"/>
    <x v="2"/>
    <x v="12"/>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50"/>
    <s v="Tidak tuntas"/>
    <s v="Informatika"/>
    <x v="0"/>
    <x v="7"/>
    <n v="50"/>
    <x v="3"/>
    <n v="12"/>
    <x v="0"/>
    <x v="2"/>
    <x v="2"/>
  </r>
  <r>
    <n v="1914"/>
    <s v="232410004"/>
    <x v="2"/>
    <x v="17"/>
    <s v="Intan Jaya"/>
    <d v="2026-01-22T00:00:00"/>
    <s v="22"/>
    <x v="0"/>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2"/>
    <x v="2"/>
    <x v="2"/>
  </r>
  <r>
    <n v="1915"/>
    <s v="232410004"/>
    <x v="2"/>
    <x v="17"/>
    <s v="Intan Jaya"/>
    <d v="2026-01-22T00:00:00"/>
    <s v="22"/>
    <x v="0"/>
    <s v="26"/>
    <x v="4"/>
    <x v="5"/>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2"/>
    <x v="2"/>
  </r>
  <r>
    <n v="1916"/>
    <s v="232410004"/>
    <x v="2"/>
    <x v="17"/>
    <s v="Intan Jaya"/>
    <d v="2026-01-29T00:00:00"/>
    <s v="29"/>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3"/>
    <x v="2"/>
  </r>
  <r>
    <n v="1917"/>
    <s v="232410004"/>
    <x v="2"/>
    <x v="17"/>
    <s v="Intan Jaya"/>
    <d v="2026-01-29T00:00:00"/>
    <s v="29"/>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3"/>
    <x v="2"/>
  </r>
  <r>
    <n v="1918"/>
    <s v="232410004"/>
    <x v="2"/>
    <x v="17"/>
    <s v="Intan Jaya"/>
    <d v="2026-02-12T00:00:00"/>
    <s v="12"/>
    <x v="1"/>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55"/>
    <s v="Tidak tuntas"/>
    <s v="Informatika"/>
    <x v="0"/>
    <x v="7"/>
    <n v="55"/>
    <x v="3"/>
    <n v="12"/>
    <x v="0"/>
    <x v="5"/>
    <x v="2"/>
  </r>
  <r>
    <n v="1919"/>
    <s v="232410004"/>
    <x v="2"/>
    <x v="17"/>
    <s v="Intan Jaya"/>
    <d v="2026-02-12T00:00:00"/>
    <s v="12"/>
    <x v="1"/>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55"/>
    <s v="Tidak tuntas"/>
    <s v="Informatika"/>
    <x v="0"/>
    <x v="7"/>
    <n v="55"/>
    <x v="3"/>
    <n v="12"/>
    <x v="0"/>
    <x v="5"/>
    <x v="2"/>
  </r>
  <r>
    <n v="1920"/>
    <s v="232410004"/>
    <x v="2"/>
    <x v="17"/>
    <s v="Intan Jaya"/>
    <d v="2026-02-12T00:00:00"/>
    <s v="12"/>
    <x v="1"/>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2"/>
    <x v="5"/>
    <x v="2"/>
  </r>
  <r>
    <n v="1921"/>
    <s v="232410005"/>
    <x v="2"/>
    <x v="13"/>
    <s v="Asmat"/>
    <d v="2026-01-15T00:00:00"/>
    <s v="15"/>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1"/>
    <x v="3"/>
  </r>
  <r>
    <n v="1922"/>
    <s v="232410005"/>
    <x v="2"/>
    <x v="13"/>
    <s v="Asmat"/>
    <d v="2026-01-15T00:00:00"/>
    <s v="15"/>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1"/>
    <x v="3"/>
  </r>
  <r>
    <n v="1923"/>
    <s v="232410005"/>
    <x v="2"/>
    <x v="13"/>
    <s v="Asmat"/>
    <d v="2026-01-22T00:00:00"/>
    <s v="22"/>
    <x v="0"/>
    <s v="26"/>
    <x v="2"/>
    <x v="12"/>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2"/>
    <x v="3"/>
  </r>
  <r>
    <n v="1924"/>
    <s v="232410005"/>
    <x v="2"/>
    <x v="13"/>
    <s v="Asmat"/>
    <d v="2026-01-22T00:00:00"/>
    <s v="22"/>
    <x v="0"/>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2"/>
    <x v="2"/>
    <x v="3"/>
  </r>
  <r>
    <n v="1925"/>
    <s v="232410005"/>
    <x v="2"/>
    <x v="13"/>
    <s v="Asmat"/>
    <d v="2026-01-22T00:00:00"/>
    <s v="22"/>
    <x v="0"/>
    <s v="26"/>
    <x v="4"/>
    <x v="5"/>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0"/>
    <x v="2"/>
    <x v="3"/>
  </r>
  <r>
    <n v="1926"/>
    <s v="232410005"/>
    <x v="2"/>
    <x v="13"/>
    <s v="Asmat"/>
    <d v="2026-01-29T00:00:00"/>
    <s v="29"/>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3"/>
    <x v="3"/>
  </r>
  <r>
    <n v="1927"/>
    <s v="232410005"/>
    <x v="2"/>
    <x v="13"/>
    <s v="Asmat"/>
    <d v="2026-01-29T00:00:00"/>
    <s v="29"/>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0"/>
    <x v="3"/>
    <x v="3"/>
  </r>
  <r>
    <n v="1928"/>
    <s v="232410005"/>
    <x v="2"/>
    <x v="13"/>
    <s v="Asmat"/>
    <d v="2026-02-12T00:00:00"/>
    <s v="12"/>
    <x v="1"/>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8"/>
    <s v="Tidak tuntas"/>
    <s v="Informatika"/>
    <x v="0"/>
    <x v="7"/>
    <n v="68"/>
    <x v="3"/>
    <n v="12"/>
    <x v="0"/>
    <x v="5"/>
    <x v="3"/>
  </r>
  <r>
    <n v="1929"/>
    <s v="232410005"/>
    <x v="2"/>
    <x v="13"/>
    <s v="Asmat"/>
    <d v="2026-02-12T00:00:00"/>
    <s v="12"/>
    <x v="1"/>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8"/>
    <s v="Tidak tuntas"/>
    <s v="Informatika"/>
    <x v="0"/>
    <x v="7"/>
    <n v="68"/>
    <x v="3"/>
    <n v="12"/>
    <x v="0"/>
    <x v="5"/>
    <x v="3"/>
  </r>
  <r>
    <n v="1930"/>
    <s v="232410005"/>
    <x v="2"/>
    <x v="13"/>
    <s v="Asmat"/>
    <d v="2026-02-12T00:00:00"/>
    <s v="12"/>
    <x v="1"/>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2"/>
    <x v="5"/>
    <x v="3"/>
  </r>
  <r>
    <n v="1931"/>
    <s v="232410006"/>
    <x v="2"/>
    <x v="18"/>
    <s v="Intan Jaya"/>
    <d v="2026-01-15T00:00:00"/>
    <s v="15"/>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1"/>
    <x v="4"/>
  </r>
  <r>
    <n v="1932"/>
    <s v="232410006"/>
    <x v="2"/>
    <x v="18"/>
    <s v="Intan Jaya"/>
    <d v="2026-01-15T00:00:00"/>
    <s v="15"/>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1"/>
    <x v="4"/>
  </r>
  <r>
    <n v="1933"/>
    <s v="232410006"/>
    <x v="2"/>
    <x v="18"/>
    <s v="Intan Jaya"/>
    <d v="2026-01-22T00:00:00"/>
    <s v="22"/>
    <x v="0"/>
    <s v="26"/>
    <x v="2"/>
    <x v="12"/>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2"/>
    <x v="4"/>
  </r>
  <r>
    <n v="1934"/>
    <s v="232410006"/>
    <x v="2"/>
    <x v="18"/>
    <s v="Intan Jaya"/>
    <d v="2026-01-22T00:00:00"/>
    <s v="22"/>
    <x v="0"/>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1"/>
    <x v="2"/>
    <x v="4"/>
  </r>
  <r>
    <n v="1935"/>
    <s v="232410006"/>
    <x v="2"/>
    <x v="18"/>
    <s v="Intan Jaya"/>
    <d v="2026-01-22T00:00:00"/>
    <s v="22"/>
    <x v="0"/>
    <s v="26"/>
    <x v="4"/>
    <x v="5"/>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5"/>
    <s v="Tuntas"/>
    <s v="Informatika"/>
    <x v="0"/>
    <x v="7"/>
    <n v="75"/>
    <x v="1"/>
    <n v="12"/>
    <x v="0"/>
    <x v="2"/>
    <x v="4"/>
  </r>
  <r>
    <n v="1936"/>
    <s v="232410006"/>
    <x v="2"/>
    <x v="18"/>
    <s v="Intan Jaya"/>
    <d v="2026-01-29T00:00:00"/>
    <s v="29"/>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3"/>
    <x v="4"/>
  </r>
  <r>
    <n v="1937"/>
    <s v="232410006"/>
    <x v="2"/>
    <x v="18"/>
    <s v="Intan Jaya"/>
    <d v="2026-01-29T00:00:00"/>
    <s v="29"/>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3"/>
    <x v="4"/>
  </r>
  <r>
    <n v="1938"/>
    <s v="232410006"/>
    <x v="2"/>
    <x v="18"/>
    <s v="Intan Jaya"/>
    <d v="2026-02-12T00:00:00"/>
    <s v="12"/>
    <x v="1"/>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5"/>
    <x v="4"/>
  </r>
  <r>
    <n v="1939"/>
    <s v="232410006"/>
    <x v="2"/>
    <x v="18"/>
    <s v="Intan Jaya"/>
    <d v="2026-02-12T00:00:00"/>
    <s v="12"/>
    <x v="1"/>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5"/>
    <x v="4"/>
  </r>
  <r>
    <n v="1940"/>
    <s v="232410006"/>
    <x v="2"/>
    <x v="18"/>
    <s v="Intan Jaya"/>
    <d v="2026-02-12T00:00:00"/>
    <s v="12"/>
    <x v="1"/>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1"/>
    <x v="5"/>
    <x v="4"/>
  </r>
  <r>
    <n v="1941"/>
    <s v="232410007"/>
    <x v="2"/>
    <x v="19"/>
    <s v="Intan Jaya"/>
    <d v="2026-01-15T00:00:00"/>
    <s v="15"/>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30"/>
    <s v="Tidak tuntas"/>
    <s v="Informatika"/>
    <x v="0"/>
    <x v="7"/>
    <n v="30"/>
    <x v="3"/>
    <n v="12"/>
    <x v="0"/>
    <x v="1"/>
    <x v="2"/>
  </r>
  <r>
    <n v="1942"/>
    <s v="232410007"/>
    <x v="2"/>
    <x v="19"/>
    <s v="Intan Jaya"/>
    <d v="2026-01-15T00:00:00"/>
    <s v="15"/>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30"/>
    <s v="Tidak tuntas"/>
    <s v="Informatika"/>
    <x v="0"/>
    <x v="7"/>
    <n v="30"/>
    <x v="3"/>
    <n v="12"/>
    <x v="0"/>
    <x v="1"/>
    <x v="2"/>
  </r>
  <r>
    <n v="1943"/>
    <s v="232410007"/>
    <x v="2"/>
    <x v="19"/>
    <s v="Intan Jaya"/>
    <d v="2026-01-22T00:00:00"/>
    <s v="22"/>
    <x v="0"/>
    <s v="26"/>
    <x v="2"/>
    <x v="12"/>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30"/>
    <s v="Tidak tuntas"/>
    <s v="Informatika"/>
    <x v="0"/>
    <x v="7"/>
    <n v="30"/>
    <x v="3"/>
    <n v="12"/>
    <x v="0"/>
    <x v="2"/>
    <x v="2"/>
  </r>
  <r>
    <n v="1944"/>
    <s v="232410007"/>
    <x v="2"/>
    <x v="19"/>
    <s v="Intan Jaya"/>
    <d v="2026-01-22T00:00:00"/>
    <s v="22"/>
    <x v="0"/>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1"/>
    <x v="2"/>
    <x v="2"/>
  </r>
  <r>
    <n v="1945"/>
    <s v="232410007"/>
    <x v="2"/>
    <x v="19"/>
    <s v="Intan Jaya"/>
    <d v="2026-01-22T00:00:00"/>
    <s v="22"/>
    <x v="0"/>
    <s v="26"/>
    <x v="4"/>
    <x v="5"/>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2"/>
    <x v="2"/>
  </r>
  <r>
    <n v="1946"/>
    <s v="232410007"/>
    <x v="2"/>
    <x v="19"/>
    <s v="Intan Jaya"/>
    <d v="2026-01-29T00:00:00"/>
    <s v="29"/>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40"/>
    <s v="Tidak tuntas"/>
    <s v="Informatika"/>
    <x v="0"/>
    <x v="7"/>
    <n v="40"/>
    <x v="3"/>
    <n v="12"/>
    <x v="0"/>
    <x v="3"/>
    <x v="2"/>
  </r>
  <r>
    <n v="1947"/>
    <s v="232410007"/>
    <x v="2"/>
    <x v="19"/>
    <s v="Intan Jaya"/>
    <d v="2026-01-29T00:00:00"/>
    <s v="29"/>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40"/>
    <s v="Tidak tuntas"/>
    <s v="Informatika"/>
    <x v="0"/>
    <x v="7"/>
    <n v="40"/>
    <x v="3"/>
    <n v="12"/>
    <x v="0"/>
    <x v="3"/>
    <x v="2"/>
  </r>
  <r>
    <n v="1948"/>
    <s v="232410007"/>
    <x v="2"/>
    <x v="19"/>
    <s v="Intan Jaya"/>
    <d v="2026-02-12T00:00:00"/>
    <s v="12"/>
    <x v="1"/>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40"/>
    <s v="Tidak tuntas"/>
    <s v="Informatika"/>
    <x v="0"/>
    <x v="7"/>
    <n v="40"/>
    <x v="3"/>
    <n v="12"/>
    <x v="0"/>
    <x v="5"/>
    <x v="2"/>
  </r>
  <r>
    <n v="1949"/>
    <s v="232410007"/>
    <x v="2"/>
    <x v="19"/>
    <s v="Intan Jaya"/>
    <d v="2026-02-12T00:00:00"/>
    <s v="12"/>
    <x v="1"/>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40"/>
    <s v="Tidak tuntas"/>
    <s v="Informatika"/>
    <x v="0"/>
    <x v="7"/>
    <n v="40"/>
    <x v="3"/>
    <n v="12"/>
    <x v="0"/>
    <x v="5"/>
    <x v="2"/>
  </r>
  <r>
    <n v="1950"/>
    <s v="232410007"/>
    <x v="2"/>
    <x v="19"/>
    <s v="Intan Jaya"/>
    <d v="2026-02-12T00:00:00"/>
    <s v="12"/>
    <x v="1"/>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70"/>
    <s v="Tuntas"/>
    <s v="Informatika"/>
    <x v="0"/>
    <x v="7"/>
    <n v="70"/>
    <x v="1"/>
    <n v="12"/>
    <x v="1"/>
    <x v="5"/>
    <x v="2"/>
  </r>
  <r>
    <n v="1951"/>
    <s v="232410009"/>
    <x v="2"/>
    <x v="20"/>
    <s v="Intan Jaya"/>
    <d v="2026-01-15T00:00:00"/>
    <s v="15"/>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40"/>
    <s v="Tidak tuntas"/>
    <s v="Informatika"/>
    <x v="0"/>
    <x v="7"/>
    <n v="40"/>
    <x v="3"/>
    <n v="12"/>
    <x v="0"/>
    <x v="1"/>
    <x v="7"/>
  </r>
  <r>
    <n v="1952"/>
    <s v="232410009"/>
    <x v="2"/>
    <x v="20"/>
    <s v="Intan Jaya"/>
    <d v="2026-01-15T00:00:00"/>
    <s v="15"/>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40"/>
    <s v="Tidak tuntas"/>
    <s v="Informatika"/>
    <x v="0"/>
    <x v="7"/>
    <n v="40"/>
    <x v="3"/>
    <n v="12"/>
    <x v="0"/>
    <x v="1"/>
    <x v="7"/>
  </r>
  <r>
    <n v="1953"/>
    <s v="232410009"/>
    <x v="2"/>
    <x v="20"/>
    <s v="Intan Jaya"/>
    <d v="2026-01-22T00:00:00"/>
    <s v="22"/>
    <x v="0"/>
    <s v="26"/>
    <x v="2"/>
    <x v="12"/>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40"/>
    <s v="Tidak tuntas"/>
    <s v="Informatika"/>
    <x v="0"/>
    <x v="7"/>
    <n v="40"/>
    <x v="3"/>
    <n v="12"/>
    <x v="0"/>
    <x v="2"/>
    <x v="7"/>
  </r>
  <r>
    <n v="1954"/>
    <s v="232410009"/>
    <x v="2"/>
    <x v="20"/>
    <s v="Intan Jaya"/>
    <d v="2026-01-22T00:00:00"/>
    <s v="22"/>
    <x v="0"/>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2"/>
    <x v="2"/>
    <x v="7"/>
  </r>
  <r>
    <n v="1955"/>
    <s v="232410009"/>
    <x v="2"/>
    <x v="20"/>
    <s v="Intan Jaya"/>
    <d v="2026-01-22T00:00:00"/>
    <s v="22"/>
    <x v="0"/>
    <s v="26"/>
    <x v="4"/>
    <x v="5"/>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2"/>
    <x v="7"/>
  </r>
  <r>
    <n v="1956"/>
    <s v="232410009"/>
    <x v="2"/>
    <x v="20"/>
    <s v="Intan Jaya"/>
    <d v="2026-01-29T00:00:00"/>
    <s v="29"/>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50"/>
    <s v="Tidak tuntas"/>
    <s v="Informatika"/>
    <x v="0"/>
    <x v="7"/>
    <n v="50"/>
    <x v="3"/>
    <n v="12"/>
    <x v="0"/>
    <x v="3"/>
    <x v="7"/>
  </r>
  <r>
    <n v="1957"/>
    <s v="232410009"/>
    <x v="2"/>
    <x v="20"/>
    <s v="Intan Jaya"/>
    <d v="2026-01-29T00:00:00"/>
    <s v="29"/>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50"/>
    <s v="Tidak tuntas"/>
    <s v="Informatika"/>
    <x v="0"/>
    <x v="7"/>
    <n v="50"/>
    <x v="3"/>
    <n v="12"/>
    <x v="0"/>
    <x v="3"/>
    <x v="7"/>
  </r>
  <r>
    <n v="1958"/>
    <s v="232410009"/>
    <x v="2"/>
    <x v="20"/>
    <s v="Intan Jaya"/>
    <d v="2026-02-12T00:00:00"/>
    <s v="12"/>
    <x v="1"/>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50"/>
    <s v="Tidak tuntas"/>
    <s v="Informatika"/>
    <x v="0"/>
    <x v="7"/>
    <n v="50"/>
    <x v="3"/>
    <n v="12"/>
    <x v="0"/>
    <x v="5"/>
    <x v="7"/>
  </r>
  <r>
    <n v="1959"/>
    <s v="232410009"/>
    <x v="2"/>
    <x v="20"/>
    <s v="Intan Jaya"/>
    <d v="2026-02-12T00:00:00"/>
    <s v="12"/>
    <x v="1"/>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50"/>
    <s v="Tidak tuntas"/>
    <s v="Informatika"/>
    <x v="0"/>
    <x v="7"/>
    <n v="50"/>
    <x v="3"/>
    <n v="12"/>
    <x v="0"/>
    <x v="5"/>
    <x v="7"/>
  </r>
  <r>
    <n v="1960"/>
    <s v="232410009"/>
    <x v="2"/>
    <x v="20"/>
    <s v="Intan Jaya"/>
    <d v="2026-02-12T00:00:00"/>
    <s v="12"/>
    <x v="1"/>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2"/>
    <x v="5"/>
    <x v="7"/>
  </r>
  <r>
    <n v="1961"/>
    <s v="232410008"/>
    <x v="2"/>
    <x v="21"/>
    <s v="Intan Jaya"/>
    <d v="2026-01-15T00:00:00"/>
    <s v="15"/>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0"/>
    <s v="Tidak tuntas"/>
    <s v="Informatika"/>
    <x v="0"/>
    <x v="7"/>
    <n v="60"/>
    <x v="3"/>
    <n v="12"/>
    <x v="0"/>
    <x v="1"/>
    <x v="2"/>
  </r>
  <r>
    <n v="1962"/>
    <s v="232410008"/>
    <x v="2"/>
    <x v="21"/>
    <s v="Intan Jaya"/>
    <d v="2026-01-15T00:00:00"/>
    <s v="15"/>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0"/>
    <s v="Tidak tuntas"/>
    <s v="Informatika"/>
    <x v="0"/>
    <x v="7"/>
    <n v="60"/>
    <x v="3"/>
    <n v="12"/>
    <x v="0"/>
    <x v="1"/>
    <x v="2"/>
  </r>
  <r>
    <n v="1963"/>
    <s v="232410008"/>
    <x v="2"/>
    <x v="21"/>
    <s v="Intan Jaya"/>
    <d v="2026-01-22T00:00:00"/>
    <s v="22"/>
    <x v="0"/>
    <s v="26"/>
    <x v="2"/>
    <x v="12"/>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0"/>
    <s v="Tidak tuntas"/>
    <s v="Informatika"/>
    <x v="0"/>
    <x v="7"/>
    <n v="60"/>
    <x v="3"/>
    <n v="12"/>
    <x v="0"/>
    <x v="2"/>
    <x v="2"/>
  </r>
  <r>
    <n v="1964"/>
    <s v="232410008"/>
    <x v="2"/>
    <x v="21"/>
    <s v="Intan Jaya"/>
    <d v="2026-01-22T00:00:00"/>
    <s v="22"/>
    <x v="0"/>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2"/>
    <x v="2"/>
    <x v="2"/>
  </r>
  <r>
    <n v="1965"/>
    <s v="232410008"/>
    <x v="2"/>
    <x v="21"/>
    <s v="Intan Jaya"/>
    <d v="2026-01-22T00:00:00"/>
    <s v="22"/>
    <x v="0"/>
    <s v="26"/>
    <x v="4"/>
    <x v="5"/>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5"/>
    <s v="Tidak tuntas"/>
    <s v="Informatika"/>
    <x v="0"/>
    <x v="7"/>
    <n v="65"/>
    <x v="3"/>
    <n v="12"/>
    <x v="0"/>
    <x v="2"/>
    <x v="2"/>
  </r>
  <r>
    <n v="1966"/>
    <s v="232410008"/>
    <x v="2"/>
    <x v="21"/>
    <s v="Intan Jaya"/>
    <d v="2026-01-29T00:00:00"/>
    <s v="29"/>
    <x v="0"/>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0"/>
    <s v="Tidak tuntas"/>
    <s v="Informatika"/>
    <x v="0"/>
    <x v="7"/>
    <n v="60"/>
    <x v="3"/>
    <n v="12"/>
    <x v="0"/>
    <x v="3"/>
    <x v="2"/>
  </r>
  <r>
    <n v="1967"/>
    <s v="232410008"/>
    <x v="2"/>
    <x v="21"/>
    <s v="Intan Jaya"/>
    <d v="2026-01-29T00:00:00"/>
    <s v="29"/>
    <x v="0"/>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0"/>
    <s v="Tidak tuntas"/>
    <s v="Informatika"/>
    <x v="0"/>
    <x v="7"/>
    <n v="60"/>
    <x v="3"/>
    <n v="12"/>
    <x v="0"/>
    <x v="3"/>
    <x v="2"/>
  </r>
  <r>
    <n v="1968"/>
    <s v="232410008"/>
    <x v="2"/>
    <x v="21"/>
    <s v="Intan Jaya"/>
    <d v="2026-02-12T00:00:00"/>
    <s v="12"/>
    <x v="1"/>
    <s v="26"/>
    <x v="1"/>
    <x v="7"/>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3"/>
    <s v="Tidak tuntas"/>
    <s v="Informatika"/>
    <x v="0"/>
    <x v="7"/>
    <n v="63"/>
    <x v="3"/>
    <n v="12"/>
    <x v="0"/>
    <x v="5"/>
    <x v="2"/>
  </r>
  <r>
    <n v="1969"/>
    <s v="232410008"/>
    <x v="2"/>
    <x v="21"/>
    <s v="Intan Jaya"/>
    <d v="2026-02-12T00:00:00"/>
    <s v="12"/>
    <x v="1"/>
    <s v="26"/>
    <x v="0"/>
    <x v="11"/>
    <x v="13"/>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60"/>
    <s v="Tidak tuntas"/>
    <s v="Informatika"/>
    <x v="0"/>
    <x v="7"/>
    <n v="60"/>
    <x v="3"/>
    <n v="12"/>
    <x v="0"/>
    <x v="5"/>
    <x v="2"/>
  </r>
  <r>
    <n v="1970"/>
    <s v="232410008"/>
    <x v="2"/>
    <x v="21"/>
    <s v="Intan Jaya"/>
    <d v="2026-02-12T00:00:00"/>
    <s v="12"/>
    <x v="1"/>
    <s v="26"/>
    <x v="3"/>
    <x v="4"/>
    <x v="5"/>
    <s v="Real"/>
    <s v="Entrepreneur"/>
    <s v="Branding"/>
    <x v="0"/>
    <x v="2"/>
    <x v="5"/>
    <s v="F12.01.01"/>
    <n v="1"/>
    <s v="membangun aplikasi web inventori menggunakan HTML, CSS, dan PHP Native dengan dukungan database MySQL yang mencakup pencatatan stok bahan baku dan resep produk, perhitungan jumlah produksi, Harga Pokok Produksi (HPP), penentuan harga jual, prediksi break-even point (BEP), serta analisis proyeksi keuntungan melalui dashboard interaktif untuk mendukung kewirausahaan digital masyarakat Papua"/>
    <s v="01.01"/>
    <x v="31"/>
    <s v="K12"/>
    <s v="F"/>
    <n v="70"/>
    <n v="80"/>
    <s v="Tuntas"/>
    <s v="Informatika"/>
    <x v="0"/>
    <x v="7"/>
    <n v="80"/>
    <x v="2"/>
    <n v="12"/>
    <x v="2"/>
    <x v="5"/>
    <x v="2"/>
  </r>
  <r>
    <n v="1971"/>
    <s v="232410001"/>
    <x v="2"/>
    <x v="14"/>
    <s v="Dogiyai"/>
    <d v="2026-01-06T00:00:00"/>
    <s v="06"/>
    <x v="0"/>
    <s v="26"/>
    <x v="2"/>
    <x v="3"/>
    <x v="2"/>
    <s v="Real"/>
    <s v="Entrepreneur"/>
    <s v="Branding"/>
    <x v="0"/>
    <x v="2"/>
    <x v="5"/>
    <s v="F12.01.01"/>
    <n v="1"/>
    <s v="manganalisis struktur, sifat, sintesis, dan kegunaan senyawa turunan hidrokarbon"/>
    <s v="01.01"/>
    <x v="32"/>
    <s v="K12"/>
    <s v="F"/>
    <n v="70"/>
    <n v="75"/>
    <s v="Tuntas"/>
    <s v="Kimia"/>
    <x v="4"/>
    <x v="8"/>
    <n v="75"/>
    <x v="1"/>
    <n v="12"/>
    <x v="0"/>
    <x v="7"/>
    <x v="2"/>
  </r>
  <r>
    <n v="1972"/>
    <s v="232410001"/>
    <x v="2"/>
    <x v="14"/>
    <s v="Dogiyai"/>
    <d v="2026-01-13T00:00:00"/>
    <s v="13"/>
    <x v="0"/>
    <s v="26"/>
    <x v="1"/>
    <x v="7"/>
    <x v="4"/>
    <s v="Real"/>
    <s v="Entrepreneur"/>
    <s v="Branding"/>
    <x v="0"/>
    <x v="2"/>
    <x v="5"/>
    <s v="F12.01.01"/>
    <n v="1"/>
    <s v="manganalisis struktur, sifat, sintesis, dan kegunaan senyawa turunan hidrokarbon"/>
    <s v="01.01"/>
    <x v="32"/>
    <s v="K12"/>
    <s v="F"/>
    <n v="70"/>
    <n v="70"/>
    <s v="Tuntas"/>
    <s v="Kimia"/>
    <x v="4"/>
    <x v="8"/>
    <n v="70"/>
    <x v="1"/>
    <n v="12"/>
    <x v="0"/>
    <x v="1"/>
    <x v="2"/>
  </r>
  <r>
    <n v="1973"/>
    <s v="232410001"/>
    <x v="2"/>
    <x v="14"/>
    <s v="Dogiyai"/>
    <d v="2026-01-27T00:00:00"/>
    <s v="27"/>
    <x v="0"/>
    <s v="26"/>
    <x v="0"/>
    <x v="0"/>
    <x v="2"/>
    <s v="Real"/>
    <s v="Entrepreneur"/>
    <s v="Branding"/>
    <x v="0"/>
    <x v="2"/>
    <x v="5"/>
    <s v="F12.01.01"/>
    <n v="1"/>
    <s v="manganalisis struktur, sifat, sintesis, dan kegunaan senyawa turunan hidrokarbon"/>
    <s v="01.01"/>
    <x v="32"/>
    <s v="K12"/>
    <s v="F"/>
    <n v="70"/>
    <n v="70"/>
    <s v="Tuntas"/>
    <s v="Kimia"/>
    <x v="4"/>
    <x v="8"/>
    <n v="70"/>
    <x v="1"/>
    <n v="12"/>
    <x v="0"/>
    <x v="3"/>
    <x v="2"/>
  </r>
  <r>
    <n v="1974"/>
    <s v="232410001"/>
    <x v="2"/>
    <x v="14"/>
    <s v="Dogiyai"/>
    <d v="2026-02-10T00:00:00"/>
    <s v="10"/>
    <x v="1"/>
    <s v="26"/>
    <x v="0"/>
    <x v="2"/>
    <x v="17"/>
    <s v="Real"/>
    <s v="Entrepreneur"/>
    <s v="Branding"/>
    <x v="0"/>
    <x v="2"/>
    <x v="5"/>
    <s v="F12.01.01"/>
    <n v="1"/>
    <s v="manganalisis struktur, sifat, sintesis, dan kegunaan senyawa turunan hidrokarbon"/>
    <s v="01.01"/>
    <x v="32"/>
    <s v="K12"/>
    <s v="F"/>
    <n v="70"/>
    <n v="10"/>
    <s v="Tidak tuntas"/>
    <s v="Kimia"/>
    <x v="4"/>
    <x v="8"/>
    <n v="10"/>
    <x v="3"/>
    <n v="12"/>
    <x v="0"/>
    <x v="5"/>
    <x v="2"/>
  </r>
  <r>
    <n v="1975"/>
    <s v="232410002"/>
    <x v="2"/>
    <x v="15"/>
    <s v="Tolikara"/>
    <d v="2026-01-06T00:00:00"/>
    <s v="06"/>
    <x v="0"/>
    <s v="26"/>
    <x v="2"/>
    <x v="3"/>
    <x v="2"/>
    <s v="Real"/>
    <s v="Entrepreneur"/>
    <s v="Branding"/>
    <x v="0"/>
    <x v="2"/>
    <x v="5"/>
    <s v="F12.01.01"/>
    <n v="1"/>
    <s v="manganalisis struktur, sifat, sintesis, dan kegunaan senyawa turunan hidrokarbon"/>
    <s v="01.01"/>
    <x v="32"/>
    <s v="K12"/>
    <s v="F"/>
    <n v="70"/>
    <n v="80"/>
    <s v="Tuntas"/>
    <s v="Kimia"/>
    <x v="4"/>
    <x v="8"/>
    <n v="80"/>
    <x v="2"/>
    <n v="12"/>
    <x v="0"/>
    <x v="7"/>
    <x v="3"/>
  </r>
  <r>
    <n v="1976"/>
    <s v="232410002"/>
    <x v="2"/>
    <x v="15"/>
    <s v="Tolikara"/>
    <d v="2026-01-13T00:00:00"/>
    <s v="13"/>
    <x v="0"/>
    <s v="26"/>
    <x v="1"/>
    <x v="7"/>
    <x v="4"/>
    <s v="Real"/>
    <s v="Entrepreneur"/>
    <s v="Branding"/>
    <x v="0"/>
    <x v="2"/>
    <x v="5"/>
    <s v="F12.01.01"/>
    <n v="1"/>
    <s v="manganalisis struktur, sifat, sintesis, dan kegunaan senyawa turunan hidrokarbon"/>
    <s v="01.01"/>
    <x v="32"/>
    <s v="K12"/>
    <s v="F"/>
    <n v="70"/>
    <n v="80"/>
    <s v="Tuntas"/>
    <s v="Kimia"/>
    <x v="4"/>
    <x v="8"/>
    <n v="80"/>
    <x v="2"/>
    <n v="12"/>
    <x v="0"/>
    <x v="1"/>
    <x v="3"/>
  </r>
  <r>
    <n v="1977"/>
    <s v="232410002"/>
    <x v="2"/>
    <x v="15"/>
    <s v="Tolikara"/>
    <d v="2026-01-27T00:00:00"/>
    <s v="27"/>
    <x v="0"/>
    <s v="26"/>
    <x v="0"/>
    <x v="0"/>
    <x v="2"/>
    <s v="Real"/>
    <s v="Entrepreneur"/>
    <s v="Branding"/>
    <x v="0"/>
    <x v="2"/>
    <x v="5"/>
    <s v="F12.01.01"/>
    <n v="1"/>
    <s v="manganalisis struktur, sifat, sintesis, dan kegunaan senyawa turunan hidrokarbon"/>
    <s v="01.01"/>
    <x v="32"/>
    <s v="K12"/>
    <s v="F"/>
    <n v="70"/>
    <n v="80"/>
    <s v="Tuntas"/>
    <s v="Kimia"/>
    <x v="4"/>
    <x v="8"/>
    <n v="80"/>
    <x v="2"/>
    <n v="12"/>
    <x v="0"/>
    <x v="3"/>
    <x v="3"/>
  </r>
  <r>
    <n v="1978"/>
    <s v="232410002"/>
    <x v="2"/>
    <x v="15"/>
    <s v="Tolikara"/>
    <d v="2026-02-10T00:00:00"/>
    <s v="10"/>
    <x v="1"/>
    <s v="26"/>
    <x v="0"/>
    <x v="2"/>
    <x v="17"/>
    <s v="Real"/>
    <s v="Entrepreneur"/>
    <s v="Branding"/>
    <x v="0"/>
    <x v="2"/>
    <x v="5"/>
    <s v="F12.01.01"/>
    <n v="1"/>
    <s v="manganalisis struktur, sifat, sintesis, dan kegunaan senyawa turunan hidrokarbon"/>
    <s v="01.01"/>
    <x v="32"/>
    <s v="K12"/>
    <s v="F"/>
    <n v="70"/>
    <n v="75"/>
    <s v="Tuntas"/>
    <s v="Kimia"/>
    <x v="4"/>
    <x v="8"/>
    <n v="75"/>
    <x v="1"/>
    <n v="12"/>
    <x v="0"/>
    <x v="5"/>
    <x v="3"/>
  </r>
  <r>
    <n v="1979"/>
    <s v="232410003"/>
    <x v="2"/>
    <x v="16"/>
    <s v="Dogiyai"/>
    <d v="2026-01-06T00:00:00"/>
    <s v="06"/>
    <x v="0"/>
    <s v="26"/>
    <x v="2"/>
    <x v="3"/>
    <x v="2"/>
    <s v="Real"/>
    <s v="Entrepreneur"/>
    <s v="Branding"/>
    <x v="0"/>
    <x v="2"/>
    <x v="5"/>
    <s v="F12.01.01"/>
    <n v="1"/>
    <s v="manganalisis struktur, sifat, sintesis, dan kegunaan senyawa turunan hidrokarbon"/>
    <s v="01.01"/>
    <x v="32"/>
    <s v="K12"/>
    <s v="F"/>
    <n v="70"/>
    <n v="70"/>
    <s v="Tuntas"/>
    <s v="Kimia"/>
    <x v="4"/>
    <x v="8"/>
    <n v="70"/>
    <x v="1"/>
    <n v="12"/>
    <x v="0"/>
    <x v="7"/>
    <x v="4"/>
  </r>
  <r>
    <n v="1980"/>
    <s v="232410003"/>
    <x v="2"/>
    <x v="16"/>
    <s v="Dogiyai"/>
    <d v="2026-01-13T00:00:00"/>
    <s v="13"/>
    <x v="0"/>
    <s v="26"/>
    <x v="1"/>
    <x v="7"/>
    <x v="4"/>
    <s v="Real"/>
    <s v="Entrepreneur"/>
    <s v="Branding"/>
    <x v="0"/>
    <x v="2"/>
    <x v="5"/>
    <s v="F12.01.01"/>
    <n v="1"/>
    <s v="manganalisis struktur, sifat, sintesis, dan kegunaan senyawa turunan hidrokarbon"/>
    <s v="01.01"/>
    <x v="32"/>
    <s v="K12"/>
    <s v="F"/>
    <n v="70"/>
    <n v="70"/>
    <s v="Tuntas"/>
    <s v="Kimia"/>
    <x v="4"/>
    <x v="8"/>
    <n v="70"/>
    <x v="1"/>
    <n v="12"/>
    <x v="0"/>
    <x v="1"/>
    <x v="4"/>
  </r>
  <r>
    <n v="1981"/>
    <s v="232410003"/>
    <x v="2"/>
    <x v="16"/>
    <s v="Dogiyai"/>
    <d v="2026-01-27T00:00:00"/>
    <s v="27"/>
    <x v="0"/>
    <s v="26"/>
    <x v="0"/>
    <x v="0"/>
    <x v="2"/>
    <s v="Real"/>
    <s v="Entrepreneur"/>
    <s v="Branding"/>
    <x v="0"/>
    <x v="2"/>
    <x v="5"/>
    <s v="F12.01.01"/>
    <n v="1"/>
    <s v="manganalisis struktur, sifat, sintesis, dan kegunaan senyawa turunan hidrokarbon"/>
    <s v="01.01"/>
    <x v="32"/>
    <s v="K12"/>
    <s v="F"/>
    <n v="70"/>
    <n v="85"/>
    <s v="Tuntas"/>
    <s v="Kimia"/>
    <x v="4"/>
    <x v="8"/>
    <n v="85"/>
    <x v="2"/>
    <n v="12"/>
    <x v="0"/>
    <x v="3"/>
    <x v="4"/>
  </r>
  <r>
    <n v="1982"/>
    <s v="232410003"/>
    <x v="2"/>
    <x v="16"/>
    <s v="Dogiyai"/>
    <d v="2026-02-10T00:00:00"/>
    <s v="10"/>
    <x v="1"/>
    <s v="26"/>
    <x v="0"/>
    <x v="2"/>
    <x v="17"/>
    <s v="Real"/>
    <s v="Entrepreneur"/>
    <s v="Branding"/>
    <x v="0"/>
    <x v="2"/>
    <x v="5"/>
    <s v="F12.01.01"/>
    <n v="1"/>
    <s v="manganalisis struktur, sifat, sintesis, dan kegunaan senyawa turunan hidrokarbon"/>
    <s v="01.01"/>
    <x v="32"/>
    <s v="K12"/>
    <s v="F"/>
    <n v="70"/>
    <n v="50"/>
    <s v="Tidak tuntas"/>
    <s v="Kimia"/>
    <x v="4"/>
    <x v="8"/>
    <n v="50"/>
    <x v="3"/>
    <n v="12"/>
    <x v="0"/>
    <x v="5"/>
    <x v="4"/>
  </r>
  <r>
    <n v="1983"/>
    <s v="232410004"/>
    <x v="2"/>
    <x v="17"/>
    <s v="Intan Jaya"/>
    <d v="2026-01-06T00:00:00"/>
    <s v="06"/>
    <x v="0"/>
    <s v="26"/>
    <x v="2"/>
    <x v="3"/>
    <x v="2"/>
    <s v="Real"/>
    <s v="Entrepreneur"/>
    <s v="Branding"/>
    <x v="0"/>
    <x v="2"/>
    <x v="5"/>
    <s v="F12.01.01"/>
    <n v="1"/>
    <s v="manganalisis struktur, sifat, sintesis, dan kegunaan senyawa turunan hidrokarbon"/>
    <s v="01.01"/>
    <x v="32"/>
    <s v="K12"/>
    <s v="F"/>
    <n v="70"/>
    <n v="60"/>
    <s v="Tidak tuntas"/>
    <s v="Kimia"/>
    <x v="4"/>
    <x v="8"/>
    <n v="60"/>
    <x v="3"/>
    <n v="12"/>
    <x v="0"/>
    <x v="7"/>
    <x v="2"/>
  </r>
  <r>
    <n v="1984"/>
    <s v="232410004"/>
    <x v="2"/>
    <x v="17"/>
    <s v="Intan Jaya"/>
    <d v="2026-01-13T00:00:00"/>
    <s v="13"/>
    <x v="0"/>
    <s v="26"/>
    <x v="1"/>
    <x v="7"/>
    <x v="4"/>
    <s v="Real"/>
    <s v="Entrepreneur"/>
    <s v="Branding"/>
    <x v="0"/>
    <x v="2"/>
    <x v="5"/>
    <s v="F12.01.01"/>
    <n v="1"/>
    <s v="manganalisis struktur, sifat, sintesis, dan kegunaan senyawa turunan hidrokarbon"/>
    <s v="01.01"/>
    <x v="32"/>
    <s v="K12"/>
    <s v="F"/>
    <n v="70"/>
    <n v="60"/>
    <s v="Tidak tuntas"/>
    <s v="Kimia"/>
    <x v="4"/>
    <x v="8"/>
    <n v="60"/>
    <x v="3"/>
    <n v="12"/>
    <x v="0"/>
    <x v="1"/>
    <x v="2"/>
  </r>
  <r>
    <n v="1985"/>
    <s v="232410004"/>
    <x v="2"/>
    <x v="17"/>
    <s v="Intan Jaya"/>
    <d v="2026-01-27T00:00:00"/>
    <s v="27"/>
    <x v="0"/>
    <s v="26"/>
    <x v="0"/>
    <x v="0"/>
    <x v="2"/>
    <s v="Real"/>
    <s v="Entrepreneur"/>
    <s v="Branding"/>
    <x v="0"/>
    <x v="2"/>
    <x v="5"/>
    <s v="F12.01.01"/>
    <n v="1"/>
    <s v="manganalisis struktur, sifat, sintesis, dan kegunaan senyawa turunan hidrokarbon"/>
    <s v="01.01"/>
    <x v="32"/>
    <s v="K12"/>
    <s v="F"/>
    <n v="70"/>
    <n v="60"/>
    <s v="Tidak tuntas"/>
    <s v="Kimia"/>
    <x v="4"/>
    <x v="8"/>
    <n v="60"/>
    <x v="3"/>
    <n v="12"/>
    <x v="0"/>
    <x v="3"/>
    <x v="2"/>
  </r>
  <r>
    <n v="1986"/>
    <s v="232410004"/>
    <x v="2"/>
    <x v="17"/>
    <s v="Intan Jaya"/>
    <d v="2026-02-10T00:00:00"/>
    <s v="10"/>
    <x v="1"/>
    <s v="26"/>
    <x v="0"/>
    <x v="2"/>
    <x v="17"/>
    <s v="Real"/>
    <s v="Entrepreneur"/>
    <s v="Branding"/>
    <x v="0"/>
    <x v="2"/>
    <x v="5"/>
    <s v="F12.01.01"/>
    <n v="1"/>
    <s v="manganalisis struktur, sifat, sintesis, dan kegunaan senyawa turunan hidrokarbon"/>
    <s v="01.01"/>
    <x v="32"/>
    <s v="K12"/>
    <s v="F"/>
    <n v="70"/>
    <n v="10"/>
    <s v="Tidak tuntas"/>
    <s v="Kimia"/>
    <x v="4"/>
    <x v="8"/>
    <n v="10"/>
    <x v="3"/>
    <n v="12"/>
    <x v="0"/>
    <x v="5"/>
    <x v="2"/>
  </r>
  <r>
    <n v="1987"/>
    <s v="232410005"/>
    <x v="2"/>
    <x v="13"/>
    <s v="Asmat"/>
    <d v="2026-01-06T00:00:00"/>
    <s v="06"/>
    <x v="0"/>
    <s v="26"/>
    <x v="2"/>
    <x v="3"/>
    <x v="2"/>
    <s v="Real"/>
    <s v="Entrepreneur"/>
    <s v="Branding"/>
    <x v="0"/>
    <x v="2"/>
    <x v="5"/>
    <s v="F12.01.01"/>
    <n v="1"/>
    <s v="manganalisis struktur, sifat, sintesis, dan kegunaan senyawa turunan hidrokarbon"/>
    <s v="01.01"/>
    <x v="32"/>
    <s v="K12"/>
    <s v="F"/>
    <n v="70"/>
    <n v="80"/>
    <s v="Tuntas"/>
    <s v="Kimia"/>
    <x v="4"/>
    <x v="8"/>
    <n v="80"/>
    <x v="2"/>
    <n v="12"/>
    <x v="0"/>
    <x v="7"/>
    <x v="3"/>
  </r>
  <r>
    <n v="1988"/>
    <s v="232410005"/>
    <x v="2"/>
    <x v="13"/>
    <s v="Asmat"/>
    <d v="2026-01-13T00:00:00"/>
    <s v="13"/>
    <x v="0"/>
    <s v="26"/>
    <x v="1"/>
    <x v="7"/>
    <x v="4"/>
    <s v="Real"/>
    <s v="Entrepreneur"/>
    <s v="Branding"/>
    <x v="0"/>
    <x v="2"/>
    <x v="5"/>
    <s v="F12.01.01"/>
    <n v="1"/>
    <s v="manganalisis struktur, sifat, sintesis, dan kegunaan senyawa turunan hidrokarbon"/>
    <s v="01.01"/>
    <x v="32"/>
    <s v="K12"/>
    <s v="F"/>
    <n v="70"/>
    <n v="75"/>
    <s v="Tuntas"/>
    <s v="Kimia"/>
    <x v="4"/>
    <x v="8"/>
    <n v="75"/>
    <x v="1"/>
    <n v="12"/>
    <x v="0"/>
    <x v="1"/>
    <x v="3"/>
  </r>
  <r>
    <n v="1989"/>
    <s v="232410005"/>
    <x v="2"/>
    <x v="13"/>
    <s v="Asmat"/>
    <d v="2026-01-27T00:00:00"/>
    <s v="27"/>
    <x v="0"/>
    <s v="26"/>
    <x v="0"/>
    <x v="0"/>
    <x v="2"/>
    <s v="Real"/>
    <s v="Entrepreneur"/>
    <s v="Branding"/>
    <x v="0"/>
    <x v="2"/>
    <x v="5"/>
    <s v="F12.01.01"/>
    <n v="1"/>
    <s v="manganalisis struktur, sifat, sintesis, dan kegunaan senyawa turunan hidrokarbon"/>
    <s v="01.01"/>
    <x v="32"/>
    <s v="K12"/>
    <s v="F"/>
    <n v="70"/>
    <n v="100"/>
    <s v="Tuntas"/>
    <s v="Kimia"/>
    <x v="4"/>
    <x v="8"/>
    <n v="100"/>
    <x v="4"/>
    <n v="12"/>
    <x v="0"/>
    <x v="3"/>
    <x v="3"/>
  </r>
  <r>
    <n v="1990"/>
    <s v="232410005"/>
    <x v="2"/>
    <x v="13"/>
    <s v="Asmat"/>
    <d v="2026-02-10T00:00:00"/>
    <s v="10"/>
    <x v="1"/>
    <s v="26"/>
    <x v="0"/>
    <x v="2"/>
    <x v="17"/>
    <s v="Real"/>
    <s v="Entrepreneur"/>
    <s v="Branding"/>
    <x v="0"/>
    <x v="2"/>
    <x v="5"/>
    <s v="F12.01.01"/>
    <n v="1"/>
    <s v="manganalisis struktur, sifat, sintesis, dan kegunaan senyawa turunan hidrokarbon"/>
    <s v="01.01"/>
    <x v="32"/>
    <s v="K12"/>
    <s v="F"/>
    <n v="70"/>
    <n v="25"/>
    <s v="Tidak tuntas"/>
    <s v="Kimia"/>
    <x v="4"/>
    <x v="8"/>
    <n v="25"/>
    <x v="3"/>
    <n v="12"/>
    <x v="0"/>
    <x v="5"/>
    <x v="3"/>
  </r>
  <r>
    <n v="1991"/>
    <s v="232410006"/>
    <x v="2"/>
    <x v="18"/>
    <s v="Intan Jaya"/>
    <d v="2026-01-06T00:00:00"/>
    <s v="06"/>
    <x v="0"/>
    <s v="26"/>
    <x v="2"/>
    <x v="3"/>
    <x v="2"/>
    <s v="Real"/>
    <s v="Entrepreneur"/>
    <s v="Branding"/>
    <x v="0"/>
    <x v="2"/>
    <x v="5"/>
    <s v="F12.01.01"/>
    <n v="1"/>
    <s v="manganalisis struktur, sifat, sintesis, dan kegunaan senyawa turunan hidrokarbon"/>
    <s v="01.01"/>
    <x v="32"/>
    <s v="K12"/>
    <s v="F"/>
    <n v="70"/>
    <n v="60"/>
    <s v="Tidak tuntas"/>
    <s v="Kimia"/>
    <x v="4"/>
    <x v="8"/>
    <n v="60"/>
    <x v="3"/>
    <n v="12"/>
    <x v="0"/>
    <x v="7"/>
    <x v="4"/>
  </r>
  <r>
    <n v="1992"/>
    <s v="232410006"/>
    <x v="2"/>
    <x v="18"/>
    <s v="Intan Jaya"/>
    <d v="2026-01-13T00:00:00"/>
    <s v="13"/>
    <x v="0"/>
    <s v="26"/>
    <x v="1"/>
    <x v="7"/>
    <x v="4"/>
    <s v="Real"/>
    <s v="Entrepreneur"/>
    <s v="Branding"/>
    <x v="0"/>
    <x v="2"/>
    <x v="5"/>
    <s v="F12.01.01"/>
    <n v="1"/>
    <s v="manganalisis struktur, sifat, sintesis, dan kegunaan senyawa turunan hidrokarbon"/>
    <s v="01.01"/>
    <x v="32"/>
    <s v="K12"/>
    <s v="F"/>
    <n v="70"/>
    <n v="60"/>
    <s v="Tidak tuntas"/>
    <s v="Kimia"/>
    <x v="4"/>
    <x v="8"/>
    <n v="60"/>
    <x v="3"/>
    <n v="12"/>
    <x v="0"/>
    <x v="1"/>
    <x v="4"/>
  </r>
  <r>
    <n v="1993"/>
    <s v="232410006"/>
    <x v="2"/>
    <x v="18"/>
    <s v="Intan Jaya"/>
    <d v="2026-01-27T00:00:00"/>
    <s v="27"/>
    <x v="0"/>
    <s v="26"/>
    <x v="0"/>
    <x v="0"/>
    <x v="2"/>
    <s v="Real"/>
    <s v="Entrepreneur"/>
    <s v="Branding"/>
    <x v="0"/>
    <x v="2"/>
    <x v="5"/>
    <s v="F12.01.01"/>
    <n v="1"/>
    <s v="manganalisis struktur, sifat, sintesis, dan kegunaan senyawa turunan hidrokarbon"/>
    <s v="01.01"/>
    <x v="32"/>
    <s v="K12"/>
    <s v="F"/>
    <n v="70"/>
    <n v="80"/>
    <s v="Tuntas"/>
    <s v="Kimia"/>
    <x v="4"/>
    <x v="8"/>
    <n v="80"/>
    <x v="2"/>
    <n v="12"/>
    <x v="0"/>
    <x v="3"/>
    <x v="4"/>
  </r>
  <r>
    <n v="1994"/>
    <s v="232410006"/>
    <x v="2"/>
    <x v="18"/>
    <s v="Intan Jaya"/>
    <d v="2026-02-10T00:00:00"/>
    <s v="10"/>
    <x v="1"/>
    <s v="26"/>
    <x v="0"/>
    <x v="2"/>
    <x v="17"/>
    <s v="Real"/>
    <s v="Entrepreneur"/>
    <s v="Branding"/>
    <x v="0"/>
    <x v="2"/>
    <x v="5"/>
    <s v="F12.01.01"/>
    <n v="1"/>
    <s v="manganalisis struktur, sifat, sintesis, dan kegunaan senyawa turunan hidrokarbon"/>
    <s v="01.01"/>
    <x v="32"/>
    <s v="K12"/>
    <s v="F"/>
    <n v="70"/>
    <n v="30"/>
    <s v="Tidak tuntas"/>
    <s v="Kimia"/>
    <x v="4"/>
    <x v="8"/>
    <n v="30"/>
    <x v="3"/>
    <n v="12"/>
    <x v="0"/>
    <x v="5"/>
    <x v="4"/>
  </r>
  <r>
    <n v="1995"/>
    <s v="232410007"/>
    <x v="2"/>
    <x v="19"/>
    <s v="Intan Jaya"/>
    <d v="2026-01-06T00:00:00"/>
    <s v="06"/>
    <x v="0"/>
    <s v="26"/>
    <x v="2"/>
    <x v="3"/>
    <x v="2"/>
    <s v="Real"/>
    <s v="Entrepreneur"/>
    <s v="Branding"/>
    <x v="0"/>
    <x v="2"/>
    <x v="5"/>
    <s v="F12.01.01"/>
    <n v="1"/>
    <s v="manganalisis struktur, sifat, sintesis, dan kegunaan senyawa turunan hidrokarbon"/>
    <s v="01.01"/>
    <x v="32"/>
    <s v="K12"/>
    <s v="F"/>
    <n v="70"/>
    <n v="70"/>
    <s v="Tuntas"/>
    <s v="Kimia"/>
    <x v="4"/>
    <x v="8"/>
    <n v="70"/>
    <x v="1"/>
    <n v="12"/>
    <x v="0"/>
    <x v="7"/>
    <x v="2"/>
  </r>
  <r>
    <n v="1996"/>
    <s v="232410007"/>
    <x v="2"/>
    <x v="19"/>
    <s v="Intan Jaya"/>
    <d v="2026-01-13T00:00:00"/>
    <s v="13"/>
    <x v="0"/>
    <s v="26"/>
    <x v="1"/>
    <x v="7"/>
    <x v="4"/>
    <s v="Real"/>
    <s v="Entrepreneur"/>
    <s v="Branding"/>
    <x v="0"/>
    <x v="2"/>
    <x v="5"/>
    <s v="F12.01.01"/>
    <n v="1"/>
    <s v="manganalisis struktur, sifat, sintesis, dan kegunaan senyawa turunan hidrokarbon"/>
    <s v="01.01"/>
    <x v="32"/>
    <s v="K12"/>
    <s v="F"/>
    <n v="70"/>
    <n v="70"/>
    <s v="Tuntas"/>
    <s v="Kimia"/>
    <x v="4"/>
    <x v="8"/>
    <n v="70"/>
    <x v="1"/>
    <n v="12"/>
    <x v="0"/>
    <x v="1"/>
    <x v="2"/>
  </r>
  <r>
    <n v="1997"/>
    <s v="232410007"/>
    <x v="2"/>
    <x v="19"/>
    <s v="Intan Jaya"/>
    <d v="2026-01-27T00:00:00"/>
    <s v="27"/>
    <x v="0"/>
    <s v="26"/>
    <x v="0"/>
    <x v="0"/>
    <x v="2"/>
    <s v="Real"/>
    <s v="Entrepreneur"/>
    <s v="Branding"/>
    <x v="0"/>
    <x v="2"/>
    <x v="5"/>
    <s v="F12.01.01"/>
    <n v="1"/>
    <s v="manganalisis struktur, sifat, sintesis, dan kegunaan senyawa turunan hidrokarbon"/>
    <s v="01.01"/>
    <x v="32"/>
    <s v="K12"/>
    <s v="F"/>
    <n v="70"/>
    <n v="65"/>
    <s v="Tidak tuntas"/>
    <s v="Kimia"/>
    <x v="4"/>
    <x v="8"/>
    <n v="65"/>
    <x v="3"/>
    <n v="12"/>
    <x v="0"/>
    <x v="3"/>
    <x v="2"/>
  </r>
  <r>
    <n v="1998"/>
    <s v="232410007"/>
    <x v="2"/>
    <x v="19"/>
    <s v="Intan Jaya"/>
    <d v="2026-02-10T00:00:00"/>
    <s v="10"/>
    <x v="1"/>
    <s v="26"/>
    <x v="0"/>
    <x v="2"/>
    <x v="17"/>
    <s v="Real"/>
    <s v="Entrepreneur"/>
    <s v="Branding"/>
    <x v="0"/>
    <x v="2"/>
    <x v="5"/>
    <s v="F12.01.01"/>
    <n v="1"/>
    <s v="manganalisis struktur, sifat, sintesis, dan kegunaan senyawa turunan hidrokarbon"/>
    <s v="01.01"/>
    <x v="32"/>
    <s v="K12"/>
    <s v="F"/>
    <n v="70"/>
    <n v="15"/>
    <s v="Tidak tuntas"/>
    <s v="Kimia"/>
    <x v="4"/>
    <x v="8"/>
    <n v="15"/>
    <x v="3"/>
    <n v="12"/>
    <x v="0"/>
    <x v="5"/>
    <x v="2"/>
  </r>
  <r>
    <n v="1999"/>
    <s v="232410009"/>
    <x v="2"/>
    <x v="20"/>
    <s v="Intan Jaya"/>
    <d v="2026-01-06T00:00:00"/>
    <s v="06"/>
    <x v="0"/>
    <s v="26"/>
    <x v="2"/>
    <x v="3"/>
    <x v="2"/>
    <s v="Real"/>
    <s v="Entrepreneur"/>
    <s v="Branding"/>
    <x v="0"/>
    <x v="2"/>
    <x v="5"/>
    <s v="F12.01.01"/>
    <n v="1"/>
    <s v="manganalisis struktur, sifat, sintesis, dan kegunaan senyawa turunan hidrokarbon"/>
    <s v="01.01"/>
    <x v="32"/>
    <s v="K12"/>
    <s v="F"/>
    <n v="70"/>
    <n v="70"/>
    <s v="Tuntas"/>
    <s v="Kimia"/>
    <x v="4"/>
    <x v="8"/>
    <n v="70"/>
    <x v="1"/>
    <n v="12"/>
    <x v="0"/>
    <x v="7"/>
    <x v="7"/>
  </r>
  <r>
    <n v="2000"/>
    <s v="232410009"/>
    <x v="2"/>
    <x v="20"/>
    <s v="Intan Jaya"/>
    <d v="2026-01-13T00:00:00"/>
    <s v="13"/>
    <x v="0"/>
    <s v="26"/>
    <x v="1"/>
    <x v="7"/>
    <x v="4"/>
    <s v="Real"/>
    <s v="Entrepreneur"/>
    <s v="Branding"/>
    <x v="0"/>
    <x v="2"/>
    <x v="5"/>
    <s v="F12.01.01"/>
    <n v="1"/>
    <s v="manganalisis struktur, sifat, sintesis, dan kegunaan senyawa turunan hidrokarbon"/>
    <s v="01.01"/>
    <x v="32"/>
    <s v="K12"/>
    <s v="F"/>
    <n v="70"/>
    <n v="70"/>
    <s v="Tuntas"/>
    <s v="Kimia"/>
    <x v="4"/>
    <x v="8"/>
    <n v="70"/>
    <x v="1"/>
    <n v="12"/>
    <x v="0"/>
    <x v="1"/>
    <x v="7"/>
  </r>
  <r>
    <n v="2001"/>
    <s v="232410009"/>
    <x v="2"/>
    <x v="20"/>
    <s v="Intan Jaya"/>
    <d v="2026-01-27T00:00:00"/>
    <s v="27"/>
    <x v="0"/>
    <s v="26"/>
    <x v="0"/>
    <x v="0"/>
    <x v="2"/>
    <s v="Real"/>
    <s v="Entrepreneur"/>
    <s v="Branding"/>
    <x v="0"/>
    <x v="2"/>
    <x v="5"/>
    <s v="F12.01.01"/>
    <n v="1"/>
    <s v="manganalisis struktur, sifat, sintesis, dan kegunaan senyawa turunan hidrokarbon"/>
    <s v="01.01"/>
    <x v="32"/>
    <s v="K12"/>
    <s v="F"/>
    <n v="70"/>
    <n v="70"/>
    <s v="Tuntas"/>
    <s v="Kimia"/>
    <x v="4"/>
    <x v="8"/>
    <n v="70"/>
    <x v="1"/>
    <n v="12"/>
    <x v="0"/>
    <x v="3"/>
    <x v="7"/>
  </r>
  <r>
    <n v="2002"/>
    <s v="232410009"/>
    <x v="2"/>
    <x v="20"/>
    <s v="Intan Jaya"/>
    <d v="2026-02-10T00:00:00"/>
    <s v="10"/>
    <x v="1"/>
    <s v="26"/>
    <x v="0"/>
    <x v="2"/>
    <x v="17"/>
    <s v="Real"/>
    <s v="Entrepreneur"/>
    <s v="Branding"/>
    <x v="0"/>
    <x v="2"/>
    <x v="5"/>
    <s v="F12.01.01"/>
    <n v="1"/>
    <s v="manganalisis struktur, sifat, sintesis, dan kegunaan senyawa turunan hidrokarbon"/>
    <s v="01.01"/>
    <x v="32"/>
    <s v="K12"/>
    <s v="F"/>
    <n v="70"/>
    <n v="15"/>
    <s v="Tidak tuntas"/>
    <s v="Kimia"/>
    <x v="4"/>
    <x v="8"/>
    <n v="15"/>
    <x v="3"/>
    <n v="12"/>
    <x v="0"/>
    <x v="5"/>
    <x v="7"/>
  </r>
  <r>
    <n v="2003"/>
    <s v="232410008"/>
    <x v="2"/>
    <x v="21"/>
    <s v="Intan Jaya"/>
    <d v="2026-01-06T00:00:00"/>
    <s v="06"/>
    <x v="0"/>
    <s v="26"/>
    <x v="2"/>
    <x v="3"/>
    <x v="2"/>
    <s v="Real"/>
    <s v="Entrepreneur"/>
    <s v="Branding"/>
    <x v="0"/>
    <x v="2"/>
    <x v="5"/>
    <s v="F12.01.01"/>
    <n v="1"/>
    <s v="manganalisis struktur, sifat, sintesis, dan kegunaan senyawa turunan hidrokarbon"/>
    <s v="01.01"/>
    <x v="32"/>
    <s v="K12"/>
    <s v="F"/>
    <n v="70"/>
    <n v="75"/>
    <s v="Tuntas"/>
    <s v="Kimia"/>
    <x v="4"/>
    <x v="8"/>
    <n v="75"/>
    <x v="1"/>
    <n v="12"/>
    <x v="0"/>
    <x v="7"/>
    <x v="2"/>
  </r>
  <r>
    <n v="2004"/>
    <s v="232410008"/>
    <x v="2"/>
    <x v="21"/>
    <s v="Intan Jaya"/>
    <d v="2026-01-13T00:00:00"/>
    <s v="13"/>
    <x v="0"/>
    <s v="26"/>
    <x v="1"/>
    <x v="7"/>
    <x v="4"/>
    <s v="Real"/>
    <s v="Entrepreneur"/>
    <s v="Branding"/>
    <x v="0"/>
    <x v="2"/>
    <x v="5"/>
    <s v="F12.01.01"/>
    <n v="1"/>
    <s v="manganalisis struktur, sifat, sintesis, dan kegunaan senyawa turunan hidrokarbon"/>
    <s v="01.01"/>
    <x v="32"/>
    <s v="K12"/>
    <s v="F"/>
    <n v="70"/>
    <n v="90"/>
    <s v="Tuntas"/>
    <s v="Kimia"/>
    <x v="4"/>
    <x v="8"/>
    <n v="90"/>
    <x v="2"/>
    <n v="12"/>
    <x v="0"/>
    <x v="1"/>
    <x v="2"/>
  </r>
  <r>
    <n v="2005"/>
    <s v="232410008"/>
    <x v="2"/>
    <x v="21"/>
    <s v="Intan Jaya"/>
    <d v="2026-01-27T00:00:00"/>
    <s v="27"/>
    <x v="0"/>
    <s v="26"/>
    <x v="0"/>
    <x v="0"/>
    <x v="2"/>
    <s v="Real"/>
    <s v="Entrepreneur"/>
    <s v="Branding"/>
    <x v="0"/>
    <x v="2"/>
    <x v="5"/>
    <s v="F12.01.01"/>
    <n v="1"/>
    <s v="manganalisis struktur, sifat, sintesis, dan kegunaan senyawa turunan hidrokarbon"/>
    <s v="01.01"/>
    <x v="32"/>
    <s v="K12"/>
    <s v="F"/>
    <n v="70"/>
    <n v="75"/>
    <s v="Tuntas"/>
    <s v="Kimia"/>
    <x v="4"/>
    <x v="8"/>
    <n v="75"/>
    <x v="1"/>
    <n v="12"/>
    <x v="0"/>
    <x v="3"/>
    <x v="2"/>
  </r>
  <r>
    <n v="2006"/>
    <s v="232410008"/>
    <x v="2"/>
    <x v="21"/>
    <s v="Intan Jaya"/>
    <d v="2026-02-10T00:00:00"/>
    <s v="10"/>
    <x v="1"/>
    <s v="26"/>
    <x v="0"/>
    <x v="2"/>
    <x v="17"/>
    <s v="Real"/>
    <s v="Entrepreneur"/>
    <s v="Branding"/>
    <x v="0"/>
    <x v="2"/>
    <x v="5"/>
    <s v="F12.01.01"/>
    <n v="1"/>
    <s v="manganalisis struktur, sifat, sintesis, dan kegunaan senyawa turunan hidrokarbon"/>
    <s v="01.01"/>
    <x v="32"/>
    <s v="K12"/>
    <s v="F"/>
    <n v="70"/>
    <n v="30"/>
    <s v="Tidak tuntas"/>
    <s v="Kimia"/>
    <x v="4"/>
    <x v="8"/>
    <n v="30"/>
    <x v="3"/>
    <n v="12"/>
    <x v="0"/>
    <x v="5"/>
    <x v="2"/>
  </r>
  <r>
    <n v="2007"/>
    <s v="#N/A"/>
    <x v="1"/>
    <x v="12"/>
    <s v="#VALUE!"/>
    <m/>
    <s v=",,,,,,,,,"/>
    <x v="3"/>
    <s v=",,,,,,,,,"/>
    <x v="6"/>
    <x v="17"/>
    <x v="19"/>
    <s v=",,,,,,,,,"/>
    <s v=""/>
    <s v=""/>
    <x v="1"/>
    <x v="1"/>
    <x v="2"/>
    <s v=",,,,,,,,,"/>
    <m/>
    <s v=""/>
    <s v=",,,,,"/>
    <x v="8"/>
    <s v=",,,,,,,,,"/>
    <s v=","/>
    <n v="65"/>
    <m/>
    <s v="#REF!"/>
    <s v="Matematika"/>
    <x v="0"/>
    <x v="0"/>
    <s v=""/>
    <x v="0"/>
    <s v=""/>
    <x v="0"/>
    <x v="0"/>
    <x v="0"/>
  </r>
  <r>
    <n v="2008"/>
    <s v="232410001"/>
    <x v="2"/>
    <x v="14"/>
    <s v="Dogiyai"/>
    <d v="2026-01-14T00:00:00"/>
    <s v="14"/>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63"/>
    <s v="Tidak tuntas"/>
    <s v="Matematika Tingkat Lanjut"/>
    <x v="5"/>
    <x v="9"/>
    <n v="63"/>
    <x v="3"/>
    <n v="12"/>
    <x v="0"/>
    <x v="1"/>
    <x v="2"/>
  </r>
  <r>
    <n v="2009"/>
    <s v="232410001"/>
    <x v="2"/>
    <x v="14"/>
    <s v="Dogiyai"/>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70"/>
    <s v="Tuntas"/>
    <s v="Matematika Tingkat Lanjut"/>
    <x v="5"/>
    <x v="9"/>
    <n v="70"/>
    <x v="1"/>
    <n v="12"/>
    <x v="0"/>
    <x v="2"/>
    <x v="2"/>
  </r>
  <r>
    <n v="2010"/>
    <s v="232410001"/>
    <x v="2"/>
    <x v="14"/>
    <s v="Dogiyai"/>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86"/>
    <s v="Tuntas"/>
    <s v="Matematika Tingkat Lanjut"/>
    <x v="5"/>
    <x v="9"/>
    <n v="86"/>
    <x v="2"/>
    <n v="12"/>
    <x v="0"/>
    <x v="2"/>
    <x v="2"/>
  </r>
  <r>
    <n v="2011"/>
    <s v="232410001"/>
    <x v="2"/>
    <x v="14"/>
    <s v="Dogiyai"/>
    <d v="2026-01-21T00:00:00"/>
    <s v="21"/>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55"/>
    <s v="Tidak tuntas"/>
    <s v="Matematika Tingkat Lanjut"/>
    <x v="5"/>
    <x v="9"/>
    <n v="55"/>
    <x v="3"/>
    <n v="12"/>
    <x v="0"/>
    <x v="2"/>
    <x v="2"/>
  </r>
  <r>
    <n v="2012"/>
    <s v="232410001"/>
    <x v="2"/>
    <x v="14"/>
    <s v="Dogiyai"/>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59"/>
    <s v="Tidak tuntas"/>
    <s v="Matematika Tingkat Lanjut"/>
    <x v="5"/>
    <x v="9"/>
    <n v="59"/>
    <x v="3"/>
    <n v="12"/>
    <x v="0"/>
    <x v="2"/>
    <x v="2"/>
  </r>
  <r>
    <n v="2013"/>
    <s v="232410001"/>
    <x v="2"/>
    <x v="14"/>
    <s v="Dogiyai"/>
    <d v="2026-02-10T00:00:00"/>
    <s v="10"/>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36"/>
    <s v="Tidak tuntas"/>
    <s v="Matematika Tingkat Lanjut"/>
    <x v="5"/>
    <x v="9"/>
    <n v="36"/>
    <x v="3"/>
    <n v="12"/>
    <x v="0"/>
    <x v="5"/>
    <x v="2"/>
  </r>
  <r>
    <n v="2014"/>
    <s v="232410001"/>
    <x v="2"/>
    <x v="14"/>
    <s v="Dogiyai"/>
    <d v="2026-02-11T00:00:00"/>
    <s v="11"/>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70"/>
    <s v="Tuntas"/>
    <s v="Matematika Tingkat Lanjut"/>
    <x v="5"/>
    <x v="9"/>
    <n v="70"/>
    <x v="1"/>
    <n v="12"/>
    <x v="0"/>
    <x v="5"/>
    <x v="2"/>
  </r>
  <r>
    <n v="2015"/>
    <s v="232410001"/>
    <x v="2"/>
    <x v="14"/>
    <s v="Dogiyai"/>
    <d v="2026-02-03T00:00:00"/>
    <s v="03"/>
    <x v="1"/>
    <s v="26"/>
    <x v="0"/>
    <x v="0"/>
    <x v="4"/>
    <s v="Real"/>
    <s v="Entrepreneur"/>
    <s v="Branding"/>
    <x v="0"/>
    <x v="2"/>
    <x v="5"/>
    <s v="F12.01.02"/>
    <n v="1"/>
    <s v="memahami integral, baik sebagai proses yang merupakan kebalikan dari derivatif dan juga sebagai cara menghitung luas; serta memahami teorema dasar kalkulus sebagai penghubung antara derivatif dan integral."/>
    <s v="01.02"/>
    <x v="35"/>
    <s v="K12"/>
    <s v="F"/>
    <n v="70"/>
    <n v="30"/>
    <s v="Tidak tuntas"/>
    <s v="Matematika Tingkat Lanjut"/>
    <x v="5"/>
    <x v="9"/>
    <n v="30"/>
    <x v="3"/>
    <n v="12"/>
    <x v="0"/>
    <x v="4"/>
    <x v="2"/>
  </r>
  <r>
    <n v="2016"/>
    <s v="232410001"/>
    <x v="2"/>
    <x v="14"/>
    <s v="Dogiyai"/>
    <d v="2026-02-11T00:00:00"/>
    <s v="11"/>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83"/>
    <s v="Tuntas"/>
    <s v="Matematika Tingkat Lanjut"/>
    <x v="5"/>
    <x v="9"/>
    <n v="83"/>
    <x v="2"/>
    <n v="12"/>
    <x v="0"/>
    <x v="5"/>
    <x v="2"/>
  </r>
  <r>
    <n v="2017"/>
    <s v="232410001"/>
    <x v="2"/>
    <x v="14"/>
    <s v="Dogiyai"/>
    <d v="2026-02-25T00:00:00"/>
    <s v="25"/>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90"/>
    <s v="Tuntas"/>
    <s v="Matematika Tingkat Lanjut"/>
    <x v="5"/>
    <x v="9"/>
    <n v="90"/>
    <x v="2"/>
    <n v="12"/>
    <x v="0"/>
    <x v="8"/>
    <x v="2"/>
  </r>
  <r>
    <n v="2018"/>
    <s v="232410002"/>
    <x v="2"/>
    <x v="15"/>
    <s v="Tolikara"/>
    <d v="2026-01-14T00:00:00"/>
    <s v="14"/>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63"/>
    <s v="Tidak tuntas"/>
    <s v="Matematika Tingkat Lanjut"/>
    <x v="5"/>
    <x v="9"/>
    <n v="63"/>
    <x v="3"/>
    <n v="12"/>
    <x v="0"/>
    <x v="1"/>
    <x v="3"/>
  </r>
  <r>
    <n v="2019"/>
    <s v="232410002"/>
    <x v="2"/>
    <x v="15"/>
    <s v="Tolikar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100"/>
    <s v="Tuntas"/>
    <s v="Matematika Tingkat Lanjut"/>
    <x v="5"/>
    <x v="9"/>
    <n v="100"/>
    <x v="4"/>
    <n v="12"/>
    <x v="0"/>
    <x v="2"/>
    <x v="3"/>
  </r>
  <r>
    <n v="2020"/>
    <s v="232410002"/>
    <x v="2"/>
    <x v="15"/>
    <s v="Tolikar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98"/>
    <s v="Tuntas"/>
    <s v="Matematika Tingkat Lanjut"/>
    <x v="5"/>
    <x v="9"/>
    <n v="98"/>
    <x v="4"/>
    <n v="12"/>
    <x v="0"/>
    <x v="2"/>
    <x v="3"/>
  </r>
  <r>
    <n v="2021"/>
    <s v="232410002"/>
    <x v="2"/>
    <x v="15"/>
    <s v="Tolikara"/>
    <d v="2026-01-21T00:00:00"/>
    <s v="21"/>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95"/>
    <s v="Tuntas"/>
    <s v="Matematika Tingkat Lanjut"/>
    <x v="5"/>
    <x v="9"/>
    <n v="95"/>
    <x v="4"/>
    <n v="12"/>
    <x v="0"/>
    <x v="2"/>
    <x v="3"/>
  </r>
  <r>
    <n v="2022"/>
    <s v="232410002"/>
    <x v="2"/>
    <x v="15"/>
    <s v="Tolikar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95"/>
    <s v="Tuntas"/>
    <s v="Matematika Tingkat Lanjut"/>
    <x v="5"/>
    <x v="9"/>
    <n v="95"/>
    <x v="4"/>
    <n v="12"/>
    <x v="0"/>
    <x v="2"/>
    <x v="3"/>
  </r>
  <r>
    <n v="2023"/>
    <s v="232410002"/>
    <x v="2"/>
    <x v="15"/>
    <s v="Tolikara"/>
    <d v="2026-02-10T00:00:00"/>
    <s v="10"/>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90"/>
    <s v="Tuntas"/>
    <s v="Matematika Tingkat Lanjut"/>
    <x v="5"/>
    <x v="9"/>
    <n v="90"/>
    <x v="2"/>
    <n v="12"/>
    <x v="0"/>
    <x v="5"/>
    <x v="3"/>
  </r>
  <r>
    <n v="2024"/>
    <s v="232410002"/>
    <x v="2"/>
    <x v="15"/>
    <s v="Tolikara"/>
    <d v="2026-02-11T00:00:00"/>
    <s v="11"/>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97"/>
    <s v="Tuntas"/>
    <s v="Matematika Tingkat Lanjut"/>
    <x v="5"/>
    <x v="9"/>
    <n v="97"/>
    <x v="4"/>
    <n v="12"/>
    <x v="0"/>
    <x v="5"/>
    <x v="3"/>
  </r>
  <r>
    <n v="2025"/>
    <s v="232410002"/>
    <x v="2"/>
    <x v="15"/>
    <s v="Tolikara"/>
    <d v="2026-02-03T00:00:00"/>
    <s v="03"/>
    <x v="1"/>
    <s v="26"/>
    <x v="0"/>
    <x v="0"/>
    <x v="4"/>
    <s v="Real"/>
    <s v="Entrepreneur"/>
    <s v="Branding"/>
    <x v="0"/>
    <x v="2"/>
    <x v="5"/>
    <s v="F12.01.02"/>
    <n v="1"/>
    <s v="memahami integral, baik sebagai proses yang merupakan kebalikan dari derivatif dan juga sebagai cara menghitung luas; serta memahami teorema dasar kalkulus sebagai penghubung antara derivatif dan integral."/>
    <s v="01.02"/>
    <x v="35"/>
    <s v="K12"/>
    <s v="F"/>
    <n v="70"/>
    <n v="100"/>
    <s v="Tuntas"/>
    <s v="Matematika Tingkat Lanjut"/>
    <x v="5"/>
    <x v="9"/>
    <n v="100"/>
    <x v="4"/>
    <n v="12"/>
    <x v="0"/>
    <x v="4"/>
    <x v="3"/>
  </r>
  <r>
    <n v="2026"/>
    <s v="232410002"/>
    <x v="2"/>
    <x v="15"/>
    <s v="Tolikara"/>
    <d v="2026-02-11T00:00:00"/>
    <s v="11"/>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100"/>
    <s v="Tuntas"/>
    <s v="Matematika Tingkat Lanjut"/>
    <x v="5"/>
    <x v="9"/>
    <n v="100"/>
    <x v="4"/>
    <n v="12"/>
    <x v="0"/>
    <x v="5"/>
    <x v="3"/>
  </r>
  <r>
    <n v="2027"/>
    <s v="232410002"/>
    <x v="2"/>
    <x v="15"/>
    <s v="Tolikara"/>
    <d v="2026-02-25T00:00:00"/>
    <s v="25"/>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97"/>
    <s v="Tuntas"/>
    <s v="Matematika Tingkat Lanjut"/>
    <x v="5"/>
    <x v="9"/>
    <n v="97"/>
    <x v="4"/>
    <n v="12"/>
    <x v="0"/>
    <x v="8"/>
    <x v="3"/>
  </r>
  <r>
    <n v="2028"/>
    <s v="232410003"/>
    <x v="2"/>
    <x v="16"/>
    <s v="Dogiyai"/>
    <d v="2026-01-14T00:00:00"/>
    <s v="14"/>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100"/>
    <s v="Tuntas"/>
    <s v="Matematika Tingkat Lanjut"/>
    <x v="5"/>
    <x v="9"/>
    <n v="100"/>
    <x v="4"/>
    <n v="12"/>
    <x v="0"/>
    <x v="1"/>
    <x v="4"/>
  </r>
  <r>
    <n v="2029"/>
    <s v="232410003"/>
    <x v="2"/>
    <x v="16"/>
    <s v="Dogiyai"/>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99"/>
    <s v="Tuntas"/>
    <s v="Matematika Tingkat Lanjut"/>
    <x v="5"/>
    <x v="9"/>
    <n v="99"/>
    <x v="4"/>
    <n v="12"/>
    <x v="0"/>
    <x v="2"/>
    <x v="4"/>
  </r>
  <r>
    <n v="2030"/>
    <s v="232410003"/>
    <x v="2"/>
    <x v="16"/>
    <s v="Dogiyai"/>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98"/>
    <s v="Tuntas"/>
    <s v="Matematika Tingkat Lanjut"/>
    <x v="5"/>
    <x v="9"/>
    <n v="98"/>
    <x v="4"/>
    <n v="12"/>
    <x v="0"/>
    <x v="2"/>
    <x v="4"/>
  </r>
  <r>
    <n v="2031"/>
    <s v="232410003"/>
    <x v="2"/>
    <x v="16"/>
    <s v="Dogiyai"/>
    <d v="2026-01-21T00:00:00"/>
    <s v="21"/>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92"/>
    <s v="Tuntas"/>
    <s v="Matematika Tingkat Lanjut"/>
    <x v="5"/>
    <x v="9"/>
    <n v="92"/>
    <x v="4"/>
    <n v="12"/>
    <x v="0"/>
    <x v="2"/>
    <x v="4"/>
  </r>
  <r>
    <n v="2032"/>
    <s v="232410003"/>
    <x v="2"/>
    <x v="16"/>
    <s v="Dogiyai"/>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82"/>
    <s v="Tuntas"/>
    <s v="Matematika Tingkat Lanjut"/>
    <x v="5"/>
    <x v="9"/>
    <n v="82"/>
    <x v="2"/>
    <n v="12"/>
    <x v="0"/>
    <x v="2"/>
    <x v="4"/>
  </r>
  <r>
    <n v="2033"/>
    <s v="232410003"/>
    <x v="2"/>
    <x v="16"/>
    <s v="Dogiyai"/>
    <d v="2026-02-10T00:00:00"/>
    <s v="10"/>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90"/>
    <s v="Tuntas"/>
    <s v="Matematika Tingkat Lanjut"/>
    <x v="5"/>
    <x v="9"/>
    <n v="90"/>
    <x v="2"/>
    <n v="12"/>
    <x v="0"/>
    <x v="5"/>
    <x v="4"/>
  </r>
  <r>
    <n v="2034"/>
    <s v="232410003"/>
    <x v="2"/>
    <x v="16"/>
    <s v="Dogiyai"/>
    <d v="2026-02-11T00:00:00"/>
    <s v="11"/>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98"/>
    <s v="Tuntas"/>
    <s v="Matematika Tingkat Lanjut"/>
    <x v="5"/>
    <x v="9"/>
    <n v="98"/>
    <x v="4"/>
    <n v="12"/>
    <x v="0"/>
    <x v="5"/>
    <x v="4"/>
  </r>
  <r>
    <n v="2035"/>
    <s v="232410003"/>
    <x v="2"/>
    <x v="16"/>
    <s v="Dogiyai"/>
    <d v="2026-02-03T00:00:00"/>
    <s v="03"/>
    <x v="1"/>
    <s v="26"/>
    <x v="0"/>
    <x v="0"/>
    <x v="4"/>
    <s v="Real"/>
    <s v="Entrepreneur"/>
    <s v="Branding"/>
    <x v="0"/>
    <x v="2"/>
    <x v="5"/>
    <s v="F12.01.02"/>
    <n v="1"/>
    <s v="memahami integral, baik sebagai proses yang merupakan kebalikan dari derivatif dan juga sebagai cara menghitung luas; serta memahami teorema dasar kalkulus sebagai penghubung antara derivatif dan integral."/>
    <s v="01.02"/>
    <x v="35"/>
    <s v="K12"/>
    <s v="F"/>
    <n v="70"/>
    <n v="100"/>
    <s v="Tuntas"/>
    <s v="Matematika Tingkat Lanjut"/>
    <x v="5"/>
    <x v="9"/>
    <n v="100"/>
    <x v="4"/>
    <n v="12"/>
    <x v="0"/>
    <x v="4"/>
    <x v="4"/>
  </r>
  <r>
    <n v="2036"/>
    <s v="232410003"/>
    <x v="2"/>
    <x v="16"/>
    <s v="Dogiyai"/>
    <d v="2026-02-11T00:00:00"/>
    <s v="11"/>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100"/>
    <s v="Tuntas"/>
    <s v="Matematika Tingkat Lanjut"/>
    <x v="5"/>
    <x v="9"/>
    <n v="100"/>
    <x v="4"/>
    <n v="12"/>
    <x v="0"/>
    <x v="5"/>
    <x v="4"/>
  </r>
  <r>
    <n v="2037"/>
    <s v="232410003"/>
    <x v="2"/>
    <x v="16"/>
    <s v="Dogiyai"/>
    <d v="2026-02-25T00:00:00"/>
    <s v="25"/>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100"/>
    <s v="Tuntas"/>
    <s v="Matematika Tingkat Lanjut"/>
    <x v="5"/>
    <x v="9"/>
    <n v="100"/>
    <x v="4"/>
    <n v="12"/>
    <x v="0"/>
    <x v="8"/>
    <x v="4"/>
  </r>
  <r>
    <n v="2038"/>
    <s v="232410004"/>
    <x v="2"/>
    <x v="17"/>
    <s v="Intan Jaya"/>
    <d v="2026-01-14T00:00:00"/>
    <s v="14"/>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85"/>
    <s v="Tuntas"/>
    <s v="Matematika Tingkat Lanjut"/>
    <x v="5"/>
    <x v="9"/>
    <n v="85"/>
    <x v="2"/>
    <n v="12"/>
    <x v="0"/>
    <x v="1"/>
    <x v="2"/>
  </r>
  <r>
    <n v="2039"/>
    <s v="232410004"/>
    <x v="2"/>
    <x v="17"/>
    <s v="Intan Jay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91"/>
    <s v="Tuntas"/>
    <s v="Matematika Tingkat Lanjut"/>
    <x v="5"/>
    <x v="9"/>
    <n v="91"/>
    <x v="4"/>
    <n v="12"/>
    <x v="0"/>
    <x v="2"/>
    <x v="2"/>
  </r>
  <r>
    <n v="2040"/>
    <s v="232410004"/>
    <x v="2"/>
    <x v="17"/>
    <s v="Intan Jay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68"/>
    <s v="Tidak tuntas"/>
    <s v="Matematika Tingkat Lanjut"/>
    <x v="5"/>
    <x v="9"/>
    <n v="68"/>
    <x v="3"/>
    <n v="12"/>
    <x v="0"/>
    <x v="2"/>
    <x v="2"/>
  </r>
  <r>
    <n v="2041"/>
    <s v="232410004"/>
    <x v="2"/>
    <x v="17"/>
    <s v="Intan Jaya"/>
    <d v="2026-01-21T00:00:00"/>
    <s v="21"/>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0"/>
    <s v="Tidak tuntas"/>
    <s v="Matematika Tingkat Lanjut"/>
    <x v="5"/>
    <x v="0"/>
    <s v=""/>
    <x v="0"/>
    <s v=""/>
    <x v="0"/>
    <x v="0"/>
    <x v="0"/>
  </r>
  <r>
    <n v="2042"/>
    <s v="232410004"/>
    <x v="2"/>
    <x v="17"/>
    <s v="Intan Jay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46"/>
    <s v="Tidak tuntas"/>
    <s v="Matematika Tingkat Lanjut"/>
    <x v="5"/>
    <x v="9"/>
    <n v="46"/>
    <x v="3"/>
    <n v="12"/>
    <x v="0"/>
    <x v="2"/>
    <x v="2"/>
  </r>
  <r>
    <n v="2043"/>
    <s v="232410004"/>
    <x v="2"/>
    <x v="17"/>
    <s v="Intan Jaya"/>
    <d v="2026-02-10T00:00:00"/>
    <s v="10"/>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0"/>
    <s v="Tidak tuntas"/>
    <s v="Matematika Tingkat Lanjut"/>
    <x v="5"/>
    <x v="0"/>
    <s v=""/>
    <x v="0"/>
    <s v=""/>
    <x v="0"/>
    <x v="0"/>
    <x v="0"/>
  </r>
  <r>
    <n v="2044"/>
    <s v="232410004"/>
    <x v="2"/>
    <x v="17"/>
    <s v="Intan Jaya"/>
    <d v="2026-02-11T00:00:00"/>
    <s v="11"/>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0"/>
    <s v="Tidak tuntas"/>
    <s v="Matematika Tingkat Lanjut"/>
    <x v="5"/>
    <x v="0"/>
    <s v=""/>
    <x v="0"/>
    <s v=""/>
    <x v="0"/>
    <x v="0"/>
    <x v="0"/>
  </r>
  <r>
    <n v="2045"/>
    <s v="232410004"/>
    <x v="2"/>
    <x v="17"/>
    <s v="Intan Jaya"/>
    <d v="2026-02-03T00:00:00"/>
    <s v="03"/>
    <x v="1"/>
    <s v="26"/>
    <x v="0"/>
    <x v="0"/>
    <x v="4"/>
    <s v="Real"/>
    <s v="Entrepreneur"/>
    <s v="Branding"/>
    <x v="0"/>
    <x v="2"/>
    <x v="5"/>
    <s v="F12.01.02"/>
    <n v="1"/>
    <s v="memahami integral, baik sebagai proses yang merupakan kebalikan dari derivatif dan juga sebagai cara menghitung luas; serta memahami teorema dasar kalkulus sebagai penghubung antara derivatif dan integral."/>
    <s v="01.02"/>
    <x v="35"/>
    <s v="K12"/>
    <s v="F"/>
    <n v="70"/>
    <n v="81"/>
    <s v="Tuntas"/>
    <s v="Matematika Tingkat Lanjut"/>
    <x v="5"/>
    <x v="9"/>
    <n v="81"/>
    <x v="2"/>
    <n v="12"/>
    <x v="0"/>
    <x v="4"/>
    <x v="2"/>
  </r>
  <r>
    <n v="2046"/>
    <s v="232410004"/>
    <x v="2"/>
    <x v="17"/>
    <s v="Intan Jaya"/>
    <d v="2026-02-11T00:00:00"/>
    <s v="11"/>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0"/>
    <s v="Tidak tuntas"/>
    <s v="Matematika Tingkat Lanjut"/>
    <x v="5"/>
    <x v="0"/>
    <s v=""/>
    <x v="0"/>
    <s v=""/>
    <x v="0"/>
    <x v="0"/>
    <x v="0"/>
  </r>
  <r>
    <n v="2047"/>
    <s v="232410004"/>
    <x v="2"/>
    <x v="17"/>
    <s v="Intan Jaya"/>
    <d v="2026-02-25T00:00:00"/>
    <s v="25"/>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66"/>
    <s v="Tidak tuntas"/>
    <s v="Matematika Tingkat Lanjut"/>
    <x v="5"/>
    <x v="9"/>
    <n v="66"/>
    <x v="3"/>
    <n v="12"/>
    <x v="0"/>
    <x v="8"/>
    <x v="2"/>
  </r>
  <r>
    <n v="2048"/>
    <s v="232410005"/>
    <x v="2"/>
    <x v="13"/>
    <s v="Asmat"/>
    <d v="2026-01-14T00:00:00"/>
    <s v="14"/>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58"/>
    <s v="Tidak tuntas"/>
    <s v="Matematika Tingkat Lanjut"/>
    <x v="5"/>
    <x v="9"/>
    <n v="58"/>
    <x v="3"/>
    <n v="12"/>
    <x v="0"/>
    <x v="1"/>
    <x v="3"/>
  </r>
  <r>
    <n v="2049"/>
    <s v="232410005"/>
    <x v="2"/>
    <x v="13"/>
    <s v="Asmat"/>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100"/>
    <s v="Tuntas"/>
    <s v="Matematika Tingkat Lanjut"/>
    <x v="5"/>
    <x v="9"/>
    <n v="100"/>
    <x v="4"/>
    <n v="12"/>
    <x v="0"/>
    <x v="2"/>
    <x v="3"/>
  </r>
  <r>
    <n v="2050"/>
    <s v="232410005"/>
    <x v="2"/>
    <x v="13"/>
    <s v="Asmat"/>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93"/>
    <s v="Tuntas"/>
    <s v="Matematika Tingkat Lanjut"/>
    <x v="5"/>
    <x v="9"/>
    <n v="93"/>
    <x v="4"/>
    <n v="12"/>
    <x v="0"/>
    <x v="2"/>
    <x v="3"/>
  </r>
  <r>
    <n v="2051"/>
    <s v="232410005"/>
    <x v="2"/>
    <x v="13"/>
    <s v="Asmat"/>
    <d v="2026-01-21T00:00:00"/>
    <s v="21"/>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43"/>
    <s v="Tidak tuntas"/>
    <s v="Matematika Tingkat Lanjut"/>
    <x v="5"/>
    <x v="9"/>
    <n v="43"/>
    <x v="3"/>
    <n v="12"/>
    <x v="0"/>
    <x v="2"/>
    <x v="3"/>
  </r>
  <r>
    <n v="2052"/>
    <s v="232410005"/>
    <x v="2"/>
    <x v="13"/>
    <s v="Asmat"/>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99"/>
    <s v="Tuntas"/>
    <s v="Matematika Tingkat Lanjut"/>
    <x v="5"/>
    <x v="9"/>
    <n v="99"/>
    <x v="4"/>
    <n v="12"/>
    <x v="0"/>
    <x v="2"/>
    <x v="3"/>
  </r>
  <r>
    <n v="2053"/>
    <s v="232410005"/>
    <x v="2"/>
    <x v="13"/>
    <s v="Asmat"/>
    <d v="2026-02-10T00:00:00"/>
    <s v="10"/>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98"/>
    <s v="Tuntas"/>
    <s v="Matematika Tingkat Lanjut"/>
    <x v="5"/>
    <x v="9"/>
    <n v="98"/>
    <x v="4"/>
    <n v="12"/>
    <x v="0"/>
    <x v="5"/>
    <x v="3"/>
  </r>
  <r>
    <n v="2054"/>
    <s v="232410005"/>
    <x v="2"/>
    <x v="13"/>
    <s v="Asmat"/>
    <d v="2026-02-11T00:00:00"/>
    <s v="11"/>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75"/>
    <s v="Tuntas"/>
    <s v="Matematika Tingkat Lanjut"/>
    <x v="5"/>
    <x v="9"/>
    <n v="75"/>
    <x v="1"/>
    <n v="12"/>
    <x v="0"/>
    <x v="5"/>
    <x v="3"/>
  </r>
  <r>
    <n v="2055"/>
    <s v="232410005"/>
    <x v="2"/>
    <x v="13"/>
    <s v="Asmat"/>
    <d v="2026-02-03T00:00:00"/>
    <s v="03"/>
    <x v="1"/>
    <s v="26"/>
    <x v="0"/>
    <x v="0"/>
    <x v="4"/>
    <s v="Real"/>
    <s v="Entrepreneur"/>
    <s v="Branding"/>
    <x v="0"/>
    <x v="2"/>
    <x v="5"/>
    <s v="F12.01.02"/>
    <n v="1"/>
    <s v="memahami integral, baik sebagai proses yang merupakan kebalikan dari derivatif dan juga sebagai cara menghitung luas; serta memahami teorema dasar kalkulus sebagai penghubung antara derivatif dan integral."/>
    <s v="01.02"/>
    <x v="35"/>
    <s v="K12"/>
    <s v="F"/>
    <n v="70"/>
    <n v="100"/>
    <s v="Tuntas"/>
    <s v="Matematika Tingkat Lanjut"/>
    <x v="5"/>
    <x v="9"/>
    <n v="100"/>
    <x v="4"/>
    <n v="12"/>
    <x v="0"/>
    <x v="4"/>
    <x v="3"/>
  </r>
  <r>
    <n v="2056"/>
    <s v="232410005"/>
    <x v="2"/>
    <x v="13"/>
    <s v="Asmat"/>
    <d v="2026-02-11T00:00:00"/>
    <s v="11"/>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82"/>
    <s v="Tuntas"/>
    <s v="Matematika Tingkat Lanjut"/>
    <x v="5"/>
    <x v="9"/>
    <n v="82"/>
    <x v="2"/>
    <n v="12"/>
    <x v="0"/>
    <x v="5"/>
    <x v="3"/>
  </r>
  <r>
    <n v="2057"/>
    <s v="232410005"/>
    <x v="2"/>
    <x v="13"/>
    <s v="Asmat"/>
    <d v="2026-02-25T00:00:00"/>
    <s v="25"/>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96"/>
    <s v="Tuntas"/>
    <s v="Matematika Tingkat Lanjut"/>
    <x v="5"/>
    <x v="9"/>
    <n v="96"/>
    <x v="4"/>
    <n v="12"/>
    <x v="0"/>
    <x v="8"/>
    <x v="3"/>
  </r>
  <r>
    <n v="2058"/>
    <s v="232410006"/>
    <x v="2"/>
    <x v="18"/>
    <s v="Intan Jaya"/>
    <d v="2026-01-14T00:00:00"/>
    <s v="14"/>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100"/>
    <s v="Tuntas"/>
    <s v="Matematika Tingkat Lanjut"/>
    <x v="5"/>
    <x v="9"/>
    <n v="100"/>
    <x v="4"/>
    <n v="12"/>
    <x v="0"/>
    <x v="1"/>
    <x v="4"/>
  </r>
  <r>
    <n v="2059"/>
    <s v="232410006"/>
    <x v="2"/>
    <x v="18"/>
    <s v="Intan Jay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94"/>
    <s v="Tuntas"/>
    <s v="Matematika Tingkat Lanjut"/>
    <x v="5"/>
    <x v="9"/>
    <n v="94"/>
    <x v="4"/>
    <n v="12"/>
    <x v="0"/>
    <x v="2"/>
    <x v="4"/>
  </r>
  <r>
    <n v="2060"/>
    <s v="232410006"/>
    <x v="2"/>
    <x v="18"/>
    <s v="Intan Jay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39"/>
    <s v="Tidak tuntas"/>
    <s v="Matematika Tingkat Lanjut"/>
    <x v="5"/>
    <x v="9"/>
    <n v="39"/>
    <x v="3"/>
    <n v="12"/>
    <x v="0"/>
    <x v="2"/>
    <x v="4"/>
  </r>
  <r>
    <n v="2061"/>
    <s v="232410006"/>
    <x v="2"/>
    <x v="18"/>
    <s v="Intan Jaya"/>
    <d v="2026-01-21T00:00:00"/>
    <s v="21"/>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100"/>
    <s v="Tuntas"/>
    <s v="Matematika Tingkat Lanjut"/>
    <x v="5"/>
    <x v="9"/>
    <n v="100"/>
    <x v="4"/>
    <n v="12"/>
    <x v="0"/>
    <x v="2"/>
    <x v="4"/>
  </r>
  <r>
    <n v="2062"/>
    <s v="232410006"/>
    <x v="2"/>
    <x v="18"/>
    <s v="Intan Jay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76"/>
    <s v="Tuntas"/>
    <s v="Matematika Tingkat Lanjut"/>
    <x v="5"/>
    <x v="9"/>
    <n v="76"/>
    <x v="1"/>
    <n v="12"/>
    <x v="0"/>
    <x v="2"/>
    <x v="4"/>
  </r>
  <r>
    <n v="2063"/>
    <s v="232410006"/>
    <x v="2"/>
    <x v="18"/>
    <s v="Intan Jaya"/>
    <d v="2026-02-10T00:00:00"/>
    <s v="10"/>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50"/>
    <s v="Tidak tuntas"/>
    <s v="Matematika Tingkat Lanjut"/>
    <x v="5"/>
    <x v="9"/>
    <n v="50"/>
    <x v="3"/>
    <n v="12"/>
    <x v="0"/>
    <x v="5"/>
    <x v="4"/>
  </r>
  <r>
    <n v="2064"/>
    <s v="232410006"/>
    <x v="2"/>
    <x v="18"/>
    <s v="Intan Jaya"/>
    <d v="2026-02-11T00:00:00"/>
    <s v="11"/>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100"/>
    <s v="Tuntas"/>
    <s v="Matematika Tingkat Lanjut"/>
    <x v="5"/>
    <x v="9"/>
    <n v="100"/>
    <x v="4"/>
    <n v="12"/>
    <x v="0"/>
    <x v="5"/>
    <x v="4"/>
  </r>
  <r>
    <n v="2065"/>
    <s v="232410006"/>
    <x v="2"/>
    <x v="18"/>
    <s v="Intan Jaya"/>
    <d v="2026-02-03T00:00:00"/>
    <s v="03"/>
    <x v="1"/>
    <s v="26"/>
    <x v="0"/>
    <x v="0"/>
    <x v="4"/>
    <s v="Real"/>
    <s v="Entrepreneur"/>
    <s v="Branding"/>
    <x v="0"/>
    <x v="2"/>
    <x v="5"/>
    <s v="F12.01.02"/>
    <n v="1"/>
    <s v="memahami integral, baik sebagai proses yang merupakan kebalikan dari derivatif dan juga sebagai cara menghitung luas; serta memahami teorema dasar kalkulus sebagai penghubung antara derivatif dan integral."/>
    <s v="01.02"/>
    <x v="35"/>
    <s v="K12"/>
    <s v="F"/>
    <n v="70"/>
    <n v="92"/>
    <s v="Tuntas"/>
    <s v="Matematika Tingkat Lanjut"/>
    <x v="5"/>
    <x v="9"/>
    <n v="92"/>
    <x v="4"/>
    <n v="12"/>
    <x v="0"/>
    <x v="4"/>
    <x v="4"/>
  </r>
  <r>
    <n v="2066"/>
    <s v="232410006"/>
    <x v="2"/>
    <x v="18"/>
    <s v="Intan Jaya"/>
    <d v="2026-02-11T00:00:00"/>
    <s v="11"/>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100"/>
    <s v="Tuntas"/>
    <s v="Matematika Tingkat Lanjut"/>
    <x v="5"/>
    <x v="9"/>
    <n v="100"/>
    <x v="4"/>
    <n v="12"/>
    <x v="0"/>
    <x v="5"/>
    <x v="4"/>
  </r>
  <r>
    <n v="2067"/>
    <s v="232410006"/>
    <x v="2"/>
    <x v="18"/>
    <s v="Intan Jaya"/>
    <d v="2026-02-25T00:00:00"/>
    <s v="25"/>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100"/>
    <s v="Tuntas"/>
    <s v="Matematika Tingkat Lanjut"/>
    <x v="5"/>
    <x v="9"/>
    <n v="100"/>
    <x v="4"/>
    <n v="12"/>
    <x v="0"/>
    <x v="8"/>
    <x v="4"/>
  </r>
  <r>
    <n v="2068"/>
    <s v="232410007"/>
    <x v="2"/>
    <x v="19"/>
    <s v="Intan Jaya"/>
    <d v="2026-01-14T00:00:00"/>
    <s v="14"/>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10"/>
    <s v="Tidak tuntas"/>
    <s v="Matematika Tingkat Lanjut"/>
    <x v="5"/>
    <x v="9"/>
    <n v="10"/>
    <x v="3"/>
    <n v="12"/>
    <x v="0"/>
    <x v="1"/>
    <x v="2"/>
  </r>
  <r>
    <n v="2069"/>
    <s v="232410007"/>
    <x v="2"/>
    <x v="19"/>
    <s v="Intan Jay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100"/>
    <s v="Tuntas"/>
    <s v="Matematika Tingkat Lanjut"/>
    <x v="5"/>
    <x v="9"/>
    <n v="100"/>
    <x v="4"/>
    <n v="12"/>
    <x v="0"/>
    <x v="2"/>
    <x v="2"/>
  </r>
  <r>
    <n v="2070"/>
    <s v="232410007"/>
    <x v="2"/>
    <x v="19"/>
    <s v="Intan Jay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40"/>
    <s v="Tidak tuntas"/>
    <s v="Matematika Tingkat Lanjut"/>
    <x v="5"/>
    <x v="9"/>
    <n v="40"/>
    <x v="3"/>
    <n v="12"/>
    <x v="0"/>
    <x v="2"/>
    <x v="2"/>
  </r>
  <r>
    <n v="2071"/>
    <s v="232410007"/>
    <x v="2"/>
    <x v="19"/>
    <s v="Intan Jaya"/>
    <d v="2026-01-21T00:00:00"/>
    <s v="21"/>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56"/>
    <s v="Tidak tuntas"/>
    <s v="Matematika Tingkat Lanjut"/>
    <x v="5"/>
    <x v="9"/>
    <n v="56"/>
    <x v="3"/>
    <n v="12"/>
    <x v="0"/>
    <x v="2"/>
    <x v="2"/>
  </r>
  <r>
    <n v="2072"/>
    <s v="232410007"/>
    <x v="2"/>
    <x v="19"/>
    <s v="Intan Jay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37"/>
    <s v="Tidak tuntas"/>
    <s v="Matematika Tingkat Lanjut"/>
    <x v="5"/>
    <x v="9"/>
    <n v="37"/>
    <x v="3"/>
    <n v="12"/>
    <x v="0"/>
    <x v="2"/>
    <x v="2"/>
  </r>
  <r>
    <n v="2073"/>
    <s v="232410007"/>
    <x v="2"/>
    <x v="19"/>
    <s v="Intan Jaya"/>
    <d v="2026-02-10T00:00:00"/>
    <s v="10"/>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78"/>
    <s v="Tuntas"/>
    <s v="Matematika Tingkat Lanjut"/>
    <x v="5"/>
    <x v="9"/>
    <n v="78"/>
    <x v="1"/>
    <n v="12"/>
    <x v="0"/>
    <x v="5"/>
    <x v="2"/>
  </r>
  <r>
    <n v="2074"/>
    <s v="232410007"/>
    <x v="2"/>
    <x v="19"/>
    <s v="Intan Jaya"/>
    <d v="2026-02-11T00:00:00"/>
    <s v="11"/>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94"/>
    <s v="Tuntas"/>
    <s v="Matematika Tingkat Lanjut"/>
    <x v="5"/>
    <x v="9"/>
    <n v="94"/>
    <x v="4"/>
    <n v="12"/>
    <x v="0"/>
    <x v="5"/>
    <x v="2"/>
  </r>
  <r>
    <n v="2075"/>
    <s v="232410007"/>
    <x v="2"/>
    <x v="19"/>
    <s v="Intan Jaya"/>
    <d v="2026-02-03T00:00:00"/>
    <s v="03"/>
    <x v="1"/>
    <s v="26"/>
    <x v="0"/>
    <x v="0"/>
    <x v="4"/>
    <s v="Real"/>
    <s v="Entrepreneur"/>
    <s v="Branding"/>
    <x v="0"/>
    <x v="2"/>
    <x v="5"/>
    <s v="F12.01.02"/>
    <n v="1"/>
    <s v="memahami integral, baik sebagai proses yang merupakan kebalikan dari derivatif dan juga sebagai cara menghitung luas; serta memahami teorema dasar kalkulus sebagai penghubung antara derivatif dan integral."/>
    <s v="01.02"/>
    <x v="35"/>
    <s v="K12"/>
    <s v="F"/>
    <n v="70"/>
    <n v="46"/>
    <s v="Tidak tuntas"/>
    <s v="Matematika Tingkat Lanjut"/>
    <x v="5"/>
    <x v="9"/>
    <n v="46"/>
    <x v="3"/>
    <n v="12"/>
    <x v="0"/>
    <x v="4"/>
    <x v="2"/>
  </r>
  <r>
    <n v="2076"/>
    <s v="232410007"/>
    <x v="2"/>
    <x v="19"/>
    <s v="Intan Jaya"/>
    <d v="2026-02-11T00:00:00"/>
    <s v="11"/>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62"/>
    <s v="Tidak tuntas"/>
    <s v="Matematika Tingkat Lanjut"/>
    <x v="5"/>
    <x v="9"/>
    <n v="62"/>
    <x v="3"/>
    <n v="12"/>
    <x v="0"/>
    <x v="5"/>
    <x v="2"/>
  </r>
  <r>
    <n v="2077"/>
    <s v="232410007"/>
    <x v="2"/>
    <x v="19"/>
    <s v="Intan Jaya"/>
    <d v="2026-02-25T00:00:00"/>
    <s v="25"/>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67"/>
    <s v="Tidak tuntas"/>
    <s v="Matematika Tingkat Lanjut"/>
    <x v="5"/>
    <x v="9"/>
    <n v="67"/>
    <x v="3"/>
    <n v="12"/>
    <x v="0"/>
    <x v="8"/>
    <x v="2"/>
  </r>
  <r>
    <n v="2078"/>
    <s v="232410009"/>
    <x v="2"/>
    <x v="20"/>
    <s v="Intan Jaya"/>
    <d v="2026-01-14T00:00:00"/>
    <s v="14"/>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100"/>
    <s v="Tuntas"/>
    <s v="Matematika Tingkat Lanjut"/>
    <x v="5"/>
    <x v="9"/>
    <n v="100"/>
    <x v="4"/>
    <n v="12"/>
    <x v="0"/>
    <x v="1"/>
    <x v="7"/>
  </r>
  <r>
    <n v="2079"/>
    <s v="232410009"/>
    <x v="2"/>
    <x v="20"/>
    <s v="Intan Jay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100"/>
    <s v="Tuntas"/>
    <s v="Matematika Tingkat Lanjut"/>
    <x v="5"/>
    <x v="9"/>
    <n v="100"/>
    <x v="4"/>
    <n v="12"/>
    <x v="0"/>
    <x v="2"/>
    <x v="7"/>
  </r>
  <r>
    <n v="2080"/>
    <s v="232410009"/>
    <x v="2"/>
    <x v="20"/>
    <s v="Intan Jay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55"/>
    <s v="Tidak tuntas"/>
    <s v="Matematika Tingkat Lanjut"/>
    <x v="5"/>
    <x v="9"/>
    <n v="55"/>
    <x v="3"/>
    <n v="12"/>
    <x v="0"/>
    <x v="2"/>
    <x v="7"/>
  </r>
  <r>
    <n v="2081"/>
    <s v="232410009"/>
    <x v="2"/>
    <x v="20"/>
    <s v="Intan Jaya"/>
    <d v="2026-01-21T00:00:00"/>
    <s v="21"/>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59"/>
    <s v="Tidak tuntas"/>
    <s v="Matematika Tingkat Lanjut"/>
    <x v="5"/>
    <x v="9"/>
    <n v="59"/>
    <x v="3"/>
    <n v="12"/>
    <x v="0"/>
    <x v="2"/>
    <x v="7"/>
  </r>
  <r>
    <n v="2082"/>
    <s v="232410009"/>
    <x v="2"/>
    <x v="20"/>
    <s v="Intan Jay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0"/>
    <s v="Tidak tuntas"/>
    <s v="Matematika Tingkat Lanjut"/>
    <x v="5"/>
    <x v="0"/>
    <s v=""/>
    <x v="0"/>
    <s v=""/>
    <x v="0"/>
    <x v="0"/>
    <x v="0"/>
  </r>
  <r>
    <n v="2083"/>
    <s v="232410009"/>
    <x v="2"/>
    <x v="20"/>
    <s v="Intan Jaya"/>
    <d v="2026-02-10T00:00:00"/>
    <s v="10"/>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66"/>
    <s v="Tidak tuntas"/>
    <s v="Matematika Tingkat Lanjut"/>
    <x v="5"/>
    <x v="9"/>
    <n v="66"/>
    <x v="3"/>
    <n v="12"/>
    <x v="0"/>
    <x v="5"/>
    <x v="7"/>
  </r>
  <r>
    <n v="2084"/>
    <s v="232410009"/>
    <x v="2"/>
    <x v="20"/>
    <s v="Intan Jaya"/>
    <d v="2026-02-11T00:00:00"/>
    <s v="11"/>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98"/>
    <s v="Tuntas"/>
    <s v="Matematika Tingkat Lanjut"/>
    <x v="5"/>
    <x v="9"/>
    <n v="98"/>
    <x v="4"/>
    <n v="12"/>
    <x v="0"/>
    <x v="5"/>
    <x v="7"/>
  </r>
  <r>
    <n v="2085"/>
    <s v="232410009"/>
    <x v="2"/>
    <x v="20"/>
    <s v="Intan Jaya"/>
    <d v="2026-02-03T00:00:00"/>
    <s v="03"/>
    <x v="1"/>
    <s v="26"/>
    <x v="0"/>
    <x v="0"/>
    <x v="4"/>
    <s v="Real"/>
    <s v="Entrepreneur"/>
    <s v="Branding"/>
    <x v="0"/>
    <x v="2"/>
    <x v="5"/>
    <s v="F12.01.02"/>
    <n v="1"/>
    <s v="memahami integral, baik sebagai proses yang merupakan kebalikan dari derivatif dan juga sebagai cara menghitung luas; serta memahami teorema dasar kalkulus sebagai penghubung antara derivatif dan integral."/>
    <s v="01.02"/>
    <x v="35"/>
    <s v="K12"/>
    <s v="F"/>
    <n v="70"/>
    <n v="74"/>
    <s v="Tuntas"/>
    <s v="Matematika Tingkat Lanjut"/>
    <x v="5"/>
    <x v="9"/>
    <n v="74"/>
    <x v="1"/>
    <n v="12"/>
    <x v="0"/>
    <x v="4"/>
    <x v="7"/>
  </r>
  <r>
    <n v="2086"/>
    <s v="232410009"/>
    <x v="2"/>
    <x v="20"/>
    <s v="Intan Jaya"/>
    <d v="2026-02-11T00:00:00"/>
    <s v="11"/>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64"/>
    <s v="Tidak tuntas"/>
    <s v="Matematika Tingkat Lanjut"/>
    <x v="5"/>
    <x v="9"/>
    <n v="64"/>
    <x v="3"/>
    <n v="12"/>
    <x v="0"/>
    <x v="5"/>
    <x v="7"/>
  </r>
  <r>
    <n v="2087"/>
    <s v="232410009"/>
    <x v="2"/>
    <x v="20"/>
    <s v="Intan Jaya"/>
    <d v="2026-02-25T00:00:00"/>
    <s v="25"/>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99"/>
    <s v="Tuntas"/>
    <s v="Matematika Tingkat Lanjut"/>
    <x v="5"/>
    <x v="9"/>
    <n v="99"/>
    <x v="4"/>
    <n v="12"/>
    <x v="0"/>
    <x v="8"/>
    <x v="7"/>
  </r>
  <r>
    <n v="2088"/>
    <s v="232410008"/>
    <x v="2"/>
    <x v="21"/>
    <s v="Intan Jaya"/>
    <d v="2026-01-14T00:00:00"/>
    <s v="14"/>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88"/>
    <s v="Tuntas"/>
    <s v="Matematika Tingkat Lanjut"/>
    <x v="5"/>
    <x v="9"/>
    <n v="88"/>
    <x v="2"/>
    <n v="12"/>
    <x v="0"/>
    <x v="1"/>
    <x v="2"/>
  </r>
  <r>
    <n v="2089"/>
    <s v="232410008"/>
    <x v="2"/>
    <x v="21"/>
    <s v="Intan Jay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58"/>
    <s v="Tidak tuntas"/>
    <s v="Matematika Tingkat Lanjut"/>
    <x v="5"/>
    <x v="9"/>
    <n v="58"/>
    <x v="3"/>
    <n v="12"/>
    <x v="0"/>
    <x v="2"/>
    <x v="2"/>
  </r>
  <r>
    <n v="2090"/>
    <s v="232410008"/>
    <x v="2"/>
    <x v="21"/>
    <s v="Intan Jay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81"/>
    <s v="Tuntas"/>
    <s v="Matematika Tingkat Lanjut"/>
    <x v="5"/>
    <x v="9"/>
    <n v="81"/>
    <x v="2"/>
    <n v="12"/>
    <x v="0"/>
    <x v="2"/>
    <x v="2"/>
  </r>
  <r>
    <n v="2091"/>
    <s v="232410008"/>
    <x v="2"/>
    <x v="21"/>
    <s v="Intan Jaya"/>
    <d v="2026-01-21T00:00:00"/>
    <s v="21"/>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40"/>
    <s v="Tidak tuntas"/>
    <s v="Matematika Tingkat Lanjut"/>
    <x v="5"/>
    <x v="9"/>
    <n v="40"/>
    <x v="3"/>
    <n v="12"/>
    <x v="0"/>
    <x v="2"/>
    <x v="2"/>
  </r>
  <r>
    <n v="2092"/>
    <s v="232410008"/>
    <x v="2"/>
    <x v="21"/>
    <s v="Intan Jaya"/>
    <d v="2026-01-19T00:00:00"/>
    <s v="19"/>
    <x v="0"/>
    <s v="26"/>
    <x v="0"/>
    <x v="0"/>
    <x v="4"/>
    <s v="Real"/>
    <s v="Entrepreneur"/>
    <s v="Branding"/>
    <x v="0"/>
    <x v="2"/>
    <x v="5"/>
    <s v="F12.01.01"/>
    <n v="1"/>
    <s v="memahami integral, baik sebagai proses yang merupakan kebalikan dari derivatif dan juga sebagai cara menghitung luas; serta memahami teorema dasar kalkulus sebagai penghubung antara derivatif dan integral."/>
    <s v="01.01"/>
    <x v="33"/>
    <s v="K12"/>
    <s v="F"/>
    <n v="70"/>
    <n v="50"/>
    <s v="Tidak tuntas"/>
    <s v="Matematika Tingkat Lanjut"/>
    <x v="5"/>
    <x v="9"/>
    <n v="50"/>
    <x v="3"/>
    <n v="12"/>
    <x v="0"/>
    <x v="2"/>
    <x v="2"/>
  </r>
  <r>
    <n v="2093"/>
    <s v="232410008"/>
    <x v="2"/>
    <x v="21"/>
    <s v="Intan Jaya"/>
    <d v="2026-02-10T00:00:00"/>
    <s v="10"/>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26"/>
    <s v="Tidak tuntas"/>
    <s v="Matematika Tingkat Lanjut"/>
    <x v="5"/>
    <x v="9"/>
    <n v="26"/>
    <x v="3"/>
    <n v="12"/>
    <x v="0"/>
    <x v="5"/>
    <x v="2"/>
  </r>
  <r>
    <n v="2094"/>
    <s v="232410008"/>
    <x v="2"/>
    <x v="21"/>
    <s v="Intan Jaya"/>
    <d v="2026-02-11T00:00:00"/>
    <s v="11"/>
    <x v="1"/>
    <s v="26"/>
    <x v="0"/>
    <x v="0"/>
    <x v="4"/>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98"/>
    <s v="Tuntas"/>
    <s v="Matematika Tingkat Lanjut"/>
    <x v="5"/>
    <x v="9"/>
    <n v="98"/>
    <x v="4"/>
    <n v="12"/>
    <x v="0"/>
    <x v="5"/>
    <x v="2"/>
  </r>
  <r>
    <n v="2095"/>
    <s v="232410008"/>
    <x v="2"/>
    <x v="21"/>
    <s v="Intan Jaya"/>
    <d v="2026-02-03T00:00:00"/>
    <s v="03"/>
    <x v="1"/>
    <s v="26"/>
    <x v="0"/>
    <x v="0"/>
    <x v="4"/>
    <s v="Real"/>
    <s v="Entrepreneur"/>
    <s v="Branding"/>
    <x v="0"/>
    <x v="2"/>
    <x v="5"/>
    <s v="F12.01.02"/>
    <n v="1"/>
    <s v="memahami integral, baik sebagai proses yang merupakan kebalikan dari derivatif dan juga sebagai cara menghitung luas; serta memahami teorema dasar kalkulus sebagai penghubung antara derivatif dan integral."/>
    <s v="01.02"/>
    <x v="35"/>
    <s v="K12"/>
    <s v="F"/>
    <n v="70"/>
    <n v="100"/>
    <s v="Tuntas"/>
    <s v="Matematika Tingkat Lanjut"/>
    <x v="5"/>
    <x v="9"/>
    <n v="100"/>
    <x v="4"/>
    <n v="12"/>
    <x v="0"/>
    <x v="4"/>
    <x v="2"/>
  </r>
  <r>
    <n v="2096"/>
    <s v="232410008"/>
    <x v="2"/>
    <x v="21"/>
    <s v="Intan Jaya"/>
    <d v="2026-02-11T00:00:00"/>
    <s v="11"/>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58"/>
    <s v="Tidak tuntas"/>
    <s v="Matematika Tingkat Lanjut"/>
    <x v="5"/>
    <x v="9"/>
    <n v="58"/>
    <x v="3"/>
    <n v="12"/>
    <x v="0"/>
    <x v="5"/>
    <x v="2"/>
  </r>
  <r>
    <n v="2097"/>
    <s v="232410008"/>
    <x v="2"/>
    <x v="21"/>
    <s v="Intan Jaya"/>
    <d v="2026-02-25T00:00:00"/>
    <s v="25"/>
    <x v="1"/>
    <s v="26"/>
    <x v="0"/>
    <x v="0"/>
    <x v="2"/>
    <s v="Real"/>
    <s v="Entrepreneur"/>
    <s v="Branding"/>
    <x v="0"/>
    <x v="2"/>
    <x v="5"/>
    <s v="F12.01.03"/>
    <n v="1"/>
    <s v="memahami integral, baik sebagai proses yang merupakan kebalikan dari derivatif dan juga sebagai cara menghitung luas; serta memahami teorema dasar kalkulus sebagai penghubung antara derivatif dan integral."/>
    <s v="01.03"/>
    <x v="34"/>
    <s v="K12"/>
    <s v="F"/>
    <n v="70"/>
    <n v="98"/>
    <s v="Tuntas"/>
    <s v="Matematika Tingkat Lanjut"/>
    <x v="5"/>
    <x v="9"/>
    <n v="98"/>
    <x v="4"/>
    <n v="12"/>
    <x v="0"/>
    <x v="8"/>
    <x v="2"/>
  </r>
  <r>
    <n v="2098"/>
    <s v="232410001"/>
    <x v="2"/>
    <x v="14"/>
    <s v="Dogiyai"/>
    <d v="2026-01-12T00:00:00"/>
    <s v="12"/>
    <x v="0"/>
    <s v="26"/>
    <x v="3"/>
    <x v="4"/>
    <x v="5"/>
    <s v="Real"/>
    <s v="Entrepreneur"/>
    <s v="Branding"/>
    <x v="0"/>
    <x v="2"/>
    <x v="3"/>
    <s v="F12.01.01"/>
    <n v="1"/>
    <s v="menjelaskan dinamika sosial yang terjadi di masyarakat"/>
    <s v="01.01"/>
    <x v="36"/>
    <s v="K12"/>
    <s v="F"/>
    <n v="70"/>
    <n v="78"/>
    <s v="Tuntas"/>
    <s v="Pendidikan Pancasila"/>
    <x v="7"/>
    <x v="10"/>
    <n v="78"/>
    <x v="1"/>
    <n v="12"/>
    <x v="1"/>
    <x v="1"/>
    <x v="2"/>
  </r>
  <r>
    <n v="2099"/>
    <s v="232410001"/>
    <x v="2"/>
    <x v="14"/>
    <s v="Dogiyai"/>
    <d v="2026-01-12T00:00:00"/>
    <s v="12"/>
    <x v="0"/>
    <s v="26"/>
    <x v="4"/>
    <x v="5"/>
    <x v="0"/>
    <s v="Real"/>
    <s v="Entrepreneur"/>
    <s v="Branding"/>
    <x v="0"/>
    <x v="2"/>
    <x v="3"/>
    <s v="F12.01.01"/>
    <n v="1"/>
    <s v="menjelaskan dinamika sosial yang terjadi di masyarakat"/>
    <s v="01.01"/>
    <x v="36"/>
    <s v="K12"/>
    <s v="F"/>
    <n v="70"/>
    <n v="78"/>
    <s v="Tuntas"/>
    <s v="Pendidikan Pancasila"/>
    <x v="7"/>
    <x v="10"/>
    <n v="78"/>
    <x v="1"/>
    <n v="12"/>
    <x v="0"/>
    <x v="1"/>
    <x v="2"/>
  </r>
  <r>
    <n v="2100"/>
    <s v="232410001"/>
    <x v="2"/>
    <x v="14"/>
    <s v="Dogiyai"/>
    <d v="2026-01-12T00:00:00"/>
    <s v="12"/>
    <x v="0"/>
    <s v="26"/>
    <x v="2"/>
    <x v="6"/>
    <x v="6"/>
    <s v="Real"/>
    <s v="Entrepreneur"/>
    <s v="Branding"/>
    <x v="0"/>
    <x v="2"/>
    <x v="3"/>
    <s v="F12.01.01"/>
    <n v="1"/>
    <s v="menjelaskan dinamika sosial yang terjadi di masyarakat"/>
    <s v="01.01"/>
    <x v="36"/>
    <s v="K12"/>
    <s v="F"/>
    <n v="70"/>
    <n v="76"/>
    <s v="Tuntas"/>
    <s v="Pendidikan Pancasila"/>
    <x v="7"/>
    <x v="10"/>
    <n v="76"/>
    <x v="1"/>
    <n v="12"/>
    <x v="0"/>
    <x v="1"/>
    <x v="2"/>
  </r>
  <r>
    <n v="2101"/>
    <s v="232410001"/>
    <x v="2"/>
    <x v="14"/>
    <s v="Dogiyai"/>
    <d v="2026-01-12T00:00:00"/>
    <s v="12"/>
    <x v="0"/>
    <s v="26"/>
    <x v="0"/>
    <x v="0"/>
    <x v="6"/>
    <s v="Real"/>
    <s v="Entrepreneur"/>
    <s v="Branding"/>
    <x v="0"/>
    <x v="2"/>
    <x v="3"/>
    <s v="F12.01.01"/>
    <n v="1"/>
    <s v="menjelaskan dinamika sosial yang terjadi di masyarakat"/>
    <s v="01.01"/>
    <x v="36"/>
    <s v="K12"/>
    <s v="F"/>
    <n v="70"/>
    <n v="80"/>
    <s v="Tuntas"/>
    <s v="Pendidikan Pancasila"/>
    <x v="7"/>
    <x v="10"/>
    <n v="80"/>
    <x v="2"/>
    <n v="12"/>
    <x v="0"/>
    <x v="1"/>
    <x v="2"/>
  </r>
  <r>
    <n v="2102"/>
    <s v="232410001"/>
    <x v="2"/>
    <x v="14"/>
    <s v="Dogiyai"/>
    <d v="2026-01-16T00:00:00"/>
    <s v="16"/>
    <x v="0"/>
    <s v="26"/>
    <x v="0"/>
    <x v="0"/>
    <x v="6"/>
    <s v="Remedial"/>
    <s v="Entrepreneur"/>
    <s v="Branding"/>
    <x v="0"/>
    <x v="2"/>
    <x v="3"/>
    <s v="F12.01.01"/>
    <n v="1"/>
    <s v="menjelaskan dinamika sosial yang terjadi di masyarakat"/>
    <s v="01.01"/>
    <x v="36"/>
    <s v="K12"/>
    <s v="F"/>
    <n v="70"/>
    <n v="0"/>
    <s v="Tidak tuntas"/>
    <s v="Pendidikan Pancasila"/>
    <x v="7"/>
    <x v="0"/>
    <s v=""/>
    <x v="0"/>
    <s v=""/>
    <x v="0"/>
    <x v="0"/>
    <x v="0"/>
  </r>
  <r>
    <n v="2103"/>
    <s v="232410001"/>
    <x v="2"/>
    <x v="14"/>
    <s v="Dogiyai"/>
    <d v="2026-01-19T00:00:00"/>
    <s v="19"/>
    <x v="0"/>
    <s v="26"/>
    <x v="0"/>
    <x v="0"/>
    <x v="6"/>
    <s v="Real"/>
    <s v="Entrepreneur"/>
    <s v="Branding"/>
    <x v="0"/>
    <x v="2"/>
    <x v="3"/>
    <s v="F12.02.01"/>
    <n v="2"/>
    <s v="mennganalisis dinamika persatuan bangsa dan pengaruh IPTEK terhadap isu Papua"/>
    <s v="02.01"/>
    <x v="37"/>
    <s v="K12"/>
    <s v="F"/>
    <n v="70"/>
    <n v="75"/>
    <s v="Tuntas"/>
    <s v="Pendidikan Pancasila"/>
    <x v="7"/>
    <x v="10"/>
    <n v="75"/>
    <x v="1"/>
    <n v="12"/>
    <x v="0"/>
    <x v="2"/>
    <x v="2"/>
  </r>
  <r>
    <n v="2104"/>
    <s v="232410001"/>
    <x v="2"/>
    <x v="14"/>
    <s v="Dogiyai"/>
    <d v="2026-01-19T00:00:00"/>
    <s v="19"/>
    <x v="0"/>
    <s v="26"/>
    <x v="2"/>
    <x v="6"/>
    <x v="6"/>
    <s v="Real"/>
    <s v="Entrepreneur"/>
    <s v="Branding"/>
    <x v="0"/>
    <x v="2"/>
    <x v="3"/>
    <s v="F12.02.01"/>
    <n v="2"/>
    <s v="mennganalisis dinamika persatuan bangsa dan pengaruh IPTEK terhadap isu Papua"/>
    <s v="02.01"/>
    <x v="37"/>
    <s v="K12"/>
    <s v="F"/>
    <n v="70"/>
    <n v="73"/>
    <s v="Tuntas"/>
    <s v="Pendidikan Pancasila"/>
    <x v="7"/>
    <x v="10"/>
    <n v="73"/>
    <x v="1"/>
    <n v="12"/>
    <x v="0"/>
    <x v="2"/>
    <x v="2"/>
  </r>
  <r>
    <n v="2105"/>
    <s v="232410001"/>
    <x v="2"/>
    <x v="14"/>
    <s v="Dogiyai"/>
    <d v="2026-01-19T00:00:00"/>
    <s v="19"/>
    <x v="0"/>
    <s v="26"/>
    <x v="3"/>
    <x v="4"/>
    <x v="15"/>
    <s v="Real"/>
    <s v="Entrepreneur"/>
    <s v="Branding"/>
    <x v="0"/>
    <x v="2"/>
    <x v="3"/>
    <s v="F12.02.01"/>
    <n v="2"/>
    <s v="mennganalisis dinamika persatuan bangsa dan pengaruh IPTEK terhadap isu Papua"/>
    <s v="02.01"/>
    <x v="37"/>
    <s v="K12"/>
    <s v="F"/>
    <n v="70"/>
    <n v="75"/>
    <s v="Tuntas"/>
    <s v="Pendidikan Pancasila"/>
    <x v="7"/>
    <x v="10"/>
    <n v="75"/>
    <x v="1"/>
    <n v="12"/>
    <x v="1"/>
    <x v="2"/>
    <x v="2"/>
  </r>
  <r>
    <n v="2106"/>
    <s v="232410001"/>
    <x v="2"/>
    <x v="14"/>
    <s v="Dogiyai"/>
    <d v="2026-01-19T00:00:00"/>
    <s v="19"/>
    <x v="0"/>
    <s v="26"/>
    <x v="4"/>
    <x v="5"/>
    <x v="0"/>
    <s v="Real"/>
    <s v="Entrepreneur"/>
    <s v="Branding"/>
    <x v="0"/>
    <x v="2"/>
    <x v="3"/>
    <s v="F12.02.01"/>
    <n v="2"/>
    <s v="mennganalisis dinamika persatuan bangsa dan pengaruh IPTEK terhadap isu Papua"/>
    <s v="02.01"/>
    <x v="37"/>
    <s v="K12"/>
    <s v="F"/>
    <n v="70"/>
    <n v="73"/>
    <s v="Tuntas"/>
    <s v="Pendidikan Pancasila"/>
    <x v="7"/>
    <x v="10"/>
    <n v="73"/>
    <x v="1"/>
    <n v="12"/>
    <x v="0"/>
    <x v="2"/>
    <x v="2"/>
  </r>
  <r>
    <n v="2107"/>
    <s v="232410001"/>
    <x v="2"/>
    <x v="14"/>
    <s v="Dogiyai"/>
    <d v="2026-02-02T00:00:00"/>
    <s v="02"/>
    <x v="1"/>
    <s v="26"/>
    <x v="3"/>
    <x v="8"/>
    <x v="16"/>
    <s v="Real"/>
    <s v="Entrepreneur"/>
    <s v="Branding"/>
    <x v="0"/>
    <x v="2"/>
    <x v="3"/>
    <s v="F12.01.03"/>
    <n v="1"/>
    <s v="menjelaskan dinamika sosial yang terjadi di masyarakat"/>
    <s v="01.03"/>
    <x v="38"/>
    <s v="K12"/>
    <s v="F"/>
    <n v="70"/>
    <n v="80"/>
    <s v="Tuntas"/>
    <s v="Pendidikan Pancasila"/>
    <x v="7"/>
    <x v="10"/>
    <n v="80"/>
    <x v="2"/>
    <n v="12"/>
    <x v="2"/>
    <x v="4"/>
    <x v="2"/>
  </r>
  <r>
    <n v="2108"/>
    <s v="232410001"/>
    <x v="2"/>
    <x v="14"/>
    <s v="Dogiyai"/>
    <d v="2026-02-02T00:00:00"/>
    <s v="02"/>
    <x v="1"/>
    <s v="26"/>
    <x v="1"/>
    <x v="14"/>
    <x v="6"/>
    <s v="Real"/>
    <s v="Entrepreneur"/>
    <s v="Branding"/>
    <x v="0"/>
    <x v="2"/>
    <x v="3"/>
    <s v="F12.01.03"/>
    <n v="1"/>
    <s v="menjelaskan dinamika sosial yang terjadi di masyarakat"/>
    <s v="01.03"/>
    <x v="38"/>
    <s v="K12"/>
    <s v="F"/>
    <n v="70"/>
    <n v="78"/>
    <s v="Tuntas"/>
    <s v="Pendidikan Pancasila"/>
    <x v="7"/>
    <x v="10"/>
    <n v="78"/>
    <x v="1"/>
    <n v="12"/>
    <x v="0"/>
    <x v="4"/>
    <x v="2"/>
  </r>
  <r>
    <n v="2109"/>
    <s v="232410001"/>
    <x v="2"/>
    <x v="14"/>
    <s v="Dogiyai"/>
    <d v="2026-02-02T00:00:00"/>
    <s v="02"/>
    <x v="1"/>
    <s v="26"/>
    <x v="4"/>
    <x v="5"/>
    <x v="0"/>
    <s v="Real"/>
    <s v="Entrepreneur"/>
    <s v="Branding"/>
    <x v="0"/>
    <x v="2"/>
    <x v="3"/>
    <s v="F12.01.03"/>
    <n v="1"/>
    <s v="menjelaskan dinamika sosial yang terjadi di masyarakat"/>
    <s v="01.03"/>
    <x v="38"/>
    <s v="K12"/>
    <s v="F"/>
    <n v="70"/>
    <n v="77"/>
    <s v="Tuntas"/>
    <s v="Pendidikan Pancasila"/>
    <x v="7"/>
    <x v="10"/>
    <n v="77"/>
    <x v="1"/>
    <n v="12"/>
    <x v="0"/>
    <x v="4"/>
    <x v="2"/>
  </r>
  <r>
    <n v="2110"/>
    <s v="232410001"/>
    <x v="2"/>
    <x v="14"/>
    <s v="Dogiyai"/>
    <d v="2026-02-02T00:00:00"/>
    <s v="02"/>
    <x v="1"/>
    <s v="26"/>
    <x v="2"/>
    <x v="6"/>
    <x v="6"/>
    <s v="Real"/>
    <s v="Entrepreneur"/>
    <s v="Branding"/>
    <x v="0"/>
    <x v="2"/>
    <x v="3"/>
    <s v="F12.01.03"/>
    <n v="1"/>
    <s v="menjelaskan dinamika sosial yang terjadi di masyarakat"/>
    <s v="01.03"/>
    <x v="38"/>
    <s v="K12"/>
    <s v="F"/>
    <n v="70"/>
    <n v="72"/>
    <s v="Tuntas"/>
    <s v="Pendidikan Pancasila"/>
    <x v="7"/>
    <x v="10"/>
    <n v="72"/>
    <x v="1"/>
    <n v="12"/>
    <x v="0"/>
    <x v="4"/>
    <x v="2"/>
  </r>
  <r>
    <n v="2111"/>
    <s v="232410001"/>
    <x v="2"/>
    <x v="14"/>
    <s v="Dogiyai"/>
    <d v="2026-02-02T00:00:00"/>
    <s v="02"/>
    <x v="1"/>
    <s v="26"/>
    <x v="0"/>
    <x v="0"/>
    <x v="2"/>
    <s v="Real"/>
    <s v="Entrepreneur"/>
    <s v="Branding"/>
    <x v="0"/>
    <x v="2"/>
    <x v="3"/>
    <s v="F12.01.03"/>
    <n v="1"/>
    <s v="menjelaskan dinamika sosial yang terjadi di masyarakat"/>
    <s v="01.03"/>
    <x v="38"/>
    <s v="K12"/>
    <s v="F"/>
    <n v="70"/>
    <n v="70"/>
    <s v="Tuntas"/>
    <s v="Pendidikan Pancasila"/>
    <x v="7"/>
    <x v="10"/>
    <n v="70"/>
    <x v="1"/>
    <n v="12"/>
    <x v="0"/>
    <x v="4"/>
    <x v="2"/>
  </r>
  <r>
    <n v="2112"/>
    <s v="232410001"/>
    <x v="2"/>
    <x v="14"/>
    <s v="Dogiyai"/>
    <d v="2026-02-06T00:00:00"/>
    <s v="06"/>
    <x v="1"/>
    <s v="26"/>
    <x v="1"/>
    <x v="13"/>
    <x v="6"/>
    <s v="Real"/>
    <s v="Entrepreneur"/>
    <s v="Branding"/>
    <x v="0"/>
    <x v="2"/>
    <x v="3"/>
    <s v="F12.01.04"/>
    <n v="1"/>
    <s v="menjelaskan dinamika sosial yang terjadi di masyarakat"/>
    <s v="01.04"/>
    <x v="39"/>
    <s v="K12"/>
    <s v="F"/>
    <n v="70"/>
    <n v="78"/>
    <s v="Tuntas"/>
    <s v="Pendidikan Pancasila"/>
    <x v="7"/>
    <x v="10"/>
    <n v="78"/>
    <x v="1"/>
    <n v="12"/>
    <x v="0"/>
    <x v="4"/>
    <x v="2"/>
  </r>
  <r>
    <n v="2113"/>
    <s v="232410001"/>
    <x v="2"/>
    <x v="14"/>
    <s v="Dogiyai"/>
    <d v="2026-02-06T00:00:00"/>
    <s v="06"/>
    <x v="1"/>
    <s v="26"/>
    <x v="0"/>
    <x v="0"/>
    <x v="6"/>
    <s v="Real"/>
    <s v="Entrepreneur"/>
    <s v="Branding"/>
    <x v="0"/>
    <x v="2"/>
    <x v="3"/>
    <s v="F12.01.03"/>
    <n v="1"/>
    <s v="menjelaskan dinamika sosial yang terjadi di masyarakat"/>
    <s v="01.03"/>
    <x v="38"/>
    <s v="K12"/>
    <s v="F"/>
    <n v="70"/>
    <n v="79"/>
    <s v="Tuntas"/>
    <s v="Pendidikan Pancasila"/>
    <x v="7"/>
    <x v="10"/>
    <n v="79"/>
    <x v="1"/>
    <n v="12"/>
    <x v="0"/>
    <x v="4"/>
    <x v="2"/>
  </r>
  <r>
    <n v="2114"/>
    <s v="232410002"/>
    <x v="2"/>
    <x v="15"/>
    <s v="Tolikara"/>
    <d v="2026-01-12T00:00:00"/>
    <s v="12"/>
    <x v="0"/>
    <s v="26"/>
    <x v="3"/>
    <x v="4"/>
    <x v="5"/>
    <s v="Real"/>
    <s v="Entrepreneur"/>
    <s v="Branding"/>
    <x v="0"/>
    <x v="2"/>
    <x v="3"/>
    <s v="F12.01.01"/>
    <n v="1"/>
    <s v="menjelaskan dinamika sosial yang terjadi di masyarakat"/>
    <s v="01.01"/>
    <x v="36"/>
    <s v="K12"/>
    <s v="F"/>
    <n v="70"/>
    <n v="78"/>
    <s v="Tuntas"/>
    <s v="Pendidikan Pancasila"/>
    <x v="7"/>
    <x v="10"/>
    <n v="78"/>
    <x v="1"/>
    <n v="12"/>
    <x v="1"/>
    <x v="1"/>
    <x v="3"/>
  </r>
  <r>
    <n v="2115"/>
    <s v="232410002"/>
    <x v="2"/>
    <x v="15"/>
    <s v="Tolikara"/>
    <d v="2026-01-12T00:00:00"/>
    <s v="12"/>
    <x v="0"/>
    <s v="26"/>
    <x v="4"/>
    <x v="5"/>
    <x v="0"/>
    <s v="Real"/>
    <s v="Entrepreneur"/>
    <s v="Branding"/>
    <x v="0"/>
    <x v="2"/>
    <x v="3"/>
    <s v="F12.01.01"/>
    <n v="1"/>
    <s v="menjelaskan dinamika sosial yang terjadi di masyarakat"/>
    <s v="01.01"/>
    <x v="36"/>
    <s v="K12"/>
    <s v="F"/>
    <n v="70"/>
    <n v="80"/>
    <s v="Tuntas"/>
    <s v="Pendidikan Pancasila"/>
    <x v="7"/>
    <x v="10"/>
    <n v="80"/>
    <x v="2"/>
    <n v="12"/>
    <x v="0"/>
    <x v="1"/>
    <x v="3"/>
  </r>
  <r>
    <n v="2116"/>
    <s v="232410002"/>
    <x v="2"/>
    <x v="15"/>
    <s v="Tolikara"/>
    <d v="2026-01-12T00:00:00"/>
    <s v="12"/>
    <x v="0"/>
    <s v="26"/>
    <x v="2"/>
    <x v="6"/>
    <x v="6"/>
    <s v="Real"/>
    <s v="Entrepreneur"/>
    <s v="Branding"/>
    <x v="0"/>
    <x v="2"/>
    <x v="3"/>
    <s v="F12.01.01"/>
    <n v="1"/>
    <s v="menjelaskan dinamika sosial yang terjadi di masyarakat"/>
    <s v="01.01"/>
    <x v="36"/>
    <s v="K12"/>
    <s v="F"/>
    <n v="70"/>
    <n v="74"/>
    <s v="Tuntas"/>
    <s v="Pendidikan Pancasila"/>
    <x v="7"/>
    <x v="10"/>
    <n v="74"/>
    <x v="1"/>
    <n v="12"/>
    <x v="0"/>
    <x v="1"/>
    <x v="3"/>
  </r>
  <r>
    <n v="2117"/>
    <s v="232410002"/>
    <x v="2"/>
    <x v="15"/>
    <s v="Tolikara"/>
    <d v="2026-01-12T00:00:00"/>
    <s v="12"/>
    <x v="0"/>
    <s v="26"/>
    <x v="0"/>
    <x v="0"/>
    <x v="6"/>
    <s v="Real"/>
    <s v="Entrepreneur"/>
    <s v="Branding"/>
    <x v="0"/>
    <x v="2"/>
    <x v="3"/>
    <s v="F12.01.01"/>
    <n v="1"/>
    <s v="menjelaskan dinamika sosial yang terjadi di masyarakat"/>
    <s v="01.01"/>
    <x v="36"/>
    <s v="K12"/>
    <s v="F"/>
    <n v="70"/>
    <n v="75"/>
    <s v="Tuntas"/>
    <s v="Pendidikan Pancasila"/>
    <x v="7"/>
    <x v="10"/>
    <n v="75"/>
    <x v="1"/>
    <n v="12"/>
    <x v="0"/>
    <x v="1"/>
    <x v="3"/>
  </r>
  <r>
    <n v="2118"/>
    <s v="232410002"/>
    <x v="2"/>
    <x v="15"/>
    <s v="Tolikara"/>
    <d v="2026-01-16T00:00:00"/>
    <s v="16"/>
    <x v="0"/>
    <s v="26"/>
    <x v="0"/>
    <x v="0"/>
    <x v="6"/>
    <s v="Remedial"/>
    <s v="Entrepreneur"/>
    <s v="Branding"/>
    <x v="0"/>
    <x v="2"/>
    <x v="3"/>
    <s v="F12.01.01"/>
    <n v="1"/>
    <s v="menjelaskan dinamika sosial yang terjadi di masyarakat"/>
    <s v="01.01"/>
    <x v="36"/>
    <s v="K12"/>
    <s v="F"/>
    <n v="70"/>
    <n v="0"/>
    <s v="Tidak tuntas"/>
    <s v="Pendidikan Pancasila"/>
    <x v="7"/>
    <x v="0"/>
    <s v=""/>
    <x v="0"/>
    <s v=""/>
    <x v="0"/>
    <x v="0"/>
    <x v="0"/>
  </r>
  <r>
    <n v="2119"/>
    <s v="232410002"/>
    <x v="2"/>
    <x v="15"/>
    <s v="Tolikara"/>
    <d v="2026-01-19T00:00:00"/>
    <s v="19"/>
    <x v="0"/>
    <s v="26"/>
    <x v="0"/>
    <x v="0"/>
    <x v="6"/>
    <s v="Real"/>
    <s v="Entrepreneur"/>
    <s v="Branding"/>
    <x v="0"/>
    <x v="2"/>
    <x v="3"/>
    <s v="F12.02.01"/>
    <n v="2"/>
    <s v="mennganalisis dinamika persatuan bangsa dan pengaruh IPTEK terhadap isu Papua"/>
    <s v="02.01"/>
    <x v="37"/>
    <s v="K12"/>
    <s v="F"/>
    <n v="70"/>
    <n v="85"/>
    <s v="Tuntas"/>
    <s v="Pendidikan Pancasila"/>
    <x v="7"/>
    <x v="10"/>
    <n v="85"/>
    <x v="2"/>
    <n v="12"/>
    <x v="0"/>
    <x v="2"/>
    <x v="3"/>
  </r>
  <r>
    <n v="2120"/>
    <s v="232410002"/>
    <x v="2"/>
    <x v="15"/>
    <s v="Tolikara"/>
    <d v="2026-01-19T00:00:00"/>
    <s v="19"/>
    <x v="0"/>
    <s v="26"/>
    <x v="2"/>
    <x v="6"/>
    <x v="6"/>
    <s v="Real"/>
    <s v="Entrepreneur"/>
    <s v="Branding"/>
    <x v="0"/>
    <x v="2"/>
    <x v="3"/>
    <s v="F12.02.01"/>
    <n v="2"/>
    <s v="mennganalisis dinamika persatuan bangsa dan pengaruh IPTEK terhadap isu Papua"/>
    <s v="02.01"/>
    <x v="37"/>
    <s v="K12"/>
    <s v="F"/>
    <n v="70"/>
    <n v="87"/>
    <s v="Tuntas"/>
    <s v="Pendidikan Pancasila"/>
    <x v="7"/>
    <x v="10"/>
    <n v="87"/>
    <x v="2"/>
    <n v="12"/>
    <x v="0"/>
    <x v="2"/>
    <x v="3"/>
  </r>
  <r>
    <n v="2121"/>
    <s v="232410002"/>
    <x v="2"/>
    <x v="15"/>
    <s v="Tolikara"/>
    <d v="2026-01-19T00:00:00"/>
    <s v="19"/>
    <x v="0"/>
    <s v="26"/>
    <x v="3"/>
    <x v="4"/>
    <x v="15"/>
    <s v="Real"/>
    <s v="Entrepreneur"/>
    <s v="Branding"/>
    <x v="0"/>
    <x v="2"/>
    <x v="3"/>
    <s v="F12.02.01"/>
    <n v="2"/>
    <s v="mennganalisis dinamika persatuan bangsa dan pengaruh IPTEK terhadap isu Papua"/>
    <s v="02.01"/>
    <x v="37"/>
    <s v="K12"/>
    <s v="F"/>
    <n v="70"/>
    <n v="75"/>
    <s v="Tuntas"/>
    <s v="Pendidikan Pancasila"/>
    <x v="7"/>
    <x v="10"/>
    <n v="75"/>
    <x v="1"/>
    <n v="12"/>
    <x v="1"/>
    <x v="2"/>
    <x v="3"/>
  </r>
  <r>
    <n v="2122"/>
    <s v="232410002"/>
    <x v="2"/>
    <x v="15"/>
    <s v="Tolikara"/>
    <d v="2026-01-19T00:00:00"/>
    <s v="19"/>
    <x v="0"/>
    <s v="26"/>
    <x v="4"/>
    <x v="5"/>
    <x v="0"/>
    <s v="Real"/>
    <s v="Entrepreneur"/>
    <s v="Branding"/>
    <x v="0"/>
    <x v="2"/>
    <x v="3"/>
    <s v="F12.02.01"/>
    <n v="2"/>
    <s v="mennganalisis dinamika persatuan bangsa dan pengaruh IPTEK terhadap isu Papua"/>
    <s v="02.01"/>
    <x v="37"/>
    <s v="K12"/>
    <s v="F"/>
    <n v="70"/>
    <n v="83"/>
    <s v="Tuntas"/>
    <s v="Pendidikan Pancasila"/>
    <x v="7"/>
    <x v="10"/>
    <n v="83"/>
    <x v="2"/>
    <n v="12"/>
    <x v="0"/>
    <x v="2"/>
    <x v="3"/>
  </r>
  <r>
    <n v="2123"/>
    <s v="232410002"/>
    <x v="2"/>
    <x v="15"/>
    <s v="Tolikara"/>
    <d v="2026-02-02T00:00:00"/>
    <s v="02"/>
    <x v="1"/>
    <s v="26"/>
    <x v="3"/>
    <x v="8"/>
    <x v="16"/>
    <s v="Real"/>
    <s v="Entrepreneur"/>
    <s v="Branding"/>
    <x v="0"/>
    <x v="2"/>
    <x v="3"/>
    <s v="F12.01.03"/>
    <n v="1"/>
    <s v="menjelaskan dinamika sosial yang terjadi di masyarakat"/>
    <s v="01.03"/>
    <x v="38"/>
    <s v="K12"/>
    <s v="F"/>
    <n v="70"/>
    <n v="80"/>
    <s v="Tuntas"/>
    <s v="Pendidikan Pancasila"/>
    <x v="7"/>
    <x v="10"/>
    <n v="80"/>
    <x v="2"/>
    <n v="12"/>
    <x v="2"/>
    <x v="4"/>
    <x v="3"/>
  </r>
  <r>
    <n v="2124"/>
    <s v="232410002"/>
    <x v="2"/>
    <x v="15"/>
    <s v="Tolikara"/>
    <d v="2026-02-02T00:00:00"/>
    <s v="02"/>
    <x v="1"/>
    <s v="26"/>
    <x v="1"/>
    <x v="14"/>
    <x v="6"/>
    <s v="Real"/>
    <s v="Entrepreneur"/>
    <s v="Branding"/>
    <x v="0"/>
    <x v="2"/>
    <x v="3"/>
    <s v="F12.01.03"/>
    <n v="1"/>
    <s v="menjelaskan dinamika sosial yang terjadi di masyarakat"/>
    <s v="01.03"/>
    <x v="38"/>
    <s v="K12"/>
    <s v="F"/>
    <n v="70"/>
    <n v="78"/>
    <s v="Tuntas"/>
    <s v="Pendidikan Pancasila"/>
    <x v="7"/>
    <x v="10"/>
    <n v="78"/>
    <x v="1"/>
    <n v="12"/>
    <x v="0"/>
    <x v="4"/>
    <x v="3"/>
  </r>
  <r>
    <n v="2125"/>
    <s v="232410002"/>
    <x v="2"/>
    <x v="15"/>
    <s v="Tolikara"/>
    <d v="2026-02-02T00:00:00"/>
    <s v="02"/>
    <x v="1"/>
    <s v="26"/>
    <x v="4"/>
    <x v="5"/>
    <x v="0"/>
    <s v="Real"/>
    <s v="Entrepreneur"/>
    <s v="Branding"/>
    <x v="0"/>
    <x v="2"/>
    <x v="3"/>
    <s v="F12.01.03"/>
    <n v="1"/>
    <s v="menjelaskan dinamika sosial yang terjadi di masyarakat"/>
    <s v="01.03"/>
    <x v="38"/>
    <s v="K12"/>
    <s v="F"/>
    <n v="70"/>
    <n v="76"/>
    <s v="Tuntas"/>
    <s v="Pendidikan Pancasila"/>
    <x v="7"/>
    <x v="10"/>
    <n v="76"/>
    <x v="1"/>
    <n v="12"/>
    <x v="0"/>
    <x v="4"/>
    <x v="3"/>
  </r>
  <r>
    <n v="2126"/>
    <s v="232410002"/>
    <x v="2"/>
    <x v="15"/>
    <s v="Tolikara"/>
    <d v="2026-02-02T00:00:00"/>
    <s v="02"/>
    <x v="1"/>
    <s v="26"/>
    <x v="2"/>
    <x v="6"/>
    <x v="6"/>
    <s v="Real"/>
    <s v="Entrepreneur"/>
    <s v="Branding"/>
    <x v="0"/>
    <x v="2"/>
    <x v="3"/>
    <s v="F12.01.03"/>
    <n v="1"/>
    <s v="menjelaskan dinamika sosial yang terjadi di masyarakat"/>
    <s v="01.03"/>
    <x v="38"/>
    <s v="K12"/>
    <s v="F"/>
    <n v="70"/>
    <n v="80"/>
    <s v="Tuntas"/>
    <s v="Pendidikan Pancasila"/>
    <x v="7"/>
    <x v="10"/>
    <n v="80"/>
    <x v="2"/>
    <n v="12"/>
    <x v="0"/>
    <x v="4"/>
    <x v="3"/>
  </r>
  <r>
    <n v="2127"/>
    <s v="232410002"/>
    <x v="2"/>
    <x v="15"/>
    <s v="Tolikara"/>
    <d v="2026-02-02T00:00:00"/>
    <s v="02"/>
    <x v="1"/>
    <s v="26"/>
    <x v="0"/>
    <x v="0"/>
    <x v="2"/>
    <s v="Real"/>
    <s v="Entrepreneur"/>
    <s v="Branding"/>
    <x v="0"/>
    <x v="2"/>
    <x v="3"/>
    <s v="F12.01.03"/>
    <n v="1"/>
    <s v="menjelaskan dinamika sosial yang terjadi di masyarakat"/>
    <s v="01.03"/>
    <x v="38"/>
    <s v="K12"/>
    <s v="F"/>
    <n v="70"/>
    <n v="83"/>
    <s v="Tuntas"/>
    <s v="Pendidikan Pancasila"/>
    <x v="7"/>
    <x v="10"/>
    <n v="83"/>
    <x v="2"/>
    <n v="12"/>
    <x v="0"/>
    <x v="4"/>
    <x v="3"/>
  </r>
  <r>
    <n v="2128"/>
    <s v="232410002"/>
    <x v="2"/>
    <x v="15"/>
    <s v="Tolikara"/>
    <d v="2026-02-06T00:00:00"/>
    <s v="06"/>
    <x v="1"/>
    <s v="26"/>
    <x v="1"/>
    <x v="13"/>
    <x v="6"/>
    <s v="Real"/>
    <s v="Entrepreneur"/>
    <s v="Branding"/>
    <x v="0"/>
    <x v="2"/>
    <x v="3"/>
    <s v="F12.01.04"/>
    <n v="1"/>
    <s v="menjelaskan dinamika sosial yang terjadi di masyarakat"/>
    <s v="01.04"/>
    <x v="39"/>
    <s v="K12"/>
    <s v="F"/>
    <n v="70"/>
    <n v="90"/>
    <s v="Tuntas"/>
    <s v="Pendidikan Pancasila"/>
    <x v="7"/>
    <x v="10"/>
    <n v="90"/>
    <x v="2"/>
    <n v="12"/>
    <x v="0"/>
    <x v="4"/>
    <x v="3"/>
  </r>
  <r>
    <n v="2129"/>
    <s v="232410002"/>
    <x v="2"/>
    <x v="15"/>
    <s v="Tolikara"/>
    <d v="2026-02-06T00:00:00"/>
    <s v="06"/>
    <x v="1"/>
    <s v="26"/>
    <x v="0"/>
    <x v="0"/>
    <x v="6"/>
    <s v="Real"/>
    <s v="Entrepreneur"/>
    <s v="Branding"/>
    <x v="0"/>
    <x v="2"/>
    <x v="3"/>
    <s v="F12.01.03"/>
    <n v="1"/>
    <s v="menjelaskan dinamika sosial yang terjadi di masyarakat"/>
    <s v="01.03"/>
    <x v="38"/>
    <s v="K12"/>
    <s v="F"/>
    <n v="70"/>
    <n v="90"/>
    <s v="Tuntas"/>
    <s v="Pendidikan Pancasila"/>
    <x v="7"/>
    <x v="10"/>
    <n v="90"/>
    <x v="2"/>
    <n v="12"/>
    <x v="0"/>
    <x v="4"/>
    <x v="3"/>
  </r>
  <r>
    <n v="2130"/>
    <s v="232410003"/>
    <x v="2"/>
    <x v="16"/>
    <s v="Dogiyai"/>
    <d v="2026-01-12T00:00:00"/>
    <s v="12"/>
    <x v="0"/>
    <s v="26"/>
    <x v="3"/>
    <x v="4"/>
    <x v="5"/>
    <s v="Real"/>
    <s v="Entrepreneur"/>
    <s v="Branding"/>
    <x v="0"/>
    <x v="2"/>
    <x v="3"/>
    <s v="F12.01.01"/>
    <n v="1"/>
    <s v="menjelaskan dinamika sosial yang terjadi di masyarakat"/>
    <s v="01.01"/>
    <x v="36"/>
    <s v="K12"/>
    <s v="F"/>
    <n v="70"/>
    <n v="76"/>
    <s v="Tuntas"/>
    <s v="Pendidikan Pancasila"/>
    <x v="7"/>
    <x v="10"/>
    <n v="76"/>
    <x v="1"/>
    <n v="12"/>
    <x v="1"/>
    <x v="1"/>
    <x v="4"/>
  </r>
  <r>
    <n v="2131"/>
    <s v="232410003"/>
    <x v="2"/>
    <x v="16"/>
    <s v="Dogiyai"/>
    <d v="2026-01-12T00:00:00"/>
    <s v="12"/>
    <x v="0"/>
    <s v="26"/>
    <x v="4"/>
    <x v="5"/>
    <x v="0"/>
    <s v="Real"/>
    <s v="Entrepreneur"/>
    <s v="Branding"/>
    <x v="0"/>
    <x v="2"/>
    <x v="3"/>
    <s v="F12.01.01"/>
    <n v="1"/>
    <s v="menjelaskan dinamika sosial yang terjadi di masyarakat"/>
    <s v="01.01"/>
    <x v="36"/>
    <s v="K12"/>
    <s v="F"/>
    <n v="70"/>
    <n v="78"/>
    <s v="Tuntas"/>
    <s v="Pendidikan Pancasila"/>
    <x v="7"/>
    <x v="10"/>
    <n v="78"/>
    <x v="1"/>
    <n v="12"/>
    <x v="0"/>
    <x v="1"/>
    <x v="4"/>
  </r>
  <r>
    <n v="2132"/>
    <s v="232410003"/>
    <x v="2"/>
    <x v="16"/>
    <s v="Dogiyai"/>
    <d v="2026-01-12T00:00:00"/>
    <s v="12"/>
    <x v="0"/>
    <s v="26"/>
    <x v="2"/>
    <x v="6"/>
    <x v="6"/>
    <s v="Real"/>
    <s v="Entrepreneur"/>
    <s v="Branding"/>
    <x v="0"/>
    <x v="2"/>
    <x v="3"/>
    <s v="F12.01.01"/>
    <n v="1"/>
    <s v="menjelaskan dinamika sosial yang terjadi di masyarakat"/>
    <s v="01.01"/>
    <x v="36"/>
    <s v="K12"/>
    <s v="F"/>
    <n v="70"/>
    <n v="70"/>
    <s v="Tuntas"/>
    <s v="Pendidikan Pancasila"/>
    <x v="7"/>
    <x v="10"/>
    <n v="70"/>
    <x v="1"/>
    <n v="12"/>
    <x v="0"/>
    <x v="1"/>
    <x v="4"/>
  </r>
  <r>
    <n v="2133"/>
    <s v="232410003"/>
    <x v="2"/>
    <x v="16"/>
    <s v="Dogiyai"/>
    <d v="2026-01-12T00:00:00"/>
    <s v="12"/>
    <x v="0"/>
    <s v="26"/>
    <x v="0"/>
    <x v="0"/>
    <x v="6"/>
    <s v="Real"/>
    <s v="Entrepreneur"/>
    <s v="Branding"/>
    <x v="0"/>
    <x v="2"/>
    <x v="3"/>
    <s v="F12.01.01"/>
    <n v="1"/>
    <s v="menjelaskan dinamika sosial yang terjadi di masyarakat"/>
    <s v="01.01"/>
    <x v="36"/>
    <s v="K12"/>
    <s v="F"/>
    <n v="70"/>
    <n v="70"/>
    <s v="Tuntas"/>
    <s v="Pendidikan Pancasila"/>
    <x v="7"/>
    <x v="10"/>
    <n v="70"/>
    <x v="1"/>
    <n v="12"/>
    <x v="0"/>
    <x v="1"/>
    <x v="4"/>
  </r>
  <r>
    <n v="2134"/>
    <s v="232410003"/>
    <x v="2"/>
    <x v="16"/>
    <s v="Dogiyai"/>
    <d v="2026-01-16T00:00:00"/>
    <s v="16"/>
    <x v="0"/>
    <s v="26"/>
    <x v="0"/>
    <x v="0"/>
    <x v="6"/>
    <s v="Remedial"/>
    <s v="Entrepreneur"/>
    <s v="Branding"/>
    <x v="0"/>
    <x v="2"/>
    <x v="3"/>
    <s v="F12.01.01"/>
    <n v="1"/>
    <s v="menjelaskan dinamika sosial yang terjadi di masyarakat"/>
    <s v="01.01"/>
    <x v="36"/>
    <s v="K12"/>
    <s v="F"/>
    <n v="70"/>
    <n v="0"/>
    <s v="Tidak tuntas"/>
    <s v="Pendidikan Pancasila"/>
    <x v="7"/>
    <x v="0"/>
    <s v=""/>
    <x v="0"/>
    <s v=""/>
    <x v="0"/>
    <x v="0"/>
    <x v="0"/>
  </r>
  <r>
    <n v="2135"/>
    <s v="232410003"/>
    <x v="2"/>
    <x v="16"/>
    <s v="Dogiyai"/>
    <d v="2026-01-19T00:00:00"/>
    <s v="19"/>
    <x v="0"/>
    <s v="26"/>
    <x v="0"/>
    <x v="0"/>
    <x v="6"/>
    <s v="Real"/>
    <s v="Entrepreneur"/>
    <s v="Branding"/>
    <x v="0"/>
    <x v="2"/>
    <x v="3"/>
    <s v="F12.02.01"/>
    <n v="2"/>
    <s v="mennganalisis dinamika persatuan bangsa dan pengaruh IPTEK terhadap isu Papua"/>
    <s v="02.01"/>
    <x v="37"/>
    <s v="K12"/>
    <s v="F"/>
    <n v="70"/>
    <n v="82"/>
    <s v="Tuntas"/>
    <s v="Pendidikan Pancasila"/>
    <x v="7"/>
    <x v="10"/>
    <n v="82"/>
    <x v="2"/>
    <n v="12"/>
    <x v="0"/>
    <x v="2"/>
    <x v="4"/>
  </r>
  <r>
    <n v="2136"/>
    <s v="232410003"/>
    <x v="2"/>
    <x v="16"/>
    <s v="Dogiyai"/>
    <d v="2026-01-19T00:00:00"/>
    <s v="19"/>
    <x v="0"/>
    <s v="26"/>
    <x v="2"/>
    <x v="6"/>
    <x v="6"/>
    <s v="Real"/>
    <s v="Entrepreneur"/>
    <s v="Branding"/>
    <x v="0"/>
    <x v="2"/>
    <x v="3"/>
    <s v="F12.02.01"/>
    <n v="2"/>
    <s v="mennganalisis dinamika persatuan bangsa dan pengaruh IPTEK terhadap isu Papua"/>
    <s v="02.01"/>
    <x v="37"/>
    <s v="K12"/>
    <s v="F"/>
    <n v="70"/>
    <n v="80"/>
    <s v="Tuntas"/>
    <s v="Pendidikan Pancasila"/>
    <x v="7"/>
    <x v="10"/>
    <n v="80"/>
    <x v="2"/>
    <n v="12"/>
    <x v="0"/>
    <x v="2"/>
    <x v="4"/>
  </r>
  <r>
    <n v="2137"/>
    <s v="232410003"/>
    <x v="2"/>
    <x v="16"/>
    <s v="Dogiyai"/>
    <d v="2026-01-19T00:00:00"/>
    <s v="19"/>
    <x v="0"/>
    <s v="26"/>
    <x v="3"/>
    <x v="4"/>
    <x v="15"/>
    <s v="Real"/>
    <s v="Entrepreneur"/>
    <s v="Branding"/>
    <x v="0"/>
    <x v="2"/>
    <x v="3"/>
    <s v="F12.02.01"/>
    <n v="2"/>
    <s v="mennganalisis dinamika persatuan bangsa dan pengaruh IPTEK terhadap isu Papua"/>
    <s v="02.01"/>
    <x v="37"/>
    <s v="K12"/>
    <s v="F"/>
    <n v="70"/>
    <n v="75"/>
    <s v="Tuntas"/>
    <s v="Pendidikan Pancasila"/>
    <x v="7"/>
    <x v="10"/>
    <n v="75"/>
    <x v="1"/>
    <n v="12"/>
    <x v="1"/>
    <x v="2"/>
    <x v="4"/>
  </r>
  <r>
    <n v="2138"/>
    <s v="232410003"/>
    <x v="2"/>
    <x v="16"/>
    <s v="Dogiyai"/>
    <d v="2026-01-19T00:00:00"/>
    <s v="19"/>
    <x v="0"/>
    <s v="26"/>
    <x v="4"/>
    <x v="5"/>
    <x v="0"/>
    <s v="Real"/>
    <s v="Entrepreneur"/>
    <s v="Branding"/>
    <x v="0"/>
    <x v="2"/>
    <x v="3"/>
    <s v="F12.02.01"/>
    <n v="2"/>
    <s v="mennganalisis dinamika persatuan bangsa dan pengaruh IPTEK terhadap isu Papua"/>
    <s v="02.01"/>
    <x v="37"/>
    <s v="K12"/>
    <s v="F"/>
    <n v="70"/>
    <n v="78"/>
    <s v="Tuntas"/>
    <s v="Pendidikan Pancasila"/>
    <x v="7"/>
    <x v="10"/>
    <n v="78"/>
    <x v="1"/>
    <n v="12"/>
    <x v="0"/>
    <x v="2"/>
    <x v="4"/>
  </r>
  <r>
    <n v="2139"/>
    <s v="232410003"/>
    <x v="2"/>
    <x v="16"/>
    <s v="Dogiyai"/>
    <d v="2026-02-02T00:00:00"/>
    <s v="02"/>
    <x v="1"/>
    <s v="26"/>
    <x v="3"/>
    <x v="8"/>
    <x v="16"/>
    <s v="Real"/>
    <s v="Entrepreneur"/>
    <s v="Branding"/>
    <x v="0"/>
    <x v="2"/>
    <x v="3"/>
    <s v="F12.01.03"/>
    <n v="1"/>
    <s v="menjelaskan dinamika sosial yang terjadi di masyarakat"/>
    <s v="01.03"/>
    <x v="38"/>
    <s v="K12"/>
    <s v="F"/>
    <n v="70"/>
    <n v="80"/>
    <s v="Tuntas"/>
    <s v="Pendidikan Pancasila"/>
    <x v="7"/>
    <x v="10"/>
    <n v="80"/>
    <x v="2"/>
    <n v="12"/>
    <x v="2"/>
    <x v="4"/>
    <x v="4"/>
  </r>
  <r>
    <n v="2140"/>
    <s v="232410003"/>
    <x v="2"/>
    <x v="16"/>
    <s v="Dogiyai"/>
    <d v="2026-02-02T00:00:00"/>
    <s v="02"/>
    <x v="1"/>
    <s v="26"/>
    <x v="1"/>
    <x v="14"/>
    <x v="6"/>
    <s v="Real"/>
    <s v="Entrepreneur"/>
    <s v="Branding"/>
    <x v="0"/>
    <x v="2"/>
    <x v="3"/>
    <s v="F12.01.03"/>
    <n v="1"/>
    <s v="menjelaskan dinamika sosial yang terjadi di masyarakat"/>
    <s v="01.03"/>
    <x v="38"/>
    <s v="K12"/>
    <s v="F"/>
    <n v="70"/>
    <n v="80"/>
    <s v="Tuntas"/>
    <s v="Pendidikan Pancasila"/>
    <x v="7"/>
    <x v="10"/>
    <n v="80"/>
    <x v="2"/>
    <n v="12"/>
    <x v="0"/>
    <x v="4"/>
    <x v="4"/>
  </r>
  <r>
    <n v="2141"/>
    <s v="232410003"/>
    <x v="2"/>
    <x v="16"/>
    <s v="Dogiyai"/>
    <d v="2026-02-02T00:00:00"/>
    <s v="02"/>
    <x v="1"/>
    <s v="26"/>
    <x v="4"/>
    <x v="5"/>
    <x v="0"/>
    <s v="Real"/>
    <s v="Entrepreneur"/>
    <s v="Branding"/>
    <x v="0"/>
    <x v="2"/>
    <x v="3"/>
    <s v="F12.01.03"/>
    <n v="1"/>
    <s v="menjelaskan dinamika sosial yang terjadi di masyarakat"/>
    <s v="01.03"/>
    <x v="38"/>
    <s v="K12"/>
    <s v="F"/>
    <n v="70"/>
    <n v="78"/>
    <s v="Tuntas"/>
    <s v="Pendidikan Pancasila"/>
    <x v="7"/>
    <x v="10"/>
    <n v="78"/>
    <x v="1"/>
    <n v="12"/>
    <x v="0"/>
    <x v="4"/>
    <x v="4"/>
  </r>
  <r>
    <n v="2142"/>
    <s v="232410003"/>
    <x v="2"/>
    <x v="16"/>
    <s v="Dogiyai"/>
    <d v="2026-02-02T00:00:00"/>
    <s v="02"/>
    <x v="1"/>
    <s v="26"/>
    <x v="2"/>
    <x v="6"/>
    <x v="6"/>
    <s v="Real"/>
    <s v="Entrepreneur"/>
    <s v="Branding"/>
    <x v="0"/>
    <x v="2"/>
    <x v="3"/>
    <s v="F12.01.03"/>
    <n v="1"/>
    <s v="menjelaskan dinamika sosial yang terjadi di masyarakat"/>
    <s v="01.03"/>
    <x v="38"/>
    <s v="K12"/>
    <s v="F"/>
    <n v="70"/>
    <n v="75"/>
    <s v="Tuntas"/>
    <s v="Pendidikan Pancasila"/>
    <x v="7"/>
    <x v="10"/>
    <n v="75"/>
    <x v="1"/>
    <n v="12"/>
    <x v="0"/>
    <x v="4"/>
    <x v="4"/>
  </r>
  <r>
    <n v="2143"/>
    <s v="232410003"/>
    <x v="2"/>
    <x v="16"/>
    <s v="Dogiyai"/>
    <d v="2026-02-02T00:00:00"/>
    <s v="02"/>
    <x v="1"/>
    <s v="26"/>
    <x v="0"/>
    <x v="0"/>
    <x v="2"/>
    <s v="Real"/>
    <s v="Entrepreneur"/>
    <s v="Branding"/>
    <x v="0"/>
    <x v="2"/>
    <x v="3"/>
    <s v="F12.01.03"/>
    <n v="1"/>
    <s v="menjelaskan dinamika sosial yang terjadi di masyarakat"/>
    <s v="01.03"/>
    <x v="38"/>
    <s v="K12"/>
    <s v="F"/>
    <n v="70"/>
    <n v="76"/>
    <s v="Tuntas"/>
    <s v="Pendidikan Pancasila"/>
    <x v="7"/>
    <x v="10"/>
    <n v="76"/>
    <x v="1"/>
    <n v="12"/>
    <x v="0"/>
    <x v="4"/>
    <x v="4"/>
  </r>
  <r>
    <n v="2144"/>
    <s v="232410003"/>
    <x v="2"/>
    <x v="16"/>
    <s v="Dogiyai"/>
    <d v="2026-02-06T00:00:00"/>
    <s v="06"/>
    <x v="1"/>
    <s v="26"/>
    <x v="1"/>
    <x v="13"/>
    <x v="6"/>
    <s v="Real"/>
    <s v="Entrepreneur"/>
    <s v="Branding"/>
    <x v="0"/>
    <x v="2"/>
    <x v="3"/>
    <s v="F12.01.04"/>
    <n v="1"/>
    <s v="menjelaskan dinamika sosial yang terjadi di masyarakat"/>
    <s v="01.04"/>
    <x v="39"/>
    <s v="K12"/>
    <s v="F"/>
    <n v="70"/>
    <n v="70"/>
    <s v="Tuntas"/>
    <s v="Pendidikan Pancasila"/>
    <x v="7"/>
    <x v="10"/>
    <n v="70"/>
    <x v="1"/>
    <n v="12"/>
    <x v="0"/>
    <x v="4"/>
    <x v="4"/>
  </r>
  <r>
    <n v="2145"/>
    <s v="232410003"/>
    <x v="2"/>
    <x v="16"/>
    <s v="Dogiyai"/>
    <d v="2026-02-06T00:00:00"/>
    <s v="06"/>
    <x v="1"/>
    <s v="26"/>
    <x v="0"/>
    <x v="0"/>
    <x v="6"/>
    <s v="Real"/>
    <s v="Entrepreneur"/>
    <s v="Branding"/>
    <x v="0"/>
    <x v="2"/>
    <x v="3"/>
    <s v="F12.01.03"/>
    <n v="1"/>
    <s v="menjelaskan dinamika sosial yang terjadi di masyarakat"/>
    <s v="01.03"/>
    <x v="38"/>
    <s v="K12"/>
    <s v="F"/>
    <n v="70"/>
    <n v="74"/>
    <s v="Tuntas"/>
    <s v="Pendidikan Pancasila"/>
    <x v="7"/>
    <x v="10"/>
    <n v="74"/>
    <x v="1"/>
    <n v="12"/>
    <x v="0"/>
    <x v="4"/>
    <x v="4"/>
  </r>
  <r>
    <n v="2146"/>
    <s v="232410004"/>
    <x v="2"/>
    <x v="17"/>
    <s v="Intan Jaya"/>
    <d v="2026-01-12T00:00:00"/>
    <s v="12"/>
    <x v="0"/>
    <s v="26"/>
    <x v="3"/>
    <x v="4"/>
    <x v="5"/>
    <s v="Real"/>
    <s v="Entrepreneur"/>
    <s v="Branding"/>
    <x v="0"/>
    <x v="2"/>
    <x v="3"/>
    <s v="F12.01.01"/>
    <n v="1"/>
    <s v="menjelaskan dinamika sosial yang terjadi di masyarakat"/>
    <s v="01.01"/>
    <x v="36"/>
    <s v="K12"/>
    <s v="F"/>
    <n v="70"/>
    <n v="76"/>
    <s v="Tuntas"/>
    <s v="Pendidikan Pancasila"/>
    <x v="7"/>
    <x v="10"/>
    <n v="76"/>
    <x v="1"/>
    <n v="12"/>
    <x v="1"/>
    <x v="1"/>
    <x v="2"/>
  </r>
  <r>
    <n v="2147"/>
    <s v="232410004"/>
    <x v="2"/>
    <x v="17"/>
    <s v="Intan Jaya"/>
    <d v="2026-01-12T00:00:00"/>
    <s v="12"/>
    <x v="0"/>
    <s v="26"/>
    <x v="4"/>
    <x v="5"/>
    <x v="0"/>
    <s v="Real"/>
    <s v="Entrepreneur"/>
    <s v="Branding"/>
    <x v="0"/>
    <x v="2"/>
    <x v="3"/>
    <s v="F12.01.01"/>
    <n v="1"/>
    <s v="menjelaskan dinamika sosial yang terjadi di masyarakat"/>
    <s v="01.01"/>
    <x v="36"/>
    <s v="K12"/>
    <s v="F"/>
    <n v="70"/>
    <n v="74"/>
    <s v="Tuntas"/>
    <s v="Pendidikan Pancasila"/>
    <x v="7"/>
    <x v="10"/>
    <n v="74"/>
    <x v="1"/>
    <n v="12"/>
    <x v="0"/>
    <x v="1"/>
    <x v="2"/>
  </r>
  <r>
    <n v="2148"/>
    <s v="232410004"/>
    <x v="2"/>
    <x v="17"/>
    <s v="Intan Jaya"/>
    <d v="2026-01-12T00:00:00"/>
    <s v="12"/>
    <x v="0"/>
    <s v="26"/>
    <x v="2"/>
    <x v="6"/>
    <x v="6"/>
    <s v="Real"/>
    <s v="Entrepreneur"/>
    <s v="Branding"/>
    <x v="0"/>
    <x v="2"/>
    <x v="3"/>
    <s v="F12.01.01"/>
    <n v="1"/>
    <s v="menjelaskan dinamika sosial yang terjadi di masyarakat"/>
    <s v="01.01"/>
    <x v="36"/>
    <s v="K12"/>
    <s v="F"/>
    <n v="70"/>
    <n v="65"/>
    <s v="Tidak tuntas"/>
    <s v="Pendidikan Pancasila"/>
    <x v="7"/>
    <x v="10"/>
    <n v="65"/>
    <x v="3"/>
    <n v="12"/>
    <x v="0"/>
    <x v="1"/>
    <x v="2"/>
  </r>
  <r>
    <n v="2149"/>
    <s v="232410004"/>
    <x v="2"/>
    <x v="17"/>
    <s v="Intan Jaya"/>
    <d v="2026-01-12T00:00:00"/>
    <s v="12"/>
    <x v="0"/>
    <s v="26"/>
    <x v="0"/>
    <x v="0"/>
    <x v="6"/>
    <s v="Real"/>
    <s v="Entrepreneur"/>
    <s v="Branding"/>
    <x v="0"/>
    <x v="2"/>
    <x v="3"/>
    <s v="F12.01.01"/>
    <n v="1"/>
    <s v="menjelaskan dinamika sosial yang terjadi di masyarakat"/>
    <s v="01.01"/>
    <x v="36"/>
    <s v="K12"/>
    <s v="F"/>
    <n v="70"/>
    <n v="45"/>
    <s v="Tidak tuntas"/>
    <s v="Pendidikan Pancasila"/>
    <x v="7"/>
    <x v="10"/>
    <n v="45"/>
    <x v="3"/>
    <n v="12"/>
    <x v="0"/>
    <x v="1"/>
    <x v="2"/>
  </r>
  <r>
    <n v="2150"/>
    <s v="232410004"/>
    <x v="2"/>
    <x v="17"/>
    <s v="Intan Jaya"/>
    <d v="2026-01-16T00:00:00"/>
    <s v="16"/>
    <x v="0"/>
    <s v="26"/>
    <x v="0"/>
    <x v="0"/>
    <x v="6"/>
    <s v="Remedial"/>
    <s v="Entrepreneur"/>
    <s v="Branding"/>
    <x v="0"/>
    <x v="2"/>
    <x v="3"/>
    <s v="F12.01.01"/>
    <n v="1"/>
    <s v="menjelaskan dinamika sosial yang terjadi di masyarakat"/>
    <s v="01.01"/>
    <x v="36"/>
    <s v="K12"/>
    <s v="F"/>
    <n v="70"/>
    <n v="72"/>
    <s v="Tuntas"/>
    <s v="Pendidikan Pancasila"/>
    <x v="7"/>
    <x v="10"/>
    <n v="72"/>
    <x v="1"/>
    <n v="12"/>
    <x v="0"/>
    <x v="1"/>
    <x v="2"/>
  </r>
  <r>
    <n v="2151"/>
    <s v="232410004"/>
    <x v="2"/>
    <x v="17"/>
    <s v="Intan Jaya"/>
    <d v="2026-01-19T00:00:00"/>
    <s v="19"/>
    <x v="0"/>
    <s v="26"/>
    <x v="0"/>
    <x v="0"/>
    <x v="6"/>
    <s v="Real"/>
    <s v="Entrepreneur"/>
    <s v="Branding"/>
    <x v="0"/>
    <x v="2"/>
    <x v="3"/>
    <s v="F12.02.01"/>
    <n v="2"/>
    <s v="mennganalisis dinamika persatuan bangsa dan pengaruh IPTEK terhadap isu Papua"/>
    <s v="02.01"/>
    <x v="37"/>
    <s v="K12"/>
    <s v="F"/>
    <n v="70"/>
    <n v="70"/>
    <s v="Tuntas"/>
    <s v="Pendidikan Pancasila"/>
    <x v="7"/>
    <x v="10"/>
    <n v="70"/>
    <x v="1"/>
    <n v="12"/>
    <x v="0"/>
    <x v="2"/>
    <x v="2"/>
  </r>
  <r>
    <n v="2152"/>
    <s v="232410004"/>
    <x v="2"/>
    <x v="17"/>
    <s v="Intan Jaya"/>
    <d v="2026-01-19T00:00:00"/>
    <s v="19"/>
    <x v="0"/>
    <s v="26"/>
    <x v="2"/>
    <x v="6"/>
    <x v="6"/>
    <s v="Real"/>
    <s v="Entrepreneur"/>
    <s v="Branding"/>
    <x v="0"/>
    <x v="2"/>
    <x v="3"/>
    <s v="F12.02.01"/>
    <n v="2"/>
    <s v="mennganalisis dinamika persatuan bangsa dan pengaruh IPTEK terhadap isu Papua"/>
    <s v="02.01"/>
    <x v="37"/>
    <s v="K12"/>
    <s v="F"/>
    <n v="70"/>
    <n v="70"/>
    <s v="Tuntas"/>
    <s v="Pendidikan Pancasila"/>
    <x v="7"/>
    <x v="10"/>
    <n v="70"/>
    <x v="1"/>
    <n v="12"/>
    <x v="0"/>
    <x v="2"/>
    <x v="2"/>
  </r>
  <r>
    <n v="2153"/>
    <s v="232410004"/>
    <x v="2"/>
    <x v="17"/>
    <s v="Intan Jaya"/>
    <d v="2026-01-19T00:00:00"/>
    <s v="19"/>
    <x v="0"/>
    <s v="26"/>
    <x v="3"/>
    <x v="4"/>
    <x v="15"/>
    <s v="Real"/>
    <s v="Entrepreneur"/>
    <s v="Branding"/>
    <x v="0"/>
    <x v="2"/>
    <x v="3"/>
    <s v="F12.02.01"/>
    <n v="2"/>
    <s v="mennganalisis dinamika persatuan bangsa dan pengaruh IPTEK terhadap isu Papua"/>
    <s v="02.01"/>
    <x v="37"/>
    <s v="K12"/>
    <s v="F"/>
    <n v="70"/>
    <n v="76"/>
    <s v="Tuntas"/>
    <s v="Pendidikan Pancasila"/>
    <x v="7"/>
    <x v="10"/>
    <n v="76"/>
    <x v="1"/>
    <n v="12"/>
    <x v="1"/>
    <x v="2"/>
    <x v="2"/>
  </r>
  <r>
    <n v="2154"/>
    <s v="232410004"/>
    <x v="2"/>
    <x v="17"/>
    <s v="Intan Jaya"/>
    <d v="2026-01-19T00:00:00"/>
    <s v="19"/>
    <x v="0"/>
    <s v="26"/>
    <x v="4"/>
    <x v="5"/>
    <x v="0"/>
    <s v="Real"/>
    <s v="Entrepreneur"/>
    <s v="Branding"/>
    <x v="0"/>
    <x v="2"/>
    <x v="3"/>
    <s v="F12.02.01"/>
    <n v="2"/>
    <s v="mennganalisis dinamika persatuan bangsa dan pengaruh IPTEK terhadap isu Papua"/>
    <s v="02.01"/>
    <x v="37"/>
    <s v="K12"/>
    <s v="F"/>
    <n v="70"/>
    <n v="76"/>
    <s v="Tuntas"/>
    <s v="Pendidikan Pancasila"/>
    <x v="7"/>
    <x v="10"/>
    <n v="76"/>
    <x v="1"/>
    <n v="12"/>
    <x v="0"/>
    <x v="2"/>
    <x v="2"/>
  </r>
  <r>
    <n v="2155"/>
    <s v="232410004"/>
    <x v="2"/>
    <x v="17"/>
    <s v="Intan Jaya"/>
    <d v="2026-02-02T00:00:00"/>
    <s v="02"/>
    <x v="1"/>
    <s v="26"/>
    <x v="3"/>
    <x v="8"/>
    <x v="16"/>
    <s v="Real"/>
    <s v="Entrepreneur"/>
    <s v="Branding"/>
    <x v="0"/>
    <x v="2"/>
    <x v="3"/>
    <s v="F12.01.03"/>
    <n v="1"/>
    <s v="menjelaskan dinamika sosial yang terjadi di masyarakat"/>
    <s v="01.03"/>
    <x v="38"/>
    <s v="K12"/>
    <s v="F"/>
    <n v="70"/>
    <n v="78"/>
    <s v="Tuntas"/>
    <s v="Pendidikan Pancasila"/>
    <x v="7"/>
    <x v="10"/>
    <n v="78"/>
    <x v="1"/>
    <n v="12"/>
    <x v="1"/>
    <x v="4"/>
    <x v="2"/>
  </r>
  <r>
    <n v="2156"/>
    <s v="232410004"/>
    <x v="2"/>
    <x v="17"/>
    <s v="Intan Jaya"/>
    <d v="2026-02-02T00:00:00"/>
    <s v="02"/>
    <x v="1"/>
    <s v="26"/>
    <x v="1"/>
    <x v="14"/>
    <x v="6"/>
    <s v="Real"/>
    <s v="Entrepreneur"/>
    <s v="Branding"/>
    <x v="0"/>
    <x v="2"/>
    <x v="3"/>
    <s v="F12.01.03"/>
    <n v="1"/>
    <s v="menjelaskan dinamika sosial yang terjadi di masyarakat"/>
    <s v="01.03"/>
    <x v="38"/>
    <s v="K12"/>
    <s v="F"/>
    <n v="70"/>
    <n v="78"/>
    <s v="Tuntas"/>
    <s v="Pendidikan Pancasila"/>
    <x v="7"/>
    <x v="10"/>
    <n v="78"/>
    <x v="1"/>
    <n v="12"/>
    <x v="0"/>
    <x v="4"/>
    <x v="2"/>
  </r>
  <r>
    <n v="2157"/>
    <s v="232410004"/>
    <x v="2"/>
    <x v="17"/>
    <s v="Intan Jaya"/>
    <d v="2026-02-02T00:00:00"/>
    <s v="02"/>
    <x v="1"/>
    <s v="26"/>
    <x v="4"/>
    <x v="5"/>
    <x v="0"/>
    <s v="Real"/>
    <s v="Entrepreneur"/>
    <s v="Branding"/>
    <x v="0"/>
    <x v="2"/>
    <x v="3"/>
    <s v="F12.01.03"/>
    <n v="1"/>
    <s v="menjelaskan dinamika sosial yang terjadi di masyarakat"/>
    <s v="01.03"/>
    <x v="38"/>
    <s v="K12"/>
    <s v="F"/>
    <n v="70"/>
    <n v="78"/>
    <s v="Tuntas"/>
    <s v="Pendidikan Pancasila"/>
    <x v="7"/>
    <x v="10"/>
    <n v="78"/>
    <x v="1"/>
    <n v="12"/>
    <x v="0"/>
    <x v="4"/>
    <x v="2"/>
  </r>
  <r>
    <n v="2158"/>
    <s v="232410004"/>
    <x v="2"/>
    <x v="17"/>
    <s v="Intan Jaya"/>
    <d v="2026-02-02T00:00:00"/>
    <s v="02"/>
    <x v="1"/>
    <s v="26"/>
    <x v="2"/>
    <x v="6"/>
    <x v="6"/>
    <s v="Real"/>
    <s v="Entrepreneur"/>
    <s v="Branding"/>
    <x v="0"/>
    <x v="2"/>
    <x v="3"/>
    <s v="F12.01.03"/>
    <n v="1"/>
    <s v="menjelaskan dinamika sosial yang terjadi di masyarakat"/>
    <s v="01.03"/>
    <x v="38"/>
    <s v="K12"/>
    <s v="F"/>
    <n v="70"/>
    <n v="68"/>
    <s v="Tidak tuntas"/>
    <s v="Pendidikan Pancasila"/>
    <x v="7"/>
    <x v="10"/>
    <n v="68"/>
    <x v="3"/>
    <n v="12"/>
    <x v="0"/>
    <x v="4"/>
    <x v="2"/>
  </r>
  <r>
    <n v="2159"/>
    <s v="232410004"/>
    <x v="2"/>
    <x v="17"/>
    <s v="Intan Jaya"/>
    <d v="2026-02-02T00:00:00"/>
    <s v="02"/>
    <x v="1"/>
    <s v="26"/>
    <x v="0"/>
    <x v="0"/>
    <x v="2"/>
    <s v="Real"/>
    <s v="Entrepreneur"/>
    <s v="Branding"/>
    <x v="0"/>
    <x v="2"/>
    <x v="3"/>
    <s v="F12.01.03"/>
    <n v="1"/>
    <s v="menjelaskan dinamika sosial yang terjadi di masyarakat"/>
    <s v="01.03"/>
    <x v="38"/>
    <s v="K12"/>
    <s v="F"/>
    <n v="70"/>
    <n v="67"/>
    <s v="Tidak tuntas"/>
    <s v="Pendidikan Pancasila"/>
    <x v="7"/>
    <x v="10"/>
    <n v="67"/>
    <x v="3"/>
    <n v="12"/>
    <x v="0"/>
    <x v="4"/>
    <x v="2"/>
  </r>
  <r>
    <n v="2160"/>
    <s v="232410004"/>
    <x v="2"/>
    <x v="17"/>
    <s v="Intan Jaya"/>
    <d v="2026-02-06T00:00:00"/>
    <s v="06"/>
    <x v="1"/>
    <s v="26"/>
    <x v="1"/>
    <x v="13"/>
    <x v="6"/>
    <s v="Real"/>
    <s v="Entrepreneur"/>
    <s v="Branding"/>
    <x v="0"/>
    <x v="2"/>
    <x v="3"/>
    <s v="F12.01.04"/>
    <n v="1"/>
    <s v="menjelaskan dinamika sosial yang terjadi di masyarakat"/>
    <s v="01.04"/>
    <x v="39"/>
    <s v="K12"/>
    <s v="F"/>
    <n v="70"/>
    <n v="70"/>
    <s v="Tuntas"/>
    <s v="Pendidikan Pancasila"/>
    <x v="7"/>
    <x v="10"/>
    <n v="70"/>
    <x v="1"/>
    <n v="12"/>
    <x v="0"/>
    <x v="4"/>
    <x v="2"/>
  </r>
  <r>
    <n v="2161"/>
    <s v="232410004"/>
    <x v="2"/>
    <x v="17"/>
    <s v="Intan Jaya"/>
    <d v="2026-02-06T00:00:00"/>
    <s v="06"/>
    <x v="1"/>
    <s v="26"/>
    <x v="0"/>
    <x v="0"/>
    <x v="6"/>
    <s v="Real"/>
    <s v="Entrepreneur"/>
    <s v="Branding"/>
    <x v="0"/>
    <x v="2"/>
    <x v="3"/>
    <s v="F12.01.03"/>
    <n v="1"/>
    <s v="menjelaskan dinamika sosial yang terjadi di masyarakat"/>
    <s v="01.03"/>
    <x v="38"/>
    <s v="K12"/>
    <s v="F"/>
    <n v="70"/>
    <n v="70"/>
    <s v="Tuntas"/>
    <s v="Pendidikan Pancasila"/>
    <x v="7"/>
    <x v="10"/>
    <n v="70"/>
    <x v="1"/>
    <n v="12"/>
    <x v="0"/>
    <x v="4"/>
    <x v="2"/>
  </r>
  <r>
    <n v="2162"/>
    <s v="232410005"/>
    <x v="2"/>
    <x v="13"/>
    <s v="Asmat"/>
    <d v="2026-01-12T00:00:00"/>
    <s v="12"/>
    <x v="0"/>
    <s v="26"/>
    <x v="3"/>
    <x v="4"/>
    <x v="5"/>
    <s v="Real"/>
    <s v="Entrepreneur"/>
    <s v="Branding"/>
    <x v="0"/>
    <x v="2"/>
    <x v="3"/>
    <s v="F12.01.01"/>
    <n v="1"/>
    <s v="menjelaskan dinamika sosial yang terjadi di masyarakat"/>
    <s v="01.01"/>
    <x v="36"/>
    <s v="K12"/>
    <s v="F"/>
    <n v="70"/>
    <n v="76"/>
    <s v="Tuntas"/>
    <s v="Pendidikan Pancasila"/>
    <x v="7"/>
    <x v="10"/>
    <n v="76"/>
    <x v="1"/>
    <n v="12"/>
    <x v="1"/>
    <x v="1"/>
    <x v="3"/>
  </r>
  <r>
    <n v="2163"/>
    <s v="232410005"/>
    <x v="2"/>
    <x v="13"/>
    <s v="Asmat"/>
    <d v="2026-01-12T00:00:00"/>
    <s v="12"/>
    <x v="0"/>
    <s v="26"/>
    <x v="4"/>
    <x v="5"/>
    <x v="0"/>
    <s v="Real"/>
    <s v="Entrepreneur"/>
    <s v="Branding"/>
    <x v="0"/>
    <x v="2"/>
    <x v="3"/>
    <s v="F12.01.01"/>
    <n v="1"/>
    <s v="menjelaskan dinamika sosial yang terjadi di masyarakat"/>
    <s v="01.01"/>
    <x v="36"/>
    <s v="K12"/>
    <s v="F"/>
    <n v="70"/>
    <n v="78"/>
    <s v="Tuntas"/>
    <s v="Pendidikan Pancasila"/>
    <x v="7"/>
    <x v="10"/>
    <n v="78"/>
    <x v="1"/>
    <n v="12"/>
    <x v="0"/>
    <x v="1"/>
    <x v="3"/>
  </r>
  <r>
    <n v="2164"/>
    <s v="232410005"/>
    <x v="2"/>
    <x v="13"/>
    <s v="Asmat"/>
    <d v="2026-01-12T00:00:00"/>
    <s v="12"/>
    <x v="0"/>
    <s v="26"/>
    <x v="2"/>
    <x v="6"/>
    <x v="6"/>
    <s v="Real"/>
    <s v="Entrepreneur"/>
    <s v="Branding"/>
    <x v="0"/>
    <x v="2"/>
    <x v="3"/>
    <s v="F12.01.01"/>
    <n v="1"/>
    <s v="menjelaskan dinamika sosial yang terjadi di masyarakat"/>
    <s v="01.01"/>
    <x v="36"/>
    <s v="K12"/>
    <s v="F"/>
    <n v="70"/>
    <n v="70"/>
    <s v="Tuntas"/>
    <s v="Pendidikan Pancasila"/>
    <x v="7"/>
    <x v="10"/>
    <n v="70"/>
    <x v="1"/>
    <n v="12"/>
    <x v="0"/>
    <x v="1"/>
    <x v="3"/>
  </r>
  <r>
    <n v="2165"/>
    <s v="232410005"/>
    <x v="2"/>
    <x v="13"/>
    <s v="Asmat"/>
    <d v="2026-01-12T00:00:00"/>
    <s v="12"/>
    <x v="0"/>
    <s v="26"/>
    <x v="0"/>
    <x v="0"/>
    <x v="6"/>
    <s v="Real"/>
    <s v="Entrepreneur"/>
    <s v="Branding"/>
    <x v="0"/>
    <x v="2"/>
    <x v="3"/>
    <s v="F12.01.01"/>
    <n v="1"/>
    <s v="menjelaskan dinamika sosial yang terjadi di masyarakat"/>
    <s v="01.01"/>
    <x v="36"/>
    <s v="K12"/>
    <s v="F"/>
    <n v="70"/>
    <n v="70"/>
    <s v="Tuntas"/>
    <s v="Pendidikan Pancasila"/>
    <x v="7"/>
    <x v="10"/>
    <n v="70"/>
    <x v="1"/>
    <n v="12"/>
    <x v="0"/>
    <x v="1"/>
    <x v="3"/>
  </r>
  <r>
    <n v="2166"/>
    <s v="232410005"/>
    <x v="2"/>
    <x v="13"/>
    <s v="Asmat"/>
    <d v="2026-01-16T00:00:00"/>
    <s v="16"/>
    <x v="0"/>
    <s v="26"/>
    <x v="0"/>
    <x v="0"/>
    <x v="6"/>
    <s v="Remedial"/>
    <s v="Entrepreneur"/>
    <s v="Branding"/>
    <x v="0"/>
    <x v="2"/>
    <x v="3"/>
    <s v="F12.01.01"/>
    <n v="1"/>
    <s v="menjelaskan dinamika sosial yang terjadi di masyarakat"/>
    <s v="01.01"/>
    <x v="36"/>
    <s v="K12"/>
    <s v="F"/>
    <n v="70"/>
    <n v="0"/>
    <s v="Tidak tuntas"/>
    <s v="Pendidikan Pancasila"/>
    <x v="7"/>
    <x v="0"/>
    <s v=""/>
    <x v="0"/>
    <s v=""/>
    <x v="0"/>
    <x v="0"/>
    <x v="0"/>
  </r>
  <r>
    <n v="2167"/>
    <s v="232410005"/>
    <x v="2"/>
    <x v="13"/>
    <s v="Asmat"/>
    <d v="2026-01-19T00:00:00"/>
    <s v="19"/>
    <x v="0"/>
    <s v="26"/>
    <x v="0"/>
    <x v="0"/>
    <x v="6"/>
    <s v="Real"/>
    <s v="Entrepreneur"/>
    <s v="Branding"/>
    <x v="0"/>
    <x v="2"/>
    <x v="3"/>
    <s v="F12.02.01"/>
    <n v="2"/>
    <s v="mennganalisis dinamika persatuan bangsa dan pengaruh IPTEK terhadap isu Papua"/>
    <s v="02.01"/>
    <x v="37"/>
    <s v="K12"/>
    <s v="F"/>
    <n v="70"/>
    <n v="70"/>
    <s v="Tuntas"/>
    <s v="Pendidikan Pancasila"/>
    <x v="7"/>
    <x v="10"/>
    <n v="70"/>
    <x v="1"/>
    <n v="12"/>
    <x v="0"/>
    <x v="2"/>
    <x v="3"/>
  </r>
  <r>
    <n v="2168"/>
    <s v="232410005"/>
    <x v="2"/>
    <x v="13"/>
    <s v="Asmat"/>
    <d v="2026-01-19T00:00:00"/>
    <s v="19"/>
    <x v="0"/>
    <s v="26"/>
    <x v="2"/>
    <x v="6"/>
    <x v="6"/>
    <s v="Real"/>
    <s v="Entrepreneur"/>
    <s v="Branding"/>
    <x v="0"/>
    <x v="2"/>
    <x v="3"/>
    <s v="F12.02.01"/>
    <n v="2"/>
    <s v="mennganalisis dinamika persatuan bangsa dan pengaruh IPTEK terhadap isu Papua"/>
    <s v="02.01"/>
    <x v="37"/>
    <s v="K12"/>
    <s v="F"/>
    <n v="70"/>
    <n v="73"/>
    <s v="Tuntas"/>
    <s v="Pendidikan Pancasila"/>
    <x v="7"/>
    <x v="10"/>
    <n v="73"/>
    <x v="1"/>
    <n v="12"/>
    <x v="0"/>
    <x v="2"/>
    <x v="3"/>
  </r>
  <r>
    <n v="2169"/>
    <s v="232410005"/>
    <x v="2"/>
    <x v="13"/>
    <s v="Asmat"/>
    <d v="2026-01-19T00:00:00"/>
    <s v="19"/>
    <x v="0"/>
    <s v="26"/>
    <x v="3"/>
    <x v="4"/>
    <x v="15"/>
    <s v="Real"/>
    <s v="Entrepreneur"/>
    <s v="Branding"/>
    <x v="0"/>
    <x v="2"/>
    <x v="3"/>
    <s v="F12.02.01"/>
    <n v="2"/>
    <s v="mennganalisis dinamika persatuan bangsa dan pengaruh IPTEK terhadap isu Papua"/>
    <s v="02.01"/>
    <x v="37"/>
    <s v="K12"/>
    <s v="F"/>
    <n v="70"/>
    <n v="75"/>
    <s v="Tuntas"/>
    <s v="Pendidikan Pancasila"/>
    <x v="7"/>
    <x v="10"/>
    <n v="75"/>
    <x v="1"/>
    <n v="12"/>
    <x v="1"/>
    <x v="2"/>
    <x v="3"/>
  </r>
  <r>
    <n v="2170"/>
    <s v="232410005"/>
    <x v="2"/>
    <x v="13"/>
    <s v="Asmat"/>
    <d v="2026-01-19T00:00:00"/>
    <s v="19"/>
    <x v="0"/>
    <s v="26"/>
    <x v="4"/>
    <x v="5"/>
    <x v="0"/>
    <s v="Real"/>
    <s v="Entrepreneur"/>
    <s v="Branding"/>
    <x v="0"/>
    <x v="2"/>
    <x v="3"/>
    <s v="F12.02.01"/>
    <n v="2"/>
    <s v="mennganalisis dinamika persatuan bangsa dan pengaruh IPTEK terhadap isu Papua"/>
    <s v="02.01"/>
    <x v="37"/>
    <s v="K12"/>
    <s v="F"/>
    <n v="70"/>
    <n v="75"/>
    <s v="Tuntas"/>
    <s v="Pendidikan Pancasila"/>
    <x v="7"/>
    <x v="10"/>
    <n v="75"/>
    <x v="1"/>
    <n v="12"/>
    <x v="0"/>
    <x v="2"/>
    <x v="3"/>
  </r>
  <r>
    <n v="2171"/>
    <s v="232410005"/>
    <x v="2"/>
    <x v="13"/>
    <s v="Asmat"/>
    <d v="2026-02-02T00:00:00"/>
    <s v="02"/>
    <x v="1"/>
    <s v="26"/>
    <x v="3"/>
    <x v="8"/>
    <x v="16"/>
    <s v="Real"/>
    <s v="Entrepreneur"/>
    <s v="Branding"/>
    <x v="0"/>
    <x v="2"/>
    <x v="3"/>
    <s v="F12.01.03"/>
    <n v="1"/>
    <s v="menjelaskan dinamika sosial yang terjadi di masyarakat"/>
    <s v="01.03"/>
    <x v="38"/>
    <s v="K12"/>
    <s v="F"/>
    <n v="70"/>
    <n v="80"/>
    <s v="Tuntas"/>
    <s v="Pendidikan Pancasila"/>
    <x v="7"/>
    <x v="10"/>
    <n v="80"/>
    <x v="2"/>
    <n v="12"/>
    <x v="2"/>
    <x v="4"/>
    <x v="3"/>
  </r>
  <r>
    <n v="2172"/>
    <s v="232410005"/>
    <x v="2"/>
    <x v="13"/>
    <s v="Asmat"/>
    <d v="2026-02-02T00:00:00"/>
    <s v="02"/>
    <x v="1"/>
    <s v="26"/>
    <x v="1"/>
    <x v="14"/>
    <x v="6"/>
    <s v="Real"/>
    <s v="Entrepreneur"/>
    <s v="Branding"/>
    <x v="0"/>
    <x v="2"/>
    <x v="3"/>
    <s v="F12.01.03"/>
    <n v="1"/>
    <s v="menjelaskan dinamika sosial yang terjadi di masyarakat"/>
    <s v="01.03"/>
    <x v="38"/>
    <s v="K12"/>
    <s v="F"/>
    <n v="70"/>
    <n v="82"/>
    <s v="Tuntas"/>
    <s v="Pendidikan Pancasila"/>
    <x v="7"/>
    <x v="10"/>
    <n v="82"/>
    <x v="2"/>
    <n v="12"/>
    <x v="0"/>
    <x v="4"/>
    <x v="3"/>
  </r>
  <r>
    <n v="2173"/>
    <s v="232410005"/>
    <x v="2"/>
    <x v="13"/>
    <s v="Asmat"/>
    <d v="2026-02-02T00:00:00"/>
    <s v="02"/>
    <x v="1"/>
    <s v="26"/>
    <x v="4"/>
    <x v="5"/>
    <x v="0"/>
    <s v="Real"/>
    <s v="Entrepreneur"/>
    <s v="Branding"/>
    <x v="0"/>
    <x v="2"/>
    <x v="3"/>
    <s v="F12.01.03"/>
    <n v="1"/>
    <s v="menjelaskan dinamika sosial yang terjadi di masyarakat"/>
    <s v="01.03"/>
    <x v="38"/>
    <s v="K12"/>
    <s v="F"/>
    <n v="70"/>
    <n v="78"/>
    <s v="Tuntas"/>
    <s v="Pendidikan Pancasila"/>
    <x v="7"/>
    <x v="10"/>
    <n v="78"/>
    <x v="1"/>
    <n v="12"/>
    <x v="0"/>
    <x v="4"/>
    <x v="3"/>
  </r>
  <r>
    <n v="2174"/>
    <s v="232410005"/>
    <x v="2"/>
    <x v="13"/>
    <s v="Asmat"/>
    <d v="2026-02-02T00:00:00"/>
    <s v="02"/>
    <x v="1"/>
    <s v="26"/>
    <x v="2"/>
    <x v="6"/>
    <x v="6"/>
    <s v="Real"/>
    <s v="Entrepreneur"/>
    <s v="Branding"/>
    <x v="0"/>
    <x v="2"/>
    <x v="3"/>
    <s v="F12.01.03"/>
    <n v="1"/>
    <s v="menjelaskan dinamika sosial yang terjadi di masyarakat"/>
    <s v="01.03"/>
    <x v="38"/>
    <s v="K12"/>
    <s v="F"/>
    <n v="70"/>
    <n v="78"/>
    <s v="Tuntas"/>
    <s v="Pendidikan Pancasila"/>
    <x v="7"/>
    <x v="10"/>
    <n v="78"/>
    <x v="1"/>
    <n v="12"/>
    <x v="0"/>
    <x v="4"/>
    <x v="3"/>
  </r>
  <r>
    <n v="2175"/>
    <s v="232410005"/>
    <x v="2"/>
    <x v="13"/>
    <s v="Asmat"/>
    <d v="2026-02-02T00:00:00"/>
    <s v="02"/>
    <x v="1"/>
    <s v="26"/>
    <x v="0"/>
    <x v="0"/>
    <x v="2"/>
    <s v="Real"/>
    <s v="Entrepreneur"/>
    <s v="Branding"/>
    <x v="0"/>
    <x v="2"/>
    <x v="3"/>
    <s v="F12.01.03"/>
    <n v="1"/>
    <s v="menjelaskan dinamika sosial yang terjadi di masyarakat"/>
    <s v="01.03"/>
    <x v="38"/>
    <s v="K12"/>
    <s v="F"/>
    <n v="70"/>
    <n v="80"/>
    <s v="Tuntas"/>
    <s v="Pendidikan Pancasila"/>
    <x v="7"/>
    <x v="10"/>
    <n v="80"/>
    <x v="2"/>
    <n v="12"/>
    <x v="0"/>
    <x v="4"/>
    <x v="3"/>
  </r>
  <r>
    <n v="2176"/>
    <s v="232410005"/>
    <x v="2"/>
    <x v="13"/>
    <s v="Asmat"/>
    <d v="2026-02-06T00:00:00"/>
    <s v="06"/>
    <x v="1"/>
    <s v="26"/>
    <x v="1"/>
    <x v="13"/>
    <x v="6"/>
    <s v="Real"/>
    <s v="Entrepreneur"/>
    <s v="Branding"/>
    <x v="0"/>
    <x v="2"/>
    <x v="3"/>
    <s v="F12.01.04"/>
    <n v="1"/>
    <s v="menjelaskan dinamika sosial yang terjadi di masyarakat"/>
    <s v="01.04"/>
    <x v="39"/>
    <s v="K12"/>
    <s v="F"/>
    <n v="70"/>
    <n v="78"/>
    <s v="Tuntas"/>
    <s v="Pendidikan Pancasila"/>
    <x v="7"/>
    <x v="10"/>
    <n v="78"/>
    <x v="1"/>
    <n v="12"/>
    <x v="0"/>
    <x v="4"/>
    <x v="3"/>
  </r>
  <r>
    <n v="2177"/>
    <s v="232410005"/>
    <x v="2"/>
    <x v="13"/>
    <s v="Asmat"/>
    <d v="2026-02-06T00:00:00"/>
    <s v="06"/>
    <x v="1"/>
    <s v="26"/>
    <x v="0"/>
    <x v="0"/>
    <x v="6"/>
    <s v="Real"/>
    <s v="Entrepreneur"/>
    <s v="Branding"/>
    <x v="0"/>
    <x v="2"/>
    <x v="3"/>
    <s v="F12.01.03"/>
    <n v="1"/>
    <s v="menjelaskan dinamika sosial yang terjadi di masyarakat"/>
    <s v="01.03"/>
    <x v="38"/>
    <s v="K12"/>
    <s v="F"/>
    <n v="70"/>
    <n v="80"/>
    <s v="Tuntas"/>
    <s v="Pendidikan Pancasila"/>
    <x v="7"/>
    <x v="10"/>
    <n v="80"/>
    <x v="2"/>
    <n v="12"/>
    <x v="0"/>
    <x v="4"/>
    <x v="3"/>
  </r>
  <r>
    <n v="2178"/>
    <s v="232410006"/>
    <x v="2"/>
    <x v="18"/>
    <s v="Intan Jaya"/>
    <d v="2026-01-12T00:00:00"/>
    <s v="12"/>
    <x v="0"/>
    <s v="26"/>
    <x v="3"/>
    <x v="4"/>
    <x v="5"/>
    <s v="Real"/>
    <s v="Entrepreneur"/>
    <s v="Branding"/>
    <x v="0"/>
    <x v="2"/>
    <x v="3"/>
    <s v="F12.01.01"/>
    <n v="1"/>
    <s v="menjelaskan dinamika sosial yang terjadi di masyarakat"/>
    <s v="01.01"/>
    <x v="36"/>
    <s v="K12"/>
    <s v="F"/>
    <n v="70"/>
    <n v="74"/>
    <s v="Tuntas"/>
    <s v="Pendidikan Pancasila"/>
    <x v="7"/>
    <x v="10"/>
    <n v="74"/>
    <x v="1"/>
    <n v="12"/>
    <x v="1"/>
    <x v="1"/>
    <x v="4"/>
  </r>
  <r>
    <n v="2179"/>
    <s v="232410006"/>
    <x v="2"/>
    <x v="18"/>
    <s v="Intan Jaya"/>
    <d v="2026-01-12T00:00:00"/>
    <s v="12"/>
    <x v="0"/>
    <s v="26"/>
    <x v="4"/>
    <x v="5"/>
    <x v="0"/>
    <s v="Real"/>
    <s v="Entrepreneur"/>
    <s v="Branding"/>
    <x v="0"/>
    <x v="2"/>
    <x v="3"/>
    <s v="F12.01.01"/>
    <n v="1"/>
    <s v="menjelaskan dinamika sosial yang terjadi di masyarakat"/>
    <s v="01.01"/>
    <x v="36"/>
    <s v="K12"/>
    <s v="F"/>
    <n v="70"/>
    <n v="78"/>
    <s v="Tuntas"/>
    <s v="Pendidikan Pancasila"/>
    <x v="7"/>
    <x v="10"/>
    <n v="78"/>
    <x v="1"/>
    <n v="12"/>
    <x v="0"/>
    <x v="1"/>
    <x v="4"/>
  </r>
  <r>
    <n v="2180"/>
    <s v="232410006"/>
    <x v="2"/>
    <x v="18"/>
    <s v="Intan Jaya"/>
    <d v="2026-01-12T00:00:00"/>
    <s v="12"/>
    <x v="0"/>
    <s v="26"/>
    <x v="2"/>
    <x v="6"/>
    <x v="6"/>
    <s v="Real"/>
    <s v="Entrepreneur"/>
    <s v="Branding"/>
    <x v="0"/>
    <x v="2"/>
    <x v="3"/>
    <s v="F12.01.01"/>
    <n v="1"/>
    <s v="menjelaskan dinamika sosial yang terjadi di masyarakat"/>
    <s v="01.01"/>
    <x v="36"/>
    <s v="K12"/>
    <s v="F"/>
    <n v="70"/>
    <n v="70"/>
    <s v="Tuntas"/>
    <s v="Pendidikan Pancasila"/>
    <x v="7"/>
    <x v="10"/>
    <n v="70"/>
    <x v="1"/>
    <n v="12"/>
    <x v="0"/>
    <x v="1"/>
    <x v="4"/>
  </r>
  <r>
    <n v="2181"/>
    <s v="232410006"/>
    <x v="2"/>
    <x v="18"/>
    <s v="Intan Jaya"/>
    <d v="2026-01-12T00:00:00"/>
    <s v="12"/>
    <x v="0"/>
    <s v="26"/>
    <x v="0"/>
    <x v="0"/>
    <x v="6"/>
    <s v="Real"/>
    <s v="Entrepreneur"/>
    <s v="Branding"/>
    <x v="0"/>
    <x v="2"/>
    <x v="3"/>
    <s v="F12.01.01"/>
    <n v="1"/>
    <s v="menjelaskan dinamika sosial yang terjadi di masyarakat"/>
    <s v="01.01"/>
    <x v="36"/>
    <s v="K12"/>
    <s v="F"/>
    <n v="70"/>
    <n v="68"/>
    <s v="Tidak tuntas"/>
    <s v="Pendidikan Pancasila"/>
    <x v="7"/>
    <x v="10"/>
    <n v="68"/>
    <x v="3"/>
    <n v="12"/>
    <x v="0"/>
    <x v="1"/>
    <x v="4"/>
  </r>
  <r>
    <n v="2182"/>
    <s v="232410006"/>
    <x v="2"/>
    <x v="18"/>
    <s v="Intan Jaya"/>
    <d v="2026-01-16T00:00:00"/>
    <s v="16"/>
    <x v="0"/>
    <s v="26"/>
    <x v="0"/>
    <x v="0"/>
    <x v="6"/>
    <s v="Remedial"/>
    <s v="Entrepreneur"/>
    <s v="Branding"/>
    <x v="0"/>
    <x v="2"/>
    <x v="3"/>
    <s v="F12.01.01"/>
    <n v="1"/>
    <s v="menjelaskan dinamika sosial yang terjadi di masyarakat"/>
    <s v="01.01"/>
    <x v="36"/>
    <s v="K12"/>
    <s v="F"/>
    <n v="70"/>
    <n v="75"/>
    <s v="Tuntas"/>
    <s v="Pendidikan Pancasila"/>
    <x v="7"/>
    <x v="10"/>
    <n v="75"/>
    <x v="1"/>
    <n v="12"/>
    <x v="0"/>
    <x v="1"/>
    <x v="4"/>
  </r>
  <r>
    <n v="2183"/>
    <s v="232410006"/>
    <x v="2"/>
    <x v="18"/>
    <s v="Intan Jaya"/>
    <d v="2026-01-19T00:00:00"/>
    <s v="19"/>
    <x v="0"/>
    <s v="26"/>
    <x v="0"/>
    <x v="0"/>
    <x v="6"/>
    <s v="Real"/>
    <s v="Entrepreneur"/>
    <s v="Branding"/>
    <x v="0"/>
    <x v="2"/>
    <x v="3"/>
    <s v="F12.02.01"/>
    <n v="2"/>
    <s v="mennganalisis dinamika persatuan bangsa dan pengaruh IPTEK terhadap isu Papua"/>
    <s v="02.01"/>
    <x v="37"/>
    <s v="K12"/>
    <s v="F"/>
    <n v="70"/>
    <n v="80"/>
    <s v="Tuntas"/>
    <s v="Pendidikan Pancasila"/>
    <x v="7"/>
    <x v="10"/>
    <n v="80"/>
    <x v="2"/>
    <n v="12"/>
    <x v="0"/>
    <x v="2"/>
    <x v="4"/>
  </r>
  <r>
    <n v="2184"/>
    <s v="232410006"/>
    <x v="2"/>
    <x v="18"/>
    <s v="Intan Jaya"/>
    <d v="2026-01-19T00:00:00"/>
    <s v="19"/>
    <x v="0"/>
    <s v="26"/>
    <x v="2"/>
    <x v="6"/>
    <x v="6"/>
    <s v="Real"/>
    <s v="Entrepreneur"/>
    <s v="Branding"/>
    <x v="0"/>
    <x v="2"/>
    <x v="3"/>
    <s v="F12.02.01"/>
    <n v="2"/>
    <s v="mennganalisis dinamika persatuan bangsa dan pengaruh IPTEK terhadap isu Papua"/>
    <s v="02.01"/>
    <x v="37"/>
    <s v="K12"/>
    <s v="F"/>
    <n v="70"/>
    <n v="80"/>
    <s v="Tuntas"/>
    <s v="Pendidikan Pancasila"/>
    <x v="7"/>
    <x v="10"/>
    <n v="80"/>
    <x v="2"/>
    <n v="12"/>
    <x v="0"/>
    <x v="2"/>
    <x v="4"/>
  </r>
  <r>
    <n v="2185"/>
    <s v="232410006"/>
    <x v="2"/>
    <x v="18"/>
    <s v="Intan Jaya"/>
    <d v="2026-01-19T00:00:00"/>
    <s v="19"/>
    <x v="0"/>
    <s v="26"/>
    <x v="3"/>
    <x v="4"/>
    <x v="15"/>
    <s v="Real"/>
    <s v="Entrepreneur"/>
    <s v="Branding"/>
    <x v="0"/>
    <x v="2"/>
    <x v="3"/>
    <s v="F12.02.01"/>
    <n v="2"/>
    <s v="mennganalisis dinamika persatuan bangsa dan pengaruh IPTEK terhadap isu Papua"/>
    <s v="02.01"/>
    <x v="37"/>
    <s v="K12"/>
    <s v="F"/>
    <n v="70"/>
    <n v="74"/>
    <s v="Tuntas"/>
    <s v="Pendidikan Pancasila"/>
    <x v="7"/>
    <x v="10"/>
    <n v="74"/>
    <x v="1"/>
    <n v="12"/>
    <x v="1"/>
    <x v="2"/>
    <x v="4"/>
  </r>
  <r>
    <n v="2186"/>
    <s v="232410006"/>
    <x v="2"/>
    <x v="18"/>
    <s v="Intan Jaya"/>
    <d v="2026-01-19T00:00:00"/>
    <s v="19"/>
    <x v="0"/>
    <s v="26"/>
    <x v="4"/>
    <x v="5"/>
    <x v="0"/>
    <s v="Real"/>
    <s v="Entrepreneur"/>
    <s v="Branding"/>
    <x v="0"/>
    <x v="2"/>
    <x v="3"/>
    <s v="F12.02.01"/>
    <n v="2"/>
    <s v="mennganalisis dinamika persatuan bangsa dan pengaruh IPTEK terhadap isu Papua"/>
    <s v="02.01"/>
    <x v="37"/>
    <s v="K12"/>
    <s v="F"/>
    <n v="70"/>
    <n v="80"/>
    <s v="Tuntas"/>
    <s v="Pendidikan Pancasila"/>
    <x v="7"/>
    <x v="10"/>
    <n v="80"/>
    <x v="2"/>
    <n v="12"/>
    <x v="0"/>
    <x v="2"/>
    <x v="4"/>
  </r>
  <r>
    <n v="2187"/>
    <s v="232410006"/>
    <x v="2"/>
    <x v="18"/>
    <s v="Intan Jaya"/>
    <d v="2026-02-02T00:00:00"/>
    <s v="02"/>
    <x v="1"/>
    <s v="26"/>
    <x v="3"/>
    <x v="8"/>
    <x v="16"/>
    <s v="Real"/>
    <s v="Entrepreneur"/>
    <s v="Branding"/>
    <x v="0"/>
    <x v="2"/>
    <x v="3"/>
    <s v="F12.01.03"/>
    <n v="1"/>
    <s v="menjelaskan dinamika sosial yang terjadi di masyarakat"/>
    <s v="01.03"/>
    <x v="38"/>
    <s v="K12"/>
    <s v="F"/>
    <n v="70"/>
    <n v="75"/>
    <s v="Tuntas"/>
    <s v="Pendidikan Pancasila"/>
    <x v="7"/>
    <x v="10"/>
    <n v="75"/>
    <x v="1"/>
    <n v="12"/>
    <x v="1"/>
    <x v="4"/>
    <x v="4"/>
  </r>
  <r>
    <n v="2188"/>
    <s v="232410006"/>
    <x v="2"/>
    <x v="18"/>
    <s v="Intan Jaya"/>
    <d v="2026-02-02T00:00:00"/>
    <s v="02"/>
    <x v="1"/>
    <s v="26"/>
    <x v="1"/>
    <x v="14"/>
    <x v="6"/>
    <s v="Real"/>
    <s v="Entrepreneur"/>
    <s v="Branding"/>
    <x v="0"/>
    <x v="2"/>
    <x v="3"/>
    <s v="F12.01.03"/>
    <n v="1"/>
    <s v="menjelaskan dinamika sosial yang terjadi di masyarakat"/>
    <s v="01.03"/>
    <x v="38"/>
    <s v="K12"/>
    <s v="F"/>
    <n v="70"/>
    <n v="76"/>
    <s v="Tuntas"/>
    <s v="Pendidikan Pancasila"/>
    <x v="7"/>
    <x v="10"/>
    <n v="76"/>
    <x v="1"/>
    <n v="12"/>
    <x v="0"/>
    <x v="4"/>
    <x v="4"/>
  </r>
  <r>
    <n v="2189"/>
    <s v="232410006"/>
    <x v="2"/>
    <x v="18"/>
    <s v="Intan Jaya"/>
    <d v="2026-02-02T00:00:00"/>
    <s v="02"/>
    <x v="1"/>
    <s v="26"/>
    <x v="4"/>
    <x v="5"/>
    <x v="0"/>
    <s v="Real"/>
    <s v="Entrepreneur"/>
    <s v="Branding"/>
    <x v="0"/>
    <x v="2"/>
    <x v="3"/>
    <s v="F12.01.03"/>
    <n v="1"/>
    <s v="menjelaskan dinamika sosial yang terjadi di masyarakat"/>
    <s v="01.03"/>
    <x v="38"/>
    <s v="K12"/>
    <s v="F"/>
    <n v="70"/>
    <n v="78"/>
    <s v="Tuntas"/>
    <s v="Pendidikan Pancasila"/>
    <x v="7"/>
    <x v="10"/>
    <n v="78"/>
    <x v="1"/>
    <n v="12"/>
    <x v="0"/>
    <x v="4"/>
    <x v="4"/>
  </r>
  <r>
    <n v="2190"/>
    <s v="232410006"/>
    <x v="2"/>
    <x v="18"/>
    <s v="Intan Jaya"/>
    <d v="2026-02-02T00:00:00"/>
    <s v="02"/>
    <x v="1"/>
    <s v="26"/>
    <x v="2"/>
    <x v="6"/>
    <x v="6"/>
    <s v="Real"/>
    <s v="Entrepreneur"/>
    <s v="Branding"/>
    <x v="0"/>
    <x v="2"/>
    <x v="3"/>
    <s v="F12.01.03"/>
    <n v="1"/>
    <s v="menjelaskan dinamika sosial yang terjadi di masyarakat"/>
    <s v="01.03"/>
    <x v="38"/>
    <s v="K12"/>
    <s v="F"/>
    <n v="70"/>
    <n v="76"/>
    <s v="Tuntas"/>
    <s v="Pendidikan Pancasila"/>
    <x v="7"/>
    <x v="10"/>
    <n v="76"/>
    <x v="1"/>
    <n v="12"/>
    <x v="0"/>
    <x v="4"/>
    <x v="4"/>
  </r>
  <r>
    <n v="2191"/>
    <s v="232410006"/>
    <x v="2"/>
    <x v="18"/>
    <s v="Intan Jaya"/>
    <d v="2026-02-02T00:00:00"/>
    <s v="02"/>
    <x v="1"/>
    <s v="26"/>
    <x v="0"/>
    <x v="0"/>
    <x v="2"/>
    <s v="Real"/>
    <s v="Entrepreneur"/>
    <s v="Branding"/>
    <x v="0"/>
    <x v="2"/>
    <x v="3"/>
    <s v="F12.01.03"/>
    <n v="1"/>
    <s v="menjelaskan dinamika sosial yang terjadi di masyarakat"/>
    <s v="01.03"/>
    <x v="38"/>
    <s v="K12"/>
    <s v="F"/>
    <n v="70"/>
    <n v="78"/>
    <s v="Tuntas"/>
    <s v="Pendidikan Pancasila"/>
    <x v="7"/>
    <x v="10"/>
    <n v="78"/>
    <x v="1"/>
    <n v="12"/>
    <x v="0"/>
    <x v="4"/>
    <x v="4"/>
  </r>
  <r>
    <n v="2192"/>
    <s v="232410006"/>
    <x v="2"/>
    <x v="18"/>
    <s v="Intan Jaya"/>
    <d v="2026-02-06T00:00:00"/>
    <s v="06"/>
    <x v="1"/>
    <s v="26"/>
    <x v="1"/>
    <x v="13"/>
    <x v="6"/>
    <s v="Real"/>
    <s v="Entrepreneur"/>
    <s v="Branding"/>
    <x v="0"/>
    <x v="2"/>
    <x v="3"/>
    <s v="F12.01.04"/>
    <n v="1"/>
    <s v="menjelaskan dinamika sosial yang terjadi di masyarakat"/>
    <s v="01.04"/>
    <x v="39"/>
    <s v="K12"/>
    <s v="F"/>
    <n v="70"/>
    <n v="78"/>
    <s v="Tuntas"/>
    <s v="Pendidikan Pancasila"/>
    <x v="7"/>
    <x v="10"/>
    <n v="78"/>
    <x v="1"/>
    <n v="12"/>
    <x v="0"/>
    <x v="4"/>
    <x v="4"/>
  </r>
  <r>
    <n v="2193"/>
    <s v="232410006"/>
    <x v="2"/>
    <x v="18"/>
    <s v="Intan Jaya"/>
    <d v="2026-02-06T00:00:00"/>
    <s v="06"/>
    <x v="1"/>
    <s v="26"/>
    <x v="0"/>
    <x v="0"/>
    <x v="6"/>
    <s v="Real"/>
    <s v="Entrepreneur"/>
    <s v="Branding"/>
    <x v="0"/>
    <x v="2"/>
    <x v="3"/>
    <s v="F12.01.03"/>
    <n v="1"/>
    <s v="menjelaskan dinamika sosial yang terjadi di masyarakat"/>
    <s v="01.03"/>
    <x v="38"/>
    <s v="K12"/>
    <s v="F"/>
    <n v="70"/>
    <n v="78"/>
    <s v="Tuntas"/>
    <s v="Pendidikan Pancasila"/>
    <x v="7"/>
    <x v="10"/>
    <n v="78"/>
    <x v="1"/>
    <n v="12"/>
    <x v="0"/>
    <x v="4"/>
    <x v="4"/>
  </r>
  <r>
    <n v="2194"/>
    <s v="232410007"/>
    <x v="2"/>
    <x v="19"/>
    <s v="Intan Jaya"/>
    <d v="2026-01-12T00:00:00"/>
    <s v="12"/>
    <x v="0"/>
    <s v="26"/>
    <x v="3"/>
    <x v="4"/>
    <x v="5"/>
    <s v="Real"/>
    <s v="Entrepreneur"/>
    <s v="Branding"/>
    <x v="0"/>
    <x v="2"/>
    <x v="3"/>
    <s v="F12.01.01"/>
    <n v="1"/>
    <s v="menjelaskan dinamika sosial yang terjadi di masyarakat"/>
    <s v="01.01"/>
    <x v="36"/>
    <s v="K12"/>
    <s v="F"/>
    <n v="70"/>
    <n v="76"/>
    <s v="Tuntas"/>
    <s v="Pendidikan Pancasila"/>
    <x v="7"/>
    <x v="10"/>
    <n v="76"/>
    <x v="1"/>
    <n v="12"/>
    <x v="1"/>
    <x v="1"/>
    <x v="2"/>
  </r>
  <r>
    <n v="2195"/>
    <s v="232410007"/>
    <x v="2"/>
    <x v="19"/>
    <s v="Intan Jaya"/>
    <d v="2026-01-12T00:00:00"/>
    <s v="12"/>
    <x v="0"/>
    <s v="26"/>
    <x v="4"/>
    <x v="5"/>
    <x v="0"/>
    <s v="Real"/>
    <s v="Entrepreneur"/>
    <s v="Branding"/>
    <x v="0"/>
    <x v="2"/>
    <x v="3"/>
    <s v="F12.01.01"/>
    <n v="1"/>
    <s v="menjelaskan dinamika sosial yang terjadi di masyarakat"/>
    <s v="01.01"/>
    <x v="36"/>
    <s v="K12"/>
    <s v="F"/>
    <n v="70"/>
    <n v="74"/>
    <s v="Tuntas"/>
    <s v="Pendidikan Pancasila"/>
    <x v="7"/>
    <x v="10"/>
    <n v="74"/>
    <x v="1"/>
    <n v="12"/>
    <x v="0"/>
    <x v="1"/>
    <x v="2"/>
  </r>
  <r>
    <n v="2196"/>
    <s v="232410007"/>
    <x v="2"/>
    <x v="19"/>
    <s v="Intan Jaya"/>
    <d v="2026-01-12T00:00:00"/>
    <s v="12"/>
    <x v="0"/>
    <s v="26"/>
    <x v="2"/>
    <x v="6"/>
    <x v="6"/>
    <s v="Real"/>
    <s v="Entrepreneur"/>
    <s v="Branding"/>
    <x v="0"/>
    <x v="2"/>
    <x v="3"/>
    <s v="F12.01.01"/>
    <n v="1"/>
    <s v="menjelaskan dinamika sosial yang terjadi di masyarakat"/>
    <s v="01.01"/>
    <x v="36"/>
    <s v="K12"/>
    <s v="F"/>
    <n v="70"/>
    <n v="65"/>
    <s v="Tidak tuntas"/>
    <s v="Pendidikan Pancasila"/>
    <x v="7"/>
    <x v="10"/>
    <n v="65"/>
    <x v="3"/>
    <n v="12"/>
    <x v="0"/>
    <x v="1"/>
    <x v="2"/>
  </r>
  <r>
    <n v="2197"/>
    <s v="232410007"/>
    <x v="2"/>
    <x v="19"/>
    <s v="Intan Jaya"/>
    <d v="2026-01-12T00:00:00"/>
    <s v="12"/>
    <x v="0"/>
    <s v="26"/>
    <x v="0"/>
    <x v="0"/>
    <x v="6"/>
    <s v="Real"/>
    <s v="Entrepreneur"/>
    <s v="Branding"/>
    <x v="0"/>
    <x v="2"/>
    <x v="3"/>
    <s v="F12.01.01"/>
    <n v="1"/>
    <s v="menjelaskan dinamika sosial yang terjadi di masyarakat"/>
    <s v="01.01"/>
    <x v="36"/>
    <s v="K12"/>
    <s v="F"/>
    <n v="70"/>
    <n v="62"/>
    <s v="Tidak tuntas"/>
    <s v="Pendidikan Pancasila"/>
    <x v="7"/>
    <x v="10"/>
    <n v="62"/>
    <x v="3"/>
    <n v="12"/>
    <x v="0"/>
    <x v="1"/>
    <x v="2"/>
  </r>
  <r>
    <n v="2198"/>
    <s v="232410007"/>
    <x v="2"/>
    <x v="19"/>
    <s v="Intan Jaya"/>
    <d v="2026-01-16T00:00:00"/>
    <s v="16"/>
    <x v="0"/>
    <s v="26"/>
    <x v="0"/>
    <x v="0"/>
    <x v="6"/>
    <s v="Remedial"/>
    <s v="Entrepreneur"/>
    <s v="Branding"/>
    <x v="0"/>
    <x v="2"/>
    <x v="3"/>
    <s v="F12.01.01"/>
    <n v="1"/>
    <s v="menjelaskan dinamika sosial yang terjadi di masyarakat"/>
    <s v="01.01"/>
    <x v="36"/>
    <s v="K12"/>
    <s v="F"/>
    <n v="70"/>
    <n v="70"/>
    <s v="Tuntas"/>
    <s v="Pendidikan Pancasila"/>
    <x v="7"/>
    <x v="10"/>
    <n v="70"/>
    <x v="1"/>
    <n v="12"/>
    <x v="0"/>
    <x v="1"/>
    <x v="2"/>
  </r>
  <r>
    <n v="2199"/>
    <s v="232410007"/>
    <x v="2"/>
    <x v="19"/>
    <s v="Intan Jaya"/>
    <d v="2026-01-19T00:00:00"/>
    <s v="19"/>
    <x v="0"/>
    <s v="26"/>
    <x v="0"/>
    <x v="0"/>
    <x v="6"/>
    <s v="Real"/>
    <s v="Entrepreneur"/>
    <s v="Branding"/>
    <x v="0"/>
    <x v="2"/>
    <x v="3"/>
    <s v="F12.02.01"/>
    <n v="2"/>
    <s v="mennganalisis dinamika persatuan bangsa dan pengaruh IPTEK terhadap isu Papua"/>
    <s v="02.01"/>
    <x v="37"/>
    <s v="K12"/>
    <s v="F"/>
    <n v="70"/>
    <n v="72"/>
    <s v="Tuntas"/>
    <s v="Pendidikan Pancasila"/>
    <x v="7"/>
    <x v="10"/>
    <n v="72"/>
    <x v="1"/>
    <n v="12"/>
    <x v="0"/>
    <x v="2"/>
    <x v="2"/>
  </r>
  <r>
    <n v="2200"/>
    <s v="232410007"/>
    <x v="2"/>
    <x v="19"/>
    <s v="Intan Jaya"/>
    <d v="2026-01-19T00:00:00"/>
    <s v="19"/>
    <x v="0"/>
    <s v="26"/>
    <x v="2"/>
    <x v="6"/>
    <x v="6"/>
    <s v="Real"/>
    <s v="Entrepreneur"/>
    <s v="Branding"/>
    <x v="0"/>
    <x v="2"/>
    <x v="3"/>
    <s v="F12.02.01"/>
    <n v="2"/>
    <s v="mennganalisis dinamika persatuan bangsa dan pengaruh IPTEK terhadap isu Papua"/>
    <s v="02.01"/>
    <x v="37"/>
    <s v="K12"/>
    <s v="F"/>
    <n v="70"/>
    <n v="70"/>
    <s v="Tuntas"/>
    <s v="Pendidikan Pancasila"/>
    <x v="7"/>
    <x v="10"/>
    <n v="70"/>
    <x v="1"/>
    <n v="12"/>
    <x v="0"/>
    <x v="2"/>
    <x v="2"/>
  </r>
  <r>
    <n v="2201"/>
    <s v="232410007"/>
    <x v="2"/>
    <x v="19"/>
    <s v="Intan Jaya"/>
    <d v="2026-01-19T00:00:00"/>
    <s v="19"/>
    <x v="0"/>
    <s v="26"/>
    <x v="3"/>
    <x v="4"/>
    <x v="15"/>
    <s v="Real"/>
    <s v="Entrepreneur"/>
    <s v="Branding"/>
    <x v="0"/>
    <x v="2"/>
    <x v="3"/>
    <s v="F12.02.01"/>
    <n v="2"/>
    <s v="mennganalisis dinamika persatuan bangsa dan pengaruh IPTEK terhadap isu Papua"/>
    <s v="02.01"/>
    <x v="37"/>
    <s v="K12"/>
    <s v="F"/>
    <n v="70"/>
    <n v="74"/>
    <s v="Tuntas"/>
    <s v="Pendidikan Pancasila"/>
    <x v="7"/>
    <x v="10"/>
    <n v="74"/>
    <x v="1"/>
    <n v="12"/>
    <x v="1"/>
    <x v="2"/>
    <x v="2"/>
  </r>
  <r>
    <n v="2202"/>
    <s v="232410007"/>
    <x v="2"/>
    <x v="19"/>
    <s v="Intan Jaya"/>
    <d v="2026-01-19T00:00:00"/>
    <s v="19"/>
    <x v="0"/>
    <s v="26"/>
    <x v="4"/>
    <x v="5"/>
    <x v="0"/>
    <s v="Real"/>
    <s v="Entrepreneur"/>
    <s v="Branding"/>
    <x v="0"/>
    <x v="2"/>
    <x v="3"/>
    <s v="F12.02.01"/>
    <n v="2"/>
    <s v="mennganalisis dinamika persatuan bangsa dan pengaruh IPTEK terhadap isu Papua"/>
    <s v="02.01"/>
    <x v="37"/>
    <s v="K12"/>
    <s v="F"/>
    <n v="70"/>
    <n v="76"/>
    <s v="Tuntas"/>
    <s v="Pendidikan Pancasila"/>
    <x v="7"/>
    <x v="10"/>
    <n v="76"/>
    <x v="1"/>
    <n v="12"/>
    <x v="0"/>
    <x v="2"/>
    <x v="2"/>
  </r>
  <r>
    <n v="2203"/>
    <s v="232410007"/>
    <x v="2"/>
    <x v="19"/>
    <s v="Intan Jaya"/>
    <d v="2026-02-02T00:00:00"/>
    <s v="02"/>
    <x v="1"/>
    <s v="26"/>
    <x v="3"/>
    <x v="8"/>
    <x v="16"/>
    <s v="Real"/>
    <s v="Entrepreneur"/>
    <s v="Branding"/>
    <x v="0"/>
    <x v="2"/>
    <x v="3"/>
    <s v="F12.01.03"/>
    <n v="1"/>
    <s v="menjelaskan dinamika sosial yang terjadi di masyarakat"/>
    <s v="01.03"/>
    <x v="38"/>
    <s v="K12"/>
    <s v="F"/>
    <n v="70"/>
    <n v="77"/>
    <s v="Tuntas"/>
    <s v="Pendidikan Pancasila"/>
    <x v="7"/>
    <x v="10"/>
    <n v="77"/>
    <x v="1"/>
    <n v="12"/>
    <x v="1"/>
    <x v="4"/>
    <x v="2"/>
  </r>
  <r>
    <n v="2204"/>
    <s v="232410007"/>
    <x v="2"/>
    <x v="19"/>
    <s v="Intan Jaya"/>
    <d v="2026-02-02T00:00:00"/>
    <s v="02"/>
    <x v="1"/>
    <s v="26"/>
    <x v="1"/>
    <x v="14"/>
    <x v="6"/>
    <s v="Real"/>
    <s v="Entrepreneur"/>
    <s v="Branding"/>
    <x v="0"/>
    <x v="2"/>
    <x v="3"/>
    <s v="F12.01.03"/>
    <n v="1"/>
    <s v="menjelaskan dinamika sosial yang terjadi di masyarakat"/>
    <s v="01.03"/>
    <x v="38"/>
    <s v="K12"/>
    <s v="F"/>
    <n v="70"/>
    <n v="73"/>
    <s v="Tuntas"/>
    <s v="Pendidikan Pancasila"/>
    <x v="7"/>
    <x v="10"/>
    <n v="73"/>
    <x v="1"/>
    <n v="12"/>
    <x v="0"/>
    <x v="4"/>
    <x v="2"/>
  </r>
  <r>
    <n v="2205"/>
    <s v="232410007"/>
    <x v="2"/>
    <x v="19"/>
    <s v="Intan Jaya"/>
    <d v="2026-02-02T00:00:00"/>
    <s v="02"/>
    <x v="1"/>
    <s v="26"/>
    <x v="4"/>
    <x v="5"/>
    <x v="0"/>
    <s v="Real"/>
    <s v="Entrepreneur"/>
    <s v="Branding"/>
    <x v="0"/>
    <x v="2"/>
    <x v="3"/>
    <s v="F12.01.03"/>
    <n v="1"/>
    <s v="menjelaskan dinamika sosial yang terjadi di masyarakat"/>
    <s v="01.03"/>
    <x v="38"/>
    <s v="K12"/>
    <s v="F"/>
    <n v="70"/>
    <n v="73"/>
    <s v="Tuntas"/>
    <s v="Pendidikan Pancasila"/>
    <x v="7"/>
    <x v="10"/>
    <n v="73"/>
    <x v="1"/>
    <n v="12"/>
    <x v="0"/>
    <x v="4"/>
    <x v="2"/>
  </r>
  <r>
    <n v="2206"/>
    <s v="232410007"/>
    <x v="2"/>
    <x v="19"/>
    <s v="Intan Jaya"/>
    <d v="2026-02-02T00:00:00"/>
    <s v="02"/>
    <x v="1"/>
    <s v="26"/>
    <x v="2"/>
    <x v="6"/>
    <x v="6"/>
    <s v="Real"/>
    <s v="Entrepreneur"/>
    <s v="Branding"/>
    <x v="0"/>
    <x v="2"/>
    <x v="3"/>
    <s v="F12.01.03"/>
    <n v="1"/>
    <s v="menjelaskan dinamika sosial yang terjadi di masyarakat"/>
    <s v="01.03"/>
    <x v="38"/>
    <s v="K12"/>
    <s v="F"/>
    <n v="70"/>
    <n v="70"/>
    <s v="Tuntas"/>
    <s v="Pendidikan Pancasila"/>
    <x v="7"/>
    <x v="10"/>
    <n v="70"/>
    <x v="1"/>
    <n v="12"/>
    <x v="0"/>
    <x v="4"/>
    <x v="2"/>
  </r>
  <r>
    <n v="2207"/>
    <s v="232410007"/>
    <x v="2"/>
    <x v="19"/>
    <s v="Intan Jaya"/>
    <d v="2026-02-02T00:00:00"/>
    <s v="02"/>
    <x v="1"/>
    <s v="26"/>
    <x v="0"/>
    <x v="0"/>
    <x v="2"/>
    <s v="Real"/>
    <s v="Entrepreneur"/>
    <s v="Branding"/>
    <x v="0"/>
    <x v="2"/>
    <x v="3"/>
    <s v="F12.01.03"/>
    <n v="1"/>
    <s v="menjelaskan dinamika sosial yang terjadi di masyarakat"/>
    <s v="01.03"/>
    <x v="38"/>
    <s v="K12"/>
    <s v="F"/>
    <n v="70"/>
    <n v="68"/>
    <s v="Tidak tuntas"/>
    <s v="Pendidikan Pancasila"/>
    <x v="7"/>
    <x v="10"/>
    <n v="68"/>
    <x v="3"/>
    <n v="12"/>
    <x v="0"/>
    <x v="4"/>
    <x v="2"/>
  </r>
  <r>
    <n v="2208"/>
    <s v="232410007"/>
    <x v="2"/>
    <x v="19"/>
    <s v="Intan Jaya"/>
    <d v="2026-02-06T00:00:00"/>
    <s v="06"/>
    <x v="1"/>
    <s v="26"/>
    <x v="1"/>
    <x v="13"/>
    <x v="6"/>
    <s v="Real"/>
    <s v="Entrepreneur"/>
    <s v="Branding"/>
    <x v="0"/>
    <x v="2"/>
    <x v="3"/>
    <s v="F12.01.04"/>
    <n v="1"/>
    <s v="menjelaskan dinamika sosial yang terjadi di masyarakat"/>
    <s v="01.04"/>
    <x v="39"/>
    <s v="K12"/>
    <s v="F"/>
    <n v="70"/>
    <n v="75"/>
    <s v="Tuntas"/>
    <s v="Pendidikan Pancasila"/>
    <x v="7"/>
    <x v="10"/>
    <n v="75"/>
    <x v="1"/>
    <n v="12"/>
    <x v="0"/>
    <x v="4"/>
    <x v="2"/>
  </r>
  <r>
    <n v="2209"/>
    <s v="232410007"/>
    <x v="2"/>
    <x v="19"/>
    <s v="Intan Jaya"/>
    <d v="2026-02-06T00:00:00"/>
    <s v="06"/>
    <x v="1"/>
    <s v="26"/>
    <x v="0"/>
    <x v="0"/>
    <x v="6"/>
    <s v="Real"/>
    <s v="Entrepreneur"/>
    <s v="Branding"/>
    <x v="0"/>
    <x v="2"/>
    <x v="3"/>
    <s v="F12.01.03"/>
    <n v="1"/>
    <s v="menjelaskan dinamika sosial yang terjadi di masyarakat"/>
    <s v="01.03"/>
    <x v="38"/>
    <s v="K12"/>
    <s v="F"/>
    <n v="70"/>
    <n v="75"/>
    <s v="Tuntas"/>
    <s v="Pendidikan Pancasila"/>
    <x v="7"/>
    <x v="10"/>
    <n v="75"/>
    <x v="1"/>
    <n v="12"/>
    <x v="0"/>
    <x v="4"/>
    <x v="2"/>
  </r>
  <r>
    <n v="2210"/>
    <s v="232410009"/>
    <x v="2"/>
    <x v="20"/>
    <s v="Intan Jaya"/>
    <d v="2026-01-12T00:00:00"/>
    <s v="12"/>
    <x v="0"/>
    <s v="26"/>
    <x v="3"/>
    <x v="4"/>
    <x v="5"/>
    <s v="Real"/>
    <s v="Entrepreneur"/>
    <s v="Branding"/>
    <x v="0"/>
    <x v="2"/>
    <x v="3"/>
    <s v="F12.01.01"/>
    <n v="1"/>
    <s v="menjelaskan dinamika sosial yang terjadi di masyarakat"/>
    <s v="01.01"/>
    <x v="36"/>
    <s v="K12"/>
    <s v="F"/>
    <n v="70"/>
    <n v="76"/>
    <s v="Tuntas"/>
    <s v="Pendidikan Pancasila"/>
    <x v="7"/>
    <x v="10"/>
    <n v="76"/>
    <x v="1"/>
    <n v="12"/>
    <x v="1"/>
    <x v="1"/>
    <x v="7"/>
  </r>
  <r>
    <n v="2211"/>
    <s v="232410009"/>
    <x v="2"/>
    <x v="20"/>
    <s v="Intan Jaya"/>
    <d v="2026-01-12T00:00:00"/>
    <s v="12"/>
    <x v="0"/>
    <s v="26"/>
    <x v="4"/>
    <x v="5"/>
    <x v="0"/>
    <s v="Real"/>
    <s v="Entrepreneur"/>
    <s v="Branding"/>
    <x v="0"/>
    <x v="2"/>
    <x v="3"/>
    <s v="F12.01.01"/>
    <n v="1"/>
    <s v="menjelaskan dinamika sosial yang terjadi di masyarakat"/>
    <s v="01.01"/>
    <x v="36"/>
    <s v="K12"/>
    <s v="F"/>
    <n v="70"/>
    <n v="74"/>
    <s v="Tuntas"/>
    <s v="Pendidikan Pancasila"/>
    <x v="7"/>
    <x v="10"/>
    <n v="74"/>
    <x v="1"/>
    <n v="12"/>
    <x v="0"/>
    <x v="1"/>
    <x v="7"/>
  </r>
  <r>
    <n v="2212"/>
    <s v="232410009"/>
    <x v="2"/>
    <x v="20"/>
    <s v="Intan Jaya"/>
    <d v="2026-01-12T00:00:00"/>
    <s v="12"/>
    <x v="0"/>
    <s v="26"/>
    <x v="2"/>
    <x v="6"/>
    <x v="6"/>
    <s v="Real"/>
    <s v="Entrepreneur"/>
    <s v="Branding"/>
    <x v="0"/>
    <x v="2"/>
    <x v="3"/>
    <s v="F12.01.01"/>
    <n v="1"/>
    <s v="menjelaskan dinamika sosial yang terjadi di masyarakat"/>
    <s v="01.01"/>
    <x v="36"/>
    <s v="K12"/>
    <s v="F"/>
    <n v="70"/>
    <n v="60"/>
    <s v="Tidak tuntas"/>
    <s v="Pendidikan Pancasila"/>
    <x v="7"/>
    <x v="10"/>
    <n v="60"/>
    <x v="3"/>
    <n v="12"/>
    <x v="0"/>
    <x v="1"/>
    <x v="7"/>
  </r>
  <r>
    <n v="2213"/>
    <s v="232410009"/>
    <x v="2"/>
    <x v="20"/>
    <s v="Intan Jaya"/>
    <d v="2026-01-12T00:00:00"/>
    <s v="12"/>
    <x v="0"/>
    <s v="26"/>
    <x v="0"/>
    <x v="0"/>
    <x v="6"/>
    <s v="Real"/>
    <s v="Entrepreneur"/>
    <s v="Branding"/>
    <x v="0"/>
    <x v="2"/>
    <x v="3"/>
    <s v="F12.01.01"/>
    <n v="1"/>
    <s v="menjelaskan dinamika sosial yang terjadi di masyarakat"/>
    <s v="01.01"/>
    <x v="36"/>
    <s v="K12"/>
    <s v="F"/>
    <n v="70"/>
    <n v="65"/>
    <s v="Tidak tuntas"/>
    <s v="Pendidikan Pancasila"/>
    <x v="7"/>
    <x v="10"/>
    <n v="65"/>
    <x v="3"/>
    <n v="12"/>
    <x v="0"/>
    <x v="1"/>
    <x v="7"/>
  </r>
  <r>
    <n v="2214"/>
    <s v="232410009"/>
    <x v="2"/>
    <x v="20"/>
    <s v="Intan Jaya"/>
    <d v="2026-01-16T00:00:00"/>
    <s v="16"/>
    <x v="0"/>
    <s v="26"/>
    <x v="0"/>
    <x v="0"/>
    <x v="6"/>
    <s v="Remedial"/>
    <s v="Entrepreneur"/>
    <s v="Branding"/>
    <x v="0"/>
    <x v="2"/>
    <x v="3"/>
    <s v="F12.01.01"/>
    <n v="1"/>
    <s v="menjelaskan dinamika sosial yang terjadi di masyarakat"/>
    <s v="01.01"/>
    <x v="36"/>
    <s v="K12"/>
    <s v="F"/>
    <n v="70"/>
    <n v="70"/>
    <s v="Tuntas"/>
    <s v="Pendidikan Pancasila"/>
    <x v="7"/>
    <x v="10"/>
    <n v="70"/>
    <x v="1"/>
    <n v="12"/>
    <x v="0"/>
    <x v="1"/>
    <x v="7"/>
  </r>
  <r>
    <n v="2215"/>
    <s v="232410009"/>
    <x v="2"/>
    <x v="20"/>
    <s v="Intan Jaya"/>
    <d v="2026-01-19T00:00:00"/>
    <s v="19"/>
    <x v="0"/>
    <s v="26"/>
    <x v="0"/>
    <x v="0"/>
    <x v="6"/>
    <s v="Real"/>
    <s v="Entrepreneur"/>
    <s v="Branding"/>
    <x v="0"/>
    <x v="2"/>
    <x v="3"/>
    <s v="F12.02.01"/>
    <n v="2"/>
    <s v="mennganalisis dinamika persatuan bangsa dan pengaruh IPTEK terhadap isu Papua"/>
    <s v="02.01"/>
    <x v="37"/>
    <s v="K12"/>
    <s v="F"/>
    <n v="70"/>
    <n v="82"/>
    <s v="Tuntas"/>
    <s v="Pendidikan Pancasila"/>
    <x v="7"/>
    <x v="10"/>
    <n v="82"/>
    <x v="2"/>
    <n v="12"/>
    <x v="0"/>
    <x v="2"/>
    <x v="7"/>
  </r>
  <r>
    <n v="2216"/>
    <s v="232410009"/>
    <x v="2"/>
    <x v="20"/>
    <s v="Intan Jaya"/>
    <d v="2026-01-19T00:00:00"/>
    <s v="19"/>
    <x v="0"/>
    <s v="26"/>
    <x v="2"/>
    <x v="6"/>
    <x v="6"/>
    <s v="Real"/>
    <s v="Entrepreneur"/>
    <s v="Branding"/>
    <x v="0"/>
    <x v="2"/>
    <x v="3"/>
    <s v="F12.02.01"/>
    <n v="2"/>
    <s v="mennganalisis dinamika persatuan bangsa dan pengaruh IPTEK terhadap isu Papua"/>
    <s v="02.01"/>
    <x v="37"/>
    <s v="K12"/>
    <s v="F"/>
    <n v="70"/>
    <n v="78"/>
    <s v="Tuntas"/>
    <s v="Pendidikan Pancasila"/>
    <x v="7"/>
    <x v="10"/>
    <n v="78"/>
    <x v="1"/>
    <n v="12"/>
    <x v="0"/>
    <x v="2"/>
    <x v="7"/>
  </r>
  <r>
    <n v="2217"/>
    <s v="232410009"/>
    <x v="2"/>
    <x v="20"/>
    <s v="Intan Jaya"/>
    <d v="2026-01-19T00:00:00"/>
    <s v="19"/>
    <x v="0"/>
    <s v="26"/>
    <x v="3"/>
    <x v="4"/>
    <x v="15"/>
    <s v="Real"/>
    <s v="Entrepreneur"/>
    <s v="Branding"/>
    <x v="0"/>
    <x v="2"/>
    <x v="3"/>
    <s v="F12.02.01"/>
    <n v="2"/>
    <s v="mennganalisis dinamika persatuan bangsa dan pengaruh IPTEK terhadap isu Papua"/>
    <s v="02.01"/>
    <x v="37"/>
    <s v="K12"/>
    <s v="F"/>
    <n v="70"/>
    <n v="73"/>
    <s v="Tuntas"/>
    <s v="Pendidikan Pancasila"/>
    <x v="7"/>
    <x v="10"/>
    <n v="73"/>
    <x v="1"/>
    <n v="12"/>
    <x v="1"/>
    <x v="2"/>
    <x v="7"/>
  </r>
  <r>
    <n v="2218"/>
    <s v="232410009"/>
    <x v="2"/>
    <x v="20"/>
    <s v="Intan Jaya"/>
    <d v="2026-01-19T00:00:00"/>
    <s v="19"/>
    <x v="0"/>
    <s v="26"/>
    <x v="4"/>
    <x v="5"/>
    <x v="0"/>
    <s v="Real"/>
    <s v="Entrepreneur"/>
    <s v="Branding"/>
    <x v="0"/>
    <x v="2"/>
    <x v="3"/>
    <s v="F12.02.01"/>
    <n v="2"/>
    <s v="mennganalisis dinamika persatuan bangsa dan pengaruh IPTEK terhadap isu Papua"/>
    <s v="02.01"/>
    <x v="37"/>
    <s v="K12"/>
    <s v="F"/>
    <n v="70"/>
    <n v="72"/>
    <s v="Tuntas"/>
    <s v="Pendidikan Pancasila"/>
    <x v="7"/>
    <x v="10"/>
    <n v="72"/>
    <x v="1"/>
    <n v="12"/>
    <x v="0"/>
    <x v="2"/>
    <x v="7"/>
  </r>
  <r>
    <n v="2219"/>
    <s v="232410009"/>
    <x v="2"/>
    <x v="20"/>
    <s v="Intan Jaya"/>
    <d v="2026-02-02T00:00:00"/>
    <s v="02"/>
    <x v="1"/>
    <s v="26"/>
    <x v="3"/>
    <x v="8"/>
    <x v="16"/>
    <s v="Real"/>
    <s v="Entrepreneur"/>
    <s v="Branding"/>
    <x v="0"/>
    <x v="2"/>
    <x v="3"/>
    <s v="F12.01.03"/>
    <n v="1"/>
    <s v="menjelaskan dinamika sosial yang terjadi di masyarakat"/>
    <s v="01.03"/>
    <x v="38"/>
    <s v="K12"/>
    <s v="F"/>
    <n v="70"/>
    <n v="77"/>
    <s v="Tuntas"/>
    <s v="Pendidikan Pancasila"/>
    <x v="7"/>
    <x v="10"/>
    <n v="77"/>
    <x v="1"/>
    <n v="12"/>
    <x v="1"/>
    <x v="4"/>
    <x v="7"/>
  </r>
  <r>
    <n v="2220"/>
    <s v="232410009"/>
    <x v="2"/>
    <x v="20"/>
    <s v="Intan Jaya"/>
    <d v="2026-02-02T00:00:00"/>
    <s v="02"/>
    <x v="1"/>
    <s v="26"/>
    <x v="1"/>
    <x v="14"/>
    <x v="6"/>
    <s v="Real"/>
    <s v="Entrepreneur"/>
    <s v="Branding"/>
    <x v="0"/>
    <x v="2"/>
    <x v="3"/>
    <s v="F12.01.03"/>
    <n v="1"/>
    <s v="menjelaskan dinamika sosial yang terjadi di masyarakat"/>
    <s v="01.03"/>
    <x v="38"/>
    <s v="K12"/>
    <s v="F"/>
    <n v="70"/>
    <n v="75"/>
    <s v="Tuntas"/>
    <s v="Pendidikan Pancasila"/>
    <x v="7"/>
    <x v="10"/>
    <n v="75"/>
    <x v="1"/>
    <n v="12"/>
    <x v="0"/>
    <x v="4"/>
    <x v="7"/>
  </r>
  <r>
    <n v="2221"/>
    <s v="232410009"/>
    <x v="2"/>
    <x v="20"/>
    <s v="Intan Jaya"/>
    <d v="2026-02-02T00:00:00"/>
    <s v="02"/>
    <x v="1"/>
    <s v="26"/>
    <x v="4"/>
    <x v="5"/>
    <x v="0"/>
    <s v="Real"/>
    <s v="Entrepreneur"/>
    <s v="Branding"/>
    <x v="0"/>
    <x v="2"/>
    <x v="3"/>
    <s v="F12.01.03"/>
    <n v="1"/>
    <s v="menjelaskan dinamika sosial yang terjadi di masyarakat"/>
    <s v="01.03"/>
    <x v="38"/>
    <s v="K12"/>
    <s v="F"/>
    <n v="70"/>
    <n v="75"/>
    <s v="Tuntas"/>
    <s v="Pendidikan Pancasila"/>
    <x v="7"/>
    <x v="10"/>
    <n v="75"/>
    <x v="1"/>
    <n v="12"/>
    <x v="0"/>
    <x v="4"/>
    <x v="7"/>
  </r>
  <r>
    <n v="2222"/>
    <s v="232410009"/>
    <x v="2"/>
    <x v="20"/>
    <s v="Intan Jaya"/>
    <d v="2026-02-02T00:00:00"/>
    <s v="02"/>
    <x v="1"/>
    <s v="26"/>
    <x v="2"/>
    <x v="6"/>
    <x v="6"/>
    <s v="Real"/>
    <s v="Entrepreneur"/>
    <s v="Branding"/>
    <x v="0"/>
    <x v="2"/>
    <x v="3"/>
    <s v="F12.01.03"/>
    <n v="1"/>
    <s v="menjelaskan dinamika sosial yang terjadi di masyarakat"/>
    <s v="01.03"/>
    <x v="38"/>
    <s v="K12"/>
    <s v="F"/>
    <n v="70"/>
    <n v="70"/>
    <s v="Tuntas"/>
    <s v="Pendidikan Pancasila"/>
    <x v="7"/>
    <x v="10"/>
    <n v="70"/>
    <x v="1"/>
    <n v="12"/>
    <x v="0"/>
    <x v="4"/>
    <x v="7"/>
  </r>
  <r>
    <n v="2223"/>
    <s v="232410009"/>
    <x v="2"/>
    <x v="20"/>
    <s v="Intan Jaya"/>
    <d v="2026-02-02T00:00:00"/>
    <s v="02"/>
    <x v="1"/>
    <s v="26"/>
    <x v="0"/>
    <x v="0"/>
    <x v="2"/>
    <s v="Real"/>
    <s v="Entrepreneur"/>
    <s v="Branding"/>
    <x v="0"/>
    <x v="2"/>
    <x v="3"/>
    <s v="F12.01.03"/>
    <n v="1"/>
    <s v="menjelaskan dinamika sosial yang terjadi di masyarakat"/>
    <s v="01.03"/>
    <x v="38"/>
    <s v="K12"/>
    <s v="F"/>
    <n v="70"/>
    <n v="70"/>
    <s v="Tuntas"/>
    <s v="Pendidikan Pancasila"/>
    <x v="7"/>
    <x v="10"/>
    <n v="70"/>
    <x v="1"/>
    <n v="12"/>
    <x v="0"/>
    <x v="4"/>
    <x v="7"/>
  </r>
  <r>
    <n v="2224"/>
    <s v="232410009"/>
    <x v="2"/>
    <x v="20"/>
    <s v="Intan Jaya"/>
    <d v="2026-02-06T00:00:00"/>
    <s v="06"/>
    <x v="1"/>
    <s v="26"/>
    <x v="1"/>
    <x v="13"/>
    <x v="6"/>
    <s v="Real"/>
    <s v="Entrepreneur"/>
    <s v="Branding"/>
    <x v="0"/>
    <x v="2"/>
    <x v="3"/>
    <s v="F12.01.04"/>
    <n v="1"/>
    <s v="menjelaskan dinamika sosial yang terjadi di masyarakat"/>
    <s v="01.04"/>
    <x v="39"/>
    <s v="K12"/>
    <s v="F"/>
    <n v="70"/>
    <n v="76"/>
    <s v="Tuntas"/>
    <s v="Pendidikan Pancasila"/>
    <x v="7"/>
    <x v="10"/>
    <n v="76"/>
    <x v="1"/>
    <n v="12"/>
    <x v="0"/>
    <x v="4"/>
    <x v="7"/>
  </r>
  <r>
    <n v="2225"/>
    <s v="232410009"/>
    <x v="2"/>
    <x v="20"/>
    <s v="Intan Jaya"/>
    <d v="2026-02-06T00:00:00"/>
    <s v="06"/>
    <x v="1"/>
    <s v="26"/>
    <x v="0"/>
    <x v="0"/>
    <x v="6"/>
    <s v="Real"/>
    <s v="Entrepreneur"/>
    <s v="Branding"/>
    <x v="0"/>
    <x v="2"/>
    <x v="3"/>
    <s v="F12.01.03"/>
    <n v="1"/>
    <s v="menjelaskan dinamika sosial yang terjadi di masyarakat"/>
    <s v="01.03"/>
    <x v="38"/>
    <s v="K12"/>
    <s v="F"/>
    <n v="70"/>
    <n v="76"/>
    <s v="Tuntas"/>
    <s v="Pendidikan Pancasila"/>
    <x v="7"/>
    <x v="10"/>
    <n v="76"/>
    <x v="1"/>
    <n v="12"/>
    <x v="0"/>
    <x v="4"/>
    <x v="7"/>
  </r>
  <r>
    <n v="2226"/>
    <s v="232410008"/>
    <x v="2"/>
    <x v="21"/>
    <s v="Intan Jaya"/>
    <d v="2026-01-12T00:00:00"/>
    <s v="12"/>
    <x v="0"/>
    <s v="26"/>
    <x v="3"/>
    <x v="4"/>
    <x v="5"/>
    <s v="Real"/>
    <s v="Entrepreneur"/>
    <s v="Branding"/>
    <x v="0"/>
    <x v="2"/>
    <x v="3"/>
    <s v="F12.01.01"/>
    <n v="1"/>
    <s v="menjelaskan dinamika sosial yang terjadi di masyarakat"/>
    <s v="01.01"/>
    <x v="36"/>
    <s v="K12"/>
    <s v="F"/>
    <n v="70"/>
    <n v="77"/>
    <s v="Tuntas"/>
    <s v="Pendidikan Pancasila"/>
    <x v="7"/>
    <x v="10"/>
    <n v="77"/>
    <x v="1"/>
    <n v="12"/>
    <x v="1"/>
    <x v="1"/>
    <x v="2"/>
  </r>
  <r>
    <n v="2227"/>
    <s v="232410008"/>
    <x v="2"/>
    <x v="21"/>
    <s v="Intan Jaya"/>
    <d v="2026-01-12T00:00:00"/>
    <s v="12"/>
    <x v="0"/>
    <s v="26"/>
    <x v="4"/>
    <x v="5"/>
    <x v="0"/>
    <s v="Real"/>
    <s v="Entrepreneur"/>
    <s v="Branding"/>
    <x v="0"/>
    <x v="2"/>
    <x v="3"/>
    <s v="F12.01.01"/>
    <n v="1"/>
    <s v="menjelaskan dinamika sosial yang terjadi di masyarakat"/>
    <s v="01.01"/>
    <x v="36"/>
    <s v="K12"/>
    <s v="F"/>
    <n v="70"/>
    <n v="76"/>
    <s v="Tuntas"/>
    <s v="Pendidikan Pancasila"/>
    <x v="7"/>
    <x v="10"/>
    <n v="76"/>
    <x v="1"/>
    <n v="12"/>
    <x v="0"/>
    <x v="1"/>
    <x v="2"/>
  </r>
  <r>
    <n v="2228"/>
    <s v="232410008"/>
    <x v="2"/>
    <x v="21"/>
    <s v="Intan Jaya"/>
    <d v="2026-01-12T00:00:00"/>
    <s v="12"/>
    <x v="0"/>
    <s v="26"/>
    <x v="2"/>
    <x v="6"/>
    <x v="6"/>
    <s v="Real"/>
    <s v="Entrepreneur"/>
    <s v="Branding"/>
    <x v="0"/>
    <x v="2"/>
    <x v="3"/>
    <s v="F12.01.01"/>
    <n v="1"/>
    <s v="menjelaskan dinamika sosial yang terjadi di masyarakat"/>
    <s v="01.01"/>
    <x v="36"/>
    <s v="K12"/>
    <s v="F"/>
    <n v="70"/>
    <n v="70"/>
    <s v="Tuntas"/>
    <s v="Pendidikan Pancasila"/>
    <x v="7"/>
    <x v="10"/>
    <n v="70"/>
    <x v="1"/>
    <n v="12"/>
    <x v="0"/>
    <x v="1"/>
    <x v="2"/>
  </r>
  <r>
    <n v="2229"/>
    <s v="232410008"/>
    <x v="2"/>
    <x v="21"/>
    <s v="Intan Jaya"/>
    <d v="2026-01-12T00:00:00"/>
    <s v="12"/>
    <x v="0"/>
    <s v="26"/>
    <x v="0"/>
    <x v="0"/>
    <x v="6"/>
    <s v="Real"/>
    <s v="Entrepreneur"/>
    <s v="Branding"/>
    <x v="0"/>
    <x v="2"/>
    <x v="3"/>
    <s v="F12.01.01"/>
    <n v="1"/>
    <s v="menjelaskan dinamika sosial yang terjadi di masyarakat"/>
    <s v="01.01"/>
    <x v="36"/>
    <s v="K12"/>
    <s v="F"/>
    <n v="70"/>
    <n v="67"/>
    <s v="Tidak tuntas"/>
    <s v="Pendidikan Pancasila"/>
    <x v="7"/>
    <x v="10"/>
    <n v="67"/>
    <x v="3"/>
    <n v="12"/>
    <x v="0"/>
    <x v="1"/>
    <x v="2"/>
  </r>
  <r>
    <n v="2230"/>
    <s v="232410008"/>
    <x v="2"/>
    <x v="21"/>
    <s v="Intan Jaya"/>
    <d v="2026-01-16T00:00:00"/>
    <s v="16"/>
    <x v="0"/>
    <s v="26"/>
    <x v="0"/>
    <x v="0"/>
    <x v="6"/>
    <s v="Remedial"/>
    <s v="Entrepreneur"/>
    <s v="Branding"/>
    <x v="0"/>
    <x v="2"/>
    <x v="3"/>
    <s v="F12.01.01"/>
    <n v="1"/>
    <s v="menjelaskan dinamika sosial yang terjadi di masyarakat"/>
    <s v="01.01"/>
    <x v="36"/>
    <s v="K12"/>
    <s v="F"/>
    <n v="70"/>
    <n v="73"/>
    <s v="Tuntas"/>
    <s v="Pendidikan Pancasila"/>
    <x v="7"/>
    <x v="10"/>
    <n v="73"/>
    <x v="1"/>
    <n v="12"/>
    <x v="0"/>
    <x v="1"/>
    <x v="2"/>
  </r>
  <r>
    <n v="2231"/>
    <s v="232410008"/>
    <x v="2"/>
    <x v="21"/>
    <s v="Intan Jaya"/>
    <d v="2026-01-19T00:00:00"/>
    <s v="19"/>
    <x v="0"/>
    <s v="26"/>
    <x v="0"/>
    <x v="0"/>
    <x v="6"/>
    <s v="Real"/>
    <s v="Entrepreneur"/>
    <s v="Branding"/>
    <x v="0"/>
    <x v="2"/>
    <x v="3"/>
    <s v="F12.02.01"/>
    <n v="2"/>
    <s v="mennganalisis dinamika persatuan bangsa dan pengaruh IPTEK terhadap isu Papua"/>
    <s v="02.01"/>
    <x v="37"/>
    <s v="K12"/>
    <s v="F"/>
    <n v="70"/>
    <n v="74"/>
    <s v="Tuntas"/>
    <s v="Pendidikan Pancasila"/>
    <x v="7"/>
    <x v="10"/>
    <n v="74"/>
    <x v="1"/>
    <n v="12"/>
    <x v="0"/>
    <x v="2"/>
    <x v="2"/>
  </r>
  <r>
    <n v="2232"/>
    <s v="232410008"/>
    <x v="2"/>
    <x v="21"/>
    <s v="Intan Jaya"/>
    <d v="2026-01-19T00:00:00"/>
    <s v="19"/>
    <x v="0"/>
    <s v="26"/>
    <x v="2"/>
    <x v="6"/>
    <x v="6"/>
    <s v="Real"/>
    <s v="Entrepreneur"/>
    <s v="Branding"/>
    <x v="0"/>
    <x v="2"/>
    <x v="3"/>
    <s v="F12.02.01"/>
    <n v="2"/>
    <s v="mennganalisis dinamika persatuan bangsa dan pengaruh IPTEK terhadap isu Papua"/>
    <s v="02.01"/>
    <x v="37"/>
    <s v="K12"/>
    <s v="F"/>
    <n v="70"/>
    <n v="72"/>
    <s v="Tuntas"/>
    <s v="Pendidikan Pancasila"/>
    <x v="7"/>
    <x v="10"/>
    <n v="72"/>
    <x v="1"/>
    <n v="12"/>
    <x v="0"/>
    <x v="2"/>
    <x v="2"/>
  </r>
  <r>
    <n v="2233"/>
    <s v="232410008"/>
    <x v="2"/>
    <x v="21"/>
    <s v="Intan Jaya"/>
    <d v="2026-01-19T00:00:00"/>
    <s v="19"/>
    <x v="0"/>
    <s v="26"/>
    <x v="3"/>
    <x v="4"/>
    <x v="15"/>
    <s v="Real"/>
    <s v="Entrepreneur"/>
    <s v="Branding"/>
    <x v="0"/>
    <x v="2"/>
    <x v="3"/>
    <s v="F12.02.01"/>
    <n v="2"/>
    <s v="mennganalisis dinamika persatuan bangsa dan pengaruh IPTEK terhadap isu Papua"/>
    <s v="02.01"/>
    <x v="37"/>
    <s v="K12"/>
    <s v="F"/>
    <n v="70"/>
    <n v="76"/>
    <s v="Tuntas"/>
    <s v="Pendidikan Pancasila"/>
    <x v="7"/>
    <x v="10"/>
    <n v="76"/>
    <x v="1"/>
    <n v="12"/>
    <x v="1"/>
    <x v="2"/>
    <x v="2"/>
  </r>
  <r>
    <n v="2234"/>
    <s v="232410008"/>
    <x v="2"/>
    <x v="21"/>
    <s v="Intan Jaya"/>
    <d v="2026-01-19T00:00:00"/>
    <s v="19"/>
    <x v="0"/>
    <s v="26"/>
    <x v="4"/>
    <x v="5"/>
    <x v="0"/>
    <s v="Real"/>
    <s v="Entrepreneur"/>
    <s v="Branding"/>
    <x v="0"/>
    <x v="2"/>
    <x v="3"/>
    <s v="F12.02.01"/>
    <n v="2"/>
    <s v="mennganalisis dinamika persatuan bangsa dan pengaruh IPTEK terhadap isu Papua"/>
    <s v="02.01"/>
    <x v="37"/>
    <s v="K12"/>
    <s v="F"/>
    <n v="70"/>
    <n v="74"/>
    <s v="Tuntas"/>
    <s v="Pendidikan Pancasila"/>
    <x v="7"/>
    <x v="10"/>
    <n v="74"/>
    <x v="1"/>
    <n v="12"/>
    <x v="0"/>
    <x v="2"/>
    <x v="2"/>
  </r>
  <r>
    <n v="2235"/>
    <s v="232410008"/>
    <x v="2"/>
    <x v="21"/>
    <s v="Intan Jaya"/>
    <d v="2026-02-02T00:00:00"/>
    <s v="02"/>
    <x v="1"/>
    <s v="26"/>
    <x v="3"/>
    <x v="8"/>
    <x v="16"/>
    <s v="Real"/>
    <s v="Entrepreneur"/>
    <s v="Branding"/>
    <x v="0"/>
    <x v="2"/>
    <x v="3"/>
    <s v="F12.01.03"/>
    <n v="1"/>
    <s v="menjelaskan dinamika sosial yang terjadi di masyarakat"/>
    <s v="01.03"/>
    <x v="38"/>
    <s v="K12"/>
    <s v="F"/>
    <n v="70"/>
    <n v="80"/>
    <s v="Tuntas"/>
    <s v="Pendidikan Pancasila"/>
    <x v="7"/>
    <x v="10"/>
    <n v="80"/>
    <x v="2"/>
    <n v="12"/>
    <x v="2"/>
    <x v="4"/>
    <x v="2"/>
  </r>
  <r>
    <n v="2236"/>
    <s v="232410008"/>
    <x v="2"/>
    <x v="21"/>
    <s v="Intan Jaya"/>
    <d v="2026-02-02T00:00:00"/>
    <s v="02"/>
    <x v="1"/>
    <s v="26"/>
    <x v="1"/>
    <x v="14"/>
    <x v="6"/>
    <s v="Real"/>
    <s v="Entrepreneur"/>
    <s v="Branding"/>
    <x v="0"/>
    <x v="2"/>
    <x v="3"/>
    <s v="F12.01.03"/>
    <n v="1"/>
    <s v="menjelaskan dinamika sosial yang terjadi di masyarakat"/>
    <s v="01.03"/>
    <x v="38"/>
    <s v="K12"/>
    <s v="F"/>
    <n v="70"/>
    <n v="80"/>
    <s v="Tuntas"/>
    <s v="Pendidikan Pancasila"/>
    <x v="7"/>
    <x v="10"/>
    <n v="80"/>
    <x v="2"/>
    <n v="12"/>
    <x v="0"/>
    <x v="4"/>
    <x v="2"/>
  </r>
  <r>
    <n v="2237"/>
    <s v="232410008"/>
    <x v="2"/>
    <x v="21"/>
    <s v="Intan Jaya"/>
    <d v="2026-02-02T00:00:00"/>
    <s v="02"/>
    <x v="1"/>
    <s v="26"/>
    <x v="4"/>
    <x v="5"/>
    <x v="0"/>
    <s v="Real"/>
    <s v="Entrepreneur"/>
    <s v="Branding"/>
    <x v="0"/>
    <x v="2"/>
    <x v="3"/>
    <s v="F12.01.03"/>
    <n v="1"/>
    <s v="menjelaskan dinamika sosial yang terjadi di masyarakat"/>
    <s v="01.03"/>
    <x v="38"/>
    <s v="K12"/>
    <s v="F"/>
    <n v="70"/>
    <n v="78"/>
    <s v="Tuntas"/>
    <s v="Pendidikan Pancasila"/>
    <x v="7"/>
    <x v="10"/>
    <n v="78"/>
    <x v="1"/>
    <n v="12"/>
    <x v="0"/>
    <x v="4"/>
    <x v="2"/>
  </r>
  <r>
    <n v="2238"/>
    <s v="232410008"/>
    <x v="2"/>
    <x v="21"/>
    <s v="Intan Jaya"/>
    <d v="2026-02-02T00:00:00"/>
    <s v="02"/>
    <x v="1"/>
    <s v="26"/>
    <x v="2"/>
    <x v="6"/>
    <x v="6"/>
    <s v="Real"/>
    <s v="Entrepreneur"/>
    <s v="Branding"/>
    <x v="0"/>
    <x v="2"/>
    <x v="3"/>
    <s v="F12.01.03"/>
    <n v="1"/>
    <s v="menjelaskan dinamika sosial yang terjadi di masyarakat"/>
    <s v="01.03"/>
    <x v="38"/>
    <s v="K12"/>
    <s v="F"/>
    <n v="70"/>
    <n v="72"/>
    <s v="Tuntas"/>
    <s v="Pendidikan Pancasila"/>
    <x v="7"/>
    <x v="10"/>
    <n v="72"/>
    <x v="1"/>
    <n v="12"/>
    <x v="0"/>
    <x v="4"/>
    <x v="2"/>
  </r>
  <r>
    <n v="2239"/>
    <s v="232410008"/>
    <x v="2"/>
    <x v="21"/>
    <s v="Intan Jaya"/>
    <d v="2026-02-02T00:00:00"/>
    <s v="02"/>
    <x v="1"/>
    <s v="26"/>
    <x v="0"/>
    <x v="0"/>
    <x v="2"/>
    <s v="Real"/>
    <s v="Entrepreneur"/>
    <s v="Branding"/>
    <x v="0"/>
    <x v="2"/>
    <x v="3"/>
    <s v="F12.01.03"/>
    <n v="1"/>
    <s v="menjelaskan dinamika sosial yang terjadi di masyarakat"/>
    <s v="01.03"/>
    <x v="38"/>
    <s v="K12"/>
    <s v="F"/>
    <n v="70"/>
    <n v="70"/>
    <s v="Tuntas"/>
    <s v="Pendidikan Pancasila"/>
    <x v="7"/>
    <x v="10"/>
    <n v="70"/>
    <x v="1"/>
    <n v="12"/>
    <x v="0"/>
    <x v="4"/>
    <x v="2"/>
  </r>
  <r>
    <n v="2240"/>
    <s v="232410008"/>
    <x v="2"/>
    <x v="21"/>
    <s v="Intan Jaya"/>
    <d v="2026-02-06T00:00:00"/>
    <s v="06"/>
    <x v="1"/>
    <s v="26"/>
    <x v="1"/>
    <x v="13"/>
    <x v="6"/>
    <s v="Real"/>
    <s v="Entrepreneur"/>
    <s v="Branding"/>
    <x v="0"/>
    <x v="2"/>
    <x v="3"/>
    <s v="F12.01.04"/>
    <n v="1"/>
    <s v="menjelaskan dinamika sosial yang terjadi di masyarakat"/>
    <s v="01.04"/>
    <x v="39"/>
    <s v="K12"/>
    <s v="F"/>
    <n v="70"/>
    <n v="78"/>
    <s v="Tuntas"/>
    <s v="Pendidikan Pancasila"/>
    <x v="7"/>
    <x v="10"/>
    <n v="78"/>
    <x v="1"/>
    <n v="12"/>
    <x v="0"/>
    <x v="4"/>
    <x v="2"/>
  </r>
  <r>
    <n v="2241"/>
    <s v="232410008"/>
    <x v="2"/>
    <x v="21"/>
    <s v="Intan Jaya"/>
    <d v="2026-02-06T00:00:00"/>
    <s v="06"/>
    <x v="1"/>
    <s v="26"/>
    <x v="0"/>
    <x v="0"/>
    <x v="6"/>
    <s v="Real"/>
    <s v="Entrepreneur"/>
    <s v="Branding"/>
    <x v="0"/>
    <x v="2"/>
    <x v="3"/>
    <s v="F12.01.03"/>
    <n v="1"/>
    <s v="menjelaskan dinamika sosial yang terjadi di masyarakat"/>
    <s v="01.03"/>
    <x v="38"/>
    <s v="K12"/>
    <s v="F"/>
    <n v="70"/>
    <n v="78"/>
    <s v="Tuntas"/>
    <s v="Pendidikan Pancasila"/>
    <x v="7"/>
    <x v="10"/>
    <n v="78"/>
    <x v="1"/>
    <n v="12"/>
    <x v="0"/>
    <x v="4"/>
    <x v="2"/>
  </r>
  <r>
    <n v="2242"/>
    <s v="#N/A"/>
    <x v="3"/>
    <x v="22"/>
    <s v="#REF!"/>
    <m/>
    <s v="#REF!"/>
    <x v="4"/>
    <s v="#REF!"/>
    <x v="7"/>
    <x v="18"/>
    <x v="20"/>
    <s v="#REF!"/>
    <s v=""/>
    <s v=""/>
    <x v="1"/>
    <x v="3"/>
    <x v="6"/>
    <s v="#REF!"/>
    <m/>
    <s v=""/>
    <s v="#REF!"/>
    <x v="40"/>
    <s v="#REF!"/>
    <s v="#REF!"/>
    <m/>
    <m/>
    <s v="#REF!"/>
    <s v="#REF!"/>
    <x v="8"/>
    <x v="0"/>
    <s v=""/>
    <x v="0"/>
    <s v=""/>
    <x v="0"/>
    <x v="0"/>
    <x v="0"/>
  </r>
  <r>
    <n v="2243"/>
    <s v="232410001"/>
    <x v="2"/>
    <x v="14"/>
    <s v="Dogiyai"/>
    <d v="2026-01-14T00:00:00"/>
    <s v="14"/>
    <x v="0"/>
    <s v="26"/>
    <x v="0"/>
    <x v="0"/>
    <x v="6"/>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1"/>
    <x v="2"/>
  </r>
  <r>
    <n v="2244"/>
    <s v="232410001"/>
    <x v="2"/>
    <x v="14"/>
    <s v="Dogiyai"/>
    <d v="2026-01-14T00:00:00"/>
    <s v="14"/>
    <x v="0"/>
    <s v="26"/>
    <x v="2"/>
    <x v="6"/>
    <x v="6"/>
    <s v="Real"/>
    <s v="Entrepreneur"/>
    <s v="Branding"/>
    <x v="0"/>
    <x v="2"/>
    <x v="3"/>
    <s v="F12.01.01"/>
    <n v="1"/>
    <s v="menganalisis dinamika sosial dalam kehidupan Masyarakat (pengaruh teknologi, globalisasi, konflik sosial) dan pengaruh dengan isu Papua "/>
    <s v="01.01"/>
    <x v="41"/>
    <s v="K12"/>
    <s v="F"/>
    <n v="70"/>
    <n v="75"/>
    <s v="Tuntas"/>
    <s v="Sejarah"/>
    <x v="1"/>
    <x v="11"/>
    <n v="75"/>
    <x v="1"/>
    <n v="12"/>
    <x v="0"/>
    <x v="1"/>
    <x v="2"/>
  </r>
  <r>
    <n v="2245"/>
    <s v="232410001"/>
    <x v="2"/>
    <x v="14"/>
    <s v="Dogiyai"/>
    <d v="2026-01-14T00:00:00"/>
    <s v="14"/>
    <x v="0"/>
    <s v="26"/>
    <x v="3"/>
    <x v="4"/>
    <x v="5"/>
    <s v="Real"/>
    <s v="Entrepreneur"/>
    <s v="Branding"/>
    <x v="0"/>
    <x v="2"/>
    <x v="3"/>
    <s v="F12.01.01"/>
    <n v="1"/>
    <s v="menganalisis dinamika sosial dalam kehidupan Masyarakat (pengaruh teknologi, globalisasi, konflik sosial) dan pengaruh dengan isu Papua "/>
    <s v="01.01"/>
    <x v="41"/>
    <s v="K12"/>
    <s v="F"/>
    <n v="70"/>
    <n v="78"/>
    <s v="Tuntas"/>
    <s v="Sejarah"/>
    <x v="1"/>
    <x v="11"/>
    <n v="78"/>
    <x v="1"/>
    <n v="12"/>
    <x v="1"/>
    <x v="1"/>
    <x v="2"/>
  </r>
  <r>
    <n v="2246"/>
    <s v="232410001"/>
    <x v="2"/>
    <x v="14"/>
    <s v="Dogiyai"/>
    <d v="2026-01-14T00:00:00"/>
    <s v="14"/>
    <x v="0"/>
    <s v="26"/>
    <x v="4"/>
    <x v="5"/>
    <x v="0"/>
    <s v="Real"/>
    <s v="Entrepreneur"/>
    <s v="Branding"/>
    <x v="0"/>
    <x v="2"/>
    <x v="3"/>
    <s v="F12.01.01"/>
    <n v="1"/>
    <s v="menganalisis dinamika sosial dalam kehidupan Masyarakat (pengaruh teknologi, globalisasi, konflik sosial) dan pengaruh dengan isu Papua "/>
    <s v="01.01"/>
    <x v="41"/>
    <s v="K12"/>
    <s v="F"/>
    <n v="70"/>
    <n v="75"/>
    <s v="Tuntas"/>
    <s v="Sejarah"/>
    <x v="1"/>
    <x v="11"/>
    <n v="75"/>
    <x v="1"/>
    <n v="12"/>
    <x v="0"/>
    <x v="1"/>
    <x v="2"/>
  </r>
  <r>
    <n v="2247"/>
    <s v="232410001"/>
    <x v="2"/>
    <x v="14"/>
    <s v="Dogiyai"/>
    <d v="2026-01-21T00:00:00"/>
    <s v="21"/>
    <x v="0"/>
    <s v="26"/>
    <x v="0"/>
    <x v="0"/>
    <x v="6"/>
    <s v="Real"/>
    <s v="Entrepreneur"/>
    <s v="Branding"/>
    <x v="0"/>
    <x v="2"/>
    <x v="3"/>
    <s v="F12.01.01"/>
    <n v="1"/>
    <s v="menganalisis dinamika sosial dalam kehidupan Masyarakat (pengaruh teknologi, globalisasi, konflik sosial) dan pengaruh dengan isu Papua "/>
    <s v="01.01"/>
    <x v="41"/>
    <s v="K12"/>
    <s v="F"/>
    <n v="70"/>
    <n v="80"/>
    <s v="Tuntas"/>
    <s v="Sejarah"/>
    <x v="1"/>
    <x v="11"/>
    <n v="80"/>
    <x v="2"/>
    <n v="12"/>
    <x v="0"/>
    <x v="2"/>
    <x v="2"/>
  </r>
  <r>
    <n v="2248"/>
    <s v="232410001"/>
    <x v="2"/>
    <x v="14"/>
    <s v="Dogiyai"/>
    <d v="2026-01-21T00:00:00"/>
    <s v="21"/>
    <x v="0"/>
    <s v="26"/>
    <x v="2"/>
    <x v="6"/>
    <x v="21"/>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2"/>
  </r>
  <r>
    <n v="2249"/>
    <s v="232410001"/>
    <x v="2"/>
    <x v="14"/>
    <s v="Dogiyai"/>
    <d v="2026-01-21T00:00:00"/>
    <s v="21"/>
    <x v="0"/>
    <s v="26"/>
    <x v="3"/>
    <x v="4"/>
    <x v="3"/>
    <s v="Real"/>
    <s v="Entrepreneur"/>
    <s v="Branding"/>
    <x v="0"/>
    <x v="2"/>
    <x v="3"/>
    <s v="F12.01.01"/>
    <n v="1"/>
    <s v="menganalisis dinamika sosial dalam kehidupan Masyarakat (pengaruh teknologi, globalisasi, konflik sosial) dan pengaruh dengan isu Papua "/>
    <s v="01.01"/>
    <x v="41"/>
    <s v="K12"/>
    <s v="F"/>
    <n v="70"/>
    <n v="80"/>
    <s v="Tuntas"/>
    <s v="Sejarah"/>
    <x v="1"/>
    <x v="11"/>
    <n v="80"/>
    <x v="2"/>
    <n v="12"/>
    <x v="2"/>
    <x v="2"/>
    <x v="2"/>
  </r>
  <r>
    <n v="2250"/>
    <s v="232410001"/>
    <x v="2"/>
    <x v="14"/>
    <s v="Dogiyai"/>
    <d v="2026-01-21T00:00:00"/>
    <s v="21"/>
    <x v="0"/>
    <s v="26"/>
    <x v="4"/>
    <x v="5"/>
    <x v="0"/>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2"/>
  </r>
  <r>
    <n v="2251"/>
    <s v="232410001"/>
    <x v="2"/>
    <x v="14"/>
    <s v="Dogiyai"/>
    <d v="2026-01-28T00:00:00"/>
    <s v="28"/>
    <x v="0"/>
    <s v="26"/>
    <x v="0"/>
    <x v="0"/>
    <x v="6"/>
    <s v="Real"/>
    <s v="Entrepreneur"/>
    <s v="Branding"/>
    <x v="0"/>
    <x v="2"/>
    <x v="3"/>
    <s v="F12.01.02"/>
    <n v="1"/>
    <s v="menganalisis dinamika sosial dalam kehidupan Masyarakat (pengaruh teknologi, globalisasi, konflik sosial) dan pengaruh dengan isu Papua "/>
    <s v="01.02"/>
    <x v="42"/>
    <s v="K12"/>
    <s v="F"/>
    <n v="70"/>
    <n v="75"/>
    <s v="Tuntas"/>
    <s v="Sejarah"/>
    <x v="1"/>
    <x v="11"/>
    <n v="75"/>
    <x v="1"/>
    <n v="12"/>
    <x v="0"/>
    <x v="3"/>
    <x v="2"/>
  </r>
  <r>
    <n v="2252"/>
    <s v="232410001"/>
    <x v="2"/>
    <x v="14"/>
    <s v="Dogiyai"/>
    <d v="2026-01-28T00:00:00"/>
    <s v="28"/>
    <x v="0"/>
    <s v="26"/>
    <x v="2"/>
    <x v="6"/>
    <x v="6"/>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2"/>
  </r>
  <r>
    <n v="2253"/>
    <s v="232410001"/>
    <x v="2"/>
    <x v="14"/>
    <s v="Dogiyai"/>
    <d v="2026-01-28T00:00:00"/>
    <s v="28"/>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2"/>
  </r>
  <r>
    <n v="2254"/>
    <s v="232410001"/>
    <x v="2"/>
    <x v="14"/>
    <s v="Dogiyai"/>
    <d v="2026-01-28T00:00:00"/>
    <s v="28"/>
    <x v="0"/>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2"/>
  </r>
  <r>
    <n v="2255"/>
    <s v="232410001"/>
    <x v="2"/>
    <x v="14"/>
    <s v="Dogiyai"/>
    <d v="2026-01-28T00:00:00"/>
    <s v="28"/>
    <x v="0"/>
    <s v="26"/>
    <x v="0"/>
    <x v="0"/>
    <x v="2"/>
    <s v="Real"/>
    <s v="Entrepreneur"/>
    <s v="Branding"/>
    <x v="0"/>
    <x v="2"/>
    <x v="3"/>
    <s v="F12.01.02"/>
    <n v="1"/>
    <s v="menganalisis dinamika sosial dalam kehidupan Masyarakat (pengaruh teknologi, globalisasi, konflik sosial) dan pengaruh dengan isu Papua "/>
    <s v="01.02"/>
    <x v="42"/>
    <s v="K12"/>
    <s v="F"/>
    <n v="70"/>
    <n v="80"/>
    <s v="Tuntas"/>
    <s v="Sejarah"/>
    <x v="1"/>
    <x v="11"/>
    <n v="80"/>
    <x v="2"/>
    <n v="12"/>
    <x v="0"/>
    <x v="3"/>
    <x v="2"/>
  </r>
  <r>
    <n v="2256"/>
    <s v="232410001"/>
    <x v="2"/>
    <x v="14"/>
    <s v="Dogiyai"/>
    <d v="2026-01-28T00:00:00"/>
    <s v="28"/>
    <x v="0"/>
    <s v="26"/>
    <x v="2"/>
    <x v="3"/>
    <x v="21"/>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2"/>
  </r>
  <r>
    <n v="2257"/>
    <s v="232410001"/>
    <x v="2"/>
    <x v="14"/>
    <s v="Dogiyai"/>
    <d v="2026-01-30T00:00:00"/>
    <s v="30"/>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2"/>
  </r>
  <r>
    <n v="2258"/>
    <s v="232410001"/>
    <x v="2"/>
    <x v="14"/>
    <s v="Dogiyai"/>
    <d v="2026-02-04T00:00:00"/>
    <s v="04"/>
    <x v="1"/>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4"/>
    <x v="2"/>
  </r>
  <r>
    <n v="2259"/>
    <s v="232410001"/>
    <x v="2"/>
    <x v="14"/>
    <s v="Dogiyai"/>
    <d v="2026-02-04T00:00:00"/>
    <s v="04"/>
    <x v="1"/>
    <s v="26"/>
    <x v="0"/>
    <x v="0"/>
    <x v="6"/>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0"/>
    <x v="4"/>
    <x v="2"/>
  </r>
  <r>
    <n v="2260"/>
    <s v="232410001"/>
    <x v="2"/>
    <x v="14"/>
    <s v="Dogiyai"/>
    <d v="2026-02-04T00:00:00"/>
    <s v="04"/>
    <x v="1"/>
    <s v="26"/>
    <x v="2"/>
    <x v="6"/>
    <x v="6"/>
    <s v="Real"/>
    <s v="Entrepreneur"/>
    <s v="Branding"/>
    <x v="0"/>
    <x v="2"/>
    <x v="3"/>
    <s v="F12.01.03"/>
    <n v="1"/>
    <s v="menganalisis dinamika sosial dalam kehidupan Masyarakat (pengaruh teknologi, globalisasi, konflik sosial) dan pengaruh dengan isu Papua "/>
    <s v="01.03"/>
    <x v="43"/>
    <s v="K12"/>
    <s v="F"/>
    <n v="70"/>
    <n v="75"/>
    <s v="Tuntas"/>
    <s v="Sejarah"/>
    <x v="1"/>
    <x v="11"/>
    <n v="75"/>
    <x v="1"/>
    <n v="12"/>
    <x v="0"/>
    <x v="4"/>
    <x v="2"/>
  </r>
  <r>
    <n v="2261"/>
    <s v="232410001"/>
    <x v="2"/>
    <x v="14"/>
    <s v="Dogiyai"/>
    <d v="2026-02-04T00:00:00"/>
    <s v="04"/>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4"/>
    <x v="2"/>
  </r>
  <r>
    <n v="2262"/>
    <s v="232410001"/>
    <x v="2"/>
    <x v="14"/>
    <s v="Dogiyai"/>
    <d v="2026-02-11T00:00:00"/>
    <s v="11"/>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2"/>
  </r>
  <r>
    <n v="2263"/>
    <s v="232410001"/>
    <x v="2"/>
    <x v="14"/>
    <s v="Dogiyai"/>
    <d v="2026-02-11T00:00:00"/>
    <s v="11"/>
    <x v="1"/>
    <s v="26"/>
    <x v="0"/>
    <x v="0"/>
    <x v="6"/>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0"/>
    <x v="5"/>
    <x v="2"/>
  </r>
  <r>
    <n v="2264"/>
    <s v="232410001"/>
    <x v="2"/>
    <x v="14"/>
    <s v="Dogiyai"/>
    <d v="2026-02-11T00:00:00"/>
    <s v="11"/>
    <x v="1"/>
    <s v="26"/>
    <x v="2"/>
    <x v="6"/>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2"/>
  </r>
  <r>
    <n v="2265"/>
    <s v="232410001"/>
    <x v="2"/>
    <x v="14"/>
    <s v="Dogiyai"/>
    <d v="2026-02-11T00:00:00"/>
    <s v="11"/>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5"/>
    <x v="2"/>
  </r>
  <r>
    <n v="2266"/>
    <s v="232410001"/>
    <x v="2"/>
    <x v="14"/>
    <s v="Dogiyai"/>
    <d v="2026-02-18T00:00:00"/>
    <s v="18"/>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6"/>
    <x v="2"/>
  </r>
  <r>
    <n v="2267"/>
    <s v="232410001"/>
    <x v="2"/>
    <x v="14"/>
    <s v="Dogiyai"/>
    <d v="2026-02-18T00:00:00"/>
    <s v="18"/>
    <x v="1"/>
    <s v="26"/>
    <x v="0"/>
    <x v="2"/>
    <x v="17"/>
    <s v="Real"/>
    <s v="Entrepreneur"/>
    <s v="Branding"/>
    <x v="0"/>
    <x v="2"/>
    <x v="3"/>
    <s v="F12.01.02"/>
    <n v="1"/>
    <s v="menganalisis dinamika sosial dalam kehidupan Masyarakat (pengaruh teknologi, globalisasi, konflik sosial) dan pengaruh dengan isu Papua "/>
    <s v="01.02"/>
    <x v="42"/>
    <s v="K12"/>
    <s v="F"/>
    <n v="70"/>
    <n v="44"/>
    <s v="Tidak tuntas"/>
    <s v="Sejarah"/>
    <x v="1"/>
    <x v="11"/>
    <n v="44"/>
    <x v="3"/>
    <n v="12"/>
    <x v="0"/>
    <x v="6"/>
    <x v="2"/>
  </r>
  <r>
    <n v="2268"/>
    <s v="232410001"/>
    <x v="2"/>
    <x v="14"/>
    <s v="Dogiyai"/>
    <d v="2026-02-18T00:00:00"/>
    <s v="18"/>
    <x v="1"/>
    <s v="26"/>
    <x v="2"/>
    <x v="6"/>
    <x v="17"/>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6"/>
    <x v="2"/>
  </r>
  <r>
    <n v="2269"/>
    <s v="232410002"/>
    <x v="2"/>
    <x v="15"/>
    <s v="Tolikara"/>
    <d v="2026-01-14T00:00:00"/>
    <s v="14"/>
    <x v="0"/>
    <s v="26"/>
    <x v="0"/>
    <x v="0"/>
    <x v="6"/>
    <s v="Real"/>
    <s v="Entrepreneur"/>
    <s v="Branding"/>
    <x v="0"/>
    <x v="2"/>
    <x v="3"/>
    <s v="F12.01.01"/>
    <n v="1"/>
    <s v="menganalisis dinamika sosial dalam kehidupan Masyarakat (pengaruh teknologi, globalisasi, konflik sosial) dan pengaruh dengan isu Papua "/>
    <s v="01.01"/>
    <x v="41"/>
    <s v="K12"/>
    <s v="F"/>
    <n v="70"/>
    <n v="75"/>
    <s v="Tuntas"/>
    <s v="Sejarah"/>
    <x v="1"/>
    <x v="11"/>
    <n v="75"/>
    <x v="1"/>
    <n v="12"/>
    <x v="0"/>
    <x v="1"/>
    <x v="3"/>
  </r>
  <r>
    <n v="2270"/>
    <s v="232410002"/>
    <x v="2"/>
    <x v="15"/>
    <s v="Tolikara"/>
    <d v="2026-01-14T00:00:00"/>
    <s v="14"/>
    <x v="0"/>
    <s v="26"/>
    <x v="2"/>
    <x v="6"/>
    <x v="6"/>
    <s v="Real"/>
    <s v="Entrepreneur"/>
    <s v="Branding"/>
    <x v="0"/>
    <x v="2"/>
    <x v="3"/>
    <s v="F12.01.01"/>
    <n v="1"/>
    <s v="menganalisis dinamika sosial dalam kehidupan Masyarakat (pengaruh teknologi, globalisasi, konflik sosial) dan pengaruh dengan isu Papua "/>
    <s v="01.01"/>
    <x v="41"/>
    <s v="K12"/>
    <s v="F"/>
    <n v="70"/>
    <n v="74"/>
    <s v="Tuntas"/>
    <s v="Sejarah"/>
    <x v="1"/>
    <x v="11"/>
    <n v="74"/>
    <x v="1"/>
    <n v="12"/>
    <x v="0"/>
    <x v="1"/>
    <x v="3"/>
  </r>
  <r>
    <n v="2271"/>
    <s v="232410002"/>
    <x v="2"/>
    <x v="15"/>
    <s v="Tolikara"/>
    <d v="2026-01-14T00:00:00"/>
    <s v="14"/>
    <x v="0"/>
    <s v="26"/>
    <x v="3"/>
    <x v="4"/>
    <x v="5"/>
    <s v="Real"/>
    <s v="Entrepreneur"/>
    <s v="Branding"/>
    <x v="0"/>
    <x v="2"/>
    <x v="3"/>
    <s v="F12.01.01"/>
    <n v="1"/>
    <s v="menganalisis dinamika sosial dalam kehidupan Masyarakat (pengaruh teknologi, globalisasi, konflik sosial) dan pengaruh dengan isu Papua "/>
    <s v="01.01"/>
    <x v="41"/>
    <s v="K12"/>
    <s v="F"/>
    <n v="70"/>
    <n v="78"/>
    <s v="Tuntas"/>
    <s v="Sejarah"/>
    <x v="1"/>
    <x v="11"/>
    <n v="78"/>
    <x v="1"/>
    <n v="12"/>
    <x v="1"/>
    <x v="1"/>
    <x v="3"/>
  </r>
  <r>
    <n v="2272"/>
    <s v="232410002"/>
    <x v="2"/>
    <x v="15"/>
    <s v="Tolikara"/>
    <d v="2026-01-14T00:00:00"/>
    <s v="14"/>
    <x v="0"/>
    <s v="26"/>
    <x v="4"/>
    <x v="5"/>
    <x v="0"/>
    <s v="Real"/>
    <s v="Entrepreneur"/>
    <s v="Branding"/>
    <x v="0"/>
    <x v="2"/>
    <x v="3"/>
    <s v="F12.01.01"/>
    <n v="1"/>
    <s v="menganalisis dinamika sosial dalam kehidupan Masyarakat (pengaruh teknologi, globalisasi, konflik sosial) dan pengaruh dengan isu Papua "/>
    <s v="01.01"/>
    <x v="41"/>
    <s v="K12"/>
    <s v="F"/>
    <n v="70"/>
    <n v="76"/>
    <s v="Tuntas"/>
    <s v="Sejarah"/>
    <x v="1"/>
    <x v="11"/>
    <n v="76"/>
    <x v="1"/>
    <n v="12"/>
    <x v="0"/>
    <x v="1"/>
    <x v="3"/>
  </r>
  <r>
    <n v="2273"/>
    <s v="232410002"/>
    <x v="2"/>
    <x v="15"/>
    <s v="Tolikara"/>
    <d v="2026-01-21T00:00:00"/>
    <s v="21"/>
    <x v="0"/>
    <s v="26"/>
    <x v="0"/>
    <x v="0"/>
    <x v="6"/>
    <s v="Real"/>
    <s v="Entrepreneur"/>
    <s v="Branding"/>
    <x v="0"/>
    <x v="2"/>
    <x v="3"/>
    <s v="F12.01.01"/>
    <n v="1"/>
    <s v="menganalisis dinamika sosial dalam kehidupan Masyarakat (pengaruh teknologi, globalisasi, konflik sosial) dan pengaruh dengan isu Papua "/>
    <s v="01.01"/>
    <x v="41"/>
    <s v="K12"/>
    <s v="F"/>
    <n v="70"/>
    <n v="80"/>
    <s v="Tuntas"/>
    <s v="Sejarah"/>
    <x v="1"/>
    <x v="11"/>
    <n v="80"/>
    <x v="2"/>
    <n v="12"/>
    <x v="0"/>
    <x v="2"/>
    <x v="3"/>
  </r>
  <r>
    <n v="2274"/>
    <s v="232410002"/>
    <x v="2"/>
    <x v="15"/>
    <s v="Tolikara"/>
    <d v="2026-01-21T00:00:00"/>
    <s v="21"/>
    <x v="0"/>
    <s v="26"/>
    <x v="2"/>
    <x v="6"/>
    <x v="21"/>
    <s v="Real"/>
    <s v="Entrepreneur"/>
    <s v="Branding"/>
    <x v="0"/>
    <x v="2"/>
    <x v="3"/>
    <s v="F12.01.01"/>
    <n v="1"/>
    <s v="menganalisis dinamika sosial dalam kehidupan Masyarakat (pengaruh teknologi, globalisasi, konflik sosial) dan pengaruh dengan isu Papua "/>
    <s v="01.01"/>
    <x v="41"/>
    <s v="K12"/>
    <s v="F"/>
    <n v="70"/>
    <n v="75"/>
    <s v="Tuntas"/>
    <s v="Sejarah"/>
    <x v="1"/>
    <x v="11"/>
    <n v="75"/>
    <x v="1"/>
    <n v="12"/>
    <x v="0"/>
    <x v="2"/>
    <x v="3"/>
  </r>
  <r>
    <n v="2275"/>
    <s v="232410002"/>
    <x v="2"/>
    <x v="15"/>
    <s v="Tolikara"/>
    <d v="2026-01-21T00:00:00"/>
    <s v="21"/>
    <x v="0"/>
    <s v="26"/>
    <x v="3"/>
    <x v="4"/>
    <x v="3"/>
    <s v="Real"/>
    <s v="Entrepreneur"/>
    <s v="Branding"/>
    <x v="0"/>
    <x v="2"/>
    <x v="3"/>
    <s v="F12.01.01"/>
    <n v="1"/>
    <s v="menganalisis dinamika sosial dalam kehidupan Masyarakat (pengaruh teknologi, globalisasi, konflik sosial) dan pengaruh dengan isu Papua "/>
    <s v="01.01"/>
    <x v="41"/>
    <s v="K12"/>
    <s v="F"/>
    <n v="70"/>
    <n v="80"/>
    <s v="Tuntas"/>
    <s v="Sejarah"/>
    <x v="1"/>
    <x v="11"/>
    <n v="80"/>
    <x v="2"/>
    <n v="12"/>
    <x v="2"/>
    <x v="2"/>
    <x v="3"/>
  </r>
  <r>
    <n v="2276"/>
    <s v="232410002"/>
    <x v="2"/>
    <x v="15"/>
    <s v="Tolikara"/>
    <d v="2026-01-21T00:00:00"/>
    <s v="21"/>
    <x v="0"/>
    <s v="26"/>
    <x v="4"/>
    <x v="5"/>
    <x v="0"/>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3"/>
  </r>
  <r>
    <n v="2277"/>
    <s v="232410002"/>
    <x v="2"/>
    <x v="15"/>
    <s v="Tolikara"/>
    <d v="2026-01-28T00:00:00"/>
    <s v="28"/>
    <x v="0"/>
    <s v="26"/>
    <x v="0"/>
    <x v="0"/>
    <x v="6"/>
    <s v="Real"/>
    <s v="Entrepreneur"/>
    <s v="Branding"/>
    <x v="0"/>
    <x v="2"/>
    <x v="3"/>
    <s v="F12.01.02"/>
    <n v="1"/>
    <s v="menganalisis dinamika sosial dalam kehidupan Masyarakat (pengaruh teknologi, globalisasi, konflik sosial) dan pengaruh dengan isu Papua "/>
    <s v="01.02"/>
    <x v="42"/>
    <s v="K12"/>
    <s v="F"/>
    <n v="70"/>
    <n v="78"/>
    <s v="Tuntas"/>
    <s v="Sejarah"/>
    <x v="1"/>
    <x v="11"/>
    <n v="78"/>
    <x v="1"/>
    <n v="12"/>
    <x v="0"/>
    <x v="3"/>
    <x v="3"/>
  </r>
  <r>
    <n v="2278"/>
    <s v="232410002"/>
    <x v="2"/>
    <x v="15"/>
    <s v="Tolikara"/>
    <d v="2026-01-28T00:00:00"/>
    <s v="28"/>
    <x v="0"/>
    <s v="26"/>
    <x v="2"/>
    <x v="6"/>
    <x v="6"/>
    <s v="Real"/>
    <s v="Entrepreneur"/>
    <s v="Branding"/>
    <x v="0"/>
    <x v="2"/>
    <x v="3"/>
    <s v="F12.01.02"/>
    <n v="1"/>
    <s v="menganalisis dinamika sosial dalam kehidupan Masyarakat (pengaruh teknologi, globalisasi, konflik sosial) dan pengaruh dengan isu Papua "/>
    <s v="01.02"/>
    <x v="42"/>
    <s v="K12"/>
    <s v="F"/>
    <n v="70"/>
    <n v="75"/>
    <s v="Tuntas"/>
    <s v="Sejarah"/>
    <x v="1"/>
    <x v="11"/>
    <n v="75"/>
    <x v="1"/>
    <n v="12"/>
    <x v="0"/>
    <x v="3"/>
    <x v="3"/>
  </r>
  <r>
    <n v="2279"/>
    <s v="232410002"/>
    <x v="2"/>
    <x v="15"/>
    <s v="Tolikara"/>
    <d v="2026-01-28T00:00:00"/>
    <s v="28"/>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3"/>
  </r>
  <r>
    <n v="2280"/>
    <s v="232410002"/>
    <x v="2"/>
    <x v="15"/>
    <s v="Tolikara"/>
    <d v="2026-01-28T00:00:00"/>
    <s v="28"/>
    <x v="0"/>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3"/>
  </r>
  <r>
    <n v="2281"/>
    <s v="232410002"/>
    <x v="2"/>
    <x v="15"/>
    <s v="Tolikara"/>
    <d v="2026-01-28T00:00:00"/>
    <s v="28"/>
    <x v="0"/>
    <s v="26"/>
    <x v="0"/>
    <x v="0"/>
    <x v="2"/>
    <s v="Real"/>
    <s v="Entrepreneur"/>
    <s v="Branding"/>
    <x v="0"/>
    <x v="2"/>
    <x v="3"/>
    <s v="F12.01.02"/>
    <n v="1"/>
    <s v="menganalisis dinamika sosial dalam kehidupan Masyarakat (pengaruh teknologi, globalisasi, konflik sosial) dan pengaruh dengan isu Papua "/>
    <s v="01.02"/>
    <x v="42"/>
    <s v="K12"/>
    <s v="F"/>
    <n v="70"/>
    <n v="95"/>
    <s v="Tuntas"/>
    <s v="Sejarah"/>
    <x v="1"/>
    <x v="11"/>
    <n v="95"/>
    <x v="4"/>
    <n v="12"/>
    <x v="0"/>
    <x v="3"/>
    <x v="3"/>
  </r>
  <r>
    <n v="2282"/>
    <s v="232410002"/>
    <x v="2"/>
    <x v="15"/>
    <s v="Tolikara"/>
    <d v="2026-01-28T00:00:00"/>
    <s v="28"/>
    <x v="0"/>
    <s v="26"/>
    <x v="2"/>
    <x v="3"/>
    <x v="21"/>
    <s v="Real"/>
    <s v="Entrepreneur"/>
    <s v="Branding"/>
    <x v="0"/>
    <x v="2"/>
    <x v="3"/>
    <s v="F12.01.02"/>
    <n v="1"/>
    <s v="menganalisis dinamika sosial dalam kehidupan Masyarakat (pengaruh teknologi, globalisasi, konflik sosial) dan pengaruh dengan isu Papua "/>
    <s v="01.02"/>
    <x v="42"/>
    <s v="K12"/>
    <s v="F"/>
    <n v="70"/>
    <n v="75"/>
    <s v="Tuntas"/>
    <s v="Sejarah"/>
    <x v="1"/>
    <x v="11"/>
    <n v="75"/>
    <x v="1"/>
    <n v="12"/>
    <x v="0"/>
    <x v="3"/>
    <x v="3"/>
  </r>
  <r>
    <n v="2283"/>
    <s v="232410002"/>
    <x v="2"/>
    <x v="15"/>
    <s v="Tolikara"/>
    <d v="2026-01-30T00:00:00"/>
    <s v="30"/>
    <x v="0"/>
    <s v="26"/>
    <x v="3"/>
    <x v="4"/>
    <x v="3"/>
    <s v="Real"/>
    <s v="Entrepreneur"/>
    <s v="Branding"/>
    <x v="0"/>
    <x v="2"/>
    <x v="3"/>
    <s v="F12.01.02"/>
    <n v="1"/>
    <s v="menganalisis dinamika sosial dalam kehidupan Masyarakat (pengaruh teknologi, globalisasi, konflik sosial) dan pengaruh dengan isu Papua "/>
    <s v="01.02"/>
    <x v="42"/>
    <s v="K12"/>
    <s v="F"/>
    <n v="70"/>
    <n v="85"/>
    <s v="Tuntas"/>
    <s v="Sejarah"/>
    <x v="1"/>
    <x v="11"/>
    <n v="85"/>
    <x v="2"/>
    <n v="12"/>
    <x v="2"/>
    <x v="3"/>
    <x v="3"/>
  </r>
  <r>
    <n v="2284"/>
    <s v="232410002"/>
    <x v="2"/>
    <x v="15"/>
    <s v="Tolikara"/>
    <d v="2026-02-04T00:00:00"/>
    <s v="04"/>
    <x v="1"/>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4"/>
    <x v="3"/>
  </r>
  <r>
    <n v="2285"/>
    <s v="232410002"/>
    <x v="2"/>
    <x v="15"/>
    <s v="Tolikara"/>
    <d v="2026-02-04T00:00:00"/>
    <s v="04"/>
    <x v="1"/>
    <s v="26"/>
    <x v="0"/>
    <x v="0"/>
    <x v="6"/>
    <s v="Real"/>
    <s v="Entrepreneur"/>
    <s v="Branding"/>
    <x v="0"/>
    <x v="2"/>
    <x v="3"/>
    <s v="F12.01.03"/>
    <n v="1"/>
    <s v="menganalisis dinamika sosial dalam kehidupan Masyarakat (pengaruh teknologi, globalisasi, konflik sosial) dan pengaruh dengan isu Papua "/>
    <s v="01.03"/>
    <x v="43"/>
    <s v="K12"/>
    <s v="F"/>
    <n v="70"/>
    <n v="95"/>
    <s v="Tuntas"/>
    <s v="Sejarah"/>
    <x v="1"/>
    <x v="11"/>
    <n v="95"/>
    <x v="4"/>
    <n v="12"/>
    <x v="0"/>
    <x v="4"/>
    <x v="3"/>
  </r>
  <r>
    <n v="2286"/>
    <s v="232410002"/>
    <x v="2"/>
    <x v="15"/>
    <s v="Tolikara"/>
    <d v="2026-02-04T00:00:00"/>
    <s v="04"/>
    <x v="1"/>
    <s v="26"/>
    <x v="2"/>
    <x v="6"/>
    <x v="6"/>
    <s v="Real"/>
    <s v="Entrepreneur"/>
    <s v="Branding"/>
    <x v="0"/>
    <x v="2"/>
    <x v="3"/>
    <s v="F12.01.03"/>
    <n v="1"/>
    <s v="menganalisis dinamika sosial dalam kehidupan Masyarakat (pengaruh teknologi, globalisasi, konflik sosial) dan pengaruh dengan isu Papua "/>
    <s v="01.03"/>
    <x v="43"/>
    <s v="K12"/>
    <s v="F"/>
    <n v="70"/>
    <n v="75"/>
    <s v="Tuntas"/>
    <s v="Sejarah"/>
    <x v="1"/>
    <x v="11"/>
    <n v="75"/>
    <x v="1"/>
    <n v="12"/>
    <x v="0"/>
    <x v="4"/>
    <x v="3"/>
  </r>
  <r>
    <n v="2287"/>
    <s v="232410002"/>
    <x v="2"/>
    <x v="15"/>
    <s v="Tolikara"/>
    <d v="2026-02-04T00:00:00"/>
    <s v="04"/>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4"/>
    <x v="3"/>
  </r>
  <r>
    <n v="2288"/>
    <s v="232410002"/>
    <x v="2"/>
    <x v="15"/>
    <s v="Tolikara"/>
    <d v="2026-02-11T00:00:00"/>
    <s v="11"/>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3"/>
  </r>
  <r>
    <n v="2289"/>
    <s v="232410002"/>
    <x v="2"/>
    <x v="15"/>
    <s v="Tolikara"/>
    <d v="2026-02-11T00:00:00"/>
    <s v="11"/>
    <x v="1"/>
    <s v="26"/>
    <x v="0"/>
    <x v="0"/>
    <x v="6"/>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0"/>
    <x v="5"/>
    <x v="3"/>
  </r>
  <r>
    <n v="2290"/>
    <s v="232410002"/>
    <x v="2"/>
    <x v="15"/>
    <s v="Tolikara"/>
    <d v="2026-02-11T00:00:00"/>
    <s v="11"/>
    <x v="1"/>
    <s v="26"/>
    <x v="2"/>
    <x v="6"/>
    <x v="6"/>
    <s v="Real"/>
    <s v="Entrepreneur"/>
    <s v="Branding"/>
    <x v="0"/>
    <x v="2"/>
    <x v="3"/>
    <s v="F12.01.03"/>
    <n v="1"/>
    <s v="menganalisis dinamika sosial dalam kehidupan Masyarakat (pengaruh teknologi, globalisasi, konflik sosial) dan pengaruh dengan isu Papua "/>
    <s v="01.03"/>
    <x v="43"/>
    <s v="K12"/>
    <s v="F"/>
    <n v="70"/>
    <n v="75"/>
    <s v="Tuntas"/>
    <s v="Sejarah"/>
    <x v="1"/>
    <x v="11"/>
    <n v="75"/>
    <x v="1"/>
    <n v="12"/>
    <x v="0"/>
    <x v="5"/>
    <x v="3"/>
  </r>
  <r>
    <n v="2291"/>
    <s v="232410002"/>
    <x v="2"/>
    <x v="15"/>
    <s v="Tolikara"/>
    <d v="2026-02-11T00:00:00"/>
    <s v="11"/>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5"/>
    <x v="3"/>
  </r>
  <r>
    <n v="2292"/>
    <s v="232410002"/>
    <x v="2"/>
    <x v="15"/>
    <s v="Tolikara"/>
    <d v="2026-02-18T00:00:00"/>
    <s v="18"/>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6"/>
    <x v="3"/>
  </r>
  <r>
    <n v="2293"/>
    <s v="232410002"/>
    <x v="2"/>
    <x v="15"/>
    <s v="Tolikara"/>
    <d v="2026-02-18T00:00:00"/>
    <s v="18"/>
    <x v="1"/>
    <s v="26"/>
    <x v="0"/>
    <x v="2"/>
    <x v="17"/>
    <s v="Real"/>
    <s v="Entrepreneur"/>
    <s v="Branding"/>
    <x v="0"/>
    <x v="2"/>
    <x v="3"/>
    <s v="F12.01.02"/>
    <n v="1"/>
    <s v="menganalisis dinamika sosial dalam kehidupan Masyarakat (pengaruh teknologi, globalisasi, konflik sosial) dan pengaruh dengan isu Papua "/>
    <s v="01.02"/>
    <x v="42"/>
    <s v="K12"/>
    <s v="F"/>
    <n v="70"/>
    <n v="97"/>
    <s v="Tuntas"/>
    <s v="Sejarah"/>
    <x v="1"/>
    <x v="11"/>
    <n v="97"/>
    <x v="4"/>
    <n v="12"/>
    <x v="0"/>
    <x v="6"/>
    <x v="3"/>
  </r>
  <r>
    <n v="2294"/>
    <s v="232410002"/>
    <x v="2"/>
    <x v="15"/>
    <s v="Tolikara"/>
    <d v="2026-02-18T00:00:00"/>
    <s v="18"/>
    <x v="1"/>
    <s v="26"/>
    <x v="2"/>
    <x v="6"/>
    <x v="17"/>
    <s v="Real"/>
    <s v="Entrepreneur"/>
    <s v="Branding"/>
    <x v="0"/>
    <x v="2"/>
    <x v="3"/>
    <s v="F12.01.02"/>
    <n v="1"/>
    <s v="menganalisis dinamika sosial dalam kehidupan Masyarakat (pengaruh teknologi, globalisasi, konflik sosial) dan pengaruh dengan isu Papua "/>
    <s v="01.02"/>
    <x v="42"/>
    <s v="K12"/>
    <s v="F"/>
    <n v="70"/>
    <n v="75"/>
    <s v="Tuntas"/>
    <s v="Sejarah"/>
    <x v="1"/>
    <x v="11"/>
    <n v="75"/>
    <x v="1"/>
    <n v="12"/>
    <x v="0"/>
    <x v="6"/>
    <x v="3"/>
  </r>
  <r>
    <n v="2295"/>
    <s v="232410003"/>
    <x v="2"/>
    <x v="16"/>
    <s v="Dogiyai"/>
    <d v="2026-01-14T00:00:00"/>
    <s v="14"/>
    <x v="0"/>
    <s v="26"/>
    <x v="0"/>
    <x v="0"/>
    <x v="6"/>
    <s v="Real"/>
    <s v="Entrepreneur"/>
    <s v="Branding"/>
    <x v="0"/>
    <x v="2"/>
    <x v="3"/>
    <s v="F12.01.01"/>
    <n v="1"/>
    <s v="menganalisis dinamika sosial dalam kehidupan Masyarakat (pengaruh teknologi, globalisasi, konflik sosial) dan pengaruh dengan isu Papua "/>
    <s v="01.01"/>
    <x v="41"/>
    <s v="K12"/>
    <s v="F"/>
    <n v="70"/>
    <n v="80"/>
    <s v="Tuntas"/>
    <s v="Sejarah"/>
    <x v="1"/>
    <x v="11"/>
    <n v="80"/>
    <x v="2"/>
    <n v="12"/>
    <x v="0"/>
    <x v="1"/>
    <x v="4"/>
  </r>
  <r>
    <n v="2296"/>
    <s v="232410003"/>
    <x v="2"/>
    <x v="16"/>
    <s v="Dogiyai"/>
    <d v="2026-01-14T00:00:00"/>
    <s v="14"/>
    <x v="0"/>
    <s v="26"/>
    <x v="2"/>
    <x v="6"/>
    <x v="6"/>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1"/>
    <x v="4"/>
  </r>
  <r>
    <n v="2297"/>
    <s v="232410003"/>
    <x v="2"/>
    <x v="16"/>
    <s v="Dogiyai"/>
    <d v="2026-01-14T00:00:00"/>
    <s v="14"/>
    <x v="0"/>
    <s v="26"/>
    <x v="3"/>
    <x v="4"/>
    <x v="5"/>
    <s v="Real"/>
    <s v="Entrepreneur"/>
    <s v="Branding"/>
    <x v="0"/>
    <x v="2"/>
    <x v="3"/>
    <s v="F12.01.01"/>
    <n v="1"/>
    <s v="menganalisis dinamika sosial dalam kehidupan Masyarakat (pengaruh teknologi, globalisasi, konflik sosial) dan pengaruh dengan isu Papua "/>
    <s v="01.01"/>
    <x v="41"/>
    <s v="K12"/>
    <s v="F"/>
    <n v="70"/>
    <n v="79"/>
    <s v="Tuntas"/>
    <s v="Sejarah"/>
    <x v="1"/>
    <x v="11"/>
    <n v="79"/>
    <x v="1"/>
    <n v="12"/>
    <x v="1"/>
    <x v="1"/>
    <x v="4"/>
  </r>
  <r>
    <n v="2298"/>
    <s v="232410003"/>
    <x v="2"/>
    <x v="16"/>
    <s v="Dogiyai"/>
    <d v="2026-01-14T00:00:00"/>
    <s v="14"/>
    <x v="0"/>
    <s v="26"/>
    <x v="4"/>
    <x v="5"/>
    <x v="0"/>
    <s v="Real"/>
    <s v="Entrepreneur"/>
    <s v="Branding"/>
    <x v="0"/>
    <x v="2"/>
    <x v="3"/>
    <s v="F12.01.01"/>
    <n v="1"/>
    <s v="menganalisis dinamika sosial dalam kehidupan Masyarakat (pengaruh teknologi, globalisasi, konflik sosial) dan pengaruh dengan isu Papua "/>
    <s v="01.01"/>
    <x v="41"/>
    <s v="K12"/>
    <s v="F"/>
    <n v="70"/>
    <n v="75"/>
    <s v="Tuntas"/>
    <s v="Sejarah"/>
    <x v="1"/>
    <x v="11"/>
    <n v="75"/>
    <x v="1"/>
    <n v="12"/>
    <x v="0"/>
    <x v="1"/>
    <x v="4"/>
  </r>
  <r>
    <n v="2299"/>
    <s v="232410003"/>
    <x v="2"/>
    <x v="16"/>
    <s v="Dogiyai"/>
    <d v="2026-01-21T00:00:00"/>
    <s v="21"/>
    <x v="0"/>
    <s v="26"/>
    <x v="0"/>
    <x v="0"/>
    <x v="6"/>
    <s v="Real"/>
    <s v="Entrepreneur"/>
    <s v="Branding"/>
    <x v="0"/>
    <x v="2"/>
    <x v="3"/>
    <s v="F12.01.01"/>
    <n v="1"/>
    <s v="menganalisis dinamika sosial dalam kehidupan Masyarakat (pengaruh teknologi, globalisasi, konflik sosial) dan pengaruh dengan isu Papua "/>
    <s v="01.01"/>
    <x v="41"/>
    <s v="K12"/>
    <s v="F"/>
    <n v="70"/>
    <n v="75"/>
    <s v="Tuntas"/>
    <s v="Sejarah"/>
    <x v="1"/>
    <x v="11"/>
    <n v="75"/>
    <x v="1"/>
    <n v="12"/>
    <x v="0"/>
    <x v="2"/>
    <x v="4"/>
  </r>
  <r>
    <n v="2300"/>
    <s v="232410003"/>
    <x v="2"/>
    <x v="16"/>
    <s v="Dogiyai"/>
    <d v="2026-01-21T00:00:00"/>
    <s v="21"/>
    <x v="0"/>
    <s v="26"/>
    <x v="2"/>
    <x v="6"/>
    <x v="21"/>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4"/>
  </r>
  <r>
    <n v="2301"/>
    <s v="232410003"/>
    <x v="2"/>
    <x v="16"/>
    <s v="Dogiyai"/>
    <d v="2026-01-21T00:00:00"/>
    <s v="21"/>
    <x v="0"/>
    <s v="26"/>
    <x v="3"/>
    <x v="4"/>
    <x v="3"/>
    <s v="Real"/>
    <s v="Entrepreneur"/>
    <s v="Branding"/>
    <x v="0"/>
    <x v="2"/>
    <x v="3"/>
    <s v="F12.01.01"/>
    <n v="1"/>
    <s v="menganalisis dinamika sosial dalam kehidupan Masyarakat (pengaruh teknologi, globalisasi, konflik sosial) dan pengaruh dengan isu Papua "/>
    <s v="01.01"/>
    <x v="41"/>
    <s v="K12"/>
    <s v="F"/>
    <n v="70"/>
    <n v="80"/>
    <s v="Tuntas"/>
    <s v="Sejarah"/>
    <x v="1"/>
    <x v="11"/>
    <n v="80"/>
    <x v="2"/>
    <n v="12"/>
    <x v="2"/>
    <x v="2"/>
    <x v="4"/>
  </r>
  <r>
    <n v="2302"/>
    <s v="232410003"/>
    <x v="2"/>
    <x v="16"/>
    <s v="Dogiyai"/>
    <d v="2026-01-21T00:00:00"/>
    <s v="21"/>
    <x v="0"/>
    <s v="26"/>
    <x v="4"/>
    <x v="5"/>
    <x v="0"/>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4"/>
  </r>
  <r>
    <n v="2303"/>
    <s v="232410003"/>
    <x v="2"/>
    <x v="16"/>
    <s v="Dogiyai"/>
    <d v="2026-01-28T00:00:00"/>
    <s v="28"/>
    <x v="0"/>
    <s v="26"/>
    <x v="0"/>
    <x v="0"/>
    <x v="6"/>
    <s v="Real"/>
    <s v="Entrepreneur"/>
    <s v="Branding"/>
    <x v="0"/>
    <x v="2"/>
    <x v="3"/>
    <s v="F12.01.02"/>
    <n v="1"/>
    <s v="menganalisis dinamika sosial dalam kehidupan Masyarakat (pengaruh teknologi, globalisasi, konflik sosial) dan pengaruh dengan isu Papua "/>
    <s v="01.02"/>
    <x v="42"/>
    <s v="K12"/>
    <s v="F"/>
    <n v="70"/>
    <n v="80"/>
    <s v="Tuntas"/>
    <s v="Sejarah"/>
    <x v="1"/>
    <x v="11"/>
    <n v="80"/>
    <x v="2"/>
    <n v="12"/>
    <x v="0"/>
    <x v="3"/>
    <x v="4"/>
  </r>
  <r>
    <n v="2304"/>
    <s v="232410003"/>
    <x v="2"/>
    <x v="16"/>
    <s v="Dogiyai"/>
    <d v="2026-01-28T00:00:00"/>
    <s v="28"/>
    <x v="0"/>
    <s v="26"/>
    <x v="2"/>
    <x v="6"/>
    <x v="6"/>
    <s v="Real"/>
    <s v="Entrepreneur"/>
    <s v="Branding"/>
    <x v="0"/>
    <x v="2"/>
    <x v="3"/>
    <s v="F12.01.02"/>
    <n v="1"/>
    <s v="menganalisis dinamika sosial dalam kehidupan Masyarakat (pengaruh teknologi, globalisasi, konflik sosial) dan pengaruh dengan isu Papua "/>
    <s v="01.02"/>
    <x v="42"/>
    <s v="K12"/>
    <s v="F"/>
    <n v="70"/>
    <n v="75"/>
    <s v="Tuntas"/>
    <s v="Sejarah"/>
    <x v="1"/>
    <x v="11"/>
    <n v="75"/>
    <x v="1"/>
    <n v="12"/>
    <x v="0"/>
    <x v="3"/>
    <x v="4"/>
  </r>
  <r>
    <n v="2305"/>
    <s v="232410003"/>
    <x v="2"/>
    <x v="16"/>
    <s v="Dogiyai"/>
    <d v="2026-01-28T00:00:00"/>
    <s v="28"/>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4"/>
  </r>
  <r>
    <n v="2306"/>
    <s v="232410003"/>
    <x v="2"/>
    <x v="16"/>
    <s v="Dogiyai"/>
    <d v="2026-01-28T00:00:00"/>
    <s v="28"/>
    <x v="0"/>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4"/>
  </r>
  <r>
    <n v="2307"/>
    <s v="232410003"/>
    <x v="2"/>
    <x v="16"/>
    <s v="Dogiyai"/>
    <d v="2026-01-28T00:00:00"/>
    <s v="28"/>
    <x v="0"/>
    <s v="26"/>
    <x v="0"/>
    <x v="0"/>
    <x v="2"/>
    <s v="Real"/>
    <s v="Entrepreneur"/>
    <s v="Branding"/>
    <x v="0"/>
    <x v="2"/>
    <x v="3"/>
    <s v="F12.01.02"/>
    <n v="1"/>
    <s v="menganalisis dinamika sosial dalam kehidupan Masyarakat (pengaruh teknologi, globalisasi, konflik sosial) dan pengaruh dengan isu Papua "/>
    <s v="01.02"/>
    <x v="42"/>
    <s v="K12"/>
    <s v="F"/>
    <n v="70"/>
    <n v="90"/>
    <s v="Tuntas"/>
    <s v="Sejarah"/>
    <x v="1"/>
    <x v="11"/>
    <n v="90"/>
    <x v="2"/>
    <n v="12"/>
    <x v="0"/>
    <x v="3"/>
    <x v="4"/>
  </r>
  <r>
    <n v="2308"/>
    <s v="232410003"/>
    <x v="2"/>
    <x v="16"/>
    <s v="Dogiyai"/>
    <d v="2026-01-28T00:00:00"/>
    <s v="28"/>
    <x v="0"/>
    <s v="26"/>
    <x v="2"/>
    <x v="3"/>
    <x v="21"/>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4"/>
  </r>
  <r>
    <n v="2309"/>
    <s v="232410003"/>
    <x v="2"/>
    <x v="16"/>
    <s v="Dogiyai"/>
    <d v="2026-01-30T00:00:00"/>
    <s v="30"/>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4"/>
  </r>
  <r>
    <n v="2310"/>
    <s v="232410003"/>
    <x v="2"/>
    <x v="16"/>
    <s v="Dogiyai"/>
    <d v="2026-02-04T00:00:00"/>
    <s v="04"/>
    <x v="1"/>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4"/>
    <x v="4"/>
  </r>
  <r>
    <n v="2311"/>
    <s v="232410003"/>
    <x v="2"/>
    <x v="16"/>
    <s v="Dogiyai"/>
    <d v="2026-02-04T00:00:00"/>
    <s v="04"/>
    <x v="1"/>
    <s v="26"/>
    <x v="0"/>
    <x v="0"/>
    <x v="6"/>
    <s v="Real"/>
    <s v="Entrepreneur"/>
    <s v="Branding"/>
    <x v="0"/>
    <x v="2"/>
    <x v="3"/>
    <s v="F12.01.03"/>
    <n v="1"/>
    <s v="menganalisis dinamika sosial dalam kehidupan Masyarakat (pengaruh teknologi, globalisasi, konflik sosial) dan pengaruh dengan isu Papua "/>
    <s v="01.03"/>
    <x v="43"/>
    <s v="K12"/>
    <s v="F"/>
    <n v="70"/>
    <n v="90"/>
    <s v="Tuntas"/>
    <s v="Sejarah"/>
    <x v="1"/>
    <x v="11"/>
    <n v="90"/>
    <x v="2"/>
    <n v="12"/>
    <x v="0"/>
    <x v="4"/>
    <x v="4"/>
  </r>
  <r>
    <n v="2312"/>
    <s v="232410003"/>
    <x v="2"/>
    <x v="16"/>
    <s v="Dogiyai"/>
    <d v="2026-02-04T00:00:00"/>
    <s v="04"/>
    <x v="1"/>
    <s v="26"/>
    <x v="2"/>
    <x v="6"/>
    <x v="6"/>
    <s v="Real"/>
    <s v="Entrepreneur"/>
    <s v="Branding"/>
    <x v="0"/>
    <x v="2"/>
    <x v="3"/>
    <s v="F12.01.03"/>
    <n v="1"/>
    <s v="menganalisis dinamika sosial dalam kehidupan Masyarakat (pengaruh teknologi, globalisasi, konflik sosial) dan pengaruh dengan isu Papua "/>
    <s v="01.03"/>
    <x v="43"/>
    <s v="K12"/>
    <s v="F"/>
    <n v="70"/>
    <n v="75"/>
    <s v="Tuntas"/>
    <s v="Sejarah"/>
    <x v="1"/>
    <x v="11"/>
    <n v="75"/>
    <x v="1"/>
    <n v="12"/>
    <x v="0"/>
    <x v="4"/>
    <x v="4"/>
  </r>
  <r>
    <n v="2313"/>
    <s v="232410003"/>
    <x v="2"/>
    <x v="16"/>
    <s v="Dogiyai"/>
    <d v="2026-02-04T00:00:00"/>
    <s v="04"/>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4"/>
    <x v="4"/>
  </r>
  <r>
    <n v="2314"/>
    <s v="232410003"/>
    <x v="2"/>
    <x v="16"/>
    <s v="Dogiyai"/>
    <d v="2026-02-11T00:00:00"/>
    <s v="11"/>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4"/>
  </r>
  <r>
    <n v="2315"/>
    <s v="232410003"/>
    <x v="2"/>
    <x v="16"/>
    <s v="Dogiyai"/>
    <d v="2026-02-11T00:00:00"/>
    <s v="11"/>
    <x v="1"/>
    <s v="26"/>
    <x v="0"/>
    <x v="0"/>
    <x v="6"/>
    <s v="Real"/>
    <s v="Entrepreneur"/>
    <s v="Branding"/>
    <x v="0"/>
    <x v="2"/>
    <x v="3"/>
    <s v="F12.01.03"/>
    <n v="1"/>
    <s v="menganalisis dinamika sosial dalam kehidupan Masyarakat (pengaruh teknologi, globalisasi, konflik sosial) dan pengaruh dengan isu Papua "/>
    <s v="01.03"/>
    <x v="43"/>
    <s v="K12"/>
    <s v="F"/>
    <n v="70"/>
    <n v="75"/>
    <s v="Tuntas"/>
    <s v="Sejarah"/>
    <x v="1"/>
    <x v="11"/>
    <n v="75"/>
    <x v="1"/>
    <n v="12"/>
    <x v="0"/>
    <x v="5"/>
    <x v="4"/>
  </r>
  <r>
    <n v="2316"/>
    <s v="232410003"/>
    <x v="2"/>
    <x v="16"/>
    <s v="Dogiyai"/>
    <d v="2026-02-11T00:00:00"/>
    <s v="11"/>
    <x v="1"/>
    <s v="26"/>
    <x v="2"/>
    <x v="6"/>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4"/>
  </r>
  <r>
    <n v="2317"/>
    <s v="232410003"/>
    <x v="2"/>
    <x v="16"/>
    <s v="Dogiyai"/>
    <d v="2026-02-11T00:00:00"/>
    <s v="11"/>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5"/>
    <x v="4"/>
  </r>
  <r>
    <n v="2318"/>
    <s v="232410003"/>
    <x v="2"/>
    <x v="16"/>
    <s v="Dogiyai"/>
    <d v="2026-02-18T00:00:00"/>
    <s v="18"/>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6"/>
    <x v="4"/>
  </r>
  <r>
    <n v="2319"/>
    <s v="232410003"/>
    <x v="2"/>
    <x v="16"/>
    <s v="Dogiyai"/>
    <d v="2026-02-18T00:00:00"/>
    <s v="18"/>
    <x v="1"/>
    <s v="26"/>
    <x v="0"/>
    <x v="2"/>
    <x v="17"/>
    <s v="Real"/>
    <s v="Entrepreneur"/>
    <s v="Branding"/>
    <x v="0"/>
    <x v="2"/>
    <x v="3"/>
    <s v="F12.01.02"/>
    <n v="1"/>
    <s v="menganalisis dinamika sosial dalam kehidupan Masyarakat (pengaruh teknologi, globalisasi, konflik sosial) dan pengaruh dengan isu Papua "/>
    <s v="01.02"/>
    <x v="42"/>
    <s v="K12"/>
    <s v="F"/>
    <n v="70"/>
    <n v="88"/>
    <s v="Tuntas"/>
    <s v="Sejarah"/>
    <x v="1"/>
    <x v="11"/>
    <n v="88"/>
    <x v="2"/>
    <n v="12"/>
    <x v="0"/>
    <x v="6"/>
    <x v="4"/>
  </r>
  <r>
    <n v="2320"/>
    <s v="232410003"/>
    <x v="2"/>
    <x v="16"/>
    <s v="Dogiyai"/>
    <d v="2026-02-18T00:00:00"/>
    <s v="18"/>
    <x v="1"/>
    <s v="26"/>
    <x v="2"/>
    <x v="6"/>
    <x v="17"/>
    <s v="Real"/>
    <s v="Entrepreneur"/>
    <s v="Branding"/>
    <x v="0"/>
    <x v="2"/>
    <x v="3"/>
    <s v="F12.01.02"/>
    <n v="1"/>
    <s v="menganalisis dinamika sosial dalam kehidupan Masyarakat (pengaruh teknologi, globalisasi, konflik sosial) dan pengaruh dengan isu Papua "/>
    <s v="01.02"/>
    <x v="42"/>
    <s v="K12"/>
    <s v="F"/>
    <n v="70"/>
    <n v="75"/>
    <s v="Tuntas"/>
    <s v="Sejarah"/>
    <x v="1"/>
    <x v="11"/>
    <n v="75"/>
    <x v="1"/>
    <n v="12"/>
    <x v="0"/>
    <x v="6"/>
    <x v="4"/>
  </r>
  <r>
    <n v="2321"/>
    <s v="232410004"/>
    <x v="2"/>
    <x v="17"/>
    <s v="Intan Jaya"/>
    <d v="2026-01-14T00:00:00"/>
    <s v="14"/>
    <x v="0"/>
    <s v="26"/>
    <x v="0"/>
    <x v="0"/>
    <x v="6"/>
    <s v="Real"/>
    <s v="Entrepreneur"/>
    <s v="Branding"/>
    <x v="0"/>
    <x v="2"/>
    <x v="3"/>
    <s v="F12.01.01"/>
    <n v="1"/>
    <s v="menganalisis dinamika sosial dalam kehidupan Masyarakat (pengaruh teknologi, globalisasi, konflik sosial) dan pengaruh dengan isu Papua "/>
    <s v="01.01"/>
    <x v="41"/>
    <s v="K12"/>
    <s v="F"/>
    <n v="70"/>
    <n v="69"/>
    <s v="Tidak tuntas"/>
    <s v="Sejarah"/>
    <x v="1"/>
    <x v="11"/>
    <n v="69"/>
    <x v="3"/>
    <n v="12"/>
    <x v="0"/>
    <x v="1"/>
    <x v="2"/>
  </r>
  <r>
    <n v="2322"/>
    <s v="232410004"/>
    <x v="2"/>
    <x v="17"/>
    <s v="Intan Jaya"/>
    <d v="2026-01-14T00:00:00"/>
    <s v="14"/>
    <x v="0"/>
    <s v="26"/>
    <x v="2"/>
    <x v="6"/>
    <x v="6"/>
    <s v="Real"/>
    <s v="Entrepreneur"/>
    <s v="Branding"/>
    <x v="0"/>
    <x v="2"/>
    <x v="3"/>
    <s v="F12.01.01"/>
    <n v="1"/>
    <s v="menganalisis dinamika sosial dalam kehidupan Masyarakat (pengaruh teknologi, globalisasi, konflik sosial) dan pengaruh dengan isu Papua "/>
    <s v="01.01"/>
    <x v="41"/>
    <s v="K12"/>
    <s v="F"/>
    <n v="70"/>
    <n v="65"/>
    <s v="Tidak tuntas"/>
    <s v="Sejarah"/>
    <x v="1"/>
    <x v="11"/>
    <n v="65"/>
    <x v="3"/>
    <n v="12"/>
    <x v="0"/>
    <x v="1"/>
    <x v="2"/>
  </r>
  <r>
    <n v="2323"/>
    <s v="232410004"/>
    <x v="2"/>
    <x v="17"/>
    <s v="Intan Jaya"/>
    <d v="2026-01-14T00:00:00"/>
    <s v="14"/>
    <x v="0"/>
    <s v="26"/>
    <x v="3"/>
    <x v="4"/>
    <x v="5"/>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1"/>
    <x v="1"/>
    <x v="2"/>
  </r>
  <r>
    <n v="2324"/>
    <s v="232410004"/>
    <x v="2"/>
    <x v="17"/>
    <s v="Intan Jaya"/>
    <d v="2026-01-14T00:00:00"/>
    <s v="14"/>
    <x v="0"/>
    <s v="26"/>
    <x v="4"/>
    <x v="5"/>
    <x v="0"/>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1"/>
    <x v="2"/>
  </r>
  <r>
    <n v="2325"/>
    <s v="232410004"/>
    <x v="2"/>
    <x v="17"/>
    <s v="Intan Jaya"/>
    <d v="2026-01-21T00:00:00"/>
    <s v="21"/>
    <x v="0"/>
    <s v="26"/>
    <x v="0"/>
    <x v="0"/>
    <x v="6"/>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2"/>
  </r>
  <r>
    <n v="2326"/>
    <s v="232410004"/>
    <x v="2"/>
    <x v="17"/>
    <s v="Intan Jaya"/>
    <d v="2026-01-21T00:00:00"/>
    <s v="21"/>
    <x v="0"/>
    <s v="26"/>
    <x v="2"/>
    <x v="6"/>
    <x v="21"/>
    <s v="Real"/>
    <s v="Entrepreneur"/>
    <s v="Branding"/>
    <x v="0"/>
    <x v="2"/>
    <x v="3"/>
    <s v="F12.01.01"/>
    <n v="1"/>
    <s v="menganalisis dinamika sosial dalam kehidupan Masyarakat (pengaruh teknologi, globalisasi, konflik sosial) dan pengaruh dengan isu Papua "/>
    <s v="01.01"/>
    <x v="41"/>
    <s v="K12"/>
    <s v="F"/>
    <n v="70"/>
    <n v="69"/>
    <s v="Tidak tuntas"/>
    <s v="Sejarah"/>
    <x v="1"/>
    <x v="11"/>
    <n v="69"/>
    <x v="3"/>
    <n v="12"/>
    <x v="0"/>
    <x v="2"/>
    <x v="2"/>
  </r>
  <r>
    <n v="2327"/>
    <s v="232410004"/>
    <x v="2"/>
    <x v="17"/>
    <s v="Intan Jaya"/>
    <d v="2026-01-21T00:00:00"/>
    <s v="21"/>
    <x v="0"/>
    <s v="26"/>
    <x v="3"/>
    <x v="4"/>
    <x v="3"/>
    <s v="Real"/>
    <s v="Entrepreneur"/>
    <s v="Branding"/>
    <x v="0"/>
    <x v="2"/>
    <x v="3"/>
    <s v="F12.01.01"/>
    <n v="1"/>
    <s v="menganalisis dinamika sosial dalam kehidupan Masyarakat (pengaruh teknologi, globalisasi, konflik sosial) dan pengaruh dengan isu Papua "/>
    <s v="01.01"/>
    <x v="41"/>
    <s v="K12"/>
    <s v="F"/>
    <n v="70"/>
    <n v="80"/>
    <s v="Tuntas"/>
    <s v="Sejarah"/>
    <x v="1"/>
    <x v="11"/>
    <n v="80"/>
    <x v="2"/>
    <n v="12"/>
    <x v="2"/>
    <x v="2"/>
    <x v="2"/>
  </r>
  <r>
    <n v="2328"/>
    <s v="232410004"/>
    <x v="2"/>
    <x v="17"/>
    <s v="Intan Jaya"/>
    <d v="2026-01-21T00:00:00"/>
    <s v="21"/>
    <x v="0"/>
    <s v="26"/>
    <x v="4"/>
    <x v="5"/>
    <x v="0"/>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2"/>
  </r>
  <r>
    <n v="2329"/>
    <s v="232410004"/>
    <x v="2"/>
    <x v="17"/>
    <s v="Intan Jaya"/>
    <d v="2026-01-28T00:00:00"/>
    <s v="28"/>
    <x v="0"/>
    <s v="26"/>
    <x v="0"/>
    <x v="0"/>
    <x v="6"/>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2"/>
  </r>
  <r>
    <n v="2330"/>
    <s v="232410004"/>
    <x v="2"/>
    <x v="17"/>
    <s v="Intan Jaya"/>
    <d v="2026-01-28T00:00:00"/>
    <s v="28"/>
    <x v="0"/>
    <s v="26"/>
    <x v="2"/>
    <x v="6"/>
    <x v="6"/>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2"/>
  </r>
  <r>
    <n v="2331"/>
    <s v="232410004"/>
    <x v="2"/>
    <x v="17"/>
    <s v="Intan Jaya"/>
    <d v="2026-01-28T00:00:00"/>
    <s v="28"/>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2"/>
  </r>
  <r>
    <n v="2332"/>
    <s v="232410004"/>
    <x v="2"/>
    <x v="17"/>
    <s v="Intan Jaya"/>
    <d v="2026-01-28T00:00:00"/>
    <s v="28"/>
    <x v="0"/>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2"/>
  </r>
  <r>
    <n v="2333"/>
    <s v="232410004"/>
    <x v="2"/>
    <x v="17"/>
    <s v="Intan Jaya"/>
    <d v="2026-01-28T00:00:00"/>
    <s v="28"/>
    <x v="0"/>
    <s v="26"/>
    <x v="0"/>
    <x v="0"/>
    <x v="2"/>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2"/>
  </r>
  <r>
    <n v="2334"/>
    <s v="232410004"/>
    <x v="2"/>
    <x v="17"/>
    <s v="Intan Jaya"/>
    <d v="2026-01-28T00:00:00"/>
    <s v="28"/>
    <x v="0"/>
    <s v="26"/>
    <x v="2"/>
    <x v="3"/>
    <x v="21"/>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2"/>
  </r>
  <r>
    <n v="2335"/>
    <s v="232410004"/>
    <x v="2"/>
    <x v="17"/>
    <s v="Intan Jaya"/>
    <d v="2026-01-30T00:00:00"/>
    <s v="30"/>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2"/>
  </r>
  <r>
    <n v="2336"/>
    <s v="232410004"/>
    <x v="2"/>
    <x v="17"/>
    <s v="Intan Jaya"/>
    <d v="2026-02-04T00:00:00"/>
    <s v="04"/>
    <x v="1"/>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4"/>
    <x v="2"/>
  </r>
  <r>
    <n v="2337"/>
    <s v="232410004"/>
    <x v="2"/>
    <x v="17"/>
    <s v="Intan Jaya"/>
    <d v="2026-02-04T00:00:00"/>
    <s v="04"/>
    <x v="1"/>
    <s v="26"/>
    <x v="0"/>
    <x v="0"/>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4"/>
    <x v="2"/>
  </r>
  <r>
    <n v="2338"/>
    <s v="232410004"/>
    <x v="2"/>
    <x v="17"/>
    <s v="Intan Jaya"/>
    <d v="2026-02-04T00:00:00"/>
    <s v="04"/>
    <x v="1"/>
    <s v="26"/>
    <x v="2"/>
    <x v="6"/>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4"/>
    <x v="2"/>
  </r>
  <r>
    <n v="2339"/>
    <s v="232410004"/>
    <x v="2"/>
    <x v="17"/>
    <s v="Intan Jaya"/>
    <d v="2026-02-04T00:00:00"/>
    <s v="04"/>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4"/>
    <x v="2"/>
  </r>
  <r>
    <n v="2340"/>
    <s v="232410004"/>
    <x v="2"/>
    <x v="17"/>
    <s v="Intan Jaya"/>
    <d v="2026-02-11T00:00:00"/>
    <s v="11"/>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2"/>
  </r>
  <r>
    <n v="2341"/>
    <s v="232410004"/>
    <x v="2"/>
    <x v="17"/>
    <s v="Intan Jaya"/>
    <d v="2026-02-11T00:00:00"/>
    <s v="11"/>
    <x v="1"/>
    <s v="26"/>
    <x v="0"/>
    <x v="0"/>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2"/>
  </r>
  <r>
    <n v="2342"/>
    <s v="232410004"/>
    <x v="2"/>
    <x v="17"/>
    <s v="Intan Jaya"/>
    <d v="2026-02-11T00:00:00"/>
    <s v="11"/>
    <x v="1"/>
    <s v="26"/>
    <x v="2"/>
    <x v="6"/>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2"/>
  </r>
  <r>
    <n v="2343"/>
    <s v="232410004"/>
    <x v="2"/>
    <x v="17"/>
    <s v="Intan Jaya"/>
    <d v="2026-02-11T00:00:00"/>
    <s v="11"/>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5"/>
    <x v="2"/>
  </r>
  <r>
    <n v="2344"/>
    <s v="232410004"/>
    <x v="2"/>
    <x v="17"/>
    <s v="Intan Jaya"/>
    <d v="2026-02-18T00:00:00"/>
    <s v="18"/>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6"/>
    <x v="2"/>
  </r>
  <r>
    <n v="2345"/>
    <s v="232410004"/>
    <x v="2"/>
    <x v="17"/>
    <s v="Intan Jaya"/>
    <d v="2026-02-18T00:00:00"/>
    <s v="18"/>
    <x v="1"/>
    <s v="26"/>
    <x v="0"/>
    <x v="2"/>
    <x v="17"/>
    <s v="Real"/>
    <s v="Entrepreneur"/>
    <s v="Branding"/>
    <x v="0"/>
    <x v="2"/>
    <x v="3"/>
    <s v="F12.01.02"/>
    <n v="1"/>
    <s v="menganalisis dinamika sosial dalam kehidupan Masyarakat (pengaruh teknologi, globalisasi, konflik sosial) dan pengaruh dengan isu Papua "/>
    <s v="01.02"/>
    <x v="42"/>
    <s v="K12"/>
    <s v="F"/>
    <n v="70"/>
    <n v="38"/>
    <s v="Tidak tuntas"/>
    <s v="Sejarah"/>
    <x v="1"/>
    <x v="11"/>
    <n v="38"/>
    <x v="3"/>
    <n v="12"/>
    <x v="0"/>
    <x v="6"/>
    <x v="2"/>
  </r>
  <r>
    <n v="2346"/>
    <s v="232410004"/>
    <x v="2"/>
    <x v="17"/>
    <s v="Intan Jaya"/>
    <d v="2026-02-18T00:00:00"/>
    <s v="18"/>
    <x v="1"/>
    <s v="26"/>
    <x v="2"/>
    <x v="6"/>
    <x v="17"/>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6"/>
    <x v="2"/>
  </r>
  <r>
    <n v="2347"/>
    <s v="232410005"/>
    <x v="2"/>
    <x v="13"/>
    <s v="Asmat"/>
    <d v="2026-01-14T00:00:00"/>
    <s v="14"/>
    <x v="0"/>
    <s v="26"/>
    <x v="0"/>
    <x v="0"/>
    <x v="6"/>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1"/>
    <x v="3"/>
  </r>
  <r>
    <n v="2348"/>
    <s v="232410005"/>
    <x v="2"/>
    <x v="13"/>
    <s v="Asmat"/>
    <d v="2026-01-14T00:00:00"/>
    <s v="14"/>
    <x v="0"/>
    <s v="26"/>
    <x v="2"/>
    <x v="6"/>
    <x v="6"/>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1"/>
    <x v="3"/>
  </r>
  <r>
    <n v="2349"/>
    <s v="232410005"/>
    <x v="2"/>
    <x v="13"/>
    <s v="Asmat"/>
    <d v="2026-01-14T00:00:00"/>
    <s v="14"/>
    <x v="0"/>
    <s v="26"/>
    <x v="3"/>
    <x v="4"/>
    <x v="5"/>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1"/>
    <x v="1"/>
    <x v="3"/>
  </r>
  <r>
    <n v="2350"/>
    <s v="232410005"/>
    <x v="2"/>
    <x v="13"/>
    <s v="Asmat"/>
    <d v="2026-01-14T00:00:00"/>
    <s v="14"/>
    <x v="0"/>
    <s v="26"/>
    <x v="4"/>
    <x v="5"/>
    <x v="0"/>
    <s v="Real"/>
    <s v="Entrepreneur"/>
    <s v="Branding"/>
    <x v="0"/>
    <x v="2"/>
    <x v="3"/>
    <s v="F12.01.01"/>
    <n v="1"/>
    <s v="menganalisis dinamika sosial dalam kehidupan Masyarakat (pengaruh teknologi, globalisasi, konflik sosial) dan pengaruh dengan isu Papua "/>
    <s v="01.01"/>
    <x v="41"/>
    <s v="K12"/>
    <s v="F"/>
    <n v="70"/>
    <n v="73"/>
    <s v="Tuntas"/>
    <s v="Sejarah"/>
    <x v="1"/>
    <x v="11"/>
    <n v="73"/>
    <x v="1"/>
    <n v="12"/>
    <x v="0"/>
    <x v="1"/>
    <x v="3"/>
  </r>
  <r>
    <n v="2351"/>
    <s v="232410005"/>
    <x v="2"/>
    <x v="13"/>
    <s v="Asmat"/>
    <d v="2026-01-21T00:00:00"/>
    <s v="21"/>
    <x v="0"/>
    <s v="26"/>
    <x v="0"/>
    <x v="0"/>
    <x v="6"/>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3"/>
  </r>
  <r>
    <n v="2352"/>
    <s v="232410005"/>
    <x v="2"/>
    <x v="13"/>
    <s v="Asmat"/>
    <d v="2026-01-21T00:00:00"/>
    <s v="21"/>
    <x v="0"/>
    <s v="26"/>
    <x v="2"/>
    <x v="6"/>
    <x v="21"/>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3"/>
  </r>
  <r>
    <n v="2353"/>
    <s v="232410005"/>
    <x v="2"/>
    <x v="13"/>
    <s v="Asmat"/>
    <d v="2026-01-21T00:00:00"/>
    <s v="21"/>
    <x v="0"/>
    <s v="26"/>
    <x v="3"/>
    <x v="4"/>
    <x v="3"/>
    <s v="Real"/>
    <s v="Entrepreneur"/>
    <s v="Branding"/>
    <x v="0"/>
    <x v="2"/>
    <x v="3"/>
    <s v="F12.01.01"/>
    <n v="1"/>
    <s v="menganalisis dinamika sosial dalam kehidupan Masyarakat (pengaruh teknologi, globalisasi, konflik sosial) dan pengaruh dengan isu Papua "/>
    <s v="01.01"/>
    <x v="41"/>
    <s v="K12"/>
    <s v="F"/>
    <n v="70"/>
    <n v="80"/>
    <s v="Tuntas"/>
    <s v="Sejarah"/>
    <x v="1"/>
    <x v="11"/>
    <n v="80"/>
    <x v="2"/>
    <n v="12"/>
    <x v="2"/>
    <x v="2"/>
    <x v="3"/>
  </r>
  <r>
    <n v="2354"/>
    <s v="232410005"/>
    <x v="2"/>
    <x v="13"/>
    <s v="Asmat"/>
    <d v="2026-01-21T00:00:00"/>
    <s v="21"/>
    <x v="0"/>
    <s v="26"/>
    <x v="4"/>
    <x v="5"/>
    <x v="0"/>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3"/>
  </r>
  <r>
    <n v="2355"/>
    <s v="232410005"/>
    <x v="2"/>
    <x v="13"/>
    <s v="Asmat"/>
    <d v="2026-01-28T00:00:00"/>
    <s v="28"/>
    <x v="0"/>
    <s v="26"/>
    <x v="0"/>
    <x v="0"/>
    <x v="6"/>
    <s v="Real"/>
    <s v="Entrepreneur"/>
    <s v="Branding"/>
    <x v="0"/>
    <x v="2"/>
    <x v="3"/>
    <s v="F12.01.02"/>
    <n v="1"/>
    <s v="menganalisis dinamika sosial dalam kehidupan Masyarakat (pengaruh teknologi, globalisasi, konflik sosial) dan pengaruh dengan isu Papua "/>
    <s v="01.02"/>
    <x v="42"/>
    <s v="K12"/>
    <s v="F"/>
    <n v="70"/>
    <n v="72"/>
    <s v="Tuntas"/>
    <s v="Sejarah"/>
    <x v="1"/>
    <x v="11"/>
    <n v="72"/>
    <x v="1"/>
    <n v="12"/>
    <x v="0"/>
    <x v="3"/>
    <x v="3"/>
  </r>
  <r>
    <n v="2356"/>
    <s v="232410005"/>
    <x v="2"/>
    <x v="13"/>
    <s v="Asmat"/>
    <d v="2026-01-28T00:00:00"/>
    <s v="28"/>
    <x v="0"/>
    <s v="26"/>
    <x v="2"/>
    <x v="6"/>
    <x v="6"/>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3"/>
  </r>
  <r>
    <n v="2357"/>
    <s v="232410005"/>
    <x v="2"/>
    <x v="13"/>
    <s v="Asmat"/>
    <d v="2026-01-28T00:00:00"/>
    <s v="28"/>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3"/>
  </r>
  <r>
    <n v="2358"/>
    <s v="232410005"/>
    <x v="2"/>
    <x v="13"/>
    <s v="Asmat"/>
    <d v="2026-01-28T00:00:00"/>
    <s v="28"/>
    <x v="0"/>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3"/>
  </r>
  <r>
    <n v="2359"/>
    <s v="232410005"/>
    <x v="2"/>
    <x v="13"/>
    <s v="Asmat"/>
    <d v="2026-01-28T00:00:00"/>
    <s v="28"/>
    <x v="0"/>
    <s v="26"/>
    <x v="0"/>
    <x v="0"/>
    <x v="2"/>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3"/>
  </r>
  <r>
    <n v="2360"/>
    <s v="232410005"/>
    <x v="2"/>
    <x v="13"/>
    <s v="Asmat"/>
    <d v="2026-01-28T00:00:00"/>
    <s v="28"/>
    <x v="0"/>
    <s v="26"/>
    <x v="2"/>
    <x v="3"/>
    <x v="21"/>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3"/>
  </r>
  <r>
    <n v="2361"/>
    <s v="232410005"/>
    <x v="2"/>
    <x v="13"/>
    <s v="Asmat"/>
    <d v="2026-01-30T00:00:00"/>
    <s v="30"/>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3"/>
  </r>
  <r>
    <n v="2362"/>
    <s v="232410005"/>
    <x v="2"/>
    <x v="13"/>
    <s v="Asmat"/>
    <d v="2026-02-04T00:00:00"/>
    <s v="04"/>
    <x v="1"/>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4"/>
    <x v="3"/>
  </r>
  <r>
    <n v="2363"/>
    <s v="232410005"/>
    <x v="2"/>
    <x v="13"/>
    <s v="Asmat"/>
    <d v="2026-02-04T00:00:00"/>
    <s v="04"/>
    <x v="1"/>
    <s v="26"/>
    <x v="0"/>
    <x v="0"/>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4"/>
    <x v="3"/>
  </r>
  <r>
    <n v="2364"/>
    <s v="232410005"/>
    <x v="2"/>
    <x v="13"/>
    <s v="Asmat"/>
    <d v="2026-02-04T00:00:00"/>
    <s v="04"/>
    <x v="1"/>
    <s v="26"/>
    <x v="2"/>
    <x v="6"/>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4"/>
    <x v="3"/>
  </r>
  <r>
    <n v="2365"/>
    <s v="232410005"/>
    <x v="2"/>
    <x v="13"/>
    <s v="Asmat"/>
    <d v="2026-02-04T00:00:00"/>
    <s v="04"/>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4"/>
    <x v="3"/>
  </r>
  <r>
    <n v="2366"/>
    <s v="232410005"/>
    <x v="2"/>
    <x v="13"/>
    <s v="Asmat"/>
    <d v="2026-02-11T00:00:00"/>
    <s v="11"/>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3"/>
  </r>
  <r>
    <n v="2367"/>
    <s v="232410005"/>
    <x v="2"/>
    <x v="13"/>
    <s v="Asmat"/>
    <d v="2026-02-11T00:00:00"/>
    <s v="11"/>
    <x v="1"/>
    <s v="26"/>
    <x v="0"/>
    <x v="0"/>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3"/>
  </r>
  <r>
    <n v="2368"/>
    <s v="232410005"/>
    <x v="2"/>
    <x v="13"/>
    <s v="Asmat"/>
    <d v="2026-02-11T00:00:00"/>
    <s v="11"/>
    <x v="1"/>
    <s v="26"/>
    <x v="2"/>
    <x v="6"/>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3"/>
  </r>
  <r>
    <n v="2369"/>
    <s v="232410005"/>
    <x v="2"/>
    <x v="13"/>
    <s v="Asmat"/>
    <d v="2026-02-11T00:00:00"/>
    <s v="11"/>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5"/>
    <x v="3"/>
  </r>
  <r>
    <n v="2370"/>
    <s v="232410005"/>
    <x v="2"/>
    <x v="13"/>
    <s v="Asmat"/>
    <d v="2026-02-18T00:00:00"/>
    <s v="18"/>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6"/>
    <x v="3"/>
  </r>
  <r>
    <n v="2371"/>
    <s v="232410005"/>
    <x v="2"/>
    <x v="13"/>
    <s v="Asmat"/>
    <d v="2026-02-18T00:00:00"/>
    <s v="18"/>
    <x v="1"/>
    <s v="26"/>
    <x v="0"/>
    <x v="2"/>
    <x v="17"/>
    <s v="Real"/>
    <s v="Entrepreneur"/>
    <s v="Branding"/>
    <x v="0"/>
    <x v="2"/>
    <x v="3"/>
    <s v="F12.01.02"/>
    <n v="1"/>
    <s v="menganalisis dinamika sosial dalam kehidupan Masyarakat (pengaruh teknologi, globalisasi, konflik sosial) dan pengaruh dengan isu Papua "/>
    <s v="01.02"/>
    <x v="42"/>
    <s v="K12"/>
    <s v="F"/>
    <n v="70"/>
    <n v="58"/>
    <s v="Tidak tuntas"/>
    <s v="Sejarah"/>
    <x v="1"/>
    <x v="11"/>
    <n v="58"/>
    <x v="3"/>
    <n v="12"/>
    <x v="0"/>
    <x v="6"/>
    <x v="3"/>
  </r>
  <r>
    <n v="2372"/>
    <s v="232410005"/>
    <x v="2"/>
    <x v="13"/>
    <s v="Asmat"/>
    <d v="2026-02-18T00:00:00"/>
    <s v="18"/>
    <x v="1"/>
    <s v="26"/>
    <x v="2"/>
    <x v="6"/>
    <x v="17"/>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6"/>
    <x v="3"/>
  </r>
  <r>
    <n v="2373"/>
    <s v="232410006"/>
    <x v="2"/>
    <x v="18"/>
    <s v="Intan Jaya"/>
    <d v="2026-01-14T00:00:00"/>
    <s v="14"/>
    <x v="0"/>
    <s v="26"/>
    <x v="0"/>
    <x v="0"/>
    <x v="6"/>
    <s v="Real"/>
    <s v="Entrepreneur"/>
    <s v="Branding"/>
    <x v="0"/>
    <x v="2"/>
    <x v="3"/>
    <s v="F12.01.01"/>
    <n v="1"/>
    <s v="menganalisis dinamika sosial dalam kehidupan Masyarakat (pengaruh teknologi, globalisasi, konflik sosial) dan pengaruh dengan isu Papua "/>
    <s v="01.01"/>
    <x v="41"/>
    <s v="K12"/>
    <s v="F"/>
    <n v="70"/>
    <n v="69"/>
    <s v="Tidak tuntas"/>
    <s v="Sejarah"/>
    <x v="1"/>
    <x v="11"/>
    <n v="69"/>
    <x v="3"/>
    <n v="12"/>
    <x v="0"/>
    <x v="1"/>
    <x v="4"/>
  </r>
  <r>
    <n v="2374"/>
    <s v="232410006"/>
    <x v="2"/>
    <x v="18"/>
    <s v="Intan Jaya"/>
    <d v="2026-01-14T00:00:00"/>
    <s v="14"/>
    <x v="0"/>
    <s v="26"/>
    <x v="2"/>
    <x v="6"/>
    <x v="6"/>
    <s v="Real"/>
    <s v="Entrepreneur"/>
    <s v="Branding"/>
    <x v="0"/>
    <x v="2"/>
    <x v="3"/>
    <s v="F12.01.01"/>
    <n v="1"/>
    <s v="menganalisis dinamika sosial dalam kehidupan Masyarakat (pengaruh teknologi, globalisasi, konflik sosial) dan pengaruh dengan isu Papua "/>
    <s v="01.01"/>
    <x v="41"/>
    <s v="K12"/>
    <s v="F"/>
    <n v="70"/>
    <n v="69"/>
    <s v="Tidak tuntas"/>
    <s v="Sejarah"/>
    <x v="1"/>
    <x v="11"/>
    <n v="69"/>
    <x v="3"/>
    <n v="12"/>
    <x v="0"/>
    <x v="1"/>
    <x v="4"/>
  </r>
  <r>
    <n v="2375"/>
    <s v="232410006"/>
    <x v="2"/>
    <x v="18"/>
    <s v="Intan Jaya"/>
    <d v="2026-01-14T00:00:00"/>
    <s v="14"/>
    <x v="0"/>
    <s v="26"/>
    <x v="3"/>
    <x v="4"/>
    <x v="5"/>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1"/>
    <x v="1"/>
    <x v="4"/>
  </r>
  <r>
    <n v="2376"/>
    <s v="232410006"/>
    <x v="2"/>
    <x v="18"/>
    <s v="Intan Jaya"/>
    <d v="2026-01-14T00:00:00"/>
    <s v="14"/>
    <x v="0"/>
    <s v="26"/>
    <x v="4"/>
    <x v="5"/>
    <x v="0"/>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1"/>
    <x v="4"/>
  </r>
  <r>
    <n v="2377"/>
    <s v="232410006"/>
    <x v="2"/>
    <x v="18"/>
    <s v="Intan Jaya"/>
    <d v="2026-01-21T00:00:00"/>
    <s v="21"/>
    <x v="0"/>
    <s v="26"/>
    <x v="0"/>
    <x v="0"/>
    <x v="6"/>
    <s v="Real"/>
    <s v="Entrepreneur"/>
    <s v="Branding"/>
    <x v="0"/>
    <x v="2"/>
    <x v="3"/>
    <s v="F12.01.01"/>
    <n v="1"/>
    <s v="menganalisis dinamika sosial dalam kehidupan Masyarakat (pengaruh teknologi, globalisasi, konflik sosial) dan pengaruh dengan isu Papua "/>
    <s v="01.01"/>
    <x v="41"/>
    <s v="K12"/>
    <s v="F"/>
    <n v="70"/>
    <n v="78"/>
    <s v="Tuntas"/>
    <s v="Sejarah"/>
    <x v="1"/>
    <x v="11"/>
    <n v="78"/>
    <x v="1"/>
    <n v="12"/>
    <x v="0"/>
    <x v="2"/>
    <x v="4"/>
  </r>
  <r>
    <n v="2378"/>
    <s v="232410006"/>
    <x v="2"/>
    <x v="18"/>
    <s v="Intan Jaya"/>
    <d v="2026-01-21T00:00:00"/>
    <s v="21"/>
    <x v="0"/>
    <s v="26"/>
    <x v="2"/>
    <x v="6"/>
    <x v="21"/>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4"/>
  </r>
  <r>
    <n v="2379"/>
    <s v="232410006"/>
    <x v="2"/>
    <x v="18"/>
    <s v="Intan Jaya"/>
    <d v="2026-01-21T00:00:00"/>
    <s v="21"/>
    <x v="0"/>
    <s v="26"/>
    <x v="3"/>
    <x v="4"/>
    <x v="3"/>
    <s v="Real"/>
    <s v="Entrepreneur"/>
    <s v="Branding"/>
    <x v="0"/>
    <x v="2"/>
    <x v="3"/>
    <s v="F12.01.01"/>
    <n v="1"/>
    <s v="menganalisis dinamika sosial dalam kehidupan Masyarakat (pengaruh teknologi, globalisasi, konflik sosial) dan pengaruh dengan isu Papua "/>
    <s v="01.01"/>
    <x v="41"/>
    <s v="K12"/>
    <s v="F"/>
    <n v="70"/>
    <n v="80"/>
    <s v="Tuntas"/>
    <s v="Sejarah"/>
    <x v="1"/>
    <x v="11"/>
    <n v="80"/>
    <x v="2"/>
    <n v="12"/>
    <x v="2"/>
    <x v="2"/>
    <x v="4"/>
  </r>
  <r>
    <n v="2380"/>
    <s v="232410006"/>
    <x v="2"/>
    <x v="18"/>
    <s v="Intan Jaya"/>
    <d v="2026-01-21T00:00:00"/>
    <s v="21"/>
    <x v="0"/>
    <s v="26"/>
    <x v="4"/>
    <x v="5"/>
    <x v="0"/>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4"/>
  </r>
  <r>
    <n v="2381"/>
    <s v="232410006"/>
    <x v="2"/>
    <x v="18"/>
    <s v="Intan Jaya"/>
    <d v="2026-01-28T00:00:00"/>
    <s v="28"/>
    <x v="0"/>
    <s v="26"/>
    <x v="0"/>
    <x v="0"/>
    <x v="6"/>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4"/>
  </r>
  <r>
    <n v="2382"/>
    <s v="232410006"/>
    <x v="2"/>
    <x v="18"/>
    <s v="Intan Jaya"/>
    <d v="2026-01-28T00:00:00"/>
    <s v="28"/>
    <x v="0"/>
    <s v="26"/>
    <x v="2"/>
    <x v="6"/>
    <x v="6"/>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4"/>
  </r>
  <r>
    <n v="2383"/>
    <s v="232410006"/>
    <x v="2"/>
    <x v="18"/>
    <s v="Intan Jaya"/>
    <d v="2026-01-28T00:00:00"/>
    <s v="28"/>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4"/>
  </r>
  <r>
    <n v="2384"/>
    <s v="232410006"/>
    <x v="2"/>
    <x v="18"/>
    <s v="Intan Jaya"/>
    <d v="2026-01-28T00:00:00"/>
    <s v="28"/>
    <x v="0"/>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4"/>
  </r>
  <r>
    <n v="2385"/>
    <s v="232410006"/>
    <x v="2"/>
    <x v="18"/>
    <s v="Intan Jaya"/>
    <d v="2026-01-28T00:00:00"/>
    <s v="28"/>
    <x v="0"/>
    <s v="26"/>
    <x v="0"/>
    <x v="0"/>
    <x v="2"/>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4"/>
  </r>
  <r>
    <n v="2386"/>
    <s v="232410006"/>
    <x v="2"/>
    <x v="18"/>
    <s v="Intan Jaya"/>
    <d v="2026-01-28T00:00:00"/>
    <s v="28"/>
    <x v="0"/>
    <s v="26"/>
    <x v="2"/>
    <x v="3"/>
    <x v="21"/>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4"/>
  </r>
  <r>
    <n v="2387"/>
    <s v="232410006"/>
    <x v="2"/>
    <x v="18"/>
    <s v="Intan Jaya"/>
    <d v="2026-01-30T00:00:00"/>
    <s v="30"/>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4"/>
  </r>
  <r>
    <n v="2388"/>
    <s v="232410006"/>
    <x v="2"/>
    <x v="18"/>
    <s v="Intan Jaya"/>
    <d v="2026-02-04T00:00:00"/>
    <s v="04"/>
    <x v="1"/>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4"/>
    <x v="4"/>
  </r>
  <r>
    <n v="2389"/>
    <s v="232410006"/>
    <x v="2"/>
    <x v="18"/>
    <s v="Intan Jaya"/>
    <d v="2026-02-04T00:00:00"/>
    <s v="04"/>
    <x v="1"/>
    <s v="26"/>
    <x v="0"/>
    <x v="0"/>
    <x v="6"/>
    <s v="Real"/>
    <s v="Entrepreneur"/>
    <s v="Branding"/>
    <x v="0"/>
    <x v="2"/>
    <x v="3"/>
    <s v="F12.01.03"/>
    <n v="1"/>
    <s v="menganalisis dinamika sosial dalam kehidupan Masyarakat (pengaruh teknologi, globalisasi, konflik sosial) dan pengaruh dengan isu Papua "/>
    <s v="01.03"/>
    <x v="43"/>
    <s v="K12"/>
    <s v="F"/>
    <n v="70"/>
    <n v="78"/>
    <s v="Tuntas"/>
    <s v="Sejarah"/>
    <x v="1"/>
    <x v="11"/>
    <n v="78"/>
    <x v="1"/>
    <n v="12"/>
    <x v="0"/>
    <x v="4"/>
    <x v="4"/>
  </r>
  <r>
    <n v="2390"/>
    <s v="232410006"/>
    <x v="2"/>
    <x v="18"/>
    <s v="Intan Jaya"/>
    <d v="2026-02-04T00:00:00"/>
    <s v="04"/>
    <x v="1"/>
    <s v="26"/>
    <x v="2"/>
    <x v="6"/>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4"/>
    <x v="4"/>
  </r>
  <r>
    <n v="2391"/>
    <s v="232410006"/>
    <x v="2"/>
    <x v="18"/>
    <s v="Intan Jaya"/>
    <d v="2026-02-04T00:00:00"/>
    <s v="04"/>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4"/>
    <x v="4"/>
  </r>
  <r>
    <n v="2392"/>
    <s v="232410006"/>
    <x v="2"/>
    <x v="18"/>
    <s v="Intan Jaya"/>
    <d v="2026-02-11T00:00:00"/>
    <s v="11"/>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4"/>
  </r>
  <r>
    <n v="2393"/>
    <s v="232410006"/>
    <x v="2"/>
    <x v="18"/>
    <s v="Intan Jaya"/>
    <d v="2026-02-11T00:00:00"/>
    <s v="11"/>
    <x v="1"/>
    <s v="26"/>
    <x v="0"/>
    <x v="0"/>
    <x v="6"/>
    <s v="Real"/>
    <s v="Entrepreneur"/>
    <s v="Branding"/>
    <x v="0"/>
    <x v="2"/>
    <x v="3"/>
    <s v="F12.01.03"/>
    <n v="1"/>
    <s v="menganalisis dinamika sosial dalam kehidupan Masyarakat (pengaruh teknologi, globalisasi, konflik sosial) dan pengaruh dengan isu Papua "/>
    <s v="01.03"/>
    <x v="43"/>
    <s v="K12"/>
    <s v="F"/>
    <n v="70"/>
    <n v="78"/>
    <s v="Tuntas"/>
    <s v="Sejarah"/>
    <x v="1"/>
    <x v="11"/>
    <n v="78"/>
    <x v="1"/>
    <n v="12"/>
    <x v="0"/>
    <x v="5"/>
    <x v="4"/>
  </r>
  <r>
    <n v="2394"/>
    <s v="232410006"/>
    <x v="2"/>
    <x v="18"/>
    <s v="Intan Jaya"/>
    <d v="2026-02-11T00:00:00"/>
    <s v="11"/>
    <x v="1"/>
    <s v="26"/>
    <x v="2"/>
    <x v="6"/>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4"/>
  </r>
  <r>
    <n v="2395"/>
    <s v="232410006"/>
    <x v="2"/>
    <x v="18"/>
    <s v="Intan Jaya"/>
    <d v="2026-02-11T00:00:00"/>
    <s v="11"/>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5"/>
    <x v="4"/>
  </r>
  <r>
    <n v="2396"/>
    <s v="232410006"/>
    <x v="2"/>
    <x v="18"/>
    <s v="Intan Jaya"/>
    <d v="2026-02-18T00:00:00"/>
    <s v="18"/>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6"/>
    <x v="4"/>
  </r>
  <r>
    <n v="2397"/>
    <s v="232410006"/>
    <x v="2"/>
    <x v="18"/>
    <s v="Intan Jaya"/>
    <d v="2026-02-18T00:00:00"/>
    <s v="18"/>
    <x v="1"/>
    <s v="26"/>
    <x v="0"/>
    <x v="2"/>
    <x v="17"/>
    <s v="Real"/>
    <s v="Entrepreneur"/>
    <s v="Branding"/>
    <x v="0"/>
    <x v="2"/>
    <x v="3"/>
    <s v="F12.01.02"/>
    <n v="1"/>
    <s v="menganalisis dinamika sosial dalam kehidupan Masyarakat (pengaruh teknologi, globalisasi, konflik sosial) dan pengaruh dengan isu Papua "/>
    <s v="01.02"/>
    <x v="42"/>
    <s v="K12"/>
    <s v="F"/>
    <n v="70"/>
    <n v="68"/>
    <s v="Tidak tuntas"/>
    <s v="Sejarah"/>
    <x v="1"/>
    <x v="11"/>
    <n v="68"/>
    <x v="3"/>
    <n v="12"/>
    <x v="0"/>
    <x v="6"/>
    <x v="4"/>
  </r>
  <r>
    <n v="2398"/>
    <s v="232410006"/>
    <x v="2"/>
    <x v="18"/>
    <s v="Intan Jaya"/>
    <d v="2026-02-18T00:00:00"/>
    <s v="18"/>
    <x v="1"/>
    <s v="26"/>
    <x v="2"/>
    <x v="6"/>
    <x v="17"/>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6"/>
    <x v="4"/>
  </r>
  <r>
    <n v="2399"/>
    <s v="232410007"/>
    <x v="2"/>
    <x v="19"/>
    <s v="Intan Jaya"/>
    <d v="2026-01-14T00:00:00"/>
    <s v="14"/>
    <x v="0"/>
    <s v="26"/>
    <x v="0"/>
    <x v="0"/>
    <x v="6"/>
    <s v="Real"/>
    <s v="Entrepreneur"/>
    <s v="Branding"/>
    <x v="0"/>
    <x v="2"/>
    <x v="3"/>
    <s v="F12.01.01"/>
    <n v="1"/>
    <s v="menganalisis dinamika sosial dalam kehidupan Masyarakat (pengaruh teknologi, globalisasi, konflik sosial) dan pengaruh dengan isu Papua "/>
    <s v="01.01"/>
    <x v="41"/>
    <s v="K12"/>
    <s v="F"/>
    <n v="70"/>
    <n v="65"/>
    <s v="Tidak tuntas"/>
    <s v="Sejarah"/>
    <x v="1"/>
    <x v="11"/>
    <n v="65"/>
    <x v="3"/>
    <n v="12"/>
    <x v="0"/>
    <x v="1"/>
    <x v="2"/>
  </r>
  <r>
    <n v="2400"/>
    <s v="232410007"/>
    <x v="2"/>
    <x v="19"/>
    <s v="Intan Jaya"/>
    <d v="2026-01-14T00:00:00"/>
    <s v="14"/>
    <x v="0"/>
    <s v="26"/>
    <x v="2"/>
    <x v="6"/>
    <x v="6"/>
    <s v="Real"/>
    <s v="Entrepreneur"/>
    <s v="Branding"/>
    <x v="0"/>
    <x v="2"/>
    <x v="3"/>
    <s v="F12.01.01"/>
    <n v="1"/>
    <s v="menganalisis dinamika sosial dalam kehidupan Masyarakat (pengaruh teknologi, globalisasi, konflik sosial) dan pengaruh dengan isu Papua "/>
    <s v="01.01"/>
    <x v="41"/>
    <s v="K12"/>
    <s v="F"/>
    <n v="70"/>
    <n v="65"/>
    <s v="Tidak tuntas"/>
    <s v="Sejarah"/>
    <x v="1"/>
    <x v="11"/>
    <n v="65"/>
    <x v="3"/>
    <n v="12"/>
    <x v="0"/>
    <x v="1"/>
    <x v="2"/>
  </r>
  <r>
    <n v="2401"/>
    <s v="232410007"/>
    <x v="2"/>
    <x v="19"/>
    <s v="Intan Jaya"/>
    <d v="2026-01-14T00:00:00"/>
    <s v="14"/>
    <x v="0"/>
    <s v="26"/>
    <x v="3"/>
    <x v="4"/>
    <x v="5"/>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1"/>
    <x v="1"/>
    <x v="2"/>
  </r>
  <r>
    <n v="2402"/>
    <s v="232410007"/>
    <x v="2"/>
    <x v="19"/>
    <s v="Intan Jaya"/>
    <d v="2026-01-14T00:00:00"/>
    <s v="14"/>
    <x v="0"/>
    <s v="26"/>
    <x v="4"/>
    <x v="5"/>
    <x v="0"/>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1"/>
    <x v="2"/>
  </r>
  <r>
    <n v="2403"/>
    <s v="232410007"/>
    <x v="2"/>
    <x v="19"/>
    <s v="Intan Jaya"/>
    <d v="2026-01-21T00:00:00"/>
    <s v="21"/>
    <x v="0"/>
    <s v="26"/>
    <x v="0"/>
    <x v="0"/>
    <x v="6"/>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2"/>
  </r>
  <r>
    <n v="2404"/>
    <s v="232410007"/>
    <x v="2"/>
    <x v="19"/>
    <s v="Intan Jaya"/>
    <d v="2026-01-21T00:00:00"/>
    <s v="21"/>
    <x v="0"/>
    <s v="26"/>
    <x v="2"/>
    <x v="6"/>
    <x v="21"/>
    <s v="Real"/>
    <s v="Entrepreneur"/>
    <s v="Branding"/>
    <x v="0"/>
    <x v="2"/>
    <x v="3"/>
    <s v="F12.01.01"/>
    <n v="1"/>
    <s v="menganalisis dinamika sosial dalam kehidupan Masyarakat (pengaruh teknologi, globalisasi, konflik sosial) dan pengaruh dengan isu Papua "/>
    <s v="01.01"/>
    <x v="41"/>
    <s v="K12"/>
    <s v="F"/>
    <n v="70"/>
    <n v="68"/>
    <s v="Tidak tuntas"/>
    <s v="Sejarah"/>
    <x v="1"/>
    <x v="11"/>
    <n v="68"/>
    <x v="3"/>
    <n v="12"/>
    <x v="0"/>
    <x v="2"/>
    <x v="2"/>
  </r>
  <r>
    <n v="2405"/>
    <s v="232410007"/>
    <x v="2"/>
    <x v="19"/>
    <s v="Intan Jaya"/>
    <d v="2026-01-21T00:00:00"/>
    <s v="21"/>
    <x v="0"/>
    <s v="26"/>
    <x v="3"/>
    <x v="4"/>
    <x v="3"/>
    <s v="Real"/>
    <s v="Entrepreneur"/>
    <s v="Branding"/>
    <x v="0"/>
    <x v="2"/>
    <x v="3"/>
    <s v="F12.01.01"/>
    <n v="1"/>
    <s v="menganalisis dinamika sosial dalam kehidupan Masyarakat (pengaruh teknologi, globalisasi, konflik sosial) dan pengaruh dengan isu Papua "/>
    <s v="01.01"/>
    <x v="41"/>
    <s v="K12"/>
    <s v="F"/>
    <n v="70"/>
    <n v="80"/>
    <s v="Tuntas"/>
    <s v="Sejarah"/>
    <x v="1"/>
    <x v="11"/>
    <n v="80"/>
    <x v="2"/>
    <n v="12"/>
    <x v="2"/>
    <x v="2"/>
    <x v="2"/>
  </r>
  <r>
    <n v="2406"/>
    <s v="232410007"/>
    <x v="2"/>
    <x v="19"/>
    <s v="Intan Jaya"/>
    <d v="2026-01-21T00:00:00"/>
    <s v="21"/>
    <x v="0"/>
    <s v="26"/>
    <x v="4"/>
    <x v="5"/>
    <x v="0"/>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2"/>
  </r>
  <r>
    <n v="2407"/>
    <s v="232410007"/>
    <x v="2"/>
    <x v="19"/>
    <s v="Intan Jaya"/>
    <d v="2026-01-28T00:00:00"/>
    <s v="28"/>
    <x v="0"/>
    <s v="26"/>
    <x v="0"/>
    <x v="0"/>
    <x v="6"/>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2"/>
  </r>
  <r>
    <n v="2408"/>
    <s v="232410007"/>
    <x v="2"/>
    <x v="19"/>
    <s v="Intan Jaya"/>
    <d v="2026-01-28T00:00:00"/>
    <s v="28"/>
    <x v="0"/>
    <s v="26"/>
    <x v="2"/>
    <x v="6"/>
    <x v="6"/>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2"/>
  </r>
  <r>
    <n v="2409"/>
    <s v="232410007"/>
    <x v="2"/>
    <x v="19"/>
    <s v="Intan Jaya"/>
    <d v="2026-01-28T00:00:00"/>
    <s v="28"/>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2"/>
  </r>
  <r>
    <n v="2410"/>
    <s v="232410007"/>
    <x v="2"/>
    <x v="19"/>
    <s v="Intan Jaya"/>
    <d v="2026-01-28T00:00:00"/>
    <s v="28"/>
    <x v="0"/>
    <s v="26"/>
    <x v="4"/>
    <x v="5"/>
    <x v="0"/>
    <s v="Real"/>
    <s v="Entrepreneur"/>
    <s v="Branding"/>
    <x v="0"/>
    <x v="2"/>
    <x v="3"/>
    <s v="F12.01.02"/>
    <n v="1"/>
    <s v="menganalisis dinamika sosial dalam kehidupan Masyarakat (pengaruh teknologi, globalisasi, konflik sosial) dan pengaruh dengan isu Papua "/>
    <s v="01.02"/>
    <x v="42"/>
    <s v="K12"/>
    <s v="F"/>
    <n v="70"/>
    <n v="69"/>
    <s v="Tidak tuntas"/>
    <s v="Sejarah"/>
    <x v="1"/>
    <x v="11"/>
    <n v="69"/>
    <x v="3"/>
    <n v="12"/>
    <x v="0"/>
    <x v="3"/>
    <x v="2"/>
  </r>
  <r>
    <n v="2411"/>
    <s v="232410007"/>
    <x v="2"/>
    <x v="19"/>
    <s v="Intan Jaya"/>
    <d v="2026-01-28T00:00:00"/>
    <s v="28"/>
    <x v="0"/>
    <s v="26"/>
    <x v="0"/>
    <x v="0"/>
    <x v="2"/>
    <s v="Real"/>
    <s v="Entrepreneur"/>
    <s v="Branding"/>
    <x v="0"/>
    <x v="2"/>
    <x v="3"/>
    <s v="F12.01.02"/>
    <n v="1"/>
    <s v="menganalisis dinamika sosial dalam kehidupan Masyarakat (pengaruh teknologi, globalisasi, konflik sosial) dan pengaruh dengan isu Papua "/>
    <s v="01.02"/>
    <x v="42"/>
    <s v="K12"/>
    <s v="F"/>
    <n v="70"/>
    <n v="69"/>
    <s v="Tidak tuntas"/>
    <s v="Sejarah"/>
    <x v="1"/>
    <x v="11"/>
    <n v="69"/>
    <x v="3"/>
    <n v="12"/>
    <x v="0"/>
    <x v="3"/>
    <x v="2"/>
  </r>
  <r>
    <n v="2412"/>
    <s v="232410007"/>
    <x v="2"/>
    <x v="19"/>
    <s v="Intan Jaya"/>
    <d v="2026-01-28T00:00:00"/>
    <s v="28"/>
    <x v="0"/>
    <s v="26"/>
    <x v="2"/>
    <x v="3"/>
    <x v="21"/>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2"/>
  </r>
  <r>
    <n v="2413"/>
    <s v="232410007"/>
    <x v="2"/>
    <x v="19"/>
    <s v="Intan Jaya"/>
    <d v="2026-01-30T00:00:00"/>
    <s v="30"/>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2"/>
  </r>
  <r>
    <n v="2414"/>
    <s v="232410007"/>
    <x v="2"/>
    <x v="19"/>
    <s v="Intan Jaya"/>
    <d v="2026-02-04T00:00:00"/>
    <s v="04"/>
    <x v="1"/>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4"/>
    <x v="2"/>
  </r>
  <r>
    <n v="2415"/>
    <s v="232410007"/>
    <x v="2"/>
    <x v="19"/>
    <s v="Intan Jaya"/>
    <d v="2026-02-04T00:00:00"/>
    <s v="04"/>
    <x v="1"/>
    <s v="26"/>
    <x v="0"/>
    <x v="0"/>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4"/>
    <x v="2"/>
  </r>
  <r>
    <n v="2416"/>
    <s v="232410007"/>
    <x v="2"/>
    <x v="19"/>
    <s v="Intan Jaya"/>
    <d v="2026-02-04T00:00:00"/>
    <s v="04"/>
    <x v="1"/>
    <s v="26"/>
    <x v="2"/>
    <x v="6"/>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4"/>
    <x v="2"/>
  </r>
  <r>
    <n v="2417"/>
    <s v="232410007"/>
    <x v="2"/>
    <x v="19"/>
    <s v="Intan Jaya"/>
    <d v="2026-02-04T00:00:00"/>
    <s v="04"/>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4"/>
    <x v="2"/>
  </r>
  <r>
    <n v="2418"/>
    <s v="232410007"/>
    <x v="2"/>
    <x v="19"/>
    <s v="Intan Jaya"/>
    <d v="2026-02-11T00:00:00"/>
    <s v="11"/>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2"/>
  </r>
  <r>
    <n v="2419"/>
    <s v="232410007"/>
    <x v="2"/>
    <x v="19"/>
    <s v="Intan Jaya"/>
    <d v="2026-02-11T00:00:00"/>
    <s v="11"/>
    <x v="1"/>
    <s v="26"/>
    <x v="0"/>
    <x v="0"/>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2"/>
  </r>
  <r>
    <n v="2420"/>
    <s v="232410007"/>
    <x v="2"/>
    <x v="19"/>
    <s v="Intan Jaya"/>
    <d v="2026-02-11T00:00:00"/>
    <s v="11"/>
    <x v="1"/>
    <s v="26"/>
    <x v="2"/>
    <x v="6"/>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2"/>
  </r>
  <r>
    <n v="2421"/>
    <s v="232410007"/>
    <x v="2"/>
    <x v="19"/>
    <s v="Intan Jaya"/>
    <d v="2026-02-11T00:00:00"/>
    <s v="11"/>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5"/>
    <x v="2"/>
  </r>
  <r>
    <n v="2422"/>
    <s v="232410007"/>
    <x v="2"/>
    <x v="19"/>
    <s v="Intan Jaya"/>
    <d v="2026-02-18T00:00:00"/>
    <s v="18"/>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6"/>
    <x v="2"/>
  </r>
  <r>
    <n v="2423"/>
    <s v="232410007"/>
    <x v="2"/>
    <x v="19"/>
    <s v="Intan Jaya"/>
    <d v="2026-02-18T00:00:00"/>
    <s v="18"/>
    <x v="1"/>
    <s v="26"/>
    <x v="0"/>
    <x v="2"/>
    <x v="17"/>
    <s v="Real"/>
    <s v="Entrepreneur"/>
    <s v="Branding"/>
    <x v="0"/>
    <x v="2"/>
    <x v="3"/>
    <s v="F12.01.02"/>
    <n v="1"/>
    <s v="menganalisis dinamika sosial dalam kehidupan Masyarakat (pengaruh teknologi, globalisasi, konflik sosial) dan pengaruh dengan isu Papua "/>
    <s v="01.02"/>
    <x v="42"/>
    <s v="K12"/>
    <s v="F"/>
    <n v="70"/>
    <n v="40"/>
    <s v="Tidak tuntas"/>
    <s v="Sejarah"/>
    <x v="1"/>
    <x v="11"/>
    <n v="40"/>
    <x v="3"/>
    <n v="12"/>
    <x v="0"/>
    <x v="6"/>
    <x v="2"/>
  </r>
  <r>
    <n v="2424"/>
    <s v="232410007"/>
    <x v="2"/>
    <x v="19"/>
    <s v="Intan Jaya"/>
    <d v="2026-02-18T00:00:00"/>
    <s v="18"/>
    <x v="1"/>
    <s v="26"/>
    <x v="2"/>
    <x v="6"/>
    <x v="17"/>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6"/>
    <x v="2"/>
  </r>
  <r>
    <n v="2425"/>
    <s v="232410009"/>
    <x v="2"/>
    <x v="20"/>
    <s v="Intan Jaya"/>
    <d v="2026-01-14T00:00:00"/>
    <s v="14"/>
    <x v="0"/>
    <s v="26"/>
    <x v="0"/>
    <x v="0"/>
    <x v="6"/>
    <s v="Real"/>
    <s v="Entrepreneur"/>
    <s v="Branding"/>
    <x v="0"/>
    <x v="2"/>
    <x v="3"/>
    <s v="F12.01.01"/>
    <n v="1"/>
    <s v="menganalisis dinamika sosial dalam kehidupan Masyarakat (pengaruh teknologi, globalisasi, konflik sosial) dan pengaruh dengan isu Papua "/>
    <s v="01.01"/>
    <x v="41"/>
    <s v="K12"/>
    <s v="F"/>
    <n v="70"/>
    <n v="65"/>
    <s v="Tidak tuntas"/>
    <s v="Sejarah"/>
    <x v="1"/>
    <x v="11"/>
    <n v="65"/>
    <x v="3"/>
    <n v="12"/>
    <x v="0"/>
    <x v="1"/>
    <x v="7"/>
  </r>
  <r>
    <n v="2426"/>
    <s v="232410009"/>
    <x v="2"/>
    <x v="20"/>
    <s v="Intan Jaya"/>
    <d v="2026-01-14T00:00:00"/>
    <s v="14"/>
    <x v="0"/>
    <s v="26"/>
    <x v="2"/>
    <x v="6"/>
    <x v="6"/>
    <s v="Real"/>
    <s v="Entrepreneur"/>
    <s v="Branding"/>
    <x v="0"/>
    <x v="2"/>
    <x v="3"/>
    <s v="F12.01.01"/>
    <n v="1"/>
    <s v="menganalisis dinamika sosial dalam kehidupan Masyarakat (pengaruh teknologi, globalisasi, konflik sosial) dan pengaruh dengan isu Papua "/>
    <s v="01.01"/>
    <x v="41"/>
    <s v="K12"/>
    <s v="F"/>
    <n v="70"/>
    <n v="65"/>
    <s v="Tidak tuntas"/>
    <s v="Sejarah"/>
    <x v="1"/>
    <x v="11"/>
    <n v="65"/>
    <x v="3"/>
    <n v="12"/>
    <x v="0"/>
    <x v="1"/>
    <x v="7"/>
  </r>
  <r>
    <n v="2427"/>
    <s v="232410009"/>
    <x v="2"/>
    <x v="20"/>
    <s v="Intan Jaya"/>
    <d v="2026-01-14T00:00:00"/>
    <s v="14"/>
    <x v="0"/>
    <s v="26"/>
    <x v="3"/>
    <x v="4"/>
    <x v="5"/>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1"/>
    <x v="1"/>
    <x v="7"/>
  </r>
  <r>
    <n v="2428"/>
    <s v="232410009"/>
    <x v="2"/>
    <x v="20"/>
    <s v="Intan Jaya"/>
    <d v="2026-01-14T00:00:00"/>
    <s v="14"/>
    <x v="0"/>
    <s v="26"/>
    <x v="4"/>
    <x v="5"/>
    <x v="0"/>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1"/>
    <x v="7"/>
  </r>
  <r>
    <n v="2429"/>
    <s v="232410009"/>
    <x v="2"/>
    <x v="20"/>
    <s v="Intan Jaya"/>
    <d v="2026-01-21T00:00:00"/>
    <s v="21"/>
    <x v="0"/>
    <s v="26"/>
    <x v="0"/>
    <x v="0"/>
    <x v="6"/>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7"/>
  </r>
  <r>
    <n v="2430"/>
    <s v="232410009"/>
    <x v="2"/>
    <x v="20"/>
    <s v="Intan Jaya"/>
    <d v="2026-01-21T00:00:00"/>
    <s v="21"/>
    <x v="0"/>
    <s v="26"/>
    <x v="2"/>
    <x v="6"/>
    <x v="21"/>
    <s v="Real"/>
    <s v="Entrepreneur"/>
    <s v="Branding"/>
    <x v="0"/>
    <x v="2"/>
    <x v="3"/>
    <s v="F12.01.01"/>
    <n v="1"/>
    <s v="menganalisis dinamika sosial dalam kehidupan Masyarakat (pengaruh teknologi, globalisasi, konflik sosial) dan pengaruh dengan isu Papua "/>
    <s v="01.01"/>
    <x v="41"/>
    <s v="K12"/>
    <s v="F"/>
    <n v="70"/>
    <n v="65"/>
    <s v="Tidak tuntas"/>
    <s v="Sejarah"/>
    <x v="1"/>
    <x v="11"/>
    <n v="65"/>
    <x v="3"/>
    <n v="12"/>
    <x v="0"/>
    <x v="2"/>
    <x v="7"/>
  </r>
  <r>
    <n v="2431"/>
    <s v="232410009"/>
    <x v="2"/>
    <x v="20"/>
    <s v="Intan Jaya"/>
    <d v="2026-01-21T00:00:00"/>
    <s v="21"/>
    <x v="0"/>
    <s v="26"/>
    <x v="3"/>
    <x v="4"/>
    <x v="3"/>
    <s v="Real"/>
    <s v="Entrepreneur"/>
    <s v="Branding"/>
    <x v="0"/>
    <x v="2"/>
    <x v="3"/>
    <s v="F12.01.01"/>
    <n v="1"/>
    <s v="menganalisis dinamika sosial dalam kehidupan Masyarakat (pengaruh teknologi, globalisasi, konflik sosial) dan pengaruh dengan isu Papua "/>
    <s v="01.01"/>
    <x v="41"/>
    <s v="K12"/>
    <s v="F"/>
    <n v="70"/>
    <n v="80"/>
    <s v="Tuntas"/>
    <s v="Sejarah"/>
    <x v="1"/>
    <x v="11"/>
    <n v="80"/>
    <x v="2"/>
    <n v="12"/>
    <x v="2"/>
    <x v="2"/>
    <x v="7"/>
  </r>
  <r>
    <n v="2432"/>
    <s v="232410009"/>
    <x v="2"/>
    <x v="20"/>
    <s v="Intan Jaya"/>
    <d v="2026-01-21T00:00:00"/>
    <s v="21"/>
    <x v="0"/>
    <s v="26"/>
    <x v="4"/>
    <x v="5"/>
    <x v="0"/>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7"/>
  </r>
  <r>
    <n v="2433"/>
    <s v="232410009"/>
    <x v="2"/>
    <x v="20"/>
    <s v="Intan Jaya"/>
    <d v="2026-01-28T00:00:00"/>
    <s v="28"/>
    <x v="0"/>
    <s v="26"/>
    <x v="0"/>
    <x v="0"/>
    <x v="6"/>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7"/>
  </r>
  <r>
    <n v="2434"/>
    <s v="232410009"/>
    <x v="2"/>
    <x v="20"/>
    <s v="Intan Jaya"/>
    <d v="2026-01-28T00:00:00"/>
    <s v="28"/>
    <x v="0"/>
    <s v="26"/>
    <x v="2"/>
    <x v="6"/>
    <x v="6"/>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7"/>
  </r>
  <r>
    <n v="2435"/>
    <s v="232410009"/>
    <x v="2"/>
    <x v="20"/>
    <s v="Intan Jaya"/>
    <d v="2026-01-28T00:00:00"/>
    <s v="28"/>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7"/>
  </r>
  <r>
    <n v="2436"/>
    <s v="232410009"/>
    <x v="2"/>
    <x v="20"/>
    <s v="Intan Jaya"/>
    <d v="2026-01-28T00:00:00"/>
    <s v="28"/>
    <x v="0"/>
    <s v="26"/>
    <x v="4"/>
    <x v="5"/>
    <x v="0"/>
    <s v="Real"/>
    <s v="Entrepreneur"/>
    <s v="Branding"/>
    <x v="0"/>
    <x v="2"/>
    <x v="3"/>
    <s v="F12.01.02"/>
    <n v="1"/>
    <s v="menganalisis dinamika sosial dalam kehidupan Masyarakat (pengaruh teknologi, globalisasi, konflik sosial) dan pengaruh dengan isu Papua "/>
    <s v="01.02"/>
    <x v="42"/>
    <s v="K12"/>
    <s v="F"/>
    <n v="70"/>
    <n v="69"/>
    <s v="Tidak tuntas"/>
    <s v="Sejarah"/>
    <x v="1"/>
    <x v="11"/>
    <n v="69"/>
    <x v="3"/>
    <n v="12"/>
    <x v="0"/>
    <x v="3"/>
    <x v="7"/>
  </r>
  <r>
    <n v="2437"/>
    <s v="232410009"/>
    <x v="2"/>
    <x v="20"/>
    <s v="Intan Jaya"/>
    <d v="2026-01-28T00:00:00"/>
    <s v="28"/>
    <x v="0"/>
    <s v="26"/>
    <x v="0"/>
    <x v="0"/>
    <x v="2"/>
    <s v="Real"/>
    <s v="Entrepreneur"/>
    <s v="Branding"/>
    <x v="0"/>
    <x v="2"/>
    <x v="3"/>
    <s v="F12.01.02"/>
    <n v="1"/>
    <s v="menganalisis dinamika sosial dalam kehidupan Masyarakat (pengaruh teknologi, globalisasi, konflik sosial) dan pengaruh dengan isu Papua "/>
    <s v="01.02"/>
    <x v="42"/>
    <s v="K12"/>
    <s v="F"/>
    <n v="70"/>
    <n v="69"/>
    <s v="Tidak tuntas"/>
    <s v="Sejarah"/>
    <x v="1"/>
    <x v="11"/>
    <n v="69"/>
    <x v="3"/>
    <n v="12"/>
    <x v="0"/>
    <x v="3"/>
    <x v="7"/>
  </r>
  <r>
    <n v="2438"/>
    <s v="232410009"/>
    <x v="2"/>
    <x v="20"/>
    <s v="Intan Jaya"/>
    <d v="2026-01-28T00:00:00"/>
    <s v="28"/>
    <x v="0"/>
    <s v="26"/>
    <x v="2"/>
    <x v="3"/>
    <x v="21"/>
    <s v="Real"/>
    <s v="Entrepreneur"/>
    <s v="Branding"/>
    <x v="0"/>
    <x v="2"/>
    <x v="3"/>
    <s v="F12.01.02"/>
    <n v="1"/>
    <s v="menganalisis dinamika sosial dalam kehidupan Masyarakat (pengaruh teknologi, globalisasi, konflik sosial) dan pengaruh dengan isu Papua "/>
    <s v="01.02"/>
    <x v="42"/>
    <s v="K12"/>
    <s v="F"/>
    <n v="70"/>
    <n v="60"/>
    <s v="Tidak tuntas"/>
    <s v="Sejarah"/>
    <x v="1"/>
    <x v="11"/>
    <n v="60"/>
    <x v="3"/>
    <n v="12"/>
    <x v="0"/>
    <x v="3"/>
    <x v="7"/>
  </r>
  <r>
    <n v="2439"/>
    <s v="232410009"/>
    <x v="2"/>
    <x v="20"/>
    <s v="Intan Jaya"/>
    <d v="2026-01-30T00:00:00"/>
    <s v="30"/>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7"/>
  </r>
  <r>
    <n v="2440"/>
    <s v="232410009"/>
    <x v="2"/>
    <x v="20"/>
    <s v="Intan Jaya"/>
    <d v="2026-02-04T00:00:00"/>
    <s v="04"/>
    <x v="1"/>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4"/>
    <x v="7"/>
  </r>
  <r>
    <n v="2441"/>
    <s v="232410009"/>
    <x v="2"/>
    <x v="20"/>
    <s v="Intan Jaya"/>
    <d v="2026-02-04T00:00:00"/>
    <s v="04"/>
    <x v="1"/>
    <s v="26"/>
    <x v="0"/>
    <x v="0"/>
    <x v="6"/>
    <s v="Real"/>
    <s v="Entrepreneur"/>
    <s v="Branding"/>
    <x v="0"/>
    <x v="2"/>
    <x v="3"/>
    <s v="F12.01.03"/>
    <n v="1"/>
    <s v="menganalisis dinamika sosial dalam kehidupan Masyarakat (pengaruh teknologi, globalisasi, konflik sosial) dan pengaruh dengan isu Papua "/>
    <s v="01.03"/>
    <x v="43"/>
    <s v="K12"/>
    <s v="F"/>
    <n v="70"/>
    <n v="50"/>
    <s v="Tidak tuntas"/>
    <s v="Sejarah"/>
    <x v="1"/>
    <x v="11"/>
    <n v="50"/>
    <x v="3"/>
    <n v="12"/>
    <x v="0"/>
    <x v="4"/>
    <x v="7"/>
  </r>
  <r>
    <n v="2442"/>
    <s v="232410009"/>
    <x v="2"/>
    <x v="20"/>
    <s v="Intan Jaya"/>
    <d v="2026-02-04T00:00:00"/>
    <s v="04"/>
    <x v="1"/>
    <s v="26"/>
    <x v="2"/>
    <x v="6"/>
    <x v="6"/>
    <s v="Real"/>
    <s v="Entrepreneur"/>
    <s v="Branding"/>
    <x v="0"/>
    <x v="2"/>
    <x v="3"/>
    <s v="F12.01.03"/>
    <n v="1"/>
    <s v="menganalisis dinamika sosial dalam kehidupan Masyarakat (pengaruh teknologi, globalisasi, konflik sosial) dan pengaruh dengan isu Papua "/>
    <s v="01.03"/>
    <x v="43"/>
    <s v="K12"/>
    <s v="F"/>
    <n v="70"/>
    <n v="69"/>
    <s v="Tidak tuntas"/>
    <s v="Sejarah"/>
    <x v="1"/>
    <x v="11"/>
    <n v="69"/>
    <x v="3"/>
    <n v="12"/>
    <x v="0"/>
    <x v="4"/>
    <x v="7"/>
  </r>
  <r>
    <n v="2443"/>
    <s v="232410009"/>
    <x v="2"/>
    <x v="20"/>
    <s v="Intan Jaya"/>
    <d v="2026-02-04T00:00:00"/>
    <s v="04"/>
    <x v="1"/>
    <s v="26"/>
    <x v="3"/>
    <x v="4"/>
    <x v="5"/>
    <s v="Real"/>
    <s v="Entrepreneur"/>
    <s v="Branding"/>
    <x v="0"/>
    <x v="2"/>
    <x v="3"/>
    <s v="F12.01.03"/>
    <n v="1"/>
    <s v="menganalisis dinamika sosial dalam kehidupan Masyarakat (pengaruh teknologi, globalisasi, konflik sosial) dan pengaruh dengan isu Papua "/>
    <s v="01.03"/>
    <x v="43"/>
    <s v="K12"/>
    <s v="F"/>
    <n v="70"/>
    <n v="75"/>
    <s v="Tuntas"/>
    <s v="Sejarah"/>
    <x v="1"/>
    <x v="11"/>
    <n v="75"/>
    <x v="1"/>
    <n v="12"/>
    <x v="1"/>
    <x v="4"/>
    <x v="7"/>
  </r>
  <r>
    <n v="2444"/>
    <s v="232410009"/>
    <x v="2"/>
    <x v="20"/>
    <s v="Intan Jaya"/>
    <d v="2026-02-11T00:00:00"/>
    <s v="11"/>
    <x v="1"/>
    <s v="26"/>
    <x v="4"/>
    <x v="5"/>
    <x v="0"/>
    <s v="Real"/>
    <s v="Entrepreneur"/>
    <s v="Branding"/>
    <x v="0"/>
    <x v="2"/>
    <x v="3"/>
    <s v="F12.01.03"/>
    <n v="1"/>
    <s v="menganalisis dinamika sosial dalam kehidupan Masyarakat (pengaruh teknologi, globalisasi, konflik sosial) dan pengaruh dengan isu Papua "/>
    <s v="01.03"/>
    <x v="43"/>
    <s v="K12"/>
    <s v="F"/>
    <n v="70"/>
    <n v="69"/>
    <s v="Tidak tuntas"/>
    <s v="Sejarah"/>
    <x v="1"/>
    <x v="11"/>
    <n v="69"/>
    <x v="3"/>
    <n v="12"/>
    <x v="0"/>
    <x v="5"/>
    <x v="7"/>
  </r>
  <r>
    <n v="2445"/>
    <s v="232410009"/>
    <x v="2"/>
    <x v="20"/>
    <s v="Intan Jaya"/>
    <d v="2026-02-11T00:00:00"/>
    <s v="11"/>
    <x v="1"/>
    <s v="26"/>
    <x v="0"/>
    <x v="0"/>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7"/>
  </r>
  <r>
    <n v="2446"/>
    <s v="232410009"/>
    <x v="2"/>
    <x v="20"/>
    <s v="Intan Jaya"/>
    <d v="2026-02-11T00:00:00"/>
    <s v="11"/>
    <x v="1"/>
    <s v="26"/>
    <x v="2"/>
    <x v="6"/>
    <x v="6"/>
    <s v="Real"/>
    <s v="Entrepreneur"/>
    <s v="Branding"/>
    <x v="0"/>
    <x v="2"/>
    <x v="3"/>
    <s v="F12.01.03"/>
    <n v="1"/>
    <s v="menganalisis dinamika sosial dalam kehidupan Masyarakat (pengaruh teknologi, globalisasi, konflik sosial) dan pengaruh dengan isu Papua "/>
    <s v="01.03"/>
    <x v="43"/>
    <s v="K12"/>
    <s v="F"/>
    <n v="70"/>
    <n v="69"/>
    <s v="Tidak tuntas"/>
    <s v="Sejarah"/>
    <x v="1"/>
    <x v="11"/>
    <n v="69"/>
    <x v="3"/>
    <n v="12"/>
    <x v="0"/>
    <x v="5"/>
    <x v="7"/>
  </r>
  <r>
    <n v="2447"/>
    <s v="232410009"/>
    <x v="2"/>
    <x v="20"/>
    <s v="Intan Jaya"/>
    <d v="2026-02-11T00:00:00"/>
    <s v="11"/>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5"/>
    <x v="7"/>
  </r>
  <r>
    <n v="2448"/>
    <s v="232410009"/>
    <x v="2"/>
    <x v="20"/>
    <s v="Intan Jaya"/>
    <d v="2026-02-18T00:00:00"/>
    <s v="18"/>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6"/>
    <x v="7"/>
  </r>
  <r>
    <n v="2449"/>
    <s v="232410009"/>
    <x v="2"/>
    <x v="20"/>
    <s v="Intan Jaya"/>
    <d v="2026-02-18T00:00:00"/>
    <s v="18"/>
    <x v="1"/>
    <s v="26"/>
    <x v="0"/>
    <x v="2"/>
    <x v="17"/>
    <s v="Real"/>
    <s v="Entrepreneur"/>
    <s v="Branding"/>
    <x v="0"/>
    <x v="2"/>
    <x v="3"/>
    <s v="F12.01.02"/>
    <n v="1"/>
    <s v="menganalisis dinamika sosial dalam kehidupan Masyarakat (pengaruh teknologi, globalisasi, konflik sosial) dan pengaruh dengan isu Papua "/>
    <s v="01.02"/>
    <x v="42"/>
    <s v="K12"/>
    <s v="F"/>
    <n v="70"/>
    <n v="33"/>
    <s v="Tidak tuntas"/>
    <s v="Sejarah"/>
    <x v="1"/>
    <x v="11"/>
    <n v="33"/>
    <x v="3"/>
    <n v="12"/>
    <x v="0"/>
    <x v="6"/>
    <x v="7"/>
  </r>
  <r>
    <n v="2450"/>
    <s v="232410009"/>
    <x v="2"/>
    <x v="20"/>
    <s v="Intan Jaya"/>
    <d v="2026-02-18T00:00:00"/>
    <s v="18"/>
    <x v="1"/>
    <s v="26"/>
    <x v="2"/>
    <x v="6"/>
    <x v="17"/>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6"/>
    <x v="7"/>
  </r>
  <r>
    <n v="2451"/>
    <s v="232410008"/>
    <x v="2"/>
    <x v="21"/>
    <s v="Intan Jaya"/>
    <d v="2026-01-14T00:00:00"/>
    <s v="14"/>
    <x v="0"/>
    <s v="26"/>
    <x v="0"/>
    <x v="0"/>
    <x v="6"/>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1"/>
    <x v="2"/>
  </r>
  <r>
    <n v="2452"/>
    <s v="232410008"/>
    <x v="2"/>
    <x v="21"/>
    <s v="Intan Jaya"/>
    <d v="2026-01-14T00:00:00"/>
    <s v="14"/>
    <x v="0"/>
    <s v="26"/>
    <x v="2"/>
    <x v="6"/>
    <x v="6"/>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1"/>
    <x v="2"/>
  </r>
  <r>
    <n v="2453"/>
    <s v="232410008"/>
    <x v="2"/>
    <x v="21"/>
    <s v="Intan Jaya"/>
    <d v="2026-01-14T00:00:00"/>
    <s v="14"/>
    <x v="0"/>
    <s v="26"/>
    <x v="3"/>
    <x v="4"/>
    <x v="5"/>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1"/>
    <x v="1"/>
    <x v="2"/>
  </r>
  <r>
    <n v="2454"/>
    <s v="232410008"/>
    <x v="2"/>
    <x v="21"/>
    <s v="Intan Jaya"/>
    <d v="2026-01-14T00:00:00"/>
    <s v="14"/>
    <x v="0"/>
    <s v="26"/>
    <x v="4"/>
    <x v="5"/>
    <x v="0"/>
    <s v="Real"/>
    <s v="Entrepreneur"/>
    <s v="Branding"/>
    <x v="0"/>
    <x v="2"/>
    <x v="3"/>
    <s v="F12.01.01"/>
    <n v="1"/>
    <s v="menganalisis dinamika sosial dalam kehidupan Masyarakat (pengaruh teknologi, globalisasi, konflik sosial) dan pengaruh dengan isu Papua "/>
    <s v="01.01"/>
    <x v="41"/>
    <s v="K12"/>
    <s v="F"/>
    <n v="70"/>
    <n v="72"/>
    <s v="Tuntas"/>
    <s v="Sejarah"/>
    <x v="1"/>
    <x v="11"/>
    <n v="72"/>
    <x v="1"/>
    <n v="12"/>
    <x v="0"/>
    <x v="1"/>
    <x v="2"/>
  </r>
  <r>
    <n v="2455"/>
    <s v="232410008"/>
    <x v="2"/>
    <x v="21"/>
    <s v="Intan Jaya"/>
    <d v="2026-01-21T00:00:00"/>
    <s v="21"/>
    <x v="0"/>
    <s v="26"/>
    <x v="0"/>
    <x v="0"/>
    <x v="6"/>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2"/>
  </r>
  <r>
    <n v="2456"/>
    <s v="232410008"/>
    <x v="2"/>
    <x v="21"/>
    <s v="Intan Jaya"/>
    <d v="2026-01-21T00:00:00"/>
    <s v="21"/>
    <x v="0"/>
    <s v="26"/>
    <x v="2"/>
    <x v="6"/>
    <x v="21"/>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2"/>
  </r>
  <r>
    <n v="2457"/>
    <s v="232410008"/>
    <x v="2"/>
    <x v="21"/>
    <s v="Intan Jaya"/>
    <d v="2026-01-21T00:00:00"/>
    <s v="21"/>
    <x v="0"/>
    <s v="26"/>
    <x v="3"/>
    <x v="4"/>
    <x v="3"/>
    <s v="Real"/>
    <s v="Entrepreneur"/>
    <s v="Branding"/>
    <x v="0"/>
    <x v="2"/>
    <x v="3"/>
    <s v="F12.01.01"/>
    <n v="1"/>
    <s v="menganalisis dinamika sosial dalam kehidupan Masyarakat (pengaruh teknologi, globalisasi, konflik sosial) dan pengaruh dengan isu Papua "/>
    <s v="01.01"/>
    <x v="41"/>
    <s v="K12"/>
    <s v="F"/>
    <n v="70"/>
    <n v="75"/>
    <s v="Tuntas"/>
    <s v="Sejarah"/>
    <x v="1"/>
    <x v="11"/>
    <n v="75"/>
    <x v="1"/>
    <n v="12"/>
    <x v="1"/>
    <x v="2"/>
    <x v="2"/>
  </r>
  <r>
    <n v="2458"/>
    <s v="232410008"/>
    <x v="2"/>
    <x v="21"/>
    <s v="Intan Jaya"/>
    <d v="2026-01-21T00:00:00"/>
    <s v="21"/>
    <x v="0"/>
    <s v="26"/>
    <x v="4"/>
    <x v="5"/>
    <x v="0"/>
    <s v="Real"/>
    <s v="Entrepreneur"/>
    <s v="Branding"/>
    <x v="0"/>
    <x v="2"/>
    <x v="3"/>
    <s v="F12.01.01"/>
    <n v="1"/>
    <s v="menganalisis dinamika sosial dalam kehidupan Masyarakat (pengaruh teknologi, globalisasi, konflik sosial) dan pengaruh dengan isu Papua "/>
    <s v="01.01"/>
    <x v="41"/>
    <s v="K12"/>
    <s v="F"/>
    <n v="70"/>
    <n v="70"/>
    <s v="Tuntas"/>
    <s v="Sejarah"/>
    <x v="1"/>
    <x v="11"/>
    <n v="70"/>
    <x v="1"/>
    <n v="12"/>
    <x v="0"/>
    <x v="2"/>
    <x v="2"/>
  </r>
  <r>
    <n v="2459"/>
    <s v="232410008"/>
    <x v="2"/>
    <x v="21"/>
    <s v="Intan Jaya"/>
    <d v="2026-01-28T00:00:00"/>
    <s v="28"/>
    <x v="0"/>
    <s v="26"/>
    <x v="0"/>
    <x v="0"/>
    <x v="6"/>
    <s v="Real"/>
    <s v="Entrepreneur"/>
    <s v="Branding"/>
    <x v="0"/>
    <x v="2"/>
    <x v="3"/>
    <s v="F12.01.02"/>
    <n v="1"/>
    <s v="menganalisis dinamika sosial dalam kehidupan Masyarakat (pengaruh teknologi, globalisasi, konflik sosial) dan pengaruh dengan isu Papua "/>
    <s v="01.02"/>
    <x v="42"/>
    <s v="K12"/>
    <s v="F"/>
    <n v="70"/>
    <n v="72"/>
    <s v="Tuntas"/>
    <s v="Sejarah"/>
    <x v="1"/>
    <x v="11"/>
    <n v="72"/>
    <x v="1"/>
    <n v="12"/>
    <x v="0"/>
    <x v="3"/>
    <x v="2"/>
  </r>
  <r>
    <n v="2460"/>
    <s v="232410008"/>
    <x v="2"/>
    <x v="21"/>
    <s v="Intan Jaya"/>
    <d v="2026-01-28T00:00:00"/>
    <s v="28"/>
    <x v="0"/>
    <s v="26"/>
    <x v="2"/>
    <x v="6"/>
    <x v="6"/>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2"/>
  </r>
  <r>
    <n v="2461"/>
    <s v="232410008"/>
    <x v="2"/>
    <x v="21"/>
    <s v="Intan Jaya"/>
    <d v="2026-01-28T00:00:00"/>
    <s v="28"/>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2"/>
  </r>
  <r>
    <n v="2462"/>
    <s v="232410008"/>
    <x v="2"/>
    <x v="21"/>
    <s v="Intan Jaya"/>
    <d v="2026-01-28T00:00:00"/>
    <s v="28"/>
    <x v="0"/>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2"/>
  </r>
  <r>
    <n v="2463"/>
    <s v="232410008"/>
    <x v="2"/>
    <x v="21"/>
    <s v="Intan Jaya"/>
    <d v="2026-01-28T00:00:00"/>
    <s v="28"/>
    <x v="0"/>
    <s v="26"/>
    <x v="0"/>
    <x v="0"/>
    <x v="2"/>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2"/>
  </r>
  <r>
    <n v="2464"/>
    <s v="232410008"/>
    <x v="2"/>
    <x v="21"/>
    <s v="Intan Jaya"/>
    <d v="2026-01-28T00:00:00"/>
    <s v="28"/>
    <x v="0"/>
    <s v="26"/>
    <x v="2"/>
    <x v="3"/>
    <x v="21"/>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3"/>
    <x v="2"/>
  </r>
  <r>
    <n v="2465"/>
    <s v="232410008"/>
    <x v="2"/>
    <x v="21"/>
    <s v="Intan Jaya"/>
    <d v="2026-01-30T00:00:00"/>
    <s v="30"/>
    <x v="0"/>
    <s v="26"/>
    <x v="3"/>
    <x v="4"/>
    <x v="3"/>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1"/>
    <x v="3"/>
    <x v="2"/>
  </r>
  <r>
    <n v="2466"/>
    <s v="232410008"/>
    <x v="2"/>
    <x v="21"/>
    <s v="Intan Jaya"/>
    <d v="2026-02-04T00:00:00"/>
    <s v="04"/>
    <x v="1"/>
    <s v="26"/>
    <x v="4"/>
    <x v="5"/>
    <x v="0"/>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4"/>
    <x v="2"/>
  </r>
  <r>
    <n v="2467"/>
    <s v="232410008"/>
    <x v="2"/>
    <x v="21"/>
    <s v="Intan Jaya"/>
    <d v="2026-02-04T00:00:00"/>
    <s v="04"/>
    <x v="1"/>
    <s v="26"/>
    <x v="0"/>
    <x v="0"/>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4"/>
    <x v="2"/>
  </r>
  <r>
    <n v="2468"/>
    <s v="232410008"/>
    <x v="2"/>
    <x v="21"/>
    <s v="Intan Jaya"/>
    <d v="2026-02-04T00:00:00"/>
    <s v="04"/>
    <x v="1"/>
    <s v="26"/>
    <x v="2"/>
    <x v="6"/>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4"/>
    <x v="2"/>
  </r>
  <r>
    <n v="2469"/>
    <s v="232410008"/>
    <x v="2"/>
    <x v="21"/>
    <s v="Intan Jaya"/>
    <d v="2026-02-04T00:00:00"/>
    <s v="04"/>
    <x v="1"/>
    <s v="26"/>
    <x v="3"/>
    <x v="4"/>
    <x v="5"/>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1"/>
    <x v="4"/>
    <x v="2"/>
  </r>
  <r>
    <n v="2470"/>
    <s v="232410008"/>
    <x v="2"/>
    <x v="21"/>
    <s v="Intan Jaya"/>
    <d v="2026-02-11T00:00:00"/>
    <s v="11"/>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2"/>
  </r>
  <r>
    <n v="2471"/>
    <s v="232410008"/>
    <x v="2"/>
    <x v="21"/>
    <s v="Intan Jaya"/>
    <d v="2026-02-11T00:00:00"/>
    <s v="11"/>
    <x v="1"/>
    <s v="26"/>
    <x v="0"/>
    <x v="0"/>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2"/>
  </r>
  <r>
    <n v="2472"/>
    <s v="232410008"/>
    <x v="2"/>
    <x v="21"/>
    <s v="Intan Jaya"/>
    <d v="2026-02-11T00:00:00"/>
    <s v="11"/>
    <x v="1"/>
    <s v="26"/>
    <x v="2"/>
    <x v="6"/>
    <x v="6"/>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5"/>
    <x v="2"/>
  </r>
  <r>
    <n v="2473"/>
    <s v="232410008"/>
    <x v="2"/>
    <x v="21"/>
    <s v="Intan Jaya"/>
    <d v="2026-02-11T00:00:00"/>
    <s v="11"/>
    <x v="1"/>
    <s v="26"/>
    <x v="3"/>
    <x v="4"/>
    <x v="5"/>
    <s v="Real"/>
    <s v="Entrepreneur"/>
    <s v="Branding"/>
    <x v="0"/>
    <x v="2"/>
    <x v="3"/>
    <s v="F12.01.03"/>
    <n v="1"/>
    <s v="menganalisis dinamika sosial dalam kehidupan Masyarakat (pengaruh teknologi, globalisasi, konflik sosial) dan pengaruh dengan isu Papua "/>
    <s v="01.03"/>
    <x v="43"/>
    <s v="K12"/>
    <s v="F"/>
    <n v="70"/>
    <n v="80"/>
    <s v="Tuntas"/>
    <s v="Sejarah"/>
    <x v="1"/>
    <x v="11"/>
    <n v="80"/>
    <x v="2"/>
    <n v="12"/>
    <x v="2"/>
    <x v="5"/>
    <x v="2"/>
  </r>
  <r>
    <n v="2474"/>
    <s v="232410008"/>
    <x v="2"/>
    <x v="21"/>
    <s v="Intan Jaya"/>
    <d v="2026-02-18T00:00:00"/>
    <s v="18"/>
    <x v="1"/>
    <s v="26"/>
    <x v="4"/>
    <x v="5"/>
    <x v="0"/>
    <s v="Real"/>
    <s v="Entrepreneur"/>
    <s v="Branding"/>
    <x v="0"/>
    <x v="2"/>
    <x v="3"/>
    <s v="F12.01.03"/>
    <n v="1"/>
    <s v="menganalisis dinamika sosial dalam kehidupan Masyarakat (pengaruh teknologi, globalisasi, konflik sosial) dan pengaruh dengan isu Papua "/>
    <s v="01.03"/>
    <x v="43"/>
    <s v="K12"/>
    <s v="F"/>
    <n v="70"/>
    <n v="70"/>
    <s v="Tuntas"/>
    <s v="Sejarah"/>
    <x v="1"/>
    <x v="11"/>
    <n v="70"/>
    <x v="1"/>
    <n v="12"/>
    <x v="0"/>
    <x v="6"/>
    <x v="2"/>
  </r>
  <r>
    <n v="2475"/>
    <s v="232410008"/>
    <x v="2"/>
    <x v="21"/>
    <s v="Intan Jaya"/>
    <d v="2026-02-18T00:00:00"/>
    <s v="18"/>
    <x v="1"/>
    <s v="26"/>
    <x v="0"/>
    <x v="2"/>
    <x v="17"/>
    <s v="Real"/>
    <s v="Entrepreneur"/>
    <s v="Branding"/>
    <x v="0"/>
    <x v="2"/>
    <x v="3"/>
    <s v="F12.01.02"/>
    <n v="1"/>
    <s v="menganalisis dinamika sosial dalam kehidupan Masyarakat (pengaruh teknologi, globalisasi, konflik sosial) dan pengaruh dengan isu Papua "/>
    <s v="01.02"/>
    <x v="42"/>
    <s v="K12"/>
    <s v="F"/>
    <n v="70"/>
    <n v="54"/>
    <s v="Tidak tuntas"/>
    <s v="Sejarah"/>
    <x v="1"/>
    <x v="11"/>
    <n v="54"/>
    <x v="3"/>
    <n v="12"/>
    <x v="0"/>
    <x v="6"/>
    <x v="2"/>
  </r>
  <r>
    <n v="2476"/>
    <s v="232410008"/>
    <x v="2"/>
    <x v="21"/>
    <s v="Intan Jaya"/>
    <d v="2026-02-18T00:00:00"/>
    <s v="18"/>
    <x v="1"/>
    <s v="26"/>
    <x v="2"/>
    <x v="6"/>
    <x v="17"/>
    <s v="Real"/>
    <s v="Entrepreneur"/>
    <s v="Branding"/>
    <x v="0"/>
    <x v="2"/>
    <x v="3"/>
    <s v="F12.01.02"/>
    <n v="1"/>
    <s v="menganalisis dinamika sosial dalam kehidupan Masyarakat (pengaruh teknologi, globalisasi, konflik sosial) dan pengaruh dengan isu Papua "/>
    <s v="01.02"/>
    <x v="42"/>
    <s v="K12"/>
    <s v="F"/>
    <n v="70"/>
    <n v="70"/>
    <s v="Tuntas"/>
    <s v="Sejarah"/>
    <x v="1"/>
    <x v="11"/>
    <n v="70"/>
    <x v="1"/>
    <n v="12"/>
    <x v="0"/>
    <x v="6"/>
    <x v="2"/>
  </r>
  <r>
    <n v="2477"/>
    <s v="#N/A"/>
    <x v="1"/>
    <x v="12"/>
    <s v="#VALUE!"/>
    <m/>
    <s v=",,,,,,,,,"/>
    <x v="3"/>
    <s v=",,,,,,,,,"/>
    <x v="6"/>
    <x v="17"/>
    <x v="19"/>
    <s v=",,,,,,,,,"/>
    <s v=""/>
    <s v=""/>
    <x v="1"/>
    <x v="1"/>
    <x v="2"/>
    <s v=",,,,,,,,,"/>
    <m/>
    <s v=""/>
    <s v=",,,,,"/>
    <x v="8"/>
    <s v=",,,,,,,,,"/>
    <s v=","/>
    <n v="65"/>
    <m/>
    <s v="#REF!"/>
    <s v="Seni Budaya dan Keterampilan"/>
    <x v="0"/>
    <x v="0"/>
    <s v=""/>
    <x v="0"/>
    <s v=""/>
    <x v="0"/>
    <x v="0"/>
    <x v="0"/>
  </r>
  <r>
    <n v="2478"/>
    <s v="232410002"/>
    <x v="2"/>
    <x v="15"/>
    <s v="Tolikara"/>
    <d v="2026-01-22T00:00:00"/>
    <s v="22"/>
    <x v="0"/>
    <s v="26"/>
    <x v="1"/>
    <x v="19"/>
    <x v="11"/>
    <s v="Real"/>
    <s v="Entrepreneur"/>
    <s v="Branding"/>
    <x v="0"/>
    <x v="2"/>
    <x v="3"/>
    <s v="F12.01.01"/>
    <n v="1"/>
    <s v="memaksimalkan volume penjualan untuk memenuhi target yang direncanakan"/>
    <s v="01.01"/>
    <x v="44"/>
    <s v="K12"/>
    <s v="F"/>
    <n v="70"/>
    <n v="90"/>
    <s v="Tuntas"/>
    <s v="Prakarya dan Kewirausahaan"/>
    <x v="6"/>
    <x v="12"/>
    <n v="90"/>
    <x v="2"/>
    <n v="12"/>
    <x v="0"/>
    <x v="2"/>
    <x v="3"/>
  </r>
  <r>
    <n v="2479"/>
    <s v="232410002"/>
    <x v="2"/>
    <x v="15"/>
    <s v="Tolikara"/>
    <d v="2026-01-27T00:00:00"/>
    <s v="27"/>
    <x v="0"/>
    <s v="26"/>
    <x v="3"/>
    <x v="15"/>
    <x v="22"/>
    <s v="Real"/>
    <s v="Entrepreneur"/>
    <s v="Branding"/>
    <x v="0"/>
    <x v="2"/>
    <x v="3"/>
    <s v="F12.01.01"/>
    <n v="1"/>
    <s v="memaksimalkan volume penjualan untuk memenuhi target yang direncanakan"/>
    <s v="01.01"/>
    <x v="44"/>
    <s v="K12"/>
    <s v="F"/>
    <n v="70"/>
    <n v="85"/>
    <s v="Tuntas"/>
    <s v="Prakarya dan Kewirausahaan"/>
    <x v="6"/>
    <x v="12"/>
    <n v="85"/>
    <x v="2"/>
    <n v="12"/>
    <x v="2"/>
    <x v="3"/>
    <x v="3"/>
  </r>
  <r>
    <n v="2480"/>
    <s v="232410002"/>
    <x v="2"/>
    <x v="15"/>
    <s v="Tolikara"/>
    <d v="2026-01-29T00:00:00"/>
    <s v="29"/>
    <x v="0"/>
    <s v="26"/>
    <x v="2"/>
    <x v="12"/>
    <x v="11"/>
    <s v="Real"/>
    <s v="Entrepreneur"/>
    <s v="Branding"/>
    <x v="0"/>
    <x v="2"/>
    <x v="3"/>
    <s v="F12.01.01"/>
    <n v="1"/>
    <s v="memaksimalkan volume penjualan untuk memenuhi target yang direncanakan"/>
    <s v="01.01"/>
    <x v="44"/>
    <s v="K12"/>
    <s v="F"/>
    <n v="70"/>
    <n v="90"/>
    <s v="Tuntas"/>
    <s v="Prakarya dan Kewirausahaan"/>
    <x v="6"/>
    <x v="12"/>
    <n v="90"/>
    <x v="2"/>
    <n v="12"/>
    <x v="0"/>
    <x v="3"/>
    <x v="3"/>
  </r>
  <r>
    <n v="2481"/>
    <s v="232410004"/>
    <x v="2"/>
    <x v="17"/>
    <s v="Intan Jaya"/>
    <d v="2026-01-22T00:00:00"/>
    <s v="22"/>
    <x v="0"/>
    <s v="26"/>
    <x v="1"/>
    <x v="19"/>
    <x v="11"/>
    <s v="Real"/>
    <s v="Entrepreneur"/>
    <s v="Branding"/>
    <x v="0"/>
    <x v="2"/>
    <x v="3"/>
    <s v="F12.01.01"/>
    <n v="1"/>
    <s v="memaksimalkan volume penjualan untuk memenuhi target yang direncanakan"/>
    <s v="01.01"/>
    <x v="44"/>
    <s v="K12"/>
    <s v="F"/>
    <n v="70"/>
    <n v="80"/>
    <s v="Tuntas"/>
    <s v="Prakarya dan Kewirausahaan"/>
    <x v="6"/>
    <x v="12"/>
    <n v="80"/>
    <x v="2"/>
    <n v="12"/>
    <x v="0"/>
    <x v="2"/>
    <x v="2"/>
  </r>
  <r>
    <n v="2482"/>
    <s v="232410004"/>
    <x v="2"/>
    <x v="17"/>
    <s v="Intan Jaya"/>
    <d v="2026-01-27T00:00:00"/>
    <s v="27"/>
    <x v="0"/>
    <s v="26"/>
    <x v="3"/>
    <x v="15"/>
    <x v="22"/>
    <s v="Real"/>
    <s v="Entrepreneur"/>
    <s v="Branding"/>
    <x v="0"/>
    <x v="2"/>
    <x v="3"/>
    <s v="F12.01.01"/>
    <n v="1"/>
    <s v="memaksimalkan volume penjualan untuk memenuhi target yang direncanakan"/>
    <s v="01.01"/>
    <x v="44"/>
    <s v="K12"/>
    <s v="F"/>
    <n v="70"/>
    <n v="85"/>
    <s v="Tuntas"/>
    <s v="Prakarya dan Kewirausahaan"/>
    <x v="6"/>
    <x v="12"/>
    <n v="85"/>
    <x v="2"/>
    <n v="12"/>
    <x v="2"/>
    <x v="3"/>
    <x v="2"/>
  </r>
  <r>
    <n v="2483"/>
    <s v="232410004"/>
    <x v="2"/>
    <x v="17"/>
    <s v="Intan Jaya"/>
    <d v="2026-01-29T00:00:00"/>
    <s v="29"/>
    <x v="0"/>
    <s v="26"/>
    <x v="2"/>
    <x v="12"/>
    <x v="11"/>
    <s v="Real"/>
    <s v="Entrepreneur"/>
    <s v="Branding"/>
    <x v="0"/>
    <x v="2"/>
    <x v="3"/>
    <s v="F12.01.01"/>
    <n v="1"/>
    <s v="memaksimalkan volume penjualan untuk memenuhi target yang direncanakan"/>
    <s v="01.01"/>
    <x v="44"/>
    <s v="K12"/>
    <s v="F"/>
    <n v="70"/>
    <n v="80"/>
    <s v="Tuntas"/>
    <s v="Prakarya dan Kewirausahaan"/>
    <x v="6"/>
    <x v="12"/>
    <n v="80"/>
    <x v="2"/>
    <n v="12"/>
    <x v="0"/>
    <x v="3"/>
    <x v="2"/>
  </r>
  <r>
    <n v="2484"/>
    <s v="232410005"/>
    <x v="2"/>
    <x v="13"/>
    <s v="Asmat"/>
    <d v="2026-01-22T00:00:00"/>
    <s v="22"/>
    <x v="0"/>
    <s v="26"/>
    <x v="1"/>
    <x v="19"/>
    <x v="11"/>
    <s v="Real"/>
    <s v="Entrepreneur"/>
    <s v="Branding"/>
    <x v="0"/>
    <x v="2"/>
    <x v="3"/>
    <s v="F12.01.01"/>
    <n v="1"/>
    <s v="memaksimalkan volume penjualan untuk memenuhi target yang direncanakan"/>
    <s v="01.01"/>
    <x v="44"/>
    <s v="K12"/>
    <s v="F"/>
    <n v="70"/>
    <n v="90"/>
    <s v="Tuntas"/>
    <s v="Prakarya dan Kewirausahaan"/>
    <x v="6"/>
    <x v="12"/>
    <n v="90"/>
    <x v="2"/>
    <n v="12"/>
    <x v="0"/>
    <x v="2"/>
    <x v="3"/>
  </r>
  <r>
    <n v="2485"/>
    <s v="232410005"/>
    <x v="2"/>
    <x v="13"/>
    <s v="Asmat"/>
    <d v="2026-01-27T00:00:00"/>
    <s v="27"/>
    <x v="0"/>
    <s v="26"/>
    <x v="3"/>
    <x v="15"/>
    <x v="22"/>
    <s v="Real"/>
    <s v="Entrepreneur"/>
    <s v="Branding"/>
    <x v="0"/>
    <x v="2"/>
    <x v="3"/>
    <s v="F12.01.01"/>
    <n v="1"/>
    <s v="memaksimalkan volume penjualan untuk memenuhi target yang direncanakan"/>
    <s v="01.01"/>
    <x v="44"/>
    <s v="K12"/>
    <s v="F"/>
    <n v="70"/>
    <n v="85"/>
    <s v="Tuntas"/>
    <s v="Prakarya dan Kewirausahaan"/>
    <x v="6"/>
    <x v="12"/>
    <n v="85"/>
    <x v="2"/>
    <n v="12"/>
    <x v="2"/>
    <x v="3"/>
    <x v="3"/>
  </r>
  <r>
    <n v="2486"/>
    <s v="232410005"/>
    <x v="2"/>
    <x v="13"/>
    <s v="Asmat"/>
    <d v="2026-01-29T00:00:00"/>
    <s v="29"/>
    <x v="0"/>
    <s v="26"/>
    <x v="2"/>
    <x v="12"/>
    <x v="11"/>
    <s v="Real"/>
    <s v="Entrepreneur"/>
    <s v="Branding"/>
    <x v="0"/>
    <x v="2"/>
    <x v="3"/>
    <s v="F12.01.01"/>
    <n v="1"/>
    <s v="memaksimalkan volume penjualan untuk memenuhi target yang direncanakan"/>
    <s v="01.01"/>
    <x v="44"/>
    <s v="K12"/>
    <s v="F"/>
    <n v="70"/>
    <n v="90"/>
    <s v="Tuntas"/>
    <s v="Prakarya dan Kewirausahaan"/>
    <x v="6"/>
    <x v="12"/>
    <n v="90"/>
    <x v="2"/>
    <n v="12"/>
    <x v="0"/>
    <x v="3"/>
    <x v="3"/>
  </r>
  <r>
    <n v="2487"/>
    <s v="232410006"/>
    <x v="2"/>
    <x v="18"/>
    <s v="Intan Jaya"/>
    <d v="2026-01-22T00:00:00"/>
    <s v="22"/>
    <x v="0"/>
    <s v="26"/>
    <x v="1"/>
    <x v="19"/>
    <x v="11"/>
    <s v="Real"/>
    <s v="Entrepreneur"/>
    <s v="Branding"/>
    <x v="0"/>
    <x v="2"/>
    <x v="3"/>
    <s v="F12.01.01"/>
    <n v="1"/>
    <s v="memaksimalkan volume penjualan untuk memenuhi target yang direncanakan"/>
    <s v="01.01"/>
    <x v="44"/>
    <s v="K12"/>
    <s v="F"/>
    <n v="70"/>
    <n v="80"/>
    <s v="Tuntas"/>
    <s v="Prakarya dan Kewirausahaan"/>
    <x v="6"/>
    <x v="12"/>
    <n v="80"/>
    <x v="2"/>
    <n v="12"/>
    <x v="0"/>
    <x v="2"/>
    <x v="4"/>
  </r>
  <r>
    <n v="2488"/>
    <s v="232410006"/>
    <x v="2"/>
    <x v="18"/>
    <s v="Intan Jaya"/>
    <d v="2026-01-27T00:00:00"/>
    <s v="27"/>
    <x v="0"/>
    <s v="26"/>
    <x v="3"/>
    <x v="15"/>
    <x v="22"/>
    <s v="Real"/>
    <s v="Entrepreneur"/>
    <s v="Branding"/>
    <x v="0"/>
    <x v="2"/>
    <x v="3"/>
    <s v="F12.01.01"/>
    <n v="1"/>
    <s v="memaksimalkan volume penjualan untuk memenuhi target yang direncanakan"/>
    <s v="01.01"/>
    <x v="44"/>
    <s v="K12"/>
    <s v="F"/>
    <n v="70"/>
    <n v="80"/>
    <s v="Tuntas"/>
    <s v="Prakarya dan Kewirausahaan"/>
    <x v="6"/>
    <x v="12"/>
    <n v="80"/>
    <x v="2"/>
    <n v="12"/>
    <x v="2"/>
    <x v="3"/>
    <x v="4"/>
  </r>
  <r>
    <n v="2489"/>
    <s v="232410006"/>
    <x v="2"/>
    <x v="18"/>
    <s v="Intan Jaya"/>
    <d v="2026-01-29T00:00:00"/>
    <s v="29"/>
    <x v="0"/>
    <s v="26"/>
    <x v="2"/>
    <x v="12"/>
    <x v="11"/>
    <s v="Real"/>
    <s v="Entrepreneur"/>
    <s v="Branding"/>
    <x v="0"/>
    <x v="2"/>
    <x v="3"/>
    <s v="F12.01.01"/>
    <n v="1"/>
    <s v="memaksimalkan volume penjualan untuk memenuhi target yang direncanakan"/>
    <s v="01.01"/>
    <x v="44"/>
    <s v="K12"/>
    <s v="F"/>
    <n v="70"/>
    <n v="85"/>
    <s v="Tuntas"/>
    <s v="Prakarya dan Kewirausahaan"/>
    <x v="6"/>
    <x v="12"/>
    <n v="85"/>
    <x v="2"/>
    <n v="12"/>
    <x v="0"/>
    <x v="3"/>
    <x v="4"/>
  </r>
  <r>
    <n v="2490"/>
    <s v="232410008"/>
    <x v="2"/>
    <x v="21"/>
    <s v="Intan Jaya"/>
    <d v="2026-01-22T00:00:00"/>
    <s v="22"/>
    <x v="0"/>
    <s v="26"/>
    <x v="1"/>
    <x v="19"/>
    <x v="11"/>
    <s v="Real"/>
    <s v="Entrepreneur"/>
    <s v="Branding"/>
    <x v="0"/>
    <x v="2"/>
    <x v="3"/>
    <s v="F12.01.01"/>
    <n v="1"/>
    <s v="memaksimalkan volume penjualan untuk memenuhi target yang direncanakan"/>
    <s v="01.01"/>
    <x v="44"/>
    <s v="K12"/>
    <s v="F"/>
    <n v="70"/>
    <n v="80"/>
    <s v="Tuntas"/>
    <s v="Prakarya dan Kewirausahaan"/>
    <x v="6"/>
    <x v="12"/>
    <n v="80"/>
    <x v="2"/>
    <n v="12"/>
    <x v="0"/>
    <x v="2"/>
    <x v="2"/>
  </r>
  <r>
    <n v="2491"/>
    <s v="232410008"/>
    <x v="2"/>
    <x v="21"/>
    <s v="Intan Jaya"/>
    <d v="2026-01-27T00:00:00"/>
    <s v="27"/>
    <x v="0"/>
    <s v="26"/>
    <x v="3"/>
    <x v="15"/>
    <x v="22"/>
    <s v="Real"/>
    <s v="Entrepreneur"/>
    <s v="Branding"/>
    <x v="0"/>
    <x v="2"/>
    <x v="3"/>
    <s v="F12.01.01"/>
    <n v="1"/>
    <s v="memaksimalkan volume penjualan untuk memenuhi target yang direncanakan"/>
    <s v="01.01"/>
    <x v="44"/>
    <s v="K12"/>
    <s v="F"/>
    <n v="70"/>
    <n v="85"/>
    <s v="Tuntas"/>
    <s v="Prakarya dan Kewirausahaan"/>
    <x v="6"/>
    <x v="12"/>
    <n v="85"/>
    <x v="2"/>
    <n v="12"/>
    <x v="2"/>
    <x v="3"/>
    <x v="2"/>
  </r>
  <r>
    <n v="2492"/>
    <s v="232410008"/>
    <x v="2"/>
    <x v="21"/>
    <s v="Intan Jaya"/>
    <d v="2026-01-29T00:00:00"/>
    <s v="29"/>
    <x v="0"/>
    <s v="26"/>
    <x v="2"/>
    <x v="12"/>
    <x v="11"/>
    <s v="Real"/>
    <s v="Entrepreneur"/>
    <s v="Branding"/>
    <x v="0"/>
    <x v="2"/>
    <x v="3"/>
    <s v="F12.01.01"/>
    <n v="1"/>
    <s v="memaksimalkan volume penjualan untuk memenuhi target yang direncanakan"/>
    <s v="01.01"/>
    <x v="44"/>
    <s v="K12"/>
    <s v="F"/>
    <n v="70"/>
    <n v="85"/>
    <s v="Tuntas"/>
    <s v="Prakarya dan Kewirausahaan"/>
    <x v="6"/>
    <x v="12"/>
    <n v="85"/>
    <x v="2"/>
    <n v="12"/>
    <x v="0"/>
    <x v="3"/>
    <x v="2"/>
  </r>
  <r>
    <n v="2493"/>
    <s v="232410001"/>
    <x v="2"/>
    <x v="14"/>
    <s v="Dogiyai"/>
    <d v="2026-01-22T00:00:00"/>
    <s v="22"/>
    <x v="0"/>
    <s v="26"/>
    <x v="1"/>
    <x v="19"/>
    <x v="11"/>
    <s v="Real"/>
    <s v="Entrepreneur"/>
    <s v="Branding"/>
    <x v="0"/>
    <x v="2"/>
    <x v="3"/>
    <s v="F12.01.01"/>
    <n v="1"/>
    <s v="memaksimalkan volume penjualan untuk memenuhi target yang direncanakan"/>
    <s v="01.01"/>
    <x v="44"/>
    <s v="K12"/>
    <s v="F"/>
    <n v="70"/>
    <n v="0"/>
    <s v="Tidak tuntas"/>
    <s v="Proyek Kopi"/>
    <x v="6"/>
    <x v="0"/>
    <s v=""/>
    <x v="0"/>
    <s v=""/>
    <x v="0"/>
    <x v="0"/>
    <x v="0"/>
  </r>
  <r>
    <n v="2494"/>
    <s v="232410001"/>
    <x v="2"/>
    <x v="14"/>
    <s v="Dogiyai"/>
    <d v="2026-01-27T00:00:00"/>
    <s v="27"/>
    <x v="0"/>
    <s v="26"/>
    <x v="3"/>
    <x v="15"/>
    <x v="22"/>
    <s v="Real"/>
    <s v="Entrepreneur"/>
    <s v="Branding"/>
    <x v="0"/>
    <x v="2"/>
    <x v="3"/>
    <s v="F12.01.01"/>
    <n v="1"/>
    <s v="memaksimalkan volume penjualan untuk memenuhi target yang direncanakan"/>
    <s v="01.01"/>
    <x v="44"/>
    <s v="K12"/>
    <s v="F"/>
    <n v="70"/>
    <n v="0"/>
    <s v="Tidak tuntas"/>
    <s v="Proyek Kopi"/>
    <x v="6"/>
    <x v="0"/>
    <s v=""/>
    <x v="0"/>
    <s v=""/>
    <x v="0"/>
    <x v="0"/>
    <x v="0"/>
  </r>
  <r>
    <n v="2495"/>
    <s v="232410001"/>
    <x v="2"/>
    <x v="14"/>
    <s v="Dogiyai"/>
    <d v="2026-01-29T00:00:00"/>
    <s v="29"/>
    <x v="0"/>
    <s v="26"/>
    <x v="2"/>
    <x v="12"/>
    <x v="11"/>
    <s v="Real"/>
    <s v="Entrepreneur"/>
    <s v="Branding"/>
    <x v="0"/>
    <x v="2"/>
    <x v="3"/>
    <s v="F12.01.01"/>
    <n v="1"/>
    <s v="memaksimalkan volume penjualan untuk memenuhi target yang direncanakan"/>
    <s v="01.01"/>
    <x v="44"/>
    <s v="K12"/>
    <s v="F"/>
    <n v="70"/>
    <n v="0"/>
    <s v="Tidak tuntas"/>
    <s v="Proyek Kopi"/>
    <x v="6"/>
    <x v="0"/>
    <s v=""/>
    <x v="0"/>
    <s v=""/>
    <x v="0"/>
    <x v="0"/>
    <x v="0"/>
  </r>
  <r>
    <n v="2496"/>
    <s v="232410002"/>
    <x v="2"/>
    <x v="15"/>
    <s v="Tolikara"/>
    <d v="2026-01-22T00:00:00"/>
    <s v="22"/>
    <x v="0"/>
    <s v="26"/>
    <x v="1"/>
    <x v="19"/>
    <x v="11"/>
    <s v="Real"/>
    <s v="Entrepreneur"/>
    <s v="Branding"/>
    <x v="0"/>
    <x v="2"/>
    <x v="3"/>
    <s v="F12.01.01"/>
    <n v="1"/>
    <s v="memaksimalkan volume penjualan untuk memenuhi target yang direncanakan"/>
    <s v="01.01"/>
    <x v="44"/>
    <s v="K12"/>
    <s v="F"/>
    <n v="70"/>
    <n v="90"/>
    <s v="Tuntas"/>
    <s v="Proyek Kopi"/>
    <x v="6"/>
    <x v="13"/>
    <n v="90"/>
    <x v="2"/>
    <n v="12"/>
    <x v="0"/>
    <x v="2"/>
    <x v="3"/>
  </r>
  <r>
    <n v="2497"/>
    <s v="232410002"/>
    <x v="2"/>
    <x v="15"/>
    <s v="Tolikara"/>
    <d v="2026-01-27T00:00:00"/>
    <s v="27"/>
    <x v="0"/>
    <s v="26"/>
    <x v="3"/>
    <x v="15"/>
    <x v="22"/>
    <s v="Real"/>
    <s v="Entrepreneur"/>
    <s v="Branding"/>
    <x v="0"/>
    <x v="2"/>
    <x v="3"/>
    <s v="F12.01.01"/>
    <n v="1"/>
    <s v="memaksimalkan volume penjualan untuk memenuhi target yang direncanakan"/>
    <s v="01.01"/>
    <x v="44"/>
    <s v="K12"/>
    <s v="F"/>
    <n v="70"/>
    <n v="85"/>
    <s v="Tuntas"/>
    <s v="Proyek Kopi"/>
    <x v="6"/>
    <x v="13"/>
    <n v="85"/>
    <x v="2"/>
    <n v="12"/>
    <x v="2"/>
    <x v="3"/>
    <x v="3"/>
  </r>
  <r>
    <n v="2498"/>
    <s v="232410002"/>
    <x v="2"/>
    <x v="15"/>
    <s v="Tolikara"/>
    <d v="2026-01-29T00:00:00"/>
    <s v="29"/>
    <x v="0"/>
    <s v="26"/>
    <x v="2"/>
    <x v="12"/>
    <x v="11"/>
    <s v="Real"/>
    <s v="Entrepreneur"/>
    <s v="Branding"/>
    <x v="0"/>
    <x v="2"/>
    <x v="3"/>
    <s v="F12.01.01"/>
    <n v="1"/>
    <s v="memaksimalkan volume penjualan untuk memenuhi target yang direncanakan"/>
    <s v="01.01"/>
    <x v="44"/>
    <s v="K12"/>
    <s v="F"/>
    <n v="70"/>
    <n v="90"/>
    <s v="Tuntas"/>
    <s v="Proyek Kopi"/>
    <x v="6"/>
    <x v="13"/>
    <n v="90"/>
    <x v="2"/>
    <n v="12"/>
    <x v="0"/>
    <x v="3"/>
    <x v="3"/>
  </r>
  <r>
    <n v="2499"/>
    <s v="232410003"/>
    <x v="2"/>
    <x v="16"/>
    <s v="Dogiyai"/>
    <d v="2026-01-22T00:00:00"/>
    <s v="22"/>
    <x v="0"/>
    <s v="26"/>
    <x v="1"/>
    <x v="19"/>
    <x v="11"/>
    <s v="Real"/>
    <s v="Entrepreneur"/>
    <s v="Branding"/>
    <x v="0"/>
    <x v="2"/>
    <x v="3"/>
    <s v="F12.01.01"/>
    <n v="1"/>
    <s v="memaksimalkan volume penjualan untuk memenuhi target yang direncanakan"/>
    <s v="01.01"/>
    <x v="44"/>
    <s v="K12"/>
    <s v="F"/>
    <n v="70"/>
    <n v="0"/>
    <s v="Tidak tuntas"/>
    <s v="Proyek Kopi"/>
    <x v="6"/>
    <x v="0"/>
    <s v=""/>
    <x v="0"/>
    <s v=""/>
    <x v="0"/>
    <x v="0"/>
    <x v="0"/>
  </r>
  <r>
    <n v="2500"/>
    <s v="232410003"/>
    <x v="2"/>
    <x v="16"/>
    <s v="Dogiyai"/>
    <d v="2026-01-27T00:00:00"/>
    <s v="27"/>
    <x v="0"/>
    <s v="26"/>
    <x v="3"/>
    <x v="15"/>
    <x v="22"/>
    <s v="Real"/>
    <s v="Entrepreneur"/>
    <s v="Branding"/>
    <x v="0"/>
    <x v="2"/>
    <x v="3"/>
    <s v="F12.01.01"/>
    <n v="1"/>
    <s v="memaksimalkan volume penjualan untuk memenuhi target yang direncanakan"/>
    <s v="01.01"/>
    <x v="44"/>
    <s v="K12"/>
    <s v="F"/>
    <n v="70"/>
    <n v="0"/>
    <s v="Tidak tuntas"/>
    <s v="Proyek Kopi"/>
    <x v="6"/>
    <x v="0"/>
    <s v=""/>
    <x v="0"/>
    <s v=""/>
    <x v="0"/>
    <x v="0"/>
    <x v="0"/>
  </r>
  <r>
    <n v="2501"/>
    <s v="232410003"/>
    <x v="2"/>
    <x v="16"/>
    <s v="Dogiyai"/>
    <d v="2026-01-29T00:00:00"/>
    <s v="29"/>
    <x v="0"/>
    <s v="26"/>
    <x v="2"/>
    <x v="12"/>
    <x v="11"/>
    <s v="Real"/>
    <s v="Entrepreneur"/>
    <s v="Branding"/>
    <x v="0"/>
    <x v="2"/>
    <x v="3"/>
    <s v="F12.01.01"/>
    <n v="1"/>
    <s v="memaksimalkan volume penjualan untuk memenuhi target yang direncanakan"/>
    <s v="01.01"/>
    <x v="44"/>
    <s v="K12"/>
    <s v="F"/>
    <n v="70"/>
    <n v="0"/>
    <s v="Tidak tuntas"/>
    <s v="Proyek Kopi"/>
    <x v="6"/>
    <x v="0"/>
    <s v=""/>
    <x v="0"/>
    <s v=""/>
    <x v="0"/>
    <x v="0"/>
    <x v="0"/>
  </r>
  <r>
    <n v="2502"/>
    <s v="232410004"/>
    <x v="2"/>
    <x v="17"/>
    <s v="Intan Jaya"/>
    <d v="2026-01-22T00:00:00"/>
    <s v="22"/>
    <x v="0"/>
    <s v="26"/>
    <x v="1"/>
    <x v="19"/>
    <x v="11"/>
    <s v="Real"/>
    <s v="Entrepreneur"/>
    <s v="Branding"/>
    <x v="0"/>
    <x v="2"/>
    <x v="3"/>
    <s v="F12.01.01"/>
    <n v="1"/>
    <s v="memaksimalkan volume penjualan untuk memenuhi target yang direncanakan"/>
    <s v="01.01"/>
    <x v="44"/>
    <s v="K12"/>
    <s v="F"/>
    <n v="70"/>
    <n v="80"/>
    <s v="Tuntas"/>
    <s v="Proyek Kopi"/>
    <x v="6"/>
    <x v="13"/>
    <n v="80"/>
    <x v="2"/>
    <n v="12"/>
    <x v="0"/>
    <x v="2"/>
    <x v="2"/>
  </r>
  <r>
    <n v="2503"/>
    <s v="232410004"/>
    <x v="2"/>
    <x v="17"/>
    <s v="Intan Jaya"/>
    <d v="2026-01-27T00:00:00"/>
    <s v="27"/>
    <x v="0"/>
    <s v="26"/>
    <x v="3"/>
    <x v="15"/>
    <x v="22"/>
    <s v="Real"/>
    <s v="Entrepreneur"/>
    <s v="Branding"/>
    <x v="0"/>
    <x v="2"/>
    <x v="3"/>
    <s v="F12.01.01"/>
    <n v="1"/>
    <s v="memaksimalkan volume penjualan untuk memenuhi target yang direncanakan"/>
    <s v="01.01"/>
    <x v="44"/>
    <s v="K12"/>
    <s v="F"/>
    <n v="70"/>
    <n v="85"/>
    <s v="Tuntas"/>
    <s v="Proyek Kopi"/>
    <x v="6"/>
    <x v="13"/>
    <n v="85"/>
    <x v="2"/>
    <n v="12"/>
    <x v="2"/>
    <x v="3"/>
    <x v="2"/>
  </r>
  <r>
    <n v="2504"/>
    <s v="232410004"/>
    <x v="2"/>
    <x v="17"/>
    <s v="Intan Jaya"/>
    <d v="2026-01-29T00:00:00"/>
    <s v="29"/>
    <x v="0"/>
    <s v="26"/>
    <x v="2"/>
    <x v="12"/>
    <x v="11"/>
    <s v="Real"/>
    <s v="Entrepreneur"/>
    <s v="Branding"/>
    <x v="0"/>
    <x v="2"/>
    <x v="3"/>
    <s v="F12.01.01"/>
    <n v="1"/>
    <s v="memaksimalkan volume penjualan untuk memenuhi target yang direncanakan"/>
    <s v="01.01"/>
    <x v="44"/>
    <s v="K12"/>
    <s v="F"/>
    <n v="70"/>
    <n v="80"/>
    <s v="Tuntas"/>
    <s v="Proyek Kopi"/>
    <x v="6"/>
    <x v="13"/>
    <n v="80"/>
    <x v="2"/>
    <n v="12"/>
    <x v="0"/>
    <x v="3"/>
    <x v="2"/>
  </r>
  <r>
    <n v="2505"/>
    <s v="232410005"/>
    <x v="2"/>
    <x v="13"/>
    <s v="Asmat"/>
    <d v="2026-01-22T00:00:00"/>
    <s v="22"/>
    <x v="0"/>
    <s v="26"/>
    <x v="1"/>
    <x v="19"/>
    <x v="11"/>
    <s v="Real"/>
    <s v="Entrepreneur"/>
    <s v="Branding"/>
    <x v="0"/>
    <x v="2"/>
    <x v="3"/>
    <s v="F12.01.01"/>
    <n v="1"/>
    <s v="memaksimalkan volume penjualan untuk memenuhi target yang direncanakan"/>
    <s v="01.01"/>
    <x v="44"/>
    <s v="K12"/>
    <s v="F"/>
    <n v="70"/>
    <n v="90"/>
    <s v="Tuntas"/>
    <s v="Proyek Kopi"/>
    <x v="6"/>
    <x v="13"/>
    <n v="90"/>
    <x v="2"/>
    <n v="12"/>
    <x v="0"/>
    <x v="2"/>
    <x v="3"/>
  </r>
  <r>
    <n v="2506"/>
    <s v="232410005"/>
    <x v="2"/>
    <x v="13"/>
    <s v="Asmat"/>
    <d v="2026-01-27T00:00:00"/>
    <s v="27"/>
    <x v="0"/>
    <s v="26"/>
    <x v="3"/>
    <x v="15"/>
    <x v="22"/>
    <s v="Real"/>
    <s v="Entrepreneur"/>
    <s v="Branding"/>
    <x v="0"/>
    <x v="2"/>
    <x v="3"/>
    <s v="F12.01.01"/>
    <n v="1"/>
    <s v="memaksimalkan volume penjualan untuk memenuhi target yang direncanakan"/>
    <s v="01.01"/>
    <x v="44"/>
    <s v="K12"/>
    <s v="F"/>
    <n v="70"/>
    <n v="85"/>
    <s v="Tuntas"/>
    <s v="Proyek Kopi"/>
    <x v="6"/>
    <x v="13"/>
    <n v="85"/>
    <x v="2"/>
    <n v="12"/>
    <x v="2"/>
    <x v="3"/>
    <x v="3"/>
  </r>
  <r>
    <n v="2507"/>
    <s v="232410005"/>
    <x v="2"/>
    <x v="13"/>
    <s v="Asmat"/>
    <d v="2026-01-29T00:00:00"/>
    <s v="29"/>
    <x v="0"/>
    <s v="26"/>
    <x v="2"/>
    <x v="12"/>
    <x v="11"/>
    <s v="Real"/>
    <s v="Entrepreneur"/>
    <s v="Branding"/>
    <x v="0"/>
    <x v="2"/>
    <x v="3"/>
    <s v="F12.01.01"/>
    <n v="1"/>
    <s v="memaksimalkan volume penjualan untuk memenuhi target yang direncanakan"/>
    <s v="01.01"/>
    <x v="44"/>
    <s v="K12"/>
    <s v="F"/>
    <n v="70"/>
    <n v="90"/>
    <s v="Tuntas"/>
    <s v="Proyek Kopi"/>
    <x v="6"/>
    <x v="13"/>
    <n v="90"/>
    <x v="2"/>
    <n v="12"/>
    <x v="0"/>
    <x v="3"/>
    <x v="3"/>
  </r>
  <r>
    <n v="2508"/>
    <s v="232410006"/>
    <x v="2"/>
    <x v="18"/>
    <s v="Intan Jaya"/>
    <d v="2026-01-22T00:00:00"/>
    <s v="22"/>
    <x v="0"/>
    <s v="26"/>
    <x v="1"/>
    <x v="19"/>
    <x v="11"/>
    <s v="Real"/>
    <s v="Entrepreneur"/>
    <s v="Branding"/>
    <x v="0"/>
    <x v="2"/>
    <x v="3"/>
    <s v="F12.01.01"/>
    <n v="1"/>
    <s v="memaksimalkan volume penjualan untuk memenuhi target yang direncanakan"/>
    <s v="01.01"/>
    <x v="44"/>
    <s v="K12"/>
    <s v="F"/>
    <n v="70"/>
    <n v="80"/>
    <s v="Tuntas"/>
    <s v="Proyek Kopi"/>
    <x v="6"/>
    <x v="13"/>
    <n v="80"/>
    <x v="2"/>
    <n v="12"/>
    <x v="0"/>
    <x v="2"/>
    <x v="4"/>
  </r>
  <r>
    <n v="2509"/>
    <s v="232410006"/>
    <x v="2"/>
    <x v="18"/>
    <s v="Intan Jaya"/>
    <d v="2026-01-27T00:00:00"/>
    <s v="27"/>
    <x v="0"/>
    <s v="26"/>
    <x v="3"/>
    <x v="15"/>
    <x v="22"/>
    <s v="Real"/>
    <s v="Entrepreneur"/>
    <s v="Branding"/>
    <x v="0"/>
    <x v="2"/>
    <x v="3"/>
    <s v="F12.01.01"/>
    <n v="1"/>
    <s v="memaksimalkan volume penjualan untuk memenuhi target yang direncanakan"/>
    <s v="01.01"/>
    <x v="44"/>
    <s v="K12"/>
    <s v="F"/>
    <n v="70"/>
    <n v="80"/>
    <s v="Tuntas"/>
    <s v="Proyek Kopi"/>
    <x v="6"/>
    <x v="13"/>
    <n v="80"/>
    <x v="2"/>
    <n v="12"/>
    <x v="2"/>
    <x v="3"/>
    <x v="4"/>
  </r>
  <r>
    <n v="2510"/>
    <s v="232410006"/>
    <x v="2"/>
    <x v="18"/>
    <s v="Intan Jaya"/>
    <d v="2026-01-29T00:00:00"/>
    <s v="29"/>
    <x v="0"/>
    <s v="26"/>
    <x v="2"/>
    <x v="12"/>
    <x v="11"/>
    <s v="Real"/>
    <s v="Entrepreneur"/>
    <s v="Branding"/>
    <x v="0"/>
    <x v="2"/>
    <x v="3"/>
    <s v="F12.01.01"/>
    <n v="1"/>
    <s v="memaksimalkan volume penjualan untuk memenuhi target yang direncanakan"/>
    <s v="01.01"/>
    <x v="44"/>
    <s v="K12"/>
    <s v="F"/>
    <n v="70"/>
    <n v="85"/>
    <s v="Tuntas"/>
    <s v="Proyek Kopi"/>
    <x v="6"/>
    <x v="13"/>
    <n v="85"/>
    <x v="2"/>
    <n v="12"/>
    <x v="0"/>
    <x v="3"/>
    <x v="4"/>
  </r>
  <r>
    <n v="2511"/>
    <s v="232410007"/>
    <x v="2"/>
    <x v="19"/>
    <s v="Intan Jaya"/>
    <d v="2026-01-22T00:00:00"/>
    <s v="22"/>
    <x v="0"/>
    <s v="26"/>
    <x v="1"/>
    <x v="19"/>
    <x v="11"/>
    <s v="Real"/>
    <s v="Entrepreneur"/>
    <s v="Branding"/>
    <x v="0"/>
    <x v="2"/>
    <x v="3"/>
    <s v="F12.01.01"/>
    <n v="1"/>
    <s v="memaksimalkan volume penjualan untuk memenuhi target yang direncanakan"/>
    <s v="01.01"/>
    <x v="44"/>
    <s v="K12"/>
    <s v="F"/>
    <n v="70"/>
    <n v="0"/>
    <s v="Tidak tuntas"/>
    <s v="Proyek Kopi"/>
    <x v="6"/>
    <x v="0"/>
    <s v=""/>
    <x v="0"/>
    <s v=""/>
    <x v="0"/>
    <x v="0"/>
    <x v="0"/>
  </r>
  <r>
    <n v="2512"/>
    <s v="232410007"/>
    <x v="2"/>
    <x v="19"/>
    <s v="Intan Jaya"/>
    <d v="2026-01-27T00:00:00"/>
    <s v="27"/>
    <x v="0"/>
    <s v="26"/>
    <x v="3"/>
    <x v="15"/>
    <x v="22"/>
    <s v="Real"/>
    <s v="Entrepreneur"/>
    <s v="Branding"/>
    <x v="0"/>
    <x v="2"/>
    <x v="3"/>
    <s v="F12.01.01"/>
    <n v="1"/>
    <s v="memaksimalkan volume penjualan untuk memenuhi target yang direncanakan"/>
    <s v="01.01"/>
    <x v="44"/>
    <s v="K12"/>
    <s v="F"/>
    <n v="70"/>
    <n v="0"/>
    <s v="Tidak tuntas"/>
    <s v="Proyek Kopi"/>
    <x v="6"/>
    <x v="0"/>
    <s v=""/>
    <x v="0"/>
    <s v=""/>
    <x v="0"/>
    <x v="0"/>
    <x v="0"/>
  </r>
  <r>
    <n v="2513"/>
    <s v="232410007"/>
    <x v="2"/>
    <x v="19"/>
    <s v="Intan Jaya"/>
    <d v="2026-01-29T00:00:00"/>
    <s v="29"/>
    <x v="0"/>
    <s v="26"/>
    <x v="2"/>
    <x v="12"/>
    <x v="11"/>
    <s v="Real"/>
    <s v="Entrepreneur"/>
    <s v="Branding"/>
    <x v="0"/>
    <x v="2"/>
    <x v="3"/>
    <s v="F12.01.01"/>
    <n v="1"/>
    <s v="memaksimalkan volume penjualan untuk memenuhi target yang direncanakan"/>
    <s v="01.01"/>
    <x v="44"/>
    <s v="K12"/>
    <s v="F"/>
    <n v="70"/>
    <n v="0"/>
    <s v="Tidak tuntas"/>
    <s v="Proyek Kopi"/>
    <x v="6"/>
    <x v="0"/>
    <s v=""/>
    <x v="0"/>
    <s v=""/>
    <x v="0"/>
    <x v="0"/>
    <x v="0"/>
  </r>
  <r>
    <n v="2514"/>
    <s v="232410009"/>
    <x v="2"/>
    <x v="20"/>
    <s v="Intan Jaya"/>
    <d v="2026-01-22T00:00:00"/>
    <s v="22"/>
    <x v="0"/>
    <s v="26"/>
    <x v="1"/>
    <x v="19"/>
    <x v="11"/>
    <s v="Real"/>
    <s v="Entrepreneur"/>
    <s v="Branding"/>
    <x v="0"/>
    <x v="2"/>
    <x v="3"/>
    <s v="F12.01.01"/>
    <n v="1"/>
    <s v="memaksimalkan volume penjualan untuk memenuhi target yang direncanakan"/>
    <s v="01.01"/>
    <x v="44"/>
    <s v="K12"/>
    <s v="F"/>
    <n v="70"/>
    <n v="0"/>
    <s v="Tidak tuntas"/>
    <s v="Proyek Kopi"/>
    <x v="6"/>
    <x v="0"/>
    <s v=""/>
    <x v="0"/>
    <s v=""/>
    <x v="0"/>
    <x v="0"/>
    <x v="0"/>
  </r>
  <r>
    <n v="2515"/>
    <s v="232410009"/>
    <x v="2"/>
    <x v="20"/>
    <s v="Intan Jaya"/>
    <d v="2026-01-27T00:00:00"/>
    <s v="27"/>
    <x v="0"/>
    <s v="26"/>
    <x v="3"/>
    <x v="15"/>
    <x v="22"/>
    <s v="Real"/>
    <s v="Entrepreneur"/>
    <s v="Branding"/>
    <x v="0"/>
    <x v="2"/>
    <x v="3"/>
    <s v="F12.01.01"/>
    <n v="1"/>
    <s v="memaksimalkan volume penjualan untuk memenuhi target yang direncanakan"/>
    <s v="01.01"/>
    <x v="44"/>
    <s v="K12"/>
    <s v="F"/>
    <n v="70"/>
    <n v="0"/>
    <s v="Tidak tuntas"/>
    <s v="Proyek Kopi"/>
    <x v="6"/>
    <x v="0"/>
    <s v=""/>
    <x v="0"/>
    <s v=""/>
    <x v="0"/>
    <x v="0"/>
    <x v="0"/>
  </r>
  <r>
    <n v="2516"/>
    <s v="232410009"/>
    <x v="2"/>
    <x v="20"/>
    <s v="Intan Jaya"/>
    <d v="2026-01-29T00:00:00"/>
    <s v="29"/>
    <x v="0"/>
    <s v="26"/>
    <x v="2"/>
    <x v="12"/>
    <x v="11"/>
    <s v="Real"/>
    <s v="Entrepreneur"/>
    <s v="Branding"/>
    <x v="0"/>
    <x v="2"/>
    <x v="3"/>
    <s v="F12.01.01"/>
    <n v="1"/>
    <s v="memaksimalkan volume penjualan untuk memenuhi target yang direncanakan"/>
    <s v="01.01"/>
    <x v="44"/>
    <s v="K12"/>
    <s v="F"/>
    <n v="70"/>
    <n v="0"/>
    <s v="Tidak tuntas"/>
    <s v="Proyek Kopi"/>
    <x v="6"/>
    <x v="0"/>
    <s v=""/>
    <x v="0"/>
    <s v=""/>
    <x v="0"/>
    <x v="0"/>
    <x v="0"/>
  </r>
  <r>
    <n v="2517"/>
    <s v="232410008"/>
    <x v="2"/>
    <x v="21"/>
    <s v="Intan Jaya"/>
    <d v="2026-01-22T00:00:00"/>
    <s v="22"/>
    <x v="0"/>
    <s v="26"/>
    <x v="1"/>
    <x v="19"/>
    <x v="11"/>
    <s v="Real"/>
    <s v="Entrepreneur"/>
    <s v="Branding"/>
    <x v="0"/>
    <x v="2"/>
    <x v="3"/>
    <s v="F12.01.01"/>
    <n v="1"/>
    <s v="memaksimalkan volume penjualan untuk memenuhi target yang direncanakan"/>
    <s v="01.01"/>
    <x v="44"/>
    <s v="K12"/>
    <s v="F"/>
    <n v="70"/>
    <n v="80"/>
    <s v="Tuntas"/>
    <s v="Proyek Kopi"/>
    <x v="6"/>
    <x v="13"/>
    <n v="80"/>
    <x v="2"/>
    <n v="12"/>
    <x v="0"/>
    <x v="2"/>
    <x v="2"/>
  </r>
  <r>
    <n v="2518"/>
    <s v="232410008"/>
    <x v="2"/>
    <x v="21"/>
    <s v="Intan Jaya"/>
    <d v="2026-01-27T00:00:00"/>
    <s v="27"/>
    <x v="0"/>
    <s v="26"/>
    <x v="3"/>
    <x v="15"/>
    <x v="22"/>
    <s v="Real"/>
    <s v="Entrepreneur"/>
    <s v="Branding"/>
    <x v="0"/>
    <x v="2"/>
    <x v="3"/>
    <s v="F12.01.01"/>
    <n v="1"/>
    <s v="memaksimalkan volume penjualan untuk memenuhi target yang direncanakan"/>
    <s v="01.01"/>
    <x v="44"/>
    <s v="K12"/>
    <s v="F"/>
    <n v="70"/>
    <n v="85"/>
    <s v="Tuntas"/>
    <s v="Proyek Kopi"/>
    <x v="6"/>
    <x v="13"/>
    <n v="85"/>
    <x v="2"/>
    <n v="12"/>
    <x v="2"/>
    <x v="3"/>
    <x v="2"/>
  </r>
  <r>
    <n v="2519"/>
    <s v="232410008"/>
    <x v="2"/>
    <x v="21"/>
    <s v="Intan Jaya"/>
    <d v="2026-01-29T00:00:00"/>
    <s v="29"/>
    <x v="0"/>
    <s v="26"/>
    <x v="2"/>
    <x v="12"/>
    <x v="11"/>
    <s v="Real"/>
    <s v="Entrepreneur"/>
    <s v="Branding"/>
    <x v="0"/>
    <x v="2"/>
    <x v="3"/>
    <s v="F12.01.01"/>
    <n v="1"/>
    <s v="memaksimalkan volume penjualan untuk memenuhi target yang direncanakan"/>
    <s v="01.01"/>
    <x v="44"/>
    <s v="K12"/>
    <s v="F"/>
    <n v="70"/>
    <n v="85"/>
    <s v="Tuntas"/>
    <s v="Proyek Kopi"/>
    <x v="6"/>
    <x v="13"/>
    <n v="85"/>
    <x v="2"/>
    <n v="12"/>
    <x v="0"/>
    <x v="3"/>
    <x v="2"/>
  </r>
  <r>
    <n v="2520"/>
    <s v="#N/A"/>
    <x v="1"/>
    <x v="12"/>
    <s v="#VALUE!"/>
    <m/>
    <s v=",,,,,,,,,"/>
    <x v="3"/>
    <s v=",,,,,,,,,"/>
    <x v="6"/>
    <x v="17"/>
    <x v="19"/>
    <s v=",,,,,,,,,"/>
    <s v=""/>
    <s v=""/>
    <x v="1"/>
    <x v="1"/>
    <x v="2"/>
    <s v=",,,,,,,,,"/>
    <m/>
    <s v=""/>
    <s v=",,,,,"/>
    <x v="8"/>
    <s v=",,,,,,,,,"/>
    <s v=","/>
    <n v="65"/>
    <m/>
    <s v="#REF!"/>
    <s v="Proyek Tepung"/>
    <x v="0"/>
    <x v="0"/>
    <s v=""/>
    <x v="0"/>
    <s v=""/>
    <x v="0"/>
    <x v="0"/>
    <x v="0"/>
  </r>
  <r>
    <m/>
    <s v=""/>
    <x v="4"/>
    <x v="23"/>
    <s v=""/>
    <m/>
    <s v=""/>
    <x v="5"/>
    <s v=""/>
    <x v="8"/>
    <x v="20"/>
    <x v="23"/>
    <s v=""/>
    <s v=""/>
    <s v=""/>
    <x v="1"/>
    <x v="4"/>
    <x v="7"/>
    <s v=""/>
    <m/>
    <s v=""/>
    <s v=""/>
    <x v="45"/>
    <s v=""/>
    <s v=""/>
    <m/>
    <m/>
    <s v=""/>
    <s v=""/>
    <x v="9"/>
    <x v="0"/>
    <s v=""/>
    <x v="0"/>
    <s v=""/>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6">
  <r>
    <x v="0"/>
    <x v="0"/>
    <x v="0"/>
    <x v="0"/>
    <s v="11ASkillWk.2"/>
    <n v="67.555555555555557"/>
  </r>
  <r>
    <x v="0"/>
    <x v="0"/>
    <x v="0"/>
    <x v="1"/>
    <s v="11ASkillWk.3"/>
    <n v="90"/>
  </r>
  <r>
    <x v="0"/>
    <x v="0"/>
    <x v="0"/>
    <x v="2"/>
    <s v="11ASkillWk.4"/>
    <n v="55.333333333333336"/>
  </r>
  <r>
    <x v="0"/>
    <x v="0"/>
    <x v="0"/>
    <x v="3"/>
    <s v="11ASkillWk.5"/>
    <n v="71.19047619047619"/>
  </r>
  <r>
    <x v="0"/>
    <x v="0"/>
    <x v="1"/>
    <x v="4"/>
    <s v="11ASkillWk.6"/>
    <n v="74.063829787234042"/>
  </r>
  <r>
    <x v="0"/>
    <x v="0"/>
    <x v="1"/>
    <x v="5"/>
    <s v="11ASkillWk.7"/>
    <n v="66.659090909090907"/>
  </r>
  <r>
    <x v="0"/>
    <x v="0"/>
    <x v="1"/>
    <x v="6"/>
    <s v="11ASkillWk.8"/>
    <n v="76.739130434782609"/>
  </r>
  <r>
    <x v="0"/>
    <x v="0"/>
    <x v="1"/>
    <x v="7"/>
    <s v="11ASkillWk.9"/>
    <n v="80"/>
  </r>
  <r>
    <x v="0"/>
    <x v="0"/>
    <x v="2"/>
    <x v="8"/>
    <s v="11ASkillWk.10"/>
    <s v=""/>
  </r>
  <r>
    <x v="0"/>
    <x v="0"/>
    <x v="2"/>
    <x v="9"/>
    <s v="11ASkillWk.11"/>
    <s v=""/>
  </r>
  <r>
    <x v="0"/>
    <x v="0"/>
    <x v="2"/>
    <x v="10"/>
    <s v="11ASkillWk.12"/>
    <s v=""/>
  </r>
  <r>
    <x v="0"/>
    <x v="0"/>
    <x v="2"/>
    <x v="11"/>
    <s v="11ASkillWk.13"/>
    <s v=""/>
  </r>
  <r>
    <x v="0"/>
    <x v="0"/>
    <x v="2"/>
    <x v="12"/>
    <s v="11ASkillWk.14"/>
    <s v=""/>
  </r>
  <r>
    <x v="0"/>
    <x v="0"/>
    <x v="2"/>
    <x v="13"/>
    <s v="11ASkillWk.15"/>
    <s v=""/>
  </r>
  <r>
    <x v="0"/>
    <x v="0"/>
    <x v="2"/>
    <x v="14"/>
    <s v="11ASkillWk.16"/>
    <s v=""/>
  </r>
  <r>
    <x v="0"/>
    <x v="0"/>
    <x v="2"/>
    <x v="15"/>
    <s v="11ASkillWk.17"/>
    <s v=""/>
  </r>
  <r>
    <x v="0"/>
    <x v="0"/>
    <x v="2"/>
    <x v="16"/>
    <s v="11ASkillWk.18"/>
    <s v=""/>
  </r>
  <r>
    <x v="0"/>
    <x v="0"/>
    <x v="2"/>
    <x v="17"/>
    <s v="11ASkillWk.19"/>
    <s v=""/>
  </r>
  <r>
    <x v="0"/>
    <x v="0"/>
    <x v="2"/>
    <x v="18"/>
    <s v="11ASkillWk.20"/>
    <s v=""/>
  </r>
  <r>
    <x v="0"/>
    <x v="0"/>
    <x v="2"/>
    <x v="19"/>
    <s v="11ASkillWk.21"/>
    <s v=""/>
  </r>
  <r>
    <x v="0"/>
    <x v="0"/>
    <x v="2"/>
    <x v="20"/>
    <s v="11ASkillWk.22"/>
    <s v=""/>
  </r>
  <r>
    <x v="0"/>
    <x v="0"/>
    <x v="2"/>
    <x v="21"/>
    <s v="11ASkillWk.23"/>
    <s v=""/>
  </r>
  <r>
    <x v="0"/>
    <x v="0"/>
    <x v="2"/>
    <x v="22"/>
    <s v="11ASkillWk.24"/>
    <s v=""/>
  </r>
  <r>
    <x v="0"/>
    <x v="0"/>
    <x v="2"/>
    <x v="23"/>
    <s v="11ASkillWk.25"/>
    <s v=""/>
  </r>
  <r>
    <x v="1"/>
    <x v="0"/>
    <x v="2"/>
    <x v="0"/>
    <s v="12ASkillWk.2"/>
    <s v=""/>
  </r>
  <r>
    <x v="1"/>
    <x v="0"/>
    <x v="0"/>
    <x v="1"/>
    <s v="12ASkillWk.3"/>
    <n v="65.740740740740748"/>
  </r>
  <r>
    <x v="1"/>
    <x v="0"/>
    <x v="0"/>
    <x v="2"/>
    <s v="12ASkillWk.4"/>
    <n v="84"/>
  </r>
  <r>
    <x v="1"/>
    <x v="0"/>
    <x v="0"/>
    <x v="3"/>
    <s v="12ASkillWk.5"/>
    <n v="67.722222222222229"/>
  </r>
  <r>
    <x v="1"/>
    <x v="0"/>
    <x v="1"/>
    <x v="4"/>
    <s v="12ASkillWk.6"/>
    <n v="75.333333333333329"/>
  </r>
  <r>
    <x v="1"/>
    <x v="0"/>
    <x v="1"/>
    <x v="5"/>
    <s v="12ASkillWk.7"/>
    <n v="62.777777777777779"/>
  </r>
  <r>
    <x v="1"/>
    <x v="0"/>
    <x v="2"/>
    <x v="6"/>
    <s v="12ASkillWk.8"/>
    <s v=""/>
  </r>
  <r>
    <x v="1"/>
    <x v="0"/>
    <x v="2"/>
    <x v="7"/>
    <s v="12ASkillWk.9"/>
    <s v=""/>
  </r>
  <r>
    <x v="1"/>
    <x v="0"/>
    <x v="2"/>
    <x v="8"/>
    <s v="12ASkillWk.10"/>
    <s v=""/>
  </r>
  <r>
    <x v="1"/>
    <x v="0"/>
    <x v="2"/>
    <x v="9"/>
    <s v="12ASkillWk.11"/>
    <s v=""/>
  </r>
  <r>
    <x v="1"/>
    <x v="0"/>
    <x v="2"/>
    <x v="10"/>
    <s v="12ASkillWk.12"/>
    <s v=""/>
  </r>
  <r>
    <x v="1"/>
    <x v="0"/>
    <x v="2"/>
    <x v="11"/>
    <s v="12ASkillWk.13"/>
    <s v=""/>
  </r>
  <r>
    <x v="1"/>
    <x v="0"/>
    <x v="2"/>
    <x v="12"/>
    <s v="12ASkillWk.14"/>
    <s v=""/>
  </r>
  <r>
    <x v="1"/>
    <x v="0"/>
    <x v="2"/>
    <x v="13"/>
    <s v="12ASkillWk.15"/>
    <s v=""/>
  </r>
  <r>
    <x v="1"/>
    <x v="0"/>
    <x v="2"/>
    <x v="14"/>
    <s v="12ASkillWk.16"/>
    <s v=""/>
  </r>
  <r>
    <x v="1"/>
    <x v="0"/>
    <x v="2"/>
    <x v="15"/>
    <s v="12ASkillWk.17"/>
    <s v=""/>
  </r>
  <r>
    <x v="1"/>
    <x v="0"/>
    <x v="2"/>
    <x v="16"/>
    <s v="12ASkillWk.18"/>
    <s v=""/>
  </r>
  <r>
    <x v="1"/>
    <x v="0"/>
    <x v="2"/>
    <x v="17"/>
    <s v="12ASkillWk.19"/>
    <s v=""/>
  </r>
  <r>
    <x v="1"/>
    <x v="0"/>
    <x v="2"/>
    <x v="18"/>
    <s v="12ASkillWk.20"/>
    <s v=""/>
  </r>
  <r>
    <x v="1"/>
    <x v="0"/>
    <x v="2"/>
    <x v="19"/>
    <s v="12ASkillWk.21"/>
    <s v=""/>
  </r>
  <r>
    <x v="1"/>
    <x v="0"/>
    <x v="2"/>
    <x v="20"/>
    <s v="12ASkillWk.22"/>
    <s v=""/>
  </r>
  <r>
    <x v="1"/>
    <x v="0"/>
    <x v="2"/>
    <x v="21"/>
    <s v="12ASkillWk.23"/>
    <s v=""/>
  </r>
  <r>
    <x v="1"/>
    <x v="0"/>
    <x v="2"/>
    <x v="22"/>
    <s v="12ASkillWk.24"/>
    <s v=""/>
  </r>
  <r>
    <x v="1"/>
    <x v="0"/>
    <x v="2"/>
    <x v="23"/>
    <s v="12ASkillWk.25"/>
    <s v=""/>
  </r>
  <r>
    <x v="0"/>
    <x v="1"/>
    <x v="0"/>
    <x v="0"/>
    <s v="11ATeoriWk.2"/>
    <n v="58.5"/>
  </r>
  <r>
    <x v="0"/>
    <x v="1"/>
    <x v="0"/>
    <x v="1"/>
    <s v="11ATeoriWk.3"/>
    <n v="64.493827160493822"/>
  </r>
  <r>
    <x v="0"/>
    <x v="1"/>
    <x v="0"/>
    <x v="2"/>
    <s v="11ATeoriWk.4"/>
    <n v="61.174418604651166"/>
  </r>
  <r>
    <x v="0"/>
    <x v="1"/>
    <x v="0"/>
    <x v="3"/>
    <s v="11ATeoriWk.5"/>
    <n v="66.594202898550719"/>
  </r>
  <r>
    <x v="0"/>
    <x v="1"/>
    <x v="1"/>
    <x v="4"/>
    <s v="11ATeoriWk.6"/>
    <n v="75.316831683168317"/>
  </r>
  <r>
    <x v="0"/>
    <x v="1"/>
    <x v="1"/>
    <x v="5"/>
    <s v="11ATeoriWk.7"/>
    <n v="64.344262295081961"/>
  </r>
  <r>
    <x v="0"/>
    <x v="1"/>
    <x v="1"/>
    <x v="6"/>
    <s v="11ATeoriWk.8"/>
    <n v="71.977777777777774"/>
  </r>
  <r>
    <x v="0"/>
    <x v="1"/>
    <x v="1"/>
    <x v="7"/>
    <s v="11ATeoriWk.9"/>
    <n v="72.3"/>
  </r>
  <r>
    <x v="0"/>
    <x v="1"/>
    <x v="2"/>
    <x v="8"/>
    <s v="11ATeoriWk.10"/>
    <s v=""/>
  </r>
  <r>
    <x v="0"/>
    <x v="1"/>
    <x v="2"/>
    <x v="9"/>
    <s v="11ATeoriWk.11"/>
    <s v=""/>
  </r>
  <r>
    <x v="0"/>
    <x v="1"/>
    <x v="2"/>
    <x v="10"/>
    <s v="11ATeoriWk.12"/>
    <s v=""/>
  </r>
  <r>
    <x v="0"/>
    <x v="1"/>
    <x v="2"/>
    <x v="11"/>
    <s v="11ATeoriWk.13"/>
    <s v=""/>
  </r>
  <r>
    <x v="0"/>
    <x v="1"/>
    <x v="2"/>
    <x v="12"/>
    <s v="11ATeoriWk.14"/>
    <s v=""/>
  </r>
  <r>
    <x v="0"/>
    <x v="1"/>
    <x v="2"/>
    <x v="13"/>
    <s v="11ATeoriWk.15"/>
    <s v=""/>
  </r>
  <r>
    <x v="0"/>
    <x v="1"/>
    <x v="2"/>
    <x v="14"/>
    <s v="11ATeoriWk.16"/>
    <s v=""/>
  </r>
  <r>
    <x v="0"/>
    <x v="1"/>
    <x v="2"/>
    <x v="15"/>
    <s v="11ATeoriWk.17"/>
    <s v=""/>
  </r>
  <r>
    <x v="0"/>
    <x v="1"/>
    <x v="2"/>
    <x v="16"/>
    <s v="11ATeoriWk.18"/>
    <s v=""/>
  </r>
  <r>
    <x v="0"/>
    <x v="1"/>
    <x v="2"/>
    <x v="17"/>
    <s v="11ATeoriWk.19"/>
    <s v=""/>
  </r>
  <r>
    <x v="0"/>
    <x v="1"/>
    <x v="2"/>
    <x v="18"/>
    <s v="11ATeoriWk.20"/>
    <s v=""/>
  </r>
  <r>
    <x v="0"/>
    <x v="1"/>
    <x v="2"/>
    <x v="19"/>
    <s v="11ATeoriWk.21"/>
    <s v=""/>
  </r>
  <r>
    <x v="0"/>
    <x v="1"/>
    <x v="2"/>
    <x v="20"/>
    <s v="11ATeoriWk.22"/>
    <s v=""/>
  </r>
  <r>
    <x v="0"/>
    <x v="1"/>
    <x v="2"/>
    <x v="21"/>
    <s v="11ATeoriWk.23"/>
    <s v=""/>
  </r>
  <r>
    <x v="0"/>
    <x v="1"/>
    <x v="2"/>
    <x v="22"/>
    <s v="11ATeoriWk.24"/>
    <s v=""/>
  </r>
  <r>
    <x v="0"/>
    <x v="1"/>
    <x v="2"/>
    <x v="23"/>
    <s v="11ATeoriWk.25"/>
    <s v=""/>
  </r>
  <r>
    <x v="1"/>
    <x v="1"/>
    <x v="2"/>
    <x v="0"/>
    <s v="12ATeoriWk.2"/>
    <s v=""/>
  </r>
  <r>
    <x v="1"/>
    <x v="1"/>
    <x v="0"/>
    <x v="1"/>
    <s v="12ATeoriWk.3"/>
    <n v="68.457627118644069"/>
  </r>
  <r>
    <x v="1"/>
    <x v="1"/>
    <x v="0"/>
    <x v="2"/>
    <s v="12ATeoriWk.4"/>
    <n v="75.134615384615387"/>
  </r>
  <r>
    <x v="1"/>
    <x v="1"/>
    <x v="0"/>
    <x v="3"/>
    <s v="12ATeoriWk.5"/>
    <n v="74.055555555555557"/>
  </r>
  <r>
    <x v="1"/>
    <x v="1"/>
    <x v="1"/>
    <x v="4"/>
    <s v="12ATeoriWk.6"/>
    <n v="75.533333333333331"/>
  </r>
  <r>
    <x v="1"/>
    <x v="1"/>
    <x v="1"/>
    <x v="5"/>
    <s v="12ATeoriWk.7"/>
    <n v="68.583333333333329"/>
  </r>
  <r>
    <x v="1"/>
    <x v="1"/>
    <x v="1"/>
    <x v="6"/>
    <s v="12ATeoriWk.8"/>
    <n v="70"/>
  </r>
  <r>
    <x v="1"/>
    <x v="1"/>
    <x v="1"/>
    <x v="7"/>
    <s v="12ATeoriWk.9"/>
    <n v="90.333333333333329"/>
  </r>
  <r>
    <x v="1"/>
    <x v="1"/>
    <x v="2"/>
    <x v="8"/>
    <s v="12ATeoriWk.10"/>
    <s v=""/>
  </r>
  <r>
    <x v="1"/>
    <x v="1"/>
    <x v="2"/>
    <x v="9"/>
    <s v="12ATeoriWk.11"/>
    <s v=""/>
  </r>
  <r>
    <x v="1"/>
    <x v="1"/>
    <x v="2"/>
    <x v="10"/>
    <s v="12ATeoriWk.12"/>
    <s v=""/>
  </r>
  <r>
    <x v="1"/>
    <x v="1"/>
    <x v="2"/>
    <x v="11"/>
    <s v="12ATeoriWk.13"/>
    <s v=""/>
  </r>
  <r>
    <x v="1"/>
    <x v="1"/>
    <x v="2"/>
    <x v="12"/>
    <s v="12ATeoriWk.14"/>
    <s v=""/>
  </r>
  <r>
    <x v="1"/>
    <x v="1"/>
    <x v="2"/>
    <x v="13"/>
    <s v="12ATeoriWk.15"/>
    <s v=""/>
  </r>
  <r>
    <x v="1"/>
    <x v="1"/>
    <x v="2"/>
    <x v="14"/>
    <s v="12ATeoriWk.16"/>
    <s v=""/>
  </r>
  <r>
    <x v="1"/>
    <x v="1"/>
    <x v="2"/>
    <x v="15"/>
    <s v="12ATeoriWk.17"/>
    <s v=""/>
  </r>
  <r>
    <x v="1"/>
    <x v="1"/>
    <x v="2"/>
    <x v="16"/>
    <s v="12ATeoriWk.18"/>
    <s v=""/>
  </r>
  <r>
    <x v="1"/>
    <x v="1"/>
    <x v="2"/>
    <x v="17"/>
    <s v="12ATeoriWk.19"/>
    <s v=""/>
  </r>
  <r>
    <x v="1"/>
    <x v="1"/>
    <x v="2"/>
    <x v="18"/>
    <s v="12ATeoriWk.20"/>
    <s v=""/>
  </r>
  <r>
    <x v="1"/>
    <x v="1"/>
    <x v="2"/>
    <x v="19"/>
    <s v="12ATeoriWk.21"/>
    <s v=""/>
  </r>
  <r>
    <x v="1"/>
    <x v="1"/>
    <x v="2"/>
    <x v="20"/>
    <s v="12ATeoriWk.22"/>
    <s v=""/>
  </r>
  <r>
    <x v="1"/>
    <x v="1"/>
    <x v="2"/>
    <x v="21"/>
    <s v="12ATeoriWk.23"/>
    <s v=""/>
  </r>
  <r>
    <x v="1"/>
    <x v="1"/>
    <x v="2"/>
    <x v="22"/>
    <s v="12ATeoriWk.24"/>
    <s v=""/>
  </r>
  <r>
    <x v="1"/>
    <x v="1"/>
    <x v="2"/>
    <x v="23"/>
    <s v="12ATeoriWk.25"/>
    <s v=""/>
  </r>
  <r>
    <x v="0"/>
    <x v="2"/>
    <x v="2"/>
    <x v="0"/>
    <s v="11ANalarWk.2"/>
    <s v=""/>
  </r>
  <r>
    <x v="0"/>
    <x v="2"/>
    <x v="0"/>
    <x v="1"/>
    <s v="11ANalarWk.3"/>
    <n v="66.555555555555557"/>
  </r>
  <r>
    <x v="0"/>
    <x v="2"/>
    <x v="0"/>
    <x v="2"/>
    <s v="11ANalarWk.4"/>
    <n v="56.704545454545453"/>
  </r>
  <r>
    <x v="0"/>
    <x v="2"/>
    <x v="0"/>
    <x v="3"/>
    <s v="11ANalarWk.5"/>
    <n v="68.068181818181813"/>
  </r>
  <r>
    <x v="0"/>
    <x v="2"/>
    <x v="1"/>
    <x v="4"/>
    <s v="11ANalarWk.6"/>
    <n v="74.264705882352942"/>
  </r>
  <r>
    <x v="0"/>
    <x v="2"/>
    <x v="1"/>
    <x v="5"/>
    <s v="11ANalarWk.7"/>
    <n v="70"/>
  </r>
  <r>
    <x v="0"/>
    <x v="2"/>
    <x v="1"/>
    <x v="6"/>
    <s v="11ANalarWk.8"/>
    <n v="66.63636363636364"/>
  </r>
  <r>
    <x v="0"/>
    <x v="2"/>
    <x v="2"/>
    <x v="7"/>
    <s v="11ANalarWk.9"/>
    <s v=""/>
  </r>
  <r>
    <x v="0"/>
    <x v="2"/>
    <x v="2"/>
    <x v="8"/>
    <s v="11ANalarWk.10"/>
    <s v=""/>
  </r>
  <r>
    <x v="0"/>
    <x v="2"/>
    <x v="2"/>
    <x v="9"/>
    <s v="11ANalarWk.11"/>
    <s v=""/>
  </r>
  <r>
    <x v="0"/>
    <x v="2"/>
    <x v="2"/>
    <x v="10"/>
    <s v="11ANalarWk.12"/>
    <s v=""/>
  </r>
  <r>
    <x v="0"/>
    <x v="2"/>
    <x v="2"/>
    <x v="11"/>
    <s v="11ANalarWk.13"/>
    <s v=""/>
  </r>
  <r>
    <x v="0"/>
    <x v="2"/>
    <x v="2"/>
    <x v="12"/>
    <s v="11ANalarWk.14"/>
    <s v=""/>
  </r>
  <r>
    <x v="0"/>
    <x v="2"/>
    <x v="2"/>
    <x v="13"/>
    <s v="11ANalarWk.15"/>
    <s v=""/>
  </r>
  <r>
    <x v="0"/>
    <x v="2"/>
    <x v="2"/>
    <x v="14"/>
    <s v="11ANalarWk.16"/>
    <s v=""/>
  </r>
  <r>
    <x v="0"/>
    <x v="2"/>
    <x v="2"/>
    <x v="15"/>
    <s v="11ANalarWk.17"/>
    <s v=""/>
  </r>
  <r>
    <x v="0"/>
    <x v="2"/>
    <x v="2"/>
    <x v="16"/>
    <s v="11ANalarWk.18"/>
    <s v=""/>
  </r>
  <r>
    <x v="0"/>
    <x v="2"/>
    <x v="2"/>
    <x v="17"/>
    <s v="11ANalarWk.19"/>
    <s v=""/>
  </r>
  <r>
    <x v="0"/>
    <x v="2"/>
    <x v="2"/>
    <x v="18"/>
    <s v="11ANalarWk.20"/>
    <s v=""/>
  </r>
  <r>
    <x v="0"/>
    <x v="2"/>
    <x v="2"/>
    <x v="19"/>
    <s v="11ANalarWk.21"/>
    <s v=""/>
  </r>
  <r>
    <x v="0"/>
    <x v="2"/>
    <x v="2"/>
    <x v="20"/>
    <s v="11ANalarWk.22"/>
    <s v=""/>
  </r>
  <r>
    <x v="0"/>
    <x v="2"/>
    <x v="2"/>
    <x v="21"/>
    <s v="11ANalarWk.23"/>
    <s v=""/>
  </r>
  <r>
    <x v="0"/>
    <x v="2"/>
    <x v="2"/>
    <x v="22"/>
    <s v="11ANalarWk.24"/>
    <s v=""/>
  </r>
  <r>
    <x v="0"/>
    <x v="2"/>
    <x v="2"/>
    <x v="23"/>
    <s v="11ANalarWk.25"/>
    <s v=""/>
  </r>
  <r>
    <x v="1"/>
    <x v="2"/>
    <x v="0"/>
    <x v="0"/>
    <s v="12ANalarWk.2"/>
    <n v="71.111111111111114"/>
  </r>
  <r>
    <x v="1"/>
    <x v="2"/>
    <x v="0"/>
    <x v="1"/>
    <s v="12ANalarWk.3"/>
    <n v="67.333333333333329"/>
  </r>
  <r>
    <x v="1"/>
    <x v="2"/>
    <x v="0"/>
    <x v="2"/>
    <s v="12ANalarWk.4"/>
    <n v="67.407407407407405"/>
  </r>
  <r>
    <x v="1"/>
    <x v="2"/>
    <x v="0"/>
    <x v="3"/>
    <s v="12ANalarWk.5"/>
    <n v="76.081081081081081"/>
  </r>
  <r>
    <x v="1"/>
    <x v="2"/>
    <x v="1"/>
    <x v="4"/>
    <s v="12ANalarWk.6"/>
    <n v="72.5"/>
  </r>
  <r>
    <x v="1"/>
    <x v="2"/>
    <x v="1"/>
    <x v="5"/>
    <s v="12ANalarWk.7"/>
    <n v="70.444444444444443"/>
  </r>
  <r>
    <x v="1"/>
    <x v="2"/>
    <x v="1"/>
    <x v="6"/>
    <s v="12ANalarWk.8"/>
    <n v="71.111111111111114"/>
  </r>
  <r>
    <x v="1"/>
    <x v="2"/>
    <x v="1"/>
    <x v="7"/>
    <s v="12ANalarWk.9"/>
    <n v="82.222222222222229"/>
  </r>
  <r>
    <x v="1"/>
    <x v="2"/>
    <x v="2"/>
    <x v="8"/>
    <s v="12ANalarWk.10"/>
    <s v=""/>
  </r>
  <r>
    <x v="1"/>
    <x v="2"/>
    <x v="2"/>
    <x v="9"/>
    <s v="12ANalarWk.11"/>
    <s v=""/>
  </r>
  <r>
    <x v="1"/>
    <x v="2"/>
    <x v="2"/>
    <x v="10"/>
    <s v="12ANalarWk.12"/>
    <s v=""/>
  </r>
  <r>
    <x v="1"/>
    <x v="2"/>
    <x v="2"/>
    <x v="11"/>
    <s v="12ANalarWk.13"/>
    <s v=""/>
  </r>
  <r>
    <x v="1"/>
    <x v="2"/>
    <x v="2"/>
    <x v="12"/>
    <s v="12ANalarWk.14"/>
    <s v=""/>
  </r>
  <r>
    <x v="1"/>
    <x v="2"/>
    <x v="2"/>
    <x v="13"/>
    <s v="12ANalarWk.15"/>
    <s v=""/>
  </r>
  <r>
    <x v="1"/>
    <x v="2"/>
    <x v="2"/>
    <x v="14"/>
    <s v="12ANalarWk.16"/>
    <s v=""/>
  </r>
  <r>
    <x v="1"/>
    <x v="2"/>
    <x v="2"/>
    <x v="15"/>
    <s v="12ANalarWk.17"/>
    <s v=""/>
  </r>
  <r>
    <x v="1"/>
    <x v="2"/>
    <x v="2"/>
    <x v="16"/>
    <s v="12ANalarWk.18"/>
    <s v=""/>
  </r>
  <r>
    <x v="1"/>
    <x v="2"/>
    <x v="2"/>
    <x v="17"/>
    <s v="12ANalarWk.19"/>
    <s v=""/>
  </r>
  <r>
    <x v="1"/>
    <x v="2"/>
    <x v="2"/>
    <x v="18"/>
    <s v="12ANalarWk.20"/>
    <s v=""/>
  </r>
  <r>
    <x v="1"/>
    <x v="2"/>
    <x v="2"/>
    <x v="19"/>
    <s v="12ANalarWk.21"/>
    <s v=""/>
  </r>
  <r>
    <x v="1"/>
    <x v="2"/>
    <x v="2"/>
    <x v="20"/>
    <s v="12ANalarWk.22"/>
    <s v=""/>
  </r>
  <r>
    <x v="1"/>
    <x v="2"/>
    <x v="2"/>
    <x v="21"/>
    <s v="12ANalarWk.23"/>
    <s v=""/>
  </r>
  <r>
    <x v="1"/>
    <x v="2"/>
    <x v="2"/>
    <x v="22"/>
    <s v="12ANalarWk.24"/>
    <s v=""/>
  </r>
  <r>
    <x v="1"/>
    <x v="2"/>
    <x v="2"/>
    <x v="23"/>
    <s v="12ANalarWk.25"/>
    <s v=""/>
  </r>
  <r>
    <x v="0"/>
    <x v="3"/>
    <x v="0"/>
    <x v="0"/>
    <s v="11AKarakterWk.2"/>
    <n v="71.25"/>
  </r>
  <r>
    <x v="0"/>
    <x v="3"/>
    <x v="0"/>
    <x v="1"/>
    <s v="11AKarakterWk.3"/>
    <n v="76.382352941176464"/>
  </r>
  <r>
    <x v="0"/>
    <x v="3"/>
    <x v="0"/>
    <x v="2"/>
    <s v="11AKarakterWk.4"/>
    <n v="78.389830508474574"/>
  </r>
  <r>
    <x v="0"/>
    <x v="3"/>
    <x v="0"/>
    <x v="3"/>
    <s v="11AKarakterWk.5"/>
    <n v="72.178571428571431"/>
  </r>
  <r>
    <x v="0"/>
    <x v="3"/>
    <x v="1"/>
    <x v="4"/>
    <s v="11AKarakterWk.6"/>
    <n v="71.257142857142853"/>
  </r>
  <r>
    <x v="0"/>
    <x v="3"/>
    <x v="1"/>
    <x v="5"/>
    <s v="11AKarakterWk.7"/>
    <n v="73.227272727272734"/>
  </r>
  <r>
    <x v="0"/>
    <x v="3"/>
    <x v="1"/>
    <x v="6"/>
    <s v="11AKarakterWk.8"/>
    <n v="72.045454545454547"/>
  </r>
  <r>
    <x v="0"/>
    <x v="3"/>
    <x v="2"/>
    <x v="7"/>
    <s v="11AKarakterWk.9"/>
    <s v=""/>
  </r>
  <r>
    <x v="0"/>
    <x v="3"/>
    <x v="2"/>
    <x v="8"/>
    <s v="11AKarakterWk.10"/>
    <s v=""/>
  </r>
  <r>
    <x v="0"/>
    <x v="3"/>
    <x v="2"/>
    <x v="9"/>
    <s v="11AKarakterWk.11"/>
    <s v=""/>
  </r>
  <r>
    <x v="0"/>
    <x v="3"/>
    <x v="2"/>
    <x v="10"/>
    <s v="11AKarakterWk.12"/>
    <s v=""/>
  </r>
  <r>
    <x v="0"/>
    <x v="3"/>
    <x v="2"/>
    <x v="11"/>
    <s v="11AKarakterWk.13"/>
    <s v=""/>
  </r>
  <r>
    <x v="0"/>
    <x v="3"/>
    <x v="2"/>
    <x v="12"/>
    <s v="11AKarakterWk.14"/>
    <s v=""/>
  </r>
  <r>
    <x v="0"/>
    <x v="3"/>
    <x v="2"/>
    <x v="13"/>
    <s v="11AKarakterWk.15"/>
    <s v=""/>
  </r>
  <r>
    <x v="0"/>
    <x v="3"/>
    <x v="2"/>
    <x v="14"/>
    <s v="11AKarakterWk.16"/>
    <s v=""/>
  </r>
  <r>
    <x v="0"/>
    <x v="3"/>
    <x v="2"/>
    <x v="15"/>
    <s v="11AKarakterWk.17"/>
    <s v=""/>
  </r>
  <r>
    <x v="0"/>
    <x v="3"/>
    <x v="2"/>
    <x v="16"/>
    <s v="11AKarakterWk.18"/>
    <s v=""/>
  </r>
  <r>
    <x v="0"/>
    <x v="3"/>
    <x v="2"/>
    <x v="17"/>
    <s v="11AKarakterWk.19"/>
    <s v=""/>
  </r>
  <r>
    <x v="0"/>
    <x v="3"/>
    <x v="2"/>
    <x v="18"/>
    <s v="11AKarakterWk.20"/>
    <s v=""/>
  </r>
  <r>
    <x v="0"/>
    <x v="3"/>
    <x v="2"/>
    <x v="19"/>
    <s v="11AKarakterWk.21"/>
    <s v=""/>
  </r>
  <r>
    <x v="0"/>
    <x v="3"/>
    <x v="2"/>
    <x v="20"/>
    <s v="11AKarakterWk.22"/>
    <s v=""/>
  </r>
  <r>
    <x v="0"/>
    <x v="3"/>
    <x v="2"/>
    <x v="21"/>
    <s v="11AKarakterWk.23"/>
    <s v=""/>
  </r>
  <r>
    <x v="0"/>
    <x v="3"/>
    <x v="2"/>
    <x v="22"/>
    <s v="11AKarakterWk.24"/>
    <s v=""/>
  </r>
  <r>
    <x v="0"/>
    <x v="3"/>
    <x v="2"/>
    <x v="23"/>
    <s v="11AKarakterWk.25"/>
    <s v=""/>
  </r>
  <r>
    <x v="1"/>
    <x v="3"/>
    <x v="2"/>
    <x v="0"/>
    <s v="12AKarakterWk.2"/>
    <s v=""/>
  </r>
  <r>
    <x v="1"/>
    <x v="3"/>
    <x v="0"/>
    <x v="1"/>
    <s v="12AKarakterWk.3"/>
    <n v="75.259259259259252"/>
  </r>
  <r>
    <x v="1"/>
    <x v="3"/>
    <x v="0"/>
    <x v="2"/>
    <s v="12AKarakterWk.4"/>
    <n v="77.333333333333329"/>
  </r>
  <r>
    <x v="1"/>
    <x v="3"/>
    <x v="0"/>
    <x v="3"/>
    <s v="12AKarakterWk.5"/>
    <n v="75.535714285714292"/>
  </r>
  <r>
    <x v="1"/>
    <x v="3"/>
    <x v="1"/>
    <x v="4"/>
    <s v="12AKarakterWk.6"/>
    <n v="76.027777777777771"/>
  </r>
  <r>
    <x v="1"/>
    <x v="3"/>
    <x v="1"/>
    <x v="5"/>
    <s v="12AKarakterWk.7"/>
    <n v="78.888888888888886"/>
  </r>
  <r>
    <x v="1"/>
    <x v="3"/>
    <x v="1"/>
    <x v="6"/>
    <s v="12AKarakterWk.8"/>
    <n v="85"/>
  </r>
  <r>
    <x v="1"/>
    <x v="3"/>
    <x v="2"/>
    <x v="7"/>
    <s v="12AKarakterWk.9"/>
    <s v=""/>
  </r>
  <r>
    <x v="1"/>
    <x v="3"/>
    <x v="2"/>
    <x v="8"/>
    <s v="12AKarakterWk.10"/>
    <s v=""/>
  </r>
  <r>
    <x v="1"/>
    <x v="3"/>
    <x v="2"/>
    <x v="9"/>
    <s v="12AKarakterWk.11"/>
    <s v=""/>
  </r>
  <r>
    <x v="1"/>
    <x v="3"/>
    <x v="2"/>
    <x v="10"/>
    <s v="12AKarakterWk.12"/>
    <s v=""/>
  </r>
  <r>
    <x v="1"/>
    <x v="3"/>
    <x v="2"/>
    <x v="11"/>
    <s v="12AKarakterWk.13"/>
    <s v=""/>
  </r>
  <r>
    <x v="1"/>
    <x v="3"/>
    <x v="2"/>
    <x v="12"/>
    <s v="12AKarakterWk.14"/>
    <s v=""/>
  </r>
  <r>
    <x v="1"/>
    <x v="3"/>
    <x v="2"/>
    <x v="13"/>
    <s v="12AKarakterWk.15"/>
    <s v=""/>
  </r>
  <r>
    <x v="1"/>
    <x v="3"/>
    <x v="2"/>
    <x v="14"/>
    <s v="12AKarakterWk.16"/>
    <s v=""/>
  </r>
  <r>
    <x v="1"/>
    <x v="3"/>
    <x v="2"/>
    <x v="15"/>
    <s v="12AKarakterWk.17"/>
    <s v=""/>
  </r>
  <r>
    <x v="1"/>
    <x v="3"/>
    <x v="2"/>
    <x v="16"/>
    <s v="12AKarakterWk.18"/>
    <s v=""/>
  </r>
  <r>
    <x v="1"/>
    <x v="3"/>
    <x v="2"/>
    <x v="17"/>
    <s v="12AKarakterWk.19"/>
    <s v=""/>
  </r>
  <r>
    <x v="1"/>
    <x v="3"/>
    <x v="2"/>
    <x v="18"/>
    <s v="12AKarakterWk.20"/>
    <s v=""/>
  </r>
  <r>
    <x v="1"/>
    <x v="3"/>
    <x v="2"/>
    <x v="19"/>
    <s v="12AKarakterWk.21"/>
    <s v=""/>
  </r>
  <r>
    <x v="1"/>
    <x v="3"/>
    <x v="2"/>
    <x v="20"/>
    <s v="12AKarakterWk.22"/>
    <s v=""/>
  </r>
  <r>
    <x v="1"/>
    <x v="3"/>
    <x v="2"/>
    <x v="21"/>
    <s v="12AKarakterWk.23"/>
    <s v=""/>
  </r>
  <r>
    <x v="1"/>
    <x v="3"/>
    <x v="2"/>
    <x v="22"/>
    <s v="12AKarakterWk.24"/>
    <s v=""/>
  </r>
  <r>
    <x v="1"/>
    <x v="3"/>
    <x v="2"/>
    <x v="23"/>
    <s v="12AKarakterWk.25"/>
    <s v=""/>
  </r>
  <r>
    <x v="0"/>
    <x v="4"/>
    <x v="2"/>
    <x v="0"/>
    <s v="11AMinatWk.2"/>
    <s v=""/>
  </r>
  <r>
    <x v="0"/>
    <x v="4"/>
    <x v="0"/>
    <x v="1"/>
    <s v="11AMinatWk.3"/>
    <n v="70.264705882352942"/>
  </r>
  <r>
    <x v="0"/>
    <x v="4"/>
    <x v="0"/>
    <x v="2"/>
    <s v="11AMinatWk.4"/>
    <n v="69.545454545454547"/>
  </r>
  <r>
    <x v="0"/>
    <x v="4"/>
    <x v="0"/>
    <x v="3"/>
    <s v="11AMinatWk.5"/>
    <n v="69.727272727272734"/>
  </r>
  <r>
    <x v="0"/>
    <x v="4"/>
    <x v="1"/>
    <x v="4"/>
    <s v="11AMinatWk.6"/>
    <n v="70.411764705882348"/>
  </r>
  <r>
    <x v="0"/>
    <x v="4"/>
    <x v="1"/>
    <x v="5"/>
    <s v="11AMinatWk.7"/>
    <n v="69"/>
  </r>
  <r>
    <x v="0"/>
    <x v="4"/>
    <x v="1"/>
    <x v="6"/>
    <s v="11AMinatWk.8"/>
    <n v="72.545454545454547"/>
  </r>
  <r>
    <x v="0"/>
    <x v="4"/>
    <x v="2"/>
    <x v="7"/>
    <s v="11AMinatWk.9"/>
    <s v=""/>
  </r>
  <r>
    <x v="0"/>
    <x v="4"/>
    <x v="2"/>
    <x v="8"/>
    <s v="11AMinatWk.10"/>
    <s v=""/>
  </r>
  <r>
    <x v="0"/>
    <x v="4"/>
    <x v="2"/>
    <x v="9"/>
    <s v="11AMinatWk.11"/>
    <s v=""/>
  </r>
  <r>
    <x v="0"/>
    <x v="4"/>
    <x v="2"/>
    <x v="10"/>
    <s v="11AMinatWk.12"/>
    <s v=""/>
  </r>
  <r>
    <x v="0"/>
    <x v="4"/>
    <x v="2"/>
    <x v="11"/>
    <s v="11AMinatWk.13"/>
    <s v=""/>
  </r>
  <r>
    <x v="0"/>
    <x v="4"/>
    <x v="2"/>
    <x v="12"/>
    <s v="11AMinatWk.14"/>
    <s v=""/>
  </r>
  <r>
    <x v="0"/>
    <x v="4"/>
    <x v="2"/>
    <x v="13"/>
    <s v="11AMinatWk.15"/>
    <s v=""/>
  </r>
  <r>
    <x v="0"/>
    <x v="4"/>
    <x v="2"/>
    <x v="14"/>
    <s v="11AMinatWk.16"/>
    <s v=""/>
  </r>
  <r>
    <x v="0"/>
    <x v="4"/>
    <x v="2"/>
    <x v="15"/>
    <s v="11AMinatWk.17"/>
    <s v=""/>
  </r>
  <r>
    <x v="0"/>
    <x v="4"/>
    <x v="2"/>
    <x v="16"/>
    <s v="11AMinatWk.18"/>
    <s v=""/>
  </r>
  <r>
    <x v="0"/>
    <x v="4"/>
    <x v="2"/>
    <x v="17"/>
    <s v="11AMinatWk.19"/>
    <s v=""/>
  </r>
  <r>
    <x v="0"/>
    <x v="4"/>
    <x v="2"/>
    <x v="18"/>
    <s v="11AMinatWk.20"/>
    <s v=""/>
  </r>
  <r>
    <x v="0"/>
    <x v="4"/>
    <x v="2"/>
    <x v="19"/>
    <s v="11AMinatWk.21"/>
    <s v=""/>
  </r>
  <r>
    <x v="0"/>
    <x v="4"/>
    <x v="2"/>
    <x v="20"/>
    <s v="11AMinatWk.22"/>
    <s v=""/>
  </r>
  <r>
    <x v="0"/>
    <x v="4"/>
    <x v="2"/>
    <x v="21"/>
    <s v="11AMinatWk.23"/>
    <s v=""/>
  </r>
  <r>
    <x v="0"/>
    <x v="4"/>
    <x v="2"/>
    <x v="22"/>
    <s v="11AMinatWk.24"/>
    <s v=""/>
  </r>
  <r>
    <x v="0"/>
    <x v="4"/>
    <x v="2"/>
    <x v="23"/>
    <s v="11AMinatWk.25"/>
    <s v=""/>
  </r>
  <r>
    <x v="1"/>
    <x v="4"/>
    <x v="2"/>
    <x v="0"/>
    <s v="12AMinatWk.2"/>
    <s v=""/>
  </r>
  <r>
    <x v="1"/>
    <x v="4"/>
    <x v="3"/>
    <x v="1"/>
    <s v="12AMinatWk.3"/>
    <n v="74.5"/>
  </r>
  <r>
    <x v="1"/>
    <x v="4"/>
    <x v="3"/>
    <x v="2"/>
    <s v="12AMinatWk.4"/>
    <n v="72.666666666666671"/>
  </r>
  <r>
    <x v="1"/>
    <x v="4"/>
    <x v="3"/>
    <x v="3"/>
    <s v="12AMinatWk.5"/>
    <n v="69.777777777777771"/>
  </r>
  <r>
    <x v="1"/>
    <x v="4"/>
    <x v="3"/>
    <x v="4"/>
    <s v="12AMinatWk.6"/>
    <n v="70.222222222222229"/>
  </r>
  <r>
    <x v="1"/>
    <x v="4"/>
    <x v="3"/>
    <x v="5"/>
    <s v="12AMinatWk.7"/>
    <n v="76.055555555555557"/>
  </r>
  <r>
    <x v="1"/>
    <x v="4"/>
    <x v="3"/>
    <x v="6"/>
    <s v="12AMinatWk.8"/>
    <n v="70"/>
  </r>
  <r>
    <x v="1"/>
    <x v="4"/>
    <x v="2"/>
    <x v="7"/>
    <s v="12AMinatWk.9"/>
    <s v=""/>
  </r>
  <r>
    <x v="1"/>
    <x v="4"/>
    <x v="2"/>
    <x v="8"/>
    <s v="12AMinatWk.10"/>
    <s v=""/>
  </r>
  <r>
    <x v="1"/>
    <x v="4"/>
    <x v="2"/>
    <x v="9"/>
    <s v="12AMinatWk.11"/>
    <s v=""/>
  </r>
  <r>
    <x v="1"/>
    <x v="4"/>
    <x v="2"/>
    <x v="10"/>
    <s v="12AMinatWk.12"/>
    <s v=""/>
  </r>
  <r>
    <x v="1"/>
    <x v="4"/>
    <x v="2"/>
    <x v="11"/>
    <s v="12AMinatWk.13"/>
    <s v=""/>
  </r>
  <r>
    <x v="1"/>
    <x v="4"/>
    <x v="2"/>
    <x v="12"/>
    <s v="12AMinatWk.14"/>
    <s v=""/>
  </r>
  <r>
    <x v="1"/>
    <x v="4"/>
    <x v="2"/>
    <x v="13"/>
    <s v="12AMinatWk.15"/>
    <s v=""/>
  </r>
  <r>
    <x v="1"/>
    <x v="4"/>
    <x v="2"/>
    <x v="14"/>
    <s v="12AMinatWk.16"/>
    <s v=""/>
  </r>
  <r>
    <x v="1"/>
    <x v="4"/>
    <x v="2"/>
    <x v="15"/>
    <s v="12AMinatWk.17"/>
    <s v=""/>
  </r>
  <r>
    <x v="1"/>
    <x v="4"/>
    <x v="2"/>
    <x v="16"/>
    <s v="12AMinatWk.18"/>
    <s v=""/>
  </r>
  <r>
    <x v="1"/>
    <x v="4"/>
    <x v="2"/>
    <x v="17"/>
    <s v="12AMinatWk.19"/>
    <s v=""/>
  </r>
  <r>
    <x v="1"/>
    <x v="4"/>
    <x v="2"/>
    <x v="18"/>
    <s v="12AMinatWk.20"/>
    <s v=""/>
  </r>
  <r>
    <x v="1"/>
    <x v="4"/>
    <x v="2"/>
    <x v="19"/>
    <s v="12AMinatWk.21"/>
    <s v=""/>
  </r>
  <r>
    <x v="1"/>
    <x v="4"/>
    <x v="2"/>
    <x v="20"/>
    <s v="12AMinatWk.22"/>
    <s v=""/>
  </r>
  <r>
    <x v="1"/>
    <x v="4"/>
    <x v="2"/>
    <x v="21"/>
    <s v="12AMinatWk.23"/>
    <s v=""/>
  </r>
  <r>
    <x v="1"/>
    <x v="4"/>
    <x v="2"/>
    <x v="22"/>
    <s v="12AMinatWk.24"/>
    <s v=""/>
  </r>
  <r>
    <x v="1"/>
    <x v="4"/>
    <x v="2"/>
    <x v="23"/>
    <s v="12AMinatWk.25"/>
    <s v=""/>
  </r>
  <r>
    <x v="0"/>
    <x v="5"/>
    <x v="2"/>
    <x v="0"/>
    <s v="11AB.IndoWk.2"/>
    <s v=""/>
  </r>
  <r>
    <x v="0"/>
    <x v="5"/>
    <x v="0"/>
    <x v="1"/>
    <s v="11AB.IndoWk.3"/>
    <n v="48.090909090909093"/>
  </r>
  <r>
    <x v="0"/>
    <x v="5"/>
    <x v="0"/>
    <x v="2"/>
    <s v="11AB.IndoWk.4"/>
    <n v="71.818181818181813"/>
  </r>
  <r>
    <x v="0"/>
    <x v="5"/>
    <x v="0"/>
    <x v="3"/>
    <s v="11AB.IndoWk.5"/>
    <n v="66.63636363636364"/>
  </r>
  <r>
    <x v="0"/>
    <x v="5"/>
    <x v="1"/>
    <x v="4"/>
    <s v="11AB.IndoWk.6"/>
    <n v="68.36363636363636"/>
  </r>
  <r>
    <x v="0"/>
    <x v="5"/>
    <x v="1"/>
    <x v="5"/>
    <s v="11AB.IndoWk.7"/>
    <n v="66.63636363636364"/>
  </r>
  <r>
    <x v="0"/>
    <x v="5"/>
    <x v="1"/>
    <x v="6"/>
    <s v="11AB.IndoWk.8"/>
    <n v="68.545454545454547"/>
  </r>
  <r>
    <x v="0"/>
    <x v="5"/>
    <x v="2"/>
    <x v="7"/>
    <s v="11AB.IndoWk.9"/>
    <s v=""/>
  </r>
  <r>
    <x v="0"/>
    <x v="5"/>
    <x v="2"/>
    <x v="8"/>
    <s v="11AB.IndoWk.10"/>
    <s v=""/>
  </r>
  <r>
    <x v="0"/>
    <x v="5"/>
    <x v="2"/>
    <x v="9"/>
    <s v="11AB.IndoWk.11"/>
    <s v=""/>
  </r>
  <r>
    <x v="0"/>
    <x v="5"/>
    <x v="2"/>
    <x v="10"/>
    <s v="11AB.IndoWk.12"/>
    <s v=""/>
  </r>
  <r>
    <x v="0"/>
    <x v="5"/>
    <x v="2"/>
    <x v="11"/>
    <s v="11AB.IndoWk.13"/>
    <s v=""/>
  </r>
  <r>
    <x v="0"/>
    <x v="5"/>
    <x v="2"/>
    <x v="12"/>
    <s v="11AB.IndoWk.14"/>
    <s v=""/>
  </r>
  <r>
    <x v="0"/>
    <x v="5"/>
    <x v="2"/>
    <x v="13"/>
    <s v="11AB.IndoWk.15"/>
    <s v=""/>
  </r>
  <r>
    <x v="0"/>
    <x v="5"/>
    <x v="2"/>
    <x v="14"/>
    <s v="11AB.IndoWk.16"/>
    <s v=""/>
  </r>
  <r>
    <x v="0"/>
    <x v="5"/>
    <x v="2"/>
    <x v="15"/>
    <s v="11AB.IndoWk.17"/>
    <s v=""/>
  </r>
  <r>
    <x v="0"/>
    <x v="5"/>
    <x v="2"/>
    <x v="16"/>
    <s v="11AB.IndoWk.18"/>
    <s v=""/>
  </r>
  <r>
    <x v="0"/>
    <x v="5"/>
    <x v="2"/>
    <x v="17"/>
    <s v="11AB.IndoWk.19"/>
    <s v=""/>
  </r>
  <r>
    <x v="0"/>
    <x v="5"/>
    <x v="2"/>
    <x v="18"/>
    <s v="11AB.IndoWk.20"/>
    <s v=""/>
  </r>
  <r>
    <x v="0"/>
    <x v="5"/>
    <x v="2"/>
    <x v="19"/>
    <s v="11AB.IndoWk.21"/>
    <s v=""/>
  </r>
  <r>
    <x v="0"/>
    <x v="5"/>
    <x v="2"/>
    <x v="20"/>
    <s v="11AB.IndoWk.22"/>
    <s v=""/>
  </r>
  <r>
    <x v="0"/>
    <x v="5"/>
    <x v="2"/>
    <x v="21"/>
    <s v="11AB.IndoWk.23"/>
    <s v=""/>
  </r>
  <r>
    <x v="0"/>
    <x v="5"/>
    <x v="2"/>
    <x v="22"/>
    <s v="11AB.IndoWk.24"/>
    <s v=""/>
  </r>
  <r>
    <x v="0"/>
    <x v="5"/>
    <x v="2"/>
    <x v="23"/>
    <s v="11AB.IndoWk.25"/>
    <s v=""/>
  </r>
  <r>
    <x v="1"/>
    <x v="5"/>
    <x v="2"/>
    <x v="0"/>
    <s v="12AB.IndoWk.2"/>
    <s v=""/>
  </r>
  <r>
    <x v="1"/>
    <x v="5"/>
    <x v="2"/>
    <x v="1"/>
    <s v="12AB.IndoWk.3"/>
    <s v=""/>
  </r>
  <r>
    <x v="1"/>
    <x v="5"/>
    <x v="2"/>
    <x v="2"/>
    <s v="12AB.IndoWk.4"/>
    <s v=""/>
  </r>
  <r>
    <x v="1"/>
    <x v="5"/>
    <x v="0"/>
    <x v="3"/>
    <s v="12AB.IndoWk.5"/>
    <n v="83.888888888888886"/>
  </r>
  <r>
    <x v="1"/>
    <x v="5"/>
    <x v="2"/>
    <x v="4"/>
    <s v="12AB.IndoWk.6"/>
    <s v=""/>
  </r>
  <r>
    <x v="1"/>
    <x v="5"/>
    <x v="1"/>
    <x v="5"/>
    <s v="12AB.IndoWk.7"/>
    <n v="82.222222222222229"/>
  </r>
  <r>
    <x v="1"/>
    <x v="5"/>
    <x v="1"/>
    <x v="6"/>
    <s v="12AB.IndoWk.8"/>
    <n v="82.222222222222229"/>
  </r>
  <r>
    <x v="1"/>
    <x v="5"/>
    <x v="2"/>
    <x v="7"/>
    <s v="12AB.IndoWk.9"/>
    <s v=""/>
  </r>
  <r>
    <x v="1"/>
    <x v="5"/>
    <x v="2"/>
    <x v="8"/>
    <s v="12AB.IndoWk.10"/>
    <s v=""/>
  </r>
  <r>
    <x v="1"/>
    <x v="5"/>
    <x v="2"/>
    <x v="9"/>
    <s v="12AB.IndoWk.11"/>
    <s v=""/>
  </r>
  <r>
    <x v="1"/>
    <x v="5"/>
    <x v="2"/>
    <x v="10"/>
    <s v="12AB.IndoWk.12"/>
    <s v=""/>
  </r>
  <r>
    <x v="1"/>
    <x v="5"/>
    <x v="2"/>
    <x v="11"/>
    <s v="12AB.IndoWk.13"/>
    <s v=""/>
  </r>
  <r>
    <x v="1"/>
    <x v="5"/>
    <x v="2"/>
    <x v="12"/>
    <s v="12AB.IndoWk.14"/>
    <s v=""/>
  </r>
  <r>
    <x v="1"/>
    <x v="5"/>
    <x v="2"/>
    <x v="13"/>
    <s v="12AB.IndoWk.15"/>
    <s v=""/>
  </r>
  <r>
    <x v="1"/>
    <x v="5"/>
    <x v="2"/>
    <x v="14"/>
    <s v="12AB.IndoWk.16"/>
    <s v=""/>
  </r>
  <r>
    <x v="1"/>
    <x v="5"/>
    <x v="2"/>
    <x v="15"/>
    <s v="12AB.IndoWk.17"/>
    <s v=""/>
  </r>
  <r>
    <x v="1"/>
    <x v="5"/>
    <x v="2"/>
    <x v="16"/>
    <s v="12AB.IndoWk.18"/>
    <s v=""/>
  </r>
  <r>
    <x v="1"/>
    <x v="5"/>
    <x v="2"/>
    <x v="17"/>
    <s v="12AB.IndoWk.19"/>
    <s v=""/>
  </r>
  <r>
    <x v="1"/>
    <x v="5"/>
    <x v="2"/>
    <x v="18"/>
    <s v="12AB.IndoWk.20"/>
    <s v=""/>
  </r>
  <r>
    <x v="1"/>
    <x v="5"/>
    <x v="2"/>
    <x v="19"/>
    <s v="12AB.IndoWk.21"/>
    <s v=""/>
  </r>
  <r>
    <x v="1"/>
    <x v="5"/>
    <x v="2"/>
    <x v="20"/>
    <s v="12AB.IndoWk.22"/>
    <s v=""/>
  </r>
  <r>
    <x v="1"/>
    <x v="5"/>
    <x v="2"/>
    <x v="21"/>
    <s v="12AB.IndoWk.23"/>
    <s v=""/>
  </r>
  <r>
    <x v="1"/>
    <x v="5"/>
    <x v="2"/>
    <x v="22"/>
    <s v="12AB.IndoWk.24"/>
    <s v=""/>
  </r>
  <r>
    <x v="1"/>
    <x v="5"/>
    <x v="2"/>
    <x v="23"/>
    <s v="12AB.IndoWk.25"/>
    <s v=""/>
  </r>
  <r>
    <x v="0"/>
    <x v="6"/>
    <x v="2"/>
    <x v="0"/>
    <s v="11AMathWk.2"/>
    <s v=""/>
  </r>
  <r>
    <x v="0"/>
    <x v="6"/>
    <x v="0"/>
    <x v="1"/>
    <s v="11AMathWk.3"/>
    <n v="69.05263157894737"/>
  </r>
  <r>
    <x v="0"/>
    <x v="6"/>
    <x v="0"/>
    <x v="2"/>
    <s v="11AMathWk.4"/>
    <n v="59.404761904761905"/>
  </r>
  <r>
    <x v="0"/>
    <x v="6"/>
    <x v="0"/>
    <x v="3"/>
    <s v="11AMathWk.5"/>
    <n v="52.5"/>
  </r>
  <r>
    <x v="0"/>
    <x v="6"/>
    <x v="1"/>
    <x v="4"/>
    <s v="11AMathWk.6"/>
    <n v="79.969696969696969"/>
  </r>
  <r>
    <x v="0"/>
    <x v="6"/>
    <x v="1"/>
    <x v="5"/>
    <s v="11AMathWk.7"/>
    <n v="56.81818181818182"/>
  </r>
  <r>
    <x v="0"/>
    <x v="6"/>
    <x v="2"/>
    <x v="6"/>
    <s v="11AMathWk.8"/>
    <s v=""/>
  </r>
  <r>
    <x v="0"/>
    <x v="6"/>
    <x v="2"/>
    <x v="7"/>
    <s v="11AMathWk.9"/>
    <s v=""/>
  </r>
  <r>
    <x v="0"/>
    <x v="6"/>
    <x v="2"/>
    <x v="8"/>
    <s v="11AMathWk.10"/>
    <s v=""/>
  </r>
  <r>
    <x v="0"/>
    <x v="6"/>
    <x v="2"/>
    <x v="9"/>
    <s v="11AMathWk.11"/>
    <s v=""/>
  </r>
  <r>
    <x v="0"/>
    <x v="6"/>
    <x v="2"/>
    <x v="10"/>
    <s v="11AMathWk.12"/>
    <s v=""/>
  </r>
  <r>
    <x v="0"/>
    <x v="6"/>
    <x v="2"/>
    <x v="11"/>
    <s v="11AMathWk.13"/>
    <s v=""/>
  </r>
  <r>
    <x v="0"/>
    <x v="6"/>
    <x v="2"/>
    <x v="12"/>
    <s v="11AMathWk.14"/>
    <s v=""/>
  </r>
  <r>
    <x v="0"/>
    <x v="6"/>
    <x v="2"/>
    <x v="13"/>
    <s v="11AMathWk.15"/>
    <s v=""/>
  </r>
  <r>
    <x v="0"/>
    <x v="6"/>
    <x v="2"/>
    <x v="14"/>
    <s v="11AMathWk.16"/>
    <s v=""/>
  </r>
  <r>
    <x v="0"/>
    <x v="6"/>
    <x v="2"/>
    <x v="15"/>
    <s v="11AMathWk.17"/>
    <s v=""/>
  </r>
  <r>
    <x v="0"/>
    <x v="6"/>
    <x v="2"/>
    <x v="16"/>
    <s v="11AMathWk.18"/>
    <s v=""/>
  </r>
  <r>
    <x v="0"/>
    <x v="6"/>
    <x v="2"/>
    <x v="17"/>
    <s v="11AMathWk.19"/>
    <s v=""/>
  </r>
  <r>
    <x v="0"/>
    <x v="6"/>
    <x v="2"/>
    <x v="18"/>
    <s v="11AMathWk.20"/>
    <s v=""/>
  </r>
  <r>
    <x v="0"/>
    <x v="6"/>
    <x v="2"/>
    <x v="19"/>
    <s v="11AMathWk.21"/>
    <s v=""/>
  </r>
  <r>
    <x v="0"/>
    <x v="6"/>
    <x v="2"/>
    <x v="20"/>
    <s v="11AMathWk.22"/>
    <s v=""/>
  </r>
  <r>
    <x v="0"/>
    <x v="6"/>
    <x v="2"/>
    <x v="21"/>
    <s v="11AMathWk.23"/>
    <s v=""/>
  </r>
  <r>
    <x v="0"/>
    <x v="6"/>
    <x v="2"/>
    <x v="22"/>
    <s v="11AMathWk.24"/>
    <s v=""/>
  </r>
  <r>
    <x v="0"/>
    <x v="6"/>
    <x v="2"/>
    <x v="23"/>
    <s v="11AMathWk.25"/>
    <s v=""/>
  </r>
  <r>
    <x v="1"/>
    <x v="6"/>
    <x v="2"/>
    <x v="0"/>
    <s v="12AMathWk.2"/>
    <s v=""/>
  </r>
  <r>
    <x v="1"/>
    <x v="6"/>
    <x v="0"/>
    <x v="1"/>
    <s v="12AMathWk.3"/>
    <n v="74.111111111111114"/>
  </r>
  <r>
    <x v="1"/>
    <x v="6"/>
    <x v="0"/>
    <x v="2"/>
    <s v="12AMathWk.4"/>
    <n v="75.117647058823536"/>
  </r>
  <r>
    <x v="1"/>
    <x v="6"/>
    <x v="2"/>
    <x v="3"/>
    <s v="12AMathWk.5"/>
    <s v=""/>
  </r>
  <r>
    <x v="1"/>
    <x v="6"/>
    <x v="1"/>
    <x v="4"/>
    <s v="12AMathWk.6"/>
    <n v="80.333333333333329"/>
  </r>
  <r>
    <x v="1"/>
    <x v="6"/>
    <x v="1"/>
    <x v="5"/>
    <s v="12AMathWk.7"/>
    <n v="79.708333333333329"/>
  </r>
  <r>
    <x v="1"/>
    <x v="6"/>
    <x v="2"/>
    <x v="6"/>
    <s v="12AMathWk.8"/>
    <s v=""/>
  </r>
  <r>
    <x v="1"/>
    <x v="6"/>
    <x v="1"/>
    <x v="7"/>
    <s v="12AMathWk.9"/>
    <n v="90.333333333333329"/>
  </r>
  <r>
    <x v="1"/>
    <x v="6"/>
    <x v="2"/>
    <x v="8"/>
    <s v="12AMathWk.10"/>
    <s v=""/>
  </r>
  <r>
    <x v="1"/>
    <x v="6"/>
    <x v="2"/>
    <x v="9"/>
    <s v="12AMathWk.11"/>
    <s v=""/>
  </r>
  <r>
    <x v="1"/>
    <x v="6"/>
    <x v="2"/>
    <x v="10"/>
    <s v="12AMathWk.12"/>
    <s v=""/>
  </r>
  <r>
    <x v="1"/>
    <x v="6"/>
    <x v="2"/>
    <x v="11"/>
    <s v="12AMathWk.13"/>
    <s v=""/>
  </r>
  <r>
    <x v="1"/>
    <x v="6"/>
    <x v="2"/>
    <x v="12"/>
    <s v="12AMathWk.14"/>
    <s v=""/>
  </r>
  <r>
    <x v="1"/>
    <x v="6"/>
    <x v="2"/>
    <x v="13"/>
    <s v="12AMathWk.15"/>
    <s v=""/>
  </r>
  <r>
    <x v="1"/>
    <x v="6"/>
    <x v="2"/>
    <x v="14"/>
    <s v="12AMathWk.16"/>
    <s v=""/>
  </r>
  <r>
    <x v="1"/>
    <x v="6"/>
    <x v="2"/>
    <x v="15"/>
    <s v="12AMathWk.17"/>
    <s v=""/>
  </r>
  <r>
    <x v="1"/>
    <x v="6"/>
    <x v="2"/>
    <x v="16"/>
    <s v="12AMathWk.18"/>
    <s v=""/>
  </r>
  <r>
    <x v="1"/>
    <x v="6"/>
    <x v="2"/>
    <x v="17"/>
    <s v="12AMathWk.19"/>
    <s v=""/>
  </r>
  <r>
    <x v="1"/>
    <x v="6"/>
    <x v="2"/>
    <x v="18"/>
    <s v="12AMathWk.20"/>
    <s v=""/>
  </r>
  <r>
    <x v="1"/>
    <x v="6"/>
    <x v="2"/>
    <x v="19"/>
    <s v="12AMathWk.21"/>
    <s v=""/>
  </r>
  <r>
    <x v="1"/>
    <x v="6"/>
    <x v="2"/>
    <x v="20"/>
    <s v="12AMathWk.22"/>
    <s v=""/>
  </r>
  <r>
    <x v="1"/>
    <x v="6"/>
    <x v="2"/>
    <x v="21"/>
    <s v="12AMathWk.23"/>
    <s v=""/>
  </r>
  <r>
    <x v="1"/>
    <x v="6"/>
    <x v="2"/>
    <x v="22"/>
    <s v="12AMathWk.24"/>
    <s v=""/>
  </r>
  <r>
    <x v="1"/>
    <x v="6"/>
    <x v="2"/>
    <x v="23"/>
    <s v="12AMathWk.25"/>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829B9F-095A-4148-A3E1-7E12E94B9467}" name="PivotTable10"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2">
  <location ref="AE1:AK24" firstHeaderRow="1" firstDataRow="2" firstDataCol="3"/>
  <pivotFields count="37">
    <pivotField compact="0" outline="0" showAll="0" defaultSubtotal="0"/>
    <pivotField compact="0" outline="0" showAll="0" defaultSubtotal="0"/>
    <pivotField axis="axisRow" compact="0" outline="0" showAll="0" defaultSubtotal="0">
      <items count="5">
        <item h="1" x="0"/>
        <item x="2"/>
        <item h="1" x="1"/>
        <item h="1" x="3"/>
        <item h="1" x="4"/>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0"/>
        <item x="1"/>
        <item x="2"/>
        <item x="3"/>
        <item x="4"/>
        <item x="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5">
        <item x="0"/>
        <item x="3"/>
        <item x="5"/>
        <item x="7"/>
        <item x="8"/>
        <item x="9"/>
        <item x="13"/>
        <item x="4"/>
        <item x="10"/>
        <item x="11"/>
        <item x="12"/>
        <item x="6"/>
        <item x="14"/>
        <item x="1"/>
        <item x="2"/>
      </items>
    </pivotField>
    <pivotField compact="0" outline="0" showAll="0" defaultSubtotal="0"/>
    <pivotField axis="axisCol" dataField="1" compact="0" outline="0" showAll="0" defaultSubtotal="0">
      <items count="5">
        <item h="1" x="0"/>
        <item x="4"/>
        <item x="2"/>
        <item x="1"/>
        <item x="3"/>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s>
  <rowFields count="3">
    <field x="2"/>
    <field x="30"/>
    <field x="7"/>
  </rowFields>
  <rowItems count="22">
    <i>
      <x v="1"/>
      <x v="1"/>
      <x/>
    </i>
    <i r="2">
      <x v="1"/>
    </i>
    <i r="1">
      <x v="2"/>
      <x/>
    </i>
    <i r="1">
      <x v="3"/>
      <x/>
    </i>
    <i r="2">
      <x v="1"/>
    </i>
    <i r="1">
      <x v="4"/>
      <x/>
    </i>
    <i r="2">
      <x v="1"/>
    </i>
    <i r="1">
      <x v="5"/>
      <x/>
    </i>
    <i r="2">
      <x v="1"/>
    </i>
    <i r="1">
      <x v="6"/>
      <x/>
    </i>
    <i r="1">
      <x v="7"/>
      <x/>
    </i>
    <i r="2">
      <x v="1"/>
    </i>
    <i r="1">
      <x v="8"/>
      <x/>
    </i>
    <i r="2">
      <x v="1"/>
    </i>
    <i r="1">
      <x v="9"/>
      <x/>
    </i>
    <i r="2">
      <x v="1"/>
    </i>
    <i r="1">
      <x v="10"/>
      <x/>
    </i>
    <i r="1">
      <x v="11"/>
      <x v="1"/>
    </i>
    <i r="1">
      <x v="13"/>
      <x/>
    </i>
    <i r="2">
      <x v="1"/>
    </i>
    <i r="1">
      <x v="14"/>
      <x/>
    </i>
    <i r="2">
      <x v="1"/>
    </i>
  </rowItems>
  <colFields count="1">
    <field x="32"/>
  </colFields>
  <colItems count="4">
    <i>
      <x v="1"/>
    </i>
    <i>
      <x v="2"/>
    </i>
    <i>
      <x v="3"/>
    </i>
    <i>
      <x v="4"/>
    </i>
  </colItems>
  <dataFields count="1">
    <dataField name="Count of Predikat" fld="32" subtotal="count" showDataAs="percentOfRow" baseField="0" baseItem="0" numFmtId="9"/>
  </dataFields>
  <formats count="1">
    <format dxfId="78">
      <pivotArea outline="0" collapsedLevelsAreSubtotals="1" fieldPosition="0"/>
    </format>
  </formats>
  <chartFormats count="5">
    <chartFormat chart="0" format="0" series="1">
      <pivotArea type="data" outline="0" fieldPosition="0">
        <references count="2">
          <reference field="4294967294" count="1" selected="0">
            <x v="0"/>
          </reference>
          <reference field="32" count="1" selected="0">
            <x v="1"/>
          </reference>
        </references>
      </pivotArea>
    </chartFormat>
    <chartFormat chart="0" format="1" series="1">
      <pivotArea type="data" outline="0" fieldPosition="0">
        <references count="2">
          <reference field="4294967294" count="1" selected="0">
            <x v="0"/>
          </reference>
          <reference field="32" count="1" selected="0">
            <x v="2"/>
          </reference>
        </references>
      </pivotArea>
    </chartFormat>
    <chartFormat chart="0" format="2" series="1">
      <pivotArea type="data" outline="0" fieldPosition="0">
        <references count="2">
          <reference field="4294967294" count="1" selected="0">
            <x v="0"/>
          </reference>
          <reference field="32" count="1" selected="0">
            <x v="4"/>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32"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040BBB-80A9-2549-8876-9C51115FCF6B}" name="PivotTable3" cacheId="4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37">
    <pivotField showAll="0"/>
    <pivotField showAll="0"/>
    <pivotField showAll="0"/>
    <pivotField showAll="0"/>
    <pivotField showAll="0"/>
    <pivotField showAll="0"/>
    <pivotField showAll="0"/>
    <pivotField showAll="0">
      <items count="7">
        <item x="0"/>
        <item x="1"/>
        <item h="1" x="5"/>
        <item h="1" x="3"/>
        <item h="1"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h="1" x="0"/>
        <item x="4"/>
        <item x="2"/>
        <item x="1"/>
        <item x="3"/>
        <item t="default"/>
      </items>
    </pivotField>
    <pivotField showAll="0"/>
    <pivotField showAll="0"/>
    <pivotField showAll="0"/>
    <pivotField showAll="0"/>
  </pivotFields>
  <rowFields count="1">
    <field x="32"/>
  </rowFields>
  <rowItems count="5">
    <i>
      <x v="1"/>
    </i>
    <i>
      <x v="2"/>
    </i>
    <i>
      <x v="3"/>
    </i>
    <i>
      <x v="4"/>
    </i>
    <i t="grand">
      <x/>
    </i>
  </rowItems>
  <colItems count="1">
    <i/>
  </colItems>
  <dataFields count="1">
    <dataField name="Count of Predikat" fld="32" subtotal="count" showDataAs="percentOfCol" baseField="0" baseItem="0" numFmtId="9"/>
  </dataFields>
  <formats count="1">
    <format dxfId="7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2" count="1" selected="0">
            <x v="1"/>
          </reference>
        </references>
      </pivotArea>
    </chartFormat>
    <chartFormat chart="0" format="2">
      <pivotArea type="data" outline="0" fieldPosition="0">
        <references count="2">
          <reference field="4294967294" count="1" selected="0">
            <x v="0"/>
          </reference>
          <reference field="32" count="1" selected="0">
            <x v="2"/>
          </reference>
        </references>
      </pivotArea>
    </chartFormat>
    <chartFormat chart="0" format="3">
      <pivotArea type="data" outline="0" fieldPosition="0">
        <references count="2">
          <reference field="4294967294" count="1" selected="0">
            <x v="0"/>
          </reference>
          <reference field="32" count="1" selected="0">
            <x v="4"/>
          </reference>
        </references>
      </pivotArea>
    </chartFormat>
    <chartFormat chart="0" format="5">
      <pivotArea type="data" outline="0" fieldPosition="0">
        <references count="2">
          <reference field="4294967294" count="1" selected="0">
            <x v="0"/>
          </reference>
          <reference field="32"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53AEAC-A9C8-AB48-A3A5-90EBBC32773F}" name="PivotTable5" cacheId="4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B43" firstHeaderRow="1" firstDataRow="1" firstDataCol="1" rowPageCount="1" colPageCount="1"/>
  <pivotFields count="37">
    <pivotField showAll="0"/>
    <pivotField showAll="0"/>
    <pivotField axis="axisPage" multipleItemSelectionAllowed="1" showAll="0">
      <items count="6">
        <item x="0"/>
        <item h="1" x="2"/>
        <item h="1" x="1"/>
        <item h="1" x="3"/>
        <item h="1" x="4"/>
        <item t="default"/>
      </items>
    </pivotField>
    <pivotField showAll="0"/>
    <pivotField showAll="0"/>
    <pivotField showAll="0"/>
    <pivotField showAll="0"/>
    <pivotField showAll="0">
      <items count="7">
        <item x="0"/>
        <item x="1"/>
        <item x="5"/>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h="1" x="0"/>
        <item x="4"/>
        <item x="2"/>
        <item x="1"/>
        <item x="3"/>
        <item t="default"/>
      </items>
    </pivotField>
    <pivotField showAll="0"/>
    <pivotField showAll="0"/>
    <pivotField showAll="0"/>
    <pivotField showAll="0"/>
  </pivotFields>
  <rowFields count="1">
    <field x="32"/>
  </rowFields>
  <rowItems count="5">
    <i>
      <x v="1"/>
    </i>
    <i>
      <x v="2"/>
    </i>
    <i>
      <x v="3"/>
    </i>
    <i>
      <x v="4"/>
    </i>
    <i t="grand">
      <x/>
    </i>
  </rowItems>
  <colItems count="1">
    <i/>
  </colItems>
  <pageFields count="1">
    <pageField fld="2" hier="-1"/>
  </pageFields>
  <dataFields count="1">
    <dataField name="Count of Predikat" fld="32" subtotal="count" showDataAs="percentOfCol" baseField="0" baseItem="0" numFmtId="9"/>
  </dataFields>
  <formats count="1">
    <format dxfId="8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2" count="1" selected="0">
            <x v="2"/>
          </reference>
        </references>
      </pivotArea>
    </chartFormat>
    <chartFormat chart="1" format="2">
      <pivotArea type="data" outline="0" fieldPosition="0">
        <references count="2">
          <reference field="4294967294" count="1" selected="0">
            <x v="0"/>
          </reference>
          <reference field="32" count="1" selected="0">
            <x v="1"/>
          </reference>
        </references>
      </pivotArea>
    </chartFormat>
    <chartFormat chart="1" format="4">
      <pivotArea type="data" outline="0" fieldPosition="0">
        <references count="2">
          <reference field="4294967294" count="1" selected="0">
            <x v="0"/>
          </reference>
          <reference field="32" count="1" selected="0">
            <x v="4"/>
          </reference>
        </references>
      </pivotArea>
    </chartFormat>
    <chartFormat chart="1" format="5">
      <pivotArea type="data" outline="0" fieldPosition="0">
        <references count="2">
          <reference field="4294967294" count="1" selected="0">
            <x v="0"/>
          </reference>
          <reference field="32"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B4098A-DA79-764C-9A0B-A7DEF2018C5B}" name="PivotTable6" cacheId="4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7:B62" firstHeaderRow="1" firstDataRow="1" firstDataCol="1" rowPageCount="1" colPageCount="1"/>
  <pivotFields count="37">
    <pivotField showAll="0"/>
    <pivotField showAll="0"/>
    <pivotField axis="axisPage" multipleItemSelectionAllowed="1" showAll="0">
      <items count="6">
        <item h="1" x="0"/>
        <item x="2"/>
        <item h="1" x="1"/>
        <item h="1" x="3"/>
        <item h="1" x="4"/>
        <item t="default"/>
      </items>
    </pivotField>
    <pivotField showAll="0"/>
    <pivotField showAll="0"/>
    <pivotField showAll="0"/>
    <pivotField showAll="0"/>
    <pivotField showAll="0">
      <items count="7">
        <item x="0"/>
        <item x="1"/>
        <item x="5"/>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h="1" x="0"/>
        <item x="4"/>
        <item x="2"/>
        <item x="1"/>
        <item x="3"/>
        <item t="default"/>
      </items>
    </pivotField>
    <pivotField showAll="0"/>
    <pivotField showAll="0"/>
    <pivotField showAll="0"/>
    <pivotField showAll="0"/>
  </pivotFields>
  <rowFields count="1">
    <field x="32"/>
  </rowFields>
  <rowItems count="5">
    <i>
      <x v="1"/>
    </i>
    <i>
      <x v="2"/>
    </i>
    <i>
      <x v="3"/>
    </i>
    <i>
      <x v="4"/>
    </i>
    <i t="grand">
      <x/>
    </i>
  </rowItems>
  <colItems count="1">
    <i/>
  </colItems>
  <pageFields count="1">
    <pageField fld="2" hier="-1"/>
  </pageFields>
  <dataFields count="1">
    <dataField name="Count of Predikat" fld="32" subtotal="count" showDataAs="percentOfCol" baseField="0" baseItem="0" numFmtId="9"/>
  </dataFields>
  <formats count="1">
    <format dxfId="81">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2" count="1" selected="0">
            <x v="4"/>
          </reference>
        </references>
      </pivotArea>
    </chartFormat>
    <chartFormat chart="1" format="3">
      <pivotArea type="data" outline="0" fieldPosition="0">
        <references count="2">
          <reference field="4294967294" count="1" selected="0">
            <x v="0"/>
          </reference>
          <reference field="32" count="1" selected="0">
            <x v="1"/>
          </reference>
        </references>
      </pivotArea>
    </chartFormat>
    <chartFormat chart="1" format="4">
      <pivotArea type="data" outline="0" fieldPosition="0">
        <references count="2">
          <reference field="4294967294" count="1" selected="0">
            <x v="0"/>
          </reference>
          <reference field="32" count="1" selected="0">
            <x v="2"/>
          </reference>
        </references>
      </pivotArea>
    </chartFormat>
    <chartFormat chart="1" format="5">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32"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E62A19-8333-CE4B-8CC3-3C410A108050}" name="PivotTable4" cacheId="4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B25" firstHeaderRow="1" firstDataRow="1" firstDataCol="1" rowPageCount="1" colPageCount="1"/>
  <pivotFields count="37">
    <pivotField showAll="0"/>
    <pivotField showAll="0"/>
    <pivotField axis="axisPage" multipleItemSelectionAllowed="1" showAll="0">
      <items count="6">
        <item x="0"/>
        <item h="1" x="2"/>
        <item h="1" x="1"/>
        <item h="1" x="3"/>
        <item h="1" x="4"/>
        <item t="default"/>
      </items>
    </pivotField>
    <pivotField showAll="0"/>
    <pivotField showAll="0"/>
    <pivotField showAll="0"/>
    <pivotField showAll="0"/>
    <pivotField showAll="0">
      <items count="7">
        <item x="0"/>
        <item x="1"/>
        <item x="5"/>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h="1" x="0"/>
        <item x="4"/>
        <item x="2"/>
        <item x="1"/>
        <item x="3"/>
        <item t="default"/>
      </items>
    </pivotField>
    <pivotField showAll="0"/>
    <pivotField showAll="0"/>
    <pivotField showAll="0"/>
    <pivotField showAll="0"/>
  </pivotFields>
  <rowFields count="1">
    <field x="32"/>
  </rowFields>
  <rowItems count="5">
    <i>
      <x v="1"/>
    </i>
    <i>
      <x v="2"/>
    </i>
    <i>
      <x v="3"/>
    </i>
    <i>
      <x v="4"/>
    </i>
    <i t="grand">
      <x/>
    </i>
  </rowItems>
  <colItems count="1">
    <i/>
  </colItems>
  <pageFields count="1">
    <pageField fld="2" hier="-1"/>
  </pageFields>
  <dataFields count="1">
    <dataField name="Count of Predikat" fld="32" subtotal="count" showDataAs="percentOfCol" baseField="0" baseItem="0" numFmtId="9"/>
  </dataFields>
  <formats count="1">
    <format dxfId="8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2" count="1" selected="0">
            <x v="2"/>
          </reference>
        </references>
      </pivotArea>
    </chartFormat>
    <chartFormat chart="1" format="2">
      <pivotArea type="data" outline="0" fieldPosition="0">
        <references count="2">
          <reference field="4294967294" count="1" selected="0">
            <x v="0"/>
          </reference>
          <reference field="32" count="1" selected="0">
            <x v="1"/>
          </reference>
        </references>
      </pivotArea>
    </chartFormat>
    <chartFormat chart="1" format="4">
      <pivotArea type="data" outline="0" fieldPosition="0">
        <references count="2">
          <reference field="4294967294" count="1" selected="0">
            <x v="0"/>
          </reference>
          <reference field="32" count="1" selected="0">
            <x v="4"/>
          </reference>
        </references>
      </pivotArea>
    </chartFormat>
    <chartFormat chart="1" format="5">
      <pivotArea type="data" outline="0" fieldPosition="0">
        <references count="2">
          <reference field="4294967294" count="1" selected="0">
            <x v="0"/>
          </reference>
          <reference field="32"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5CE4C9-C54B-9D4B-87AD-ED55A8ED6D12}" name="PivotTable1"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6">
  <location ref="A1:E3" firstHeaderRow="2" firstDataRow="2" firstDataCol="4"/>
  <pivotFields count="37">
    <pivotField compact="0" outline="0" showAll="0" defaultSubtotal="0"/>
    <pivotField compact="0" outline="0" showAll="0" defaultSubtotal="0"/>
    <pivotField axis="axisRow" compact="0" outline="0" showAll="0" defaultSubtotal="0">
      <items count="5">
        <item x="0"/>
        <item x="2"/>
        <item x="1"/>
        <item x="3"/>
        <item x="4"/>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0"/>
        <item x="1"/>
        <item x="2"/>
        <item x="3"/>
        <item x="4"/>
        <item x="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6">
        <item h="1" x="8"/>
        <item x="23"/>
        <item x="31"/>
        <item h="1" x="22"/>
        <item h="1" x="28"/>
        <item h="1" x="25"/>
        <item h="1" x="0"/>
        <item h="1" x="4"/>
        <item h="1" x="5"/>
        <item h="1" x="6"/>
        <item h="1" x="7"/>
        <item h="1" x="9"/>
        <item h="1" x="10"/>
        <item h="1" x="12"/>
        <item h="1" x="13"/>
        <item h="1" x="14"/>
        <item h="1" x="15"/>
        <item h="1" x="16"/>
        <item h="1" x="17"/>
        <item h="1" x="18"/>
        <item h="1" x="19"/>
        <item h="1" x="20"/>
        <item h="1" x="21"/>
        <item h="1" x="32"/>
        <item h="1" x="33"/>
        <item h="1" x="34"/>
        <item h="1" x="35"/>
        <item h="1" x="36"/>
        <item h="1" x="37"/>
        <item h="1" x="38"/>
        <item h="1" x="39"/>
        <item h="1" x="40"/>
        <item h="1" x="41"/>
        <item h="1" x="42"/>
        <item h="1" x="43"/>
        <item h="1" x="45"/>
        <item h="1" x="24"/>
        <item h="1" x="26"/>
        <item h="1" x="27"/>
        <item h="1" x="44"/>
        <item h="1" x="11"/>
        <item h="1" x="1"/>
        <item h="1" x="2"/>
        <item h="1" x="3"/>
        <item h="1" x="30"/>
        <item h="1" x="2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5">
        <item h="1" x="0"/>
        <item x="3"/>
        <item h="1" x="5"/>
        <item h="1" x="7"/>
        <item h="1" x="8"/>
        <item x="9"/>
        <item h="1" x="13"/>
        <item h="1" x="4"/>
        <item h="1" x="10"/>
        <item h="1" x="11"/>
        <item h="1" x="12"/>
        <item h="1" x="6"/>
        <item h="1" x="14"/>
        <item h="1" x="1"/>
        <item h="1" x="2"/>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showAll="0" defaultSubtotal="0"/>
  </pivotFields>
  <rowFields count="4">
    <field x="2"/>
    <field x="30"/>
    <field x="7"/>
    <field x="22"/>
  </rowFields>
  <colItems count="1">
    <i/>
  </colItems>
  <dataFields count="1">
    <dataField name="Average of MatKls" fld="3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30F3D2-238F-254F-8761-5F179B02BADF}" name="PivotTable2"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6">
  <location ref="AA38:AF40" firstHeaderRow="2" firstDataRow="2" firstDataCol="5"/>
  <pivotFields count="37">
    <pivotField compact="0" outline="0" showAll="0" defaultSubtotal="0"/>
    <pivotField compact="0" outline="0" showAll="0" defaultSubtotal="0"/>
    <pivotField axis="axisRow" compact="0" outline="0" showAll="0" defaultSubtotal="0">
      <items count="5">
        <item x="0"/>
        <item x="2"/>
        <item x="1"/>
        <item x="3"/>
        <item x="4"/>
      </items>
    </pivotField>
    <pivotField axis="axisRow" compact="0" outline="0" showAll="0" defaultSubtotal="0">
      <items count="24">
        <item x="3"/>
        <item h="1" x="14"/>
        <item h="1" x="4"/>
        <item h="1" x="15"/>
        <item h="1" x="16"/>
        <item h="1" x="8"/>
        <item h="1" x="9"/>
        <item h="1" x="19"/>
        <item h="1" x="5"/>
        <item h="1" x="6"/>
        <item h="1" x="10"/>
        <item h="1" x="21"/>
        <item h="1" x="2"/>
        <item h="1" x="17"/>
        <item h="1" x="20"/>
        <item h="1" x="1"/>
        <item h="1" x="18"/>
        <item h="1" x="11"/>
        <item h="1" x="7"/>
        <item h="1" x="0"/>
        <item h="1" x="12"/>
        <item h="1" x="13"/>
        <item h="1" x="22"/>
        <item h="1" x="23"/>
      </items>
    </pivotField>
    <pivotField compact="0" outline="0" showAll="0" defaultSubtotal="0"/>
    <pivotField compact="0" outline="0" showAll="0" defaultSubtotal="0"/>
    <pivotField compact="0" outline="0" showAll="0" defaultSubtotal="0"/>
    <pivotField axis="axisRow" compact="0" outline="0" showAll="0" defaultSubtotal="0">
      <items count="6">
        <item x="0"/>
        <item x="1"/>
        <item x="2"/>
        <item x="3"/>
        <item x="4"/>
        <item x="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6">
        <item h="1" x="8"/>
        <item x="23"/>
        <item x="31"/>
        <item h="1" x="22"/>
        <item h="1" x="28"/>
        <item h="1" x="25"/>
        <item h="1" x="0"/>
        <item h="1" x="4"/>
        <item h="1" x="5"/>
        <item h="1" x="6"/>
        <item h="1" x="7"/>
        <item h="1" x="9"/>
        <item h="1" x="10"/>
        <item h="1" x="12"/>
        <item h="1" x="13"/>
        <item h="1" x="14"/>
        <item h="1" x="15"/>
        <item h="1" x="16"/>
        <item h="1" x="17"/>
        <item h="1" x="18"/>
        <item h="1" x="19"/>
        <item h="1" x="20"/>
        <item h="1" x="21"/>
        <item h="1" x="32"/>
        <item h="1" x="33"/>
        <item h="1" x="34"/>
        <item h="1" x="35"/>
        <item h="1" x="36"/>
        <item h="1" x="37"/>
        <item h="1" x="38"/>
        <item h="1" x="39"/>
        <item h="1" x="40"/>
        <item h="1" x="41"/>
        <item h="1" x="42"/>
        <item h="1" x="43"/>
        <item h="1" x="45"/>
        <item h="1" x="24"/>
        <item h="1" x="26"/>
        <item h="1" x="27"/>
        <item h="1" x="44"/>
        <item h="1" x="11"/>
        <item h="1" x="1"/>
        <item h="1" x="2"/>
        <item h="1" x="3"/>
        <item h="1" x="30"/>
        <item h="1" x="2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5">
        <item h="1" x="0"/>
        <item x="3"/>
        <item h="1" x="5"/>
        <item h="1" x="7"/>
        <item h="1" x="8"/>
        <item x="9"/>
        <item h="1" x="13"/>
        <item h="1" x="4"/>
        <item h="1" x="10"/>
        <item h="1" x="11"/>
        <item h="1" x="12"/>
        <item h="1" x="6"/>
        <item h="1" x="14"/>
        <item h="1" x="1"/>
        <item h="1" x="2"/>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showAll="0" defaultSubtotal="0"/>
  </pivotFields>
  <rowFields count="5">
    <field x="2"/>
    <field x="3"/>
    <field x="30"/>
    <field x="22"/>
    <field x="7"/>
  </rowFields>
  <colItems count="1">
    <i/>
  </colItems>
  <dataFields count="1">
    <dataField name="Average of MatKls" fld="33" subtotal="average" baseField="0" baseItem="0"/>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FA0DB7-AC5F-084D-ACF9-BF50CAF01FC9}" name="PivotTable1"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7">
  <location ref="Z1:AE63" firstHeaderRow="1" firstDataRow="2" firstDataCol="4"/>
  <pivotFields count="37">
    <pivotField compact="0" outline="0" showAll="0" defaultSubtotal="0"/>
    <pivotField compact="0" outline="0" showAll="0" defaultSubtotal="0"/>
    <pivotField axis="axisRow" compact="0" outline="0" showAll="0" defaultSubtotal="0">
      <items count="5">
        <item x="0"/>
        <item h="1" x="2"/>
        <item h="1" x="1"/>
        <item h="1" x="3"/>
        <item h="1" x="4"/>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0"/>
        <item x="1"/>
        <item x="2"/>
        <item x="3"/>
        <item x="4"/>
        <item x="5"/>
      </items>
    </pivotField>
    <pivotField compact="0" outline="0" showAll="0" defaultSubtotal="0"/>
    <pivotField axis="axisRow" compact="0" outline="0" showAll="0" defaultSubtotal="0">
      <items count="9">
        <item x="4"/>
        <item x="3"/>
        <item x="0"/>
        <item x="2"/>
        <item x="1"/>
        <item x="5"/>
        <item x="6"/>
        <item x="7"/>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h="1"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5">
        <item h="1" x="0"/>
        <item x="3"/>
        <item x="5"/>
        <item x="7"/>
        <item x="8"/>
        <item x="9"/>
        <item x="13"/>
        <item x="4"/>
        <item x="10"/>
        <item x="11"/>
        <item x="12"/>
        <item x="6"/>
        <item x="14"/>
        <item h="1" x="1"/>
        <item h="1" x="2"/>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s>
  <rowFields count="4">
    <field x="2"/>
    <field x="30"/>
    <field x="7"/>
    <field x="9"/>
  </rowFields>
  <rowItems count="61">
    <i>
      <x/>
      <x v="1"/>
      <x/>
      <x/>
    </i>
    <i r="3">
      <x v="1"/>
    </i>
    <i r="3">
      <x v="2"/>
    </i>
    <i r="3">
      <x v="3"/>
    </i>
    <i r="2">
      <x v="1"/>
      <x/>
    </i>
    <i r="3">
      <x v="1"/>
    </i>
    <i r="3">
      <x v="2"/>
    </i>
    <i r="3">
      <x v="3"/>
    </i>
    <i r="1">
      <x v="2"/>
      <x/>
      <x v="2"/>
    </i>
    <i r="1">
      <x v="3"/>
      <x/>
      <x/>
    </i>
    <i r="3">
      <x v="1"/>
    </i>
    <i r="3">
      <x v="2"/>
    </i>
    <i r="3">
      <x v="3"/>
    </i>
    <i r="3">
      <x v="4"/>
    </i>
    <i r="2">
      <x v="1"/>
      <x v="1"/>
    </i>
    <i r="3">
      <x v="2"/>
    </i>
    <i r="3">
      <x v="4"/>
    </i>
    <i r="1">
      <x v="4"/>
      <x/>
      <x v="3"/>
    </i>
    <i r="3">
      <x v="4"/>
    </i>
    <i r="2">
      <x v="1"/>
      <x v="2"/>
    </i>
    <i r="1">
      <x v="5"/>
      <x/>
      <x v="1"/>
    </i>
    <i r="3">
      <x v="2"/>
    </i>
    <i r="2">
      <x v="1"/>
      <x v="2"/>
    </i>
    <i r="1">
      <x v="6"/>
      <x/>
      <x v="4"/>
    </i>
    <i r="2">
      <x v="1"/>
      <x v="4"/>
    </i>
    <i r="1">
      <x v="7"/>
      <x/>
      <x v="1"/>
    </i>
    <i r="3">
      <x v="2"/>
    </i>
    <i r="3">
      <x v="3"/>
    </i>
    <i r="3">
      <x v="4"/>
    </i>
    <i r="2">
      <x v="1"/>
      <x v="2"/>
    </i>
    <i r="3">
      <x v="4"/>
    </i>
    <i r="1">
      <x v="8"/>
      <x/>
      <x/>
    </i>
    <i r="3">
      <x v="1"/>
    </i>
    <i r="3">
      <x v="2"/>
    </i>
    <i r="3">
      <x v="3"/>
    </i>
    <i r="2">
      <x v="1"/>
      <x/>
    </i>
    <i r="3">
      <x v="1"/>
    </i>
    <i r="3">
      <x v="2"/>
    </i>
    <i r="3">
      <x v="3"/>
    </i>
    <i r="3">
      <x v="4"/>
    </i>
    <i r="1">
      <x v="9"/>
      <x/>
      <x/>
    </i>
    <i r="3">
      <x v="1"/>
    </i>
    <i r="3">
      <x v="2"/>
    </i>
    <i r="3">
      <x v="3"/>
    </i>
    <i r="2">
      <x v="1"/>
      <x/>
    </i>
    <i r="3">
      <x v="1"/>
    </i>
    <i r="3">
      <x v="2"/>
    </i>
    <i r="3">
      <x v="3"/>
    </i>
    <i r="1">
      <x v="10"/>
      <x/>
      <x v="1"/>
    </i>
    <i r="3">
      <x v="2"/>
    </i>
    <i r="3">
      <x v="4"/>
    </i>
    <i r="2">
      <x v="1"/>
      <x v="2"/>
    </i>
    <i r="3">
      <x v="3"/>
    </i>
    <i r="3">
      <x v="4"/>
    </i>
    <i r="1">
      <x v="11"/>
      <x v="1"/>
      <x v="2"/>
    </i>
    <i r="1">
      <x v="12"/>
      <x/>
      <x v="1"/>
    </i>
    <i r="3">
      <x v="2"/>
    </i>
    <i r="3">
      <x v="4"/>
    </i>
    <i r="2">
      <x v="1"/>
      <x v="2"/>
    </i>
    <i r="3">
      <x v="3"/>
    </i>
    <i r="3">
      <x v="4"/>
    </i>
  </rowItems>
  <colFields count="1">
    <field x="-2"/>
  </colFields>
  <colItems count="2">
    <i>
      <x/>
    </i>
    <i i="1">
      <x v="1"/>
    </i>
  </colItems>
  <dataFields count="2">
    <dataField name="Average of Nilai2" fld="31" subtotal="average" baseField="0" baseItem="0"/>
    <dataField name="Average of KKM" fld="25" subtotal="average" baseField="0" baseItem="0"/>
  </dataFields>
  <formats count="1">
    <format dxfId="76">
      <pivotArea dataOnly="0"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59E5B1-9BB6-9C45-A787-65CC95EAD6B0}" name="PivotTable14"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7">
  <location ref="A3:E26" firstHeaderRow="1" firstDataRow="2" firstDataCol="3" rowPageCount="1" colPageCount="1"/>
  <pivotFields count="37">
    <pivotField compact="0" outline="0" showAll="0" defaultSubtotal="0"/>
    <pivotField compact="0" outline="0" showAll="0" defaultSubtotal="0"/>
    <pivotField axis="axisRow" compact="0" outline="0" showAll="0" defaultSubtotal="0">
      <items count="5">
        <item x="0"/>
        <item h="1" x="2"/>
        <item h="1" x="1"/>
        <item h="1" x="3"/>
        <item h="1" x="4"/>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0"/>
        <item x="1"/>
        <item x="2"/>
        <item x="3"/>
        <item x="4"/>
        <item x="5"/>
      </items>
    </pivotField>
    <pivotField compact="0" outline="0" showAll="0" defaultSubtotal="0"/>
    <pivotField axis="axisPage" compact="0" outline="0" multipleItemSelectionAllowed="1" showAll="0" defaultSubtotal="0">
      <items count="9">
        <item x="4"/>
        <item x="3"/>
        <item x="0"/>
        <item x="2"/>
        <item x="1"/>
        <item x="5"/>
        <item x="6"/>
        <item x="7"/>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5">
        <item h="1" x="0"/>
        <item x="3"/>
        <item x="5"/>
        <item x="7"/>
        <item x="8"/>
        <item x="9"/>
        <item x="13"/>
        <item x="4"/>
        <item x="10"/>
        <item x="11"/>
        <item x="12"/>
        <item x="6"/>
        <item x="14"/>
        <item h="1" x="1"/>
        <item h="1" x="2"/>
      </items>
    </pivotField>
    <pivotField dataField="1"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s>
  <rowFields count="3">
    <field x="2"/>
    <field x="30"/>
    <field x="7"/>
  </rowFields>
  <rowItems count="22">
    <i>
      <x/>
      <x v="1"/>
      <x/>
    </i>
    <i r="2">
      <x v="1"/>
    </i>
    <i r="1">
      <x v="2"/>
      <x/>
    </i>
    <i r="1">
      <x v="3"/>
      <x/>
    </i>
    <i r="2">
      <x v="1"/>
    </i>
    <i r="1">
      <x v="4"/>
      <x/>
    </i>
    <i r="2">
      <x v="1"/>
    </i>
    <i r="1">
      <x v="5"/>
      <x/>
    </i>
    <i r="2">
      <x v="1"/>
    </i>
    <i r="1">
      <x v="6"/>
      <x/>
    </i>
    <i r="2">
      <x v="1"/>
    </i>
    <i r="1">
      <x v="7"/>
      <x/>
    </i>
    <i r="2">
      <x v="1"/>
    </i>
    <i r="1">
      <x v="8"/>
      <x/>
    </i>
    <i r="2">
      <x v="1"/>
    </i>
    <i r="1">
      <x v="9"/>
      <x/>
    </i>
    <i r="2">
      <x v="1"/>
    </i>
    <i r="1">
      <x v="10"/>
      <x/>
    </i>
    <i r="2">
      <x v="1"/>
    </i>
    <i r="1">
      <x v="11"/>
      <x v="1"/>
    </i>
    <i r="1">
      <x v="12"/>
      <x/>
    </i>
    <i r="2">
      <x v="1"/>
    </i>
  </rowItems>
  <colFields count="1">
    <field x="-2"/>
  </colFields>
  <colItems count="2">
    <i>
      <x/>
    </i>
    <i i="1">
      <x v="1"/>
    </i>
  </colItems>
  <pageFields count="1">
    <pageField fld="9" hier="-1"/>
  </pageFields>
  <dataFields count="2">
    <dataField name="Average of Nilai2" fld="31" subtotal="average" baseField="0" baseItem="0"/>
    <dataField name="Average of KKM" fld="25" subtotal="average" baseField="0" baseItem="0"/>
  </dataFields>
  <formats count="1">
    <format dxfId="7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84D540-3E9B-AC4D-936C-0ABE47D4CAAF}" name="PivotTable15"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5">
  <location ref="A3:F27" firstHeaderRow="1" firstDataRow="2" firstDataCol="4" rowPageCount="1" colPageCount="1"/>
  <pivotFields count="37">
    <pivotField compact="0" outline="0" showAll="0" defaultSubtotal="0"/>
    <pivotField compact="0" outline="0" showAll="0" defaultSubtotal="0"/>
    <pivotField axis="axisRow" compact="0" outline="0" showAll="0" defaultSubtotal="0">
      <items count="5">
        <item x="0"/>
        <item h="1" x="2"/>
        <item h="1" x="1"/>
        <item h="1" x="3"/>
        <item h="1" x="4"/>
      </items>
    </pivotField>
    <pivotField axis="axisRow" compact="0" outline="0" showAll="0" defaultSubtotal="0">
      <items count="24">
        <item x="3"/>
        <item x="14"/>
        <item x="4"/>
        <item x="15"/>
        <item x="16"/>
        <item x="8"/>
        <item x="9"/>
        <item x="19"/>
        <item x="5"/>
        <item x="6"/>
        <item x="10"/>
        <item x="21"/>
        <item x="2"/>
        <item x="17"/>
        <item x="20"/>
        <item x="1"/>
        <item x="18"/>
        <item x="11"/>
        <item x="7"/>
        <item x="0"/>
        <item x="12"/>
        <item x="13"/>
        <item x="22"/>
        <item x="23"/>
      </items>
    </pivotField>
    <pivotField compact="0" outline="0" showAll="0" defaultSubtotal="0"/>
    <pivotField compact="0" outline="0" showAll="0" defaultSubtotal="0"/>
    <pivotField compact="0" outline="0" showAll="0" defaultSubtotal="0"/>
    <pivotField axis="axisRow" compact="0" outline="0" showAll="0" defaultSubtotal="0">
      <items count="6">
        <item x="0"/>
        <item x="1"/>
        <item x="2"/>
        <item x="3"/>
        <item x="4"/>
        <item x="5"/>
      </items>
    </pivotField>
    <pivotField compact="0" outline="0" showAll="0" defaultSubtotal="0"/>
    <pivotField axis="axisPage" compact="0" outline="0" multipleItemSelectionAllowed="1" showAll="0" defaultSubtotal="0">
      <items count="9">
        <item x="4"/>
        <item x="3"/>
        <item x="0"/>
        <item x="2"/>
        <item x="1"/>
        <item x="5"/>
        <item x="6"/>
        <item x="7"/>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5">
        <item h="1" x="0"/>
        <item h="1" x="3"/>
        <item h="1" x="5"/>
        <item h="1" x="7"/>
        <item h="1" x="8"/>
        <item x="9"/>
        <item h="1" x="13"/>
        <item h="1" x="4"/>
        <item h="1" x="10"/>
        <item h="1" x="11"/>
        <item h="1" x="12"/>
        <item h="1" x="6"/>
        <item h="1" x="14"/>
        <item h="1" x="1"/>
        <item h="1" x="2"/>
      </items>
    </pivotField>
    <pivotField dataField="1"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s>
  <rowFields count="4">
    <field x="2"/>
    <field x="3"/>
    <field x="30"/>
    <field x="7"/>
  </rowFields>
  <rowItems count="23">
    <i>
      <x/>
      <x/>
      <x v="5"/>
      <x/>
    </i>
    <i r="3">
      <x v="1"/>
    </i>
    <i r="1">
      <x v="2"/>
      <x v="5"/>
      <x/>
    </i>
    <i r="3">
      <x v="1"/>
    </i>
    <i r="1">
      <x v="5"/>
      <x v="5"/>
      <x/>
    </i>
    <i r="3">
      <x v="1"/>
    </i>
    <i r="1">
      <x v="6"/>
      <x v="5"/>
      <x/>
    </i>
    <i r="3">
      <x v="1"/>
    </i>
    <i r="1">
      <x v="8"/>
      <x v="5"/>
      <x/>
    </i>
    <i r="3">
      <x v="1"/>
    </i>
    <i r="1">
      <x v="9"/>
      <x v="5"/>
      <x/>
    </i>
    <i r="3">
      <x v="1"/>
    </i>
    <i r="1">
      <x v="10"/>
      <x v="5"/>
      <x/>
    </i>
    <i r="3">
      <x v="1"/>
    </i>
    <i r="1">
      <x v="12"/>
      <x v="5"/>
      <x/>
    </i>
    <i r="3">
      <x v="1"/>
    </i>
    <i r="1">
      <x v="15"/>
      <x v="5"/>
      <x/>
    </i>
    <i r="3">
      <x v="1"/>
    </i>
    <i r="1">
      <x v="17"/>
      <x v="5"/>
      <x/>
    </i>
    <i r="3">
      <x v="1"/>
    </i>
    <i r="1">
      <x v="18"/>
      <x v="5"/>
      <x/>
    </i>
    <i r="3">
      <x v="1"/>
    </i>
    <i r="1">
      <x v="19"/>
      <x v="5"/>
      <x/>
    </i>
  </rowItems>
  <colFields count="1">
    <field x="-2"/>
  </colFields>
  <colItems count="2">
    <i>
      <x/>
    </i>
    <i i="1">
      <x v="1"/>
    </i>
  </colItems>
  <pageFields count="1">
    <pageField fld="9" hier="-1"/>
  </pageFields>
  <dataFields count="2">
    <dataField name="Average of Nilai2" fld="31" subtotal="average" baseField="0" baseItem="0"/>
    <dataField name="Average of KKM" fld="25" subtotal="average" baseField="0" baseItem="0"/>
  </dataFields>
  <formats count="1">
    <format dxfId="74">
      <pivotArea dataOnly="0"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B84A02-4A9D-B340-B831-76E6EB72E447}" name="PivotTable2"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2">
  <location ref="AC1:AJ391" firstHeaderRow="1" firstDataRow="2" firstDataCol="6"/>
  <pivotFields count="37">
    <pivotField compact="0" outline="0" showAll="0" defaultSubtotal="0"/>
    <pivotField compact="0" outline="0" showAll="0" defaultSubtotal="0"/>
    <pivotField axis="axisRow" compact="0" outline="0" showAll="0" defaultSubtotal="0">
      <items count="5">
        <item x="0"/>
        <item h="1" x="2"/>
        <item h="1" x="1"/>
        <item h="1" x="3"/>
        <item h="1" x="4"/>
      </items>
    </pivotField>
    <pivotField axis="axisRow" compact="0" outline="0" showAll="0" defaultSubtotal="0">
      <items count="24">
        <item x="3"/>
        <item x="14"/>
        <item x="4"/>
        <item x="15"/>
        <item x="16"/>
        <item x="8"/>
        <item x="9"/>
        <item x="19"/>
        <item x="5"/>
        <item x="6"/>
        <item x="10"/>
        <item x="21"/>
        <item x="2"/>
        <item x="17"/>
        <item x="20"/>
        <item x="1"/>
        <item x="18"/>
        <item x="11"/>
        <item x="7"/>
        <item x="0"/>
        <item x="12"/>
        <item x="13"/>
        <item x="22"/>
        <item x="23"/>
      </items>
    </pivotField>
    <pivotField compact="0" outline="0" showAll="0" defaultSubtotal="0"/>
    <pivotField compact="0" outline="0" showAll="0" defaultSubtotal="0"/>
    <pivotField compact="0" outline="0" showAll="0" defaultSubtotal="0"/>
    <pivotField axis="axisRow" compact="0" outline="0" showAll="0" defaultSubtotal="0">
      <items count="6">
        <item x="0"/>
        <item x="1"/>
        <item x="2"/>
        <item x="3"/>
        <item x="4"/>
        <item x="5"/>
      </items>
    </pivotField>
    <pivotField compact="0" outline="0" showAll="0" defaultSubtotal="0"/>
    <pivotField axis="axisRow" compact="0" outline="0" showAll="0" defaultSubtotal="0">
      <items count="9">
        <item x="4"/>
        <item x="3"/>
        <item x="0"/>
        <item x="2"/>
        <item x="1"/>
        <item x="5"/>
        <item x="6"/>
        <item x="7"/>
        <item x="8"/>
      </items>
    </pivotField>
    <pivotField axis="axisRow" compact="0" outline="0" showAll="0" defaultSubtotal="0">
      <items count="21">
        <item x="5"/>
        <item x="0"/>
        <item x="11"/>
        <item x="12"/>
        <item x="4"/>
        <item x="6"/>
        <item x="7"/>
        <item x="14"/>
        <item x="3"/>
        <item x="13"/>
        <item x="16"/>
        <item x="2"/>
        <item x="9"/>
        <item x="15"/>
        <item x="8"/>
        <item x="19"/>
        <item x="10"/>
        <item x="17"/>
        <item x="18"/>
        <item x="2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5">
        <item h="1" x="0"/>
        <item x="3"/>
        <item x="5"/>
        <item x="7"/>
        <item x="8"/>
        <item x="9"/>
        <item x="13"/>
        <item x="4"/>
        <item h="1" x="10"/>
        <item h="1" x="11"/>
        <item h="1" x="12"/>
        <item h="1" x="6"/>
        <item h="1" x="14"/>
        <item h="1" x="1"/>
        <item h="1" x="2"/>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s>
  <rowFields count="6">
    <field x="2"/>
    <field x="3"/>
    <field x="30"/>
    <field x="9"/>
    <field x="10"/>
    <field x="7"/>
  </rowFields>
  <rowItems count="389">
    <i>
      <x/>
      <x/>
      <x v="1"/>
      <x/>
      <x/>
      <x/>
    </i>
    <i r="5">
      <x v="1"/>
    </i>
    <i r="3">
      <x v="1"/>
      <x v="4"/>
      <x/>
    </i>
    <i r="5">
      <x v="1"/>
    </i>
    <i r="3">
      <x v="2"/>
      <x v="1"/>
      <x/>
    </i>
    <i r="5">
      <x v="1"/>
    </i>
    <i r="4">
      <x v="11"/>
      <x/>
    </i>
    <i r="3">
      <x v="3"/>
      <x v="5"/>
      <x/>
    </i>
    <i r="5">
      <x v="1"/>
    </i>
    <i r="4">
      <x v="8"/>
      <x/>
    </i>
    <i r="2">
      <x v="2"/>
      <x v="2"/>
      <x v="1"/>
      <x/>
    </i>
    <i r="2">
      <x v="3"/>
      <x/>
      <x/>
      <x/>
    </i>
    <i r="3">
      <x v="1"/>
      <x v="14"/>
      <x/>
    </i>
    <i r="5">
      <x v="1"/>
    </i>
    <i r="3">
      <x v="2"/>
      <x v="2"/>
      <x/>
    </i>
    <i r="5">
      <x v="1"/>
    </i>
    <i r="3">
      <x v="3"/>
      <x v="3"/>
      <x/>
    </i>
    <i r="3">
      <x v="4"/>
      <x v="6"/>
      <x/>
    </i>
    <i r="5">
      <x v="1"/>
    </i>
    <i r="2">
      <x v="4"/>
      <x v="2"/>
      <x v="1"/>
      <x v="1"/>
    </i>
    <i r="3">
      <x v="3"/>
      <x v="8"/>
      <x/>
    </i>
    <i r="3">
      <x v="4"/>
      <x v="12"/>
      <x/>
    </i>
    <i r="2">
      <x v="5"/>
      <x v="1"/>
      <x v="14"/>
      <x/>
    </i>
    <i r="3">
      <x v="2"/>
      <x v="1"/>
      <x/>
    </i>
    <i r="5">
      <x v="1"/>
    </i>
    <i r="2">
      <x v="6"/>
      <x v="4"/>
      <x v="6"/>
      <x/>
    </i>
    <i r="5">
      <x v="1"/>
    </i>
    <i r="4">
      <x v="7"/>
      <x/>
    </i>
    <i r="2">
      <x v="7"/>
      <x v="1"/>
      <x v="4"/>
      <x/>
    </i>
    <i r="4">
      <x v="14"/>
      <x/>
    </i>
    <i r="3">
      <x v="2"/>
      <x v="1"/>
      <x/>
    </i>
    <i r="5">
      <x v="1"/>
    </i>
    <i r="3">
      <x v="4"/>
      <x v="6"/>
      <x/>
    </i>
    <i r="4">
      <x v="12"/>
      <x v="1"/>
    </i>
    <i r="1">
      <x v="2"/>
      <x v="1"/>
      <x/>
      <x/>
      <x/>
    </i>
    <i r="5">
      <x v="1"/>
    </i>
    <i r="3">
      <x v="1"/>
      <x v="4"/>
      <x/>
    </i>
    <i r="5">
      <x v="1"/>
    </i>
    <i r="3">
      <x v="2"/>
      <x v="1"/>
      <x/>
    </i>
    <i r="5">
      <x v="1"/>
    </i>
    <i r="4">
      <x v="11"/>
      <x/>
    </i>
    <i r="3">
      <x v="3"/>
      <x v="5"/>
      <x/>
    </i>
    <i r="5">
      <x v="1"/>
    </i>
    <i r="4">
      <x v="8"/>
      <x/>
    </i>
    <i r="2">
      <x v="2"/>
      <x v="2"/>
      <x v="1"/>
      <x/>
    </i>
    <i r="2">
      <x v="3"/>
      <x/>
      <x/>
      <x/>
    </i>
    <i r="3">
      <x v="1"/>
      <x v="14"/>
      <x/>
    </i>
    <i r="5">
      <x v="1"/>
    </i>
    <i r="3">
      <x v="2"/>
      <x v="2"/>
      <x/>
    </i>
    <i r="5">
      <x v="1"/>
    </i>
    <i r="3">
      <x v="3"/>
      <x v="3"/>
      <x/>
    </i>
    <i r="3">
      <x v="4"/>
      <x v="6"/>
      <x/>
    </i>
    <i r="5">
      <x v="1"/>
    </i>
    <i r="2">
      <x v="4"/>
      <x v="2"/>
      <x v="1"/>
      <x v="1"/>
    </i>
    <i r="3">
      <x v="3"/>
      <x v="8"/>
      <x/>
    </i>
    <i r="3">
      <x v="4"/>
      <x v="12"/>
      <x/>
    </i>
    <i r="2">
      <x v="5"/>
      <x v="1"/>
      <x v="14"/>
      <x/>
    </i>
    <i r="3">
      <x v="2"/>
      <x v="1"/>
      <x/>
    </i>
    <i r="5">
      <x v="1"/>
    </i>
    <i r="2">
      <x v="7"/>
      <x v="1"/>
      <x v="4"/>
      <x/>
    </i>
    <i r="4">
      <x v="14"/>
      <x/>
    </i>
    <i r="3">
      <x v="2"/>
      <x v="1"/>
      <x/>
    </i>
    <i r="5">
      <x v="1"/>
    </i>
    <i r="3">
      <x v="3"/>
      <x v="8"/>
      <x/>
    </i>
    <i r="3">
      <x v="4"/>
      <x v="6"/>
      <x/>
    </i>
    <i r="4">
      <x v="12"/>
      <x/>
    </i>
    <i r="5">
      <x v="1"/>
    </i>
    <i r="1">
      <x v="5"/>
      <x v="1"/>
      <x/>
      <x/>
      <x/>
    </i>
    <i r="5">
      <x v="1"/>
    </i>
    <i r="3">
      <x v="1"/>
      <x v="4"/>
      <x/>
    </i>
    <i r="5">
      <x v="1"/>
    </i>
    <i r="3">
      <x v="2"/>
      <x v="1"/>
      <x/>
    </i>
    <i r="5">
      <x v="1"/>
    </i>
    <i r="4">
      <x v="11"/>
      <x/>
    </i>
    <i r="3">
      <x v="3"/>
      <x v="5"/>
      <x/>
    </i>
    <i r="5">
      <x v="1"/>
    </i>
    <i r="4">
      <x v="8"/>
      <x/>
    </i>
    <i r="2">
      <x v="2"/>
      <x v="2"/>
      <x v="1"/>
      <x/>
    </i>
    <i r="2">
      <x v="3"/>
      <x/>
      <x/>
      <x/>
    </i>
    <i r="3">
      <x v="1"/>
      <x v="14"/>
      <x/>
    </i>
    <i r="5">
      <x v="1"/>
    </i>
    <i r="3">
      <x v="2"/>
      <x v="2"/>
      <x/>
    </i>
    <i r="5">
      <x v="1"/>
    </i>
    <i r="3">
      <x v="3"/>
      <x v="3"/>
      <x/>
    </i>
    <i r="3">
      <x v="4"/>
      <x v="6"/>
      <x/>
    </i>
    <i r="5">
      <x v="1"/>
    </i>
    <i r="2">
      <x v="4"/>
      <x v="2"/>
      <x v="1"/>
      <x v="1"/>
    </i>
    <i r="3">
      <x v="3"/>
      <x v="8"/>
      <x/>
    </i>
    <i r="3">
      <x v="4"/>
      <x v="12"/>
      <x/>
    </i>
    <i r="2">
      <x v="5"/>
      <x v="1"/>
      <x v="14"/>
      <x/>
    </i>
    <i r="3">
      <x v="2"/>
      <x v="1"/>
      <x/>
    </i>
    <i r="5">
      <x v="1"/>
    </i>
    <i r="2">
      <x v="7"/>
      <x v="1"/>
      <x v="4"/>
      <x/>
    </i>
    <i r="4">
      <x v="14"/>
      <x/>
    </i>
    <i r="3">
      <x v="2"/>
      <x v="1"/>
      <x/>
    </i>
    <i r="5">
      <x v="1"/>
    </i>
    <i r="3">
      <x v="3"/>
      <x v="8"/>
      <x/>
    </i>
    <i r="3">
      <x v="4"/>
      <x v="6"/>
      <x/>
    </i>
    <i r="4">
      <x v="12"/>
      <x/>
    </i>
    <i r="5">
      <x v="1"/>
    </i>
    <i r="1">
      <x v="6"/>
      <x v="1"/>
      <x/>
      <x/>
      <x/>
    </i>
    <i r="5">
      <x v="1"/>
    </i>
    <i r="3">
      <x v="1"/>
      <x v="4"/>
      <x/>
    </i>
    <i r="5">
      <x v="1"/>
    </i>
    <i r="3">
      <x v="2"/>
      <x v="1"/>
      <x/>
    </i>
    <i r="5">
      <x v="1"/>
    </i>
    <i r="4">
      <x v="11"/>
      <x/>
    </i>
    <i r="3">
      <x v="3"/>
      <x v="5"/>
      <x/>
    </i>
    <i r="5">
      <x v="1"/>
    </i>
    <i r="4">
      <x v="8"/>
      <x/>
    </i>
    <i r="2">
      <x v="2"/>
      <x v="2"/>
      <x v="1"/>
      <x/>
    </i>
    <i r="2">
      <x v="3"/>
      <x/>
      <x/>
      <x/>
    </i>
    <i r="3">
      <x v="1"/>
      <x v="14"/>
      <x/>
    </i>
    <i r="5">
      <x v="1"/>
    </i>
    <i r="3">
      <x v="2"/>
      <x v="2"/>
      <x/>
    </i>
    <i r="5">
      <x v="1"/>
    </i>
    <i r="3">
      <x v="3"/>
      <x v="3"/>
      <x/>
    </i>
    <i r="3">
      <x v="4"/>
      <x v="6"/>
      <x/>
    </i>
    <i r="5">
      <x v="1"/>
    </i>
    <i r="2">
      <x v="4"/>
      <x v="2"/>
      <x v="1"/>
      <x v="1"/>
    </i>
    <i r="3">
      <x v="3"/>
      <x v="8"/>
      <x/>
    </i>
    <i r="3">
      <x v="4"/>
      <x v="12"/>
      <x/>
    </i>
    <i r="2">
      <x v="5"/>
      <x v="1"/>
      <x v="14"/>
      <x/>
    </i>
    <i r="3">
      <x v="2"/>
      <x v="1"/>
      <x/>
    </i>
    <i r="5">
      <x v="1"/>
    </i>
    <i r="2">
      <x v="7"/>
      <x v="1"/>
      <x v="4"/>
      <x/>
    </i>
    <i r="4">
      <x v="14"/>
      <x/>
    </i>
    <i r="3">
      <x v="2"/>
      <x v="1"/>
      <x/>
    </i>
    <i r="5">
      <x v="1"/>
    </i>
    <i r="3">
      <x v="3"/>
      <x v="8"/>
      <x/>
    </i>
    <i r="3">
      <x v="4"/>
      <x v="6"/>
      <x/>
    </i>
    <i r="4">
      <x v="12"/>
      <x/>
    </i>
    <i r="5">
      <x v="1"/>
    </i>
    <i r="1">
      <x v="8"/>
      <x v="1"/>
      <x/>
      <x/>
      <x/>
    </i>
    <i r="5">
      <x v="1"/>
    </i>
    <i r="3">
      <x v="1"/>
      <x v="4"/>
      <x/>
    </i>
    <i r="5">
      <x v="1"/>
    </i>
    <i r="3">
      <x v="2"/>
      <x v="1"/>
      <x/>
    </i>
    <i r="5">
      <x v="1"/>
    </i>
    <i r="4">
      <x v="11"/>
      <x/>
    </i>
    <i r="3">
      <x v="3"/>
      <x v="5"/>
      <x/>
    </i>
    <i r="5">
      <x v="1"/>
    </i>
    <i r="4">
      <x v="8"/>
      <x/>
    </i>
    <i r="2">
      <x v="2"/>
      <x v="2"/>
      <x v="1"/>
      <x/>
    </i>
    <i r="2">
      <x v="3"/>
      <x/>
      <x/>
      <x/>
    </i>
    <i r="3">
      <x v="1"/>
      <x v="14"/>
      <x/>
    </i>
    <i r="5">
      <x v="1"/>
    </i>
    <i r="3">
      <x v="2"/>
      <x v="2"/>
      <x/>
    </i>
    <i r="5">
      <x v="1"/>
    </i>
    <i r="3">
      <x v="3"/>
      <x v="3"/>
      <x/>
    </i>
    <i r="3">
      <x v="4"/>
      <x v="6"/>
      <x/>
    </i>
    <i r="5">
      <x v="1"/>
    </i>
    <i r="2">
      <x v="4"/>
      <x v="2"/>
      <x v="1"/>
      <x v="1"/>
    </i>
    <i r="3">
      <x v="3"/>
      <x v="8"/>
      <x/>
    </i>
    <i r="3">
      <x v="4"/>
      <x v="12"/>
      <x/>
    </i>
    <i r="2">
      <x v="5"/>
      <x v="1"/>
      <x v="14"/>
      <x/>
    </i>
    <i r="3">
      <x v="2"/>
      <x v="1"/>
      <x/>
    </i>
    <i r="5">
      <x v="1"/>
    </i>
    <i r="2">
      <x v="7"/>
      <x v="1"/>
      <x v="4"/>
      <x/>
    </i>
    <i r="4">
      <x v="14"/>
      <x/>
    </i>
    <i r="3">
      <x v="2"/>
      <x v="1"/>
      <x/>
    </i>
    <i r="5">
      <x v="1"/>
    </i>
    <i r="3">
      <x v="4"/>
      <x v="6"/>
      <x/>
    </i>
    <i r="4">
      <x v="12"/>
      <x v="1"/>
    </i>
    <i r="1">
      <x v="9"/>
      <x v="1"/>
      <x/>
      <x/>
      <x/>
    </i>
    <i r="5">
      <x v="1"/>
    </i>
    <i r="3">
      <x v="1"/>
      <x v="4"/>
      <x/>
    </i>
    <i r="5">
      <x v="1"/>
    </i>
    <i r="3">
      <x v="2"/>
      <x v="1"/>
      <x/>
    </i>
    <i r="5">
      <x v="1"/>
    </i>
    <i r="4">
      <x v="11"/>
      <x/>
    </i>
    <i r="3">
      <x v="3"/>
      <x v="5"/>
      <x/>
    </i>
    <i r="5">
      <x v="1"/>
    </i>
    <i r="4">
      <x v="8"/>
      <x/>
    </i>
    <i r="2">
      <x v="2"/>
      <x v="2"/>
      <x v="1"/>
      <x/>
    </i>
    <i r="2">
      <x v="3"/>
      <x/>
      <x/>
      <x/>
    </i>
    <i r="3">
      <x v="1"/>
      <x v="14"/>
      <x/>
    </i>
    <i r="5">
      <x v="1"/>
    </i>
    <i r="3">
      <x v="2"/>
      <x v="2"/>
      <x/>
    </i>
    <i r="5">
      <x v="1"/>
    </i>
    <i r="3">
      <x v="3"/>
      <x v="3"/>
      <x/>
    </i>
    <i r="3">
      <x v="4"/>
      <x v="6"/>
      <x/>
    </i>
    <i r="5">
      <x v="1"/>
    </i>
    <i r="2">
      <x v="4"/>
      <x v="2"/>
      <x v="1"/>
      <x v="1"/>
    </i>
    <i r="3">
      <x v="3"/>
      <x v="8"/>
      <x/>
    </i>
    <i r="3">
      <x v="4"/>
      <x v="12"/>
      <x/>
    </i>
    <i r="2">
      <x v="5"/>
      <x v="1"/>
      <x v="14"/>
      <x/>
    </i>
    <i r="3">
      <x v="2"/>
      <x v="1"/>
      <x/>
    </i>
    <i r="5">
      <x v="1"/>
    </i>
    <i r="2">
      <x v="7"/>
      <x v="1"/>
      <x v="4"/>
      <x/>
    </i>
    <i r="4">
      <x v="14"/>
      <x/>
    </i>
    <i r="3">
      <x v="2"/>
      <x v="1"/>
      <x/>
    </i>
    <i r="5">
      <x v="1"/>
    </i>
    <i r="3">
      <x v="3"/>
      <x v="8"/>
      <x/>
    </i>
    <i r="3">
      <x v="4"/>
      <x v="6"/>
      <x/>
    </i>
    <i r="4">
      <x v="12"/>
      <x/>
    </i>
    <i r="5">
      <x v="1"/>
    </i>
    <i r="1">
      <x v="10"/>
      <x v="1"/>
      <x/>
      <x/>
      <x/>
    </i>
    <i r="5">
      <x v="1"/>
    </i>
    <i r="3">
      <x v="1"/>
      <x v="4"/>
      <x/>
    </i>
    <i r="5">
      <x v="1"/>
    </i>
    <i r="3">
      <x v="2"/>
      <x v="1"/>
      <x/>
    </i>
    <i r="5">
      <x v="1"/>
    </i>
    <i r="4">
      <x v="11"/>
      <x/>
    </i>
    <i r="3">
      <x v="3"/>
      <x v="5"/>
      <x/>
    </i>
    <i r="5">
      <x v="1"/>
    </i>
    <i r="4">
      <x v="8"/>
      <x/>
    </i>
    <i r="2">
      <x v="2"/>
      <x v="2"/>
      <x v="1"/>
      <x/>
    </i>
    <i r="2">
      <x v="3"/>
      <x v="1"/>
      <x v="14"/>
      <x v="1"/>
    </i>
    <i r="3">
      <x v="2"/>
      <x v="2"/>
      <x/>
    </i>
    <i r="5">
      <x v="1"/>
    </i>
    <i r="3">
      <x v="4"/>
      <x v="6"/>
      <x/>
    </i>
    <i r="5">
      <x v="1"/>
    </i>
    <i r="2">
      <x v="4"/>
      <x v="2"/>
      <x v="1"/>
      <x v="1"/>
    </i>
    <i r="3">
      <x v="3"/>
      <x v="8"/>
      <x/>
    </i>
    <i r="3">
      <x v="4"/>
      <x v="12"/>
      <x/>
    </i>
    <i r="2">
      <x v="5"/>
      <x v="1"/>
      <x v="14"/>
      <x/>
    </i>
    <i r="3">
      <x v="2"/>
      <x v="1"/>
      <x/>
    </i>
    <i r="5">
      <x v="1"/>
    </i>
    <i r="2">
      <x v="6"/>
      <x v="4"/>
      <x v="6"/>
      <x/>
    </i>
    <i r="5">
      <x v="1"/>
    </i>
    <i r="4">
      <x v="7"/>
      <x/>
    </i>
    <i r="2">
      <x v="7"/>
      <x v="1"/>
      <x v="4"/>
      <x/>
    </i>
    <i r="4">
      <x v="14"/>
      <x/>
    </i>
    <i r="3">
      <x v="2"/>
      <x v="1"/>
      <x/>
    </i>
    <i r="5">
      <x v="1"/>
    </i>
    <i r="3">
      <x v="3"/>
      <x v="8"/>
      <x/>
    </i>
    <i r="3">
      <x v="4"/>
      <x v="6"/>
      <x/>
    </i>
    <i r="4">
      <x v="12"/>
      <x/>
    </i>
    <i r="5">
      <x v="1"/>
    </i>
    <i r="1">
      <x v="12"/>
      <x v="1"/>
      <x/>
      <x/>
      <x/>
    </i>
    <i r="5">
      <x v="1"/>
    </i>
    <i r="3">
      <x v="1"/>
      <x v="4"/>
      <x/>
    </i>
    <i r="5">
      <x v="1"/>
    </i>
    <i r="3">
      <x v="2"/>
      <x v="1"/>
      <x/>
    </i>
    <i r="5">
      <x v="1"/>
    </i>
    <i r="4">
      <x v="11"/>
      <x/>
    </i>
    <i r="3">
      <x v="3"/>
      <x v="5"/>
      <x/>
    </i>
    <i r="5">
      <x v="1"/>
    </i>
    <i r="4">
      <x v="8"/>
      <x/>
    </i>
    <i r="2">
      <x v="2"/>
      <x v="2"/>
      <x v="1"/>
      <x/>
    </i>
    <i r="2">
      <x v="3"/>
      <x/>
      <x/>
      <x/>
    </i>
    <i r="3">
      <x v="1"/>
      <x v="14"/>
      <x/>
    </i>
    <i r="5">
      <x v="1"/>
    </i>
    <i r="3">
      <x v="2"/>
      <x v="2"/>
      <x/>
    </i>
    <i r="5">
      <x v="1"/>
    </i>
    <i r="3">
      <x v="3"/>
      <x v="3"/>
      <x/>
    </i>
    <i r="3">
      <x v="4"/>
      <x v="6"/>
      <x/>
    </i>
    <i r="5">
      <x v="1"/>
    </i>
    <i r="2">
      <x v="4"/>
      <x v="2"/>
      <x v="1"/>
      <x v="1"/>
    </i>
    <i r="3">
      <x v="3"/>
      <x v="8"/>
      <x/>
    </i>
    <i r="3">
      <x v="4"/>
      <x v="12"/>
      <x/>
    </i>
    <i r="2">
      <x v="5"/>
      <x v="1"/>
      <x v="14"/>
      <x/>
    </i>
    <i r="3">
      <x v="2"/>
      <x v="1"/>
      <x/>
    </i>
    <i r="5">
      <x v="1"/>
    </i>
    <i r="2">
      <x v="6"/>
      <x v="4"/>
      <x v="6"/>
      <x/>
    </i>
    <i r="5">
      <x v="1"/>
    </i>
    <i r="4">
      <x v="7"/>
      <x/>
    </i>
    <i r="2">
      <x v="7"/>
      <x v="1"/>
      <x v="4"/>
      <x/>
    </i>
    <i r="4">
      <x v="14"/>
      <x/>
    </i>
    <i r="3">
      <x v="2"/>
      <x v="1"/>
      <x/>
    </i>
    <i r="5">
      <x v="1"/>
    </i>
    <i r="3">
      <x v="3"/>
      <x v="8"/>
      <x/>
    </i>
    <i r="3">
      <x v="4"/>
      <x v="6"/>
      <x/>
    </i>
    <i r="4">
      <x v="12"/>
      <x/>
    </i>
    <i r="5">
      <x v="1"/>
    </i>
    <i r="1">
      <x v="15"/>
      <x v="1"/>
      <x/>
      <x/>
      <x/>
    </i>
    <i r="5">
      <x v="1"/>
    </i>
    <i r="3">
      <x v="1"/>
      <x v="4"/>
      <x/>
    </i>
    <i r="5">
      <x v="1"/>
    </i>
    <i r="3">
      <x v="2"/>
      <x v="1"/>
      <x/>
    </i>
    <i r="5">
      <x v="1"/>
    </i>
    <i r="4">
      <x v="11"/>
      <x/>
    </i>
    <i r="3">
      <x v="3"/>
      <x v="5"/>
      <x/>
    </i>
    <i r="5">
      <x v="1"/>
    </i>
    <i r="4">
      <x v="8"/>
      <x/>
    </i>
    <i r="2">
      <x v="2"/>
      <x v="2"/>
      <x v="1"/>
      <x/>
    </i>
    <i r="2">
      <x v="3"/>
      <x/>
      <x/>
      <x/>
    </i>
    <i r="3">
      <x v="1"/>
      <x v="14"/>
      <x/>
    </i>
    <i r="5">
      <x v="1"/>
    </i>
    <i r="3">
      <x v="2"/>
      <x v="2"/>
      <x/>
    </i>
    <i r="5">
      <x v="1"/>
    </i>
    <i r="3">
      <x v="3"/>
      <x v="3"/>
      <x/>
    </i>
    <i r="3">
      <x v="4"/>
      <x v="6"/>
      <x/>
    </i>
    <i r="5">
      <x v="1"/>
    </i>
    <i r="2">
      <x v="4"/>
      <x v="2"/>
      <x v="1"/>
      <x v="1"/>
    </i>
    <i r="3">
      <x v="3"/>
      <x v="8"/>
      <x/>
    </i>
    <i r="3">
      <x v="4"/>
      <x v="12"/>
      <x/>
    </i>
    <i r="2">
      <x v="5"/>
      <x v="1"/>
      <x v="14"/>
      <x/>
    </i>
    <i r="3">
      <x v="2"/>
      <x v="1"/>
      <x/>
    </i>
    <i r="5">
      <x v="1"/>
    </i>
    <i r="2">
      <x v="6"/>
      <x v="4"/>
      <x v="6"/>
      <x/>
    </i>
    <i r="5">
      <x v="1"/>
    </i>
    <i r="4">
      <x v="7"/>
      <x/>
    </i>
    <i r="2">
      <x v="7"/>
      <x v="1"/>
      <x v="4"/>
      <x/>
    </i>
    <i r="4">
      <x v="14"/>
      <x/>
    </i>
    <i r="3">
      <x v="2"/>
      <x v="1"/>
      <x/>
    </i>
    <i r="5">
      <x v="1"/>
    </i>
    <i r="3">
      <x v="3"/>
      <x v="8"/>
      <x/>
    </i>
    <i r="3">
      <x v="4"/>
      <x v="6"/>
      <x/>
    </i>
    <i r="4">
      <x v="12"/>
      <x/>
    </i>
    <i r="5">
      <x v="1"/>
    </i>
    <i r="1">
      <x v="17"/>
      <x v="1"/>
      <x/>
      <x/>
      <x/>
    </i>
    <i r="5">
      <x v="1"/>
    </i>
    <i r="3">
      <x v="1"/>
      <x v="4"/>
      <x/>
    </i>
    <i r="5">
      <x v="1"/>
    </i>
    <i r="3">
      <x v="2"/>
      <x v="1"/>
      <x/>
    </i>
    <i r="5">
      <x v="1"/>
    </i>
    <i r="4">
      <x v="11"/>
      <x/>
    </i>
    <i r="3">
      <x v="3"/>
      <x v="5"/>
      <x/>
    </i>
    <i r="5">
      <x v="1"/>
    </i>
    <i r="4">
      <x v="8"/>
      <x/>
    </i>
    <i r="2">
      <x v="2"/>
      <x v="2"/>
      <x v="1"/>
      <x/>
    </i>
    <i r="2">
      <x v="3"/>
      <x/>
      <x/>
      <x/>
    </i>
    <i r="3">
      <x v="1"/>
      <x v="14"/>
      <x/>
    </i>
    <i r="5">
      <x v="1"/>
    </i>
    <i r="3">
      <x v="2"/>
      <x v="2"/>
      <x/>
    </i>
    <i r="5">
      <x v="1"/>
    </i>
    <i r="3">
      <x v="3"/>
      <x v="3"/>
      <x/>
    </i>
    <i r="3">
      <x v="4"/>
      <x v="6"/>
      <x/>
    </i>
    <i r="5">
      <x v="1"/>
    </i>
    <i r="2">
      <x v="4"/>
      <x v="2"/>
      <x v="1"/>
      <x v="1"/>
    </i>
    <i r="3">
      <x v="3"/>
      <x v="8"/>
      <x/>
    </i>
    <i r="3">
      <x v="4"/>
      <x v="12"/>
      <x/>
    </i>
    <i r="2">
      <x v="5"/>
      <x v="1"/>
      <x v="14"/>
      <x/>
    </i>
    <i r="3">
      <x v="2"/>
      <x v="1"/>
      <x/>
    </i>
    <i r="5">
      <x v="1"/>
    </i>
    <i r="2">
      <x v="6"/>
      <x v="4"/>
      <x v="6"/>
      <x/>
    </i>
    <i r="5">
      <x v="1"/>
    </i>
    <i r="4">
      <x v="7"/>
      <x/>
    </i>
    <i r="2">
      <x v="7"/>
      <x v="1"/>
      <x v="4"/>
      <x/>
    </i>
    <i r="4">
      <x v="14"/>
      <x/>
    </i>
    <i r="3">
      <x v="2"/>
      <x v="1"/>
      <x/>
    </i>
    <i r="5">
      <x v="1"/>
    </i>
    <i r="3">
      <x v="3"/>
      <x v="8"/>
      <x/>
    </i>
    <i r="3">
      <x v="4"/>
      <x v="6"/>
      <x/>
    </i>
    <i r="4">
      <x v="12"/>
      <x/>
    </i>
    <i r="5">
      <x v="1"/>
    </i>
    <i r="1">
      <x v="18"/>
      <x v="1"/>
      <x/>
      <x/>
      <x/>
    </i>
    <i r="5">
      <x v="1"/>
    </i>
    <i r="3">
      <x v="1"/>
      <x v="4"/>
      <x/>
    </i>
    <i r="5">
      <x v="1"/>
    </i>
    <i r="3">
      <x v="2"/>
      <x v="1"/>
      <x/>
    </i>
    <i r="5">
      <x v="1"/>
    </i>
    <i r="4">
      <x v="11"/>
      <x/>
    </i>
    <i r="3">
      <x v="3"/>
      <x v="5"/>
      <x/>
    </i>
    <i r="5">
      <x v="1"/>
    </i>
    <i r="4">
      <x v="8"/>
      <x/>
    </i>
    <i r="2">
      <x v="2"/>
      <x v="2"/>
      <x v="1"/>
      <x/>
    </i>
    <i r="2">
      <x v="3"/>
      <x/>
      <x/>
      <x/>
    </i>
    <i r="3">
      <x v="1"/>
      <x v="14"/>
      <x/>
    </i>
    <i r="5">
      <x v="1"/>
    </i>
    <i r="3">
      <x v="2"/>
      <x v="2"/>
      <x/>
    </i>
    <i r="5">
      <x v="1"/>
    </i>
    <i r="3">
      <x v="3"/>
      <x v="3"/>
      <x/>
    </i>
    <i r="3">
      <x v="4"/>
      <x v="6"/>
      <x/>
    </i>
    <i r="5">
      <x v="1"/>
    </i>
    <i r="2">
      <x v="4"/>
      <x v="2"/>
      <x v="1"/>
      <x v="1"/>
    </i>
    <i r="3">
      <x v="3"/>
      <x v="8"/>
      <x/>
    </i>
    <i r="3">
      <x v="4"/>
      <x v="12"/>
      <x/>
    </i>
    <i r="2">
      <x v="5"/>
      <x v="1"/>
      <x v="14"/>
      <x/>
    </i>
    <i r="3">
      <x v="2"/>
      <x v="1"/>
      <x/>
    </i>
    <i r="5">
      <x v="1"/>
    </i>
    <i r="2">
      <x v="7"/>
      <x v="1"/>
      <x v="4"/>
      <x/>
    </i>
    <i r="4">
      <x v="14"/>
      <x/>
    </i>
    <i r="3">
      <x v="2"/>
      <x v="1"/>
      <x/>
    </i>
    <i r="5">
      <x v="1"/>
    </i>
    <i r="3">
      <x v="3"/>
      <x v="8"/>
      <x/>
    </i>
    <i r="3">
      <x v="4"/>
      <x v="6"/>
      <x/>
    </i>
    <i r="4">
      <x v="12"/>
      <x/>
    </i>
    <i r="5">
      <x v="1"/>
    </i>
    <i r="1">
      <x v="19"/>
      <x v="2"/>
      <x v="2"/>
      <x v="1"/>
      <x/>
    </i>
    <i r="2">
      <x v="3"/>
      <x/>
      <x/>
      <x/>
    </i>
    <i r="3">
      <x v="1"/>
      <x v="14"/>
      <x/>
    </i>
    <i r="3">
      <x v="2"/>
      <x v="2"/>
      <x/>
    </i>
    <i r="3">
      <x v="3"/>
      <x v="3"/>
      <x/>
    </i>
    <i r="3">
      <x v="4"/>
      <x v="6"/>
      <x/>
    </i>
    <i r="2">
      <x v="4"/>
      <x v="2"/>
      <x v="1"/>
      <x v="1"/>
    </i>
    <i r="3">
      <x v="3"/>
      <x v="8"/>
      <x/>
    </i>
    <i r="3">
      <x v="4"/>
      <x v="12"/>
      <x/>
    </i>
    <i r="2">
      <x v="5"/>
      <x v="2"/>
      <x v="1"/>
      <x/>
    </i>
    <i r="2">
      <x v="6"/>
      <x v="4"/>
      <x v="6"/>
      <x/>
    </i>
    <i r="4">
      <x v="7"/>
      <x/>
    </i>
    <i r="2">
      <x v="7"/>
      <x v="1"/>
      <x v="4"/>
      <x/>
    </i>
    <i r="4">
      <x v="14"/>
      <x/>
    </i>
    <i r="3">
      <x v="2"/>
      <x v="1"/>
      <x/>
    </i>
    <i r="3">
      <x v="3"/>
      <x v="8"/>
      <x/>
    </i>
    <i r="3">
      <x v="4"/>
      <x v="6"/>
      <x/>
    </i>
    <i r="4">
      <x v="12"/>
      <x/>
    </i>
  </rowItems>
  <colFields count="1">
    <field x="-2"/>
  </colFields>
  <colItems count="2">
    <i>
      <x/>
    </i>
    <i i="1">
      <x v="1"/>
    </i>
  </colItems>
  <dataFields count="2">
    <dataField name="Average of Nilai2" fld="31" subtotal="average" baseField="0" baseItem="0"/>
    <dataField name="Average of KKM" fld="25" subtotal="average" baseField="0" baseItem="0"/>
  </dataFields>
  <formats count="1">
    <format dxfId="75">
      <pivotArea dataOnly="0"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059291-5593-D24A-9027-546EBE548FE8}" name="PivotTable18"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8">
  <location ref="AY1:BH18" firstHeaderRow="1" firstDataRow="2" firstDataCol="5"/>
  <pivotFields count="37">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0"/>
        <item x="1"/>
        <item x="2"/>
        <item x="3"/>
        <item x="4"/>
        <item x="5"/>
      </items>
    </pivotField>
    <pivotField compact="0" outline="0" showAll="0" defaultSubtotal="0"/>
    <pivotField axis="axisCol" compact="0" outline="0" showAll="0" defaultSubtotal="0">
      <items count="9">
        <item x="1"/>
        <item x="0"/>
        <item x="2"/>
        <item x="3"/>
        <item x="4"/>
        <item x="5"/>
        <item x="6"/>
        <item x="7"/>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
        <item h="1" x="1"/>
        <item x="0"/>
      </items>
    </pivotField>
    <pivotField axis="axisRow" compact="0" outline="0" showAll="0" defaultSubtotal="0">
      <items count="5">
        <item x="0"/>
        <item h="1" x="1"/>
        <item h="1" x="2"/>
        <item h="1" x="3"/>
        <item h="1" x="4"/>
      </items>
    </pivotField>
    <pivotField axis="axisRow" compact="0" outline="0" showAll="0" defaultSubtotal="0">
      <items count="8">
        <item x="0"/>
        <item h="1" x="2"/>
        <item x="1"/>
        <item x="5"/>
        <item x="4"/>
        <item x="3"/>
        <item x="6"/>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showAll="0" defaultSubtotal="0"/>
    <pivotField axis="axisRow" compact="0" outline="0" subtotalTop="0" showAll="0" sortType="ascending" defaultSubtotal="0">
      <items count="9">
        <item h="1" x="0"/>
        <item x="7"/>
        <item x="1"/>
        <item x="2"/>
        <item x="3"/>
        <item x="4"/>
        <item x="5"/>
        <item x="6"/>
        <item x="8"/>
      </items>
    </pivotField>
    <pivotField compact="0" outline="0" subtotalTop="0" showAll="0" defaultSubtotal="0"/>
  </pivotFields>
  <rowFields count="5">
    <field x="15"/>
    <field x="16"/>
    <field x="7"/>
    <field x="35"/>
    <field x="17"/>
  </rowFields>
  <rowItems count="16">
    <i>
      <x v="1"/>
      <x/>
      <x/>
      <x v="1"/>
      <x/>
    </i>
    <i r="4">
      <x v="2"/>
    </i>
    <i r="3">
      <x v="2"/>
      <x/>
    </i>
    <i r="4">
      <x v="2"/>
    </i>
    <i r="3">
      <x v="3"/>
      <x/>
    </i>
    <i r="4">
      <x v="2"/>
    </i>
    <i r="3">
      <x v="4"/>
      <x/>
    </i>
    <i r="4">
      <x v="2"/>
    </i>
    <i r="2">
      <x v="1"/>
      <x v="5"/>
      <x/>
    </i>
    <i r="4">
      <x v="2"/>
    </i>
    <i r="3">
      <x v="6"/>
      <x/>
    </i>
    <i r="4">
      <x v="2"/>
    </i>
    <i r="3">
      <x v="7"/>
      <x/>
    </i>
    <i r="4">
      <x v="2"/>
    </i>
    <i r="3">
      <x v="8"/>
      <x/>
    </i>
    <i r="4">
      <x v="2"/>
    </i>
  </rowItems>
  <colFields count="1">
    <field x="9"/>
  </colFields>
  <colItems count="5">
    <i>
      <x/>
    </i>
    <i>
      <x v="1"/>
    </i>
    <i>
      <x v="2"/>
    </i>
    <i>
      <x v="3"/>
    </i>
    <i>
      <x v="4"/>
    </i>
  </colItems>
  <dataFields count="1">
    <dataField name="Average of Nilai2" fld="31" subtotal="average" baseField="0" baseItem="0"/>
  </dataFields>
  <formats count="1">
    <format dxfId="72">
      <pivotArea dataOnly="0" outline="0" fieldPosition="0">
        <references count="1">
          <reference field="9" count="5">
            <x v="0"/>
            <x v="1"/>
            <x v="2"/>
            <x v="3"/>
            <x v="4"/>
          </reference>
        </references>
      </pivotArea>
    </format>
  </formats>
  <chartFormats count="6">
    <chartFormat chart="0" format="4" series="1">
      <pivotArea type="data" outline="0" fieldPosition="0">
        <references count="1">
          <reference field="4294967294" count="1" selected="0">
            <x v="0"/>
          </reference>
        </references>
      </pivotArea>
    </chartFormat>
    <chartFormat chart="0" format="14" series="1">
      <pivotArea type="data" outline="0" fieldPosition="0">
        <references count="2">
          <reference field="4294967294" count="1" selected="0">
            <x v="0"/>
          </reference>
          <reference field="9" count="1" selected="0">
            <x v="4"/>
          </reference>
        </references>
      </pivotArea>
    </chartFormat>
    <chartFormat chart="0" format="16" series="1">
      <pivotArea type="data" outline="0" fieldPosition="0">
        <references count="2">
          <reference field="4294967294" count="1" selected="0">
            <x v="0"/>
          </reference>
          <reference field="9" count="1" selected="0">
            <x v="3"/>
          </reference>
        </references>
      </pivotArea>
    </chartFormat>
    <chartFormat chart="0" format="17" series="1">
      <pivotArea type="data" outline="0" fieldPosition="0">
        <references count="2">
          <reference field="4294967294" count="1" selected="0">
            <x v="0"/>
          </reference>
          <reference field="9" count="1" selected="0">
            <x v="1"/>
          </reference>
        </references>
      </pivotArea>
    </chartFormat>
    <chartFormat chart="0" format="18" series="1">
      <pivotArea type="data" outline="0" fieldPosition="0">
        <references count="2">
          <reference field="4294967294" count="1" selected="0">
            <x v="0"/>
          </reference>
          <reference field="9" count="1" selected="0">
            <x v="2"/>
          </reference>
        </references>
      </pivotArea>
    </chartFormat>
    <chartFormat chart="0" format="19" series="1">
      <pivotArea type="data" outline="0" fieldPosition="0">
        <references count="2">
          <reference field="4294967294" count="1" selected="0">
            <x v="0"/>
          </reference>
          <reference field="9"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892D845-418D-3148-BCCD-9836CC5A1CA4}" name="PivotTable16"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3">
  <location ref="A3:I20" firstHeaderRow="1" firstDataRow="2" firstDataCol="4"/>
  <pivotFields count="37">
    <pivotField compact="0" outline="0" showAll="0" defaultSubtotal="0"/>
    <pivotField compact="0" outline="0" showAll="0" defaultSubtotal="0"/>
    <pivotField compact="0" outline="0" showAll="0" defaultSubtotal="0">
      <items count="5">
        <item x="4"/>
        <item x="3"/>
        <item x="1"/>
        <item x="0"/>
        <item x="2"/>
      </items>
    </pivotField>
    <pivotField compact="0" outline="0" showAll="0" defaultSubtotal="0"/>
    <pivotField compact="0" outline="0" showAll="0" defaultSubtotal="0"/>
    <pivotField compact="0" outline="0" showAll="0" sortType="ascending" defaultSubtotal="0"/>
    <pivotField compact="0" outline="0" showAll="0" defaultSubtotal="0"/>
    <pivotField axis="axisRow" compact="0" outline="0" showAll="0" defaultSubtotal="0">
      <items count="6">
        <item x="0"/>
        <item x="1"/>
        <item x="2"/>
        <item x="3"/>
        <item x="4"/>
        <item x="5"/>
      </items>
    </pivotField>
    <pivotField compact="0" outline="0" showAll="0" defaultSubtotal="0"/>
    <pivotField axis="axisCol" compact="0" outline="0" showAll="0" defaultSubtotal="0">
      <items count="9">
        <item x="1"/>
        <item x="0"/>
        <item x="2"/>
        <item x="3"/>
        <item x="4"/>
        <item x="5"/>
        <item x="6"/>
        <item x="7"/>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
        <item h="1" x="1"/>
        <item x="0"/>
      </items>
    </pivotField>
    <pivotField axis="axisRow" compact="0" outline="0" showAll="0" defaultSubtotal="0">
      <items count="5">
        <item x="0"/>
        <item h="1" x="1"/>
        <item x="2"/>
        <item h="1" x="3"/>
        <item h="1"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showAll="0" defaultSubtotal="0"/>
    <pivotField axis="axisRow" compact="0" outline="0" subtotalTop="0" showAll="0" sortType="ascending" defaultSubtotal="0">
      <items count="9">
        <item h="1" x="0"/>
        <item x="7"/>
        <item x="1"/>
        <item x="2"/>
        <item x="3"/>
        <item x="4"/>
        <item x="5"/>
        <item x="6"/>
        <item x="8"/>
      </items>
    </pivotField>
    <pivotField compact="0" outline="0" subtotalTop="0" showAll="0" defaultSubtotal="0"/>
  </pivotFields>
  <rowFields count="4">
    <field x="15"/>
    <field x="7"/>
    <field x="35"/>
    <field x="16"/>
  </rowFields>
  <rowItems count="16">
    <i>
      <x v="1"/>
      <x/>
      <x v="1"/>
      <x/>
    </i>
    <i r="3">
      <x v="2"/>
    </i>
    <i r="2">
      <x v="2"/>
      <x/>
    </i>
    <i r="3">
      <x v="2"/>
    </i>
    <i r="2">
      <x v="3"/>
      <x/>
    </i>
    <i r="3">
      <x v="2"/>
    </i>
    <i r="2">
      <x v="4"/>
      <x/>
    </i>
    <i r="3">
      <x v="2"/>
    </i>
    <i r="1">
      <x v="1"/>
      <x v="5"/>
      <x/>
    </i>
    <i r="3">
      <x v="2"/>
    </i>
    <i r="2">
      <x v="6"/>
      <x/>
    </i>
    <i r="3">
      <x v="2"/>
    </i>
    <i r="2">
      <x v="7"/>
      <x/>
    </i>
    <i r="3">
      <x v="2"/>
    </i>
    <i r="2">
      <x v="8"/>
      <x/>
    </i>
    <i r="3">
      <x v="2"/>
    </i>
  </rowItems>
  <colFields count="1">
    <field x="9"/>
  </colFields>
  <colItems count="5">
    <i>
      <x/>
    </i>
    <i>
      <x v="1"/>
    </i>
    <i>
      <x v="2"/>
    </i>
    <i>
      <x v="3"/>
    </i>
    <i>
      <x v="4"/>
    </i>
  </colItems>
  <dataFields count="1">
    <dataField name="Average of Nilai2" fld="31" subtotal="average" baseField="0" baseItem="0"/>
  </dataFields>
  <formats count="1">
    <format dxfId="73">
      <pivotArea dataOnly="0" outline="0" fieldPosition="0">
        <references count="1">
          <reference field="9" count="0"/>
        </references>
      </pivotArea>
    </format>
  </formats>
  <chartFormats count="6">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9" count="1" selected="0">
            <x v="4"/>
          </reference>
        </references>
      </pivotArea>
    </chartFormat>
    <chartFormat chart="0" format="7" series="1">
      <pivotArea type="data" outline="0" fieldPosition="0">
        <references count="2">
          <reference field="4294967294" count="1" selected="0">
            <x v="0"/>
          </reference>
          <reference field="9" count="1" selected="0">
            <x v="3"/>
          </reference>
        </references>
      </pivotArea>
    </chartFormat>
    <chartFormat chart="0" format="8" series="1">
      <pivotArea type="data" outline="0" fieldPosition="0">
        <references count="2">
          <reference field="4294967294" count="1" selected="0">
            <x v="0"/>
          </reference>
          <reference field="9" count="1" selected="0">
            <x v="1"/>
          </reference>
        </references>
      </pivotArea>
    </chartFormat>
    <chartFormat chart="0" format="9" series="1">
      <pivotArea type="data" outline="0" fieldPosition="0">
        <references count="2">
          <reference field="4294967294" count="1" selected="0">
            <x v="0"/>
          </reference>
          <reference field="9" count="1" selected="0">
            <x v="2"/>
          </reference>
        </references>
      </pivotArea>
    </chartFormat>
    <chartFormat chart="0" format="10" series="1">
      <pivotArea type="data" outline="0" fieldPosition="0">
        <references count="2">
          <reference field="4294967294" count="1" selected="0">
            <x v="0"/>
          </reference>
          <reference field="9"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9AE037C-D302-074B-85B0-010763483CCF}" name="PivotTable4"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5">
  <location ref="AU3:BB20" firstHeaderRow="1" firstDataRow="2" firstDataCol="3" rowPageCount="1" colPageCount="1"/>
  <pivotFields count="37">
    <pivotField compact="0" outline="0" showAll="0" defaultSubtotal="0"/>
    <pivotField compact="0" outline="0" showAll="0" defaultSubtotal="0"/>
    <pivotField axis="axisRow" compact="0" outline="0" showAll="0" defaultSubtotal="0">
      <items count="5">
        <item x="0"/>
        <item x="2"/>
        <item h="1" x="1"/>
        <item h="1" x="3"/>
        <item h="1" x="4"/>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0"/>
        <item x="1"/>
        <item x="2"/>
        <item x="3"/>
        <item x="4"/>
        <item x="5"/>
      </items>
    </pivotField>
    <pivotField compact="0" outline="0" showAll="0" defaultSubtotal="0"/>
    <pivotField axis="axisCol" compact="0" outline="0" showAll="0" defaultSubtotal="0">
      <items count="9">
        <item x="1"/>
        <item x="0"/>
        <item x="2"/>
        <item x="3"/>
        <item x="4"/>
        <item x="5"/>
        <item x="6"/>
        <item x="7"/>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h="1"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9">
        <item h="1" x="0"/>
        <item x="1"/>
        <item x="2"/>
        <item x="3"/>
        <item x="4"/>
        <item x="5"/>
        <item x="7"/>
        <item x="6"/>
        <item x="8"/>
      </items>
    </pivotField>
    <pivotField compact="0" outline="0" subtotalTop="0" showAll="0" defaultSubtotal="0"/>
  </pivotFields>
  <rowFields count="3">
    <field x="2"/>
    <field x="7"/>
    <field x="35"/>
  </rowFields>
  <rowItems count="16">
    <i>
      <x/>
      <x/>
      <x v="1"/>
    </i>
    <i r="2">
      <x v="2"/>
    </i>
    <i r="2">
      <x v="3"/>
    </i>
    <i r="2">
      <x v="6"/>
    </i>
    <i r="1">
      <x v="1"/>
      <x v="4"/>
    </i>
    <i r="2">
      <x v="5"/>
    </i>
    <i r="2">
      <x v="7"/>
    </i>
    <i r="2">
      <x v="8"/>
    </i>
    <i>
      <x v="1"/>
      <x/>
      <x v="1"/>
    </i>
    <i r="2">
      <x v="2"/>
    </i>
    <i r="2">
      <x v="3"/>
    </i>
    <i r="2">
      <x v="6"/>
    </i>
    <i r="1">
      <x v="1"/>
      <x v="4"/>
    </i>
    <i r="2">
      <x v="5"/>
    </i>
    <i r="2">
      <x v="7"/>
    </i>
    <i r="2">
      <x v="8"/>
    </i>
  </rowItems>
  <colFields count="1">
    <field x="9"/>
  </colFields>
  <colItems count="5">
    <i>
      <x/>
    </i>
    <i>
      <x v="1"/>
    </i>
    <i>
      <x v="2"/>
    </i>
    <i>
      <x v="3"/>
    </i>
    <i>
      <x v="4"/>
    </i>
  </colItems>
  <pageFields count="1">
    <pageField fld="15" hier="-1"/>
  </pageFields>
  <dataFields count="1">
    <dataField name="Average of Nilai2" fld="31" subtotal="average" baseField="0" baseItem="0" numFmtId="41"/>
  </dataFields>
  <formats count="2">
    <format dxfId="84">
      <pivotArea outline="0" collapsedLevelsAreSubtotals="1" fieldPosition="0"/>
    </format>
    <format dxfId="83">
      <pivotArea dataOnly="0" labelOnly="1" outline="0" fieldPosition="0">
        <references count="1">
          <reference field="9" count="5">
            <x v="0"/>
            <x v="1"/>
            <x v="2"/>
            <x v="3"/>
            <x v="4"/>
          </reference>
        </references>
      </pivotArea>
    </format>
  </formats>
  <chartFormats count="6">
    <chartFormat chart="0" format="5" series="1">
      <pivotArea type="data" outline="0" fieldPosition="0">
        <references count="2">
          <reference field="4294967294" count="1" selected="0">
            <x v="0"/>
          </reference>
          <reference field="9" count="1" selected="0">
            <x v="4"/>
          </reference>
        </references>
      </pivotArea>
    </chartFormat>
    <chartFormat chart="0" format="7" series="1">
      <pivotArea type="data" outline="0" fieldPosition="0">
        <references count="2">
          <reference field="4294967294" count="1" selected="0">
            <x v="0"/>
          </reference>
          <reference field="9" count="1" selected="0">
            <x v="3"/>
          </reference>
        </references>
      </pivotArea>
    </chartFormat>
    <chartFormat chart="0" format="8" series="1">
      <pivotArea type="data" outline="0" fieldPosition="0">
        <references count="2">
          <reference field="4294967294" count="1" selected="0">
            <x v="0"/>
          </reference>
          <reference field="9" count="1" selected="0">
            <x v="1"/>
          </reference>
        </references>
      </pivotArea>
    </chartFormat>
    <chartFormat chart="0" format="9" series="1">
      <pivotArea type="data" outline="0" fieldPosition="0">
        <references count="2">
          <reference field="4294967294" count="1" selected="0">
            <x v="0"/>
          </reference>
          <reference field="9" count="1" selected="0">
            <x v="2"/>
          </reference>
        </references>
      </pivotArea>
    </chartFormat>
    <chartFormat chart="0" format="10" series="1">
      <pivotArea type="data" outline="0" fieldPosition="0">
        <references count="2">
          <reference field="4294967294" count="1" selected="0">
            <x v="0"/>
          </reference>
          <reference field="9" count="1" selected="0">
            <x v="0"/>
          </reference>
        </references>
      </pivotArea>
    </chartFormat>
    <chartFormat chart="0" format="1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A2FC1A4-D9C0-4F49-A8BC-809AF261B9BF}" name="PivotTable1"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7">
  <location ref="K83:N85" firstHeaderRow="1" firstDataRow="2" firstDataCol="3" rowPageCount="1" colPageCount="1"/>
  <pivotFields count="37">
    <pivotField compact="0" outline="0" showAll="0" defaultSubtotal="0"/>
    <pivotField compact="0" outline="0" showAll="0" defaultSubtotal="0"/>
    <pivotField axis="axisRow" compact="0" outline="0" showAll="0" defaultSubtotal="0">
      <items count="5">
        <item x="0"/>
        <item x="2"/>
        <item x="1"/>
        <item x="3"/>
        <item x="4"/>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0"/>
        <item x="1"/>
        <item x="2"/>
        <item x="3"/>
        <item x="4"/>
        <item x="5"/>
      </items>
    </pivotField>
    <pivotField compact="0" outline="0" showAll="0" defaultSubtotal="0"/>
    <pivotField axis="axisCol" compact="0" outline="0" showAll="0" defaultSubtotal="0">
      <items count="9">
        <item x="1"/>
        <item x="0"/>
        <item x="2"/>
        <item x="3"/>
        <item x="4"/>
        <item x="5"/>
        <item x="6"/>
        <item x="7"/>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15">
        <item h="1" x="0"/>
        <item x="3"/>
        <item x="5"/>
        <item x="7"/>
        <item x="8"/>
        <item x="9"/>
        <item x="13"/>
        <item x="4"/>
        <item h="1" x="10"/>
        <item h="1" x="11"/>
        <item h="1" x="12"/>
        <item h="1" x="6"/>
        <item h="1" x="14"/>
        <item h="1" x="1"/>
        <item h="1" x="2"/>
      </items>
    </pivotField>
    <pivotField dataField="1"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9">
        <item x="0"/>
        <item h="1" x="7"/>
        <item h="1" x="1"/>
        <item h="1" x="2"/>
        <item h="1" x="3"/>
        <item h="1" x="4"/>
        <item h="1" x="5"/>
        <item h="1" x="6"/>
        <item h="1" x="8"/>
      </items>
    </pivotField>
    <pivotField compact="0" outline="0" subtotalTop="0" showAll="0" defaultSubtotal="0"/>
  </pivotFields>
  <rowFields count="3">
    <field x="2"/>
    <field x="7"/>
    <field x="35"/>
  </rowFields>
  <colFields count="1">
    <field x="9"/>
  </colFields>
  <pageFields count="1">
    <pageField fld="30" hier="-1"/>
  </pageFields>
  <dataFields count="1">
    <dataField name="Average of Nilai2" fld="31" subtotal="average" baseField="0" baseItem="0" numFmtId="41"/>
  </dataFields>
  <formats count="1">
    <format dxfId="85">
      <pivotArea outline="0" collapsedLevelsAreSubtotals="1" fieldPosition="0"/>
    </format>
  </formats>
  <chartFormats count="6">
    <chartFormat chart="0" format="3" series="1">
      <pivotArea type="data" outline="0" fieldPosition="0">
        <references count="1">
          <reference field="4294967294" count="1" selected="0">
            <x v="0"/>
          </reference>
        </references>
      </pivotArea>
    </chartFormat>
    <chartFormat chart="0" format="14" series="1">
      <pivotArea type="data" outline="0" fieldPosition="0">
        <references count="2">
          <reference field="4294967294" count="1" selected="0">
            <x v="0"/>
          </reference>
          <reference field="9" count="1" selected="0">
            <x v="4"/>
          </reference>
        </references>
      </pivotArea>
    </chartFormat>
    <chartFormat chart="0" format="16" series="1">
      <pivotArea type="data" outline="0" fieldPosition="0">
        <references count="2">
          <reference field="4294967294" count="1" selected="0">
            <x v="0"/>
          </reference>
          <reference field="9" count="1" selected="0">
            <x v="3"/>
          </reference>
        </references>
      </pivotArea>
    </chartFormat>
    <chartFormat chart="0" format="17" series="1">
      <pivotArea type="data" outline="0" fieldPosition="0">
        <references count="2">
          <reference field="4294967294" count="1" selected="0">
            <x v="0"/>
          </reference>
          <reference field="9" count="1" selected="0">
            <x v="1"/>
          </reference>
        </references>
      </pivotArea>
    </chartFormat>
    <chartFormat chart="0" format="18" series="1">
      <pivotArea type="data" outline="0" fieldPosition="0">
        <references count="2">
          <reference field="4294967294" count="1" selected="0">
            <x v="0"/>
          </reference>
          <reference field="9" count="1" selected="0">
            <x v="2"/>
          </reference>
        </references>
      </pivotArea>
    </chartFormat>
    <chartFormat chart="0" format="19" series="1">
      <pivotArea type="data" outline="0" fieldPosition="0">
        <references count="2">
          <reference field="4294967294" count="1" selected="0">
            <x v="0"/>
          </reference>
          <reference field="9"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89920D8-976E-DD40-81A4-67B004ACFE82}" name="PivotTable17"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E66:AO75" firstHeaderRow="1" firstDataRow="2" firstDataCol="6"/>
  <pivotFields count="37">
    <pivotField compact="0" outline="0" showAll="0" defaultSubtotal="0"/>
    <pivotField compact="0" outline="0" showAll="0" defaultSubtotal="0"/>
    <pivotField axis="axisRow" compact="0" outline="0" showAll="0" defaultSubtotal="0">
      <items count="5">
        <item x="0"/>
        <item h="1" x="2"/>
        <item h="1" x="1"/>
        <item h="1" x="3"/>
        <item h="1" x="4"/>
      </items>
    </pivotField>
    <pivotField axis="axisRow" compact="0" outline="0" showAll="0" defaultSubtotal="0">
      <items count="24">
        <item x="3"/>
        <item h="1" x="14"/>
        <item h="1" x="4"/>
        <item h="1" x="15"/>
        <item h="1" x="16"/>
        <item h="1" x="8"/>
        <item h="1" x="9"/>
        <item h="1" x="19"/>
        <item h="1" x="5"/>
        <item h="1" x="6"/>
        <item h="1" x="10"/>
        <item h="1" x="21"/>
        <item h="1" x="2"/>
        <item h="1" x="17"/>
        <item h="1" x="20"/>
        <item h="1" x="1"/>
        <item h="1" x="18"/>
        <item h="1" x="11"/>
        <item h="1" x="7"/>
        <item h="1" x="0"/>
        <item h="1" x="12"/>
        <item h="1" x="13"/>
        <item h="1" x="22"/>
        <item h="1" x="23"/>
      </items>
    </pivotField>
    <pivotField compact="0" outline="0" showAll="0" defaultSubtotal="0"/>
    <pivotField compact="0" outline="0" showAll="0" defaultSubtotal="0"/>
    <pivotField compact="0" outline="0" showAll="0" defaultSubtotal="0"/>
    <pivotField axis="axisRow" compact="0" outline="0" showAll="0" defaultSubtotal="0">
      <items count="6">
        <item x="0"/>
        <item x="1"/>
        <item x="2"/>
        <item x="3"/>
        <item x="4"/>
        <item x="5"/>
      </items>
    </pivotField>
    <pivotField compact="0" outline="0" showAll="0" defaultSubtotal="0"/>
    <pivotField axis="axisCol" compact="0" outline="0" showAll="0" defaultSubtotal="0">
      <items count="9">
        <item x="1"/>
        <item x="0"/>
        <item x="2"/>
        <item x="3"/>
        <item x="4"/>
        <item x="5"/>
        <item x="6"/>
        <item x="7"/>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
        <item h="1" x="1"/>
        <item x="0"/>
      </items>
    </pivotField>
    <pivotField axis="axisRow" compact="0" outline="0" showAll="0" defaultSubtotal="0">
      <items count="5">
        <item x="0"/>
        <item h="1" x="1"/>
        <item x="2"/>
        <item h="1" x="3"/>
        <item h="1"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showAll="0" defaultSubtotal="0"/>
    <pivotField axis="axisRow" compact="0" outline="0" subtotalTop="0" showAll="0" defaultSubtotal="0">
      <items count="9">
        <item h="1" x="0"/>
        <item x="1"/>
        <item x="2"/>
        <item x="3"/>
        <item x="4"/>
        <item x="5"/>
        <item x="7"/>
        <item x="6"/>
        <item x="8"/>
      </items>
    </pivotField>
    <pivotField compact="0" outline="0" subtotalTop="0" showAll="0" defaultSubtotal="0"/>
  </pivotFields>
  <rowFields count="6">
    <field x="2"/>
    <field x="3"/>
    <field x="15"/>
    <field x="16"/>
    <field x="7"/>
    <field x="35"/>
  </rowFields>
  <rowItems count="8">
    <i>
      <x/>
      <x/>
      <x v="1"/>
      <x/>
      <x/>
      <x v="1"/>
    </i>
    <i r="5">
      <x v="2"/>
    </i>
    <i r="5">
      <x v="3"/>
    </i>
    <i r="5">
      <x v="6"/>
    </i>
    <i r="4">
      <x v="1"/>
      <x v="4"/>
    </i>
    <i r="5">
      <x v="5"/>
    </i>
    <i r="5">
      <x v="7"/>
    </i>
    <i r="5">
      <x v="8"/>
    </i>
  </rowItems>
  <colFields count="1">
    <field x="9"/>
  </colFields>
  <colItems count="5">
    <i>
      <x/>
    </i>
    <i>
      <x v="1"/>
    </i>
    <i>
      <x v="2"/>
    </i>
    <i>
      <x v="3"/>
    </i>
    <i>
      <x v="4"/>
    </i>
  </colItems>
  <dataFields count="1">
    <dataField name="Average of Nilai2" fld="31" subtotal="average" baseField="0" baseItem="0"/>
  </dataFields>
  <formats count="1">
    <format dxfId="86">
      <pivotArea dataOnly="0" outline="0" fieldPosition="0">
        <references count="1">
          <reference field="9" count="0"/>
        </references>
      </pivotArea>
    </format>
  </formats>
  <chartFormats count="6">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9" count="1" selected="0">
            <x v="4"/>
          </reference>
        </references>
      </pivotArea>
    </chartFormat>
    <chartFormat chart="0" format="6" series="1">
      <pivotArea type="data" outline="0" fieldPosition="0">
        <references count="2">
          <reference field="4294967294" count="1" selected="0">
            <x v="0"/>
          </reference>
          <reference field="9" count="1" selected="0">
            <x v="3"/>
          </reference>
        </references>
      </pivotArea>
    </chartFormat>
    <chartFormat chart="0" format="7" series="1">
      <pivotArea type="data" outline="0" fieldPosition="0">
        <references count="2">
          <reference field="4294967294" count="1" selected="0">
            <x v="0"/>
          </reference>
          <reference field="9" count="1" selected="0">
            <x v="1"/>
          </reference>
        </references>
      </pivotArea>
    </chartFormat>
    <chartFormat chart="0" format="8" series="1">
      <pivotArea type="data" outline="0" fieldPosition="0">
        <references count="2">
          <reference field="4294967294" count="1" selected="0">
            <x v="0"/>
          </reference>
          <reference field="9" count="1" selected="0">
            <x v="2"/>
          </reference>
        </references>
      </pivotArea>
    </chartFormat>
    <chartFormat chart="0" format="9" series="1">
      <pivotArea type="data" outline="0" fieldPosition="0">
        <references count="2">
          <reference field="4294967294" count="1" selected="0">
            <x v="0"/>
          </reference>
          <reference field="9"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6" cacheId="4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230">
  <location ref="A3:I12" firstHeaderRow="1" firstDataRow="2" firstDataCol="2" rowPageCount="1" colPageCount="1"/>
  <pivotFields count="6">
    <pivotField axis="axisPage" compact="0" outline="0" multipleItemSelectionAllowed="1" showAll="0" defaultSubtotal="0">
      <items count="2">
        <item x="0"/>
        <item h="1" x="1"/>
      </items>
      <extLst>
        <ext xmlns:x14="http://schemas.microsoft.com/office/spreadsheetml/2009/9/main" uri="{2946ED86-A175-432a-8AC1-64E0C546D7DE}">
          <x14:pivotField fillDownLabels="1"/>
        </ext>
      </extLst>
    </pivotField>
    <pivotField axis="axisCol"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axis="axisRow" compact="0" outline="0" showAll="0" defaultSubtotal="0">
      <items count="4">
        <item h="1" x="2"/>
        <item x="0"/>
        <item x="1"/>
        <item h="1" x="3"/>
      </items>
      <extLst>
        <ext xmlns:x14="http://schemas.microsoft.com/office/spreadsheetml/2009/9/main" uri="{2946ED86-A175-432a-8AC1-64E0C546D7DE}">
          <x14:pivotField fillDownLabels="1"/>
        </ext>
      </extLst>
    </pivotField>
    <pivotField axis="axisRow" compact="0" outline="0" showAll="0" defaultSubtotal="0">
      <items count="24">
        <item x="0"/>
        <item x="1"/>
        <item x="2"/>
        <item x="3"/>
        <item x="4"/>
        <item x="5"/>
        <item x="6"/>
        <item x="7"/>
        <item x="8"/>
        <item x="9"/>
        <item x="10"/>
        <item x="11"/>
        <item x="12"/>
        <item x="13"/>
        <item x="14"/>
        <item x="15"/>
        <item x="16"/>
        <item x="17"/>
        <item x="18"/>
        <item x="19"/>
        <item x="20"/>
        <item x="21"/>
        <item x="22"/>
        <item x="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2">
    <field x="2"/>
    <field x="3"/>
  </rowFields>
  <rowItems count="8">
    <i>
      <x v="1"/>
      <x/>
    </i>
    <i r="1">
      <x v="1"/>
    </i>
    <i r="1">
      <x v="2"/>
    </i>
    <i r="1">
      <x v="3"/>
    </i>
    <i>
      <x v="2"/>
      <x v="4"/>
    </i>
    <i r="1">
      <x v="5"/>
    </i>
    <i r="1">
      <x v="6"/>
    </i>
    <i r="1">
      <x v="7"/>
    </i>
  </rowItems>
  <colFields count="1">
    <field x="1"/>
  </colFields>
  <colItems count="7">
    <i>
      <x/>
    </i>
    <i>
      <x v="1"/>
    </i>
    <i>
      <x v="2"/>
    </i>
    <i>
      <x v="3"/>
    </i>
    <i>
      <x v="4"/>
    </i>
    <i>
      <x v="5"/>
    </i>
    <i>
      <x v="6"/>
    </i>
  </colItems>
  <pageFields count="1">
    <pageField fld="0" hier="-1"/>
  </pageFields>
  <dataFields count="1">
    <dataField name="Average of Nilai" fld="5" subtotal="average" baseField="0" baseItem="0" numFmtId="41"/>
  </dataFields>
  <formats count="1">
    <format dxfId="87">
      <pivotArea outline="0" collapsedLevelsAreSubtotals="1" fieldPosition="0"/>
    </format>
  </formats>
  <chartFormats count="342">
    <chartFormat chart="2" format="12" series="1">
      <pivotArea type="data" outline="0" fieldPosition="0">
        <references count="2">
          <reference field="4294967294" count="1" selected="0">
            <x v="0"/>
          </reference>
          <reference field="1" count="1" selected="0">
            <x v="0"/>
          </reference>
        </references>
      </pivotArea>
    </chartFormat>
    <chartFormat chart="2" format="13" series="1">
      <pivotArea type="data" outline="0" fieldPosition="0">
        <references count="2">
          <reference field="4294967294" count="1" selected="0">
            <x v="0"/>
          </reference>
          <reference field="1" count="1" selected="0">
            <x v="1"/>
          </reference>
        </references>
      </pivotArea>
    </chartFormat>
    <chartFormat chart="2" format="14" series="1">
      <pivotArea type="data" outline="0" fieldPosition="0">
        <references count="2">
          <reference field="4294967294" count="1" selected="0">
            <x v="0"/>
          </reference>
          <reference field="1" count="1" selected="0">
            <x v="2"/>
          </reference>
        </references>
      </pivotArea>
    </chartFormat>
    <chartFormat chart="2" format="15" series="1">
      <pivotArea type="data" outline="0" fieldPosition="0">
        <references count="2">
          <reference field="4294967294" count="1" selected="0">
            <x v="0"/>
          </reference>
          <reference field="1" count="1" selected="0">
            <x v="3"/>
          </reference>
        </references>
      </pivotArea>
    </chartFormat>
    <chartFormat chart="2" format="16" series="1">
      <pivotArea type="data" outline="0" fieldPosition="0">
        <references count="2">
          <reference field="4294967294" count="1" selected="0">
            <x v="0"/>
          </reference>
          <reference field="1" count="1" selected="0">
            <x v="5"/>
          </reference>
        </references>
      </pivotArea>
    </chartFormat>
    <chartFormat chart="2" format="17" series="1">
      <pivotArea type="data" outline="0" fieldPosition="0">
        <references count="2">
          <reference field="4294967294" count="1" selected="0">
            <x v="0"/>
          </reference>
          <reference field="1" count="1" selected="0">
            <x v="6"/>
          </reference>
        </references>
      </pivotArea>
    </chartFormat>
    <chartFormat chart="13" format="18" series="1">
      <pivotArea type="data" outline="0" fieldPosition="0">
        <references count="2">
          <reference field="4294967294" count="1" selected="0">
            <x v="0"/>
          </reference>
          <reference field="1" count="1" selected="0">
            <x v="0"/>
          </reference>
        </references>
      </pivotArea>
    </chartFormat>
    <chartFormat chart="13" format="19" series="1">
      <pivotArea type="data" outline="0" fieldPosition="0">
        <references count="2">
          <reference field="4294967294" count="1" selected="0">
            <x v="0"/>
          </reference>
          <reference field="1" count="1" selected="0">
            <x v="1"/>
          </reference>
        </references>
      </pivotArea>
    </chartFormat>
    <chartFormat chart="13" format="20" series="1">
      <pivotArea type="data" outline="0" fieldPosition="0">
        <references count="2">
          <reference field="4294967294" count="1" selected="0">
            <x v="0"/>
          </reference>
          <reference field="1" count="1" selected="0">
            <x v="2"/>
          </reference>
        </references>
      </pivotArea>
    </chartFormat>
    <chartFormat chart="13" format="21" series="1">
      <pivotArea type="data" outline="0" fieldPosition="0">
        <references count="2">
          <reference field="4294967294" count="1" selected="0">
            <x v="0"/>
          </reference>
          <reference field="1" count="1" selected="0">
            <x v="3"/>
          </reference>
        </references>
      </pivotArea>
    </chartFormat>
    <chartFormat chart="13" format="22" series="1">
      <pivotArea type="data" outline="0" fieldPosition="0">
        <references count="2">
          <reference field="4294967294" count="1" selected="0">
            <x v="0"/>
          </reference>
          <reference field="1" count="1" selected="0">
            <x v="5"/>
          </reference>
        </references>
      </pivotArea>
    </chartFormat>
    <chartFormat chart="13" format="23" series="1">
      <pivotArea type="data" outline="0" fieldPosition="0">
        <references count="2">
          <reference field="4294967294" count="1" selected="0">
            <x v="0"/>
          </reference>
          <reference field="1" count="1" selected="0">
            <x v="6"/>
          </reference>
        </references>
      </pivotArea>
    </chartFormat>
    <chartFormat chart="14" format="24" series="1">
      <pivotArea type="data" outline="0" fieldPosition="0">
        <references count="2">
          <reference field="4294967294" count="1" selected="0">
            <x v="0"/>
          </reference>
          <reference field="1" count="1" selected="0">
            <x v="0"/>
          </reference>
        </references>
      </pivotArea>
    </chartFormat>
    <chartFormat chart="14" format="25" series="1">
      <pivotArea type="data" outline="0" fieldPosition="0">
        <references count="2">
          <reference field="4294967294" count="1" selected="0">
            <x v="0"/>
          </reference>
          <reference field="1" count="1" selected="0">
            <x v="1"/>
          </reference>
        </references>
      </pivotArea>
    </chartFormat>
    <chartFormat chart="14" format="26" series="1">
      <pivotArea type="data" outline="0" fieldPosition="0">
        <references count="2">
          <reference field="4294967294" count="1" selected="0">
            <x v="0"/>
          </reference>
          <reference field="1" count="1" selected="0">
            <x v="2"/>
          </reference>
        </references>
      </pivotArea>
    </chartFormat>
    <chartFormat chart="14" format="27" series="1">
      <pivotArea type="data" outline="0" fieldPosition="0">
        <references count="2">
          <reference field="4294967294" count="1" selected="0">
            <x v="0"/>
          </reference>
          <reference field="1" count="1" selected="0">
            <x v="3"/>
          </reference>
        </references>
      </pivotArea>
    </chartFormat>
    <chartFormat chart="14" format="28" series="1">
      <pivotArea type="data" outline="0" fieldPosition="0">
        <references count="2">
          <reference field="4294967294" count="1" selected="0">
            <x v="0"/>
          </reference>
          <reference field="1" count="1" selected="0">
            <x v="5"/>
          </reference>
        </references>
      </pivotArea>
    </chartFormat>
    <chartFormat chart="14" format="29" series="1">
      <pivotArea type="data" outline="0" fieldPosition="0">
        <references count="2">
          <reference field="4294967294" count="1" selected="0">
            <x v="0"/>
          </reference>
          <reference field="1" count="1" selected="0">
            <x v="6"/>
          </reference>
        </references>
      </pivotArea>
    </chartFormat>
    <chartFormat chart="16" format="18" series="1">
      <pivotArea type="data" outline="0" fieldPosition="0">
        <references count="2">
          <reference field="4294967294" count="1" selected="0">
            <x v="0"/>
          </reference>
          <reference field="1" count="1" selected="0">
            <x v="0"/>
          </reference>
        </references>
      </pivotArea>
    </chartFormat>
    <chartFormat chart="16" format="19" series="1">
      <pivotArea type="data" outline="0" fieldPosition="0">
        <references count="2">
          <reference field="4294967294" count="1" selected="0">
            <x v="0"/>
          </reference>
          <reference field="1" count="1" selected="0">
            <x v="1"/>
          </reference>
        </references>
      </pivotArea>
    </chartFormat>
    <chartFormat chart="16" format="20" series="1">
      <pivotArea type="data" outline="0" fieldPosition="0">
        <references count="2">
          <reference field="4294967294" count="1" selected="0">
            <x v="0"/>
          </reference>
          <reference field="1" count="1" selected="0">
            <x v="2"/>
          </reference>
        </references>
      </pivotArea>
    </chartFormat>
    <chartFormat chart="16" format="21" series="1">
      <pivotArea type="data" outline="0" fieldPosition="0">
        <references count="2">
          <reference field="4294967294" count="1" selected="0">
            <x v="0"/>
          </reference>
          <reference field="1" count="1" selected="0">
            <x v="3"/>
          </reference>
        </references>
      </pivotArea>
    </chartFormat>
    <chartFormat chart="16" format="22" series="1">
      <pivotArea type="data" outline="0" fieldPosition="0">
        <references count="2">
          <reference field="4294967294" count="1" selected="0">
            <x v="0"/>
          </reference>
          <reference field="1" count="1" selected="0">
            <x v="5"/>
          </reference>
        </references>
      </pivotArea>
    </chartFormat>
    <chartFormat chart="16" format="23" series="1">
      <pivotArea type="data" outline="0" fieldPosition="0">
        <references count="2">
          <reference field="4294967294" count="1" selected="0">
            <x v="0"/>
          </reference>
          <reference field="1" count="1" selected="0">
            <x v="6"/>
          </reference>
        </references>
      </pivotArea>
    </chartFormat>
    <chartFormat chart="17" format="24" series="1">
      <pivotArea type="data" outline="0" fieldPosition="0">
        <references count="2">
          <reference field="4294967294" count="1" selected="0">
            <x v="0"/>
          </reference>
          <reference field="1" count="1" selected="0">
            <x v="0"/>
          </reference>
        </references>
      </pivotArea>
    </chartFormat>
    <chartFormat chart="17" format="25" series="1">
      <pivotArea type="data" outline="0" fieldPosition="0">
        <references count="2">
          <reference field="4294967294" count="1" selected="0">
            <x v="0"/>
          </reference>
          <reference field="1" count="1" selected="0">
            <x v="1"/>
          </reference>
        </references>
      </pivotArea>
    </chartFormat>
    <chartFormat chart="17" format="26" series="1">
      <pivotArea type="data" outline="0" fieldPosition="0">
        <references count="2">
          <reference field="4294967294" count="1" selected="0">
            <x v="0"/>
          </reference>
          <reference field="1" count="1" selected="0">
            <x v="2"/>
          </reference>
        </references>
      </pivotArea>
    </chartFormat>
    <chartFormat chart="17" format="27" series="1">
      <pivotArea type="data" outline="0" fieldPosition="0">
        <references count="2">
          <reference field="4294967294" count="1" selected="0">
            <x v="0"/>
          </reference>
          <reference field="1" count="1" selected="0">
            <x v="3"/>
          </reference>
        </references>
      </pivotArea>
    </chartFormat>
    <chartFormat chart="17" format="28" series="1">
      <pivotArea type="data" outline="0" fieldPosition="0">
        <references count="2">
          <reference field="4294967294" count="1" selected="0">
            <x v="0"/>
          </reference>
          <reference field="1" count="1" selected="0">
            <x v="5"/>
          </reference>
        </references>
      </pivotArea>
    </chartFormat>
    <chartFormat chart="17" format="29" series="1">
      <pivotArea type="data" outline="0" fieldPosition="0">
        <references count="2">
          <reference field="4294967294" count="1" selected="0">
            <x v="0"/>
          </reference>
          <reference field="1" count="1" selected="0">
            <x v="6"/>
          </reference>
        </references>
      </pivotArea>
    </chartFormat>
    <chartFormat chart="32" format="18" series="1">
      <pivotArea type="data" outline="0" fieldPosition="0">
        <references count="2">
          <reference field="4294967294" count="1" selected="0">
            <x v="0"/>
          </reference>
          <reference field="1" count="1" selected="0">
            <x v="0"/>
          </reference>
        </references>
      </pivotArea>
    </chartFormat>
    <chartFormat chart="32" format="19" series="1">
      <pivotArea type="data" outline="0" fieldPosition="0">
        <references count="2">
          <reference field="4294967294" count="1" selected="0">
            <x v="0"/>
          </reference>
          <reference field="1" count="1" selected="0">
            <x v="1"/>
          </reference>
        </references>
      </pivotArea>
    </chartFormat>
    <chartFormat chart="32" format="20" series="1">
      <pivotArea type="data" outline="0" fieldPosition="0">
        <references count="2">
          <reference field="4294967294" count="1" selected="0">
            <x v="0"/>
          </reference>
          <reference field="1" count="1" selected="0">
            <x v="2"/>
          </reference>
        </references>
      </pivotArea>
    </chartFormat>
    <chartFormat chart="32" format="21" series="1">
      <pivotArea type="data" outline="0" fieldPosition="0">
        <references count="2">
          <reference field="4294967294" count="1" selected="0">
            <x v="0"/>
          </reference>
          <reference field="1" count="1" selected="0">
            <x v="3"/>
          </reference>
        </references>
      </pivotArea>
    </chartFormat>
    <chartFormat chart="32" format="22" series="1">
      <pivotArea type="data" outline="0" fieldPosition="0">
        <references count="2">
          <reference field="4294967294" count="1" selected="0">
            <x v="0"/>
          </reference>
          <reference field="1" count="1" selected="0">
            <x v="5"/>
          </reference>
        </references>
      </pivotArea>
    </chartFormat>
    <chartFormat chart="32" format="23" series="1">
      <pivotArea type="data" outline="0" fieldPosition="0">
        <references count="2">
          <reference field="4294967294" count="1" selected="0">
            <x v="0"/>
          </reference>
          <reference field="1" count="1" selected="0">
            <x v="6"/>
          </reference>
        </references>
      </pivotArea>
    </chartFormat>
    <chartFormat chart="33" format="24" series="1">
      <pivotArea type="data" outline="0" fieldPosition="0">
        <references count="2">
          <reference field="4294967294" count="1" selected="0">
            <x v="0"/>
          </reference>
          <reference field="1" count="1" selected="0">
            <x v="0"/>
          </reference>
        </references>
      </pivotArea>
    </chartFormat>
    <chartFormat chart="33" format="25" series="1">
      <pivotArea type="data" outline="0" fieldPosition="0">
        <references count="2">
          <reference field="4294967294" count="1" selected="0">
            <x v="0"/>
          </reference>
          <reference field="1" count="1" selected="0">
            <x v="1"/>
          </reference>
        </references>
      </pivotArea>
    </chartFormat>
    <chartFormat chart="33" format="26" series="1">
      <pivotArea type="data" outline="0" fieldPosition="0">
        <references count="2">
          <reference field="4294967294" count="1" selected="0">
            <x v="0"/>
          </reference>
          <reference field="1" count="1" selected="0">
            <x v="2"/>
          </reference>
        </references>
      </pivotArea>
    </chartFormat>
    <chartFormat chart="33" format="27" series="1">
      <pivotArea type="data" outline="0" fieldPosition="0">
        <references count="2">
          <reference field="4294967294" count="1" selected="0">
            <x v="0"/>
          </reference>
          <reference field="1" count="1" selected="0">
            <x v="3"/>
          </reference>
        </references>
      </pivotArea>
    </chartFormat>
    <chartFormat chart="33" format="28" series="1">
      <pivotArea type="data" outline="0" fieldPosition="0">
        <references count="2">
          <reference field="4294967294" count="1" selected="0">
            <x v="0"/>
          </reference>
          <reference field="1" count="1" selected="0">
            <x v="5"/>
          </reference>
        </references>
      </pivotArea>
    </chartFormat>
    <chartFormat chart="33" format="29" series="1">
      <pivotArea type="data" outline="0" fieldPosition="0">
        <references count="2">
          <reference field="4294967294" count="1" selected="0">
            <x v="0"/>
          </reference>
          <reference field="1" count="1" selected="0">
            <x v="6"/>
          </reference>
        </references>
      </pivotArea>
    </chartFormat>
    <chartFormat chart="37" format="24" series="1">
      <pivotArea type="data" outline="0" fieldPosition="0">
        <references count="2">
          <reference field="4294967294" count="1" selected="0">
            <x v="0"/>
          </reference>
          <reference field="1" count="1" selected="0">
            <x v="0"/>
          </reference>
        </references>
      </pivotArea>
    </chartFormat>
    <chartFormat chart="37" format="25" series="1">
      <pivotArea type="data" outline="0" fieldPosition="0">
        <references count="2">
          <reference field="4294967294" count="1" selected="0">
            <x v="0"/>
          </reference>
          <reference field="1" count="1" selected="0">
            <x v="1"/>
          </reference>
        </references>
      </pivotArea>
    </chartFormat>
    <chartFormat chart="37" format="26" series="1">
      <pivotArea type="data" outline="0" fieldPosition="0">
        <references count="2">
          <reference field="4294967294" count="1" selected="0">
            <x v="0"/>
          </reference>
          <reference field="1" count="1" selected="0">
            <x v="2"/>
          </reference>
        </references>
      </pivotArea>
    </chartFormat>
    <chartFormat chart="37" format="27" series="1">
      <pivotArea type="data" outline="0" fieldPosition="0">
        <references count="2">
          <reference field="4294967294" count="1" selected="0">
            <x v="0"/>
          </reference>
          <reference field="1" count="1" selected="0">
            <x v="3"/>
          </reference>
        </references>
      </pivotArea>
    </chartFormat>
    <chartFormat chart="37" format="28" series="1">
      <pivotArea type="data" outline="0" fieldPosition="0">
        <references count="2">
          <reference field="4294967294" count="1" selected="0">
            <x v="0"/>
          </reference>
          <reference field="1" count="1" selected="0">
            <x v="5"/>
          </reference>
        </references>
      </pivotArea>
    </chartFormat>
    <chartFormat chart="37" format="29" series="1">
      <pivotArea type="data" outline="0" fieldPosition="0">
        <references count="2">
          <reference field="4294967294" count="1" selected="0">
            <x v="0"/>
          </reference>
          <reference field="1" count="1" selected="0">
            <x v="6"/>
          </reference>
        </references>
      </pivotArea>
    </chartFormat>
    <chartFormat chart="59" format="30" series="1">
      <pivotArea type="data" outline="0" fieldPosition="0">
        <references count="2">
          <reference field="4294967294" count="1" selected="0">
            <x v="0"/>
          </reference>
          <reference field="1" count="1" selected="0">
            <x v="0"/>
          </reference>
        </references>
      </pivotArea>
    </chartFormat>
    <chartFormat chart="59" format="31" series="1">
      <pivotArea type="data" outline="0" fieldPosition="0">
        <references count="2">
          <reference field="4294967294" count="1" selected="0">
            <x v="0"/>
          </reference>
          <reference field="1" count="1" selected="0">
            <x v="1"/>
          </reference>
        </references>
      </pivotArea>
    </chartFormat>
    <chartFormat chart="59" format="32" series="1">
      <pivotArea type="data" outline="0" fieldPosition="0">
        <references count="2">
          <reference field="4294967294" count="1" selected="0">
            <x v="0"/>
          </reference>
          <reference field="1" count="1" selected="0">
            <x v="2"/>
          </reference>
        </references>
      </pivotArea>
    </chartFormat>
    <chartFormat chart="59" format="33" series="1">
      <pivotArea type="data" outline="0" fieldPosition="0">
        <references count="2">
          <reference field="4294967294" count="1" selected="0">
            <x v="0"/>
          </reference>
          <reference field="1" count="1" selected="0">
            <x v="3"/>
          </reference>
        </references>
      </pivotArea>
    </chartFormat>
    <chartFormat chart="59" format="34" series="1">
      <pivotArea type="data" outline="0" fieldPosition="0">
        <references count="2">
          <reference field="4294967294" count="1" selected="0">
            <x v="0"/>
          </reference>
          <reference field="1" count="1" selected="0">
            <x v="5"/>
          </reference>
        </references>
      </pivotArea>
    </chartFormat>
    <chartFormat chart="59" format="35" series="1">
      <pivotArea type="data" outline="0" fieldPosition="0">
        <references count="2">
          <reference field="4294967294" count="1" selected="0">
            <x v="0"/>
          </reference>
          <reference field="1" count="1" selected="0">
            <x v="6"/>
          </reference>
        </references>
      </pivotArea>
    </chartFormat>
    <chartFormat chart="69" format="30" series="1">
      <pivotArea type="data" outline="0" fieldPosition="0">
        <references count="2">
          <reference field="4294967294" count="1" selected="0">
            <x v="0"/>
          </reference>
          <reference field="1" count="1" selected="0">
            <x v="0"/>
          </reference>
        </references>
      </pivotArea>
    </chartFormat>
    <chartFormat chart="69" format="31" series="1">
      <pivotArea type="data" outline="0" fieldPosition="0">
        <references count="2">
          <reference field="4294967294" count="1" selected="0">
            <x v="0"/>
          </reference>
          <reference field="1" count="1" selected="0">
            <x v="1"/>
          </reference>
        </references>
      </pivotArea>
    </chartFormat>
    <chartFormat chart="69" format="32" series="1">
      <pivotArea type="data" outline="0" fieldPosition="0">
        <references count="2">
          <reference field="4294967294" count="1" selected="0">
            <x v="0"/>
          </reference>
          <reference field="1" count="1" selected="0">
            <x v="2"/>
          </reference>
        </references>
      </pivotArea>
    </chartFormat>
    <chartFormat chart="69" format="33" series="1">
      <pivotArea type="data" outline="0" fieldPosition="0">
        <references count="2">
          <reference field="4294967294" count="1" selected="0">
            <x v="0"/>
          </reference>
          <reference field="1" count="1" selected="0">
            <x v="3"/>
          </reference>
        </references>
      </pivotArea>
    </chartFormat>
    <chartFormat chart="69" format="34" series="1">
      <pivotArea type="data" outline="0" fieldPosition="0">
        <references count="2">
          <reference field="4294967294" count="1" selected="0">
            <x v="0"/>
          </reference>
          <reference field="1" count="1" selected="0">
            <x v="5"/>
          </reference>
        </references>
      </pivotArea>
    </chartFormat>
    <chartFormat chart="69" format="35" series="1">
      <pivotArea type="data" outline="0" fieldPosition="0">
        <references count="2">
          <reference field="4294967294" count="1" selected="0">
            <x v="0"/>
          </reference>
          <reference field="1" count="1" selected="0">
            <x v="6"/>
          </reference>
        </references>
      </pivotArea>
    </chartFormat>
    <chartFormat chart="70" format="36" series="1">
      <pivotArea type="data" outline="0" fieldPosition="0">
        <references count="2">
          <reference field="4294967294" count="1" selected="0">
            <x v="0"/>
          </reference>
          <reference field="1" count="1" selected="0">
            <x v="0"/>
          </reference>
        </references>
      </pivotArea>
    </chartFormat>
    <chartFormat chart="70" format="37" series="1">
      <pivotArea type="data" outline="0" fieldPosition="0">
        <references count="2">
          <reference field="4294967294" count="1" selected="0">
            <x v="0"/>
          </reference>
          <reference field="1" count="1" selected="0">
            <x v="1"/>
          </reference>
        </references>
      </pivotArea>
    </chartFormat>
    <chartFormat chart="70" format="38" series="1">
      <pivotArea type="data" outline="0" fieldPosition="0">
        <references count="2">
          <reference field="4294967294" count="1" selected="0">
            <x v="0"/>
          </reference>
          <reference field="1" count="1" selected="0">
            <x v="2"/>
          </reference>
        </references>
      </pivotArea>
    </chartFormat>
    <chartFormat chart="70" format="39" series="1">
      <pivotArea type="data" outline="0" fieldPosition="0">
        <references count="2">
          <reference field="4294967294" count="1" selected="0">
            <x v="0"/>
          </reference>
          <reference field="1" count="1" selected="0">
            <x v="3"/>
          </reference>
        </references>
      </pivotArea>
    </chartFormat>
    <chartFormat chart="70" format="40" series="1">
      <pivotArea type="data" outline="0" fieldPosition="0">
        <references count="2">
          <reference field="4294967294" count="1" selected="0">
            <x v="0"/>
          </reference>
          <reference field="1" count="1" selected="0">
            <x v="5"/>
          </reference>
        </references>
      </pivotArea>
    </chartFormat>
    <chartFormat chart="70" format="41" series="1">
      <pivotArea type="data" outline="0" fieldPosition="0">
        <references count="2">
          <reference field="4294967294" count="1" selected="0">
            <x v="0"/>
          </reference>
          <reference field="1" count="1" selected="0">
            <x v="6"/>
          </reference>
        </references>
      </pivotArea>
    </chartFormat>
    <chartFormat chart="85" format="30" series="1">
      <pivotArea type="data" outline="0" fieldPosition="0">
        <references count="2">
          <reference field="4294967294" count="1" selected="0">
            <x v="0"/>
          </reference>
          <reference field="1" count="1" selected="0">
            <x v="0"/>
          </reference>
        </references>
      </pivotArea>
    </chartFormat>
    <chartFormat chart="85" format="31" series="1">
      <pivotArea type="data" outline="0" fieldPosition="0">
        <references count="2">
          <reference field="4294967294" count="1" selected="0">
            <x v="0"/>
          </reference>
          <reference field="1" count="1" selected="0">
            <x v="1"/>
          </reference>
        </references>
      </pivotArea>
    </chartFormat>
    <chartFormat chart="85" format="32" series="1">
      <pivotArea type="data" outline="0" fieldPosition="0">
        <references count="2">
          <reference field="4294967294" count="1" selected="0">
            <x v="0"/>
          </reference>
          <reference field="1" count="1" selected="0">
            <x v="2"/>
          </reference>
        </references>
      </pivotArea>
    </chartFormat>
    <chartFormat chart="85" format="33" series="1">
      <pivotArea type="data" outline="0" fieldPosition="0">
        <references count="2">
          <reference field="4294967294" count="1" selected="0">
            <x v="0"/>
          </reference>
          <reference field="1" count="1" selected="0">
            <x v="3"/>
          </reference>
        </references>
      </pivotArea>
    </chartFormat>
    <chartFormat chart="85" format="34" series="1">
      <pivotArea type="data" outline="0" fieldPosition="0">
        <references count="2">
          <reference field="4294967294" count="1" selected="0">
            <x v="0"/>
          </reference>
          <reference field="1" count="1" selected="0">
            <x v="5"/>
          </reference>
        </references>
      </pivotArea>
    </chartFormat>
    <chartFormat chart="85" format="35" series="1">
      <pivotArea type="data" outline="0" fieldPosition="0">
        <references count="2">
          <reference field="4294967294" count="1" selected="0">
            <x v="0"/>
          </reference>
          <reference field="1" count="1" selected="0">
            <x v="6"/>
          </reference>
        </references>
      </pivotArea>
    </chartFormat>
    <chartFormat chart="86" format="36" series="1">
      <pivotArea type="data" outline="0" fieldPosition="0">
        <references count="2">
          <reference field="4294967294" count="1" selected="0">
            <x v="0"/>
          </reference>
          <reference field="1" count="1" selected="0">
            <x v="0"/>
          </reference>
        </references>
      </pivotArea>
    </chartFormat>
    <chartFormat chart="86" format="37" series="1">
      <pivotArea type="data" outline="0" fieldPosition="0">
        <references count="2">
          <reference field="4294967294" count="1" selected="0">
            <x v="0"/>
          </reference>
          <reference field="1" count="1" selected="0">
            <x v="1"/>
          </reference>
        </references>
      </pivotArea>
    </chartFormat>
    <chartFormat chart="86" format="38" series="1">
      <pivotArea type="data" outline="0" fieldPosition="0">
        <references count="2">
          <reference field="4294967294" count="1" selected="0">
            <x v="0"/>
          </reference>
          <reference field="1" count="1" selected="0">
            <x v="2"/>
          </reference>
        </references>
      </pivotArea>
    </chartFormat>
    <chartFormat chart="86" format="39" series="1">
      <pivotArea type="data" outline="0" fieldPosition="0">
        <references count="2">
          <reference field="4294967294" count="1" selected="0">
            <x v="0"/>
          </reference>
          <reference field="1" count="1" selected="0">
            <x v="3"/>
          </reference>
        </references>
      </pivotArea>
    </chartFormat>
    <chartFormat chart="86" format="40" series="1">
      <pivotArea type="data" outline="0" fieldPosition="0">
        <references count="2">
          <reference field="4294967294" count="1" selected="0">
            <x v="0"/>
          </reference>
          <reference field="1" count="1" selected="0">
            <x v="5"/>
          </reference>
        </references>
      </pivotArea>
    </chartFormat>
    <chartFormat chart="86" format="41" series="1">
      <pivotArea type="data" outline="0" fieldPosition="0">
        <references count="2">
          <reference field="4294967294" count="1" selected="0">
            <x v="0"/>
          </reference>
          <reference field="1" count="1" selected="0">
            <x v="6"/>
          </reference>
        </references>
      </pivotArea>
    </chartFormat>
    <chartFormat chart="88" format="30" series="1">
      <pivotArea type="data" outline="0" fieldPosition="0">
        <references count="2">
          <reference field="4294967294" count="1" selected="0">
            <x v="0"/>
          </reference>
          <reference field="1" count="1" selected="0">
            <x v="0"/>
          </reference>
        </references>
      </pivotArea>
    </chartFormat>
    <chartFormat chart="88" format="31" series="1">
      <pivotArea type="data" outline="0" fieldPosition="0">
        <references count="2">
          <reference field="4294967294" count="1" selected="0">
            <x v="0"/>
          </reference>
          <reference field="1" count="1" selected="0">
            <x v="1"/>
          </reference>
        </references>
      </pivotArea>
    </chartFormat>
    <chartFormat chart="88" format="32" series="1">
      <pivotArea type="data" outline="0" fieldPosition="0">
        <references count="2">
          <reference field="4294967294" count="1" selected="0">
            <x v="0"/>
          </reference>
          <reference field="1" count="1" selected="0">
            <x v="2"/>
          </reference>
        </references>
      </pivotArea>
    </chartFormat>
    <chartFormat chart="88" format="33" series="1">
      <pivotArea type="data" outline="0" fieldPosition="0">
        <references count="2">
          <reference field="4294967294" count="1" selected="0">
            <x v="0"/>
          </reference>
          <reference field="1" count="1" selected="0">
            <x v="3"/>
          </reference>
        </references>
      </pivotArea>
    </chartFormat>
    <chartFormat chart="88" format="34" series="1">
      <pivotArea type="data" outline="0" fieldPosition="0">
        <references count="2">
          <reference field="4294967294" count="1" selected="0">
            <x v="0"/>
          </reference>
          <reference field="1" count="1" selected="0">
            <x v="5"/>
          </reference>
        </references>
      </pivotArea>
    </chartFormat>
    <chartFormat chart="88" format="35" series="1">
      <pivotArea type="data" outline="0" fieldPosition="0">
        <references count="2">
          <reference field="4294967294" count="1" selected="0">
            <x v="0"/>
          </reference>
          <reference field="1" count="1" selected="0">
            <x v="6"/>
          </reference>
        </references>
      </pivotArea>
    </chartFormat>
    <chartFormat chart="89" format="36" series="1">
      <pivotArea type="data" outline="0" fieldPosition="0">
        <references count="2">
          <reference field="4294967294" count="1" selected="0">
            <x v="0"/>
          </reference>
          <reference field="1" count="1" selected="0">
            <x v="0"/>
          </reference>
        </references>
      </pivotArea>
    </chartFormat>
    <chartFormat chart="89" format="37" series="1">
      <pivotArea type="data" outline="0" fieldPosition="0">
        <references count="2">
          <reference field="4294967294" count="1" selected="0">
            <x v="0"/>
          </reference>
          <reference field="1" count="1" selected="0">
            <x v="1"/>
          </reference>
        </references>
      </pivotArea>
    </chartFormat>
    <chartFormat chart="89" format="38" series="1">
      <pivotArea type="data" outline="0" fieldPosition="0">
        <references count="2">
          <reference field="4294967294" count="1" selected="0">
            <x v="0"/>
          </reference>
          <reference field="1" count="1" selected="0">
            <x v="2"/>
          </reference>
        </references>
      </pivotArea>
    </chartFormat>
    <chartFormat chart="89" format="39" series="1">
      <pivotArea type="data" outline="0" fieldPosition="0">
        <references count="2">
          <reference field="4294967294" count="1" selected="0">
            <x v="0"/>
          </reference>
          <reference field="1" count="1" selected="0">
            <x v="3"/>
          </reference>
        </references>
      </pivotArea>
    </chartFormat>
    <chartFormat chart="89" format="40" series="1">
      <pivotArea type="data" outline="0" fieldPosition="0">
        <references count="2">
          <reference field="4294967294" count="1" selected="0">
            <x v="0"/>
          </reference>
          <reference field="1" count="1" selected="0">
            <x v="5"/>
          </reference>
        </references>
      </pivotArea>
    </chartFormat>
    <chartFormat chart="89" format="41" series="1">
      <pivotArea type="data" outline="0" fieldPosition="0">
        <references count="2">
          <reference field="4294967294" count="1" selected="0">
            <x v="0"/>
          </reference>
          <reference field="1" count="1" selected="0">
            <x v="6"/>
          </reference>
        </references>
      </pivotArea>
    </chartFormat>
    <chartFormat chart="110" format="30" series="1">
      <pivotArea type="data" outline="0" fieldPosition="0">
        <references count="2">
          <reference field="4294967294" count="1" selected="0">
            <x v="0"/>
          </reference>
          <reference field="1" count="1" selected="0">
            <x v="0"/>
          </reference>
        </references>
      </pivotArea>
    </chartFormat>
    <chartFormat chart="110" format="31" series="1">
      <pivotArea type="data" outline="0" fieldPosition="0">
        <references count="2">
          <reference field="4294967294" count="1" selected="0">
            <x v="0"/>
          </reference>
          <reference field="1" count="1" selected="0">
            <x v="1"/>
          </reference>
        </references>
      </pivotArea>
    </chartFormat>
    <chartFormat chart="110" format="32" series="1">
      <pivotArea type="data" outline="0" fieldPosition="0">
        <references count="2">
          <reference field="4294967294" count="1" selected="0">
            <x v="0"/>
          </reference>
          <reference field="1" count="1" selected="0">
            <x v="2"/>
          </reference>
        </references>
      </pivotArea>
    </chartFormat>
    <chartFormat chart="110" format="33" series="1">
      <pivotArea type="data" outline="0" fieldPosition="0">
        <references count="2">
          <reference field="4294967294" count="1" selected="0">
            <x v="0"/>
          </reference>
          <reference field="1" count="1" selected="0">
            <x v="3"/>
          </reference>
        </references>
      </pivotArea>
    </chartFormat>
    <chartFormat chart="110" format="34" series="1">
      <pivotArea type="data" outline="0" fieldPosition="0">
        <references count="2">
          <reference field="4294967294" count="1" selected="0">
            <x v="0"/>
          </reference>
          <reference field="1" count="1" selected="0">
            <x v="5"/>
          </reference>
        </references>
      </pivotArea>
    </chartFormat>
    <chartFormat chart="110" format="35" series="1">
      <pivotArea type="data" outline="0" fieldPosition="0">
        <references count="2">
          <reference field="4294967294" count="1" selected="0">
            <x v="0"/>
          </reference>
          <reference field="1" count="1" selected="0">
            <x v="6"/>
          </reference>
        </references>
      </pivotArea>
    </chartFormat>
    <chartFormat chart="111" format="36" series="1">
      <pivotArea type="data" outline="0" fieldPosition="0">
        <references count="2">
          <reference field="4294967294" count="1" selected="0">
            <x v="0"/>
          </reference>
          <reference field="1" count="1" selected="0">
            <x v="0"/>
          </reference>
        </references>
      </pivotArea>
    </chartFormat>
    <chartFormat chart="111" format="37" series="1">
      <pivotArea type="data" outline="0" fieldPosition="0">
        <references count="2">
          <reference field="4294967294" count="1" selected="0">
            <x v="0"/>
          </reference>
          <reference field="1" count="1" selected="0">
            <x v="1"/>
          </reference>
        </references>
      </pivotArea>
    </chartFormat>
    <chartFormat chart="111" format="38" series="1">
      <pivotArea type="data" outline="0" fieldPosition="0">
        <references count="2">
          <reference field="4294967294" count="1" selected="0">
            <x v="0"/>
          </reference>
          <reference field="1" count="1" selected="0">
            <x v="2"/>
          </reference>
        </references>
      </pivotArea>
    </chartFormat>
    <chartFormat chart="111" format="39" series="1">
      <pivotArea type="data" outline="0" fieldPosition="0">
        <references count="2">
          <reference field="4294967294" count="1" selected="0">
            <x v="0"/>
          </reference>
          <reference field="1" count="1" selected="0">
            <x v="3"/>
          </reference>
        </references>
      </pivotArea>
    </chartFormat>
    <chartFormat chart="111" format="40" series="1">
      <pivotArea type="data" outline="0" fieldPosition="0">
        <references count="2">
          <reference field="4294967294" count="1" selected="0">
            <x v="0"/>
          </reference>
          <reference field="1" count="1" selected="0">
            <x v="5"/>
          </reference>
        </references>
      </pivotArea>
    </chartFormat>
    <chartFormat chart="111" format="41" series="1">
      <pivotArea type="data" outline="0" fieldPosition="0">
        <references count="2">
          <reference field="4294967294" count="1" selected="0">
            <x v="0"/>
          </reference>
          <reference field="1" count="1" selected="0">
            <x v="6"/>
          </reference>
        </references>
      </pivotArea>
    </chartFormat>
    <chartFormat chart="116" format="30" series="1">
      <pivotArea type="data" outline="0" fieldPosition="0">
        <references count="2">
          <reference field="4294967294" count="1" selected="0">
            <x v="0"/>
          </reference>
          <reference field="1" count="1" selected="0">
            <x v="0"/>
          </reference>
        </references>
      </pivotArea>
    </chartFormat>
    <chartFormat chart="116" format="31" series="1">
      <pivotArea type="data" outline="0" fieldPosition="0">
        <references count="2">
          <reference field="4294967294" count="1" selected="0">
            <x v="0"/>
          </reference>
          <reference field="1" count="1" selected="0">
            <x v="1"/>
          </reference>
        </references>
      </pivotArea>
    </chartFormat>
    <chartFormat chart="116" format="32" series="1">
      <pivotArea type="data" outline="0" fieldPosition="0">
        <references count="2">
          <reference field="4294967294" count="1" selected="0">
            <x v="0"/>
          </reference>
          <reference field="1" count="1" selected="0">
            <x v="2"/>
          </reference>
        </references>
      </pivotArea>
    </chartFormat>
    <chartFormat chart="116" format="33" series="1">
      <pivotArea type="data" outline="0" fieldPosition="0">
        <references count="2">
          <reference field="4294967294" count="1" selected="0">
            <x v="0"/>
          </reference>
          <reference field="1" count="1" selected="0">
            <x v="3"/>
          </reference>
        </references>
      </pivotArea>
    </chartFormat>
    <chartFormat chart="116" format="34" series="1">
      <pivotArea type="data" outline="0" fieldPosition="0">
        <references count="2">
          <reference field="4294967294" count="1" selected="0">
            <x v="0"/>
          </reference>
          <reference field="1" count="1" selected="0">
            <x v="5"/>
          </reference>
        </references>
      </pivotArea>
    </chartFormat>
    <chartFormat chart="116" format="35" series="1">
      <pivotArea type="data" outline="0" fieldPosition="0">
        <references count="2">
          <reference field="4294967294" count="1" selected="0">
            <x v="0"/>
          </reference>
          <reference field="1" count="1" selected="0">
            <x v="6"/>
          </reference>
        </references>
      </pivotArea>
    </chartFormat>
    <chartFormat chart="117" format="36" series="1">
      <pivotArea type="data" outline="0" fieldPosition="0">
        <references count="2">
          <reference field="4294967294" count="1" selected="0">
            <x v="0"/>
          </reference>
          <reference field="1" count="1" selected="0">
            <x v="0"/>
          </reference>
        </references>
      </pivotArea>
    </chartFormat>
    <chartFormat chart="117" format="37" series="1">
      <pivotArea type="data" outline="0" fieldPosition="0">
        <references count="2">
          <reference field="4294967294" count="1" selected="0">
            <x v="0"/>
          </reference>
          <reference field="1" count="1" selected="0">
            <x v="1"/>
          </reference>
        </references>
      </pivotArea>
    </chartFormat>
    <chartFormat chart="117" format="38" series="1">
      <pivotArea type="data" outline="0" fieldPosition="0">
        <references count="2">
          <reference field="4294967294" count="1" selected="0">
            <x v="0"/>
          </reference>
          <reference field="1" count="1" selected="0">
            <x v="2"/>
          </reference>
        </references>
      </pivotArea>
    </chartFormat>
    <chartFormat chart="117" format="39" series="1">
      <pivotArea type="data" outline="0" fieldPosition="0">
        <references count="2">
          <reference field="4294967294" count="1" selected="0">
            <x v="0"/>
          </reference>
          <reference field="1" count="1" selected="0">
            <x v="3"/>
          </reference>
        </references>
      </pivotArea>
    </chartFormat>
    <chartFormat chart="117" format="40" series="1">
      <pivotArea type="data" outline="0" fieldPosition="0">
        <references count="2">
          <reference field="4294967294" count="1" selected="0">
            <x v="0"/>
          </reference>
          <reference field="1" count="1" selected="0">
            <x v="5"/>
          </reference>
        </references>
      </pivotArea>
    </chartFormat>
    <chartFormat chart="117" format="41" series="1">
      <pivotArea type="data" outline="0" fieldPosition="0">
        <references count="2">
          <reference field="4294967294" count="1" selected="0">
            <x v="0"/>
          </reference>
          <reference field="1" count="1" selected="0">
            <x v="6"/>
          </reference>
        </references>
      </pivotArea>
    </chartFormat>
    <chartFormat chart="140" format="30" series="1">
      <pivotArea type="data" outline="0" fieldPosition="0">
        <references count="2">
          <reference field="4294967294" count="1" selected="0">
            <x v="0"/>
          </reference>
          <reference field="1" count="1" selected="0">
            <x v="0"/>
          </reference>
        </references>
      </pivotArea>
    </chartFormat>
    <chartFormat chart="140" format="31" series="1">
      <pivotArea type="data" outline="0" fieldPosition="0">
        <references count="2">
          <reference field="4294967294" count="1" selected="0">
            <x v="0"/>
          </reference>
          <reference field="1" count="1" selected="0">
            <x v="1"/>
          </reference>
        </references>
      </pivotArea>
    </chartFormat>
    <chartFormat chart="140" format="32" series="1">
      <pivotArea type="data" outline="0" fieldPosition="0">
        <references count="2">
          <reference field="4294967294" count="1" selected="0">
            <x v="0"/>
          </reference>
          <reference field="1" count="1" selected="0">
            <x v="2"/>
          </reference>
        </references>
      </pivotArea>
    </chartFormat>
    <chartFormat chart="140" format="33" series="1">
      <pivotArea type="data" outline="0" fieldPosition="0">
        <references count="2">
          <reference field="4294967294" count="1" selected="0">
            <x v="0"/>
          </reference>
          <reference field="1" count="1" selected="0">
            <x v="3"/>
          </reference>
        </references>
      </pivotArea>
    </chartFormat>
    <chartFormat chart="140" format="34" series="1">
      <pivotArea type="data" outline="0" fieldPosition="0">
        <references count="2">
          <reference field="4294967294" count="1" selected="0">
            <x v="0"/>
          </reference>
          <reference field="1" count="1" selected="0">
            <x v="5"/>
          </reference>
        </references>
      </pivotArea>
    </chartFormat>
    <chartFormat chart="140" format="35" series="1">
      <pivotArea type="data" outline="0" fieldPosition="0">
        <references count="2">
          <reference field="4294967294" count="1" selected="0">
            <x v="0"/>
          </reference>
          <reference field="1" count="1" selected="0">
            <x v="6"/>
          </reference>
        </references>
      </pivotArea>
    </chartFormat>
    <chartFormat chart="141" format="36" series="1">
      <pivotArea type="data" outline="0" fieldPosition="0">
        <references count="2">
          <reference field="4294967294" count="1" selected="0">
            <x v="0"/>
          </reference>
          <reference field="1" count="1" selected="0">
            <x v="0"/>
          </reference>
        </references>
      </pivotArea>
    </chartFormat>
    <chartFormat chart="141" format="37" series="1">
      <pivotArea type="data" outline="0" fieldPosition="0">
        <references count="2">
          <reference field="4294967294" count="1" selected="0">
            <x v="0"/>
          </reference>
          <reference field="1" count="1" selected="0">
            <x v="1"/>
          </reference>
        </references>
      </pivotArea>
    </chartFormat>
    <chartFormat chart="141" format="38" series="1">
      <pivotArea type="data" outline="0" fieldPosition="0">
        <references count="2">
          <reference field="4294967294" count="1" selected="0">
            <x v="0"/>
          </reference>
          <reference field="1" count="1" selected="0">
            <x v="2"/>
          </reference>
        </references>
      </pivotArea>
    </chartFormat>
    <chartFormat chart="141" format="39" series="1">
      <pivotArea type="data" outline="0" fieldPosition="0">
        <references count="2">
          <reference field="4294967294" count="1" selected="0">
            <x v="0"/>
          </reference>
          <reference field="1" count="1" selected="0">
            <x v="3"/>
          </reference>
        </references>
      </pivotArea>
    </chartFormat>
    <chartFormat chart="141" format="40" series="1">
      <pivotArea type="data" outline="0" fieldPosition="0">
        <references count="2">
          <reference field="4294967294" count="1" selected="0">
            <x v="0"/>
          </reference>
          <reference field="1" count="1" selected="0">
            <x v="5"/>
          </reference>
        </references>
      </pivotArea>
    </chartFormat>
    <chartFormat chart="141" format="41" series="1">
      <pivotArea type="data" outline="0" fieldPosition="0">
        <references count="2">
          <reference field="4294967294" count="1" selected="0">
            <x v="0"/>
          </reference>
          <reference field="1" count="1" selected="0">
            <x v="6"/>
          </reference>
        </references>
      </pivotArea>
    </chartFormat>
    <chartFormat chart="37" format="30" series="1">
      <pivotArea type="data" outline="0" fieldPosition="0">
        <references count="2">
          <reference field="4294967294" count="1" selected="0">
            <x v="0"/>
          </reference>
          <reference field="1" count="1" selected="0">
            <x v="4"/>
          </reference>
        </references>
      </pivotArea>
    </chartFormat>
    <chartFormat chart="146" format="31" series="1">
      <pivotArea type="data" outline="0" fieldPosition="0">
        <references count="2">
          <reference field="4294967294" count="1" selected="0">
            <x v="0"/>
          </reference>
          <reference field="1" count="1" selected="0">
            <x v="0"/>
          </reference>
        </references>
      </pivotArea>
    </chartFormat>
    <chartFormat chart="146" format="32" series="1">
      <pivotArea type="data" outline="0" fieldPosition="0">
        <references count="2">
          <reference field="4294967294" count="1" selected="0">
            <x v="0"/>
          </reference>
          <reference field="1" count="1" selected="0">
            <x v="1"/>
          </reference>
        </references>
      </pivotArea>
    </chartFormat>
    <chartFormat chart="146" format="33" series="1">
      <pivotArea type="data" outline="0" fieldPosition="0">
        <references count="2">
          <reference field="4294967294" count="1" selected="0">
            <x v="0"/>
          </reference>
          <reference field="1" count="1" selected="0">
            <x v="2"/>
          </reference>
        </references>
      </pivotArea>
    </chartFormat>
    <chartFormat chart="146" format="34" series="1">
      <pivotArea type="data" outline="0" fieldPosition="0">
        <references count="2">
          <reference field="4294967294" count="1" selected="0">
            <x v="0"/>
          </reference>
          <reference field="1" count="1" selected="0">
            <x v="3"/>
          </reference>
        </references>
      </pivotArea>
    </chartFormat>
    <chartFormat chart="146" format="35" series="1">
      <pivotArea type="data" outline="0" fieldPosition="0">
        <references count="2">
          <reference field="4294967294" count="1" selected="0">
            <x v="0"/>
          </reference>
          <reference field="1" count="1" selected="0">
            <x v="4"/>
          </reference>
        </references>
      </pivotArea>
    </chartFormat>
    <chartFormat chart="146" format="36" series="1">
      <pivotArea type="data" outline="0" fieldPosition="0">
        <references count="2">
          <reference field="4294967294" count="1" selected="0">
            <x v="0"/>
          </reference>
          <reference field="1" count="1" selected="0">
            <x v="5"/>
          </reference>
        </references>
      </pivotArea>
    </chartFormat>
    <chartFormat chart="146" format="37" series="1">
      <pivotArea type="data" outline="0" fieldPosition="0">
        <references count="2">
          <reference field="4294967294" count="1" selected="0">
            <x v="0"/>
          </reference>
          <reference field="1" count="1" selected="0">
            <x v="6"/>
          </reference>
        </references>
      </pivotArea>
    </chartFormat>
    <chartFormat chart="147" format="38" series="1">
      <pivotArea type="data" outline="0" fieldPosition="0">
        <references count="2">
          <reference field="4294967294" count="1" selected="0">
            <x v="0"/>
          </reference>
          <reference field="1" count="1" selected="0">
            <x v="0"/>
          </reference>
        </references>
      </pivotArea>
    </chartFormat>
    <chartFormat chart="147" format="39" series="1">
      <pivotArea type="data" outline="0" fieldPosition="0">
        <references count="2">
          <reference field="4294967294" count="1" selected="0">
            <x v="0"/>
          </reference>
          <reference field="1" count="1" selected="0">
            <x v="1"/>
          </reference>
        </references>
      </pivotArea>
    </chartFormat>
    <chartFormat chart="147" format="40" series="1">
      <pivotArea type="data" outline="0" fieldPosition="0">
        <references count="2">
          <reference field="4294967294" count="1" selected="0">
            <x v="0"/>
          </reference>
          <reference field="1" count="1" selected="0">
            <x v="2"/>
          </reference>
        </references>
      </pivotArea>
    </chartFormat>
    <chartFormat chart="147" format="41" series="1">
      <pivotArea type="data" outline="0" fieldPosition="0">
        <references count="2">
          <reference field="4294967294" count="1" selected="0">
            <x v="0"/>
          </reference>
          <reference field="1" count="1" selected="0">
            <x v="3"/>
          </reference>
        </references>
      </pivotArea>
    </chartFormat>
    <chartFormat chart="147" format="42" series="1">
      <pivotArea type="data" outline="0" fieldPosition="0">
        <references count="2">
          <reference field="4294967294" count="1" selected="0">
            <x v="0"/>
          </reference>
          <reference field="1" count="1" selected="0">
            <x v="4"/>
          </reference>
        </references>
      </pivotArea>
    </chartFormat>
    <chartFormat chart="147" format="43" series="1">
      <pivotArea type="data" outline="0" fieldPosition="0">
        <references count="2">
          <reference field="4294967294" count="1" selected="0">
            <x v="0"/>
          </reference>
          <reference field="1" count="1" selected="0">
            <x v="5"/>
          </reference>
        </references>
      </pivotArea>
    </chartFormat>
    <chartFormat chart="147" format="44" series="1">
      <pivotArea type="data" outline="0" fieldPosition="0">
        <references count="2">
          <reference field="4294967294" count="1" selected="0">
            <x v="0"/>
          </reference>
          <reference field="1" count="1" selected="0">
            <x v="6"/>
          </reference>
        </references>
      </pivotArea>
    </chartFormat>
    <chartFormat chart="149" format="31" series="1">
      <pivotArea type="data" outline="0" fieldPosition="0">
        <references count="2">
          <reference field="4294967294" count="1" selected="0">
            <x v="0"/>
          </reference>
          <reference field="1" count="1" selected="0">
            <x v="0"/>
          </reference>
        </references>
      </pivotArea>
    </chartFormat>
    <chartFormat chart="149" format="32" series="1">
      <pivotArea type="data" outline="0" fieldPosition="0">
        <references count="2">
          <reference field="4294967294" count="1" selected="0">
            <x v="0"/>
          </reference>
          <reference field="1" count="1" selected="0">
            <x v="1"/>
          </reference>
        </references>
      </pivotArea>
    </chartFormat>
    <chartFormat chart="149" format="33" series="1">
      <pivotArea type="data" outline="0" fieldPosition="0">
        <references count="2">
          <reference field="4294967294" count="1" selected="0">
            <x v="0"/>
          </reference>
          <reference field="1" count="1" selected="0">
            <x v="2"/>
          </reference>
        </references>
      </pivotArea>
    </chartFormat>
    <chartFormat chart="149" format="34" series="1">
      <pivotArea type="data" outline="0" fieldPosition="0">
        <references count="2">
          <reference field="4294967294" count="1" selected="0">
            <x v="0"/>
          </reference>
          <reference field="1" count="1" selected="0">
            <x v="3"/>
          </reference>
        </references>
      </pivotArea>
    </chartFormat>
    <chartFormat chart="149" format="35" series="1">
      <pivotArea type="data" outline="0" fieldPosition="0">
        <references count="2">
          <reference field="4294967294" count="1" selected="0">
            <x v="0"/>
          </reference>
          <reference field="1" count="1" selected="0">
            <x v="4"/>
          </reference>
        </references>
      </pivotArea>
    </chartFormat>
    <chartFormat chart="149" format="36" series="1">
      <pivotArea type="data" outline="0" fieldPosition="0">
        <references count="2">
          <reference field="4294967294" count="1" selected="0">
            <x v="0"/>
          </reference>
          <reference field="1" count="1" selected="0">
            <x v="6"/>
          </reference>
        </references>
      </pivotArea>
    </chartFormat>
    <chartFormat chart="150" format="37" series="1">
      <pivotArea type="data" outline="0" fieldPosition="0">
        <references count="2">
          <reference field="4294967294" count="1" selected="0">
            <x v="0"/>
          </reference>
          <reference field="1" count="1" selected="0">
            <x v="0"/>
          </reference>
        </references>
      </pivotArea>
    </chartFormat>
    <chartFormat chart="150" format="38" series="1">
      <pivotArea type="data" outline="0" fieldPosition="0">
        <references count="2">
          <reference field="4294967294" count="1" selected="0">
            <x v="0"/>
          </reference>
          <reference field="1" count="1" selected="0">
            <x v="1"/>
          </reference>
        </references>
      </pivotArea>
    </chartFormat>
    <chartFormat chart="150" format="39" series="1">
      <pivotArea type="data" outline="0" fieldPosition="0">
        <references count="2">
          <reference field="4294967294" count="1" selected="0">
            <x v="0"/>
          </reference>
          <reference field="1" count="1" selected="0">
            <x v="2"/>
          </reference>
        </references>
      </pivotArea>
    </chartFormat>
    <chartFormat chart="150" format="40" series="1">
      <pivotArea type="data" outline="0" fieldPosition="0">
        <references count="2">
          <reference field="4294967294" count="1" selected="0">
            <x v="0"/>
          </reference>
          <reference field="1" count="1" selected="0">
            <x v="3"/>
          </reference>
        </references>
      </pivotArea>
    </chartFormat>
    <chartFormat chart="150" format="41" series="1">
      <pivotArea type="data" outline="0" fieldPosition="0">
        <references count="2">
          <reference field="4294967294" count="1" selected="0">
            <x v="0"/>
          </reference>
          <reference field="1" count="1" selected="0">
            <x v="4"/>
          </reference>
        </references>
      </pivotArea>
    </chartFormat>
    <chartFormat chart="150" format="42" series="1">
      <pivotArea type="data" outline="0" fieldPosition="0">
        <references count="2">
          <reference field="4294967294" count="1" selected="0">
            <x v="0"/>
          </reference>
          <reference field="1" count="1" selected="0">
            <x v="6"/>
          </reference>
        </references>
      </pivotArea>
    </chartFormat>
    <chartFormat chart="150" format="43" series="1">
      <pivotArea type="data" outline="0" fieldPosition="0">
        <references count="2">
          <reference field="4294967294" count="1" selected="0">
            <x v="0"/>
          </reference>
          <reference field="1" count="1" selected="0">
            <x v="5"/>
          </reference>
        </references>
      </pivotArea>
    </chartFormat>
    <chartFormat chart="149" format="37" series="1">
      <pivotArea type="data" outline="0" fieldPosition="0">
        <references count="2">
          <reference field="4294967294" count="1" selected="0">
            <x v="0"/>
          </reference>
          <reference field="1" count="1" selected="0">
            <x v="5"/>
          </reference>
        </references>
      </pivotArea>
    </chartFormat>
    <chartFormat chart="156" format="31" series="1">
      <pivotArea type="data" outline="0" fieldPosition="0">
        <references count="2">
          <reference field="4294967294" count="1" selected="0">
            <x v="0"/>
          </reference>
          <reference field="1" count="1" selected="0">
            <x v="0"/>
          </reference>
        </references>
      </pivotArea>
    </chartFormat>
    <chartFormat chart="156" format="32" series="1">
      <pivotArea type="data" outline="0" fieldPosition="0">
        <references count="2">
          <reference field="4294967294" count="1" selected="0">
            <x v="0"/>
          </reference>
          <reference field="1" count="1" selected="0">
            <x v="1"/>
          </reference>
        </references>
      </pivotArea>
    </chartFormat>
    <chartFormat chart="156" format="33" series="1">
      <pivotArea type="data" outline="0" fieldPosition="0">
        <references count="2">
          <reference field="4294967294" count="1" selected="0">
            <x v="0"/>
          </reference>
          <reference field="1" count="1" selected="0">
            <x v="2"/>
          </reference>
        </references>
      </pivotArea>
    </chartFormat>
    <chartFormat chart="156" format="34" series="1">
      <pivotArea type="data" outline="0" fieldPosition="0">
        <references count="2">
          <reference field="4294967294" count="1" selected="0">
            <x v="0"/>
          </reference>
          <reference field="1" count="1" selected="0">
            <x v="3"/>
          </reference>
        </references>
      </pivotArea>
    </chartFormat>
    <chartFormat chart="156" format="35" series="1">
      <pivotArea type="data" outline="0" fieldPosition="0">
        <references count="2">
          <reference field="4294967294" count="1" selected="0">
            <x v="0"/>
          </reference>
          <reference field="1" count="1" selected="0">
            <x v="4"/>
          </reference>
        </references>
      </pivotArea>
    </chartFormat>
    <chartFormat chart="156" format="36" series="1">
      <pivotArea type="data" outline="0" fieldPosition="0">
        <references count="2">
          <reference field="4294967294" count="1" selected="0">
            <x v="0"/>
          </reference>
          <reference field="1" count="1" selected="0">
            <x v="5"/>
          </reference>
        </references>
      </pivotArea>
    </chartFormat>
    <chartFormat chart="156" format="37" series="1">
      <pivotArea type="data" outline="0" fieldPosition="0">
        <references count="2">
          <reference field="4294967294" count="1" selected="0">
            <x v="0"/>
          </reference>
          <reference field="1" count="1" selected="0">
            <x v="6"/>
          </reference>
        </references>
      </pivotArea>
    </chartFormat>
    <chartFormat chart="157" format="38" series="1">
      <pivotArea type="data" outline="0" fieldPosition="0">
        <references count="2">
          <reference field="4294967294" count="1" selected="0">
            <x v="0"/>
          </reference>
          <reference field="1" count="1" selected="0">
            <x v="0"/>
          </reference>
        </references>
      </pivotArea>
    </chartFormat>
    <chartFormat chart="157" format="39" series="1">
      <pivotArea type="data" outline="0" fieldPosition="0">
        <references count="2">
          <reference field="4294967294" count="1" selected="0">
            <x v="0"/>
          </reference>
          <reference field="1" count="1" selected="0">
            <x v="1"/>
          </reference>
        </references>
      </pivotArea>
    </chartFormat>
    <chartFormat chart="157" format="40" series="1">
      <pivotArea type="data" outline="0" fieldPosition="0">
        <references count="2">
          <reference field="4294967294" count="1" selected="0">
            <x v="0"/>
          </reference>
          <reference field="1" count="1" selected="0">
            <x v="2"/>
          </reference>
        </references>
      </pivotArea>
    </chartFormat>
    <chartFormat chart="157" format="41" series="1">
      <pivotArea type="data" outline="0" fieldPosition="0">
        <references count="2">
          <reference field="4294967294" count="1" selected="0">
            <x v="0"/>
          </reference>
          <reference field="1" count="1" selected="0">
            <x v="3"/>
          </reference>
        </references>
      </pivotArea>
    </chartFormat>
    <chartFormat chart="157" format="42" series="1">
      <pivotArea type="data" outline="0" fieldPosition="0">
        <references count="2">
          <reference field="4294967294" count="1" selected="0">
            <x v="0"/>
          </reference>
          <reference field="1" count="1" selected="0">
            <x v="4"/>
          </reference>
        </references>
      </pivotArea>
    </chartFormat>
    <chartFormat chart="157" format="43" series="1">
      <pivotArea type="data" outline="0" fieldPosition="0">
        <references count="2">
          <reference field="4294967294" count="1" selected="0">
            <x v="0"/>
          </reference>
          <reference field="1" count="1" selected="0">
            <x v="5"/>
          </reference>
        </references>
      </pivotArea>
    </chartFormat>
    <chartFormat chart="157" format="44" series="1">
      <pivotArea type="data" outline="0" fieldPosition="0">
        <references count="2">
          <reference field="4294967294" count="1" selected="0">
            <x v="0"/>
          </reference>
          <reference field="1" count="1" selected="0">
            <x v="6"/>
          </reference>
        </references>
      </pivotArea>
    </chartFormat>
    <chartFormat chart="162" format="31" series="1">
      <pivotArea type="data" outline="0" fieldPosition="0">
        <references count="2">
          <reference field="4294967294" count="1" selected="0">
            <x v="0"/>
          </reference>
          <reference field="1" count="1" selected="0">
            <x v="0"/>
          </reference>
        </references>
      </pivotArea>
    </chartFormat>
    <chartFormat chart="162" format="32" series="1">
      <pivotArea type="data" outline="0" fieldPosition="0">
        <references count="2">
          <reference field="4294967294" count="1" selected="0">
            <x v="0"/>
          </reference>
          <reference field="1" count="1" selected="0">
            <x v="1"/>
          </reference>
        </references>
      </pivotArea>
    </chartFormat>
    <chartFormat chart="162" format="33" series="1">
      <pivotArea type="data" outline="0" fieldPosition="0">
        <references count="2">
          <reference field="4294967294" count="1" selected="0">
            <x v="0"/>
          </reference>
          <reference field="1" count="1" selected="0">
            <x v="2"/>
          </reference>
        </references>
      </pivotArea>
    </chartFormat>
    <chartFormat chart="162" format="34" series="1">
      <pivotArea type="data" outline="0" fieldPosition="0">
        <references count="2">
          <reference field="4294967294" count="1" selected="0">
            <x v="0"/>
          </reference>
          <reference field="1" count="1" selected="0">
            <x v="3"/>
          </reference>
        </references>
      </pivotArea>
    </chartFormat>
    <chartFormat chart="162" format="35" series="1">
      <pivotArea type="data" outline="0" fieldPosition="0">
        <references count="2">
          <reference field="4294967294" count="1" selected="0">
            <x v="0"/>
          </reference>
          <reference field="1" count="1" selected="0">
            <x v="4"/>
          </reference>
        </references>
      </pivotArea>
    </chartFormat>
    <chartFormat chart="162" format="36" series="1">
      <pivotArea type="data" outline="0" fieldPosition="0">
        <references count="2">
          <reference field="4294967294" count="1" selected="0">
            <x v="0"/>
          </reference>
          <reference field="1" count="1" selected="0">
            <x v="5"/>
          </reference>
        </references>
      </pivotArea>
    </chartFormat>
    <chartFormat chart="162" format="37" series="1">
      <pivotArea type="data" outline="0" fieldPosition="0">
        <references count="2">
          <reference field="4294967294" count="1" selected="0">
            <x v="0"/>
          </reference>
          <reference field="1" count="1" selected="0">
            <x v="6"/>
          </reference>
        </references>
      </pivotArea>
    </chartFormat>
    <chartFormat chart="163" format="38" series="1">
      <pivotArea type="data" outline="0" fieldPosition="0">
        <references count="2">
          <reference field="4294967294" count="1" selected="0">
            <x v="0"/>
          </reference>
          <reference field="1" count="1" selected="0">
            <x v="0"/>
          </reference>
        </references>
      </pivotArea>
    </chartFormat>
    <chartFormat chart="163" format="39" series="1">
      <pivotArea type="data" outline="0" fieldPosition="0">
        <references count="2">
          <reference field="4294967294" count="1" selected="0">
            <x v="0"/>
          </reference>
          <reference field="1" count="1" selected="0">
            <x v="1"/>
          </reference>
        </references>
      </pivotArea>
    </chartFormat>
    <chartFormat chart="163" format="40" series="1">
      <pivotArea type="data" outline="0" fieldPosition="0">
        <references count="2">
          <reference field="4294967294" count="1" selected="0">
            <x v="0"/>
          </reference>
          <reference field="1" count="1" selected="0">
            <x v="2"/>
          </reference>
        </references>
      </pivotArea>
    </chartFormat>
    <chartFormat chart="163" format="41" series="1">
      <pivotArea type="data" outline="0" fieldPosition="0">
        <references count="2">
          <reference field="4294967294" count="1" selected="0">
            <x v="0"/>
          </reference>
          <reference field="1" count="1" selected="0">
            <x v="3"/>
          </reference>
        </references>
      </pivotArea>
    </chartFormat>
    <chartFormat chart="163" format="42" series="1">
      <pivotArea type="data" outline="0" fieldPosition="0">
        <references count="2">
          <reference field="4294967294" count="1" selected="0">
            <x v="0"/>
          </reference>
          <reference field="1" count="1" selected="0">
            <x v="4"/>
          </reference>
        </references>
      </pivotArea>
    </chartFormat>
    <chartFormat chart="163" format="43" series="1">
      <pivotArea type="data" outline="0" fieldPosition="0">
        <references count="2">
          <reference field="4294967294" count="1" selected="0">
            <x v="0"/>
          </reference>
          <reference field="1" count="1" selected="0">
            <x v="5"/>
          </reference>
        </references>
      </pivotArea>
    </chartFormat>
    <chartFormat chart="163" format="44" series="1">
      <pivotArea type="data" outline="0" fieldPosition="0">
        <references count="2">
          <reference field="4294967294" count="1" selected="0">
            <x v="0"/>
          </reference>
          <reference field="1" count="1" selected="0">
            <x v="6"/>
          </reference>
        </references>
      </pivotArea>
    </chartFormat>
    <chartFormat chart="168" format="31" series="1">
      <pivotArea type="data" outline="0" fieldPosition="0">
        <references count="2">
          <reference field="4294967294" count="1" selected="0">
            <x v="0"/>
          </reference>
          <reference field="1" count="1" selected="0">
            <x v="0"/>
          </reference>
        </references>
      </pivotArea>
    </chartFormat>
    <chartFormat chart="168" format="32" series="1">
      <pivotArea type="data" outline="0" fieldPosition="0">
        <references count="2">
          <reference field="4294967294" count="1" selected="0">
            <x v="0"/>
          </reference>
          <reference field="1" count="1" selected="0">
            <x v="1"/>
          </reference>
        </references>
      </pivotArea>
    </chartFormat>
    <chartFormat chart="168" format="33" series="1">
      <pivotArea type="data" outline="0" fieldPosition="0">
        <references count="2">
          <reference field="4294967294" count="1" selected="0">
            <x v="0"/>
          </reference>
          <reference field="1" count="1" selected="0">
            <x v="2"/>
          </reference>
        </references>
      </pivotArea>
    </chartFormat>
    <chartFormat chart="168" format="34" series="1">
      <pivotArea type="data" outline="0" fieldPosition="0">
        <references count="2">
          <reference field="4294967294" count="1" selected="0">
            <x v="0"/>
          </reference>
          <reference field="1" count="1" selected="0">
            <x v="3"/>
          </reference>
        </references>
      </pivotArea>
    </chartFormat>
    <chartFormat chart="168" format="35" series="1">
      <pivotArea type="data" outline="0" fieldPosition="0">
        <references count="2">
          <reference field="4294967294" count="1" selected="0">
            <x v="0"/>
          </reference>
          <reference field="1" count="1" selected="0">
            <x v="4"/>
          </reference>
        </references>
      </pivotArea>
    </chartFormat>
    <chartFormat chart="168" format="36" series="1">
      <pivotArea type="data" outline="0" fieldPosition="0">
        <references count="2">
          <reference field="4294967294" count="1" selected="0">
            <x v="0"/>
          </reference>
          <reference field="1" count="1" selected="0">
            <x v="5"/>
          </reference>
        </references>
      </pivotArea>
    </chartFormat>
    <chartFormat chart="168" format="37" series="1">
      <pivotArea type="data" outline="0" fieldPosition="0">
        <references count="2">
          <reference field="4294967294" count="1" selected="0">
            <x v="0"/>
          </reference>
          <reference field="1" count="1" selected="0">
            <x v="6"/>
          </reference>
        </references>
      </pivotArea>
    </chartFormat>
    <chartFormat chart="169" format="38" series="1">
      <pivotArea type="data" outline="0" fieldPosition="0">
        <references count="2">
          <reference field="4294967294" count="1" selected="0">
            <x v="0"/>
          </reference>
          <reference field="1" count="1" selected="0">
            <x v="0"/>
          </reference>
        </references>
      </pivotArea>
    </chartFormat>
    <chartFormat chart="169" format="39" series="1">
      <pivotArea type="data" outline="0" fieldPosition="0">
        <references count="2">
          <reference field="4294967294" count="1" selected="0">
            <x v="0"/>
          </reference>
          <reference field="1" count="1" selected="0">
            <x v="1"/>
          </reference>
        </references>
      </pivotArea>
    </chartFormat>
    <chartFormat chart="169" format="40" series="1">
      <pivotArea type="data" outline="0" fieldPosition="0">
        <references count="2">
          <reference field="4294967294" count="1" selected="0">
            <x v="0"/>
          </reference>
          <reference field="1" count="1" selected="0">
            <x v="2"/>
          </reference>
        </references>
      </pivotArea>
    </chartFormat>
    <chartFormat chart="169" format="41" series="1">
      <pivotArea type="data" outline="0" fieldPosition="0">
        <references count="2">
          <reference field="4294967294" count="1" selected="0">
            <x v="0"/>
          </reference>
          <reference field="1" count="1" selected="0">
            <x v="3"/>
          </reference>
        </references>
      </pivotArea>
    </chartFormat>
    <chartFormat chart="169" format="42" series="1">
      <pivotArea type="data" outline="0" fieldPosition="0">
        <references count="2">
          <reference field="4294967294" count="1" selected="0">
            <x v="0"/>
          </reference>
          <reference field="1" count="1" selected="0">
            <x v="4"/>
          </reference>
        </references>
      </pivotArea>
    </chartFormat>
    <chartFormat chart="169" format="43" series="1">
      <pivotArea type="data" outline="0" fieldPosition="0">
        <references count="2">
          <reference field="4294967294" count="1" selected="0">
            <x v="0"/>
          </reference>
          <reference field="1" count="1" selected="0">
            <x v="5"/>
          </reference>
        </references>
      </pivotArea>
    </chartFormat>
    <chartFormat chart="169" format="44" series="1">
      <pivotArea type="data" outline="0" fieldPosition="0">
        <references count="2">
          <reference field="4294967294" count="1" selected="0">
            <x v="0"/>
          </reference>
          <reference field="1" count="1" selected="0">
            <x v="6"/>
          </reference>
        </references>
      </pivotArea>
    </chartFormat>
    <chartFormat chart="174" format="31" series="1">
      <pivotArea type="data" outline="0" fieldPosition="0">
        <references count="2">
          <reference field="4294967294" count="1" selected="0">
            <x v="0"/>
          </reference>
          <reference field="1" count="1" selected="0">
            <x v="0"/>
          </reference>
        </references>
      </pivotArea>
    </chartFormat>
    <chartFormat chart="174" format="32" series="1">
      <pivotArea type="data" outline="0" fieldPosition="0">
        <references count="2">
          <reference field="4294967294" count="1" selected="0">
            <x v="0"/>
          </reference>
          <reference field="1" count="1" selected="0">
            <x v="1"/>
          </reference>
        </references>
      </pivotArea>
    </chartFormat>
    <chartFormat chart="174" format="33" series="1">
      <pivotArea type="data" outline="0" fieldPosition="0">
        <references count="2">
          <reference field="4294967294" count="1" selected="0">
            <x v="0"/>
          </reference>
          <reference field="1" count="1" selected="0">
            <x v="2"/>
          </reference>
        </references>
      </pivotArea>
    </chartFormat>
    <chartFormat chart="174" format="34" series="1">
      <pivotArea type="data" outline="0" fieldPosition="0">
        <references count="2">
          <reference field="4294967294" count="1" selected="0">
            <x v="0"/>
          </reference>
          <reference field="1" count="1" selected="0">
            <x v="3"/>
          </reference>
        </references>
      </pivotArea>
    </chartFormat>
    <chartFormat chart="174" format="35" series="1">
      <pivotArea type="data" outline="0" fieldPosition="0">
        <references count="2">
          <reference field="4294967294" count="1" selected="0">
            <x v="0"/>
          </reference>
          <reference field="1" count="1" selected="0">
            <x v="4"/>
          </reference>
        </references>
      </pivotArea>
    </chartFormat>
    <chartFormat chart="174" format="36" series="1">
      <pivotArea type="data" outline="0" fieldPosition="0">
        <references count="2">
          <reference field="4294967294" count="1" selected="0">
            <x v="0"/>
          </reference>
          <reference field="1" count="1" selected="0">
            <x v="5"/>
          </reference>
        </references>
      </pivotArea>
    </chartFormat>
    <chartFormat chart="174" format="37" series="1">
      <pivotArea type="data" outline="0" fieldPosition="0">
        <references count="2">
          <reference field="4294967294" count="1" selected="0">
            <x v="0"/>
          </reference>
          <reference field="1" count="1" selected="0">
            <x v="6"/>
          </reference>
        </references>
      </pivotArea>
    </chartFormat>
    <chartFormat chart="175" format="38" series="1">
      <pivotArea type="data" outline="0" fieldPosition="0">
        <references count="2">
          <reference field="4294967294" count="1" selected="0">
            <x v="0"/>
          </reference>
          <reference field="1" count="1" selected="0">
            <x v="0"/>
          </reference>
        </references>
      </pivotArea>
    </chartFormat>
    <chartFormat chart="175" format="39" series="1">
      <pivotArea type="data" outline="0" fieldPosition="0">
        <references count="2">
          <reference field="4294967294" count="1" selected="0">
            <x v="0"/>
          </reference>
          <reference field="1" count="1" selected="0">
            <x v="1"/>
          </reference>
        </references>
      </pivotArea>
    </chartFormat>
    <chartFormat chart="175" format="40" series="1">
      <pivotArea type="data" outline="0" fieldPosition="0">
        <references count="2">
          <reference field="4294967294" count="1" selected="0">
            <x v="0"/>
          </reference>
          <reference field="1" count="1" selected="0">
            <x v="2"/>
          </reference>
        </references>
      </pivotArea>
    </chartFormat>
    <chartFormat chart="175" format="41" series="1">
      <pivotArea type="data" outline="0" fieldPosition="0">
        <references count="2">
          <reference field="4294967294" count="1" selected="0">
            <x v="0"/>
          </reference>
          <reference field="1" count="1" selected="0">
            <x v="3"/>
          </reference>
        </references>
      </pivotArea>
    </chartFormat>
    <chartFormat chart="175" format="42" series="1">
      <pivotArea type="data" outline="0" fieldPosition="0">
        <references count="2">
          <reference field="4294967294" count="1" selected="0">
            <x v="0"/>
          </reference>
          <reference field="1" count="1" selected="0">
            <x v="4"/>
          </reference>
        </references>
      </pivotArea>
    </chartFormat>
    <chartFormat chart="175" format="43" series="1">
      <pivotArea type="data" outline="0" fieldPosition="0">
        <references count="2">
          <reference field="4294967294" count="1" selected="0">
            <x v="0"/>
          </reference>
          <reference field="1" count="1" selected="0">
            <x v="5"/>
          </reference>
        </references>
      </pivotArea>
    </chartFormat>
    <chartFormat chart="175" format="44" series="1">
      <pivotArea type="data" outline="0" fieldPosition="0">
        <references count="2">
          <reference field="4294967294" count="1" selected="0">
            <x v="0"/>
          </reference>
          <reference field="1" count="1" selected="0">
            <x v="6"/>
          </reference>
        </references>
      </pivotArea>
    </chartFormat>
    <chartFormat chart="177" format="31" series="1">
      <pivotArea type="data" outline="0" fieldPosition="0">
        <references count="2">
          <reference field="4294967294" count="1" selected="0">
            <x v="0"/>
          </reference>
          <reference field="1" count="1" selected="0">
            <x v="0"/>
          </reference>
        </references>
      </pivotArea>
    </chartFormat>
    <chartFormat chart="177" format="32" series="1">
      <pivotArea type="data" outline="0" fieldPosition="0">
        <references count="2">
          <reference field="4294967294" count="1" selected="0">
            <x v="0"/>
          </reference>
          <reference field="1" count="1" selected="0">
            <x v="1"/>
          </reference>
        </references>
      </pivotArea>
    </chartFormat>
    <chartFormat chart="177" format="33" series="1">
      <pivotArea type="data" outline="0" fieldPosition="0">
        <references count="2">
          <reference field="4294967294" count="1" selected="0">
            <x v="0"/>
          </reference>
          <reference field="1" count="1" selected="0">
            <x v="2"/>
          </reference>
        </references>
      </pivotArea>
    </chartFormat>
    <chartFormat chart="177" format="34" series="1">
      <pivotArea type="data" outline="0" fieldPosition="0">
        <references count="2">
          <reference field="4294967294" count="1" selected="0">
            <x v="0"/>
          </reference>
          <reference field="1" count="1" selected="0">
            <x v="3"/>
          </reference>
        </references>
      </pivotArea>
    </chartFormat>
    <chartFormat chart="177" format="35" series="1">
      <pivotArea type="data" outline="0" fieldPosition="0">
        <references count="2">
          <reference field="4294967294" count="1" selected="0">
            <x v="0"/>
          </reference>
          <reference field="1" count="1" selected="0">
            <x v="4"/>
          </reference>
        </references>
      </pivotArea>
    </chartFormat>
    <chartFormat chart="177" format="36" series="1">
      <pivotArea type="data" outline="0" fieldPosition="0">
        <references count="2">
          <reference field="4294967294" count="1" selected="0">
            <x v="0"/>
          </reference>
          <reference field="1" count="1" selected="0">
            <x v="5"/>
          </reference>
        </references>
      </pivotArea>
    </chartFormat>
    <chartFormat chart="177" format="37" series="1">
      <pivotArea type="data" outline="0" fieldPosition="0">
        <references count="2">
          <reference field="4294967294" count="1" selected="0">
            <x v="0"/>
          </reference>
          <reference field="1" count="1" selected="0">
            <x v="6"/>
          </reference>
        </references>
      </pivotArea>
    </chartFormat>
    <chartFormat chart="178" format="38" series="1">
      <pivotArea type="data" outline="0" fieldPosition="0">
        <references count="2">
          <reference field="4294967294" count="1" selected="0">
            <x v="0"/>
          </reference>
          <reference field="1" count="1" selected="0">
            <x v="0"/>
          </reference>
        </references>
      </pivotArea>
    </chartFormat>
    <chartFormat chart="178" format="39" series="1">
      <pivotArea type="data" outline="0" fieldPosition="0">
        <references count="2">
          <reference field="4294967294" count="1" selected="0">
            <x v="0"/>
          </reference>
          <reference field="1" count="1" selected="0">
            <x v="1"/>
          </reference>
        </references>
      </pivotArea>
    </chartFormat>
    <chartFormat chart="178" format="40" series="1">
      <pivotArea type="data" outline="0" fieldPosition="0">
        <references count="2">
          <reference field="4294967294" count="1" selected="0">
            <x v="0"/>
          </reference>
          <reference field="1" count="1" selected="0">
            <x v="2"/>
          </reference>
        </references>
      </pivotArea>
    </chartFormat>
    <chartFormat chart="178" format="41" series="1">
      <pivotArea type="data" outline="0" fieldPosition="0">
        <references count="2">
          <reference field="4294967294" count="1" selected="0">
            <x v="0"/>
          </reference>
          <reference field="1" count="1" selected="0">
            <x v="3"/>
          </reference>
        </references>
      </pivotArea>
    </chartFormat>
    <chartFormat chart="178" format="42" series="1">
      <pivotArea type="data" outline="0" fieldPosition="0">
        <references count="2">
          <reference field="4294967294" count="1" selected="0">
            <x v="0"/>
          </reference>
          <reference field="1" count="1" selected="0">
            <x v="4"/>
          </reference>
        </references>
      </pivotArea>
    </chartFormat>
    <chartFormat chart="178" format="43" series="1">
      <pivotArea type="data" outline="0" fieldPosition="0">
        <references count="2">
          <reference field="4294967294" count="1" selected="0">
            <x v="0"/>
          </reference>
          <reference field="1" count="1" selected="0">
            <x v="5"/>
          </reference>
        </references>
      </pivotArea>
    </chartFormat>
    <chartFormat chart="178" format="44" series="1">
      <pivotArea type="data" outline="0" fieldPosition="0">
        <references count="2">
          <reference field="4294967294" count="1" selected="0">
            <x v="0"/>
          </reference>
          <reference field="1" count="1" selected="0">
            <x v="6"/>
          </reference>
        </references>
      </pivotArea>
    </chartFormat>
    <chartFormat chart="183" format="31" series="1">
      <pivotArea type="data" outline="0" fieldPosition="0">
        <references count="2">
          <reference field="4294967294" count="1" selected="0">
            <x v="0"/>
          </reference>
          <reference field="1" count="1" selected="0">
            <x v="0"/>
          </reference>
        </references>
      </pivotArea>
    </chartFormat>
    <chartFormat chart="183" format="32" series="1">
      <pivotArea type="data" outline="0" fieldPosition="0">
        <references count="2">
          <reference field="4294967294" count="1" selected="0">
            <x v="0"/>
          </reference>
          <reference field="1" count="1" selected="0">
            <x v="1"/>
          </reference>
        </references>
      </pivotArea>
    </chartFormat>
    <chartFormat chart="183" format="33" series="1">
      <pivotArea type="data" outline="0" fieldPosition="0">
        <references count="2">
          <reference field="4294967294" count="1" selected="0">
            <x v="0"/>
          </reference>
          <reference field="1" count="1" selected="0">
            <x v="2"/>
          </reference>
        </references>
      </pivotArea>
    </chartFormat>
    <chartFormat chart="183" format="34" series="1">
      <pivotArea type="data" outline="0" fieldPosition="0">
        <references count="2">
          <reference field="4294967294" count="1" selected="0">
            <x v="0"/>
          </reference>
          <reference field="1" count="1" selected="0">
            <x v="3"/>
          </reference>
        </references>
      </pivotArea>
    </chartFormat>
    <chartFormat chart="183" format="35" series="1">
      <pivotArea type="data" outline="0" fieldPosition="0">
        <references count="2">
          <reference field="4294967294" count="1" selected="0">
            <x v="0"/>
          </reference>
          <reference field="1" count="1" selected="0">
            <x v="4"/>
          </reference>
        </references>
      </pivotArea>
    </chartFormat>
    <chartFormat chart="183" format="36" series="1">
      <pivotArea type="data" outline="0" fieldPosition="0">
        <references count="2">
          <reference field="4294967294" count="1" selected="0">
            <x v="0"/>
          </reference>
          <reference field="1" count="1" selected="0">
            <x v="5"/>
          </reference>
        </references>
      </pivotArea>
    </chartFormat>
    <chartFormat chart="183" format="37" series="1">
      <pivotArea type="data" outline="0" fieldPosition="0">
        <references count="2">
          <reference field="4294967294" count="1" selected="0">
            <x v="0"/>
          </reference>
          <reference field="1" count="1" selected="0">
            <x v="6"/>
          </reference>
        </references>
      </pivotArea>
    </chartFormat>
    <chartFormat chart="184" format="38" series="1">
      <pivotArea type="data" outline="0" fieldPosition="0">
        <references count="2">
          <reference field="4294967294" count="1" selected="0">
            <x v="0"/>
          </reference>
          <reference field="1" count="1" selected="0">
            <x v="0"/>
          </reference>
        </references>
      </pivotArea>
    </chartFormat>
    <chartFormat chart="184" format="39" series="1">
      <pivotArea type="data" outline="0" fieldPosition="0">
        <references count="2">
          <reference field="4294967294" count="1" selected="0">
            <x v="0"/>
          </reference>
          <reference field="1" count="1" selected="0">
            <x v="1"/>
          </reference>
        </references>
      </pivotArea>
    </chartFormat>
    <chartFormat chart="184" format="40" series="1">
      <pivotArea type="data" outline="0" fieldPosition="0">
        <references count="2">
          <reference field="4294967294" count="1" selected="0">
            <x v="0"/>
          </reference>
          <reference field="1" count="1" selected="0">
            <x v="2"/>
          </reference>
        </references>
      </pivotArea>
    </chartFormat>
    <chartFormat chart="184" format="41" series="1">
      <pivotArea type="data" outline="0" fieldPosition="0">
        <references count="2">
          <reference field="4294967294" count="1" selected="0">
            <x v="0"/>
          </reference>
          <reference field="1" count="1" selected="0">
            <x v="3"/>
          </reference>
        </references>
      </pivotArea>
    </chartFormat>
    <chartFormat chart="184" format="42" series="1">
      <pivotArea type="data" outline="0" fieldPosition="0">
        <references count="2">
          <reference field="4294967294" count="1" selected="0">
            <x v="0"/>
          </reference>
          <reference field="1" count="1" selected="0">
            <x v="4"/>
          </reference>
        </references>
      </pivotArea>
    </chartFormat>
    <chartFormat chart="184" format="43" series="1">
      <pivotArea type="data" outline="0" fieldPosition="0">
        <references count="2">
          <reference field="4294967294" count="1" selected="0">
            <x v="0"/>
          </reference>
          <reference field="1" count="1" selected="0">
            <x v="5"/>
          </reference>
        </references>
      </pivotArea>
    </chartFormat>
    <chartFormat chart="184" format="44" series="1">
      <pivotArea type="data" outline="0" fieldPosition="0">
        <references count="2">
          <reference field="4294967294" count="1" selected="0">
            <x v="0"/>
          </reference>
          <reference field="1" count="1" selected="0">
            <x v="6"/>
          </reference>
        </references>
      </pivotArea>
    </chartFormat>
    <chartFormat chart="186" format="31" series="1">
      <pivotArea type="data" outline="0" fieldPosition="0">
        <references count="2">
          <reference field="4294967294" count="1" selected="0">
            <x v="0"/>
          </reference>
          <reference field="1" count="1" selected="0">
            <x v="0"/>
          </reference>
        </references>
      </pivotArea>
    </chartFormat>
    <chartFormat chart="186" format="32" series="1">
      <pivotArea type="data" outline="0" fieldPosition="0">
        <references count="2">
          <reference field="4294967294" count="1" selected="0">
            <x v="0"/>
          </reference>
          <reference field="1" count="1" selected="0">
            <x v="1"/>
          </reference>
        </references>
      </pivotArea>
    </chartFormat>
    <chartFormat chart="186" format="33" series="1">
      <pivotArea type="data" outline="0" fieldPosition="0">
        <references count="2">
          <reference field="4294967294" count="1" selected="0">
            <x v="0"/>
          </reference>
          <reference field="1" count="1" selected="0">
            <x v="2"/>
          </reference>
        </references>
      </pivotArea>
    </chartFormat>
    <chartFormat chart="186" format="34" series="1">
      <pivotArea type="data" outline="0" fieldPosition="0">
        <references count="2">
          <reference field="4294967294" count="1" selected="0">
            <x v="0"/>
          </reference>
          <reference field="1" count="1" selected="0">
            <x v="3"/>
          </reference>
        </references>
      </pivotArea>
    </chartFormat>
    <chartFormat chart="186" format="35" series="1">
      <pivotArea type="data" outline="0" fieldPosition="0">
        <references count="2">
          <reference field="4294967294" count="1" selected="0">
            <x v="0"/>
          </reference>
          <reference field="1" count="1" selected="0">
            <x v="4"/>
          </reference>
        </references>
      </pivotArea>
    </chartFormat>
    <chartFormat chart="186" format="36" series="1">
      <pivotArea type="data" outline="0" fieldPosition="0">
        <references count="2">
          <reference field="4294967294" count="1" selected="0">
            <x v="0"/>
          </reference>
          <reference field="1" count="1" selected="0">
            <x v="5"/>
          </reference>
        </references>
      </pivotArea>
    </chartFormat>
    <chartFormat chart="186" format="37" series="1">
      <pivotArea type="data" outline="0" fieldPosition="0">
        <references count="2">
          <reference field="4294967294" count="1" selected="0">
            <x v="0"/>
          </reference>
          <reference field="1" count="1" selected="0">
            <x v="6"/>
          </reference>
        </references>
      </pivotArea>
    </chartFormat>
    <chartFormat chart="187" format="31" series="1">
      <pivotArea type="data" outline="0" fieldPosition="0">
        <references count="2">
          <reference field="4294967294" count="1" selected="0">
            <x v="0"/>
          </reference>
          <reference field="1" count="1" selected="0">
            <x v="0"/>
          </reference>
        </references>
      </pivotArea>
    </chartFormat>
    <chartFormat chart="187" format="32" series="1">
      <pivotArea type="data" outline="0" fieldPosition="0">
        <references count="2">
          <reference field="4294967294" count="1" selected="0">
            <x v="0"/>
          </reference>
          <reference field="1" count="1" selected="0">
            <x v="1"/>
          </reference>
        </references>
      </pivotArea>
    </chartFormat>
    <chartFormat chart="187" format="33" series="1">
      <pivotArea type="data" outline="0" fieldPosition="0">
        <references count="2">
          <reference field="4294967294" count="1" selected="0">
            <x v="0"/>
          </reference>
          <reference field="1" count="1" selected="0">
            <x v="2"/>
          </reference>
        </references>
      </pivotArea>
    </chartFormat>
    <chartFormat chart="187" format="34" series="1">
      <pivotArea type="data" outline="0" fieldPosition="0">
        <references count="2">
          <reference field="4294967294" count="1" selected="0">
            <x v="0"/>
          </reference>
          <reference field="1" count="1" selected="0">
            <x v="3"/>
          </reference>
        </references>
      </pivotArea>
    </chartFormat>
    <chartFormat chart="187" format="35" series="1">
      <pivotArea type="data" outline="0" fieldPosition="0">
        <references count="2">
          <reference field="4294967294" count="1" selected="0">
            <x v="0"/>
          </reference>
          <reference field="1" count="1" selected="0">
            <x v="4"/>
          </reference>
        </references>
      </pivotArea>
    </chartFormat>
    <chartFormat chart="187" format="36" series="1">
      <pivotArea type="data" outline="0" fieldPosition="0">
        <references count="2">
          <reference field="4294967294" count="1" selected="0">
            <x v="0"/>
          </reference>
          <reference field="1" count="1" selected="0">
            <x v="5"/>
          </reference>
        </references>
      </pivotArea>
    </chartFormat>
    <chartFormat chart="187" format="37" series="1">
      <pivotArea type="data" outline="0" fieldPosition="0">
        <references count="2">
          <reference field="4294967294" count="1" selected="0">
            <x v="0"/>
          </reference>
          <reference field="1" count="1" selected="0">
            <x v="6"/>
          </reference>
        </references>
      </pivotArea>
    </chartFormat>
    <chartFormat chart="188" format="38" series="1">
      <pivotArea type="data" outline="0" fieldPosition="0">
        <references count="2">
          <reference field="4294967294" count="1" selected="0">
            <x v="0"/>
          </reference>
          <reference field="1" count="1" selected="0">
            <x v="0"/>
          </reference>
        </references>
      </pivotArea>
    </chartFormat>
    <chartFormat chart="188" format="39" series="1">
      <pivotArea type="data" outline="0" fieldPosition="0">
        <references count="2">
          <reference field="4294967294" count="1" selected="0">
            <x v="0"/>
          </reference>
          <reference field="1" count="1" selected="0">
            <x v="1"/>
          </reference>
        </references>
      </pivotArea>
    </chartFormat>
    <chartFormat chart="188" format="40" series="1">
      <pivotArea type="data" outline="0" fieldPosition="0">
        <references count="2">
          <reference field="4294967294" count="1" selected="0">
            <x v="0"/>
          </reference>
          <reference field="1" count="1" selected="0">
            <x v="2"/>
          </reference>
        </references>
      </pivotArea>
    </chartFormat>
    <chartFormat chart="188" format="41" series="1">
      <pivotArea type="data" outline="0" fieldPosition="0">
        <references count="2">
          <reference field="4294967294" count="1" selected="0">
            <x v="0"/>
          </reference>
          <reference field="1" count="1" selected="0">
            <x v="3"/>
          </reference>
        </references>
      </pivotArea>
    </chartFormat>
    <chartFormat chart="188" format="42" series="1">
      <pivotArea type="data" outline="0" fieldPosition="0">
        <references count="2">
          <reference field="4294967294" count="1" selected="0">
            <x v="0"/>
          </reference>
          <reference field="1" count="1" selected="0">
            <x v="4"/>
          </reference>
        </references>
      </pivotArea>
    </chartFormat>
    <chartFormat chart="188" format="43" series="1">
      <pivotArea type="data" outline="0" fieldPosition="0">
        <references count="2">
          <reference field="4294967294" count="1" selected="0">
            <x v="0"/>
          </reference>
          <reference field="1" count="1" selected="0">
            <x v="5"/>
          </reference>
        </references>
      </pivotArea>
    </chartFormat>
    <chartFormat chart="188" format="44" series="1">
      <pivotArea type="data" outline="0" fieldPosition="0">
        <references count="2">
          <reference field="4294967294" count="1" selected="0">
            <x v="0"/>
          </reference>
          <reference field="1" count="1" selected="0">
            <x v="6"/>
          </reference>
        </references>
      </pivotArea>
    </chartFormat>
    <chartFormat chart="191" format="31" series="1">
      <pivotArea type="data" outline="0" fieldPosition="0">
        <references count="2">
          <reference field="4294967294" count="1" selected="0">
            <x v="0"/>
          </reference>
          <reference field="1" count="1" selected="0">
            <x v="0"/>
          </reference>
        </references>
      </pivotArea>
    </chartFormat>
    <chartFormat chart="191" format="32" series="1">
      <pivotArea type="data" outline="0" fieldPosition="0">
        <references count="2">
          <reference field="4294967294" count="1" selected="0">
            <x v="0"/>
          </reference>
          <reference field="1" count="1" selected="0">
            <x v="1"/>
          </reference>
        </references>
      </pivotArea>
    </chartFormat>
    <chartFormat chart="191" format="33" series="1">
      <pivotArea type="data" outline="0" fieldPosition="0">
        <references count="2">
          <reference field="4294967294" count="1" selected="0">
            <x v="0"/>
          </reference>
          <reference field="1" count="1" selected="0">
            <x v="2"/>
          </reference>
        </references>
      </pivotArea>
    </chartFormat>
    <chartFormat chart="191" format="34" series="1">
      <pivotArea type="data" outline="0" fieldPosition="0">
        <references count="2">
          <reference field="4294967294" count="1" selected="0">
            <x v="0"/>
          </reference>
          <reference field="1" count="1" selected="0">
            <x v="3"/>
          </reference>
        </references>
      </pivotArea>
    </chartFormat>
    <chartFormat chart="191" format="35" series="1">
      <pivotArea type="data" outline="0" fieldPosition="0">
        <references count="2">
          <reference field="4294967294" count="1" selected="0">
            <x v="0"/>
          </reference>
          <reference field="1" count="1" selected="0">
            <x v="4"/>
          </reference>
        </references>
      </pivotArea>
    </chartFormat>
    <chartFormat chart="191" format="36" series="1">
      <pivotArea type="data" outline="0" fieldPosition="0">
        <references count="2">
          <reference field="4294967294" count="1" selected="0">
            <x v="0"/>
          </reference>
          <reference field="1" count="1" selected="0">
            <x v="5"/>
          </reference>
        </references>
      </pivotArea>
    </chartFormat>
    <chartFormat chart="191" format="37" series="1">
      <pivotArea type="data" outline="0" fieldPosition="0">
        <references count="2">
          <reference field="4294967294" count="1" selected="0">
            <x v="0"/>
          </reference>
          <reference field="1" count="1" selected="0">
            <x v="6"/>
          </reference>
        </references>
      </pivotArea>
    </chartFormat>
    <chartFormat chart="192" format="38" series="1">
      <pivotArea type="data" outline="0" fieldPosition="0">
        <references count="2">
          <reference field="4294967294" count="1" selected="0">
            <x v="0"/>
          </reference>
          <reference field="1" count="1" selected="0">
            <x v="0"/>
          </reference>
        </references>
      </pivotArea>
    </chartFormat>
    <chartFormat chart="192" format="39" series="1">
      <pivotArea type="data" outline="0" fieldPosition="0">
        <references count="2">
          <reference field="4294967294" count="1" selected="0">
            <x v="0"/>
          </reference>
          <reference field="1" count="1" selected="0">
            <x v="1"/>
          </reference>
        </references>
      </pivotArea>
    </chartFormat>
    <chartFormat chart="192" format="40" series="1">
      <pivotArea type="data" outline="0" fieldPosition="0">
        <references count="2">
          <reference field="4294967294" count="1" selected="0">
            <x v="0"/>
          </reference>
          <reference field="1" count="1" selected="0">
            <x v="2"/>
          </reference>
        </references>
      </pivotArea>
    </chartFormat>
    <chartFormat chart="192" format="41" series="1">
      <pivotArea type="data" outline="0" fieldPosition="0">
        <references count="2">
          <reference field="4294967294" count="1" selected="0">
            <x v="0"/>
          </reference>
          <reference field="1" count="1" selected="0">
            <x v="3"/>
          </reference>
        </references>
      </pivotArea>
    </chartFormat>
    <chartFormat chart="192" format="42" series="1">
      <pivotArea type="data" outline="0" fieldPosition="0">
        <references count="2">
          <reference field="4294967294" count="1" selected="0">
            <x v="0"/>
          </reference>
          <reference field="1" count="1" selected="0">
            <x v="4"/>
          </reference>
        </references>
      </pivotArea>
    </chartFormat>
    <chartFormat chart="192" format="43" series="1">
      <pivotArea type="data" outline="0" fieldPosition="0">
        <references count="2">
          <reference field="4294967294" count="1" selected="0">
            <x v="0"/>
          </reference>
          <reference field="1" count="1" selected="0">
            <x v="5"/>
          </reference>
        </references>
      </pivotArea>
    </chartFormat>
    <chartFormat chart="192" format="44" series="1">
      <pivotArea type="data" outline="0" fieldPosition="0">
        <references count="2">
          <reference field="4294967294" count="1" selected="0">
            <x v="0"/>
          </reference>
          <reference field="1" count="1" selected="0">
            <x v="6"/>
          </reference>
        </references>
      </pivotArea>
    </chartFormat>
    <chartFormat chart="200" format="31" series="1">
      <pivotArea type="data" outline="0" fieldPosition="0">
        <references count="2">
          <reference field="4294967294" count="1" selected="0">
            <x v="0"/>
          </reference>
          <reference field="1" count="1" selected="0">
            <x v="0"/>
          </reference>
        </references>
      </pivotArea>
    </chartFormat>
    <chartFormat chart="200" format="32" series="1">
      <pivotArea type="data" outline="0" fieldPosition="0">
        <references count="2">
          <reference field="4294967294" count="1" selected="0">
            <x v="0"/>
          </reference>
          <reference field="1" count="1" selected="0">
            <x v="1"/>
          </reference>
        </references>
      </pivotArea>
    </chartFormat>
    <chartFormat chart="200" format="33" series="1">
      <pivotArea type="data" outline="0" fieldPosition="0">
        <references count="2">
          <reference field="4294967294" count="1" selected="0">
            <x v="0"/>
          </reference>
          <reference field="1" count="1" selected="0">
            <x v="2"/>
          </reference>
        </references>
      </pivotArea>
    </chartFormat>
    <chartFormat chart="200" format="34" series="1">
      <pivotArea type="data" outline="0" fieldPosition="0">
        <references count="2">
          <reference field="4294967294" count="1" selected="0">
            <x v="0"/>
          </reference>
          <reference field="1" count="1" selected="0">
            <x v="3"/>
          </reference>
        </references>
      </pivotArea>
    </chartFormat>
    <chartFormat chart="200" format="35" series="1">
      <pivotArea type="data" outline="0" fieldPosition="0">
        <references count="2">
          <reference field="4294967294" count="1" selected="0">
            <x v="0"/>
          </reference>
          <reference field="1" count="1" selected="0">
            <x v="4"/>
          </reference>
        </references>
      </pivotArea>
    </chartFormat>
    <chartFormat chart="200" format="36" series="1">
      <pivotArea type="data" outline="0" fieldPosition="0">
        <references count="2">
          <reference field="4294967294" count="1" selected="0">
            <x v="0"/>
          </reference>
          <reference field="1" count="1" selected="0">
            <x v="5"/>
          </reference>
        </references>
      </pivotArea>
    </chartFormat>
    <chartFormat chart="200" format="37" series="1">
      <pivotArea type="data" outline="0" fieldPosition="0">
        <references count="2">
          <reference field="4294967294" count="1" selected="0">
            <x v="0"/>
          </reference>
          <reference field="1" count="1" selected="0">
            <x v="6"/>
          </reference>
        </references>
      </pivotArea>
    </chartFormat>
    <chartFormat chart="201" format="38" series="1">
      <pivotArea type="data" outline="0" fieldPosition="0">
        <references count="2">
          <reference field="4294967294" count="1" selected="0">
            <x v="0"/>
          </reference>
          <reference field="1" count="1" selected="0">
            <x v="0"/>
          </reference>
        </references>
      </pivotArea>
    </chartFormat>
    <chartFormat chart="201" format="39" series="1">
      <pivotArea type="data" outline="0" fieldPosition="0">
        <references count="2">
          <reference field="4294967294" count="1" selected="0">
            <x v="0"/>
          </reference>
          <reference field="1" count="1" selected="0">
            <x v="1"/>
          </reference>
        </references>
      </pivotArea>
    </chartFormat>
    <chartFormat chart="201" format="40" series="1">
      <pivotArea type="data" outline="0" fieldPosition="0">
        <references count="2">
          <reference field="4294967294" count="1" selected="0">
            <x v="0"/>
          </reference>
          <reference field="1" count="1" selected="0">
            <x v="2"/>
          </reference>
        </references>
      </pivotArea>
    </chartFormat>
    <chartFormat chart="201" format="41" series="1">
      <pivotArea type="data" outline="0" fieldPosition="0">
        <references count="2">
          <reference field="4294967294" count="1" selected="0">
            <x v="0"/>
          </reference>
          <reference field="1" count="1" selected="0">
            <x v="3"/>
          </reference>
        </references>
      </pivotArea>
    </chartFormat>
    <chartFormat chart="201" format="42" series="1">
      <pivotArea type="data" outline="0" fieldPosition="0">
        <references count="2">
          <reference field="4294967294" count="1" selected="0">
            <x v="0"/>
          </reference>
          <reference field="1" count="1" selected="0">
            <x v="4"/>
          </reference>
        </references>
      </pivotArea>
    </chartFormat>
    <chartFormat chart="201" format="43" series="1">
      <pivotArea type="data" outline="0" fieldPosition="0">
        <references count="2">
          <reference field="4294967294" count="1" selected="0">
            <x v="0"/>
          </reference>
          <reference field="1" count="1" selected="0">
            <x v="5"/>
          </reference>
        </references>
      </pivotArea>
    </chartFormat>
    <chartFormat chart="201" format="44" series="1">
      <pivotArea type="data" outline="0" fieldPosition="0">
        <references count="2">
          <reference field="4294967294" count="1" selected="0">
            <x v="0"/>
          </reference>
          <reference field="1" count="1" selected="0">
            <x v="6"/>
          </reference>
        </references>
      </pivotArea>
    </chartFormat>
    <chartFormat chart="206" format="31" series="1">
      <pivotArea type="data" outline="0" fieldPosition="0">
        <references count="2">
          <reference field="4294967294" count="1" selected="0">
            <x v="0"/>
          </reference>
          <reference field="1" count="1" selected="0">
            <x v="0"/>
          </reference>
        </references>
      </pivotArea>
    </chartFormat>
    <chartFormat chart="206" format="32" series="1">
      <pivotArea type="data" outline="0" fieldPosition="0">
        <references count="2">
          <reference field="4294967294" count="1" selected="0">
            <x v="0"/>
          </reference>
          <reference field="1" count="1" selected="0">
            <x v="1"/>
          </reference>
        </references>
      </pivotArea>
    </chartFormat>
    <chartFormat chart="206" format="33" series="1">
      <pivotArea type="data" outline="0" fieldPosition="0">
        <references count="2">
          <reference field="4294967294" count="1" selected="0">
            <x v="0"/>
          </reference>
          <reference field="1" count="1" selected="0">
            <x v="2"/>
          </reference>
        </references>
      </pivotArea>
    </chartFormat>
    <chartFormat chart="206" format="34" series="1">
      <pivotArea type="data" outline="0" fieldPosition="0">
        <references count="2">
          <reference field="4294967294" count="1" selected="0">
            <x v="0"/>
          </reference>
          <reference field="1" count="1" selected="0">
            <x v="3"/>
          </reference>
        </references>
      </pivotArea>
    </chartFormat>
    <chartFormat chart="206" format="35" series="1">
      <pivotArea type="data" outline="0" fieldPosition="0">
        <references count="2">
          <reference field="4294967294" count="1" selected="0">
            <x v="0"/>
          </reference>
          <reference field="1" count="1" selected="0">
            <x v="4"/>
          </reference>
        </references>
      </pivotArea>
    </chartFormat>
    <chartFormat chart="206" format="36" series="1">
      <pivotArea type="data" outline="0" fieldPosition="0">
        <references count="2">
          <reference field="4294967294" count="1" selected="0">
            <x v="0"/>
          </reference>
          <reference field="1" count="1" selected="0">
            <x v="5"/>
          </reference>
        </references>
      </pivotArea>
    </chartFormat>
    <chartFormat chart="206" format="37" series="1">
      <pivotArea type="data" outline="0" fieldPosition="0">
        <references count="2">
          <reference field="4294967294" count="1" selected="0">
            <x v="0"/>
          </reference>
          <reference field="1" count="1" selected="0">
            <x v="6"/>
          </reference>
        </references>
      </pivotArea>
    </chartFormat>
    <chartFormat chart="207" format="38" series="1">
      <pivotArea type="data" outline="0" fieldPosition="0">
        <references count="2">
          <reference field="4294967294" count="1" selected="0">
            <x v="0"/>
          </reference>
          <reference field="1" count="1" selected="0">
            <x v="0"/>
          </reference>
        </references>
      </pivotArea>
    </chartFormat>
    <chartFormat chart="207" format="39" series="1">
      <pivotArea type="data" outline="0" fieldPosition="0">
        <references count="2">
          <reference field="4294967294" count="1" selected="0">
            <x v="0"/>
          </reference>
          <reference field="1" count="1" selected="0">
            <x v="1"/>
          </reference>
        </references>
      </pivotArea>
    </chartFormat>
    <chartFormat chart="207" format="40" series="1">
      <pivotArea type="data" outline="0" fieldPosition="0">
        <references count="2">
          <reference field="4294967294" count="1" selected="0">
            <x v="0"/>
          </reference>
          <reference field="1" count="1" selected="0">
            <x v="2"/>
          </reference>
        </references>
      </pivotArea>
    </chartFormat>
    <chartFormat chart="207" format="41" series="1">
      <pivotArea type="data" outline="0" fieldPosition="0">
        <references count="2">
          <reference field="4294967294" count="1" selected="0">
            <x v="0"/>
          </reference>
          <reference field="1" count="1" selected="0">
            <x v="3"/>
          </reference>
        </references>
      </pivotArea>
    </chartFormat>
    <chartFormat chart="207" format="42" series="1">
      <pivotArea type="data" outline="0" fieldPosition="0">
        <references count="2">
          <reference field="4294967294" count="1" selected="0">
            <x v="0"/>
          </reference>
          <reference field="1" count="1" selected="0">
            <x v="4"/>
          </reference>
        </references>
      </pivotArea>
    </chartFormat>
    <chartFormat chart="207" format="43" series="1">
      <pivotArea type="data" outline="0" fieldPosition="0">
        <references count="2">
          <reference field="4294967294" count="1" selected="0">
            <x v="0"/>
          </reference>
          <reference field="1" count="1" selected="0">
            <x v="5"/>
          </reference>
        </references>
      </pivotArea>
    </chartFormat>
    <chartFormat chart="207" format="44" series="1">
      <pivotArea type="data" outline="0" fieldPosition="0">
        <references count="2">
          <reference field="4294967294" count="1" selected="0">
            <x v="0"/>
          </reference>
          <reference field="1" count="1" selected="0">
            <x v="6"/>
          </reference>
        </references>
      </pivotArea>
    </chartFormat>
    <chartFormat chart="212" format="31" series="1">
      <pivotArea type="data" outline="0" fieldPosition="0">
        <references count="2">
          <reference field="4294967294" count="1" selected="0">
            <x v="0"/>
          </reference>
          <reference field="1" count="1" selected="0">
            <x v="0"/>
          </reference>
        </references>
      </pivotArea>
    </chartFormat>
    <chartFormat chart="212" format="32" series="1">
      <pivotArea type="data" outline="0" fieldPosition="0">
        <references count="2">
          <reference field="4294967294" count="1" selected="0">
            <x v="0"/>
          </reference>
          <reference field="1" count="1" selected="0">
            <x v="1"/>
          </reference>
        </references>
      </pivotArea>
    </chartFormat>
    <chartFormat chart="212" format="33" series="1">
      <pivotArea type="data" outline="0" fieldPosition="0">
        <references count="2">
          <reference field="4294967294" count="1" selected="0">
            <x v="0"/>
          </reference>
          <reference field="1" count="1" selected="0">
            <x v="2"/>
          </reference>
        </references>
      </pivotArea>
    </chartFormat>
    <chartFormat chart="212" format="34" series="1">
      <pivotArea type="data" outline="0" fieldPosition="0">
        <references count="2">
          <reference field="4294967294" count="1" selected="0">
            <x v="0"/>
          </reference>
          <reference field="1" count="1" selected="0">
            <x v="3"/>
          </reference>
        </references>
      </pivotArea>
    </chartFormat>
    <chartFormat chart="212" format="35" series="1">
      <pivotArea type="data" outline="0" fieldPosition="0">
        <references count="2">
          <reference field="4294967294" count="1" selected="0">
            <x v="0"/>
          </reference>
          <reference field="1" count="1" selected="0">
            <x v="4"/>
          </reference>
        </references>
      </pivotArea>
    </chartFormat>
    <chartFormat chart="212" format="36" series="1">
      <pivotArea type="data" outline="0" fieldPosition="0">
        <references count="2">
          <reference field="4294967294" count="1" selected="0">
            <x v="0"/>
          </reference>
          <reference field="1" count="1" selected="0">
            <x v="5"/>
          </reference>
        </references>
      </pivotArea>
    </chartFormat>
    <chartFormat chart="212" format="37" series="1">
      <pivotArea type="data" outline="0" fieldPosition="0">
        <references count="2">
          <reference field="4294967294" count="1" selected="0">
            <x v="0"/>
          </reference>
          <reference field="1" count="1" selected="0">
            <x v="6"/>
          </reference>
        </references>
      </pivotArea>
    </chartFormat>
    <chartFormat chart="213" format="38" series="1">
      <pivotArea type="data" outline="0" fieldPosition="0">
        <references count="2">
          <reference field="4294967294" count="1" selected="0">
            <x v="0"/>
          </reference>
          <reference field="1" count="1" selected="0">
            <x v="0"/>
          </reference>
        </references>
      </pivotArea>
    </chartFormat>
    <chartFormat chart="213" format="39" series="1">
      <pivotArea type="data" outline="0" fieldPosition="0">
        <references count="2">
          <reference field="4294967294" count="1" selected="0">
            <x v="0"/>
          </reference>
          <reference field="1" count="1" selected="0">
            <x v="1"/>
          </reference>
        </references>
      </pivotArea>
    </chartFormat>
    <chartFormat chart="213" format="40" series="1">
      <pivotArea type="data" outline="0" fieldPosition="0">
        <references count="2">
          <reference field="4294967294" count="1" selected="0">
            <x v="0"/>
          </reference>
          <reference field="1" count="1" selected="0">
            <x v="2"/>
          </reference>
        </references>
      </pivotArea>
    </chartFormat>
    <chartFormat chart="213" format="41" series="1">
      <pivotArea type="data" outline="0" fieldPosition="0">
        <references count="2">
          <reference field="4294967294" count="1" selected="0">
            <x v="0"/>
          </reference>
          <reference field="1" count="1" selected="0">
            <x v="3"/>
          </reference>
        </references>
      </pivotArea>
    </chartFormat>
    <chartFormat chart="213" format="42" series="1">
      <pivotArea type="data" outline="0" fieldPosition="0">
        <references count="2">
          <reference field="4294967294" count="1" selected="0">
            <x v="0"/>
          </reference>
          <reference field="1" count="1" selected="0">
            <x v="4"/>
          </reference>
        </references>
      </pivotArea>
    </chartFormat>
    <chartFormat chart="213" format="43" series="1">
      <pivotArea type="data" outline="0" fieldPosition="0">
        <references count="2">
          <reference field="4294967294" count="1" selected="0">
            <x v="0"/>
          </reference>
          <reference field="1" count="1" selected="0">
            <x v="5"/>
          </reference>
        </references>
      </pivotArea>
    </chartFormat>
    <chartFormat chart="213" format="44" series="1">
      <pivotArea type="data" outline="0" fieldPosition="0">
        <references count="2">
          <reference field="4294967294" count="1" selected="0">
            <x v="0"/>
          </reference>
          <reference field="1" count="1" selected="0">
            <x v="6"/>
          </reference>
        </references>
      </pivotArea>
    </chartFormat>
    <chartFormat chart="218" format="31" series="1">
      <pivotArea type="data" outline="0" fieldPosition="0">
        <references count="2">
          <reference field="4294967294" count="1" selected="0">
            <x v="0"/>
          </reference>
          <reference field="1" count="1" selected="0">
            <x v="0"/>
          </reference>
        </references>
      </pivotArea>
    </chartFormat>
    <chartFormat chart="218" format="32" series="1">
      <pivotArea type="data" outline="0" fieldPosition="0">
        <references count="2">
          <reference field="4294967294" count="1" selected="0">
            <x v="0"/>
          </reference>
          <reference field="1" count="1" selected="0">
            <x v="1"/>
          </reference>
        </references>
      </pivotArea>
    </chartFormat>
    <chartFormat chart="218" format="33" series="1">
      <pivotArea type="data" outline="0" fieldPosition="0">
        <references count="2">
          <reference field="4294967294" count="1" selected="0">
            <x v="0"/>
          </reference>
          <reference field="1" count="1" selected="0">
            <x v="2"/>
          </reference>
        </references>
      </pivotArea>
    </chartFormat>
    <chartFormat chart="218" format="34" series="1">
      <pivotArea type="data" outline="0" fieldPosition="0">
        <references count="2">
          <reference field="4294967294" count="1" selected="0">
            <x v="0"/>
          </reference>
          <reference field="1" count="1" selected="0">
            <x v="3"/>
          </reference>
        </references>
      </pivotArea>
    </chartFormat>
    <chartFormat chart="218" format="35" series="1">
      <pivotArea type="data" outline="0" fieldPosition="0">
        <references count="2">
          <reference field="4294967294" count="1" selected="0">
            <x v="0"/>
          </reference>
          <reference field="1" count="1" selected="0">
            <x v="4"/>
          </reference>
        </references>
      </pivotArea>
    </chartFormat>
    <chartFormat chart="218" format="36" series="1">
      <pivotArea type="data" outline="0" fieldPosition="0">
        <references count="2">
          <reference field="4294967294" count="1" selected="0">
            <x v="0"/>
          </reference>
          <reference field="1" count="1" selected="0">
            <x v="5"/>
          </reference>
        </references>
      </pivotArea>
    </chartFormat>
    <chartFormat chart="218" format="37" series="1">
      <pivotArea type="data" outline="0" fieldPosition="0">
        <references count="2">
          <reference field="4294967294" count="1" selected="0">
            <x v="0"/>
          </reference>
          <reference field="1" count="1" selected="0">
            <x v="6"/>
          </reference>
        </references>
      </pivotArea>
    </chartFormat>
    <chartFormat chart="219" format="38" series="1">
      <pivotArea type="data" outline="0" fieldPosition="0">
        <references count="2">
          <reference field="4294967294" count="1" selected="0">
            <x v="0"/>
          </reference>
          <reference field="1" count="1" selected="0">
            <x v="0"/>
          </reference>
        </references>
      </pivotArea>
    </chartFormat>
    <chartFormat chart="219" format="39" series="1">
      <pivotArea type="data" outline="0" fieldPosition="0">
        <references count="2">
          <reference field="4294967294" count="1" selected="0">
            <x v="0"/>
          </reference>
          <reference field="1" count="1" selected="0">
            <x v="1"/>
          </reference>
        </references>
      </pivotArea>
    </chartFormat>
    <chartFormat chart="219" format="40" series="1">
      <pivotArea type="data" outline="0" fieldPosition="0">
        <references count="2">
          <reference field="4294967294" count="1" selected="0">
            <x v="0"/>
          </reference>
          <reference field="1" count="1" selected="0">
            <x v="2"/>
          </reference>
        </references>
      </pivotArea>
    </chartFormat>
    <chartFormat chart="219" format="41" series="1">
      <pivotArea type="data" outline="0" fieldPosition="0">
        <references count="2">
          <reference field="4294967294" count="1" selected="0">
            <x v="0"/>
          </reference>
          <reference field="1" count="1" selected="0">
            <x v="3"/>
          </reference>
        </references>
      </pivotArea>
    </chartFormat>
    <chartFormat chart="219" format="42" series="1">
      <pivotArea type="data" outline="0" fieldPosition="0">
        <references count="2">
          <reference field="4294967294" count="1" selected="0">
            <x v="0"/>
          </reference>
          <reference field="1" count="1" selected="0">
            <x v="4"/>
          </reference>
        </references>
      </pivotArea>
    </chartFormat>
    <chartFormat chart="219" format="43" series="1">
      <pivotArea type="data" outline="0" fieldPosition="0">
        <references count="2">
          <reference field="4294967294" count="1" selected="0">
            <x v="0"/>
          </reference>
          <reference field="1" count="1" selected="0">
            <x v="5"/>
          </reference>
        </references>
      </pivotArea>
    </chartFormat>
    <chartFormat chart="219" format="44" series="1">
      <pivotArea type="data" outline="0" fieldPosition="0">
        <references count="2">
          <reference field="4294967294" count="1" selected="0">
            <x v="0"/>
          </reference>
          <reference field="1" count="1" selected="0">
            <x v="6"/>
          </reference>
        </references>
      </pivotArea>
    </chartFormat>
    <chartFormat chart="226" format="31" series="1">
      <pivotArea type="data" outline="0" fieldPosition="0">
        <references count="2">
          <reference field="4294967294" count="1" selected="0">
            <x v="0"/>
          </reference>
          <reference field="1" count="1" selected="0">
            <x v="0"/>
          </reference>
        </references>
      </pivotArea>
    </chartFormat>
    <chartFormat chart="226" format="32" series="1">
      <pivotArea type="data" outline="0" fieldPosition="0">
        <references count="2">
          <reference field="4294967294" count="1" selected="0">
            <x v="0"/>
          </reference>
          <reference field="1" count="1" selected="0">
            <x v="1"/>
          </reference>
        </references>
      </pivotArea>
    </chartFormat>
    <chartFormat chart="226" format="33" series="1">
      <pivotArea type="data" outline="0" fieldPosition="0">
        <references count="2">
          <reference field="4294967294" count="1" selected="0">
            <x v="0"/>
          </reference>
          <reference field="1" count="1" selected="0">
            <x v="2"/>
          </reference>
        </references>
      </pivotArea>
    </chartFormat>
    <chartFormat chart="226" format="34" series="1">
      <pivotArea type="data" outline="0" fieldPosition="0">
        <references count="2">
          <reference field="4294967294" count="1" selected="0">
            <x v="0"/>
          </reference>
          <reference field="1" count="1" selected="0">
            <x v="3"/>
          </reference>
        </references>
      </pivotArea>
    </chartFormat>
    <chartFormat chart="226" format="35" series="1">
      <pivotArea type="data" outline="0" fieldPosition="0">
        <references count="2">
          <reference field="4294967294" count="1" selected="0">
            <x v="0"/>
          </reference>
          <reference field="1" count="1" selected="0">
            <x v="5"/>
          </reference>
        </references>
      </pivotArea>
    </chartFormat>
    <chartFormat chart="226" format="36" series="1">
      <pivotArea type="data" outline="0" fieldPosition="0">
        <references count="2">
          <reference field="4294967294" count="1" selected="0">
            <x v="0"/>
          </reference>
          <reference field="1" count="1" selected="0">
            <x v="6"/>
          </reference>
        </references>
      </pivotArea>
    </chartFormat>
    <chartFormat chart="227" format="37" series="1">
      <pivotArea type="data" outline="0" fieldPosition="0">
        <references count="2">
          <reference field="4294967294" count="1" selected="0">
            <x v="0"/>
          </reference>
          <reference field="1" count="1" selected="0">
            <x v="0"/>
          </reference>
        </references>
      </pivotArea>
    </chartFormat>
    <chartFormat chart="227" format="38" series="1">
      <pivotArea type="data" outline="0" fieldPosition="0">
        <references count="2">
          <reference field="4294967294" count="1" selected="0">
            <x v="0"/>
          </reference>
          <reference field="1" count="1" selected="0">
            <x v="1"/>
          </reference>
        </references>
      </pivotArea>
    </chartFormat>
    <chartFormat chart="227" format="39" series="1">
      <pivotArea type="data" outline="0" fieldPosition="0">
        <references count="2">
          <reference field="4294967294" count="1" selected="0">
            <x v="0"/>
          </reference>
          <reference field="1" count="1" selected="0">
            <x v="2"/>
          </reference>
        </references>
      </pivotArea>
    </chartFormat>
    <chartFormat chart="227" format="40" series="1">
      <pivotArea type="data" outline="0" fieldPosition="0">
        <references count="2">
          <reference field="4294967294" count="1" selected="0">
            <x v="0"/>
          </reference>
          <reference field="1" count="1" selected="0">
            <x v="3"/>
          </reference>
        </references>
      </pivotArea>
    </chartFormat>
    <chartFormat chart="227" format="41" series="1">
      <pivotArea type="data" outline="0" fieldPosition="0">
        <references count="2">
          <reference field="4294967294" count="1" selected="0">
            <x v="0"/>
          </reference>
          <reference field="1" count="1" selected="0">
            <x v="5"/>
          </reference>
        </references>
      </pivotArea>
    </chartFormat>
    <chartFormat chart="227" format="42" series="1">
      <pivotArea type="data" outline="0" fieldPosition="0">
        <references count="2">
          <reference field="4294967294" count="1" selected="0">
            <x v="0"/>
          </reference>
          <reference field="1" count="1" selected="0">
            <x v="6"/>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8EA1C86-641E-634E-BADE-62658FE797E3}" name="PivotTable5"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70:F112" firstHeaderRow="1" firstDataRow="2" firstDataCol="1"/>
  <pivotFields count="37">
    <pivotField showAll="0" defaultSubtotal="0"/>
    <pivotField showAll="0" defaultSubtotal="0"/>
    <pivotField axis="axisRow" showAll="0" defaultSubtotal="0">
      <items count="5">
        <item x="0"/>
        <item x="2"/>
        <item x="1"/>
        <item x="3"/>
        <item x="4"/>
      </items>
    </pivotField>
    <pivotField showAll="0" defaultSubtotal="0"/>
    <pivotField showAll="0" defaultSubtotal="0"/>
    <pivotField showAll="0" defaultSubtotal="0"/>
    <pivotField showAll="0" defaultSubtotal="0"/>
    <pivotField axis="axisRow" showAll="0" defaultSubtotal="0">
      <items count="6">
        <item x="0"/>
        <item x="1"/>
        <item x="2"/>
        <item x="3"/>
        <item x="4"/>
        <item x="5"/>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2">
        <item h="1" x="1"/>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15">
        <item h="1" x="0"/>
        <item x="3"/>
        <item x="5"/>
        <item x="7"/>
        <item x="8"/>
        <item x="9"/>
        <item x="13"/>
        <item x="4"/>
        <item x="10"/>
        <item x="11"/>
        <item x="12"/>
        <item x="6"/>
        <item x="14"/>
        <item h="1" x="1"/>
        <item h="1" x="2"/>
      </items>
    </pivotField>
    <pivotField showAll="0" defaultSubtotal="0"/>
    <pivotField showAll="0" defaultSubtotal="0"/>
    <pivotField showAll="0" defaultSubtotal="0"/>
    <pivotField axis="axisCol" dataField="1" showAll="0" defaultSubtotal="0">
      <items count="6">
        <item x="4"/>
        <item h="1" x="0"/>
        <item x="2"/>
        <item x="1"/>
        <item x="3"/>
        <item x="5"/>
      </items>
    </pivotField>
    <pivotField showAll="0" defaultSubtotal="0"/>
    <pivotField subtotalTop="0" showAll="0" defaultSubtotal="0"/>
  </pivotFields>
  <rowFields count="4">
    <field x="15"/>
    <field x="2"/>
    <field x="30"/>
    <field x="7"/>
  </rowFields>
  <rowItems count="41">
    <i>
      <x v="1"/>
    </i>
    <i r="1">
      <x/>
    </i>
    <i r="2">
      <x v="1"/>
    </i>
    <i r="3">
      <x/>
    </i>
    <i r="3">
      <x v="1"/>
    </i>
    <i r="2">
      <x v="3"/>
    </i>
    <i r="3">
      <x/>
    </i>
    <i r="3">
      <x v="1"/>
    </i>
    <i r="2">
      <x v="5"/>
    </i>
    <i r="3">
      <x/>
    </i>
    <i r="2">
      <x v="7"/>
    </i>
    <i r="3">
      <x/>
    </i>
    <i r="2">
      <x v="8"/>
    </i>
    <i r="3">
      <x/>
    </i>
    <i r="3">
      <x v="1"/>
    </i>
    <i r="2">
      <x v="9"/>
    </i>
    <i r="3">
      <x/>
    </i>
    <i r="3">
      <x v="1"/>
    </i>
    <i r="2">
      <x v="10"/>
    </i>
    <i r="3">
      <x/>
    </i>
    <i r="2">
      <x v="12"/>
    </i>
    <i r="3">
      <x/>
    </i>
    <i r="1">
      <x v="1"/>
    </i>
    <i r="2">
      <x v="1"/>
    </i>
    <i r="3">
      <x v="1"/>
    </i>
    <i r="2">
      <x v="3"/>
    </i>
    <i r="3">
      <x/>
    </i>
    <i r="3">
      <x v="1"/>
    </i>
    <i r="2">
      <x v="6"/>
    </i>
    <i r="3">
      <x/>
    </i>
    <i r="2">
      <x v="7"/>
    </i>
    <i r="3">
      <x/>
    </i>
    <i r="3">
      <x v="1"/>
    </i>
    <i r="2">
      <x v="8"/>
    </i>
    <i r="3">
      <x/>
    </i>
    <i r="3">
      <x v="1"/>
    </i>
    <i r="2">
      <x v="9"/>
    </i>
    <i r="3">
      <x/>
    </i>
    <i r="3">
      <x v="1"/>
    </i>
    <i r="2">
      <x v="10"/>
    </i>
    <i r="3">
      <x/>
    </i>
  </rowItems>
  <colFields count="1">
    <field x="34"/>
  </colFields>
  <colItems count="5">
    <i>
      <x/>
    </i>
    <i>
      <x v="2"/>
    </i>
    <i>
      <x v="3"/>
    </i>
    <i>
      <x v="4"/>
    </i>
    <i>
      <x v="5"/>
    </i>
  </colItems>
  <dataFields count="1">
    <dataField name="Count of Predikat Krktr" fld="34" subtotal="count" showDataAs="percentOfRow" baseField="0" baseItem="0" numFmtId="9"/>
  </dataFields>
  <formats count="1">
    <format dxfId="66">
      <pivotArea outline="0" collapsedLevelsAreSubtotals="1" fieldPosition="0"/>
    </format>
  </formats>
  <chartFormats count="7">
    <chartFormat chart="0" format="5"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34" count="1" selected="0">
            <x v="2"/>
          </reference>
        </references>
      </pivotArea>
    </chartFormat>
    <chartFormat chart="0" format="8" series="1">
      <pivotArea type="data" outline="0" fieldPosition="0">
        <references count="2">
          <reference field="4294967294" count="1" selected="0">
            <x v="0"/>
          </reference>
          <reference field="34" count="1" selected="0">
            <x v="3"/>
          </reference>
        </references>
      </pivotArea>
    </chartFormat>
    <chartFormat chart="0" format="9" series="1">
      <pivotArea type="data" outline="0" fieldPosition="0">
        <references count="2">
          <reference field="4294967294" count="1" selected="0">
            <x v="0"/>
          </reference>
          <reference field="34" count="1" selected="0">
            <x v="1"/>
          </reference>
        </references>
      </pivotArea>
    </chartFormat>
    <chartFormat chart="0" format="10" series="1">
      <pivotArea type="data" outline="0" fieldPosition="0">
        <references count="2">
          <reference field="4294967294" count="1" selected="0">
            <x v="0"/>
          </reference>
          <reference field="34" count="1" selected="0">
            <x v="5"/>
          </reference>
        </references>
      </pivotArea>
    </chartFormat>
    <chartFormat chart="0" format="11" series="1">
      <pivotArea type="data" outline="0" fieldPosition="0">
        <references count="2">
          <reference field="4294967294" count="1" selected="0">
            <x v="0"/>
          </reference>
          <reference field="34" count="1" selected="0">
            <x v="0"/>
          </reference>
        </references>
      </pivotArea>
    </chartFormat>
    <chartFormat chart="0" format="12" series="1">
      <pivotArea type="data" outline="0" fieldPosition="0">
        <references count="2">
          <reference field="4294967294" count="1" selected="0">
            <x v="0"/>
          </reference>
          <reference field="34"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2968C71-FD61-AD4E-9CBA-07BE29B4C33E}" name="PivotTable1" cacheId="4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rowPageCount="1" colPageCount="1"/>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6">
        <item h="1" x="0"/>
        <item x="3"/>
        <item x="5"/>
        <item x="7"/>
        <item x="8"/>
        <item x="9"/>
        <item x="13"/>
        <item x="4"/>
        <item x="10"/>
        <item x="11"/>
        <item x="12"/>
        <item x="6"/>
        <item x="14"/>
        <item h="1" x="1"/>
        <item h="1" x="2"/>
        <item t="default"/>
      </items>
    </pivotField>
    <pivotField showAll="0"/>
    <pivotField showAll="0"/>
    <pivotField showAll="0"/>
    <pivotField axis="axisRow" dataField="1" showAll="0">
      <items count="7">
        <item h="1" x="0"/>
        <item x="4"/>
        <item x="2"/>
        <item x="1"/>
        <item x="3"/>
        <item x="5"/>
        <item t="default"/>
      </items>
    </pivotField>
    <pivotField showAll="0"/>
    <pivotField showAll="0"/>
  </pivotFields>
  <rowFields count="1">
    <field x="34"/>
  </rowFields>
  <rowItems count="6">
    <i>
      <x v="1"/>
    </i>
    <i>
      <x v="2"/>
    </i>
    <i>
      <x v="3"/>
    </i>
    <i>
      <x v="4"/>
    </i>
    <i>
      <x v="5"/>
    </i>
    <i t="grand">
      <x/>
    </i>
  </rowItems>
  <colItems count="1">
    <i/>
  </colItems>
  <pageFields count="1">
    <pageField fld="30" hier="-1"/>
  </pageFields>
  <dataFields count="1">
    <dataField name="Count of Predikat Krktr" fld="34" subtotal="count" showDataAs="percentOfCol" baseField="0" baseItem="0" numFmtId="9"/>
  </dataFields>
  <formats count="1">
    <format dxfId="67">
      <pivotArea outline="0" collapsedLevelsAreSubtotals="1" fieldPosition="0"/>
    </format>
  </formats>
  <chartFormats count="6">
    <chartFormat chart="0" format="12" series="1">
      <pivotArea type="data" outline="0" fieldPosition="0">
        <references count="1">
          <reference field="4294967294" count="1" selected="0">
            <x v="0"/>
          </reference>
        </references>
      </pivotArea>
    </chartFormat>
    <chartFormat chart="0" format="19">
      <pivotArea type="data" outline="0" fieldPosition="0">
        <references count="2">
          <reference field="4294967294" count="1" selected="0">
            <x v="0"/>
          </reference>
          <reference field="34" count="1" selected="0">
            <x v="1"/>
          </reference>
        </references>
      </pivotArea>
    </chartFormat>
    <chartFormat chart="0" format="20">
      <pivotArea type="data" outline="0" fieldPosition="0">
        <references count="2">
          <reference field="4294967294" count="1" selected="0">
            <x v="0"/>
          </reference>
          <reference field="34" count="1" selected="0">
            <x v="2"/>
          </reference>
        </references>
      </pivotArea>
    </chartFormat>
    <chartFormat chart="0" format="21">
      <pivotArea type="data" outline="0" fieldPosition="0">
        <references count="2">
          <reference field="4294967294" count="1" selected="0">
            <x v="0"/>
          </reference>
          <reference field="34" count="1" selected="0">
            <x v="3"/>
          </reference>
        </references>
      </pivotArea>
    </chartFormat>
    <chartFormat chart="0" format="22">
      <pivotArea type="data" outline="0" fieldPosition="0">
        <references count="2">
          <reference field="4294967294" count="1" selected="0">
            <x v="0"/>
          </reference>
          <reference field="34" count="1" selected="0">
            <x v="4"/>
          </reference>
        </references>
      </pivotArea>
    </chartFormat>
    <chartFormat chart="0" format="23">
      <pivotArea type="data" outline="0" fieldPosition="0">
        <references count="2">
          <reference field="4294967294" count="1" selected="0">
            <x v="0"/>
          </reference>
          <reference field="34"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FD4FDD6-8E83-7240-B67B-80550A3923BA}" name="PivotTable6"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7">
  <location ref="AJ72:AP81" firstHeaderRow="1" firstDataRow="2" firstDataCol="4" rowPageCount="2" colPageCount="1"/>
  <pivotFields count="37">
    <pivotField compact="0" outline="0" showAll="0" defaultSubtotal="0"/>
    <pivotField compact="0" outline="0" showAll="0" defaultSubtotal="0"/>
    <pivotField compact="0" outline="0" showAll="0" defaultSubtotal="0">
      <items count="5">
        <item x="4"/>
        <item x="3"/>
        <item x="1"/>
        <item x="0"/>
        <item x="2"/>
      </items>
    </pivotField>
    <pivotField axis="axisRow" compact="0" outline="0" showAll="0" defaultSubtotal="0">
      <items count="24">
        <item h="1" x="3"/>
        <item h="1" x="14"/>
        <item x="4"/>
        <item h="1" x="15"/>
        <item h="1" x="16"/>
        <item h="1" x="8"/>
        <item h="1" x="9"/>
        <item h="1" x="19"/>
        <item h="1" x="5"/>
        <item h="1" x="6"/>
        <item h="1" x="10"/>
        <item h="1" x="21"/>
        <item h="1" x="2"/>
        <item h="1" x="17"/>
        <item h="1" x="20"/>
        <item h="1" x="1"/>
        <item h="1" x="18"/>
        <item h="1" x="11"/>
        <item h="1" x="7"/>
        <item h="1" x="0"/>
        <item h="1" x="12"/>
        <item h="1" x="13"/>
        <item h="1" x="22"/>
        <item h="1" x="23"/>
      </items>
    </pivotField>
    <pivotField compact="0" outline="0" showAll="0" defaultSubtotal="0"/>
    <pivotField compact="0" outline="0" showAll="0" defaultSubtotal="0"/>
    <pivotField compact="0" outline="0" showAll="0" defaultSubtotal="0"/>
    <pivotField axis="axisRow" compact="0" outline="0" showAll="0" defaultSubtotal="0">
      <items count="6">
        <item x="0"/>
        <item x="1"/>
        <item x="2"/>
        <item x="3"/>
        <item x="4"/>
        <item x="5"/>
      </items>
    </pivotField>
    <pivotField compact="0" outline="0" showAll="0" defaultSubtotal="0"/>
    <pivotField axis="axisPage" compact="0" outline="0" multipleItemSelectionAllowed="1" showAll="0" defaultSubtotal="0">
      <items count="9">
        <item x="4"/>
        <item x="3"/>
        <item h="1" x="0"/>
        <item h="1" x="2"/>
        <item h="1" x="1"/>
        <item h="1" x="5"/>
        <item h="1" x="6"/>
        <item h="1" x="7"/>
        <item h="1" x="8"/>
      </items>
    </pivotField>
    <pivotField axis="axisRow" compact="0" outline="0" showAll="0" defaultSubtotal="0">
      <items count="21">
        <item x="5"/>
        <item x="0"/>
        <item x="11"/>
        <item x="12"/>
        <item x="4"/>
        <item x="6"/>
        <item x="7"/>
        <item x="14"/>
        <item x="3"/>
        <item x="13"/>
        <item x="16"/>
        <item x="2"/>
        <item x="9"/>
        <item x="15"/>
        <item x="8"/>
        <item x="19"/>
        <item x="10"/>
        <item x="17"/>
        <item x="18"/>
        <item x="20"/>
        <item x="1"/>
      </items>
    </pivotField>
    <pivotField axis="axisRow" compact="0" outline="0" showAll="0" defaultSubtotal="0">
      <items count="24">
        <item x="2"/>
        <item x="13"/>
        <item x="5"/>
        <item x="8"/>
        <item x="4"/>
        <item x="0"/>
        <item x="9"/>
        <item x="3"/>
        <item x="6"/>
        <item x="17"/>
        <item x="21"/>
        <item x="22"/>
        <item x="10"/>
        <item x="23"/>
        <item x="11"/>
        <item x="7"/>
        <item x="15"/>
        <item x="14"/>
        <item x="16"/>
        <item x="1"/>
        <item x="12"/>
        <item x="19"/>
        <item x="20"/>
        <item x="1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15">
        <item h="1" x="0"/>
        <item x="3"/>
        <item x="5"/>
        <item x="7"/>
        <item x="8"/>
        <item x="9"/>
        <item x="13"/>
        <item x="4"/>
        <item h="1" x="10"/>
        <item h="1" x="11"/>
        <item h="1" x="12"/>
        <item h="1" x="6"/>
        <item h="1" x="14"/>
        <item h="1" x="1"/>
        <item h="1" x="2"/>
      </items>
    </pivotField>
    <pivotField dataField="1" compact="0" outline="0" showAll="0" defaultSubtotal="0"/>
    <pivotField compact="0" outline="0" showAll="0" defaultSubtotal="0"/>
    <pivotField compact="0" outline="0" showAll="0" defaultSubtotal="0"/>
    <pivotField axis="axisCol" compact="0" outline="0" showAll="0" defaultSubtotal="0">
      <items count="6">
        <item h="1" x="0"/>
        <item x="4"/>
        <item x="2"/>
        <item x="1"/>
        <item x="3"/>
        <item x="5"/>
      </items>
    </pivotField>
    <pivotField compact="0" outline="0" showAll="0" defaultSubtotal="0"/>
    <pivotField compact="0" outline="0" subtotalTop="0" showAll="0" defaultSubtotal="0"/>
  </pivotFields>
  <rowFields count="4">
    <field x="3"/>
    <field x="10"/>
    <field x="11"/>
    <field x="7"/>
  </rowFields>
  <rowItems count="8">
    <i>
      <x v="2"/>
      <x v="4"/>
      <x v="2"/>
      <x/>
    </i>
    <i r="3">
      <x v="1"/>
    </i>
    <i r="2">
      <x v="3"/>
      <x/>
    </i>
    <i r="2">
      <x v="7"/>
      <x/>
    </i>
    <i r="3">
      <x v="1"/>
    </i>
    <i r="1">
      <x v="14"/>
      <x v="12"/>
      <x/>
    </i>
    <i r="2">
      <x v="17"/>
      <x/>
    </i>
    <i r="3">
      <x v="1"/>
    </i>
  </rowItems>
  <colFields count="1">
    <field x="34"/>
  </colFields>
  <colItems count="3">
    <i>
      <x v="1"/>
    </i>
    <i>
      <x v="2"/>
    </i>
    <i>
      <x v="3"/>
    </i>
  </colItems>
  <pageFields count="2">
    <pageField fld="9" hier="-1"/>
    <pageField fld="30" hier="-1"/>
  </pageFields>
  <dataFields count="1">
    <dataField name="Average of Nilai2" fld="31" subtotal="average" baseField="0" baseItem="0"/>
  </dataFields>
  <formats count="2">
    <format dxfId="69">
      <pivotArea outline="0" collapsedLevelsAreSubtotals="1" fieldPosition="0"/>
    </format>
    <format dxfId="68">
      <pivotArea dataOnly="0" outline="0" fieldPosition="0">
        <references count="1">
          <reference field="34" count="0"/>
        </references>
      </pivotArea>
    </format>
  </formats>
  <chartFormats count="7">
    <chartFormat chart="3" format="27" series="1">
      <pivotArea type="data" outline="0" fieldPosition="0">
        <references count="1">
          <reference field="4294967294" count="1" selected="0">
            <x v="0"/>
          </reference>
        </references>
      </pivotArea>
    </chartFormat>
    <chartFormat chart="3" format="29" series="1">
      <pivotArea type="data" outline="0" fieldPosition="0">
        <references count="2">
          <reference field="4294967294" count="1" selected="0">
            <x v="0"/>
          </reference>
          <reference field="34" count="1" selected="0">
            <x v="2"/>
          </reference>
        </references>
      </pivotArea>
    </chartFormat>
    <chartFormat chart="3" format="30" series="1">
      <pivotArea type="data" outline="0" fieldPosition="0">
        <references count="2">
          <reference field="4294967294" count="1" selected="0">
            <x v="0"/>
          </reference>
          <reference field="34" count="1" selected="0">
            <x v="3"/>
          </reference>
        </references>
      </pivotArea>
    </chartFormat>
    <chartFormat chart="3" format="31" series="1">
      <pivotArea type="data" outline="0" fieldPosition="0">
        <references count="2">
          <reference field="4294967294" count="1" selected="0">
            <x v="0"/>
          </reference>
          <reference field="34" count="1" selected="0">
            <x v="4"/>
          </reference>
        </references>
      </pivotArea>
    </chartFormat>
    <chartFormat chart="3" format="32" series="1">
      <pivotArea type="data" outline="0" fieldPosition="0">
        <references count="2">
          <reference field="4294967294" count="1" selected="0">
            <x v="0"/>
          </reference>
          <reference field="34" count="1" selected="0">
            <x v="5"/>
          </reference>
        </references>
      </pivotArea>
    </chartFormat>
    <chartFormat chart="3" format="33" series="1">
      <pivotArea type="data" outline="0" fieldPosition="0">
        <references count="2">
          <reference field="4294967294" count="1" selected="0">
            <x v="0"/>
          </reference>
          <reference field="34" count="1" selected="0">
            <x v="1"/>
          </reference>
        </references>
      </pivotArea>
    </chartFormat>
    <chartFormat chart="3" format="34" series="1">
      <pivotArea type="data" outline="0" fieldPosition="0">
        <references count="2">
          <reference field="4294967294" count="1" selected="0">
            <x v="0"/>
          </reference>
          <reference field="3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A66FCDC-CF02-4040-A89D-91A27A310069}" name="PivotTable13"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2">
  <location ref="AT5:BA24" firstHeaderRow="1" firstDataRow="2" firstDataCol="3" rowPageCount="2" colPageCount="1"/>
  <pivotFields count="37">
    <pivotField compact="0" outline="0" showAll="0" defaultSubtotal="0"/>
    <pivotField compact="0" outline="0" showAll="0" defaultSubtotal="0"/>
    <pivotField axis="axisPage" compact="0" outline="0" multipleItemSelectionAllowed="1" showAll="0" defaultSubtotal="0">
      <items count="5">
        <item x="0"/>
        <item x="2"/>
        <item x="1"/>
        <item x="3"/>
        <item x="4"/>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0"/>
        <item x="1"/>
        <item x="2"/>
        <item x="3"/>
        <item x="4"/>
        <item x="5"/>
      </items>
    </pivotField>
    <pivotField compact="0" outline="0" showAll="0" defaultSubtotal="0"/>
    <pivotField axis="axisPage" compact="0" outline="0" multipleItemSelectionAllowed="1" showAll="0" defaultSubtotal="0">
      <items count="9">
        <item x="4"/>
        <item x="3"/>
        <item h="1" x="0"/>
        <item h="1" x="2"/>
        <item h="1" x="1"/>
        <item h="1" x="5"/>
        <item h="1" x="6"/>
        <item h="1" x="7"/>
        <item h="1" x="8"/>
      </items>
    </pivotField>
    <pivotField axis="axisRow" compact="0" outline="0" showAll="0" defaultSubtotal="0">
      <items count="21">
        <item x="5"/>
        <item x="0"/>
        <item x="11"/>
        <item x="12"/>
        <item x="4"/>
        <item x="6"/>
        <item x="7"/>
        <item x="14"/>
        <item x="3"/>
        <item x="13"/>
        <item x="16"/>
        <item x="2"/>
        <item x="9"/>
        <item x="15"/>
        <item x="8"/>
        <item x="19"/>
        <item x="10"/>
        <item x="17"/>
        <item x="18"/>
        <item x="2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multipleItemSelectionAllowed="1" showAll="0" defaultSubtotal="0">
      <items count="15">
        <item h="1" x="0"/>
        <item x="3"/>
        <item x="5"/>
        <item x="7"/>
        <item x="8"/>
        <item x="9"/>
        <item x="13"/>
        <item x="4"/>
        <item x="10"/>
        <item x="11"/>
        <item x="12"/>
        <item x="6"/>
        <item x="14"/>
        <item h="1" x="1"/>
        <item h="1" x="2"/>
      </items>
    </pivotField>
    <pivotField compact="0" outline="0" showAll="0" defaultSubtotal="0"/>
    <pivotField compact="0" outline="0" showAll="0" defaultSubtotal="0"/>
    <pivotField compact="0" outline="0" showAll="0" defaultSubtotal="0"/>
    <pivotField axis="axisCol" dataField="1" compact="0" outline="0" showAll="0" defaultSubtotal="0">
      <items count="6">
        <item h="1" x="0"/>
        <item x="4"/>
        <item x="2"/>
        <item x="1"/>
        <item x="3"/>
        <item x="5"/>
      </items>
    </pivotField>
    <pivotField compact="0" outline="0" showAll="0" defaultSubtotal="0"/>
    <pivotField compact="0" outline="0" subtotalTop="0" showAll="0" defaultSubtotal="0"/>
  </pivotFields>
  <rowFields count="3">
    <field x="10"/>
    <field x="30"/>
    <field x="7"/>
  </rowFields>
  <rowItems count="18">
    <i>
      <x v="4"/>
      <x v="1"/>
      <x/>
    </i>
    <i r="2">
      <x v="1"/>
    </i>
    <i r="1">
      <x v="3"/>
      <x/>
    </i>
    <i r="2">
      <x v="1"/>
    </i>
    <i r="1">
      <x v="7"/>
      <x/>
    </i>
    <i r="2">
      <x v="1"/>
    </i>
    <i r="1">
      <x v="8"/>
      <x/>
    </i>
    <i r="1">
      <x v="9"/>
      <x/>
    </i>
    <i r="2">
      <x v="1"/>
    </i>
    <i>
      <x v="13"/>
      <x v="6"/>
      <x/>
    </i>
    <i r="1">
      <x v="10"/>
      <x/>
    </i>
    <i r="1">
      <x v="12"/>
      <x/>
    </i>
    <i>
      <x v="14"/>
      <x v="3"/>
      <x/>
    </i>
    <i r="2">
      <x v="1"/>
    </i>
    <i r="1">
      <x v="5"/>
      <x/>
    </i>
    <i r="1">
      <x v="7"/>
      <x/>
    </i>
    <i r="1">
      <x v="8"/>
      <x/>
    </i>
    <i r="2">
      <x v="1"/>
    </i>
  </rowItems>
  <colFields count="1">
    <field x="34"/>
  </colFields>
  <colItems count="5">
    <i>
      <x v="1"/>
    </i>
    <i>
      <x v="2"/>
    </i>
    <i>
      <x v="3"/>
    </i>
    <i>
      <x v="4"/>
    </i>
    <i>
      <x v="5"/>
    </i>
  </colItems>
  <pageFields count="2">
    <pageField fld="2" hier="-1"/>
    <pageField fld="9" hier="-1"/>
  </pageFields>
  <dataFields count="1">
    <dataField name="Count of Predikat Krktr" fld="34" subtotal="count" showDataAs="percentOfRow" baseField="0" baseItem="0" numFmtId="9"/>
  </dataFields>
  <formats count="1">
    <format dxfId="70">
      <pivotArea outline="0" collapsedLevelsAreSubtotals="1" fieldPosition="0"/>
    </format>
  </formats>
  <chartFormats count="7">
    <chartFormat chart="0" format="6" series="1">
      <pivotArea type="data" outline="0" fieldPosition="0">
        <references count="2">
          <reference field="4294967294" count="1" selected="0">
            <x v="0"/>
          </reference>
          <reference field="34" count="1" selected="0">
            <x v="2"/>
          </reference>
        </references>
      </pivotArea>
    </chartFormat>
    <chartFormat chart="0" format="7" series="1">
      <pivotArea type="data" outline="0" fieldPosition="0">
        <references count="2">
          <reference field="4294967294" count="1" selected="0">
            <x v="0"/>
          </reference>
          <reference field="34" count="1" selected="0">
            <x v="3"/>
          </reference>
        </references>
      </pivotArea>
    </chartFormat>
    <chartFormat chart="0" format="8" series="1">
      <pivotArea type="data" outline="0" fieldPosition="0">
        <references count="2">
          <reference field="4294967294" count="1" selected="0">
            <x v="0"/>
          </reference>
          <reference field="34" count="1" selected="0">
            <x v="4"/>
          </reference>
        </references>
      </pivotArea>
    </chartFormat>
    <chartFormat chart="0" format="9" series="1">
      <pivotArea type="data" outline="0" fieldPosition="0">
        <references count="2">
          <reference field="4294967294" count="1" selected="0">
            <x v="0"/>
          </reference>
          <reference field="34" count="1" selected="0">
            <x v="5"/>
          </reference>
        </references>
      </pivotArea>
    </chartFormat>
    <chartFormat chart="0" format="10" series="1">
      <pivotArea type="data" outline="0" fieldPosition="0">
        <references count="2">
          <reference field="4294967294" count="1" selected="0">
            <x v="0"/>
          </reference>
          <reference field="34" count="1" selected="0">
            <x v="1"/>
          </reference>
        </references>
      </pivotArea>
    </chartFormat>
    <chartFormat chart="0" format="11" series="1">
      <pivotArea type="data" outline="0" fieldPosition="0">
        <references count="2">
          <reference field="4294967294" count="1" selected="0">
            <x v="0"/>
          </reference>
          <reference field="34" count="1" selected="0">
            <x v="0"/>
          </reference>
        </references>
      </pivotArea>
    </chartFormat>
    <chartFormat chart="0"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A7B6E72-F109-2145-B1E3-8772BD90925D}" name="PivotTable4"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2">
  <location ref="A34:G39" firstHeaderRow="1" firstDataRow="2" firstDataCol="2" rowPageCount="1" colPageCount="1"/>
  <pivotFields count="37">
    <pivotField compact="0" outline="0" showAll="0" defaultSubtotal="0"/>
    <pivotField compact="0" outline="0" showAll="0" defaultSubtotal="0"/>
    <pivotField axis="axisRow" compact="0" outline="0" showAll="0" defaultSubtotal="0">
      <items count="5">
        <item x="0"/>
        <item x="2"/>
        <item h="1" x="1"/>
        <item h="1" x="3"/>
        <item h="1" x="4"/>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0"/>
        <item x="1"/>
        <item x="2"/>
        <item x="3"/>
        <item x="4"/>
        <item x="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15">
        <item h="1" x="0"/>
        <item x="3"/>
        <item x="5"/>
        <item x="7"/>
        <item x="8"/>
        <item x="9"/>
        <item x="13"/>
        <item x="4"/>
        <item x="10"/>
        <item x="11"/>
        <item x="12"/>
        <item x="6"/>
        <item x="14"/>
        <item h="1" x="1"/>
        <item h="1" x="2"/>
      </items>
    </pivotField>
    <pivotField compact="0" outline="0" showAll="0" defaultSubtotal="0"/>
    <pivotField compact="0" outline="0" showAll="0" defaultSubtotal="0"/>
    <pivotField compact="0" outline="0" showAll="0" defaultSubtotal="0"/>
    <pivotField axis="axisCol" dataField="1" compact="0" outline="0" showAll="0" defaultSubtotal="0">
      <items count="6">
        <item h="1" x="0"/>
        <item x="4"/>
        <item x="2"/>
        <item x="1"/>
        <item x="3"/>
        <item x="5"/>
      </items>
    </pivotField>
    <pivotField compact="0" outline="0" showAll="0" defaultSubtotal="0"/>
    <pivotField compact="0" outline="0" subtotalTop="0" showAll="0" defaultSubtotal="0"/>
  </pivotFields>
  <rowFields count="2">
    <field x="2"/>
    <field x="7"/>
  </rowFields>
  <rowItems count="4">
    <i>
      <x/>
      <x/>
    </i>
    <i r="1">
      <x v="1"/>
    </i>
    <i>
      <x v="1"/>
      <x/>
    </i>
    <i r="1">
      <x v="1"/>
    </i>
  </rowItems>
  <colFields count="1">
    <field x="34"/>
  </colFields>
  <colItems count="5">
    <i>
      <x v="1"/>
    </i>
    <i>
      <x v="2"/>
    </i>
    <i>
      <x v="3"/>
    </i>
    <i>
      <x v="4"/>
    </i>
    <i>
      <x v="5"/>
    </i>
  </colItems>
  <pageFields count="1">
    <pageField fld="30" hier="-1"/>
  </pageFields>
  <dataFields count="1">
    <dataField name="Count of Predikat Krktr" fld="34" subtotal="count" showDataAs="percentOfRow" baseField="0" baseItem="0" numFmtId="9"/>
  </dataFields>
  <formats count="1">
    <format dxfId="71">
      <pivotArea outline="0" collapsedLevelsAreSubtotals="1" fieldPosition="0"/>
    </format>
  </formats>
  <chartFormats count="7">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34" count="1" selected="0">
            <x v="2"/>
          </reference>
        </references>
      </pivotArea>
    </chartFormat>
    <chartFormat chart="0" format="8" series="1">
      <pivotArea type="data" outline="0" fieldPosition="0">
        <references count="2">
          <reference field="4294967294" count="1" selected="0">
            <x v="0"/>
          </reference>
          <reference field="34" count="1" selected="0">
            <x v="4"/>
          </reference>
        </references>
      </pivotArea>
    </chartFormat>
    <chartFormat chart="0" format="9" series="1">
      <pivotArea type="data" outline="0" fieldPosition="0">
        <references count="2">
          <reference field="4294967294" count="1" selected="0">
            <x v="0"/>
          </reference>
          <reference field="34" count="1" selected="0">
            <x v="5"/>
          </reference>
        </references>
      </pivotArea>
    </chartFormat>
    <chartFormat chart="0" format="10" series="1">
      <pivotArea type="data" outline="0" fieldPosition="0">
        <references count="2">
          <reference field="4294967294" count="1" selected="0">
            <x v="0"/>
          </reference>
          <reference field="34" count="1" selected="0">
            <x v="3"/>
          </reference>
        </references>
      </pivotArea>
    </chartFormat>
    <chartFormat chart="0" format="11" series="1">
      <pivotArea type="data" outline="0" fieldPosition="0">
        <references count="2">
          <reference field="4294967294" count="1" selected="0">
            <x v="0"/>
          </reference>
          <reference field="34" count="1" selected="0">
            <x v="0"/>
          </reference>
        </references>
      </pivotArea>
    </chartFormat>
    <chartFormat chart="0" format="12" series="1">
      <pivotArea type="data" outline="0" fieldPosition="0">
        <references count="2">
          <reference field="4294967294" count="1" selected="0">
            <x v="0"/>
          </reference>
          <reference field="3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FF5136E-7755-0741-B4E3-E00D6BF9A6C4}" name="PivotTable1"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O3:Z40" firstHeaderRow="1" firstDataRow="2" firstDataCol="3"/>
  <pivotFields count="37">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5">
        <item h="1" x="4"/>
        <item h="1" x="3"/>
        <item h="1" x="1"/>
        <item x="0"/>
        <item x="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0">
        <item h="1" x="9"/>
        <item h="1" x="8"/>
        <item x="1"/>
        <item x="2"/>
        <item x="7"/>
        <item x="4"/>
        <item x="0"/>
        <item x="5"/>
        <item x="3"/>
        <item x="6"/>
      </items>
      <extLst>
        <ext xmlns:x14="http://schemas.microsoft.com/office/spreadsheetml/2009/9/main" uri="{2946ED86-A175-432a-8AC1-64E0C546D7DE}">
          <x14:pivotField fillDownLabels="1"/>
        </ext>
      </extLst>
    </pivotField>
    <pivotField axis="axisRow" compact="0" outline="0" subtotalTop="0" showAll="0" defaultSubtotal="0">
      <items count="15">
        <item x="0"/>
        <item x="3"/>
        <item x="4"/>
        <item x="5"/>
        <item x="6"/>
        <item x="8"/>
        <item x="13"/>
        <item x="9"/>
        <item x="10"/>
        <item x="12"/>
        <item x="11"/>
        <item x="14"/>
        <item x="7"/>
        <item x="1"/>
        <item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Col" compact="0" outline="0" subtotalTop="0" showAll="0" defaultSubtotal="0">
      <items count="9">
        <item x="0"/>
        <item x="7"/>
        <item x="1"/>
        <item x="2"/>
        <item x="3"/>
        <item x="4"/>
        <item x="5"/>
        <item x="6"/>
        <item x="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2"/>
    <field x="29"/>
    <field x="30"/>
  </rowFields>
  <rowItems count="36">
    <i>
      <x v="3"/>
      <x v="2"/>
      <x/>
    </i>
    <i r="2">
      <x v="1"/>
    </i>
    <i r="2">
      <x v="10"/>
    </i>
    <i r="2">
      <x v="14"/>
    </i>
    <i r="1">
      <x v="3"/>
      <x v="3"/>
    </i>
    <i r="1">
      <x v="5"/>
      <x/>
    </i>
    <i r="2">
      <x v="5"/>
    </i>
    <i r="2">
      <x v="6"/>
    </i>
    <i r="2">
      <x v="9"/>
    </i>
    <i r="1">
      <x v="6"/>
      <x/>
    </i>
    <i r="2">
      <x v="2"/>
    </i>
    <i r="2">
      <x v="4"/>
    </i>
    <i r="2">
      <x v="8"/>
    </i>
    <i r="2">
      <x v="9"/>
    </i>
    <i r="2">
      <x v="11"/>
    </i>
    <i r="2">
      <x v="13"/>
    </i>
    <i r="1">
      <x v="7"/>
      <x/>
    </i>
    <i r="2">
      <x v="7"/>
    </i>
    <i r="1">
      <x v="8"/>
      <x/>
    </i>
    <i r="2">
      <x v="12"/>
    </i>
    <i>
      <x v="4"/>
      <x v="2"/>
      <x v="10"/>
    </i>
    <i r="2">
      <x v="13"/>
    </i>
    <i r="2">
      <x v="14"/>
    </i>
    <i r="1">
      <x v="3"/>
      <x v="3"/>
    </i>
    <i r="1">
      <x v="4"/>
      <x/>
    </i>
    <i r="2">
      <x v="8"/>
    </i>
    <i r="1">
      <x v="5"/>
      <x v="5"/>
    </i>
    <i r="1">
      <x v="6"/>
      <x v="2"/>
    </i>
    <i r="2">
      <x v="4"/>
    </i>
    <i r="2">
      <x v="12"/>
    </i>
    <i r="1">
      <x v="7"/>
      <x/>
    </i>
    <i r="2">
      <x v="7"/>
    </i>
    <i r="1">
      <x v="9"/>
      <x/>
    </i>
    <i r="2">
      <x v="1"/>
    </i>
    <i r="2">
      <x v="6"/>
    </i>
    <i r="2">
      <x v="9"/>
    </i>
  </rowItems>
  <colFields count="1">
    <field x="35"/>
  </colFields>
  <colItems count="9">
    <i>
      <x/>
    </i>
    <i>
      <x v="1"/>
    </i>
    <i>
      <x v="2"/>
    </i>
    <i>
      <x v="3"/>
    </i>
    <i>
      <x v="4"/>
    </i>
    <i>
      <x v="5"/>
    </i>
    <i>
      <x v="6"/>
    </i>
    <i>
      <x v="7"/>
    </i>
    <i>
      <x v="8"/>
    </i>
  </colItems>
  <dataFields count="1">
    <dataField name="Count of NAMA" fld="3" subtotal="count" baseField="0" baseItem="0"/>
  </dataFields>
  <formats count="16">
    <format dxfId="65">
      <pivotArea outline="0" collapsedLevelsAreSubtotals="1" fieldPosition="0"/>
    </format>
    <format dxfId="64">
      <pivotArea dataOnly="0" labelOnly="1" outline="0" fieldPosition="0">
        <references count="1">
          <reference field="2" count="0"/>
        </references>
      </pivotArea>
    </format>
    <format dxfId="63">
      <pivotArea dataOnly="0" labelOnly="1" outline="0" fieldPosition="0">
        <references count="2">
          <reference field="2" count="1" selected="0">
            <x v="3"/>
          </reference>
          <reference field="29" count="6">
            <x v="2"/>
            <x v="3"/>
            <x v="5"/>
            <x v="6"/>
            <x v="7"/>
            <x v="8"/>
          </reference>
        </references>
      </pivotArea>
    </format>
    <format dxfId="62">
      <pivotArea dataOnly="0" labelOnly="1" outline="0" fieldPosition="0">
        <references count="2">
          <reference field="2" count="1" selected="0">
            <x v="4"/>
          </reference>
          <reference field="29" count="6">
            <x v="2"/>
            <x v="3"/>
            <x v="4"/>
            <x v="5"/>
            <x v="6"/>
            <x v="7"/>
          </reference>
        </references>
      </pivotArea>
    </format>
    <format dxfId="61">
      <pivotArea dataOnly="0" labelOnly="1" outline="0" fieldPosition="0">
        <references count="3">
          <reference field="2" count="1" selected="0">
            <x v="3"/>
          </reference>
          <reference field="29" count="1" selected="0">
            <x v="2"/>
          </reference>
          <reference field="30" count="3">
            <x v="0"/>
            <x v="1"/>
            <x v="10"/>
          </reference>
        </references>
      </pivotArea>
    </format>
    <format dxfId="60">
      <pivotArea dataOnly="0" labelOnly="1" outline="0" fieldPosition="0">
        <references count="3">
          <reference field="2" count="1" selected="0">
            <x v="3"/>
          </reference>
          <reference field="29" count="1" selected="0">
            <x v="3"/>
          </reference>
          <reference field="30" count="1">
            <x v="3"/>
          </reference>
        </references>
      </pivotArea>
    </format>
    <format dxfId="59">
      <pivotArea dataOnly="0" labelOnly="1" outline="0" fieldPosition="0">
        <references count="3">
          <reference field="2" count="1" selected="0">
            <x v="3"/>
          </reference>
          <reference field="29" count="1" selected="0">
            <x v="5"/>
          </reference>
          <reference field="30" count="4">
            <x v="0"/>
            <x v="5"/>
            <x v="6"/>
            <x v="9"/>
          </reference>
        </references>
      </pivotArea>
    </format>
    <format dxfId="58">
      <pivotArea dataOnly="0" labelOnly="1" outline="0" fieldPosition="0">
        <references count="3">
          <reference field="2" count="1" selected="0">
            <x v="3"/>
          </reference>
          <reference field="29" count="1" selected="0">
            <x v="6"/>
          </reference>
          <reference field="30" count="6">
            <x v="0"/>
            <x v="2"/>
            <x v="4"/>
            <x v="8"/>
            <x v="9"/>
            <x v="11"/>
          </reference>
        </references>
      </pivotArea>
    </format>
    <format dxfId="57">
      <pivotArea dataOnly="0" labelOnly="1" outline="0" fieldPosition="0">
        <references count="3">
          <reference field="2" count="1" selected="0">
            <x v="3"/>
          </reference>
          <reference field="29" count="1" selected="0">
            <x v="7"/>
          </reference>
          <reference field="30" count="2">
            <x v="0"/>
            <x v="7"/>
          </reference>
        </references>
      </pivotArea>
    </format>
    <format dxfId="56">
      <pivotArea dataOnly="0" labelOnly="1" outline="0" fieldPosition="0">
        <references count="3">
          <reference field="2" count="1" selected="0">
            <x v="3"/>
          </reference>
          <reference field="29" count="1" selected="0">
            <x v="8"/>
          </reference>
          <reference field="30" count="2">
            <x v="0"/>
            <x v="12"/>
          </reference>
        </references>
      </pivotArea>
    </format>
    <format dxfId="55">
      <pivotArea dataOnly="0" labelOnly="1" outline="0" fieldPosition="0">
        <references count="3">
          <reference field="2" count="1" selected="0">
            <x v="4"/>
          </reference>
          <reference field="29" count="1" selected="0">
            <x v="2"/>
          </reference>
          <reference field="30" count="1">
            <x v="10"/>
          </reference>
        </references>
      </pivotArea>
    </format>
    <format dxfId="54">
      <pivotArea dataOnly="0" labelOnly="1" outline="0" fieldPosition="0">
        <references count="3">
          <reference field="2" count="1" selected="0">
            <x v="4"/>
          </reference>
          <reference field="29" count="1" selected="0">
            <x v="3"/>
          </reference>
          <reference field="30" count="1">
            <x v="3"/>
          </reference>
        </references>
      </pivotArea>
    </format>
    <format dxfId="53">
      <pivotArea dataOnly="0" labelOnly="1" outline="0" fieldPosition="0">
        <references count="3">
          <reference field="2" count="1" selected="0">
            <x v="4"/>
          </reference>
          <reference field="29" count="1" selected="0">
            <x v="4"/>
          </reference>
          <reference field="30" count="2">
            <x v="0"/>
            <x v="8"/>
          </reference>
        </references>
      </pivotArea>
    </format>
    <format dxfId="52">
      <pivotArea dataOnly="0" labelOnly="1" outline="0" fieldPosition="0">
        <references count="3">
          <reference field="2" count="1" selected="0">
            <x v="4"/>
          </reference>
          <reference field="29" count="1" selected="0">
            <x v="5"/>
          </reference>
          <reference field="30" count="1">
            <x v="5"/>
          </reference>
        </references>
      </pivotArea>
    </format>
    <format dxfId="51">
      <pivotArea dataOnly="0" labelOnly="1" outline="0" fieldPosition="0">
        <references count="3">
          <reference field="2" count="1" selected="0">
            <x v="4"/>
          </reference>
          <reference field="29" count="1" selected="0">
            <x v="6"/>
          </reference>
          <reference field="30" count="6">
            <x v="0"/>
            <x v="1"/>
            <x v="2"/>
            <x v="6"/>
            <x v="9"/>
            <x v="12"/>
          </reference>
        </references>
      </pivotArea>
    </format>
    <format dxfId="50">
      <pivotArea dataOnly="0" labelOnly="1" outline="0" fieldPosition="0">
        <references count="3">
          <reference field="2" count="1" selected="0">
            <x v="4"/>
          </reference>
          <reference field="29" count="1" selected="0">
            <x v="7"/>
          </reference>
          <reference field="30" count="2">
            <x v="0"/>
            <x v="7"/>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444E651-F8C3-314A-8C60-7CF02F27FA59}" name="PivotTable7"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2">
  <location ref="A3:H95" firstHeaderRow="1" firstDataRow="2" firstDataCol="3"/>
  <pivotFields count="3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0"/>
        <item x="2"/>
        <item h="1" x="1"/>
        <item h="1" x="3"/>
        <item h="1"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9">
        <item x="1"/>
        <item x="0"/>
        <item x="2"/>
        <item x="3"/>
        <item x="4"/>
        <item x="5"/>
        <item x="6"/>
        <item x="7"/>
        <item x="8"/>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5">
        <item h="1" x="0"/>
        <item x="3"/>
        <item x="5"/>
        <item x="7"/>
        <item x="8"/>
        <item x="9"/>
        <item x="13"/>
        <item x="4"/>
        <item x="10"/>
        <item x="11"/>
        <item x="12"/>
        <item x="6"/>
        <item x="14"/>
        <item h="1" x="1"/>
        <item h="1"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x="0"/>
        <item x="7"/>
        <item x="1"/>
        <item x="2"/>
        <item x="3"/>
        <item x="4"/>
        <item x="5"/>
        <item x="6"/>
        <item x="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2"/>
    <field x="30"/>
    <field x="35"/>
  </rowFields>
  <rowItems count="91">
    <i>
      <x/>
      <x v="1"/>
      <x v="2"/>
    </i>
    <i r="2">
      <x v="3"/>
    </i>
    <i r="2">
      <x v="4"/>
    </i>
    <i r="2">
      <x v="5"/>
    </i>
    <i r="2">
      <x v="6"/>
    </i>
    <i r="2">
      <x v="7"/>
    </i>
    <i r="1">
      <x v="2"/>
      <x v="3"/>
    </i>
    <i r="1">
      <x v="3"/>
      <x v="2"/>
    </i>
    <i r="2">
      <x v="3"/>
    </i>
    <i r="2">
      <x v="4"/>
    </i>
    <i r="2">
      <x v="6"/>
    </i>
    <i r="1">
      <x v="4"/>
      <x v="1"/>
    </i>
    <i r="2">
      <x v="3"/>
    </i>
    <i r="2">
      <x v="6"/>
    </i>
    <i r="2">
      <x v="7"/>
    </i>
    <i r="1">
      <x v="5"/>
      <x v="2"/>
    </i>
    <i r="2">
      <x v="3"/>
    </i>
    <i r="2">
      <x v="4"/>
    </i>
    <i r="2">
      <x v="5"/>
    </i>
    <i r="2">
      <x v="6"/>
    </i>
    <i r="1">
      <x v="6"/>
      <x v="1"/>
    </i>
    <i r="2">
      <x v="3"/>
    </i>
    <i r="2">
      <x v="6"/>
    </i>
    <i r="1">
      <x v="7"/>
      <x v="1"/>
    </i>
    <i r="2">
      <x v="3"/>
    </i>
    <i r="2">
      <x v="4"/>
    </i>
    <i r="2">
      <x v="6"/>
    </i>
    <i r="2">
      <x v="7"/>
    </i>
    <i r="1">
      <x v="8"/>
      <x v="2"/>
    </i>
    <i r="2">
      <x v="4"/>
    </i>
    <i r="2">
      <x v="5"/>
    </i>
    <i r="2">
      <x v="6"/>
    </i>
    <i r="1">
      <x v="9"/>
      <x v="2"/>
    </i>
    <i r="2">
      <x v="3"/>
    </i>
    <i r="2">
      <x v="4"/>
    </i>
    <i r="2">
      <x v="5"/>
    </i>
    <i r="2">
      <x v="6"/>
    </i>
    <i r="2">
      <x v="7"/>
    </i>
    <i r="1">
      <x v="10"/>
      <x v="1"/>
    </i>
    <i r="2">
      <x v="2"/>
    </i>
    <i r="2">
      <x v="3"/>
    </i>
    <i r="2">
      <x v="4"/>
    </i>
    <i r="2">
      <x v="5"/>
    </i>
    <i r="2">
      <x v="6"/>
    </i>
    <i r="2">
      <x v="7"/>
    </i>
    <i r="2">
      <x v="8"/>
    </i>
    <i r="1">
      <x v="11"/>
      <x v="5"/>
    </i>
    <i r="2">
      <x v="8"/>
    </i>
    <i r="1">
      <x v="12"/>
      <x v="2"/>
    </i>
    <i r="2">
      <x v="3"/>
    </i>
    <i r="2">
      <x v="4"/>
    </i>
    <i r="2">
      <x v="5"/>
    </i>
    <i r="2">
      <x v="6"/>
    </i>
    <i r="2">
      <x v="7"/>
    </i>
    <i r="2">
      <x v="8"/>
    </i>
    <i>
      <x v="1"/>
      <x v="1"/>
      <x v="4"/>
    </i>
    <i r="2">
      <x v="5"/>
    </i>
    <i r="2">
      <x v="6"/>
    </i>
    <i r="2">
      <x v="7"/>
    </i>
    <i r="2">
      <x v="8"/>
    </i>
    <i r="1">
      <x v="2"/>
      <x v="2"/>
    </i>
    <i r="1">
      <x v="3"/>
      <x v="2"/>
    </i>
    <i r="2">
      <x v="3"/>
    </i>
    <i r="2">
      <x v="4"/>
    </i>
    <i r="2">
      <x v="6"/>
    </i>
    <i r="1">
      <x v="4"/>
      <x v="1"/>
    </i>
    <i r="2">
      <x v="2"/>
    </i>
    <i r="2">
      <x v="4"/>
    </i>
    <i r="2">
      <x v="6"/>
    </i>
    <i r="1">
      <x v="5"/>
      <x v="2"/>
    </i>
    <i r="2">
      <x v="3"/>
    </i>
    <i r="2">
      <x v="5"/>
    </i>
    <i r="2">
      <x v="6"/>
    </i>
    <i r="2">
      <x v="8"/>
    </i>
    <i r="1">
      <x v="6"/>
      <x v="3"/>
    </i>
    <i r="2">
      <x v="4"/>
    </i>
    <i r="1">
      <x v="7"/>
      <x v="2"/>
    </i>
    <i r="2">
      <x v="4"/>
    </i>
    <i r="2">
      <x v="5"/>
    </i>
    <i r="1">
      <x v="8"/>
      <x v="2"/>
    </i>
    <i r="2">
      <x v="3"/>
    </i>
    <i r="2">
      <x v="5"/>
    </i>
    <i r="1">
      <x v="9"/>
      <x v="2"/>
    </i>
    <i r="2">
      <x v="3"/>
    </i>
    <i r="2">
      <x v="4"/>
    </i>
    <i r="2">
      <x v="5"/>
    </i>
    <i r="2">
      <x v="6"/>
    </i>
    <i r="2">
      <x v="7"/>
    </i>
    <i r="1">
      <x v="10"/>
      <x v="3"/>
    </i>
    <i r="2">
      <x v="4"/>
    </i>
    <i r="1">
      <x v="11"/>
      <x v="6"/>
    </i>
  </rowItems>
  <colFields count="1">
    <field x="9"/>
  </colFields>
  <colItems count="5">
    <i>
      <x/>
    </i>
    <i>
      <x v="1"/>
    </i>
    <i>
      <x v="2"/>
    </i>
    <i>
      <x v="3"/>
    </i>
    <i>
      <x v="4"/>
    </i>
  </colItems>
  <dataFields count="1">
    <dataField name="Count of JENIS PENILAIAN" fld="10" subtotal="count" baseField="0" baseItem="0"/>
  </dataFields>
  <chartFormats count="1">
    <chartFormat chart="0"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E1138B2-E266-6843-83AF-A33991FCB13E}" name="PivotTable2"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36">
  <location ref="A3:H14" firstHeaderRow="1" firstDataRow="2" firstDataCol="3"/>
  <pivotFields count="3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0"/>
        <item h="1" x="2"/>
        <item h="1" x="1"/>
        <item h="1" x="3"/>
        <item h="1"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9">
        <item x="1"/>
        <item x="0"/>
        <item x="2"/>
        <item x="3"/>
        <item x="4"/>
        <item x="5"/>
        <item x="6"/>
        <item x="7"/>
        <item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5">
        <item x="0"/>
        <item x="1"/>
        <item x="2"/>
        <item x="3"/>
        <item x="4"/>
        <item x="5"/>
        <item x="6"/>
        <item x="8"/>
        <item x="13"/>
        <item x="9"/>
        <item x="10"/>
        <item x="12"/>
        <item x="11"/>
        <item x="14"/>
        <item x="7"/>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h="1" x="0"/>
        <item x="1"/>
        <item x="7"/>
        <item x="5"/>
        <item x="2"/>
        <item x="4"/>
        <item x="3"/>
        <item h="1" x="6"/>
      </items>
      <extLst>
        <ext xmlns:x14="http://schemas.microsoft.com/office/spreadsheetml/2009/9/main" uri="{2946ED86-A175-432a-8AC1-64E0C546D7DE}">
          <x14:pivotField fillDownLabels="1"/>
        </ext>
      </extLst>
    </pivotField>
  </pivotFields>
  <rowFields count="3">
    <field x="2"/>
    <field x="36"/>
    <field x="7"/>
  </rowFields>
  <rowItems count="10">
    <i>
      <x/>
      <x v="1"/>
      <x/>
    </i>
    <i r="2">
      <x v="1"/>
    </i>
    <i r="1">
      <x v="3"/>
      <x/>
    </i>
    <i r="2">
      <x v="1"/>
    </i>
    <i r="1">
      <x v="4"/>
      <x/>
    </i>
    <i r="2">
      <x v="1"/>
    </i>
    <i r="1">
      <x v="5"/>
      <x/>
    </i>
    <i r="2">
      <x v="1"/>
    </i>
    <i r="1">
      <x v="6"/>
      <x/>
    </i>
    <i r="2">
      <x v="1"/>
    </i>
  </rowItems>
  <colFields count="1">
    <field x="9"/>
  </colFields>
  <colItems count="5">
    <i>
      <x/>
    </i>
    <i>
      <x v="1"/>
    </i>
    <i>
      <x v="2"/>
    </i>
    <i>
      <x v="3"/>
    </i>
    <i>
      <x v="4"/>
    </i>
  </colItems>
  <dataFields count="1">
    <dataField name="Average of Nilai2" fld="31" subtotal="average" baseField="0" baseItem="0"/>
  </dataFields>
  <formats count="1">
    <format dxfId="49">
      <pivotArea dataOnly="0" outline="0" fieldPosition="0">
        <references count="1">
          <reference field="9" count="0"/>
        </references>
      </pivotArea>
    </format>
  </formats>
  <chartFormats count="5">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3"/>
          </reference>
        </references>
      </pivotArea>
    </chartFormat>
    <chartFormat chart="0" format="6" series="1">
      <pivotArea type="data" outline="0" fieldPosition="0">
        <references count="2">
          <reference field="4294967294" count="1" selected="0">
            <x v="0"/>
          </reference>
          <reference field="9" count="1" selected="0">
            <x v="1"/>
          </reference>
        </references>
      </pivotArea>
    </chartFormat>
    <chartFormat chart="0" format="7" series="1">
      <pivotArea type="data" outline="0" fieldPosition="0">
        <references count="2">
          <reference field="4294967294" count="1" selected="0">
            <x v="0"/>
          </reference>
          <reference field="9" count="1" selected="0">
            <x v="2"/>
          </reference>
        </references>
      </pivotArea>
    </chartFormat>
    <chartFormat chart="0" format="8" series="1">
      <pivotArea type="data" outline="0" fieldPosition="0">
        <references count="2">
          <reference field="4294967294" count="1" selected="0">
            <x v="0"/>
          </reference>
          <reference field="9"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694A075-C669-EE46-8C91-433A0DDEF912}" name="PivotTable5"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Q3:U23" firstHeaderRow="2" firstDataRow="2" firstDataCol="4" rowPageCount="1" colPageCount="1"/>
  <pivotFields count="3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0"/>
        <item x="2"/>
        <item h="1" x="1"/>
        <item h="1" x="3"/>
        <item h="1"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9">
        <item h="1" x="4"/>
        <item h="1" x="3"/>
        <item x="0"/>
        <item h="1" x="2"/>
        <item h="1" x="1"/>
        <item h="1" x="5"/>
        <item h="1" x="6"/>
        <item h="1" x="7"/>
        <item h="1"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5">
        <item h="1" x="0"/>
        <item x="3"/>
        <item h="1" x="5"/>
        <item h="1" x="7"/>
        <item h="1" x="8"/>
        <item x="9"/>
        <item h="1" x="13"/>
        <item h="1" x="4"/>
        <item h="1" x="10"/>
        <item h="1" x="11"/>
        <item h="1" x="12"/>
        <item h="1" x="6"/>
        <item h="1" x="14"/>
        <item h="1" x="1"/>
        <item h="1" x="2"/>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x="0"/>
        <item x="1"/>
        <item x="2"/>
        <item x="3"/>
        <item x="4"/>
        <item x="5"/>
        <item x="7"/>
        <item x="6"/>
        <item x="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4">
    <field x="2"/>
    <field x="30"/>
    <field x="7"/>
    <field x="35"/>
  </rowFields>
  <rowItems count="19">
    <i>
      <x/>
      <x v="1"/>
      <x/>
      <x v="1"/>
    </i>
    <i r="3">
      <x v="2"/>
    </i>
    <i r="3">
      <x v="3"/>
    </i>
    <i r="2">
      <x v="1"/>
      <x v="4"/>
    </i>
    <i r="3">
      <x v="5"/>
    </i>
    <i r="3">
      <x v="7"/>
    </i>
    <i r="1">
      <x v="5"/>
      <x/>
      <x v="1"/>
    </i>
    <i r="3">
      <x v="2"/>
    </i>
    <i r="3">
      <x v="3"/>
    </i>
    <i r="2">
      <x v="1"/>
      <x v="4"/>
    </i>
    <i r="3">
      <x v="5"/>
    </i>
    <i>
      <x v="1"/>
      <x v="1"/>
      <x/>
      <x v="3"/>
    </i>
    <i r="2">
      <x v="1"/>
      <x v="5"/>
    </i>
    <i r="3">
      <x v="7"/>
    </i>
    <i r="1">
      <x v="5"/>
      <x/>
      <x v="1"/>
    </i>
    <i r="3">
      <x v="2"/>
    </i>
    <i r="2">
      <x v="1"/>
      <x v="4"/>
    </i>
    <i r="3">
      <x v="5"/>
    </i>
    <i r="3">
      <x v="8"/>
    </i>
  </rowItems>
  <colItems count="1">
    <i/>
  </colItems>
  <pageFields count="1">
    <pageField fld="9" hier="-1"/>
  </pageFields>
  <dataFields count="1">
    <dataField name="Average of Nilai2" fld="31" subtotal="average" baseField="0" baseItem="0"/>
  </dataFields>
  <formats count="1">
    <format dxfId="14">
      <pivotArea dataOnly="0" grandCol="1" outline="0" axis="axisCol"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544D472-6CF0-4C40-AF9E-ED004BAFE00A}" name="PivotTable4" cacheId="40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A3:E71" firstHeaderRow="2" firstDataRow="2" firstDataCol="4" rowPageCount="1" colPageCount="1"/>
  <pivotFields count="3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0"/>
        <item x="2"/>
        <item h="1" x="1"/>
        <item h="1" x="3"/>
        <item h="1"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x="4"/>
        <item x="3"/>
        <item x="0"/>
        <item x="2"/>
        <item x="1"/>
        <item x="5"/>
        <item x="6"/>
        <item x="7"/>
        <item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15">
        <item h="1" x="0"/>
        <item x="3"/>
        <item x="5"/>
        <item x="7"/>
        <item x="8"/>
        <item x="9"/>
        <item x="13"/>
        <item x="4"/>
        <item x="10"/>
        <item x="11"/>
        <item x="12"/>
        <item x="6"/>
        <item x="14"/>
        <item h="1" x="1"/>
        <item h="1" x="2"/>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ascending" defaultSubtotal="0">
      <items count="9">
        <item x="0"/>
        <item x="7"/>
        <item x="1"/>
        <item x="2"/>
        <item x="3"/>
        <item x="4"/>
        <item x="5"/>
        <item x="6"/>
        <item x="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4">
    <field x="2"/>
    <field x="9"/>
    <field x="7"/>
    <field x="35"/>
  </rowFields>
  <rowItems count="67">
    <i>
      <x/>
      <x/>
      <x/>
      <x v="2"/>
    </i>
    <i r="3">
      <x v="3"/>
    </i>
    <i r="3">
      <x v="4"/>
    </i>
    <i r="2">
      <x v="1"/>
      <x v="5"/>
    </i>
    <i r="3">
      <x v="6"/>
    </i>
    <i r="3">
      <x v="7"/>
    </i>
    <i r="1">
      <x v="1"/>
      <x/>
      <x v="1"/>
    </i>
    <i r="3">
      <x v="2"/>
    </i>
    <i r="3">
      <x v="3"/>
    </i>
    <i r="3">
      <x v="4"/>
    </i>
    <i r="2">
      <x v="1"/>
      <x v="5"/>
    </i>
    <i r="3">
      <x v="6"/>
    </i>
    <i r="3">
      <x v="7"/>
    </i>
    <i r="1">
      <x v="2"/>
      <x/>
      <x v="1"/>
    </i>
    <i r="3">
      <x v="2"/>
    </i>
    <i r="3">
      <x v="3"/>
    </i>
    <i r="3">
      <x v="4"/>
    </i>
    <i r="2">
      <x v="1"/>
      <x v="5"/>
    </i>
    <i r="3">
      <x v="6"/>
    </i>
    <i r="3">
      <x v="7"/>
    </i>
    <i r="3">
      <x v="8"/>
    </i>
    <i r="1">
      <x v="3"/>
      <x/>
      <x v="2"/>
    </i>
    <i r="3">
      <x v="3"/>
    </i>
    <i r="3">
      <x v="4"/>
    </i>
    <i r="2">
      <x v="1"/>
      <x v="5"/>
    </i>
    <i r="3">
      <x v="6"/>
    </i>
    <i r="3">
      <x v="7"/>
    </i>
    <i r="1">
      <x v="4"/>
      <x/>
      <x v="1"/>
    </i>
    <i r="3">
      <x v="2"/>
    </i>
    <i r="3">
      <x v="3"/>
    </i>
    <i r="3">
      <x v="4"/>
    </i>
    <i r="2">
      <x v="1"/>
      <x v="5"/>
    </i>
    <i r="3">
      <x v="6"/>
    </i>
    <i r="3">
      <x v="7"/>
    </i>
    <i r="3">
      <x v="8"/>
    </i>
    <i>
      <x v="1"/>
      <x/>
      <x/>
      <x v="2"/>
    </i>
    <i r="3">
      <x v="3"/>
    </i>
    <i r="3">
      <x v="4"/>
    </i>
    <i r="2">
      <x v="1"/>
      <x v="5"/>
    </i>
    <i r="3">
      <x v="6"/>
    </i>
    <i r="3">
      <x v="7"/>
    </i>
    <i r="1">
      <x v="1"/>
      <x/>
      <x v="2"/>
    </i>
    <i r="3">
      <x v="3"/>
    </i>
    <i r="3">
      <x v="4"/>
    </i>
    <i r="2">
      <x v="1"/>
      <x v="5"/>
    </i>
    <i r="3">
      <x v="6"/>
    </i>
    <i r="3">
      <x v="7"/>
    </i>
    <i r="1">
      <x v="2"/>
      <x/>
      <x v="2"/>
    </i>
    <i r="3">
      <x v="3"/>
    </i>
    <i r="3">
      <x v="4"/>
    </i>
    <i r="2">
      <x v="1"/>
      <x v="5"/>
    </i>
    <i r="3">
      <x v="6"/>
    </i>
    <i r="3">
      <x v="7"/>
    </i>
    <i r="3">
      <x v="8"/>
    </i>
    <i r="1">
      <x v="3"/>
      <x/>
      <x v="1"/>
    </i>
    <i r="3">
      <x v="2"/>
    </i>
    <i r="3">
      <x v="3"/>
    </i>
    <i r="3">
      <x v="4"/>
    </i>
    <i r="2">
      <x v="1"/>
      <x v="5"/>
    </i>
    <i r="3">
      <x v="6"/>
    </i>
    <i r="3">
      <x v="7"/>
    </i>
    <i r="3">
      <x v="8"/>
    </i>
    <i r="1">
      <x v="4"/>
      <x/>
      <x v="2"/>
    </i>
    <i r="3">
      <x v="3"/>
    </i>
    <i r="3">
      <x v="4"/>
    </i>
    <i r="2">
      <x v="1"/>
      <x v="5"/>
    </i>
    <i r="3">
      <x v="6"/>
    </i>
  </rowItems>
  <colItems count="1">
    <i/>
  </colItems>
  <pageFields count="1">
    <pageField fld="30" hier="-1"/>
  </pageFields>
  <dataFields count="1">
    <dataField name="Average of Nilai2" fld="31" subtotal="average" baseField="0" baseItem="0"/>
  </dataFields>
  <formats count="1">
    <format dxfId="15">
      <pivotArea dataOnly="0" grandCol="1" outline="0" axis="axisCol"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56D31B0-6B73-490B-B3E4-74C0D451133C}" autoFormatId="16" applyNumberFormats="0" applyBorderFormats="0" applyFontFormats="0" applyPatternFormats="0" applyAlignmentFormats="0" applyWidthHeightFormats="0">
  <queryTableRefresh nextId="38" unboundColumnsRight="7">
    <queryTableFields count="37">
      <queryTableField id="1" name="NO" tableColumnId="1"/>
      <queryTableField id="2" name="NIS" tableColumnId="2"/>
      <queryTableField id="3" name="KELAS" tableColumnId="3"/>
      <queryTableField id="4" name="NAMA" tableColumnId="4"/>
      <queryTableField id="5" name="ASAL KABUPATEN" tableColumnId="5"/>
      <queryTableField id="6" name="TANGGAL" tableColumnId="6"/>
      <queryTableField id="7" name="Day" tableColumnId="7"/>
      <queryTableField id="8" name="Month" tableColumnId="8"/>
      <queryTableField id="9" name="Year" tableColumnId="9"/>
      <queryTableField id="10" name="KATEGORI PENILAIAN" tableColumnId="10"/>
      <queryTableField id="11" name="JENIS PENILAIAN" tableColumnId="11"/>
      <queryTableField id="12" name="BENTUK PENILAIAN" tableColumnId="12"/>
      <queryTableField id="13" name="TIPE PENILAIAN" tableColumnId="13"/>
      <queryTableField id="14" name="TEMA" tableColumnId="14"/>
      <queryTableField id="15" name="TOPIK" tableColumnId="15"/>
      <queryTableField id="16" name="PROYEK" tableColumnId="16"/>
      <queryTableField id="17" name="SKILL" tableColumnId="17"/>
      <queryTableField id="18" name="SUB SKILL" tableColumnId="18"/>
      <queryTableField id="19" name="KODE MATERI" tableColumnId="19"/>
      <queryTableField id="20" name="NO TP" tableColumnId="20"/>
      <queryTableField id="21" name="KETERANGAN TP" tableColumnId="21"/>
      <queryTableField id="22" name="NO MATERI" tableColumnId="22"/>
      <queryTableField id="23" name="KETERANGAN MATERI" tableColumnId="23"/>
      <queryTableField id="24" name="MATERI KELAS" tableColumnId="24"/>
      <queryTableField id="25" name="FASE" tableColumnId="25"/>
      <queryTableField id="26" name="KKM" tableColumnId="26"/>
      <queryTableField id="27" name="NILAI" tableColumnId="27"/>
      <queryTableField id="28" name="KETUNTASAN" tableColumnId="28"/>
      <queryTableField id="29" name="MAPEL" tableColumnId="29"/>
      <queryTableField id="30" name="NAMA GURU" tableColumnId="30"/>
      <queryTableField id="31" dataBound="0" tableColumnId="31"/>
      <queryTableField id="32" dataBound="0" tableColumnId="32"/>
      <queryTableField id="33" dataBound="0" tableColumnId="33"/>
      <queryTableField id="34" dataBound="0" tableColumnId="34"/>
      <queryTableField id="35" dataBound="0" tableColumnId="35"/>
      <queryTableField id="36" dataBound="0" tableColumnId="36"/>
      <queryTableField id="37" dataBound="0"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5" name="PivotTable3"/>
  </pivotTables>
  <data>
    <tabular pivotCacheId="1772298725">
      <items count="6">
        <i x="0" s="1"/>
        <i x="1" s="1"/>
        <i x="5" nd="1"/>
        <i x="3" nd="1"/>
        <i x="2"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0000000-0013-0000-FFFF-FFFF02000000}" sourceName="Month">
  <pivotTables>
    <pivotTable tabId="5" name="PivotTable4"/>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00000000-0013-0000-FFFF-FFFF03000000}" sourceName="Month">
  <pivotTables>
    <pivotTable tabId="5" name="PivotTable5"/>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00000000-0013-0000-FFFF-FFFF04000000}" sourceName="Month">
  <pivotTables>
    <pivotTable tabId="5" name="PivotTable6"/>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 xr10:uid="{00000000-0013-0000-FFFF-FFFF07000000}" sourceName="KELAS">
  <pivotTables>
    <pivotTable tabId="5" name="PivotTable10"/>
  </pivotTables>
  <data>
    <tabular pivotCacheId="1772298725">
      <items count="5">
        <i x="0"/>
        <i x="2" s="1"/>
        <i x="4" nd="1"/>
        <i x="3" nd="1"/>
        <i x="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6" xr10:uid="{00000000-0013-0000-FFFF-FFFF08000000}" sourceName="Month">
  <pivotTables>
    <pivotTable tabId="5" name="PivotTable10"/>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pel_TDU" xr10:uid="{00000000-0013-0000-FFFF-FFFF09000000}" sourceName="Mapel TDU">
  <pivotTables>
    <pivotTable tabId="5" name="PivotTable10"/>
  </pivotTables>
  <data>
    <tabular pivotCacheId="1772298725">
      <items count="15">
        <i x="1" s="1"/>
        <i x="2" s="1"/>
        <i x="3" s="1"/>
        <i x="4" s="1"/>
        <i x="5" s="1"/>
        <i x="6" s="1"/>
        <i x="8" s="1"/>
        <i x="13" s="1"/>
        <i x="9" s="1"/>
        <i x="10" s="1"/>
        <i x="12" s="1"/>
        <i x="11" s="1"/>
        <i x="7" s="1"/>
        <i x="0" s="1" nd="1"/>
        <i x="14"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4" xr10:uid="{00000000-0013-0000-FFFF-FFFF0A000000}" sourceName="KELAS">
  <pivotTables>
    <pivotTable tabId="8" name="PivotTable14"/>
  </pivotTables>
  <data>
    <tabular pivotCacheId="1772298725">
      <items count="5">
        <i x="0" s="1"/>
        <i x="2"/>
        <i x="4" nd="1"/>
        <i x="3" nd="1"/>
        <i x="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9" xr10:uid="{00000000-0013-0000-FFFF-FFFF0B000000}" sourceName="Month">
  <pivotTables>
    <pivotTable tabId="8" name="PivotTable14"/>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pel_TDU4" xr10:uid="{00000000-0013-0000-FFFF-FFFF0C000000}" sourceName="Mapel TDU">
  <pivotTables>
    <pivotTable tabId="8" name="PivotTable14"/>
  </pivotTables>
  <data>
    <tabular pivotCacheId="1772298725">
      <items count="15">
        <i x="0"/>
        <i x="1"/>
        <i x="2"/>
        <i x="3" s="1"/>
        <i x="4" s="1"/>
        <i x="5" s="1"/>
        <i x="6" s="1"/>
        <i x="8" s="1"/>
        <i x="13" s="1"/>
        <i x="9" s="1"/>
        <i x="10" s="1"/>
        <i x="12" s="1"/>
        <i x="11" s="1"/>
        <i x="14" s="1"/>
        <i x="7" s="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5" xr10:uid="{00000000-0013-0000-FFFF-FFFF0D000000}" sourceName="KELAS">
  <pivotTables>
    <pivotTable tabId="9" name="PivotTable15"/>
  </pivotTables>
  <data>
    <tabular pivotCacheId="1772298725">
      <items count="5">
        <i x="0" s="1"/>
        <i x="2"/>
        <i x="4" nd="1"/>
        <i x="3" nd="1"/>
        <i x="1" nd="1"/>
      </items>
    </tabular>
  </data>
  <extLs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1" xr10:uid="{00000000-0013-0000-FFFF-FFFF0E000000}" sourceName="NAMA">
  <pivotTables>
    <pivotTable tabId="9" name="PivotTable15"/>
  </pivotTables>
  <data>
    <tabular pivotCacheId="1772298725">
      <items count="24">
        <i x="3" s="1"/>
        <i x="4" s="1"/>
        <i x="8" s="1"/>
        <i x="9" s="1"/>
        <i x="5" s="1"/>
        <i x="6" s="1"/>
        <i x="10" s="1"/>
        <i x="2" s="1"/>
        <i x="1" s="1"/>
        <i x="11" s="1"/>
        <i x="7" s="1"/>
        <i x="0" s="1"/>
        <i x="23" s="1" nd="1"/>
        <i x="22" s="1" nd="1"/>
        <i x="12" s="1" nd="1"/>
        <i x="14" s="1" nd="1"/>
        <i x="15" s="1" nd="1"/>
        <i x="16" s="1" nd="1"/>
        <i x="19" s="1" nd="1"/>
        <i x="21" s="1" nd="1"/>
        <i x="17" s="1" nd="1"/>
        <i x="20" s="1" nd="1"/>
        <i x="13" s="1" nd="1"/>
        <i x="18" s="1" nd="1"/>
      </items>
    </tabular>
  </data>
  <extLst>
    <x:ext xmlns:x15="http://schemas.microsoft.com/office/spreadsheetml/2010/11/main" uri="{470722E0-AACD-4C17-9CDC-17EF765DBC7E}">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0" xr10:uid="{00000000-0013-0000-FFFF-FFFF0F000000}" sourceName="Month">
  <pivotTables>
    <pivotTable tabId="9" name="PivotTable15"/>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pel_TDU5" xr10:uid="{00000000-0013-0000-FFFF-FFFF10000000}" sourceName="Mapel TDU">
  <pivotTables>
    <pivotTable tabId="9" name="PivotTable15"/>
  </pivotTables>
  <data>
    <tabular pivotCacheId="1772298725">
      <items count="15">
        <i x="0"/>
        <i x="1"/>
        <i x="2"/>
        <i x="3"/>
        <i x="4"/>
        <i x="5"/>
        <i x="6"/>
        <i x="8"/>
        <i x="13"/>
        <i x="9" s="1"/>
        <i x="10"/>
        <i x="12"/>
        <i x="11"/>
        <i x="14"/>
        <i x="7"/>
      </items>
    </tabular>
  </data>
  <extLst>
    <x:ext xmlns:x15="http://schemas.microsoft.com/office/spreadsheetml/2010/11/main" uri="{470722E0-AACD-4C17-9CDC-17EF765DBC7E}">
      <x15:slicerCacheHideItemsWithNoData/>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1" xr10:uid="{00000000-0013-0000-FFFF-FFFF11000000}" sourceName="Month">
  <pivotTables>
    <pivotTable tabId="10" name="PivotTable16"/>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PENILAIAN" xr10:uid="{00000000-0013-0000-FFFF-FFFF12000000}" sourceName="KATEGORI PENILAIAN">
  <pivotTables>
    <pivotTable tabId="10" name="PivotTable16"/>
  </pivotTables>
  <data>
    <tabular pivotCacheId="1772298725">
      <items count="9">
        <i x="3" s="1"/>
        <i x="4" s="1"/>
        <i x="2" s="1"/>
        <i x="1" s="1"/>
        <i x="0" s="1"/>
        <i x="8" s="1" nd="1"/>
        <i x="6" s="1" nd="1"/>
        <i x="5" s="1" nd="1"/>
        <i x="7" s="1" nd="1"/>
      </items>
    </tabular>
  </data>
  <extLst>
    <x:ext xmlns:x15="http://schemas.microsoft.com/office/spreadsheetml/2010/11/main" uri="{470722E0-AACD-4C17-9CDC-17EF765DBC7E}">
      <x15:slicerCacheHideItemsWithNoData/>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YEK" xr10:uid="{00000000-0013-0000-FFFF-FFFF13000000}" sourceName="PROYEK">
  <pivotTables>
    <pivotTable tabId="10" name="PivotTable16"/>
  </pivotTables>
  <data>
    <tabular pivotCacheId="1772298725">
      <items count="2">
        <i x="0" s="1"/>
        <i x="1" nd="1"/>
      </items>
    </tabular>
  </data>
  <extLst>
    <x:ext xmlns:x15="http://schemas.microsoft.com/office/spreadsheetml/2010/11/main" uri="{470722E0-AACD-4C17-9CDC-17EF765DBC7E}">
      <x15:slicerCacheHideItemsWithNoData/>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 xr10:uid="{00000000-0013-0000-FFFF-FFFF14000000}" sourceName="SKILL">
  <pivotTables>
    <pivotTable tabId="10" name="PivotTable16"/>
  </pivotTables>
  <data>
    <tabular pivotCacheId="1772298725">
      <items count="5">
        <i x="2" s="1"/>
        <i x="0" s="1"/>
        <i x="4" nd="1"/>
        <i x="3" nd="1"/>
        <i x="1" nd="1"/>
      </items>
    </tabular>
  </data>
  <extLst>
    <x:ext xmlns:x15="http://schemas.microsoft.com/office/spreadsheetml/2010/11/main" uri="{470722E0-AACD-4C17-9CDC-17EF765DBC7E}">
      <x15:slicerCacheHideItemsWithNoData/>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7" xr10:uid="{00000000-0013-0000-FFFF-FFFF15000000}" sourceName="KELAS">
  <pivotTables>
    <pivotTable tabId="11" name="PivotTable17"/>
  </pivotTables>
  <data>
    <tabular pivotCacheId="1772298725">
      <items count="5">
        <i x="0" s="1"/>
        <i x="4" nd="1"/>
        <i x="3" nd="1"/>
        <i x="1" nd="1"/>
        <i x="2" nd="1"/>
      </items>
    </tabular>
  </data>
  <extLst>
    <x:ext xmlns:x15="http://schemas.microsoft.com/office/spreadsheetml/2010/11/main" uri="{470722E0-AACD-4C17-9CDC-17EF765DBC7E}">
      <x15:slicerCacheHideItemsWithNoData/>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2" xr10:uid="{00000000-0013-0000-FFFF-FFFF16000000}" sourceName="NAMA">
  <pivotTables>
    <pivotTable tabId="11" name="PivotTable17"/>
  </pivotTables>
  <data>
    <tabular pivotCacheId="1772298725">
      <items count="24">
        <i x="3" s="1"/>
        <i x="4"/>
        <i x="8"/>
        <i x="9"/>
        <i x="5"/>
        <i x="6"/>
        <i x="10"/>
        <i x="2"/>
        <i x="1"/>
        <i x="11"/>
        <i x="7"/>
        <i x="0"/>
        <i x="23" nd="1"/>
        <i x="22" nd="1"/>
        <i x="12" nd="1"/>
        <i x="14" nd="1"/>
        <i x="15" nd="1"/>
        <i x="16" nd="1"/>
        <i x="19" nd="1"/>
        <i x="21" nd="1"/>
        <i x="17" nd="1"/>
        <i x="20" nd="1"/>
        <i x="13" nd="1"/>
        <i x="18" nd="1"/>
      </items>
    </tabular>
  </data>
  <extLst>
    <x:ext xmlns:x15="http://schemas.microsoft.com/office/spreadsheetml/2010/11/main" uri="{470722E0-AACD-4C17-9CDC-17EF765DBC7E}">
      <x15:slicerCacheHideItemsWithNoData/>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2" xr10:uid="{00000000-0013-0000-FFFF-FFFF17000000}" sourceName="Month">
  <pivotTables>
    <pivotTable tabId="11" name="PivotTable17"/>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YEK1" xr10:uid="{00000000-0013-0000-FFFF-FFFF18000000}" sourceName="PROYEK">
  <pivotTables>
    <pivotTable tabId="11" name="PivotTable17"/>
  </pivotTables>
  <data>
    <tabular pivotCacheId="1772298725">
      <items count="2">
        <i x="0" s="1"/>
        <i x="1" nd="1"/>
      </items>
    </tabular>
  </data>
  <extLst>
    <x:ext xmlns:x15="http://schemas.microsoft.com/office/spreadsheetml/2010/11/main" uri="{470722E0-AACD-4C17-9CDC-17EF765DBC7E}">
      <x15:slicerCacheHideItemsWithNoData/>
    </x:ext>
  </extLst>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9" xr10:uid="{00000000-0013-0000-FFFF-FFFF19000000}" sourceName="KELAS">
  <pivotTables>
    <pivotTable tabId="8" name="PivotTable1"/>
  </pivotTables>
  <data>
    <tabular pivotCacheId="1772298725">
      <items count="5">
        <i x="0" s="1"/>
        <i x="2"/>
        <i x="4" nd="1"/>
        <i x="3" nd="1"/>
        <i x="1" nd="1"/>
      </items>
    </tabular>
  </data>
  <extLst>
    <x:ext xmlns:x15="http://schemas.microsoft.com/office/spreadsheetml/2010/11/main" uri="{470722E0-AACD-4C17-9CDC-17EF765DBC7E}">
      <x15:slicerCacheHideItemsWithNoData/>
    </x:ext>
  </extLst>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4" xr10:uid="{00000000-0013-0000-FFFF-FFFF1A000000}" sourceName="Month">
  <pivotTables>
    <pivotTable tabId="8" name="PivotTable1"/>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PENILAIAN3" xr10:uid="{00000000-0013-0000-FFFF-FFFF1B000000}" sourceName="KATEGORI PENILAIAN">
  <pivotTables>
    <pivotTable tabId="8" name="PivotTable1"/>
  </pivotTables>
  <data>
    <tabular pivotCacheId="1772298725">
      <items count="9">
        <i x="3" s="1"/>
        <i x="4" s="1"/>
        <i x="2" s="1"/>
        <i x="1" s="1"/>
        <i x="0" s="1"/>
        <i x="8" s="1" nd="1"/>
        <i x="6" s="1" nd="1"/>
        <i x="5" s="1" nd="1"/>
        <i x="7" s="1" nd="1"/>
      </items>
    </tabular>
  </data>
  <extLst>
    <x:ext xmlns:x15="http://schemas.microsoft.com/office/spreadsheetml/2010/11/main" uri="{470722E0-AACD-4C17-9CDC-17EF765DBC7E}">
      <x15:slicerCacheHideItemsWithNoData/>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YEK3" xr10:uid="{00000000-0013-0000-FFFF-FFFF1C000000}" sourceName="PROYEK">
  <pivotTables>
    <pivotTable tabId="8" name="PivotTable1"/>
  </pivotTables>
  <data>
    <tabular pivotCacheId="1772298725">
      <items count="2">
        <i x="0" s="1"/>
        <i x="1" nd="1"/>
      </items>
    </tabular>
  </data>
  <extLst>
    <x:ext xmlns:x15="http://schemas.microsoft.com/office/spreadsheetml/2010/11/main" uri="{470722E0-AACD-4C17-9CDC-17EF765DBC7E}">
      <x15:slicerCacheHideItemsWithNoData/>
    </x:ext>
  </extLst>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pel_TDU6" xr10:uid="{00000000-0013-0000-FFFF-FFFF1D000000}" sourceName="Mapel TDU">
  <pivotTables>
    <pivotTable tabId="8" name="PivotTable1"/>
  </pivotTables>
  <data>
    <tabular pivotCacheId="1772298725">
      <items count="15">
        <i x="0"/>
        <i x="1"/>
        <i x="2"/>
        <i x="3" s="1"/>
        <i x="4" s="1"/>
        <i x="5" s="1"/>
        <i x="6" s="1"/>
        <i x="8" s="1"/>
        <i x="13" s="1"/>
        <i x="9" s="1"/>
        <i x="10" s="1"/>
        <i x="12" s="1"/>
        <i x="11" s="1"/>
        <i x="14" s="1"/>
        <i x="7" s="1"/>
      </items>
    </tabular>
  </data>
  <extLst>
    <x:ext xmlns:x15="http://schemas.microsoft.com/office/spreadsheetml/2010/11/main" uri="{470722E0-AACD-4C17-9CDC-17EF765DBC7E}">
      <x15:slicerCacheHideItemsWithNoData/>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10" xr10:uid="{00000000-0013-0000-FFFF-FFFF1E000000}" sourceName="KELAS">
  <pivotTables>
    <pivotTable tabId="9" name="PivotTable2"/>
  </pivotTables>
  <data>
    <tabular pivotCacheId="1772298725">
      <items count="5">
        <i x="0" s="1"/>
        <i x="2"/>
        <i x="4" nd="1"/>
        <i x="3" nd="1"/>
        <i x="1" nd="1"/>
      </items>
    </tabular>
  </data>
  <extLst>
    <x:ext xmlns:x15="http://schemas.microsoft.com/office/spreadsheetml/2010/11/main" uri="{470722E0-AACD-4C17-9CDC-17EF765DBC7E}">
      <x15:slicerCacheHideItemsWithNoData/>
    </x:ext>
  </extLst>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3" xr10:uid="{00000000-0013-0000-FFFF-FFFF1F000000}" sourceName="NAMA">
  <pivotTables>
    <pivotTable tabId="9" name="PivotTable2"/>
  </pivotTables>
  <data>
    <tabular pivotCacheId="1772298725">
      <items count="24">
        <i x="3" s="1"/>
        <i x="4" s="1"/>
        <i x="8" s="1"/>
        <i x="9" s="1"/>
        <i x="5" s="1"/>
        <i x="6" s="1"/>
        <i x="10" s="1"/>
        <i x="2" s="1"/>
        <i x="1" s="1"/>
        <i x="11" s="1"/>
        <i x="7" s="1"/>
        <i x="0" s="1"/>
        <i x="23" s="1" nd="1"/>
        <i x="22" s="1" nd="1"/>
        <i x="12" s="1" nd="1"/>
        <i x="14" s="1" nd="1"/>
        <i x="15" s="1" nd="1"/>
        <i x="16" s="1" nd="1"/>
        <i x="19" s="1" nd="1"/>
        <i x="21" s="1" nd="1"/>
        <i x="17" s="1" nd="1"/>
        <i x="20" s="1" nd="1"/>
        <i x="13" s="1" nd="1"/>
        <i x="18" s="1" nd="1"/>
      </items>
    </tabular>
  </data>
  <extLst>
    <x:ext xmlns:x15="http://schemas.microsoft.com/office/spreadsheetml/2010/11/main" uri="{470722E0-AACD-4C17-9CDC-17EF765DBC7E}">
      <x15:slicerCacheHideItemsWithNoData/>
    </x:ext>
  </extLst>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5" xr10:uid="{00000000-0013-0000-FFFF-FFFF20000000}" sourceName="Month">
  <pivotTables>
    <pivotTable tabId="9" name="PivotTable2"/>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PENILAIAN4" xr10:uid="{00000000-0013-0000-FFFF-FFFF21000000}" sourceName="KATEGORI PENILAIAN">
  <pivotTables>
    <pivotTable tabId="9" name="PivotTable2"/>
  </pivotTables>
  <data>
    <tabular pivotCacheId="1772298725">
      <items count="9">
        <i x="3" s="1"/>
        <i x="4" s="1"/>
        <i x="2" s="1"/>
        <i x="1" s="1"/>
        <i x="0" s="1"/>
        <i x="8" s="1" nd="1"/>
        <i x="6" s="1" nd="1"/>
        <i x="5" s="1" nd="1"/>
        <i x="7" s="1" nd="1"/>
      </items>
    </tabular>
  </data>
  <extLst>
    <x:ext xmlns:x15="http://schemas.microsoft.com/office/spreadsheetml/2010/11/main" uri="{470722E0-AACD-4C17-9CDC-17EF765DBC7E}">
      <x15:slicerCacheHideItemsWithNoData/>
    </x:ext>
  </extLst>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pel_TDU7" xr10:uid="{00000000-0013-0000-FFFF-FFFF22000000}" sourceName="Mapel TDU">
  <pivotTables>
    <pivotTable tabId="9" name="PivotTable2"/>
  </pivotTables>
  <data>
    <tabular pivotCacheId="1772298725">
      <items count="15">
        <i x="0"/>
        <i x="1"/>
        <i x="2"/>
        <i x="3" s="1"/>
        <i x="4" s="1"/>
        <i x="5" s="1"/>
        <i x="6"/>
        <i x="8" s="1"/>
        <i x="13" s="1"/>
        <i x="9" s="1"/>
        <i x="10"/>
        <i x="12"/>
        <i x="11"/>
        <i x="14"/>
        <i x="7" s="1"/>
      </items>
    </tabular>
  </data>
  <extLst>
    <x:ext xmlns:x15="http://schemas.microsoft.com/office/spreadsheetml/2010/11/main" uri="{470722E0-AACD-4C17-9CDC-17EF765DBC7E}">
      <x15:slicerCacheHideItemsWithNoData/>
    </x:ext>
  </extLst>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3" xr10:uid="{00000000-0013-0000-FFFF-FFFF23000000}" sourceName="Month">
  <pivotTables>
    <pivotTable tabId="10" name="PivotTable18"/>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PENILAIAN2" xr10:uid="{00000000-0013-0000-FFFF-FFFF24000000}" sourceName="KATEGORI PENILAIAN">
  <pivotTables>
    <pivotTable tabId="10" name="PivotTable18"/>
  </pivotTables>
  <data>
    <tabular pivotCacheId="1772298725">
      <items count="9">
        <i x="3" s="1"/>
        <i x="4" s="1"/>
        <i x="2" s="1"/>
        <i x="1" s="1"/>
        <i x="0" s="1"/>
        <i x="8" s="1" nd="1"/>
        <i x="6" s="1" nd="1"/>
        <i x="5" s="1" nd="1"/>
        <i x="7" s="1" nd="1"/>
      </items>
    </tabular>
  </data>
  <extLst>
    <x:ext xmlns:x15="http://schemas.microsoft.com/office/spreadsheetml/2010/11/main" uri="{470722E0-AACD-4C17-9CDC-17EF765DBC7E}">
      <x15:slicerCacheHideItemsWithNoData/>
    </x:ext>
  </extLst>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YEK2" xr10:uid="{00000000-0013-0000-FFFF-FFFF25000000}" sourceName="PROYEK">
  <pivotTables>
    <pivotTable tabId="10" name="PivotTable18"/>
  </pivotTables>
  <data>
    <tabular pivotCacheId="1772298725">
      <items count="2">
        <i x="0" s="1"/>
        <i x="1" nd="1"/>
      </items>
    </tabular>
  </data>
  <extLst>
    <x:ext xmlns:x15="http://schemas.microsoft.com/office/spreadsheetml/2010/11/main" uri="{470722E0-AACD-4C17-9CDC-17EF765DBC7E}">
      <x15:slicerCacheHideItemsWithNoData/>
    </x:ext>
  </extLst>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1" xr10:uid="{00000000-0013-0000-FFFF-FFFF26000000}" sourceName="SKILL">
  <pivotTables>
    <pivotTable tabId="10" name="PivotTable18"/>
  </pivotTables>
  <data>
    <tabular pivotCacheId="1772298725">
      <items count="5">
        <i x="2"/>
        <i x="0" s="1"/>
        <i x="4" nd="1"/>
        <i x="3" nd="1"/>
        <i x="1" nd="1"/>
      </items>
    </tabular>
  </data>
  <extLst>
    <x:ext xmlns:x15="http://schemas.microsoft.com/office/spreadsheetml/2010/11/main" uri="{470722E0-AACD-4C17-9CDC-17EF765DBC7E}">
      <x15:slicerCacheHideItemsWithNoData/>
    </x:ext>
  </extLst>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KILL" xr10:uid="{00000000-0013-0000-FFFF-FFFF27000000}" sourceName="SUB SKILL">
  <pivotTables>
    <pivotTable tabId="10" name="PivotTable18"/>
  </pivotTables>
  <data>
    <tabular pivotCacheId="1772298725">
      <items count="8">
        <i x="0" s="1"/>
        <i x="1" s="1"/>
        <i x="7" s="1" nd="1"/>
        <i x="6" s="1" nd="1"/>
        <i x="4" s="1" nd="1"/>
        <i x="3" s="1" nd="1"/>
        <i x="2" nd="1"/>
        <i x="5" s="1" nd="1"/>
      </items>
    </tabular>
  </data>
  <extLst>
    <x:ext xmlns:x15="http://schemas.microsoft.com/office/spreadsheetml/2010/11/main" uri="{470722E0-AACD-4C17-9CDC-17EF765DBC7E}">
      <x15:slicerCacheHideItemsWithNoData/>
    </x:ext>
  </extLst>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2" xr10:uid="{00000000-0013-0000-FFFF-FFFF28000000}" sourceName="SKILL">
  <pivotTables>
    <pivotTable tabId="11" name="PivotTable17"/>
  </pivotTables>
  <data>
    <tabular pivotCacheId="1772298725">
      <items count="5">
        <i x="0" s="1"/>
        <i x="4" nd="1"/>
        <i x="3" nd="1"/>
        <i x="2" s="1" nd="1"/>
        <i x="1" nd="1"/>
      </items>
    </tabular>
  </data>
  <extLst>
    <x:ext xmlns:x15="http://schemas.microsoft.com/office/spreadsheetml/2010/11/main" uri="{470722E0-AACD-4C17-9CDC-17EF765DBC7E}">
      <x15:slicerCacheHideItemsWithNoData/>
    </x:ext>
  </extLst>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6" xr10:uid="{00000000-0013-0000-FFFF-FFFF29000000}" sourceName="KELAS">
  <pivotTables>
    <pivotTable tabId="12" name="PivotTable4"/>
  </pivotTables>
  <data>
    <tabular pivotCacheId="1772298725">
      <items count="5">
        <i x="0" s="1"/>
        <i x="2" s="1"/>
        <i x="4" nd="1"/>
        <i x="3" nd="1"/>
        <i x="1" nd="1"/>
      </items>
    </tabular>
  </data>
  <extLst>
    <x:ext xmlns:x15="http://schemas.microsoft.com/office/spreadsheetml/2010/11/main" uri="{470722E0-AACD-4C17-9CDC-17EF765DBC7E}">
      <x15:slicerCacheHideItemsWithNoData/>
    </x:ext>
  </extLst>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7" xr10:uid="{00000000-0013-0000-FFFF-FFFF2A000000}" sourceName="Month">
  <pivotTables>
    <pivotTable tabId="12" name="PivotTable4"/>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11" xr10:uid="{00000000-0013-0000-FFFF-FFFF2B000000}" sourceName="KELAS">
  <pivotTables>
    <pivotTable tabId="12" name="PivotTable6"/>
  </pivotTables>
  <data>
    <tabular pivotCacheId="1772298725">
      <items count="5">
        <i x="0" s="1"/>
        <i x="4" s="1" nd="1"/>
        <i x="3" s="1" nd="1"/>
        <i x="1" s="1" nd="1"/>
        <i x="2" s="1" nd="1"/>
      </items>
    </tabular>
  </data>
  <extLst>
    <x:ext xmlns:x15="http://schemas.microsoft.com/office/spreadsheetml/2010/11/main" uri="{470722E0-AACD-4C17-9CDC-17EF765DBC7E}">
      <x15:slicerCacheHideItemsWithNoData/>
    </x:ext>
  </extLst>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4" xr10:uid="{00000000-0013-0000-FFFF-FFFF2C000000}" sourceName="NAMA">
  <pivotTables>
    <pivotTable tabId="12" name="PivotTable6"/>
  </pivotTables>
  <data>
    <tabular pivotCacheId="1772298725">
      <items count="24">
        <i x="3"/>
        <i x="14"/>
        <i x="4" s="1"/>
        <i x="15"/>
        <i x="16"/>
        <i x="8"/>
        <i x="9"/>
        <i x="19"/>
        <i x="5"/>
        <i x="6"/>
        <i x="10"/>
        <i x="21"/>
        <i x="2"/>
        <i x="17"/>
        <i x="20"/>
        <i x="13"/>
        <i x="1"/>
        <i x="18"/>
        <i x="11"/>
        <i x="7"/>
        <i x="0"/>
        <i x="23" nd="1"/>
        <i x="22" nd="1"/>
        <i x="12" nd="1"/>
      </items>
    </tabular>
  </data>
  <extLst>
    <x:ext xmlns:x15="http://schemas.microsoft.com/office/spreadsheetml/2010/11/main" uri="{470722E0-AACD-4C17-9CDC-17EF765DBC7E}">
      <x15:slicerCacheHideItemsWithNoData/>
    </x:ext>
  </extLst>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9" xr10:uid="{00000000-0013-0000-FFFF-FFFF2D000000}" sourceName="Month">
  <pivotTables>
    <pivotTable tabId="12" name="PivotTable6"/>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8" xr10:uid="{00000000-0013-0000-FFFF-FFFF2F000000}" sourceName="Month">
  <pivotTables>
    <pivotTable tabId="12" name="PivotTable5"/>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4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8" xr10:uid="{00000000-0013-0000-FFFF-FFFF30000000}" sourceName="KELAS">
  <pivotTables>
    <pivotTable tabId="12" name="PivotTable5"/>
  </pivotTables>
  <data>
    <tabular pivotCacheId="1772298725">
      <items count="5">
        <i x="0" s="1"/>
        <i x="2" s="1"/>
        <i x="4" s="1" nd="1"/>
        <i x="3" s="1" nd="1"/>
        <i x="1" s="1" nd="1"/>
      </items>
    </tabular>
  </data>
  <extLst>
    <x:ext xmlns:x15="http://schemas.microsoft.com/office/spreadsheetml/2010/11/main" uri="{470722E0-AACD-4C17-9CDC-17EF765DBC7E}">
      <x15:slicerCacheHideItemsWithNoData/>
    </x:ext>
  </extLst>
</slicerCacheDefinition>
</file>

<file path=xl/slicerCaches/slicerCache4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pel_TDU8" xr10:uid="{00000000-0013-0000-FFFF-FFFF31000000}" sourceName="Mapel TDU">
  <pivotTables>
    <pivotTable tabId="12" name="PivotTable5"/>
  </pivotTables>
  <data>
    <tabular pivotCacheId="1772298725">
      <items count="15">
        <i x="3" s="1"/>
        <i x="4" s="1"/>
        <i x="13" s="1"/>
        <i x="9" s="1"/>
        <i x="10" s="1"/>
        <i x="12" s="1"/>
        <i x="11" s="1"/>
        <i x="14" s="1"/>
        <i x="7" s="1"/>
        <i x="0" nd="1"/>
        <i x="1" nd="1"/>
        <i x="2" nd="1"/>
        <i x="5" s="1" nd="1"/>
        <i x="6" s="1" nd="1"/>
        <i x="8" s="1" nd="1"/>
      </items>
    </tabular>
  </data>
  <extLst>
    <x:ext xmlns:x15="http://schemas.microsoft.com/office/spreadsheetml/2010/11/main" uri="{470722E0-AACD-4C17-9CDC-17EF765DBC7E}">
      <x15:slicerCacheHideItemsWithNoData/>
    </x:ext>
  </extLst>
</slicerCacheDefinition>
</file>

<file path=xl/slicerCaches/slicerCache4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YEK5" xr10:uid="{00000000-0013-0000-FFFF-FFFF32000000}" sourceName="PROYEK">
  <pivotTables>
    <pivotTable tabId="12" name="PivotTable5"/>
  </pivotTables>
  <data>
    <tabular pivotCacheId="1772298725">
      <items count="2">
        <i x="0" s="1"/>
        <i x="1" nd="1"/>
      </items>
    </tabular>
  </data>
  <extLst>
    <x:ext xmlns:x15="http://schemas.microsoft.com/office/spreadsheetml/2010/11/main" uri="{470722E0-AACD-4C17-9CDC-17EF765DBC7E}">
      <x15:slicerCacheHideItemsWithNoData/>
    </x:ext>
  </extLst>
</slicerCacheDefinition>
</file>

<file path=xl/slicerCaches/slicerCache4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PENILAIAN" xr10:uid="{00000000-0013-0000-FFFF-FFFF33000000}" sourceName="JENIS PENILAIAN">
  <pivotTables>
    <pivotTable tabId="12" name="PivotTable13"/>
  </pivotTables>
  <data>
    <tabular pivotCacheId="1772298725">
      <items count="21">
        <i x="15" s="1"/>
        <i x="8" s="1"/>
        <i x="4" s="1"/>
        <i x="20" s="1" nd="1"/>
        <i x="18" s="1" nd="1"/>
        <i x="17" s="1" nd="1"/>
        <i x="10" s="1" nd="1"/>
        <i x="3" s="1" nd="1"/>
        <i x="9" s="1" nd="1"/>
        <i x="6" s="1" nd="1"/>
        <i x="1" s="1" nd="1"/>
        <i x="5" s="1" nd="1"/>
        <i x="19" s="1" nd="1"/>
        <i x="0" s="1" nd="1"/>
        <i x="2" s="1" nd="1"/>
        <i x="7" s="1" nd="1"/>
        <i x="12" s="1" nd="1"/>
        <i x="11" s="1" nd="1"/>
        <i x="16" s="1" nd="1"/>
        <i x="13" s="1" nd="1"/>
        <i x="14" s="1" nd="1"/>
      </items>
    </tabular>
  </data>
  <extLst>
    <x:ext xmlns:x15="http://schemas.microsoft.com/office/spreadsheetml/2010/11/main" uri="{470722E0-AACD-4C17-9CDC-17EF765DBC7E}">
      <x15:slicerCacheHideItemsWithNoData/>
    </x:ext>
  </extLst>
</slicerCacheDefinition>
</file>

<file path=xl/slicerCaches/slicerCache4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13" xr10:uid="{00000000-0013-0000-FFFF-FFFF34000000}" sourceName="KELAS">
  <pivotTables>
    <pivotTable tabId="12" name="PivotTable13"/>
  </pivotTables>
  <data>
    <tabular pivotCacheId="1772298725">
      <items count="5">
        <i x="0" s="1"/>
        <i x="2" s="1"/>
        <i x="4" s="1" nd="1"/>
        <i x="3" s="1" nd="1"/>
        <i x="1" s="1" nd="1"/>
      </items>
    </tabular>
  </data>
  <extLst>
    <x:ext xmlns:x15="http://schemas.microsoft.com/office/spreadsheetml/2010/11/main" uri="{470722E0-AACD-4C17-9CDC-17EF765DBC7E}">
      <x15:slicerCacheHideItemsWithNoData/>
    </x:ext>
  </extLst>
</slicerCacheDefinition>
</file>

<file path=xl/slicerCaches/slicerCache5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0" xr10:uid="{00000000-0013-0000-FFFF-FFFF35000000}" sourceName="Month">
  <pivotTables>
    <pivotTable tabId="12" name="PivotTable13"/>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5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PENILAIAN1" xr10:uid="{00000000-0013-0000-FFFF-FFFF36000000}" sourceName="JENIS PENILAIAN">
  <pivotTables>
    <pivotTable tabId="12" name="PivotTable6"/>
  </pivotTables>
  <data>
    <tabular pivotCacheId="1772298725">
      <items count="21">
        <i x="8" s="1"/>
        <i x="4" s="1"/>
        <i x="20" s="1" nd="1"/>
        <i x="18" s="1" nd="1"/>
        <i x="17" s="1" nd="1"/>
        <i x="10" s="1" nd="1"/>
        <i x="3" s="1" nd="1"/>
        <i x="15" s="1" nd="1"/>
        <i x="9" s="1" nd="1"/>
        <i x="6" s="1" nd="1"/>
        <i x="1" s="1" nd="1"/>
        <i x="5" s="1" nd="1"/>
        <i x="19" s="1" nd="1"/>
        <i x="0" s="1" nd="1"/>
        <i x="2" s="1" nd="1"/>
        <i x="7" s="1" nd="1"/>
        <i x="12" s="1" nd="1"/>
        <i x="11" s="1" nd="1"/>
        <i x="16" s="1" nd="1"/>
        <i x="13" s="1" nd="1"/>
        <i x="14" s="1" nd="1"/>
      </items>
    </tabular>
  </data>
  <extLst>
    <x:ext xmlns:x15="http://schemas.microsoft.com/office/spreadsheetml/2010/11/main" uri="{470722E0-AACD-4C17-9CDC-17EF765DBC7E}">
      <x15:slicerCacheHideItemsWithNoData/>
    </x:ext>
  </extLst>
</slicerCacheDefinition>
</file>

<file path=xl/slicerCaches/slicerCache5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1" xr10:uid="{00000000-0013-0000-FFFF-FFFF37000000}" sourceName="KELAS">
  <pivotTables>
    <pivotTable tabId="16" name="PivotTable1"/>
  </pivotTables>
  <data>
    <tabular pivotCacheId="1772298725">
      <items count="5">
        <i x="4" s="1" nd="1"/>
        <i x="3" s="1" nd="1"/>
        <i x="1" s="1" nd="1"/>
        <i x="0" s="1" nd="1"/>
        <i x="2" s="1" nd="1"/>
      </items>
    </tabular>
  </data>
  <extLst>
    <x:ext xmlns:x15="http://schemas.microsoft.com/office/spreadsheetml/2010/11/main" uri="{470722E0-AACD-4C17-9CDC-17EF765DBC7E}">
      <x15:slicerCacheHideItemsWithNoData/>
    </x:ext>
  </extLst>
</slicerCacheDefinition>
</file>

<file path=xl/slicerCaches/slicerCache5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7" xr10:uid="{00000000-0013-0000-FFFF-FFFF38000000}" sourceName="Month">
  <pivotTables>
    <pivotTable tabId="16" name="PivotTable1"/>
  </pivotTables>
  <data>
    <tabular pivotCacheId="1772298725">
      <items count="6">
        <i x="0" s="1" nd="1"/>
        <i x="1" s="1" nd="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5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TERANGAN_MATERI" xr10:uid="{00000000-0013-0000-FFFF-FFFF39000000}" sourceName="KETERANGAN MATERI">
  <pivotTables>
    <pivotTable tabId="16" name="PivotTable1"/>
  </pivotTables>
  <data>
    <tabular pivotCacheId="1772298725">
      <items count="46">
        <i x="34"/>
        <i x="27"/>
        <i x="33"/>
        <i x="35"/>
        <i x="6"/>
        <i x="5"/>
        <i x="4"/>
        <i x="15"/>
        <i x="26"/>
        <i x="14"/>
        <i x="45" nd="1"/>
        <i x="8" nd="1"/>
        <i x="40" nd="1"/>
        <i x="24" nd="1"/>
        <i x="28" nd="1"/>
        <i x="20" nd="1"/>
        <i x="39" nd="1"/>
        <i x="18" nd="1"/>
        <i x="43" nd="1"/>
        <i x="2" nd="1"/>
        <i x="29" nd="1"/>
        <i x="7" nd="1"/>
        <i x="16" nd="1"/>
        <i x="38" nd="1"/>
        <i x="42" nd="1"/>
        <i x="0" nd="1"/>
        <i x="11" nd="1"/>
        <i x="3" nd="1"/>
        <i x="17" nd="1"/>
        <i x="36" nd="1"/>
        <i x="41" nd="1"/>
        <i x="19" nd="1"/>
        <i x="10" nd="1"/>
        <i x="25" nd="1"/>
        <i x="44" nd="1"/>
        <i x="9" nd="1"/>
        <i x="23" s="1" nd="1"/>
        <i x="37" nd="1"/>
        <i x="1" nd="1"/>
        <i x="21" nd="1"/>
        <i x="30" nd="1"/>
        <i x="32" nd="1"/>
        <i x="12" nd="1"/>
        <i x="22" nd="1"/>
        <i x="13" nd="1"/>
        <i x="31" s="1" nd="1"/>
      </items>
    </tabular>
  </data>
  <extLst>
    <x:ext xmlns:x15="http://schemas.microsoft.com/office/spreadsheetml/2010/11/main" uri="{470722E0-AACD-4C17-9CDC-17EF765DBC7E}">
      <x15:slicerCacheHideItemsWithNoData/>
    </x:ext>
  </extLst>
</slicerCacheDefinition>
</file>

<file path=xl/slicerCaches/slicerCache5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pel_TDU1" xr10:uid="{00000000-0013-0000-FFFF-FFFF3A000000}" sourceName="Mapel TDU">
  <pivotTables>
    <pivotTable tabId="16" name="PivotTable1"/>
  </pivotTables>
  <data>
    <tabular pivotCacheId="1772298725">
      <items count="15">
        <i x="0"/>
        <i x="13"/>
        <i x="12"/>
        <i x="7"/>
        <i x="1" nd="1"/>
        <i x="2" nd="1"/>
        <i x="3" s="1" nd="1"/>
        <i x="4" nd="1"/>
        <i x="5" nd="1"/>
        <i x="6" nd="1"/>
        <i x="8" nd="1"/>
        <i x="9" s="1" nd="1"/>
        <i x="10" nd="1"/>
        <i x="11" nd="1"/>
        <i x="14" nd="1"/>
      </items>
    </tabular>
  </data>
  <extLst>
    <x:ext xmlns:x15="http://schemas.microsoft.com/office/spreadsheetml/2010/11/main" uri="{470722E0-AACD-4C17-9CDC-17EF765DBC7E}">
      <x15:slicerCacheHideItemsWithNoData/>
    </x:ext>
  </extLst>
</slicerCacheDefinition>
</file>

<file path=xl/slicerCaches/slicerCache5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 xr10:uid="{00000000-0013-0000-FFFF-FFFF3B000000}" sourceName="NAMA">
  <pivotTables>
    <pivotTable tabId="16" name="PivotTable2"/>
  </pivotTables>
  <data>
    <tabular pivotCacheId="1772298725">
      <items count="24">
        <i x="23" nd="1"/>
        <i x="22" nd="1"/>
        <i x="12" nd="1"/>
        <i x="3" s="1" nd="1"/>
        <i x="14" nd="1"/>
        <i x="4" nd="1"/>
        <i x="15" nd="1"/>
        <i x="16" nd="1"/>
        <i x="8" nd="1"/>
        <i x="9" nd="1"/>
        <i x="19" nd="1"/>
        <i x="5" nd="1"/>
        <i x="6" nd="1"/>
        <i x="10" nd="1"/>
        <i x="21" nd="1"/>
        <i x="2" nd="1"/>
        <i x="17" nd="1"/>
        <i x="20" nd="1"/>
        <i x="13" nd="1"/>
        <i x="1" nd="1"/>
        <i x="18" nd="1"/>
        <i x="11" nd="1"/>
        <i x="7" nd="1"/>
        <i x="0" nd="1"/>
      </items>
    </tabular>
  </data>
  <extLst>
    <x:ext xmlns:x15="http://schemas.microsoft.com/office/spreadsheetml/2010/11/main" uri="{470722E0-AACD-4C17-9CDC-17EF765DBC7E}">
      <x15:slicerCacheHideItemsWithNoData/>
    </x:ext>
  </extLst>
</slicerCacheDefinition>
</file>

<file path=xl/slicerCaches/slicerCache5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2" xr10:uid="{00000000-0013-0000-FFFF-FFFF41000000}" sourceName="KELAS">
  <pivotTables>
    <pivotTable tabId="11" name="PivotTable6"/>
  </pivotTables>
  <data>
    <tabular pivotCacheId="944363770">
      <items count="2">
        <i x="0" s="1"/>
        <i x="1"/>
      </items>
    </tabular>
  </data>
</slicerCacheDefinition>
</file>

<file path=xl/slicerCaches/slicerCache5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1" xr10:uid="{00000000-0013-0000-FFFF-FFFF42000000}" sourceName="Month">
  <pivotTables>
    <pivotTable tabId="11" name="PivotTable6"/>
  </pivotTables>
  <data>
    <tabular pivotCacheId="944363770">
      <items count="4">
        <i x="0" s="1"/>
        <i x="1" s="1"/>
        <i x="2"/>
        <i x="3" nd="1"/>
      </items>
    </tabular>
  </data>
  <extLst>
    <x:ext xmlns:x15="http://schemas.microsoft.com/office/spreadsheetml/2010/11/main" uri="{470722E0-AACD-4C17-9CDC-17EF765DBC7E}">
      <x15:slicerCacheHideItemsWithNoData/>
    </x:ext>
  </extLst>
</slicerCacheDefinition>
</file>

<file path=xl/slicerCaches/slicerCache5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3" xr10:uid="{00000000-0013-0000-FFFF-FFFF43000000}" sourceName="KELAS">
  <pivotTables>
    <pivotTable tabId="11" name="PivotTable1"/>
  </pivotTables>
  <data>
    <tabular pivotCacheId="1772298725">
      <items count="5">
        <i x="4" s="1" nd="1"/>
        <i x="3" s="1" nd="1"/>
        <i x="1" s="1" nd="1"/>
        <i x="0" s="1" nd="1"/>
        <i x="2" s="1" nd="1"/>
      </items>
    </tabular>
  </data>
  <extLst>
    <x:ext xmlns:x15="http://schemas.microsoft.com/office/spreadsheetml/2010/11/main" uri="{470722E0-AACD-4C17-9CDC-17EF765DBC7E}">
      <x15:slicerCacheHideItemsWithNoData/>
    </x:ext>
  </extLst>
</slicerCacheDefinition>
</file>

<file path=xl/slicerCaches/slicerCache6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6" xr10:uid="{00000000-0013-0000-FFFF-FFFF44000000}" sourceName="Month">
  <pivotTables>
    <pivotTable tabId="11" name="PivotTable1"/>
  </pivotTables>
  <data>
    <tabular pivotCacheId="1772298725">
      <items count="6">
        <i x="0" s="1" nd="1"/>
        <i x="1" s="1" nd="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6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pel_TDU2" xr10:uid="{00000000-0013-0000-FFFF-FFFF45000000}" sourceName="Mapel TDU">
  <pivotTables>
    <pivotTable tabId="11" name="PivotTable1"/>
  </pivotTables>
  <data>
    <tabular pivotCacheId="1772298725">
      <items count="15">
        <i x="0"/>
        <i x="1" nd="1"/>
        <i x="2" nd="1"/>
        <i x="3" s="1" nd="1"/>
        <i x="4" s="1" nd="1"/>
        <i x="5" s="1" nd="1"/>
        <i x="6" nd="1"/>
        <i x="8" s="1" nd="1"/>
        <i x="13" s="1" nd="1"/>
        <i x="9" s="1" nd="1"/>
        <i x="10" nd="1"/>
        <i x="12" nd="1"/>
        <i x="11" nd="1"/>
        <i x="14" nd="1"/>
        <i x="7" s="1" nd="1"/>
      </items>
    </tabular>
  </data>
  <extLst>
    <x:ext xmlns:x15="http://schemas.microsoft.com/office/spreadsheetml/2010/11/main" uri="{470722E0-AACD-4C17-9CDC-17EF765DBC7E}">
      <x15:slicerCacheHideItemsWithNoData/>
    </x:ext>
  </extLst>
</slicerCacheDefinition>
</file>

<file path=xl/slicerCaches/slicerCache6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YEK4" xr10:uid="{00000000-0013-0000-FFFF-FFFF46000000}" sourceName="PROYEK">
  <pivotTables>
    <pivotTable tabId="11" name="PivotTable4"/>
  </pivotTables>
  <data>
    <tabular pivotCacheId="1772298725">
      <items count="2">
        <i x="0" s="1"/>
        <i x="1" nd="1"/>
      </items>
    </tabular>
  </data>
  <extLst>
    <x:ext xmlns:x15="http://schemas.microsoft.com/office/spreadsheetml/2010/11/main" uri="{470722E0-AACD-4C17-9CDC-17EF765DBC7E}">
      <x15:slicerCacheHideItemsWithNoData/>
    </x:ext>
  </extLst>
</slicerCacheDefinition>
</file>

<file path=xl/slicerCaches/slicerCache6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14" xr10:uid="{00000000-0013-0000-FFFF-FFFF47000000}" sourceName="KELAS">
  <pivotTables>
    <pivotTable tabId="11" name="PivotTable4"/>
  </pivotTables>
  <data>
    <tabular pivotCacheId="1772298725">
      <items count="5">
        <i x="0" s="1"/>
        <i x="2" s="1"/>
        <i x="4" nd="1"/>
        <i x="3" nd="1"/>
        <i x="1" nd="1"/>
      </items>
    </tabular>
  </data>
  <extLst>
    <x:ext xmlns:x15="http://schemas.microsoft.com/office/spreadsheetml/2010/11/main" uri="{470722E0-AACD-4C17-9CDC-17EF765DBC7E}">
      <x15:slicerCacheHideItemsWithNoData/>
    </x:ext>
  </extLst>
</slicerCacheDefinition>
</file>

<file path=xl/slicerCaches/slicerCache6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2" xr10:uid="{00000000-0013-0000-FFFF-FFFF48000000}" sourceName="Month">
  <pivotTables>
    <pivotTable tabId="11" name="PivotTable4"/>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6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15" xr10:uid="{00000000-0013-0000-FFFF-FFFF49000000}" sourceName="KELAS">
  <pivotTables>
    <pivotTable tabId="19" name="PivotTable2"/>
  </pivotTables>
  <data>
    <tabular pivotCacheId="1772298725">
      <items count="5">
        <i x="0" s="1"/>
        <i x="2"/>
        <i x="4" nd="1"/>
        <i x="3" nd="1"/>
        <i x="1" nd="1"/>
      </items>
    </tabular>
  </data>
  <extLst>
    <x:ext xmlns:x15="http://schemas.microsoft.com/office/spreadsheetml/2010/11/main" uri="{470722E0-AACD-4C17-9CDC-17EF765DBC7E}">
      <x15:slicerCacheHideItemsWithNoData/>
    </x:ext>
  </extLst>
</slicerCacheDefinition>
</file>

<file path=xl/slicerCaches/slicerCache6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3" xr10:uid="{00000000-0013-0000-FFFF-FFFF4A000000}" sourceName="Month">
  <pivotTables>
    <pivotTable tabId="19" name="PivotTable2"/>
  </pivotTables>
  <data>
    <tabular pivotCacheId="1772298725">
      <items count="6">
        <i x="0" s="1"/>
        <i x="1" s="1"/>
        <i x="5" s="1" nd="1"/>
        <i x="3" s="1" nd="1"/>
        <i x="2" s="1" nd="1"/>
        <i x="4" s="1" nd="1"/>
      </items>
    </tabular>
  </data>
  <extLst>
    <x:ext xmlns:x15="http://schemas.microsoft.com/office/spreadsheetml/2010/11/main" uri="{470722E0-AACD-4C17-9CDC-17EF765DBC7E}">
      <x15:slicerCacheHideItemsWithNoData/>
    </x:ext>
  </extLst>
</slicerCacheDefinition>
</file>

<file path=xl/slicerCaches/slicerCache6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Q_Status" xr10:uid="{00000000-0013-0000-FFFF-FFFF4B000000}" sourceName="IQ Status">
  <pivotTables>
    <pivotTable tabId="19" name="PivotTable2"/>
  </pivotTables>
  <data>
    <tabular pivotCacheId="1772298725">
      <items count="8">
        <i x="0"/>
        <i x="2" s="1"/>
        <i x="1" s="1"/>
        <i x="4" s="1"/>
        <i x="5" s="1"/>
        <i x="3" s="1"/>
        <i x="6"/>
        <i x="7" s="1" nd="1"/>
      </items>
    </tabular>
  </data>
  <extLst>
    <x:ext xmlns:x15="http://schemas.microsoft.com/office/spreadsheetml/2010/11/main" uri="{470722E0-AACD-4C17-9CDC-17EF765DBC7E}">
      <x15:slicerCacheHideItemsWithNoData/>
    </x:ext>
  </extLst>
</slicerCacheDefinition>
</file>

<file path=xl/slicerCaches/slicerCache6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pel_TDU3" xr10:uid="{00000000-0013-0000-FFFF-FFFF4C000000}" sourceName="Mapel TDU">
  <pivotTables>
    <pivotTable tabId="19" name="PivotTable2"/>
  </pivotTables>
  <data>
    <tabular pivotCacheId="1772298725">
      <items count="15">
        <i x="1" s="1"/>
        <i x="2" s="1"/>
        <i x="3" s="1"/>
        <i x="4" s="1"/>
        <i x="5" s="1"/>
        <i x="6" s="1"/>
        <i x="8" s="1"/>
        <i x="13" s="1"/>
        <i x="9" s="1"/>
        <i x="10" s="1"/>
        <i x="12" s="1"/>
        <i x="11" s="1"/>
        <i x="14" s="1"/>
        <i x="7" s="1"/>
        <i x="0" s="1" nd="1"/>
      </items>
    </tabular>
  </data>
  <extLst>
    <x:ext xmlns:x15="http://schemas.microsoft.com/office/spreadsheetml/2010/11/main" uri="{470722E0-AACD-4C17-9CDC-17EF765DBC7E}">
      <x15:slicerCacheHideItemsWithNoData/>
    </x:ext>
  </extLst>
</slicerCacheDefinition>
</file>

<file path=xl/slicerCaches/slicerCache6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AS12" xr10:uid="{58780186-BA58-3043-A298-394AC4991153}" sourceName="KELAS">
  <pivotTables>
    <pivotTable tabId="10" name="PivotTable16"/>
  </pivotTables>
  <data>
    <tabular pivotCacheId="1772298725">
      <items count="5">
        <i x="0" s="1"/>
        <i x="2" s="1"/>
        <i x="4" s="1" nd="1"/>
        <i x="3" s="1" nd="1"/>
        <i x="1" s="1" nd="1"/>
      </items>
    </tabular>
  </data>
  <extLst>
    <x:ext xmlns:x15="http://schemas.microsoft.com/office/spreadsheetml/2010/11/main" uri="{470722E0-AACD-4C17-9CDC-17EF765DBC7E}">
      <x15:slicerCacheHideItemsWithNoData/>
    </x:ext>
  </extLst>
</slicerCacheDefinition>
</file>

<file path=xl/slicerCaches/slicerCache7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pel_TDU9" xr10:uid="{0ADC5168-31CE-0F4B-8F8C-BFA6E949121D}" sourceName="Mapel TDU">
  <pivotTables>
    <pivotTable tabId="12" name="PivotTable13"/>
  </pivotTables>
  <data>
    <tabular pivotCacheId="1772298725">
      <items count="15">
        <i x="3" s="1"/>
        <i x="4" s="1"/>
        <i x="13" s="1"/>
        <i x="9" s="1"/>
        <i x="10" s="1"/>
        <i x="12" s="1"/>
        <i x="11" s="1"/>
        <i x="14" s="1"/>
        <i x="7" s="1"/>
        <i x="0" nd="1"/>
        <i x="1" nd="1"/>
        <i x="2" nd="1"/>
        <i x="5" s="1" nd="1"/>
        <i x="6" s="1" nd="1"/>
        <i x="8"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columnCount="3" rowHeight="230716"/>
  <slicer name="Month 1" xr10:uid="{00000000-0014-0000-FFFF-FFFF02000000}" cache="Slicer_Month1" caption="Month" columnCount="3" rowHeight="230716"/>
  <slicer name="Month 2" xr10:uid="{00000000-0014-0000-FFFF-FFFF03000000}" cache="Slicer_Month2" caption="Month" columnCount="3" rowHeight="230716"/>
  <slicer name="Month 3" xr10:uid="{00000000-0014-0000-FFFF-FFFF04000000}" cache="Slicer_Month3" caption="Month" columnCount="3" rowHeight="230716"/>
  <slicer name="KELAS" xr10:uid="{00000000-0014-0000-FFFF-FFFF07000000}" cache="Slicer_KELAS" caption="KELAS" columnCount="3" rowHeight="230716"/>
  <slicer name="Month 6" xr10:uid="{00000000-0014-0000-FFFF-FFFF08000000}" cache="Slicer_Month6" caption="Month" columnCount="3" rowHeight="230716"/>
  <slicer name="Mapel TDU" xr10:uid="{00000000-0014-0000-FFFF-FFFF09000000}" cache="Slicer_Mapel_TDU" caption="Mapel TDU" columnCount="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LAS 1" xr10:uid="{00000000-0014-0000-FFFF-FFFF10000000}" cache="Slicer_KELAS1" caption="KELAS" columnCount="3" rowHeight="230716"/>
  <slicer name="KELAS 2" xr10:uid="{00000000-0014-0000-FFFF-FFFF11000000}" cache="Slicer_KELAS1" caption="KELAS" columnCount="3" rowHeight="230716"/>
  <slicer name="Month 7" xr10:uid="{00000000-0014-0000-FFFF-FFFF12000000}" cache="Slicer_Month7" caption="Month" columnCount="3" rowHeight="230716"/>
  <slicer name="Month 9" xr10:uid="{00000000-0014-0000-FFFF-FFFF13000000}" cache="Slicer_Month7" caption="Month" columnCount="3" rowHeight="230716"/>
  <slicer name="KETERANGAN MATERI" xr10:uid="{00000000-0014-0000-FFFF-FFFF14000000}" cache="Slicer_KETERANGAN_MATERI" caption="KETERANGAN MATERI" rowHeight="230716"/>
  <slicer name="KETERANGAN MATERI 1" xr10:uid="{00000000-0014-0000-FFFF-FFFF15000000}" cache="Slicer_KETERANGAN_MATERI" caption="KETERANGAN MATERI" rowHeight="230716"/>
  <slicer name="Mapel TDU 1" xr10:uid="{00000000-0014-0000-FFFF-FFFF16000000}" cache="Slicer_Mapel_TDU1" caption="Mapel TDU" columnCount="2" rowHeight="230716"/>
  <slicer name="Mapel TDU 3" xr10:uid="{00000000-0014-0000-FFFF-FFFF17000000}" cache="Slicer_Mapel_TDU1" caption="Mapel TDU" columnCount="2" rowHeight="230716"/>
  <slicer name="NAMA" xr10:uid="{00000000-0014-0000-FFFF-FFFF18000000}" cache="Slicer_NAMA" caption="NAMA"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LAS 5" xr10:uid="{00000000-0014-0000-FFFF-FFFF19000000}" cache="Slicer_KELAS4" caption="KELAS" columnCount="3" rowHeight="230716"/>
  <slicer name="Month 10" xr10:uid="{00000000-0014-0000-FFFF-FFFF1A000000}" cache="Slicer_Month9" caption="Month" columnCount="3" rowHeight="230716"/>
  <slicer name="Mapel TDU 6" xr10:uid="{00000000-0014-0000-FFFF-FFFF1B000000}" cache="Slicer_Mapel_TDU4" caption="Mapel TDU" columnCount="2" rowHeight="230716"/>
  <slicer name="KELAS 10" xr10:uid="{00000000-0014-0000-FFFF-FFFF1C000000}" cache="Slicer_KELAS9" caption="KELAS" columnCount="3" rowHeight="230716"/>
  <slicer name="Month 8" xr10:uid="{00000000-0014-0000-FFFF-FFFF1D000000}" cache="Slicer_Month14" caption="Month" columnCount="3" rowHeight="230716"/>
  <slicer name="KATEGORI PENILAIAN 4" xr10:uid="{00000000-0014-0000-FFFF-FFFF1E000000}" cache="Slicer_KATEGORI_PENILAIAN3" caption="KATEGORI PENILAIAN" columnCount="2" rowHeight="230716"/>
  <slicer name="PROYEK 4" xr10:uid="{00000000-0014-0000-FFFF-FFFF1F000000}" cache="Slicer_PROYEK3" caption="PROYEK" rowHeight="230716"/>
  <slicer name="Mapel TDU 2" xr10:uid="{00000000-0014-0000-FFFF-FFFF20000000}" cache="Slicer_Mapel_TDU6" caption="Mapel TDU" columnCount="2"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LAS 6" xr10:uid="{00000000-0014-0000-FFFF-FFFF21000000}" cache="Slicer_KELAS5" caption="KELAS" columnCount="3" rowHeight="230716"/>
  <slicer name="NAMA 1" xr10:uid="{00000000-0014-0000-FFFF-FFFF22000000}" cache="Slicer_NAMA1" caption="NAMA" rowHeight="230716"/>
  <slicer name="Month 11" xr10:uid="{00000000-0014-0000-FFFF-FFFF23000000}" cache="Slicer_Month10" caption="Month" columnCount="3" rowHeight="230716"/>
  <slicer name="Mapel TDU 7" xr10:uid="{00000000-0014-0000-FFFF-FFFF24000000}" cache="Slicer_Mapel_TDU5" caption="Mapel TDU" startItem="2" columnCount="2" rowHeight="230716"/>
  <slicer name="KELAS 11" xr10:uid="{00000000-0014-0000-FFFF-FFFF25000000}" cache="Slicer_KELAS10" caption="KELAS" columnCount="3" rowHeight="230716"/>
  <slicer name="NAMA 3" xr10:uid="{00000000-0014-0000-FFFF-FFFF26000000}" cache="Slicer_NAMA3" caption="NAMA" rowHeight="230716"/>
  <slicer name="Month 15" xr10:uid="{00000000-0014-0000-FFFF-FFFF27000000}" cache="Slicer_Month15" caption="Month" columnCount="3" rowHeight="230716"/>
  <slicer name="KATEGORI PENILAIAN 5" xr10:uid="{00000000-0014-0000-FFFF-FFFF28000000}" cache="Slicer_KATEGORI_PENILAIAN4" caption="KATEGORI PENILAIAN" columnCount="2" rowHeight="230716"/>
  <slicer name="Mapel TDU 4" xr10:uid="{00000000-0014-0000-FFFF-FFFF29000000}" cache="Slicer_Mapel_TDU7" caption="Mapel TDU" columnCount="2" rowHeight="23071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2" xr10:uid="{00000000-0014-0000-FFFF-FFFF2A000000}" cache="Slicer_Month11" caption="Month" columnCount="3" rowHeight="230716"/>
  <slicer name="KATEGORI PENILAIAN" xr10:uid="{00000000-0014-0000-FFFF-FFFF2B000000}" cache="Slicer_KATEGORI_PENILAIAN" caption="KATEGORI PENILAIAN" columnCount="2" rowHeight="230716"/>
  <slicer name="PROYEK" xr10:uid="{00000000-0014-0000-FFFF-FFFF2C000000}" cache="Slicer_PROYEK" caption="PROYEK" rowHeight="230716"/>
  <slicer name="SKILL" xr10:uid="{00000000-0014-0000-FFFF-FFFF2D000000}" cache="Slicer_SKILL" caption="SKILL" rowHeight="230716"/>
  <slicer name="Month 14" xr10:uid="{00000000-0014-0000-FFFF-FFFF2E000000}" cache="Slicer_Month13" caption="Month" columnCount="3" rowHeight="230716"/>
  <slicer name="KATEGORI PENILAIAN 2" xr10:uid="{00000000-0014-0000-FFFF-FFFF2F000000}" cache="Slicer_KATEGORI_PENILAIAN2" caption="KATEGORI PENILAIAN" columnCount="2" rowHeight="230716"/>
  <slicer name="PROYEK 2" xr10:uid="{00000000-0014-0000-FFFF-FFFF30000000}" cache="Slicer_PROYEK2" caption="PROYEK" rowHeight="230716"/>
  <slicer name="SKILL 1" xr10:uid="{00000000-0014-0000-FFFF-FFFF31000000}" cache="Slicer_SKILL1" caption="SKILL" rowHeight="230716"/>
  <slicer name="SUB SKILL" xr10:uid="{00000000-0014-0000-FFFF-FFFF32000000}" cache="Slicer_SUB_SKILL" caption="SUB SKILL" rowHeight="230716"/>
  <slicer name="KELAS 12" xr10:uid="{591A648A-EF69-8A45-90AD-B0C8FD7ED271}" cache="Slicer_KELAS12" caption="KELAS" columnCount="3" rowHeight="230716"/>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LAS 8" xr10:uid="{00000000-0014-0000-FFFF-FFFF33000000}" cache="Slicer_KELAS7" caption="KELAS" columnCount="3" rowHeight="230716"/>
  <slicer name="NAMA 2" xr10:uid="{00000000-0014-0000-FFFF-FFFF34000000}" cache="Slicer_NAMA2" caption="NAMA" rowHeight="230716"/>
  <slicer name="Month 13" xr10:uid="{00000000-0014-0000-FFFF-FFFF35000000}" cache="Slicer_Month12" caption="Month" columnCount="3" rowHeight="230716"/>
  <slicer name="PROYEK 1" xr10:uid="{00000000-0014-0000-FFFF-FFFF36000000}" cache="Slicer_PROYEK1" caption="PROYEK" rowHeight="230716"/>
  <slicer name="SKILL 2" xr10:uid="{00000000-0014-0000-FFFF-FFFF37000000}" cache="Slicer_SKILL2" caption="SKILL" rowHeight="274320"/>
  <slicer name="KELAS 14" xr10:uid="{00000000-0014-0000-FFFF-FFFF38000000}" cache="Slicer_KELAS2" caption="KELAS" columnCount="2" rowHeight="230716"/>
  <slicer name="Month 23" xr10:uid="{00000000-0014-0000-FFFF-FFFF39000000}" cache="Slicer_Month21" caption="Month" columnCount="3" rowHeight="230716"/>
  <slicer name="KELAS 15" xr10:uid="{00000000-0014-0000-FFFF-FFFF3A000000}" cache="Slicer_KELAS3" caption="KELAS" columnCount="2" rowHeight="230716"/>
  <slicer name="Month 16" xr10:uid="{00000000-0014-0000-FFFF-FFFF3B000000}" cache="Slicer_Month16" caption="Month" columnCount="3" rowHeight="230716"/>
  <slicer name="Mapel TDU 5" xr10:uid="{00000000-0014-0000-FFFF-FFFF3C000000}" cache="Slicer_Mapel_TDU2" caption="Mapel TDU" columnCount="2" rowHeight="230716"/>
  <slicer name="PROYEK 3" xr10:uid="{00000000-0014-0000-FFFF-FFFF3D000000}" cache="Slicer_PROYEK4" caption="PROYEK" rowHeight="230716"/>
  <slicer name="KELAS 16" xr10:uid="{00000000-0014-0000-FFFF-FFFF3E000000}" cache="Slicer_KELAS14" caption="KELAS" columnCount="2" rowHeight="230716"/>
  <slicer name="Month 24" xr10:uid="{00000000-0014-0000-FFFF-FFFF3F000000}" cache="Slicer_Month22" caption="Month" columnCount="3" rowHeight="230716"/>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LAS 3" xr10:uid="{00000000-0014-0000-FFFF-FFFF40000000}" cache="Slicer_KELAS6" caption="KELAS" columnCount="3" rowHeight="230716"/>
  <slicer name="Month 17" xr10:uid="{00000000-0014-0000-FFFF-FFFF41000000}" cache="Slicer_Month17" caption="Month" columnCount="3" rowHeight="230716"/>
  <slicer name="KELAS 9" xr10:uid="{00000000-0014-0000-FFFF-FFFF42000000}" cache="Slicer_KELAS11" caption="KELAS" columnCount="3" rowHeight="230716"/>
  <slicer name="NAMA 4" xr10:uid="{00000000-0014-0000-FFFF-FFFF43000000}" cache="Slicer_NAMA4" caption="NAMA" rowHeight="230716"/>
  <slicer name="Month 19" xr10:uid="{00000000-0014-0000-FFFF-FFFF44000000}" cache="Slicer_Month19" caption="Month" columnCount="2" rowHeight="230716"/>
  <slicer name="Month 18" xr10:uid="{00000000-0014-0000-FFFF-FFFF45000000}" cache="Slicer_Month18" caption="Month" columnCount="2" rowHeight="230716"/>
  <slicer name="KELAS 7" xr10:uid="{00000000-0014-0000-FFFF-FFFF46000000}" cache="Slicer_KELAS8" caption="KELAS" columnCount="2" rowHeight="230716"/>
  <slicer name="Mapel TDU 8" xr10:uid="{00000000-0014-0000-FFFF-FFFF47000000}" cache="Slicer_Mapel_TDU8" caption="Mapel TDU" rowHeight="230716"/>
  <slicer name="PROYEK 5" xr10:uid="{00000000-0014-0000-FFFF-FFFF48000000}" cache="Slicer_PROYEK5" caption="PROYEK" rowHeight="230716"/>
  <slicer name="JENIS PENILAIAN" xr10:uid="{00000000-0014-0000-FFFF-FFFF49000000}" cache="Slicer_JENIS_PENILAIAN" caption="JENIS PENILAIAN" rowHeight="230716"/>
  <slicer name="KELAS 13" xr10:uid="{00000000-0014-0000-FFFF-FFFF4A000000}" cache="Slicer_KELAS13" caption="KELAS" columnCount="2" rowHeight="230716"/>
  <slicer name="Month 20" xr10:uid="{00000000-0014-0000-FFFF-FFFF4B000000}" cache="Slicer_Month20" caption="Month" columnCount="3" rowHeight="230716"/>
  <slicer name="JENIS PENILAIAN 1" xr10:uid="{00000000-0014-0000-FFFF-FFFF4C000000}" cache="Slicer_JENIS_PENILAIAN1" caption="JENIS PENILAIAN" rowHeight="230716"/>
  <slicer name="Mapel TDU 10" xr10:uid="{F0DD38CA-21A4-BD46-B827-A160C781EE31}" cache="Slicer_Mapel_TDU9" caption="Mapel TDU" rowHeight="230716"/>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LAS 4" xr10:uid="{00000000-0014-0000-FFFF-FFFF4D000000}" cache="Slicer_KELAS15" caption="KELAS" columnCount="3" rowHeight="230716"/>
  <slicer name="Month 22" xr10:uid="{00000000-0014-0000-FFFF-FFFF4E000000}" cache="Slicer_Month23" caption="Month" columnCount="3" rowHeight="230716"/>
  <slicer name="IQ Status" xr10:uid="{00000000-0014-0000-FFFF-FFFF4F000000}" cache="Slicer_IQ_Status" caption="IQ Status" startItem="2" rowHeight="230716"/>
  <slicer name="Mapel TDU 9" xr10:uid="{00000000-0014-0000-FFFF-FFFF50000000}" cache="Slicer_Mapel_TDU3" caption="Mapel TDU"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458E8CC-D1B1-4B62-BCDF-80C56E77AB77}" name="pub_gid_0_single_true_output_csv" displayName="pub_gid_0_single_true_output_csv" ref="A1:AK2522" tableType="queryTable" totalsRowShown="0">
  <autoFilter ref="A1:AK2522" xr:uid="{FE099C16-D919-4CFF-936E-9870B6C56963}"/>
  <tableColumns count="37">
    <tableColumn id="1" xr3:uid="{0AB2C8AE-DDBD-4FB3-B971-65AEBC529F9B}" uniqueName="1" name="NO" queryTableFieldId="1"/>
    <tableColumn id="2" xr3:uid="{4D39B1FF-A183-4B60-9022-EA4AB165266F}" uniqueName="2" name="NIS" queryTableFieldId="2" dataDxfId="48"/>
    <tableColumn id="3" xr3:uid="{C8AD673A-9176-42A7-8449-10A9ADCF122A}" uniqueName="3" name="KELAS" queryTableFieldId="3" dataDxfId="47"/>
    <tableColumn id="4" xr3:uid="{EF83B85F-BCC8-45D5-B58D-ABA4F40D24F5}" uniqueName="4" name="NAMA" queryTableFieldId="4" dataDxfId="46"/>
    <tableColumn id="5" xr3:uid="{CB2EB18F-5C48-45E4-876F-E0757C9EB2EE}" uniqueName="5" name="ASAL KABUPATEN" queryTableFieldId="5" dataDxfId="45"/>
    <tableColumn id="6" xr3:uid="{90AA9361-9FE2-444D-BC27-D1B4F003390E}" uniqueName="6" name="TANGGAL" queryTableFieldId="6" dataDxfId="44"/>
    <tableColumn id="7" xr3:uid="{0876A9F9-7CC1-4538-8361-3E02C901D830}" uniqueName="7" name="Day" queryTableFieldId="7" dataDxfId="43"/>
    <tableColumn id="8" xr3:uid="{8ED7BA0E-0CBD-4A95-9E56-9CC87F2E1FCE}" uniqueName="8" name="Month" queryTableFieldId="8" dataDxfId="42"/>
    <tableColumn id="9" xr3:uid="{676D5213-275F-4372-BE85-D73BF3CE2893}" uniqueName="9" name="Year" queryTableFieldId="9" dataDxfId="41"/>
    <tableColumn id="10" xr3:uid="{FAB0AB4D-BCE5-4052-97CE-5DB46B360BE9}" uniqueName="10" name="KATEGORI PENILAIAN" queryTableFieldId="10" dataDxfId="40"/>
    <tableColumn id="11" xr3:uid="{D021E513-06D9-4904-A20D-D7422DEB09AA}" uniqueName="11" name="JENIS PENILAIAN" queryTableFieldId="11" dataDxfId="39"/>
    <tableColumn id="12" xr3:uid="{62755761-DEC7-4019-929D-E209DED6BDD6}" uniqueName="12" name="BENTUK PENILAIAN" queryTableFieldId="12" dataDxfId="38"/>
    <tableColumn id="13" xr3:uid="{3024B8F8-16C9-4C4F-8D5A-033676C31B47}" uniqueName="13" name="TIPE PENILAIAN" queryTableFieldId="13" dataDxfId="37"/>
    <tableColumn id="14" xr3:uid="{96358A87-ACCD-4265-8A32-B42081F934E7}" uniqueName="14" name="TEMA" queryTableFieldId="14" dataDxfId="36"/>
    <tableColumn id="15" xr3:uid="{A5949E3D-F672-4801-9969-9D9B02451096}" uniqueName="15" name="TOPIK" queryTableFieldId="15" dataDxfId="35"/>
    <tableColumn id="16" xr3:uid="{29791272-82A7-4589-BB00-46FBB259C9EB}" uniqueName="16" name="PROYEK" queryTableFieldId="16" dataDxfId="34"/>
    <tableColumn id="17" xr3:uid="{C22A3998-5DF2-4C83-882F-D444FCE6EA61}" uniqueName="17" name="SKILL" queryTableFieldId="17" dataDxfId="33"/>
    <tableColumn id="18" xr3:uid="{F1B3F4DC-4B97-4846-9340-25529BF72E0D}" uniqueName="18" name="SUB SKILL" queryTableFieldId="18" dataDxfId="32"/>
    <tableColumn id="19" xr3:uid="{550A7CBE-BB38-4DF4-B855-8EFD84ABE58E}" uniqueName="19" name="KODE MATERI" queryTableFieldId="19" dataDxfId="31"/>
    <tableColumn id="20" xr3:uid="{9547C02D-713E-44B3-803E-28530D902A28}" uniqueName="20" name="NO TP" queryTableFieldId="20"/>
    <tableColumn id="21" xr3:uid="{5DF48B1F-B0C5-4AD0-9A65-531E7A12C295}" uniqueName="21" name="KETERANGAN TP" queryTableFieldId="21" dataDxfId="30"/>
    <tableColumn id="22" xr3:uid="{7C035370-9131-4062-AD7D-354FD579FE23}" uniqueName="22" name="NO MATERI" queryTableFieldId="22" dataDxfId="29"/>
    <tableColumn id="23" xr3:uid="{D5F379FC-EAF2-44D9-A2C7-F76DA0A8D4C1}" uniqueName="23" name="KETERANGAN MATERI" queryTableFieldId="23" dataDxfId="28"/>
    <tableColumn id="24" xr3:uid="{CD7AC52B-51E9-4C33-90BC-12ABFA8EA2F4}" uniqueName="24" name="MATERI KELAS" queryTableFieldId="24" dataDxfId="27"/>
    <tableColumn id="25" xr3:uid="{76E8C70C-8F44-482D-86D6-BE1FC749B273}" uniqueName="25" name="FASE" queryTableFieldId="25" dataDxfId="26"/>
    <tableColumn id="26" xr3:uid="{EDD000F0-6529-45F3-B721-77D13D1C818F}" uniqueName="26" name="KKM" queryTableFieldId="26"/>
    <tableColumn id="27" xr3:uid="{6A431FB4-190E-4570-BBAF-74E73B92F4B9}" uniqueName="27" name="NILAI" queryTableFieldId="27"/>
    <tableColumn id="28" xr3:uid="{8754F1FA-1F40-4254-B2B2-FC6376AAF2A6}" uniqueName="28" name="KETUNTASAN" queryTableFieldId="28" dataDxfId="25"/>
    <tableColumn id="29" xr3:uid="{7C643727-4E22-45F4-9F5B-9D3AA5C7924D}" uniqueName="29" name="MAPEL" queryTableFieldId="29" dataDxfId="24"/>
    <tableColumn id="30" xr3:uid="{64516C84-C034-46F6-98A7-6EC0D70A92F4}" uniqueName="30" name="NAMA GURU" queryTableFieldId="30" dataDxfId="23"/>
    <tableColumn id="31" xr3:uid="{0741C21A-2FFE-F341-8BD9-0A3DF2C5EC1C}" uniqueName="31" name="Mapel TDU" queryTableFieldId="31" dataDxfId="22">
      <calculatedColumnFormula>IF(AF2="","",VLOOKUP(AC2,mapel!$A$2:$B$42,2,FALSE))</calculatedColumnFormula>
    </tableColumn>
    <tableColumn id="32" xr3:uid="{DFAAFA8B-5A33-D845-9919-FB78EB7E24AA}" uniqueName="32" name="Nilai2" queryTableFieldId="32" dataDxfId="21">
      <calculatedColumnFormula>IF(AA2=0, "",IF(AA2 = 0.1, 0,AA2))</calculatedColumnFormula>
    </tableColumn>
    <tableColumn id="33" xr3:uid="{8248F9AD-5E7C-704F-A065-4DD0A2A3BCA7}" uniqueName="33" name="Predikat" queryTableFieldId="33" dataDxfId="20">
      <calculatedColumnFormula>IF(AF2="","",IF(AF2&gt;90,"Sangat baik",IF(AF2&gt;79,"Baik",IF(AF2&gt;=pub_gid_0_single_true_output_csv[[#This Row],[KKM]],"Cukup","Kurang"))))</calculatedColumnFormula>
    </tableColumn>
    <tableColumn id="34" xr3:uid="{08E944E4-7A25-A44F-8896-99F775295C3A}" uniqueName="34" name="MatKls" queryTableFieldId="34" dataDxfId="19">
      <calculatedColumnFormula>IF(AG2="","",VALUE(RIGHT(X2,2)))</calculatedColumnFormula>
    </tableColumn>
    <tableColumn id="35" xr3:uid="{87FDA2B8-A3AE-AA45-96B8-D90695E2AB40}" uniqueName="35" name="Predikat Krktr" queryTableFieldId="35" dataDxfId="18">
      <calculatedColumnFormula>IF(OR(J2&lt;&gt;"Karakter",pub_gid_0_single_true_output_csv[[#This Row],[Nilai2]]=""),"",IF(AF2&gt;89,"Sangat baik",IF(AF2&gt;79,"Baik",IF(AF2&gt;69,"Cukup",IF(AF2&gt;59,"Kurang","Sangat kurang")))))</calculatedColumnFormula>
    </tableColumn>
    <tableColumn id="36" xr3:uid="{D4CD2A89-FD78-5042-9C6F-EF3DDCF78CA8}" uniqueName="36" name="Wk#" queryTableFieldId="36" dataDxfId="17">
      <calculatedColumnFormula>IF(AF2="","",CONCATENATE("Wk.",WEEKNUM(F2,2)))</calculatedColumnFormula>
    </tableColumn>
    <tableColumn id="37" xr3:uid="{5FB4724F-A94C-D44E-846B-8CB4D46A5815}" uniqueName="37" name="IQ Status" queryTableFieldId="37" dataDxfId="16">
      <calculatedColumnFormula>IF(pub_gid_0_single_true_output_csv[[#This Row],[Nilai2]]="","",VLOOKUP(pub_gid_0_single_true_output_csv[[#This Row],[NAMA]],Table7[],3,FALSE))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F4:AK340" totalsRowShown="0" headerRowDxfId="13" dataDxfId="12">
  <autoFilter ref="AF4:AK340" xr:uid="{00000000-0009-0000-0100-000004000000}"/>
  <tableColumns count="6">
    <tableColumn id="1" xr3:uid="{00000000-0010-0000-0100-000001000000}" name="KELAS" dataDxfId="11"/>
    <tableColumn id="2" xr3:uid="{00000000-0010-0000-0100-000002000000}" name="Mapel TDU" dataDxfId="10"/>
    <tableColumn id="3" xr3:uid="{00000000-0010-0000-0100-000003000000}" name="Month" dataDxfId="9"/>
    <tableColumn id="4" xr3:uid="{00000000-0010-0000-0100-000004000000}" name="Wk#" dataDxfId="8"/>
    <tableColumn id="5" xr3:uid="{00000000-0010-0000-0100-000005000000}" name="Helper" dataDxfId="7">
      <calculatedColumnFormula>AF5&amp;AG5&amp;AI5</calculatedColumnFormula>
    </tableColumn>
    <tableColumn id="6" xr3:uid="{00000000-0010-0000-0100-000006000000}" name="Nilai" dataDxfId="6" dataCellStyle="Comma [0]">
      <calculatedColumnFormula>IFERROR(VLOOKUP(AJ5,$I$5:$N$380,6,),"")</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7" displayName="Table7" ref="E1:G149" totalsRowShown="0" headerRowDxfId="5" dataDxfId="4" tableBorderDxfId="3">
  <autoFilter ref="E1:G149" xr:uid="{00000000-0009-0000-0100-000003000000}"/>
  <tableColumns count="3">
    <tableColumn id="1" xr3:uid="{00000000-0010-0000-0400-000001000000}" name="Nama" dataDxfId="2"/>
    <tableColumn id="2" xr3:uid="{00000000-0010-0000-0400-000002000000}" name="Score IQ" dataDxfId="1"/>
    <tableColumn id="3" xr3:uid="{00000000-0010-0000-0400-000003000000}"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microsoft.com/office/2007/relationships/slicer" Target="../slicers/slicer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microsoft.com/office/2007/relationships/slicer" Target="../slicers/slicer6.xml"/><Relationship Id="rId5" Type="http://schemas.openxmlformats.org/officeDocument/2006/relationships/drawing" Target="../drawings/drawing6.xml"/><Relationship Id="rId4"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0.xml"/><Relationship Id="rId7" Type="http://schemas.microsoft.com/office/2007/relationships/slicer" Target="../slicers/slicer7.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drawing" Target="../drawings/drawing7.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24.xml"/><Relationship Id="rId1" Type="http://schemas.openxmlformats.org/officeDocument/2006/relationships/pivotTable" Target="../pivotTables/pivotTable23.xml"/></Relationships>
</file>

<file path=xl/worksheets/_rels/sheet9.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2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27.xml"/><Relationship Id="rId1" Type="http://schemas.openxmlformats.org/officeDocument/2006/relationships/pivotTable" Target="../pivotTables/pivotTable2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62"/>
  <sheetViews>
    <sheetView showGridLines="0" zoomScale="107" zoomScaleNormal="100" zoomScaleSheetLayoutView="50" workbookViewId="0">
      <selection activeCell="A5" sqref="A5"/>
    </sheetView>
  </sheetViews>
  <sheetFormatPr baseColWidth="10" defaultColWidth="11.5" defaultRowHeight="15" x14ac:dyDescent="0.2"/>
  <cols>
    <col min="1" max="1" width="12.1640625" bestFit="1" customWidth="1"/>
    <col min="2" max="2" width="14.5" bestFit="1" customWidth="1"/>
    <col min="31" max="32" width="12.1640625" bestFit="1" customWidth="1"/>
    <col min="33" max="33" width="9" bestFit="1" customWidth="1"/>
    <col min="34" max="34" width="10.1640625" bestFit="1" customWidth="1"/>
    <col min="35" max="35" width="5.5" bestFit="1" customWidth="1"/>
    <col min="36" max="36" width="6" bestFit="1" customWidth="1"/>
    <col min="37" max="37" width="6.5" bestFit="1" customWidth="1"/>
    <col min="38" max="38" width="11.6640625" bestFit="1" customWidth="1"/>
    <col min="39" max="39" width="5.33203125" bestFit="1" customWidth="1"/>
    <col min="40" max="40" width="6.83203125" bestFit="1" customWidth="1"/>
    <col min="41" max="41" width="3.5" bestFit="1" customWidth="1"/>
  </cols>
  <sheetData>
    <row r="1" spans="1:37" x14ac:dyDescent="0.2">
      <c r="AE1" s="3" t="s">
        <v>112</v>
      </c>
      <c r="AH1" s="3" t="s">
        <v>77</v>
      </c>
    </row>
    <row r="2" spans="1:37" x14ac:dyDescent="0.2">
      <c r="AE2" s="3" t="s">
        <v>2</v>
      </c>
      <c r="AF2" s="3" t="s">
        <v>75</v>
      </c>
      <c r="AG2" s="3" t="s">
        <v>7</v>
      </c>
      <c r="AH2" t="s">
        <v>116</v>
      </c>
      <c r="AI2" t="s">
        <v>114</v>
      </c>
      <c r="AJ2" t="s">
        <v>132</v>
      </c>
      <c r="AK2" t="s">
        <v>115</v>
      </c>
    </row>
    <row r="3" spans="1:37" x14ac:dyDescent="0.2">
      <c r="A3" s="3" t="s">
        <v>113</v>
      </c>
      <c r="B3" t="s">
        <v>112</v>
      </c>
      <c r="AE3" t="s">
        <v>65</v>
      </c>
      <c r="AF3" t="s">
        <v>81</v>
      </c>
      <c r="AG3" t="s">
        <v>405</v>
      </c>
      <c r="AH3" s="5">
        <v>5.5555555555555552E-2</v>
      </c>
      <c r="AI3" s="5">
        <v>0.55555555555555558</v>
      </c>
      <c r="AJ3" s="5">
        <v>0.3888888888888889</v>
      </c>
      <c r="AK3" s="5">
        <v>0</v>
      </c>
    </row>
    <row r="4" spans="1:37" x14ac:dyDescent="0.2">
      <c r="A4" s="4" t="s">
        <v>116</v>
      </c>
      <c r="B4" s="5">
        <v>5.4521276595744683E-2</v>
      </c>
      <c r="AG4" t="s">
        <v>412</v>
      </c>
      <c r="AH4" s="5">
        <v>0</v>
      </c>
      <c r="AI4" s="5">
        <v>1</v>
      </c>
      <c r="AJ4" s="5">
        <v>0</v>
      </c>
      <c r="AK4" s="5">
        <v>0</v>
      </c>
    </row>
    <row r="5" spans="1:37" x14ac:dyDescent="0.2">
      <c r="A5" s="4" t="s">
        <v>114</v>
      </c>
      <c r="B5" s="5">
        <v>0.21985815602836881</v>
      </c>
      <c r="AF5" t="s">
        <v>38</v>
      </c>
      <c r="AG5" t="s">
        <v>405</v>
      </c>
      <c r="AH5" s="5">
        <v>0.1111111111111111</v>
      </c>
      <c r="AI5" s="5">
        <v>0.33333333333333331</v>
      </c>
      <c r="AJ5" s="5">
        <v>0.33333333333333331</v>
      </c>
      <c r="AK5" s="5">
        <v>0.22222222222222221</v>
      </c>
    </row>
    <row r="6" spans="1:37" x14ac:dyDescent="0.2">
      <c r="A6" s="4" t="s">
        <v>132</v>
      </c>
      <c r="B6" s="5">
        <v>0.52393617021276595</v>
      </c>
      <c r="AF6" t="s">
        <v>88</v>
      </c>
      <c r="AG6" t="s">
        <v>405</v>
      </c>
      <c r="AH6" s="5">
        <v>0</v>
      </c>
      <c r="AI6" s="5">
        <v>0.14285714285714285</v>
      </c>
      <c r="AJ6" s="5">
        <v>0.31746031746031744</v>
      </c>
      <c r="AK6" s="5">
        <v>0.53968253968253965</v>
      </c>
    </row>
    <row r="7" spans="1:37" x14ac:dyDescent="0.2">
      <c r="A7" s="4" t="s">
        <v>115</v>
      </c>
      <c r="B7" s="5">
        <v>0.20168439716312056</v>
      </c>
      <c r="AG7" t="s">
        <v>412</v>
      </c>
      <c r="AH7" s="5">
        <v>0</v>
      </c>
      <c r="AI7" s="5">
        <v>0.25925925925925924</v>
      </c>
      <c r="AJ7" s="5">
        <v>7.407407407407407E-2</v>
      </c>
      <c r="AK7" s="5">
        <v>0.66666666666666663</v>
      </c>
    </row>
    <row r="8" spans="1:37" x14ac:dyDescent="0.2">
      <c r="A8" s="4" t="s">
        <v>118</v>
      </c>
      <c r="B8" s="5">
        <v>1</v>
      </c>
      <c r="AF8" t="s">
        <v>49</v>
      </c>
      <c r="AG8" t="s">
        <v>405</v>
      </c>
      <c r="AH8" s="5">
        <v>3.7037037037037035E-2</v>
      </c>
      <c r="AI8" s="5">
        <v>0.25925925925925924</v>
      </c>
      <c r="AJ8" s="5">
        <v>0.48148148148148145</v>
      </c>
      <c r="AK8" s="5">
        <v>0.22222222222222221</v>
      </c>
    </row>
    <row r="9" spans="1:37" x14ac:dyDescent="0.2">
      <c r="AG9" t="s">
        <v>412</v>
      </c>
      <c r="AH9" s="5">
        <v>0</v>
      </c>
      <c r="AI9" s="5">
        <v>0</v>
      </c>
      <c r="AJ9" s="5">
        <v>0.1111111111111111</v>
      </c>
      <c r="AK9" s="5">
        <v>0.88888888888888884</v>
      </c>
    </row>
    <row r="10" spans="1:37" x14ac:dyDescent="0.2">
      <c r="AF10" t="s">
        <v>84</v>
      </c>
      <c r="AG10" t="s">
        <v>405</v>
      </c>
      <c r="AH10" s="5">
        <v>0.41860465116279072</v>
      </c>
      <c r="AI10" s="5">
        <v>0.11627906976744186</v>
      </c>
      <c r="AJ10" s="5">
        <v>4.6511627906976744E-2</v>
      </c>
      <c r="AK10" s="5">
        <v>0.41860465116279072</v>
      </c>
    </row>
    <row r="11" spans="1:37" x14ac:dyDescent="0.2">
      <c r="AG11" t="s">
        <v>412</v>
      </c>
      <c r="AH11" s="5">
        <v>0.5</v>
      </c>
      <c r="AI11" s="5">
        <v>0.14285714285714285</v>
      </c>
      <c r="AJ11" s="5">
        <v>9.5238095238095233E-2</v>
      </c>
      <c r="AK11" s="5">
        <v>0.26190476190476192</v>
      </c>
    </row>
    <row r="12" spans="1:37" x14ac:dyDescent="0.2">
      <c r="AF12" t="s">
        <v>339</v>
      </c>
      <c r="AG12" t="s">
        <v>405</v>
      </c>
      <c r="AH12" s="5">
        <v>0</v>
      </c>
      <c r="AI12" s="5">
        <v>1</v>
      </c>
      <c r="AJ12" s="5">
        <v>0</v>
      </c>
      <c r="AK12" s="5">
        <v>0</v>
      </c>
    </row>
    <row r="13" spans="1:37" x14ac:dyDescent="0.2">
      <c r="AF13" t="s">
        <v>82</v>
      </c>
      <c r="AG13" t="s">
        <v>405</v>
      </c>
      <c r="AH13" s="5">
        <v>0</v>
      </c>
      <c r="AI13" s="5">
        <v>0.12962962962962962</v>
      </c>
      <c r="AJ13" s="5">
        <v>0.46296296296296297</v>
      </c>
      <c r="AK13" s="5">
        <v>0.40740740740740738</v>
      </c>
    </row>
    <row r="14" spans="1:37" x14ac:dyDescent="0.2">
      <c r="AG14" t="s">
        <v>412</v>
      </c>
      <c r="AH14" s="5">
        <v>0</v>
      </c>
      <c r="AI14" s="5">
        <v>0.16666666666666666</v>
      </c>
      <c r="AJ14" s="5">
        <v>0.41666666666666669</v>
      </c>
      <c r="AK14" s="5">
        <v>0.41666666666666669</v>
      </c>
    </row>
    <row r="15" spans="1:37" x14ac:dyDescent="0.2">
      <c r="AF15" t="s">
        <v>337</v>
      </c>
      <c r="AG15" t="s">
        <v>405</v>
      </c>
      <c r="AH15" s="5">
        <v>0</v>
      </c>
      <c r="AI15" s="5">
        <v>0.14285714285714285</v>
      </c>
      <c r="AJ15" s="5">
        <v>0.75324675324675328</v>
      </c>
      <c r="AK15" s="5">
        <v>0.1038961038961039</v>
      </c>
    </row>
    <row r="16" spans="1:37" x14ac:dyDescent="0.2">
      <c r="AG16" t="s">
        <v>412</v>
      </c>
      <c r="AH16" s="5">
        <v>0</v>
      </c>
      <c r="AI16" s="5">
        <v>0.22222222222222221</v>
      </c>
      <c r="AJ16" s="5">
        <v>0.73015873015873012</v>
      </c>
      <c r="AK16" s="5">
        <v>4.7619047619047616E-2</v>
      </c>
    </row>
    <row r="17" spans="1:37" x14ac:dyDescent="0.2">
      <c r="AF17" t="s">
        <v>53</v>
      </c>
      <c r="AG17" t="s">
        <v>405</v>
      </c>
      <c r="AH17" s="5">
        <v>7.4074074074074077E-3</v>
      </c>
      <c r="AI17" s="5">
        <v>0.1111111111111111</v>
      </c>
      <c r="AJ17" s="5">
        <v>0.76296296296296295</v>
      </c>
      <c r="AK17" s="5">
        <v>0.11851851851851852</v>
      </c>
    </row>
    <row r="18" spans="1:37" x14ac:dyDescent="0.2">
      <c r="A18" s="3" t="s">
        <v>2</v>
      </c>
      <c r="B18" t="s">
        <v>54</v>
      </c>
      <c r="AG18" t="s">
        <v>412</v>
      </c>
      <c r="AH18" s="5">
        <v>2.0202020202020204E-2</v>
      </c>
      <c r="AI18" s="5">
        <v>0.21212121212121213</v>
      </c>
      <c r="AJ18" s="5">
        <v>0.65656565656565657</v>
      </c>
      <c r="AK18" s="5">
        <v>0.1111111111111111</v>
      </c>
    </row>
    <row r="19" spans="1:37" x14ac:dyDescent="0.2">
      <c r="AF19" t="s">
        <v>87</v>
      </c>
      <c r="AG19" t="s">
        <v>405</v>
      </c>
      <c r="AH19" s="5">
        <v>0</v>
      </c>
      <c r="AI19" s="5">
        <v>1</v>
      </c>
      <c r="AJ19" s="5">
        <v>0</v>
      </c>
      <c r="AK19" s="5">
        <v>0</v>
      </c>
    </row>
    <row r="20" spans="1:37" x14ac:dyDescent="0.2">
      <c r="A20" s="3" t="s">
        <v>113</v>
      </c>
      <c r="B20" t="s">
        <v>112</v>
      </c>
      <c r="AF20" t="s">
        <v>40</v>
      </c>
      <c r="AG20" t="s">
        <v>412</v>
      </c>
      <c r="AH20" s="5">
        <v>0</v>
      </c>
      <c r="AI20" s="5">
        <v>0.1111111111111111</v>
      </c>
      <c r="AJ20" s="5">
        <v>0.44444444444444442</v>
      </c>
      <c r="AK20" s="5">
        <v>0.44444444444444442</v>
      </c>
    </row>
    <row r="21" spans="1:37" x14ac:dyDescent="0.2">
      <c r="A21" s="4" t="s">
        <v>116</v>
      </c>
      <c r="B21" s="5">
        <v>5.4035087719298248E-2</v>
      </c>
      <c r="AF21" t="s">
        <v>85</v>
      </c>
      <c r="AG21" t="s">
        <v>405</v>
      </c>
      <c r="AH21" s="5">
        <v>0</v>
      </c>
      <c r="AI21" s="5">
        <v>1</v>
      </c>
      <c r="AJ21" s="5">
        <v>0</v>
      </c>
      <c r="AK21" s="5">
        <v>0</v>
      </c>
    </row>
    <row r="22" spans="1:37" x14ac:dyDescent="0.2">
      <c r="A22" s="4" t="s">
        <v>114</v>
      </c>
      <c r="B22" s="5">
        <v>0.19438596491228069</v>
      </c>
      <c r="AG22" t="s">
        <v>412</v>
      </c>
      <c r="AH22" s="5">
        <v>0</v>
      </c>
      <c r="AI22" s="5">
        <v>1</v>
      </c>
      <c r="AJ22" s="5">
        <v>0</v>
      </c>
      <c r="AK22" s="5">
        <v>0</v>
      </c>
    </row>
    <row r="23" spans="1:37" x14ac:dyDescent="0.2">
      <c r="A23" s="4" t="s">
        <v>132</v>
      </c>
      <c r="B23" s="5">
        <v>0.5557894736842105</v>
      </c>
      <c r="AF23" t="s">
        <v>86</v>
      </c>
      <c r="AG23" t="s">
        <v>405</v>
      </c>
      <c r="AH23" s="5">
        <v>4.1666666666666664E-2</v>
      </c>
      <c r="AI23" s="5">
        <v>0.25</v>
      </c>
      <c r="AJ23" s="5">
        <v>0.70833333333333337</v>
      </c>
      <c r="AK23" s="5">
        <v>0</v>
      </c>
    </row>
    <row r="24" spans="1:37" x14ac:dyDescent="0.2">
      <c r="A24" s="4" t="s">
        <v>115</v>
      </c>
      <c r="B24" s="5">
        <v>0.19578947368421051</v>
      </c>
      <c r="AG24" t="s">
        <v>412</v>
      </c>
      <c r="AH24" s="5">
        <v>0</v>
      </c>
      <c r="AI24" s="5">
        <v>0.375</v>
      </c>
      <c r="AJ24" s="5">
        <v>0.625</v>
      </c>
      <c r="AK24" s="5">
        <v>0</v>
      </c>
    </row>
    <row r="25" spans="1:37" x14ac:dyDescent="0.2">
      <c r="A25" s="4" t="s">
        <v>118</v>
      </c>
      <c r="B25" s="5">
        <v>1</v>
      </c>
    </row>
    <row r="36" spans="1:2" x14ac:dyDescent="0.2">
      <c r="A36" s="3" t="s">
        <v>2</v>
      </c>
      <c r="B36" t="s">
        <v>54</v>
      </c>
    </row>
    <row r="38" spans="1:2" x14ac:dyDescent="0.2">
      <c r="A38" s="3" t="s">
        <v>113</v>
      </c>
      <c r="B38" t="s">
        <v>112</v>
      </c>
    </row>
    <row r="39" spans="1:2" x14ac:dyDescent="0.2">
      <c r="A39" s="4" t="s">
        <v>116</v>
      </c>
      <c r="B39" s="5">
        <v>5.4035087719298248E-2</v>
      </c>
    </row>
    <row r="40" spans="1:2" x14ac:dyDescent="0.2">
      <c r="A40" s="4" t="s">
        <v>114</v>
      </c>
      <c r="B40" s="5">
        <v>0.19438596491228069</v>
      </c>
    </row>
    <row r="41" spans="1:2" x14ac:dyDescent="0.2">
      <c r="A41" s="4" t="s">
        <v>132</v>
      </c>
      <c r="B41" s="5">
        <v>0.5557894736842105</v>
      </c>
    </row>
    <row r="42" spans="1:2" x14ac:dyDescent="0.2">
      <c r="A42" s="4" t="s">
        <v>115</v>
      </c>
      <c r="B42" s="5">
        <v>0.19578947368421051</v>
      </c>
    </row>
    <row r="43" spans="1:2" x14ac:dyDescent="0.2">
      <c r="A43" s="4" t="s">
        <v>118</v>
      </c>
      <c r="B43" s="5">
        <v>1</v>
      </c>
    </row>
    <row r="55" spans="1:2" x14ac:dyDescent="0.2">
      <c r="A55" s="3" t="s">
        <v>2</v>
      </c>
      <c r="B55" t="s">
        <v>65</v>
      </c>
    </row>
    <row r="57" spans="1:2" x14ac:dyDescent="0.2">
      <c r="A57" s="3" t="s">
        <v>113</v>
      </c>
      <c r="B57" t="s">
        <v>112</v>
      </c>
    </row>
    <row r="58" spans="1:2" x14ac:dyDescent="0.2">
      <c r="A58" s="4" t="s">
        <v>116</v>
      </c>
      <c r="B58" s="5">
        <v>5.5354993983152828E-2</v>
      </c>
    </row>
    <row r="59" spans="1:2" x14ac:dyDescent="0.2">
      <c r="A59" s="4" t="s">
        <v>114</v>
      </c>
      <c r="B59" s="5">
        <v>0.26353790613718414</v>
      </c>
    </row>
    <row r="60" spans="1:2" x14ac:dyDescent="0.2">
      <c r="A60" s="4" t="s">
        <v>132</v>
      </c>
      <c r="B60" s="5">
        <v>0.46931407942238268</v>
      </c>
    </row>
    <row r="61" spans="1:2" x14ac:dyDescent="0.2">
      <c r="A61" s="4" t="s">
        <v>115</v>
      </c>
      <c r="B61" s="5">
        <v>0.21179302045728038</v>
      </c>
    </row>
    <row r="62" spans="1:2" x14ac:dyDescent="0.2">
      <c r="A62" s="4" t="s">
        <v>118</v>
      </c>
      <c r="B62" s="5">
        <v>1</v>
      </c>
    </row>
  </sheetData>
  <pageMargins left="0.7" right="0.7" top="0.75" bottom="0.75" header="0.3" footer="0.3"/>
  <pageSetup paperSize="9" orientation="portrait" horizontalDpi="0" verticalDpi="0"/>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showGridLines="0" topLeftCell="D1" zoomScale="63" zoomScaleNormal="90" workbookViewId="0">
      <selection activeCell="B17" sqref="B17"/>
    </sheetView>
  </sheetViews>
  <sheetFormatPr baseColWidth="10" defaultColWidth="11.5" defaultRowHeight="15" x14ac:dyDescent="0.2"/>
  <cols>
    <col min="1" max="1" width="15.33203125" bestFit="1" customWidth="1"/>
    <col min="2" max="2" width="12.5" bestFit="1" customWidth="1"/>
    <col min="3" max="3" width="9" bestFit="1" customWidth="1"/>
    <col min="4" max="4" width="22.1640625" bestFit="1" customWidth="1"/>
    <col min="5" max="5" width="5" bestFit="1" customWidth="1"/>
    <col min="30" max="30" width="9" bestFit="1" customWidth="1"/>
    <col min="31" max="31" width="10.5" bestFit="1" customWidth="1"/>
    <col min="32" max="32" width="5" bestFit="1" customWidth="1"/>
  </cols>
  <sheetData>
    <row r="1" spans="1:5" x14ac:dyDescent="0.2">
      <c r="A1" s="3" t="s">
        <v>121</v>
      </c>
    </row>
    <row r="2" spans="1:5" x14ac:dyDescent="0.2">
      <c r="A2" s="3" t="s">
        <v>2</v>
      </c>
      <c r="B2" s="3" t="s">
        <v>75</v>
      </c>
      <c r="C2" s="3" t="s">
        <v>7</v>
      </c>
      <c r="D2" s="3" t="s">
        <v>22</v>
      </c>
      <c r="E2" t="s">
        <v>120</v>
      </c>
    </row>
    <row r="38" spans="27:32" x14ac:dyDescent="0.2">
      <c r="AA38" s="3" t="s">
        <v>121</v>
      </c>
    </row>
    <row r="39" spans="27:32" x14ac:dyDescent="0.2">
      <c r="AA39" s="3" t="s">
        <v>2</v>
      </c>
      <c r="AB39" s="3" t="s">
        <v>3</v>
      </c>
      <c r="AC39" s="3" t="s">
        <v>75</v>
      </c>
      <c r="AD39" s="3" t="s">
        <v>22</v>
      </c>
      <c r="AE39" s="3" t="s">
        <v>7</v>
      </c>
      <c r="AF39" t="s">
        <v>120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63"/>
  <sheetViews>
    <sheetView showGridLines="0" topLeftCell="AI1" zoomScale="75" zoomScaleNormal="80" workbookViewId="0">
      <selection activeCell="A3" activeCellId="1" sqref="A1:B1 A3:E20"/>
    </sheetView>
  </sheetViews>
  <sheetFormatPr baseColWidth="10" defaultColWidth="11.5" defaultRowHeight="15" x14ac:dyDescent="0.2"/>
  <cols>
    <col min="1" max="1" width="12.1640625" bestFit="1" customWidth="1"/>
    <col min="2" max="2" width="14.1640625" bestFit="1" customWidth="1"/>
    <col min="3" max="3" width="9.33203125" bestFit="1" customWidth="1"/>
    <col min="4" max="4" width="14.1640625" bestFit="1" customWidth="1"/>
    <col min="5" max="7" width="13.33203125" bestFit="1" customWidth="1"/>
    <col min="26" max="26" width="10.33203125" bestFit="1" customWidth="1"/>
    <col min="27" max="27" width="13.33203125" bestFit="1" customWidth="1"/>
    <col min="28" max="28" width="10" bestFit="1" customWidth="1"/>
    <col min="29" max="29" width="20.33203125" bestFit="1" customWidth="1"/>
    <col min="30" max="30" width="15.1640625" bestFit="1" customWidth="1"/>
    <col min="31" max="31" width="14.33203125" bestFit="1" customWidth="1"/>
  </cols>
  <sheetData>
    <row r="1" spans="1:31" x14ac:dyDescent="0.2">
      <c r="A1" s="3" t="s">
        <v>9</v>
      </c>
      <c r="B1" t="s">
        <v>460</v>
      </c>
      <c r="AD1" s="3" t="s">
        <v>122</v>
      </c>
    </row>
    <row r="2" spans="1:31" x14ac:dyDescent="0.2">
      <c r="Z2" s="3" t="s">
        <v>2</v>
      </c>
      <c r="AA2" s="3" t="s">
        <v>75</v>
      </c>
      <c r="AB2" s="3" t="s">
        <v>7</v>
      </c>
      <c r="AC2" s="3" t="s">
        <v>9</v>
      </c>
      <c r="AD2" s="6" t="s">
        <v>123</v>
      </c>
      <c r="AE2" s="6" t="s">
        <v>124</v>
      </c>
    </row>
    <row r="3" spans="1:31" x14ac:dyDescent="0.2">
      <c r="D3" s="3" t="s">
        <v>122</v>
      </c>
      <c r="Z3" t="s">
        <v>54</v>
      </c>
      <c r="AA3" t="s">
        <v>81</v>
      </c>
      <c r="AB3" t="s">
        <v>405</v>
      </c>
      <c r="AC3" t="s">
        <v>279</v>
      </c>
      <c r="AD3" s="6">
        <v>69.090909090909093</v>
      </c>
      <c r="AE3" s="6">
        <v>65</v>
      </c>
    </row>
    <row r="4" spans="1:31" x14ac:dyDescent="0.2">
      <c r="A4" s="3" t="s">
        <v>2</v>
      </c>
      <c r="B4" s="3" t="s">
        <v>75</v>
      </c>
      <c r="C4" s="3" t="s">
        <v>7</v>
      </c>
      <c r="D4" t="s">
        <v>123</v>
      </c>
      <c r="E4" t="s">
        <v>124</v>
      </c>
      <c r="AC4" t="s">
        <v>90</v>
      </c>
      <c r="AD4" s="6">
        <v>69.772727272727266</v>
      </c>
      <c r="AE4" s="6">
        <v>65</v>
      </c>
    </row>
    <row r="5" spans="1:31" x14ac:dyDescent="0.2">
      <c r="A5" t="s">
        <v>54</v>
      </c>
      <c r="B5" t="s">
        <v>81</v>
      </c>
      <c r="C5" t="s">
        <v>405</v>
      </c>
      <c r="D5" s="6">
        <v>65.518716577540104</v>
      </c>
      <c r="E5" s="6">
        <v>65</v>
      </c>
      <c r="AC5" t="s">
        <v>36</v>
      </c>
      <c r="AD5" s="6">
        <v>60.254545454545458</v>
      </c>
      <c r="AE5" s="6">
        <v>65</v>
      </c>
    </row>
    <row r="6" spans="1:31" x14ac:dyDescent="0.2">
      <c r="C6" t="s">
        <v>412</v>
      </c>
      <c r="D6" s="6">
        <v>69.572727272727278</v>
      </c>
      <c r="E6" s="6">
        <v>65</v>
      </c>
      <c r="AC6" t="s">
        <v>31</v>
      </c>
      <c r="AD6" s="6">
        <v>64.272727272727266</v>
      </c>
      <c r="AE6" s="6">
        <v>65</v>
      </c>
    </row>
    <row r="7" spans="1:31" x14ac:dyDescent="0.2">
      <c r="B7" t="s">
        <v>38</v>
      </c>
      <c r="C7" t="s">
        <v>405</v>
      </c>
      <c r="D7" s="6">
        <v>80.666666666666671</v>
      </c>
      <c r="E7" s="6">
        <v>65</v>
      </c>
      <c r="AB7" t="s">
        <v>412</v>
      </c>
      <c r="AC7" t="s">
        <v>279</v>
      </c>
      <c r="AD7" s="6">
        <v>71.272727272727266</v>
      </c>
      <c r="AE7" s="6">
        <v>65</v>
      </c>
    </row>
    <row r="8" spans="1:31" x14ac:dyDescent="0.2">
      <c r="B8" t="s">
        <v>88</v>
      </c>
      <c r="C8" t="s">
        <v>405</v>
      </c>
      <c r="D8" s="6">
        <v>64.31506849315069</v>
      </c>
      <c r="E8" s="6">
        <v>65</v>
      </c>
      <c r="AC8" t="s">
        <v>90</v>
      </c>
      <c r="AD8" s="6">
        <v>71.13636363636364</v>
      </c>
      <c r="AE8" s="6">
        <v>65</v>
      </c>
    </row>
    <row r="9" spans="1:31" x14ac:dyDescent="0.2">
      <c r="C9" t="s">
        <v>412</v>
      </c>
      <c r="D9" s="6">
        <v>63.212121212121211</v>
      </c>
      <c r="E9" s="6">
        <v>65</v>
      </c>
      <c r="AC9" t="s">
        <v>36</v>
      </c>
      <c r="AD9" s="6">
        <v>67.848484848484844</v>
      </c>
      <c r="AE9" s="6">
        <v>65</v>
      </c>
    </row>
    <row r="10" spans="1:31" x14ac:dyDescent="0.2">
      <c r="B10" t="s">
        <v>49</v>
      </c>
      <c r="C10" t="s">
        <v>405</v>
      </c>
      <c r="D10" s="6">
        <v>71.458333333333329</v>
      </c>
      <c r="E10" s="6">
        <v>65</v>
      </c>
      <c r="AC10" t="s">
        <v>31</v>
      </c>
      <c r="AD10" s="6">
        <v>69.121212121212125</v>
      </c>
      <c r="AE10" s="6">
        <v>65</v>
      </c>
    </row>
    <row r="11" spans="1:31" x14ac:dyDescent="0.2">
      <c r="C11" t="s">
        <v>412</v>
      </c>
      <c r="D11" s="6">
        <v>73.125</v>
      </c>
      <c r="E11" s="6">
        <v>65</v>
      </c>
      <c r="AA11" t="s">
        <v>38</v>
      </c>
      <c r="AB11" t="s">
        <v>405</v>
      </c>
      <c r="AC11" t="s">
        <v>36</v>
      </c>
      <c r="AD11" s="6">
        <v>80.666666666666671</v>
      </c>
      <c r="AE11" s="6">
        <v>65</v>
      </c>
    </row>
    <row r="12" spans="1:31" x14ac:dyDescent="0.2">
      <c r="B12" t="s">
        <v>84</v>
      </c>
      <c r="C12" t="s">
        <v>405</v>
      </c>
      <c r="D12" s="6">
        <v>65.19101123595506</v>
      </c>
      <c r="E12" s="6">
        <v>65</v>
      </c>
      <c r="AA12" t="s">
        <v>88</v>
      </c>
      <c r="AB12" t="s">
        <v>405</v>
      </c>
      <c r="AC12" t="s">
        <v>279</v>
      </c>
      <c r="AD12" s="6">
        <v>70</v>
      </c>
      <c r="AE12" s="6">
        <v>65</v>
      </c>
    </row>
    <row r="13" spans="1:31" x14ac:dyDescent="0.2">
      <c r="C13" t="s">
        <v>412</v>
      </c>
      <c r="D13" s="6">
        <v>70.709090909090904</v>
      </c>
      <c r="E13" s="6">
        <v>65</v>
      </c>
      <c r="AC13" t="s">
        <v>90</v>
      </c>
      <c r="AD13" s="6">
        <v>73.181818181818187</v>
      </c>
      <c r="AE13" s="6">
        <v>65</v>
      </c>
    </row>
    <row r="14" spans="1:31" x14ac:dyDescent="0.2">
      <c r="B14" t="s">
        <v>339</v>
      </c>
      <c r="C14" t="s">
        <v>405</v>
      </c>
      <c r="D14" s="6">
        <v>70.75</v>
      </c>
      <c r="E14" s="6">
        <v>65</v>
      </c>
      <c r="AC14" t="s">
        <v>36</v>
      </c>
      <c r="AD14" s="6">
        <v>61.25</v>
      </c>
      <c r="AE14" s="6">
        <v>65</v>
      </c>
    </row>
    <row r="15" spans="1:31" x14ac:dyDescent="0.2">
      <c r="C15" t="s">
        <v>412</v>
      </c>
      <c r="D15" s="6">
        <v>78</v>
      </c>
      <c r="E15" s="6">
        <v>65</v>
      </c>
      <c r="AC15" t="s">
        <v>31</v>
      </c>
      <c r="AD15" s="6">
        <v>60.909090909090907</v>
      </c>
      <c r="AE15" s="6">
        <v>65</v>
      </c>
    </row>
    <row r="16" spans="1:31" x14ac:dyDescent="0.2">
      <c r="B16" t="s">
        <v>82</v>
      </c>
      <c r="C16" t="s">
        <v>405</v>
      </c>
      <c r="D16" s="6">
        <v>50.372093023255815</v>
      </c>
      <c r="E16" s="6">
        <v>65</v>
      </c>
      <c r="AC16" t="s">
        <v>41</v>
      </c>
      <c r="AD16" s="6">
        <v>61.25</v>
      </c>
      <c r="AE16" s="6">
        <v>65</v>
      </c>
    </row>
    <row r="17" spans="2:31" x14ac:dyDescent="0.2">
      <c r="C17" t="s">
        <v>412</v>
      </c>
      <c r="D17" s="6">
        <v>60.685185185185183</v>
      </c>
      <c r="E17" s="6">
        <v>65</v>
      </c>
      <c r="AB17" t="s">
        <v>412</v>
      </c>
      <c r="AC17" t="s">
        <v>90</v>
      </c>
      <c r="AD17" s="6">
        <v>74.545454545454547</v>
      </c>
      <c r="AE17" s="6">
        <v>65</v>
      </c>
    </row>
    <row r="18" spans="2:31" x14ac:dyDescent="0.2">
      <c r="B18" t="s">
        <v>337</v>
      </c>
      <c r="C18" t="s">
        <v>405</v>
      </c>
      <c r="D18" s="6">
        <v>73.902173913043484</v>
      </c>
      <c r="E18" s="6">
        <v>65</v>
      </c>
      <c r="AC18" t="s">
        <v>36</v>
      </c>
      <c r="AD18" s="6">
        <v>56.727272727272727</v>
      </c>
      <c r="AE18" s="6">
        <v>65</v>
      </c>
    </row>
    <row r="19" spans="2:31" x14ac:dyDescent="0.2">
      <c r="C19" t="s">
        <v>412</v>
      </c>
      <c r="D19" s="6">
        <v>73.288461538461533</v>
      </c>
      <c r="E19" s="6">
        <v>65</v>
      </c>
      <c r="AC19" t="s">
        <v>41</v>
      </c>
      <c r="AD19" s="6">
        <v>58.363636363636367</v>
      </c>
      <c r="AE19" s="6">
        <v>65</v>
      </c>
    </row>
    <row r="20" spans="2:31" x14ac:dyDescent="0.2">
      <c r="B20" t="s">
        <v>53</v>
      </c>
      <c r="C20" t="s">
        <v>405</v>
      </c>
      <c r="D20" s="6">
        <v>72.424242424242422</v>
      </c>
      <c r="E20" s="6">
        <v>65</v>
      </c>
      <c r="AA20" t="s">
        <v>49</v>
      </c>
      <c r="AB20" t="s">
        <v>405</v>
      </c>
      <c r="AC20" t="s">
        <v>31</v>
      </c>
      <c r="AD20" s="6">
        <v>66.25</v>
      </c>
      <c r="AE20" s="6">
        <v>65</v>
      </c>
    </row>
    <row r="21" spans="2:31" x14ac:dyDescent="0.2">
      <c r="C21" t="s">
        <v>412</v>
      </c>
      <c r="D21" s="6">
        <v>69.126126126126124</v>
      </c>
      <c r="E21" s="6">
        <v>65</v>
      </c>
      <c r="AC21" t="s">
        <v>41</v>
      </c>
      <c r="AD21" s="6">
        <v>76.666666666666671</v>
      </c>
      <c r="AE21" s="6">
        <v>65</v>
      </c>
    </row>
    <row r="22" spans="2:31" x14ac:dyDescent="0.2">
      <c r="B22" t="s">
        <v>87</v>
      </c>
      <c r="C22" t="s">
        <v>405</v>
      </c>
      <c r="D22" s="6">
        <v>80.8</v>
      </c>
      <c r="E22" s="6">
        <v>65</v>
      </c>
      <c r="AB22" t="s">
        <v>412</v>
      </c>
      <c r="AC22" t="s">
        <v>36</v>
      </c>
      <c r="AD22" s="6">
        <v>73.125</v>
      </c>
      <c r="AE22" s="6">
        <v>65</v>
      </c>
    </row>
    <row r="23" spans="2:31" x14ac:dyDescent="0.2">
      <c r="C23" t="s">
        <v>412</v>
      </c>
      <c r="D23" s="6">
        <v>78.561403508771932</v>
      </c>
      <c r="E23" s="6">
        <v>65</v>
      </c>
      <c r="AA23" t="s">
        <v>84</v>
      </c>
      <c r="AB23" t="s">
        <v>405</v>
      </c>
      <c r="AC23" t="s">
        <v>90</v>
      </c>
      <c r="AD23" s="6">
        <v>78.75</v>
      </c>
      <c r="AE23" s="6">
        <v>65</v>
      </c>
    </row>
    <row r="24" spans="2:31" x14ac:dyDescent="0.2">
      <c r="B24" t="s">
        <v>40</v>
      </c>
      <c r="C24" t="s">
        <v>412</v>
      </c>
      <c r="D24" s="6">
        <v>70.904761904761898</v>
      </c>
      <c r="E24" s="6">
        <v>65</v>
      </c>
      <c r="AC24" t="s">
        <v>36</v>
      </c>
      <c r="AD24" s="6">
        <v>61.260869565217391</v>
      </c>
      <c r="AE24" s="6">
        <v>65</v>
      </c>
    </row>
    <row r="25" spans="2:31" x14ac:dyDescent="0.2">
      <c r="B25" t="s">
        <v>340</v>
      </c>
      <c r="C25" t="s">
        <v>405</v>
      </c>
      <c r="D25" s="6">
        <v>87.5</v>
      </c>
      <c r="E25" s="6">
        <v>65</v>
      </c>
      <c r="AB25" t="s">
        <v>412</v>
      </c>
      <c r="AC25" t="s">
        <v>36</v>
      </c>
      <c r="AD25" s="6">
        <v>70.709090909090904</v>
      </c>
      <c r="AE25" s="6">
        <v>65</v>
      </c>
    </row>
    <row r="26" spans="2:31" x14ac:dyDescent="0.2">
      <c r="C26" t="s">
        <v>412</v>
      </c>
      <c r="D26" s="6">
        <v>78.615384615384613</v>
      </c>
      <c r="E26" s="6">
        <v>65</v>
      </c>
      <c r="AA26" t="s">
        <v>339</v>
      </c>
      <c r="AB26" t="s">
        <v>405</v>
      </c>
      <c r="AC26" t="s">
        <v>41</v>
      </c>
      <c r="AD26" s="6">
        <v>70.75</v>
      </c>
      <c r="AE26" s="6">
        <v>65</v>
      </c>
    </row>
    <row r="27" spans="2:31" x14ac:dyDescent="0.2">
      <c r="AB27" t="s">
        <v>412</v>
      </c>
      <c r="AC27" t="s">
        <v>41</v>
      </c>
      <c r="AD27" s="6">
        <v>78</v>
      </c>
      <c r="AE27" s="6">
        <v>65</v>
      </c>
    </row>
    <row r="28" spans="2:31" x14ac:dyDescent="0.2">
      <c r="AA28" t="s">
        <v>82</v>
      </c>
      <c r="AB28" t="s">
        <v>405</v>
      </c>
      <c r="AC28" t="s">
        <v>90</v>
      </c>
      <c r="AD28" s="6">
        <v>70.833333333333329</v>
      </c>
      <c r="AE28" s="6">
        <v>65</v>
      </c>
    </row>
    <row r="29" spans="2:31" x14ac:dyDescent="0.2">
      <c r="AC29" t="s">
        <v>36</v>
      </c>
      <c r="AD29" s="6">
        <v>47.8</v>
      </c>
      <c r="AE29" s="6">
        <v>65</v>
      </c>
    </row>
    <row r="30" spans="2:31" x14ac:dyDescent="0.2">
      <c r="AC30" t="s">
        <v>31</v>
      </c>
      <c r="AD30" s="6">
        <v>24.8</v>
      </c>
      <c r="AE30" s="6">
        <v>65</v>
      </c>
    </row>
    <row r="31" spans="2:31" x14ac:dyDescent="0.2">
      <c r="AC31" t="s">
        <v>41</v>
      </c>
      <c r="AD31" s="6">
        <v>43.18181818181818</v>
      </c>
      <c r="AE31" s="6">
        <v>65</v>
      </c>
    </row>
    <row r="32" spans="2:31" x14ac:dyDescent="0.2">
      <c r="AB32" t="s">
        <v>412</v>
      </c>
      <c r="AC32" t="s">
        <v>36</v>
      </c>
      <c r="AD32" s="6">
        <v>59.28125</v>
      </c>
      <c r="AE32" s="6">
        <v>65</v>
      </c>
    </row>
    <row r="33" spans="1:31" x14ac:dyDescent="0.2">
      <c r="AC33" t="s">
        <v>41</v>
      </c>
      <c r="AD33" s="6">
        <v>62.727272727272727</v>
      </c>
      <c r="AE33" s="6">
        <v>65</v>
      </c>
    </row>
    <row r="34" spans="1:31" x14ac:dyDescent="0.2">
      <c r="AA34" t="s">
        <v>337</v>
      </c>
      <c r="AB34" t="s">
        <v>405</v>
      </c>
      <c r="AC34" t="s">
        <v>279</v>
      </c>
      <c r="AD34" s="6">
        <v>71.826086956521735</v>
      </c>
      <c r="AE34" s="6">
        <v>65</v>
      </c>
    </row>
    <row r="35" spans="1:31" x14ac:dyDescent="0.2">
      <c r="AC35" t="s">
        <v>90</v>
      </c>
      <c r="AD35" s="6">
        <v>76.130434782608702</v>
      </c>
      <c r="AE35" s="6">
        <v>65</v>
      </c>
    </row>
    <row r="36" spans="1:31" x14ac:dyDescent="0.2">
      <c r="AC36" t="s">
        <v>36</v>
      </c>
      <c r="AD36" s="6">
        <v>74.739130434782609</v>
      </c>
      <c r="AE36" s="6">
        <v>65</v>
      </c>
    </row>
    <row r="37" spans="1:31" x14ac:dyDescent="0.2">
      <c r="AC37" t="s">
        <v>31</v>
      </c>
      <c r="AD37" s="6">
        <v>72.913043478260875</v>
      </c>
      <c r="AE37" s="6">
        <v>65</v>
      </c>
    </row>
    <row r="38" spans="1:31" x14ac:dyDescent="0.2">
      <c r="AB38" t="s">
        <v>412</v>
      </c>
      <c r="AC38" t="s">
        <v>279</v>
      </c>
      <c r="AD38" s="6">
        <v>75.75</v>
      </c>
      <c r="AE38" s="6">
        <v>65</v>
      </c>
    </row>
    <row r="39" spans="1:31" x14ac:dyDescent="0.2">
      <c r="AC39" t="s">
        <v>90</v>
      </c>
      <c r="AD39" s="6">
        <v>75.75</v>
      </c>
      <c r="AE39" s="6">
        <v>65</v>
      </c>
    </row>
    <row r="40" spans="1:31" x14ac:dyDescent="0.2">
      <c r="AC40" t="s">
        <v>36</v>
      </c>
      <c r="AD40" s="6">
        <v>73.066666666666663</v>
      </c>
      <c r="AE40" s="6">
        <v>65</v>
      </c>
    </row>
    <row r="41" spans="1:31" x14ac:dyDescent="0.2">
      <c r="AC41" t="s">
        <v>31</v>
      </c>
      <c r="AD41" s="6">
        <v>75.583333333333329</v>
      </c>
      <c r="AE41" s="6">
        <v>65</v>
      </c>
    </row>
    <row r="42" spans="1:31" x14ac:dyDescent="0.2">
      <c r="AC42" t="s">
        <v>41</v>
      </c>
      <c r="AD42" s="6">
        <v>69.956521739130437</v>
      </c>
      <c r="AE42" s="6">
        <v>65</v>
      </c>
    </row>
    <row r="43" spans="1:31" x14ac:dyDescent="0.2">
      <c r="AA43" t="s">
        <v>53</v>
      </c>
      <c r="AB43" t="s">
        <v>405</v>
      </c>
      <c r="AC43" t="s">
        <v>279</v>
      </c>
      <c r="AD43" s="6">
        <v>69.393939393939391</v>
      </c>
      <c r="AE43" s="6">
        <v>65</v>
      </c>
    </row>
    <row r="44" spans="1:31" x14ac:dyDescent="0.2">
      <c r="A44" s="4"/>
      <c r="B44" s="6"/>
      <c r="E44" s="4"/>
      <c r="F44" s="6"/>
      <c r="AC44" t="s">
        <v>90</v>
      </c>
      <c r="AD44" s="6">
        <v>79.333333333333329</v>
      </c>
      <c r="AE44" s="6">
        <v>65</v>
      </c>
    </row>
    <row r="45" spans="1:31" x14ac:dyDescent="0.2">
      <c r="A45" s="4"/>
      <c r="B45" s="6"/>
      <c r="E45" s="4"/>
      <c r="F45" s="6"/>
      <c r="AC45" t="s">
        <v>36</v>
      </c>
      <c r="AD45" s="6">
        <v>72.272727272727266</v>
      </c>
      <c r="AE45" s="6">
        <v>65</v>
      </c>
    </row>
    <row r="46" spans="1:31" x14ac:dyDescent="0.2">
      <c r="A46" s="4"/>
      <c r="B46" s="6"/>
      <c r="AC46" t="s">
        <v>31</v>
      </c>
      <c r="AD46" s="6">
        <v>68.696969696969703</v>
      </c>
      <c r="AE46" s="6">
        <v>65</v>
      </c>
    </row>
    <row r="47" spans="1:31" x14ac:dyDescent="0.2">
      <c r="A47" s="4"/>
      <c r="B47" s="6"/>
      <c r="AB47" t="s">
        <v>412</v>
      </c>
      <c r="AC47" t="s">
        <v>279</v>
      </c>
      <c r="AD47" s="6">
        <v>67</v>
      </c>
      <c r="AE47" s="6">
        <v>65</v>
      </c>
    </row>
    <row r="48" spans="1:31" x14ac:dyDescent="0.2">
      <c r="A48" s="4"/>
      <c r="B48" s="6"/>
      <c r="AC48" t="s">
        <v>90</v>
      </c>
      <c r="AD48" s="6">
        <v>70.470588235294116</v>
      </c>
      <c r="AE48" s="6">
        <v>65</v>
      </c>
    </row>
    <row r="49" spans="1:31" x14ac:dyDescent="0.2">
      <c r="A49" s="4"/>
      <c r="B49" s="6"/>
      <c r="AC49" t="s">
        <v>36</v>
      </c>
      <c r="AD49" s="6">
        <v>69.36363636363636</v>
      </c>
      <c r="AE49" s="6">
        <v>65</v>
      </c>
    </row>
    <row r="50" spans="1:31" x14ac:dyDescent="0.2">
      <c r="AC50" t="s">
        <v>31</v>
      </c>
      <c r="AD50" s="6">
        <v>68.818181818181813</v>
      </c>
      <c r="AE50" s="6">
        <v>65</v>
      </c>
    </row>
    <row r="51" spans="1:31" x14ac:dyDescent="0.2">
      <c r="AA51" t="s">
        <v>87</v>
      </c>
      <c r="AB51" t="s">
        <v>405</v>
      </c>
      <c r="AC51" t="s">
        <v>90</v>
      </c>
      <c r="AD51" s="6">
        <v>100</v>
      </c>
      <c r="AE51" s="6">
        <v>65</v>
      </c>
    </row>
    <row r="52" spans="1:31" x14ac:dyDescent="0.2">
      <c r="AC52" t="s">
        <v>36</v>
      </c>
      <c r="AD52" s="6">
        <v>85</v>
      </c>
      <c r="AE52" s="6">
        <v>65</v>
      </c>
    </row>
    <row r="53" spans="1:31" x14ac:dyDescent="0.2">
      <c r="AC53" t="s">
        <v>41</v>
      </c>
      <c r="AD53" s="6">
        <v>77.875</v>
      </c>
      <c r="AE53" s="6">
        <v>65</v>
      </c>
    </row>
    <row r="54" spans="1:31" x14ac:dyDescent="0.2">
      <c r="AB54" t="s">
        <v>412</v>
      </c>
      <c r="AC54" t="s">
        <v>36</v>
      </c>
      <c r="AD54" s="6">
        <v>78.588235294117652</v>
      </c>
      <c r="AE54" s="6">
        <v>65</v>
      </c>
    </row>
    <row r="55" spans="1:31" x14ac:dyDescent="0.2">
      <c r="AC55" t="s">
        <v>31</v>
      </c>
      <c r="AD55" s="6">
        <v>78</v>
      </c>
      <c r="AE55" s="6">
        <v>65</v>
      </c>
    </row>
    <row r="56" spans="1:31" x14ac:dyDescent="0.2">
      <c r="AC56" t="s">
        <v>41</v>
      </c>
      <c r="AD56" s="6">
        <v>78.647058823529406</v>
      </c>
      <c r="AE56" s="6">
        <v>65</v>
      </c>
    </row>
    <row r="57" spans="1:31" x14ac:dyDescent="0.2">
      <c r="AA57" t="s">
        <v>40</v>
      </c>
      <c r="AB57" t="s">
        <v>412</v>
      </c>
      <c r="AC57" t="s">
        <v>36</v>
      </c>
      <c r="AD57" s="6">
        <v>70.904761904761898</v>
      </c>
      <c r="AE57" s="6">
        <v>65</v>
      </c>
    </row>
    <row r="58" spans="1:31" x14ac:dyDescent="0.2">
      <c r="AA58" t="s">
        <v>340</v>
      </c>
      <c r="AB58" t="s">
        <v>405</v>
      </c>
      <c r="AC58" t="s">
        <v>90</v>
      </c>
      <c r="AD58" s="6">
        <v>100</v>
      </c>
      <c r="AE58" s="6">
        <v>65</v>
      </c>
    </row>
    <row r="59" spans="1:31" x14ac:dyDescent="0.2">
      <c r="AC59" t="s">
        <v>36</v>
      </c>
      <c r="AD59" s="6">
        <v>85</v>
      </c>
      <c r="AE59" s="6">
        <v>65</v>
      </c>
    </row>
    <row r="60" spans="1:31" x14ac:dyDescent="0.2">
      <c r="AC60" t="s">
        <v>41</v>
      </c>
      <c r="AD60" s="6">
        <v>85</v>
      </c>
      <c r="AE60" s="6">
        <v>65</v>
      </c>
    </row>
    <row r="61" spans="1:31" x14ac:dyDescent="0.2">
      <c r="AB61" t="s">
        <v>412</v>
      </c>
      <c r="AC61" t="s">
        <v>36</v>
      </c>
      <c r="AD61" s="6">
        <v>78.588235294117652</v>
      </c>
      <c r="AE61" s="6">
        <v>65</v>
      </c>
    </row>
    <row r="62" spans="1:31" x14ac:dyDescent="0.2">
      <c r="AC62" t="s">
        <v>31</v>
      </c>
      <c r="AD62" s="6">
        <v>78</v>
      </c>
      <c r="AE62" s="6">
        <v>65</v>
      </c>
    </row>
    <row r="63" spans="1:31" x14ac:dyDescent="0.2">
      <c r="AC63" t="s">
        <v>41</v>
      </c>
      <c r="AD63" s="6">
        <v>78.758620689655174</v>
      </c>
      <c r="AE63" s="6">
        <v>65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391"/>
  <sheetViews>
    <sheetView showGridLines="0" topLeftCell="G1" zoomScale="113" zoomScaleNormal="79" workbookViewId="0">
      <selection activeCell="F35" sqref="F35"/>
    </sheetView>
  </sheetViews>
  <sheetFormatPr baseColWidth="10" defaultColWidth="11.5" defaultRowHeight="15" x14ac:dyDescent="0.2"/>
  <cols>
    <col min="1" max="1" width="8.33203125" bestFit="1" customWidth="1"/>
    <col min="2" max="2" width="29.5" bestFit="1" customWidth="1"/>
    <col min="3" max="4" width="9" bestFit="1" customWidth="1"/>
    <col min="5" max="5" width="15.1640625" bestFit="1" customWidth="1"/>
    <col min="6" max="6" width="14.33203125" bestFit="1" customWidth="1"/>
    <col min="7" max="7" width="14.6640625" bestFit="1" customWidth="1"/>
    <col min="8" max="8" width="14.33203125" bestFit="1" customWidth="1"/>
    <col min="29" max="29" width="8.6640625" bestFit="1" customWidth="1"/>
    <col min="30" max="30" width="20.33203125" bestFit="1" customWidth="1"/>
    <col min="31" max="31" width="12.5" bestFit="1" customWidth="1"/>
    <col min="32" max="34" width="9" bestFit="1" customWidth="1"/>
    <col min="35" max="35" width="15.1640625" bestFit="1" customWidth="1"/>
    <col min="36" max="36" width="14.33203125" bestFit="1" customWidth="1"/>
  </cols>
  <sheetData>
    <row r="1" spans="1:36" x14ac:dyDescent="0.2">
      <c r="A1" s="3" t="s">
        <v>9</v>
      </c>
      <c r="B1" t="s">
        <v>460</v>
      </c>
      <c r="AI1" s="3" t="s">
        <v>122</v>
      </c>
    </row>
    <row r="2" spans="1:36" x14ac:dyDescent="0.2">
      <c r="AC2" s="3" t="s">
        <v>2</v>
      </c>
      <c r="AD2" s="3" t="s">
        <v>3</v>
      </c>
      <c r="AE2" s="3" t="s">
        <v>75</v>
      </c>
      <c r="AF2" s="3" t="s">
        <v>9</v>
      </c>
      <c r="AG2" s="3" t="s">
        <v>10</v>
      </c>
      <c r="AH2" s="3" t="s">
        <v>7</v>
      </c>
      <c r="AI2" s="6" t="s">
        <v>123</v>
      </c>
      <c r="AJ2" s="6" t="s">
        <v>124</v>
      </c>
    </row>
    <row r="3" spans="1:36" x14ac:dyDescent="0.2">
      <c r="E3" s="3" t="s">
        <v>122</v>
      </c>
      <c r="AC3" t="s">
        <v>54</v>
      </c>
      <c r="AD3" t="s">
        <v>35</v>
      </c>
      <c r="AE3" t="s">
        <v>81</v>
      </c>
      <c r="AF3" t="s">
        <v>279</v>
      </c>
      <c r="AG3" t="s">
        <v>280</v>
      </c>
      <c r="AH3" t="s">
        <v>405</v>
      </c>
      <c r="AI3" s="6">
        <v>68.5</v>
      </c>
      <c r="AJ3" s="6">
        <v>65</v>
      </c>
    </row>
    <row r="4" spans="1:36" x14ac:dyDescent="0.2">
      <c r="A4" s="3" t="s">
        <v>2</v>
      </c>
      <c r="B4" s="3" t="s">
        <v>3</v>
      </c>
      <c r="C4" s="3" t="s">
        <v>75</v>
      </c>
      <c r="D4" s="3" t="s">
        <v>7</v>
      </c>
      <c r="E4" s="6" t="s">
        <v>123</v>
      </c>
      <c r="F4" s="6" t="s">
        <v>124</v>
      </c>
      <c r="AH4" t="s">
        <v>412</v>
      </c>
      <c r="AI4" s="6">
        <v>70</v>
      </c>
      <c r="AJ4" s="6">
        <v>65</v>
      </c>
    </row>
    <row r="5" spans="1:36" x14ac:dyDescent="0.2">
      <c r="A5" t="s">
        <v>54</v>
      </c>
      <c r="B5" t="s">
        <v>35</v>
      </c>
      <c r="C5" t="s">
        <v>84</v>
      </c>
      <c r="D5" t="s">
        <v>405</v>
      </c>
      <c r="E5" s="6">
        <v>68</v>
      </c>
      <c r="F5" s="6">
        <v>65</v>
      </c>
      <c r="AF5" t="s">
        <v>90</v>
      </c>
      <c r="AG5" t="s">
        <v>92</v>
      </c>
      <c r="AH5" t="s">
        <v>405</v>
      </c>
      <c r="AI5" s="6">
        <v>70</v>
      </c>
      <c r="AJ5" s="6">
        <v>65</v>
      </c>
    </row>
    <row r="6" spans="1:36" x14ac:dyDescent="0.2">
      <c r="D6" t="s">
        <v>412</v>
      </c>
      <c r="E6" s="6">
        <v>81.400000000000006</v>
      </c>
      <c r="F6" s="6">
        <v>65</v>
      </c>
      <c r="AH6" t="s">
        <v>412</v>
      </c>
      <c r="AI6" s="6">
        <v>67.5</v>
      </c>
      <c r="AJ6" s="6">
        <v>65</v>
      </c>
    </row>
    <row r="7" spans="1:36" x14ac:dyDescent="0.2">
      <c r="B7" t="s">
        <v>39</v>
      </c>
      <c r="C7" t="s">
        <v>84</v>
      </c>
      <c r="D7" t="s">
        <v>405</v>
      </c>
      <c r="E7" s="6">
        <v>69</v>
      </c>
      <c r="F7" s="6">
        <v>65</v>
      </c>
      <c r="AF7" t="s">
        <v>36</v>
      </c>
      <c r="AG7" t="s">
        <v>37</v>
      </c>
      <c r="AH7" t="s">
        <v>405</v>
      </c>
      <c r="AI7" s="6">
        <v>68.75</v>
      </c>
      <c r="AJ7" s="6">
        <v>65</v>
      </c>
    </row>
    <row r="8" spans="1:36" x14ac:dyDescent="0.2">
      <c r="D8" t="s">
        <v>412</v>
      </c>
      <c r="E8" s="6">
        <v>73.2</v>
      </c>
      <c r="F8" s="6">
        <v>65</v>
      </c>
      <c r="AH8" t="s">
        <v>412</v>
      </c>
      <c r="AI8" s="6">
        <v>66.333333333333329</v>
      </c>
      <c r="AJ8" s="6">
        <v>65</v>
      </c>
    </row>
    <row r="9" spans="1:36" x14ac:dyDescent="0.2">
      <c r="B9" t="s">
        <v>45</v>
      </c>
      <c r="C9" t="s">
        <v>84</v>
      </c>
      <c r="D9" t="s">
        <v>405</v>
      </c>
      <c r="E9" s="6">
        <v>67.222222222222229</v>
      </c>
      <c r="F9" s="6">
        <v>65</v>
      </c>
      <c r="AG9" t="s">
        <v>362</v>
      </c>
      <c r="AH9" t="s">
        <v>405</v>
      </c>
      <c r="AI9" s="6">
        <v>10</v>
      </c>
      <c r="AJ9" s="6">
        <v>65</v>
      </c>
    </row>
    <row r="10" spans="1:36" x14ac:dyDescent="0.2">
      <c r="D10" t="s">
        <v>412</v>
      </c>
      <c r="E10" s="6">
        <v>82.6</v>
      </c>
      <c r="F10" s="6">
        <v>65</v>
      </c>
      <c r="AF10" t="s">
        <v>31</v>
      </c>
      <c r="AG10" t="s">
        <v>96</v>
      </c>
      <c r="AH10" t="s">
        <v>405</v>
      </c>
      <c r="AI10" s="6">
        <v>65</v>
      </c>
      <c r="AJ10" s="6">
        <v>65</v>
      </c>
    </row>
    <row r="11" spans="1:36" x14ac:dyDescent="0.2">
      <c r="B11" t="s">
        <v>46</v>
      </c>
      <c r="C11" t="s">
        <v>84</v>
      </c>
      <c r="D11" t="s">
        <v>405</v>
      </c>
      <c r="E11" s="6">
        <v>55</v>
      </c>
      <c r="F11" s="6">
        <v>65</v>
      </c>
      <c r="AH11" t="s">
        <v>412</v>
      </c>
      <c r="AI11" s="6">
        <v>65.666666666666671</v>
      </c>
      <c r="AJ11" s="6">
        <v>65</v>
      </c>
    </row>
    <row r="12" spans="1:36" x14ac:dyDescent="0.2">
      <c r="D12" t="s">
        <v>412</v>
      </c>
      <c r="E12" s="6">
        <v>73.599999999999994</v>
      </c>
      <c r="F12" s="6">
        <v>65</v>
      </c>
      <c r="AG12" t="s">
        <v>32</v>
      </c>
      <c r="AH12" t="s">
        <v>405</v>
      </c>
      <c r="AI12" s="6">
        <v>68</v>
      </c>
      <c r="AJ12" s="6">
        <v>65</v>
      </c>
    </row>
    <row r="13" spans="1:36" x14ac:dyDescent="0.2">
      <c r="B13" t="s">
        <v>42</v>
      </c>
      <c r="C13" t="s">
        <v>84</v>
      </c>
      <c r="D13" t="s">
        <v>405</v>
      </c>
      <c r="E13" s="6">
        <v>47.857142857142854</v>
      </c>
      <c r="F13" s="6">
        <v>65</v>
      </c>
      <c r="AE13" t="s">
        <v>38</v>
      </c>
      <c r="AF13" t="s">
        <v>36</v>
      </c>
      <c r="AG13" t="s">
        <v>37</v>
      </c>
      <c r="AH13" t="s">
        <v>405</v>
      </c>
      <c r="AI13" s="6">
        <v>40</v>
      </c>
      <c r="AJ13" s="6">
        <v>65</v>
      </c>
    </row>
    <row r="14" spans="1:36" x14ac:dyDescent="0.2">
      <c r="D14" t="s">
        <v>412</v>
      </c>
      <c r="E14" s="6">
        <v>63.6</v>
      </c>
      <c r="F14" s="6">
        <v>65</v>
      </c>
      <c r="AE14" t="s">
        <v>88</v>
      </c>
      <c r="AF14" t="s">
        <v>279</v>
      </c>
      <c r="AG14" t="s">
        <v>280</v>
      </c>
      <c r="AH14" t="s">
        <v>405</v>
      </c>
      <c r="AI14" s="6">
        <v>65</v>
      </c>
      <c r="AJ14" s="6">
        <v>65</v>
      </c>
    </row>
    <row r="15" spans="1:36" x14ac:dyDescent="0.2">
      <c r="B15" t="s">
        <v>43</v>
      </c>
      <c r="C15" t="s">
        <v>84</v>
      </c>
      <c r="D15" t="s">
        <v>405</v>
      </c>
      <c r="E15" s="6">
        <v>83.888888888888886</v>
      </c>
      <c r="F15" s="6">
        <v>65</v>
      </c>
      <c r="AF15" t="s">
        <v>90</v>
      </c>
      <c r="AG15" t="s">
        <v>377</v>
      </c>
      <c r="AH15" t="s">
        <v>405</v>
      </c>
      <c r="AI15" s="6">
        <v>70</v>
      </c>
      <c r="AJ15" s="6">
        <v>65</v>
      </c>
    </row>
    <row r="16" spans="1:36" x14ac:dyDescent="0.2">
      <c r="D16" t="s">
        <v>412</v>
      </c>
      <c r="E16" s="6">
        <v>89.6</v>
      </c>
      <c r="F16" s="6">
        <v>65</v>
      </c>
      <c r="AH16" t="s">
        <v>412</v>
      </c>
      <c r="AI16" s="6">
        <v>75</v>
      </c>
      <c r="AJ16" s="6">
        <v>65</v>
      </c>
    </row>
    <row r="17" spans="2:36" x14ac:dyDescent="0.2">
      <c r="B17" t="s">
        <v>47</v>
      </c>
      <c r="C17" t="s">
        <v>84</v>
      </c>
      <c r="D17" t="s">
        <v>405</v>
      </c>
      <c r="E17" s="6">
        <v>58.75</v>
      </c>
      <c r="F17" s="6">
        <v>65</v>
      </c>
      <c r="AF17" t="s">
        <v>36</v>
      </c>
      <c r="AG17" t="s">
        <v>153</v>
      </c>
      <c r="AH17" t="s">
        <v>405</v>
      </c>
      <c r="AI17" s="6">
        <v>60</v>
      </c>
      <c r="AJ17" s="6">
        <v>65</v>
      </c>
    </row>
    <row r="18" spans="2:36" x14ac:dyDescent="0.2">
      <c r="D18" t="s">
        <v>412</v>
      </c>
      <c r="E18" s="6">
        <v>30</v>
      </c>
      <c r="F18" s="6">
        <v>65</v>
      </c>
      <c r="AH18" t="s">
        <v>412</v>
      </c>
      <c r="AI18" s="6">
        <v>50</v>
      </c>
      <c r="AJ18" s="6">
        <v>65</v>
      </c>
    </row>
    <row r="19" spans="2:36" x14ac:dyDescent="0.2">
      <c r="B19" t="s">
        <v>34</v>
      </c>
      <c r="C19" t="s">
        <v>84</v>
      </c>
      <c r="D19" t="s">
        <v>405</v>
      </c>
      <c r="E19" s="6">
        <v>70</v>
      </c>
      <c r="F19" s="6">
        <v>65</v>
      </c>
      <c r="AF19" t="s">
        <v>31</v>
      </c>
      <c r="AG19" t="s">
        <v>158</v>
      </c>
      <c r="AH19" t="s">
        <v>405</v>
      </c>
      <c r="AI19" s="6">
        <v>60</v>
      </c>
      <c r="AJ19" s="6">
        <v>65</v>
      </c>
    </row>
    <row r="20" spans="2:36" x14ac:dyDescent="0.2">
      <c r="D20" t="s">
        <v>412</v>
      </c>
      <c r="E20" s="6">
        <v>65</v>
      </c>
      <c r="F20" s="6">
        <v>65</v>
      </c>
      <c r="AF20" t="s">
        <v>41</v>
      </c>
      <c r="AG20" t="s">
        <v>157</v>
      </c>
      <c r="AH20" t="s">
        <v>405</v>
      </c>
      <c r="AI20" s="6">
        <v>60</v>
      </c>
      <c r="AJ20" s="6">
        <v>65</v>
      </c>
    </row>
    <row r="21" spans="2:36" x14ac:dyDescent="0.2">
      <c r="B21" t="s">
        <v>33</v>
      </c>
      <c r="C21" t="s">
        <v>84</v>
      </c>
      <c r="D21" t="s">
        <v>405</v>
      </c>
      <c r="E21" s="6">
        <v>70</v>
      </c>
      <c r="F21" s="6">
        <v>65</v>
      </c>
      <c r="AH21" t="s">
        <v>412</v>
      </c>
      <c r="AI21" s="6">
        <v>55</v>
      </c>
      <c r="AJ21" s="6">
        <v>65</v>
      </c>
    </row>
    <row r="22" spans="2:36" x14ac:dyDescent="0.2">
      <c r="D22" t="s">
        <v>412</v>
      </c>
      <c r="E22" s="6">
        <v>76.8</v>
      </c>
      <c r="F22" s="6">
        <v>65</v>
      </c>
      <c r="AE22" t="s">
        <v>49</v>
      </c>
      <c r="AF22" t="s">
        <v>36</v>
      </c>
      <c r="AG22" t="s">
        <v>37</v>
      </c>
      <c r="AH22" t="s">
        <v>412</v>
      </c>
      <c r="AI22" s="6">
        <v>66</v>
      </c>
      <c r="AJ22" s="6">
        <v>65</v>
      </c>
    </row>
    <row r="23" spans="2:36" x14ac:dyDescent="0.2">
      <c r="B23" t="s">
        <v>48</v>
      </c>
      <c r="C23" t="s">
        <v>84</v>
      </c>
      <c r="D23" t="s">
        <v>405</v>
      </c>
      <c r="E23" s="6">
        <v>65.111111111111114</v>
      </c>
      <c r="F23" s="6">
        <v>65</v>
      </c>
      <c r="AF23" t="s">
        <v>31</v>
      </c>
      <c r="AG23" t="s">
        <v>32</v>
      </c>
      <c r="AH23" t="s">
        <v>405</v>
      </c>
      <c r="AI23" s="6">
        <v>70</v>
      </c>
      <c r="AJ23" s="6">
        <v>65</v>
      </c>
    </row>
    <row r="24" spans="2:36" x14ac:dyDescent="0.2">
      <c r="D24" t="s">
        <v>412</v>
      </c>
      <c r="E24" s="6">
        <v>66.2</v>
      </c>
      <c r="F24" s="6">
        <v>65</v>
      </c>
      <c r="AF24" t="s">
        <v>41</v>
      </c>
      <c r="AG24" t="s">
        <v>365</v>
      </c>
      <c r="AH24" t="s">
        <v>405</v>
      </c>
      <c r="AI24" s="6">
        <v>65</v>
      </c>
      <c r="AJ24" s="6">
        <v>65</v>
      </c>
    </row>
    <row r="25" spans="2:36" x14ac:dyDescent="0.2">
      <c r="B25" t="s">
        <v>94</v>
      </c>
      <c r="C25" t="s">
        <v>84</v>
      </c>
      <c r="D25" t="s">
        <v>405</v>
      </c>
      <c r="E25" s="6">
        <v>51.428571428571431</v>
      </c>
      <c r="F25" s="6">
        <v>65</v>
      </c>
      <c r="AE25" t="s">
        <v>84</v>
      </c>
      <c r="AF25" t="s">
        <v>90</v>
      </c>
      <c r="AG25" t="s">
        <v>377</v>
      </c>
      <c r="AH25" t="s">
        <v>405</v>
      </c>
      <c r="AI25" s="6">
        <v>90</v>
      </c>
      <c r="AJ25" s="6">
        <v>65</v>
      </c>
    </row>
    <row r="26" spans="2:36" x14ac:dyDescent="0.2">
      <c r="D26" t="s">
        <v>412</v>
      </c>
      <c r="E26" s="6">
        <v>75.8</v>
      </c>
      <c r="F26" s="6">
        <v>65</v>
      </c>
      <c r="AF26" t="s">
        <v>36</v>
      </c>
      <c r="AG26" t="s">
        <v>37</v>
      </c>
      <c r="AH26" t="s">
        <v>405</v>
      </c>
      <c r="AI26" s="6">
        <v>62.5</v>
      </c>
      <c r="AJ26" s="6">
        <v>65</v>
      </c>
    </row>
    <row r="27" spans="2:36" x14ac:dyDescent="0.2">
      <c r="B27" t="s">
        <v>283</v>
      </c>
      <c r="C27" t="s">
        <v>84</v>
      </c>
      <c r="D27" t="s">
        <v>405</v>
      </c>
      <c r="E27" s="6">
        <v>70</v>
      </c>
      <c r="F27" s="6">
        <v>65</v>
      </c>
      <c r="AH27" t="s">
        <v>412</v>
      </c>
      <c r="AI27" s="6">
        <v>81.400000000000006</v>
      </c>
      <c r="AJ27" s="6">
        <v>65</v>
      </c>
    </row>
    <row r="28" spans="2:36" x14ac:dyDescent="0.2">
      <c r="AE28" t="s">
        <v>339</v>
      </c>
      <c r="AF28" t="s">
        <v>41</v>
      </c>
      <c r="AG28" t="s">
        <v>157</v>
      </c>
      <c r="AH28" t="s">
        <v>405</v>
      </c>
      <c r="AI28" s="6">
        <v>65</v>
      </c>
      <c r="AJ28" s="6">
        <v>65</v>
      </c>
    </row>
    <row r="29" spans="2:36" x14ac:dyDescent="0.2">
      <c r="AH29" t="s">
        <v>412</v>
      </c>
      <c r="AI29" s="6">
        <v>80</v>
      </c>
      <c r="AJ29" s="6">
        <v>65</v>
      </c>
    </row>
    <row r="30" spans="2:36" x14ac:dyDescent="0.2">
      <c r="AG30" t="s">
        <v>272</v>
      </c>
      <c r="AH30" t="s">
        <v>405</v>
      </c>
      <c r="AI30" s="6">
        <v>80</v>
      </c>
      <c r="AJ30" s="6">
        <v>65</v>
      </c>
    </row>
    <row r="31" spans="2:36" x14ac:dyDescent="0.2">
      <c r="AE31" t="s">
        <v>82</v>
      </c>
      <c r="AF31" t="s">
        <v>90</v>
      </c>
      <c r="AG31" t="s">
        <v>92</v>
      </c>
      <c r="AH31" t="s">
        <v>405</v>
      </c>
      <c r="AI31" s="6">
        <v>30</v>
      </c>
      <c r="AJ31" s="6">
        <v>65</v>
      </c>
    </row>
    <row r="32" spans="2:36" x14ac:dyDescent="0.2">
      <c r="AG32" t="s">
        <v>377</v>
      </c>
      <c r="AH32" t="s">
        <v>405</v>
      </c>
      <c r="AI32" s="6">
        <v>25</v>
      </c>
      <c r="AJ32" s="6">
        <v>65</v>
      </c>
    </row>
    <row r="33" spans="30:36" x14ac:dyDescent="0.2">
      <c r="AF33" t="s">
        <v>36</v>
      </c>
      <c r="AG33" t="s">
        <v>37</v>
      </c>
      <c r="AH33" t="s">
        <v>405</v>
      </c>
      <c r="AI33" s="6">
        <v>10</v>
      </c>
      <c r="AJ33" s="6">
        <v>65</v>
      </c>
    </row>
    <row r="34" spans="30:36" x14ac:dyDescent="0.2">
      <c r="AH34" t="s">
        <v>412</v>
      </c>
      <c r="AI34" s="6">
        <v>60</v>
      </c>
      <c r="AJ34" s="6">
        <v>65</v>
      </c>
    </row>
    <row r="35" spans="30:36" x14ac:dyDescent="0.2">
      <c r="AF35" t="s">
        <v>41</v>
      </c>
      <c r="AG35" t="s">
        <v>157</v>
      </c>
      <c r="AH35" t="s">
        <v>405</v>
      </c>
      <c r="AI35" s="6">
        <v>10</v>
      </c>
      <c r="AJ35" s="6">
        <v>65</v>
      </c>
    </row>
    <row r="36" spans="30:36" x14ac:dyDescent="0.2">
      <c r="AG36" t="s">
        <v>365</v>
      </c>
      <c r="AH36" t="s">
        <v>412</v>
      </c>
      <c r="AI36" s="6">
        <v>67.5</v>
      </c>
      <c r="AJ36" s="6">
        <v>65</v>
      </c>
    </row>
    <row r="37" spans="30:36" x14ac:dyDescent="0.2">
      <c r="AD37" t="s">
        <v>39</v>
      </c>
      <c r="AE37" t="s">
        <v>81</v>
      </c>
      <c r="AF37" t="s">
        <v>279</v>
      </c>
      <c r="AG37" t="s">
        <v>280</v>
      </c>
      <c r="AH37" t="s">
        <v>405</v>
      </c>
      <c r="AI37" s="6">
        <v>68.75</v>
      </c>
      <c r="AJ37" s="6">
        <v>65</v>
      </c>
    </row>
    <row r="38" spans="30:36" x14ac:dyDescent="0.2">
      <c r="AH38" t="s">
        <v>412</v>
      </c>
      <c r="AI38" s="6">
        <v>72.5</v>
      </c>
      <c r="AJ38" s="6">
        <v>65</v>
      </c>
    </row>
    <row r="39" spans="30:36" x14ac:dyDescent="0.2">
      <c r="AF39" t="s">
        <v>90</v>
      </c>
      <c r="AG39" t="s">
        <v>92</v>
      </c>
      <c r="AH39" t="s">
        <v>405</v>
      </c>
      <c r="AI39" s="6">
        <v>70</v>
      </c>
      <c r="AJ39" s="6">
        <v>65</v>
      </c>
    </row>
    <row r="40" spans="30:36" x14ac:dyDescent="0.2">
      <c r="AH40" t="s">
        <v>412</v>
      </c>
      <c r="AI40" s="6">
        <v>75</v>
      </c>
      <c r="AJ40" s="6">
        <v>65</v>
      </c>
    </row>
    <row r="41" spans="30:36" x14ac:dyDescent="0.2">
      <c r="AF41" t="s">
        <v>36</v>
      </c>
      <c r="AG41" t="s">
        <v>37</v>
      </c>
      <c r="AH41" t="s">
        <v>405</v>
      </c>
      <c r="AI41" s="6">
        <v>87</v>
      </c>
      <c r="AJ41" s="6">
        <v>65</v>
      </c>
    </row>
    <row r="42" spans="30:36" x14ac:dyDescent="0.2">
      <c r="AH42" t="s">
        <v>412</v>
      </c>
      <c r="AI42" s="6">
        <v>70</v>
      </c>
      <c r="AJ42" s="6">
        <v>65</v>
      </c>
    </row>
    <row r="43" spans="30:36" x14ac:dyDescent="0.2">
      <c r="AG43" t="s">
        <v>362</v>
      </c>
      <c r="AH43" t="s">
        <v>405</v>
      </c>
      <c r="AI43" s="6">
        <v>20</v>
      </c>
      <c r="AJ43" s="6">
        <v>65</v>
      </c>
    </row>
    <row r="44" spans="30:36" x14ac:dyDescent="0.2">
      <c r="AF44" t="s">
        <v>31</v>
      </c>
      <c r="AG44" t="s">
        <v>96</v>
      </c>
      <c r="AH44" t="s">
        <v>405</v>
      </c>
      <c r="AI44" s="6">
        <v>68.333333333333329</v>
      </c>
      <c r="AJ44" s="6">
        <v>65</v>
      </c>
    </row>
    <row r="45" spans="30:36" x14ac:dyDescent="0.2">
      <c r="AH45" t="s">
        <v>412</v>
      </c>
      <c r="AI45" s="6">
        <v>73</v>
      </c>
      <c r="AJ45" s="6">
        <v>65</v>
      </c>
    </row>
    <row r="46" spans="30:36" x14ac:dyDescent="0.2">
      <c r="AG46" t="s">
        <v>32</v>
      </c>
      <c r="AH46" t="s">
        <v>405</v>
      </c>
      <c r="AI46" s="6">
        <v>70</v>
      </c>
      <c r="AJ46" s="6">
        <v>65</v>
      </c>
    </row>
    <row r="47" spans="30:36" x14ac:dyDescent="0.2">
      <c r="AE47" t="s">
        <v>38</v>
      </c>
      <c r="AF47" t="s">
        <v>36</v>
      </c>
      <c r="AG47" t="s">
        <v>37</v>
      </c>
      <c r="AH47" t="s">
        <v>405</v>
      </c>
      <c r="AI47" s="6">
        <v>100</v>
      </c>
      <c r="AJ47" s="6">
        <v>65</v>
      </c>
    </row>
    <row r="48" spans="30:36" x14ac:dyDescent="0.2">
      <c r="AE48" t="s">
        <v>88</v>
      </c>
      <c r="AF48" t="s">
        <v>279</v>
      </c>
      <c r="AG48" t="s">
        <v>280</v>
      </c>
      <c r="AH48" t="s">
        <v>405</v>
      </c>
      <c r="AI48" s="6">
        <v>80</v>
      </c>
      <c r="AJ48" s="6">
        <v>65</v>
      </c>
    </row>
    <row r="49" spans="31:36" x14ac:dyDescent="0.2">
      <c r="AF49" t="s">
        <v>90</v>
      </c>
      <c r="AG49" t="s">
        <v>377</v>
      </c>
      <c r="AH49" t="s">
        <v>405</v>
      </c>
      <c r="AI49" s="6">
        <v>80</v>
      </c>
      <c r="AJ49" s="6">
        <v>65</v>
      </c>
    </row>
    <row r="50" spans="31:36" x14ac:dyDescent="0.2">
      <c r="AH50" t="s">
        <v>412</v>
      </c>
      <c r="AI50" s="6">
        <v>80</v>
      </c>
      <c r="AJ50" s="6">
        <v>65</v>
      </c>
    </row>
    <row r="51" spans="31:36" x14ac:dyDescent="0.2">
      <c r="AF51" t="s">
        <v>36</v>
      </c>
      <c r="AG51" t="s">
        <v>153</v>
      </c>
      <c r="AH51" t="s">
        <v>405</v>
      </c>
      <c r="AI51" s="6">
        <v>75</v>
      </c>
      <c r="AJ51" s="6">
        <v>65</v>
      </c>
    </row>
    <row r="52" spans="31:36" x14ac:dyDescent="0.2">
      <c r="AH52" t="s">
        <v>412</v>
      </c>
      <c r="AI52" s="6">
        <v>68</v>
      </c>
      <c r="AJ52" s="6">
        <v>65</v>
      </c>
    </row>
    <row r="53" spans="31:36" x14ac:dyDescent="0.2">
      <c r="AF53" t="s">
        <v>31</v>
      </c>
      <c r="AG53" t="s">
        <v>158</v>
      </c>
      <c r="AH53" t="s">
        <v>405</v>
      </c>
      <c r="AI53" s="6">
        <v>70</v>
      </c>
      <c r="AJ53" s="6">
        <v>65</v>
      </c>
    </row>
    <row r="54" spans="31:36" x14ac:dyDescent="0.2">
      <c r="AF54" t="s">
        <v>41</v>
      </c>
      <c r="AG54" t="s">
        <v>157</v>
      </c>
      <c r="AH54" t="s">
        <v>405</v>
      </c>
      <c r="AI54" s="6">
        <v>75</v>
      </c>
      <c r="AJ54" s="6">
        <v>65</v>
      </c>
    </row>
    <row r="55" spans="31:36" x14ac:dyDescent="0.2">
      <c r="AH55" t="s">
        <v>412</v>
      </c>
      <c r="AI55" s="6">
        <v>68</v>
      </c>
      <c r="AJ55" s="6">
        <v>65</v>
      </c>
    </row>
    <row r="56" spans="31:36" x14ac:dyDescent="0.2">
      <c r="AE56" t="s">
        <v>49</v>
      </c>
      <c r="AF56" t="s">
        <v>36</v>
      </c>
      <c r="AG56" t="s">
        <v>37</v>
      </c>
      <c r="AH56" t="s">
        <v>412</v>
      </c>
      <c r="AI56" s="6">
        <v>78.5</v>
      </c>
      <c r="AJ56" s="6">
        <v>65</v>
      </c>
    </row>
    <row r="57" spans="31:36" x14ac:dyDescent="0.2">
      <c r="AF57" t="s">
        <v>31</v>
      </c>
      <c r="AG57" t="s">
        <v>32</v>
      </c>
      <c r="AH57" t="s">
        <v>405</v>
      </c>
      <c r="AI57" s="6">
        <v>70</v>
      </c>
      <c r="AJ57" s="6">
        <v>65</v>
      </c>
    </row>
    <row r="58" spans="31:36" x14ac:dyDescent="0.2">
      <c r="AF58" t="s">
        <v>41</v>
      </c>
      <c r="AG58" t="s">
        <v>365</v>
      </c>
      <c r="AH58" t="s">
        <v>405</v>
      </c>
      <c r="AI58" s="6">
        <v>100</v>
      </c>
      <c r="AJ58" s="6">
        <v>65</v>
      </c>
    </row>
    <row r="59" spans="31:36" x14ac:dyDescent="0.2">
      <c r="AE59" t="s">
        <v>84</v>
      </c>
      <c r="AF59" t="s">
        <v>90</v>
      </c>
      <c r="AG59" t="s">
        <v>377</v>
      </c>
      <c r="AH59" t="s">
        <v>405</v>
      </c>
      <c r="AI59" s="6">
        <v>90</v>
      </c>
      <c r="AJ59" s="6">
        <v>65</v>
      </c>
    </row>
    <row r="60" spans="31:36" x14ac:dyDescent="0.2">
      <c r="AF60" t="s">
        <v>36</v>
      </c>
      <c r="AG60" t="s">
        <v>37</v>
      </c>
      <c r="AH60" t="s">
        <v>405</v>
      </c>
      <c r="AI60" s="6">
        <v>63</v>
      </c>
      <c r="AJ60" s="6">
        <v>65</v>
      </c>
    </row>
    <row r="61" spans="31:36" x14ac:dyDescent="0.2">
      <c r="AH61" t="s">
        <v>412</v>
      </c>
      <c r="AI61" s="6">
        <v>73.2</v>
      </c>
      <c r="AJ61" s="6">
        <v>65</v>
      </c>
    </row>
    <row r="62" spans="31:36" x14ac:dyDescent="0.2">
      <c r="AE62" t="s">
        <v>82</v>
      </c>
      <c r="AF62" t="s">
        <v>90</v>
      </c>
      <c r="AG62" t="s">
        <v>92</v>
      </c>
      <c r="AH62" t="s">
        <v>405</v>
      </c>
      <c r="AI62" s="6">
        <v>90</v>
      </c>
      <c r="AJ62" s="6">
        <v>65</v>
      </c>
    </row>
    <row r="63" spans="31:36" x14ac:dyDescent="0.2">
      <c r="AG63" t="s">
        <v>377</v>
      </c>
      <c r="AH63" t="s">
        <v>405</v>
      </c>
      <c r="AI63" s="6">
        <v>100</v>
      </c>
      <c r="AJ63" s="6">
        <v>65</v>
      </c>
    </row>
    <row r="64" spans="31:36" x14ac:dyDescent="0.2">
      <c r="AF64" t="s">
        <v>36</v>
      </c>
      <c r="AG64" t="s">
        <v>37</v>
      </c>
      <c r="AH64" t="s">
        <v>405</v>
      </c>
      <c r="AI64" s="6">
        <v>82.333333333333329</v>
      </c>
      <c r="AJ64" s="6">
        <v>65</v>
      </c>
    </row>
    <row r="65" spans="30:36" x14ac:dyDescent="0.2">
      <c r="AH65" t="s">
        <v>412</v>
      </c>
      <c r="AI65" s="6">
        <v>60</v>
      </c>
      <c r="AJ65" s="6">
        <v>65</v>
      </c>
    </row>
    <row r="66" spans="30:36" x14ac:dyDescent="0.2">
      <c r="AF66" t="s">
        <v>31</v>
      </c>
      <c r="AG66" t="s">
        <v>32</v>
      </c>
      <c r="AH66" t="s">
        <v>405</v>
      </c>
      <c r="AI66" s="6">
        <v>68</v>
      </c>
      <c r="AJ66" s="6">
        <v>65</v>
      </c>
    </row>
    <row r="67" spans="30:36" x14ac:dyDescent="0.2">
      <c r="AF67" t="s">
        <v>41</v>
      </c>
      <c r="AG67" t="s">
        <v>157</v>
      </c>
      <c r="AH67" t="s">
        <v>405</v>
      </c>
      <c r="AI67" s="6">
        <v>94</v>
      </c>
      <c r="AJ67" s="6">
        <v>65</v>
      </c>
    </row>
    <row r="68" spans="30:36" x14ac:dyDescent="0.2">
      <c r="AG68" t="s">
        <v>365</v>
      </c>
      <c r="AH68" t="s">
        <v>405</v>
      </c>
      <c r="AI68" s="6">
        <v>68</v>
      </c>
      <c r="AJ68" s="6">
        <v>65</v>
      </c>
    </row>
    <row r="69" spans="30:36" x14ac:dyDescent="0.2">
      <c r="AH69" t="s">
        <v>412</v>
      </c>
      <c r="AI69" s="6">
        <v>67.5</v>
      </c>
      <c r="AJ69" s="6">
        <v>65</v>
      </c>
    </row>
    <row r="70" spans="30:36" x14ac:dyDescent="0.2">
      <c r="AD70" t="s">
        <v>45</v>
      </c>
      <c r="AE70" t="s">
        <v>81</v>
      </c>
      <c r="AF70" t="s">
        <v>279</v>
      </c>
      <c r="AG70" t="s">
        <v>280</v>
      </c>
      <c r="AH70" t="s">
        <v>405</v>
      </c>
      <c r="AI70" s="6">
        <v>71.25</v>
      </c>
      <c r="AJ70" s="6">
        <v>65</v>
      </c>
    </row>
    <row r="71" spans="30:36" x14ac:dyDescent="0.2">
      <c r="AH71" t="s">
        <v>412</v>
      </c>
      <c r="AI71" s="6">
        <v>72.5</v>
      </c>
      <c r="AJ71" s="6">
        <v>65</v>
      </c>
    </row>
    <row r="72" spans="30:36" x14ac:dyDescent="0.2">
      <c r="AF72" t="s">
        <v>90</v>
      </c>
      <c r="AG72" t="s">
        <v>92</v>
      </c>
      <c r="AH72" t="s">
        <v>405</v>
      </c>
      <c r="AI72" s="6">
        <v>69.75</v>
      </c>
      <c r="AJ72" s="6">
        <v>65</v>
      </c>
    </row>
    <row r="73" spans="30:36" x14ac:dyDescent="0.2">
      <c r="AH73" t="s">
        <v>412</v>
      </c>
      <c r="AI73" s="6">
        <v>75</v>
      </c>
      <c r="AJ73" s="6">
        <v>65</v>
      </c>
    </row>
    <row r="74" spans="30:36" x14ac:dyDescent="0.2">
      <c r="AF74" t="s">
        <v>36</v>
      </c>
      <c r="AG74" t="s">
        <v>37</v>
      </c>
      <c r="AH74" t="s">
        <v>405</v>
      </c>
      <c r="AI74" s="6">
        <v>74.5</v>
      </c>
      <c r="AJ74" s="6">
        <v>65</v>
      </c>
    </row>
    <row r="75" spans="30:36" x14ac:dyDescent="0.2">
      <c r="AH75" t="s">
        <v>412</v>
      </c>
      <c r="AI75" s="6">
        <v>71.666666666666671</v>
      </c>
      <c r="AJ75" s="6">
        <v>65</v>
      </c>
    </row>
    <row r="76" spans="30:36" x14ac:dyDescent="0.2">
      <c r="AG76" t="s">
        <v>362</v>
      </c>
      <c r="AH76" t="s">
        <v>405</v>
      </c>
      <c r="AI76" s="6">
        <v>25</v>
      </c>
      <c r="AJ76" s="6">
        <v>65</v>
      </c>
    </row>
    <row r="77" spans="30:36" x14ac:dyDescent="0.2">
      <c r="AF77" t="s">
        <v>31</v>
      </c>
      <c r="AG77" t="s">
        <v>96</v>
      </c>
      <c r="AH77" t="s">
        <v>405</v>
      </c>
      <c r="AI77" s="6">
        <v>65.666666666666671</v>
      </c>
      <c r="AJ77" s="6">
        <v>65</v>
      </c>
    </row>
    <row r="78" spans="30:36" x14ac:dyDescent="0.2">
      <c r="AH78" t="s">
        <v>412</v>
      </c>
      <c r="AI78" s="6">
        <v>76.333333333333329</v>
      </c>
      <c r="AJ78" s="6">
        <v>65</v>
      </c>
    </row>
    <row r="79" spans="30:36" x14ac:dyDescent="0.2">
      <c r="AG79" t="s">
        <v>32</v>
      </c>
      <c r="AH79" t="s">
        <v>405</v>
      </c>
      <c r="AI79" s="6">
        <v>68</v>
      </c>
      <c r="AJ79" s="6">
        <v>65</v>
      </c>
    </row>
    <row r="80" spans="30:36" x14ac:dyDescent="0.2">
      <c r="AE80" t="s">
        <v>38</v>
      </c>
      <c r="AF80" t="s">
        <v>36</v>
      </c>
      <c r="AG80" t="s">
        <v>37</v>
      </c>
      <c r="AH80" t="s">
        <v>405</v>
      </c>
      <c r="AI80" s="6">
        <v>98</v>
      </c>
      <c r="AJ80" s="6">
        <v>65</v>
      </c>
    </row>
    <row r="81" spans="31:36" x14ac:dyDescent="0.2">
      <c r="AE81" t="s">
        <v>88</v>
      </c>
      <c r="AF81" t="s">
        <v>279</v>
      </c>
      <c r="AG81" t="s">
        <v>280</v>
      </c>
      <c r="AH81" t="s">
        <v>405</v>
      </c>
      <c r="AI81" s="6">
        <v>80</v>
      </c>
      <c r="AJ81" s="6">
        <v>65</v>
      </c>
    </row>
    <row r="82" spans="31:36" x14ac:dyDescent="0.2">
      <c r="AF82" t="s">
        <v>90</v>
      </c>
      <c r="AG82" t="s">
        <v>377</v>
      </c>
      <c r="AH82" t="s">
        <v>405</v>
      </c>
      <c r="AI82" s="6">
        <v>80</v>
      </c>
      <c r="AJ82" s="6">
        <v>65</v>
      </c>
    </row>
    <row r="83" spans="31:36" x14ac:dyDescent="0.2">
      <c r="AH83" t="s">
        <v>412</v>
      </c>
      <c r="AI83" s="6">
        <v>80</v>
      </c>
      <c r="AJ83" s="6">
        <v>65</v>
      </c>
    </row>
    <row r="84" spans="31:36" x14ac:dyDescent="0.2">
      <c r="AF84" t="s">
        <v>36</v>
      </c>
      <c r="AG84" t="s">
        <v>153</v>
      </c>
      <c r="AH84" t="s">
        <v>405</v>
      </c>
      <c r="AI84" s="6">
        <v>62.5</v>
      </c>
      <c r="AJ84" s="6">
        <v>65</v>
      </c>
    </row>
    <row r="85" spans="31:36" x14ac:dyDescent="0.2">
      <c r="AH85" t="s">
        <v>412</v>
      </c>
      <c r="AI85" s="6">
        <v>65</v>
      </c>
      <c r="AJ85" s="6">
        <v>65</v>
      </c>
    </row>
    <row r="86" spans="31:36" x14ac:dyDescent="0.2">
      <c r="AF86" t="s">
        <v>31</v>
      </c>
      <c r="AG86" t="s">
        <v>158</v>
      </c>
      <c r="AH86" t="s">
        <v>405</v>
      </c>
      <c r="AI86" s="6">
        <v>60</v>
      </c>
      <c r="AJ86" s="6">
        <v>65</v>
      </c>
    </row>
    <row r="87" spans="31:36" x14ac:dyDescent="0.2">
      <c r="AF87" t="s">
        <v>41</v>
      </c>
      <c r="AG87" t="s">
        <v>157</v>
      </c>
      <c r="AH87" t="s">
        <v>405</v>
      </c>
      <c r="AI87" s="6">
        <v>62.5</v>
      </c>
      <c r="AJ87" s="6">
        <v>65</v>
      </c>
    </row>
    <row r="88" spans="31:36" x14ac:dyDescent="0.2">
      <c r="AH88" t="s">
        <v>412</v>
      </c>
      <c r="AI88" s="6">
        <v>65</v>
      </c>
      <c r="AJ88" s="6">
        <v>65</v>
      </c>
    </row>
    <row r="89" spans="31:36" x14ac:dyDescent="0.2">
      <c r="AE89" t="s">
        <v>49</v>
      </c>
      <c r="AF89" t="s">
        <v>36</v>
      </c>
      <c r="AG89" t="s">
        <v>37</v>
      </c>
      <c r="AH89" t="s">
        <v>412</v>
      </c>
      <c r="AI89" s="6">
        <v>81</v>
      </c>
      <c r="AJ89" s="6">
        <v>65</v>
      </c>
    </row>
    <row r="90" spans="31:36" x14ac:dyDescent="0.2">
      <c r="AF90" t="s">
        <v>31</v>
      </c>
      <c r="AG90" t="s">
        <v>32</v>
      </c>
      <c r="AH90" t="s">
        <v>405</v>
      </c>
      <c r="AI90" s="6">
        <v>70</v>
      </c>
      <c r="AJ90" s="6">
        <v>65</v>
      </c>
    </row>
    <row r="91" spans="31:36" x14ac:dyDescent="0.2">
      <c r="AF91" t="s">
        <v>41</v>
      </c>
      <c r="AG91" t="s">
        <v>365</v>
      </c>
      <c r="AH91" t="s">
        <v>405</v>
      </c>
      <c r="AI91" s="6">
        <v>100</v>
      </c>
      <c r="AJ91" s="6">
        <v>65</v>
      </c>
    </row>
    <row r="92" spans="31:36" x14ac:dyDescent="0.2">
      <c r="AE92" t="s">
        <v>84</v>
      </c>
      <c r="AF92" t="s">
        <v>90</v>
      </c>
      <c r="AG92" t="s">
        <v>377</v>
      </c>
      <c r="AH92" t="s">
        <v>405</v>
      </c>
      <c r="AI92" s="6">
        <v>90</v>
      </c>
      <c r="AJ92" s="6">
        <v>65</v>
      </c>
    </row>
    <row r="93" spans="31:36" x14ac:dyDescent="0.2">
      <c r="AF93" t="s">
        <v>36</v>
      </c>
      <c r="AG93" t="s">
        <v>37</v>
      </c>
      <c r="AH93" t="s">
        <v>405</v>
      </c>
      <c r="AI93" s="6">
        <v>60.714285714285715</v>
      </c>
      <c r="AJ93" s="6">
        <v>65</v>
      </c>
    </row>
    <row r="94" spans="31:36" x14ac:dyDescent="0.2">
      <c r="AH94" t="s">
        <v>412</v>
      </c>
      <c r="AI94" s="6">
        <v>82.6</v>
      </c>
      <c r="AJ94" s="6">
        <v>65</v>
      </c>
    </row>
    <row r="95" spans="31:36" x14ac:dyDescent="0.2">
      <c r="AE95" t="s">
        <v>82</v>
      </c>
      <c r="AF95" t="s">
        <v>90</v>
      </c>
      <c r="AG95" t="s">
        <v>92</v>
      </c>
      <c r="AH95" t="s">
        <v>405</v>
      </c>
      <c r="AI95" s="6">
        <v>90</v>
      </c>
      <c r="AJ95" s="6">
        <v>65</v>
      </c>
    </row>
    <row r="96" spans="31:36" x14ac:dyDescent="0.2">
      <c r="AG96" t="s">
        <v>377</v>
      </c>
      <c r="AH96" t="s">
        <v>405</v>
      </c>
      <c r="AI96" s="6">
        <v>100</v>
      </c>
      <c r="AJ96" s="6">
        <v>65</v>
      </c>
    </row>
    <row r="97" spans="30:36" x14ac:dyDescent="0.2">
      <c r="AF97" t="s">
        <v>36</v>
      </c>
      <c r="AG97" t="s">
        <v>37</v>
      </c>
      <c r="AH97" t="s">
        <v>405</v>
      </c>
      <c r="AI97" s="6">
        <v>53</v>
      </c>
      <c r="AJ97" s="6">
        <v>65</v>
      </c>
    </row>
    <row r="98" spans="30:36" x14ac:dyDescent="0.2">
      <c r="AH98" t="s">
        <v>412</v>
      </c>
      <c r="AI98" s="6">
        <v>61.666666666666664</v>
      </c>
      <c r="AJ98" s="6">
        <v>65</v>
      </c>
    </row>
    <row r="99" spans="30:36" x14ac:dyDescent="0.2">
      <c r="AF99" t="s">
        <v>31</v>
      </c>
      <c r="AG99" t="s">
        <v>32</v>
      </c>
      <c r="AH99" t="s">
        <v>405</v>
      </c>
      <c r="AI99" s="6">
        <v>5</v>
      </c>
      <c r="AJ99" s="6">
        <v>65</v>
      </c>
    </row>
    <row r="100" spans="30:36" x14ac:dyDescent="0.2">
      <c r="AF100" t="s">
        <v>41</v>
      </c>
      <c r="AG100" t="s">
        <v>157</v>
      </c>
      <c r="AH100" t="s">
        <v>405</v>
      </c>
      <c r="AI100" s="6">
        <v>66</v>
      </c>
      <c r="AJ100" s="6">
        <v>65</v>
      </c>
    </row>
    <row r="101" spans="30:36" x14ac:dyDescent="0.2">
      <c r="AG101" t="s">
        <v>365</v>
      </c>
      <c r="AH101" t="s">
        <v>405</v>
      </c>
      <c r="AI101" s="6">
        <v>5</v>
      </c>
      <c r="AJ101" s="6">
        <v>65</v>
      </c>
    </row>
    <row r="102" spans="30:36" x14ac:dyDescent="0.2">
      <c r="AH102" t="s">
        <v>412</v>
      </c>
      <c r="AI102" s="6">
        <v>65</v>
      </c>
      <c r="AJ102" s="6">
        <v>65</v>
      </c>
    </row>
    <row r="103" spans="30:36" x14ac:dyDescent="0.2">
      <c r="AD103" t="s">
        <v>46</v>
      </c>
      <c r="AE103" t="s">
        <v>81</v>
      </c>
      <c r="AF103" t="s">
        <v>279</v>
      </c>
      <c r="AG103" t="s">
        <v>280</v>
      </c>
      <c r="AH103" t="s">
        <v>405</v>
      </c>
      <c r="AI103" s="6">
        <v>68.5</v>
      </c>
      <c r="AJ103" s="6">
        <v>65</v>
      </c>
    </row>
    <row r="104" spans="30:36" x14ac:dyDescent="0.2">
      <c r="AH104" t="s">
        <v>412</v>
      </c>
      <c r="AI104" s="6">
        <v>70</v>
      </c>
      <c r="AJ104" s="6">
        <v>65</v>
      </c>
    </row>
    <row r="105" spans="30:36" x14ac:dyDescent="0.2">
      <c r="AF105" t="s">
        <v>90</v>
      </c>
      <c r="AG105" t="s">
        <v>92</v>
      </c>
      <c r="AH105" t="s">
        <v>405</v>
      </c>
      <c r="AI105" s="6">
        <v>69.75</v>
      </c>
      <c r="AJ105" s="6">
        <v>65</v>
      </c>
    </row>
    <row r="106" spans="30:36" x14ac:dyDescent="0.2">
      <c r="AH106" t="s">
        <v>412</v>
      </c>
      <c r="AI106" s="6">
        <v>67.5</v>
      </c>
      <c r="AJ106" s="6">
        <v>65</v>
      </c>
    </row>
    <row r="107" spans="30:36" x14ac:dyDescent="0.2">
      <c r="AF107" t="s">
        <v>36</v>
      </c>
      <c r="AG107" t="s">
        <v>37</v>
      </c>
      <c r="AH107" t="s">
        <v>405</v>
      </c>
      <c r="AI107" s="6">
        <v>53.75</v>
      </c>
      <c r="AJ107" s="6">
        <v>65</v>
      </c>
    </row>
    <row r="108" spans="30:36" x14ac:dyDescent="0.2">
      <c r="AH108" t="s">
        <v>412</v>
      </c>
      <c r="AI108" s="6">
        <v>65</v>
      </c>
      <c r="AJ108" s="6">
        <v>65</v>
      </c>
    </row>
    <row r="109" spans="30:36" x14ac:dyDescent="0.2">
      <c r="AG109" t="s">
        <v>362</v>
      </c>
      <c r="AH109" t="s">
        <v>405</v>
      </c>
      <c r="AI109" s="6">
        <v>23</v>
      </c>
      <c r="AJ109" s="6">
        <v>65</v>
      </c>
    </row>
    <row r="110" spans="30:36" x14ac:dyDescent="0.2">
      <c r="AF110" t="s">
        <v>31</v>
      </c>
      <c r="AG110" t="s">
        <v>96</v>
      </c>
      <c r="AH110" t="s">
        <v>405</v>
      </c>
      <c r="AI110" s="6">
        <v>58.333333333333336</v>
      </c>
      <c r="AJ110" s="6">
        <v>65</v>
      </c>
    </row>
    <row r="111" spans="30:36" x14ac:dyDescent="0.2">
      <c r="AH111" t="s">
        <v>412</v>
      </c>
      <c r="AI111" s="6">
        <v>65</v>
      </c>
      <c r="AJ111" s="6">
        <v>65</v>
      </c>
    </row>
    <row r="112" spans="30:36" x14ac:dyDescent="0.2">
      <c r="AG112" t="s">
        <v>32</v>
      </c>
      <c r="AH112" t="s">
        <v>405</v>
      </c>
      <c r="AI112" s="6">
        <v>60</v>
      </c>
      <c r="AJ112" s="6">
        <v>65</v>
      </c>
    </row>
    <row r="113" spans="31:36" x14ac:dyDescent="0.2">
      <c r="AE113" t="s">
        <v>38</v>
      </c>
      <c r="AF113" t="s">
        <v>36</v>
      </c>
      <c r="AG113" t="s">
        <v>37</v>
      </c>
      <c r="AH113" t="s">
        <v>405</v>
      </c>
      <c r="AI113" s="6">
        <v>91</v>
      </c>
      <c r="AJ113" s="6">
        <v>65</v>
      </c>
    </row>
    <row r="114" spans="31:36" x14ac:dyDescent="0.2">
      <c r="AE114" t="s">
        <v>88</v>
      </c>
      <c r="AF114" t="s">
        <v>279</v>
      </c>
      <c r="AG114" t="s">
        <v>280</v>
      </c>
      <c r="AH114" t="s">
        <v>405</v>
      </c>
      <c r="AI114" s="6">
        <v>50</v>
      </c>
      <c r="AJ114" s="6">
        <v>65</v>
      </c>
    </row>
    <row r="115" spans="31:36" x14ac:dyDescent="0.2">
      <c r="AF115" t="s">
        <v>90</v>
      </c>
      <c r="AG115" t="s">
        <v>377</v>
      </c>
      <c r="AH115" t="s">
        <v>405</v>
      </c>
      <c r="AI115" s="6">
        <v>65</v>
      </c>
      <c r="AJ115" s="6">
        <v>65</v>
      </c>
    </row>
    <row r="116" spans="31:36" x14ac:dyDescent="0.2">
      <c r="AH116" t="s">
        <v>412</v>
      </c>
      <c r="AI116" s="6">
        <v>65</v>
      </c>
      <c r="AJ116" s="6">
        <v>65</v>
      </c>
    </row>
    <row r="117" spans="31:36" x14ac:dyDescent="0.2">
      <c r="AF117" t="s">
        <v>36</v>
      </c>
      <c r="AG117" t="s">
        <v>153</v>
      </c>
      <c r="AH117" t="s">
        <v>405</v>
      </c>
      <c r="AI117" s="6">
        <v>40</v>
      </c>
      <c r="AJ117" s="6">
        <v>65</v>
      </c>
    </row>
    <row r="118" spans="31:36" x14ac:dyDescent="0.2">
      <c r="AH118" t="s">
        <v>412</v>
      </c>
      <c r="AI118" s="6">
        <v>40</v>
      </c>
      <c r="AJ118" s="6">
        <v>65</v>
      </c>
    </row>
    <row r="119" spans="31:36" x14ac:dyDescent="0.2">
      <c r="AF119" t="s">
        <v>31</v>
      </c>
      <c r="AG119" t="s">
        <v>158</v>
      </c>
      <c r="AH119" t="s">
        <v>405</v>
      </c>
      <c r="AI119" s="6">
        <v>40</v>
      </c>
      <c r="AJ119" s="6">
        <v>65</v>
      </c>
    </row>
    <row r="120" spans="31:36" x14ac:dyDescent="0.2">
      <c r="AF120" t="s">
        <v>41</v>
      </c>
      <c r="AG120" t="s">
        <v>157</v>
      </c>
      <c r="AH120" t="s">
        <v>405</v>
      </c>
      <c r="AI120" s="6">
        <v>40</v>
      </c>
      <c r="AJ120" s="6">
        <v>65</v>
      </c>
    </row>
    <row r="121" spans="31:36" x14ac:dyDescent="0.2">
      <c r="AH121" t="s">
        <v>412</v>
      </c>
      <c r="AI121" s="6">
        <v>40</v>
      </c>
      <c r="AJ121" s="6">
        <v>65</v>
      </c>
    </row>
    <row r="122" spans="31:36" x14ac:dyDescent="0.2">
      <c r="AE122" t="s">
        <v>49</v>
      </c>
      <c r="AF122" t="s">
        <v>36</v>
      </c>
      <c r="AG122" t="s">
        <v>37</v>
      </c>
      <c r="AH122" t="s">
        <v>412</v>
      </c>
      <c r="AI122" s="6">
        <v>73.5</v>
      </c>
      <c r="AJ122" s="6">
        <v>65</v>
      </c>
    </row>
    <row r="123" spans="31:36" x14ac:dyDescent="0.2">
      <c r="AF123" t="s">
        <v>31</v>
      </c>
      <c r="AG123" t="s">
        <v>32</v>
      </c>
      <c r="AH123" t="s">
        <v>405</v>
      </c>
      <c r="AI123" s="6">
        <v>65</v>
      </c>
      <c r="AJ123" s="6">
        <v>65</v>
      </c>
    </row>
    <row r="124" spans="31:36" x14ac:dyDescent="0.2">
      <c r="AF124" t="s">
        <v>41</v>
      </c>
      <c r="AG124" t="s">
        <v>365</v>
      </c>
      <c r="AH124" t="s">
        <v>405</v>
      </c>
      <c r="AI124" s="6">
        <v>65</v>
      </c>
      <c r="AJ124" s="6">
        <v>65</v>
      </c>
    </row>
    <row r="125" spans="31:36" x14ac:dyDescent="0.2">
      <c r="AE125" t="s">
        <v>84</v>
      </c>
      <c r="AF125" t="s">
        <v>90</v>
      </c>
      <c r="AG125" t="s">
        <v>377</v>
      </c>
      <c r="AH125" t="s">
        <v>405</v>
      </c>
      <c r="AI125" s="6">
        <v>65</v>
      </c>
      <c r="AJ125" s="6">
        <v>65</v>
      </c>
    </row>
    <row r="126" spans="31:36" x14ac:dyDescent="0.2">
      <c r="AF126" t="s">
        <v>36</v>
      </c>
      <c r="AG126" t="s">
        <v>37</v>
      </c>
      <c r="AH126" t="s">
        <v>405</v>
      </c>
      <c r="AI126" s="6">
        <v>50</v>
      </c>
      <c r="AJ126" s="6">
        <v>65</v>
      </c>
    </row>
    <row r="127" spans="31:36" x14ac:dyDescent="0.2">
      <c r="AH127" t="s">
        <v>412</v>
      </c>
      <c r="AI127" s="6">
        <v>73.599999999999994</v>
      </c>
      <c r="AJ127" s="6">
        <v>65</v>
      </c>
    </row>
    <row r="128" spans="31:36" x14ac:dyDescent="0.2">
      <c r="AE128" t="s">
        <v>82</v>
      </c>
      <c r="AF128" t="s">
        <v>90</v>
      </c>
      <c r="AG128" t="s">
        <v>92</v>
      </c>
      <c r="AH128" t="s">
        <v>405</v>
      </c>
      <c r="AI128" s="6">
        <v>65</v>
      </c>
      <c r="AJ128" s="6">
        <v>65</v>
      </c>
    </row>
    <row r="129" spans="30:36" x14ac:dyDescent="0.2">
      <c r="AG129" t="s">
        <v>377</v>
      </c>
      <c r="AH129" t="s">
        <v>405</v>
      </c>
      <c r="AI129" s="6">
        <v>35</v>
      </c>
      <c r="AJ129" s="6">
        <v>65</v>
      </c>
    </row>
    <row r="130" spans="30:36" x14ac:dyDescent="0.2">
      <c r="AF130" t="s">
        <v>36</v>
      </c>
      <c r="AG130" t="s">
        <v>37</v>
      </c>
      <c r="AH130" t="s">
        <v>405</v>
      </c>
      <c r="AI130" s="6">
        <v>41.333333333333336</v>
      </c>
      <c r="AJ130" s="6">
        <v>65</v>
      </c>
    </row>
    <row r="131" spans="30:36" x14ac:dyDescent="0.2">
      <c r="AH131" t="s">
        <v>412</v>
      </c>
      <c r="AI131" s="6">
        <v>42.5</v>
      </c>
      <c r="AJ131" s="6">
        <v>65</v>
      </c>
    </row>
    <row r="132" spans="30:36" x14ac:dyDescent="0.2">
      <c r="AF132" t="s">
        <v>31</v>
      </c>
      <c r="AG132" t="s">
        <v>32</v>
      </c>
      <c r="AH132" t="s">
        <v>405</v>
      </c>
      <c r="AI132" s="6">
        <v>9</v>
      </c>
      <c r="AJ132" s="6">
        <v>65</v>
      </c>
    </row>
    <row r="133" spans="30:36" x14ac:dyDescent="0.2">
      <c r="AF133" t="s">
        <v>41</v>
      </c>
      <c r="AG133" t="s">
        <v>157</v>
      </c>
      <c r="AH133" t="s">
        <v>405</v>
      </c>
      <c r="AI133" s="6">
        <v>100</v>
      </c>
      <c r="AJ133" s="6">
        <v>65</v>
      </c>
    </row>
    <row r="134" spans="30:36" x14ac:dyDescent="0.2">
      <c r="AG134" t="s">
        <v>365</v>
      </c>
      <c r="AH134" t="s">
        <v>405</v>
      </c>
      <c r="AI134" s="6">
        <v>9</v>
      </c>
      <c r="AJ134" s="6">
        <v>65</v>
      </c>
    </row>
    <row r="135" spans="30:36" x14ac:dyDescent="0.2">
      <c r="AH135" t="s">
        <v>412</v>
      </c>
      <c r="AI135" s="6">
        <v>42.5</v>
      </c>
      <c r="AJ135" s="6">
        <v>65</v>
      </c>
    </row>
    <row r="136" spans="30:36" x14ac:dyDescent="0.2">
      <c r="AD136" t="s">
        <v>42</v>
      </c>
      <c r="AE136" t="s">
        <v>81</v>
      </c>
      <c r="AF136" t="s">
        <v>279</v>
      </c>
      <c r="AG136" t="s">
        <v>280</v>
      </c>
      <c r="AH136" t="s">
        <v>405</v>
      </c>
      <c r="AI136" s="6">
        <v>68.75</v>
      </c>
      <c r="AJ136" s="6">
        <v>65</v>
      </c>
    </row>
    <row r="137" spans="30:36" x14ac:dyDescent="0.2">
      <c r="AH137" t="s">
        <v>412</v>
      </c>
      <c r="AI137" s="6">
        <v>70</v>
      </c>
      <c r="AJ137" s="6">
        <v>65</v>
      </c>
    </row>
    <row r="138" spans="30:36" x14ac:dyDescent="0.2">
      <c r="AF138" t="s">
        <v>90</v>
      </c>
      <c r="AG138" t="s">
        <v>92</v>
      </c>
      <c r="AH138" t="s">
        <v>405</v>
      </c>
      <c r="AI138" s="6">
        <v>70</v>
      </c>
      <c r="AJ138" s="6">
        <v>65</v>
      </c>
    </row>
    <row r="139" spans="30:36" x14ac:dyDescent="0.2">
      <c r="AH139" t="s">
        <v>412</v>
      </c>
      <c r="AI139" s="6">
        <v>70</v>
      </c>
      <c r="AJ139" s="6">
        <v>65</v>
      </c>
    </row>
    <row r="140" spans="30:36" x14ac:dyDescent="0.2">
      <c r="AF140" t="s">
        <v>36</v>
      </c>
      <c r="AG140" t="s">
        <v>37</v>
      </c>
      <c r="AH140" t="s">
        <v>405</v>
      </c>
      <c r="AI140" s="6">
        <v>58.75</v>
      </c>
      <c r="AJ140" s="6">
        <v>65</v>
      </c>
    </row>
    <row r="141" spans="30:36" x14ac:dyDescent="0.2">
      <c r="AH141" t="s">
        <v>412</v>
      </c>
      <c r="AI141" s="6">
        <v>58.333333333333336</v>
      </c>
      <c r="AJ141" s="6">
        <v>65</v>
      </c>
    </row>
    <row r="142" spans="30:36" x14ac:dyDescent="0.2">
      <c r="AG142" t="s">
        <v>362</v>
      </c>
      <c r="AH142" t="s">
        <v>405</v>
      </c>
      <c r="AI142" s="6">
        <v>18</v>
      </c>
      <c r="AJ142" s="6">
        <v>65</v>
      </c>
    </row>
    <row r="143" spans="30:36" x14ac:dyDescent="0.2">
      <c r="AF143" t="s">
        <v>31</v>
      </c>
      <c r="AG143" t="s">
        <v>96</v>
      </c>
      <c r="AH143" t="s">
        <v>405</v>
      </c>
      <c r="AI143" s="6">
        <v>65</v>
      </c>
      <c r="AJ143" s="6">
        <v>65</v>
      </c>
    </row>
    <row r="144" spans="30:36" x14ac:dyDescent="0.2">
      <c r="AH144" t="s">
        <v>412</v>
      </c>
      <c r="AI144" s="6">
        <v>73</v>
      </c>
      <c r="AJ144" s="6">
        <v>65</v>
      </c>
    </row>
    <row r="145" spans="31:36" x14ac:dyDescent="0.2">
      <c r="AG145" t="s">
        <v>32</v>
      </c>
      <c r="AH145" t="s">
        <v>405</v>
      </c>
      <c r="AI145" s="6">
        <v>60</v>
      </c>
      <c r="AJ145" s="6">
        <v>65</v>
      </c>
    </row>
    <row r="146" spans="31:36" x14ac:dyDescent="0.2">
      <c r="AE146" t="s">
        <v>38</v>
      </c>
      <c r="AF146" t="s">
        <v>36</v>
      </c>
      <c r="AG146" t="s">
        <v>37</v>
      </c>
      <c r="AH146" t="s">
        <v>405</v>
      </c>
      <c r="AI146" s="6">
        <v>40</v>
      </c>
      <c r="AJ146" s="6">
        <v>65</v>
      </c>
    </row>
    <row r="147" spans="31:36" x14ac:dyDescent="0.2">
      <c r="AE147" t="s">
        <v>88</v>
      </c>
      <c r="AF147" t="s">
        <v>279</v>
      </c>
      <c r="AG147" t="s">
        <v>280</v>
      </c>
      <c r="AH147" t="s">
        <v>405</v>
      </c>
      <c r="AI147" s="6">
        <v>60</v>
      </c>
      <c r="AJ147" s="6">
        <v>65</v>
      </c>
    </row>
    <row r="148" spans="31:36" x14ac:dyDescent="0.2">
      <c r="AF148" t="s">
        <v>90</v>
      </c>
      <c r="AG148" t="s">
        <v>377</v>
      </c>
      <c r="AH148" t="s">
        <v>405</v>
      </c>
      <c r="AI148" s="6">
        <v>65</v>
      </c>
      <c r="AJ148" s="6">
        <v>65</v>
      </c>
    </row>
    <row r="149" spans="31:36" x14ac:dyDescent="0.2">
      <c r="AH149" t="s">
        <v>412</v>
      </c>
      <c r="AI149" s="6">
        <v>65</v>
      </c>
      <c r="AJ149" s="6">
        <v>65</v>
      </c>
    </row>
    <row r="150" spans="31:36" x14ac:dyDescent="0.2">
      <c r="AF150" t="s">
        <v>36</v>
      </c>
      <c r="AG150" t="s">
        <v>153</v>
      </c>
      <c r="AH150" t="s">
        <v>405</v>
      </c>
      <c r="AI150" s="6">
        <v>60</v>
      </c>
      <c r="AJ150" s="6">
        <v>65</v>
      </c>
    </row>
    <row r="151" spans="31:36" x14ac:dyDescent="0.2">
      <c r="AH151" t="s">
        <v>412</v>
      </c>
      <c r="AI151" s="6">
        <v>58</v>
      </c>
      <c r="AJ151" s="6">
        <v>65</v>
      </c>
    </row>
    <row r="152" spans="31:36" x14ac:dyDescent="0.2">
      <c r="AF152" t="s">
        <v>31</v>
      </c>
      <c r="AG152" t="s">
        <v>158</v>
      </c>
      <c r="AH152" t="s">
        <v>405</v>
      </c>
      <c r="AI152" s="6">
        <v>60</v>
      </c>
      <c r="AJ152" s="6">
        <v>65</v>
      </c>
    </row>
    <row r="153" spans="31:36" x14ac:dyDescent="0.2">
      <c r="AF153" t="s">
        <v>41</v>
      </c>
      <c r="AG153" t="s">
        <v>157</v>
      </c>
      <c r="AH153" t="s">
        <v>405</v>
      </c>
      <c r="AI153" s="6">
        <v>60</v>
      </c>
      <c r="AJ153" s="6">
        <v>65</v>
      </c>
    </row>
    <row r="154" spans="31:36" x14ac:dyDescent="0.2">
      <c r="AH154" t="s">
        <v>412</v>
      </c>
      <c r="AI154" s="6">
        <v>60</v>
      </c>
      <c r="AJ154" s="6">
        <v>65</v>
      </c>
    </row>
    <row r="155" spans="31:36" x14ac:dyDescent="0.2">
      <c r="AE155" t="s">
        <v>49</v>
      </c>
      <c r="AF155" t="s">
        <v>36</v>
      </c>
      <c r="AG155" t="s">
        <v>37</v>
      </c>
      <c r="AH155" t="s">
        <v>412</v>
      </c>
      <c r="AI155" s="6">
        <v>66</v>
      </c>
      <c r="AJ155" s="6">
        <v>65</v>
      </c>
    </row>
    <row r="156" spans="31:36" x14ac:dyDescent="0.2">
      <c r="AF156" t="s">
        <v>31</v>
      </c>
      <c r="AG156" t="s">
        <v>32</v>
      </c>
      <c r="AH156" t="s">
        <v>405</v>
      </c>
      <c r="AI156" s="6">
        <v>65</v>
      </c>
      <c r="AJ156" s="6">
        <v>65</v>
      </c>
    </row>
    <row r="157" spans="31:36" x14ac:dyDescent="0.2">
      <c r="AF157" t="s">
        <v>41</v>
      </c>
      <c r="AG157" t="s">
        <v>365</v>
      </c>
      <c r="AH157" t="s">
        <v>405</v>
      </c>
      <c r="AI157" s="6">
        <v>65</v>
      </c>
      <c r="AJ157" s="6">
        <v>65</v>
      </c>
    </row>
    <row r="158" spans="31:36" x14ac:dyDescent="0.2">
      <c r="AE158" t="s">
        <v>84</v>
      </c>
      <c r="AF158" t="s">
        <v>90</v>
      </c>
      <c r="AG158" t="s">
        <v>377</v>
      </c>
      <c r="AH158" t="s">
        <v>405</v>
      </c>
      <c r="AI158" s="6">
        <v>65</v>
      </c>
      <c r="AJ158" s="6">
        <v>65</v>
      </c>
    </row>
    <row r="159" spans="31:36" x14ac:dyDescent="0.2">
      <c r="AF159" t="s">
        <v>36</v>
      </c>
      <c r="AG159" t="s">
        <v>37</v>
      </c>
      <c r="AH159" t="s">
        <v>405</v>
      </c>
      <c r="AI159" s="6">
        <v>45</v>
      </c>
      <c r="AJ159" s="6">
        <v>65</v>
      </c>
    </row>
    <row r="160" spans="31:36" x14ac:dyDescent="0.2">
      <c r="AH160" t="s">
        <v>412</v>
      </c>
      <c r="AI160" s="6">
        <v>63.6</v>
      </c>
      <c r="AJ160" s="6">
        <v>65</v>
      </c>
    </row>
    <row r="161" spans="30:36" x14ac:dyDescent="0.2">
      <c r="AE161" t="s">
        <v>82</v>
      </c>
      <c r="AF161" t="s">
        <v>90</v>
      </c>
      <c r="AG161" t="s">
        <v>92</v>
      </c>
      <c r="AH161" t="s">
        <v>405</v>
      </c>
      <c r="AI161" s="6">
        <v>60</v>
      </c>
      <c r="AJ161" s="6">
        <v>65</v>
      </c>
    </row>
    <row r="162" spans="30:36" x14ac:dyDescent="0.2">
      <c r="AG162" t="s">
        <v>377</v>
      </c>
      <c r="AH162" t="s">
        <v>405</v>
      </c>
      <c r="AI162" s="6">
        <v>50</v>
      </c>
      <c r="AJ162" s="6">
        <v>65</v>
      </c>
    </row>
    <row r="163" spans="30:36" x14ac:dyDescent="0.2">
      <c r="AF163" t="s">
        <v>36</v>
      </c>
      <c r="AG163" t="s">
        <v>37</v>
      </c>
      <c r="AH163" t="s">
        <v>405</v>
      </c>
      <c r="AI163" s="6">
        <v>10</v>
      </c>
      <c r="AJ163" s="6">
        <v>65</v>
      </c>
    </row>
    <row r="164" spans="30:36" x14ac:dyDescent="0.2">
      <c r="AH164" t="s">
        <v>412</v>
      </c>
      <c r="AI164" s="6">
        <v>65</v>
      </c>
      <c r="AJ164" s="6">
        <v>65</v>
      </c>
    </row>
    <row r="165" spans="30:36" x14ac:dyDescent="0.2">
      <c r="AF165" t="s">
        <v>41</v>
      </c>
      <c r="AG165" t="s">
        <v>157</v>
      </c>
      <c r="AH165" t="s">
        <v>405</v>
      </c>
      <c r="AI165" s="6">
        <v>10</v>
      </c>
      <c r="AJ165" s="6">
        <v>65</v>
      </c>
    </row>
    <row r="166" spans="30:36" x14ac:dyDescent="0.2">
      <c r="AG166" t="s">
        <v>365</v>
      </c>
      <c r="AH166" t="s">
        <v>412</v>
      </c>
      <c r="AI166" s="6">
        <v>70</v>
      </c>
      <c r="AJ166" s="6">
        <v>65</v>
      </c>
    </row>
    <row r="167" spans="30:36" x14ac:dyDescent="0.2">
      <c r="AD167" t="s">
        <v>43</v>
      </c>
      <c r="AE167" t="s">
        <v>81</v>
      </c>
      <c r="AF167" t="s">
        <v>279</v>
      </c>
      <c r="AG167" t="s">
        <v>280</v>
      </c>
      <c r="AH167" t="s">
        <v>405</v>
      </c>
      <c r="AI167" s="6">
        <v>71.25</v>
      </c>
      <c r="AJ167" s="6">
        <v>65</v>
      </c>
    </row>
    <row r="168" spans="30:36" x14ac:dyDescent="0.2">
      <c r="AH168" t="s">
        <v>412</v>
      </c>
      <c r="AI168" s="6">
        <v>72.5</v>
      </c>
      <c r="AJ168" s="6">
        <v>65</v>
      </c>
    </row>
    <row r="169" spans="30:36" x14ac:dyDescent="0.2">
      <c r="AF169" t="s">
        <v>90</v>
      </c>
      <c r="AG169" t="s">
        <v>92</v>
      </c>
      <c r="AH169" t="s">
        <v>405</v>
      </c>
      <c r="AI169" s="6">
        <v>70</v>
      </c>
      <c r="AJ169" s="6">
        <v>65</v>
      </c>
    </row>
    <row r="170" spans="30:36" x14ac:dyDescent="0.2">
      <c r="AH170" t="s">
        <v>412</v>
      </c>
      <c r="AI170" s="6">
        <v>75</v>
      </c>
      <c r="AJ170" s="6">
        <v>65</v>
      </c>
    </row>
    <row r="171" spans="30:36" x14ac:dyDescent="0.2">
      <c r="AF171" t="s">
        <v>36</v>
      </c>
      <c r="AG171" t="s">
        <v>37</v>
      </c>
      <c r="AH171" t="s">
        <v>405</v>
      </c>
      <c r="AI171" s="6">
        <v>87.5</v>
      </c>
      <c r="AJ171" s="6">
        <v>65</v>
      </c>
    </row>
    <row r="172" spans="30:36" x14ac:dyDescent="0.2">
      <c r="AH172" t="s">
        <v>412</v>
      </c>
      <c r="AI172" s="6">
        <v>72.333333333333329</v>
      </c>
      <c r="AJ172" s="6">
        <v>65</v>
      </c>
    </row>
    <row r="173" spans="30:36" x14ac:dyDescent="0.2">
      <c r="AG173" t="s">
        <v>362</v>
      </c>
      <c r="AH173" t="s">
        <v>405</v>
      </c>
      <c r="AI173" s="6">
        <v>23</v>
      </c>
      <c r="AJ173" s="6">
        <v>65</v>
      </c>
    </row>
    <row r="174" spans="30:36" x14ac:dyDescent="0.2">
      <c r="AF174" t="s">
        <v>31</v>
      </c>
      <c r="AG174" t="s">
        <v>96</v>
      </c>
      <c r="AH174" t="s">
        <v>405</v>
      </c>
      <c r="AI174" s="6">
        <v>69.333333333333329</v>
      </c>
      <c r="AJ174" s="6">
        <v>65</v>
      </c>
    </row>
    <row r="175" spans="30:36" x14ac:dyDescent="0.2">
      <c r="AH175" t="s">
        <v>412</v>
      </c>
      <c r="AI175" s="6">
        <v>76.666666666666671</v>
      </c>
      <c r="AJ175" s="6">
        <v>65</v>
      </c>
    </row>
    <row r="176" spans="30:36" x14ac:dyDescent="0.2">
      <c r="AG176" t="s">
        <v>32</v>
      </c>
      <c r="AH176" t="s">
        <v>405</v>
      </c>
      <c r="AI176" s="6">
        <v>70</v>
      </c>
      <c r="AJ176" s="6">
        <v>65</v>
      </c>
    </row>
    <row r="177" spans="31:36" x14ac:dyDescent="0.2">
      <c r="AE177" t="s">
        <v>38</v>
      </c>
      <c r="AF177" t="s">
        <v>36</v>
      </c>
      <c r="AG177" t="s">
        <v>37</v>
      </c>
      <c r="AH177" t="s">
        <v>405</v>
      </c>
      <c r="AI177" s="6">
        <v>89</v>
      </c>
      <c r="AJ177" s="6">
        <v>65</v>
      </c>
    </row>
    <row r="178" spans="31:36" x14ac:dyDescent="0.2">
      <c r="AE178" t="s">
        <v>88</v>
      </c>
      <c r="AF178" t="s">
        <v>279</v>
      </c>
      <c r="AG178" t="s">
        <v>280</v>
      </c>
      <c r="AH178" t="s">
        <v>405</v>
      </c>
      <c r="AI178" s="6">
        <v>80</v>
      </c>
      <c r="AJ178" s="6">
        <v>65</v>
      </c>
    </row>
    <row r="179" spans="31:36" x14ac:dyDescent="0.2">
      <c r="AF179" t="s">
        <v>90</v>
      </c>
      <c r="AG179" t="s">
        <v>377</v>
      </c>
      <c r="AH179" t="s">
        <v>405</v>
      </c>
      <c r="AI179" s="6">
        <v>80</v>
      </c>
      <c r="AJ179" s="6">
        <v>65</v>
      </c>
    </row>
    <row r="180" spans="31:36" x14ac:dyDescent="0.2">
      <c r="AH180" t="s">
        <v>412</v>
      </c>
      <c r="AI180" s="6">
        <v>80</v>
      </c>
      <c r="AJ180" s="6">
        <v>65</v>
      </c>
    </row>
    <row r="181" spans="31:36" x14ac:dyDescent="0.2">
      <c r="AF181" t="s">
        <v>36</v>
      </c>
      <c r="AG181" t="s">
        <v>153</v>
      </c>
      <c r="AH181" t="s">
        <v>405</v>
      </c>
      <c r="AI181" s="6">
        <v>72.5</v>
      </c>
      <c r="AJ181" s="6">
        <v>65</v>
      </c>
    </row>
    <row r="182" spans="31:36" x14ac:dyDescent="0.2">
      <c r="AH182" t="s">
        <v>412</v>
      </c>
      <c r="AI182" s="6">
        <v>68</v>
      </c>
      <c r="AJ182" s="6">
        <v>65</v>
      </c>
    </row>
    <row r="183" spans="31:36" x14ac:dyDescent="0.2">
      <c r="AF183" t="s">
        <v>31</v>
      </c>
      <c r="AG183" t="s">
        <v>158</v>
      </c>
      <c r="AH183" t="s">
        <v>405</v>
      </c>
      <c r="AI183" s="6">
        <v>70</v>
      </c>
      <c r="AJ183" s="6">
        <v>65</v>
      </c>
    </row>
    <row r="184" spans="31:36" x14ac:dyDescent="0.2">
      <c r="AF184" t="s">
        <v>41</v>
      </c>
      <c r="AG184" t="s">
        <v>157</v>
      </c>
      <c r="AH184" t="s">
        <v>405</v>
      </c>
      <c r="AI184" s="6">
        <v>72.5</v>
      </c>
      <c r="AJ184" s="6">
        <v>65</v>
      </c>
    </row>
    <row r="185" spans="31:36" x14ac:dyDescent="0.2">
      <c r="AH185" t="s">
        <v>412</v>
      </c>
      <c r="AI185" s="6">
        <v>68</v>
      </c>
      <c r="AJ185" s="6">
        <v>65</v>
      </c>
    </row>
    <row r="186" spans="31:36" x14ac:dyDescent="0.2">
      <c r="AE186" t="s">
        <v>49</v>
      </c>
      <c r="AF186" t="s">
        <v>36</v>
      </c>
      <c r="AG186" t="s">
        <v>37</v>
      </c>
      <c r="AH186" t="s">
        <v>412</v>
      </c>
      <c r="AI186" s="6">
        <v>87.5</v>
      </c>
      <c r="AJ186" s="6">
        <v>65</v>
      </c>
    </row>
    <row r="187" spans="31:36" x14ac:dyDescent="0.2">
      <c r="AF187" t="s">
        <v>31</v>
      </c>
      <c r="AG187" t="s">
        <v>32</v>
      </c>
      <c r="AH187" t="s">
        <v>405</v>
      </c>
      <c r="AI187" s="6">
        <v>70</v>
      </c>
      <c r="AJ187" s="6">
        <v>65</v>
      </c>
    </row>
    <row r="188" spans="31:36" x14ac:dyDescent="0.2">
      <c r="AF188" t="s">
        <v>41</v>
      </c>
      <c r="AG188" t="s">
        <v>365</v>
      </c>
      <c r="AH188" t="s">
        <v>405</v>
      </c>
      <c r="AI188" s="6">
        <v>100</v>
      </c>
      <c r="AJ188" s="6">
        <v>65</v>
      </c>
    </row>
    <row r="189" spans="31:36" x14ac:dyDescent="0.2">
      <c r="AE189" t="s">
        <v>84</v>
      </c>
      <c r="AF189" t="s">
        <v>90</v>
      </c>
      <c r="AG189" t="s">
        <v>377</v>
      </c>
      <c r="AH189" t="s">
        <v>405</v>
      </c>
      <c r="AI189" s="6">
        <v>90</v>
      </c>
      <c r="AJ189" s="6">
        <v>65</v>
      </c>
    </row>
    <row r="190" spans="31:36" x14ac:dyDescent="0.2">
      <c r="AF190" t="s">
        <v>36</v>
      </c>
      <c r="AG190" t="s">
        <v>37</v>
      </c>
      <c r="AH190" t="s">
        <v>405</v>
      </c>
      <c r="AI190" s="6">
        <v>82.142857142857139</v>
      </c>
      <c r="AJ190" s="6">
        <v>65</v>
      </c>
    </row>
    <row r="191" spans="31:36" x14ac:dyDescent="0.2">
      <c r="AH191" t="s">
        <v>412</v>
      </c>
      <c r="AI191" s="6">
        <v>89.6</v>
      </c>
      <c r="AJ191" s="6">
        <v>65</v>
      </c>
    </row>
    <row r="192" spans="31:36" x14ac:dyDescent="0.2">
      <c r="AE192" t="s">
        <v>82</v>
      </c>
      <c r="AF192" t="s">
        <v>90</v>
      </c>
      <c r="AG192" t="s">
        <v>92</v>
      </c>
      <c r="AH192" t="s">
        <v>405</v>
      </c>
      <c r="AI192" s="6">
        <v>90</v>
      </c>
      <c r="AJ192" s="6">
        <v>65</v>
      </c>
    </row>
    <row r="193" spans="30:36" x14ac:dyDescent="0.2">
      <c r="AG193" t="s">
        <v>377</v>
      </c>
      <c r="AH193" t="s">
        <v>405</v>
      </c>
      <c r="AI193" s="6">
        <v>100</v>
      </c>
      <c r="AJ193" s="6">
        <v>65</v>
      </c>
    </row>
    <row r="194" spans="30:36" x14ac:dyDescent="0.2">
      <c r="AF194" t="s">
        <v>36</v>
      </c>
      <c r="AG194" t="s">
        <v>37</v>
      </c>
      <c r="AH194" t="s">
        <v>405</v>
      </c>
      <c r="AI194" s="6">
        <v>52.666666666666664</v>
      </c>
      <c r="AJ194" s="6">
        <v>65</v>
      </c>
    </row>
    <row r="195" spans="30:36" x14ac:dyDescent="0.2">
      <c r="AH195" t="s">
        <v>412</v>
      </c>
      <c r="AI195" s="6">
        <v>55</v>
      </c>
      <c r="AJ195" s="6">
        <v>65</v>
      </c>
    </row>
    <row r="196" spans="30:36" x14ac:dyDescent="0.2">
      <c r="AF196" t="s">
        <v>31</v>
      </c>
      <c r="AG196" t="s">
        <v>32</v>
      </c>
      <c r="AH196" t="s">
        <v>405</v>
      </c>
      <c r="AI196" s="6">
        <v>14</v>
      </c>
      <c r="AJ196" s="6">
        <v>65</v>
      </c>
    </row>
    <row r="197" spans="30:36" x14ac:dyDescent="0.2">
      <c r="AF197" t="s">
        <v>41</v>
      </c>
      <c r="AG197" t="s">
        <v>157</v>
      </c>
      <c r="AH197" t="s">
        <v>405</v>
      </c>
      <c r="AI197" s="6">
        <v>56</v>
      </c>
      <c r="AJ197" s="6">
        <v>65</v>
      </c>
    </row>
    <row r="198" spans="30:36" x14ac:dyDescent="0.2">
      <c r="AG198" t="s">
        <v>365</v>
      </c>
      <c r="AH198" t="s">
        <v>405</v>
      </c>
      <c r="AI198" s="6">
        <v>14</v>
      </c>
      <c r="AJ198" s="6">
        <v>65</v>
      </c>
    </row>
    <row r="199" spans="30:36" x14ac:dyDescent="0.2">
      <c r="AH199" t="s">
        <v>412</v>
      </c>
      <c r="AI199" s="6">
        <v>60</v>
      </c>
      <c r="AJ199" s="6">
        <v>65</v>
      </c>
    </row>
    <row r="200" spans="30:36" x14ac:dyDescent="0.2">
      <c r="AD200" t="s">
        <v>47</v>
      </c>
      <c r="AE200" t="s">
        <v>81</v>
      </c>
      <c r="AF200" t="s">
        <v>279</v>
      </c>
      <c r="AG200" t="s">
        <v>280</v>
      </c>
      <c r="AH200" t="s">
        <v>405</v>
      </c>
      <c r="AI200" s="6">
        <v>66</v>
      </c>
      <c r="AJ200" s="6">
        <v>65</v>
      </c>
    </row>
    <row r="201" spans="30:36" x14ac:dyDescent="0.2">
      <c r="AH201" t="s">
        <v>412</v>
      </c>
      <c r="AI201" s="6">
        <v>69.5</v>
      </c>
      <c r="AJ201" s="6">
        <v>65</v>
      </c>
    </row>
    <row r="202" spans="30:36" x14ac:dyDescent="0.2">
      <c r="AF202" t="s">
        <v>90</v>
      </c>
      <c r="AG202" t="s">
        <v>92</v>
      </c>
      <c r="AH202" t="s">
        <v>405</v>
      </c>
      <c r="AI202" s="6">
        <v>68.5</v>
      </c>
      <c r="AJ202" s="6">
        <v>65</v>
      </c>
    </row>
    <row r="203" spans="30:36" x14ac:dyDescent="0.2">
      <c r="AH203" t="s">
        <v>412</v>
      </c>
      <c r="AI203" s="6">
        <v>67.5</v>
      </c>
      <c r="AJ203" s="6">
        <v>65</v>
      </c>
    </row>
    <row r="204" spans="30:36" x14ac:dyDescent="0.2">
      <c r="AF204" t="s">
        <v>36</v>
      </c>
      <c r="AG204" t="s">
        <v>37</v>
      </c>
      <c r="AH204" t="s">
        <v>405</v>
      </c>
      <c r="AI204" s="6">
        <v>48.75</v>
      </c>
      <c r="AJ204" s="6">
        <v>65</v>
      </c>
    </row>
    <row r="205" spans="30:36" x14ac:dyDescent="0.2">
      <c r="AH205" t="s">
        <v>412</v>
      </c>
      <c r="AI205" s="6">
        <v>61.333333333333336</v>
      </c>
      <c r="AJ205" s="6">
        <v>65</v>
      </c>
    </row>
    <row r="206" spans="30:36" x14ac:dyDescent="0.2">
      <c r="AG206" t="s">
        <v>362</v>
      </c>
      <c r="AH206" t="s">
        <v>405</v>
      </c>
      <c r="AI206" s="6">
        <v>18</v>
      </c>
      <c r="AJ206" s="6">
        <v>65</v>
      </c>
    </row>
    <row r="207" spans="30:36" x14ac:dyDescent="0.2">
      <c r="AF207" t="s">
        <v>31</v>
      </c>
      <c r="AG207" t="s">
        <v>96</v>
      </c>
      <c r="AH207" t="s">
        <v>405</v>
      </c>
      <c r="AI207" s="6">
        <v>51.666666666666664</v>
      </c>
      <c r="AJ207" s="6">
        <v>65</v>
      </c>
    </row>
    <row r="208" spans="30:36" x14ac:dyDescent="0.2">
      <c r="AH208" t="s">
        <v>412</v>
      </c>
      <c r="AI208" s="6">
        <v>60</v>
      </c>
      <c r="AJ208" s="6">
        <v>65</v>
      </c>
    </row>
    <row r="209" spans="31:36" x14ac:dyDescent="0.2">
      <c r="AG209" t="s">
        <v>32</v>
      </c>
      <c r="AH209" t="s">
        <v>405</v>
      </c>
      <c r="AI209" s="6">
        <v>50</v>
      </c>
      <c r="AJ209" s="6">
        <v>65</v>
      </c>
    </row>
    <row r="210" spans="31:36" x14ac:dyDescent="0.2">
      <c r="AE210" t="s">
        <v>38</v>
      </c>
      <c r="AF210" t="s">
        <v>36</v>
      </c>
      <c r="AG210" t="s">
        <v>37</v>
      </c>
      <c r="AH210" t="s">
        <v>405</v>
      </c>
      <c r="AI210" s="6">
        <v>94</v>
      </c>
      <c r="AJ210" s="6">
        <v>65</v>
      </c>
    </row>
    <row r="211" spans="31:36" x14ac:dyDescent="0.2">
      <c r="AE211" t="s">
        <v>88</v>
      </c>
      <c r="AF211" t="s">
        <v>90</v>
      </c>
      <c r="AG211" t="s">
        <v>377</v>
      </c>
      <c r="AH211" t="s">
        <v>412</v>
      </c>
      <c r="AI211" s="6">
        <v>65</v>
      </c>
      <c r="AJ211" s="6">
        <v>65</v>
      </c>
    </row>
    <row r="212" spans="31:36" x14ac:dyDescent="0.2">
      <c r="AF212" t="s">
        <v>36</v>
      </c>
      <c r="AG212" t="s">
        <v>153</v>
      </c>
      <c r="AH212" t="s">
        <v>405</v>
      </c>
      <c r="AI212" s="6">
        <v>40</v>
      </c>
      <c r="AJ212" s="6">
        <v>65</v>
      </c>
    </row>
    <row r="213" spans="31:36" x14ac:dyDescent="0.2">
      <c r="AH213" t="s">
        <v>412</v>
      </c>
      <c r="AI213" s="6">
        <v>40</v>
      </c>
      <c r="AJ213" s="6">
        <v>65</v>
      </c>
    </row>
    <row r="214" spans="31:36" x14ac:dyDescent="0.2">
      <c r="AF214" t="s">
        <v>41</v>
      </c>
      <c r="AG214" t="s">
        <v>157</v>
      </c>
      <c r="AH214" t="s">
        <v>405</v>
      </c>
      <c r="AI214" s="6">
        <v>40</v>
      </c>
      <c r="AJ214" s="6">
        <v>65</v>
      </c>
    </row>
    <row r="215" spans="31:36" x14ac:dyDescent="0.2">
      <c r="AH215" t="s">
        <v>412</v>
      </c>
      <c r="AI215" s="6">
        <v>40</v>
      </c>
      <c r="AJ215" s="6">
        <v>65</v>
      </c>
    </row>
    <row r="216" spans="31:36" x14ac:dyDescent="0.2">
      <c r="AE216" t="s">
        <v>49</v>
      </c>
      <c r="AF216" t="s">
        <v>36</v>
      </c>
      <c r="AG216" t="s">
        <v>37</v>
      </c>
      <c r="AH216" t="s">
        <v>412</v>
      </c>
      <c r="AI216" s="6">
        <v>53.5</v>
      </c>
      <c r="AJ216" s="6">
        <v>65</v>
      </c>
    </row>
    <row r="217" spans="31:36" x14ac:dyDescent="0.2">
      <c r="AF217" t="s">
        <v>31</v>
      </c>
      <c r="AG217" t="s">
        <v>32</v>
      </c>
      <c r="AH217" t="s">
        <v>405</v>
      </c>
      <c r="AI217" s="6">
        <v>50</v>
      </c>
      <c r="AJ217" s="6">
        <v>65</v>
      </c>
    </row>
    <row r="218" spans="31:36" x14ac:dyDescent="0.2">
      <c r="AF218" t="s">
        <v>41</v>
      </c>
      <c r="AG218" t="s">
        <v>365</v>
      </c>
      <c r="AH218" t="s">
        <v>405</v>
      </c>
      <c r="AI218" s="6">
        <v>65</v>
      </c>
      <c r="AJ218" s="6">
        <v>65</v>
      </c>
    </row>
    <row r="219" spans="31:36" x14ac:dyDescent="0.2">
      <c r="AE219" t="s">
        <v>84</v>
      </c>
      <c r="AF219" t="s">
        <v>90</v>
      </c>
      <c r="AG219" t="s">
        <v>377</v>
      </c>
      <c r="AH219" t="s">
        <v>405</v>
      </c>
      <c r="AI219" s="6">
        <v>90</v>
      </c>
      <c r="AJ219" s="6">
        <v>65</v>
      </c>
    </row>
    <row r="220" spans="31:36" x14ac:dyDescent="0.2">
      <c r="AF220" t="s">
        <v>36</v>
      </c>
      <c r="AG220" t="s">
        <v>37</v>
      </c>
      <c r="AH220" t="s">
        <v>405</v>
      </c>
      <c r="AI220" s="6">
        <v>48.333333333333336</v>
      </c>
      <c r="AJ220" s="6">
        <v>65</v>
      </c>
    </row>
    <row r="221" spans="31:36" x14ac:dyDescent="0.2">
      <c r="AH221" t="s">
        <v>412</v>
      </c>
      <c r="AI221" s="6">
        <v>30</v>
      </c>
      <c r="AJ221" s="6">
        <v>65</v>
      </c>
    </row>
    <row r="222" spans="31:36" x14ac:dyDescent="0.2">
      <c r="AE222" t="s">
        <v>339</v>
      </c>
      <c r="AF222" t="s">
        <v>41</v>
      </c>
      <c r="AG222" t="s">
        <v>157</v>
      </c>
      <c r="AH222" t="s">
        <v>405</v>
      </c>
      <c r="AI222" s="6">
        <v>65</v>
      </c>
      <c r="AJ222" s="6">
        <v>65</v>
      </c>
    </row>
    <row r="223" spans="31:36" x14ac:dyDescent="0.2">
      <c r="AH223" t="s">
        <v>412</v>
      </c>
      <c r="AI223" s="6">
        <v>75</v>
      </c>
      <c r="AJ223" s="6">
        <v>65</v>
      </c>
    </row>
    <row r="224" spans="31:36" x14ac:dyDescent="0.2">
      <c r="AG224" t="s">
        <v>272</v>
      </c>
      <c r="AH224" t="s">
        <v>405</v>
      </c>
      <c r="AI224" s="6">
        <v>70</v>
      </c>
      <c r="AJ224" s="6">
        <v>65</v>
      </c>
    </row>
    <row r="225" spans="30:36" x14ac:dyDescent="0.2">
      <c r="AE225" t="s">
        <v>82</v>
      </c>
      <c r="AF225" t="s">
        <v>90</v>
      </c>
      <c r="AG225" t="s">
        <v>92</v>
      </c>
      <c r="AH225" t="s">
        <v>405</v>
      </c>
      <c r="AI225" s="6">
        <v>65</v>
      </c>
      <c r="AJ225" s="6">
        <v>65</v>
      </c>
    </row>
    <row r="226" spans="30:36" x14ac:dyDescent="0.2">
      <c r="AG226" t="s">
        <v>377</v>
      </c>
      <c r="AH226" t="s">
        <v>405</v>
      </c>
      <c r="AI226" s="6">
        <v>100</v>
      </c>
      <c r="AJ226" s="6">
        <v>65</v>
      </c>
    </row>
    <row r="227" spans="30:36" x14ac:dyDescent="0.2">
      <c r="AF227" t="s">
        <v>36</v>
      </c>
      <c r="AG227" t="s">
        <v>37</v>
      </c>
      <c r="AH227" t="s">
        <v>405</v>
      </c>
      <c r="AI227" s="6">
        <v>23</v>
      </c>
      <c r="AJ227" s="6">
        <v>65</v>
      </c>
    </row>
    <row r="228" spans="30:36" x14ac:dyDescent="0.2">
      <c r="AH228" t="s">
        <v>412</v>
      </c>
      <c r="AI228" s="6">
        <v>61.666666666666664</v>
      </c>
      <c r="AJ228" s="6">
        <v>65</v>
      </c>
    </row>
    <row r="229" spans="30:36" x14ac:dyDescent="0.2">
      <c r="AF229" t="s">
        <v>31</v>
      </c>
      <c r="AG229" t="s">
        <v>32</v>
      </c>
      <c r="AH229" t="s">
        <v>405</v>
      </c>
      <c r="AI229" s="6">
        <v>9</v>
      </c>
      <c r="AJ229" s="6">
        <v>65</v>
      </c>
    </row>
    <row r="230" spans="30:36" x14ac:dyDescent="0.2">
      <c r="AF230" t="s">
        <v>41</v>
      </c>
      <c r="AG230" t="s">
        <v>157</v>
      </c>
      <c r="AH230" t="s">
        <v>405</v>
      </c>
      <c r="AI230" s="6">
        <v>25</v>
      </c>
      <c r="AJ230" s="6">
        <v>65</v>
      </c>
    </row>
    <row r="231" spans="30:36" x14ac:dyDescent="0.2">
      <c r="AG231" t="s">
        <v>365</v>
      </c>
      <c r="AH231" t="s">
        <v>405</v>
      </c>
      <c r="AI231" s="6">
        <v>9</v>
      </c>
      <c r="AJ231" s="6">
        <v>65</v>
      </c>
    </row>
    <row r="232" spans="30:36" x14ac:dyDescent="0.2">
      <c r="AH232" t="s">
        <v>412</v>
      </c>
      <c r="AI232" s="6">
        <v>42.5</v>
      </c>
      <c r="AJ232" s="6">
        <v>65</v>
      </c>
    </row>
    <row r="233" spans="30:36" x14ac:dyDescent="0.2">
      <c r="AD233" t="s">
        <v>34</v>
      </c>
      <c r="AE233" t="s">
        <v>81</v>
      </c>
      <c r="AF233" t="s">
        <v>279</v>
      </c>
      <c r="AG233" t="s">
        <v>280</v>
      </c>
      <c r="AH233" t="s">
        <v>405</v>
      </c>
      <c r="AI233" s="6">
        <v>68.5</v>
      </c>
      <c r="AJ233" s="6">
        <v>65</v>
      </c>
    </row>
    <row r="234" spans="30:36" x14ac:dyDescent="0.2">
      <c r="AH234" t="s">
        <v>412</v>
      </c>
      <c r="AI234" s="6">
        <v>70</v>
      </c>
      <c r="AJ234" s="6">
        <v>65</v>
      </c>
    </row>
    <row r="235" spans="30:36" x14ac:dyDescent="0.2">
      <c r="AF235" t="s">
        <v>90</v>
      </c>
      <c r="AG235" t="s">
        <v>92</v>
      </c>
      <c r="AH235" t="s">
        <v>405</v>
      </c>
      <c r="AI235" s="6">
        <v>70</v>
      </c>
      <c r="AJ235" s="6">
        <v>65</v>
      </c>
    </row>
    <row r="236" spans="30:36" x14ac:dyDescent="0.2">
      <c r="AH236" t="s">
        <v>412</v>
      </c>
      <c r="AI236" s="6">
        <v>70</v>
      </c>
      <c r="AJ236" s="6">
        <v>65</v>
      </c>
    </row>
    <row r="237" spans="30:36" x14ac:dyDescent="0.2">
      <c r="AF237" t="s">
        <v>36</v>
      </c>
      <c r="AG237" t="s">
        <v>37</v>
      </c>
      <c r="AH237" t="s">
        <v>405</v>
      </c>
      <c r="AI237" s="6">
        <v>78.25</v>
      </c>
      <c r="AJ237" s="6">
        <v>65</v>
      </c>
    </row>
    <row r="238" spans="30:36" x14ac:dyDescent="0.2">
      <c r="AH238" t="s">
        <v>412</v>
      </c>
      <c r="AI238" s="6">
        <v>65</v>
      </c>
      <c r="AJ238" s="6">
        <v>65</v>
      </c>
    </row>
    <row r="239" spans="30:36" x14ac:dyDescent="0.2">
      <c r="AG239" t="s">
        <v>362</v>
      </c>
      <c r="AH239" t="s">
        <v>405</v>
      </c>
      <c r="AI239" s="6">
        <v>13</v>
      </c>
      <c r="AJ239" s="6">
        <v>65</v>
      </c>
    </row>
    <row r="240" spans="30:36" x14ac:dyDescent="0.2">
      <c r="AF240" t="s">
        <v>31</v>
      </c>
      <c r="AG240" t="s">
        <v>96</v>
      </c>
      <c r="AH240" t="s">
        <v>405</v>
      </c>
      <c r="AI240" s="6">
        <v>63.333333333333336</v>
      </c>
      <c r="AJ240" s="6">
        <v>65</v>
      </c>
    </row>
    <row r="241" spans="31:36" x14ac:dyDescent="0.2">
      <c r="AH241" t="s">
        <v>412</v>
      </c>
      <c r="AI241" s="6">
        <v>66.333333333333329</v>
      </c>
      <c r="AJ241" s="6">
        <v>65</v>
      </c>
    </row>
    <row r="242" spans="31:36" x14ac:dyDescent="0.2">
      <c r="AG242" t="s">
        <v>32</v>
      </c>
      <c r="AH242" t="s">
        <v>405</v>
      </c>
      <c r="AI242" s="6">
        <v>70</v>
      </c>
      <c r="AJ242" s="6">
        <v>65</v>
      </c>
    </row>
    <row r="243" spans="31:36" x14ac:dyDescent="0.2">
      <c r="AE243" t="s">
        <v>38</v>
      </c>
      <c r="AF243" t="s">
        <v>36</v>
      </c>
      <c r="AG243" t="s">
        <v>37</v>
      </c>
      <c r="AH243" t="s">
        <v>405</v>
      </c>
      <c r="AI243" s="6">
        <v>82</v>
      </c>
      <c r="AJ243" s="6">
        <v>65</v>
      </c>
    </row>
    <row r="244" spans="31:36" x14ac:dyDescent="0.2">
      <c r="AE244" t="s">
        <v>88</v>
      </c>
      <c r="AF244" t="s">
        <v>279</v>
      </c>
      <c r="AG244" t="s">
        <v>280</v>
      </c>
      <c r="AH244" t="s">
        <v>405</v>
      </c>
      <c r="AI244" s="6">
        <v>80</v>
      </c>
      <c r="AJ244" s="6">
        <v>65</v>
      </c>
    </row>
    <row r="245" spans="31:36" x14ac:dyDescent="0.2">
      <c r="AF245" t="s">
        <v>90</v>
      </c>
      <c r="AG245" t="s">
        <v>377</v>
      </c>
      <c r="AH245" t="s">
        <v>405</v>
      </c>
      <c r="AI245" s="6">
        <v>80</v>
      </c>
      <c r="AJ245" s="6">
        <v>65</v>
      </c>
    </row>
    <row r="246" spans="31:36" x14ac:dyDescent="0.2">
      <c r="AH246" t="s">
        <v>412</v>
      </c>
      <c r="AI246" s="6">
        <v>80</v>
      </c>
      <c r="AJ246" s="6">
        <v>65</v>
      </c>
    </row>
    <row r="247" spans="31:36" x14ac:dyDescent="0.2">
      <c r="AF247" t="s">
        <v>36</v>
      </c>
      <c r="AG247" t="s">
        <v>153</v>
      </c>
      <c r="AH247" t="s">
        <v>405</v>
      </c>
      <c r="AI247" s="6">
        <v>62.5</v>
      </c>
      <c r="AJ247" s="6">
        <v>65</v>
      </c>
    </row>
    <row r="248" spans="31:36" x14ac:dyDescent="0.2">
      <c r="AH248" t="s">
        <v>412</v>
      </c>
      <c r="AI248" s="6">
        <v>65</v>
      </c>
      <c r="AJ248" s="6">
        <v>65</v>
      </c>
    </row>
    <row r="249" spans="31:36" x14ac:dyDescent="0.2">
      <c r="AF249" t="s">
        <v>31</v>
      </c>
      <c r="AG249" t="s">
        <v>158</v>
      </c>
      <c r="AH249" t="s">
        <v>405</v>
      </c>
      <c r="AI249" s="6">
        <v>60</v>
      </c>
      <c r="AJ249" s="6">
        <v>65</v>
      </c>
    </row>
    <row r="250" spans="31:36" x14ac:dyDescent="0.2">
      <c r="AF250" t="s">
        <v>41</v>
      </c>
      <c r="AG250" t="s">
        <v>157</v>
      </c>
      <c r="AH250" t="s">
        <v>405</v>
      </c>
      <c r="AI250" s="6">
        <v>62.5</v>
      </c>
      <c r="AJ250" s="6">
        <v>65</v>
      </c>
    </row>
    <row r="251" spans="31:36" x14ac:dyDescent="0.2">
      <c r="AH251" t="s">
        <v>412</v>
      </c>
      <c r="AI251" s="6">
        <v>65</v>
      </c>
      <c r="AJ251" s="6">
        <v>65</v>
      </c>
    </row>
    <row r="252" spans="31:36" x14ac:dyDescent="0.2">
      <c r="AE252" t="s">
        <v>49</v>
      </c>
      <c r="AF252" t="s">
        <v>36</v>
      </c>
      <c r="AG252" t="s">
        <v>37</v>
      </c>
      <c r="AH252" t="s">
        <v>412</v>
      </c>
      <c r="AI252" s="6">
        <v>66</v>
      </c>
      <c r="AJ252" s="6">
        <v>65</v>
      </c>
    </row>
    <row r="253" spans="31:36" x14ac:dyDescent="0.2">
      <c r="AF253" t="s">
        <v>31</v>
      </c>
      <c r="AG253" t="s">
        <v>32</v>
      </c>
      <c r="AH253" t="s">
        <v>405</v>
      </c>
      <c r="AI253" s="6">
        <v>65</v>
      </c>
      <c r="AJ253" s="6">
        <v>65</v>
      </c>
    </row>
    <row r="254" spans="31:36" x14ac:dyDescent="0.2">
      <c r="AF254" t="s">
        <v>41</v>
      </c>
      <c r="AG254" t="s">
        <v>365</v>
      </c>
      <c r="AH254" t="s">
        <v>405</v>
      </c>
      <c r="AI254" s="6">
        <v>100</v>
      </c>
      <c r="AJ254" s="6">
        <v>65</v>
      </c>
    </row>
    <row r="255" spans="31:36" x14ac:dyDescent="0.2">
      <c r="AE255" t="s">
        <v>84</v>
      </c>
      <c r="AF255" t="s">
        <v>90</v>
      </c>
      <c r="AG255" t="s">
        <v>377</v>
      </c>
      <c r="AH255" t="s">
        <v>405</v>
      </c>
      <c r="AI255" s="6">
        <v>90</v>
      </c>
      <c r="AJ255" s="6">
        <v>65</v>
      </c>
    </row>
    <row r="256" spans="31:36" x14ac:dyDescent="0.2">
      <c r="AF256" t="s">
        <v>36</v>
      </c>
      <c r="AG256" t="s">
        <v>37</v>
      </c>
      <c r="AH256" t="s">
        <v>405</v>
      </c>
      <c r="AI256" s="6">
        <v>63.333333333333336</v>
      </c>
      <c r="AJ256" s="6">
        <v>65</v>
      </c>
    </row>
    <row r="257" spans="30:36" x14ac:dyDescent="0.2">
      <c r="AH257" t="s">
        <v>412</v>
      </c>
      <c r="AI257" s="6">
        <v>65</v>
      </c>
      <c r="AJ257" s="6">
        <v>65</v>
      </c>
    </row>
    <row r="258" spans="30:36" x14ac:dyDescent="0.2">
      <c r="AE258" t="s">
        <v>339</v>
      </c>
      <c r="AF258" t="s">
        <v>41</v>
      </c>
      <c r="AG258" t="s">
        <v>157</v>
      </c>
      <c r="AH258" t="s">
        <v>405</v>
      </c>
      <c r="AI258" s="6">
        <v>80</v>
      </c>
      <c r="AJ258" s="6">
        <v>65</v>
      </c>
    </row>
    <row r="259" spans="30:36" x14ac:dyDescent="0.2">
      <c r="AH259" t="s">
        <v>412</v>
      </c>
      <c r="AI259" s="6">
        <v>80</v>
      </c>
      <c r="AJ259" s="6">
        <v>65</v>
      </c>
    </row>
    <row r="260" spans="30:36" x14ac:dyDescent="0.2">
      <c r="AG260" t="s">
        <v>272</v>
      </c>
      <c r="AH260" t="s">
        <v>405</v>
      </c>
      <c r="AI260" s="6">
        <v>70</v>
      </c>
      <c r="AJ260" s="6">
        <v>65</v>
      </c>
    </row>
    <row r="261" spans="30:36" x14ac:dyDescent="0.2">
      <c r="AE261" t="s">
        <v>82</v>
      </c>
      <c r="AF261" t="s">
        <v>90</v>
      </c>
      <c r="AG261" t="s">
        <v>92</v>
      </c>
      <c r="AH261" t="s">
        <v>405</v>
      </c>
      <c r="AI261" s="6">
        <v>90</v>
      </c>
      <c r="AJ261" s="6">
        <v>65</v>
      </c>
    </row>
    <row r="262" spans="30:36" x14ac:dyDescent="0.2">
      <c r="AG262" t="s">
        <v>377</v>
      </c>
      <c r="AH262" t="s">
        <v>405</v>
      </c>
      <c r="AI262" s="6">
        <v>100</v>
      </c>
      <c r="AJ262" s="6">
        <v>65</v>
      </c>
    </row>
    <row r="263" spans="30:36" x14ac:dyDescent="0.2">
      <c r="AF263" t="s">
        <v>36</v>
      </c>
      <c r="AG263" t="s">
        <v>37</v>
      </c>
      <c r="AH263" t="s">
        <v>405</v>
      </c>
      <c r="AI263" s="6">
        <v>64</v>
      </c>
      <c r="AJ263" s="6">
        <v>65</v>
      </c>
    </row>
    <row r="264" spans="30:36" x14ac:dyDescent="0.2">
      <c r="AH264" t="s">
        <v>412</v>
      </c>
      <c r="AI264" s="6">
        <v>63.333333333333336</v>
      </c>
      <c r="AJ264" s="6">
        <v>65</v>
      </c>
    </row>
    <row r="265" spans="30:36" x14ac:dyDescent="0.2">
      <c r="AF265" t="s">
        <v>31</v>
      </c>
      <c r="AG265" t="s">
        <v>32</v>
      </c>
      <c r="AH265" t="s">
        <v>405</v>
      </c>
      <c r="AI265" s="6">
        <v>59</v>
      </c>
      <c r="AJ265" s="6">
        <v>65</v>
      </c>
    </row>
    <row r="266" spans="30:36" x14ac:dyDescent="0.2">
      <c r="AF266" t="s">
        <v>41</v>
      </c>
      <c r="AG266" t="s">
        <v>157</v>
      </c>
      <c r="AH266" t="s">
        <v>405</v>
      </c>
      <c r="AI266" s="6">
        <v>80</v>
      </c>
      <c r="AJ266" s="6">
        <v>65</v>
      </c>
    </row>
    <row r="267" spans="30:36" x14ac:dyDescent="0.2">
      <c r="AG267" t="s">
        <v>365</v>
      </c>
      <c r="AH267" t="s">
        <v>405</v>
      </c>
      <c r="AI267" s="6">
        <v>59</v>
      </c>
      <c r="AJ267" s="6">
        <v>65</v>
      </c>
    </row>
    <row r="268" spans="30:36" x14ac:dyDescent="0.2">
      <c r="AH268" t="s">
        <v>412</v>
      </c>
      <c r="AI268" s="6">
        <v>72.5</v>
      </c>
      <c r="AJ268" s="6">
        <v>65</v>
      </c>
    </row>
    <row r="269" spans="30:36" x14ac:dyDescent="0.2">
      <c r="AD269" t="s">
        <v>33</v>
      </c>
      <c r="AE269" t="s">
        <v>81</v>
      </c>
      <c r="AF269" t="s">
        <v>279</v>
      </c>
      <c r="AG269" t="s">
        <v>280</v>
      </c>
      <c r="AH269" t="s">
        <v>405</v>
      </c>
      <c r="AI269" s="6">
        <v>71.25</v>
      </c>
      <c r="AJ269" s="6">
        <v>65</v>
      </c>
    </row>
    <row r="270" spans="30:36" x14ac:dyDescent="0.2">
      <c r="AH270" t="s">
        <v>412</v>
      </c>
      <c r="AI270" s="6">
        <v>77.5</v>
      </c>
      <c r="AJ270" s="6">
        <v>65</v>
      </c>
    </row>
    <row r="271" spans="30:36" x14ac:dyDescent="0.2">
      <c r="AF271" t="s">
        <v>90</v>
      </c>
      <c r="AG271" t="s">
        <v>92</v>
      </c>
      <c r="AH271" t="s">
        <v>405</v>
      </c>
      <c r="AI271" s="6">
        <v>69.75</v>
      </c>
      <c r="AJ271" s="6">
        <v>65</v>
      </c>
    </row>
    <row r="272" spans="30:36" x14ac:dyDescent="0.2">
      <c r="AH272" t="s">
        <v>412</v>
      </c>
      <c r="AI272" s="6">
        <v>75</v>
      </c>
      <c r="AJ272" s="6">
        <v>65</v>
      </c>
    </row>
    <row r="273" spans="31:36" x14ac:dyDescent="0.2">
      <c r="AF273" t="s">
        <v>36</v>
      </c>
      <c r="AG273" t="s">
        <v>37</v>
      </c>
      <c r="AH273" t="s">
        <v>405</v>
      </c>
      <c r="AI273" s="6">
        <v>78.75</v>
      </c>
      <c r="AJ273" s="6">
        <v>65</v>
      </c>
    </row>
    <row r="274" spans="31:36" x14ac:dyDescent="0.2">
      <c r="AH274" t="s">
        <v>412</v>
      </c>
      <c r="AI274" s="6">
        <v>77.333333333333329</v>
      </c>
      <c r="AJ274" s="6">
        <v>65</v>
      </c>
    </row>
    <row r="275" spans="31:36" x14ac:dyDescent="0.2">
      <c r="AG275" t="s">
        <v>362</v>
      </c>
      <c r="AH275" t="s">
        <v>405</v>
      </c>
      <c r="AI275" s="6">
        <v>45</v>
      </c>
      <c r="AJ275" s="6">
        <v>65</v>
      </c>
    </row>
    <row r="276" spans="31:36" x14ac:dyDescent="0.2">
      <c r="AF276" t="s">
        <v>31</v>
      </c>
      <c r="AG276" t="s">
        <v>96</v>
      </c>
      <c r="AH276" t="s">
        <v>405</v>
      </c>
      <c r="AI276" s="6">
        <v>70</v>
      </c>
      <c r="AJ276" s="6">
        <v>65</v>
      </c>
    </row>
    <row r="277" spans="31:36" x14ac:dyDescent="0.2">
      <c r="AH277" t="s">
        <v>412</v>
      </c>
      <c r="AI277" s="6">
        <v>73</v>
      </c>
      <c r="AJ277" s="6">
        <v>65</v>
      </c>
    </row>
    <row r="278" spans="31:36" x14ac:dyDescent="0.2">
      <c r="AG278" t="s">
        <v>32</v>
      </c>
      <c r="AH278" t="s">
        <v>405</v>
      </c>
      <c r="AI278" s="6">
        <v>70</v>
      </c>
      <c r="AJ278" s="6">
        <v>65</v>
      </c>
    </row>
    <row r="279" spans="31:36" x14ac:dyDescent="0.2">
      <c r="AE279" t="s">
        <v>38</v>
      </c>
      <c r="AF279" t="s">
        <v>36</v>
      </c>
      <c r="AG279" t="s">
        <v>37</v>
      </c>
      <c r="AH279" t="s">
        <v>405</v>
      </c>
      <c r="AI279" s="6">
        <v>98</v>
      </c>
      <c r="AJ279" s="6">
        <v>65</v>
      </c>
    </row>
    <row r="280" spans="31:36" x14ac:dyDescent="0.2">
      <c r="AE280" t="s">
        <v>88</v>
      </c>
      <c r="AF280" t="s">
        <v>279</v>
      </c>
      <c r="AG280" t="s">
        <v>280</v>
      </c>
      <c r="AH280" t="s">
        <v>405</v>
      </c>
      <c r="AI280" s="6">
        <v>80</v>
      </c>
      <c r="AJ280" s="6">
        <v>65</v>
      </c>
    </row>
    <row r="281" spans="31:36" x14ac:dyDescent="0.2">
      <c r="AF281" t="s">
        <v>90</v>
      </c>
      <c r="AG281" t="s">
        <v>377</v>
      </c>
      <c r="AH281" t="s">
        <v>405</v>
      </c>
      <c r="AI281" s="6">
        <v>80</v>
      </c>
      <c r="AJ281" s="6">
        <v>65</v>
      </c>
    </row>
    <row r="282" spans="31:36" x14ac:dyDescent="0.2">
      <c r="AH282" t="s">
        <v>412</v>
      </c>
      <c r="AI282" s="6">
        <v>80</v>
      </c>
      <c r="AJ282" s="6">
        <v>65</v>
      </c>
    </row>
    <row r="283" spans="31:36" x14ac:dyDescent="0.2">
      <c r="AF283" t="s">
        <v>36</v>
      </c>
      <c r="AG283" t="s">
        <v>153</v>
      </c>
      <c r="AH283" t="s">
        <v>405</v>
      </c>
      <c r="AI283" s="6">
        <v>67.5</v>
      </c>
      <c r="AJ283" s="6">
        <v>65</v>
      </c>
    </row>
    <row r="284" spans="31:36" x14ac:dyDescent="0.2">
      <c r="AH284" t="s">
        <v>412</v>
      </c>
      <c r="AI284" s="6">
        <v>60</v>
      </c>
      <c r="AJ284" s="6">
        <v>65</v>
      </c>
    </row>
    <row r="285" spans="31:36" x14ac:dyDescent="0.2">
      <c r="AF285" t="s">
        <v>31</v>
      </c>
      <c r="AG285" t="s">
        <v>158</v>
      </c>
      <c r="AH285" t="s">
        <v>405</v>
      </c>
      <c r="AI285" s="6">
        <v>70</v>
      </c>
      <c r="AJ285" s="6">
        <v>65</v>
      </c>
    </row>
    <row r="286" spans="31:36" x14ac:dyDescent="0.2">
      <c r="AF286" t="s">
        <v>41</v>
      </c>
      <c r="AG286" t="s">
        <v>157</v>
      </c>
      <c r="AH286" t="s">
        <v>405</v>
      </c>
      <c r="AI286" s="6">
        <v>67.5</v>
      </c>
      <c r="AJ286" s="6">
        <v>65</v>
      </c>
    </row>
    <row r="287" spans="31:36" x14ac:dyDescent="0.2">
      <c r="AH287" t="s">
        <v>412</v>
      </c>
      <c r="AI287" s="6">
        <v>63</v>
      </c>
      <c r="AJ287" s="6">
        <v>65</v>
      </c>
    </row>
    <row r="288" spans="31:36" x14ac:dyDescent="0.2">
      <c r="AE288" t="s">
        <v>49</v>
      </c>
      <c r="AF288" t="s">
        <v>36</v>
      </c>
      <c r="AG288" t="s">
        <v>37</v>
      </c>
      <c r="AH288" t="s">
        <v>412</v>
      </c>
      <c r="AI288" s="6">
        <v>82.5</v>
      </c>
      <c r="AJ288" s="6">
        <v>65</v>
      </c>
    </row>
    <row r="289" spans="31:36" x14ac:dyDescent="0.2">
      <c r="AF289" t="s">
        <v>31</v>
      </c>
      <c r="AG289" t="s">
        <v>32</v>
      </c>
      <c r="AH289" t="s">
        <v>405</v>
      </c>
      <c r="AI289" s="6">
        <v>70</v>
      </c>
      <c r="AJ289" s="6">
        <v>65</v>
      </c>
    </row>
    <row r="290" spans="31:36" x14ac:dyDescent="0.2">
      <c r="AF290" t="s">
        <v>41</v>
      </c>
      <c r="AG290" t="s">
        <v>365</v>
      </c>
      <c r="AH290" t="s">
        <v>405</v>
      </c>
      <c r="AI290" s="6">
        <v>65</v>
      </c>
      <c r="AJ290" s="6">
        <v>65</v>
      </c>
    </row>
    <row r="291" spans="31:36" x14ac:dyDescent="0.2">
      <c r="AE291" t="s">
        <v>84</v>
      </c>
      <c r="AF291" t="s">
        <v>90</v>
      </c>
      <c r="AG291" t="s">
        <v>377</v>
      </c>
      <c r="AH291" t="s">
        <v>405</v>
      </c>
      <c r="AI291" s="6">
        <v>65</v>
      </c>
      <c r="AJ291" s="6">
        <v>65</v>
      </c>
    </row>
    <row r="292" spans="31:36" x14ac:dyDescent="0.2">
      <c r="AF292" t="s">
        <v>36</v>
      </c>
      <c r="AG292" t="s">
        <v>37</v>
      </c>
      <c r="AH292" t="s">
        <v>405</v>
      </c>
      <c r="AI292" s="6">
        <v>71.666666666666671</v>
      </c>
      <c r="AJ292" s="6">
        <v>65</v>
      </c>
    </row>
    <row r="293" spans="31:36" x14ac:dyDescent="0.2">
      <c r="AH293" t="s">
        <v>412</v>
      </c>
      <c r="AI293" s="6">
        <v>76.8</v>
      </c>
      <c r="AJ293" s="6">
        <v>65</v>
      </c>
    </row>
    <row r="294" spans="31:36" x14ac:dyDescent="0.2">
      <c r="AE294" t="s">
        <v>339</v>
      </c>
      <c r="AF294" t="s">
        <v>41</v>
      </c>
      <c r="AG294" t="s">
        <v>157</v>
      </c>
      <c r="AH294" t="s">
        <v>405</v>
      </c>
      <c r="AI294" s="6">
        <v>65</v>
      </c>
      <c r="AJ294" s="6">
        <v>65</v>
      </c>
    </row>
    <row r="295" spans="31:36" x14ac:dyDescent="0.2">
      <c r="AH295" t="s">
        <v>412</v>
      </c>
      <c r="AI295" s="6">
        <v>80</v>
      </c>
      <c r="AJ295" s="6">
        <v>65</v>
      </c>
    </row>
    <row r="296" spans="31:36" x14ac:dyDescent="0.2">
      <c r="AG296" t="s">
        <v>272</v>
      </c>
      <c r="AH296" t="s">
        <v>405</v>
      </c>
      <c r="AI296" s="6">
        <v>80</v>
      </c>
      <c r="AJ296" s="6">
        <v>65</v>
      </c>
    </row>
    <row r="297" spans="31:36" x14ac:dyDescent="0.2">
      <c r="AE297" t="s">
        <v>82</v>
      </c>
      <c r="AF297" t="s">
        <v>90</v>
      </c>
      <c r="AG297" t="s">
        <v>92</v>
      </c>
      <c r="AH297" t="s">
        <v>405</v>
      </c>
      <c r="AI297" s="6">
        <v>65</v>
      </c>
      <c r="AJ297" s="6">
        <v>65</v>
      </c>
    </row>
    <row r="298" spans="31:36" x14ac:dyDescent="0.2">
      <c r="AG298" t="s">
        <v>377</v>
      </c>
      <c r="AH298" t="s">
        <v>405</v>
      </c>
      <c r="AI298" s="6">
        <v>35</v>
      </c>
      <c r="AJ298" s="6">
        <v>65</v>
      </c>
    </row>
    <row r="299" spans="31:36" x14ac:dyDescent="0.2">
      <c r="AF299" t="s">
        <v>36</v>
      </c>
      <c r="AG299" t="s">
        <v>37</v>
      </c>
      <c r="AH299" t="s">
        <v>405</v>
      </c>
      <c r="AI299" s="6">
        <v>38.666666666666664</v>
      </c>
      <c r="AJ299" s="6">
        <v>65</v>
      </c>
    </row>
    <row r="300" spans="31:36" x14ac:dyDescent="0.2">
      <c r="AH300" t="s">
        <v>412</v>
      </c>
      <c r="AI300" s="6">
        <v>76</v>
      </c>
      <c r="AJ300" s="6">
        <v>65</v>
      </c>
    </row>
    <row r="301" spans="31:36" x14ac:dyDescent="0.2">
      <c r="AF301" t="s">
        <v>31</v>
      </c>
      <c r="AG301" t="s">
        <v>32</v>
      </c>
      <c r="AH301" t="s">
        <v>405</v>
      </c>
      <c r="AI301" s="6">
        <v>10</v>
      </c>
      <c r="AJ301" s="6">
        <v>65</v>
      </c>
    </row>
    <row r="302" spans="31:36" x14ac:dyDescent="0.2">
      <c r="AF302" t="s">
        <v>41</v>
      </c>
      <c r="AG302" t="s">
        <v>157</v>
      </c>
      <c r="AH302" t="s">
        <v>405</v>
      </c>
      <c r="AI302" s="6">
        <v>65</v>
      </c>
      <c r="AJ302" s="6">
        <v>65</v>
      </c>
    </row>
    <row r="303" spans="31:36" x14ac:dyDescent="0.2">
      <c r="AG303" t="s">
        <v>365</v>
      </c>
      <c r="AH303" t="s">
        <v>405</v>
      </c>
      <c r="AI303" s="6">
        <v>10</v>
      </c>
      <c r="AJ303" s="6">
        <v>65</v>
      </c>
    </row>
    <row r="304" spans="31:36" x14ac:dyDescent="0.2">
      <c r="AH304" t="s">
        <v>412</v>
      </c>
      <c r="AI304" s="6">
        <v>77.5</v>
      </c>
      <c r="AJ304" s="6">
        <v>65</v>
      </c>
    </row>
    <row r="305" spans="30:36" x14ac:dyDescent="0.2">
      <c r="AD305" t="s">
        <v>48</v>
      </c>
      <c r="AE305" t="s">
        <v>81</v>
      </c>
      <c r="AF305" t="s">
        <v>279</v>
      </c>
      <c r="AG305" t="s">
        <v>280</v>
      </c>
      <c r="AH305" t="s">
        <v>405</v>
      </c>
      <c r="AI305" s="6">
        <v>68.5</v>
      </c>
      <c r="AJ305" s="6">
        <v>65</v>
      </c>
    </row>
    <row r="306" spans="30:36" x14ac:dyDescent="0.2">
      <c r="AH306" t="s">
        <v>412</v>
      </c>
      <c r="AI306" s="6">
        <v>69.5</v>
      </c>
      <c r="AJ306" s="6">
        <v>65</v>
      </c>
    </row>
    <row r="307" spans="30:36" x14ac:dyDescent="0.2">
      <c r="AF307" t="s">
        <v>90</v>
      </c>
      <c r="AG307" t="s">
        <v>92</v>
      </c>
      <c r="AH307" t="s">
        <v>405</v>
      </c>
      <c r="AI307" s="6">
        <v>69.75</v>
      </c>
      <c r="AJ307" s="6">
        <v>65</v>
      </c>
    </row>
    <row r="308" spans="30:36" x14ac:dyDescent="0.2">
      <c r="AH308" t="s">
        <v>412</v>
      </c>
      <c r="AI308" s="6">
        <v>67.5</v>
      </c>
      <c r="AJ308" s="6">
        <v>65</v>
      </c>
    </row>
    <row r="309" spans="30:36" x14ac:dyDescent="0.2">
      <c r="AF309" t="s">
        <v>36</v>
      </c>
      <c r="AG309" t="s">
        <v>37</v>
      </c>
      <c r="AH309" t="s">
        <v>405</v>
      </c>
      <c r="AI309" s="6">
        <v>60.75</v>
      </c>
      <c r="AJ309" s="6">
        <v>65</v>
      </c>
    </row>
    <row r="310" spans="30:36" x14ac:dyDescent="0.2">
      <c r="AH310" t="s">
        <v>412</v>
      </c>
      <c r="AI310" s="6">
        <v>67.333333333333329</v>
      </c>
      <c r="AJ310" s="6">
        <v>65</v>
      </c>
    </row>
    <row r="311" spans="30:36" x14ac:dyDescent="0.2">
      <c r="AG311" t="s">
        <v>362</v>
      </c>
      <c r="AH311" t="s">
        <v>405</v>
      </c>
      <c r="AI311" s="6">
        <v>5</v>
      </c>
      <c r="AJ311" s="6">
        <v>65</v>
      </c>
    </row>
    <row r="312" spans="30:36" x14ac:dyDescent="0.2">
      <c r="AF312" t="s">
        <v>31</v>
      </c>
      <c r="AG312" t="s">
        <v>96</v>
      </c>
      <c r="AH312" t="s">
        <v>405</v>
      </c>
      <c r="AI312" s="6">
        <v>56.666666666666664</v>
      </c>
      <c r="AJ312" s="6">
        <v>65</v>
      </c>
    </row>
    <row r="313" spans="30:36" x14ac:dyDescent="0.2">
      <c r="AH313" t="s">
        <v>412</v>
      </c>
      <c r="AI313" s="6">
        <v>61.666666666666664</v>
      </c>
      <c r="AJ313" s="6">
        <v>65</v>
      </c>
    </row>
    <row r="314" spans="30:36" x14ac:dyDescent="0.2">
      <c r="AG314" t="s">
        <v>32</v>
      </c>
      <c r="AH314" t="s">
        <v>405</v>
      </c>
      <c r="AI314" s="6">
        <v>68</v>
      </c>
      <c r="AJ314" s="6">
        <v>65</v>
      </c>
    </row>
    <row r="315" spans="30:36" x14ac:dyDescent="0.2">
      <c r="AE315" t="s">
        <v>38</v>
      </c>
      <c r="AF315" t="s">
        <v>36</v>
      </c>
      <c r="AG315" t="s">
        <v>37</v>
      </c>
      <c r="AH315" t="s">
        <v>405</v>
      </c>
      <c r="AI315" s="6">
        <v>97</v>
      </c>
      <c r="AJ315" s="6">
        <v>65</v>
      </c>
    </row>
    <row r="316" spans="30:36" x14ac:dyDescent="0.2">
      <c r="AE316" t="s">
        <v>88</v>
      </c>
      <c r="AF316" t="s">
        <v>279</v>
      </c>
      <c r="AG316" t="s">
        <v>280</v>
      </c>
      <c r="AH316" t="s">
        <v>405</v>
      </c>
      <c r="AI316" s="6">
        <v>65</v>
      </c>
      <c r="AJ316" s="6">
        <v>65</v>
      </c>
    </row>
    <row r="317" spans="30:36" x14ac:dyDescent="0.2">
      <c r="AF317" t="s">
        <v>90</v>
      </c>
      <c r="AG317" t="s">
        <v>377</v>
      </c>
      <c r="AH317" t="s">
        <v>405</v>
      </c>
      <c r="AI317" s="6">
        <v>65</v>
      </c>
      <c r="AJ317" s="6">
        <v>65</v>
      </c>
    </row>
    <row r="318" spans="30:36" x14ac:dyDescent="0.2">
      <c r="AH318" t="s">
        <v>412</v>
      </c>
      <c r="AI318" s="6">
        <v>75</v>
      </c>
      <c r="AJ318" s="6">
        <v>65</v>
      </c>
    </row>
    <row r="319" spans="30:36" x14ac:dyDescent="0.2">
      <c r="AF319" t="s">
        <v>36</v>
      </c>
      <c r="AG319" t="s">
        <v>153</v>
      </c>
      <c r="AH319" t="s">
        <v>405</v>
      </c>
      <c r="AI319" s="6">
        <v>60</v>
      </c>
      <c r="AJ319" s="6">
        <v>65</v>
      </c>
    </row>
    <row r="320" spans="30:36" x14ac:dyDescent="0.2">
      <c r="AH320" t="s">
        <v>412</v>
      </c>
      <c r="AI320" s="6">
        <v>50</v>
      </c>
      <c r="AJ320" s="6">
        <v>65</v>
      </c>
    </row>
    <row r="321" spans="31:36" x14ac:dyDescent="0.2">
      <c r="AF321" t="s">
        <v>31</v>
      </c>
      <c r="AG321" t="s">
        <v>158</v>
      </c>
      <c r="AH321" t="s">
        <v>405</v>
      </c>
      <c r="AI321" s="6">
        <v>60</v>
      </c>
      <c r="AJ321" s="6">
        <v>65</v>
      </c>
    </row>
    <row r="322" spans="31:36" x14ac:dyDescent="0.2">
      <c r="AF322" t="s">
        <v>41</v>
      </c>
      <c r="AG322" t="s">
        <v>157</v>
      </c>
      <c r="AH322" t="s">
        <v>405</v>
      </c>
      <c r="AI322" s="6">
        <v>60</v>
      </c>
      <c r="AJ322" s="6">
        <v>65</v>
      </c>
    </row>
    <row r="323" spans="31:36" x14ac:dyDescent="0.2">
      <c r="AH323" t="s">
        <v>412</v>
      </c>
      <c r="AI323" s="6">
        <v>55</v>
      </c>
      <c r="AJ323" s="6">
        <v>65</v>
      </c>
    </row>
    <row r="324" spans="31:36" x14ac:dyDescent="0.2">
      <c r="AE324" t="s">
        <v>49</v>
      </c>
      <c r="AF324" t="s">
        <v>36</v>
      </c>
      <c r="AG324" t="s">
        <v>37</v>
      </c>
      <c r="AH324" t="s">
        <v>412</v>
      </c>
      <c r="AI324" s="6">
        <v>78.5</v>
      </c>
      <c r="AJ324" s="6">
        <v>65</v>
      </c>
    </row>
    <row r="325" spans="31:36" x14ac:dyDescent="0.2">
      <c r="AF325" t="s">
        <v>31</v>
      </c>
      <c r="AG325" t="s">
        <v>32</v>
      </c>
      <c r="AH325" t="s">
        <v>405</v>
      </c>
      <c r="AI325" s="6">
        <v>60</v>
      </c>
      <c r="AJ325" s="6">
        <v>65</v>
      </c>
    </row>
    <row r="326" spans="31:36" x14ac:dyDescent="0.2">
      <c r="AF326" t="s">
        <v>41</v>
      </c>
      <c r="AG326" t="s">
        <v>365</v>
      </c>
      <c r="AH326" t="s">
        <v>405</v>
      </c>
      <c r="AI326" s="6">
        <v>65</v>
      </c>
      <c r="AJ326" s="6">
        <v>65</v>
      </c>
    </row>
    <row r="327" spans="31:36" x14ac:dyDescent="0.2">
      <c r="AE327" t="s">
        <v>84</v>
      </c>
      <c r="AF327" t="s">
        <v>90</v>
      </c>
      <c r="AG327" t="s">
        <v>377</v>
      </c>
      <c r="AH327" t="s">
        <v>405</v>
      </c>
      <c r="AI327" s="6">
        <v>65</v>
      </c>
      <c r="AJ327" s="6">
        <v>65</v>
      </c>
    </row>
    <row r="328" spans="31:36" x14ac:dyDescent="0.2">
      <c r="AF328" t="s">
        <v>36</v>
      </c>
      <c r="AG328" t="s">
        <v>37</v>
      </c>
      <c r="AH328" t="s">
        <v>405</v>
      </c>
      <c r="AI328" s="6">
        <v>65.142857142857139</v>
      </c>
      <c r="AJ328" s="6">
        <v>65</v>
      </c>
    </row>
    <row r="329" spans="31:36" x14ac:dyDescent="0.2">
      <c r="AH329" t="s">
        <v>412</v>
      </c>
      <c r="AI329" s="6">
        <v>66.2</v>
      </c>
      <c r="AJ329" s="6">
        <v>65</v>
      </c>
    </row>
    <row r="330" spans="31:36" x14ac:dyDescent="0.2">
      <c r="AE330" t="s">
        <v>339</v>
      </c>
      <c r="AF330" t="s">
        <v>41</v>
      </c>
      <c r="AG330" t="s">
        <v>157</v>
      </c>
      <c r="AH330" t="s">
        <v>405</v>
      </c>
      <c r="AI330" s="6">
        <v>65</v>
      </c>
      <c r="AJ330" s="6">
        <v>65</v>
      </c>
    </row>
    <row r="331" spans="31:36" x14ac:dyDescent="0.2">
      <c r="AH331" t="s">
        <v>412</v>
      </c>
      <c r="AI331" s="6">
        <v>75</v>
      </c>
      <c r="AJ331" s="6">
        <v>65</v>
      </c>
    </row>
    <row r="332" spans="31:36" x14ac:dyDescent="0.2">
      <c r="AG332" t="s">
        <v>272</v>
      </c>
      <c r="AH332" t="s">
        <v>405</v>
      </c>
      <c r="AI332" s="6">
        <v>70</v>
      </c>
      <c r="AJ332" s="6">
        <v>65</v>
      </c>
    </row>
    <row r="333" spans="31:36" x14ac:dyDescent="0.2">
      <c r="AE333" t="s">
        <v>82</v>
      </c>
      <c r="AF333" t="s">
        <v>90</v>
      </c>
      <c r="AG333" t="s">
        <v>92</v>
      </c>
      <c r="AH333" t="s">
        <v>405</v>
      </c>
      <c r="AI333" s="6">
        <v>90</v>
      </c>
      <c r="AJ333" s="6">
        <v>65</v>
      </c>
    </row>
    <row r="334" spans="31:36" x14ac:dyDescent="0.2">
      <c r="AG334" t="s">
        <v>377</v>
      </c>
      <c r="AH334" t="s">
        <v>405</v>
      </c>
      <c r="AI334" s="6">
        <v>75</v>
      </c>
      <c r="AJ334" s="6">
        <v>65</v>
      </c>
    </row>
    <row r="335" spans="31:36" x14ac:dyDescent="0.2">
      <c r="AF335" t="s">
        <v>36</v>
      </c>
      <c r="AG335" t="s">
        <v>37</v>
      </c>
      <c r="AH335" t="s">
        <v>405</v>
      </c>
      <c r="AI335" s="6">
        <v>48</v>
      </c>
      <c r="AJ335" s="6">
        <v>65</v>
      </c>
    </row>
    <row r="336" spans="31:36" x14ac:dyDescent="0.2">
      <c r="AH336" t="s">
        <v>412</v>
      </c>
      <c r="AI336" s="6">
        <v>49.333333333333336</v>
      </c>
      <c r="AJ336" s="6">
        <v>65</v>
      </c>
    </row>
    <row r="337" spans="30:36" x14ac:dyDescent="0.2">
      <c r="AF337" t="s">
        <v>31</v>
      </c>
      <c r="AG337" t="s">
        <v>32</v>
      </c>
      <c r="AH337" t="s">
        <v>405</v>
      </c>
      <c r="AI337" s="6">
        <v>10</v>
      </c>
      <c r="AJ337" s="6">
        <v>65</v>
      </c>
    </row>
    <row r="338" spans="30:36" x14ac:dyDescent="0.2">
      <c r="AF338" t="s">
        <v>41</v>
      </c>
      <c r="AG338" t="s">
        <v>157</v>
      </c>
      <c r="AH338" t="s">
        <v>405</v>
      </c>
      <c r="AI338" s="6">
        <v>86</v>
      </c>
      <c r="AJ338" s="6">
        <v>65</v>
      </c>
    </row>
    <row r="339" spans="30:36" x14ac:dyDescent="0.2">
      <c r="AG339" t="s">
        <v>365</v>
      </c>
      <c r="AH339" t="s">
        <v>405</v>
      </c>
      <c r="AI339" s="6">
        <v>10</v>
      </c>
      <c r="AJ339" s="6">
        <v>65</v>
      </c>
    </row>
    <row r="340" spans="30:36" x14ac:dyDescent="0.2">
      <c r="AH340" t="s">
        <v>412</v>
      </c>
      <c r="AI340" s="6">
        <v>65</v>
      </c>
      <c r="AJ340" s="6">
        <v>65</v>
      </c>
    </row>
    <row r="341" spans="30:36" x14ac:dyDescent="0.2">
      <c r="AD341" t="s">
        <v>94</v>
      </c>
      <c r="AE341" t="s">
        <v>81</v>
      </c>
      <c r="AF341" t="s">
        <v>279</v>
      </c>
      <c r="AG341" t="s">
        <v>280</v>
      </c>
      <c r="AH341" t="s">
        <v>405</v>
      </c>
      <c r="AI341" s="6">
        <v>68.75</v>
      </c>
      <c r="AJ341" s="6">
        <v>65</v>
      </c>
    </row>
    <row r="342" spans="30:36" x14ac:dyDescent="0.2">
      <c r="AH342" t="s">
        <v>412</v>
      </c>
      <c r="AI342" s="6">
        <v>70</v>
      </c>
      <c r="AJ342" s="6">
        <v>65</v>
      </c>
    </row>
    <row r="343" spans="30:36" x14ac:dyDescent="0.2">
      <c r="AF343" t="s">
        <v>90</v>
      </c>
      <c r="AG343" t="s">
        <v>92</v>
      </c>
      <c r="AH343" t="s">
        <v>405</v>
      </c>
      <c r="AI343" s="6">
        <v>70</v>
      </c>
      <c r="AJ343" s="6">
        <v>65</v>
      </c>
    </row>
    <row r="344" spans="30:36" x14ac:dyDescent="0.2">
      <c r="AH344" t="s">
        <v>412</v>
      </c>
      <c r="AI344" s="6">
        <v>72.5</v>
      </c>
      <c r="AJ344" s="6">
        <v>65</v>
      </c>
    </row>
    <row r="345" spans="30:36" x14ac:dyDescent="0.2">
      <c r="AF345" t="s">
        <v>36</v>
      </c>
      <c r="AG345" t="s">
        <v>37</v>
      </c>
      <c r="AH345" t="s">
        <v>405</v>
      </c>
      <c r="AI345" s="6">
        <v>73.5</v>
      </c>
      <c r="AJ345" s="6">
        <v>65</v>
      </c>
    </row>
    <row r="346" spans="30:36" x14ac:dyDescent="0.2">
      <c r="AH346" t="s">
        <v>412</v>
      </c>
      <c r="AI346" s="6">
        <v>71.666666666666671</v>
      </c>
      <c r="AJ346" s="6">
        <v>65</v>
      </c>
    </row>
    <row r="347" spans="30:36" x14ac:dyDescent="0.2">
      <c r="AG347" t="s">
        <v>362</v>
      </c>
      <c r="AH347" t="s">
        <v>405</v>
      </c>
      <c r="AI347" s="6">
        <v>33</v>
      </c>
      <c r="AJ347" s="6">
        <v>65</v>
      </c>
    </row>
    <row r="348" spans="30:36" x14ac:dyDescent="0.2">
      <c r="AF348" t="s">
        <v>31</v>
      </c>
      <c r="AG348" t="s">
        <v>96</v>
      </c>
      <c r="AH348" t="s">
        <v>405</v>
      </c>
      <c r="AI348" s="6">
        <v>68.666666666666671</v>
      </c>
      <c r="AJ348" s="6">
        <v>65</v>
      </c>
    </row>
    <row r="349" spans="30:36" x14ac:dyDescent="0.2">
      <c r="AH349" t="s">
        <v>412</v>
      </c>
      <c r="AI349" s="6">
        <v>69.666666666666671</v>
      </c>
      <c r="AJ349" s="6">
        <v>65</v>
      </c>
    </row>
    <row r="350" spans="30:36" x14ac:dyDescent="0.2">
      <c r="AG350" t="s">
        <v>32</v>
      </c>
      <c r="AH350" t="s">
        <v>405</v>
      </c>
      <c r="AI350" s="6">
        <v>68</v>
      </c>
      <c r="AJ350" s="6">
        <v>65</v>
      </c>
    </row>
    <row r="351" spans="30:36" x14ac:dyDescent="0.2">
      <c r="AE351" t="s">
        <v>38</v>
      </c>
      <c r="AF351" t="s">
        <v>36</v>
      </c>
      <c r="AG351" t="s">
        <v>37</v>
      </c>
      <c r="AH351" t="s">
        <v>405</v>
      </c>
      <c r="AI351" s="6">
        <v>99</v>
      </c>
      <c r="AJ351" s="6">
        <v>65</v>
      </c>
    </row>
    <row r="352" spans="30:36" x14ac:dyDescent="0.2">
      <c r="AE352" t="s">
        <v>88</v>
      </c>
      <c r="AF352" t="s">
        <v>279</v>
      </c>
      <c r="AG352" t="s">
        <v>280</v>
      </c>
      <c r="AH352" t="s">
        <v>405</v>
      </c>
      <c r="AI352" s="6">
        <v>65</v>
      </c>
      <c r="AJ352" s="6">
        <v>65</v>
      </c>
    </row>
    <row r="353" spans="31:36" x14ac:dyDescent="0.2">
      <c r="AF353" t="s">
        <v>90</v>
      </c>
      <c r="AG353" t="s">
        <v>377</v>
      </c>
      <c r="AH353" t="s">
        <v>405</v>
      </c>
      <c r="AI353" s="6">
        <v>70</v>
      </c>
      <c r="AJ353" s="6">
        <v>65</v>
      </c>
    </row>
    <row r="354" spans="31:36" x14ac:dyDescent="0.2">
      <c r="AH354" t="s">
        <v>412</v>
      </c>
      <c r="AI354" s="6">
        <v>75</v>
      </c>
      <c r="AJ354" s="6">
        <v>65</v>
      </c>
    </row>
    <row r="355" spans="31:36" x14ac:dyDescent="0.2">
      <c r="AF355" t="s">
        <v>36</v>
      </c>
      <c r="AG355" t="s">
        <v>153</v>
      </c>
      <c r="AH355" t="s">
        <v>405</v>
      </c>
      <c r="AI355" s="6">
        <v>62.5</v>
      </c>
      <c r="AJ355" s="6">
        <v>65</v>
      </c>
    </row>
    <row r="356" spans="31:36" x14ac:dyDescent="0.2">
      <c r="AH356" t="s">
        <v>412</v>
      </c>
      <c r="AI356" s="6">
        <v>60</v>
      </c>
      <c r="AJ356" s="6">
        <v>65</v>
      </c>
    </row>
    <row r="357" spans="31:36" x14ac:dyDescent="0.2">
      <c r="AF357" t="s">
        <v>31</v>
      </c>
      <c r="AG357" t="s">
        <v>158</v>
      </c>
      <c r="AH357" t="s">
        <v>405</v>
      </c>
      <c r="AI357" s="6">
        <v>60</v>
      </c>
      <c r="AJ357" s="6">
        <v>65</v>
      </c>
    </row>
    <row r="358" spans="31:36" x14ac:dyDescent="0.2">
      <c r="AF358" t="s">
        <v>41</v>
      </c>
      <c r="AG358" t="s">
        <v>157</v>
      </c>
      <c r="AH358" t="s">
        <v>405</v>
      </c>
      <c r="AI358" s="6">
        <v>62.5</v>
      </c>
      <c r="AJ358" s="6">
        <v>65</v>
      </c>
    </row>
    <row r="359" spans="31:36" x14ac:dyDescent="0.2">
      <c r="AH359" t="s">
        <v>412</v>
      </c>
      <c r="AI359" s="6">
        <v>63</v>
      </c>
      <c r="AJ359" s="6">
        <v>65</v>
      </c>
    </row>
    <row r="360" spans="31:36" x14ac:dyDescent="0.2">
      <c r="AE360" t="s">
        <v>49</v>
      </c>
      <c r="AF360" t="s">
        <v>36</v>
      </c>
      <c r="AG360" t="s">
        <v>37</v>
      </c>
      <c r="AH360" t="s">
        <v>412</v>
      </c>
      <c r="AI360" s="6">
        <v>78.5</v>
      </c>
      <c r="AJ360" s="6">
        <v>65</v>
      </c>
    </row>
    <row r="361" spans="31:36" x14ac:dyDescent="0.2">
      <c r="AF361" t="s">
        <v>31</v>
      </c>
      <c r="AG361" t="s">
        <v>32</v>
      </c>
      <c r="AH361" t="s">
        <v>405</v>
      </c>
      <c r="AI361" s="6">
        <v>70</v>
      </c>
      <c r="AJ361" s="6">
        <v>65</v>
      </c>
    </row>
    <row r="362" spans="31:36" x14ac:dyDescent="0.2">
      <c r="AF362" t="s">
        <v>41</v>
      </c>
      <c r="AG362" t="s">
        <v>365</v>
      </c>
      <c r="AH362" t="s">
        <v>405</v>
      </c>
      <c r="AI362" s="6">
        <v>65</v>
      </c>
      <c r="AJ362" s="6">
        <v>65</v>
      </c>
    </row>
    <row r="363" spans="31:36" x14ac:dyDescent="0.2">
      <c r="AE363" t="s">
        <v>84</v>
      </c>
      <c r="AF363" t="s">
        <v>90</v>
      </c>
      <c r="AG363" t="s">
        <v>377</v>
      </c>
      <c r="AH363" t="s">
        <v>405</v>
      </c>
      <c r="AI363" s="6">
        <v>65</v>
      </c>
      <c r="AJ363" s="6">
        <v>65</v>
      </c>
    </row>
    <row r="364" spans="31:36" x14ac:dyDescent="0.2">
      <c r="AF364" t="s">
        <v>36</v>
      </c>
      <c r="AG364" t="s">
        <v>37</v>
      </c>
      <c r="AH364" t="s">
        <v>405</v>
      </c>
      <c r="AI364" s="6">
        <v>46</v>
      </c>
      <c r="AJ364" s="6">
        <v>65</v>
      </c>
    </row>
    <row r="365" spans="31:36" x14ac:dyDescent="0.2">
      <c r="AH365" t="s">
        <v>412</v>
      </c>
      <c r="AI365" s="6">
        <v>75.8</v>
      </c>
      <c r="AJ365" s="6">
        <v>65</v>
      </c>
    </row>
    <row r="366" spans="31:36" x14ac:dyDescent="0.2">
      <c r="AE366" t="s">
        <v>82</v>
      </c>
      <c r="AF366" t="s">
        <v>90</v>
      </c>
      <c r="AG366" t="s">
        <v>92</v>
      </c>
      <c r="AH366" t="s">
        <v>405</v>
      </c>
      <c r="AI366" s="6">
        <v>90</v>
      </c>
      <c r="AJ366" s="6">
        <v>65</v>
      </c>
    </row>
    <row r="367" spans="31:36" x14ac:dyDescent="0.2">
      <c r="AG367" t="s">
        <v>377</v>
      </c>
      <c r="AH367" t="s">
        <v>405</v>
      </c>
      <c r="AI367" s="6">
        <v>100</v>
      </c>
      <c r="AJ367" s="6">
        <v>65</v>
      </c>
    </row>
    <row r="368" spans="31:36" x14ac:dyDescent="0.2">
      <c r="AF368" t="s">
        <v>36</v>
      </c>
      <c r="AG368" t="s">
        <v>37</v>
      </c>
      <c r="AH368" t="s">
        <v>405</v>
      </c>
      <c r="AI368" s="6">
        <v>70.333333333333329</v>
      </c>
      <c r="AJ368" s="6">
        <v>65</v>
      </c>
    </row>
    <row r="369" spans="30:36" x14ac:dyDescent="0.2">
      <c r="AH369" t="s">
        <v>412</v>
      </c>
      <c r="AI369" s="6">
        <v>52</v>
      </c>
      <c r="AJ369" s="6">
        <v>65</v>
      </c>
    </row>
    <row r="370" spans="30:36" x14ac:dyDescent="0.2">
      <c r="AF370" t="s">
        <v>31</v>
      </c>
      <c r="AG370" t="s">
        <v>32</v>
      </c>
      <c r="AH370" t="s">
        <v>405</v>
      </c>
      <c r="AI370" s="6">
        <v>32</v>
      </c>
      <c r="AJ370" s="6">
        <v>65</v>
      </c>
    </row>
    <row r="371" spans="30:36" x14ac:dyDescent="0.2">
      <c r="AF371" t="s">
        <v>41</v>
      </c>
      <c r="AG371" t="s">
        <v>157</v>
      </c>
      <c r="AH371" t="s">
        <v>405</v>
      </c>
      <c r="AI371" s="6">
        <v>100</v>
      </c>
      <c r="AJ371" s="6">
        <v>65</v>
      </c>
    </row>
    <row r="372" spans="30:36" x14ac:dyDescent="0.2">
      <c r="AG372" t="s">
        <v>365</v>
      </c>
      <c r="AH372" t="s">
        <v>405</v>
      </c>
      <c r="AI372" s="6">
        <v>32</v>
      </c>
      <c r="AJ372" s="6">
        <v>65</v>
      </c>
    </row>
    <row r="373" spans="30:36" x14ac:dyDescent="0.2">
      <c r="AH373" t="s">
        <v>412</v>
      </c>
      <c r="AI373" s="6">
        <v>60</v>
      </c>
      <c r="AJ373" s="6">
        <v>65</v>
      </c>
    </row>
    <row r="374" spans="30:36" x14ac:dyDescent="0.2">
      <c r="AD374" t="s">
        <v>283</v>
      </c>
      <c r="AE374" t="s">
        <v>38</v>
      </c>
      <c r="AF374" t="s">
        <v>36</v>
      </c>
      <c r="AG374" t="s">
        <v>37</v>
      </c>
      <c r="AH374" t="s">
        <v>405</v>
      </c>
      <c r="AI374" s="6">
        <v>40</v>
      </c>
      <c r="AJ374" s="6">
        <v>65</v>
      </c>
    </row>
    <row r="375" spans="30:36" x14ac:dyDescent="0.2">
      <c r="AE375" t="s">
        <v>88</v>
      </c>
      <c r="AF375" t="s">
        <v>279</v>
      </c>
      <c r="AG375" t="s">
        <v>280</v>
      </c>
      <c r="AH375" t="s">
        <v>405</v>
      </c>
      <c r="AI375" s="6">
        <v>65</v>
      </c>
      <c r="AJ375" s="6">
        <v>65</v>
      </c>
    </row>
    <row r="376" spans="30:36" x14ac:dyDescent="0.2">
      <c r="AF376" t="s">
        <v>90</v>
      </c>
      <c r="AG376" t="s">
        <v>377</v>
      </c>
      <c r="AH376" t="s">
        <v>405</v>
      </c>
      <c r="AI376" s="6">
        <v>70</v>
      </c>
      <c r="AJ376" s="6">
        <v>65</v>
      </c>
    </row>
    <row r="377" spans="30:36" x14ac:dyDescent="0.2">
      <c r="AF377" t="s">
        <v>36</v>
      </c>
      <c r="AG377" t="s">
        <v>153</v>
      </c>
      <c r="AH377" t="s">
        <v>405</v>
      </c>
      <c r="AI377" s="6">
        <v>60</v>
      </c>
      <c r="AJ377" s="6">
        <v>65</v>
      </c>
    </row>
    <row r="378" spans="30:36" x14ac:dyDescent="0.2">
      <c r="AF378" t="s">
        <v>31</v>
      </c>
      <c r="AG378" t="s">
        <v>158</v>
      </c>
      <c r="AH378" t="s">
        <v>405</v>
      </c>
      <c r="AI378" s="6">
        <v>60</v>
      </c>
      <c r="AJ378" s="6">
        <v>65</v>
      </c>
    </row>
    <row r="379" spans="30:36" x14ac:dyDescent="0.2">
      <c r="AF379" t="s">
        <v>41</v>
      </c>
      <c r="AG379" t="s">
        <v>157</v>
      </c>
      <c r="AH379" t="s">
        <v>405</v>
      </c>
      <c r="AI379" s="6">
        <v>60</v>
      </c>
      <c r="AJ379" s="6">
        <v>65</v>
      </c>
    </row>
    <row r="380" spans="30:36" x14ac:dyDescent="0.2">
      <c r="AE380" t="s">
        <v>49</v>
      </c>
      <c r="AF380" t="s">
        <v>36</v>
      </c>
      <c r="AG380" t="s">
        <v>37</v>
      </c>
      <c r="AH380" t="s">
        <v>412</v>
      </c>
      <c r="AI380" s="6">
        <v>66</v>
      </c>
      <c r="AJ380" s="6">
        <v>65</v>
      </c>
    </row>
    <row r="381" spans="30:36" x14ac:dyDescent="0.2">
      <c r="AF381" t="s">
        <v>31</v>
      </c>
      <c r="AG381" t="s">
        <v>32</v>
      </c>
      <c r="AH381" t="s">
        <v>405</v>
      </c>
      <c r="AI381" s="6">
        <v>70</v>
      </c>
      <c r="AJ381" s="6">
        <v>65</v>
      </c>
    </row>
    <row r="382" spans="30:36" x14ac:dyDescent="0.2">
      <c r="AF382" t="s">
        <v>41</v>
      </c>
      <c r="AG382" t="s">
        <v>365</v>
      </c>
      <c r="AH382" t="s">
        <v>405</v>
      </c>
      <c r="AI382" s="6">
        <v>65</v>
      </c>
      <c r="AJ382" s="6">
        <v>65</v>
      </c>
    </row>
    <row r="383" spans="30:36" x14ac:dyDescent="0.2">
      <c r="AE383" t="s">
        <v>84</v>
      </c>
      <c r="AF383" t="s">
        <v>36</v>
      </c>
      <c r="AG383" t="s">
        <v>37</v>
      </c>
      <c r="AH383" t="s">
        <v>405</v>
      </c>
      <c r="AI383" s="6">
        <v>70</v>
      </c>
      <c r="AJ383" s="6">
        <v>65</v>
      </c>
    </row>
    <row r="384" spans="30:36" x14ac:dyDescent="0.2">
      <c r="AE384" t="s">
        <v>339</v>
      </c>
      <c r="AF384" t="s">
        <v>41</v>
      </c>
      <c r="AG384" t="s">
        <v>157</v>
      </c>
      <c r="AH384" t="s">
        <v>405</v>
      </c>
      <c r="AI384" s="6">
        <v>65</v>
      </c>
      <c r="AJ384" s="6">
        <v>65</v>
      </c>
    </row>
    <row r="385" spans="31:36" x14ac:dyDescent="0.2">
      <c r="AG385" t="s">
        <v>272</v>
      </c>
      <c r="AH385" t="s">
        <v>405</v>
      </c>
      <c r="AI385" s="6">
        <v>74</v>
      </c>
      <c r="AJ385" s="6">
        <v>65</v>
      </c>
    </row>
    <row r="386" spans="31:36" x14ac:dyDescent="0.2">
      <c r="AE386" t="s">
        <v>82</v>
      </c>
      <c r="AF386" t="s">
        <v>90</v>
      </c>
      <c r="AG386" t="s">
        <v>92</v>
      </c>
      <c r="AH386" t="s">
        <v>405</v>
      </c>
      <c r="AI386" s="6">
        <v>30</v>
      </c>
      <c r="AJ386" s="6">
        <v>65</v>
      </c>
    </row>
    <row r="387" spans="31:36" x14ac:dyDescent="0.2">
      <c r="AG387" t="s">
        <v>377</v>
      </c>
      <c r="AH387" t="s">
        <v>405</v>
      </c>
      <c r="AI387" s="6">
        <v>25</v>
      </c>
      <c r="AJ387" s="6">
        <v>65</v>
      </c>
    </row>
    <row r="388" spans="31:36" x14ac:dyDescent="0.2">
      <c r="AF388" t="s">
        <v>36</v>
      </c>
      <c r="AG388" t="s">
        <v>37</v>
      </c>
      <c r="AH388" t="s">
        <v>405</v>
      </c>
      <c r="AI388" s="6">
        <v>21</v>
      </c>
      <c r="AJ388" s="6">
        <v>65</v>
      </c>
    </row>
    <row r="389" spans="31:36" x14ac:dyDescent="0.2">
      <c r="AF389" t="s">
        <v>31</v>
      </c>
      <c r="AG389" t="s">
        <v>32</v>
      </c>
      <c r="AH389" t="s">
        <v>405</v>
      </c>
      <c r="AI389" s="6">
        <v>32</v>
      </c>
      <c r="AJ389" s="6">
        <v>65</v>
      </c>
    </row>
    <row r="390" spans="31:36" x14ac:dyDescent="0.2">
      <c r="AF390" t="s">
        <v>41</v>
      </c>
      <c r="AG390" t="s">
        <v>157</v>
      </c>
      <c r="AH390" t="s">
        <v>405</v>
      </c>
      <c r="AI390" s="6">
        <v>10</v>
      </c>
      <c r="AJ390" s="6">
        <v>65</v>
      </c>
    </row>
    <row r="391" spans="31:36" x14ac:dyDescent="0.2">
      <c r="AG391" t="s">
        <v>365</v>
      </c>
      <c r="AH391" t="s">
        <v>405</v>
      </c>
      <c r="AI391" s="6">
        <v>32</v>
      </c>
      <c r="AJ391" s="6">
        <v>65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H49"/>
  <sheetViews>
    <sheetView showGridLines="0" topLeftCell="G1" zoomScale="90" zoomScaleNormal="90" workbookViewId="0">
      <selection activeCell="H13" sqref="H13"/>
    </sheetView>
  </sheetViews>
  <sheetFormatPr baseColWidth="10" defaultColWidth="11.5" defaultRowHeight="15" x14ac:dyDescent="0.2"/>
  <cols>
    <col min="1" max="1" width="9.5" bestFit="1" customWidth="1"/>
    <col min="2" max="2" width="9" bestFit="1" customWidth="1"/>
    <col min="3" max="3" width="7.83203125" bestFit="1" customWidth="1"/>
    <col min="4" max="4" width="17.83203125" bestFit="1" customWidth="1"/>
    <col min="5" max="5" width="21.1640625" bestFit="1" customWidth="1"/>
    <col min="6" max="6" width="6.33203125" bestFit="1" customWidth="1"/>
    <col min="7" max="7" width="6.6640625" bestFit="1" customWidth="1"/>
    <col min="8" max="8" width="9" bestFit="1" customWidth="1"/>
    <col min="9" max="9" width="6.83203125" bestFit="1" customWidth="1"/>
    <col min="10" max="13" width="9" customWidth="1"/>
    <col min="14" max="21" width="20.1640625" bestFit="1" customWidth="1"/>
    <col min="22" max="22" width="10" bestFit="1" customWidth="1"/>
    <col min="26" max="31" width="5.83203125" customWidth="1"/>
    <col min="32" max="32" width="6.1640625" bestFit="1" customWidth="1"/>
    <col min="33" max="33" width="6.33203125" bestFit="1" customWidth="1"/>
    <col min="34" max="34" width="9" bestFit="1" customWidth="1"/>
    <col min="35" max="35" width="7.5" bestFit="1" customWidth="1"/>
    <col min="36" max="36" width="7.6640625" bestFit="1" customWidth="1"/>
    <col min="37" max="37" width="7.5" bestFit="1" customWidth="1"/>
    <col min="38" max="38" width="8.6640625" bestFit="1" customWidth="1"/>
    <col min="39" max="40" width="7.5" bestFit="1" customWidth="1"/>
    <col min="41" max="41" width="8.1640625" bestFit="1" customWidth="1"/>
    <col min="42" max="42" width="7.5" bestFit="1" customWidth="1"/>
    <col min="43" max="43" width="8" bestFit="1" customWidth="1"/>
    <col min="55" max="55" width="24.5" bestFit="1" customWidth="1"/>
    <col min="56" max="56" width="21.1640625" bestFit="1" customWidth="1"/>
    <col min="57" max="57" width="6.33203125" bestFit="1" customWidth="1"/>
    <col min="58" max="58" width="6.6640625" bestFit="1" customWidth="1"/>
    <col min="59" max="59" width="9" bestFit="1" customWidth="1"/>
    <col min="60" max="60" width="6.83203125" bestFit="1" customWidth="1"/>
    <col min="61" max="63" width="7" bestFit="1" customWidth="1"/>
    <col min="64" max="64" width="7.83203125" bestFit="1" customWidth="1"/>
  </cols>
  <sheetData>
    <row r="1" spans="1:60" x14ac:dyDescent="0.2">
      <c r="AY1" s="3" t="s">
        <v>123</v>
      </c>
      <c r="BD1" s="3" t="s">
        <v>9</v>
      </c>
    </row>
    <row r="2" spans="1:60" x14ac:dyDescent="0.2">
      <c r="AY2" s="3" t="s">
        <v>15</v>
      </c>
      <c r="AZ2" s="3" t="s">
        <v>16</v>
      </c>
      <c r="BA2" s="3" t="s">
        <v>7</v>
      </c>
      <c r="BB2" s="3" t="s">
        <v>131</v>
      </c>
      <c r="BC2" s="3" t="s">
        <v>17</v>
      </c>
      <c r="BD2" s="6" t="s">
        <v>41</v>
      </c>
      <c r="BE2" s="6" t="s">
        <v>36</v>
      </c>
      <c r="BF2" s="6" t="s">
        <v>31</v>
      </c>
      <c r="BG2" s="6" t="s">
        <v>90</v>
      </c>
      <c r="BH2" s="6" t="s">
        <v>279</v>
      </c>
    </row>
    <row r="3" spans="1:60" x14ac:dyDescent="0.2">
      <c r="A3" s="3" t="s">
        <v>123</v>
      </c>
      <c r="E3" s="3" t="s">
        <v>9</v>
      </c>
      <c r="AY3" t="s">
        <v>281</v>
      </c>
      <c r="AZ3" t="s">
        <v>155</v>
      </c>
      <c r="BA3" t="s">
        <v>405</v>
      </c>
      <c r="BB3" t="s">
        <v>466</v>
      </c>
      <c r="BC3" t="s">
        <v>273</v>
      </c>
      <c r="BD3" s="6">
        <v>67.583333333333329</v>
      </c>
      <c r="BE3" s="6">
        <v>58.5</v>
      </c>
      <c r="BF3" s="6"/>
      <c r="BG3" s="6">
        <v>71.25</v>
      </c>
      <c r="BH3" s="6"/>
    </row>
    <row r="4" spans="1:60" x14ac:dyDescent="0.2">
      <c r="A4" s="3" t="s">
        <v>15</v>
      </c>
      <c r="B4" s="3" t="s">
        <v>7</v>
      </c>
      <c r="C4" s="3" t="s">
        <v>131</v>
      </c>
      <c r="D4" s="3" t="s">
        <v>16</v>
      </c>
      <c r="E4" s="6" t="s">
        <v>41</v>
      </c>
      <c r="F4" s="6" t="s">
        <v>36</v>
      </c>
      <c r="G4" s="6" t="s">
        <v>31</v>
      </c>
      <c r="H4" s="6" t="s">
        <v>90</v>
      </c>
      <c r="I4" s="6" t="s">
        <v>279</v>
      </c>
      <c r="BC4" t="s">
        <v>302</v>
      </c>
      <c r="BD4" s="6">
        <v>67.5</v>
      </c>
      <c r="BE4" s="6"/>
      <c r="BF4" s="6"/>
      <c r="BG4" s="6"/>
      <c r="BH4" s="6"/>
    </row>
    <row r="5" spans="1:60" x14ac:dyDescent="0.2">
      <c r="A5" t="s">
        <v>281</v>
      </c>
      <c r="B5" t="s">
        <v>405</v>
      </c>
      <c r="C5" t="s">
        <v>466</v>
      </c>
      <c r="D5" t="s">
        <v>155</v>
      </c>
      <c r="E5" s="6">
        <v>67.555555555555557</v>
      </c>
      <c r="F5" s="6">
        <v>58.5</v>
      </c>
      <c r="G5" s="6"/>
      <c r="H5" s="6">
        <v>71.25</v>
      </c>
      <c r="I5" s="6"/>
      <c r="BB5" t="s">
        <v>461</v>
      </c>
      <c r="BC5" t="s">
        <v>273</v>
      </c>
      <c r="BD5" s="6">
        <v>90</v>
      </c>
      <c r="BE5" s="6">
        <v>61.14</v>
      </c>
      <c r="BF5" s="6">
        <v>63.272727272727273</v>
      </c>
      <c r="BG5" s="6">
        <v>69.545454545454547</v>
      </c>
      <c r="BH5" s="6">
        <v>69.090909090909093</v>
      </c>
    </row>
    <row r="6" spans="1:60" x14ac:dyDescent="0.2">
      <c r="D6" t="s">
        <v>328</v>
      </c>
      <c r="E6" s="6"/>
      <c r="F6" s="6"/>
      <c r="G6" s="6">
        <v>71.111111111111114</v>
      </c>
      <c r="H6" s="6"/>
      <c r="I6" s="6"/>
      <c r="BC6" t="s">
        <v>302</v>
      </c>
      <c r="BD6" s="6"/>
      <c r="BE6" s="6">
        <v>70.61904761904762</v>
      </c>
      <c r="BF6" s="6">
        <v>69.695652173913047</v>
      </c>
      <c r="BG6" s="6">
        <v>79.652173913043484</v>
      </c>
      <c r="BH6" s="6">
        <v>70.826086956521735</v>
      </c>
    </row>
    <row r="7" spans="1:60" x14ac:dyDescent="0.2">
      <c r="C7" t="s">
        <v>461</v>
      </c>
      <c r="D7" t="s">
        <v>155</v>
      </c>
      <c r="E7" s="6">
        <v>90</v>
      </c>
      <c r="F7" s="6">
        <v>65.467391304347828</v>
      </c>
      <c r="G7" s="6">
        <v>66.555555555555557</v>
      </c>
      <c r="H7" s="6">
        <v>76.382352941176464</v>
      </c>
      <c r="I7" s="6">
        <v>70.264705882352942</v>
      </c>
      <c r="BB7" t="s">
        <v>462</v>
      </c>
      <c r="BC7" t="s">
        <v>273</v>
      </c>
      <c r="BD7" s="6">
        <v>55.333333333333336</v>
      </c>
      <c r="BE7" s="6">
        <v>64.522727272727266</v>
      </c>
      <c r="BF7" s="6">
        <v>47.409090909090907</v>
      </c>
      <c r="BG7" s="6">
        <v>82.647058823529406</v>
      </c>
      <c r="BH7" s="6">
        <v>70</v>
      </c>
    </row>
    <row r="8" spans="1:60" x14ac:dyDescent="0.2">
      <c r="D8" t="s">
        <v>328</v>
      </c>
      <c r="E8" s="6">
        <v>65.740740740740748</v>
      </c>
      <c r="F8" s="6">
        <v>69.544117647058826</v>
      </c>
      <c r="G8" s="6">
        <v>67.333333333333329</v>
      </c>
      <c r="H8" s="6">
        <v>75.259259259259252</v>
      </c>
      <c r="I8" s="6">
        <v>74.5</v>
      </c>
      <c r="BC8" t="s">
        <v>302</v>
      </c>
      <c r="BD8" s="6"/>
      <c r="BE8" s="6">
        <v>61.415094339622641</v>
      </c>
      <c r="BF8" s="6">
        <v>66</v>
      </c>
      <c r="BG8" s="6">
        <v>76.666666666666671</v>
      </c>
      <c r="BH8" s="6">
        <v>69.318181818181813</v>
      </c>
    </row>
    <row r="9" spans="1:60" x14ac:dyDescent="0.2">
      <c r="C9" t="s">
        <v>462</v>
      </c>
      <c r="D9" t="s">
        <v>155</v>
      </c>
      <c r="E9" s="6">
        <v>55.333333333333336</v>
      </c>
      <c r="F9" s="6">
        <v>62.824742268041234</v>
      </c>
      <c r="G9" s="6">
        <v>56.704545454545453</v>
      </c>
      <c r="H9" s="6">
        <v>78.389830508474574</v>
      </c>
      <c r="I9" s="6">
        <v>69.545454545454547</v>
      </c>
      <c r="BB9" t="s">
        <v>463</v>
      </c>
      <c r="BC9" t="s">
        <v>273</v>
      </c>
      <c r="BD9" s="6">
        <v>73.875</v>
      </c>
      <c r="BE9" s="6">
        <v>59.941176470588232</v>
      </c>
      <c r="BF9" s="6"/>
      <c r="BG9" s="6">
        <v>70.416666666666671</v>
      </c>
      <c r="BH9" s="6"/>
    </row>
    <row r="10" spans="1:60" x14ac:dyDescent="0.2">
      <c r="D10" t="s">
        <v>328</v>
      </c>
      <c r="E10" s="6">
        <v>84</v>
      </c>
      <c r="F10" s="6">
        <v>75.393442622950815</v>
      </c>
      <c r="G10" s="6">
        <v>67.407407407407405</v>
      </c>
      <c r="H10" s="6">
        <v>77.333333333333329</v>
      </c>
      <c r="I10" s="6">
        <v>72.666666666666671</v>
      </c>
      <c r="BC10" t="s">
        <v>302</v>
      </c>
      <c r="BD10" s="6"/>
      <c r="BE10" s="6">
        <v>68.769230769230774</v>
      </c>
      <c r="BF10" s="6">
        <v>68.068181818181813</v>
      </c>
      <c r="BG10" s="6">
        <v>72.659090909090907</v>
      </c>
      <c r="BH10" s="6">
        <v>69.727272727272734</v>
      </c>
    </row>
    <row r="11" spans="1:60" x14ac:dyDescent="0.2">
      <c r="C11" t="s">
        <v>463</v>
      </c>
      <c r="D11" t="s">
        <v>155</v>
      </c>
      <c r="E11" s="6">
        <v>73.875</v>
      </c>
      <c r="F11" s="6">
        <v>66.594202898550719</v>
      </c>
      <c r="G11" s="6">
        <v>68.068181818181813</v>
      </c>
      <c r="H11" s="6">
        <v>72.178571428571431</v>
      </c>
      <c r="I11" s="6">
        <v>69.727272727272734</v>
      </c>
      <c r="BA11" t="s">
        <v>412</v>
      </c>
      <c r="BB11" t="s">
        <v>464</v>
      </c>
      <c r="BC11" t="s">
        <v>273</v>
      </c>
      <c r="BD11" s="6">
        <v>78</v>
      </c>
      <c r="BE11" s="6">
        <v>76.521739130434781</v>
      </c>
      <c r="BF11" s="6"/>
      <c r="BG11" s="6"/>
      <c r="BH11" s="6"/>
    </row>
    <row r="12" spans="1:60" x14ac:dyDescent="0.2">
      <c r="D12" t="s">
        <v>328</v>
      </c>
      <c r="E12" s="6">
        <v>71.111111111111114</v>
      </c>
      <c r="F12" s="6">
        <v>74.055555555555557</v>
      </c>
      <c r="G12" s="6">
        <v>76.081081081081081</v>
      </c>
      <c r="H12" s="6">
        <v>75.535714285714292</v>
      </c>
      <c r="I12" s="6">
        <v>69.777777777777771</v>
      </c>
      <c r="BC12" t="s">
        <v>302</v>
      </c>
      <c r="BD12" s="6">
        <v>69.956521739130437</v>
      </c>
      <c r="BE12" s="6">
        <v>74.955056179775283</v>
      </c>
      <c r="BF12" s="6">
        <v>74.264705882352942</v>
      </c>
      <c r="BG12" s="6">
        <v>71.257142857142853</v>
      </c>
      <c r="BH12" s="6">
        <v>70.411764705882348</v>
      </c>
    </row>
    <row r="13" spans="1:60" x14ac:dyDescent="0.2">
      <c r="B13" t="s">
        <v>412</v>
      </c>
      <c r="C13" t="s">
        <v>464</v>
      </c>
      <c r="D13" t="s">
        <v>155</v>
      </c>
      <c r="E13" s="6">
        <v>74.063829787234042</v>
      </c>
      <c r="F13" s="6">
        <v>75.276785714285708</v>
      </c>
      <c r="G13" s="6">
        <v>74.264705882352942</v>
      </c>
      <c r="H13" s="6">
        <v>71.257142857142853</v>
      </c>
      <c r="I13" s="6">
        <v>70.411764705882348</v>
      </c>
      <c r="BB13" t="s">
        <v>465</v>
      </c>
      <c r="BC13" t="s">
        <v>273</v>
      </c>
      <c r="BD13" s="6">
        <v>66.659090909090907</v>
      </c>
      <c r="BE13" s="6">
        <v>61.946428571428569</v>
      </c>
      <c r="BF13" s="6">
        <v>78</v>
      </c>
      <c r="BG13" s="6">
        <v>74.545454545454547</v>
      </c>
      <c r="BH13" s="6"/>
    </row>
    <row r="14" spans="1:60" x14ac:dyDescent="0.2">
      <c r="D14" t="s">
        <v>328</v>
      </c>
      <c r="E14" s="6">
        <v>75.333333333333329</v>
      </c>
      <c r="F14" s="6">
        <v>75.907407407407405</v>
      </c>
      <c r="G14" s="6">
        <v>72.5</v>
      </c>
      <c r="H14" s="6">
        <v>76.027777777777771</v>
      </c>
      <c r="I14" s="6">
        <v>70.222222222222229</v>
      </c>
      <c r="BC14" t="s">
        <v>302</v>
      </c>
      <c r="BD14" s="6"/>
      <c r="BE14" s="6">
        <v>66.378787878787875</v>
      </c>
      <c r="BF14" s="6">
        <v>65.63636363636364</v>
      </c>
      <c r="BG14" s="6">
        <v>71.909090909090907</v>
      </c>
      <c r="BH14" s="6">
        <v>69</v>
      </c>
    </row>
    <row r="15" spans="1:60" x14ac:dyDescent="0.2">
      <c r="C15" t="s">
        <v>465</v>
      </c>
      <c r="D15" t="s">
        <v>155</v>
      </c>
      <c r="E15" s="6">
        <v>66.659090909090907</v>
      </c>
      <c r="F15" s="6">
        <v>64.344262295081961</v>
      </c>
      <c r="G15" s="6">
        <v>70</v>
      </c>
      <c r="H15" s="6">
        <v>73.227272727272734</v>
      </c>
      <c r="I15" s="6">
        <v>69</v>
      </c>
      <c r="BB15" t="s">
        <v>467</v>
      </c>
      <c r="BC15" t="s">
        <v>273</v>
      </c>
      <c r="BD15" s="6">
        <v>76.739130434782609</v>
      </c>
      <c r="BE15" s="6">
        <v>75.782608695652172</v>
      </c>
      <c r="BF15" s="6"/>
      <c r="BG15" s="6"/>
      <c r="BH15" s="6"/>
    </row>
    <row r="16" spans="1:60" x14ac:dyDescent="0.2">
      <c r="D16" t="s">
        <v>328</v>
      </c>
      <c r="E16" s="6">
        <v>62.777777777777779</v>
      </c>
      <c r="F16" s="6">
        <v>68.583333333333329</v>
      </c>
      <c r="G16" s="6">
        <v>70.444444444444443</v>
      </c>
      <c r="H16" s="6">
        <v>78.888888888888886</v>
      </c>
      <c r="I16" s="6">
        <v>76.055555555555557</v>
      </c>
      <c r="BC16" t="s">
        <v>302</v>
      </c>
      <c r="BD16" s="6"/>
      <c r="BE16" s="6">
        <v>68</v>
      </c>
      <c r="BF16" s="6">
        <v>66.63636363636364</v>
      </c>
      <c r="BG16" s="6">
        <v>72.045454545454547</v>
      </c>
      <c r="BH16" s="6">
        <v>72.545454545454547</v>
      </c>
    </row>
    <row r="17" spans="3:60" x14ac:dyDescent="0.2">
      <c r="C17" t="s">
        <v>467</v>
      </c>
      <c r="D17" t="s">
        <v>155</v>
      </c>
      <c r="E17" s="6">
        <v>76.739130434782609</v>
      </c>
      <c r="F17" s="6">
        <v>71.977777777777774</v>
      </c>
      <c r="G17" s="6">
        <v>66.63636363636364</v>
      </c>
      <c r="H17" s="6">
        <v>72.045454545454547</v>
      </c>
      <c r="I17" s="6">
        <v>72.545454545454547</v>
      </c>
      <c r="BB17" t="s">
        <v>486</v>
      </c>
      <c r="BC17" t="s">
        <v>273</v>
      </c>
      <c r="BD17" s="6">
        <v>80</v>
      </c>
      <c r="BE17" s="6">
        <v>80</v>
      </c>
      <c r="BF17" s="6"/>
      <c r="BG17" s="6"/>
      <c r="BH17" s="6"/>
    </row>
    <row r="18" spans="3:60" x14ac:dyDescent="0.2">
      <c r="D18" t="s">
        <v>328</v>
      </c>
      <c r="E18" s="6"/>
      <c r="F18" s="6">
        <v>70</v>
      </c>
      <c r="G18" s="6">
        <v>71.111111111111114</v>
      </c>
      <c r="H18" s="6">
        <v>85</v>
      </c>
      <c r="I18" s="6">
        <v>70</v>
      </c>
      <c r="BC18" t="s">
        <v>302</v>
      </c>
      <c r="BD18" s="6"/>
      <c r="BE18" s="6">
        <v>64.599999999999994</v>
      </c>
      <c r="BF18" s="6"/>
      <c r="BG18" s="6"/>
      <c r="BH18" s="6"/>
    </row>
    <row r="19" spans="3:60" x14ac:dyDescent="0.2">
      <c r="C19" t="s">
        <v>486</v>
      </c>
      <c r="D19" t="s">
        <v>155</v>
      </c>
      <c r="E19" s="6">
        <v>80</v>
      </c>
      <c r="F19" s="6">
        <v>72.3</v>
      </c>
      <c r="G19" s="6"/>
      <c r="H19" s="6"/>
      <c r="I19" s="6"/>
    </row>
    <row r="20" spans="3:60" x14ac:dyDescent="0.2">
      <c r="D20" t="s">
        <v>328</v>
      </c>
      <c r="E20" s="6"/>
      <c r="F20" s="6">
        <v>90.333333333333329</v>
      </c>
      <c r="G20" s="6">
        <v>82.222222222222229</v>
      </c>
      <c r="H20" s="6"/>
      <c r="I20" s="6"/>
    </row>
    <row r="41" spans="10:13" x14ac:dyDescent="0.2">
      <c r="J41" s="6"/>
      <c r="K41" s="6"/>
      <c r="L41" s="6"/>
      <c r="M41" s="6"/>
    </row>
    <row r="42" spans="10:13" x14ac:dyDescent="0.2">
      <c r="J42" s="6"/>
      <c r="K42" s="6"/>
      <c r="L42" s="6"/>
      <c r="M42" s="6"/>
    </row>
    <row r="43" spans="10:13" x14ac:dyDescent="0.2">
      <c r="J43" s="6"/>
      <c r="K43" s="6"/>
      <c r="L43" s="6"/>
      <c r="M43" s="6"/>
    </row>
    <row r="44" spans="10:13" x14ac:dyDescent="0.2">
      <c r="J44" s="6"/>
      <c r="K44" s="6"/>
      <c r="L44" s="6"/>
      <c r="M44" s="6"/>
    </row>
    <row r="45" spans="10:13" x14ac:dyDescent="0.2">
      <c r="J45" s="6"/>
      <c r="K45" s="6"/>
      <c r="L45" s="6"/>
      <c r="M45" s="6"/>
    </row>
    <row r="46" spans="10:13" x14ac:dyDescent="0.2">
      <c r="J46" s="6"/>
      <c r="K46" s="6"/>
      <c r="L46" s="6"/>
      <c r="M46" s="6"/>
    </row>
    <row r="47" spans="10:13" x14ac:dyDescent="0.2">
      <c r="J47" s="6"/>
      <c r="K47" s="6"/>
      <c r="L47" s="6"/>
      <c r="M47" s="6"/>
    </row>
    <row r="48" spans="10:13" x14ac:dyDescent="0.2">
      <c r="J48" s="6"/>
      <c r="K48" s="6"/>
      <c r="L48" s="6"/>
      <c r="M48" s="6"/>
    </row>
    <row r="49" spans="10:13" x14ac:dyDescent="0.2">
      <c r="J49" s="6"/>
      <c r="K49" s="6"/>
      <c r="L49" s="6"/>
      <c r="M49" s="6"/>
    </row>
  </sheetData>
  <sortState xmlns:xlrd2="http://schemas.microsoft.com/office/spreadsheetml/2017/richdata2" ref="A3:G15">
    <sortCondition ref="C5"/>
  </sortState>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B103"/>
  <sheetViews>
    <sheetView showGridLines="0" tabSelected="1" topLeftCell="I1" zoomScaleNormal="100" workbookViewId="0">
      <selection activeCell="AC27" sqref="AC27"/>
    </sheetView>
  </sheetViews>
  <sheetFormatPr baseColWidth="10" defaultColWidth="11.5" defaultRowHeight="15" x14ac:dyDescent="0.2"/>
  <cols>
    <col min="1" max="1" width="14.5" bestFit="1" customWidth="1"/>
    <col min="2" max="2" width="7" bestFit="1" customWidth="1"/>
    <col min="3" max="3" width="12.1640625" bestFit="1" customWidth="1"/>
    <col min="4" max="5" width="5.1640625" bestFit="1" customWidth="1"/>
    <col min="6" max="6" width="7.6640625" bestFit="1" customWidth="1"/>
    <col min="7" max="7" width="5.83203125" bestFit="1" customWidth="1"/>
    <col min="8" max="8" width="6.1640625" bestFit="1" customWidth="1"/>
    <col min="9" max="9" width="5.33203125" bestFit="1" customWidth="1"/>
    <col min="10" max="10" width="20.1640625" bestFit="1" customWidth="1"/>
    <col min="11" max="12" width="8.6640625" customWidth="1"/>
    <col min="13" max="13" width="7.5" bestFit="1" customWidth="1"/>
    <col min="14" max="14" width="21.1640625" bestFit="1" customWidth="1"/>
    <col min="15" max="15" width="5.1640625" bestFit="1" customWidth="1"/>
    <col min="16" max="16" width="5.6640625" bestFit="1" customWidth="1"/>
    <col min="17" max="17" width="8.5" bestFit="1" customWidth="1"/>
    <col min="18" max="18" width="6.33203125" bestFit="1" customWidth="1"/>
    <col min="19" max="21" width="7" bestFit="1" customWidth="1"/>
    <col min="22" max="22" width="7.83203125" bestFit="1" customWidth="1"/>
    <col min="33" max="33" width="8.5" customWidth="1"/>
    <col min="35" max="35" width="14.1640625" bestFit="1" customWidth="1"/>
    <col min="36" max="36" width="7.5" bestFit="1" customWidth="1"/>
    <col min="37" max="37" width="21.1640625" bestFit="1" customWidth="1"/>
    <col min="38" max="38" width="6.33203125" bestFit="1" customWidth="1"/>
    <col min="39" max="39" width="6.6640625" bestFit="1" customWidth="1"/>
    <col min="40" max="40" width="9" bestFit="1" customWidth="1"/>
    <col min="41" max="41" width="6.83203125" bestFit="1" customWidth="1"/>
    <col min="42" max="43" width="6.1640625" bestFit="1" customWidth="1"/>
    <col min="44" max="44" width="8.6640625" bestFit="1" customWidth="1"/>
    <col min="45" max="46" width="8.6640625" customWidth="1"/>
    <col min="48" max="48" width="9" bestFit="1" customWidth="1"/>
    <col min="49" max="49" width="7.5" bestFit="1" customWidth="1"/>
    <col min="50" max="50" width="21.1640625" bestFit="1" customWidth="1"/>
    <col min="51" max="51" width="6.33203125" bestFit="1" customWidth="1"/>
    <col min="52" max="52" width="6.6640625" bestFit="1" customWidth="1"/>
    <col min="53" max="53" width="9" bestFit="1" customWidth="1"/>
    <col min="54" max="54" width="6.83203125" bestFit="1" customWidth="1"/>
    <col min="55" max="57" width="7" bestFit="1" customWidth="1"/>
    <col min="58" max="58" width="7.83203125" bestFit="1" customWidth="1"/>
  </cols>
  <sheetData>
    <row r="1" spans="1:54" x14ac:dyDescent="0.2">
      <c r="A1" s="3" t="s">
        <v>2</v>
      </c>
      <c r="B1" t="s">
        <v>54</v>
      </c>
      <c r="AU1" s="3" t="s">
        <v>15</v>
      </c>
      <c r="AV1" t="s">
        <v>281</v>
      </c>
    </row>
    <row r="3" spans="1:54" x14ac:dyDescent="0.2">
      <c r="A3" s="3" t="s">
        <v>276</v>
      </c>
      <c r="C3" s="3" t="s">
        <v>75</v>
      </c>
      <c r="AU3" s="3" t="s">
        <v>123</v>
      </c>
      <c r="AX3" s="3" t="s">
        <v>9</v>
      </c>
    </row>
    <row r="4" spans="1:54" x14ac:dyDescent="0.2">
      <c r="A4" s="3" t="s">
        <v>7</v>
      </c>
      <c r="B4" s="3" t="s">
        <v>131</v>
      </c>
      <c r="C4" t="s">
        <v>41</v>
      </c>
      <c r="D4" t="s">
        <v>36</v>
      </c>
      <c r="E4" t="s">
        <v>31</v>
      </c>
      <c r="F4" t="s">
        <v>90</v>
      </c>
      <c r="G4" t="s">
        <v>279</v>
      </c>
      <c r="H4" t="s">
        <v>81</v>
      </c>
      <c r="I4" t="s">
        <v>84</v>
      </c>
      <c r="AU4" s="3" t="s">
        <v>2</v>
      </c>
      <c r="AV4" s="3" t="s">
        <v>7</v>
      </c>
      <c r="AW4" s="3" t="s">
        <v>131</v>
      </c>
      <c r="AX4" s="6" t="s">
        <v>41</v>
      </c>
      <c r="AY4" s="6" t="s">
        <v>36</v>
      </c>
      <c r="AZ4" s="6" t="s">
        <v>31</v>
      </c>
      <c r="BA4" s="6" t="s">
        <v>90</v>
      </c>
      <c r="BB4" s="6" t="s">
        <v>279</v>
      </c>
    </row>
    <row r="5" spans="1:54" x14ac:dyDescent="0.2">
      <c r="A5" t="s">
        <v>405</v>
      </c>
      <c r="B5" t="s">
        <v>466</v>
      </c>
      <c r="C5" s="6">
        <v>67.555555555555557</v>
      </c>
      <c r="D5" s="6">
        <v>58.5</v>
      </c>
      <c r="E5" s="6"/>
      <c r="F5" s="6">
        <v>71.25</v>
      </c>
      <c r="G5" s="6"/>
      <c r="H5" s="6"/>
      <c r="I5" s="6"/>
      <c r="AU5" t="s">
        <v>54</v>
      </c>
      <c r="AV5" t="s">
        <v>405</v>
      </c>
      <c r="AW5" t="s">
        <v>461</v>
      </c>
      <c r="AX5" s="6">
        <v>90</v>
      </c>
      <c r="AY5" s="6">
        <v>65.467391304347828</v>
      </c>
      <c r="AZ5" s="6">
        <v>66.555555555555557</v>
      </c>
      <c r="BA5" s="6">
        <v>76.382352941176464</v>
      </c>
      <c r="BB5" s="6">
        <v>70.264705882352942</v>
      </c>
    </row>
    <row r="6" spans="1:54" x14ac:dyDescent="0.2">
      <c r="A6" t="s">
        <v>405</v>
      </c>
      <c r="B6" t="s">
        <v>461</v>
      </c>
      <c r="C6" s="6">
        <v>90</v>
      </c>
      <c r="D6" s="6">
        <v>64.493827160493822</v>
      </c>
      <c r="E6" s="6">
        <v>66.555555555555557</v>
      </c>
      <c r="F6" s="6">
        <v>76.382352941176464</v>
      </c>
      <c r="G6" s="6">
        <v>70.264705882352942</v>
      </c>
      <c r="H6" s="6">
        <v>48.090909090909093</v>
      </c>
      <c r="I6" s="6">
        <v>69.05263157894737</v>
      </c>
      <c r="AW6" t="s">
        <v>462</v>
      </c>
      <c r="AX6" s="6">
        <v>55.333333333333336</v>
      </c>
      <c r="AY6" s="6">
        <v>62.824742268041234</v>
      </c>
      <c r="AZ6" s="6">
        <v>56.704545454545453</v>
      </c>
      <c r="BA6" s="6">
        <v>78.389830508474574</v>
      </c>
      <c r="BB6" s="6">
        <v>69.545454545454547</v>
      </c>
    </row>
    <row r="7" spans="1:54" x14ac:dyDescent="0.2">
      <c r="A7" t="s">
        <v>405</v>
      </c>
      <c r="B7" t="s">
        <v>462</v>
      </c>
      <c r="C7" s="6">
        <v>55.333333333333336</v>
      </c>
      <c r="D7" s="6">
        <v>61.174418604651166</v>
      </c>
      <c r="E7" s="6">
        <v>56.704545454545453</v>
      </c>
      <c r="F7" s="6">
        <v>78.389830508474574</v>
      </c>
      <c r="G7" s="6">
        <v>69.545454545454547</v>
      </c>
      <c r="H7" s="6">
        <v>71.818181818181813</v>
      </c>
      <c r="I7" s="6">
        <v>59.404761904761905</v>
      </c>
      <c r="AW7" t="s">
        <v>463</v>
      </c>
      <c r="AX7" s="6">
        <v>73.875</v>
      </c>
      <c r="AY7" s="6">
        <v>66.594202898550719</v>
      </c>
      <c r="AZ7" s="6">
        <v>68.068181818181813</v>
      </c>
      <c r="BA7" s="6">
        <v>72.178571428571431</v>
      </c>
      <c r="BB7" s="6">
        <v>69.727272727272734</v>
      </c>
    </row>
    <row r="8" spans="1:54" x14ac:dyDescent="0.2">
      <c r="A8" t="s">
        <v>405</v>
      </c>
      <c r="B8" t="s">
        <v>463</v>
      </c>
      <c r="C8" s="6">
        <v>71.19047619047619</v>
      </c>
      <c r="D8" s="6">
        <v>66.594202898550719</v>
      </c>
      <c r="E8" s="6">
        <v>68.068181818181813</v>
      </c>
      <c r="F8" s="6">
        <v>72.178571428571431</v>
      </c>
      <c r="G8" s="6">
        <v>69.727272727272734</v>
      </c>
      <c r="H8" s="6">
        <v>66.63636363636364</v>
      </c>
      <c r="I8" s="6">
        <v>52.5</v>
      </c>
      <c r="AW8" t="s">
        <v>466</v>
      </c>
      <c r="AX8" s="6">
        <v>67.555555555555557</v>
      </c>
      <c r="AY8" s="6">
        <v>58.5</v>
      </c>
      <c r="AZ8" s="6"/>
      <c r="BA8" s="6">
        <v>71.25</v>
      </c>
      <c r="BB8" s="6"/>
    </row>
    <row r="9" spans="1:54" x14ac:dyDescent="0.2">
      <c r="A9" t="s">
        <v>412</v>
      </c>
      <c r="B9" t="s">
        <v>464</v>
      </c>
      <c r="C9" s="6">
        <v>74.063829787234042</v>
      </c>
      <c r="D9" s="6">
        <v>75.316831683168317</v>
      </c>
      <c r="E9" s="6">
        <v>74.264705882352942</v>
      </c>
      <c r="F9" s="6">
        <v>71.257142857142853</v>
      </c>
      <c r="G9" s="6">
        <v>70.411764705882348</v>
      </c>
      <c r="H9" s="6">
        <v>68.36363636363636</v>
      </c>
      <c r="I9" s="6">
        <v>79.969696969696969</v>
      </c>
      <c r="AV9" t="s">
        <v>412</v>
      </c>
      <c r="AW9" t="s">
        <v>464</v>
      </c>
      <c r="AX9" s="6">
        <v>74.063829787234042</v>
      </c>
      <c r="AY9" s="6">
        <v>75.276785714285708</v>
      </c>
      <c r="AZ9" s="6">
        <v>74.264705882352942</v>
      </c>
      <c r="BA9" s="6">
        <v>71.257142857142853</v>
      </c>
      <c r="BB9" s="6">
        <v>70.411764705882348</v>
      </c>
    </row>
    <row r="10" spans="1:54" x14ac:dyDescent="0.2">
      <c r="A10" t="s">
        <v>412</v>
      </c>
      <c r="B10" t="s">
        <v>465</v>
      </c>
      <c r="C10" s="6">
        <v>66.659090909090907</v>
      </c>
      <c r="D10" s="6">
        <v>64.344262295081961</v>
      </c>
      <c r="E10" s="6">
        <v>70</v>
      </c>
      <c r="F10" s="6">
        <v>73.227272727272734</v>
      </c>
      <c r="G10" s="6">
        <v>69</v>
      </c>
      <c r="H10" s="6">
        <v>66.63636363636364</v>
      </c>
      <c r="I10" s="6">
        <v>56.81818181818182</v>
      </c>
      <c r="AW10" t="s">
        <v>465</v>
      </c>
      <c r="AX10" s="6">
        <v>66.659090909090907</v>
      </c>
      <c r="AY10" s="6">
        <v>64.344262295081961</v>
      </c>
      <c r="AZ10" s="6">
        <v>70</v>
      </c>
      <c r="BA10" s="6">
        <v>73.227272727272734</v>
      </c>
      <c r="BB10" s="6">
        <v>69</v>
      </c>
    </row>
    <row r="11" spans="1:54" x14ac:dyDescent="0.2">
      <c r="A11" t="s">
        <v>412</v>
      </c>
      <c r="B11" t="s">
        <v>467</v>
      </c>
      <c r="C11" s="6">
        <v>76.739130434782609</v>
      </c>
      <c r="D11" s="6">
        <v>71.977777777777774</v>
      </c>
      <c r="E11" s="6">
        <v>66.63636363636364</v>
      </c>
      <c r="F11" s="6">
        <v>72.045454545454547</v>
      </c>
      <c r="G11" s="6">
        <v>72.545454545454547</v>
      </c>
      <c r="H11" s="6">
        <v>68.545454545454547</v>
      </c>
      <c r="I11" s="6"/>
      <c r="AW11" t="s">
        <v>467</v>
      </c>
      <c r="AX11" s="6">
        <v>76.739130434782609</v>
      </c>
      <c r="AY11" s="6">
        <v>71.977777777777774</v>
      </c>
      <c r="AZ11" s="6">
        <v>66.63636363636364</v>
      </c>
      <c r="BA11" s="6">
        <v>72.045454545454547</v>
      </c>
      <c r="BB11" s="6">
        <v>72.545454545454547</v>
      </c>
    </row>
    <row r="12" spans="1:54" x14ac:dyDescent="0.2">
      <c r="A12" t="s">
        <v>412</v>
      </c>
      <c r="B12" t="s">
        <v>486</v>
      </c>
      <c r="C12" s="6">
        <v>80</v>
      </c>
      <c r="D12" s="6">
        <v>72.3</v>
      </c>
      <c r="E12" s="6"/>
      <c r="F12" s="6"/>
      <c r="G12" s="6"/>
      <c r="H12" s="6"/>
      <c r="I12" s="6"/>
      <c r="AW12" t="s">
        <v>486</v>
      </c>
      <c r="AX12" s="6">
        <v>80</v>
      </c>
      <c r="AY12" s="6">
        <v>72.3</v>
      </c>
      <c r="AZ12" s="6"/>
      <c r="BA12" s="6"/>
      <c r="BB12" s="6"/>
    </row>
    <row r="13" spans="1:54" x14ac:dyDescent="0.2">
      <c r="AU13" t="s">
        <v>65</v>
      </c>
      <c r="AV13" t="s">
        <v>405</v>
      </c>
      <c r="AW13" t="s">
        <v>461</v>
      </c>
      <c r="AX13" s="6">
        <v>65.740740740740748</v>
      </c>
      <c r="AY13" s="6">
        <v>69.544117647058826</v>
      </c>
      <c r="AZ13" s="6">
        <v>67.333333333333329</v>
      </c>
      <c r="BA13" s="6">
        <v>75.259259259259252</v>
      </c>
      <c r="BB13" s="6">
        <v>74.5</v>
      </c>
    </row>
    <row r="14" spans="1:54" x14ac:dyDescent="0.2">
      <c r="AW14" t="s">
        <v>462</v>
      </c>
      <c r="AX14" s="6">
        <v>84</v>
      </c>
      <c r="AY14" s="6">
        <v>75.393442622950815</v>
      </c>
      <c r="AZ14" s="6">
        <v>67.407407407407405</v>
      </c>
      <c r="BA14" s="6">
        <v>77.333333333333329</v>
      </c>
      <c r="BB14" s="6">
        <v>72.666666666666671</v>
      </c>
    </row>
    <row r="15" spans="1:54" x14ac:dyDescent="0.2">
      <c r="AW15" t="s">
        <v>463</v>
      </c>
      <c r="AX15" s="6">
        <v>71.111111111111114</v>
      </c>
      <c r="AY15" s="6">
        <v>74.055555555555557</v>
      </c>
      <c r="AZ15" s="6">
        <v>76.081081081081081</v>
      </c>
      <c r="BA15" s="6">
        <v>75.535714285714292</v>
      </c>
      <c r="BB15" s="6">
        <v>69.777777777777771</v>
      </c>
    </row>
    <row r="16" spans="1:54" x14ac:dyDescent="0.2">
      <c r="AW16" t="s">
        <v>466</v>
      </c>
      <c r="AX16" s="6"/>
      <c r="AY16" s="6"/>
      <c r="AZ16" s="6">
        <v>71.111111111111114</v>
      </c>
      <c r="BA16" s="6"/>
      <c r="BB16" s="6"/>
    </row>
    <row r="17" spans="48:54" x14ac:dyDescent="0.2">
      <c r="AV17" t="s">
        <v>412</v>
      </c>
      <c r="AW17" t="s">
        <v>464</v>
      </c>
      <c r="AX17" s="6">
        <v>75.333333333333329</v>
      </c>
      <c r="AY17" s="6">
        <v>75.907407407407405</v>
      </c>
      <c r="AZ17" s="6">
        <v>72.5</v>
      </c>
      <c r="BA17" s="6">
        <v>76.027777777777771</v>
      </c>
      <c r="BB17" s="6">
        <v>70.222222222222229</v>
      </c>
    </row>
    <row r="18" spans="48:54" x14ac:dyDescent="0.2">
      <c r="AW18" t="s">
        <v>465</v>
      </c>
      <c r="AX18" s="6">
        <v>62.777777777777779</v>
      </c>
      <c r="AY18" s="6">
        <v>68.583333333333329</v>
      </c>
      <c r="AZ18" s="6">
        <v>70.444444444444443</v>
      </c>
      <c r="BA18" s="6">
        <v>78.888888888888886</v>
      </c>
      <c r="BB18" s="6">
        <v>76.055555555555557</v>
      </c>
    </row>
    <row r="19" spans="48:54" x14ac:dyDescent="0.2">
      <c r="AW19" t="s">
        <v>467</v>
      </c>
      <c r="AX19" s="6"/>
      <c r="AY19" s="6">
        <v>70</v>
      </c>
      <c r="AZ19" s="6">
        <v>71.111111111111114</v>
      </c>
      <c r="BA19" s="6">
        <v>85</v>
      </c>
      <c r="BB19" s="6">
        <v>70</v>
      </c>
    </row>
    <row r="20" spans="48:54" x14ac:dyDescent="0.2">
      <c r="AW20" t="s">
        <v>486</v>
      </c>
      <c r="AX20" s="6"/>
      <c r="AY20" s="6">
        <v>90.333333333333329</v>
      </c>
      <c r="AZ20" s="6">
        <v>82.222222222222229</v>
      </c>
      <c r="BA20" s="6"/>
      <c r="BB20" s="6"/>
    </row>
    <row r="34" spans="10:46" x14ac:dyDescent="0.2">
      <c r="AS34" s="6"/>
      <c r="AT34" s="6"/>
    </row>
    <row r="35" spans="10:46" x14ac:dyDescent="0.2">
      <c r="AS35" s="6"/>
      <c r="AT35" s="6"/>
    </row>
    <row r="36" spans="10:46" x14ac:dyDescent="0.2">
      <c r="AS36" s="6"/>
      <c r="AT36" s="6"/>
    </row>
    <row r="37" spans="10:46" x14ac:dyDescent="0.2">
      <c r="AS37" s="6"/>
      <c r="AT37" s="6"/>
    </row>
    <row r="39" spans="10:46" x14ac:dyDescent="0.2">
      <c r="K39" s="6"/>
      <c r="L39" s="6"/>
      <c r="M39" s="6"/>
      <c r="N39" s="6"/>
    </row>
    <row r="40" spans="10:46" x14ac:dyDescent="0.2">
      <c r="K40" s="6"/>
      <c r="L40" s="6"/>
      <c r="M40" s="6"/>
      <c r="N40" s="6"/>
    </row>
    <row r="41" spans="10:46" x14ac:dyDescent="0.2">
      <c r="K41" s="6"/>
      <c r="L41" s="6"/>
      <c r="M41" s="6"/>
      <c r="N41" s="6"/>
    </row>
    <row r="42" spans="10:46" x14ac:dyDescent="0.2">
      <c r="K42" s="6"/>
      <c r="L42" s="6"/>
      <c r="M42" s="6"/>
      <c r="N42" s="6"/>
    </row>
    <row r="43" spans="10:46" x14ac:dyDescent="0.2">
      <c r="K43" s="6"/>
      <c r="L43" s="6"/>
      <c r="M43" s="6"/>
      <c r="N43" s="6"/>
    </row>
    <row r="44" spans="10:46" x14ac:dyDescent="0.2">
      <c r="K44" s="6"/>
      <c r="L44" s="6"/>
      <c r="M44" s="6"/>
      <c r="N44" s="6"/>
    </row>
    <row r="45" spans="10:46" x14ac:dyDescent="0.2">
      <c r="K45" s="6"/>
      <c r="L45" s="6"/>
      <c r="M45" s="6"/>
      <c r="N45" s="6"/>
    </row>
    <row r="46" spans="10:46" x14ac:dyDescent="0.2">
      <c r="K46" s="6"/>
      <c r="L46" s="6"/>
      <c r="M46" s="6"/>
      <c r="N46" s="6"/>
    </row>
    <row r="47" spans="10:46" x14ac:dyDescent="0.2">
      <c r="K47" s="6"/>
      <c r="L47" s="6"/>
      <c r="M47" s="6"/>
      <c r="N47" s="6"/>
    </row>
    <row r="48" spans="10:46" x14ac:dyDescent="0.2">
      <c r="J48" s="6"/>
      <c r="K48" s="6"/>
      <c r="L48" s="6"/>
      <c r="M48" s="6"/>
      <c r="N48" s="6"/>
    </row>
    <row r="66" spans="31:41" x14ac:dyDescent="0.2">
      <c r="AE66" s="3" t="s">
        <v>123</v>
      </c>
      <c r="AK66" s="3" t="s">
        <v>9</v>
      </c>
    </row>
    <row r="67" spans="31:41" x14ac:dyDescent="0.2">
      <c r="AE67" s="3" t="s">
        <v>2</v>
      </c>
      <c r="AF67" s="3" t="s">
        <v>3</v>
      </c>
      <c r="AG67" s="3" t="s">
        <v>15</v>
      </c>
      <c r="AH67" s="3" t="s">
        <v>16</v>
      </c>
      <c r="AI67" s="3" t="s">
        <v>7</v>
      </c>
      <c r="AJ67" s="3" t="s">
        <v>131</v>
      </c>
      <c r="AK67" s="6" t="s">
        <v>41</v>
      </c>
      <c r="AL67" s="6" t="s">
        <v>36</v>
      </c>
      <c r="AM67" s="6" t="s">
        <v>31</v>
      </c>
      <c r="AN67" s="6" t="s">
        <v>90</v>
      </c>
      <c r="AO67" s="6" t="s">
        <v>279</v>
      </c>
    </row>
    <row r="68" spans="31:41" x14ac:dyDescent="0.2">
      <c r="AE68" t="s">
        <v>54</v>
      </c>
      <c r="AF68" t="s">
        <v>35</v>
      </c>
      <c r="AG68" t="s">
        <v>281</v>
      </c>
      <c r="AH68" t="s">
        <v>155</v>
      </c>
      <c r="AI68" t="s">
        <v>405</v>
      </c>
      <c r="AJ68" t="s">
        <v>461</v>
      </c>
      <c r="AK68" s="6"/>
      <c r="AL68" s="6">
        <v>61.375</v>
      </c>
      <c r="AM68" s="6">
        <v>64.5</v>
      </c>
      <c r="AN68" s="6">
        <v>71.666666666666671</v>
      </c>
      <c r="AO68" s="6">
        <v>70</v>
      </c>
    </row>
    <row r="69" spans="31:41" x14ac:dyDescent="0.2">
      <c r="AJ69" t="s">
        <v>462</v>
      </c>
      <c r="AK69" s="6">
        <v>73.333333333333329</v>
      </c>
      <c r="AL69" s="6">
        <v>59.666666666666664</v>
      </c>
      <c r="AM69" s="6">
        <v>66.666666666666671</v>
      </c>
      <c r="AN69" s="6">
        <v>77.5</v>
      </c>
      <c r="AO69" s="6">
        <v>68.333333333333329</v>
      </c>
    </row>
    <row r="70" spans="31:41" x14ac:dyDescent="0.2">
      <c r="AJ70" t="s">
        <v>463</v>
      </c>
      <c r="AK70" s="6">
        <v>70</v>
      </c>
      <c r="AL70" s="6">
        <v>65</v>
      </c>
      <c r="AM70" s="6">
        <v>65</v>
      </c>
      <c r="AN70" s="6">
        <v>58.75</v>
      </c>
      <c r="AO70" s="6">
        <v>66.333333333333329</v>
      </c>
    </row>
    <row r="71" spans="31:41" x14ac:dyDescent="0.2">
      <c r="AJ71" t="s">
        <v>466</v>
      </c>
      <c r="AK71" s="6">
        <v>51.25</v>
      </c>
      <c r="AL71" s="6">
        <v>10</v>
      </c>
      <c r="AM71" s="6"/>
      <c r="AN71" s="6">
        <v>30</v>
      </c>
      <c r="AO71" s="6"/>
    </row>
    <row r="72" spans="31:41" x14ac:dyDescent="0.2">
      <c r="AI72" t="s">
        <v>412</v>
      </c>
      <c r="AJ72" t="s">
        <v>464</v>
      </c>
      <c r="AK72" s="6">
        <v>67.5</v>
      </c>
      <c r="AL72" s="6">
        <v>78.555555555555557</v>
      </c>
      <c r="AM72" s="6">
        <v>66.666666666666671</v>
      </c>
      <c r="AN72" s="6">
        <v>68.333333333333329</v>
      </c>
      <c r="AO72" s="6">
        <v>68.333333333333329</v>
      </c>
    </row>
    <row r="73" spans="31:41" x14ac:dyDescent="0.2">
      <c r="AJ73" t="s">
        <v>465</v>
      </c>
      <c r="AK73" s="6">
        <v>68.75</v>
      </c>
      <c r="AL73" s="6">
        <v>62.5</v>
      </c>
      <c r="AM73" s="6">
        <v>63.5</v>
      </c>
      <c r="AN73" s="6">
        <v>72</v>
      </c>
      <c r="AO73" s="6">
        <v>69</v>
      </c>
    </row>
    <row r="74" spans="31:41" x14ac:dyDescent="0.2">
      <c r="AJ74" t="s">
        <v>467</v>
      </c>
      <c r="AK74" s="6">
        <v>75</v>
      </c>
      <c r="AL74" s="6">
        <v>68.25</v>
      </c>
      <c r="AM74" s="6">
        <v>65</v>
      </c>
      <c r="AN74" s="6">
        <v>70</v>
      </c>
      <c r="AO74" s="6">
        <v>70</v>
      </c>
    </row>
    <row r="75" spans="31:41" x14ac:dyDescent="0.2">
      <c r="AJ75" t="s">
        <v>486</v>
      </c>
      <c r="AK75" s="6"/>
      <c r="AL75" s="6">
        <v>61</v>
      </c>
      <c r="AM75" s="6"/>
      <c r="AN75" s="6"/>
      <c r="AO75" s="6"/>
    </row>
    <row r="81" spans="11:17" x14ac:dyDescent="0.2">
      <c r="K81" s="3" t="s">
        <v>75</v>
      </c>
      <c r="L81" t="s">
        <v>119</v>
      </c>
    </row>
    <row r="83" spans="11:17" x14ac:dyDescent="0.2">
      <c r="K83" s="3" t="s">
        <v>123</v>
      </c>
      <c r="N83" s="3" t="s">
        <v>9</v>
      </c>
    </row>
    <row r="84" spans="11:17" x14ac:dyDescent="0.2">
      <c r="K84" s="3" t="s">
        <v>2</v>
      </c>
      <c r="L84" s="3" t="s">
        <v>7</v>
      </c>
      <c r="M84" s="3" t="s">
        <v>131</v>
      </c>
    </row>
    <row r="85" spans="11:17" x14ac:dyDescent="0.2">
      <c r="N85" s="6"/>
    </row>
    <row r="94" spans="11:17" x14ac:dyDescent="0.2">
      <c r="N94" s="6"/>
      <c r="O94" s="6"/>
      <c r="P94" s="6"/>
      <c r="Q94" s="6"/>
    </row>
    <row r="95" spans="11:17" x14ac:dyDescent="0.2">
      <c r="N95" s="6"/>
      <c r="O95" s="6"/>
      <c r="P95" s="6"/>
      <c r="Q95" s="6"/>
    </row>
    <row r="96" spans="11:17" x14ac:dyDescent="0.2">
      <c r="N96" s="6"/>
      <c r="O96" s="6"/>
      <c r="P96" s="6"/>
      <c r="Q96" s="6"/>
    </row>
    <row r="97" spans="14:17" x14ac:dyDescent="0.2">
      <c r="N97" s="6"/>
      <c r="O97" s="6"/>
      <c r="P97" s="6"/>
      <c r="Q97" s="6"/>
    </row>
    <row r="98" spans="14:17" x14ac:dyDescent="0.2">
      <c r="N98" s="6"/>
      <c r="O98" s="6"/>
      <c r="P98" s="6"/>
      <c r="Q98" s="6"/>
    </row>
    <row r="99" spans="14:17" x14ac:dyDescent="0.2">
      <c r="N99" s="6"/>
      <c r="O99" s="6"/>
      <c r="P99" s="6"/>
      <c r="Q99" s="6"/>
    </row>
    <row r="100" spans="14:17" x14ac:dyDescent="0.2">
      <c r="N100" s="6"/>
      <c r="O100" s="6"/>
      <c r="P100" s="6"/>
      <c r="Q100" s="6"/>
    </row>
    <row r="101" spans="14:17" x14ac:dyDescent="0.2">
      <c r="N101" s="6"/>
      <c r="O101" s="6"/>
      <c r="P101" s="6"/>
      <c r="Q101" s="6"/>
    </row>
    <row r="102" spans="14:17" x14ac:dyDescent="0.2">
      <c r="N102" s="6"/>
      <c r="O102" s="6"/>
      <c r="P102" s="6"/>
      <c r="Q102" s="6"/>
    </row>
    <row r="103" spans="14:17" x14ac:dyDescent="0.2">
      <c r="N103" s="6"/>
      <c r="O103" s="6"/>
      <c r="P103" s="6"/>
      <c r="Q103" s="6"/>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112"/>
  <sheetViews>
    <sheetView showGridLines="0" topLeftCell="AA1" zoomScale="90" zoomScaleNormal="90" workbookViewId="0">
      <selection activeCell="AS23" sqref="AS23"/>
    </sheetView>
  </sheetViews>
  <sheetFormatPr baseColWidth="10" defaultColWidth="11.5" defaultRowHeight="15" x14ac:dyDescent="0.2"/>
  <cols>
    <col min="1" max="1" width="12.33203125" bestFit="1" customWidth="1"/>
    <col min="2" max="2" width="18.83203125" bestFit="1" customWidth="1"/>
    <col min="3" max="3" width="5.5" bestFit="1" customWidth="1"/>
    <col min="4" max="4" width="6" bestFit="1" customWidth="1"/>
    <col min="5" max="5" width="6.6640625" bestFit="1" customWidth="1"/>
    <col min="6" max="7" width="12.1640625" bestFit="1" customWidth="1"/>
    <col min="8" max="8" width="9.6640625" bestFit="1" customWidth="1"/>
    <col min="35" max="35" width="11.6640625" bestFit="1" customWidth="1"/>
    <col min="36" max="38" width="11.6640625" customWidth="1"/>
    <col min="39" max="39" width="9" bestFit="1" customWidth="1"/>
    <col min="40" max="40" width="14.6640625" bestFit="1" customWidth="1"/>
    <col min="41" max="41" width="4.6640625" bestFit="1" customWidth="1"/>
    <col min="42" max="42" width="6" bestFit="1" customWidth="1"/>
    <col min="43" max="43" width="6.6640625" bestFit="1" customWidth="1"/>
    <col min="44" max="44" width="12.5" bestFit="1" customWidth="1"/>
    <col min="45" max="45" width="26.5" customWidth="1"/>
    <col min="46" max="46" width="10.33203125" bestFit="1" customWidth="1"/>
    <col min="47" max="47" width="15.6640625" bestFit="1" customWidth="1"/>
    <col min="48" max="48" width="9" bestFit="1" customWidth="1"/>
    <col min="49" max="49" width="14.6640625" bestFit="1" customWidth="1"/>
    <col min="50" max="50" width="5.5" bestFit="1" customWidth="1"/>
    <col min="51" max="51" width="6" bestFit="1" customWidth="1"/>
    <col min="52" max="52" width="6.6640625" bestFit="1" customWidth="1"/>
    <col min="53" max="54" width="12.1640625" bestFit="1" customWidth="1"/>
    <col min="55" max="55" width="9.6640625" bestFit="1" customWidth="1"/>
    <col min="59" max="59" width="9" bestFit="1" customWidth="1"/>
    <col min="60" max="60" width="14.6640625" bestFit="1" customWidth="1"/>
    <col min="61" max="61" width="4.6640625" bestFit="1" customWidth="1"/>
    <col min="62" max="62" width="6" bestFit="1" customWidth="1"/>
    <col min="63" max="64" width="12.1640625" bestFit="1" customWidth="1"/>
  </cols>
  <sheetData>
    <row r="1" spans="1:53" x14ac:dyDescent="0.2">
      <c r="A1" s="3" t="s">
        <v>75</v>
      </c>
      <c r="B1" t="s">
        <v>119</v>
      </c>
    </row>
    <row r="2" spans="1:53" x14ac:dyDescent="0.2">
      <c r="AT2" s="3" t="s">
        <v>2</v>
      </c>
      <c r="AU2" t="s">
        <v>460</v>
      </c>
    </row>
    <row r="3" spans="1:53" x14ac:dyDescent="0.2">
      <c r="A3" s="3" t="s">
        <v>113</v>
      </c>
      <c r="B3" t="s">
        <v>133</v>
      </c>
      <c r="AT3" s="3" t="s">
        <v>9</v>
      </c>
      <c r="AU3" t="s">
        <v>119</v>
      </c>
    </row>
    <row r="4" spans="1:53" x14ac:dyDescent="0.2">
      <c r="A4" s="4" t="s">
        <v>116</v>
      </c>
      <c r="B4" s="5">
        <v>9.8701298701298706E-2</v>
      </c>
    </row>
    <row r="5" spans="1:53" x14ac:dyDescent="0.2">
      <c r="A5" s="4" t="s">
        <v>114</v>
      </c>
      <c r="B5" s="5">
        <v>0.30649350649350648</v>
      </c>
      <c r="AT5" s="3" t="s">
        <v>133</v>
      </c>
      <c r="AW5" s="3" t="s">
        <v>130</v>
      </c>
    </row>
    <row r="6" spans="1:53" x14ac:dyDescent="0.2">
      <c r="A6" s="4" t="s">
        <v>132</v>
      </c>
      <c r="B6" s="5">
        <v>0.46493506493506492</v>
      </c>
      <c r="AT6" s="3" t="s">
        <v>10</v>
      </c>
      <c r="AU6" s="3" t="s">
        <v>75</v>
      </c>
      <c r="AV6" s="3" t="s">
        <v>7</v>
      </c>
      <c r="AW6" t="s">
        <v>116</v>
      </c>
      <c r="AX6" t="s">
        <v>114</v>
      </c>
      <c r="AY6" t="s">
        <v>132</v>
      </c>
      <c r="AZ6" t="s">
        <v>115</v>
      </c>
      <c r="BA6" t="s">
        <v>117</v>
      </c>
    </row>
    <row r="7" spans="1:53" x14ac:dyDescent="0.2">
      <c r="A7" s="4" t="s">
        <v>115</v>
      </c>
      <c r="B7" s="5">
        <v>0.1012987012987013</v>
      </c>
      <c r="AT7" t="s">
        <v>92</v>
      </c>
      <c r="AU7" t="s">
        <v>81</v>
      </c>
      <c r="AV7" t="s">
        <v>405</v>
      </c>
      <c r="AW7" s="5">
        <v>0</v>
      </c>
      <c r="AX7" s="5">
        <v>0</v>
      </c>
      <c r="AY7" s="5">
        <v>0.86363636363636365</v>
      </c>
      <c r="AZ7" s="5">
        <v>0.13636363636363635</v>
      </c>
      <c r="BA7" s="5">
        <v>0</v>
      </c>
    </row>
    <row r="8" spans="1:53" x14ac:dyDescent="0.2">
      <c r="A8" s="4" t="s">
        <v>117</v>
      </c>
      <c r="B8" s="5">
        <v>2.8571428571428571E-2</v>
      </c>
      <c r="AV8" t="s">
        <v>412</v>
      </c>
      <c r="AW8" s="5">
        <v>0</v>
      </c>
      <c r="AX8" s="5">
        <v>0.55000000000000004</v>
      </c>
      <c r="AY8" s="5">
        <v>0.35</v>
      </c>
      <c r="AZ8" s="5">
        <v>0.1</v>
      </c>
      <c r="BA8" s="5">
        <v>0</v>
      </c>
    </row>
    <row r="9" spans="1:53" x14ac:dyDescent="0.2">
      <c r="A9" s="4" t="s">
        <v>118</v>
      </c>
      <c r="B9" s="5">
        <v>1</v>
      </c>
      <c r="AU9" t="s">
        <v>88</v>
      </c>
      <c r="AV9" t="s">
        <v>405</v>
      </c>
      <c r="AW9" s="5">
        <v>0</v>
      </c>
      <c r="AX9" s="5">
        <v>0.77777777777777779</v>
      </c>
      <c r="AY9" s="5">
        <v>0.22222222222222221</v>
      </c>
      <c r="AZ9" s="5">
        <v>0</v>
      </c>
      <c r="BA9" s="5">
        <v>0</v>
      </c>
    </row>
    <row r="10" spans="1:53" x14ac:dyDescent="0.2">
      <c r="AV10" t="s">
        <v>412</v>
      </c>
      <c r="AW10" s="5">
        <v>0</v>
      </c>
      <c r="AX10" s="5">
        <v>0.77777777777777779</v>
      </c>
      <c r="AY10" s="5">
        <v>0.22222222222222221</v>
      </c>
      <c r="AZ10" s="5">
        <v>0</v>
      </c>
      <c r="BA10" s="5">
        <v>0</v>
      </c>
    </row>
    <row r="11" spans="1:53" x14ac:dyDescent="0.2">
      <c r="AU11" t="s">
        <v>82</v>
      </c>
      <c r="AV11" t="s">
        <v>405</v>
      </c>
      <c r="AW11" s="5">
        <v>0.52380952380952384</v>
      </c>
      <c r="AX11" s="5">
        <v>0</v>
      </c>
      <c r="AY11" s="5">
        <v>0</v>
      </c>
      <c r="AZ11" s="5">
        <v>0.38095238095238093</v>
      </c>
      <c r="BA11" s="5">
        <v>9.5238095238095233E-2</v>
      </c>
    </row>
    <row r="12" spans="1:53" x14ac:dyDescent="0.2">
      <c r="AV12" t="s">
        <v>412</v>
      </c>
      <c r="AW12" s="5">
        <v>0.1111111111111111</v>
      </c>
      <c r="AX12" s="5">
        <v>0.33333333333333331</v>
      </c>
      <c r="AY12" s="5">
        <v>0.1111111111111111</v>
      </c>
      <c r="AZ12" s="5">
        <v>0</v>
      </c>
      <c r="BA12" s="5">
        <v>0.44444444444444442</v>
      </c>
    </row>
    <row r="13" spans="1:53" x14ac:dyDescent="0.2">
      <c r="AU13" t="s">
        <v>337</v>
      </c>
      <c r="AV13" t="s">
        <v>405</v>
      </c>
      <c r="AW13" s="5">
        <v>0</v>
      </c>
      <c r="AX13" s="5">
        <v>0.13333333333333333</v>
      </c>
      <c r="AY13" s="5">
        <v>0.8666666666666667</v>
      </c>
      <c r="AZ13" s="5">
        <v>0</v>
      </c>
      <c r="BA13" s="5">
        <v>0</v>
      </c>
    </row>
    <row r="14" spans="1:53" x14ac:dyDescent="0.2">
      <c r="AU14" t="s">
        <v>53</v>
      </c>
      <c r="AV14" t="s">
        <v>405</v>
      </c>
      <c r="AW14" s="5">
        <v>4.3478260869565216E-2</v>
      </c>
      <c r="AX14" s="5">
        <v>0.44927536231884058</v>
      </c>
      <c r="AY14" s="5">
        <v>0.50724637681159424</v>
      </c>
      <c r="AZ14" s="5">
        <v>0</v>
      </c>
      <c r="BA14" s="5">
        <v>0</v>
      </c>
    </row>
    <row r="15" spans="1:53" x14ac:dyDescent="0.2">
      <c r="AV15" t="s">
        <v>412</v>
      </c>
      <c r="AW15" s="5">
        <v>0</v>
      </c>
      <c r="AX15" s="5">
        <v>0.30769230769230771</v>
      </c>
      <c r="AY15" s="5">
        <v>0.59615384615384615</v>
      </c>
      <c r="AZ15" s="5">
        <v>9.6153846153846159E-2</v>
      </c>
      <c r="BA15" s="5">
        <v>0</v>
      </c>
    </row>
    <row r="16" spans="1:53" x14ac:dyDescent="0.2">
      <c r="AT16" t="s">
        <v>366</v>
      </c>
      <c r="AU16" t="s">
        <v>339</v>
      </c>
      <c r="AV16" t="s">
        <v>405</v>
      </c>
      <c r="AW16" s="5">
        <v>0</v>
      </c>
      <c r="AX16" s="5">
        <v>1</v>
      </c>
      <c r="AY16" s="5">
        <v>0</v>
      </c>
      <c r="AZ16" s="5">
        <v>0</v>
      </c>
      <c r="BA16" s="5">
        <v>0</v>
      </c>
    </row>
    <row r="17" spans="1:53" x14ac:dyDescent="0.2">
      <c r="AU17" t="s">
        <v>87</v>
      </c>
      <c r="AV17" t="s">
        <v>405</v>
      </c>
      <c r="AW17" s="5">
        <v>0.375</v>
      </c>
      <c r="AX17" s="5">
        <v>0.625</v>
      </c>
      <c r="AY17" s="5">
        <v>0</v>
      </c>
      <c r="AZ17" s="5">
        <v>0</v>
      </c>
      <c r="BA17" s="5">
        <v>0</v>
      </c>
    </row>
    <row r="18" spans="1:53" x14ac:dyDescent="0.2">
      <c r="AU18" t="s">
        <v>340</v>
      </c>
      <c r="AV18" t="s">
        <v>405</v>
      </c>
      <c r="AW18" s="5">
        <v>1</v>
      </c>
      <c r="AX18" s="5">
        <v>0</v>
      </c>
      <c r="AY18" s="5">
        <v>0</v>
      </c>
      <c r="AZ18" s="5">
        <v>0</v>
      </c>
      <c r="BA18" s="5">
        <v>0</v>
      </c>
    </row>
    <row r="19" spans="1:53" x14ac:dyDescent="0.2">
      <c r="AT19" t="s">
        <v>377</v>
      </c>
      <c r="AU19" t="s">
        <v>88</v>
      </c>
      <c r="AV19" t="s">
        <v>405</v>
      </c>
      <c r="AW19" s="5">
        <v>0</v>
      </c>
      <c r="AX19" s="5">
        <v>0.45454545454545453</v>
      </c>
      <c r="AY19" s="5">
        <v>0.27272727272727271</v>
      </c>
      <c r="AZ19" s="5">
        <v>0.27272727272727271</v>
      </c>
      <c r="BA19" s="5">
        <v>0</v>
      </c>
    </row>
    <row r="20" spans="1:53" x14ac:dyDescent="0.2">
      <c r="AV20" t="s">
        <v>412</v>
      </c>
      <c r="AW20" s="5">
        <v>0</v>
      </c>
      <c r="AX20" s="5">
        <v>0.45454545454545453</v>
      </c>
      <c r="AY20" s="5">
        <v>0.27272727272727271</v>
      </c>
      <c r="AZ20" s="5">
        <v>0.27272727272727271</v>
      </c>
      <c r="BA20" s="5">
        <v>0</v>
      </c>
    </row>
    <row r="21" spans="1:53" x14ac:dyDescent="0.2">
      <c r="AU21" t="s">
        <v>84</v>
      </c>
      <c r="AV21" t="s">
        <v>405</v>
      </c>
      <c r="AW21" s="5">
        <v>0.55000000000000004</v>
      </c>
      <c r="AX21" s="5">
        <v>0</v>
      </c>
      <c r="AY21" s="5">
        <v>0</v>
      </c>
      <c r="AZ21" s="5">
        <v>0.45</v>
      </c>
      <c r="BA21" s="5">
        <v>0</v>
      </c>
    </row>
    <row r="22" spans="1:53" x14ac:dyDescent="0.2">
      <c r="AU22" t="s">
        <v>82</v>
      </c>
      <c r="AV22" t="s">
        <v>405</v>
      </c>
      <c r="AW22" s="5">
        <v>0.5</v>
      </c>
      <c r="AX22" s="5">
        <v>0</v>
      </c>
      <c r="AY22" s="5">
        <v>8.3333333333333329E-2</v>
      </c>
      <c r="AZ22" s="5">
        <v>0</v>
      </c>
      <c r="BA22" s="5">
        <v>0.41666666666666669</v>
      </c>
    </row>
    <row r="23" spans="1:53" x14ac:dyDescent="0.2">
      <c r="AU23" t="s">
        <v>337</v>
      </c>
      <c r="AV23" t="s">
        <v>405</v>
      </c>
      <c r="AW23" s="5">
        <v>0</v>
      </c>
      <c r="AX23" s="5">
        <v>0</v>
      </c>
      <c r="AY23" s="5">
        <v>1</v>
      </c>
      <c r="AZ23" s="5">
        <v>0</v>
      </c>
      <c r="BA23" s="5">
        <v>0</v>
      </c>
    </row>
    <row r="24" spans="1:53" x14ac:dyDescent="0.2">
      <c r="AV24" t="s">
        <v>412</v>
      </c>
      <c r="AW24" s="5">
        <v>0</v>
      </c>
      <c r="AX24" s="5">
        <v>0.38095238095238093</v>
      </c>
      <c r="AY24" s="5">
        <v>0.5714285714285714</v>
      </c>
      <c r="AZ24" s="5">
        <v>4.7619047619047616E-2</v>
      </c>
      <c r="BA24" s="5">
        <v>0</v>
      </c>
    </row>
    <row r="32" spans="1:53" x14ac:dyDescent="0.2">
      <c r="A32" s="3" t="s">
        <v>75</v>
      </c>
      <c r="B32" t="s">
        <v>119</v>
      </c>
    </row>
    <row r="34" spans="1:7" x14ac:dyDescent="0.2">
      <c r="A34" s="3" t="s">
        <v>133</v>
      </c>
      <c r="C34" s="3" t="s">
        <v>130</v>
      </c>
    </row>
    <row r="35" spans="1:7" x14ac:dyDescent="0.2">
      <c r="A35" s="3" t="s">
        <v>2</v>
      </c>
      <c r="B35" s="3" t="s">
        <v>7</v>
      </c>
      <c r="C35" t="s">
        <v>116</v>
      </c>
      <c r="D35" t="s">
        <v>114</v>
      </c>
      <c r="E35" t="s">
        <v>132</v>
      </c>
      <c r="F35" t="s">
        <v>115</v>
      </c>
      <c r="G35" t="s">
        <v>117</v>
      </c>
    </row>
    <row r="36" spans="1:7" x14ac:dyDescent="0.2">
      <c r="A36" t="s">
        <v>54</v>
      </c>
      <c r="B36" t="s">
        <v>405</v>
      </c>
      <c r="C36" s="5">
        <v>0.19875776397515527</v>
      </c>
      <c r="D36" s="5">
        <v>0.19254658385093168</v>
      </c>
      <c r="E36" s="5">
        <v>0.42857142857142855</v>
      </c>
      <c r="F36" s="5">
        <v>0.13664596273291926</v>
      </c>
      <c r="G36" s="5">
        <v>4.3478260869565216E-2</v>
      </c>
    </row>
    <row r="37" spans="1:7" x14ac:dyDescent="0.2">
      <c r="B37" t="s">
        <v>412</v>
      </c>
      <c r="C37" s="5">
        <v>0</v>
      </c>
      <c r="D37" s="5">
        <v>0.15189873417721519</v>
      </c>
      <c r="E37" s="5">
        <v>0.68354430379746833</v>
      </c>
      <c r="F37" s="5">
        <v>0.16455696202531644</v>
      </c>
      <c r="G37" s="5">
        <v>0</v>
      </c>
    </row>
    <row r="38" spans="1:7" x14ac:dyDescent="0.2">
      <c r="A38" t="s">
        <v>65</v>
      </c>
      <c r="B38" t="s">
        <v>405</v>
      </c>
      <c r="C38" s="5">
        <v>6.097560975609756E-2</v>
      </c>
      <c r="D38" s="5">
        <v>0.31707317073170732</v>
      </c>
      <c r="E38" s="5">
        <v>0.57317073170731703</v>
      </c>
      <c r="F38" s="5">
        <v>4.878048780487805E-2</v>
      </c>
      <c r="G38" s="5">
        <v>0</v>
      </c>
    </row>
    <row r="39" spans="1:7" x14ac:dyDescent="0.2">
      <c r="B39" t="s">
        <v>412</v>
      </c>
      <c r="C39" s="5">
        <v>1.5873015873015872E-2</v>
      </c>
      <c r="D39" s="5">
        <v>0.77777777777777779</v>
      </c>
      <c r="E39" s="5">
        <v>0.14285714285714285</v>
      </c>
      <c r="F39" s="5">
        <v>0</v>
      </c>
      <c r="G39" s="5">
        <v>6.3492063492063489E-2</v>
      </c>
    </row>
    <row r="48" spans="1:7" x14ac:dyDescent="0.2">
      <c r="C48" s="5"/>
      <c r="D48" s="5"/>
      <c r="E48" s="5"/>
      <c r="F48" s="5"/>
      <c r="G48" s="5"/>
    </row>
    <row r="49" spans="3:7" x14ac:dyDescent="0.2">
      <c r="C49" s="5"/>
      <c r="D49" s="5"/>
      <c r="E49" s="5"/>
      <c r="F49" s="5"/>
      <c r="G49" s="5"/>
    </row>
    <row r="50" spans="3:7" x14ac:dyDescent="0.2">
      <c r="C50" s="5"/>
      <c r="D50" s="5"/>
      <c r="E50" s="5"/>
      <c r="F50" s="5"/>
      <c r="G50" s="5"/>
    </row>
    <row r="51" spans="3:7" x14ac:dyDescent="0.2">
      <c r="C51" s="5"/>
      <c r="D51" s="5"/>
      <c r="E51" s="5"/>
      <c r="F51" s="5"/>
      <c r="G51" s="5"/>
    </row>
    <row r="52" spans="3:7" x14ac:dyDescent="0.2">
      <c r="C52" s="5"/>
      <c r="D52" s="5"/>
      <c r="E52" s="5"/>
      <c r="F52" s="5"/>
      <c r="G52" s="5"/>
    </row>
    <row r="53" spans="3:7" x14ac:dyDescent="0.2">
      <c r="C53" s="5"/>
      <c r="D53" s="5"/>
      <c r="E53" s="5"/>
      <c r="F53" s="5"/>
      <c r="G53" s="5"/>
    </row>
    <row r="54" spans="3:7" x14ac:dyDescent="0.2">
      <c r="C54" s="5"/>
      <c r="D54" s="5"/>
      <c r="E54" s="5"/>
      <c r="F54" s="5"/>
      <c r="G54" s="5"/>
    </row>
    <row r="55" spans="3:7" x14ac:dyDescent="0.2">
      <c r="C55" s="5"/>
      <c r="D55" s="5"/>
      <c r="E55" s="5"/>
      <c r="F55" s="5"/>
      <c r="G55" s="5"/>
    </row>
    <row r="56" spans="3:7" x14ac:dyDescent="0.2">
      <c r="C56" s="5"/>
      <c r="D56" s="5"/>
      <c r="E56" s="5"/>
      <c r="F56" s="5"/>
      <c r="G56" s="5"/>
    </row>
    <row r="57" spans="3:7" x14ac:dyDescent="0.2">
      <c r="C57" s="5"/>
      <c r="D57" s="5"/>
      <c r="E57" s="5"/>
      <c r="F57" s="5"/>
      <c r="G57" s="5"/>
    </row>
    <row r="69" spans="1:42" x14ac:dyDescent="0.2">
      <c r="AJ69" s="3" t="s">
        <v>9</v>
      </c>
      <c r="AK69" t="s">
        <v>119</v>
      </c>
    </row>
    <row r="70" spans="1:42" x14ac:dyDescent="0.2">
      <c r="A70" s="3" t="s">
        <v>133</v>
      </c>
      <c r="B70" s="3" t="s">
        <v>134</v>
      </c>
      <c r="AJ70" s="3" t="s">
        <v>75</v>
      </c>
      <c r="AK70" t="s">
        <v>119</v>
      </c>
    </row>
    <row r="71" spans="1:42" x14ac:dyDescent="0.2">
      <c r="A71" s="3" t="s">
        <v>113</v>
      </c>
      <c r="B71" t="s">
        <v>116</v>
      </c>
      <c r="C71" t="s">
        <v>114</v>
      </c>
      <c r="D71" t="s">
        <v>132</v>
      </c>
      <c r="E71" t="s">
        <v>115</v>
      </c>
      <c r="F71" t="s">
        <v>117</v>
      </c>
    </row>
    <row r="72" spans="1:42" x14ac:dyDescent="0.2">
      <c r="A72" s="4" t="s">
        <v>281</v>
      </c>
      <c r="B72" s="5"/>
      <c r="C72" s="5"/>
      <c r="D72" s="5"/>
      <c r="E72" s="5"/>
      <c r="F72" s="5"/>
      <c r="AJ72" s="3" t="s">
        <v>123</v>
      </c>
      <c r="AN72" s="3" t="s">
        <v>130</v>
      </c>
    </row>
    <row r="73" spans="1:42" x14ac:dyDescent="0.2">
      <c r="A73" s="10" t="s">
        <v>54</v>
      </c>
      <c r="B73" s="5"/>
      <c r="C73" s="5"/>
      <c r="D73" s="5"/>
      <c r="E73" s="5"/>
      <c r="F73" s="5"/>
      <c r="AJ73" s="3" t="s">
        <v>3</v>
      </c>
      <c r="AK73" s="3" t="s">
        <v>10</v>
      </c>
      <c r="AL73" s="3" t="s">
        <v>11</v>
      </c>
      <c r="AM73" s="3" t="s">
        <v>7</v>
      </c>
      <c r="AN73" s="1" t="s">
        <v>116</v>
      </c>
      <c r="AO73" s="1" t="s">
        <v>114</v>
      </c>
      <c r="AP73" s="1" t="s">
        <v>132</v>
      </c>
    </row>
    <row r="74" spans="1:42" x14ac:dyDescent="0.2">
      <c r="A74" s="11" t="s">
        <v>81</v>
      </c>
      <c r="B74" s="5"/>
      <c r="C74" s="5"/>
      <c r="D74" s="5"/>
      <c r="E74" s="5"/>
      <c r="F74" s="5"/>
      <c r="AJ74" t="s">
        <v>39</v>
      </c>
      <c r="AK74" t="s">
        <v>92</v>
      </c>
      <c r="AL74" t="s">
        <v>91</v>
      </c>
      <c r="AM74" t="s">
        <v>405</v>
      </c>
      <c r="AN74" s="1"/>
      <c r="AO74" s="1"/>
      <c r="AP74" s="1">
        <v>70</v>
      </c>
    </row>
    <row r="75" spans="1:42" x14ac:dyDescent="0.2">
      <c r="A75" s="12" t="s">
        <v>405</v>
      </c>
      <c r="B75" s="5">
        <v>0</v>
      </c>
      <c r="C75" s="5">
        <v>0</v>
      </c>
      <c r="D75" s="5">
        <v>0.86363636363636365</v>
      </c>
      <c r="E75" s="5">
        <v>0.13636363636363635</v>
      </c>
      <c r="F75" s="5">
        <v>0</v>
      </c>
      <c r="AM75" t="s">
        <v>412</v>
      </c>
      <c r="AN75" s="1"/>
      <c r="AO75" s="1"/>
      <c r="AP75" s="1">
        <v>70</v>
      </c>
    </row>
    <row r="76" spans="1:42" x14ac:dyDescent="0.2">
      <c r="A76" s="12" t="s">
        <v>412</v>
      </c>
      <c r="B76" s="5">
        <v>0</v>
      </c>
      <c r="C76" s="5">
        <v>0.18181818181818182</v>
      </c>
      <c r="D76" s="5">
        <v>0.63636363636363635</v>
      </c>
      <c r="E76" s="5">
        <v>0.18181818181818182</v>
      </c>
      <c r="F76" s="5">
        <v>0</v>
      </c>
      <c r="AL76" t="s">
        <v>95</v>
      </c>
      <c r="AM76" t="s">
        <v>405</v>
      </c>
      <c r="AN76" s="1">
        <v>90</v>
      </c>
      <c r="AO76" s="1"/>
      <c r="AP76" s="1"/>
    </row>
    <row r="77" spans="1:42" x14ac:dyDescent="0.2">
      <c r="A77" s="11" t="s">
        <v>88</v>
      </c>
      <c r="B77" s="5"/>
      <c r="C77" s="5"/>
      <c r="D77" s="5"/>
      <c r="E77" s="5"/>
      <c r="F77" s="5"/>
      <c r="AL77" t="s">
        <v>93</v>
      </c>
      <c r="AM77" t="s">
        <v>405</v>
      </c>
      <c r="AN77" s="1"/>
      <c r="AO77" s="1"/>
      <c r="AP77" s="1">
        <v>70</v>
      </c>
    </row>
    <row r="78" spans="1:42" x14ac:dyDescent="0.2">
      <c r="A78" s="12" t="s">
        <v>405</v>
      </c>
      <c r="B78" s="5">
        <v>0</v>
      </c>
      <c r="C78" s="5">
        <v>0.45454545454545453</v>
      </c>
      <c r="D78" s="5">
        <v>0.27272727272727271</v>
      </c>
      <c r="E78" s="5">
        <v>0.27272727272727271</v>
      </c>
      <c r="F78" s="5">
        <v>0</v>
      </c>
      <c r="AM78" t="s">
        <v>412</v>
      </c>
      <c r="AN78" s="1"/>
      <c r="AO78" s="1">
        <v>80</v>
      </c>
      <c r="AP78" s="1"/>
    </row>
    <row r="79" spans="1:42" x14ac:dyDescent="0.2">
      <c r="A79" s="12" t="s">
        <v>412</v>
      </c>
      <c r="B79" s="5">
        <v>0</v>
      </c>
      <c r="C79" s="5">
        <v>0.45454545454545453</v>
      </c>
      <c r="D79" s="5">
        <v>0.27272727272727271</v>
      </c>
      <c r="E79" s="5">
        <v>0.27272727272727271</v>
      </c>
      <c r="F79" s="5">
        <v>0</v>
      </c>
      <c r="AK79" t="s">
        <v>377</v>
      </c>
      <c r="AL79" t="s">
        <v>378</v>
      </c>
      <c r="AM79" t="s">
        <v>405</v>
      </c>
      <c r="AN79" s="1">
        <v>100</v>
      </c>
      <c r="AO79" s="1"/>
      <c r="AP79" s="1"/>
    </row>
    <row r="80" spans="1:42" x14ac:dyDescent="0.2">
      <c r="A80" s="11" t="s">
        <v>84</v>
      </c>
      <c r="B80" s="5"/>
      <c r="C80" s="5"/>
      <c r="D80" s="5"/>
      <c r="E80" s="5"/>
      <c r="F80" s="5"/>
      <c r="AL80" t="s">
        <v>399</v>
      </c>
      <c r="AM80" t="s">
        <v>405</v>
      </c>
      <c r="AN80" s="1">
        <v>90</v>
      </c>
      <c r="AO80" s="1">
        <v>80</v>
      </c>
      <c r="AP80" s="1"/>
    </row>
    <row r="81" spans="1:42" x14ac:dyDescent="0.2">
      <c r="A81" s="12" t="s">
        <v>405</v>
      </c>
      <c r="B81" s="5">
        <v>0.55000000000000004</v>
      </c>
      <c r="C81" s="5">
        <v>0</v>
      </c>
      <c r="D81" s="5">
        <v>0</v>
      </c>
      <c r="E81" s="5">
        <v>0.45</v>
      </c>
      <c r="F81" s="5">
        <v>0</v>
      </c>
      <c r="AM81" t="s">
        <v>412</v>
      </c>
      <c r="AN81" s="1"/>
      <c r="AO81" s="1">
        <v>80</v>
      </c>
      <c r="AP81" s="1"/>
    </row>
    <row r="82" spans="1:42" x14ac:dyDescent="0.2">
      <c r="A82" s="11" t="s">
        <v>82</v>
      </c>
      <c r="B82" s="5"/>
      <c r="C82" s="5"/>
      <c r="D82" s="5"/>
      <c r="E82" s="5"/>
      <c r="F82" s="5"/>
    </row>
    <row r="83" spans="1:42" x14ac:dyDescent="0.2">
      <c r="A83" s="12" t="s">
        <v>405</v>
      </c>
      <c r="B83" s="5">
        <v>0.5</v>
      </c>
      <c r="C83" s="5">
        <v>0</v>
      </c>
      <c r="D83" s="5">
        <v>4.1666666666666664E-2</v>
      </c>
      <c r="E83" s="5">
        <v>0.16666666666666666</v>
      </c>
      <c r="F83" s="5">
        <v>0.29166666666666669</v>
      </c>
    </row>
    <row r="84" spans="1:42" x14ac:dyDescent="0.2">
      <c r="A84" s="11" t="s">
        <v>337</v>
      </c>
      <c r="B84" s="5"/>
      <c r="C84" s="5"/>
      <c r="D84" s="5"/>
      <c r="E84" s="5"/>
      <c r="F84" s="5"/>
    </row>
    <row r="85" spans="1:42" x14ac:dyDescent="0.2">
      <c r="A85" s="12" t="s">
        <v>405</v>
      </c>
      <c r="B85" s="5">
        <v>0</v>
      </c>
      <c r="C85" s="5">
        <v>0.17391304347826086</v>
      </c>
      <c r="D85" s="5">
        <v>0.82608695652173914</v>
      </c>
      <c r="E85" s="5">
        <v>0</v>
      </c>
      <c r="F85" s="5">
        <v>0</v>
      </c>
    </row>
    <row r="86" spans="1:42" x14ac:dyDescent="0.2">
      <c r="A86" s="12" t="s">
        <v>412</v>
      </c>
      <c r="B86" s="5">
        <v>0</v>
      </c>
      <c r="C86" s="5">
        <v>0.25</v>
      </c>
      <c r="D86" s="5">
        <v>0.66666666666666663</v>
      </c>
      <c r="E86" s="5">
        <v>8.3333333333333329E-2</v>
      </c>
      <c r="F86" s="5">
        <v>0</v>
      </c>
    </row>
    <row r="87" spans="1:42" x14ac:dyDescent="0.2">
      <c r="A87" s="11" t="s">
        <v>53</v>
      </c>
      <c r="B87" s="5"/>
      <c r="C87" s="5"/>
      <c r="D87" s="5"/>
      <c r="E87" s="5"/>
      <c r="F87" s="5"/>
    </row>
    <row r="88" spans="1:42" x14ac:dyDescent="0.2">
      <c r="A88" s="12" t="s">
        <v>405</v>
      </c>
      <c r="B88" s="5">
        <v>9.0909090909090912E-2</v>
      </c>
      <c r="C88" s="5">
        <v>0.66666666666666663</v>
      </c>
      <c r="D88" s="5">
        <v>0.24242424242424243</v>
      </c>
      <c r="E88" s="5">
        <v>0</v>
      </c>
      <c r="F88" s="5">
        <v>0</v>
      </c>
    </row>
    <row r="89" spans="1:42" x14ac:dyDescent="0.2">
      <c r="A89" s="12" t="s">
        <v>412</v>
      </c>
      <c r="B89" s="5">
        <v>0</v>
      </c>
      <c r="C89" s="5">
        <v>0</v>
      </c>
      <c r="D89" s="5">
        <v>0.8529411764705882</v>
      </c>
      <c r="E89" s="5">
        <v>0.14705882352941177</v>
      </c>
      <c r="F89" s="5">
        <v>0</v>
      </c>
    </row>
    <row r="90" spans="1:42" x14ac:dyDescent="0.2">
      <c r="A90" s="11" t="s">
        <v>87</v>
      </c>
      <c r="B90" s="5"/>
      <c r="C90" s="5"/>
      <c r="D90" s="5"/>
      <c r="E90" s="5"/>
      <c r="F90" s="5"/>
    </row>
    <row r="91" spans="1:42" x14ac:dyDescent="0.2">
      <c r="A91" s="12" t="s">
        <v>405</v>
      </c>
      <c r="B91" s="5">
        <v>1</v>
      </c>
      <c r="C91" s="5">
        <v>0</v>
      </c>
      <c r="D91" s="5">
        <v>0</v>
      </c>
      <c r="E91" s="5">
        <v>0</v>
      </c>
      <c r="F91" s="5">
        <v>0</v>
      </c>
    </row>
    <row r="92" spans="1:42" x14ac:dyDescent="0.2">
      <c r="A92" s="11" t="s">
        <v>340</v>
      </c>
      <c r="B92" s="5"/>
      <c r="C92" s="5"/>
      <c r="D92" s="5"/>
      <c r="E92" s="5"/>
      <c r="F92" s="5"/>
    </row>
    <row r="93" spans="1:42" x14ac:dyDescent="0.2">
      <c r="A93" s="12" t="s">
        <v>405</v>
      </c>
      <c r="B93" s="5">
        <v>1</v>
      </c>
      <c r="C93" s="5">
        <v>0</v>
      </c>
      <c r="D93" s="5">
        <v>0</v>
      </c>
      <c r="E93" s="5">
        <v>0</v>
      </c>
      <c r="F93" s="5">
        <v>0</v>
      </c>
    </row>
    <row r="94" spans="1:42" x14ac:dyDescent="0.2">
      <c r="A94" s="10" t="s">
        <v>65</v>
      </c>
      <c r="B94" s="5"/>
      <c r="C94" s="5"/>
      <c r="D94" s="5"/>
      <c r="E94" s="5"/>
      <c r="F94" s="5"/>
    </row>
    <row r="95" spans="1:42" x14ac:dyDescent="0.2">
      <c r="A95" s="11" t="s">
        <v>81</v>
      </c>
      <c r="B95" s="5"/>
      <c r="C95" s="5"/>
      <c r="D95" s="5"/>
      <c r="E95" s="5"/>
      <c r="F95" s="5"/>
    </row>
    <row r="96" spans="1:42" x14ac:dyDescent="0.2">
      <c r="A96" s="12" t="s">
        <v>412</v>
      </c>
      <c r="B96" s="5">
        <v>0</v>
      </c>
      <c r="C96" s="5">
        <v>1</v>
      </c>
      <c r="D96" s="5">
        <v>0</v>
      </c>
      <c r="E96" s="5">
        <v>0</v>
      </c>
      <c r="F96" s="5">
        <v>0</v>
      </c>
    </row>
    <row r="97" spans="1:6" x14ac:dyDescent="0.2">
      <c r="A97" s="11" t="s">
        <v>88</v>
      </c>
      <c r="B97" s="5"/>
      <c r="C97" s="5"/>
      <c r="D97" s="5"/>
      <c r="E97" s="5"/>
      <c r="F97" s="5"/>
    </row>
    <row r="98" spans="1:6" x14ac:dyDescent="0.2">
      <c r="A98" s="12" t="s">
        <v>405</v>
      </c>
      <c r="B98" s="5">
        <v>0</v>
      </c>
      <c r="C98" s="5">
        <v>0.77777777777777779</v>
      </c>
      <c r="D98" s="5">
        <v>0.22222222222222221</v>
      </c>
      <c r="E98" s="5">
        <v>0</v>
      </c>
      <c r="F98" s="5">
        <v>0</v>
      </c>
    </row>
    <row r="99" spans="1:6" x14ac:dyDescent="0.2">
      <c r="A99" s="12" t="s">
        <v>412</v>
      </c>
      <c r="B99" s="5">
        <v>0</v>
      </c>
      <c r="C99" s="5">
        <v>0.77777777777777779</v>
      </c>
      <c r="D99" s="5">
        <v>0.22222222222222221</v>
      </c>
      <c r="E99" s="5">
        <v>0</v>
      </c>
      <c r="F99" s="5">
        <v>0</v>
      </c>
    </row>
    <row r="100" spans="1:6" x14ac:dyDescent="0.2">
      <c r="A100" s="11" t="s">
        <v>339</v>
      </c>
      <c r="B100" s="5"/>
      <c r="C100" s="5"/>
      <c r="D100" s="5"/>
      <c r="E100" s="5"/>
      <c r="F100" s="5"/>
    </row>
    <row r="101" spans="1:6" x14ac:dyDescent="0.2">
      <c r="A101" s="12" t="s">
        <v>405</v>
      </c>
      <c r="B101" s="5">
        <v>0</v>
      </c>
      <c r="C101" s="5">
        <v>1</v>
      </c>
      <c r="D101" s="5">
        <v>0</v>
      </c>
      <c r="E101" s="5">
        <v>0</v>
      </c>
      <c r="F101" s="5">
        <v>0</v>
      </c>
    </row>
    <row r="102" spans="1:6" x14ac:dyDescent="0.2">
      <c r="A102" s="11" t="s">
        <v>82</v>
      </c>
      <c r="B102" s="5"/>
      <c r="C102" s="5"/>
      <c r="D102" s="5"/>
      <c r="E102" s="5"/>
      <c r="F102" s="5"/>
    </row>
    <row r="103" spans="1:6" x14ac:dyDescent="0.2">
      <c r="A103" s="12" t="s">
        <v>405</v>
      </c>
      <c r="B103" s="5">
        <v>0.55555555555555558</v>
      </c>
      <c r="C103" s="5">
        <v>0</v>
      </c>
      <c r="D103" s="5">
        <v>0</v>
      </c>
      <c r="E103" s="5">
        <v>0.44444444444444442</v>
      </c>
      <c r="F103" s="5">
        <v>0</v>
      </c>
    </row>
    <row r="104" spans="1:6" x14ac:dyDescent="0.2">
      <c r="A104" s="12" t="s">
        <v>412</v>
      </c>
      <c r="B104" s="5">
        <v>0.1111111111111111</v>
      </c>
      <c r="C104" s="5">
        <v>0.33333333333333331</v>
      </c>
      <c r="D104" s="5">
        <v>0.1111111111111111</v>
      </c>
      <c r="E104" s="5">
        <v>0</v>
      </c>
      <c r="F104" s="5">
        <v>0.44444444444444442</v>
      </c>
    </row>
    <row r="105" spans="1:6" x14ac:dyDescent="0.2">
      <c r="A105" s="11" t="s">
        <v>337</v>
      </c>
      <c r="B105" s="5"/>
      <c r="C105" s="5"/>
      <c r="D105" s="5"/>
      <c r="E105" s="5"/>
      <c r="F105" s="5"/>
    </row>
    <row r="106" spans="1:6" x14ac:dyDescent="0.2">
      <c r="A106" s="12" t="s">
        <v>405</v>
      </c>
      <c r="B106" s="5">
        <v>0</v>
      </c>
      <c r="C106" s="5">
        <v>0</v>
      </c>
      <c r="D106" s="5">
        <v>1</v>
      </c>
      <c r="E106" s="5">
        <v>0</v>
      </c>
      <c r="F106" s="5">
        <v>0</v>
      </c>
    </row>
    <row r="107" spans="1:6" x14ac:dyDescent="0.2">
      <c r="A107" s="12" t="s">
        <v>412</v>
      </c>
      <c r="B107" s="5">
        <v>0</v>
      </c>
      <c r="C107" s="5">
        <v>0.55555555555555558</v>
      </c>
      <c r="D107" s="5">
        <v>0.44444444444444442</v>
      </c>
      <c r="E107" s="5">
        <v>0</v>
      </c>
      <c r="F107" s="5">
        <v>0</v>
      </c>
    </row>
    <row r="108" spans="1:6" x14ac:dyDescent="0.2">
      <c r="A108" s="11" t="s">
        <v>53</v>
      </c>
      <c r="B108" s="5"/>
      <c r="C108" s="5"/>
      <c r="D108" s="5"/>
      <c r="E108" s="5"/>
      <c r="F108" s="5"/>
    </row>
    <row r="109" spans="1:6" x14ac:dyDescent="0.2">
      <c r="A109" s="12" t="s">
        <v>405</v>
      </c>
      <c r="B109" s="5">
        <v>0</v>
      </c>
      <c r="C109" s="5">
        <v>0.25</v>
      </c>
      <c r="D109" s="5">
        <v>0.75</v>
      </c>
      <c r="E109" s="5">
        <v>0</v>
      </c>
      <c r="F109" s="5">
        <v>0</v>
      </c>
    </row>
    <row r="110" spans="1:6" x14ac:dyDescent="0.2">
      <c r="A110" s="12" t="s">
        <v>412</v>
      </c>
      <c r="B110" s="5">
        <v>0</v>
      </c>
      <c r="C110" s="5">
        <v>0.88888888888888884</v>
      </c>
      <c r="D110" s="5">
        <v>0.1111111111111111</v>
      </c>
      <c r="E110" s="5">
        <v>0</v>
      </c>
      <c r="F110" s="5">
        <v>0</v>
      </c>
    </row>
    <row r="111" spans="1:6" x14ac:dyDescent="0.2">
      <c r="A111" s="11" t="s">
        <v>87</v>
      </c>
      <c r="B111" s="5"/>
      <c r="C111" s="5"/>
      <c r="D111" s="5"/>
      <c r="E111" s="5"/>
      <c r="F111" s="5"/>
    </row>
    <row r="112" spans="1:6" x14ac:dyDescent="0.2">
      <c r="A112" s="12" t="s">
        <v>405</v>
      </c>
      <c r="B112" s="5">
        <v>0</v>
      </c>
      <c r="C112" s="5">
        <v>1</v>
      </c>
      <c r="D112" s="5">
        <v>0</v>
      </c>
      <c r="E112" s="5">
        <v>0</v>
      </c>
      <c r="F112" s="5">
        <v>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Z95"/>
  <sheetViews>
    <sheetView showGridLines="0" topLeftCell="N13" zoomScale="118" zoomScaleNormal="101" workbookViewId="0">
      <selection activeCell="P16" sqref="P16"/>
    </sheetView>
  </sheetViews>
  <sheetFormatPr baseColWidth="10" defaultColWidth="11.5" defaultRowHeight="15" x14ac:dyDescent="0.2"/>
  <cols>
    <col min="1" max="2" width="12.1640625" bestFit="1" customWidth="1"/>
    <col min="3" max="3" width="7" bestFit="1" customWidth="1"/>
    <col min="4" max="4" width="20.1640625" bestFit="1" customWidth="1"/>
    <col min="5" max="6" width="5.1640625" bestFit="1" customWidth="1"/>
    <col min="7" max="7" width="7.6640625" bestFit="1" customWidth="1"/>
    <col min="8" max="8" width="5.83203125" bestFit="1" customWidth="1"/>
    <col min="9" max="14" width="20.1640625" bestFit="1" customWidth="1"/>
    <col min="15" max="15" width="9.83203125" bestFit="1" customWidth="1"/>
    <col min="16" max="16" width="31.1640625" bestFit="1" customWidth="1"/>
    <col min="17" max="17" width="12.1640625" bestFit="1" customWidth="1"/>
    <col min="18" max="18" width="7" bestFit="1" customWidth="1"/>
    <col min="19" max="26" width="5.1640625" bestFit="1" customWidth="1"/>
    <col min="27" max="33" width="22.5" bestFit="1" customWidth="1"/>
  </cols>
  <sheetData>
    <row r="3" spans="1:26" x14ac:dyDescent="0.2">
      <c r="A3" s="3" t="s">
        <v>135</v>
      </c>
      <c r="D3" s="3" t="s">
        <v>9</v>
      </c>
      <c r="O3" s="3" t="s">
        <v>492</v>
      </c>
      <c r="R3" s="3" t="s">
        <v>131</v>
      </c>
    </row>
    <row r="4" spans="1:26" x14ac:dyDescent="0.2">
      <c r="A4" s="3" t="s">
        <v>2</v>
      </c>
      <c r="B4" s="3" t="s">
        <v>75</v>
      </c>
      <c r="C4" s="3" t="s">
        <v>131</v>
      </c>
      <c r="D4" t="s">
        <v>41</v>
      </c>
      <c r="E4" t="s">
        <v>36</v>
      </c>
      <c r="F4" t="s">
        <v>31</v>
      </c>
      <c r="G4" t="s">
        <v>90</v>
      </c>
      <c r="H4" t="s">
        <v>279</v>
      </c>
      <c r="O4" s="3" t="s">
        <v>2</v>
      </c>
      <c r="P4" s="3" t="s">
        <v>29</v>
      </c>
      <c r="Q4" s="3" t="s">
        <v>75</v>
      </c>
      <c r="S4" t="s">
        <v>466</v>
      </c>
      <c r="T4" t="s">
        <v>461</v>
      </c>
      <c r="U4" t="s">
        <v>462</v>
      </c>
      <c r="V4" t="s">
        <v>463</v>
      </c>
      <c r="W4" t="s">
        <v>464</v>
      </c>
      <c r="X4" t="s">
        <v>465</v>
      </c>
      <c r="Y4" t="s">
        <v>467</v>
      </c>
      <c r="Z4" t="s">
        <v>486</v>
      </c>
    </row>
    <row r="5" spans="1:26" x14ac:dyDescent="0.2">
      <c r="A5" t="s">
        <v>54</v>
      </c>
      <c r="B5" t="s">
        <v>81</v>
      </c>
      <c r="C5" t="s">
        <v>461</v>
      </c>
      <c r="E5">
        <v>22</v>
      </c>
      <c r="F5">
        <v>11</v>
      </c>
      <c r="G5">
        <v>11</v>
      </c>
      <c r="H5">
        <v>11</v>
      </c>
      <c r="O5" s="27" t="s">
        <v>54</v>
      </c>
      <c r="P5" s="27" t="s">
        <v>404</v>
      </c>
      <c r="Q5" s="27"/>
      <c r="R5" s="27">
        <v>48</v>
      </c>
      <c r="S5" s="27"/>
      <c r="T5" s="27"/>
      <c r="U5" s="27"/>
      <c r="V5" s="27"/>
      <c r="W5" s="27"/>
      <c r="X5" s="27"/>
      <c r="Y5" s="27"/>
      <c r="Z5" s="27"/>
    </row>
    <row r="6" spans="1:26" x14ac:dyDescent="0.2">
      <c r="A6" t="s">
        <v>54</v>
      </c>
      <c r="B6" t="s">
        <v>81</v>
      </c>
      <c r="C6" t="s">
        <v>462</v>
      </c>
      <c r="E6">
        <v>11</v>
      </c>
      <c r="F6">
        <v>11</v>
      </c>
      <c r="G6">
        <v>11</v>
      </c>
      <c r="H6">
        <v>11</v>
      </c>
      <c r="O6" s="28" t="s">
        <v>54</v>
      </c>
      <c r="P6" s="28" t="s">
        <v>404</v>
      </c>
      <c r="Q6" s="28" t="s">
        <v>81</v>
      </c>
      <c r="R6" s="28"/>
      <c r="S6" s="28"/>
      <c r="T6" s="28">
        <v>55</v>
      </c>
      <c r="U6" s="28">
        <v>44</v>
      </c>
      <c r="V6" s="28">
        <v>88</v>
      </c>
      <c r="W6" s="28">
        <v>44</v>
      </c>
      <c r="X6" s="28">
        <v>22</v>
      </c>
      <c r="Y6" s="28">
        <v>44</v>
      </c>
      <c r="Z6" s="28"/>
    </row>
    <row r="7" spans="1:26" x14ac:dyDescent="0.2">
      <c r="A7" t="s">
        <v>54</v>
      </c>
      <c r="B7" t="s">
        <v>81</v>
      </c>
      <c r="C7" t="s">
        <v>463</v>
      </c>
      <c r="E7">
        <v>22</v>
      </c>
      <c r="F7">
        <v>22</v>
      </c>
      <c r="G7">
        <v>22</v>
      </c>
      <c r="H7">
        <v>22</v>
      </c>
      <c r="O7" s="28" t="s">
        <v>54</v>
      </c>
      <c r="P7" s="28" t="s">
        <v>404</v>
      </c>
      <c r="Q7" s="29" t="s">
        <v>53</v>
      </c>
      <c r="R7" s="28"/>
      <c r="S7" s="28"/>
      <c r="T7" s="28">
        <v>44</v>
      </c>
      <c r="U7" s="28">
        <v>44</v>
      </c>
      <c r="V7" s="28">
        <v>44</v>
      </c>
      <c r="W7" s="28">
        <v>45</v>
      </c>
      <c r="X7" s="28">
        <v>44</v>
      </c>
      <c r="Y7" s="28">
        <v>22</v>
      </c>
      <c r="Z7" s="28"/>
    </row>
    <row r="8" spans="1:26" x14ac:dyDescent="0.2">
      <c r="A8" t="s">
        <v>54</v>
      </c>
      <c r="B8" t="s">
        <v>81</v>
      </c>
      <c r="C8" t="s">
        <v>464</v>
      </c>
      <c r="E8">
        <v>11</v>
      </c>
      <c r="F8">
        <v>11</v>
      </c>
      <c r="G8">
        <v>11</v>
      </c>
      <c r="H8">
        <v>11</v>
      </c>
      <c r="O8" s="28" t="s">
        <v>54</v>
      </c>
      <c r="P8" s="28" t="s">
        <v>404</v>
      </c>
      <c r="Q8" t="s">
        <v>86</v>
      </c>
      <c r="R8" s="28"/>
      <c r="S8" s="28"/>
      <c r="T8" s="28">
        <v>8</v>
      </c>
      <c r="U8" s="28">
        <v>8</v>
      </c>
      <c r="V8" s="28">
        <v>8</v>
      </c>
      <c r="W8" s="28">
        <v>8</v>
      </c>
      <c r="X8" s="28"/>
      <c r="Y8" s="28"/>
      <c r="Z8" s="28"/>
    </row>
    <row r="9" spans="1:26" x14ac:dyDescent="0.2">
      <c r="A9" t="s">
        <v>54</v>
      </c>
      <c r="B9" t="s">
        <v>81</v>
      </c>
      <c r="C9" t="s">
        <v>465</v>
      </c>
      <c r="E9">
        <v>11</v>
      </c>
      <c r="F9">
        <v>11</v>
      </c>
      <c r="O9" s="28" t="s">
        <v>54</v>
      </c>
      <c r="P9" s="28" t="s">
        <v>310</v>
      </c>
      <c r="Q9" t="s">
        <v>38</v>
      </c>
      <c r="R9" s="28"/>
      <c r="S9" s="28"/>
      <c r="T9" s="28"/>
      <c r="U9" s="28">
        <v>12</v>
      </c>
      <c r="V9" s="28"/>
      <c r="W9" s="28"/>
      <c r="X9" s="28"/>
      <c r="Y9" s="28"/>
      <c r="Z9" s="28"/>
    </row>
    <row r="10" spans="1:26" x14ac:dyDescent="0.2">
      <c r="A10" t="s">
        <v>54</v>
      </c>
      <c r="B10" t="s">
        <v>81</v>
      </c>
      <c r="C10" t="s">
        <v>467</v>
      </c>
      <c r="E10">
        <v>11</v>
      </c>
      <c r="F10">
        <v>11</v>
      </c>
      <c r="G10">
        <v>11</v>
      </c>
      <c r="H10">
        <v>11</v>
      </c>
      <c r="O10" s="28" t="s">
        <v>54</v>
      </c>
      <c r="P10" s="28" t="s">
        <v>426</v>
      </c>
      <c r="Q10" s="27"/>
      <c r="R10" s="28">
        <v>19</v>
      </c>
      <c r="S10" s="28"/>
      <c r="T10" s="28"/>
      <c r="U10" s="28"/>
      <c r="V10" s="28"/>
      <c r="W10" s="28"/>
      <c r="X10" s="28"/>
      <c r="Y10" s="28"/>
      <c r="Z10" s="28"/>
    </row>
    <row r="11" spans="1:26" x14ac:dyDescent="0.2">
      <c r="A11" t="s">
        <v>54</v>
      </c>
      <c r="B11" t="s">
        <v>38</v>
      </c>
      <c r="C11" t="s">
        <v>462</v>
      </c>
      <c r="E11">
        <v>12</v>
      </c>
      <c r="O11" s="28" t="s">
        <v>54</v>
      </c>
      <c r="P11" s="28" t="s">
        <v>426</v>
      </c>
      <c r="Q11" s="28" t="s">
        <v>49</v>
      </c>
      <c r="R11" s="28"/>
      <c r="S11" s="28">
        <v>12</v>
      </c>
      <c r="T11" s="28"/>
      <c r="U11" s="28">
        <v>12</v>
      </c>
      <c r="V11" s="28"/>
      <c r="W11" s="28"/>
      <c r="X11" s="28">
        <v>12</v>
      </c>
      <c r="Y11" s="28">
        <v>12</v>
      </c>
      <c r="Z11" s="28"/>
    </row>
    <row r="12" spans="1:26" x14ac:dyDescent="0.2">
      <c r="A12" t="s">
        <v>54</v>
      </c>
      <c r="B12" t="s">
        <v>88</v>
      </c>
      <c r="C12" t="s">
        <v>461</v>
      </c>
      <c r="E12">
        <v>11</v>
      </c>
      <c r="F12">
        <v>11</v>
      </c>
      <c r="O12" s="28" t="s">
        <v>54</v>
      </c>
      <c r="P12" s="28" t="s">
        <v>426</v>
      </c>
      <c r="Q12" s="28" t="s">
        <v>339</v>
      </c>
      <c r="R12" s="28"/>
      <c r="S12" s="28">
        <v>6</v>
      </c>
      <c r="T12" s="28"/>
      <c r="U12" s="28">
        <v>6</v>
      </c>
      <c r="V12" s="28"/>
      <c r="W12" s="28"/>
      <c r="X12" s="28">
        <v>5</v>
      </c>
      <c r="Y12" s="28"/>
      <c r="Z12" s="28"/>
    </row>
    <row r="13" spans="1:26" x14ac:dyDescent="0.2">
      <c r="A13" t="s">
        <v>54</v>
      </c>
      <c r="B13" t="s">
        <v>88</v>
      </c>
      <c r="C13" t="s">
        <v>462</v>
      </c>
      <c r="D13">
        <v>11</v>
      </c>
      <c r="G13">
        <v>11</v>
      </c>
      <c r="H13">
        <v>11</v>
      </c>
      <c r="O13" s="28" t="s">
        <v>54</v>
      </c>
      <c r="P13" s="28" t="s">
        <v>426</v>
      </c>
      <c r="Q13" s="29" t="s">
        <v>87</v>
      </c>
      <c r="R13" s="28"/>
      <c r="S13" s="28">
        <v>6</v>
      </c>
      <c r="T13" s="28"/>
      <c r="U13" s="28">
        <v>6</v>
      </c>
      <c r="V13" s="28"/>
      <c r="W13" s="28"/>
      <c r="X13" s="28">
        <v>5</v>
      </c>
      <c r="Y13" s="28"/>
      <c r="Z13" s="28"/>
    </row>
    <row r="14" spans="1:26" x14ac:dyDescent="0.2">
      <c r="A14" t="s">
        <v>54</v>
      </c>
      <c r="B14" t="s">
        <v>88</v>
      </c>
      <c r="C14" t="s">
        <v>463</v>
      </c>
      <c r="D14">
        <v>9</v>
      </c>
      <c r="E14">
        <v>9</v>
      </c>
      <c r="O14" s="28" t="s">
        <v>54</v>
      </c>
      <c r="P14" s="28" t="s">
        <v>278</v>
      </c>
      <c r="Q14" s="27"/>
      <c r="R14" s="28">
        <v>129</v>
      </c>
      <c r="S14" s="28"/>
      <c r="T14" s="28"/>
      <c r="U14" s="28"/>
      <c r="V14" s="28"/>
      <c r="W14" s="28"/>
      <c r="X14" s="28"/>
      <c r="Y14" s="28"/>
      <c r="Z14" s="28"/>
    </row>
    <row r="15" spans="1:26" x14ac:dyDescent="0.2">
      <c r="A15" t="s">
        <v>54</v>
      </c>
      <c r="B15" t="s">
        <v>88</v>
      </c>
      <c r="C15" t="s">
        <v>465</v>
      </c>
      <c r="D15">
        <v>11</v>
      </c>
      <c r="E15">
        <v>11</v>
      </c>
      <c r="G15">
        <v>11</v>
      </c>
      <c r="O15" s="28" t="s">
        <v>54</v>
      </c>
      <c r="P15" s="28" t="s">
        <v>278</v>
      </c>
      <c r="Q15" s="28" t="s">
        <v>82</v>
      </c>
      <c r="R15" s="28"/>
      <c r="S15" s="28">
        <v>36</v>
      </c>
      <c r="T15" s="28"/>
      <c r="U15" s="28">
        <v>30</v>
      </c>
      <c r="V15" s="28">
        <v>20</v>
      </c>
      <c r="W15" s="28"/>
      <c r="X15" s="28">
        <v>32</v>
      </c>
      <c r="Y15" s="28">
        <v>22</v>
      </c>
      <c r="Z15" s="28"/>
    </row>
    <row r="16" spans="1:26" x14ac:dyDescent="0.2">
      <c r="A16" t="s">
        <v>54</v>
      </c>
      <c r="B16" t="s">
        <v>49</v>
      </c>
      <c r="C16" t="s">
        <v>466</v>
      </c>
      <c r="D16">
        <v>12</v>
      </c>
      <c r="O16" s="28" t="s">
        <v>54</v>
      </c>
      <c r="P16" s="28" t="s">
        <v>278</v>
      </c>
      <c r="Q16" s="28" t="s">
        <v>40</v>
      </c>
      <c r="R16" s="28"/>
      <c r="S16" s="28"/>
      <c r="T16" s="28"/>
      <c r="U16" s="28"/>
      <c r="V16" s="28"/>
      <c r="W16" s="28">
        <v>11</v>
      </c>
      <c r="X16" s="28"/>
      <c r="Y16" s="28"/>
      <c r="Z16" s="28">
        <v>10</v>
      </c>
    </row>
    <row r="17" spans="1:26" x14ac:dyDescent="0.2">
      <c r="A17" t="s">
        <v>54</v>
      </c>
      <c r="B17" t="s">
        <v>49</v>
      </c>
      <c r="C17" t="s">
        <v>462</v>
      </c>
      <c r="F17">
        <v>12</v>
      </c>
      <c r="O17" s="28" t="s">
        <v>54</v>
      </c>
      <c r="P17" s="28" t="s">
        <v>278</v>
      </c>
      <c r="Q17" s="28" t="s">
        <v>337</v>
      </c>
      <c r="R17" s="28"/>
      <c r="S17" s="28"/>
      <c r="T17" s="28">
        <v>48</v>
      </c>
      <c r="U17" s="28"/>
      <c r="V17" s="28">
        <v>44</v>
      </c>
      <c r="W17" s="28">
        <v>82</v>
      </c>
      <c r="X17" s="28">
        <v>22</v>
      </c>
      <c r="Y17" s="28"/>
      <c r="Z17" s="28"/>
    </row>
    <row r="18" spans="1:26" x14ac:dyDescent="0.2">
      <c r="A18" t="s">
        <v>54</v>
      </c>
      <c r="B18" t="s">
        <v>49</v>
      </c>
      <c r="C18" t="s">
        <v>465</v>
      </c>
      <c r="E18">
        <v>12</v>
      </c>
      <c r="O18" s="28" t="s">
        <v>54</v>
      </c>
      <c r="P18" s="28" t="s">
        <v>278</v>
      </c>
      <c r="Q18" s="28" t="s">
        <v>87</v>
      </c>
      <c r="R18" s="28"/>
      <c r="S18" s="28"/>
      <c r="T18" s="28">
        <v>9</v>
      </c>
      <c r="U18" s="28">
        <v>3</v>
      </c>
      <c r="V18" s="28">
        <v>6</v>
      </c>
      <c r="W18" s="28">
        <v>18</v>
      </c>
      <c r="X18" s="28">
        <v>18</v>
      </c>
      <c r="Y18" s="28">
        <v>6</v>
      </c>
      <c r="Z18" s="28">
        <v>10</v>
      </c>
    </row>
    <row r="19" spans="1:26" x14ac:dyDescent="0.2">
      <c r="A19" t="s">
        <v>54</v>
      </c>
      <c r="B19" t="s">
        <v>49</v>
      </c>
      <c r="C19" t="s">
        <v>467</v>
      </c>
      <c r="E19">
        <v>12</v>
      </c>
      <c r="O19" s="28" t="s">
        <v>54</v>
      </c>
      <c r="P19" s="28" t="s">
        <v>278</v>
      </c>
      <c r="Q19" s="29" t="s">
        <v>340</v>
      </c>
      <c r="R19" s="28"/>
      <c r="S19" s="28"/>
      <c r="T19" s="28">
        <v>9</v>
      </c>
      <c r="U19" s="28">
        <v>3</v>
      </c>
      <c r="V19" s="28">
        <v>6</v>
      </c>
      <c r="W19" s="28">
        <v>18</v>
      </c>
      <c r="X19" s="28">
        <v>18</v>
      </c>
      <c r="Y19" s="28">
        <v>6</v>
      </c>
      <c r="Z19" s="28">
        <v>10</v>
      </c>
    </row>
    <row r="20" spans="1:26" x14ac:dyDescent="0.2">
      <c r="A20" t="s">
        <v>54</v>
      </c>
      <c r="B20" t="s">
        <v>84</v>
      </c>
      <c r="C20" t="s">
        <v>461</v>
      </c>
      <c r="E20">
        <v>19</v>
      </c>
      <c r="O20" s="28" t="s">
        <v>54</v>
      </c>
      <c r="P20" s="28" t="s">
        <v>278</v>
      </c>
      <c r="Q20" t="s">
        <v>85</v>
      </c>
      <c r="R20" s="28"/>
      <c r="S20" s="28"/>
      <c r="T20" s="28">
        <v>3</v>
      </c>
      <c r="U20" s="28">
        <v>3</v>
      </c>
      <c r="V20" s="28">
        <v>3</v>
      </c>
      <c r="W20" s="28">
        <v>3</v>
      </c>
      <c r="X20" s="28"/>
      <c r="Y20" s="28"/>
      <c r="Z20" s="28"/>
    </row>
    <row r="21" spans="1:26" x14ac:dyDescent="0.2">
      <c r="A21" t="s">
        <v>54</v>
      </c>
      <c r="B21" t="s">
        <v>84</v>
      </c>
      <c r="C21" t="s">
        <v>462</v>
      </c>
      <c r="E21">
        <v>42</v>
      </c>
      <c r="G21">
        <v>20</v>
      </c>
      <c r="O21" s="28" t="s">
        <v>54</v>
      </c>
      <c r="P21" s="28" t="s">
        <v>50</v>
      </c>
      <c r="Q21" s="27"/>
      <c r="R21" s="28">
        <v>24</v>
      </c>
      <c r="S21" s="28"/>
      <c r="T21" s="28"/>
      <c r="U21" s="28"/>
      <c r="V21" s="28"/>
      <c r="W21" s="28"/>
      <c r="X21" s="28"/>
      <c r="Y21" s="28"/>
      <c r="Z21" s="28"/>
    </row>
    <row r="22" spans="1:26" x14ac:dyDescent="0.2">
      <c r="A22" t="s">
        <v>54</v>
      </c>
      <c r="B22" t="s">
        <v>84</v>
      </c>
      <c r="C22" t="s">
        <v>463</v>
      </c>
      <c r="E22">
        <v>8</v>
      </c>
      <c r="O22" s="28" t="s">
        <v>54</v>
      </c>
      <c r="P22" s="28" t="s">
        <v>50</v>
      </c>
      <c r="Q22" s="29" t="s">
        <v>84</v>
      </c>
      <c r="R22" s="28"/>
      <c r="S22" s="28"/>
      <c r="T22" s="28">
        <v>19</v>
      </c>
      <c r="U22" s="28">
        <v>62</v>
      </c>
      <c r="V22" s="28">
        <v>8</v>
      </c>
      <c r="W22" s="28">
        <v>33</v>
      </c>
      <c r="X22" s="28">
        <v>22</v>
      </c>
      <c r="Y22" s="28"/>
      <c r="Z22" s="28"/>
    </row>
    <row r="23" spans="1:26" x14ac:dyDescent="0.2">
      <c r="A23" t="s">
        <v>54</v>
      </c>
      <c r="B23" t="s">
        <v>84</v>
      </c>
      <c r="C23" t="s">
        <v>464</v>
      </c>
      <c r="E23">
        <v>33</v>
      </c>
      <c r="O23" s="28" t="s">
        <v>54</v>
      </c>
      <c r="P23" s="28" t="s">
        <v>125</v>
      </c>
      <c r="Q23" s="27"/>
      <c r="R23" s="28">
        <v>14</v>
      </c>
      <c r="S23" s="28"/>
      <c r="T23" s="28"/>
      <c r="U23" s="28"/>
      <c r="V23" s="28"/>
      <c r="W23" s="28"/>
      <c r="X23" s="28"/>
      <c r="Y23" s="28"/>
      <c r="Z23" s="28"/>
    </row>
    <row r="24" spans="1:26" x14ac:dyDescent="0.2">
      <c r="A24" t="s">
        <v>54</v>
      </c>
      <c r="B24" t="s">
        <v>84</v>
      </c>
      <c r="C24" t="s">
        <v>465</v>
      </c>
      <c r="E24">
        <v>22</v>
      </c>
      <c r="O24" s="28" t="s">
        <v>54</v>
      </c>
      <c r="P24" s="29" t="s">
        <v>125</v>
      </c>
      <c r="Q24" s="29" t="s">
        <v>88</v>
      </c>
      <c r="R24" s="28"/>
      <c r="S24" s="28"/>
      <c r="T24" s="28">
        <v>22</v>
      </c>
      <c r="U24" s="28">
        <v>33</v>
      </c>
      <c r="V24" s="28">
        <v>18</v>
      </c>
      <c r="W24" s="28"/>
      <c r="X24" s="28">
        <v>33</v>
      </c>
      <c r="Y24" s="28"/>
      <c r="Z24" s="28"/>
    </row>
    <row r="25" spans="1:26" x14ac:dyDescent="0.2">
      <c r="A25" t="s">
        <v>54</v>
      </c>
      <c r="B25" t="s">
        <v>339</v>
      </c>
      <c r="C25" t="s">
        <v>466</v>
      </c>
      <c r="D25">
        <v>6</v>
      </c>
      <c r="O25" s="28" t="s">
        <v>65</v>
      </c>
      <c r="P25" s="27" t="s">
        <v>404</v>
      </c>
      <c r="Q25" t="s">
        <v>53</v>
      </c>
      <c r="R25" s="28"/>
      <c r="S25" s="28"/>
      <c r="T25" s="28">
        <v>36</v>
      </c>
      <c r="U25" s="28">
        <v>36</v>
      </c>
      <c r="V25" s="28">
        <v>63</v>
      </c>
      <c r="W25" s="28">
        <v>36</v>
      </c>
      <c r="X25" s="28">
        <v>36</v>
      </c>
      <c r="Y25" s="28">
        <v>27</v>
      </c>
      <c r="Z25" s="28"/>
    </row>
    <row r="26" spans="1:26" x14ac:dyDescent="0.2">
      <c r="A26" t="s">
        <v>54</v>
      </c>
      <c r="B26" t="s">
        <v>339</v>
      </c>
      <c r="C26" t="s">
        <v>462</v>
      </c>
      <c r="D26">
        <v>6</v>
      </c>
      <c r="O26" s="28" t="s">
        <v>65</v>
      </c>
      <c r="P26" s="28" t="s">
        <v>404</v>
      </c>
      <c r="Q26" t="s">
        <v>85</v>
      </c>
      <c r="R26" s="28"/>
      <c r="S26" s="28"/>
      <c r="T26" s="28">
        <v>1</v>
      </c>
      <c r="U26" s="28">
        <v>1</v>
      </c>
      <c r="V26" s="28">
        <v>1</v>
      </c>
      <c r="W26" s="28">
        <v>1</v>
      </c>
      <c r="X26" s="28"/>
      <c r="Y26" s="28"/>
      <c r="Z26" s="28"/>
    </row>
    <row r="27" spans="1:26" x14ac:dyDescent="0.2">
      <c r="A27" t="s">
        <v>54</v>
      </c>
      <c r="B27" t="s">
        <v>339</v>
      </c>
      <c r="C27" t="s">
        <v>465</v>
      </c>
      <c r="D27">
        <v>5</v>
      </c>
      <c r="O27" s="28" t="s">
        <v>65</v>
      </c>
      <c r="P27" s="28" t="s">
        <v>404</v>
      </c>
      <c r="Q27" t="s">
        <v>86</v>
      </c>
      <c r="R27" s="28"/>
      <c r="S27" s="28"/>
      <c r="T27" s="28">
        <v>8</v>
      </c>
      <c r="U27" s="28">
        <v>8</v>
      </c>
      <c r="V27" s="28">
        <v>8</v>
      </c>
      <c r="W27" s="28">
        <v>8</v>
      </c>
      <c r="X27" s="28"/>
      <c r="Y27" s="28"/>
      <c r="Z27" s="28"/>
    </row>
    <row r="28" spans="1:26" x14ac:dyDescent="0.2">
      <c r="A28" t="s">
        <v>54</v>
      </c>
      <c r="B28" t="s">
        <v>82</v>
      </c>
      <c r="C28" t="s">
        <v>466</v>
      </c>
      <c r="D28">
        <v>12</v>
      </c>
      <c r="E28">
        <v>12</v>
      </c>
      <c r="G28">
        <v>12</v>
      </c>
      <c r="O28" s="28" t="s">
        <v>65</v>
      </c>
      <c r="P28" s="28" t="s">
        <v>310</v>
      </c>
      <c r="Q28" t="s">
        <v>38</v>
      </c>
      <c r="R28" s="28"/>
      <c r="S28" s="28"/>
      <c r="T28" s="28">
        <v>9</v>
      </c>
      <c r="U28" s="28"/>
      <c r="V28" s="28"/>
      <c r="W28" s="28"/>
      <c r="X28" s="28"/>
      <c r="Y28" s="28"/>
      <c r="Z28" s="28"/>
    </row>
    <row r="29" spans="1:26" x14ac:dyDescent="0.2">
      <c r="A29" t="s">
        <v>54</v>
      </c>
      <c r="B29" t="s">
        <v>82</v>
      </c>
      <c r="C29" t="s">
        <v>462</v>
      </c>
      <c r="D29">
        <v>10</v>
      </c>
      <c r="E29">
        <v>10</v>
      </c>
      <c r="F29">
        <v>10</v>
      </c>
      <c r="O29" s="28" t="s">
        <v>65</v>
      </c>
      <c r="P29" s="28" t="s">
        <v>401</v>
      </c>
      <c r="Q29" s="27"/>
      <c r="R29" s="28">
        <v>4</v>
      </c>
      <c r="S29" s="28"/>
      <c r="T29" s="28"/>
      <c r="U29" s="28"/>
      <c r="V29" s="28"/>
      <c r="W29" s="28"/>
      <c r="X29" s="28"/>
      <c r="Y29" s="28"/>
      <c r="Z29" s="28"/>
    </row>
    <row r="30" spans="1:26" x14ac:dyDescent="0.2">
      <c r="A30" t="s">
        <v>54</v>
      </c>
      <c r="B30" t="s">
        <v>82</v>
      </c>
      <c r="C30" t="s">
        <v>463</v>
      </c>
      <c r="E30">
        <v>8</v>
      </c>
      <c r="G30">
        <v>12</v>
      </c>
      <c r="O30" s="28" t="s">
        <v>65</v>
      </c>
      <c r="P30" s="28" t="s">
        <v>401</v>
      </c>
      <c r="Q30" s="29" t="s">
        <v>337</v>
      </c>
      <c r="R30" s="28"/>
      <c r="S30" s="28"/>
      <c r="T30" s="28">
        <v>41</v>
      </c>
      <c r="U30" s="28">
        <v>36</v>
      </c>
      <c r="V30" s="28"/>
      <c r="W30" s="28">
        <v>63</v>
      </c>
      <c r="X30" s="28"/>
      <c r="Y30" s="28"/>
      <c r="Z30" s="28"/>
    </row>
    <row r="31" spans="1:26" x14ac:dyDescent="0.2">
      <c r="A31" t="s">
        <v>54</v>
      </c>
      <c r="B31" t="s">
        <v>82</v>
      </c>
      <c r="C31" t="s">
        <v>465</v>
      </c>
      <c r="D31">
        <v>11</v>
      </c>
      <c r="E31">
        <v>21</v>
      </c>
      <c r="O31" s="28" t="s">
        <v>65</v>
      </c>
      <c r="P31" s="28" t="s">
        <v>426</v>
      </c>
      <c r="Q31" t="s">
        <v>49</v>
      </c>
      <c r="R31" s="28"/>
      <c r="S31" s="28">
        <v>9</v>
      </c>
      <c r="T31" s="28">
        <v>9</v>
      </c>
      <c r="U31" s="28"/>
      <c r="V31" s="28">
        <v>9</v>
      </c>
      <c r="W31" s="28"/>
      <c r="X31" s="28">
        <v>9</v>
      </c>
      <c r="Y31" s="28"/>
      <c r="Z31" s="28"/>
    </row>
    <row r="32" spans="1:26" x14ac:dyDescent="0.2">
      <c r="A32" t="s">
        <v>54</v>
      </c>
      <c r="B32" t="s">
        <v>82</v>
      </c>
      <c r="C32" t="s">
        <v>467</v>
      </c>
      <c r="D32">
        <v>11</v>
      </c>
      <c r="E32">
        <v>11</v>
      </c>
      <c r="O32" s="28" t="s">
        <v>65</v>
      </c>
      <c r="P32" s="28" t="s">
        <v>278</v>
      </c>
      <c r="Q32" t="s">
        <v>82</v>
      </c>
      <c r="R32" s="28"/>
      <c r="S32" s="28"/>
      <c r="T32" s="28">
        <v>36</v>
      </c>
      <c r="U32" s="28"/>
      <c r="V32" s="28">
        <v>18</v>
      </c>
      <c r="W32" s="28">
        <v>36</v>
      </c>
      <c r="X32" s="28"/>
      <c r="Y32" s="28"/>
      <c r="Z32" s="28"/>
    </row>
    <row r="33" spans="1:26" x14ac:dyDescent="0.2">
      <c r="A33" t="s">
        <v>54</v>
      </c>
      <c r="B33" t="s">
        <v>337</v>
      </c>
      <c r="C33" t="s">
        <v>461</v>
      </c>
      <c r="E33">
        <v>12</v>
      </c>
      <c r="F33">
        <v>12</v>
      </c>
      <c r="G33">
        <v>12</v>
      </c>
      <c r="H33">
        <v>12</v>
      </c>
      <c r="O33" s="28" t="s">
        <v>65</v>
      </c>
      <c r="P33" s="28" t="s">
        <v>278</v>
      </c>
      <c r="Q33" t="s">
        <v>40</v>
      </c>
      <c r="R33" s="28"/>
      <c r="S33" s="28"/>
      <c r="T33" s="28"/>
      <c r="U33" s="28"/>
      <c r="V33" s="28"/>
      <c r="W33" s="28"/>
      <c r="X33" s="28">
        <v>9</v>
      </c>
      <c r="Y33" s="28"/>
      <c r="Z33" s="28"/>
    </row>
    <row r="34" spans="1:26" x14ac:dyDescent="0.2">
      <c r="A34" t="s">
        <v>54</v>
      </c>
      <c r="B34" t="s">
        <v>337</v>
      </c>
      <c r="C34" t="s">
        <v>463</v>
      </c>
      <c r="E34">
        <v>11</v>
      </c>
      <c r="F34">
        <v>11</v>
      </c>
      <c r="G34">
        <v>11</v>
      </c>
      <c r="H34">
        <v>11</v>
      </c>
      <c r="O34" s="28" t="s">
        <v>65</v>
      </c>
      <c r="P34" s="28" t="s">
        <v>278</v>
      </c>
      <c r="Q34" t="s">
        <v>88</v>
      </c>
      <c r="R34" s="28"/>
      <c r="S34" s="28"/>
      <c r="T34" s="28">
        <v>18</v>
      </c>
      <c r="U34" s="28">
        <v>27</v>
      </c>
      <c r="V34" s="28">
        <v>18</v>
      </c>
      <c r="W34" s="28"/>
      <c r="X34" s="28">
        <v>27</v>
      </c>
      <c r="Y34" s="28"/>
      <c r="Z34" s="28"/>
    </row>
    <row r="35" spans="1:26" x14ac:dyDescent="0.2">
      <c r="A35" t="s">
        <v>54</v>
      </c>
      <c r="B35" t="s">
        <v>337</v>
      </c>
      <c r="C35" t="s">
        <v>464</v>
      </c>
      <c r="D35">
        <v>23</v>
      </c>
      <c r="E35">
        <v>23</v>
      </c>
      <c r="F35">
        <v>12</v>
      </c>
      <c r="G35">
        <v>12</v>
      </c>
      <c r="H35">
        <v>12</v>
      </c>
      <c r="O35" s="28" t="s">
        <v>65</v>
      </c>
      <c r="P35" s="28" t="s">
        <v>50</v>
      </c>
      <c r="Q35" s="27"/>
      <c r="R35" s="28">
        <v>5</v>
      </c>
      <c r="S35" s="28"/>
      <c r="T35" s="28"/>
      <c r="U35" s="28"/>
      <c r="V35" s="28"/>
      <c r="W35" s="28"/>
      <c r="X35" s="28"/>
      <c r="Y35" s="28"/>
      <c r="Z35" s="28"/>
    </row>
    <row r="36" spans="1:26" x14ac:dyDescent="0.2">
      <c r="A36" t="s">
        <v>54</v>
      </c>
      <c r="B36" t="s">
        <v>337</v>
      </c>
      <c r="C36" t="s">
        <v>465</v>
      </c>
      <c r="E36">
        <v>22</v>
      </c>
      <c r="O36" s="28" t="s">
        <v>65</v>
      </c>
      <c r="P36" s="29" t="s">
        <v>50</v>
      </c>
      <c r="Q36" s="29" t="s">
        <v>84</v>
      </c>
      <c r="R36" s="28"/>
      <c r="S36" s="28"/>
      <c r="T36" s="28">
        <v>9</v>
      </c>
      <c r="U36" s="28">
        <v>34</v>
      </c>
      <c r="V36" s="28"/>
      <c r="W36" s="28">
        <v>9</v>
      </c>
      <c r="X36" s="28">
        <v>24</v>
      </c>
      <c r="Y36" s="28"/>
      <c r="Z36" s="28">
        <v>9</v>
      </c>
    </row>
    <row r="37" spans="1:26" x14ac:dyDescent="0.2">
      <c r="A37" t="s">
        <v>54</v>
      </c>
      <c r="B37" t="s">
        <v>53</v>
      </c>
      <c r="C37" t="s">
        <v>461</v>
      </c>
      <c r="E37">
        <v>11</v>
      </c>
      <c r="F37">
        <v>11</v>
      </c>
      <c r="G37">
        <v>11</v>
      </c>
      <c r="H37">
        <v>11</v>
      </c>
      <c r="O37" s="28" t="s">
        <v>65</v>
      </c>
      <c r="P37" t="s">
        <v>509</v>
      </c>
      <c r="R37" s="28">
        <v>12</v>
      </c>
      <c r="S37" s="28"/>
      <c r="T37" s="28"/>
      <c r="U37" s="28"/>
      <c r="V37" s="28"/>
      <c r="W37" s="28"/>
      <c r="X37" s="28"/>
      <c r="Y37" s="28"/>
      <c r="Z37" s="28"/>
    </row>
    <row r="38" spans="1:26" x14ac:dyDescent="0.2">
      <c r="A38" t="s">
        <v>54</v>
      </c>
      <c r="B38" t="s">
        <v>53</v>
      </c>
      <c r="C38" t="s">
        <v>462</v>
      </c>
      <c r="E38">
        <v>11</v>
      </c>
      <c r="F38">
        <v>11</v>
      </c>
      <c r="G38">
        <v>11</v>
      </c>
      <c r="H38">
        <v>11</v>
      </c>
      <c r="O38" s="28" t="s">
        <v>65</v>
      </c>
      <c r="P38" t="s">
        <v>509</v>
      </c>
      <c r="Q38" t="s">
        <v>81</v>
      </c>
      <c r="R38" s="28"/>
      <c r="S38" s="28"/>
      <c r="T38" s="28"/>
      <c r="U38" s="28"/>
      <c r="V38" s="28">
        <v>18</v>
      </c>
      <c r="W38" s="28">
        <v>9</v>
      </c>
      <c r="X38" s="28">
        <v>18</v>
      </c>
      <c r="Y38" s="28">
        <v>18</v>
      </c>
      <c r="Z38" s="28">
        <v>9</v>
      </c>
    </row>
    <row r="39" spans="1:26" x14ac:dyDescent="0.2">
      <c r="A39" t="s">
        <v>54</v>
      </c>
      <c r="B39" t="s">
        <v>53</v>
      </c>
      <c r="C39" t="s">
        <v>463</v>
      </c>
      <c r="E39">
        <v>11</v>
      </c>
      <c r="F39">
        <v>11</v>
      </c>
      <c r="G39">
        <v>11</v>
      </c>
      <c r="H39">
        <v>11</v>
      </c>
      <c r="O39" s="28" t="s">
        <v>65</v>
      </c>
      <c r="P39" t="s">
        <v>509</v>
      </c>
      <c r="Q39" t="s">
        <v>339</v>
      </c>
      <c r="R39" s="28"/>
      <c r="S39" s="28"/>
      <c r="T39" s="28"/>
      <c r="U39" s="28">
        <v>5</v>
      </c>
      <c r="V39" s="28">
        <v>10</v>
      </c>
      <c r="W39" s="28"/>
      <c r="X39" s="28"/>
      <c r="Y39" s="28"/>
      <c r="Z39" s="28"/>
    </row>
    <row r="40" spans="1:26" x14ac:dyDescent="0.2">
      <c r="A40" t="s">
        <v>54</v>
      </c>
      <c r="B40" t="s">
        <v>53</v>
      </c>
      <c r="C40" t="s">
        <v>464</v>
      </c>
      <c r="E40">
        <v>11</v>
      </c>
      <c r="F40">
        <v>11</v>
      </c>
      <c r="G40">
        <v>12</v>
      </c>
      <c r="H40">
        <v>11</v>
      </c>
      <c r="O40" s="29" t="s">
        <v>65</v>
      </c>
      <c r="P40" t="s">
        <v>509</v>
      </c>
      <c r="Q40" t="s">
        <v>87</v>
      </c>
      <c r="R40" s="29"/>
      <c r="S40" s="29"/>
      <c r="T40" s="29"/>
      <c r="U40" s="29">
        <v>5</v>
      </c>
      <c r="V40" s="29">
        <v>10</v>
      </c>
      <c r="W40" s="29"/>
      <c r="X40" s="29"/>
      <c r="Y40" s="29"/>
      <c r="Z40" s="29"/>
    </row>
    <row r="41" spans="1:26" x14ac:dyDescent="0.2">
      <c r="A41" t="s">
        <v>54</v>
      </c>
      <c r="B41" t="s">
        <v>53</v>
      </c>
      <c r="C41" t="s">
        <v>465</v>
      </c>
      <c r="E41">
        <v>11</v>
      </c>
      <c r="F41">
        <v>11</v>
      </c>
      <c r="G41">
        <v>11</v>
      </c>
      <c r="H41">
        <v>11</v>
      </c>
    </row>
    <row r="42" spans="1:26" x14ac:dyDescent="0.2">
      <c r="A42" t="s">
        <v>54</v>
      </c>
      <c r="B42" t="s">
        <v>53</v>
      </c>
      <c r="C42" t="s">
        <v>467</v>
      </c>
      <c r="E42">
        <v>11</v>
      </c>
      <c r="G42">
        <v>11</v>
      </c>
    </row>
    <row r="43" spans="1:26" x14ac:dyDescent="0.2">
      <c r="A43" t="s">
        <v>54</v>
      </c>
      <c r="B43" t="s">
        <v>87</v>
      </c>
      <c r="C43" t="s">
        <v>466</v>
      </c>
      <c r="D43">
        <v>6</v>
      </c>
    </row>
    <row r="44" spans="1:26" x14ac:dyDescent="0.2">
      <c r="A44" t="s">
        <v>54</v>
      </c>
      <c r="B44" t="s">
        <v>87</v>
      </c>
      <c r="C44" t="s">
        <v>461</v>
      </c>
      <c r="D44">
        <v>6</v>
      </c>
      <c r="E44">
        <v>3</v>
      </c>
    </row>
    <row r="45" spans="1:26" x14ac:dyDescent="0.2">
      <c r="A45" t="s">
        <v>54</v>
      </c>
      <c r="B45" t="s">
        <v>87</v>
      </c>
      <c r="C45" t="s">
        <v>462</v>
      </c>
      <c r="D45">
        <v>6</v>
      </c>
      <c r="G45">
        <v>3</v>
      </c>
    </row>
    <row r="46" spans="1:26" x14ac:dyDescent="0.2">
      <c r="A46" t="s">
        <v>54</v>
      </c>
      <c r="B46" t="s">
        <v>87</v>
      </c>
      <c r="C46" t="s">
        <v>463</v>
      </c>
      <c r="D46">
        <v>6</v>
      </c>
    </row>
    <row r="47" spans="1:26" x14ac:dyDescent="0.2">
      <c r="A47" t="s">
        <v>54</v>
      </c>
      <c r="B47" t="s">
        <v>87</v>
      </c>
      <c r="C47" t="s">
        <v>464</v>
      </c>
      <c r="D47">
        <v>12</v>
      </c>
      <c r="E47">
        <v>6</v>
      </c>
    </row>
    <row r="48" spans="1:26" x14ac:dyDescent="0.2">
      <c r="A48" t="s">
        <v>54</v>
      </c>
      <c r="B48" t="s">
        <v>87</v>
      </c>
      <c r="C48" t="s">
        <v>465</v>
      </c>
      <c r="D48">
        <v>11</v>
      </c>
      <c r="E48">
        <v>6</v>
      </c>
      <c r="F48">
        <v>6</v>
      </c>
    </row>
    <row r="49" spans="1:8" x14ac:dyDescent="0.2">
      <c r="A49" t="s">
        <v>54</v>
      </c>
      <c r="B49" t="s">
        <v>87</v>
      </c>
      <c r="C49" t="s">
        <v>467</v>
      </c>
      <c r="D49">
        <v>6</v>
      </c>
    </row>
    <row r="50" spans="1:8" x14ac:dyDescent="0.2">
      <c r="A50" t="s">
        <v>54</v>
      </c>
      <c r="B50" t="s">
        <v>87</v>
      </c>
      <c r="C50" t="s">
        <v>486</v>
      </c>
      <c r="D50">
        <v>5</v>
      </c>
      <c r="E50">
        <v>5</v>
      </c>
    </row>
    <row r="51" spans="1:8" x14ac:dyDescent="0.2">
      <c r="A51" t="s">
        <v>54</v>
      </c>
      <c r="B51" t="s">
        <v>40</v>
      </c>
      <c r="C51" t="s">
        <v>464</v>
      </c>
      <c r="E51">
        <v>11</v>
      </c>
    </row>
    <row r="52" spans="1:8" x14ac:dyDescent="0.2">
      <c r="A52" t="s">
        <v>54</v>
      </c>
      <c r="B52" t="s">
        <v>40</v>
      </c>
      <c r="C52" t="s">
        <v>486</v>
      </c>
      <c r="E52">
        <v>10</v>
      </c>
    </row>
    <row r="53" spans="1:8" x14ac:dyDescent="0.2">
      <c r="A53" t="s">
        <v>54</v>
      </c>
      <c r="B53" t="s">
        <v>340</v>
      </c>
      <c r="C53" t="s">
        <v>461</v>
      </c>
      <c r="D53">
        <v>6</v>
      </c>
      <c r="E53">
        <v>3</v>
      </c>
    </row>
    <row r="54" spans="1:8" x14ac:dyDescent="0.2">
      <c r="A54" t="s">
        <v>54</v>
      </c>
      <c r="B54" t="s">
        <v>340</v>
      </c>
      <c r="C54" t="s">
        <v>462</v>
      </c>
      <c r="G54">
        <v>3</v>
      </c>
    </row>
    <row r="55" spans="1:8" x14ac:dyDescent="0.2">
      <c r="A55" t="s">
        <v>54</v>
      </c>
      <c r="B55" t="s">
        <v>340</v>
      </c>
      <c r="C55" t="s">
        <v>463</v>
      </c>
      <c r="D55">
        <v>6</v>
      </c>
    </row>
    <row r="56" spans="1:8" x14ac:dyDescent="0.2">
      <c r="A56" t="s">
        <v>54</v>
      </c>
      <c r="B56" t="s">
        <v>340</v>
      </c>
      <c r="C56" t="s">
        <v>464</v>
      </c>
      <c r="D56">
        <v>12</v>
      </c>
      <c r="E56">
        <v>6</v>
      </c>
    </row>
    <row r="57" spans="1:8" x14ac:dyDescent="0.2">
      <c r="A57" t="s">
        <v>54</v>
      </c>
      <c r="B57" t="s">
        <v>340</v>
      </c>
      <c r="C57" t="s">
        <v>465</v>
      </c>
      <c r="D57">
        <v>6</v>
      </c>
      <c r="E57">
        <v>6</v>
      </c>
      <c r="F57">
        <v>6</v>
      </c>
    </row>
    <row r="58" spans="1:8" x14ac:dyDescent="0.2">
      <c r="A58" t="s">
        <v>54</v>
      </c>
      <c r="B58" t="s">
        <v>340</v>
      </c>
      <c r="C58" t="s">
        <v>467</v>
      </c>
      <c r="D58">
        <v>6</v>
      </c>
    </row>
    <row r="59" spans="1:8" x14ac:dyDescent="0.2">
      <c r="A59" t="s">
        <v>54</v>
      </c>
      <c r="B59" t="s">
        <v>340</v>
      </c>
      <c r="C59" t="s">
        <v>486</v>
      </c>
      <c r="D59">
        <v>5</v>
      </c>
      <c r="E59">
        <v>5</v>
      </c>
    </row>
    <row r="60" spans="1:8" x14ac:dyDescent="0.2">
      <c r="A60" t="s">
        <v>65</v>
      </c>
      <c r="B60" t="s">
        <v>81</v>
      </c>
      <c r="C60" t="s">
        <v>463</v>
      </c>
      <c r="E60">
        <v>9</v>
      </c>
      <c r="F60">
        <v>9</v>
      </c>
    </row>
    <row r="61" spans="1:8" x14ac:dyDescent="0.2">
      <c r="A61" t="s">
        <v>65</v>
      </c>
      <c r="B61" t="s">
        <v>81</v>
      </c>
      <c r="C61" t="s">
        <v>464</v>
      </c>
      <c r="G61">
        <v>9</v>
      </c>
    </row>
    <row r="62" spans="1:8" x14ac:dyDescent="0.2">
      <c r="A62" t="s">
        <v>65</v>
      </c>
      <c r="B62" t="s">
        <v>81</v>
      </c>
      <c r="C62" t="s">
        <v>465</v>
      </c>
      <c r="E62">
        <v>9</v>
      </c>
      <c r="H62">
        <v>9</v>
      </c>
    </row>
    <row r="63" spans="1:8" x14ac:dyDescent="0.2">
      <c r="A63" t="s">
        <v>65</v>
      </c>
      <c r="B63" t="s">
        <v>81</v>
      </c>
      <c r="C63" t="s">
        <v>467</v>
      </c>
      <c r="E63">
        <v>9</v>
      </c>
      <c r="G63">
        <v>9</v>
      </c>
    </row>
    <row r="64" spans="1:8" x14ac:dyDescent="0.2">
      <c r="A64" t="s">
        <v>65</v>
      </c>
      <c r="B64" t="s">
        <v>81</v>
      </c>
      <c r="C64" t="s">
        <v>486</v>
      </c>
      <c r="F64">
        <v>9</v>
      </c>
    </row>
    <row r="65" spans="1:8" x14ac:dyDescent="0.2">
      <c r="A65" t="s">
        <v>65</v>
      </c>
      <c r="B65" t="s">
        <v>38</v>
      </c>
      <c r="C65" t="s">
        <v>461</v>
      </c>
      <c r="E65">
        <v>9</v>
      </c>
    </row>
    <row r="66" spans="1:8" x14ac:dyDescent="0.2">
      <c r="A66" t="s">
        <v>65</v>
      </c>
      <c r="B66" t="s">
        <v>88</v>
      </c>
      <c r="C66" t="s">
        <v>461</v>
      </c>
      <c r="D66">
        <v>9</v>
      </c>
      <c r="E66">
        <v>9</v>
      </c>
    </row>
    <row r="67" spans="1:8" x14ac:dyDescent="0.2">
      <c r="A67" t="s">
        <v>65</v>
      </c>
      <c r="B67" t="s">
        <v>88</v>
      </c>
      <c r="C67" t="s">
        <v>462</v>
      </c>
      <c r="F67">
        <v>9</v>
      </c>
      <c r="G67">
        <v>9</v>
      </c>
      <c r="H67">
        <v>9</v>
      </c>
    </row>
    <row r="68" spans="1:8" x14ac:dyDescent="0.2">
      <c r="A68" t="s">
        <v>65</v>
      </c>
      <c r="B68" t="s">
        <v>88</v>
      </c>
      <c r="C68" t="s">
        <v>463</v>
      </c>
      <c r="D68">
        <v>9</v>
      </c>
      <c r="E68">
        <v>9</v>
      </c>
    </row>
    <row r="69" spans="1:8" x14ac:dyDescent="0.2">
      <c r="A69" t="s">
        <v>65</v>
      </c>
      <c r="B69" t="s">
        <v>88</v>
      </c>
      <c r="C69" t="s">
        <v>465</v>
      </c>
      <c r="D69">
        <v>9</v>
      </c>
      <c r="E69">
        <v>9</v>
      </c>
      <c r="G69">
        <v>9</v>
      </c>
    </row>
    <row r="70" spans="1:8" x14ac:dyDescent="0.2">
      <c r="A70" t="s">
        <v>65</v>
      </c>
      <c r="B70" t="s">
        <v>49</v>
      </c>
      <c r="C70" t="s">
        <v>466</v>
      </c>
      <c r="F70">
        <v>9</v>
      </c>
    </row>
    <row r="71" spans="1:8" x14ac:dyDescent="0.2">
      <c r="A71" t="s">
        <v>65</v>
      </c>
      <c r="B71" t="s">
        <v>49</v>
      </c>
      <c r="C71" t="s">
        <v>461</v>
      </c>
      <c r="D71">
        <v>9</v>
      </c>
    </row>
    <row r="72" spans="1:8" x14ac:dyDescent="0.2">
      <c r="A72" t="s">
        <v>65</v>
      </c>
      <c r="B72" t="s">
        <v>49</v>
      </c>
      <c r="C72" t="s">
        <v>463</v>
      </c>
      <c r="E72">
        <v>9</v>
      </c>
    </row>
    <row r="73" spans="1:8" x14ac:dyDescent="0.2">
      <c r="A73" t="s">
        <v>65</v>
      </c>
      <c r="B73" t="s">
        <v>49</v>
      </c>
      <c r="C73" t="s">
        <v>465</v>
      </c>
      <c r="E73">
        <v>9</v>
      </c>
    </row>
    <row r="74" spans="1:8" x14ac:dyDescent="0.2">
      <c r="A74" t="s">
        <v>65</v>
      </c>
      <c r="B74" t="s">
        <v>84</v>
      </c>
      <c r="C74" t="s">
        <v>461</v>
      </c>
      <c r="E74">
        <v>9</v>
      </c>
    </row>
    <row r="75" spans="1:8" x14ac:dyDescent="0.2">
      <c r="A75" t="s">
        <v>65</v>
      </c>
      <c r="B75" t="s">
        <v>84</v>
      </c>
      <c r="C75" t="s">
        <v>462</v>
      </c>
      <c r="E75">
        <v>34</v>
      </c>
    </row>
    <row r="76" spans="1:8" x14ac:dyDescent="0.2">
      <c r="A76" t="s">
        <v>65</v>
      </c>
      <c r="B76" t="s">
        <v>84</v>
      </c>
      <c r="C76" t="s">
        <v>464</v>
      </c>
      <c r="E76">
        <v>9</v>
      </c>
    </row>
    <row r="77" spans="1:8" x14ac:dyDescent="0.2">
      <c r="A77" t="s">
        <v>65</v>
      </c>
      <c r="B77" t="s">
        <v>84</v>
      </c>
      <c r="C77" t="s">
        <v>465</v>
      </c>
      <c r="E77">
        <v>24</v>
      </c>
    </row>
    <row r="78" spans="1:8" x14ac:dyDescent="0.2">
      <c r="A78" t="s">
        <v>65</v>
      </c>
      <c r="B78" t="s">
        <v>84</v>
      </c>
      <c r="C78" t="s">
        <v>486</v>
      </c>
      <c r="E78">
        <v>9</v>
      </c>
    </row>
    <row r="79" spans="1:8" x14ac:dyDescent="0.2">
      <c r="A79" t="s">
        <v>65</v>
      </c>
      <c r="B79" t="s">
        <v>339</v>
      </c>
      <c r="C79" t="s">
        <v>462</v>
      </c>
      <c r="D79">
        <v>5</v>
      </c>
    </row>
    <row r="80" spans="1:8" x14ac:dyDescent="0.2">
      <c r="A80" t="s">
        <v>65</v>
      </c>
      <c r="B80" t="s">
        <v>339</v>
      </c>
      <c r="C80" t="s">
        <v>463</v>
      </c>
      <c r="F80">
        <v>5</v>
      </c>
      <c r="G80">
        <v>5</v>
      </c>
    </row>
    <row r="81" spans="1:8" x14ac:dyDescent="0.2">
      <c r="A81" t="s">
        <v>65</v>
      </c>
      <c r="B81" t="s">
        <v>82</v>
      </c>
      <c r="C81" t="s">
        <v>461</v>
      </c>
      <c r="D81">
        <v>9</v>
      </c>
      <c r="E81">
        <v>9</v>
      </c>
      <c r="F81">
        <v>9</v>
      </c>
      <c r="G81">
        <v>9</v>
      </c>
    </row>
    <row r="82" spans="1:8" x14ac:dyDescent="0.2">
      <c r="A82" t="s">
        <v>65</v>
      </c>
      <c r="B82" t="s">
        <v>82</v>
      </c>
      <c r="C82" t="s">
        <v>463</v>
      </c>
      <c r="D82">
        <v>9</v>
      </c>
      <c r="E82">
        <v>9</v>
      </c>
    </row>
    <row r="83" spans="1:8" x14ac:dyDescent="0.2">
      <c r="A83" t="s">
        <v>65</v>
      </c>
      <c r="B83" t="s">
        <v>82</v>
      </c>
      <c r="C83" t="s">
        <v>464</v>
      </c>
      <c r="D83">
        <v>9</v>
      </c>
      <c r="E83">
        <v>9</v>
      </c>
      <c r="G83">
        <v>9</v>
      </c>
      <c r="H83">
        <v>9</v>
      </c>
    </row>
    <row r="84" spans="1:8" x14ac:dyDescent="0.2">
      <c r="A84" t="s">
        <v>65</v>
      </c>
      <c r="B84" t="s">
        <v>337</v>
      </c>
      <c r="C84" t="s">
        <v>461</v>
      </c>
      <c r="E84">
        <v>14</v>
      </c>
      <c r="F84">
        <v>9</v>
      </c>
      <c r="G84">
        <v>9</v>
      </c>
      <c r="H84">
        <v>9</v>
      </c>
    </row>
    <row r="85" spans="1:8" x14ac:dyDescent="0.2">
      <c r="A85" t="s">
        <v>65</v>
      </c>
      <c r="B85" t="s">
        <v>337</v>
      </c>
      <c r="C85" t="s">
        <v>462</v>
      </c>
      <c r="E85">
        <v>9</v>
      </c>
      <c r="F85">
        <v>9</v>
      </c>
      <c r="G85">
        <v>9</v>
      </c>
      <c r="H85">
        <v>9</v>
      </c>
    </row>
    <row r="86" spans="1:8" x14ac:dyDescent="0.2">
      <c r="A86" t="s">
        <v>65</v>
      </c>
      <c r="B86" t="s">
        <v>337</v>
      </c>
      <c r="C86" t="s">
        <v>464</v>
      </c>
      <c r="D86">
        <v>18</v>
      </c>
      <c r="E86">
        <v>18</v>
      </c>
      <c r="F86">
        <v>9</v>
      </c>
      <c r="G86">
        <v>9</v>
      </c>
      <c r="H86">
        <v>9</v>
      </c>
    </row>
    <row r="87" spans="1:8" x14ac:dyDescent="0.2">
      <c r="A87" t="s">
        <v>65</v>
      </c>
      <c r="B87" t="s">
        <v>53</v>
      </c>
      <c r="C87" t="s">
        <v>461</v>
      </c>
      <c r="E87">
        <v>9</v>
      </c>
      <c r="F87">
        <v>9</v>
      </c>
      <c r="G87">
        <v>9</v>
      </c>
      <c r="H87">
        <v>9</v>
      </c>
    </row>
    <row r="88" spans="1:8" x14ac:dyDescent="0.2">
      <c r="A88" t="s">
        <v>65</v>
      </c>
      <c r="B88" t="s">
        <v>53</v>
      </c>
      <c r="C88" t="s">
        <v>462</v>
      </c>
      <c r="E88">
        <v>9</v>
      </c>
      <c r="F88">
        <v>9</v>
      </c>
      <c r="G88">
        <v>9</v>
      </c>
      <c r="H88">
        <v>9</v>
      </c>
    </row>
    <row r="89" spans="1:8" x14ac:dyDescent="0.2">
      <c r="A89" t="s">
        <v>65</v>
      </c>
      <c r="B89" t="s">
        <v>53</v>
      </c>
      <c r="C89" t="s">
        <v>463</v>
      </c>
      <c r="E89">
        <v>18</v>
      </c>
      <c r="F89">
        <v>18</v>
      </c>
      <c r="G89">
        <v>18</v>
      </c>
      <c r="H89">
        <v>9</v>
      </c>
    </row>
    <row r="90" spans="1:8" x14ac:dyDescent="0.2">
      <c r="A90" t="s">
        <v>65</v>
      </c>
      <c r="B90" t="s">
        <v>53</v>
      </c>
      <c r="C90" t="s">
        <v>464</v>
      </c>
      <c r="E90">
        <v>9</v>
      </c>
      <c r="F90">
        <v>9</v>
      </c>
      <c r="G90">
        <v>9</v>
      </c>
      <c r="H90">
        <v>9</v>
      </c>
    </row>
    <row r="91" spans="1:8" x14ac:dyDescent="0.2">
      <c r="A91" t="s">
        <v>65</v>
      </c>
      <c r="B91" t="s">
        <v>53</v>
      </c>
      <c r="C91" t="s">
        <v>465</v>
      </c>
      <c r="E91">
        <v>9</v>
      </c>
      <c r="F91">
        <v>9</v>
      </c>
      <c r="G91">
        <v>9</v>
      </c>
      <c r="H91">
        <v>9</v>
      </c>
    </row>
    <row r="92" spans="1:8" x14ac:dyDescent="0.2">
      <c r="A92" t="s">
        <v>65</v>
      </c>
      <c r="B92" t="s">
        <v>53</v>
      </c>
      <c r="C92" t="s">
        <v>467</v>
      </c>
      <c r="E92">
        <v>9</v>
      </c>
      <c r="F92">
        <v>9</v>
      </c>
      <c r="H92">
        <v>9</v>
      </c>
    </row>
    <row r="93" spans="1:8" x14ac:dyDescent="0.2">
      <c r="A93" t="s">
        <v>65</v>
      </c>
      <c r="B93" t="s">
        <v>87</v>
      </c>
      <c r="C93" t="s">
        <v>462</v>
      </c>
      <c r="D93">
        <v>5</v>
      </c>
    </row>
    <row r="94" spans="1:8" x14ac:dyDescent="0.2">
      <c r="A94" t="s">
        <v>65</v>
      </c>
      <c r="B94" t="s">
        <v>87</v>
      </c>
      <c r="C94" t="s">
        <v>463</v>
      </c>
      <c r="F94">
        <v>5</v>
      </c>
      <c r="G94">
        <v>5</v>
      </c>
    </row>
    <row r="95" spans="1:8" x14ac:dyDescent="0.2">
      <c r="A95" t="s">
        <v>65</v>
      </c>
      <c r="B95" t="s">
        <v>40</v>
      </c>
      <c r="C95" t="s">
        <v>465</v>
      </c>
      <c r="D95">
        <v>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H86"/>
  <sheetViews>
    <sheetView showGridLines="0" zoomScale="83" zoomScaleNormal="110" workbookViewId="0">
      <selection activeCell="E7" sqref="E7"/>
    </sheetView>
  </sheetViews>
  <sheetFormatPr baseColWidth="10" defaultColWidth="11.5" defaultRowHeight="15" x14ac:dyDescent="0.2"/>
  <cols>
    <col min="1" max="1" width="13.83203125" bestFit="1" customWidth="1"/>
    <col min="2" max="2" width="9" bestFit="1" customWidth="1"/>
    <col min="3" max="3" width="9.6640625" bestFit="1" customWidth="1"/>
    <col min="4" max="4" width="20.1640625" bestFit="1" customWidth="1"/>
    <col min="5" max="6" width="6.33203125" bestFit="1" customWidth="1"/>
    <col min="7" max="7" width="8.83203125" bestFit="1" customWidth="1"/>
    <col min="8" max="8" width="7" bestFit="1" customWidth="1"/>
    <col min="9" max="11" width="14.83203125" bestFit="1" customWidth="1"/>
    <col min="12" max="12" width="10" bestFit="1" customWidth="1"/>
  </cols>
  <sheetData>
    <row r="3" spans="1:8" x14ac:dyDescent="0.2">
      <c r="A3" s="3" t="s">
        <v>123</v>
      </c>
      <c r="D3" s="3" t="s">
        <v>9</v>
      </c>
    </row>
    <row r="4" spans="1:8" x14ac:dyDescent="0.2">
      <c r="A4" s="3" t="s">
        <v>2</v>
      </c>
      <c r="B4" s="3" t="s">
        <v>277</v>
      </c>
      <c r="C4" s="3" t="s">
        <v>7</v>
      </c>
      <c r="D4" s="6" t="s">
        <v>41</v>
      </c>
      <c r="E4" s="6" t="s">
        <v>36</v>
      </c>
      <c r="F4" s="6" t="s">
        <v>31</v>
      </c>
      <c r="G4" s="6" t="s">
        <v>90</v>
      </c>
      <c r="H4" s="6" t="s">
        <v>279</v>
      </c>
    </row>
    <row r="5" spans="1:8" x14ac:dyDescent="0.2">
      <c r="A5" t="s">
        <v>54</v>
      </c>
      <c r="B5" t="s">
        <v>178</v>
      </c>
      <c r="C5" t="s">
        <v>405</v>
      </c>
      <c r="D5" s="6">
        <v>63.277777777777779</v>
      </c>
      <c r="E5" s="6">
        <v>66.047619047619051</v>
      </c>
      <c r="F5" s="6">
        <v>67.272727272727266</v>
      </c>
      <c r="G5" s="6">
        <v>68.34615384615384</v>
      </c>
      <c r="H5" s="6">
        <v>71.05263157894737</v>
      </c>
    </row>
    <row r="6" spans="1:8" x14ac:dyDescent="0.2">
      <c r="A6" t="s">
        <v>54</v>
      </c>
      <c r="B6" t="s">
        <v>178</v>
      </c>
      <c r="C6" t="s">
        <v>412</v>
      </c>
      <c r="D6" s="6">
        <v>73.285714285714292</v>
      </c>
      <c r="E6" s="6">
        <v>73.479166666666671</v>
      </c>
      <c r="F6" s="6">
        <v>70.833333333333329</v>
      </c>
      <c r="G6" s="6">
        <v>72.285714285714292</v>
      </c>
      <c r="H6" s="6">
        <v>71.7</v>
      </c>
    </row>
    <row r="7" spans="1:8" x14ac:dyDescent="0.2">
      <c r="A7" t="s">
        <v>54</v>
      </c>
      <c r="B7" t="s">
        <v>187</v>
      </c>
      <c r="C7" t="s">
        <v>405</v>
      </c>
      <c r="D7" s="6">
        <v>54.333333333333336</v>
      </c>
      <c r="E7" s="6">
        <v>49.695652173913047</v>
      </c>
      <c r="F7" s="6">
        <v>50.363636363636367</v>
      </c>
      <c r="G7" s="6">
        <v>76.07692307692308</v>
      </c>
      <c r="H7" s="6">
        <v>66.222222222222229</v>
      </c>
    </row>
    <row r="8" spans="1:8" x14ac:dyDescent="0.2">
      <c r="A8" t="s">
        <v>54</v>
      </c>
      <c r="B8" t="s">
        <v>187</v>
      </c>
      <c r="C8" t="s">
        <v>412</v>
      </c>
      <c r="D8" s="6">
        <v>53.571428571428569</v>
      </c>
      <c r="E8" s="6">
        <v>47.083333333333336</v>
      </c>
      <c r="F8" s="6">
        <v>58.333333333333336</v>
      </c>
      <c r="G8" s="6">
        <v>69.571428571428569</v>
      </c>
      <c r="H8" s="6">
        <v>69.400000000000006</v>
      </c>
    </row>
    <row r="9" spans="1:8" x14ac:dyDescent="0.2">
      <c r="A9" t="s">
        <v>54</v>
      </c>
      <c r="B9" t="s">
        <v>170</v>
      </c>
      <c r="C9" t="s">
        <v>405</v>
      </c>
      <c r="D9" s="6">
        <v>71.978723404255319</v>
      </c>
      <c r="E9" s="6">
        <v>65.445378151260499</v>
      </c>
      <c r="F9" s="6">
        <v>63.633333333333333</v>
      </c>
      <c r="G9" s="6">
        <v>76.111111111111114</v>
      </c>
      <c r="H9" s="6">
        <v>68.58</v>
      </c>
    </row>
    <row r="10" spans="1:8" x14ac:dyDescent="0.2">
      <c r="A10" t="s">
        <v>54</v>
      </c>
      <c r="B10" t="s">
        <v>170</v>
      </c>
      <c r="C10" t="s">
        <v>412</v>
      </c>
      <c r="D10" s="6">
        <v>72.288135593220332</v>
      </c>
      <c r="E10" s="6">
        <v>69.489051094890513</v>
      </c>
      <c r="F10" s="6">
        <v>69.75</v>
      </c>
      <c r="G10" s="6">
        <v>72</v>
      </c>
      <c r="H10" s="6">
        <v>70.040000000000006</v>
      </c>
    </row>
    <row r="11" spans="1:8" x14ac:dyDescent="0.2">
      <c r="A11" t="s">
        <v>54</v>
      </c>
      <c r="B11" t="s">
        <v>175</v>
      </c>
      <c r="C11" t="s">
        <v>405</v>
      </c>
      <c r="D11" s="6">
        <v>75.458333333333329</v>
      </c>
      <c r="E11" s="6">
        <v>73.148148148148152</v>
      </c>
      <c r="F11" s="6">
        <v>66.25</v>
      </c>
      <c r="G11" s="6">
        <v>83.53125</v>
      </c>
      <c r="H11" s="6">
        <v>73</v>
      </c>
    </row>
    <row r="12" spans="1:8" x14ac:dyDescent="0.2">
      <c r="A12" t="s">
        <v>54</v>
      </c>
      <c r="B12" t="s">
        <v>175</v>
      </c>
      <c r="C12" t="s">
        <v>412</v>
      </c>
      <c r="D12" s="6">
        <v>75.566666666666663</v>
      </c>
      <c r="E12" s="6">
        <v>78.25</v>
      </c>
      <c r="F12" s="6">
        <v>77.6875</v>
      </c>
      <c r="G12" s="6">
        <v>75</v>
      </c>
      <c r="H12" s="6">
        <v>72</v>
      </c>
    </row>
    <row r="13" spans="1:8" x14ac:dyDescent="0.2">
      <c r="A13" t="s">
        <v>54</v>
      </c>
      <c r="B13" t="s">
        <v>168</v>
      </c>
      <c r="C13" t="s">
        <v>405</v>
      </c>
      <c r="D13" s="6">
        <v>62.142857142857146</v>
      </c>
      <c r="E13" s="6">
        <v>53.636363636363633</v>
      </c>
      <c r="F13" s="6">
        <v>65.727272727272734</v>
      </c>
      <c r="G13" s="6">
        <v>71.230769230769226</v>
      </c>
      <c r="H13" s="6">
        <v>69.599999999999994</v>
      </c>
    </row>
    <row r="14" spans="1:8" x14ac:dyDescent="0.2">
      <c r="A14" t="s">
        <v>54</v>
      </c>
      <c r="B14" t="s">
        <v>168</v>
      </c>
      <c r="C14" t="s">
        <v>412</v>
      </c>
      <c r="D14" s="6">
        <v>75.07692307692308</v>
      </c>
      <c r="E14" s="6">
        <v>69.444444444444443</v>
      </c>
      <c r="F14" s="6">
        <v>74.625</v>
      </c>
      <c r="G14" s="6">
        <v>69.428571428571431</v>
      </c>
      <c r="H14" s="6">
        <v>70.2</v>
      </c>
    </row>
    <row r="35" spans="4:7" x14ac:dyDescent="0.2">
      <c r="D35" s="6"/>
      <c r="E35" s="6"/>
      <c r="F35" s="6"/>
      <c r="G35" s="6"/>
    </row>
    <row r="36" spans="4:7" x14ac:dyDescent="0.2">
      <c r="D36" s="6"/>
      <c r="E36" s="6"/>
      <c r="F36" s="6"/>
      <c r="G36" s="6"/>
    </row>
    <row r="37" spans="4:7" x14ac:dyDescent="0.2">
      <c r="D37" s="6"/>
      <c r="E37" s="6"/>
      <c r="F37" s="6"/>
      <c r="G37" s="6"/>
    </row>
    <row r="38" spans="4:7" x14ac:dyDescent="0.2">
      <c r="D38" s="6"/>
      <c r="E38" s="6"/>
      <c r="F38" s="6"/>
      <c r="G38" s="6"/>
    </row>
    <row r="39" spans="4:7" x14ac:dyDescent="0.2">
      <c r="D39" s="6"/>
      <c r="E39" s="6"/>
      <c r="F39" s="6"/>
      <c r="G39" s="6"/>
    </row>
    <row r="40" spans="4:7" x14ac:dyDescent="0.2">
      <c r="D40" s="6"/>
      <c r="E40" s="6"/>
      <c r="F40" s="6"/>
      <c r="G40" s="6"/>
    </row>
    <row r="41" spans="4:7" x14ac:dyDescent="0.2">
      <c r="D41" s="6"/>
      <c r="E41" s="6"/>
      <c r="F41" s="6"/>
      <c r="G41" s="6"/>
    </row>
    <row r="42" spans="4:7" x14ac:dyDescent="0.2">
      <c r="D42" s="6"/>
      <c r="E42" s="6"/>
      <c r="F42" s="6"/>
      <c r="G42" s="6"/>
    </row>
    <row r="43" spans="4:7" x14ac:dyDescent="0.2">
      <c r="D43" s="6"/>
      <c r="E43" s="6"/>
      <c r="F43" s="6"/>
      <c r="G43" s="6"/>
    </row>
    <row r="44" spans="4:7" x14ac:dyDescent="0.2">
      <c r="D44" s="6"/>
      <c r="E44" s="6"/>
      <c r="F44" s="6"/>
      <c r="G44" s="6"/>
    </row>
    <row r="45" spans="4:7" x14ac:dyDescent="0.2">
      <c r="D45" s="6"/>
      <c r="E45" s="6"/>
      <c r="F45" s="6"/>
      <c r="G45" s="6"/>
    </row>
    <row r="46" spans="4:7" x14ac:dyDescent="0.2">
      <c r="D46" s="6"/>
      <c r="E46" s="6"/>
      <c r="F46" s="6"/>
      <c r="G46" s="6"/>
    </row>
    <row r="47" spans="4:7" x14ac:dyDescent="0.2">
      <c r="D47" s="6"/>
      <c r="E47" s="6"/>
      <c r="F47" s="6"/>
      <c r="G47" s="6"/>
    </row>
    <row r="48" spans="4:7" x14ac:dyDescent="0.2">
      <c r="D48" s="6"/>
      <c r="E48" s="6"/>
      <c r="F48" s="6"/>
      <c r="G48" s="6"/>
    </row>
    <row r="49" spans="4:7" x14ac:dyDescent="0.2">
      <c r="D49" s="6"/>
      <c r="E49" s="6"/>
      <c r="F49" s="6"/>
      <c r="G49" s="6"/>
    </row>
    <row r="50" spans="4:7" x14ac:dyDescent="0.2">
      <c r="D50" s="6"/>
      <c r="E50" s="6"/>
      <c r="F50" s="6"/>
      <c r="G50" s="6"/>
    </row>
    <row r="51" spans="4:7" x14ac:dyDescent="0.2">
      <c r="D51" s="6"/>
      <c r="E51" s="6"/>
      <c r="F51" s="6"/>
      <c r="G51" s="6"/>
    </row>
    <row r="52" spans="4:7" x14ac:dyDescent="0.2">
      <c r="D52" s="6"/>
      <c r="E52" s="6"/>
      <c r="F52" s="6"/>
      <c r="G52" s="6"/>
    </row>
    <row r="53" spans="4:7" x14ac:dyDescent="0.2">
      <c r="D53" s="6"/>
      <c r="E53" s="6"/>
      <c r="F53" s="6"/>
      <c r="G53" s="6"/>
    </row>
    <row r="54" spans="4:7" x14ac:dyDescent="0.2">
      <c r="D54" s="6"/>
      <c r="E54" s="6"/>
      <c r="F54" s="6"/>
      <c r="G54" s="6"/>
    </row>
    <row r="55" spans="4:7" x14ac:dyDescent="0.2">
      <c r="D55" s="6"/>
      <c r="E55" s="6"/>
      <c r="F55" s="6"/>
      <c r="G55" s="6"/>
    </row>
    <row r="56" spans="4:7" x14ac:dyDescent="0.2">
      <c r="D56" s="6"/>
      <c r="E56" s="6"/>
      <c r="F56" s="6"/>
      <c r="G56" s="6"/>
    </row>
    <row r="57" spans="4:7" x14ac:dyDescent="0.2">
      <c r="D57" s="6"/>
      <c r="E57" s="6"/>
      <c r="F57" s="6"/>
      <c r="G57" s="6"/>
    </row>
    <row r="58" spans="4:7" x14ac:dyDescent="0.2">
      <c r="D58" s="6"/>
      <c r="E58" s="6"/>
      <c r="F58" s="6"/>
      <c r="G58" s="6"/>
    </row>
    <row r="59" spans="4:7" x14ac:dyDescent="0.2">
      <c r="D59" s="6"/>
      <c r="E59" s="6"/>
      <c r="F59" s="6"/>
      <c r="G59" s="6"/>
    </row>
    <row r="60" spans="4:7" x14ac:dyDescent="0.2">
      <c r="D60" s="6"/>
      <c r="E60" s="6"/>
      <c r="F60" s="6"/>
      <c r="G60" s="6"/>
    </row>
    <row r="61" spans="4:7" x14ac:dyDescent="0.2">
      <c r="D61" s="6"/>
      <c r="E61" s="6"/>
      <c r="F61" s="6"/>
      <c r="G61" s="6"/>
    </row>
    <row r="62" spans="4:7" x14ac:dyDescent="0.2">
      <c r="D62" s="6"/>
      <c r="E62" s="6"/>
      <c r="F62" s="6"/>
      <c r="G62" s="6"/>
    </row>
    <row r="63" spans="4:7" x14ac:dyDescent="0.2">
      <c r="D63" s="6"/>
      <c r="E63" s="6"/>
      <c r="F63" s="6"/>
      <c r="G63" s="6"/>
    </row>
    <row r="64" spans="4:7" x14ac:dyDescent="0.2">
      <c r="D64" s="6"/>
      <c r="E64" s="6"/>
      <c r="F64" s="6"/>
      <c r="G64" s="6"/>
    </row>
    <row r="65" spans="4:7" x14ac:dyDescent="0.2">
      <c r="D65" s="6"/>
      <c r="E65" s="6"/>
      <c r="F65" s="6"/>
      <c r="G65" s="6"/>
    </row>
    <row r="66" spans="4:7" x14ac:dyDescent="0.2">
      <c r="D66" s="6"/>
      <c r="E66" s="6"/>
      <c r="F66" s="6"/>
      <c r="G66" s="6"/>
    </row>
    <row r="67" spans="4:7" x14ac:dyDescent="0.2">
      <c r="D67" s="6"/>
      <c r="E67" s="6"/>
      <c r="F67" s="6"/>
      <c r="G67" s="6"/>
    </row>
    <row r="68" spans="4:7" x14ac:dyDescent="0.2">
      <c r="D68" s="6"/>
      <c r="E68" s="6"/>
      <c r="F68" s="6"/>
      <c r="G68" s="6"/>
    </row>
    <row r="69" spans="4:7" x14ac:dyDescent="0.2">
      <c r="D69" s="6"/>
      <c r="E69" s="6"/>
      <c r="F69" s="6"/>
      <c r="G69" s="6"/>
    </row>
    <row r="70" spans="4:7" x14ac:dyDescent="0.2">
      <c r="D70" s="6"/>
      <c r="E70" s="6"/>
      <c r="F70" s="6"/>
      <c r="G70" s="6"/>
    </row>
    <row r="71" spans="4:7" x14ac:dyDescent="0.2">
      <c r="D71" s="6"/>
      <c r="E71" s="6"/>
      <c r="F71" s="6"/>
      <c r="G71" s="6"/>
    </row>
    <row r="72" spans="4:7" x14ac:dyDescent="0.2">
      <c r="D72" s="6"/>
      <c r="E72" s="6"/>
      <c r="F72" s="6"/>
      <c r="G72" s="6"/>
    </row>
    <row r="73" spans="4:7" x14ac:dyDescent="0.2">
      <c r="D73" s="6"/>
      <c r="E73" s="6"/>
      <c r="F73" s="6"/>
      <c r="G73" s="6"/>
    </row>
    <row r="74" spans="4:7" x14ac:dyDescent="0.2">
      <c r="D74" s="6"/>
      <c r="E74" s="6"/>
      <c r="F74" s="6"/>
      <c r="G74" s="6"/>
    </row>
    <row r="75" spans="4:7" x14ac:dyDescent="0.2">
      <c r="D75" s="6"/>
      <c r="E75" s="6"/>
      <c r="F75" s="6"/>
      <c r="G75" s="6"/>
    </row>
    <row r="76" spans="4:7" x14ac:dyDescent="0.2">
      <c r="D76" s="6"/>
      <c r="E76" s="6"/>
      <c r="F76" s="6"/>
      <c r="G76" s="6"/>
    </row>
    <row r="77" spans="4:7" x14ac:dyDescent="0.2">
      <c r="D77" s="6"/>
      <c r="E77" s="6"/>
      <c r="F77" s="6"/>
      <c r="G77" s="6"/>
    </row>
    <row r="78" spans="4:7" x14ac:dyDescent="0.2">
      <c r="D78" s="6"/>
      <c r="E78" s="6"/>
      <c r="F78" s="6"/>
      <c r="G78" s="6"/>
    </row>
    <row r="79" spans="4:7" x14ac:dyDescent="0.2">
      <c r="D79" s="6"/>
      <c r="E79" s="6"/>
      <c r="F79" s="6"/>
      <c r="G79" s="6"/>
    </row>
    <row r="80" spans="4:7" x14ac:dyDescent="0.2">
      <c r="D80" s="6"/>
      <c r="E80" s="6"/>
      <c r="F80" s="6"/>
      <c r="G80" s="6"/>
    </row>
    <row r="81" spans="4:7" x14ac:dyDescent="0.2">
      <c r="D81" s="6"/>
      <c r="E81" s="6"/>
      <c r="F81" s="6"/>
      <c r="G81" s="6"/>
    </row>
    <row r="82" spans="4:7" x14ac:dyDescent="0.2">
      <c r="D82" s="6"/>
      <c r="E82" s="6"/>
      <c r="F82" s="6"/>
      <c r="G82" s="6"/>
    </row>
    <row r="83" spans="4:7" x14ac:dyDescent="0.2">
      <c r="D83" s="6"/>
      <c r="E83" s="6"/>
      <c r="F83" s="6"/>
      <c r="G83" s="6"/>
    </row>
    <row r="84" spans="4:7" x14ac:dyDescent="0.2">
      <c r="D84" s="6"/>
      <c r="E84" s="6"/>
      <c r="F84" s="6"/>
      <c r="G84" s="6"/>
    </row>
    <row r="85" spans="4:7" x14ac:dyDescent="0.2">
      <c r="D85" s="6"/>
      <c r="E85" s="6"/>
      <c r="F85" s="6"/>
      <c r="G85" s="6"/>
    </row>
    <row r="86" spans="4:7" x14ac:dyDescent="0.2">
      <c r="D86" s="6"/>
      <c r="E86" s="6"/>
      <c r="F86" s="6"/>
      <c r="G86"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A7AEB-9A65-4B35-8062-60D4A1CE1323}">
  <dimension ref="A1:AK2522"/>
  <sheetViews>
    <sheetView topLeftCell="I2513" zoomScaleNormal="100" workbookViewId="0">
      <selection activeCell="J2520" sqref="J2520"/>
    </sheetView>
  </sheetViews>
  <sheetFormatPr baseColWidth="10" defaultColWidth="8.83203125" defaultRowHeight="15" x14ac:dyDescent="0.2"/>
  <cols>
    <col min="1" max="1" width="6" bestFit="1" customWidth="1"/>
    <col min="2" max="2" width="10.1640625" bestFit="1" customWidth="1"/>
    <col min="3" max="3" width="8.33203125" bestFit="1" customWidth="1"/>
    <col min="4" max="4" width="26" bestFit="1" customWidth="1"/>
    <col min="5" max="5" width="17.33203125" bestFit="1" customWidth="1"/>
    <col min="6" max="6" width="11.1640625" bestFit="1" customWidth="1"/>
    <col min="7" max="7" width="7.1640625" bestFit="1" customWidth="1"/>
    <col min="8" max="8" width="9" bestFit="1" customWidth="1"/>
    <col min="9" max="9" width="7.1640625" bestFit="1" customWidth="1"/>
    <col min="10" max="10" width="20.1640625" bestFit="1" customWidth="1"/>
    <col min="11" max="11" width="46" bestFit="1" customWidth="1"/>
    <col min="12" max="12" width="59.83203125" bestFit="1" customWidth="1"/>
    <col min="13" max="13" width="15.5" bestFit="1" customWidth="1"/>
    <col min="14" max="14" width="11.1640625" bestFit="1" customWidth="1"/>
    <col min="15" max="15" width="17.83203125" bestFit="1" customWidth="1"/>
    <col min="16" max="16" width="23.6640625" bestFit="1" customWidth="1"/>
    <col min="17" max="17" width="17.83203125" bestFit="1" customWidth="1"/>
    <col min="18" max="18" width="28.33203125" bestFit="1" customWidth="1"/>
    <col min="19" max="19" width="14.1640625" bestFit="1" customWidth="1"/>
    <col min="20" max="20" width="8.1640625" bestFit="1" customWidth="1"/>
    <col min="21" max="21" width="80.6640625" bestFit="1" customWidth="1"/>
    <col min="22" max="22" width="12.33203125" bestFit="1" customWidth="1"/>
    <col min="23" max="23" width="47.33203125" bestFit="1" customWidth="1"/>
    <col min="24" max="24" width="14.6640625" bestFit="1" customWidth="1"/>
    <col min="25" max="26" width="7.33203125" bestFit="1" customWidth="1"/>
    <col min="27" max="27" width="7.83203125" bestFit="1" customWidth="1"/>
    <col min="28" max="28" width="13.83203125" bestFit="1" customWidth="1"/>
    <col min="29" max="29" width="35.83203125" bestFit="1" customWidth="1"/>
    <col min="30" max="30" width="28.83203125" bestFit="1" customWidth="1"/>
    <col min="31" max="31" width="12.1640625" bestFit="1" customWidth="1"/>
    <col min="32" max="32" width="8.1640625" bestFit="1" customWidth="1"/>
    <col min="33" max="33" width="10.1640625" bestFit="1" customWidth="1"/>
    <col min="34" max="34" width="9" bestFit="1" customWidth="1"/>
    <col min="35" max="35" width="14.33203125" bestFit="1" customWidth="1"/>
    <col min="36" max="36" width="7" bestFit="1" customWidth="1"/>
    <col min="37" max="37" width="11.83203125" bestFit="1" customWidth="1"/>
  </cols>
  <sheetData>
    <row r="1" spans="1:3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s="2" t="s">
        <v>75</v>
      </c>
      <c r="AF1" s="2" t="s">
        <v>76</v>
      </c>
      <c r="AG1" s="2" t="s">
        <v>77</v>
      </c>
      <c r="AH1" s="2" t="s">
        <v>78</v>
      </c>
      <c r="AI1" s="7" t="s">
        <v>130</v>
      </c>
      <c r="AJ1" s="8" t="s">
        <v>131</v>
      </c>
      <c r="AK1" s="2" t="s">
        <v>277</v>
      </c>
    </row>
    <row r="2" spans="1:37" x14ac:dyDescent="0.2">
      <c r="A2">
        <v>1</v>
      </c>
      <c r="B2" t="s">
        <v>282</v>
      </c>
      <c r="C2" t="s">
        <v>54</v>
      </c>
      <c r="D2" t="s">
        <v>283</v>
      </c>
      <c r="E2" t="s">
        <v>140</v>
      </c>
      <c r="F2" s="25">
        <v>46036</v>
      </c>
      <c r="G2" t="s">
        <v>353</v>
      </c>
      <c r="H2" t="s">
        <v>405</v>
      </c>
      <c r="I2" t="s">
        <v>371</v>
      </c>
      <c r="J2" t="s">
        <v>36</v>
      </c>
      <c r="K2" t="s">
        <v>37</v>
      </c>
      <c r="L2" t="s">
        <v>322</v>
      </c>
      <c r="M2" t="s">
        <v>141</v>
      </c>
      <c r="N2" t="s">
        <v>142</v>
      </c>
      <c r="O2" t="s">
        <v>155</v>
      </c>
      <c r="P2" t="s">
        <v>281</v>
      </c>
      <c r="Q2" t="s">
        <v>155</v>
      </c>
      <c r="R2" t="s">
        <v>273</v>
      </c>
      <c r="S2" t="s">
        <v>309</v>
      </c>
      <c r="T2">
        <v>1</v>
      </c>
      <c r="U2" t="s">
        <v>406</v>
      </c>
      <c r="V2" t="s">
        <v>285</v>
      </c>
      <c r="W2" t="s">
        <v>407</v>
      </c>
      <c r="X2" t="s">
        <v>306</v>
      </c>
      <c r="Y2" t="s">
        <v>307</v>
      </c>
      <c r="Z2">
        <v>65</v>
      </c>
      <c r="AA2">
        <v>0</v>
      </c>
      <c r="AB2" t="s">
        <v>151</v>
      </c>
      <c r="AC2" t="s">
        <v>144</v>
      </c>
      <c r="AD2" t="s">
        <v>278</v>
      </c>
      <c r="AE2" s="30" t="str">
        <f>IF(AF2="","",VLOOKUP(AC2,mapel!$A$2:$B$42,2,FALSE))</f>
        <v/>
      </c>
      <c r="AF2" s="30" t="str">
        <f t="shared" ref="AF2:AF65" si="0">IF(AA2=0, "",IF(AA2 = 0.1, 0,AA2))</f>
        <v/>
      </c>
      <c r="AG2" s="30" t="str">
        <f>IF(AF2="","",IF(AF2&gt;90,"Sangat baik",IF(AF2&gt;79,"Baik",IF(AF2&gt;=pub_gid_0_single_true_output_csv[[#This Row],[KKM]],"Cukup","Kurang"))))</f>
        <v/>
      </c>
      <c r="AH2" s="30" t="str">
        <f t="shared" ref="AH2:AH65" si="1">IF(AG2="","",VALUE(RIGHT(X2,2)))</f>
        <v/>
      </c>
      <c r="AI2" s="31" t="str">
        <f>IF(OR(J2&lt;&gt;"Karakter",pub_gid_0_single_true_output_csv[[#This Row],[Nilai2]]=""),"",IF(AF2&gt;89,"Sangat baik",IF(AF2&gt;79,"Baik",IF(AF2&gt;69,"Cukup",IF(AF2&gt;59,"Kurang","Sangat kurang")))))</f>
        <v/>
      </c>
      <c r="AJ2" s="32" t="str">
        <f t="shared" ref="AJ2:AJ65" si="2">IF(AF2="","",CONCATENATE("Wk.",WEEKNUM(F2,2)))</f>
        <v/>
      </c>
      <c r="AK2" t="str">
        <f>IF(pub_gid_0_single_true_output_csv[[#This Row],[Nilai2]]="","",VLOOKUP(pub_gid_0_single_true_output_csv[[#This Row],[NAMA]],Table7[],3,FALSE))</f>
        <v/>
      </c>
    </row>
    <row r="3" spans="1:37" x14ac:dyDescent="0.2">
      <c r="A3">
        <v>2</v>
      </c>
      <c r="B3" t="s">
        <v>282</v>
      </c>
      <c r="C3" t="s">
        <v>54</v>
      </c>
      <c r="D3" t="s">
        <v>283</v>
      </c>
      <c r="E3" t="s">
        <v>140</v>
      </c>
      <c r="F3" s="25">
        <v>46043</v>
      </c>
      <c r="G3" t="s">
        <v>341</v>
      </c>
      <c r="H3" t="s">
        <v>405</v>
      </c>
      <c r="I3" t="s">
        <v>371</v>
      </c>
      <c r="J3" t="s">
        <v>36</v>
      </c>
      <c r="K3" t="s">
        <v>37</v>
      </c>
      <c r="L3" t="s">
        <v>322</v>
      </c>
      <c r="M3" t="s">
        <v>141</v>
      </c>
      <c r="N3" t="s">
        <v>142</v>
      </c>
      <c r="O3" t="s">
        <v>155</v>
      </c>
      <c r="P3" t="s">
        <v>281</v>
      </c>
      <c r="Q3" t="s">
        <v>155</v>
      </c>
      <c r="R3" t="s">
        <v>273</v>
      </c>
      <c r="S3" t="s">
        <v>369</v>
      </c>
      <c r="T3">
        <v>1</v>
      </c>
      <c r="U3" t="s">
        <v>406</v>
      </c>
      <c r="V3" t="s">
        <v>342</v>
      </c>
      <c r="W3" t="s">
        <v>510</v>
      </c>
      <c r="X3" t="s">
        <v>306</v>
      </c>
      <c r="Y3" t="s">
        <v>307</v>
      </c>
      <c r="Z3">
        <v>65</v>
      </c>
      <c r="AA3">
        <v>0</v>
      </c>
      <c r="AB3" t="s">
        <v>151</v>
      </c>
      <c r="AC3" t="s">
        <v>144</v>
      </c>
      <c r="AD3" t="s">
        <v>278</v>
      </c>
      <c r="AE3" s="30" t="str">
        <f>IF(AF3="","",VLOOKUP(AC3,mapel!$A$2:$B$42,2,FALSE))</f>
        <v/>
      </c>
      <c r="AF3" s="30" t="str">
        <f t="shared" si="0"/>
        <v/>
      </c>
      <c r="AG3" s="30" t="str">
        <f>IF(AF3="","",IF(AF3&gt;90,"Sangat baik",IF(AF3&gt;79,"Baik",IF(AF3&gt;=pub_gid_0_single_true_output_csv[[#This Row],[KKM]],"Cukup","Kurang"))))</f>
        <v/>
      </c>
      <c r="AH3" s="30" t="str">
        <f t="shared" si="1"/>
        <v/>
      </c>
      <c r="AI3" s="30" t="str">
        <f>IF(OR(J3&lt;&gt;"Karakter",pub_gid_0_single_true_output_csv[[#This Row],[Nilai2]]=""),"",IF(AF3&gt;89,"Sangat baik",IF(AF3&gt;79,"Baik",IF(AF3&gt;69,"Cukup",IF(AF3&gt;59,"Kurang","Sangat kurang")))))</f>
        <v/>
      </c>
      <c r="AJ3" s="32" t="str">
        <f t="shared" si="2"/>
        <v/>
      </c>
      <c r="AK3" t="str">
        <f>IF(pub_gid_0_single_true_output_csv[[#This Row],[Nilai2]]="","",VLOOKUP(pub_gid_0_single_true_output_csv[[#This Row],[NAMA]],Table7[],3,FALSE))</f>
        <v/>
      </c>
    </row>
    <row r="4" spans="1:37" x14ac:dyDescent="0.2">
      <c r="A4">
        <v>3</v>
      </c>
      <c r="B4" t="s">
        <v>282</v>
      </c>
      <c r="C4" t="s">
        <v>54</v>
      </c>
      <c r="D4" t="s">
        <v>283</v>
      </c>
      <c r="E4" t="s">
        <v>140</v>
      </c>
      <c r="F4" s="25">
        <v>46050</v>
      </c>
      <c r="G4" t="s">
        <v>308</v>
      </c>
      <c r="H4" t="s">
        <v>405</v>
      </c>
      <c r="I4" t="s">
        <v>371</v>
      </c>
      <c r="J4" t="s">
        <v>41</v>
      </c>
      <c r="K4" t="s">
        <v>511</v>
      </c>
      <c r="L4" t="s">
        <v>322</v>
      </c>
      <c r="M4" t="s">
        <v>141</v>
      </c>
      <c r="N4" t="s">
        <v>142</v>
      </c>
      <c r="O4" t="s">
        <v>155</v>
      </c>
      <c r="P4" t="s">
        <v>281</v>
      </c>
      <c r="Q4" t="s">
        <v>155</v>
      </c>
      <c r="R4" t="s">
        <v>273</v>
      </c>
      <c r="S4" t="s">
        <v>345</v>
      </c>
      <c r="T4">
        <v>1</v>
      </c>
      <c r="U4" t="s">
        <v>406</v>
      </c>
      <c r="V4" t="s">
        <v>343</v>
      </c>
      <c r="W4" t="s">
        <v>512</v>
      </c>
      <c r="X4" t="s">
        <v>306</v>
      </c>
      <c r="Y4" t="s">
        <v>307</v>
      </c>
      <c r="Z4">
        <v>65</v>
      </c>
      <c r="AA4">
        <v>0</v>
      </c>
      <c r="AB4" t="s">
        <v>151</v>
      </c>
      <c r="AC4" t="s">
        <v>144</v>
      </c>
      <c r="AD4" t="s">
        <v>278</v>
      </c>
      <c r="AE4" t="str">
        <f>IF(AF4="","",VLOOKUP(AC4,mapel!$A$2:$B$42,2,FALSE))</f>
        <v/>
      </c>
      <c r="AF4" t="str">
        <f t="shared" si="0"/>
        <v/>
      </c>
      <c r="AG4" t="str">
        <f>IF(AF4="","",IF(AF4&gt;90,"Sangat baik",IF(AF4&gt;79,"Baik",IF(AF4&gt;=pub_gid_0_single_true_output_csv[[#This Row],[KKM]],"Cukup","Kurang"))))</f>
        <v/>
      </c>
      <c r="AH4" t="str">
        <f t="shared" si="1"/>
        <v/>
      </c>
      <c r="AI4" s="30" t="str">
        <f>IF(OR(J4&lt;&gt;"Karakter",pub_gid_0_single_true_output_csv[[#This Row],[Nilai2]]=""),"",IF(AF4&gt;89,"Sangat baik",IF(AF4&gt;79,"Baik",IF(AF4&gt;69,"Cukup",IF(AF4&gt;59,"Kurang","Sangat kurang")))))</f>
        <v/>
      </c>
      <c r="AJ4" t="str">
        <f t="shared" si="2"/>
        <v/>
      </c>
      <c r="AK4" t="str">
        <f>IF(pub_gid_0_single_true_output_csv[[#This Row],[Nilai2]]="","",VLOOKUP(pub_gid_0_single_true_output_csv[[#This Row],[NAMA]],Table7[],3,FALSE))</f>
        <v/>
      </c>
    </row>
    <row r="5" spans="1:37" x14ac:dyDescent="0.2">
      <c r="A5">
        <v>4</v>
      </c>
      <c r="B5" t="s">
        <v>282</v>
      </c>
      <c r="C5" t="s">
        <v>54</v>
      </c>
      <c r="D5" t="s">
        <v>283</v>
      </c>
      <c r="E5" t="s">
        <v>140</v>
      </c>
      <c r="F5" s="25">
        <v>46057</v>
      </c>
      <c r="G5" t="s">
        <v>348</v>
      </c>
      <c r="H5" t="s">
        <v>412</v>
      </c>
      <c r="I5" t="s">
        <v>371</v>
      </c>
      <c r="J5" t="s">
        <v>36</v>
      </c>
      <c r="K5" t="s">
        <v>37</v>
      </c>
      <c r="L5" t="s">
        <v>322</v>
      </c>
      <c r="M5" t="s">
        <v>141</v>
      </c>
      <c r="N5" t="s">
        <v>142</v>
      </c>
      <c r="O5" t="s">
        <v>155</v>
      </c>
      <c r="P5" t="s">
        <v>281</v>
      </c>
      <c r="Q5" t="s">
        <v>155</v>
      </c>
      <c r="R5" t="s">
        <v>273</v>
      </c>
      <c r="S5" t="s">
        <v>513</v>
      </c>
      <c r="T5">
        <v>1</v>
      </c>
      <c r="U5" t="s">
        <v>406</v>
      </c>
      <c r="V5" t="s">
        <v>344</v>
      </c>
      <c r="W5" t="s">
        <v>514</v>
      </c>
      <c r="X5" t="s">
        <v>306</v>
      </c>
      <c r="Y5" t="s">
        <v>307</v>
      </c>
      <c r="Z5">
        <v>65</v>
      </c>
      <c r="AA5">
        <v>0</v>
      </c>
      <c r="AB5" t="s">
        <v>151</v>
      </c>
      <c r="AC5" t="s">
        <v>144</v>
      </c>
      <c r="AD5" t="s">
        <v>278</v>
      </c>
      <c r="AE5" t="str">
        <f>IF(AF5="","",VLOOKUP(AC5,mapel!$A$2:$B$42,2,FALSE))</f>
        <v/>
      </c>
      <c r="AF5" t="str">
        <f t="shared" si="0"/>
        <v/>
      </c>
      <c r="AG5" t="str">
        <f>IF(AF5="","",IF(AF5&gt;90,"Sangat baik",IF(AF5&gt;79,"Baik",IF(AF5&gt;=pub_gid_0_single_true_output_csv[[#This Row],[KKM]],"Cukup","Kurang"))))</f>
        <v/>
      </c>
      <c r="AH5" t="str">
        <f t="shared" si="1"/>
        <v/>
      </c>
      <c r="AI5" s="30" t="str">
        <f>IF(OR(J5&lt;&gt;"Karakter",pub_gid_0_single_true_output_csv[[#This Row],[Nilai2]]=""),"",IF(AF5&gt;89,"Sangat baik",IF(AF5&gt;79,"Baik",IF(AF5&gt;69,"Cukup",IF(AF5&gt;59,"Kurang","Sangat kurang")))))</f>
        <v/>
      </c>
      <c r="AJ5" t="str">
        <f t="shared" si="2"/>
        <v/>
      </c>
      <c r="AK5" t="str">
        <f>IF(pub_gid_0_single_true_output_csv[[#This Row],[Nilai2]]="","",VLOOKUP(pub_gid_0_single_true_output_csv[[#This Row],[NAMA]],Table7[],3,FALSE))</f>
        <v/>
      </c>
    </row>
    <row r="6" spans="1:37" x14ac:dyDescent="0.2">
      <c r="A6">
        <v>5</v>
      </c>
      <c r="B6" t="s">
        <v>286</v>
      </c>
      <c r="C6" t="s">
        <v>54</v>
      </c>
      <c r="D6" t="s">
        <v>33</v>
      </c>
      <c r="E6" t="s">
        <v>140</v>
      </c>
      <c r="F6" s="25">
        <v>46036</v>
      </c>
      <c r="G6" t="s">
        <v>353</v>
      </c>
      <c r="H6" t="s">
        <v>405</v>
      </c>
      <c r="I6" t="s">
        <v>371</v>
      </c>
      <c r="J6" t="s">
        <v>36</v>
      </c>
      <c r="K6" t="s">
        <v>37</v>
      </c>
      <c r="L6" t="s">
        <v>322</v>
      </c>
      <c r="M6" t="s">
        <v>141</v>
      </c>
      <c r="N6" t="s">
        <v>142</v>
      </c>
      <c r="O6" t="s">
        <v>155</v>
      </c>
      <c r="P6" t="s">
        <v>281</v>
      </c>
      <c r="Q6" t="s">
        <v>155</v>
      </c>
      <c r="R6" t="s">
        <v>273</v>
      </c>
      <c r="S6" t="s">
        <v>309</v>
      </c>
      <c r="T6">
        <v>1</v>
      </c>
      <c r="U6" t="s">
        <v>406</v>
      </c>
      <c r="V6" t="s">
        <v>285</v>
      </c>
      <c r="W6" t="s">
        <v>407</v>
      </c>
      <c r="X6" t="s">
        <v>306</v>
      </c>
      <c r="Y6" t="s">
        <v>307</v>
      </c>
      <c r="Z6">
        <v>65</v>
      </c>
      <c r="AA6">
        <v>70</v>
      </c>
      <c r="AB6" t="s">
        <v>143</v>
      </c>
      <c r="AC6" t="s">
        <v>144</v>
      </c>
      <c r="AD6" t="s">
        <v>278</v>
      </c>
      <c r="AE6" t="str">
        <f>IF(AF6="","",VLOOKUP(AC6,mapel!$A$2:$B$42,2,FALSE))</f>
        <v>A.Katolik</v>
      </c>
      <c r="AF6">
        <f t="shared" si="0"/>
        <v>70</v>
      </c>
      <c r="AG6" t="str">
        <f>IF(AF6="","",IF(AF6&gt;90,"Sangat baik",IF(AF6&gt;79,"Baik",IF(AF6&gt;=pub_gid_0_single_true_output_csv[[#This Row],[KKM]],"Cukup","Kurang"))))</f>
        <v>Cukup</v>
      </c>
      <c r="AH6">
        <f t="shared" si="1"/>
        <v>11</v>
      </c>
      <c r="AI6" s="30" t="str">
        <f>IF(OR(J6&lt;&gt;"Karakter",pub_gid_0_single_true_output_csv[[#This Row],[Nilai2]]=""),"",IF(AF6&gt;89,"Sangat baik",IF(AF6&gt;79,"Baik",IF(AF6&gt;69,"Cukup",IF(AF6&gt;59,"Kurang","Sangat kurang")))))</f>
        <v/>
      </c>
      <c r="AJ6" t="str">
        <f t="shared" si="2"/>
        <v>Wk.3</v>
      </c>
      <c r="AK6" t="str">
        <f>IF(pub_gid_0_single_true_output_csv[[#This Row],[Nilai2]]="","",VLOOKUP(pub_gid_0_single_true_output_csv[[#This Row],[NAMA]],Table7[],3,FALSE))</f>
        <v>Extremely low</v>
      </c>
    </row>
    <row r="7" spans="1:37" x14ac:dyDescent="0.2">
      <c r="A7">
        <v>6</v>
      </c>
      <c r="B7" t="s">
        <v>286</v>
      </c>
      <c r="C7" t="s">
        <v>54</v>
      </c>
      <c r="D7" t="s">
        <v>33</v>
      </c>
      <c r="E7" t="s">
        <v>140</v>
      </c>
      <c r="F7" s="25">
        <v>46043</v>
      </c>
      <c r="G7" t="s">
        <v>341</v>
      </c>
      <c r="H7" t="s">
        <v>405</v>
      </c>
      <c r="I7" t="s">
        <v>371</v>
      </c>
      <c r="J7" t="s">
        <v>36</v>
      </c>
      <c r="K7" t="s">
        <v>37</v>
      </c>
      <c r="L7" t="s">
        <v>322</v>
      </c>
      <c r="M7" t="s">
        <v>141</v>
      </c>
      <c r="N7" t="s">
        <v>142</v>
      </c>
      <c r="O7" t="s">
        <v>155</v>
      </c>
      <c r="P7" t="s">
        <v>281</v>
      </c>
      <c r="Q7" t="s">
        <v>155</v>
      </c>
      <c r="R7" t="s">
        <v>273</v>
      </c>
      <c r="S7" t="s">
        <v>369</v>
      </c>
      <c r="T7">
        <v>1</v>
      </c>
      <c r="U7" t="s">
        <v>406</v>
      </c>
      <c r="V7" t="s">
        <v>342</v>
      </c>
      <c r="W7" t="s">
        <v>510</v>
      </c>
      <c r="X7" t="s">
        <v>306</v>
      </c>
      <c r="Y7" t="s">
        <v>307</v>
      </c>
      <c r="Z7">
        <v>65</v>
      </c>
      <c r="AA7">
        <v>75</v>
      </c>
      <c r="AB7" t="s">
        <v>143</v>
      </c>
      <c r="AC7" t="s">
        <v>144</v>
      </c>
      <c r="AD7" t="s">
        <v>278</v>
      </c>
      <c r="AE7" t="str">
        <f>IF(AF7="","",VLOOKUP(AC7,mapel!$A$2:$B$42,2,FALSE))</f>
        <v>A.Katolik</v>
      </c>
      <c r="AF7">
        <f t="shared" si="0"/>
        <v>75</v>
      </c>
      <c r="AG7" t="str">
        <f>IF(AF7="","",IF(AF7&gt;90,"Sangat baik",IF(AF7&gt;79,"Baik",IF(AF7&gt;=pub_gid_0_single_true_output_csv[[#This Row],[KKM]],"Cukup","Kurang"))))</f>
        <v>Cukup</v>
      </c>
      <c r="AH7">
        <f t="shared" si="1"/>
        <v>11</v>
      </c>
      <c r="AI7" s="30" t="str">
        <f>IF(OR(J7&lt;&gt;"Karakter",pub_gid_0_single_true_output_csv[[#This Row],[Nilai2]]=""),"",IF(AF7&gt;89,"Sangat baik",IF(AF7&gt;79,"Baik",IF(AF7&gt;69,"Cukup",IF(AF7&gt;59,"Kurang","Sangat kurang")))))</f>
        <v/>
      </c>
      <c r="AJ7" t="str">
        <f t="shared" si="2"/>
        <v>Wk.4</v>
      </c>
      <c r="AK7" t="str">
        <f>IF(pub_gid_0_single_true_output_csv[[#This Row],[Nilai2]]="","",VLOOKUP(pub_gid_0_single_true_output_csv[[#This Row],[NAMA]],Table7[],3,FALSE))</f>
        <v>Extremely low</v>
      </c>
    </row>
    <row r="8" spans="1:37" x14ac:dyDescent="0.2">
      <c r="A8">
        <v>7</v>
      </c>
      <c r="B8" t="s">
        <v>286</v>
      </c>
      <c r="C8" t="s">
        <v>54</v>
      </c>
      <c r="D8" t="s">
        <v>33</v>
      </c>
      <c r="E8" t="s">
        <v>140</v>
      </c>
      <c r="F8" s="25">
        <v>46050</v>
      </c>
      <c r="G8" t="s">
        <v>308</v>
      </c>
      <c r="H8" t="s">
        <v>405</v>
      </c>
      <c r="I8" t="s">
        <v>371</v>
      </c>
      <c r="J8" t="s">
        <v>41</v>
      </c>
      <c r="K8" t="s">
        <v>511</v>
      </c>
      <c r="L8" t="s">
        <v>322</v>
      </c>
      <c r="M8" t="s">
        <v>141</v>
      </c>
      <c r="N8" t="s">
        <v>142</v>
      </c>
      <c r="O8" t="s">
        <v>155</v>
      </c>
      <c r="P8" t="s">
        <v>281</v>
      </c>
      <c r="Q8" t="s">
        <v>155</v>
      </c>
      <c r="R8" t="s">
        <v>273</v>
      </c>
      <c r="S8" t="s">
        <v>345</v>
      </c>
      <c r="T8">
        <v>1</v>
      </c>
      <c r="U8" t="s">
        <v>406</v>
      </c>
      <c r="V8" t="s">
        <v>343</v>
      </c>
      <c r="W8" t="s">
        <v>512</v>
      </c>
      <c r="X8" t="s">
        <v>306</v>
      </c>
      <c r="Y8" t="s">
        <v>307</v>
      </c>
      <c r="Z8">
        <v>65</v>
      </c>
      <c r="AA8">
        <v>79</v>
      </c>
      <c r="AB8" t="s">
        <v>143</v>
      </c>
      <c r="AC8" t="s">
        <v>144</v>
      </c>
      <c r="AD8" t="s">
        <v>278</v>
      </c>
      <c r="AE8" t="str">
        <f>IF(AF8="","",VLOOKUP(AC8,mapel!$A$2:$B$42,2,FALSE))</f>
        <v>A.Katolik</v>
      </c>
      <c r="AF8">
        <f t="shared" si="0"/>
        <v>79</v>
      </c>
      <c r="AG8" t="str">
        <f>IF(AF8="","",IF(AF8&gt;90,"Sangat baik",IF(AF8&gt;79,"Baik",IF(AF8&gt;=pub_gid_0_single_true_output_csv[[#This Row],[KKM]],"Cukup","Kurang"))))</f>
        <v>Cukup</v>
      </c>
      <c r="AH8">
        <f t="shared" si="1"/>
        <v>11</v>
      </c>
      <c r="AI8" s="30" t="str">
        <f>IF(OR(J8&lt;&gt;"Karakter",pub_gid_0_single_true_output_csv[[#This Row],[Nilai2]]=""),"",IF(AF8&gt;89,"Sangat baik",IF(AF8&gt;79,"Baik",IF(AF8&gt;69,"Cukup",IF(AF8&gt;59,"Kurang","Sangat kurang")))))</f>
        <v/>
      </c>
      <c r="AJ8" t="str">
        <f t="shared" si="2"/>
        <v>Wk.5</v>
      </c>
      <c r="AK8" t="str">
        <f>IF(pub_gid_0_single_true_output_csv[[#This Row],[Nilai2]]="","",VLOOKUP(pub_gid_0_single_true_output_csv[[#This Row],[NAMA]],Table7[],3,FALSE))</f>
        <v>Extremely low</v>
      </c>
    </row>
    <row r="9" spans="1:37" x14ac:dyDescent="0.2">
      <c r="A9">
        <v>8</v>
      </c>
      <c r="B9" t="s">
        <v>286</v>
      </c>
      <c r="C9" t="s">
        <v>54</v>
      </c>
      <c r="D9" t="s">
        <v>33</v>
      </c>
      <c r="E9" t="s">
        <v>140</v>
      </c>
      <c r="F9" s="25">
        <v>46057</v>
      </c>
      <c r="G9" t="s">
        <v>348</v>
      </c>
      <c r="H9" t="s">
        <v>412</v>
      </c>
      <c r="I9" t="s">
        <v>371</v>
      </c>
      <c r="J9" t="s">
        <v>36</v>
      </c>
      <c r="K9" t="s">
        <v>37</v>
      </c>
      <c r="L9" t="s">
        <v>322</v>
      </c>
      <c r="M9" t="s">
        <v>141</v>
      </c>
      <c r="N9" t="s">
        <v>142</v>
      </c>
      <c r="O9" t="s">
        <v>155</v>
      </c>
      <c r="P9" t="s">
        <v>281</v>
      </c>
      <c r="Q9" t="s">
        <v>155</v>
      </c>
      <c r="R9" t="s">
        <v>273</v>
      </c>
      <c r="S9" t="s">
        <v>513</v>
      </c>
      <c r="T9">
        <v>1</v>
      </c>
      <c r="U9" t="s">
        <v>406</v>
      </c>
      <c r="V9" t="s">
        <v>344</v>
      </c>
      <c r="W9" t="s">
        <v>514</v>
      </c>
      <c r="X9" t="s">
        <v>306</v>
      </c>
      <c r="Y9" t="s">
        <v>307</v>
      </c>
      <c r="Z9">
        <v>65</v>
      </c>
      <c r="AA9">
        <v>80</v>
      </c>
      <c r="AB9" t="s">
        <v>143</v>
      </c>
      <c r="AC9" t="s">
        <v>144</v>
      </c>
      <c r="AD9" t="s">
        <v>278</v>
      </c>
      <c r="AE9" t="str">
        <f>IF(AF9="","",VLOOKUP(AC9,mapel!$A$2:$B$42,2,FALSE))</f>
        <v>A.Katolik</v>
      </c>
      <c r="AF9">
        <f t="shared" si="0"/>
        <v>80</v>
      </c>
      <c r="AG9" t="str">
        <f>IF(AF9="","",IF(AF9&gt;90,"Sangat baik",IF(AF9&gt;79,"Baik",IF(AF9&gt;=pub_gid_0_single_true_output_csv[[#This Row],[KKM]],"Cukup","Kurang"))))</f>
        <v>Baik</v>
      </c>
      <c r="AH9">
        <f t="shared" si="1"/>
        <v>11</v>
      </c>
      <c r="AI9" s="30" t="str">
        <f>IF(OR(J9&lt;&gt;"Karakter",pub_gid_0_single_true_output_csv[[#This Row],[Nilai2]]=""),"",IF(AF9&gt;89,"Sangat baik",IF(AF9&gt;79,"Baik",IF(AF9&gt;69,"Cukup",IF(AF9&gt;59,"Kurang","Sangat kurang")))))</f>
        <v/>
      </c>
      <c r="AJ9" t="str">
        <f t="shared" si="2"/>
        <v>Wk.6</v>
      </c>
      <c r="AK9" t="str">
        <f>IF(pub_gid_0_single_true_output_csv[[#This Row],[Nilai2]]="","",VLOOKUP(pub_gid_0_single_true_output_csv[[#This Row],[NAMA]],Table7[],3,FALSE))</f>
        <v>Extremely low</v>
      </c>
    </row>
    <row r="10" spans="1:37" x14ac:dyDescent="0.2">
      <c r="A10">
        <v>9</v>
      </c>
      <c r="B10" t="s">
        <v>287</v>
      </c>
      <c r="C10" t="s">
        <v>54</v>
      </c>
      <c r="D10" t="s">
        <v>34</v>
      </c>
      <c r="E10" t="s">
        <v>140</v>
      </c>
      <c r="F10" s="25">
        <v>46036</v>
      </c>
      <c r="G10" t="s">
        <v>353</v>
      </c>
      <c r="H10" t="s">
        <v>405</v>
      </c>
      <c r="I10" t="s">
        <v>371</v>
      </c>
      <c r="J10" t="s">
        <v>36</v>
      </c>
      <c r="K10" t="s">
        <v>37</v>
      </c>
      <c r="L10" t="s">
        <v>322</v>
      </c>
      <c r="M10" t="s">
        <v>141</v>
      </c>
      <c r="N10" t="s">
        <v>142</v>
      </c>
      <c r="O10" t="s">
        <v>155</v>
      </c>
      <c r="P10" t="s">
        <v>281</v>
      </c>
      <c r="Q10" t="s">
        <v>155</v>
      </c>
      <c r="R10" t="s">
        <v>273</v>
      </c>
      <c r="S10" t="s">
        <v>309</v>
      </c>
      <c r="T10">
        <v>1</v>
      </c>
      <c r="U10" t="s">
        <v>406</v>
      </c>
      <c r="V10" t="s">
        <v>285</v>
      </c>
      <c r="W10" t="s">
        <v>407</v>
      </c>
      <c r="X10" t="s">
        <v>306</v>
      </c>
      <c r="Y10" t="s">
        <v>307</v>
      </c>
      <c r="Z10">
        <v>65</v>
      </c>
      <c r="AA10">
        <v>70</v>
      </c>
      <c r="AB10" t="s">
        <v>143</v>
      </c>
      <c r="AC10" t="s">
        <v>144</v>
      </c>
      <c r="AD10" t="s">
        <v>278</v>
      </c>
      <c r="AE10" t="str">
        <f>IF(AF10="","",VLOOKUP(AC10,mapel!$A$2:$B$42,2,FALSE))</f>
        <v>A.Katolik</v>
      </c>
      <c r="AF10">
        <f t="shared" si="0"/>
        <v>70</v>
      </c>
      <c r="AG10" t="str">
        <f>IF(AF10="","",IF(AF10&gt;90,"Sangat baik",IF(AF10&gt;79,"Baik",IF(AF10&gt;=pub_gid_0_single_true_output_csv[[#This Row],[KKM]],"Cukup","Kurang"))))</f>
        <v>Cukup</v>
      </c>
      <c r="AH10">
        <f t="shared" si="1"/>
        <v>11</v>
      </c>
      <c r="AI10" s="30" t="str">
        <f>IF(OR(J10&lt;&gt;"Karakter",pub_gid_0_single_true_output_csv[[#This Row],[Nilai2]]=""),"",IF(AF10&gt;89,"Sangat baik",IF(AF10&gt;79,"Baik",IF(AF10&gt;69,"Cukup",IF(AF10&gt;59,"Kurang","Sangat kurang")))))</f>
        <v/>
      </c>
      <c r="AJ10" t="str">
        <f t="shared" si="2"/>
        <v>Wk.3</v>
      </c>
      <c r="AK10" t="str">
        <f>IF(pub_gid_0_single_true_output_csv[[#This Row],[Nilai2]]="","",VLOOKUP(pub_gid_0_single_true_output_csv[[#This Row],[NAMA]],Table7[],3,FALSE))</f>
        <v>Average</v>
      </c>
    </row>
    <row r="11" spans="1:37" x14ac:dyDescent="0.2">
      <c r="A11">
        <v>10</v>
      </c>
      <c r="B11" t="s">
        <v>287</v>
      </c>
      <c r="C11" t="s">
        <v>54</v>
      </c>
      <c r="D11" t="s">
        <v>34</v>
      </c>
      <c r="E11" t="s">
        <v>140</v>
      </c>
      <c r="F11" s="25">
        <v>46043</v>
      </c>
      <c r="G11" t="s">
        <v>341</v>
      </c>
      <c r="H11" t="s">
        <v>405</v>
      </c>
      <c r="I11" t="s">
        <v>371</v>
      </c>
      <c r="J11" t="s">
        <v>36</v>
      </c>
      <c r="K11" t="s">
        <v>37</v>
      </c>
      <c r="L11" t="s">
        <v>322</v>
      </c>
      <c r="M11" t="s">
        <v>141</v>
      </c>
      <c r="N11" t="s">
        <v>142</v>
      </c>
      <c r="O11" t="s">
        <v>155</v>
      </c>
      <c r="P11" t="s">
        <v>281</v>
      </c>
      <c r="Q11" t="s">
        <v>155</v>
      </c>
      <c r="R11" t="s">
        <v>273</v>
      </c>
      <c r="S11" t="s">
        <v>369</v>
      </c>
      <c r="T11">
        <v>1</v>
      </c>
      <c r="U11" t="s">
        <v>406</v>
      </c>
      <c r="V11" t="s">
        <v>342</v>
      </c>
      <c r="W11" t="s">
        <v>510</v>
      </c>
      <c r="X11" t="s">
        <v>306</v>
      </c>
      <c r="Y11" t="s">
        <v>307</v>
      </c>
      <c r="Z11">
        <v>65</v>
      </c>
      <c r="AA11">
        <v>75</v>
      </c>
      <c r="AB11" t="s">
        <v>143</v>
      </c>
      <c r="AC11" t="s">
        <v>144</v>
      </c>
      <c r="AD11" t="s">
        <v>278</v>
      </c>
      <c r="AE11" t="str">
        <f>IF(AF11="","",VLOOKUP(AC11,mapel!$A$2:$B$42,2,FALSE))</f>
        <v>A.Katolik</v>
      </c>
      <c r="AF11">
        <f t="shared" si="0"/>
        <v>75</v>
      </c>
      <c r="AG11" t="str">
        <f>IF(AF11="","",IF(AF11&gt;90,"Sangat baik",IF(AF11&gt;79,"Baik",IF(AF11&gt;=pub_gid_0_single_true_output_csv[[#This Row],[KKM]],"Cukup","Kurang"))))</f>
        <v>Cukup</v>
      </c>
      <c r="AH11">
        <f t="shared" si="1"/>
        <v>11</v>
      </c>
      <c r="AI11" s="30" t="str">
        <f>IF(OR(J11&lt;&gt;"Karakter",pub_gid_0_single_true_output_csv[[#This Row],[Nilai2]]=""),"",IF(AF11&gt;89,"Sangat baik",IF(AF11&gt;79,"Baik",IF(AF11&gt;69,"Cukup",IF(AF11&gt;59,"Kurang","Sangat kurang")))))</f>
        <v/>
      </c>
      <c r="AJ11" t="str">
        <f t="shared" si="2"/>
        <v>Wk.4</v>
      </c>
      <c r="AK11" t="str">
        <f>IF(pub_gid_0_single_true_output_csv[[#This Row],[Nilai2]]="","",VLOOKUP(pub_gid_0_single_true_output_csv[[#This Row],[NAMA]],Table7[],3,FALSE))</f>
        <v>Average</v>
      </c>
    </row>
    <row r="12" spans="1:37" x14ac:dyDescent="0.2">
      <c r="A12">
        <v>11</v>
      </c>
      <c r="B12" t="s">
        <v>287</v>
      </c>
      <c r="C12" t="s">
        <v>54</v>
      </c>
      <c r="D12" t="s">
        <v>34</v>
      </c>
      <c r="E12" t="s">
        <v>140</v>
      </c>
      <c r="F12" s="25">
        <v>46050</v>
      </c>
      <c r="G12" t="s">
        <v>308</v>
      </c>
      <c r="H12" t="s">
        <v>405</v>
      </c>
      <c r="I12" t="s">
        <v>371</v>
      </c>
      <c r="J12" t="s">
        <v>41</v>
      </c>
      <c r="K12" t="s">
        <v>511</v>
      </c>
      <c r="L12" t="s">
        <v>322</v>
      </c>
      <c r="M12" t="s">
        <v>141</v>
      </c>
      <c r="N12" t="s">
        <v>142</v>
      </c>
      <c r="O12" t="s">
        <v>155</v>
      </c>
      <c r="P12" t="s">
        <v>281</v>
      </c>
      <c r="Q12" t="s">
        <v>155</v>
      </c>
      <c r="R12" t="s">
        <v>273</v>
      </c>
      <c r="S12" t="s">
        <v>345</v>
      </c>
      <c r="T12">
        <v>1</v>
      </c>
      <c r="U12" t="s">
        <v>406</v>
      </c>
      <c r="V12" t="s">
        <v>343</v>
      </c>
      <c r="W12" t="s">
        <v>512</v>
      </c>
      <c r="X12" t="s">
        <v>306</v>
      </c>
      <c r="Y12" t="s">
        <v>307</v>
      </c>
      <c r="Z12">
        <v>65</v>
      </c>
      <c r="AA12">
        <v>80</v>
      </c>
      <c r="AB12" t="s">
        <v>143</v>
      </c>
      <c r="AC12" t="s">
        <v>144</v>
      </c>
      <c r="AD12" t="s">
        <v>278</v>
      </c>
      <c r="AE12" t="str">
        <f>IF(AF12="","",VLOOKUP(AC12,mapel!$A$2:$B$42,2,FALSE))</f>
        <v>A.Katolik</v>
      </c>
      <c r="AF12">
        <f t="shared" si="0"/>
        <v>80</v>
      </c>
      <c r="AG12" t="str">
        <f>IF(AF12="","",IF(AF12&gt;90,"Sangat baik",IF(AF12&gt;79,"Baik",IF(AF12&gt;=pub_gid_0_single_true_output_csv[[#This Row],[KKM]],"Cukup","Kurang"))))</f>
        <v>Baik</v>
      </c>
      <c r="AH12">
        <f t="shared" si="1"/>
        <v>11</v>
      </c>
      <c r="AI12" s="30" t="str">
        <f>IF(OR(J12&lt;&gt;"Karakter",pub_gid_0_single_true_output_csv[[#This Row],[Nilai2]]=""),"",IF(AF12&gt;89,"Sangat baik",IF(AF12&gt;79,"Baik",IF(AF12&gt;69,"Cukup",IF(AF12&gt;59,"Kurang","Sangat kurang")))))</f>
        <v/>
      </c>
      <c r="AJ12" t="str">
        <f t="shared" si="2"/>
        <v>Wk.5</v>
      </c>
      <c r="AK12" t="str">
        <f>IF(pub_gid_0_single_true_output_csv[[#This Row],[Nilai2]]="","",VLOOKUP(pub_gid_0_single_true_output_csv[[#This Row],[NAMA]],Table7[],3,FALSE))</f>
        <v>Average</v>
      </c>
    </row>
    <row r="13" spans="1:37" x14ac:dyDescent="0.2">
      <c r="A13">
        <v>12</v>
      </c>
      <c r="B13" t="s">
        <v>287</v>
      </c>
      <c r="C13" t="s">
        <v>54</v>
      </c>
      <c r="D13" t="s">
        <v>34</v>
      </c>
      <c r="E13" t="s">
        <v>140</v>
      </c>
      <c r="F13" s="25">
        <v>46057</v>
      </c>
      <c r="G13" t="s">
        <v>348</v>
      </c>
      <c r="H13" t="s">
        <v>412</v>
      </c>
      <c r="I13" t="s">
        <v>371</v>
      </c>
      <c r="J13" t="s">
        <v>36</v>
      </c>
      <c r="K13" t="s">
        <v>37</v>
      </c>
      <c r="L13" t="s">
        <v>322</v>
      </c>
      <c r="M13" t="s">
        <v>141</v>
      </c>
      <c r="N13" t="s">
        <v>142</v>
      </c>
      <c r="O13" t="s">
        <v>155</v>
      </c>
      <c r="P13" t="s">
        <v>281</v>
      </c>
      <c r="Q13" t="s">
        <v>155</v>
      </c>
      <c r="R13" t="s">
        <v>273</v>
      </c>
      <c r="S13" t="s">
        <v>513</v>
      </c>
      <c r="T13">
        <v>1</v>
      </c>
      <c r="U13" t="s">
        <v>406</v>
      </c>
      <c r="V13" t="s">
        <v>344</v>
      </c>
      <c r="W13" t="s">
        <v>514</v>
      </c>
      <c r="X13" t="s">
        <v>306</v>
      </c>
      <c r="Y13" t="s">
        <v>307</v>
      </c>
      <c r="Z13">
        <v>65</v>
      </c>
      <c r="AA13">
        <v>75</v>
      </c>
      <c r="AB13" t="s">
        <v>143</v>
      </c>
      <c r="AC13" t="s">
        <v>144</v>
      </c>
      <c r="AD13" t="s">
        <v>278</v>
      </c>
      <c r="AE13" t="str">
        <f>IF(AF13="","",VLOOKUP(AC13,mapel!$A$2:$B$42,2,FALSE))</f>
        <v>A.Katolik</v>
      </c>
      <c r="AF13">
        <f t="shared" si="0"/>
        <v>75</v>
      </c>
      <c r="AG13" t="str">
        <f>IF(AF13="","",IF(AF13&gt;90,"Sangat baik",IF(AF13&gt;79,"Baik",IF(AF13&gt;=pub_gid_0_single_true_output_csv[[#This Row],[KKM]],"Cukup","Kurang"))))</f>
        <v>Cukup</v>
      </c>
      <c r="AH13">
        <f t="shared" si="1"/>
        <v>11</v>
      </c>
      <c r="AI13" s="30" t="str">
        <f>IF(OR(J13&lt;&gt;"Karakter",pub_gid_0_single_true_output_csv[[#This Row],[Nilai2]]=""),"",IF(AF13&gt;89,"Sangat baik",IF(AF13&gt;79,"Baik",IF(AF13&gt;69,"Cukup",IF(AF13&gt;59,"Kurang","Sangat kurang")))))</f>
        <v/>
      </c>
      <c r="AJ13" t="str">
        <f t="shared" si="2"/>
        <v>Wk.6</v>
      </c>
      <c r="AK13" t="str">
        <f>IF(pub_gid_0_single_true_output_csv[[#This Row],[Nilai2]]="","",VLOOKUP(pub_gid_0_single_true_output_csv[[#This Row],[NAMA]],Table7[],3,FALSE))</f>
        <v>Average</v>
      </c>
    </row>
    <row r="14" spans="1:37" x14ac:dyDescent="0.2">
      <c r="A14">
        <v>13</v>
      </c>
      <c r="B14" t="s">
        <v>288</v>
      </c>
      <c r="C14" t="s">
        <v>54</v>
      </c>
      <c r="D14" t="s">
        <v>35</v>
      </c>
      <c r="E14" t="s">
        <v>140</v>
      </c>
      <c r="F14" s="25">
        <v>46036</v>
      </c>
      <c r="G14" t="s">
        <v>353</v>
      </c>
      <c r="H14" t="s">
        <v>405</v>
      </c>
      <c r="I14" t="s">
        <v>371</v>
      </c>
      <c r="J14" t="s">
        <v>36</v>
      </c>
      <c r="K14" t="s">
        <v>37</v>
      </c>
      <c r="L14" t="s">
        <v>322</v>
      </c>
      <c r="M14" t="s">
        <v>141</v>
      </c>
      <c r="N14" t="s">
        <v>142</v>
      </c>
      <c r="O14" t="s">
        <v>155</v>
      </c>
      <c r="P14" t="s">
        <v>281</v>
      </c>
      <c r="Q14" t="s">
        <v>155</v>
      </c>
      <c r="R14" t="s">
        <v>273</v>
      </c>
      <c r="S14" t="s">
        <v>309</v>
      </c>
      <c r="T14">
        <v>1</v>
      </c>
      <c r="U14" t="s">
        <v>406</v>
      </c>
      <c r="V14" t="s">
        <v>285</v>
      </c>
      <c r="W14" t="s">
        <v>407</v>
      </c>
      <c r="X14" t="s">
        <v>306</v>
      </c>
      <c r="Y14" t="s">
        <v>307</v>
      </c>
      <c r="Z14">
        <v>65</v>
      </c>
      <c r="AA14">
        <v>70</v>
      </c>
      <c r="AB14" t="s">
        <v>143</v>
      </c>
      <c r="AC14" t="s">
        <v>144</v>
      </c>
      <c r="AD14" t="s">
        <v>278</v>
      </c>
      <c r="AE14" t="str">
        <f>IF(AF14="","",VLOOKUP(AC14,mapel!$A$2:$B$42,2,FALSE))</f>
        <v>A.Katolik</v>
      </c>
      <c r="AF14">
        <f t="shared" si="0"/>
        <v>70</v>
      </c>
      <c r="AG14" t="str">
        <f>IF(AF14="","",IF(AF14&gt;90,"Sangat baik",IF(AF14&gt;79,"Baik",IF(AF14&gt;=pub_gid_0_single_true_output_csv[[#This Row],[KKM]],"Cukup","Kurang"))))</f>
        <v>Cukup</v>
      </c>
      <c r="AH14">
        <f t="shared" si="1"/>
        <v>11</v>
      </c>
      <c r="AI14" s="30" t="str">
        <f>IF(OR(J14&lt;&gt;"Karakter",pub_gid_0_single_true_output_csv[[#This Row],[Nilai2]]=""),"",IF(AF14&gt;89,"Sangat baik",IF(AF14&gt;79,"Baik",IF(AF14&gt;69,"Cukup",IF(AF14&gt;59,"Kurang","Sangat kurang")))))</f>
        <v/>
      </c>
      <c r="AJ14" t="str">
        <f t="shared" si="2"/>
        <v>Wk.3</v>
      </c>
      <c r="AK14" t="str">
        <f>IF(pub_gid_0_single_true_output_csv[[#This Row],[Nilai2]]="","",VLOOKUP(pub_gid_0_single_true_output_csv[[#This Row],[NAMA]],Table7[],3,FALSE))</f>
        <v>Extremely low</v>
      </c>
    </row>
    <row r="15" spans="1:37" x14ac:dyDescent="0.2">
      <c r="A15">
        <v>14</v>
      </c>
      <c r="B15" t="s">
        <v>288</v>
      </c>
      <c r="C15" t="s">
        <v>54</v>
      </c>
      <c r="D15" t="s">
        <v>35</v>
      </c>
      <c r="E15" t="s">
        <v>140</v>
      </c>
      <c r="F15" s="25">
        <v>46043</v>
      </c>
      <c r="G15" t="s">
        <v>341</v>
      </c>
      <c r="H15" t="s">
        <v>405</v>
      </c>
      <c r="I15" t="s">
        <v>371</v>
      </c>
      <c r="J15" t="s">
        <v>36</v>
      </c>
      <c r="K15" t="s">
        <v>37</v>
      </c>
      <c r="L15" t="s">
        <v>322</v>
      </c>
      <c r="M15" t="s">
        <v>141</v>
      </c>
      <c r="N15" t="s">
        <v>142</v>
      </c>
      <c r="O15" t="s">
        <v>155</v>
      </c>
      <c r="P15" t="s">
        <v>281</v>
      </c>
      <c r="Q15" t="s">
        <v>155</v>
      </c>
      <c r="R15" t="s">
        <v>273</v>
      </c>
      <c r="S15" t="s">
        <v>369</v>
      </c>
      <c r="T15">
        <v>1</v>
      </c>
      <c r="U15" t="s">
        <v>406</v>
      </c>
      <c r="V15" t="s">
        <v>342</v>
      </c>
      <c r="W15" t="s">
        <v>510</v>
      </c>
      <c r="X15" t="s">
        <v>306</v>
      </c>
      <c r="Y15" t="s">
        <v>307</v>
      </c>
      <c r="Z15">
        <v>65</v>
      </c>
      <c r="AA15">
        <v>70</v>
      </c>
      <c r="AB15" t="s">
        <v>143</v>
      </c>
      <c r="AC15" t="s">
        <v>144</v>
      </c>
      <c r="AD15" t="s">
        <v>278</v>
      </c>
      <c r="AE15" t="str">
        <f>IF(AF15="","",VLOOKUP(AC15,mapel!$A$2:$B$42,2,FALSE))</f>
        <v>A.Katolik</v>
      </c>
      <c r="AF15">
        <f t="shared" si="0"/>
        <v>70</v>
      </c>
      <c r="AG15" t="str">
        <f>IF(AF15="","",IF(AF15&gt;90,"Sangat baik",IF(AF15&gt;79,"Baik",IF(AF15&gt;=pub_gid_0_single_true_output_csv[[#This Row],[KKM]],"Cukup","Kurang"))))</f>
        <v>Cukup</v>
      </c>
      <c r="AH15">
        <f t="shared" si="1"/>
        <v>11</v>
      </c>
      <c r="AI15" s="30" t="str">
        <f>IF(OR(J15&lt;&gt;"Karakter",pub_gid_0_single_true_output_csv[[#This Row],[Nilai2]]=""),"",IF(AF15&gt;89,"Sangat baik",IF(AF15&gt;79,"Baik",IF(AF15&gt;69,"Cukup",IF(AF15&gt;59,"Kurang","Sangat kurang")))))</f>
        <v/>
      </c>
      <c r="AJ15" t="str">
        <f t="shared" si="2"/>
        <v>Wk.4</v>
      </c>
      <c r="AK15" t="str">
        <f>IF(pub_gid_0_single_true_output_csv[[#This Row],[Nilai2]]="","",VLOOKUP(pub_gid_0_single_true_output_csv[[#This Row],[NAMA]],Table7[],3,FALSE))</f>
        <v>Extremely low</v>
      </c>
    </row>
    <row r="16" spans="1:37" x14ac:dyDescent="0.2">
      <c r="A16">
        <v>15</v>
      </c>
      <c r="B16" t="s">
        <v>288</v>
      </c>
      <c r="C16" t="s">
        <v>54</v>
      </c>
      <c r="D16" t="s">
        <v>35</v>
      </c>
      <c r="E16" t="s">
        <v>140</v>
      </c>
      <c r="F16" s="25">
        <v>46050</v>
      </c>
      <c r="G16" t="s">
        <v>308</v>
      </c>
      <c r="H16" t="s">
        <v>405</v>
      </c>
      <c r="I16" t="s">
        <v>371</v>
      </c>
      <c r="J16" t="s">
        <v>41</v>
      </c>
      <c r="K16" t="s">
        <v>511</v>
      </c>
      <c r="L16" t="s">
        <v>322</v>
      </c>
      <c r="M16" t="s">
        <v>141</v>
      </c>
      <c r="N16" t="s">
        <v>142</v>
      </c>
      <c r="O16" t="s">
        <v>155</v>
      </c>
      <c r="P16" t="s">
        <v>281</v>
      </c>
      <c r="Q16" t="s">
        <v>155</v>
      </c>
      <c r="R16" t="s">
        <v>273</v>
      </c>
      <c r="S16" t="s">
        <v>345</v>
      </c>
      <c r="T16">
        <v>1</v>
      </c>
      <c r="U16" t="s">
        <v>406</v>
      </c>
      <c r="V16" t="s">
        <v>343</v>
      </c>
      <c r="W16" t="s">
        <v>512</v>
      </c>
      <c r="X16" t="s">
        <v>306</v>
      </c>
      <c r="Y16" t="s">
        <v>307</v>
      </c>
      <c r="Z16">
        <v>65</v>
      </c>
      <c r="AA16">
        <v>70</v>
      </c>
      <c r="AB16" t="s">
        <v>143</v>
      </c>
      <c r="AC16" t="s">
        <v>144</v>
      </c>
      <c r="AD16" t="s">
        <v>278</v>
      </c>
      <c r="AE16" t="str">
        <f>IF(AF16="","",VLOOKUP(AC16,mapel!$A$2:$B$42,2,FALSE))</f>
        <v>A.Katolik</v>
      </c>
      <c r="AF16">
        <f t="shared" si="0"/>
        <v>70</v>
      </c>
      <c r="AG16" t="str">
        <f>IF(AF16="","",IF(AF16&gt;90,"Sangat baik",IF(AF16&gt;79,"Baik",IF(AF16&gt;=pub_gid_0_single_true_output_csv[[#This Row],[KKM]],"Cukup","Kurang"))))</f>
        <v>Cukup</v>
      </c>
      <c r="AH16">
        <f t="shared" si="1"/>
        <v>11</v>
      </c>
      <c r="AI16" s="30" t="str">
        <f>IF(OR(J16&lt;&gt;"Karakter",pub_gid_0_single_true_output_csv[[#This Row],[Nilai2]]=""),"",IF(AF16&gt;89,"Sangat baik",IF(AF16&gt;79,"Baik",IF(AF16&gt;69,"Cukup",IF(AF16&gt;59,"Kurang","Sangat kurang")))))</f>
        <v/>
      </c>
      <c r="AJ16" t="str">
        <f t="shared" si="2"/>
        <v>Wk.5</v>
      </c>
      <c r="AK16" t="str">
        <f>IF(pub_gid_0_single_true_output_csv[[#This Row],[Nilai2]]="","",VLOOKUP(pub_gid_0_single_true_output_csv[[#This Row],[NAMA]],Table7[],3,FALSE))</f>
        <v>Extremely low</v>
      </c>
    </row>
    <row r="17" spans="1:37" x14ac:dyDescent="0.2">
      <c r="A17">
        <v>16</v>
      </c>
      <c r="B17" t="s">
        <v>288</v>
      </c>
      <c r="C17" t="s">
        <v>54</v>
      </c>
      <c r="D17" t="s">
        <v>35</v>
      </c>
      <c r="E17" t="s">
        <v>140</v>
      </c>
      <c r="F17" s="25">
        <v>46057</v>
      </c>
      <c r="G17" t="s">
        <v>348</v>
      </c>
      <c r="H17" t="s">
        <v>412</v>
      </c>
      <c r="I17" t="s">
        <v>371</v>
      </c>
      <c r="J17" t="s">
        <v>36</v>
      </c>
      <c r="K17" t="s">
        <v>37</v>
      </c>
      <c r="L17" t="s">
        <v>322</v>
      </c>
      <c r="M17" t="s">
        <v>141</v>
      </c>
      <c r="N17" t="s">
        <v>142</v>
      </c>
      <c r="O17" t="s">
        <v>155</v>
      </c>
      <c r="P17" t="s">
        <v>281</v>
      </c>
      <c r="Q17" t="s">
        <v>155</v>
      </c>
      <c r="R17" t="s">
        <v>273</v>
      </c>
      <c r="S17" t="s">
        <v>513</v>
      </c>
      <c r="T17">
        <v>1</v>
      </c>
      <c r="U17" t="s">
        <v>406</v>
      </c>
      <c r="V17" t="s">
        <v>344</v>
      </c>
      <c r="W17" t="s">
        <v>514</v>
      </c>
      <c r="X17" t="s">
        <v>306</v>
      </c>
      <c r="Y17" t="s">
        <v>307</v>
      </c>
      <c r="Z17">
        <v>65</v>
      </c>
      <c r="AA17">
        <v>70</v>
      </c>
      <c r="AB17" t="s">
        <v>143</v>
      </c>
      <c r="AC17" t="s">
        <v>144</v>
      </c>
      <c r="AD17" t="s">
        <v>278</v>
      </c>
      <c r="AE17" t="str">
        <f>IF(AF17="","",VLOOKUP(AC17,mapel!$A$2:$B$42,2,FALSE))</f>
        <v>A.Katolik</v>
      </c>
      <c r="AF17">
        <f t="shared" si="0"/>
        <v>70</v>
      </c>
      <c r="AG17" t="str">
        <f>IF(AF17="","",IF(AF17&gt;90,"Sangat baik",IF(AF17&gt;79,"Baik",IF(AF17&gt;=pub_gid_0_single_true_output_csv[[#This Row],[KKM]],"Cukup","Kurang"))))</f>
        <v>Cukup</v>
      </c>
      <c r="AH17">
        <f t="shared" si="1"/>
        <v>11</v>
      </c>
      <c r="AI17" s="30" t="str">
        <f>IF(OR(J17&lt;&gt;"Karakter",pub_gid_0_single_true_output_csv[[#This Row],[Nilai2]]=""),"",IF(AF17&gt;89,"Sangat baik",IF(AF17&gt;79,"Baik",IF(AF17&gt;69,"Cukup",IF(AF17&gt;59,"Kurang","Sangat kurang")))))</f>
        <v/>
      </c>
      <c r="AJ17" t="str">
        <f t="shared" si="2"/>
        <v>Wk.6</v>
      </c>
      <c r="AK17" t="str">
        <f>IF(pub_gid_0_single_true_output_csv[[#This Row],[Nilai2]]="","",VLOOKUP(pub_gid_0_single_true_output_csv[[#This Row],[NAMA]],Table7[],3,FALSE))</f>
        <v>Extremely low</v>
      </c>
    </row>
    <row r="18" spans="1:37" x14ac:dyDescent="0.2">
      <c r="A18">
        <v>17</v>
      </c>
      <c r="B18" t="s">
        <v>289</v>
      </c>
      <c r="C18" t="s">
        <v>54</v>
      </c>
      <c r="D18" t="s">
        <v>39</v>
      </c>
      <c r="E18" t="s">
        <v>140</v>
      </c>
      <c r="F18" s="25">
        <v>46036</v>
      </c>
      <c r="G18" t="s">
        <v>353</v>
      </c>
      <c r="H18" t="s">
        <v>405</v>
      </c>
      <c r="I18" t="s">
        <v>371</v>
      </c>
      <c r="J18" t="s">
        <v>36</v>
      </c>
      <c r="K18" t="s">
        <v>37</v>
      </c>
      <c r="L18" t="s">
        <v>322</v>
      </c>
      <c r="M18" t="s">
        <v>141</v>
      </c>
      <c r="N18" t="s">
        <v>142</v>
      </c>
      <c r="O18" t="s">
        <v>155</v>
      </c>
      <c r="P18" t="s">
        <v>281</v>
      </c>
      <c r="Q18" t="s">
        <v>155</v>
      </c>
      <c r="R18" t="s">
        <v>273</v>
      </c>
      <c r="S18" t="s">
        <v>309</v>
      </c>
      <c r="T18">
        <v>1</v>
      </c>
      <c r="U18" t="s">
        <v>406</v>
      </c>
      <c r="V18" t="s">
        <v>285</v>
      </c>
      <c r="W18" t="s">
        <v>407</v>
      </c>
      <c r="X18" t="s">
        <v>306</v>
      </c>
      <c r="Y18" t="s">
        <v>307</v>
      </c>
      <c r="Z18">
        <v>65</v>
      </c>
      <c r="AA18">
        <v>79</v>
      </c>
      <c r="AB18" t="s">
        <v>143</v>
      </c>
      <c r="AC18" t="s">
        <v>145</v>
      </c>
      <c r="AD18" t="s">
        <v>404</v>
      </c>
      <c r="AE18" t="str">
        <f>IF(AF18="","",VLOOKUP(AC18,mapel!$A$2:$B$42,2,FALSE))</f>
        <v>A.Kristen</v>
      </c>
      <c r="AF18">
        <f t="shared" si="0"/>
        <v>79</v>
      </c>
      <c r="AG18" t="str">
        <f>IF(AF18="","",IF(AF18&gt;90,"Sangat baik",IF(AF18&gt;79,"Baik",IF(AF18&gt;=pub_gid_0_single_true_output_csv[[#This Row],[KKM]],"Cukup","Kurang"))))</f>
        <v>Cukup</v>
      </c>
      <c r="AH18">
        <f t="shared" si="1"/>
        <v>11</v>
      </c>
      <c r="AI18" s="30" t="str">
        <f>IF(OR(J18&lt;&gt;"Karakter",pub_gid_0_single_true_output_csv[[#This Row],[Nilai2]]=""),"",IF(AF18&gt;89,"Sangat baik",IF(AF18&gt;79,"Baik",IF(AF18&gt;69,"Cukup",IF(AF18&gt;59,"Kurang","Sangat kurang")))))</f>
        <v/>
      </c>
      <c r="AJ18" t="str">
        <f t="shared" si="2"/>
        <v>Wk.3</v>
      </c>
      <c r="AK18" t="str">
        <f>IF(pub_gid_0_single_true_output_csv[[#This Row],[Nilai2]]="","",VLOOKUP(pub_gid_0_single_true_output_csv[[#This Row],[NAMA]],Table7[],3,FALSE))</f>
        <v>Average</v>
      </c>
    </row>
    <row r="19" spans="1:37" x14ac:dyDescent="0.2">
      <c r="A19">
        <v>18</v>
      </c>
      <c r="B19" t="s">
        <v>289</v>
      </c>
      <c r="C19" t="s">
        <v>54</v>
      </c>
      <c r="D19" t="s">
        <v>39</v>
      </c>
      <c r="E19" t="s">
        <v>140</v>
      </c>
      <c r="F19" s="25">
        <v>46043</v>
      </c>
      <c r="G19" t="s">
        <v>341</v>
      </c>
      <c r="H19" t="s">
        <v>405</v>
      </c>
      <c r="I19" t="s">
        <v>371</v>
      </c>
      <c r="J19" t="s">
        <v>36</v>
      </c>
      <c r="K19" t="s">
        <v>37</v>
      </c>
      <c r="L19" t="s">
        <v>322</v>
      </c>
      <c r="M19" t="s">
        <v>141</v>
      </c>
      <c r="N19" t="s">
        <v>142</v>
      </c>
      <c r="O19" t="s">
        <v>155</v>
      </c>
      <c r="P19" t="s">
        <v>281</v>
      </c>
      <c r="Q19" t="s">
        <v>155</v>
      </c>
      <c r="R19" t="s">
        <v>273</v>
      </c>
      <c r="S19" t="s">
        <v>369</v>
      </c>
      <c r="T19">
        <v>1</v>
      </c>
      <c r="U19" t="s">
        <v>406</v>
      </c>
      <c r="V19" t="s">
        <v>342</v>
      </c>
      <c r="W19" t="s">
        <v>510</v>
      </c>
      <c r="X19" t="s">
        <v>306</v>
      </c>
      <c r="Y19" t="s">
        <v>307</v>
      </c>
      <c r="Z19">
        <v>65</v>
      </c>
      <c r="AA19">
        <v>85</v>
      </c>
      <c r="AB19" t="s">
        <v>143</v>
      </c>
      <c r="AC19" t="s">
        <v>145</v>
      </c>
      <c r="AD19" t="s">
        <v>404</v>
      </c>
      <c r="AE19" t="str">
        <f>IF(AF19="","",VLOOKUP(AC19,mapel!$A$2:$B$42,2,FALSE))</f>
        <v>A.Kristen</v>
      </c>
      <c r="AF19">
        <f t="shared" si="0"/>
        <v>85</v>
      </c>
      <c r="AG19" t="str">
        <f>IF(AF19="","",IF(AF19&gt;90,"Sangat baik",IF(AF19&gt;79,"Baik",IF(AF19&gt;=pub_gid_0_single_true_output_csv[[#This Row],[KKM]],"Cukup","Kurang"))))</f>
        <v>Baik</v>
      </c>
      <c r="AH19">
        <f t="shared" si="1"/>
        <v>11</v>
      </c>
      <c r="AI19" s="30" t="str">
        <f>IF(OR(J19&lt;&gt;"Karakter",pub_gid_0_single_true_output_csv[[#This Row],[Nilai2]]=""),"",IF(AF19&gt;89,"Sangat baik",IF(AF19&gt;79,"Baik",IF(AF19&gt;69,"Cukup",IF(AF19&gt;59,"Kurang","Sangat kurang")))))</f>
        <v/>
      </c>
      <c r="AJ19" t="str">
        <f t="shared" si="2"/>
        <v>Wk.4</v>
      </c>
      <c r="AK19" t="str">
        <f>IF(pub_gid_0_single_true_output_csv[[#This Row],[Nilai2]]="","",VLOOKUP(pub_gid_0_single_true_output_csv[[#This Row],[NAMA]],Table7[],3,FALSE))</f>
        <v>Average</v>
      </c>
    </row>
    <row r="20" spans="1:37" x14ac:dyDescent="0.2">
      <c r="A20">
        <v>19</v>
      </c>
      <c r="B20" t="s">
        <v>289</v>
      </c>
      <c r="C20" t="s">
        <v>54</v>
      </c>
      <c r="D20" t="s">
        <v>39</v>
      </c>
      <c r="E20" t="s">
        <v>140</v>
      </c>
      <c r="F20" s="25">
        <v>46050</v>
      </c>
      <c r="G20" t="s">
        <v>308</v>
      </c>
      <c r="H20" t="s">
        <v>405</v>
      </c>
      <c r="I20" t="s">
        <v>371</v>
      </c>
      <c r="J20" t="s">
        <v>41</v>
      </c>
      <c r="K20" t="s">
        <v>511</v>
      </c>
      <c r="L20" t="s">
        <v>322</v>
      </c>
      <c r="M20" t="s">
        <v>141</v>
      </c>
      <c r="N20" t="s">
        <v>142</v>
      </c>
      <c r="O20" t="s">
        <v>155</v>
      </c>
      <c r="P20" t="s">
        <v>281</v>
      </c>
      <c r="Q20" t="s">
        <v>155</v>
      </c>
      <c r="R20" t="s">
        <v>273</v>
      </c>
      <c r="S20" t="s">
        <v>345</v>
      </c>
      <c r="T20">
        <v>1</v>
      </c>
      <c r="U20" t="s">
        <v>406</v>
      </c>
      <c r="V20" t="s">
        <v>343</v>
      </c>
      <c r="W20" t="s">
        <v>512</v>
      </c>
      <c r="X20" t="s">
        <v>306</v>
      </c>
      <c r="Y20" t="s">
        <v>307</v>
      </c>
      <c r="Z20">
        <v>65</v>
      </c>
      <c r="AA20">
        <v>80</v>
      </c>
      <c r="AB20" t="s">
        <v>143</v>
      </c>
      <c r="AC20" t="s">
        <v>145</v>
      </c>
      <c r="AD20" t="s">
        <v>404</v>
      </c>
      <c r="AE20" t="str">
        <f>IF(AF20="","",VLOOKUP(AC20,mapel!$A$2:$B$42,2,FALSE))</f>
        <v>A.Kristen</v>
      </c>
      <c r="AF20">
        <f t="shared" si="0"/>
        <v>80</v>
      </c>
      <c r="AG20" t="str">
        <f>IF(AF20="","",IF(AF20&gt;90,"Sangat baik",IF(AF20&gt;79,"Baik",IF(AF20&gt;=pub_gid_0_single_true_output_csv[[#This Row],[KKM]],"Cukup","Kurang"))))</f>
        <v>Baik</v>
      </c>
      <c r="AH20">
        <f t="shared" si="1"/>
        <v>11</v>
      </c>
      <c r="AI20" s="30" t="str">
        <f>IF(OR(J20&lt;&gt;"Karakter",pub_gid_0_single_true_output_csv[[#This Row],[Nilai2]]=""),"",IF(AF20&gt;89,"Sangat baik",IF(AF20&gt;79,"Baik",IF(AF20&gt;69,"Cukup",IF(AF20&gt;59,"Kurang","Sangat kurang")))))</f>
        <v/>
      </c>
      <c r="AJ20" t="str">
        <f t="shared" si="2"/>
        <v>Wk.5</v>
      </c>
      <c r="AK20" t="str">
        <f>IF(pub_gid_0_single_true_output_csv[[#This Row],[Nilai2]]="","",VLOOKUP(pub_gid_0_single_true_output_csv[[#This Row],[NAMA]],Table7[],3,FALSE))</f>
        <v>Average</v>
      </c>
    </row>
    <row r="21" spans="1:37" x14ac:dyDescent="0.2">
      <c r="A21">
        <v>20</v>
      </c>
      <c r="B21" t="s">
        <v>289</v>
      </c>
      <c r="C21" t="s">
        <v>54</v>
      </c>
      <c r="D21" t="s">
        <v>39</v>
      </c>
      <c r="E21" t="s">
        <v>140</v>
      </c>
      <c r="F21" s="25">
        <v>46057</v>
      </c>
      <c r="G21" t="s">
        <v>348</v>
      </c>
      <c r="H21" t="s">
        <v>412</v>
      </c>
      <c r="I21" t="s">
        <v>371</v>
      </c>
      <c r="J21" t="s">
        <v>36</v>
      </c>
      <c r="K21" t="s">
        <v>37</v>
      </c>
      <c r="L21" t="s">
        <v>322</v>
      </c>
      <c r="M21" t="s">
        <v>141</v>
      </c>
      <c r="N21" t="s">
        <v>142</v>
      </c>
      <c r="O21" t="s">
        <v>155</v>
      </c>
      <c r="P21" t="s">
        <v>281</v>
      </c>
      <c r="Q21" t="s">
        <v>155</v>
      </c>
      <c r="R21" t="s">
        <v>273</v>
      </c>
      <c r="S21" t="s">
        <v>513</v>
      </c>
      <c r="T21">
        <v>1</v>
      </c>
      <c r="U21" t="s">
        <v>406</v>
      </c>
      <c r="V21" t="s">
        <v>344</v>
      </c>
      <c r="W21" t="s">
        <v>514</v>
      </c>
      <c r="X21" t="s">
        <v>306</v>
      </c>
      <c r="Y21" t="s">
        <v>307</v>
      </c>
      <c r="Z21">
        <v>65</v>
      </c>
      <c r="AA21">
        <v>80</v>
      </c>
      <c r="AB21" t="s">
        <v>143</v>
      </c>
      <c r="AC21" t="s">
        <v>145</v>
      </c>
      <c r="AD21" t="s">
        <v>404</v>
      </c>
      <c r="AE21" t="str">
        <f>IF(AF21="","",VLOOKUP(AC21,mapel!$A$2:$B$42,2,FALSE))</f>
        <v>A.Kristen</v>
      </c>
      <c r="AF21">
        <f t="shared" si="0"/>
        <v>80</v>
      </c>
      <c r="AG21" t="str">
        <f>IF(AF21="","",IF(AF21&gt;90,"Sangat baik",IF(AF21&gt;79,"Baik",IF(AF21&gt;=pub_gid_0_single_true_output_csv[[#This Row],[KKM]],"Cukup","Kurang"))))</f>
        <v>Baik</v>
      </c>
      <c r="AH21">
        <f t="shared" si="1"/>
        <v>11</v>
      </c>
      <c r="AI21" s="30" t="str">
        <f>IF(OR(J21&lt;&gt;"Karakter",pub_gid_0_single_true_output_csv[[#This Row],[Nilai2]]=""),"",IF(AF21&gt;89,"Sangat baik",IF(AF21&gt;79,"Baik",IF(AF21&gt;69,"Cukup",IF(AF21&gt;59,"Kurang","Sangat kurang")))))</f>
        <v/>
      </c>
      <c r="AJ21" t="str">
        <f t="shared" si="2"/>
        <v>Wk.6</v>
      </c>
      <c r="AK21" t="str">
        <f>IF(pub_gid_0_single_true_output_csv[[#This Row],[Nilai2]]="","",VLOOKUP(pub_gid_0_single_true_output_csv[[#This Row],[NAMA]],Table7[],3,FALSE))</f>
        <v>Average</v>
      </c>
    </row>
    <row r="22" spans="1:37" x14ac:dyDescent="0.2">
      <c r="A22">
        <v>21</v>
      </c>
      <c r="B22" t="s">
        <v>290</v>
      </c>
      <c r="C22" t="s">
        <v>54</v>
      </c>
      <c r="D22" t="s">
        <v>42</v>
      </c>
      <c r="E22" t="s">
        <v>140</v>
      </c>
      <c r="F22" s="25">
        <v>46036</v>
      </c>
      <c r="G22" t="s">
        <v>353</v>
      </c>
      <c r="H22" t="s">
        <v>405</v>
      </c>
      <c r="I22" t="s">
        <v>371</v>
      </c>
      <c r="J22" t="s">
        <v>36</v>
      </c>
      <c r="K22" t="s">
        <v>37</v>
      </c>
      <c r="L22" t="s">
        <v>322</v>
      </c>
      <c r="M22" t="s">
        <v>141</v>
      </c>
      <c r="N22" t="s">
        <v>142</v>
      </c>
      <c r="O22" t="s">
        <v>155</v>
      </c>
      <c r="P22" t="s">
        <v>281</v>
      </c>
      <c r="Q22" t="s">
        <v>155</v>
      </c>
      <c r="R22" t="s">
        <v>273</v>
      </c>
      <c r="S22" t="s">
        <v>309</v>
      </c>
      <c r="T22">
        <v>1</v>
      </c>
      <c r="U22" t="s">
        <v>406</v>
      </c>
      <c r="V22" t="s">
        <v>285</v>
      </c>
      <c r="W22" t="s">
        <v>407</v>
      </c>
      <c r="X22" t="s">
        <v>306</v>
      </c>
      <c r="Y22" t="s">
        <v>307</v>
      </c>
      <c r="Z22">
        <v>65</v>
      </c>
      <c r="AA22">
        <v>70</v>
      </c>
      <c r="AB22" t="s">
        <v>143</v>
      </c>
      <c r="AC22" t="s">
        <v>145</v>
      </c>
      <c r="AD22" t="s">
        <v>404</v>
      </c>
      <c r="AE22" t="str">
        <f>IF(AF22="","",VLOOKUP(AC22,mapel!$A$2:$B$42,2,FALSE))</f>
        <v>A.Kristen</v>
      </c>
      <c r="AF22">
        <f t="shared" si="0"/>
        <v>70</v>
      </c>
      <c r="AG22" t="str">
        <f>IF(AF22="","",IF(AF22&gt;90,"Sangat baik",IF(AF22&gt;79,"Baik",IF(AF22&gt;=pub_gid_0_single_true_output_csv[[#This Row],[KKM]],"Cukup","Kurang"))))</f>
        <v>Cukup</v>
      </c>
      <c r="AH22">
        <f t="shared" si="1"/>
        <v>11</v>
      </c>
      <c r="AI22" s="30" t="str">
        <f>IF(OR(J22&lt;&gt;"Karakter",pub_gid_0_single_true_output_csv[[#This Row],[Nilai2]]=""),"",IF(AF22&gt;89,"Sangat baik",IF(AF22&gt;79,"Baik",IF(AF22&gt;69,"Cukup",IF(AF22&gt;59,"Kurang","Sangat kurang")))))</f>
        <v/>
      </c>
      <c r="AJ22" t="str">
        <f t="shared" si="2"/>
        <v>Wk.3</v>
      </c>
      <c r="AK22" t="str">
        <f>IF(pub_gid_0_single_true_output_csv[[#This Row],[Nilai2]]="","",VLOOKUP(pub_gid_0_single_true_output_csv[[#This Row],[NAMA]],Table7[],3,FALSE))</f>
        <v>Superior</v>
      </c>
    </row>
    <row r="23" spans="1:37" x14ac:dyDescent="0.2">
      <c r="A23">
        <v>22</v>
      </c>
      <c r="B23" t="s">
        <v>290</v>
      </c>
      <c r="C23" t="s">
        <v>54</v>
      </c>
      <c r="D23" t="s">
        <v>42</v>
      </c>
      <c r="E23" t="s">
        <v>140</v>
      </c>
      <c r="F23" s="25">
        <v>46043</v>
      </c>
      <c r="G23" t="s">
        <v>341</v>
      </c>
      <c r="H23" t="s">
        <v>405</v>
      </c>
      <c r="I23" t="s">
        <v>371</v>
      </c>
      <c r="J23" t="s">
        <v>36</v>
      </c>
      <c r="K23" t="s">
        <v>37</v>
      </c>
      <c r="L23" t="s">
        <v>322</v>
      </c>
      <c r="M23" t="s">
        <v>141</v>
      </c>
      <c r="N23" t="s">
        <v>142</v>
      </c>
      <c r="O23" t="s">
        <v>155</v>
      </c>
      <c r="P23" t="s">
        <v>281</v>
      </c>
      <c r="Q23" t="s">
        <v>155</v>
      </c>
      <c r="R23" t="s">
        <v>273</v>
      </c>
      <c r="S23" t="s">
        <v>369</v>
      </c>
      <c r="T23">
        <v>1</v>
      </c>
      <c r="U23" t="s">
        <v>406</v>
      </c>
      <c r="V23" t="s">
        <v>342</v>
      </c>
      <c r="W23" t="s">
        <v>510</v>
      </c>
      <c r="X23" t="s">
        <v>306</v>
      </c>
      <c r="Y23" t="s">
        <v>307</v>
      </c>
      <c r="Z23">
        <v>65</v>
      </c>
      <c r="AA23">
        <v>70</v>
      </c>
      <c r="AB23" t="s">
        <v>143</v>
      </c>
      <c r="AC23" t="s">
        <v>145</v>
      </c>
      <c r="AD23" t="s">
        <v>404</v>
      </c>
      <c r="AE23" t="str">
        <f>IF(AF23="","",VLOOKUP(AC23,mapel!$A$2:$B$42,2,FALSE))</f>
        <v>A.Kristen</v>
      </c>
      <c r="AF23">
        <f t="shared" si="0"/>
        <v>70</v>
      </c>
      <c r="AG23" t="str">
        <f>IF(AF23="","",IF(AF23&gt;90,"Sangat baik",IF(AF23&gt;79,"Baik",IF(AF23&gt;=pub_gid_0_single_true_output_csv[[#This Row],[KKM]],"Cukup","Kurang"))))</f>
        <v>Cukup</v>
      </c>
      <c r="AH23">
        <f t="shared" si="1"/>
        <v>11</v>
      </c>
      <c r="AI23" s="30" t="str">
        <f>IF(OR(J23&lt;&gt;"Karakter",pub_gid_0_single_true_output_csv[[#This Row],[Nilai2]]=""),"",IF(AF23&gt;89,"Sangat baik",IF(AF23&gt;79,"Baik",IF(AF23&gt;69,"Cukup",IF(AF23&gt;59,"Kurang","Sangat kurang")))))</f>
        <v/>
      </c>
      <c r="AJ23" t="str">
        <f t="shared" si="2"/>
        <v>Wk.4</v>
      </c>
      <c r="AK23" t="str">
        <f>IF(pub_gid_0_single_true_output_csv[[#This Row],[Nilai2]]="","",VLOOKUP(pub_gid_0_single_true_output_csv[[#This Row],[NAMA]],Table7[],3,FALSE))</f>
        <v>Superior</v>
      </c>
    </row>
    <row r="24" spans="1:37" x14ac:dyDescent="0.2">
      <c r="A24">
        <v>23</v>
      </c>
      <c r="B24" t="s">
        <v>290</v>
      </c>
      <c r="C24" t="s">
        <v>54</v>
      </c>
      <c r="D24" t="s">
        <v>42</v>
      </c>
      <c r="E24" t="s">
        <v>140</v>
      </c>
      <c r="F24" s="25">
        <v>46050</v>
      </c>
      <c r="G24" t="s">
        <v>308</v>
      </c>
      <c r="H24" t="s">
        <v>405</v>
      </c>
      <c r="I24" t="s">
        <v>371</v>
      </c>
      <c r="J24" t="s">
        <v>41</v>
      </c>
      <c r="K24" t="s">
        <v>511</v>
      </c>
      <c r="L24" t="s">
        <v>322</v>
      </c>
      <c r="M24" t="s">
        <v>141</v>
      </c>
      <c r="N24" t="s">
        <v>142</v>
      </c>
      <c r="O24" t="s">
        <v>155</v>
      </c>
      <c r="P24" t="s">
        <v>281</v>
      </c>
      <c r="Q24" t="s">
        <v>155</v>
      </c>
      <c r="R24" t="s">
        <v>273</v>
      </c>
      <c r="S24" t="s">
        <v>345</v>
      </c>
      <c r="T24">
        <v>1</v>
      </c>
      <c r="U24" t="s">
        <v>406</v>
      </c>
      <c r="V24" t="s">
        <v>343</v>
      </c>
      <c r="W24" t="s">
        <v>512</v>
      </c>
      <c r="X24" t="s">
        <v>306</v>
      </c>
      <c r="Y24" t="s">
        <v>307</v>
      </c>
      <c r="Z24">
        <v>65</v>
      </c>
      <c r="AA24">
        <v>80</v>
      </c>
      <c r="AB24" t="s">
        <v>143</v>
      </c>
      <c r="AC24" t="s">
        <v>145</v>
      </c>
      <c r="AD24" t="s">
        <v>404</v>
      </c>
      <c r="AE24" t="str">
        <f>IF(AF24="","",VLOOKUP(AC24,mapel!$A$2:$B$42,2,FALSE))</f>
        <v>A.Kristen</v>
      </c>
      <c r="AF24">
        <f t="shared" si="0"/>
        <v>80</v>
      </c>
      <c r="AG24" t="str">
        <f>IF(AF24="","",IF(AF24&gt;90,"Sangat baik",IF(AF24&gt;79,"Baik",IF(AF24&gt;=pub_gid_0_single_true_output_csv[[#This Row],[KKM]],"Cukup","Kurang"))))</f>
        <v>Baik</v>
      </c>
      <c r="AH24">
        <f t="shared" si="1"/>
        <v>11</v>
      </c>
      <c r="AI24" s="30" t="str">
        <f>IF(OR(J24&lt;&gt;"Karakter",pub_gid_0_single_true_output_csv[[#This Row],[Nilai2]]=""),"",IF(AF24&gt;89,"Sangat baik",IF(AF24&gt;79,"Baik",IF(AF24&gt;69,"Cukup",IF(AF24&gt;59,"Kurang","Sangat kurang")))))</f>
        <v/>
      </c>
      <c r="AJ24" t="str">
        <f t="shared" si="2"/>
        <v>Wk.5</v>
      </c>
      <c r="AK24" t="str">
        <f>IF(pub_gid_0_single_true_output_csv[[#This Row],[Nilai2]]="","",VLOOKUP(pub_gid_0_single_true_output_csv[[#This Row],[NAMA]],Table7[],3,FALSE))</f>
        <v>Superior</v>
      </c>
    </row>
    <row r="25" spans="1:37" x14ac:dyDescent="0.2">
      <c r="A25">
        <v>24</v>
      </c>
      <c r="B25" t="s">
        <v>290</v>
      </c>
      <c r="C25" t="s">
        <v>54</v>
      </c>
      <c r="D25" t="s">
        <v>42</v>
      </c>
      <c r="E25" t="s">
        <v>140</v>
      </c>
      <c r="F25" s="25">
        <v>46057</v>
      </c>
      <c r="G25" t="s">
        <v>348</v>
      </c>
      <c r="H25" t="s">
        <v>412</v>
      </c>
      <c r="I25" t="s">
        <v>371</v>
      </c>
      <c r="J25" t="s">
        <v>36</v>
      </c>
      <c r="K25" t="s">
        <v>37</v>
      </c>
      <c r="L25" t="s">
        <v>322</v>
      </c>
      <c r="M25" t="s">
        <v>141</v>
      </c>
      <c r="N25" t="s">
        <v>142</v>
      </c>
      <c r="O25" t="s">
        <v>155</v>
      </c>
      <c r="P25" t="s">
        <v>281</v>
      </c>
      <c r="Q25" t="s">
        <v>155</v>
      </c>
      <c r="R25" t="s">
        <v>273</v>
      </c>
      <c r="S25" t="s">
        <v>513</v>
      </c>
      <c r="T25">
        <v>1</v>
      </c>
      <c r="U25" t="s">
        <v>406</v>
      </c>
      <c r="V25" t="s">
        <v>344</v>
      </c>
      <c r="W25" t="s">
        <v>514</v>
      </c>
      <c r="X25" t="s">
        <v>306</v>
      </c>
      <c r="Y25" t="s">
        <v>307</v>
      </c>
      <c r="Z25">
        <v>65</v>
      </c>
      <c r="AA25">
        <v>70</v>
      </c>
      <c r="AB25" t="s">
        <v>143</v>
      </c>
      <c r="AC25" t="s">
        <v>145</v>
      </c>
      <c r="AD25" t="s">
        <v>404</v>
      </c>
      <c r="AE25" t="str">
        <f>IF(AF25="","",VLOOKUP(AC25,mapel!$A$2:$B$42,2,FALSE))</f>
        <v>A.Kristen</v>
      </c>
      <c r="AF25">
        <f t="shared" si="0"/>
        <v>70</v>
      </c>
      <c r="AG25" t="str">
        <f>IF(AF25="","",IF(AF25&gt;90,"Sangat baik",IF(AF25&gt;79,"Baik",IF(AF25&gt;=pub_gid_0_single_true_output_csv[[#This Row],[KKM]],"Cukup","Kurang"))))</f>
        <v>Cukup</v>
      </c>
      <c r="AH25">
        <f t="shared" si="1"/>
        <v>11</v>
      </c>
      <c r="AI25" s="30" t="str">
        <f>IF(OR(J25&lt;&gt;"Karakter",pub_gid_0_single_true_output_csv[[#This Row],[Nilai2]]=""),"",IF(AF25&gt;89,"Sangat baik",IF(AF25&gt;79,"Baik",IF(AF25&gt;69,"Cukup",IF(AF25&gt;59,"Kurang","Sangat kurang")))))</f>
        <v/>
      </c>
      <c r="AJ25" t="str">
        <f t="shared" si="2"/>
        <v>Wk.6</v>
      </c>
      <c r="AK25" t="str">
        <f>IF(pub_gid_0_single_true_output_csv[[#This Row],[Nilai2]]="","",VLOOKUP(pub_gid_0_single_true_output_csv[[#This Row],[NAMA]],Table7[],3,FALSE))</f>
        <v>Superior</v>
      </c>
    </row>
    <row r="26" spans="1:37" x14ac:dyDescent="0.2">
      <c r="A26">
        <v>25</v>
      </c>
      <c r="B26" t="s">
        <v>291</v>
      </c>
      <c r="C26" t="s">
        <v>54</v>
      </c>
      <c r="D26" t="s">
        <v>43</v>
      </c>
      <c r="E26" t="s">
        <v>146</v>
      </c>
      <c r="F26" s="25">
        <v>46036</v>
      </c>
      <c r="G26" t="s">
        <v>353</v>
      </c>
      <c r="H26" t="s">
        <v>405</v>
      </c>
      <c r="I26" t="s">
        <v>371</v>
      </c>
      <c r="J26" t="s">
        <v>36</v>
      </c>
      <c r="K26" t="s">
        <v>37</v>
      </c>
      <c r="L26" t="s">
        <v>322</v>
      </c>
      <c r="M26" t="s">
        <v>141</v>
      </c>
      <c r="N26" t="s">
        <v>142</v>
      </c>
      <c r="O26" t="s">
        <v>155</v>
      </c>
      <c r="P26" t="s">
        <v>281</v>
      </c>
      <c r="Q26" t="s">
        <v>155</v>
      </c>
      <c r="R26" t="s">
        <v>273</v>
      </c>
      <c r="S26" t="s">
        <v>309</v>
      </c>
      <c r="T26">
        <v>1</v>
      </c>
      <c r="U26" t="s">
        <v>406</v>
      </c>
      <c r="V26" t="s">
        <v>285</v>
      </c>
      <c r="W26" t="s">
        <v>407</v>
      </c>
      <c r="X26" t="s">
        <v>306</v>
      </c>
      <c r="Y26" t="s">
        <v>307</v>
      </c>
      <c r="Z26">
        <v>65</v>
      </c>
      <c r="AA26">
        <v>80</v>
      </c>
      <c r="AB26" t="s">
        <v>143</v>
      </c>
      <c r="AC26" t="s">
        <v>145</v>
      </c>
      <c r="AD26" t="s">
        <v>404</v>
      </c>
      <c r="AE26" t="str">
        <f>IF(AF26="","",VLOOKUP(AC26,mapel!$A$2:$B$42,2,FALSE))</f>
        <v>A.Kristen</v>
      </c>
      <c r="AF26">
        <f t="shared" si="0"/>
        <v>80</v>
      </c>
      <c r="AG26" t="str">
        <f>IF(AF26="","",IF(AF26&gt;90,"Sangat baik",IF(AF26&gt;79,"Baik",IF(AF26&gt;=pub_gid_0_single_true_output_csv[[#This Row],[KKM]],"Cukup","Kurang"))))</f>
        <v>Baik</v>
      </c>
      <c r="AH26">
        <f t="shared" si="1"/>
        <v>11</v>
      </c>
      <c r="AI26" s="30" t="str">
        <f>IF(OR(J26&lt;&gt;"Karakter",pub_gid_0_single_true_output_csv[[#This Row],[Nilai2]]=""),"",IF(AF26&gt;89,"Sangat baik",IF(AF26&gt;79,"Baik",IF(AF26&gt;69,"Cukup",IF(AF26&gt;59,"Kurang","Sangat kurang")))))</f>
        <v/>
      </c>
      <c r="AJ26" t="str">
        <f t="shared" si="2"/>
        <v>Wk.3</v>
      </c>
      <c r="AK26" t="str">
        <f>IF(pub_gid_0_single_true_output_csv[[#This Row],[Nilai2]]="","",VLOOKUP(pub_gid_0_single_true_output_csv[[#This Row],[NAMA]],Table7[],3,FALSE))</f>
        <v>High average</v>
      </c>
    </row>
    <row r="27" spans="1:37" x14ac:dyDescent="0.2">
      <c r="A27">
        <v>26</v>
      </c>
      <c r="B27" t="s">
        <v>291</v>
      </c>
      <c r="C27" t="s">
        <v>54</v>
      </c>
      <c r="D27" t="s">
        <v>43</v>
      </c>
      <c r="E27" t="s">
        <v>146</v>
      </c>
      <c r="F27" s="25">
        <v>46043</v>
      </c>
      <c r="G27" t="s">
        <v>341</v>
      </c>
      <c r="H27" t="s">
        <v>405</v>
      </c>
      <c r="I27" t="s">
        <v>371</v>
      </c>
      <c r="J27" t="s">
        <v>36</v>
      </c>
      <c r="K27" t="s">
        <v>37</v>
      </c>
      <c r="L27" t="s">
        <v>322</v>
      </c>
      <c r="M27" t="s">
        <v>141</v>
      </c>
      <c r="N27" t="s">
        <v>142</v>
      </c>
      <c r="O27" t="s">
        <v>155</v>
      </c>
      <c r="P27" t="s">
        <v>281</v>
      </c>
      <c r="Q27" t="s">
        <v>155</v>
      </c>
      <c r="R27" t="s">
        <v>273</v>
      </c>
      <c r="S27" t="s">
        <v>369</v>
      </c>
      <c r="T27">
        <v>1</v>
      </c>
      <c r="U27" t="s">
        <v>406</v>
      </c>
      <c r="V27" t="s">
        <v>342</v>
      </c>
      <c r="W27" t="s">
        <v>510</v>
      </c>
      <c r="X27" t="s">
        <v>306</v>
      </c>
      <c r="Y27" t="s">
        <v>307</v>
      </c>
      <c r="Z27">
        <v>65</v>
      </c>
      <c r="AA27">
        <v>89</v>
      </c>
      <c r="AB27" t="s">
        <v>143</v>
      </c>
      <c r="AC27" t="s">
        <v>145</v>
      </c>
      <c r="AD27" t="s">
        <v>404</v>
      </c>
      <c r="AE27" t="str">
        <f>IF(AF27="","",VLOOKUP(AC27,mapel!$A$2:$B$42,2,FALSE))</f>
        <v>A.Kristen</v>
      </c>
      <c r="AF27">
        <f t="shared" si="0"/>
        <v>89</v>
      </c>
      <c r="AG27" t="str">
        <f>IF(AF27="","",IF(AF27&gt;90,"Sangat baik",IF(AF27&gt;79,"Baik",IF(AF27&gt;=pub_gid_0_single_true_output_csv[[#This Row],[KKM]],"Cukup","Kurang"))))</f>
        <v>Baik</v>
      </c>
      <c r="AH27">
        <f t="shared" si="1"/>
        <v>11</v>
      </c>
      <c r="AI27" s="30" t="str">
        <f>IF(OR(J27&lt;&gt;"Karakter",pub_gid_0_single_true_output_csv[[#This Row],[Nilai2]]=""),"",IF(AF27&gt;89,"Sangat baik",IF(AF27&gt;79,"Baik",IF(AF27&gt;69,"Cukup",IF(AF27&gt;59,"Kurang","Sangat kurang")))))</f>
        <v/>
      </c>
      <c r="AJ27" t="str">
        <f t="shared" si="2"/>
        <v>Wk.4</v>
      </c>
      <c r="AK27" t="str">
        <f>IF(pub_gid_0_single_true_output_csv[[#This Row],[Nilai2]]="","",VLOOKUP(pub_gid_0_single_true_output_csv[[#This Row],[NAMA]],Table7[],3,FALSE))</f>
        <v>High average</v>
      </c>
    </row>
    <row r="28" spans="1:37" x14ac:dyDescent="0.2">
      <c r="A28">
        <v>27</v>
      </c>
      <c r="B28" t="s">
        <v>291</v>
      </c>
      <c r="C28" t="s">
        <v>54</v>
      </c>
      <c r="D28" t="s">
        <v>43</v>
      </c>
      <c r="E28" t="s">
        <v>146</v>
      </c>
      <c r="F28" s="25">
        <v>46050</v>
      </c>
      <c r="G28" t="s">
        <v>308</v>
      </c>
      <c r="H28" t="s">
        <v>405</v>
      </c>
      <c r="I28" t="s">
        <v>371</v>
      </c>
      <c r="J28" t="s">
        <v>41</v>
      </c>
      <c r="K28" t="s">
        <v>511</v>
      </c>
      <c r="L28" t="s">
        <v>322</v>
      </c>
      <c r="M28" t="s">
        <v>141</v>
      </c>
      <c r="N28" t="s">
        <v>142</v>
      </c>
      <c r="O28" t="s">
        <v>155</v>
      </c>
      <c r="P28" t="s">
        <v>281</v>
      </c>
      <c r="Q28" t="s">
        <v>155</v>
      </c>
      <c r="R28" t="s">
        <v>273</v>
      </c>
      <c r="S28" t="s">
        <v>345</v>
      </c>
      <c r="T28">
        <v>1</v>
      </c>
      <c r="U28" t="s">
        <v>406</v>
      </c>
      <c r="V28" t="s">
        <v>343</v>
      </c>
      <c r="W28" t="s">
        <v>512</v>
      </c>
      <c r="X28" t="s">
        <v>306</v>
      </c>
      <c r="Y28" t="s">
        <v>307</v>
      </c>
      <c r="Z28">
        <v>65</v>
      </c>
      <c r="AA28">
        <v>80</v>
      </c>
      <c r="AB28" t="s">
        <v>143</v>
      </c>
      <c r="AC28" t="s">
        <v>145</v>
      </c>
      <c r="AD28" t="s">
        <v>404</v>
      </c>
      <c r="AE28" t="str">
        <f>IF(AF28="","",VLOOKUP(AC28,mapel!$A$2:$B$42,2,FALSE))</f>
        <v>A.Kristen</v>
      </c>
      <c r="AF28">
        <f t="shared" si="0"/>
        <v>80</v>
      </c>
      <c r="AG28" t="str">
        <f>IF(AF28="","",IF(AF28&gt;90,"Sangat baik",IF(AF28&gt;79,"Baik",IF(AF28&gt;=pub_gid_0_single_true_output_csv[[#This Row],[KKM]],"Cukup","Kurang"))))</f>
        <v>Baik</v>
      </c>
      <c r="AH28">
        <f t="shared" si="1"/>
        <v>11</v>
      </c>
      <c r="AI28" s="30" t="str">
        <f>IF(OR(J28&lt;&gt;"Karakter",pub_gid_0_single_true_output_csv[[#This Row],[Nilai2]]=""),"",IF(AF28&gt;89,"Sangat baik",IF(AF28&gt;79,"Baik",IF(AF28&gt;69,"Cukup",IF(AF28&gt;59,"Kurang","Sangat kurang")))))</f>
        <v/>
      </c>
      <c r="AJ28" t="str">
        <f t="shared" si="2"/>
        <v>Wk.5</v>
      </c>
      <c r="AK28" t="str">
        <f>IF(pub_gid_0_single_true_output_csv[[#This Row],[Nilai2]]="","",VLOOKUP(pub_gid_0_single_true_output_csv[[#This Row],[NAMA]],Table7[],3,FALSE))</f>
        <v>High average</v>
      </c>
    </row>
    <row r="29" spans="1:37" x14ac:dyDescent="0.2">
      <c r="A29">
        <v>28</v>
      </c>
      <c r="B29" t="s">
        <v>291</v>
      </c>
      <c r="C29" t="s">
        <v>54</v>
      </c>
      <c r="D29" t="s">
        <v>43</v>
      </c>
      <c r="E29" t="s">
        <v>146</v>
      </c>
      <c r="F29" s="25">
        <v>46057</v>
      </c>
      <c r="G29" t="s">
        <v>348</v>
      </c>
      <c r="H29" t="s">
        <v>412</v>
      </c>
      <c r="I29" t="s">
        <v>371</v>
      </c>
      <c r="J29" t="s">
        <v>36</v>
      </c>
      <c r="K29" t="s">
        <v>37</v>
      </c>
      <c r="L29" t="s">
        <v>322</v>
      </c>
      <c r="M29" t="s">
        <v>141</v>
      </c>
      <c r="N29" t="s">
        <v>142</v>
      </c>
      <c r="O29" t="s">
        <v>155</v>
      </c>
      <c r="P29" t="s">
        <v>281</v>
      </c>
      <c r="Q29" t="s">
        <v>155</v>
      </c>
      <c r="R29" t="s">
        <v>273</v>
      </c>
      <c r="S29" t="s">
        <v>513</v>
      </c>
      <c r="T29">
        <v>1</v>
      </c>
      <c r="U29" t="s">
        <v>406</v>
      </c>
      <c r="V29" t="s">
        <v>344</v>
      </c>
      <c r="W29" t="s">
        <v>514</v>
      </c>
      <c r="X29" t="s">
        <v>306</v>
      </c>
      <c r="Y29" t="s">
        <v>307</v>
      </c>
      <c r="Z29">
        <v>65</v>
      </c>
      <c r="AA29">
        <v>85</v>
      </c>
      <c r="AB29" t="s">
        <v>143</v>
      </c>
      <c r="AC29" t="s">
        <v>145</v>
      </c>
      <c r="AD29" t="s">
        <v>404</v>
      </c>
      <c r="AE29" t="str">
        <f>IF(AF29="","",VLOOKUP(AC29,mapel!$A$2:$B$42,2,FALSE))</f>
        <v>A.Kristen</v>
      </c>
      <c r="AF29">
        <f t="shared" si="0"/>
        <v>85</v>
      </c>
      <c r="AG29" t="str">
        <f>IF(AF29="","",IF(AF29&gt;90,"Sangat baik",IF(AF29&gt;79,"Baik",IF(AF29&gt;=pub_gid_0_single_true_output_csv[[#This Row],[KKM]],"Cukup","Kurang"))))</f>
        <v>Baik</v>
      </c>
      <c r="AH29">
        <f t="shared" si="1"/>
        <v>11</v>
      </c>
      <c r="AI29" s="30" t="str">
        <f>IF(OR(J29&lt;&gt;"Karakter",pub_gid_0_single_true_output_csv[[#This Row],[Nilai2]]=""),"",IF(AF29&gt;89,"Sangat baik",IF(AF29&gt;79,"Baik",IF(AF29&gt;69,"Cukup",IF(AF29&gt;59,"Kurang","Sangat kurang")))))</f>
        <v/>
      </c>
      <c r="AJ29" t="str">
        <f t="shared" si="2"/>
        <v>Wk.6</v>
      </c>
      <c r="AK29" t="str">
        <f>IF(pub_gid_0_single_true_output_csv[[#This Row],[Nilai2]]="","",VLOOKUP(pub_gid_0_single_true_output_csv[[#This Row],[NAMA]],Table7[],3,FALSE))</f>
        <v>High average</v>
      </c>
    </row>
    <row r="30" spans="1:37" x14ac:dyDescent="0.2">
      <c r="A30">
        <v>29</v>
      </c>
      <c r="B30" t="s">
        <v>292</v>
      </c>
      <c r="C30" t="s">
        <v>54</v>
      </c>
      <c r="D30" t="s">
        <v>94</v>
      </c>
      <c r="E30" t="s">
        <v>147</v>
      </c>
      <c r="F30" s="25">
        <v>46036</v>
      </c>
      <c r="G30" t="s">
        <v>353</v>
      </c>
      <c r="H30" t="s">
        <v>405</v>
      </c>
      <c r="I30" t="s">
        <v>371</v>
      </c>
      <c r="J30" t="s">
        <v>36</v>
      </c>
      <c r="K30" t="s">
        <v>37</v>
      </c>
      <c r="L30" t="s">
        <v>322</v>
      </c>
      <c r="M30" t="s">
        <v>141</v>
      </c>
      <c r="N30" t="s">
        <v>142</v>
      </c>
      <c r="O30" t="s">
        <v>155</v>
      </c>
      <c r="P30" t="s">
        <v>281</v>
      </c>
      <c r="Q30" t="s">
        <v>155</v>
      </c>
      <c r="R30" t="s">
        <v>273</v>
      </c>
      <c r="S30" t="s">
        <v>309</v>
      </c>
      <c r="T30">
        <v>1</v>
      </c>
      <c r="U30" t="s">
        <v>406</v>
      </c>
      <c r="V30" t="s">
        <v>285</v>
      </c>
      <c r="W30" t="s">
        <v>407</v>
      </c>
      <c r="X30" t="s">
        <v>306</v>
      </c>
      <c r="Y30" t="s">
        <v>307</v>
      </c>
      <c r="Z30">
        <v>65</v>
      </c>
      <c r="AA30">
        <v>70</v>
      </c>
      <c r="AB30" t="s">
        <v>143</v>
      </c>
      <c r="AC30" t="s">
        <v>145</v>
      </c>
      <c r="AD30" t="s">
        <v>404</v>
      </c>
      <c r="AE30" t="str">
        <f>IF(AF30="","",VLOOKUP(AC30,mapel!$A$2:$B$42,2,FALSE))</f>
        <v>A.Kristen</v>
      </c>
      <c r="AF30">
        <f t="shared" si="0"/>
        <v>70</v>
      </c>
      <c r="AG30" t="str">
        <f>IF(AF30="","",IF(AF30&gt;90,"Sangat baik",IF(AF30&gt;79,"Baik",IF(AF30&gt;=pub_gid_0_single_true_output_csv[[#This Row],[KKM]],"Cukup","Kurang"))))</f>
        <v>Cukup</v>
      </c>
      <c r="AH30">
        <f t="shared" si="1"/>
        <v>11</v>
      </c>
      <c r="AI30" s="30" t="str">
        <f>IF(OR(J30&lt;&gt;"Karakter",pub_gid_0_single_true_output_csv[[#This Row],[Nilai2]]=""),"",IF(AF30&gt;89,"Sangat baik",IF(AF30&gt;79,"Baik",IF(AF30&gt;69,"Cukup",IF(AF30&gt;59,"Kurang","Sangat kurang")))))</f>
        <v/>
      </c>
      <c r="AJ30" t="str">
        <f t="shared" si="2"/>
        <v>Wk.3</v>
      </c>
      <c r="AK30" t="str">
        <f>IF(pub_gid_0_single_true_output_csv[[#This Row],[Nilai2]]="","",VLOOKUP(pub_gid_0_single_true_output_csv[[#This Row],[NAMA]],Table7[],3,FALSE))</f>
        <v>Average</v>
      </c>
    </row>
    <row r="31" spans="1:37" x14ac:dyDescent="0.2">
      <c r="A31">
        <v>30</v>
      </c>
      <c r="B31" t="s">
        <v>292</v>
      </c>
      <c r="C31" t="s">
        <v>54</v>
      </c>
      <c r="D31" t="s">
        <v>94</v>
      </c>
      <c r="E31" t="s">
        <v>147</v>
      </c>
      <c r="F31" s="25">
        <v>46043</v>
      </c>
      <c r="G31" t="s">
        <v>341</v>
      </c>
      <c r="H31" t="s">
        <v>405</v>
      </c>
      <c r="I31" t="s">
        <v>371</v>
      </c>
      <c r="J31" t="s">
        <v>36</v>
      </c>
      <c r="K31" t="s">
        <v>37</v>
      </c>
      <c r="L31" t="s">
        <v>322</v>
      </c>
      <c r="M31" t="s">
        <v>141</v>
      </c>
      <c r="N31" t="s">
        <v>142</v>
      </c>
      <c r="O31" t="s">
        <v>155</v>
      </c>
      <c r="P31" t="s">
        <v>281</v>
      </c>
      <c r="Q31" t="s">
        <v>155</v>
      </c>
      <c r="R31" t="s">
        <v>273</v>
      </c>
      <c r="S31" t="s">
        <v>369</v>
      </c>
      <c r="T31">
        <v>1</v>
      </c>
      <c r="U31" t="s">
        <v>406</v>
      </c>
      <c r="V31" t="s">
        <v>342</v>
      </c>
      <c r="W31" t="s">
        <v>510</v>
      </c>
      <c r="X31" t="s">
        <v>306</v>
      </c>
      <c r="Y31" t="s">
        <v>307</v>
      </c>
      <c r="Z31">
        <v>65</v>
      </c>
      <c r="AA31">
        <v>70</v>
      </c>
      <c r="AB31" t="s">
        <v>143</v>
      </c>
      <c r="AC31" t="s">
        <v>145</v>
      </c>
      <c r="AD31" t="s">
        <v>404</v>
      </c>
      <c r="AE31" t="str">
        <f>IF(AF31="","",VLOOKUP(AC31,mapel!$A$2:$B$42,2,FALSE))</f>
        <v>A.Kristen</v>
      </c>
      <c r="AF31">
        <f t="shared" si="0"/>
        <v>70</v>
      </c>
      <c r="AG31" t="str">
        <f>IF(AF31="","",IF(AF31&gt;90,"Sangat baik",IF(AF31&gt;79,"Baik",IF(AF31&gt;=pub_gid_0_single_true_output_csv[[#This Row],[KKM]],"Cukup","Kurang"))))</f>
        <v>Cukup</v>
      </c>
      <c r="AH31">
        <f t="shared" si="1"/>
        <v>11</v>
      </c>
      <c r="AI31" s="30" t="str">
        <f>IF(OR(J31&lt;&gt;"Karakter",pub_gid_0_single_true_output_csv[[#This Row],[Nilai2]]=""),"",IF(AF31&gt;89,"Sangat baik",IF(AF31&gt;79,"Baik",IF(AF31&gt;69,"Cukup",IF(AF31&gt;59,"Kurang","Sangat kurang")))))</f>
        <v/>
      </c>
      <c r="AJ31" t="str">
        <f t="shared" si="2"/>
        <v>Wk.4</v>
      </c>
      <c r="AK31" t="str">
        <f>IF(pub_gid_0_single_true_output_csv[[#This Row],[Nilai2]]="","",VLOOKUP(pub_gid_0_single_true_output_csv[[#This Row],[NAMA]],Table7[],3,FALSE))</f>
        <v>Average</v>
      </c>
    </row>
    <row r="32" spans="1:37" x14ac:dyDescent="0.2">
      <c r="A32">
        <v>31</v>
      </c>
      <c r="B32" t="s">
        <v>292</v>
      </c>
      <c r="C32" t="s">
        <v>54</v>
      </c>
      <c r="D32" t="s">
        <v>94</v>
      </c>
      <c r="E32" t="s">
        <v>147</v>
      </c>
      <c r="F32" s="25">
        <v>46050</v>
      </c>
      <c r="G32" t="s">
        <v>308</v>
      </c>
      <c r="H32" t="s">
        <v>405</v>
      </c>
      <c r="I32" t="s">
        <v>371</v>
      </c>
      <c r="J32" t="s">
        <v>41</v>
      </c>
      <c r="K32" t="s">
        <v>511</v>
      </c>
      <c r="L32" t="s">
        <v>322</v>
      </c>
      <c r="M32" t="s">
        <v>141</v>
      </c>
      <c r="N32" t="s">
        <v>142</v>
      </c>
      <c r="O32" t="s">
        <v>155</v>
      </c>
      <c r="P32" t="s">
        <v>281</v>
      </c>
      <c r="Q32" t="s">
        <v>155</v>
      </c>
      <c r="R32" t="s">
        <v>273</v>
      </c>
      <c r="S32" t="s">
        <v>345</v>
      </c>
      <c r="T32">
        <v>1</v>
      </c>
      <c r="U32" t="s">
        <v>406</v>
      </c>
      <c r="V32" t="s">
        <v>343</v>
      </c>
      <c r="W32" t="s">
        <v>512</v>
      </c>
      <c r="X32" t="s">
        <v>306</v>
      </c>
      <c r="Y32" t="s">
        <v>307</v>
      </c>
      <c r="Z32">
        <v>65</v>
      </c>
      <c r="AA32">
        <v>80</v>
      </c>
      <c r="AB32" t="s">
        <v>143</v>
      </c>
      <c r="AC32" t="s">
        <v>145</v>
      </c>
      <c r="AD32" t="s">
        <v>404</v>
      </c>
      <c r="AE32" t="str">
        <f>IF(AF32="","",VLOOKUP(AC32,mapel!$A$2:$B$42,2,FALSE))</f>
        <v>A.Kristen</v>
      </c>
      <c r="AF32">
        <f t="shared" si="0"/>
        <v>80</v>
      </c>
      <c r="AG32" t="str">
        <f>IF(AF32="","",IF(AF32&gt;90,"Sangat baik",IF(AF32&gt;79,"Baik",IF(AF32&gt;=pub_gid_0_single_true_output_csv[[#This Row],[KKM]],"Cukup","Kurang"))))</f>
        <v>Baik</v>
      </c>
      <c r="AH32">
        <f t="shared" si="1"/>
        <v>11</v>
      </c>
      <c r="AI32" s="30" t="str">
        <f>IF(OR(J32&lt;&gt;"Karakter",pub_gid_0_single_true_output_csv[[#This Row],[Nilai2]]=""),"",IF(AF32&gt;89,"Sangat baik",IF(AF32&gt;79,"Baik",IF(AF32&gt;69,"Cukup",IF(AF32&gt;59,"Kurang","Sangat kurang")))))</f>
        <v/>
      </c>
      <c r="AJ32" t="str">
        <f t="shared" si="2"/>
        <v>Wk.5</v>
      </c>
      <c r="AK32" t="str">
        <f>IF(pub_gid_0_single_true_output_csv[[#This Row],[Nilai2]]="","",VLOOKUP(pub_gid_0_single_true_output_csv[[#This Row],[NAMA]],Table7[],3,FALSE))</f>
        <v>Average</v>
      </c>
    </row>
    <row r="33" spans="1:37" x14ac:dyDescent="0.2">
      <c r="A33">
        <v>32</v>
      </c>
      <c r="B33" t="s">
        <v>292</v>
      </c>
      <c r="C33" t="s">
        <v>54</v>
      </c>
      <c r="D33" t="s">
        <v>94</v>
      </c>
      <c r="E33" t="s">
        <v>147</v>
      </c>
      <c r="F33" s="25">
        <v>46057</v>
      </c>
      <c r="G33" t="s">
        <v>348</v>
      </c>
      <c r="H33" t="s">
        <v>412</v>
      </c>
      <c r="I33" t="s">
        <v>371</v>
      </c>
      <c r="J33" t="s">
        <v>36</v>
      </c>
      <c r="K33" t="s">
        <v>37</v>
      </c>
      <c r="L33" t="s">
        <v>322</v>
      </c>
      <c r="M33" t="s">
        <v>141</v>
      </c>
      <c r="N33" t="s">
        <v>142</v>
      </c>
      <c r="O33" t="s">
        <v>155</v>
      </c>
      <c r="P33" t="s">
        <v>281</v>
      </c>
      <c r="Q33" t="s">
        <v>155</v>
      </c>
      <c r="R33" t="s">
        <v>273</v>
      </c>
      <c r="S33" t="s">
        <v>513</v>
      </c>
      <c r="T33">
        <v>1</v>
      </c>
      <c r="U33" t="s">
        <v>406</v>
      </c>
      <c r="V33" t="s">
        <v>344</v>
      </c>
      <c r="W33" t="s">
        <v>514</v>
      </c>
      <c r="X33" t="s">
        <v>306</v>
      </c>
      <c r="Y33" t="s">
        <v>307</v>
      </c>
      <c r="Z33">
        <v>65</v>
      </c>
      <c r="AA33">
        <v>70</v>
      </c>
      <c r="AB33" t="s">
        <v>143</v>
      </c>
      <c r="AC33" t="s">
        <v>145</v>
      </c>
      <c r="AD33" t="s">
        <v>404</v>
      </c>
      <c r="AE33" t="str">
        <f>IF(AF33="","",VLOOKUP(AC33,mapel!$A$2:$B$42,2,FALSE))</f>
        <v>A.Kristen</v>
      </c>
      <c r="AF33">
        <f t="shared" si="0"/>
        <v>70</v>
      </c>
      <c r="AG33" t="str">
        <f>IF(AF33="","",IF(AF33&gt;90,"Sangat baik",IF(AF33&gt;79,"Baik",IF(AF33&gt;=pub_gid_0_single_true_output_csv[[#This Row],[KKM]],"Cukup","Kurang"))))</f>
        <v>Cukup</v>
      </c>
      <c r="AH33">
        <f t="shared" si="1"/>
        <v>11</v>
      </c>
      <c r="AI33" s="30" t="str">
        <f>IF(OR(J33&lt;&gt;"Karakter",pub_gid_0_single_true_output_csv[[#This Row],[Nilai2]]=""),"",IF(AF33&gt;89,"Sangat baik",IF(AF33&gt;79,"Baik",IF(AF33&gt;69,"Cukup",IF(AF33&gt;59,"Kurang","Sangat kurang")))))</f>
        <v/>
      </c>
      <c r="AJ33" t="str">
        <f t="shared" si="2"/>
        <v>Wk.6</v>
      </c>
      <c r="AK33" t="str">
        <f>IF(pub_gid_0_single_true_output_csv[[#This Row],[Nilai2]]="","",VLOOKUP(pub_gid_0_single_true_output_csv[[#This Row],[NAMA]],Table7[],3,FALSE))</f>
        <v>Average</v>
      </c>
    </row>
    <row r="34" spans="1:37" x14ac:dyDescent="0.2">
      <c r="A34">
        <v>33</v>
      </c>
      <c r="B34" t="s">
        <v>293</v>
      </c>
      <c r="C34" t="s">
        <v>54</v>
      </c>
      <c r="D34" t="s">
        <v>45</v>
      </c>
      <c r="E34" t="s">
        <v>147</v>
      </c>
      <c r="F34" s="25">
        <v>46036</v>
      </c>
      <c r="G34" t="s">
        <v>353</v>
      </c>
      <c r="H34" t="s">
        <v>405</v>
      </c>
      <c r="I34" t="s">
        <v>371</v>
      </c>
      <c r="J34" t="s">
        <v>36</v>
      </c>
      <c r="K34" t="s">
        <v>37</v>
      </c>
      <c r="L34" t="s">
        <v>322</v>
      </c>
      <c r="M34" t="s">
        <v>141</v>
      </c>
      <c r="N34" t="s">
        <v>142</v>
      </c>
      <c r="O34" t="s">
        <v>155</v>
      </c>
      <c r="P34" t="s">
        <v>281</v>
      </c>
      <c r="Q34" t="s">
        <v>155</v>
      </c>
      <c r="R34" t="s">
        <v>273</v>
      </c>
      <c r="S34" t="s">
        <v>309</v>
      </c>
      <c r="T34">
        <v>1</v>
      </c>
      <c r="U34" t="s">
        <v>406</v>
      </c>
      <c r="V34" t="s">
        <v>285</v>
      </c>
      <c r="W34" t="s">
        <v>407</v>
      </c>
      <c r="X34" t="s">
        <v>306</v>
      </c>
      <c r="Y34" t="s">
        <v>307</v>
      </c>
      <c r="Z34">
        <v>65</v>
      </c>
      <c r="AA34">
        <v>80</v>
      </c>
      <c r="AB34" t="s">
        <v>143</v>
      </c>
      <c r="AC34" t="s">
        <v>145</v>
      </c>
      <c r="AD34" t="s">
        <v>404</v>
      </c>
      <c r="AE34" t="str">
        <f>IF(AF34="","",VLOOKUP(AC34,mapel!$A$2:$B$42,2,FALSE))</f>
        <v>A.Kristen</v>
      </c>
      <c r="AF34">
        <f t="shared" si="0"/>
        <v>80</v>
      </c>
      <c r="AG34" t="str">
        <f>IF(AF34="","",IF(AF34&gt;90,"Sangat baik",IF(AF34&gt;79,"Baik",IF(AF34&gt;=pub_gid_0_single_true_output_csv[[#This Row],[KKM]],"Cukup","Kurang"))))</f>
        <v>Baik</v>
      </c>
      <c r="AH34">
        <f t="shared" si="1"/>
        <v>11</v>
      </c>
      <c r="AI34" s="30" t="str">
        <f>IF(OR(J34&lt;&gt;"Karakter",pub_gid_0_single_true_output_csv[[#This Row],[Nilai2]]=""),"",IF(AF34&gt;89,"Sangat baik",IF(AF34&gt;79,"Baik",IF(AF34&gt;69,"Cukup",IF(AF34&gt;59,"Kurang","Sangat kurang")))))</f>
        <v/>
      </c>
      <c r="AJ34" t="str">
        <f t="shared" si="2"/>
        <v>Wk.3</v>
      </c>
      <c r="AK34" t="str">
        <f>IF(pub_gid_0_single_true_output_csv[[#This Row],[Nilai2]]="","",VLOOKUP(pub_gid_0_single_true_output_csv[[#This Row],[NAMA]],Table7[],3,FALSE))</f>
        <v>High average</v>
      </c>
    </row>
    <row r="35" spans="1:37" x14ac:dyDescent="0.2">
      <c r="A35">
        <v>34</v>
      </c>
      <c r="B35" t="s">
        <v>293</v>
      </c>
      <c r="C35" t="s">
        <v>54</v>
      </c>
      <c r="D35" t="s">
        <v>45</v>
      </c>
      <c r="E35" t="s">
        <v>147</v>
      </c>
      <c r="F35" s="25">
        <v>46043</v>
      </c>
      <c r="G35" t="s">
        <v>341</v>
      </c>
      <c r="H35" t="s">
        <v>405</v>
      </c>
      <c r="I35" t="s">
        <v>371</v>
      </c>
      <c r="J35" t="s">
        <v>36</v>
      </c>
      <c r="K35" t="s">
        <v>37</v>
      </c>
      <c r="L35" t="s">
        <v>322</v>
      </c>
      <c r="M35" t="s">
        <v>141</v>
      </c>
      <c r="N35" t="s">
        <v>142</v>
      </c>
      <c r="O35" t="s">
        <v>155</v>
      </c>
      <c r="P35" t="s">
        <v>281</v>
      </c>
      <c r="Q35" t="s">
        <v>155</v>
      </c>
      <c r="R35" t="s">
        <v>273</v>
      </c>
      <c r="S35" t="s">
        <v>369</v>
      </c>
      <c r="T35">
        <v>1</v>
      </c>
      <c r="U35" t="s">
        <v>406</v>
      </c>
      <c r="V35" t="s">
        <v>342</v>
      </c>
      <c r="W35" t="s">
        <v>510</v>
      </c>
      <c r="X35" t="s">
        <v>306</v>
      </c>
      <c r="Y35" t="s">
        <v>307</v>
      </c>
      <c r="Z35">
        <v>65</v>
      </c>
      <c r="AA35">
        <v>89</v>
      </c>
      <c r="AB35" t="s">
        <v>143</v>
      </c>
      <c r="AC35" t="s">
        <v>145</v>
      </c>
      <c r="AD35" t="s">
        <v>404</v>
      </c>
      <c r="AE35" t="str">
        <f>IF(AF35="","",VLOOKUP(AC35,mapel!$A$2:$B$42,2,FALSE))</f>
        <v>A.Kristen</v>
      </c>
      <c r="AF35">
        <f t="shared" si="0"/>
        <v>89</v>
      </c>
      <c r="AG35" t="str">
        <f>IF(AF35="","",IF(AF35&gt;90,"Sangat baik",IF(AF35&gt;79,"Baik",IF(AF35&gt;=pub_gid_0_single_true_output_csv[[#This Row],[KKM]],"Cukup","Kurang"))))</f>
        <v>Baik</v>
      </c>
      <c r="AH35">
        <f t="shared" si="1"/>
        <v>11</v>
      </c>
      <c r="AI35" s="30" t="str">
        <f>IF(OR(J35&lt;&gt;"Karakter",pub_gid_0_single_true_output_csv[[#This Row],[Nilai2]]=""),"",IF(AF35&gt;89,"Sangat baik",IF(AF35&gt;79,"Baik",IF(AF35&gt;69,"Cukup",IF(AF35&gt;59,"Kurang","Sangat kurang")))))</f>
        <v/>
      </c>
      <c r="AJ35" t="str">
        <f t="shared" si="2"/>
        <v>Wk.4</v>
      </c>
      <c r="AK35" t="str">
        <f>IF(pub_gid_0_single_true_output_csv[[#This Row],[Nilai2]]="","",VLOOKUP(pub_gid_0_single_true_output_csv[[#This Row],[NAMA]],Table7[],3,FALSE))</f>
        <v>High average</v>
      </c>
    </row>
    <row r="36" spans="1:37" x14ac:dyDescent="0.2">
      <c r="A36">
        <v>35</v>
      </c>
      <c r="B36" t="s">
        <v>293</v>
      </c>
      <c r="C36" t="s">
        <v>54</v>
      </c>
      <c r="D36" t="s">
        <v>45</v>
      </c>
      <c r="E36" t="s">
        <v>147</v>
      </c>
      <c r="F36" s="25">
        <v>46050</v>
      </c>
      <c r="G36" t="s">
        <v>308</v>
      </c>
      <c r="H36" t="s">
        <v>405</v>
      </c>
      <c r="I36" t="s">
        <v>371</v>
      </c>
      <c r="J36" t="s">
        <v>41</v>
      </c>
      <c r="K36" t="s">
        <v>511</v>
      </c>
      <c r="L36" t="s">
        <v>322</v>
      </c>
      <c r="M36" t="s">
        <v>141</v>
      </c>
      <c r="N36" t="s">
        <v>142</v>
      </c>
      <c r="O36" t="s">
        <v>155</v>
      </c>
      <c r="P36" t="s">
        <v>281</v>
      </c>
      <c r="Q36" t="s">
        <v>155</v>
      </c>
      <c r="R36" t="s">
        <v>273</v>
      </c>
      <c r="S36" t="s">
        <v>345</v>
      </c>
      <c r="T36">
        <v>1</v>
      </c>
      <c r="U36" t="s">
        <v>406</v>
      </c>
      <c r="V36" t="s">
        <v>343</v>
      </c>
      <c r="W36" t="s">
        <v>512</v>
      </c>
      <c r="X36" t="s">
        <v>306</v>
      </c>
      <c r="Y36" t="s">
        <v>307</v>
      </c>
      <c r="Z36">
        <v>65</v>
      </c>
      <c r="AA36">
        <v>80</v>
      </c>
      <c r="AB36" t="s">
        <v>143</v>
      </c>
      <c r="AC36" t="s">
        <v>145</v>
      </c>
      <c r="AD36" t="s">
        <v>404</v>
      </c>
      <c r="AE36" t="str">
        <f>IF(AF36="","",VLOOKUP(AC36,mapel!$A$2:$B$42,2,FALSE))</f>
        <v>A.Kristen</v>
      </c>
      <c r="AF36">
        <f t="shared" si="0"/>
        <v>80</v>
      </c>
      <c r="AG36" t="str">
        <f>IF(AF36="","",IF(AF36&gt;90,"Sangat baik",IF(AF36&gt;79,"Baik",IF(AF36&gt;=pub_gid_0_single_true_output_csv[[#This Row],[KKM]],"Cukup","Kurang"))))</f>
        <v>Baik</v>
      </c>
      <c r="AH36">
        <f t="shared" si="1"/>
        <v>11</v>
      </c>
      <c r="AI36" s="30" t="str">
        <f>IF(OR(J36&lt;&gt;"Karakter",pub_gid_0_single_true_output_csv[[#This Row],[Nilai2]]=""),"",IF(AF36&gt;89,"Sangat baik",IF(AF36&gt;79,"Baik",IF(AF36&gt;69,"Cukup",IF(AF36&gt;59,"Kurang","Sangat kurang")))))</f>
        <v/>
      </c>
      <c r="AJ36" t="str">
        <f t="shared" si="2"/>
        <v>Wk.5</v>
      </c>
      <c r="AK36" t="str">
        <f>IF(pub_gid_0_single_true_output_csv[[#This Row],[Nilai2]]="","",VLOOKUP(pub_gid_0_single_true_output_csv[[#This Row],[NAMA]],Table7[],3,FALSE))</f>
        <v>High average</v>
      </c>
    </row>
    <row r="37" spans="1:37" x14ac:dyDescent="0.2">
      <c r="A37">
        <v>36</v>
      </c>
      <c r="B37" t="s">
        <v>293</v>
      </c>
      <c r="C37" t="s">
        <v>54</v>
      </c>
      <c r="D37" t="s">
        <v>45</v>
      </c>
      <c r="E37" t="s">
        <v>147</v>
      </c>
      <c r="F37" s="25">
        <v>46057</v>
      </c>
      <c r="G37" t="s">
        <v>348</v>
      </c>
      <c r="H37" t="s">
        <v>412</v>
      </c>
      <c r="I37" t="s">
        <v>371</v>
      </c>
      <c r="J37" t="s">
        <v>36</v>
      </c>
      <c r="K37" t="s">
        <v>37</v>
      </c>
      <c r="L37" t="s">
        <v>322</v>
      </c>
      <c r="M37" t="s">
        <v>141</v>
      </c>
      <c r="N37" t="s">
        <v>142</v>
      </c>
      <c r="O37" t="s">
        <v>155</v>
      </c>
      <c r="P37" t="s">
        <v>281</v>
      </c>
      <c r="Q37" t="s">
        <v>155</v>
      </c>
      <c r="R37" t="s">
        <v>273</v>
      </c>
      <c r="S37" t="s">
        <v>513</v>
      </c>
      <c r="T37">
        <v>1</v>
      </c>
      <c r="U37" t="s">
        <v>406</v>
      </c>
      <c r="V37" t="s">
        <v>344</v>
      </c>
      <c r="W37" t="s">
        <v>514</v>
      </c>
      <c r="X37" t="s">
        <v>306</v>
      </c>
      <c r="Y37" t="s">
        <v>307</v>
      </c>
      <c r="Z37">
        <v>65</v>
      </c>
      <c r="AA37">
        <v>84</v>
      </c>
      <c r="AB37" t="s">
        <v>143</v>
      </c>
      <c r="AC37" t="s">
        <v>145</v>
      </c>
      <c r="AD37" t="s">
        <v>404</v>
      </c>
      <c r="AE37" t="str">
        <f>IF(AF37="","",VLOOKUP(AC37,mapel!$A$2:$B$42,2,FALSE))</f>
        <v>A.Kristen</v>
      </c>
      <c r="AF37">
        <f t="shared" si="0"/>
        <v>84</v>
      </c>
      <c r="AG37" t="str">
        <f>IF(AF37="","",IF(AF37&gt;90,"Sangat baik",IF(AF37&gt;79,"Baik",IF(AF37&gt;=pub_gid_0_single_true_output_csv[[#This Row],[KKM]],"Cukup","Kurang"))))</f>
        <v>Baik</v>
      </c>
      <c r="AH37">
        <f t="shared" si="1"/>
        <v>11</v>
      </c>
      <c r="AI37" s="30" t="str">
        <f>IF(OR(J37&lt;&gt;"Karakter",pub_gid_0_single_true_output_csv[[#This Row],[Nilai2]]=""),"",IF(AF37&gt;89,"Sangat baik",IF(AF37&gt;79,"Baik",IF(AF37&gt;69,"Cukup",IF(AF37&gt;59,"Kurang","Sangat kurang")))))</f>
        <v/>
      </c>
      <c r="AJ37" t="str">
        <f t="shared" si="2"/>
        <v>Wk.6</v>
      </c>
      <c r="AK37" t="str">
        <f>IF(pub_gid_0_single_true_output_csv[[#This Row],[Nilai2]]="","",VLOOKUP(pub_gid_0_single_true_output_csv[[#This Row],[NAMA]],Table7[],3,FALSE))</f>
        <v>High average</v>
      </c>
    </row>
    <row r="38" spans="1:37" x14ac:dyDescent="0.2">
      <c r="A38">
        <v>37</v>
      </c>
      <c r="B38" t="s">
        <v>294</v>
      </c>
      <c r="C38" t="s">
        <v>54</v>
      </c>
      <c r="D38" t="s">
        <v>46</v>
      </c>
      <c r="E38" t="s">
        <v>148</v>
      </c>
      <c r="F38" s="25">
        <v>46036</v>
      </c>
      <c r="G38" t="s">
        <v>353</v>
      </c>
      <c r="H38" t="s">
        <v>405</v>
      </c>
      <c r="I38" t="s">
        <v>371</v>
      </c>
      <c r="J38" t="s">
        <v>36</v>
      </c>
      <c r="K38" t="s">
        <v>37</v>
      </c>
      <c r="L38" t="s">
        <v>322</v>
      </c>
      <c r="M38" t="s">
        <v>141</v>
      </c>
      <c r="N38" t="s">
        <v>142</v>
      </c>
      <c r="O38" t="s">
        <v>155</v>
      </c>
      <c r="P38" t="s">
        <v>281</v>
      </c>
      <c r="Q38" t="s">
        <v>155</v>
      </c>
      <c r="R38" t="s">
        <v>273</v>
      </c>
      <c r="S38" t="s">
        <v>309</v>
      </c>
      <c r="T38">
        <v>1</v>
      </c>
      <c r="U38" t="s">
        <v>406</v>
      </c>
      <c r="V38" t="s">
        <v>285</v>
      </c>
      <c r="W38" t="s">
        <v>407</v>
      </c>
      <c r="X38" t="s">
        <v>306</v>
      </c>
      <c r="Y38" t="s">
        <v>307</v>
      </c>
      <c r="Z38">
        <v>65</v>
      </c>
      <c r="AA38">
        <v>70</v>
      </c>
      <c r="AB38" t="s">
        <v>143</v>
      </c>
      <c r="AC38" t="s">
        <v>145</v>
      </c>
      <c r="AD38" t="s">
        <v>404</v>
      </c>
      <c r="AE38" t="str">
        <f>IF(AF38="","",VLOOKUP(AC38,mapel!$A$2:$B$42,2,FALSE))</f>
        <v>A.Kristen</v>
      </c>
      <c r="AF38">
        <f t="shared" si="0"/>
        <v>70</v>
      </c>
      <c r="AG38" t="str">
        <f>IF(AF38="","",IF(AF38&gt;90,"Sangat baik",IF(AF38&gt;79,"Baik",IF(AF38&gt;=pub_gid_0_single_true_output_csv[[#This Row],[KKM]],"Cukup","Kurang"))))</f>
        <v>Cukup</v>
      </c>
      <c r="AH38">
        <f t="shared" si="1"/>
        <v>11</v>
      </c>
      <c r="AI38" s="30" t="str">
        <f>IF(OR(J38&lt;&gt;"Karakter",pub_gid_0_single_true_output_csv[[#This Row],[Nilai2]]=""),"",IF(AF38&gt;89,"Sangat baik",IF(AF38&gt;79,"Baik",IF(AF38&gt;69,"Cukup",IF(AF38&gt;59,"Kurang","Sangat kurang")))))</f>
        <v/>
      </c>
      <c r="AJ38" t="str">
        <f t="shared" si="2"/>
        <v>Wk.3</v>
      </c>
      <c r="AK38" t="str">
        <f>IF(pub_gid_0_single_true_output_csv[[#This Row],[Nilai2]]="","",VLOOKUP(pub_gid_0_single_true_output_csv[[#This Row],[NAMA]],Table7[],3,FALSE))</f>
        <v>Average</v>
      </c>
    </row>
    <row r="39" spans="1:37" x14ac:dyDescent="0.2">
      <c r="A39">
        <v>38</v>
      </c>
      <c r="B39" t="s">
        <v>294</v>
      </c>
      <c r="C39" t="s">
        <v>54</v>
      </c>
      <c r="D39" t="s">
        <v>46</v>
      </c>
      <c r="E39" t="s">
        <v>148</v>
      </c>
      <c r="F39" s="25">
        <v>46043</v>
      </c>
      <c r="G39" t="s">
        <v>341</v>
      </c>
      <c r="H39" t="s">
        <v>405</v>
      </c>
      <c r="I39" t="s">
        <v>371</v>
      </c>
      <c r="J39" t="s">
        <v>36</v>
      </c>
      <c r="K39" t="s">
        <v>37</v>
      </c>
      <c r="L39" t="s">
        <v>322</v>
      </c>
      <c r="M39" t="s">
        <v>141</v>
      </c>
      <c r="N39" t="s">
        <v>142</v>
      </c>
      <c r="O39" t="s">
        <v>155</v>
      </c>
      <c r="P39" t="s">
        <v>281</v>
      </c>
      <c r="Q39" t="s">
        <v>155</v>
      </c>
      <c r="R39" t="s">
        <v>273</v>
      </c>
      <c r="S39" t="s">
        <v>369</v>
      </c>
      <c r="T39">
        <v>1</v>
      </c>
      <c r="U39" t="s">
        <v>406</v>
      </c>
      <c r="V39" t="s">
        <v>342</v>
      </c>
      <c r="W39" t="s">
        <v>510</v>
      </c>
      <c r="X39" t="s">
        <v>306</v>
      </c>
      <c r="Y39" t="s">
        <v>307</v>
      </c>
      <c r="Z39">
        <v>65</v>
      </c>
      <c r="AA39">
        <v>70</v>
      </c>
      <c r="AB39" t="s">
        <v>143</v>
      </c>
      <c r="AC39" t="s">
        <v>145</v>
      </c>
      <c r="AD39" t="s">
        <v>404</v>
      </c>
      <c r="AE39" t="str">
        <f>IF(AF39="","",VLOOKUP(AC39,mapel!$A$2:$B$42,2,FALSE))</f>
        <v>A.Kristen</v>
      </c>
      <c r="AF39">
        <f t="shared" si="0"/>
        <v>70</v>
      </c>
      <c r="AG39" t="str">
        <f>IF(AF39="","",IF(AF39&gt;90,"Sangat baik",IF(AF39&gt;79,"Baik",IF(AF39&gt;=pub_gid_0_single_true_output_csv[[#This Row],[KKM]],"Cukup","Kurang"))))</f>
        <v>Cukup</v>
      </c>
      <c r="AH39">
        <f t="shared" si="1"/>
        <v>11</v>
      </c>
      <c r="AI39" s="30" t="str">
        <f>IF(OR(J39&lt;&gt;"Karakter",pub_gid_0_single_true_output_csv[[#This Row],[Nilai2]]=""),"",IF(AF39&gt;89,"Sangat baik",IF(AF39&gt;79,"Baik",IF(AF39&gt;69,"Cukup",IF(AF39&gt;59,"Kurang","Sangat kurang")))))</f>
        <v/>
      </c>
      <c r="AJ39" t="str">
        <f t="shared" si="2"/>
        <v>Wk.4</v>
      </c>
      <c r="AK39" t="str">
        <f>IF(pub_gid_0_single_true_output_csv[[#This Row],[Nilai2]]="","",VLOOKUP(pub_gid_0_single_true_output_csv[[#This Row],[NAMA]],Table7[],3,FALSE))</f>
        <v>Average</v>
      </c>
    </row>
    <row r="40" spans="1:37" x14ac:dyDescent="0.2">
      <c r="A40">
        <v>39</v>
      </c>
      <c r="B40" t="s">
        <v>294</v>
      </c>
      <c r="C40" t="s">
        <v>54</v>
      </c>
      <c r="D40" t="s">
        <v>46</v>
      </c>
      <c r="E40" t="s">
        <v>148</v>
      </c>
      <c r="F40" s="25">
        <v>46050</v>
      </c>
      <c r="G40" t="s">
        <v>308</v>
      </c>
      <c r="H40" t="s">
        <v>405</v>
      </c>
      <c r="I40" t="s">
        <v>371</v>
      </c>
      <c r="J40" t="s">
        <v>41</v>
      </c>
      <c r="K40" t="s">
        <v>511</v>
      </c>
      <c r="L40" t="s">
        <v>322</v>
      </c>
      <c r="M40" t="s">
        <v>141</v>
      </c>
      <c r="N40" t="s">
        <v>142</v>
      </c>
      <c r="O40" t="s">
        <v>155</v>
      </c>
      <c r="P40" t="s">
        <v>281</v>
      </c>
      <c r="Q40" t="s">
        <v>155</v>
      </c>
      <c r="R40" t="s">
        <v>273</v>
      </c>
      <c r="S40" t="s">
        <v>345</v>
      </c>
      <c r="T40">
        <v>1</v>
      </c>
      <c r="U40" t="s">
        <v>406</v>
      </c>
      <c r="V40" t="s">
        <v>343</v>
      </c>
      <c r="W40" t="s">
        <v>512</v>
      </c>
      <c r="X40" t="s">
        <v>306</v>
      </c>
      <c r="Y40" t="s">
        <v>307</v>
      </c>
      <c r="Z40">
        <v>65</v>
      </c>
      <c r="AA40">
        <v>80</v>
      </c>
      <c r="AB40" t="s">
        <v>143</v>
      </c>
      <c r="AC40" t="s">
        <v>145</v>
      </c>
      <c r="AD40" t="s">
        <v>404</v>
      </c>
      <c r="AE40" t="str">
        <f>IF(AF40="","",VLOOKUP(AC40,mapel!$A$2:$B$42,2,FALSE))</f>
        <v>A.Kristen</v>
      </c>
      <c r="AF40">
        <f t="shared" si="0"/>
        <v>80</v>
      </c>
      <c r="AG40" t="str">
        <f>IF(AF40="","",IF(AF40&gt;90,"Sangat baik",IF(AF40&gt;79,"Baik",IF(AF40&gt;=pub_gid_0_single_true_output_csv[[#This Row],[KKM]],"Cukup","Kurang"))))</f>
        <v>Baik</v>
      </c>
      <c r="AH40">
        <f t="shared" si="1"/>
        <v>11</v>
      </c>
      <c r="AI40" s="30" t="str">
        <f>IF(OR(J40&lt;&gt;"Karakter",pub_gid_0_single_true_output_csv[[#This Row],[Nilai2]]=""),"",IF(AF40&gt;89,"Sangat baik",IF(AF40&gt;79,"Baik",IF(AF40&gt;69,"Cukup",IF(AF40&gt;59,"Kurang","Sangat kurang")))))</f>
        <v/>
      </c>
      <c r="AJ40" t="str">
        <f t="shared" si="2"/>
        <v>Wk.5</v>
      </c>
      <c r="AK40" t="str">
        <f>IF(pub_gid_0_single_true_output_csv[[#This Row],[Nilai2]]="","",VLOOKUP(pub_gid_0_single_true_output_csv[[#This Row],[NAMA]],Table7[],3,FALSE))</f>
        <v>Average</v>
      </c>
    </row>
    <row r="41" spans="1:37" x14ac:dyDescent="0.2">
      <c r="A41">
        <v>40</v>
      </c>
      <c r="B41" t="s">
        <v>294</v>
      </c>
      <c r="C41" t="s">
        <v>54</v>
      </c>
      <c r="D41" t="s">
        <v>46</v>
      </c>
      <c r="E41" t="s">
        <v>148</v>
      </c>
      <c r="F41" s="25">
        <v>46057</v>
      </c>
      <c r="G41" t="s">
        <v>348</v>
      </c>
      <c r="H41" t="s">
        <v>412</v>
      </c>
      <c r="I41" t="s">
        <v>371</v>
      </c>
      <c r="J41" t="s">
        <v>36</v>
      </c>
      <c r="K41" t="s">
        <v>37</v>
      </c>
      <c r="L41" t="s">
        <v>322</v>
      </c>
      <c r="M41" t="s">
        <v>141</v>
      </c>
      <c r="N41" t="s">
        <v>142</v>
      </c>
      <c r="O41" t="s">
        <v>155</v>
      </c>
      <c r="P41" t="s">
        <v>281</v>
      </c>
      <c r="Q41" t="s">
        <v>155</v>
      </c>
      <c r="R41" t="s">
        <v>273</v>
      </c>
      <c r="S41" t="s">
        <v>513</v>
      </c>
      <c r="T41">
        <v>1</v>
      </c>
      <c r="U41" t="s">
        <v>406</v>
      </c>
      <c r="V41" t="s">
        <v>344</v>
      </c>
      <c r="W41" t="s">
        <v>514</v>
      </c>
      <c r="X41" t="s">
        <v>306</v>
      </c>
      <c r="Y41" t="s">
        <v>307</v>
      </c>
      <c r="Z41">
        <v>65</v>
      </c>
      <c r="AA41">
        <v>70</v>
      </c>
      <c r="AB41" t="s">
        <v>143</v>
      </c>
      <c r="AC41" t="s">
        <v>145</v>
      </c>
      <c r="AD41" t="s">
        <v>404</v>
      </c>
      <c r="AE41" t="str">
        <f>IF(AF41="","",VLOOKUP(AC41,mapel!$A$2:$B$42,2,FALSE))</f>
        <v>A.Kristen</v>
      </c>
      <c r="AF41">
        <f t="shared" si="0"/>
        <v>70</v>
      </c>
      <c r="AG41" t="str">
        <f>IF(AF41="","",IF(AF41&gt;90,"Sangat baik",IF(AF41&gt;79,"Baik",IF(AF41&gt;=pub_gid_0_single_true_output_csv[[#This Row],[KKM]],"Cukup","Kurang"))))</f>
        <v>Cukup</v>
      </c>
      <c r="AH41">
        <f t="shared" si="1"/>
        <v>11</v>
      </c>
      <c r="AI41" s="30" t="str">
        <f>IF(OR(J41&lt;&gt;"Karakter",pub_gid_0_single_true_output_csv[[#This Row],[Nilai2]]=""),"",IF(AF41&gt;89,"Sangat baik",IF(AF41&gt;79,"Baik",IF(AF41&gt;69,"Cukup",IF(AF41&gt;59,"Kurang","Sangat kurang")))))</f>
        <v/>
      </c>
      <c r="AJ41" t="str">
        <f t="shared" si="2"/>
        <v>Wk.6</v>
      </c>
      <c r="AK41" t="str">
        <f>IF(pub_gid_0_single_true_output_csv[[#This Row],[Nilai2]]="","",VLOOKUP(pub_gid_0_single_true_output_csv[[#This Row],[NAMA]],Table7[],3,FALSE))</f>
        <v>Average</v>
      </c>
    </row>
    <row r="42" spans="1:37" x14ac:dyDescent="0.2">
      <c r="A42">
        <v>41</v>
      </c>
      <c r="B42" t="s">
        <v>295</v>
      </c>
      <c r="C42" t="s">
        <v>54</v>
      </c>
      <c r="D42" t="s">
        <v>47</v>
      </c>
      <c r="E42" t="s">
        <v>148</v>
      </c>
      <c r="F42" s="25">
        <v>46036</v>
      </c>
      <c r="G42" t="s">
        <v>353</v>
      </c>
      <c r="H42" t="s">
        <v>405</v>
      </c>
      <c r="I42" t="s">
        <v>371</v>
      </c>
      <c r="J42" t="s">
        <v>36</v>
      </c>
      <c r="K42" t="s">
        <v>37</v>
      </c>
      <c r="L42" t="s">
        <v>322</v>
      </c>
      <c r="M42" t="s">
        <v>141</v>
      </c>
      <c r="N42" t="s">
        <v>142</v>
      </c>
      <c r="O42" t="s">
        <v>155</v>
      </c>
      <c r="P42" t="s">
        <v>281</v>
      </c>
      <c r="Q42" t="s">
        <v>155</v>
      </c>
      <c r="R42" t="s">
        <v>273</v>
      </c>
      <c r="S42" t="s">
        <v>309</v>
      </c>
      <c r="T42">
        <v>1</v>
      </c>
      <c r="U42" t="s">
        <v>406</v>
      </c>
      <c r="V42" t="s">
        <v>285</v>
      </c>
      <c r="W42" t="s">
        <v>407</v>
      </c>
      <c r="X42" t="s">
        <v>306</v>
      </c>
      <c r="Y42" t="s">
        <v>307</v>
      </c>
      <c r="Z42">
        <v>65</v>
      </c>
      <c r="AA42">
        <v>70</v>
      </c>
      <c r="AB42" t="s">
        <v>143</v>
      </c>
      <c r="AC42" t="s">
        <v>145</v>
      </c>
      <c r="AD42" t="s">
        <v>404</v>
      </c>
      <c r="AE42" t="str">
        <f>IF(AF42="","",VLOOKUP(AC42,mapel!$A$2:$B$42,2,FALSE))</f>
        <v>A.Kristen</v>
      </c>
      <c r="AF42">
        <f t="shared" si="0"/>
        <v>70</v>
      </c>
      <c r="AG42" t="str">
        <f>IF(AF42="","",IF(AF42&gt;90,"Sangat baik",IF(AF42&gt;79,"Baik",IF(AF42&gt;=pub_gid_0_single_true_output_csv[[#This Row],[KKM]],"Cukup","Kurang"))))</f>
        <v>Cukup</v>
      </c>
      <c r="AH42">
        <f t="shared" si="1"/>
        <v>11</v>
      </c>
      <c r="AI42" s="30" t="str">
        <f>IF(OR(J42&lt;&gt;"Karakter",pub_gid_0_single_true_output_csv[[#This Row],[Nilai2]]=""),"",IF(AF42&gt;89,"Sangat baik",IF(AF42&gt;79,"Baik",IF(AF42&gt;69,"Cukup",IF(AF42&gt;59,"Kurang","Sangat kurang")))))</f>
        <v/>
      </c>
      <c r="AJ42" t="str">
        <f t="shared" si="2"/>
        <v>Wk.3</v>
      </c>
      <c r="AK42" t="str">
        <f>IF(pub_gid_0_single_true_output_csv[[#This Row],[Nilai2]]="","",VLOOKUP(pub_gid_0_single_true_output_csv[[#This Row],[NAMA]],Table7[],3,FALSE))</f>
        <v>Low average</v>
      </c>
    </row>
    <row r="43" spans="1:37" x14ac:dyDescent="0.2">
      <c r="A43">
        <v>42</v>
      </c>
      <c r="B43" t="s">
        <v>295</v>
      </c>
      <c r="C43" t="s">
        <v>54</v>
      </c>
      <c r="D43" t="s">
        <v>47</v>
      </c>
      <c r="E43" t="s">
        <v>148</v>
      </c>
      <c r="F43" s="25">
        <v>46043</v>
      </c>
      <c r="G43" t="s">
        <v>341</v>
      </c>
      <c r="H43" t="s">
        <v>405</v>
      </c>
      <c r="I43" t="s">
        <v>371</v>
      </c>
      <c r="J43" t="s">
        <v>36</v>
      </c>
      <c r="K43" t="s">
        <v>37</v>
      </c>
      <c r="L43" t="s">
        <v>322</v>
      </c>
      <c r="M43" t="s">
        <v>141</v>
      </c>
      <c r="N43" t="s">
        <v>142</v>
      </c>
      <c r="O43" t="s">
        <v>155</v>
      </c>
      <c r="P43" t="s">
        <v>281</v>
      </c>
      <c r="Q43" t="s">
        <v>155</v>
      </c>
      <c r="R43" t="s">
        <v>273</v>
      </c>
      <c r="S43" t="s">
        <v>369</v>
      </c>
      <c r="T43">
        <v>1</v>
      </c>
      <c r="U43" t="s">
        <v>406</v>
      </c>
      <c r="V43" t="s">
        <v>342</v>
      </c>
      <c r="W43" t="s">
        <v>510</v>
      </c>
      <c r="X43" t="s">
        <v>306</v>
      </c>
      <c r="Y43" t="s">
        <v>307</v>
      </c>
      <c r="Z43">
        <v>65</v>
      </c>
      <c r="AA43">
        <v>70</v>
      </c>
      <c r="AB43" t="s">
        <v>143</v>
      </c>
      <c r="AC43" t="s">
        <v>145</v>
      </c>
      <c r="AD43" t="s">
        <v>404</v>
      </c>
      <c r="AE43" t="str">
        <f>IF(AF43="","",VLOOKUP(AC43,mapel!$A$2:$B$42,2,FALSE))</f>
        <v>A.Kristen</v>
      </c>
      <c r="AF43">
        <f t="shared" si="0"/>
        <v>70</v>
      </c>
      <c r="AG43" t="str">
        <f>IF(AF43="","",IF(AF43&gt;90,"Sangat baik",IF(AF43&gt;79,"Baik",IF(AF43&gt;=pub_gid_0_single_true_output_csv[[#This Row],[KKM]],"Cukup","Kurang"))))</f>
        <v>Cukup</v>
      </c>
      <c r="AH43">
        <f t="shared" si="1"/>
        <v>11</v>
      </c>
      <c r="AI43" s="30" t="str">
        <f>IF(OR(J43&lt;&gt;"Karakter",pub_gid_0_single_true_output_csv[[#This Row],[Nilai2]]=""),"",IF(AF43&gt;89,"Sangat baik",IF(AF43&gt;79,"Baik",IF(AF43&gt;69,"Cukup",IF(AF43&gt;59,"Kurang","Sangat kurang")))))</f>
        <v/>
      </c>
      <c r="AJ43" t="str">
        <f t="shared" si="2"/>
        <v>Wk.4</v>
      </c>
      <c r="AK43" t="str">
        <f>IF(pub_gid_0_single_true_output_csv[[#This Row],[Nilai2]]="","",VLOOKUP(pub_gid_0_single_true_output_csv[[#This Row],[NAMA]],Table7[],3,FALSE))</f>
        <v>Low average</v>
      </c>
    </row>
    <row r="44" spans="1:37" x14ac:dyDescent="0.2">
      <c r="A44">
        <v>43</v>
      </c>
      <c r="B44" t="s">
        <v>295</v>
      </c>
      <c r="C44" t="s">
        <v>54</v>
      </c>
      <c r="D44" t="s">
        <v>47</v>
      </c>
      <c r="E44" t="s">
        <v>148</v>
      </c>
      <c r="F44" s="25">
        <v>46050</v>
      </c>
      <c r="G44" t="s">
        <v>308</v>
      </c>
      <c r="H44" t="s">
        <v>405</v>
      </c>
      <c r="I44" t="s">
        <v>371</v>
      </c>
      <c r="J44" t="s">
        <v>41</v>
      </c>
      <c r="K44" t="s">
        <v>511</v>
      </c>
      <c r="L44" t="s">
        <v>322</v>
      </c>
      <c r="M44" t="s">
        <v>141</v>
      </c>
      <c r="N44" t="s">
        <v>142</v>
      </c>
      <c r="O44" t="s">
        <v>155</v>
      </c>
      <c r="P44" t="s">
        <v>281</v>
      </c>
      <c r="Q44" t="s">
        <v>155</v>
      </c>
      <c r="R44" t="s">
        <v>273</v>
      </c>
      <c r="S44" t="s">
        <v>345</v>
      </c>
      <c r="T44">
        <v>1</v>
      </c>
      <c r="U44" t="s">
        <v>406</v>
      </c>
      <c r="V44" t="s">
        <v>343</v>
      </c>
      <c r="W44" t="s">
        <v>512</v>
      </c>
      <c r="X44" t="s">
        <v>306</v>
      </c>
      <c r="Y44" t="s">
        <v>307</v>
      </c>
      <c r="Z44">
        <v>65</v>
      </c>
      <c r="AA44">
        <v>80</v>
      </c>
      <c r="AB44" t="s">
        <v>143</v>
      </c>
      <c r="AC44" t="s">
        <v>145</v>
      </c>
      <c r="AD44" t="s">
        <v>404</v>
      </c>
      <c r="AE44" t="str">
        <f>IF(AF44="","",VLOOKUP(AC44,mapel!$A$2:$B$42,2,FALSE))</f>
        <v>A.Kristen</v>
      </c>
      <c r="AF44">
        <f t="shared" si="0"/>
        <v>80</v>
      </c>
      <c r="AG44" t="str">
        <f>IF(AF44="","",IF(AF44&gt;90,"Sangat baik",IF(AF44&gt;79,"Baik",IF(AF44&gt;=pub_gid_0_single_true_output_csv[[#This Row],[KKM]],"Cukup","Kurang"))))</f>
        <v>Baik</v>
      </c>
      <c r="AH44">
        <f t="shared" si="1"/>
        <v>11</v>
      </c>
      <c r="AI44" s="30" t="str">
        <f>IF(OR(J44&lt;&gt;"Karakter",pub_gid_0_single_true_output_csv[[#This Row],[Nilai2]]=""),"",IF(AF44&gt;89,"Sangat baik",IF(AF44&gt;79,"Baik",IF(AF44&gt;69,"Cukup",IF(AF44&gt;59,"Kurang","Sangat kurang")))))</f>
        <v/>
      </c>
      <c r="AJ44" t="str">
        <f t="shared" si="2"/>
        <v>Wk.5</v>
      </c>
      <c r="AK44" t="str">
        <f>IF(pub_gid_0_single_true_output_csv[[#This Row],[Nilai2]]="","",VLOOKUP(pub_gid_0_single_true_output_csv[[#This Row],[NAMA]],Table7[],3,FALSE))</f>
        <v>Low average</v>
      </c>
    </row>
    <row r="45" spans="1:37" x14ac:dyDescent="0.2">
      <c r="A45">
        <v>44</v>
      </c>
      <c r="B45" t="s">
        <v>295</v>
      </c>
      <c r="C45" t="s">
        <v>54</v>
      </c>
      <c r="D45" t="s">
        <v>47</v>
      </c>
      <c r="E45" t="s">
        <v>148</v>
      </c>
      <c r="F45" s="25">
        <v>46057</v>
      </c>
      <c r="G45" t="s">
        <v>348</v>
      </c>
      <c r="H45" t="s">
        <v>412</v>
      </c>
      <c r="I45" t="s">
        <v>371</v>
      </c>
      <c r="J45" t="s">
        <v>36</v>
      </c>
      <c r="K45" t="s">
        <v>37</v>
      </c>
      <c r="L45" t="s">
        <v>322</v>
      </c>
      <c r="M45" t="s">
        <v>141</v>
      </c>
      <c r="N45" t="s">
        <v>142</v>
      </c>
      <c r="O45" t="s">
        <v>155</v>
      </c>
      <c r="P45" t="s">
        <v>281</v>
      </c>
      <c r="Q45" t="s">
        <v>155</v>
      </c>
      <c r="R45" t="s">
        <v>273</v>
      </c>
      <c r="S45" t="s">
        <v>513</v>
      </c>
      <c r="T45">
        <v>1</v>
      </c>
      <c r="U45" t="s">
        <v>406</v>
      </c>
      <c r="V45" t="s">
        <v>344</v>
      </c>
      <c r="W45" t="s">
        <v>514</v>
      </c>
      <c r="X45" t="s">
        <v>306</v>
      </c>
      <c r="Y45" t="s">
        <v>307</v>
      </c>
      <c r="Z45">
        <v>65</v>
      </c>
      <c r="AA45">
        <v>70</v>
      </c>
      <c r="AB45" t="s">
        <v>143</v>
      </c>
      <c r="AC45" t="s">
        <v>145</v>
      </c>
      <c r="AD45" t="s">
        <v>404</v>
      </c>
      <c r="AE45" t="str">
        <f>IF(AF45="","",VLOOKUP(AC45,mapel!$A$2:$B$42,2,FALSE))</f>
        <v>A.Kristen</v>
      </c>
      <c r="AF45">
        <f t="shared" si="0"/>
        <v>70</v>
      </c>
      <c r="AG45" t="str">
        <f>IF(AF45="","",IF(AF45&gt;90,"Sangat baik",IF(AF45&gt;79,"Baik",IF(AF45&gt;=pub_gid_0_single_true_output_csv[[#This Row],[KKM]],"Cukup","Kurang"))))</f>
        <v>Cukup</v>
      </c>
      <c r="AH45">
        <f t="shared" si="1"/>
        <v>11</v>
      </c>
      <c r="AI45" s="30" t="str">
        <f>IF(OR(J45&lt;&gt;"Karakter",pub_gid_0_single_true_output_csv[[#This Row],[Nilai2]]=""),"",IF(AF45&gt;89,"Sangat baik",IF(AF45&gt;79,"Baik",IF(AF45&gt;69,"Cukup",IF(AF45&gt;59,"Kurang","Sangat kurang")))))</f>
        <v/>
      </c>
      <c r="AJ45" t="str">
        <f t="shared" si="2"/>
        <v>Wk.6</v>
      </c>
      <c r="AK45" t="str">
        <f>IF(pub_gid_0_single_true_output_csv[[#This Row],[Nilai2]]="","",VLOOKUP(pub_gid_0_single_true_output_csv[[#This Row],[NAMA]],Table7[],3,FALSE))</f>
        <v>Low average</v>
      </c>
    </row>
    <row r="46" spans="1:37" x14ac:dyDescent="0.2">
      <c r="A46">
        <v>45</v>
      </c>
      <c r="B46" t="s">
        <v>296</v>
      </c>
      <c r="C46" t="s">
        <v>54</v>
      </c>
      <c r="D46" t="s">
        <v>48</v>
      </c>
      <c r="E46" t="s">
        <v>140</v>
      </c>
      <c r="F46" s="25">
        <v>46036</v>
      </c>
      <c r="G46" t="s">
        <v>353</v>
      </c>
      <c r="H46" t="s">
        <v>405</v>
      </c>
      <c r="I46" t="s">
        <v>371</v>
      </c>
      <c r="J46" t="s">
        <v>36</v>
      </c>
      <c r="K46" t="s">
        <v>37</v>
      </c>
      <c r="L46" t="s">
        <v>322</v>
      </c>
      <c r="M46" t="s">
        <v>141</v>
      </c>
      <c r="N46" t="s">
        <v>142</v>
      </c>
      <c r="O46" t="s">
        <v>155</v>
      </c>
      <c r="P46" t="s">
        <v>281</v>
      </c>
      <c r="Q46" t="s">
        <v>155</v>
      </c>
      <c r="R46" t="s">
        <v>273</v>
      </c>
      <c r="S46" t="s">
        <v>309</v>
      </c>
      <c r="T46">
        <v>1</v>
      </c>
      <c r="U46" t="s">
        <v>406</v>
      </c>
      <c r="V46" t="s">
        <v>285</v>
      </c>
      <c r="W46" t="s">
        <v>407</v>
      </c>
      <c r="X46" t="s">
        <v>306</v>
      </c>
      <c r="Y46" t="s">
        <v>307</v>
      </c>
      <c r="Z46">
        <v>65</v>
      </c>
      <c r="AA46">
        <v>70</v>
      </c>
      <c r="AB46" t="s">
        <v>143</v>
      </c>
      <c r="AC46" t="s">
        <v>145</v>
      </c>
      <c r="AD46" t="s">
        <v>404</v>
      </c>
      <c r="AE46" t="str">
        <f>IF(AF46="","",VLOOKUP(AC46,mapel!$A$2:$B$42,2,FALSE))</f>
        <v>A.Kristen</v>
      </c>
      <c r="AF46">
        <f t="shared" si="0"/>
        <v>70</v>
      </c>
      <c r="AG46" t="str">
        <f>IF(AF46="","",IF(AF46&gt;90,"Sangat baik",IF(AF46&gt;79,"Baik",IF(AF46&gt;=pub_gid_0_single_true_output_csv[[#This Row],[KKM]],"Cukup","Kurang"))))</f>
        <v>Cukup</v>
      </c>
      <c r="AH46">
        <f t="shared" si="1"/>
        <v>11</v>
      </c>
      <c r="AI46" s="30" t="str">
        <f>IF(OR(J46&lt;&gt;"Karakter",pub_gid_0_single_true_output_csv[[#This Row],[Nilai2]]=""),"",IF(AF46&gt;89,"Sangat baik",IF(AF46&gt;79,"Baik",IF(AF46&gt;69,"Cukup",IF(AF46&gt;59,"Kurang","Sangat kurang")))))</f>
        <v/>
      </c>
      <c r="AJ46" t="str">
        <f t="shared" si="2"/>
        <v>Wk.3</v>
      </c>
      <c r="AK46" t="str">
        <f>IF(pub_gid_0_single_true_output_csv[[#This Row],[Nilai2]]="","",VLOOKUP(pub_gid_0_single_true_output_csv[[#This Row],[NAMA]],Table7[],3,FALSE))</f>
        <v>Average</v>
      </c>
    </row>
    <row r="47" spans="1:37" x14ac:dyDescent="0.2">
      <c r="A47">
        <v>46</v>
      </c>
      <c r="B47" t="s">
        <v>296</v>
      </c>
      <c r="C47" t="s">
        <v>54</v>
      </c>
      <c r="D47" t="s">
        <v>48</v>
      </c>
      <c r="E47" t="s">
        <v>140</v>
      </c>
      <c r="F47" s="25">
        <v>46043</v>
      </c>
      <c r="G47" t="s">
        <v>341</v>
      </c>
      <c r="H47" t="s">
        <v>405</v>
      </c>
      <c r="I47" t="s">
        <v>371</v>
      </c>
      <c r="J47" t="s">
        <v>36</v>
      </c>
      <c r="K47" t="s">
        <v>37</v>
      </c>
      <c r="L47" t="s">
        <v>322</v>
      </c>
      <c r="M47" t="s">
        <v>141</v>
      </c>
      <c r="N47" t="s">
        <v>142</v>
      </c>
      <c r="O47" t="s">
        <v>155</v>
      </c>
      <c r="P47" t="s">
        <v>281</v>
      </c>
      <c r="Q47" t="s">
        <v>155</v>
      </c>
      <c r="R47" t="s">
        <v>273</v>
      </c>
      <c r="S47" t="s">
        <v>369</v>
      </c>
      <c r="T47">
        <v>1</v>
      </c>
      <c r="U47" t="s">
        <v>406</v>
      </c>
      <c r="V47" t="s">
        <v>342</v>
      </c>
      <c r="W47" t="s">
        <v>510</v>
      </c>
      <c r="X47" t="s">
        <v>306</v>
      </c>
      <c r="Y47" t="s">
        <v>307</v>
      </c>
      <c r="Z47">
        <v>65</v>
      </c>
      <c r="AA47">
        <v>70</v>
      </c>
      <c r="AB47" t="s">
        <v>143</v>
      </c>
      <c r="AC47" t="s">
        <v>145</v>
      </c>
      <c r="AD47" t="s">
        <v>404</v>
      </c>
      <c r="AE47" t="str">
        <f>IF(AF47="","",VLOOKUP(AC47,mapel!$A$2:$B$42,2,FALSE))</f>
        <v>A.Kristen</v>
      </c>
      <c r="AF47">
        <f t="shared" si="0"/>
        <v>70</v>
      </c>
      <c r="AG47" t="str">
        <f>IF(AF47="","",IF(AF47&gt;90,"Sangat baik",IF(AF47&gt;79,"Baik",IF(AF47&gt;=pub_gid_0_single_true_output_csv[[#This Row],[KKM]],"Cukup","Kurang"))))</f>
        <v>Cukup</v>
      </c>
      <c r="AH47">
        <f t="shared" si="1"/>
        <v>11</v>
      </c>
      <c r="AI47" s="30" t="str">
        <f>IF(OR(J47&lt;&gt;"Karakter",pub_gid_0_single_true_output_csv[[#This Row],[Nilai2]]=""),"",IF(AF47&gt;89,"Sangat baik",IF(AF47&gt;79,"Baik",IF(AF47&gt;69,"Cukup",IF(AF47&gt;59,"Kurang","Sangat kurang")))))</f>
        <v/>
      </c>
      <c r="AJ47" t="str">
        <f t="shared" si="2"/>
        <v>Wk.4</v>
      </c>
      <c r="AK47" t="str">
        <f>IF(pub_gid_0_single_true_output_csv[[#This Row],[Nilai2]]="","",VLOOKUP(pub_gid_0_single_true_output_csv[[#This Row],[NAMA]],Table7[],3,FALSE))</f>
        <v>Average</v>
      </c>
    </row>
    <row r="48" spans="1:37" x14ac:dyDescent="0.2">
      <c r="A48">
        <v>47</v>
      </c>
      <c r="B48" t="s">
        <v>296</v>
      </c>
      <c r="C48" t="s">
        <v>54</v>
      </c>
      <c r="D48" t="s">
        <v>48</v>
      </c>
      <c r="E48" t="s">
        <v>140</v>
      </c>
      <c r="F48" s="25">
        <v>46050</v>
      </c>
      <c r="G48" t="s">
        <v>308</v>
      </c>
      <c r="H48" t="s">
        <v>405</v>
      </c>
      <c r="I48" t="s">
        <v>371</v>
      </c>
      <c r="J48" t="s">
        <v>41</v>
      </c>
      <c r="K48" t="s">
        <v>511</v>
      </c>
      <c r="L48" t="s">
        <v>322</v>
      </c>
      <c r="M48" t="s">
        <v>141</v>
      </c>
      <c r="N48" t="s">
        <v>142</v>
      </c>
      <c r="O48" t="s">
        <v>155</v>
      </c>
      <c r="P48" t="s">
        <v>281</v>
      </c>
      <c r="Q48" t="s">
        <v>155</v>
      </c>
      <c r="R48" t="s">
        <v>273</v>
      </c>
      <c r="S48" t="s">
        <v>345</v>
      </c>
      <c r="T48">
        <v>1</v>
      </c>
      <c r="U48" t="s">
        <v>406</v>
      </c>
      <c r="V48" t="s">
        <v>343</v>
      </c>
      <c r="W48" t="s">
        <v>512</v>
      </c>
      <c r="X48" t="s">
        <v>306</v>
      </c>
      <c r="Y48" t="s">
        <v>307</v>
      </c>
      <c r="Z48">
        <v>65</v>
      </c>
      <c r="AA48">
        <v>80</v>
      </c>
      <c r="AB48" t="s">
        <v>143</v>
      </c>
      <c r="AC48" t="s">
        <v>145</v>
      </c>
      <c r="AD48" t="s">
        <v>404</v>
      </c>
      <c r="AE48" t="str">
        <f>IF(AF48="","",VLOOKUP(AC48,mapel!$A$2:$B$42,2,FALSE))</f>
        <v>A.Kristen</v>
      </c>
      <c r="AF48">
        <f t="shared" si="0"/>
        <v>80</v>
      </c>
      <c r="AG48" t="str">
        <f>IF(AF48="","",IF(AF48&gt;90,"Sangat baik",IF(AF48&gt;79,"Baik",IF(AF48&gt;=pub_gid_0_single_true_output_csv[[#This Row],[KKM]],"Cukup","Kurang"))))</f>
        <v>Baik</v>
      </c>
      <c r="AH48">
        <f t="shared" si="1"/>
        <v>11</v>
      </c>
      <c r="AI48" s="30" t="str">
        <f>IF(OR(J48&lt;&gt;"Karakter",pub_gid_0_single_true_output_csv[[#This Row],[Nilai2]]=""),"",IF(AF48&gt;89,"Sangat baik",IF(AF48&gt;79,"Baik",IF(AF48&gt;69,"Cukup",IF(AF48&gt;59,"Kurang","Sangat kurang")))))</f>
        <v/>
      </c>
      <c r="AJ48" t="str">
        <f t="shared" si="2"/>
        <v>Wk.5</v>
      </c>
      <c r="AK48" t="str">
        <f>IF(pub_gid_0_single_true_output_csv[[#This Row],[Nilai2]]="","",VLOOKUP(pub_gid_0_single_true_output_csv[[#This Row],[NAMA]],Table7[],3,FALSE))</f>
        <v>Average</v>
      </c>
    </row>
    <row r="49" spans="1:37" x14ac:dyDescent="0.2">
      <c r="A49">
        <v>48</v>
      </c>
      <c r="B49" t="s">
        <v>296</v>
      </c>
      <c r="C49" t="s">
        <v>54</v>
      </c>
      <c r="D49" t="s">
        <v>48</v>
      </c>
      <c r="E49" t="s">
        <v>140</v>
      </c>
      <c r="F49" s="25">
        <v>46057</v>
      </c>
      <c r="G49" t="s">
        <v>348</v>
      </c>
      <c r="H49" t="s">
        <v>412</v>
      </c>
      <c r="I49" t="s">
        <v>371</v>
      </c>
      <c r="J49" t="s">
        <v>36</v>
      </c>
      <c r="K49" t="s">
        <v>37</v>
      </c>
      <c r="L49" t="s">
        <v>322</v>
      </c>
      <c r="M49" t="s">
        <v>141</v>
      </c>
      <c r="N49" t="s">
        <v>142</v>
      </c>
      <c r="O49" t="s">
        <v>155</v>
      </c>
      <c r="P49" t="s">
        <v>281</v>
      </c>
      <c r="Q49" t="s">
        <v>155</v>
      </c>
      <c r="R49" t="s">
        <v>273</v>
      </c>
      <c r="S49" t="s">
        <v>513</v>
      </c>
      <c r="T49">
        <v>1</v>
      </c>
      <c r="U49" t="s">
        <v>406</v>
      </c>
      <c r="V49" t="s">
        <v>344</v>
      </c>
      <c r="W49" t="s">
        <v>514</v>
      </c>
      <c r="X49" t="s">
        <v>306</v>
      </c>
      <c r="Y49" t="s">
        <v>307</v>
      </c>
      <c r="Z49">
        <v>65</v>
      </c>
      <c r="AA49">
        <v>70</v>
      </c>
      <c r="AB49" t="s">
        <v>143</v>
      </c>
      <c r="AC49" t="s">
        <v>145</v>
      </c>
      <c r="AD49" t="s">
        <v>404</v>
      </c>
      <c r="AE49" t="str">
        <f>IF(AF49="","",VLOOKUP(AC49,mapel!$A$2:$B$42,2,FALSE))</f>
        <v>A.Kristen</v>
      </c>
      <c r="AF49">
        <f t="shared" si="0"/>
        <v>70</v>
      </c>
      <c r="AG49" t="str">
        <f>IF(AF49="","",IF(AF49&gt;90,"Sangat baik",IF(AF49&gt;79,"Baik",IF(AF49&gt;=pub_gid_0_single_true_output_csv[[#This Row],[KKM]],"Cukup","Kurang"))))</f>
        <v>Cukup</v>
      </c>
      <c r="AH49">
        <f t="shared" si="1"/>
        <v>11</v>
      </c>
      <c r="AI49" s="30" t="str">
        <f>IF(OR(J49&lt;&gt;"Karakter",pub_gid_0_single_true_output_csv[[#This Row],[Nilai2]]=""),"",IF(AF49&gt;89,"Sangat baik",IF(AF49&gt;79,"Baik",IF(AF49&gt;69,"Cukup",IF(AF49&gt;59,"Kurang","Sangat kurang")))))</f>
        <v/>
      </c>
      <c r="AJ49" t="str">
        <f t="shared" si="2"/>
        <v>Wk.6</v>
      </c>
      <c r="AK49" t="str">
        <f>IF(pub_gid_0_single_true_output_csv[[#This Row],[Nilai2]]="","",VLOOKUP(pub_gid_0_single_true_output_csv[[#This Row],[NAMA]],Table7[],3,FALSE))</f>
        <v>Average</v>
      </c>
    </row>
    <row r="50" spans="1:37" x14ac:dyDescent="0.2">
      <c r="A50">
        <v>49</v>
      </c>
      <c r="B50" t="s">
        <v>289</v>
      </c>
      <c r="C50" t="s">
        <v>54</v>
      </c>
      <c r="D50" t="s">
        <v>39</v>
      </c>
      <c r="E50" t="s">
        <v>140</v>
      </c>
      <c r="F50" s="25">
        <v>46034</v>
      </c>
      <c r="G50" t="s">
        <v>354</v>
      </c>
      <c r="H50" t="s">
        <v>405</v>
      </c>
      <c r="I50" t="s">
        <v>371</v>
      </c>
      <c r="J50" t="s">
        <v>36</v>
      </c>
      <c r="K50" t="s">
        <v>362</v>
      </c>
      <c r="L50" t="s">
        <v>408</v>
      </c>
      <c r="M50" t="s">
        <v>141</v>
      </c>
      <c r="N50" t="s">
        <v>142</v>
      </c>
      <c r="O50" t="s">
        <v>155</v>
      </c>
      <c r="P50" t="s">
        <v>281</v>
      </c>
      <c r="Q50" t="s">
        <v>155</v>
      </c>
      <c r="R50" t="s">
        <v>273</v>
      </c>
      <c r="S50" t="s">
        <v>309</v>
      </c>
      <c r="T50">
        <v>1</v>
      </c>
      <c r="U50" t="s">
        <v>409</v>
      </c>
      <c r="V50" t="s">
        <v>285</v>
      </c>
      <c r="W50" t="s">
        <v>410</v>
      </c>
      <c r="X50" t="s">
        <v>306</v>
      </c>
      <c r="Y50" t="s">
        <v>307</v>
      </c>
      <c r="Z50">
        <v>65</v>
      </c>
      <c r="AA50">
        <v>20</v>
      </c>
      <c r="AB50" t="s">
        <v>151</v>
      </c>
      <c r="AC50" t="s">
        <v>149</v>
      </c>
      <c r="AD50" t="s">
        <v>404</v>
      </c>
      <c r="AE50" t="str">
        <f>IF(AF50="","",VLOOKUP(AC50,mapel!$A$2:$B$42,2,FALSE))</f>
        <v>B.Indo</v>
      </c>
      <c r="AF50">
        <f t="shared" si="0"/>
        <v>20</v>
      </c>
      <c r="AG50" t="str">
        <f>IF(AF50="","",IF(AF50&gt;90,"Sangat baik",IF(AF50&gt;79,"Baik",IF(AF50&gt;=pub_gid_0_single_true_output_csv[[#This Row],[KKM]],"Cukup","Kurang"))))</f>
        <v>Kurang</v>
      </c>
      <c r="AH50">
        <f t="shared" si="1"/>
        <v>11</v>
      </c>
      <c r="AI50" s="30" t="str">
        <f>IF(OR(J50&lt;&gt;"Karakter",pub_gid_0_single_true_output_csv[[#This Row],[Nilai2]]=""),"",IF(AF50&gt;89,"Sangat baik",IF(AF50&gt;79,"Baik",IF(AF50&gt;69,"Cukup",IF(AF50&gt;59,"Kurang","Sangat kurang")))))</f>
        <v/>
      </c>
      <c r="AJ50" t="str">
        <f t="shared" si="2"/>
        <v>Wk.3</v>
      </c>
      <c r="AK50" t="str">
        <f>IF(pub_gid_0_single_true_output_csv[[#This Row],[Nilai2]]="","",VLOOKUP(pub_gid_0_single_true_output_csv[[#This Row],[NAMA]],Table7[],3,FALSE))</f>
        <v>Average</v>
      </c>
    </row>
    <row r="51" spans="1:37" x14ac:dyDescent="0.2">
      <c r="A51">
        <v>50</v>
      </c>
      <c r="B51" t="s">
        <v>289</v>
      </c>
      <c r="C51" t="s">
        <v>54</v>
      </c>
      <c r="D51" t="s">
        <v>39</v>
      </c>
      <c r="E51" t="s">
        <v>140</v>
      </c>
      <c r="F51" s="25">
        <v>46035</v>
      </c>
      <c r="G51" t="s">
        <v>358</v>
      </c>
      <c r="H51" t="s">
        <v>405</v>
      </c>
      <c r="I51" t="s">
        <v>371</v>
      </c>
      <c r="J51" t="s">
        <v>36</v>
      </c>
      <c r="K51" t="s">
        <v>37</v>
      </c>
      <c r="L51" t="s">
        <v>150</v>
      </c>
      <c r="M51" t="s">
        <v>141</v>
      </c>
      <c r="N51" t="s">
        <v>142</v>
      </c>
      <c r="O51" t="s">
        <v>155</v>
      </c>
      <c r="P51" t="s">
        <v>281</v>
      </c>
      <c r="Q51" t="s">
        <v>155</v>
      </c>
      <c r="R51" t="s">
        <v>273</v>
      </c>
      <c r="S51" t="s">
        <v>309</v>
      </c>
      <c r="T51">
        <v>1</v>
      </c>
      <c r="U51" t="s">
        <v>409</v>
      </c>
      <c r="V51" t="s">
        <v>285</v>
      </c>
      <c r="W51" t="s">
        <v>410</v>
      </c>
      <c r="X51" t="s">
        <v>306</v>
      </c>
      <c r="Y51" t="s">
        <v>307</v>
      </c>
      <c r="Z51">
        <v>65</v>
      </c>
      <c r="AA51">
        <v>100</v>
      </c>
      <c r="AB51" t="s">
        <v>143</v>
      </c>
      <c r="AC51" t="s">
        <v>149</v>
      </c>
      <c r="AD51" t="s">
        <v>404</v>
      </c>
      <c r="AE51" t="str">
        <f>IF(AF51="","",VLOOKUP(AC51,mapel!$A$2:$B$42,2,FALSE))</f>
        <v>B.Indo</v>
      </c>
      <c r="AF51">
        <f t="shared" si="0"/>
        <v>100</v>
      </c>
      <c r="AG51" t="str">
        <f>IF(AF51="","",IF(AF51&gt;90,"Sangat baik",IF(AF51&gt;79,"Baik",IF(AF51&gt;=pub_gid_0_single_true_output_csv[[#This Row],[KKM]],"Cukup","Kurang"))))</f>
        <v>Sangat baik</v>
      </c>
      <c r="AH51">
        <f t="shared" si="1"/>
        <v>11</v>
      </c>
      <c r="AI51" s="30" t="str">
        <f>IF(OR(J51&lt;&gt;"Karakter",pub_gid_0_single_true_output_csv[[#This Row],[Nilai2]]=""),"",IF(AF51&gt;89,"Sangat baik",IF(AF51&gt;79,"Baik",IF(AF51&gt;69,"Cukup",IF(AF51&gt;59,"Kurang","Sangat kurang")))))</f>
        <v/>
      </c>
      <c r="AJ51" t="str">
        <f t="shared" si="2"/>
        <v>Wk.3</v>
      </c>
      <c r="AK51" t="str">
        <f>IF(pub_gid_0_single_true_output_csv[[#This Row],[Nilai2]]="","",VLOOKUP(pub_gid_0_single_true_output_csv[[#This Row],[NAMA]],Table7[],3,FALSE))</f>
        <v>Average</v>
      </c>
    </row>
    <row r="52" spans="1:37" x14ac:dyDescent="0.2">
      <c r="A52">
        <v>51</v>
      </c>
      <c r="B52" t="s">
        <v>289</v>
      </c>
      <c r="C52" t="s">
        <v>54</v>
      </c>
      <c r="D52" t="s">
        <v>39</v>
      </c>
      <c r="E52" t="s">
        <v>140</v>
      </c>
      <c r="F52" s="25">
        <v>46035</v>
      </c>
      <c r="G52" t="s">
        <v>358</v>
      </c>
      <c r="H52" t="s">
        <v>405</v>
      </c>
      <c r="I52" t="s">
        <v>371</v>
      </c>
      <c r="J52" t="s">
        <v>31</v>
      </c>
      <c r="K52" t="s">
        <v>32</v>
      </c>
      <c r="L52" t="s">
        <v>150</v>
      </c>
      <c r="M52" t="s">
        <v>141</v>
      </c>
      <c r="N52" t="s">
        <v>142</v>
      </c>
      <c r="O52" t="s">
        <v>155</v>
      </c>
      <c r="P52" t="s">
        <v>281</v>
      </c>
      <c r="Q52" t="s">
        <v>155</v>
      </c>
      <c r="R52" t="s">
        <v>273</v>
      </c>
      <c r="S52" t="s">
        <v>309</v>
      </c>
      <c r="T52">
        <v>1</v>
      </c>
      <c r="U52" t="s">
        <v>409</v>
      </c>
      <c r="V52" t="s">
        <v>285</v>
      </c>
      <c r="W52" t="s">
        <v>410</v>
      </c>
      <c r="X52" t="s">
        <v>306</v>
      </c>
      <c r="Y52" t="s">
        <v>307</v>
      </c>
      <c r="Z52">
        <v>65</v>
      </c>
      <c r="AA52">
        <v>70</v>
      </c>
      <c r="AB52" t="s">
        <v>143</v>
      </c>
      <c r="AC52" t="s">
        <v>149</v>
      </c>
      <c r="AD52" t="s">
        <v>404</v>
      </c>
      <c r="AE52" t="str">
        <f>IF(AF52="","",VLOOKUP(AC52,mapel!$A$2:$B$42,2,FALSE))</f>
        <v>B.Indo</v>
      </c>
      <c r="AF52">
        <f t="shared" si="0"/>
        <v>70</v>
      </c>
      <c r="AG52" t="str">
        <f>IF(AF52="","",IF(AF52&gt;90,"Sangat baik",IF(AF52&gt;79,"Baik",IF(AF52&gt;=pub_gid_0_single_true_output_csv[[#This Row],[KKM]],"Cukup","Kurang"))))</f>
        <v>Cukup</v>
      </c>
      <c r="AH52">
        <f t="shared" si="1"/>
        <v>11</v>
      </c>
      <c r="AI52" s="30" t="str">
        <f>IF(OR(J52&lt;&gt;"Karakter",pub_gid_0_single_true_output_csv[[#This Row],[Nilai2]]=""),"",IF(AF52&gt;89,"Sangat baik",IF(AF52&gt;79,"Baik",IF(AF52&gt;69,"Cukup",IF(AF52&gt;59,"Kurang","Sangat kurang")))))</f>
        <v/>
      </c>
      <c r="AJ52" t="str">
        <f t="shared" si="2"/>
        <v>Wk.3</v>
      </c>
      <c r="AK52" t="str">
        <f>IF(pub_gid_0_single_true_output_csv[[#This Row],[Nilai2]]="","",VLOOKUP(pub_gid_0_single_true_output_csv[[#This Row],[NAMA]],Table7[],3,FALSE))</f>
        <v>Average</v>
      </c>
    </row>
    <row r="53" spans="1:37" x14ac:dyDescent="0.2">
      <c r="A53">
        <v>52</v>
      </c>
      <c r="B53" t="s">
        <v>289</v>
      </c>
      <c r="C53" t="s">
        <v>54</v>
      </c>
      <c r="D53" t="s">
        <v>39</v>
      </c>
      <c r="E53" t="s">
        <v>140</v>
      </c>
      <c r="F53" s="25">
        <v>46035</v>
      </c>
      <c r="G53" t="s">
        <v>358</v>
      </c>
      <c r="H53" t="s">
        <v>405</v>
      </c>
      <c r="I53" t="s">
        <v>371</v>
      </c>
      <c r="J53" t="s">
        <v>90</v>
      </c>
      <c r="K53" t="s">
        <v>92</v>
      </c>
      <c r="L53" t="s">
        <v>93</v>
      </c>
      <c r="M53" t="s">
        <v>141</v>
      </c>
      <c r="N53" t="s">
        <v>142</v>
      </c>
      <c r="O53" t="s">
        <v>155</v>
      </c>
      <c r="P53" t="s">
        <v>281</v>
      </c>
      <c r="Q53" t="s">
        <v>155</v>
      </c>
      <c r="R53" t="s">
        <v>273</v>
      </c>
      <c r="S53" t="s">
        <v>309</v>
      </c>
      <c r="T53">
        <v>1</v>
      </c>
      <c r="U53" t="s">
        <v>409</v>
      </c>
      <c r="V53" t="s">
        <v>285</v>
      </c>
      <c r="W53" t="s">
        <v>410</v>
      </c>
      <c r="X53" t="s">
        <v>306</v>
      </c>
      <c r="Y53" t="s">
        <v>307</v>
      </c>
      <c r="Z53">
        <v>65</v>
      </c>
      <c r="AA53">
        <v>70</v>
      </c>
      <c r="AB53" t="s">
        <v>143</v>
      </c>
      <c r="AC53" t="s">
        <v>149</v>
      </c>
      <c r="AD53" t="s">
        <v>404</v>
      </c>
      <c r="AE53" t="str">
        <f>IF(AF53="","",VLOOKUP(AC53,mapel!$A$2:$B$42,2,FALSE))</f>
        <v>B.Indo</v>
      </c>
      <c r="AF53">
        <f t="shared" si="0"/>
        <v>70</v>
      </c>
      <c r="AG53" t="str">
        <f>IF(AF53="","",IF(AF53&gt;90,"Sangat baik",IF(AF53&gt;79,"Baik",IF(AF53&gt;=pub_gid_0_single_true_output_csv[[#This Row],[KKM]],"Cukup","Kurang"))))</f>
        <v>Cukup</v>
      </c>
      <c r="AH53">
        <f t="shared" si="1"/>
        <v>11</v>
      </c>
      <c r="AI53" s="30" t="str">
        <f>IF(OR(J53&lt;&gt;"Karakter",pub_gid_0_single_true_output_csv[[#This Row],[Nilai2]]=""),"",IF(AF53&gt;89,"Sangat baik",IF(AF53&gt;79,"Baik",IF(AF53&gt;69,"Cukup",IF(AF53&gt;59,"Kurang","Sangat kurang")))))</f>
        <v>Cukup</v>
      </c>
      <c r="AJ53" t="str">
        <f t="shared" si="2"/>
        <v>Wk.3</v>
      </c>
      <c r="AK53" t="str">
        <f>IF(pub_gid_0_single_true_output_csv[[#This Row],[Nilai2]]="","",VLOOKUP(pub_gid_0_single_true_output_csv[[#This Row],[NAMA]],Table7[],3,FALSE))</f>
        <v>Average</v>
      </c>
    </row>
    <row r="54" spans="1:37" x14ac:dyDescent="0.2">
      <c r="A54">
        <v>53</v>
      </c>
      <c r="B54" t="s">
        <v>289</v>
      </c>
      <c r="C54" t="s">
        <v>54</v>
      </c>
      <c r="D54" t="s">
        <v>39</v>
      </c>
      <c r="E54" t="s">
        <v>140</v>
      </c>
      <c r="F54" s="25">
        <v>46035</v>
      </c>
      <c r="G54" t="s">
        <v>358</v>
      </c>
      <c r="H54" t="s">
        <v>405</v>
      </c>
      <c r="I54" t="s">
        <v>371</v>
      </c>
      <c r="J54" t="s">
        <v>279</v>
      </c>
      <c r="K54" t="s">
        <v>280</v>
      </c>
      <c r="L54" t="s">
        <v>150</v>
      </c>
      <c r="M54" t="s">
        <v>141</v>
      </c>
      <c r="N54" t="s">
        <v>142</v>
      </c>
      <c r="O54" t="s">
        <v>155</v>
      </c>
      <c r="P54" t="s">
        <v>281</v>
      </c>
      <c r="Q54" t="s">
        <v>155</v>
      </c>
      <c r="R54" t="s">
        <v>273</v>
      </c>
      <c r="S54" t="s">
        <v>309</v>
      </c>
      <c r="T54">
        <v>1</v>
      </c>
      <c r="U54" t="s">
        <v>409</v>
      </c>
      <c r="V54" t="s">
        <v>285</v>
      </c>
      <c r="W54" t="s">
        <v>410</v>
      </c>
      <c r="X54" t="s">
        <v>306</v>
      </c>
      <c r="Y54" t="s">
        <v>307</v>
      </c>
      <c r="Z54">
        <v>65</v>
      </c>
      <c r="AA54">
        <v>70</v>
      </c>
      <c r="AB54" t="s">
        <v>143</v>
      </c>
      <c r="AC54" t="s">
        <v>149</v>
      </c>
      <c r="AD54" t="s">
        <v>404</v>
      </c>
      <c r="AE54" t="str">
        <f>IF(AF54="","",VLOOKUP(AC54,mapel!$A$2:$B$42,2,FALSE))</f>
        <v>B.Indo</v>
      </c>
      <c r="AF54">
        <f t="shared" si="0"/>
        <v>70</v>
      </c>
      <c r="AG54" t="str">
        <f>IF(AF54="","",IF(AF54&gt;90,"Sangat baik",IF(AF54&gt;79,"Baik",IF(AF54&gt;=pub_gid_0_single_true_output_csv[[#This Row],[KKM]],"Cukup","Kurang"))))</f>
        <v>Cukup</v>
      </c>
      <c r="AH54">
        <f t="shared" si="1"/>
        <v>11</v>
      </c>
      <c r="AI54" s="30" t="str">
        <f>IF(OR(J54&lt;&gt;"Karakter",pub_gid_0_single_true_output_csv[[#This Row],[Nilai2]]=""),"",IF(AF54&gt;89,"Sangat baik",IF(AF54&gt;79,"Baik",IF(AF54&gt;69,"Cukup",IF(AF54&gt;59,"Kurang","Sangat kurang")))))</f>
        <v/>
      </c>
      <c r="AJ54" t="str">
        <f t="shared" si="2"/>
        <v>Wk.3</v>
      </c>
      <c r="AK54" t="str">
        <f>IF(pub_gid_0_single_true_output_csv[[#This Row],[Nilai2]]="","",VLOOKUP(pub_gid_0_single_true_output_csv[[#This Row],[NAMA]],Table7[],3,FALSE))</f>
        <v>Average</v>
      </c>
    </row>
    <row r="55" spans="1:37" x14ac:dyDescent="0.2">
      <c r="A55">
        <v>54</v>
      </c>
      <c r="B55" t="s">
        <v>289</v>
      </c>
      <c r="C55" t="s">
        <v>54</v>
      </c>
      <c r="D55" t="s">
        <v>39</v>
      </c>
      <c r="E55" t="s">
        <v>140</v>
      </c>
      <c r="F55" s="25">
        <v>46041</v>
      </c>
      <c r="G55" t="s">
        <v>370</v>
      </c>
      <c r="H55" t="s">
        <v>405</v>
      </c>
      <c r="I55" t="s">
        <v>371</v>
      </c>
      <c r="J55" t="s">
        <v>36</v>
      </c>
      <c r="K55" t="s">
        <v>37</v>
      </c>
      <c r="L55" t="s">
        <v>321</v>
      </c>
      <c r="M55" t="s">
        <v>141</v>
      </c>
      <c r="N55" t="s">
        <v>142</v>
      </c>
      <c r="O55" t="s">
        <v>155</v>
      </c>
      <c r="P55" t="s">
        <v>281</v>
      </c>
      <c r="Q55" t="s">
        <v>155</v>
      </c>
      <c r="R55" t="s">
        <v>273</v>
      </c>
      <c r="S55" t="s">
        <v>309</v>
      </c>
      <c r="T55">
        <v>1</v>
      </c>
      <c r="U55" t="s">
        <v>409</v>
      </c>
      <c r="V55" t="s">
        <v>285</v>
      </c>
      <c r="W55" t="s">
        <v>410</v>
      </c>
      <c r="X55" t="s">
        <v>306</v>
      </c>
      <c r="Y55" t="s">
        <v>307</v>
      </c>
      <c r="Z55">
        <v>65</v>
      </c>
      <c r="AA55">
        <v>100</v>
      </c>
      <c r="AB55" t="s">
        <v>143</v>
      </c>
      <c r="AC55" t="s">
        <v>149</v>
      </c>
      <c r="AD55" t="s">
        <v>404</v>
      </c>
      <c r="AE55" t="str">
        <f>IF(AF55="","",VLOOKUP(AC55,mapel!$A$2:$B$42,2,FALSE))</f>
        <v>B.Indo</v>
      </c>
      <c r="AF55">
        <f t="shared" si="0"/>
        <v>100</v>
      </c>
      <c r="AG55" t="str">
        <f>IF(AF55="","",IF(AF55&gt;90,"Sangat baik",IF(AF55&gt;79,"Baik",IF(AF55&gt;=pub_gid_0_single_true_output_csv[[#This Row],[KKM]],"Cukup","Kurang"))))</f>
        <v>Sangat baik</v>
      </c>
      <c r="AH55">
        <f t="shared" si="1"/>
        <v>11</v>
      </c>
      <c r="AI55" s="30" t="str">
        <f>IF(OR(J55&lt;&gt;"Karakter",pub_gid_0_single_true_output_csv[[#This Row],[Nilai2]]=""),"",IF(AF55&gt;89,"Sangat baik",IF(AF55&gt;79,"Baik",IF(AF55&gt;69,"Cukup",IF(AF55&gt;59,"Kurang","Sangat kurang")))))</f>
        <v/>
      </c>
      <c r="AJ55" t="str">
        <f t="shared" si="2"/>
        <v>Wk.4</v>
      </c>
      <c r="AK55" t="str">
        <f>IF(pub_gid_0_single_true_output_csv[[#This Row],[Nilai2]]="","",VLOOKUP(pub_gid_0_single_true_output_csv[[#This Row],[NAMA]],Table7[],3,FALSE))</f>
        <v>Average</v>
      </c>
    </row>
    <row r="56" spans="1:37" x14ac:dyDescent="0.2">
      <c r="A56">
        <v>55</v>
      </c>
      <c r="B56" t="s">
        <v>289</v>
      </c>
      <c r="C56" t="s">
        <v>54</v>
      </c>
      <c r="D56" t="s">
        <v>39</v>
      </c>
      <c r="E56" t="s">
        <v>140</v>
      </c>
      <c r="F56" s="25">
        <v>46041</v>
      </c>
      <c r="G56" t="s">
        <v>370</v>
      </c>
      <c r="H56" t="s">
        <v>405</v>
      </c>
      <c r="I56" t="s">
        <v>371</v>
      </c>
      <c r="J56" t="s">
        <v>31</v>
      </c>
      <c r="K56" t="s">
        <v>96</v>
      </c>
      <c r="L56" t="s">
        <v>321</v>
      </c>
      <c r="M56" t="s">
        <v>141</v>
      </c>
      <c r="N56" t="s">
        <v>142</v>
      </c>
      <c r="O56" t="s">
        <v>155</v>
      </c>
      <c r="P56" t="s">
        <v>281</v>
      </c>
      <c r="Q56" t="s">
        <v>155</v>
      </c>
      <c r="R56" t="s">
        <v>302</v>
      </c>
      <c r="S56" t="s">
        <v>309</v>
      </c>
      <c r="T56">
        <v>1</v>
      </c>
      <c r="U56" t="s">
        <v>409</v>
      </c>
      <c r="V56" t="s">
        <v>285</v>
      </c>
      <c r="W56" t="s">
        <v>410</v>
      </c>
      <c r="X56" t="s">
        <v>306</v>
      </c>
      <c r="Y56" t="s">
        <v>307</v>
      </c>
      <c r="Z56">
        <v>65</v>
      </c>
      <c r="AA56">
        <v>75</v>
      </c>
      <c r="AB56" t="s">
        <v>143</v>
      </c>
      <c r="AC56" t="s">
        <v>149</v>
      </c>
      <c r="AD56" t="s">
        <v>404</v>
      </c>
      <c r="AE56" t="str">
        <f>IF(AF56="","",VLOOKUP(AC56,mapel!$A$2:$B$42,2,FALSE))</f>
        <v>B.Indo</v>
      </c>
      <c r="AF56">
        <f t="shared" si="0"/>
        <v>75</v>
      </c>
      <c r="AG56" t="str">
        <f>IF(AF56="","",IF(AF56&gt;90,"Sangat baik",IF(AF56&gt;79,"Baik",IF(AF56&gt;=pub_gid_0_single_true_output_csv[[#This Row],[KKM]],"Cukup","Kurang"))))</f>
        <v>Cukup</v>
      </c>
      <c r="AH56">
        <f t="shared" si="1"/>
        <v>11</v>
      </c>
      <c r="AI56" s="30" t="str">
        <f>IF(OR(J56&lt;&gt;"Karakter",pub_gid_0_single_true_output_csv[[#This Row],[Nilai2]]=""),"",IF(AF56&gt;89,"Sangat baik",IF(AF56&gt;79,"Baik",IF(AF56&gt;69,"Cukup",IF(AF56&gt;59,"Kurang","Sangat kurang")))))</f>
        <v/>
      </c>
      <c r="AJ56" t="str">
        <f t="shared" si="2"/>
        <v>Wk.4</v>
      </c>
      <c r="AK56" t="str">
        <f>IF(pub_gid_0_single_true_output_csv[[#This Row],[Nilai2]]="","",VLOOKUP(pub_gid_0_single_true_output_csv[[#This Row],[NAMA]],Table7[],3,FALSE))</f>
        <v>Average</v>
      </c>
    </row>
    <row r="57" spans="1:37" x14ac:dyDescent="0.2">
      <c r="A57">
        <v>56</v>
      </c>
      <c r="B57" t="s">
        <v>289</v>
      </c>
      <c r="C57" t="s">
        <v>54</v>
      </c>
      <c r="D57" t="s">
        <v>39</v>
      </c>
      <c r="E57" t="s">
        <v>140</v>
      </c>
      <c r="F57" s="25">
        <v>46041</v>
      </c>
      <c r="G57" t="s">
        <v>370</v>
      </c>
      <c r="H57" t="s">
        <v>405</v>
      </c>
      <c r="I57" t="s">
        <v>371</v>
      </c>
      <c r="J57" t="s">
        <v>90</v>
      </c>
      <c r="K57" t="s">
        <v>92</v>
      </c>
      <c r="L57" t="s">
        <v>91</v>
      </c>
      <c r="M57" t="s">
        <v>141</v>
      </c>
      <c r="N57" t="s">
        <v>142</v>
      </c>
      <c r="O57" t="s">
        <v>155</v>
      </c>
      <c r="P57" t="s">
        <v>281</v>
      </c>
      <c r="Q57" t="s">
        <v>155</v>
      </c>
      <c r="R57" t="s">
        <v>302</v>
      </c>
      <c r="S57" t="s">
        <v>309</v>
      </c>
      <c r="T57">
        <v>1</v>
      </c>
      <c r="U57" t="s">
        <v>409</v>
      </c>
      <c r="V57" t="s">
        <v>285</v>
      </c>
      <c r="W57" t="s">
        <v>410</v>
      </c>
      <c r="X57" t="s">
        <v>306</v>
      </c>
      <c r="Y57" t="s">
        <v>307</v>
      </c>
      <c r="Z57">
        <v>65</v>
      </c>
      <c r="AA57">
        <v>70</v>
      </c>
      <c r="AB57" t="s">
        <v>143</v>
      </c>
      <c r="AC57" t="s">
        <v>149</v>
      </c>
      <c r="AD57" t="s">
        <v>404</v>
      </c>
      <c r="AE57" t="str">
        <f>IF(AF57="","",VLOOKUP(AC57,mapel!$A$2:$B$42,2,FALSE))</f>
        <v>B.Indo</v>
      </c>
      <c r="AF57">
        <f t="shared" si="0"/>
        <v>70</v>
      </c>
      <c r="AG57" t="str">
        <f>IF(AF57="","",IF(AF57&gt;90,"Sangat baik",IF(AF57&gt;79,"Baik",IF(AF57&gt;=pub_gid_0_single_true_output_csv[[#This Row],[KKM]],"Cukup","Kurang"))))</f>
        <v>Cukup</v>
      </c>
      <c r="AH57">
        <f t="shared" si="1"/>
        <v>11</v>
      </c>
      <c r="AI57" s="30" t="str">
        <f>IF(OR(J57&lt;&gt;"Karakter",pub_gid_0_single_true_output_csv[[#This Row],[Nilai2]]=""),"",IF(AF57&gt;89,"Sangat baik",IF(AF57&gt;79,"Baik",IF(AF57&gt;69,"Cukup",IF(AF57&gt;59,"Kurang","Sangat kurang")))))</f>
        <v>Cukup</v>
      </c>
      <c r="AJ57" t="str">
        <f t="shared" si="2"/>
        <v>Wk.4</v>
      </c>
      <c r="AK57" t="str">
        <f>IF(pub_gid_0_single_true_output_csv[[#This Row],[Nilai2]]="","",VLOOKUP(pub_gid_0_single_true_output_csv[[#This Row],[NAMA]],Table7[],3,FALSE))</f>
        <v>Average</v>
      </c>
    </row>
    <row r="58" spans="1:37" x14ac:dyDescent="0.2">
      <c r="A58">
        <v>57</v>
      </c>
      <c r="B58" t="s">
        <v>289</v>
      </c>
      <c r="C58" t="s">
        <v>54</v>
      </c>
      <c r="D58" t="s">
        <v>39</v>
      </c>
      <c r="E58" t="s">
        <v>140</v>
      </c>
      <c r="F58" s="25">
        <v>46041</v>
      </c>
      <c r="G58" t="s">
        <v>370</v>
      </c>
      <c r="H58" t="s">
        <v>405</v>
      </c>
      <c r="I58" t="s">
        <v>371</v>
      </c>
      <c r="J58" t="s">
        <v>279</v>
      </c>
      <c r="K58" t="s">
        <v>280</v>
      </c>
      <c r="L58" t="s">
        <v>322</v>
      </c>
      <c r="M58" t="s">
        <v>141</v>
      </c>
      <c r="N58" t="s">
        <v>142</v>
      </c>
      <c r="O58" t="s">
        <v>155</v>
      </c>
      <c r="P58" t="s">
        <v>281</v>
      </c>
      <c r="Q58" t="s">
        <v>155</v>
      </c>
      <c r="R58" t="s">
        <v>302</v>
      </c>
      <c r="S58" t="s">
        <v>309</v>
      </c>
      <c r="T58">
        <v>1</v>
      </c>
      <c r="U58" t="s">
        <v>409</v>
      </c>
      <c r="V58" t="s">
        <v>285</v>
      </c>
      <c r="W58" t="s">
        <v>410</v>
      </c>
      <c r="X58" t="s">
        <v>306</v>
      </c>
      <c r="Y58" t="s">
        <v>307</v>
      </c>
      <c r="Z58">
        <v>65</v>
      </c>
      <c r="AA58">
        <v>70</v>
      </c>
      <c r="AB58" t="s">
        <v>143</v>
      </c>
      <c r="AC58" t="s">
        <v>149</v>
      </c>
      <c r="AD58" t="s">
        <v>404</v>
      </c>
      <c r="AE58" t="str">
        <f>IF(AF58="","",VLOOKUP(AC58,mapel!$A$2:$B$42,2,FALSE))</f>
        <v>B.Indo</v>
      </c>
      <c r="AF58">
        <f t="shared" si="0"/>
        <v>70</v>
      </c>
      <c r="AG58" t="str">
        <f>IF(AF58="","",IF(AF58&gt;90,"Sangat baik",IF(AF58&gt;79,"Baik",IF(AF58&gt;=pub_gid_0_single_true_output_csv[[#This Row],[KKM]],"Cukup","Kurang"))))</f>
        <v>Cukup</v>
      </c>
      <c r="AH58">
        <f t="shared" si="1"/>
        <v>11</v>
      </c>
      <c r="AI58" s="30" t="str">
        <f>IF(OR(J58&lt;&gt;"Karakter",pub_gid_0_single_true_output_csv[[#This Row],[Nilai2]]=""),"",IF(AF58&gt;89,"Sangat baik",IF(AF58&gt;79,"Baik",IF(AF58&gt;69,"Cukup",IF(AF58&gt;59,"Kurang","Sangat kurang")))))</f>
        <v/>
      </c>
      <c r="AJ58" t="str">
        <f t="shared" si="2"/>
        <v>Wk.4</v>
      </c>
      <c r="AK58" t="str">
        <f>IF(pub_gid_0_single_true_output_csv[[#This Row],[Nilai2]]="","",VLOOKUP(pub_gid_0_single_true_output_csv[[#This Row],[NAMA]],Table7[],3,FALSE))</f>
        <v>Average</v>
      </c>
    </row>
    <row r="59" spans="1:37" x14ac:dyDescent="0.2">
      <c r="A59">
        <v>58</v>
      </c>
      <c r="B59" t="s">
        <v>289</v>
      </c>
      <c r="C59" t="s">
        <v>54</v>
      </c>
      <c r="D59" t="s">
        <v>39</v>
      </c>
      <c r="E59" t="s">
        <v>140</v>
      </c>
      <c r="F59" s="25">
        <v>46048</v>
      </c>
      <c r="G59" t="s">
        <v>371</v>
      </c>
      <c r="H59" t="s">
        <v>405</v>
      </c>
      <c r="I59" t="s">
        <v>371</v>
      </c>
      <c r="J59" t="s">
        <v>36</v>
      </c>
      <c r="K59" t="s">
        <v>37</v>
      </c>
      <c r="L59" t="s">
        <v>351</v>
      </c>
      <c r="M59" t="s">
        <v>141</v>
      </c>
      <c r="N59" t="s">
        <v>142</v>
      </c>
      <c r="O59" t="s">
        <v>155</v>
      </c>
      <c r="P59" t="s">
        <v>281</v>
      </c>
      <c r="Q59" t="s">
        <v>155</v>
      </c>
      <c r="R59" t="s">
        <v>302</v>
      </c>
      <c r="S59" t="s">
        <v>369</v>
      </c>
      <c r="T59">
        <v>1</v>
      </c>
      <c r="U59" t="s">
        <v>409</v>
      </c>
      <c r="V59" t="s">
        <v>342</v>
      </c>
      <c r="W59" t="s">
        <v>411</v>
      </c>
      <c r="X59" t="s">
        <v>306</v>
      </c>
      <c r="Y59" t="s">
        <v>307</v>
      </c>
      <c r="Z59">
        <v>65</v>
      </c>
      <c r="AA59">
        <v>80</v>
      </c>
      <c r="AB59" t="s">
        <v>143</v>
      </c>
      <c r="AC59" t="s">
        <v>149</v>
      </c>
      <c r="AD59" t="s">
        <v>404</v>
      </c>
      <c r="AE59" t="str">
        <f>IF(AF59="","",VLOOKUP(AC59,mapel!$A$2:$B$42,2,FALSE))</f>
        <v>B.Indo</v>
      </c>
      <c r="AF59">
        <f t="shared" si="0"/>
        <v>80</v>
      </c>
      <c r="AG59" t="str">
        <f>IF(AF59="","",IF(AF59&gt;90,"Sangat baik",IF(AF59&gt;79,"Baik",IF(AF59&gt;=pub_gid_0_single_true_output_csv[[#This Row],[KKM]],"Cukup","Kurang"))))</f>
        <v>Baik</v>
      </c>
      <c r="AH59">
        <f t="shared" si="1"/>
        <v>11</v>
      </c>
      <c r="AI59" s="30" t="str">
        <f>IF(OR(J59&lt;&gt;"Karakter",pub_gid_0_single_true_output_csv[[#This Row],[Nilai2]]=""),"",IF(AF59&gt;89,"Sangat baik",IF(AF59&gt;79,"Baik",IF(AF59&gt;69,"Cukup",IF(AF59&gt;59,"Kurang","Sangat kurang")))))</f>
        <v/>
      </c>
      <c r="AJ59" t="str">
        <f t="shared" si="2"/>
        <v>Wk.5</v>
      </c>
      <c r="AK59" t="str">
        <f>IF(pub_gid_0_single_true_output_csv[[#This Row],[Nilai2]]="","",VLOOKUP(pub_gid_0_single_true_output_csv[[#This Row],[NAMA]],Table7[],3,FALSE))</f>
        <v>Average</v>
      </c>
    </row>
    <row r="60" spans="1:37" x14ac:dyDescent="0.2">
      <c r="A60">
        <v>59</v>
      </c>
      <c r="B60" t="s">
        <v>289</v>
      </c>
      <c r="C60" t="s">
        <v>54</v>
      </c>
      <c r="D60" t="s">
        <v>39</v>
      </c>
      <c r="E60" t="s">
        <v>140</v>
      </c>
      <c r="F60" s="25">
        <v>46048</v>
      </c>
      <c r="G60" t="s">
        <v>371</v>
      </c>
      <c r="H60" t="s">
        <v>405</v>
      </c>
      <c r="I60" t="s">
        <v>371</v>
      </c>
      <c r="J60" t="s">
        <v>31</v>
      </c>
      <c r="K60" t="s">
        <v>96</v>
      </c>
      <c r="L60" t="s">
        <v>351</v>
      </c>
      <c r="M60" t="s">
        <v>141</v>
      </c>
      <c r="N60" t="s">
        <v>142</v>
      </c>
      <c r="O60" t="s">
        <v>155</v>
      </c>
      <c r="P60" t="s">
        <v>281</v>
      </c>
      <c r="Q60" t="s">
        <v>155</v>
      </c>
      <c r="R60" t="s">
        <v>302</v>
      </c>
      <c r="S60" t="s">
        <v>369</v>
      </c>
      <c r="T60">
        <v>1</v>
      </c>
      <c r="U60" t="s">
        <v>409</v>
      </c>
      <c r="V60" t="s">
        <v>342</v>
      </c>
      <c r="W60" t="s">
        <v>411</v>
      </c>
      <c r="X60" t="s">
        <v>306</v>
      </c>
      <c r="Y60" t="s">
        <v>307</v>
      </c>
      <c r="Z60">
        <v>65</v>
      </c>
      <c r="AA60">
        <v>65</v>
      </c>
      <c r="AB60" t="s">
        <v>143</v>
      </c>
      <c r="AC60" t="s">
        <v>149</v>
      </c>
      <c r="AD60" t="s">
        <v>404</v>
      </c>
      <c r="AE60" t="str">
        <f>IF(AF60="","",VLOOKUP(AC60,mapel!$A$2:$B$42,2,FALSE))</f>
        <v>B.Indo</v>
      </c>
      <c r="AF60">
        <f t="shared" si="0"/>
        <v>65</v>
      </c>
      <c r="AG60" t="str">
        <f>IF(AF60="","",IF(AF60&gt;90,"Sangat baik",IF(AF60&gt;79,"Baik",IF(AF60&gt;=pub_gid_0_single_true_output_csv[[#This Row],[KKM]],"Cukup","Kurang"))))</f>
        <v>Cukup</v>
      </c>
      <c r="AH60">
        <f t="shared" si="1"/>
        <v>11</v>
      </c>
      <c r="AI60" s="30" t="str">
        <f>IF(OR(J60&lt;&gt;"Karakter",pub_gid_0_single_true_output_csv[[#This Row],[Nilai2]]=""),"",IF(AF60&gt;89,"Sangat baik",IF(AF60&gt;79,"Baik",IF(AF60&gt;69,"Cukup",IF(AF60&gt;59,"Kurang","Sangat kurang")))))</f>
        <v/>
      </c>
      <c r="AJ60" t="str">
        <f t="shared" si="2"/>
        <v>Wk.5</v>
      </c>
      <c r="AK60" t="str">
        <f>IF(pub_gid_0_single_true_output_csv[[#This Row],[Nilai2]]="","",VLOOKUP(pub_gid_0_single_true_output_csv[[#This Row],[NAMA]],Table7[],3,FALSE))</f>
        <v>Average</v>
      </c>
    </row>
    <row r="61" spans="1:37" x14ac:dyDescent="0.2">
      <c r="A61">
        <v>60</v>
      </c>
      <c r="B61" t="s">
        <v>289</v>
      </c>
      <c r="C61" t="s">
        <v>54</v>
      </c>
      <c r="D61" t="s">
        <v>39</v>
      </c>
      <c r="E61" t="s">
        <v>140</v>
      </c>
      <c r="F61" s="25">
        <v>46048</v>
      </c>
      <c r="G61" t="s">
        <v>371</v>
      </c>
      <c r="H61" t="s">
        <v>405</v>
      </c>
      <c r="I61" t="s">
        <v>371</v>
      </c>
      <c r="J61" t="s">
        <v>90</v>
      </c>
      <c r="K61" t="s">
        <v>92</v>
      </c>
      <c r="L61" t="s">
        <v>91</v>
      </c>
      <c r="M61" t="s">
        <v>141</v>
      </c>
      <c r="N61" t="s">
        <v>142</v>
      </c>
      <c r="O61" t="s">
        <v>155</v>
      </c>
      <c r="P61" t="s">
        <v>281</v>
      </c>
      <c r="Q61" t="s">
        <v>155</v>
      </c>
      <c r="R61" t="s">
        <v>302</v>
      </c>
      <c r="S61" t="s">
        <v>369</v>
      </c>
      <c r="T61">
        <v>1</v>
      </c>
      <c r="U61" t="s">
        <v>409</v>
      </c>
      <c r="V61" t="s">
        <v>342</v>
      </c>
      <c r="W61" t="s">
        <v>411</v>
      </c>
      <c r="X61" t="s">
        <v>306</v>
      </c>
      <c r="Y61" t="s">
        <v>307</v>
      </c>
      <c r="Z61">
        <v>65</v>
      </c>
      <c r="AA61">
        <v>70</v>
      </c>
      <c r="AB61" t="s">
        <v>143</v>
      </c>
      <c r="AC61" t="s">
        <v>149</v>
      </c>
      <c r="AD61" t="s">
        <v>404</v>
      </c>
      <c r="AE61" t="str">
        <f>IF(AF61="","",VLOOKUP(AC61,mapel!$A$2:$B$42,2,FALSE))</f>
        <v>B.Indo</v>
      </c>
      <c r="AF61">
        <f t="shared" si="0"/>
        <v>70</v>
      </c>
      <c r="AG61" t="str">
        <f>IF(AF61="","",IF(AF61&gt;90,"Sangat baik",IF(AF61&gt;79,"Baik",IF(AF61&gt;=pub_gid_0_single_true_output_csv[[#This Row],[KKM]],"Cukup","Kurang"))))</f>
        <v>Cukup</v>
      </c>
      <c r="AH61">
        <f t="shared" si="1"/>
        <v>11</v>
      </c>
      <c r="AI61" s="30" t="str">
        <f>IF(OR(J61&lt;&gt;"Karakter",pub_gid_0_single_true_output_csv[[#This Row],[Nilai2]]=""),"",IF(AF61&gt;89,"Sangat baik",IF(AF61&gt;79,"Baik",IF(AF61&gt;69,"Cukup",IF(AF61&gt;59,"Kurang","Sangat kurang")))))</f>
        <v>Cukup</v>
      </c>
      <c r="AJ61" t="str">
        <f t="shared" si="2"/>
        <v>Wk.5</v>
      </c>
      <c r="AK61" t="str">
        <f>IF(pub_gid_0_single_true_output_csv[[#This Row],[Nilai2]]="","",VLOOKUP(pub_gid_0_single_true_output_csv[[#This Row],[NAMA]],Table7[],3,FALSE))</f>
        <v>Average</v>
      </c>
    </row>
    <row r="62" spans="1:37" x14ac:dyDescent="0.2">
      <c r="A62">
        <v>61</v>
      </c>
      <c r="B62" t="s">
        <v>289</v>
      </c>
      <c r="C62" t="s">
        <v>54</v>
      </c>
      <c r="D62" t="s">
        <v>39</v>
      </c>
      <c r="E62" t="s">
        <v>140</v>
      </c>
      <c r="F62" s="25">
        <v>46048</v>
      </c>
      <c r="G62" t="s">
        <v>371</v>
      </c>
      <c r="H62" t="s">
        <v>405</v>
      </c>
      <c r="I62" t="s">
        <v>371</v>
      </c>
      <c r="J62" t="s">
        <v>279</v>
      </c>
      <c r="K62" t="s">
        <v>280</v>
      </c>
      <c r="L62" t="s">
        <v>322</v>
      </c>
      <c r="M62" t="s">
        <v>141</v>
      </c>
      <c r="N62" t="s">
        <v>142</v>
      </c>
      <c r="O62" t="s">
        <v>155</v>
      </c>
      <c r="P62" t="s">
        <v>281</v>
      </c>
      <c r="Q62" t="s">
        <v>155</v>
      </c>
      <c r="R62" t="s">
        <v>302</v>
      </c>
      <c r="S62" t="s">
        <v>369</v>
      </c>
      <c r="T62">
        <v>1</v>
      </c>
      <c r="U62" t="s">
        <v>409</v>
      </c>
      <c r="V62" t="s">
        <v>342</v>
      </c>
      <c r="W62" t="s">
        <v>411</v>
      </c>
      <c r="X62" t="s">
        <v>306</v>
      </c>
      <c r="Y62" t="s">
        <v>307</v>
      </c>
      <c r="Z62">
        <v>65</v>
      </c>
      <c r="AA62">
        <v>65</v>
      </c>
      <c r="AB62" t="s">
        <v>143</v>
      </c>
      <c r="AC62" t="s">
        <v>149</v>
      </c>
      <c r="AD62" t="s">
        <v>404</v>
      </c>
      <c r="AE62" t="str">
        <f>IF(AF62="","",VLOOKUP(AC62,mapel!$A$2:$B$42,2,FALSE))</f>
        <v>B.Indo</v>
      </c>
      <c r="AF62">
        <f t="shared" si="0"/>
        <v>65</v>
      </c>
      <c r="AG62" t="str">
        <f>IF(AF62="","",IF(AF62&gt;90,"Sangat baik",IF(AF62&gt;79,"Baik",IF(AF62&gt;=pub_gid_0_single_true_output_csv[[#This Row],[KKM]],"Cukup","Kurang"))))</f>
        <v>Cukup</v>
      </c>
      <c r="AH62">
        <f t="shared" si="1"/>
        <v>11</v>
      </c>
      <c r="AI62" s="30" t="str">
        <f>IF(OR(J62&lt;&gt;"Karakter",pub_gid_0_single_true_output_csv[[#This Row],[Nilai2]]=""),"",IF(AF62&gt;89,"Sangat baik",IF(AF62&gt;79,"Baik",IF(AF62&gt;69,"Cukup",IF(AF62&gt;59,"Kurang","Sangat kurang")))))</f>
        <v/>
      </c>
      <c r="AJ62" t="str">
        <f t="shared" si="2"/>
        <v>Wk.5</v>
      </c>
      <c r="AK62" t="str">
        <f>IF(pub_gid_0_single_true_output_csv[[#This Row],[Nilai2]]="","",VLOOKUP(pub_gid_0_single_true_output_csv[[#This Row],[NAMA]],Table7[],3,FALSE))</f>
        <v>Average</v>
      </c>
    </row>
    <row r="63" spans="1:37" x14ac:dyDescent="0.2">
      <c r="A63">
        <v>62</v>
      </c>
      <c r="B63" t="s">
        <v>289</v>
      </c>
      <c r="C63" t="s">
        <v>54</v>
      </c>
      <c r="D63" t="s">
        <v>39</v>
      </c>
      <c r="E63" t="s">
        <v>140</v>
      </c>
      <c r="F63" s="25">
        <v>46049</v>
      </c>
      <c r="G63" t="s">
        <v>373</v>
      </c>
      <c r="H63" t="s">
        <v>405</v>
      </c>
      <c r="I63" t="s">
        <v>371</v>
      </c>
      <c r="J63" t="s">
        <v>36</v>
      </c>
      <c r="K63" t="s">
        <v>37</v>
      </c>
      <c r="L63" t="s">
        <v>321</v>
      </c>
      <c r="M63" t="s">
        <v>141</v>
      </c>
      <c r="N63" t="s">
        <v>142</v>
      </c>
      <c r="O63" t="s">
        <v>155</v>
      </c>
      <c r="P63" t="s">
        <v>281</v>
      </c>
      <c r="Q63" t="s">
        <v>155</v>
      </c>
      <c r="R63" t="s">
        <v>302</v>
      </c>
      <c r="S63" t="s">
        <v>369</v>
      </c>
      <c r="T63">
        <v>1</v>
      </c>
      <c r="U63" t="s">
        <v>409</v>
      </c>
      <c r="V63" t="s">
        <v>342</v>
      </c>
      <c r="W63" t="s">
        <v>411</v>
      </c>
      <c r="X63" t="s">
        <v>306</v>
      </c>
      <c r="Y63" t="s">
        <v>307</v>
      </c>
      <c r="Z63">
        <v>65</v>
      </c>
      <c r="AA63">
        <v>68</v>
      </c>
      <c r="AB63" t="s">
        <v>143</v>
      </c>
      <c r="AC63" t="s">
        <v>149</v>
      </c>
      <c r="AD63" t="s">
        <v>404</v>
      </c>
      <c r="AE63" t="str">
        <f>IF(AF63="","",VLOOKUP(AC63,mapel!$A$2:$B$42,2,FALSE))</f>
        <v>B.Indo</v>
      </c>
      <c r="AF63">
        <f t="shared" si="0"/>
        <v>68</v>
      </c>
      <c r="AG63" t="str">
        <f>IF(AF63="","",IF(AF63&gt;90,"Sangat baik",IF(AF63&gt;79,"Baik",IF(AF63&gt;=pub_gid_0_single_true_output_csv[[#This Row],[KKM]],"Cukup","Kurang"))))</f>
        <v>Cukup</v>
      </c>
      <c r="AH63">
        <f t="shared" si="1"/>
        <v>11</v>
      </c>
      <c r="AI63" s="30" t="str">
        <f>IF(OR(J63&lt;&gt;"Karakter",pub_gid_0_single_true_output_csv[[#This Row],[Nilai2]]=""),"",IF(AF63&gt;89,"Sangat baik",IF(AF63&gt;79,"Baik",IF(AF63&gt;69,"Cukup",IF(AF63&gt;59,"Kurang","Sangat kurang")))))</f>
        <v/>
      </c>
      <c r="AJ63" t="str">
        <f t="shared" si="2"/>
        <v>Wk.5</v>
      </c>
      <c r="AK63" t="str">
        <f>IF(pub_gid_0_single_true_output_csv[[#This Row],[Nilai2]]="","",VLOOKUP(pub_gid_0_single_true_output_csv[[#This Row],[NAMA]],Table7[],3,FALSE))</f>
        <v>Average</v>
      </c>
    </row>
    <row r="64" spans="1:37" x14ac:dyDescent="0.2">
      <c r="A64">
        <v>63</v>
      </c>
      <c r="B64" t="s">
        <v>289</v>
      </c>
      <c r="C64" t="s">
        <v>54</v>
      </c>
      <c r="D64" t="s">
        <v>39</v>
      </c>
      <c r="E64" t="s">
        <v>140</v>
      </c>
      <c r="F64" s="25">
        <v>46049</v>
      </c>
      <c r="G64" t="s">
        <v>373</v>
      </c>
      <c r="H64" t="s">
        <v>405</v>
      </c>
      <c r="I64" t="s">
        <v>371</v>
      </c>
      <c r="J64" t="s">
        <v>31</v>
      </c>
      <c r="K64" t="s">
        <v>96</v>
      </c>
      <c r="L64" t="s">
        <v>321</v>
      </c>
      <c r="M64" t="s">
        <v>141</v>
      </c>
      <c r="N64" t="s">
        <v>142</v>
      </c>
      <c r="O64" t="s">
        <v>155</v>
      </c>
      <c r="P64" t="s">
        <v>281</v>
      </c>
      <c r="Q64" t="s">
        <v>155</v>
      </c>
      <c r="R64" t="s">
        <v>302</v>
      </c>
      <c r="S64" t="s">
        <v>369</v>
      </c>
      <c r="T64">
        <v>1</v>
      </c>
      <c r="U64" t="s">
        <v>409</v>
      </c>
      <c r="V64" t="s">
        <v>342</v>
      </c>
      <c r="W64" t="s">
        <v>411</v>
      </c>
      <c r="X64" t="s">
        <v>306</v>
      </c>
      <c r="Y64" t="s">
        <v>307</v>
      </c>
      <c r="Z64">
        <v>65</v>
      </c>
      <c r="AA64">
        <v>65</v>
      </c>
      <c r="AB64" t="s">
        <v>143</v>
      </c>
      <c r="AC64" t="s">
        <v>149</v>
      </c>
      <c r="AD64" t="s">
        <v>404</v>
      </c>
      <c r="AE64" t="str">
        <f>IF(AF64="","",VLOOKUP(AC64,mapel!$A$2:$B$42,2,FALSE))</f>
        <v>B.Indo</v>
      </c>
      <c r="AF64">
        <f t="shared" si="0"/>
        <v>65</v>
      </c>
      <c r="AG64" t="str">
        <f>IF(AF64="","",IF(AF64&gt;90,"Sangat baik",IF(AF64&gt;79,"Baik",IF(AF64&gt;=pub_gid_0_single_true_output_csv[[#This Row],[KKM]],"Cukup","Kurang"))))</f>
        <v>Cukup</v>
      </c>
      <c r="AH64">
        <f t="shared" si="1"/>
        <v>11</v>
      </c>
      <c r="AI64" s="30" t="str">
        <f>IF(OR(J64&lt;&gt;"Karakter",pub_gid_0_single_true_output_csv[[#This Row],[Nilai2]]=""),"",IF(AF64&gt;89,"Sangat baik",IF(AF64&gt;79,"Baik",IF(AF64&gt;69,"Cukup",IF(AF64&gt;59,"Kurang","Sangat kurang")))))</f>
        <v/>
      </c>
      <c r="AJ64" t="str">
        <f t="shared" si="2"/>
        <v>Wk.5</v>
      </c>
      <c r="AK64" t="str">
        <f>IF(pub_gid_0_single_true_output_csv[[#This Row],[Nilai2]]="","",VLOOKUP(pub_gid_0_single_true_output_csv[[#This Row],[NAMA]],Table7[],3,FALSE))</f>
        <v>Average</v>
      </c>
    </row>
    <row r="65" spans="1:37" x14ac:dyDescent="0.2">
      <c r="A65">
        <v>64</v>
      </c>
      <c r="B65" t="s">
        <v>289</v>
      </c>
      <c r="C65" t="s">
        <v>54</v>
      </c>
      <c r="D65" t="s">
        <v>39</v>
      </c>
      <c r="E65" t="s">
        <v>140</v>
      </c>
      <c r="F65" s="25">
        <v>46049</v>
      </c>
      <c r="G65" t="s">
        <v>373</v>
      </c>
      <c r="H65" t="s">
        <v>405</v>
      </c>
      <c r="I65" t="s">
        <v>371</v>
      </c>
      <c r="J65" t="s">
        <v>90</v>
      </c>
      <c r="K65" t="s">
        <v>92</v>
      </c>
      <c r="L65" t="s">
        <v>93</v>
      </c>
      <c r="M65" t="s">
        <v>141</v>
      </c>
      <c r="N65" t="s">
        <v>142</v>
      </c>
      <c r="O65" t="s">
        <v>155</v>
      </c>
      <c r="P65" t="s">
        <v>281</v>
      </c>
      <c r="Q65" t="s">
        <v>155</v>
      </c>
      <c r="R65" t="s">
        <v>302</v>
      </c>
      <c r="S65" t="s">
        <v>369</v>
      </c>
      <c r="T65">
        <v>1</v>
      </c>
      <c r="U65" t="s">
        <v>409</v>
      </c>
      <c r="V65" t="s">
        <v>342</v>
      </c>
      <c r="W65" t="s">
        <v>411</v>
      </c>
      <c r="X65" t="s">
        <v>306</v>
      </c>
      <c r="Y65" t="s">
        <v>307</v>
      </c>
      <c r="Z65">
        <v>65</v>
      </c>
      <c r="AA65">
        <v>70</v>
      </c>
      <c r="AB65" t="s">
        <v>143</v>
      </c>
      <c r="AC65" t="s">
        <v>149</v>
      </c>
      <c r="AD65" t="s">
        <v>404</v>
      </c>
      <c r="AE65" t="str">
        <f>IF(AF65="","",VLOOKUP(AC65,mapel!$A$2:$B$42,2,FALSE))</f>
        <v>B.Indo</v>
      </c>
      <c r="AF65">
        <f t="shared" si="0"/>
        <v>70</v>
      </c>
      <c r="AG65" t="str">
        <f>IF(AF65="","",IF(AF65&gt;90,"Sangat baik",IF(AF65&gt;79,"Baik",IF(AF65&gt;=pub_gid_0_single_true_output_csv[[#This Row],[KKM]],"Cukup","Kurang"))))</f>
        <v>Cukup</v>
      </c>
      <c r="AH65">
        <f t="shared" si="1"/>
        <v>11</v>
      </c>
      <c r="AI65" s="30" t="str">
        <f>IF(OR(J65&lt;&gt;"Karakter",pub_gid_0_single_true_output_csv[[#This Row],[Nilai2]]=""),"",IF(AF65&gt;89,"Sangat baik",IF(AF65&gt;79,"Baik",IF(AF65&gt;69,"Cukup",IF(AF65&gt;59,"Kurang","Sangat kurang")))))</f>
        <v>Cukup</v>
      </c>
      <c r="AJ65" t="str">
        <f t="shared" si="2"/>
        <v>Wk.5</v>
      </c>
      <c r="AK65" t="str">
        <f>IF(pub_gid_0_single_true_output_csv[[#This Row],[Nilai2]]="","",VLOOKUP(pub_gid_0_single_true_output_csv[[#This Row],[NAMA]],Table7[],3,FALSE))</f>
        <v>Average</v>
      </c>
    </row>
    <row r="66" spans="1:37" x14ac:dyDescent="0.2">
      <c r="A66">
        <v>65</v>
      </c>
      <c r="B66" t="s">
        <v>289</v>
      </c>
      <c r="C66" t="s">
        <v>54</v>
      </c>
      <c r="D66" t="s">
        <v>39</v>
      </c>
      <c r="E66" t="s">
        <v>140</v>
      </c>
      <c r="F66" s="25">
        <v>46049</v>
      </c>
      <c r="G66" t="s">
        <v>373</v>
      </c>
      <c r="H66" t="s">
        <v>405</v>
      </c>
      <c r="I66" t="s">
        <v>371</v>
      </c>
      <c r="J66" t="s">
        <v>279</v>
      </c>
      <c r="K66" t="s">
        <v>280</v>
      </c>
      <c r="L66" t="s">
        <v>322</v>
      </c>
      <c r="M66" t="s">
        <v>141</v>
      </c>
      <c r="N66" t="s">
        <v>142</v>
      </c>
      <c r="O66" t="s">
        <v>155</v>
      </c>
      <c r="P66" t="s">
        <v>281</v>
      </c>
      <c r="Q66" t="s">
        <v>155</v>
      </c>
      <c r="R66" t="s">
        <v>302</v>
      </c>
      <c r="S66" t="s">
        <v>369</v>
      </c>
      <c r="T66">
        <v>1</v>
      </c>
      <c r="U66" t="s">
        <v>409</v>
      </c>
      <c r="V66" t="s">
        <v>342</v>
      </c>
      <c r="W66" t="s">
        <v>411</v>
      </c>
      <c r="X66" t="s">
        <v>306</v>
      </c>
      <c r="Y66" t="s">
        <v>307</v>
      </c>
      <c r="Z66">
        <v>65</v>
      </c>
      <c r="AA66">
        <v>70</v>
      </c>
      <c r="AB66" t="s">
        <v>143</v>
      </c>
      <c r="AC66" t="s">
        <v>149</v>
      </c>
      <c r="AD66" t="s">
        <v>404</v>
      </c>
      <c r="AE66" t="str">
        <f>IF(AF66="","",VLOOKUP(AC66,mapel!$A$2:$B$42,2,FALSE))</f>
        <v>B.Indo</v>
      </c>
      <c r="AF66">
        <f t="shared" ref="AF66:AF129" si="3">IF(AA66=0, "",IF(AA66 = 0.1, 0,AA66))</f>
        <v>70</v>
      </c>
      <c r="AG66" t="str">
        <f>IF(AF66="","",IF(AF66&gt;90,"Sangat baik",IF(AF66&gt;79,"Baik",IF(AF66&gt;=pub_gid_0_single_true_output_csv[[#This Row],[KKM]],"Cukup","Kurang"))))</f>
        <v>Cukup</v>
      </c>
      <c r="AH66">
        <f t="shared" ref="AH66:AH129" si="4">IF(AG66="","",VALUE(RIGHT(X66,2)))</f>
        <v>11</v>
      </c>
      <c r="AI66" s="30" t="str">
        <f>IF(OR(J66&lt;&gt;"Karakter",pub_gid_0_single_true_output_csv[[#This Row],[Nilai2]]=""),"",IF(AF66&gt;89,"Sangat baik",IF(AF66&gt;79,"Baik",IF(AF66&gt;69,"Cukup",IF(AF66&gt;59,"Kurang","Sangat kurang")))))</f>
        <v/>
      </c>
      <c r="AJ66" t="str">
        <f t="shared" ref="AJ66:AJ129" si="5">IF(AF66="","",CONCATENATE("Wk.",WEEKNUM(F66,2)))</f>
        <v>Wk.5</v>
      </c>
      <c r="AK66" t="str">
        <f>IF(pub_gid_0_single_true_output_csv[[#This Row],[Nilai2]]="","",VLOOKUP(pub_gid_0_single_true_output_csv[[#This Row],[NAMA]],Table7[],3,FALSE))</f>
        <v>Average</v>
      </c>
    </row>
    <row r="67" spans="1:37" x14ac:dyDescent="0.2">
      <c r="A67">
        <v>66</v>
      </c>
      <c r="B67" t="s">
        <v>289</v>
      </c>
      <c r="C67" t="s">
        <v>54</v>
      </c>
      <c r="D67" t="s">
        <v>39</v>
      </c>
      <c r="E67" t="s">
        <v>140</v>
      </c>
      <c r="F67" s="25">
        <v>46055</v>
      </c>
      <c r="G67" t="s">
        <v>379</v>
      </c>
      <c r="H67" t="s">
        <v>412</v>
      </c>
      <c r="I67" t="s">
        <v>371</v>
      </c>
      <c r="J67" t="s">
        <v>36</v>
      </c>
      <c r="K67" t="s">
        <v>37</v>
      </c>
      <c r="L67" t="s">
        <v>150</v>
      </c>
      <c r="M67" t="s">
        <v>141</v>
      </c>
      <c r="N67" t="s">
        <v>142</v>
      </c>
      <c r="O67" t="s">
        <v>155</v>
      </c>
      <c r="P67" t="s">
        <v>281</v>
      </c>
      <c r="Q67" t="s">
        <v>155</v>
      </c>
      <c r="R67" t="s">
        <v>302</v>
      </c>
      <c r="S67" t="s">
        <v>345</v>
      </c>
      <c r="T67">
        <v>1</v>
      </c>
      <c r="U67" t="s">
        <v>409</v>
      </c>
      <c r="V67" t="s">
        <v>343</v>
      </c>
      <c r="W67" t="s">
        <v>413</v>
      </c>
      <c r="X67" t="s">
        <v>306</v>
      </c>
      <c r="Y67" t="s">
        <v>307</v>
      </c>
      <c r="Z67">
        <v>65</v>
      </c>
      <c r="AA67">
        <v>70</v>
      </c>
      <c r="AB67" t="s">
        <v>143</v>
      </c>
      <c r="AC67" t="s">
        <v>149</v>
      </c>
      <c r="AD67" t="s">
        <v>404</v>
      </c>
      <c r="AE67" t="str">
        <f>IF(AF67="","",VLOOKUP(AC67,mapel!$A$2:$B$42,2,FALSE))</f>
        <v>B.Indo</v>
      </c>
      <c r="AF67">
        <f t="shared" si="3"/>
        <v>70</v>
      </c>
      <c r="AG67" t="str">
        <f>IF(AF67="","",IF(AF67&gt;90,"Sangat baik",IF(AF67&gt;79,"Baik",IF(AF67&gt;=pub_gid_0_single_true_output_csv[[#This Row],[KKM]],"Cukup","Kurang"))))</f>
        <v>Cukup</v>
      </c>
      <c r="AH67">
        <f t="shared" si="4"/>
        <v>11</v>
      </c>
      <c r="AI67" s="30" t="str">
        <f>IF(OR(J67&lt;&gt;"Karakter",pub_gid_0_single_true_output_csv[[#This Row],[Nilai2]]=""),"",IF(AF67&gt;89,"Sangat baik",IF(AF67&gt;79,"Baik",IF(AF67&gt;69,"Cukup",IF(AF67&gt;59,"Kurang","Sangat kurang")))))</f>
        <v/>
      </c>
      <c r="AJ67" t="str">
        <f t="shared" si="5"/>
        <v>Wk.6</v>
      </c>
      <c r="AK67" t="str">
        <f>IF(pub_gid_0_single_true_output_csv[[#This Row],[Nilai2]]="","",VLOOKUP(pub_gid_0_single_true_output_csv[[#This Row],[NAMA]],Table7[],3,FALSE))</f>
        <v>Average</v>
      </c>
    </row>
    <row r="68" spans="1:37" x14ac:dyDescent="0.2">
      <c r="A68">
        <v>67</v>
      </c>
      <c r="B68" t="s">
        <v>289</v>
      </c>
      <c r="C68" t="s">
        <v>54</v>
      </c>
      <c r="D68" t="s">
        <v>39</v>
      </c>
      <c r="E68" t="s">
        <v>140</v>
      </c>
      <c r="F68" s="25">
        <v>46055</v>
      </c>
      <c r="G68" t="s">
        <v>379</v>
      </c>
      <c r="H68" t="s">
        <v>412</v>
      </c>
      <c r="I68" t="s">
        <v>371</v>
      </c>
      <c r="J68" t="s">
        <v>31</v>
      </c>
      <c r="K68" t="s">
        <v>96</v>
      </c>
      <c r="L68" t="s">
        <v>150</v>
      </c>
      <c r="M68" t="s">
        <v>141</v>
      </c>
      <c r="N68" t="s">
        <v>142</v>
      </c>
      <c r="O68" t="s">
        <v>155</v>
      </c>
      <c r="P68" t="s">
        <v>281</v>
      </c>
      <c r="Q68" t="s">
        <v>155</v>
      </c>
      <c r="R68" t="s">
        <v>302</v>
      </c>
      <c r="S68" t="s">
        <v>345</v>
      </c>
      <c r="T68">
        <v>1</v>
      </c>
      <c r="U68" t="s">
        <v>409</v>
      </c>
      <c r="V68" t="s">
        <v>343</v>
      </c>
      <c r="W68" t="s">
        <v>413</v>
      </c>
      <c r="X68" t="s">
        <v>306</v>
      </c>
      <c r="Y68" t="s">
        <v>307</v>
      </c>
      <c r="Z68">
        <v>65</v>
      </c>
      <c r="AA68">
        <v>80</v>
      </c>
      <c r="AB68" t="s">
        <v>143</v>
      </c>
      <c r="AC68" t="s">
        <v>149</v>
      </c>
      <c r="AD68" t="s">
        <v>404</v>
      </c>
      <c r="AE68" t="str">
        <f>IF(AF68="","",VLOOKUP(AC68,mapel!$A$2:$B$42,2,FALSE))</f>
        <v>B.Indo</v>
      </c>
      <c r="AF68">
        <f t="shared" si="3"/>
        <v>80</v>
      </c>
      <c r="AG68" t="str">
        <f>IF(AF68="","",IF(AF68&gt;90,"Sangat baik",IF(AF68&gt;79,"Baik",IF(AF68&gt;=pub_gid_0_single_true_output_csv[[#This Row],[KKM]],"Cukup","Kurang"))))</f>
        <v>Baik</v>
      </c>
      <c r="AH68">
        <f t="shared" si="4"/>
        <v>11</v>
      </c>
      <c r="AI68" s="30" t="str">
        <f>IF(OR(J68&lt;&gt;"Karakter",pub_gid_0_single_true_output_csv[[#This Row],[Nilai2]]=""),"",IF(AF68&gt;89,"Sangat baik",IF(AF68&gt;79,"Baik",IF(AF68&gt;69,"Cukup",IF(AF68&gt;59,"Kurang","Sangat kurang")))))</f>
        <v/>
      </c>
      <c r="AJ68" t="str">
        <f t="shared" si="5"/>
        <v>Wk.6</v>
      </c>
      <c r="AK68" t="str">
        <f>IF(pub_gid_0_single_true_output_csv[[#This Row],[Nilai2]]="","",VLOOKUP(pub_gid_0_single_true_output_csv[[#This Row],[NAMA]],Table7[],3,FALSE))</f>
        <v>Average</v>
      </c>
    </row>
    <row r="69" spans="1:37" x14ac:dyDescent="0.2">
      <c r="A69">
        <v>68</v>
      </c>
      <c r="B69" t="s">
        <v>289</v>
      </c>
      <c r="C69" t="s">
        <v>54</v>
      </c>
      <c r="D69" t="s">
        <v>39</v>
      </c>
      <c r="E69" t="s">
        <v>140</v>
      </c>
      <c r="F69" s="25">
        <v>46055</v>
      </c>
      <c r="G69" t="s">
        <v>379</v>
      </c>
      <c r="H69" t="s">
        <v>412</v>
      </c>
      <c r="I69" t="s">
        <v>371</v>
      </c>
      <c r="J69" t="s">
        <v>90</v>
      </c>
      <c r="K69" t="s">
        <v>92</v>
      </c>
      <c r="L69" t="s">
        <v>91</v>
      </c>
      <c r="M69" t="s">
        <v>141</v>
      </c>
      <c r="N69" t="s">
        <v>142</v>
      </c>
      <c r="O69" t="s">
        <v>155</v>
      </c>
      <c r="P69" t="s">
        <v>281</v>
      </c>
      <c r="Q69" t="s">
        <v>155</v>
      </c>
      <c r="R69" t="s">
        <v>302</v>
      </c>
      <c r="S69" t="s">
        <v>345</v>
      </c>
      <c r="T69">
        <v>1</v>
      </c>
      <c r="U69" t="s">
        <v>409</v>
      </c>
      <c r="V69" t="s">
        <v>343</v>
      </c>
      <c r="W69" t="s">
        <v>413</v>
      </c>
      <c r="X69" t="s">
        <v>306</v>
      </c>
      <c r="Y69" t="s">
        <v>307</v>
      </c>
      <c r="Z69">
        <v>65</v>
      </c>
      <c r="AA69">
        <v>70</v>
      </c>
      <c r="AB69" t="s">
        <v>143</v>
      </c>
      <c r="AC69" t="s">
        <v>149</v>
      </c>
      <c r="AD69" t="s">
        <v>404</v>
      </c>
      <c r="AE69" t="str">
        <f>IF(AF69="","",VLOOKUP(AC69,mapel!$A$2:$B$42,2,FALSE))</f>
        <v>B.Indo</v>
      </c>
      <c r="AF69">
        <f t="shared" si="3"/>
        <v>70</v>
      </c>
      <c r="AG69" t="str">
        <f>IF(AF69="","",IF(AF69&gt;90,"Sangat baik",IF(AF69&gt;79,"Baik",IF(AF69&gt;=pub_gid_0_single_true_output_csv[[#This Row],[KKM]],"Cukup","Kurang"))))</f>
        <v>Cukup</v>
      </c>
      <c r="AH69">
        <f t="shared" si="4"/>
        <v>11</v>
      </c>
      <c r="AI69" s="30" t="str">
        <f>IF(OR(J69&lt;&gt;"Karakter",pub_gid_0_single_true_output_csv[[#This Row],[Nilai2]]=""),"",IF(AF69&gt;89,"Sangat baik",IF(AF69&gt;79,"Baik",IF(AF69&gt;69,"Cukup",IF(AF69&gt;59,"Kurang","Sangat kurang")))))</f>
        <v>Cukup</v>
      </c>
      <c r="AJ69" t="str">
        <f t="shared" si="5"/>
        <v>Wk.6</v>
      </c>
      <c r="AK69" t="str">
        <f>IF(pub_gid_0_single_true_output_csv[[#This Row],[Nilai2]]="","",VLOOKUP(pub_gid_0_single_true_output_csv[[#This Row],[NAMA]],Table7[],3,FALSE))</f>
        <v>Average</v>
      </c>
    </row>
    <row r="70" spans="1:37" x14ac:dyDescent="0.2">
      <c r="A70">
        <v>69</v>
      </c>
      <c r="B70" t="s">
        <v>289</v>
      </c>
      <c r="C70" t="s">
        <v>54</v>
      </c>
      <c r="D70" t="s">
        <v>39</v>
      </c>
      <c r="E70" t="s">
        <v>140</v>
      </c>
      <c r="F70" s="25">
        <v>46055</v>
      </c>
      <c r="G70" t="s">
        <v>379</v>
      </c>
      <c r="H70" t="s">
        <v>412</v>
      </c>
      <c r="I70" t="s">
        <v>371</v>
      </c>
      <c r="J70" t="s">
        <v>279</v>
      </c>
      <c r="K70" t="s">
        <v>280</v>
      </c>
      <c r="L70" t="s">
        <v>322</v>
      </c>
      <c r="M70" t="s">
        <v>141</v>
      </c>
      <c r="N70" t="s">
        <v>142</v>
      </c>
      <c r="O70" t="s">
        <v>155</v>
      </c>
      <c r="P70" t="s">
        <v>281</v>
      </c>
      <c r="Q70" t="s">
        <v>155</v>
      </c>
      <c r="R70" t="s">
        <v>302</v>
      </c>
      <c r="S70" t="s">
        <v>345</v>
      </c>
      <c r="T70">
        <v>1</v>
      </c>
      <c r="U70" t="s">
        <v>409</v>
      </c>
      <c r="V70" t="s">
        <v>343</v>
      </c>
      <c r="W70" t="s">
        <v>413</v>
      </c>
      <c r="X70" t="s">
        <v>306</v>
      </c>
      <c r="Y70" t="s">
        <v>307</v>
      </c>
      <c r="Z70">
        <v>65</v>
      </c>
      <c r="AA70">
        <v>70</v>
      </c>
      <c r="AB70" t="s">
        <v>143</v>
      </c>
      <c r="AC70" t="s">
        <v>149</v>
      </c>
      <c r="AD70" t="s">
        <v>404</v>
      </c>
      <c r="AE70" t="str">
        <f>IF(AF70="","",VLOOKUP(AC70,mapel!$A$2:$B$42,2,FALSE))</f>
        <v>B.Indo</v>
      </c>
      <c r="AF70">
        <f t="shared" si="3"/>
        <v>70</v>
      </c>
      <c r="AG70" t="str">
        <f>IF(AF70="","",IF(AF70&gt;90,"Sangat baik",IF(AF70&gt;79,"Baik",IF(AF70&gt;=pub_gid_0_single_true_output_csv[[#This Row],[KKM]],"Cukup","Kurang"))))</f>
        <v>Cukup</v>
      </c>
      <c r="AH70">
        <f t="shared" si="4"/>
        <v>11</v>
      </c>
      <c r="AI70" s="30" t="str">
        <f>IF(OR(J70&lt;&gt;"Karakter",pub_gid_0_single_true_output_csv[[#This Row],[Nilai2]]=""),"",IF(AF70&gt;89,"Sangat baik",IF(AF70&gt;79,"Baik",IF(AF70&gt;69,"Cukup",IF(AF70&gt;59,"Kurang","Sangat kurang")))))</f>
        <v/>
      </c>
      <c r="AJ70" t="str">
        <f t="shared" si="5"/>
        <v>Wk.6</v>
      </c>
      <c r="AK70" t="str">
        <f>IF(pub_gid_0_single_true_output_csv[[#This Row],[Nilai2]]="","",VLOOKUP(pub_gid_0_single_true_output_csv[[#This Row],[NAMA]],Table7[],3,FALSE))</f>
        <v>Average</v>
      </c>
    </row>
    <row r="71" spans="1:37" x14ac:dyDescent="0.2">
      <c r="A71">
        <v>70</v>
      </c>
      <c r="B71" t="s">
        <v>289</v>
      </c>
      <c r="C71" t="s">
        <v>54</v>
      </c>
      <c r="D71" t="s">
        <v>39</v>
      </c>
      <c r="E71" t="s">
        <v>140</v>
      </c>
      <c r="F71" s="25">
        <v>46062</v>
      </c>
      <c r="G71" t="s">
        <v>376</v>
      </c>
      <c r="H71" t="s">
        <v>412</v>
      </c>
      <c r="I71" t="s">
        <v>371</v>
      </c>
      <c r="J71" t="s">
        <v>36</v>
      </c>
      <c r="K71" t="s">
        <v>37</v>
      </c>
      <c r="L71" t="s">
        <v>351</v>
      </c>
      <c r="M71" t="s">
        <v>141</v>
      </c>
      <c r="N71" t="s">
        <v>142</v>
      </c>
      <c r="O71" t="s">
        <v>155</v>
      </c>
      <c r="P71" t="s">
        <v>281</v>
      </c>
      <c r="Q71" t="s">
        <v>155</v>
      </c>
      <c r="R71" t="s">
        <v>302</v>
      </c>
      <c r="S71" t="s">
        <v>345</v>
      </c>
      <c r="T71">
        <v>1</v>
      </c>
      <c r="U71" t="s">
        <v>409</v>
      </c>
      <c r="V71" t="s">
        <v>343</v>
      </c>
      <c r="W71" t="s">
        <v>413</v>
      </c>
      <c r="X71" t="s">
        <v>306</v>
      </c>
      <c r="Y71" t="s">
        <v>307</v>
      </c>
      <c r="Z71">
        <v>65</v>
      </c>
      <c r="AA71">
        <v>71</v>
      </c>
      <c r="AB71" t="s">
        <v>143</v>
      </c>
      <c r="AC71" t="s">
        <v>149</v>
      </c>
      <c r="AD71" t="s">
        <v>404</v>
      </c>
      <c r="AE71" t="str">
        <f>IF(AF71="","",VLOOKUP(AC71,mapel!$A$2:$B$42,2,FALSE))</f>
        <v>B.Indo</v>
      </c>
      <c r="AF71">
        <f t="shared" si="3"/>
        <v>71</v>
      </c>
      <c r="AG71" t="str">
        <f>IF(AF71="","",IF(AF71&gt;90,"Sangat baik",IF(AF71&gt;79,"Baik",IF(AF71&gt;=pub_gid_0_single_true_output_csv[[#This Row],[KKM]],"Cukup","Kurang"))))</f>
        <v>Cukup</v>
      </c>
      <c r="AH71">
        <f t="shared" si="4"/>
        <v>11</v>
      </c>
      <c r="AI71" s="30" t="str">
        <f>IF(OR(J71&lt;&gt;"Karakter",pub_gid_0_single_true_output_csv[[#This Row],[Nilai2]]=""),"",IF(AF71&gt;89,"Sangat baik",IF(AF71&gt;79,"Baik",IF(AF71&gt;69,"Cukup",IF(AF71&gt;59,"Kurang","Sangat kurang")))))</f>
        <v/>
      </c>
      <c r="AJ71" t="str">
        <f t="shared" si="5"/>
        <v>Wk.7</v>
      </c>
      <c r="AK71" t="str">
        <f>IF(pub_gid_0_single_true_output_csv[[#This Row],[Nilai2]]="","",VLOOKUP(pub_gid_0_single_true_output_csv[[#This Row],[NAMA]],Table7[],3,FALSE))</f>
        <v>Average</v>
      </c>
    </row>
    <row r="72" spans="1:37" x14ac:dyDescent="0.2">
      <c r="A72">
        <v>71</v>
      </c>
      <c r="B72" t="s">
        <v>289</v>
      </c>
      <c r="C72" t="s">
        <v>54</v>
      </c>
      <c r="D72" t="s">
        <v>39</v>
      </c>
      <c r="E72" t="s">
        <v>140</v>
      </c>
      <c r="F72" s="25">
        <v>46062</v>
      </c>
      <c r="G72" t="s">
        <v>376</v>
      </c>
      <c r="H72" t="s">
        <v>412</v>
      </c>
      <c r="I72" t="s">
        <v>371</v>
      </c>
      <c r="J72" t="s">
        <v>31</v>
      </c>
      <c r="K72" t="s">
        <v>96</v>
      </c>
      <c r="L72" t="s">
        <v>351</v>
      </c>
      <c r="M72" t="s">
        <v>141</v>
      </c>
      <c r="N72" t="s">
        <v>142</v>
      </c>
      <c r="O72" t="s">
        <v>155</v>
      </c>
      <c r="P72" t="s">
        <v>281</v>
      </c>
      <c r="Q72" t="s">
        <v>155</v>
      </c>
      <c r="R72" t="s">
        <v>302</v>
      </c>
      <c r="S72" t="s">
        <v>345</v>
      </c>
      <c r="T72">
        <v>1</v>
      </c>
      <c r="U72" t="s">
        <v>409</v>
      </c>
      <c r="V72" t="s">
        <v>343</v>
      </c>
      <c r="W72" t="s">
        <v>413</v>
      </c>
      <c r="X72" t="s">
        <v>306</v>
      </c>
      <c r="Y72" t="s">
        <v>307</v>
      </c>
      <c r="Z72">
        <v>65</v>
      </c>
      <c r="AA72">
        <v>70</v>
      </c>
      <c r="AB72" t="s">
        <v>143</v>
      </c>
      <c r="AC72" t="s">
        <v>149</v>
      </c>
      <c r="AD72" t="s">
        <v>404</v>
      </c>
      <c r="AE72" t="str">
        <f>IF(AF72="","",VLOOKUP(AC72,mapel!$A$2:$B$42,2,FALSE))</f>
        <v>B.Indo</v>
      </c>
      <c r="AF72">
        <f t="shared" si="3"/>
        <v>70</v>
      </c>
      <c r="AG72" t="str">
        <f>IF(AF72="","",IF(AF72&gt;90,"Sangat baik",IF(AF72&gt;79,"Baik",IF(AF72&gt;=pub_gid_0_single_true_output_csv[[#This Row],[KKM]],"Cukup","Kurang"))))</f>
        <v>Cukup</v>
      </c>
      <c r="AH72">
        <f t="shared" si="4"/>
        <v>11</v>
      </c>
      <c r="AI72" s="30" t="str">
        <f>IF(OR(J72&lt;&gt;"Karakter",pub_gid_0_single_true_output_csv[[#This Row],[Nilai2]]=""),"",IF(AF72&gt;89,"Sangat baik",IF(AF72&gt;79,"Baik",IF(AF72&gt;69,"Cukup",IF(AF72&gt;59,"Kurang","Sangat kurang")))))</f>
        <v/>
      </c>
      <c r="AJ72" t="str">
        <f t="shared" si="5"/>
        <v>Wk.7</v>
      </c>
      <c r="AK72" t="str">
        <f>IF(pub_gid_0_single_true_output_csv[[#This Row],[Nilai2]]="","",VLOOKUP(pub_gid_0_single_true_output_csv[[#This Row],[NAMA]],Table7[],3,FALSE))</f>
        <v>Average</v>
      </c>
    </row>
    <row r="73" spans="1:37" x14ac:dyDescent="0.2">
      <c r="A73">
        <v>72</v>
      </c>
      <c r="B73" t="s">
        <v>289</v>
      </c>
      <c r="C73" t="s">
        <v>54</v>
      </c>
      <c r="D73" t="s">
        <v>39</v>
      </c>
      <c r="E73" t="s">
        <v>140</v>
      </c>
      <c r="F73" s="25">
        <v>46069</v>
      </c>
      <c r="G73" t="s">
        <v>382</v>
      </c>
      <c r="H73" t="s">
        <v>412</v>
      </c>
      <c r="I73" t="s">
        <v>371</v>
      </c>
      <c r="J73" t="s">
        <v>36</v>
      </c>
      <c r="K73" t="s">
        <v>37</v>
      </c>
      <c r="L73" t="s">
        <v>351</v>
      </c>
      <c r="M73" t="s">
        <v>141</v>
      </c>
      <c r="N73" t="s">
        <v>142</v>
      </c>
      <c r="O73" t="s">
        <v>155</v>
      </c>
      <c r="P73" t="s">
        <v>281</v>
      </c>
      <c r="Q73" t="s">
        <v>155</v>
      </c>
      <c r="R73" t="s">
        <v>302</v>
      </c>
      <c r="S73" t="s">
        <v>345</v>
      </c>
      <c r="T73">
        <v>1</v>
      </c>
      <c r="U73" t="s">
        <v>409</v>
      </c>
      <c r="V73" t="s">
        <v>343</v>
      </c>
      <c r="W73" t="s">
        <v>413</v>
      </c>
      <c r="X73" t="s">
        <v>306</v>
      </c>
      <c r="Y73" t="s">
        <v>307</v>
      </c>
      <c r="Z73">
        <v>65</v>
      </c>
      <c r="AA73">
        <v>69</v>
      </c>
      <c r="AB73" t="s">
        <v>143</v>
      </c>
      <c r="AC73" t="s">
        <v>149</v>
      </c>
      <c r="AD73" t="s">
        <v>404</v>
      </c>
      <c r="AE73" t="str">
        <f>IF(AF73="","",VLOOKUP(AC73,mapel!$A$2:$B$42,2,FALSE))</f>
        <v>B.Indo</v>
      </c>
      <c r="AF73">
        <f t="shared" si="3"/>
        <v>69</v>
      </c>
      <c r="AG73" t="str">
        <f>IF(AF73="","",IF(AF73&gt;90,"Sangat baik",IF(AF73&gt;79,"Baik",IF(AF73&gt;=pub_gid_0_single_true_output_csv[[#This Row],[KKM]],"Cukup","Kurang"))))</f>
        <v>Cukup</v>
      </c>
      <c r="AH73">
        <f t="shared" si="4"/>
        <v>11</v>
      </c>
      <c r="AI73" s="30" t="str">
        <f>IF(OR(J73&lt;&gt;"Karakter",pub_gid_0_single_true_output_csv[[#This Row],[Nilai2]]=""),"",IF(AF73&gt;89,"Sangat baik",IF(AF73&gt;79,"Baik",IF(AF73&gt;69,"Cukup",IF(AF73&gt;59,"Kurang","Sangat kurang")))))</f>
        <v/>
      </c>
      <c r="AJ73" t="str">
        <f t="shared" si="5"/>
        <v>Wk.8</v>
      </c>
      <c r="AK73" t="str">
        <f>IF(pub_gid_0_single_true_output_csv[[#This Row],[Nilai2]]="","",VLOOKUP(pub_gid_0_single_true_output_csv[[#This Row],[NAMA]],Table7[],3,FALSE))</f>
        <v>Average</v>
      </c>
    </row>
    <row r="74" spans="1:37" x14ac:dyDescent="0.2">
      <c r="A74">
        <v>73</v>
      </c>
      <c r="B74" t="s">
        <v>289</v>
      </c>
      <c r="C74" t="s">
        <v>54</v>
      </c>
      <c r="D74" t="s">
        <v>39</v>
      </c>
      <c r="E74" t="s">
        <v>140</v>
      </c>
      <c r="F74" s="25">
        <v>46069</v>
      </c>
      <c r="G74" t="s">
        <v>382</v>
      </c>
      <c r="H74" t="s">
        <v>412</v>
      </c>
      <c r="I74" t="s">
        <v>371</v>
      </c>
      <c r="J74" t="s">
        <v>31</v>
      </c>
      <c r="K74" t="s">
        <v>96</v>
      </c>
      <c r="L74" t="s">
        <v>351</v>
      </c>
      <c r="M74" t="s">
        <v>141</v>
      </c>
      <c r="N74" t="s">
        <v>142</v>
      </c>
      <c r="O74" t="s">
        <v>155</v>
      </c>
      <c r="P74" t="s">
        <v>281</v>
      </c>
      <c r="Q74" t="s">
        <v>155</v>
      </c>
      <c r="R74" t="s">
        <v>302</v>
      </c>
      <c r="S74" t="s">
        <v>345</v>
      </c>
      <c r="T74">
        <v>1</v>
      </c>
      <c r="U74" t="s">
        <v>409</v>
      </c>
      <c r="V74" t="s">
        <v>343</v>
      </c>
      <c r="W74" t="s">
        <v>413</v>
      </c>
      <c r="X74" t="s">
        <v>306</v>
      </c>
      <c r="Y74" t="s">
        <v>307</v>
      </c>
      <c r="Z74">
        <v>65</v>
      </c>
      <c r="AA74">
        <v>69</v>
      </c>
      <c r="AB74" t="s">
        <v>143</v>
      </c>
      <c r="AC74" t="s">
        <v>149</v>
      </c>
      <c r="AD74" t="s">
        <v>404</v>
      </c>
      <c r="AE74" t="str">
        <f>IF(AF74="","",VLOOKUP(AC74,mapel!$A$2:$B$42,2,FALSE))</f>
        <v>B.Indo</v>
      </c>
      <c r="AF74">
        <f t="shared" si="3"/>
        <v>69</v>
      </c>
      <c r="AG74" t="str">
        <f>IF(AF74="","",IF(AF74&gt;90,"Sangat baik",IF(AF74&gt;79,"Baik",IF(AF74&gt;=pub_gid_0_single_true_output_csv[[#This Row],[KKM]],"Cukup","Kurang"))))</f>
        <v>Cukup</v>
      </c>
      <c r="AH74">
        <f t="shared" si="4"/>
        <v>11</v>
      </c>
      <c r="AI74" s="30" t="str">
        <f>IF(OR(J74&lt;&gt;"Karakter",pub_gid_0_single_true_output_csv[[#This Row],[Nilai2]]=""),"",IF(AF74&gt;89,"Sangat baik",IF(AF74&gt;79,"Baik",IF(AF74&gt;69,"Cukup",IF(AF74&gt;59,"Kurang","Sangat kurang")))))</f>
        <v/>
      </c>
      <c r="AJ74" t="str">
        <f t="shared" si="5"/>
        <v>Wk.8</v>
      </c>
      <c r="AK74" t="str">
        <f>IF(pub_gid_0_single_true_output_csv[[#This Row],[Nilai2]]="","",VLOOKUP(pub_gid_0_single_true_output_csv[[#This Row],[NAMA]],Table7[],3,FALSE))</f>
        <v>Average</v>
      </c>
    </row>
    <row r="75" spans="1:37" x14ac:dyDescent="0.2">
      <c r="A75">
        <v>74</v>
      </c>
      <c r="B75" t="s">
        <v>289</v>
      </c>
      <c r="C75" t="s">
        <v>54</v>
      </c>
      <c r="D75" t="s">
        <v>39</v>
      </c>
      <c r="E75" t="s">
        <v>140</v>
      </c>
      <c r="F75" s="25">
        <v>46069</v>
      </c>
      <c r="G75" t="s">
        <v>382</v>
      </c>
      <c r="H75" t="s">
        <v>412</v>
      </c>
      <c r="I75" t="s">
        <v>371</v>
      </c>
      <c r="J75" t="s">
        <v>90</v>
      </c>
      <c r="K75" t="s">
        <v>92</v>
      </c>
      <c r="L75" t="s">
        <v>93</v>
      </c>
      <c r="M75" t="s">
        <v>141</v>
      </c>
      <c r="N75" t="s">
        <v>142</v>
      </c>
      <c r="O75" t="s">
        <v>155</v>
      </c>
      <c r="P75" t="s">
        <v>281</v>
      </c>
      <c r="Q75" t="s">
        <v>155</v>
      </c>
      <c r="R75" t="s">
        <v>302</v>
      </c>
      <c r="S75" t="s">
        <v>345</v>
      </c>
      <c r="T75">
        <v>1</v>
      </c>
      <c r="U75" t="s">
        <v>409</v>
      </c>
      <c r="V75" t="s">
        <v>343</v>
      </c>
      <c r="W75" t="s">
        <v>413</v>
      </c>
      <c r="X75" t="s">
        <v>306</v>
      </c>
      <c r="Y75" t="s">
        <v>307</v>
      </c>
      <c r="Z75">
        <v>65</v>
      </c>
      <c r="AA75">
        <v>80</v>
      </c>
      <c r="AB75" t="s">
        <v>143</v>
      </c>
      <c r="AC75" t="s">
        <v>149</v>
      </c>
      <c r="AD75" t="s">
        <v>404</v>
      </c>
      <c r="AE75" t="str">
        <f>IF(AF75="","",VLOOKUP(AC75,mapel!$A$2:$B$42,2,FALSE))</f>
        <v>B.Indo</v>
      </c>
      <c r="AF75">
        <f t="shared" si="3"/>
        <v>80</v>
      </c>
      <c r="AG75" t="str">
        <f>IF(AF75="","",IF(AF75&gt;90,"Sangat baik",IF(AF75&gt;79,"Baik",IF(AF75&gt;=pub_gid_0_single_true_output_csv[[#This Row],[KKM]],"Cukup","Kurang"))))</f>
        <v>Baik</v>
      </c>
      <c r="AH75">
        <f t="shared" si="4"/>
        <v>11</v>
      </c>
      <c r="AI75" s="30" t="str">
        <f>IF(OR(J75&lt;&gt;"Karakter",pub_gid_0_single_true_output_csv[[#This Row],[Nilai2]]=""),"",IF(AF75&gt;89,"Sangat baik",IF(AF75&gt;79,"Baik",IF(AF75&gt;69,"Cukup",IF(AF75&gt;59,"Kurang","Sangat kurang")))))</f>
        <v>Baik</v>
      </c>
      <c r="AJ75" t="str">
        <f t="shared" si="5"/>
        <v>Wk.8</v>
      </c>
      <c r="AK75" t="str">
        <f>IF(pub_gid_0_single_true_output_csv[[#This Row],[Nilai2]]="","",VLOOKUP(pub_gid_0_single_true_output_csv[[#This Row],[NAMA]],Table7[],3,FALSE))</f>
        <v>Average</v>
      </c>
    </row>
    <row r="76" spans="1:37" x14ac:dyDescent="0.2">
      <c r="A76">
        <v>75</v>
      </c>
      <c r="B76" t="s">
        <v>289</v>
      </c>
      <c r="C76" t="s">
        <v>54</v>
      </c>
      <c r="D76" t="s">
        <v>39</v>
      </c>
      <c r="E76" t="s">
        <v>140</v>
      </c>
      <c r="F76" s="25">
        <v>46069</v>
      </c>
      <c r="G76" t="s">
        <v>382</v>
      </c>
      <c r="H76" t="s">
        <v>412</v>
      </c>
      <c r="I76" t="s">
        <v>371</v>
      </c>
      <c r="J76" t="s">
        <v>279</v>
      </c>
      <c r="K76" t="s">
        <v>280</v>
      </c>
      <c r="L76" t="s">
        <v>322</v>
      </c>
      <c r="M76" t="s">
        <v>141</v>
      </c>
      <c r="N76" t="s">
        <v>142</v>
      </c>
      <c r="O76" t="s">
        <v>155</v>
      </c>
      <c r="P76" t="s">
        <v>281</v>
      </c>
      <c r="Q76" t="s">
        <v>155</v>
      </c>
      <c r="R76" t="s">
        <v>302</v>
      </c>
      <c r="S76" t="s">
        <v>345</v>
      </c>
      <c r="T76">
        <v>1</v>
      </c>
      <c r="U76" t="s">
        <v>409</v>
      </c>
      <c r="V76" t="s">
        <v>343</v>
      </c>
      <c r="W76" t="s">
        <v>413</v>
      </c>
      <c r="X76" t="s">
        <v>306</v>
      </c>
      <c r="Y76" t="s">
        <v>307</v>
      </c>
      <c r="Z76">
        <v>65</v>
      </c>
      <c r="AA76">
        <v>75</v>
      </c>
      <c r="AB76" t="s">
        <v>143</v>
      </c>
      <c r="AC76" t="s">
        <v>149</v>
      </c>
      <c r="AD76" t="s">
        <v>404</v>
      </c>
      <c r="AE76" t="str">
        <f>IF(AF76="","",VLOOKUP(AC76,mapel!$A$2:$B$42,2,FALSE))</f>
        <v>B.Indo</v>
      </c>
      <c r="AF76">
        <f t="shared" si="3"/>
        <v>75</v>
      </c>
      <c r="AG76" t="str">
        <f>IF(AF76="","",IF(AF76&gt;90,"Sangat baik",IF(AF76&gt;79,"Baik",IF(AF76&gt;=pub_gid_0_single_true_output_csv[[#This Row],[KKM]],"Cukup","Kurang"))))</f>
        <v>Cukup</v>
      </c>
      <c r="AH76">
        <f t="shared" si="4"/>
        <v>11</v>
      </c>
      <c r="AI76" s="30" t="str">
        <f>IF(OR(J76&lt;&gt;"Karakter",pub_gid_0_single_true_output_csv[[#This Row],[Nilai2]]=""),"",IF(AF76&gt;89,"Sangat baik",IF(AF76&gt;79,"Baik",IF(AF76&gt;69,"Cukup",IF(AF76&gt;59,"Kurang","Sangat kurang")))))</f>
        <v/>
      </c>
      <c r="AJ76" t="str">
        <f t="shared" si="5"/>
        <v>Wk.8</v>
      </c>
      <c r="AK76" t="str">
        <f>IF(pub_gid_0_single_true_output_csv[[#This Row],[Nilai2]]="","",VLOOKUP(pub_gid_0_single_true_output_csv[[#This Row],[NAMA]],Table7[],3,FALSE))</f>
        <v>Average</v>
      </c>
    </row>
    <row r="77" spans="1:37" x14ac:dyDescent="0.2">
      <c r="A77">
        <v>76</v>
      </c>
      <c r="B77" t="s">
        <v>290</v>
      </c>
      <c r="C77" t="s">
        <v>54</v>
      </c>
      <c r="D77" t="s">
        <v>42</v>
      </c>
      <c r="E77" t="s">
        <v>140</v>
      </c>
      <c r="F77" s="25">
        <v>46034</v>
      </c>
      <c r="G77" t="s">
        <v>354</v>
      </c>
      <c r="H77" t="s">
        <v>405</v>
      </c>
      <c r="I77" t="s">
        <v>371</v>
      </c>
      <c r="J77" t="s">
        <v>36</v>
      </c>
      <c r="K77" t="s">
        <v>362</v>
      </c>
      <c r="L77" t="s">
        <v>408</v>
      </c>
      <c r="M77" t="s">
        <v>141</v>
      </c>
      <c r="N77" t="s">
        <v>142</v>
      </c>
      <c r="O77" t="s">
        <v>155</v>
      </c>
      <c r="P77" t="s">
        <v>281</v>
      </c>
      <c r="Q77" t="s">
        <v>155</v>
      </c>
      <c r="R77" t="s">
        <v>273</v>
      </c>
      <c r="S77" t="s">
        <v>309</v>
      </c>
      <c r="T77">
        <v>1</v>
      </c>
      <c r="U77" t="s">
        <v>409</v>
      </c>
      <c r="V77" t="s">
        <v>285</v>
      </c>
      <c r="W77" t="s">
        <v>410</v>
      </c>
      <c r="X77" t="s">
        <v>306</v>
      </c>
      <c r="Y77" t="s">
        <v>307</v>
      </c>
      <c r="Z77">
        <v>65</v>
      </c>
      <c r="AA77">
        <v>18</v>
      </c>
      <c r="AB77" t="s">
        <v>151</v>
      </c>
      <c r="AC77" t="s">
        <v>149</v>
      </c>
      <c r="AD77" t="s">
        <v>404</v>
      </c>
      <c r="AE77" t="str">
        <f>IF(AF77="","",VLOOKUP(AC77,mapel!$A$2:$B$42,2,FALSE))</f>
        <v>B.Indo</v>
      </c>
      <c r="AF77">
        <f t="shared" si="3"/>
        <v>18</v>
      </c>
      <c r="AG77" t="str">
        <f>IF(AF77="","",IF(AF77&gt;90,"Sangat baik",IF(AF77&gt;79,"Baik",IF(AF77&gt;=pub_gid_0_single_true_output_csv[[#This Row],[KKM]],"Cukup","Kurang"))))</f>
        <v>Kurang</v>
      </c>
      <c r="AH77">
        <f t="shared" si="4"/>
        <v>11</v>
      </c>
      <c r="AI77" s="30" t="str">
        <f>IF(OR(J77&lt;&gt;"Karakter",pub_gid_0_single_true_output_csv[[#This Row],[Nilai2]]=""),"",IF(AF77&gt;89,"Sangat baik",IF(AF77&gt;79,"Baik",IF(AF77&gt;69,"Cukup",IF(AF77&gt;59,"Kurang","Sangat kurang")))))</f>
        <v/>
      </c>
      <c r="AJ77" t="str">
        <f t="shared" si="5"/>
        <v>Wk.3</v>
      </c>
      <c r="AK77" t="str">
        <f>IF(pub_gid_0_single_true_output_csv[[#This Row],[Nilai2]]="","",VLOOKUP(pub_gid_0_single_true_output_csv[[#This Row],[NAMA]],Table7[],3,FALSE))</f>
        <v>Superior</v>
      </c>
    </row>
    <row r="78" spans="1:37" x14ac:dyDescent="0.2">
      <c r="A78">
        <v>77</v>
      </c>
      <c r="B78" t="s">
        <v>290</v>
      </c>
      <c r="C78" t="s">
        <v>54</v>
      </c>
      <c r="D78" t="s">
        <v>42</v>
      </c>
      <c r="E78" t="s">
        <v>140</v>
      </c>
      <c r="F78" s="25">
        <v>46035</v>
      </c>
      <c r="G78" t="s">
        <v>358</v>
      </c>
      <c r="H78" t="s">
        <v>405</v>
      </c>
      <c r="I78" t="s">
        <v>371</v>
      </c>
      <c r="J78" t="s">
        <v>36</v>
      </c>
      <c r="K78" t="s">
        <v>37</v>
      </c>
      <c r="L78" t="s">
        <v>150</v>
      </c>
      <c r="M78" t="s">
        <v>141</v>
      </c>
      <c r="N78" t="s">
        <v>142</v>
      </c>
      <c r="O78" t="s">
        <v>155</v>
      </c>
      <c r="P78" t="s">
        <v>281</v>
      </c>
      <c r="Q78" t="s">
        <v>155</v>
      </c>
      <c r="R78" t="s">
        <v>273</v>
      </c>
      <c r="S78" t="s">
        <v>309</v>
      </c>
      <c r="T78">
        <v>1</v>
      </c>
      <c r="U78" t="s">
        <v>409</v>
      </c>
      <c r="V78" t="s">
        <v>285</v>
      </c>
      <c r="W78" t="s">
        <v>410</v>
      </c>
      <c r="X78" t="s">
        <v>306</v>
      </c>
      <c r="Y78" t="s">
        <v>307</v>
      </c>
      <c r="Z78">
        <v>65</v>
      </c>
      <c r="AA78">
        <v>50</v>
      </c>
      <c r="AB78" t="s">
        <v>151</v>
      </c>
      <c r="AC78" t="s">
        <v>149</v>
      </c>
      <c r="AD78" t="s">
        <v>404</v>
      </c>
      <c r="AE78" t="str">
        <f>IF(AF78="","",VLOOKUP(AC78,mapel!$A$2:$B$42,2,FALSE))</f>
        <v>B.Indo</v>
      </c>
      <c r="AF78">
        <f t="shared" si="3"/>
        <v>50</v>
      </c>
      <c r="AG78" t="str">
        <f>IF(AF78="","",IF(AF78&gt;90,"Sangat baik",IF(AF78&gt;79,"Baik",IF(AF78&gt;=pub_gid_0_single_true_output_csv[[#This Row],[KKM]],"Cukup","Kurang"))))</f>
        <v>Kurang</v>
      </c>
      <c r="AH78">
        <f t="shared" si="4"/>
        <v>11</v>
      </c>
      <c r="AI78" s="30" t="str">
        <f>IF(OR(J78&lt;&gt;"Karakter",pub_gid_0_single_true_output_csv[[#This Row],[Nilai2]]=""),"",IF(AF78&gt;89,"Sangat baik",IF(AF78&gt;79,"Baik",IF(AF78&gt;69,"Cukup",IF(AF78&gt;59,"Kurang","Sangat kurang")))))</f>
        <v/>
      </c>
      <c r="AJ78" t="str">
        <f t="shared" si="5"/>
        <v>Wk.3</v>
      </c>
      <c r="AK78" t="str">
        <f>IF(pub_gid_0_single_true_output_csv[[#This Row],[Nilai2]]="","",VLOOKUP(pub_gid_0_single_true_output_csv[[#This Row],[NAMA]],Table7[],3,FALSE))</f>
        <v>Superior</v>
      </c>
    </row>
    <row r="79" spans="1:37" x14ac:dyDescent="0.2">
      <c r="A79">
        <v>78</v>
      </c>
      <c r="B79" t="s">
        <v>290</v>
      </c>
      <c r="C79" t="s">
        <v>54</v>
      </c>
      <c r="D79" t="s">
        <v>42</v>
      </c>
      <c r="E79" t="s">
        <v>140</v>
      </c>
      <c r="F79" s="25">
        <v>46035</v>
      </c>
      <c r="G79" t="s">
        <v>358</v>
      </c>
      <c r="H79" t="s">
        <v>405</v>
      </c>
      <c r="I79" t="s">
        <v>371</v>
      </c>
      <c r="J79" t="s">
        <v>31</v>
      </c>
      <c r="K79" t="s">
        <v>32</v>
      </c>
      <c r="L79" t="s">
        <v>150</v>
      </c>
      <c r="M79" t="s">
        <v>141</v>
      </c>
      <c r="N79" t="s">
        <v>142</v>
      </c>
      <c r="O79" t="s">
        <v>155</v>
      </c>
      <c r="P79" t="s">
        <v>281</v>
      </c>
      <c r="Q79" t="s">
        <v>155</v>
      </c>
      <c r="R79" t="s">
        <v>273</v>
      </c>
      <c r="S79" t="s">
        <v>309</v>
      </c>
      <c r="T79">
        <v>1</v>
      </c>
      <c r="U79" t="s">
        <v>409</v>
      </c>
      <c r="V79" t="s">
        <v>285</v>
      </c>
      <c r="W79" t="s">
        <v>410</v>
      </c>
      <c r="X79" t="s">
        <v>306</v>
      </c>
      <c r="Y79" t="s">
        <v>307</v>
      </c>
      <c r="Z79">
        <v>65</v>
      </c>
      <c r="AA79">
        <v>60</v>
      </c>
      <c r="AB79" t="s">
        <v>151</v>
      </c>
      <c r="AC79" t="s">
        <v>149</v>
      </c>
      <c r="AD79" t="s">
        <v>404</v>
      </c>
      <c r="AE79" t="str">
        <f>IF(AF79="","",VLOOKUP(AC79,mapel!$A$2:$B$42,2,FALSE))</f>
        <v>B.Indo</v>
      </c>
      <c r="AF79">
        <f t="shared" si="3"/>
        <v>60</v>
      </c>
      <c r="AG79" t="str">
        <f>IF(AF79="","",IF(AF79&gt;90,"Sangat baik",IF(AF79&gt;79,"Baik",IF(AF79&gt;=pub_gid_0_single_true_output_csv[[#This Row],[KKM]],"Cukup","Kurang"))))</f>
        <v>Kurang</v>
      </c>
      <c r="AH79">
        <f t="shared" si="4"/>
        <v>11</v>
      </c>
      <c r="AI79" s="30" t="str">
        <f>IF(OR(J79&lt;&gt;"Karakter",pub_gid_0_single_true_output_csv[[#This Row],[Nilai2]]=""),"",IF(AF79&gt;89,"Sangat baik",IF(AF79&gt;79,"Baik",IF(AF79&gt;69,"Cukup",IF(AF79&gt;59,"Kurang","Sangat kurang")))))</f>
        <v/>
      </c>
      <c r="AJ79" t="str">
        <f t="shared" si="5"/>
        <v>Wk.3</v>
      </c>
      <c r="AK79" t="str">
        <f>IF(pub_gid_0_single_true_output_csv[[#This Row],[Nilai2]]="","",VLOOKUP(pub_gid_0_single_true_output_csv[[#This Row],[NAMA]],Table7[],3,FALSE))</f>
        <v>Superior</v>
      </c>
    </row>
    <row r="80" spans="1:37" x14ac:dyDescent="0.2">
      <c r="A80">
        <v>79</v>
      </c>
      <c r="B80" t="s">
        <v>290</v>
      </c>
      <c r="C80" t="s">
        <v>54</v>
      </c>
      <c r="D80" t="s">
        <v>42</v>
      </c>
      <c r="E80" t="s">
        <v>140</v>
      </c>
      <c r="F80" s="25">
        <v>46035</v>
      </c>
      <c r="G80" t="s">
        <v>358</v>
      </c>
      <c r="H80" t="s">
        <v>405</v>
      </c>
      <c r="I80" t="s">
        <v>371</v>
      </c>
      <c r="J80" t="s">
        <v>90</v>
      </c>
      <c r="K80" t="s">
        <v>92</v>
      </c>
      <c r="L80" t="s">
        <v>93</v>
      </c>
      <c r="M80" t="s">
        <v>141</v>
      </c>
      <c r="N80" t="s">
        <v>142</v>
      </c>
      <c r="O80" t="s">
        <v>155</v>
      </c>
      <c r="P80" t="s">
        <v>281</v>
      </c>
      <c r="Q80" t="s">
        <v>155</v>
      </c>
      <c r="R80" t="s">
        <v>273</v>
      </c>
      <c r="S80" t="s">
        <v>309</v>
      </c>
      <c r="T80">
        <v>1</v>
      </c>
      <c r="U80" t="s">
        <v>409</v>
      </c>
      <c r="V80" t="s">
        <v>285</v>
      </c>
      <c r="W80" t="s">
        <v>410</v>
      </c>
      <c r="X80" t="s">
        <v>306</v>
      </c>
      <c r="Y80" t="s">
        <v>307</v>
      </c>
      <c r="Z80">
        <v>65</v>
      </c>
      <c r="AA80">
        <v>70</v>
      </c>
      <c r="AB80" t="s">
        <v>143</v>
      </c>
      <c r="AC80" t="s">
        <v>149</v>
      </c>
      <c r="AD80" t="s">
        <v>404</v>
      </c>
      <c r="AE80" t="str">
        <f>IF(AF80="","",VLOOKUP(AC80,mapel!$A$2:$B$42,2,FALSE))</f>
        <v>B.Indo</v>
      </c>
      <c r="AF80">
        <f t="shared" si="3"/>
        <v>70</v>
      </c>
      <c r="AG80" t="str">
        <f>IF(AF80="","",IF(AF80&gt;90,"Sangat baik",IF(AF80&gt;79,"Baik",IF(AF80&gt;=pub_gid_0_single_true_output_csv[[#This Row],[KKM]],"Cukup","Kurang"))))</f>
        <v>Cukup</v>
      </c>
      <c r="AH80">
        <f t="shared" si="4"/>
        <v>11</v>
      </c>
      <c r="AI80" s="30" t="str">
        <f>IF(OR(J80&lt;&gt;"Karakter",pub_gid_0_single_true_output_csv[[#This Row],[Nilai2]]=""),"",IF(AF80&gt;89,"Sangat baik",IF(AF80&gt;79,"Baik",IF(AF80&gt;69,"Cukup",IF(AF80&gt;59,"Kurang","Sangat kurang")))))</f>
        <v>Cukup</v>
      </c>
      <c r="AJ80" t="str">
        <f t="shared" si="5"/>
        <v>Wk.3</v>
      </c>
      <c r="AK80" t="str">
        <f>IF(pub_gid_0_single_true_output_csv[[#This Row],[Nilai2]]="","",VLOOKUP(pub_gid_0_single_true_output_csv[[#This Row],[NAMA]],Table7[],3,FALSE))</f>
        <v>Superior</v>
      </c>
    </row>
    <row r="81" spans="1:37" x14ac:dyDescent="0.2">
      <c r="A81">
        <v>80</v>
      </c>
      <c r="B81" t="s">
        <v>290</v>
      </c>
      <c r="C81" t="s">
        <v>54</v>
      </c>
      <c r="D81" t="s">
        <v>42</v>
      </c>
      <c r="E81" t="s">
        <v>140</v>
      </c>
      <c r="F81" s="25">
        <v>46035</v>
      </c>
      <c r="G81" t="s">
        <v>358</v>
      </c>
      <c r="H81" t="s">
        <v>405</v>
      </c>
      <c r="I81" t="s">
        <v>371</v>
      </c>
      <c r="J81" t="s">
        <v>279</v>
      </c>
      <c r="K81" t="s">
        <v>280</v>
      </c>
      <c r="L81" t="s">
        <v>150</v>
      </c>
      <c r="M81" t="s">
        <v>141</v>
      </c>
      <c r="N81" t="s">
        <v>142</v>
      </c>
      <c r="O81" t="s">
        <v>155</v>
      </c>
      <c r="P81" t="s">
        <v>281</v>
      </c>
      <c r="Q81" t="s">
        <v>155</v>
      </c>
      <c r="R81" t="s">
        <v>273</v>
      </c>
      <c r="S81" t="s">
        <v>309</v>
      </c>
      <c r="T81">
        <v>1</v>
      </c>
      <c r="U81" t="s">
        <v>409</v>
      </c>
      <c r="V81" t="s">
        <v>285</v>
      </c>
      <c r="W81" t="s">
        <v>410</v>
      </c>
      <c r="X81" t="s">
        <v>306</v>
      </c>
      <c r="Y81" t="s">
        <v>307</v>
      </c>
      <c r="Z81">
        <v>65</v>
      </c>
      <c r="AA81">
        <v>70</v>
      </c>
      <c r="AB81" t="s">
        <v>143</v>
      </c>
      <c r="AC81" t="s">
        <v>149</v>
      </c>
      <c r="AD81" t="s">
        <v>404</v>
      </c>
      <c r="AE81" t="str">
        <f>IF(AF81="","",VLOOKUP(AC81,mapel!$A$2:$B$42,2,FALSE))</f>
        <v>B.Indo</v>
      </c>
      <c r="AF81">
        <f t="shared" si="3"/>
        <v>70</v>
      </c>
      <c r="AG81" t="str">
        <f>IF(AF81="","",IF(AF81&gt;90,"Sangat baik",IF(AF81&gt;79,"Baik",IF(AF81&gt;=pub_gid_0_single_true_output_csv[[#This Row],[KKM]],"Cukup","Kurang"))))</f>
        <v>Cukup</v>
      </c>
      <c r="AH81">
        <f t="shared" si="4"/>
        <v>11</v>
      </c>
      <c r="AI81" s="30" t="str">
        <f>IF(OR(J81&lt;&gt;"Karakter",pub_gid_0_single_true_output_csv[[#This Row],[Nilai2]]=""),"",IF(AF81&gt;89,"Sangat baik",IF(AF81&gt;79,"Baik",IF(AF81&gt;69,"Cukup",IF(AF81&gt;59,"Kurang","Sangat kurang")))))</f>
        <v/>
      </c>
      <c r="AJ81" t="str">
        <f t="shared" si="5"/>
        <v>Wk.3</v>
      </c>
      <c r="AK81" t="str">
        <f>IF(pub_gid_0_single_true_output_csv[[#This Row],[Nilai2]]="","",VLOOKUP(pub_gid_0_single_true_output_csv[[#This Row],[NAMA]],Table7[],3,FALSE))</f>
        <v>Superior</v>
      </c>
    </row>
    <row r="82" spans="1:37" x14ac:dyDescent="0.2">
      <c r="A82">
        <v>81</v>
      </c>
      <c r="B82" t="s">
        <v>290</v>
      </c>
      <c r="C82" t="s">
        <v>54</v>
      </c>
      <c r="D82" t="s">
        <v>42</v>
      </c>
      <c r="E82" t="s">
        <v>140</v>
      </c>
      <c r="F82" s="25">
        <v>46041</v>
      </c>
      <c r="G82" t="s">
        <v>370</v>
      </c>
      <c r="H82" t="s">
        <v>405</v>
      </c>
      <c r="I82" t="s">
        <v>371</v>
      </c>
      <c r="J82" t="s">
        <v>36</v>
      </c>
      <c r="K82" t="s">
        <v>37</v>
      </c>
      <c r="L82" t="s">
        <v>321</v>
      </c>
      <c r="M82" t="s">
        <v>141</v>
      </c>
      <c r="N82" t="s">
        <v>142</v>
      </c>
      <c r="O82" t="s">
        <v>155</v>
      </c>
      <c r="P82" t="s">
        <v>281</v>
      </c>
      <c r="Q82" t="s">
        <v>155</v>
      </c>
      <c r="R82" t="s">
        <v>273</v>
      </c>
      <c r="S82" t="s">
        <v>309</v>
      </c>
      <c r="T82">
        <v>1</v>
      </c>
      <c r="U82" t="s">
        <v>409</v>
      </c>
      <c r="V82" t="s">
        <v>285</v>
      </c>
      <c r="W82" t="s">
        <v>410</v>
      </c>
      <c r="X82" t="s">
        <v>306</v>
      </c>
      <c r="Y82" t="s">
        <v>307</v>
      </c>
      <c r="Z82">
        <v>65</v>
      </c>
      <c r="AA82">
        <v>65</v>
      </c>
      <c r="AB82" t="s">
        <v>143</v>
      </c>
      <c r="AC82" t="s">
        <v>149</v>
      </c>
      <c r="AD82" t="s">
        <v>404</v>
      </c>
      <c r="AE82" t="str">
        <f>IF(AF82="","",VLOOKUP(AC82,mapel!$A$2:$B$42,2,FALSE))</f>
        <v>B.Indo</v>
      </c>
      <c r="AF82">
        <f t="shared" si="3"/>
        <v>65</v>
      </c>
      <c r="AG82" t="str">
        <f>IF(AF82="","",IF(AF82&gt;90,"Sangat baik",IF(AF82&gt;79,"Baik",IF(AF82&gt;=pub_gid_0_single_true_output_csv[[#This Row],[KKM]],"Cukup","Kurang"))))</f>
        <v>Cukup</v>
      </c>
      <c r="AH82">
        <f t="shared" si="4"/>
        <v>11</v>
      </c>
      <c r="AI82" s="30" t="str">
        <f>IF(OR(J82&lt;&gt;"Karakter",pub_gid_0_single_true_output_csv[[#This Row],[Nilai2]]=""),"",IF(AF82&gt;89,"Sangat baik",IF(AF82&gt;79,"Baik",IF(AF82&gt;69,"Cukup",IF(AF82&gt;59,"Kurang","Sangat kurang")))))</f>
        <v/>
      </c>
      <c r="AJ82" t="str">
        <f t="shared" si="5"/>
        <v>Wk.4</v>
      </c>
      <c r="AK82" t="str">
        <f>IF(pub_gid_0_single_true_output_csv[[#This Row],[Nilai2]]="","",VLOOKUP(pub_gid_0_single_true_output_csv[[#This Row],[NAMA]],Table7[],3,FALSE))</f>
        <v>Superior</v>
      </c>
    </row>
    <row r="83" spans="1:37" x14ac:dyDescent="0.2">
      <c r="A83">
        <v>82</v>
      </c>
      <c r="B83" t="s">
        <v>290</v>
      </c>
      <c r="C83" t="s">
        <v>54</v>
      </c>
      <c r="D83" t="s">
        <v>42</v>
      </c>
      <c r="E83" t="s">
        <v>140</v>
      </c>
      <c r="F83" s="25">
        <v>46041</v>
      </c>
      <c r="G83" t="s">
        <v>370</v>
      </c>
      <c r="H83" t="s">
        <v>405</v>
      </c>
      <c r="I83" t="s">
        <v>371</v>
      </c>
      <c r="J83" t="s">
        <v>31</v>
      </c>
      <c r="K83" t="s">
        <v>96</v>
      </c>
      <c r="L83" t="s">
        <v>321</v>
      </c>
      <c r="M83" t="s">
        <v>141</v>
      </c>
      <c r="N83" t="s">
        <v>142</v>
      </c>
      <c r="O83" t="s">
        <v>155</v>
      </c>
      <c r="P83" t="s">
        <v>281</v>
      </c>
      <c r="Q83" t="s">
        <v>155</v>
      </c>
      <c r="R83" t="s">
        <v>302</v>
      </c>
      <c r="S83" t="s">
        <v>309</v>
      </c>
      <c r="T83">
        <v>1</v>
      </c>
      <c r="U83" t="s">
        <v>409</v>
      </c>
      <c r="V83" t="s">
        <v>285</v>
      </c>
      <c r="W83" t="s">
        <v>410</v>
      </c>
      <c r="X83" t="s">
        <v>306</v>
      </c>
      <c r="Y83" t="s">
        <v>307</v>
      </c>
      <c r="Z83">
        <v>65</v>
      </c>
      <c r="AA83">
        <v>65</v>
      </c>
      <c r="AB83" t="s">
        <v>143</v>
      </c>
      <c r="AC83" t="s">
        <v>149</v>
      </c>
      <c r="AD83" t="s">
        <v>404</v>
      </c>
      <c r="AE83" t="str">
        <f>IF(AF83="","",VLOOKUP(AC83,mapel!$A$2:$B$42,2,FALSE))</f>
        <v>B.Indo</v>
      </c>
      <c r="AF83">
        <f t="shared" si="3"/>
        <v>65</v>
      </c>
      <c r="AG83" t="str">
        <f>IF(AF83="","",IF(AF83&gt;90,"Sangat baik",IF(AF83&gt;79,"Baik",IF(AF83&gt;=pub_gid_0_single_true_output_csv[[#This Row],[KKM]],"Cukup","Kurang"))))</f>
        <v>Cukup</v>
      </c>
      <c r="AH83">
        <f t="shared" si="4"/>
        <v>11</v>
      </c>
      <c r="AI83" s="30" t="str">
        <f>IF(OR(J83&lt;&gt;"Karakter",pub_gid_0_single_true_output_csv[[#This Row],[Nilai2]]=""),"",IF(AF83&gt;89,"Sangat baik",IF(AF83&gt;79,"Baik",IF(AF83&gt;69,"Cukup",IF(AF83&gt;59,"Kurang","Sangat kurang")))))</f>
        <v/>
      </c>
      <c r="AJ83" t="str">
        <f t="shared" si="5"/>
        <v>Wk.4</v>
      </c>
      <c r="AK83" t="str">
        <f>IF(pub_gid_0_single_true_output_csv[[#This Row],[Nilai2]]="","",VLOOKUP(pub_gid_0_single_true_output_csv[[#This Row],[NAMA]],Table7[],3,FALSE))</f>
        <v>Superior</v>
      </c>
    </row>
    <row r="84" spans="1:37" x14ac:dyDescent="0.2">
      <c r="A84">
        <v>83</v>
      </c>
      <c r="B84" t="s">
        <v>290</v>
      </c>
      <c r="C84" t="s">
        <v>54</v>
      </c>
      <c r="D84" t="s">
        <v>42</v>
      </c>
      <c r="E84" t="s">
        <v>140</v>
      </c>
      <c r="F84" s="25">
        <v>46041</v>
      </c>
      <c r="G84" t="s">
        <v>370</v>
      </c>
      <c r="H84" t="s">
        <v>405</v>
      </c>
      <c r="I84" t="s">
        <v>371</v>
      </c>
      <c r="J84" t="s">
        <v>90</v>
      </c>
      <c r="K84" t="s">
        <v>92</v>
      </c>
      <c r="L84" t="s">
        <v>91</v>
      </c>
      <c r="M84" t="s">
        <v>141</v>
      </c>
      <c r="N84" t="s">
        <v>142</v>
      </c>
      <c r="O84" t="s">
        <v>155</v>
      </c>
      <c r="P84" t="s">
        <v>281</v>
      </c>
      <c r="Q84" t="s">
        <v>155</v>
      </c>
      <c r="R84" t="s">
        <v>302</v>
      </c>
      <c r="S84" t="s">
        <v>309</v>
      </c>
      <c r="T84">
        <v>1</v>
      </c>
      <c r="U84" t="s">
        <v>409</v>
      </c>
      <c r="V84" t="s">
        <v>285</v>
      </c>
      <c r="W84" t="s">
        <v>410</v>
      </c>
      <c r="X84" t="s">
        <v>306</v>
      </c>
      <c r="Y84" t="s">
        <v>307</v>
      </c>
      <c r="Z84">
        <v>65</v>
      </c>
      <c r="AA84">
        <v>70</v>
      </c>
      <c r="AB84" t="s">
        <v>143</v>
      </c>
      <c r="AC84" t="s">
        <v>149</v>
      </c>
      <c r="AD84" t="s">
        <v>404</v>
      </c>
      <c r="AE84" t="str">
        <f>IF(AF84="","",VLOOKUP(AC84,mapel!$A$2:$B$42,2,FALSE))</f>
        <v>B.Indo</v>
      </c>
      <c r="AF84">
        <f t="shared" si="3"/>
        <v>70</v>
      </c>
      <c r="AG84" t="str">
        <f>IF(AF84="","",IF(AF84&gt;90,"Sangat baik",IF(AF84&gt;79,"Baik",IF(AF84&gt;=pub_gid_0_single_true_output_csv[[#This Row],[KKM]],"Cukup","Kurang"))))</f>
        <v>Cukup</v>
      </c>
      <c r="AH84">
        <f t="shared" si="4"/>
        <v>11</v>
      </c>
      <c r="AI84" s="30" t="str">
        <f>IF(OR(J84&lt;&gt;"Karakter",pub_gid_0_single_true_output_csv[[#This Row],[Nilai2]]=""),"",IF(AF84&gt;89,"Sangat baik",IF(AF84&gt;79,"Baik",IF(AF84&gt;69,"Cukup",IF(AF84&gt;59,"Kurang","Sangat kurang")))))</f>
        <v>Cukup</v>
      </c>
      <c r="AJ84" t="str">
        <f t="shared" si="5"/>
        <v>Wk.4</v>
      </c>
      <c r="AK84" t="str">
        <f>IF(pub_gid_0_single_true_output_csv[[#This Row],[Nilai2]]="","",VLOOKUP(pub_gid_0_single_true_output_csv[[#This Row],[NAMA]],Table7[],3,FALSE))</f>
        <v>Superior</v>
      </c>
    </row>
    <row r="85" spans="1:37" x14ac:dyDescent="0.2">
      <c r="A85">
        <v>84</v>
      </c>
      <c r="B85" t="s">
        <v>290</v>
      </c>
      <c r="C85" t="s">
        <v>54</v>
      </c>
      <c r="D85" t="s">
        <v>42</v>
      </c>
      <c r="E85" t="s">
        <v>140</v>
      </c>
      <c r="F85" s="25">
        <v>46041</v>
      </c>
      <c r="G85" t="s">
        <v>370</v>
      </c>
      <c r="H85" t="s">
        <v>405</v>
      </c>
      <c r="I85" t="s">
        <v>371</v>
      </c>
      <c r="J85" t="s">
        <v>279</v>
      </c>
      <c r="K85" t="s">
        <v>280</v>
      </c>
      <c r="L85" t="s">
        <v>322</v>
      </c>
      <c r="M85" t="s">
        <v>141</v>
      </c>
      <c r="N85" t="s">
        <v>142</v>
      </c>
      <c r="O85" t="s">
        <v>155</v>
      </c>
      <c r="P85" t="s">
        <v>281</v>
      </c>
      <c r="Q85" t="s">
        <v>155</v>
      </c>
      <c r="R85" t="s">
        <v>302</v>
      </c>
      <c r="S85" t="s">
        <v>309</v>
      </c>
      <c r="T85">
        <v>1</v>
      </c>
      <c r="U85" t="s">
        <v>409</v>
      </c>
      <c r="V85" t="s">
        <v>285</v>
      </c>
      <c r="W85" t="s">
        <v>410</v>
      </c>
      <c r="X85" t="s">
        <v>306</v>
      </c>
      <c r="Y85" t="s">
        <v>307</v>
      </c>
      <c r="Z85">
        <v>65</v>
      </c>
      <c r="AA85">
        <v>70</v>
      </c>
      <c r="AB85" t="s">
        <v>143</v>
      </c>
      <c r="AC85" t="s">
        <v>149</v>
      </c>
      <c r="AD85" t="s">
        <v>404</v>
      </c>
      <c r="AE85" t="str">
        <f>IF(AF85="","",VLOOKUP(AC85,mapel!$A$2:$B$42,2,FALSE))</f>
        <v>B.Indo</v>
      </c>
      <c r="AF85">
        <f t="shared" si="3"/>
        <v>70</v>
      </c>
      <c r="AG85" t="str">
        <f>IF(AF85="","",IF(AF85&gt;90,"Sangat baik",IF(AF85&gt;79,"Baik",IF(AF85&gt;=pub_gid_0_single_true_output_csv[[#This Row],[KKM]],"Cukup","Kurang"))))</f>
        <v>Cukup</v>
      </c>
      <c r="AH85">
        <f t="shared" si="4"/>
        <v>11</v>
      </c>
      <c r="AI85" s="30" t="str">
        <f>IF(OR(J85&lt;&gt;"Karakter",pub_gid_0_single_true_output_csv[[#This Row],[Nilai2]]=""),"",IF(AF85&gt;89,"Sangat baik",IF(AF85&gt;79,"Baik",IF(AF85&gt;69,"Cukup",IF(AF85&gt;59,"Kurang","Sangat kurang")))))</f>
        <v/>
      </c>
      <c r="AJ85" t="str">
        <f t="shared" si="5"/>
        <v>Wk.4</v>
      </c>
      <c r="AK85" t="str">
        <f>IF(pub_gid_0_single_true_output_csv[[#This Row],[Nilai2]]="","",VLOOKUP(pub_gid_0_single_true_output_csv[[#This Row],[NAMA]],Table7[],3,FALSE))</f>
        <v>Superior</v>
      </c>
    </row>
    <row r="86" spans="1:37" x14ac:dyDescent="0.2">
      <c r="A86">
        <v>85</v>
      </c>
      <c r="B86" t="s">
        <v>290</v>
      </c>
      <c r="C86" t="s">
        <v>54</v>
      </c>
      <c r="D86" t="s">
        <v>42</v>
      </c>
      <c r="E86" t="s">
        <v>140</v>
      </c>
      <c r="F86" s="25">
        <v>46048</v>
      </c>
      <c r="G86" t="s">
        <v>371</v>
      </c>
      <c r="H86" t="s">
        <v>405</v>
      </c>
      <c r="I86" t="s">
        <v>371</v>
      </c>
      <c r="J86" t="s">
        <v>36</v>
      </c>
      <c r="K86" t="s">
        <v>37</v>
      </c>
      <c r="L86" t="s">
        <v>351</v>
      </c>
      <c r="M86" t="s">
        <v>141</v>
      </c>
      <c r="N86" t="s">
        <v>142</v>
      </c>
      <c r="O86" t="s">
        <v>155</v>
      </c>
      <c r="P86" t="s">
        <v>281</v>
      </c>
      <c r="Q86" t="s">
        <v>155</v>
      </c>
      <c r="R86" t="s">
        <v>302</v>
      </c>
      <c r="S86" t="s">
        <v>369</v>
      </c>
      <c r="T86">
        <v>1</v>
      </c>
      <c r="U86" t="s">
        <v>409</v>
      </c>
      <c r="V86" t="s">
        <v>342</v>
      </c>
      <c r="W86" t="s">
        <v>411</v>
      </c>
      <c r="X86" t="s">
        <v>306</v>
      </c>
      <c r="Y86" t="s">
        <v>307</v>
      </c>
      <c r="Z86">
        <v>65</v>
      </c>
      <c r="AA86">
        <v>80</v>
      </c>
      <c r="AB86" t="s">
        <v>143</v>
      </c>
      <c r="AC86" t="s">
        <v>149</v>
      </c>
      <c r="AD86" t="s">
        <v>404</v>
      </c>
      <c r="AE86" t="str">
        <f>IF(AF86="","",VLOOKUP(AC86,mapel!$A$2:$B$42,2,FALSE))</f>
        <v>B.Indo</v>
      </c>
      <c r="AF86">
        <f t="shared" si="3"/>
        <v>80</v>
      </c>
      <c r="AG86" t="str">
        <f>IF(AF86="","",IF(AF86&gt;90,"Sangat baik",IF(AF86&gt;79,"Baik",IF(AF86&gt;=pub_gid_0_single_true_output_csv[[#This Row],[KKM]],"Cukup","Kurang"))))</f>
        <v>Baik</v>
      </c>
      <c r="AH86">
        <f t="shared" si="4"/>
        <v>11</v>
      </c>
      <c r="AI86" s="30" t="str">
        <f>IF(OR(J86&lt;&gt;"Karakter",pub_gid_0_single_true_output_csv[[#This Row],[Nilai2]]=""),"",IF(AF86&gt;89,"Sangat baik",IF(AF86&gt;79,"Baik",IF(AF86&gt;69,"Cukup",IF(AF86&gt;59,"Kurang","Sangat kurang")))))</f>
        <v/>
      </c>
      <c r="AJ86" t="str">
        <f t="shared" si="5"/>
        <v>Wk.5</v>
      </c>
      <c r="AK86" t="str">
        <f>IF(pub_gid_0_single_true_output_csv[[#This Row],[Nilai2]]="","",VLOOKUP(pub_gid_0_single_true_output_csv[[#This Row],[NAMA]],Table7[],3,FALSE))</f>
        <v>Superior</v>
      </c>
    </row>
    <row r="87" spans="1:37" x14ac:dyDescent="0.2">
      <c r="A87">
        <v>86</v>
      </c>
      <c r="B87" t="s">
        <v>290</v>
      </c>
      <c r="C87" t="s">
        <v>54</v>
      </c>
      <c r="D87" t="s">
        <v>42</v>
      </c>
      <c r="E87" t="s">
        <v>140</v>
      </c>
      <c r="F87" s="25">
        <v>46048</v>
      </c>
      <c r="G87" t="s">
        <v>371</v>
      </c>
      <c r="H87" t="s">
        <v>405</v>
      </c>
      <c r="I87" t="s">
        <v>371</v>
      </c>
      <c r="J87" t="s">
        <v>31</v>
      </c>
      <c r="K87" t="s">
        <v>96</v>
      </c>
      <c r="L87" t="s">
        <v>351</v>
      </c>
      <c r="M87" t="s">
        <v>141</v>
      </c>
      <c r="N87" t="s">
        <v>142</v>
      </c>
      <c r="O87" t="s">
        <v>155</v>
      </c>
      <c r="P87" t="s">
        <v>281</v>
      </c>
      <c r="Q87" t="s">
        <v>155</v>
      </c>
      <c r="R87" t="s">
        <v>302</v>
      </c>
      <c r="S87" t="s">
        <v>369</v>
      </c>
      <c r="T87">
        <v>1</v>
      </c>
      <c r="U87" t="s">
        <v>409</v>
      </c>
      <c r="V87" t="s">
        <v>342</v>
      </c>
      <c r="W87" t="s">
        <v>411</v>
      </c>
      <c r="X87" t="s">
        <v>306</v>
      </c>
      <c r="Y87" t="s">
        <v>307</v>
      </c>
      <c r="Z87">
        <v>65</v>
      </c>
      <c r="AA87">
        <v>65</v>
      </c>
      <c r="AB87" t="s">
        <v>143</v>
      </c>
      <c r="AC87" t="s">
        <v>149</v>
      </c>
      <c r="AD87" t="s">
        <v>404</v>
      </c>
      <c r="AE87" t="str">
        <f>IF(AF87="","",VLOOKUP(AC87,mapel!$A$2:$B$42,2,FALSE))</f>
        <v>B.Indo</v>
      </c>
      <c r="AF87">
        <f t="shared" si="3"/>
        <v>65</v>
      </c>
      <c r="AG87" t="str">
        <f>IF(AF87="","",IF(AF87&gt;90,"Sangat baik",IF(AF87&gt;79,"Baik",IF(AF87&gt;=pub_gid_0_single_true_output_csv[[#This Row],[KKM]],"Cukup","Kurang"))))</f>
        <v>Cukup</v>
      </c>
      <c r="AH87">
        <f t="shared" si="4"/>
        <v>11</v>
      </c>
      <c r="AI87" s="30" t="str">
        <f>IF(OR(J87&lt;&gt;"Karakter",pub_gid_0_single_true_output_csv[[#This Row],[Nilai2]]=""),"",IF(AF87&gt;89,"Sangat baik",IF(AF87&gt;79,"Baik",IF(AF87&gt;69,"Cukup",IF(AF87&gt;59,"Kurang","Sangat kurang")))))</f>
        <v/>
      </c>
      <c r="AJ87" t="str">
        <f t="shared" si="5"/>
        <v>Wk.5</v>
      </c>
      <c r="AK87" t="str">
        <f>IF(pub_gid_0_single_true_output_csv[[#This Row],[Nilai2]]="","",VLOOKUP(pub_gid_0_single_true_output_csv[[#This Row],[NAMA]],Table7[],3,FALSE))</f>
        <v>Superior</v>
      </c>
    </row>
    <row r="88" spans="1:37" x14ac:dyDescent="0.2">
      <c r="A88">
        <v>87</v>
      </c>
      <c r="B88" t="s">
        <v>290</v>
      </c>
      <c r="C88" t="s">
        <v>54</v>
      </c>
      <c r="D88" t="s">
        <v>42</v>
      </c>
      <c r="E88" t="s">
        <v>140</v>
      </c>
      <c r="F88" s="25">
        <v>46048</v>
      </c>
      <c r="G88" t="s">
        <v>371</v>
      </c>
      <c r="H88" t="s">
        <v>405</v>
      </c>
      <c r="I88" t="s">
        <v>371</v>
      </c>
      <c r="J88" t="s">
        <v>90</v>
      </c>
      <c r="K88" t="s">
        <v>92</v>
      </c>
      <c r="L88" t="s">
        <v>91</v>
      </c>
      <c r="M88" t="s">
        <v>141</v>
      </c>
      <c r="N88" t="s">
        <v>142</v>
      </c>
      <c r="O88" t="s">
        <v>155</v>
      </c>
      <c r="P88" t="s">
        <v>281</v>
      </c>
      <c r="Q88" t="s">
        <v>155</v>
      </c>
      <c r="R88" t="s">
        <v>302</v>
      </c>
      <c r="S88" t="s">
        <v>369</v>
      </c>
      <c r="T88">
        <v>1</v>
      </c>
      <c r="U88" t="s">
        <v>409</v>
      </c>
      <c r="V88" t="s">
        <v>342</v>
      </c>
      <c r="W88" t="s">
        <v>411</v>
      </c>
      <c r="X88" t="s">
        <v>306</v>
      </c>
      <c r="Y88" t="s">
        <v>307</v>
      </c>
      <c r="Z88">
        <v>65</v>
      </c>
      <c r="AA88">
        <v>70</v>
      </c>
      <c r="AB88" t="s">
        <v>143</v>
      </c>
      <c r="AC88" t="s">
        <v>149</v>
      </c>
      <c r="AD88" t="s">
        <v>404</v>
      </c>
      <c r="AE88" t="str">
        <f>IF(AF88="","",VLOOKUP(AC88,mapel!$A$2:$B$42,2,FALSE))</f>
        <v>B.Indo</v>
      </c>
      <c r="AF88">
        <f t="shared" si="3"/>
        <v>70</v>
      </c>
      <c r="AG88" t="str">
        <f>IF(AF88="","",IF(AF88&gt;90,"Sangat baik",IF(AF88&gt;79,"Baik",IF(AF88&gt;=pub_gid_0_single_true_output_csv[[#This Row],[KKM]],"Cukup","Kurang"))))</f>
        <v>Cukup</v>
      </c>
      <c r="AH88">
        <f t="shared" si="4"/>
        <v>11</v>
      </c>
      <c r="AI88" s="30" t="str">
        <f>IF(OR(J88&lt;&gt;"Karakter",pub_gid_0_single_true_output_csv[[#This Row],[Nilai2]]=""),"",IF(AF88&gt;89,"Sangat baik",IF(AF88&gt;79,"Baik",IF(AF88&gt;69,"Cukup",IF(AF88&gt;59,"Kurang","Sangat kurang")))))</f>
        <v>Cukup</v>
      </c>
      <c r="AJ88" t="str">
        <f t="shared" si="5"/>
        <v>Wk.5</v>
      </c>
      <c r="AK88" t="str">
        <f>IF(pub_gid_0_single_true_output_csv[[#This Row],[Nilai2]]="","",VLOOKUP(pub_gid_0_single_true_output_csv[[#This Row],[NAMA]],Table7[],3,FALSE))</f>
        <v>Superior</v>
      </c>
    </row>
    <row r="89" spans="1:37" x14ac:dyDescent="0.2">
      <c r="A89">
        <v>88</v>
      </c>
      <c r="B89" t="s">
        <v>290</v>
      </c>
      <c r="C89" t="s">
        <v>54</v>
      </c>
      <c r="D89" t="s">
        <v>42</v>
      </c>
      <c r="E89" t="s">
        <v>140</v>
      </c>
      <c r="F89" s="25">
        <v>46048</v>
      </c>
      <c r="G89" t="s">
        <v>371</v>
      </c>
      <c r="H89" t="s">
        <v>405</v>
      </c>
      <c r="I89" t="s">
        <v>371</v>
      </c>
      <c r="J89" t="s">
        <v>279</v>
      </c>
      <c r="K89" t="s">
        <v>280</v>
      </c>
      <c r="L89" t="s">
        <v>322</v>
      </c>
      <c r="M89" t="s">
        <v>141</v>
      </c>
      <c r="N89" t="s">
        <v>142</v>
      </c>
      <c r="O89" t="s">
        <v>155</v>
      </c>
      <c r="P89" t="s">
        <v>281</v>
      </c>
      <c r="Q89" t="s">
        <v>155</v>
      </c>
      <c r="R89" t="s">
        <v>302</v>
      </c>
      <c r="S89" t="s">
        <v>369</v>
      </c>
      <c r="T89">
        <v>1</v>
      </c>
      <c r="U89" t="s">
        <v>409</v>
      </c>
      <c r="V89" t="s">
        <v>342</v>
      </c>
      <c r="W89" t="s">
        <v>411</v>
      </c>
      <c r="X89" t="s">
        <v>306</v>
      </c>
      <c r="Y89" t="s">
        <v>307</v>
      </c>
      <c r="Z89">
        <v>65</v>
      </c>
      <c r="AA89">
        <v>65</v>
      </c>
      <c r="AB89" t="s">
        <v>143</v>
      </c>
      <c r="AC89" t="s">
        <v>149</v>
      </c>
      <c r="AD89" t="s">
        <v>404</v>
      </c>
      <c r="AE89" t="str">
        <f>IF(AF89="","",VLOOKUP(AC89,mapel!$A$2:$B$42,2,FALSE))</f>
        <v>B.Indo</v>
      </c>
      <c r="AF89">
        <f t="shared" si="3"/>
        <v>65</v>
      </c>
      <c r="AG89" t="str">
        <f>IF(AF89="","",IF(AF89&gt;90,"Sangat baik",IF(AF89&gt;79,"Baik",IF(AF89&gt;=pub_gid_0_single_true_output_csv[[#This Row],[KKM]],"Cukup","Kurang"))))</f>
        <v>Cukup</v>
      </c>
      <c r="AH89">
        <f t="shared" si="4"/>
        <v>11</v>
      </c>
      <c r="AI89" s="30" t="str">
        <f>IF(OR(J89&lt;&gt;"Karakter",pub_gid_0_single_true_output_csv[[#This Row],[Nilai2]]=""),"",IF(AF89&gt;89,"Sangat baik",IF(AF89&gt;79,"Baik",IF(AF89&gt;69,"Cukup",IF(AF89&gt;59,"Kurang","Sangat kurang")))))</f>
        <v/>
      </c>
      <c r="AJ89" t="str">
        <f t="shared" si="5"/>
        <v>Wk.5</v>
      </c>
      <c r="AK89" t="str">
        <f>IF(pub_gid_0_single_true_output_csv[[#This Row],[Nilai2]]="","",VLOOKUP(pub_gid_0_single_true_output_csv[[#This Row],[NAMA]],Table7[],3,FALSE))</f>
        <v>Superior</v>
      </c>
    </row>
    <row r="90" spans="1:37" x14ac:dyDescent="0.2">
      <c r="A90">
        <v>89</v>
      </c>
      <c r="B90" t="s">
        <v>290</v>
      </c>
      <c r="C90" t="s">
        <v>54</v>
      </c>
      <c r="D90" t="s">
        <v>42</v>
      </c>
      <c r="E90" t="s">
        <v>140</v>
      </c>
      <c r="F90" s="25">
        <v>46049</v>
      </c>
      <c r="G90" t="s">
        <v>373</v>
      </c>
      <c r="H90" t="s">
        <v>405</v>
      </c>
      <c r="I90" t="s">
        <v>371</v>
      </c>
      <c r="J90" t="s">
        <v>36</v>
      </c>
      <c r="K90" t="s">
        <v>37</v>
      </c>
      <c r="L90" t="s">
        <v>321</v>
      </c>
      <c r="M90" t="s">
        <v>141</v>
      </c>
      <c r="N90" t="s">
        <v>142</v>
      </c>
      <c r="O90" t="s">
        <v>155</v>
      </c>
      <c r="P90" t="s">
        <v>281</v>
      </c>
      <c r="Q90" t="s">
        <v>155</v>
      </c>
      <c r="R90" t="s">
        <v>302</v>
      </c>
      <c r="S90" t="s">
        <v>369</v>
      </c>
      <c r="T90">
        <v>1</v>
      </c>
      <c r="U90" t="s">
        <v>409</v>
      </c>
      <c r="V90" t="s">
        <v>342</v>
      </c>
      <c r="W90" t="s">
        <v>411</v>
      </c>
      <c r="X90" t="s">
        <v>306</v>
      </c>
      <c r="Y90" t="s">
        <v>307</v>
      </c>
      <c r="Z90">
        <v>65</v>
      </c>
      <c r="AA90">
        <v>40</v>
      </c>
      <c r="AB90" t="s">
        <v>151</v>
      </c>
      <c r="AC90" t="s">
        <v>149</v>
      </c>
      <c r="AD90" t="s">
        <v>404</v>
      </c>
      <c r="AE90" t="str">
        <f>IF(AF90="","",VLOOKUP(AC90,mapel!$A$2:$B$42,2,FALSE))</f>
        <v>B.Indo</v>
      </c>
      <c r="AF90">
        <f t="shared" si="3"/>
        <v>40</v>
      </c>
      <c r="AG90" t="str">
        <f>IF(AF90="","",IF(AF90&gt;90,"Sangat baik",IF(AF90&gt;79,"Baik",IF(AF90&gt;=pub_gid_0_single_true_output_csv[[#This Row],[KKM]],"Cukup","Kurang"))))</f>
        <v>Kurang</v>
      </c>
      <c r="AH90">
        <f t="shared" si="4"/>
        <v>11</v>
      </c>
      <c r="AI90" s="30" t="str">
        <f>IF(OR(J90&lt;&gt;"Karakter",pub_gid_0_single_true_output_csv[[#This Row],[Nilai2]]=""),"",IF(AF90&gt;89,"Sangat baik",IF(AF90&gt;79,"Baik",IF(AF90&gt;69,"Cukup",IF(AF90&gt;59,"Kurang","Sangat kurang")))))</f>
        <v/>
      </c>
      <c r="AJ90" t="str">
        <f t="shared" si="5"/>
        <v>Wk.5</v>
      </c>
      <c r="AK90" t="str">
        <f>IF(pub_gid_0_single_true_output_csv[[#This Row],[Nilai2]]="","",VLOOKUP(pub_gid_0_single_true_output_csv[[#This Row],[NAMA]],Table7[],3,FALSE))</f>
        <v>Superior</v>
      </c>
    </row>
    <row r="91" spans="1:37" x14ac:dyDescent="0.2">
      <c r="A91">
        <v>90</v>
      </c>
      <c r="B91" t="s">
        <v>290</v>
      </c>
      <c r="C91" t="s">
        <v>54</v>
      </c>
      <c r="D91" t="s">
        <v>42</v>
      </c>
      <c r="E91" t="s">
        <v>140</v>
      </c>
      <c r="F91" s="25">
        <v>46049</v>
      </c>
      <c r="G91" t="s">
        <v>373</v>
      </c>
      <c r="H91" t="s">
        <v>405</v>
      </c>
      <c r="I91" t="s">
        <v>371</v>
      </c>
      <c r="J91" t="s">
        <v>31</v>
      </c>
      <c r="K91" t="s">
        <v>96</v>
      </c>
      <c r="L91" t="s">
        <v>321</v>
      </c>
      <c r="M91" t="s">
        <v>141</v>
      </c>
      <c r="N91" t="s">
        <v>142</v>
      </c>
      <c r="O91" t="s">
        <v>155</v>
      </c>
      <c r="P91" t="s">
        <v>281</v>
      </c>
      <c r="Q91" t="s">
        <v>155</v>
      </c>
      <c r="R91" t="s">
        <v>302</v>
      </c>
      <c r="S91" t="s">
        <v>369</v>
      </c>
      <c r="T91">
        <v>1</v>
      </c>
      <c r="U91" t="s">
        <v>409</v>
      </c>
      <c r="V91" t="s">
        <v>342</v>
      </c>
      <c r="W91" t="s">
        <v>411</v>
      </c>
      <c r="X91" t="s">
        <v>306</v>
      </c>
      <c r="Y91" t="s">
        <v>307</v>
      </c>
      <c r="Z91">
        <v>65</v>
      </c>
      <c r="AA91">
        <v>65</v>
      </c>
      <c r="AB91" t="s">
        <v>143</v>
      </c>
      <c r="AC91" t="s">
        <v>149</v>
      </c>
      <c r="AD91" t="s">
        <v>404</v>
      </c>
      <c r="AE91" t="str">
        <f>IF(AF91="","",VLOOKUP(AC91,mapel!$A$2:$B$42,2,FALSE))</f>
        <v>B.Indo</v>
      </c>
      <c r="AF91">
        <f t="shared" si="3"/>
        <v>65</v>
      </c>
      <c r="AG91" t="str">
        <f>IF(AF91="","",IF(AF91&gt;90,"Sangat baik",IF(AF91&gt;79,"Baik",IF(AF91&gt;=pub_gid_0_single_true_output_csv[[#This Row],[KKM]],"Cukup","Kurang"))))</f>
        <v>Cukup</v>
      </c>
      <c r="AH91">
        <f t="shared" si="4"/>
        <v>11</v>
      </c>
      <c r="AI91" s="30" t="str">
        <f>IF(OR(J91&lt;&gt;"Karakter",pub_gid_0_single_true_output_csv[[#This Row],[Nilai2]]=""),"",IF(AF91&gt;89,"Sangat baik",IF(AF91&gt;79,"Baik",IF(AF91&gt;69,"Cukup",IF(AF91&gt;59,"Kurang","Sangat kurang")))))</f>
        <v/>
      </c>
      <c r="AJ91" t="str">
        <f t="shared" si="5"/>
        <v>Wk.5</v>
      </c>
      <c r="AK91" t="str">
        <f>IF(pub_gid_0_single_true_output_csv[[#This Row],[Nilai2]]="","",VLOOKUP(pub_gid_0_single_true_output_csv[[#This Row],[NAMA]],Table7[],3,FALSE))</f>
        <v>Superior</v>
      </c>
    </row>
    <row r="92" spans="1:37" x14ac:dyDescent="0.2">
      <c r="A92">
        <v>91</v>
      </c>
      <c r="B92" t="s">
        <v>290</v>
      </c>
      <c r="C92" t="s">
        <v>54</v>
      </c>
      <c r="D92" t="s">
        <v>42</v>
      </c>
      <c r="E92" t="s">
        <v>140</v>
      </c>
      <c r="F92" s="25">
        <v>46049</v>
      </c>
      <c r="G92" t="s">
        <v>373</v>
      </c>
      <c r="H92" t="s">
        <v>405</v>
      </c>
      <c r="I92" t="s">
        <v>371</v>
      </c>
      <c r="J92" t="s">
        <v>90</v>
      </c>
      <c r="K92" t="s">
        <v>92</v>
      </c>
      <c r="L92" t="s">
        <v>93</v>
      </c>
      <c r="M92" t="s">
        <v>141</v>
      </c>
      <c r="N92" t="s">
        <v>142</v>
      </c>
      <c r="O92" t="s">
        <v>155</v>
      </c>
      <c r="P92" t="s">
        <v>281</v>
      </c>
      <c r="Q92" t="s">
        <v>155</v>
      </c>
      <c r="R92" t="s">
        <v>302</v>
      </c>
      <c r="S92" t="s">
        <v>369</v>
      </c>
      <c r="T92">
        <v>1</v>
      </c>
      <c r="U92" t="s">
        <v>409</v>
      </c>
      <c r="V92" t="s">
        <v>342</v>
      </c>
      <c r="W92" t="s">
        <v>411</v>
      </c>
      <c r="X92" t="s">
        <v>306</v>
      </c>
      <c r="Y92" t="s">
        <v>307</v>
      </c>
      <c r="Z92">
        <v>65</v>
      </c>
      <c r="AA92">
        <v>70</v>
      </c>
      <c r="AB92" t="s">
        <v>143</v>
      </c>
      <c r="AC92" t="s">
        <v>149</v>
      </c>
      <c r="AD92" t="s">
        <v>404</v>
      </c>
      <c r="AE92" t="str">
        <f>IF(AF92="","",VLOOKUP(AC92,mapel!$A$2:$B$42,2,FALSE))</f>
        <v>B.Indo</v>
      </c>
      <c r="AF92">
        <f t="shared" si="3"/>
        <v>70</v>
      </c>
      <c r="AG92" t="str">
        <f>IF(AF92="","",IF(AF92&gt;90,"Sangat baik",IF(AF92&gt;79,"Baik",IF(AF92&gt;=pub_gid_0_single_true_output_csv[[#This Row],[KKM]],"Cukup","Kurang"))))</f>
        <v>Cukup</v>
      </c>
      <c r="AH92">
        <f t="shared" si="4"/>
        <v>11</v>
      </c>
      <c r="AI92" s="30" t="str">
        <f>IF(OR(J92&lt;&gt;"Karakter",pub_gid_0_single_true_output_csv[[#This Row],[Nilai2]]=""),"",IF(AF92&gt;89,"Sangat baik",IF(AF92&gt;79,"Baik",IF(AF92&gt;69,"Cukup",IF(AF92&gt;59,"Kurang","Sangat kurang")))))</f>
        <v>Cukup</v>
      </c>
      <c r="AJ92" t="str">
        <f t="shared" si="5"/>
        <v>Wk.5</v>
      </c>
      <c r="AK92" t="str">
        <f>IF(pub_gid_0_single_true_output_csv[[#This Row],[Nilai2]]="","",VLOOKUP(pub_gid_0_single_true_output_csv[[#This Row],[NAMA]],Table7[],3,FALSE))</f>
        <v>Superior</v>
      </c>
    </row>
    <row r="93" spans="1:37" x14ac:dyDescent="0.2">
      <c r="A93">
        <v>92</v>
      </c>
      <c r="B93" t="s">
        <v>290</v>
      </c>
      <c r="C93" t="s">
        <v>54</v>
      </c>
      <c r="D93" t="s">
        <v>42</v>
      </c>
      <c r="E93" t="s">
        <v>140</v>
      </c>
      <c r="F93" s="25">
        <v>46049</v>
      </c>
      <c r="G93" t="s">
        <v>373</v>
      </c>
      <c r="H93" t="s">
        <v>405</v>
      </c>
      <c r="I93" t="s">
        <v>371</v>
      </c>
      <c r="J93" t="s">
        <v>279</v>
      </c>
      <c r="K93" t="s">
        <v>280</v>
      </c>
      <c r="L93" t="s">
        <v>322</v>
      </c>
      <c r="M93" t="s">
        <v>141</v>
      </c>
      <c r="N93" t="s">
        <v>142</v>
      </c>
      <c r="O93" t="s">
        <v>155</v>
      </c>
      <c r="P93" t="s">
        <v>281</v>
      </c>
      <c r="Q93" t="s">
        <v>155</v>
      </c>
      <c r="R93" t="s">
        <v>302</v>
      </c>
      <c r="S93" t="s">
        <v>369</v>
      </c>
      <c r="T93">
        <v>1</v>
      </c>
      <c r="U93" t="s">
        <v>409</v>
      </c>
      <c r="V93" t="s">
        <v>342</v>
      </c>
      <c r="W93" t="s">
        <v>411</v>
      </c>
      <c r="X93" t="s">
        <v>306</v>
      </c>
      <c r="Y93" t="s">
        <v>307</v>
      </c>
      <c r="Z93">
        <v>65</v>
      </c>
      <c r="AA93">
        <v>70</v>
      </c>
      <c r="AB93" t="s">
        <v>143</v>
      </c>
      <c r="AC93" t="s">
        <v>149</v>
      </c>
      <c r="AD93" t="s">
        <v>404</v>
      </c>
      <c r="AE93" t="str">
        <f>IF(AF93="","",VLOOKUP(AC93,mapel!$A$2:$B$42,2,FALSE))</f>
        <v>B.Indo</v>
      </c>
      <c r="AF93">
        <f t="shared" si="3"/>
        <v>70</v>
      </c>
      <c r="AG93" t="str">
        <f>IF(AF93="","",IF(AF93&gt;90,"Sangat baik",IF(AF93&gt;79,"Baik",IF(AF93&gt;=pub_gid_0_single_true_output_csv[[#This Row],[KKM]],"Cukup","Kurang"))))</f>
        <v>Cukup</v>
      </c>
      <c r="AH93">
        <f t="shared" si="4"/>
        <v>11</v>
      </c>
      <c r="AI93" s="30" t="str">
        <f>IF(OR(J93&lt;&gt;"Karakter",pub_gid_0_single_true_output_csv[[#This Row],[Nilai2]]=""),"",IF(AF93&gt;89,"Sangat baik",IF(AF93&gt;79,"Baik",IF(AF93&gt;69,"Cukup",IF(AF93&gt;59,"Kurang","Sangat kurang")))))</f>
        <v/>
      </c>
      <c r="AJ93" t="str">
        <f t="shared" si="5"/>
        <v>Wk.5</v>
      </c>
      <c r="AK93" t="str">
        <f>IF(pub_gid_0_single_true_output_csv[[#This Row],[Nilai2]]="","",VLOOKUP(pub_gid_0_single_true_output_csv[[#This Row],[NAMA]],Table7[],3,FALSE))</f>
        <v>Superior</v>
      </c>
    </row>
    <row r="94" spans="1:37" x14ac:dyDescent="0.2">
      <c r="A94">
        <v>93</v>
      </c>
      <c r="B94" t="s">
        <v>290</v>
      </c>
      <c r="C94" t="s">
        <v>54</v>
      </c>
      <c r="D94" t="s">
        <v>42</v>
      </c>
      <c r="E94" t="s">
        <v>140</v>
      </c>
      <c r="F94" s="25">
        <v>46055</v>
      </c>
      <c r="G94" t="s">
        <v>379</v>
      </c>
      <c r="H94" t="s">
        <v>412</v>
      </c>
      <c r="I94" t="s">
        <v>371</v>
      </c>
      <c r="J94" t="s">
        <v>36</v>
      </c>
      <c r="K94" t="s">
        <v>37</v>
      </c>
      <c r="L94" t="s">
        <v>150</v>
      </c>
      <c r="M94" t="s">
        <v>141</v>
      </c>
      <c r="N94" t="s">
        <v>142</v>
      </c>
      <c r="O94" t="s">
        <v>155</v>
      </c>
      <c r="P94" t="s">
        <v>281</v>
      </c>
      <c r="Q94" t="s">
        <v>155</v>
      </c>
      <c r="R94" t="s">
        <v>302</v>
      </c>
      <c r="S94" t="s">
        <v>345</v>
      </c>
      <c r="T94">
        <v>1</v>
      </c>
      <c r="U94" t="s">
        <v>409</v>
      </c>
      <c r="V94" t="s">
        <v>343</v>
      </c>
      <c r="W94" t="s">
        <v>413</v>
      </c>
      <c r="X94" t="s">
        <v>306</v>
      </c>
      <c r="Y94" t="s">
        <v>307</v>
      </c>
      <c r="Z94">
        <v>65</v>
      </c>
      <c r="AA94">
        <v>40</v>
      </c>
      <c r="AB94" t="s">
        <v>151</v>
      </c>
      <c r="AC94" t="s">
        <v>149</v>
      </c>
      <c r="AD94" t="s">
        <v>404</v>
      </c>
      <c r="AE94" t="str">
        <f>IF(AF94="","",VLOOKUP(AC94,mapel!$A$2:$B$42,2,FALSE))</f>
        <v>B.Indo</v>
      </c>
      <c r="AF94">
        <f t="shared" si="3"/>
        <v>40</v>
      </c>
      <c r="AG94" t="str">
        <f>IF(AF94="","",IF(AF94&gt;90,"Sangat baik",IF(AF94&gt;79,"Baik",IF(AF94&gt;=pub_gid_0_single_true_output_csv[[#This Row],[KKM]],"Cukup","Kurang"))))</f>
        <v>Kurang</v>
      </c>
      <c r="AH94">
        <f t="shared" si="4"/>
        <v>11</v>
      </c>
      <c r="AI94" s="30" t="str">
        <f>IF(OR(J94&lt;&gt;"Karakter",pub_gid_0_single_true_output_csv[[#This Row],[Nilai2]]=""),"",IF(AF94&gt;89,"Sangat baik",IF(AF94&gt;79,"Baik",IF(AF94&gt;69,"Cukup",IF(AF94&gt;59,"Kurang","Sangat kurang")))))</f>
        <v/>
      </c>
      <c r="AJ94" t="str">
        <f t="shared" si="5"/>
        <v>Wk.6</v>
      </c>
      <c r="AK94" t="str">
        <f>IF(pub_gid_0_single_true_output_csv[[#This Row],[Nilai2]]="","",VLOOKUP(pub_gid_0_single_true_output_csv[[#This Row],[NAMA]],Table7[],3,FALSE))</f>
        <v>Superior</v>
      </c>
    </row>
    <row r="95" spans="1:37" x14ac:dyDescent="0.2">
      <c r="A95">
        <v>94</v>
      </c>
      <c r="B95" t="s">
        <v>290</v>
      </c>
      <c r="C95" t="s">
        <v>54</v>
      </c>
      <c r="D95" t="s">
        <v>42</v>
      </c>
      <c r="E95" t="s">
        <v>140</v>
      </c>
      <c r="F95" s="25">
        <v>46055</v>
      </c>
      <c r="G95" t="s">
        <v>379</v>
      </c>
      <c r="H95" t="s">
        <v>412</v>
      </c>
      <c r="I95" t="s">
        <v>371</v>
      </c>
      <c r="J95" t="s">
        <v>31</v>
      </c>
      <c r="K95" t="s">
        <v>96</v>
      </c>
      <c r="L95" t="s">
        <v>150</v>
      </c>
      <c r="M95" t="s">
        <v>141</v>
      </c>
      <c r="N95" t="s">
        <v>142</v>
      </c>
      <c r="O95" t="s">
        <v>155</v>
      </c>
      <c r="P95" t="s">
        <v>281</v>
      </c>
      <c r="Q95" t="s">
        <v>155</v>
      </c>
      <c r="R95" t="s">
        <v>302</v>
      </c>
      <c r="S95" t="s">
        <v>345</v>
      </c>
      <c r="T95">
        <v>1</v>
      </c>
      <c r="U95" t="s">
        <v>409</v>
      </c>
      <c r="V95" t="s">
        <v>343</v>
      </c>
      <c r="W95" t="s">
        <v>413</v>
      </c>
      <c r="X95" t="s">
        <v>306</v>
      </c>
      <c r="Y95" t="s">
        <v>307</v>
      </c>
      <c r="Z95">
        <v>65</v>
      </c>
      <c r="AA95">
        <v>80</v>
      </c>
      <c r="AB95" t="s">
        <v>143</v>
      </c>
      <c r="AC95" t="s">
        <v>149</v>
      </c>
      <c r="AD95" t="s">
        <v>404</v>
      </c>
      <c r="AE95" t="str">
        <f>IF(AF95="","",VLOOKUP(AC95,mapel!$A$2:$B$42,2,FALSE))</f>
        <v>B.Indo</v>
      </c>
      <c r="AF95">
        <f t="shared" si="3"/>
        <v>80</v>
      </c>
      <c r="AG95" t="str">
        <f>IF(AF95="","",IF(AF95&gt;90,"Sangat baik",IF(AF95&gt;79,"Baik",IF(AF95&gt;=pub_gid_0_single_true_output_csv[[#This Row],[KKM]],"Cukup","Kurang"))))</f>
        <v>Baik</v>
      </c>
      <c r="AH95">
        <f t="shared" si="4"/>
        <v>11</v>
      </c>
      <c r="AI95" s="30" t="str">
        <f>IF(OR(J95&lt;&gt;"Karakter",pub_gid_0_single_true_output_csv[[#This Row],[Nilai2]]=""),"",IF(AF95&gt;89,"Sangat baik",IF(AF95&gt;79,"Baik",IF(AF95&gt;69,"Cukup",IF(AF95&gt;59,"Kurang","Sangat kurang")))))</f>
        <v/>
      </c>
      <c r="AJ95" t="str">
        <f t="shared" si="5"/>
        <v>Wk.6</v>
      </c>
      <c r="AK95" t="str">
        <f>IF(pub_gid_0_single_true_output_csv[[#This Row],[Nilai2]]="","",VLOOKUP(pub_gid_0_single_true_output_csv[[#This Row],[NAMA]],Table7[],3,FALSE))</f>
        <v>Superior</v>
      </c>
    </row>
    <row r="96" spans="1:37" x14ac:dyDescent="0.2">
      <c r="A96">
        <v>95</v>
      </c>
      <c r="B96" t="s">
        <v>290</v>
      </c>
      <c r="C96" t="s">
        <v>54</v>
      </c>
      <c r="D96" t="s">
        <v>42</v>
      </c>
      <c r="E96" t="s">
        <v>140</v>
      </c>
      <c r="F96" s="25">
        <v>46055</v>
      </c>
      <c r="G96" t="s">
        <v>379</v>
      </c>
      <c r="H96" t="s">
        <v>412</v>
      </c>
      <c r="I96" t="s">
        <v>371</v>
      </c>
      <c r="J96" t="s">
        <v>90</v>
      </c>
      <c r="K96" t="s">
        <v>92</v>
      </c>
      <c r="L96" t="s">
        <v>91</v>
      </c>
      <c r="M96" t="s">
        <v>141</v>
      </c>
      <c r="N96" t="s">
        <v>142</v>
      </c>
      <c r="O96" t="s">
        <v>155</v>
      </c>
      <c r="P96" t="s">
        <v>281</v>
      </c>
      <c r="Q96" t="s">
        <v>155</v>
      </c>
      <c r="R96" t="s">
        <v>302</v>
      </c>
      <c r="S96" t="s">
        <v>345</v>
      </c>
      <c r="T96">
        <v>1</v>
      </c>
      <c r="U96" t="s">
        <v>409</v>
      </c>
      <c r="V96" t="s">
        <v>343</v>
      </c>
      <c r="W96" t="s">
        <v>413</v>
      </c>
      <c r="X96" t="s">
        <v>306</v>
      </c>
      <c r="Y96" t="s">
        <v>307</v>
      </c>
      <c r="Z96">
        <v>65</v>
      </c>
      <c r="AA96">
        <v>70</v>
      </c>
      <c r="AB96" t="s">
        <v>143</v>
      </c>
      <c r="AC96" t="s">
        <v>149</v>
      </c>
      <c r="AD96" t="s">
        <v>404</v>
      </c>
      <c r="AE96" t="str">
        <f>IF(AF96="","",VLOOKUP(AC96,mapel!$A$2:$B$42,2,FALSE))</f>
        <v>B.Indo</v>
      </c>
      <c r="AF96">
        <f t="shared" si="3"/>
        <v>70</v>
      </c>
      <c r="AG96" t="str">
        <f>IF(AF96="","",IF(AF96&gt;90,"Sangat baik",IF(AF96&gt;79,"Baik",IF(AF96&gt;=pub_gid_0_single_true_output_csv[[#This Row],[KKM]],"Cukup","Kurang"))))</f>
        <v>Cukup</v>
      </c>
      <c r="AH96">
        <f t="shared" si="4"/>
        <v>11</v>
      </c>
      <c r="AI96" s="30" t="str">
        <f>IF(OR(J96&lt;&gt;"Karakter",pub_gid_0_single_true_output_csv[[#This Row],[Nilai2]]=""),"",IF(AF96&gt;89,"Sangat baik",IF(AF96&gt;79,"Baik",IF(AF96&gt;69,"Cukup",IF(AF96&gt;59,"Kurang","Sangat kurang")))))</f>
        <v>Cukup</v>
      </c>
      <c r="AJ96" t="str">
        <f t="shared" si="5"/>
        <v>Wk.6</v>
      </c>
      <c r="AK96" t="str">
        <f>IF(pub_gid_0_single_true_output_csv[[#This Row],[Nilai2]]="","",VLOOKUP(pub_gid_0_single_true_output_csv[[#This Row],[NAMA]],Table7[],3,FALSE))</f>
        <v>Superior</v>
      </c>
    </row>
    <row r="97" spans="1:37" x14ac:dyDescent="0.2">
      <c r="A97">
        <v>96</v>
      </c>
      <c r="B97" t="s">
        <v>290</v>
      </c>
      <c r="C97" t="s">
        <v>54</v>
      </c>
      <c r="D97" t="s">
        <v>42</v>
      </c>
      <c r="E97" t="s">
        <v>140</v>
      </c>
      <c r="F97" s="25">
        <v>46055</v>
      </c>
      <c r="G97" t="s">
        <v>379</v>
      </c>
      <c r="H97" t="s">
        <v>412</v>
      </c>
      <c r="I97" t="s">
        <v>371</v>
      </c>
      <c r="J97" t="s">
        <v>279</v>
      </c>
      <c r="K97" t="s">
        <v>280</v>
      </c>
      <c r="L97" t="s">
        <v>322</v>
      </c>
      <c r="M97" t="s">
        <v>141</v>
      </c>
      <c r="N97" t="s">
        <v>142</v>
      </c>
      <c r="O97" t="s">
        <v>155</v>
      </c>
      <c r="P97" t="s">
        <v>281</v>
      </c>
      <c r="Q97" t="s">
        <v>155</v>
      </c>
      <c r="R97" t="s">
        <v>302</v>
      </c>
      <c r="S97" t="s">
        <v>345</v>
      </c>
      <c r="T97">
        <v>1</v>
      </c>
      <c r="U97" t="s">
        <v>409</v>
      </c>
      <c r="V97" t="s">
        <v>343</v>
      </c>
      <c r="W97" t="s">
        <v>413</v>
      </c>
      <c r="X97" t="s">
        <v>306</v>
      </c>
      <c r="Y97" t="s">
        <v>307</v>
      </c>
      <c r="Z97">
        <v>65</v>
      </c>
      <c r="AA97">
        <v>70</v>
      </c>
      <c r="AB97" t="s">
        <v>143</v>
      </c>
      <c r="AC97" t="s">
        <v>149</v>
      </c>
      <c r="AD97" t="s">
        <v>404</v>
      </c>
      <c r="AE97" t="str">
        <f>IF(AF97="","",VLOOKUP(AC97,mapel!$A$2:$B$42,2,FALSE))</f>
        <v>B.Indo</v>
      </c>
      <c r="AF97">
        <f t="shared" si="3"/>
        <v>70</v>
      </c>
      <c r="AG97" t="str">
        <f>IF(AF97="","",IF(AF97&gt;90,"Sangat baik",IF(AF97&gt;79,"Baik",IF(AF97&gt;=pub_gid_0_single_true_output_csv[[#This Row],[KKM]],"Cukup","Kurang"))))</f>
        <v>Cukup</v>
      </c>
      <c r="AH97">
        <f t="shared" si="4"/>
        <v>11</v>
      </c>
      <c r="AI97" s="30" t="str">
        <f>IF(OR(J97&lt;&gt;"Karakter",pub_gid_0_single_true_output_csv[[#This Row],[Nilai2]]=""),"",IF(AF97&gt;89,"Sangat baik",IF(AF97&gt;79,"Baik",IF(AF97&gt;69,"Cukup",IF(AF97&gt;59,"Kurang","Sangat kurang")))))</f>
        <v/>
      </c>
      <c r="AJ97" t="str">
        <f t="shared" si="5"/>
        <v>Wk.6</v>
      </c>
      <c r="AK97" t="str">
        <f>IF(pub_gid_0_single_true_output_csv[[#This Row],[Nilai2]]="","",VLOOKUP(pub_gid_0_single_true_output_csv[[#This Row],[NAMA]],Table7[],3,FALSE))</f>
        <v>Superior</v>
      </c>
    </row>
    <row r="98" spans="1:37" x14ac:dyDescent="0.2">
      <c r="A98">
        <v>97</v>
      </c>
      <c r="B98" t="s">
        <v>290</v>
      </c>
      <c r="C98" t="s">
        <v>54</v>
      </c>
      <c r="D98" t="s">
        <v>42</v>
      </c>
      <c r="E98" t="s">
        <v>140</v>
      </c>
      <c r="F98" s="25">
        <v>46062</v>
      </c>
      <c r="G98" t="s">
        <v>376</v>
      </c>
      <c r="H98" t="s">
        <v>412</v>
      </c>
      <c r="I98" t="s">
        <v>371</v>
      </c>
      <c r="J98" t="s">
        <v>36</v>
      </c>
      <c r="K98" t="s">
        <v>37</v>
      </c>
      <c r="L98" t="s">
        <v>351</v>
      </c>
      <c r="M98" t="s">
        <v>141</v>
      </c>
      <c r="N98" t="s">
        <v>142</v>
      </c>
      <c r="O98" t="s">
        <v>155</v>
      </c>
      <c r="P98" t="s">
        <v>281</v>
      </c>
      <c r="Q98" t="s">
        <v>155</v>
      </c>
      <c r="R98" t="s">
        <v>302</v>
      </c>
      <c r="S98" t="s">
        <v>345</v>
      </c>
      <c r="T98">
        <v>1</v>
      </c>
      <c r="U98" t="s">
        <v>409</v>
      </c>
      <c r="V98" t="s">
        <v>343</v>
      </c>
      <c r="W98" t="s">
        <v>413</v>
      </c>
      <c r="X98" t="s">
        <v>306</v>
      </c>
      <c r="Y98" t="s">
        <v>307</v>
      </c>
      <c r="Z98">
        <v>65</v>
      </c>
      <c r="AA98">
        <v>65</v>
      </c>
      <c r="AB98" t="s">
        <v>143</v>
      </c>
      <c r="AC98" t="s">
        <v>149</v>
      </c>
      <c r="AD98" t="s">
        <v>404</v>
      </c>
      <c r="AE98" t="str">
        <f>IF(AF98="","",VLOOKUP(AC98,mapel!$A$2:$B$42,2,FALSE))</f>
        <v>B.Indo</v>
      </c>
      <c r="AF98">
        <f t="shared" si="3"/>
        <v>65</v>
      </c>
      <c r="AG98" t="str">
        <f>IF(AF98="","",IF(AF98&gt;90,"Sangat baik",IF(AF98&gt;79,"Baik",IF(AF98&gt;=pub_gid_0_single_true_output_csv[[#This Row],[KKM]],"Cukup","Kurang"))))</f>
        <v>Cukup</v>
      </c>
      <c r="AH98">
        <f t="shared" si="4"/>
        <v>11</v>
      </c>
      <c r="AI98" s="30" t="str">
        <f>IF(OR(J98&lt;&gt;"Karakter",pub_gid_0_single_true_output_csv[[#This Row],[Nilai2]]=""),"",IF(AF98&gt;89,"Sangat baik",IF(AF98&gt;79,"Baik",IF(AF98&gt;69,"Cukup",IF(AF98&gt;59,"Kurang","Sangat kurang")))))</f>
        <v/>
      </c>
      <c r="AJ98" t="str">
        <f t="shared" si="5"/>
        <v>Wk.7</v>
      </c>
      <c r="AK98" t="str">
        <f>IF(pub_gid_0_single_true_output_csv[[#This Row],[Nilai2]]="","",VLOOKUP(pub_gid_0_single_true_output_csv[[#This Row],[NAMA]],Table7[],3,FALSE))</f>
        <v>Superior</v>
      </c>
    </row>
    <row r="99" spans="1:37" x14ac:dyDescent="0.2">
      <c r="A99">
        <v>98</v>
      </c>
      <c r="B99" t="s">
        <v>290</v>
      </c>
      <c r="C99" t="s">
        <v>54</v>
      </c>
      <c r="D99" t="s">
        <v>42</v>
      </c>
      <c r="E99" t="s">
        <v>140</v>
      </c>
      <c r="F99" s="25">
        <v>46062</v>
      </c>
      <c r="G99" t="s">
        <v>376</v>
      </c>
      <c r="H99" t="s">
        <v>412</v>
      </c>
      <c r="I99" t="s">
        <v>371</v>
      </c>
      <c r="J99" t="s">
        <v>31</v>
      </c>
      <c r="K99" t="s">
        <v>96</v>
      </c>
      <c r="L99" t="s">
        <v>351</v>
      </c>
      <c r="M99" t="s">
        <v>141</v>
      </c>
      <c r="N99" t="s">
        <v>142</v>
      </c>
      <c r="O99" t="s">
        <v>155</v>
      </c>
      <c r="P99" t="s">
        <v>281</v>
      </c>
      <c r="Q99" t="s">
        <v>155</v>
      </c>
      <c r="R99" t="s">
        <v>302</v>
      </c>
      <c r="S99" t="s">
        <v>345</v>
      </c>
      <c r="T99">
        <v>1</v>
      </c>
      <c r="U99" t="s">
        <v>409</v>
      </c>
      <c r="V99" t="s">
        <v>343</v>
      </c>
      <c r="W99" t="s">
        <v>413</v>
      </c>
      <c r="X99" t="s">
        <v>306</v>
      </c>
      <c r="Y99" t="s">
        <v>307</v>
      </c>
      <c r="Z99">
        <v>65</v>
      </c>
      <c r="AA99">
        <v>69</v>
      </c>
      <c r="AB99" t="s">
        <v>143</v>
      </c>
      <c r="AC99" t="s">
        <v>149</v>
      </c>
      <c r="AD99" t="s">
        <v>404</v>
      </c>
      <c r="AE99" t="str">
        <f>IF(AF99="","",VLOOKUP(AC99,mapel!$A$2:$B$42,2,FALSE))</f>
        <v>B.Indo</v>
      </c>
      <c r="AF99">
        <f t="shared" si="3"/>
        <v>69</v>
      </c>
      <c r="AG99" t="str">
        <f>IF(AF99="","",IF(AF99&gt;90,"Sangat baik",IF(AF99&gt;79,"Baik",IF(AF99&gt;=pub_gid_0_single_true_output_csv[[#This Row],[KKM]],"Cukup","Kurang"))))</f>
        <v>Cukup</v>
      </c>
      <c r="AH99">
        <f t="shared" si="4"/>
        <v>11</v>
      </c>
      <c r="AI99" s="30" t="str">
        <f>IF(OR(J99&lt;&gt;"Karakter",pub_gid_0_single_true_output_csv[[#This Row],[Nilai2]]=""),"",IF(AF99&gt;89,"Sangat baik",IF(AF99&gt;79,"Baik",IF(AF99&gt;69,"Cukup",IF(AF99&gt;59,"Kurang","Sangat kurang")))))</f>
        <v/>
      </c>
      <c r="AJ99" t="str">
        <f t="shared" si="5"/>
        <v>Wk.7</v>
      </c>
      <c r="AK99" t="str">
        <f>IF(pub_gid_0_single_true_output_csv[[#This Row],[Nilai2]]="","",VLOOKUP(pub_gid_0_single_true_output_csv[[#This Row],[NAMA]],Table7[],3,FALSE))</f>
        <v>Superior</v>
      </c>
    </row>
    <row r="100" spans="1:37" x14ac:dyDescent="0.2">
      <c r="A100">
        <v>99</v>
      </c>
      <c r="B100" t="s">
        <v>290</v>
      </c>
      <c r="C100" t="s">
        <v>54</v>
      </c>
      <c r="D100" t="s">
        <v>42</v>
      </c>
      <c r="E100" t="s">
        <v>140</v>
      </c>
      <c r="F100" s="25">
        <v>46069</v>
      </c>
      <c r="G100" t="s">
        <v>382</v>
      </c>
      <c r="H100" t="s">
        <v>412</v>
      </c>
      <c r="I100" t="s">
        <v>371</v>
      </c>
      <c r="J100" t="s">
        <v>36</v>
      </c>
      <c r="K100" t="s">
        <v>37</v>
      </c>
      <c r="L100" t="s">
        <v>351</v>
      </c>
      <c r="M100" t="s">
        <v>141</v>
      </c>
      <c r="N100" t="s">
        <v>142</v>
      </c>
      <c r="O100" t="s">
        <v>155</v>
      </c>
      <c r="P100" t="s">
        <v>281</v>
      </c>
      <c r="Q100" t="s">
        <v>155</v>
      </c>
      <c r="R100" t="s">
        <v>302</v>
      </c>
      <c r="S100" t="s">
        <v>345</v>
      </c>
      <c r="T100">
        <v>1</v>
      </c>
      <c r="U100" t="s">
        <v>409</v>
      </c>
      <c r="V100" t="s">
        <v>343</v>
      </c>
      <c r="W100" t="s">
        <v>413</v>
      </c>
      <c r="X100" t="s">
        <v>306</v>
      </c>
      <c r="Y100" t="s">
        <v>307</v>
      </c>
      <c r="Z100">
        <v>65</v>
      </c>
      <c r="AA100">
        <v>70</v>
      </c>
      <c r="AB100" t="s">
        <v>143</v>
      </c>
      <c r="AC100" t="s">
        <v>149</v>
      </c>
      <c r="AD100" t="s">
        <v>404</v>
      </c>
      <c r="AE100" t="str">
        <f>IF(AF100="","",VLOOKUP(AC100,mapel!$A$2:$B$42,2,FALSE))</f>
        <v>B.Indo</v>
      </c>
      <c r="AF100">
        <f t="shared" si="3"/>
        <v>70</v>
      </c>
      <c r="AG100" t="str">
        <f>IF(AF100="","",IF(AF100&gt;90,"Sangat baik",IF(AF100&gt;79,"Baik",IF(AF100&gt;=pub_gid_0_single_true_output_csv[[#This Row],[KKM]],"Cukup","Kurang"))))</f>
        <v>Cukup</v>
      </c>
      <c r="AH100">
        <f t="shared" si="4"/>
        <v>11</v>
      </c>
      <c r="AI100" s="30" t="str">
        <f>IF(OR(J100&lt;&gt;"Karakter",pub_gid_0_single_true_output_csv[[#This Row],[Nilai2]]=""),"",IF(AF100&gt;89,"Sangat baik",IF(AF100&gt;79,"Baik",IF(AF100&gt;69,"Cukup",IF(AF100&gt;59,"Kurang","Sangat kurang")))))</f>
        <v/>
      </c>
      <c r="AJ100" t="str">
        <f t="shared" si="5"/>
        <v>Wk.8</v>
      </c>
      <c r="AK100" t="str">
        <f>IF(pub_gid_0_single_true_output_csv[[#This Row],[Nilai2]]="","",VLOOKUP(pub_gid_0_single_true_output_csv[[#This Row],[NAMA]],Table7[],3,FALSE))</f>
        <v>Superior</v>
      </c>
    </row>
    <row r="101" spans="1:37" x14ac:dyDescent="0.2">
      <c r="A101">
        <v>100</v>
      </c>
      <c r="B101" t="s">
        <v>290</v>
      </c>
      <c r="C101" t="s">
        <v>54</v>
      </c>
      <c r="D101" t="s">
        <v>42</v>
      </c>
      <c r="E101" t="s">
        <v>140</v>
      </c>
      <c r="F101" s="25">
        <v>46069</v>
      </c>
      <c r="G101" t="s">
        <v>382</v>
      </c>
      <c r="H101" t="s">
        <v>412</v>
      </c>
      <c r="I101" t="s">
        <v>371</v>
      </c>
      <c r="J101" t="s">
        <v>31</v>
      </c>
      <c r="K101" t="s">
        <v>96</v>
      </c>
      <c r="L101" t="s">
        <v>351</v>
      </c>
      <c r="M101" t="s">
        <v>141</v>
      </c>
      <c r="N101" t="s">
        <v>142</v>
      </c>
      <c r="O101" t="s">
        <v>155</v>
      </c>
      <c r="P101" t="s">
        <v>281</v>
      </c>
      <c r="Q101" t="s">
        <v>155</v>
      </c>
      <c r="R101" t="s">
        <v>302</v>
      </c>
      <c r="S101" t="s">
        <v>345</v>
      </c>
      <c r="T101">
        <v>1</v>
      </c>
      <c r="U101" t="s">
        <v>409</v>
      </c>
      <c r="V101" t="s">
        <v>343</v>
      </c>
      <c r="W101" t="s">
        <v>413</v>
      </c>
      <c r="X101" t="s">
        <v>306</v>
      </c>
      <c r="Y101" t="s">
        <v>307</v>
      </c>
      <c r="Z101">
        <v>65</v>
      </c>
      <c r="AA101">
        <v>70</v>
      </c>
      <c r="AB101" t="s">
        <v>143</v>
      </c>
      <c r="AC101" t="s">
        <v>149</v>
      </c>
      <c r="AD101" t="s">
        <v>404</v>
      </c>
      <c r="AE101" t="str">
        <f>IF(AF101="","",VLOOKUP(AC101,mapel!$A$2:$B$42,2,FALSE))</f>
        <v>B.Indo</v>
      </c>
      <c r="AF101">
        <f t="shared" si="3"/>
        <v>70</v>
      </c>
      <c r="AG101" t="str">
        <f>IF(AF101="","",IF(AF101&gt;90,"Sangat baik",IF(AF101&gt;79,"Baik",IF(AF101&gt;=pub_gid_0_single_true_output_csv[[#This Row],[KKM]],"Cukup","Kurang"))))</f>
        <v>Cukup</v>
      </c>
      <c r="AH101">
        <f t="shared" si="4"/>
        <v>11</v>
      </c>
      <c r="AI101" s="30" t="str">
        <f>IF(OR(J101&lt;&gt;"Karakter",pub_gid_0_single_true_output_csv[[#This Row],[Nilai2]]=""),"",IF(AF101&gt;89,"Sangat baik",IF(AF101&gt;79,"Baik",IF(AF101&gt;69,"Cukup",IF(AF101&gt;59,"Kurang","Sangat kurang")))))</f>
        <v/>
      </c>
      <c r="AJ101" t="str">
        <f t="shared" si="5"/>
        <v>Wk.8</v>
      </c>
      <c r="AK101" t="str">
        <f>IF(pub_gid_0_single_true_output_csv[[#This Row],[Nilai2]]="","",VLOOKUP(pub_gid_0_single_true_output_csv[[#This Row],[NAMA]],Table7[],3,FALSE))</f>
        <v>Superior</v>
      </c>
    </row>
    <row r="102" spans="1:37" x14ac:dyDescent="0.2">
      <c r="A102">
        <v>101</v>
      </c>
      <c r="B102" t="s">
        <v>290</v>
      </c>
      <c r="C102" t="s">
        <v>54</v>
      </c>
      <c r="D102" t="s">
        <v>42</v>
      </c>
      <c r="E102" t="s">
        <v>140</v>
      </c>
      <c r="F102" s="25">
        <v>46069</v>
      </c>
      <c r="G102" t="s">
        <v>382</v>
      </c>
      <c r="H102" t="s">
        <v>412</v>
      </c>
      <c r="I102" t="s">
        <v>371</v>
      </c>
      <c r="J102" t="s">
        <v>90</v>
      </c>
      <c r="K102" t="s">
        <v>92</v>
      </c>
      <c r="L102" t="s">
        <v>93</v>
      </c>
      <c r="M102" t="s">
        <v>141</v>
      </c>
      <c r="N102" t="s">
        <v>142</v>
      </c>
      <c r="O102" t="s">
        <v>155</v>
      </c>
      <c r="P102" t="s">
        <v>281</v>
      </c>
      <c r="Q102" t="s">
        <v>155</v>
      </c>
      <c r="R102" t="s">
        <v>302</v>
      </c>
      <c r="S102" t="s">
        <v>345</v>
      </c>
      <c r="T102">
        <v>1</v>
      </c>
      <c r="U102" t="s">
        <v>409</v>
      </c>
      <c r="V102" t="s">
        <v>343</v>
      </c>
      <c r="W102" t="s">
        <v>413</v>
      </c>
      <c r="X102" t="s">
        <v>306</v>
      </c>
      <c r="Y102" t="s">
        <v>307</v>
      </c>
      <c r="Z102">
        <v>65</v>
      </c>
      <c r="AA102">
        <v>70</v>
      </c>
      <c r="AB102" t="s">
        <v>143</v>
      </c>
      <c r="AC102" t="s">
        <v>149</v>
      </c>
      <c r="AD102" t="s">
        <v>404</v>
      </c>
      <c r="AE102" t="str">
        <f>IF(AF102="","",VLOOKUP(AC102,mapel!$A$2:$B$42,2,FALSE))</f>
        <v>B.Indo</v>
      </c>
      <c r="AF102">
        <f t="shared" si="3"/>
        <v>70</v>
      </c>
      <c r="AG102" t="str">
        <f>IF(AF102="","",IF(AF102&gt;90,"Sangat baik",IF(AF102&gt;79,"Baik",IF(AF102&gt;=pub_gid_0_single_true_output_csv[[#This Row],[KKM]],"Cukup","Kurang"))))</f>
        <v>Cukup</v>
      </c>
      <c r="AH102">
        <f t="shared" si="4"/>
        <v>11</v>
      </c>
      <c r="AI102" s="30" t="str">
        <f>IF(OR(J102&lt;&gt;"Karakter",pub_gid_0_single_true_output_csv[[#This Row],[Nilai2]]=""),"",IF(AF102&gt;89,"Sangat baik",IF(AF102&gt;79,"Baik",IF(AF102&gt;69,"Cukup",IF(AF102&gt;59,"Kurang","Sangat kurang")))))</f>
        <v>Cukup</v>
      </c>
      <c r="AJ102" t="str">
        <f t="shared" si="5"/>
        <v>Wk.8</v>
      </c>
      <c r="AK102" t="str">
        <f>IF(pub_gid_0_single_true_output_csv[[#This Row],[Nilai2]]="","",VLOOKUP(pub_gid_0_single_true_output_csv[[#This Row],[NAMA]],Table7[],3,FALSE))</f>
        <v>Superior</v>
      </c>
    </row>
    <row r="103" spans="1:37" x14ac:dyDescent="0.2">
      <c r="A103">
        <v>102</v>
      </c>
      <c r="B103" t="s">
        <v>290</v>
      </c>
      <c r="C103" t="s">
        <v>54</v>
      </c>
      <c r="D103" t="s">
        <v>42</v>
      </c>
      <c r="E103" t="s">
        <v>140</v>
      </c>
      <c r="F103" s="25">
        <v>46069</v>
      </c>
      <c r="G103" t="s">
        <v>382</v>
      </c>
      <c r="H103" t="s">
        <v>412</v>
      </c>
      <c r="I103" t="s">
        <v>371</v>
      </c>
      <c r="J103" t="s">
        <v>279</v>
      </c>
      <c r="K103" t="s">
        <v>280</v>
      </c>
      <c r="L103" t="s">
        <v>322</v>
      </c>
      <c r="M103" t="s">
        <v>141</v>
      </c>
      <c r="N103" t="s">
        <v>142</v>
      </c>
      <c r="O103" t="s">
        <v>155</v>
      </c>
      <c r="P103" t="s">
        <v>281</v>
      </c>
      <c r="Q103" t="s">
        <v>155</v>
      </c>
      <c r="R103" t="s">
        <v>302</v>
      </c>
      <c r="S103" t="s">
        <v>345</v>
      </c>
      <c r="T103">
        <v>1</v>
      </c>
      <c r="U103" t="s">
        <v>409</v>
      </c>
      <c r="V103" t="s">
        <v>343</v>
      </c>
      <c r="W103" t="s">
        <v>413</v>
      </c>
      <c r="X103" t="s">
        <v>306</v>
      </c>
      <c r="Y103" t="s">
        <v>307</v>
      </c>
      <c r="Z103">
        <v>65</v>
      </c>
      <c r="AA103">
        <v>70</v>
      </c>
      <c r="AB103" t="s">
        <v>143</v>
      </c>
      <c r="AC103" t="s">
        <v>149</v>
      </c>
      <c r="AD103" t="s">
        <v>404</v>
      </c>
      <c r="AE103" t="str">
        <f>IF(AF103="","",VLOOKUP(AC103,mapel!$A$2:$B$42,2,FALSE))</f>
        <v>B.Indo</v>
      </c>
      <c r="AF103">
        <f t="shared" si="3"/>
        <v>70</v>
      </c>
      <c r="AG103" t="str">
        <f>IF(AF103="","",IF(AF103&gt;90,"Sangat baik",IF(AF103&gt;79,"Baik",IF(AF103&gt;=pub_gid_0_single_true_output_csv[[#This Row],[KKM]],"Cukup","Kurang"))))</f>
        <v>Cukup</v>
      </c>
      <c r="AH103">
        <f t="shared" si="4"/>
        <v>11</v>
      </c>
      <c r="AI103" s="30" t="str">
        <f>IF(OR(J103&lt;&gt;"Karakter",pub_gid_0_single_true_output_csv[[#This Row],[Nilai2]]=""),"",IF(AF103&gt;89,"Sangat baik",IF(AF103&gt;79,"Baik",IF(AF103&gt;69,"Cukup",IF(AF103&gt;59,"Kurang","Sangat kurang")))))</f>
        <v/>
      </c>
      <c r="AJ103" t="str">
        <f t="shared" si="5"/>
        <v>Wk.8</v>
      </c>
      <c r="AK103" t="str">
        <f>IF(pub_gid_0_single_true_output_csv[[#This Row],[Nilai2]]="","",VLOOKUP(pub_gid_0_single_true_output_csv[[#This Row],[NAMA]],Table7[],3,FALSE))</f>
        <v>Superior</v>
      </c>
    </row>
    <row r="104" spans="1:37" x14ac:dyDescent="0.2">
      <c r="A104">
        <v>103</v>
      </c>
      <c r="B104" t="s">
        <v>291</v>
      </c>
      <c r="C104" t="s">
        <v>54</v>
      </c>
      <c r="D104" t="s">
        <v>43</v>
      </c>
      <c r="E104" t="s">
        <v>146</v>
      </c>
      <c r="F104" s="25">
        <v>46034</v>
      </c>
      <c r="G104" t="s">
        <v>354</v>
      </c>
      <c r="H104" t="s">
        <v>405</v>
      </c>
      <c r="I104" t="s">
        <v>371</v>
      </c>
      <c r="J104" t="s">
        <v>36</v>
      </c>
      <c r="K104" t="s">
        <v>362</v>
      </c>
      <c r="L104" t="s">
        <v>408</v>
      </c>
      <c r="M104" t="s">
        <v>141</v>
      </c>
      <c r="N104" t="s">
        <v>142</v>
      </c>
      <c r="O104" t="s">
        <v>155</v>
      </c>
      <c r="P104" t="s">
        <v>281</v>
      </c>
      <c r="Q104" t="s">
        <v>155</v>
      </c>
      <c r="R104" t="s">
        <v>273</v>
      </c>
      <c r="S104" t="s">
        <v>309</v>
      </c>
      <c r="T104">
        <v>1</v>
      </c>
      <c r="U104" t="s">
        <v>409</v>
      </c>
      <c r="V104" t="s">
        <v>285</v>
      </c>
      <c r="W104" t="s">
        <v>410</v>
      </c>
      <c r="X104" t="s">
        <v>306</v>
      </c>
      <c r="Y104" t="s">
        <v>307</v>
      </c>
      <c r="Z104">
        <v>65</v>
      </c>
      <c r="AA104">
        <v>23</v>
      </c>
      <c r="AB104" t="s">
        <v>151</v>
      </c>
      <c r="AC104" t="s">
        <v>149</v>
      </c>
      <c r="AD104" t="s">
        <v>404</v>
      </c>
      <c r="AE104" t="str">
        <f>IF(AF104="","",VLOOKUP(AC104,mapel!$A$2:$B$42,2,FALSE))</f>
        <v>B.Indo</v>
      </c>
      <c r="AF104">
        <f t="shared" si="3"/>
        <v>23</v>
      </c>
      <c r="AG104" t="str">
        <f>IF(AF104="","",IF(AF104&gt;90,"Sangat baik",IF(AF104&gt;79,"Baik",IF(AF104&gt;=pub_gid_0_single_true_output_csv[[#This Row],[KKM]],"Cukup","Kurang"))))</f>
        <v>Kurang</v>
      </c>
      <c r="AH104">
        <f t="shared" si="4"/>
        <v>11</v>
      </c>
      <c r="AI104" s="30" t="str">
        <f>IF(OR(J104&lt;&gt;"Karakter",pub_gid_0_single_true_output_csv[[#This Row],[Nilai2]]=""),"",IF(AF104&gt;89,"Sangat baik",IF(AF104&gt;79,"Baik",IF(AF104&gt;69,"Cukup",IF(AF104&gt;59,"Kurang","Sangat kurang")))))</f>
        <v/>
      </c>
      <c r="AJ104" t="str">
        <f t="shared" si="5"/>
        <v>Wk.3</v>
      </c>
      <c r="AK104" t="str">
        <f>IF(pub_gid_0_single_true_output_csv[[#This Row],[Nilai2]]="","",VLOOKUP(pub_gid_0_single_true_output_csv[[#This Row],[NAMA]],Table7[],3,FALSE))</f>
        <v>High average</v>
      </c>
    </row>
    <row r="105" spans="1:37" x14ac:dyDescent="0.2">
      <c r="A105">
        <v>104</v>
      </c>
      <c r="B105" t="s">
        <v>291</v>
      </c>
      <c r="C105" t="s">
        <v>54</v>
      </c>
      <c r="D105" t="s">
        <v>43</v>
      </c>
      <c r="E105" t="s">
        <v>146</v>
      </c>
      <c r="F105" s="25">
        <v>46035</v>
      </c>
      <c r="G105" t="s">
        <v>358</v>
      </c>
      <c r="H105" t="s">
        <v>405</v>
      </c>
      <c r="I105" t="s">
        <v>371</v>
      </c>
      <c r="J105" t="s">
        <v>36</v>
      </c>
      <c r="K105" t="s">
        <v>37</v>
      </c>
      <c r="L105" t="s">
        <v>150</v>
      </c>
      <c r="M105" t="s">
        <v>141</v>
      </c>
      <c r="N105" t="s">
        <v>142</v>
      </c>
      <c r="O105" t="s">
        <v>155</v>
      </c>
      <c r="P105" t="s">
        <v>281</v>
      </c>
      <c r="Q105" t="s">
        <v>155</v>
      </c>
      <c r="R105" t="s">
        <v>273</v>
      </c>
      <c r="S105" t="s">
        <v>309</v>
      </c>
      <c r="T105">
        <v>1</v>
      </c>
      <c r="U105" t="s">
        <v>409</v>
      </c>
      <c r="V105" t="s">
        <v>285</v>
      </c>
      <c r="W105" t="s">
        <v>410</v>
      </c>
      <c r="X105" t="s">
        <v>306</v>
      </c>
      <c r="Y105" t="s">
        <v>307</v>
      </c>
      <c r="Z105">
        <v>65</v>
      </c>
      <c r="AA105">
        <v>90</v>
      </c>
      <c r="AB105" t="s">
        <v>143</v>
      </c>
      <c r="AC105" t="s">
        <v>149</v>
      </c>
      <c r="AD105" t="s">
        <v>404</v>
      </c>
      <c r="AE105" t="str">
        <f>IF(AF105="","",VLOOKUP(AC105,mapel!$A$2:$B$42,2,FALSE))</f>
        <v>B.Indo</v>
      </c>
      <c r="AF105">
        <f t="shared" si="3"/>
        <v>90</v>
      </c>
      <c r="AG105" t="str">
        <f>IF(AF105="","",IF(AF105&gt;90,"Sangat baik",IF(AF105&gt;79,"Baik",IF(AF105&gt;=pub_gid_0_single_true_output_csv[[#This Row],[KKM]],"Cukup","Kurang"))))</f>
        <v>Baik</v>
      </c>
      <c r="AH105">
        <f t="shared" si="4"/>
        <v>11</v>
      </c>
      <c r="AI105" s="30" t="str">
        <f>IF(OR(J105&lt;&gt;"Karakter",pub_gid_0_single_true_output_csv[[#This Row],[Nilai2]]=""),"",IF(AF105&gt;89,"Sangat baik",IF(AF105&gt;79,"Baik",IF(AF105&gt;69,"Cukup",IF(AF105&gt;59,"Kurang","Sangat kurang")))))</f>
        <v/>
      </c>
      <c r="AJ105" t="str">
        <f t="shared" si="5"/>
        <v>Wk.3</v>
      </c>
      <c r="AK105" t="str">
        <f>IF(pub_gid_0_single_true_output_csv[[#This Row],[Nilai2]]="","",VLOOKUP(pub_gid_0_single_true_output_csv[[#This Row],[NAMA]],Table7[],3,FALSE))</f>
        <v>High average</v>
      </c>
    </row>
    <row r="106" spans="1:37" x14ac:dyDescent="0.2">
      <c r="A106">
        <v>105</v>
      </c>
      <c r="B106" t="s">
        <v>291</v>
      </c>
      <c r="C106" t="s">
        <v>54</v>
      </c>
      <c r="D106" t="s">
        <v>43</v>
      </c>
      <c r="E106" t="s">
        <v>146</v>
      </c>
      <c r="F106" s="25">
        <v>46035</v>
      </c>
      <c r="G106" t="s">
        <v>358</v>
      </c>
      <c r="H106" t="s">
        <v>405</v>
      </c>
      <c r="I106" t="s">
        <v>371</v>
      </c>
      <c r="J106" t="s">
        <v>31</v>
      </c>
      <c r="K106" t="s">
        <v>32</v>
      </c>
      <c r="L106" t="s">
        <v>150</v>
      </c>
      <c r="M106" t="s">
        <v>141</v>
      </c>
      <c r="N106" t="s">
        <v>142</v>
      </c>
      <c r="O106" t="s">
        <v>155</v>
      </c>
      <c r="P106" t="s">
        <v>281</v>
      </c>
      <c r="Q106" t="s">
        <v>155</v>
      </c>
      <c r="R106" t="s">
        <v>273</v>
      </c>
      <c r="S106" t="s">
        <v>309</v>
      </c>
      <c r="T106">
        <v>1</v>
      </c>
      <c r="U106" t="s">
        <v>409</v>
      </c>
      <c r="V106" t="s">
        <v>285</v>
      </c>
      <c r="W106" t="s">
        <v>410</v>
      </c>
      <c r="X106" t="s">
        <v>306</v>
      </c>
      <c r="Y106" t="s">
        <v>307</v>
      </c>
      <c r="Z106">
        <v>65</v>
      </c>
      <c r="AA106">
        <v>70</v>
      </c>
      <c r="AB106" t="s">
        <v>143</v>
      </c>
      <c r="AC106" t="s">
        <v>149</v>
      </c>
      <c r="AD106" t="s">
        <v>404</v>
      </c>
      <c r="AE106" t="str">
        <f>IF(AF106="","",VLOOKUP(AC106,mapel!$A$2:$B$42,2,FALSE))</f>
        <v>B.Indo</v>
      </c>
      <c r="AF106">
        <f t="shared" si="3"/>
        <v>70</v>
      </c>
      <c r="AG106" t="str">
        <f>IF(AF106="","",IF(AF106&gt;90,"Sangat baik",IF(AF106&gt;79,"Baik",IF(AF106&gt;=pub_gid_0_single_true_output_csv[[#This Row],[KKM]],"Cukup","Kurang"))))</f>
        <v>Cukup</v>
      </c>
      <c r="AH106">
        <f t="shared" si="4"/>
        <v>11</v>
      </c>
      <c r="AI106" s="30" t="str">
        <f>IF(OR(J106&lt;&gt;"Karakter",pub_gid_0_single_true_output_csv[[#This Row],[Nilai2]]=""),"",IF(AF106&gt;89,"Sangat baik",IF(AF106&gt;79,"Baik",IF(AF106&gt;69,"Cukup",IF(AF106&gt;59,"Kurang","Sangat kurang")))))</f>
        <v/>
      </c>
      <c r="AJ106" t="str">
        <f t="shared" si="5"/>
        <v>Wk.3</v>
      </c>
      <c r="AK106" t="str">
        <f>IF(pub_gid_0_single_true_output_csv[[#This Row],[Nilai2]]="","",VLOOKUP(pub_gid_0_single_true_output_csv[[#This Row],[NAMA]],Table7[],3,FALSE))</f>
        <v>High average</v>
      </c>
    </row>
    <row r="107" spans="1:37" x14ac:dyDescent="0.2">
      <c r="A107">
        <v>106</v>
      </c>
      <c r="B107" t="s">
        <v>291</v>
      </c>
      <c r="C107" t="s">
        <v>54</v>
      </c>
      <c r="D107" t="s">
        <v>43</v>
      </c>
      <c r="E107" t="s">
        <v>146</v>
      </c>
      <c r="F107" s="25">
        <v>46035</v>
      </c>
      <c r="G107" t="s">
        <v>358</v>
      </c>
      <c r="H107" t="s">
        <v>405</v>
      </c>
      <c r="I107" t="s">
        <v>371</v>
      </c>
      <c r="J107" t="s">
        <v>90</v>
      </c>
      <c r="K107" t="s">
        <v>92</v>
      </c>
      <c r="L107" t="s">
        <v>93</v>
      </c>
      <c r="M107" t="s">
        <v>141</v>
      </c>
      <c r="N107" t="s">
        <v>142</v>
      </c>
      <c r="O107" t="s">
        <v>155</v>
      </c>
      <c r="P107" t="s">
        <v>281</v>
      </c>
      <c r="Q107" t="s">
        <v>155</v>
      </c>
      <c r="R107" t="s">
        <v>273</v>
      </c>
      <c r="S107" t="s">
        <v>309</v>
      </c>
      <c r="T107">
        <v>1</v>
      </c>
      <c r="U107" t="s">
        <v>409</v>
      </c>
      <c r="V107" t="s">
        <v>285</v>
      </c>
      <c r="W107" t="s">
        <v>410</v>
      </c>
      <c r="X107" t="s">
        <v>306</v>
      </c>
      <c r="Y107" t="s">
        <v>307</v>
      </c>
      <c r="Z107">
        <v>65</v>
      </c>
      <c r="AA107">
        <v>70</v>
      </c>
      <c r="AB107" t="s">
        <v>143</v>
      </c>
      <c r="AC107" t="s">
        <v>149</v>
      </c>
      <c r="AD107" t="s">
        <v>404</v>
      </c>
      <c r="AE107" t="str">
        <f>IF(AF107="","",VLOOKUP(AC107,mapel!$A$2:$B$42,2,FALSE))</f>
        <v>B.Indo</v>
      </c>
      <c r="AF107">
        <f t="shared" si="3"/>
        <v>70</v>
      </c>
      <c r="AG107" t="str">
        <f>IF(AF107="","",IF(AF107&gt;90,"Sangat baik",IF(AF107&gt;79,"Baik",IF(AF107&gt;=pub_gid_0_single_true_output_csv[[#This Row],[KKM]],"Cukup","Kurang"))))</f>
        <v>Cukup</v>
      </c>
      <c r="AH107">
        <f t="shared" si="4"/>
        <v>11</v>
      </c>
      <c r="AI107" s="30" t="str">
        <f>IF(OR(J107&lt;&gt;"Karakter",pub_gid_0_single_true_output_csv[[#This Row],[Nilai2]]=""),"",IF(AF107&gt;89,"Sangat baik",IF(AF107&gt;79,"Baik",IF(AF107&gt;69,"Cukup",IF(AF107&gt;59,"Kurang","Sangat kurang")))))</f>
        <v>Cukup</v>
      </c>
      <c r="AJ107" t="str">
        <f t="shared" si="5"/>
        <v>Wk.3</v>
      </c>
      <c r="AK107" t="str">
        <f>IF(pub_gid_0_single_true_output_csv[[#This Row],[Nilai2]]="","",VLOOKUP(pub_gid_0_single_true_output_csv[[#This Row],[NAMA]],Table7[],3,FALSE))</f>
        <v>High average</v>
      </c>
    </row>
    <row r="108" spans="1:37" x14ac:dyDescent="0.2">
      <c r="A108">
        <v>107</v>
      </c>
      <c r="B108" t="s">
        <v>291</v>
      </c>
      <c r="C108" t="s">
        <v>54</v>
      </c>
      <c r="D108" t="s">
        <v>43</v>
      </c>
      <c r="E108" t="s">
        <v>146</v>
      </c>
      <c r="F108" s="25">
        <v>46035</v>
      </c>
      <c r="G108" t="s">
        <v>358</v>
      </c>
      <c r="H108" t="s">
        <v>405</v>
      </c>
      <c r="I108" t="s">
        <v>371</v>
      </c>
      <c r="J108" t="s">
        <v>279</v>
      </c>
      <c r="K108" t="s">
        <v>280</v>
      </c>
      <c r="L108" t="s">
        <v>150</v>
      </c>
      <c r="M108" t="s">
        <v>141</v>
      </c>
      <c r="N108" t="s">
        <v>142</v>
      </c>
      <c r="O108" t="s">
        <v>155</v>
      </c>
      <c r="P108" t="s">
        <v>281</v>
      </c>
      <c r="Q108" t="s">
        <v>155</v>
      </c>
      <c r="R108" t="s">
        <v>273</v>
      </c>
      <c r="S108" t="s">
        <v>309</v>
      </c>
      <c r="T108">
        <v>1</v>
      </c>
      <c r="U108" t="s">
        <v>409</v>
      </c>
      <c r="V108" t="s">
        <v>285</v>
      </c>
      <c r="W108" t="s">
        <v>410</v>
      </c>
      <c r="X108" t="s">
        <v>306</v>
      </c>
      <c r="Y108" t="s">
        <v>307</v>
      </c>
      <c r="Z108">
        <v>65</v>
      </c>
      <c r="AA108">
        <v>70</v>
      </c>
      <c r="AB108" t="s">
        <v>143</v>
      </c>
      <c r="AC108" t="s">
        <v>149</v>
      </c>
      <c r="AD108" t="s">
        <v>404</v>
      </c>
      <c r="AE108" t="str">
        <f>IF(AF108="","",VLOOKUP(AC108,mapel!$A$2:$B$42,2,FALSE))</f>
        <v>B.Indo</v>
      </c>
      <c r="AF108">
        <f t="shared" si="3"/>
        <v>70</v>
      </c>
      <c r="AG108" t="str">
        <f>IF(AF108="","",IF(AF108&gt;90,"Sangat baik",IF(AF108&gt;79,"Baik",IF(AF108&gt;=pub_gid_0_single_true_output_csv[[#This Row],[KKM]],"Cukup","Kurang"))))</f>
        <v>Cukup</v>
      </c>
      <c r="AH108">
        <f t="shared" si="4"/>
        <v>11</v>
      </c>
      <c r="AI108" s="30" t="str">
        <f>IF(OR(J108&lt;&gt;"Karakter",pub_gid_0_single_true_output_csv[[#This Row],[Nilai2]]=""),"",IF(AF108&gt;89,"Sangat baik",IF(AF108&gt;79,"Baik",IF(AF108&gt;69,"Cukup",IF(AF108&gt;59,"Kurang","Sangat kurang")))))</f>
        <v/>
      </c>
      <c r="AJ108" t="str">
        <f t="shared" si="5"/>
        <v>Wk.3</v>
      </c>
      <c r="AK108" t="str">
        <f>IF(pub_gid_0_single_true_output_csv[[#This Row],[Nilai2]]="","",VLOOKUP(pub_gid_0_single_true_output_csv[[#This Row],[NAMA]],Table7[],3,FALSE))</f>
        <v>High average</v>
      </c>
    </row>
    <row r="109" spans="1:37" x14ac:dyDescent="0.2">
      <c r="A109">
        <v>108</v>
      </c>
      <c r="B109" t="s">
        <v>291</v>
      </c>
      <c r="C109" t="s">
        <v>54</v>
      </c>
      <c r="D109" t="s">
        <v>43</v>
      </c>
      <c r="E109" t="s">
        <v>146</v>
      </c>
      <c r="F109" s="25">
        <v>46041</v>
      </c>
      <c r="G109" t="s">
        <v>370</v>
      </c>
      <c r="H109" t="s">
        <v>405</v>
      </c>
      <c r="I109" t="s">
        <v>371</v>
      </c>
      <c r="J109" t="s">
        <v>36</v>
      </c>
      <c r="K109" t="s">
        <v>37</v>
      </c>
      <c r="L109" t="s">
        <v>321</v>
      </c>
      <c r="M109" t="s">
        <v>141</v>
      </c>
      <c r="N109" t="s">
        <v>142</v>
      </c>
      <c r="O109" t="s">
        <v>155</v>
      </c>
      <c r="P109" t="s">
        <v>281</v>
      </c>
      <c r="Q109" t="s">
        <v>155</v>
      </c>
      <c r="R109" t="s">
        <v>273</v>
      </c>
      <c r="S109" t="s">
        <v>309</v>
      </c>
      <c r="T109">
        <v>1</v>
      </c>
      <c r="U109" t="s">
        <v>409</v>
      </c>
      <c r="V109" t="s">
        <v>285</v>
      </c>
      <c r="W109" t="s">
        <v>410</v>
      </c>
      <c r="X109" t="s">
        <v>306</v>
      </c>
      <c r="Y109" t="s">
        <v>307</v>
      </c>
      <c r="Z109">
        <v>65</v>
      </c>
      <c r="AA109">
        <v>100</v>
      </c>
      <c r="AB109" t="s">
        <v>143</v>
      </c>
      <c r="AC109" t="s">
        <v>149</v>
      </c>
      <c r="AD109" t="s">
        <v>404</v>
      </c>
      <c r="AE109" t="str">
        <f>IF(AF109="","",VLOOKUP(AC109,mapel!$A$2:$B$42,2,FALSE))</f>
        <v>B.Indo</v>
      </c>
      <c r="AF109">
        <f t="shared" si="3"/>
        <v>100</v>
      </c>
      <c r="AG109" t="str">
        <f>IF(AF109="","",IF(AF109&gt;90,"Sangat baik",IF(AF109&gt;79,"Baik",IF(AF109&gt;=pub_gid_0_single_true_output_csv[[#This Row],[KKM]],"Cukup","Kurang"))))</f>
        <v>Sangat baik</v>
      </c>
      <c r="AH109">
        <f t="shared" si="4"/>
        <v>11</v>
      </c>
      <c r="AI109" s="30" t="str">
        <f>IF(OR(J109&lt;&gt;"Karakter",pub_gid_0_single_true_output_csv[[#This Row],[Nilai2]]=""),"",IF(AF109&gt;89,"Sangat baik",IF(AF109&gt;79,"Baik",IF(AF109&gt;69,"Cukup",IF(AF109&gt;59,"Kurang","Sangat kurang")))))</f>
        <v/>
      </c>
      <c r="AJ109" t="str">
        <f t="shared" si="5"/>
        <v>Wk.4</v>
      </c>
      <c r="AK109" t="str">
        <f>IF(pub_gid_0_single_true_output_csv[[#This Row],[Nilai2]]="","",VLOOKUP(pub_gid_0_single_true_output_csv[[#This Row],[NAMA]],Table7[],3,FALSE))</f>
        <v>High average</v>
      </c>
    </row>
    <row r="110" spans="1:37" x14ac:dyDescent="0.2">
      <c r="A110">
        <v>109</v>
      </c>
      <c r="B110" t="s">
        <v>291</v>
      </c>
      <c r="C110" t="s">
        <v>54</v>
      </c>
      <c r="D110" t="s">
        <v>43</v>
      </c>
      <c r="E110" t="s">
        <v>146</v>
      </c>
      <c r="F110" s="25">
        <v>46041</v>
      </c>
      <c r="G110" t="s">
        <v>370</v>
      </c>
      <c r="H110" t="s">
        <v>405</v>
      </c>
      <c r="I110" t="s">
        <v>371</v>
      </c>
      <c r="J110" t="s">
        <v>31</v>
      </c>
      <c r="K110" t="s">
        <v>96</v>
      </c>
      <c r="L110" t="s">
        <v>321</v>
      </c>
      <c r="M110" t="s">
        <v>141</v>
      </c>
      <c r="N110" t="s">
        <v>142</v>
      </c>
      <c r="O110" t="s">
        <v>155</v>
      </c>
      <c r="P110" t="s">
        <v>281</v>
      </c>
      <c r="Q110" t="s">
        <v>155</v>
      </c>
      <c r="R110" t="s">
        <v>302</v>
      </c>
      <c r="S110" t="s">
        <v>309</v>
      </c>
      <c r="T110">
        <v>1</v>
      </c>
      <c r="U110" t="s">
        <v>409</v>
      </c>
      <c r="V110" t="s">
        <v>285</v>
      </c>
      <c r="W110" t="s">
        <v>410</v>
      </c>
      <c r="X110" t="s">
        <v>306</v>
      </c>
      <c r="Y110" t="s">
        <v>307</v>
      </c>
      <c r="Z110">
        <v>65</v>
      </c>
      <c r="AA110">
        <v>75</v>
      </c>
      <c r="AB110" t="s">
        <v>143</v>
      </c>
      <c r="AC110" t="s">
        <v>149</v>
      </c>
      <c r="AD110" t="s">
        <v>404</v>
      </c>
      <c r="AE110" t="str">
        <f>IF(AF110="","",VLOOKUP(AC110,mapel!$A$2:$B$42,2,FALSE))</f>
        <v>B.Indo</v>
      </c>
      <c r="AF110">
        <f t="shared" si="3"/>
        <v>75</v>
      </c>
      <c r="AG110" t="str">
        <f>IF(AF110="","",IF(AF110&gt;90,"Sangat baik",IF(AF110&gt;79,"Baik",IF(AF110&gt;=pub_gid_0_single_true_output_csv[[#This Row],[KKM]],"Cukup","Kurang"))))</f>
        <v>Cukup</v>
      </c>
      <c r="AH110">
        <f t="shared" si="4"/>
        <v>11</v>
      </c>
      <c r="AI110" s="30" t="str">
        <f>IF(OR(J110&lt;&gt;"Karakter",pub_gid_0_single_true_output_csv[[#This Row],[Nilai2]]=""),"",IF(AF110&gt;89,"Sangat baik",IF(AF110&gt;79,"Baik",IF(AF110&gt;69,"Cukup",IF(AF110&gt;59,"Kurang","Sangat kurang")))))</f>
        <v/>
      </c>
      <c r="AJ110" t="str">
        <f t="shared" si="5"/>
        <v>Wk.4</v>
      </c>
      <c r="AK110" t="str">
        <f>IF(pub_gid_0_single_true_output_csv[[#This Row],[Nilai2]]="","",VLOOKUP(pub_gid_0_single_true_output_csv[[#This Row],[NAMA]],Table7[],3,FALSE))</f>
        <v>High average</v>
      </c>
    </row>
    <row r="111" spans="1:37" x14ac:dyDescent="0.2">
      <c r="A111">
        <v>110</v>
      </c>
      <c r="B111" t="s">
        <v>291</v>
      </c>
      <c r="C111" t="s">
        <v>54</v>
      </c>
      <c r="D111" t="s">
        <v>43</v>
      </c>
      <c r="E111" t="s">
        <v>146</v>
      </c>
      <c r="F111" s="25">
        <v>46041</v>
      </c>
      <c r="G111" t="s">
        <v>370</v>
      </c>
      <c r="H111" t="s">
        <v>405</v>
      </c>
      <c r="I111" t="s">
        <v>371</v>
      </c>
      <c r="J111" t="s">
        <v>90</v>
      </c>
      <c r="K111" t="s">
        <v>92</v>
      </c>
      <c r="L111" t="s">
        <v>91</v>
      </c>
      <c r="M111" t="s">
        <v>141</v>
      </c>
      <c r="N111" t="s">
        <v>142</v>
      </c>
      <c r="O111" t="s">
        <v>155</v>
      </c>
      <c r="P111" t="s">
        <v>281</v>
      </c>
      <c r="Q111" t="s">
        <v>155</v>
      </c>
      <c r="R111" t="s">
        <v>302</v>
      </c>
      <c r="S111" t="s">
        <v>309</v>
      </c>
      <c r="T111">
        <v>1</v>
      </c>
      <c r="U111" t="s">
        <v>409</v>
      </c>
      <c r="V111" t="s">
        <v>285</v>
      </c>
      <c r="W111" t="s">
        <v>410</v>
      </c>
      <c r="X111" t="s">
        <v>306</v>
      </c>
      <c r="Y111" t="s">
        <v>307</v>
      </c>
      <c r="Z111">
        <v>65</v>
      </c>
      <c r="AA111">
        <v>70</v>
      </c>
      <c r="AB111" t="s">
        <v>143</v>
      </c>
      <c r="AC111" t="s">
        <v>149</v>
      </c>
      <c r="AD111" t="s">
        <v>404</v>
      </c>
      <c r="AE111" t="str">
        <f>IF(AF111="","",VLOOKUP(AC111,mapel!$A$2:$B$42,2,FALSE))</f>
        <v>B.Indo</v>
      </c>
      <c r="AF111">
        <f t="shared" si="3"/>
        <v>70</v>
      </c>
      <c r="AG111" t="str">
        <f>IF(AF111="","",IF(AF111&gt;90,"Sangat baik",IF(AF111&gt;79,"Baik",IF(AF111&gt;=pub_gid_0_single_true_output_csv[[#This Row],[KKM]],"Cukup","Kurang"))))</f>
        <v>Cukup</v>
      </c>
      <c r="AH111">
        <f t="shared" si="4"/>
        <v>11</v>
      </c>
      <c r="AI111" s="30" t="str">
        <f>IF(OR(J111&lt;&gt;"Karakter",pub_gid_0_single_true_output_csv[[#This Row],[Nilai2]]=""),"",IF(AF111&gt;89,"Sangat baik",IF(AF111&gt;79,"Baik",IF(AF111&gt;69,"Cukup",IF(AF111&gt;59,"Kurang","Sangat kurang")))))</f>
        <v>Cukup</v>
      </c>
      <c r="AJ111" t="str">
        <f t="shared" si="5"/>
        <v>Wk.4</v>
      </c>
      <c r="AK111" t="str">
        <f>IF(pub_gid_0_single_true_output_csv[[#This Row],[Nilai2]]="","",VLOOKUP(pub_gid_0_single_true_output_csv[[#This Row],[NAMA]],Table7[],3,FALSE))</f>
        <v>High average</v>
      </c>
    </row>
    <row r="112" spans="1:37" x14ac:dyDescent="0.2">
      <c r="A112">
        <v>111</v>
      </c>
      <c r="B112" t="s">
        <v>291</v>
      </c>
      <c r="C112" t="s">
        <v>54</v>
      </c>
      <c r="D112" t="s">
        <v>43</v>
      </c>
      <c r="E112" t="s">
        <v>146</v>
      </c>
      <c r="F112" s="25">
        <v>46041</v>
      </c>
      <c r="G112" t="s">
        <v>370</v>
      </c>
      <c r="H112" t="s">
        <v>405</v>
      </c>
      <c r="I112" t="s">
        <v>371</v>
      </c>
      <c r="J112" t="s">
        <v>279</v>
      </c>
      <c r="K112" t="s">
        <v>280</v>
      </c>
      <c r="L112" t="s">
        <v>322</v>
      </c>
      <c r="M112" t="s">
        <v>141</v>
      </c>
      <c r="N112" t="s">
        <v>142</v>
      </c>
      <c r="O112" t="s">
        <v>155</v>
      </c>
      <c r="P112" t="s">
        <v>281</v>
      </c>
      <c r="Q112" t="s">
        <v>155</v>
      </c>
      <c r="R112" t="s">
        <v>302</v>
      </c>
      <c r="S112" t="s">
        <v>309</v>
      </c>
      <c r="T112">
        <v>1</v>
      </c>
      <c r="U112" t="s">
        <v>409</v>
      </c>
      <c r="V112" t="s">
        <v>285</v>
      </c>
      <c r="W112" t="s">
        <v>410</v>
      </c>
      <c r="X112" t="s">
        <v>306</v>
      </c>
      <c r="Y112" t="s">
        <v>307</v>
      </c>
      <c r="Z112">
        <v>65</v>
      </c>
      <c r="AA112">
        <v>70</v>
      </c>
      <c r="AB112" t="s">
        <v>143</v>
      </c>
      <c r="AC112" t="s">
        <v>149</v>
      </c>
      <c r="AD112" t="s">
        <v>404</v>
      </c>
      <c r="AE112" t="str">
        <f>IF(AF112="","",VLOOKUP(AC112,mapel!$A$2:$B$42,2,FALSE))</f>
        <v>B.Indo</v>
      </c>
      <c r="AF112">
        <f t="shared" si="3"/>
        <v>70</v>
      </c>
      <c r="AG112" t="str">
        <f>IF(AF112="","",IF(AF112&gt;90,"Sangat baik",IF(AF112&gt;79,"Baik",IF(AF112&gt;=pub_gid_0_single_true_output_csv[[#This Row],[KKM]],"Cukup","Kurang"))))</f>
        <v>Cukup</v>
      </c>
      <c r="AH112">
        <f t="shared" si="4"/>
        <v>11</v>
      </c>
      <c r="AI112" s="30" t="str">
        <f>IF(OR(J112&lt;&gt;"Karakter",pub_gid_0_single_true_output_csv[[#This Row],[Nilai2]]=""),"",IF(AF112&gt;89,"Sangat baik",IF(AF112&gt;79,"Baik",IF(AF112&gt;69,"Cukup",IF(AF112&gt;59,"Kurang","Sangat kurang")))))</f>
        <v/>
      </c>
      <c r="AJ112" t="str">
        <f t="shared" si="5"/>
        <v>Wk.4</v>
      </c>
      <c r="AK112" t="str">
        <f>IF(pub_gid_0_single_true_output_csv[[#This Row],[Nilai2]]="","",VLOOKUP(pub_gid_0_single_true_output_csv[[#This Row],[NAMA]],Table7[],3,FALSE))</f>
        <v>High average</v>
      </c>
    </row>
    <row r="113" spans="1:37" x14ac:dyDescent="0.2">
      <c r="A113">
        <v>112</v>
      </c>
      <c r="B113" t="s">
        <v>291</v>
      </c>
      <c r="C113" t="s">
        <v>54</v>
      </c>
      <c r="D113" t="s">
        <v>43</v>
      </c>
      <c r="E113" t="s">
        <v>146</v>
      </c>
      <c r="F113" s="25">
        <v>46048</v>
      </c>
      <c r="G113" t="s">
        <v>371</v>
      </c>
      <c r="H113" t="s">
        <v>405</v>
      </c>
      <c r="I113" t="s">
        <v>371</v>
      </c>
      <c r="J113" t="s">
        <v>36</v>
      </c>
      <c r="K113" t="s">
        <v>37</v>
      </c>
      <c r="L113" t="s">
        <v>351</v>
      </c>
      <c r="M113" t="s">
        <v>141</v>
      </c>
      <c r="N113" t="s">
        <v>142</v>
      </c>
      <c r="O113" t="s">
        <v>155</v>
      </c>
      <c r="P113" t="s">
        <v>281</v>
      </c>
      <c r="Q113" t="s">
        <v>155</v>
      </c>
      <c r="R113" t="s">
        <v>302</v>
      </c>
      <c r="S113" t="s">
        <v>369</v>
      </c>
      <c r="T113">
        <v>1</v>
      </c>
      <c r="U113" t="s">
        <v>409</v>
      </c>
      <c r="V113" t="s">
        <v>342</v>
      </c>
      <c r="W113" t="s">
        <v>411</v>
      </c>
      <c r="X113" t="s">
        <v>306</v>
      </c>
      <c r="Y113" t="s">
        <v>307</v>
      </c>
      <c r="Z113">
        <v>65</v>
      </c>
      <c r="AA113">
        <v>90</v>
      </c>
      <c r="AB113" t="s">
        <v>143</v>
      </c>
      <c r="AC113" t="s">
        <v>149</v>
      </c>
      <c r="AD113" t="s">
        <v>404</v>
      </c>
      <c r="AE113" t="str">
        <f>IF(AF113="","",VLOOKUP(AC113,mapel!$A$2:$B$42,2,FALSE))</f>
        <v>B.Indo</v>
      </c>
      <c r="AF113">
        <f t="shared" si="3"/>
        <v>90</v>
      </c>
      <c r="AG113" t="str">
        <f>IF(AF113="","",IF(AF113&gt;90,"Sangat baik",IF(AF113&gt;79,"Baik",IF(AF113&gt;=pub_gid_0_single_true_output_csv[[#This Row],[KKM]],"Cukup","Kurang"))))</f>
        <v>Baik</v>
      </c>
      <c r="AH113">
        <f t="shared" si="4"/>
        <v>11</v>
      </c>
      <c r="AI113" s="30" t="str">
        <f>IF(OR(J113&lt;&gt;"Karakter",pub_gid_0_single_true_output_csv[[#This Row],[Nilai2]]=""),"",IF(AF113&gt;89,"Sangat baik",IF(AF113&gt;79,"Baik",IF(AF113&gt;69,"Cukup",IF(AF113&gt;59,"Kurang","Sangat kurang")))))</f>
        <v/>
      </c>
      <c r="AJ113" t="str">
        <f t="shared" si="5"/>
        <v>Wk.5</v>
      </c>
      <c r="AK113" t="str">
        <f>IF(pub_gid_0_single_true_output_csv[[#This Row],[Nilai2]]="","",VLOOKUP(pub_gid_0_single_true_output_csv[[#This Row],[NAMA]],Table7[],3,FALSE))</f>
        <v>High average</v>
      </c>
    </row>
    <row r="114" spans="1:37" x14ac:dyDescent="0.2">
      <c r="A114">
        <v>113</v>
      </c>
      <c r="B114" t="s">
        <v>291</v>
      </c>
      <c r="C114" t="s">
        <v>54</v>
      </c>
      <c r="D114" t="s">
        <v>43</v>
      </c>
      <c r="E114" t="s">
        <v>146</v>
      </c>
      <c r="F114" s="25">
        <v>46048</v>
      </c>
      <c r="G114" t="s">
        <v>371</v>
      </c>
      <c r="H114" t="s">
        <v>405</v>
      </c>
      <c r="I114" t="s">
        <v>371</v>
      </c>
      <c r="J114" t="s">
        <v>31</v>
      </c>
      <c r="K114" t="s">
        <v>96</v>
      </c>
      <c r="L114" t="s">
        <v>351</v>
      </c>
      <c r="M114" t="s">
        <v>141</v>
      </c>
      <c r="N114" t="s">
        <v>142</v>
      </c>
      <c r="O114" t="s">
        <v>155</v>
      </c>
      <c r="P114" t="s">
        <v>281</v>
      </c>
      <c r="Q114" t="s">
        <v>155</v>
      </c>
      <c r="R114" t="s">
        <v>302</v>
      </c>
      <c r="S114" t="s">
        <v>369</v>
      </c>
      <c r="T114">
        <v>1</v>
      </c>
      <c r="U114" t="s">
        <v>409</v>
      </c>
      <c r="V114" t="s">
        <v>342</v>
      </c>
      <c r="W114" t="s">
        <v>411</v>
      </c>
      <c r="X114" t="s">
        <v>306</v>
      </c>
      <c r="Y114" t="s">
        <v>307</v>
      </c>
      <c r="Z114">
        <v>65</v>
      </c>
      <c r="AA114">
        <v>65</v>
      </c>
      <c r="AB114" t="s">
        <v>143</v>
      </c>
      <c r="AC114" t="s">
        <v>149</v>
      </c>
      <c r="AD114" t="s">
        <v>404</v>
      </c>
      <c r="AE114" t="str">
        <f>IF(AF114="","",VLOOKUP(AC114,mapel!$A$2:$B$42,2,FALSE))</f>
        <v>B.Indo</v>
      </c>
      <c r="AF114">
        <f t="shared" si="3"/>
        <v>65</v>
      </c>
      <c r="AG114" t="str">
        <f>IF(AF114="","",IF(AF114&gt;90,"Sangat baik",IF(AF114&gt;79,"Baik",IF(AF114&gt;=pub_gid_0_single_true_output_csv[[#This Row],[KKM]],"Cukup","Kurang"))))</f>
        <v>Cukup</v>
      </c>
      <c r="AH114">
        <f t="shared" si="4"/>
        <v>11</v>
      </c>
      <c r="AI114" s="30" t="str">
        <f>IF(OR(J114&lt;&gt;"Karakter",pub_gid_0_single_true_output_csv[[#This Row],[Nilai2]]=""),"",IF(AF114&gt;89,"Sangat baik",IF(AF114&gt;79,"Baik",IF(AF114&gt;69,"Cukup",IF(AF114&gt;59,"Kurang","Sangat kurang")))))</f>
        <v/>
      </c>
      <c r="AJ114" t="str">
        <f t="shared" si="5"/>
        <v>Wk.5</v>
      </c>
      <c r="AK114" t="str">
        <f>IF(pub_gid_0_single_true_output_csv[[#This Row],[Nilai2]]="","",VLOOKUP(pub_gid_0_single_true_output_csv[[#This Row],[NAMA]],Table7[],3,FALSE))</f>
        <v>High average</v>
      </c>
    </row>
    <row r="115" spans="1:37" x14ac:dyDescent="0.2">
      <c r="A115">
        <v>114</v>
      </c>
      <c r="B115" t="s">
        <v>291</v>
      </c>
      <c r="C115" t="s">
        <v>54</v>
      </c>
      <c r="D115" t="s">
        <v>43</v>
      </c>
      <c r="E115" t="s">
        <v>146</v>
      </c>
      <c r="F115" s="25">
        <v>46048</v>
      </c>
      <c r="G115" t="s">
        <v>371</v>
      </c>
      <c r="H115" t="s">
        <v>405</v>
      </c>
      <c r="I115" t="s">
        <v>371</v>
      </c>
      <c r="J115" t="s">
        <v>90</v>
      </c>
      <c r="K115" t="s">
        <v>92</v>
      </c>
      <c r="L115" t="s">
        <v>91</v>
      </c>
      <c r="M115" t="s">
        <v>141</v>
      </c>
      <c r="N115" t="s">
        <v>142</v>
      </c>
      <c r="O115" t="s">
        <v>155</v>
      </c>
      <c r="P115" t="s">
        <v>281</v>
      </c>
      <c r="Q115" t="s">
        <v>155</v>
      </c>
      <c r="R115" t="s">
        <v>302</v>
      </c>
      <c r="S115" t="s">
        <v>369</v>
      </c>
      <c r="T115">
        <v>1</v>
      </c>
      <c r="U115" t="s">
        <v>409</v>
      </c>
      <c r="V115" t="s">
        <v>342</v>
      </c>
      <c r="W115" t="s">
        <v>411</v>
      </c>
      <c r="X115" t="s">
        <v>306</v>
      </c>
      <c r="Y115" t="s">
        <v>307</v>
      </c>
      <c r="Z115">
        <v>65</v>
      </c>
      <c r="AA115">
        <v>70</v>
      </c>
      <c r="AB115" t="s">
        <v>143</v>
      </c>
      <c r="AC115" t="s">
        <v>149</v>
      </c>
      <c r="AD115" t="s">
        <v>404</v>
      </c>
      <c r="AE115" t="str">
        <f>IF(AF115="","",VLOOKUP(AC115,mapel!$A$2:$B$42,2,FALSE))</f>
        <v>B.Indo</v>
      </c>
      <c r="AF115">
        <f t="shared" si="3"/>
        <v>70</v>
      </c>
      <c r="AG115" t="str">
        <f>IF(AF115="","",IF(AF115&gt;90,"Sangat baik",IF(AF115&gt;79,"Baik",IF(AF115&gt;=pub_gid_0_single_true_output_csv[[#This Row],[KKM]],"Cukup","Kurang"))))</f>
        <v>Cukup</v>
      </c>
      <c r="AH115">
        <f t="shared" si="4"/>
        <v>11</v>
      </c>
      <c r="AI115" s="30" t="str">
        <f>IF(OR(J115&lt;&gt;"Karakter",pub_gid_0_single_true_output_csv[[#This Row],[Nilai2]]=""),"",IF(AF115&gt;89,"Sangat baik",IF(AF115&gt;79,"Baik",IF(AF115&gt;69,"Cukup",IF(AF115&gt;59,"Kurang","Sangat kurang")))))</f>
        <v>Cukup</v>
      </c>
      <c r="AJ115" t="str">
        <f t="shared" si="5"/>
        <v>Wk.5</v>
      </c>
      <c r="AK115" t="str">
        <f>IF(pub_gid_0_single_true_output_csv[[#This Row],[Nilai2]]="","",VLOOKUP(pub_gid_0_single_true_output_csv[[#This Row],[NAMA]],Table7[],3,FALSE))</f>
        <v>High average</v>
      </c>
    </row>
    <row r="116" spans="1:37" x14ac:dyDescent="0.2">
      <c r="A116">
        <v>115</v>
      </c>
      <c r="B116" t="s">
        <v>291</v>
      </c>
      <c r="C116" t="s">
        <v>54</v>
      </c>
      <c r="D116" t="s">
        <v>43</v>
      </c>
      <c r="E116" t="s">
        <v>146</v>
      </c>
      <c r="F116" s="25">
        <v>46048</v>
      </c>
      <c r="G116" t="s">
        <v>371</v>
      </c>
      <c r="H116" t="s">
        <v>405</v>
      </c>
      <c r="I116" t="s">
        <v>371</v>
      </c>
      <c r="J116" t="s">
        <v>279</v>
      </c>
      <c r="K116" t="s">
        <v>280</v>
      </c>
      <c r="L116" t="s">
        <v>322</v>
      </c>
      <c r="M116" t="s">
        <v>141</v>
      </c>
      <c r="N116" t="s">
        <v>142</v>
      </c>
      <c r="O116" t="s">
        <v>155</v>
      </c>
      <c r="P116" t="s">
        <v>281</v>
      </c>
      <c r="Q116" t="s">
        <v>155</v>
      </c>
      <c r="R116" t="s">
        <v>302</v>
      </c>
      <c r="S116" t="s">
        <v>369</v>
      </c>
      <c r="T116">
        <v>1</v>
      </c>
      <c r="U116" t="s">
        <v>409</v>
      </c>
      <c r="V116" t="s">
        <v>342</v>
      </c>
      <c r="W116" t="s">
        <v>411</v>
      </c>
      <c r="X116" t="s">
        <v>306</v>
      </c>
      <c r="Y116" t="s">
        <v>307</v>
      </c>
      <c r="Z116">
        <v>65</v>
      </c>
      <c r="AA116">
        <v>70</v>
      </c>
      <c r="AB116" t="s">
        <v>143</v>
      </c>
      <c r="AC116" t="s">
        <v>149</v>
      </c>
      <c r="AD116" t="s">
        <v>404</v>
      </c>
      <c r="AE116" t="str">
        <f>IF(AF116="","",VLOOKUP(AC116,mapel!$A$2:$B$42,2,FALSE))</f>
        <v>B.Indo</v>
      </c>
      <c r="AF116">
        <f t="shared" si="3"/>
        <v>70</v>
      </c>
      <c r="AG116" t="str">
        <f>IF(AF116="","",IF(AF116&gt;90,"Sangat baik",IF(AF116&gt;79,"Baik",IF(AF116&gt;=pub_gid_0_single_true_output_csv[[#This Row],[KKM]],"Cukup","Kurang"))))</f>
        <v>Cukup</v>
      </c>
      <c r="AH116">
        <f t="shared" si="4"/>
        <v>11</v>
      </c>
      <c r="AI116" s="30" t="str">
        <f>IF(OR(J116&lt;&gt;"Karakter",pub_gid_0_single_true_output_csv[[#This Row],[Nilai2]]=""),"",IF(AF116&gt;89,"Sangat baik",IF(AF116&gt;79,"Baik",IF(AF116&gt;69,"Cukup",IF(AF116&gt;59,"Kurang","Sangat kurang")))))</f>
        <v/>
      </c>
      <c r="AJ116" t="str">
        <f t="shared" si="5"/>
        <v>Wk.5</v>
      </c>
      <c r="AK116" t="str">
        <f>IF(pub_gid_0_single_true_output_csv[[#This Row],[Nilai2]]="","",VLOOKUP(pub_gid_0_single_true_output_csv[[#This Row],[NAMA]],Table7[],3,FALSE))</f>
        <v>High average</v>
      </c>
    </row>
    <row r="117" spans="1:37" x14ac:dyDescent="0.2">
      <c r="A117">
        <v>116</v>
      </c>
      <c r="B117" t="s">
        <v>291</v>
      </c>
      <c r="C117" t="s">
        <v>54</v>
      </c>
      <c r="D117" t="s">
        <v>43</v>
      </c>
      <c r="E117" t="s">
        <v>146</v>
      </c>
      <c r="F117" s="25">
        <v>46049</v>
      </c>
      <c r="G117" t="s">
        <v>373</v>
      </c>
      <c r="H117" t="s">
        <v>405</v>
      </c>
      <c r="I117" t="s">
        <v>371</v>
      </c>
      <c r="J117" t="s">
        <v>36</v>
      </c>
      <c r="K117" t="s">
        <v>37</v>
      </c>
      <c r="L117" t="s">
        <v>321</v>
      </c>
      <c r="M117" t="s">
        <v>141</v>
      </c>
      <c r="N117" t="s">
        <v>142</v>
      </c>
      <c r="O117" t="s">
        <v>155</v>
      </c>
      <c r="P117" t="s">
        <v>281</v>
      </c>
      <c r="Q117" t="s">
        <v>155</v>
      </c>
      <c r="R117" t="s">
        <v>302</v>
      </c>
      <c r="S117" t="s">
        <v>369</v>
      </c>
      <c r="T117">
        <v>1</v>
      </c>
      <c r="U117" t="s">
        <v>409</v>
      </c>
      <c r="V117" t="s">
        <v>342</v>
      </c>
      <c r="W117" t="s">
        <v>411</v>
      </c>
      <c r="X117" t="s">
        <v>306</v>
      </c>
      <c r="Y117" t="s">
        <v>307</v>
      </c>
      <c r="Z117">
        <v>65</v>
      </c>
      <c r="AA117">
        <v>70</v>
      </c>
      <c r="AB117" t="s">
        <v>143</v>
      </c>
      <c r="AC117" t="s">
        <v>149</v>
      </c>
      <c r="AD117" t="s">
        <v>404</v>
      </c>
      <c r="AE117" t="str">
        <f>IF(AF117="","",VLOOKUP(AC117,mapel!$A$2:$B$42,2,FALSE))</f>
        <v>B.Indo</v>
      </c>
      <c r="AF117">
        <f t="shared" si="3"/>
        <v>70</v>
      </c>
      <c r="AG117" t="str">
        <f>IF(AF117="","",IF(AF117&gt;90,"Sangat baik",IF(AF117&gt;79,"Baik",IF(AF117&gt;=pub_gid_0_single_true_output_csv[[#This Row],[KKM]],"Cukup","Kurang"))))</f>
        <v>Cukup</v>
      </c>
      <c r="AH117">
        <f t="shared" si="4"/>
        <v>11</v>
      </c>
      <c r="AI117" s="30" t="str">
        <f>IF(OR(J117&lt;&gt;"Karakter",pub_gid_0_single_true_output_csv[[#This Row],[Nilai2]]=""),"",IF(AF117&gt;89,"Sangat baik",IF(AF117&gt;79,"Baik",IF(AF117&gt;69,"Cukup",IF(AF117&gt;59,"Kurang","Sangat kurang")))))</f>
        <v/>
      </c>
      <c r="AJ117" t="str">
        <f t="shared" si="5"/>
        <v>Wk.5</v>
      </c>
      <c r="AK117" t="str">
        <f>IF(pub_gid_0_single_true_output_csv[[#This Row],[Nilai2]]="","",VLOOKUP(pub_gid_0_single_true_output_csv[[#This Row],[NAMA]],Table7[],3,FALSE))</f>
        <v>High average</v>
      </c>
    </row>
    <row r="118" spans="1:37" x14ac:dyDescent="0.2">
      <c r="A118">
        <v>117</v>
      </c>
      <c r="B118" t="s">
        <v>291</v>
      </c>
      <c r="C118" t="s">
        <v>54</v>
      </c>
      <c r="D118" t="s">
        <v>43</v>
      </c>
      <c r="E118" t="s">
        <v>146</v>
      </c>
      <c r="F118" s="25">
        <v>46049</v>
      </c>
      <c r="G118" t="s">
        <v>373</v>
      </c>
      <c r="H118" t="s">
        <v>405</v>
      </c>
      <c r="I118" t="s">
        <v>371</v>
      </c>
      <c r="J118" t="s">
        <v>31</v>
      </c>
      <c r="K118" t="s">
        <v>96</v>
      </c>
      <c r="L118" t="s">
        <v>321</v>
      </c>
      <c r="M118" t="s">
        <v>141</v>
      </c>
      <c r="N118" t="s">
        <v>142</v>
      </c>
      <c r="O118" t="s">
        <v>155</v>
      </c>
      <c r="P118" t="s">
        <v>281</v>
      </c>
      <c r="Q118" t="s">
        <v>155</v>
      </c>
      <c r="R118" t="s">
        <v>302</v>
      </c>
      <c r="S118" t="s">
        <v>369</v>
      </c>
      <c r="T118">
        <v>1</v>
      </c>
      <c r="U118" t="s">
        <v>409</v>
      </c>
      <c r="V118" t="s">
        <v>342</v>
      </c>
      <c r="W118" t="s">
        <v>411</v>
      </c>
      <c r="X118" t="s">
        <v>306</v>
      </c>
      <c r="Y118" t="s">
        <v>307</v>
      </c>
      <c r="Z118">
        <v>65</v>
      </c>
      <c r="AA118">
        <v>68</v>
      </c>
      <c r="AB118" t="s">
        <v>143</v>
      </c>
      <c r="AC118" t="s">
        <v>149</v>
      </c>
      <c r="AD118" t="s">
        <v>404</v>
      </c>
      <c r="AE118" t="str">
        <f>IF(AF118="","",VLOOKUP(AC118,mapel!$A$2:$B$42,2,FALSE))</f>
        <v>B.Indo</v>
      </c>
      <c r="AF118">
        <f t="shared" si="3"/>
        <v>68</v>
      </c>
      <c r="AG118" t="str">
        <f>IF(AF118="","",IF(AF118&gt;90,"Sangat baik",IF(AF118&gt;79,"Baik",IF(AF118&gt;=pub_gid_0_single_true_output_csv[[#This Row],[KKM]],"Cukup","Kurang"))))</f>
        <v>Cukup</v>
      </c>
      <c r="AH118">
        <f t="shared" si="4"/>
        <v>11</v>
      </c>
      <c r="AI118" s="30" t="str">
        <f>IF(OR(J118&lt;&gt;"Karakter",pub_gid_0_single_true_output_csv[[#This Row],[Nilai2]]=""),"",IF(AF118&gt;89,"Sangat baik",IF(AF118&gt;79,"Baik",IF(AF118&gt;69,"Cukup",IF(AF118&gt;59,"Kurang","Sangat kurang")))))</f>
        <v/>
      </c>
      <c r="AJ118" t="str">
        <f t="shared" si="5"/>
        <v>Wk.5</v>
      </c>
      <c r="AK118" t="str">
        <f>IF(pub_gid_0_single_true_output_csv[[#This Row],[Nilai2]]="","",VLOOKUP(pub_gid_0_single_true_output_csv[[#This Row],[NAMA]],Table7[],3,FALSE))</f>
        <v>High average</v>
      </c>
    </row>
    <row r="119" spans="1:37" x14ac:dyDescent="0.2">
      <c r="A119">
        <v>118</v>
      </c>
      <c r="B119" t="s">
        <v>291</v>
      </c>
      <c r="C119" t="s">
        <v>54</v>
      </c>
      <c r="D119" t="s">
        <v>43</v>
      </c>
      <c r="E119" t="s">
        <v>146</v>
      </c>
      <c r="F119" s="25">
        <v>46049</v>
      </c>
      <c r="G119" t="s">
        <v>373</v>
      </c>
      <c r="H119" t="s">
        <v>405</v>
      </c>
      <c r="I119" t="s">
        <v>371</v>
      </c>
      <c r="J119" t="s">
        <v>90</v>
      </c>
      <c r="K119" t="s">
        <v>92</v>
      </c>
      <c r="L119" t="s">
        <v>93</v>
      </c>
      <c r="M119" t="s">
        <v>141</v>
      </c>
      <c r="N119" t="s">
        <v>142</v>
      </c>
      <c r="O119" t="s">
        <v>155</v>
      </c>
      <c r="P119" t="s">
        <v>281</v>
      </c>
      <c r="Q119" t="s">
        <v>155</v>
      </c>
      <c r="R119" t="s">
        <v>302</v>
      </c>
      <c r="S119" t="s">
        <v>369</v>
      </c>
      <c r="T119">
        <v>1</v>
      </c>
      <c r="U119" t="s">
        <v>409</v>
      </c>
      <c r="V119" t="s">
        <v>342</v>
      </c>
      <c r="W119" t="s">
        <v>411</v>
      </c>
      <c r="X119" t="s">
        <v>306</v>
      </c>
      <c r="Y119" t="s">
        <v>307</v>
      </c>
      <c r="Z119">
        <v>65</v>
      </c>
      <c r="AA119">
        <v>70</v>
      </c>
      <c r="AB119" t="s">
        <v>143</v>
      </c>
      <c r="AC119" t="s">
        <v>149</v>
      </c>
      <c r="AD119" t="s">
        <v>404</v>
      </c>
      <c r="AE119" t="str">
        <f>IF(AF119="","",VLOOKUP(AC119,mapel!$A$2:$B$42,2,FALSE))</f>
        <v>B.Indo</v>
      </c>
      <c r="AF119">
        <f t="shared" si="3"/>
        <v>70</v>
      </c>
      <c r="AG119" t="str">
        <f>IF(AF119="","",IF(AF119&gt;90,"Sangat baik",IF(AF119&gt;79,"Baik",IF(AF119&gt;=pub_gid_0_single_true_output_csv[[#This Row],[KKM]],"Cukup","Kurang"))))</f>
        <v>Cukup</v>
      </c>
      <c r="AH119">
        <f t="shared" si="4"/>
        <v>11</v>
      </c>
      <c r="AI119" s="30" t="str">
        <f>IF(OR(J119&lt;&gt;"Karakter",pub_gid_0_single_true_output_csv[[#This Row],[Nilai2]]=""),"",IF(AF119&gt;89,"Sangat baik",IF(AF119&gt;79,"Baik",IF(AF119&gt;69,"Cukup",IF(AF119&gt;59,"Kurang","Sangat kurang")))))</f>
        <v>Cukup</v>
      </c>
      <c r="AJ119" t="str">
        <f t="shared" si="5"/>
        <v>Wk.5</v>
      </c>
      <c r="AK119" t="str">
        <f>IF(pub_gid_0_single_true_output_csv[[#This Row],[Nilai2]]="","",VLOOKUP(pub_gid_0_single_true_output_csv[[#This Row],[NAMA]],Table7[],3,FALSE))</f>
        <v>High average</v>
      </c>
    </row>
    <row r="120" spans="1:37" x14ac:dyDescent="0.2">
      <c r="A120">
        <v>119</v>
      </c>
      <c r="B120" t="s">
        <v>291</v>
      </c>
      <c r="C120" t="s">
        <v>54</v>
      </c>
      <c r="D120" t="s">
        <v>43</v>
      </c>
      <c r="E120" t="s">
        <v>146</v>
      </c>
      <c r="F120" s="25">
        <v>46049</v>
      </c>
      <c r="G120" t="s">
        <v>373</v>
      </c>
      <c r="H120" t="s">
        <v>405</v>
      </c>
      <c r="I120" t="s">
        <v>371</v>
      </c>
      <c r="J120" t="s">
        <v>279</v>
      </c>
      <c r="K120" t="s">
        <v>280</v>
      </c>
      <c r="L120" t="s">
        <v>322</v>
      </c>
      <c r="M120" t="s">
        <v>141</v>
      </c>
      <c r="N120" t="s">
        <v>142</v>
      </c>
      <c r="O120" t="s">
        <v>155</v>
      </c>
      <c r="P120" t="s">
        <v>281</v>
      </c>
      <c r="Q120" t="s">
        <v>155</v>
      </c>
      <c r="R120" t="s">
        <v>302</v>
      </c>
      <c r="S120" t="s">
        <v>369</v>
      </c>
      <c r="T120">
        <v>1</v>
      </c>
      <c r="U120" t="s">
        <v>409</v>
      </c>
      <c r="V120" t="s">
        <v>342</v>
      </c>
      <c r="W120" t="s">
        <v>411</v>
      </c>
      <c r="X120" t="s">
        <v>306</v>
      </c>
      <c r="Y120" t="s">
        <v>307</v>
      </c>
      <c r="Z120">
        <v>65</v>
      </c>
      <c r="AA120">
        <v>75</v>
      </c>
      <c r="AB120" t="s">
        <v>143</v>
      </c>
      <c r="AC120" t="s">
        <v>149</v>
      </c>
      <c r="AD120" t="s">
        <v>404</v>
      </c>
      <c r="AE120" t="str">
        <f>IF(AF120="","",VLOOKUP(AC120,mapel!$A$2:$B$42,2,FALSE))</f>
        <v>B.Indo</v>
      </c>
      <c r="AF120">
        <f t="shared" si="3"/>
        <v>75</v>
      </c>
      <c r="AG120" t="str">
        <f>IF(AF120="","",IF(AF120&gt;90,"Sangat baik",IF(AF120&gt;79,"Baik",IF(AF120&gt;=pub_gid_0_single_true_output_csv[[#This Row],[KKM]],"Cukup","Kurang"))))</f>
        <v>Cukup</v>
      </c>
      <c r="AH120">
        <f t="shared" si="4"/>
        <v>11</v>
      </c>
      <c r="AI120" s="30" t="str">
        <f>IF(OR(J120&lt;&gt;"Karakter",pub_gid_0_single_true_output_csv[[#This Row],[Nilai2]]=""),"",IF(AF120&gt;89,"Sangat baik",IF(AF120&gt;79,"Baik",IF(AF120&gt;69,"Cukup",IF(AF120&gt;59,"Kurang","Sangat kurang")))))</f>
        <v/>
      </c>
      <c r="AJ120" t="str">
        <f t="shared" si="5"/>
        <v>Wk.5</v>
      </c>
      <c r="AK120" t="str">
        <f>IF(pub_gid_0_single_true_output_csv[[#This Row],[Nilai2]]="","",VLOOKUP(pub_gid_0_single_true_output_csv[[#This Row],[NAMA]],Table7[],3,FALSE))</f>
        <v>High average</v>
      </c>
    </row>
    <row r="121" spans="1:37" x14ac:dyDescent="0.2">
      <c r="A121">
        <v>120</v>
      </c>
      <c r="B121" t="s">
        <v>291</v>
      </c>
      <c r="C121" t="s">
        <v>54</v>
      </c>
      <c r="D121" t="s">
        <v>43</v>
      </c>
      <c r="E121" t="s">
        <v>146</v>
      </c>
      <c r="F121" s="25">
        <v>46055</v>
      </c>
      <c r="G121" t="s">
        <v>379</v>
      </c>
      <c r="H121" t="s">
        <v>412</v>
      </c>
      <c r="I121" t="s">
        <v>371</v>
      </c>
      <c r="J121" t="s">
        <v>36</v>
      </c>
      <c r="K121" t="s">
        <v>37</v>
      </c>
      <c r="L121" t="s">
        <v>150</v>
      </c>
      <c r="M121" t="s">
        <v>141</v>
      </c>
      <c r="N121" t="s">
        <v>142</v>
      </c>
      <c r="O121" t="s">
        <v>155</v>
      </c>
      <c r="P121" t="s">
        <v>281</v>
      </c>
      <c r="Q121" t="s">
        <v>155</v>
      </c>
      <c r="R121" t="s">
        <v>302</v>
      </c>
      <c r="S121" t="s">
        <v>345</v>
      </c>
      <c r="T121">
        <v>1</v>
      </c>
      <c r="U121" t="s">
        <v>409</v>
      </c>
      <c r="V121" t="s">
        <v>343</v>
      </c>
      <c r="W121" t="s">
        <v>413</v>
      </c>
      <c r="X121" t="s">
        <v>306</v>
      </c>
      <c r="Y121" t="s">
        <v>307</v>
      </c>
      <c r="Z121">
        <v>65</v>
      </c>
      <c r="AA121">
        <v>75</v>
      </c>
      <c r="AB121" t="s">
        <v>143</v>
      </c>
      <c r="AC121" t="s">
        <v>149</v>
      </c>
      <c r="AD121" t="s">
        <v>404</v>
      </c>
      <c r="AE121" t="str">
        <f>IF(AF121="","",VLOOKUP(AC121,mapel!$A$2:$B$42,2,FALSE))</f>
        <v>B.Indo</v>
      </c>
      <c r="AF121">
        <f t="shared" si="3"/>
        <v>75</v>
      </c>
      <c r="AG121" t="str">
        <f>IF(AF121="","",IF(AF121&gt;90,"Sangat baik",IF(AF121&gt;79,"Baik",IF(AF121&gt;=pub_gid_0_single_true_output_csv[[#This Row],[KKM]],"Cukup","Kurang"))))</f>
        <v>Cukup</v>
      </c>
      <c r="AH121">
        <f t="shared" si="4"/>
        <v>11</v>
      </c>
      <c r="AI121" s="30" t="str">
        <f>IF(OR(J121&lt;&gt;"Karakter",pub_gid_0_single_true_output_csv[[#This Row],[Nilai2]]=""),"",IF(AF121&gt;89,"Sangat baik",IF(AF121&gt;79,"Baik",IF(AF121&gt;69,"Cukup",IF(AF121&gt;59,"Kurang","Sangat kurang")))))</f>
        <v/>
      </c>
      <c r="AJ121" t="str">
        <f t="shared" si="5"/>
        <v>Wk.6</v>
      </c>
      <c r="AK121" t="str">
        <f>IF(pub_gid_0_single_true_output_csv[[#This Row],[Nilai2]]="","",VLOOKUP(pub_gid_0_single_true_output_csv[[#This Row],[NAMA]],Table7[],3,FALSE))</f>
        <v>High average</v>
      </c>
    </row>
    <row r="122" spans="1:37" x14ac:dyDescent="0.2">
      <c r="A122">
        <v>121</v>
      </c>
      <c r="B122" t="s">
        <v>291</v>
      </c>
      <c r="C122" t="s">
        <v>54</v>
      </c>
      <c r="D122" t="s">
        <v>43</v>
      </c>
      <c r="E122" t="s">
        <v>146</v>
      </c>
      <c r="F122" s="25">
        <v>46055</v>
      </c>
      <c r="G122" t="s">
        <v>379</v>
      </c>
      <c r="H122" t="s">
        <v>412</v>
      </c>
      <c r="I122" t="s">
        <v>371</v>
      </c>
      <c r="J122" t="s">
        <v>31</v>
      </c>
      <c r="K122" t="s">
        <v>96</v>
      </c>
      <c r="L122" t="s">
        <v>150</v>
      </c>
      <c r="M122" t="s">
        <v>141</v>
      </c>
      <c r="N122" t="s">
        <v>142</v>
      </c>
      <c r="O122" t="s">
        <v>155</v>
      </c>
      <c r="P122" t="s">
        <v>281</v>
      </c>
      <c r="Q122" t="s">
        <v>155</v>
      </c>
      <c r="R122" t="s">
        <v>302</v>
      </c>
      <c r="S122" t="s">
        <v>345</v>
      </c>
      <c r="T122">
        <v>1</v>
      </c>
      <c r="U122" t="s">
        <v>409</v>
      </c>
      <c r="V122" t="s">
        <v>343</v>
      </c>
      <c r="W122" t="s">
        <v>413</v>
      </c>
      <c r="X122" t="s">
        <v>306</v>
      </c>
      <c r="Y122" t="s">
        <v>307</v>
      </c>
      <c r="Z122">
        <v>65</v>
      </c>
      <c r="AA122">
        <v>90</v>
      </c>
      <c r="AB122" t="s">
        <v>143</v>
      </c>
      <c r="AC122" t="s">
        <v>149</v>
      </c>
      <c r="AD122" t="s">
        <v>404</v>
      </c>
      <c r="AE122" t="str">
        <f>IF(AF122="","",VLOOKUP(AC122,mapel!$A$2:$B$42,2,FALSE))</f>
        <v>B.Indo</v>
      </c>
      <c r="AF122">
        <f t="shared" si="3"/>
        <v>90</v>
      </c>
      <c r="AG122" t="str">
        <f>IF(AF122="","",IF(AF122&gt;90,"Sangat baik",IF(AF122&gt;79,"Baik",IF(AF122&gt;=pub_gid_0_single_true_output_csv[[#This Row],[KKM]],"Cukup","Kurang"))))</f>
        <v>Baik</v>
      </c>
      <c r="AH122">
        <f t="shared" si="4"/>
        <v>11</v>
      </c>
      <c r="AI122" s="30" t="str">
        <f>IF(OR(J122&lt;&gt;"Karakter",pub_gid_0_single_true_output_csv[[#This Row],[Nilai2]]=""),"",IF(AF122&gt;89,"Sangat baik",IF(AF122&gt;79,"Baik",IF(AF122&gt;69,"Cukup",IF(AF122&gt;59,"Kurang","Sangat kurang")))))</f>
        <v/>
      </c>
      <c r="AJ122" t="str">
        <f t="shared" si="5"/>
        <v>Wk.6</v>
      </c>
      <c r="AK122" t="str">
        <f>IF(pub_gid_0_single_true_output_csv[[#This Row],[Nilai2]]="","",VLOOKUP(pub_gid_0_single_true_output_csv[[#This Row],[NAMA]],Table7[],3,FALSE))</f>
        <v>High average</v>
      </c>
    </row>
    <row r="123" spans="1:37" x14ac:dyDescent="0.2">
      <c r="A123">
        <v>122</v>
      </c>
      <c r="B123" t="s">
        <v>291</v>
      </c>
      <c r="C123" t="s">
        <v>54</v>
      </c>
      <c r="D123" t="s">
        <v>43</v>
      </c>
      <c r="E123" t="s">
        <v>146</v>
      </c>
      <c r="F123" s="25">
        <v>46055</v>
      </c>
      <c r="G123" t="s">
        <v>379</v>
      </c>
      <c r="H123" t="s">
        <v>412</v>
      </c>
      <c r="I123" t="s">
        <v>371</v>
      </c>
      <c r="J123" t="s">
        <v>90</v>
      </c>
      <c r="K123" t="s">
        <v>92</v>
      </c>
      <c r="L123" t="s">
        <v>91</v>
      </c>
      <c r="M123" t="s">
        <v>141</v>
      </c>
      <c r="N123" t="s">
        <v>142</v>
      </c>
      <c r="O123" t="s">
        <v>155</v>
      </c>
      <c r="P123" t="s">
        <v>281</v>
      </c>
      <c r="Q123" t="s">
        <v>155</v>
      </c>
      <c r="R123" t="s">
        <v>302</v>
      </c>
      <c r="S123" t="s">
        <v>345</v>
      </c>
      <c r="T123">
        <v>1</v>
      </c>
      <c r="U123" t="s">
        <v>409</v>
      </c>
      <c r="V123" t="s">
        <v>343</v>
      </c>
      <c r="W123" t="s">
        <v>413</v>
      </c>
      <c r="X123" t="s">
        <v>306</v>
      </c>
      <c r="Y123" t="s">
        <v>307</v>
      </c>
      <c r="Z123">
        <v>65</v>
      </c>
      <c r="AA123">
        <v>70</v>
      </c>
      <c r="AB123" t="s">
        <v>143</v>
      </c>
      <c r="AC123" t="s">
        <v>149</v>
      </c>
      <c r="AD123" t="s">
        <v>404</v>
      </c>
      <c r="AE123" t="str">
        <f>IF(AF123="","",VLOOKUP(AC123,mapel!$A$2:$B$42,2,FALSE))</f>
        <v>B.Indo</v>
      </c>
      <c r="AF123">
        <f t="shared" si="3"/>
        <v>70</v>
      </c>
      <c r="AG123" t="str">
        <f>IF(AF123="","",IF(AF123&gt;90,"Sangat baik",IF(AF123&gt;79,"Baik",IF(AF123&gt;=pub_gid_0_single_true_output_csv[[#This Row],[KKM]],"Cukup","Kurang"))))</f>
        <v>Cukup</v>
      </c>
      <c r="AH123">
        <f t="shared" si="4"/>
        <v>11</v>
      </c>
      <c r="AI123" s="30" t="str">
        <f>IF(OR(J123&lt;&gt;"Karakter",pub_gid_0_single_true_output_csv[[#This Row],[Nilai2]]=""),"",IF(AF123&gt;89,"Sangat baik",IF(AF123&gt;79,"Baik",IF(AF123&gt;69,"Cukup",IF(AF123&gt;59,"Kurang","Sangat kurang")))))</f>
        <v>Cukup</v>
      </c>
      <c r="AJ123" t="str">
        <f t="shared" si="5"/>
        <v>Wk.6</v>
      </c>
      <c r="AK123" t="str">
        <f>IF(pub_gid_0_single_true_output_csv[[#This Row],[Nilai2]]="","",VLOOKUP(pub_gid_0_single_true_output_csv[[#This Row],[NAMA]],Table7[],3,FALSE))</f>
        <v>High average</v>
      </c>
    </row>
    <row r="124" spans="1:37" x14ac:dyDescent="0.2">
      <c r="A124">
        <v>123</v>
      </c>
      <c r="B124" t="s">
        <v>291</v>
      </c>
      <c r="C124" t="s">
        <v>54</v>
      </c>
      <c r="D124" t="s">
        <v>43</v>
      </c>
      <c r="E124" t="s">
        <v>146</v>
      </c>
      <c r="F124" s="25">
        <v>46055</v>
      </c>
      <c r="G124" t="s">
        <v>379</v>
      </c>
      <c r="H124" t="s">
        <v>412</v>
      </c>
      <c r="I124" t="s">
        <v>371</v>
      </c>
      <c r="J124" t="s">
        <v>279</v>
      </c>
      <c r="K124" t="s">
        <v>280</v>
      </c>
      <c r="L124" t="s">
        <v>322</v>
      </c>
      <c r="M124" t="s">
        <v>141</v>
      </c>
      <c r="N124" t="s">
        <v>142</v>
      </c>
      <c r="O124" t="s">
        <v>155</v>
      </c>
      <c r="P124" t="s">
        <v>281</v>
      </c>
      <c r="Q124" t="s">
        <v>155</v>
      </c>
      <c r="R124" t="s">
        <v>302</v>
      </c>
      <c r="S124" t="s">
        <v>345</v>
      </c>
      <c r="T124">
        <v>1</v>
      </c>
      <c r="U124" t="s">
        <v>409</v>
      </c>
      <c r="V124" t="s">
        <v>343</v>
      </c>
      <c r="W124" t="s">
        <v>413</v>
      </c>
      <c r="X124" t="s">
        <v>306</v>
      </c>
      <c r="Y124" t="s">
        <v>307</v>
      </c>
      <c r="Z124">
        <v>65</v>
      </c>
      <c r="AA124">
        <v>70</v>
      </c>
      <c r="AB124" t="s">
        <v>143</v>
      </c>
      <c r="AC124" t="s">
        <v>149</v>
      </c>
      <c r="AD124" t="s">
        <v>404</v>
      </c>
      <c r="AE124" t="str">
        <f>IF(AF124="","",VLOOKUP(AC124,mapel!$A$2:$B$42,2,FALSE))</f>
        <v>B.Indo</v>
      </c>
      <c r="AF124">
        <f t="shared" si="3"/>
        <v>70</v>
      </c>
      <c r="AG124" t="str">
        <f>IF(AF124="","",IF(AF124&gt;90,"Sangat baik",IF(AF124&gt;79,"Baik",IF(AF124&gt;=pub_gid_0_single_true_output_csv[[#This Row],[KKM]],"Cukup","Kurang"))))</f>
        <v>Cukup</v>
      </c>
      <c r="AH124">
        <f t="shared" si="4"/>
        <v>11</v>
      </c>
      <c r="AI124" s="30" t="str">
        <f>IF(OR(J124&lt;&gt;"Karakter",pub_gid_0_single_true_output_csv[[#This Row],[Nilai2]]=""),"",IF(AF124&gt;89,"Sangat baik",IF(AF124&gt;79,"Baik",IF(AF124&gt;69,"Cukup",IF(AF124&gt;59,"Kurang","Sangat kurang")))))</f>
        <v/>
      </c>
      <c r="AJ124" t="str">
        <f t="shared" si="5"/>
        <v>Wk.6</v>
      </c>
      <c r="AK124" t="str">
        <f>IF(pub_gid_0_single_true_output_csv[[#This Row],[Nilai2]]="","",VLOOKUP(pub_gid_0_single_true_output_csv[[#This Row],[NAMA]],Table7[],3,FALSE))</f>
        <v>High average</v>
      </c>
    </row>
    <row r="125" spans="1:37" x14ac:dyDescent="0.2">
      <c r="A125">
        <v>124</v>
      </c>
      <c r="B125" t="s">
        <v>291</v>
      </c>
      <c r="C125" t="s">
        <v>54</v>
      </c>
      <c r="D125" t="s">
        <v>43</v>
      </c>
      <c r="E125" t="s">
        <v>146</v>
      </c>
      <c r="F125" s="25">
        <v>46062</v>
      </c>
      <c r="G125" t="s">
        <v>376</v>
      </c>
      <c r="H125" t="s">
        <v>412</v>
      </c>
      <c r="I125" t="s">
        <v>371</v>
      </c>
      <c r="J125" t="s">
        <v>36</v>
      </c>
      <c r="K125" t="s">
        <v>37</v>
      </c>
      <c r="L125" t="s">
        <v>351</v>
      </c>
      <c r="M125" t="s">
        <v>141</v>
      </c>
      <c r="N125" t="s">
        <v>142</v>
      </c>
      <c r="O125" t="s">
        <v>155</v>
      </c>
      <c r="P125" t="s">
        <v>281</v>
      </c>
      <c r="Q125" t="s">
        <v>155</v>
      </c>
      <c r="R125" t="s">
        <v>302</v>
      </c>
      <c r="S125" t="s">
        <v>345</v>
      </c>
      <c r="T125">
        <v>1</v>
      </c>
      <c r="U125" t="s">
        <v>409</v>
      </c>
      <c r="V125" t="s">
        <v>343</v>
      </c>
      <c r="W125" t="s">
        <v>413</v>
      </c>
      <c r="X125" t="s">
        <v>306</v>
      </c>
      <c r="Y125" t="s">
        <v>307</v>
      </c>
      <c r="Z125">
        <v>65</v>
      </c>
      <c r="AA125">
        <v>72</v>
      </c>
      <c r="AB125" t="s">
        <v>143</v>
      </c>
      <c r="AC125" t="s">
        <v>149</v>
      </c>
      <c r="AD125" t="s">
        <v>404</v>
      </c>
      <c r="AE125" t="str">
        <f>IF(AF125="","",VLOOKUP(AC125,mapel!$A$2:$B$42,2,FALSE))</f>
        <v>B.Indo</v>
      </c>
      <c r="AF125">
        <f t="shared" si="3"/>
        <v>72</v>
      </c>
      <c r="AG125" t="str">
        <f>IF(AF125="","",IF(AF125&gt;90,"Sangat baik",IF(AF125&gt;79,"Baik",IF(AF125&gt;=pub_gid_0_single_true_output_csv[[#This Row],[KKM]],"Cukup","Kurang"))))</f>
        <v>Cukup</v>
      </c>
      <c r="AH125">
        <f t="shared" si="4"/>
        <v>11</v>
      </c>
      <c r="AI125" s="30" t="str">
        <f>IF(OR(J125&lt;&gt;"Karakter",pub_gid_0_single_true_output_csv[[#This Row],[Nilai2]]=""),"",IF(AF125&gt;89,"Sangat baik",IF(AF125&gt;79,"Baik",IF(AF125&gt;69,"Cukup",IF(AF125&gt;59,"Kurang","Sangat kurang")))))</f>
        <v/>
      </c>
      <c r="AJ125" t="str">
        <f t="shared" si="5"/>
        <v>Wk.7</v>
      </c>
      <c r="AK125" t="str">
        <f>IF(pub_gid_0_single_true_output_csv[[#This Row],[Nilai2]]="","",VLOOKUP(pub_gid_0_single_true_output_csv[[#This Row],[NAMA]],Table7[],3,FALSE))</f>
        <v>High average</v>
      </c>
    </row>
    <row r="126" spans="1:37" x14ac:dyDescent="0.2">
      <c r="A126">
        <v>125</v>
      </c>
      <c r="B126" t="s">
        <v>291</v>
      </c>
      <c r="C126" t="s">
        <v>54</v>
      </c>
      <c r="D126" t="s">
        <v>43</v>
      </c>
      <c r="E126" t="s">
        <v>146</v>
      </c>
      <c r="F126" s="25">
        <v>46062</v>
      </c>
      <c r="G126" t="s">
        <v>376</v>
      </c>
      <c r="H126" t="s">
        <v>412</v>
      </c>
      <c r="I126" t="s">
        <v>371</v>
      </c>
      <c r="J126" t="s">
        <v>31</v>
      </c>
      <c r="K126" t="s">
        <v>96</v>
      </c>
      <c r="L126" t="s">
        <v>351</v>
      </c>
      <c r="M126" t="s">
        <v>141</v>
      </c>
      <c r="N126" t="s">
        <v>142</v>
      </c>
      <c r="O126" t="s">
        <v>155</v>
      </c>
      <c r="P126" t="s">
        <v>281</v>
      </c>
      <c r="Q126" t="s">
        <v>155</v>
      </c>
      <c r="R126" t="s">
        <v>302</v>
      </c>
      <c r="S126" t="s">
        <v>345</v>
      </c>
      <c r="T126">
        <v>1</v>
      </c>
      <c r="U126" t="s">
        <v>409</v>
      </c>
      <c r="V126" t="s">
        <v>343</v>
      </c>
      <c r="W126" t="s">
        <v>413</v>
      </c>
      <c r="X126" t="s">
        <v>306</v>
      </c>
      <c r="Y126" t="s">
        <v>307</v>
      </c>
      <c r="Z126">
        <v>65</v>
      </c>
      <c r="AA126">
        <v>70</v>
      </c>
      <c r="AB126" t="s">
        <v>143</v>
      </c>
      <c r="AC126" t="s">
        <v>149</v>
      </c>
      <c r="AD126" t="s">
        <v>404</v>
      </c>
      <c r="AE126" t="str">
        <f>IF(AF126="","",VLOOKUP(AC126,mapel!$A$2:$B$42,2,FALSE))</f>
        <v>B.Indo</v>
      </c>
      <c r="AF126">
        <f t="shared" si="3"/>
        <v>70</v>
      </c>
      <c r="AG126" t="str">
        <f>IF(AF126="","",IF(AF126&gt;90,"Sangat baik",IF(AF126&gt;79,"Baik",IF(AF126&gt;=pub_gid_0_single_true_output_csv[[#This Row],[KKM]],"Cukup","Kurang"))))</f>
        <v>Cukup</v>
      </c>
      <c r="AH126">
        <f t="shared" si="4"/>
        <v>11</v>
      </c>
      <c r="AI126" s="30" t="str">
        <f>IF(OR(J126&lt;&gt;"Karakter",pub_gid_0_single_true_output_csv[[#This Row],[Nilai2]]=""),"",IF(AF126&gt;89,"Sangat baik",IF(AF126&gt;79,"Baik",IF(AF126&gt;69,"Cukup",IF(AF126&gt;59,"Kurang","Sangat kurang")))))</f>
        <v/>
      </c>
      <c r="AJ126" t="str">
        <f t="shared" si="5"/>
        <v>Wk.7</v>
      </c>
      <c r="AK126" t="str">
        <f>IF(pub_gid_0_single_true_output_csv[[#This Row],[Nilai2]]="","",VLOOKUP(pub_gid_0_single_true_output_csv[[#This Row],[NAMA]],Table7[],3,FALSE))</f>
        <v>High average</v>
      </c>
    </row>
    <row r="127" spans="1:37" x14ac:dyDescent="0.2">
      <c r="A127">
        <v>126</v>
      </c>
      <c r="B127" t="s">
        <v>291</v>
      </c>
      <c r="C127" t="s">
        <v>54</v>
      </c>
      <c r="D127" t="s">
        <v>43</v>
      </c>
      <c r="E127" t="s">
        <v>146</v>
      </c>
      <c r="F127" s="25">
        <v>46069</v>
      </c>
      <c r="G127" t="s">
        <v>382</v>
      </c>
      <c r="H127" t="s">
        <v>412</v>
      </c>
      <c r="I127" t="s">
        <v>371</v>
      </c>
      <c r="J127" t="s">
        <v>36</v>
      </c>
      <c r="K127" t="s">
        <v>37</v>
      </c>
      <c r="L127" t="s">
        <v>351</v>
      </c>
      <c r="M127" t="s">
        <v>141</v>
      </c>
      <c r="N127" t="s">
        <v>142</v>
      </c>
      <c r="O127" t="s">
        <v>155</v>
      </c>
      <c r="P127" t="s">
        <v>281</v>
      </c>
      <c r="Q127" t="s">
        <v>155</v>
      </c>
      <c r="R127" t="s">
        <v>302</v>
      </c>
      <c r="S127" t="s">
        <v>345</v>
      </c>
      <c r="T127">
        <v>1</v>
      </c>
      <c r="U127" t="s">
        <v>409</v>
      </c>
      <c r="V127" t="s">
        <v>343</v>
      </c>
      <c r="W127" t="s">
        <v>413</v>
      </c>
      <c r="X127" t="s">
        <v>306</v>
      </c>
      <c r="Y127" t="s">
        <v>307</v>
      </c>
      <c r="Z127">
        <v>65</v>
      </c>
      <c r="AA127">
        <v>70</v>
      </c>
      <c r="AB127" t="s">
        <v>143</v>
      </c>
      <c r="AC127" t="s">
        <v>149</v>
      </c>
      <c r="AD127" t="s">
        <v>404</v>
      </c>
      <c r="AE127" t="str">
        <f>IF(AF127="","",VLOOKUP(AC127,mapel!$A$2:$B$42,2,FALSE))</f>
        <v>B.Indo</v>
      </c>
      <c r="AF127">
        <f t="shared" si="3"/>
        <v>70</v>
      </c>
      <c r="AG127" t="str">
        <f>IF(AF127="","",IF(AF127&gt;90,"Sangat baik",IF(AF127&gt;79,"Baik",IF(AF127&gt;=pub_gid_0_single_true_output_csv[[#This Row],[KKM]],"Cukup","Kurang"))))</f>
        <v>Cukup</v>
      </c>
      <c r="AH127">
        <f t="shared" si="4"/>
        <v>11</v>
      </c>
      <c r="AI127" s="30" t="str">
        <f>IF(OR(J127&lt;&gt;"Karakter",pub_gid_0_single_true_output_csv[[#This Row],[Nilai2]]=""),"",IF(AF127&gt;89,"Sangat baik",IF(AF127&gt;79,"Baik",IF(AF127&gt;69,"Cukup",IF(AF127&gt;59,"Kurang","Sangat kurang")))))</f>
        <v/>
      </c>
      <c r="AJ127" t="str">
        <f t="shared" si="5"/>
        <v>Wk.8</v>
      </c>
      <c r="AK127" t="str">
        <f>IF(pub_gid_0_single_true_output_csv[[#This Row],[Nilai2]]="","",VLOOKUP(pub_gid_0_single_true_output_csv[[#This Row],[NAMA]],Table7[],3,FALSE))</f>
        <v>High average</v>
      </c>
    </row>
    <row r="128" spans="1:37" x14ac:dyDescent="0.2">
      <c r="A128">
        <v>127</v>
      </c>
      <c r="B128" t="s">
        <v>291</v>
      </c>
      <c r="C128" t="s">
        <v>54</v>
      </c>
      <c r="D128" t="s">
        <v>43</v>
      </c>
      <c r="E128" t="s">
        <v>146</v>
      </c>
      <c r="F128" s="25">
        <v>46069</v>
      </c>
      <c r="G128" t="s">
        <v>382</v>
      </c>
      <c r="H128" t="s">
        <v>412</v>
      </c>
      <c r="I128" t="s">
        <v>371</v>
      </c>
      <c r="J128" t="s">
        <v>31</v>
      </c>
      <c r="K128" t="s">
        <v>96</v>
      </c>
      <c r="L128" t="s">
        <v>351</v>
      </c>
      <c r="M128" t="s">
        <v>141</v>
      </c>
      <c r="N128" t="s">
        <v>142</v>
      </c>
      <c r="O128" t="s">
        <v>155</v>
      </c>
      <c r="P128" t="s">
        <v>281</v>
      </c>
      <c r="Q128" t="s">
        <v>155</v>
      </c>
      <c r="R128" t="s">
        <v>302</v>
      </c>
      <c r="S128" t="s">
        <v>345</v>
      </c>
      <c r="T128">
        <v>1</v>
      </c>
      <c r="U128" t="s">
        <v>409</v>
      </c>
      <c r="V128" t="s">
        <v>343</v>
      </c>
      <c r="W128" t="s">
        <v>413</v>
      </c>
      <c r="X128" t="s">
        <v>306</v>
      </c>
      <c r="Y128" t="s">
        <v>307</v>
      </c>
      <c r="Z128">
        <v>65</v>
      </c>
      <c r="AA128">
        <v>70</v>
      </c>
      <c r="AB128" t="s">
        <v>143</v>
      </c>
      <c r="AC128" t="s">
        <v>149</v>
      </c>
      <c r="AD128" t="s">
        <v>404</v>
      </c>
      <c r="AE128" t="str">
        <f>IF(AF128="","",VLOOKUP(AC128,mapel!$A$2:$B$42,2,FALSE))</f>
        <v>B.Indo</v>
      </c>
      <c r="AF128">
        <f t="shared" si="3"/>
        <v>70</v>
      </c>
      <c r="AG128" t="str">
        <f>IF(AF128="","",IF(AF128&gt;90,"Sangat baik",IF(AF128&gt;79,"Baik",IF(AF128&gt;=pub_gid_0_single_true_output_csv[[#This Row],[KKM]],"Cukup","Kurang"))))</f>
        <v>Cukup</v>
      </c>
      <c r="AH128">
        <f t="shared" si="4"/>
        <v>11</v>
      </c>
      <c r="AI128" s="30" t="str">
        <f>IF(OR(J128&lt;&gt;"Karakter",pub_gid_0_single_true_output_csv[[#This Row],[Nilai2]]=""),"",IF(AF128&gt;89,"Sangat baik",IF(AF128&gt;79,"Baik",IF(AF128&gt;69,"Cukup",IF(AF128&gt;59,"Kurang","Sangat kurang")))))</f>
        <v/>
      </c>
      <c r="AJ128" t="str">
        <f t="shared" si="5"/>
        <v>Wk.8</v>
      </c>
      <c r="AK128" t="str">
        <f>IF(pub_gid_0_single_true_output_csv[[#This Row],[Nilai2]]="","",VLOOKUP(pub_gid_0_single_true_output_csv[[#This Row],[NAMA]],Table7[],3,FALSE))</f>
        <v>High average</v>
      </c>
    </row>
    <row r="129" spans="1:37" x14ac:dyDescent="0.2">
      <c r="A129">
        <v>128</v>
      </c>
      <c r="B129" t="s">
        <v>291</v>
      </c>
      <c r="C129" t="s">
        <v>54</v>
      </c>
      <c r="D129" t="s">
        <v>43</v>
      </c>
      <c r="E129" t="s">
        <v>146</v>
      </c>
      <c r="F129" s="25">
        <v>46069</v>
      </c>
      <c r="G129" t="s">
        <v>382</v>
      </c>
      <c r="H129" t="s">
        <v>412</v>
      </c>
      <c r="I129" t="s">
        <v>371</v>
      </c>
      <c r="J129" t="s">
        <v>90</v>
      </c>
      <c r="K129" t="s">
        <v>92</v>
      </c>
      <c r="L129" t="s">
        <v>93</v>
      </c>
      <c r="M129" t="s">
        <v>141</v>
      </c>
      <c r="N129" t="s">
        <v>142</v>
      </c>
      <c r="O129" t="s">
        <v>155</v>
      </c>
      <c r="P129" t="s">
        <v>281</v>
      </c>
      <c r="Q129" t="s">
        <v>155</v>
      </c>
      <c r="R129" t="s">
        <v>302</v>
      </c>
      <c r="S129" t="s">
        <v>345</v>
      </c>
      <c r="T129">
        <v>1</v>
      </c>
      <c r="U129" t="s">
        <v>409</v>
      </c>
      <c r="V129" t="s">
        <v>343</v>
      </c>
      <c r="W129" t="s">
        <v>413</v>
      </c>
      <c r="X129" t="s">
        <v>306</v>
      </c>
      <c r="Y129" t="s">
        <v>307</v>
      </c>
      <c r="Z129">
        <v>65</v>
      </c>
      <c r="AA129">
        <v>80</v>
      </c>
      <c r="AB129" t="s">
        <v>143</v>
      </c>
      <c r="AC129" t="s">
        <v>149</v>
      </c>
      <c r="AD129" t="s">
        <v>404</v>
      </c>
      <c r="AE129" t="str">
        <f>IF(AF129="","",VLOOKUP(AC129,mapel!$A$2:$B$42,2,FALSE))</f>
        <v>B.Indo</v>
      </c>
      <c r="AF129">
        <f t="shared" si="3"/>
        <v>80</v>
      </c>
      <c r="AG129" t="str">
        <f>IF(AF129="","",IF(AF129&gt;90,"Sangat baik",IF(AF129&gt;79,"Baik",IF(AF129&gt;=pub_gid_0_single_true_output_csv[[#This Row],[KKM]],"Cukup","Kurang"))))</f>
        <v>Baik</v>
      </c>
      <c r="AH129">
        <f t="shared" si="4"/>
        <v>11</v>
      </c>
      <c r="AI129" s="30" t="str">
        <f>IF(OR(J129&lt;&gt;"Karakter",pub_gid_0_single_true_output_csv[[#This Row],[Nilai2]]=""),"",IF(AF129&gt;89,"Sangat baik",IF(AF129&gt;79,"Baik",IF(AF129&gt;69,"Cukup",IF(AF129&gt;59,"Kurang","Sangat kurang")))))</f>
        <v>Baik</v>
      </c>
      <c r="AJ129" t="str">
        <f t="shared" si="5"/>
        <v>Wk.8</v>
      </c>
      <c r="AK129" t="str">
        <f>IF(pub_gid_0_single_true_output_csv[[#This Row],[Nilai2]]="","",VLOOKUP(pub_gid_0_single_true_output_csv[[#This Row],[NAMA]],Table7[],3,FALSE))</f>
        <v>High average</v>
      </c>
    </row>
    <row r="130" spans="1:37" x14ac:dyDescent="0.2">
      <c r="A130">
        <v>129</v>
      </c>
      <c r="B130" t="s">
        <v>291</v>
      </c>
      <c r="C130" t="s">
        <v>54</v>
      </c>
      <c r="D130" t="s">
        <v>43</v>
      </c>
      <c r="E130" t="s">
        <v>146</v>
      </c>
      <c r="F130" s="25">
        <v>46069</v>
      </c>
      <c r="G130" t="s">
        <v>382</v>
      </c>
      <c r="H130" t="s">
        <v>412</v>
      </c>
      <c r="I130" t="s">
        <v>371</v>
      </c>
      <c r="J130" t="s">
        <v>279</v>
      </c>
      <c r="K130" t="s">
        <v>280</v>
      </c>
      <c r="L130" t="s">
        <v>322</v>
      </c>
      <c r="M130" t="s">
        <v>141</v>
      </c>
      <c r="N130" t="s">
        <v>142</v>
      </c>
      <c r="O130" t="s">
        <v>155</v>
      </c>
      <c r="P130" t="s">
        <v>281</v>
      </c>
      <c r="Q130" t="s">
        <v>155</v>
      </c>
      <c r="R130" t="s">
        <v>302</v>
      </c>
      <c r="S130" t="s">
        <v>345</v>
      </c>
      <c r="T130">
        <v>1</v>
      </c>
      <c r="U130" t="s">
        <v>409</v>
      </c>
      <c r="V130" t="s">
        <v>343</v>
      </c>
      <c r="W130" t="s">
        <v>413</v>
      </c>
      <c r="X130" t="s">
        <v>306</v>
      </c>
      <c r="Y130" t="s">
        <v>307</v>
      </c>
      <c r="Z130">
        <v>65</v>
      </c>
      <c r="AA130">
        <v>75</v>
      </c>
      <c r="AB130" t="s">
        <v>143</v>
      </c>
      <c r="AC130" t="s">
        <v>149</v>
      </c>
      <c r="AD130" t="s">
        <v>404</v>
      </c>
      <c r="AE130" t="str">
        <f>IF(AF130="","",VLOOKUP(AC130,mapel!$A$2:$B$42,2,FALSE))</f>
        <v>B.Indo</v>
      </c>
      <c r="AF130">
        <f t="shared" ref="AF130:AF193" si="6">IF(AA130=0, "",IF(AA130 = 0.1, 0,AA130))</f>
        <v>75</v>
      </c>
      <c r="AG130" t="str">
        <f>IF(AF130="","",IF(AF130&gt;90,"Sangat baik",IF(AF130&gt;79,"Baik",IF(AF130&gt;=pub_gid_0_single_true_output_csv[[#This Row],[KKM]],"Cukup","Kurang"))))</f>
        <v>Cukup</v>
      </c>
      <c r="AH130">
        <f t="shared" ref="AH130:AH193" si="7">IF(AG130="","",VALUE(RIGHT(X130,2)))</f>
        <v>11</v>
      </c>
      <c r="AI130" s="30" t="str">
        <f>IF(OR(J130&lt;&gt;"Karakter",pub_gid_0_single_true_output_csv[[#This Row],[Nilai2]]=""),"",IF(AF130&gt;89,"Sangat baik",IF(AF130&gt;79,"Baik",IF(AF130&gt;69,"Cukup",IF(AF130&gt;59,"Kurang","Sangat kurang")))))</f>
        <v/>
      </c>
      <c r="AJ130" t="str">
        <f t="shared" ref="AJ130:AJ193" si="8">IF(AF130="","",CONCATENATE("Wk.",WEEKNUM(F130,2)))</f>
        <v>Wk.8</v>
      </c>
      <c r="AK130" t="str">
        <f>IF(pub_gid_0_single_true_output_csv[[#This Row],[Nilai2]]="","",VLOOKUP(pub_gid_0_single_true_output_csv[[#This Row],[NAMA]],Table7[],3,FALSE))</f>
        <v>High average</v>
      </c>
    </row>
    <row r="131" spans="1:37" x14ac:dyDescent="0.2">
      <c r="A131">
        <v>130</v>
      </c>
      <c r="B131" t="s">
        <v>282</v>
      </c>
      <c r="C131" t="s">
        <v>54</v>
      </c>
      <c r="D131" t="s">
        <v>283</v>
      </c>
      <c r="E131" t="s">
        <v>140</v>
      </c>
      <c r="F131" s="25">
        <v>46034</v>
      </c>
      <c r="G131" t="s">
        <v>354</v>
      </c>
      <c r="H131" t="s">
        <v>405</v>
      </c>
      <c r="I131" t="s">
        <v>371</v>
      </c>
      <c r="J131" t="s">
        <v>36</v>
      </c>
      <c r="K131" t="s">
        <v>362</v>
      </c>
      <c r="L131" t="s">
        <v>408</v>
      </c>
      <c r="M131" t="s">
        <v>141</v>
      </c>
      <c r="N131" t="s">
        <v>142</v>
      </c>
      <c r="O131" t="s">
        <v>155</v>
      </c>
      <c r="P131" t="s">
        <v>281</v>
      </c>
      <c r="Q131" t="s">
        <v>155</v>
      </c>
      <c r="R131" t="s">
        <v>273</v>
      </c>
      <c r="S131" t="s">
        <v>309</v>
      </c>
      <c r="T131">
        <v>1</v>
      </c>
      <c r="U131" t="s">
        <v>409</v>
      </c>
      <c r="V131" t="s">
        <v>285</v>
      </c>
      <c r="W131" t="s">
        <v>410</v>
      </c>
      <c r="X131" t="s">
        <v>306</v>
      </c>
      <c r="Y131" t="s">
        <v>307</v>
      </c>
      <c r="Z131">
        <v>65</v>
      </c>
      <c r="AA131">
        <v>0</v>
      </c>
      <c r="AB131" t="s">
        <v>151</v>
      </c>
      <c r="AC131" t="s">
        <v>149</v>
      </c>
      <c r="AD131" t="s">
        <v>404</v>
      </c>
      <c r="AE131" t="str">
        <f>IF(AF131="","",VLOOKUP(AC131,mapel!$A$2:$B$42,2,FALSE))</f>
        <v/>
      </c>
      <c r="AF131" t="str">
        <f t="shared" si="6"/>
        <v/>
      </c>
      <c r="AG131" t="str">
        <f>IF(AF131="","",IF(AF131&gt;90,"Sangat baik",IF(AF131&gt;79,"Baik",IF(AF131&gt;=pub_gid_0_single_true_output_csv[[#This Row],[KKM]],"Cukup","Kurang"))))</f>
        <v/>
      </c>
      <c r="AH131" t="str">
        <f t="shared" si="7"/>
        <v/>
      </c>
      <c r="AI131" s="30" t="str">
        <f>IF(OR(J131&lt;&gt;"Karakter",pub_gid_0_single_true_output_csv[[#This Row],[Nilai2]]=""),"",IF(AF131&gt;89,"Sangat baik",IF(AF131&gt;79,"Baik",IF(AF131&gt;69,"Cukup",IF(AF131&gt;59,"Kurang","Sangat kurang")))))</f>
        <v/>
      </c>
      <c r="AJ131" t="str">
        <f t="shared" si="8"/>
        <v/>
      </c>
      <c r="AK131" t="str">
        <f>IF(pub_gid_0_single_true_output_csv[[#This Row],[Nilai2]]="","",VLOOKUP(pub_gid_0_single_true_output_csv[[#This Row],[NAMA]],Table7[],3,FALSE))</f>
        <v/>
      </c>
    </row>
    <row r="132" spans="1:37" x14ac:dyDescent="0.2">
      <c r="A132">
        <v>131</v>
      </c>
      <c r="B132" t="s">
        <v>282</v>
      </c>
      <c r="C132" t="s">
        <v>54</v>
      </c>
      <c r="D132" t="s">
        <v>283</v>
      </c>
      <c r="E132" t="s">
        <v>140</v>
      </c>
      <c r="F132" s="25">
        <v>46035</v>
      </c>
      <c r="G132" t="s">
        <v>358</v>
      </c>
      <c r="H132" t="s">
        <v>405</v>
      </c>
      <c r="I132" t="s">
        <v>371</v>
      </c>
      <c r="J132" t="s">
        <v>36</v>
      </c>
      <c r="K132" t="s">
        <v>37</v>
      </c>
      <c r="L132" t="s">
        <v>150</v>
      </c>
      <c r="M132" t="s">
        <v>141</v>
      </c>
      <c r="N132" t="s">
        <v>142</v>
      </c>
      <c r="O132" t="s">
        <v>155</v>
      </c>
      <c r="P132" t="s">
        <v>281</v>
      </c>
      <c r="Q132" t="s">
        <v>155</v>
      </c>
      <c r="R132" t="s">
        <v>273</v>
      </c>
      <c r="S132" t="s">
        <v>309</v>
      </c>
      <c r="T132">
        <v>1</v>
      </c>
      <c r="U132" t="s">
        <v>409</v>
      </c>
      <c r="V132" t="s">
        <v>285</v>
      </c>
      <c r="W132" t="s">
        <v>410</v>
      </c>
      <c r="X132" t="s">
        <v>306</v>
      </c>
      <c r="Y132" t="s">
        <v>307</v>
      </c>
      <c r="Z132">
        <v>65</v>
      </c>
      <c r="AA132">
        <v>0</v>
      </c>
      <c r="AB132" t="s">
        <v>151</v>
      </c>
      <c r="AC132" t="s">
        <v>149</v>
      </c>
      <c r="AD132" t="s">
        <v>404</v>
      </c>
      <c r="AE132" t="str">
        <f>IF(AF132="","",VLOOKUP(AC132,mapel!$A$2:$B$42,2,FALSE))</f>
        <v/>
      </c>
      <c r="AF132" t="str">
        <f t="shared" si="6"/>
        <v/>
      </c>
      <c r="AG132" t="str">
        <f>IF(AF132="","",IF(AF132&gt;90,"Sangat baik",IF(AF132&gt;79,"Baik",IF(AF132&gt;=pub_gid_0_single_true_output_csv[[#This Row],[KKM]],"Cukup","Kurang"))))</f>
        <v/>
      </c>
      <c r="AH132" t="str">
        <f t="shared" si="7"/>
        <v/>
      </c>
      <c r="AI132" s="30" t="str">
        <f>IF(OR(J132&lt;&gt;"Karakter",pub_gid_0_single_true_output_csv[[#This Row],[Nilai2]]=""),"",IF(AF132&gt;89,"Sangat baik",IF(AF132&gt;79,"Baik",IF(AF132&gt;69,"Cukup",IF(AF132&gt;59,"Kurang","Sangat kurang")))))</f>
        <v/>
      </c>
      <c r="AJ132" t="str">
        <f t="shared" si="8"/>
        <v/>
      </c>
      <c r="AK132" t="str">
        <f>IF(pub_gid_0_single_true_output_csv[[#This Row],[Nilai2]]="","",VLOOKUP(pub_gid_0_single_true_output_csv[[#This Row],[NAMA]],Table7[],3,FALSE))</f>
        <v/>
      </c>
    </row>
    <row r="133" spans="1:37" x14ac:dyDescent="0.2">
      <c r="A133">
        <v>132</v>
      </c>
      <c r="B133" t="s">
        <v>282</v>
      </c>
      <c r="C133" t="s">
        <v>54</v>
      </c>
      <c r="D133" t="s">
        <v>283</v>
      </c>
      <c r="E133" t="s">
        <v>140</v>
      </c>
      <c r="F133" s="25">
        <v>46035</v>
      </c>
      <c r="G133" t="s">
        <v>358</v>
      </c>
      <c r="H133" t="s">
        <v>405</v>
      </c>
      <c r="I133" t="s">
        <v>371</v>
      </c>
      <c r="J133" t="s">
        <v>31</v>
      </c>
      <c r="K133" t="s">
        <v>32</v>
      </c>
      <c r="L133" t="s">
        <v>150</v>
      </c>
      <c r="M133" t="s">
        <v>141</v>
      </c>
      <c r="N133" t="s">
        <v>142</v>
      </c>
      <c r="O133" t="s">
        <v>155</v>
      </c>
      <c r="P133" t="s">
        <v>281</v>
      </c>
      <c r="Q133" t="s">
        <v>155</v>
      </c>
      <c r="R133" t="s">
        <v>273</v>
      </c>
      <c r="S133" t="s">
        <v>309</v>
      </c>
      <c r="T133">
        <v>1</v>
      </c>
      <c r="U133" t="s">
        <v>409</v>
      </c>
      <c r="V133" t="s">
        <v>285</v>
      </c>
      <c r="W133" t="s">
        <v>410</v>
      </c>
      <c r="X133" t="s">
        <v>306</v>
      </c>
      <c r="Y133" t="s">
        <v>307</v>
      </c>
      <c r="Z133">
        <v>65</v>
      </c>
      <c r="AA133">
        <v>0</v>
      </c>
      <c r="AB133" t="s">
        <v>151</v>
      </c>
      <c r="AC133" t="s">
        <v>149</v>
      </c>
      <c r="AD133" t="s">
        <v>404</v>
      </c>
      <c r="AE133" t="str">
        <f>IF(AF133="","",VLOOKUP(AC133,mapel!$A$2:$B$42,2,FALSE))</f>
        <v/>
      </c>
      <c r="AF133" t="str">
        <f t="shared" si="6"/>
        <v/>
      </c>
      <c r="AG133" t="str">
        <f>IF(AF133="","",IF(AF133&gt;90,"Sangat baik",IF(AF133&gt;79,"Baik",IF(AF133&gt;=pub_gid_0_single_true_output_csv[[#This Row],[KKM]],"Cukup","Kurang"))))</f>
        <v/>
      </c>
      <c r="AH133" t="str">
        <f t="shared" si="7"/>
        <v/>
      </c>
      <c r="AI133" s="30" t="str">
        <f>IF(OR(J133&lt;&gt;"Karakter",pub_gid_0_single_true_output_csv[[#This Row],[Nilai2]]=""),"",IF(AF133&gt;89,"Sangat baik",IF(AF133&gt;79,"Baik",IF(AF133&gt;69,"Cukup",IF(AF133&gt;59,"Kurang","Sangat kurang")))))</f>
        <v/>
      </c>
      <c r="AJ133" t="str">
        <f t="shared" si="8"/>
        <v/>
      </c>
      <c r="AK133" t="str">
        <f>IF(pub_gid_0_single_true_output_csv[[#This Row],[Nilai2]]="","",VLOOKUP(pub_gid_0_single_true_output_csv[[#This Row],[NAMA]],Table7[],3,FALSE))</f>
        <v/>
      </c>
    </row>
    <row r="134" spans="1:37" x14ac:dyDescent="0.2">
      <c r="A134">
        <v>133</v>
      </c>
      <c r="B134" t="s">
        <v>282</v>
      </c>
      <c r="C134" t="s">
        <v>54</v>
      </c>
      <c r="D134" t="s">
        <v>283</v>
      </c>
      <c r="E134" t="s">
        <v>140</v>
      </c>
      <c r="F134" s="25">
        <v>46035</v>
      </c>
      <c r="G134" t="s">
        <v>358</v>
      </c>
      <c r="H134" t="s">
        <v>405</v>
      </c>
      <c r="I134" t="s">
        <v>371</v>
      </c>
      <c r="J134" t="s">
        <v>90</v>
      </c>
      <c r="K134" t="s">
        <v>92</v>
      </c>
      <c r="L134" t="s">
        <v>93</v>
      </c>
      <c r="M134" t="s">
        <v>141</v>
      </c>
      <c r="N134" t="s">
        <v>142</v>
      </c>
      <c r="O134" t="s">
        <v>155</v>
      </c>
      <c r="P134" t="s">
        <v>281</v>
      </c>
      <c r="Q134" t="s">
        <v>155</v>
      </c>
      <c r="R134" t="s">
        <v>273</v>
      </c>
      <c r="S134" t="s">
        <v>309</v>
      </c>
      <c r="T134">
        <v>1</v>
      </c>
      <c r="U134" t="s">
        <v>409</v>
      </c>
      <c r="V134" t="s">
        <v>285</v>
      </c>
      <c r="W134" t="s">
        <v>410</v>
      </c>
      <c r="X134" t="s">
        <v>306</v>
      </c>
      <c r="Y134" t="s">
        <v>307</v>
      </c>
      <c r="Z134">
        <v>65</v>
      </c>
      <c r="AA134">
        <v>0</v>
      </c>
      <c r="AB134" t="s">
        <v>151</v>
      </c>
      <c r="AC134" t="s">
        <v>149</v>
      </c>
      <c r="AD134" t="s">
        <v>404</v>
      </c>
      <c r="AE134" t="str">
        <f>IF(AF134="","",VLOOKUP(AC134,mapel!$A$2:$B$42,2,FALSE))</f>
        <v/>
      </c>
      <c r="AF134" t="str">
        <f t="shared" si="6"/>
        <v/>
      </c>
      <c r="AG134" t="str">
        <f>IF(AF134="","",IF(AF134&gt;90,"Sangat baik",IF(AF134&gt;79,"Baik",IF(AF134&gt;=pub_gid_0_single_true_output_csv[[#This Row],[KKM]],"Cukup","Kurang"))))</f>
        <v/>
      </c>
      <c r="AH134" t="str">
        <f t="shared" si="7"/>
        <v/>
      </c>
      <c r="AI134" s="30" t="str">
        <f>IF(OR(J134&lt;&gt;"Karakter",pub_gid_0_single_true_output_csv[[#This Row],[Nilai2]]=""),"",IF(AF134&gt;89,"Sangat baik",IF(AF134&gt;79,"Baik",IF(AF134&gt;69,"Cukup",IF(AF134&gt;59,"Kurang","Sangat kurang")))))</f>
        <v/>
      </c>
      <c r="AJ134" t="str">
        <f t="shared" si="8"/>
        <v/>
      </c>
      <c r="AK134" t="str">
        <f>IF(pub_gid_0_single_true_output_csv[[#This Row],[Nilai2]]="","",VLOOKUP(pub_gid_0_single_true_output_csv[[#This Row],[NAMA]],Table7[],3,FALSE))</f>
        <v/>
      </c>
    </row>
    <row r="135" spans="1:37" x14ac:dyDescent="0.2">
      <c r="A135">
        <v>134</v>
      </c>
      <c r="B135" t="s">
        <v>282</v>
      </c>
      <c r="C135" t="s">
        <v>54</v>
      </c>
      <c r="D135" t="s">
        <v>283</v>
      </c>
      <c r="E135" t="s">
        <v>140</v>
      </c>
      <c r="F135" s="25">
        <v>46035</v>
      </c>
      <c r="G135" t="s">
        <v>358</v>
      </c>
      <c r="H135" t="s">
        <v>405</v>
      </c>
      <c r="I135" t="s">
        <v>371</v>
      </c>
      <c r="J135" t="s">
        <v>279</v>
      </c>
      <c r="K135" t="s">
        <v>280</v>
      </c>
      <c r="L135" t="s">
        <v>150</v>
      </c>
      <c r="M135" t="s">
        <v>141</v>
      </c>
      <c r="N135" t="s">
        <v>142</v>
      </c>
      <c r="O135" t="s">
        <v>155</v>
      </c>
      <c r="P135" t="s">
        <v>281</v>
      </c>
      <c r="Q135" t="s">
        <v>155</v>
      </c>
      <c r="R135" t="s">
        <v>273</v>
      </c>
      <c r="S135" t="s">
        <v>309</v>
      </c>
      <c r="T135">
        <v>1</v>
      </c>
      <c r="U135" t="s">
        <v>409</v>
      </c>
      <c r="V135" t="s">
        <v>285</v>
      </c>
      <c r="W135" t="s">
        <v>410</v>
      </c>
      <c r="X135" t="s">
        <v>306</v>
      </c>
      <c r="Y135" t="s">
        <v>307</v>
      </c>
      <c r="Z135">
        <v>65</v>
      </c>
      <c r="AA135">
        <v>0</v>
      </c>
      <c r="AB135" t="s">
        <v>151</v>
      </c>
      <c r="AC135" t="s">
        <v>149</v>
      </c>
      <c r="AD135" t="s">
        <v>404</v>
      </c>
      <c r="AE135" t="str">
        <f>IF(AF135="","",VLOOKUP(AC135,mapel!$A$2:$B$42,2,FALSE))</f>
        <v/>
      </c>
      <c r="AF135" t="str">
        <f t="shared" si="6"/>
        <v/>
      </c>
      <c r="AG135" t="str">
        <f>IF(AF135="","",IF(AF135&gt;90,"Sangat baik",IF(AF135&gt;79,"Baik",IF(AF135&gt;=pub_gid_0_single_true_output_csv[[#This Row],[KKM]],"Cukup","Kurang"))))</f>
        <v/>
      </c>
      <c r="AH135" t="str">
        <f t="shared" si="7"/>
        <v/>
      </c>
      <c r="AI135" s="30" t="str">
        <f>IF(OR(J135&lt;&gt;"Karakter",pub_gid_0_single_true_output_csv[[#This Row],[Nilai2]]=""),"",IF(AF135&gt;89,"Sangat baik",IF(AF135&gt;79,"Baik",IF(AF135&gt;69,"Cukup",IF(AF135&gt;59,"Kurang","Sangat kurang")))))</f>
        <v/>
      </c>
      <c r="AJ135" t="str">
        <f t="shared" si="8"/>
        <v/>
      </c>
      <c r="AK135" t="str">
        <f>IF(pub_gid_0_single_true_output_csv[[#This Row],[Nilai2]]="","",VLOOKUP(pub_gid_0_single_true_output_csv[[#This Row],[NAMA]],Table7[],3,FALSE))</f>
        <v/>
      </c>
    </row>
    <row r="136" spans="1:37" x14ac:dyDescent="0.2">
      <c r="A136">
        <v>135</v>
      </c>
      <c r="B136" t="s">
        <v>282</v>
      </c>
      <c r="C136" t="s">
        <v>54</v>
      </c>
      <c r="D136" t="s">
        <v>283</v>
      </c>
      <c r="E136" t="s">
        <v>140</v>
      </c>
      <c r="F136" s="25">
        <v>46041</v>
      </c>
      <c r="G136" t="s">
        <v>370</v>
      </c>
      <c r="H136" t="s">
        <v>405</v>
      </c>
      <c r="I136" t="s">
        <v>371</v>
      </c>
      <c r="J136" t="s">
        <v>36</v>
      </c>
      <c r="K136" t="s">
        <v>37</v>
      </c>
      <c r="L136" t="s">
        <v>321</v>
      </c>
      <c r="M136" t="s">
        <v>141</v>
      </c>
      <c r="N136" t="s">
        <v>142</v>
      </c>
      <c r="O136" t="s">
        <v>155</v>
      </c>
      <c r="P136" t="s">
        <v>281</v>
      </c>
      <c r="Q136" t="s">
        <v>155</v>
      </c>
      <c r="R136" t="s">
        <v>273</v>
      </c>
      <c r="S136" t="s">
        <v>309</v>
      </c>
      <c r="T136">
        <v>1</v>
      </c>
      <c r="U136" t="s">
        <v>409</v>
      </c>
      <c r="V136" t="s">
        <v>285</v>
      </c>
      <c r="W136" t="s">
        <v>410</v>
      </c>
      <c r="X136" t="s">
        <v>306</v>
      </c>
      <c r="Y136" t="s">
        <v>307</v>
      </c>
      <c r="Z136">
        <v>65</v>
      </c>
      <c r="AA136">
        <v>0</v>
      </c>
      <c r="AB136" t="s">
        <v>151</v>
      </c>
      <c r="AC136" t="s">
        <v>149</v>
      </c>
      <c r="AD136" t="s">
        <v>404</v>
      </c>
      <c r="AE136" t="str">
        <f>IF(AF136="","",VLOOKUP(AC136,mapel!$A$2:$B$42,2,FALSE))</f>
        <v/>
      </c>
      <c r="AF136" t="str">
        <f t="shared" si="6"/>
        <v/>
      </c>
      <c r="AG136" t="str">
        <f>IF(AF136="","",IF(AF136&gt;90,"Sangat baik",IF(AF136&gt;79,"Baik",IF(AF136&gt;=pub_gid_0_single_true_output_csv[[#This Row],[KKM]],"Cukup","Kurang"))))</f>
        <v/>
      </c>
      <c r="AH136" t="str">
        <f t="shared" si="7"/>
        <v/>
      </c>
      <c r="AI136" s="30" t="str">
        <f>IF(OR(J136&lt;&gt;"Karakter",pub_gid_0_single_true_output_csv[[#This Row],[Nilai2]]=""),"",IF(AF136&gt;89,"Sangat baik",IF(AF136&gt;79,"Baik",IF(AF136&gt;69,"Cukup",IF(AF136&gt;59,"Kurang","Sangat kurang")))))</f>
        <v/>
      </c>
      <c r="AJ136" t="str">
        <f t="shared" si="8"/>
        <v/>
      </c>
      <c r="AK136" t="str">
        <f>IF(pub_gid_0_single_true_output_csv[[#This Row],[Nilai2]]="","",VLOOKUP(pub_gid_0_single_true_output_csv[[#This Row],[NAMA]],Table7[],3,FALSE))</f>
        <v/>
      </c>
    </row>
    <row r="137" spans="1:37" x14ac:dyDescent="0.2">
      <c r="A137">
        <v>136</v>
      </c>
      <c r="B137" t="s">
        <v>282</v>
      </c>
      <c r="C137" t="s">
        <v>54</v>
      </c>
      <c r="D137" t="s">
        <v>283</v>
      </c>
      <c r="E137" t="s">
        <v>140</v>
      </c>
      <c r="F137" s="25">
        <v>46041</v>
      </c>
      <c r="G137" t="s">
        <v>370</v>
      </c>
      <c r="H137" t="s">
        <v>405</v>
      </c>
      <c r="I137" t="s">
        <v>371</v>
      </c>
      <c r="J137" t="s">
        <v>31</v>
      </c>
      <c r="K137" t="s">
        <v>96</v>
      </c>
      <c r="L137" t="s">
        <v>321</v>
      </c>
      <c r="M137" t="s">
        <v>141</v>
      </c>
      <c r="N137" t="s">
        <v>142</v>
      </c>
      <c r="O137" t="s">
        <v>155</v>
      </c>
      <c r="P137" t="s">
        <v>281</v>
      </c>
      <c r="Q137" t="s">
        <v>155</v>
      </c>
      <c r="R137" t="s">
        <v>302</v>
      </c>
      <c r="S137" t="s">
        <v>309</v>
      </c>
      <c r="T137">
        <v>1</v>
      </c>
      <c r="U137" t="s">
        <v>409</v>
      </c>
      <c r="V137" t="s">
        <v>285</v>
      </c>
      <c r="W137" t="s">
        <v>410</v>
      </c>
      <c r="X137" t="s">
        <v>306</v>
      </c>
      <c r="Y137" t="s">
        <v>307</v>
      </c>
      <c r="Z137">
        <v>65</v>
      </c>
      <c r="AA137">
        <v>0</v>
      </c>
      <c r="AB137" t="s">
        <v>151</v>
      </c>
      <c r="AC137" t="s">
        <v>149</v>
      </c>
      <c r="AD137" t="s">
        <v>404</v>
      </c>
      <c r="AE137" t="str">
        <f>IF(AF137="","",VLOOKUP(AC137,mapel!$A$2:$B$42,2,FALSE))</f>
        <v/>
      </c>
      <c r="AF137" t="str">
        <f t="shared" si="6"/>
        <v/>
      </c>
      <c r="AG137" t="str">
        <f>IF(AF137="","",IF(AF137&gt;90,"Sangat baik",IF(AF137&gt;79,"Baik",IF(AF137&gt;=pub_gid_0_single_true_output_csv[[#This Row],[KKM]],"Cukup","Kurang"))))</f>
        <v/>
      </c>
      <c r="AH137" t="str">
        <f t="shared" si="7"/>
        <v/>
      </c>
      <c r="AI137" s="30" t="str">
        <f>IF(OR(J137&lt;&gt;"Karakter",pub_gid_0_single_true_output_csv[[#This Row],[Nilai2]]=""),"",IF(AF137&gt;89,"Sangat baik",IF(AF137&gt;79,"Baik",IF(AF137&gt;69,"Cukup",IF(AF137&gt;59,"Kurang","Sangat kurang")))))</f>
        <v/>
      </c>
      <c r="AJ137" t="str">
        <f t="shared" si="8"/>
        <v/>
      </c>
      <c r="AK137" t="str">
        <f>IF(pub_gid_0_single_true_output_csv[[#This Row],[Nilai2]]="","",VLOOKUP(pub_gid_0_single_true_output_csv[[#This Row],[NAMA]],Table7[],3,FALSE))</f>
        <v/>
      </c>
    </row>
    <row r="138" spans="1:37" x14ac:dyDescent="0.2">
      <c r="A138">
        <v>137</v>
      </c>
      <c r="B138" t="s">
        <v>282</v>
      </c>
      <c r="C138" t="s">
        <v>54</v>
      </c>
      <c r="D138" t="s">
        <v>283</v>
      </c>
      <c r="E138" t="s">
        <v>140</v>
      </c>
      <c r="F138" s="25">
        <v>46041</v>
      </c>
      <c r="G138" t="s">
        <v>370</v>
      </c>
      <c r="H138" t="s">
        <v>405</v>
      </c>
      <c r="I138" t="s">
        <v>371</v>
      </c>
      <c r="J138" t="s">
        <v>90</v>
      </c>
      <c r="K138" t="s">
        <v>92</v>
      </c>
      <c r="L138" t="s">
        <v>91</v>
      </c>
      <c r="M138" t="s">
        <v>141</v>
      </c>
      <c r="N138" t="s">
        <v>142</v>
      </c>
      <c r="O138" t="s">
        <v>155</v>
      </c>
      <c r="P138" t="s">
        <v>281</v>
      </c>
      <c r="Q138" t="s">
        <v>155</v>
      </c>
      <c r="R138" t="s">
        <v>302</v>
      </c>
      <c r="S138" t="s">
        <v>309</v>
      </c>
      <c r="T138">
        <v>1</v>
      </c>
      <c r="U138" t="s">
        <v>409</v>
      </c>
      <c r="V138" t="s">
        <v>285</v>
      </c>
      <c r="W138" t="s">
        <v>410</v>
      </c>
      <c r="X138" t="s">
        <v>306</v>
      </c>
      <c r="Y138" t="s">
        <v>307</v>
      </c>
      <c r="Z138">
        <v>65</v>
      </c>
      <c r="AA138">
        <v>0</v>
      </c>
      <c r="AB138" t="s">
        <v>151</v>
      </c>
      <c r="AC138" t="s">
        <v>149</v>
      </c>
      <c r="AD138" t="s">
        <v>404</v>
      </c>
      <c r="AE138" t="str">
        <f>IF(AF138="","",VLOOKUP(AC138,mapel!$A$2:$B$42,2,FALSE))</f>
        <v/>
      </c>
      <c r="AF138" t="str">
        <f t="shared" si="6"/>
        <v/>
      </c>
      <c r="AG138" t="str">
        <f>IF(AF138="","",IF(AF138&gt;90,"Sangat baik",IF(AF138&gt;79,"Baik",IF(AF138&gt;=pub_gid_0_single_true_output_csv[[#This Row],[KKM]],"Cukup","Kurang"))))</f>
        <v/>
      </c>
      <c r="AH138" t="str">
        <f t="shared" si="7"/>
        <v/>
      </c>
      <c r="AI138" s="30" t="str">
        <f>IF(OR(J138&lt;&gt;"Karakter",pub_gid_0_single_true_output_csv[[#This Row],[Nilai2]]=""),"",IF(AF138&gt;89,"Sangat baik",IF(AF138&gt;79,"Baik",IF(AF138&gt;69,"Cukup",IF(AF138&gt;59,"Kurang","Sangat kurang")))))</f>
        <v/>
      </c>
      <c r="AJ138" t="str">
        <f t="shared" si="8"/>
        <v/>
      </c>
      <c r="AK138" t="str">
        <f>IF(pub_gid_0_single_true_output_csv[[#This Row],[Nilai2]]="","",VLOOKUP(pub_gid_0_single_true_output_csv[[#This Row],[NAMA]],Table7[],3,FALSE))</f>
        <v/>
      </c>
    </row>
    <row r="139" spans="1:37" x14ac:dyDescent="0.2">
      <c r="A139">
        <v>138</v>
      </c>
      <c r="B139" t="s">
        <v>282</v>
      </c>
      <c r="C139" t="s">
        <v>54</v>
      </c>
      <c r="D139" t="s">
        <v>283</v>
      </c>
      <c r="E139" t="s">
        <v>140</v>
      </c>
      <c r="F139" s="25">
        <v>46041</v>
      </c>
      <c r="G139" t="s">
        <v>370</v>
      </c>
      <c r="H139" t="s">
        <v>405</v>
      </c>
      <c r="I139" t="s">
        <v>371</v>
      </c>
      <c r="J139" t="s">
        <v>279</v>
      </c>
      <c r="K139" t="s">
        <v>280</v>
      </c>
      <c r="L139" t="s">
        <v>322</v>
      </c>
      <c r="M139" t="s">
        <v>141</v>
      </c>
      <c r="N139" t="s">
        <v>142</v>
      </c>
      <c r="O139" t="s">
        <v>155</v>
      </c>
      <c r="P139" t="s">
        <v>281</v>
      </c>
      <c r="Q139" t="s">
        <v>155</v>
      </c>
      <c r="R139" t="s">
        <v>302</v>
      </c>
      <c r="S139" t="s">
        <v>309</v>
      </c>
      <c r="T139">
        <v>1</v>
      </c>
      <c r="U139" t="s">
        <v>409</v>
      </c>
      <c r="V139" t="s">
        <v>285</v>
      </c>
      <c r="W139" t="s">
        <v>410</v>
      </c>
      <c r="X139" t="s">
        <v>306</v>
      </c>
      <c r="Y139" t="s">
        <v>307</v>
      </c>
      <c r="Z139">
        <v>65</v>
      </c>
      <c r="AA139">
        <v>0</v>
      </c>
      <c r="AB139" t="s">
        <v>151</v>
      </c>
      <c r="AC139" t="s">
        <v>149</v>
      </c>
      <c r="AD139" t="s">
        <v>404</v>
      </c>
      <c r="AE139" t="str">
        <f>IF(AF139="","",VLOOKUP(AC139,mapel!$A$2:$B$42,2,FALSE))</f>
        <v/>
      </c>
      <c r="AF139" t="str">
        <f t="shared" si="6"/>
        <v/>
      </c>
      <c r="AG139" t="str">
        <f>IF(AF139="","",IF(AF139&gt;90,"Sangat baik",IF(AF139&gt;79,"Baik",IF(AF139&gt;=pub_gid_0_single_true_output_csv[[#This Row],[KKM]],"Cukup","Kurang"))))</f>
        <v/>
      </c>
      <c r="AH139" t="str">
        <f t="shared" si="7"/>
        <v/>
      </c>
      <c r="AI139" s="30" t="str">
        <f>IF(OR(J139&lt;&gt;"Karakter",pub_gid_0_single_true_output_csv[[#This Row],[Nilai2]]=""),"",IF(AF139&gt;89,"Sangat baik",IF(AF139&gt;79,"Baik",IF(AF139&gt;69,"Cukup",IF(AF139&gt;59,"Kurang","Sangat kurang")))))</f>
        <v/>
      </c>
      <c r="AJ139" t="str">
        <f t="shared" si="8"/>
        <v/>
      </c>
      <c r="AK139" t="str">
        <f>IF(pub_gid_0_single_true_output_csv[[#This Row],[Nilai2]]="","",VLOOKUP(pub_gid_0_single_true_output_csv[[#This Row],[NAMA]],Table7[],3,FALSE))</f>
        <v/>
      </c>
    </row>
    <row r="140" spans="1:37" x14ac:dyDescent="0.2">
      <c r="A140">
        <v>139</v>
      </c>
      <c r="B140" t="s">
        <v>282</v>
      </c>
      <c r="C140" t="s">
        <v>54</v>
      </c>
      <c r="D140" t="s">
        <v>283</v>
      </c>
      <c r="E140" t="s">
        <v>140</v>
      </c>
      <c r="F140" s="25">
        <v>46048</v>
      </c>
      <c r="G140" t="s">
        <v>371</v>
      </c>
      <c r="H140" t="s">
        <v>405</v>
      </c>
      <c r="I140" t="s">
        <v>371</v>
      </c>
      <c r="J140" t="s">
        <v>36</v>
      </c>
      <c r="K140" t="s">
        <v>37</v>
      </c>
      <c r="L140" t="s">
        <v>351</v>
      </c>
      <c r="M140" t="s">
        <v>141</v>
      </c>
      <c r="N140" t="s">
        <v>142</v>
      </c>
      <c r="O140" t="s">
        <v>155</v>
      </c>
      <c r="P140" t="s">
        <v>281</v>
      </c>
      <c r="Q140" t="s">
        <v>155</v>
      </c>
      <c r="R140" t="s">
        <v>302</v>
      </c>
      <c r="S140" t="s">
        <v>369</v>
      </c>
      <c r="T140">
        <v>1</v>
      </c>
      <c r="U140" t="s">
        <v>409</v>
      </c>
      <c r="V140" t="s">
        <v>342</v>
      </c>
      <c r="W140" t="s">
        <v>411</v>
      </c>
      <c r="X140" t="s">
        <v>306</v>
      </c>
      <c r="Y140" t="s">
        <v>307</v>
      </c>
      <c r="Z140">
        <v>65</v>
      </c>
      <c r="AA140">
        <v>0</v>
      </c>
      <c r="AB140" t="s">
        <v>151</v>
      </c>
      <c r="AC140" t="s">
        <v>149</v>
      </c>
      <c r="AD140" t="s">
        <v>404</v>
      </c>
      <c r="AE140" t="str">
        <f>IF(AF140="","",VLOOKUP(AC140,mapel!$A$2:$B$42,2,FALSE))</f>
        <v/>
      </c>
      <c r="AF140" t="str">
        <f t="shared" si="6"/>
        <v/>
      </c>
      <c r="AG140" t="str">
        <f>IF(AF140="","",IF(AF140&gt;90,"Sangat baik",IF(AF140&gt;79,"Baik",IF(AF140&gt;=pub_gid_0_single_true_output_csv[[#This Row],[KKM]],"Cukup","Kurang"))))</f>
        <v/>
      </c>
      <c r="AH140" t="str">
        <f t="shared" si="7"/>
        <v/>
      </c>
      <c r="AI140" s="30" t="str">
        <f>IF(OR(J140&lt;&gt;"Karakter",pub_gid_0_single_true_output_csv[[#This Row],[Nilai2]]=""),"",IF(AF140&gt;89,"Sangat baik",IF(AF140&gt;79,"Baik",IF(AF140&gt;69,"Cukup",IF(AF140&gt;59,"Kurang","Sangat kurang")))))</f>
        <v/>
      </c>
      <c r="AJ140" t="str">
        <f t="shared" si="8"/>
        <v/>
      </c>
      <c r="AK140" t="str">
        <f>IF(pub_gid_0_single_true_output_csv[[#This Row],[Nilai2]]="","",VLOOKUP(pub_gid_0_single_true_output_csv[[#This Row],[NAMA]],Table7[],3,FALSE))</f>
        <v/>
      </c>
    </row>
    <row r="141" spans="1:37" x14ac:dyDescent="0.2">
      <c r="A141">
        <v>140</v>
      </c>
      <c r="B141" t="s">
        <v>282</v>
      </c>
      <c r="C141" t="s">
        <v>54</v>
      </c>
      <c r="D141" t="s">
        <v>283</v>
      </c>
      <c r="E141" t="s">
        <v>140</v>
      </c>
      <c r="F141" s="25">
        <v>46048</v>
      </c>
      <c r="G141" t="s">
        <v>371</v>
      </c>
      <c r="H141" t="s">
        <v>405</v>
      </c>
      <c r="I141" t="s">
        <v>371</v>
      </c>
      <c r="J141" t="s">
        <v>31</v>
      </c>
      <c r="K141" t="s">
        <v>96</v>
      </c>
      <c r="L141" t="s">
        <v>351</v>
      </c>
      <c r="M141" t="s">
        <v>141</v>
      </c>
      <c r="N141" t="s">
        <v>142</v>
      </c>
      <c r="O141" t="s">
        <v>155</v>
      </c>
      <c r="P141" t="s">
        <v>281</v>
      </c>
      <c r="Q141" t="s">
        <v>155</v>
      </c>
      <c r="R141" t="s">
        <v>302</v>
      </c>
      <c r="S141" t="s">
        <v>369</v>
      </c>
      <c r="T141">
        <v>1</v>
      </c>
      <c r="U141" t="s">
        <v>409</v>
      </c>
      <c r="V141" t="s">
        <v>342</v>
      </c>
      <c r="W141" t="s">
        <v>411</v>
      </c>
      <c r="X141" t="s">
        <v>306</v>
      </c>
      <c r="Y141" t="s">
        <v>307</v>
      </c>
      <c r="Z141">
        <v>65</v>
      </c>
      <c r="AA141">
        <v>0</v>
      </c>
      <c r="AB141" t="s">
        <v>151</v>
      </c>
      <c r="AC141" t="s">
        <v>149</v>
      </c>
      <c r="AD141" t="s">
        <v>404</v>
      </c>
      <c r="AE141" t="str">
        <f>IF(AF141="","",VLOOKUP(AC141,mapel!$A$2:$B$42,2,FALSE))</f>
        <v/>
      </c>
      <c r="AF141" t="str">
        <f t="shared" si="6"/>
        <v/>
      </c>
      <c r="AG141" t="str">
        <f>IF(AF141="","",IF(AF141&gt;90,"Sangat baik",IF(AF141&gt;79,"Baik",IF(AF141&gt;=pub_gid_0_single_true_output_csv[[#This Row],[KKM]],"Cukup","Kurang"))))</f>
        <v/>
      </c>
      <c r="AH141" t="str">
        <f t="shared" si="7"/>
        <v/>
      </c>
      <c r="AI141" s="30" t="str">
        <f>IF(OR(J141&lt;&gt;"Karakter",pub_gid_0_single_true_output_csv[[#This Row],[Nilai2]]=""),"",IF(AF141&gt;89,"Sangat baik",IF(AF141&gt;79,"Baik",IF(AF141&gt;69,"Cukup",IF(AF141&gt;59,"Kurang","Sangat kurang")))))</f>
        <v/>
      </c>
      <c r="AJ141" t="str">
        <f t="shared" si="8"/>
        <v/>
      </c>
      <c r="AK141" t="str">
        <f>IF(pub_gid_0_single_true_output_csv[[#This Row],[Nilai2]]="","",VLOOKUP(pub_gid_0_single_true_output_csv[[#This Row],[NAMA]],Table7[],3,FALSE))</f>
        <v/>
      </c>
    </row>
    <row r="142" spans="1:37" x14ac:dyDescent="0.2">
      <c r="A142">
        <v>141</v>
      </c>
      <c r="B142" t="s">
        <v>282</v>
      </c>
      <c r="C142" t="s">
        <v>54</v>
      </c>
      <c r="D142" t="s">
        <v>283</v>
      </c>
      <c r="E142" t="s">
        <v>140</v>
      </c>
      <c r="F142" s="25">
        <v>46048</v>
      </c>
      <c r="G142" t="s">
        <v>371</v>
      </c>
      <c r="H142" t="s">
        <v>405</v>
      </c>
      <c r="I142" t="s">
        <v>371</v>
      </c>
      <c r="J142" t="s">
        <v>90</v>
      </c>
      <c r="K142" t="s">
        <v>92</v>
      </c>
      <c r="L142" t="s">
        <v>91</v>
      </c>
      <c r="M142" t="s">
        <v>141</v>
      </c>
      <c r="N142" t="s">
        <v>142</v>
      </c>
      <c r="O142" t="s">
        <v>155</v>
      </c>
      <c r="P142" t="s">
        <v>281</v>
      </c>
      <c r="Q142" t="s">
        <v>155</v>
      </c>
      <c r="R142" t="s">
        <v>302</v>
      </c>
      <c r="S142" t="s">
        <v>369</v>
      </c>
      <c r="T142">
        <v>1</v>
      </c>
      <c r="U142" t="s">
        <v>409</v>
      </c>
      <c r="V142" t="s">
        <v>342</v>
      </c>
      <c r="W142" t="s">
        <v>411</v>
      </c>
      <c r="X142" t="s">
        <v>306</v>
      </c>
      <c r="Y142" t="s">
        <v>307</v>
      </c>
      <c r="Z142">
        <v>65</v>
      </c>
      <c r="AA142">
        <v>0</v>
      </c>
      <c r="AB142" t="s">
        <v>151</v>
      </c>
      <c r="AC142" t="s">
        <v>149</v>
      </c>
      <c r="AD142" t="s">
        <v>404</v>
      </c>
      <c r="AE142" t="str">
        <f>IF(AF142="","",VLOOKUP(AC142,mapel!$A$2:$B$42,2,FALSE))</f>
        <v/>
      </c>
      <c r="AF142" t="str">
        <f t="shared" si="6"/>
        <v/>
      </c>
      <c r="AG142" t="str">
        <f>IF(AF142="","",IF(AF142&gt;90,"Sangat baik",IF(AF142&gt;79,"Baik",IF(AF142&gt;=pub_gid_0_single_true_output_csv[[#This Row],[KKM]],"Cukup","Kurang"))))</f>
        <v/>
      </c>
      <c r="AH142" t="str">
        <f t="shared" si="7"/>
        <v/>
      </c>
      <c r="AI142" s="30" t="str">
        <f>IF(OR(J142&lt;&gt;"Karakter",pub_gid_0_single_true_output_csv[[#This Row],[Nilai2]]=""),"",IF(AF142&gt;89,"Sangat baik",IF(AF142&gt;79,"Baik",IF(AF142&gt;69,"Cukup",IF(AF142&gt;59,"Kurang","Sangat kurang")))))</f>
        <v/>
      </c>
      <c r="AJ142" t="str">
        <f t="shared" si="8"/>
        <v/>
      </c>
      <c r="AK142" t="str">
        <f>IF(pub_gid_0_single_true_output_csv[[#This Row],[Nilai2]]="","",VLOOKUP(pub_gid_0_single_true_output_csv[[#This Row],[NAMA]],Table7[],3,FALSE))</f>
        <v/>
      </c>
    </row>
    <row r="143" spans="1:37" x14ac:dyDescent="0.2">
      <c r="A143">
        <v>142</v>
      </c>
      <c r="B143" t="s">
        <v>282</v>
      </c>
      <c r="C143" t="s">
        <v>54</v>
      </c>
      <c r="D143" t="s">
        <v>283</v>
      </c>
      <c r="E143" t="s">
        <v>140</v>
      </c>
      <c r="F143" s="25">
        <v>46048</v>
      </c>
      <c r="G143" t="s">
        <v>371</v>
      </c>
      <c r="H143" t="s">
        <v>405</v>
      </c>
      <c r="I143" t="s">
        <v>371</v>
      </c>
      <c r="J143" t="s">
        <v>279</v>
      </c>
      <c r="K143" t="s">
        <v>280</v>
      </c>
      <c r="L143" t="s">
        <v>322</v>
      </c>
      <c r="M143" t="s">
        <v>141</v>
      </c>
      <c r="N143" t="s">
        <v>142</v>
      </c>
      <c r="O143" t="s">
        <v>155</v>
      </c>
      <c r="P143" t="s">
        <v>281</v>
      </c>
      <c r="Q143" t="s">
        <v>155</v>
      </c>
      <c r="R143" t="s">
        <v>302</v>
      </c>
      <c r="S143" t="s">
        <v>369</v>
      </c>
      <c r="T143">
        <v>1</v>
      </c>
      <c r="U143" t="s">
        <v>409</v>
      </c>
      <c r="V143" t="s">
        <v>342</v>
      </c>
      <c r="W143" t="s">
        <v>411</v>
      </c>
      <c r="X143" t="s">
        <v>306</v>
      </c>
      <c r="Y143" t="s">
        <v>307</v>
      </c>
      <c r="Z143">
        <v>65</v>
      </c>
      <c r="AA143">
        <v>0</v>
      </c>
      <c r="AB143" t="s">
        <v>151</v>
      </c>
      <c r="AC143" t="s">
        <v>149</v>
      </c>
      <c r="AD143" t="s">
        <v>404</v>
      </c>
      <c r="AE143" t="str">
        <f>IF(AF143="","",VLOOKUP(AC143,mapel!$A$2:$B$42,2,FALSE))</f>
        <v/>
      </c>
      <c r="AF143" t="str">
        <f t="shared" si="6"/>
        <v/>
      </c>
      <c r="AG143" t="str">
        <f>IF(AF143="","",IF(AF143&gt;90,"Sangat baik",IF(AF143&gt;79,"Baik",IF(AF143&gt;=pub_gid_0_single_true_output_csv[[#This Row],[KKM]],"Cukup","Kurang"))))</f>
        <v/>
      </c>
      <c r="AH143" t="str">
        <f t="shared" si="7"/>
        <v/>
      </c>
      <c r="AI143" s="30" t="str">
        <f>IF(OR(J143&lt;&gt;"Karakter",pub_gid_0_single_true_output_csv[[#This Row],[Nilai2]]=""),"",IF(AF143&gt;89,"Sangat baik",IF(AF143&gt;79,"Baik",IF(AF143&gt;69,"Cukup",IF(AF143&gt;59,"Kurang","Sangat kurang")))))</f>
        <v/>
      </c>
      <c r="AJ143" t="str">
        <f t="shared" si="8"/>
        <v/>
      </c>
      <c r="AK143" t="str">
        <f>IF(pub_gid_0_single_true_output_csv[[#This Row],[Nilai2]]="","",VLOOKUP(pub_gid_0_single_true_output_csv[[#This Row],[NAMA]],Table7[],3,FALSE))</f>
        <v/>
      </c>
    </row>
    <row r="144" spans="1:37" x14ac:dyDescent="0.2">
      <c r="A144">
        <v>143</v>
      </c>
      <c r="B144" t="s">
        <v>282</v>
      </c>
      <c r="C144" t="s">
        <v>54</v>
      </c>
      <c r="D144" t="s">
        <v>283</v>
      </c>
      <c r="E144" t="s">
        <v>140</v>
      </c>
      <c r="F144" s="25">
        <v>46049</v>
      </c>
      <c r="G144" t="s">
        <v>373</v>
      </c>
      <c r="H144" t="s">
        <v>405</v>
      </c>
      <c r="I144" t="s">
        <v>371</v>
      </c>
      <c r="J144" t="s">
        <v>36</v>
      </c>
      <c r="K144" t="s">
        <v>37</v>
      </c>
      <c r="L144" t="s">
        <v>321</v>
      </c>
      <c r="M144" t="s">
        <v>141</v>
      </c>
      <c r="N144" t="s">
        <v>142</v>
      </c>
      <c r="O144" t="s">
        <v>155</v>
      </c>
      <c r="P144" t="s">
        <v>281</v>
      </c>
      <c r="Q144" t="s">
        <v>155</v>
      </c>
      <c r="R144" t="s">
        <v>302</v>
      </c>
      <c r="S144" t="s">
        <v>369</v>
      </c>
      <c r="T144">
        <v>1</v>
      </c>
      <c r="U144" t="s">
        <v>409</v>
      </c>
      <c r="V144" t="s">
        <v>342</v>
      </c>
      <c r="W144" t="s">
        <v>411</v>
      </c>
      <c r="X144" t="s">
        <v>306</v>
      </c>
      <c r="Y144" t="s">
        <v>307</v>
      </c>
      <c r="Z144">
        <v>65</v>
      </c>
      <c r="AA144">
        <v>0</v>
      </c>
      <c r="AB144" t="s">
        <v>151</v>
      </c>
      <c r="AC144" t="s">
        <v>149</v>
      </c>
      <c r="AD144" t="s">
        <v>404</v>
      </c>
      <c r="AE144" t="str">
        <f>IF(AF144="","",VLOOKUP(AC144,mapel!$A$2:$B$42,2,FALSE))</f>
        <v/>
      </c>
      <c r="AF144" t="str">
        <f t="shared" si="6"/>
        <v/>
      </c>
      <c r="AG144" t="str">
        <f>IF(AF144="","",IF(AF144&gt;90,"Sangat baik",IF(AF144&gt;79,"Baik",IF(AF144&gt;=pub_gid_0_single_true_output_csv[[#This Row],[KKM]],"Cukup","Kurang"))))</f>
        <v/>
      </c>
      <c r="AH144" t="str">
        <f t="shared" si="7"/>
        <v/>
      </c>
      <c r="AI144" s="30" t="str">
        <f>IF(OR(J144&lt;&gt;"Karakter",pub_gid_0_single_true_output_csv[[#This Row],[Nilai2]]=""),"",IF(AF144&gt;89,"Sangat baik",IF(AF144&gt;79,"Baik",IF(AF144&gt;69,"Cukup",IF(AF144&gt;59,"Kurang","Sangat kurang")))))</f>
        <v/>
      </c>
      <c r="AJ144" t="str">
        <f t="shared" si="8"/>
        <v/>
      </c>
      <c r="AK144" t="str">
        <f>IF(pub_gid_0_single_true_output_csv[[#This Row],[Nilai2]]="","",VLOOKUP(pub_gid_0_single_true_output_csv[[#This Row],[NAMA]],Table7[],3,FALSE))</f>
        <v/>
      </c>
    </row>
    <row r="145" spans="1:37" x14ac:dyDescent="0.2">
      <c r="A145">
        <v>144</v>
      </c>
      <c r="B145" t="s">
        <v>282</v>
      </c>
      <c r="C145" t="s">
        <v>54</v>
      </c>
      <c r="D145" t="s">
        <v>283</v>
      </c>
      <c r="E145" t="s">
        <v>140</v>
      </c>
      <c r="F145" s="25">
        <v>46049</v>
      </c>
      <c r="G145" t="s">
        <v>373</v>
      </c>
      <c r="H145" t="s">
        <v>405</v>
      </c>
      <c r="I145" t="s">
        <v>371</v>
      </c>
      <c r="J145" t="s">
        <v>31</v>
      </c>
      <c r="K145" t="s">
        <v>96</v>
      </c>
      <c r="L145" t="s">
        <v>321</v>
      </c>
      <c r="M145" t="s">
        <v>141</v>
      </c>
      <c r="N145" t="s">
        <v>142</v>
      </c>
      <c r="O145" t="s">
        <v>155</v>
      </c>
      <c r="P145" t="s">
        <v>281</v>
      </c>
      <c r="Q145" t="s">
        <v>155</v>
      </c>
      <c r="R145" t="s">
        <v>302</v>
      </c>
      <c r="S145" t="s">
        <v>369</v>
      </c>
      <c r="T145">
        <v>1</v>
      </c>
      <c r="U145" t="s">
        <v>409</v>
      </c>
      <c r="V145" t="s">
        <v>342</v>
      </c>
      <c r="W145" t="s">
        <v>411</v>
      </c>
      <c r="X145" t="s">
        <v>306</v>
      </c>
      <c r="Y145" t="s">
        <v>307</v>
      </c>
      <c r="Z145">
        <v>65</v>
      </c>
      <c r="AA145">
        <v>0</v>
      </c>
      <c r="AB145" t="s">
        <v>151</v>
      </c>
      <c r="AC145" t="s">
        <v>149</v>
      </c>
      <c r="AD145" t="s">
        <v>404</v>
      </c>
      <c r="AE145" t="str">
        <f>IF(AF145="","",VLOOKUP(AC145,mapel!$A$2:$B$42,2,FALSE))</f>
        <v/>
      </c>
      <c r="AF145" t="str">
        <f t="shared" si="6"/>
        <v/>
      </c>
      <c r="AG145" t="str">
        <f>IF(AF145="","",IF(AF145&gt;90,"Sangat baik",IF(AF145&gt;79,"Baik",IF(AF145&gt;=pub_gid_0_single_true_output_csv[[#This Row],[KKM]],"Cukup","Kurang"))))</f>
        <v/>
      </c>
      <c r="AH145" t="str">
        <f t="shared" si="7"/>
        <v/>
      </c>
      <c r="AI145" s="30" t="str">
        <f>IF(OR(J145&lt;&gt;"Karakter",pub_gid_0_single_true_output_csv[[#This Row],[Nilai2]]=""),"",IF(AF145&gt;89,"Sangat baik",IF(AF145&gt;79,"Baik",IF(AF145&gt;69,"Cukup",IF(AF145&gt;59,"Kurang","Sangat kurang")))))</f>
        <v/>
      </c>
      <c r="AJ145" t="str">
        <f t="shared" si="8"/>
        <v/>
      </c>
      <c r="AK145" t="str">
        <f>IF(pub_gid_0_single_true_output_csv[[#This Row],[Nilai2]]="","",VLOOKUP(pub_gid_0_single_true_output_csv[[#This Row],[NAMA]],Table7[],3,FALSE))</f>
        <v/>
      </c>
    </row>
    <row r="146" spans="1:37" x14ac:dyDescent="0.2">
      <c r="A146">
        <v>145</v>
      </c>
      <c r="B146" t="s">
        <v>282</v>
      </c>
      <c r="C146" t="s">
        <v>54</v>
      </c>
      <c r="D146" t="s">
        <v>283</v>
      </c>
      <c r="E146" t="s">
        <v>140</v>
      </c>
      <c r="F146" s="25">
        <v>46049</v>
      </c>
      <c r="G146" t="s">
        <v>373</v>
      </c>
      <c r="H146" t="s">
        <v>405</v>
      </c>
      <c r="I146" t="s">
        <v>371</v>
      </c>
      <c r="J146" t="s">
        <v>90</v>
      </c>
      <c r="K146" t="s">
        <v>92</v>
      </c>
      <c r="L146" t="s">
        <v>93</v>
      </c>
      <c r="M146" t="s">
        <v>141</v>
      </c>
      <c r="N146" t="s">
        <v>142</v>
      </c>
      <c r="O146" t="s">
        <v>155</v>
      </c>
      <c r="P146" t="s">
        <v>281</v>
      </c>
      <c r="Q146" t="s">
        <v>155</v>
      </c>
      <c r="R146" t="s">
        <v>302</v>
      </c>
      <c r="S146" t="s">
        <v>369</v>
      </c>
      <c r="T146">
        <v>1</v>
      </c>
      <c r="U146" t="s">
        <v>409</v>
      </c>
      <c r="V146" t="s">
        <v>342</v>
      </c>
      <c r="W146" t="s">
        <v>411</v>
      </c>
      <c r="X146" t="s">
        <v>306</v>
      </c>
      <c r="Y146" t="s">
        <v>307</v>
      </c>
      <c r="Z146">
        <v>65</v>
      </c>
      <c r="AA146">
        <v>0</v>
      </c>
      <c r="AB146" t="s">
        <v>151</v>
      </c>
      <c r="AC146" t="s">
        <v>149</v>
      </c>
      <c r="AD146" t="s">
        <v>404</v>
      </c>
      <c r="AE146" t="str">
        <f>IF(AF146="","",VLOOKUP(AC146,mapel!$A$2:$B$42,2,FALSE))</f>
        <v/>
      </c>
      <c r="AF146" t="str">
        <f t="shared" si="6"/>
        <v/>
      </c>
      <c r="AG146" t="str">
        <f>IF(AF146="","",IF(AF146&gt;90,"Sangat baik",IF(AF146&gt;79,"Baik",IF(AF146&gt;=pub_gid_0_single_true_output_csv[[#This Row],[KKM]],"Cukup","Kurang"))))</f>
        <v/>
      </c>
      <c r="AH146" t="str">
        <f t="shared" si="7"/>
        <v/>
      </c>
      <c r="AI146" s="30" t="str">
        <f>IF(OR(J146&lt;&gt;"Karakter",pub_gid_0_single_true_output_csv[[#This Row],[Nilai2]]=""),"",IF(AF146&gt;89,"Sangat baik",IF(AF146&gt;79,"Baik",IF(AF146&gt;69,"Cukup",IF(AF146&gt;59,"Kurang","Sangat kurang")))))</f>
        <v/>
      </c>
      <c r="AJ146" t="str">
        <f t="shared" si="8"/>
        <v/>
      </c>
      <c r="AK146" t="str">
        <f>IF(pub_gid_0_single_true_output_csv[[#This Row],[Nilai2]]="","",VLOOKUP(pub_gid_0_single_true_output_csv[[#This Row],[NAMA]],Table7[],3,FALSE))</f>
        <v/>
      </c>
    </row>
    <row r="147" spans="1:37" x14ac:dyDescent="0.2">
      <c r="A147">
        <v>146</v>
      </c>
      <c r="B147" t="s">
        <v>282</v>
      </c>
      <c r="C147" t="s">
        <v>54</v>
      </c>
      <c r="D147" t="s">
        <v>283</v>
      </c>
      <c r="E147" t="s">
        <v>140</v>
      </c>
      <c r="F147" s="25">
        <v>46049</v>
      </c>
      <c r="G147" t="s">
        <v>373</v>
      </c>
      <c r="H147" t="s">
        <v>405</v>
      </c>
      <c r="I147" t="s">
        <v>371</v>
      </c>
      <c r="J147" t="s">
        <v>279</v>
      </c>
      <c r="K147" t="s">
        <v>280</v>
      </c>
      <c r="L147" t="s">
        <v>322</v>
      </c>
      <c r="M147" t="s">
        <v>141</v>
      </c>
      <c r="N147" t="s">
        <v>142</v>
      </c>
      <c r="O147" t="s">
        <v>155</v>
      </c>
      <c r="P147" t="s">
        <v>281</v>
      </c>
      <c r="Q147" t="s">
        <v>155</v>
      </c>
      <c r="R147" t="s">
        <v>302</v>
      </c>
      <c r="S147" t="s">
        <v>369</v>
      </c>
      <c r="T147">
        <v>1</v>
      </c>
      <c r="U147" t="s">
        <v>409</v>
      </c>
      <c r="V147" t="s">
        <v>342</v>
      </c>
      <c r="W147" t="s">
        <v>411</v>
      </c>
      <c r="X147" t="s">
        <v>306</v>
      </c>
      <c r="Y147" t="s">
        <v>307</v>
      </c>
      <c r="Z147">
        <v>65</v>
      </c>
      <c r="AA147">
        <v>0</v>
      </c>
      <c r="AB147" t="s">
        <v>151</v>
      </c>
      <c r="AC147" t="s">
        <v>149</v>
      </c>
      <c r="AD147" t="s">
        <v>404</v>
      </c>
      <c r="AE147" t="str">
        <f>IF(AF147="","",VLOOKUP(AC147,mapel!$A$2:$B$42,2,FALSE))</f>
        <v/>
      </c>
      <c r="AF147" t="str">
        <f t="shared" si="6"/>
        <v/>
      </c>
      <c r="AG147" t="str">
        <f>IF(AF147="","",IF(AF147&gt;90,"Sangat baik",IF(AF147&gt;79,"Baik",IF(AF147&gt;=pub_gid_0_single_true_output_csv[[#This Row],[KKM]],"Cukup","Kurang"))))</f>
        <v/>
      </c>
      <c r="AH147" t="str">
        <f t="shared" si="7"/>
        <v/>
      </c>
      <c r="AI147" s="30" t="str">
        <f>IF(OR(J147&lt;&gt;"Karakter",pub_gid_0_single_true_output_csv[[#This Row],[Nilai2]]=""),"",IF(AF147&gt;89,"Sangat baik",IF(AF147&gt;79,"Baik",IF(AF147&gt;69,"Cukup",IF(AF147&gt;59,"Kurang","Sangat kurang")))))</f>
        <v/>
      </c>
      <c r="AJ147" t="str">
        <f t="shared" si="8"/>
        <v/>
      </c>
      <c r="AK147" t="str">
        <f>IF(pub_gid_0_single_true_output_csv[[#This Row],[Nilai2]]="","",VLOOKUP(pub_gid_0_single_true_output_csv[[#This Row],[NAMA]],Table7[],3,FALSE))</f>
        <v/>
      </c>
    </row>
    <row r="148" spans="1:37" x14ac:dyDescent="0.2">
      <c r="A148">
        <v>147</v>
      </c>
      <c r="B148" t="s">
        <v>282</v>
      </c>
      <c r="C148" t="s">
        <v>54</v>
      </c>
      <c r="D148" t="s">
        <v>283</v>
      </c>
      <c r="E148" t="s">
        <v>140</v>
      </c>
      <c r="F148" s="25">
        <v>46055</v>
      </c>
      <c r="G148" t="s">
        <v>379</v>
      </c>
      <c r="H148" t="s">
        <v>412</v>
      </c>
      <c r="I148" t="s">
        <v>371</v>
      </c>
      <c r="J148" t="s">
        <v>36</v>
      </c>
      <c r="K148" t="s">
        <v>37</v>
      </c>
      <c r="L148" t="s">
        <v>150</v>
      </c>
      <c r="M148" t="s">
        <v>141</v>
      </c>
      <c r="N148" t="s">
        <v>142</v>
      </c>
      <c r="O148" t="s">
        <v>155</v>
      </c>
      <c r="P148" t="s">
        <v>281</v>
      </c>
      <c r="Q148" t="s">
        <v>155</v>
      </c>
      <c r="R148" t="s">
        <v>302</v>
      </c>
      <c r="S148" t="s">
        <v>345</v>
      </c>
      <c r="T148">
        <v>1</v>
      </c>
      <c r="U148" t="s">
        <v>409</v>
      </c>
      <c r="V148" t="s">
        <v>343</v>
      </c>
      <c r="W148" t="s">
        <v>413</v>
      </c>
      <c r="X148" t="s">
        <v>306</v>
      </c>
      <c r="Y148" t="s">
        <v>307</v>
      </c>
      <c r="Z148">
        <v>65</v>
      </c>
      <c r="AA148">
        <v>0</v>
      </c>
      <c r="AB148" t="s">
        <v>151</v>
      </c>
      <c r="AC148" t="s">
        <v>149</v>
      </c>
      <c r="AD148" t="s">
        <v>404</v>
      </c>
      <c r="AE148" t="str">
        <f>IF(AF148="","",VLOOKUP(AC148,mapel!$A$2:$B$42,2,FALSE))</f>
        <v/>
      </c>
      <c r="AF148" t="str">
        <f t="shared" si="6"/>
        <v/>
      </c>
      <c r="AG148" t="str">
        <f>IF(AF148="","",IF(AF148&gt;90,"Sangat baik",IF(AF148&gt;79,"Baik",IF(AF148&gt;=pub_gid_0_single_true_output_csv[[#This Row],[KKM]],"Cukup","Kurang"))))</f>
        <v/>
      </c>
      <c r="AH148" t="str">
        <f t="shared" si="7"/>
        <v/>
      </c>
      <c r="AI148" s="30" t="str">
        <f>IF(OR(J148&lt;&gt;"Karakter",pub_gid_0_single_true_output_csv[[#This Row],[Nilai2]]=""),"",IF(AF148&gt;89,"Sangat baik",IF(AF148&gt;79,"Baik",IF(AF148&gt;69,"Cukup",IF(AF148&gt;59,"Kurang","Sangat kurang")))))</f>
        <v/>
      </c>
      <c r="AJ148" t="str">
        <f t="shared" si="8"/>
        <v/>
      </c>
      <c r="AK148" t="str">
        <f>IF(pub_gid_0_single_true_output_csv[[#This Row],[Nilai2]]="","",VLOOKUP(pub_gid_0_single_true_output_csv[[#This Row],[NAMA]],Table7[],3,FALSE))</f>
        <v/>
      </c>
    </row>
    <row r="149" spans="1:37" x14ac:dyDescent="0.2">
      <c r="A149">
        <v>148</v>
      </c>
      <c r="B149" t="s">
        <v>282</v>
      </c>
      <c r="C149" t="s">
        <v>54</v>
      </c>
      <c r="D149" t="s">
        <v>283</v>
      </c>
      <c r="E149" t="s">
        <v>140</v>
      </c>
      <c r="F149" s="25">
        <v>46055</v>
      </c>
      <c r="G149" t="s">
        <v>379</v>
      </c>
      <c r="H149" t="s">
        <v>412</v>
      </c>
      <c r="I149" t="s">
        <v>371</v>
      </c>
      <c r="J149" t="s">
        <v>31</v>
      </c>
      <c r="K149" t="s">
        <v>96</v>
      </c>
      <c r="L149" t="s">
        <v>150</v>
      </c>
      <c r="M149" t="s">
        <v>141</v>
      </c>
      <c r="N149" t="s">
        <v>142</v>
      </c>
      <c r="O149" t="s">
        <v>155</v>
      </c>
      <c r="P149" t="s">
        <v>281</v>
      </c>
      <c r="Q149" t="s">
        <v>155</v>
      </c>
      <c r="R149" t="s">
        <v>302</v>
      </c>
      <c r="S149" t="s">
        <v>345</v>
      </c>
      <c r="T149">
        <v>1</v>
      </c>
      <c r="U149" t="s">
        <v>409</v>
      </c>
      <c r="V149" t="s">
        <v>343</v>
      </c>
      <c r="W149" t="s">
        <v>413</v>
      </c>
      <c r="X149" t="s">
        <v>306</v>
      </c>
      <c r="Y149" t="s">
        <v>307</v>
      </c>
      <c r="Z149">
        <v>65</v>
      </c>
      <c r="AA149">
        <v>0</v>
      </c>
      <c r="AB149" t="s">
        <v>151</v>
      </c>
      <c r="AC149" t="s">
        <v>149</v>
      </c>
      <c r="AD149" t="s">
        <v>404</v>
      </c>
      <c r="AE149" t="str">
        <f>IF(AF149="","",VLOOKUP(AC149,mapel!$A$2:$B$42,2,FALSE))</f>
        <v/>
      </c>
      <c r="AF149" t="str">
        <f t="shared" si="6"/>
        <v/>
      </c>
      <c r="AG149" t="str">
        <f>IF(AF149="","",IF(AF149&gt;90,"Sangat baik",IF(AF149&gt;79,"Baik",IF(AF149&gt;=pub_gid_0_single_true_output_csv[[#This Row],[KKM]],"Cukup","Kurang"))))</f>
        <v/>
      </c>
      <c r="AH149" t="str">
        <f t="shared" si="7"/>
        <v/>
      </c>
      <c r="AI149" s="30" t="str">
        <f>IF(OR(J149&lt;&gt;"Karakter",pub_gid_0_single_true_output_csv[[#This Row],[Nilai2]]=""),"",IF(AF149&gt;89,"Sangat baik",IF(AF149&gt;79,"Baik",IF(AF149&gt;69,"Cukup",IF(AF149&gt;59,"Kurang","Sangat kurang")))))</f>
        <v/>
      </c>
      <c r="AJ149" t="str">
        <f t="shared" si="8"/>
        <v/>
      </c>
      <c r="AK149" t="str">
        <f>IF(pub_gid_0_single_true_output_csv[[#This Row],[Nilai2]]="","",VLOOKUP(pub_gid_0_single_true_output_csv[[#This Row],[NAMA]],Table7[],3,FALSE))</f>
        <v/>
      </c>
    </row>
    <row r="150" spans="1:37" x14ac:dyDescent="0.2">
      <c r="A150">
        <v>149</v>
      </c>
      <c r="B150" t="s">
        <v>282</v>
      </c>
      <c r="C150" t="s">
        <v>54</v>
      </c>
      <c r="D150" t="s">
        <v>283</v>
      </c>
      <c r="E150" t="s">
        <v>140</v>
      </c>
      <c r="F150" s="25">
        <v>46055</v>
      </c>
      <c r="G150" t="s">
        <v>379</v>
      </c>
      <c r="H150" t="s">
        <v>412</v>
      </c>
      <c r="I150" t="s">
        <v>371</v>
      </c>
      <c r="J150" t="s">
        <v>90</v>
      </c>
      <c r="K150" t="s">
        <v>92</v>
      </c>
      <c r="L150" t="s">
        <v>91</v>
      </c>
      <c r="M150" t="s">
        <v>141</v>
      </c>
      <c r="N150" t="s">
        <v>142</v>
      </c>
      <c r="O150" t="s">
        <v>155</v>
      </c>
      <c r="P150" t="s">
        <v>281</v>
      </c>
      <c r="Q150" t="s">
        <v>155</v>
      </c>
      <c r="R150" t="s">
        <v>302</v>
      </c>
      <c r="S150" t="s">
        <v>345</v>
      </c>
      <c r="T150">
        <v>1</v>
      </c>
      <c r="U150" t="s">
        <v>409</v>
      </c>
      <c r="V150" t="s">
        <v>343</v>
      </c>
      <c r="W150" t="s">
        <v>413</v>
      </c>
      <c r="X150" t="s">
        <v>306</v>
      </c>
      <c r="Y150" t="s">
        <v>307</v>
      </c>
      <c r="Z150">
        <v>65</v>
      </c>
      <c r="AA150">
        <v>0</v>
      </c>
      <c r="AB150" t="s">
        <v>151</v>
      </c>
      <c r="AC150" t="s">
        <v>149</v>
      </c>
      <c r="AD150" t="s">
        <v>404</v>
      </c>
      <c r="AE150" t="str">
        <f>IF(AF150="","",VLOOKUP(AC150,mapel!$A$2:$B$42,2,FALSE))</f>
        <v/>
      </c>
      <c r="AF150" t="str">
        <f t="shared" si="6"/>
        <v/>
      </c>
      <c r="AG150" t="str">
        <f>IF(AF150="","",IF(AF150&gt;90,"Sangat baik",IF(AF150&gt;79,"Baik",IF(AF150&gt;=pub_gid_0_single_true_output_csv[[#This Row],[KKM]],"Cukup","Kurang"))))</f>
        <v/>
      </c>
      <c r="AH150" t="str">
        <f t="shared" si="7"/>
        <v/>
      </c>
      <c r="AI150" s="30" t="str">
        <f>IF(OR(J150&lt;&gt;"Karakter",pub_gid_0_single_true_output_csv[[#This Row],[Nilai2]]=""),"",IF(AF150&gt;89,"Sangat baik",IF(AF150&gt;79,"Baik",IF(AF150&gt;69,"Cukup",IF(AF150&gt;59,"Kurang","Sangat kurang")))))</f>
        <v/>
      </c>
      <c r="AJ150" t="str">
        <f t="shared" si="8"/>
        <v/>
      </c>
      <c r="AK150" t="str">
        <f>IF(pub_gid_0_single_true_output_csv[[#This Row],[Nilai2]]="","",VLOOKUP(pub_gid_0_single_true_output_csv[[#This Row],[NAMA]],Table7[],3,FALSE))</f>
        <v/>
      </c>
    </row>
    <row r="151" spans="1:37" x14ac:dyDescent="0.2">
      <c r="A151">
        <v>150</v>
      </c>
      <c r="B151" t="s">
        <v>282</v>
      </c>
      <c r="C151" t="s">
        <v>54</v>
      </c>
      <c r="D151" t="s">
        <v>283</v>
      </c>
      <c r="E151" t="s">
        <v>140</v>
      </c>
      <c r="F151" s="25">
        <v>46055</v>
      </c>
      <c r="G151" t="s">
        <v>379</v>
      </c>
      <c r="H151" t="s">
        <v>412</v>
      </c>
      <c r="I151" t="s">
        <v>371</v>
      </c>
      <c r="J151" t="s">
        <v>279</v>
      </c>
      <c r="K151" t="s">
        <v>280</v>
      </c>
      <c r="L151" t="s">
        <v>322</v>
      </c>
      <c r="M151" t="s">
        <v>141</v>
      </c>
      <c r="N151" t="s">
        <v>142</v>
      </c>
      <c r="O151" t="s">
        <v>155</v>
      </c>
      <c r="P151" t="s">
        <v>281</v>
      </c>
      <c r="Q151" t="s">
        <v>155</v>
      </c>
      <c r="R151" t="s">
        <v>302</v>
      </c>
      <c r="S151" t="s">
        <v>345</v>
      </c>
      <c r="T151">
        <v>1</v>
      </c>
      <c r="U151" t="s">
        <v>409</v>
      </c>
      <c r="V151" t="s">
        <v>343</v>
      </c>
      <c r="W151" t="s">
        <v>413</v>
      </c>
      <c r="X151" t="s">
        <v>306</v>
      </c>
      <c r="Y151" t="s">
        <v>307</v>
      </c>
      <c r="Z151">
        <v>65</v>
      </c>
      <c r="AA151">
        <v>0</v>
      </c>
      <c r="AB151" t="s">
        <v>151</v>
      </c>
      <c r="AC151" t="s">
        <v>149</v>
      </c>
      <c r="AD151" t="s">
        <v>404</v>
      </c>
      <c r="AE151" t="str">
        <f>IF(AF151="","",VLOOKUP(AC151,mapel!$A$2:$B$42,2,FALSE))</f>
        <v/>
      </c>
      <c r="AF151" t="str">
        <f t="shared" si="6"/>
        <v/>
      </c>
      <c r="AG151" t="str">
        <f>IF(AF151="","",IF(AF151&gt;90,"Sangat baik",IF(AF151&gt;79,"Baik",IF(AF151&gt;=pub_gid_0_single_true_output_csv[[#This Row],[KKM]],"Cukup","Kurang"))))</f>
        <v/>
      </c>
      <c r="AH151" t="str">
        <f t="shared" si="7"/>
        <v/>
      </c>
      <c r="AI151" s="30" t="str">
        <f>IF(OR(J151&lt;&gt;"Karakter",pub_gid_0_single_true_output_csv[[#This Row],[Nilai2]]=""),"",IF(AF151&gt;89,"Sangat baik",IF(AF151&gt;79,"Baik",IF(AF151&gt;69,"Cukup",IF(AF151&gt;59,"Kurang","Sangat kurang")))))</f>
        <v/>
      </c>
      <c r="AJ151" t="str">
        <f t="shared" si="8"/>
        <v/>
      </c>
      <c r="AK151" t="str">
        <f>IF(pub_gid_0_single_true_output_csv[[#This Row],[Nilai2]]="","",VLOOKUP(pub_gid_0_single_true_output_csv[[#This Row],[NAMA]],Table7[],3,FALSE))</f>
        <v/>
      </c>
    </row>
    <row r="152" spans="1:37" x14ac:dyDescent="0.2">
      <c r="A152">
        <v>151</v>
      </c>
      <c r="B152" t="s">
        <v>282</v>
      </c>
      <c r="C152" t="s">
        <v>54</v>
      </c>
      <c r="D152" t="s">
        <v>283</v>
      </c>
      <c r="E152" t="s">
        <v>140</v>
      </c>
      <c r="F152" s="25">
        <v>46062</v>
      </c>
      <c r="G152" t="s">
        <v>376</v>
      </c>
      <c r="H152" t="s">
        <v>412</v>
      </c>
      <c r="I152" t="s">
        <v>371</v>
      </c>
      <c r="J152" t="s">
        <v>36</v>
      </c>
      <c r="K152" t="s">
        <v>37</v>
      </c>
      <c r="L152" t="s">
        <v>351</v>
      </c>
      <c r="M152" t="s">
        <v>141</v>
      </c>
      <c r="N152" t="s">
        <v>142</v>
      </c>
      <c r="O152" t="s">
        <v>155</v>
      </c>
      <c r="P152" t="s">
        <v>281</v>
      </c>
      <c r="Q152" t="s">
        <v>155</v>
      </c>
      <c r="R152" t="s">
        <v>302</v>
      </c>
      <c r="S152" t="s">
        <v>345</v>
      </c>
      <c r="T152">
        <v>1</v>
      </c>
      <c r="U152" t="s">
        <v>409</v>
      </c>
      <c r="V152" t="s">
        <v>343</v>
      </c>
      <c r="W152" t="s">
        <v>413</v>
      </c>
      <c r="X152" t="s">
        <v>306</v>
      </c>
      <c r="Y152" t="s">
        <v>307</v>
      </c>
      <c r="Z152">
        <v>65</v>
      </c>
      <c r="AA152">
        <v>0</v>
      </c>
      <c r="AB152" t="s">
        <v>151</v>
      </c>
      <c r="AC152" t="s">
        <v>149</v>
      </c>
      <c r="AD152" t="s">
        <v>404</v>
      </c>
      <c r="AE152" t="str">
        <f>IF(AF152="","",VLOOKUP(AC152,mapel!$A$2:$B$42,2,FALSE))</f>
        <v/>
      </c>
      <c r="AF152" t="str">
        <f t="shared" si="6"/>
        <v/>
      </c>
      <c r="AG152" t="str">
        <f>IF(AF152="","",IF(AF152&gt;90,"Sangat baik",IF(AF152&gt;79,"Baik",IF(AF152&gt;=pub_gid_0_single_true_output_csv[[#This Row],[KKM]],"Cukup","Kurang"))))</f>
        <v/>
      </c>
      <c r="AH152" t="str">
        <f t="shared" si="7"/>
        <v/>
      </c>
      <c r="AI152" s="30" t="str">
        <f>IF(OR(J152&lt;&gt;"Karakter",pub_gid_0_single_true_output_csv[[#This Row],[Nilai2]]=""),"",IF(AF152&gt;89,"Sangat baik",IF(AF152&gt;79,"Baik",IF(AF152&gt;69,"Cukup",IF(AF152&gt;59,"Kurang","Sangat kurang")))))</f>
        <v/>
      </c>
      <c r="AJ152" t="str">
        <f t="shared" si="8"/>
        <v/>
      </c>
      <c r="AK152" t="str">
        <f>IF(pub_gid_0_single_true_output_csv[[#This Row],[Nilai2]]="","",VLOOKUP(pub_gid_0_single_true_output_csv[[#This Row],[NAMA]],Table7[],3,FALSE))</f>
        <v/>
      </c>
    </row>
    <row r="153" spans="1:37" x14ac:dyDescent="0.2">
      <c r="A153">
        <v>152</v>
      </c>
      <c r="B153" t="s">
        <v>282</v>
      </c>
      <c r="C153" t="s">
        <v>54</v>
      </c>
      <c r="D153" t="s">
        <v>283</v>
      </c>
      <c r="E153" t="s">
        <v>140</v>
      </c>
      <c r="F153" s="25">
        <v>46062</v>
      </c>
      <c r="G153" t="s">
        <v>376</v>
      </c>
      <c r="H153" t="s">
        <v>412</v>
      </c>
      <c r="I153" t="s">
        <v>371</v>
      </c>
      <c r="J153" t="s">
        <v>31</v>
      </c>
      <c r="K153" t="s">
        <v>96</v>
      </c>
      <c r="L153" t="s">
        <v>351</v>
      </c>
      <c r="M153" t="s">
        <v>141</v>
      </c>
      <c r="N153" t="s">
        <v>142</v>
      </c>
      <c r="O153" t="s">
        <v>155</v>
      </c>
      <c r="P153" t="s">
        <v>281</v>
      </c>
      <c r="Q153" t="s">
        <v>155</v>
      </c>
      <c r="R153" t="s">
        <v>302</v>
      </c>
      <c r="S153" t="s">
        <v>345</v>
      </c>
      <c r="T153">
        <v>1</v>
      </c>
      <c r="U153" t="s">
        <v>409</v>
      </c>
      <c r="V153" t="s">
        <v>343</v>
      </c>
      <c r="W153" t="s">
        <v>413</v>
      </c>
      <c r="X153" t="s">
        <v>306</v>
      </c>
      <c r="Y153" t="s">
        <v>307</v>
      </c>
      <c r="Z153">
        <v>65</v>
      </c>
      <c r="AA153">
        <v>0</v>
      </c>
      <c r="AB153" t="s">
        <v>151</v>
      </c>
      <c r="AC153" t="s">
        <v>149</v>
      </c>
      <c r="AD153" t="s">
        <v>404</v>
      </c>
      <c r="AE153" t="str">
        <f>IF(AF153="","",VLOOKUP(AC153,mapel!$A$2:$B$42,2,FALSE))</f>
        <v/>
      </c>
      <c r="AF153" t="str">
        <f t="shared" si="6"/>
        <v/>
      </c>
      <c r="AG153" t="str">
        <f>IF(AF153="","",IF(AF153&gt;90,"Sangat baik",IF(AF153&gt;79,"Baik",IF(AF153&gt;=pub_gid_0_single_true_output_csv[[#This Row],[KKM]],"Cukup","Kurang"))))</f>
        <v/>
      </c>
      <c r="AH153" t="str">
        <f t="shared" si="7"/>
        <v/>
      </c>
      <c r="AI153" s="30" t="str">
        <f>IF(OR(J153&lt;&gt;"Karakter",pub_gid_0_single_true_output_csv[[#This Row],[Nilai2]]=""),"",IF(AF153&gt;89,"Sangat baik",IF(AF153&gt;79,"Baik",IF(AF153&gt;69,"Cukup",IF(AF153&gt;59,"Kurang","Sangat kurang")))))</f>
        <v/>
      </c>
      <c r="AJ153" t="str">
        <f t="shared" si="8"/>
        <v/>
      </c>
      <c r="AK153" t="str">
        <f>IF(pub_gid_0_single_true_output_csv[[#This Row],[Nilai2]]="","",VLOOKUP(pub_gid_0_single_true_output_csv[[#This Row],[NAMA]],Table7[],3,FALSE))</f>
        <v/>
      </c>
    </row>
    <row r="154" spans="1:37" x14ac:dyDescent="0.2">
      <c r="A154">
        <v>153</v>
      </c>
      <c r="B154" t="s">
        <v>282</v>
      </c>
      <c r="C154" t="s">
        <v>54</v>
      </c>
      <c r="D154" t="s">
        <v>283</v>
      </c>
      <c r="E154" t="s">
        <v>140</v>
      </c>
      <c r="F154" s="25">
        <v>46069</v>
      </c>
      <c r="G154" t="s">
        <v>382</v>
      </c>
      <c r="H154" t="s">
        <v>412</v>
      </c>
      <c r="I154" t="s">
        <v>371</v>
      </c>
      <c r="J154" t="s">
        <v>36</v>
      </c>
      <c r="K154" t="s">
        <v>37</v>
      </c>
      <c r="L154" t="s">
        <v>351</v>
      </c>
      <c r="M154" t="s">
        <v>141</v>
      </c>
      <c r="N154" t="s">
        <v>142</v>
      </c>
      <c r="O154" t="s">
        <v>155</v>
      </c>
      <c r="P154" t="s">
        <v>281</v>
      </c>
      <c r="Q154" t="s">
        <v>155</v>
      </c>
      <c r="R154" t="s">
        <v>302</v>
      </c>
      <c r="S154" t="s">
        <v>345</v>
      </c>
      <c r="T154">
        <v>1</v>
      </c>
      <c r="U154" t="s">
        <v>409</v>
      </c>
      <c r="V154" t="s">
        <v>343</v>
      </c>
      <c r="W154" t="s">
        <v>413</v>
      </c>
      <c r="X154" t="s">
        <v>306</v>
      </c>
      <c r="Y154" t="s">
        <v>307</v>
      </c>
      <c r="Z154">
        <v>65</v>
      </c>
      <c r="AA154">
        <v>0</v>
      </c>
      <c r="AB154" t="s">
        <v>151</v>
      </c>
      <c r="AC154" t="s">
        <v>149</v>
      </c>
      <c r="AD154" t="s">
        <v>404</v>
      </c>
      <c r="AE154" t="str">
        <f>IF(AF154="","",VLOOKUP(AC154,mapel!$A$2:$B$42,2,FALSE))</f>
        <v/>
      </c>
      <c r="AF154" t="str">
        <f t="shared" si="6"/>
        <v/>
      </c>
      <c r="AG154" t="str">
        <f>IF(AF154="","",IF(AF154&gt;90,"Sangat baik",IF(AF154&gt;79,"Baik",IF(AF154&gt;=pub_gid_0_single_true_output_csv[[#This Row],[KKM]],"Cukup","Kurang"))))</f>
        <v/>
      </c>
      <c r="AH154" t="str">
        <f t="shared" si="7"/>
        <v/>
      </c>
      <c r="AI154" s="30" t="str">
        <f>IF(OR(J154&lt;&gt;"Karakter",pub_gid_0_single_true_output_csv[[#This Row],[Nilai2]]=""),"",IF(AF154&gt;89,"Sangat baik",IF(AF154&gt;79,"Baik",IF(AF154&gt;69,"Cukup",IF(AF154&gt;59,"Kurang","Sangat kurang")))))</f>
        <v/>
      </c>
      <c r="AJ154" t="str">
        <f t="shared" si="8"/>
        <v/>
      </c>
      <c r="AK154" t="str">
        <f>IF(pub_gid_0_single_true_output_csv[[#This Row],[Nilai2]]="","",VLOOKUP(pub_gid_0_single_true_output_csv[[#This Row],[NAMA]],Table7[],3,FALSE))</f>
        <v/>
      </c>
    </row>
    <row r="155" spans="1:37" x14ac:dyDescent="0.2">
      <c r="A155">
        <v>154</v>
      </c>
      <c r="B155" t="s">
        <v>282</v>
      </c>
      <c r="C155" t="s">
        <v>54</v>
      </c>
      <c r="D155" t="s">
        <v>283</v>
      </c>
      <c r="E155" t="s">
        <v>140</v>
      </c>
      <c r="F155" s="25">
        <v>46069</v>
      </c>
      <c r="G155" t="s">
        <v>382</v>
      </c>
      <c r="H155" t="s">
        <v>412</v>
      </c>
      <c r="I155" t="s">
        <v>371</v>
      </c>
      <c r="J155" t="s">
        <v>31</v>
      </c>
      <c r="K155" t="s">
        <v>96</v>
      </c>
      <c r="L155" t="s">
        <v>351</v>
      </c>
      <c r="M155" t="s">
        <v>141</v>
      </c>
      <c r="N155" t="s">
        <v>142</v>
      </c>
      <c r="O155" t="s">
        <v>155</v>
      </c>
      <c r="P155" t="s">
        <v>281</v>
      </c>
      <c r="Q155" t="s">
        <v>155</v>
      </c>
      <c r="R155" t="s">
        <v>302</v>
      </c>
      <c r="S155" t="s">
        <v>345</v>
      </c>
      <c r="T155">
        <v>1</v>
      </c>
      <c r="U155" t="s">
        <v>409</v>
      </c>
      <c r="V155" t="s">
        <v>343</v>
      </c>
      <c r="W155" t="s">
        <v>413</v>
      </c>
      <c r="X155" t="s">
        <v>306</v>
      </c>
      <c r="Y155" t="s">
        <v>307</v>
      </c>
      <c r="Z155">
        <v>65</v>
      </c>
      <c r="AA155">
        <v>0</v>
      </c>
      <c r="AB155" t="s">
        <v>151</v>
      </c>
      <c r="AC155" t="s">
        <v>149</v>
      </c>
      <c r="AD155" t="s">
        <v>404</v>
      </c>
      <c r="AE155" t="str">
        <f>IF(AF155="","",VLOOKUP(AC155,mapel!$A$2:$B$42,2,FALSE))</f>
        <v/>
      </c>
      <c r="AF155" t="str">
        <f t="shared" si="6"/>
        <v/>
      </c>
      <c r="AG155" t="str">
        <f>IF(AF155="","",IF(AF155&gt;90,"Sangat baik",IF(AF155&gt;79,"Baik",IF(AF155&gt;=pub_gid_0_single_true_output_csv[[#This Row],[KKM]],"Cukup","Kurang"))))</f>
        <v/>
      </c>
      <c r="AH155" t="str">
        <f t="shared" si="7"/>
        <v/>
      </c>
      <c r="AI155" s="30" t="str">
        <f>IF(OR(J155&lt;&gt;"Karakter",pub_gid_0_single_true_output_csv[[#This Row],[Nilai2]]=""),"",IF(AF155&gt;89,"Sangat baik",IF(AF155&gt;79,"Baik",IF(AF155&gt;69,"Cukup",IF(AF155&gt;59,"Kurang","Sangat kurang")))))</f>
        <v/>
      </c>
      <c r="AJ155" t="str">
        <f t="shared" si="8"/>
        <v/>
      </c>
      <c r="AK155" t="str">
        <f>IF(pub_gid_0_single_true_output_csv[[#This Row],[Nilai2]]="","",VLOOKUP(pub_gid_0_single_true_output_csv[[#This Row],[NAMA]],Table7[],3,FALSE))</f>
        <v/>
      </c>
    </row>
    <row r="156" spans="1:37" x14ac:dyDescent="0.2">
      <c r="A156">
        <v>155</v>
      </c>
      <c r="B156" t="s">
        <v>282</v>
      </c>
      <c r="C156" t="s">
        <v>54</v>
      </c>
      <c r="D156" t="s">
        <v>283</v>
      </c>
      <c r="E156" t="s">
        <v>140</v>
      </c>
      <c r="F156" s="25">
        <v>46069</v>
      </c>
      <c r="G156" t="s">
        <v>382</v>
      </c>
      <c r="H156" t="s">
        <v>412</v>
      </c>
      <c r="I156" t="s">
        <v>371</v>
      </c>
      <c r="J156" t="s">
        <v>90</v>
      </c>
      <c r="K156" t="s">
        <v>92</v>
      </c>
      <c r="L156" t="s">
        <v>93</v>
      </c>
      <c r="M156" t="s">
        <v>141</v>
      </c>
      <c r="N156" t="s">
        <v>142</v>
      </c>
      <c r="O156" t="s">
        <v>155</v>
      </c>
      <c r="P156" t="s">
        <v>281</v>
      </c>
      <c r="Q156" t="s">
        <v>155</v>
      </c>
      <c r="R156" t="s">
        <v>302</v>
      </c>
      <c r="S156" t="s">
        <v>345</v>
      </c>
      <c r="T156">
        <v>1</v>
      </c>
      <c r="U156" t="s">
        <v>409</v>
      </c>
      <c r="V156" t="s">
        <v>343</v>
      </c>
      <c r="W156" t="s">
        <v>413</v>
      </c>
      <c r="X156" t="s">
        <v>306</v>
      </c>
      <c r="Y156" t="s">
        <v>307</v>
      </c>
      <c r="Z156">
        <v>65</v>
      </c>
      <c r="AA156">
        <v>0</v>
      </c>
      <c r="AB156" t="s">
        <v>151</v>
      </c>
      <c r="AC156" t="s">
        <v>149</v>
      </c>
      <c r="AD156" t="s">
        <v>404</v>
      </c>
      <c r="AE156" t="str">
        <f>IF(AF156="","",VLOOKUP(AC156,mapel!$A$2:$B$42,2,FALSE))</f>
        <v/>
      </c>
      <c r="AF156" t="str">
        <f t="shared" si="6"/>
        <v/>
      </c>
      <c r="AG156" t="str">
        <f>IF(AF156="","",IF(AF156&gt;90,"Sangat baik",IF(AF156&gt;79,"Baik",IF(AF156&gt;=pub_gid_0_single_true_output_csv[[#This Row],[KKM]],"Cukup","Kurang"))))</f>
        <v/>
      </c>
      <c r="AH156" t="str">
        <f t="shared" si="7"/>
        <v/>
      </c>
      <c r="AI156" s="30" t="str">
        <f>IF(OR(J156&lt;&gt;"Karakter",pub_gid_0_single_true_output_csv[[#This Row],[Nilai2]]=""),"",IF(AF156&gt;89,"Sangat baik",IF(AF156&gt;79,"Baik",IF(AF156&gt;69,"Cukup",IF(AF156&gt;59,"Kurang","Sangat kurang")))))</f>
        <v/>
      </c>
      <c r="AJ156" t="str">
        <f t="shared" si="8"/>
        <v/>
      </c>
      <c r="AK156" t="str">
        <f>IF(pub_gid_0_single_true_output_csv[[#This Row],[Nilai2]]="","",VLOOKUP(pub_gid_0_single_true_output_csv[[#This Row],[NAMA]],Table7[],3,FALSE))</f>
        <v/>
      </c>
    </row>
    <row r="157" spans="1:37" x14ac:dyDescent="0.2">
      <c r="A157">
        <v>156</v>
      </c>
      <c r="B157" t="s">
        <v>282</v>
      </c>
      <c r="C157" t="s">
        <v>54</v>
      </c>
      <c r="D157" t="s">
        <v>283</v>
      </c>
      <c r="E157" t="s">
        <v>140</v>
      </c>
      <c r="F157" s="25">
        <v>46069</v>
      </c>
      <c r="G157" t="s">
        <v>382</v>
      </c>
      <c r="H157" t="s">
        <v>412</v>
      </c>
      <c r="I157" t="s">
        <v>371</v>
      </c>
      <c r="J157" t="s">
        <v>279</v>
      </c>
      <c r="K157" t="s">
        <v>280</v>
      </c>
      <c r="L157" t="s">
        <v>322</v>
      </c>
      <c r="M157" t="s">
        <v>141</v>
      </c>
      <c r="N157" t="s">
        <v>142</v>
      </c>
      <c r="O157" t="s">
        <v>155</v>
      </c>
      <c r="P157" t="s">
        <v>281</v>
      </c>
      <c r="Q157" t="s">
        <v>155</v>
      </c>
      <c r="R157" t="s">
        <v>302</v>
      </c>
      <c r="S157" t="s">
        <v>345</v>
      </c>
      <c r="T157">
        <v>1</v>
      </c>
      <c r="U157" t="s">
        <v>409</v>
      </c>
      <c r="V157" t="s">
        <v>343</v>
      </c>
      <c r="W157" t="s">
        <v>413</v>
      </c>
      <c r="X157" t="s">
        <v>306</v>
      </c>
      <c r="Y157" t="s">
        <v>307</v>
      </c>
      <c r="Z157">
        <v>65</v>
      </c>
      <c r="AA157">
        <v>0</v>
      </c>
      <c r="AB157" t="s">
        <v>151</v>
      </c>
      <c r="AC157" t="s">
        <v>149</v>
      </c>
      <c r="AD157" t="s">
        <v>404</v>
      </c>
      <c r="AE157" t="str">
        <f>IF(AF157="","",VLOOKUP(AC157,mapel!$A$2:$B$42,2,FALSE))</f>
        <v/>
      </c>
      <c r="AF157" t="str">
        <f t="shared" si="6"/>
        <v/>
      </c>
      <c r="AG157" t="str">
        <f>IF(AF157="","",IF(AF157&gt;90,"Sangat baik",IF(AF157&gt;79,"Baik",IF(AF157&gt;=pub_gid_0_single_true_output_csv[[#This Row],[KKM]],"Cukup","Kurang"))))</f>
        <v/>
      </c>
      <c r="AH157" t="str">
        <f t="shared" si="7"/>
        <v/>
      </c>
      <c r="AI157" s="30" t="str">
        <f>IF(OR(J157&lt;&gt;"Karakter",pub_gid_0_single_true_output_csv[[#This Row],[Nilai2]]=""),"",IF(AF157&gt;89,"Sangat baik",IF(AF157&gt;79,"Baik",IF(AF157&gt;69,"Cukup",IF(AF157&gt;59,"Kurang","Sangat kurang")))))</f>
        <v/>
      </c>
      <c r="AJ157" t="str">
        <f t="shared" si="8"/>
        <v/>
      </c>
      <c r="AK157" t="str">
        <f>IF(pub_gid_0_single_true_output_csv[[#This Row],[Nilai2]]="","",VLOOKUP(pub_gid_0_single_true_output_csv[[#This Row],[NAMA]],Table7[],3,FALSE))</f>
        <v/>
      </c>
    </row>
    <row r="158" spans="1:37" x14ac:dyDescent="0.2">
      <c r="A158">
        <v>157</v>
      </c>
      <c r="B158" t="s">
        <v>292</v>
      </c>
      <c r="C158" t="s">
        <v>54</v>
      </c>
      <c r="D158" t="s">
        <v>94</v>
      </c>
      <c r="E158" t="s">
        <v>147</v>
      </c>
      <c r="F158" s="25">
        <v>46034</v>
      </c>
      <c r="G158" t="s">
        <v>354</v>
      </c>
      <c r="H158" t="s">
        <v>405</v>
      </c>
      <c r="I158" t="s">
        <v>371</v>
      </c>
      <c r="J158" t="s">
        <v>36</v>
      </c>
      <c r="K158" t="s">
        <v>362</v>
      </c>
      <c r="L158" t="s">
        <v>408</v>
      </c>
      <c r="M158" t="s">
        <v>141</v>
      </c>
      <c r="N158" t="s">
        <v>142</v>
      </c>
      <c r="O158" t="s">
        <v>155</v>
      </c>
      <c r="P158" t="s">
        <v>281</v>
      </c>
      <c r="Q158" t="s">
        <v>155</v>
      </c>
      <c r="R158" t="s">
        <v>273</v>
      </c>
      <c r="S158" t="s">
        <v>309</v>
      </c>
      <c r="T158">
        <v>1</v>
      </c>
      <c r="U158" t="s">
        <v>409</v>
      </c>
      <c r="V158" t="s">
        <v>285</v>
      </c>
      <c r="W158" t="s">
        <v>410</v>
      </c>
      <c r="X158" t="s">
        <v>306</v>
      </c>
      <c r="Y158" t="s">
        <v>307</v>
      </c>
      <c r="Z158">
        <v>65</v>
      </c>
      <c r="AA158">
        <v>33</v>
      </c>
      <c r="AB158" t="s">
        <v>151</v>
      </c>
      <c r="AC158" t="s">
        <v>149</v>
      </c>
      <c r="AD158" t="s">
        <v>404</v>
      </c>
      <c r="AE158" t="str">
        <f>IF(AF158="","",VLOOKUP(AC158,mapel!$A$2:$B$42,2,FALSE))</f>
        <v>B.Indo</v>
      </c>
      <c r="AF158">
        <f t="shared" si="6"/>
        <v>33</v>
      </c>
      <c r="AG158" t="str">
        <f>IF(AF158="","",IF(AF158&gt;90,"Sangat baik",IF(AF158&gt;79,"Baik",IF(AF158&gt;=pub_gid_0_single_true_output_csv[[#This Row],[KKM]],"Cukup","Kurang"))))</f>
        <v>Kurang</v>
      </c>
      <c r="AH158">
        <f t="shared" si="7"/>
        <v>11</v>
      </c>
      <c r="AI158" s="30" t="str">
        <f>IF(OR(J158&lt;&gt;"Karakter",pub_gid_0_single_true_output_csv[[#This Row],[Nilai2]]=""),"",IF(AF158&gt;89,"Sangat baik",IF(AF158&gt;79,"Baik",IF(AF158&gt;69,"Cukup",IF(AF158&gt;59,"Kurang","Sangat kurang")))))</f>
        <v/>
      </c>
      <c r="AJ158" t="str">
        <f t="shared" si="8"/>
        <v>Wk.3</v>
      </c>
      <c r="AK158" t="str">
        <f>IF(pub_gid_0_single_true_output_csv[[#This Row],[Nilai2]]="","",VLOOKUP(pub_gid_0_single_true_output_csv[[#This Row],[NAMA]],Table7[],3,FALSE))</f>
        <v>Average</v>
      </c>
    </row>
    <row r="159" spans="1:37" x14ac:dyDescent="0.2">
      <c r="A159">
        <v>158</v>
      </c>
      <c r="B159" t="s">
        <v>292</v>
      </c>
      <c r="C159" t="s">
        <v>54</v>
      </c>
      <c r="D159" t="s">
        <v>94</v>
      </c>
      <c r="E159" t="s">
        <v>147</v>
      </c>
      <c r="F159" s="25">
        <v>46035</v>
      </c>
      <c r="G159" t="s">
        <v>358</v>
      </c>
      <c r="H159" t="s">
        <v>405</v>
      </c>
      <c r="I159" t="s">
        <v>371</v>
      </c>
      <c r="J159" t="s">
        <v>36</v>
      </c>
      <c r="K159" t="s">
        <v>37</v>
      </c>
      <c r="L159" t="s">
        <v>150</v>
      </c>
      <c r="M159" t="s">
        <v>141</v>
      </c>
      <c r="N159" t="s">
        <v>142</v>
      </c>
      <c r="O159" t="s">
        <v>155</v>
      </c>
      <c r="P159" t="s">
        <v>281</v>
      </c>
      <c r="Q159" t="s">
        <v>155</v>
      </c>
      <c r="R159" t="s">
        <v>273</v>
      </c>
      <c r="S159" t="s">
        <v>309</v>
      </c>
      <c r="T159">
        <v>1</v>
      </c>
      <c r="U159" t="s">
        <v>409</v>
      </c>
      <c r="V159" t="s">
        <v>285</v>
      </c>
      <c r="W159" t="s">
        <v>410</v>
      </c>
      <c r="X159" t="s">
        <v>306</v>
      </c>
      <c r="Y159" t="s">
        <v>307</v>
      </c>
      <c r="Z159">
        <v>65</v>
      </c>
      <c r="AA159">
        <v>70</v>
      </c>
      <c r="AB159" t="s">
        <v>143</v>
      </c>
      <c r="AC159" t="s">
        <v>149</v>
      </c>
      <c r="AD159" t="s">
        <v>404</v>
      </c>
      <c r="AE159" t="str">
        <f>IF(AF159="","",VLOOKUP(AC159,mapel!$A$2:$B$42,2,FALSE))</f>
        <v>B.Indo</v>
      </c>
      <c r="AF159">
        <f t="shared" si="6"/>
        <v>70</v>
      </c>
      <c r="AG159" t="str">
        <f>IF(AF159="","",IF(AF159&gt;90,"Sangat baik",IF(AF159&gt;79,"Baik",IF(AF159&gt;=pub_gid_0_single_true_output_csv[[#This Row],[KKM]],"Cukup","Kurang"))))</f>
        <v>Cukup</v>
      </c>
      <c r="AH159">
        <f t="shared" si="7"/>
        <v>11</v>
      </c>
      <c r="AI159" s="30" t="str">
        <f>IF(OR(J159&lt;&gt;"Karakter",pub_gid_0_single_true_output_csv[[#This Row],[Nilai2]]=""),"",IF(AF159&gt;89,"Sangat baik",IF(AF159&gt;79,"Baik",IF(AF159&gt;69,"Cukup",IF(AF159&gt;59,"Kurang","Sangat kurang")))))</f>
        <v/>
      </c>
      <c r="AJ159" t="str">
        <f t="shared" si="8"/>
        <v>Wk.3</v>
      </c>
      <c r="AK159" t="str">
        <f>IF(pub_gid_0_single_true_output_csv[[#This Row],[Nilai2]]="","",VLOOKUP(pub_gid_0_single_true_output_csv[[#This Row],[NAMA]],Table7[],3,FALSE))</f>
        <v>Average</v>
      </c>
    </row>
    <row r="160" spans="1:37" x14ac:dyDescent="0.2">
      <c r="A160">
        <v>159</v>
      </c>
      <c r="B160" t="s">
        <v>292</v>
      </c>
      <c r="C160" t="s">
        <v>54</v>
      </c>
      <c r="D160" t="s">
        <v>94</v>
      </c>
      <c r="E160" t="s">
        <v>147</v>
      </c>
      <c r="F160" s="25">
        <v>46035</v>
      </c>
      <c r="G160" t="s">
        <v>358</v>
      </c>
      <c r="H160" t="s">
        <v>405</v>
      </c>
      <c r="I160" t="s">
        <v>371</v>
      </c>
      <c r="J160" t="s">
        <v>31</v>
      </c>
      <c r="K160" t="s">
        <v>32</v>
      </c>
      <c r="L160" t="s">
        <v>150</v>
      </c>
      <c r="M160" t="s">
        <v>141</v>
      </c>
      <c r="N160" t="s">
        <v>142</v>
      </c>
      <c r="O160" t="s">
        <v>155</v>
      </c>
      <c r="P160" t="s">
        <v>281</v>
      </c>
      <c r="Q160" t="s">
        <v>155</v>
      </c>
      <c r="R160" t="s">
        <v>273</v>
      </c>
      <c r="S160" t="s">
        <v>309</v>
      </c>
      <c r="T160">
        <v>1</v>
      </c>
      <c r="U160" t="s">
        <v>409</v>
      </c>
      <c r="V160" t="s">
        <v>285</v>
      </c>
      <c r="W160" t="s">
        <v>410</v>
      </c>
      <c r="X160" t="s">
        <v>306</v>
      </c>
      <c r="Y160" t="s">
        <v>307</v>
      </c>
      <c r="Z160">
        <v>65</v>
      </c>
      <c r="AA160">
        <v>68</v>
      </c>
      <c r="AB160" t="s">
        <v>143</v>
      </c>
      <c r="AC160" t="s">
        <v>149</v>
      </c>
      <c r="AD160" t="s">
        <v>404</v>
      </c>
      <c r="AE160" t="str">
        <f>IF(AF160="","",VLOOKUP(AC160,mapel!$A$2:$B$42,2,FALSE))</f>
        <v>B.Indo</v>
      </c>
      <c r="AF160">
        <f t="shared" si="6"/>
        <v>68</v>
      </c>
      <c r="AG160" t="str">
        <f>IF(AF160="","",IF(AF160&gt;90,"Sangat baik",IF(AF160&gt;79,"Baik",IF(AF160&gt;=pub_gid_0_single_true_output_csv[[#This Row],[KKM]],"Cukup","Kurang"))))</f>
        <v>Cukup</v>
      </c>
      <c r="AH160">
        <f t="shared" si="7"/>
        <v>11</v>
      </c>
      <c r="AI160" s="30" t="str">
        <f>IF(OR(J160&lt;&gt;"Karakter",pub_gid_0_single_true_output_csv[[#This Row],[Nilai2]]=""),"",IF(AF160&gt;89,"Sangat baik",IF(AF160&gt;79,"Baik",IF(AF160&gt;69,"Cukup",IF(AF160&gt;59,"Kurang","Sangat kurang")))))</f>
        <v/>
      </c>
      <c r="AJ160" t="str">
        <f t="shared" si="8"/>
        <v>Wk.3</v>
      </c>
      <c r="AK160" t="str">
        <f>IF(pub_gid_0_single_true_output_csv[[#This Row],[Nilai2]]="","",VLOOKUP(pub_gid_0_single_true_output_csv[[#This Row],[NAMA]],Table7[],3,FALSE))</f>
        <v>Average</v>
      </c>
    </row>
    <row r="161" spans="1:37" x14ac:dyDescent="0.2">
      <c r="A161">
        <v>160</v>
      </c>
      <c r="B161" t="s">
        <v>292</v>
      </c>
      <c r="C161" t="s">
        <v>54</v>
      </c>
      <c r="D161" t="s">
        <v>94</v>
      </c>
      <c r="E161" t="s">
        <v>147</v>
      </c>
      <c r="F161" s="25">
        <v>46035</v>
      </c>
      <c r="G161" t="s">
        <v>358</v>
      </c>
      <c r="H161" t="s">
        <v>405</v>
      </c>
      <c r="I161" t="s">
        <v>371</v>
      </c>
      <c r="J161" t="s">
        <v>90</v>
      </c>
      <c r="K161" t="s">
        <v>92</v>
      </c>
      <c r="L161" t="s">
        <v>93</v>
      </c>
      <c r="M161" t="s">
        <v>141</v>
      </c>
      <c r="N161" t="s">
        <v>142</v>
      </c>
      <c r="O161" t="s">
        <v>155</v>
      </c>
      <c r="P161" t="s">
        <v>281</v>
      </c>
      <c r="Q161" t="s">
        <v>155</v>
      </c>
      <c r="R161" t="s">
        <v>273</v>
      </c>
      <c r="S161" t="s">
        <v>309</v>
      </c>
      <c r="T161">
        <v>1</v>
      </c>
      <c r="U161" t="s">
        <v>409</v>
      </c>
      <c r="V161" t="s">
        <v>285</v>
      </c>
      <c r="W161" t="s">
        <v>410</v>
      </c>
      <c r="X161" t="s">
        <v>306</v>
      </c>
      <c r="Y161" t="s">
        <v>307</v>
      </c>
      <c r="Z161">
        <v>65</v>
      </c>
      <c r="AA161">
        <v>70</v>
      </c>
      <c r="AB161" t="s">
        <v>143</v>
      </c>
      <c r="AC161" t="s">
        <v>149</v>
      </c>
      <c r="AD161" t="s">
        <v>404</v>
      </c>
      <c r="AE161" t="str">
        <f>IF(AF161="","",VLOOKUP(AC161,mapel!$A$2:$B$42,2,FALSE))</f>
        <v>B.Indo</v>
      </c>
      <c r="AF161">
        <f t="shared" si="6"/>
        <v>70</v>
      </c>
      <c r="AG161" t="str">
        <f>IF(AF161="","",IF(AF161&gt;90,"Sangat baik",IF(AF161&gt;79,"Baik",IF(AF161&gt;=pub_gid_0_single_true_output_csv[[#This Row],[KKM]],"Cukup","Kurang"))))</f>
        <v>Cukup</v>
      </c>
      <c r="AH161">
        <f t="shared" si="7"/>
        <v>11</v>
      </c>
      <c r="AI161" s="30" t="str">
        <f>IF(OR(J161&lt;&gt;"Karakter",pub_gid_0_single_true_output_csv[[#This Row],[Nilai2]]=""),"",IF(AF161&gt;89,"Sangat baik",IF(AF161&gt;79,"Baik",IF(AF161&gt;69,"Cukup",IF(AF161&gt;59,"Kurang","Sangat kurang")))))</f>
        <v>Cukup</v>
      </c>
      <c r="AJ161" t="str">
        <f t="shared" si="8"/>
        <v>Wk.3</v>
      </c>
      <c r="AK161" t="str">
        <f>IF(pub_gid_0_single_true_output_csv[[#This Row],[Nilai2]]="","",VLOOKUP(pub_gid_0_single_true_output_csv[[#This Row],[NAMA]],Table7[],3,FALSE))</f>
        <v>Average</v>
      </c>
    </row>
    <row r="162" spans="1:37" x14ac:dyDescent="0.2">
      <c r="A162">
        <v>161</v>
      </c>
      <c r="B162" t="s">
        <v>292</v>
      </c>
      <c r="C162" t="s">
        <v>54</v>
      </c>
      <c r="D162" t="s">
        <v>94</v>
      </c>
      <c r="E162" t="s">
        <v>147</v>
      </c>
      <c r="F162" s="25">
        <v>46035</v>
      </c>
      <c r="G162" t="s">
        <v>358</v>
      </c>
      <c r="H162" t="s">
        <v>405</v>
      </c>
      <c r="I162" t="s">
        <v>371</v>
      </c>
      <c r="J162" t="s">
        <v>279</v>
      </c>
      <c r="K162" t="s">
        <v>280</v>
      </c>
      <c r="L162" t="s">
        <v>150</v>
      </c>
      <c r="M162" t="s">
        <v>141</v>
      </c>
      <c r="N162" t="s">
        <v>142</v>
      </c>
      <c r="O162" t="s">
        <v>155</v>
      </c>
      <c r="P162" t="s">
        <v>281</v>
      </c>
      <c r="Q162" t="s">
        <v>155</v>
      </c>
      <c r="R162" t="s">
        <v>273</v>
      </c>
      <c r="S162" t="s">
        <v>309</v>
      </c>
      <c r="T162">
        <v>1</v>
      </c>
      <c r="U162" t="s">
        <v>409</v>
      </c>
      <c r="V162" t="s">
        <v>285</v>
      </c>
      <c r="W162" t="s">
        <v>410</v>
      </c>
      <c r="X162" t="s">
        <v>306</v>
      </c>
      <c r="Y162" t="s">
        <v>307</v>
      </c>
      <c r="Z162">
        <v>65</v>
      </c>
      <c r="AA162">
        <v>70</v>
      </c>
      <c r="AB162" t="s">
        <v>143</v>
      </c>
      <c r="AC162" t="s">
        <v>149</v>
      </c>
      <c r="AD162" t="s">
        <v>404</v>
      </c>
      <c r="AE162" t="str">
        <f>IF(AF162="","",VLOOKUP(AC162,mapel!$A$2:$B$42,2,FALSE))</f>
        <v>B.Indo</v>
      </c>
      <c r="AF162">
        <f t="shared" si="6"/>
        <v>70</v>
      </c>
      <c r="AG162" t="str">
        <f>IF(AF162="","",IF(AF162&gt;90,"Sangat baik",IF(AF162&gt;79,"Baik",IF(AF162&gt;=pub_gid_0_single_true_output_csv[[#This Row],[KKM]],"Cukup","Kurang"))))</f>
        <v>Cukup</v>
      </c>
      <c r="AH162">
        <f t="shared" si="7"/>
        <v>11</v>
      </c>
      <c r="AI162" s="30" t="str">
        <f>IF(OR(J162&lt;&gt;"Karakter",pub_gid_0_single_true_output_csv[[#This Row],[Nilai2]]=""),"",IF(AF162&gt;89,"Sangat baik",IF(AF162&gt;79,"Baik",IF(AF162&gt;69,"Cukup",IF(AF162&gt;59,"Kurang","Sangat kurang")))))</f>
        <v/>
      </c>
      <c r="AJ162" t="str">
        <f t="shared" si="8"/>
        <v>Wk.3</v>
      </c>
      <c r="AK162" t="str">
        <f>IF(pub_gid_0_single_true_output_csv[[#This Row],[Nilai2]]="","",VLOOKUP(pub_gid_0_single_true_output_csv[[#This Row],[NAMA]],Table7[],3,FALSE))</f>
        <v>Average</v>
      </c>
    </row>
    <row r="163" spans="1:37" x14ac:dyDescent="0.2">
      <c r="A163">
        <v>162</v>
      </c>
      <c r="B163" t="s">
        <v>292</v>
      </c>
      <c r="C163" t="s">
        <v>54</v>
      </c>
      <c r="D163" t="s">
        <v>94</v>
      </c>
      <c r="E163" t="s">
        <v>147</v>
      </c>
      <c r="F163" s="25">
        <v>46041</v>
      </c>
      <c r="G163" t="s">
        <v>370</v>
      </c>
      <c r="H163" t="s">
        <v>405</v>
      </c>
      <c r="I163" t="s">
        <v>371</v>
      </c>
      <c r="J163" t="s">
        <v>36</v>
      </c>
      <c r="K163" t="s">
        <v>37</v>
      </c>
      <c r="L163" t="s">
        <v>321</v>
      </c>
      <c r="M163" t="s">
        <v>141</v>
      </c>
      <c r="N163" t="s">
        <v>142</v>
      </c>
      <c r="O163" t="s">
        <v>155</v>
      </c>
      <c r="P163" t="s">
        <v>281</v>
      </c>
      <c r="Q163" t="s">
        <v>155</v>
      </c>
      <c r="R163" t="s">
        <v>273</v>
      </c>
      <c r="S163" t="s">
        <v>309</v>
      </c>
      <c r="T163">
        <v>1</v>
      </c>
      <c r="U163" t="s">
        <v>409</v>
      </c>
      <c r="V163" t="s">
        <v>285</v>
      </c>
      <c r="W163" t="s">
        <v>410</v>
      </c>
      <c r="X163" t="s">
        <v>306</v>
      </c>
      <c r="Y163" t="s">
        <v>307</v>
      </c>
      <c r="Z163">
        <v>65</v>
      </c>
      <c r="AA163">
        <v>85</v>
      </c>
      <c r="AB163" t="s">
        <v>143</v>
      </c>
      <c r="AC163" t="s">
        <v>149</v>
      </c>
      <c r="AD163" t="s">
        <v>404</v>
      </c>
      <c r="AE163" t="str">
        <f>IF(AF163="","",VLOOKUP(AC163,mapel!$A$2:$B$42,2,FALSE))</f>
        <v>B.Indo</v>
      </c>
      <c r="AF163">
        <f t="shared" si="6"/>
        <v>85</v>
      </c>
      <c r="AG163" t="str">
        <f>IF(AF163="","",IF(AF163&gt;90,"Sangat baik",IF(AF163&gt;79,"Baik",IF(AF163&gt;=pub_gid_0_single_true_output_csv[[#This Row],[KKM]],"Cukup","Kurang"))))</f>
        <v>Baik</v>
      </c>
      <c r="AH163">
        <f t="shared" si="7"/>
        <v>11</v>
      </c>
      <c r="AI163" s="30" t="str">
        <f>IF(OR(J163&lt;&gt;"Karakter",pub_gid_0_single_true_output_csv[[#This Row],[Nilai2]]=""),"",IF(AF163&gt;89,"Sangat baik",IF(AF163&gt;79,"Baik",IF(AF163&gt;69,"Cukup",IF(AF163&gt;59,"Kurang","Sangat kurang")))))</f>
        <v/>
      </c>
      <c r="AJ163" t="str">
        <f t="shared" si="8"/>
        <v>Wk.4</v>
      </c>
      <c r="AK163" t="str">
        <f>IF(pub_gid_0_single_true_output_csv[[#This Row],[Nilai2]]="","",VLOOKUP(pub_gid_0_single_true_output_csv[[#This Row],[NAMA]],Table7[],3,FALSE))</f>
        <v>Average</v>
      </c>
    </row>
    <row r="164" spans="1:37" x14ac:dyDescent="0.2">
      <c r="A164">
        <v>163</v>
      </c>
      <c r="B164" t="s">
        <v>292</v>
      </c>
      <c r="C164" t="s">
        <v>54</v>
      </c>
      <c r="D164" t="s">
        <v>94</v>
      </c>
      <c r="E164" t="s">
        <v>147</v>
      </c>
      <c r="F164" s="25">
        <v>46041</v>
      </c>
      <c r="G164" t="s">
        <v>370</v>
      </c>
      <c r="H164" t="s">
        <v>405</v>
      </c>
      <c r="I164" t="s">
        <v>371</v>
      </c>
      <c r="J164" t="s">
        <v>31</v>
      </c>
      <c r="K164" t="s">
        <v>96</v>
      </c>
      <c r="L164" t="s">
        <v>321</v>
      </c>
      <c r="M164" t="s">
        <v>141</v>
      </c>
      <c r="N164" t="s">
        <v>142</v>
      </c>
      <c r="O164" t="s">
        <v>155</v>
      </c>
      <c r="P164" t="s">
        <v>281</v>
      </c>
      <c r="Q164" t="s">
        <v>155</v>
      </c>
      <c r="R164" t="s">
        <v>302</v>
      </c>
      <c r="S164" t="s">
        <v>309</v>
      </c>
      <c r="T164">
        <v>1</v>
      </c>
      <c r="U164" t="s">
        <v>409</v>
      </c>
      <c r="V164" t="s">
        <v>285</v>
      </c>
      <c r="W164" t="s">
        <v>410</v>
      </c>
      <c r="X164" t="s">
        <v>306</v>
      </c>
      <c r="Y164" t="s">
        <v>307</v>
      </c>
      <c r="Z164">
        <v>65</v>
      </c>
      <c r="AA164">
        <v>70</v>
      </c>
      <c r="AB164" t="s">
        <v>143</v>
      </c>
      <c r="AC164" t="s">
        <v>149</v>
      </c>
      <c r="AD164" t="s">
        <v>404</v>
      </c>
      <c r="AE164" t="str">
        <f>IF(AF164="","",VLOOKUP(AC164,mapel!$A$2:$B$42,2,FALSE))</f>
        <v>B.Indo</v>
      </c>
      <c r="AF164">
        <f t="shared" si="6"/>
        <v>70</v>
      </c>
      <c r="AG164" t="str">
        <f>IF(AF164="","",IF(AF164&gt;90,"Sangat baik",IF(AF164&gt;79,"Baik",IF(AF164&gt;=pub_gid_0_single_true_output_csv[[#This Row],[KKM]],"Cukup","Kurang"))))</f>
        <v>Cukup</v>
      </c>
      <c r="AH164">
        <f t="shared" si="7"/>
        <v>11</v>
      </c>
      <c r="AI164" s="30" t="str">
        <f>IF(OR(J164&lt;&gt;"Karakter",pub_gid_0_single_true_output_csv[[#This Row],[Nilai2]]=""),"",IF(AF164&gt;89,"Sangat baik",IF(AF164&gt;79,"Baik",IF(AF164&gt;69,"Cukup",IF(AF164&gt;59,"Kurang","Sangat kurang")))))</f>
        <v/>
      </c>
      <c r="AJ164" t="str">
        <f t="shared" si="8"/>
        <v>Wk.4</v>
      </c>
      <c r="AK164" t="str">
        <f>IF(pub_gid_0_single_true_output_csv[[#This Row],[Nilai2]]="","",VLOOKUP(pub_gid_0_single_true_output_csv[[#This Row],[NAMA]],Table7[],3,FALSE))</f>
        <v>Average</v>
      </c>
    </row>
    <row r="165" spans="1:37" x14ac:dyDescent="0.2">
      <c r="A165">
        <v>164</v>
      </c>
      <c r="B165" t="s">
        <v>292</v>
      </c>
      <c r="C165" t="s">
        <v>54</v>
      </c>
      <c r="D165" t="s">
        <v>94</v>
      </c>
      <c r="E165" t="s">
        <v>147</v>
      </c>
      <c r="F165" s="25">
        <v>46041</v>
      </c>
      <c r="G165" t="s">
        <v>370</v>
      </c>
      <c r="H165" t="s">
        <v>405</v>
      </c>
      <c r="I165" t="s">
        <v>371</v>
      </c>
      <c r="J165" t="s">
        <v>90</v>
      </c>
      <c r="K165" t="s">
        <v>92</v>
      </c>
      <c r="L165" t="s">
        <v>91</v>
      </c>
      <c r="M165" t="s">
        <v>141</v>
      </c>
      <c r="N165" t="s">
        <v>142</v>
      </c>
      <c r="O165" t="s">
        <v>155</v>
      </c>
      <c r="P165" t="s">
        <v>281</v>
      </c>
      <c r="Q165" t="s">
        <v>155</v>
      </c>
      <c r="R165" t="s">
        <v>302</v>
      </c>
      <c r="S165" t="s">
        <v>309</v>
      </c>
      <c r="T165">
        <v>1</v>
      </c>
      <c r="U165" t="s">
        <v>409</v>
      </c>
      <c r="V165" t="s">
        <v>285</v>
      </c>
      <c r="W165" t="s">
        <v>410</v>
      </c>
      <c r="X165" t="s">
        <v>306</v>
      </c>
      <c r="Y165" t="s">
        <v>307</v>
      </c>
      <c r="Z165">
        <v>65</v>
      </c>
      <c r="AA165">
        <v>70</v>
      </c>
      <c r="AB165" t="s">
        <v>143</v>
      </c>
      <c r="AC165" t="s">
        <v>149</v>
      </c>
      <c r="AD165" t="s">
        <v>404</v>
      </c>
      <c r="AE165" t="str">
        <f>IF(AF165="","",VLOOKUP(AC165,mapel!$A$2:$B$42,2,FALSE))</f>
        <v>B.Indo</v>
      </c>
      <c r="AF165">
        <f t="shared" si="6"/>
        <v>70</v>
      </c>
      <c r="AG165" t="str">
        <f>IF(AF165="","",IF(AF165&gt;90,"Sangat baik",IF(AF165&gt;79,"Baik",IF(AF165&gt;=pub_gid_0_single_true_output_csv[[#This Row],[KKM]],"Cukup","Kurang"))))</f>
        <v>Cukup</v>
      </c>
      <c r="AH165">
        <f t="shared" si="7"/>
        <v>11</v>
      </c>
      <c r="AI165" s="30" t="str">
        <f>IF(OR(J165&lt;&gt;"Karakter",pub_gid_0_single_true_output_csv[[#This Row],[Nilai2]]=""),"",IF(AF165&gt;89,"Sangat baik",IF(AF165&gt;79,"Baik",IF(AF165&gt;69,"Cukup",IF(AF165&gt;59,"Kurang","Sangat kurang")))))</f>
        <v>Cukup</v>
      </c>
      <c r="AJ165" t="str">
        <f t="shared" si="8"/>
        <v>Wk.4</v>
      </c>
      <c r="AK165" t="str">
        <f>IF(pub_gid_0_single_true_output_csv[[#This Row],[Nilai2]]="","",VLOOKUP(pub_gid_0_single_true_output_csv[[#This Row],[NAMA]],Table7[],3,FALSE))</f>
        <v>Average</v>
      </c>
    </row>
    <row r="166" spans="1:37" x14ac:dyDescent="0.2">
      <c r="A166">
        <v>165</v>
      </c>
      <c r="B166" t="s">
        <v>292</v>
      </c>
      <c r="C166" t="s">
        <v>54</v>
      </c>
      <c r="D166" t="s">
        <v>94</v>
      </c>
      <c r="E166" t="s">
        <v>147</v>
      </c>
      <c r="F166" s="25">
        <v>46041</v>
      </c>
      <c r="G166" t="s">
        <v>370</v>
      </c>
      <c r="H166" t="s">
        <v>405</v>
      </c>
      <c r="I166" t="s">
        <v>371</v>
      </c>
      <c r="J166" t="s">
        <v>279</v>
      </c>
      <c r="K166" t="s">
        <v>280</v>
      </c>
      <c r="L166" t="s">
        <v>322</v>
      </c>
      <c r="M166" t="s">
        <v>141</v>
      </c>
      <c r="N166" t="s">
        <v>142</v>
      </c>
      <c r="O166" t="s">
        <v>155</v>
      </c>
      <c r="P166" t="s">
        <v>281</v>
      </c>
      <c r="Q166" t="s">
        <v>155</v>
      </c>
      <c r="R166" t="s">
        <v>302</v>
      </c>
      <c r="S166" t="s">
        <v>309</v>
      </c>
      <c r="T166">
        <v>1</v>
      </c>
      <c r="U166" t="s">
        <v>409</v>
      </c>
      <c r="V166" t="s">
        <v>285</v>
      </c>
      <c r="W166" t="s">
        <v>410</v>
      </c>
      <c r="X166" t="s">
        <v>306</v>
      </c>
      <c r="Y166" t="s">
        <v>307</v>
      </c>
      <c r="Z166">
        <v>65</v>
      </c>
      <c r="AA166">
        <v>70</v>
      </c>
      <c r="AB166" t="s">
        <v>143</v>
      </c>
      <c r="AC166" t="s">
        <v>149</v>
      </c>
      <c r="AD166" t="s">
        <v>404</v>
      </c>
      <c r="AE166" t="str">
        <f>IF(AF166="","",VLOOKUP(AC166,mapel!$A$2:$B$42,2,FALSE))</f>
        <v>B.Indo</v>
      </c>
      <c r="AF166">
        <f t="shared" si="6"/>
        <v>70</v>
      </c>
      <c r="AG166" t="str">
        <f>IF(AF166="","",IF(AF166&gt;90,"Sangat baik",IF(AF166&gt;79,"Baik",IF(AF166&gt;=pub_gid_0_single_true_output_csv[[#This Row],[KKM]],"Cukup","Kurang"))))</f>
        <v>Cukup</v>
      </c>
      <c r="AH166">
        <f t="shared" si="7"/>
        <v>11</v>
      </c>
      <c r="AI166" s="30" t="str">
        <f>IF(OR(J166&lt;&gt;"Karakter",pub_gid_0_single_true_output_csv[[#This Row],[Nilai2]]=""),"",IF(AF166&gt;89,"Sangat baik",IF(AF166&gt;79,"Baik",IF(AF166&gt;69,"Cukup",IF(AF166&gt;59,"Kurang","Sangat kurang")))))</f>
        <v/>
      </c>
      <c r="AJ166" t="str">
        <f t="shared" si="8"/>
        <v>Wk.4</v>
      </c>
      <c r="AK166" t="str">
        <f>IF(pub_gid_0_single_true_output_csv[[#This Row],[Nilai2]]="","",VLOOKUP(pub_gid_0_single_true_output_csv[[#This Row],[NAMA]],Table7[],3,FALSE))</f>
        <v>Average</v>
      </c>
    </row>
    <row r="167" spans="1:37" x14ac:dyDescent="0.2">
      <c r="A167">
        <v>166</v>
      </c>
      <c r="B167" t="s">
        <v>292</v>
      </c>
      <c r="C167" t="s">
        <v>54</v>
      </c>
      <c r="D167" t="s">
        <v>94</v>
      </c>
      <c r="E167" t="s">
        <v>147</v>
      </c>
      <c r="F167" s="25">
        <v>46048</v>
      </c>
      <c r="G167" t="s">
        <v>371</v>
      </c>
      <c r="H167" t="s">
        <v>405</v>
      </c>
      <c r="I167" t="s">
        <v>371</v>
      </c>
      <c r="J167" t="s">
        <v>36</v>
      </c>
      <c r="K167" t="s">
        <v>37</v>
      </c>
      <c r="L167" t="s">
        <v>351</v>
      </c>
      <c r="M167" t="s">
        <v>141</v>
      </c>
      <c r="N167" t="s">
        <v>142</v>
      </c>
      <c r="O167" t="s">
        <v>155</v>
      </c>
      <c r="P167" t="s">
        <v>281</v>
      </c>
      <c r="Q167" t="s">
        <v>155</v>
      </c>
      <c r="R167" t="s">
        <v>302</v>
      </c>
      <c r="S167" t="s">
        <v>369</v>
      </c>
      <c r="T167">
        <v>1</v>
      </c>
      <c r="U167" t="s">
        <v>409</v>
      </c>
      <c r="V167" t="s">
        <v>342</v>
      </c>
      <c r="W167" t="s">
        <v>411</v>
      </c>
      <c r="X167" t="s">
        <v>306</v>
      </c>
      <c r="Y167" t="s">
        <v>307</v>
      </c>
      <c r="Z167">
        <v>65</v>
      </c>
      <c r="AA167">
        <v>69</v>
      </c>
      <c r="AB167" t="s">
        <v>143</v>
      </c>
      <c r="AC167" t="s">
        <v>149</v>
      </c>
      <c r="AD167" t="s">
        <v>404</v>
      </c>
      <c r="AE167" t="str">
        <f>IF(AF167="","",VLOOKUP(AC167,mapel!$A$2:$B$42,2,FALSE))</f>
        <v>B.Indo</v>
      </c>
      <c r="AF167">
        <f t="shared" si="6"/>
        <v>69</v>
      </c>
      <c r="AG167" t="str">
        <f>IF(AF167="","",IF(AF167&gt;90,"Sangat baik",IF(AF167&gt;79,"Baik",IF(AF167&gt;=pub_gid_0_single_true_output_csv[[#This Row],[KKM]],"Cukup","Kurang"))))</f>
        <v>Cukup</v>
      </c>
      <c r="AH167">
        <f t="shared" si="7"/>
        <v>11</v>
      </c>
      <c r="AI167" s="30" t="str">
        <f>IF(OR(J167&lt;&gt;"Karakter",pub_gid_0_single_true_output_csv[[#This Row],[Nilai2]]=""),"",IF(AF167&gt;89,"Sangat baik",IF(AF167&gt;79,"Baik",IF(AF167&gt;69,"Cukup",IF(AF167&gt;59,"Kurang","Sangat kurang")))))</f>
        <v/>
      </c>
      <c r="AJ167" t="str">
        <f t="shared" si="8"/>
        <v>Wk.5</v>
      </c>
      <c r="AK167" t="str">
        <f>IF(pub_gid_0_single_true_output_csv[[#This Row],[Nilai2]]="","",VLOOKUP(pub_gid_0_single_true_output_csv[[#This Row],[NAMA]],Table7[],3,FALSE))</f>
        <v>Average</v>
      </c>
    </row>
    <row r="168" spans="1:37" x14ac:dyDescent="0.2">
      <c r="A168">
        <v>167</v>
      </c>
      <c r="B168" t="s">
        <v>292</v>
      </c>
      <c r="C168" t="s">
        <v>54</v>
      </c>
      <c r="D168" t="s">
        <v>94</v>
      </c>
      <c r="E168" t="s">
        <v>147</v>
      </c>
      <c r="F168" s="25">
        <v>46048</v>
      </c>
      <c r="G168" t="s">
        <v>371</v>
      </c>
      <c r="H168" t="s">
        <v>405</v>
      </c>
      <c r="I168" t="s">
        <v>371</v>
      </c>
      <c r="J168" t="s">
        <v>31</v>
      </c>
      <c r="K168" t="s">
        <v>96</v>
      </c>
      <c r="L168" t="s">
        <v>351</v>
      </c>
      <c r="M168" t="s">
        <v>141</v>
      </c>
      <c r="N168" t="s">
        <v>142</v>
      </c>
      <c r="O168" t="s">
        <v>155</v>
      </c>
      <c r="P168" t="s">
        <v>281</v>
      </c>
      <c r="Q168" t="s">
        <v>155</v>
      </c>
      <c r="R168" t="s">
        <v>302</v>
      </c>
      <c r="S168" t="s">
        <v>369</v>
      </c>
      <c r="T168">
        <v>1</v>
      </c>
      <c r="U168" t="s">
        <v>409</v>
      </c>
      <c r="V168" t="s">
        <v>342</v>
      </c>
      <c r="W168" t="s">
        <v>411</v>
      </c>
      <c r="X168" t="s">
        <v>306</v>
      </c>
      <c r="Y168" t="s">
        <v>307</v>
      </c>
      <c r="Z168">
        <v>65</v>
      </c>
      <c r="AA168">
        <v>68</v>
      </c>
      <c r="AB168" t="s">
        <v>143</v>
      </c>
      <c r="AC168" t="s">
        <v>149</v>
      </c>
      <c r="AD168" t="s">
        <v>404</v>
      </c>
      <c r="AE168" t="str">
        <f>IF(AF168="","",VLOOKUP(AC168,mapel!$A$2:$B$42,2,FALSE))</f>
        <v>B.Indo</v>
      </c>
      <c r="AF168">
        <f t="shared" si="6"/>
        <v>68</v>
      </c>
      <c r="AG168" t="str">
        <f>IF(AF168="","",IF(AF168&gt;90,"Sangat baik",IF(AF168&gt;79,"Baik",IF(AF168&gt;=pub_gid_0_single_true_output_csv[[#This Row],[KKM]],"Cukup","Kurang"))))</f>
        <v>Cukup</v>
      </c>
      <c r="AH168">
        <f t="shared" si="7"/>
        <v>11</v>
      </c>
      <c r="AI168" s="30" t="str">
        <f>IF(OR(J168&lt;&gt;"Karakter",pub_gid_0_single_true_output_csv[[#This Row],[Nilai2]]=""),"",IF(AF168&gt;89,"Sangat baik",IF(AF168&gt;79,"Baik",IF(AF168&gt;69,"Cukup",IF(AF168&gt;59,"Kurang","Sangat kurang")))))</f>
        <v/>
      </c>
      <c r="AJ168" t="str">
        <f t="shared" si="8"/>
        <v>Wk.5</v>
      </c>
      <c r="AK168" t="str">
        <f>IF(pub_gid_0_single_true_output_csv[[#This Row],[Nilai2]]="","",VLOOKUP(pub_gid_0_single_true_output_csv[[#This Row],[NAMA]],Table7[],3,FALSE))</f>
        <v>Average</v>
      </c>
    </row>
    <row r="169" spans="1:37" x14ac:dyDescent="0.2">
      <c r="A169">
        <v>168</v>
      </c>
      <c r="B169" t="s">
        <v>292</v>
      </c>
      <c r="C169" t="s">
        <v>54</v>
      </c>
      <c r="D169" t="s">
        <v>94</v>
      </c>
      <c r="E169" t="s">
        <v>147</v>
      </c>
      <c r="F169" s="25">
        <v>46048</v>
      </c>
      <c r="G169" t="s">
        <v>371</v>
      </c>
      <c r="H169" t="s">
        <v>405</v>
      </c>
      <c r="I169" t="s">
        <v>371</v>
      </c>
      <c r="J169" t="s">
        <v>90</v>
      </c>
      <c r="K169" t="s">
        <v>92</v>
      </c>
      <c r="L169" t="s">
        <v>91</v>
      </c>
      <c r="M169" t="s">
        <v>141</v>
      </c>
      <c r="N169" t="s">
        <v>142</v>
      </c>
      <c r="O169" t="s">
        <v>155</v>
      </c>
      <c r="P169" t="s">
        <v>281</v>
      </c>
      <c r="Q169" t="s">
        <v>155</v>
      </c>
      <c r="R169" t="s">
        <v>302</v>
      </c>
      <c r="S169" t="s">
        <v>369</v>
      </c>
      <c r="T169">
        <v>1</v>
      </c>
      <c r="U169" t="s">
        <v>409</v>
      </c>
      <c r="V169" t="s">
        <v>342</v>
      </c>
      <c r="W169" t="s">
        <v>411</v>
      </c>
      <c r="X169" t="s">
        <v>306</v>
      </c>
      <c r="Y169" t="s">
        <v>307</v>
      </c>
      <c r="Z169">
        <v>65</v>
      </c>
      <c r="AA169">
        <v>70</v>
      </c>
      <c r="AB169" t="s">
        <v>143</v>
      </c>
      <c r="AC169" t="s">
        <v>149</v>
      </c>
      <c r="AD169" t="s">
        <v>404</v>
      </c>
      <c r="AE169" t="str">
        <f>IF(AF169="","",VLOOKUP(AC169,mapel!$A$2:$B$42,2,FALSE))</f>
        <v>B.Indo</v>
      </c>
      <c r="AF169">
        <f t="shared" si="6"/>
        <v>70</v>
      </c>
      <c r="AG169" t="str">
        <f>IF(AF169="","",IF(AF169&gt;90,"Sangat baik",IF(AF169&gt;79,"Baik",IF(AF169&gt;=pub_gid_0_single_true_output_csv[[#This Row],[KKM]],"Cukup","Kurang"))))</f>
        <v>Cukup</v>
      </c>
      <c r="AH169">
        <f t="shared" si="7"/>
        <v>11</v>
      </c>
      <c r="AI169" s="30" t="str">
        <f>IF(OR(J169&lt;&gt;"Karakter",pub_gid_0_single_true_output_csv[[#This Row],[Nilai2]]=""),"",IF(AF169&gt;89,"Sangat baik",IF(AF169&gt;79,"Baik",IF(AF169&gt;69,"Cukup",IF(AF169&gt;59,"Kurang","Sangat kurang")))))</f>
        <v>Cukup</v>
      </c>
      <c r="AJ169" t="str">
        <f t="shared" si="8"/>
        <v>Wk.5</v>
      </c>
      <c r="AK169" t="str">
        <f>IF(pub_gid_0_single_true_output_csv[[#This Row],[Nilai2]]="","",VLOOKUP(pub_gid_0_single_true_output_csv[[#This Row],[NAMA]],Table7[],3,FALSE))</f>
        <v>Average</v>
      </c>
    </row>
    <row r="170" spans="1:37" x14ac:dyDescent="0.2">
      <c r="A170">
        <v>169</v>
      </c>
      <c r="B170" t="s">
        <v>292</v>
      </c>
      <c r="C170" t="s">
        <v>54</v>
      </c>
      <c r="D170" t="s">
        <v>94</v>
      </c>
      <c r="E170" t="s">
        <v>147</v>
      </c>
      <c r="F170" s="25">
        <v>46048</v>
      </c>
      <c r="G170" t="s">
        <v>371</v>
      </c>
      <c r="H170" t="s">
        <v>405</v>
      </c>
      <c r="I170" t="s">
        <v>371</v>
      </c>
      <c r="J170" t="s">
        <v>279</v>
      </c>
      <c r="K170" t="s">
        <v>280</v>
      </c>
      <c r="L170" t="s">
        <v>322</v>
      </c>
      <c r="M170" t="s">
        <v>141</v>
      </c>
      <c r="N170" t="s">
        <v>142</v>
      </c>
      <c r="O170" t="s">
        <v>155</v>
      </c>
      <c r="P170" t="s">
        <v>281</v>
      </c>
      <c r="Q170" t="s">
        <v>155</v>
      </c>
      <c r="R170" t="s">
        <v>302</v>
      </c>
      <c r="S170" t="s">
        <v>369</v>
      </c>
      <c r="T170">
        <v>1</v>
      </c>
      <c r="U170" t="s">
        <v>409</v>
      </c>
      <c r="V170" t="s">
        <v>342</v>
      </c>
      <c r="W170" t="s">
        <v>411</v>
      </c>
      <c r="X170" t="s">
        <v>306</v>
      </c>
      <c r="Y170" t="s">
        <v>307</v>
      </c>
      <c r="Z170">
        <v>65</v>
      </c>
      <c r="AA170">
        <v>65</v>
      </c>
      <c r="AB170" t="s">
        <v>143</v>
      </c>
      <c r="AC170" t="s">
        <v>149</v>
      </c>
      <c r="AD170" t="s">
        <v>404</v>
      </c>
      <c r="AE170" t="str">
        <f>IF(AF170="","",VLOOKUP(AC170,mapel!$A$2:$B$42,2,FALSE))</f>
        <v>B.Indo</v>
      </c>
      <c r="AF170">
        <f t="shared" si="6"/>
        <v>65</v>
      </c>
      <c r="AG170" t="str">
        <f>IF(AF170="","",IF(AF170&gt;90,"Sangat baik",IF(AF170&gt;79,"Baik",IF(AF170&gt;=pub_gid_0_single_true_output_csv[[#This Row],[KKM]],"Cukup","Kurang"))))</f>
        <v>Cukup</v>
      </c>
      <c r="AH170">
        <f t="shared" si="7"/>
        <v>11</v>
      </c>
      <c r="AI170" s="30" t="str">
        <f>IF(OR(J170&lt;&gt;"Karakter",pub_gid_0_single_true_output_csv[[#This Row],[Nilai2]]=""),"",IF(AF170&gt;89,"Sangat baik",IF(AF170&gt;79,"Baik",IF(AF170&gt;69,"Cukup",IF(AF170&gt;59,"Kurang","Sangat kurang")))))</f>
        <v/>
      </c>
      <c r="AJ170" t="str">
        <f t="shared" si="8"/>
        <v>Wk.5</v>
      </c>
      <c r="AK170" t="str">
        <f>IF(pub_gid_0_single_true_output_csv[[#This Row],[Nilai2]]="","",VLOOKUP(pub_gid_0_single_true_output_csv[[#This Row],[NAMA]],Table7[],3,FALSE))</f>
        <v>Average</v>
      </c>
    </row>
    <row r="171" spans="1:37" x14ac:dyDescent="0.2">
      <c r="A171">
        <v>170</v>
      </c>
      <c r="B171" t="s">
        <v>292</v>
      </c>
      <c r="C171" t="s">
        <v>54</v>
      </c>
      <c r="D171" t="s">
        <v>94</v>
      </c>
      <c r="E171" t="s">
        <v>147</v>
      </c>
      <c r="F171" s="25">
        <v>46049</v>
      </c>
      <c r="G171" t="s">
        <v>373</v>
      </c>
      <c r="H171" t="s">
        <v>405</v>
      </c>
      <c r="I171" t="s">
        <v>371</v>
      </c>
      <c r="J171" t="s">
        <v>36</v>
      </c>
      <c r="K171" t="s">
        <v>37</v>
      </c>
      <c r="L171" t="s">
        <v>321</v>
      </c>
      <c r="M171" t="s">
        <v>141</v>
      </c>
      <c r="N171" t="s">
        <v>142</v>
      </c>
      <c r="O171" t="s">
        <v>155</v>
      </c>
      <c r="P171" t="s">
        <v>281</v>
      </c>
      <c r="Q171" t="s">
        <v>155</v>
      </c>
      <c r="R171" t="s">
        <v>302</v>
      </c>
      <c r="S171" t="s">
        <v>369</v>
      </c>
      <c r="T171">
        <v>1</v>
      </c>
      <c r="U171" t="s">
        <v>409</v>
      </c>
      <c r="V171" t="s">
        <v>342</v>
      </c>
      <c r="W171" t="s">
        <v>411</v>
      </c>
      <c r="X171" t="s">
        <v>306</v>
      </c>
      <c r="Y171" t="s">
        <v>307</v>
      </c>
      <c r="Z171">
        <v>65</v>
      </c>
      <c r="AA171">
        <v>70</v>
      </c>
      <c r="AB171" t="s">
        <v>143</v>
      </c>
      <c r="AC171" t="s">
        <v>149</v>
      </c>
      <c r="AD171" t="s">
        <v>404</v>
      </c>
      <c r="AE171" t="str">
        <f>IF(AF171="","",VLOOKUP(AC171,mapel!$A$2:$B$42,2,FALSE))</f>
        <v>B.Indo</v>
      </c>
      <c r="AF171">
        <f t="shared" si="6"/>
        <v>70</v>
      </c>
      <c r="AG171" t="str">
        <f>IF(AF171="","",IF(AF171&gt;90,"Sangat baik",IF(AF171&gt;79,"Baik",IF(AF171&gt;=pub_gid_0_single_true_output_csv[[#This Row],[KKM]],"Cukup","Kurang"))))</f>
        <v>Cukup</v>
      </c>
      <c r="AH171">
        <f t="shared" si="7"/>
        <v>11</v>
      </c>
      <c r="AI171" s="30" t="str">
        <f>IF(OR(J171&lt;&gt;"Karakter",pub_gid_0_single_true_output_csv[[#This Row],[Nilai2]]=""),"",IF(AF171&gt;89,"Sangat baik",IF(AF171&gt;79,"Baik",IF(AF171&gt;69,"Cukup",IF(AF171&gt;59,"Kurang","Sangat kurang")))))</f>
        <v/>
      </c>
      <c r="AJ171" t="str">
        <f t="shared" si="8"/>
        <v>Wk.5</v>
      </c>
      <c r="AK171" t="str">
        <f>IF(pub_gid_0_single_true_output_csv[[#This Row],[Nilai2]]="","",VLOOKUP(pub_gid_0_single_true_output_csv[[#This Row],[NAMA]],Table7[],3,FALSE))</f>
        <v>Average</v>
      </c>
    </row>
    <row r="172" spans="1:37" x14ac:dyDescent="0.2">
      <c r="A172">
        <v>171</v>
      </c>
      <c r="B172" t="s">
        <v>292</v>
      </c>
      <c r="C172" t="s">
        <v>54</v>
      </c>
      <c r="D172" t="s">
        <v>94</v>
      </c>
      <c r="E172" t="s">
        <v>147</v>
      </c>
      <c r="F172" s="25">
        <v>46049</v>
      </c>
      <c r="G172" t="s">
        <v>373</v>
      </c>
      <c r="H172" t="s">
        <v>405</v>
      </c>
      <c r="I172" t="s">
        <v>371</v>
      </c>
      <c r="J172" t="s">
        <v>31</v>
      </c>
      <c r="K172" t="s">
        <v>96</v>
      </c>
      <c r="L172" t="s">
        <v>321</v>
      </c>
      <c r="M172" t="s">
        <v>141</v>
      </c>
      <c r="N172" t="s">
        <v>142</v>
      </c>
      <c r="O172" t="s">
        <v>155</v>
      </c>
      <c r="P172" t="s">
        <v>281</v>
      </c>
      <c r="Q172" t="s">
        <v>155</v>
      </c>
      <c r="R172" t="s">
        <v>302</v>
      </c>
      <c r="S172" t="s">
        <v>369</v>
      </c>
      <c r="T172">
        <v>1</v>
      </c>
      <c r="U172" t="s">
        <v>409</v>
      </c>
      <c r="V172" t="s">
        <v>342</v>
      </c>
      <c r="W172" t="s">
        <v>411</v>
      </c>
      <c r="X172" t="s">
        <v>306</v>
      </c>
      <c r="Y172" t="s">
        <v>307</v>
      </c>
      <c r="Z172">
        <v>65</v>
      </c>
      <c r="AA172">
        <v>68</v>
      </c>
      <c r="AB172" t="s">
        <v>143</v>
      </c>
      <c r="AC172" t="s">
        <v>149</v>
      </c>
      <c r="AD172" t="s">
        <v>404</v>
      </c>
      <c r="AE172" t="str">
        <f>IF(AF172="","",VLOOKUP(AC172,mapel!$A$2:$B$42,2,FALSE))</f>
        <v>B.Indo</v>
      </c>
      <c r="AF172">
        <f t="shared" si="6"/>
        <v>68</v>
      </c>
      <c r="AG172" t="str">
        <f>IF(AF172="","",IF(AF172&gt;90,"Sangat baik",IF(AF172&gt;79,"Baik",IF(AF172&gt;=pub_gid_0_single_true_output_csv[[#This Row],[KKM]],"Cukup","Kurang"))))</f>
        <v>Cukup</v>
      </c>
      <c r="AH172">
        <f t="shared" si="7"/>
        <v>11</v>
      </c>
      <c r="AI172" s="30" t="str">
        <f>IF(OR(J172&lt;&gt;"Karakter",pub_gid_0_single_true_output_csv[[#This Row],[Nilai2]]=""),"",IF(AF172&gt;89,"Sangat baik",IF(AF172&gt;79,"Baik",IF(AF172&gt;69,"Cukup",IF(AF172&gt;59,"Kurang","Sangat kurang")))))</f>
        <v/>
      </c>
      <c r="AJ172" t="str">
        <f t="shared" si="8"/>
        <v>Wk.5</v>
      </c>
      <c r="AK172" t="str">
        <f>IF(pub_gid_0_single_true_output_csv[[#This Row],[Nilai2]]="","",VLOOKUP(pub_gid_0_single_true_output_csv[[#This Row],[NAMA]],Table7[],3,FALSE))</f>
        <v>Average</v>
      </c>
    </row>
    <row r="173" spans="1:37" x14ac:dyDescent="0.2">
      <c r="A173">
        <v>172</v>
      </c>
      <c r="B173" t="s">
        <v>292</v>
      </c>
      <c r="C173" t="s">
        <v>54</v>
      </c>
      <c r="D173" t="s">
        <v>94</v>
      </c>
      <c r="E173" t="s">
        <v>147</v>
      </c>
      <c r="F173" s="25">
        <v>46049</v>
      </c>
      <c r="G173" t="s">
        <v>373</v>
      </c>
      <c r="H173" t="s">
        <v>405</v>
      </c>
      <c r="I173" t="s">
        <v>371</v>
      </c>
      <c r="J173" t="s">
        <v>90</v>
      </c>
      <c r="K173" t="s">
        <v>92</v>
      </c>
      <c r="L173" t="s">
        <v>93</v>
      </c>
      <c r="M173" t="s">
        <v>141</v>
      </c>
      <c r="N173" t="s">
        <v>142</v>
      </c>
      <c r="O173" t="s">
        <v>155</v>
      </c>
      <c r="P173" t="s">
        <v>281</v>
      </c>
      <c r="Q173" t="s">
        <v>155</v>
      </c>
      <c r="R173" t="s">
        <v>302</v>
      </c>
      <c r="S173" t="s">
        <v>369</v>
      </c>
      <c r="T173">
        <v>1</v>
      </c>
      <c r="U173" t="s">
        <v>409</v>
      </c>
      <c r="V173" t="s">
        <v>342</v>
      </c>
      <c r="W173" t="s">
        <v>411</v>
      </c>
      <c r="X173" t="s">
        <v>306</v>
      </c>
      <c r="Y173" t="s">
        <v>307</v>
      </c>
      <c r="Z173">
        <v>65</v>
      </c>
      <c r="AA173">
        <v>70</v>
      </c>
      <c r="AB173" t="s">
        <v>143</v>
      </c>
      <c r="AC173" t="s">
        <v>149</v>
      </c>
      <c r="AD173" t="s">
        <v>404</v>
      </c>
      <c r="AE173" t="str">
        <f>IF(AF173="","",VLOOKUP(AC173,mapel!$A$2:$B$42,2,FALSE))</f>
        <v>B.Indo</v>
      </c>
      <c r="AF173">
        <f t="shared" si="6"/>
        <v>70</v>
      </c>
      <c r="AG173" t="str">
        <f>IF(AF173="","",IF(AF173&gt;90,"Sangat baik",IF(AF173&gt;79,"Baik",IF(AF173&gt;=pub_gid_0_single_true_output_csv[[#This Row],[KKM]],"Cukup","Kurang"))))</f>
        <v>Cukup</v>
      </c>
      <c r="AH173">
        <f t="shared" si="7"/>
        <v>11</v>
      </c>
      <c r="AI173" s="30" t="str">
        <f>IF(OR(J173&lt;&gt;"Karakter",pub_gid_0_single_true_output_csv[[#This Row],[Nilai2]]=""),"",IF(AF173&gt;89,"Sangat baik",IF(AF173&gt;79,"Baik",IF(AF173&gt;69,"Cukup",IF(AF173&gt;59,"Kurang","Sangat kurang")))))</f>
        <v>Cukup</v>
      </c>
      <c r="AJ173" t="str">
        <f t="shared" si="8"/>
        <v>Wk.5</v>
      </c>
      <c r="AK173" t="str">
        <f>IF(pub_gid_0_single_true_output_csv[[#This Row],[Nilai2]]="","",VLOOKUP(pub_gid_0_single_true_output_csv[[#This Row],[NAMA]],Table7[],3,FALSE))</f>
        <v>Average</v>
      </c>
    </row>
    <row r="174" spans="1:37" x14ac:dyDescent="0.2">
      <c r="A174">
        <v>173</v>
      </c>
      <c r="B174" t="s">
        <v>292</v>
      </c>
      <c r="C174" t="s">
        <v>54</v>
      </c>
      <c r="D174" t="s">
        <v>94</v>
      </c>
      <c r="E174" t="s">
        <v>147</v>
      </c>
      <c r="F174" s="25">
        <v>46049</v>
      </c>
      <c r="G174" t="s">
        <v>373</v>
      </c>
      <c r="H174" t="s">
        <v>405</v>
      </c>
      <c r="I174" t="s">
        <v>371</v>
      </c>
      <c r="J174" t="s">
        <v>279</v>
      </c>
      <c r="K174" t="s">
        <v>280</v>
      </c>
      <c r="L174" t="s">
        <v>322</v>
      </c>
      <c r="M174" t="s">
        <v>141</v>
      </c>
      <c r="N174" t="s">
        <v>142</v>
      </c>
      <c r="O174" t="s">
        <v>155</v>
      </c>
      <c r="P174" t="s">
        <v>281</v>
      </c>
      <c r="Q174" t="s">
        <v>155</v>
      </c>
      <c r="R174" t="s">
        <v>302</v>
      </c>
      <c r="S174" t="s">
        <v>369</v>
      </c>
      <c r="T174">
        <v>1</v>
      </c>
      <c r="U174" t="s">
        <v>409</v>
      </c>
      <c r="V174" t="s">
        <v>342</v>
      </c>
      <c r="W174" t="s">
        <v>411</v>
      </c>
      <c r="X174" t="s">
        <v>306</v>
      </c>
      <c r="Y174" t="s">
        <v>307</v>
      </c>
      <c r="Z174">
        <v>65</v>
      </c>
      <c r="AA174">
        <v>70</v>
      </c>
      <c r="AB174" t="s">
        <v>143</v>
      </c>
      <c r="AC174" t="s">
        <v>149</v>
      </c>
      <c r="AD174" t="s">
        <v>404</v>
      </c>
      <c r="AE174" t="str">
        <f>IF(AF174="","",VLOOKUP(AC174,mapel!$A$2:$B$42,2,FALSE))</f>
        <v>B.Indo</v>
      </c>
      <c r="AF174">
        <f t="shared" si="6"/>
        <v>70</v>
      </c>
      <c r="AG174" t="str">
        <f>IF(AF174="","",IF(AF174&gt;90,"Sangat baik",IF(AF174&gt;79,"Baik",IF(AF174&gt;=pub_gid_0_single_true_output_csv[[#This Row],[KKM]],"Cukup","Kurang"))))</f>
        <v>Cukup</v>
      </c>
      <c r="AH174">
        <f t="shared" si="7"/>
        <v>11</v>
      </c>
      <c r="AI174" s="30" t="str">
        <f>IF(OR(J174&lt;&gt;"Karakter",pub_gid_0_single_true_output_csv[[#This Row],[Nilai2]]=""),"",IF(AF174&gt;89,"Sangat baik",IF(AF174&gt;79,"Baik",IF(AF174&gt;69,"Cukup",IF(AF174&gt;59,"Kurang","Sangat kurang")))))</f>
        <v/>
      </c>
      <c r="AJ174" t="str">
        <f t="shared" si="8"/>
        <v>Wk.5</v>
      </c>
      <c r="AK174" t="str">
        <f>IF(pub_gid_0_single_true_output_csv[[#This Row],[Nilai2]]="","",VLOOKUP(pub_gid_0_single_true_output_csv[[#This Row],[NAMA]],Table7[],3,FALSE))</f>
        <v>Average</v>
      </c>
    </row>
    <row r="175" spans="1:37" x14ac:dyDescent="0.2">
      <c r="A175">
        <v>174</v>
      </c>
      <c r="B175" t="s">
        <v>292</v>
      </c>
      <c r="C175" t="s">
        <v>54</v>
      </c>
      <c r="D175" t="s">
        <v>94</v>
      </c>
      <c r="E175" t="s">
        <v>147</v>
      </c>
      <c r="F175" s="25">
        <v>46055</v>
      </c>
      <c r="G175" t="s">
        <v>379</v>
      </c>
      <c r="H175" t="s">
        <v>412</v>
      </c>
      <c r="I175" t="s">
        <v>371</v>
      </c>
      <c r="J175" t="s">
        <v>36</v>
      </c>
      <c r="K175" t="s">
        <v>37</v>
      </c>
      <c r="L175" t="s">
        <v>150</v>
      </c>
      <c r="M175" t="s">
        <v>141</v>
      </c>
      <c r="N175" t="s">
        <v>142</v>
      </c>
      <c r="O175" t="s">
        <v>155</v>
      </c>
      <c r="P175" t="s">
        <v>281</v>
      </c>
      <c r="Q175" t="s">
        <v>155</v>
      </c>
      <c r="R175" t="s">
        <v>302</v>
      </c>
      <c r="S175" t="s">
        <v>345</v>
      </c>
      <c r="T175">
        <v>1</v>
      </c>
      <c r="U175" t="s">
        <v>409</v>
      </c>
      <c r="V175" t="s">
        <v>343</v>
      </c>
      <c r="W175" t="s">
        <v>413</v>
      </c>
      <c r="X175" t="s">
        <v>306</v>
      </c>
      <c r="Y175" t="s">
        <v>307</v>
      </c>
      <c r="Z175">
        <v>65</v>
      </c>
      <c r="AA175">
        <v>75</v>
      </c>
      <c r="AB175" t="s">
        <v>143</v>
      </c>
      <c r="AC175" t="s">
        <v>149</v>
      </c>
      <c r="AD175" t="s">
        <v>404</v>
      </c>
      <c r="AE175" t="str">
        <f>IF(AF175="","",VLOOKUP(AC175,mapel!$A$2:$B$42,2,FALSE))</f>
        <v>B.Indo</v>
      </c>
      <c r="AF175">
        <f t="shared" si="6"/>
        <v>75</v>
      </c>
      <c r="AG175" t="str">
        <f>IF(AF175="","",IF(AF175&gt;90,"Sangat baik",IF(AF175&gt;79,"Baik",IF(AF175&gt;=pub_gid_0_single_true_output_csv[[#This Row],[KKM]],"Cukup","Kurang"))))</f>
        <v>Cukup</v>
      </c>
      <c r="AH175">
        <f t="shared" si="7"/>
        <v>11</v>
      </c>
      <c r="AI175" s="30" t="str">
        <f>IF(OR(J175&lt;&gt;"Karakter",pub_gid_0_single_true_output_csv[[#This Row],[Nilai2]]=""),"",IF(AF175&gt;89,"Sangat baik",IF(AF175&gt;79,"Baik",IF(AF175&gt;69,"Cukup",IF(AF175&gt;59,"Kurang","Sangat kurang")))))</f>
        <v/>
      </c>
      <c r="AJ175" t="str">
        <f t="shared" si="8"/>
        <v>Wk.6</v>
      </c>
      <c r="AK175" t="str">
        <f>IF(pub_gid_0_single_true_output_csv[[#This Row],[Nilai2]]="","",VLOOKUP(pub_gid_0_single_true_output_csv[[#This Row],[NAMA]],Table7[],3,FALSE))</f>
        <v>Average</v>
      </c>
    </row>
    <row r="176" spans="1:37" x14ac:dyDescent="0.2">
      <c r="A176">
        <v>175</v>
      </c>
      <c r="B176" t="s">
        <v>292</v>
      </c>
      <c r="C176" t="s">
        <v>54</v>
      </c>
      <c r="D176" t="s">
        <v>94</v>
      </c>
      <c r="E176" t="s">
        <v>147</v>
      </c>
      <c r="F176" s="25">
        <v>46055</v>
      </c>
      <c r="G176" t="s">
        <v>379</v>
      </c>
      <c r="H176" t="s">
        <v>412</v>
      </c>
      <c r="I176" t="s">
        <v>371</v>
      </c>
      <c r="J176" t="s">
        <v>31</v>
      </c>
      <c r="K176" t="s">
        <v>96</v>
      </c>
      <c r="L176" t="s">
        <v>150</v>
      </c>
      <c r="M176" t="s">
        <v>141</v>
      </c>
      <c r="N176" t="s">
        <v>142</v>
      </c>
      <c r="O176" t="s">
        <v>155</v>
      </c>
      <c r="P176" t="s">
        <v>281</v>
      </c>
      <c r="Q176" t="s">
        <v>155</v>
      </c>
      <c r="R176" t="s">
        <v>302</v>
      </c>
      <c r="S176" t="s">
        <v>345</v>
      </c>
      <c r="T176">
        <v>1</v>
      </c>
      <c r="U176" t="s">
        <v>409</v>
      </c>
      <c r="V176" t="s">
        <v>343</v>
      </c>
      <c r="W176" t="s">
        <v>413</v>
      </c>
      <c r="X176" t="s">
        <v>306</v>
      </c>
      <c r="Y176" t="s">
        <v>307</v>
      </c>
      <c r="Z176">
        <v>65</v>
      </c>
      <c r="AA176">
        <v>69</v>
      </c>
      <c r="AB176" t="s">
        <v>143</v>
      </c>
      <c r="AC176" t="s">
        <v>149</v>
      </c>
      <c r="AD176" t="s">
        <v>404</v>
      </c>
      <c r="AE176" t="str">
        <f>IF(AF176="","",VLOOKUP(AC176,mapel!$A$2:$B$42,2,FALSE))</f>
        <v>B.Indo</v>
      </c>
      <c r="AF176">
        <f t="shared" si="6"/>
        <v>69</v>
      </c>
      <c r="AG176" t="str">
        <f>IF(AF176="","",IF(AF176&gt;90,"Sangat baik",IF(AF176&gt;79,"Baik",IF(AF176&gt;=pub_gid_0_single_true_output_csv[[#This Row],[KKM]],"Cukup","Kurang"))))</f>
        <v>Cukup</v>
      </c>
      <c r="AH176">
        <f t="shared" si="7"/>
        <v>11</v>
      </c>
      <c r="AI176" s="30" t="str">
        <f>IF(OR(J176&lt;&gt;"Karakter",pub_gid_0_single_true_output_csv[[#This Row],[Nilai2]]=""),"",IF(AF176&gt;89,"Sangat baik",IF(AF176&gt;79,"Baik",IF(AF176&gt;69,"Cukup",IF(AF176&gt;59,"Kurang","Sangat kurang")))))</f>
        <v/>
      </c>
      <c r="AJ176" t="str">
        <f t="shared" si="8"/>
        <v>Wk.6</v>
      </c>
      <c r="AK176" t="str">
        <f>IF(pub_gid_0_single_true_output_csv[[#This Row],[Nilai2]]="","",VLOOKUP(pub_gid_0_single_true_output_csv[[#This Row],[NAMA]],Table7[],3,FALSE))</f>
        <v>Average</v>
      </c>
    </row>
    <row r="177" spans="1:37" x14ac:dyDescent="0.2">
      <c r="A177">
        <v>176</v>
      </c>
      <c r="B177" t="s">
        <v>292</v>
      </c>
      <c r="C177" t="s">
        <v>54</v>
      </c>
      <c r="D177" t="s">
        <v>94</v>
      </c>
      <c r="E177" t="s">
        <v>147</v>
      </c>
      <c r="F177" s="25">
        <v>46055</v>
      </c>
      <c r="G177" t="s">
        <v>379</v>
      </c>
      <c r="H177" t="s">
        <v>412</v>
      </c>
      <c r="I177" t="s">
        <v>371</v>
      </c>
      <c r="J177" t="s">
        <v>90</v>
      </c>
      <c r="K177" t="s">
        <v>92</v>
      </c>
      <c r="L177" t="s">
        <v>91</v>
      </c>
      <c r="M177" t="s">
        <v>141</v>
      </c>
      <c r="N177" t="s">
        <v>142</v>
      </c>
      <c r="O177" t="s">
        <v>155</v>
      </c>
      <c r="P177" t="s">
        <v>281</v>
      </c>
      <c r="Q177" t="s">
        <v>155</v>
      </c>
      <c r="R177" t="s">
        <v>302</v>
      </c>
      <c r="S177" t="s">
        <v>345</v>
      </c>
      <c r="T177">
        <v>1</v>
      </c>
      <c r="U177" t="s">
        <v>409</v>
      </c>
      <c r="V177" t="s">
        <v>343</v>
      </c>
      <c r="W177" t="s">
        <v>413</v>
      </c>
      <c r="X177" t="s">
        <v>306</v>
      </c>
      <c r="Y177" t="s">
        <v>307</v>
      </c>
      <c r="Z177">
        <v>65</v>
      </c>
      <c r="AA177">
        <v>70</v>
      </c>
      <c r="AB177" t="s">
        <v>143</v>
      </c>
      <c r="AC177" t="s">
        <v>149</v>
      </c>
      <c r="AD177" t="s">
        <v>404</v>
      </c>
      <c r="AE177" t="str">
        <f>IF(AF177="","",VLOOKUP(AC177,mapel!$A$2:$B$42,2,FALSE))</f>
        <v>B.Indo</v>
      </c>
      <c r="AF177">
        <f t="shared" si="6"/>
        <v>70</v>
      </c>
      <c r="AG177" t="str">
        <f>IF(AF177="","",IF(AF177&gt;90,"Sangat baik",IF(AF177&gt;79,"Baik",IF(AF177&gt;=pub_gid_0_single_true_output_csv[[#This Row],[KKM]],"Cukup","Kurang"))))</f>
        <v>Cukup</v>
      </c>
      <c r="AH177">
        <f t="shared" si="7"/>
        <v>11</v>
      </c>
      <c r="AI177" s="30" t="str">
        <f>IF(OR(J177&lt;&gt;"Karakter",pub_gid_0_single_true_output_csv[[#This Row],[Nilai2]]=""),"",IF(AF177&gt;89,"Sangat baik",IF(AF177&gt;79,"Baik",IF(AF177&gt;69,"Cukup",IF(AF177&gt;59,"Kurang","Sangat kurang")))))</f>
        <v>Cukup</v>
      </c>
      <c r="AJ177" t="str">
        <f t="shared" si="8"/>
        <v>Wk.6</v>
      </c>
      <c r="AK177" t="str">
        <f>IF(pub_gid_0_single_true_output_csv[[#This Row],[Nilai2]]="","",VLOOKUP(pub_gid_0_single_true_output_csv[[#This Row],[NAMA]],Table7[],3,FALSE))</f>
        <v>Average</v>
      </c>
    </row>
    <row r="178" spans="1:37" x14ac:dyDescent="0.2">
      <c r="A178">
        <v>177</v>
      </c>
      <c r="B178" t="s">
        <v>292</v>
      </c>
      <c r="C178" t="s">
        <v>54</v>
      </c>
      <c r="D178" t="s">
        <v>94</v>
      </c>
      <c r="E178" t="s">
        <v>147</v>
      </c>
      <c r="F178" s="25">
        <v>46055</v>
      </c>
      <c r="G178" t="s">
        <v>379</v>
      </c>
      <c r="H178" t="s">
        <v>412</v>
      </c>
      <c r="I178" t="s">
        <v>371</v>
      </c>
      <c r="J178" t="s">
        <v>279</v>
      </c>
      <c r="K178" t="s">
        <v>280</v>
      </c>
      <c r="L178" t="s">
        <v>322</v>
      </c>
      <c r="M178" t="s">
        <v>141</v>
      </c>
      <c r="N178" t="s">
        <v>142</v>
      </c>
      <c r="O178" t="s">
        <v>155</v>
      </c>
      <c r="P178" t="s">
        <v>281</v>
      </c>
      <c r="Q178" t="s">
        <v>155</v>
      </c>
      <c r="R178" t="s">
        <v>302</v>
      </c>
      <c r="S178" t="s">
        <v>345</v>
      </c>
      <c r="T178">
        <v>1</v>
      </c>
      <c r="U178" t="s">
        <v>409</v>
      </c>
      <c r="V178" t="s">
        <v>343</v>
      </c>
      <c r="W178" t="s">
        <v>413</v>
      </c>
      <c r="X178" t="s">
        <v>306</v>
      </c>
      <c r="Y178" t="s">
        <v>307</v>
      </c>
      <c r="Z178">
        <v>65</v>
      </c>
      <c r="AA178">
        <v>70</v>
      </c>
      <c r="AB178" t="s">
        <v>143</v>
      </c>
      <c r="AC178" t="s">
        <v>149</v>
      </c>
      <c r="AD178" t="s">
        <v>404</v>
      </c>
      <c r="AE178" t="str">
        <f>IF(AF178="","",VLOOKUP(AC178,mapel!$A$2:$B$42,2,FALSE))</f>
        <v>B.Indo</v>
      </c>
      <c r="AF178">
        <f t="shared" si="6"/>
        <v>70</v>
      </c>
      <c r="AG178" t="str">
        <f>IF(AF178="","",IF(AF178&gt;90,"Sangat baik",IF(AF178&gt;79,"Baik",IF(AF178&gt;=pub_gid_0_single_true_output_csv[[#This Row],[KKM]],"Cukup","Kurang"))))</f>
        <v>Cukup</v>
      </c>
      <c r="AH178">
        <f t="shared" si="7"/>
        <v>11</v>
      </c>
      <c r="AI178" s="30" t="str">
        <f>IF(OR(J178&lt;&gt;"Karakter",pub_gid_0_single_true_output_csv[[#This Row],[Nilai2]]=""),"",IF(AF178&gt;89,"Sangat baik",IF(AF178&gt;79,"Baik",IF(AF178&gt;69,"Cukup",IF(AF178&gt;59,"Kurang","Sangat kurang")))))</f>
        <v/>
      </c>
      <c r="AJ178" t="str">
        <f t="shared" si="8"/>
        <v>Wk.6</v>
      </c>
      <c r="AK178" t="str">
        <f>IF(pub_gid_0_single_true_output_csv[[#This Row],[Nilai2]]="","",VLOOKUP(pub_gid_0_single_true_output_csv[[#This Row],[NAMA]],Table7[],3,FALSE))</f>
        <v>Average</v>
      </c>
    </row>
    <row r="179" spans="1:37" x14ac:dyDescent="0.2">
      <c r="A179">
        <v>178</v>
      </c>
      <c r="B179" t="s">
        <v>292</v>
      </c>
      <c r="C179" t="s">
        <v>54</v>
      </c>
      <c r="D179" t="s">
        <v>94</v>
      </c>
      <c r="E179" t="s">
        <v>147</v>
      </c>
      <c r="F179" s="25">
        <v>46062</v>
      </c>
      <c r="G179" t="s">
        <v>376</v>
      </c>
      <c r="H179" t="s">
        <v>412</v>
      </c>
      <c r="I179" t="s">
        <v>371</v>
      </c>
      <c r="J179" t="s">
        <v>36</v>
      </c>
      <c r="K179" t="s">
        <v>37</v>
      </c>
      <c r="L179" t="s">
        <v>351</v>
      </c>
      <c r="M179" t="s">
        <v>141</v>
      </c>
      <c r="N179" t="s">
        <v>142</v>
      </c>
      <c r="O179" t="s">
        <v>155</v>
      </c>
      <c r="P179" t="s">
        <v>281</v>
      </c>
      <c r="Q179" t="s">
        <v>155</v>
      </c>
      <c r="R179" t="s">
        <v>302</v>
      </c>
      <c r="S179" t="s">
        <v>345</v>
      </c>
      <c r="T179">
        <v>1</v>
      </c>
      <c r="U179" t="s">
        <v>409</v>
      </c>
      <c r="V179" t="s">
        <v>343</v>
      </c>
      <c r="W179" t="s">
        <v>413</v>
      </c>
      <c r="X179" t="s">
        <v>306</v>
      </c>
      <c r="Y179" t="s">
        <v>307</v>
      </c>
      <c r="Z179">
        <v>65</v>
      </c>
      <c r="AA179">
        <v>70</v>
      </c>
      <c r="AB179" t="s">
        <v>143</v>
      </c>
      <c r="AC179" t="s">
        <v>149</v>
      </c>
      <c r="AD179" t="s">
        <v>404</v>
      </c>
      <c r="AE179" t="str">
        <f>IF(AF179="","",VLOOKUP(AC179,mapel!$A$2:$B$42,2,FALSE))</f>
        <v>B.Indo</v>
      </c>
      <c r="AF179">
        <f t="shared" si="6"/>
        <v>70</v>
      </c>
      <c r="AG179" t="str">
        <f>IF(AF179="","",IF(AF179&gt;90,"Sangat baik",IF(AF179&gt;79,"Baik",IF(AF179&gt;=pub_gid_0_single_true_output_csv[[#This Row],[KKM]],"Cukup","Kurang"))))</f>
        <v>Cukup</v>
      </c>
      <c r="AH179">
        <f t="shared" si="7"/>
        <v>11</v>
      </c>
      <c r="AI179" s="30" t="str">
        <f>IF(OR(J179&lt;&gt;"Karakter",pub_gid_0_single_true_output_csv[[#This Row],[Nilai2]]=""),"",IF(AF179&gt;89,"Sangat baik",IF(AF179&gt;79,"Baik",IF(AF179&gt;69,"Cukup",IF(AF179&gt;59,"Kurang","Sangat kurang")))))</f>
        <v/>
      </c>
      <c r="AJ179" t="str">
        <f t="shared" si="8"/>
        <v>Wk.7</v>
      </c>
      <c r="AK179" t="str">
        <f>IF(pub_gid_0_single_true_output_csv[[#This Row],[Nilai2]]="","",VLOOKUP(pub_gid_0_single_true_output_csv[[#This Row],[NAMA]],Table7[],3,FALSE))</f>
        <v>Average</v>
      </c>
    </row>
    <row r="180" spans="1:37" x14ac:dyDescent="0.2">
      <c r="A180">
        <v>179</v>
      </c>
      <c r="B180" t="s">
        <v>292</v>
      </c>
      <c r="C180" t="s">
        <v>54</v>
      </c>
      <c r="D180" t="s">
        <v>94</v>
      </c>
      <c r="E180" t="s">
        <v>147</v>
      </c>
      <c r="F180" s="25">
        <v>46062</v>
      </c>
      <c r="G180" t="s">
        <v>376</v>
      </c>
      <c r="H180" t="s">
        <v>412</v>
      </c>
      <c r="I180" t="s">
        <v>371</v>
      </c>
      <c r="J180" t="s">
        <v>31</v>
      </c>
      <c r="K180" t="s">
        <v>96</v>
      </c>
      <c r="L180" t="s">
        <v>351</v>
      </c>
      <c r="M180" t="s">
        <v>141</v>
      </c>
      <c r="N180" t="s">
        <v>142</v>
      </c>
      <c r="O180" t="s">
        <v>155</v>
      </c>
      <c r="P180" t="s">
        <v>281</v>
      </c>
      <c r="Q180" t="s">
        <v>155</v>
      </c>
      <c r="R180" t="s">
        <v>302</v>
      </c>
      <c r="S180" t="s">
        <v>345</v>
      </c>
      <c r="T180">
        <v>1</v>
      </c>
      <c r="U180" t="s">
        <v>409</v>
      </c>
      <c r="V180" t="s">
        <v>343</v>
      </c>
      <c r="W180" t="s">
        <v>413</v>
      </c>
      <c r="X180" t="s">
        <v>306</v>
      </c>
      <c r="Y180" t="s">
        <v>307</v>
      </c>
      <c r="Z180">
        <v>65</v>
      </c>
      <c r="AA180">
        <v>70</v>
      </c>
      <c r="AB180" t="s">
        <v>143</v>
      </c>
      <c r="AC180" t="s">
        <v>149</v>
      </c>
      <c r="AD180" t="s">
        <v>404</v>
      </c>
      <c r="AE180" t="str">
        <f>IF(AF180="","",VLOOKUP(AC180,mapel!$A$2:$B$42,2,FALSE))</f>
        <v>B.Indo</v>
      </c>
      <c r="AF180">
        <f t="shared" si="6"/>
        <v>70</v>
      </c>
      <c r="AG180" t="str">
        <f>IF(AF180="","",IF(AF180&gt;90,"Sangat baik",IF(AF180&gt;79,"Baik",IF(AF180&gt;=pub_gid_0_single_true_output_csv[[#This Row],[KKM]],"Cukup","Kurang"))))</f>
        <v>Cukup</v>
      </c>
      <c r="AH180">
        <f t="shared" si="7"/>
        <v>11</v>
      </c>
      <c r="AI180" s="30" t="str">
        <f>IF(OR(J180&lt;&gt;"Karakter",pub_gid_0_single_true_output_csv[[#This Row],[Nilai2]]=""),"",IF(AF180&gt;89,"Sangat baik",IF(AF180&gt;79,"Baik",IF(AF180&gt;69,"Cukup",IF(AF180&gt;59,"Kurang","Sangat kurang")))))</f>
        <v/>
      </c>
      <c r="AJ180" t="str">
        <f t="shared" si="8"/>
        <v>Wk.7</v>
      </c>
      <c r="AK180" t="str">
        <f>IF(pub_gid_0_single_true_output_csv[[#This Row],[Nilai2]]="","",VLOOKUP(pub_gid_0_single_true_output_csv[[#This Row],[NAMA]],Table7[],3,FALSE))</f>
        <v>Average</v>
      </c>
    </row>
    <row r="181" spans="1:37" x14ac:dyDescent="0.2">
      <c r="A181">
        <v>180</v>
      </c>
      <c r="B181" t="s">
        <v>292</v>
      </c>
      <c r="C181" t="s">
        <v>54</v>
      </c>
      <c r="D181" t="s">
        <v>94</v>
      </c>
      <c r="E181" t="s">
        <v>147</v>
      </c>
      <c r="F181" s="25">
        <v>46069</v>
      </c>
      <c r="G181" t="s">
        <v>382</v>
      </c>
      <c r="H181" t="s">
        <v>412</v>
      </c>
      <c r="I181" t="s">
        <v>371</v>
      </c>
      <c r="J181" t="s">
        <v>36</v>
      </c>
      <c r="K181" t="s">
        <v>37</v>
      </c>
      <c r="L181" t="s">
        <v>351</v>
      </c>
      <c r="M181" t="s">
        <v>141</v>
      </c>
      <c r="N181" t="s">
        <v>142</v>
      </c>
      <c r="O181" t="s">
        <v>155</v>
      </c>
      <c r="P181" t="s">
        <v>281</v>
      </c>
      <c r="Q181" t="s">
        <v>155</v>
      </c>
      <c r="R181" t="s">
        <v>302</v>
      </c>
      <c r="S181" t="s">
        <v>345</v>
      </c>
      <c r="T181">
        <v>1</v>
      </c>
      <c r="U181" t="s">
        <v>409</v>
      </c>
      <c r="V181" t="s">
        <v>343</v>
      </c>
      <c r="W181" t="s">
        <v>413</v>
      </c>
      <c r="X181" t="s">
        <v>306</v>
      </c>
      <c r="Y181" t="s">
        <v>307</v>
      </c>
      <c r="Z181">
        <v>65</v>
      </c>
      <c r="AA181">
        <v>70</v>
      </c>
      <c r="AB181" t="s">
        <v>143</v>
      </c>
      <c r="AC181" t="s">
        <v>149</v>
      </c>
      <c r="AD181" t="s">
        <v>404</v>
      </c>
      <c r="AE181" t="str">
        <f>IF(AF181="","",VLOOKUP(AC181,mapel!$A$2:$B$42,2,FALSE))</f>
        <v>B.Indo</v>
      </c>
      <c r="AF181">
        <f t="shared" si="6"/>
        <v>70</v>
      </c>
      <c r="AG181" t="str">
        <f>IF(AF181="","",IF(AF181&gt;90,"Sangat baik",IF(AF181&gt;79,"Baik",IF(AF181&gt;=pub_gid_0_single_true_output_csv[[#This Row],[KKM]],"Cukup","Kurang"))))</f>
        <v>Cukup</v>
      </c>
      <c r="AH181">
        <f t="shared" si="7"/>
        <v>11</v>
      </c>
      <c r="AI181" s="30" t="str">
        <f>IF(OR(J181&lt;&gt;"Karakter",pub_gid_0_single_true_output_csv[[#This Row],[Nilai2]]=""),"",IF(AF181&gt;89,"Sangat baik",IF(AF181&gt;79,"Baik",IF(AF181&gt;69,"Cukup",IF(AF181&gt;59,"Kurang","Sangat kurang")))))</f>
        <v/>
      </c>
      <c r="AJ181" t="str">
        <f t="shared" si="8"/>
        <v>Wk.8</v>
      </c>
      <c r="AK181" t="str">
        <f>IF(pub_gid_0_single_true_output_csv[[#This Row],[Nilai2]]="","",VLOOKUP(pub_gid_0_single_true_output_csv[[#This Row],[NAMA]],Table7[],3,FALSE))</f>
        <v>Average</v>
      </c>
    </row>
    <row r="182" spans="1:37" x14ac:dyDescent="0.2">
      <c r="A182">
        <v>181</v>
      </c>
      <c r="B182" t="s">
        <v>292</v>
      </c>
      <c r="C182" t="s">
        <v>54</v>
      </c>
      <c r="D182" t="s">
        <v>94</v>
      </c>
      <c r="E182" t="s">
        <v>147</v>
      </c>
      <c r="F182" s="25">
        <v>46069</v>
      </c>
      <c r="G182" t="s">
        <v>382</v>
      </c>
      <c r="H182" t="s">
        <v>412</v>
      </c>
      <c r="I182" t="s">
        <v>371</v>
      </c>
      <c r="J182" t="s">
        <v>31</v>
      </c>
      <c r="K182" t="s">
        <v>96</v>
      </c>
      <c r="L182" t="s">
        <v>351</v>
      </c>
      <c r="M182" t="s">
        <v>141</v>
      </c>
      <c r="N182" t="s">
        <v>142</v>
      </c>
      <c r="O182" t="s">
        <v>155</v>
      </c>
      <c r="P182" t="s">
        <v>281</v>
      </c>
      <c r="Q182" t="s">
        <v>155</v>
      </c>
      <c r="R182" t="s">
        <v>302</v>
      </c>
      <c r="S182" t="s">
        <v>345</v>
      </c>
      <c r="T182">
        <v>1</v>
      </c>
      <c r="U182" t="s">
        <v>409</v>
      </c>
      <c r="V182" t="s">
        <v>343</v>
      </c>
      <c r="W182" t="s">
        <v>413</v>
      </c>
      <c r="X182" t="s">
        <v>306</v>
      </c>
      <c r="Y182" t="s">
        <v>307</v>
      </c>
      <c r="Z182">
        <v>65</v>
      </c>
      <c r="AA182">
        <v>70</v>
      </c>
      <c r="AB182" t="s">
        <v>143</v>
      </c>
      <c r="AC182" t="s">
        <v>149</v>
      </c>
      <c r="AD182" t="s">
        <v>404</v>
      </c>
      <c r="AE182" t="str">
        <f>IF(AF182="","",VLOOKUP(AC182,mapel!$A$2:$B$42,2,FALSE))</f>
        <v>B.Indo</v>
      </c>
      <c r="AF182">
        <f t="shared" si="6"/>
        <v>70</v>
      </c>
      <c r="AG182" t="str">
        <f>IF(AF182="","",IF(AF182&gt;90,"Sangat baik",IF(AF182&gt;79,"Baik",IF(AF182&gt;=pub_gid_0_single_true_output_csv[[#This Row],[KKM]],"Cukup","Kurang"))))</f>
        <v>Cukup</v>
      </c>
      <c r="AH182">
        <f t="shared" si="7"/>
        <v>11</v>
      </c>
      <c r="AI182" s="30" t="str">
        <f>IF(OR(J182&lt;&gt;"Karakter",pub_gid_0_single_true_output_csv[[#This Row],[Nilai2]]=""),"",IF(AF182&gt;89,"Sangat baik",IF(AF182&gt;79,"Baik",IF(AF182&gt;69,"Cukup",IF(AF182&gt;59,"Kurang","Sangat kurang")))))</f>
        <v/>
      </c>
      <c r="AJ182" t="str">
        <f t="shared" si="8"/>
        <v>Wk.8</v>
      </c>
      <c r="AK182" t="str">
        <f>IF(pub_gid_0_single_true_output_csv[[#This Row],[Nilai2]]="","",VLOOKUP(pub_gid_0_single_true_output_csv[[#This Row],[NAMA]],Table7[],3,FALSE))</f>
        <v>Average</v>
      </c>
    </row>
    <row r="183" spans="1:37" x14ac:dyDescent="0.2">
      <c r="A183">
        <v>182</v>
      </c>
      <c r="B183" t="s">
        <v>292</v>
      </c>
      <c r="C183" t="s">
        <v>54</v>
      </c>
      <c r="D183" t="s">
        <v>94</v>
      </c>
      <c r="E183" t="s">
        <v>147</v>
      </c>
      <c r="F183" s="25">
        <v>46069</v>
      </c>
      <c r="G183" t="s">
        <v>382</v>
      </c>
      <c r="H183" t="s">
        <v>412</v>
      </c>
      <c r="I183" t="s">
        <v>371</v>
      </c>
      <c r="J183" t="s">
        <v>90</v>
      </c>
      <c r="K183" t="s">
        <v>92</v>
      </c>
      <c r="L183" t="s">
        <v>93</v>
      </c>
      <c r="M183" t="s">
        <v>141</v>
      </c>
      <c r="N183" t="s">
        <v>142</v>
      </c>
      <c r="O183" t="s">
        <v>155</v>
      </c>
      <c r="P183" t="s">
        <v>281</v>
      </c>
      <c r="Q183" t="s">
        <v>155</v>
      </c>
      <c r="R183" t="s">
        <v>302</v>
      </c>
      <c r="S183" t="s">
        <v>345</v>
      </c>
      <c r="T183">
        <v>1</v>
      </c>
      <c r="U183" t="s">
        <v>409</v>
      </c>
      <c r="V183" t="s">
        <v>343</v>
      </c>
      <c r="W183" t="s">
        <v>413</v>
      </c>
      <c r="X183" t="s">
        <v>306</v>
      </c>
      <c r="Y183" t="s">
        <v>307</v>
      </c>
      <c r="Z183">
        <v>65</v>
      </c>
      <c r="AA183">
        <v>75</v>
      </c>
      <c r="AB183" t="s">
        <v>143</v>
      </c>
      <c r="AC183" t="s">
        <v>149</v>
      </c>
      <c r="AD183" t="s">
        <v>404</v>
      </c>
      <c r="AE183" t="str">
        <f>IF(AF183="","",VLOOKUP(AC183,mapel!$A$2:$B$42,2,FALSE))</f>
        <v>B.Indo</v>
      </c>
      <c r="AF183">
        <f t="shared" si="6"/>
        <v>75</v>
      </c>
      <c r="AG183" t="str">
        <f>IF(AF183="","",IF(AF183&gt;90,"Sangat baik",IF(AF183&gt;79,"Baik",IF(AF183&gt;=pub_gid_0_single_true_output_csv[[#This Row],[KKM]],"Cukup","Kurang"))))</f>
        <v>Cukup</v>
      </c>
      <c r="AH183">
        <f t="shared" si="7"/>
        <v>11</v>
      </c>
      <c r="AI183" s="30" t="str">
        <f>IF(OR(J183&lt;&gt;"Karakter",pub_gid_0_single_true_output_csv[[#This Row],[Nilai2]]=""),"",IF(AF183&gt;89,"Sangat baik",IF(AF183&gt;79,"Baik",IF(AF183&gt;69,"Cukup",IF(AF183&gt;59,"Kurang","Sangat kurang")))))</f>
        <v>Cukup</v>
      </c>
      <c r="AJ183" t="str">
        <f t="shared" si="8"/>
        <v>Wk.8</v>
      </c>
      <c r="AK183" t="str">
        <f>IF(pub_gid_0_single_true_output_csv[[#This Row],[Nilai2]]="","",VLOOKUP(pub_gid_0_single_true_output_csv[[#This Row],[NAMA]],Table7[],3,FALSE))</f>
        <v>Average</v>
      </c>
    </row>
    <row r="184" spans="1:37" x14ac:dyDescent="0.2">
      <c r="A184">
        <v>183</v>
      </c>
      <c r="B184" t="s">
        <v>292</v>
      </c>
      <c r="C184" t="s">
        <v>54</v>
      </c>
      <c r="D184" t="s">
        <v>94</v>
      </c>
      <c r="E184" t="s">
        <v>147</v>
      </c>
      <c r="F184" s="25">
        <v>46069</v>
      </c>
      <c r="G184" t="s">
        <v>382</v>
      </c>
      <c r="H184" t="s">
        <v>412</v>
      </c>
      <c r="I184" t="s">
        <v>371</v>
      </c>
      <c r="J184" t="s">
        <v>279</v>
      </c>
      <c r="K184" t="s">
        <v>280</v>
      </c>
      <c r="L184" t="s">
        <v>322</v>
      </c>
      <c r="M184" t="s">
        <v>141</v>
      </c>
      <c r="N184" t="s">
        <v>142</v>
      </c>
      <c r="O184" t="s">
        <v>155</v>
      </c>
      <c r="P184" t="s">
        <v>281</v>
      </c>
      <c r="Q184" t="s">
        <v>155</v>
      </c>
      <c r="R184" t="s">
        <v>302</v>
      </c>
      <c r="S184" t="s">
        <v>345</v>
      </c>
      <c r="T184">
        <v>1</v>
      </c>
      <c r="U184" t="s">
        <v>409</v>
      </c>
      <c r="V184" t="s">
        <v>343</v>
      </c>
      <c r="W184" t="s">
        <v>413</v>
      </c>
      <c r="X184" t="s">
        <v>306</v>
      </c>
      <c r="Y184" t="s">
        <v>307</v>
      </c>
      <c r="Z184">
        <v>65</v>
      </c>
      <c r="AA184">
        <v>70</v>
      </c>
      <c r="AB184" t="s">
        <v>143</v>
      </c>
      <c r="AC184" t="s">
        <v>149</v>
      </c>
      <c r="AD184" t="s">
        <v>404</v>
      </c>
      <c r="AE184" t="str">
        <f>IF(AF184="","",VLOOKUP(AC184,mapel!$A$2:$B$42,2,FALSE))</f>
        <v>B.Indo</v>
      </c>
      <c r="AF184">
        <f t="shared" si="6"/>
        <v>70</v>
      </c>
      <c r="AG184" t="str">
        <f>IF(AF184="","",IF(AF184&gt;90,"Sangat baik",IF(AF184&gt;79,"Baik",IF(AF184&gt;=pub_gid_0_single_true_output_csv[[#This Row],[KKM]],"Cukup","Kurang"))))</f>
        <v>Cukup</v>
      </c>
      <c r="AH184">
        <f t="shared" si="7"/>
        <v>11</v>
      </c>
      <c r="AI184" s="30" t="str">
        <f>IF(OR(J184&lt;&gt;"Karakter",pub_gid_0_single_true_output_csv[[#This Row],[Nilai2]]=""),"",IF(AF184&gt;89,"Sangat baik",IF(AF184&gt;79,"Baik",IF(AF184&gt;69,"Cukup",IF(AF184&gt;59,"Kurang","Sangat kurang")))))</f>
        <v/>
      </c>
      <c r="AJ184" t="str">
        <f t="shared" si="8"/>
        <v>Wk.8</v>
      </c>
      <c r="AK184" t="str">
        <f>IF(pub_gid_0_single_true_output_csv[[#This Row],[Nilai2]]="","",VLOOKUP(pub_gid_0_single_true_output_csv[[#This Row],[NAMA]],Table7[],3,FALSE))</f>
        <v>Average</v>
      </c>
    </row>
    <row r="185" spans="1:37" x14ac:dyDescent="0.2">
      <c r="A185">
        <v>184</v>
      </c>
      <c r="B185" t="s">
        <v>286</v>
      </c>
      <c r="C185" t="s">
        <v>54</v>
      </c>
      <c r="D185" t="s">
        <v>33</v>
      </c>
      <c r="E185" t="s">
        <v>140</v>
      </c>
      <c r="F185" s="25">
        <v>46034</v>
      </c>
      <c r="G185" t="s">
        <v>354</v>
      </c>
      <c r="H185" t="s">
        <v>405</v>
      </c>
      <c r="I185" t="s">
        <v>371</v>
      </c>
      <c r="J185" t="s">
        <v>36</v>
      </c>
      <c r="K185" t="s">
        <v>362</v>
      </c>
      <c r="L185" t="s">
        <v>408</v>
      </c>
      <c r="M185" t="s">
        <v>141</v>
      </c>
      <c r="N185" t="s">
        <v>142</v>
      </c>
      <c r="O185" t="s">
        <v>155</v>
      </c>
      <c r="P185" t="s">
        <v>281</v>
      </c>
      <c r="Q185" t="s">
        <v>155</v>
      </c>
      <c r="R185" t="s">
        <v>273</v>
      </c>
      <c r="S185" t="s">
        <v>309</v>
      </c>
      <c r="T185">
        <v>1</v>
      </c>
      <c r="U185" t="s">
        <v>409</v>
      </c>
      <c r="V185" t="s">
        <v>285</v>
      </c>
      <c r="W185" t="s">
        <v>410</v>
      </c>
      <c r="X185" t="s">
        <v>306</v>
      </c>
      <c r="Y185" t="s">
        <v>307</v>
      </c>
      <c r="Z185">
        <v>65</v>
      </c>
      <c r="AA185">
        <v>45</v>
      </c>
      <c r="AB185" t="s">
        <v>151</v>
      </c>
      <c r="AC185" t="s">
        <v>149</v>
      </c>
      <c r="AD185" t="s">
        <v>404</v>
      </c>
      <c r="AE185" t="str">
        <f>IF(AF185="","",VLOOKUP(AC185,mapel!$A$2:$B$42,2,FALSE))</f>
        <v>B.Indo</v>
      </c>
      <c r="AF185">
        <f t="shared" si="6"/>
        <v>45</v>
      </c>
      <c r="AG185" t="str">
        <f>IF(AF185="","",IF(AF185&gt;90,"Sangat baik",IF(AF185&gt;79,"Baik",IF(AF185&gt;=pub_gid_0_single_true_output_csv[[#This Row],[KKM]],"Cukup","Kurang"))))</f>
        <v>Kurang</v>
      </c>
      <c r="AH185">
        <f t="shared" si="7"/>
        <v>11</v>
      </c>
      <c r="AI185" s="30" t="str">
        <f>IF(OR(J185&lt;&gt;"Karakter",pub_gid_0_single_true_output_csv[[#This Row],[Nilai2]]=""),"",IF(AF185&gt;89,"Sangat baik",IF(AF185&gt;79,"Baik",IF(AF185&gt;69,"Cukup",IF(AF185&gt;59,"Kurang","Sangat kurang")))))</f>
        <v/>
      </c>
      <c r="AJ185" t="str">
        <f t="shared" si="8"/>
        <v>Wk.3</v>
      </c>
      <c r="AK185" t="str">
        <f>IF(pub_gid_0_single_true_output_csv[[#This Row],[Nilai2]]="","",VLOOKUP(pub_gid_0_single_true_output_csv[[#This Row],[NAMA]],Table7[],3,FALSE))</f>
        <v>Extremely low</v>
      </c>
    </row>
    <row r="186" spans="1:37" x14ac:dyDescent="0.2">
      <c r="A186">
        <v>185</v>
      </c>
      <c r="B186" t="s">
        <v>286</v>
      </c>
      <c r="C186" t="s">
        <v>54</v>
      </c>
      <c r="D186" t="s">
        <v>33</v>
      </c>
      <c r="E186" t="s">
        <v>140</v>
      </c>
      <c r="F186" s="25">
        <v>46035</v>
      </c>
      <c r="G186" t="s">
        <v>358</v>
      </c>
      <c r="H186" t="s">
        <v>405</v>
      </c>
      <c r="I186" t="s">
        <v>371</v>
      </c>
      <c r="J186" t="s">
        <v>36</v>
      </c>
      <c r="K186" t="s">
        <v>37</v>
      </c>
      <c r="L186" t="s">
        <v>150</v>
      </c>
      <c r="M186" t="s">
        <v>141</v>
      </c>
      <c r="N186" t="s">
        <v>142</v>
      </c>
      <c r="O186" t="s">
        <v>155</v>
      </c>
      <c r="P186" t="s">
        <v>281</v>
      </c>
      <c r="Q186" t="s">
        <v>155</v>
      </c>
      <c r="R186" t="s">
        <v>273</v>
      </c>
      <c r="S186" t="s">
        <v>309</v>
      </c>
      <c r="T186">
        <v>1</v>
      </c>
      <c r="U186" t="s">
        <v>409</v>
      </c>
      <c r="V186" t="s">
        <v>285</v>
      </c>
      <c r="W186" t="s">
        <v>410</v>
      </c>
      <c r="X186" t="s">
        <v>306</v>
      </c>
      <c r="Y186" t="s">
        <v>307</v>
      </c>
      <c r="Z186">
        <v>65</v>
      </c>
      <c r="AA186">
        <v>100</v>
      </c>
      <c r="AB186" t="s">
        <v>143</v>
      </c>
      <c r="AC186" t="s">
        <v>149</v>
      </c>
      <c r="AD186" t="s">
        <v>404</v>
      </c>
      <c r="AE186" t="str">
        <f>IF(AF186="","",VLOOKUP(AC186,mapel!$A$2:$B$42,2,FALSE))</f>
        <v>B.Indo</v>
      </c>
      <c r="AF186">
        <f t="shared" si="6"/>
        <v>100</v>
      </c>
      <c r="AG186" t="str">
        <f>IF(AF186="","",IF(AF186&gt;90,"Sangat baik",IF(AF186&gt;79,"Baik",IF(AF186&gt;=pub_gid_0_single_true_output_csv[[#This Row],[KKM]],"Cukup","Kurang"))))</f>
        <v>Sangat baik</v>
      </c>
      <c r="AH186">
        <f t="shared" si="7"/>
        <v>11</v>
      </c>
      <c r="AI186" s="30" t="str">
        <f>IF(OR(J186&lt;&gt;"Karakter",pub_gid_0_single_true_output_csv[[#This Row],[Nilai2]]=""),"",IF(AF186&gt;89,"Sangat baik",IF(AF186&gt;79,"Baik",IF(AF186&gt;69,"Cukup",IF(AF186&gt;59,"Kurang","Sangat kurang")))))</f>
        <v/>
      </c>
      <c r="AJ186" t="str">
        <f t="shared" si="8"/>
        <v>Wk.3</v>
      </c>
      <c r="AK186" t="str">
        <f>IF(pub_gid_0_single_true_output_csv[[#This Row],[Nilai2]]="","",VLOOKUP(pub_gid_0_single_true_output_csv[[#This Row],[NAMA]],Table7[],3,FALSE))</f>
        <v>Extremely low</v>
      </c>
    </row>
    <row r="187" spans="1:37" x14ac:dyDescent="0.2">
      <c r="A187">
        <v>186</v>
      </c>
      <c r="B187" t="s">
        <v>286</v>
      </c>
      <c r="C187" t="s">
        <v>54</v>
      </c>
      <c r="D187" t="s">
        <v>33</v>
      </c>
      <c r="E187" t="s">
        <v>140</v>
      </c>
      <c r="F187" s="25">
        <v>46035</v>
      </c>
      <c r="G187" t="s">
        <v>358</v>
      </c>
      <c r="H187" t="s">
        <v>405</v>
      </c>
      <c r="I187" t="s">
        <v>371</v>
      </c>
      <c r="J187" t="s">
        <v>31</v>
      </c>
      <c r="K187" t="s">
        <v>32</v>
      </c>
      <c r="L187" t="s">
        <v>150</v>
      </c>
      <c r="M187" t="s">
        <v>141</v>
      </c>
      <c r="N187" t="s">
        <v>142</v>
      </c>
      <c r="O187" t="s">
        <v>155</v>
      </c>
      <c r="P187" t="s">
        <v>281</v>
      </c>
      <c r="Q187" t="s">
        <v>155</v>
      </c>
      <c r="R187" t="s">
        <v>273</v>
      </c>
      <c r="S187" t="s">
        <v>309</v>
      </c>
      <c r="T187">
        <v>1</v>
      </c>
      <c r="U187" t="s">
        <v>409</v>
      </c>
      <c r="V187" t="s">
        <v>285</v>
      </c>
      <c r="W187" t="s">
        <v>410</v>
      </c>
      <c r="X187" t="s">
        <v>306</v>
      </c>
      <c r="Y187" t="s">
        <v>307</v>
      </c>
      <c r="Z187">
        <v>65</v>
      </c>
      <c r="AA187">
        <v>70</v>
      </c>
      <c r="AB187" t="s">
        <v>143</v>
      </c>
      <c r="AC187" t="s">
        <v>149</v>
      </c>
      <c r="AD187" t="s">
        <v>404</v>
      </c>
      <c r="AE187" t="str">
        <f>IF(AF187="","",VLOOKUP(AC187,mapel!$A$2:$B$42,2,FALSE))</f>
        <v>B.Indo</v>
      </c>
      <c r="AF187">
        <f t="shared" si="6"/>
        <v>70</v>
      </c>
      <c r="AG187" t="str">
        <f>IF(AF187="","",IF(AF187&gt;90,"Sangat baik",IF(AF187&gt;79,"Baik",IF(AF187&gt;=pub_gid_0_single_true_output_csv[[#This Row],[KKM]],"Cukup","Kurang"))))</f>
        <v>Cukup</v>
      </c>
      <c r="AH187">
        <f t="shared" si="7"/>
        <v>11</v>
      </c>
      <c r="AI187" s="30" t="str">
        <f>IF(OR(J187&lt;&gt;"Karakter",pub_gid_0_single_true_output_csv[[#This Row],[Nilai2]]=""),"",IF(AF187&gt;89,"Sangat baik",IF(AF187&gt;79,"Baik",IF(AF187&gt;69,"Cukup",IF(AF187&gt;59,"Kurang","Sangat kurang")))))</f>
        <v/>
      </c>
      <c r="AJ187" t="str">
        <f t="shared" si="8"/>
        <v>Wk.3</v>
      </c>
      <c r="AK187" t="str">
        <f>IF(pub_gid_0_single_true_output_csv[[#This Row],[Nilai2]]="","",VLOOKUP(pub_gid_0_single_true_output_csv[[#This Row],[NAMA]],Table7[],3,FALSE))</f>
        <v>Extremely low</v>
      </c>
    </row>
    <row r="188" spans="1:37" x14ac:dyDescent="0.2">
      <c r="A188">
        <v>187</v>
      </c>
      <c r="B188" t="s">
        <v>286</v>
      </c>
      <c r="C188" t="s">
        <v>54</v>
      </c>
      <c r="D188" t="s">
        <v>33</v>
      </c>
      <c r="E188" t="s">
        <v>140</v>
      </c>
      <c r="F188" s="25">
        <v>46035</v>
      </c>
      <c r="G188" t="s">
        <v>358</v>
      </c>
      <c r="H188" t="s">
        <v>405</v>
      </c>
      <c r="I188" t="s">
        <v>371</v>
      </c>
      <c r="J188" t="s">
        <v>90</v>
      </c>
      <c r="K188" t="s">
        <v>92</v>
      </c>
      <c r="L188" t="s">
        <v>93</v>
      </c>
      <c r="M188" t="s">
        <v>141</v>
      </c>
      <c r="N188" t="s">
        <v>142</v>
      </c>
      <c r="O188" t="s">
        <v>155</v>
      </c>
      <c r="P188" t="s">
        <v>281</v>
      </c>
      <c r="Q188" t="s">
        <v>155</v>
      </c>
      <c r="R188" t="s">
        <v>273</v>
      </c>
      <c r="S188" t="s">
        <v>309</v>
      </c>
      <c r="T188">
        <v>1</v>
      </c>
      <c r="U188" t="s">
        <v>409</v>
      </c>
      <c r="V188" t="s">
        <v>285</v>
      </c>
      <c r="W188" t="s">
        <v>410</v>
      </c>
      <c r="X188" t="s">
        <v>306</v>
      </c>
      <c r="Y188" t="s">
        <v>307</v>
      </c>
      <c r="Z188">
        <v>65</v>
      </c>
      <c r="AA188">
        <v>70</v>
      </c>
      <c r="AB188" t="s">
        <v>143</v>
      </c>
      <c r="AC188" t="s">
        <v>149</v>
      </c>
      <c r="AD188" t="s">
        <v>404</v>
      </c>
      <c r="AE188" t="str">
        <f>IF(AF188="","",VLOOKUP(AC188,mapel!$A$2:$B$42,2,FALSE))</f>
        <v>B.Indo</v>
      </c>
      <c r="AF188">
        <f t="shared" si="6"/>
        <v>70</v>
      </c>
      <c r="AG188" t="str">
        <f>IF(AF188="","",IF(AF188&gt;90,"Sangat baik",IF(AF188&gt;79,"Baik",IF(AF188&gt;=pub_gid_0_single_true_output_csv[[#This Row],[KKM]],"Cukup","Kurang"))))</f>
        <v>Cukup</v>
      </c>
      <c r="AH188">
        <f t="shared" si="7"/>
        <v>11</v>
      </c>
      <c r="AI188" s="30" t="str">
        <f>IF(OR(J188&lt;&gt;"Karakter",pub_gid_0_single_true_output_csv[[#This Row],[Nilai2]]=""),"",IF(AF188&gt;89,"Sangat baik",IF(AF188&gt;79,"Baik",IF(AF188&gt;69,"Cukup",IF(AF188&gt;59,"Kurang","Sangat kurang")))))</f>
        <v>Cukup</v>
      </c>
      <c r="AJ188" t="str">
        <f t="shared" si="8"/>
        <v>Wk.3</v>
      </c>
      <c r="AK188" t="str">
        <f>IF(pub_gid_0_single_true_output_csv[[#This Row],[Nilai2]]="","",VLOOKUP(pub_gid_0_single_true_output_csv[[#This Row],[NAMA]],Table7[],3,FALSE))</f>
        <v>Extremely low</v>
      </c>
    </row>
    <row r="189" spans="1:37" x14ac:dyDescent="0.2">
      <c r="A189">
        <v>188</v>
      </c>
      <c r="B189" t="s">
        <v>286</v>
      </c>
      <c r="C189" t="s">
        <v>54</v>
      </c>
      <c r="D189" t="s">
        <v>33</v>
      </c>
      <c r="E189" t="s">
        <v>140</v>
      </c>
      <c r="F189" s="25">
        <v>46035</v>
      </c>
      <c r="G189" t="s">
        <v>358</v>
      </c>
      <c r="H189" t="s">
        <v>405</v>
      </c>
      <c r="I189" t="s">
        <v>371</v>
      </c>
      <c r="J189" t="s">
        <v>279</v>
      </c>
      <c r="K189" t="s">
        <v>280</v>
      </c>
      <c r="L189" t="s">
        <v>150</v>
      </c>
      <c r="M189" t="s">
        <v>141</v>
      </c>
      <c r="N189" t="s">
        <v>142</v>
      </c>
      <c r="O189" t="s">
        <v>155</v>
      </c>
      <c r="P189" t="s">
        <v>281</v>
      </c>
      <c r="Q189" t="s">
        <v>155</v>
      </c>
      <c r="R189" t="s">
        <v>273</v>
      </c>
      <c r="S189" t="s">
        <v>309</v>
      </c>
      <c r="T189">
        <v>1</v>
      </c>
      <c r="U189" t="s">
        <v>409</v>
      </c>
      <c r="V189" t="s">
        <v>285</v>
      </c>
      <c r="W189" t="s">
        <v>410</v>
      </c>
      <c r="X189" t="s">
        <v>306</v>
      </c>
      <c r="Y189" t="s">
        <v>307</v>
      </c>
      <c r="Z189">
        <v>65</v>
      </c>
      <c r="AA189">
        <v>70</v>
      </c>
      <c r="AB189" t="s">
        <v>143</v>
      </c>
      <c r="AC189" t="s">
        <v>149</v>
      </c>
      <c r="AD189" t="s">
        <v>404</v>
      </c>
      <c r="AE189" t="str">
        <f>IF(AF189="","",VLOOKUP(AC189,mapel!$A$2:$B$42,2,FALSE))</f>
        <v>B.Indo</v>
      </c>
      <c r="AF189">
        <f t="shared" si="6"/>
        <v>70</v>
      </c>
      <c r="AG189" t="str">
        <f>IF(AF189="","",IF(AF189&gt;90,"Sangat baik",IF(AF189&gt;79,"Baik",IF(AF189&gt;=pub_gid_0_single_true_output_csv[[#This Row],[KKM]],"Cukup","Kurang"))))</f>
        <v>Cukup</v>
      </c>
      <c r="AH189">
        <f t="shared" si="7"/>
        <v>11</v>
      </c>
      <c r="AI189" s="30" t="str">
        <f>IF(OR(J189&lt;&gt;"Karakter",pub_gid_0_single_true_output_csv[[#This Row],[Nilai2]]=""),"",IF(AF189&gt;89,"Sangat baik",IF(AF189&gt;79,"Baik",IF(AF189&gt;69,"Cukup",IF(AF189&gt;59,"Kurang","Sangat kurang")))))</f>
        <v/>
      </c>
      <c r="AJ189" t="str">
        <f t="shared" si="8"/>
        <v>Wk.3</v>
      </c>
      <c r="AK189" t="str">
        <f>IF(pub_gid_0_single_true_output_csv[[#This Row],[Nilai2]]="","",VLOOKUP(pub_gid_0_single_true_output_csv[[#This Row],[NAMA]],Table7[],3,FALSE))</f>
        <v>Extremely low</v>
      </c>
    </row>
    <row r="190" spans="1:37" x14ac:dyDescent="0.2">
      <c r="A190">
        <v>189</v>
      </c>
      <c r="B190" t="s">
        <v>286</v>
      </c>
      <c r="C190" t="s">
        <v>54</v>
      </c>
      <c r="D190" t="s">
        <v>33</v>
      </c>
      <c r="E190" t="s">
        <v>140</v>
      </c>
      <c r="F190" s="25">
        <v>46041</v>
      </c>
      <c r="G190" t="s">
        <v>370</v>
      </c>
      <c r="H190" t="s">
        <v>405</v>
      </c>
      <c r="I190" t="s">
        <v>371</v>
      </c>
      <c r="J190" t="s">
        <v>36</v>
      </c>
      <c r="K190" t="s">
        <v>37</v>
      </c>
      <c r="L190" t="s">
        <v>321</v>
      </c>
      <c r="M190" t="s">
        <v>141</v>
      </c>
      <c r="N190" t="s">
        <v>142</v>
      </c>
      <c r="O190" t="s">
        <v>155</v>
      </c>
      <c r="P190" t="s">
        <v>281</v>
      </c>
      <c r="Q190" t="s">
        <v>155</v>
      </c>
      <c r="R190" t="s">
        <v>273</v>
      </c>
      <c r="S190" t="s">
        <v>309</v>
      </c>
      <c r="T190">
        <v>1</v>
      </c>
      <c r="U190" t="s">
        <v>409</v>
      </c>
      <c r="V190" t="s">
        <v>285</v>
      </c>
      <c r="W190" t="s">
        <v>410</v>
      </c>
      <c r="X190" t="s">
        <v>306</v>
      </c>
      <c r="Y190" t="s">
        <v>307</v>
      </c>
      <c r="Z190">
        <v>65</v>
      </c>
      <c r="AA190">
        <v>65</v>
      </c>
      <c r="AB190" t="s">
        <v>143</v>
      </c>
      <c r="AC190" t="s">
        <v>149</v>
      </c>
      <c r="AD190" t="s">
        <v>404</v>
      </c>
      <c r="AE190" t="str">
        <f>IF(AF190="","",VLOOKUP(AC190,mapel!$A$2:$B$42,2,FALSE))</f>
        <v>B.Indo</v>
      </c>
      <c r="AF190">
        <f t="shared" si="6"/>
        <v>65</v>
      </c>
      <c r="AG190" t="str">
        <f>IF(AF190="","",IF(AF190&gt;90,"Sangat baik",IF(AF190&gt;79,"Baik",IF(AF190&gt;=pub_gid_0_single_true_output_csv[[#This Row],[KKM]],"Cukup","Kurang"))))</f>
        <v>Cukup</v>
      </c>
      <c r="AH190">
        <f t="shared" si="7"/>
        <v>11</v>
      </c>
      <c r="AI190" s="30" t="str">
        <f>IF(OR(J190&lt;&gt;"Karakter",pub_gid_0_single_true_output_csv[[#This Row],[Nilai2]]=""),"",IF(AF190&gt;89,"Sangat baik",IF(AF190&gt;79,"Baik",IF(AF190&gt;69,"Cukup",IF(AF190&gt;59,"Kurang","Sangat kurang")))))</f>
        <v/>
      </c>
      <c r="AJ190" t="str">
        <f t="shared" si="8"/>
        <v>Wk.4</v>
      </c>
      <c r="AK190" t="str">
        <f>IF(pub_gid_0_single_true_output_csv[[#This Row],[Nilai2]]="","",VLOOKUP(pub_gid_0_single_true_output_csv[[#This Row],[NAMA]],Table7[],3,FALSE))</f>
        <v>Extremely low</v>
      </c>
    </row>
    <row r="191" spans="1:37" x14ac:dyDescent="0.2">
      <c r="A191">
        <v>190</v>
      </c>
      <c r="B191" t="s">
        <v>286</v>
      </c>
      <c r="C191" t="s">
        <v>54</v>
      </c>
      <c r="D191" t="s">
        <v>33</v>
      </c>
      <c r="E191" t="s">
        <v>140</v>
      </c>
      <c r="F191" s="25">
        <v>46041</v>
      </c>
      <c r="G191" t="s">
        <v>370</v>
      </c>
      <c r="H191" t="s">
        <v>405</v>
      </c>
      <c r="I191" t="s">
        <v>371</v>
      </c>
      <c r="J191" t="s">
        <v>31</v>
      </c>
      <c r="K191" t="s">
        <v>96</v>
      </c>
      <c r="L191" t="s">
        <v>321</v>
      </c>
      <c r="M191" t="s">
        <v>141</v>
      </c>
      <c r="N191" t="s">
        <v>142</v>
      </c>
      <c r="O191" t="s">
        <v>155</v>
      </c>
      <c r="P191" t="s">
        <v>281</v>
      </c>
      <c r="Q191" t="s">
        <v>155</v>
      </c>
      <c r="R191" t="s">
        <v>302</v>
      </c>
      <c r="S191" t="s">
        <v>309</v>
      </c>
      <c r="T191">
        <v>1</v>
      </c>
      <c r="U191" t="s">
        <v>409</v>
      </c>
      <c r="V191" t="s">
        <v>285</v>
      </c>
      <c r="W191" t="s">
        <v>410</v>
      </c>
      <c r="X191" t="s">
        <v>306</v>
      </c>
      <c r="Y191" t="s">
        <v>307</v>
      </c>
      <c r="Z191">
        <v>65</v>
      </c>
      <c r="AA191">
        <v>65</v>
      </c>
      <c r="AB191" t="s">
        <v>143</v>
      </c>
      <c r="AC191" t="s">
        <v>149</v>
      </c>
      <c r="AD191" t="s">
        <v>404</v>
      </c>
      <c r="AE191" t="str">
        <f>IF(AF191="","",VLOOKUP(AC191,mapel!$A$2:$B$42,2,FALSE))</f>
        <v>B.Indo</v>
      </c>
      <c r="AF191">
        <f t="shared" si="6"/>
        <v>65</v>
      </c>
      <c r="AG191" t="str">
        <f>IF(AF191="","",IF(AF191&gt;90,"Sangat baik",IF(AF191&gt;79,"Baik",IF(AF191&gt;=pub_gid_0_single_true_output_csv[[#This Row],[KKM]],"Cukup","Kurang"))))</f>
        <v>Cukup</v>
      </c>
      <c r="AH191">
        <f t="shared" si="7"/>
        <v>11</v>
      </c>
      <c r="AI191" s="30" t="str">
        <f>IF(OR(J191&lt;&gt;"Karakter",pub_gid_0_single_true_output_csv[[#This Row],[Nilai2]]=""),"",IF(AF191&gt;89,"Sangat baik",IF(AF191&gt;79,"Baik",IF(AF191&gt;69,"Cukup",IF(AF191&gt;59,"Kurang","Sangat kurang")))))</f>
        <v/>
      </c>
      <c r="AJ191" t="str">
        <f t="shared" si="8"/>
        <v>Wk.4</v>
      </c>
      <c r="AK191" t="str">
        <f>IF(pub_gid_0_single_true_output_csv[[#This Row],[Nilai2]]="","",VLOOKUP(pub_gid_0_single_true_output_csv[[#This Row],[NAMA]],Table7[],3,FALSE))</f>
        <v>Extremely low</v>
      </c>
    </row>
    <row r="192" spans="1:37" x14ac:dyDescent="0.2">
      <c r="A192">
        <v>191</v>
      </c>
      <c r="B192" t="s">
        <v>286</v>
      </c>
      <c r="C192" t="s">
        <v>54</v>
      </c>
      <c r="D192" t="s">
        <v>33</v>
      </c>
      <c r="E192" t="s">
        <v>140</v>
      </c>
      <c r="F192" s="25">
        <v>46041</v>
      </c>
      <c r="G192" t="s">
        <v>370</v>
      </c>
      <c r="H192" t="s">
        <v>405</v>
      </c>
      <c r="I192" t="s">
        <v>371</v>
      </c>
      <c r="J192" t="s">
        <v>90</v>
      </c>
      <c r="K192" t="s">
        <v>92</v>
      </c>
      <c r="L192" t="s">
        <v>91</v>
      </c>
      <c r="M192" t="s">
        <v>141</v>
      </c>
      <c r="N192" t="s">
        <v>142</v>
      </c>
      <c r="O192" t="s">
        <v>155</v>
      </c>
      <c r="P192" t="s">
        <v>281</v>
      </c>
      <c r="Q192" t="s">
        <v>155</v>
      </c>
      <c r="R192" t="s">
        <v>302</v>
      </c>
      <c r="S192" t="s">
        <v>309</v>
      </c>
      <c r="T192">
        <v>1</v>
      </c>
      <c r="U192" t="s">
        <v>409</v>
      </c>
      <c r="V192" t="s">
        <v>285</v>
      </c>
      <c r="W192" t="s">
        <v>410</v>
      </c>
      <c r="X192" t="s">
        <v>306</v>
      </c>
      <c r="Y192" t="s">
        <v>307</v>
      </c>
      <c r="Z192">
        <v>65</v>
      </c>
      <c r="AA192">
        <v>69</v>
      </c>
      <c r="AB192" t="s">
        <v>143</v>
      </c>
      <c r="AC192" t="s">
        <v>149</v>
      </c>
      <c r="AD192" t="s">
        <v>404</v>
      </c>
      <c r="AE192" t="str">
        <f>IF(AF192="","",VLOOKUP(AC192,mapel!$A$2:$B$42,2,FALSE))</f>
        <v>B.Indo</v>
      </c>
      <c r="AF192">
        <f t="shared" si="6"/>
        <v>69</v>
      </c>
      <c r="AG192" t="str">
        <f>IF(AF192="","",IF(AF192&gt;90,"Sangat baik",IF(AF192&gt;79,"Baik",IF(AF192&gt;=pub_gid_0_single_true_output_csv[[#This Row],[KKM]],"Cukup","Kurang"))))</f>
        <v>Cukup</v>
      </c>
      <c r="AH192">
        <f t="shared" si="7"/>
        <v>11</v>
      </c>
      <c r="AI192" s="30" t="str">
        <f>IF(OR(J192&lt;&gt;"Karakter",pub_gid_0_single_true_output_csv[[#This Row],[Nilai2]]=""),"",IF(AF192&gt;89,"Sangat baik",IF(AF192&gt;79,"Baik",IF(AF192&gt;69,"Cukup",IF(AF192&gt;59,"Kurang","Sangat kurang")))))</f>
        <v>Kurang</v>
      </c>
      <c r="AJ192" t="str">
        <f t="shared" si="8"/>
        <v>Wk.4</v>
      </c>
      <c r="AK192" t="str">
        <f>IF(pub_gid_0_single_true_output_csv[[#This Row],[Nilai2]]="","",VLOOKUP(pub_gid_0_single_true_output_csv[[#This Row],[NAMA]],Table7[],3,FALSE))</f>
        <v>Extremely low</v>
      </c>
    </row>
    <row r="193" spans="1:37" x14ac:dyDescent="0.2">
      <c r="A193">
        <v>192</v>
      </c>
      <c r="B193" t="s">
        <v>286</v>
      </c>
      <c r="C193" t="s">
        <v>54</v>
      </c>
      <c r="D193" t="s">
        <v>33</v>
      </c>
      <c r="E193" t="s">
        <v>140</v>
      </c>
      <c r="F193" s="25">
        <v>46041</v>
      </c>
      <c r="G193" t="s">
        <v>370</v>
      </c>
      <c r="H193" t="s">
        <v>405</v>
      </c>
      <c r="I193" t="s">
        <v>371</v>
      </c>
      <c r="J193" t="s">
        <v>279</v>
      </c>
      <c r="K193" t="s">
        <v>280</v>
      </c>
      <c r="L193" t="s">
        <v>322</v>
      </c>
      <c r="M193" t="s">
        <v>141</v>
      </c>
      <c r="N193" t="s">
        <v>142</v>
      </c>
      <c r="O193" t="s">
        <v>155</v>
      </c>
      <c r="P193" t="s">
        <v>281</v>
      </c>
      <c r="Q193" t="s">
        <v>155</v>
      </c>
      <c r="R193" t="s">
        <v>302</v>
      </c>
      <c r="S193" t="s">
        <v>309</v>
      </c>
      <c r="T193">
        <v>1</v>
      </c>
      <c r="U193" t="s">
        <v>409</v>
      </c>
      <c r="V193" t="s">
        <v>285</v>
      </c>
      <c r="W193" t="s">
        <v>410</v>
      </c>
      <c r="X193" t="s">
        <v>306</v>
      </c>
      <c r="Y193" t="s">
        <v>307</v>
      </c>
      <c r="Z193">
        <v>65</v>
      </c>
      <c r="AA193">
        <v>70</v>
      </c>
      <c r="AB193" t="s">
        <v>143</v>
      </c>
      <c r="AC193" t="s">
        <v>149</v>
      </c>
      <c r="AD193" t="s">
        <v>404</v>
      </c>
      <c r="AE193" t="str">
        <f>IF(AF193="","",VLOOKUP(AC193,mapel!$A$2:$B$42,2,FALSE))</f>
        <v>B.Indo</v>
      </c>
      <c r="AF193">
        <f t="shared" si="6"/>
        <v>70</v>
      </c>
      <c r="AG193" t="str">
        <f>IF(AF193="","",IF(AF193&gt;90,"Sangat baik",IF(AF193&gt;79,"Baik",IF(AF193&gt;=pub_gid_0_single_true_output_csv[[#This Row],[KKM]],"Cukup","Kurang"))))</f>
        <v>Cukup</v>
      </c>
      <c r="AH193">
        <f t="shared" si="7"/>
        <v>11</v>
      </c>
      <c r="AI193" s="30" t="str">
        <f>IF(OR(J193&lt;&gt;"Karakter",pub_gid_0_single_true_output_csv[[#This Row],[Nilai2]]=""),"",IF(AF193&gt;89,"Sangat baik",IF(AF193&gt;79,"Baik",IF(AF193&gt;69,"Cukup",IF(AF193&gt;59,"Kurang","Sangat kurang")))))</f>
        <v/>
      </c>
      <c r="AJ193" t="str">
        <f t="shared" si="8"/>
        <v>Wk.4</v>
      </c>
      <c r="AK193" t="str">
        <f>IF(pub_gid_0_single_true_output_csv[[#This Row],[Nilai2]]="","",VLOOKUP(pub_gid_0_single_true_output_csv[[#This Row],[NAMA]],Table7[],3,FALSE))</f>
        <v>Extremely low</v>
      </c>
    </row>
    <row r="194" spans="1:37" x14ac:dyDescent="0.2">
      <c r="A194">
        <v>193</v>
      </c>
      <c r="B194" t="s">
        <v>286</v>
      </c>
      <c r="C194" t="s">
        <v>54</v>
      </c>
      <c r="D194" t="s">
        <v>33</v>
      </c>
      <c r="E194" t="s">
        <v>140</v>
      </c>
      <c r="F194" s="25">
        <v>46048</v>
      </c>
      <c r="G194" t="s">
        <v>371</v>
      </c>
      <c r="H194" t="s">
        <v>405</v>
      </c>
      <c r="I194" t="s">
        <v>371</v>
      </c>
      <c r="J194" t="s">
        <v>36</v>
      </c>
      <c r="K194" t="s">
        <v>37</v>
      </c>
      <c r="L194" t="s">
        <v>351</v>
      </c>
      <c r="M194" t="s">
        <v>141</v>
      </c>
      <c r="N194" t="s">
        <v>142</v>
      </c>
      <c r="O194" t="s">
        <v>155</v>
      </c>
      <c r="P194" t="s">
        <v>281</v>
      </c>
      <c r="Q194" t="s">
        <v>155</v>
      </c>
      <c r="R194" t="s">
        <v>302</v>
      </c>
      <c r="S194" t="s">
        <v>369</v>
      </c>
      <c r="T194">
        <v>1</v>
      </c>
      <c r="U194" t="s">
        <v>409</v>
      </c>
      <c r="V194" t="s">
        <v>342</v>
      </c>
      <c r="W194" t="s">
        <v>411</v>
      </c>
      <c r="X194" t="s">
        <v>306</v>
      </c>
      <c r="Y194" t="s">
        <v>307</v>
      </c>
      <c r="Z194">
        <v>65</v>
      </c>
      <c r="AA194">
        <v>80</v>
      </c>
      <c r="AB194" t="s">
        <v>143</v>
      </c>
      <c r="AC194" t="s">
        <v>149</v>
      </c>
      <c r="AD194" t="s">
        <v>404</v>
      </c>
      <c r="AE194" t="str">
        <f>IF(AF194="","",VLOOKUP(AC194,mapel!$A$2:$B$42,2,FALSE))</f>
        <v>B.Indo</v>
      </c>
      <c r="AF194">
        <f t="shared" ref="AF194:AF257" si="9">IF(AA194=0, "",IF(AA194 = 0.1, 0,AA194))</f>
        <v>80</v>
      </c>
      <c r="AG194" t="str">
        <f>IF(AF194="","",IF(AF194&gt;90,"Sangat baik",IF(AF194&gt;79,"Baik",IF(AF194&gt;=pub_gid_0_single_true_output_csv[[#This Row],[KKM]],"Cukup","Kurang"))))</f>
        <v>Baik</v>
      </c>
      <c r="AH194">
        <f t="shared" ref="AH194:AH257" si="10">IF(AG194="","",VALUE(RIGHT(X194,2)))</f>
        <v>11</v>
      </c>
      <c r="AI194" s="30" t="str">
        <f>IF(OR(J194&lt;&gt;"Karakter",pub_gid_0_single_true_output_csv[[#This Row],[Nilai2]]=""),"",IF(AF194&gt;89,"Sangat baik",IF(AF194&gt;79,"Baik",IF(AF194&gt;69,"Cukup",IF(AF194&gt;59,"Kurang","Sangat kurang")))))</f>
        <v/>
      </c>
      <c r="AJ194" t="str">
        <f t="shared" ref="AJ194:AJ257" si="11">IF(AF194="","",CONCATENATE("Wk.",WEEKNUM(F194,2)))</f>
        <v>Wk.5</v>
      </c>
      <c r="AK194" t="str">
        <f>IF(pub_gid_0_single_true_output_csv[[#This Row],[Nilai2]]="","",VLOOKUP(pub_gid_0_single_true_output_csv[[#This Row],[NAMA]],Table7[],3,FALSE))</f>
        <v>Extremely low</v>
      </c>
    </row>
    <row r="195" spans="1:37" x14ac:dyDescent="0.2">
      <c r="A195">
        <v>194</v>
      </c>
      <c r="B195" t="s">
        <v>286</v>
      </c>
      <c r="C195" t="s">
        <v>54</v>
      </c>
      <c r="D195" t="s">
        <v>33</v>
      </c>
      <c r="E195" t="s">
        <v>140</v>
      </c>
      <c r="F195" s="25">
        <v>46048</v>
      </c>
      <c r="G195" t="s">
        <v>371</v>
      </c>
      <c r="H195" t="s">
        <v>405</v>
      </c>
      <c r="I195" t="s">
        <v>371</v>
      </c>
      <c r="J195" t="s">
        <v>31</v>
      </c>
      <c r="K195" t="s">
        <v>96</v>
      </c>
      <c r="L195" t="s">
        <v>351</v>
      </c>
      <c r="M195" t="s">
        <v>141</v>
      </c>
      <c r="N195" t="s">
        <v>142</v>
      </c>
      <c r="O195" t="s">
        <v>155</v>
      </c>
      <c r="P195" t="s">
        <v>281</v>
      </c>
      <c r="Q195" t="s">
        <v>155</v>
      </c>
      <c r="R195" t="s">
        <v>302</v>
      </c>
      <c r="S195" t="s">
        <v>369</v>
      </c>
      <c r="T195">
        <v>1</v>
      </c>
      <c r="U195" t="s">
        <v>409</v>
      </c>
      <c r="V195" t="s">
        <v>342</v>
      </c>
      <c r="W195" t="s">
        <v>411</v>
      </c>
      <c r="X195" t="s">
        <v>306</v>
      </c>
      <c r="Y195" t="s">
        <v>307</v>
      </c>
      <c r="Z195">
        <v>65</v>
      </c>
      <c r="AA195">
        <v>70</v>
      </c>
      <c r="AB195" t="s">
        <v>143</v>
      </c>
      <c r="AC195" t="s">
        <v>149</v>
      </c>
      <c r="AD195" t="s">
        <v>404</v>
      </c>
      <c r="AE195" t="str">
        <f>IF(AF195="","",VLOOKUP(AC195,mapel!$A$2:$B$42,2,FALSE))</f>
        <v>B.Indo</v>
      </c>
      <c r="AF195">
        <f t="shared" si="9"/>
        <v>70</v>
      </c>
      <c r="AG195" t="str">
        <f>IF(AF195="","",IF(AF195&gt;90,"Sangat baik",IF(AF195&gt;79,"Baik",IF(AF195&gt;=pub_gid_0_single_true_output_csv[[#This Row],[KKM]],"Cukup","Kurang"))))</f>
        <v>Cukup</v>
      </c>
      <c r="AH195">
        <f t="shared" si="10"/>
        <v>11</v>
      </c>
      <c r="AI195" s="30" t="str">
        <f>IF(OR(J195&lt;&gt;"Karakter",pub_gid_0_single_true_output_csv[[#This Row],[Nilai2]]=""),"",IF(AF195&gt;89,"Sangat baik",IF(AF195&gt;79,"Baik",IF(AF195&gt;69,"Cukup",IF(AF195&gt;59,"Kurang","Sangat kurang")))))</f>
        <v/>
      </c>
      <c r="AJ195" t="str">
        <f t="shared" si="11"/>
        <v>Wk.5</v>
      </c>
      <c r="AK195" t="str">
        <f>IF(pub_gid_0_single_true_output_csv[[#This Row],[Nilai2]]="","",VLOOKUP(pub_gid_0_single_true_output_csv[[#This Row],[NAMA]],Table7[],3,FALSE))</f>
        <v>Extremely low</v>
      </c>
    </row>
    <row r="196" spans="1:37" x14ac:dyDescent="0.2">
      <c r="A196">
        <v>195</v>
      </c>
      <c r="B196" t="s">
        <v>286</v>
      </c>
      <c r="C196" t="s">
        <v>54</v>
      </c>
      <c r="D196" t="s">
        <v>33</v>
      </c>
      <c r="E196" t="s">
        <v>140</v>
      </c>
      <c r="F196" s="25">
        <v>46048</v>
      </c>
      <c r="G196" t="s">
        <v>371</v>
      </c>
      <c r="H196" t="s">
        <v>405</v>
      </c>
      <c r="I196" t="s">
        <v>371</v>
      </c>
      <c r="J196" t="s">
        <v>90</v>
      </c>
      <c r="K196" t="s">
        <v>92</v>
      </c>
      <c r="L196" t="s">
        <v>91</v>
      </c>
      <c r="M196" t="s">
        <v>141</v>
      </c>
      <c r="N196" t="s">
        <v>142</v>
      </c>
      <c r="O196" t="s">
        <v>155</v>
      </c>
      <c r="P196" t="s">
        <v>281</v>
      </c>
      <c r="Q196" t="s">
        <v>155</v>
      </c>
      <c r="R196" t="s">
        <v>302</v>
      </c>
      <c r="S196" t="s">
        <v>369</v>
      </c>
      <c r="T196">
        <v>1</v>
      </c>
      <c r="U196" t="s">
        <v>409</v>
      </c>
      <c r="V196" t="s">
        <v>342</v>
      </c>
      <c r="W196" t="s">
        <v>411</v>
      </c>
      <c r="X196" t="s">
        <v>306</v>
      </c>
      <c r="Y196" t="s">
        <v>307</v>
      </c>
      <c r="Z196">
        <v>65</v>
      </c>
      <c r="AA196">
        <v>70</v>
      </c>
      <c r="AB196" t="s">
        <v>143</v>
      </c>
      <c r="AC196" t="s">
        <v>149</v>
      </c>
      <c r="AD196" t="s">
        <v>404</v>
      </c>
      <c r="AE196" t="str">
        <f>IF(AF196="","",VLOOKUP(AC196,mapel!$A$2:$B$42,2,FALSE))</f>
        <v>B.Indo</v>
      </c>
      <c r="AF196">
        <f t="shared" si="9"/>
        <v>70</v>
      </c>
      <c r="AG196" t="str">
        <f>IF(AF196="","",IF(AF196&gt;90,"Sangat baik",IF(AF196&gt;79,"Baik",IF(AF196&gt;=pub_gid_0_single_true_output_csv[[#This Row],[KKM]],"Cukup","Kurang"))))</f>
        <v>Cukup</v>
      </c>
      <c r="AH196">
        <f t="shared" si="10"/>
        <v>11</v>
      </c>
      <c r="AI196" s="30" t="str">
        <f>IF(OR(J196&lt;&gt;"Karakter",pub_gid_0_single_true_output_csv[[#This Row],[Nilai2]]=""),"",IF(AF196&gt;89,"Sangat baik",IF(AF196&gt;79,"Baik",IF(AF196&gt;69,"Cukup",IF(AF196&gt;59,"Kurang","Sangat kurang")))))</f>
        <v>Cukup</v>
      </c>
      <c r="AJ196" t="str">
        <f t="shared" si="11"/>
        <v>Wk.5</v>
      </c>
      <c r="AK196" t="str">
        <f>IF(pub_gid_0_single_true_output_csv[[#This Row],[Nilai2]]="","",VLOOKUP(pub_gid_0_single_true_output_csv[[#This Row],[NAMA]],Table7[],3,FALSE))</f>
        <v>Extremely low</v>
      </c>
    </row>
    <row r="197" spans="1:37" x14ac:dyDescent="0.2">
      <c r="A197">
        <v>196</v>
      </c>
      <c r="B197" t="s">
        <v>286</v>
      </c>
      <c r="C197" t="s">
        <v>54</v>
      </c>
      <c r="D197" t="s">
        <v>33</v>
      </c>
      <c r="E197" t="s">
        <v>140</v>
      </c>
      <c r="F197" s="25">
        <v>46048</v>
      </c>
      <c r="G197" t="s">
        <v>371</v>
      </c>
      <c r="H197" t="s">
        <v>405</v>
      </c>
      <c r="I197" t="s">
        <v>371</v>
      </c>
      <c r="J197" t="s">
        <v>279</v>
      </c>
      <c r="K197" t="s">
        <v>280</v>
      </c>
      <c r="L197" t="s">
        <v>322</v>
      </c>
      <c r="M197" t="s">
        <v>141</v>
      </c>
      <c r="N197" t="s">
        <v>142</v>
      </c>
      <c r="O197" t="s">
        <v>155</v>
      </c>
      <c r="P197" t="s">
        <v>281</v>
      </c>
      <c r="Q197" t="s">
        <v>155</v>
      </c>
      <c r="R197" t="s">
        <v>302</v>
      </c>
      <c r="S197" t="s">
        <v>369</v>
      </c>
      <c r="T197">
        <v>1</v>
      </c>
      <c r="U197" t="s">
        <v>409</v>
      </c>
      <c r="V197" t="s">
        <v>342</v>
      </c>
      <c r="W197" t="s">
        <v>411</v>
      </c>
      <c r="X197" t="s">
        <v>306</v>
      </c>
      <c r="Y197" t="s">
        <v>307</v>
      </c>
      <c r="Z197">
        <v>65</v>
      </c>
      <c r="AA197">
        <v>70</v>
      </c>
      <c r="AB197" t="s">
        <v>143</v>
      </c>
      <c r="AC197" t="s">
        <v>149</v>
      </c>
      <c r="AD197" t="s">
        <v>404</v>
      </c>
      <c r="AE197" t="str">
        <f>IF(AF197="","",VLOOKUP(AC197,mapel!$A$2:$B$42,2,FALSE))</f>
        <v>B.Indo</v>
      </c>
      <c r="AF197">
        <f t="shared" si="9"/>
        <v>70</v>
      </c>
      <c r="AG197" t="str">
        <f>IF(AF197="","",IF(AF197&gt;90,"Sangat baik",IF(AF197&gt;79,"Baik",IF(AF197&gt;=pub_gid_0_single_true_output_csv[[#This Row],[KKM]],"Cukup","Kurang"))))</f>
        <v>Cukup</v>
      </c>
      <c r="AH197">
        <f t="shared" si="10"/>
        <v>11</v>
      </c>
      <c r="AI197" s="30" t="str">
        <f>IF(OR(J197&lt;&gt;"Karakter",pub_gid_0_single_true_output_csv[[#This Row],[Nilai2]]=""),"",IF(AF197&gt;89,"Sangat baik",IF(AF197&gt;79,"Baik",IF(AF197&gt;69,"Cukup",IF(AF197&gt;59,"Kurang","Sangat kurang")))))</f>
        <v/>
      </c>
      <c r="AJ197" t="str">
        <f t="shared" si="11"/>
        <v>Wk.5</v>
      </c>
      <c r="AK197" t="str">
        <f>IF(pub_gid_0_single_true_output_csv[[#This Row],[Nilai2]]="","",VLOOKUP(pub_gid_0_single_true_output_csv[[#This Row],[NAMA]],Table7[],3,FALSE))</f>
        <v>Extremely low</v>
      </c>
    </row>
    <row r="198" spans="1:37" x14ac:dyDescent="0.2">
      <c r="A198">
        <v>197</v>
      </c>
      <c r="B198" t="s">
        <v>286</v>
      </c>
      <c r="C198" t="s">
        <v>54</v>
      </c>
      <c r="D198" t="s">
        <v>33</v>
      </c>
      <c r="E198" t="s">
        <v>140</v>
      </c>
      <c r="F198" s="25">
        <v>46049</v>
      </c>
      <c r="G198" t="s">
        <v>373</v>
      </c>
      <c r="H198" t="s">
        <v>405</v>
      </c>
      <c r="I198" t="s">
        <v>371</v>
      </c>
      <c r="J198" t="s">
        <v>36</v>
      </c>
      <c r="K198" t="s">
        <v>37</v>
      </c>
      <c r="L198" t="s">
        <v>321</v>
      </c>
      <c r="M198" t="s">
        <v>141</v>
      </c>
      <c r="N198" t="s">
        <v>142</v>
      </c>
      <c r="O198" t="s">
        <v>155</v>
      </c>
      <c r="P198" t="s">
        <v>281</v>
      </c>
      <c r="Q198" t="s">
        <v>155</v>
      </c>
      <c r="R198" t="s">
        <v>302</v>
      </c>
      <c r="S198" t="s">
        <v>369</v>
      </c>
      <c r="T198">
        <v>1</v>
      </c>
      <c r="U198" t="s">
        <v>409</v>
      </c>
      <c r="V198" t="s">
        <v>342</v>
      </c>
      <c r="W198" t="s">
        <v>411</v>
      </c>
      <c r="X198" t="s">
        <v>306</v>
      </c>
      <c r="Y198" t="s">
        <v>307</v>
      </c>
      <c r="Z198">
        <v>65</v>
      </c>
      <c r="AA198">
        <v>70</v>
      </c>
      <c r="AB198" t="s">
        <v>143</v>
      </c>
      <c r="AC198" t="s">
        <v>149</v>
      </c>
      <c r="AD198" t="s">
        <v>404</v>
      </c>
      <c r="AE198" t="str">
        <f>IF(AF198="","",VLOOKUP(AC198,mapel!$A$2:$B$42,2,FALSE))</f>
        <v>B.Indo</v>
      </c>
      <c r="AF198">
        <f t="shared" si="9"/>
        <v>70</v>
      </c>
      <c r="AG198" t="str">
        <f>IF(AF198="","",IF(AF198&gt;90,"Sangat baik",IF(AF198&gt;79,"Baik",IF(AF198&gt;=pub_gid_0_single_true_output_csv[[#This Row],[KKM]],"Cukup","Kurang"))))</f>
        <v>Cukup</v>
      </c>
      <c r="AH198">
        <f t="shared" si="10"/>
        <v>11</v>
      </c>
      <c r="AI198" s="30" t="str">
        <f>IF(OR(J198&lt;&gt;"Karakter",pub_gid_0_single_true_output_csv[[#This Row],[Nilai2]]=""),"",IF(AF198&gt;89,"Sangat baik",IF(AF198&gt;79,"Baik",IF(AF198&gt;69,"Cukup",IF(AF198&gt;59,"Kurang","Sangat kurang")))))</f>
        <v/>
      </c>
      <c r="AJ198" t="str">
        <f t="shared" si="11"/>
        <v>Wk.5</v>
      </c>
      <c r="AK198" t="str">
        <f>IF(pub_gid_0_single_true_output_csv[[#This Row],[Nilai2]]="","",VLOOKUP(pub_gid_0_single_true_output_csv[[#This Row],[NAMA]],Table7[],3,FALSE))</f>
        <v>Extremely low</v>
      </c>
    </row>
    <row r="199" spans="1:37" x14ac:dyDescent="0.2">
      <c r="A199">
        <v>198</v>
      </c>
      <c r="B199" t="s">
        <v>286</v>
      </c>
      <c r="C199" t="s">
        <v>54</v>
      </c>
      <c r="D199" t="s">
        <v>33</v>
      </c>
      <c r="E199" t="s">
        <v>140</v>
      </c>
      <c r="F199" s="25">
        <v>46049</v>
      </c>
      <c r="G199" t="s">
        <v>373</v>
      </c>
      <c r="H199" t="s">
        <v>405</v>
      </c>
      <c r="I199" t="s">
        <v>371</v>
      </c>
      <c r="J199" t="s">
        <v>31</v>
      </c>
      <c r="K199" t="s">
        <v>96</v>
      </c>
      <c r="L199" t="s">
        <v>321</v>
      </c>
      <c r="M199" t="s">
        <v>141</v>
      </c>
      <c r="N199" t="s">
        <v>142</v>
      </c>
      <c r="O199" t="s">
        <v>155</v>
      </c>
      <c r="P199" t="s">
        <v>281</v>
      </c>
      <c r="Q199" t="s">
        <v>155</v>
      </c>
      <c r="R199" t="s">
        <v>302</v>
      </c>
      <c r="S199" t="s">
        <v>369</v>
      </c>
      <c r="T199">
        <v>1</v>
      </c>
      <c r="U199" t="s">
        <v>409</v>
      </c>
      <c r="V199" t="s">
        <v>342</v>
      </c>
      <c r="W199" t="s">
        <v>411</v>
      </c>
      <c r="X199" t="s">
        <v>306</v>
      </c>
      <c r="Y199" t="s">
        <v>307</v>
      </c>
      <c r="Z199">
        <v>65</v>
      </c>
      <c r="AA199">
        <v>75</v>
      </c>
      <c r="AB199" t="s">
        <v>143</v>
      </c>
      <c r="AC199" t="s">
        <v>149</v>
      </c>
      <c r="AD199" t="s">
        <v>404</v>
      </c>
      <c r="AE199" t="str">
        <f>IF(AF199="","",VLOOKUP(AC199,mapel!$A$2:$B$42,2,FALSE))</f>
        <v>B.Indo</v>
      </c>
      <c r="AF199">
        <f t="shared" si="9"/>
        <v>75</v>
      </c>
      <c r="AG199" t="str">
        <f>IF(AF199="","",IF(AF199&gt;90,"Sangat baik",IF(AF199&gt;79,"Baik",IF(AF199&gt;=pub_gid_0_single_true_output_csv[[#This Row],[KKM]],"Cukup","Kurang"))))</f>
        <v>Cukup</v>
      </c>
      <c r="AH199">
        <f t="shared" si="10"/>
        <v>11</v>
      </c>
      <c r="AI199" s="30" t="str">
        <f>IF(OR(J199&lt;&gt;"Karakter",pub_gid_0_single_true_output_csv[[#This Row],[Nilai2]]=""),"",IF(AF199&gt;89,"Sangat baik",IF(AF199&gt;79,"Baik",IF(AF199&gt;69,"Cukup",IF(AF199&gt;59,"Kurang","Sangat kurang")))))</f>
        <v/>
      </c>
      <c r="AJ199" t="str">
        <f t="shared" si="11"/>
        <v>Wk.5</v>
      </c>
      <c r="AK199" t="str">
        <f>IF(pub_gid_0_single_true_output_csv[[#This Row],[Nilai2]]="","",VLOOKUP(pub_gid_0_single_true_output_csv[[#This Row],[NAMA]],Table7[],3,FALSE))</f>
        <v>Extremely low</v>
      </c>
    </row>
    <row r="200" spans="1:37" x14ac:dyDescent="0.2">
      <c r="A200">
        <v>199</v>
      </c>
      <c r="B200" t="s">
        <v>286</v>
      </c>
      <c r="C200" t="s">
        <v>54</v>
      </c>
      <c r="D200" t="s">
        <v>33</v>
      </c>
      <c r="E200" t="s">
        <v>140</v>
      </c>
      <c r="F200" s="25">
        <v>46049</v>
      </c>
      <c r="G200" t="s">
        <v>373</v>
      </c>
      <c r="H200" t="s">
        <v>405</v>
      </c>
      <c r="I200" t="s">
        <v>371</v>
      </c>
      <c r="J200" t="s">
        <v>90</v>
      </c>
      <c r="K200" t="s">
        <v>92</v>
      </c>
      <c r="L200" t="s">
        <v>93</v>
      </c>
      <c r="M200" t="s">
        <v>141</v>
      </c>
      <c r="N200" t="s">
        <v>142</v>
      </c>
      <c r="O200" t="s">
        <v>155</v>
      </c>
      <c r="P200" t="s">
        <v>281</v>
      </c>
      <c r="Q200" t="s">
        <v>155</v>
      </c>
      <c r="R200" t="s">
        <v>302</v>
      </c>
      <c r="S200" t="s">
        <v>369</v>
      </c>
      <c r="T200">
        <v>1</v>
      </c>
      <c r="U200" t="s">
        <v>409</v>
      </c>
      <c r="V200" t="s">
        <v>342</v>
      </c>
      <c r="W200" t="s">
        <v>411</v>
      </c>
      <c r="X200" t="s">
        <v>306</v>
      </c>
      <c r="Y200" t="s">
        <v>307</v>
      </c>
      <c r="Z200">
        <v>65</v>
      </c>
      <c r="AA200">
        <v>70</v>
      </c>
      <c r="AB200" t="s">
        <v>143</v>
      </c>
      <c r="AC200" t="s">
        <v>149</v>
      </c>
      <c r="AD200" t="s">
        <v>404</v>
      </c>
      <c r="AE200" t="str">
        <f>IF(AF200="","",VLOOKUP(AC200,mapel!$A$2:$B$42,2,FALSE))</f>
        <v>B.Indo</v>
      </c>
      <c r="AF200">
        <f t="shared" si="9"/>
        <v>70</v>
      </c>
      <c r="AG200" t="str">
        <f>IF(AF200="","",IF(AF200&gt;90,"Sangat baik",IF(AF200&gt;79,"Baik",IF(AF200&gt;=pub_gid_0_single_true_output_csv[[#This Row],[KKM]],"Cukup","Kurang"))))</f>
        <v>Cukup</v>
      </c>
      <c r="AH200">
        <f t="shared" si="10"/>
        <v>11</v>
      </c>
      <c r="AI200" s="30" t="str">
        <f>IF(OR(J200&lt;&gt;"Karakter",pub_gid_0_single_true_output_csv[[#This Row],[Nilai2]]=""),"",IF(AF200&gt;89,"Sangat baik",IF(AF200&gt;79,"Baik",IF(AF200&gt;69,"Cukup",IF(AF200&gt;59,"Kurang","Sangat kurang")))))</f>
        <v>Cukup</v>
      </c>
      <c r="AJ200" t="str">
        <f t="shared" si="11"/>
        <v>Wk.5</v>
      </c>
      <c r="AK200" t="str">
        <f>IF(pub_gid_0_single_true_output_csv[[#This Row],[Nilai2]]="","",VLOOKUP(pub_gid_0_single_true_output_csv[[#This Row],[NAMA]],Table7[],3,FALSE))</f>
        <v>Extremely low</v>
      </c>
    </row>
    <row r="201" spans="1:37" x14ac:dyDescent="0.2">
      <c r="A201">
        <v>200</v>
      </c>
      <c r="B201" t="s">
        <v>286</v>
      </c>
      <c r="C201" t="s">
        <v>54</v>
      </c>
      <c r="D201" t="s">
        <v>33</v>
      </c>
      <c r="E201" t="s">
        <v>140</v>
      </c>
      <c r="F201" s="25">
        <v>46049</v>
      </c>
      <c r="G201" t="s">
        <v>373</v>
      </c>
      <c r="H201" t="s">
        <v>405</v>
      </c>
      <c r="I201" t="s">
        <v>371</v>
      </c>
      <c r="J201" t="s">
        <v>279</v>
      </c>
      <c r="K201" t="s">
        <v>280</v>
      </c>
      <c r="L201" t="s">
        <v>322</v>
      </c>
      <c r="M201" t="s">
        <v>141</v>
      </c>
      <c r="N201" t="s">
        <v>142</v>
      </c>
      <c r="O201" t="s">
        <v>155</v>
      </c>
      <c r="P201" t="s">
        <v>281</v>
      </c>
      <c r="Q201" t="s">
        <v>155</v>
      </c>
      <c r="R201" t="s">
        <v>302</v>
      </c>
      <c r="S201" t="s">
        <v>369</v>
      </c>
      <c r="T201">
        <v>1</v>
      </c>
      <c r="U201" t="s">
        <v>409</v>
      </c>
      <c r="V201" t="s">
        <v>342</v>
      </c>
      <c r="W201" t="s">
        <v>411</v>
      </c>
      <c r="X201" t="s">
        <v>306</v>
      </c>
      <c r="Y201" t="s">
        <v>307</v>
      </c>
      <c r="Z201">
        <v>65</v>
      </c>
      <c r="AA201">
        <v>75</v>
      </c>
      <c r="AB201" t="s">
        <v>143</v>
      </c>
      <c r="AC201" t="s">
        <v>149</v>
      </c>
      <c r="AD201" t="s">
        <v>404</v>
      </c>
      <c r="AE201" t="str">
        <f>IF(AF201="","",VLOOKUP(AC201,mapel!$A$2:$B$42,2,FALSE))</f>
        <v>B.Indo</v>
      </c>
      <c r="AF201">
        <f t="shared" si="9"/>
        <v>75</v>
      </c>
      <c r="AG201" t="str">
        <f>IF(AF201="","",IF(AF201&gt;90,"Sangat baik",IF(AF201&gt;79,"Baik",IF(AF201&gt;=pub_gid_0_single_true_output_csv[[#This Row],[KKM]],"Cukup","Kurang"))))</f>
        <v>Cukup</v>
      </c>
      <c r="AH201">
        <f t="shared" si="10"/>
        <v>11</v>
      </c>
      <c r="AI201" s="30" t="str">
        <f>IF(OR(J201&lt;&gt;"Karakter",pub_gid_0_single_true_output_csv[[#This Row],[Nilai2]]=""),"",IF(AF201&gt;89,"Sangat baik",IF(AF201&gt;79,"Baik",IF(AF201&gt;69,"Cukup",IF(AF201&gt;59,"Kurang","Sangat kurang")))))</f>
        <v/>
      </c>
      <c r="AJ201" t="str">
        <f t="shared" si="11"/>
        <v>Wk.5</v>
      </c>
      <c r="AK201" t="str">
        <f>IF(pub_gid_0_single_true_output_csv[[#This Row],[Nilai2]]="","",VLOOKUP(pub_gid_0_single_true_output_csv[[#This Row],[NAMA]],Table7[],3,FALSE))</f>
        <v>Extremely low</v>
      </c>
    </row>
    <row r="202" spans="1:37" x14ac:dyDescent="0.2">
      <c r="A202">
        <v>201</v>
      </c>
      <c r="B202" t="s">
        <v>286</v>
      </c>
      <c r="C202" t="s">
        <v>54</v>
      </c>
      <c r="D202" t="s">
        <v>33</v>
      </c>
      <c r="E202" t="s">
        <v>140</v>
      </c>
      <c r="F202" s="25">
        <v>46055</v>
      </c>
      <c r="G202" t="s">
        <v>379</v>
      </c>
      <c r="H202" t="s">
        <v>412</v>
      </c>
      <c r="I202" t="s">
        <v>371</v>
      </c>
      <c r="J202" t="s">
        <v>36</v>
      </c>
      <c r="K202" t="s">
        <v>37</v>
      </c>
      <c r="L202" t="s">
        <v>150</v>
      </c>
      <c r="M202" t="s">
        <v>141</v>
      </c>
      <c r="N202" t="s">
        <v>142</v>
      </c>
      <c r="O202" t="s">
        <v>155</v>
      </c>
      <c r="P202" t="s">
        <v>281</v>
      </c>
      <c r="Q202" t="s">
        <v>155</v>
      </c>
      <c r="R202" t="s">
        <v>302</v>
      </c>
      <c r="S202" t="s">
        <v>345</v>
      </c>
      <c r="T202">
        <v>1</v>
      </c>
      <c r="U202" t="s">
        <v>409</v>
      </c>
      <c r="V202" t="s">
        <v>343</v>
      </c>
      <c r="W202" t="s">
        <v>413</v>
      </c>
      <c r="X202" t="s">
        <v>306</v>
      </c>
      <c r="Y202" t="s">
        <v>307</v>
      </c>
      <c r="Z202">
        <v>65</v>
      </c>
      <c r="AA202">
        <v>90</v>
      </c>
      <c r="AB202" t="s">
        <v>143</v>
      </c>
      <c r="AC202" t="s">
        <v>149</v>
      </c>
      <c r="AD202" t="s">
        <v>404</v>
      </c>
      <c r="AE202" t="str">
        <f>IF(AF202="","",VLOOKUP(AC202,mapel!$A$2:$B$42,2,FALSE))</f>
        <v>B.Indo</v>
      </c>
      <c r="AF202">
        <f t="shared" si="9"/>
        <v>90</v>
      </c>
      <c r="AG202" t="str">
        <f>IF(AF202="","",IF(AF202&gt;90,"Sangat baik",IF(AF202&gt;79,"Baik",IF(AF202&gt;=pub_gid_0_single_true_output_csv[[#This Row],[KKM]],"Cukup","Kurang"))))</f>
        <v>Baik</v>
      </c>
      <c r="AH202">
        <f t="shared" si="10"/>
        <v>11</v>
      </c>
      <c r="AI202" s="30" t="str">
        <f>IF(OR(J202&lt;&gt;"Karakter",pub_gid_0_single_true_output_csv[[#This Row],[Nilai2]]=""),"",IF(AF202&gt;89,"Sangat baik",IF(AF202&gt;79,"Baik",IF(AF202&gt;69,"Cukup",IF(AF202&gt;59,"Kurang","Sangat kurang")))))</f>
        <v/>
      </c>
      <c r="AJ202" t="str">
        <f t="shared" si="11"/>
        <v>Wk.6</v>
      </c>
      <c r="AK202" t="str">
        <f>IF(pub_gid_0_single_true_output_csv[[#This Row],[Nilai2]]="","",VLOOKUP(pub_gid_0_single_true_output_csv[[#This Row],[NAMA]],Table7[],3,FALSE))</f>
        <v>Extremely low</v>
      </c>
    </row>
    <row r="203" spans="1:37" x14ac:dyDescent="0.2">
      <c r="A203">
        <v>202</v>
      </c>
      <c r="B203" t="s">
        <v>286</v>
      </c>
      <c r="C203" t="s">
        <v>54</v>
      </c>
      <c r="D203" t="s">
        <v>33</v>
      </c>
      <c r="E203" t="s">
        <v>140</v>
      </c>
      <c r="F203" s="25">
        <v>46055</v>
      </c>
      <c r="G203" t="s">
        <v>379</v>
      </c>
      <c r="H203" t="s">
        <v>412</v>
      </c>
      <c r="I203" t="s">
        <v>371</v>
      </c>
      <c r="J203" t="s">
        <v>31</v>
      </c>
      <c r="K203" t="s">
        <v>96</v>
      </c>
      <c r="L203" t="s">
        <v>150</v>
      </c>
      <c r="M203" t="s">
        <v>141</v>
      </c>
      <c r="N203" t="s">
        <v>142</v>
      </c>
      <c r="O203" t="s">
        <v>155</v>
      </c>
      <c r="P203" t="s">
        <v>281</v>
      </c>
      <c r="Q203" t="s">
        <v>155</v>
      </c>
      <c r="R203" t="s">
        <v>302</v>
      </c>
      <c r="S203" t="s">
        <v>345</v>
      </c>
      <c r="T203">
        <v>1</v>
      </c>
      <c r="U203" t="s">
        <v>409</v>
      </c>
      <c r="V203" t="s">
        <v>343</v>
      </c>
      <c r="W203" t="s">
        <v>413</v>
      </c>
      <c r="X203" t="s">
        <v>306</v>
      </c>
      <c r="Y203" t="s">
        <v>307</v>
      </c>
      <c r="Z203">
        <v>65</v>
      </c>
      <c r="AA203">
        <v>80</v>
      </c>
      <c r="AB203" t="s">
        <v>143</v>
      </c>
      <c r="AC203" t="s">
        <v>149</v>
      </c>
      <c r="AD203" t="s">
        <v>404</v>
      </c>
      <c r="AE203" t="str">
        <f>IF(AF203="","",VLOOKUP(AC203,mapel!$A$2:$B$42,2,FALSE))</f>
        <v>B.Indo</v>
      </c>
      <c r="AF203">
        <f t="shared" si="9"/>
        <v>80</v>
      </c>
      <c r="AG203" t="str">
        <f>IF(AF203="","",IF(AF203&gt;90,"Sangat baik",IF(AF203&gt;79,"Baik",IF(AF203&gt;=pub_gid_0_single_true_output_csv[[#This Row],[KKM]],"Cukup","Kurang"))))</f>
        <v>Baik</v>
      </c>
      <c r="AH203">
        <f t="shared" si="10"/>
        <v>11</v>
      </c>
      <c r="AI203" s="30" t="str">
        <f>IF(OR(J203&lt;&gt;"Karakter",pub_gid_0_single_true_output_csv[[#This Row],[Nilai2]]=""),"",IF(AF203&gt;89,"Sangat baik",IF(AF203&gt;79,"Baik",IF(AF203&gt;69,"Cukup",IF(AF203&gt;59,"Kurang","Sangat kurang")))))</f>
        <v/>
      </c>
      <c r="AJ203" t="str">
        <f t="shared" si="11"/>
        <v>Wk.6</v>
      </c>
      <c r="AK203" t="str">
        <f>IF(pub_gid_0_single_true_output_csv[[#This Row],[Nilai2]]="","",VLOOKUP(pub_gid_0_single_true_output_csv[[#This Row],[NAMA]],Table7[],3,FALSE))</f>
        <v>Extremely low</v>
      </c>
    </row>
    <row r="204" spans="1:37" x14ac:dyDescent="0.2">
      <c r="A204">
        <v>203</v>
      </c>
      <c r="B204" t="s">
        <v>286</v>
      </c>
      <c r="C204" t="s">
        <v>54</v>
      </c>
      <c r="D204" t="s">
        <v>33</v>
      </c>
      <c r="E204" t="s">
        <v>140</v>
      </c>
      <c r="F204" s="25">
        <v>46055</v>
      </c>
      <c r="G204" t="s">
        <v>379</v>
      </c>
      <c r="H204" t="s">
        <v>412</v>
      </c>
      <c r="I204" t="s">
        <v>371</v>
      </c>
      <c r="J204" t="s">
        <v>90</v>
      </c>
      <c r="K204" t="s">
        <v>92</v>
      </c>
      <c r="L204" t="s">
        <v>91</v>
      </c>
      <c r="M204" t="s">
        <v>141</v>
      </c>
      <c r="N204" t="s">
        <v>142</v>
      </c>
      <c r="O204" t="s">
        <v>155</v>
      </c>
      <c r="P204" t="s">
        <v>281</v>
      </c>
      <c r="Q204" t="s">
        <v>155</v>
      </c>
      <c r="R204" t="s">
        <v>302</v>
      </c>
      <c r="S204" t="s">
        <v>345</v>
      </c>
      <c r="T204">
        <v>1</v>
      </c>
      <c r="U204" t="s">
        <v>409</v>
      </c>
      <c r="V204" t="s">
        <v>343</v>
      </c>
      <c r="W204" t="s">
        <v>413</v>
      </c>
      <c r="X204" t="s">
        <v>306</v>
      </c>
      <c r="Y204" t="s">
        <v>307</v>
      </c>
      <c r="Z204">
        <v>65</v>
      </c>
      <c r="AA204">
        <v>70</v>
      </c>
      <c r="AB204" t="s">
        <v>143</v>
      </c>
      <c r="AC204" t="s">
        <v>149</v>
      </c>
      <c r="AD204" t="s">
        <v>404</v>
      </c>
      <c r="AE204" t="str">
        <f>IF(AF204="","",VLOOKUP(AC204,mapel!$A$2:$B$42,2,FALSE))</f>
        <v>B.Indo</v>
      </c>
      <c r="AF204">
        <f t="shared" si="9"/>
        <v>70</v>
      </c>
      <c r="AG204" t="str">
        <f>IF(AF204="","",IF(AF204&gt;90,"Sangat baik",IF(AF204&gt;79,"Baik",IF(AF204&gt;=pub_gid_0_single_true_output_csv[[#This Row],[KKM]],"Cukup","Kurang"))))</f>
        <v>Cukup</v>
      </c>
      <c r="AH204">
        <f t="shared" si="10"/>
        <v>11</v>
      </c>
      <c r="AI204" s="30" t="str">
        <f>IF(OR(J204&lt;&gt;"Karakter",pub_gid_0_single_true_output_csv[[#This Row],[Nilai2]]=""),"",IF(AF204&gt;89,"Sangat baik",IF(AF204&gt;79,"Baik",IF(AF204&gt;69,"Cukup",IF(AF204&gt;59,"Kurang","Sangat kurang")))))</f>
        <v>Cukup</v>
      </c>
      <c r="AJ204" t="str">
        <f t="shared" si="11"/>
        <v>Wk.6</v>
      </c>
      <c r="AK204" t="str">
        <f>IF(pub_gid_0_single_true_output_csv[[#This Row],[Nilai2]]="","",VLOOKUP(pub_gid_0_single_true_output_csv[[#This Row],[NAMA]],Table7[],3,FALSE))</f>
        <v>Extremely low</v>
      </c>
    </row>
    <row r="205" spans="1:37" x14ac:dyDescent="0.2">
      <c r="A205">
        <v>204</v>
      </c>
      <c r="B205" t="s">
        <v>286</v>
      </c>
      <c r="C205" t="s">
        <v>54</v>
      </c>
      <c r="D205" t="s">
        <v>33</v>
      </c>
      <c r="E205" t="s">
        <v>140</v>
      </c>
      <c r="F205" s="25">
        <v>46055</v>
      </c>
      <c r="G205" t="s">
        <v>379</v>
      </c>
      <c r="H205" t="s">
        <v>412</v>
      </c>
      <c r="I205" t="s">
        <v>371</v>
      </c>
      <c r="J205" t="s">
        <v>279</v>
      </c>
      <c r="K205" t="s">
        <v>280</v>
      </c>
      <c r="L205" t="s">
        <v>322</v>
      </c>
      <c r="M205" t="s">
        <v>141</v>
      </c>
      <c r="N205" t="s">
        <v>142</v>
      </c>
      <c r="O205" t="s">
        <v>155</v>
      </c>
      <c r="P205" t="s">
        <v>281</v>
      </c>
      <c r="Q205" t="s">
        <v>155</v>
      </c>
      <c r="R205" t="s">
        <v>302</v>
      </c>
      <c r="S205" t="s">
        <v>345</v>
      </c>
      <c r="T205">
        <v>1</v>
      </c>
      <c r="U205" t="s">
        <v>409</v>
      </c>
      <c r="V205" t="s">
        <v>343</v>
      </c>
      <c r="W205" t="s">
        <v>413</v>
      </c>
      <c r="X205" t="s">
        <v>306</v>
      </c>
      <c r="Y205" t="s">
        <v>307</v>
      </c>
      <c r="Z205">
        <v>65</v>
      </c>
      <c r="AA205">
        <v>70</v>
      </c>
      <c r="AB205" t="s">
        <v>143</v>
      </c>
      <c r="AC205" t="s">
        <v>149</v>
      </c>
      <c r="AD205" t="s">
        <v>404</v>
      </c>
      <c r="AE205" t="str">
        <f>IF(AF205="","",VLOOKUP(AC205,mapel!$A$2:$B$42,2,FALSE))</f>
        <v>B.Indo</v>
      </c>
      <c r="AF205">
        <f t="shared" si="9"/>
        <v>70</v>
      </c>
      <c r="AG205" t="str">
        <f>IF(AF205="","",IF(AF205&gt;90,"Sangat baik",IF(AF205&gt;79,"Baik",IF(AF205&gt;=pub_gid_0_single_true_output_csv[[#This Row],[KKM]],"Cukup","Kurang"))))</f>
        <v>Cukup</v>
      </c>
      <c r="AH205">
        <f t="shared" si="10"/>
        <v>11</v>
      </c>
      <c r="AI205" s="30" t="str">
        <f>IF(OR(J205&lt;&gt;"Karakter",pub_gid_0_single_true_output_csv[[#This Row],[Nilai2]]=""),"",IF(AF205&gt;89,"Sangat baik",IF(AF205&gt;79,"Baik",IF(AF205&gt;69,"Cukup",IF(AF205&gt;59,"Kurang","Sangat kurang")))))</f>
        <v/>
      </c>
      <c r="AJ205" t="str">
        <f t="shared" si="11"/>
        <v>Wk.6</v>
      </c>
      <c r="AK205" t="str">
        <f>IF(pub_gid_0_single_true_output_csv[[#This Row],[Nilai2]]="","",VLOOKUP(pub_gid_0_single_true_output_csv[[#This Row],[NAMA]],Table7[],3,FALSE))</f>
        <v>Extremely low</v>
      </c>
    </row>
    <row r="206" spans="1:37" x14ac:dyDescent="0.2">
      <c r="A206">
        <v>205</v>
      </c>
      <c r="B206" t="s">
        <v>286</v>
      </c>
      <c r="C206" t="s">
        <v>54</v>
      </c>
      <c r="D206" t="s">
        <v>33</v>
      </c>
      <c r="E206" t="s">
        <v>140</v>
      </c>
      <c r="F206" s="25">
        <v>46062</v>
      </c>
      <c r="G206" t="s">
        <v>376</v>
      </c>
      <c r="H206" t="s">
        <v>412</v>
      </c>
      <c r="I206" t="s">
        <v>371</v>
      </c>
      <c r="J206" t="s">
        <v>36</v>
      </c>
      <c r="K206" t="s">
        <v>37</v>
      </c>
      <c r="L206" t="s">
        <v>351</v>
      </c>
      <c r="M206" t="s">
        <v>141</v>
      </c>
      <c r="N206" t="s">
        <v>142</v>
      </c>
      <c r="O206" t="s">
        <v>155</v>
      </c>
      <c r="P206" t="s">
        <v>281</v>
      </c>
      <c r="Q206" t="s">
        <v>155</v>
      </c>
      <c r="R206" t="s">
        <v>302</v>
      </c>
      <c r="S206" t="s">
        <v>345</v>
      </c>
      <c r="T206">
        <v>1</v>
      </c>
      <c r="U206" t="s">
        <v>409</v>
      </c>
      <c r="V206" t="s">
        <v>343</v>
      </c>
      <c r="W206" t="s">
        <v>413</v>
      </c>
      <c r="X206" t="s">
        <v>306</v>
      </c>
      <c r="Y206" t="s">
        <v>307</v>
      </c>
      <c r="Z206">
        <v>65</v>
      </c>
      <c r="AA206">
        <v>70</v>
      </c>
      <c r="AB206" t="s">
        <v>143</v>
      </c>
      <c r="AC206" t="s">
        <v>149</v>
      </c>
      <c r="AD206" t="s">
        <v>404</v>
      </c>
      <c r="AE206" t="str">
        <f>IF(AF206="","",VLOOKUP(AC206,mapel!$A$2:$B$42,2,FALSE))</f>
        <v>B.Indo</v>
      </c>
      <c r="AF206">
        <f t="shared" si="9"/>
        <v>70</v>
      </c>
      <c r="AG206" t="str">
        <f>IF(AF206="","",IF(AF206&gt;90,"Sangat baik",IF(AF206&gt;79,"Baik",IF(AF206&gt;=pub_gid_0_single_true_output_csv[[#This Row],[KKM]],"Cukup","Kurang"))))</f>
        <v>Cukup</v>
      </c>
      <c r="AH206">
        <f t="shared" si="10"/>
        <v>11</v>
      </c>
      <c r="AI206" s="30" t="str">
        <f>IF(OR(J206&lt;&gt;"Karakter",pub_gid_0_single_true_output_csv[[#This Row],[Nilai2]]=""),"",IF(AF206&gt;89,"Sangat baik",IF(AF206&gt;79,"Baik",IF(AF206&gt;69,"Cukup",IF(AF206&gt;59,"Kurang","Sangat kurang")))))</f>
        <v/>
      </c>
      <c r="AJ206" t="str">
        <f t="shared" si="11"/>
        <v>Wk.7</v>
      </c>
      <c r="AK206" t="str">
        <f>IF(pub_gid_0_single_true_output_csv[[#This Row],[Nilai2]]="","",VLOOKUP(pub_gid_0_single_true_output_csv[[#This Row],[NAMA]],Table7[],3,FALSE))</f>
        <v>Extremely low</v>
      </c>
    </row>
    <row r="207" spans="1:37" x14ac:dyDescent="0.2">
      <c r="A207">
        <v>206</v>
      </c>
      <c r="B207" t="s">
        <v>286</v>
      </c>
      <c r="C207" t="s">
        <v>54</v>
      </c>
      <c r="D207" t="s">
        <v>33</v>
      </c>
      <c r="E207" t="s">
        <v>140</v>
      </c>
      <c r="F207" s="25">
        <v>46062</v>
      </c>
      <c r="G207" t="s">
        <v>376</v>
      </c>
      <c r="H207" t="s">
        <v>412</v>
      </c>
      <c r="I207" t="s">
        <v>371</v>
      </c>
      <c r="J207" t="s">
        <v>31</v>
      </c>
      <c r="K207" t="s">
        <v>96</v>
      </c>
      <c r="L207" t="s">
        <v>351</v>
      </c>
      <c r="M207" t="s">
        <v>141</v>
      </c>
      <c r="N207" t="s">
        <v>142</v>
      </c>
      <c r="O207" t="s">
        <v>155</v>
      </c>
      <c r="P207" t="s">
        <v>281</v>
      </c>
      <c r="Q207" t="s">
        <v>155</v>
      </c>
      <c r="R207" t="s">
        <v>302</v>
      </c>
      <c r="S207" t="s">
        <v>345</v>
      </c>
      <c r="T207">
        <v>1</v>
      </c>
      <c r="U207" t="s">
        <v>409</v>
      </c>
      <c r="V207" t="s">
        <v>343</v>
      </c>
      <c r="W207" t="s">
        <v>413</v>
      </c>
      <c r="X207" t="s">
        <v>306</v>
      </c>
      <c r="Y207" t="s">
        <v>307</v>
      </c>
      <c r="Z207">
        <v>65</v>
      </c>
      <c r="AA207">
        <v>69</v>
      </c>
      <c r="AB207" t="s">
        <v>143</v>
      </c>
      <c r="AC207" t="s">
        <v>149</v>
      </c>
      <c r="AD207" t="s">
        <v>404</v>
      </c>
      <c r="AE207" t="str">
        <f>IF(AF207="","",VLOOKUP(AC207,mapel!$A$2:$B$42,2,FALSE))</f>
        <v>B.Indo</v>
      </c>
      <c r="AF207">
        <f t="shared" si="9"/>
        <v>69</v>
      </c>
      <c r="AG207" t="str">
        <f>IF(AF207="","",IF(AF207&gt;90,"Sangat baik",IF(AF207&gt;79,"Baik",IF(AF207&gt;=pub_gid_0_single_true_output_csv[[#This Row],[KKM]],"Cukup","Kurang"))))</f>
        <v>Cukup</v>
      </c>
      <c r="AH207">
        <f t="shared" si="10"/>
        <v>11</v>
      </c>
      <c r="AI207" s="30" t="str">
        <f>IF(OR(J207&lt;&gt;"Karakter",pub_gid_0_single_true_output_csv[[#This Row],[Nilai2]]=""),"",IF(AF207&gt;89,"Sangat baik",IF(AF207&gt;79,"Baik",IF(AF207&gt;69,"Cukup",IF(AF207&gt;59,"Kurang","Sangat kurang")))))</f>
        <v/>
      </c>
      <c r="AJ207" t="str">
        <f t="shared" si="11"/>
        <v>Wk.7</v>
      </c>
      <c r="AK207" t="str">
        <f>IF(pub_gid_0_single_true_output_csv[[#This Row],[Nilai2]]="","",VLOOKUP(pub_gid_0_single_true_output_csv[[#This Row],[NAMA]],Table7[],3,FALSE))</f>
        <v>Extremely low</v>
      </c>
    </row>
    <row r="208" spans="1:37" x14ac:dyDescent="0.2">
      <c r="A208">
        <v>207</v>
      </c>
      <c r="B208" t="s">
        <v>286</v>
      </c>
      <c r="C208" t="s">
        <v>54</v>
      </c>
      <c r="D208" t="s">
        <v>33</v>
      </c>
      <c r="E208" t="s">
        <v>140</v>
      </c>
      <c r="F208" s="25">
        <v>46069</v>
      </c>
      <c r="G208" t="s">
        <v>382</v>
      </c>
      <c r="H208" t="s">
        <v>412</v>
      </c>
      <c r="I208" t="s">
        <v>371</v>
      </c>
      <c r="J208" t="s">
        <v>36</v>
      </c>
      <c r="K208" t="s">
        <v>37</v>
      </c>
      <c r="L208" t="s">
        <v>351</v>
      </c>
      <c r="M208" t="s">
        <v>141</v>
      </c>
      <c r="N208" t="s">
        <v>142</v>
      </c>
      <c r="O208" t="s">
        <v>155</v>
      </c>
      <c r="P208" t="s">
        <v>281</v>
      </c>
      <c r="Q208" t="s">
        <v>155</v>
      </c>
      <c r="R208" t="s">
        <v>302</v>
      </c>
      <c r="S208" t="s">
        <v>345</v>
      </c>
      <c r="T208">
        <v>1</v>
      </c>
      <c r="U208" t="s">
        <v>409</v>
      </c>
      <c r="V208" t="s">
        <v>343</v>
      </c>
      <c r="W208" t="s">
        <v>413</v>
      </c>
      <c r="X208" t="s">
        <v>306</v>
      </c>
      <c r="Y208" t="s">
        <v>307</v>
      </c>
      <c r="Z208">
        <v>65</v>
      </c>
      <c r="AA208">
        <v>72</v>
      </c>
      <c r="AB208" t="s">
        <v>143</v>
      </c>
      <c r="AC208" t="s">
        <v>149</v>
      </c>
      <c r="AD208" t="s">
        <v>404</v>
      </c>
      <c r="AE208" t="str">
        <f>IF(AF208="","",VLOOKUP(AC208,mapel!$A$2:$B$42,2,FALSE))</f>
        <v>B.Indo</v>
      </c>
      <c r="AF208">
        <f t="shared" si="9"/>
        <v>72</v>
      </c>
      <c r="AG208" t="str">
        <f>IF(AF208="","",IF(AF208&gt;90,"Sangat baik",IF(AF208&gt;79,"Baik",IF(AF208&gt;=pub_gid_0_single_true_output_csv[[#This Row],[KKM]],"Cukup","Kurang"))))</f>
        <v>Cukup</v>
      </c>
      <c r="AH208">
        <f t="shared" si="10"/>
        <v>11</v>
      </c>
      <c r="AI208" s="30" t="str">
        <f>IF(OR(J208&lt;&gt;"Karakter",pub_gid_0_single_true_output_csv[[#This Row],[Nilai2]]=""),"",IF(AF208&gt;89,"Sangat baik",IF(AF208&gt;79,"Baik",IF(AF208&gt;69,"Cukup",IF(AF208&gt;59,"Kurang","Sangat kurang")))))</f>
        <v/>
      </c>
      <c r="AJ208" t="str">
        <f t="shared" si="11"/>
        <v>Wk.8</v>
      </c>
      <c r="AK208" t="str">
        <f>IF(pub_gid_0_single_true_output_csv[[#This Row],[Nilai2]]="","",VLOOKUP(pub_gid_0_single_true_output_csv[[#This Row],[NAMA]],Table7[],3,FALSE))</f>
        <v>Extremely low</v>
      </c>
    </row>
    <row r="209" spans="1:37" x14ac:dyDescent="0.2">
      <c r="A209">
        <v>208</v>
      </c>
      <c r="B209" t="s">
        <v>286</v>
      </c>
      <c r="C209" t="s">
        <v>54</v>
      </c>
      <c r="D209" t="s">
        <v>33</v>
      </c>
      <c r="E209" t="s">
        <v>140</v>
      </c>
      <c r="F209" s="25">
        <v>46069</v>
      </c>
      <c r="G209" t="s">
        <v>382</v>
      </c>
      <c r="H209" t="s">
        <v>412</v>
      </c>
      <c r="I209" t="s">
        <v>371</v>
      </c>
      <c r="J209" t="s">
        <v>31</v>
      </c>
      <c r="K209" t="s">
        <v>96</v>
      </c>
      <c r="L209" t="s">
        <v>351</v>
      </c>
      <c r="M209" t="s">
        <v>141</v>
      </c>
      <c r="N209" t="s">
        <v>142</v>
      </c>
      <c r="O209" t="s">
        <v>155</v>
      </c>
      <c r="P209" t="s">
        <v>281</v>
      </c>
      <c r="Q209" t="s">
        <v>155</v>
      </c>
      <c r="R209" t="s">
        <v>302</v>
      </c>
      <c r="S209" t="s">
        <v>345</v>
      </c>
      <c r="T209">
        <v>1</v>
      </c>
      <c r="U209" t="s">
        <v>409</v>
      </c>
      <c r="V209" t="s">
        <v>343</v>
      </c>
      <c r="W209" t="s">
        <v>413</v>
      </c>
      <c r="X209" t="s">
        <v>306</v>
      </c>
      <c r="Y209" t="s">
        <v>307</v>
      </c>
      <c r="Z209">
        <v>65</v>
      </c>
      <c r="AA209">
        <v>70</v>
      </c>
      <c r="AB209" t="s">
        <v>143</v>
      </c>
      <c r="AC209" t="s">
        <v>149</v>
      </c>
      <c r="AD209" t="s">
        <v>404</v>
      </c>
      <c r="AE209" t="str">
        <f>IF(AF209="","",VLOOKUP(AC209,mapel!$A$2:$B$42,2,FALSE))</f>
        <v>B.Indo</v>
      </c>
      <c r="AF209">
        <f t="shared" si="9"/>
        <v>70</v>
      </c>
      <c r="AG209" t="str">
        <f>IF(AF209="","",IF(AF209&gt;90,"Sangat baik",IF(AF209&gt;79,"Baik",IF(AF209&gt;=pub_gid_0_single_true_output_csv[[#This Row],[KKM]],"Cukup","Kurang"))))</f>
        <v>Cukup</v>
      </c>
      <c r="AH209">
        <f t="shared" si="10"/>
        <v>11</v>
      </c>
      <c r="AI209" s="30" t="str">
        <f>IF(OR(J209&lt;&gt;"Karakter",pub_gid_0_single_true_output_csv[[#This Row],[Nilai2]]=""),"",IF(AF209&gt;89,"Sangat baik",IF(AF209&gt;79,"Baik",IF(AF209&gt;69,"Cukup",IF(AF209&gt;59,"Kurang","Sangat kurang")))))</f>
        <v/>
      </c>
      <c r="AJ209" t="str">
        <f t="shared" si="11"/>
        <v>Wk.8</v>
      </c>
      <c r="AK209" t="str">
        <f>IF(pub_gid_0_single_true_output_csv[[#This Row],[Nilai2]]="","",VLOOKUP(pub_gid_0_single_true_output_csv[[#This Row],[NAMA]],Table7[],3,FALSE))</f>
        <v>Extremely low</v>
      </c>
    </row>
    <row r="210" spans="1:37" x14ac:dyDescent="0.2">
      <c r="A210">
        <v>209</v>
      </c>
      <c r="B210" t="s">
        <v>286</v>
      </c>
      <c r="C210" t="s">
        <v>54</v>
      </c>
      <c r="D210" t="s">
        <v>33</v>
      </c>
      <c r="E210" t="s">
        <v>140</v>
      </c>
      <c r="F210" s="25">
        <v>46069</v>
      </c>
      <c r="G210" t="s">
        <v>382</v>
      </c>
      <c r="H210" t="s">
        <v>412</v>
      </c>
      <c r="I210" t="s">
        <v>371</v>
      </c>
      <c r="J210" t="s">
        <v>90</v>
      </c>
      <c r="K210" t="s">
        <v>92</v>
      </c>
      <c r="L210" t="s">
        <v>93</v>
      </c>
      <c r="M210" t="s">
        <v>141</v>
      </c>
      <c r="N210" t="s">
        <v>142</v>
      </c>
      <c r="O210" t="s">
        <v>155</v>
      </c>
      <c r="P210" t="s">
        <v>281</v>
      </c>
      <c r="Q210" t="s">
        <v>155</v>
      </c>
      <c r="R210" t="s">
        <v>302</v>
      </c>
      <c r="S210" t="s">
        <v>345</v>
      </c>
      <c r="T210">
        <v>1</v>
      </c>
      <c r="U210" t="s">
        <v>409</v>
      </c>
      <c r="V210" t="s">
        <v>343</v>
      </c>
      <c r="W210" t="s">
        <v>413</v>
      </c>
      <c r="X210" t="s">
        <v>306</v>
      </c>
      <c r="Y210" t="s">
        <v>307</v>
      </c>
      <c r="Z210">
        <v>65</v>
      </c>
      <c r="AA210">
        <v>80</v>
      </c>
      <c r="AB210" t="s">
        <v>143</v>
      </c>
      <c r="AC210" t="s">
        <v>149</v>
      </c>
      <c r="AD210" t="s">
        <v>404</v>
      </c>
      <c r="AE210" t="str">
        <f>IF(AF210="","",VLOOKUP(AC210,mapel!$A$2:$B$42,2,FALSE))</f>
        <v>B.Indo</v>
      </c>
      <c r="AF210">
        <f t="shared" si="9"/>
        <v>80</v>
      </c>
      <c r="AG210" t="str">
        <f>IF(AF210="","",IF(AF210&gt;90,"Sangat baik",IF(AF210&gt;79,"Baik",IF(AF210&gt;=pub_gid_0_single_true_output_csv[[#This Row],[KKM]],"Cukup","Kurang"))))</f>
        <v>Baik</v>
      </c>
      <c r="AH210">
        <f t="shared" si="10"/>
        <v>11</v>
      </c>
      <c r="AI210" s="30" t="str">
        <f>IF(OR(J210&lt;&gt;"Karakter",pub_gid_0_single_true_output_csv[[#This Row],[Nilai2]]=""),"",IF(AF210&gt;89,"Sangat baik",IF(AF210&gt;79,"Baik",IF(AF210&gt;69,"Cukup",IF(AF210&gt;59,"Kurang","Sangat kurang")))))</f>
        <v>Baik</v>
      </c>
      <c r="AJ210" t="str">
        <f t="shared" si="11"/>
        <v>Wk.8</v>
      </c>
      <c r="AK210" t="str">
        <f>IF(pub_gid_0_single_true_output_csv[[#This Row],[Nilai2]]="","",VLOOKUP(pub_gid_0_single_true_output_csv[[#This Row],[NAMA]],Table7[],3,FALSE))</f>
        <v>Extremely low</v>
      </c>
    </row>
    <row r="211" spans="1:37" x14ac:dyDescent="0.2">
      <c r="A211">
        <v>210</v>
      </c>
      <c r="B211" t="s">
        <v>286</v>
      </c>
      <c r="C211" t="s">
        <v>54</v>
      </c>
      <c r="D211" t="s">
        <v>33</v>
      </c>
      <c r="E211" t="s">
        <v>140</v>
      </c>
      <c r="F211" s="25">
        <v>46069</v>
      </c>
      <c r="G211" t="s">
        <v>382</v>
      </c>
      <c r="H211" t="s">
        <v>412</v>
      </c>
      <c r="I211" t="s">
        <v>371</v>
      </c>
      <c r="J211" t="s">
        <v>279</v>
      </c>
      <c r="K211" t="s">
        <v>280</v>
      </c>
      <c r="L211" t="s">
        <v>322</v>
      </c>
      <c r="M211" t="s">
        <v>141</v>
      </c>
      <c r="N211" t="s">
        <v>142</v>
      </c>
      <c r="O211" t="s">
        <v>155</v>
      </c>
      <c r="P211" t="s">
        <v>281</v>
      </c>
      <c r="Q211" t="s">
        <v>155</v>
      </c>
      <c r="R211" t="s">
        <v>302</v>
      </c>
      <c r="S211" t="s">
        <v>345</v>
      </c>
      <c r="T211">
        <v>1</v>
      </c>
      <c r="U211" t="s">
        <v>409</v>
      </c>
      <c r="V211" t="s">
        <v>343</v>
      </c>
      <c r="W211" t="s">
        <v>413</v>
      </c>
      <c r="X211" t="s">
        <v>306</v>
      </c>
      <c r="Y211" t="s">
        <v>307</v>
      </c>
      <c r="Z211">
        <v>65</v>
      </c>
      <c r="AA211">
        <v>85</v>
      </c>
      <c r="AB211" t="s">
        <v>143</v>
      </c>
      <c r="AC211" t="s">
        <v>149</v>
      </c>
      <c r="AD211" t="s">
        <v>404</v>
      </c>
      <c r="AE211" t="str">
        <f>IF(AF211="","",VLOOKUP(AC211,mapel!$A$2:$B$42,2,FALSE))</f>
        <v>B.Indo</v>
      </c>
      <c r="AF211">
        <f t="shared" si="9"/>
        <v>85</v>
      </c>
      <c r="AG211" t="str">
        <f>IF(AF211="","",IF(AF211&gt;90,"Sangat baik",IF(AF211&gt;79,"Baik",IF(AF211&gt;=pub_gid_0_single_true_output_csv[[#This Row],[KKM]],"Cukup","Kurang"))))</f>
        <v>Baik</v>
      </c>
      <c r="AH211">
        <f t="shared" si="10"/>
        <v>11</v>
      </c>
      <c r="AI211" s="30" t="str">
        <f>IF(OR(J211&lt;&gt;"Karakter",pub_gid_0_single_true_output_csv[[#This Row],[Nilai2]]=""),"",IF(AF211&gt;89,"Sangat baik",IF(AF211&gt;79,"Baik",IF(AF211&gt;69,"Cukup",IF(AF211&gt;59,"Kurang","Sangat kurang")))))</f>
        <v/>
      </c>
      <c r="AJ211" t="str">
        <f t="shared" si="11"/>
        <v>Wk.8</v>
      </c>
      <c r="AK211" t="str">
        <f>IF(pub_gid_0_single_true_output_csv[[#This Row],[Nilai2]]="","",VLOOKUP(pub_gid_0_single_true_output_csv[[#This Row],[NAMA]],Table7[],3,FALSE))</f>
        <v>Extremely low</v>
      </c>
    </row>
    <row r="212" spans="1:37" x14ac:dyDescent="0.2">
      <c r="A212">
        <v>211</v>
      </c>
      <c r="B212" t="s">
        <v>293</v>
      </c>
      <c r="C212" t="s">
        <v>54</v>
      </c>
      <c r="D212" t="s">
        <v>45</v>
      </c>
      <c r="E212" t="s">
        <v>147</v>
      </c>
      <c r="F212" s="25">
        <v>46034</v>
      </c>
      <c r="G212" t="s">
        <v>354</v>
      </c>
      <c r="H212" t="s">
        <v>405</v>
      </c>
      <c r="I212" t="s">
        <v>371</v>
      </c>
      <c r="J212" t="s">
        <v>36</v>
      </c>
      <c r="K212" t="s">
        <v>362</v>
      </c>
      <c r="L212" t="s">
        <v>408</v>
      </c>
      <c r="M212" t="s">
        <v>141</v>
      </c>
      <c r="N212" t="s">
        <v>142</v>
      </c>
      <c r="O212" t="s">
        <v>155</v>
      </c>
      <c r="P212" t="s">
        <v>281</v>
      </c>
      <c r="Q212" t="s">
        <v>155</v>
      </c>
      <c r="R212" t="s">
        <v>273</v>
      </c>
      <c r="S212" t="s">
        <v>309</v>
      </c>
      <c r="T212">
        <v>1</v>
      </c>
      <c r="U212" t="s">
        <v>409</v>
      </c>
      <c r="V212" t="s">
        <v>285</v>
      </c>
      <c r="W212" t="s">
        <v>410</v>
      </c>
      <c r="X212" t="s">
        <v>306</v>
      </c>
      <c r="Y212" t="s">
        <v>307</v>
      </c>
      <c r="Z212">
        <v>65</v>
      </c>
      <c r="AA212">
        <v>25</v>
      </c>
      <c r="AB212" t="s">
        <v>151</v>
      </c>
      <c r="AC212" t="s">
        <v>149</v>
      </c>
      <c r="AD212" t="s">
        <v>404</v>
      </c>
      <c r="AE212" t="str">
        <f>IF(AF212="","",VLOOKUP(AC212,mapel!$A$2:$B$42,2,FALSE))</f>
        <v>B.Indo</v>
      </c>
      <c r="AF212">
        <f t="shared" si="9"/>
        <v>25</v>
      </c>
      <c r="AG212" t="str">
        <f>IF(AF212="","",IF(AF212&gt;90,"Sangat baik",IF(AF212&gt;79,"Baik",IF(AF212&gt;=pub_gid_0_single_true_output_csv[[#This Row],[KKM]],"Cukup","Kurang"))))</f>
        <v>Kurang</v>
      </c>
      <c r="AH212">
        <f t="shared" si="10"/>
        <v>11</v>
      </c>
      <c r="AI212" s="30" t="str">
        <f>IF(OR(J212&lt;&gt;"Karakter",pub_gid_0_single_true_output_csv[[#This Row],[Nilai2]]=""),"",IF(AF212&gt;89,"Sangat baik",IF(AF212&gt;79,"Baik",IF(AF212&gt;69,"Cukup",IF(AF212&gt;59,"Kurang","Sangat kurang")))))</f>
        <v/>
      </c>
      <c r="AJ212" t="str">
        <f t="shared" si="11"/>
        <v>Wk.3</v>
      </c>
      <c r="AK212" t="str">
        <f>IF(pub_gid_0_single_true_output_csv[[#This Row],[Nilai2]]="","",VLOOKUP(pub_gid_0_single_true_output_csv[[#This Row],[NAMA]],Table7[],3,FALSE))</f>
        <v>High average</v>
      </c>
    </row>
    <row r="213" spans="1:37" x14ac:dyDescent="0.2">
      <c r="A213">
        <v>212</v>
      </c>
      <c r="B213" t="s">
        <v>293</v>
      </c>
      <c r="C213" t="s">
        <v>54</v>
      </c>
      <c r="D213" t="s">
        <v>45</v>
      </c>
      <c r="E213" t="s">
        <v>147</v>
      </c>
      <c r="F213" s="25">
        <v>46035</v>
      </c>
      <c r="G213" t="s">
        <v>358</v>
      </c>
      <c r="H213" t="s">
        <v>405</v>
      </c>
      <c r="I213" t="s">
        <v>371</v>
      </c>
      <c r="J213" t="s">
        <v>36</v>
      </c>
      <c r="K213" t="s">
        <v>37</v>
      </c>
      <c r="L213" t="s">
        <v>150</v>
      </c>
      <c r="M213" t="s">
        <v>141</v>
      </c>
      <c r="N213" t="s">
        <v>142</v>
      </c>
      <c r="O213" t="s">
        <v>155</v>
      </c>
      <c r="P213" t="s">
        <v>281</v>
      </c>
      <c r="Q213" t="s">
        <v>155</v>
      </c>
      <c r="R213" t="s">
        <v>273</v>
      </c>
      <c r="S213" t="s">
        <v>309</v>
      </c>
      <c r="T213">
        <v>1</v>
      </c>
      <c r="U213" t="s">
        <v>409</v>
      </c>
      <c r="V213" t="s">
        <v>285</v>
      </c>
      <c r="W213" t="s">
        <v>410</v>
      </c>
      <c r="X213" t="s">
        <v>306</v>
      </c>
      <c r="Y213" t="s">
        <v>307</v>
      </c>
      <c r="Z213">
        <v>65</v>
      </c>
      <c r="AA213">
        <v>75</v>
      </c>
      <c r="AB213" t="s">
        <v>143</v>
      </c>
      <c r="AC213" t="s">
        <v>149</v>
      </c>
      <c r="AD213" t="s">
        <v>404</v>
      </c>
      <c r="AE213" t="str">
        <f>IF(AF213="","",VLOOKUP(AC213,mapel!$A$2:$B$42,2,FALSE))</f>
        <v>B.Indo</v>
      </c>
      <c r="AF213">
        <f t="shared" si="9"/>
        <v>75</v>
      </c>
      <c r="AG213" t="str">
        <f>IF(AF213="","",IF(AF213&gt;90,"Sangat baik",IF(AF213&gt;79,"Baik",IF(AF213&gt;=pub_gid_0_single_true_output_csv[[#This Row],[KKM]],"Cukup","Kurang"))))</f>
        <v>Cukup</v>
      </c>
      <c r="AH213">
        <f t="shared" si="10"/>
        <v>11</v>
      </c>
      <c r="AI213" s="30" t="str">
        <f>IF(OR(J213&lt;&gt;"Karakter",pub_gid_0_single_true_output_csv[[#This Row],[Nilai2]]=""),"",IF(AF213&gt;89,"Sangat baik",IF(AF213&gt;79,"Baik",IF(AF213&gt;69,"Cukup",IF(AF213&gt;59,"Kurang","Sangat kurang")))))</f>
        <v/>
      </c>
      <c r="AJ213" t="str">
        <f t="shared" si="11"/>
        <v>Wk.3</v>
      </c>
      <c r="AK213" t="str">
        <f>IF(pub_gid_0_single_true_output_csv[[#This Row],[Nilai2]]="","",VLOOKUP(pub_gid_0_single_true_output_csv[[#This Row],[NAMA]],Table7[],3,FALSE))</f>
        <v>High average</v>
      </c>
    </row>
    <row r="214" spans="1:37" x14ac:dyDescent="0.2">
      <c r="A214">
        <v>213</v>
      </c>
      <c r="B214" t="s">
        <v>293</v>
      </c>
      <c r="C214" t="s">
        <v>54</v>
      </c>
      <c r="D214" t="s">
        <v>45</v>
      </c>
      <c r="E214" t="s">
        <v>147</v>
      </c>
      <c r="F214" s="25">
        <v>46035</v>
      </c>
      <c r="G214" t="s">
        <v>358</v>
      </c>
      <c r="H214" t="s">
        <v>405</v>
      </c>
      <c r="I214" t="s">
        <v>371</v>
      </c>
      <c r="J214" t="s">
        <v>31</v>
      </c>
      <c r="K214" t="s">
        <v>32</v>
      </c>
      <c r="L214" t="s">
        <v>150</v>
      </c>
      <c r="M214" t="s">
        <v>141</v>
      </c>
      <c r="N214" t="s">
        <v>142</v>
      </c>
      <c r="O214" t="s">
        <v>155</v>
      </c>
      <c r="P214" t="s">
        <v>281</v>
      </c>
      <c r="Q214" t="s">
        <v>155</v>
      </c>
      <c r="R214" t="s">
        <v>273</v>
      </c>
      <c r="S214" t="s">
        <v>309</v>
      </c>
      <c r="T214">
        <v>1</v>
      </c>
      <c r="U214" t="s">
        <v>409</v>
      </c>
      <c r="V214" t="s">
        <v>285</v>
      </c>
      <c r="W214" t="s">
        <v>410</v>
      </c>
      <c r="X214" t="s">
        <v>306</v>
      </c>
      <c r="Y214" t="s">
        <v>307</v>
      </c>
      <c r="Z214">
        <v>65</v>
      </c>
      <c r="AA214">
        <v>68</v>
      </c>
      <c r="AB214" t="s">
        <v>143</v>
      </c>
      <c r="AC214" t="s">
        <v>149</v>
      </c>
      <c r="AD214" t="s">
        <v>404</v>
      </c>
      <c r="AE214" t="str">
        <f>IF(AF214="","",VLOOKUP(AC214,mapel!$A$2:$B$42,2,FALSE))</f>
        <v>B.Indo</v>
      </c>
      <c r="AF214">
        <f t="shared" si="9"/>
        <v>68</v>
      </c>
      <c r="AG214" t="str">
        <f>IF(AF214="","",IF(AF214&gt;90,"Sangat baik",IF(AF214&gt;79,"Baik",IF(AF214&gt;=pub_gid_0_single_true_output_csv[[#This Row],[KKM]],"Cukup","Kurang"))))</f>
        <v>Cukup</v>
      </c>
      <c r="AH214">
        <f t="shared" si="10"/>
        <v>11</v>
      </c>
      <c r="AI214" s="30" t="str">
        <f>IF(OR(J214&lt;&gt;"Karakter",pub_gid_0_single_true_output_csv[[#This Row],[Nilai2]]=""),"",IF(AF214&gt;89,"Sangat baik",IF(AF214&gt;79,"Baik",IF(AF214&gt;69,"Cukup",IF(AF214&gt;59,"Kurang","Sangat kurang")))))</f>
        <v/>
      </c>
      <c r="AJ214" t="str">
        <f t="shared" si="11"/>
        <v>Wk.3</v>
      </c>
      <c r="AK214" t="str">
        <f>IF(pub_gid_0_single_true_output_csv[[#This Row],[Nilai2]]="","",VLOOKUP(pub_gid_0_single_true_output_csv[[#This Row],[NAMA]],Table7[],3,FALSE))</f>
        <v>High average</v>
      </c>
    </row>
    <row r="215" spans="1:37" x14ac:dyDescent="0.2">
      <c r="A215">
        <v>214</v>
      </c>
      <c r="B215" t="s">
        <v>293</v>
      </c>
      <c r="C215" t="s">
        <v>54</v>
      </c>
      <c r="D215" t="s">
        <v>45</v>
      </c>
      <c r="E215" t="s">
        <v>147</v>
      </c>
      <c r="F215" s="25">
        <v>46035</v>
      </c>
      <c r="G215" t="s">
        <v>358</v>
      </c>
      <c r="H215" t="s">
        <v>405</v>
      </c>
      <c r="I215" t="s">
        <v>371</v>
      </c>
      <c r="J215" t="s">
        <v>90</v>
      </c>
      <c r="K215" t="s">
        <v>92</v>
      </c>
      <c r="L215" t="s">
        <v>93</v>
      </c>
      <c r="M215" t="s">
        <v>141</v>
      </c>
      <c r="N215" t="s">
        <v>142</v>
      </c>
      <c r="O215" t="s">
        <v>155</v>
      </c>
      <c r="P215" t="s">
        <v>281</v>
      </c>
      <c r="Q215" t="s">
        <v>155</v>
      </c>
      <c r="R215" t="s">
        <v>273</v>
      </c>
      <c r="S215" t="s">
        <v>309</v>
      </c>
      <c r="T215">
        <v>1</v>
      </c>
      <c r="U215" t="s">
        <v>409</v>
      </c>
      <c r="V215" t="s">
        <v>285</v>
      </c>
      <c r="W215" t="s">
        <v>410</v>
      </c>
      <c r="X215" t="s">
        <v>306</v>
      </c>
      <c r="Y215" t="s">
        <v>307</v>
      </c>
      <c r="Z215">
        <v>65</v>
      </c>
      <c r="AA215">
        <v>70</v>
      </c>
      <c r="AB215" t="s">
        <v>143</v>
      </c>
      <c r="AC215" t="s">
        <v>149</v>
      </c>
      <c r="AD215" t="s">
        <v>404</v>
      </c>
      <c r="AE215" t="str">
        <f>IF(AF215="","",VLOOKUP(AC215,mapel!$A$2:$B$42,2,FALSE))</f>
        <v>B.Indo</v>
      </c>
      <c r="AF215">
        <f t="shared" si="9"/>
        <v>70</v>
      </c>
      <c r="AG215" t="str">
        <f>IF(AF215="","",IF(AF215&gt;90,"Sangat baik",IF(AF215&gt;79,"Baik",IF(AF215&gt;=pub_gid_0_single_true_output_csv[[#This Row],[KKM]],"Cukup","Kurang"))))</f>
        <v>Cukup</v>
      </c>
      <c r="AH215">
        <f t="shared" si="10"/>
        <v>11</v>
      </c>
      <c r="AI215" s="30" t="str">
        <f>IF(OR(J215&lt;&gt;"Karakter",pub_gid_0_single_true_output_csv[[#This Row],[Nilai2]]=""),"",IF(AF215&gt;89,"Sangat baik",IF(AF215&gt;79,"Baik",IF(AF215&gt;69,"Cukup",IF(AF215&gt;59,"Kurang","Sangat kurang")))))</f>
        <v>Cukup</v>
      </c>
      <c r="AJ215" t="str">
        <f t="shared" si="11"/>
        <v>Wk.3</v>
      </c>
      <c r="AK215" t="str">
        <f>IF(pub_gid_0_single_true_output_csv[[#This Row],[Nilai2]]="","",VLOOKUP(pub_gid_0_single_true_output_csv[[#This Row],[NAMA]],Table7[],3,FALSE))</f>
        <v>High average</v>
      </c>
    </row>
    <row r="216" spans="1:37" x14ac:dyDescent="0.2">
      <c r="A216">
        <v>215</v>
      </c>
      <c r="B216" t="s">
        <v>293</v>
      </c>
      <c r="C216" t="s">
        <v>54</v>
      </c>
      <c r="D216" t="s">
        <v>45</v>
      </c>
      <c r="E216" t="s">
        <v>147</v>
      </c>
      <c r="F216" s="25">
        <v>46035</v>
      </c>
      <c r="G216" t="s">
        <v>358</v>
      </c>
      <c r="H216" t="s">
        <v>405</v>
      </c>
      <c r="I216" t="s">
        <v>371</v>
      </c>
      <c r="J216" t="s">
        <v>279</v>
      </c>
      <c r="K216" t="s">
        <v>280</v>
      </c>
      <c r="L216" t="s">
        <v>150</v>
      </c>
      <c r="M216" t="s">
        <v>141</v>
      </c>
      <c r="N216" t="s">
        <v>142</v>
      </c>
      <c r="O216" t="s">
        <v>155</v>
      </c>
      <c r="P216" t="s">
        <v>281</v>
      </c>
      <c r="Q216" t="s">
        <v>155</v>
      </c>
      <c r="R216" t="s">
        <v>273</v>
      </c>
      <c r="S216" t="s">
        <v>309</v>
      </c>
      <c r="T216">
        <v>1</v>
      </c>
      <c r="U216" t="s">
        <v>409</v>
      </c>
      <c r="V216" t="s">
        <v>285</v>
      </c>
      <c r="W216" t="s">
        <v>410</v>
      </c>
      <c r="X216" t="s">
        <v>306</v>
      </c>
      <c r="Y216" t="s">
        <v>307</v>
      </c>
      <c r="Z216">
        <v>65</v>
      </c>
      <c r="AA216">
        <v>70</v>
      </c>
      <c r="AB216" t="s">
        <v>143</v>
      </c>
      <c r="AC216" t="s">
        <v>149</v>
      </c>
      <c r="AD216" t="s">
        <v>404</v>
      </c>
      <c r="AE216" t="str">
        <f>IF(AF216="","",VLOOKUP(AC216,mapel!$A$2:$B$42,2,FALSE))</f>
        <v>B.Indo</v>
      </c>
      <c r="AF216">
        <f t="shared" si="9"/>
        <v>70</v>
      </c>
      <c r="AG216" t="str">
        <f>IF(AF216="","",IF(AF216&gt;90,"Sangat baik",IF(AF216&gt;79,"Baik",IF(AF216&gt;=pub_gid_0_single_true_output_csv[[#This Row],[KKM]],"Cukup","Kurang"))))</f>
        <v>Cukup</v>
      </c>
      <c r="AH216">
        <f t="shared" si="10"/>
        <v>11</v>
      </c>
      <c r="AI216" s="30" t="str">
        <f>IF(OR(J216&lt;&gt;"Karakter",pub_gid_0_single_true_output_csv[[#This Row],[Nilai2]]=""),"",IF(AF216&gt;89,"Sangat baik",IF(AF216&gt;79,"Baik",IF(AF216&gt;69,"Cukup",IF(AF216&gt;59,"Kurang","Sangat kurang")))))</f>
        <v/>
      </c>
      <c r="AJ216" t="str">
        <f t="shared" si="11"/>
        <v>Wk.3</v>
      </c>
      <c r="AK216" t="str">
        <f>IF(pub_gid_0_single_true_output_csv[[#This Row],[Nilai2]]="","",VLOOKUP(pub_gid_0_single_true_output_csv[[#This Row],[NAMA]],Table7[],3,FALSE))</f>
        <v>High average</v>
      </c>
    </row>
    <row r="217" spans="1:37" x14ac:dyDescent="0.2">
      <c r="A217">
        <v>216</v>
      </c>
      <c r="B217" t="s">
        <v>293</v>
      </c>
      <c r="C217" t="s">
        <v>54</v>
      </c>
      <c r="D217" t="s">
        <v>45</v>
      </c>
      <c r="E217" t="s">
        <v>147</v>
      </c>
      <c r="F217" s="25">
        <v>46041</v>
      </c>
      <c r="G217" t="s">
        <v>370</v>
      </c>
      <c r="H217" t="s">
        <v>405</v>
      </c>
      <c r="I217" t="s">
        <v>371</v>
      </c>
      <c r="J217" t="s">
        <v>36</v>
      </c>
      <c r="K217" t="s">
        <v>37</v>
      </c>
      <c r="L217" t="s">
        <v>321</v>
      </c>
      <c r="M217" t="s">
        <v>141</v>
      </c>
      <c r="N217" t="s">
        <v>142</v>
      </c>
      <c r="O217" t="s">
        <v>155</v>
      </c>
      <c r="P217" t="s">
        <v>281</v>
      </c>
      <c r="Q217" t="s">
        <v>155</v>
      </c>
      <c r="R217" t="s">
        <v>273</v>
      </c>
      <c r="S217" t="s">
        <v>309</v>
      </c>
      <c r="T217">
        <v>1</v>
      </c>
      <c r="U217" t="s">
        <v>409</v>
      </c>
      <c r="V217" t="s">
        <v>285</v>
      </c>
      <c r="W217" t="s">
        <v>410</v>
      </c>
      <c r="X217" t="s">
        <v>306</v>
      </c>
      <c r="Y217" t="s">
        <v>307</v>
      </c>
      <c r="Z217">
        <v>65</v>
      </c>
      <c r="AA217">
        <v>65</v>
      </c>
      <c r="AB217" t="s">
        <v>143</v>
      </c>
      <c r="AC217" t="s">
        <v>149</v>
      </c>
      <c r="AD217" t="s">
        <v>404</v>
      </c>
      <c r="AE217" t="str">
        <f>IF(AF217="","",VLOOKUP(AC217,mapel!$A$2:$B$42,2,FALSE))</f>
        <v>B.Indo</v>
      </c>
      <c r="AF217">
        <f t="shared" si="9"/>
        <v>65</v>
      </c>
      <c r="AG217" t="str">
        <f>IF(AF217="","",IF(AF217&gt;90,"Sangat baik",IF(AF217&gt;79,"Baik",IF(AF217&gt;=pub_gid_0_single_true_output_csv[[#This Row],[KKM]],"Cukup","Kurang"))))</f>
        <v>Cukup</v>
      </c>
      <c r="AH217">
        <f t="shared" si="10"/>
        <v>11</v>
      </c>
      <c r="AI217" s="30" t="str">
        <f>IF(OR(J217&lt;&gt;"Karakter",pub_gid_0_single_true_output_csv[[#This Row],[Nilai2]]=""),"",IF(AF217&gt;89,"Sangat baik",IF(AF217&gt;79,"Baik",IF(AF217&gt;69,"Cukup",IF(AF217&gt;59,"Kurang","Sangat kurang")))))</f>
        <v/>
      </c>
      <c r="AJ217" t="str">
        <f t="shared" si="11"/>
        <v>Wk.4</v>
      </c>
      <c r="AK217" t="str">
        <f>IF(pub_gid_0_single_true_output_csv[[#This Row],[Nilai2]]="","",VLOOKUP(pub_gid_0_single_true_output_csv[[#This Row],[NAMA]],Table7[],3,FALSE))</f>
        <v>High average</v>
      </c>
    </row>
    <row r="218" spans="1:37" x14ac:dyDescent="0.2">
      <c r="A218">
        <v>217</v>
      </c>
      <c r="B218" t="s">
        <v>293</v>
      </c>
      <c r="C218" t="s">
        <v>54</v>
      </c>
      <c r="D218" t="s">
        <v>45</v>
      </c>
      <c r="E218" t="s">
        <v>147</v>
      </c>
      <c r="F218" s="25">
        <v>46041</v>
      </c>
      <c r="G218" t="s">
        <v>370</v>
      </c>
      <c r="H218" t="s">
        <v>405</v>
      </c>
      <c r="I218" t="s">
        <v>371</v>
      </c>
      <c r="J218" t="s">
        <v>31</v>
      </c>
      <c r="K218" t="s">
        <v>96</v>
      </c>
      <c r="L218" t="s">
        <v>321</v>
      </c>
      <c r="M218" t="s">
        <v>141</v>
      </c>
      <c r="N218" t="s">
        <v>142</v>
      </c>
      <c r="O218" t="s">
        <v>155</v>
      </c>
      <c r="P218" t="s">
        <v>281</v>
      </c>
      <c r="Q218" t="s">
        <v>155</v>
      </c>
      <c r="R218" t="s">
        <v>302</v>
      </c>
      <c r="S218" t="s">
        <v>309</v>
      </c>
      <c r="T218">
        <v>1</v>
      </c>
      <c r="U218" t="s">
        <v>409</v>
      </c>
      <c r="V218" t="s">
        <v>285</v>
      </c>
      <c r="W218" t="s">
        <v>410</v>
      </c>
      <c r="X218" t="s">
        <v>306</v>
      </c>
      <c r="Y218" t="s">
        <v>307</v>
      </c>
      <c r="Z218">
        <v>65</v>
      </c>
      <c r="AA218">
        <v>65</v>
      </c>
      <c r="AB218" t="s">
        <v>143</v>
      </c>
      <c r="AC218" t="s">
        <v>149</v>
      </c>
      <c r="AD218" t="s">
        <v>404</v>
      </c>
      <c r="AE218" t="str">
        <f>IF(AF218="","",VLOOKUP(AC218,mapel!$A$2:$B$42,2,FALSE))</f>
        <v>B.Indo</v>
      </c>
      <c r="AF218">
        <f t="shared" si="9"/>
        <v>65</v>
      </c>
      <c r="AG218" t="str">
        <f>IF(AF218="","",IF(AF218&gt;90,"Sangat baik",IF(AF218&gt;79,"Baik",IF(AF218&gt;=pub_gid_0_single_true_output_csv[[#This Row],[KKM]],"Cukup","Kurang"))))</f>
        <v>Cukup</v>
      </c>
      <c r="AH218">
        <f t="shared" si="10"/>
        <v>11</v>
      </c>
      <c r="AI218" s="30" t="str">
        <f>IF(OR(J218&lt;&gt;"Karakter",pub_gid_0_single_true_output_csv[[#This Row],[Nilai2]]=""),"",IF(AF218&gt;89,"Sangat baik",IF(AF218&gt;79,"Baik",IF(AF218&gt;69,"Cukup",IF(AF218&gt;59,"Kurang","Sangat kurang")))))</f>
        <v/>
      </c>
      <c r="AJ218" t="str">
        <f t="shared" si="11"/>
        <v>Wk.4</v>
      </c>
      <c r="AK218" t="str">
        <f>IF(pub_gid_0_single_true_output_csv[[#This Row],[Nilai2]]="","",VLOOKUP(pub_gid_0_single_true_output_csv[[#This Row],[NAMA]],Table7[],3,FALSE))</f>
        <v>High average</v>
      </c>
    </row>
    <row r="219" spans="1:37" x14ac:dyDescent="0.2">
      <c r="A219">
        <v>218</v>
      </c>
      <c r="B219" t="s">
        <v>293</v>
      </c>
      <c r="C219" t="s">
        <v>54</v>
      </c>
      <c r="D219" t="s">
        <v>45</v>
      </c>
      <c r="E219" t="s">
        <v>147</v>
      </c>
      <c r="F219" s="25">
        <v>46041</v>
      </c>
      <c r="G219" t="s">
        <v>370</v>
      </c>
      <c r="H219" t="s">
        <v>405</v>
      </c>
      <c r="I219" t="s">
        <v>371</v>
      </c>
      <c r="J219" t="s">
        <v>90</v>
      </c>
      <c r="K219" t="s">
        <v>92</v>
      </c>
      <c r="L219" t="s">
        <v>91</v>
      </c>
      <c r="M219" t="s">
        <v>141</v>
      </c>
      <c r="N219" t="s">
        <v>142</v>
      </c>
      <c r="O219" t="s">
        <v>155</v>
      </c>
      <c r="P219" t="s">
        <v>281</v>
      </c>
      <c r="Q219" t="s">
        <v>155</v>
      </c>
      <c r="R219" t="s">
        <v>302</v>
      </c>
      <c r="S219" t="s">
        <v>309</v>
      </c>
      <c r="T219">
        <v>1</v>
      </c>
      <c r="U219" t="s">
        <v>409</v>
      </c>
      <c r="V219" t="s">
        <v>285</v>
      </c>
      <c r="W219" t="s">
        <v>410</v>
      </c>
      <c r="X219" t="s">
        <v>306</v>
      </c>
      <c r="Y219" t="s">
        <v>307</v>
      </c>
      <c r="Z219">
        <v>65</v>
      </c>
      <c r="AA219">
        <v>69</v>
      </c>
      <c r="AB219" t="s">
        <v>143</v>
      </c>
      <c r="AC219" t="s">
        <v>149</v>
      </c>
      <c r="AD219" t="s">
        <v>404</v>
      </c>
      <c r="AE219" t="str">
        <f>IF(AF219="","",VLOOKUP(AC219,mapel!$A$2:$B$42,2,FALSE))</f>
        <v>B.Indo</v>
      </c>
      <c r="AF219">
        <f t="shared" si="9"/>
        <v>69</v>
      </c>
      <c r="AG219" t="str">
        <f>IF(AF219="","",IF(AF219&gt;90,"Sangat baik",IF(AF219&gt;79,"Baik",IF(AF219&gt;=pub_gid_0_single_true_output_csv[[#This Row],[KKM]],"Cukup","Kurang"))))</f>
        <v>Cukup</v>
      </c>
      <c r="AH219">
        <f t="shared" si="10"/>
        <v>11</v>
      </c>
      <c r="AI219" s="30" t="str">
        <f>IF(OR(J219&lt;&gt;"Karakter",pub_gid_0_single_true_output_csv[[#This Row],[Nilai2]]=""),"",IF(AF219&gt;89,"Sangat baik",IF(AF219&gt;79,"Baik",IF(AF219&gt;69,"Cukup",IF(AF219&gt;59,"Kurang","Sangat kurang")))))</f>
        <v>Kurang</v>
      </c>
      <c r="AJ219" t="str">
        <f t="shared" si="11"/>
        <v>Wk.4</v>
      </c>
      <c r="AK219" t="str">
        <f>IF(pub_gid_0_single_true_output_csv[[#This Row],[Nilai2]]="","",VLOOKUP(pub_gid_0_single_true_output_csv[[#This Row],[NAMA]],Table7[],3,FALSE))</f>
        <v>High average</v>
      </c>
    </row>
    <row r="220" spans="1:37" x14ac:dyDescent="0.2">
      <c r="A220">
        <v>219</v>
      </c>
      <c r="B220" t="s">
        <v>293</v>
      </c>
      <c r="C220" t="s">
        <v>54</v>
      </c>
      <c r="D220" t="s">
        <v>45</v>
      </c>
      <c r="E220" t="s">
        <v>147</v>
      </c>
      <c r="F220" s="25">
        <v>46041</v>
      </c>
      <c r="G220" t="s">
        <v>370</v>
      </c>
      <c r="H220" t="s">
        <v>405</v>
      </c>
      <c r="I220" t="s">
        <v>371</v>
      </c>
      <c r="J220" t="s">
        <v>279</v>
      </c>
      <c r="K220" t="s">
        <v>280</v>
      </c>
      <c r="L220" t="s">
        <v>322</v>
      </c>
      <c r="M220" t="s">
        <v>141</v>
      </c>
      <c r="N220" t="s">
        <v>142</v>
      </c>
      <c r="O220" t="s">
        <v>155</v>
      </c>
      <c r="P220" t="s">
        <v>281</v>
      </c>
      <c r="Q220" t="s">
        <v>155</v>
      </c>
      <c r="R220" t="s">
        <v>302</v>
      </c>
      <c r="S220" t="s">
        <v>309</v>
      </c>
      <c r="T220">
        <v>1</v>
      </c>
      <c r="U220" t="s">
        <v>409</v>
      </c>
      <c r="V220" t="s">
        <v>285</v>
      </c>
      <c r="W220" t="s">
        <v>410</v>
      </c>
      <c r="X220" t="s">
        <v>306</v>
      </c>
      <c r="Y220" t="s">
        <v>307</v>
      </c>
      <c r="Z220">
        <v>65</v>
      </c>
      <c r="AA220">
        <v>70</v>
      </c>
      <c r="AB220" t="s">
        <v>143</v>
      </c>
      <c r="AC220" t="s">
        <v>149</v>
      </c>
      <c r="AD220" t="s">
        <v>404</v>
      </c>
      <c r="AE220" t="str">
        <f>IF(AF220="","",VLOOKUP(AC220,mapel!$A$2:$B$42,2,FALSE))</f>
        <v>B.Indo</v>
      </c>
      <c r="AF220">
        <f t="shared" si="9"/>
        <v>70</v>
      </c>
      <c r="AG220" t="str">
        <f>IF(AF220="","",IF(AF220&gt;90,"Sangat baik",IF(AF220&gt;79,"Baik",IF(AF220&gt;=pub_gid_0_single_true_output_csv[[#This Row],[KKM]],"Cukup","Kurang"))))</f>
        <v>Cukup</v>
      </c>
      <c r="AH220">
        <f t="shared" si="10"/>
        <v>11</v>
      </c>
      <c r="AI220" s="30" t="str">
        <f>IF(OR(J220&lt;&gt;"Karakter",pub_gid_0_single_true_output_csv[[#This Row],[Nilai2]]=""),"",IF(AF220&gt;89,"Sangat baik",IF(AF220&gt;79,"Baik",IF(AF220&gt;69,"Cukup",IF(AF220&gt;59,"Kurang","Sangat kurang")))))</f>
        <v/>
      </c>
      <c r="AJ220" t="str">
        <f t="shared" si="11"/>
        <v>Wk.4</v>
      </c>
      <c r="AK220" t="str">
        <f>IF(pub_gid_0_single_true_output_csv[[#This Row],[Nilai2]]="","",VLOOKUP(pub_gid_0_single_true_output_csv[[#This Row],[NAMA]],Table7[],3,FALSE))</f>
        <v>High average</v>
      </c>
    </row>
    <row r="221" spans="1:37" x14ac:dyDescent="0.2">
      <c r="A221">
        <v>220</v>
      </c>
      <c r="B221" t="s">
        <v>293</v>
      </c>
      <c r="C221" t="s">
        <v>54</v>
      </c>
      <c r="D221" t="s">
        <v>45</v>
      </c>
      <c r="E221" t="s">
        <v>147</v>
      </c>
      <c r="F221" s="25">
        <v>46048</v>
      </c>
      <c r="G221" t="s">
        <v>371</v>
      </c>
      <c r="H221" t="s">
        <v>405</v>
      </c>
      <c r="I221" t="s">
        <v>371</v>
      </c>
      <c r="J221" t="s">
        <v>36</v>
      </c>
      <c r="K221" t="s">
        <v>37</v>
      </c>
      <c r="L221" t="s">
        <v>351</v>
      </c>
      <c r="M221" t="s">
        <v>141</v>
      </c>
      <c r="N221" t="s">
        <v>142</v>
      </c>
      <c r="O221" t="s">
        <v>155</v>
      </c>
      <c r="P221" t="s">
        <v>281</v>
      </c>
      <c r="Q221" t="s">
        <v>155</v>
      </c>
      <c r="R221" t="s">
        <v>302</v>
      </c>
      <c r="S221" t="s">
        <v>369</v>
      </c>
      <c r="T221">
        <v>1</v>
      </c>
      <c r="U221" t="s">
        <v>409</v>
      </c>
      <c r="V221" t="s">
        <v>342</v>
      </c>
      <c r="W221" t="s">
        <v>411</v>
      </c>
      <c r="X221" t="s">
        <v>306</v>
      </c>
      <c r="Y221" t="s">
        <v>307</v>
      </c>
      <c r="Z221">
        <v>65</v>
      </c>
      <c r="AA221">
        <v>90</v>
      </c>
      <c r="AB221" t="s">
        <v>143</v>
      </c>
      <c r="AC221" t="s">
        <v>149</v>
      </c>
      <c r="AD221" t="s">
        <v>404</v>
      </c>
      <c r="AE221" t="str">
        <f>IF(AF221="","",VLOOKUP(AC221,mapel!$A$2:$B$42,2,FALSE))</f>
        <v>B.Indo</v>
      </c>
      <c r="AF221">
        <f t="shared" si="9"/>
        <v>90</v>
      </c>
      <c r="AG221" t="str">
        <f>IF(AF221="","",IF(AF221&gt;90,"Sangat baik",IF(AF221&gt;79,"Baik",IF(AF221&gt;=pub_gid_0_single_true_output_csv[[#This Row],[KKM]],"Cukup","Kurang"))))</f>
        <v>Baik</v>
      </c>
      <c r="AH221">
        <f t="shared" si="10"/>
        <v>11</v>
      </c>
      <c r="AI221" s="30" t="str">
        <f>IF(OR(J221&lt;&gt;"Karakter",pub_gid_0_single_true_output_csv[[#This Row],[Nilai2]]=""),"",IF(AF221&gt;89,"Sangat baik",IF(AF221&gt;79,"Baik",IF(AF221&gt;69,"Cukup",IF(AF221&gt;59,"Kurang","Sangat kurang")))))</f>
        <v/>
      </c>
      <c r="AJ221" t="str">
        <f t="shared" si="11"/>
        <v>Wk.5</v>
      </c>
      <c r="AK221" t="str">
        <f>IF(pub_gid_0_single_true_output_csv[[#This Row],[Nilai2]]="","",VLOOKUP(pub_gid_0_single_true_output_csv[[#This Row],[NAMA]],Table7[],3,FALSE))</f>
        <v>High average</v>
      </c>
    </row>
    <row r="222" spans="1:37" x14ac:dyDescent="0.2">
      <c r="A222">
        <v>221</v>
      </c>
      <c r="B222" t="s">
        <v>293</v>
      </c>
      <c r="C222" t="s">
        <v>54</v>
      </c>
      <c r="D222" t="s">
        <v>45</v>
      </c>
      <c r="E222" t="s">
        <v>147</v>
      </c>
      <c r="F222" s="25">
        <v>46048</v>
      </c>
      <c r="G222" t="s">
        <v>371</v>
      </c>
      <c r="H222" t="s">
        <v>405</v>
      </c>
      <c r="I222" t="s">
        <v>371</v>
      </c>
      <c r="J222" t="s">
        <v>31</v>
      </c>
      <c r="K222" t="s">
        <v>96</v>
      </c>
      <c r="L222" t="s">
        <v>351</v>
      </c>
      <c r="M222" t="s">
        <v>141</v>
      </c>
      <c r="N222" t="s">
        <v>142</v>
      </c>
      <c r="O222" t="s">
        <v>155</v>
      </c>
      <c r="P222" t="s">
        <v>281</v>
      </c>
      <c r="Q222" t="s">
        <v>155</v>
      </c>
      <c r="R222" t="s">
        <v>302</v>
      </c>
      <c r="S222" t="s">
        <v>369</v>
      </c>
      <c r="T222">
        <v>1</v>
      </c>
      <c r="U222" t="s">
        <v>409</v>
      </c>
      <c r="V222" t="s">
        <v>342</v>
      </c>
      <c r="W222" t="s">
        <v>411</v>
      </c>
      <c r="X222" t="s">
        <v>306</v>
      </c>
      <c r="Y222" t="s">
        <v>307</v>
      </c>
      <c r="Z222">
        <v>65</v>
      </c>
      <c r="AA222">
        <v>65</v>
      </c>
      <c r="AB222" t="s">
        <v>143</v>
      </c>
      <c r="AC222" t="s">
        <v>149</v>
      </c>
      <c r="AD222" t="s">
        <v>404</v>
      </c>
      <c r="AE222" t="str">
        <f>IF(AF222="","",VLOOKUP(AC222,mapel!$A$2:$B$42,2,FALSE))</f>
        <v>B.Indo</v>
      </c>
      <c r="AF222">
        <f t="shared" si="9"/>
        <v>65</v>
      </c>
      <c r="AG222" t="str">
        <f>IF(AF222="","",IF(AF222&gt;90,"Sangat baik",IF(AF222&gt;79,"Baik",IF(AF222&gt;=pub_gid_0_single_true_output_csv[[#This Row],[KKM]],"Cukup","Kurang"))))</f>
        <v>Cukup</v>
      </c>
      <c r="AH222">
        <f t="shared" si="10"/>
        <v>11</v>
      </c>
      <c r="AI222" s="30" t="str">
        <f>IF(OR(J222&lt;&gt;"Karakter",pub_gid_0_single_true_output_csv[[#This Row],[Nilai2]]=""),"",IF(AF222&gt;89,"Sangat baik",IF(AF222&gt;79,"Baik",IF(AF222&gt;69,"Cukup",IF(AF222&gt;59,"Kurang","Sangat kurang")))))</f>
        <v/>
      </c>
      <c r="AJ222" t="str">
        <f t="shared" si="11"/>
        <v>Wk.5</v>
      </c>
      <c r="AK222" t="str">
        <f>IF(pub_gid_0_single_true_output_csv[[#This Row],[Nilai2]]="","",VLOOKUP(pub_gid_0_single_true_output_csv[[#This Row],[NAMA]],Table7[],3,FALSE))</f>
        <v>High average</v>
      </c>
    </row>
    <row r="223" spans="1:37" x14ac:dyDescent="0.2">
      <c r="A223">
        <v>222</v>
      </c>
      <c r="B223" t="s">
        <v>293</v>
      </c>
      <c r="C223" t="s">
        <v>54</v>
      </c>
      <c r="D223" t="s">
        <v>45</v>
      </c>
      <c r="E223" t="s">
        <v>147</v>
      </c>
      <c r="F223" s="25">
        <v>46048</v>
      </c>
      <c r="G223" t="s">
        <v>371</v>
      </c>
      <c r="H223" t="s">
        <v>405</v>
      </c>
      <c r="I223" t="s">
        <v>371</v>
      </c>
      <c r="J223" t="s">
        <v>90</v>
      </c>
      <c r="K223" t="s">
        <v>92</v>
      </c>
      <c r="L223" t="s">
        <v>91</v>
      </c>
      <c r="M223" t="s">
        <v>141</v>
      </c>
      <c r="N223" t="s">
        <v>142</v>
      </c>
      <c r="O223" t="s">
        <v>155</v>
      </c>
      <c r="P223" t="s">
        <v>281</v>
      </c>
      <c r="Q223" t="s">
        <v>155</v>
      </c>
      <c r="R223" t="s">
        <v>302</v>
      </c>
      <c r="S223" t="s">
        <v>369</v>
      </c>
      <c r="T223">
        <v>1</v>
      </c>
      <c r="U223" t="s">
        <v>409</v>
      </c>
      <c r="V223" t="s">
        <v>342</v>
      </c>
      <c r="W223" t="s">
        <v>411</v>
      </c>
      <c r="X223" t="s">
        <v>306</v>
      </c>
      <c r="Y223" t="s">
        <v>307</v>
      </c>
      <c r="Z223">
        <v>65</v>
      </c>
      <c r="AA223">
        <v>70</v>
      </c>
      <c r="AB223" t="s">
        <v>143</v>
      </c>
      <c r="AC223" t="s">
        <v>149</v>
      </c>
      <c r="AD223" t="s">
        <v>404</v>
      </c>
      <c r="AE223" t="str">
        <f>IF(AF223="","",VLOOKUP(AC223,mapel!$A$2:$B$42,2,FALSE))</f>
        <v>B.Indo</v>
      </c>
      <c r="AF223">
        <f t="shared" si="9"/>
        <v>70</v>
      </c>
      <c r="AG223" t="str">
        <f>IF(AF223="","",IF(AF223&gt;90,"Sangat baik",IF(AF223&gt;79,"Baik",IF(AF223&gt;=pub_gid_0_single_true_output_csv[[#This Row],[KKM]],"Cukup","Kurang"))))</f>
        <v>Cukup</v>
      </c>
      <c r="AH223">
        <f t="shared" si="10"/>
        <v>11</v>
      </c>
      <c r="AI223" s="30" t="str">
        <f>IF(OR(J223&lt;&gt;"Karakter",pub_gid_0_single_true_output_csv[[#This Row],[Nilai2]]=""),"",IF(AF223&gt;89,"Sangat baik",IF(AF223&gt;79,"Baik",IF(AF223&gt;69,"Cukup",IF(AF223&gt;59,"Kurang","Sangat kurang")))))</f>
        <v>Cukup</v>
      </c>
      <c r="AJ223" t="str">
        <f t="shared" si="11"/>
        <v>Wk.5</v>
      </c>
      <c r="AK223" t="str">
        <f>IF(pub_gid_0_single_true_output_csv[[#This Row],[Nilai2]]="","",VLOOKUP(pub_gid_0_single_true_output_csv[[#This Row],[NAMA]],Table7[],3,FALSE))</f>
        <v>High average</v>
      </c>
    </row>
    <row r="224" spans="1:37" x14ac:dyDescent="0.2">
      <c r="A224">
        <v>223</v>
      </c>
      <c r="B224" t="s">
        <v>293</v>
      </c>
      <c r="C224" t="s">
        <v>54</v>
      </c>
      <c r="D224" t="s">
        <v>45</v>
      </c>
      <c r="E224" t="s">
        <v>147</v>
      </c>
      <c r="F224" s="25">
        <v>46048</v>
      </c>
      <c r="G224" t="s">
        <v>371</v>
      </c>
      <c r="H224" t="s">
        <v>405</v>
      </c>
      <c r="I224" t="s">
        <v>371</v>
      </c>
      <c r="J224" t="s">
        <v>279</v>
      </c>
      <c r="K224" t="s">
        <v>280</v>
      </c>
      <c r="L224" t="s">
        <v>322</v>
      </c>
      <c r="M224" t="s">
        <v>141</v>
      </c>
      <c r="N224" t="s">
        <v>142</v>
      </c>
      <c r="O224" t="s">
        <v>155</v>
      </c>
      <c r="P224" t="s">
        <v>281</v>
      </c>
      <c r="Q224" t="s">
        <v>155</v>
      </c>
      <c r="R224" t="s">
        <v>302</v>
      </c>
      <c r="S224" t="s">
        <v>369</v>
      </c>
      <c r="T224">
        <v>1</v>
      </c>
      <c r="U224" t="s">
        <v>409</v>
      </c>
      <c r="V224" t="s">
        <v>342</v>
      </c>
      <c r="W224" t="s">
        <v>411</v>
      </c>
      <c r="X224" t="s">
        <v>306</v>
      </c>
      <c r="Y224" t="s">
        <v>307</v>
      </c>
      <c r="Z224">
        <v>65</v>
      </c>
      <c r="AA224">
        <v>70</v>
      </c>
      <c r="AB224" t="s">
        <v>143</v>
      </c>
      <c r="AC224" t="s">
        <v>149</v>
      </c>
      <c r="AD224" t="s">
        <v>404</v>
      </c>
      <c r="AE224" t="str">
        <f>IF(AF224="","",VLOOKUP(AC224,mapel!$A$2:$B$42,2,FALSE))</f>
        <v>B.Indo</v>
      </c>
      <c r="AF224">
        <f t="shared" si="9"/>
        <v>70</v>
      </c>
      <c r="AG224" t="str">
        <f>IF(AF224="","",IF(AF224&gt;90,"Sangat baik",IF(AF224&gt;79,"Baik",IF(AF224&gt;=pub_gid_0_single_true_output_csv[[#This Row],[KKM]],"Cukup","Kurang"))))</f>
        <v>Cukup</v>
      </c>
      <c r="AH224">
        <f t="shared" si="10"/>
        <v>11</v>
      </c>
      <c r="AI224" s="30" t="str">
        <f>IF(OR(J224&lt;&gt;"Karakter",pub_gid_0_single_true_output_csv[[#This Row],[Nilai2]]=""),"",IF(AF224&gt;89,"Sangat baik",IF(AF224&gt;79,"Baik",IF(AF224&gt;69,"Cukup",IF(AF224&gt;59,"Kurang","Sangat kurang")))))</f>
        <v/>
      </c>
      <c r="AJ224" t="str">
        <f t="shared" si="11"/>
        <v>Wk.5</v>
      </c>
      <c r="AK224" t="str">
        <f>IF(pub_gid_0_single_true_output_csv[[#This Row],[Nilai2]]="","",VLOOKUP(pub_gid_0_single_true_output_csv[[#This Row],[NAMA]],Table7[],3,FALSE))</f>
        <v>High average</v>
      </c>
    </row>
    <row r="225" spans="1:37" x14ac:dyDescent="0.2">
      <c r="A225">
        <v>224</v>
      </c>
      <c r="B225" t="s">
        <v>293</v>
      </c>
      <c r="C225" t="s">
        <v>54</v>
      </c>
      <c r="D225" t="s">
        <v>45</v>
      </c>
      <c r="E225" t="s">
        <v>147</v>
      </c>
      <c r="F225" s="25">
        <v>46049</v>
      </c>
      <c r="G225" t="s">
        <v>373</v>
      </c>
      <c r="H225" t="s">
        <v>405</v>
      </c>
      <c r="I225" t="s">
        <v>371</v>
      </c>
      <c r="J225" t="s">
        <v>36</v>
      </c>
      <c r="K225" t="s">
        <v>37</v>
      </c>
      <c r="L225" t="s">
        <v>321</v>
      </c>
      <c r="M225" t="s">
        <v>141</v>
      </c>
      <c r="N225" t="s">
        <v>142</v>
      </c>
      <c r="O225" t="s">
        <v>155</v>
      </c>
      <c r="P225" t="s">
        <v>281</v>
      </c>
      <c r="Q225" t="s">
        <v>155</v>
      </c>
      <c r="R225" t="s">
        <v>302</v>
      </c>
      <c r="S225" t="s">
        <v>369</v>
      </c>
      <c r="T225">
        <v>1</v>
      </c>
      <c r="U225" t="s">
        <v>409</v>
      </c>
      <c r="V225" t="s">
        <v>342</v>
      </c>
      <c r="W225" t="s">
        <v>411</v>
      </c>
      <c r="X225" t="s">
        <v>306</v>
      </c>
      <c r="Y225" t="s">
        <v>307</v>
      </c>
      <c r="Z225">
        <v>65</v>
      </c>
      <c r="AA225">
        <v>68</v>
      </c>
      <c r="AB225" t="s">
        <v>143</v>
      </c>
      <c r="AC225" t="s">
        <v>149</v>
      </c>
      <c r="AD225" t="s">
        <v>404</v>
      </c>
      <c r="AE225" t="str">
        <f>IF(AF225="","",VLOOKUP(AC225,mapel!$A$2:$B$42,2,FALSE))</f>
        <v>B.Indo</v>
      </c>
      <c r="AF225">
        <f t="shared" si="9"/>
        <v>68</v>
      </c>
      <c r="AG225" t="str">
        <f>IF(AF225="","",IF(AF225&gt;90,"Sangat baik",IF(AF225&gt;79,"Baik",IF(AF225&gt;=pub_gid_0_single_true_output_csv[[#This Row],[KKM]],"Cukup","Kurang"))))</f>
        <v>Cukup</v>
      </c>
      <c r="AH225">
        <f t="shared" si="10"/>
        <v>11</v>
      </c>
      <c r="AI225" s="30" t="str">
        <f>IF(OR(J225&lt;&gt;"Karakter",pub_gid_0_single_true_output_csv[[#This Row],[Nilai2]]=""),"",IF(AF225&gt;89,"Sangat baik",IF(AF225&gt;79,"Baik",IF(AF225&gt;69,"Cukup",IF(AF225&gt;59,"Kurang","Sangat kurang")))))</f>
        <v/>
      </c>
      <c r="AJ225" t="str">
        <f t="shared" si="11"/>
        <v>Wk.5</v>
      </c>
      <c r="AK225" t="str">
        <f>IF(pub_gid_0_single_true_output_csv[[#This Row],[Nilai2]]="","",VLOOKUP(pub_gid_0_single_true_output_csv[[#This Row],[NAMA]],Table7[],3,FALSE))</f>
        <v>High average</v>
      </c>
    </row>
    <row r="226" spans="1:37" x14ac:dyDescent="0.2">
      <c r="A226">
        <v>225</v>
      </c>
      <c r="B226" t="s">
        <v>293</v>
      </c>
      <c r="C226" t="s">
        <v>54</v>
      </c>
      <c r="D226" t="s">
        <v>45</v>
      </c>
      <c r="E226" t="s">
        <v>147</v>
      </c>
      <c r="F226" s="25">
        <v>46049</v>
      </c>
      <c r="G226" t="s">
        <v>373</v>
      </c>
      <c r="H226" t="s">
        <v>405</v>
      </c>
      <c r="I226" t="s">
        <v>371</v>
      </c>
      <c r="J226" t="s">
        <v>31</v>
      </c>
      <c r="K226" t="s">
        <v>96</v>
      </c>
      <c r="L226" t="s">
        <v>321</v>
      </c>
      <c r="M226" t="s">
        <v>141</v>
      </c>
      <c r="N226" t="s">
        <v>142</v>
      </c>
      <c r="O226" t="s">
        <v>155</v>
      </c>
      <c r="P226" t="s">
        <v>281</v>
      </c>
      <c r="Q226" t="s">
        <v>155</v>
      </c>
      <c r="R226" t="s">
        <v>302</v>
      </c>
      <c r="S226" t="s">
        <v>369</v>
      </c>
      <c r="T226">
        <v>1</v>
      </c>
      <c r="U226" t="s">
        <v>409</v>
      </c>
      <c r="V226" t="s">
        <v>342</v>
      </c>
      <c r="W226" t="s">
        <v>411</v>
      </c>
      <c r="X226" t="s">
        <v>306</v>
      </c>
      <c r="Y226" t="s">
        <v>307</v>
      </c>
      <c r="Z226">
        <v>65</v>
      </c>
      <c r="AA226">
        <v>67</v>
      </c>
      <c r="AB226" t="s">
        <v>143</v>
      </c>
      <c r="AC226" t="s">
        <v>149</v>
      </c>
      <c r="AD226" t="s">
        <v>404</v>
      </c>
      <c r="AE226" t="str">
        <f>IF(AF226="","",VLOOKUP(AC226,mapel!$A$2:$B$42,2,FALSE))</f>
        <v>B.Indo</v>
      </c>
      <c r="AF226">
        <f t="shared" si="9"/>
        <v>67</v>
      </c>
      <c r="AG226" t="str">
        <f>IF(AF226="","",IF(AF226&gt;90,"Sangat baik",IF(AF226&gt;79,"Baik",IF(AF226&gt;=pub_gid_0_single_true_output_csv[[#This Row],[KKM]],"Cukup","Kurang"))))</f>
        <v>Cukup</v>
      </c>
      <c r="AH226">
        <f t="shared" si="10"/>
        <v>11</v>
      </c>
      <c r="AI226" s="30" t="str">
        <f>IF(OR(J226&lt;&gt;"Karakter",pub_gid_0_single_true_output_csv[[#This Row],[Nilai2]]=""),"",IF(AF226&gt;89,"Sangat baik",IF(AF226&gt;79,"Baik",IF(AF226&gt;69,"Cukup",IF(AF226&gt;59,"Kurang","Sangat kurang")))))</f>
        <v/>
      </c>
      <c r="AJ226" t="str">
        <f t="shared" si="11"/>
        <v>Wk.5</v>
      </c>
      <c r="AK226" t="str">
        <f>IF(pub_gid_0_single_true_output_csv[[#This Row],[Nilai2]]="","",VLOOKUP(pub_gid_0_single_true_output_csv[[#This Row],[NAMA]],Table7[],3,FALSE))</f>
        <v>High average</v>
      </c>
    </row>
    <row r="227" spans="1:37" x14ac:dyDescent="0.2">
      <c r="A227">
        <v>226</v>
      </c>
      <c r="B227" t="s">
        <v>293</v>
      </c>
      <c r="C227" t="s">
        <v>54</v>
      </c>
      <c r="D227" t="s">
        <v>45</v>
      </c>
      <c r="E227" t="s">
        <v>147</v>
      </c>
      <c r="F227" s="25">
        <v>46049</v>
      </c>
      <c r="G227" t="s">
        <v>373</v>
      </c>
      <c r="H227" t="s">
        <v>405</v>
      </c>
      <c r="I227" t="s">
        <v>371</v>
      </c>
      <c r="J227" t="s">
        <v>90</v>
      </c>
      <c r="K227" t="s">
        <v>92</v>
      </c>
      <c r="L227" t="s">
        <v>93</v>
      </c>
      <c r="M227" t="s">
        <v>141</v>
      </c>
      <c r="N227" t="s">
        <v>142</v>
      </c>
      <c r="O227" t="s">
        <v>155</v>
      </c>
      <c r="P227" t="s">
        <v>281</v>
      </c>
      <c r="Q227" t="s">
        <v>155</v>
      </c>
      <c r="R227" t="s">
        <v>302</v>
      </c>
      <c r="S227" t="s">
        <v>369</v>
      </c>
      <c r="T227">
        <v>1</v>
      </c>
      <c r="U227" t="s">
        <v>409</v>
      </c>
      <c r="V227" t="s">
        <v>342</v>
      </c>
      <c r="W227" t="s">
        <v>411</v>
      </c>
      <c r="X227" t="s">
        <v>306</v>
      </c>
      <c r="Y227" t="s">
        <v>307</v>
      </c>
      <c r="Z227">
        <v>65</v>
      </c>
      <c r="AA227">
        <v>70</v>
      </c>
      <c r="AB227" t="s">
        <v>143</v>
      </c>
      <c r="AC227" t="s">
        <v>149</v>
      </c>
      <c r="AD227" t="s">
        <v>404</v>
      </c>
      <c r="AE227" t="str">
        <f>IF(AF227="","",VLOOKUP(AC227,mapel!$A$2:$B$42,2,FALSE))</f>
        <v>B.Indo</v>
      </c>
      <c r="AF227">
        <f t="shared" si="9"/>
        <v>70</v>
      </c>
      <c r="AG227" t="str">
        <f>IF(AF227="","",IF(AF227&gt;90,"Sangat baik",IF(AF227&gt;79,"Baik",IF(AF227&gt;=pub_gid_0_single_true_output_csv[[#This Row],[KKM]],"Cukup","Kurang"))))</f>
        <v>Cukup</v>
      </c>
      <c r="AH227">
        <f t="shared" si="10"/>
        <v>11</v>
      </c>
      <c r="AI227" s="30" t="str">
        <f>IF(OR(J227&lt;&gt;"Karakter",pub_gid_0_single_true_output_csv[[#This Row],[Nilai2]]=""),"",IF(AF227&gt;89,"Sangat baik",IF(AF227&gt;79,"Baik",IF(AF227&gt;69,"Cukup",IF(AF227&gt;59,"Kurang","Sangat kurang")))))</f>
        <v>Cukup</v>
      </c>
      <c r="AJ227" t="str">
        <f t="shared" si="11"/>
        <v>Wk.5</v>
      </c>
      <c r="AK227" t="str">
        <f>IF(pub_gid_0_single_true_output_csv[[#This Row],[Nilai2]]="","",VLOOKUP(pub_gid_0_single_true_output_csv[[#This Row],[NAMA]],Table7[],3,FALSE))</f>
        <v>High average</v>
      </c>
    </row>
    <row r="228" spans="1:37" x14ac:dyDescent="0.2">
      <c r="A228">
        <v>227</v>
      </c>
      <c r="B228" t="s">
        <v>293</v>
      </c>
      <c r="C228" t="s">
        <v>54</v>
      </c>
      <c r="D228" t="s">
        <v>45</v>
      </c>
      <c r="E228" t="s">
        <v>147</v>
      </c>
      <c r="F228" s="25">
        <v>46049</v>
      </c>
      <c r="G228" t="s">
        <v>373</v>
      </c>
      <c r="H228" t="s">
        <v>405</v>
      </c>
      <c r="I228" t="s">
        <v>371</v>
      </c>
      <c r="J228" t="s">
        <v>279</v>
      </c>
      <c r="K228" t="s">
        <v>280</v>
      </c>
      <c r="L228" t="s">
        <v>322</v>
      </c>
      <c r="M228" t="s">
        <v>141</v>
      </c>
      <c r="N228" t="s">
        <v>142</v>
      </c>
      <c r="O228" t="s">
        <v>155</v>
      </c>
      <c r="P228" t="s">
        <v>281</v>
      </c>
      <c r="Q228" t="s">
        <v>155</v>
      </c>
      <c r="R228" t="s">
        <v>302</v>
      </c>
      <c r="S228" t="s">
        <v>369</v>
      </c>
      <c r="T228">
        <v>1</v>
      </c>
      <c r="U228" t="s">
        <v>409</v>
      </c>
      <c r="V228" t="s">
        <v>342</v>
      </c>
      <c r="W228" t="s">
        <v>411</v>
      </c>
      <c r="X228" t="s">
        <v>306</v>
      </c>
      <c r="Y228" t="s">
        <v>307</v>
      </c>
      <c r="Z228">
        <v>65</v>
      </c>
      <c r="AA228">
        <v>75</v>
      </c>
      <c r="AB228" t="s">
        <v>143</v>
      </c>
      <c r="AC228" t="s">
        <v>149</v>
      </c>
      <c r="AD228" t="s">
        <v>404</v>
      </c>
      <c r="AE228" t="str">
        <f>IF(AF228="","",VLOOKUP(AC228,mapel!$A$2:$B$42,2,FALSE))</f>
        <v>B.Indo</v>
      </c>
      <c r="AF228">
        <f t="shared" si="9"/>
        <v>75</v>
      </c>
      <c r="AG228" t="str">
        <f>IF(AF228="","",IF(AF228&gt;90,"Sangat baik",IF(AF228&gt;79,"Baik",IF(AF228&gt;=pub_gid_0_single_true_output_csv[[#This Row],[KKM]],"Cukup","Kurang"))))</f>
        <v>Cukup</v>
      </c>
      <c r="AH228">
        <f t="shared" si="10"/>
        <v>11</v>
      </c>
      <c r="AI228" s="30" t="str">
        <f>IF(OR(J228&lt;&gt;"Karakter",pub_gid_0_single_true_output_csv[[#This Row],[Nilai2]]=""),"",IF(AF228&gt;89,"Sangat baik",IF(AF228&gt;79,"Baik",IF(AF228&gt;69,"Cukup",IF(AF228&gt;59,"Kurang","Sangat kurang")))))</f>
        <v/>
      </c>
      <c r="AJ228" t="str">
        <f t="shared" si="11"/>
        <v>Wk.5</v>
      </c>
      <c r="AK228" t="str">
        <f>IF(pub_gid_0_single_true_output_csv[[#This Row],[Nilai2]]="","",VLOOKUP(pub_gid_0_single_true_output_csv[[#This Row],[NAMA]],Table7[],3,FALSE))</f>
        <v>High average</v>
      </c>
    </row>
    <row r="229" spans="1:37" x14ac:dyDescent="0.2">
      <c r="A229">
        <v>228</v>
      </c>
      <c r="B229" t="s">
        <v>293</v>
      </c>
      <c r="C229" t="s">
        <v>54</v>
      </c>
      <c r="D229" t="s">
        <v>45</v>
      </c>
      <c r="E229" t="s">
        <v>147</v>
      </c>
      <c r="F229" s="25">
        <v>46055</v>
      </c>
      <c r="G229" t="s">
        <v>379</v>
      </c>
      <c r="H229" t="s">
        <v>412</v>
      </c>
      <c r="I229" t="s">
        <v>371</v>
      </c>
      <c r="J229" t="s">
        <v>36</v>
      </c>
      <c r="K229" t="s">
        <v>37</v>
      </c>
      <c r="L229" t="s">
        <v>150</v>
      </c>
      <c r="M229" t="s">
        <v>141</v>
      </c>
      <c r="N229" t="s">
        <v>142</v>
      </c>
      <c r="O229" t="s">
        <v>155</v>
      </c>
      <c r="P229" t="s">
        <v>281</v>
      </c>
      <c r="Q229" t="s">
        <v>155</v>
      </c>
      <c r="R229" t="s">
        <v>302</v>
      </c>
      <c r="S229" t="s">
        <v>345</v>
      </c>
      <c r="T229">
        <v>1</v>
      </c>
      <c r="U229" t="s">
        <v>409</v>
      </c>
      <c r="V229" t="s">
        <v>343</v>
      </c>
      <c r="W229" t="s">
        <v>413</v>
      </c>
      <c r="X229" t="s">
        <v>306</v>
      </c>
      <c r="Y229" t="s">
        <v>307</v>
      </c>
      <c r="Z229">
        <v>65</v>
      </c>
      <c r="AA229">
        <v>75</v>
      </c>
      <c r="AB229" t="s">
        <v>143</v>
      </c>
      <c r="AC229" t="s">
        <v>149</v>
      </c>
      <c r="AD229" t="s">
        <v>404</v>
      </c>
      <c r="AE229" t="str">
        <f>IF(AF229="","",VLOOKUP(AC229,mapel!$A$2:$B$42,2,FALSE))</f>
        <v>B.Indo</v>
      </c>
      <c r="AF229">
        <f t="shared" si="9"/>
        <v>75</v>
      </c>
      <c r="AG229" t="str">
        <f>IF(AF229="","",IF(AF229&gt;90,"Sangat baik",IF(AF229&gt;79,"Baik",IF(AF229&gt;=pub_gid_0_single_true_output_csv[[#This Row],[KKM]],"Cukup","Kurang"))))</f>
        <v>Cukup</v>
      </c>
      <c r="AH229">
        <f t="shared" si="10"/>
        <v>11</v>
      </c>
      <c r="AI229" s="30" t="str">
        <f>IF(OR(J229&lt;&gt;"Karakter",pub_gid_0_single_true_output_csv[[#This Row],[Nilai2]]=""),"",IF(AF229&gt;89,"Sangat baik",IF(AF229&gt;79,"Baik",IF(AF229&gt;69,"Cukup",IF(AF229&gt;59,"Kurang","Sangat kurang")))))</f>
        <v/>
      </c>
      <c r="AJ229" t="str">
        <f t="shared" si="11"/>
        <v>Wk.6</v>
      </c>
      <c r="AK229" t="str">
        <f>IF(pub_gid_0_single_true_output_csv[[#This Row],[Nilai2]]="","",VLOOKUP(pub_gid_0_single_true_output_csv[[#This Row],[NAMA]],Table7[],3,FALSE))</f>
        <v>High average</v>
      </c>
    </row>
    <row r="230" spans="1:37" x14ac:dyDescent="0.2">
      <c r="A230">
        <v>229</v>
      </c>
      <c r="B230" t="s">
        <v>293</v>
      </c>
      <c r="C230" t="s">
        <v>54</v>
      </c>
      <c r="D230" t="s">
        <v>45</v>
      </c>
      <c r="E230" t="s">
        <v>147</v>
      </c>
      <c r="F230" s="25">
        <v>46055</v>
      </c>
      <c r="G230" t="s">
        <v>379</v>
      </c>
      <c r="H230" t="s">
        <v>412</v>
      </c>
      <c r="I230" t="s">
        <v>371</v>
      </c>
      <c r="J230" t="s">
        <v>31</v>
      </c>
      <c r="K230" t="s">
        <v>96</v>
      </c>
      <c r="L230" t="s">
        <v>150</v>
      </c>
      <c r="M230" t="s">
        <v>141</v>
      </c>
      <c r="N230" t="s">
        <v>142</v>
      </c>
      <c r="O230" t="s">
        <v>155</v>
      </c>
      <c r="P230" t="s">
        <v>281</v>
      </c>
      <c r="Q230" t="s">
        <v>155</v>
      </c>
      <c r="R230" t="s">
        <v>302</v>
      </c>
      <c r="S230" t="s">
        <v>345</v>
      </c>
      <c r="T230">
        <v>1</v>
      </c>
      <c r="U230" t="s">
        <v>409</v>
      </c>
      <c r="V230" t="s">
        <v>343</v>
      </c>
      <c r="W230" t="s">
        <v>413</v>
      </c>
      <c r="X230" t="s">
        <v>306</v>
      </c>
      <c r="Y230" t="s">
        <v>307</v>
      </c>
      <c r="Z230">
        <v>65</v>
      </c>
      <c r="AA230">
        <v>90</v>
      </c>
      <c r="AB230" t="s">
        <v>143</v>
      </c>
      <c r="AC230" t="s">
        <v>149</v>
      </c>
      <c r="AD230" t="s">
        <v>404</v>
      </c>
      <c r="AE230" t="str">
        <f>IF(AF230="","",VLOOKUP(AC230,mapel!$A$2:$B$42,2,FALSE))</f>
        <v>B.Indo</v>
      </c>
      <c r="AF230">
        <f t="shared" si="9"/>
        <v>90</v>
      </c>
      <c r="AG230" t="str">
        <f>IF(AF230="","",IF(AF230&gt;90,"Sangat baik",IF(AF230&gt;79,"Baik",IF(AF230&gt;=pub_gid_0_single_true_output_csv[[#This Row],[KKM]],"Cukup","Kurang"))))</f>
        <v>Baik</v>
      </c>
      <c r="AH230">
        <f t="shared" si="10"/>
        <v>11</v>
      </c>
      <c r="AI230" s="30" t="str">
        <f>IF(OR(J230&lt;&gt;"Karakter",pub_gid_0_single_true_output_csv[[#This Row],[Nilai2]]=""),"",IF(AF230&gt;89,"Sangat baik",IF(AF230&gt;79,"Baik",IF(AF230&gt;69,"Cukup",IF(AF230&gt;59,"Kurang","Sangat kurang")))))</f>
        <v/>
      </c>
      <c r="AJ230" t="str">
        <f t="shared" si="11"/>
        <v>Wk.6</v>
      </c>
      <c r="AK230" t="str">
        <f>IF(pub_gid_0_single_true_output_csv[[#This Row],[Nilai2]]="","",VLOOKUP(pub_gid_0_single_true_output_csv[[#This Row],[NAMA]],Table7[],3,FALSE))</f>
        <v>High average</v>
      </c>
    </row>
    <row r="231" spans="1:37" x14ac:dyDescent="0.2">
      <c r="A231">
        <v>230</v>
      </c>
      <c r="B231" t="s">
        <v>293</v>
      </c>
      <c r="C231" t="s">
        <v>54</v>
      </c>
      <c r="D231" t="s">
        <v>45</v>
      </c>
      <c r="E231" t="s">
        <v>147</v>
      </c>
      <c r="F231" s="25">
        <v>46055</v>
      </c>
      <c r="G231" t="s">
        <v>379</v>
      </c>
      <c r="H231" t="s">
        <v>412</v>
      </c>
      <c r="I231" t="s">
        <v>371</v>
      </c>
      <c r="J231" t="s">
        <v>90</v>
      </c>
      <c r="K231" t="s">
        <v>92</v>
      </c>
      <c r="L231" t="s">
        <v>91</v>
      </c>
      <c r="M231" t="s">
        <v>141</v>
      </c>
      <c r="N231" t="s">
        <v>142</v>
      </c>
      <c r="O231" t="s">
        <v>155</v>
      </c>
      <c r="P231" t="s">
        <v>281</v>
      </c>
      <c r="Q231" t="s">
        <v>155</v>
      </c>
      <c r="R231" t="s">
        <v>302</v>
      </c>
      <c r="S231" t="s">
        <v>345</v>
      </c>
      <c r="T231">
        <v>1</v>
      </c>
      <c r="U231" t="s">
        <v>409</v>
      </c>
      <c r="V231" t="s">
        <v>343</v>
      </c>
      <c r="W231" t="s">
        <v>413</v>
      </c>
      <c r="X231" t="s">
        <v>306</v>
      </c>
      <c r="Y231" t="s">
        <v>307</v>
      </c>
      <c r="Z231">
        <v>65</v>
      </c>
      <c r="AA231">
        <v>70</v>
      </c>
      <c r="AB231" t="s">
        <v>143</v>
      </c>
      <c r="AC231" t="s">
        <v>149</v>
      </c>
      <c r="AD231" t="s">
        <v>404</v>
      </c>
      <c r="AE231" t="str">
        <f>IF(AF231="","",VLOOKUP(AC231,mapel!$A$2:$B$42,2,FALSE))</f>
        <v>B.Indo</v>
      </c>
      <c r="AF231">
        <f t="shared" si="9"/>
        <v>70</v>
      </c>
      <c r="AG231" t="str">
        <f>IF(AF231="","",IF(AF231&gt;90,"Sangat baik",IF(AF231&gt;79,"Baik",IF(AF231&gt;=pub_gid_0_single_true_output_csv[[#This Row],[KKM]],"Cukup","Kurang"))))</f>
        <v>Cukup</v>
      </c>
      <c r="AH231">
        <f t="shared" si="10"/>
        <v>11</v>
      </c>
      <c r="AI231" s="30" t="str">
        <f>IF(OR(J231&lt;&gt;"Karakter",pub_gid_0_single_true_output_csv[[#This Row],[Nilai2]]=""),"",IF(AF231&gt;89,"Sangat baik",IF(AF231&gt;79,"Baik",IF(AF231&gt;69,"Cukup",IF(AF231&gt;59,"Kurang","Sangat kurang")))))</f>
        <v>Cukup</v>
      </c>
      <c r="AJ231" t="str">
        <f t="shared" si="11"/>
        <v>Wk.6</v>
      </c>
      <c r="AK231" t="str">
        <f>IF(pub_gid_0_single_true_output_csv[[#This Row],[Nilai2]]="","",VLOOKUP(pub_gid_0_single_true_output_csv[[#This Row],[NAMA]],Table7[],3,FALSE))</f>
        <v>High average</v>
      </c>
    </row>
    <row r="232" spans="1:37" x14ac:dyDescent="0.2">
      <c r="A232">
        <v>231</v>
      </c>
      <c r="B232" t="s">
        <v>293</v>
      </c>
      <c r="C232" t="s">
        <v>54</v>
      </c>
      <c r="D232" t="s">
        <v>45</v>
      </c>
      <c r="E232" t="s">
        <v>147</v>
      </c>
      <c r="F232" s="25">
        <v>46055</v>
      </c>
      <c r="G232" t="s">
        <v>379</v>
      </c>
      <c r="H232" t="s">
        <v>412</v>
      </c>
      <c r="I232" t="s">
        <v>371</v>
      </c>
      <c r="J232" t="s">
        <v>279</v>
      </c>
      <c r="K232" t="s">
        <v>280</v>
      </c>
      <c r="L232" t="s">
        <v>322</v>
      </c>
      <c r="M232" t="s">
        <v>141</v>
      </c>
      <c r="N232" t="s">
        <v>142</v>
      </c>
      <c r="O232" t="s">
        <v>155</v>
      </c>
      <c r="P232" t="s">
        <v>281</v>
      </c>
      <c r="Q232" t="s">
        <v>155</v>
      </c>
      <c r="R232" t="s">
        <v>302</v>
      </c>
      <c r="S232" t="s">
        <v>345</v>
      </c>
      <c r="T232">
        <v>1</v>
      </c>
      <c r="U232" t="s">
        <v>409</v>
      </c>
      <c r="V232" t="s">
        <v>343</v>
      </c>
      <c r="W232" t="s">
        <v>413</v>
      </c>
      <c r="X232" t="s">
        <v>306</v>
      </c>
      <c r="Y232" t="s">
        <v>307</v>
      </c>
      <c r="Z232">
        <v>65</v>
      </c>
      <c r="AA232">
        <v>70</v>
      </c>
      <c r="AB232" t="s">
        <v>143</v>
      </c>
      <c r="AC232" t="s">
        <v>149</v>
      </c>
      <c r="AD232" t="s">
        <v>404</v>
      </c>
      <c r="AE232" t="str">
        <f>IF(AF232="","",VLOOKUP(AC232,mapel!$A$2:$B$42,2,FALSE))</f>
        <v>B.Indo</v>
      </c>
      <c r="AF232">
        <f t="shared" si="9"/>
        <v>70</v>
      </c>
      <c r="AG232" t="str">
        <f>IF(AF232="","",IF(AF232&gt;90,"Sangat baik",IF(AF232&gt;79,"Baik",IF(AF232&gt;=pub_gid_0_single_true_output_csv[[#This Row],[KKM]],"Cukup","Kurang"))))</f>
        <v>Cukup</v>
      </c>
      <c r="AH232">
        <f t="shared" si="10"/>
        <v>11</v>
      </c>
      <c r="AI232" s="30" t="str">
        <f>IF(OR(J232&lt;&gt;"Karakter",pub_gid_0_single_true_output_csv[[#This Row],[Nilai2]]=""),"",IF(AF232&gt;89,"Sangat baik",IF(AF232&gt;79,"Baik",IF(AF232&gt;69,"Cukup",IF(AF232&gt;59,"Kurang","Sangat kurang")))))</f>
        <v/>
      </c>
      <c r="AJ232" t="str">
        <f t="shared" si="11"/>
        <v>Wk.6</v>
      </c>
      <c r="AK232" t="str">
        <f>IF(pub_gid_0_single_true_output_csv[[#This Row],[Nilai2]]="","",VLOOKUP(pub_gid_0_single_true_output_csv[[#This Row],[NAMA]],Table7[],3,FALSE))</f>
        <v>High average</v>
      </c>
    </row>
    <row r="233" spans="1:37" x14ac:dyDescent="0.2">
      <c r="A233">
        <v>232</v>
      </c>
      <c r="B233" t="s">
        <v>293</v>
      </c>
      <c r="C233" t="s">
        <v>54</v>
      </c>
      <c r="D233" t="s">
        <v>45</v>
      </c>
      <c r="E233" t="s">
        <v>147</v>
      </c>
      <c r="F233" s="25">
        <v>46062</v>
      </c>
      <c r="G233" t="s">
        <v>376</v>
      </c>
      <c r="H233" t="s">
        <v>412</v>
      </c>
      <c r="I233" t="s">
        <v>371</v>
      </c>
      <c r="J233" t="s">
        <v>36</v>
      </c>
      <c r="K233" t="s">
        <v>37</v>
      </c>
      <c r="L233" t="s">
        <v>351</v>
      </c>
      <c r="M233" t="s">
        <v>141</v>
      </c>
      <c r="N233" t="s">
        <v>142</v>
      </c>
      <c r="O233" t="s">
        <v>155</v>
      </c>
      <c r="P233" t="s">
        <v>281</v>
      </c>
      <c r="Q233" t="s">
        <v>155</v>
      </c>
      <c r="R233" t="s">
        <v>302</v>
      </c>
      <c r="S233" t="s">
        <v>345</v>
      </c>
      <c r="T233">
        <v>1</v>
      </c>
      <c r="U233" t="s">
        <v>409</v>
      </c>
      <c r="V233" t="s">
        <v>343</v>
      </c>
      <c r="W233" t="s">
        <v>413</v>
      </c>
      <c r="X233" t="s">
        <v>306</v>
      </c>
      <c r="Y233" t="s">
        <v>307</v>
      </c>
      <c r="Z233">
        <v>65</v>
      </c>
      <c r="AA233">
        <v>70</v>
      </c>
      <c r="AB233" t="s">
        <v>143</v>
      </c>
      <c r="AC233" t="s">
        <v>149</v>
      </c>
      <c r="AD233" t="s">
        <v>404</v>
      </c>
      <c r="AE233" t="str">
        <f>IF(AF233="","",VLOOKUP(AC233,mapel!$A$2:$B$42,2,FALSE))</f>
        <v>B.Indo</v>
      </c>
      <c r="AF233">
        <f t="shared" si="9"/>
        <v>70</v>
      </c>
      <c r="AG233" t="str">
        <f>IF(AF233="","",IF(AF233&gt;90,"Sangat baik",IF(AF233&gt;79,"Baik",IF(AF233&gt;=pub_gid_0_single_true_output_csv[[#This Row],[KKM]],"Cukup","Kurang"))))</f>
        <v>Cukup</v>
      </c>
      <c r="AH233">
        <f t="shared" si="10"/>
        <v>11</v>
      </c>
      <c r="AI233" s="30" t="str">
        <f>IF(OR(J233&lt;&gt;"Karakter",pub_gid_0_single_true_output_csv[[#This Row],[Nilai2]]=""),"",IF(AF233&gt;89,"Sangat baik",IF(AF233&gt;79,"Baik",IF(AF233&gt;69,"Cukup",IF(AF233&gt;59,"Kurang","Sangat kurang")))))</f>
        <v/>
      </c>
      <c r="AJ233" t="str">
        <f t="shared" si="11"/>
        <v>Wk.7</v>
      </c>
      <c r="AK233" t="str">
        <f>IF(pub_gid_0_single_true_output_csv[[#This Row],[Nilai2]]="","",VLOOKUP(pub_gid_0_single_true_output_csv[[#This Row],[NAMA]],Table7[],3,FALSE))</f>
        <v>High average</v>
      </c>
    </row>
    <row r="234" spans="1:37" x14ac:dyDescent="0.2">
      <c r="A234">
        <v>233</v>
      </c>
      <c r="B234" t="s">
        <v>293</v>
      </c>
      <c r="C234" t="s">
        <v>54</v>
      </c>
      <c r="D234" t="s">
        <v>45</v>
      </c>
      <c r="E234" t="s">
        <v>147</v>
      </c>
      <c r="F234" s="25">
        <v>46062</v>
      </c>
      <c r="G234" t="s">
        <v>376</v>
      </c>
      <c r="H234" t="s">
        <v>412</v>
      </c>
      <c r="I234" t="s">
        <v>371</v>
      </c>
      <c r="J234" t="s">
        <v>31</v>
      </c>
      <c r="K234" t="s">
        <v>96</v>
      </c>
      <c r="L234" t="s">
        <v>351</v>
      </c>
      <c r="M234" t="s">
        <v>141</v>
      </c>
      <c r="N234" t="s">
        <v>142</v>
      </c>
      <c r="O234" t="s">
        <v>155</v>
      </c>
      <c r="P234" t="s">
        <v>281</v>
      </c>
      <c r="Q234" t="s">
        <v>155</v>
      </c>
      <c r="R234" t="s">
        <v>302</v>
      </c>
      <c r="S234" t="s">
        <v>345</v>
      </c>
      <c r="T234">
        <v>1</v>
      </c>
      <c r="U234" t="s">
        <v>409</v>
      </c>
      <c r="V234" t="s">
        <v>343</v>
      </c>
      <c r="W234" t="s">
        <v>413</v>
      </c>
      <c r="X234" t="s">
        <v>306</v>
      </c>
      <c r="Y234" t="s">
        <v>307</v>
      </c>
      <c r="Z234">
        <v>65</v>
      </c>
      <c r="AA234">
        <v>69</v>
      </c>
      <c r="AB234" t="s">
        <v>143</v>
      </c>
      <c r="AC234" t="s">
        <v>149</v>
      </c>
      <c r="AD234" t="s">
        <v>404</v>
      </c>
      <c r="AE234" t="str">
        <f>IF(AF234="","",VLOOKUP(AC234,mapel!$A$2:$B$42,2,FALSE))</f>
        <v>B.Indo</v>
      </c>
      <c r="AF234">
        <f t="shared" si="9"/>
        <v>69</v>
      </c>
      <c r="AG234" t="str">
        <f>IF(AF234="","",IF(AF234&gt;90,"Sangat baik",IF(AF234&gt;79,"Baik",IF(AF234&gt;=pub_gid_0_single_true_output_csv[[#This Row],[KKM]],"Cukup","Kurang"))))</f>
        <v>Cukup</v>
      </c>
      <c r="AH234">
        <f t="shared" si="10"/>
        <v>11</v>
      </c>
      <c r="AI234" s="30" t="str">
        <f>IF(OR(J234&lt;&gt;"Karakter",pub_gid_0_single_true_output_csv[[#This Row],[Nilai2]]=""),"",IF(AF234&gt;89,"Sangat baik",IF(AF234&gt;79,"Baik",IF(AF234&gt;69,"Cukup",IF(AF234&gt;59,"Kurang","Sangat kurang")))))</f>
        <v/>
      </c>
      <c r="AJ234" t="str">
        <f t="shared" si="11"/>
        <v>Wk.7</v>
      </c>
      <c r="AK234" t="str">
        <f>IF(pub_gid_0_single_true_output_csv[[#This Row],[Nilai2]]="","",VLOOKUP(pub_gid_0_single_true_output_csv[[#This Row],[NAMA]],Table7[],3,FALSE))</f>
        <v>High average</v>
      </c>
    </row>
    <row r="235" spans="1:37" x14ac:dyDescent="0.2">
      <c r="A235">
        <v>234</v>
      </c>
      <c r="B235" t="s">
        <v>293</v>
      </c>
      <c r="C235" t="s">
        <v>54</v>
      </c>
      <c r="D235" t="s">
        <v>45</v>
      </c>
      <c r="E235" t="s">
        <v>147</v>
      </c>
      <c r="F235" s="25">
        <v>46069</v>
      </c>
      <c r="G235" t="s">
        <v>382</v>
      </c>
      <c r="H235" t="s">
        <v>412</v>
      </c>
      <c r="I235" t="s">
        <v>371</v>
      </c>
      <c r="J235" t="s">
        <v>36</v>
      </c>
      <c r="K235" t="s">
        <v>37</v>
      </c>
      <c r="L235" t="s">
        <v>351</v>
      </c>
      <c r="M235" t="s">
        <v>141</v>
      </c>
      <c r="N235" t="s">
        <v>142</v>
      </c>
      <c r="O235" t="s">
        <v>155</v>
      </c>
      <c r="P235" t="s">
        <v>281</v>
      </c>
      <c r="Q235" t="s">
        <v>155</v>
      </c>
      <c r="R235" t="s">
        <v>302</v>
      </c>
      <c r="S235" t="s">
        <v>345</v>
      </c>
      <c r="T235">
        <v>1</v>
      </c>
      <c r="U235" t="s">
        <v>409</v>
      </c>
      <c r="V235" t="s">
        <v>343</v>
      </c>
      <c r="W235" t="s">
        <v>413</v>
      </c>
      <c r="X235" t="s">
        <v>306</v>
      </c>
      <c r="Y235" t="s">
        <v>307</v>
      </c>
      <c r="Z235">
        <v>65</v>
      </c>
      <c r="AA235">
        <v>70</v>
      </c>
      <c r="AB235" t="s">
        <v>143</v>
      </c>
      <c r="AC235" t="s">
        <v>149</v>
      </c>
      <c r="AD235" t="s">
        <v>404</v>
      </c>
      <c r="AE235" t="str">
        <f>IF(AF235="","",VLOOKUP(AC235,mapel!$A$2:$B$42,2,FALSE))</f>
        <v>B.Indo</v>
      </c>
      <c r="AF235">
        <f t="shared" si="9"/>
        <v>70</v>
      </c>
      <c r="AG235" t="str">
        <f>IF(AF235="","",IF(AF235&gt;90,"Sangat baik",IF(AF235&gt;79,"Baik",IF(AF235&gt;=pub_gid_0_single_true_output_csv[[#This Row],[KKM]],"Cukup","Kurang"))))</f>
        <v>Cukup</v>
      </c>
      <c r="AH235">
        <f t="shared" si="10"/>
        <v>11</v>
      </c>
      <c r="AI235" s="30" t="str">
        <f>IF(OR(J235&lt;&gt;"Karakter",pub_gid_0_single_true_output_csv[[#This Row],[Nilai2]]=""),"",IF(AF235&gt;89,"Sangat baik",IF(AF235&gt;79,"Baik",IF(AF235&gt;69,"Cukup",IF(AF235&gt;59,"Kurang","Sangat kurang")))))</f>
        <v/>
      </c>
      <c r="AJ235" t="str">
        <f t="shared" si="11"/>
        <v>Wk.8</v>
      </c>
      <c r="AK235" t="str">
        <f>IF(pub_gid_0_single_true_output_csv[[#This Row],[Nilai2]]="","",VLOOKUP(pub_gid_0_single_true_output_csv[[#This Row],[NAMA]],Table7[],3,FALSE))</f>
        <v>High average</v>
      </c>
    </row>
    <row r="236" spans="1:37" x14ac:dyDescent="0.2">
      <c r="A236">
        <v>235</v>
      </c>
      <c r="B236" t="s">
        <v>293</v>
      </c>
      <c r="C236" t="s">
        <v>54</v>
      </c>
      <c r="D236" t="s">
        <v>45</v>
      </c>
      <c r="E236" t="s">
        <v>147</v>
      </c>
      <c r="F236" s="25">
        <v>46069</v>
      </c>
      <c r="G236" t="s">
        <v>382</v>
      </c>
      <c r="H236" t="s">
        <v>412</v>
      </c>
      <c r="I236" t="s">
        <v>371</v>
      </c>
      <c r="J236" t="s">
        <v>31</v>
      </c>
      <c r="K236" t="s">
        <v>96</v>
      </c>
      <c r="L236" t="s">
        <v>351</v>
      </c>
      <c r="M236" t="s">
        <v>141</v>
      </c>
      <c r="N236" t="s">
        <v>142</v>
      </c>
      <c r="O236" t="s">
        <v>155</v>
      </c>
      <c r="P236" t="s">
        <v>281</v>
      </c>
      <c r="Q236" t="s">
        <v>155</v>
      </c>
      <c r="R236" t="s">
        <v>302</v>
      </c>
      <c r="S236" t="s">
        <v>345</v>
      </c>
      <c r="T236">
        <v>1</v>
      </c>
      <c r="U236" t="s">
        <v>409</v>
      </c>
      <c r="V236" t="s">
        <v>343</v>
      </c>
      <c r="W236" t="s">
        <v>413</v>
      </c>
      <c r="X236" t="s">
        <v>306</v>
      </c>
      <c r="Y236" t="s">
        <v>307</v>
      </c>
      <c r="Z236">
        <v>65</v>
      </c>
      <c r="AA236">
        <v>70</v>
      </c>
      <c r="AB236" t="s">
        <v>143</v>
      </c>
      <c r="AC236" t="s">
        <v>149</v>
      </c>
      <c r="AD236" t="s">
        <v>404</v>
      </c>
      <c r="AE236" t="str">
        <f>IF(AF236="","",VLOOKUP(AC236,mapel!$A$2:$B$42,2,FALSE))</f>
        <v>B.Indo</v>
      </c>
      <c r="AF236">
        <f t="shared" si="9"/>
        <v>70</v>
      </c>
      <c r="AG236" t="str">
        <f>IF(AF236="","",IF(AF236&gt;90,"Sangat baik",IF(AF236&gt;79,"Baik",IF(AF236&gt;=pub_gid_0_single_true_output_csv[[#This Row],[KKM]],"Cukup","Kurang"))))</f>
        <v>Cukup</v>
      </c>
      <c r="AH236">
        <f t="shared" si="10"/>
        <v>11</v>
      </c>
      <c r="AI236" s="30" t="str">
        <f>IF(OR(J236&lt;&gt;"Karakter",pub_gid_0_single_true_output_csv[[#This Row],[Nilai2]]=""),"",IF(AF236&gt;89,"Sangat baik",IF(AF236&gt;79,"Baik",IF(AF236&gt;69,"Cukup",IF(AF236&gt;59,"Kurang","Sangat kurang")))))</f>
        <v/>
      </c>
      <c r="AJ236" t="str">
        <f t="shared" si="11"/>
        <v>Wk.8</v>
      </c>
      <c r="AK236" t="str">
        <f>IF(pub_gid_0_single_true_output_csv[[#This Row],[Nilai2]]="","",VLOOKUP(pub_gid_0_single_true_output_csv[[#This Row],[NAMA]],Table7[],3,FALSE))</f>
        <v>High average</v>
      </c>
    </row>
    <row r="237" spans="1:37" x14ac:dyDescent="0.2">
      <c r="A237">
        <v>236</v>
      </c>
      <c r="B237" t="s">
        <v>293</v>
      </c>
      <c r="C237" t="s">
        <v>54</v>
      </c>
      <c r="D237" t="s">
        <v>45</v>
      </c>
      <c r="E237" t="s">
        <v>147</v>
      </c>
      <c r="F237" s="25">
        <v>46069</v>
      </c>
      <c r="G237" t="s">
        <v>382</v>
      </c>
      <c r="H237" t="s">
        <v>412</v>
      </c>
      <c r="I237" t="s">
        <v>371</v>
      </c>
      <c r="J237" t="s">
        <v>90</v>
      </c>
      <c r="K237" t="s">
        <v>92</v>
      </c>
      <c r="L237" t="s">
        <v>93</v>
      </c>
      <c r="M237" t="s">
        <v>141</v>
      </c>
      <c r="N237" t="s">
        <v>142</v>
      </c>
      <c r="O237" t="s">
        <v>155</v>
      </c>
      <c r="P237" t="s">
        <v>281</v>
      </c>
      <c r="Q237" t="s">
        <v>155</v>
      </c>
      <c r="R237" t="s">
        <v>302</v>
      </c>
      <c r="S237" t="s">
        <v>345</v>
      </c>
      <c r="T237">
        <v>1</v>
      </c>
      <c r="U237" t="s">
        <v>409</v>
      </c>
      <c r="V237" t="s">
        <v>343</v>
      </c>
      <c r="W237" t="s">
        <v>413</v>
      </c>
      <c r="X237" t="s">
        <v>306</v>
      </c>
      <c r="Y237" t="s">
        <v>307</v>
      </c>
      <c r="Z237">
        <v>65</v>
      </c>
      <c r="AA237">
        <v>80</v>
      </c>
      <c r="AB237" t="s">
        <v>143</v>
      </c>
      <c r="AC237" t="s">
        <v>149</v>
      </c>
      <c r="AD237" t="s">
        <v>404</v>
      </c>
      <c r="AE237" t="str">
        <f>IF(AF237="","",VLOOKUP(AC237,mapel!$A$2:$B$42,2,FALSE))</f>
        <v>B.Indo</v>
      </c>
      <c r="AF237">
        <f t="shared" si="9"/>
        <v>80</v>
      </c>
      <c r="AG237" t="str">
        <f>IF(AF237="","",IF(AF237&gt;90,"Sangat baik",IF(AF237&gt;79,"Baik",IF(AF237&gt;=pub_gid_0_single_true_output_csv[[#This Row],[KKM]],"Cukup","Kurang"))))</f>
        <v>Baik</v>
      </c>
      <c r="AH237">
        <f t="shared" si="10"/>
        <v>11</v>
      </c>
      <c r="AI237" s="30" t="str">
        <f>IF(OR(J237&lt;&gt;"Karakter",pub_gid_0_single_true_output_csv[[#This Row],[Nilai2]]=""),"",IF(AF237&gt;89,"Sangat baik",IF(AF237&gt;79,"Baik",IF(AF237&gt;69,"Cukup",IF(AF237&gt;59,"Kurang","Sangat kurang")))))</f>
        <v>Baik</v>
      </c>
      <c r="AJ237" t="str">
        <f t="shared" si="11"/>
        <v>Wk.8</v>
      </c>
      <c r="AK237" t="str">
        <f>IF(pub_gid_0_single_true_output_csv[[#This Row],[Nilai2]]="","",VLOOKUP(pub_gid_0_single_true_output_csv[[#This Row],[NAMA]],Table7[],3,FALSE))</f>
        <v>High average</v>
      </c>
    </row>
    <row r="238" spans="1:37" x14ac:dyDescent="0.2">
      <c r="A238">
        <v>237</v>
      </c>
      <c r="B238" t="s">
        <v>293</v>
      </c>
      <c r="C238" t="s">
        <v>54</v>
      </c>
      <c r="D238" t="s">
        <v>45</v>
      </c>
      <c r="E238" t="s">
        <v>147</v>
      </c>
      <c r="F238" s="25">
        <v>46069</v>
      </c>
      <c r="G238" t="s">
        <v>382</v>
      </c>
      <c r="H238" t="s">
        <v>412</v>
      </c>
      <c r="I238" t="s">
        <v>371</v>
      </c>
      <c r="J238" t="s">
        <v>279</v>
      </c>
      <c r="K238" t="s">
        <v>280</v>
      </c>
      <c r="L238" t="s">
        <v>322</v>
      </c>
      <c r="M238" t="s">
        <v>141</v>
      </c>
      <c r="N238" t="s">
        <v>142</v>
      </c>
      <c r="O238" t="s">
        <v>155</v>
      </c>
      <c r="P238" t="s">
        <v>281</v>
      </c>
      <c r="Q238" t="s">
        <v>155</v>
      </c>
      <c r="R238" t="s">
        <v>302</v>
      </c>
      <c r="S238" t="s">
        <v>345</v>
      </c>
      <c r="T238">
        <v>1</v>
      </c>
      <c r="U238" t="s">
        <v>409</v>
      </c>
      <c r="V238" t="s">
        <v>343</v>
      </c>
      <c r="W238" t="s">
        <v>413</v>
      </c>
      <c r="X238" t="s">
        <v>306</v>
      </c>
      <c r="Y238" t="s">
        <v>307</v>
      </c>
      <c r="Z238">
        <v>65</v>
      </c>
      <c r="AA238">
        <v>75</v>
      </c>
      <c r="AB238" t="s">
        <v>143</v>
      </c>
      <c r="AC238" t="s">
        <v>149</v>
      </c>
      <c r="AD238" t="s">
        <v>404</v>
      </c>
      <c r="AE238" t="str">
        <f>IF(AF238="","",VLOOKUP(AC238,mapel!$A$2:$B$42,2,FALSE))</f>
        <v>B.Indo</v>
      </c>
      <c r="AF238">
        <f t="shared" si="9"/>
        <v>75</v>
      </c>
      <c r="AG238" t="str">
        <f>IF(AF238="","",IF(AF238&gt;90,"Sangat baik",IF(AF238&gt;79,"Baik",IF(AF238&gt;=pub_gid_0_single_true_output_csv[[#This Row],[KKM]],"Cukup","Kurang"))))</f>
        <v>Cukup</v>
      </c>
      <c r="AH238">
        <f t="shared" si="10"/>
        <v>11</v>
      </c>
      <c r="AI238" s="30" t="str">
        <f>IF(OR(J238&lt;&gt;"Karakter",pub_gid_0_single_true_output_csv[[#This Row],[Nilai2]]=""),"",IF(AF238&gt;89,"Sangat baik",IF(AF238&gt;79,"Baik",IF(AF238&gt;69,"Cukup",IF(AF238&gt;59,"Kurang","Sangat kurang")))))</f>
        <v/>
      </c>
      <c r="AJ238" t="str">
        <f t="shared" si="11"/>
        <v>Wk.8</v>
      </c>
      <c r="AK238" t="str">
        <f>IF(pub_gid_0_single_true_output_csv[[#This Row],[Nilai2]]="","",VLOOKUP(pub_gid_0_single_true_output_csv[[#This Row],[NAMA]],Table7[],3,FALSE))</f>
        <v>High average</v>
      </c>
    </row>
    <row r="239" spans="1:37" x14ac:dyDescent="0.2">
      <c r="A239">
        <v>238</v>
      </c>
      <c r="B239" t="s">
        <v>287</v>
      </c>
      <c r="C239" t="s">
        <v>54</v>
      </c>
      <c r="D239" t="s">
        <v>34</v>
      </c>
      <c r="E239" t="s">
        <v>140</v>
      </c>
      <c r="F239" s="25">
        <v>46034</v>
      </c>
      <c r="G239" t="s">
        <v>354</v>
      </c>
      <c r="H239" t="s">
        <v>405</v>
      </c>
      <c r="I239" t="s">
        <v>371</v>
      </c>
      <c r="J239" t="s">
        <v>36</v>
      </c>
      <c r="K239" t="s">
        <v>362</v>
      </c>
      <c r="L239" t="s">
        <v>408</v>
      </c>
      <c r="M239" t="s">
        <v>141</v>
      </c>
      <c r="N239" t="s">
        <v>142</v>
      </c>
      <c r="O239" t="s">
        <v>155</v>
      </c>
      <c r="P239" t="s">
        <v>281</v>
      </c>
      <c r="Q239" t="s">
        <v>155</v>
      </c>
      <c r="R239" t="s">
        <v>273</v>
      </c>
      <c r="S239" t="s">
        <v>309</v>
      </c>
      <c r="T239">
        <v>1</v>
      </c>
      <c r="U239" t="s">
        <v>409</v>
      </c>
      <c r="V239" t="s">
        <v>285</v>
      </c>
      <c r="W239" t="s">
        <v>410</v>
      </c>
      <c r="X239" t="s">
        <v>306</v>
      </c>
      <c r="Y239" t="s">
        <v>307</v>
      </c>
      <c r="Z239">
        <v>65</v>
      </c>
      <c r="AA239">
        <v>13</v>
      </c>
      <c r="AB239" t="s">
        <v>151</v>
      </c>
      <c r="AC239" t="s">
        <v>149</v>
      </c>
      <c r="AD239" t="s">
        <v>404</v>
      </c>
      <c r="AE239" t="str">
        <f>IF(AF239="","",VLOOKUP(AC239,mapel!$A$2:$B$42,2,FALSE))</f>
        <v>B.Indo</v>
      </c>
      <c r="AF239">
        <f t="shared" si="9"/>
        <v>13</v>
      </c>
      <c r="AG239" t="str">
        <f>IF(AF239="","",IF(AF239&gt;90,"Sangat baik",IF(AF239&gt;79,"Baik",IF(AF239&gt;=pub_gid_0_single_true_output_csv[[#This Row],[KKM]],"Cukup","Kurang"))))</f>
        <v>Kurang</v>
      </c>
      <c r="AH239">
        <f t="shared" si="10"/>
        <v>11</v>
      </c>
      <c r="AI239" s="30" t="str">
        <f>IF(OR(J239&lt;&gt;"Karakter",pub_gid_0_single_true_output_csv[[#This Row],[Nilai2]]=""),"",IF(AF239&gt;89,"Sangat baik",IF(AF239&gt;79,"Baik",IF(AF239&gt;69,"Cukup",IF(AF239&gt;59,"Kurang","Sangat kurang")))))</f>
        <v/>
      </c>
      <c r="AJ239" t="str">
        <f t="shared" si="11"/>
        <v>Wk.3</v>
      </c>
      <c r="AK239" t="str">
        <f>IF(pub_gid_0_single_true_output_csv[[#This Row],[Nilai2]]="","",VLOOKUP(pub_gid_0_single_true_output_csv[[#This Row],[NAMA]],Table7[],3,FALSE))</f>
        <v>Average</v>
      </c>
    </row>
    <row r="240" spans="1:37" x14ac:dyDescent="0.2">
      <c r="A240">
        <v>239</v>
      </c>
      <c r="B240" t="s">
        <v>287</v>
      </c>
      <c r="C240" t="s">
        <v>54</v>
      </c>
      <c r="D240" t="s">
        <v>34</v>
      </c>
      <c r="E240" t="s">
        <v>140</v>
      </c>
      <c r="F240" s="25">
        <v>46035</v>
      </c>
      <c r="G240" t="s">
        <v>358</v>
      </c>
      <c r="H240" t="s">
        <v>405</v>
      </c>
      <c r="I240" t="s">
        <v>371</v>
      </c>
      <c r="J240" t="s">
        <v>36</v>
      </c>
      <c r="K240" t="s">
        <v>37</v>
      </c>
      <c r="L240" t="s">
        <v>150</v>
      </c>
      <c r="M240" t="s">
        <v>141</v>
      </c>
      <c r="N240" t="s">
        <v>142</v>
      </c>
      <c r="O240" t="s">
        <v>155</v>
      </c>
      <c r="P240" t="s">
        <v>281</v>
      </c>
      <c r="Q240" t="s">
        <v>155</v>
      </c>
      <c r="R240" t="s">
        <v>273</v>
      </c>
      <c r="S240" t="s">
        <v>309</v>
      </c>
      <c r="T240">
        <v>1</v>
      </c>
      <c r="U240" t="s">
        <v>409</v>
      </c>
      <c r="V240" t="s">
        <v>285</v>
      </c>
      <c r="W240" t="s">
        <v>410</v>
      </c>
      <c r="X240" t="s">
        <v>306</v>
      </c>
      <c r="Y240" t="s">
        <v>307</v>
      </c>
      <c r="Z240">
        <v>65</v>
      </c>
      <c r="AA240">
        <v>90</v>
      </c>
      <c r="AB240" t="s">
        <v>143</v>
      </c>
      <c r="AC240" t="s">
        <v>149</v>
      </c>
      <c r="AD240" t="s">
        <v>404</v>
      </c>
      <c r="AE240" t="str">
        <f>IF(AF240="","",VLOOKUP(AC240,mapel!$A$2:$B$42,2,FALSE))</f>
        <v>B.Indo</v>
      </c>
      <c r="AF240">
        <f t="shared" si="9"/>
        <v>90</v>
      </c>
      <c r="AG240" t="str">
        <f>IF(AF240="","",IF(AF240&gt;90,"Sangat baik",IF(AF240&gt;79,"Baik",IF(AF240&gt;=pub_gid_0_single_true_output_csv[[#This Row],[KKM]],"Cukup","Kurang"))))</f>
        <v>Baik</v>
      </c>
      <c r="AH240">
        <f t="shared" si="10"/>
        <v>11</v>
      </c>
      <c r="AI240" s="30" t="str">
        <f>IF(OR(J240&lt;&gt;"Karakter",pub_gid_0_single_true_output_csv[[#This Row],[Nilai2]]=""),"",IF(AF240&gt;89,"Sangat baik",IF(AF240&gt;79,"Baik",IF(AF240&gt;69,"Cukup",IF(AF240&gt;59,"Kurang","Sangat kurang")))))</f>
        <v/>
      </c>
      <c r="AJ240" t="str">
        <f t="shared" si="11"/>
        <v>Wk.3</v>
      </c>
      <c r="AK240" t="str">
        <f>IF(pub_gid_0_single_true_output_csv[[#This Row],[Nilai2]]="","",VLOOKUP(pub_gid_0_single_true_output_csv[[#This Row],[NAMA]],Table7[],3,FALSE))</f>
        <v>Average</v>
      </c>
    </row>
    <row r="241" spans="1:37" x14ac:dyDescent="0.2">
      <c r="A241">
        <v>240</v>
      </c>
      <c r="B241" t="s">
        <v>287</v>
      </c>
      <c r="C241" t="s">
        <v>54</v>
      </c>
      <c r="D241" t="s">
        <v>34</v>
      </c>
      <c r="E241" t="s">
        <v>140</v>
      </c>
      <c r="F241" s="25">
        <v>46035</v>
      </c>
      <c r="G241" t="s">
        <v>358</v>
      </c>
      <c r="H241" t="s">
        <v>405</v>
      </c>
      <c r="I241" t="s">
        <v>371</v>
      </c>
      <c r="J241" t="s">
        <v>31</v>
      </c>
      <c r="K241" t="s">
        <v>32</v>
      </c>
      <c r="L241" t="s">
        <v>150</v>
      </c>
      <c r="M241" t="s">
        <v>141</v>
      </c>
      <c r="N241" t="s">
        <v>142</v>
      </c>
      <c r="O241" t="s">
        <v>155</v>
      </c>
      <c r="P241" t="s">
        <v>281</v>
      </c>
      <c r="Q241" t="s">
        <v>155</v>
      </c>
      <c r="R241" t="s">
        <v>273</v>
      </c>
      <c r="S241" t="s">
        <v>309</v>
      </c>
      <c r="T241">
        <v>1</v>
      </c>
      <c r="U241" t="s">
        <v>409</v>
      </c>
      <c r="V241" t="s">
        <v>285</v>
      </c>
      <c r="W241" t="s">
        <v>410</v>
      </c>
      <c r="X241" t="s">
        <v>306</v>
      </c>
      <c r="Y241" t="s">
        <v>307</v>
      </c>
      <c r="Z241">
        <v>65</v>
      </c>
      <c r="AA241">
        <v>70</v>
      </c>
      <c r="AB241" t="s">
        <v>143</v>
      </c>
      <c r="AC241" t="s">
        <v>149</v>
      </c>
      <c r="AD241" t="s">
        <v>404</v>
      </c>
      <c r="AE241" t="str">
        <f>IF(AF241="","",VLOOKUP(AC241,mapel!$A$2:$B$42,2,FALSE))</f>
        <v>B.Indo</v>
      </c>
      <c r="AF241">
        <f t="shared" si="9"/>
        <v>70</v>
      </c>
      <c r="AG241" t="str">
        <f>IF(AF241="","",IF(AF241&gt;90,"Sangat baik",IF(AF241&gt;79,"Baik",IF(AF241&gt;=pub_gid_0_single_true_output_csv[[#This Row],[KKM]],"Cukup","Kurang"))))</f>
        <v>Cukup</v>
      </c>
      <c r="AH241">
        <f t="shared" si="10"/>
        <v>11</v>
      </c>
      <c r="AI241" s="30" t="str">
        <f>IF(OR(J241&lt;&gt;"Karakter",pub_gid_0_single_true_output_csv[[#This Row],[Nilai2]]=""),"",IF(AF241&gt;89,"Sangat baik",IF(AF241&gt;79,"Baik",IF(AF241&gt;69,"Cukup",IF(AF241&gt;59,"Kurang","Sangat kurang")))))</f>
        <v/>
      </c>
      <c r="AJ241" t="str">
        <f t="shared" si="11"/>
        <v>Wk.3</v>
      </c>
      <c r="AK241" t="str">
        <f>IF(pub_gid_0_single_true_output_csv[[#This Row],[Nilai2]]="","",VLOOKUP(pub_gid_0_single_true_output_csv[[#This Row],[NAMA]],Table7[],3,FALSE))</f>
        <v>Average</v>
      </c>
    </row>
    <row r="242" spans="1:37" x14ac:dyDescent="0.2">
      <c r="A242">
        <v>241</v>
      </c>
      <c r="B242" t="s">
        <v>287</v>
      </c>
      <c r="C242" t="s">
        <v>54</v>
      </c>
      <c r="D242" t="s">
        <v>34</v>
      </c>
      <c r="E242" t="s">
        <v>140</v>
      </c>
      <c r="F242" s="25">
        <v>46035</v>
      </c>
      <c r="G242" t="s">
        <v>358</v>
      </c>
      <c r="H242" t="s">
        <v>405</v>
      </c>
      <c r="I242" t="s">
        <v>371</v>
      </c>
      <c r="J242" t="s">
        <v>90</v>
      </c>
      <c r="K242" t="s">
        <v>92</v>
      </c>
      <c r="L242" t="s">
        <v>93</v>
      </c>
      <c r="M242" t="s">
        <v>141</v>
      </c>
      <c r="N242" t="s">
        <v>142</v>
      </c>
      <c r="O242" t="s">
        <v>155</v>
      </c>
      <c r="P242" t="s">
        <v>281</v>
      </c>
      <c r="Q242" t="s">
        <v>155</v>
      </c>
      <c r="R242" t="s">
        <v>273</v>
      </c>
      <c r="S242" t="s">
        <v>309</v>
      </c>
      <c r="T242">
        <v>1</v>
      </c>
      <c r="U242" t="s">
        <v>409</v>
      </c>
      <c r="V242" t="s">
        <v>285</v>
      </c>
      <c r="W242" t="s">
        <v>410</v>
      </c>
      <c r="X242" t="s">
        <v>306</v>
      </c>
      <c r="Y242" t="s">
        <v>307</v>
      </c>
      <c r="Z242">
        <v>65</v>
      </c>
      <c r="AA242">
        <v>70</v>
      </c>
      <c r="AB242" t="s">
        <v>143</v>
      </c>
      <c r="AC242" t="s">
        <v>149</v>
      </c>
      <c r="AD242" t="s">
        <v>404</v>
      </c>
      <c r="AE242" t="str">
        <f>IF(AF242="","",VLOOKUP(AC242,mapel!$A$2:$B$42,2,FALSE))</f>
        <v>B.Indo</v>
      </c>
      <c r="AF242">
        <f t="shared" si="9"/>
        <v>70</v>
      </c>
      <c r="AG242" t="str">
        <f>IF(AF242="","",IF(AF242&gt;90,"Sangat baik",IF(AF242&gt;79,"Baik",IF(AF242&gt;=pub_gid_0_single_true_output_csv[[#This Row],[KKM]],"Cukup","Kurang"))))</f>
        <v>Cukup</v>
      </c>
      <c r="AH242">
        <f t="shared" si="10"/>
        <v>11</v>
      </c>
      <c r="AI242" s="30" t="str">
        <f>IF(OR(J242&lt;&gt;"Karakter",pub_gid_0_single_true_output_csv[[#This Row],[Nilai2]]=""),"",IF(AF242&gt;89,"Sangat baik",IF(AF242&gt;79,"Baik",IF(AF242&gt;69,"Cukup",IF(AF242&gt;59,"Kurang","Sangat kurang")))))</f>
        <v>Cukup</v>
      </c>
      <c r="AJ242" t="str">
        <f t="shared" si="11"/>
        <v>Wk.3</v>
      </c>
      <c r="AK242" t="str">
        <f>IF(pub_gid_0_single_true_output_csv[[#This Row],[Nilai2]]="","",VLOOKUP(pub_gid_0_single_true_output_csv[[#This Row],[NAMA]],Table7[],3,FALSE))</f>
        <v>Average</v>
      </c>
    </row>
    <row r="243" spans="1:37" x14ac:dyDescent="0.2">
      <c r="A243">
        <v>242</v>
      </c>
      <c r="B243" t="s">
        <v>287</v>
      </c>
      <c r="C243" t="s">
        <v>54</v>
      </c>
      <c r="D243" t="s">
        <v>34</v>
      </c>
      <c r="E243" t="s">
        <v>140</v>
      </c>
      <c r="F243" s="25">
        <v>46035</v>
      </c>
      <c r="G243" t="s">
        <v>358</v>
      </c>
      <c r="H243" t="s">
        <v>405</v>
      </c>
      <c r="I243" t="s">
        <v>371</v>
      </c>
      <c r="J243" t="s">
        <v>279</v>
      </c>
      <c r="K243" t="s">
        <v>280</v>
      </c>
      <c r="L243" t="s">
        <v>150</v>
      </c>
      <c r="M243" t="s">
        <v>141</v>
      </c>
      <c r="N243" t="s">
        <v>142</v>
      </c>
      <c r="O243" t="s">
        <v>155</v>
      </c>
      <c r="P243" t="s">
        <v>281</v>
      </c>
      <c r="Q243" t="s">
        <v>155</v>
      </c>
      <c r="R243" t="s">
        <v>273</v>
      </c>
      <c r="S243" t="s">
        <v>309</v>
      </c>
      <c r="T243">
        <v>1</v>
      </c>
      <c r="U243" t="s">
        <v>409</v>
      </c>
      <c r="V243" t="s">
        <v>285</v>
      </c>
      <c r="W243" t="s">
        <v>410</v>
      </c>
      <c r="X243" t="s">
        <v>306</v>
      </c>
      <c r="Y243" t="s">
        <v>307</v>
      </c>
      <c r="Z243">
        <v>65</v>
      </c>
      <c r="AA243">
        <v>70</v>
      </c>
      <c r="AB243" t="s">
        <v>143</v>
      </c>
      <c r="AC243" t="s">
        <v>149</v>
      </c>
      <c r="AD243" t="s">
        <v>404</v>
      </c>
      <c r="AE243" t="str">
        <f>IF(AF243="","",VLOOKUP(AC243,mapel!$A$2:$B$42,2,FALSE))</f>
        <v>B.Indo</v>
      </c>
      <c r="AF243">
        <f t="shared" si="9"/>
        <v>70</v>
      </c>
      <c r="AG243" t="str">
        <f>IF(AF243="","",IF(AF243&gt;90,"Sangat baik",IF(AF243&gt;79,"Baik",IF(AF243&gt;=pub_gid_0_single_true_output_csv[[#This Row],[KKM]],"Cukup","Kurang"))))</f>
        <v>Cukup</v>
      </c>
      <c r="AH243">
        <f t="shared" si="10"/>
        <v>11</v>
      </c>
      <c r="AI243" s="30" t="str">
        <f>IF(OR(J243&lt;&gt;"Karakter",pub_gid_0_single_true_output_csv[[#This Row],[Nilai2]]=""),"",IF(AF243&gt;89,"Sangat baik",IF(AF243&gt;79,"Baik",IF(AF243&gt;69,"Cukup",IF(AF243&gt;59,"Kurang","Sangat kurang")))))</f>
        <v/>
      </c>
      <c r="AJ243" t="str">
        <f t="shared" si="11"/>
        <v>Wk.3</v>
      </c>
      <c r="AK243" t="str">
        <f>IF(pub_gid_0_single_true_output_csv[[#This Row],[Nilai2]]="","",VLOOKUP(pub_gid_0_single_true_output_csv[[#This Row],[NAMA]],Table7[],3,FALSE))</f>
        <v>Average</v>
      </c>
    </row>
    <row r="244" spans="1:37" x14ac:dyDescent="0.2">
      <c r="A244">
        <v>243</v>
      </c>
      <c r="B244" t="s">
        <v>287</v>
      </c>
      <c r="C244" t="s">
        <v>54</v>
      </c>
      <c r="D244" t="s">
        <v>34</v>
      </c>
      <c r="E244" t="s">
        <v>140</v>
      </c>
      <c r="F244" s="25">
        <v>46041</v>
      </c>
      <c r="G244" t="s">
        <v>370</v>
      </c>
      <c r="H244" t="s">
        <v>405</v>
      </c>
      <c r="I244" t="s">
        <v>371</v>
      </c>
      <c r="J244" t="s">
        <v>36</v>
      </c>
      <c r="K244" t="s">
        <v>37</v>
      </c>
      <c r="L244" t="s">
        <v>321</v>
      </c>
      <c r="M244" t="s">
        <v>141</v>
      </c>
      <c r="N244" t="s">
        <v>142</v>
      </c>
      <c r="O244" t="s">
        <v>155</v>
      </c>
      <c r="P244" t="s">
        <v>281</v>
      </c>
      <c r="Q244" t="s">
        <v>155</v>
      </c>
      <c r="R244" t="s">
        <v>273</v>
      </c>
      <c r="S244" t="s">
        <v>309</v>
      </c>
      <c r="T244">
        <v>1</v>
      </c>
      <c r="U244" t="s">
        <v>409</v>
      </c>
      <c r="V244" t="s">
        <v>285</v>
      </c>
      <c r="W244" t="s">
        <v>410</v>
      </c>
      <c r="X244" t="s">
        <v>306</v>
      </c>
      <c r="Y244" t="s">
        <v>307</v>
      </c>
      <c r="Z244">
        <v>65</v>
      </c>
      <c r="AA244">
        <v>90</v>
      </c>
      <c r="AB244" t="s">
        <v>143</v>
      </c>
      <c r="AC244" t="s">
        <v>149</v>
      </c>
      <c r="AD244" t="s">
        <v>404</v>
      </c>
      <c r="AE244" t="str">
        <f>IF(AF244="","",VLOOKUP(AC244,mapel!$A$2:$B$42,2,FALSE))</f>
        <v>B.Indo</v>
      </c>
      <c r="AF244">
        <f t="shared" si="9"/>
        <v>90</v>
      </c>
      <c r="AG244" t="str">
        <f>IF(AF244="","",IF(AF244&gt;90,"Sangat baik",IF(AF244&gt;79,"Baik",IF(AF244&gt;=pub_gid_0_single_true_output_csv[[#This Row],[KKM]],"Cukup","Kurang"))))</f>
        <v>Baik</v>
      </c>
      <c r="AH244">
        <f t="shared" si="10"/>
        <v>11</v>
      </c>
      <c r="AI244" s="30" t="str">
        <f>IF(OR(J244&lt;&gt;"Karakter",pub_gid_0_single_true_output_csv[[#This Row],[Nilai2]]=""),"",IF(AF244&gt;89,"Sangat baik",IF(AF244&gt;79,"Baik",IF(AF244&gt;69,"Cukup",IF(AF244&gt;59,"Kurang","Sangat kurang")))))</f>
        <v/>
      </c>
      <c r="AJ244" t="str">
        <f t="shared" si="11"/>
        <v>Wk.4</v>
      </c>
      <c r="AK244" t="str">
        <f>IF(pub_gid_0_single_true_output_csv[[#This Row],[Nilai2]]="","",VLOOKUP(pub_gid_0_single_true_output_csv[[#This Row],[NAMA]],Table7[],3,FALSE))</f>
        <v>Average</v>
      </c>
    </row>
    <row r="245" spans="1:37" x14ac:dyDescent="0.2">
      <c r="A245">
        <v>244</v>
      </c>
      <c r="B245" t="s">
        <v>287</v>
      </c>
      <c r="C245" t="s">
        <v>54</v>
      </c>
      <c r="D245" t="s">
        <v>34</v>
      </c>
      <c r="E245" t="s">
        <v>140</v>
      </c>
      <c r="F245" s="25">
        <v>46041</v>
      </c>
      <c r="G245" t="s">
        <v>370</v>
      </c>
      <c r="H245" t="s">
        <v>405</v>
      </c>
      <c r="I245" t="s">
        <v>371</v>
      </c>
      <c r="J245" t="s">
        <v>31</v>
      </c>
      <c r="K245" t="s">
        <v>96</v>
      </c>
      <c r="L245" t="s">
        <v>321</v>
      </c>
      <c r="M245" t="s">
        <v>141</v>
      </c>
      <c r="N245" t="s">
        <v>142</v>
      </c>
      <c r="O245" t="s">
        <v>155</v>
      </c>
      <c r="P245" t="s">
        <v>281</v>
      </c>
      <c r="Q245" t="s">
        <v>155</v>
      </c>
      <c r="R245" t="s">
        <v>302</v>
      </c>
      <c r="S245" t="s">
        <v>309</v>
      </c>
      <c r="T245">
        <v>1</v>
      </c>
      <c r="U245" t="s">
        <v>409</v>
      </c>
      <c r="V245" t="s">
        <v>285</v>
      </c>
      <c r="W245" t="s">
        <v>410</v>
      </c>
      <c r="X245" t="s">
        <v>306</v>
      </c>
      <c r="Y245" t="s">
        <v>307</v>
      </c>
      <c r="Z245">
        <v>65</v>
      </c>
      <c r="AA245">
        <v>65</v>
      </c>
      <c r="AB245" t="s">
        <v>143</v>
      </c>
      <c r="AC245" t="s">
        <v>149</v>
      </c>
      <c r="AD245" t="s">
        <v>404</v>
      </c>
      <c r="AE245" t="str">
        <f>IF(AF245="","",VLOOKUP(AC245,mapel!$A$2:$B$42,2,FALSE))</f>
        <v>B.Indo</v>
      </c>
      <c r="AF245">
        <f t="shared" si="9"/>
        <v>65</v>
      </c>
      <c r="AG245" t="str">
        <f>IF(AF245="","",IF(AF245&gt;90,"Sangat baik",IF(AF245&gt;79,"Baik",IF(AF245&gt;=pub_gid_0_single_true_output_csv[[#This Row],[KKM]],"Cukup","Kurang"))))</f>
        <v>Cukup</v>
      </c>
      <c r="AH245">
        <f t="shared" si="10"/>
        <v>11</v>
      </c>
      <c r="AI245" s="30" t="str">
        <f>IF(OR(J245&lt;&gt;"Karakter",pub_gid_0_single_true_output_csv[[#This Row],[Nilai2]]=""),"",IF(AF245&gt;89,"Sangat baik",IF(AF245&gt;79,"Baik",IF(AF245&gt;69,"Cukup",IF(AF245&gt;59,"Kurang","Sangat kurang")))))</f>
        <v/>
      </c>
      <c r="AJ245" t="str">
        <f t="shared" si="11"/>
        <v>Wk.4</v>
      </c>
      <c r="AK245" t="str">
        <f>IF(pub_gid_0_single_true_output_csv[[#This Row],[Nilai2]]="","",VLOOKUP(pub_gid_0_single_true_output_csv[[#This Row],[NAMA]],Table7[],3,FALSE))</f>
        <v>Average</v>
      </c>
    </row>
    <row r="246" spans="1:37" x14ac:dyDescent="0.2">
      <c r="A246">
        <v>245</v>
      </c>
      <c r="B246" t="s">
        <v>287</v>
      </c>
      <c r="C246" t="s">
        <v>54</v>
      </c>
      <c r="D246" t="s">
        <v>34</v>
      </c>
      <c r="E246" t="s">
        <v>140</v>
      </c>
      <c r="F246" s="25">
        <v>46041</v>
      </c>
      <c r="G246" t="s">
        <v>370</v>
      </c>
      <c r="H246" t="s">
        <v>405</v>
      </c>
      <c r="I246" t="s">
        <v>371</v>
      </c>
      <c r="J246" t="s">
        <v>90</v>
      </c>
      <c r="K246" t="s">
        <v>92</v>
      </c>
      <c r="L246" t="s">
        <v>91</v>
      </c>
      <c r="M246" t="s">
        <v>141</v>
      </c>
      <c r="N246" t="s">
        <v>142</v>
      </c>
      <c r="O246" t="s">
        <v>155</v>
      </c>
      <c r="P246" t="s">
        <v>281</v>
      </c>
      <c r="Q246" t="s">
        <v>155</v>
      </c>
      <c r="R246" t="s">
        <v>302</v>
      </c>
      <c r="S246" t="s">
        <v>309</v>
      </c>
      <c r="T246">
        <v>1</v>
      </c>
      <c r="U246" t="s">
        <v>409</v>
      </c>
      <c r="V246" t="s">
        <v>285</v>
      </c>
      <c r="W246" t="s">
        <v>410</v>
      </c>
      <c r="X246" t="s">
        <v>306</v>
      </c>
      <c r="Y246" t="s">
        <v>307</v>
      </c>
      <c r="Z246">
        <v>65</v>
      </c>
      <c r="AA246">
        <v>70</v>
      </c>
      <c r="AB246" t="s">
        <v>143</v>
      </c>
      <c r="AC246" t="s">
        <v>149</v>
      </c>
      <c r="AD246" t="s">
        <v>404</v>
      </c>
      <c r="AE246" t="str">
        <f>IF(AF246="","",VLOOKUP(AC246,mapel!$A$2:$B$42,2,FALSE))</f>
        <v>B.Indo</v>
      </c>
      <c r="AF246">
        <f t="shared" si="9"/>
        <v>70</v>
      </c>
      <c r="AG246" t="str">
        <f>IF(AF246="","",IF(AF246&gt;90,"Sangat baik",IF(AF246&gt;79,"Baik",IF(AF246&gt;=pub_gid_0_single_true_output_csv[[#This Row],[KKM]],"Cukup","Kurang"))))</f>
        <v>Cukup</v>
      </c>
      <c r="AH246">
        <f t="shared" si="10"/>
        <v>11</v>
      </c>
      <c r="AI246" s="30" t="str">
        <f>IF(OR(J246&lt;&gt;"Karakter",pub_gid_0_single_true_output_csv[[#This Row],[Nilai2]]=""),"",IF(AF246&gt;89,"Sangat baik",IF(AF246&gt;79,"Baik",IF(AF246&gt;69,"Cukup",IF(AF246&gt;59,"Kurang","Sangat kurang")))))</f>
        <v>Cukup</v>
      </c>
      <c r="AJ246" t="str">
        <f t="shared" si="11"/>
        <v>Wk.4</v>
      </c>
      <c r="AK246" t="str">
        <f>IF(pub_gid_0_single_true_output_csv[[#This Row],[Nilai2]]="","",VLOOKUP(pub_gid_0_single_true_output_csv[[#This Row],[NAMA]],Table7[],3,FALSE))</f>
        <v>Average</v>
      </c>
    </row>
    <row r="247" spans="1:37" x14ac:dyDescent="0.2">
      <c r="A247">
        <v>246</v>
      </c>
      <c r="B247" t="s">
        <v>287</v>
      </c>
      <c r="C247" t="s">
        <v>54</v>
      </c>
      <c r="D247" t="s">
        <v>34</v>
      </c>
      <c r="E247" t="s">
        <v>140</v>
      </c>
      <c r="F247" s="25">
        <v>46041</v>
      </c>
      <c r="G247" t="s">
        <v>370</v>
      </c>
      <c r="H247" t="s">
        <v>405</v>
      </c>
      <c r="I247" t="s">
        <v>371</v>
      </c>
      <c r="J247" t="s">
        <v>279</v>
      </c>
      <c r="K247" t="s">
        <v>280</v>
      </c>
      <c r="L247" t="s">
        <v>322</v>
      </c>
      <c r="M247" t="s">
        <v>141</v>
      </c>
      <c r="N247" t="s">
        <v>142</v>
      </c>
      <c r="O247" t="s">
        <v>155</v>
      </c>
      <c r="P247" t="s">
        <v>281</v>
      </c>
      <c r="Q247" t="s">
        <v>155</v>
      </c>
      <c r="R247" t="s">
        <v>302</v>
      </c>
      <c r="S247" t="s">
        <v>309</v>
      </c>
      <c r="T247">
        <v>1</v>
      </c>
      <c r="U247" t="s">
        <v>409</v>
      </c>
      <c r="V247" t="s">
        <v>285</v>
      </c>
      <c r="W247" t="s">
        <v>410</v>
      </c>
      <c r="X247" t="s">
        <v>306</v>
      </c>
      <c r="Y247" t="s">
        <v>307</v>
      </c>
      <c r="Z247">
        <v>65</v>
      </c>
      <c r="AA247">
        <v>70</v>
      </c>
      <c r="AB247" t="s">
        <v>143</v>
      </c>
      <c r="AC247" t="s">
        <v>149</v>
      </c>
      <c r="AD247" t="s">
        <v>404</v>
      </c>
      <c r="AE247" t="str">
        <f>IF(AF247="","",VLOOKUP(AC247,mapel!$A$2:$B$42,2,FALSE))</f>
        <v>B.Indo</v>
      </c>
      <c r="AF247">
        <f t="shared" si="9"/>
        <v>70</v>
      </c>
      <c r="AG247" t="str">
        <f>IF(AF247="","",IF(AF247&gt;90,"Sangat baik",IF(AF247&gt;79,"Baik",IF(AF247&gt;=pub_gid_0_single_true_output_csv[[#This Row],[KKM]],"Cukup","Kurang"))))</f>
        <v>Cukup</v>
      </c>
      <c r="AH247">
        <f t="shared" si="10"/>
        <v>11</v>
      </c>
      <c r="AI247" s="30" t="str">
        <f>IF(OR(J247&lt;&gt;"Karakter",pub_gid_0_single_true_output_csv[[#This Row],[Nilai2]]=""),"",IF(AF247&gt;89,"Sangat baik",IF(AF247&gt;79,"Baik",IF(AF247&gt;69,"Cukup",IF(AF247&gt;59,"Kurang","Sangat kurang")))))</f>
        <v/>
      </c>
      <c r="AJ247" t="str">
        <f t="shared" si="11"/>
        <v>Wk.4</v>
      </c>
      <c r="AK247" t="str">
        <f>IF(pub_gid_0_single_true_output_csv[[#This Row],[Nilai2]]="","",VLOOKUP(pub_gid_0_single_true_output_csv[[#This Row],[NAMA]],Table7[],3,FALSE))</f>
        <v>Average</v>
      </c>
    </row>
    <row r="248" spans="1:37" x14ac:dyDescent="0.2">
      <c r="A248">
        <v>247</v>
      </c>
      <c r="B248" t="s">
        <v>287</v>
      </c>
      <c r="C248" t="s">
        <v>54</v>
      </c>
      <c r="D248" t="s">
        <v>34</v>
      </c>
      <c r="E248" t="s">
        <v>140</v>
      </c>
      <c r="F248" s="25">
        <v>46048</v>
      </c>
      <c r="G248" t="s">
        <v>371</v>
      </c>
      <c r="H248" t="s">
        <v>405</v>
      </c>
      <c r="I248" t="s">
        <v>371</v>
      </c>
      <c r="J248" t="s">
        <v>36</v>
      </c>
      <c r="K248" t="s">
        <v>37</v>
      </c>
      <c r="L248" t="s">
        <v>351</v>
      </c>
      <c r="M248" t="s">
        <v>141</v>
      </c>
      <c r="N248" t="s">
        <v>142</v>
      </c>
      <c r="O248" t="s">
        <v>155</v>
      </c>
      <c r="P248" t="s">
        <v>281</v>
      </c>
      <c r="Q248" t="s">
        <v>155</v>
      </c>
      <c r="R248" t="s">
        <v>302</v>
      </c>
      <c r="S248" t="s">
        <v>369</v>
      </c>
      <c r="T248">
        <v>1</v>
      </c>
      <c r="U248" t="s">
        <v>409</v>
      </c>
      <c r="V248" t="s">
        <v>342</v>
      </c>
      <c r="W248" t="s">
        <v>411</v>
      </c>
      <c r="X248" t="s">
        <v>306</v>
      </c>
      <c r="Y248" t="s">
        <v>307</v>
      </c>
      <c r="Z248">
        <v>65</v>
      </c>
      <c r="AA248">
        <v>70</v>
      </c>
      <c r="AB248" t="s">
        <v>143</v>
      </c>
      <c r="AC248" t="s">
        <v>149</v>
      </c>
      <c r="AD248" t="s">
        <v>404</v>
      </c>
      <c r="AE248" t="str">
        <f>IF(AF248="","",VLOOKUP(AC248,mapel!$A$2:$B$42,2,FALSE))</f>
        <v>B.Indo</v>
      </c>
      <c r="AF248">
        <f t="shared" si="9"/>
        <v>70</v>
      </c>
      <c r="AG248" t="str">
        <f>IF(AF248="","",IF(AF248&gt;90,"Sangat baik",IF(AF248&gt;79,"Baik",IF(AF248&gt;=pub_gid_0_single_true_output_csv[[#This Row],[KKM]],"Cukup","Kurang"))))</f>
        <v>Cukup</v>
      </c>
      <c r="AH248">
        <f t="shared" si="10"/>
        <v>11</v>
      </c>
      <c r="AI248" s="30" t="str">
        <f>IF(OR(J248&lt;&gt;"Karakter",pub_gid_0_single_true_output_csv[[#This Row],[Nilai2]]=""),"",IF(AF248&gt;89,"Sangat baik",IF(AF248&gt;79,"Baik",IF(AF248&gt;69,"Cukup",IF(AF248&gt;59,"Kurang","Sangat kurang")))))</f>
        <v/>
      </c>
      <c r="AJ248" t="str">
        <f t="shared" si="11"/>
        <v>Wk.5</v>
      </c>
      <c r="AK248" t="str">
        <f>IF(pub_gid_0_single_true_output_csv[[#This Row],[Nilai2]]="","",VLOOKUP(pub_gid_0_single_true_output_csv[[#This Row],[NAMA]],Table7[],3,FALSE))</f>
        <v>Average</v>
      </c>
    </row>
    <row r="249" spans="1:37" x14ac:dyDescent="0.2">
      <c r="A249">
        <v>248</v>
      </c>
      <c r="B249" t="s">
        <v>287</v>
      </c>
      <c r="C249" t="s">
        <v>54</v>
      </c>
      <c r="D249" t="s">
        <v>34</v>
      </c>
      <c r="E249" t="s">
        <v>140</v>
      </c>
      <c r="F249" s="25">
        <v>46048</v>
      </c>
      <c r="G249" t="s">
        <v>371</v>
      </c>
      <c r="H249" t="s">
        <v>405</v>
      </c>
      <c r="I249" t="s">
        <v>371</v>
      </c>
      <c r="J249" t="s">
        <v>31</v>
      </c>
      <c r="K249" t="s">
        <v>96</v>
      </c>
      <c r="L249" t="s">
        <v>351</v>
      </c>
      <c r="M249" t="s">
        <v>141</v>
      </c>
      <c r="N249" t="s">
        <v>142</v>
      </c>
      <c r="O249" t="s">
        <v>155</v>
      </c>
      <c r="P249" t="s">
        <v>281</v>
      </c>
      <c r="Q249" t="s">
        <v>155</v>
      </c>
      <c r="R249" t="s">
        <v>302</v>
      </c>
      <c r="S249" t="s">
        <v>369</v>
      </c>
      <c r="T249">
        <v>1</v>
      </c>
      <c r="U249" t="s">
        <v>409</v>
      </c>
      <c r="V249" t="s">
        <v>342</v>
      </c>
      <c r="W249" t="s">
        <v>411</v>
      </c>
      <c r="X249" t="s">
        <v>306</v>
      </c>
      <c r="Y249" t="s">
        <v>307</v>
      </c>
      <c r="Z249">
        <v>65</v>
      </c>
      <c r="AA249">
        <v>60</v>
      </c>
      <c r="AB249" t="s">
        <v>151</v>
      </c>
      <c r="AC249" t="s">
        <v>149</v>
      </c>
      <c r="AD249" t="s">
        <v>404</v>
      </c>
      <c r="AE249" t="str">
        <f>IF(AF249="","",VLOOKUP(AC249,mapel!$A$2:$B$42,2,FALSE))</f>
        <v>B.Indo</v>
      </c>
      <c r="AF249">
        <f t="shared" si="9"/>
        <v>60</v>
      </c>
      <c r="AG249" t="str">
        <f>IF(AF249="","",IF(AF249&gt;90,"Sangat baik",IF(AF249&gt;79,"Baik",IF(AF249&gt;=pub_gid_0_single_true_output_csv[[#This Row],[KKM]],"Cukup","Kurang"))))</f>
        <v>Kurang</v>
      </c>
      <c r="AH249">
        <f t="shared" si="10"/>
        <v>11</v>
      </c>
      <c r="AI249" s="30" t="str">
        <f>IF(OR(J249&lt;&gt;"Karakter",pub_gid_0_single_true_output_csv[[#This Row],[Nilai2]]=""),"",IF(AF249&gt;89,"Sangat baik",IF(AF249&gt;79,"Baik",IF(AF249&gt;69,"Cukup",IF(AF249&gt;59,"Kurang","Sangat kurang")))))</f>
        <v/>
      </c>
      <c r="AJ249" t="str">
        <f t="shared" si="11"/>
        <v>Wk.5</v>
      </c>
      <c r="AK249" t="str">
        <f>IF(pub_gid_0_single_true_output_csv[[#This Row],[Nilai2]]="","",VLOOKUP(pub_gid_0_single_true_output_csv[[#This Row],[NAMA]],Table7[],3,FALSE))</f>
        <v>Average</v>
      </c>
    </row>
    <row r="250" spans="1:37" x14ac:dyDescent="0.2">
      <c r="A250">
        <v>249</v>
      </c>
      <c r="B250" t="s">
        <v>287</v>
      </c>
      <c r="C250" t="s">
        <v>54</v>
      </c>
      <c r="D250" t="s">
        <v>34</v>
      </c>
      <c r="E250" t="s">
        <v>140</v>
      </c>
      <c r="F250" s="25">
        <v>46048</v>
      </c>
      <c r="G250" t="s">
        <v>371</v>
      </c>
      <c r="H250" t="s">
        <v>405</v>
      </c>
      <c r="I250" t="s">
        <v>371</v>
      </c>
      <c r="J250" t="s">
        <v>90</v>
      </c>
      <c r="K250" t="s">
        <v>92</v>
      </c>
      <c r="L250" t="s">
        <v>91</v>
      </c>
      <c r="M250" t="s">
        <v>141</v>
      </c>
      <c r="N250" t="s">
        <v>142</v>
      </c>
      <c r="O250" t="s">
        <v>155</v>
      </c>
      <c r="P250" t="s">
        <v>281</v>
      </c>
      <c r="Q250" t="s">
        <v>155</v>
      </c>
      <c r="R250" t="s">
        <v>302</v>
      </c>
      <c r="S250" t="s">
        <v>369</v>
      </c>
      <c r="T250">
        <v>1</v>
      </c>
      <c r="U250" t="s">
        <v>409</v>
      </c>
      <c r="V250" t="s">
        <v>342</v>
      </c>
      <c r="W250" t="s">
        <v>411</v>
      </c>
      <c r="X250" t="s">
        <v>306</v>
      </c>
      <c r="Y250" t="s">
        <v>307</v>
      </c>
      <c r="Z250">
        <v>65</v>
      </c>
      <c r="AA250">
        <v>70</v>
      </c>
      <c r="AB250" t="s">
        <v>143</v>
      </c>
      <c r="AC250" t="s">
        <v>149</v>
      </c>
      <c r="AD250" t="s">
        <v>404</v>
      </c>
      <c r="AE250" t="str">
        <f>IF(AF250="","",VLOOKUP(AC250,mapel!$A$2:$B$42,2,FALSE))</f>
        <v>B.Indo</v>
      </c>
      <c r="AF250">
        <f t="shared" si="9"/>
        <v>70</v>
      </c>
      <c r="AG250" t="str">
        <f>IF(AF250="","",IF(AF250&gt;90,"Sangat baik",IF(AF250&gt;79,"Baik",IF(AF250&gt;=pub_gid_0_single_true_output_csv[[#This Row],[KKM]],"Cukup","Kurang"))))</f>
        <v>Cukup</v>
      </c>
      <c r="AH250">
        <f t="shared" si="10"/>
        <v>11</v>
      </c>
      <c r="AI250" s="30" t="str">
        <f>IF(OR(J250&lt;&gt;"Karakter",pub_gid_0_single_true_output_csv[[#This Row],[Nilai2]]=""),"",IF(AF250&gt;89,"Sangat baik",IF(AF250&gt;79,"Baik",IF(AF250&gt;69,"Cukup",IF(AF250&gt;59,"Kurang","Sangat kurang")))))</f>
        <v>Cukup</v>
      </c>
      <c r="AJ250" t="str">
        <f t="shared" si="11"/>
        <v>Wk.5</v>
      </c>
      <c r="AK250" t="str">
        <f>IF(pub_gid_0_single_true_output_csv[[#This Row],[Nilai2]]="","",VLOOKUP(pub_gid_0_single_true_output_csv[[#This Row],[NAMA]],Table7[],3,FALSE))</f>
        <v>Average</v>
      </c>
    </row>
    <row r="251" spans="1:37" x14ac:dyDescent="0.2">
      <c r="A251">
        <v>250</v>
      </c>
      <c r="B251" t="s">
        <v>287</v>
      </c>
      <c r="C251" t="s">
        <v>54</v>
      </c>
      <c r="D251" t="s">
        <v>34</v>
      </c>
      <c r="E251" t="s">
        <v>140</v>
      </c>
      <c r="F251" s="25">
        <v>46048</v>
      </c>
      <c r="G251" t="s">
        <v>371</v>
      </c>
      <c r="H251" t="s">
        <v>405</v>
      </c>
      <c r="I251" t="s">
        <v>371</v>
      </c>
      <c r="J251" t="s">
        <v>279</v>
      </c>
      <c r="K251" t="s">
        <v>280</v>
      </c>
      <c r="L251" t="s">
        <v>322</v>
      </c>
      <c r="M251" t="s">
        <v>141</v>
      </c>
      <c r="N251" t="s">
        <v>142</v>
      </c>
      <c r="O251" t="s">
        <v>155</v>
      </c>
      <c r="P251" t="s">
        <v>281</v>
      </c>
      <c r="Q251" t="s">
        <v>155</v>
      </c>
      <c r="R251" t="s">
        <v>302</v>
      </c>
      <c r="S251" t="s">
        <v>369</v>
      </c>
      <c r="T251">
        <v>1</v>
      </c>
      <c r="U251" t="s">
        <v>409</v>
      </c>
      <c r="V251" t="s">
        <v>342</v>
      </c>
      <c r="W251" t="s">
        <v>411</v>
      </c>
      <c r="X251" t="s">
        <v>306</v>
      </c>
      <c r="Y251" t="s">
        <v>307</v>
      </c>
      <c r="Z251">
        <v>65</v>
      </c>
      <c r="AA251">
        <v>65</v>
      </c>
      <c r="AB251" t="s">
        <v>143</v>
      </c>
      <c r="AC251" t="s">
        <v>149</v>
      </c>
      <c r="AD251" t="s">
        <v>404</v>
      </c>
      <c r="AE251" t="str">
        <f>IF(AF251="","",VLOOKUP(AC251,mapel!$A$2:$B$42,2,FALSE))</f>
        <v>B.Indo</v>
      </c>
      <c r="AF251">
        <f t="shared" si="9"/>
        <v>65</v>
      </c>
      <c r="AG251" t="str">
        <f>IF(AF251="","",IF(AF251&gt;90,"Sangat baik",IF(AF251&gt;79,"Baik",IF(AF251&gt;=pub_gid_0_single_true_output_csv[[#This Row],[KKM]],"Cukup","Kurang"))))</f>
        <v>Cukup</v>
      </c>
      <c r="AH251">
        <f t="shared" si="10"/>
        <v>11</v>
      </c>
      <c r="AI251" s="30" t="str">
        <f>IF(OR(J251&lt;&gt;"Karakter",pub_gid_0_single_true_output_csv[[#This Row],[Nilai2]]=""),"",IF(AF251&gt;89,"Sangat baik",IF(AF251&gt;79,"Baik",IF(AF251&gt;69,"Cukup",IF(AF251&gt;59,"Kurang","Sangat kurang")))))</f>
        <v/>
      </c>
      <c r="AJ251" t="str">
        <f t="shared" si="11"/>
        <v>Wk.5</v>
      </c>
      <c r="AK251" t="str">
        <f>IF(pub_gid_0_single_true_output_csv[[#This Row],[Nilai2]]="","",VLOOKUP(pub_gid_0_single_true_output_csv[[#This Row],[NAMA]],Table7[],3,FALSE))</f>
        <v>Average</v>
      </c>
    </row>
    <row r="252" spans="1:37" x14ac:dyDescent="0.2">
      <c r="A252">
        <v>251</v>
      </c>
      <c r="B252" t="s">
        <v>287</v>
      </c>
      <c r="C252" t="s">
        <v>54</v>
      </c>
      <c r="D252" t="s">
        <v>34</v>
      </c>
      <c r="E252" t="s">
        <v>140</v>
      </c>
      <c r="F252" s="25">
        <v>46049</v>
      </c>
      <c r="G252" t="s">
        <v>373</v>
      </c>
      <c r="H252" t="s">
        <v>405</v>
      </c>
      <c r="I252" t="s">
        <v>371</v>
      </c>
      <c r="J252" t="s">
        <v>36</v>
      </c>
      <c r="K252" t="s">
        <v>37</v>
      </c>
      <c r="L252" t="s">
        <v>321</v>
      </c>
      <c r="M252" t="s">
        <v>141</v>
      </c>
      <c r="N252" t="s">
        <v>142</v>
      </c>
      <c r="O252" t="s">
        <v>155</v>
      </c>
      <c r="P252" t="s">
        <v>281</v>
      </c>
      <c r="Q252" t="s">
        <v>155</v>
      </c>
      <c r="R252" t="s">
        <v>302</v>
      </c>
      <c r="S252" t="s">
        <v>369</v>
      </c>
      <c r="T252">
        <v>1</v>
      </c>
      <c r="U252" t="s">
        <v>409</v>
      </c>
      <c r="V252" t="s">
        <v>342</v>
      </c>
      <c r="W252" t="s">
        <v>411</v>
      </c>
      <c r="X252" t="s">
        <v>306</v>
      </c>
      <c r="Y252" t="s">
        <v>307</v>
      </c>
      <c r="Z252">
        <v>65</v>
      </c>
      <c r="AA252">
        <v>63</v>
      </c>
      <c r="AB252" t="s">
        <v>151</v>
      </c>
      <c r="AC252" t="s">
        <v>149</v>
      </c>
      <c r="AD252" t="s">
        <v>404</v>
      </c>
      <c r="AE252" t="str">
        <f>IF(AF252="","",VLOOKUP(AC252,mapel!$A$2:$B$42,2,FALSE))</f>
        <v>B.Indo</v>
      </c>
      <c r="AF252">
        <f t="shared" si="9"/>
        <v>63</v>
      </c>
      <c r="AG252" t="str">
        <f>IF(AF252="","",IF(AF252&gt;90,"Sangat baik",IF(AF252&gt;79,"Baik",IF(AF252&gt;=pub_gid_0_single_true_output_csv[[#This Row],[KKM]],"Cukup","Kurang"))))</f>
        <v>Kurang</v>
      </c>
      <c r="AH252">
        <f t="shared" si="10"/>
        <v>11</v>
      </c>
      <c r="AI252" s="30" t="str">
        <f>IF(OR(J252&lt;&gt;"Karakter",pub_gid_0_single_true_output_csv[[#This Row],[Nilai2]]=""),"",IF(AF252&gt;89,"Sangat baik",IF(AF252&gt;79,"Baik",IF(AF252&gt;69,"Cukup",IF(AF252&gt;59,"Kurang","Sangat kurang")))))</f>
        <v/>
      </c>
      <c r="AJ252" t="str">
        <f t="shared" si="11"/>
        <v>Wk.5</v>
      </c>
      <c r="AK252" t="str">
        <f>IF(pub_gid_0_single_true_output_csv[[#This Row],[Nilai2]]="","",VLOOKUP(pub_gid_0_single_true_output_csv[[#This Row],[NAMA]],Table7[],3,FALSE))</f>
        <v>Average</v>
      </c>
    </row>
    <row r="253" spans="1:37" x14ac:dyDescent="0.2">
      <c r="A253">
        <v>252</v>
      </c>
      <c r="B253" t="s">
        <v>287</v>
      </c>
      <c r="C253" t="s">
        <v>54</v>
      </c>
      <c r="D253" t="s">
        <v>34</v>
      </c>
      <c r="E253" t="s">
        <v>140</v>
      </c>
      <c r="F253" s="25">
        <v>46049</v>
      </c>
      <c r="G253" t="s">
        <v>373</v>
      </c>
      <c r="H253" t="s">
        <v>405</v>
      </c>
      <c r="I253" t="s">
        <v>371</v>
      </c>
      <c r="J253" t="s">
        <v>31</v>
      </c>
      <c r="K253" t="s">
        <v>96</v>
      </c>
      <c r="L253" t="s">
        <v>321</v>
      </c>
      <c r="M253" t="s">
        <v>141</v>
      </c>
      <c r="N253" t="s">
        <v>142</v>
      </c>
      <c r="O253" t="s">
        <v>155</v>
      </c>
      <c r="P253" t="s">
        <v>281</v>
      </c>
      <c r="Q253" t="s">
        <v>155</v>
      </c>
      <c r="R253" t="s">
        <v>302</v>
      </c>
      <c r="S253" t="s">
        <v>369</v>
      </c>
      <c r="T253">
        <v>1</v>
      </c>
      <c r="U253" t="s">
        <v>409</v>
      </c>
      <c r="V253" t="s">
        <v>342</v>
      </c>
      <c r="W253" t="s">
        <v>411</v>
      </c>
      <c r="X253" t="s">
        <v>306</v>
      </c>
      <c r="Y253" t="s">
        <v>307</v>
      </c>
      <c r="Z253">
        <v>65</v>
      </c>
      <c r="AA253">
        <v>65</v>
      </c>
      <c r="AB253" t="s">
        <v>143</v>
      </c>
      <c r="AC253" t="s">
        <v>149</v>
      </c>
      <c r="AD253" t="s">
        <v>404</v>
      </c>
      <c r="AE253" t="str">
        <f>IF(AF253="","",VLOOKUP(AC253,mapel!$A$2:$B$42,2,FALSE))</f>
        <v>B.Indo</v>
      </c>
      <c r="AF253">
        <f t="shared" si="9"/>
        <v>65</v>
      </c>
      <c r="AG253" t="str">
        <f>IF(AF253="","",IF(AF253&gt;90,"Sangat baik",IF(AF253&gt;79,"Baik",IF(AF253&gt;=pub_gid_0_single_true_output_csv[[#This Row],[KKM]],"Cukup","Kurang"))))</f>
        <v>Cukup</v>
      </c>
      <c r="AH253">
        <f t="shared" si="10"/>
        <v>11</v>
      </c>
      <c r="AI253" s="30" t="str">
        <f>IF(OR(J253&lt;&gt;"Karakter",pub_gid_0_single_true_output_csv[[#This Row],[Nilai2]]=""),"",IF(AF253&gt;89,"Sangat baik",IF(AF253&gt;79,"Baik",IF(AF253&gt;69,"Cukup",IF(AF253&gt;59,"Kurang","Sangat kurang")))))</f>
        <v/>
      </c>
      <c r="AJ253" t="str">
        <f t="shared" si="11"/>
        <v>Wk.5</v>
      </c>
      <c r="AK253" t="str">
        <f>IF(pub_gid_0_single_true_output_csv[[#This Row],[Nilai2]]="","",VLOOKUP(pub_gid_0_single_true_output_csv[[#This Row],[NAMA]],Table7[],3,FALSE))</f>
        <v>Average</v>
      </c>
    </row>
    <row r="254" spans="1:37" x14ac:dyDescent="0.2">
      <c r="A254">
        <v>253</v>
      </c>
      <c r="B254" t="s">
        <v>287</v>
      </c>
      <c r="C254" t="s">
        <v>54</v>
      </c>
      <c r="D254" t="s">
        <v>34</v>
      </c>
      <c r="E254" t="s">
        <v>140</v>
      </c>
      <c r="F254" s="25">
        <v>46049</v>
      </c>
      <c r="G254" t="s">
        <v>373</v>
      </c>
      <c r="H254" t="s">
        <v>405</v>
      </c>
      <c r="I254" t="s">
        <v>371</v>
      </c>
      <c r="J254" t="s">
        <v>90</v>
      </c>
      <c r="K254" t="s">
        <v>92</v>
      </c>
      <c r="L254" t="s">
        <v>93</v>
      </c>
      <c r="M254" t="s">
        <v>141</v>
      </c>
      <c r="N254" t="s">
        <v>142</v>
      </c>
      <c r="O254" t="s">
        <v>155</v>
      </c>
      <c r="P254" t="s">
        <v>281</v>
      </c>
      <c r="Q254" t="s">
        <v>155</v>
      </c>
      <c r="R254" t="s">
        <v>302</v>
      </c>
      <c r="S254" t="s">
        <v>369</v>
      </c>
      <c r="T254">
        <v>1</v>
      </c>
      <c r="U254" t="s">
        <v>409</v>
      </c>
      <c r="V254" t="s">
        <v>342</v>
      </c>
      <c r="W254" t="s">
        <v>411</v>
      </c>
      <c r="X254" t="s">
        <v>306</v>
      </c>
      <c r="Y254" t="s">
        <v>307</v>
      </c>
      <c r="Z254">
        <v>65</v>
      </c>
      <c r="AA254">
        <v>70</v>
      </c>
      <c r="AB254" t="s">
        <v>143</v>
      </c>
      <c r="AC254" t="s">
        <v>149</v>
      </c>
      <c r="AD254" t="s">
        <v>404</v>
      </c>
      <c r="AE254" t="str">
        <f>IF(AF254="","",VLOOKUP(AC254,mapel!$A$2:$B$42,2,FALSE))</f>
        <v>B.Indo</v>
      </c>
      <c r="AF254">
        <f t="shared" si="9"/>
        <v>70</v>
      </c>
      <c r="AG254" t="str">
        <f>IF(AF254="","",IF(AF254&gt;90,"Sangat baik",IF(AF254&gt;79,"Baik",IF(AF254&gt;=pub_gid_0_single_true_output_csv[[#This Row],[KKM]],"Cukup","Kurang"))))</f>
        <v>Cukup</v>
      </c>
      <c r="AH254">
        <f t="shared" si="10"/>
        <v>11</v>
      </c>
      <c r="AI254" s="30" t="str">
        <f>IF(OR(J254&lt;&gt;"Karakter",pub_gid_0_single_true_output_csv[[#This Row],[Nilai2]]=""),"",IF(AF254&gt;89,"Sangat baik",IF(AF254&gt;79,"Baik",IF(AF254&gt;69,"Cukup",IF(AF254&gt;59,"Kurang","Sangat kurang")))))</f>
        <v>Cukup</v>
      </c>
      <c r="AJ254" t="str">
        <f t="shared" si="11"/>
        <v>Wk.5</v>
      </c>
      <c r="AK254" t="str">
        <f>IF(pub_gid_0_single_true_output_csv[[#This Row],[Nilai2]]="","",VLOOKUP(pub_gid_0_single_true_output_csv[[#This Row],[NAMA]],Table7[],3,FALSE))</f>
        <v>Average</v>
      </c>
    </row>
    <row r="255" spans="1:37" x14ac:dyDescent="0.2">
      <c r="A255">
        <v>254</v>
      </c>
      <c r="B255" t="s">
        <v>287</v>
      </c>
      <c r="C255" t="s">
        <v>54</v>
      </c>
      <c r="D255" t="s">
        <v>34</v>
      </c>
      <c r="E255" t="s">
        <v>140</v>
      </c>
      <c r="F255" s="25">
        <v>46049</v>
      </c>
      <c r="G255" t="s">
        <v>373</v>
      </c>
      <c r="H255" t="s">
        <v>405</v>
      </c>
      <c r="I255" t="s">
        <v>371</v>
      </c>
      <c r="J255" t="s">
        <v>279</v>
      </c>
      <c r="K255" t="s">
        <v>280</v>
      </c>
      <c r="L255" t="s">
        <v>322</v>
      </c>
      <c r="M255" t="s">
        <v>141</v>
      </c>
      <c r="N255" t="s">
        <v>142</v>
      </c>
      <c r="O255" t="s">
        <v>155</v>
      </c>
      <c r="P255" t="s">
        <v>281</v>
      </c>
      <c r="Q255" t="s">
        <v>155</v>
      </c>
      <c r="R255" t="s">
        <v>302</v>
      </c>
      <c r="S255" t="s">
        <v>369</v>
      </c>
      <c r="T255">
        <v>1</v>
      </c>
      <c r="U255" t="s">
        <v>409</v>
      </c>
      <c r="V255" t="s">
        <v>342</v>
      </c>
      <c r="W255" t="s">
        <v>411</v>
      </c>
      <c r="X255" t="s">
        <v>306</v>
      </c>
      <c r="Y255" t="s">
        <v>307</v>
      </c>
      <c r="Z255">
        <v>65</v>
      </c>
      <c r="AA255">
        <v>69</v>
      </c>
      <c r="AB255" t="s">
        <v>143</v>
      </c>
      <c r="AC255" t="s">
        <v>149</v>
      </c>
      <c r="AD255" t="s">
        <v>404</v>
      </c>
      <c r="AE255" t="str">
        <f>IF(AF255="","",VLOOKUP(AC255,mapel!$A$2:$B$42,2,FALSE))</f>
        <v>B.Indo</v>
      </c>
      <c r="AF255">
        <f t="shared" si="9"/>
        <v>69</v>
      </c>
      <c r="AG255" t="str">
        <f>IF(AF255="","",IF(AF255&gt;90,"Sangat baik",IF(AF255&gt;79,"Baik",IF(AF255&gt;=pub_gid_0_single_true_output_csv[[#This Row],[KKM]],"Cukup","Kurang"))))</f>
        <v>Cukup</v>
      </c>
      <c r="AH255">
        <f t="shared" si="10"/>
        <v>11</v>
      </c>
      <c r="AI255" s="30" t="str">
        <f>IF(OR(J255&lt;&gt;"Karakter",pub_gid_0_single_true_output_csv[[#This Row],[Nilai2]]=""),"",IF(AF255&gt;89,"Sangat baik",IF(AF255&gt;79,"Baik",IF(AF255&gt;69,"Cukup",IF(AF255&gt;59,"Kurang","Sangat kurang")))))</f>
        <v/>
      </c>
      <c r="AJ255" t="str">
        <f t="shared" si="11"/>
        <v>Wk.5</v>
      </c>
      <c r="AK255" t="str">
        <f>IF(pub_gid_0_single_true_output_csv[[#This Row],[Nilai2]]="","",VLOOKUP(pub_gid_0_single_true_output_csv[[#This Row],[NAMA]],Table7[],3,FALSE))</f>
        <v>Average</v>
      </c>
    </row>
    <row r="256" spans="1:37" x14ac:dyDescent="0.2">
      <c r="A256">
        <v>255</v>
      </c>
      <c r="B256" t="s">
        <v>287</v>
      </c>
      <c r="C256" t="s">
        <v>54</v>
      </c>
      <c r="D256" t="s">
        <v>34</v>
      </c>
      <c r="E256" t="s">
        <v>140</v>
      </c>
      <c r="F256" s="25">
        <v>46055</v>
      </c>
      <c r="G256" t="s">
        <v>379</v>
      </c>
      <c r="H256" t="s">
        <v>412</v>
      </c>
      <c r="I256" t="s">
        <v>371</v>
      </c>
      <c r="J256" t="s">
        <v>36</v>
      </c>
      <c r="K256" t="s">
        <v>37</v>
      </c>
      <c r="L256" t="s">
        <v>150</v>
      </c>
      <c r="M256" t="s">
        <v>141</v>
      </c>
      <c r="N256" t="s">
        <v>142</v>
      </c>
      <c r="O256" t="s">
        <v>155</v>
      </c>
      <c r="P256" t="s">
        <v>281</v>
      </c>
      <c r="Q256" t="s">
        <v>155</v>
      </c>
      <c r="R256" t="s">
        <v>302</v>
      </c>
      <c r="S256" t="s">
        <v>345</v>
      </c>
      <c r="T256">
        <v>1</v>
      </c>
      <c r="U256" t="s">
        <v>409</v>
      </c>
      <c r="V256" t="s">
        <v>343</v>
      </c>
      <c r="W256" t="s">
        <v>413</v>
      </c>
      <c r="X256" t="s">
        <v>306</v>
      </c>
      <c r="Y256" t="s">
        <v>307</v>
      </c>
      <c r="Z256">
        <v>65</v>
      </c>
      <c r="AA256">
        <v>65</v>
      </c>
      <c r="AB256" t="s">
        <v>143</v>
      </c>
      <c r="AC256" t="s">
        <v>149</v>
      </c>
      <c r="AD256" t="s">
        <v>404</v>
      </c>
      <c r="AE256" t="str">
        <f>IF(AF256="","",VLOOKUP(AC256,mapel!$A$2:$B$42,2,FALSE))</f>
        <v>B.Indo</v>
      </c>
      <c r="AF256">
        <f t="shared" si="9"/>
        <v>65</v>
      </c>
      <c r="AG256" t="str">
        <f>IF(AF256="","",IF(AF256&gt;90,"Sangat baik",IF(AF256&gt;79,"Baik",IF(AF256&gt;=pub_gid_0_single_true_output_csv[[#This Row],[KKM]],"Cukup","Kurang"))))</f>
        <v>Cukup</v>
      </c>
      <c r="AH256">
        <f t="shared" si="10"/>
        <v>11</v>
      </c>
      <c r="AI256" s="30" t="str">
        <f>IF(OR(J256&lt;&gt;"Karakter",pub_gid_0_single_true_output_csv[[#This Row],[Nilai2]]=""),"",IF(AF256&gt;89,"Sangat baik",IF(AF256&gt;79,"Baik",IF(AF256&gt;69,"Cukup",IF(AF256&gt;59,"Kurang","Sangat kurang")))))</f>
        <v/>
      </c>
      <c r="AJ256" t="str">
        <f t="shared" si="11"/>
        <v>Wk.6</v>
      </c>
      <c r="AK256" t="str">
        <f>IF(pub_gid_0_single_true_output_csv[[#This Row],[Nilai2]]="","",VLOOKUP(pub_gid_0_single_true_output_csv[[#This Row],[NAMA]],Table7[],3,FALSE))</f>
        <v>Average</v>
      </c>
    </row>
    <row r="257" spans="1:37" x14ac:dyDescent="0.2">
      <c r="A257">
        <v>256</v>
      </c>
      <c r="B257" t="s">
        <v>287</v>
      </c>
      <c r="C257" t="s">
        <v>54</v>
      </c>
      <c r="D257" t="s">
        <v>34</v>
      </c>
      <c r="E257" t="s">
        <v>140</v>
      </c>
      <c r="F257" s="25">
        <v>46055</v>
      </c>
      <c r="G257" t="s">
        <v>379</v>
      </c>
      <c r="H257" t="s">
        <v>412</v>
      </c>
      <c r="I257" t="s">
        <v>371</v>
      </c>
      <c r="J257" t="s">
        <v>31</v>
      </c>
      <c r="K257" t="s">
        <v>96</v>
      </c>
      <c r="L257" t="s">
        <v>150</v>
      </c>
      <c r="M257" t="s">
        <v>141</v>
      </c>
      <c r="N257" t="s">
        <v>142</v>
      </c>
      <c r="O257" t="s">
        <v>155</v>
      </c>
      <c r="P257" t="s">
        <v>281</v>
      </c>
      <c r="Q257" t="s">
        <v>155</v>
      </c>
      <c r="R257" t="s">
        <v>302</v>
      </c>
      <c r="S257" t="s">
        <v>345</v>
      </c>
      <c r="T257">
        <v>1</v>
      </c>
      <c r="U257" t="s">
        <v>409</v>
      </c>
      <c r="V257" t="s">
        <v>343</v>
      </c>
      <c r="W257" t="s">
        <v>413</v>
      </c>
      <c r="X257" t="s">
        <v>306</v>
      </c>
      <c r="Y257" t="s">
        <v>307</v>
      </c>
      <c r="Z257">
        <v>65</v>
      </c>
      <c r="AA257">
        <v>70</v>
      </c>
      <c r="AB257" t="s">
        <v>143</v>
      </c>
      <c r="AC257" t="s">
        <v>149</v>
      </c>
      <c r="AD257" t="s">
        <v>404</v>
      </c>
      <c r="AE257" t="str">
        <f>IF(AF257="","",VLOOKUP(AC257,mapel!$A$2:$B$42,2,FALSE))</f>
        <v>B.Indo</v>
      </c>
      <c r="AF257">
        <f t="shared" si="9"/>
        <v>70</v>
      </c>
      <c r="AG257" t="str">
        <f>IF(AF257="","",IF(AF257&gt;90,"Sangat baik",IF(AF257&gt;79,"Baik",IF(AF257&gt;=pub_gid_0_single_true_output_csv[[#This Row],[KKM]],"Cukup","Kurang"))))</f>
        <v>Cukup</v>
      </c>
      <c r="AH257">
        <f t="shared" si="10"/>
        <v>11</v>
      </c>
      <c r="AI257" s="30" t="str">
        <f>IF(OR(J257&lt;&gt;"Karakter",pub_gid_0_single_true_output_csv[[#This Row],[Nilai2]]=""),"",IF(AF257&gt;89,"Sangat baik",IF(AF257&gt;79,"Baik",IF(AF257&gt;69,"Cukup",IF(AF257&gt;59,"Kurang","Sangat kurang")))))</f>
        <v/>
      </c>
      <c r="AJ257" t="str">
        <f t="shared" si="11"/>
        <v>Wk.6</v>
      </c>
      <c r="AK257" t="str">
        <f>IF(pub_gid_0_single_true_output_csv[[#This Row],[Nilai2]]="","",VLOOKUP(pub_gid_0_single_true_output_csv[[#This Row],[NAMA]],Table7[],3,FALSE))</f>
        <v>Average</v>
      </c>
    </row>
    <row r="258" spans="1:37" x14ac:dyDescent="0.2">
      <c r="A258">
        <v>257</v>
      </c>
      <c r="B258" t="s">
        <v>287</v>
      </c>
      <c r="C258" t="s">
        <v>54</v>
      </c>
      <c r="D258" t="s">
        <v>34</v>
      </c>
      <c r="E258" t="s">
        <v>140</v>
      </c>
      <c r="F258" s="25">
        <v>46055</v>
      </c>
      <c r="G258" t="s">
        <v>379</v>
      </c>
      <c r="H258" t="s">
        <v>412</v>
      </c>
      <c r="I258" t="s">
        <v>371</v>
      </c>
      <c r="J258" t="s">
        <v>90</v>
      </c>
      <c r="K258" t="s">
        <v>92</v>
      </c>
      <c r="L258" t="s">
        <v>91</v>
      </c>
      <c r="M258" t="s">
        <v>141</v>
      </c>
      <c r="N258" t="s">
        <v>142</v>
      </c>
      <c r="O258" t="s">
        <v>155</v>
      </c>
      <c r="P258" t="s">
        <v>281</v>
      </c>
      <c r="Q258" t="s">
        <v>155</v>
      </c>
      <c r="R258" t="s">
        <v>302</v>
      </c>
      <c r="S258" t="s">
        <v>345</v>
      </c>
      <c r="T258">
        <v>1</v>
      </c>
      <c r="U258" t="s">
        <v>409</v>
      </c>
      <c r="V258" t="s">
        <v>343</v>
      </c>
      <c r="W258" t="s">
        <v>413</v>
      </c>
      <c r="X258" t="s">
        <v>306</v>
      </c>
      <c r="Y258" t="s">
        <v>307</v>
      </c>
      <c r="Z258">
        <v>65</v>
      </c>
      <c r="AA258">
        <v>70</v>
      </c>
      <c r="AB258" t="s">
        <v>143</v>
      </c>
      <c r="AC258" t="s">
        <v>149</v>
      </c>
      <c r="AD258" t="s">
        <v>404</v>
      </c>
      <c r="AE258" t="str">
        <f>IF(AF258="","",VLOOKUP(AC258,mapel!$A$2:$B$42,2,FALSE))</f>
        <v>B.Indo</v>
      </c>
      <c r="AF258">
        <f t="shared" ref="AF258:AF321" si="12">IF(AA258=0, "",IF(AA258 = 0.1, 0,AA258))</f>
        <v>70</v>
      </c>
      <c r="AG258" t="str">
        <f>IF(AF258="","",IF(AF258&gt;90,"Sangat baik",IF(AF258&gt;79,"Baik",IF(AF258&gt;=pub_gid_0_single_true_output_csv[[#This Row],[KKM]],"Cukup","Kurang"))))</f>
        <v>Cukup</v>
      </c>
      <c r="AH258">
        <f t="shared" ref="AH258:AH321" si="13">IF(AG258="","",VALUE(RIGHT(X258,2)))</f>
        <v>11</v>
      </c>
      <c r="AI258" s="30" t="str">
        <f>IF(OR(J258&lt;&gt;"Karakter",pub_gid_0_single_true_output_csv[[#This Row],[Nilai2]]=""),"",IF(AF258&gt;89,"Sangat baik",IF(AF258&gt;79,"Baik",IF(AF258&gt;69,"Cukup",IF(AF258&gt;59,"Kurang","Sangat kurang")))))</f>
        <v>Cukup</v>
      </c>
      <c r="AJ258" t="str">
        <f t="shared" ref="AJ258:AJ321" si="14">IF(AF258="","",CONCATENATE("Wk.",WEEKNUM(F258,2)))</f>
        <v>Wk.6</v>
      </c>
      <c r="AK258" t="str">
        <f>IF(pub_gid_0_single_true_output_csv[[#This Row],[Nilai2]]="","",VLOOKUP(pub_gid_0_single_true_output_csv[[#This Row],[NAMA]],Table7[],3,FALSE))</f>
        <v>Average</v>
      </c>
    </row>
    <row r="259" spans="1:37" x14ac:dyDescent="0.2">
      <c r="A259">
        <v>258</v>
      </c>
      <c r="B259" t="s">
        <v>287</v>
      </c>
      <c r="C259" t="s">
        <v>54</v>
      </c>
      <c r="D259" t="s">
        <v>34</v>
      </c>
      <c r="E259" t="s">
        <v>140</v>
      </c>
      <c r="F259" s="25">
        <v>46055</v>
      </c>
      <c r="G259" t="s">
        <v>379</v>
      </c>
      <c r="H259" t="s">
        <v>412</v>
      </c>
      <c r="I259" t="s">
        <v>371</v>
      </c>
      <c r="J259" t="s">
        <v>279</v>
      </c>
      <c r="K259" t="s">
        <v>280</v>
      </c>
      <c r="L259" t="s">
        <v>322</v>
      </c>
      <c r="M259" t="s">
        <v>141</v>
      </c>
      <c r="N259" t="s">
        <v>142</v>
      </c>
      <c r="O259" t="s">
        <v>155</v>
      </c>
      <c r="P259" t="s">
        <v>281</v>
      </c>
      <c r="Q259" t="s">
        <v>155</v>
      </c>
      <c r="R259" t="s">
        <v>302</v>
      </c>
      <c r="S259" t="s">
        <v>345</v>
      </c>
      <c r="T259">
        <v>1</v>
      </c>
      <c r="U259" t="s">
        <v>409</v>
      </c>
      <c r="V259" t="s">
        <v>343</v>
      </c>
      <c r="W259" t="s">
        <v>413</v>
      </c>
      <c r="X259" t="s">
        <v>306</v>
      </c>
      <c r="Y259" t="s">
        <v>307</v>
      </c>
      <c r="Z259">
        <v>65</v>
      </c>
      <c r="AA259">
        <v>70</v>
      </c>
      <c r="AB259" t="s">
        <v>143</v>
      </c>
      <c r="AC259" t="s">
        <v>149</v>
      </c>
      <c r="AD259" t="s">
        <v>404</v>
      </c>
      <c r="AE259" t="str">
        <f>IF(AF259="","",VLOOKUP(AC259,mapel!$A$2:$B$42,2,FALSE))</f>
        <v>B.Indo</v>
      </c>
      <c r="AF259">
        <f t="shared" si="12"/>
        <v>70</v>
      </c>
      <c r="AG259" t="str">
        <f>IF(AF259="","",IF(AF259&gt;90,"Sangat baik",IF(AF259&gt;79,"Baik",IF(AF259&gt;=pub_gid_0_single_true_output_csv[[#This Row],[KKM]],"Cukup","Kurang"))))</f>
        <v>Cukup</v>
      </c>
      <c r="AH259">
        <f t="shared" si="13"/>
        <v>11</v>
      </c>
      <c r="AI259" s="30" t="str">
        <f>IF(OR(J259&lt;&gt;"Karakter",pub_gid_0_single_true_output_csv[[#This Row],[Nilai2]]=""),"",IF(AF259&gt;89,"Sangat baik",IF(AF259&gt;79,"Baik",IF(AF259&gt;69,"Cukup",IF(AF259&gt;59,"Kurang","Sangat kurang")))))</f>
        <v/>
      </c>
      <c r="AJ259" t="str">
        <f t="shared" si="14"/>
        <v>Wk.6</v>
      </c>
      <c r="AK259" t="str">
        <f>IF(pub_gid_0_single_true_output_csv[[#This Row],[Nilai2]]="","",VLOOKUP(pub_gid_0_single_true_output_csv[[#This Row],[NAMA]],Table7[],3,FALSE))</f>
        <v>Average</v>
      </c>
    </row>
    <row r="260" spans="1:37" x14ac:dyDescent="0.2">
      <c r="A260">
        <v>259</v>
      </c>
      <c r="B260" t="s">
        <v>287</v>
      </c>
      <c r="C260" t="s">
        <v>54</v>
      </c>
      <c r="D260" t="s">
        <v>34</v>
      </c>
      <c r="E260" t="s">
        <v>140</v>
      </c>
      <c r="F260" s="25">
        <v>46062</v>
      </c>
      <c r="G260" t="s">
        <v>376</v>
      </c>
      <c r="H260" t="s">
        <v>412</v>
      </c>
      <c r="I260" t="s">
        <v>371</v>
      </c>
      <c r="J260" t="s">
        <v>36</v>
      </c>
      <c r="K260" t="s">
        <v>37</v>
      </c>
      <c r="L260" t="s">
        <v>351</v>
      </c>
      <c r="M260" t="s">
        <v>141</v>
      </c>
      <c r="N260" t="s">
        <v>142</v>
      </c>
      <c r="O260" t="s">
        <v>155</v>
      </c>
      <c r="P260" t="s">
        <v>281</v>
      </c>
      <c r="Q260" t="s">
        <v>155</v>
      </c>
      <c r="R260" t="s">
        <v>302</v>
      </c>
      <c r="S260" t="s">
        <v>345</v>
      </c>
      <c r="T260">
        <v>1</v>
      </c>
      <c r="U260" t="s">
        <v>409</v>
      </c>
      <c r="V260" t="s">
        <v>343</v>
      </c>
      <c r="W260" t="s">
        <v>413</v>
      </c>
      <c r="X260" t="s">
        <v>306</v>
      </c>
      <c r="Y260" t="s">
        <v>307</v>
      </c>
      <c r="Z260">
        <v>65</v>
      </c>
      <c r="AA260">
        <v>65</v>
      </c>
      <c r="AB260" t="s">
        <v>143</v>
      </c>
      <c r="AC260" t="s">
        <v>149</v>
      </c>
      <c r="AD260" t="s">
        <v>404</v>
      </c>
      <c r="AE260" t="str">
        <f>IF(AF260="","",VLOOKUP(AC260,mapel!$A$2:$B$42,2,FALSE))</f>
        <v>B.Indo</v>
      </c>
      <c r="AF260">
        <f t="shared" si="12"/>
        <v>65</v>
      </c>
      <c r="AG260" t="str">
        <f>IF(AF260="","",IF(AF260&gt;90,"Sangat baik",IF(AF260&gt;79,"Baik",IF(AF260&gt;=pub_gid_0_single_true_output_csv[[#This Row],[KKM]],"Cukup","Kurang"))))</f>
        <v>Cukup</v>
      </c>
      <c r="AH260">
        <f t="shared" si="13"/>
        <v>11</v>
      </c>
      <c r="AI260" s="30" t="str">
        <f>IF(OR(J260&lt;&gt;"Karakter",pub_gid_0_single_true_output_csv[[#This Row],[Nilai2]]=""),"",IF(AF260&gt;89,"Sangat baik",IF(AF260&gt;79,"Baik",IF(AF260&gt;69,"Cukup",IF(AF260&gt;59,"Kurang","Sangat kurang")))))</f>
        <v/>
      </c>
      <c r="AJ260" t="str">
        <f t="shared" si="14"/>
        <v>Wk.7</v>
      </c>
      <c r="AK260" t="str">
        <f>IF(pub_gid_0_single_true_output_csv[[#This Row],[Nilai2]]="","",VLOOKUP(pub_gid_0_single_true_output_csv[[#This Row],[NAMA]],Table7[],3,FALSE))</f>
        <v>Average</v>
      </c>
    </row>
    <row r="261" spans="1:37" x14ac:dyDescent="0.2">
      <c r="A261">
        <v>260</v>
      </c>
      <c r="B261" t="s">
        <v>287</v>
      </c>
      <c r="C261" t="s">
        <v>54</v>
      </c>
      <c r="D261" t="s">
        <v>34</v>
      </c>
      <c r="E261" t="s">
        <v>140</v>
      </c>
      <c r="F261" s="25">
        <v>46062</v>
      </c>
      <c r="G261" t="s">
        <v>376</v>
      </c>
      <c r="H261" t="s">
        <v>412</v>
      </c>
      <c r="I261" t="s">
        <v>371</v>
      </c>
      <c r="J261" t="s">
        <v>31</v>
      </c>
      <c r="K261" t="s">
        <v>96</v>
      </c>
      <c r="L261" t="s">
        <v>351</v>
      </c>
      <c r="M261" t="s">
        <v>141</v>
      </c>
      <c r="N261" t="s">
        <v>142</v>
      </c>
      <c r="O261" t="s">
        <v>155</v>
      </c>
      <c r="P261" t="s">
        <v>281</v>
      </c>
      <c r="Q261" t="s">
        <v>155</v>
      </c>
      <c r="R261" t="s">
        <v>302</v>
      </c>
      <c r="S261" t="s">
        <v>345</v>
      </c>
      <c r="T261">
        <v>1</v>
      </c>
      <c r="U261" t="s">
        <v>409</v>
      </c>
      <c r="V261" t="s">
        <v>343</v>
      </c>
      <c r="W261" t="s">
        <v>413</v>
      </c>
      <c r="X261" t="s">
        <v>306</v>
      </c>
      <c r="Y261" t="s">
        <v>307</v>
      </c>
      <c r="Z261">
        <v>65</v>
      </c>
      <c r="AA261">
        <v>65</v>
      </c>
      <c r="AB261" t="s">
        <v>143</v>
      </c>
      <c r="AC261" t="s">
        <v>149</v>
      </c>
      <c r="AD261" t="s">
        <v>404</v>
      </c>
      <c r="AE261" t="str">
        <f>IF(AF261="","",VLOOKUP(AC261,mapel!$A$2:$B$42,2,FALSE))</f>
        <v>B.Indo</v>
      </c>
      <c r="AF261">
        <f t="shared" si="12"/>
        <v>65</v>
      </c>
      <c r="AG261" t="str">
        <f>IF(AF261="","",IF(AF261&gt;90,"Sangat baik",IF(AF261&gt;79,"Baik",IF(AF261&gt;=pub_gid_0_single_true_output_csv[[#This Row],[KKM]],"Cukup","Kurang"))))</f>
        <v>Cukup</v>
      </c>
      <c r="AH261">
        <f t="shared" si="13"/>
        <v>11</v>
      </c>
      <c r="AI261" s="30" t="str">
        <f>IF(OR(J261&lt;&gt;"Karakter",pub_gid_0_single_true_output_csv[[#This Row],[Nilai2]]=""),"",IF(AF261&gt;89,"Sangat baik",IF(AF261&gt;79,"Baik",IF(AF261&gt;69,"Cukup",IF(AF261&gt;59,"Kurang","Sangat kurang")))))</f>
        <v/>
      </c>
      <c r="AJ261" t="str">
        <f t="shared" si="14"/>
        <v>Wk.7</v>
      </c>
      <c r="AK261" t="str">
        <f>IF(pub_gid_0_single_true_output_csv[[#This Row],[Nilai2]]="","",VLOOKUP(pub_gid_0_single_true_output_csv[[#This Row],[NAMA]],Table7[],3,FALSE))</f>
        <v>Average</v>
      </c>
    </row>
    <row r="262" spans="1:37" x14ac:dyDescent="0.2">
      <c r="A262">
        <v>261</v>
      </c>
      <c r="B262" t="s">
        <v>287</v>
      </c>
      <c r="C262" t="s">
        <v>54</v>
      </c>
      <c r="D262" t="s">
        <v>34</v>
      </c>
      <c r="E262" t="s">
        <v>140</v>
      </c>
      <c r="F262" s="25">
        <v>46069</v>
      </c>
      <c r="G262" t="s">
        <v>382</v>
      </c>
      <c r="H262" t="s">
        <v>412</v>
      </c>
      <c r="I262" t="s">
        <v>371</v>
      </c>
      <c r="J262" t="s">
        <v>36</v>
      </c>
      <c r="K262" t="s">
        <v>37</v>
      </c>
      <c r="L262" t="s">
        <v>351</v>
      </c>
      <c r="M262" t="s">
        <v>141</v>
      </c>
      <c r="N262" t="s">
        <v>142</v>
      </c>
      <c r="O262" t="s">
        <v>155</v>
      </c>
      <c r="P262" t="s">
        <v>281</v>
      </c>
      <c r="Q262" t="s">
        <v>155</v>
      </c>
      <c r="R262" t="s">
        <v>302</v>
      </c>
      <c r="S262" t="s">
        <v>345</v>
      </c>
      <c r="T262">
        <v>1</v>
      </c>
      <c r="U262" t="s">
        <v>409</v>
      </c>
      <c r="V262" t="s">
        <v>343</v>
      </c>
      <c r="W262" t="s">
        <v>413</v>
      </c>
      <c r="X262" t="s">
        <v>306</v>
      </c>
      <c r="Y262" t="s">
        <v>307</v>
      </c>
      <c r="Z262">
        <v>65</v>
      </c>
      <c r="AA262">
        <v>65</v>
      </c>
      <c r="AB262" t="s">
        <v>143</v>
      </c>
      <c r="AC262" t="s">
        <v>149</v>
      </c>
      <c r="AD262" t="s">
        <v>404</v>
      </c>
      <c r="AE262" t="str">
        <f>IF(AF262="","",VLOOKUP(AC262,mapel!$A$2:$B$42,2,FALSE))</f>
        <v>B.Indo</v>
      </c>
      <c r="AF262">
        <f t="shared" si="12"/>
        <v>65</v>
      </c>
      <c r="AG262" t="str">
        <f>IF(AF262="","",IF(AF262&gt;90,"Sangat baik",IF(AF262&gt;79,"Baik",IF(AF262&gt;=pub_gid_0_single_true_output_csv[[#This Row],[KKM]],"Cukup","Kurang"))))</f>
        <v>Cukup</v>
      </c>
      <c r="AH262">
        <f t="shared" si="13"/>
        <v>11</v>
      </c>
      <c r="AI262" s="30" t="str">
        <f>IF(OR(J262&lt;&gt;"Karakter",pub_gid_0_single_true_output_csv[[#This Row],[Nilai2]]=""),"",IF(AF262&gt;89,"Sangat baik",IF(AF262&gt;79,"Baik",IF(AF262&gt;69,"Cukup",IF(AF262&gt;59,"Kurang","Sangat kurang")))))</f>
        <v/>
      </c>
      <c r="AJ262" t="str">
        <f t="shared" si="14"/>
        <v>Wk.8</v>
      </c>
      <c r="AK262" t="str">
        <f>IF(pub_gid_0_single_true_output_csv[[#This Row],[Nilai2]]="","",VLOOKUP(pub_gid_0_single_true_output_csv[[#This Row],[NAMA]],Table7[],3,FALSE))</f>
        <v>Average</v>
      </c>
    </row>
    <row r="263" spans="1:37" x14ac:dyDescent="0.2">
      <c r="A263">
        <v>262</v>
      </c>
      <c r="B263" t="s">
        <v>287</v>
      </c>
      <c r="C263" t="s">
        <v>54</v>
      </c>
      <c r="D263" t="s">
        <v>34</v>
      </c>
      <c r="E263" t="s">
        <v>140</v>
      </c>
      <c r="F263" s="25">
        <v>46069</v>
      </c>
      <c r="G263" t="s">
        <v>382</v>
      </c>
      <c r="H263" t="s">
        <v>412</v>
      </c>
      <c r="I263" t="s">
        <v>371</v>
      </c>
      <c r="J263" t="s">
        <v>31</v>
      </c>
      <c r="K263" t="s">
        <v>96</v>
      </c>
      <c r="L263" t="s">
        <v>351</v>
      </c>
      <c r="M263" t="s">
        <v>141</v>
      </c>
      <c r="N263" t="s">
        <v>142</v>
      </c>
      <c r="O263" t="s">
        <v>155</v>
      </c>
      <c r="P263" t="s">
        <v>281</v>
      </c>
      <c r="Q263" t="s">
        <v>155</v>
      </c>
      <c r="R263" t="s">
        <v>302</v>
      </c>
      <c r="S263" t="s">
        <v>345</v>
      </c>
      <c r="T263">
        <v>1</v>
      </c>
      <c r="U263" t="s">
        <v>409</v>
      </c>
      <c r="V263" t="s">
        <v>343</v>
      </c>
      <c r="W263" t="s">
        <v>413</v>
      </c>
      <c r="X263" t="s">
        <v>306</v>
      </c>
      <c r="Y263" t="s">
        <v>307</v>
      </c>
      <c r="Z263">
        <v>65</v>
      </c>
      <c r="AA263">
        <v>64</v>
      </c>
      <c r="AB263" t="s">
        <v>151</v>
      </c>
      <c r="AC263" t="s">
        <v>149</v>
      </c>
      <c r="AD263" t="s">
        <v>404</v>
      </c>
      <c r="AE263" t="str">
        <f>IF(AF263="","",VLOOKUP(AC263,mapel!$A$2:$B$42,2,FALSE))</f>
        <v>B.Indo</v>
      </c>
      <c r="AF263">
        <f t="shared" si="12"/>
        <v>64</v>
      </c>
      <c r="AG263" t="str">
        <f>IF(AF263="","",IF(AF263&gt;90,"Sangat baik",IF(AF263&gt;79,"Baik",IF(AF263&gt;=pub_gid_0_single_true_output_csv[[#This Row],[KKM]],"Cukup","Kurang"))))</f>
        <v>Kurang</v>
      </c>
      <c r="AH263">
        <f t="shared" si="13"/>
        <v>11</v>
      </c>
      <c r="AI263" s="30" t="str">
        <f>IF(OR(J263&lt;&gt;"Karakter",pub_gid_0_single_true_output_csv[[#This Row],[Nilai2]]=""),"",IF(AF263&gt;89,"Sangat baik",IF(AF263&gt;79,"Baik",IF(AF263&gt;69,"Cukup",IF(AF263&gt;59,"Kurang","Sangat kurang")))))</f>
        <v/>
      </c>
      <c r="AJ263" t="str">
        <f t="shared" si="14"/>
        <v>Wk.8</v>
      </c>
      <c r="AK263" t="str">
        <f>IF(pub_gid_0_single_true_output_csv[[#This Row],[Nilai2]]="","",VLOOKUP(pub_gid_0_single_true_output_csv[[#This Row],[NAMA]],Table7[],3,FALSE))</f>
        <v>Average</v>
      </c>
    </row>
    <row r="264" spans="1:37" x14ac:dyDescent="0.2">
      <c r="A264">
        <v>263</v>
      </c>
      <c r="B264" t="s">
        <v>287</v>
      </c>
      <c r="C264" t="s">
        <v>54</v>
      </c>
      <c r="D264" t="s">
        <v>34</v>
      </c>
      <c r="E264" t="s">
        <v>140</v>
      </c>
      <c r="F264" s="25">
        <v>46069</v>
      </c>
      <c r="G264" t="s">
        <v>382</v>
      </c>
      <c r="H264" t="s">
        <v>412</v>
      </c>
      <c r="I264" t="s">
        <v>371</v>
      </c>
      <c r="J264" t="s">
        <v>90</v>
      </c>
      <c r="K264" t="s">
        <v>92</v>
      </c>
      <c r="L264" t="s">
        <v>93</v>
      </c>
      <c r="M264" t="s">
        <v>141</v>
      </c>
      <c r="N264" t="s">
        <v>142</v>
      </c>
      <c r="O264" t="s">
        <v>155</v>
      </c>
      <c r="P264" t="s">
        <v>281</v>
      </c>
      <c r="Q264" t="s">
        <v>155</v>
      </c>
      <c r="R264" t="s">
        <v>302</v>
      </c>
      <c r="S264" t="s">
        <v>345</v>
      </c>
      <c r="T264">
        <v>1</v>
      </c>
      <c r="U264" t="s">
        <v>409</v>
      </c>
      <c r="V264" t="s">
        <v>343</v>
      </c>
      <c r="W264" t="s">
        <v>413</v>
      </c>
      <c r="X264" t="s">
        <v>306</v>
      </c>
      <c r="Y264" t="s">
        <v>307</v>
      </c>
      <c r="Z264">
        <v>65</v>
      </c>
      <c r="AA264">
        <v>70</v>
      </c>
      <c r="AB264" t="s">
        <v>143</v>
      </c>
      <c r="AC264" t="s">
        <v>149</v>
      </c>
      <c r="AD264" t="s">
        <v>404</v>
      </c>
      <c r="AE264" t="str">
        <f>IF(AF264="","",VLOOKUP(AC264,mapel!$A$2:$B$42,2,FALSE))</f>
        <v>B.Indo</v>
      </c>
      <c r="AF264">
        <f t="shared" si="12"/>
        <v>70</v>
      </c>
      <c r="AG264" t="str">
        <f>IF(AF264="","",IF(AF264&gt;90,"Sangat baik",IF(AF264&gt;79,"Baik",IF(AF264&gt;=pub_gid_0_single_true_output_csv[[#This Row],[KKM]],"Cukup","Kurang"))))</f>
        <v>Cukup</v>
      </c>
      <c r="AH264">
        <f t="shared" si="13"/>
        <v>11</v>
      </c>
      <c r="AI264" s="30" t="str">
        <f>IF(OR(J264&lt;&gt;"Karakter",pub_gid_0_single_true_output_csv[[#This Row],[Nilai2]]=""),"",IF(AF264&gt;89,"Sangat baik",IF(AF264&gt;79,"Baik",IF(AF264&gt;69,"Cukup",IF(AF264&gt;59,"Kurang","Sangat kurang")))))</f>
        <v>Cukup</v>
      </c>
      <c r="AJ264" t="str">
        <f t="shared" si="14"/>
        <v>Wk.8</v>
      </c>
      <c r="AK264" t="str">
        <f>IF(pub_gid_0_single_true_output_csv[[#This Row],[Nilai2]]="","",VLOOKUP(pub_gid_0_single_true_output_csv[[#This Row],[NAMA]],Table7[],3,FALSE))</f>
        <v>Average</v>
      </c>
    </row>
    <row r="265" spans="1:37" x14ac:dyDescent="0.2">
      <c r="A265">
        <v>264</v>
      </c>
      <c r="B265" t="s">
        <v>287</v>
      </c>
      <c r="C265" t="s">
        <v>54</v>
      </c>
      <c r="D265" t="s">
        <v>34</v>
      </c>
      <c r="E265" t="s">
        <v>140</v>
      </c>
      <c r="F265" s="25">
        <v>46069</v>
      </c>
      <c r="G265" t="s">
        <v>382</v>
      </c>
      <c r="H265" t="s">
        <v>412</v>
      </c>
      <c r="I265" t="s">
        <v>371</v>
      </c>
      <c r="J265" t="s">
        <v>279</v>
      </c>
      <c r="K265" t="s">
        <v>280</v>
      </c>
      <c r="L265" t="s">
        <v>322</v>
      </c>
      <c r="M265" t="s">
        <v>141</v>
      </c>
      <c r="N265" t="s">
        <v>142</v>
      </c>
      <c r="O265" t="s">
        <v>155</v>
      </c>
      <c r="P265" t="s">
        <v>281</v>
      </c>
      <c r="Q265" t="s">
        <v>155</v>
      </c>
      <c r="R265" t="s">
        <v>302</v>
      </c>
      <c r="S265" t="s">
        <v>345</v>
      </c>
      <c r="T265">
        <v>1</v>
      </c>
      <c r="U265" t="s">
        <v>409</v>
      </c>
      <c r="V265" t="s">
        <v>343</v>
      </c>
      <c r="W265" t="s">
        <v>413</v>
      </c>
      <c r="X265" t="s">
        <v>306</v>
      </c>
      <c r="Y265" t="s">
        <v>307</v>
      </c>
      <c r="Z265">
        <v>65</v>
      </c>
      <c r="AA265">
        <v>70</v>
      </c>
      <c r="AB265" t="s">
        <v>143</v>
      </c>
      <c r="AC265" t="s">
        <v>149</v>
      </c>
      <c r="AD265" t="s">
        <v>404</v>
      </c>
      <c r="AE265" t="str">
        <f>IF(AF265="","",VLOOKUP(AC265,mapel!$A$2:$B$42,2,FALSE))</f>
        <v>B.Indo</v>
      </c>
      <c r="AF265">
        <f t="shared" si="12"/>
        <v>70</v>
      </c>
      <c r="AG265" t="str">
        <f>IF(AF265="","",IF(AF265&gt;90,"Sangat baik",IF(AF265&gt;79,"Baik",IF(AF265&gt;=pub_gid_0_single_true_output_csv[[#This Row],[KKM]],"Cukup","Kurang"))))</f>
        <v>Cukup</v>
      </c>
      <c r="AH265">
        <f t="shared" si="13"/>
        <v>11</v>
      </c>
      <c r="AI265" s="30" t="str">
        <f>IF(OR(J265&lt;&gt;"Karakter",pub_gid_0_single_true_output_csv[[#This Row],[Nilai2]]=""),"",IF(AF265&gt;89,"Sangat baik",IF(AF265&gt;79,"Baik",IF(AF265&gt;69,"Cukup",IF(AF265&gt;59,"Kurang","Sangat kurang")))))</f>
        <v/>
      </c>
      <c r="AJ265" t="str">
        <f t="shared" si="14"/>
        <v>Wk.8</v>
      </c>
      <c r="AK265" t="str">
        <f>IF(pub_gid_0_single_true_output_csv[[#This Row],[Nilai2]]="","",VLOOKUP(pub_gid_0_single_true_output_csv[[#This Row],[NAMA]],Table7[],3,FALSE))</f>
        <v>Average</v>
      </c>
    </row>
    <row r="266" spans="1:37" x14ac:dyDescent="0.2">
      <c r="A266">
        <v>265</v>
      </c>
      <c r="B266" t="s">
        <v>288</v>
      </c>
      <c r="C266" t="s">
        <v>54</v>
      </c>
      <c r="D266" t="s">
        <v>35</v>
      </c>
      <c r="E266" t="s">
        <v>140</v>
      </c>
      <c r="F266" s="25">
        <v>46034</v>
      </c>
      <c r="G266" t="s">
        <v>354</v>
      </c>
      <c r="H266" t="s">
        <v>405</v>
      </c>
      <c r="I266" t="s">
        <v>371</v>
      </c>
      <c r="J266" t="s">
        <v>36</v>
      </c>
      <c r="K266" t="s">
        <v>362</v>
      </c>
      <c r="L266" t="s">
        <v>408</v>
      </c>
      <c r="M266" t="s">
        <v>141</v>
      </c>
      <c r="N266" t="s">
        <v>142</v>
      </c>
      <c r="O266" t="s">
        <v>155</v>
      </c>
      <c r="P266" t="s">
        <v>281</v>
      </c>
      <c r="Q266" t="s">
        <v>155</v>
      </c>
      <c r="R266" t="s">
        <v>273</v>
      </c>
      <c r="S266" t="s">
        <v>309</v>
      </c>
      <c r="T266">
        <v>1</v>
      </c>
      <c r="U266" t="s">
        <v>409</v>
      </c>
      <c r="V266" t="s">
        <v>285</v>
      </c>
      <c r="W266" t="s">
        <v>410</v>
      </c>
      <c r="X266" t="s">
        <v>306</v>
      </c>
      <c r="Y266" t="s">
        <v>307</v>
      </c>
      <c r="Z266">
        <v>65</v>
      </c>
      <c r="AA266">
        <v>10</v>
      </c>
      <c r="AB266" t="s">
        <v>151</v>
      </c>
      <c r="AC266" t="s">
        <v>149</v>
      </c>
      <c r="AD266" t="s">
        <v>404</v>
      </c>
      <c r="AE266" t="str">
        <f>IF(AF266="","",VLOOKUP(AC266,mapel!$A$2:$B$42,2,FALSE))</f>
        <v>B.Indo</v>
      </c>
      <c r="AF266">
        <f t="shared" si="12"/>
        <v>10</v>
      </c>
      <c r="AG266" t="str">
        <f>IF(AF266="","",IF(AF266&gt;90,"Sangat baik",IF(AF266&gt;79,"Baik",IF(AF266&gt;=pub_gid_0_single_true_output_csv[[#This Row],[KKM]],"Cukup","Kurang"))))</f>
        <v>Kurang</v>
      </c>
      <c r="AH266">
        <f t="shared" si="13"/>
        <v>11</v>
      </c>
      <c r="AI266" s="30" t="str">
        <f>IF(OR(J266&lt;&gt;"Karakter",pub_gid_0_single_true_output_csv[[#This Row],[Nilai2]]=""),"",IF(AF266&gt;89,"Sangat baik",IF(AF266&gt;79,"Baik",IF(AF266&gt;69,"Cukup",IF(AF266&gt;59,"Kurang","Sangat kurang")))))</f>
        <v/>
      </c>
      <c r="AJ266" t="str">
        <f t="shared" si="14"/>
        <v>Wk.3</v>
      </c>
      <c r="AK266" t="str">
        <f>IF(pub_gid_0_single_true_output_csv[[#This Row],[Nilai2]]="","",VLOOKUP(pub_gid_0_single_true_output_csv[[#This Row],[NAMA]],Table7[],3,FALSE))</f>
        <v>Extremely low</v>
      </c>
    </row>
    <row r="267" spans="1:37" x14ac:dyDescent="0.2">
      <c r="A267">
        <v>266</v>
      </c>
      <c r="B267" t="s">
        <v>288</v>
      </c>
      <c r="C267" t="s">
        <v>54</v>
      </c>
      <c r="D267" t="s">
        <v>35</v>
      </c>
      <c r="E267" t="s">
        <v>140</v>
      </c>
      <c r="F267" s="25">
        <v>46035</v>
      </c>
      <c r="G267" t="s">
        <v>358</v>
      </c>
      <c r="H267" t="s">
        <v>405</v>
      </c>
      <c r="I267" t="s">
        <v>371</v>
      </c>
      <c r="J267" t="s">
        <v>36</v>
      </c>
      <c r="K267" t="s">
        <v>37</v>
      </c>
      <c r="L267" t="s">
        <v>150</v>
      </c>
      <c r="M267" t="s">
        <v>141</v>
      </c>
      <c r="N267" t="s">
        <v>142</v>
      </c>
      <c r="O267" t="s">
        <v>155</v>
      </c>
      <c r="P267" t="s">
        <v>281</v>
      </c>
      <c r="Q267" t="s">
        <v>155</v>
      </c>
      <c r="R267" t="s">
        <v>273</v>
      </c>
      <c r="S267" t="s">
        <v>309</v>
      </c>
      <c r="T267">
        <v>1</v>
      </c>
      <c r="U267" t="s">
        <v>409</v>
      </c>
      <c r="V267" t="s">
        <v>285</v>
      </c>
      <c r="W267" t="s">
        <v>410</v>
      </c>
      <c r="X267" t="s">
        <v>306</v>
      </c>
      <c r="Y267" t="s">
        <v>307</v>
      </c>
      <c r="Z267">
        <v>65</v>
      </c>
      <c r="AA267">
        <v>75</v>
      </c>
      <c r="AB267" t="s">
        <v>143</v>
      </c>
      <c r="AC267" t="s">
        <v>149</v>
      </c>
      <c r="AD267" t="s">
        <v>404</v>
      </c>
      <c r="AE267" t="str">
        <f>IF(AF267="","",VLOOKUP(AC267,mapel!$A$2:$B$42,2,FALSE))</f>
        <v>B.Indo</v>
      </c>
      <c r="AF267">
        <f t="shared" si="12"/>
        <v>75</v>
      </c>
      <c r="AG267" t="str">
        <f>IF(AF267="","",IF(AF267&gt;90,"Sangat baik",IF(AF267&gt;79,"Baik",IF(AF267&gt;=pub_gid_0_single_true_output_csv[[#This Row],[KKM]],"Cukup","Kurang"))))</f>
        <v>Cukup</v>
      </c>
      <c r="AH267">
        <f t="shared" si="13"/>
        <v>11</v>
      </c>
      <c r="AI267" s="30" t="str">
        <f>IF(OR(J267&lt;&gt;"Karakter",pub_gid_0_single_true_output_csv[[#This Row],[Nilai2]]=""),"",IF(AF267&gt;89,"Sangat baik",IF(AF267&gt;79,"Baik",IF(AF267&gt;69,"Cukup",IF(AF267&gt;59,"Kurang","Sangat kurang")))))</f>
        <v/>
      </c>
      <c r="AJ267" t="str">
        <f t="shared" si="14"/>
        <v>Wk.3</v>
      </c>
      <c r="AK267" t="str">
        <f>IF(pub_gid_0_single_true_output_csv[[#This Row],[Nilai2]]="","",VLOOKUP(pub_gid_0_single_true_output_csv[[#This Row],[NAMA]],Table7[],3,FALSE))</f>
        <v>Extremely low</v>
      </c>
    </row>
    <row r="268" spans="1:37" x14ac:dyDescent="0.2">
      <c r="A268">
        <v>267</v>
      </c>
      <c r="B268" t="s">
        <v>288</v>
      </c>
      <c r="C268" t="s">
        <v>54</v>
      </c>
      <c r="D268" t="s">
        <v>35</v>
      </c>
      <c r="E268" t="s">
        <v>140</v>
      </c>
      <c r="F268" s="25">
        <v>46035</v>
      </c>
      <c r="G268" t="s">
        <v>358</v>
      </c>
      <c r="H268" t="s">
        <v>405</v>
      </c>
      <c r="I268" t="s">
        <v>371</v>
      </c>
      <c r="J268" t="s">
        <v>31</v>
      </c>
      <c r="K268" t="s">
        <v>32</v>
      </c>
      <c r="L268" t="s">
        <v>150</v>
      </c>
      <c r="M268" t="s">
        <v>141</v>
      </c>
      <c r="N268" t="s">
        <v>142</v>
      </c>
      <c r="O268" t="s">
        <v>155</v>
      </c>
      <c r="P268" t="s">
        <v>281</v>
      </c>
      <c r="Q268" t="s">
        <v>155</v>
      </c>
      <c r="R268" t="s">
        <v>273</v>
      </c>
      <c r="S268" t="s">
        <v>309</v>
      </c>
      <c r="T268">
        <v>1</v>
      </c>
      <c r="U268" t="s">
        <v>409</v>
      </c>
      <c r="V268" t="s">
        <v>285</v>
      </c>
      <c r="W268" t="s">
        <v>410</v>
      </c>
      <c r="X268" t="s">
        <v>306</v>
      </c>
      <c r="Y268" t="s">
        <v>307</v>
      </c>
      <c r="Z268">
        <v>65</v>
      </c>
      <c r="AA268">
        <v>68</v>
      </c>
      <c r="AB268" t="s">
        <v>143</v>
      </c>
      <c r="AC268" t="s">
        <v>149</v>
      </c>
      <c r="AD268" t="s">
        <v>404</v>
      </c>
      <c r="AE268" t="str">
        <f>IF(AF268="","",VLOOKUP(AC268,mapel!$A$2:$B$42,2,FALSE))</f>
        <v>B.Indo</v>
      </c>
      <c r="AF268">
        <f t="shared" si="12"/>
        <v>68</v>
      </c>
      <c r="AG268" t="str">
        <f>IF(AF268="","",IF(AF268&gt;90,"Sangat baik",IF(AF268&gt;79,"Baik",IF(AF268&gt;=pub_gid_0_single_true_output_csv[[#This Row],[KKM]],"Cukup","Kurang"))))</f>
        <v>Cukup</v>
      </c>
      <c r="AH268">
        <f t="shared" si="13"/>
        <v>11</v>
      </c>
      <c r="AI268" s="30" t="str">
        <f>IF(OR(J268&lt;&gt;"Karakter",pub_gid_0_single_true_output_csv[[#This Row],[Nilai2]]=""),"",IF(AF268&gt;89,"Sangat baik",IF(AF268&gt;79,"Baik",IF(AF268&gt;69,"Cukup",IF(AF268&gt;59,"Kurang","Sangat kurang")))))</f>
        <v/>
      </c>
      <c r="AJ268" t="str">
        <f t="shared" si="14"/>
        <v>Wk.3</v>
      </c>
      <c r="AK268" t="str">
        <f>IF(pub_gid_0_single_true_output_csv[[#This Row],[Nilai2]]="","",VLOOKUP(pub_gid_0_single_true_output_csv[[#This Row],[NAMA]],Table7[],3,FALSE))</f>
        <v>Extremely low</v>
      </c>
    </row>
    <row r="269" spans="1:37" x14ac:dyDescent="0.2">
      <c r="A269">
        <v>268</v>
      </c>
      <c r="B269" t="s">
        <v>288</v>
      </c>
      <c r="C269" t="s">
        <v>54</v>
      </c>
      <c r="D269" t="s">
        <v>35</v>
      </c>
      <c r="E269" t="s">
        <v>140</v>
      </c>
      <c r="F269" s="25">
        <v>46035</v>
      </c>
      <c r="G269" t="s">
        <v>358</v>
      </c>
      <c r="H269" t="s">
        <v>405</v>
      </c>
      <c r="I269" t="s">
        <v>371</v>
      </c>
      <c r="J269" t="s">
        <v>90</v>
      </c>
      <c r="K269" t="s">
        <v>92</v>
      </c>
      <c r="L269" t="s">
        <v>93</v>
      </c>
      <c r="M269" t="s">
        <v>141</v>
      </c>
      <c r="N269" t="s">
        <v>142</v>
      </c>
      <c r="O269" t="s">
        <v>155</v>
      </c>
      <c r="P269" t="s">
        <v>281</v>
      </c>
      <c r="Q269" t="s">
        <v>155</v>
      </c>
      <c r="R269" t="s">
        <v>273</v>
      </c>
      <c r="S269" t="s">
        <v>309</v>
      </c>
      <c r="T269">
        <v>1</v>
      </c>
      <c r="U269" t="s">
        <v>409</v>
      </c>
      <c r="V269" t="s">
        <v>285</v>
      </c>
      <c r="W269" t="s">
        <v>410</v>
      </c>
      <c r="X269" t="s">
        <v>306</v>
      </c>
      <c r="Y269" t="s">
        <v>307</v>
      </c>
      <c r="Z269">
        <v>65</v>
      </c>
      <c r="AA269">
        <v>70</v>
      </c>
      <c r="AB269" t="s">
        <v>143</v>
      </c>
      <c r="AC269" t="s">
        <v>149</v>
      </c>
      <c r="AD269" t="s">
        <v>404</v>
      </c>
      <c r="AE269" t="str">
        <f>IF(AF269="","",VLOOKUP(AC269,mapel!$A$2:$B$42,2,FALSE))</f>
        <v>B.Indo</v>
      </c>
      <c r="AF269">
        <f t="shared" si="12"/>
        <v>70</v>
      </c>
      <c r="AG269" t="str">
        <f>IF(AF269="","",IF(AF269&gt;90,"Sangat baik",IF(AF269&gt;79,"Baik",IF(AF269&gt;=pub_gid_0_single_true_output_csv[[#This Row],[KKM]],"Cukup","Kurang"))))</f>
        <v>Cukup</v>
      </c>
      <c r="AH269">
        <f t="shared" si="13"/>
        <v>11</v>
      </c>
      <c r="AI269" s="30" t="str">
        <f>IF(OR(J269&lt;&gt;"Karakter",pub_gid_0_single_true_output_csv[[#This Row],[Nilai2]]=""),"",IF(AF269&gt;89,"Sangat baik",IF(AF269&gt;79,"Baik",IF(AF269&gt;69,"Cukup",IF(AF269&gt;59,"Kurang","Sangat kurang")))))</f>
        <v>Cukup</v>
      </c>
      <c r="AJ269" t="str">
        <f t="shared" si="14"/>
        <v>Wk.3</v>
      </c>
      <c r="AK269" t="str">
        <f>IF(pub_gid_0_single_true_output_csv[[#This Row],[Nilai2]]="","",VLOOKUP(pub_gid_0_single_true_output_csv[[#This Row],[NAMA]],Table7[],3,FALSE))</f>
        <v>Extremely low</v>
      </c>
    </row>
    <row r="270" spans="1:37" x14ac:dyDescent="0.2">
      <c r="A270">
        <v>269</v>
      </c>
      <c r="B270" t="s">
        <v>288</v>
      </c>
      <c r="C270" t="s">
        <v>54</v>
      </c>
      <c r="D270" t="s">
        <v>35</v>
      </c>
      <c r="E270" t="s">
        <v>140</v>
      </c>
      <c r="F270" s="25">
        <v>46035</v>
      </c>
      <c r="G270" t="s">
        <v>358</v>
      </c>
      <c r="H270" t="s">
        <v>405</v>
      </c>
      <c r="I270" t="s">
        <v>371</v>
      </c>
      <c r="J270" t="s">
        <v>279</v>
      </c>
      <c r="K270" t="s">
        <v>280</v>
      </c>
      <c r="L270" t="s">
        <v>150</v>
      </c>
      <c r="M270" t="s">
        <v>141</v>
      </c>
      <c r="N270" t="s">
        <v>142</v>
      </c>
      <c r="O270" t="s">
        <v>155</v>
      </c>
      <c r="P270" t="s">
        <v>281</v>
      </c>
      <c r="Q270" t="s">
        <v>155</v>
      </c>
      <c r="R270" t="s">
        <v>273</v>
      </c>
      <c r="S270" t="s">
        <v>309</v>
      </c>
      <c r="T270">
        <v>1</v>
      </c>
      <c r="U270" t="s">
        <v>409</v>
      </c>
      <c r="V270" t="s">
        <v>285</v>
      </c>
      <c r="W270" t="s">
        <v>410</v>
      </c>
      <c r="X270" t="s">
        <v>306</v>
      </c>
      <c r="Y270" t="s">
        <v>307</v>
      </c>
      <c r="Z270">
        <v>65</v>
      </c>
      <c r="AA270">
        <v>70</v>
      </c>
      <c r="AB270" t="s">
        <v>143</v>
      </c>
      <c r="AC270" t="s">
        <v>149</v>
      </c>
      <c r="AD270" t="s">
        <v>404</v>
      </c>
      <c r="AE270" t="str">
        <f>IF(AF270="","",VLOOKUP(AC270,mapel!$A$2:$B$42,2,FALSE))</f>
        <v>B.Indo</v>
      </c>
      <c r="AF270">
        <f t="shared" si="12"/>
        <v>70</v>
      </c>
      <c r="AG270" t="str">
        <f>IF(AF270="","",IF(AF270&gt;90,"Sangat baik",IF(AF270&gt;79,"Baik",IF(AF270&gt;=pub_gid_0_single_true_output_csv[[#This Row],[KKM]],"Cukup","Kurang"))))</f>
        <v>Cukup</v>
      </c>
      <c r="AH270">
        <f t="shared" si="13"/>
        <v>11</v>
      </c>
      <c r="AI270" s="30" t="str">
        <f>IF(OR(J270&lt;&gt;"Karakter",pub_gid_0_single_true_output_csv[[#This Row],[Nilai2]]=""),"",IF(AF270&gt;89,"Sangat baik",IF(AF270&gt;79,"Baik",IF(AF270&gt;69,"Cukup",IF(AF270&gt;59,"Kurang","Sangat kurang")))))</f>
        <v/>
      </c>
      <c r="AJ270" t="str">
        <f t="shared" si="14"/>
        <v>Wk.3</v>
      </c>
      <c r="AK270" t="str">
        <f>IF(pub_gid_0_single_true_output_csv[[#This Row],[Nilai2]]="","",VLOOKUP(pub_gid_0_single_true_output_csv[[#This Row],[NAMA]],Table7[],3,FALSE))</f>
        <v>Extremely low</v>
      </c>
    </row>
    <row r="271" spans="1:37" x14ac:dyDescent="0.2">
      <c r="A271">
        <v>270</v>
      </c>
      <c r="B271" t="s">
        <v>288</v>
      </c>
      <c r="C271" t="s">
        <v>54</v>
      </c>
      <c r="D271" t="s">
        <v>35</v>
      </c>
      <c r="E271" t="s">
        <v>140</v>
      </c>
      <c r="F271" s="25">
        <v>46041</v>
      </c>
      <c r="G271" t="s">
        <v>370</v>
      </c>
      <c r="H271" t="s">
        <v>405</v>
      </c>
      <c r="I271" t="s">
        <v>371</v>
      </c>
      <c r="J271" t="s">
        <v>36</v>
      </c>
      <c r="K271" t="s">
        <v>37</v>
      </c>
      <c r="L271" t="s">
        <v>321</v>
      </c>
      <c r="M271" t="s">
        <v>141</v>
      </c>
      <c r="N271" t="s">
        <v>142</v>
      </c>
      <c r="O271" t="s">
        <v>155</v>
      </c>
      <c r="P271" t="s">
        <v>281</v>
      </c>
      <c r="Q271" t="s">
        <v>155</v>
      </c>
      <c r="R271" t="s">
        <v>273</v>
      </c>
      <c r="S271" t="s">
        <v>309</v>
      </c>
      <c r="T271">
        <v>1</v>
      </c>
      <c r="U271" t="s">
        <v>409</v>
      </c>
      <c r="V271" t="s">
        <v>285</v>
      </c>
      <c r="W271" t="s">
        <v>410</v>
      </c>
      <c r="X271" t="s">
        <v>306</v>
      </c>
      <c r="Y271" t="s">
        <v>307</v>
      </c>
      <c r="Z271">
        <v>65</v>
      </c>
      <c r="AA271">
        <v>70</v>
      </c>
      <c r="AB271" t="s">
        <v>143</v>
      </c>
      <c r="AC271" t="s">
        <v>149</v>
      </c>
      <c r="AD271" t="s">
        <v>404</v>
      </c>
      <c r="AE271" t="str">
        <f>IF(AF271="","",VLOOKUP(AC271,mapel!$A$2:$B$42,2,FALSE))</f>
        <v>B.Indo</v>
      </c>
      <c r="AF271">
        <f t="shared" si="12"/>
        <v>70</v>
      </c>
      <c r="AG271" t="str">
        <f>IF(AF271="","",IF(AF271&gt;90,"Sangat baik",IF(AF271&gt;79,"Baik",IF(AF271&gt;=pub_gid_0_single_true_output_csv[[#This Row],[KKM]],"Cukup","Kurang"))))</f>
        <v>Cukup</v>
      </c>
      <c r="AH271">
        <f t="shared" si="13"/>
        <v>11</v>
      </c>
      <c r="AI271" s="30" t="str">
        <f>IF(OR(J271&lt;&gt;"Karakter",pub_gid_0_single_true_output_csv[[#This Row],[Nilai2]]=""),"",IF(AF271&gt;89,"Sangat baik",IF(AF271&gt;79,"Baik",IF(AF271&gt;69,"Cukup",IF(AF271&gt;59,"Kurang","Sangat kurang")))))</f>
        <v/>
      </c>
      <c r="AJ271" t="str">
        <f t="shared" si="14"/>
        <v>Wk.4</v>
      </c>
      <c r="AK271" t="str">
        <f>IF(pub_gid_0_single_true_output_csv[[#This Row],[Nilai2]]="","",VLOOKUP(pub_gid_0_single_true_output_csv[[#This Row],[NAMA]],Table7[],3,FALSE))</f>
        <v>Extremely low</v>
      </c>
    </row>
    <row r="272" spans="1:37" x14ac:dyDescent="0.2">
      <c r="A272">
        <v>271</v>
      </c>
      <c r="B272" t="s">
        <v>288</v>
      </c>
      <c r="C272" t="s">
        <v>54</v>
      </c>
      <c r="D272" t="s">
        <v>35</v>
      </c>
      <c r="E272" t="s">
        <v>140</v>
      </c>
      <c r="F272" s="25">
        <v>46041</v>
      </c>
      <c r="G272" t="s">
        <v>370</v>
      </c>
      <c r="H272" t="s">
        <v>405</v>
      </c>
      <c r="I272" t="s">
        <v>371</v>
      </c>
      <c r="J272" t="s">
        <v>31</v>
      </c>
      <c r="K272" t="s">
        <v>96</v>
      </c>
      <c r="L272" t="s">
        <v>321</v>
      </c>
      <c r="M272" t="s">
        <v>141</v>
      </c>
      <c r="N272" t="s">
        <v>142</v>
      </c>
      <c r="O272" t="s">
        <v>155</v>
      </c>
      <c r="P272" t="s">
        <v>281</v>
      </c>
      <c r="Q272" t="s">
        <v>155</v>
      </c>
      <c r="R272" t="s">
        <v>302</v>
      </c>
      <c r="S272" t="s">
        <v>309</v>
      </c>
      <c r="T272">
        <v>1</v>
      </c>
      <c r="U272" t="s">
        <v>409</v>
      </c>
      <c r="V272" t="s">
        <v>285</v>
      </c>
      <c r="W272" t="s">
        <v>410</v>
      </c>
      <c r="X272" t="s">
        <v>306</v>
      </c>
      <c r="Y272" t="s">
        <v>307</v>
      </c>
      <c r="Z272">
        <v>65</v>
      </c>
      <c r="AA272">
        <v>65</v>
      </c>
      <c r="AB272" t="s">
        <v>143</v>
      </c>
      <c r="AC272" t="s">
        <v>149</v>
      </c>
      <c r="AD272" t="s">
        <v>404</v>
      </c>
      <c r="AE272" t="str">
        <f>IF(AF272="","",VLOOKUP(AC272,mapel!$A$2:$B$42,2,FALSE))</f>
        <v>B.Indo</v>
      </c>
      <c r="AF272">
        <f t="shared" si="12"/>
        <v>65</v>
      </c>
      <c r="AG272" t="str">
        <f>IF(AF272="","",IF(AF272&gt;90,"Sangat baik",IF(AF272&gt;79,"Baik",IF(AF272&gt;=pub_gid_0_single_true_output_csv[[#This Row],[KKM]],"Cukup","Kurang"))))</f>
        <v>Cukup</v>
      </c>
      <c r="AH272">
        <f t="shared" si="13"/>
        <v>11</v>
      </c>
      <c r="AI272" s="30" t="str">
        <f>IF(OR(J272&lt;&gt;"Karakter",pub_gid_0_single_true_output_csv[[#This Row],[Nilai2]]=""),"",IF(AF272&gt;89,"Sangat baik",IF(AF272&gt;79,"Baik",IF(AF272&gt;69,"Cukup",IF(AF272&gt;59,"Kurang","Sangat kurang")))))</f>
        <v/>
      </c>
      <c r="AJ272" t="str">
        <f t="shared" si="14"/>
        <v>Wk.4</v>
      </c>
      <c r="AK272" t="str">
        <f>IF(pub_gid_0_single_true_output_csv[[#This Row],[Nilai2]]="","",VLOOKUP(pub_gid_0_single_true_output_csv[[#This Row],[NAMA]],Table7[],3,FALSE))</f>
        <v>Extremely low</v>
      </c>
    </row>
    <row r="273" spans="1:37" x14ac:dyDescent="0.2">
      <c r="A273">
        <v>272</v>
      </c>
      <c r="B273" t="s">
        <v>288</v>
      </c>
      <c r="C273" t="s">
        <v>54</v>
      </c>
      <c r="D273" t="s">
        <v>35</v>
      </c>
      <c r="E273" t="s">
        <v>140</v>
      </c>
      <c r="F273" s="25">
        <v>46041</v>
      </c>
      <c r="G273" t="s">
        <v>370</v>
      </c>
      <c r="H273" t="s">
        <v>405</v>
      </c>
      <c r="I273" t="s">
        <v>371</v>
      </c>
      <c r="J273" t="s">
        <v>90</v>
      </c>
      <c r="K273" t="s">
        <v>92</v>
      </c>
      <c r="L273" t="s">
        <v>91</v>
      </c>
      <c r="M273" t="s">
        <v>141</v>
      </c>
      <c r="N273" t="s">
        <v>142</v>
      </c>
      <c r="O273" t="s">
        <v>155</v>
      </c>
      <c r="P273" t="s">
        <v>281</v>
      </c>
      <c r="Q273" t="s">
        <v>155</v>
      </c>
      <c r="R273" t="s">
        <v>302</v>
      </c>
      <c r="S273" t="s">
        <v>309</v>
      </c>
      <c r="T273">
        <v>1</v>
      </c>
      <c r="U273" t="s">
        <v>409</v>
      </c>
      <c r="V273" t="s">
        <v>285</v>
      </c>
      <c r="W273" t="s">
        <v>410</v>
      </c>
      <c r="X273" t="s">
        <v>306</v>
      </c>
      <c r="Y273" t="s">
        <v>307</v>
      </c>
      <c r="Z273">
        <v>65</v>
      </c>
      <c r="AA273">
        <v>70</v>
      </c>
      <c r="AB273" t="s">
        <v>143</v>
      </c>
      <c r="AC273" t="s">
        <v>149</v>
      </c>
      <c r="AD273" t="s">
        <v>404</v>
      </c>
      <c r="AE273" t="str">
        <f>IF(AF273="","",VLOOKUP(AC273,mapel!$A$2:$B$42,2,FALSE))</f>
        <v>B.Indo</v>
      </c>
      <c r="AF273">
        <f t="shared" si="12"/>
        <v>70</v>
      </c>
      <c r="AG273" t="str">
        <f>IF(AF273="","",IF(AF273&gt;90,"Sangat baik",IF(AF273&gt;79,"Baik",IF(AF273&gt;=pub_gid_0_single_true_output_csv[[#This Row],[KKM]],"Cukup","Kurang"))))</f>
        <v>Cukup</v>
      </c>
      <c r="AH273">
        <f t="shared" si="13"/>
        <v>11</v>
      </c>
      <c r="AI273" s="30" t="str">
        <f>IF(OR(J273&lt;&gt;"Karakter",pub_gid_0_single_true_output_csv[[#This Row],[Nilai2]]=""),"",IF(AF273&gt;89,"Sangat baik",IF(AF273&gt;79,"Baik",IF(AF273&gt;69,"Cukup",IF(AF273&gt;59,"Kurang","Sangat kurang")))))</f>
        <v>Cukup</v>
      </c>
      <c r="AJ273" t="str">
        <f t="shared" si="14"/>
        <v>Wk.4</v>
      </c>
      <c r="AK273" t="str">
        <f>IF(pub_gid_0_single_true_output_csv[[#This Row],[Nilai2]]="","",VLOOKUP(pub_gid_0_single_true_output_csv[[#This Row],[NAMA]],Table7[],3,FALSE))</f>
        <v>Extremely low</v>
      </c>
    </row>
    <row r="274" spans="1:37" x14ac:dyDescent="0.2">
      <c r="A274">
        <v>273</v>
      </c>
      <c r="B274" t="s">
        <v>288</v>
      </c>
      <c r="C274" t="s">
        <v>54</v>
      </c>
      <c r="D274" t="s">
        <v>35</v>
      </c>
      <c r="E274" t="s">
        <v>140</v>
      </c>
      <c r="F274" s="25">
        <v>46041</v>
      </c>
      <c r="G274" t="s">
        <v>370</v>
      </c>
      <c r="H274" t="s">
        <v>405</v>
      </c>
      <c r="I274" t="s">
        <v>371</v>
      </c>
      <c r="J274" t="s">
        <v>279</v>
      </c>
      <c r="K274" t="s">
        <v>280</v>
      </c>
      <c r="L274" t="s">
        <v>322</v>
      </c>
      <c r="M274" t="s">
        <v>141</v>
      </c>
      <c r="N274" t="s">
        <v>142</v>
      </c>
      <c r="O274" t="s">
        <v>155</v>
      </c>
      <c r="P274" t="s">
        <v>281</v>
      </c>
      <c r="Q274" t="s">
        <v>155</v>
      </c>
      <c r="R274" t="s">
        <v>302</v>
      </c>
      <c r="S274" t="s">
        <v>309</v>
      </c>
      <c r="T274">
        <v>1</v>
      </c>
      <c r="U274" t="s">
        <v>409</v>
      </c>
      <c r="V274" t="s">
        <v>285</v>
      </c>
      <c r="W274" t="s">
        <v>410</v>
      </c>
      <c r="X274" t="s">
        <v>306</v>
      </c>
      <c r="Y274" t="s">
        <v>307</v>
      </c>
      <c r="Z274">
        <v>65</v>
      </c>
      <c r="AA274">
        <v>70</v>
      </c>
      <c r="AB274" t="s">
        <v>143</v>
      </c>
      <c r="AC274" t="s">
        <v>149</v>
      </c>
      <c r="AD274" t="s">
        <v>404</v>
      </c>
      <c r="AE274" t="str">
        <f>IF(AF274="","",VLOOKUP(AC274,mapel!$A$2:$B$42,2,FALSE))</f>
        <v>B.Indo</v>
      </c>
      <c r="AF274">
        <f t="shared" si="12"/>
        <v>70</v>
      </c>
      <c r="AG274" t="str">
        <f>IF(AF274="","",IF(AF274&gt;90,"Sangat baik",IF(AF274&gt;79,"Baik",IF(AF274&gt;=pub_gid_0_single_true_output_csv[[#This Row],[KKM]],"Cukup","Kurang"))))</f>
        <v>Cukup</v>
      </c>
      <c r="AH274">
        <f t="shared" si="13"/>
        <v>11</v>
      </c>
      <c r="AI274" s="30" t="str">
        <f>IF(OR(J274&lt;&gt;"Karakter",pub_gid_0_single_true_output_csv[[#This Row],[Nilai2]]=""),"",IF(AF274&gt;89,"Sangat baik",IF(AF274&gt;79,"Baik",IF(AF274&gt;69,"Cukup",IF(AF274&gt;59,"Kurang","Sangat kurang")))))</f>
        <v/>
      </c>
      <c r="AJ274" t="str">
        <f t="shared" si="14"/>
        <v>Wk.4</v>
      </c>
      <c r="AK274" t="str">
        <f>IF(pub_gid_0_single_true_output_csv[[#This Row],[Nilai2]]="","",VLOOKUP(pub_gid_0_single_true_output_csv[[#This Row],[NAMA]],Table7[],3,FALSE))</f>
        <v>Extremely low</v>
      </c>
    </row>
    <row r="275" spans="1:37" x14ac:dyDescent="0.2">
      <c r="A275">
        <v>274</v>
      </c>
      <c r="B275" t="s">
        <v>288</v>
      </c>
      <c r="C275" t="s">
        <v>54</v>
      </c>
      <c r="D275" t="s">
        <v>35</v>
      </c>
      <c r="E275" t="s">
        <v>140</v>
      </c>
      <c r="F275" s="25">
        <v>46048</v>
      </c>
      <c r="G275" t="s">
        <v>371</v>
      </c>
      <c r="H275" t="s">
        <v>405</v>
      </c>
      <c r="I275" t="s">
        <v>371</v>
      </c>
      <c r="J275" t="s">
        <v>36</v>
      </c>
      <c r="K275" t="s">
        <v>37</v>
      </c>
      <c r="L275" t="s">
        <v>351</v>
      </c>
      <c r="M275" t="s">
        <v>141</v>
      </c>
      <c r="N275" t="s">
        <v>142</v>
      </c>
      <c r="O275" t="s">
        <v>155</v>
      </c>
      <c r="P275" t="s">
        <v>281</v>
      </c>
      <c r="Q275" t="s">
        <v>155</v>
      </c>
      <c r="R275" t="s">
        <v>302</v>
      </c>
      <c r="S275" t="s">
        <v>369</v>
      </c>
      <c r="T275">
        <v>1</v>
      </c>
      <c r="U275" t="s">
        <v>409</v>
      </c>
      <c r="V275" t="s">
        <v>342</v>
      </c>
      <c r="W275" t="s">
        <v>411</v>
      </c>
      <c r="X275" t="s">
        <v>306</v>
      </c>
      <c r="Y275" t="s">
        <v>307</v>
      </c>
      <c r="Z275">
        <v>65</v>
      </c>
      <c r="AA275">
        <v>65</v>
      </c>
      <c r="AB275" t="s">
        <v>143</v>
      </c>
      <c r="AC275" t="s">
        <v>149</v>
      </c>
      <c r="AD275" t="s">
        <v>404</v>
      </c>
      <c r="AE275" t="str">
        <f>IF(AF275="","",VLOOKUP(AC275,mapel!$A$2:$B$42,2,FALSE))</f>
        <v>B.Indo</v>
      </c>
      <c r="AF275">
        <f t="shared" si="12"/>
        <v>65</v>
      </c>
      <c r="AG275" t="str">
        <f>IF(AF275="","",IF(AF275&gt;90,"Sangat baik",IF(AF275&gt;79,"Baik",IF(AF275&gt;=pub_gid_0_single_true_output_csv[[#This Row],[KKM]],"Cukup","Kurang"))))</f>
        <v>Cukup</v>
      </c>
      <c r="AH275">
        <f t="shared" si="13"/>
        <v>11</v>
      </c>
      <c r="AI275" s="30" t="str">
        <f>IF(OR(J275&lt;&gt;"Karakter",pub_gid_0_single_true_output_csv[[#This Row],[Nilai2]]=""),"",IF(AF275&gt;89,"Sangat baik",IF(AF275&gt;79,"Baik",IF(AF275&gt;69,"Cukup",IF(AF275&gt;59,"Kurang","Sangat kurang")))))</f>
        <v/>
      </c>
      <c r="AJ275" t="str">
        <f t="shared" si="14"/>
        <v>Wk.5</v>
      </c>
      <c r="AK275" t="str">
        <f>IF(pub_gid_0_single_true_output_csv[[#This Row],[Nilai2]]="","",VLOOKUP(pub_gid_0_single_true_output_csv[[#This Row],[NAMA]],Table7[],3,FALSE))</f>
        <v>Extremely low</v>
      </c>
    </row>
    <row r="276" spans="1:37" x14ac:dyDescent="0.2">
      <c r="A276">
        <v>275</v>
      </c>
      <c r="B276" t="s">
        <v>288</v>
      </c>
      <c r="C276" t="s">
        <v>54</v>
      </c>
      <c r="D276" t="s">
        <v>35</v>
      </c>
      <c r="E276" t="s">
        <v>140</v>
      </c>
      <c r="F276" s="25">
        <v>46048</v>
      </c>
      <c r="G276" t="s">
        <v>371</v>
      </c>
      <c r="H276" t="s">
        <v>405</v>
      </c>
      <c r="I276" t="s">
        <v>371</v>
      </c>
      <c r="J276" t="s">
        <v>31</v>
      </c>
      <c r="K276" t="s">
        <v>96</v>
      </c>
      <c r="L276" t="s">
        <v>351</v>
      </c>
      <c r="M276" t="s">
        <v>141</v>
      </c>
      <c r="N276" t="s">
        <v>142</v>
      </c>
      <c r="O276" t="s">
        <v>155</v>
      </c>
      <c r="P276" t="s">
        <v>281</v>
      </c>
      <c r="Q276" t="s">
        <v>155</v>
      </c>
      <c r="R276" t="s">
        <v>302</v>
      </c>
      <c r="S276" t="s">
        <v>369</v>
      </c>
      <c r="T276">
        <v>1</v>
      </c>
      <c r="U276" t="s">
        <v>409</v>
      </c>
      <c r="V276" t="s">
        <v>342</v>
      </c>
      <c r="W276" t="s">
        <v>411</v>
      </c>
      <c r="X276" t="s">
        <v>306</v>
      </c>
      <c r="Y276" t="s">
        <v>307</v>
      </c>
      <c r="Z276">
        <v>65</v>
      </c>
      <c r="AA276">
        <v>65</v>
      </c>
      <c r="AB276" t="s">
        <v>143</v>
      </c>
      <c r="AC276" t="s">
        <v>149</v>
      </c>
      <c r="AD276" t="s">
        <v>404</v>
      </c>
      <c r="AE276" t="str">
        <f>IF(AF276="","",VLOOKUP(AC276,mapel!$A$2:$B$42,2,FALSE))</f>
        <v>B.Indo</v>
      </c>
      <c r="AF276">
        <f t="shared" si="12"/>
        <v>65</v>
      </c>
      <c r="AG276" t="str">
        <f>IF(AF276="","",IF(AF276&gt;90,"Sangat baik",IF(AF276&gt;79,"Baik",IF(AF276&gt;=pub_gid_0_single_true_output_csv[[#This Row],[KKM]],"Cukup","Kurang"))))</f>
        <v>Cukup</v>
      </c>
      <c r="AH276">
        <f t="shared" si="13"/>
        <v>11</v>
      </c>
      <c r="AI276" s="30" t="str">
        <f>IF(OR(J276&lt;&gt;"Karakter",pub_gid_0_single_true_output_csv[[#This Row],[Nilai2]]=""),"",IF(AF276&gt;89,"Sangat baik",IF(AF276&gt;79,"Baik",IF(AF276&gt;69,"Cukup",IF(AF276&gt;59,"Kurang","Sangat kurang")))))</f>
        <v/>
      </c>
      <c r="AJ276" t="str">
        <f t="shared" si="14"/>
        <v>Wk.5</v>
      </c>
      <c r="AK276" t="str">
        <f>IF(pub_gid_0_single_true_output_csv[[#This Row],[Nilai2]]="","",VLOOKUP(pub_gid_0_single_true_output_csv[[#This Row],[NAMA]],Table7[],3,FALSE))</f>
        <v>Extremely low</v>
      </c>
    </row>
    <row r="277" spans="1:37" x14ac:dyDescent="0.2">
      <c r="A277">
        <v>276</v>
      </c>
      <c r="B277" t="s">
        <v>288</v>
      </c>
      <c r="C277" t="s">
        <v>54</v>
      </c>
      <c r="D277" t="s">
        <v>35</v>
      </c>
      <c r="E277" t="s">
        <v>140</v>
      </c>
      <c r="F277" s="25">
        <v>46048</v>
      </c>
      <c r="G277" t="s">
        <v>371</v>
      </c>
      <c r="H277" t="s">
        <v>405</v>
      </c>
      <c r="I277" t="s">
        <v>371</v>
      </c>
      <c r="J277" t="s">
        <v>90</v>
      </c>
      <c r="K277" t="s">
        <v>92</v>
      </c>
      <c r="L277" t="s">
        <v>91</v>
      </c>
      <c r="M277" t="s">
        <v>141</v>
      </c>
      <c r="N277" t="s">
        <v>142</v>
      </c>
      <c r="O277" t="s">
        <v>155</v>
      </c>
      <c r="P277" t="s">
        <v>281</v>
      </c>
      <c r="Q277" t="s">
        <v>155</v>
      </c>
      <c r="R277" t="s">
        <v>302</v>
      </c>
      <c r="S277" t="s">
        <v>369</v>
      </c>
      <c r="T277">
        <v>1</v>
      </c>
      <c r="U277" t="s">
        <v>409</v>
      </c>
      <c r="V277" t="s">
        <v>342</v>
      </c>
      <c r="W277" t="s">
        <v>411</v>
      </c>
      <c r="X277" t="s">
        <v>306</v>
      </c>
      <c r="Y277" t="s">
        <v>307</v>
      </c>
      <c r="Z277">
        <v>65</v>
      </c>
      <c r="AA277">
        <v>70</v>
      </c>
      <c r="AB277" t="s">
        <v>143</v>
      </c>
      <c r="AC277" t="s">
        <v>149</v>
      </c>
      <c r="AD277" t="s">
        <v>404</v>
      </c>
      <c r="AE277" t="str">
        <f>IF(AF277="","",VLOOKUP(AC277,mapel!$A$2:$B$42,2,FALSE))</f>
        <v>B.Indo</v>
      </c>
      <c r="AF277">
        <f t="shared" si="12"/>
        <v>70</v>
      </c>
      <c r="AG277" t="str">
        <f>IF(AF277="","",IF(AF277&gt;90,"Sangat baik",IF(AF277&gt;79,"Baik",IF(AF277&gt;=pub_gid_0_single_true_output_csv[[#This Row],[KKM]],"Cukup","Kurang"))))</f>
        <v>Cukup</v>
      </c>
      <c r="AH277">
        <f t="shared" si="13"/>
        <v>11</v>
      </c>
      <c r="AI277" s="30" t="str">
        <f>IF(OR(J277&lt;&gt;"Karakter",pub_gid_0_single_true_output_csv[[#This Row],[Nilai2]]=""),"",IF(AF277&gt;89,"Sangat baik",IF(AF277&gt;79,"Baik",IF(AF277&gt;69,"Cukup",IF(AF277&gt;59,"Kurang","Sangat kurang")))))</f>
        <v>Cukup</v>
      </c>
      <c r="AJ277" t="str">
        <f t="shared" si="14"/>
        <v>Wk.5</v>
      </c>
      <c r="AK277" t="str">
        <f>IF(pub_gid_0_single_true_output_csv[[#This Row],[Nilai2]]="","",VLOOKUP(pub_gid_0_single_true_output_csv[[#This Row],[NAMA]],Table7[],3,FALSE))</f>
        <v>Extremely low</v>
      </c>
    </row>
    <row r="278" spans="1:37" x14ac:dyDescent="0.2">
      <c r="A278">
        <v>277</v>
      </c>
      <c r="B278" t="s">
        <v>288</v>
      </c>
      <c r="C278" t="s">
        <v>54</v>
      </c>
      <c r="D278" t="s">
        <v>35</v>
      </c>
      <c r="E278" t="s">
        <v>140</v>
      </c>
      <c r="F278" s="25">
        <v>46048</v>
      </c>
      <c r="G278" t="s">
        <v>371</v>
      </c>
      <c r="H278" t="s">
        <v>405</v>
      </c>
      <c r="I278" t="s">
        <v>371</v>
      </c>
      <c r="J278" t="s">
        <v>279</v>
      </c>
      <c r="K278" t="s">
        <v>280</v>
      </c>
      <c r="L278" t="s">
        <v>322</v>
      </c>
      <c r="M278" t="s">
        <v>141</v>
      </c>
      <c r="N278" t="s">
        <v>142</v>
      </c>
      <c r="O278" t="s">
        <v>155</v>
      </c>
      <c r="P278" t="s">
        <v>281</v>
      </c>
      <c r="Q278" t="s">
        <v>155</v>
      </c>
      <c r="R278" t="s">
        <v>302</v>
      </c>
      <c r="S278" t="s">
        <v>369</v>
      </c>
      <c r="T278">
        <v>1</v>
      </c>
      <c r="U278" t="s">
        <v>409</v>
      </c>
      <c r="V278" t="s">
        <v>342</v>
      </c>
      <c r="W278" t="s">
        <v>411</v>
      </c>
      <c r="X278" t="s">
        <v>306</v>
      </c>
      <c r="Y278" t="s">
        <v>307</v>
      </c>
      <c r="Z278">
        <v>65</v>
      </c>
      <c r="AA278">
        <v>65</v>
      </c>
      <c r="AB278" t="s">
        <v>143</v>
      </c>
      <c r="AC278" t="s">
        <v>149</v>
      </c>
      <c r="AD278" t="s">
        <v>404</v>
      </c>
      <c r="AE278" t="str">
        <f>IF(AF278="","",VLOOKUP(AC278,mapel!$A$2:$B$42,2,FALSE))</f>
        <v>B.Indo</v>
      </c>
      <c r="AF278">
        <f t="shared" si="12"/>
        <v>65</v>
      </c>
      <c r="AG278" t="str">
        <f>IF(AF278="","",IF(AF278&gt;90,"Sangat baik",IF(AF278&gt;79,"Baik",IF(AF278&gt;=pub_gid_0_single_true_output_csv[[#This Row],[KKM]],"Cukup","Kurang"))))</f>
        <v>Cukup</v>
      </c>
      <c r="AH278">
        <f t="shared" si="13"/>
        <v>11</v>
      </c>
      <c r="AI278" s="30" t="str">
        <f>IF(OR(J278&lt;&gt;"Karakter",pub_gid_0_single_true_output_csv[[#This Row],[Nilai2]]=""),"",IF(AF278&gt;89,"Sangat baik",IF(AF278&gt;79,"Baik",IF(AF278&gt;69,"Cukup",IF(AF278&gt;59,"Kurang","Sangat kurang")))))</f>
        <v/>
      </c>
      <c r="AJ278" t="str">
        <f t="shared" si="14"/>
        <v>Wk.5</v>
      </c>
      <c r="AK278" t="str">
        <f>IF(pub_gid_0_single_true_output_csv[[#This Row],[Nilai2]]="","",VLOOKUP(pub_gid_0_single_true_output_csv[[#This Row],[NAMA]],Table7[],3,FALSE))</f>
        <v>Extremely low</v>
      </c>
    </row>
    <row r="279" spans="1:37" x14ac:dyDescent="0.2">
      <c r="A279">
        <v>278</v>
      </c>
      <c r="B279" t="s">
        <v>288</v>
      </c>
      <c r="C279" t="s">
        <v>54</v>
      </c>
      <c r="D279" t="s">
        <v>35</v>
      </c>
      <c r="E279" t="s">
        <v>140</v>
      </c>
      <c r="F279" s="25">
        <v>46049</v>
      </c>
      <c r="G279" t="s">
        <v>373</v>
      </c>
      <c r="H279" t="s">
        <v>405</v>
      </c>
      <c r="I279" t="s">
        <v>371</v>
      </c>
      <c r="J279" t="s">
        <v>36</v>
      </c>
      <c r="K279" t="s">
        <v>37</v>
      </c>
      <c r="L279" t="s">
        <v>321</v>
      </c>
      <c r="M279" t="s">
        <v>141</v>
      </c>
      <c r="N279" t="s">
        <v>142</v>
      </c>
      <c r="O279" t="s">
        <v>155</v>
      </c>
      <c r="P279" t="s">
        <v>281</v>
      </c>
      <c r="Q279" t="s">
        <v>155</v>
      </c>
      <c r="R279" t="s">
        <v>302</v>
      </c>
      <c r="S279" t="s">
        <v>369</v>
      </c>
      <c r="T279">
        <v>1</v>
      </c>
      <c r="U279" t="s">
        <v>409</v>
      </c>
      <c r="V279" t="s">
        <v>342</v>
      </c>
      <c r="W279" t="s">
        <v>411</v>
      </c>
      <c r="X279" t="s">
        <v>306</v>
      </c>
      <c r="Y279" t="s">
        <v>307</v>
      </c>
      <c r="Z279">
        <v>65</v>
      </c>
      <c r="AA279">
        <v>65</v>
      </c>
      <c r="AB279" t="s">
        <v>143</v>
      </c>
      <c r="AC279" t="s">
        <v>149</v>
      </c>
      <c r="AD279" t="s">
        <v>404</v>
      </c>
      <c r="AE279" t="str">
        <f>IF(AF279="","",VLOOKUP(AC279,mapel!$A$2:$B$42,2,FALSE))</f>
        <v>B.Indo</v>
      </c>
      <c r="AF279">
        <f t="shared" si="12"/>
        <v>65</v>
      </c>
      <c r="AG279" t="str">
        <f>IF(AF279="","",IF(AF279&gt;90,"Sangat baik",IF(AF279&gt;79,"Baik",IF(AF279&gt;=pub_gid_0_single_true_output_csv[[#This Row],[KKM]],"Cukup","Kurang"))))</f>
        <v>Cukup</v>
      </c>
      <c r="AH279">
        <f t="shared" si="13"/>
        <v>11</v>
      </c>
      <c r="AI279" s="30" t="str">
        <f>IF(OR(J279&lt;&gt;"Karakter",pub_gid_0_single_true_output_csv[[#This Row],[Nilai2]]=""),"",IF(AF279&gt;89,"Sangat baik",IF(AF279&gt;79,"Baik",IF(AF279&gt;69,"Cukup",IF(AF279&gt;59,"Kurang","Sangat kurang")))))</f>
        <v/>
      </c>
      <c r="AJ279" t="str">
        <f t="shared" si="14"/>
        <v>Wk.5</v>
      </c>
      <c r="AK279" t="str">
        <f>IF(pub_gid_0_single_true_output_csv[[#This Row],[Nilai2]]="","",VLOOKUP(pub_gid_0_single_true_output_csv[[#This Row],[NAMA]],Table7[],3,FALSE))</f>
        <v>Extremely low</v>
      </c>
    </row>
    <row r="280" spans="1:37" x14ac:dyDescent="0.2">
      <c r="A280">
        <v>279</v>
      </c>
      <c r="B280" t="s">
        <v>288</v>
      </c>
      <c r="C280" t="s">
        <v>54</v>
      </c>
      <c r="D280" t="s">
        <v>35</v>
      </c>
      <c r="E280" t="s">
        <v>140</v>
      </c>
      <c r="F280" s="25">
        <v>46049</v>
      </c>
      <c r="G280" t="s">
        <v>373</v>
      </c>
      <c r="H280" t="s">
        <v>405</v>
      </c>
      <c r="I280" t="s">
        <v>371</v>
      </c>
      <c r="J280" t="s">
        <v>31</v>
      </c>
      <c r="K280" t="s">
        <v>96</v>
      </c>
      <c r="L280" t="s">
        <v>321</v>
      </c>
      <c r="M280" t="s">
        <v>141</v>
      </c>
      <c r="N280" t="s">
        <v>142</v>
      </c>
      <c r="O280" t="s">
        <v>155</v>
      </c>
      <c r="P280" t="s">
        <v>281</v>
      </c>
      <c r="Q280" t="s">
        <v>155</v>
      </c>
      <c r="R280" t="s">
        <v>302</v>
      </c>
      <c r="S280" t="s">
        <v>369</v>
      </c>
      <c r="T280">
        <v>1</v>
      </c>
      <c r="U280" t="s">
        <v>409</v>
      </c>
      <c r="V280" t="s">
        <v>342</v>
      </c>
      <c r="W280" t="s">
        <v>411</v>
      </c>
      <c r="X280" t="s">
        <v>306</v>
      </c>
      <c r="Y280" t="s">
        <v>307</v>
      </c>
      <c r="Z280">
        <v>65</v>
      </c>
      <c r="AA280">
        <v>65</v>
      </c>
      <c r="AB280" t="s">
        <v>143</v>
      </c>
      <c r="AC280" t="s">
        <v>149</v>
      </c>
      <c r="AD280" t="s">
        <v>404</v>
      </c>
      <c r="AE280" t="str">
        <f>IF(AF280="","",VLOOKUP(AC280,mapel!$A$2:$B$42,2,FALSE))</f>
        <v>B.Indo</v>
      </c>
      <c r="AF280">
        <f t="shared" si="12"/>
        <v>65</v>
      </c>
      <c r="AG280" t="str">
        <f>IF(AF280="","",IF(AF280&gt;90,"Sangat baik",IF(AF280&gt;79,"Baik",IF(AF280&gt;=pub_gid_0_single_true_output_csv[[#This Row],[KKM]],"Cukup","Kurang"))))</f>
        <v>Cukup</v>
      </c>
      <c r="AH280">
        <f t="shared" si="13"/>
        <v>11</v>
      </c>
      <c r="AI280" s="30" t="str">
        <f>IF(OR(J280&lt;&gt;"Karakter",pub_gid_0_single_true_output_csv[[#This Row],[Nilai2]]=""),"",IF(AF280&gt;89,"Sangat baik",IF(AF280&gt;79,"Baik",IF(AF280&gt;69,"Cukup",IF(AF280&gt;59,"Kurang","Sangat kurang")))))</f>
        <v/>
      </c>
      <c r="AJ280" t="str">
        <f t="shared" si="14"/>
        <v>Wk.5</v>
      </c>
      <c r="AK280" t="str">
        <f>IF(pub_gid_0_single_true_output_csv[[#This Row],[Nilai2]]="","",VLOOKUP(pub_gid_0_single_true_output_csv[[#This Row],[NAMA]],Table7[],3,FALSE))</f>
        <v>Extremely low</v>
      </c>
    </row>
    <row r="281" spans="1:37" x14ac:dyDescent="0.2">
      <c r="A281">
        <v>280</v>
      </c>
      <c r="B281" t="s">
        <v>288</v>
      </c>
      <c r="C281" t="s">
        <v>54</v>
      </c>
      <c r="D281" t="s">
        <v>35</v>
      </c>
      <c r="E281" t="s">
        <v>140</v>
      </c>
      <c r="F281" s="25">
        <v>46049</v>
      </c>
      <c r="G281" t="s">
        <v>373</v>
      </c>
      <c r="H281" t="s">
        <v>405</v>
      </c>
      <c r="I281" t="s">
        <v>371</v>
      </c>
      <c r="J281" t="s">
        <v>90</v>
      </c>
      <c r="K281" t="s">
        <v>92</v>
      </c>
      <c r="L281" t="s">
        <v>93</v>
      </c>
      <c r="M281" t="s">
        <v>141</v>
      </c>
      <c r="N281" t="s">
        <v>142</v>
      </c>
      <c r="O281" t="s">
        <v>155</v>
      </c>
      <c r="P281" t="s">
        <v>281</v>
      </c>
      <c r="Q281" t="s">
        <v>155</v>
      </c>
      <c r="R281" t="s">
        <v>302</v>
      </c>
      <c r="S281" t="s">
        <v>369</v>
      </c>
      <c r="T281">
        <v>1</v>
      </c>
      <c r="U281" t="s">
        <v>409</v>
      </c>
      <c r="V281" t="s">
        <v>342</v>
      </c>
      <c r="W281" t="s">
        <v>411</v>
      </c>
      <c r="X281" t="s">
        <v>306</v>
      </c>
      <c r="Y281" t="s">
        <v>307</v>
      </c>
      <c r="Z281">
        <v>65</v>
      </c>
      <c r="AA281">
        <v>70</v>
      </c>
      <c r="AB281" t="s">
        <v>143</v>
      </c>
      <c r="AC281" t="s">
        <v>149</v>
      </c>
      <c r="AD281" t="s">
        <v>404</v>
      </c>
      <c r="AE281" t="str">
        <f>IF(AF281="","",VLOOKUP(AC281,mapel!$A$2:$B$42,2,FALSE))</f>
        <v>B.Indo</v>
      </c>
      <c r="AF281">
        <f t="shared" si="12"/>
        <v>70</v>
      </c>
      <c r="AG281" t="str">
        <f>IF(AF281="","",IF(AF281&gt;90,"Sangat baik",IF(AF281&gt;79,"Baik",IF(AF281&gt;=pub_gid_0_single_true_output_csv[[#This Row],[KKM]],"Cukup","Kurang"))))</f>
        <v>Cukup</v>
      </c>
      <c r="AH281">
        <f t="shared" si="13"/>
        <v>11</v>
      </c>
      <c r="AI281" s="30" t="str">
        <f>IF(OR(J281&lt;&gt;"Karakter",pub_gid_0_single_true_output_csv[[#This Row],[Nilai2]]=""),"",IF(AF281&gt;89,"Sangat baik",IF(AF281&gt;79,"Baik",IF(AF281&gt;69,"Cukup",IF(AF281&gt;59,"Kurang","Sangat kurang")))))</f>
        <v>Cukup</v>
      </c>
      <c r="AJ281" t="str">
        <f t="shared" si="14"/>
        <v>Wk.5</v>
      </c>
      <c r="AK281" t="str">
        <f>IF(pub_gid_0_single_true_output_csv[[#This Row],[Nilai2]]="","",VLOOKUP(pub_gid_0_single_true_output_csv[[#This Row],[NAMA]],Table7[],3,FALSE))</f>
        <v>Extremely low</v>
      </c>
    </row>
    <row r="282" spans="1:37" x14ac:dyDescent="0.2">
      <c r="A282">
        <v>281</v>
      </c>
      <c r="B282" t="s">
        <v>288</v>
      </c>
      <c r="C282" t="s">
        <v>54</v>
      </c>
      <c r="D282" t="s">
        <v>35</v>
      </c>
      <c r="E282" t="s">
        <v>140</v>
      </c>
      <c r="F282" s="25">
        <v>46049</v>
      </c>
      <c r="G282" t="s">
        <v>373</v>
      </c>
      <c r="H282" t="s">
        <v>405</v>
      </c>
      <c r="I282" t="s">
        <v>371</v>
      </c>
      <c r="J282" t="s">
        <v>279</v>
      </c>
      <c r="K282" t="s">
        <v>280</v>
      </c>
      <c r="L282" t="s">
        <v>322</v>
      </c>
      <c r="M282" t="s">
        <v>141</v>
      </c>
      <c r="N282" t="s">
        <v>142</v>
      </c>
      <c r="O282" t="s">
        <v>155</v>
      </c>
      <c r="P282" t="s">
        <v>281</v>
      </c>
      <c r="Q282" t="s">
        <v>155</v>
      </c>
      <c r="R282" t="s">
        <v>302</v>
      </c>
      <c r="S282" t="s">
        <v>369</v>
      </c>
      <c r="T282">
        <v>1</v>
      </c>
      <c r="U282" t="s">
        <v>409</v>
      </c>
      <c r="V282" t="s">
        <v>342</v>
      </c>
      <c r="W282" t="s">
        <v>411</v>
      </c>
      <c r="X282" t="s">
        <v>306</v>
      </c>
      <c r="Y282" t="s">
        <v>307</v>
      </c>
      <c r="Z282">
        <v>65</v>
      </c>
      <c r="AA282">
        <v>69</v>
      </c>
      <c r="AB282" t="s">
        <v>143</v>
      </c>
      <c r="AC282" t="s">
        <v>149</v>
      </c>
      <c r="AD282" t="s">
        <v>404</v>
      </c>
      <c r="AE282" t="str">
        <f>IF(AF282="","",VLOOKUP(AC282,mapel!$A$2:$B$42,2,FALSE))</f>
        <v>B.Indo</v>
      </c>
      <c r="AF282">
        <f t="shared" si="12"/>
        <v>69</v>
      </c>
      <c r="AG282" t="str">
        <f>IF(AF282="","",IF(AF282&gt;90,"Sangat baik",IF(AF282&gt;79,"Baik",IF(AF282&gt;=pub_gid_0_single_true_output_csv[[#This Row],[KKM]],"Cukup","Kurang"))))</f>
        <v>Cukup</v>
      </c>
      <c r="AH282">
        <f t="shared" si="13"/>
        <v>11</v>
      </c>
      <c r="AI282" s="30" t="str">
        <f>IF(OR(J282&lt;&gt;"Karakter",pub_gid_0_single_true_output_csv[[#This Row],[Nilai2]]=""),"",IF(AF282&gt;89,"Sangat baik",IF(AF282&gt;79,"Baik",IF(AF282&gt;69,"Cukup",IF(AF282&gt;59,"Kurang","Sangat kurang")))))</f>
        <v/>
      </c>
      <c r="AJ282" t="str">
        <f t="shared" si="14"/>
        <v>Wk.5</v>
      </c>
      <c r="AK282" t="str">
        <f>IF(pub_gid_0_single_true_output_csv[[#This Row],[Nilai2]]="","",VLOOKUP(pub_gid_0_single_true_output_csv[[#This Row],[NAMA]],Table7[],3,FALSE))</f>
        <v>Extremely low</v>
      </c>
    </row>
    <row r="283" spans="1:37" x14ac:dyDescent="0.2">
      <c r="A283">
        <v>282</v>
      </c>
      <c r="B283" t="s">
        <v>288</v>
      </c>
      <c r="C283" t="s">
        <v>54</v>
      </c>
      <c r="D283" t="s">
        <v>35</v>
      </c>
      <c r="E283" t="s">
        <v>140</v>
      </c>
      <c r="F283" s="25">
        <v>46055</v>
      </c>
      <c r="G283" t="s">
        <v>379</v>
      </c>
      <c r="H283" t="s">
        <v>412</v>
      </c>
      <c r="I283" t="s">
        <v>371</v>
      </c>
      <c r="J283" t="s">
        <v>36</v>
      </c>
      <c r="K283" t="s">
        <v>37</v>
      </c>
      <c r="L283" t="s">
        <v>150</v>
      </c>
      <c r="M283" t="s">
        <v>141</v>
      </c>
      <c r="N283" t="s">
        <v>142</v>
      </c>
      <c r="O283" t="s">
        <v>155</v>
      </c>
      <c r="P283" t="s">
        <v>281</v>
      </c>
      <c r="Q283" t="s">
        <v>155</v>
      </c>
      <c r="R283" t="s">
        <v>302</v>
      </c>
      <c r="S283" t="s">
        <v>345</v>
      </c>
      <c r="T283">
        <v>1</v>
      </c>
      <c r="U283" t="s">
        <v>409</v>
      </c>
      <c r="V283" t="s">
        <v>343</v>
      </c>
      <c r="W283" t="s">
        <v>413</v>
      </c>
      <c r="X283" t="s">
        <v>306</v>
      </c>
      <c r="Y283" t="s">
        <v>307</v>
      </c>
      <c r="Z283">
        <v>65</v>
      </c>
      <c r="AA283">
        <v>65</v>
      </c>
      <c r="AB283" t="s">
        <v>143</v>
      </c>
      <c r="AC283" t="s">
        <v>149</v>
      </c>
      <c r="AD283" t="s">
        <v>404</v>
      </c>
      <c r="AE283" t="str">
        <f>IF(AF283="","",VLOOKUP(AC283,mapel!$A$2:$B$42,2,FALSE))</f>
        <v>B.Indo</v>
      </c>
      <c r="AF283">
        <f t="shared" si="12"/>
        <v>65</v>
      </c>
      <c r="AG283" t="str">
        <f>IF(AF283="","",IF(AF283&gt;90,"Sangat baik",IF(AF283&gt;79,"Baik",IF(AF283&gt;=pub_gid_0_single_true_output_csv[[#This Row],[KKM]],"Cukup","Kurang"))))</f>
        <v>Cukup</v>
      </c>
      <c r="AH283">
        <f t="shared" si="13"/>
        <v>11</v>
      </c>
      <c r="AI283" s="30" t="str">
        <f>IF(OR(J283&lt;&gt;"Karakter",pub_gid_0_single_true_output_csv[[#This Row],[Nilai2]]=""),"",IF(AF283&gt;89,"Sangat baik",IF(AF283&gt;79,"Baik",IF(AF283&gt;69,"Cukup",IF(AF283&gt;59,"Kurang","Sangat kurang")))))</f>
        <v/>
      </c>
      <c r="AJ283" t="str">
        <f t="shared" si="14"/>
        <v>Wk.6</v>
      </c>
      <c r="AK283" t="str">
        <f>IF(pub_gid_0_single_true_output_csv[[#This Row],[Nilai2]]="","",VLOOKUP(pub_gid_0_single_true_output_csv[[#This Row],[NAMA]],Table7[],3,FALSE))</f>
        <v>Extremely low</v>
      </c>
    </row>
    <row r="284" spans="1:37" x14ac:dyDescent="0.2">
      <c r="A284">
        <v>283</v>
      </c>
      <c r="B284" t="s">
        <v>288</v>
      </c>
      <c r="C284" t="s">
        <v>54</v>
      </c>
      <c r="D284" t="s">
        <v>35</v>
      </c>
      <c r="E284" t="s">
        <v>140</v>
      </c>
      <c r="F284" s="25">
        <v>46055</v>
      </c>
      <c r="G284" t="s">
        <v>379</v>
      </c>
      <c r="H284" t="s">
        <v>412</v>
      </c>
      <c r="I284" t="s">
        <v>371</v>
      </c>
      <c r="J284" t="s">
        <v>31</v>
      </c>
      <c r="K284" t="s">
        <v>96</v>
      </c>
      <c r="L284" t="s">
        <v>150</v>
      </c>
      <c r="M284" t="s">
        <v>141</v>
      </c>
      <c r="N284" t="s">
        <v>142</v>
      </c>
      <c r="O284" t="s">
        <v>155</v>
      </c>
      <c r="P284" t="s">
        <v>281</v>
      </c>
      <c r="Q284" t="s">
        <v>155</v>
      </c>
      <c r="R284" t="s">
        <v>302</v>
      </c>
      <c r="S284" t="s">
        <v>345</v>
      </c>
      <c r="T284">
        <v>1</v>
      </c>
      <c r="U284" t="s">
        <v>409</v>
      </c>
      <c r="V284" t="s">
        <v>343</v>
      </c>
      <c r="W284" t="s">
        <v>413</v>
      </c>
      <c r="X284" t="s">
        <v>306</v>
      </c>
      <c r="Y284" t="s">
        <v>307</v>
      </c>
      <c r="Z284">
        <v>65</v>
      </c>
      <c r="AA284">
        <v>65</v>
      </c>
      <c r="AB284" t="s">
        <v>143</v>
      </c>
      <c r="AC284" t="s">
        <v>149</v>
      </c>
      <c r="AD284" t="s">
        <v>404</v>
      </c>
      <c r="AE284" t="str">
        <f>IF(AF284="","",VLOOKUP(AC284,mapel!$A$2:$B$42,2,FALSE))</f>
        <v>B.Indo</v>
      </c>
      <c r="AF284">
        <f t="shared" si="12"/>
        <v>65</v>
      </c>
      <c r="AG284" t="str">
        <f>IF(AF284="","",IF(AF284&gt;90,"Sangat baik",IF(AF284&gt;79,"Baik",IF(AF284&gt;=pub_gid_0_single_true_output_csv[[#This Row],[KKM]],"Cukup","Kurang"))))</f>
        <v>Cukup</v>
      </c>
      <c r="AH284">
        <f t="shared" si="13"/>
        <v>11</v>
      </c>
      <c r="AI284" s="30" t="str">
        <f>IF(OR(J284&lt;&gt;"Karakter",pub_gid_0_single_true_output_csv[[#This Row],[Nilai2]]=""),"",IF(AF284&gt;89,"Sangat baik",IF(AF284&gt;79,"Baik",IF(AF284&gt;69,"Cukup",IF(AF284&gt;59,"Kurang","Sangat kurang")))))</f>
        <v/>
      </c>
      <c r="AJ284" t="str">
        <f t="shared" si="14"/>
        <v>Wk.6</v>
      </c>
      <c r="AK284" t="str">
        <f>IF(pub_gid_0_single_true_output_csv[[#This Row],[Nilai2]]="","",VLOOKUP(pub_gid_0_single_true_output_csv[[#This Row],[NAMA]],Table7[],3,FALSE))</f>
        <v>Extremely low</v>
      </c>
    </row>
    <row r="285" spans="1:37" x14ac:dyDescent="0.2">
      <c r="A285">
        <v>284</v>
      </c>
      <c r="B285" t="s">
        <v>288</v>
      </c>
      <c r="C285" t="s">
        <v>54</v>
      </c>
      <c r="D285" t="s">
        <v>35</v>
      </c>
      <c r="E285" t="s">
        <v>140</v>
      </c>
      <c r="F285" s="25">
        <v>46055</v>
      </c>
      <c r="G285" t="s">
        <v>379</v>
      </c>
      <c r="H285" t="s">
        <v>412</v>
      </c>
      <c r="I285" t="s">
        <v>371</v>
      </c>
      <c r="J285" t="s">
        <v>90</v>
      </c>
      <c r="K285" t="s">
        <v>92</v>
      </c>
      <c r="L285" t="s">
        <v>91</v>
      </c>
      <c r="M285" t="s">
        <v>141</v>
      </c>
      <c r="N285" t="s">
        <v>142</v>
      </c>
      <c r="O285" t="s">
        <v>155</v>
      </c>
      <c r="P285" t="s">
        <v>281</v>
      </c>
      <c r="Q285" t="s">
        <v>155</v>
      </c>
      <c r="R285" t="s">
        <v>302</v>
      </c>
      <c r="S285" t="s">
        <v>345</v>
      </c>
      <c r="T285">
        <v>1</v>
      </c>
      <c r="U285" t="s">
        <v>409</v>
      </c>
      <c r="V285" t="s">
        <v>343</v>
      </c>
      <c r="W285" t="s">
        <v>413</v>
      </c>
      <c r="X285" t="s">
        <v>306</v>
      </c>
      <c r="Y285" t="s">
        <v>307</v>
      </c>
      <c r="Z285">
        <v>65</v>
      </c>
      <c r="AA285">
        <v>65</v>
      </c>
      <c r="AB285" t="s">
        <v>143</v>
      </c>
      <c r="AC285" t="s">
        <v>149</v>
      </c>
      <c r="AD285" t="s">
        <v>404</v>
      </c>
      <c r="AE285" t="str">
        <f>IF(AF285="","",VLOOKUP(AC285,mapel!$A$2:$B$42,2,FALSE))</f>
        <v>B.Indo</v>
      </c>
      <c r="AF285">
        <f t="shared" si="12"/>
        <v>65</v>
      </c>
      <c r="AG285" t="str">
        <f>IF(AF285="","",IF(AF285&gt;90,"Sangat baik",IF(AF285&gt;79,"Baik",IF(AF285&gt;=pub_gid_0_single_true_output_csv[[#This Row],[KKM]],"Cukup","Kurang"))))</f>
        <v>Cukup</v>
      </c>
      <c r="AH285">
        <f t="shared" si="13"/>
        <v>11</v>
      </c>
      <c r="AI285" s="30" t="str">
        <f>IF(OR(J285&lt;&gt;"Karakter",pub_gid_0_single_true_output_csv[[#This Row],[Nilai2]]=""),"",IF(AF285&gt;89,"Sangat baik",IF(AF285&gt;79,"Baik",IF(AF285&gt;69,"Cukup",IF(AF285&gt;59,"Kurang","Sangat kurang")))))</f>
        <v>Kurang</v>
      </c>
      <c r="AJ285" t="str">
        <f t="shared" si="14"/>
        <v>Wk.6</v>
      </c>
      <c r="AK285" t="str">
        <f>IF(pub_gid_0_single_true_output_csv[[#This Row],[Nilai2]]="","",VLOOKUP(pub_gid_0_single_true_output_csv[[#This Row],[NAMA]],Table7[],3,FALSE))</f>
        <v>Extremely low</v>
      </c>
    </row>
    <row r="286" spans="1:37" x14ac:dyDescent="0.2">
      <c r="A286">
        <v>285</v>
      </c>
      <c r="B286" t="s">
        <v>288</v>
      </c>
      <c r="C286" t="s">
        <v>54</v>
      </c>
      <c r="D286" t="s">
        <v>35</v>
      </c>
      <c r="E286" t="s">
        <v>140</v>
      </c>
      <c r="F286" s="25">
        <v>46055</v>
      </c>
      <c r="G286" t="s">
        <v>379</v>
      </c>
      <c r="H286" t="s">
        <v>412</v>
      </c>
      <c r="I286" t="s">
        <v>371</v>
      </c>
      <c r="J286" t="s">
        <v>279</v>
      </c>
      <c r="K286" t="s">
        <v>280</v>
      </c>
      <c r="L286" t="s">
        <v>322</v>
      </c>
      <c r="M286" t="s">
        <v>141</v>
      </c>
      <c r="N286" t="s">
        <v>142</v>
      </c>
      <c r="O286" t="s">
        <v>155</v>
      </c>
      <c r="P286" t="s">
        <v>281</v>
      </c>
      <c r="Q286" t="s">
        <v>155</v>
      </c>
      <c r="R286" t="s">
        <v>302</v>
      </c>
      <c r="S286" t="s">
        <v>345</v>
      </c>
      <c r="T286">
        <v>1</v>
      </c>
      <c r="U286" t="s">
        <v>409</v>
      </c>
      <c r="V286" t="s">
        <v>343</v>
      </c>
      <c r="W286" t="s">
        <v>413</v>
      </c>
      <c r="X286" t="s">
        <v>306</v>
      </c>
      <c r="Y286" t="s">
        <v>307</v>
      </c>
      <c r="Z286">
        <v>65</v>
      </c>
      <c r="AA286">
        <v>70</v>
      </c>
      <c r="AB286" t="s">
        <v>143</v>
      </c>
      <c r="AC286" t="s">
        <v>149</v>
      </c>
      <c r="AD286" t="s">
        <v>404</v>
      </c>
      <c r="AE286" t="str">
        <f>IF(AF286="","",VLOOKUP(AC286,mapel!$A$2:$B$42,2,FALSE))</f>
        <v>B.Indo</v>
      </c>
      <c r="AF286">
        <f t="shared" si="12"/>
        <v>70</v>
      </c>
      <c r="AG286" t="str">
        <f>IF(AF286="","",IF(AF286&gt;90,"Sangat baik",IF(AF286&gt;79,"Baik",IF(AF286&gt;=pub_gid_0_single_true_output_csv[[#This Row],[KKM]],"Cukup","Kurang"))))</f>
        <v>Cukup</v>
      </c>
      <c r="AH286">
        <f t="shared" si="13"/>
        <v>11</v>
      </c>
      <c r="AI286" s="30" t="str">
        <f>IF(OR(J286&lt;&gt;"Karakter",pub_gid_0_single_true_output_csv[[#This Row],[Nilai2]]=""),"",IF(AF286&gt;89,"Sangat baik",IF(AF286&gt;79,"Baik",IF(AF286&gt;69,"Cukup",IF(AF286&gt;59,"Kurang","Sangat kurang")))))</f>
        <v/>
      </c>
      <c r="AJ286" t="str">
        <f t="shared" si="14"/>
        <v>Wk.6</v>
      </c>
      <c r="AK286" t="str">
        <f>IF(pub_gid_0_single_true_output_csv[[#This Row],[Nilai2]]="","",VLOOKUP(pub_gid_0_single_true_output_csv[[#This Row],[NAMA]],Table7[],3,FALSE))</f>
        <v>Extremely low</v>
      </c>
    </row>
    <row r="287" spans="1:37" x14ac:dyDescent="0.2">
      <c r="A287">
        <v>286</v>
      </c>
      <c r="B287" t="s">
        <v>288</v>
      </c>
      <c r="C287" t="s">
        <v>54</v>
      </c>
      <c r="D287" t="s">
        <v>35</v>
      </c>
      <c r="E287" t="s">
        <v>140</v>
      </c>
      <c r="F287" s="25">
        <v>46062</v>
      </c>
      <c r="G287" t="s">
        <v>376</v>
      </c>
      <c r="H287" t="s">
        <v>412</v>
      </c>
      <c r="I287" t="s">
        <v>371</v>
      </c>
      <c r="J287" t="s">
        <v>36</v>
      </c>
      <c r="K287" t="s">
        <v>37</v>
      </c>
      <c r="L287" t="s">
        <v>351</v>
      </c>
      <c r="M287" t="s">
        <v>141</v>
      </c>
      <c r="N287" t="s">
        <v>142</v>
      </c>
      <c r="O287" t="s">
        <v>155</v>
      </c>
      <c r="P287" t="s">
        <v>281</v>
      </c>
      <c r="Q287" t="s">
        <v>155</v>
      </c>
      <c r="R287" t="s">
        <v>302</v>
      </c>
      <c r="S287" t="s">
        <v>345</v>
      </c>
      <c r="T287">
        <v>1</v>
      </c>
      <c r="U287" t="s">
        <v>409</v>
      </c>
      <c r="V287" t="s">
        <v>343</v>
      </c>
      <c r="W287" t="s">
        <v>413</v>
      </c>
      <c r="X287" t="s">
        <v>306</v>
      </c>
      <c r="Y287" t="s">
        <v>307</v>
      </c>
      <c r="Z287">
        <v>65</v>
      </c>
      <c r="AA287">
        <v>65</v>
      </c>
      <c r="AB287" t="s">
        <v>143</v>
      </c>
      <c r="AC287" t="s">
        <v>149</v>
      </c>
      <c r="AD287" t="s">
        <v>404</v>
      </c>
      <c r="AE287" t="str">
        <f>IF(AF287="","",VLOOKUP(AC287,mapel!$A$2:$B$42,2,FALSE))</f>
        <v>B.Indo</v>
      </c>
      <c r="AF287">
        <f t="shared" si="12"/>
        <v>65</v>
      </c>
      <c r="AG287" t="str">
        <f>IF(AF287="","",IF(AF287&gt;90,"Sangat baik",IF(AF287&gt;79,"Baik",IF(AF287&gt;=pub_gid_0_single_true_output_csv[[#This Row],[KKM]],"Cukup","Kurang"))))</f>
        <v>Cukup</v>
      </c>
      <c r="AH287">
        <f t="shared" si="13"/>
        <v>11</v>
      </c>
      <c r="AI287" s="30" t="str">
        <f>IF(OR(J287&lt;&gt;"Karakter",pub_gid_0_single_true_output_csv[[#This Row],[Nilai2]]=""),"",IF(AF287&gt;89,"Sangat baik",IF(AF287&gt;79,"Baik",IF(AF287&gt;69,"Cukup",IF(AF287&gt;59,"Kurang","Sangat kurang")))))</f>
        <v/>
      </c>
      <c r="AJ287" t="str">
        <f t="shared" si="14"/>
        <v>Wk.7</v>
      </c>
      <c r="AK287" t="str">
        <f>IF(pub_gid_0_single_true_output_csv[[#This Row],[Nilai2]]="","",VLOOKUP(pub_gid_0_single_true_output_csv[[#This Row],[NAMA]],Table7[],3,FALSE))</f>
        <v>Extremely low</v>
      </c>
    </row>
    <row r="288" spans="1:37" x14ac:dyDescent="0.2">
      <c r="A288">
        <v>287</v>
      </c>
      <c r="B288" t="s">
        <v>288</v>
      </c>
      <c r="C288" t="s">
        <v>54</v>
      </c>
      <c r="D288" t="s">
        <v>35</v>
      </c>
      <c r="E288" t="s">
        <v>140</v>
      </c>
      <c r="F288" s="25">
        <v>46062</v>
      </c>
      <c r="G288" t="s">
        <v>376</v>
      </c>
      <c r="H288" t="s">
        <v>412</v>
      </c>
      <c r="I288" t="s">
        <v>371</v>
      </c>
      <c r="J288" t="s">
        <v>31</v>
      </c>
      <c r="K288" t="s">
        <v>96</v>
      </c>
      <c r="L288" t="s">
        <v>351</v>
      </c>
      <c r="M288" t="s">
        <v>141</v>
      </c>
      <c r="N288" t="s">
        <v>142</v>
      </c>
      <c r="O288" t="s">
        <v>155</v>
      </c>
      <c r="P288" t="s">
        <v>281</v>
      </c>
      <c r="Q288" t="s">
        <v>155</v>
      </c>
      <c r="R288" t="s">
        <v>302</v>
      </c>
      <c r="S288" t="s">
        <v>345</v>
      </c>
      <c r="T288">
        <v>1</v>
      </c>
      <c r="U288" t="s">
        <v>409</v>
      </c>
      <c r="V288" t="s">
        <v>343</v>
      </c>
      <c r="W288" t="s">
        <v>413</v>
      </c>
      <c r="X288" t="s">
        <v>306</v>
      </c>
      <c r="Y288" t="s">
        <v>307</v>
      </c>
      <c r="Z288">
        <v>65</v>
      </c>
      <c r="AA288">
        <v>67</v>
      </c>
      <c r="AB288" t="s">
        <v>143</v>
      </c>
      <c r="AC288" t="s">
        <v>149</v>
      </c>
      <c r="AD288" t="s">
        <v>404</v>
      </c>
      <c r="AE288" t="str">
        <f>IF(AF288="","",VLOOKUP(AC288,mapel!$A$2:$B$42,2,FALSE))</f>
        <v>B.Indo</v>
      </c>
      <c r="AF288">
        <f t="shared" si="12"/>
        <v>67</v>
      </c>
      <c r="AG288" t="str">
        <f>IF(AF288="","",IF(AF288&gt;90,"Sangat baik",IF(AF288&gt;79,"Baik",IF(AF288&gt;=pub_gid_0_single_true_output_csv[[#This Row],[KKM]],"Cukup","Kurang"))))</f>
        <v>Cukup</v>
      </c>
      <c r="AH288">
        <f t="shared" si="13"/>
        <v>11</v>
      </c>
      <c r="AI288" s="30" t="str">
        <f>IF(OR(J288&lt;&gt;"Karakter",pub_gid_0_single_true_output_csv[[#This Row],[Nilai2]]=""),"",IF(AF288&gt;89,"Sangat baik",IF(AF288&gt;79,"Baik",IF(AF288&gt;69,"Cukup",IF(AF288&gt;59,"Kurang","Sangat kurang")))))</f>
        <v/>
      </c>
      <c r="AJ288" t="str">
        <f t="shared" si="14"/>
        <v>Wk.7</v>
      </c>
      <c r="AK288" t="str">
        <f>IF(pub_gid_0_single_true_output_csv[[#This Row],[Nilai2]]="","",VLOOKUP(pub_gid_0_single_true_output_csv[[#This Row],[NAMA]],Table7[],3,FALSE))</f>
        <v>Extremely low</v>
      </c>
    </row>
    <row r="289" spans="1:37" x14ac:dyDescent="0.2">
      <c r="A289">
        <v>288</v>
      </c>
      <c r="B289" t="s">
        <v>288</v>
      </c>
      <c r="C289" t="s">
        <v>54</v>
      </c>
      <c r="D289" t="s">
        <v>35</v>
      </c>
      <c r="E289" t="s">
        <v>140</v>
      </c>
      <c r="F289" s="25">
        <v>46069</v>
      </c>
      <c r="G289" t="s">
        <v>382</v>
      </c>
      <c r="H289" t="s">
        <v>412</v>
      </c>
      <c r="I289" t="s">
        <v>371</v>
      </c>
      <c r="J289" t="s">
        <v>36</v>
      </c>
      <c r="K289" t="s">
        <v>37</v>
      </c>
      <c r="L289" t="s">
        <v>351</v>
      </c>
      <c r="M289" t="s">
        <v>141</v>
      </c>
      <c r="N289" t="s">
        <v>142</v>
      </c>
      <c r="O289" t="s">
        <v>155</v>
      </c>
      <c r="P289" t="s">
        <v>281</v>
      </c>
      <c r="Q289" t="s">
        <v>155</v>
      </c>
      <c r="R289" t="s">
        <v>302</v>
      </c>
      <c r="S289" t="s">
        <v>345</v>
      </c>
      <c r="T289">
        <v>1</v>
      </c>
      <c r="U289" t="s">
        <v>409</v>
      </c>
      <c r="V289" t="s">
        <v>343</v>
      </c>
      <c r="W289" t="s">
        <v>413</v>
      </c>
      <c r="X289" t="s">
        <v>306</v>
      </c>
      <c r="Y289" t="s">
        <v>307</v>
      </c>
      <c r="Z289">
        <v>65</v>
      </c>
      <c r="AA289">
        <v>69</v>
      </c>
      <c r="AB289" t="s">
        <v>143</v>
      </c>
      <c r="AC289" t="s">
        <v>149</v>
      </c>
      <c r="AD289" t="s">
        <v>404</v>
      </c>
      <c r="AE289" t="str">
        <f>IF(AF289="","",VLOOKUP(AC289,mapel!$A$2:$B$42,2,FALSE))</f>
        <v>B.Indo</v>
      </c>
      <c r="AF289">
        <f t="shared" si="12"/>
        <v>69</v>
      </c>
      <c r="AG289" t="str">
        <f>IF(AF289="","",IF(AF289&gt;90,"Sangat baik",IF(AF289&gt;79,"Baik",IF(AF289&gt;=pub_gid_0_single_true_output_csv[[#This Row],[KKM]],"Cukup","Kurang"))))</f>
        <v>Cukup</v>
      </c>
      <c r="AH289">
        <f t="shared" si="13"/>
        <v>11</v>
      </c>
      <c r="AI289" s="30" t="str">
        <f>IF(OR(J289&lt;&gt;"Karakter",pub_gid_0_single_true_output_csv[[#This Row],[Nilai2]]=""),"",IF(AF289&gt;89,"Sangat baik",IF(AF289&gt;79,"Baik",IF(AF289&gt;69,"Cukup",IF(AF289&gt;59,"Kurang","Sangat kurang")))))</f>
        <v/>
      </c>
      <c r="AJ289" t="str">
        <f t="shared" si="14"/>
        <v>Wk.8</v>
      </c>
      <c r="AK289" t="str">
        <f>IF(pub_gid_0_single_true_output_csv[[#This Row],[Nilai2]]="","",VLOOKUP(pub_gid_0_single_true_output_csv[[#This Row],[NAMA]],Table7[],3,FALSE))</f>
        <v>Extremely low</v>
      </c>
    </row>
    <row r="290" spans="1:37" x14ac:dyDescent="0.2">
      <c r="A290">
        <v>289</v>
      </c>
      <c r="B290" t="s">
        <v>288</v>
      </c>
      <c r="C290" t="s">
        <v>54</v>
      </c>
      <c r="D290" t="s">
        <v>35</v>
      </c>
      <c r="E290" t="s">
        <v>140</v>
      </c>
      <c r="F290" s="25">
        <v>46069</v>
      </c>
      <c r="G290" t="s">
        <v>382</v>
      </c>
      <c r="H290" t="s">
        <v>412</v>
      </c>
      <c r="I290" t="s">
        <v>371</v>
      </c>
      <c r="J290" t="s">
        <v>31</v>
      </c>
      <c r="K290" t="s">
        <v>96</v>
      </c>
      <c r="L290" t="s">
        <v>351</v>
      </c>
      <c r="M290" t="s">
        <v>141</v>
      </c>
      <c r="N290" t="s">
        <v>142</v>
      </c>
      <c r="O290" t="s">
        <v>155</v>
      </c>
      <c r="P290" t="s">
        <v>281</v>
      </c>
      <c r="Q290" t="s">
        <v>155</v>
      </c>
      <c r="R290" t="s">
        <v>302</v>
      </c>
      <c r="S290" t="s">
        <v>345</v>
      </c>
      <c r="T290">
        <v>1</v>
      </c>
      <c r="U290" t="s">
        <v>409</v>
      </c>
      <c r="V290" t="s">
        <v>343</v>
      </c>
      <c r="W290" t="s">
        <v>413</v>
      </c>
      <c r="X290" t="s">
        <v>306</v>
      </c>
      <c r="Y290" t="s">
        <v>307</v>
      </c>
      <c r="Z290">
        <v>65</v>
      </c>
      <c r="AA290">
        <v>65</v>
      </c>
      <c r="AB290" t="s">
        <v>143</v>
      </c>
      <c r="AC290" t="s">
        <v>149</v>
      </c>
      <c r="AD290" t="s">
        <v>404</v>
      </c>
      <c r="AE290" t="str">
        <f>IF(AF290="","",VLOOKUP(AC290,mapel!$A$2:$B$42,2,FALSE))</f>
        <v>B.Indo</v>
      </c>
      <c r="AF290">
        <f t="shared" si="12"/>
        <v>65</v>
      </c>
      <c r="AG290" t="str">
        <f>IF(AF290="","",IF(AF290&gt;90,"Sangat baik",IF(AF290&gt;79,"Baik",IF(AF290&gt;=pub_gid_0_single_true_output_csv[[#This Row],[KKM]],"Cukup","Kurang"))))</f>
        <v>Cukup</v>
      </c>
      <c r="AH290">
        <f t="shared" si="13"/>
        <v>11</v>
      </c>
      <c r="AI290" s="30" t="str">
        <f>IF(OR(J290&lt;&gt;"Karakter",pub_gid_0_single_true_output_csv[[#This Row],[Nilai2]]=""),"",IF(AF290&gt;89,"Sangat baik",IF(AF290&gt;79,"Baik",IF(AF290&gt;69,"Cukup",IF(AF290&gt;59,"Kurang","Sangat kurang")))))</f>
        <v/>
      </c>
      <c r="AJ290" t="str">
        <f t="shared" si="14"/>
        <v>Wk.8</v>
      </c>
      <c r="AK290" t="str">
        <f>IF(pub_gid_0_single_true_output_csv[[#This Row],[Nilai2]]="","",VLOOKUP(pub_gid_0_single_true_output_csv[[#This Row],[NAMA]],Table7[],3,FALSE))</f>
        <v>Extremely low</v>
      </c>
    </row>
    <row r="291" spans="1:37" x14ac:dyDescent="0.2">
      <c r="A291">
        <v>290</v>
      </c>
      <c r="B291" t="s">
        <v>288</v>
      </c>
      <c r="C291" t="s">
        <v>54</v>
      </c>
      <c r="D291" t="s">
        <v>35</v>
      </c>
      <c r="E291" t="s">
        <v>140</v>
      </c>
      <c r="F291" s="25">
        <v>46069</v>
      </c>
      <c r="G291" t="s">
        <v>382</v>
      </c>
      <c r="H291" t="s">
        <v>412</v>
      </c>
      <c r="I291" t="s">
        <v>371</v>
      </c>
      <c r="J291" t="s">
        <v>90</v>
      </c>
      <c r="K291" t="s">
        <v>92</v>
      </c>
      <c r="L291" t="s">
        <v>93</v>
      </c>
      <c r="M291" t="s">
        <v>141</v>
      </c>
      <c r="N291" t="s">
        <v>142</v>
      </c>
      <c r="O291" t="s">
        <v>155</v>
      </c>
      <c r="P291" t="s">
        <v>281</v>
      </c>
      <c r="Q291" t="s">
        <v>155</v>
      </c>
      <c r="R291" t="s">
        <v>302</v>
      </c>
      <c r="S291" t="s">
        <v>345</v>
      </c>
      <c r="T291">
        <v>1</v>
      </c>
      <c r="U291" t="s">
        <v>409</v>
      </c>
      <c r="V291" t="s">
        <v>343</v>
      </c>
      <c r="W291" t="s">
        <v>413</v>
      </c>
      <c r="X291" t="s">
        <v>306</v>
      </c>
      <c r="Y291" t="s">
        <v>307</v>
      </c>
      <c r="Z291">
        <v>65</v>
      </c>
      <c r="AA291">
        <v>70</v>
      </c>
      <c r="AB291" t="s">
        <v>143</v>
      </c>
      <c r="AC291" t="s">
        <v>149</v>
      </c>
      <c r="AD291" t="s">
        <v>404</v>
      </c>
      <c r="AE291" t="str">
        <f>IF(AF291="","",VLOOKUP(AC291,mapel!$A$2:$B$42,2,FALSE))</f>
        <v>B.Indo</v>
      </c>
      <c r="AF291">
        <f t="shared" si="12"/>
        <v>70</v>
      </c>
      <c r="AG291" t="str">
        <f>IF(AF291="","",IF(AF291&gt;90,"Sangat baik",IF(AF291&gt;79,"Baik",IF(AF291&gt;=pub_gid_0_single_true_output_csv[[#This Row],[KKM]],"Cukup","Kurang"))))</f>
        <v>Cukup</v>
      </c>
      <c r="AH291">
        <f t="shared" si="13"/>
        <v>11</v>
      </c>
      <c r="AI291" s="30" t="str">
        <f>IF(OR(J291&lt;&gt;"Karakter",pub_gid_0_single_true_output_csv[[#This Row],[Nilai2]]=""),"",IF(AF291&gt;89,"Sangat baik",IF(AF291&gt;79,"Baik",IF(AF291&gt;69,"Cukup",IF(AF291&gt;59,"Kurang","Sangat kurang")))))</f>
        <v>Cukup</v>
      </c>
      <c r="AJ291" t="str">
        <f t="shared" si="14"/>
        <v>Wk.8</v>
      </c>
      <c r="AK291" t="str">
        <f>IF(pub_gid_0_single_true_output_csv[[#This Row],[Nilai2]]="","",VLOOKUP(pub_gid_0_single_true_output_csv[[#This Row],[NAMA]],Table7[],3,FALSE))</f>
        <v>Extremely low</v>
      </c>
    </row>
    <row r="292" spans="1:37" x14ac:dyDescent="0.2">
      <c r="A292">
        <v>291</v>
      </c>
      <c r="B292" t="s">
        <v>288</v>
      </c>
      <c r="C292" t="s">
        <v>54</v>
      </c>
      <c r="D292" t="s">
        <v>35</v>
      </c>
      <c r="E292" t="s">
        <v>140</v>
      </c>
      <c r="F292" s="25">
        <v>46069</v>
      </c>
      <c r="G292" t="s">
        <v>382</v>
      </c>
      <c r="H292" t="s">
        <v>412</v>
      </c>
      <c r="I292" t="s">
        <v>371</v>
      </c>
      <c r="J292" t="s">
        <v>279</v>
      </c>
      <c r="K292" t="s">
        <v>280</v>
      </c>
      <c r="L292" t="s">
        <v>322</v>
      </c>
      <c r="M292" t="s">
        <v>141</v>
      </c>
      <c r="N292" t="s">
        <v>142</v>
      </c>
      <c r="O292" t="s">
        <v>155</v>
      </c>
      <c r="P292" t="s">
        <v>281</v>
      </c>
      <c r="Q292" t="s">
        <v>155</v>
      </c>
      <c r="R292" t="s">
        <v>302</v>
      </c>
      <c r="S292" t="s">
        <v>345</v>
      </c>
      <c r="T292">
        <v>1</v>
      </c>
      <c r="U292" t="s">
        <v>409</v>
      </c>
      <c r="V292" t="s">
        <v>343</v>
      </c>
      <c r="W292" t="s">
        <v>413</v>
      </c>
      <c r="X292" t="s">
        <v>306</v>
      </c>
      <c r="Y292" t="s">
        <v>307</v>
      </c>
      <c r="Z292">
        <v>65</v>
      </c>
      <c r="AA292">
        <v>70</v>
      </c>
      <c r="AB292" t="s">
        <v>143</v>
      </c>
      <c r="AC292" t="s">
        <v>149</v>
      </c>
      <c r="AD292" t="s">
        <v>404</v>
      </c>
      <c r="AE292" t="str">
        <f>IF(AF292="","",VLOOKUP(AC292,mapel!$A$2:$B$42,2,FALSE))</f>
        <v>B.Indo</v>
      </c>
      <c r="AF292">
        <f t="shared" si="12"/>
        <v>70</v>
      </c>
      <c r="AG292" t="str">
        <f>IF(AF292="","",IF(AF292&gt;90,"Sangat baik",IF(AF292&gt;79,"Baik",IF(AF292&gt;=pub_gid_0_single_true_output_csv[[#This Row],[KKM]],"Cukup","Kurang"))))</f>
        <v>Cukup</v>
      </c>
      <c r="AH292">
        <f t="shared" si="13"/>
        <v>11</v>
      </c>
      <c r="AI292" s="30" t="str">
        <f>IF(OR(J292&lt;&gt;"Karakter",pub_gid_0_single_true_output_csv[[#This Row],[Nilai2]]=""),"",IF(AF292&gt;89,"Sangat baik",IF(AF292&gt;79,"Baik",IF(AF292&gt;69,"Cukup",IF(AF292&gt;59,"Kurang","Sangat kurang")))))</f>
        <v/>
      </c>
      <c r="AJ292" t="str">
        <f t="shared" si="14"/>
        <v>Wk.8</v>
      </c>
      <c r="AK292" t="str">
        <f>IF(pub_gid_0_single_true_output_csv[[#This Row],[Nilai2]]="","",VLOOKUP(pub_gid_0_single_true_output_csv[[#This Row],[NAMA]],Table7[],3,FALSE))</f>
        <v>Extremely low</v>
      </c>
    </row>
    <row r="293" spans="1:37" x14ac:dyDescent="0.2">
      <c r="A293">
        <v>292</v>
      </c>
      <c r="B293" t="s">
        <v>294</v>
      </c>
      <c r="C293" t="s">
        <v>54</v>
      </c>
      <c r="D293" t="s">
        <v>46</v>
      </c>
      <c r="E293" t="s">
        <v>148</v>
      </c>
      <c r="F293" s="25">
        <v>46034</v>
      </c>
      <c r="G293" t="s">
        <v>354</v>
      </c>
      <c r="H293" t="s">
        <v>405</v>
      </c>
      <c r="I293" t="s">
        <v>371</v>
      </c>
      <c r="J293" t="s">
        <v>36</v>
      </c>
      <c r="K293" t="s">
        <v>362</v>
      </c>
      <c r="L293" t="s">
        <v>408</v>
      </c>
      <c r="M293" t="s">
        <v>141</v>
      </c>
      <c r="N293" t="s">
        <v>142</v>
      </c>
      <c r="O293" t="s">
        <v>155</v>
      </c>
      <c r="P293" t="s">
        <v>281</v>
      </c>
      <c r="Q293" t="s">
        <v>155</v>
      </c>
      <c r="R293" t="s">
        <v>273</v>
      </c>
      <c r="S293" t="s">
        <v>309</v>
      </c>
      <c r="T293">
        <v>1</v>
      </c>
      <c r="U293" t="s">
        <v>409</v>
      </c>
      <c r="V293" t="s">
        <v>285</v>
      </c>
      <c r="W293" t="s">
        <v>410</v>
      </c>
      <c r="X293" t="s">
        <v>306</v>
      </c>
      <c r="Y293" t="s">
        <v>307</v>
      </c>
      <c r="Z293">
        <v>65</v>
      </c>
      <c r="AA293">
        <v>23</v>
      </c>
      <c r="AB293" t="s">
        <v>151</v>
      </c>
      <c r="AC293" t="s">
        <v>149</v>
      </c>
      <c r="AD293" t="s">
        <v>404</v>
      </c>
      <c r="AE293" t="str">
        <f>IF(AF293="","",VLOOKUP(AC293,mapel!$A$2:$B$42,2,FALSE))</f>
        <v>B.Indo</v>
      </c>
      <c r="AF293">
        <f t="shared" si="12"/>
        <v>23</v>
      </c>
      <c r="AG293" t="str">
        <f>IF(AF293="","",IF(AF293&gt;90,"Sangat baik",IF(AF293&gt;79,"Baik",IF(AF293&gt;=pub_gid_0_single_true_output_csv[[#This Row],[KKM]],"Cukup","Kurang"))))</f>
        <v>Kurang</v>
      </c>
      <c r="AH293">
        <f t="shared" si="13"/>
        <v>11</v>
      </c>
      <c r="AI293" s="30" t="str">
        <f>IF(OR(J293&lt;&gt;"Karakter",pub_gid_0_single_true_output_csv[[#This Row],[Nilai2]]=""),"",IF(AF293&gt;89,"Sangat baik",IF(AF293&gt;79,"Baik",IF(AF293&gt;69,"Cukup",IF(AF293&gt;59,"Kurang","Sangat kurang")))))</f>
        <v/>
      </c>
      <c r="AJ293" t="str">
        <f t="shared" si="14"/>
        <v>Wk.3</v>
      </c>
      <c r="AK293" t="str">
        <f>IF(pub_gid_0_single_true_output_csv[[#This Row],[Nilai2]]="","",VLOOKUP(pub_gid_0_single_true_output_csv[[#This Row],[NAMA]],Table7[],3,FALSE))</f>
        <v>Average</v>
      </c>
    </row>
    <row r="294" spans="1:37" x14ac:dyDescent="0.2">
      <c r="A294">
        <v>293</v>
      </c>
      <c r="B294" t="s">
        <v>294</v>
      </c>
      <c r="C294" t="s">
        <v>54</v>
      </c>
      <c r="D294" t="s">
        <v>46</v>
      </c>
      <c r="E294" t="s">
        <v>148</v>
      </c>
      <c r="F294" s="25">
        <v>46035</v>
      </c>
      <c r="G294" t="s">
        <v>358</v>
      </c>
      <c r="H294" t="s">
        <v>405</v>
      </c>
      <c r="I294" t="s">
        <v>371</v>
      </c>
      <c r="J294" t="s">
        <v>36</v>
      </c>
      <c r="K294" t="s">
        <v>37</v>
      </c>
      <c r="L294" t="s">
        <v>150</v>
      </c>
      <c r="M294" t="s">
        <v>141</v>
      </c>
      <c r="N294" t="s">
        <v>142</v>
      </c>
      <c r="O294" t="s">
        <v>155</v>
      </c>
      <c r="P294" t="s">
        <v>281</v>
      </c>
      <c r="Q294" t="s">
        <v>155</v>
      </c>
      <c r="R294" t="s">
        <v>273</v>
      </c>
      <c r="S294" t="s">
        <v>309</v>
      </c>
      <c r="T294">
        <v>1</v>
      </c>
      <c r="U294" t="s">
        <v>409</v>
      </c>
      <c r="V294" t="s">
        <v>285</v>
      </c>
      <c r="W294" t="s">
        <v>410</v>
      </c>
      <c r="X294" t="s">
        <v>306</v>
      </c>
      <c r="Y294" t="s">
        <v>307</v>
      </c>
      <c r="Z294">
        <v>65</v>
      </c>
      <c r="AA294">
        <v>50</v>
      </c>
      <c r="AB294" t="s">
        <v>151</v>
      </c>
      <c r="AC294" t="s">
        <v>149</v>
      </c>
      <c r="AD294" t="s">
        <v>404</v>
      </c>
      <c r="AE294" t="str">
        <f>IF(AF294="","",VLOOKUP(AC294,mapel!$A$2:$B$42,2,FALSE))</f>
        <v>B.Indo</v>
      </c>
      <c r="AF294">
        <f t="shared" si="12"/>
        <v>50</v>
      </c>
      <c r="AG294" t="str">
        <f>IF(AF294="","",IF(AF294&gt;90,"Sangat baik",IF(AF294&gt;79,"Baik",IF(AF294&gt;=pub_gid_0_single_true_output_csv[[#This Row],[KKM]],"Cukup","Kurang"))))</f>
        <v>Kurang</v>
      </c>
      <c r="AH294">
        <f t="shared" si="13"/>
        <v>11</v>
      </c>
      <c r="AI294" s="30" t="str">
        <f>IF(OR(J294&lt;&gt;"Karakter",pub_gid_0_single_true_output_csv[[#This Row],[Nilai2]]=""),"",IF(AF294&gt;89,"Sangat baik",IF(AF294&gt;79,"Baik",IF(AF294&gt;69,"Cukup",IF(AF294&gt;59,"Kurang","Sangat kurang")))))</f>
        <v/>
      </c>
      <c r="AJ294" t="str">
        <f t="shared" si="14"/>
        <v>Wk.3</v>
      </c>
      <c r="AK294" t="str">
        <f>IF(pub_gid_0_single_true_output_csv[[#This Row],[Nilai2]]="","",VLOOKUP(pub_gid_0_single_true_output_csv[[#This Row],[NAMA]],Table7[],3,FALSE))</f>
        <v>Average</v>
      </c>
    </row>
    <row r="295" spans="1:37" x14ac:dyDescent="0.2">
      <c r="A295">
        <v>294</v>
      </c>
      <c r="B295" t="s">
        <v>294</v>
      </c>
      <c r="C295" t="s">
        <v>54</v>
      </c>
      <c r="D295" t="s">
        <v>46</v>
      </c>
      <c r="E295" t="s">
        <v>148</v>
      </c>
      <c r="F295" s="25">
        <v>46035</v>
      </c>
      <c r="G295" t="s">
        <v>358</v>
      </c>
      <c r="H295" t="s">
        <v>405</v>
      </c>
      <c r="I295" t="s">
        <v>371</v>
      </c>
      <c r="J295" t="s">
        <v>31</v>
      </c>
      <c r="K295" t="s">
        <v>32</v>
      </c>
      <c r="L295" t="s">
        <v>150</v>
      </c>
      <c r="M295" t="s">
        <v>141</v>
      </c>
      <c r="N295" t="s">
        <v>142</v>
      </c>
      <c r="O295" t="s">
        <v>155</v>
      </c>
      <c r="P295" t="s">
        <v>281</v>
      </c>
      <c r="Q295" t="s">
        <v>155</v>
      </c>
      <c r="R295" t="s">
        <v>273</v>
      </c>
      <c r="S295" t="s">
        <v>309</v>
      </c>
      <c r="T295">
        <v>1</v>
      </c>
      <c r="U295" t="s">
        <v>409</v>
      </c>
      <c r="V295" t="s">
        <v>285</v>
      </c>
      <c r="W295" t="s">
        <v>410</v>
      </c>
      <c r="X295" t="s">
        <v>306</v>
      </c>
      <c r="Y295" t="s">
        <v>307</v>
      </c>
      <c r="Z295">
        <v>65</v>
      </c>
      <c r="AA295">
        <v>60</v>
      </c>
      <c r="AB295" t="s">
        <v>151</v>
      </c>
      <c r="AC295" t="s">
        <v>149</v>
      </c>
      <c r="AD295" t="s">
        <v>404</v>
      </c>
      <c r="AE295" t="str">
        <f>IF(AF295="","",VLOOKUP(AC295,mapel!$A$2:$B$42,2,FALSE))</f>
        <v>B.Indo</v>
      </c>
      <c r="AF295">
        <f t="shared" si="12"/>
        <v>60</v>
      </c>
      <c r="AG295" t="str">
        <f>IF(AF295="","",IF(AF295&gt;90,"Sangat baik",IF(AF295&gt;79,"Baik",IF(AF295&gt;=pub_gid_0_single_true_output_csv[[#This Row],[KKM]],"Cukup","Kurang"))))</f>
        <v>Kurang</v>
      </c>
      <c r="AH295">
        <f t="shared" si="13"/>
        <v>11</v>
      </c>
      <c r="AI295" s="30" t="str">
        <f>IF(OR(J295&lt;&gt;"Karakter",pub_gid_0_single_true_output_csv[[#This Row],[Nilai2]]=""),"",IF(AF295&gt;89,"Sangat baik",IF(AF295&gt;79,"Baik",IF(AF295&gt;69,"Cukup",IF(AF295&gt;59,"Kurang","Sangat kurang")))))</f>
        <v/>
      </c>
      <c r="AJ295" t="str">
        <f t="shared" si="14"/>
        <v>Wk.3</v>
      </c>
      <c r="AK295" t="str">
        <f>IF(pub_gid_0_single_true_output_csv[[#This Row],[Nilai2]]="","",VLOOKUP(pub_gid_0_single_true_output_csv[[#This Row],[NAMA]],Table7[],3,FALSE))</f>
        <v>Average</v>
      </c>
    </row>
    <row r="296" spans="1:37" x14ac:dyDescent="0.2">
      <c r="A296">
        <v>295</v>
      </c>
      <c r="B296" t="s">
        <v>294</v>
      </c>
      <c r="C296" t="s">
        <v>54</v>
      </c>
      <c r="D296" t="s">
        <v>46</v>
      </c>
      <c r="E296" t="s">
        <v>148</v>
      </c>
      <c r="F296" s="25">
        <v>46035</v>
      </c>
      <c r="G296" t="s">
        <v>358</v>
      </c>
      <c r="H296" t="s">
        <v>405</v>
      </c>
      <c r="I296" t="s">
        <v>371</v>
      </c>
      <c r="J296" t="s">
        <v>90</v>
      </c>
      <c r="K296" t="s">
        <v>92</v>
      </c>
      <c r="L296" t="s">
        <v>93</v>
      </c>
      <c r="M296" t="s">
        <v>141</v>
      </c>
      <c r="N296" t="s">
        <v>142</v>
      </c>
      <c r="O296" t="s">
        <v>155</v>
      </c>
      <c r="P296" t="s">
        <v>281</v>
      </c>
      <c r="Q296" t="s">
        <v>155</v>
      </c>
      <c r="R296" t="s">
        <v>273</v>
      </c>
      <c r="S296" t="s">
        <v>309</v>
      </c>
      <c r="T296">
        <v>1</v>
      </c>
      <c r="U296" t="s">
        <v>409</v>
      </c>
      <c r="V296" t="s">
        <v>285</v>
      </c>
      <c r="W296" t="s">
        <v>410</v>
      </c>
      <c r="X296" t="s">
        <v>306</v>
      </c>
      <c r="Y296" t="s">
        <v>307</v>
      </c>
      <c r="Z296">
        <v>65</v>
      </c>
      <c r="AA296">
        <v>70</v>
      </c>
      <c r="AB296" t="s">
        <v>143</v>
      </c>
      <c r="AC296" t="s">
        <v>149</v>
      </c>
      <c r="AD296" t="s">
        <v>404</v>
      </c>
      <c r="AE296" t="str">
        <f>IF(AF296="","",VLOOKUP(AC296,mapel!$A$2:$B$42,2,FALSE))</f>
        <v>B.Indo</v>
      </c>
      <c r="AF296">
        <f t="shared" si="12"/>
        <v>70</v>
      </c>
      <c r="AG296" t="str">
        <f>IF(AF296="","",IF(AF296&gt;90,"Sangat baik",IF(AF296&gt;79,"Baik",IF(AF296&gt;=pub_gid_0_single_true_output_csv[[#This Row],[KKM]],"Cukup","Kurang"))))</f>
        <v>Cukup</v>
      </c>
      <c r="AH296">
        <f t="shared" si="13"/>
        <v>11</v>
      </c>
      <c r="AI296" s="30" t="str">
        <f>IF(OR(J296&lt;&gt;"Karakter",pub_gid_0_single_true_output_csv[[#This Row],[Nilai2]]=""),"",IF(AF296&gt;89,"Sangat baik",IF(AF296&gt;79,"Baik",IF(AF296&gt;69,"Cukup",IF(AF296&gt;59,"Kurang","Sangat kurang")))))</f>
        <v>Cukup</v>
      </c>
      <c r="AJ296" t="str">
        <f t="shared" si="14"/>
        <v>Wk.3</v>
      </c>
      <c r="AK296" t="str">
        <f>IF(pub_gid_0_single_true_output_csv[[#This Row],[Nilai2]]="","",VLOOKUP(pub_gid_0_single_true_output_csv[[#This Row],[NAMA]],Table7[],3,FALSE))</f>
        <v>Average</v>
      </c>
    </row>
    <row r="297" spans="1:37" x14ac:dyDescent="0.2">
      <c r="A297">
        <v>296</v>
      </c>
      <c r="B297" t="s">
        <v>294</v>
      </c>
      <c r="C297" t="s">
        <v>54</v>
      </c>
      <c r="D297" t="s">
        <v>46</v>
      </c>
      <c r="E297" t="s">
        <v>148</v>
      </c>
      <c r="F297" s="25">
        <v>46035</v>
      </c>
      <c r="G297" t="s">
        <v>358</v>
      </c>
      <c r="H297" t="s">
        <v>405</v>
      </c>
      <c r="I297" t="s">
        <v>371</v>
      </c>
      <c r="J297" t="s">
        <v>279</v>
      </c>
      <c r="K297" t="s">
        <v>280</v>
      </c>
      <c r="L297" t="s">
        <v>150</v>
      </c>
      <c r="M297" t="s">
        <v>141</v>
      </c>
      <c r="N297" t="s">
        <v>142</v>
      </c>
      <c r="O297" t="s">
        <v>155</v>
      </c>
      <c r="P297" t="s">
        <v>281</v>
      </c>
      <c r="Q297" t="s">
        <v>155</v>
      </c>
      <c r="R297" t="s">
        <v>273</v>
      </c>
      <c r="S297" t="s">
        <v>309</v>
      </c>
      <c r="T297">
        <v>1</v>
      </c>
      <c r="U297" t="s">
        <v>409</v>
      </c>
      <c r="V297" t="s">
        <v>285</v>
      </c>
      <c r="W297" t="s">
        <v>410</v>
      </c>
      <c r="X297" t="s">
        <v>306</v>
      </c>
      <c r="Y297" t="s">
        <v>307</v>
      </c>
      <c r="Z297">
        <v>65</v>
      </c>
      <c r="AA297">
        <v>70</v>
      </c>
      <c r="AB297" t="s">
        <v>143</v>
      </c>
      <c r="AC297" t="s">
        <v>149</v>
      </c>
      <c r="AD297" t="s">
        <v>404</v>
      </c>
      <c r="AE297" t="str">
        <f>IF(AF297="","",VLOOKUP(AC297,mapel!$A$2:$B$42,2,FALSE))</f>
        <v>B.Indo</v>
      </c>
      <c r="AF297">
        <f t="shared" si="12"/>
        <v>70</v>
      </c>
      <c r="AG297" t="str">
        <f>IF(AF297="","",IF(AF297&gt;90,"Sangat baik",IF(AF297&gt;79,"Baik",IF(AF297&gt;=pub_gid_0_single_true_output_csv[[#This Row],[KKM]],"Cukup","Kurang"))))</f>
        <v>Cukup</v>
      </c>
      <c r="AH297">
        <f t="shared" si="13"/>
        <v>11</v>
      </c>
      <c r="AI297" s="30" t="str">
        <f>IF(OR(J297&lt;&gt;"Karakter",pub_gid_0_single_true_output_csv[[#This Row],[Nilai2]]=""),"",IF(AF297&gt;89,"Sangat baik",IF(AF297&gt;79,"Baik",IF(AF297&gt;69,"Cukup",IF(AF297&gt;59,"Kurang","Sangat kurang")))))</f>
        <v/>
      </c>
      <c r="AJ297" t="str">
        <f t="shared" si="14"/>
        <v>Wk.3</v>
      </c>
      <c r="AK297" t="str">
        <f>IF(pub_gid_0_single_true_output_csv[[#This Row],[Nilai2]]="","",VLOOKUP(pub_gid_0_single_true_output_csv[[#This Row],[NAMA]],Table7[],3,FALSE))</f>
        <v>Average</v>
      </c>
    </row>
    <row r="298" spans="1:37" x14ac:dyDescent="0.2">
      <c r="A298">
        <v>297</v>
      </c>
      <c r="B298" t="s">
        <v>294</v>
      </c>
      <c r="C298" t="s">
        <v>54</v>
      </c>
      <c r="D298" t="s">
        <v>46</v>
      </c>
      <c r="E298" t="s">
        <v>148</v>
      </c>
      <c r="F298" s="25">
        <v>46041</v>
      </c>
      <c r="G298" t="s">
        <v>370</v>
      </c>
      <c r="H298" t="s">
        <v>405</v>
      </c>
      <c r="I298" t="s">
        <v>371</v>
      </c>
      <c r="J298" t="s">
        <v>36</v>
      </c>
      <c r="K298" t="s">
        <v>37</v>
      </c>
      <c r="L298" t="s">
        <v>321</v>
      </c>
      <c r="M298" t="s">
        <v>141</v>
      </c>
      <c r="N298" t="s">
        <v>142</v>
      </c>
      <c r="O298" t="s">
        <v>155</v>
      </c>
      <c r="P298" t="s">
        <v>281</v>
      </c>
      <c r="Q298" t="s">
        <v>155</v>
      </c>
      <c r="R298" t="s">
        <v>273</v>
      </c>
      <c r="S298" t="s">
        <v>309</v>
      </c>
      <c r="T298">
        <v>1</v>
      </c>
      <c r="U298" t="s">
        <v>409</v>
      </c>
      <c r="V298" t="s">
        <v>285</v>
      </c>
      <c r="W298" t="s">
        <v>410</v>
      </c>
      <c r="X298" t="s">
        <v>306</v>
      </c>
      <c r="Y298" t="s">
        <v>307</v>
      </c>
      <c r="Z298">
        <v>65</v>
      </c>
      <c r="AA298">
        <v>50</v>
      </c>
      <c r="AB298" t="s">
        <v>151</v>
      </c>
      <c r="AC298" t="s">
        <v>149</v>
      </c>
      <c r="AD298" t="s">
        <v>404</v>
      </c>
      <c r="AE298" t="str">
        <f>IF(AF298="","",VLOOKUP(AC298,mapel!$A$2:$B$42,2,FALSE))</f>
        <v>B.Indo</v>
      </c>
      <c r="AF298">
        <f t="shared" si="12"/>
        <v>50</v>
      </c>
      <c r="AG298" t="str">
        <f>IF(AF298="","",IF(AF298&gt;90,"Sangat baik",IF(AF298&gt;79,"Baik",IF(AF298&gt;=pub_gid_0_single_true_output_csv[[#This Row],[KKM]],"Cukup","Kurang"))))</f>
        <v>Kurang</v>
      </c>
      <c r="AH298">
        <f t="shared" si="13"/>
        <v>11</v>
      </c>
      <c r="AI298" s="30" t="str">
        <f>IF(OR(J298&lt;&gt;"Karakter",pub_gid_0_single_true_output_csv[[#This Row],[Nilai2]]=""),"",IF(AF298&gt;89,"Sangat baik",IF(AF298&gt;79,"Baik",IF(AF298&gt;69,"Cukup",IF(AF298&gt;59,"Kurang","Sangat kurang")))))</f>
        <v/>
      </c>
      <c r="AJ298" t="str">
        <f t="shared" si="14"/>
        <v>Wk.4</v>
      </c>
      <c r="AK298" t="str">
        <f>IF(pub_gid_0_single_true_output_csv[[#This Row],[Nilai2]]="","",VLOOKUP(pub_gid_0_single_true_output_csv[[#This Row],[NAMA]],Table7[],3,FALSE))</f>
        <v>Average</v>
      </c>
    </row>
    <row r="299" spans="1:37" x14ac:dyDescent="0.2">
      <c r="A299">
        <v>298</v>
      </c>
      <c r="B299" t="s">
        <v>294</v>
      </c>
      <c r="C299" t="s">
        <v>54</v>
      </c>
      <c r="D299" t="s">
        <v>46</v>
      </c>
      <c r="E299" t="s">
        <v>148</v>
      </c>
      <c r="F299" s="25">
        <v>46041</v>
      </c>
      <c r="G299" t="s">
        <v>370</v>
      </c>
      <c r="H299" t="s">
        <v>405</v>
      </c>
      <c r="I299" t="s">
        <v>371</v>
      </c>
      <c r="J299" t="s">
        <v>31</v>
      </c>
      <c r="K299" t="s">
        <v>96</v>
      </c>
      <c r="L299" t="s">
        <v>321</v>
      </c>
      <c r="M299" t="s">
        <v>141</v>
      </c>
      <c r="N299" t="s">
        <v>142</v>
      </c>
      <c r="O299" t="s">
        <v>155</v>
      </c>
      <c r="P299" t="s">
        <v>281</v>
      </c>
      <c r="Q299" t="s">
        <v>155</v>
      </c>
      <c r="R299" t="s">
        <v>302</v>
      </c>
      <c r="S299" t="s">
        <v>309</v>
      </c>
      <c r="T299">
        <v>1</v>
      </c>
      <c r="U299" t="s">
        <v>409</v>
      </c>
      <c r="V299" t="s">
        <v>285</v>
      </c>
      <c r="W299" t="s">
        <v>410</v>
      </c>
      <c r="X299" t="s">
        <v>306</v>
      </c>
      <c r="Y299" t="s">
        <v>307</v>
      </c>
      <c r="Z299">
        <v>65</v>
      </c>
      <c r="AA299">
        <v>60</v>
      </c>
      <c r="AB299" t="s">
        <v>151</v>
      </c>
      <c r="AC299" t="s">
        <v>149</v>
      </c>
      <c r="AD299" t="s">
        <v>404</v>
      </c>
      <c r="AE299" t="str">
        <f>IF(AF299="","",VLOOKUP(AC299,mapel!$A$2:$B$42,2,FALSE))</f>
        <v>B.Indo</v>
      </c>
      <c r="AF299">
        <f t="shared" si="12"/>
        <v>60</v>
      </c>
      <c r="AG299" t="str">
        <f>IF(AF299="","",IF(AF299&gt;90,"Sangat baik",IF(AF299&gt;79,"Baik",IF(AF299&gt;=pub_gid_0_single_true_output_csv[[#This Row],[KKM]],"Cukup","Kurang"))))</f>
        <v>Kurang</v>
      </c>
      <c r="AH299">
        <f t="shared" si="13"/>
        <v>11</v>
      </c>
      <c r="AI299" s="30" t="str">
        <f>IF(OR(J299&lt;&gt;"Karakter",pub_gid_0_single_true_output_csv[[#This Row],[Nilai2]]=""),"",IF(AF299&gt;89,"Sangat baik",IF(AF299&gt;79,"Baik",IF(AF299&gt;69,"Cukup",IF(AF299&gt;59,"Kurang","Sangat kurang")))))</f>
        <v/>
      </c>
      <c r="AJ299" t="str">
        <f t="shared" si="14"/>
        <v>Wk.4</v>
      </c>
      <c r="AK299" t="str">
        <f>IF(pub_gid_0_single_true_output_csv[[#This Row],[Nilai2]]="","",VLOOKUP(pub_gid_0_single_true_output_csv[[#This Row],[NAMA]],Table7[],3,FALSE))</f>
        <v>Average</v>
      </c>
    </row>
    <row r="300" spans="1:37" x14ac:dyDescent="0.2">
      <c r="A300">
        <v>299</v>
      </c>
      <c r="B300" t="s">
        <v>294</v>
      </c>
      <c r="C300" t="s">
        <v>54</v>
      </c>
      <c r="D300" t="s">
        <v>46</v>
      </c>
      <c r="E300" t="s">
        <v>148</v>
      </c>
      <c r="F300" s="25">
        <v>46041</v>
      </c>
      <c r="G300" t="s">
        <v>370</v>
      </c>
      <c r="H300" t="s">
        <v>405</v>
      </c>
      <c r="I300" t="s">
        <v>371</v>
      </c>
      <c r="J300" t="s">
        <v>90</v>
      </c>
      <c r="K300" t="s">
        <v>92</v>
      </c>
      <c r="L300" t="s">
        <v>91</v>
      </c>
      <c r="M300" t="s">
        <v>141</v>
      </c>
      <c r="N300" t="s">
        <v>142</v>
      </c>
      <c r="O300" t="s">
        <v>155</v>
      </c>
      <c r="P300" t="s">
        <v>281</v>
      </c>
      <c r="Q300" t="s">
        <v>155</v>
      </c>
      <c r="R300" t="s">
        <v>302</v>
      </c>
      <c r="S300" t="s">
        <v>309</v>
      </c>
      <c r="T300">
        <v>1</v>
      </c>
      <c r="U300" t="s">
        <v>409</v>
      </c>
      <c r="V300" t="s">
        <v>285</v>
      </c>
      <c r="W300" t="s">
        <v>410</v>
      </c>
      <c r="X300" t="s">
        <v>306</v>
      </c>
      <c r="Y300" t="s">
        <v>307</v>
      </c>
      <c r="Z300">
        <v>65</v>
      </c>
      <c r="AA300">
        <v>69</v>
      </c>
      <c r="AB300" t="s">
        <v>143</v>
      </c>
      <c r="AC300" t="s">
        <v>149</v>
      </c>
      <c r="AD300" t="s">
        <v>404</v>
      </c>
      <c r="AE300" t="str">
        <f>IF(AF300="","",VLOOKUP(AC300,mapel!$A$2:$B$42,2,FALSE))</f>
        <v>B.Indo</v>
      </c>
      <c r="AF300">
        <f t="shared" si="12"/>
        <v>69</v>
      </c>
      <c r="AG300" t="str">
        <f>IF(AF300="","",IF(AF300&gt;90,"Sangat baik",IF(AF300&gt;79,"Baik",IF(AF300&gt;=pub_gid_0_single_true_output_csv[[#This Row],[KKM]],"Cukup","Kurang"))))</f>
        <v>Cukup</v>
      </c>
      <c r="AH300">
        <f t="shared" si="13"/>
        <v>11</v>
      </c>
      <c r="AI300" s="30" t="str">
        <f>IF(OR(J300&lt;&gt;"Karakter",pub_gid_0_single_true_output_csv[[#This Row],[Nilai2]]=""),"",IF(AF300&gt;89,"Sangat baik",IF(AF300&gt;79,"Baik",IF(AF300&gt;69,"Cukup",IF(AF300&gt;59,"Kurang","Sangat kurang")))))</f>
        <v>Kurang</v>
      </c>
      <c r="AJ300" t="str">
        <f t="shared" si="14"/>
        <v>Wk.4</v>
      </c>
      <c r="AK300" t="str">
        <f>IF(pub_gid_0_single_true_output_csv[[#This Row],[Nilai2]]="","",VLOOKUP(pub_gid_0_single_true_output_csv[[#This Row],[NAMA]],Table7[],3,FALSE))</f>
        <v>Average</v>
      </c>
    </row>
    <row r="301" spans="1:37" x14ac:dyDescent="0.2">
      <c r="A301">
        <v>300</v>
      </c>
      <c r="B301" t="s">
        <v>294</v>
      </c>
      <c r="C301" t="s">
        <v>54</v>
      </c>
      <c r="D301" t="s">
        <v>46</v>
      </c>
      <c r="E301" t="s">
        <v>148</v>
      </c>
      <c r="F301" s="25">
        <v>46041</v>
      </c>
      <c r="G301" t="s">
        <v>370</v>
      </c>
      <c r="H301" t="s">
        <v>405</v>
      </c>
      <c r="I301" t="s">
        <v>371</v>
      </c>
      <c r="J301" t="s">
        <v>279</v>
      </c>
      <c r="K301" t="s">
        <v>280</v>
      </c>
      <c r="L301" t="s">
        <v>322</v>
      </c>
      <c r="M301" t="s">
        <v>141</v>
      </c>
      <c r="N301" t="s">
        <v>142</v>
      </c>
      <c r="O301" t="s">
        <v>155</v>
      </c>
      <c r="P301" t="s">
        <v>281</v>
      </c>
      <c r="Q301" t="s">
        <v>155</v>
      </c>
      <c r="R301" t="s">
        <v>302</v>
      </c>
      <c r="S301" t="s">
        <v>309</v>
      </c>
      <c r="T301">
        <v>1</v>
      </c>
      <c r="U301" t="s">
        <v>409</v>
      </c>
      <c r="V301" t="s">
        <v>285</v>
      </c>
      <c r="W301" t="s">
        <v>410</v>
      </c>
      <c r="X301" t="s">
        <v>306</v>
      </c>
      <c r="Y301" t="s">
        <v>307</v>
      </c>
      <c r="Z301">
        <v>65</v>
      </c>
      <c r="AA301">
        <v>70</v>
      </c>
      <c r="AB301" t="s">
        <v>143</v>
      </c>
      <c r="AC301" t="s">
        <v>149</v>
      </c>
      <c r="AD301" t="s">
        <v>404</v>
      </c>
      <c r="AE301" t="str">
        <f>IF(AF301="","",VLOOKUP(AC301,mapel!$A$2:$B$42,2,FALSE))</f>
        <v>B.Indo</v>
      </c>
      <c r="AF301">
        <f t="shared" si="12"/>
        <v>70</v>
      </c>
      <c r="AG301" t="str">
        <f>IF(AF301="","",IF(AF301&gt;90,"Sangat baik",IF(AF301&gt;79,"Baik",IF(AF301&gt;=pub_gid_0_single_true_output_csv[[#This Row],[KKM]],"Cukup","Kurang"))))</f>
        <v>Cukup</v>
      </c>
      <c r="AH301">
        <f t="shared" si="13"/>
        <v>11</v>
      </c>
      <c r="AI301" s="30" t="str">
        <f>IF(OR(J301&lt;&gt;"Karakter",pub_gid_0_single_true_output_csv[[#This Row],[Nilai2]]=""),"",IF(AF301&gt;89,"Sangat baik",IF(AF301&gt;79,"Baik",IF(AF301&gt;69,"Cukup",IF(AF301&gt;59,"Kurang","Sangat kurang")))))</f>
        <v/>
      </c>
      <c r="AJ301" t="str">
        <f t="shared" si="14"/>
        <v>Wk.4</v>
      </c>
      <c r="AK301" t="str">
        <f>IF(pub_gid_0_single_true_output_csv[[#This Row],[Nilai2]]="","",VLOOKUP(pub_gid_0_single_true_output_csv[[#This Row],[NAMA]],Table7[],3,FALSE))</f>
        <v>Average</v>
      </c>
    </row>
    <row r="302" spans="1:37" x14ac:dyDescent="0.2">
      <c r="A302">
        <v>301</v>
      </c>
      <c r="B302" t="s">
        <v>294</v>
      </c>
      <c r="C302" t="s">
        <v>54</v>
      </c>
      <c r="D302" t="s">
        <v>46</v>
      </c>
      <c r="E302" t="s">
        <v>148</v>
      </c>
      <c r="F302" s="25">
        <v>46048</v>
      </c>
      <c r="G302" t="s">
        <v>371</v>
      </c>
      <c r="H302" t="s">
        <v>405</v>
      </c>
      <c r="I302" t="s">
        <v>371</v>
      </c>
      <c r="J302" t="s">
        <v>36</v>
      </c>
      <c r="K302" t="s">
        <v>37</v>
      </c>
      <c r="L302" t="s">
        <v>351</v>
      </c>
      <c r="M302" t="s">
        <v>141</v>
      </c>
      <c r="N302" t="s">
        <v>142</v>
      </c>
      <c r="O302" t="s">
        <v>155</v>
      </c>
      <c r="P302" t="s">
        <v>281</v>
      </c>
      <c r="Q302" t="s">
        <v>155</v>
      </c>
      <c r="R302" t="s">
        <v>302</v>
      </c>
      <c r="S302" t="s">
        <v>369</v>
      </c>
      <c r="T302">
        <v>1</v>
      </c>
      <c r="U302" t="s">
        <v>409</v>
      </c>
      <c r="V302" t="s">
        <v>342</v>
      </c>
      <c r="W302" t="s">
        <v>411</v>
      </c>
      <c r="X302" t="s">
        <v>306</v>
      </c>
      <c r="Y302" t="s">
        <v>307</v>
      </c>
      <c r="Z302">
        <v>65</v>
      </c>
      <c r="AA302">
        <v>65</v>
      </c>
      <c r="AB302" t="s">
        <v>143</v>
      </c>
      <c r="AC302" t="s">
        <v>149</v>
      </c>
      <c r="AD302" t="s">
        <v>404</v>
      </c>
      <c r="AE302" t="str">
        <f>IF(AF302="","",VLOOKUP(AC302,mapel!$A$2:$B$42,2,FALSE))</f>
        <v>B.Indo</v>
      </c>
      <c r="AF302">
        <f t="shared" si="12"/>
        <v>65</v>
      </c>
      <c r="AG302" t="str">
        <f>IF(AF302="","",IF(AF302&gt;90,"Sangat baik",IF(AF302&gt;79,"Baik",IF(AF302&gt;=pub_gid_0_single_true_output_csv[[#This Row],[KKM]],"Cukup","Kurang"))))</f>
        <v>Cukup</v>
      </c>
      <c r="AH302">
        <f t="shared" si="13"/>
        <v>11</v>
      </c>
      <c r="AI302" s="30" t="str">
        <f>IF(OR(J302&lt;&gt;"Karakter",pub_gid_0_single_true_output_csv[[#This Row],[Nilai2]]=""),"",IF(AF302&gt;89,"Sangat baik",IF(AF302&gt;79,"Baik",IF(AF302&gt;69,"Cukup",IF(AF302&gt;59,"Kurang","Sangat kurang")))))</f>
        <v/>
      </c>
      <c r="AJ302" t="str">
        <f t="shared" si="14"/>
        <v>Wk.5</v>
      </c>
      <c r="AK302" t="str">
        <f>IF(pub_gid_0_single_true_output_csv[[#This Row],[Nilai2]]="","",VLOOKUP(pub_gid_0_single_true_output_csv[[#This Row],[NAMA]],Table7[],3,FALSE))</f>
        <v>Average</v>
      </c>
    </row>
    <row r="303" spans="1:37" x14ac:dyDescent="0.2">
      <c r="A303">
        <v>302</v>
      </c>
      <c r="B303" t="s">
        <v>294</v>
      </c>
      <c r="C303" t="s">
        <v>54</v>
      </c>
      <c r="D303" t="s">
        <v>46</v>
      </c>
      <c r="E303" t="s">
        <v>148</v>
      </c>
      <c r="F303" s="25">
        <v>46048</v>
      </c>
      <c r="G303" t="s">
        <v>371</v>
      </c>
      <c r="H303" t="s">
        <v>405</v>
      </c>
      <c r="I303" t="s">
        <v>371</v>
      </c>
      <c r="J303" t="s">
        <v>31</v>
      </c>
      <c r="K303" t="s">
        <v>96</v>
      </c>
      <c r="L303" t="s">
        <v>351</v>
      </c>
      <c r="M303" t="s">
        <v>141</v>
      </c>
      <c r="N303" t="s">
        <v>142</v>
      </c>
      <c r="O303" t="s">
        <v>155</v>
      </c>
      <c r="P303" t="s">
        <v>281</v>
      </c>
      <c r="Q303" t="s">
        <v>155</v>
      </c>
      <c r="R303" t="s">
        <v>302</v>
      </c>
      <c r="S303" t="s">
        <v>369</v>
      </c>
      <c r="T303">
        <v>1</v>
      </c>
      <c r="U303" t="s">
        <v>409</v>
      </c>
      <c r="V303" t="s">
        <v>342</v>
      </c>
      <c r="W303" t="s">
        <v>411</v>
      </c>
      <c r="X303" t="s">
        <v>306</v>
      </c>
      <c r="Y303" t="s">
        <v>307</v>
      </c>
      <c r="Z303">
        <v>65</v>
      </c>
      <c r="AA303">
        <v>60</v>
      </c>
      <c r="AB303" t="s">
        <v>151</v>
      </c>
      <c r="AC303" t="s">
        <v>149</v>
      </c>
      <c r="AD303" t="s">
        <v>404</v>
      </c>
      <c r="AE303" t="str">
        <f>IF(AF303="","",VLOOKUP(AC303,mapel!$A$2:$B$42,2,FALSE))</f>
        <v>B.Indo</v>
      </c>
      <c r="AF303">
        <f t="shared" si="12"/>
        <v>60</v>
      </c>
      <c r="AG303" t="str">
        <f>IF(AF303="","",IF(AF303&gt;90,"Sangat baik",IF(AF303&gt;79,"Baik",IF(AF303&gt;=pub_gid_0_single_true_output_csv[[#This Row],[KKM]],"Cukup","Kurang"))))</f>
        <v>Kurang</v>
      </c>
      <c r="AH303">
        <f t="shared" si="13"/>
        <v>11</v>
      </c>
      <c r="AI303" s="30" t="str">
        <f>IF(OR(J303&lt;&gt;"Karakter",pub_gid_0_single_true_output_csv[[#This Row],[Nilai2]]=""),"",IF(AF303&gt;89,"Sangat baik",IF(AF303&gt;79,"Baik",IF(AF303&gt;69,"Cukup",IF(AF303&gt;59,"Kurang","Sangat kurang")))))</f>
        <v/>
      </c>
      <c r="AJ303" t="str">
        <f t="shared" si="14"/>
        <v>Wk.5</v>
      </c>
      <c r="AK303" t="str">
        <f>IF(pub_gid_0_single_true_output_csv[[#This Row],[Nilai2]]="","",VLOOKUP(pub_gid_0_single_true_output_csv[[#This Row],[NAMA]],Table7[],3,FALSE))</f>
        <v>Average</v>
      </c>
    </row>
    <row r="304" spans="1:37" x14ac:dyDescent="0.2">
      <c r="A304">
        <v>303</v>
      </c>
      <c r="B304" t="s">
        <v>294</v>
      </c>
      <c r="C304" t="s">
        <v>54</v>
      </c>
      <c r="D304" t="s">
        <v>46</v>
      </c>
      <c r="E304" t="s">
        <v>148</v>
      </c>
      <c r="F304" s="25">
        <v>46048</v>
      </c>
      <c r="G304" t="s">
        <v>371</v>
      </c>
      <c r="H304" t="s">
        <v>405</v>
      </c>
      <c r="I304" t="s">
        <v>371</v>
      </c>
      <c r="J304" t="s">
        <v>90</v>
      </c>
      <c r="K304" t="s">
        <v>92</v>
      </c>
      <c r="L304" t="s">
        <v>91</v>
      </c>
      <c r="M304" t="s">
        <v>141</v>
      </c>
      <c r="N304" t="s">
        <v>142</v>
      </c>
      <c r="O304" t="s">
        <v>155</v>
      </c>
      <c r="P304" t="s">
        <v>281</v>
      </c>
      <c r="Q304" t="s">
        <v>155</v>
      </c>
      <c r="R304" t="s">
        <v>302</v>
      </c>
      <c r="S304" t="s">
        <v>369</v>
      </c>
      <c r="T304">
        <v>1</v>
      </c>
      <c r="U304" t="s">
        <v>409</v>
      </c>
      <c r="V304" t="s">
        <v>342</v>
      </c>
      <c r="W304" t="s">
        <v>411</v>
      </c>
      <c r="X304" t="s">
        <v>306</v>
      </c>
      <c r="Y304" t="s">
        <v>307</v>
      </c>
      <c r="Z304">
        <v>65</v>
      </c>
      <c r="AA304">
        <v>70</v>
      </c>
      <c r="AB304" t="s">
        <v>143</v>
      </c>
      <c r="AC304" t="s">
        <v>149</v>
      </c>
      <c r="AD304" t="s">
        <v>404</v>
      </c>
      <c r="AE304" t="str">
        <f>IF(AF304="","",VLOOKUP(AC304,mapel!$A$2:$B$42,2,FALSE))</f>
        <v>B.Indo</v>
      </c>
      <c r="AF304">
        <f t="shared" si="12"/>
        <v>70</v>
      </c>
      <c r="AG304" t="str">
        <f>IF(AF304="","",IF(AF304&gt;90,"Sangat baik",IF(AF304&gt;79,"Baik",IF(AF304&gt;=pub_gid_0_single_true_output_csv[[#This Row],[KKM]],"Cukup","Kurang"))))</f>
        <v>Cukup</v>
      </c>
      <c r="AH304">
        <f t="shared" si="13"/>
        <v>11</v>
      </c>
      <c r="AI304" s="30" t="str">
        <f>IF(OR(J304&lt;&gt;"Karakter",pub_gid_0_single_true_output_csv[[#This Row],[Nilai2]]=""),"",IF(AF304&gt;89,"Sangat baik",IF(AF304&gt;79,"Baik",IF(AF304&gt;69,"Cukup",IF(AF304&gt;59,"Kurang","Sangat kurang")))))</f>
        <v>Cukup</v>
      </c>
      <c r="AJ304" t="str">
        <f t="shared" si="14"/>
        <v>Wk.5</v>
      </c>
      <c r="AK304" t="str">
        <f>IF(pub_gid_0_single_true_output_csv[[#This Row],[Nilai2]]="","",VLOOKUP(pub_gid_0_single_true_output_csv[[#This Row],[NAMA]],Table7[],3,FALSE))</f>
        <v>Average</v>
      </c>
    </row>
    <row r="305" spans="1:37" x14ac:dyDescent="0.2">
      <c r="A305">
        <v>304</v>
      </c>
      <c r="B305" t="s">
        <v>294</v>
      </c>
      <c r="C305" t="s">
        <v>54</v>
      </c>
      <c r="D305" t="s">
        <v>46</v>
      </c>
      <c r="E305" t="s">
        <v>148</v>
      </c>
      <c r="F305" s="25">
        <v>46048</v>
      </c>
      <c r="G305" t="s">
        <v>371</v>
      </c>
      <c r="H305" t="s">
        <v>405</v>
      </c>
      <c r="I305" t="s">
        <v>371</v>
      </c>
      <c r="J305" t="s">
        <v>279</v>
      </c>
      <c r="K305" t="s">
        <v>280</v>
      </c>
      <c r="L305" t="s">
        <v>322</v>
      </c>
      <c r="M305" t="s">
        <v>141</v>
      </c>
      <c r="N305" t="s">
        <v>142</v>
      </c>
      <c r="O305" t="s">
        <v>155</v>
      </c>
      <c r="P305" t="s">
        <v>281</v>
      </c>
      <c r="Q305" t="s">
        <v>155</v>
      </c>
      <c r="R305" t="s">
        <v>302</v>
      </c>
      <c r="S305" t="s">
        <v>369</v>
      </c>
      <c r="T305">
        <v>1</v>
      </c>
      <c r="U305" t="s">
        <v>409</v>
      </c>
      <c r="V305" t="s">
        <v>342</v>
      </c>
      <c r="W305" t="s">
        <v>411</v>
      </c>
      <c r="X305" t="s">
        <v>306</v>
      </c>
      <c r="Y305" t="s">
        <v>307</v>
      </c>
      <c r="Z305">
        <v>65</v>
      </c>
      <c r="AA305">
        <v>65</v>
      </c>
      <c r="AB305" t="s">
        <v>143</v>
      </c>
      <c r="AC305" t="s">
        <v>149</v>
      </c>
      <c r="AD305" t="s">
        <v>404</v>
      </c>
      <c r="AE305" t="str">
        <f>IF(AF305="","",VLOOKUP(AC305,mapel!$A$2:$B$42,2,FALSE))</f>
        <v>B.Indo</v>
      </c>
      <c r="AF305">
        <f t="shared" si="12"/>
        <v>65</v>
      </c>
      <c r="AG305" t="str">
        <f>IF(AF305="","",IF(AF305&gt;90,"Sangat baik",IF(AF305&gt;79,"Baik",IF(AF305&gt;=pub_gid_0_single_true_output_csv[[#This Row],[KKM]],"Cukup","Kurang"))))</f>
        <v>Cukup</v>
      </c>
      <c r="AH305">
        <f t="shared" si="13"/>
        <v>11</v>
      </c>
      <c r="AI305" s="30" t="str">
        <f>IF(OR(J305&lt;&gt;"Karakter",pub_gid_0_single_true_output_csv[[#This Row],[Nilai2]]=""),"",IF(AF305&gt;89,"Sangat baik",IF(AF305&gt;79,"Baik",IF(AF305&gt;69,"Cukup",IF(AF305&gt;59,"Kurang","Sangat kurang")))))</f>
        <v/>
      </c>
      <c r="AJ305" t="str">
        <f t="shared" si="14"/>
        <v>Wk.5</v>
      </c>
      <c r="AK305" t="str">
        <f>IF(pub_gid_0_single_true_output_csv[[#This Row],[Nilai2]]="","",VLOOKUP(pub_gid_0_single_true_output_csv[[#This Row],[NAMA]],Table7[],3,FALSE))</f>
        <v>Average</v>
      </c>
    </row>
    <row r="306" spans="1:37" x14ac:dyDescent="0.2">
      <c r="A306">
        <v>305</v>
      </c>
      <c r="B306" t="s">
        <v>294</v>
      </c>
      <c r="C306" t="s">
        <v>54</v>
      </c>
      <c r="D306" t="s">
        <v>46</v>
      </c>
      <c r="E306" t="s">
        <v>148</v>
      </c>
      <c r="F306" s="25">
        <v>46049</v>
      </c>
      <c r="G306" t="s">
        <v>373</v>
      </c>
      <c r="H306" t="s">
        <v>405</v>
      </c>
      <c r="I306" t="s">
        <v>371</v>
      </c>
      <c r="J306" t="s">
        <v>36</v>
      </c>
      <c r="K306" t="s">
        <v>37</v>
      </c>
      <c r="L306" t="s">
        <v>321</v>
      </c>
      <c r="M306" t="s">
        <v>141</v>
      </c>
      <c r="N306" t="s">
        <v>142</v>
      </c>
      <c r="O306" t="s">
        <v>155</v>
      </c>
      <c r="P306" t="s">
        <v>281</v>
      </c>
      <c r="Q306" t="s">
        <v>155</v>
      </c>
      <c r="R306" t="s">
        <v>302</v>
      </c>
      <c r="S306" t="s">
        <v>369</v>
      </c>
      <c r="T306">
        <v>1</v>
      </c>
      <c r="U306" t="s">
        <v>409</v>
      </c>
      <c r="V306" t="s">
        <v>342</v>
      </c>
      <c r="W306" t="s">
        <v>411</v>
      </c>
      <c r="X306" t="s">
        <v>306</v>
      </c>
      <c r="Y306" t="s">
        <v>307</v>
      </c>
      <c r="Z306">
        <v>65</v>
      </c>
      <c r="AA306">
        <v>50</v>
      </c>
      <c r="AB306" t="s">
        <v>151</v>
      </c>
      <c r="AC306" t="s">
        <v>149</v>
      </c>
      <c r="AD306" t="s">
        <v>404</v>
      </c>
      <c r="AE306" t="str">
        <f>IF(AF306="","",VLOOKUP(AC306,mapel!$A$2:$B$42,2,FALSE))</f>
        <v>B.Indo</v>
      </c>
      <c r="AF306">
        <f t="shared" si="12"/>
        <v>50</v>
      </c>
      <c r="AG306" t="str">
        <f>IF(AF306="","",IF(AF306&gt;90,"Sangat baik",IF(AF306&gt;79,"Baik",IF(AF306&gt;=pub_gid_0_single_true_output_csv[[#This Row],[KKM]],"Cukup","Kurang"))))</f>
        <v>Kurang</v>
      </c>
      <c r="AH306">
        <f t="shared" si="13"/>
        <v>11</v>
      </c>
      <c r="AI306" s="30" t="str">
        <f>IF(OR(J306&lt;&gt;"Karakter",pub_gid_0_single_true_output_csv[[#This Row],[Nilai2]]=""),"",IF(AF306&gt;89,"Sangat baik",IF(AF306&gt;79,"Baik",IF(AF306&gt;69,"Cukup",IF(AF306&gt;59,"Kurang","Sangat kurang")))))</f>
        <v/>
      </c>
      <c r="AJ306" t="str">
        <f t="shared" si="14"/>
        <v>Wk.5</v>
      </c>
      <c r="AK306" t="str">
        <f>IF(pub_gid_0_single_true_output_csv[[#This Row],[Nilai2]]="","",VLOOKUP(pub_gid_0_single_true_output_csv[[#This Row],[NAMA]],Table7[],3,FALSE))</f>
        <v>Average</v>
      </c>
    </row>
    <row r="307" spans="1:37" x14ac:dyDescent="0.2">
      <c r="A307">
        <v>306</v>
      </c>
      <c r="B307" t="s">
        <v>294</v>
      </c>
      <c r="C307" t="s">
        <v>54</v>
      </c>
      <c r="D307" t="s">
        <v>46</v>
      </c>
      <c r="E307" t="s">
        <v>148</v>
      </c>
      <c r="F307" s="25">
        <v>46049</v>
      </c>
      <c r="G307" t="s">
        <v>373</v>
      </c>
      <c r="H307" t="s">
        <v>405</v>
      </c>
      <c r="I307" t="s">
        <v>371</v>
      </c>
      <c r="J307" t="s">
        <v>31</v>
      </c>
      <c r="K307" t="s">
        <v>96</v>
      </c>
      <c r="L307" t="s">
        <v>321</v>
      </c>
      <c r="M307" t="s">
        <v>141</v>
      </c>
      <c r="N307" t="s">
        <v>142</v>
      </c>
      <c r="O307" t="s">
        <v>155</v>
      </c>
      <c r="P307" t="s">
        <v>281</v>
      </c>
      <c r="Q307" t="s">
        <v>155</v>
      </c>
      <c r="R307" t="s">
        <v>302</v>
      </c>
      <c r="S307" t="s">
        <v>369</v>
      </c>
      <c r="T307">
        <v>1</v>
      </c>
      <c r="U307" t="s">
        <v>409</v>
      </c>
      <c r="V307" t="s">
        <v>342</v>
      </c>
      <c r="W307" t="s">
        <v>411</v>
      </c>
      <c r="X307" t="s">
        <v>306</v>
      </c>
      <c r="Y307" t="s">
        <v>307</v>
      </c>
      <c r="Z307">
        <v>65</v>
      </c>
      <c r="AA307">
        <v>55</v>
      </c>
      <c r="AB307" t="s">
        <v>151</v>
      </c>
      <c r="AC307" t="s">
        <v>149</v>
      </c>
      <c r="AD307" t="s">
        <v>404</v>
      </c>
      <c r="AE307" t="str">
        <f>IF(AF307="","",VLOOKUP(AC307,mapel!$A$2:$B$42,2,FALSE))</f>
        <v>B.Indo</v>
      </c>
      <c r="AF307">
        <f t="shared" si="12"/>
        <v>55</v>
      </c>
      <c r="AG307" t="str">
        <f>IF(AF307="","",IF(AF307&gt;90,"Sangat baik",IF(AF307&gt;79,"Baik",IF(AF307&gt;=pub_gid_0_single_true_output_csv[[#This Row],[KKM]],"Cukup","Kurang"))))</f>
        <v>Kurang</v>
      </c>
      <c r="AH307">
        <f t="shared" si="13"/>
        <v>11</v>
      </c>
      <c r="AI307" s="30" t="str">
        <f>IF(OR(J307&lt;&gt;"Karakter",pub_gid_0_single_true_output_csv[[#This Row],[Nilai2]]=""),"",IF(AF307&gt;89,"Sangat baik",IF(AF307&gt;79,"Baik",IF(AF307&gt;69,"Cukup",IF(AF307&gt;59,"Kurang","Sangat kurang")))))</f>
        <v/>
      </c>
      <c r="AJ307" t="str">
        <f t="shared" si="14"/>
        <v>Wk.5</v>
      </c>
      <c r="AK307" t="str">
        <f>IF(pub_gid_0_single_true_output_csv[[#This Row],[Nilai2]]="","",VLOOKUP(pub_gid_0_single_true_output_csv[[#This Row],[NAMA]],Table7[],3,FALSE))</f>
        <v>Average</v>
      </c>
    </row>
    <row r="308" spans="1:37" x14ac:dyDescent="0.2">
      <c r="A308">
        <v>307</v>
      </c>
      <c r="B308" t="s">
        <v>294</v>
      </c>
      <c r="C308" t="s">
        <v>54</v>
      </c>
      <c r="D308" t="s">
        <v>46</v>
      </c>
      <c r="E308" t="s">
        <v>148</v>
      </c>
      <c r="F308" s="25">
        <v>46049</v>
      </c>
      <c r="G308" t="s">
        <v>373</v>
      </c>
      <c r="H308" t="s">
        <v>405</v>
      </c>
      <c r="I308" t="s">
        <v>371</v>
      </c>
      <c r="J308" t="s">
        <v>90</v>
      </c>
      <c r="K308" t="s">
        <v>92</v>
      </c>
      <c r="L308" t="s">
        <v>93</v>
      </c>
      <c r="M308" t="s">
        <v>141</v>
      </c>
      <c r="N308" t="s">
        <v>142</v>
      </c>
      <c r="O308" t="s">
        <v>155</v>
      </c>
      <c r="P308" t="s">
        <v>281</v>
      </c>
      <c r="Q308" t="s">
        <v>155</v>
      </c>
      <c r="R308" t="s">
        <v>302</v>
      </c>
      <c r="S308" t="s">
        <v>369</v>
      </c>
      <c r="T308">
        <v>1</v>
      </c>
      <c r="U308" t="s">
        <v>409</v>
      </c>
      <c r="V308" t="s">
        <v>342</v>
      </c>
      <c r="W308" t="s">
        <v>411</v>
      </c>
      <c r="X308" t="s">
        <v>306</v>
      </c>
      <c r="Y308" t="s">
        <v>307</v>
      </c>
      <c r="Z308">
        <v>65</v>
      </c>
      <c r="AA308">
        <v>70</v>
      </c>
      <c r="AB308" t="s">
        <v>143</v>
      </c>
      <c r="AC308" t="s">
        <v>149</v>
      </c>
      <c r="AD308" t="s">
        <v>404</v>
      </c>
      <c r="AE308" t="str">
        <f>IF(AF308="","",VLOOKUP(AC308,mapel!$A$2:$B$42,2,FALSE))</f>
        <v>B.Indo</v>
      </c>
      <c r="AF308">
        <f t="shared" si="12"/>
        <v>70</v>
      </c>
      <c r="AG308" t="str">
        <f>IF(AF308="","",IF(AF308&gt;90,"Sangat baik",IF(AF308&gt;79,"Baik",IF(AF308&gt;=pub_gid_0_single_true_output_csv[[#This Row],[KKM]],"Cukup","Kurang"))))</f>
        <v>Cukup</v>
      </c>
      <c r="AH308">
        <f t="shared" si="13"/>
        <v>11</v>
      </c>
      <c r="AI308" s="30" t="str">
        <f>IF(OR(J308&lt;&gt;"Karakter",pub_gid_0_single_true_output_csv[[#This Row],[Nilai2]]=""),"",IF(AF308&gt;89,"Sangat baik",IF(AF308&gt;79,"Baik",IF(AF308&gt;69,"Cukup",IF(AF308&gt;59,"Kurang","Sangat kurang")))))</f>
        <v>Cukup</v>
      </c>
      <c r="AJ308" t="str">
        <f t="shared" si="14"/>
        <v>Wk.5</v>
      </c>
      <c r="AK308" t="str">
        <f>IF(pub_gid_0_single_true_output_csv[[#This Row],[Nilai2]]="","",VLOOKUP(pub_gid_0_single_true_output_csv[[#This Row],[NAMA]],Table7[],3,FALSE))</f>
        <v>Average</v>
      </c>
    </row>
    <row r="309" spans="1:37" x14ac:dyDescent="0.2">
      <c r="A309">
        <v>308</v>
      </c>
      <c r="B309" t="s">
        <v>294</v>
      </c>
      <c r="C309" t="s">
        <v>54</v>
      </c>
      <c r="D309" t="s">
        <v>46</v>
      </c>
      <c r="E309" t="s">
        <v>148</v>
      </c>
      <c r="F309" s="25">
        <v>46049</v>
      </c>
      <c r="G309" t="s">
        <v>373</v>
      </c>
      <c r="H309" t="s">
        <v>405</v>
      </c>
      <c r="I309" t="s">
        <v>371</v>
      </c>
      <c r="J309" t="s">
        <v>279</v>
      </c>
      <c r="K309" t="s">
        <v>280</v>
      </c>
      <c r="L309" t="s">
        <v>322</v>
      </c>
      <c r="M309" t="s">
        <v>141</v>
      </c>
      <c r="N309" t="s">
        <v>142</v>
      </c>
      <c r="O309" t="s">
        <v>155</v>
      </c>
      <c r="P309" t="s">
        <v>281</v>
      </c>
      <c r="Q309" t="s">
        <v>155</v>
      </c>
      <c r="R309" t="s">
        <v>302</v>
      </c>
      <c r="S309" t="s">
        <v>369</v>
      </c>
      <c r="T309">
        <v>1</v>
      </c>
      <c r="U309" t="s">
        <v>409</v>
      </c>
      <c r="V309" t="s">
        <v>342</v>
      </c>
      <c r="W309" t="s">
        <v>411</v>
      </c>
      <c r="X309" t="s">
        <v>306</v>
      </c>
      <c r="Y309" t="s">
        <v>307</v>
      </c>
      <c r="Z309">
        <v>65</v>
      </c>
      <c r="AA309">
        <v>69</v>
      </c>
      <c r="AB309" t="s">
        <v>143</v>
      </c>
      <c r="AC309" t="s">
        <v>149</v>
      </c>
      <c r="AD309" t="s">
        <v>404</v>
      </c>
      <c r="AE309" t="str">
        <f>IF(AF309="","",VLOOKUP(AC309,mapel!$A$2:$B$42,2,FALSE))</f>
        <v>B.Indo</v>
      </c>
      <c r="AF309">
        <f t="shared" si="12"/>
        <v>69</v>
      </c>
      <c r="AG309" t="str">
        <f>IF(AF309="","",IF(AF309&gt;90,"Sangat baik",IF(AF309&gt;79,"Baik",IF(AF309&gt;=pub_gid_0_single_true_output_csv[[#This Row],[KKM]],"Cukup","Kurang"))))</f>
        <v>Cukup</v>
      </c>
      <c r="AH309">
        <f t="shared" si="13"/>
        <v>11</v>
      </c>
      <c r="AI309" s="30" t="str">
        <f>IF(OR(J309&lt;&gt;"Karakter",pub_gid_0_single_true_output_csv[[#This Row],[Nilai2]]=""),"",IF(AF309&gt;89,"Sangat baik",IF(AF309&gt;79,"Baik",IF(AF309&gt;69,"Cukup",IF(AF309&gt;59,"Kurang","Sangat kurang")))))</f>
        <v/>
      </c>
      <c r="AJ309" t="str">
        <f t="shared" si="14"/>
        <v>Wk.5</v>
      </c>
      <c r="AK309" t="str">
        <f>IF(pub_gid_0_single_true_output_csv[[#This Row],[Nilai2]]="","",VLOOKUP(pub_gid_0_single_true_output_csv[[#This Row],[NAMA]],Table7[],3,FALSE))</f>
        <v>Average</v>
      </c>
    </row>
    <row r="310" spans="1:37" x14ac:dyDescent="0.2">
      <c r="A310">
        <v>309</v>
      </c>
      <c r="B310" t="s">
        <v>294</v>
      </c>
      <c r="C310" t="s">
        <v>54</v>
      </c>
      <c r="D310" t="s">
        <v>46</v>
      </c>
      <c r="E310" t="s">
        <v>148</v>
      </c>
      <c r="F310" s="25">
        <v>46055</v>
      </c>
      <c r="G310" t="s">
        <v>379</v>
      </c>
      <c r="H310" t="s">
        <v>412</v>
      </c>
      <c r="I310" t="s">
        <v>371</v>
      </c>
      <c r="J310" t="s">
        <v>36</v>
      </c>
      <c r="K310" t="s">
        <v>37</v>
      </c>
      <c r="L310" t="s">
        <v>150</v>
      </c>
      <c r="M310" t="s">
        <v>141</v>
      </c>
      <c r="N310" t="s">
        <v>142</v>
      </c>
      <c r="O310" t="s">
        <v>155</v>
      </c>
      <c r="P310" t="s">
        <v>281</v>
      </c>
      <c r="Q310" t="s">
        <v>155</v>
      </c>
      <c r="R310" t="s">
        <v>302</v>
      </c>
      <c r="S310" t="s">
        <v>345</v>
      </c>
      <c r="T310">
        <v>1</v>
      </c>
      <c r="U310" t="s">
        <v>409</v>
      </c>
      <c r="V310" t="s">
        <v>343</v>
      </c>
      <c r="W310" t="s">
        <v>413</v>
      </c>
      <c r="X310" t="s">
        <v>306</v>
      </c>
      <c r="Y310" t="s">
        <v>307</v>
      </c>
      <c r="Z310">
        <v>65</v>
      </c>
      <c r="AA310">
        <v>65</v>
      </c>
      <c r="AB310" t="s">
        <v>143</v>
      </c>
      <c r="AC310" t="s">
        <v>149</v>
      </c>
      <c r="AD310" t="s">
        <v>404</v>
      </c>
      <c r="AE310" t="str">
        <f>IF(AF310="","",VLOOKUP(AC310,mapel!$A$2:$B$42,2,FALSE))</f>
        <v>B.Indo</v>
      </c>
      <c r="AF310">
        <f t="shared" si="12"/>
        <v>65</v>
      </c>
      <c r="AG310" t="str">
        <f>IF(AF310="","",IF(AF310&gt;90,"Sangat baik",IF(AF310&gt;79,"Baik",IF(AF310&gt;=pub_gid_0_single_true_output_csv[[#This Row],[KKM]],"Cukup","Kurang"))))</f>
        <v>Cukup</v>
      </c>
      <c r="AH310">
        <f t="shared" si="13"/>
        <v>11</v>
      </c>
      <c r="AI310" s="30" t="str">
        <f>IF(OR(J310&lt;&gt;"Karakter",pub_gid_0_single_true_output_csv[[#This Row],[Nilai2]]=""),"",IF(AF310&gt;89,"Sangat baik",IF(AF310&gt;79,"Baik",IF(AF310&gt;69,"Cukup",IF(AF310&gt;59,"Kurang","Sangat kurang")))))</f>
        <v/>
      </c>
      <c r="AJ310" t="str">
        <f t="shared" si="14"/>
        <v>Wk.6</v>
      </c>
      <c r="AK310" t="str">
        <f>IF(pub_gid_0_single_true_output_csv[[#This Row],[Nilai2]]="","",VLOOKUP(pub_gid_0_single_true_output_csv[[#This Row],[NAMA]],Table7[],3,FALSE))</f>
        <v>Average</v>
      </c>
    </row>
    <row r="311" spans="1:37" x14ac:dyDescent="0.2">
      <c r="A311">
        <v>310</v>
      </c>
      <c r="B311" t="s">
        <v>294</v>
      </c>
      <c r="C311" t="s">
        <v>54</v>
      </c>
      <c r="D311" t="s">
        <v>46</v>
      </c>
      <c r="E311" t="s">
        <v>148</v>
      </c>
      <c r="F311" s="25">
        <v>46055</v>
      </c>
      <c r="G311" t="s">
        <v>379</v>
      </c>
      <c r="H311" t="s">
        <v>412</v>
      </c>
      <c r="I311" t="s">
        <v>371</v>
      </c>
      <c r="J311" t="s">
        <v>31</v>
      </c>
      <c r="K311" t="s">
        <v>96</v>
      </c>
      <c r="L311" t="s">
        <v>150</v>
      </c>
      <c r="M311" t="s">
        <v>141</v>
      </c>
      <c r="N311" t="s">
        <v>142</v>
      </c>
      <c r="O311" t="s">
        <v>155</v>
      </c>
      <c r="P311" t="s">
        <v>281</v>
      </c>
      <c r="Q311" t="s">
        <v>155</v>
      </c>
      <c r="R311" t="s">
        <v>302</v>
      </c>
      <c r="S311" t="s">
        <v>345</v>
      </c>
      <c r="T311">
        <v>1</v>
      </c>
      <c r="U311" t="s">
        <v>409</v>
      </c>
      <c r="V311" t="s">
        <v>343</v>
      </c>
      <c r="W311" t="s">
        <v>413</v>
      </c>
      <c r="X311" t="s">
        <v>306</v>
      </c>
      <c r="Y311" t="s">
        <v>307</v>
      </c>
      <c r="Z311">
        <v>65</v>
      </c>
      <c r="AA311">
        <v>65</v>
      </c>
      <c r="AB311" t="s">
        <v>143</v>
      </c>
      <c r="AC311" t="s">
        <v>149</v>
      </c>
      <c r="AD311" t="s">
        <v>404</v>
      </c>
      <c r="AE311" t="str">
        <f>IF(AF311="","",VLOOKUP(AC311,mapel!$A$2:$B$42,2,FALSE))</f>
        <v>B.Indo</v>
      </c>
      <c r="AF311">
        <f t="shared" si="12"/>
        <v>65</v>
      </c>
      <c r="AG311" t="str">
        <f>IF(AF311="","",IF(AF311&gt;90,"Sangat baik",IF(AF311&gt;79,"Baik",IF(AF311&gt;=pub_gid_0_single_true_output_csv[[#This Row],[KKM]],"Cukup","Kurang"))))</f>
        <v>Cukup</v>
      </c>
      <c r="AH311">
        <f t="shared" si="13"/>
        <v>11</v>
      </c>
      <c r="AI311" s="30" t="str">
        <f>IF(OR(J311&lt;&gt;"Karakter",pub_gid_0_single_true_output_csv[[#This Row],[Nilai2]]=""),"",IF(AF311&gt;89,"Sangat baik",IF(AF311&gt;79,"Baik",IF(AF311&gt;69,"Cukup",IF(AF311&gt;59,"Kurang","Sangat kurang")))))</f>
        <v/>
      </c>
      <c r="AJ311" t="str">
        <f t="shared" si="14"/>
        <v>Wk.6</v>
      </c>
      <c r="AK311" t="str">
        <f>IF(pub_gid_0_single_true_output_csv[[#This Row],[Nilai2]]="","",VLOOKUP(pub_gid_0_single_true_output_csv[[#This Row],[NAMA]],Table7[],3,FALSE))</f>
        <v>Average</v>
      </c>
    </row>
    <row r="312" spans="1:37" x14ac:dyDescent="0.2">
      <c r="A312">
        <v>311</v>
      </c>
      <c r="B312" t="s">
        <v>294</v>
      </c>
      <c r="C312" t="s">
        <v>54</v>
      </c>
      <c r="D312" t="s">
        <v>46</v>
      </c>
      <c r="E312" t="s">
        <v>148</v>
      </c>
      <c r="F312" s="25">
        <v>46055</v>
      </c>
      <c r="G312" t="s">
        <v>379</v>
      </c>
      <c r="H312" t="s">
        <v>412</v>
      </c>
      <c r="I312" t="s">
        <v>371</v>
      </c>
      <c r="J312" t="s">
        <v>90</v>
      </c>
      <c r="K312" t="s">
        <v>92</v>
      </c>
      <c r="L312" t="s">
        <v>91</v>
      </c>
      <c r="M312" t="s">
        <v>141</v>
      </c>
      <c r="N312" t="s">
        <v>142</v>
      </c>
      <c r="O312" t="s">
        <v>155</v>
      </c>
      <c r="P312" t="s">
        <v>281</v>
      </c>
      <c r="Q312" t="s">
        <v>155</v>
      </c>
      <c r="R312" t="s">
        <v>302</v>
      </c>
      <c r="S312" t="s">
        <v>345</v>
      </c>
      <c r="T312">
        <v>1</v>
      </c>
      <c r="U312" t="s">
        <v>409</v>
      </c>
      <c r="V312" t="s">
        <v>343</v>
      </c>
      <c r="W312" t="s">
        <v>413</v>
      </c>
      <c r="X312" t="s">
        <v>306</v>
      </c>
      <c r="Y312" t="s">
        <v>307</v>
      </c>
      <c r="Z312">
        <v>65</v>
      </c>
      <c r="AA312">
        <v>65</v>
      </c>
      <c r="AB312" t="s">
        <v>143</v>
      </c>
      <c r="AC312" t="s">
        <v>149</v>
      </c>
      <c r="AD312" t="s">
        <v>404</v>
      </c>
      <c r="AE312" t="str">
        <f>IF(AF312="","",VLOOKUP(AC312,mapel!$A$2:$B$42,2,FALSE))</f>
        <v>B.Indo</v>
      </c>
      <c r="AF312">
        <f t="shared" si="12"/>
        <v>65</v>
      </c>
      <c r="AG312" t="str">
        <f>IF(AF312="","",IF(AF312&gt;90,"Sangat baik",IF(AF312&gt;79,"Baik",IF(AF312&gt;=pub_gid_0_single_true_output_csv[[#This Row],[KKM]],"Cukup","Kurang"))))</f>
        <v>Cukup</v>
      </c>
      <c r="AH312">
        <f t="shared" si="13"/>
        <v>11</v>
      </c>
      <c r="AI312" s="30" t="str">
        <f>IF(OR(J312&lt;&gt;"Karakter",pub_gid_0_single_true_output_csv[[#This Row],[Nilai2]]=""),"",IF(AF312&gt;89,"Sangat baik",IF(AF312&gt;79,"Baik",IF(AF312&gt;69,"Cukup",IF(AF312&gt;59,"Kurang","Sangat kurang")))))</f>
        <v>Kurang</v>
      </c>
      <c r="AJ312" t="str">
        <f t="shared" si="14"/>
        <v>Wk.6</v>
      </c>
      <c r="AK312" t="str">
        <f>IF(pub_gid_0_single_true_output_csv[[#This Row],[Nilai2]]="","",VLOOKUP(pub_gid_0_single_true_output_csv[[#This Row],[NAMA]],Table7[],3,FALSE))</f>
        <v>Average</v>
      </c>
    </row>
    <row r="313" spans="1:37" x14ac:dyDescent="0.2">
      <c r="A313">
        <v>312</v>
      </c>
      <c r="B313" t="s">
        <v>294</v>
      </c>
      <c r="C313" t="s">
        <v>54</v>
      </c>
      <c r="D313" t="s">
        <v>46</v>
      </c>
      <c r="E313" t="s">
        <v>148</v>
      </c>
      <c r="F313" s="25">
        <v>46055</v>
      </c>
      <c r="G313" t="s">
        <v>379</v>
      </c>
      <c r="H313" t="s">
        <v>412</v>
      </c>
      <c r="I313" t="s">
        <v>371</v>
      </c>
      <c r="J313" t="s">
        <v>279</v>
      </c>
      <c r="K313" t="s">
        <v>280</v>
      </c>
      <c r="L313" t="s">
        <v>322</v>
      </c>
      <c r="M313" t="s">
        <v>141</v>
      </c>
      <c r="N313" t="s">
        <v>142</v>
      </c>
      <c r="O313" t="s">
        <v>155</v>
      </c>
      <c r="P313" t="s">
        <v>281</v>
      </c>
      <c r="Q313" t="s">
        <v>155</v>
      </c>
      <c r="R313" t="s">
        <v>302</v>
      </c>
      <c r="S313" t="s">
        <v>345</v>
      </c>
      <c r="T313">
        <v>1</v>
      </c>
      <c r="U313" t="s">
        <v>409</v>
      </c>
      <c r="V313" t="s">
        <v>343</v>
      </c>
      <c r="W313" t="s">
        <v>413</v>
      </c>
      <c r="X313" t="s">
        <v>306</v>
      </c>
      <c r="Y313" t="s">
        <v>307</v>
      </c>
      <c r="Z313">
        <v>65</v>
      </c>
      <c r="AA313">
        <v>70</v>
      </c>
      <c r="AB313" t="s">
        <v>143</v>
      </c>
      <c r="AC313" t="s">
        <v>149</v>
      </c>
      <c r="AD313" t="s">
        <v>404</v>
      </c>
      <c r="AE313" t="str">
        <f>IF(AF313="","",VLOOKUP(AC313,mapel!$A$2:$B$42,2,FALSE))</f>
        <v>B.Indo</v>
      </c>
      <c r="AF313">
        <f t="shared" si="12"/>
        <v>70</v>
      </c>
      <c r="AG313" t="str">
        <f>IF(AF313="","",IF(AF313&gt;90,"Sangat baik",IF(AF313&gt;79,"Baik",IF(AF313&gt;=pub_gid_0_single_true_output_csv[[#This Row],[KKM]],"Cukup","Kurang"))))</f>
        <v>Cukup</v>
      </c>
      <c r="AH313">
        <f t="shared" si="13"/>
        <v>11</v>
      </c>
      <c r="AI313" s="30" t="str">
        <f>IF(OR(J313&lt;&gt;"Karakter",pub_gid_0_single_true_output_csv[[#This Row],[Nilai2]]=""),"",IF(AF313&gt;89,"Sangat baik",IF(AF313&gt;79,"Baik",IF(AF313&gt;69,"Cukup",IF(AF313&gt;59,"Kurang","Sangat kurang")))))</f>
        <v/>
      </c>
      <c r="AJ313" t="str">
        <f t="shared" si="14"/>
        <v>Wk.6</v>
      </c>
      <c r="AK313" t="str">
        <f>IF(pub_gid_0_single_true_output_csv[[#This Row],[Nilai2]]="","",VLOOKUP(pub_gid_0_single_true_output_csv[[#This Row],[NAMA]],Table7[],3,FALSE))</f>
        <v>Average</v>
      </c>
    </row>
    <row r="314" spans="1:37" x14ac:dyDescent="0.2">
      <c r="A314">
        <v>313</v>
      </c>
      <c r="B314" t="s">
        <v>294</v>
      </c>
      <c r="C314" t="s">
        <v>54</v>
      </c>
      <c r="D314" t="s">
        <v>46</v>
      </c>
      <c r="E314" t="s">
        <v>148</v>
      </c>
      <c r="F314" s="25">
        <v>46062</v>
      </c>
      <c r="G314" t="s">
        <v>376</v>
      </c>
      <c r="H314" t="s">
        <v>412</v>
      </c>
      <c r="I314" t="s">
        <v>371</v>
      </c>
      <c r="J314" t="s">
        <v>36</v>
      </c>
      <c r="K314" t="s">
        <v>37</v>
      </c>
      <c r="L314" t="s">
        <v>351</v>
      </c>
      <c r="M314" t="s">
        <v>141</v>
      </c>
      <c r="N314" t="s">
        <v>142</v>
      </c>
      <c r="O314" t="s">
        <v>155</v>
      </c>
      <c r="P314" t="s">
        <v>281</v>
      </c>
      <c r="Q314" t="s">
        <v>155</v>
      </c>
      <c r="R314" t="s">
        <v>302</v>
      </c>
      <c r="S314" t="s">
        <v>345</v>
      </c>
      <c r="T314">
        <v>1</v>
      </c>
      <c r="U314" t="s">
        <v>409</v>
      </c>
      <c r="V314" t="s">
        <v>343</v>
      </c>
      <c r="W314" t="s">
        <v>413</v>
      </c>
      <c r="X314" t="s">
        <v>306</v>
      </c>
      <c r="Y314" t="s">
        <v>307</v>
      </c>
      <c r="Z314">
        <v>65</v>
      </c>
      <c r="AA314">
        <v>65</v>
      </c>
      <c r="AB314" t="s">
        <v>143</v>
      </c>
      <c r="AC314" t="s">
        <v>149</v>
      </c>
      <c r="AD314" t="s">
        <v>404</v>
      </c>
      <c r="AE314" t="str">
        <f>IF(AF314="","",VLOOKUP(AC314,mapel!$A$2:$B$42,2,FALSE))</f>
        <v>B.Indo</v>
      </c>
      <c r="AF314">
        <f t="shared" si="12"/>
        <v>65</v>
      </c>
      <c r="AG314" t="str">
        <f>IF(AF314="","",IF(AF314&gt;90,"Sangat baik",IF(AF314&gt;79,"Baik",IF(AF314&gt;=pub_gid_0_single_true_output_csv[[#This Row],[KKM]],"Cukup","Kurang"))))</f>
        <v>Cukup</v>
      </c>
      <c r="AH314">
        <f t="shared" si="13"/>
        <v>11</v>
      </c>
      <c r="AI314" s="30" t="str">
        <f>IF(OR(J314&lt;&gt;"Karakter",pub_gid_0_single_true_output_csv[[#This Row],[Nilai2]]=""),"",IF(AF314&gt;89,"Sangat baik",IF(AF314&gt;79,"Baik",IF(AF314&gt;69,"Cukup",IF(AF314&gt;59,"Kurang","Sangat kurang")))))</f>
        <v/>
      </c>
      <c r="AJ314" t="str">
        <f t="shared" si="14"/>
        <v>Wk.7</v>
      </c>
      <c r="AK314" t="str">
        <f>IF(pub_gid_0_single_true_output_csv[[#This Row],[Nilai2]]="","",VLOOKUP(pub_gid_0_single_true_output_csv[[#This Row],[NAMA]],Table7[],3,FALSE))</f>
        <v>Average</v>
      </c>
    </row>
    <row r="315" spans="1:37" x14ac:dyDescent="0.2">
      <c r="A315">
        <v>314</v>
      </c>
      <c r="B315" t="s">
        <v>294</v>
      </c>
      <c r="C315" t="s">
        <v>54</v>
      </c>
      <c r="D315" t="s">
        <v>46</v>
      </c>
      <c r="E315" t="s">
        <v>148</v>
      </c>
      <c r="F315" s="25">
        <v>46062</v>
      </c>
      <c r="G315" t="s">
        <v>376</v>
      </c>
      <c r="H315" t="s">
        <v>412</v>
      </c>
      <c r="I315" t="s">
        <v>371</v>
      </c>
      <c r="J315" t="s">
        <v>31</v>
      </c>
      <c r="K315" t="s">
        <v>96</v>
      </c>
      <c r="L315" t="s">
        <v>351</v>
      </c>
      <c r="M315" t="s">
        <v>141</v>
      </c>
      <c r="N315" t="s">
        <v>142</v>
      </c>
      <c r="O315" t="s">
        <v>155</v>
      </c>
      <c r="P315" t="s">
        <v>281</v>
      </c>
      <c r="Q315" t="s">
        <v>155</v>
      </c>
      <c r="R315" t="s">
        <v>302</v>
      </c>
      <c r="S315" t="s">
        <v>345</v>
      </c>
      <c r="T315">
        <v>1</v>
      </c>
      <c r="U315" t="s">
        <v>409</v>
      </c>
      <c r="V315" t="s">
        <v>343</v>
      </c>
      <c r="W315" t="s">
        <v>413</v>
      </c>
      <c r="X315" t="s">
        <v>306</v>
      </c>
      <c r="Y315" t="s">
        <v>307</v>
      </c>
      <c r="Z315">
        <v>65</v>
      </c>
      <c r="AA315">
        <v>65</v>
      </c>
      <c r="AB315" t="s">
        <v>143</v>
      </c>
      <c r="AC315" t="s">
        <v>149</v>
      </c>
      <c r="AD315" t="s">
        <v>404</v>
      </c>
      <c r="AE315" t="str">
        <f>IF(AF315="","",VLOOKUP(AC315,mapel!$A$2:$B$42,2,FALSE))</f>
        <v>B.Indo</v>
      </c>
      <c r="AF315">
        <f t="shared" si="12"/>
        <v>65</v>
      </c>
      <c r="AG315" t="str">
        <f>IF(AF315="","",IF(AF315&gt;90,"Sangat baik",IF(AF315&gt;79,"Baik",IF(AF315&gt;=pub_gid_0_single_true_output_csv[[#This Row],[KKM]],"Cukup","Kurang"))))</f>
        <v>Cukup</v>
      </c>
      <c r="AH315">
        <f t="shared" si="13"/>
        <v>11</v>
      </c>
      <c r="AI315" s="30" t="str">
        <f>IF(OR(J315&lt;&gt;"Karakter",pub_gid_0_single_true_output_csv[[#This Row],[Nilai2]]=""),"",IF(AF315&gt;89,"Sangat baik",IF(AF315&gt;79,"Baik",IF(AF315&gt;69,"Cukup",IF(AF315&gt;59,"Kurang","Sangat kurang")))))</f>
        <v/>
      </c>
      <c r="AJ315" t="str">
        <f t="shared" si="14"/>
        <v>Wk.7</v>
      </c>
      <c r="AK315" t="str">
        <f>IF(pub_gid_0_single_true_output_csv[[#This Row],[Nilai2]]="","",VLOOKUP(pub_gid_0_single_true_output_csv[[#This Row],[NAMA]],Table7[],3,FALSE))</f>
        <v>Average</v>
      </c>
    </row>
    <row r="316" spans="1:37" x14ac:dyDescent="0.2">
      <c r="A316">
        <v>315</v>
      </c>
      <c r="B316" t="s">
        <v>294</v>
      </c>
      <c r="C316" t="s">
        <v>54</v>
      </c>
      <c r="D316" t="s">
        <v>46</v>
      </c>
      <c r="E316" t="s">
        <v>148</v>
      </c>
      <c r="F316" s="25">
        <v>46069</v>
      </c>
      <c r="G316" t="s">
        <v>382</v>
      </c>
      <c r="H316" t="s">
        <v>412</v>
      </c>
      <c r="I316" t="s">
        <v>371</v>
      </c>
      <c r="J316" t="s">
        <v>36</v>
      </c>
      <c r="K316" t="s">
        <v>37</v>
      </c>
      <c r="L316" t="s">
        <v>351</v>
      </c>
      <c r="M316" t="s">
        <v>141</v>
      </c>
      <c r="N316" t="s">
        <v>142</v>
      </c>
      <c r="O316" t="s">
        <v>155</v>
      </c>
      <c r="P316" t="s">
        <v>281</v>
      </c>
      <c r="Q316" t="s">
        <v>155</v>
      </c>
      <c r="R316" t="s">
        <v>302</v>
      </c>
      <c r="S316" t="s">
        <v>345</v>
      </c>
      <c r="T316">
        <v>1</v>
      </c>
      <c r="U316" t="s">
        <v>409</v>
      </c>
      <c r="V316" t="s">
        <v>343</v>
      </c>
      <c r="W316" t="s">
        <v>413</v>
      </c>
      <c r="X316" t="s">
        <v>306</v>
      </c>
      <c r="Y316" t="s">
        <v>307</v>
      </c>
      <c r="Z316">
        <v>65</v>
      </c>
      <c r="AA316">
        <v>65</v>
      </c>
      <c r="AB316" t="s">
        <v>143</v>
      </c>
      <c r="AC316" t="s">
        <v>149</v>
      </c>
      <c r="AD316" t="s">
        <v>404</v>
      </c>
      <c r="AE316" t="str">
        <f>IF(AF316="","",VLOOKUP(AC316,mapel!$A$2:$B$42,2,FALSE))</f>
        <v>B.Indo</v>
      </c>
      <c r="AF316">
        <f t="shared" si="12"/>
        <v>65</v>
      </c>
      <c r="AG316" t="str">
        <f>IF(AF316="","",IF(AF316&gt;90,"Sangat baik",IF(AF316&gt;79,"Baik",IF(AF316&gt;=pub_gid_0_single_true_output_csv[[#This Row],[KKM]],"Cukup","Kurang"))))</f>
        <v>Cukup</v>
      </c>
      <c r="AH316">
        <f t="shared" si="13"/>
        <v>11</v>
      </c>
      <c r="AI316" s="30" t="str">
        <f>IF(OR(J316&lt;&gt;"Karakter",pub_gid_0_single_true_output_csv[[#This Row],[Nilai2]]=""),"",IF(AF316&gt;89,"Sangat baik",IF(AF316&gt;79,"Baik",IF(AF316&gt;69,"Cukup",IF(AF316&gt;59,"Kurang","Sangat kurang")))))</f>
        <v/>
      </c>
      <c r="AJ316" t="str">
        <f t="shared" si="14"/>
        <v>Wk.8</v>
      </c>
      <c r="AK316" t="str">
        <f>IF(pub_gid_0_single_true_output_csv[[#This Row],[Nilai2]]="","",VLOOKUP(pub_gid_0_single_true_output_csv[[#This Row],[NAMA]],Table7[],3,FALSE))</f>
        <v>Average</v>
      </c>
    </row>
    <row r="317" spans="1:37" x14ac:dyDescent="0.2">
      <c r="A317">
        <v>316</v>
      </c>
      <c r="B317" t="s">
        <v>294</v>
      </c>
      <c r="C317" t="s">
        <v>54</v>
      </c>
      <c r="D317" t="s">
        <v>46</v>
      </c>
      <c r="E317" t="s">
        <v>148</v>
      </c>
      <c r="F317" s="25">
        <v>46069</v>
      </c>
      <c r="G317" t="s">
        <v>382</v>
      </c>
      <c r="H317" t="s">
        <v>412</v>
      </c>
      <c r="I317" t="s">
        <v>371</v>
      </c>
      <c r="J317" t="s">
        <v>31</v>
      </c>
      <c r="K317" t="s">
        <v>96</v>
      </c>
      <c r="L317" t="s">
        <v>351</v>
      </c>
      <c r="M317" t="s">
        <v>141</v>
      </c>
      <c r="N317" t="s">
        <v>142</v>
      </c>
      <c r="O317" t="s">
        <v>155</v>
      </c>
      <c r="P317" t="s">
        <v>281</v>
      </c>
      <c r="Q317" t="s">
        <v>155</v>
      </c>
      <c r="R317" t="s">
        <v>302</v>
      </c>
      <c r="S317" t="s">
        <v>345</v>
      </c>
      <c r="T317">
        <v>1</v>
      </c>
      <c r="U317" t="s">
        <v>409</v>
      </c>
      <c r="V317" t="s">
        <v>343</v>
      </c>
      <c r="W317" t="s">
        <v>413</v>
      </c>
      <c r="X317" t="s">
        <v>306</v>
      </c>
      <c r="Y317" t="s">
        <v>307</v>
      </c>
      <c r="Z317">
        <v>65</v>
      </c>
      <c r="AA317">
        <v>65</v>
      </c>
      <c r="AB317" t="s">
        <v>143</v>
      </c>
      <c r="AC317" t="s">
        <v>149</v>
      </c>
      <c r="AD317" t="s">
        <v>404</v>
      </c>
      <c r="AE317" t="str">
        <f>IF(AF317="","",VLOOKUP(AC317,mapel!$A$2:$B$42,2,FALSE))</f>
        <v>B.Indo</v>
      </c>
      <c r="AF317">
        <f t="shared" si="12"/>
        <v>65</v>
      </c>
      <c r="AG317" t="str">
        <f>IF(AF317="","",IF(AF317&gt;90,"Sangat baik",IF(AF317&gt;79,"Baik",IF(AF317&gt;=pub_gid_0_single_true_output_csv[[#This Row],[KKM]],"Cukup","Kurang"))))</f>
        <v>Cukup</v>
      </c>
      <c r="AH317">
        <f t="shared" si="13"/>
        <v>11</v>
      </c>
      <c r="AI317" s="30" t="str">
        <f>IF(OR(J317&lt;&gt;"Karakter",pub_gid_0_single_true_output_csv[[#This Row],[Nilai2]]=""),"",IF(AF317&gt;89,"Sangat baik",IF(AF317&gt;79,"Baik",IF(AF317&gt;69,"Cukup",IF(AF317&gt;59,"Kurang","Sangat kurang")))))</f>
        <v/>
      </c>
      <c r="AJ317" t="str">
        <f t="shared" si="14"/>
        <v>Wk.8</v>
      </c>
      <c r="AK317" t="str">
        <f>IF(pub_gid_0_single_true_output_csv[[#This Row],[Nilai2]]="","",VLOOKUP(pub_gid_0_single_true_output_csv[[#This Row],[NAMA]],Table7[],3,FALSE))</f>
        <v>Average</v>
      </c>
    </row>
    <row r="318" spans="1:37" x14ac:dyDescent="0.2">
      <c r="A318">
        <v>317</v>
      </c>
      <c r="B318" t="s">
        <v>294</v>
      </c>
      <c r="C318" t="s">
        <v>54</v>
      </c>
      <c r="D318" t="s">
        <v>46</v>
      </c>
      <c r="E318" t="s">
        <v>148</v>
      </c>
      <c r="F318" s="25">
        <v>46069</v>
      </c>
      <c r="G318" t="s">
        <v>382</v>
      </c>
      <c r="H318" t="s">
        <v>412</v>
      </c>
      <c r="I318" t="s">
        <v>371</v>
      </c>
      <c r="J318" t="s">
        <v>90</v>
      </c>
      <c r="K318" t="s">
        <v>92</v>
      </c>
      <c r="L318" t="s">
        <v>93</v>
      </c>
      <c r="M318" t="s">
        <v>141</v>
      </c>
      <c r="N318" t="s">
        <v>142</v>
      </c>
      <c r="O318" t="s">
        <v>155</v>
      </c>
      <c r="P318" t="s">
        <v>281</v>
      </c>
      <c r="Q318" t="s">
        <v>155</v>
      </c>
      <c r="R318" t="s">
        <v>302</v>
      </c>
      <c r="S318" t="s">
        <v>345</v>
      </c>
      <c r="T318">
        <v>1</v>
      </c>
      <c r="U318" t="s">
        <v>409</v>
      </c>
      <c r="V318" t="s">
        <v>343</v>
      </c>
      <c r="W318" t="s">
        <v>413</v>
      </c>
      <c r="X318" t="s">
        <v>306</v>
      </c>
      <c r="Y318" t="s">
        <v>307</v>
      </c>
      <c r="Z318">
        <v>65</v>
      </c>
      <c r="AA318">
        <v>70</v>
      </c>
      <c r="AB318" t="s">
        <v>143</v>
      </c>
      <c r="AC318" t="s">
        <v>149</v>
      </c>
      <c r="AD318" t="s">
        <v>404</v>
      </c>
      <c r="AE318" t="str">
        <f>IF(AF318="","",VLOOKUP(AC318,mapel!$A$2:$B$42,2,FALSE))</f>
        <v>B.Indo</v>
      </c>
      <c r="AF318">
        <f t="shared" si="12"/>
        <v>70</v>
      </c>
      <c r="AG318" t="str">
        <f>IF(AF318="","",IF(AF318&gt;90,"Sangat baik",IF(AF318&gt;79,"Baik",IF(AF318&gt;=pub_gid_0_single_true_output_csv[[#This Row],[KKM]],"Cukup","Kurang"))))</f>
        <v>Cukup</v>
      </c>
      <c r="AH318">
        <f t="shared" si="13"/>
        <v>11</v>
      </c>
      <c r="AI318" s="30" t="str">
        <f>IF(OR(J318&lt;&gt;"Karakter",pub_gid_0_single_true_output_csv[[#This Row],[Nilai2]]=""),"",IF(AF318&gt;89,"Sangat baik",IF(AF318&gt;79,"Baik",IF(AF318&gt;69,"Cukup",IF(AF318&gt;59,"Kurang","Sangat kurang")))))</f>
        <v>Cukup</v>
      </c>
      <c r="AJ318" t="str">
        <f t="shared" si="14"/>
        <v>Wk.8</v>
      </c>
      <c r="AK318" t="str">
        <f>IF(pub_gid_0_single_true_output_csv[[#This Row],[Nilai2]]="","",VLOOKUP(pub_gid_0_single_true_output_csv[[#This Row],[NAMA]],Table7[],3,FALSE))</f>
        <v>Average</v>
      </c>
    </row>
    <row r="319" spans="1:37" x14ac:dyDescent="0.2">
      <c r="A319">
        <v>318</v>
      </c>
      <c r="B319" t="s">
        <v>294</v>
      </c>
      <c r="C319" t="s">
        <v>54</v>
      </c>
      <c r="D319" t="s">
        <v>46</v>
      </c>
      <c r="E319" t="s">
        <v>148</v>
      </c>
      <c r="F319" s="25">
        <v>46069</v>
      </c>
      <c r="G319" t="s">
        <v>382</v>
      </c>
      <c r="H319" t="s">
        <v>412</v>
      </c>
      <c r="I319" t="s">
        <v>371</v>
      </c>
      <c r="J319" t="s">
        <v>279</v>
      </c>
      <c r="K319" t="s">
        <v>280</v>
      </c>
      <c r="L319" t="s">
        <v>322</v>
      </c>
      <c r="M319" t="s">
        <v>141</v>
      </c>
      <c r="N319" t="s">
        <v>142</v>
      </c>
      <c r="O319" t="s">
        <v>155</v>
      </c>
      <c r="P319" t="s">
        <v>281</v>
      </c>
      <c r="Q319" t="s">
        <v>155</v>
      </c>
      <c r="R319" t="s">
        <v>302</v>
      </c>
      <c r="S319" t="s">
        <v>345</v>
      </c>
      <c r="T319">
        <v>1</v>
      </c>
      <c r="U319" t="s">
        <v>409</v>
      </c>
      <c r="V319" t="s">
        <v>343</v>
      </c>
      <c r="W319" t="s">
        <v>413</v>
      </c>
      <c r="X319" t="s">
        <v>306</v>
      </c>
      <c r="Y319" t="s">
        <v>307</v>
      </c>
      <c r="Z319">
        <v>65</v>
      </c>
      <c r="AA319">
        <v>70</v>
      </c>
      <c r="AB319" t="s">
        <v>143</v>
      </c>
      <c r="AC319" t="s">
        <v>149</v>
      </c>
      <c r="AD319" t="s">
        <v>404</v>
      </c>
      <c r="AE319" t="str">
        <f>IF(AF319="","",VLOOKUP(AC319,mapel!$A$2:$B$42,2,FALSE))</f>
        <v>B.Indo</v>
      </c>
      <c r="AF319">
        <f t="shared" si="12"/>
        <v>70</v>
      </c>
      <c r="AG319" t="str">
        <f>IF(AF319="","",IF(AF319&gt;90,"Sangat baik",IF(AF319&gt;79,"Baik",IF(AF319&gt;=pub_gid_0_single_true_output_csv[[#This Row],[KKM]],"Cukup","Kurang"))))</f>
        <v>Cukup</v>
      </c>
      <c r="AH319">
        <f t="shared" si="13"/>
        <v>11</v>
      </c>
      <c r="AI319" s="30" t="str">
        <f>IF(OR(J319&lt;&gt;"Karakter",pub_gid_0_single_true_output_csv[[#This Row],[Nilai2]]=""),"",IF(AF319&gt;89,"Sangat baik",IF(AF319&gt;79,"Baik",IF(AF319&gt;69,"Cukup",IF(AF319&gt;59,"Kurang","Sangat kurang")))))</f>
        <v/>
      </c>
      <c r="AJ319" t="str">
        <f t="shared" si="14"/>
        <v>Wk.8</v>
      </c>
      <c r="AK319" t="str">
        <f>IF(pub_gid_0_single_true_output_csv[[#This Row],[Nilai2]]="","",VLOOKUP(pub_gid_0_single_true_output_csv[[#This Row],[NAMA]],Table7[],3,FALSE))</f>
        <v>Average</v>
      </c>
    </row>
    <row r="320" spans="1:37" x14ac:dyDescent="0.2">
      <c r="A320">
        <v>319</v>
      </c>
      <c r="B320" t="s">
        <v>295</v>
      </c>
      <c r="C320" t="s">
        <v>54</v>
      </c>
      <c r="D320" t="s">
        <v>47</v>
      </c>
      <c r="E320" t="s">
        <v>148</v>
      </c>
      <c r="F320" s="25">
        <v>46034</v>
      </c>
      <c r="G320" t="s">
        <v>354</v>
      </c>
      <c r="H320" t="s">
        <v>405</v>
      </c>
      <c r="I320" t="s">
        <v>371</v>
      </c>
      <c r="J320" t="s">
        <v>36</v>
      </c>
      <c r="K320" t="s">
        <v>362</v>
      </c>
      <c r="L320" t="s">
        <v>408</v>
      </c>
      <c r="M320" t="s">
        <v>141</v>
      </c>
      <c r="N320" t="s">
        <v>142</v>
      </c>
      <c r="O320" t="s">
        <v>155</v>
      </c>
      <c r="P320" t="s">
        <v>281</v>
      </c>
      <c r="Q320" t="s">
        <v>155</v>
      </c>
      <c r="R320" t="s">
        <v>273</v>
      </c>
      <c r="S320" t="s">
        <v>309</v>
      </c>
      <c r="T320">
        <v>1</v>
      </c>
      <c r="U320" t="s">
        <v>409</v>
      </c>
      <c r="V320" t="s">
        <v>285</v>
      </c>
      <c r="W320" t="s">
        <v>410</v>
      </c>
      <c r="X320" t="s">
        <v>306</v>
      </c>
      <c r="Y320" t="s">
        <v>307</v>
      </c>
      <c r="Z320">
        <v>65</v>
      </c>
      <c r="AA320">
        <v>18</v>
      </c>
      <c r="AB320" t="s">
        <v>151</v>
      </c>
      <c r="AC320" t="s">
        <v>149</v>
      </c>
      <c r="AD320" t="s">
        <v>404</v>
      </c>
      <c r="AE320" t="str">
        <f>IF(AF320="","",VLOOKUP(AC320,mapel!$A$2:$B$42,2,FALSE))</f>
        <v>B.Indo</v>
      </c>
      <c r="AF320">
        <f t="shared" si="12"/>
        <v>18</v>
      </c>
      <c r="AG320" t="str">
        <f>IF(AF320="","",IF(AF320&gt;90,"Sangat baik",IF(AF320&gt;79,"Baik",IF(AF320&gt;=pub_gid_0_single_true_output_csv[[#This Row],[KKM]],"Cukup","Kurang"))))</f>
        <v>Kurang</v>
      </c>
      <c r="AH320">
        <f t="shared" si="13"/>
        <v>11</v>
      </c>
      <c r="AI320" s="30" t="str">
        <f>IF(OR(J320&lt;&gt;"Karakter",pub_gid_0_single_true_output_csv[[#This Row],[Nilai2]]=""),"",IF(AF320&gt;89,"Sangat baik",IF(AF320&gt;79,"Baik",IF(AF320&gt;69,"Cukup",IF(AF320&gt;59,"Kurang","Sangat kurang")))))</f>
        <v/>
      </c>
      <c r="AJ320" t="str">
        <f t="shared" si="14"/>
        <v>Wk.3</v>
      </c>
      <c r="AK320" t="str">
        <f>IF(pub_gid_0_single_true_output_csv[[#This Row],[Nilai2]]="","",VLOOKUP(pub_gid_0_single_true_output_csv[[#This Row],[NAMA]],Table7[],3,FALSE))</f>
        <v>Low average</v>
      </c>
    </row>
    <row r="321" spans="1:37" x14ac:dyDescent="0.2">
      <c r="A321">
        <v>320</v>
      </c>
      <c r="B321" t="s">
        <v>295</v>
      </c>
      <c r="C321" t="s">
        <v>54</v>
      </c>
      <c r="D321" t="s">
        <v>47</v>
      </c>
      <c r="E321" t="s">
        <v>148</v>
      </c>
      <c r="F321" s="25">
        <v>46035</v>
      </c>
      <c r="G321" t="s">
        <v>358</v>
      </c>
      <c r="H321" t="s">
        <v>405</v>
      </c>
      <c r="I321" t="s">
        <v>371</v>
      </c>
      <c r="J321" t="s">
        <v>36</v>
      </c>
      <c r="K321" t="s">
        <v>37</v>
      </c>
      <c r="L321" t="s">
        <v>150</v>
      </c>
      <c r="M321" t="s">
        <v>141</v>
      </c>
      <c r="N321" t="s">
        <v>142</v>
      </c>
      <c r="O321" t="s">
        <v>155</v>
      </c>
      <c r="P321" t="s">
        <v>281</v>
      </c>
      <c r="Q321" t="s">
        <v>155</v>
      </c>
      <c r="R321" t="s">
        <v>273</v>
      </c>
      <c r="S321" t="s">
        <v>309</v>
      </c>
      <c r="T321">
        <v>1</v>
      </c>
      <c r="U321" t="s">
        <v>409</v>
      </c>
      <c r="V321" t="s">
        <v>285</v>
      </c>
      <c r="W321" t="s">
        <v>410</v>
      </c>
      <c r="X321" t="s">
        <v>306</v>
      </c>
      <c r="Y321" t="s">
        <v>307</v>
      </c>
      <c r="Z321">
        <v>65</v>
      </c>
      <c r="AA321">
        <v>50</v>
      </c>
      <c r="AB321" t="s">
        <v>151</v>
      </c>
      <c r="AC321" t="s">
        <v>149</v>
      </c>
      <c r="AD321" t="s">
        <v>404</v>
      </c>
      <c r="AE321" t="str">
        <f>IF(AF321="","",VLOOKUP(AC321,mapel!$A$2:$B$42,2,FALSE))</f>
        <v>B.Indo</v>
      </c>
      <c r="AF321">
        <f t="shared" si="12"/>
        <v>50</v>
      </c>
      <c r="AG321" t="str">
        <f>IF(AF321="","",IF(AF321&gt;90,"Sangat baik",IF(AF321&gt;79,"Baik",IF(AF321&gt;=pub_gid_0_single_true_output_csv[[#This Row],[KKM]],"Cukup","Kurang"))))</f>
        <v>Kurang</v>
      </c>
      <c r="AH321">
        <f t="shared" si="13"/>
        <v>11</v>
      </c>
      <c r="AI321" s="30" t="str">
        <f>IF(OR(J321&lt;&gt;"Karakter",pub_gid_0_single_true_output_csv[[#This Row],[Nilai2]]=""),"",IF(AF321&gt;89,"Sangat baik",IF(AF321&gt;79,"Baik",IF(AF321&gt;69,"Cukup",IF(AF321&gt;59,"Kurang","Sangat kurang")))))</f>
        <v/>
      </c>
      <c r="AJ321" t="str">
        <f t="shared" si="14"/>
        <v>Wk.3</v>
      </c>
      <c r="AK321" t="str">
        <f>IF(pub_gid_0_single_true_output_csv[[#This Row],[Nilai2]]="","",VLOOKUP(pub_gid_0_single_true_output_csv[[#This Row],[NAMA]],Table7[],3,FALSE))</f>
        <v>Low average</v>
      </c>
    </row>
    <row r="322" spans="1:37" x14ac:dyDescent="0.2">
      <c r="A322">
        <v>321</v>
      </c>
      <c r="B322" t="s">
        <v>295</v>
      </c>
      <c r="C322" t="s">
        <v>54</v>
      </c>
      <c r="D322" t="s">
        <v>47</v>
      </c>
      <c r="E322" t="s">
        <v>148</v>
      </c>
      <c r="F322" s="25">
        <v>46035</v>
      </c>
      <c r="G322" t="s">
        <v>358</v>
      </c>
      <c r="H322" t="s">
        <v>405</v>
      </c>
      <c r="I322" t="s">
        <v>371</v>
      </c>
      <c r="J322" t="s">
        <v>31</v>
      </c>
      <c r="K322" t="s">
        <v>32</v>
      </c>
      <c r="L322" t="s">
        <v>150</v>
      </c>
      <c r="M322" t="s">
        <v>141</v>
      </c>
      <c r="N322" t="s">
        <v>142</v>
      </c>
      <c r="O322" t="s">
        <v>155</v>
      </c>
      <c r="P322" t="s">
        <v>281</v>
      </c>
      <c r="Q322" t="s">
        <v>155</v>
      </c>
      <c r="R322" t="s">
        <v>273</v>
      </c>
      <c r="S322" t="s">
        <v>309</v>
      </c>
      <c r="T322">
        <v>1</v>
      </c>
      <c r="U322" t="s">
        <v>409</v>
      </c>
      <c r="V322" t="s">
        <v>285</v>
      </c>
      <c r="W322" t="s">
        <v>410</v>
      </c>
      <c r="X322" t="s">
        <v>306</v>
      </c>
      <c r="Y322" t="s">
        <v>307</v>
      </c>
      <c r="Z322">
        <v>65</v>
      </c>
      <c r="AA322">
        <v>50</v>
      </c>
      <c r="AB322" t="s">
        <v>151</v>
      </c>
      <c r="AC322" t="s">
        <v>149</v>
      </c>
      <c r="AD322" t="s">
        <v>404</v>
      </c>
      <c r="AE322" t="str">
        <f>IF(AF322="","",VLOOKUP(AC322,mapel!$A$2:$B$42,2,FALSE))</f>
        <v>B.Indo</v>
      </c>
      <c r="AF322">
        <f t="shared" ref="AF322:AF385" si="15">IF(AA322=0, "",IF(AA322 = 0.1, 0,AA322))</f>
        <v>50</v>
      </c>
      <c r="AG322" t="str">
        <f>IF(AF322="","",IF(AF322&gt;90,"Sangat baik",IF(AF322&gt;79,"Baik",IF(AF322&gt;=pub_gid_0_single_true_output_csv[[#This Row],[KKM]],"Cukup","Kurang"))))</f>
        <v>Kurang</v>
      </c>
      <c r="AH322">
        <f t="shared" ref="AH322:AH385" si="16">IF(AG322="","",VALUE(RIGHT(X322,2)))</f>
        <v>11</v>
      </c>
      <c r="AI322" s="30" t="str">
        <f>IF(OR(J322&lt;&gt;"Karakter",pub_gid_0_single_true_output_csv[[#This Row],[Nilai2]]=""),"",IF(AF322&gt;89,"Sangat baik",IF(AF322&gt;79,"Baik",IF(AF322&gt;69,"Cukup",IF(AF322&gt;59,"Kurang","Sangat kurang")))))</f>
        <v/>
      </c>
      <c r="AJ322" t="str">
        <f t="shared" ref="AJ322:AJ385" si="17">IF(AF322="","",CONCATENATE("Wk.",WEEKNUM(F322,2)))</f>
        <v>Wk.3</v>
      </c>
      <c r="AK322" t="str">
        <f>IF(pub_gid_0_single_true_output_csv[[#This Row],[Nilai2]]="","",VLOOKUP(pub_gid_0_single_true_output_csv[[#This Row],[NAMA]],Table7[],3,FALSE))</f>
        <v>Low average</v>
      </c>
    </row>
    <row r="323" spans="1:37" x14ac:dyDescent="0.2">
      <c r="A323">
        <v>322</v>
      </c>
      <c r="B323" t="s">
        <v>295</v>
      </c>
      <c r="C323" t="s">
        <v>54</v>
      </c>
      <c r="D323" t="s">
        <v>47</v>
      </c>
      <c r="E323" t="s">
        <v>148</v>
      </c>
      <c r="F323" s="25">
        <v>46035</v>
      </c>
      <c r="G323" t="s">
        <v>358</v>
      </c>
      <c r="H323" t="s">
        <v>405</v>
      </c>
      <c r="I323" t="s">
        <v>371</v>
      </c>
      <c r="J323" t="s">
        <v>90</v>
      </c>
      <c r="K323" t="s">
        <v>92</v>
      </c>
      <c r="L323" t="s">
        <v>93</v>
      </c>
      <c r="M323" t="s">
        <v>141</v>
      </c>
      <c r="N323" t="s">
        <v>142</v>
      </c>
      <c r="O323" t="s">
        <v>155</v>
      </c>
      <c r="P323" t="s">
        <v>281</v>
      </c>
      <c r="Q323" t="s">
        <v>155</v>
      </c>
      <c r="R323" t="s">
        <v>273</v>
      </c>
      <c r="S323" t="s">
        <v>309</v>
      </c>
      <c r="T323">
        <v>1</v>
      </c>
      <c r="U323" t="s">
        <v>409</v>
      </c>
      <c r="V323" t="s">
        <v>285</v>
      </c>
      <c r="W323" t="s">
        <v>410</v>
      </c>
      <c r="X323" t="s">
        <v>306</v>
      </c>
      <c r="Y323" t="s">
        <v>307</v>
      </c>
      <c r="Z323">
        <v>65</v>
      </c>
      <c r="AA323">
        <v>65</v>
      </c>
      <c r="AB323" t="s">
        <v>143</v>
      </c>
      <c r="AC323" t="s">
        <v>149</v>
      </c>
      <c r="AD323" t="s">
        <v>404</v>
      </c>
      <c r="AE323" t="str">
        <f>IF(AF323="","",VLOOKUP(AC323,mapel!$A$2:$B$42,2,FALSE))</f>
        <v>B.Indo</v>
      </c>
      <c r="AF323">
        <f t="shared" si="15"/>
        <v>65</v>
      </c>
      <c r="AG323" t="str">
        <f>IF(AF323="","",IF(AF323&gt;90,"Sangat baik",IF(AF323&gt;79,"Baik",IF(AF323&gt;=pub_gid_0_single_true_output_csv[[#This Row],[KKM]],"Cukup","Kurang"))))</f>
        <v>Cukup</v>
      </c>
      <c r="AH323">
        <f t="shared" si="16"/>
        <v>11</v>
      </c>
      <c r="AI323" s="30" t="str">
        <f>IF(OR(J323&lt;&gt;"Karakter",pub_gid_0_single_true_output_csv[[#This Row],[Nilai2]]=""),"",IF(AF323&gt;89,"Sangat baik",IF(AF323&gt;79,"Baik",IF(AF323&gt;69,"Cukup",IF(AF323&gt;59,"Kurang","Sangat kurang")))))</f>
        <v>Kurang</v>
      </c>
      <c r="AJ323" t="str">
        <f t="shared" si="17"/>
        <v>Wk.3</v>
      </c>
      <c r="AK323" t="str">
        <f>IF(pub_gid_0_single_true_output_csv[[#This Row],[Nilai2]]="","",VLOOKUP(pub_gid_0_single_true_output_csv[[#This Row],[NAMA]],Table7[],3,FALSE))</f>
        <v>Low average</v>
      </c>
    </row>
    <row r="324" spans="1:37" x14ac:dyDescent="0.2">
      <c r="A324">
        <v>323</v>
      </c>
      <c r="B324" t="s">
        <v>295</v>
      </c>
      <c r="C324" t="s">
        <v>54</v>
      </c>
      <c r="D324" t="s">
        <v>47</v>
      </c>
      <c r="E324" t="s">
        <v>148</v>
      </c>
      <c r="F324" s="25">
        <v>46035</v>
      </c>
      <c r="G324" t="s">
        <v>358</v>
      </c>
      <c r="H324" t="s">
        <v>405</v>
      </c>
      <c r="I324" t="s">
        <v>371</v>
      </c>
      <c r="J324" t="s">
        <v>279</v>
      </c>
      <c r="K324" t="s">
        <v>280</v>
      </c>
      <c r="L324" t="s">
        <v>150</v>
      </c>
      <c r="M324" t="s">
        <v>141</v>
      </c>
      <c r="N324" t="s">
        <v>142</v>
      </c>
      <c r="O324" t="s">
        <v>155</v>
      </c>
      <c r="P324" t="s">
        <v>281</v>
      </c>
      <c r="Q324" t="s">
        <v>155</v>
      </c>
      <c r="R324" t="s">
        <v>273</v>
      </c>
      <c r="S324" t="s">
        <v>309</v>
      </c>
      <c r="T324">
        <v>1</v>
      </c>
      <c r="U324" t="s">
        <v>409</v>
      </c>
      <c r="V324" t="s">
        <v>285</v>
      </c>
      <c r="W324" t="s">
        <v>410</v>
      </c>
      <c r="X324" t="s">
        <v>306</v>
      </c>
      <c r="Y324" t="s">
        <v>307</v>
      </c>
      <c r="Z324">
        <v>65</v>
      </c>
      <c r="AA324">
        <v>60</v>
      </c>
      <c r="AB324" t="s">
        <v>151</v>
      </c>
      <c r="AC324" t="s">
        <v>149</v>
      </c>
      <c r="AD324" t="s">
        <v>404</v>
      </c>
      <c r="AE324" t="str">
        <f>IF(AF324="","",VLOOKUP(AC324,mapel!$A$2:$B$42,2,FALSE))</f>
        <v>B.Indo</v>
      </c>
      <c r="AF324">
        <f t="shared" si="15"/>
        <v>60</v>
      </c>
      <c r="AG324" t="str">
        <f>IF(AF324="","",IF(AF324&gt;90,"Sangat baik",IF(AF324&gt;79,"Baik",IF(AF324&gt;=pub_gid_0_single_true_output_csv[[#This Row],[KKM]],"Cukup","Kurang"))))</f>
        <v>Kurang</v>
      </c>
      <c r="AH324">
        <f t="shared" si="16"/>
        <v>11</v>
      </c>
      <c r="AI324" s="30" t="str">
        <f>IF(OR(J324&lt;&gt;"Karakter",pub_gid_0_single_true_output_csv[[#This Row],[Nilai2]]=""),"",IF(AF324&gt;89,"Sangat baik",IF(AF324&gt;79,"Baik",IF(AF324&gt;69,"Cukup",IF(AF324&gt;59,"Kurang","Sangat kurang")))))</f>
        <v/>
      </c>
      <c r="AJ324" t="str">
        <f t="shared" si="17"/>
        <v>Wk.3</v>
      </c>
      <c r="AK324" t="str">
        <f>IF(pub_gid_0_single_true_output_csv[[#This Row],[Nilai2]]="","",VLOOKUP(pub_gid_0_single_true_output_csv[[#This Row],[NAMA]],Table7[],3,FALSE))</f>
        <v>Low average</v>
      </c>
    </row>
    <row r="325" spans="1:37" x14ac:dyDescent="0.2">
      <c r="A325">
        <v>324</v>
      </c>
      <c r="B325" t="s">
        <v>295</v>
      </c>
      <c r="C325" t="s">
        <v>54</v>
      </c>
      <c r="D325" t="s">
        <v>47</v>
      </c>
      <c r="E325" t="s">
        <v>148</v>
      </c>
      <c r="F325" s="25">
        <v>46041</v>
      </c>
      <c r="G325" t="s">
        <v>370</v>
      </c>
      <c r="H325" t="s">
        <v>405</v>
      </c>
      <c r="I325" t="s">
        <v>371</v>
      </c>
      <c r="J325" t="s">
        <v>36</v>
      </c>
      <c r="K325" t="s">
        <v>37</v>
      </c>
      <c r="L325" t="s">
        <v>321</v>
      </c>
      <c r="M325" t="s">
        <v>141</v>
      </c>
      <c r="N325" t="s">
        <v>142</v>
      </c>
      <c r="O325" t="s">
        <v>155</v>
      </c>
      <c r="P325" t="s">
        <v>281</v>
      </c>
      <c r="Q325" t="s">
        <v>155</v>
      </c>
      <c r="R325" t="s">
        <v>273</v>
      </c>
      <c r="S325" t="s">
        <v>309</v>
      </c>
      <c r="T325">
        <v>1</v>
      </c>
      <c r="U325" t="s">
        <v>409</v>
      </c>
      <c r="V325" t="s">
        <v>285</v>
      </c>
      <c r="W325" t="s">
        <v>410</v>
      </c>
      <c r="X325" t="s">
        <v>306</v>
      </c>
      <c r="Y325" t="s">
        <v>307</v>
      </c>
      <c r="Z325">
        <v>65</v>
      </c>
      <c r="AA325">
        <v>50</v>
      </c>
      <c r="AB325" t="s">
        <v>151</v>
      </c>
      <c r="AC325" t="s">
        <v>149</v>
      </c>
      <c r="AD325" t="s">
        <v>404</v>
      </c>
      <c r="AE325" t="str">
        <f>IF(AF325="","",VLOOKUP(AC325,mapel!$A$2:$B$42,2,FALSE))</f>
        <v>B.Indo</v>
      </c>
      <c r="AF325">
        <f t="shared" si="15"/>
        <v>50</v>
      </c>
      <c r="AG325" t="str">
        <f>IF(AF325="","",IF(AF325&gt;90,"Sangat baik",IF(AF325&gt;79,"Baik",IF(AF325&gt;=pub_gid_0_single_true_output_csv[[#This Row],[KKM]],"Cukup","Kurang"))))</f>
        <v>Kurang</v>
      </c>
      <c r="AH325">
        <f t="shared" si="16"/>
        <v>11</v>
      </c>
      <c r="AI325" s="30" t="str">
        <f>IF(OR(J325&lt;&gt;"Karakter",pub_gid_0_single_true_output_csv[[#This Row],[Nilai2]]=""),"",IF(AF325&gt;89,"Sangat baik",IF(AF325&gt;79,"Baik",IF(AF325&gt;69,"Cukup",IF(AF325&gt;59,"Kurang","Sangat kurang")))))</f>
        <v/>
      </c>
      <c r="AJ325" t="str">
        <f t="shared" si="17"/>
        <v>Wk.4</v>
      </c>
      <c r="AK325" t="str">
        <f>IF(pub_gid_0_single_true_output_csv[[#This Row],[Nilai2]]="","",VLOOKUP(pub_gid_0_single_true_output_csv[[#This Row],[NAMA]],Table7[],3,FALSE))</f>
        <v>Low average</v>
      </c>
    </row>
    <row r="326" spans="1:37" x14ac:dyDescent="0.2">
      <c r="A326">
        <v>325</v>
      </c>
      <c r="B326" t="s">
        <v>295</v>
      </c>
      <c r="C326" t="s">
        <v>54</v>
      </c>
      <c r="D326" t="s">
        <v>47</v>
      </c>
      <c r="E326" t="s">
        <v>148</v>
      </c>
      <c r="F326" s="25">
        <v>46041</v>
      </c>
      <c r="G326" t="s">
        <v>370</v>
      </c>
      <c r="H326" t="s">
        <v>405</v>
      </c>
      <c r="I326" t="s">
        <v>371</v>
      </c>
      <c r="J326" t="s">
        <v>31</v>
      </c>
      <c r="K326" t="s">
        <v>96</v>
      </c>
      <c r="L326" t="s">
        <v>321</v>
      </c>
      <c r="M326" t="s">
        <v>141</v>
      </c>
      <c r="N326" t="s">
        <v>142</v>
      </c>
      <c r="O326" t="s">
        <v>155</v>
      </c>
      <c r="P326" t="s">
        <v>281</v>
      </c>
      <c r="Q326" t="s">
        <v>155</v>
      </c>
      <c r="R326" t="s">
        <v>302</v>
      </c>
      <c r="S326" t="s">
        <v>309</v>
      </c>
      <c r="T326">
        <v>1</v>
      </c>
      <c r="U326" t="s">
        <v>409</v>
      </c>
      <c r="V326" t="s">
        <v>285</v>
      </c>
      <c r="W326" t="s">
        <v>410</v>
      </c>
      <c r="X326" t="s">
        <v>306</v>
      </c>
      <c r="Y326" t="s">
        <v>307</v>
      </c>
      <c r="Z326">
        <v>65</v>
      </c>
      <c r="AA326">
        <v>45</v>
      </c>
      <c r="AB326" t="s">
        <v>151</v>
      </c>
      <c r="AC326" t="s">
        <v>149</v>
      </c>
      <c r="AD326" t="s">
        <v>404</v>
      </c>
      <c r="AE326" t="str">
        <f>IF(AF326="","",VLOOKUP(AC326,mapel!$A$2:$B$42,2,FALSE))</f>
        <v>B.Indo</v>
      </c>
      <c r="AF326">
        <f t="shared" si="15"/>
        <v>45</v>
      </c>
      <c r="AG326" t="str">
        <f>IF(AF326="","",IF(AF326&gt;90,"Sangat baik",IF(AF326&gt;79,"Baik",IF(AF326&gt;=pub_gid_0_single_true_output_csv[[#This Row],[KKM]],"Cukup","Kurang"))))</f>
        <v>Kurang</v>
      </c>
      <c r="AH326">
        <f t="shared" si="16"/>
        <v>11</v>
      </c>
      <c r="AI326" s="30" t="str">
        <f>IF(OR(J326&lt;&gt;"Karakter",pub_gid_0_single_true_output_csv[[#This Row],[Nilai2]]=""),"",IF(AF326&gt;89,"Sangat baik",IF(AF326&gt;79,"Baik",IF(AF326&gt;69,"Cukup",IF(AF326&gt;59,"Kurang","Sangat kurang")))))</f>
        <v/>
      </c>
      <c r="AJ326" t="str">
        <f t="shared" si="17"/>
        <v>Wk.4</v>
      </c>
      <c r="AK326" t="str">
        <f>IF(pub_gid_0_single_true_output_csv[[#This Row],[Nilai2]]="","",VLOOKUP(pub_gid_0_single_true_output_csv[[#This Row],[NAMA]],Table7[],3,FALSE))</f>
        <v>Low average</v>
      </c>
    </row>
    <row r="327" spans="1:37" x14ac:dyDescent="0.2">
      <c r="A327">
        <v>326</v>
      </c>
      <c r="B327" t="s">
        <v>295</v>
      </c>
      <c r="C327" t="s">
        <v>54</v>
      </c>
      <c r="D327" t="s">
        <v>47</v>
      </c>
      <c r="E327" t="s">
        <v>148</v>
      </c>
      <c r="F327" s="25">
        <v>46041</v>
      </c>
      <c r="G327" t="s">
        <v>370</v>
      </c>
      <c r="H327" t="s">
        <v>405</v>
      </c>
      <c r="I327" t="s">
        <v>371</v>
      </c>
      <c r="J327" t="s">
        <v>90</v>
      </c>
      <c r="K327" t="s">
        <v>92</v>
      </c>
      <c r="L327" t="s">
        <v>91</v>
      </c>
      <c r="M327" t="s">
        <v>141</v>
      </c>
      <c r="N327" t="s">
        <v>142</v>
      </c>
      <c r="O327" t="s">
        <v>155</v>
      </c>
      <c r="P327" t="s">
        <v>281</v>
      </c>
      <c r="Q327" t="s">
        <v>155</v>
      </c>
      <c r="R327" t="s">
        <v>302</v>
      </c>
      <c r="S327" t="s">
        <v>309</v>
      </c>
      <c r="T327">
        <v>1</v>
      </c>
      <c r="U327" t="s">
        <v>409</v>
      </c>
      <c r="V327" t="s">
        <v>285</v>
      </c>
      <c r="W327" t="s">
        <v>410</v>
      </c>
      <c r="X327" t="s">
        <v>306</v>
      </c>
      <c r="Y327" t="s">
        <v>307</v>
      </c>
      <c r="Z327">
        <v>65</v>
      </c>
      <c r="AA327">
        <v>69</v>
      </c>
      <c r="AB327" t="s">
        <v>143</v>
      </c>
      <c r="AC327" t="s">
        <v>149</v>
      </c>
      <c r="AD327" t="s">
        <v>404</v>
      </c>
      <c r="AE327" t="str">
        <f>IF(AF327="","",VLOOKUP(AC327,mapel!$A$2:$B$42,2,FALSE))</f>
        <v>B.Indo</v>
      </c>
      <c r="AF327">
        <f t="shared" si="15"/>
        <v>69</v>
      </c>
      <c r="AG327" t="str">
        <f>IF(AF327="","",IF(AF327&gt;90,"Sangat baik",IF(AF327&gt;79,"Baik",IF(AF327&gt;=pub_gid_0_single_true_output_csv[[#This Row],[KKM]],"Cukup","Kurang"))))</f>
        <v>Cukup</v>
      </c>
      <c r="AH327">
        <f t="shared" si="16"/>
        <v>11</v>
      </c>
      <c r="AI327" s="30" t="str">
        <f>IF(OR(J327&lt;&gt;"Karakter",pub_gid_0_single_true_output_csv[[#This Row],[Nilai2]]=""),"",IF(AF327&gt;89,"Sangat baik",IF(AF327&gt;79,"Baik",IF(AF327&gt;69,"Cukup",IF(AF327&gt;59,"Kurang","Sangat kurang")))))</f>
        <v>Kurang</v>
      </c>
      <c r="AJ327" t="str">
        <f t="shared" si="17"/>
        <v>Wk.4</v>
      </c>
      <c r="AK327" t="str">
        <f>IF(pub_gid_0_single_true_output_csv[[#This Row],[Nilai2]]="","",VLOOKUP(pub_gid_0_single_true_output_csv[[#This Row],[NAMA]],Table7[],3,FALSE))</f>
        <v>Low average</v>
      </c>
    </row>
    <row r="328" spans="1:37" x14ac:dyDescent="0.2">
      <c r="A328">
        <v>327</v>
      </c>
      <c r="B328" t="s">
        <v>295</v>
      </c>
      <c r="C328" t="s">
        <v>54</v>
      </c>
      <c r="D328" t="s">
        <v>47</v>
      </c>
      <c r="E328" t="s">
        <v>148</v>
      </c>
      <c r="F328" s="25">
        <v>46041</v>
      </c>
      <c r="G328" t="s">
        <v>370</v>
      </c>
      <c r="H328" t="s">
        <v>405</v>
      </c>
      <c r="I328" t="s">
        <v>371</v>
      </c>
      <c r="J328" t="s">
        <v>279</v>
      </c>
      <c r="K328" t="s">
        <v>280</v>
      </c>
      <c r="L328" t="s">
        <v>322</v>
      </c>
      <c r="M328" t="s">
        <v>141</v>
      </c>
      <c r="N328" t="s">
        <v>142</v>
      </c>
      <c r="O328" t="s">
        <v>155</v>
      </c>
      <c r="P328" t="s">
        <v>281</v>
      </c>
      <c r="Q328" t="s">
        <v>155</v>
      </c>
      <c r="R328" t="s">
        <v>302</v>
      </c>
      <c r="S328" t="s">
        <v>309</v>
      </c>
      <c r="T328">
        <v>1</v>
      </c>
      <c r="U328" t="s">
        <v>409</v>
      </c>
      <c r="V328" t="s">
        <v>285</v>
      </c>
      <c r="W328" t="s">
        <v>410</v>
      </c>
      <c r="X328" t="s">
        <v>306</v>
      </c>
      <c r="Y328" t="s">
        <v>307</v>
      </c>
      <c r="Z328">
        <v>65</v>
      </c>
      <c r="AA328">
        <v>70</v>
      </c>
      <c r="AB328" t="s">
        <v>143</v>
      </c>
      <c r="AC328" t="s">
        <v>149</v>
      </c>
      <c r="AD328" t="s">
        <v>404</v>
      </c>
      <c r="AE328" t="str">
        <f>IF(AF328="","",VLOOKUP(AC328,mapel!$A$2:$B$42,2,FALSE))</f>
        <v>B.Indo</v>
      </c>
      <c r="AF328">
        <f t="shared" si="15"/>
        <v>70</v>
      </c>
      <c r="AG328" t="str">
        <f>IF(AF328="","",IF(AF328&gt;90,"Sangat baik",IF(AF328&gt;79,"Baik",IF(AF328&gt;=pub_gid_0_single_true_output_csv[[#This Row],[KKM]],"Cukup","Kurang"))))</f>
        <v>Cukup</v>
      </c>
      <c r="AH328">
        <f t="shared" si="16"/>
        <v>11</v>
      </c>
      <c r="AI328" s="30" t="str">
        <f>IF(OR(J328&lt;&gt;"Karakter",pub_gid_0_single_true_output_csv[[#This Row],[Nilai2]]=""),"",IF(AF328&gt;89,"Sangat baik",IF(AF328&gt;79,"Baik",IF(AF328&gt;69,"Cukup",IF(AF328&gt;59,"Kurang","Sangat kurang")))))</f>
        <v/>
      </c>
      <c r="AJ328" t="str">
        <f t="shared" si="17"/>
        <v>Wk.4</v>
      </c>
      <c r="AK328" t="str">
        <f>IF(pub_gid_0_single_true_output_csv[[#This Row],[Nilai2]]="","",VLOOKUP(pub_gid_0_single_true_output_csv[[#This Row],[NAMA]],Table7[],3,FALSE))</f>
        <v>Low average</v>
      </c>
    </row>
    <row r="329" spans="1:37" x14ac:dyDescent="0.2">
      <c r="A329">
        <v>328</v>
      </c>
      <c r="B329" t="s">
        <v>295</v>
      </c>
      <c r="C329" t="s">
        <v>54</v>
      </c>
      <c r="D329" t="s">
        <v>47</v>
      </c>
      <c r="E329" t="s">
        <v>148</v>
      </c>
      <c r="F329" s="25">
        <v>46048</v>
      </c>
      <c r="G329" t="s">
        <v>371</v>
      </c>
      <c r="H329" t="s">
        <v>405</v>
      </c>
      <c r="I329" t="s">
        <v>371</v>
      </c>
      <c r="J329" t="s">
        <v>36</v>
      </c>
      <c r="K329" t="s">
        <v>37</v>
      </c>
      <c r="L329" t="s">
        <v>351</v>
      </c>
      <c r="M329" t="s">
        <v>141</v>
      </c>
      <c r="N329" t="s">
        <v>142</v>
      </c>
      <c r="O329" t="s">
        <v>155</v>
      </c>
      <c r="P329" t="s">
        <v>281</v>
      </c>
      <c r="Q329" t="s">
        <v>155</v>
      </c>
      <c r="R329" t="s">
        <v>302</v>
      </c>
      <c r="S329" t="s">
        <v>369</v>
      </c>
      <c r="T329">
        <v>1</v>
      </c>
      <c r="U329" t="s">
        <v>409</v>
      </c>
      <c r="V329" t="s">
        <v>342</v>
      </c>
      <c r="W329" t="s">
        <v>411</v>
      </c>
      <c r="X329" t="s">
        <v>306</v>
      </c>
      <c r="Y329" t="s">
        <v>307</v>
      </c>
      <c r="Z329">
        <v>65</v>
      </c>
      <c r="AA329">
        <v>45</v>
      </c>
      <c r="AB329" t="s">
        <v>151</v>
      </c>
      <c r="AC329" t="s">
        <v>149</v>
      </c>
      <c r="AD329" t="s">
        <v>404</v>
      </c>
      <c r="AE329" t="str">
        <f>IF(AF329="","",VLOOKUP(AC329,mapel!$A$2:$B$42,2,FALSE))</f>
        <v>B.Indo</v>
      </c>
      <c r="AF329">
        <f t="shared" si="15"/>
        <v>45</v>
      </c>
      <c r="AG329" t="str">
        <f>IF(AF329="","",IF(AF329&gt;90,"Sangat baik",IF(AF329&gt;79,"Baik",IF(AF329&gt;=pub_gid_0_single_true_output_csv[[#This Row],[KKM]],"Cukup","Kurang"))))</f>
        <v>Kurang</v>
      </c>
      <c r="AH329">
        <f t="shared" si="16"/>
        <v>11</v>
      </c>
      <c r="AI329" s="30" t="str">
        <f>IF(OR(J329&lt;&gt;"Karakter",pub_gid_0_single_true_output_csv[[#This Row],[Nilai2]]=""),"",IF(AF329&gt;89,"Sangat baik",IF(AF329&gt;79,"Baik",IF(AF329&gt;69,"Cukup",IF(AF329&gt;59,"Kurang","Sangat kurang")))))</f>
        <v/>
      </c>
      <c r="AJ329" t="str">
        <f t="shared" si="17"/>
        <v>Wk.5</v>
      </c>
      <c r="AK329" t="str">
        <f>IF(pub_gid_0_single_true_output_csv[[#This Row],[Nilai2]]="","",VLOOKUP(pub_gid_0_single_true_output_csv[[#This Row],[NAMA]],Table7[],3,FALSE))</f>
        <v>Low average</v>
      </c>
    </row>
    <row r="330" spans="1:37" x14ac:dyDescent="0.2">
      <c r="A330">
        <v>329</v>
      </c>
      <c r="B330" t="s">
        <v>295</v>
      </c>
      <c r="C330" t="s">
        <v>54</v>
      </c>
      <c r="D330" t="s">
        <v>47</v>
      </c>
      <c r="E330" t="s">
        <v>148</v>
      </c>
      <c r="F330" s="25">
        <v>46048</v>
      </c>
      <c r="G330" t="s">
        <v>371</v>
      </c>
      <c r="H330" t="s">
        <v>405</v>
      </c>
      <c r="I330" t="s">
        <v>371</v>
      </c>
      <c r="J330" t="s">
        <v>31</v>
      </c>
      <c r="K330" t="s">
        <v>96</v>
      </c>
      <c r="L330" t="s">
        <v>351</v>
      </c>
      <c r="M330" t="s">
        <v>141</v>
      </c>
      <c r="N330" t="s">
        <v>142</v>
      </c>
      <c r="O330" t="s">
        <v>155</v>
      </c>
      <c r="P330" t="s">
        <v>281</v>
      </c>
      <c r="Q330" t="s">
        <v>155</v>
      </c>
      <c r="R330" t="s">
        <v>302</v>
      </c>
      <c r="S330" t="s">
        <v>369</v>
      </c>
      <c r="T330">
        <v>1</v>
      </c>
      <c r="U330" t="s">
        <v>409</v>
      </c>
      <c r="V330" t="s">
        <v>342</v>
      </c>
      <c r="W330" t="s">
        <v>411</v>
      </c>
      <c r="X330" t="s">
        <v>306</v>
      </c>
      <c r="Y330" t="s">
        <v>307</v>
      </c>
      <c r="Z330">
        <v>65</v>
      </c>
      <c r="AA330">
        <v>55</v>
      </c>
      <c r="AB330" t="s">
        <v>151</v>
      </c>
      <c r="AC330" t="s">
        <v>149</v>
      </c>
      <c r="AD330" t="s">
        <v>404</v>
      </c>
      <c r="AE330" t="str">
        <f>IF(AF330="","",VLOOKUP(AC330,mapel!$A$2:$B$42,2,FALSE))</f>
        <v>B.Indo</v>
      </c>
      <c r="AF330">
        <f t="shared" si="15"/>
        <v>55</v>
      </c>
      <c r="AG330" t="str">
        <f>IF(AF330="","",IF(AF330&gt;90,"Sangat baik",IF(AF330&gt;79,"Baik",IF(AF330&gt;=pub_gid_0_single_true_output_csv[[#This Row],[KKM]],"Cukup","Kurang"))))</f>
        <v>Kurang</v>
      </c>
      <c r="AH330">
        <f t="shared" si="16"/>
        <v>11</v>
      </c>
      <c r="AI330" s="30" t="str">
        <f>IF(OR(J330&lt;&gt;"Karakter",pub_gid_0_single_true_output_csv[[#This Row],[Nilai2]]=""),"",IF(AF330&gt;89,"Sangat baik",IF(AF330&gt;79,"Baik",IF(AF330&gt;69,"Cukup",IF(AF330&gt;59,"Kurang","Sangat kurang")))))</f>
        <v/>
      </c>
      <c r="AJ330" t="str">
        <f t="shared" si="17"/>
        <v>Wk.5</v>
      </c>
      <c r="AK330" t="str">
        <f>IF(pub_gid_0_single_true_output_csv[[#This Row],[Nilai2]]="","",VLOOKUP(pub_gid_0_single_true_output_csv[[#This Row],[NAMA]],Table7[],3,FALSE))</f>
        <v>Low average</v>
      </c>
    </row>
    <row r="331" spans="1:37" x14ac:dyDescent="0.2">
      <c r="A331">
        <v>330</v>
      </c>
      <c r="B331" t="s">
        <v>295</v>
      </c>
      <c r="C331" t="s">
        <v>54</v>
      </c>
      <c r="D331" t="s">
        <v>47</v>
      </c>
      <c r="E331" t="s">
        <v>148</v>
      </c>
      <c r="F331" s="25">
        <v>46048</v>
      </c>
      <c r="G331" t="s">
        <v>371</v>
      </c>
      <c r="H331" t="s">
        <v>405</v>
      </c>
      <c r="I331" t="s">
        <v>371</v>
      </c>
      <c r="J331" t="s">
        <v>90</v>
      </c>
      <c r="K331" t="s">
        <v>92</v>
      </c>
      <c r="L331" t="s">
        <v>91</v>
      </c>
      <c r="M331" t="s">
        <v>141</v>
      </c>
      <c r="N331" t="s">
        <v>142</v>
      </c>
      <c r="O331" t="s">
        <v>155</v>
      </c>
      <c r="P331" t="s">
        <v>281</v>
      </c>
      <c r="Q331" t="s">
        <v>155</v>
      </c>
      <c r="R331" t="s">
        <v>302</v>
      </c>
      <c r="S331" t="s">
        <v>369</v>
      </c>
      <c r="T331">
        <v>1</v>
      </c>
      <c r="U331" t="s">
        <v>409</v>
      </c>
      <c r="V331" t="s">
        <v>342</v>
      </c>
      <c r="W331" t="s">
        <v>411</v>
      </c>
      <c r="X331" t="s">
        <v>306</v>
      </c>
      <c r="Y331" t="s">
        <v>307</v>
      </c>
      <c r="Z331">
        <v>65</v>
      </c>
      <c r="AA331">
        <v>70</v>
      </c>
      <c r="AB331" t="s">
        <v>143</v>
      </c>
      <c r="AC331" t="s">
        <v>149</v>
      </c>
      <c r="AD331" t="s">
        <v>404</v>
      </c>
      <c r="AE331" t="str">
        <f>IF(AF331="","",VLOOKUP(AC331,mapel!$A$2:$B$42,2,FALSE))</f>
        <v>B.Indo</v>
      </c>
      <c r="AF331">
        <f t="shared" si="15"/>
        <v>70</v>
      </c>
      <c r="AG331" t="str">
        <f>IF(AF331="","",IF(AF331&gt;90,"Sangat baik",IF(AF331&gt;79,"Baik",IF(AF331&gt;=pub_gid_0_single_true_output_csv[[#This Row],[KKM]],"Cukup","Kurang"))))</f>
        <v>Cukup</v>
      </c>
      <c r="AH331">
        <f t="shared" si="16"/>
        <v>11</v>
      </c>
      <c r="AI331" s="30" t="str">
        <f>IF(OR(J331&lt;&gt;"Karakter",pub_gid_0_single_true_output_csv[[#This Row],[Nilai2]]=""),"",IF(AF331&gt;89,"Sangat baik",IF(AF331&gt;79,"Baik",IF(AF331&gt;69,"Cukup",IF(AF331&gt;59,"Kurang","Sangat kurang")))))</f>
        <v>Cukup</v>
      </c>
      <c r="AJ331" t="str">
        <f t="shared" si="17"/>
        <v>Wk.5</v>
      </c>
      <c r="AK331" t="str">
        <f>IF(pub_gid_0_single_true_output_csv[[#This Row],[Nilai2]]="","",VLOOKUP(pub_gid_0_single_true_output_csv[[#This Row],[NAMA]],Table7[],3,FALSE))</f>
        <v>Low average</v>
      </c>
    </row>
    <row r="332" spans="1:37" x14ac:dyDescent="0.2">
      <c r="A332">
        <v>331</v>
      </c>
      <c r="B332" t="s">
        <v>295</v>
      </c>
      <c r="C332" t="s">
        <v>54</v>
      </c>
      <c r="D332" t="s">
        <v>47</v>
      </c>
      <c r="E332" t="s">
        <v>148</v>
      </c>
      <c r="F332" s="25">
        <v>46048</v>
      </c>
      <c r="G332" t="s">
        <v>371</v>
      </c>
      <c r="H332" t="s">
        <v>405</v>
      </c>
      <c r="I332" t="s">
        <v>371</v>
      </c>
      <c r="J332" t="s">
        <v>279</v>
      </c>
      <c r="K332" t="s">
        <v>280</v>
      </c>
      <c r="L332" t="s">
        <v>322</v>
      </c>
      <c r="M332" t="s">
        <v>141</v>
      </c>
      <c r="N332" t="s">
        <v>142</v>
      </c>
      <c r="O332" t="s">
        <v>155</v>
      </c>
      <c r="P332" t="s">
        <v>281</v>
      </c>
      <c r="Q332" t="s">
        <v>155</v>
      </c>
      <c r="R332" t="s">
        <v>302</v>
      </c>
      <c r="S332" t="s">
        <v>369</v>
      </c>
      <c r="T332">
        <v>1</v>
      </c>
      <c r="U332" t="s">
        <v>409</v>
      </c>
      <c r="V332" t="s">
        <v>342</v>
      </c>
      <c r="W332" t="s">
        <v>411</v>
      </c>
      <c r="X332" t="s">
        <v>306</v>
      </c>
      <c r="Y332" t="s">
        <v>307</v>
      </c>
      <c r="Z332">
        <v>65</v>
      </c>
      <c r="AA332">
        <v>65</v>
      </c>
      <c r="AB332" t="s">
        <v>143</v>
      </c>
      <c r="AC332" t="s">
        <v>149</v>
      </c>
      <c r="AD332" t="s">
        <v>404</v>
      </c>
      <c r="AE332" t="str">
        <f>IF(AF332="","",VLOOKUP(AC332,mapel!$A$2:$B$42,2,FALSE))</f>
        <v>B.Indo</v>
      </c>
      <c r="AF332">
        <f t="shared" si="15"/>
        <v>65</v>
      </c>
      <c r="AG332" t="str">
        <f>IF(AF332="","",IF(AF332&gt;90,"Sangat baik",IF(AF332&gt;79,"Baik",IF(AF332&gt;=pub_gid_0_single_true_output_csv[[#This Row],[KKM]],"Cukup","Kurang"))))</f>
        <v>Cukup</v>
      </c>
      <c r="AH332">
        <f t="shared" si="16"/>
        <v>11</v>
      </c>
      <c r="AI332" s="30" t="str">
        <f>IF(OR(J332&lt;&gt;"Karakter",pub_gid_0_single_true_output_csv[[#This Row],[Nilai2]]=""),"",IF(AF332&gt;89,"Sangat baik",IF(AF332&gt;79,"Baik",IF(AF332&gt;69,"Cukup",IF(AF332&gt;59,"Kurang","Sangat kurang")))))</f>
        <v/>
      </c>
      <c r="AJ332" t="str">
        <f t="shared" si="17"/>
        <v>Wk.5</v>
      </c>
      <c r="AK332" t="str">
        <f>IF(pub_gid_0_single_true_output_csv[[#This Row],[Nilai2]]="","",VLOOKUP(pub_gid_0_single_true_output_csv[[#This Row],[NAMA]],Table7[],3,FALSE))</f>
        <v>Low average</v>
      </c>
    </row>
    <row r="333" spans="1:37" x14ac:dyDescent="0.2">
      <c r="A333">
        <v>332</v>
      </c>
      <c r="B333" t="s">
        <v>295</v>
      </c>
      <c r="C333" t="s">
        <v>54</v>
      </c>
      <c r="D333" t="s">
        <v>47</v>
      </c>
      <c r="E333" t="s">
        <v>148</v>
      </c>
      <c r="F333" s="25">
        <v>46049</v>
      </c>
      <c r="G333" t="s">
        <v>373</v>
      </c>
      <c r="H333" t="s">
        <v>405</v>
      </c>
      <c r="I333" t="s">
        <v>371</v>
      </c>
      <c r="J333" t="s">
        <v>36</v>
      </c>
      <c r="K333" t="s">
        <v>37</v>
      </c>
      <c r="L333" t="s">
        <v>321</v>
      </c>
      <c r="M333" t="s">
        <v>141</v>
      </c>
      <c r="N333" t="s">
        <v>142</v>
      </c>
      <c r="O333" t="s">
        <v>155</v>
      </c>
      <c r="P333" t="s">
        <v>281</v>
      </c>
      <c r="Q333" t="s">
        <v>155</v>
      </c>
      <c r="R333" t="s">
        <v>302</v>
      </c>
      <c r="S333" t="s">
        <v>369</v>
      </c>
      <c r="T333">
        <v>1</v>
      </c>
      <c r="U333" t="s">
        <v>409</v>
      </c>
      <c r="V333" t="s">
        <v>342</v>
      </c>
      <c r="W333" t="s">
        <v>411</v>
      </c>
      <c r="X333" t="s">
        <v>306</v>
      </c>
      <c r="Y333" t="s">
        <v>307</v>
      </c>
      <c r="Z333">
        <v>65</v>
      </c>
      <c r="AA333">
        <v>50</v>
      </c>
      <c r="AB333" t="s">
        <v>151</v>
      </c>
      <c r="AC333" t="s">
        <v>149</v>
      </c>
      <c r="AD333" t="s">
        <v>404</v>
      </c>
      <c r="AE333" t="str">
        <f>IF(AF333="","",VLOOKUP(AC333,mapel!$A$2:$B$42,2,FALSE))</f>
        <v>B.Indo</v>
      </c>
      <c r="AF333">
        <f t="shared" si="15"/>
        <v>50</v>
      </c>
      <c r="AG333" t="str">
        <f>IF(AF333="","",IF(AF333&gt;90,"Sangat baik",IF(AF333&gt;79,"Baik",IF(AF333&gt;=pub_gid_0_single_true_output_csv[[#This Row],[KKM]],"Cukup","Kurang"))))</f>
        <v>Kurang</v>
      </c>
      <c r="AH333">
        <f t="shared" si="16"/>
        <v>11</v>
      </c>
      <c r="AI333" s="30" t="str">
        <f>IF(OR(J333&lt;&gt;"Karakter",pub_gid_0_single_true_output_csv[[#This Row],[Nilai2]]=""),"",IF(AF333&gt;89,"Sangat baik",IF(AF333&gt;79,"Baik",IF(AF333&gt;69,"Cukup",IF(AF333&gt;59,"Kurang","Sangat kurang")))))</f>
        <v/>
      </c>
      <c r="AJ333" t="str">
        <f t="shared" si="17"/>
        <v>Wk.5</v>
      </c>
      <c r="AK333" t="str">
        <f>IF(pub_gid_0_single_true_output_csv[[#This Row],[Nilai2]]="","",VLOOKUP(pub_gid_0_single_true_output_csv[[#This Row],[NAMA]],Table7[],3,FALSE))</f>
        <v>Low average</v>
      </c>
    </row>
    <row r="334" spans="1:37" x14ac:dyDescent="0.2">
      <c r="A334">
        <v>333</v>
      </c>
      <c r="B334" t="s">
        <v>295</v>
      </c>
      <c r="C334" t="s">
        <v>54</v>
      </c>
      <c r="D334" t="s">
        <v>47</v>
      </c>
      <c r="E334" t="s">
        <v>148</v>
      </c>
      <c r="F334" s="25">
        <v>46049</v>
      </c>
      <c r="G334" t="s">
        <v>373</v>
      </c>
      <c r="H334" t="s">
        <v>405</v>
      </c>
      <c r="I334" t="s">
        <v>371</v>
      </c>
      <c r="J334" t="s">
        <v>31</v>
      </c>
      <c r="K334" t="s">
        <v>96</v>
      </c>
      <c r="L334" t="s">
        <v>321</v>
      </c>
      <c r="M334" t="s">
        <v>141</v>
      </c>
      <c r="N334" t="s">
        <v>142</v>
      </c>
      <c r="O334" t="s">
        <v>155</v>
      </c>
      <c r="P334" t="s">
        <v>281</v>
      </c>
      <c r="Q334" t="s">
        <v>155</v>
      </c>
      <c r="R334" t="s">
        <v>302</v>
      </c>
      <c r="S334" t="s">
        <v>369</v>
      </c>
      <c r="T334">
        <v>1</v>
      </c>
      <c r="U334" t="s">
        <v>409</v>
      </c>
      <c r="V334" t="s">
        <v>342</v>
      </c>
      <c r="W334" t="s">
        <v>411</v>
      </c>
      <c r="X334" t="s">
        <v>306</v>
      </c>
      <c r="Y334" t="s">
        <v>307</v>
      </c>
      <c r="Z334">
        <v>65</v>
      </c>
      <c r="AA334">
        <v>55</v>
      </c>
      <c r="AB334" t="s">
        <v>151</v>
      </c>
      <c r="AC334" t="s">
        <v>149</v>
      </c>
      <c r="AD334" t="s">
        <v>404</v>
      </c>
      <c r="AE334" t="str">
        <f>IF(AF334="","",VLOOKUP(AC334,mapel!$A$2:$B$42,2,FALSE))</f>
        <v>B.Indo</v>
      </c>
      <c r="AF334">
        <f t="shared" si="15"/>
        <v>55</v>
      </c>
      <c r="AG334" t="str">
        <f>IF(AF334="","",IF(AF334&gt;90,"Sangat baik",IF(AF334&gt;79,"Baik",IF(AF334&gt;=pub_gid_0_single_true_output_csv[[#This Row],[KKM]],"Cukup","Kurang"))))</f>
        <v>Kurang</v>
      </c>
      <c r="AH334">
        <f t="shared" si="16"/>
        <v>11</v>
      </c>
      <c r="AI334" s="30" t="str">
        <f>IF(OR(J334&lt;&gt;"Karakter",pub_gid_0_single_true_output_csv[[#This Row],[Nilai2]]=""),"",IF(AF334&gt;89,"Sangat baik",IF(AF334&gt;79,"Baik",IF(AF334&gt;69,"Cukup",IF(AF334&gt;59,"Kurang","Sangat kurang")))))</f>
        <v/>
      </c>
      <c r="AJ334" t="str">
        <f t="shared" si="17"/>
        <v>Wk.5</v>
      </c>
      <c r="AK334" t="str">
        <f>IF(pub_gid_0_single_true_output_csv[[#This Row],[Nilai2]]="","",VLOOKUP(pub_gid_0_single_true_output_csv[[#This Row],[NAMA]],Table7[],3,FALSE))</f>
        <v>Low average</v>
      </c>
    </row>
    <row r="335" spans="1:37" x14ac:dyDescent="0.2">
      <c r="A335">
        <v>334</v>
      </c>
      <c r="B335" t="s">
        <v>295</v>
      </c>
      <c r="C335" t="s">
        <v>54</v>
      </c>
      <c r="D335" t="s">
        <v>47</v>
      </c>
      <c r="E335" t="s">
        <v>148</v>
      </c>
      <c r="F335" s="25">
        <v>46049</v>
      </c>
      <c r="G335" t="s">
        <v>373</v>
      </c>
      <c r="H335" t="s">
        <v>405</v>
      </c>
      <c r="I335" t="s">
        <v>371</v>
      </c>
      <c r="J335" t="s">
        <v>90</v>
      </c>
      <c r="K335" t="s">
        <v>92</v>
      </c>
      <c r="L335" t="s">
        <v>93</v>
      </c>
      <c r="M335" t="s">
        <v>141</v>
      </c>
      <c r="N335" t="s">
        <v>142</v>
      </c>
      <c r="O335" t="s">
        <v>155</v>
      </c>
      <c r="P335" t="s">
        <v>281</v>
      </c>
      <c r="Q335" t="s">
        <v>155</v>
      </c>
      <c r="R335" t="s">
        <v>302</v>
      </c>
      <c r="S335" t="s">
        <v>369</v>
      </c>
      <c r="T335">
        <v>1</v>
      </c>
      <c r="U335" t="s">
        <v>409</v>
      </c>
      <c r="V335" t="s">
        <v>342</v>
      </c>
      <c r="W335" t="s">
        <v>411</v>
      </c>
      <c r="X335" t="s">
        <v>306</v>
      </c>
      <c r="Y335" t="s">
        <v>307</v>
      </c>
      <c r="Z335">
        <v>65</v>
      </c>
      <c r="AA335">
        <v>70</v>
      </c>
      <c r="AB335" t="s">
        <v>143</v>
      </c>
      <c r="AC335" t="s">
        <v>149</v>
      </c>
      <c r="AD335" t="s">
        <v>404</v>
      </c>
      <c r="AE335" t="str">
        <f>IF(AF335="","",VLOOKUP(AC335,mapel!$A$2:$B$42,2,FALSE))</f>
        <v>B.Indo</v>
      </c>
      <c r="AF335">
        <f t="shared" si="15"/>
        <v>70</v>
      </c>
      <c r="AG335" t="str">
        <f>IF(AF335="","",IF(AF335&gt;90,"Sangat baik",IF(AF335&gt;79,"Baik",IF(AF335&gt;=pub_gid_0_single_true_output_csv[[#This Row],[KKM]],"Cukup","Kurang"))))</f>
        <v>Cukup</v>
      </c>
      <c r="AH335">
        <f t="shared" si="16"/>
        <v>11</v>
      </c>
      <c r="AI335" s="30" t="str">
        <f>IF(OR(J335&lt;&gt;"Karakter",pub_gid_0_single_true_output_csv[[#This Row],[Nilai2]]=""),"",IF(AF335&gt;89,"Sangat baik",IF(AF335&gt;79,"Baik",IF(AF335&gt;69,"Cukup",IF(AF335&gt;59,"Kurang","Sangat kurang")))))</f>
        <v>Cukup</v>
      </c>
      <c r="AJ335" t="str">
        <f t="shared" si="17"/>
        <v>Wk.5</v>
      </c>
      <c r="AK335" t="str">
        <f>IF(pub_gid_0_single_true_output_csv[[#This Row],[Nilai2]]="","",VLOOKUP(pub_gid_0_single_true_output_csv[[#This Row],[NAMA]],Table7[],3,FALSE))</f>
        <v>Low average</v>
      </c>
    </row>
    <row r="336" spans="1:37" x14ac:dyDescent="0.2">
      <c r="A336">
        <v>335</v>
      </c>
      <c r="B336" t="s">
        <v>295</v>
      </c>
      <c r="C336" t="s">
        <v>54</v>
      </c>
      <c r="D336" t="s">
        <v>47</v>
      </c>
      <c r="E336" t="s">
        <v>148</v>
      </c>
      <c r="F336" s="25">
        <v>46049</v>
      </c>
      <c r="G336" t="s">
        <v>373</v>
      </c>
      <c r="H336" t="s">
        <v>405</v>
      </c>
      <c r="I336" t="s">
        <v>371</v>
      </c>
      <c r="J336" t="s">
        <v>279</v>
      </c>
      <c r="K336" t="s">
        <v>280</v>
      </c>
      <c r="L336" t="s">
        <v>322</v>
      </c>
      <c r="M336" t="s">
        <v>141</v>
      </c>
      <c r="N336" t="s">
        <v>142</v>
      </c>
      <c r="O336" t="s">
        <v>155</v>
      </c>
      <c r="P336" t="s">
        <v>281</v>
      </c>
      <c r="Q336" t="s">
        <v>155</v>
      </c>
      <c r="R336" t="s">
        <v>302</v>
      </c>
      <c r="S336" t="s">
        <v>369</v>
      </c>
      <c r="T336">
        <v>1</v>
      </c>
      <c r="U336" t="s">
        <v>409</v>
      </c>
      <c r="V336" t="s">
        <v>342</v>
      </c>
      <c r="W336" t="s">
        <v>411</v>
      </c>
      <c r="X336" t="s">
        <v>306</v>
      </c>
      <c r="Y336" t="s">
        <v>307</v>
      </c>
      <c r="Z336">
        <v>65</v>
      </c>
      <c r="AA336">
        <v>69</v>
      </c>
      <c r="AB336" t="s">
        <v>143</v>
      </c>
      <c r="AC336" t="s">
        <v>149</v>
      </c>
      <c r="AD336" t="s">
        <v>404</v>
      </c>
      <c r="AE336" t="str">
        <f>IF(AF336="","",VLOOKUP(AC336,mapel!$A$2:$B$42,2,FALSE))</f>
        <v>B.Indo</v>
      </c>
      <c r="AF336">
        <f t="shared" si="15"/>
        <v>69</v>
      </c>
      <c r="AG336" t="str">
        <f>IF(AF336="","",IF(AF336&gt;90,"Sangat baik",IF(AF336&gt;79,"Baik",IF(AF336&gt;=pub_gid_0_single_true_output_csv[[#This Row],[KKM]],"Cukup","Kurang"))))</f>
        <v>Cukup</v>
      </c>
      <c r="AH336">
        <f t="shared" si="16"/>
        <v>11</v>
      </c>
      <c r="AI336" s="30" t="str">
        <f>IF(OR(J336&lt;&gt;"Karakter",pub_gid_0_single_true_output_csv[[#This Row],[Nilai2]]=""),"",IF(AF336&gt;89,"Sangat baik",IF(AF336&gt;79,"Baik",IF(AF336&gt;69,"Cukup",IF(AF336&gt;59,"Kurang","Sangat kurang")))))</f>
        <v/>
      </c>
      <c r="AJ336" t="str">
        <f t="shared" si="17"/>
        <v>Wk.5</v>
      </c>
      <c r="AK336" t="str">
        <f>IF(pub_gid_0_single_true_output_csv[[#This Row],[Nilai2]]="","",VLOOKUP(pub_gid_0_single_true_output_csv[[#This Row],[NAMA]],Table7[],3,FALSE))</f>
        <v>Low average</v>
      </c>
    </row>
    <row r="337" spans="1:37" x14ac:dyDescent="0.2">
      <c r="A337">
        <v>336</v>
      </c>
      <c r="B337" t="s">
        <v>295</v>
      </c>
      <c r="C337" t="s">
        <v>54</v>
      </c>
      <c r="D337" t="s">
        <v>47</v>
      </c>
      <c r="E337" t="s">
        <v>148</v>
      </c>
      <c r="F337" s="25">
        <v>46055</v>
      </c>
      <c r="G337" t="s">
        <v>379</v>
      </c>
      <c r="H337" t="s">
        <v>412</v>
      </c>
      <c r="I337" t="s">
        <v>371</v>
      </c>
      <c r="J337" t="s">
        <v>36</v>
      </c>
      <c r="K337" t="s">
        <v>37</v>
      </c>
      <c r="L337" t="s">
        <v>150</v>
      </c>
      <c r="M337" t="s">
        <v>141</v>
      </c>
      <c r="N337" t="s">
        <v>142</v>
      </c>
      <c r="O337" t="s">
        <v>155</v>
      </c>
      <c r="P337" t="s">
        <v>281</v>
      </c>
      <c r="Q337" t="s">
        <v>155</v>
      </c>
      <c r="R337" t="s">
        <v>302</v>
      </c>
      <c r="S337" t="s">
        <v>345</v>
      </c>
      <c r="T337">
        <v>1</v>
      </c>
      <c r="U337" t="s">
        <v>409</v>
      </c>
      <c r="V337" t="s">
        <v>343</v>
      </c>
      <c r="W337" t="s">
        <v>413</v>
      </c>
      <c r="X337" t="s">
        <v>306</v>
      </c>
      <c r="Y337" t="s">
        <v>307</v>
      </c>
      <c r="Z337">
        <v>65</v>
      </c>
      <c r="AA337">
        <v>64</v>
      </c>
      <c r="AB337" t="s">
        <v>151</v>
      </c>
      <c r="AC337" t="s">
        <v>149</v>
      </c>
      <c r="AD337" t="s">
        <v>404</v>
      </c>
      <c r="AE337" t="str">
        <f>IF(AF337="","",VLOOKUP(AC337,mapel!$A$2:$B$42,2,FALSE))</f>
        <v>B.Indo</v>
      </c>
      <c r="AF337">
        <f t="shared" si="15"/>
        <v>64</v>
      </c>
      <c r="AG337" t="str">
        <f>IF(AF337="","",IF(AF337&gt;90,"Sangat baik",IF(AF337&gt;79,"Baik",IF(AF337&gt;=pub_gid_0_single_true_output_csv[[#This Row],[KKM]],"Cukup","Kurang"))))</f>
        <v>Kurang</v>
      </c>
      <c r="AH337">
        <f t="shared" si="16"/>
        <v>11</v>
      </c>
      <c r="AI337" s="30" t="str">
        <f>IF(OR(J337&lt;&gt;"Karakter",pub_gid_0_single_true_output_csv[[#This Row],[Nilai2]]=""),"",IF(AF337&gt;89,"Sangat baik",IF(AF337&gt;79,"Baik",IF(AF337&gt;69,"Cukup",IF(AF337&gt;59,"Kurang","Sangat kurang")))))</f>
        <v/>
      </c>
      <c r="AJ337" t="str">
        <f t="shared" si="17"/>
        <v>Wk.6</v>
      </c>
      <c r="AK337" t="str">
        <f>IF(pub_gid_0_single_true_output_csv[[#This Row],[Nilai2]]="","",VLOOKUP(pub_gid_0_single_true_output_csv[[#This Row],[NAMA]],Table7[],3,FALSE))</f>
        <v>Low average</v>
      </c>
    </row>
    <row r="338" spans="1:37" x14ac:dyDescent="0.2">
      <c r="A338">
        <v>337</v>
      </c>
      <c r="B338" t="s">
        <v>295</v>
      </c>
      <c r="C338" t="s">
        <v>54</v>
      </c>
      <c r="D338" t="s">
        <v>47</v>
      </c>
      <c r="E338" t="s">
        <v>148</v>
      </c>
      <c r="F338" s="25">
        <v>46055</v>
      </c>
      <c r="G338" t="s">
        <v>379</v>
      </c>
      <c r="H338" t="s">
        <v>412</v>
      </c>
      <c r="I338" t="s">
        <v>371</v>
      </c>
      <c r="J338" t="s">
        <v>31</v>
      </c>
      <c r="K338" t="s">
        <v>96</v>
      </c>
      <c r="L338" t="s">
        <v>150</v>
      </c>
      <c r="M338" t="s">
        <v>141</v>
      </c>
      <c r="N338" t="s">
        <v>142</v>
      </c>
      <c r="O338" t="s">
        <v>155</v>
      </c>
      <c r="P338" t="s">
        <v>281</v>
      </c>
      <c r="Q338" t="s">
        <v>155</v>
      </c>
      <c r="R338" t="s">
        <v>302</v>
      </c>
      <c r="S338" t="s">
        <v>345</v>
      </c>
      <c r="T338">
        <v>1</v>
      </c>
      <c r="U338" t="s">
        <v>409</v>
      </c>
      <c r="V338" t="s">
        <v>343</v>
      </c>
      <c r="W338" t="s">
        <v>413</v>
      </c>
      <c r="X338" t="s">
        <v>306</v>
      </c>
      <c r="Y338" t="s">
        <v>307</v>
      </c>
      <c r="Z338">
        <v>65</v>
      </c>
      <c r="AA338">
        <v>60</v>
      </c>
      <c r="AB338" t="s">
        <v>151</v>
      </c>
      <c r="AC338" t="s">
        <v>149</v>
      </c>
      <c r="AD338" t="s">
        <v>404</v>
      </c>
      <c r="AE338" t="str">
        <f>IF(AF338="","",VLOOKUP(AC338,mapel!$A$2:$B$42,2,FALSE))</f>
        <v>B.Indo</v>
      </c>
      <c r="AF338">
        <f t="shared" si="15"/>
        <v>60</v>
      </c>
      <c r="AG338" t="str">
        <f>IF(AF338="","",IF(AF338&gt;90,"Sangat baik",IF(AF338&gt;79,"Baik",IF(AF338&gt;=pub_gid_0_single_true_output_csv[[#This Row],[KKM]],"Cukup","Kurang"))))</f>
        <v>Kurang</v>
      </c>
      <c r="AH338">
        <f t="shared" si="16"/>
        <v>11</v>
      </c>
      <c r="AI338" s="30" t="str">
        <f>IF(OR(J338&lt;&gt;"Karakter",pub_gid_0_single_true_output_csv[[#This Row],[Nilai2]]=""),"",IF(AF338&gt;89,"Sangat baik",IF(AF338&gt;79,"Baik",IF(AF338&gt;69,"Cukup",IF(AF338&gt;59,"Kurang","Sangat kurang")))))</f>
        <v/>
      </c>
      <c r="AJ338" t="str">
        <f t="shared" si="17"/>
        <v>Wk.6</v>
      </c>
      <c r="AK338" t="str">
        <f>IF(pub_gid_0_single_true_output_csv[[#This Row],[Nilai2]]="","",VLOOKUP(pub_gid_0_single_true_output_csv[[#This Row],[NAMA]],Table7[],3,FALSE))</f>
        <v>Low average</v>
      </c>
    </row>
    <row r="339" spans="1:37" x14ac:dyDescent="0.2">
      <c r="A339">
        <v>338</v>
      </c>
      <c r="B339" t="s">
        <v>295</v>
      </c>
      <c r="C339" t="s">
        <v>54</v>
      </c>
      <c r="D339" t="s">
        <v>47</v>
      </c>
      <c r="E339" t="s">
        <v>148</v>
      </c>
      <c r="F339" s="25">
        <v>46055</v>
      </c>
      <c r="G339" t="s">
        <v>379</v>
      </c>
      <c r="H339" t="s">
        <v>412</v>
      </c>
      <c r="I339" t="s">
        <v>371</v>
      </c>
      <c r="J339" t="s">
        <v>90</v>
      </c>
      <c r="K339" t="s">
        <v>92</v>
      </c>
      <c r="L339" t="s">
        <v>91</v>
      </c>
      <c r="M339" t="s">
        <v>141</v>
      </c>
      <c r="N339" t="s">
        <v>142</v>
      </c>
      <c r="O339" t="s">
        <v>155</v>
      </c>
      <c r="P339" t="s">
        <v>281</v>
      </c>
      <c r="Q339" t="s">
        <v>155</v>
      </c>
      <c r="R339" t="s">
        <v>302</v>
      </c>
      <c r="S339" t="s">
        <v>345</v>
      </c>
      <c r="T339">
        <v>1</v>
      </c>
      <c r="U339" t="s">
        <v>409</v>
      </c>
      <c r="V339" t="s">
        <v>343</v>
      </c>
      <c r="W339" t="s">
        <v>413</v>
      </c>
      <c r="X339" t="s">
        <v>306</v>
      </c>
      <c r="Y339" t="s">
        <v>307</v>
      </c>
      <c r="Z339">
        <v>65</v>
      </c>
      <c r="AA339">
        <v>65</v>
      </c>
      <c r="AB339" t="s">
        <v>143</v>
      </c>
      <c r="AC339" t="s">
        <v>149</v>
      </c>
      <c r="AD339" t="s">
        <v>404</v>
      </c>
      <c r="AE339" t="str">
        <f>IF(AF339="","",VLOOKUP(AC339,mapel!$A$2:$B$42,2,FALSE))</f>
        <v>B.Indo</v>
      </c>
      <c r="AF339">
        <f t="shared" si="15"/>
        <v>65</v>
      </c>
      <c r="AG339" t="str">
        <f>IF(AF339="","",IF(AF339&gt;90,"Sangat baik",IF(AF339&gt;79,"Baik",IF(AF339&gt;=pub_gid_0_single_true_output_csv[[#This Row],[KKM]],"Cukup","Kurang"))))</f>
        <v>Cukup</v>
      </c>
      <c r="AH339">
        <f t="shared" si="16"/>
        <v>11</v>
      </c>
      <c r="AI339" s="30" t="str">
        <f>IF(OR(J339&lt;&gt;"Karakter",pub_gid_0_single_true_output_csv[[#This Row],[Nilai2]]=""),"",IF(AF339&gt;89,"Sangat baik",IF(AF339&gt;79,"Baik",IF(AF339&gt;69,"Cukup",IF(AF339&gt;59,"Kurang","Sangat kurang")))))</f>
        <v>Kurang</v>
      </c>
      <c r="AJ339" t="str">
        <f t="shared" si="17"/>
        <v>Wk.6</v>
      </c>
      <c r="AK339" t="str">
        <f>IF(pub_gid_0_single_true_output_csv[[#This Row],[Nilai2]]="","",VLOOKUP(pub_gid_0_single_true_output_csv[[#This Row],[NAMA]],Table7[],3,FALSE))</f>
        <v>Low average</v>
      </c>
    </row>
    <row r="340" spans="1:37" x14ac:dyDescent="0.2">
      <c r="A340">
        <v>339</v>
      </c>
      <c r="B340" t="s">
        <v>295</v>
      </c>
      <c r="C340" t="s">
        <v>54</v>
      </c>
      <c r="D340" t="s">
        <v>47</v>
      </c>
      <c r="E340" t="s">
        <v>148</v>
      </c>
      <c r="F340" s="25">
        <v>46055</v>
      </c>
      <c r="G340" t="s">
        <v>379</v>
      </c>
      <c r="H340" t="s">
        <v>412</v>
      </c>
      <c r="I340" t="s">
        <v>371</v>
      </c>
      <c r="J340" t="s">
        <v>279</v>
      </c>
      <c r="K340" t="s">
        <v>280</v>
      </c>
      <c r="L340" t="s">
        <v>322</v>
      </c>
      <c r="M340" t="s">
        <v>141</v>
      </c>
      <c r="N340" t="s">
        <v>142</v>
      </c>
      <c r="O340" t="s">
        <v>155</v>
      </c>
      <c r="P340" t="s">
        <v>281</v>
      </c>
      <c r="Q340" t="s">
        <v>155</v>
      </c>
      <c r="R340" t="s">
        <v>302</v>
      </c>
      <c r="S340" t="s">
        <v>345</v>
      </c>
      <c r="T340">
        <v>1</v>
      </c>
      <c r="U340" t="s">
        <v>409</v>
      </c>
      <c r="V340" t="s">
        <v>343</v>
      </c>
      <c r="W340" t="s">
        <v>413</v>
      </c>
      <c r="X340" t="s">
        <v>306</v>
      </c>
      <c r="Y340" t="s">
        <v>307</v>
      </c>
      <c r="Z340">
        <v>65</v>
      </c>
      <c r="AA340">
        <v>70</v>
      </c>
      <c r="AB340" t="s">
        <v>143</v>
      </c>
      <c r="AC340" t="s">
        <v>149</v>
      </c>
      <c r="AD340" t="s">
        <v>404</v>
      </c>
      <c r="AE340" t="str">
        <f>IF(AF340="","",VLOOKUP(AC340,mapel!$A$2:$B$42,2,FALSE))</f>
        <v>B.Indo</v>
      </c>
      <c r="AF340">
        <f t="shared" si="15"/>
        <v>70</v>
      </c>
      <c r="AG340" t="str">
        <f>IF(AF340="","",IF(AF340&gt;90,"Sangat baik",IF(AF340&gt;79,"Baik",IF(AF340&gt;=pub_gid_0_single_true_output_csv[[#This Row],[KKM]],"Cukup","Kurang"))))</f>
        <v>Cukup</v>
      </c>
      <c r="AH340">
        <f t="shared" si="16"/>
        <v>11</v>
      </c>
      <c r="AI340" s="30" t="str">
        <f>IF(OR(J340&lt;&gt;"Karakter",pub_gid_0_single_true_output_csv[[#This Row],[Nilai2]]=""),"",IF(AF340&gt;89,"Sangat baik",IF(AF340&gt;79,"Baik",IF(AF340&gt;69,"Cukup",IF(AF340&gt;59,"Kurang","Sangat kurang")))))</f>
        <v/>
      </c>
      <c r="AJ340" t="str">
        <f t="shared" si="17"/>
        <v>Wk.6</v>
      </c>
      <c r="AK340" t="str">
        <f>IF(pub_gid_0_single_true_output_csv[[#This Row],[Nilai2]]="","",VLOOKUP(pub_gid_0_single_true_output_csv[[#This Row],[NAMA]],Table7[],3,FALSE))</f>
        <v>Low average</v>
      </c>
    </row>
    <row r="341" spans="1:37" x14ac:dyDescent="0.2">
      <c r="A341">
        <v>340</v>
      </c>
      <c r="B341" t="s">
        <v>295</v>
      </c>
      <c r="C341" t="s">
        <v>54</v>
      </c>
      <c r="D341" t="s">
        <v>47</v>
      </c>
      <c r="E341" t="s">
        <v>148</v>
      </c>
      <c r="F341" s="25">
        <v>46062</v>
      </c>
      <c r="G341" t="s">
        <v>376</v>
      </c>
      <c r="H341" t="s">
        <v>412</v>
      </c>
      <c r="I341" t="s">
        <v>371</v>
      </c>
      <c r="J341" t="s">
        <v>36</v>
      </c>
      <c r="K341" t="s">
        <v>37</v>
      </c>
      <c r="L341" t="s">
        <v>351</v>
      </c>
      <c r="M341" t="s">
        <v>141</v>
      </c>
      <c r="N341" t="s">
        <v>142</v>
      </c>
      <c r="O341" t="s">
        <v>155</v>
      </c>
      <c r="P341" t="s">
        <v>281</v>
      </c>
      <c r="Q341" t="s">
        <v>155</v>
      </c>
      <c r="R341" t="s">
        <v>302</v>
      </c>
      <c r="S341" t="s">
        <v>345</v>
      </c>
      <c r="T341">
        <v>1</v>
      </c>
      <c r="U341" t="s">
        <v>409</v>
      </c>
      <c r="V341" t="s">
        <v>343</v>
      </c>
      <c r="W341" t="s">
        <v>413</v>
      </c>
      <c r="X341" t="s">
        <v>306</v>
      </c>
      <c r="Y341" t="s">
        <v>307</v>
      </c>
      <c r="Z341">
        <v>65</v>
      </c>
      <c r="AA341">
        <v>55</v>
      </c>
      <c r="AB341" t="s">
        <v>151</v>
      </c>
      <c r="AC341" t="s">
        <v>149</v>
      </c>
      <c r="AD341" t="s">
        <v>404</v>
      </c>
      <c r="AE341" t="str">
        <f>IF(AF341="","",VLOOKUP(AC341,mapel!$A$2:$B$42,2,FALSE))</f>
        <v>B.Indo</v>
      </c>
      <c r="AF341">
        <f t="shared" si="15"/>
        <v>55</v>
      </c>
      <c r="AG341" t="str">
        <f>IF(AF341="","",IF(AF341&gt;90,"Sangat baik",IF(AF341&gt;79,"Baik",IF(AF341&gt;=pub_gid_0_single_true_output_csv[[#This Row],[KKM]],"Cukup","Kurang"))))</f>
        <v>Kurang</v>
      </c>
      <c r="AH341">
        <f t="shared" si="16"/>
        <v>11</v>
      </c>
      <c r="AI341" s="30" t="str">
        <f>IF(OR(J341&lt;&gt;"Karakter",pub_gid_0_single_true_output_csv[[#This Row],[Nilai2]]=""),"",IF(AF341&gt;89,"Sangat baik",IF(AF341&gt;79,"Baik",IF(AF341&gt;69,"Cukup",IF(AF341&gt;59,"Kurang","Sangat kurang")))))</f>
        <v/>
      </c>
      <c r="AJ341" t="str">
        <f t="shared" si="17"/>
        <v>Wk.7</v>
      </c>
      <c r="AK341" t="str">
        <f>IF(pub_gid_0_single_true_output_csv[[#This Row],[Nilai2]]="","",VLOOKUP(pub_gid_0_single_true_output_csv[[#This Row],[NAMA]],Table7[],3,FALSE))</f>
        <v>Low average</v>
      </c>
    </row>
    <row r="342" spans="1:37" x14ac:dyDescent="0.2">
      <c r="A342">
        <v>341</v>
      </c>
      <c r="B342" t="s">
        <v>295</v>
      </c>
      <c r="C342" t="s">
        <v>54</v>
      </c>
      <c r="D342" t="s">
        <v>47</v>
      </c>
      <c r="E342" t="s">
        <v>148</v>
      </c>
      <c r="F342" s="25">
        <v>46062</v>
      </c>
      <c r="G342" t="s">
        <v>376</v>
      </c>
      <c r="H342" t="s">
        <v>412</v>
      </c>
      <c r="I342" t="s">
        <v>371</v>
      </c>
      <c r="J342" t="s">
        <v>31</v>
      </c>
      <c r="K342" t="s">
        <v>96</v>
      </c>
      <c r="L342" t="s">
        <v>351</v>
      </c>
      <c r="M342" t="s">
        <v>141</v>
      </c>
      <c r="N342" t="s">
        <v>142</v>
      </c>
      <c r="O342" t="s">
        <v>155</v>
      </c>
      <c r="P342" t="s">
        <v>281</v>
      </c>
      <c r="Q342" t="s">
        <v>155</v>
      </c>
      <c r="R342" t="s">
        <v>302</v>
      </c>
      <c r="S342" t="s">
        <v>345</v>
      </c>
      <c r="T342">
        <v>1</v>
      </c>
      <c r="U342" t="s">
        <v>409</v>
      </c>
      <c r="V342" t="s">
        <v>343</v>
      </c>
      <c r="W342" t="s">
        <v>413</v>
      </c>
      <c r="X342" t="s">
        <v>306</v>
      </c>
      <c r="Y342" t="s">
        <v>307</v>
      </c>
      <c r="Z342">
        <v>65</v>
      </c>
      <c r="AA342">
        <v>60</v>
      </c>
      <c r="AB342" t="s">
        <v>151</v>
      </c>
      <c r="AC342" t="s">
        <v>149</v>
      </c>
      <c r="AD342" t="s">
        <v>404</v>
      </c>
      <c r="AE342" t="str">
        <f>IF(AF342="","",VLOOKUP(AC342,mapel!$A$2:$B$42,2,FALSE))</f>
        <v>B.Indo</v>
      </c>
      <c r="AF342">
        <f t="shared" si="15"/>
        <v>60</v>
      </c>
      <c r="AG342" t="str">
        <f>IF(AF342="","",IF(AF342&gt;90,"Sangat baik",IF(AF342&gt;79,"Baik",IF(AF342&gt;=pub_gid_0_single_true_output_csv[[#This Row],[KKM]],"Cukup","Kurang"))))</f>
        <v>Kurang</v>
      </c>
      <c r="AH342">
        <f t="shared" si="16"/>
        <v>11</v>
      </c>
      <c r="AI342" s="30" t="str">
        <f>IF(OR(J342&lt;&gt;"Karakter",pub_gid_0_single_true_output_csv[[#This Row],[Nilai2]]=""),"",IF(AF342&gt;89,"Sangat baik",IF(AF342&gt;79,"Baik",IF(AF342&gt;69,"Cukup",IF(AF342&gt;59,"Kurang","Sangat kurang")))))</f>
        <v/>
      </c>
      <c r="AJ342" t="str">
        <f t="shared" si="17"/>
        <v>Wk.7</v>
      </c>
      <c r="AK342" t="str">
        <f>IF(pub_gid_0_single_true_output_csv[[#This Row],[Nilai2]]="","",VLOOKUP(pub_gid_0_single_true_output_csv[[#This Row],[NAMA]],Table7[],3,FALSE))</f>
        <v>Low average</v>
      </c>
    </row>
    <row r="343" spans="1:37" x14ac:dyDescent="0.2">
      <c r="A343">
        <v>342</v>
      </c>
      <c r="B343" t="s">
        <v>295</v>
      </c>
      <c r="C343" t="s">
        <v>54</v>
      </c>
      <c r="D343" t="s">
        <v>47</v>
      </c>
      <c r="E343" t="s">
        <v>148</v>
      </c>
      <c r="F343" s="25">
        <v>46069</v>
      </c>
      <c r="G343" t="s">
        <v>382</v>
      </c>
      <c r="H343" t="s">
        <v>412</v>
      </c>
      <c r="I343" t="s">
        <v>371</v>
      </c>
      <c r="J343" t="s">
        <v>36</v>
      </c>
      <c r="K343" t="s">
        <v>37</v>
      </c>
      <c r="L343" t="s">
        <v>351</v>
      </c>
      <c r="M343" t="s">
        <v>141</v>
      </c>
      <c r="N343" t="s">
        <v>142</v>
      </c>
      <c r="O343" t="s">
        <v>155</v>
      </c>
      <c r="P343" t="s">
        <v>281</v>
      </c>
      <c r="Q343" t="s">
        <v>155</v>
      </c>
      <c r="R343" t="s">
        <v>302</v>
      </c>
      <c r="S343" t="s">
        <v>345</v>
      </c>
      <c r="T343">
        <v>1</v>
      </c>
      <c r="U343" t="s">
        <v>409</v>
      </c>
      <c r="V343" t="s">
        <v>343</v>
      </c>
      <c r="W343" t="s">
        <v>413</v>
      </c>
      <c r="X343" t="s">
        <v>306</v>
      </c>
      <c r="Y343" t="s">
        <v>307</v>
      </c>
      <c r="Z343">
        <v>65</v>
      </c>
      <c r="AA343">
        <v>65</v>
      </c>
      <c r="AB343" t="s">
        <v>143</v>
      </c>
      <c r="AC343" t="s">
        <v>149</v>
      </c>
      <c r="AD343" t="s">
        <v>404</v>
      </c>
      <c r="AE343" t="str">
        <f>IF(AF343="","",VLOOKUP(AC343,mapel!$A$2:$B$42,2,FALSE))</f>
        <v>B.Indo</v>
      </c>
      <c r="AF343">
        <f t="shared" si="15"/>
        <v>65</v>
      </c>
      <c r="AG343" t="str">
        <f>IF(AF343="","",IF(AF343&gt;90,"Sangat baik",IF(AF343&gt;79,"Baik",IF(AF343&gt;=pub_gid_0_single_true_output_csv[[#This Row],[KKM]],"Cukup","Kurang"))))</f>
        <v>Cukup</v>
      </c>
      <c r="AH343">
        <f t="shared" si="16"/>
        <v>11</v>
      </c>
      <c r="AI343" s="30" t="str">
        <f>IF(OR(J343&lt;&gt;"Karakter",pub_gid_0_single_true_output_csv[[#This Row],[Nilai2]]=""),"",IF(AF343&gt;89,"Sangat baik",IF(AF343&gt;79,"Baik",IF(AF343&gt;69,"Cukup",IF(AF343&gt;59,"Kurang","Sangat kurang")))))</f>
        <v/>
      </c>
      <c r="AJ343" t="str">
        <f t="shared" si="17"/>
        <v>Wk.8</v>
      </c>
      <c r="AK343" t="str">
        <f>IF(pub_gid_0_single_true_output_csv[[#This Row],[Nilai2]]="","",VLOOKUP(pub_gid_0_single_true_output_csv[[#This Row],[NAMA]],Table7[],3,FALSE))</f>
        <v>Low average</v>
      </c>
    </row>
    <row r="344" spans="1:37" x14ac:dyDescent="0.2">
      <c r="A344">
        <v>343</v>
      </c>
      <c r="B344" t="s">
        <v>295</v>
      </c>
      <c r="C344" t="s">
        <v>54</v>
      </c>
      <c r="D344" t="s">
        <v>47</v>
      </c>
      <c r="E344" t="s">
        <v>148</v>
      </c>
      <c r="F344" s="25">
        <v>46069</v>
      </c>
      <c r="G344" t="s">
        <v>382</v>
      </c>
      <c r="H344" t="s">
        <v>412</v>
      </c>
      <c r="I344" t="s">
        <v>371</v>
      </c>
      <c r="J344" t="s">
        <v>31</v>
      </c>
      <c r="K344" t="s">
        <v>96</v>
      </c>
      <c r="L344" t="s">
        <v>351</v>
      </c>
      <c r="M344" t="s">
        <v>141</v>
      </c>
      <c r="N344" t="s">
        <v>142</v>
      </c>
      <c r="O344" t="s">
        <v>155</v>
      </c>
      <c r="P344" t="s">
        <v>281</v>
      </c>
      <c r="Q344" t="s">
        <v>155</v>
      </c>
      <c r="R344" t="s">
        <v>302</v>
      </c>
      <c r="S344" t="s">
        <v>345</v>
      </c>
      <c r="T344">
        <v>1</v>
      </c>
      <c r="U344" t="s">
        <v>409</v>
      </c>
      <c r="V344" t="s">
        <v>343</v>
      </c>
      <c r="W344" t="s">
        <v>413</v>
      </c>
      <c r="X344" t="s">
        <v>306</v>
      </c>
      <c r="Y344" t="s">
        <v>307</v>
      </c>
      <c r="Z344">
        <v>65</v>
      </c>
      <c r="AA344">
        <v>60</v>
      </c>
      <c r="AB344" t="s">
        <v>151</v>
      </c>
      <c r="AC344" t="s">
        <v>149</v>
      </c>
      <c r="AD344" t="s">
        <v>404</v>
      </c>
      <c r="AE344" t="str">
        <f>IF(AF344="","",VLOOKUP(AC344,mapel!$A$2:$B$42,2,FALSE))</f>
        <v>B.Indo</v>
      </c>
      <c r="AF344">
        <f t="shared" si="15"/>
        <v>60</v>
      </c>
      <c r="AG344" t="str">
        <f>IF(AF344="","",IF(AF344&gt;90,"Sangat baik",IF(AF344&gt;79,"Baik",IF(AF344&gt;=pub_gid_0_single_true_output_csv[[#This Row],[KKM]],"Cukup","Kurang"))))</f>
        <v>Kurang</v>
      </c>
      <c r="AH344">
        <f t="shared" si="16"/>
        <v>11</v>
      </c>
      <c r="AI344" s="30" t="str">
        <f>IF(OR(J344&lt;&gt;"Karakter",pub_gid_0_single_true_output_csv[[#This Row],[Nilai2]]=""),"",IF(AF344&gt;89,"Sangat baik",IF(AF344&gt;79,"Baik",IF(AF344&gt;69,"Cukup",IF(AF344&gt;59,"Kurang","Sangat kurang")))))</f>
        <v/>
      </c>
      <c r="AJ344" t="str">
        <f t="shared" si="17"/>
        <v>Wk.8</v>
      </c>
      <c r="AK344" t="str">
        <f>IF(pub_gid_0_single_true_output_csv[[#This Row],[Nilai2]]="","",VLOOKUP(pub_gid_0_single_true_output_csv[[#This Row],[NAMA]],Table7[],3,FALSE))</f>
        <v>Low average</v>
      </c>
    </row>
    <row r="345" spans="1:37" x14ac:dyDescent="0.2">
      <c r="A345">
        <v>344</v>
      </c>
      <c r="B345" t="s">
        <v>295</v>
      </c>
      <c r="C345" t="s">
        <v>54</v>
      </c>
      <c r="D345" t="s">
        <v>47</v>
      </c>
      <c r="E345" t="s">
        <v>148</v>
      </c>
      <c r="F345" s="25">
        <v>46069</v>
      </c>
      <c r="G345" t="s">
        <v>382</v>
      </c>
      <c r="H345" t="s">
        <v>412</v>
      </c>
      <c r="I345" t="s">
        <v>371</v>
      </c>
      <c r="J345" t="s">
        <v>90</v>
      </c>
      <c r="K345" t="s">
        <v>92</v>
      </c>
      <c r="L345" t="s">
        <v>93</v>
      </c>
      <c r="M345" t="s">
        <v>141</v>
      </c>
      <c r="N345" t="s">
        <v>142</v>
      </c>
      <c r="O345" t="s">
        <v>155</v>
      </c>
      <c r="P345" t="s">
        <v>281</v>
      </c>
      <c r="Q345" t="s">
        <v>155</v>
      </c>
      <c r="R345" t="s">
        <v>302</v>
      </c>
      <c r="S345" t="s">
        <v>345</v>
      </c>
      <c r="T345">
        <v>1</v>
      </c>
      <c r="U345" t="s">
        <v>409</v>
      </c>
      <c r="V345" t="s">
        <v>343</v>
      </c>
      <c r="W345" t="s">
        <v>413</v>
      </c>
      <c r="X345" t="s">
        <v>306</v>
      </c>
      <c r="Y345" t="s">
        <v>307</v>
      </c>
      <c r="Z345">
        <v>65</v>
      </c>
      <c r="AA345">
        <v>70</v>
      </c>
      <c r="AB345" t="s">
        <v>143</v>
      </c>
      <c r="AC345" t="s">
        <v>149</v>
      </c>
      <c r="AD345" t="s">
        <v>404</v>
      </c>
      <c r="AE345" t="str">
        <f>IF(AF345="","",VLOOKUP(AC345,mapel!$A$2:$B$42,2,FALSE))</f>
        <v>B.Indo</v>
      </c>
      <c r="AF345">
        <f t="shared" si="15"/>
        <v>70</v>
      </c>
      <c r="AG345" t="str">
        <f>IF(AF345="","",IF(AF345&gt;90,"Sangat baik",IF(AF345&gt;79,"Baik",IF(AF345&gt;=pub_gid_0_single_true_output_csv[[#This Row],[KKM]],"Cukup","Kurang"))))</f>
        <v>Cukup</v>
      </c>
      <c r="AH345">
        <f t="shared" si="16"/>
        <v>11</v>
      </c>
      <c r="AI345" s="30" t="str">
        <f>IF(OR(J345&lt;&gt;"Karakter",pub_gid_0_single_true_output_csv[[#This Row],[Nilai2]]=""),"",IF(AF345&gt;89,"Sangat baik",IF(AF345&gt;79,"Baik",IF(AF345&gt;69,"Cukup",IF(AF345&gt;59,"Kurang","Sangat kurang")))))</f>
        <v>Cukup</v>
      </c>
      <c r="AJ345" t="str">
        <f t="shared" si="17"/>
        <v>Wk.8</v>
      </c>
      <c r="AK345" t="str">
        <f>IF(pub_gid_0_single_true_output_csv[[#This Row],[Nilai2]]="","",VLOOKUP(pub_gid_0_single_true_output_csv[[#This Row],[NAMA]],Table7[],3,FALSE))</f>
        <v>Low average</v>
      </c>
    </row>
    <row r="346" spans="1:37" x14ac:dyDescent="0.2">
      <c r="A346">
        <v>345</v>
      </c>
      <c r="B346" t="s">
        <v>295</v>
      </c>
      <c r="C346" t="s">
        <v>54</v>
      </c>
      <c r="D346" t="s">
        <v>47</v>
      </c>
      <c r="E346" t="s">
        <v>148</v>
      </c>
      <c r="F346" s="25">
        <v>46069</v>
      </c>
      <c r="G346" t="s">
        <v>382</v>
      </c>
      <c r="H346" t="s">
        <v>412</v>
      </c>
      <c r="I346" t="s">
        <v>371</v>
      </c>
      <c r="J346" t="s">
        <v>279</v>
      </c>
      <c r="K346" t="s">
        <v>280</v>
      </c>
      <c r="L346" t="s">
        <v>322</v>
      </c>
      <c r="M346" t="s">
        <v>141</v>
      </c>
      <c r="N346" t="s">
        <v>142</v>
      </c>
      <c r="O346" t="s">
        <v>155</v>
      </c>
      <c r="P346" t="s">
        <v>281</v>
      </c>
      <c r="Q346" t="s">
        <v>155</v>
      </c>
      <c r="R346" t="s">
        <v>302</v>
      </c>
      <c r="S346" t="s">
        <v>345</v>
      </c>
      <c r="T346">
        <v>1</v>
      </c>
      <c r="U346" t="s">
        <v>409</v>
      </c>
      <c r="V346" t="s">
        <v>343</v>
      </c>
      <c r="W346" t="s">
        <v>413</v>
      </c>
      <c r="X346" t="s">
        <v>306</v>
      </c>
      <c r="Y346" t="s">
        <v>307</v>
      </c>
      <c r="Z346">
        <v>65</v>
      </c>
      <c r="AA346">
        <v>69</v>
      </c>
      <c r="AB346" t="s">
        <v>143</v>
      </c>
      <c r="AC346" t="s">
        <v>149</v>
      </c>
      <c r="AD346" t="s">
        <v>404</v>
      </c>
      <c r="AE346" t="str">
        <f>IF(AF346="","",VLOOKUP(AC346,mapel!$A$2:$B$42,2,FALSE))</f>
        <v>B.Indo</v>
      </c>
      <c r="AF346">
        <f t="shared" si="15"/>
        <v>69</v>
      </c>
      <c r="AG346" t="str">
        <f>IF(AF346="","",IF(AF346&gt;90,"Sangat baik",IF(AF346&gt;79,"Baik",IF(AF346&gt;=pub_gid_0_single_true_output_csv[[#This Row],[KKM]],"Cukup","Kurang"))))</f>
        <v>Cukup</v>
      </c>
      <c r="AH346">
        <f t="shared" si="16"/>
        <v>11</v>
      </c>
      <c r="AI346" s="30" t="str">
        <f>IF(OR(J346&lt;&gt;"Karakter",pub_gid_0_single_true_output_csv[[#This Row],[Nilai2]]=""),"",IF(AF346&gt;89,"Sangat baik",IF(AF346&gt;79,"Baik",IF(AF346&gt;69,"Cukup",IF(AF346&gt;59,"Kurang","Sangat kurang")))))</f>
        <v/>
      </c>
      <c r="AJ346" t="str">
        <f t="shared" si="17"/>
        <v>Wk.8</v>
      </c>
      <c r="AK346" t="str">
        <f>IF(pub_gid_0_single_true_output_csv[[#This Row],[Nilai2]]="","",VLOOKUP(pub_gid_0_single_true_output_csv[[#This Row],[NAMA]],Table7[],3,FALSE))</f>
        <v>Low average</v>
      </c>
    </row>
    <row r="347" spans="1:37" x14ac:dyDescent="0.2">
      <c r="A347">
        <v>346</v>
      </c>
      <c r="B347" t="s">
        <v>296</v>
      </c>
      <c r="C347" t="s">
        <v>54</v>
      </c>
      <c r="D347" t="s">
        <v>48</v>
      </c>
      <c r="E347" t="s">
        <v>140</v>
      </c>
      <c r="F347" s="25">
        <v>46034</v>
      </c>
      <c r="G347" t="s">
        <v>354</v>
      </c>
      <c r="H347" t="s">
        <v>405</v>
      </c>
      <c r="I347" t="s">
        <v>371</v>
      </c>
      <c r="J347" t="s">
        <v>36</v>
      </c>
      <c r="K347" t="s">
        <v>362</v>
      </c>
      <c r="L347" t="s">
        <v>408</v>
      </c>
      <c r="M347" t="s">
        <v>141</v>
      </c>
      <c r="N347" t="s">
        <v>142</v>
      </c>
      <c r="O347" t="s">
        <v>155</v>
      </c>
      <c r="P347" t="s">
        <v>281</v>
      </c>
      <c r="Q347" t="s">
        <v>155</v>
      </c>
      <c r="R347" t="s">
        <v>273</v>
      </c>
      <c r="S347" t="s">
        <v>309</v>
      </c>
      <c r="T347">
        <v>1</v>
      </c>
      <c r="U347" t="s">
        <v>409</v>
      </c>
      <c r="V347" t="s">
        <v>285</v>
      </c>
      <c r="W347" t="s">
        <v>410</v>
      </c>
      <c r="X347" t="s">
        <v>306</v>
      </c>
      <c r="Y347" t="s">
        <v>307</v>
      </c>
      <c r="Z347">
        <v>65</v>
      </c>
      <c r="AA347">
        <v>5</v>
      </c>
      <c r="AB347" t="s">
        <v>151</v>
      </c>
      <c r="AC347" t="s">
        <v>149</v>
      </c>
      <c r="AD347" t="s">
        <v>404</v>
      </c>
      <c r="AE347" t="str">
        <f>IF(AF347="","",VLOOKUP(AC347,mapel!$A$2:$B$42,2,FALSE))</f>
        <v>B.Indo</v>
      </c>
      <c r="AF347">
        <f t="shared" si="15"/>
        <v>5</v>
      </c>
      <c r="AG347" t="str">
        <f>IF(AF347="","",IF(AF347&gt;90,"Sangat baik",IF(AF347&gt;79,"Baik",IF(AF347&gt;=pub_gid_0_single_true_output_csv[[#This Row],[KKM]],"Cukup","Kurang"))))</f>
        <v>Kurang</v>
      </c>
      <c r="AH347">
        <f t="shared" si="16"/>
        <v>11</v>
      </c>
      <c r="AI347" s="30" t="str">
        <f>IF(OR(J347&lt;&gt;"Karakter",pub_gid_0_single_true_output_csv[[#This Row],[Nilai2]]=""),"",IF(AF347&gt;89,"Sangat baik",IF(AF347&gt;79,"Baik",IF(AF347&gt;69,"Cukup",IF(AF347&gt;59,"Kurang","Sangat kurang")))))</f>
        <v/>
      </c>
      <c r="AJ347" t="str">
        <f t="shared" si="17"/>
        <v>Wk.3</v>
      </c>
      <c r="AK347" t="str">
        <f>IF(pub_gid_0_single_true_output_csv[[#This Row],[Nilai2]]="","",VLOOKUP(pub_gid_0_single_true_output_csv[[#This Row],[NAMA]],Table7[],3,FALSE))</f>
        <v>Average</v>
      </c>
    </row>
    <row r="348" spans="1:37" x14ac:dyDescent="0.2">
      <c r="A348">
        <v>347</v>
      </c>
      <c r="B348" t="s">
        <v>296</v>
      </c>
      <c r="C348" t="s">
        <v>54</v>
      </c>
      <c r="D348" t="s">
        <v>48</v>
      </c>
      <c r="E348" t="s">
        <v>140</v>
      </c>
      <c r="F348" s="25">
        <v>46035</v>
      </c>
      <c r="G348" t="s">
        <v>358</v>
      </c>
      <c r="H348" t="s">
        <v>405</v>
      </c>
      <c r="I348" t="s">
        <v>371</v>
      </c>
      <c r="J348" t="s">
        <v>36</v>
      </c>
      <c r="K348" t="s">
        <v>37</v>
      </c>
      <c r="L348" t="s">
        <v>150</v>
      </c>
      <c r="M348" t="s">
        <v>141</v>
      </c>
      <c r="N348" t="s">
        <v>142</v>
      </c>
      <c r="O348" t="s">
        <v>155</v>
      </c>
      <c r="P348" t="s">
        <v>281</v>
      </c>
      <c r="Q348" t="s">
        <v>155</v>
      </c>
      <c r="R348" t="s">
        <v>273</v>
      </c>
      <c r="S348" t="s">
        <v>309</v>
      </c>
      <c r="T348">
        <v>1</v>
      </c>
      <c r="U348" t="s">
        <v>409</v>
      </c>
      <c r="V348" t="s">
        <v>285</v>
      </c>
      <c r="W348" t="s">
        <v>410</v>
      </c>
      <c r="X348" t="s">
        <v>306</v>
      </c>
      <c r="Y348" t="s">
        <v>307</v>
      </c>
      <c r="Z348">
        <v>65</v>
      </c>
      <c r="AA348">
        <v>75</v>
      </c>
      <c r="AB348" t="s">
        <v>143</v>
      </c>
      <c r="AC348" t="s">
        <v>149</v>
      </c>
      <c r="AD348" t="s">
        <v>404</v>
      </c>
      <c r="AE348" t="str">
        <f>IF(AF348="","",VLOOKUP(AC348,mapel!$A$2:$B$42,2,FALSE))</f>
        <v>B.Indo</v>
      </c>
      <c r="AF348">
        <f t="shared" si="15"/>
        <v>75</v>
      </c>
      <c r="AG348" t="str">
        <f>IF(AF348="","",IF(AF348&gt;90,"Sangat baik",IF(AF348&gt;79,"Baik",IF(AF348&gt;=pub_gid_0_single_true_output_csv[[#This Row],[KKM]],"Cukup","Kurang"))))</f>
        <v>Cukup</v>
      </c>
      <c r="AH348">
        <f t="shared" si="16"/>
        <v>11</v>
      </c>
      <c r="AI348" s="30" t="str">
        <f>IF(OR(J348&lt;&gt;"Karakter",pub_gid_0_single_true_output_csv[[#This Row],[Nilai2]]=""),"",IF(AF348&gt;89,"Sangat baik",IF(AF348&gt;79,"Baik",IF(AF348&gt;69,"Cukup",IF(AF348&gt;59,"Kurang","Sangat kurang")))))</f>
        <v/>
      </c>
      <c r="AJ348" t="str">
        <f t="shared" si="17"/>
        <v>Wk.3</v>
      </c>
      <c r="AK348" t="str">
        <f>IF(pub_gid_0_single_true_output_csv[[#This Row],[Nilai2]]="","",VLOOKUP(pub_gid_0_single_true_output_csv[[#This Row],[NAMA]],Table7[],3,FALSE))</f>
        <v>Average</v>
      </c>
    </row>
    <row r="349" spans="1:37" x14ac:dyDescent="0.2">
      <c r="A349">
        <v>348</v>
      </c>
      <c r="B349" t="s">
        <v>296</v>
      </c>
      <c r="C349" t="s">
        <v>54</v>
      </c>
      <c r="D349" t="s">
        <v>48</v>
      </c>
      <c r="E349" t="s">
        <v>140</v>
      </c>
      <c r="F349" s="25">
        <v>46035</v>
      </c>
      <c r="G349" t="s">
        <v>358</v>
      </c>
      <c r="H349" t="s">
        <v>405</v>
      </c>
      <c r="I349" t="s">
        <v>371</v>
      </c>
      <c r="J349" t="s">
        <v>31</v>
      </c>
      <c r="K349" t="s">
        <v>32</v>
      </c>
      <c r="L349" t="s">
        <v>150</v>
      </c>
      <c r="M349" t="s">
        <v>141</v>
      </c>
      <c r="N349" t="s">
        <v>142</v>
      </c>
      <c r="O349" t="s">
        <v>155</v>
      </c>
      <c r="P349" t="s">
        <v>281</v>
      </c>
      <c r="Q349" t="s">
        <v>155</v>
      </c>
      <c r="R349" t="s">
        <v>273</v>
      </c>
      <c r="S349" t="s">
        <v>309</v>
      </c>
      <c r="T349">
        <v>1</v>
      </c>
      <c r="U349" t="s">
        <v>409</v>
      </c>
      <c r="V349" t="s">
        <v>285</v>
      </c>
      <c r="W349" t="s">
        <v>410</v>
      </c>
      <c r="X349" t="s">
        <v>306</v>
      </c>
      <c r="Y349" t="s">
        <v>307</v>
      </c>
      <c r="Z349">
        <v>65</v>
      </c>
      <c r="AA349">
        <v>68</v>
      </c>
      <c r="AB349" t="s">
        <v>143</v>
      </c>
      <c r="AC349" t="s">
        <v>149</v>
      </c>
      <c r="AD349" t="s">
        <v>404</v>
      </c>
      <c r="AE349" t="str">
        <f>IF(AF349="","",VLOOKUP(AC349,mapel!$A$2:$B$42,2,FALSE))</f>
        <v>B.Indo</v>
      </c>
      <c r="AF349">
        <f t="shared" si="15"/>
        <v>68</v>
      </c>
      <c r="AG349" t="str">
        <f>IF(AF349="","",IF(AF349&gt;90,"Sangat baik",IF(AF349&gt;79,"Baik",IF(AF349&gt;=pub_gid_0_single_true_output_csv[[#This Row],[KKM]],"Cukup","Kurang"))))</f>
        <v>Cukup</v>
      </c>
      <c r="AH349">
        <f t="shared" si="16"/>
        <v>11</v>
      </c>
      <c r="AI349" s="30" t="str">
        <f>IF(OR(J349&lt;&gt;"Karakter",pub_gid_0_single_true_output_csv[[#This Row],[Nilai2]]=""),"",IF(AF349&gt;89,"Sangat baik",IF(AF349&gt;79,"Baik",IF(AF349&gt;69,"Cukup",IF(AF349&gt;59,"Kurang","Sangat kurang")))))</f>
        <v/>
      </c>
      <c r="AJ349" t="str">
        <f t="shared" si="17"/>
        <v>Wk.3</v>
      </c>
      <c r="AK349" t="str">
        <f>IF(pub_gid_0_single_true_output_csv[[#This Row],[Nilai2]]="","",VLOOKUP(pub_gid_0_single_true_output_csv[[#This Row],[NAMA]],Table7[],3,FALSE))</f>
        <v>Average</v>
      </c>
    </row>
    <row r="350" spans="1:37" x14ac:dyDescent="0.2">
      <c r="A350">
        <v>349</v>
      </c>
      <c r="B350" t="s">
        <v>296</v>
      </c>
      <c r="C350" t="s">
        <v>54</v>
      </c>
      <c r="D350" t="s">
        <v>48</v>
      </c>
      <c r="E350" t="s">
        <v>140</v>
      </c>
      <c r="F350" s="25">
        <v>46035</v>
      </c>
      <c r="G350" t="s">
        <v>358</v>
      </c>
      <c r="H350" t="s">
        <v>405</v>
      </c>
      <c r="I350" t="s">
        <v>371</v>
      </c>
      <c r="J350" t="s">
        <v>90</v>
      </c>
      <c r="K350" t="s">
        <v>92</v>
      </c>
      <c r="L350" t="s">
        <v>93</v>
      </c>
      <c r="M350" t="s">
        <v>141</v>
      </c>
      <c r="N350" t="s">
        <v>142</v>
      </c>
      <c r="O350" t="s">
        <v>155</v>
      </c>
      <c r="P350" t="s">
        <v>281</v>
      </c>
      <c r="Q350" t="s">
        <v>155</v>
      </c>
      <c r="R350" t="s">
        <v>273</v>
      </c>
      <c r="S350" t="s">
        <v>309</v>
      </c>
      <c r="T350">
        <v>1</v>
      </c>
      <c r="U350" t="s">
        <v>409</v>
      </c>
      <c r="V350" t="s">
        <v>285</v>
      </c>
      <c r="W350" t="s">
        <v>410</v>
      </c>
      <c r="X350" t="s">
        <v>306</v>
      </c>
      <c r="Y350" t="s">
        <v>307</v>
      </c>
      <c r="Z350">
        <v>65</v>
      </c>
      <c r="AA350">
        <v>70</v>
      </c>
      <c r="AB350" t="s">
        <v>143</v>
      </c>
      <c r="AC350" t="s">
        <v>149</v>
      </c>
      <c r="AD350" t="s">
        <v>404</v>
      </c>
      <c r="AE350" t="str">
        <f>IF(AF350="","",VLOOKUP(AC350,mapel!$A$2:$B$42,2,FALSE))</f>
        <v>B.Indo</v>
      </c>
      <c r="AF350">
        <f t="shared" si="15"/>
        <v>70</v>
      </c>
      <c r="AG350" t="str">
        <f>IF(AF350="","",IF(AF350&gt;90,"Sangat baik",IF(AF350&gt;79,"Baik",IF(AF350&gt;=pub_gid_0_single_true_output_csv[[#This Row],[KKM]],"Cukup","Kurang"))))</f>
        <v>Cukup</v>
      </c>
      <c r="AH350">
        <f t="shared" si="16"/>
        <v>11</v>
      </c>
      <c r="AI350" s="30" t="str">
        <f>IF(OR(J350&lt;&gt;"Karakter",pub_gid_0_single_true_output_csv[[#This Row],[Nilai2]]=""),"",IF(AF350&gt;89,"Sangat baik",IF(AF350&gt;79,"Baik",IF(AF350&gt;69,"Cukup",IF(AF350&gt;59,"Kurang","Sangat kurang")))))</f>
        <v>Cukup</v>
      </c>
      <c r="AJ350" t="str">
        <f t="shared" si="17"/>
        <v>Wk.3</v>
      </c>
      <c r="AK350" t="str">
        <f>IF(pub_gid_0_single_true_output_csv[[#This Row],[Nilai2]]="","",VLOOKUP(pub_gid_0_single_true_output_csv[[#This Row],[NAMA]],Table7[],3,FALSE))</f>
        <v>Average</v>
      </c>
    </row>
    <row r="351" spans="1:37" x14ac:dyDescent="0.2">
      <c r="A351">
        <v>350</v>
      </c>
      <c r="B351" t="s">
        <v>296</v>
      </c>
      <c r="C351" t="s">
        <v>54</v>
      </c>
      <c r="D351" t="s">
        <v>48</v>
      </c>
      <c r="E351" t="s">
        <v>140</v>
      </c>
      <c r="F351" s="25">
        <v>46035</v>
      </c>
      <c r="G351" t="s">
        <v>358</v>
      </c>
      <c r="H351" t="s">
        <v>405</v>
      </c>
      <c r="I351" t="s">
        <v>371</v>
      </c>
      <c r="J351" t="s">
        <v>279</v>
      </c>
      <c r="K351" t="s">
        <v>280</v>
      </c>
      <c r="L351" t="s">
        <v>150</v>
      </c>
      <c r="M351" t="s">
        <v>141</v>
      </c>
      <c r="N351" t="s">
        <v>142</v>
      </c>
      <c r="O351" t="s">
        <v>155</v>
      </c>
      <c r="P351" t="s">
        <v>281</v>
      </c>
      <c r="Q351" t="s">
        <v>155</v>
      </c>
      <c r="R351" t="s">
        <v>273</v>
      </c>
      <c r="S351" t="s">
        <v>309</v>
      </c>
      <c r="T351">
        <v>1</v>
      </c>
      <c r="U351" t="s">
        <v>409</v>
      </c>
      <c r="V351" t="s">
        <v>285</v>
      </c>
      <c r="W351" t="s">
        <v>410</v>
      </c>
      <c r="X351" t="s">
        <v>306</v>
      </c>
      <c r="Y351" t="s">
        <v>307</v>
      </c>
      <c r="Z351">
        <v>65</v>
      </c>
      <c r="AA351">
        <v>70</v>
      </c>
      <c r="AB351" t="s">
        <v>143</v>
      </c>
      <c r="AC351" t="s">
        <v>149</v>
      </c>
      <c r="AD351" t="s">
        <v>404</v>
      </c>
      <c r="AE351" t="str">
        <f>IF(AF351="","",VLOOKUP(AC351,mapel!$A$2:$B$42,2,FALSE))</f>
        <v>B.Indo</v>
      </c>
      <c r="AF351">
        <f t="shared" si="15"/>
        <v>70</v>
      </c>
      <c r="AG351" t="str">
        <f>IF(AF351="","",IF(AF351&gt;90,"Sangat baik",IF(AF351&gt;79,"Baik",IF(AF351&gt;=pub_gid_0_single_true_output_csv[[#This Row],[KKM]],"Cukup","Kurang"))))</f>
        <v>Cukup</v>
      </c>
      <c r="AH351">
        <f t="shared" si="16"/>
        <v>11</v>
      </c>
      <c r="AI351" s="30" t="str">
        <f>IF(OR(J351&lt;&gt;"Karakter",pub_gid_0_single_true_output_csv[[#This Row],[Nilai2]]=""),"",IF(AF351&gt;89,"Sangat baik",IF(AF351&gt;79,"Baik",IF(AF351&gt;69,"Cukup",IF(AF351&gt;59,"Kurang","Sangat kurang")))))</f>
        <v/>
      </c>
      <c r="AJ351" t="str">
        <f t="shared" si="17"/>
        <v>Wk.3</v>
      </c>
      <c r="AK351" t="str">
        <f>IF(pub_gid_0_single_true_output_csv[[#This Row],[Nilai2]]="","",VLOOKUP(pub_gid_0_single_true_output_csv[[#This Row],[NAMA]],Table7[],3,FALSE))</f>
        <v>Average</v>
      </c>
    </row>
    <row r="352" spans="1:37" x14ac:dyDescent="0.2">
      <c r="A352">
        <v>351</v>
      </c>
      <c r="B352" t="s">
        <v>296</v>
      </c>
      <c r="C352" t="s">
        <v>54</v>
      </c>
      <c r="D352" t="s">
        <v>48</v>
      </c>
      <c r="E352" t="s">
        <v>140</v>
      </c>
      <c r="F352" s="25">
        <v>46041</v>
      </c>
      <c r="G352" t="s">
        <v>370</v>
      </c>
      <c r="H352" t="s">
        <v>405</v>
      </c>
      <c r="I352" t="s">
        <v>371</v>
      </c>
      <c r="J352" t="s">
        <v>36</v>
      </c>
      <c r="K352" t="s">
        <v>37</v>
      </c>
      <c r="L352" t="s">
        <v>321</v>
      </c>
      <c r="M352" t="s">
        <v>141</v>
      </c>
      <c r="N352" t="s">
        <v>142</v>
      </c>
      <c r="O352" t="s">
        <v>155</v>
      </c>
      <c r="P352" t="s">
        <v>281</v>
      </c>
      <c r="Q352" t="s">
        <v>155</v>
      </c>
      <c r="R352" t="s">
        <v>273</v>
      </c>
      <c r="S352" t="s">
        <v>309</v>
      </c>
      <c r="T352">
        <v>1</v>
      </c>
      <c r="U352" t="s">
        <v>409</v>
      </c>
      <c r="V352" t="s">
        <v>285</v>
      </c>
      <c r="W352" t="s">
        <v>410</v>
      </c>
      <c r="X352" t="s">
        <v>306</v>
      </c>
      <c r="Y352" t="s">
        <v>307</v>
      </c>
      <c r="Z352">
        <v>65</v>
      </c>
      <c r="AA352">
        <v>50</v>
      </c>
      <c r="AB352" t="s">
        <v>151</v>
      </c>
      <c r="AC352" t="s">
        <v>149</v>
      </c>
      <c r="AD352" t="s">
        <v>404</v>
      </c>
      <c r="AE352" t="str">
        <f>IF(AF352="","",VLOOKUP(AC352,mapel!$A$2:$B$42,2,FALSE))</f>
        <v>B.Indo</v>
      </c>
      <c r="AF352">
        <f t="shared" si="15"/>
        <v>50</v>
      </c>
      <c r="AG352" t="str">
        <f>IF(AF352="","",IF(AF352&gt;90,"Sangat baik",IF(AF352&gt;79,"Baik",IF(AF352&gt;=pub_gid_0_single_true_output_csv[[#This Row],[KKM]],"Cukup","Kurang"))))</f>
        <v>Kurang</v>
      </c>
      <c r="AH352">
        <f t="shared" si="16"/>
        <v>11</v>
      </c>
      <c r="AI352" s="30" t="str">
        <f>IF(OR(J352&lt;&gt;"Karakter",pub_gid_0_single_true_output_csv[[#This Row],[Nilai2]]=""),"",IF(AF352&gt;89,"Sangat baik",IF(AF352&gt;79,"Baik",IF(AF352&gt;69,"Cukup",IF(AF352&gt;59,"Kurang","Sangat kurang")))))</f>
        <v/>
      </c>
      <c r="AJ352" t="str">
        <f t="shared" si="17"/>
        <v>Wk.4</v>
      </c>
      <c r="AK352" t="str">
        <f>IF(pub_gid_0_single_true_output_csv[[#This Row],[Nilai2]]="","",VLOOKUP(pub_gid_0_single_true_output_csv[[#This Row],[NAMA]],Table7[],3,FALSE))</f>
        <v>Average</v>
      </c>
    </row>
    <row r="353" spans="1:37" x14ac:dyDescent="0.2">
      <c r="A353">
        <v>352</v>
      </c>
      <c r="B353" t="s">
        <v>296</v>
      </c>
      <c r="C353" t="s">
        <v>54</v>
      </c>
      <c r="D353" t="s">
        <v>48</v>
      </c>
      <c r="E353" t="s">
        <v>140</v>
      </c>
      <c r="F353" s="25">
        <v>46041</v>
      </c>
      <c r="G353" t="s">
        <v>370</v>
      </c>
      <c r="H353" t="s">
        <v>405</v>
      </c>
      <c r="I353" t="s">
        <v>371</v>
      </c>
      <c r="J353" t="s">
        <v>31</v>
      </c>
      <c r="K353" t="s">
        <v>96</v>
      </c>
      <c r="L353" t="s">
        <v>321</v>
      </c>
      <c r="M353" t="s">
        <v>141</v>
      </c>
      <c r="N353" t="s">
        <v>142</v>
      </c>
      <c r="O353" t="s">
        <v>155</v>
      </c>
      <c r="P353" t="s">
        <v>281</v>
      </c>
      <c r="Q353" t="s">
        <v>155</v>
      </c>
      <c r="R353" t="s">
        <v>302</v>
      </c>
      <c r="S353" t="s">
        <v>309</v>
      </c>
      <c r="T353">
        <v>1</v>
      </c>
      <c r="U353" t="s">
        <v>409</v>
      </c>
      <c r="V353" t="s">
        <v>285</v>
      </c>
      <c r="W353" t="s">
        <v>410</v>
      </c>
      <c r="X353" t="s">
        <v>306</v>
      </c>
      <c r="Y353" t="s">
        <v>307</v>
      </c>
      <c r="Z353">
        <v>65</v>
      </c>
      <c r="AA353">
        <v>60</v>
      </c>
      <c r="AB353" t="s">
        <v>151</v>
      </c>
      <c r="AC353" t="s">
        <v>149</v>
      </c>
      <c r="AD353" t="s">
        <v>404</v>
      </c>
      <c r="AE353" t="str">
        <f>IF(AF353="","",VLOOKUP(AC353,mapel!$A$2:$B$42,2,FALSE))</f>
        <v>B.Indo</v>
      </c>
      <c r="AF353">
        <f t="shared" si="15"/>
        <v>60</v>
      </c>
      <c r="AG353" t="str">
        <f>IF(AF353="","",IF(AF353&gt;90,"Sangat baik",IF(AF353&gt;79,"Baik",IF(AF353&gt;=pub_gid_0_single_true_output_csv[[#This Row],[KKM]],"Cukup","Kurang"))))</f>
        <v>Kurang</v>
      </c>
      <c r="AH353">
        <f t="shared" si="16"/>
        <v>11</v>
      </c>
      <c r="AI353" s="30" t="str">
        <f>IF(OR(J353&lt;&gt;"Karakter",pub_gid_0_single_true_output_csv[[#This Row],[Nilai2]]=""),"",IF(AF353&gt;89,"Sangat baik",IF(AF353&gt;79,"Baik",IF(AF353&gt;69,"Cukup",IF(AF353&gt;59,"Kurang","Sangat kurang")))))</f>
        <v/>
      </c>
      <c r="AJ353" t="str">
        <f t="shared" si="17"/>
        <v>Wk.4</v>
      </c>
      <c r="AK353" t="str">
        <f>IF(pub_gid_0_single_true_output_csv[[#This Row],[Nilai2]]="","",VLOOKUP(pub_gid_0_single_true_output_csv[[#This Row],[NAMA]],Table7[],3,FALSE))</f>
        <v>Average</v>
      </c>
    </row>
    <row r="354" spans="1:37" x14ac:dyDescent="0.2">
      <c r="A354">
        <v>353</v>
      </c>
      <c r="B354" t="s">
        <v>296</v>
      </c>
      <c r="C354" t="s">
        <v>54</v>
      </c>
      <c r="D354" t="s">
        <v>48</v>
      </c>
      <c r="E354" t="s">
        <v>140</v>
      </c>
      <c r="F354" s="25">
        <v>46041</v>
      </c>
      <c r="G354" t="s">
        <v>370</v>
      </c>
      <c r="H354" t="s">
        <v>405</v>
      </c>
      <c r="I354" t="s">
        <v>371</v>
      </c>
      <c r="J354" t="s">
        <v>90</v>
      </c>
      <c r="K354" t="s">
        <v>92</v>
      </c>
      <c r="L354" t="s">
        <v>91</v>
      </c>
      <c r="M354" t="s">
        <v>141</v>
      </c>
      <c r="N354" t="s">
        <v>142</v>
      </c>
      <c r="O354" t="s">
        <v>155</v>
      </c>
      <c r="P354" t="s">
        <v>281</v>
      </c>
      <c r="Q354" t="s">
        <v>155</v>
      </c>
      <c r="R354" t="s">
        <v>302</v>
      </c>
      <c r="S354" t="s">
        <v>309</v>
      </c>
      <c r="T354">
        <v>1</v>
      </c>
      <c r="U354" t="s">
        <v>409</v>
      </c>
      <c r="V354" t="s">
        <v>285</v>
      </c>
      <c r="W354" t="s">
        <v>410</v>
      </c>
      <c r="X354" t="s">
        <v>306</v>
      </c>
      <c r="Y354" t="s">
        <v>307</v>
      </c>
      <c r="Z354">
        <v>65</v>
      </c>
      <c r="AA354">
        <v>69</v>
      </c>
      <c r="AB354" t="s">
        <v>143</v>
      </c>
      <c r="AC354" t="s">
        <v>149</v>
      </c>
      <c r="AD354" t="s">
        <v>404</v>
      </c>
      <c r="AE354" t="str">
        <f>IF(AF354="","",VLOOKUP(AC354,mapel!$A$2:$B$42,2,FALSE))</f>
        <v>B.Indo</v>
      </c>
      <c r="AF354">
        <f t="shared" si="15"/>
        <v>69</v>
      </c>
      <c r="AG354" t="str">
        <f>IF(AF354="","",IF(AF354&gt;90,"Sangat baik",IF(AF354&gt;79,"Baik",IF(AF354&gt;=pub_gid_0_single_true_output_csv[[#This Row],[KKM]],"Cukup","Kurang"))))</f>
        <v>Cukup</v>
      </c>
      <c r="AH354">
        <f t="shared" si="16"/>
        <v>11</v>
      </c>
      <c r="AI354" s="30" t="str">
        <f>IF(OR(J354&lt;&gt;"Karakter",pub_gid_0_single_true_output_csv[[#This Row],[Nilai2]]=""),"",IF(AF354&gt;89,"Sangat baik",IF(AF354&gt;79,"Baik",IF(AF354&gt;69,"Cukup",IF(AF354&gt;59,"Kurang","Sangat kurang")))))</f>
        <v>Kurang</v>
      </c>
      <c r="AJ354" t="str">
        <f t="shared" si="17"/>
        <v>Wk.4</v>
      </c>
      <c r="AK354" t="str">
        <f>IF(pub_gid_0_single_true_output_csv[[#This Row],[Nilai2]]="","",VLOOKUP(pub_gid_0_single_true_output_csv[[#This Row],[NAMA]],Table7[],3,FALSE))</f>
        <v>Average</v>
      </c>
    </row>
    <row r="355" spans="1:37" x14ac:dyDescent="0.2">
      <c r="A355">
        <v>354</v>
      </c>
      <c r="B355" t="s">
        <v>296</v>
      </c>
      <c r="C355" t="s">
        <v>54</v>
      </c>
      <c r="D355" t="s">
        <v>48</v>
      </c>
      <c r="E355" t="s">
        <v>140</v>
      </c>
      <c r="F355" s="25">
        <v>46041</v>
      </c>
      <c r="G355" t="s">
        <v>370</v>
      </c>
      <c r="H355" t="s">
        <v>405</v>
      </c>
      <c r="I355" t="s">
        <v>371</v>
      </c>
      <c r="J355" t="s">
        <v>279</v>
      </c>
      <c r="K355" t="s">
        <v>280</v>
      </c>
      <c r="L355" t="s">
        <v>322</v>
      </c>
      <c r="M355" t="s">
        <v>141</v>
      </c>
      <c r="N355" t="s">
        <v>142</v>
      </c>
      <c r="O355" t="s">
        <v>155</v>
      </c>
      <c r="P355" t="s">
        <v>281</v>
      </c>
      <c r="Q355" t="s">
        <v>155</v>
      </c>
      <c r="R355" t="s">
        <v>302</v>
      </c>
      <c r="S355" t="s">
        <v>309</v>
      </c>
      <c r="T355">
        <v>1</v>
      </c>
      <c r="U355" t="s">
        <v>409</v>
      </c>
      <c r="V355" t="s">
        <v>285</v>
      </c>
      <c r="W355" t="s">
        <v>410</v>
      </c>
      <c r="X355" t="s">
        <v>306</v>
      </c>
      <c r="Y355" t="s">
        <v>307</v>
      </c>
      <c r="Z355">
        <v>65</v>
      </c>
      <c r="AA355">
        <v>70</v>
      </c>
      <c r="AB355" t="s">
        <v>143</v>
      </c>
      <c r="AC355" t="s">
        <v>149</v>
      </c>
      <c r="AD355" t="s">
        <v>404</v>
      </c>
      <c r="AE355" t="str">
        <f>IF(AF355="","",VLOOKUP(AC355,mapel!$A$2:$B$42,2,FALSE))</f>
        <v>B.Indo</v>
      </c>
      <c r="AF355">
        <f t="shared" si="15"/>
        <v>70</v>
      </c>
      <c r="AG355" t="str">
        <f>IF(AF355="","",IF(AF355&gt;90,"Sangat baik",IF(AF355&gt;79,"Baik",IF(AF355&gt;=pub_gid_0_single_true_output_csv[[#This Row],[KKM]],"Cukup","Kurang"))))</f>
        <v>Cukup</v>
      </c>
      <c r="AH355">
        <f t="shared" si="16"/>
        <v>11</v>
      </c>
      <c r="AI355" s="30" t="str">
        <f>IF(OR(J355&lt;&gt;"Karakter",pub_gid_0_single_true_output_csv[[#This Row],[Nilai2]]=""),"",IF(AF355&gt;89,"Sangat baik",IF(AF355&gt;79,"Baik",IF(AF355&gt;69,"Cukup",IF(AF355&gt;59,"Kurang","Sangat kurang")))))</f>
        <v/>
      </c>
      <c r="AJ355" t="str">
        <f t="shared" si="17"/>
        <v>Wk.4</v>
      </c>
      <c r="AK355" t="str">
        <f>IF(pub_gid_0_single_true_output_csv[[#This Row],[Nilai2]]="","",VLOOKUP(pub_gid_0_single_true_output_csv[[#This Row],[NAMA]],Table7[],3,FALSE))</f>
        <v>Average</v>
      </c>
    </row>
    <row r="356" spans="1:37" x14ac:dyDescent="0.2">
      <c r="A356">
        <v>355</v>
      </c>
      <c r="B356" t="s">
        <v>296</v>
      </c>
      <c r="C356" t="s">
        <v>54</v>
      </c>
      <c r="D356" t="s">
        <v>48</v>
      </c>
      <c r="E356" t="s">
        <v>140</v>
      </c>
      <c r="F356" s="25">
        <v>46048</v>
      </c>
      <c r="G356" t="s">
        <v>371</v>
      </c>
      <c r="H356" t="s">
        <v>405</v>
      </c>
      <c r="I356" t="s">
        <v>371</v>
      </c>
      <c r="J356" t="s">
        <v>36</v>
      </c>
      <c r="K356" t="s">
        <v>37</v>
      </c>
      <c r="L356" t="s">
        <v>351</v>
      </c>
      <c r="M356" t="s">
        <v>141</v>
      </c>
      <c r="N356" t="s">
        <v>142</v>
      </c>
      <c r="O356" t="s">
        <v>155</v>
      </c>
      <c r="P356" t="s">
        <v>281</v>
      </c>
      <c r="Q356" t="s">
        <v>155</v>
      </c>
      <c r="R356" t="s">
        <v>302</v>
      </c>
      <c r="S356" t="s">
        <v>369</v>
      </c>
      <c r="T356">
        <v>1</v>
      </c>
      <c r="U356" t="s">
        <v>409</v>
      </c>
      <c r="V356" t="s">
        <v>342</v>
      </c>
      <c r="W356" t="s">
        <v>411</v>
      </c>
      <c r="X356" t="s">
        <v>306</v>
      </c>
      <c r="Y356" t="s">
        <v>307</v>
      </c>
      <c r="Z356">
        <v>65</v>
      </c>
      <c r="AA356">
        <v>55</v>
      </c>
      <c r="AB356" t="s">
        <v>151</v>
      </c>
      <c r="AC356" t="s">
        <v>149</v>
      </c>
      <c r="AD356" t="s">
        <v>404</v>
      </c>
      <c r="AE356" t="str">
        <f>IF(AF356="","",VLOOKUP(AC356,mapel!$A$2:$B$42,2,FALSE))</f>
        <v>B.Indo</v>
      </c>
      <c r="AF356">
        <f t="shared" si="15"/>
        <v>55</v>
      </c>
      <c r="AG356" t="str">
        <f>IF(AF356="","",IF(AF356&gt;90,"Sangat baik",IF(AF356&gt;79,"Baik",IF(AF356&gt;=pub_gid_0_single_true_output_csv[[#This Row],[KKM]],"Cukup","Kurang"))))</f>
        <v>Kurang</v>
      </c>
      <c r="AH356">
        <f t="shared" si="16"/>
        <v>11</v>
      </c>
      <c r="AI356" s="30" t="str">
        <f>IF(OR(J356&lt;&gt;"Karakter",pub_gid_0_single_true_output_csv[[#This Row],[Nilai2]]=""),"",IF(AF356&gt;89,"Sangat baik",IF(AF356&gt;79,"Baik",IF(AF356&gt;69,"Cukup",IF(AF356&gt;59,"Kurang","Sangat kurang")))))</f>
        <v/>
      </c>
      <c r="AJ356" t="str">
        <f t="shared" si="17"/>
        <v>Wk.5</v>
      </c>
      <c r="AK356" t="str">
        <f>IF(pub_gid_0_single_true_output_csv[[#This Row],[Nilai2]]="","",VLOOKUP(pub_gid_0_single_true_output_csv[[#This Row],[NAMA]],Table7[],3,FALSE))</f>
        <v>Average</v>
      </c>
    </row>
    <row r="357" spans="1:37" x14ac:dyDescent="0.2">
      <c r="A357">
        <v>356</v>
      </c>
      <c r="B357" t="s">
        <v>296</v>
      </c>
      <c r="C357" t="s">
        <v>54</v>
      </c>
      <c r="D357" t="s">
        <v>48</v>
      </c>
      <c r="E357" t="s">
        <v>140</v>
      </c>
      <c r="F357" s="25">
        <v>46048</v>
      </c>
      <c r="G357" t="s">
        <v>371</v>
      </c>
      <c r="H357" t="s">
        <v>405</v>
      </c>
      <c r="I357" t="s">
        <v>371</v>
      </c>
      <c r="J357" t="s">
        <v>31</v>
      </c>
      <c r="K357" t="s">
        <v>96</v>
      </c>
      <c r="L357" t="s">
        <v>351</v>
      </c>
      <c r="M357" t="s">
        <v>141</v>
      </c>
      <c r="N357" t="s">
        <v>142</v>
      </c>
      <c r="O357" t="s">
        <v>155</v>
      </c>
      <c r="P357" t="s">
        <v>281</v>
      </c>
      <c r="Q357" t="s">
        <v>155</v>
      </c>
      <c r="R357" t="s">
        <v>302</v>
      </c>
      <c r="S357" t="s">
        <v>369</v>
      </c>
      <c r="T357">
        <v>1</v>
      </c>
      <c r="U357" t="s">
        <v>409</v>
      </c>
      <c r="V357" t="s">
        <v>342</v>
      </c>
      <c r="W357" t="s">
        <v>411</v>
      </c>
      <c r="X357" t="s">
        <v>306</v>
      </c>
      <c r="Y357" t="s">
        <v>307</v>
      </c>
      <c r="Z357">
        <v>65</v>
      </c>
      <c r="AA357">
        <v>55</v>
      </c>
      <c r="AB357" t="s">
        <v>151</v>
      </c>
      <c r="AC357" t="s">
        <v>149</v>
      </c>
      <c r="AD357" t="s">
        <v>404</v>
      </c>
      <c r="AE357" t="str">
        <f>IF(AF357="","",VLOOKUP(AC357,mapel!$A$2:$B$42,2,FALSE))</f>
        <v>B.Indo</v>
      </c>
      <c r="AF357">
        <f t="shared" si="15"/>
        <v>55</v>
      </c>
      <c r="AG357" t="str">
        <f>IF(AF357="","",IF(AF357&gt;90,"Sangat baik",IF(AF357&gt;79,"Baik",IF(AF357&gt;=pub_gid_0_single_true_output_csv[[#This Row],[KKM]],"Cukup","Kurang"))))</f>
        <v>Kurang</v>
      </c>
      <c r="AH357">
        <f t="shared" si="16"/>
        <v>11</v>
      </c>
      <c r="AI357" s="30" t="str">
        <f>IF(OR(J357&lt;&gt;"Karakter",pub_gid_0_single_true_output_csv[[#This Row],[Nilai2]]=""),"",IF(AF357&gt;89,"Sangat baik",IF(AF357&gt;79,"Baik",IF(AF357&gt;69,"Cukup",IF(AF357&gt;59,"Kurang","Sangat kurang")))))</f>
        <v/>
      </c>
      <c r="AJ357" t="str">
        <f t="shared" si="17"/>
        <v>Wk.5</v>
      </c>
      <c r="AK357" t="str">
        <f>IF(pub_gid_0_single_true_output_csv[[#This Row],[Nilai2]]="","",VLOOKUP(pub_gid_0_single_true_output_csv[[#This Row],[NAMA]],Table7[],3,FALSE))</f>
        <v>Average</v>
      </c>
    </row>
    <row r="358" spans="1:37" x14ac:dyDescent="0.2">
      <c r="A358">
        <v>357</v>
      </c>
      <c r="B358" t="s">
        <v>296</v>
      </c>
      <c r="C358" t="s">
        <v>54</v>
      </c>
      <c r="D358" t="s">
        <v>48</v>
      </c>
      <c r="E358" t="s">
        <v>140</v>
      </c>
      <c r="F358" s="25">
        <v>46048</v>
      </c>
      <c r="G358" t="s">
        <v>371</v>
      </c>
      <c r="H358" t="s">
        <v>405</v>
      </c>
      <c r="I358" t="s">
        <v>371</v>
      </c>
      <c r="J358" t="s">
        <v>90</v>
      </c>
      <c r="K358" t="s">
        <v>92</v>
      </c>
      <c r="L358" t="s">
        <v>91</v>
      </c>
      <c r="M358" t="s">
        <v>141</v>
      </c>
      <c r="N358" t="s">
        <v>142</v>
      </c>
      <c r="O358" t="s">
        <v>155</v>
      </c>
      <c r="P358" t="s">
        <v>281</v>
      </c>
      <c r="Q358" t="s">
        <v>155</v>
      </c>
      <c r="R358" t="s">
        <v>302</v>
      </c>
      <c r="S358" t="s">
        <v>369</v>
      </c>
      <c r="T358">
        <v>1</v>
      </c>
      <c r="U358" t="s">
        <v>409</v>
      </c>
      <c r="V358" t="s">
        <v>342</v>
      </c>
      <c r="W358" t="s">
        <v>411</v>
      </c>
      <c r="X358" t="s">
        <v>306</v>
      </c>
      <c r="Y358" t="s">
        <v>307</v>
      </c>
      <c r="Z358">
        <v>65</v>
      </c>
      <c r="AA358">
        <v>70</v>
      </c>
      <c r="AB358" t="s">
        <v>143</v>
      </c>
      <c r="AC358" t="s">
        <v>149</v>
      </c>
      <c r="AD358" t="s">
        <v>404</v>
      </c>
      <c r="AE358" t="str">
        <f>IF(AF358="","",VLOOKUP(AC358,mapel!$A$2:$B$42,2,FALSE))</f>
        <v>B.Indo</v>
      </c>
      <c r="AF358">
        <f t="shared" si="15"/>
        <v>70</v>
      </c>
      <c r="AG358" t="str">
        <f>IF(AF358="","",IF(AF358&gt;90,"Sangat baik",IF(AF358&gt;79,"Baik",IF(AF358&gt;=pub_gid_0_single_true_output_csv[[#This Row],[KKM]],"Cukup","Kurang"))))</f>
        <v>Cukup</v>
      </c>
      <c r="AH358">
        <f t="shared" si="16"/>
        <v>11</v>
      </c>
      <c r="AI358" s="30" t="str">
        <f>IF(OR(J358&lt;&gt;"Karakter",pub_gid_0_single_true_output_csv[[#This Row],[Nilai2]]=""),"",IF(AF358&gt;89,"Sangat baik",IF(AF358&gt;79,"Baik",IF(AF358&gt;69,"Cukup",IF(AF358&gt;59,"Kurang","Sangat kurang")))))</f>
        <v>Cukup</v>
      </c>
      <c r="AJ358" t="str">
        <f t="shared" si="17"/>
        <v>Wk.5</v>
      </c>
      <c r="AK358" t="str">
        <f>IF(pub_gid_0_single_true_output_csv[[#This Row],[Nilai2]]="","",VLOOKUP(pub_gid_0_single_true_output_csv[[#This Row],[NAMA]],Table7[],3,FALSE))</f>
        <v>Average</v>
      </c>
    </row>
    <row r="359" spans="1:37" x14ac:dyDescent="0.2">
      <c r="A359">
        <v>358</v>
      </c>
      <c r="B359" t="s">
        <v>296</v>
      </c>
      <c r="C359" t="s">
        <v>54</v>
      </c>
      <c r="D359" t="s">
        <v>48</v>
      </c>
      <c r="E359" t="s">
        <v>140</v>
      </c>
      <c r="F359" s="25">
        <v>46048</v>
      </c>
      <c r="G359" t="s">
        <v>371</v>
      </c>
      <c r="H359" t="s">
        <v>405</v>
      </c>
      <c r="I359" t="s">
        <v>371</v>
      </c>
      <c r="J359" t="s">
        <v>279</v>
      </c>
      <c r="K359" t="s">
        <v>280</v>
      </c>
      <c r="L359" t="s">
        <v>322</v>
      </c>
      <c r="M359" t="s">
        <v>141</v>
      </c>
      <c r="N359" t="s">
        <v>142</v>
      </c>
      <c r="O359" t="s">
        <v>155</v>
      </c>
      <c r="P359" t="s">
        <v>281</v>
      </c>
      <c r="Q359" t="s">
        <v>155</v>
      </c>
      <c r="R359" t="s">
        <v>302</v>
      </c>
      <c r="S359" t="s">
        <v>369</v>
      </c>
      <c r="T359">
        <v>1</v>
      </c>
      <c r="U359" t="s">
        <v>409</v>
      </c>
      <c r="V359" t="s">
        <v>342</v>
      </c>
      <c r="W359" t="s">
        <v>411</v>
      </c>
      <c r="X359" t="s">
        <v>306</v>
      </c>
      <c r="Y359" t="s">
        <v>307</v>
      </c>
      <c r="Z359">
        <v>65</v>
      </c>
      <c r="AA359">
        <v>65</v>
      </c>
      <c r="AB359" t="s">
        <v>143</v>
      </c>
      <c r="AC359" t="s">
        <v>149</v>
      </c>
      <c r="AD359" t="s">
        <v>404</v>
      </c>
      <c r="AE359" t="str">
        <f>IF(AF359="","",VLOOKUP(AC359,mapel!$A$2:$B$42,2,FALSE))</f>
        <v>B.Indo</v>
      </c>
      <c r="AF359">
        <f t="shared" si="15"/>
        <v>65</v>
      </c>
      <c r="AG359" t="str">
        <f>IF(AF359="","",IF(AF359&gt;90,"Sangat baik",IF(AF359&gt;79,"Baik",IF(AF359&gt;=pub_gid_0_single_true_output_csv[[#This Row],[KKM]],"Cukup","Kurang"))))</f>
        <v>Cukup</v>
      </c>
      <c r="AH359">
        <f t="shared" si="16"/>
        <v>11</v>
      </c>
      <c r="AI359" s="30" t="str">
        <f>IF(OR(J359&lt;&gt;"Karakter",pub_gid_0_single_true_output_csv[[#This Row],[Nilai2]]=""),"",IF(AF359&gt;89,"Sangat baik",IF(AF359&gt;79,"Baik",IF(AF359&gt;69,"Cukup",IF(AF359&gt;59,"Kurang","Sangat kurang")))))</f>
        <v/>
      </c>
      <c r="AJ359" t="str">
        <f t="shared" si="17"/>
        <v>Wk.5</v>
      </c>
      <c r="AK359" t="str">
        <f>IF(pub_gid_0_single_true_output_csv[[#This Row],[Nilai2]]="","",VLOOKUP(pub_gid_0_single_true_output_csv[[#This Row],[NAMA]],Table7[],3,FALSE))</f>
        <v>Average</v>
      </c>
    </row>
    <row r="360" spans="1:37" x14ac:dyDescent="0.2">
      <c r="A360">
        <v>359</v>
      </c>
      <c r="B360" t="s">
        <v>296</v>
      </c>
      <c r="C360" t="s">
        <v>54</v>
      </c>
      <c r="D360" t="s">
        <v>48</v>
      </c>
      <c r="E360" t="s">
        <v>140</v>
      </c>
      <c r="F360" s="25">
        <v>46049</v>
      </c>
      <c r="G360" t="s">
        <v>373</v>
      </c>
      <c r="H360" t="s">
        <v>405</v>
      </c>
      <c r="I360" t="s">
        <v>371</v>
      </c>
      <c r="J360" t="s">
        <v>36</v>
      </c>
      <c r="K360" t="s">
        <v>37</v>
      </c>
      <c r="L360" t="s">
        <v>321</v>
      </c>
      <c r="M360" t="s">
        <v>141</v>
      </c>
      <c r="N360" t="s">
        <v>142</v>
      </c>
      <c r="O360" t="s">
        <v>155</v>
      </c>
      <c r="P360" t="s">
        <v>281</v>
      </c>
      <c r="Q360" t="s">
        <v>155</v>
      </c>
      <c r="R360" t="s">
        <v>302</v>
      </c>
      <c r="S360" t="s">
        <v>369</v>
      </c>
      <c r="T360">
        <v>1</v>
      </c>
      <c r="U360" t="s">
        <v>409</v>
      </c>
      <c r="V360" t="s">
        <v>342</v>
      </c>
      <c r="W360" t="s">
        <v>411</v>
      </c>
      <c r="X360" t="s">
        <v>306</v>
      </c>
      <c r="Y360" t="s">
        <v>307</v>
      </c>
      <c r="Z360">
        <v>65</v>
      </c>
      <c r="AA360">
        <v>63</v>
      </c>
      <c r="AB360" t="s">
        <v>151</v>
      </c>
      <c r="AC360" t="s">
        <v>149</v>
      </c>
      <c r="AD360" t="s">
        <v>404</v>
      </c>
      <c r="AE360" t="str">
        <f>IF(AF360="","",VLOOKUP(AC360,mapel!$A$2:$B$42,2,FALSE))</f>
        <v>B.Indo</v>
      </c>
      <c r="AF360">
        <f t="shared" si="15"/>
        <v>63</v>
      </c>
      <c r="AG360" t="str">
        <f>IF(AF360="","",IF(AF360&gt;90,"Sangat baik",IF(AF360&gt;79,"Baik",IF(AF360&gt;=pub_gid_0_single_true_output_csv[[#This Row],[KKM]],"Cukup","Kurang"))))</f>
        <v>Kurang</v>
      </c>
      <c r="AH360">
        <f t="shared" si="16"/>
        <v>11</v>
      </c>
      <c r="AI360" s="30" t="str">
        <f>IF(OR(J360&lt;&gt;"Karakter",pub_gid_0_single_true_output_csv[[#This Row],[Nilai2]]=""),"",IF(AF360&gt;89,"Sangat baik",IF(AF360&gt;79,"Baik",IF(AF360&gt;69,"Cukup",IF(AF360&gt;59,"Kurang","Sangat kurang")))))</f>
        <v/>
      </c>
      <c r="AJ360" t="str">
        <f t="shared" si="17"/>
        <v>Wk.5</v>
      </c>
      <c r="AK360" t="str">
        <f>IF(pub_gid_0_single_true_output_csv[[#This Row],[Nilai2]]="","",VLOOKUP(pub_gid_0_single_true_output_csv[[#This Row],[NAMA]],Table7[],3,FALSE))</f>
        <v>Average</v>
      </c>
    </row>
    <row r="361" spans="1:37" x14ac:dyDescent="0.2">
      <c r="A361">
        <v>360</v>
      </c>
      <c r="B361" t="s">
        <v>296</v>
      </c>
      <c r="C361" t="s">
        <v>54</v>
      </c>
      <c r="D361" t="s">
        <v>48</v>
      </c>
      <c r="E361" t="s">
        <v>140</v>
      </c>
      <c r="F361" s="25">
        <v>46049</v>
      </c>
      <c r="G361" t="s">
        <v>373</v>
      </c>
      <c r="H361" t="s">
        <v>405</v>
      </c>
      <c r="I361" t="s">
        <v>371</v>
      </c>
      <c r="J361" t="s">
        <v>31</v>
      </c>
      <c r="K361" t="s">
        <v>96</v>
      </c>
      <c r="L361" t="s">
        <v>321</v>
      </c>
      <c r="M361" t="s">
        <v>141</v>
      </c>
      <c r="N361" t="s">
        <v>142</v>
      </c>
      <c r="O361" t="s">
        <v>155</v>
      </c>
      <c r="P361" t="s">
        <v>281</v>
      </c>
      <c r="Q361" t="s">
        <v>155</v>
      </c>
      <c r="R361" t="s">
        <v>302</v>
      </c>
      <c r="S361" t="s">
        <v>369</v>
      </c>
      <c r="T361">
        <v>1</v>
      </c>
      <c r="U361" t="s">
        <v>409</v>
      </c>
      <c r="V361" t="s">
        <v>342</v>
      </c>
      <c r="W361" t="s">
        <v>411</v>
      </c>
      <c r="X361" t="s">
        <v>306</v>
      </c>
      <c r="Y361" t="s">
        <v>307</v>
      </c>
      <c r="Z361">
        <v>65</v>
      </c>
      <c r="AA361">
        <v>55</v>
      </c>
      <c r="AB361" t="s">
        <v>151</v>
      </c>
      <c r="AC361" t="s">
        <v>149</v>
      </c>
      <c r="AD361" t="s">
        <v>404</v>
      </c>
      <c r="AE361" t="str">
        <f>IF(AF361="","",VLOOKUP(AC361,mapel!$A$2:$B$42,2,FALSE))</f>
        <v>B.Indo</v>
      </c>
      <c r="AF361">
        <f t="shared" si="15"/>
        <v>55</v>
      </c>
      <c r="AG361" t="str">
        <f>IF(AF361="","",IF(AF361&gt;90,"Sangat baik",IF(AF361&gt;79,"Baik",IF(AF361&gt;=pub_gid_0_single_true_output_csv[[#This Row],[KKM]],"Cukup","Kurang"))))</f>
        <v>Kurang</v>
      </c>
      <c r="AH361">
        <f t="shared" si="16"/>
        <v>11</v>
      </c>
      <c r="AI361" s="30" t="str">
        <f>IF(OR(J361&lt;&gt;"Karakter",pub_gid_0_single_true_output_csv[[#This Row],[Nilai2]]=""),"",IF(AF361&gt;89,"Sangat baik",IF(AF361&gt;79,"Baik",IF(AF361&gt;69,"Cukup",IF(AF361&gt;59,"Kurang","Sangat kurang")))))</f>
        <v/>
      </c>
      <c r="AJ361" t="str">
        <f t="shared" si="17"/>
        <v>Wk.5</v>
      </c>
      <c r="AK361" t="str">
        <f>IF(pub_gid_0_single_true_output_csv[[#This Row],[Nilai2]]="","",VLOOKUP(pub_gid_0_single_true_output_csv[[#This Row],[NAMA]],Table7[],3,FALSE))</f>
        <v>Average</v>
      </c>
    </row>
    <row r="362" spans="1:37" x14ac:dyDescent="0.2">
      <c r="A362">
        <v>361</v>
      </c>
      <c r="B362" t="s">
        <v>296</v>
      </c>
      <c r="C362" t="s">
        <v>54</v>
      </c>
      <c r="D362" t="s">
        <v>48</v>
      </c>
      <c r="E362" t="s">
        <v>140</v>
      </c>
      <c r="F362" s="25">
        <v>46049</v>
      </c>
      <c r="G362" t="s">
        <v>373</v>
      </c>
      <c r="H362" t="s">
        <v>405</v>
      </c>
      <c r="I362" t="s">
        <v>371</v>
      </c>
      <c r="J362" t="s">
        <v>90</v>
      </c>
      <c r="K362" t="s">
        <v>92</v>
      </c>
      <c r="L362" t="s">
        <v>93</v>
      </c>
      <c r="M362" t="s">
        <v>141</v>
      </c>
      <c r="N362" t="s">
        <v>142</v>
      </c>
      <c r="O362" t="s">
        <v>155</v>
      </c>
      <c r="P362" t="s">
        <v>281</v>
      </c>
      <c r="Q362" t="s">
        <v>155</v>
      </c>
      <c r="R362" t="s">
        <v>302</v>
      </c>
      <c r="S362" t="s">
        <v>369</v>
      </c>
      <c r="T362">
        <v>1</v>
      </c>
      <c r="U362" t="s">
        <v>409</v>
      </c>
      <c r="V362" t="s">
        <v>342</v>
      </c>
      <c r="W362" t="s">
        <v>411</v>
      </c>
      <c r="X362" t="s">
        <v>306</v>
      </c>
      <c r="Y362" t="s">
        <v>307</v>
      </c>
      <c r="Z362">
        <v>65</v>
      </c>
      <c r="AA362">
        <v>70</v>
      </c>
      <c r="AB362" t="s">
        <v>143</v>
      </c>
      <c r="AC362" t="s">
        <v>149</v>
      </c>
      <c r="AD362" t="s">
        <v>404</v>
      </c>
      <c r="AE362" t="str">
        <f>IF(AF362="","",VLOOKUP(AC362,mapel!$A$2:$B$42,2,FALSE))</f>
        <v>B.Indo</v>
      </c>
      <c r="AF362">
        <f t="shared" si="15"/>
        <v>70</v>
      </c>
      <c r="AG362" t="str">
        <f>IF(AF362="","",IF(AF362&gt;90,"Sangat baik",IF(AF362&gt;79,"Baik",IF(AF362&gt;=pub_gid_0_single_true_output_csv[[#This Row],[KKM]],"Cukup","Kurang"))))</f>
        <v>Cukup</v>
      </c>
      <c r="AH362">
        <f t="shared" si="16"/>
        <v>11</v>
      </c>
      <c r="AI362" s="30" t="str">
        <f>IF(OR(J362&lt;&gt;"Karakter",pub_gid_0_single_true_output_csv[[#This Row],[Nilai2]]=""),"",IF(AF362&gt;89,"Sangat baik",IF(AF362&gt;79,"Baik",IF(AF362&gt;69,"Cukup",IF(AF362&gt;59,"Kurang","Sangat kurang")))))</f>
        <v>Cukup</v>
      </c>
      <c r="AJ362" t="str">
        <f t="shared" si="17"/>
        <v>Wk.5</v>
      </c>
      <c r="AK362" t="str">
        <f>IF(pub_gid_0_single_true_output_csv[[#This Row],[Nilai2]]="","",VLOOKUP(pub_gid_0_single_true_output_csv[[#This Row],[NAMA]],Table7[],3,FALSE))</f>
        <v>Average</v>
      </c>
    </row>
    <row r="363" spans="1:37" x14ac:dyDescent="0.2">
      <c r="A363">
        <v>362</v>
      </c>
      <c r="B363" t="s">
        <v>296</v>
      </c>
      <c r="C363" t="s">
        <v>54</v>
      </c>
      <c r="D363" t="s">
        <v>48</v>
      </c>
      <c r="E363" t="s">
        <v>140</v>
      </c>
      <c r="F363" s="25">
        <v>46049</v>
      </c>
      <c r="G363" t="s">
        <v>373</v>
      </c>
      <c r="H363" t="s">
        <v>405</v>
      </c>
      <c r="I363" t="s">
        <v>371</v>
      </c>
      <c r="J363" t="s">
        <v>279</v>
      </c>
      <c r="K363" t="s">
        <v>280</v>
      </c>
      <c r="L363" t="s">
        <v>322</v>
      </c>
      <c r="M363" t="s">
        <v>141</v>
      </c>
      <c r="N363" t="s">
        <v>142</v>
      </c>
      <c r="O363" t="s">
        <v>155</v>
      </c>
      <c r="P363" t="s">
        <v>281</v>
      </c>
      <c r="Q363" t="s">
        <v>155</v>
      </c>
      <c r="R363" t="s">
        <v>302</v>
      </c>
      <c r="S363" t="s">
        <v>369</v>
      </c>
      <c r="T363">
        <v>1</v>
      </c>
      <c r="U363" t="s">
        <v>409</v>
      </c>
      <c r="V363" t="s">
        <v>342</v>
      </c>
      <c r="W363" t="s">
        <v>411</v>
      </c>
      <c r="X363" t="s">
        <v>306</v>
      </c>
      <c r="Y363" t="s">
        <v>307</v>
      </c>
      <c r="Z363">
        <v>65</v>
      </c>
      <c r="AA363">
        <v>69</v>
      </c>
      <c r="AB363" t="s">
        <v>143</v>
      </c>
      <c r="AC363" t="s">
        <v>149</v>
      </c>
      <c r="AD363" t="s">
        <v>404</v>
      </c>
      <c r="AE363" t="str">
        <f>IF(AF363="","",VLOOKUP(AC363,mapel!$A$2:$B$42,2,FALSE))</f>
        <v>B.Indo</v>
      </c>
      <c r="AF363">
        <f t="shared" si="15"/>
        <v>69</v>
      </c>
      <c r="AG363" t="str">
        <f>IF(AF363="","",IF(AF363&gt;90,"Sangat baik",IF(AF363&gt;79,"Baik",IF(AF363&gt;=pub_gid_0_single_true_output_csv[[#This Row],[KKM]],"Cukup","Kurang"))))</f>
        <v>Cukup</v>
      </c>
      <c r="AH363">
        <f t="shared" si="16"/>
        <v>11</v>
      </c>
      <c r="AI363" s="30" t="str">
        <f>IF(OR(J363&lt;&gt;"Karakter",pub_gid_0_single_true_output_csv[[#This Row],[Nilai2]]=""),"",IF(AF363&gt;89,"Sangat baik",IF(AF363&gt;79,"Baik",IF(AF363&gt;69,"Cukup",IF(AF363&gt;59,"Kurang","Sangat kurang")))))</f>
        <v/>
      </c>
      <c r="AJ363" t="str">
        <f t="shared" si="17"/>
        <v>Wk.5</v>
      </c>
      <c r="AK363" t="str">
        <f>IF(pub_gid_0_single_true_output_csv[[#This Row],[Nilai2]]="","",VLOOKUP(pub_gid_0_single_true_output_csv[[#This Row],[NAMA]],Table7[],3,FALSE))</f>
        <v>Average</v>
      </c>
    </row>
    <row r="364" spans="1:37" x14ac:dyDescent="0.2">
      <c r="A364">
        <v>363</v>
      </c>
      <c r="B364" t="s">
        <v>296</v>
      </c>
      <c r="C364" t="s">
        <v>54</v>
      </c>
      <c r="D364" t="s">
        <v>48</v>
      </c>
      <c r="E364" t="s">
        <v>140</v>
      </c>
      <c r="F364" s="25">
        <v>46055</v>
      </c>
      <c r="G364" t="s">
        <v>379</v>
      </c>
      <c r="H364" t="s">
        <v>412</v>
      </c>
      <c r="I364" t="s">
        <v>371</v>
      </c>
      <c r="J364" t="s">
        <v>36</v>
      </c>
      <c r="K364" t="s">
        <v>37</v>
      </c>
      <c r="L364" t="s">
        <v>150</v>
      </c>
      <c r="M364" t="s">
        <v>141</v>
      </c>
      <c r="N364" t="s">
        <v>142</v>
      </c>
      <c r="O364" t="s">
        <v>155</v>
      </c>
      <c r="P364" t="s">
        <v>281</v>
      </c>
      <c r="Q364" t="s">
        <v>155</v>
      </c>
      <c r="R364" t="s">
        <v>302</v>
      </c>
      <c r="S364" t="s">
        <v>345</v>
      </c>
      <c r="T364">
        <v>1</v>
      </c>
      <c r="U364" t="s">
        <v>409</v>
      </c>
      <c r="V364" t="s">
        <v>343</v>
      </c>
      <c r="W364" t="s">
        <v>413</v>
      </c>
      <c r="X364" t="s">
        <v>306</v>
      </c>
      <c r="Y364" t="s">
        <v>307</v>
      </c>
      <c r="Z364">
        <v>65</v>
      </c>
      <c r="AA364">
        <v>68</v>
      </c>
      <c r="AB364" t="s">
        <v>143</v>
      </c>
      <c r="AC364" t="s">
        <v>149</v>
      </c>
      <c r="AD364" t="s">
        <v>404</v>
      </c>
      <c r="AE364" t="str">
        <f>IF(AF364="","",VLOOKUP(AC364,mapel!$A$2:$B$42,2,FALSE))</f>
        <v>B.Indo</v>
      </c>
      <c r="AF364">
        <f t="shared" si="15"/>
        <v>68</v>
      </c>
      <c r="AG364" t="str">
        <f>IF(AF364="","",IF(AF364&gt;90,"Sangat baik",IF(AF364&gt;79,"Baik",IF(AF364&gt;=pub_gid_0_single_true_output_csv[[#This Row],[KKM]],"Cukup","Kurang"))))</f>
        <v>Cukup</v>
      </c>
      <c r="AH364">
        <f t="shared" si="16"/>
        <v>11</v>
      </c>
      <c r="AI364" s="30" t="str">
        <f>IF(OR(J364&lt;&gt;"Karakter",pub_gid_0_single_true_output_csv[[#This Row],[Nilai2]]=""),"",IF(AF364&gt;89,"Sangat baik",IF(AF364&gt;79,"Baik",IF(AF364&gt;69,"Cukup",IF(AF364&gt;59,"Kurang","Sangat kurang")))))</f>
        <v/>
      </c>
      <c r="AJ364" t="str">
        <f t="shared" si="17"/>
        <v>Wk.6</v>
      </c>
      <c r="AK364" t="str">
        <f>IF(pub_gid_0_single_true_output_csv[[#This Row],[Nilai2]]="","",VLOOKUP(pub_gid_0_single_true_output_csv[[#This Row],[NAMA]],Table7[],3,FALSE))</f>
        <v>Average</v>
      </c>
    </row>
    <row r="365" spans="1:37" x14ac:dyDescent="0.2">
      <c r="A365">
        <v>364</v>
      </c>
      <c r="B365" t="s">
        <v>296</v>
      </c>
      <c r="C365" t="s">
        <v>54</v>
      </c>
      <c r="D365" t="s">
        <v>48</v>
      </c>
      <c r="E365" t="s">
        <v>140</v>
      </c>
      <c r="F365" s="25">
        <v>46055</v>
      </c>
      <c r="G365" t="s">
        <v>379</v>
      </c>
      <c r="H365" t="s">
        <v>412</v>
      </c>
      <c r="I365" t="s">
        <v>371</v>
      </c>
      <c r="J365" t="s">
        <v>31</v>
      </c>
      <c r="K365" t="s">
        <v>96</v>
      </c>
      <c r="L365" t="s">
        <v>150</v>
      </c>
      <c r="M365" t="s">
        <v>141</v>
      </c>
      <c r="N365" t="s">
        <v>142</v>
      </c>
      <c r="O365" t="s">
        <v>155</v>
      </c>
      <c r="P365" t="s">
        <v>281</v>
      </c>
      <c r="Q365" t="s">
        <v>155</v>
      </c>
      <c r="R365" t="s">
        <v>302</v>
      </c>
      <c r="S365" t="s">
        <v>345</v>
      </c>
      <c r="T365">
        <v>1</v>
      </c>
      <c r="U365" t="s">
        <v>409</v>
      </c>
      <c r="V365" t="s">
        <v>343</v>
      </c>
      <c r="W365" t="s">
        <v>413</v>
      </c>
      <c r="X365" t="s">
        <v>306</v>
      </c>
      <c r="Y365" t="s">
        <v>307</v>
      </c>
      <c r="Z365">
        <v>65</v>
      </c>
      <c r="AA365">
        <v>60</v>
      </c>
      <c r="AB365" t="s">
        <v>151</v>
      </c>
      <c r="AC365" t="s">
        <v>149</v>
      </c>
      <c r="AD365" t="s">
        <v>404</v>
      </c>
      <c r="AE365" t="str">
        <f>IF(AF365="","",VLOOKUP(AC365,mapel!$A$2:$B$42,2,FALSE))</f>
        <v>B.Indo</v>
      </c>
      <c r="AF365">
        <f t="shared" si="15"/>
        <v>60</v>
      </c>
      <c r="AG365" t="str">
        <f>IF(AF365="","",IF(AF365&gt;90,"Sangat baik",IF(AF365&gt;79,"Baik",IF(AF365&gt;=pub_gid_0_single_true_output_csv[[#This Row],[KKM]],"Cukup","Kurang"))))</f>
        <v>Kurang</v>
      </c>
      <c r="AH365">
        <f t="shared" si="16"/>
        <v>11</v>
      </c>
      <c r="AI365" s="30" t="str">
        <f>IF(OR(J365&lt;&gt;"Karakter",pub_gid_0_single_true_output_csv[[#This Row],[Nilai2]]=""),"",IF(AF365&gt;89,"Sangat baik",IF(AF365&gt;79,"Baik",IF(AF365&gt;69,"Cukup",IF(AF365&gt;59,"Kurang","Sangat kurang")))))</f>
        <v/>
      </c>
      <c r="AJ365" t="str">
        <f t="shared" si="17"/>
        <v>Wk.6</v>
      </c>
      <c r="AK365" t="str">
        <f>IF(pub_gid_0_single_true_output_csv[[#This Row],[Nilai2]]="","",VLOOKUP(pub_gid_0_single_true_output_csv[[#This Row],[NAMA]],Table7[],3,FALSE))</f>
        <v>Average</v>
      </c>
    </row>
    <row r="366" spans="1:37" x14ac:dyDescent="0.2">
      <c r="A366">
        <v>365</v>
      </c>
      <c r="B366" t="s">
        <v>296</v>
      </c>
      <c r="C366" t="s">
        <v>54</v>
      </c>
      <c r="D366" t="s">
        <v>48</v>
      </c>
      <c r="E366" t="s">
        <v>140</v>
      </c>
      <c r="F366" s="25">
        <v>46055</v>
      </c>
      <c r="G366" t="s">
        <v>379</v>
      </c>
      <c r="H366" t="s">
        <v>412</v>
      </c>
      <c r="I366" t="s">
        <v>371</v>
      </c>
      <c r="J366" t="s">
        <v>90</v>
      </c>
      <c r="K366" t="s">
        <v>92</v>
      </c>
      <c r="L366" t="s">
        <v>91</v>
      </c>
      <c r="M366" t="s">
        <v>141</v>
      </c>
      <c r="N366" t="s">
        <v>142</v>
      </c>
      <c r="O366" t="s">
        <v>155</v>
      </c>
      <c r="P366" t="s">
        <v>281</v>
      </c>
      <c r="Q366" t="s">
        <v>155</v>
      </c>
      <c r="R366" t="s">
        <v>302</v>
      </c>
      <c r="S366" t="s">
        <v>345</v>
      </c>
      <c r="T366">
        <v>1</v>
      </c>
      <c r="U366" t="s">
        <v>409</v>
      </c>
      <c r="V366" t="s">
        <v>343</v>
      </c>
      <c r="W366" t="s">
        <v>413</v>
      </c>
      <c r="X366" t="s">
        <v>306</v>
      </c>
      <c r="Y366" t="s">
        <v>307</v>
      </c>
      <c r="Z366">
        <v>65</v>
      </c>
      <c r="AA366">
        <v>65</v>
      </c>
      <c r="AB366" t="s">
        <v>143</v>
      </c>
      <c r="AC366" t="s">
        <v>149</v>
      </c>
      <c r="AD366" t="s">
        <v>404</v>
      </c>
      <c r="AE366" t="str">
        <f>IF(AF366="","",VLOOKUP(AC366,mapel!$A$2:$B$42,2,FALSE))</f>
        <v>B.Indo</v>
      </c>
      <c r="AF366">
        <f t="shared" si="15"/>
        <v>65</v>
      </c>
      <c r="AG366" t="str">
        <f>IF(AF366="","",IF(AF366&gt;90,"Sangat baik",IF(AF366&gt;79,"Baik",IF(AF366&gt;=pub_gid_0_single_true_output_csv[[#This Row],[KKM]],"Cukup","Kurang"))))</f>
        <v>Cukup</v>
      </c>
      <c r="AH366">
        <f t="shared" si="16"/>
        <v>11</v>
      </c>
      <c r="AI366" s="30" t="str">
        <f>IF(OR(J366&lt;&gt;"Karakter",pub_gid_0_single_true_output_csv[[#This Row],[Nilai2]]=""),"",IF(AF366&gt;89,"Sangat baik",IF(AF366&gt;79,"Baik",IF(AF366&gt;69,"Cukup",IF(AF366&gt;59,"Kurang","Sangat kurang")))))</f>
        <v>Kurang</v>
      </c>
      <c r="AJ366" t="str">
        <f t="shared" si="17"/>
        <v>Wk.6</v>
      </c>
      <c r="AK366" t="str">
        <f>IF(pub_gid_0_single_true_output_csv[[#This Row],[Nilai2]]="","",VLOOKUP(pub_gid_0_single_true_output_csv[[#This Row],[NAMA]],Table7[],3,FALSE))</f>
        <v>Average</v>
      </c>
    </row>
    <row r="367" spans="1:37" x14ac:dyDescent="0.2">
      <c r="A367">
        <v>366</v>
      </c>
      <c r="B367" t="s">
        <v>296</v>
      </c>
      <c r="C367" t="s">
        <v>54</v>
      </c>
      <c r="D367" t="s">
        <v>48</v>
      </c>
      <c r="E367" t="s">
        <v>140</v>
      </c>
      <c r="F367" s="25">
        <v>46055</v>
      </c>
      <c r="G367" t="s">
        <v>379</v>
      </c>
      <c r="H367" t="s">
        <v>412</v>
      </c>
      <c r="I367" t="s">
        <v>371</v>
      </c>
      <c r="J367" t="s">
        <v>279</v>
      </c>
      <c r="K367" t="s">
        <v>280</v>
      </c>
      <c r="L367" t="s">
        <v>322</v>
      </c>
      <c r="M367" t="s">
        <v>141</v>
      </c>
      <c r="N367" t="s">
        <v>142</v>
      </c>
      <c r="O367" t="s">
        <v>155</v>
      </c>
      <c r="P367" t="s">
        <v>281</v>
      </c>
      <c r="Q367" t="s">
        <v>155</v>
      </c>
      <c r="R367" t="s">
        <v>302</v>
      </c>
      <c r="S367" t="s">
        <v>345</v>
      </c>
      <c r="T367">
        <v>1</v>
      </c>
      <c r="U367" t="s">
        <v>409</v>
      </c>
      <c r="V367" t="s">
        <v>343</v>
      </c>
      <c r="W367" t="s">
        <v>413</v>
      </c>
      <c r="X367" t="s">
        <v>306</v>
      </c>
      <c r="Y367" t="s">
        <v>307</v>
      </c>
      <c r="Z367">
        <v>65</v>
      </c>
      <c r="AA367">
        <v>70</v>
      </c>
      <c r="AB367" t="s">
        <v>143</v>
      </c>
      <c r="AC367" t="s">
        <v>149</v>
      </c>
      <c r="AD367" t="s">
        <v>404</v>
      </c>
      <c r="AE367" t="str">
        <f>IF(AF367="","",VLOOKUP(AC367,mapel!$A$2:$B$42,2,FALSE))</f>
        <v>B.Indo</v>
      </c>
      <c r="AF367">
        <f t="shared" si="15"/>
        <v>70</v>
      </c>
      <c r="AG367" t="str">
        <f>IF(AF367="","",IF(AF367&gt;90,"Sangat baik",IF(AF367&gt;79,"Baik",IF(AF367&gt;=pub_gid_0_single_true_output_csv[[#This Row],[KKM]],"Cukup","Kurang"))))</f>
        <v>Cukup</v>
      </c>
      <c r="AH367">
        <f t="shared" si="16"/>
        <v>11</v>
      </c>
      <c r="AI367" s="30" t="str">
        <f>IF(OR(J367&lt;&gt;"Karakter",pub_gid_0_single_true_output_csv[[#This Row],[Nilai2]]=""),"",IF(AF367&gt;89,"Sangat baik",IF(AF367&gt;79,"Baik",IF(AF367&gt;69,"Cukup",IF(AF367&gt;59,"Kurang","Sangat kurang")))))</f>
        <v/>
      </c>
      <c r="AJ367" t="str">
        <f t="shared" si="17"/>
        <v>Wk.6</v>
      </c>
      <c r="AK367" t="str">
        <f>IF(pub_gid_0_single_true_output_csv[[#This Row],[Nilai2]]="","",VLOOKUP(pub_gid_0_single_true_output_csv[[#This Row],[NAMA]],Table7[],3,FALSE))</f>
        <v>Average</v>
      </c>
    </row>
    <row r="368" spans="1:37" x14ac:dyDescent="0.2">
      <c r="A368">
        <v>367</v>
      </c>
      <c r="B368" t="s">
        <v>296</v>
      </c>
      <c r="C368" t="s">
        <v>54</v>
      </c>
      <c r="D368" t="s">
        <v>48</v>
      </c>
      <c r="E368" t="s">
        <v>140</v>
      </c>
      <c r="F368" s="25">
        <v>46062</v>
      </c>
      <c r="G368" t="s">
        <v>376</v>
      </c>
      <c r="H368" t="s">
        <v>412</v>
      </c>
      <c r="I368" t="s">
        <v>371</v>
      </c>
      <c r="J368" t="s">
        <v>36</v>
      </c>
      <c r="K368" t="s">
        <v>37</v>
      </c>
      <c r="L368" t="s">
        <v>351</v>
      </c>
      <c r="M368" t="s">
        <v>141</v>
      </c>
      <c r="N368" t="s">
        <v>142</v>
      </c>
      <c r="O368" t="s">
        <v>155</v>
      </c>
      <c r="P368" t="s">
        <v>281</v>
      </c>
      <c r="Q368" t="s">
        <v>155</v>
      </c>
      <c r="R368" t="s">
        <v>302</v>
      </c>
      <c r="S368" t="s">
        <v>345</v>
      </c>
      <c r="T368">
        <v>1</v>
      </c>
      <c r="U368" t="s">
        <v>409</v>
      </c>
      <c r="V368" t="s">
        <v>343</v>
      </c>
      <c r="W368" t="s">
        <v>413</v>
      </c>
      <c r="X368" t="s">
        <v>306</v>
      </c>
      <c r="Y368" t="s">
        <v>307</v>
      </c>
      <c r="Z368">
        <v>65</v>
      </c>
      <c r="AA368">
        <v>65</v>
      </c>
      <c r="AB368" t="s">
        <v>143</v>
      </c>
      <c r="AC368" t="s">
        <v>149</v>
      </c>
      <c r="AD368" t="s">
        <v>404</v>
      </c>
      <c r="AE368" t="str">
        <f>IF(AF368="","",VLOOKUP(AC368,mapel!$A$2:$B$42,2,FALSE))</f>
        <v>B.Indo</v>
      </c>
      <c r="AF368">
        <f t="shared" si="15"/>
        <v>65</v>
      </c>
      <c r="AG368" t="str">
        <f>IF(AF368="","",IF(AF368&gt;90,"Sangat baik",IF(AF368&gt;79,"Baik",IF(AF368&gt;=pub_gid_0_single_true_output_csv[[#This Row],[KKM]],"Cukup","Kurang"))))</f>
        <v>Cukup</v>
      </c>
      <c r="AH368">
        <f t="shared" si="16"/>
        <v>11</v>
      </c>
      <c r="AI368" s="30" t="str">
        <f>IF(OR(J368&lt;&gt;"Karakter",pub_gid_0_single_true_output_csv[[#This Row],[Nilai2]]=""),"",IF(AF368&gt;89,"Sangat baik",IF(AF368&gt;79,"Baik",IF(AF368&gt;69,"Cukup",IF(AF368&gt;59,"Kurang","Sangat kurang")))))</f>
        <v/>
      </c>
      <c r="AJ368" t="str">
        <f t="shared" si="17"/>
        <v>Wk.7</v>
      </c>
      <c r="AK368" t="str">
        <f>IF(pub_gid_0_single_true_output_csv[[#This Row],[Nilai2]]="","",VLOOKUP(pub_gid_0_single_true_output_csv[[#This Row],[NAMA]],Table7[],3,FALSE))</f>
        <v>Average</v>
      </c>
    </row>
    <row r="369" spans="1:37" x14ac:dyDescent="0.2">
      <c r="A369">
        <v>368</v>
      </c>
      <c r="B369" t="s">
        <v>296</v>
      </c>
      <c r="C369" t="s">
        <v>54</v>
      </c>
      <c r="D369" t="s">
        <v>48</v>
      </c>
      <c r="E369" t="s">
        <v>140</v>
      </c>
      <c r="F369" s="25">
        <v>46062</v>
      </c>
      <c r="G369" t="s">
        <v>376</v>
      </c>
      <c r="H369" t="s">
        <v>412</v>
      </c>
      <c r="I369" t="s">
        <v>371</v>
      </c>
      <c r="J369" t="s">
        <v>31</v>
      </c>
      <c r="K369" t="s">
        <v>96</v>
      </c>
      <c r="L369" t="s">
        <v>351</v>
      </c>
      <c r="M369" t="s">
        <v>141</v>
      </c>
      <c r="N369" t="s">
        <v>142</v>
      </c>
      <c r="O369" t="s">
        <v>155</v>
      </c>
      <c r="P369" t="s">
        <v>281</v>
      </c>
      <c r="Q369" t="s">
        <v>155</v>
      </c>
      <c r="R369" t="s">
        <v>302</v>
      </c>
      <c r="S369" t="s">
        <v>345</v>
      </c>
      <c r="T369">
        <v>1</v>
      </c>
      <c r="U369" t="s">
        <v>409</v>
      </c>
      <c r="V369" t="s">
        <v>343</v>
      </c>
      <c r="W369" t="s">
        <v>413</v>
      </c>
      <c r="X369" t="s">
        <v>306</v>
      </c>
      <c r="Y369" t="s">
        <v>307</v>
      </c>
      <c r="Z369">
        <v>65</v>
      </c>
      <c r="AA369">
        <v>65</v>
      </c>
      <c r="AB369" t="s">
        <v>143</v>
      </c>
      <c r="AC369" t="s">
        <v>149</v>
      </c>
      <c r="AD369" t="s">
        <v>404</v>
      </c>
      <c r="AE369" t="str">
        <f>IF(AF369="","",VLOOKUP(AC369,mapel!$A$2:$B$42,2,FALSE))</f>
        <v>B.Indo</v>
      </c>
      <c r="AF369">
        <f t="shared" si="15"/>
        <v>65</v>
      </c>
      <c r="AG369" t="str">
        <f>IF(AF369="","",IF(AF369&gt;90,"Sangat baik",IF(AF369&gt;79,"Baik",IF(AF369&gt;=pub_gid_0_single_true_output_csv[[#This Row],[KKM]],"Cukup","Kurang"))))</f>
        <v>Cukup</v>
      </c>
      <c r="AH369">
        <f t="shared" si="16"/>
        <v>11</v>
      </c>
      <c r="AI369" s="30" t="str">
        <f>IF(OR(J369&lt;&gt;"Karakter",pub_gid_0_single_true_output_csv[[#This Row],[Nilai2]]=""),"",IF(AF369&gt;89,"Sangat baik",IF(AF369&gt;79,"Baik",IF(AF369&gt;69,"Cukup",IF(AF369&gt;59,"Kurang","Sangat kurang")))))</f>
        <v/>
      </c>
      <c r="AJ369" t="str">
        <f t="shared" si="17"/>
        <v>Wk.7</v>
      </c>
      <c r="AK369" t="str">
        <f>IF(pub_gid_0_single_true_output_csv[[#This Row],[Nilai2]]="","",VLOOKUP(pub_gid_0_single_true_output_csv[[#This Row],[NAMA]],Table7[],3,FALSE))</f>
        <v>Average</v>
      </c>
    </row>
    <row r="370" spans="1:37" x14ac:dyDescent="0.2">
      <c r="A370">
        <v>369</v>
      </c>
      <c r="B370" t="s">
        <v>296</v>
      </c>
      <c r="C370" t="s">
        <v>54</v>
      </c>
      <c r="D370" t="s">
        <v>48</v>
      </c>
      <c r="E370" t="s">
        <v>140</v>
      </c>
      <c r="F370" s="25">
        <v>46069</v>
      </c>
      <c r="G370" t="s">
        <v>382</v>
      </c>
      <c r="H370" t="s">
        <v>412</v>
      </c>
      <c r="I370" t="s">
        <v>371</v>
      </c>
      <c r="J370" t="s">
        <v>36</v>
      </c>
      <c r="K370" t="s">
        <v>37</v>
      </c>
      <c r="L370" t="s">
        <v>351</v>
      </c>
      <c r="M370" t="s">
        <v>141</v>
      </c>
      <c r="N370" t="s">
        <v>142</v>
      </c>
      <c r="O370" t="s">
        <v>155</v>
      </c>
      <c r="P370" t="s">
        <v>281</v>
      </c>
      <c r="Q370" t="s">
        <v>155</v>
      </c>
      <c r="R370" t="s">
        <v>302</v>
      </c>
      <c r="S370" t="s">
        <v>345</v>
      </c>
      <c r="T370">
        <v>1</v>
      </c>
      <c r="U370" t="s">
        <v>409</v>
      </c>
      <c r="V370" t="s">
        <v>343</v>
      </c>
      <c r="W370" t="s">
        <v>413</v>
      </c>
      <c r="X370" t="s">
        <v>306</v>
      </c>
      <c r="Y370" t="s">
        <v>307</v>
      </c>
      <c r="Z370">
        <v>65</v>
      </c>
      <c r="AA370">
        <v>69</v>
      </c>
      <c r="AB370" t="s">
        <v>143</v>
      </c>
      <c r="AC370" t="s">
        <v>149</v>
      </c>
      <c r="AD370" t="s">
        <v>404</v>
      </c>
      <c r="AE370" t="str">
        <f>IF(AF370="","",VLOOKUP(AC370,mapel!$A$2:$B$42,2,FALSE))</f>
        <v>B.Indo</v>
      </c>
      <c r="AF370">
        <f t="shared" si="15"/>
        <v>69</v>
      </c>
      <c r="AG370" t="str">
        <f>IF(AF370="","",IF(AF370&gt;90,"Sangat baik",IF(AF370&gt;79,"Baik",IF(AF370&gt;=pub_gid_0_single_true_output_csv[[#This Row],[KKM]],"Cukup","Kurang"))))</f>
        <v>Cukup</v>
      </c>
      <c r="AH370">
        <f t="shared" si="16"/>
        <v>11</v>
      </c>
      <c r="AI370" s="30" t="str">
        <f>IF(OR(J370&lt;&gt;"Karakter",pub_gid_0_single_true_output_csv[[#This Row],[Nilai2]]=""),"",IF(AF370&gt;89,"Sangat baik",IF(AF370&gt;79,"Baik",IF(AF370&gt;69,"Cukup",IF(AF370&gt;59,"Kurang","Sangat kurang")))))</f>
        <v/>
      </c>
      <c r="AJ370" t="str">
        <f t="shared" si="17"/>
        <v>Wk.8</v>
      </c>
      <c r="AK370" t="str">
        <f>IF(pub_gid_0_single_true_output_csv[[#This Row],[Nilai2]]="","",VLOOKUP(pub_gid_0_single_true_output_csv[[#This Row],[NAMA]],Table7[],3,FALSE))</f>
        <v>Average</v>
      </c>
    </row>
    <row r="371" spans="1:37" x14ac:dyDescent="0.2">
      <c r="A371">
        <v>370</v>
      </c>
      <c r="B371" t="s">
        <v>296</v>
      </c>
      <c r="C371" t="s">
        <v>54</v>
      </c>
      <c r="D371" t="s">
        <v>48</v>
      </c>
      <c r="E371" t="s">
        <v>140</v>
      </c>
      <c r="F371" s="25">
        <v>46069</v>
      </c>
      <c r="G371" t="s">
        <v>382</v>
      </c>
      <c r="H371" t="s">
        <v>412</v>
      </c>
      <c r="I371" t="s">
        <v>371</v>
      </c>
      <c r="J371" t="s">
        <v>31</v>
      </c>
      <c r="K371" t="s">
        <v>96</v>
      </c>
      <c r="L371" t="s">
        <v>351</v>
      </c>
      <c r="M371" t="s">
        <v>141</v>
      </c>
      <c r="N371" t="s">
        <v>142</v>
      </c>
      <c r="O371" t="s">
        <v>155</v>
      </c>
      <c r="P371" t="s">
        <v>281</v>
      </c>
      <c r="Q371" t="s">
        <v>155</v>
      </c>
      <c r="R371" t="s">
        <v>302</v>
      </c>
      <c r="S371" t="s">
        <v>345</v>
      </c>
      <c r="T371">
        <v>1</v>
      </c>
      <c r="U371" t="s">
        <v>409</v>
      </c>
      <c r="V371" t="s">
        <v>343</v>
      </c>
      <c r="W371" t="s">
        <v>413</v>
      </c>
      <c r="X371" t="s">
        <v>306</v>
      </c>
      <c r="Y371" t="s">
        <v>307</v>
      </c>
      <c r="Z371">
        <v>65</v>
      </c>
      <c r="AA371">
        <v>60</v>
      </c>
      <c r="AB371" t="s">
        <v>151</v>
      </c>
      <c r="AC371" t="s">
        <v>149</v>
      </c>
      <c r="AD371" t="s">
        <v>404</v>
      </c>
      <c r="AE371" t="str">
        <f>IF(AF371="","",VLOOKUP(AC371,mapel!$A$2:$B$42,2,FALSE))</f>
        <v>B.Indo</v>
      </c>
      <c r="AF371">
        <f t="shared" si="15"/>
        <v>60</v>
      </c>
      <c r="AG371" t="str">
        <f>IF(AF371="","",IF(AF371&gt;90,"Sangat baik",IF(AF371&gt;79,"Baik",IF(AF371&gt;=pub_gid_0_single_true_output_csv[[#This Row],[KKM]],"Cukup","Kurang"))))</f>
        <v>Kurang</v>
      </c>
      <c r="AH371">
        <f t="shared" si="16"/>
        <v>11</v>
      </c>
      <c r="AI371" s="30" t="str">
        <f>IF(OR(J371&lt;&gt;"Karakter",pub_gid_0_single_true_output_csv[[#This Row],[Nilai2]]=""),"",IF(AF371&gt;89,"Sangat baik",IF(AF371&gt;79,"Baik",IF(AF371&gt;69,"Cukup",IF(AF371&gt;59,"Kurang","Sangat kurang")))))</f>
        <v/>
      </c>
      <c r="AJ371" t="str">
        <f t="shared" si="17"/>
        <v>Wk.8</v>
      </c>
      <c r="AK371" t="str">
        <f>IF(pub_gid_0_single_true_output_csv[[#This Row],[Nilai2]]="","",VLOOKUP(pub_gid_0_single_true_output_csv[[#This Row],[NAMA]],Table7[],3,FALSE))</f>
        <v>Average</v>
      </c>
    </row>
    <row r="372" spans="1:37" x14ac:dyDescent="0.2">
      <c r="A372">
        <v>371</v>
      </c>
      <c r="B372" t="s">
        <v>296</v>
      </c>
      <c r="C372" t="s">
        <v>54</v>
      </c>
      <c r="D372" t="s">
        <v>48</v>
      </c>
      <c r="E372" t="s">
        <v>140</v>
      </c>
      <c r="F372" s="25">
        <v>46069</v>
      </c>
      <c r="G372" t="s">
        <v>382</v>
      </c>
      <c r="H372" t="s">
        <v>412</v>
      </c>
      <c r="I372" t="s">
        <v>371</v>
      </c>
      <c r="J372" t="s">
        <v>90</v>
      </c>
      <c r="K372" t="s">
        <v>92</v>
      </c>
      <c r="L372" t="s">
        <v>93</v>
      </c>
      <c r="M372" t="s">
        <v>141</v>
      </c>
      <c r="N372" t="s">
        <v>142</v>
      </c>
      <c r="O372" t="s">
        <v>155</v>
      </c>
      <c r="P372" t="s">
        <v>281</v>
      </c>
      <c r="Q372" t="s">
        <v>155</v>
      </c>
      <c r="R372" t="s">
        <v>302</v>
      </c>
      <c r="S372" t="s">
        <v>345</v>
      </c>
      <c r="T372">
        <v>1</v>
      </c>
      <c r="U372" t="s">
        <v>409</v>
      </c>
      <c r="V372" t="s">
        <v>343</v>
      </c>
      <c r="W372" t="s">
        <v>413</v>
      </c>
      <c r="X372" t="s">
        <v>306</v>
      </c>
      <c r="Y372" t="s">
        <v>307</v>
      </c>
      <c r="Z372">
        <v>65</v>
      </c>
      <c r="AA372">
        <v>70</v>
      </c>
      <c r="AB372" t="s">
        <v>143</v>
      </c>
      <c r="AC372" t="s">
        <v>149</v>
      </c>
      <c r="AD372" t="s">
        <v>404</v>
      </c>
      <c r="AE372" t="str">
        <f>IF(AF372="","",VLOOKUP(AC372,mapel!$A$2:$B$42,2,FALSE))</f>
        <v>B.Indo</v>
      </c>
      <c r="AF372">
        <f t="shared" si="15"/>
        <v>70</v>
      </c>
      <c r="AG372" t="str">
        <f>IF(AF372="","",IF(AF372&gt;90,"Sangat baik",IF(AF372&gt;79,"Baik",IF(AF372&gt;=pub_gid_0_single_true_output_csv[[#This Row],[KKM]],"Cukup","Kurang"))))</f>
        <v>Cukup</v>
      </c>
      <c r="AH372">
        <f t="shared" si="16"/>
        <v>11</v>
      </c>
      <c r="AI372" s="30" t="str">
        <f>IF(OR(J372&lt;&gt;"Karakter",pub_gid_0_single_true_output_csv[[#This Row],[Nilai2]]=""),"",IF(AF372&gt;89,"Sangat baik",IF(AF372&gt;79,"Baik",IF(AF372&gt;69,"Cukup",IF(AF372&gt;59,"Kurang","Sangat kurang")))))</f>
        <v>Cukup</v>
      </c>
      <c r="AJ372" t="str">
        <f t="shared" si="17"/>
        <v>Wk.8</v>
      </c>
      <c r="AK372" t="str">
        <f>IF(pub_gid_0_single_true_output_csv[[#This Row],[Nilai2]]="","",VLOOKUP(pub_gid_0_single_true_output_csv[[#This Row],[NAMA]],Table7[],3,FALSE))</f>
        <v>Average</v>
      </c>
    </row>
    <row r="373" spans="1:37" x14ac:dyDescent="0.2">
      <c r="A373">
        <v>372</v>
      </c>
      <c r="B373" t="s">
        <v>296</v>
      </c>
      <c r="C373" t="s">
        <v>54</v>
      </c>
      <c r="D373" t="s">
        <v>48</v>
      </c>
      <c r="E373" t="s">
        <v>140</v>
      </c>
      <c r="F373" s="25">
        <v>46069</v>
      </c>
      <c r="G373" t="s">
        <v>382</v>
      </c>
      <c r="H373" t="s">
        <v>412</v>
      </c>
      <c r="I373" t="s">
        <v>371</v>
      </c>
      <c r="J373" t="s">
        <v>279</v>
      </c>
      <c r="K373" t="s">
        <v>280</v>
      </c>
      <c r="L373" t="s">
        <v>322</v>
      </c>
      <c r="M373" t="s">
        <v>141</v>
      </c>
      <c r="N373" t="s">
        <v>142</v>
      </c>
      <c r="O373" t="s">
        <v>155</v>
      </c>
      <c r="P373" t="s">
        <v>281</v>
      </c>
      <c r="Q373" t="s">
        <v>155</v>
      </c>
      <c r="R373" t="s">
        <v>302</v>
      </c>
      <c r="S373" t="s">
        <v>345</v>
      </c>
      <c r="T373">
        <v>1</v>
      </c>
      <c r="U373" t="s">
        <v>409</v>
      </c>
      <c r="V373" t="s">
        <v>343</v>
      </c>
      <c r="W373" t="s">
        <v>413</v>
      </c>
      <c r="X373" t="s">
        <v>306</v>
      </c>
      <c r="Y373" t="s">
        <v>307</v>
      </c>
      <c r="Z373">
        <v>65</v>
      </c>
      <c r="AA373">
        <v>69</v>
      </c>
      <c r="AB373" t="s">
        <v>143</v>
      </c>
      <c r="AC373" t="s">
        <v>149</v>
      </c>
      <c r="AD373" t="s">
        <v>404</v>
      </c>
      <c r="AE373" t="str">
        <f>IF(AF373="","",VLOOKUP(AC373,mapel!$A$2:$B$42,2,FALSE))</f>
        <v>B.Indo</v>
      </c>
      <c r="AF373">
        <f t="shared" si="15"/>
        <v>69</v>
      </c>
      <c r="AG373" t="str">
        <f>IF(AF373="","",IF(AF373&gt;90,"Sangat baik",IF(AF373&gt;79,"Baik",IF(AF373&gt;=pub_gid_0_single_true_output_csv[[#This Row],[KKM]],"Cukup","Kurang"))))</f>
        <v>Cukup</v>
      </c>
      <c r="AH373">
        <f t="shared" si="16"/>
        <v>11</v>
      </c>
      <c r="AI373" s="30" t="str">
        <f>IF(OR(J373&lt;&gt;"Karakter",pub_gid_0_single_true_output_csv[[#This Row],[Nilai2]]=""),"",IF(AF373&gt;89,"Sangat baik",IF(AF373&gt;79,"Baik",IF(AF373&gt;69,"Cukup",IF(AF373&gt;59,"Kurang","Sangat kurang")))))</f>
        <v/>
      </c>
      <c r="AJ373" t="str">
        <f t="shared" si="17"/>
        <v>Wk.8</v>
      </c>
      <c r="AK373" t="str">
        <f>IF(pub_gid_0_single_true_output_csv[[#This Row],[Nilai2]]="","",VLOOKUP(pub_gid_0_single_true_output_csv[[#This Row],[NAMA]],Table7[],3,FALSE))</f>
        <v>Average</v>
      </c>
    </row>
    <row r="374" spans="1:37" x14ac:dyDescent="0.2">
      <c r="A374">
        <v>373</v>
      </c>
      <c r="B374" t="s">
        <v>289</v>
      </c>
      <c r="C374" t="s">
        <v>54</v>
      </c>
      <c r="D374" t="s">
        <v>39</v>
      </c>
      <c r="E374" t="s">
        <v>140</v>
      </c>
      <c r="F374" s="25">
        <v>46030</v>
      </c>
      <c r="G374" t="s">
        <v>347</v>
      </c>
      <c r="H374" t="s">
        <v>405</v>
      </c>
      <c r="I374" t="s">
        <v>371</v>
      </c>
      <c r="J374" t="s">
        <v>36</v>
      </c>
      <c r="K374" t="s">
        <v>37</v>
      </c>
      <c r="L374" t="s">
        <v>321</v>
      </c>
      <c r="M374" t="s">
        <v>141</v>
      </c>
      <c r="N374" t="s">
        <v>142</v>
      </c>
      <c r="O374" t="s">
        <v>155</v>
      </c>
      <c r="P374" t="s">
        <v>281</v>
      </c>
      <c r="Q374" t="s">
        <v>155</v>
      </c>
      <c r="R374" t="s">
        <v>273</v>
      </c>
      <c r="S374" t="s">
        <v>355</v>
      </c>
      <c r="T374">
        <v>2</v>
      </c>
      <c r="U374" t="s">
        <v>414</v>
      </c>
      <c r="V374" t="s">
        <v>303</v>
      </c>
      <c r="W374" t="s">
        <v>415</v>
      </c>
      <c r="X374" t="s">
        <v>306</v>
      </c>
      <c r="Y374" t="s">
        <v>307</v>
      </c>
      <c r="Z374">
        <v>65</v>
      </c>
      <c r="AA374">
        <v>94</v>
      </c>
      <c r="AB374" t="s">
        <v>143</v>
      </c>
      <c r="AC374" t="s">
        <v>160</v>
      </c>
      <c r="AD374" t="s">
        <v>278</v>
      </c>
      <c r="AE374" t="str">
        <f>IF(AF374="","",VLOOKUP(AC374,mapel!$A$2:$B$42,2,FALSE))</f>
        <v>B.Ing</v>
      </c>
      <c r="AF374">
        <f t="shared" si="15"/>
        <v>94</v>
      </c>
      <c r="AG374" t="str">
        <f>IF(AF374="","",IF(AF374&gt;90,"Sangat baik",IF(AF374&gt;79,"Baik",IF(AF374&gt;=pub_gid_0_single_true_output_csv[[#This Row],[KKM]],"Cukup","Kurang"))))</f>
        <v>Sangat baik</v>
      </c>
      <c r="AH374">
        <f t="shared" si="16"/>
        <v>11</v>
      </c>
      <c r="AI374" s="30" t="str">
        <f>IF(OR(J374&lt;&gt;"Karakter",pub_gid_0_single_true_output_csv[[#This Row],[Nilai2]]=""),"",IF(AF374&gt;89,"Sangat baik",IF(AF374&gt;79,"Baik",IF(AF374&gt;69,"Cukup",IF(AF374&gt;59,"Kurang","Sangat kurang")))))</f>
        <v/>
      </c>
      <c r="AJ374" t="str">
        <f t="shared" si="17"/>
        <v>Wk.2</v>
      </c>
      <c r="AK374" t="str">
        <f>IF(pub_gid_0_single_true_output_csv[[#This Row],[Nilai2]]="","",VLOOKUP(pub_gid_0_single_true_output_csv[[#This Row],[NAMA]],Table7[],3,FALSE))</f>
        <v>Average</v>
      </c>
    </row>
    <row r="375" spans="1:37" x14ac:dyDescent="0.2">
      <c r="A375">
        <v>374</v>
      </c>
      <c r="B375" t="s">
        <v>289</v>
      </c>
      <c r="C375" t="s">
        <v>54</v>
      </c>
      <c r="D375" t="s">
        <v>39</v>
      </c>
      <c r="E375" t="s">
        <v>140</v>
      </c>
      <c r="F375" s="25">
        <v>46030</v>
      </c>
      <c r="G375" t="s">
        <v>347</v>
      </c>
      <c r="H375" t="s">
        <v>405</v>
      </c>
      <c r="I375" t="s">
        <v>371</v>
      </c>
      <c r="J375" t="s">
        <v>41</v>
      </c>
      <c r="K375" t="s">
        <v>157</v>
      </c>
      <c r="L375" t="s">
        <v>395</v>
      </c>
      <c r="M375" t="s">
        <v>141</v>
      </c>
      <c r="N375" t="s">
        <v>142</v>
      </c>
      <c r="O375" t="s">
        <v>155</v>
      </c>
      <c r="P375" t="s">
        <v>281</v>
      </c>
      <c r="Q375" t="s">
        <v>155</v>
      </c>
      <c r="R375" t="s">
        <v>273</v>
      </c>
      <c r="S375" t="s">
        <v>355</v>
      </c>
      <c r="T375">
        <v>2</v>
      </c>
      <c r="U375" t="s">
        <v>414</v>
      </c>
      <c r="V375" t="s">
        <v>303</v>
      </c>
      <c r="W375" t="s">
        <v>415</v>
      </c>
      <c r="X375" t="s">
        <v>306</v>
      </c>
      <c r="Y375" t="s">
        <v>307</v>
      </c>
      <c r="Z375">
        <v>65</v>
      </c>
      <c r="AA375">
        <v>94</v>
      </c>
      <c r="AB375" t="s">
        <v>143</v>
      </c>
      <c r="AC375" t="s">
        <v>160</v>
      </c>
      <c r="AD375" t="s">
        <v>278</v>
      </c>
      <c r="AE375" t="str">
        <f>IF(AF375="","",VLOOKUP(AC375,mapel!$A$2:$B$42,2,FALSE))</f>
        <v>B.Ing</v>
      </c>
      <c r="AF375">
        <f t="shared" si="15"/>
        <v>94</v>
      </c>
      <c r="AG375" t="str">
        <f>IF(AF375="","",IF(AF375&gt;90,"Sangat baik",IF(AF375&gt;79,"Baik",IF(AF375&gt;=pub_gid_0_single_true_output_csv[[#This Row],[KKM]],"Cukup","Kurang"))))</f>
        <v>Sangat baik</v>
      </c>
      <c r="AH375">
        <f t="shared" si="16"/>
        <v>11</v>
      </c>
      <c r="AI375" s="30" t="str">
        <f>IF(OR(J375&lt;&gt;"Karakter",pub_gid_0_single_true_output_csv[[#This Row],[Nilai2]]=""),"",IF(AF375&gt;89,"Sangat baik",IF(AF375&gt;79,"Baik",IF(AF375&gt;69,"Cukup",IF(AF375&gt;59,"Kurang","Sangat kurang")))))</f>
        <v/>
      </c>
      <c r="AJ375" t="str">
        <f t="shared" si="17"/>
        <v>Wk.2</v>
      </c>
      <c r="AK375" t="str">
        <f>IF(pub_gid_0_single_true_output_csv[[#This Row],[Nilai2]]="","",VLOOKUP(pub_gid_0_single_true_output_csv[[#This Row],[NAMA]],Table7[],3,FALSE))</f>
        <v>Average</v>
      </c>
    </row>
    <row r="376" spans="1:37" x14ac:dyDescent="0.2">
      <c r="A376">
        <v>375</v>
      </c>
      <c r="B376" t="s">
        <v>289</v>
      </c>
      <c r="C376" t="s">
        <v>54</v>
      </c>
      <c r="D376" t="s">
        <v>39</v>
      </c>
      <c r="E376" t="s">
        <v>140</v>
      </c>
      <c r="F376" s="25">
        <v>46030</v>
      </c>
      <c r="G376" t="s">
        <v>347</v>
      </c>
      <c r="H376" t="s">
        <v>405</v>
      </c>
      <c r="I376" t="s">
        <v>371</v>
      </c>
      <c r="J376" t="s">
        <v>90</v>
      </c>
      <c r="K376" t="s">
        <v>92</v>
      </c>
      <c r="L376" t="s">
        <v>95</v>
      </c>
      <c r="M376" t="s">
        <v>141</v>
      </c>
      <c r="N376" t="s">
        <v>142</v>
      </c>
      <c r="O376" t="s">
        <v>155</v>
      </c>
      <c r="P376" t="s">
        <v>281</v>
      </c>
      <c r="Q376" t="s">
        <v>155</v>
      </c>
      <c r="R376" t="s">
        <v>273</v>
      </c>
      <c r="S376" t="s">
        <v>355</v>
      </c>
      <c r="T376">
        <v>2</v>
      </c>
      <c r="U376" t="s">
        <v>414</v>
      </c>
      <c r="V376" t="s">
        <v>303</v>
      </c>
      <c r="W376" t="s">
        <v>415</v>
      </c>
      <c r="X376" t="s">
        <v>306</v>
      </c>
      <c r="Y376" t="s">
        <v>307</v>
      </c>
      <c r="Z376">
        <v>65</v>
      </c>
      <c r="AA376">
        <v>90</v>
      </c>
      <c r="AB376" t="s">
        <v>143</v>
      </c>
      <c r="AC376" t="s">
        <v>160</v>
      </c>
      <c r="AD376" t="s">
        <v>278</v>
      </c>
      <c r="AE376" t="str">
        <f>IF(AF376="","",VLOOKUP(AC376,mapel!$A$2:$B$42,2,FALSE))</f>
        <v>B.Ing</v>
      </c>
      <c r="AF376">
        <f t="shared" si="15"/>
        <v>90</v>
      </c>
      <c r="AG376" t="str">
        <f>IF(AF376="","",IF(AF376&gt;90,"Sangat baik",IF(AF376&gt;79,"Baik",IF(AF376&gt;=pub_gid_0_single_true_output_csv[[#This Row],[KKM]],"Cukup","Kurang"))))</f>
        <v>Baik</v>
      </c>
      <c r="AH376">
        <f t="shared" si="16"/>
        <v>11</v>
      </c>
      <c r="AI376" s="30" t="str">
        <f>IF(OR(J376&lt;&gt;"Karakter",pub_gid_0_single_true_output_csv[[#This Row],[Nilai2]]=""),"",IF(AF376&gt;89,"Sangat baik",IF(AF376&gt;79,"Baik",IF(AF376&gt;69,"Cukup",IF(AF376&gt;59,"Kurang","Sangat kurang")))))</f>
        <v>Sangat baik</v>
      </c>
      <c r="AJ376" t="str">
        <f t="shared" si="17"/>
        <v>Wk.2</v>
      </c>
      <c r="AK376" t="str">
        <f>IF(pub_gid_0_single_true_output_csv[[#This Row],[Nilai2]]="","",VLOOKUP(pub_gid_0_single_true_output_csv[[#This Row],[NAMA]],Table7[],3,FALSE))</f>
        <v>Average</v>
      </c>
    </row>
    <row r="377" spans="1:37" x14ac:dyDescent="0.2">
      <c r="A377">
        <v>376</v>
      </c>
      <c r="B377" t="s">
        <v>289</v>
      </c>
      <c r="C377" t="s">
        <v>54</v>
      </c>
      <c r="D377" t="s">
        <v>39</v>
      </c>
      <c r="E377" t="s">
        <v>140</v>
      </c>
      <c r="F377" s="25">
        <v>46051</v>
      </c>
      <c r="G377" t="s">
        <v>320</v>
      </c>
      <c r="H377" t="s">
        <v>405</v>
      </c>
      <c r="I377" t="s">
        <v>371</v>
      </c>
      <c r="J377" t="s">
        <v>36</v>
      </c>
      <c r="K377" t="s">
        <v>37</v>
      </c>
      <c r="L377" t="s">
        <v>324</v>
      </c>
      <c r="M377" t="s">
        <v>141</v>
      </c>
      <c r="N377" t="s">
        <v>142</v>
      </c>
      <c r="O377" t="s">
        <v>155</v>
      </c>
      <c r="P377" t="s">
        <v>281</v>
      </c>
      <c r="Q377" t="s">
        <v>155</v>
      </c>
      <c r="R377" t="s">
        <v>273</v>
      </c>
      <c r="S377" t="s">
        <v>355</v>
      </c>
      <c r="T377">
        <v>2</v>
      </c>
      <c r="U377" t="s">
        <v>414</v>
      </c>
      <c r="V377" t="s">
        <v>303</v>
      </c>
      <c r="W377" t="s">
        <v>415</v>
      </c>
      <c r="X377" t="s">
        <v>306</v>
      </c>
      <c r="Y377" t="s">
        <v>307</v>
      </c>
      <c r="Z377">
        <v>65</v>
      </c>
      <c r="AA377">
        <v>85</v>
      </c>
      <c r="AB377" t="s">
        <v>143</v>
      </c>
      <c r="AC377" t="s">
        <v>160</v>
      </c>
      <c r="AD377" t="s">
        <v>278</v>
      </c>
      <c r="AE377" t="str">
        <f>IF(AF377="","",VLOOKUP(AC377,mapel!$A$2:$B$42,2,FALSE))</f>
        <v>B.Ing</v>
      </c>
      <c r="AF377">
        <f t="shared" si="15"/>
        <v>85</v>
      </c>
      <c r="AG377" t="str">
        <f>IF(AF377="","",IF(AF377&gt;90,"Sangat baik",IF(AF377&gt;79,"Baik",IF(AF377&gt;=pub_gid_0_single_true_output_csv[[#This Row],[KKM]],"Cukup","Kurang"))))</f>
        <v>Baik</v>
      </c>
      <c r="AH377">
        <f t="shared" si="16"/>
        <v>11</v>
      </c>
      <c r="AI377" s="30" t="str">
        <f>IF(OR(J377&lt;&gt;"Karakter",pub_gid_0_single_true_output_csv[[#This Row],[Nilai2]]=""),"",IF(AF377&gt;89,"Sangat baik",IF(AF377&gt;79,"Baik",IF(AF377&gt;69,"Cukup",IF(AF377&gt;59,"Kurang","Sangat kurang")))))</f>
        <v/>
      </c>
      <c r="AJ377" t="str">
        <f t="shared" si="17"/>
        <v>Wk.5</v>
      </c>
      <c r="AK377" t="str">
        <f>IF(pub_gid_0_single_true_output_csv[[#This Row],[Nilai2]]="","",VLOOKUP(pub_gid_0_single_true_output_csv[[#This Row],[NAMA]],Table7[],3,FALSE))</f>
        <v>Average</v>
      </c>
    </row>
    <row r="378" spans="1:37" x14ac:dyDescent="0.2">
      <c r="A378">
        <v>377</v>
      </c>
      <c r="B378" t="s">
        <v>289</v>
      </c>
      <c r="C378" t="s">
        <v>54</v>
      </c>
      <c r="D378" t="s">
        <v>39</v>
      </c>
      <c r="E378" t="s">
        <v>140</v>
      </c>
      <c r="F378" s="25">
        <v>46051</v>
      </c>
      <c r="G378" t="s">
        <v>320</v>
      </c>
      <c r="H378" t="s">
        <v>405</v>
      </c>
      <c r="I378" t="s">
        <v>371</v>
      </c>
      <c r="J378" t="s">
        <v>90</v>
      </c>
      <c r="K378" t="s">
        <v>377</v>
      </c>
      <c r="L378" t="s">
        <v>378</v>
      </c>
      <c r="M378" t="s">
        <v>141</v>
      </c>
      <c r="N378" t="s">
        <v>142</v>
      </c>
      <c r="O378" t="s">
        <v>155</v>
      </c>
      <c r="P378" t="s">
        <v>281</v>
      </c>
      <c r="Q378" t="s">
        <v>155</v>
      </c>
      <c r="R378" t="s">
        <v>273</v>
      </c>
      <c r="S378" t="s">
        <v>355</v>
      </c>
      <c r="T378">
        <v>2</v>
      </c>
      <c r="U378" t="s">
        <v>414</v>
      </c>
      <c r="V378" t="s">
        <v>303</v>
      </c>
      <c r="W378" t="s">
        <v>415</v>
      </c>
      <c r="X378" t="s">
        <v>306</v>
      </c>
      <c r="Y378" t="s">
        <v>307</v>
      </c>
      <c r="Z378">
        <v>65</v>
      </c>
      <c r="AA378">
        <v>100</v>
      </c>
      <c r="AB378" t="s">
        <v>143</v>
      </c>
      <c r="AC378" t="s">
        <v>160</v>
      </c>
      <c r="AD378" t="s">
        <v>278</v>
      </c>
      <c r="AE378" t="str">
        <f>IF(AF378="","",VLOOKUP(AC378,mapel!$A$2:$B$42,2,FALSE))</f>
        <v>B.Ing</v>
      </c>
      <c r="AF378">
        <f t="shared" si="15"/>
        <v>100</v>
      </c>
      <c r="AG378" t="str">
        <f>IF(AF378="","",IF(AF378&gt;90,"Sangat baik",IF(AF378&gt;79,"Baik",IF(AF378&gt;=pub_gid_0_single_true_output_csv[[#This Row],[KKM]],"Cukup","Kurang"))))</f>
        <v>Sangat baik</v>
      </c>
      <c r="AH378">
        <f t="shared" si="16"/>
        <v>11</v>
      </c>
      <c r="AI378" s="30" t="str">
        <f>IF(OR(J378&lt;&gt;"Karakter",pub_gid_0_single_true_output_csv[[#This Row],[Nilai2]]=""),"",IF(AF378&gt;89,"Sangat baik",IF(AF378&gt;79,"Baik",IF(AF378&gt;69,"Cukup",IF(AF378&gt;59,"Kurang","Sangat kurang")))))</f>
        <v>Sangat baik</v>
      </c>
      <c r="AJ378" t="str">
        <f t="shared" si="17"/>
        <v>Wk.5</v>
      </c>
      <c r="AK378" t="str">
        <f>IF(pub_gid_0_single_true_output_csv[[#This Row],[Nilai2]]="","",VLOOKUP(pub_gid_0_single_true_output_csv[[#This Row],[NAMA]],Table7[],3,FALSE))</f>
        <v>Average</v>
      </c>
    </row>
    <row r="379" spans="1:37" x14ac:dyDescent="0.2">
      <c r="A379">
        <v>378</v>
      </c>
      <c r="B379" t="s">
        <v>289</v>
      </c>
      <c r="C379" t="s">
        <v>54</v>
      </c>
      <c r="D379" t="s">
        <v>39</v>
      </c>
      <c r="E379" t="s">
        <v>140</v>
      </c>
      <c r="F379" s="25">
        <v>46044</v>
      </c>
      <c r="G379" t="s">
        <v>305</v>
      </c>
      <c r="H379" t="s">
        <v>405</v>
      </c>
      <c r="I379" t="s">
        <v>371</v>
      </c>
      <c r="J379" t="s">
        <v>41</v>
      </c>
      <c r="K379" t="s">
        <v>365</v>
      </c>
      <c r="L379" t="s">
        <v>383</v>
      </c>
      <c r="M379" t="s">
        <v>141</v>
      </c>
      <c r="N379" t="s">
        <v>142</v>
      </c>
      <c r="O379" t="s">
        <v>155</v>
      </c>
      <c r="P379" t="s">
        <v>281</v>
      </c>
      <c r="Q379" t="s">
        <v>155</v>
      </c>
      <c r="R379" t="s">
        <v>273</v>
      </c>
      <c r="S379" t="s">
        <v>355</v>
      </c>
      <c r="T379">
        <v>2</v>
      </c>
      <c r="U379" t="s">
        <v>414</v>
      </c>
      <c r="V379" t="s">
        <v>303</v>
      </c>
      <c r="W379" t="s">
        <v>415</v>
      </c>
      <c r="X379" t="s">
        <v>306</v>
      </c>
      <c r="Y379" t="s">
        <v>307</v>
      </c>
      <c r="Z379">
        <v>65</v>
      </c>
      <c r="AA379">
        <v>68</v>
      </c>
      <c r="AB379" t="s">
        <v>143</v>
      </c>
      <c r="AC379" t="s">
        <v>160</v>
      </c>
      <c r="AD379" t="s">
        <v>278</v>
      </c>
      <c r="AE379" t="str">
        <f>IF(AF379="","",VLOOKUP(AC379,mapel!$A$2:$B$42,2,FALSE))</f>
        <v>B.Ing</v>
      </c>
      <c r="AF379">
        <f t="shared" si="15"/>
        <v>68</v>
      </c>
      <c r="AG379" t="str">
        <f>IF(AF379="","",IF(AF379&gt;90,"Sangat baik",IF(AF379&gt;79,"Baik",IF(AF379&gt;=pub_gid_0_single_true_output_csv[[#This Row],[KKM]],"Cukup","Kurang"))))</f>
        <v>Cukup</v>
      </c>
      <c r="AH379">
        <f t="shared" si="16"/>
        <v>11</v>
      </c>
      <c r="AI379" s="30" t="str">
        <f>IF(OR(J379&lt;&gt;"Karakter",pub_gid_0_single_true_output_csv[[#This Row],[Nilai2]]=""),"",IF(AF379&gt;89,"Sangat baik",IF(AF379&gt;79,"Baik",IF(AF379&gt;69,"Cukup",IF(AF379&gt;59,"Kurang","Sangat kurang")))))</f>
        <v/>
      </c>
      <c r="AJ379" t="str">
        <f t="shared" si="17"/>
        <v>Wk.4</v>
      </c>
      <c r="AK379" t="str">
        <f>IF(pub_gid_0_single_true_output_csv[[#This Row],[Nilai2]]="","",VLOOKUP(pub_gid_0_single_true_output_csv[[#This Row],[NAMA]],Table7[],3,FALSE))</f>
        <v>Average</v>
      </c>
    </row>
    <row r="380" spans="1:37" x14ac:dyDescent="0.2">
      <c r="A380">
        <v>379</v>
      </c>
      <c r="B380" t="s">
        <v>289</v>
      </c>
      <c r="C380" t="s">
        <v>54</v>
      </c>
      <c r="D380" t="s">
        <v>39</v>
      </c>
      <c r="E380" t="s">
        <v>140</v>
      </c>
      <c r="F380" s="25">
        <v>46044</v>
      </c>
      <c r="G380" t="s">
        <v>305</v>
      </c>
      <c r="H380" t="s">
        <v>405</v>
      </c>
      <c r="I380" t="s">
        <v>371</v>
      </c>
      <c r="J380" t="s">
        <v>36</v>
      </c>
      <c r="K380" t="s">
        <v>37</v>
      </c>
      <c r="L380" t="s">
        <v>321</v>
      </c>
      <c r="M380" t="s">
        <v>141</v>
      </c>
      <c r="N380" t="s">
        <v>142</v>
      </c>
      <c r="O380" t="s">
        <v>155</v>
      </c>
      <c r="P380" t="s">
        <v>281</v>
      </c>
      <c r="Q380" t="s">
        <v>155</v>
      </c>
      <c r="R380" t="s">
        <v>273</v>
      </c>
      <c r="S380" t="s">
        <v>355</v>
      </c>
      <c r="T380">
        <v>2</v>
      </c>
      <c r="U380" t="s">
        <v>414</v>
      </c>
      <c r="V380" t="s">
        <v>303</v>
      </c>
      <c r="W380" t="s">
        <v>415</v>
      </c>
      <c r="X380" t="s">
        <v>306</v>
      </c>
      <c r="Y380" t="s">
        <v>307</v>
      </c>
      <c r="Z380">
        <v>65</v>
      </c>
      <c r="AA380">
        <v>68</v>
      </c>
      <c r="AB380" t="s">
        <v>143</v>
      </c>
      <c r="AC380" t="s">
        <v>160</v>
      </c>
      <c r="AD380" t="s">
        <v>278</v>
      </c>
      <c r="AE380" t="str">
        <f>IF(AF380="","",VLOOKUP(AC380,mapel!$A$2:$B$42,2,FALSE))</f>
        <v>B.Ing</v>
      </c>
      <c r="AF380">
        <f t="shared" si="15"/>
        <v>68</v>
      </c>
      <c r="AG380" t="str">
        <f>IF(AF380="","",IF(AF380&gt;90,"Sangat baik",IF(AF380&gt;79,"Baik",IF(AF380&gt;=pub_gid_0_single_true_output_csv[[#This Row],[KKM]],"Cukup","Kurang"))))</f>
        <v>Cukup</v>
      </c>
      <c r="AH380">
        <f t="shared" si="16"/>
        <v>11</v>
      </c>
      <c r="AI380" s="30" t="str">
        <f>IF(OR(J380&lt;&gt;"Karakter",pub_gid_0_single_true_output_csv[[#This Row],[Nilai2]]=""),"",IF(AF380&gt;89,"Sangat baik",IF(AF380&gt;79,"Baik",IF(AF380&gt;69,"Cukup",IF(AF380&gt;59,"Kurang","Sangat kurang")))))</f>
        <v/>
      </c>
      <c r="AJ380" t="str">
        <f t="shared" si="17"/>
        <v>Wk.4</v>
      </c>
      <c r="AK380" t="str">
        <f>IF(pub_gid_0_single_true_output_csv[[#This Row],[Nilai2]]="","",VLOOKUP(pub_gid_0_single_true_output_csv[[#This Row],[NAMA]],Table7[],3,FALSE))</f>
        <v>Average</v>
      </c>
    </row>
    <row r="381" spans="1:37" x14ac:dyDescent="0.2">
      <c r="A381">
        <v>380</v>
      </c>
      <c r="B381" t="s">
        <v>289</v>
      </c>
      <c r="C381" t="s">
        <v>54</v>
      </c>
      <c r="D381" t="s">
        <v>39</v>
      </c>
      <c r="E381" t="s">
        <v>140</v>
      </c>
      <c r="F381" s="25">
        <v>46044</v>
      </c>
      <c r="G381" t="s">
        <v>305</v>
      </c>
      <c r="H381" t="s">
        <v>405</v>
      </c>
      <c r="I381" t="s">
        <v>371</v>
      </c>
      <c r="J381" t="s">
        <v>31</v>
      </c>
      <c r="K381" t="s">
        <v>32</v>
      </c>
      <c r="L381" t="s">
        <v>321</v>
      </c>
      <c r="M381" t="s">
        <v>141</v>
      </c>
      <c r="N381" t="s">
        <v>142</v>
      </c>
      <c r="O381" t="s">
        <v>155</v>
      </c>
      <c r="P381" t="s">
        <v>281</v>
      </c>
      <c r="Q381" t="s">
        <v>155</v>
      </c>
      <c r="R381" t="s">
        <v>273</v>
      </c>
      <c r="S381" t="s">
        <v>355</v>
      </c>
      <c r="T381">
        <v>2</v>
      </c>
      <c r="U381" t="s">
        <v>414</v>
      </c>
      <c r="V381" t="s">
        <v>303</v>
      </c>
      <c r="W381" t="s">
        <v>415</v>
      </c>
      <c r="X381" t="s">
        <v>306</v>
      </c>
      <c r="Y381" t="s">
        <v>307</v>
      </c>
      <c r="Z381">
        <v>65</v>
      </c>
      <c r="AA381">
        <v>68</v>
      </c>
      <c r="AB381" t="s">
        <v>143</v>
      </c>
      <c r="AC381" t="s">
        <v>160</v>
      </c>
      <c r="AD381" t="s">
        <v>278</v>
      </c>
      <c r="AE381" t="str">
        <f>IF(AF381="","",VLOOKUP(AC381,mapel!$A$2:$B$42,2,FALSE))</f>
        <v>B.Ing</v>
      </c>
      <c r="AF381">
        <f t="shared" si="15"/>
        <v>68</v>
      </c>
      <c r="AG381" t="str">
        <f>IF(AF381="","",IF(AF381&gt;90,"Sangat baik",IF(AF381&gt;79,"Baik",IF(AF381&gt;=pub_gid_0_single_true_output_csv[[#This Row],[KKM]],"Cukup","Kurang"))))</f>
        <v>Cukup</v>
      </c>
      <c r="AH381">
        <f t="shared" si="16"/>
        <v>11</v>
      </c>
      <c r="AI381" s="30" t="str">
        <f>IF(OR(J381&lt;&gt;"Karakter",pub_gid_0_single_true_output_csv[[#This Row],[Nilai2]]=""),"",IF(AF381&gt;89,"Sangat baik",IF(AF381&gt;79,"Baik",IF(AF381&gt;69,"Cukup",IF(AF381&gt;59,"Kurang","Sangat kurang")))))</f>
        <v/>
      </c>
      <c r="AJ381" t="str">
        <f t="shared" si="17"/>
        <v>Wk.4</v>
      </c>
      <c r="AK381" t="str">
        <f>IF(pub_gid_0_single_true_output_csv[[#This Row],[Nilai2]]="","",VLOOKUP(pub_gid_0_single_true_output_csv[[#This Row],[NAMA]],Table7[],3,FALSE))</f>
        <v>Average</v>
      </c>
    </row>
    <row r="382" spans="1:37" x14ac:dyDescent="0.2">
      <c r="A382">
        <v>381</v>
      </c>
      <c r="B382" t="s">
        <v>289</v>
      </c>
      <c r="C382" t="s">
        <v>54</v>
      </c>
      <c r="D382" t="s">
        <v>39</v>
      </c>
      <c r="E382" t="s">
        <v>140</v>
      </c>
      <c r="F382" s="25">
        <v>46065</v>
      </c>
      <c r="G382" t="s">
        <v>354</v>
      </c>
      <c r="H382" t="s">
        <v>412</v>
      </c>
      <c r="I382" t="s">
        <v>371</v>
      </c>
      <c r="J382" t="s">
        <v>36</v>
      </c>
      <c r="K382" t="s">
        <v>37</v>
      </c>
      <c r="L382" t="s">
        <v>324</v>
      </c>
      <c r="M382" t="s">
        <v>141</v>
      </c>
      <c r="N382" t="s">
        <v>142</v>
      </c>
      <c r="O382" t="s">
        <v>155</v>
      </c>
      <c r="P382" t="s">
        <v>281</v>
      </c>
      <c r="Q382" t="s">
        <v>155</v>
      </c>
      <c r="R382" t="s">
        <v>273</v>
      </c>
      <c r="S382" t="s">
        <v>355</v>
      </c>
      <c r="T382">
        <v>2</v>
      </c>
      <c r="U382" t="s">
        <v>414</v>
      </c>
      <c r="V382" t="s">
        <v>303</v>
      </c>
      <c r="W382" t="s">
        <v>415</v>
      </c>
      <c r="X382" t="s">
        <v>306</v>
      </c>
      <c r="Y382" t="s">
        <v>307</v>
      </c>
      <c r="Z382">
        <v>65</v>
      </c>
      <c r="AA382">
        <v>45</v>
      </c>
      <c r="AB382" t="s">
        <v>151</v>
      </c>
      <c r="AC382" t="s">
        <v>160</v>
      </c>
      <c r="AD382" t="s">
        <v>278</v>
      </c>
      <c r="AE382" t="str">
        <f>IF(AF382="","",VLOOKUP(AC382,mapel!$A$2:$B$42,2,FALSE))</f>
        <v>B.Ing</v>
      </c>
      <c r="AF382">
        <f t="shared" si="15"/>
        <v>45</v>
      </c>
      <c r="AG382" t="str">
        <f>IF(AF382="","",IF(AF382&gt;90,"Sangat baik",IF(AF382&gt;79,"Baik",IF(AF382&gt;=pub_gid_0_single_true_output_csv[[#This Row],[KKM]],"Cukup","Kurang"))))</f>
        <v>Kurang</v>
      </c>
      <c r="AH382">
        <f t="shared" si="16"/>
        <v>11</v>
      </c>
      <c r="AI382" s="30" t="str">
        <f>IF(OR(J382&lt;&gt;"Karakter",pub_gid_0_single_true_output_csv[[#This Row],[Nilai2]]=""),"",IF(AF382&gt;89,"Sangat baik",IF(AF382&gt;79,"Baik",IF(AF382&gt;69,"Cukup",IF(AF382&gt;59,"Kurang","Sangat kurang")))))</f>
        <v/>
      </c>
      <c r="AJ382" t="str">
        <f t="shared" si="17"/>
        <v>Wk.7</v>
      </c>
      <c r="AK382" t="str">
        <f>IF(pub_gid_0_single_true_output_csv[[#This Row],[Nilai2]]="","",VLOOKUP(pub_gid_0_single_true_output_csv[[#This Row],[NAMA]],Table7[],3,FALSE))</f>
        <v>Average</v>
      </c>
    </row>
    <row r="383" spans="1:37" x14ac:dyDescent="0.2">
      <c r="A383">
        <v>382</v>
      </c>
      <c r="B383" t="s">
        <v>289</v>
      </c>
      <c r="C383" t="s">
        <v>54</v>
      </c>
      <c r="D383" t="s">
        <v>39</v>
      </c>
      <c r="E383" t="s">
        <v>140</v>
      </c>
      <c r="F383" s="25">
        <v>46065</v>
      </c>
      <c r="G383" t="s">
        <v>354</v>
      </c>
      <c r="H383" t="s">
        <v>412</v>
      </c>
      <c r="I383" t="s">
        <v>371</v>
      </c>
      <c r="J383" t="s">
        <v>36</v>
      </c>
      <c r="K383" t="s">
        <v>37</v>
      </c>
      <c r="L383" t="s">
        <v>150</v>
      </c>
      <c r="M383" t="s">
        <v>141</v>
      </c>
      <c r="N383" t="s">
        <v>142</v>
      </c>
      <c r="O383" t="s">
        <v>155</v>
      </c>
      <c r="P383" t="s">
        <v>281</v>
      </c>
      <c r="Q383" t="s">
        <v>155</v>
      </c>
      <c r="R383" t="s">
        <v>273</v>
      </c>
      <c r="S383" t="s">
        <v>355</v>
      </c>
      <c r="T383">
        <v>2</v>
      </c>
      <c r="U383" t="s">
        <v>414</v>
      </c>
      <c r="V383" t="s">
        <v>303</v>
      </c>
      <c r="W383" t="s">
        <v>415</v>
      </c>
      <c r="X383" t="s">
        <v>306</v>
      </c>
      <c r="Y383" t="s">
        <v>307</v>
      </c>
      <c r="Z383">
        <v>65</v>
      </c>
      <c r="AA383">
        <v>55</v>
      </c>
      <c r="AB383" t="s">
        <v>151</v>
      </c>
      <c r="AC383" t="s">
        <v>160</v>
      </c>
      <c r="AD383" t="s">
        <v>278</v>
      </c>
      <c r="AE383" t="str">
        <f>IF(AF383="","",VLOOKUP(AC383,mapel!$A$2:$B$42,2,FALSE))</f>
        <v>B.Ing</v>
      </c>
      <c r="AF383">
        <f t="shared" si="15"/>
        <v>55</v>
      </c>
      <c r="AG383" t="str">
        <f>IF(AF383="","",IF(AF383&gt;90,"Sangat baik",IF(AF383&gt;79,"Baik",IF(AF383&gt;=pub_gid_0_single_true_output_csv[[#This Row],[KKM]],"Cukup","Kurang"))))</f>
        <v>Kurang</v>
      </c>
      <c r="AH383">
        <f t="shared" si="16"/>
        <v>11</v>
      </c>
      <c r="AI383" s="30" t="str">
        <f>IF(OR(J383&lt;&gt;"Karakter",pub_gid_0_single_true_output_csv[[#This Row],[Nilai2]]=""),"",IF(AF383&gt;89,"Sangat baik",IF(AF383&gt;79,"Baik",IF(AF383&gt;69,"Cukup",IF(AF383&gt;59,"Kurang","Sangat kurang")))))</f>
        <v/>
      </c>
      <c r="AJ383" t="str">
        <f t="shared" si="17"/>
        <v>Wk.7</v>
      </c>
      <c r="AK383" t="str">
        <f>IF(pub_gid_0_single_true_output_csv[[#This Row],[Nilai2]]="","",VLOOKUP(pub_gid_0_single_true_output_csv[[#This Row],[NAMA]],Table7[],3,FALSE))</f>
        <v>Average</v>
      </c>
    </row>
    <row r="384" spans="1:37" x14ac:dyDescent="0.2">
      <c r="A384">
        <v>383</v>
      </c>
      <c r="B384" t="s">
        <v>289</v>
      </c>
      <c r="C384" t="s">
        <v>54</v>
      </c>
      <c r="D384" t="s">
        <v>39</v>
      </c>
      <c r="E384" t="s">
        <v>140</v>
      </c>
      <c r="F384" s="25">
        <v>46065</v>
      </c>
      <c r="G384" t="s">
        <v>354</v>
      </c>
      <c r="H384" t="s">
        <v>412</v>
      </c>
      <c r="I384" t="s">
        <v>371</v>
      </c>
      <c r="J384" t="s">
        <v>41</v>
      </c>
      <c r="K384" t="s">
        <v>365</v>
      </c>
      <c r="L384" t="s">
        <v>150</v>
      </c>
      <c r="M384" t="s">
        <v>141</v>
      </c>
      <c r="N384" t="s">
        <v>142</v>
      </c>
      <c r="O384" t="s">
        <v>155</v>
      </c>
      <c r="P384" t="s">
        <v>281</v>
      </c>
      <c r="Q384" t="s">
        <v>155</v>
      </c>
      <c r="R384" t="s">
        <v>273</v>
      </c>
      <c r="S384" t="s">
        <v>355</v>
      </c>
      <c r="T384">
        <v>2</v>
      </c>
      <c r="U384" t="s">
        <v>414</v>
      </c>
      <c r="V384" t="s">
        <v>303</v>
      </c>
      <c r="W384" t="s">
        <v>415</v>
      </c>
      <c r="X384" t="s">
        <v>306</v>
      </c>
      <c r="Y384" t="s">
        <v>307</v>
      </c>
      <c r="Z384">
        <v>65</v>
      </c>
      <c r="AA384">
        <v>55</v>
      </c>
      <c r="AB384" t="s">
        <v>151</v>
      </c>
      <c r="AC384" t="s">
        <v>160</v>
      </c>
      <c r="AD384" t="s">
        <v>278</v>
      </c>
      <c r="AE384" t="str">
        <f>IF(AF384="","",VLOOKUP(AC384,mapel!$A$2:$B$42,2,FALSE))</f>
        <v>B.Ing</v>
      </c>
      <c r="AF384">
        <f t="shared" si="15"/>
        <v>55</v>
      </c>
      <c r="AG384" t="str">
        <f>IF(AF384="","",IF(AF384&gt;90,"Sangat baik",IF(AF384&gt;79,"Baik",IF(AF384&gt;=pub_gid_0_single_true_output_csv[[#This Row],[KKM]],"Cukup","Kurang"))))</f>
        <v>Kurang</v>
      </c>
      <c r="AH384">
        <f t="shared" si="16"/>
        <v>11</v>
      </c>
      <c r="AI384" s="30" t="str">
        <f>IF(OR(J384&lt;&gt;"Karakter",pub_gid_0_single_true_output_csv[[#This Row],[Nilai2]]=""),"",IF(AF384&gt;89,"Sangat baik",IF(AF384&gt;79,"Baik",IF(AF384&gt;69,"Cukup",IF(AF384&gt;59,"Kurang","Sangat kurang")))))</f>
        <v/>
      </c>
      <c r="AJ384" t="str">
        <f t="shared" si="17"/>
        <v>Wk.7</v>
      </c>
      <c r="AK384" t="str">
        <f>IF(pub_gid_0_single_true_output_csv[[#This Row],[Nilai2]]="","",VLOOKUP(pub_gid_0_single_true_output_csv[[#This Row],[NAMA]],Table7[],3,FALSE))</f>
        <v>Average</v>
      </c>
    </row>
    <row r="385" spans="1:37" x14ac:dyDescent="0.2">
      <c r="A385">
        <v>384</v>
      </c>
      <c r="B385" t="s">
        <v>289</v>
      </c>
      <c r="C385" t="s">
        <v>54</v>
      </c>
      <c r="D385" t="s">
        <v>39</v>
      </c>
      <c r="E385" t="s">
        <v>140</v>
      </c>
      <c r="F385" s="25">
        <v>46071</v>
      </c>
      <c r="G385" t="s">
        <v>323</v>
      </c>
      <c r="H385" t="s">
        <v>412</v>
      </c>
      <c r="I385" t="s">
        <v>371</v>
      </c>
      <c r="J385" t="s">
        <v>41</v>
      </c>
      <c r="K385" t="s">
        <v>365</v>
      </c>
      <c r="L385" t="s">
        <v>383</v>
      </c>
      <c r="M385" t="s">
        <v>141</v>
      </c>
      <c r="N385" t="s">
        <v>142</v>
      </c>
      <c r="O385" t="s">
        <v>155</v>
      </c>
      <c r="P385" t="s">
        <v>281</v>
      </c>
      <c r="Q385" t="s">
        <v>155</v>
      </c>
      <c r="R385" t="s">
        <v>273</v>
      </c>
      <c r="S385" t="s">
        <v>355</v>
      </c>
      <c r="T385">
        <v>2</v>
      </c>
      <c r="U385" t="s">
        <v>414</v>
      </c>
      <c r="V385" t="s">
        <v>303</v>
      </c>
      <c r="W385" t="s">
        <v>415</v>
      </c>
      <c r="X385" t="s">
        <v>306</v>
      </c>
      <c r="Y385" t="s">
        <v>307</v>
      </c>
      <c r="Z385">
        <v>65</v>
      </c>
      <c r="AA385">
        <v>80</v>
      </c>
      <c r="AB385" t="s">
        <v>143</v>
      </c>
      <c r="AC385" t="s">
        <v>160</v>
      </c>
      <c r="AD385" t="s">
        <v>278</v>
      </c>
      <c r="AE385" t="str">
        <f>IF(AF385="","",VLOOKUP(AC385,mapel!$A$2:$B$42,2,FALSE))</f>
        <v>B.Ing</v>
      </c>
      <c r="AF385">
        <f t="shared" si="15"/>
        <v>80</v>
      </c>
      <c r="AG385" t="str">
        <f>IF(AF385="","",IF(AF385&gt;90,"Sangat baik",IF(AF385&gt;79,"Baik",IF(AF385&gt;=pub_gid_0_single_true_output_csv[[#This Row],[KKM]],"Cukup","Kurang"))))</f>
        <v>Baik</v>
      </c>
      <c r="AH385">
        <f t="shared" si="16"/>
        <v>11</v>
      </c>
      <c r="AI385" s="30" t="str">
        <f>IF(OR(J385&lt;&gt;"Karakter",pub_gid_0_single_true_output_csv[[#This Row],[Nilai2]]=""),"",IF(AF385&gt;89,"Sangat baik",IF(AF385&gt;79,"Baik",IF(AF385&gt;69,"Cukup",IF(AF385&gt;59,"Kurang","Sangat kurang")))))</f>
        <v/>
      </c>
      <c r="AJ385" t="str">
        <f t="shared" si="17"/>
        <v>Wk.8</v>
      </c>
      <c r="AK385" t="str">
        <f>IF(pub_gid_0_single_true_output_csv[[#This Row],[Nilai2]]="","",VLOOKUP(pub_gid_0_single_true_output_csv[[#This Row],[NAMA]],Table7[],3,FALSE))</f>
        <v>Average</v>
      </c>
    </row>
    <row r="386" spans="1:37" x14ac:dyDescent="0.2">
      <c r="A386">
        <v>385</v>
      </c>
      <c r="B386" t="s">
        <v>289</v>
      </c>
      <c r="C386" t="s">
        <v>54</v>
      </c>
      <c r="D386" t="s">
        <v>39</v>
      </c>
      <c r="E386" t="s">
        <v>140</v>
      </c>
      <c r="F386" s="25">
        <v>46071</v>
      </c>
      <c r="G386" t="s">
        <v>323</v>
      </c>
      <c r="H386" t="s">
        <v>412</v>
      </c>
      <c r="I386" t="s">
        <v>371</v>
      </c>
      <c r="J386" t="s">
        <v>36</v>
      </c>
      <c r="K386" t="s">
        <v>37</v>
      </c>
      <c r="L386" t="s">
        <v>383</v>
      </c>
      <c r="M386" t="s">
        <v>141</v>
      </c>
      <c r="N386" t="s">
        <v>142</v>
      </c>
      <c r="O386" t="s">
        <v>155</v>
      </c>
      <c r="P386" t="s">
        <v>281</v>
      </c>
      <c r="Q386" t="s">
        <v>155</v>
      </c>
      <c r="R386" t="s">
        <v>273</v>
      </c>
      <c r="S386" t="s">
        <v>355</v>
      </c>
      <c r="T386">
        <v>2</v>
      </c>
      <c r="U386" t="s">
        <v>414</v>
      </c>
      <c r="V386" t="s">
        <v>303</v>
      </c>
      <c r="W386" t="s">
        <v>415</v>
      </c>
      <c r="X386" t="s">
        <v>306</v>
      </c>
      <c r="Y386" t="s">
        <v>307</v>
      </c>
      <c r="Z386">
        <v>65</v>
      </c>
      <c r="AA386">
        <v>80</v>
      </c>
      <c r="AB386" t="s">
        <v>143</v>
      </c>
      <c r="AC386" t="s">
        <v>160</v>
      </c>
      <c r="AD386" t="s">
        <v>278</v>
      </c>
      <c r="AE386" t="str">
        <f>IF(AF386="","",VLOOKUP(AC386,mapel!$A$2:$B$42,2,FALSE))</f>
        <v>B.Ing</v>
      </c>
      <c r="AF386">
        <f t="shared" ref="AF386:AF449" si="18">IF(AA386=0, "",IF(AA386 = 0.1, 0,AA386))</f>
        <v>80</v>
      </c>
      <c r="AG386" t="str">
        <f>IF(AF386="","",IF(AF386&gt;90,"Sangat baik",IF(AF386&gt;79,"Baik",IF(AF386&gt;=pub_gid_0_single_true_output_csv[[#This Row],[KKM]],"Cukup","Kurang"))))</f>
        <v>Baik</v>
      </c>
      <c r="AH386">
        <f t="shared" ref="AH386:AH449" si="19">IF(AG386="","",VALUE(RIGHT(X386,2)))</f>
        <v>11</v>
      </c>
      <c r="AI386" s="30" t="str">
        <f>IF(OR(J386&lt;&gt;"Karakter",pub_gid_0_single_true_output_csv[[#This Row],[Nilai2]]=""),"",IF(AF386&gt;89,"Sangat baik",IF(AF386&gt;79,"Baik",IF(AF386&gt;69,"Cukup",IF(AF386&gt;59,"Kurang","Sangat kurang")))))</f>
        <v/>
      </c>
      <c r="AJ386" t="str">
        <f t="shared" ref="AJ386:AJ449" si="20">IF(AF386="","",CONCATENATE("Wk.",WEEKNUM(F386,2)))</f>
        <v>Wk.8</v>
      </c>
      <c r="AK386" t="str">
        <f>IF(pub_gid_0_single_true_output_csv[[#This Row],[Nilai2]]="","",VLOOKUP(pub_gid_0_single_true_output_csv[[#This Row],[NAMA]],Table7[],3,FALSE))</f>
        <v>Average</v>
      </c>
    </row>
    <row r="387" spans="1:37" x14ac:dyDescent="0.2">
      <c r="A387">
        <v>386</v>
      </c>
      <c r="B387" t="s">
        <v>290</v>
      </c>
      <c r="C387" t="s">
        <v>54</v>
      </c>
      <c r="D387" t="s">
        <v>42</v>
      </c>
      <c r="E387" t="s">
        <v>140</v>
      </c>
      <c r="F387" s="25">
        <v>46030</v>
      </c>
      <c r="G387" t="s">
        <v>347</v>
      </c>
      <c r="H387" t="s">
        <v>405</v>
      </c>
      <c r="I387" t="s">
        <v>371</v>
      </c>
      <c r="J387" t="s">
        <v>36</v>
      </c>
      <c r="K387" t="s">
        <v>37</v>
      </c>
      <c r="L387" t="s">
        <v>321</v>
      </c>
      <c r="M387" t="s">
        <v>141</v>
      </c>
      <c r="N387" t="s">
        <v>142</v>
      </c>
      <c r="O387" t="s">
        <v>155</v>
      </c>
      <c r="P387" t="s">
        <v>281</v>
      </c>
      <c r="Q387" t="s">
        <v>155</v>
      </c>
      <c r="R387" t="s">
        <v>273</v>
      </c>
      <c r="S387" t="s">
        <v>355</v>
      </c>
      <c r="T387">
        <v>2</v>
      </c>
      <c r="U387" t="s">
        <v>414</v>
      </c>
      <c r="V387" t="s">
        <v>303</v>
      </c>
      <c r="W387" t="s">
        <v>415</v>
      </c>
      <c r="X387" t="s">
        <v>306</v>
      </c>
      <c r="Y387" t="s">
        <v>307</v>
      </c>
      <c r="Z387">
        <v>65</v>
      </c>
      <c r="AA387">
        <v>10</v>
      </c>
      <c r="AB387" t="s">
        <v>151</v>
      </c>
      <c r="AC387" t="s">
        <v>160</v>
      </c>
      <c r="AD387" t="s">
        <v>278</v>
      </c>
      <c r="AE387" t="str">
        <f>IF(AF387="","",VLOOKUP(AC387,mapel!$A$2:$B$42,2,FALSE))</f>
        <v>B.Ing</v>
      </c>
      <c r="AF387">
        <f t="shared" si="18"/>
        <v>10</v>
      </c>
      <c r="AG387" t="str">
        <f>IF(AF387="","",IF(AF387&gt;90,"Sangat baik",IF(AF387&gt;79,"Baik",IF(AF387&gt;=pub_gid_0_single_true_output_csv[[#This Row],[KKM]],"Cukup","Kurang"))))</f>
        <v>Kurang</v>
      </c>
      <c r="AH387">
        <f t="shared" si="19"/>
        <v>11</v>
      </c>
      <c r="AI387" s="30" t="str">
        <f>IF(OR(J387&lt;&gt;"Karakter",pub_gid_0_single_true_output_csv[[#This Row],[Nilai2]]=""),"",IF(AF387&gt;89,"Sangat baik",IF(AF387&gt;79,"Baik",IF(AF387&gt;69,"Cukup",IF(AF387&gt;59,"Kurang","Sangat kurang")))))</f>
        <v/>
      </c>
      <c r="AJ387" t="str">
        <f t="shared" si="20"/>
        <v>Wk.2</v>
      </c>
      <c r="AK387" t="str">
        <f>IF(pub_gid_0_single_true_output_csv[[#This Row],[Nilai2]]="","",VLOOKUP(pub_gid_0_single_true_output_csv[[#This Row],[NAMA]],Table7[],3,FALSE))</f>
        <v>Superior</v>
      </c>
    </row>
    <row r="388" spans="1:37" x14ac:dyDescent="0.2">
      <c r="A388">
        <v>387</v>
      </c>
      <c r="B388" t="s">
        <v>290</v>
      </c>
      <c r="C388" t="s">
        <v>54</v>
      </c>
      <c r="D388" t="s">
        <v>42</v>
      </c>
      <c r="E388" t="s">
        <v>140</v>
      </c>
      <c r="F388" s="25">
        <v>46030</v>
      </c>
      <c r="G388" t="s">
        <v>347</v>
      </c>
      <c r="H388" t="s">
        <v>405</v>
      </c>
      <c r="I388" t="s">
        <v>371</v>
      </c>
      <c r="J388" t="s">
        <v>41</v>
      </c>
      <c r="K388" t="s">
        <v>157</v>
      </c>
      <c r="L388" t="s">
        <v>395</v>
      </c>
      <c r="M388" t="s">
        <v>141</v>
      </c>
      <c r="N388" t="s">
        <v>142</v>
      </c>
      <c r="O388" t="s">
        <v>155</v>
      </c>
      <c r="P388" t="s">
        <v>281</v>
      </c>
      <c r="Q388" t="s">
        <v>155</v>
      </c>
      <c r="R388" t="s">
        <v>273</v>
      </c>
      <c r="S388" t="s">
        <v>355</v>
      </c>
      <c r="T388">
        <v>2</v>
      </c>
      <c r="U388" t="s">
        <v>414</v>
      </c>
      <c r="V388" t="s">
        <v>303</v>
      </c>
      <c r="W388" t="s">
        <v>415</v>
      </c>
      <c r="X388" t="s">
        <v>306</v>
      </c>
      <c r="Y388" t="s">
        <v>307</v>
      </c>
      <c r="Z388">
        <v>65</v>
      </c>
      <c r="AA388">
        <v>10</v>
      </c>
      <c r="AB388" t="s">
        <v>151</v>
      </c>
      <c r="AC388" t="s">
        <v>160</v>
      </c>
      <c r="AD388" t="s">
        <v>278</v>
      </c>
      <c r="AE388" t="str">
        <f>IF(AF388="","",VLOOKUP(AC388,mapel!$A$2:$B$42,2,FALSE))</f>
        <v>B.Ing</v>
      </c>
      <c r="AF388">
        <f t="shared" si="18"/>
        <v>10</v>
      </c>
      <c r="AG388" t="str">
        <f>IF(AF388="","",IF(AF388&gt;90,"Sangat baik",IF(AF388&gt;79,"Baik",IF(AF388&gt;=pub_gid_0_single_true_output_csv[[#This Row],[KKM]],"Cukup","Kurang"))))</f>
        <v>Kurang</v>
      </c>
      <c r="AH388">
        <f t="shared" si="19"/>
        <v>11</v>
      </c>
      <c r="AI388" s="30" t="str">
        <f>IF(OR(J388&lt;&gt;"Karakter",pub_gid_0_single_true_output_csv[[#This Row],[Nilai2]]=""),"",IF(AF388&gt;89,"Sangat baik",IF(AF388&gt;79,"Baik",IF(AF388&gt;69,"Cukup",IF(AF388&gt;59,"Kurang","Sangat kurang")))))</f>
        <v/>
      </c>
      <c r="AJ388" t="str">
        <f t="shared" si="20"/>
        <v>Wk.2</v>
      </c>
      <c r="AK388" t="str">
        <f>IF(pub_gid_0_single_true_output_csv[[#This Row],[Nilai2]]="","",VLOOKUP(pub_gid_0_single_true_output_csv[[#This Row],[NAMA]],Table7[],3,FALSE))</f>
        <v>Superior</v>
      </c>
    </row>
    <row r="389" spans="1:37" x14ac:dyDescent="0.2">
      <c r="A389">
        <v>388</v>
      </c>
      <c r="B389" t="s">
        <v>290</v>
      </c>
      <c r="C389" t="s">
        <v>54</v>
      </c>
      <c r="D389" t="s">
        <v>42</v>
      </c>
      <c r="E389" t="s">
        <v>140</v>
      </c>
      <c r="F389" s="25">
        <v>46030</v>
      </c>
      <c r="G389" t="s">
        <v>347</v>
      </c>
      <c r="H389" t="s">
        <v>405</v>
      </c>
      <c r="I389" t="s">
        <v>371</v>
      </c>
      <c r="J389" t="s">
        <v>90</v>
      </c>
      <c r="K389" t="s">
        <v>92</v>
      </c>
      <c r="L389" t="s">
        <v>95</v>
      </c>
      <c r="M389" t="s">
        <v>141</v>
      </c>
      <c r="N389" t="s">
        <v>142</v>
      </c>
      <c r="O389" t="s">
        <v>155</v>
      </c>
      <c r="P389" t="s">
        <v>281</v>
      </c>
      <c r="Q389" t="s">
        <v>155</v>
      </c>
      <c r="R389" t="s">
        <v>273</v>
      </c>
      <c r="S389" t="s">
        <v>355</v>
      </c>
      <c r="T389">
        <v>2</v>
      </c>
      <c r="U389" t="s">
        <v>414</v>
      </c>
      <c r="V389" t="s">
        <v>303</v>
      </c>
      <c r="W389" t="s">
        <v>415</v>
      </c>
      <c r="X389" t="s">
        <v>306</v>
      </c>
      <c r="Y389" t="s">
        <v>307</v>
      </c>
      <c r="Z389">
        <v>65</v>
      </c>
      <c r="AA389">
        <v>60</v>
      </c>
      <c r="AB389" t="s">
        <v>151</v>
      </c>
      <c r="AC389" t="s">
        <v>160</v>
      </c>
      <c r="AD389" t="s">
        <v>278</v>
      </c>
      <c r="AE389" t="str">
        <f>IF(AF389="","",VLOOKUP(AC389,mapel!$A$2:$B$42,2,FALSE))</f>
        <v>B.Ing</v>
      </c>
      <c r="AF389">
        <f t="shared" si="18"/>
        <v>60</v>
      </c>
      <c r="AG389" t="str">
        <f>IF(AF389="","",IF(AF389&gt;90,"Sangat baik",IF(AF389&gt;79,"Baik",IF(AF389&gt;=pub_gid_0_single_true_output_csv[[#This Row],[KKM]],"Cukup","Kurang"))))</f>
        <v>Kurang</v>
      </c>
      <c r="AH389">
        <f t="shared" si="19"/>
        <v>11</v>
      </c>
      <c r="AI389" s="30" t="str">
        <f>IF(OR(J389&lt;&gt;"Karakter",pub_gid_0_single_true_output_csv[[#This Row],[Nilai2]]=""),"",IF(AF389&gt;89,"Sangat baik",IF(AF389&gt;79,"Baik",IF(AF389&gt;69,"Cukup",IF(AF389&gt;59,"Kurang","Sangat kurang")))))</f>
        <v>Kurang</v>
      </c>
      <c r="AJ389" t="str">
        <f t="shared" si="20"/>
        <v>Wk.2</v>
      </c>
      <c r="AK389" t="str">
        <f>IF(pub_gid_0_single_true_output_csv[[#This Row],[Nilai2]]="","",VLOOKUP(pub_gid_0_single_true_output_csv[[#This Row],[NAMA]],Table7[],3,FALSE))</f>
        <v>Superior</v>
      </c>
    </row>
    <row r="390" spans="1:37" x14ac:dyDescent="0.2">
      <c r="A390">
        <v>389</v>
      </c>
      <c r="B390" t="s">
        <v>290</v>
      </c>
      <c r="C390" t="s">
        <v>54</v>
      </c>
      <c r="D390" t="s">
        <v>42</v>
      </c>
      <c r="E390" t="s">
        <v>140</v>
      </c>
      <c r="F390" s="25">
        <v>46051</v>
      </c>
      <c r="G390" t="s">
        <v>320</v>
      </c>
      <c r="H390" t="s">
        <v>405</v>
      </c>
      <c r="I390" t="s">
        <v>371</v>
      </c>
      <c r="J390" t="s">
        <v>36</v>
      </c>
      <c r="K390" t="s">
        <v>37</v>
      </c>
      <c r="L390" t="s">
        <v>324</v>
      </c>
      <c r="M390" t="s">
        <v>141</v>
      </c>
      <c r="N390" t="s">
        <v>142</v>
      </c>
      <c r="O390" t="s">
        <v>155</v>
      </c>
      <c r="P390" t="s">
        <v>281</v>
      </c>
      <c r="Q390" t="s">
        <v>155</v>
      </c>
      <c r="R390" t="s">
        <v>273</v>
      </c>
      <c r="S390" t="s">
        <v>355</v>
      </c>
      <c r="T390">
        <v>2</v>
      </c>
      <c r="U390" t="s">
        <v>414</v>
      </c>
      <c r="V390" t="s">
        <v>303</v>
      </c>
      <c r="W390" t="s">
        <v>415</v>
      </c>
      <c r="X390" t="s">
        <v>306</v>
      </c>
      <c r="Y390" t="s">
        <v>307</v>
      </c>
      <c r="Z390">
        <v>65</v>
      </c>
      <c r="AA390">
        <v>0</v>
      </c>
      <c r="AB390" t="s">
        <v>151</v>
      </c>
      <c r="AC390" t="s">
        <v>160</v>
      </c>
      <c r="AD390" t="s">
        <v>278</v>
      </c>
      <c r="AE390" t="str">
        <f>IF(AF390="","",VLOOKUP(AC390,mapel!$A$2:$B$42,2,FALSE))</f>
        <v/>
      </c>
      <c r="AF390" t="str">
        <f t="shared" si="18"/>
        <v/>
      </c>
      <c r="AG390" t="str">
        <f>IF(AF390="","",IF(AF390&gt;90,"Sangat baik",IF(AF390&gt;79,"Baik",IF(AF390&gt;=pub_gid_0_single_true_output_csv[[#This Row],[KKM]],"Cukup","Kurang"))))</f>
        <v/>
      </c>
      <c r="AH390" t="str">
        <f t="shared" si="19"/>
        <v/>
      </c>
      <c r="AI390" s="30" t="str">
        <f>IF(OR(J390&lt;&gt;"Karakter",pub_gid_0_single_true_output_csv[[#This Row],[Nilai2]]=""),"",IF(AF390&gt;89,"Sangat baik",IF(AF390&gt;79,"Baik",IF(AF390&gt;69,"Cukup",IF(AF390&gt;59,"Kurang","Sangat kurang")))))</f>
        <v/>
      </c>
      <c r="AJ390" t="str">
        <f t="shared" si="20"/>
        <v/>
      </c>
      <c r="AK390" t="str">
        <f>IF(pub_gid_0_single_true_output_csv[[#This Row],[Nilai2]]="","",VLOOKUP(pub_gid_0_single_true_output_csv[[#This Row],[NAMA]],Table7[],3,FALSE))</f>
        <v/>
      </c>
    </row>
    <row r="391" spans="1:37" x14ac:dyDescent="0.2">
      <c r="A391">
        <v>390</v>
      </c>
      <c r="B391" t="s">
        <v>290</v>
      </c>
      <c r="C391" t="s">
        <v>54</v>
      </c>
      <c r="D391" t="s">
        <v>42</v>
      </c>
      <c r="E391" t="s">
        <v>140</v>
      </c>
      <c r="F391" s="25">
        <v>46051</v>
      </c>
      <c r="G391" t="s">
        <v>320</v>
      </c>
      <c r="H391" t="s">
        <v>405</v>
      </c>
      <c r="I391" t="s">
        <v>371</v>
      </c>
      <c r="J391" t="s">
        <v>90</v>
      </c>
      <c r="K391" t="s">
        <v>377</v>
      </c>
      <c r="L391" t="s">
        <v>378</v>
      </c>
      <c r="M391" t="s">
        <v>141</v>
      </c>
      <c r="N391" t="s">
        <v>142</v>
      </c>
      <c r="O391" t="s">
        <v>155</v>
      </c>
      <c r="P391" t="s">
        <v>281</v>
      </c>
      <c r="Q391" t="s">
        <v>155</v>
      </c>
      <c r="R391" t="s">
        <v>273</v>
      </c>
      <c r="S391" t="s">
        <v>355</v>
      </c>
      <c r="T391">
        <v>2</v>
      </c>
      <c r="U391" t="s">
        <v>414</v>
      </c>
      <c r="V391" t="s">
        <v>303</v>
      </c>
      <c r="W391" t="s">
        <v>415</v>
      </c>
      <c r="X391" t="s">
        <v>306</v>
      </c>
      <c r="Y391" t="s">
        <v>307</v>
      </c>
      <c r="Z391">
        <v>65</v>
      </c>
      <c r="AA391">
        <v>50</v>
      </c>
      <c r="AB391" t="s">
        <v>151</v>
      </c>
      <c r="AC391" t="s">
        <v>160</v>
      </c>
      <c r="AD391" t="s">
        <v>278</v>
      </c>
      <c r="AE391" t="str">
        <f>IF(AF391="","",VLOOKUP(AC391,mapel!$A$2:$B$42,2,FALSE))</f>
        <v>B.Ing</v>
      </c>
      <c r="AF391">
        <f t="shared" si="18"/>
        <v>50</v>
      </c>
      <c r="AG391" t="str">
        <f>IF(AF391="","",IF(AF391&gt;90,"Sangat baik",IF(AF391&gt;79,"Baik",IF(AF391&gt;=pub_gid_0_single_true_output_csv[[#This Row],[KKM]],"Cukup","Kurang"))))</f>
        <v>Kurang</v>
      </c>
      <c r="AH391">
        <f t="shared" si="19"/>
        <v>11</v>
      </c>
      <c r="AI391" s="30" t="str">
        <f>IF(OR(J391&lt;&gt;"Karakter",pub_gid_0_single_true_output_csv[[#This Row],[Nilai2]]=""),"",IF(AF391&gt;89,"Sangat baik",IF(AF391&gt;79,"Baik",IF(AF391&gt;69,"Cukup",IF(AF391&gt;59,"Kurang","Sangat kurang")))))</f>
        <v>Sangat kurang</v>
      </c>
      <c r="AJ391" t="str">
        <f t="shared" si="20"/>
        <v>Wk.5</v>
      </c>
      <c r="AK391" t="str">
        <f>IF(pub_gid_0_single_true_output_csv[[#This Row],[Nilai2]]="","",VLOOKUP(pub_gid_0_single_true_output_csv[[#This Row],[NAMA]],Table7[],3,FALSE))</f>
        <v>Superior</v>
      </c>
    </row>
    <row r="392" spans="1:37" x14ac:dyDescent="0.2">
      <c r="A392">
        <v>391</v>
      </c>
      <c r="B392" t="s">
        <v>290</v>
      </c>
      <c r="C392" t="s">
        <v>54</v>
      </c>
      <c r="D392" t="s">
        <v>42</v>
      </c>
      <c r="E392" t="s">
        <v>140</v>
      </c>
      <c r="F392" s="25">
        <v>46044</v>
      </c>
      <c r="G392" t="s">
        <v>305</v>
      </c>
      <c r="H392" t="s">
        <v>405</v>
      </c>
      <c r="I392" t="s">
        <v>371</v>
      </c>
      <c r="J392" t="s">
        <v>41</v>
      </c>
      <c r="K392" t="s">
        <v>365</v>
      </c>
      <c r="L392" t="s">
        <v>383</v>
      </c>
      <c r="M392" t="s">
        <v>141</v>
      </c>
      <c r="N392" t="s">
        <v>142</v>
      </c>
      <c r="O392" t="s">
        <v>155</v>
      </c>
      <c r="P392" t="s">
        <v>281</v>
      </c>
      <c r="Q392" t="s">
        <v>155</v>
      </c>
      <c r="R392" t="s">
        <v>273</v>
      </c>
      <c r="S392" t="s">
        <v>355</v>
      </c>
      <c r="T392">
        <v>2</v>
      </c>
      <c r="U392" t="s">
        <v>414</v>
      </c>
      <c r="V392" t="s">
        <v>303</v>
      </c>
      <c r="W392" t="s">
        <v>415</v>
      </c>
      <c r="X392" t="s">
        <v>306</v>
      </c>
      <c r="Y392" t="s">
        <v>307</v>
      </c>
      <c r="Z392">
        <v>65</v>
      </c>
      <c r="AA392">
        <v>0</v>
      </c>
      <c r="AB392" t="s">
        <v>151</v>
      </c>
      <c r="AC392" t="s">
        <v>160</v>
      </c>
      <c r="AD392" t="s">
        <v>278</v>
      </c>
      <c r="AE392" t="str">
        <f>IF(AF392="","",VLOOKUP(AC392,mapel!$A$2:$B$42,2,FALSE))</f>
        <v/>
      </c>
      <c r="AF392" t="str">
        <f t="shared" si="18"/>
        <v/>
      </c>
      <c r="AG392" t="str">
        <f>IF(AF392="","",IF(AF392&gt;90,"Sangat baik",IF(AF392&gt;79,"Baik",IF(AF392&gt;=pub_gid_0_single_true_output_csv[[#This Row],[KKM]],"Cukup","Kurang"))))</f>
        <v/>
      </c>
      <c r="AH392" t="str">
        <f t="shared" si="19"/>
        <v/>
      </c>
      <c r="AI392" s="30" t="str">
        <f>IF(OR(J392&lt;&gt;"Karakter",pub_gid_0_single_true_output_csv[[#This Row],[Nilai2]]=""),"",IF(AF392&gt;89,"Sangat baik",IF(AF392&gt;79,"Baik",IF(AF392&gt;69,"Cukup",IF(AF392&gt;59,"Kurang","Sangat kurang")))))</f>
        <v/>
      </c>
      <c r="AJ392" t="str">
        <f t="shared" si="20"/>
        <v/>
      </c>
      <c r="AK392" t="str">
        <f>IF(pub_gid_0_single_true_output_csv[[#This Row],[Nilai2]]="","",VLOOKUP(pub_gid_0_single_true_output_csv[[#This Row],[NAMA]],Table7[],3,FALSE))</f>
        <v/>
      </c>
    </row>
    <row r="393" spans="1:37" x14ac:dyDescent="0.2">
      <c r="A393">
        <v>392</v>
      </c>
      <c r="B393" t="s">
        <v>290</v>
      </c>
      <c r="C393" t="s">
        <v>54</v>
      </c>
      <c r="D393" t="s">
        <v>42</v>
      </c>
      <c r="E393" t="s">
        <v>140</v>
      </c>
      <c r="F393" s="25">
        <v>46044</v>
      </c>
      <c r="G393" t="s">
        <v>305</v>
      </c>
      <c r="H393" t="s">
        <v>405</v>
      </c>
      <c r="I393" t="s">
        <v>371</v>
      </c>
      <c r="J393" t="s">
        <v>36</v>
      </c>
      <c r="K393" t="s">
        <v>37</v>
      </c>
      <c r="L393" t="s">
        <v>321</v>
      </c>
      <c r="M393" t="s">
        <v>141</v>
      </c>
      <c r="N393" t="s">
        <v>142</v>
      </c>
      <c r="O393" t="s">
        <v>155</v>
      </c>
      <c r="P393" t="s">
        <v>281</v>
      </c>
      <c r="Q393" t="s">
        <v>155</v>
      </c>
      <c r="R393" t="s">
        <v>273</v>
      </c>
      <c r="S393" t="s">
        <v>355</v>
      </c>
      <c r="T393">
        <v>2</v>
      </c>
      <c r="U393" t="s">
        <v>414</v>
      </c>
      <c r="V393" t="s">
        <v>303</v>
      </c>
      <c r="W393" t="s">
        <v>415</v>
      </c>
      <c r="X393" t="s">
        <v>306</v>
      </c>
      <c r="Y393" t="s">
        <v>307</v>
      </c>
      <c r="Z393">
        <v>65</v>
      </c>
      <c r="AA393">
        <v>0</v>
      </c>
      <c r="AB393" t="s">
        <v>151</v>
      </c>
      <c r="AC393" t="s">
        <v>160</v>
      </c>
      <c r="AD393" t="s">
        <v>278</v>
      </c>
      <c r="AE393" t="str">
        <f>IF(AF393="","",VLOOKUP(AC393,mapel!$A$2:$B$42,2,FALSE))</f>
        <v/>
      </c>
      <c r="AF393" t="str">
        <f t="shared" si="18"/>
        <v/>
      </c>
      <c r="AG393" t="str">
        <f>IF(AF393="","",IF(AF393&gt;90,"Sangat baik",IF(AF393&gt;79,"Baik",IF(AF393&gt;=pub_gid_0_single_true_output_csv[[#This Row],[KKM]],"Cukup","Kurang"))))</f>
        <v/>
      </c>
      <c r="AH393" t="str">
        <f t="shared" si="19"/>
        <v/>
      </c>
      <c r="AI393" s="30" t="str">
        <f>IF(OR(J393&lt;&gt;"Karakter",pub_gid_0_single_true_output_csv[[#This Row],[Nilai2]]=""),"",IF(AF393&gt;89,"Sangat baik",IF(AF393&gt;79,"Baik",IF(AF393&gt;69,"Cukup",IF(AF393&gt;59,"Kurang","Sangat kurang")))))</f>
        <v/>
      </c>
      <c r="AJ393" t="str">
        <f t="shared" si="20"/>
        <v/>
      </c>
      <c r="AK393" t="str">
        <f>IF(pub_gid_0_single_true_output_csv[[#This Row],[Nilai2]]="","",VLOOKUP(pub_gid_0_single_true_output_csv[[#This Row],[NAMA]],Table7[],3,FALSE))</f>
        <v/>
      </c>
    </row>
    <row r="394" spans="1:37" x14ac:dyDescent="0.2">
      <c r="A394">
        <v>393</v>
      </c>
      <c r="B394" t="s">
        <v>290</v>
      </c>
      <c r="C394" t="s">
        <v>54</v>
      </c>
      <c r="D394" t="s">
        <v>42</v>
      </c>
      <c r="E394" t="s">
        <v>140</v>
      </c>
      <c r="F394" s="25">
        <v>46044</v>
      </c>
      <c r="G394" t="s">
        <v>305</v>
      </c>
      <c r="H394" t="s">
        <v>405</v>
      </c>
      <c r="I394" t="s">
        <v>371</v>
      </c>
      <c r="J394" t="s">
        <v>31</v>
      </c>
      <c r="K394" t="s">
        <v>32</v>
      </c>
      <c r="L394" t="s">
        <v>321</v>
      </c>
      <c r="M394" t="s">
        <v>141</v>
      </c>
      <c r="N394" t="s">
        <v>142</v>
      </c>
      <c r="O394" t="s">
        <v>155</v>
      </c>
      <c r="P394" t="s">
        <v>281</v>
      </c>
      <c r="Q394" t="s">
        <v>155</v>
      </c>
      <c r="R394" t="s">
        <v>273</v>
      </c>
      <c r="S394" t="s">
        <v>355</v>
      </c>
      <c r="T394">
        <v>2</v>
      </c>
      <c r="U394" t="s">
        <v>414</v>
      </c>
      <c r="V394" t="s">
        <v>303</v>
      </c>
      <c r="W394" t="s">
        <v>415</v>
      </c>
      <c r="X394" t="s">
        <v>306</v>
      </c>
      <c r="Y394" t="s">
        <v>307</v>
      </c>
      <c r="Z394">
        <v>65</v>
      </c>
      <c r="AA394">
        <v>0</v>
      </c>
      <c r="AB394" t="s">
        <v>151</v>
      </c>
      <c r="AC394" t="s">
        <v>160</v>
      </c>
      <c r="AD394" t="s">
        <v>278</v>
      </c>
      <c r="AE394" t="str">
        <f>IF(AF394="","",VLOOKUP(AC394,mapel!$A$2:$B$42,2,FALSE))</f>
        <v/>
      </c>
      <c r="AF394" t="str">
        <f t="shared" si="18"/>
        <v/>
      </c>
      <c r="AG394" t="str">
        <f>IF(AF394="","",IF(AF394&gt;90,"Sangat baik",IF(AF394&gt;79,"Baik",IF(AF394&gt;=pub_gid_0_single_true_output_csv[[#This Row],[KKM]],"Cukup","Kurang"))))</f>
        <v/>
      </c>
      <c r="AH394" t="str">
        <f t="shared" si="19"/>
        <v/>
      </c>
      <c r="AI394" s="30" t="str">
        <f>IF(OR(J394&lt;&gt;"Karakter",pub_gid_0_single_true_output_csv[[#This Row],[Nilai2]]=""),"",IF(AF394&gt;89,"Sangat baik",IF(AF394&gt;79,"Baik",IF(AF394&gt;69,"Cukup",IF(AF394&gt;59,"Kurang","Sangat kurang")))))</f>
        <v/>
      </c>
      <c r="AJ394" t="str">
        <f t="shared" si="20"/>
        <v/>
      </c>
      <c r="AK394" t="str">
        <f>IF(pub_gid_0_single_true_output_csv[[#This Row],[Nilai2]]="","",VLOOKUP(pub_gid_0_single_true_output_csv[[#This Row],[NAMA]],Table7[],3,FALSE))</f>
        <v/>
      </c>
    </row>
    <row r="395" spans="1:37" x14ac:dyDescent="0.2">
      <c r="A395">
        <v>394</v>
      </c>
      <c r="B395" t="s">
        <v>290</v>
      </c>
      <c r="C395" t="s">
        <v>54</v>
      </c>
      <c r="D395" t="s">
        <v>42</v>
      </c>
      <c r="E395" t="s">
        <v>140</v>
      </c>
      <c r="F395" s="25">
        <v>46065</v>
      </c>
      <c r="G395" t="s">
        <v>354</v>
      </c>
      <c r="H395" t="s">
        <v>412</v>
      </c>
      <c r="I395" t="s">
        <v>371</v>
      </c>
      <c r="J395" t="s">
        <v>36</v>
      </c>
      <c r="K395" t="s">
        <v>37</v>
      </c>
      <c r="L395" t="s">
        <v>324</v>
      </c>
      <c r="M395" t="s">
        <v>141</v>
      </c>
      <c r="N395" t="s">
        <v>142</v>
      </c>
      <c r="O395" t="s">
        <v>155</v>
      </c>
      <c r="P395" t="s">
        <v>281</v>
      </c>
      <c r="Q395" t="s">
        <v>155</v>
      </c>
      <c r="R395" t="s">
        <v>273</v>
      </c>
      <c r="S395" t="s">
        <v>355</v>
      </c>
      <c r="T395">
        <v>2</v>
      </c>
      <c r="U395" t="s">
        <v>414</v>
      </c>
      <c r="V395" t="s">
        <v>303</v>
      </c>
      <c r="W395" t="s">
        <v>415</v>
      </c>
      <c r="X395" t="s">
        <v>306</v>
      </c>
      <c r="Y395" t="s">
        <v>307</v>
      </c>
      <c r="Z395">
        <v>65</v>
      </c>
      <c r="AA395">
        <v>55</v>
      </c>
      <c r="AB395" t="s">
        <v>151</v>
      </c>
      <c r="AC395" t="s">
        <v>160</v>
      </c>
      <c r="AD395" t="s">
        <v>278</v>
      </c>
      <c r="AE395" t="str">
        <f>IF(AF395="","",VLOOKUP(AC395,mapel!$A$2:$B$42,2,FALSE))</f>
        <v>B.Ing</v>
      </c>
      <c r="AF395">
        <f t="shared" si="18"/>
        <v>55</v>
      </c>
      <c r="AG395" t="str">
        <f>IF(AF395="","",IF(AF395&gt;90,"Sangat baik",IF(AF395&gt;79,"Baik",IF(AF395&gt;=pub_gid_0_single_true_output_csv[[#This Row],[KKM]],"Cukup","Kurang"))))</f>
        <v>Kurang</v>
      </c>
      <c r="AH395">
        <f t="shared" si="19"/>
        <v>11</v>
      </c>
      <c r="AI395" s="30" t="str">
        <f>IF(OR(J395&lt;&gt;"Karakter",pub_gid_0_single_true_output_csv[[#This Row],[Nilai2]]=""),"",IF(AF395&gt;89,"Sangat baik",IF(AF395&gt;79,"Baik",IF(AF395&gt;69,"Cukup",IF(AF395&gt;59,"Kurang","Sangat kurang")))))</f>
        <v/>
      </c>
      <c r="AJ395" t="str">
        <f t="shared" si="20"/>
        <v>Wk.7</v>
      </c>
      <c r="AK395" t="str">
        <f>IF(pub_gid_0_single_true_output_csv[[#This Row],[Nilai2]]="","",VLOOKUP(pub_gid_0_single_true_output_csv[[#This Row],[NAMA]],Table7[],3,FALSE))</f>
        <v>Superior</v>
      </c>
    </row>
    <row r="396" spans="1:37" x14ac:dyDescent="0.2">
      <c r="A396">
        <v>395</v>
      </c>
      <c r="B396" t="s">
        <v>290</v>
      </c>
      <c r="C396" t="s">
        <v>54</v>
      </c>
      <c r="D396" t="s">
        <v>42</v>
      </c>
      <c r="E396" t="s">
        <v>140</v>
      </c>
      <c r="F396" s="25">
        <v>46065</v>
      </c>
      <c r="G396" t="s">
        <v>354</v>
      </c>
      <c r="H396" t="s">
        <v>412</v>
      </c>
      <c r="I396" t="s">
        <v>371</v>
      </c>
      <c r="J396" t="s">
        <v>36</v>
      </c>
      <c r="K396" t="s">
        <v>37</v>
      </c>
      <c r="L396" t="s">
        <v>150</v>
      </c>
      <c r="M396" t="s">
        <v>141</v>
      </c>
      <c r="N396" t="s">
        <v>142</v>
      </c>
      <c r="O396" t="s">
        <v>155</v>
      </c>
      <c r="P396" t="s">
        <v>281</v>
      </c>
      <c r="Q396" t="s">
        <v>155</v>
      </c>
      <c r="R396" t="s">
        <v>273</v>
      </c>
      <c r="S396" t="s">
        <v>355</v>
      </c>
      <c r="T396">
        <v>2</v>
      </c>
      <c r="U396" t="s">
        <v>414</v>
      </c>
      <c r="V396" t="s">
        <v>303</v>
      </c>
      <c r="W396" t="s">
        <v>415</v>
      </c>
      <c r="X396" t="s">
        <v>306</v>
      </c>
      <c r="Y396" t="s">
        <v>307</v>
      </c>
      <c r="Z396">
        <v>65</v>
      </c>
      <c r="AA396">
        <v>50</v>
      </c>
      <c r="AB396" t="s">
        <v>151</v>
      </c>
      <c r="AC396" t="s">
        <v>160</v>
      </c>
      <c r="AD396" t="s">
        <v>278</v>
      </c>
      <c r="AE396" t="str">
        <f>IF(AF396="","",VLOOKUP(AC396,mapel!$A$2:$B$42,2,FALSE))</f>
        <v>B.Ing</v>
      </c>
      <c r="AF396">
        <f t="shared" si="18"/>
        <v>50</v>
      </c>
      <c r="AG396" t="str">
        <f>IF(AF396="","",IF(AF396&gt;90,"Sangat baik",IF(AF396&gt;79,"Baik",IF(AF396&gt;=pub_gid_0_single_true_output_csv[[#This Row],[KKM]],"Cukup","Kurang"))))</f>
        <v>Kurang</v>
      </c>
      <c r="AH396">
        <f t="shared" si="19"/>
        <v>11</v>
      </c>
      <c r="AI396" s="30" t="str">
        <f>IF(OR(J396&lt;&gt;"Karakter",pub_gid_0_single_true_output_csv[[#This Row],[Nilai2]]=""),"",IF(AF396&gt;89,"Sangat baik",IF(AF396&gt;79,"Baik",IF(AF396&gt;69,"Cukup",IF(AF396&gt;59,"Kurang","Sangat kurang")))))</f>
        <v/>
      </c>
      <c r="AJ396" t="str">
        <f t="shared" si="20"/>
        <v>Wk.7</v>
      </c>
      <c r="AK396" t="str">
        <f>IF(pub_gid_0_single_true_output_csv[[#This Row],[Nilai2]]="","",VLOOKUP(pub_gid_0_single_true_output_csv[[#This Row],[NAMA]],Table7[],3,FALSE))</f>
        <v>Superior</v>
      </c>
    </row>
    <row r="397" spans="1:37" x14ac:dyDescent="0.2">
      <c r="A397">
        <v>396</v>
      </c>
      <c r="B397" t="s">
        <v>290</v>
      </c>
      <c r="C397" t="s">
        <v>54</v>
      </c>
      <c r="D397" t="s">
        <v>42</v>
      </c>
      <c r="E397" t="s">
        <v>140</v>
      </c>
      <c r="F397" s="25">
        <v>46065</v>
      </c>
      <c r="G397" t="s">
        <v>354</v>
      </c>
      <c r="H397" t="s">
        <v>412</v>
      </c>
      <c r="I397" t="s">
        <v>371</v>
      </c>
      <c r="J397" t="s">
        <v>41</v>
      </c>
      <c r="K397" t="s">
        <v>365</v>
      </c>
      <c r="L397" t="s">
        <v>150</v>
      </c>
      <c r="M397" t="s">
        <v>141</v>
      </c>
      <c r="N397" t="s">
        <v>142</v>
      </c>
      <c r="O397" t="s">
        <v>155</v>
      </c>
      <c r="P397" t="s">
        <v>281</v>
      </c>
      <c r="Q397" t="s">
        <v>155</v>
      </c>
      <c r="R397" t="s">
        <v>273</v>
      </c>
      <c r="S397" t="s">
        <v>355</v>
      </c>
      <c r="T397">
        <v>2</v>
      </c>
      <c r="U397" t="s">
        <v>414</v>
      </c>
      <c r="V397" t="s">
        <v>303</v>
      </c>
      <c r="W397" t="s">
        <v>415</v>
      </c>
      <c r="X397" t="s">
        <v>306</v>
      </c>
      <c r="Y397" t="s">
        <v>307</v>
      </c>
      <c r="Z397">
        <v>65</v>
      </c>
      <c r="AA397">
        <v>50</v>
      </c>
      <c r="AB397" t="s">
        <v>151</v>
      </c>
      <c r="AC397" t="s">
        <v>160</v>
      </c>
      <c r="AD397" t="s">
        <v>278</v>
      </c>
      <c r="AE397" t="str">
        <f>IF(AF397="","",VLOOKUP(AC397,mapel!$A$2:$B$42,2,FALSE))</f>
        <v>B.Ing</v>
      </c>
      <c r="AF397">
        <f t="shared" si="18"/>
        <v>50</v>
      </c>
      <c r="AG397" t="str">
        <f>IF(AF397="","",IF(AF397&gt;90,"Sangat baik",IF(AF397&gt;79,"Baik",IF(AF397&gt;=pub_gid_0_single_true_output_csv[[#This Row],[KKM]],"Cukup","Kurang"))))</f>
        <v>Kurang</v>
      </c>
      <c r="AH397">
        <f t="shared" si="19"/>
        <v>11</v>
      </c>
      <c r="AI397" s="30" t="str">
        <f>IF(OR(J397&lt;&gt;"Karakter",pub_gid_0_single_true_output_csv[[#This Row],[Nilai2]]=""),"",IF(AF397&gt;89,"Sangat baik",IF(AF397&gt;79,"Baik",IF(AF397&gt;69,"Cukup",IF(AF397&gt;59,"Kurang","Sangat kurang")))))</f>
        <v/>
      </c>
      <c r="AJ397" t="str">
        <f t="shared" si="20"/>
        <v>Wk.7</v>
      </c>
      <c r="AK397" t="str">
        <f>IF(pub_gid_0_single_true_output_csv[[#This Row],[Nilai2]]="","",VLOOKUP(pub_gid_0_single_true_output_csv[[#This Row],[NAMA]],Table7[],3,FALSE))</f>
        <v>Superior</v>
      </c>
    </row>
    <row r="398" spans="1:37" x14ac:dyDescent="0.2">
      <c r="A398">
        <v>397</v>
      </c>
      <c r="B398" t="s">
        <v>290</v>
      </c>
      <c r="C398" t="s">
        <v>54</v>
      </c>
      <c r="D398" t="s">
        <v>42</v>
      </c>
      <c r="E398" t="s">
        <v>140</v>
      </c>
      <c r="F398" s="25">
        <v>46071</v>
      </c>
      <c r="G398" t="s">
        <v>323</v>
      </c>
      <c r="H398" t="s">
        <v>412</v>
      </c>
      <c r="I398" t="s">
        <v>371</v>
      </c>
      <c r="J398" t="s">
        <v>41</v>
      </c>
      <c r="K398" t="s">
        <v>365</v>
      </c>
      <c r="L398" t="s">
        <v>383</v>
      </c>
      <c r="M398" t="s">
        <v>141</v>
      </c>
      <c r="N398" t="s">
        <v>142</v>
      </c>
      <c r="O398" t="s">
        <v>155</v>
      </c>
      <c r="P398" t="s">
        <v>281</v>
      </c>
      <c r="Q398" t="s">
        <v>155</v>
      </c>
      <c r="R398" t="s">
        <v>273</v>
      </c>
      <c r="S398" t="s">
        <v>355</v>
      </c>
      <c r="T398">
        <v>2</v>
      </c>
      <c r="U398" t="s">
        <v>414</v>
      </c>
      <c r="V398" t="s">
        <v>303</v>
      </c>
      <c r="W398" t="s">
        <v>415</v>
      </c>
      <c r="X398" t="s">
        <v>306</v>
      </c>
      <c r="Y398" t="s">
        <v>307</v>
      </c>
      <c r="Z398">
        <v>65</v>
      </c>
      <c r="AA398">
        <v>90</v>
      </c>
      <c r="AB398" t="s">
        <v>143</v>
      </c>
      <c r="AC398" t="s">
        <v>160</v>
      </c>
      <c r="AD398" t="s">
        <v>278</v>
      </c>
      <c r="AE398" t="str">
        <f>IF(AF398="","",VLOOKUP(AC398,mapel!$A$2:$B$42,2,FALSE))</f>
        <v>B.Ing</v>
      </c>
      <c r="AF398">
        <f t="shared" si="18"/>
        <v>90</v>
      </c>
      <c r="AG398" t="str">
        <f>IF(AF398="","",IF(AF398&gt;90,"Sangat baik",IF(AF398&gt;79,"Baik",IF(AF398&gt;=pub_gid_0_single_true_output_csv[[#This Row],[KKM]],"Cukup","Kurang"))))</f>
        <v>Baik</v>
      </c>
      <c r="AH398">
        <f t="shared" si="19"/>
        <v>11</v>
      </c>
      <c r="AI398" s="30" t="str">
        <f>IF(OR(J398&lt;&gt;"Karakter",pub_gid_0_single_true_output_csv[[#This Row],[Nilai2]]=""),"",IF(AF398&gt;89,"Sangat baik",IF(AF398&gt;79,"Baik",IF(AF398&gt;69,"Cukup",IF(AF398&gt;59,"Kurang","Sangat kurang")))))</f>
        <v/>
      </c>
      <c r="AJ398" t="str">
        <f t="shared" si="20"/>
        <v>Wk.8</v>
      </c>
      <c r="AK398" t="str">
        <f>IF(pub_gid_0_single_true_output_csv[[#This Row],[Nilai2]]="","",VLOOKUP(pub_gid_0_single_true_output_csv[[#This Row],[NAMA]],Table7[],3,FALSE))</f>
        <v>Superior</v>
      </c>
    </row>
    <row r="399" spans="1:37" x14ac:dyDescent="0.2">
      <c r="A399">
        <v>398</v>
      </c>
      <c r="B399" t="s">
        <v>290</v>
      </c>
      <c r="C399" t="s">
        <v>54</v>
      </c>
      <c r="D399" t="s">
        <v>42</v>
      </c>
      <c r="E399" t="s">
        <v>140</v>
      </c>
      <c r="F399" s="25">
        <v>46071</v>
      </c>
      <c r="G399" t="s">
        <v>323</v>
      </c>
      <c r="H399" t="s">
        <v>412</v>
      </c>
      <c r="I399" t="s">
        <v>371</v>
      </c>
      <c r="J399" t="s">
        <v>36</v>
      </c>
      <c r="K399" t="s">
        <v>37</v>
      </c>
      <c r="L399" t="s">
        <v>383</v>
      </c>
      <c r="M399" t="s">
        <v>141</v>
      </c>
      <c r="N399" t="s">
        <v>142</v>
      </c>
      <c r="O399" t="s">
        <v>155</v>
      </c>
      <c r="P399" t="s">
        <v>281</v>
      </c>
      <c r="Q399" t="s">
        <v>155</v>
      </c>
      <c r="R399" t="s">
        <v>273</v>
      </c>
      <c r="S399" t="s">
        <v>355</v>
      </c>
      <c r="T399">
        <v>2</v>
      </c>
      <c r="U399" t="s">
        <v>414</v>
      </c>
      <c r="V399" t="s">
        <v>303</v>
      </c>
      <c r="W399" t="s">
        <v>415</v>
      </c>
      <c r="X399" t="s">
        <v>306</v>
      </c>
      <c r="Y399" t="s">
        <v>307</v>
      </c>
      <c r="Z399">
        <v>65</v>
      </c>
      <c r="AA399">
        <v>90</v>
      </c>
      <c r="AB399" t="s">
        <v>143</v>
      </c>
      <c r="AC399" t="s">
        <v>160</v>
      </c>
      <c r="AD399" t="s">
        <v>278</v>
      </c>
      <c r="AE399" t="str">
        <f>IF(AF399="","",VLOOKUP(AC399,mapel!$A$2:$B$42,2,FALSE))</f>
        <v>B.Ing</v>
      </c>
      <c r="AF399">
        <f t="shared" si="18"/>
        <v>90</v>
      </c>
      <c r="AG399" t="str">
        <f>IF(AF399="","",IF(AF399&gt;90,"Sangat baik",IF(AF399&gt;79,"Baik",IF(AF399&gt;=pub_gid_0_single_true_output_csv[[#This Row],[KKM]],"Cukup","Kurang"))))</f>
        <v>Baik</v>
      </c>
      <c r="AH399">
        <f t="shared" si="19"/>
        <v>11</v>
      </c>
      <c r="AI399" s="30" t="str">
        <f>IF(OR(J399&lt;&gt;"Karakter",pub_gid_0_single_true_output_csv[[#This Row],[Nilai2]]=""),"",IF(AF399&gt;89,"Sangat baik",IF(AF399&gt;79,"Baik",IF(AF399&gt;69,"Cukup",IF(AF399&gt;59,"Kurang","Sangat kurang")))))</f>
        <v/>
      </c>
      <c r="AJ399" t="str">
        <f t="shared" si="20"/>
        <v>Wk.8</v>
      </c>
      <c r="AK399" t="str">
        <f>IF(pub_gid_0_single_true_output_csv[[#This Row],[Nilai2]]="","",VLOOKUP(pub_gid_0_single_true_output_csv[[#This Row],[NAMA]],Table7[],3,FALSE))</f>
        <v>Superior</v>
      </c>
    </row>
    <row r="400" spans="1:37" x14ac:dyDescent="0.2">
      <c r="A400">
        <v>399</v>
      </c>
      <c r="B400" t="s">
        <v>291</v>
      </c>
      <c r="C400" t="s">
        <v>54</v>
      </c>
      <c r="D400" t="s">
        <v>43</v>
      </c>
      <c r="E400" t="s">
        <v>146</v>
      </c>
      <c r="F400" s="25">
        <v>46030</v>
      </c>
      <c r="G400" t="s">
        <v>347</v>
      </c>
      <c r="H400" t="s">
        <v>405</v>
      </c>
      <c r="I400" t="s">
        <v>371</v>
      </c>
      <c r="J400" t="s">
        <v>36</v>
      </c>
      <c r="K400" t="s">
        <v>37</v>
      </c>
      <c r="L400" t="s">
        <v>321</v>
      </c>
      <c r="M400" t="s">
        <v>141</v>
      </c>
      <c r="N400" t="s">
        <v>142</v>
      </c>
      <c r="O400" t="s">
        <v>155</v>
      </c>
      <c r="P400" t="s">
        <v>281</v>
      </c>
      <c r="Q400" t="s">
        <v>155</v>
      </c>
      <c r="R400" t="s">
        <v>273</v>
      </c>
      <c r="S400" t="s">
        <v>355</v>
      </c>
      <c r="T400">
        <v>2</v>
      </c>
      <c r="U400" t="s">
        <v>414</v>
      </c>
      <c r="V400" t="s">
        <v>303</v>
      </c>
      <c r="W400" t="s">
        <v>415</v>
      </c>
      <c r="X400" t="s">
        <v>306</v>
      </c>
      <c r="Y400" t="s">
        <v>307</v>
      </c>
      <c r="Z400">
        <v>65</v>
      </c>
      <c r="AA400">
        <v>56</v>
      </c>
      <c r="AB400" t="s">
        <v>151</v>
      </c>
      <c r="AC400" t="s">
        <v>160</v>
      </c>
      <c r="AD400" t="s">
        <v>278</v>
      </c>
      <c r="AE400" t="str">
        <f>IF(AF400="","",VLOOKUP(AC400,mapel!$A$2:$B$42,2,FALSE))</f>
        <v>B.Ing</v>
      </c>
      <c r="AF400">
        <f t="shared" si="18"/>
        <v>56</v>
      </c>
      <c r="AG400" t="str">
        <f>IF(AF400="","",IF(AF400&gt;90,"Sangat baik",IF(AF400&gt;79,"Baik",IF(AF400&gt;=pub_gid_0_single_true_output_csv[[#This Row],[KKM]],"Cukup","Kurang"))))</f>
        <v>Kurang</v>
      </c>
      <c r="AH400">
        <f t="shared" si="19"/>
        <v>11</v>
      </c>
      <c r="AI400" s="30" t="str">
        <f>IF(OR(J400&lt;&gt;"Karakter",pub_gid_0_single_true_output_csv[[#This Row],[Nilai2]]=""),"",IF(AF400&gt;89,"Sangat baik",IF(AF400&gt;79,"Baik",IF(AF400&gt;69,"Cukup",IF(AF400&gt;59,"Kurang","Sangat kurang")))))</f>
        <v/>
      </c>
      <c r="AJ400" t="str">
        <f t="shared" si="20"/>
        <v>Wk.2</v>
      </c>
      <c r="AK400" t="str">
        <f>IF(pub_gid_0_single_true_output_csv[[#This Row],[Nilai2]]="","",VLOOKUP(pub_gid_0_single_true_output_csv[[#This Row],[NAMA]],Table7[],3,FALSE))</f>
        <v>High average</v>
      </c>
    </row>
    <row r="401" spans="1:37" x14ac:dyDescent="0.2">
      <c r="A401">
        <v>400</v>
      </c>
      <c r="B401" t="s">
        <v>291</v>
      </c>
      <c r="C401" t="s">
        <v>54</v>
      </c>
      <c r="D401" t="s">
        <v>43</v>
      </c>
      <c r="E401" t="s">
        <v>146</v>
      </c>
      <c r="F401" s="25">
        <v>46030</v>
      </c>
      <c r="G401" t="s">
        <v>347</v>
      </c>
      <c r="H401" t="s">
        <v>405</v>
      </c>
      <c r="I401" t="s">
        <v>371</v>
      </c>
      <c r="J401" t="s">
        <v>41</v>
      </c>
      <c r="K401" t="s">
        <v>157</v>
      </c>
      <c r="L401" t="s">
        <v>395</v>
      </c>
      <c r="M401" t="s">
        <v>141</v>
      </c>
      <c r="N401" t="s">
        <v>142</v>
      </c>
      <c r="O401" t="s">
        <v>155</v>
      </c>
      <c r="P401" t="s">
        <v>281</v>
      </c>
      <c r="Q401" t="s">
        <v>155</v>
      </c>
      <c r="R401" t="s">
        <v>273</v>
      </c>
      <c r="S401" t="s">
        <v>355</v>
      </c>
      <c r="T401">
        <v>2</v>
      </c>
      <c r="U401" t="s">
        <v>414</v>
      </c>
      <c r="V401" t="s">
        <v>303</v>
      </c>
      <c r="W401" t="s">
        <v>415</v>
      </c>
      <c r="X401" t="s">
        <v>306</v>
      </c>
      <c r="Y401" t="s">
        <v>307</v>
      </c>
      <c r="Z401">
        <v>65</v>
      </c>
      <c r="AA401">
        <v>56</v>
      </c>
      <c r="AB401" t="s">
        <v>151</v>
      </c>
      <c r="AC401" t="s">
        <v>160</v>
      </c>
      <c r="AD401" t="s">
        <v>278</v>
      </c>
      <c r="AE401" t="str">
        <f>IF(AF401="","",VLOOKUP(AC401,mapel!$A$2:$B$42,2,FALSE))</f>
        <v>B.Ing</v>
      </c>
      <c r="AF401">
        <f t="shared" si="18"/>
        <v>56</v>
      </c>
      <c r="AG401" t="str">
        <f>IF(AF401="","",IF(AF401&gt;90,"Sangat baik",IF(AF401&gt;79,"Baik",IF(AF401&gt;=pub_gid_0_single_true_output_csv[[#This Row],[KKM]],"Cukup","Kurang"))))</f>
        <v>Kurang</v>
      </c>
      <c r="AH401">
        <f t="shared" si="19"/>
        <v>11</v>
      </c>
      <c r="AI401" s="30" t="str">
        <f>IF(OR(J401&lt;&gt;"Karakter",pub_gid_0_single_true_output_csv[[#This Row],[Nilai2]]=""),"",IF(AF401&gt;89,"Sangat baik",IF(AF401&gt;79,"Baik",IF(AF401&gt;69,"Cukup",IF(AF401&gt;59,"Kurang","Sangat kurang")))))</f>
        <v/>
      </c>
      <c r="AJ401" t="str">
        <f t="shared" si="20"/>
        <v>Wk.2</v>
      </c>
      <c r="AK401" t="str">
        <f>IF(pub_gid_0_single_true_output_csv[[#This Row],[Nilai2]]="","",VLOOKUP(pub_gid_0_single_true_output_csv[[#This Row],[NAMA]],Table7[],3,FALSE))</f>
        <v>High average</v>
      </c>
    </row>
    <row r="402" spans="1:37" x14ac:dyDescent="0.2">
      <c r="A402">
        <v>401</v>
      </c>
      <c r="B402" t="s">
        <v>291</v>
      </c>
      <c r="C402" t="s">
        <v>54</v>
      </c>
      <c r="D402" t="s">
        <v>43</v>
      </c>
      <c r="E402" t="s">
        <v>146</v>
      </c>
      <c r="F402" s="25">
        <v>46030</v>
      </c>
      <c r="G402" t="s">
        <v>347</v>
      </c>
      <c r="H402" t="s">
        <v>405</v>
      </c>
      <c r="I402" t="s">
        <v>371</v>
      </c>
      <c r="J402" t="s">
        <v>90</v>
      </c>
      <c r="K402" t="s">
        <v>92</v>
      </c>
      <c r="L402" t="s">
        <v>95</v>
      </c>
      <c r="M402" t="s">
        <v>141</v>
      </c>
      <c r="N402" t="s">
        <v>142</v>
      </c>
      <c r="O402" t="s">
        <v>155</v>
      </c>
      <c r="P402" t="s">
        <v>281</v>
      </c>
      <c r="Q402" t="s">
        <v>155</v>
      </c>
      <c r="R402" t="s">
        <v>273</v>
      </c>
      <c r="S402" t="s">
        <v>355</v>
      </c>
      <c r="T402">
        <v>2</v>
      </c>
      <c r="U402" t="s">
        <v>414</v>
      </c>
      <c r="V402" t="s">
        <v>303</v>
      </c>
      <c r="W402" t="s">
        <v>415</v>
      </c>
      <c r="X402" t="s">
        <v>306</v>
      </c>
      <c r="Y402" t="s">
        <v>307</v>
      </c>
      <c r="Z402">
        <v>65</v>
      </c>
      <c r="AA402">
        <v>90</v>
      </c>
      <c r="AB402" t="s">
        <v>143</v>
      </c>
      <c r="AC402" t="s">
        <v>160</v>
      </c>
      <c r="AD402" t="s">
        <v>278</v>
      </c>
      <c r="AE402" t="str">
        <f>IF(AF402="","",VLOOKUP(AC402,mapel!$A$2:$B$42,2,FALSE))</f>
        <v>B.Ing</v>
      </c>
      <c r="AF402">
        <f t="shared" si="18"/>
        <v>90</v>
      </c>
      <c r="AG402" t="str">
        <f>IF(AF402="","",IF(AF402&gt;90,"Sangat baik",IF(AF402&gt;79,"Baik",IF(AF402&gt;=pub_gid_0_single_true_output_csv[[#This Row],[KKM]],"Cukup","Kurang"))))</f>
        <v>Baik</v>
      </c>
      <c r="AH402">
        <f t="shared" si="19"/>
        <v>11</v>
      </c>
      <c r="AI402" s="30" t="str">
        <f>IF(OR(J402&lt;&gt;"Karakter",pub_gid_0_single_true_output_csv[[#This Row],[Nilai2]]=""),"",IF(AF402&gt;89,"Sangat baik",IF(AF402&gt;79,"Baik",IF(AF402&gt;69,"Cukup",IF(AF402&gt;59,"Kurang","Sangat kurang")))))</f>
        <v>Sangat baik</v>
      </c>
      <c r="AJ402" t="str">
        <f t="shared" si="20"/>
        <v>Wk.2</v>
      </c>
      <c r="AK402" t="str">
        <f>IF(pub_gid_0_single_true_output_csv[[#This Row],[Nilai2]]="","",VLOOKUP(pub_gid_0_single_true_output_csv[[#This Row],[NAMA]],Table7[],3,FALSE))</f>
        <v>High average</v>
      </c>
    </row>
    <row r="403" spans="1:37" x14ac:dyDescent="0.2">
      <c r="A403">
        <v>402</v>
      </c>
      <c r="B403" t="s">
        <v>291</v>
      </c>
      <c r="C403" t="s">
        <v>54</v>
      </c>
      <c r="D403" t="s">
        <v>43</v>
      </c>
      <c r="E403" t="s">
        <v>146</v>
      </c>
      <c r="F403" s="25">
        <v>46051</v>
      </c>
      <c r="G403" t="s">
        <v>320</v>
      </c>
      <c r="H403" t="s">
        <v>405</v>
      </c>
      <c r="I403" t="s">
        <v>371</v>
      </c>
      <c r="J403" t="s">
        <v>36</v>
      </c>
      <c r="K403" t="s">
        <v>37</v>
      </c>
      <c r="L403" t="s">
        <v>324</v>
      </c>
      <c r="M403" t="s">
        <v>141</v>
      </c>
      <c r="N403" t="s">
        <v>142</v>
      </c>
      <c r="O403" t="s">
        <v>155</v>
      </c>
      <c r="P403" t="s">
        <v>281</v>
      </c>
      <c r="Q403" t="s">
        <v>155</v>
      </c>
      <c r="R403" t="s">
        <v>273</v>
      </c>
      <c r="S403" t="s">
        <v>355</v>
      </c>
      <c r="T403">
        <v>2</v>
      </c>
      <c r="U403" t="s">
        <v>414</v>
      </c>
      <c r="V403" t="s">
        <v>303</v>
      </c>
      <c r="W403" t="s">
        <v>415</v>
      </c>
      <c r="X403" t="s">
        <v>306</v>
      </c>
      <c r="Y403" t="s">
        <v>307</v>
      </c>
      <c r="Z403">
        <v>65</v>
      </c>
      <c r="AA403">
        <v>88</v>
      </c>
      <c r="AB403" t="s">
        <v>143</v>
      </c>
      <c r="AC403" t="s">
        <v>160</v>
      </c>
      <c r="AD403" t="s">
        <v>278</v>
      </c>
      <c r="AE403" t="str">
        <f>IF(AF403="","",VLOOKUP(AC403,mapel!$A$2:$B$42,2,FALSE))</f>
        <v>B.Ing</v>
      </c>
      <c r="AF403">
        <f t="shared" si="18"/>
        <v>88</v>
      </c>
      <c r="AG403" t="str">
        <f>IF(AF403="","",IF(AF403&gt;90,"Sangat baik",IF(AF403&gt;79,"Baik",IF(AF403&gt;=pub_gid_0_single_true_output_csv[[#This Row],[KKM]],"Cukup","Kurang"))))</f>
        <v>Baik</v>
      </c>
      <c r="AH403">
        <f t="shared" si="19"/>
        <v>11</v>
      </c>
      <c r="AI403" s="30" t="str">
        <f>IF(OR(J403&lt;&gt;"Karakter",pub_gid_0_single_true_output_csv[[#This Row],[Nilai2]]=""),"",IF(AF403&gt;89,"Sangat baik",IF(AF403&gt;79,"Baik",IF(AF403&gt;69,"Cukup",IF(AF403&gt;59,"Kurang","Sangat kurang")))))</f>
        <v/>
      </c>
      <c r="AJ403" t="str">
        <f t="shared" si="20"/>
        <v>Wk.5</v>
      </c>
      <c r="AK403" t="str">
        <f>IF(pub_gid_0_single_true_output_csv[[#This Row],[Nilai2]]="","",VLOOKUP(pub_gid_0_single_true_output_csv[[#This Row],[NAMA]],Table7[],3,FALSE))</f>
        <v>High average</v>
      </c>
    </row>
    <row r="404" spans="1:37" x14ac:dyDescent="0.2">
      <c r="A404">
        <v>403</v>
      </c>
      <c r="B404" t="s">
        <v>291</v>
      </c>
      <c r="C404" t="s">
        <v>54</v>
      </c>
      <c r="D404" t="s">
        <v>43</v>
      </c>
      <c r="E404" t="s">
        <v>146</v>
      </c>
      <c r="F404" s="25">
        <v>46051</v>
      </c>
      <c r="G404" t="s">
        <v>320</v>
      </c>
      <c r="H404" t="s">
        <v>405</v>
      </c>
      <c r="I404" t="s">
        <v>371</v>
      </c>
      <c r="J404" t="s">
        <v>90</v>
      </c>
      <c r="K404" t="s">
        <v>377</v>
      </c>
      <c r="L404" t="s">
        <v>378</v>
      </c>
      <c r="M404" t="s">
        <v>141</v>
      </c>
      <c r="N404" t="s">
        <v>142</v>
      </c>
      <c r="O404" t="s">
        <v>155</v>
      </c>
      <c r="P404" t="s">
        <v>281</v>
      </c>
      <c r="Q404" t="s">
        <v>155</v>
      </c>
      <c r="R404" t="s">
        <v>273</v>
      </c>
      <c r="S404" t="s">
        <v>355</v>
      </c>
      <c r="T404">
        <v>2</v>
      </c>
      <c r="U404" t="s">
        <v>414</v>
      </c>
      <c r="V404" t="s">
        <v>303</v>
      </c>
      <c r="W404" t="s">
        <v>415</v>
      </c>
      <c r="X404" t="s">
        <v>306</v>
      </c>
      <c r="Y404" t="s">
        <v>307</v>
      </c>
      <c r="Z404">
        <v>65</v>
      </c>
      <c r="AA404">
        <v>100</v>
      </c>
      <c r="AB404" t="s">
        <v>143</v>
      </c>
      <c r="AC404" t="s">
        <v>160</v>
      </c>
      <c r="AD404" t="s">
        <v>278</v>
      </c>
      <c r="AE404" t="str">
        <f>IF(AF404="","",VLOOKUP(AC404,mapel!$A$2:$B$42,2,FALSE))</f>
        <v>B.Ing</v>
      </c>
      <c r="AF404">
        <f t="shared" si="18"/>
        <v>100</v>
      </c>
      <c r="AG404" t="str">
        <f>IF(AF404="","",IF(AF404&gt;90,"Sangat baik",IF(AF404&gt;79,"Baik",IF(AF404&gt;=pub_gid_0_single_true_output_csv[[#This Row],[KKM]],"Cukup","Kurang"))))</f>
        <v>Sangat baik</v>
      </c>
      <c r="AH404">
        <f t="shared" si="19"/>
        <v>11</v>
      </c>
      <c r="AI404" s="30" t="str">
        <f>IF(OR(J404&lt;&gt;"Karakter",pub_gid_0_single_true_output_csv[[#This Row],[Nilai2]]=""),"",IF(AF404&gt;89,"Sangat baik",IF(AF404&gt;79,"Baik",IF(AF404&gt;69,"Cukup",IF(AF404&gt;59,"Kurang","Sangat kurang")))))</f>
        <v>Sangat baik</v>
      </c>
      <c r="AJ404" t="str">
        <f t="shared" si="20"/>
        <v>Wk.5</v>
      </c>
      <c r="AK404" t="str">
        <f>IF(pub_gid_0_single_true_output_csv[[#This Row],[Nilai2]]="","",VLOOKUP(pub_gid_0_single_true_output_csv[[#This Row],[NAMA]],Table7[],3,FALSE))</f>
        <v>High average</v>
      </c>
    </row>
    <row r="405" spans="1:37" x14ac:dyDescent="0.2">
      <c r="A405">
        <v>404</v>
      </c>
      <c r="B405" t="s">
        <v>291</v>
      </c>
      <c r="C405" t="s">
        <v>54</v>
      </c>
      <c r="D405" t="s">
        <v>43</v>
      </c>
      <c r="E405" t="s">
        <v>146</v>
      </c>
      <c r="F405" s="25">
        <v>46044</v>
      </c>
      <c r="G405" t="s">
        <v>305</v>
      </c>
      <c r="H405" t="s">
        <v>405</v>
      </c>
      <c r="I405" t="s">
        <v>371</v>
      </c>
      <c r="J405" t="s">
        <v>41</v>
      </c>
      <c r="K405" t="s">
        <v>365</v>
      </c>
      <c r="L405" t="s">
        <v>383</v>
      </c>
      <c r="M405" t="s">
        <v>141</v>
      </c>
      <c r="N405" t="s">
        <v>142</v>
      </c>
      <c r="O405" t="s">
        <v>155</v>
      </c>
      <c r="P405" t="s">
        <v>281</v>
      </c>
      <c r="Q405" t="s">
        <v>155</v>
      </c>
      <c r="R405" t="s">
        <v>273</v>
      </c>
      <c r="S405" t="s">
        <v>355</v>
      </c>
      <c r="T405">
        <v>2</v>
      </c>
      <c r="U405" t="s">
        <v>414</v>
      </c>
      <c r="V405" t="s">
        <v>303</v>
      </c>
      <c r="W405" t="s">
        <v>415</v>
      </c>
      <c r="X405" t="s">
        <v>306</v>
      </c>
      <c r="Y405" t="s">
        <v>307</v>
      </c>
      <c r="Z405">
        <v>65</v>
      </c>
      <c r="AA405">
        <v>14</v>
      </c>
      <c r="AB405" t="s">
        <v>151</v>
      </c>
      <c r="AC405" t="s">
        <v>160</v>
      </c>
      <c r="AD405" t="s">
        <v>278</v>
      </c>
      <c r="AE405" t="str">
        <f>IF(AF405="","",VLOOKUP(AC405,mapel!$A$2:$B$42,2,FALSE))</f>
        <v>B.Ing</v>
      </c>
      <c r="AF405">
        <f t="shared" si="18"/>
        <v>14</v>
      </c>
      <c r="AG405" t="str">
        <f>IF(AF405="","",IF(AF405&gt;90,"Sangat baik",IF(AF405&gt;79,"Baik",IF(AF405&gt;=pub_gid_0_single_true_output_csv[[#This Row],[KKM]],"Cukup","Kurang"))))</f>
        <v>Kurang</v>
      </c>
      <c r="AH405">
        <f t="shared" si="19"/>
        <v>11</v>
      </c>
      <c r="AI405" s="30" t="str">
        <f>IF(OR(J405&lt;&gt;"Karakter",pub_gid_0_single_true_output_csv[[#This Row],[Nilai2]]=""),"",IF(AF405&gt;89,"Sangat baik",IF(AF405&gt;79,"Baik",IF(AF405&gt;69,"Cukup",IF(AF405&gt;59,"Kurang","Sangat kurang")))))</f>
        <v/>
      </c>
      <c r="AJ405" t="str">
        <f t="shared" si="20"/>
        <v>Wk.4</v>
      </c>
      <c r="AK405" t="str">
        <f>IF(pub_gid_0_single_true_output_csv[[#This Row],[Nilai2]]="","",VLOOKUP(pub_gid_0_single_true_output_csv[[#This Row],[NAMA]],Table7[],3,FALSE))</f>
        <v>High average</v>
      </c>
    </row>
    <row r="406" spans="1:37" x14ac:dyDescent="0.2">
      <c r="A406">
        <v>405</v>
      </c>
      <c r="B406" t="s">
        <v>291</v>
      </c>
      <c r="C406" t="s">
        <v>54</v>
      </c>
      <c r="D406" t="s">
        <v>43</v>
      </c>
      <c r="E406" t="s">
        <v>146</v>
      </c>
      <c r="F406" s="25">
        <v>46044</v>
      </c>
      <c r="G406" t="s">
        <v>305</v>
      </c>
      <c r="H406" t="s">
        <v>405</v>
      </c>
      <c r="I406" t="s">
        <v>371</v>
      </c>
      <c r="J406" t="s">
        <v>36</v>
      </c>
      <c r="K406" t="s">
        <v>37</v>
      </c>
      <c r="L406" t="s">
        <v>321</v>
      </c>
      <c r="M406" t="s">
        <v>141</v>
      </c>
      <c r="N406" t="s">
        <v>142</v>
      </c>
      <c r="O406" t="s">
        <v>155</v>
      </c>
      <c r="P406" t="s">
        <v>281</v>
      </c>
      <c r="Q406" t="s">
        <v>155</v>
      </c>
      <c r="R406" t="s">
        <v>273</v>
      </c>
      <c r="S406" t="s">
        <v>355</v>
      </c>
      <c r="T406">
        <v>2</v>
      </c>
      <c r="U406" t="s">
        <v>414</v>
      </c>
      <c r="V406" t="s">
        <v>303</v>
      </c>
      <c r="W406" t="s">
        <v>415</v>
      </c>
      <c r="X406" t="s">
        <v>306</v>
      </c>
      <c r="Y406" t="s">
        <v>307</v>
      </c>
      <c r="Z406">
        <v>65</v>
      </c>
      <c r="AA406">
        <v>14</v>
      </c>
      <c r="AB406" t="s">
        <v>151</v>
      </c>
      <c r="AC406" t="s">
        <v>160</v>
      </c>
      <c r="AD406" t="s">
        <v>278</v>
      </c>
      <c r="AE406" t="str">
        <f>IF(AF406="","",VLOOKUP(AC406,mapel!$A$2:$B$42,2,FALSE))</f>
        <v>B.Ing</v>
      </c>
      <c r="AF406">
        <f t="shared" si="18"/>
        <v>14</v>
      </c>
      <c r="AG406" t="str">
        <f>IF(AF406="","",IF(AF406&gt;90,"Sangat baik",IF(AF406&gt;79,"Baik",IF(AF406&gt;=pub_gid_0_single_true_output_csv[[#This Row],[KKM]],"Cukup","Kurang"))))</f>
        <v>Kurang</v>
      </c>
      <c r="AH406">
        <f t="shared" si="19"/>
        <v>11</v>
      </c>
      <c r="AI406" s="30" t="str">
        <f>IF(OR(J406&lt;&gt;"Karakter",pub_gid_0_single_true_output_csv[[#This Row],[Nilai2]]=""),"",IF(AF406&gt;89,"Sangat baik",IF(AF406&gt;79,"Baik",IF(AF406&gt;69,"Cukup",IF(AF406&gt;59,"Kurang","Sangat kurang")))))</f>
        <v/>
      </c>
      <c r="AJ406" t="str">
        <f t="shared" si="20"/>
        <v>Wk.4</v>
      </c>
      <c r="AK406" t="str">
        <f>IF(pub_gid_0_single_true_output_csv[[#This Row],[Nilai2]]="","",VLOOKUP(pub_gid_0_single_true_output_csv[[#This Row],[NAMA]],Table7[],3,FALSE))</f>
        <v>High average</v>
      </c>
    </row>
    <row r="407" spans="1:37" x14ac:dyDescent="0.2">
      <c r="A407">
        <v>406</v>
      </c>
      <c r="B407" t="s">
        <v>291</v>
      </c>
      <c r="C407" t="s">
        <v>54</v>
      </c>
      <c r="D407" t="s">
        <v>43</v>
      </c>
      <c r="E407" t="s">
        <v>146</v>
      </c>
      <c r="F407" s="25">
        <v>46044</v>
      </c>
      <c r="G407" t="s">
        <v>305</v>
      </c>
      <c r="H407" t="s">
        <v>405</v>
      </c>
      <c r="I407" t="s">
        <v>371</v>
      </c>
      <c r="J407" t="s">
        <v>31</v>
      </c>
      <c r="K407" t="s">
        <v>32</v>
      </c>
      <c r="L407" t="s">
        <v>321</v>
      </c>
      <c r="M407" t="s">
        <v>141</v>
      </c>
      <c r="N407" t="s">
        <v>142</v>
      </c>
      <c r="O407" t="s">
        <v>155</v>
      </c>
      <c r="P407" t="s">
        <v>281</v>
      </c>
      <c r="Q407" t="s">
        <v>155</v>
      </c>
      <c r="R407" t="s">
        <v>273</v>
      </c>
      <c r="S407" t="s">
        <v>355</v>
      </c>
      <c r="T407">
        <v>2</v>
      </c>
      <c r="U407" t="s">
        <v>414</v>
      </c>
      <c r="V407" t="s">
        <v>303</v>
      </c>
      <c r="W407" t="s">
        <v>415</v>
      </c>
      <c r="X407" t="s">
        <v>306</v>
      </c>
      <c r="Y407" t="s">
        <v>307</v>
      </c>
      <c r="Z407">
        <v>65</v>
      </c>
      <c r="AA407">
        <v>14</v>
      </c>
      <c r="AB407" t="s">
        <v>151</v>
      </c>
      <c r="AC407" t="s">
        <v>160</v>
      </c>
      <c r="AD407" t="s">
        <v>278</v>
      </c>
      <c r="AE407" t="str">
        <f>IF(AF407="","",VLOOKUP(AC407,mapel!$A$2:$B$42,2,FALSE))</f>
        <v>B.Ing</v>
      </c>
      <c r="AF407">
        <f t="shared" si="18"/>
        <v>14</v>
      </c>
      <c r="AG407" t="str">
        <f>IF(AF407="","",IF(AF407&gt;90,"Sangat baik",IF(AF407&gt;79,"Baik",IF(AF407&gt;=pub_gid_0_single_true_output_csv[[#This Row],[KKM]],"Cukup","Kurang"))))</f>
        <v>Kurang</v>
      </c>
      <c r="AH407">
        <f t="shared" si="19"/>
        <v>11</v>
      </c>
      <c r="AI407" s="30" t="str">
        <f>IF(OR(J407&lt;&gt;"Karakter",pub_gid_0_single_true_output_csv[[#This Row],[Nilai2]]=""),"",IF(AF407&gt;89,"Sangat baik",IF(AF407&gt;79,"Baik",IF(AF407&gt;69,"Cukup",IF(AF407&gt;59,"Kurang","Sangat kurang")))))</f>
        <v/>
      </c>
      <c r="AJ407" t="str">
        <f t="shared" si="20"/>
        <v>Wk.4</v>
      </c>
      <c r="AK407" t="str">
        <f>IF(pub_gid_0_single_true_output_csv[[#This Row],[Nilai2]]="","",VLOOKUP(pub_gid_0_single_true_output_csv[[#This Row],[NAMA]],Table7[],3,FALSE))</f>
        <v>High average</v>
      </c>
    </row>
    <row r="408" spans="1:37" x14ac:dyDescent="0.2">
      <c r="A408">
        <v>407</v>
      </c>
      <c r="B408" t="s">
        <v>291</v>
      </c>
      <c r="C408" t="s">
        <v>54</v>
      </c>
      <c r="D408" t="s">
        <v>43</v>
      </c>
      <c r="E408" t="s">
        <v>146</v>
      </c>
      <c r="F408" s="25">
        <v>46065</v>
      </c>
      <c r="G408" t="s">
        <v>354</v>
      </c>
      <c r="H408" t="s">
        <v>412</v>
      </c>
      <c r="I408" t="s">
        <v>371</v>
      </c>
      <c r="J408" t="s">
        <v>36</v>
      </c>
      <c r="K408" t="s">
        <v>37</v>
      </c>
      <c r="L408" t="s">
        <v>324</v>
      </c>
      <c r="M408" t="s">
        <v>141</v>
      </c>
      <c r="N408" t="s">
        <v>142</v>
      </c>
      <c r="O408" t="s">
        <v>155</v>
      </c>
      <c r="P408" t="s">
        <v>281</v>
      </c>
      <c r="Q408" t="s">
        <v>155</v>
      </c>
      <c r="R408" t="s">
        <v>273</v>
      </c>
      <c r="S408" t="s">
        <v>355</v>
      </c>
      <c r="T408">
        <v>2</v>
      </c>
      <c r="U408" t="s">
        <v>414</v>
      </c>
      <c r="V408" t="s">
        <v>303</v>
      </c>
      <c r="W408" t="s">
        <v>415</v>
      </c>
      <c r="X408" t="s">
        <v>306</v>
      </c>
      <c r="Y408" t="s">
        <v>307</v>
      </c>
      <c r="Z408">
        <v>65</v>
      </c>
      <c r="AA408">
        <v>45</v>
      </c>
      <c r="AB408" t="s">
        <v>151</v>
      </c>
      <c r="AC408" t="s">
        <v>160</v>
      </c>
      <c r="AD408" t="s">
        <v>278</v>
      </c>
      <c r="AE408" t="str">
        <f>IF(AF408="","",VLOOKUP(AC408,mapel!$A$2:$B$42,2,FALSE))</f>
        <v>B.Ing</v>
      </c>
      <c r="AF408">
        <f t="shared" si="18"/>
        <v>45</v>
      </c>
      <c r="AG408" t="str">
        <f>IF(AF408="","",IF(AF408&gt;90,"Sangat baik",IF(AF408&gt;79,"Baik",IF(AF408&gt;=pub_gid_0_single_true_output_csv[[#This Row],[KKM]],"Cukup","Kurang"))))</f>
        <v>Kurang</v>
      </c>
      <c r="AH408">
        <f t="shared" si="19"/>
        <v>11</v>
      </c>
      <c r="AI408" s="30" t="str">
        <f>IF(OR(J408&lt;&gt;"Karakter",pub_gid_0_single_true_output_csv[[#This Row],[Nilai2]]=""),"",IF(AF408&gt;89,"Sangat baik",IF(AF408&gt;79,"Baik",IF(AF408&gt;69,"Cukup",IF(AF408&gt;59,"Kurang","Sangat kurang")))))</f>
        <v/>
      </c>
      <c r="AJ408" t="str">
        <f t="shared" si="20"/>
        <v>Wk.7</v>
      </c>
      <c r="AK408" t="str">
        <f>IF(pub_gid_0_single_true_output_csv[[#This Row],[Nilai2]]="","",VLOOKUP(pub_gid_0_single_true_output_csv[[#This Row],[NAMA]],Table7[],3,FALSE))</f>
        <v>High average</v>
      </c>
    </row>
    <row r="409" spans="1:37" x14ac:dyDescent="0.2">
      <c r="A409">
        <v>408</v>
      </c>
      <c r="B409" t="s">
        <v>291</v>
      </c>
      <c r="C409" t="s">
        <v>54</v>
      </c>
      <c r="D409" t="s">
        <v>43</v>
      </c>
      <c r="E409" t="s">
        <v>146</v>
      </c>
      <c r="F409" s="25">
        <v>46065</v>
      </c>
      <c r="G409" t="s">
        <v>354</v>
      </c>
      <c r="H409" t="s">
        <v>412</v>
      </c>
      <c r="I409" t="s">
        <v>371</v>
      </c>
      <c r="J409" t="s">
        <v>36</v>
      </c>
      <c r="K409" t="s">
        <v>37</v>
      </c>
      <c r="L409" t="s">
        <v>150</v>
      </c>
      <c r="M409" t="s">
        <v>141</v>
      </c>
      <c r="N409" t="s">
        <v>142</v>
      </c>
      <c r="O409" t="s">
        <v>155</v>
      </c>
      <c r="P409" t="s">
        <v>281</v>
      </c>
      <c r="Q409" t="s">
        <v>155</v>
      </c>
      <c r="R409" t="s">
        <v>273</v>
      </c>
      <c r="S409" t="s">
        <v>355</v>
      </c>
      <c r="T409">
        <v>2</v>
      </c>
      <c r="U409" t="s">
        <v>414</v>
      </c>
      <c r="V409" t="s">
        <v>303</v>
      </c>
      <c r="W409" t="s">
        <v>415</v>
      </c>
      <c r="X409" t="s">
        <v>306</v>
      </c>
      <c r="Y409" t="s">
        <v>307</v>
      </c>
      <c r="Z409">
        <v>65</v>
      </c>
      <c r="AA409">
        <v>50</v>
      </c>
      <c r="AB409" t="s">
        <v>151</v>
      </c>
      <c r="AC409" t="s">
        <v>160</v>
      </c>
      <c r="AD409" t="s">
        <v>278</v>
      </c>
      <c r="AE409" t="str">
        <f>IF(AF409="","",VLOOKUP(AC409,mapel!$A$2:$B$42,2,FALSE))</f>
        <v>B.Ing</v>
      </c>
      <c r="AF409">
        <f t="shared" si="18"/>
        <v>50</v>
      </c>
      <c r="AG409" t="str">
        <f>IF(AF409="","",IF(AF409&gt;90,"Sangat baik",IF(AF409&gt;79,"Baik",IF(AF409&gt;=pub_gid_0_single_true_output_csv[[#This Row],[KKM]],"Cukup","Kurang"))))</f>
        <v>Kurang</v>
      </c>
      <c r="AH409">
        <f t="shared" si="19"/>
        <v>11</v>
      </c>
      <c r="AI409" s="30" t="str">
        <f>IF(OR(J409&lt;&gt;"Karakter",pub_gid_0_single_true_output_csv[[#This Row],[Nilai2]]=""),"",IF(AF409&gt;89,"Sangat baik",IF(AF409&gt;79,"Baik",IF(AF409&gt;69,"Cukup",IF(AF409&gt;59,"Kurang","Sangat kurang")))))</f>
        <v/>
      </c>
      <c r="AJ409" t="str">
        <f t="shared" si="20"/>
        <v>Wk.7</v>
      </c>
      <c r="AK409" t="str">
        <f>IF(pub_gid_0_single_true_output_csv[[#This Row],[Nilai2]]="","",VLOOKUP(pub_gid_0_single_true_output_csv[[#This Row],[NAMA]],Table7[],3,FALSE))</f>
        <v>High average</v>
      </c>
    </row>
    <row r="410" spans="1:37" x14ac:dyDescent="0.2">
      <c r="A410">
        <v>409</v>
      </c>
      <c r="B410" t="s">
        <v>291</v>
      </c>
      <c r="C410" t="s">
        <v>54</v>
      </c>
      <c r="D410" t="s">
        <v>43</v>
      </c>
      <c r="E410" t="s">
        <v>146</v>
      </c>
      <c r="F410" s="25">
        <v>46065</v>
      </c>
      <c r="G410" t="s">
        <v>354</v>
      </c>
      <c r="H410" t="s">
        <v>412</v>
      </c>
      <c r="I410" t="s">
        <v>371</v>
      </c>
      <c r="J410" t="s">
        <v>41</v>
      </c>
      <c r="K410" t="s">
        <v>365</v>
      </c>
      <c r="L410" t="s">
        <v>150</v>
      </c>
      <c r="M410" t="s">
        <v>141</v>
      </c>
      <c r="N410" t="s">
        <v>142</v>
      </c>
      <c r="O410" t="s">
        <v>155</v>
      </c>
      <c r="P410" t="s">
        <v>281</v>
      </c>
      <c r="Q410" t="s">
        <v>155</v>
      </c>
      <c r="R410" t="s">
        <v>273</v>
      </c>
      <c r="S410" t="s">
        <v>355</v>
      </c>
      <c r="T410">
        <v>2</v>
      </c>
      <c r="U410" t="s">
        <v>414</v>
      </c>
      <c r="V410" t="s">
        <v>303</v>
      </c>
      <c r="W410" t="s">
        <v>415</v>
      </c>
      <c r="X410" t="s">
        <v>306</v>
      </c>
      <c r="Y410" t="s">
        <v>307</v>
      </c>
      <c r="Z410">
        <v>65</v>
      </c>
      <c r="AA410">
        <v>50</v>
      </c>
      <c r="AB410" t="s">
        <v>151</v>
      </c>
      <c r="AC410" t="s">
        <v>160</v>
      </c>
      <c r="AD410" t="s">
        <v>278</v>
      </c>
      <c r="AE410" t="str">
        <f>IF(AF410="","",VLOOKUP(AC410,mapel!$A$2:$B$42,2,FALSE))</f>
        <v>B.Ing</v>
      </c>
      <c r="AF410">
        <f t="shared" si="18"/>
        <v>50</v>
      </c>
      <c r="AG410" t="str">
        <f>IF(AF410="","",IF(AF410&gt;90,"Sangat baik",IF(AF410&gt;79,"Baik",IF(AF410&gt;=pub_gid_0_single_true_output_csv[[#This Row],[KKM]],"Cukup","Kurang"))))</f>
        <v>Kurang</v>
      </c>
      <c r="AH410">
        <f t="shared" si="19"/>
        <v>11</v>
      </c>
      <c r="AI410" s="30" t="str">
        <f>IF(OR(J410&lt;&gt;"Karakter",pub_gid_0_single_true_output_csv[[#This Row],[Nilai2]]=""),"",IF(AF410&gt;89,"Sangat baik",IF(AF410&gt;79,"Baik",IF(AF410&gt;69,"Cukup",IF(AF410&gt;59,"Kurang","Sangat kurang")))))</f>
        <v/>
      </c>
      <c r="AJ410" t="str">
        <f t="shared" si="20"/>
        <v>Wk.7</v>
      </c>
      <c r="AK410" t="str">
        <f>IF(pub_gid_0_single_true_output_csv[[#This Row],[Nilai2]]="","",VLOOKUP(pub_gid_0_single_true_output_csv[[#This Row],[NAMA]],Table7[],3,FALSE))</f>
        <v>High average</v>
      </c>
    </row>
    <row r="411" spans="1:37" x14ac:dyDescent="0.2">
      <c r="A411">
        <v>410</v>
      </c>
      <c r="B411" t="s">
        <v>291</v>
      </c>
      <c r="C411" t="s">
        <v>54</v>
      </c>
      <c r="D411" t="s">
        <v>43</v>
      </c>
      <c r="E411" t="s">
        <v>146</v>
      </c>
      <c r="F411" s="25">
        <v>46071</v>
      </c>
      <c r="G411" t="s">
        <v>323</v>
      </c>
      <c r="H411" t="s">
        <v>412</v>
      </c>
      <c r="I411" t="s">
        <v>371</v>
      </c>
      <c r="J411" t="s">
        <v>41</v>
      </c>
      <c r="K411" t="s">
        <v>365</v>
      </c>
      <c r="L411" t="s">
        <v>383</v>
      </c>
      <c r="M411" t="s">
        <v>141</v>
      </c>
      <c r="N411" t="s">
        <v>142</v>
      </c>
      <c r="O411" t="s">
        <v>155</v>
      </c>
      <c r="P411" t="s">
        <v>281</v>
      </c>
      <c r="Q411" t="s">
        <v>155</v>
      </c>
      <c r="R411" t="s">
        <v>273</v>
      </c>
      <c r="S411" t="s">
        <v>355</v>
      </c>
      <c r="T411">
        <v>2</v>
      </c>
      <c r="U411" t="s">
        <v>414</v>
      </c>
      <c r="V411" t="s">
        <v>303</v>
      </c>
      <c r="W411" t="s">
        <v>415</v>
      </c>
      <c r="X411" t="s">
        <v>306</v>
      </c>
      <c r="Y411" t="s">
        <v>307</v>
      </c>
      <c r="Z411">
        <v>65</v>
      </c>
      <c r="AA411">
        <v>70</v>
      </c>
      <c r="AB411" t="s">
        <v>143</v>
      </c>
      <c r="AC411" t="s">
        <v>160</v>
      </c>
      <c r="AD411" t="s">
        <v>278</v>
      </c>
      <c r="AE411" t="str">
        <f>IF(AF411="","",VLOOKUP(AC411,mapel!$A$2:$B$42,2,FALSE))</f>
        <v>B.Ing</v>
      </c>
      <c r="AF411">
        <f t="shared" si="18"/>
        <v>70</v>
      </c>
      <c r="AG411" t="str">
        <f>IF(AF411="","",IF(AF411&gt;90,"Sangat baik",IF(AF411&gt;79,"Baik",IF(AF411&gt;=pub_gid_0_single_true_output_csv[[#This Row],[KKM]],"Cukup","Kurang"))))</f>
        <v>Cukup</v>
      </c>
      <c r="AH411">
        <f t="shared" si="19"/>
        <v>11</v>
      </c>
      <c r="AI411" s="30" t="str">
        <f>IF(OR(J411&lt;&gt;"Karakter",pub_gid_0_single_true_output_csv[[#This Row],[Nilai2]]=""),"",IF(AF411&gt;89,"Sangat baik",IF(AF411&gt;79,"Baik",IF(AF411&gt;69,"Cukup",IF(AF411&gt;59,"Kurang","Sangat kurang")))))</f>
        <v/>
      </c>
      <c r="AJ411" t="str">
        <f t="shared" si="20"/>
        <v>Wk.8</v>
      </c>
      <c r="AK411" t="str">
        <f>IF(pub_gid_0_single_true_output_csv[[#This Row],[Nilai2]]="","",VLOOKUP(pub_gid_0_single_true_output_csv[[#This Row],[NAMA]],Table7[],3,FALSE))</f>
        <v>High average</v>
      </c>
    </row>
    <row r="412" spans="1:37" x14ac:dyDescent="0.2">
      <c r="A412">
        <v>411</v>
      </c>
      <c r="B412" t="s">
        <v>291</v>
      </c>
      <c r="C412" t="s">
        <v>54</v>
      </c>
      <c r="D412" t="s">
        <v>43</v>
      </c>
      <c r="E412" t="s">
        <v>146</v>
      </c>
      <c r="F412" s="25">
        <v>46071</v>
      </c>
      <c r="G412" t="s">
        <v>323</v>
      </c>
      <c r="H412" t="s">
        <v>412</v>
      </c>
      <c r="I412" t="s">
        <v>371</v>
      </c>
      <c r="J412" t="s">
        <v>36</v>
      </c>
      <c r="K412" t="s">
        <v>37</v>
      </c>
      <c r="L412" t="s">
        <v>383</v>
      </c>
      <c r="M412" t="s">
        <v>141</v>
      </c>
      <c r="N412" t="s">
        <v>142</v>
      </c>
      <c r="O412" t="s">
        <v>155</v>
      </c>
      <c r="P412" t="s">
        <v>281</v>
      </c>
      <c r="Q412" t="s">
        <v>155</v>
      </c>
      <c r="R412" t="s">
        <v>273</v>
      </c>
      <c r="S412" t="s">
        <v>355</v>
      </c>
      <c r="T412">
        <v>2</v>
      </c>
      <c r="U412" t="s">
        <v>414</v>
      </c>
      <c r="V412" t="s">
        <v>303</v>
      </c>
      <c r="W412" t="s">
        <v>415</v>
      </c>
      <c r="X412" t="s">
        <v>306</v>
      </c>
      <c r="Y412" t="s">
        <v>307</v>
      </c>
      <c r="Z412">
        <v>65</v>
      </c>
      <c r="AA412">
        <v>70</v>
      </c>
      <c r="AB412" t="s">
        <v>143</v>
      </c>
      <c r="AC412" t="s">
        <v>160</v>
      </c>
      <c r="AD412" t="s">
        <v>278</v>
      </c>
      <c r="AE412" t="str">
        <f>IF(AF412="","",VLOOKUP(AC412,mapel!$A$2:$B$42,2,FALSE))</f>
        <v>B.Ing</v>
      </c>
      <c r="AF412">
        <f t="shared" si="18"/>
        <v>70</v>
      </c>
      <c r="AG412" t="str">
        <f>IF(AF412="","",IF(AF412&gt;90,"Sangat baik",IF(AF412&gt;79,"Baik",IF(AF412&gt;=pub_gid_0_single_true_output_csv[[#This Row],[KKM]],"Cukup","Kurang"))))</f>
        <v>Cukup</v>
      </c>
      <c r="AH412">
        <f t="shared" si="19"/>
        <v>11</v>
      </c>
      <c r="AI412" s="30" t="str">
        <f>IF(OR(J412&lt;&gt;"Karakter",pub_gid_0_single_true_output_csv[[#This Row],[Nilai2]]=""),"",IF(AF412&gt;89,"Sangat baik",IF(AF412&gt;79,"Baik",IF(AF412&gt;69,"Cukup",IF(AF412&gt;59,"Kurang","Sangat kurang")))))</f>
        <v/>
      </c>
      <c r="AJ412" t="str">
        <f t="shared" si="20"/>
        <v>Wk.8</v>
      </c>
      <c r="AK412" t="str">
        <f>IF(pub_gid_0_single_true_output_csv[[#This Row],[Nilai2]]="","",VLOOKUP(pub_gid_0_single_true_output_csv[[#This Row],[NAMA]],Table7[],3,FALSE))</f>
        <v>High average</v>
      </c>
    </row>
    <row r="413" spans="1:37" x14ac:dyDescent="0.2">
      <c r="A413">
        <v>412</v>
      </c>
      <c r="B413" t="s">
        <v>282</v>
      </c>
      <c r="C413" t="s">
        <v>54</v>
      </c>
      <c r="D413" t="s">
        <v>283</v>
      </c>
      <c r="E413" t="s">
        <v>140</v>
      </c>
      <c r="F413" s="25">
        <v>46030</v>
      </c>
      <c r="G413" t="s">
        <v>347</v>
      </c>
      <c r="H413" t="s">
        <v>405</v>
      </c>
      <c r="I413" t="s">
        <v>371</v>
      </c>
      <c r="J413" t="s">
        <v>36</v>
      </c>
      <c r="K413" t="s">
        <v>37</v>
      </c>
      <c r="L413" t="s">
        <v>321</v>
      </c>
      <c r="M413" t="s">
        <v>141</v>
      </c>
      <c r="N413" t="s">
        <v>142</v>
      </c>
      <c r="O413" t="s">
        <v>155</v>
      </c>
      <c r="P413" t="s">
        <v>281</v>
      </c>
      <c r="Q413" t="s">
        <v>155</v>
      </c>
      <c r="R413" t="s">
        <v>273</v>
      </c>
      <c r="S413" t="s">
        <v>355</v>
      </c>
      <c r="T413">
        <v>2</v>
      </c>
      <c r="U413" t="s">
        <v>414</v>
      </c>
      <c r="V413" t="s">
        <v>303</v>
      </c>
      <c r="W413" t="s">
        <v>415</v>
      </c>
      <c r="X413" t="s">
        <v>306</v>
      </c>
      <c r="Y413" t="s">
        <v>307</v>
      </c>
      <c r="Z413">
        <v>65</v>
      </c>
      <c r="AA413">
        <v>10</v>
      </c>
      <c r="AB413" t="s">
        <v>151</v>
      </c>
      <c r="AC413" t="s">
        <v>160</v>
      </c>
      <c r="AD413" t="s">
        <v>278</v>
      </c>
      <c r="AE413" t="str">
        <f>IF(AF413="","",VLOOKUP(AC413,mapel!$A$2:$B$42,2,FALSE))</f>
        <v>B.Ing</v>
      </c>
      <c r="AF413">
        <f t="shared" si="18"/>
        <v>10</v>
      </c>
      <c r="AG413" t="str">
        <f>IF(AF413="","",IF(AF413&gt;90,"Sangat baik",IF(AF413&gt;79,"Baik",IF(AF413&gt;=pub_gid_0_single_true_output_csv[[#This Row],[KKM]],"Cukup","Kurang"))))</f>
        <v>Kurang</v>
      </c>
      <c r="AH413">
        <f t="shared" si="19"/>
        <v>11</v>
      </c>
      <c r="AI413" s="30" t="str">
        <f>IF(OR(J413&lt;&gt;"Karakter",pub_gid_0_single_true_output_csv[[#This Row],[Nilai2]]=""),"",IF(AF413&gt;89,"Sangat baik",IF(AF413&gt;79,"Baik",IF(AF413&gt;69,"Cukup",IF(AF413&gt;59,"Kurang","Sangat kurang")))))</f>
        <v/>
      </c>
      <c r="AJ413" t="str">
        <f t="shared" si="20"/>
        <v>Wk.2</v>
      </c>
      <c r="AK413" t="e">
        <f>IF(pub_gid_0_single_true_output_csv[[#This Row],[Nilai2]]="","",VLOOKUP(pub_gid_0_single_true_output_csv[[#This Row],[NAMA]],Table7[],3,FALSE))</f>
        <v>#N/A</v>
      </c>
    </row>
    <row r="414" spans="1:37" x14ac:dyDescent="0.2">
      <c r="A414">
        <v>413</v>
      </c>
      <c r="B414" t="s">
        <v>282</v>
      </c>
      <c r="C414" t="s">
        <v>54</v>
      </c>
      <c r="D414" t="s">
        <v>283</v>
      </c>
      <c r="E414" t="s">
        <v>140</v>
      </c>
      <c r="F414" s="25">
        <v>46030</v>
      </c>
      <c r="G414" t="s">
        <v>347</v>
      </c>
      <c r="H414" t="s">
        <v>405</v>
      </c>
      <c r="I414" t="s">
        <v>371</v>
      </c>
      <c r="J414" t="s">
        <v>41</v>
      </c>
      <c r="K414" t="s">
        <v>157</v>
      </c>
      <c r="L414" t="s">
        <v>395</v>
      </c>
      <c r="M414" t="s">
        <v>141</v>
      </c>
      <c r="N414" t="s">
        <v>142</v>
      </c>
      <c r="O414" t="s">
        <v>155</v>
      </c>
      <c r="P414" t="s">
        <v>281</v>
      </c>
      <c r="Q414" t="s">
        <v>155</v>
      </c>
      <c r="R414" t="s">
        <v>273</v>
      </c>
      <c r="S414" t="s">
        <v>355</v>
      </c>
      <c r="T414">
        <v>2</v>
      </c>
      <c r="U414" t="s">
        <v>414</v>
      </c>
      <c r="V414" t="s">
        <v>303</v>
      </c>
      <c r="W414" t="s">
        <v>415</v>
      </c>
      <c r="X414" t="s">
        <v>306</v>
      </c>
      <c r="Y414" t="s">
        <v>307</v>
      </c>
      <c r="Z414">
        <v>65</v>
      </c>
      <c r="AA414">
        <v>10</v>
      </c>
      <c r="AB414" t="s">
        <v>151</v>
      </c>
      <c r="AC414" t="s">
        <v>160</v>
      </c>
      <c r="AD414" t="s">
        <v>278</v>
      </c>
      <c r="AE414" t="str">
        <f>IF(AF414="","",VLOOKUP(AC414,mapel!$A$2:$B$42,2,FALSE))</f>
        <v>B.Ing</v>
      </c>
      <c r="AF414">
        <f t="shared" si="18"/>
        <v>10</v>
      </c>
      <c r="AG414" t="str">
        <f>IF(AF414="","",IF(AF414&gt;90,"Sangat baik",IF(AF414&gt;79,"Baik",IF(AF414&gt;=pub_gid_0_single_true_output_csv[[#This Row],[KKM]],"Cukup","Kurang"))))</f>
        <v>Kurang</v>
      </c>
      <c r="AH414">
        <f t="shared" si="19"/>
        <v>11</v>
      </c>
      <c r="AI414" s="30" t="str">
        <f>IF(OR(J414&lt;&gt;"Karakter",pub_gid_0_single_true_output_csv[[#This Row],[Nilai2]]=""),"",IF(AF414&gt;89,"Sangat baik",IF(AF414&gt;79,"Baik",IF(AF414&gt;69,"Cukup",IF(AF414&gt;59,"Kurang","Sangat kurang")))))</f>
        <v/>
      </c>
      <c r="AJ414" t="str">
        <f t="shared" si="20"/>
        <v>Wk.2</v>
      </c>
      <c r="AK414" t="e">
        <f>IF(pub_gid_0_single_true_output_csv[[#This Row],[Nilai2]]="","",VLOOKUP(pub_gid_0_single_true_output_csv[[#This Row],[NAMA]],Table7[],3,FALSE))</f>
        <v>#N/A</v>
      </c>
    </row>
    <row r="415" spans="1:37" x14ac:dyDescent="0.2">
      <c r="A415">
        <v>414</v>
      </c>
      <c r="B415" t="s">
        <v>282</v>
      </c>
      <c r="C415" t="s">
        <v>54</v>
      </c>
      <c r="D415" t="s">
        <v>283</v>
      </c>
      <c r="E415" t="s">
        <v>140</v>
      </c>
      <c r="F415" s="25">
        <v>46030</v>
      </c>
      <c r="G415" t="s">
        <v>347</v>
      </c>
      <c r="H415" t="s">
        <v>405</v>
      </c>
      <c r="I415" t="s">
        <v>371</v>
      </c>
      <c r="J415" t="s">
        <v>90</v>
      </c>
      <c r="K415" t="s">
        <v>92</v>
      </c>
      <c r="L415" t="s">
        <v>95</v>
      </c>
      <c r="M415" t="s">
        <v>141</v>
      </c>
      <c r="N415" t="s">
        <v>142</v>
      </c>
      <c r="O415" t="s">
        <v>155</v>
      </c>
      <c r="P415" t="s">
        <v>281</v>
      </c>
      <c r="Q415" t="s">
        <v>155</v>
      </c>
      <c r="R415" t="s">
        <v>273</v>
      </c>
      <c r="S415" t="s">
        <v>355</v>
      </c>
      <c r="T415">
        <v>2</v>
      </c>
      <c r="U415" t="s">
        <v>414</v>
      </c>
      <c r="V415" t="s">
        <v>303</v>
      </c>
      <c r="W415" t="s">
        <v>415</v>
      </c>
      <c r="X415" t="s">
        <v>306</v>
      </c>
      <c r="Y415" t="s">
        <v>307</v>
      </c>
      <c r="Z415">
        <v>65</v>
      </c>
      <c r="AA415">
        <v>30</v>
      </c>
      <c r="AB415" t="s">
        <v>151</v>
      </c>
      <c r="AC415" t="s">
        <v>160</v>
      </c>
      <c r="AD415" t="s">
        <v>278</v>
      </c>
      <c r="AE415" t="str">
        <f>IF(AF415="","",VLOOKUP(AC415,mapel!$A$2:$B$42,2,FALSE))</f>
        <v>B.Ing</v>
      </c>
      <c r="AF415">
        <f t="shared" si="18"/>
        <v>30</v>
      </c>
      <c r="AG415" t="str">
        <f>IF(AF415="","",IF(AF415&gt;90,"Sangat baik",IF(AF415&gt;79,"Baik",IF(AF415&gt;=pub_gid_0_single_true_output_csv[[#This Row],[KKM]],"Cukup","Kurang"))))</f>
        <v>Kurang</v>
      </c>
      <c r="AH415">
        <f t="shared" si="19"/>
        <v>11</v>
      </c>
      <c r="AI415" s="30" t="str">
        <f>IF(OR(J415&lt;&gt;"Karakter",pub_gid_0_single_true_output_csv[[#This Row],[Nilai2]]=""),"",IF(AF415&gt;89,"Sangat baik",IF(AF415&gt;79,"Baik",IF(AF415&gt;69,"Cukup",IF(AF415&gt;59,"Kurang","Sangat kurang")))))</f>
        <v>Sangat kurang</v>
      </c>
      <c r="AJ415" t="str">
        <f t="shared" si="20"/>
        <v>Wk.2</v>
      </c>
      <c r="AK415" t="e">
        <f>IF(pub_gid_0_single_true_output_csv[[#This Row],[Nilai2]]="","",VLOOKUP(pub_gid_0_single_true_output_csv[[#This Row],[NAMA]],Table7[],3,FALSE))</f>
        <v>#N/A</v>
      </c>
    </row>
    <row r="416" spans="1:37" x14ac:dyDescent="0.2">
      <c r="A416">
        <v>415</v>
      </c>
      <c r="B416" t="s">
        <v>282</v>
      </c>
      <c r="C416" t="s">
        <v>54</v>
      </c>
      <c r="D416" t="s">
        <v>283</v>
      </c>
      <c r="E416" t="s">
        <v>140</v>
      </c>
      <c r="F416" s="25">
        <v>46051</v>
      </c>
      <c r="G416" t="s">
        <v>320</v>
      </c>
      <c r="H416" t="s">
        <v>405</v>
      </c>
      <c r="I416" t="s">
        <v>371</v>
      </c>
      <c r="J416" t="s">
        <v>36</v>
      </c>
      <c r="K416" t="s">
        <v>37</v>
      </c>
      <c r="L416" t="s">
        <v>324</v>
      </c>
      <c r="M416" t="s">
        <v>141</v>
      </c>
      <c r="N416" t="s">
        <v>142</v>
      </c>
      <c r="O416" t="s">
        <v>155</v>
      </c>
      <c r="P416" t="s">
        <v>281</v>
      </c>
      <c r="Q416" t="s">
        <v>155</v>
      </c>
      <c r="R416" t="s">
        <v>273</v>
      </c>
      <c r="S416" t="s">
        <v>355</v>
      </c>
      <c r="T416">
        <v>2</v>
      </c>
      <c r="U416" t="s">
        <v>414</v>
      </c>
      <c r="V416" t="s">
        <v>303</v>
      </c>
      <c r="W416" t="s">
        <v>415</v>
      </c>
      <c r="X416" t="s">
        <v>306</v>
      </c>
      <c r="Y416" t="s">
        <v>307</v>
      </c>
      <c r="Z416">
        <v>65</v>
      </c>
      <c r="AA416">
        <v>0</v>
      </c>
      <c r="AB416" t="s">
        <v>151</v>
      </c>
      <c r="AC416" t="s">
        <v>160</v>
      </c>
      <c r="AD416" t="s">
        <v>278</v>
      </c>
      <c r="AE416" t="str">
        <f>IF(AF416="","",VLOOKUP(AC416,mapel!$A$2:$B$42,2,FALSE))</f>
        <v/>
      </c>
      <c r="AF416" t="str">
        <f t="shared" si="18"/>
        <v/>
      </c>
      <c r="AG416" t="str">
        <f>IF(AF416="","",IF(AF416&gt;90,"Sangat baik",IF(AF416&gt;79,"Baik",IF(AF416&gt;=pub_gid_0_single_true_output_csv[[#This Row],[KKM]],"Cukup","Kurang"))))</f>
        <v/>
      </c>
      <c r="AH416" t="str">
        <f t="shared" si="19"/>
        <v/>
      </c>
      <c r="AI416" s="30" t="str">
        <f>IF(OR(J416&lt;&gt;"Karakter",pub_gid_0_single_true_output_csv[[#This Row],[Nilai2]]=""),"",IF(AF416&gt;89,"Sangat baik",IF(AF416&gt;79,"Baik",IF(AF416&gt;69,"Cukup",IF(AF416&gt;59,"Kurang","Sangat kurang")))))</f>
        <v/>
      </c>
      <c r="AJ416" t="str">
        <f t="shared" si="20"/>
        <v/>
      </c>
      <c r="AK416" t="str">
        <f>IF(pub_gid_0_single_true_output_csv[[#This Row],[Nilai2]]="","",VLOOKUP(pub_gid_0_single_true_output_csv[[#This Row],[NAMA]],Table7[],3,FALSE))</f>
        <v/>
      </c>
    </row>
    <row r="417" spans="1:37" x14ac:dyDescent="0.2">
      <c r="A417">
        <v>416</v>
      </c>
      <c r="B417" t="s">
        <v>282</v>
      </c>
      <c r="C417" t="s">
        <v>54</v>
      </c>
      <c r="D417" t="s">
        <v>283</v>
      </c>
      <c r="E417" t="s">
        <v>140</v>
      </c>
      <c r="F417" s="25">
        <v>46051</v>
      </c>
      <c r="G417" t="s">
        <v>320</v>
      </c>
      <c r="H417" t="s">
        <v>405</v>
      </c>
      <c r="I417" t="s">
        <v>371</v>
      </c>
      <c r="J417" t="s">
        <v>90</v>
      </c>
      <c r="K417" t="s">
        <v>377</v>
      </c>
      <c r="L417" t="s">
        <v>378</v>
      </c>
      <c r="M417" t="s">
        <v>141</v>
      </c>
      <c r="N417" t="s">
        <v>142</v>
      </c>
      <c r="O417" t="s">
        <v>155</v>
      </c>
      <c r="P417" t="s">
        <v>281</v>
      </c>
      <c r="Q417" t="s">
        <v>155</v>
      </c>
      <c r="R417" t="s">
        <v>273</v>
      </c>
      <c r="S417" t="s">
        <v>355</v>
      </c>
      <c r="T417">
        <v>2</v>
      </c>
      <c r="U417" t="s">
        <v>414</v>
      </c>
      <c r="V417" t="s">
        <v>303</v>
      </c>
      <c r="W417" t="s">
        <v>415</v>
      </c>
      <c r="X417" t="s">
        <v>306</v>
      </c>
      <c r="Y417" t="s">
        <v>307</v>
      </c>
      <c r="Z417">
        <v>65</v>
      </c>
      <c r="AA417">
        <v>25</v>
      </c>
      <c r="AB417" t="s">
        <v>151</v>
      </c>
      <c r="AC417" t="s">
        <v>160</v>
      </c>
      <c r="AD417" t="s">
        <v>278</v>
      </c>
      <c r="AE417" t="str">
        <f>IF(AF417="","",VLOOKUP(AC417,mapel!$A$2:$B$42,2,FALSE))</f>
        <v>B.Ing</v>
      </c>
      <c r="AF417">
        <f t="shared" si="18"/>
        <v>25</v>
      </c>
      <c r="AG417" t="str">
        <f>IF(AF417="","",IF(AF417&gt;90,"Sangat baik",IF(AF417&gt;79,"Baik",IF(AF417&gt;=pub_gid_0_single_true_output_csv[[#This Row],[KKM]],"Cukup","Kurang"))))</f>
        <v>Kurang</v>
      </c>
      <c r="AH417">
        <f t="shared" si="19"/>
        <v>11</v>
      </c>
      <c r="AI417" s="30" t="str">
        <f>IF(OR(J417&lt;&gt;"Karakter",pub_gid_0_single_true_output_csv[[#This Row],[Nilai2]]=""),"",IF(AF417&gt;89,"Sangat baik",IF(AF417&gt;79,"Baik",IF(AF417&gt;69,"Cukup",IF(AF417&gt;59,"Kurang","Sangat kurang")))))</f>
        <v>Sangat kurang</v>
      </c>
      <c r="AJ417" t="str">
        <f t="shared" si="20"/>
        <v>Wk.5</v>
      </c>
      <c r="AK417" t="e">
        <f>IF(pub_gid_0_single_true_output_csv[[#This Row],[Nilai2]]="","",VLOOKUP(pub_gid_0_single_true_output_csv[[#This Row],[NAMA]],Table7[],3,FALSE))</f>
        <v>#N/A</v>
      </c>
    </row>
    <row r="418" spans="1:37" x14ac:dyDescent="0.2">
      <c r="A418">
        <v>417</v>
      </c>
      <c r="B418" t="s">
        <v>282</v>
      </c>
      <c r="C418" t="s">
        <v>54</v>
      </c>
      <c r="D418" t="s">
        <v>283</v>
      </c>
      <c r="E418" t="s">
        <v>140</v>
      </c>
      <c r="F418" s="25">
        <v>46044</v>
      </c>
      <c r="G418" t="s">
        <v>305</v>
      </c>
      <c r="H418" t="s">
        <v>405</v>
      </c>
      <c r="I418" t="s">
        <v>371</v>
      </c>
      <c r="J418" t="s">
        <v>41</v>
      </c>
      <c r="K418" t="s">
        <v>365</v>
      </c>
      <c r="L418" t="s">
        <v>383</v>
      </c>
      <c r="M418" t="s">
        <v>141</v>
      </c>
      <c r="N418" t="s">
        <v>142</v>
      </c>
      <c r="O418" t="s">
        <v>155</v>
      </c>
      <c r="P418" t="s">
        <v>281</v>
      </c>
      <c r="Q418" t="s">
        <v>155</v>
      </c>
      <c r="R418" t="s">
        <v>273</v>
      </c>
      <c r="S418" t="s">
        <v>355</v>
      </c>
      <c r="T418">
        <v>2</v>
      </c>
      <c r="U418" t="s">
        <v>414</v>
      </c>
      <c r="V418" t="s">
        <v>303</v>
      </c>
      <c r="W418" t="s">
        <v>415</v>
      </c>
      <c r="X418" t="s">
        <v>306</v>
      </c>
      <c r="Y418" t="s">
        <v>307</v>
      </c>
      <c r="Z418">
        <v>65</v>
      </c>
      <c r="AA418">
        <v>32</v>
      </c>
      <c r="AB418" t="s">
        <v>151</v>
      </c>
      <c r="AC418" t="s">
        <v>160</v>
      </c>
      <c r="AD418" t="s">
        <v>278</v>
      </c>
      <c r="AE418" t="str">
        <f>IF(AF418="","",VLOOKUP(AC418,mapel!$A$2:$B$42,2,FALSE))</f>
        <v>B.Ing</v>
      </c>
      <c r="AF418">
        <f t="shared" si="18"/>
        <v>32</v>
      </c>
      <c r="AG418" t="str">
        <f>IF(AF418="","",IF(AF418&gt;90,"Sangat baik",IF(AF418&gt;79,"Baik",IF(AF418&gt;=pub_gid_0_single_true_output_csv[[#This Row],[KKM]],"Cukup","Kurang"))))</f>
        <v>Kurang</v>
      </c>
      <c r="AH418">
        <f t="shared" si="19"/>
        <v>11</v>
      </c>
      <c r="AI418" s="30" t="str">
        <f>IF(OR(J418&lt;&gt;"Karakter",pub_gid_0_single_true_output_csv[[#This Row],[Nilai2]]=""),"",IF(AF418&gt;89,"Sangat baik",IF(AF418&gt;79,"Baik",IF(AF418&gt;69,"Cukup",IF(AF418&gt;59,"Kurang","Sangat kurang")))))</f>
        <v/>
      </c>
      <c r="AJ418" t="str">
        <f t="shared" si="20"/>
        <v>Wk.4</v>
      </c>
      <c r="AK418" t="e">
        <f>IF(pub_gid_0_single_true_output_csv[[#This Row],[Nilai2]]="","",VLOOKUP(pub_gid_0_single_true_output_csv[[#This Row],[NAMA]],Table7[],3,FALSE))</f>
        <v>#N/A</v>
      </c>
    </row>
    <row r="419" spans="1:37" x14ac:dyDescent="0.2">
      <c r="A419">
        <v>418</v>
      </c>
      <c r="B419" t="s">
        <v>282</v>
      </c>
      <c r="C419" t="s">
        <v>54</v>
      </c>
      <c r="D419" t="s">
        <v>283</v>
      </c>
      <c r="E419" t="s">
        <v>140</v>
      </c>
      <c r="F419" s="25">
        <v>46044</v>
      </c>
      <c r="G419" t="s">
        <v>305</v>
      </c>
      <c r="H419" t="s">
        <v>405</v>
      </c>
      <c r="I419" t="s">
        <v>371</v>
      </c>
      <c r="J419" t="s">
        <v>36</v>
      </c>
      <c r="K419" t="s">
        <v>37</v>
      </c>
      <c r="L419" t="s">
        <v>321</v>
      </c>
      <c r="M419" t="s">
        <v>141</v>
      </c>
      <c r="N419" t="s">
        <v>142</v>
      </c>
      <c r="O419" t="s">
        <v>155</v>
      </c>
      <c r="P419" t="s">
        <v>281</v>
      </c>
      <c r="Q419" t="s">
        <v>155</v>
      </c>
      <c r="R419" t="s">
        <v>273</v>
      </c>
      <c r="S419" t="s">
        <v>355</v>
      </c>
      <c r="T419">
        <v>2</v>
      </c>
      <c r="U419" t="s">
        <v>414</v>
      </c>
      <c r="V419" t="s">
        <v>303</v>
      </c>
      <c r="W419" t="s">
        <v>415</v>
      </c>
      <c r="X419" t="s">
        <v>306</v>
      </c>
      <c r="Y419" t="s">
        <v>307</v>
      </c>
      <c r="Z419">
        <v>65</v>
      </c>
      <c r="AA419">
        <v>32</v>
      </c>
      <c r="AB419" t="s">
        <v>151</v>
      </c>
      <c r="AC419" t="s">
        <v>160</v>
      </c>
      <c r="AD419" t="s">
        <v>278</v>
      </c>
      <c r="AE419" t="str">
        <f>IF(AF419="","",VLOOKUP(AC419,mapel!$A$2:$B$42,2,FALSE))</f>
        <v>B.Ing</v>
      </c>
      <c r="AF419">
        <f t="shared" si="18"/>
        <v>32</v>
      </c>
      <c r="AG419" t="str">
        <f>IF(AF419="","",IF(AF419&gt;90,"Sangat baik",IF(AF419&gt;79,"Baik",IF(AF419&gt;=pub_gid_0_single_true_output_csv[[#This Row],[KKM]],"Cukup","Kurang"))))</f>
        <v>Kurang</v>
      </c>
      <c r="AH419">
        <f t="shared" si="19"/>
        <v>11</v>
      </c>
      <c r="AI419" s="30" t="str">
        <f>IF(OR(J419&lt;&gt;"Karakter",pub_gid_0_single_true_output_csv[[#This Row],[Nilai2]]=""),"",IF(AF419&gt;89,"Sangat baik",IF(AF419&gt;79,"Baik",IF(AF419&gt;69,"Cukup",IF(AF419&gt;59,"Kurang","Sangat kurang")))))</f>
        <v/>
      </c>
      <c r="AJ419" t="str">
        <f t="shared" si="20"/>
        <v>Wk.4</v>
      </c>
      <c r="AK419" t="e">
        <f>IF(pub_gid_0_single_true_output_csv[[#This Row],[Nilai2]]="","",VLOOKUP(pub_gid_0_single_true_output_csv[[#This Row],[NAMA]],Table7[],3,FALSE))</f>
        <v>#N/A</v>
      </c>
    </row>
    <row r="420" spans="1:37" x14ac:dyDescent="0.2">
      <c r="A420">
        <v>419</v>
      </c>
      <c r="B420" t="s">
        <v>282</v>
      </c>
      <c r="C420" t="s">
        <v>54</v>
      </c>
      <c r="D420" t="s">
        <v>283</v>
      </c>
      <c r="E420" t="s">
        <v>140</v>
      </c>
      <c r="F420" s="25">
        <v>46044</v>
      </c>
      <c r="G420" t="s">
        <v>305</v>
      </c>
      <c r="H420" t="s">
        <v>405</v>
      </c>
      <c r="I420" t="s">
        <v>371</v>
      </c>
      <c r="J420" t="s">
        <v>31</v>
      </c>
      <c r="K420" t="s">
        <v>32</v>
      </c>
      <c r="L420" t="s">
        <v>321</v>
      </c>
      <c r="M420" t="s">
        <v>141</v>
      </c>
      <c r="N420" t="s">
        <v>142</v>
      </c>
      <c r="O420" t="s">
        <v>155</v>
      </c>
      <c r="P420" t="s">
        <v>281</v>
      </c>
      <c r="Q420" t="s">
        <v>155</v>
      </c>
      <c r="R420" t="s">
        <v>273</v>
      </c>
      <c r="S420" t="s">
        <v>355</v>
      </c>
      <c r="T420">
        <v>2</v>
      </c>
      <c r="U420" t="s">
        <v>414</v>
      </c>
      <c r="V420" t="s">
        <v>303</v>
      </c>
      <c r="W420" t="s">
        <v>415</v>
      </c>
      <c r="X420" t="s">
        <v>306</v>
      </c>
      <c r="Y420" t="s">
        <v>307</v>
      </c>
      <c r="Z420">
        <v>65</v>
      </c>
      <c r="AA420">
        <v>32</v>
      </c>
      <c r="AB420" t="s">
        <v>151</v>
      </c>
      <c r="AC420" t="s">
        <v>160</v>
      </c>
      <c r="AD420" t="s">
        <v>278</v>
      </c>
      <c r="AE420" t="str">
        <f>IF(AF420="","",VLOOKUP(AC420,mapel!$A$2:$B$42,2,FALSE))</f>
        <v>B.Ing</v>
      </c>
      <c r="AF420">
        <f t="shared" si="18"/>
        <v>32</v>
      </c>
      <c r="AG420" t="str">
        <f>IF(AF420="","",IF(AF420&gt;90,"Sangat baik",IF(AF420&gt;79,"Baik",IF(AF420&gt;=pub_gid_0_single_true_output_csv[[#This Row],[KKM]],"Cukup","Kurang"))))</f>
        <v>Kurang</v>
      </c>
      <c r="AH420">
        <f t="shared" si="19"/>
        <v>11</v>
      </c>
      <c r="AI420" s="30" t="str">
        <f>IF(OR(J420&lt;&gt;"Karakter",pub_gid_0_single_true_output_csv[[#This Row],[Nilai2]]=""),"",IF(AF420&gt;89,"Sangat baik",IF(AF420&gt;79,"Baik",IF(AF420&gt;69,"Cukup",IF(AF420&gt;59,"Kurang","Sangat kurang")))))</f>
        <v/>
      </c>
      <c r="AJ420" t="str">
        <f t="shared" si="20"/>
        <v>Wk.4</v>
      </c>
      <c r="AK420" t="e">
        <f>IF(pub_gid_0_single_true_output_csv[[#This Row],[Nilai2]]="","",VLOOKUP(pub_gid_0_single_true_output_csv[[#This Row],[NAMA]],Table7[],3,FALSE))</f>
        <v>#N/A</v>
      </c>
    </row>
    <row r="421" spans="1:37" x14ac:dyDescent="0.2">
      <c r="A421">
        <v>420</v>
      </c>
      <c r="B421" t="s">
        <v>282</v>
      </c>
      <c r="C421" t="s">
        <v>54</v>
      </c>
      <c r="D421" t="s">
        <v>283</v>
      </c>
      <c r="E421" t="s">
        <v>140</v>
      </c>
      <c r="F421" s="25">
        <v>46065</v>
      </c>
      <c r="G421" t="s">
        <v>354</v>
      </c>
      <c r="H421" t="s">
        <v>412</v>
      </c>
      <c r="I421" t="s">
        <v>371</v>
      </c>
      <c r="J421" t="s">
        <v>36</v>
      </c>
      <c r="K421" t="s">
        <v>37</v>
      </c>
      <c r="L421" t="s">
        <v>324</v>
      </c>
      <c r="M421" t="s">
        <v>141</v>
      </c>
      <c r="N421" t="s">
        <v>142</v>
      </c>
      <c r="O421" t="s">
        <v>155</v>
      </c>
      <c r="P421" t="s">
        <v>281</v>
      </c>
      <c r="Q421" t="s">
        <v>155</v>
      </c>
      <c r="R421" t="s">
        <v>273</v>
      </c>
      <c r="S421" t="s">
        <v>355</v>
      </c>
      <c r="T421">
        <v>2</v>
      </c>
      <c r="U421" t="s">
        <v>414</v>
      </c>
      <c r="V421" t="s">
        <v>303</v>
      </c>
      <c r="W421" t="s">
        <v>415</v>
      </c>
      <c r="X421" t="s">
        <v>306</v>
      </c>
      <c r="Y421" t="s">
        <v>307</v>
      </c>
      <c r="Z421">
        <v>65</v>
      </c>
      <c r="AA421">
        <v>0</v>
      </c>
      <c r="AB421" t="s">
        <v>151</v>
      </c>
      <c r="AC421" t="s">
        <v>160</v>
      </c>
      <c r="AD421" t="s">
        <v>278</v>
      </c>
      <c r="AE421" t="str">
        <f>IF(AF421="","",VLOOKUP(AC421,mapel!$A$2:$B$42,2,FALSE))</f>
        <v/>
      </c>
      <c r="AF421" t="str">
        <f t="shared" si="18"/>
        <v/>
      </c>
      <c r="AG421" t="str">
        <f>IF(AF421="","",IF(AF421&gt;90,"Sangat baik",IF(AF421&gt;79,"Baik",IF(AF421&gt;=pub_gid_0_single_true_output_csv[[#This Row],[KKM]],"Cukup","Kurang"))))</f>
        <v/>
      </c>
      <c r="AH421" t="str">
        <f t="shared" si="19"/>
        <v/>
      </c>
      <c r="AI421" s="30" t="str">
        <f>IF(OR(J421&lt;&gt;"Karakter",pub_gid_0_single_true_output_csv[[#This Row],[Nilai2]]=""),"",IF(AF421&gt;89,"Sangat baik",IF(AF421&gt;79,"Baik",IF(AF421&gt;69,"Cukup",IF(AF421&gt;59,"Kurang","Sangat kurang")))))</f>
        <v/>
      </c>
      <c r="AJ421" t="str">
        <f t="shared" si="20"/>
        <v/>
      </c>
      <c r="AK421" t="str">
        <f>IF(pub_gid_0_single_true_output_csv[[#This Row],[Nilai2]]="","",VLOOKUP(pub_gid_0_single_true_output_csv[[#This Row],[NAMA]],Table7[],3,FALSE))</f>
        <v/>
      </c>
    </row>
    <row r="422" spans="1:37" x14ac:dyDescent="0.2">
      <c r="A422">
        <v>421</v>
      </c>
      <c r="B422" t="s">
        <v>282</v>
      </c>
      <c r="C422" t="s">
        <v>54</v>
      </c>
      <c r="D422" t="s">
        <v>283</v>
      </c>
      <c r="E422" t="s">
        <v>140</v>
      </c>
      <c r="F422" s="25">
        <v>46065</v>
      </c>
      <c r="G422" t="s">
        <v>354</v>
      </c>
      <c r="H422" t="s">
        <v>412</v>
      </c>
      <c r="I422" t="s">
        <v>371</v>
      </c>
      <c r="J422" t="s">
        <v>36</v>
      </c>
      <c r="K422" t="s">
        <v>37</v>
      </c>
      <c r="L422" t="s">
        <v>150</v>
      </c>
      <c r="M422" t="s">
        <v>141</v>
      </c>
      <c r="N422" t="s">
        <v>142</v>
      </c>
      <c r="O422" t="s">
        <v>155</v>
      </c>
      <c r="P422" t="s">
        <v>281</v>
      </c>
      <c r="Q422" t="s">
        <v>155</v>
      </c>
      <c r="R422" t="s">
        <v>273</v>
      </c>
      <c r="S422" t="s">
        <v>355</v>
      </c>
      <c r="T422">
        <v>2</v>
      </c>
      <c r="U422" t="s">
        <v>414</v>
      </c>
      <c r="V422" t="s">
        <v>303</v>
      </c>
      <c r="W422" t="s">
        <v>415</v>
      </c>
      <c r="X422" t="s">
        <v>306</v>
      </c>
      <c r="Y422" t="s">
        <v>307</v>
      </c>
      <c r="Z422">
        <v>65</v>
      </c>
      <c r="AA422">
        <v>0</v>
      </c>
      <c r="AB422" t="s">
        <v>151</v>
      </c>
      <c r="AC422" t="s">
        <v>160</v>
      </c>
      <c r="AD422" t="s">
        <v>278</v>
      </c>
      <c r="AE422" t="str">
        <f>IF(AF422="","",VLOOKUP(AC422,mapel!$A$2:$B$42,2,FALSE))</f>
        <v/>
      </c>
      <c r="AF422" t="str">
        <f t="shared" si="18"/>
        <v/>
      </c>
      <c r="AG422" t="str">
        <f>IF(AF422="","",IF(AF422&gt;90,"Sangat baik",IF(AF422&gt;79,"Baik",IF(AF422&gt;=pub_gid_0_single_true_output_csv[[#This Row],[KKM]],"Cukup","Kurang"))))</f>
        <v/>
      </c>
      <c r="AH422" t="str">
        <f t="shared" si="19"/>
        <v/>
      </c>
      <c r="AI422" s="30" t="str">
        <f>IF(OR(J422&lt;&gt;"Karakter",pub_gid_0_single_true_output_csv[[#This Row],[Nilai2]]=""),"",IF(AF422&gt;89,"Sangat baik",IF(AF422&gt;79,"Baik",IF(AF422&gt;69,"Cukup",IF(AF422&gt;59,"Kurang","Sangat kurang")))))</f>
        <v/>
      </c>
      <c r="AJ422" t="str">
        <f t="shared" si="20"/>
        <v/>
      </c>
      <c r="AK422" t="str">
        <f>IF(pub_gid_0_single_true_output_csv[[#This Row],[Nilai2]]="","",VLOOKUP(pub_gid_0_single_true_output_csv[[#This Row],[NAMA]],Table7[],3,FALSE))</f>
        <v/>
      </c>
    </row>
    <row r="423" spans="1:37" x14ac:dyDescent="0.2">
      <c r="A423">
        <v>422</v>
      </c>
      <c r="B423" t="s">
        <v>282</v>
      </c>
      <c r="C423" t="s">
        <v>54</v>
      </c>
      <c r="D423" t="s">
        <v>283</v>
      </c>
      <c r="E423" t="s">
        <v>140</v>
      </c>
      <c r="F423" s="25">
        <v>46065</v>
      </c>
      <c r="G423" t="s">
        <v>354</v>
      </c>
      <c r="H423" t="s">
        <v>412</v>
      </c>
      <c r="I423" t="s">
        <v>371</v>
      </c>
      <c r="J423" t="s">
        <v>41</v>
      </c>
      <c r="K423" t="s">
        <v>365</v>
      </c>
      <c r="L423" t="s">
        <v>150</v>
      </c>
      <c r="M423" t="s">
        <v>141</v>
      </c>
      <c r="N423" t="s">
        <v>142</v>
      </c>
      <c r="O423" t="s">
        <v>155</v>
      </c>
      <c r="P423" t="s">
        <v>281</v>
      </c>
      <c r="Q423" t="s">
        <v>155</v>
      </c>
      <c r="R423" t="s">
        <v>273</v>
      </c>
      <c r="S423" t="s">
        <v>355</v>
      </c>
      <c r="T423">
        <v>2</v>
      </c>
      <c r="U423" t="s">
        <v>414</v>
      </c>
      <c r="V423" t="s">
        <v>303</v>
      </c>
      <c r="W423" t="s">
        <v>415</v>
      </c>
      <c r="X423" t="s">
        <v>306</v>
      </c>
      <c r="Y423" t="s">
        <v>307</v>
      </c>
      <c r="Z423">
        <v>65</v>
      </c>
      <c r="AA423">
        <v>0</v>
      </c>
      <c r="AB423" t="s">
        <v>151</v>
      </c>
      <c r="AC423" t="s">
        <v>160</v>
      </c>
      <c r="AD423" t="s">
        <v>278</v>
      </c>
      <c r="AE423" t="str">
        <f>IF(AF423="","",VLOOKUP(AC423,mapel!$A$2:$B$42,2,FALSE))</f>
        <v/>
      </c>
      <c r="AF423" t="str">
        <f t="shared" si="18"/>
        <v/>
      </c>
      <c r="AG423" t="str">
        <f>IF(AF423="","",IF(AF423&gt;90,"Sangat baik",IF(AF423&gt;79,"Baik",IF(AF423&gt;=pub_gid_0_single_true_output_csv[[#This Row],[KKM]],"Cukup","Kurang"))))</f>
        <v/>
      </c>
      <c r="AH423" t="str">
        <f t="shared" si="19"/>
        <v/>
      </c>
      <c r="AI423" s="30" t="str">
        <f>IF(OR(J423&lt;&gt;"Karakter",pub_gid_0_single_true_output_csv[[#This Row],[Nilai2]]=""),"",IF(AF423&gt;89,"Sangat baik",IF(AF423&gt;79,"Baik",IF(AF423&gt;69,"Cukup",IF(AF423&gt;59,"Kurang","Sangat kurang")))))</f>
        <v/>
      </c>
      <c r="AJ423" t="str">
        <f t="shared" si="20"/>
        <v/>
      </c>
      <c r="AK423" t="str">
        <f>IF(pub_gid_0_single_true_output_csv[[#This Row],[Nilai2]]="","",VLOOKUP(pub_gid_0_single_true_output_csv[[#This Row],[NAMA]],Table7[],3,FALSE))</f>
        <v/>
      </c>
    </row>
    <row r="424" spans="1:37" x14ac:dyDescent="0.2">
      <c r="A424">
        <v>423</v>
      </c>
      <c r="B424" t="s">
        <v>282</v>
      </c>
      <c r="C424" t="s">
        <v>54</v>
      </c>
      <c r="D424" t="s">
        <v>283</v>
      </c>
      <c r="E424" t="s">
        <v>140</v>
      </c>
      <c r="F424" s="25">
        <v>46071</v>
      </c>
      <c r="G424" t="s">
        <v>323</v>
      </c>
      <c r="H424" t="s">
        <v>412</v>
      </c>
      <c r="I424" t="s">
        <v>371</v>
      </c>
      <c r="J424" t="s">
        <v>41</v>
      </c>
      <c r="K424" t="s">
        <v>365</v>
      </c>
      <c r="L424" t="s">
        <v>383</v>
      </c>
      <c r="M424" t="s">
        <v>141</v>
      </c>
      <c r="N424" t="s">
        <v>142</v>
      </c>
      <c r="O424" t="s">
        <v>155</v>
      </c>
      <c r="P424" t="s">
        <v>281</v>
      </c>
      <c r="Q424" t="s">
        <v>155</v>
      </c>
      <c r="R424" t="s">
        <v>273</v>
      </c>
      <c r="S424" t="s">
        <v>355</v>
      </c>
      <c r="T424">
        <v>2</v>
      </c>
      <c r="U424" t="s">
        <v>414</v>
      </c>
      <c r="V424" t="s">
        <v>303</v>
      </c>
      <c r="W424" t="s">
        <v>415</v>
      </c>
      <c r="X424" t="s">
        <v>306</v>
      </c>
      <c r="Y424" t="s">
        <v>307</v>
      </c>
      <c r="Z424">
        <v>65</v>
      </c>
      <c r="AA424">
        <v>0</v>
      </c>
      <c r="AB424" t="s">
        <v>151</v>
      </c>
      <c r="AC424" t="s">
        <v>160</v>
      </c>
      <c r="AD424" t="s">
        <v>278</v>
      </c>
      <c r="AE424" t="str">
        <f>IF(AF424="","",VLOOKUP(AC424,mapel!$A$2:$B$42,2,FALSE))</f>
        <v/>
      </c>
      <c r="AF424" t="str">
        <f t="shared" si="18"/>
        <v/>
      </c>
      <c r="AG424" t="str">
        <f>IF(AF424="","",IF(AF424&gt;90,"Sangat baik",IF(AF424&gt;79,"Baik",IF(AF424&gt;=pub_gid_0_single_true_output_csv[[#This Row],[KKM]],"Cukup","Kurang"))))</f>
        <v/>
      </c>
      <c r="AH424" t="str">
        <f t="shared" si="19"/>
        <v/>
      </c>
      <c r="AI424" s="30" t="str">
        <f>IF(OR(J424&lt;&gt;"Karakter",pub_gid_0_single_true_output_csv[[#This Row],[Nilai2]]=""),"",IF(AF424&gt;89,"Sangat baik",IF(AF424&gt;79,"Baik",IF(AF424&gt;69,"Cukup",IF(AF424&gt;59,"Kurang","Sangat kurang")))))</f>
        <v/>
      </c>
      <c r="AJ424" t="str">
        <f t="shared" si="20"/>
        <v/>
      </c>
      <c r="AK424" t="str">
        <f>IF(pub_gid_0_single_true_output_csv[[#This Row],[Nilai2]]="","",VLOOKUP(pub_gid_0_single_true_output_csv[[#This Row],[NAMA]],Table7[],3,FALSE))</f>
        <v/>
      </c>
    </row>
    <row r="425" spans="1:37" x14ac:dyDescent="0.2">
      <c r="A425">
        <v>424</v>
      </c>
      <c r="B425" t="s">
        <v>282</v>
      </c>
      <c r="C425" t="s">
        <v>54</v>
      </c>
      <c r="D425" t="s">
        <v>283</v>
      </c>
      <c r="E425" t="s">
        <v>140</v>
      </c>
      <c r="F425" s="25">
        <v>46071</v>
      </c>
      <c r="G425" t="s">
        <v>323</v>
      </c>
      <c r="H425" t="s">
        <v>412</v>
      </c>
      <c r="I425" t="s">
        <v>371</v>
      </c>
      <c r="J425" t="s">
        <v>36</v>
      </c>
      <c r="K425" t="s">
        <v>37</v>
      </c>
      <c r="L425" t="s">
        <v>383</v>
      </c>
      <c r="M425" t="s">
        <v>141</v>
      </c>
      <c r="N425" t="s">
        <v>142</v>
      </c>
      <c r="O425" t="s">
        <v>155</v>
      </c>
      <c r="P425" t="s">
        <v>281</v>
      </c>
      <c r="Q425" t="s">
        <v>155</v>
      </c>
      <c r="R425" t="s">
        <v>273</v>
      </c>
      <c r="S425" t="s">
        <v>355</v>
      </c>
      <c r="T425">
        <v>2</v>
      </c>
      <c r="U425" t="s">
        <v>414</v>
      </c>
      <c r="V425" t="s">
        <v>303</v>
      </c>
      <c r="W425" t="s">
        <v>415</v>
      </c>
      <c r="X425" t="s">
        <v>306</v>
      </c>
      <c r="Y425" t="s">
        <v>307</v>
      </c>
      <c r="Z425">
        <v>65</v>
      </c>
      <c r="AA425">
        <v>0</v>
      </c>
      <c r="AB425" t="s">
        <v>151</v>
      </c>
      <c r="AC425" t="s">
        <v>160</v>
      </c>
      <c r="AD425" t="s">
        <v>278</v>
      </c>
      <c r="AE425" t="str">
        <f>IF(AF425="","",VLOOKUP(AC425,mapel!$A$2:$B$42,2,FALSE))</f>
        <v/>
      </c>
      <c r="AF425" t="str">
        <f t="shared" si="18"/>
        <v/>
      </c>
      <c r="AG425" t="str">
        <f>IF(AF425="","",IF(AF425&gt;90,"Sangat baik",IF(AF425&gt;79,"Baik",IF(AF425&gt;=pub_gid_0_single_true_output_csv[[#This Row],[KKM]],"Cukup","Kurang"))))</f>
        <v/>
      </c>
      <c r="AH425" t="str">
        <f t="shared" si="19"/>
        <v/>
      </c>
      <c r="AI425" s="30" t="str">
        <f>IF(OR(J425&lt;&gt;"Karakter",pub_gid_0_single_true_output_csv[[#This Row],[Nilai2]]=""),"",IF(AF425&gt;89,"Sangat baik",IF(AF425&gt;79,"Baik",IF(AF425&gt;69,"Cukup",IF(AF425&gt;59,"Kurang","Sangat kurang")))))</f>
        <v/>
      </c>
      <c r="AJ425" t="str">
        <f t="shared" si="20"/>
        <v/>
      </c>
      <c r="AK425" t="str">
        <f>IF(pub_gid_0_single_true_output_csv[[#This Row],[Nilai2]]="","",VLOOKUP(pub_gid_0_single_true_output_csv[[#This Row],[NAMA]],Table7[],3,FALSE))</f>
        <v/>
      </c>
    </row>
    <row r="426" spans="1:37" x14ac:dyDescent="0.2">
      <c r="A426">
        <v>425</v>
      </c>
      <c r="B426" t="s">
        <v>292</v>
      </c>
      <c r="C426" t="s">
        <v>54</v>
      </c>
      <c r="D426" t="s">
        <v>94</v>
      </c>
      <c r="E426" t="s">
        <v>147</v>
      </c>
      <c r="F426" s="25">
        <v>46030</v>
      </c>
      <c r="G426" t="s">
        <v>347</v>
      </c>
      <c r="H426" t="s">
        <v>405</v>
      </c>
      <c r="I426" t="s">
        <v>371</v>
      </c>
      <c r="J426" t="s">
        <v>36</v>
      </c>
      <c r="K426" t="s">
        <v>37</v>
      </c>
      <c r="L426" t="s">
        <v>321</v>
      </c>
      <c r="M426" t="s">
        <v>141</v>
      </c>
      <c r="N426" t="s">
        <v>142</v>
      </c>
      <c r="O426" t="s">
        <v>155</v>
      </c>
      <c r="P426" t="s">
        <v>281</v>
      </c>
      <c r="Q426" t="s">
        <v>155</v>
      </c>
      <c r="R426" t="s">
        <v>273</v>
      </c>
      <c r="S426" t="s">
        <v>355</v>
      </c>
      <c r="T426">
        <v>2</v>
      </c>
      <c r="U426" t="s">
        <v>414</v>
      </c>
      <c r="V426" t="s">
        <v>303</v>
      </c>
      <c r="W426" t="s">
        <v>415</v>
      </c>
      <c r="X426" t="s">
        <v>306</v>
      </c>
      <c r="Y426" t="s">
        <v>307</v>
      </c>
      <c r="Z426">
        <v>65</v>
      </c>
      <c r="AA426">
        <v>100</v>
      </c>
      <c r="AB426" t="s">
        <v>143</v>
      </c>
      <c r="AC426" t="s">
        <v>160</v>
      </c>
      <c r="AD426" t="s">
        <v>278</v>
      </c>
      <c r="AE426" t="str">
        <f>IF(AF426="","",VLOOKUP(AC426,mapel!$A$2:$B$42,2,FALSE))</f>
        <v>B.Ing</v>
      </c>
      <c r="AF426">
        <f t="shared" si="18"/>
        <v>100</v>
      </c>
      <c r="AG426" t="str">
        <f>IF(AF426="","",IF(AF426&gt;90,"Sangat baik",IF(AF426&gt;79,"Baik",IF(AF426&gt;=pub_gid_0_single_true_output_csv[[#This Row],[KKM]],"Cukup","Kurang"))))</f>
        <v>Sangat baik</v>
      </c>
      <c r="AH426">
        <f t="shared" si="19"/>
        <v>11</v>
      </c>
      <c r="AI426" s="30" t="str">
        <f>IF(OR(J426&lt;&gt;"Karakter",pub_gid_0_single_true_output_csv[[#This Row],[Nilai2]]=""),"",IF(AF426&gt;89,"Sangat baik",IF(AF426&gt;79,"Baik",IF(AF426&gt;69,"Cukup",IF(AF426&gt;59,"Kurang","Sangat kurang")))))</f>
        <v/>
      </c>
      <c r="AJ426" t="str">
        <f t="shared" si="20"/>
        <v>Wk.2</v>
      </c>
      <c r="AK426" t="str">
        <f>IF(pub_gid_0_single_true_output_csv[[#This Row],[Nilai2]]="","",VLOOKUP(pub_gid_0_single_true_output_csv[[#This Row],[NAMA]],Table7[],3,FALSE))</f>
        <v>Average</v>
      </c>
    </row>
    <row r="427" spans="1:37" x14ac:dyDescent="0.2">
      <c r="A427">
        <v>426</v>
      </c>
      <c r="B427" t="s">
        <v>292</v>
      </c>
      <c r="C427" t="s">
        <v>54</v>
      </c>
      <c r="D427" t="s">
        <v>94</v>
      </c>
      <c r="E427" t="s">
        <v>147</v>
      </c>
      <c r="F427" s="25">
        <v>46030</v>
      </c>
      <c r="G427" t="s">
        <v>347</v>
      </c>
      <c r="H427" t="s">
        <v>405</v>
      </c>
      <c r="I427" t="s">
        <v>371</v>
      </c>
      <c r="J427" t="s">
        <v>41</v>
      </c>
      <c r="K427" t="s">
        <v>157</v>
      </c>
      <c r="L427" t="s">
        <v>395</v>
      </c>
      <c r="M427" t="s">
        <v>141</v>
      </c>
      <c r="N427" t="s">
        <v>142</v>
      </c>
      <c r="O427" t="s">
        <v>155</v>
      </c>
      <c r="P427" t="s">
        <v>281</v>
      </c>
      <c r="Q427" t="s">
        <v>155</v>
      </c>
      <c r="R427" t="s">
        <v>273</v>
      </c>
      <c r="S427" t="s">
        <v>355</v>
      </c>
      <c r="T427">
        <v>2</v>
      </c>
      <c r="U427" t="s">
        <v>414</v>
      </c>
      <c r="V427" t="s">
        <v>303</v>
      </c>
      <c r="W427" t="s">
        <v>415</v>
      </c>
      <c r="X427" t="s">
        <v>306</v>
      </c>
      <c r="Y427" t="s">
        <v>307</v>
      </c>
      <c r="Z427">
        <v>65</v>
      </c>
      <c r="AA427">
        <v>100</v>
      </c>
      <c r="AB427" t="s">
        <v>143</v>
      </c>
      <c r="AC427" t="s">
        <v>160</v>
      </c>
      <c r="AD427" t="s">
        <v>278</v>
      </c>
      <c r="AE427" t="str">
        <f>IF(AF427="","",VLOOKUP(AC427,mapel!$A$2:$B$42,2,FALSE))</f>
        <v>B.Ing</v>
      </c>
      <c r="AF427">
        <f t="shared" si="18"/>
        <v>100</v>
      </c>
      <c r="AG427" t="str">
        <f>IF(AF427="","",IF(AF427&gt;90,"Sangat baik",IF(AF427&gt;79,"Baik",IF(AF427&gt;=pub_gid_0_single_true_output_csv[[#This Row],[KKM]],"Cukup","Kurang"))))</f>
        <v>Sangat baik</v>
      </c>
      <c r="AH427">
        <f t="shared" si="19"/>
        <v>11</v>
      </c>
      <c r="AI427" s="30" t="str">
        <f>IF(OR(J427&lt;&gt;"Karakter",pub_gid_0_single_true_output_csv[[#This Row],[Nilai2]]=""),"",IF(AF427&gt;89,"Sangat baik",IF(AF427&gt;79,"Baik",IF(AF427&gt;69,"Cukup",IF(AF427&gt;59,"Kurang","Sangat kurang")))))</f>
        <v/>
      </c>
      <c r="AJ427" t="str">
        <f t="shared" si="20"/>
        <v>Wk.2</v>
      </c>
      <c r="AK427" t="str">
        <f>IF(pub_gid_0_single_true_output_csv[[#This Row],[Nilai2]]="","",VLOOKUP(pub_gid_0_single_true_output_csv[[#This Row],[NAMA]],Table7[],3,FALSE))</f>
        <v>Average</v>
      </c>
    </row>
    <row r="428" spans="1:37" x14ac:dyDescent="0.2">
      <c r="A428">
        <v>427</v>
      </c>
      <c r="B428" t="s">
        <v>292</v>
      </c>
      <c r="C428" t="s">
        <v>54</v>
      </c>
      <c r="D428" t="s">
        <v>94</v>
      </c>
      <c r="E428" t="s">
        <v>147</v>
      </c>
      <c r="F428" s="25">
        <v>46030</v>
      </c>
      <c r="G428" t="s">
        <v>347</v>
      </c>
      <c r="H428" t="s">
        <v>405</v>
      </c>
      <c r="I428" t="s">
        <v>371</v>
      </c>
      <c r="J428" t="s">
        <v>90</v>
      </c>
      <c r="K428" t="s">
        <v>92</v>
      </c>
      <c r="L428" t="s">
        <v>95</v>
      </c>
      <c r="M428" t="s">
        <v>141</v>
      </c>
      <c r="N428" t="s">
        <v>142</v>
      </c>
      <c r="O428" t="s">
        <v>155</v>
      </c>
      <c r="P428" t="s">
        <v>281</v>
      </c>
      <c r="Q428" t="s">
        <v>155</v>
      </c>
      <c r="R428" t="s">
        <v>273</v>
      </c>
      <c r="S428" t="s">
        <v>355</v>
      </c>
      <c r="T428">
        <v>2</v>
      </c>
      <c r="U428" t="s">
        <v>414</v>
      </c>
      <c r="V428" t="s">
        <v>303</v>
      </c>
      <c r="W428" t="s">
        <v>415</v>
      </c>
      <c r="X428" t="s">
        <v>306</v>
      </c>
      <c r="Y428" t="s">
        <v>307</v>
      </c>
      <c r="Z428">
        <v>65</v>
      </c>
      <c r="AA428">
        <v>90</v>
      </c>
      <c r="AB428" t="s">
        <v>143</v>
      </c>
      <c r="AC428" t="s">
        <v>160</v>
      </c>
      <c r="AD428" t="s">
        <v>278</v>
      </c>
      <c r="AE428" t="str">
        <f>IF(AF428="","",VLOOKUP(AC428,mapel!$A$2:$B$42,2,FALSE))</f>
        <v>B.Ing</v>
      </c>
      <c r="AF428">
        <f t="shared" si="18"/>
        <v>90</v>
      </c>
      <c r="AG428" t="str">
        <f>IF(AF428="","",IF(AF428&gt;90,"Sangat baik",IF(AF428&gt;79,"Baik",IF(AF428&gt;=pub_gid_0_single_true_output_csv[[#This Row],[KKM]],"Cukup","Kurang"))))</f>
        <v>Baik</v>
      </c>
      <c r="AH428">
        <f t="shared" si="19"/>
        <v>11</v>
      </c>
      <c r="AI428" s="30" t="str">
        <f>IF(OR(J428&lt;&gt;"Karakter",pub_gid_0_single_true_output_csv[[#This Row],[Nilai2]]=""),"",IF(AF428&gt;89,"Sangat baik",IF(AF428&gt;79,"Baik",IF(AF428&gt;69,"Cukup",IF(AF428&gt;59,"Kurang","Sangat kurang")))))</f>
        <v>Sangat baik</v>
      </c>
      <c r="AJ428" t="str">
        <f t="shared" si="20"/>
        <v>Wk.2</v>
      </c>
      <c r="AK428" t="str">
        <f>IF(pub_gid_0_single_true_output_csv[[#This Row],[Nilai2]]="","",VLOOKUP(pub_gid_0_single_true_output_csv[[#This Row],[NAMA]],Table7[],3,FALSE))</f>
        <v>Average</v>
      </c>
    </row>
    <row r="429" spans="1:37" x14ac:dyDescent="0.2">
      <c r="A429">
        <v>428</v>
      </c>
      <c r="B429" t="s">
        <v>292</v>
      </c>
      <c r="C429" t="s">
        <v>54</v>
      </c>
      <c r="D429" t="s">
        <v>94</v>
      </c>
      <c r="E429" t="s">
        <v>147</v>
      </c>
      <c r="F429" s="25">
        <v>46051</v>
      </c>
      <c r="G429" t="s">
        <v>320</v>
      </c>
      <c r="H429" t="s">
        <v>405</v>
      </c>
      <c r="I429" t="s">
        <v>371</v>
      </c>
      <c r="J429" t="s">
        <v>36</v>
      </c>
      <c r="K429" t="s">
        <v>37</v>
      </c>
      <c r="L429" t="s">
        <v>324</v>
      </c>
      <c r="M429" t="s">
        <v>141</v>
      </c>
      <c r="N429" t="s">
        <v>142</v>
      </c>
      <c r="O429" t="s">
        <v>155</v>
      </c>
      <c r="P429" t="s">
        <v>281</v>
      </c>
      <c r="Q429" t="s">
        <v>155</v>
      </c>
      <c r="R429" t="s">
        <v>273</v>
      </c>
      <c r="S429" t="s">
        <v>355</v>
      </c>
      <c r="T429">
        <v>2</v>
      </c>
      <c r="U429" t="s">
        <v>414</v>
      </c>
      <c r="V429" t="s">
        <v>303</v>
      </c>
      <c r="W429" t="s">
        <v>415</v>
      </c>
      <c r="X429" t="s">
        <v>306</v>
      </c>
      <c r="Y429" t="s">
        <v>307</v>
      </c>
      <c r="Z429">
        <v>65</v>
      </c>
      <c r="AA429">
        <v>79</v>
      </c>
      <c r="AB429" t="s">
        <v>143</v>
      </c>
      <c r="AC429" t="s">
        <v>160</v>
      </c>
      <c r="AD429" t="s">
        <v>278</v>
      </c>
      <c r="AE429" t="str">
        <f>IF(AF429="","",VLOOKUP(AC429,mapel!$A$2:$B$42,2,FALSE))</f>
        <v>B.Ing</v>
      </c>
      <c r="AF429">
        <f t="shared" si="18"/>
        <v>79</v>
      </c>
      <c r="AG429" t="str">
        <f>IF(AF429="","",IF(AF429&gt;90,"Sangat baik",IF(AF429&gt;79,"Baik",IF(AF429&gt;=pub_gid_0_single_true_output_csv[[#This Row],[KKM]],"Cukup","Kurang"))))</f>
        <v>Cukup</v>
      </c>
      <c r="AH429">
        <f t="shared" si="19"/>
        <v>11</v>
      </c>
      <c r="AI429" s="30" t="str">
        <f>IF(OR(J429&lt;&gt;"Karakter",pub_gid_0_single_true_output_csv[[#This Row],[Nilai2]]=""),"",IF(AF429&gt;89,"Sangat baik",IF(AF429&gt;79,"Baik",IF(AF429&gt;69,"Cukup",IF(AF429&gt;59,"Kurang","Sangat kurang")))))</f>
        <v/>
      </c>
      <c r="AJ429" t="str">
        <f t="shared" si="20"/>
        <v>Wk.5</v>
      </c>
      <c r="AK429" t="str">
        <f>IF(pub_gid_0_single_true_output_csv[[#This Row],[Nilai2]]="","",VLOOKUP(pub_gid_0_single_true_output_csv[[#This Row],[NAMA]],Table7[],3,FALSE))</f>
        <v>Average</v>
      </c>
    </row>
    <row r="430" spans="1:37" x14ac:dyDescent="0.2">
      <c r="A430">
        <v>429</v>
      </c>
      <c r="B430" t="s">
        <v>292</v>
      </c>
      <c r="C430" t="s">
        <v>54</v>
      </c>
      <c r="D430" t="s">
        <v>94</v>
      </c>
      <c r="E430" t="s">
        <v>147</v>
      </c>
      <c r="F430" s="25">
        <v>46051</v>
      </c>
      <c r="G430" t="s">
        <v>320</v>
      </c>
      <c r="H430" t="s">
        <v>405</v>
      </c>
      <c r="I430" t="s">
        <v>371</v>
      </c>
      <c r="J430" t="s">
        <v>90</v>
      </c>
      <c r="K430" t="s">
        <v>377</v>
      </c>
      <c r="L430" t="s">
        <v>378</v>
      </c>
      <c r="M430" t="s">
        <v>141</v>
      </c>
      <c r="N430" t="s">
        <v>142</v>
      </c>
      <c r="O430" t="s">
        <v>155</v>
      </c>
      <c r="P430" t="s">
        <v>281</v>
      </c>
      <c r="Q430" t="s">
        <v>155</v>
      </c>
      <c r="R430" t="s">
        <v>273</v>
      </c>
      <c r="S430" t="s">
        <v>355</v>
      </c>
      <c r="T430">
        <v>2</v>
      </c>
      <c r="U430" t="s">
        <v>414</v>
      </c>
      <c r="V430" t="s">
        <v>303</v>
      </c>
      <c r="W430" t="s">
        <v>415</v>
      </c>
      <c r="X430" t="s">
        <v>306</v>
      </c>
      <c r="Y430" t="s">
        <v>307</v>
      </c>
      <c r="Z430">
        <v>65</v>
      </c>
      <c r="AA430">
        <v>100</v>
      </c>
      <c r="AB430" t="s">
        <v>143</v>
      </c>
      <c r="AC430" t="s">
        <v>160</v>
      </c>
      <c r="AD430" t="s">
        <v>278</v>
      </c>
      <c r="AE430" t="str">
        <f>IF(AF430="","",VLOOKUP(AC430,mapel!$A$2:$B$42,2,FALSE))</f>
        <v>B.Ing</v>
      </c>
      <c r="AF430">
        <f t="shared" si="18"/>
        <v>100</v>
      </c>
      <c r="AG430" t="str">
        <f>IF(AF430="","",IF(AF430&gt;90,"Sangat baik",IF(AF430&gt;79,"Baik",IF(AF430&gt;=pub_gid_0_single_true_output_csv[[#This Row],[KKM]],"Cukup","Kurang"))))</f>
        <v>Sangat baik</v>
      </c>
      <c r="AH430">
        <f t="shared" si="19"/>
        <v>11</v>
      </c>
      <c r="AI430" s="30" t="str">
        <f>IF(OR(J430&lt;&gt;"Karakter",pub_gid_0_single_true_output_csv[[#This Row],[Nilai2]]=""),"",IF(AF430&gt;89,"Sangat baik",IF(AF430&gt;79,"Baik",IF(AF430&gt;69,"Cukup",IF(AF430&gt;59,"Kurang","Sangat kurang")))))</f>
        <v>Sangat baik</v>
      </c>
      <c r="AJ430" t="str">
        <f t="shared" si="20"/>
        <v>Wk.5</v>
      </c>
      <c r="AK430" t="str">
        <f>IF(pub_gid_0_single_true_output_csv[[#This Row],[Nilai2]]="","",VLOOKUP(pub_gid_0_single_true_output_csv[[#This Row],[NAMA]],Table7[],3,FALSE))</f>
        <v>Average</v>
      </c>
    </row>
    <row r="431" spans="1:37" x14ac:dyDescent="0.2">
      <c r="A431">
        <v>430</v>
      </c>
      <c r="B431" t="s">
        <v>292</v>
      </c>
      <c r="C431" t="s">
        <v>54</v>
      </c>
      <c r="D431" t="s">
        <v>94</v>
      </c>
      <c r="E431" t="s">
        <v>147</v>
      </c>
      <c r="F431" s="25">
        <v>46044</v>
      </c>
      <c r="G431" t="s">
        <v>305</v>
      </c>
      <c r="H431" t="s">
        <v>405</v>
      </c>
      <c r="I431" t="s">
        <v>371</v>
      </c>
      <c r="J431" t="s">
        <v>41</v>
      </c>
      <c r="K431" t="s">
        <v>365</v>
      </c>
      <c r="L431" t="s">
        <v>383</v>
      </c>
      <c r="M431" t="s">
        <v>141</v>
      </c>
      <c r="N431" t="s">
        <v>142</v>
      </c>
      <c r="O431" t="s">
        <v>155</v>
      </c>
      <c r="P431" t="s">
        <v>281</v>
      </c>
      <c r="Q431" t="s">
        <v>155</v>
      </c>
      <c r="R431" t="s">
        <v>273</v>
      </c>
      <c r="S431" t="s">
        <v>355</v>
      </c>
      <c r="T431">
        <v>2</v>
      </c>
      <c r="U431" t="s">
        <v>414</v>
      </c>
      <c r="V431" t="s">
        <v>303</v>
      </c>
      <c r="W431" t="s">
        <v>415</v>
      </c>
      <c r="X431" t="s">
        <v>306</v>
      </c>
      <c r="Y431" t="s">
        <v>307</v>
      </c>
      <c r="Z431">
        <v>65</v>
      </c>
      <c r="AA431">
        <v>32</v>
      </c>
      <c r="AB431" t="s">
        <v>151</v>
      </c>
      <c r="AC431" t="s">
        <v>160</v>
      </c>
      <c r="AD431" t="s">
        <v>278</v>
      </c>
      <c r="AE431" t="str">
        <f>IF(AF431="","",VLOOKUP(AC431,mapel!$A$2:$B$42,2,FALSE))</f>
        <v>B.Ing</v>
      </c>
      <c r="AF431">
        <f t="shared" si="18"/>
        <v>32</v>
      </c>
      <c r="AG431" t="str">
        <f>IF(AF431="","",IF(AF431&gt;90,"Sangat baik",IF(AF431&gt;79,"Baik",IF(AF431&gt;=pub_gid_0_single_true_output_csv[[#This Row],[KKM]],"Cukup","Kurang"))))</f>
        <v>Kurang</v>
      </c>
      <c r="AH431">
        <f t="shared" si="19"/>
        <v>11</v>
      </c>
      <c r="AI431" s="30" t="str">
        <f>IF(OR(J431&lt;&gt;"Karakter",pub_gid_0_single_true_output_csv[[#This Row],[Nilai2]]=""),"",IF(AF431&gt;89,"Sangat baik",IF(AF431&gt;79,"Baik",IF(AF431&gt;69,"Cukup",IF(AF431&gt;59,"Kurang","Sangat kurang")))))</f>
        <v/>
      </c>
      <c r="AJ431" t="str">
        <f t="shared" si="20"/>
        <v>Wk.4</v>
      </c>
      <c r="AK431" t="str">
        <f>IF(pub_gid_0_single_true_output_csv[[#This Row],[Nilai2]]="","",VLOOKUP(pub_gid_0_single_true_output_csv[[#This Row],[NAMA]],Table7[],3,FALSE))</f>
        <v>Average</v>
      </c>
    </row>
    <row r="432" spans="1:37" x14ac:dyDescent="0.2">
      <c r="A432">
        <v>431</v>
      </c>
      <c r="B432" t="s">
        <v>292</v>
      </c>
      <c r="C432" t="s">
        <v>54</v>
      </c>
      <c r="D432" t="s">
        <v>94</v>
      </c>
      <c r="E432" t="s">
        <v>147</v>
      </c>
      <c r="F432" s="25">
        <v>46044</v>
      </c>
      <c r="G432" t="s">
        <v>305</v>
      </c>
      <c r="H432" t="s">
        <v>405</v>
      </c>
      <c r="I432" t="s">
        <v>371</v>
      </c>
      <c r="J432" t="s">
        <v>36</v>
      </c>
      <c r="K432" t="s">
        <v>37</v>
      </c>
      <c r="L432" t="s">
        <v>321</v>
      </c>
      <c r="M432" t="s">
        <v>141</v>
      </c>
      <c r="N432" t="s">
        <v>142</v>
      </c>
      <c r="O432" t="s">
        <v>155</v>
      </c>
      <c r="P432" t="s">
        <v>281</v>
      </c>
      <c r="Q432" t="s">
        <v>155</v>
      </c>
      <c r="R432" t="s">
        <v>273</v>
      </c>
      <c r="S432" t="s">
        <v>355</v>
      </c>
      <c r="T432">
        <v>2</v>
      </c>
      <c r="U432" t="s">
        <v>414</v>
      </c>
      <c r="V432" t="s">
        <v>303</v>
      </c>
      <c r="W432" t="s">
        <v>415</v>
      </c>
      <c r="X432" t="s">
        <v>306</v>
      </c>
      <c r="Y432" t="s">
        <v>307</v>
      </c>
      <c r="Z432">
        <v>65</v>
      </c>
      <c r="AA432">
        <v>32</v>
      </c>
      <c r="AB432" t="s">
        <v>151</v>
      </c>
      <c r="AC432" t="s">
        <v>160</v>
      </c>
      <c r="AD432" t="s">
        <v>278</v>
      </c>
      <c r="AE432" t="str">
        <f>IF(AF432="","",VLOOKUP(AC432,mapel!$A$2:$B$42,2,FALSE))</f>
        <v>B.Ing</v>
      </c>
      <c r="AF432">
        <f t="shared" si="18"/>
        <v>32</v>
      </c>
      <c r="AG432" t="str">
        <f>IF(AF432="","",IF(AF432&gt;90,"Sangat baik",IF(AF432&gt;79,"Baik",IF(AF432&gt;=pub_gid_0_single_true_output_csv[[#This Row],[KKM]],"Cukup","Kurang"))))</f>
        <v>Kurang</v>
      </c>
      <c r="AH432">
        <f t="shared" si="19"/>
        <v>11</v>
      </c>
      <c r="AI432" s="30" t="str">
        <f>IF(OR(J432&lt;&gt;"Karakter",pub_gid_0_single_true_output_csv[[#This Row],[Nilai2]]=""),"",IF(AF432&gt;89,"Sangat baik",IF(AF432&gt;79,"Baik",IF(AF432&gt;69,"Cukup",IF(AF432&gt;59,"Kurang","Sangat kurang")))))</f>
        <v/>
      </c>
      <c r="AJ432" t="str">
        <f t="shared" si="20"/>
        <v>Wk.4</v>
      </c>
      <c r="AK432" t="str">
        <f>IF(pub_gid_0_single_true_output_csv[[#This Row],[Nilai2]]="","",VLOOKUP(pub_gid_0_single_true_output_csv[[#This Row],[NAMA]],Table7[],3,FALSE))</f>
        <v>Average</v>
      </c>
    </row>
    <row r="433" spans="1:37" x14ac:dyDescent="0.2">
      <c r="A433">
        <v>432</v>
      </c>
      <c r="B433" t="s">
        <v>292</v>
      </c>
      <c r="C433" t="s">
        <v>54</v>
      </c>
      <c r="D433" t="s">
        <v>94</v>
      </c>
      <c r="E433" t="s">
        <v>147</v>
      </c>
      <c r="F433" s="25">
        <v>46044</v>
      </c>
      <c r="G433" t="s">
        <v>305</v>
      </c>
      <c r="H433" t="s">
        <v>405</v>
      </c>
      <c r="I433" t="s">
        <v>371</v>
      </c>
      <c r="J433" t="s">
        <v>31</v>
      </c>
      <c r="K433" t="s">
        <v>32</v>
      </c>
      <c r="L433" t="s">
        <v>321</v>
      </c>
      <c r="M433" t="s">
        <v>141</v>
      </c>
      <c r="N433" t="s">
        <v>142</v>
      </c>
      <c r="O433" t="s">
        <v>155</v>
      </c>
      <c r="P433" t="s">
        <v>281</v>
      </c>
      <c r="Q433" t="s">
        <v>155</v>
      </c>
      <c r="R433" t="s">
        <v>273</v>
      </c>
      <c r="S433" t="s">
        <v>355</v>
      </c>
      <c r="T433">
        <v>2</v>
      </c>
      <c r="U433" t="s">
        <v>414</v>
      </c>
      <c r="V433" t="s">
        <v>303</v>
      </c>
      <c r="W433" t="s">
        <v>415</v>
      </c>
      <c r="X433" t="s">
        <v>306</v>
      </c>
      <c r="Y433" t="s">
        <v>307</v>
      </c>
      <c r="Z433">
        <v>65</v>
      </c>
      <c r="AA433">
        <v>32</v>
      </c>
      <c r="AB433" t="s">
        <v>151</v>
      </c>
      <c r="AC433" t="s">
        <v>160</v>
      </c>
      <c r="AD433" t="s">
        <v>278</v>
      </c>
      <c r="AE433" t="str">
        <f>IF(AF433="","",VLOOKUP(AC433,mapel!$A$2:$B$42,2,FALSE))</f>
        <v>B.Ing</v>
      </c>
      <c r="AF433">
        <f t="shared" si="18"/>
        <v>32</v>
      </c>
      <c r="AG433" t="str">
        <f>IF(AF433="","",IF(AF433&gt;90,"Sangat baik",IF(AF433&gt;79,"Baik",IF(AF433&gt;=pub_gid_0_single_true_output_csv[[#This Row],[KKM]],"Cukup","Kurang"))))</f>
        <v>Kurang</v>
      </c>
      <c r="AH433">
        <f t="shared" si="19"/>
        <v>11</v>
      </c>
      <c r="AI433" s="30" t="str">
        <f>IF(OR(J433&lt;&gt;"Karakter",pub_gid_0_single_true_output_csv[[#This Row],[Nilai2]]=""),"",IF(AF433&gt;89,"Sangat baik",IF(AF433&gt;79,"Baik",IF(AF433&gt;69,"Cukup",IF(AF433&gt;59,"Kurang","Sangat kurang")))))</f>
        <v/>
      </c>
      <c r="AJ433" t="str">
        <f t="shared" si="20"/>
        <v>Wk.4</v>
      </c>
      <c r="AK433" t="str">
        <f>IF(pub_gid_0_single_true_output_csv[[#This Row],[Nilai2]]="","",VLOOKUP(pub_gid_0_single_true_output_csv[[#This Row],[NAMA]],Table7[],3,FALSE))</f>
        <v>Average</v>
      </c>
    </row>
    <row r="434" spans="1:37" x14ac:dyDescent="0.2">
      <c r="A434">
        <v>433</v>
      </c>
      <c r="B434" t="s">
        <v>292</v>
      </c>
      <c r="C434" t="s">
        <v>54</v>
      </c>
      <c r="D434" t="s">
        <v>94</v>
      </c>
      <c r="E434" t="s">
        <v>147</v>
      </c>
      <c r="F434" s="25">
        <v>46065</v>
      </c>
      <c r="G434" t="s">
        <v>354</v>
      </c>
      <c r="H434" t="s">
        <v>412</v>
      </c>
      <c r="I434" t="s">
        <v>371</v>
      </c>
      <c r="J434" t="s">
        <v>36</v>
      </c>
      <c r="K434" t="s">
        <v>37</v>
      </c>
      <c r="L434" t="s">
        <v>324</v>
      </c>
      <c r="M434" t="s">
        <v>141</v>
      </c>
      <c r="N434" t="s">
        <v>142</v>
      </c>
      <c r="O434" t="s">
        <v>155</v>
      </c>
      <c r="P434" t="s">
        <v>281</v>
      </c>
      <c r="Q434" t="s">
        <v>155</v>
      </c>
      <c r="R434" t="s">
        <v>273</v>
      </c>
      <c r="S434" t="s">
        <v>355</v>
      </c>
      <c r="T434">
        <v>2</v>
      </c>
      <c r="U434" t="s">
        <v>414</v>
      </c>
      <c r="V434" t="s">
        <v>303</v>
      </c>
      <c r="W434" t="s">
        <v>415</v>
      </c>
      <c r="X434" t="s">
        <v>306</v>
      </c>
      <c r="Y434" t="s">
        <v>307</v>
      </c>
      <c r="Z434">
        <v>65</v>
      </c>
      <c r="AA434">
        <v>36</v>
      </c>
      <c r="AB434" t="s">
        <v>151</v>
      </c>
      <c r="AC434" t="s">
        <v>160</v>
      </c>
      <c r="AD434" t="s">
        <v>278</v>
      </c>
      <c r="AE434" t="str">
        <f>IF(AF434="","",VLOOKUP(AC434,mapel!$A$2:$B$42,2,FALSE))</f>
        <v>B.Ing</v>
      </c>
      <c r="AF434">
        <f t="shared" si="18"/>
        <v>36</v>
      </c>
      <c r="AG434" t="str">
        <f>IF(AF434="","",IF(AF434&gt;90,"Sangat baik",IF(AF434&gt;79,"Baik",IF(AF434&gt;=pub_gid_0_single_true_output_csv[[#This Row],[KKM]],"Cukup","Kurang"))))</f>
        <v>Kurang</v>
      </c>
      <c r="AH434">
        <f t="shared" si="19"/>
        <v>11</v>
      </c>
      <c r="AI434" s="30" t="str">
        <f>IF(OR(J434&lt;&gt;"Karakter",pub_gid_0_single_true_output_csv[[#This Row],[Nilai2]]=""),"",IF(AF434&gt;89,"Sangat baik",IF(AF434&gt;79,"Baik",IF(AF434&gt;69,"Cukup",IF(AF434&gt;59,"Kurang","Sangat kurang")))))</f>
        <v/>
      </c>
      <c r="AJ434" t="str">
        <f t="shared" si="20"/>
        <v>Wk.7</v>
      </c>
      <c r="AK434" t="str">
        <f>IF(pub_gid_0_single_true_output_csv[[#This Row],[Nilai2]]="","",VLOOKUP(pub_gid_0_single_true_output_csv[[#This Row],[NAMA]],Table7[],3,FALSE))</f>
        <v>Average</v>
      </c>
    </row>
    <row r="435" spans="1:37" x14ac:dyDescent="0.2">
      <c r="A435">
        <v>434</v>
      </c>
      <c r="B435" t="s">
        <v>292</v>
      </c>
      <c r="C435" t="s">
        <v>54</v>
      </c>
      <c r="D435" t="s">
        <v>94</v>
      </c>
      <c r="E435" t="s">
        <v>147</v>
      </c>
      <c r="F435" s="25">
        <v>46065</v>
      </c>
      <c r="G435" t="s">
        <v>354</v>
      </c>
      <c r="H435" t="s">
        <v>412</v>
      </c>
      <c r="I435" t="s">
        <v>371</v>
      </c>
      <c r="J435" t="s">
        <v>36</v>
      </c>
      <c r="K435" t="s">
        <v>37</v>
      </c>
      <c r="L435" t="s">
        <v>150</v>
      </c>
      <c r="M435" t="s">
        <v>141</v>
      </c>
      <c r="N435" t="s">
        <v>142</v>
      </c>
      <c r="O435" t="s">
        <v>155</v>
      </c>
      <c r="P435" t="s">
        <v>281</v>
      </c>
      <c r="Q435" t="s">
        <v>155</v>
      </c>
      <c r="R435" t="s">
        <v>273</v>
      </c>
      <c r="S435" t="s">
        <v>355</v>
      </c>
      <c r="T435">
        <v>2</v>
      </c>
      <c r="U435" t="s">
        <v>414</v>
      </c>
      <c r="V435" t="s">
        <v>303</v>
      </c>
      <c r="W435" t="s">
        <v>415</v>
      </c>
      <c r="X435" t="s">
        <v>306</v>
      </c>
      <c r="Y435" t="s">
        <v>307</v>
      </c>
      <c r="Z435">
        <v>65</v>
      </c>
      <c r="AA435">
        <v>65</v>
      </c>
      <c r="AB435" t="s">
        <v>143</v>
      </c>
      <c r="AC435" t="s">
        <v>160</v>
      </c>
      <c r="AD435" t="s">
        <v>278</v>
      </c>
      <c r="AE435" t="str">
        <f>IF(AF435="","",VLOOKUP(AC435,mapel!$A$2:$B$42,2,FALSE))</f>
        <v>B.Ing</v>
      </c>
      <c r="AF435">
        <f t="shared" si="18"/>
        <v>65</v>
      </c>
      <c r="AG435" t="str">
        <f>IF(AF435="","",IF(AF435&gt;90,"Sangat baik",IF(AF435&gt;79,"Baik",IF(AF435&gt;=pub_gid_0_single_true_output_csv[[#This Row],[KKM]],"Cukup","Kurang"))))</f>
        <v>Cukup</v>
      </c>
      <c r="AH435">
        <f t="shared" si="19"/>
        <v>11</v>
      </c>
      <c r="AI435" s="30" t="str">
        <f>IF(OR(J435&lt;&gt;"Karakter",pub_gid_0_single_true_output_csv[[#This Row],[Nilai2]]=""),"",IF(AF435&gt;89,"Sangat baik",IF(AF435&gt;79,"Baik",IF(AF435&gt;69,"Cukup",IF(AF435&gt;59,"Kurang","Sangat kurang")))))</f>
        <v/>
      </c>
      <c r="AJ435" t="str">
        <f t="shared" si="20"/>
        <v>Wk.7</v>
      </c>
      <c r="AK435" t="str">
        <f>IF(pub_gid_0_single_true_output_csv[[#This Row],[Nilai2]]="","",VLOOKUP(pub_gid_0_single_true_output_csv[[#This Row],[NAMA]],Table7[],3,FALSE))</f>
        <v>Average</v>
      </c>
    </row>
    <row r="436" spans="1:37" x14ac:dyDescent="0.2">
      <c r="A436">
        <v>435</v>
      </c>
      <c r="B436" t="s">
        <v>292</v>
      </c>
      <c r="C436" t="s">
        <v>54</v>
      </c>
      <c r="D436" t="s">
        <v>94</v>
      </c>
      <c r="E436" t="s">
        <v>147</v>
      </c>
      <c r="F436" s="25">
        <v>46065</v>
      </c>
      <c r="G436" t="s">
        <v>354</v>
      </c>
      <c r="H436" t="s">
        <v>412</v>
      </c>
      <c r="I436" t="s">
        <v>371</v>
      </c>
      <c r="J436" t="s">
        <v>41</v>
      </c>
      <c r="K436" t="s">
        <v>365</v>
      </c>
      <c r="L436" t="s">
        <v>150</v>
      </c>
      <c r="M436" t="s">
        <v>141</v>
      </c>
      <c r="N436" t="s">
        <v>142</v>
      </c>
      <c r="O436" t="s">
        <v>155</v>
      </c>
      <c r="P436" t="s">
        <v>281</v>
      </c>
      <c r="Q436" t="s">
        <v>155</v>
      </c>
      <c r="R436" t="s">
        <v>273</v>
      </c>
      <c r="S436" t="s">
        <v>355</v>
      </c>
      <c r="T436">
        <v>2</v>
      </c>
      <c r="U436" t="s">
        <v>414</v>
      </c>
      <c r="V436" t="s">
        <v>303</v>
      </c>
      <c r="W436" t="s">
        <v>415</v>
      </c>
      <c r="X436" t="s">
        <v>306</v>
      </c>
      <c r="Y436" t="s">
        <v>307</v>
      </c>
      <c r="Z436">
        <v>65</v>
      </c>
      <c r="AA436">
        <v>65</v>
      </c>
      <c r="AB436" t="s">
        <v>143</v>
      </c>
      <c r="AC436" t="s">
        <v>160</v>
      </c>
      <c r="AD436" t="s">
        <v>278</v>
      </c>
      <c r="AE436" t="str">
        <f>IF(AF436="","",VLOOKUP(AC436,mapel!$A$2:$B$42,2,FALSE))</f>
        <v>B.Ing</v>
      </c>
      <c r="AF436">
        <f t="shared" si="18"/>
        <v>65</v>
      </c>
      <c r="AG436" t="str">
        <f>IF(AF436="","",IF(AF436&gt;90,"Sangat baik",IF(AF436&gt;79,"Baik",IF(AF436&gt;=pub_gid_0_single_true_output_csv[[#This Row],[KKM]],"Cukup","Kurang"))))</f>
        <v>Cukup</v>
      </c>
      <c r="AH436">
        <f t="shared" si="19"/>
        <v>11</v>
      </c>
      <c r="AI436" s="30" t="str">
        <f>IF(OR(J436&lt;&gt;"Karakter",pub_gid_0_single_true_output_csv[[#This Row],[Nilai2]]=""),"",IF(AF436&gt;89,"Sangat baik",IF(AF436&gt;79,"Baik",IF(AF436&gt;69,"Cukup",IF(AF436&gt;59,"Kurang","Sangat kurang")))))</f>
        <v/>
      </c>
      <c r="AJ436" t="str">
        <f t="shared" si="20"/>
        <v>Wk.7</v>
      </c>
      <c r="AK436" t="str">
        <f>IF(pub_gid_0_single_true_output_csv[[#This Row],[Nilai2]]="","",VLOOKUP(pub_gid_0_single_true_output_csv[[#This Row],[NAMA]],Table7[],3,FALSE))</f>
        <v>Average</v>
      </c>
    </row>
    <row r="437" spans="1:37" x14ac:dyDescent="0.2">
      <c r="A437">
        <v>436</v>
      </c>
      <c r="B437" t="s">
        <v>292</v>
      </c>
      <c r="C437" t="s">
        <v>54</v>
      </c>
      <c r="D437" t="s">
        <v>94</v>
      </c>
      <c r="E437" t="s">
        <v>147</v>
      </c>
      <c r="F437" s="25">
        <v>46071</v>
      </c>
      <c r="G437" t="s">
        <v>323</v>
      </c>
      <c r="H437" t="s">
        <v>412</v>
      </c>
      <c r="I437" t="s">
        <v>371</v>
      </c>
      <c r="J437" t="s">
        <v>41</v>
      </c>
      <c r="K437" t="s">
        <v>365</v>
      </c>
      <c r="L437" t="s">
        <v>383</v>
      </c>
      <c r="M437" t="s">
        <v>141</v>
      </c>
      <c r="N437" t="s">
        <v>142</v>
      </c>
      <c r="O437" t="s">
        <v>155</v>
      </c>
      <c r="P437" t="s">
        <v>281</v>
      </c>
      <c r="Q437" t="s">
        <v>155</v>
      </c>
      <c r="R437" t="s">
        <v>273</v>
      </c>
      <c r="S437" t="s">
        <v>355</v>
      </c>
      <c r="T437">
        <v>2</v>
      </c>
      <c r="U437" t="s">
        <v>414</v>
      </c>
      <c r="V437" t="s">
        <v>303</v>
      </c>
      <c r="W437" t="s">
        <v>415</v>
      </c>
      <c r="X437" t="s">
        <v>306</v>
      </c>
      <c r="Y437" t="s">
        <v>307</v>
      </c>
      <c r="Z437">
        <v>65</v>
      </c>
      <c r="AA437">
        <v>55</v>
      </c>
      <c r="AB437" t="s">
        <v>151</v>
      </c>
      <c r="AC437" t="s">
        <v>160</v>
      </c>
      <c r="AD437" t="s">
        <v>278</v>
      </c>
      <c r="AE437" t="str">
        <f>IF(AF437="","",VLOOKUP(AC437,mapel!$A$2:$B$42,2,FALSE))</f>
        <v>B.Ing</v>
      </c>
      <c r="AF437">
        <f t="shared" si="18"/>
        <v>55</v>
      </c>
      <c r="AG437" t="str">
        <f>IF(AF437="","",IF(AF437&gt;90,"Sangat baik",IF(AF437&gt;79,"Baik",IF(AF437&gt;=pub_gid_0_single_true_output_csv[[#This Row],[KKM]],"Cukup","Kurang"))))</f>
        <v>Kurang</v>
      </c>
      <c r="AH437">
        <f t="shared" si="19"/>
        <v>11</v>
      </c>
      <c r="AI437" s="30" t="str">
        <f>IF(OR(J437&lt;&gt;"Karakter",pub_gid_0_single_true_output_csv[[#This Row],[Nilai2]]=""),"",IF(AF437&gt;89,"Sangat baik",IF(AF437&gt;79,"Baik",IF(AF437&gt;69,"Cukup",IF(AF437&gt;59,"Kurang","Sangat kurang")))))</f>
        <v/>
      </c>
      <c r="AJ437" t="str">
        <f t="shared" si="20"/>
        <v>Wk.8</v>
      </c>
      <c r="AK437" t="str">
        <f>IF(pub_gid_0_single_true_output_csv[[#This Row],[Nilai2]]="","",VLOOKUP(pub_gid_0_single_true_output_csv[[#This Row],[NAMA]],Table7[],3,FALSE))</f>
        <v>Average</v>
      </c>
    </row>
    <row r="438" spans="1:37" x14ac:dyDescent="0.2">
      <c r="A438">
        <v>437</v>
      </c>
      <c r="B438" t="s">
        <v>292</v>
      </c>
      <c r="C438" t="s">
        <v>54</v>
      </c>
      <c r="D438" t="s">
        <v>94</v>
      </c>
      <c r="E438" t="s">
        <v>147</v>
      </c>
      <c r="F438" s="25">
        <v>46071</v>
      </c>
      <c r="G438" t="s">
        <v>323</v>
      </c>
      <c r="H438" t="s">
        <v>412</v>
      </c>
      <c r="I438" t="s">
        <v>371</v>
      </c>
      <c r="J438" t="s">
        <v>36</v>
      </c>
      <c r="K438" t="s">
        <v>37</v>
      </c>
      <c r="L438" t="s">
        <v>383</v>
      </c>
      <c r="M438" t="s">
        <v>141</v>
      </c>
      <c r="N438" t="s">
        <v>142</v>
      </c>
      <c r="O438" t="s">
        <v>155</v>
      </c>
      <c r="P438" t="s">
        <v>281</v>
      </c>
      <c r="Q438" t="s">
        <v>155</v>
      </c>
      <c r="R438" t="s">
        <v>273</v>
      </c>
      <c r="S438" t="s">
        <v>355</v>
      </c>
      <c r="T438">
        <v>2</v>
      </c>
      <c r="U438" t="s">
        <v>414</v>
      </c>
      <c r="V438" t="s">
        <v>303</v>
      </c>
      <c r="W438" t="s">
        <v>415</v>
      </c>
      <c r="X438" t="s">
        <v>306</v>
      </c>
      <c r="Y438" t="s">
        <v>307</v>
      </c>
      <c r="Z438">
        <v>65</v>
      </c>
      <c r="AA438">
        <v>55</v>
      </c>
      <c r="AB438" t="s">
        <v>151</v>
      </c>
      <c r="AC438" t="s">
        <v>160</v>
      </c>
      <c r="AD438" t="s">
        <v>278</v>
      </c>
      <c r="AE438" t="str">
        <f>IF(AF438="","",VLOOKUP(AC438,mapel!$A$2:$B$42,2,FALSE))</f>
        <v>B.Ing</v>
      </c>
      <c r="AF438">
        <f t="shared" si="18"/>
        <v>55</v>
      </c>
      <c r="AG438" t="str">
        <f>IF(AF438="","",IF(AF438&gt;90,"Sangat baik",IF(AF438&gt;79,"Baik",IF(AF438&gt;=pub_gid_0_single_true_output_csv[[#This Row],[KKM]],"Cukup","Kurang"))))</f>
        <v>Kurang</v>
      </c>
      <c r="AH438">
        <f t="shared" si="19"/>
        <v>11</v>
      </c>
      <c r="AI438" s="30" t="str">
        <f>IF(OR(J438&lt;&gt;"Karakter",pub_gid_0_single_true_output_csv[[#This Row],[Nilai2]]=""),"",IF(AF438&gt;89,"Sangat baik",IF(AF438&gt;79,"Baik",IF(AF438&gt;69,"Cukup",IF(AF438&gt;59,"Kurang","Sangat kurang")))))</f>
        <v/>
      </c>
      <c r="AJ438" t="str">
        <f t="shared" si="20"/>
        <v>Wk.8</v>
      </c>
      <c r="AK438" t="str">
        <f>IF(pub_gid_0_single_true_output_csv[[#This Row],[Nilai2]]="","",VLOOKUP(pub_gid_0_single_true_output_csv[[#This Row],[NAMA]],Table7[],3,FALSE))</f>
        <v>Average</v>
      </c>
    </row>
    <row r="439" spans="1:37" x14ac:dyDescent="0.2">
      <c r="A439">
        <v>438</v>
      </c>
      <c r="B439" t="s">
        <v>286</v>
      </c>
      <c r="C439" t="s">
        <v>54</v>
      </c>
      <c r="D439" t="s">
        <v>33</v>
      </c>
      <c r="E439" t="s">
        <v>140</v>
      </c>
      <c r="F439" s="25">
        <v>46030</v>
      </c>
      <c r="G439" t="s">
        <v>347</v>
      </c>
      <c r="H439" t="s">
        <v>405</v>
      </c>
      <c r="I439" t="s">
        <v>371</v>
      </c>
      <c r="J439" t="s">
        <v>36</v>
      </c>
      <c r="K439" t="s">
        <v>37</v>
      </c>
      <c r="L439" t="s">
        <v>321</v>
      </c>
      <c r="M439" t="s">
        <v>141</v>
      </c>
      <c r="N439" t="s">
        <v>142</v>
      </c>
      <c r="O439" t="s">
        <v>155</v>
      </c>
      <c r="P439" t="s">
        <v>281</v>
      </c>
      <c r="Q439" t="s">
        <v>155</v>
      </c>
      <c r="R439" t="s">
        <v>273</v>
      </c>
      <c r="S439" t="s">
        <v>355</v>
      </c>
      <c r="T439">
        <v>2</v>
      </c>
      <c r="U439" t="s">
        <v>414</v>
      </c>
      <c r="V439" t="s">
        <v>303</v>
      </c>
      <c r="W439" t="s">
        <v>415</v>
      </c>
      <c r="X439" t="s">
        <v>306</v>
      </c>
      <c r="Y439" t="s">
        <v>307</v>
      </c>
      <c r="Z439">
        <v>65</v>
      </c>
      <c r="AA439">
        <v>65</v>
      </c>
      <c r="AB439" t="s">
        <v>143</v>
      </c>
      <c r="AC439" t="s">
        <v>160</v>
      </c>
      <c r="AD439" t="s">
        <v>278</v>
      </c>
      <c r="AE439" t="str">
        <f>IF(AF439="","",VLOOKUP(AC439,mapel!$A$2:$B$42,2,FALSE))</f>
        <v>B.Ing</v>
      </c>
      <c r="AF439">
        <f t="shared" si="18"/>
        <v>65</v>
      </c>
      <c r="AG439" t="str">
        <f>IF(AF439="","",IF(AF439&gt;90,"Sangat baik",IF(AF439&gt;79,"Baik",IF(AF439&gt;=pub_gid_0_single_true_output_csv[[#This Row],[KKM]],"Cukup","Kurang"))))</f>
        <v>Cukup</v>
      </c>
      <c r="AH439">
        <f t="shared" si="19"/>
        <v>11</v>
      </c>
      <c r="AI439" s="30" t="str">
        <f>IF(OR(J439&lt;&gt;"Karakter",pub_gid_0_single_true_output_csv[[#This Row],[Nilai2]]=""),"",IF(AF439&gt;89,"Sangat baik",IF(AF439&gt;79,"Baik",IF(AF439&gt;69,"Cukup",IF(AF439&gt;59,"Kurang","Sangat kurang")))))</f>
        <v/>
      </c>
      <c r="AJ439" t="str">
        <f t="shared" si="20"/>
        <v>Wk.2</v>
      </c>
      <c r="AK439" t="str">
        <f>IF(pub_gid_0_single_true_output_csv[[#This Row],[Nilai2]]="","",VLOOKUP(pub_gid_0_single_true_output_csv[[#This Row],[NAMA]],Table7[],3,FALSE))</f>
        <v>Extremely low</v>
      </c>
    </row>
    <row r="440" spans="1:37" x14ac:dyDescent="0.2">
      <c r="A440">
        <v>439</v>
      </c>
      <c r="B440" t="s">
        <v>286</v>
      </c>
      <c r="C440" t="s">
        <v>54</v>
      </c>
      <c r="D440" t="s">
        <v>33</v>
      </c>
      <c r="E440" t="s">
        <v>140</v>
      </c>
      <c r="F440" s="25">
        <v>46030</v>
      </c>
      <c r="G440" t="s">
        <v>347</v>
      </c>
      <c r="H440" t="s">
        <v>405</v>
      </c>
      <c r="I440" t="s">
        <v>371</v>
      </c>
      <c r="J440" t="s">
        <v>41</v>
      </c>
      <c r="K440" t="s">
        <v>157</v>
      </c>
      <c r="L440" t="s">
        <v>395</v>
      </c>
      <c r="M440" t="s">
        <v>141</v>
      </c>
      <c r="N440" t="s">
        <v>142</v>
      </c>
      <c r="O440" t="s">
        <v>155</v>
      </c>
      <c r="P440" t="s">
        <v>281</v>
      </c>
      <c r="Q440" t="s">
        <v>155</v>
      </c>
      <c r="R440" t="s">
        <v>273</v>
      </c>
      <c r="S440" t="s">
        <v>355</v>
      </c>
      <c r="T440">
        <v>2</v>
      </c>
      <c r="U440" t="s">
        <v>414</v>
      </c>
      <c r="V440" t="s">
        <v>303</v>
      </c>
      <c r="W440" t="s">
        <v>415</v>
      </c>
      <c r="X440" t="s">
        <v>306</v>
      </c>
      <c r="Y440" t="s">
        <v>307</v>
      </c>
      <c r="Z440">
        <v>65</v>
      </c>
      <c r="AA440">
        <v>65</v>
      </c>
      <c r="AB440" t="s">
        <v>143</v>
      </c>
      <c r="AC440" t="s">
        <v>160</v>
      </c>
      <c r="AD440" t="s">
        <v>278</v>
      </c>
      <c r="AE440" t="str">
        <f>IF(AF440="","",VLOOKUP(AC440,mapel!$A$2:$B$42,2,FALSE))</f>
        <v>B.Ing</v>
      </c>
      <c r="AF440">
        <f t="shared" si="18"/>
        <v>65</v>
      </c>
      <c r="AG440" t="str">
        <f>IF(AF440="","",IF(AF440&gt;90,"Sangat baik",IF(AF440&gt;79,"Baik",IF(AF440&gt;=pub_gid_0_single_true_output_csv[[#This Row],[KKM]],"Cukup","Kurang"))))</f>
        <v>Cukup</v>
      </c>
      <c r="AH440">
        <f t="shared" si="19"/>
        <v>11</v>
      </c>
      <c r="AI440" s="30" t="str">
        <f>IF(OR(J440&lt;&gt;"Karakter",pub_gid_0_single_true_output_csv[[#This Row],[Nilai2]]=""),"",IF(AF440&gt;89,"Sangat baik",IF(AF440&gt;79,"Baik",IF(AF440&gt;69,"Cukup",IF(AF440&gt;59,"Kurang","Sangat kurang")))))</f>
        <v/>
      </c>
      <c r="AJ440" t="str">
        <f t="shared" si="20"/>
        <v>Wk.2</v>
      </c>
      <c r="AK440" t="str">
        <f>IF(pub_gid_0_single_true_output_csv[[#This Row],[Nilai2]]="","",VLOOKUP(pub_gid_0_single_true_output_csv[[#This Row],[NAMA]],Table7[],3,FALSE))</f>
        <v>Extremely low</v>
      </c>
    </row>
    <row r="441" spans="1:37" x14ac:dyDescent="0.2">
      <c r="A441">
        <v>440</v>
      </c>
      <c r="B441" t="s">
        <v>286</v>
      </c>
      <c r="C441" t="s">
        <v>54</v>
      </c>
      <c r="D441" t="s">
        <v>33</v>
      </c>
      <c r="E441" t="s">
        <v>140</v>
      </c>
      <c r="F441" s="25">
        <v>46030</v>
      </c>
      <c r="G441" t="s">
        <v>347</v>
      </c>
      <c r="H441" t="s">
        <v>405</v>
      </c>
      <c r="I441" t="s">
        <v>371</v>
      </c>
      <c r="J441" t="s">
        <v>90</v>
      </c>
      <c r="K441" t="s">
        <v>92</v>
      </c>
      <c r="L441" t="s">
        <v>95</v>
      </c>
      <c r="M441" t="s">
        <v>141</v>
      </c>
      <c r="N441" t="s">
        <v>142</v>
      </c>
      <c r="O441" t="s">
        <v>155</v>
      </c>
      <c r="P441" t="s">
        <v>281</v>
      </c>
      <c r="Q441" t="s">
        <v>155</v>
      </c>
      <c r="R441" t="s">
        <v>273</v>
      </c>
      <c r="S441" t="s">
        <v>355</v>
      </c>
      <c r="T441">
        <v>2</v>
      </c>
      <c r="U441" t="s">
        <v>414</v>
      </c>
      <c r="V441" t="s">
        <v>303</v>
      </c>
      <c r="W441" t="s">
        <v>415</v>
      </c>
      <c r="X441" t="s">
        <v>306</v>
      </c>
      <c r="Y441" t="s">
        <v>307</v>
      </c>
      <c r="Z441">
        <v>65</v>
      </c>
      <c r="AA441">
        <v>65</v>
      </c>
      <c r="AB441" t="s">
        <v>143</v>
      </c>
      <c r="AC441" t="s">
        <v>160</v>
      </c>
      <c r="AD441" t="s">
        <v>278</v>
      </c>
      <c r="AE441" t="str">
        <f>IF(AF441="","",VLOOKUP(AC441,mapel!$A$2:$B$42,2,FALSE))</f>
        <v>B.Ing</v>
      </c>
      <c r="AF441">
        <f t="shared" si="18"/>
        <v>65</v>
      </c>
      <c r="AG441" t="str">
        <f>IF(AF441="","",IF(AF441&gt;90,"Sangat baik",IF(AF441&gt;79,"Baik",IF(AF441&gt;=pub_gid_0_single_true_output_csv[[#This Row],[KKM]],"Cukup","Kurang"))))</f>
        <v>Cukup</v>
      </c>
      <c r="AH441">
        <f t="shared" si="19"/>
        <v>11</v>
      </c>
      <c r="AI441" s="30" t="str">
        <f>IF(OR(J441&lt;&gt;"Karakter",pub_gid_0_single_true_output_csv[[#This Row],[Nilai2]]=""),"",IF(AF441&gt;89,"Sangat baik",IF(AF441&gt;79,"Baik",IF(AF441&gt;69,"Cukup",IF(AF441&gt;59,"Kurang","Sangat kurang")))))</f>
        <v>Kurang</v>
      </c>
      <c r="AJ441" t="str">
        <f t="shared" si="20"/>
        <v>Wk.2</v>
      </c>
      <c r="AK441" t="str">
        <f>IF(pub_gid_0_single_true_output_csv[[#This Row],[Nilai2]]="","",VLOOKUP(pub_gid_0_single_true_output_csv[[#This Row],[NAMA]],Table7[],3,FALSE))</f>
        <v>Extremely low</v>
      </c>
    </row>
    <row r="442" spans="1:37" x14ac:dyDescent="0.2">
      <c r="A442">
        <v>441</v>
      </c>
      <c r="B442" t="s">
        <v>286</v>
      </c>
      <c r="C442" t="s">
        <v>54</v>
      </c>
      <c r="D442" t="s">
        <v>33</v>
      </c>
      <c r="E442" t="s">
        <v>140</v>
      </c>
      <c r="F442" s="25">
        <v>46051</v>
      </c>
      <c r="G442" t="s">
        <v>320</v>
      </c>
      <c r="H442" t="s">
        <v>405</v>
      </c>
      <c r="I442" t="s">
        <v>371</v>
      </c>
      <c r="J442" t="s">
        <v>36</v>
      </c>
      <c r="K442" t="s">
        <v>37</v>
      </c>
      <c r="L442" t="s">
        <v>324</v>
      </c>
      <c r="M442" t="s">
        <v>141</v>
      </c>
      <c r="N442" t="s">
        <v>142</v>
      </c>
      <c r="O442" t="s">
        <v>155</v>
      </c>
      <c r="P442" t="s">
        <v>281</v>
      </c>
      <c r="Q442" t="s">
        <v>155</v>
      </c>
      <c r="R442" t="s">
        <v>273</v>
      </c>
      <c r="S442" t="s">
        <v>355</v>
      </c>
      <c r="T442">
        <v>2</v>
      </c>
      <c r="U442" t="s">
        <v>414</v>
      </c>
      <c r="V442" t="s">
        <v>303</v>
      </c>
      <c r="W442" t="s">
        <v>415</v>
      </c>
      <c r="X442" t="s">
        <v>306</v>
      </c>
      <c r="Y442" t="s">
        <v>307</v>
      </c>
      <c r="Z442">
        <v>65</v>
      </c>
      <c r="AA442">
        <v>41</v>
      </c>
      <c r="AB442" t="s">
        <v>151</v>
      </c>
      <c r="AC442" t="s">
        <v>160</v>
      </c>
      <c r="AD442" t="s">
        <v>278</v>
      </c>
      <c r="AE442" t="str">
        <f>IF(AF442="","",VLOOKUP(AC442,mapel!$A$2:$B$42,2,FALSE))</f>
        <v>B.Ing</v>
      </c>
      <c r="AF442">
        <f t="shared" si="18"/>
        <v>41</v>
      </c>
      <c r="AG442" t="str">
        <f>IF(AF442="","",IF(AF442&gt;90,"Sangat baik",IF(AF442&gt;79,"Baik",IF(AF442&gt;=pub_gid_0_single_true_output_csv[[#This Row],[KKM]],"Cukup","Kurang"))))</f>
        <v>Kurang</v>
      </c>
      <c r="AH442">
        <f t="shared" si="19"/>
        <v>11</v>
      </c>
      <c r="AI442" s="30" t="str">
        <f>IF(OR(J442&lt;&gt;"Karakter",pub_gid_0_single_true_output_csv[[#This Row],[Nilai2]]=""),"",IF(AF442&gt;89,"Sangat baik",IF(AF442&gt;79,"Baik",IF(AF442&gt;69,"Cukup",IF(AF442&gt;59,"Kurang","Sangat kurang")))))</f>
        <v/>
      </c>
      <c r="AJ442" t="str">
        <f t="shared" si="20"/>
        <v>Wk.5</v>
      </c>
      <c r="AK442" t="str">
        <f>IF(pub_gid_0_single_true_output_csv[[#This Row],[Nilai2]]="","",VLOOKUP(pub_gid_0_single_true_output_csv[[#This Row],[NAMA]],Table7[],3,FALSE))</f>
        <v>Extremely low</v>
      </c>
    </row>
    <row r="443" spans="1:37" x14ac:dyDescent="0.2">
      <c r="A443">
        <v>442</v>
      </c>
      <c r="B443" t="s">
        <v>286</v>
      </c>
      <c r="C443" t="s">
        <v>54</v>
      </c>
      <c r="D443" t="s">
        <v>33</v>
      </c>
      <c r="E443" t="s">
        <v>140</v>
      </c>
      <c r="F443" s="25">
        <v>46051</v>
      </c>
      <c r="G443" t="s">
        <v>320</v>
      </c>
      <c r="H443" t="s">
        <v>405</v>
      </c>
      <c r="I443" t="s">
        <v>371</v>
      </c>
      <c r="J443" t="s">
        <v>90</v>
      </c>
      <c r="K443" t="s">
        <v>377</v>
      </c>
      <c r="L443" t="s">
        <v>378</v>
      </c>
      <c r="M443" t="s">
        <v>141</v>
      </c>
      <c r="N443" t="s">
        <v>142</v>
      </c>
      <c r="O443" t="s">
        <v>155</v>
      </c>
      <c r="P443" t="s">
        <v>281</v>
      </c>
      <c r="Q443" t="s">
        <v>155</v>
      </c>
      <c r="R443" t="s">
        <v>273</v>
      </c>
      <c r="S443" t="s">
        <v>355</v>
      </c>
      <c r="T443">
        <v>2</v>
      </c>
      <c r="U443" t="s">
        <v>414</v>
      </c>
      <c r="V443" t="s">
        <v>303</v>
      </c>
      <c r="W443" t="s">
        <v>415</v>
      </c>
      <c r="X443" t="s">
        <v>306</v>
      </c>
      <c r="Y443" t="s">
        <v>307</v>
      </c>
      <c r="Z443">
        <v>65</v>
      </c>
      <c r="AA443">
        <v>35</v>
      </c>
      <c r="AB443" t="s">
        <v>151</v>
      </c>
      <c r="AC443" t="s">
        <v>160</v>
      </c>
      <c r="AD443" t="s">
        <v>278</v>
      </c>
      <c r="AE443" t="str">
        <f>IF(AF443="","",VLOOKUP(AC443,mapel!$A$2:$B$42,2,FALSE))</f>
        <v>B.Ing</v>
      </c>
      <c r="AF443">
        <f t="shared" si="18"/>
        <v>35</v>
      </c>
      <c r="AG443" t="str">
        <f>IF(AF443="","",IF(AF443&gt;90,"Sangat baik",IF(AF443&gt;79,"Baik",IF(AF443&gt;=pub_gid_0_single_true_output_csv[[#This Row],[KKM]],"Cukup","Kurang"))))</f>
        <v>Kurang</v>
      </c>
      <c r="AH443">
        <f t="shared" si="19"/>
        <v>11</v>
      </c>
      <c r="AI443" s="30" t="str">
        <f>IF(OR(J443&lt;&gt;"Karakter",pub_gid_0_single_true_output_csv[[#This Row],[Nilai2]]=""),"",IF(AF443&gt;89,"Sangat baik",IF(AF443&gt;79,"Baik",IF(AF443&gt;69,"Cukup",IF(AF443&gt;59,"Kurang","Sangat kurang")))))</f>
        <v>Sangat kurang</v>
      </c>
      <c r="AJ443" t="str">
        <f t="shared" si="20"/>
        <v>Wk.5</v>
      </c>
      <c r="AK443" t="str">
        <f>IF(pub_gid_0_single_true_output_csv[[#This Row],[Nilai2]]="","",VLOOKUP(pub_gid_0_single_true_output_csv[[#This Row],[NAMA]],Table7[],3,FALSE))</f>
        <v>Extremely low</v>
      </c>
    </row>
    <row r="444" spans="1:37" x14ac:dyDescent="0.2">
      <c r="A444">
        <v>443</v>
      </c>
      <c r="B444" t="s">
        <v>286</v>
      </c>
      <c r="C444" t="s">
        <v>54</v>
      </c>
      <c r="D444" t="s">
        <v>33</v>
      </c>
      <c r="E444" t="s">
        <v>140</v>
      </c>
      <c r="F444" s="25">
        <v>46044</v>
      </c>
      <c r="G444" t="s">
        <v>305</v>
      </c>
      <c r="H444" t="s">
        <v>405</v>
      </c>
      <c r="I444" t="s">
        <v>371</v>
      </c>
      <c r="J444" t="s">
        <v>41</v>
      </c>
      <c r="K444" t="s">
        <v>365</v>
      </c>
      <c r="L444" t="s">
        <v>383</v>
      </c>
      <c r="M444" t="s">
        <v>141</v>
      </c>
      <c r="N444" t="s">
        <v>142</v>
      </c>
      <c r="O444" t="s">
        <v>155</v>
      </c>
      <c r="P444" t="s">
        <v>281</v>
      </c>
      <c r="Q444" t="s">
        <v>155</v>
      </c>
      <c r="R444" t="s">
        <v>273</v>
      </c>
      <c r="S444" t="s">
        <v>355</v>
      </c>
      <c r="T444">
        <v>2</v>
      </c>
      <c r="U444" t="s">
        <v>414</v>
      </c>
      <c r="V444" t="s">
        <v>303</v>
      </c>
      <c r="W444" t="s">
        <v>415</v>
      </c>
      <c r="X444" t="s">
        <v>306</v>
      </c>
      <c r="Y444" t="s">
        <v>307</v>
      </c>
      <c r="Z444">
        <v>65</v>
      </c>
      <c r="AA444">
        <v>10</v>
      </c>
      <c r="AB444" t="s">
        <v>151</v>
      </c>
      <c r="AC444" t="s">
        <v>160</v>
      </c>
      <c r="AD444" t="s">
        <v>278</v>
      </c>
      <c r="AE444" t="str">
        <f>IF(AF444="","",VLOOKUP(AC444,mapel!$A$2:$B$42,2,FALSE))</f>
        <v>B.Ing</v>
      </c>
      <c r="AF444">
        <f t="shared" si="18"/>
        <v>10</v>
      </c>
      <c r="AG444" t="str">
        <f>IF(AF444="","",IF(AF444&gt;90,"Sangat baik",IF(AF444&gt;79,"Baik",IF(AF444&gt;=pub_gid_0_single_true_output_csv[[#This Row],[KKM]],"Cukup","Kurang"))))</f>
        <v>Kurang</v>
      </c>
      <c r="AH444">
        <f t="shared" si="19"/>
        <v>11</v>
      </c>
      <c r="AI444" s="30" t="str">
        <f>IF(OR(J444&lt;&gt;"Karakter",pub_gid_0_single_true_output_csv[[#This Row],[Nilai2]]=""),"",IF(AF444&gt;89,"Sangat baik",IF(AF444&gt;79,"Baik",IF(AF444&gt;69,"Cukup",IF(AF444&gt;59,"Kurang","Sangat kurang")))))</f>
        <v/>
      </c>
      <c r="AJ444" t="str">
        <f t="shared" si="20"/>
        <v>Wk.4</v>
      </c>
      <c r="AK444" t="str">
        <f>IF(pub_gid_0_single_true_output_csv[[#This Row],[Nilai2]]="","",VLOOKUP(pub_gid_0_single_true_output_csv[[#This Row],[NAMA]],Table7[],3,FALSE))</f>
        <v>Extremely low</v>
      </c>
    </row>
    <row r="445" spans="1:37" x14ac:dyDescent="0.2">
      <c r="A445">
        <v>444</v>
      </c>
      <c r="B445" t="s">
        <v>286</v>
      </c>
      <c r="C445" t="s">
        <v>54</v>
      </c>
      <c r="D445" t="s">
        <v>33</v>
      </c>
      <c r="E445" t="s">
        <v>140</v>
      </c>
      <c r="F445" s="25">
        <v>46044</v>
      </c>
      <c r="G445" t="s">
        <v>305</v>
      </c>
      <c r="H445" t="s">
        <v>405</v>
      </c>
      <c r="I445" t="s">
        <v>371</v>
      </c>
      <c r="J445" t="s">
        <v>36</v>
      </c>
      <c r="K445" t="s">
        <v>37</v>
      </c>
      <c r="L445" t="s">
        <v>321</v>
      </c>
      <c r="M445" t="s">
        <v>141</v>
      </c>
      <c r="N445" t="s">
        <v>142</v>
      </c>
      <c r="O445" t="s">
        <v>155</v>
      </c>
      <c r="P445" t="s">
        <v>281</v>
      </c>
      <c r="Q445" t="s">
        <v>155</v>
      </c>
      <c r="R445" t="s">
        <v>273</v>
      </c>
      <c r="S445" t="s">
        <v>355</v>
      </c>
      <c r="T445">
        <v>2</v>
      </c>
      <c r="U445" t="s">
        <v>414</v>
      </c>
      <c r="V445" t="s">
        <v>303</v>
      </c>
      <c r="W445" t="s">
        <v>415</v>
      </c>
      <c r="X445" t="s">
        <v>306</v>
      </c>
      <c r="Y445" t="s">
        <v>307</v>
      </c>
      <c r="Z445">
        <v>65</v>
      </c>
      <c r="AA445">
        <v>10</v>
      </c>
      <c r="AB445" t="s">
        <v>151</v>
      </c>
      <c r="AC445" t="s">
        <v>160</v>
      </c>
      <c r="AD445" t="s">
        <v>278</v>
      </c>
      <c r="AE445" t="str">
        <f>IF(AF445="","",VLOOKUP(AC445,mapel!$A$2:$B$42,2,FALSE))</f>
        <v>B.Ing</v>
      </c>
      <c r="AF445">
        <f t="shared" si="18"/>
        <v>10</v>
      </c>
      <c r="AG445" t="str">
        <f>IF(AF445="","",IF(AF445&gt;90,"Sangat baik",IF(AF445&gt;79,"Baik",IF(AF445&gt;=pub_gid_0_single_true_output_csv[[#This Row],[KKM]],"Cukup","Kurang"))))</f>
        <v>Kurang</v>
      </c>
      <c r="AH445">
        <f t="shared" si="19"/>
        <v>11</v>
      </c>
      <c r="AI445" s="30" t="str">
        <f>IF(OR(J445&lt;&gt;"Karakter",pub_gid_0_single_true_output_csv[[#This Row],[Nilai2]]=""),"",IF(AF445&gt;89,"Sangat baik",IF(AF445&gt;79,"Baik",IF(AF445&gt;69,"Cukup",IF(AF445&gt;59,"Kurang","Sangat kurang")))))</f>
        <v/>
      </c>
      <c r="AJ445" t="str">
        <f t="shared" si="20"/>
        <v>Wk.4</v>
      </c>
      <c r="AK445" t="str">
        <f>IF(pub_gid_0_single_true_output_csv[[#This Row],[Nilai2]]="","",VLOOKUP(pub_gid_0_single_true_output_csv[[#This Row],[NAMA]],Table7[],3,FALSE))</f>
        <v>Extremely low</v>
      </c>
    </row>
    <row r="446" spans="1:37" x14ac:dyDescent="0.2">
      <c r="A446">
        <v>445</v>
      </c>
      <c r="B446" t="s">
        <v>286</v>
      </c>
      <c r="C446" t="s">
        <v>54</v>
      </c>
      <c r="D446" t="s">
        <v>33</v>
      </c>
      <c r="E446" t="s">
        <v>140</v>
      </c>
      <c r="F446" s="25">
        <v>46044</v>
      </c>
      <c r="G446" t="s">
        <v>305</v>
      </c>
      <c r="H446" t="s">
        <v>405</v>
      </c>
      <c r="I446" t="s">
        <v>371</v>
      </c>
      <c r="J446" t="s">
        <v>31</v>
      </c>
      <c r="K446" t="s">
        <v>32</v>
      </c>
      <c r="L446" t="s">
        <v>321</v>
      </c>
      <c r="M446" t="s">
        <v>141</v>
      </c>
      <c r="N446" t="s">
        <v>142</v>
      </c>
      <c r="O446" t="s">
        <v>155</v>
      </c>
      <c r="P446" t="s">
        <v>281</v>
      </c>
      <c r="Q446" t="s">
        <v>155</v>
      </c>
      <c r="R446" t="s">
        <v>273</v>
      </c>
      <c r="S446" t="s">
        <v>355</v>
      </c>
      <c r="T446">
        <v>2</v>
      </c>
      <c r="U446" t="s">
        <v>414</v>
      </c>
      <c r="V446" t="s">
        <v>303</v>
      </c>
      <c r="W446" t="s">
        <v>415</v>
      </c>
      <c r="X446" t="s">
        <v>306</v>
      </c>
      <c r="Y446" t="s">
        <v>307</v>
      </c>
      <c r="Z446">
        <v>65</v>
      </c>
      <c r="AA446">
        <v>10</v>
      </c>
      <c r="AB446" t="s">
        <v>151</v>
      </c>
      <c r="AC446" t="s">
        <v>160</v>
      </c>
      <c r="AD446" t="s">
        <v>278</v>
      </c>
      <c r="AE446" t="str">
        <f>IF(AF446="","",VLOOKUP(AC446,mapel!$A$2:$B$42,2,FALSE))</f>
        <v>B.Ing</v>
      </c>
      <c r="AF446">
        <f t="shared" si="18"/>
        <v>10</v>
      </c>
      <c r="AG446" t="str">
        <f>IF(AF446="","",IF(AF446&gt;90,"Sangat baik",IF(AF446&gt;79,"Baik",IF(AF446&gt;=pub_gid_0_single_true_output_csv[[#This Row],[KKM]],"Cukup","Kurang"))))</f>
        <v>Kurang</v>
      </c>
      <c r="AH446">
        <f t="shared" si="19"/>
        <v>11</v>
      </c>
      <c r="AI446" s="30" t="str">
        <f>IF(OR(J446&lt;&gt;"Karakter",pub_gid_0_single_true_output_csv[[#This Row],[Nilai2]]=""),"",IF(AF446&gt;89,"Sangat baik",IF(AF446&gt;79,"Baik",IF(AF446&gt;69,"Cukup",IF(AF446&gt;59,"Kurang","Sangat kurang")))))</f>
        <v/>
      </c>
      <c r="AJ446" t="str">
        <f t="shared" si="20"/>
        <v>Wk.4</v>
      </c>
      <c r="AK446" t="str">
        <f>IF(pub_gid_0_single_true_output_csv[[#This Row],[Nilai2]]="","",VLOOKUP(pub_gid_0_single_true_output_csv[[#This Row],[NAMA]],Table7[],3,FALSE))</f>
        <v>Extremely low</v>
      </c>
    </row>
    <row r="447" spans="1:37" x14ac:dyDescent="0.2">
      <c r="A447">
        <v>446</v>
      </c>
      <c r="B447" t="s">
        <v>286</v>
      </c>
      <c r="C447" t="s">
        <v>54</v>
      </c>
      <c r="D447" t="s">
        <v>33</v>
      </c>
      <c r="E447" t="s">
        <v>140</v>
      </c>
      <c r="F447" s="25">
        <v>46065</v>
      </c>
      <c r="G447" t="s">
        <v>354</v>
      </c>
      <c r="H447" t="s">
        <v>412</v>
      </c>
      <c r="I447" t="s">
        <v>371</v>
      </c>
      <c r="J447" t="s">
        <v>36</v>
      </c>
      <c r="K447" t="s">
        <v>37</v>
      </c>
      <c r="L447" t="s">
        <v>324</v>
      </c>
      <c r="M447" t="s">
        <v>141</v>
      </c>
      <c r="N447" t="s">
        <v>142</v>
      </c>
      <c r="O447" t="s">
        <v>155</v>
      </c>
      <c r="P447" t="s">
        <v>281</v>
      </c>
      <c r="Q447" t="s">
        <v>155</v>
      </c>
      <c r="R447" t="s">
        <v>273</v>
      </c>
      <c r="S447" t="s">
        <v>355</v>
      </c>
      <c r="T447">
        <v>2</v>
      </c>
      <c r="U447" t="s">
        <v>414</v>
      </c>
      <c r="V447" t="s">
        <v>303</v>
      </c>
      <c r="W447" t="s">
        <v>415</v>
      </c>
      <c r="X447" t="s">
        <v>306</v>
      </c>
      <c r="Y447" t="s">
        <v>307</v>
      </c>
      <c r="Z447">
        <v>65</v>
      </c>
      <c r="AA447">
        <v>73</v>
      </c>
      <c r="AB447" t="s">
        <v>143</v>
      </c>
      <c r="AC447" t="s">
        <v>160</v>
      </c>
      <c r="AD447" t="s">
        <v>278</v>
      </c>
      <c r="AE447" t="str">
        <f>IF(AF447="","",VLOOKUP(AC447,mapel!$A$2:$B$42,2,FALSE))</f>
        <v>B.Ing</v>
      </c>
      <c r="AF447">
        <f t="shared" si="18"/>
        <v>73</v>
      </c>
      <c r="AG447" t="str">
        <f>IF(AF447="","",IF(AF447&gt;90,"Sangat baik",IF(AF447&gt;79,"Baik",IF(AF447&gt;=pub_gid_0_single_true_output_csv[[#This Row],[KKM]],"Cukup","Kurang"))))</f>
        <v>Cukup</v>
      </c>
      <c r="AH447">
        <f t="shared" si="19"/>
        <v>11</v>
      </c>
      <c r="AI447" s="30" t="str">
        <f>IF(OR(J447&lt;&gt;"Karakter",pub_gid_0_single_true_output_csv[[#This Row],[Nilai2]]=""),"",IF(AF447&gt;89,"Sangat baik",IF(AF447&gt;79,"Baik",IF(AF447&gt;69,"Cukup",IF(AF447&gt;59,"Kurang","Sangat kurang")))))</f>
        <v/>
      </c>
      <c r="AJ447" t="str">
        <f t="shared" si="20"/>
        <v>Wk.7</v>
      </c>
      <c r="AK447" t="str">
        <f>IF(pub_gid_0_single_true_output_csv[[#This Row],[Nilai2]]="","",VLOOKUP(pub_gid_0_single_true_output_csv[[#This Row],[NAMA]],Table7[],3,FALSE))</f>
        <v>Extremely low</v>
      </c>
    </row>
    <row r="448" spans="1:37" x14ac:dyDescent="0.2">
      <c r="A448">
        <v>447</v>
      </c>
      <c r="B448" t="s">
        <v>286</v>
      </c>
      <c r="C448" t="s">
        <v>54</v>
      </c>
      <c r="D448" t="s">
        <v>33</v>
      </c>
      <c r="E448" t="s">
        <v>140</v>
      </c>
      <c r="F448" s="25">
        <v>46065</v>
      </c>
      <c r="G448" t="s">
        <v>354</v>
      </c>
      <c r="H448" t="s">
        <v>412</v>
      </c>
      <c r="I448" t="s">
        <v>371</v>
      </c>
      <c r="J448" t="s">
        <v>36</v>
      </c>
      <c r="K448" t="s">
        <v>37</v>
      </c>
      <c r="L448" t="s">
        <v>150</v>
      </c>
      <c r="M448" t="s">
        <v>141</v>
      </c>
      <c r="N448" t="s">
        <v>142</v>
      </c>
      <c r="O448" t="s">
        <v>155</v>
      </c>
      <c r="P448" t="s">
        <v>281</v>
      </c>
      <c r="Q448" t="s">
        <v>155</v>
      </c>
      <c r="R448" t="s">
        <v>273</v>
      </c>
      <c r="S448" t="s">
        <v>355</v>
      </c>
      <c r="T448">
        <v>2</v>
      </c>
      <c r="U448" t="s">
        <v>414</v>
      </c>
      <c r="V448" t="s">
        <v>303</v>
      </c>
      <c r="W448" t="s">
        <v>415</v>
      </c>
      <c r="X448" t="s">
        <v>306</v>
      </c>
      <c r="Y448" t="s">
        <v>307</v>
      </c>
      <c r="Z448">
        <v>65</v>
      </c>
      <c r="AA448">
        <v>60</v>
      </c>
      <c r="AB448" t="s">
        <v>151</v>
      </c>
      <c r="AC448" t="s">
        <v>160</v>
      </c>
      <c r="AD448" t="s">
        <v>278</v>
      </c>
      <c r="AE448" t="str">
        <f>IF(AF448="","",VLOOKUP(AC448,mapel!$A$2:$B$42,2,FALSE))</f>
        <v>B.Ing</v>
      </c>
      <c r="AF448">
        <f t="shared" si="18"/>
        <v>60</v>
      </c>
      <c r="AG448" t="str">
        <f>IF(AF448="","",IF(AF448&gt;90,"Sangat baik",IF(AF448&gt;79,"Baik",IF(AF448&gt;=pub_gid_0_single_true_output_csv[[#This Row],[KKM]],"Cukup","Kurang"))))</f>
        <v>Kurang</v>
      </c>
      <c r="AH448">
        <f t="shared" si="19"/>
        <v>11</v>
      </c>
      <c r="AI448" s="30" t="str">
        <f>IF(OR(J448&lt;&gt;"Karakter",pub_gid_0_single_true_output_csv[[#This Row],[Nilai2]]=""),"",IF(AF448&gt;89,"Sangat baik",IF(AF448&gt;79,"Baik",IF(AF448&gt;69,"Cukup",IF(AF448&gt;59,"Kurang","Sangat kurang")))))</f>
        <v/>
      </c>
      <c r="AJ448" t="str">
        <f t="shared" si="20"/>
        <v>Wk.7</v>
      </c>
      <c r="AK448" t="str">
        <f>IF(pub_gid_0_single_true_output_csv[[#This Row],[Nilai2]]="","",VLOOKUP(pub_gid_0_single_true_output_csv[[#This Row],[NAMA]],Table7[],3,FALSE))</f>
        <v>Extremely low</v>
      </c>
    </row>
    <row r="449" spans="1:37" x14ac:dyDescent="0.2">
      <c r="A449">
        <v>448</v>
      </c>
      <c r="B449" t="s">
        <v>286</v>
      </c>
      <c r="C449" t="s">
        <v>54</v>
      </c>
      <c r="D449" t="s">
        <v>33</v>
      </c>
      <c r="E449" t="s">
        <v>140</v>
      </c>
      <c r="F449" s="25">
        <v>46065</v>
      </c>
      <c r="G449" t="s">
        <v>354</v>
      </c>
      <c r="H449" t="s">
        <v>412</v>
      </c>
      <c r="I449" t="s">
        <v>371</v>
      </c>
      <c r="J449" t="s">
        <v>41</v>
      </c>
      <c r="K449" t="s">
        <v>365</v>
      </c>
      <c r="L449" t="s">
        <v>150</v>
      </c>
      <c r="M449" t="s">
        <v>141</v>
      </c>
      <c r="N449" t="s">
        <v>142</v>
      </c>
      <c r="O449" t="s">
        <v>155</v>
      </c>
      <c r="P449" t="s">
        <v>281</v>
      </c>
      <c r="Q449" t="s">
        <v>155</v>
      </c>
      <c r="R449" t="s">
        <v>273</v>
      </c>
      <c r="S449" t="s">
        <v>355</v>
      </c>
      <c r="T449">
        <v>2</v>
      </c>
      <c r="U449" t="s">
        <v>414</v>
      </c>
      <c r="V449" t="s">
        <v>303</v>
      </c>
      <c r="W449" t="s">
        <v>415</v>
      </c>
      <c r="X449" t="s">
        <v>306</v>
      </c>
      <c r="Y449" t="s">
        <v>307</v>
      </c>
      <c r="Z449">
        <v>65</v>
      </c>
      <c r="AA449">
        <v>60</v>
      </c>
      <c r="AB449" t="s">
        <v>151</v>
      </c>
      <c r="AC449" t="s">
        <v>160</v>
      </c>
      <c r="AD449" t="s">
        <v>278</v>
      </c>
      <c r="AE449" t="str">
        <f>IF(AF449="","",VLOOKUP(AC449,mapel!$A$2:$B$42,2,FALSE))</f>
        <v>B.Ing</v>
      </c>
      <c r="AF449">
        <f t="shared" si="18"/>
        <v>60</v>
      </c>
      <c r="AG449" t="str">
        <f>IF(AF449="","",IF(AF449&gt;90,"Sangat baik",IF(AF449&gt;79,"Baik",IF(AF449&gt;=pub_gid_0_single_true_output_csv[[#This Row],[KKM]],"Cukup","Kurang"))))</f>
        <v>Kurang</v>
      </c>
      <c r="AH449">
        <f t="shared" si="19"/>
        <v>11</v>
      </c>
      <c r="AI449" s="30" t="str">
        <f>IF(OR(J449&lt;&gt;"Karakter",pub_gid_0_single_true_output_csv[[#This Row],[Nilai2]]=""),"",IF(AF449&gt;89,"Sangat baik",IF(AF449&gt;79,"Baik",IF(AF449&gt;69,"Cukup",IF(AF449&gt;59,"Kurang","Sangat kurang")))))</f>
        <v/>
      </c>
      <c r="AJ449" t="str">
        <f t="shared" si="20"/>
        <v>Wk.7</v>
      </c>
      <c r="AK449" t="str">
        <f>IF(pub_gid_0_single_true_output_csv[[#This Row],[Nilai2]]="","",VLOOKUP(pub_gid_0_single_true_output_csv[[#This Row],[NAMA]],Table7[],3,FALSE))</f>
        <v>Extremely low</v>
      </c>
    </row>
    <row r="450" spans="1:37" x14ac:dyDescent="0.2">
      <c r="A450">
        <v>449</v>
      </c>
      <c r="B450" t="s">
        <v>286</v>
      </c>
      <c r="C450" t="s">
        <v>54</v>
      </c>
      <c r="D450" t="s">
        <v>33</v>
      </c>
      <c r="E450" t="s">
        <v>140</v>
      </c>
      <c r="F450" s="25">
        <v>46071</v>
      </c>
      <c r="G450" t="s">
        <v>323</v>
      </c>
      <c r="H450" t="s">
        <v>412</v>
      </c>
      <c r="I450" t="s">
        <v>371</v>
      </c>
      <c r="J450" t="s">
        <v>41</v>
      </c>
      <c r="K450" t="s">
        <v>365</v>
      </c>
      <c r="L450" t="s">
        <v>383</v>
      </c>
      <c r="M450" t="s">
        <v>141</v>
      </c>
      <c r="N450" t="s">
        <v>142</v>
      </c>
      <c r="O450" t="s">
        <v>155</v>
      </c>
      <c r="P450" t="s">
        <v>281</v>
      </c>
      <c r="Q450" t="s">
        <v>155</v>
      </c>
      <c r="R450" t="s">
        <v>273</v>
      </c>
      <c r="S450" t="s">
        <v>355</v>
      </c>
      <c r="T450">
        <v>2</v>
      </c>
      <c r="U450" t="s">
        <v>414</v>
      </c>
      <c r="V450" t="s">
        <v>303</v>
      </c>
      <c r="W450" t="s">
        <v>415</v>
      </c>
      <c r="X450" t="s">
        <v>306</v>
      </c>
      <c r="Y450" t="s">
        <v>307</v>
      </c>
      <c r="Z450">
        <v>65</v>
      </c>
      <c r="AA450">
        <v>95</v>
      </c>
      <c r="AB450" t="s">
        <v>143</v>
      </c>
      <c r="AC450" t="s">
        <v>160</v>
      </c>
      <c r="AD450" t="s">
        <v>278</v>
      </c>
      <c r="AE450" t="str">
        <f>IF(AF450="","",VLOOKUP(AC450,mapel!$A$2:$B$42,2,FALSE))</f>
        <v>B.Ing</v>
      </c>
      <c r="AF450">
        <f t="shared" ref="AF450:AF513" si="21">IF(AA450=0, "",IF(AA450 = 0.1, 0,AA450))</f>
        <v>95</v>
      </c>
      <c r="AG450" t="str">
        <f>IF(AF450="","",IF(AF450&gt;90,"Sangat baik",IF(AF450&gt;79,"Baik",IF(AF450&gt;=pub_gid_0_single_true_output_csv[[#This Row],[KKM]],"Cukup","Kurang"))))</f>
        <v>Sangat baik</v>
      </c>
      <c r="AH450">
        <f t="shared" ref="AH450:AH513" si="22">IF(AG450="","",VALUE(RIGHT(X450,2)))</f>
        <v>11</v>
      </c>
      <c r="AI450" s="30" t="str">
        <f>IF(OR(J450&lt;&gt;"Karakter",pub_gid_0_single_true_output_csv[[#This Row],[Nilai2]]=""),"",IF(AF450&gt;89,"Sangat baik",IF(AF450&gt;79,"Baik",IF(AF450&gt;69,"Cukup",IF(AF450&gt;59,"Kurang","Sangat kurang")))))</f>
        <v/>
      </c>
      <c r="AJ450" t="str">
        <f t="shared" ref="AJ450:AJ513" si="23">IF(AF450="","",CONCATENATE("Wk.",WEEKNUM(F450,2)))</f>
        <v>Wk.8</v>
      </c>
      <c r="AK450" t="str">
        <f>IF(pub_gid_0_single_true_output_csv[[#This Row],[Nilai2]]="","",VLOOKUP(pub_gid_0_single_true_output_csv[[#This Row],[NAMA]],Table7[],3,FALSE))</f>
        <v>Extremely low</v>
      </c>
    </row>
    <row r="451" spans="1:37" x14ac:dyDescent="0.2">
      <c r="A451">
        <v>450</v>
      </c>
      <c r="B451" t="s">
        <v>286</v>
      </c>
      <c r="C451" t="s">
        <v>54</v>
      </c>
      <c r="D451" t="s">
        <v>33</v>
      </c>
      <c r="E451" t="s">
        <v>140</v>
      </c>
      <c r="F451" s="25">
        <v>46071</v>
      </c>
      <c r="G451" t="s">
        <v>323</v>
      </c>
      <c r="H451" t="s">
        <v>412</v>
      </c>
      <c r="I451" t="s">
        <v>371</v>
      </c>
      <c r="J451" t="s">
        <v>36</v>
      </c>
      <c r="K451" t="s">
        <v>37</v>
      </c>
      <c r="L451" t="s">
        <v>383</v>
      </c>
      <c r="M451" t="s">
        <v>141</v>
      </c>
      <c r="N451" t="s">
        <v>142</v>
      </c>
      <c r="O451" t="s">
        <v>155</v>
      </c>
      <c r="P451" t="s">
        <v>281</v>
      </c>
      <c r="Q451" t="s">
        <v>155</v>
      </c>
      <c r="R451" t="s">
        <v>273</v>
      </c>
      <c r="S451" t="s">
        <v>355</v>
      </c>
      <c r="T451">
        <v>2</v>
      </c>
      <c r="U451" t="s">
        <v>414</v>
      </c>
      <c r="V451" t="s">
        <v>303</v>
      </c>
      <c r="W451" t="s">
        <v>415</v>
      </c>
      <c r="X451" t="s">
        <v>306</v>
      </c>
      <c r="Y451" t="s">
        <v>307</v>
      </c>
      <c r="Z451">
        <v>65</v>
      </c>
      <c r="AA451">
        <v>95</v>
      </c>
      <c r="AB451" t="s">
        <v>143</v>
      </c>
      <c r="AC451" t="s">
        <v>160</v>
      </c>
      <c r="AD451" t="s">
        <v>278</v>
      </c>
      <c r="AE451" t="str">
        <f>IF(AF451="","",VLOOKUP(AC451,mapel!$A$2:$B$42,2,FALSE))</f>
        <v>B.Ing</v>
      </c>
      <c r="AF451">
        <f t="shared" si="21"/>
        <v>95</v>
      </c>
      <c r="AG451" t="str">
        <f>IF(AF451="","",IF(AF451&gt;90,"Sangat baik",IF(AF451&gt;79,"Baik",IF(AF451&gt;=pub_gid_0_single_true_output_csv[[#This Row],[KKM]],"Cukup","Kurang"))))</f>
        <v>Sangat baik</v>
      </c>
      <c r="AH451">
        <f t="shared" si="22"/>
        <v>11</v>
      </c>
      <c r="AI451" s="30" t="str">
        <f>IF(OR(J451&lt;&gt;"Karakter",pub_gid_0_single_true_output_csv[[#This Row],[Nilai2]]=""),"",IF(AF451&gt;89,"Sangat baik",IF(AF451&gt;79,"Baik",IF(AF451&gt;69,"Cukup",IF(AF451&gt;59,"Kurang","Sangat kurang")))))</f>
        <v/>
      </c>
      <c r="AJ451" t="str">
        <f t="shared" si="23"/>
        <v>Wk.8</v>
      </c>
      <c r="AK451" t="str">
        <f>IF(pub_gid_0_single_true_output_csv[[#This Row],[Nilai2]]="","",VLOOKUP(pub_gid_0_single_true_output_csv[[#This Row],[NAMA]],Table7[],3,FALSE))</f>
        <v>Extremely low</v>
      </c>
    </row>
    <row r="452" spans="1:37" x14ac:dyDescent="0.2">
      <c r="A452">
        <v>451</v>
      </c>
      <c r="B452" t="s">
        <v>293</v>
      </c>
      <c r="C452" t="s">
        <v>54</v>
      </c>
      <c r="D452" t="s">
        <v>45</v>
      </c>
      <c r="E452" t="s">
        <v>147</v>
      </c>
      <c r="F452" s="25">
        <v>46030</v>
      </c>
      <c r="G452" t="s">
        <v>347</v>
      </c>
      <c r="H452" t="s">
        <v>405</v>
      </c>
      <c r="I452" t="s">
        <v>371</v>
      </c>
      <c r="J452" t="s">
        <v>36</v>
      </c>
      <c r="K452" t="s">
        <v>37</v>
      </c>
      <c r="L452" t="s">
        <v>321</v>
      </c>
      <c r="M452" t="s">
        <v>141</v>
      </c>
      <c r="N452" t="s">
        <v>142</v>
      </c>
      <c r="O452" t="s">
        <v>155</v>
      </c>
      <c r="P452" t="s">
        <v>281</v>
      </c>
      <c r="Q452" t="s">
        <v>155</v>
      </c>
      <c r="R452" t="s">
        <v>273</v>
      </c>
      <c r="S452" t="s">
        <v>355</v>
      </c>
      <c r="T452">
        <v>2</v>
      </c>
      <c r="U452" t="s">
        <v>414</v>
      </c>
      <c r="V452" t="s">
        <v>303</v>
      </c>
      <c r="W452" t="s">
        <v>415</v>
      </c>
      <c r="X452" t="s">
        <v>306</v>
      </c>
      <c r="Y452" t="s">
        <v>307</v>
      </c>
      <c r="Z452">
        <v>65</v>
      </c>
      <c r="AA452">
        <v>66</v>
      </c>
      <c r="AB452" t="s">
        <v>143</v>
      </c>
      <c r="AC452" t="s">
        <v>160</v>
      </c>
      <c r="AD452" t="s">
        <v>278</v>
      </c>
      <c r="AE452" t="str">
        <f>IF(AF452="","",VLOOKUP(AC452,mapel!$A$2:$B$42,2,FALSE))</f>
        <v>B.Ing</v>
      </c>
      <c r="AF452">
        <f t="shared" si="21"/>
        <v>66</v>
      </c>
      <c r="AG452" t="str">
        <f>IF(AF452="","",IF(AF452&gt;90,"Sangat baik",IF(AF452&gt;79,"Baik",IF(AF452&gt;=pub_gid_0_single_true_output_csv[[#This Row],[KKM]],"Cukup","Kurang"))))</f>
        <v>Cukup</v>
      </c>
      <c r="AH452">
        <f t="shared" si="22"/>
        <v>11</v>
      </c>
      <c r="AI452" s="30" t="str">
        <f>IF(OR(J452&lt;&gt;"Karakter",pub_gid_0_single_true_output_csv[[#This Row],[Nilai2]]=""),"",IF(AF452&gt;89,"Sangat baik",IF(AF452&gt;79,"Baik",IF(AF452&gt;69,"Cukup",IF(AF452&gt;59,"Kurang","Sangat kurang")))))</f>
        <v/>
      </c>
      <c r="AJ452" t="str">
        <f t="shared" si="23"/>
        <v>Wk.2</v>
      </c>
      <c r="AK452" t="str">
        <f>IF(pub_gid_0_single_true_output_csv[[#This Row],[Nilai2]]="","",VLOOKUP(pub_gid_0_single_true_output_csv[[#This Row],[NAMA]],Table7[],3,FALSE))</f>
        <v>High average</v>
      </c>
    </row>
    <row r="453" spans="1:37" x14ac:dyDescent="0.2">
      <c r="A453">
        <v>452</v>
      </c>
      <c r="B453" t="s">
        <v>293</v>
      </c>
      <c r="C453" t="s">
        <v>54</v>
      </c>
      <c r="D453" t="s">
        <v>45</v>
      </c>
      <c r="E453" t="s">
        <v>147</v>
      </c>
      <c r="F453" s="25">
        <v>46030</v>
      </c>
      <c r="G453" t="s">
        <v>347</v>
      </c>
      <c r="H453" t="s">
        <v>405</v>
      </c>
      <c r="I453" t="s">
        <v>371</v>
      </c>
      <c r="J453" t="s">
        <v>41</v>
      </c>
      <c r="K453" t="s">
        <v>157</v>
      </c>
      <c r="L453" t="s">
        <v>395</v>
      </c>
      <c r="M453" t="s">
        <v>141</v>
      </c>
      <c r="N453" t="s">
        <v>142</v>
      </c>
      <c r="O453" t="s">
        <v>155</v>
      </c>
      <c r="P453" t="s">
        <v>281</v>
      </c>
      <c r="Q453" t="s">
        <v>155</v>
      </c>
      <c r="R453" t="s">
        <v>273</v>
      </c>
      <c r="S453" t="s">
        <v>355</v>
      </c>
      <c r="T453">
        <v>2</v>
      </c>
      <c r="U453" t="s">
        <v>414</v>
      </c>
      <c r="V453" t="s">
        <v>303</v>
      </c>
      <c r="W453" t="s">
        <v>415</v>
      </c>
      <c r="X453" t="s">
        <v>306</v>
      </c>
      <c r="Y453" t="s">
        <v>307</v>
      </c>
      <c r="Z453">
        <v>65</v>
      </c>
      <c r="AA453">
        <v>66</v>
      </c>
      <c r="AB453" t="s">
        <v>143</v>
      </c>
      <c r="AC453" t="s">
        <v>160</v>
      </c>
      <c r="AD453" t="s">
        <v>278</v>
      </c>
      <c r="AE453" t="str">
        <f>IF(AF453="","",VLOOKUP(AC453,mapel!$A$2:$B$42,2,FALSE))</f>
        <v>B.Ing</v>
      </c>
      <c r="AF453">
        <f t="shared" si="21"/>
        <v>66</v>
      </c>
      <c r="AG453" t="str">
        <f>IF(AF453="","",IF(AF453&gt;90,"Sangat baik",IF(AF453&gt;79,"Baik",IF(AF453&gt;=pub_gid_0_single_true_output_csv[[#This Row],[KKM]],"Cukup","Kurang"))))</f>
        <v>Cukup</v>
      </c>
      <c r="AH453">
        <f t="shared" si="22"/>
        <v>11</v>
      </c>
      <c r="AI453" s="30" t="str">
        <f>IF(OR(J453&lt;&gt;"Karakter",pub_gid_0_single_true_output_csv[[#This Row],[Nilai2]]=""),"",IF(AF453&gt;89,"Sangat baik",IF(AF453&gt;79,"Baik",IF(AF453&gt;69,"Cukup",IF(AF453&gt;59,"Kurang","Sangat kurang")))))</f>
        <v/>
      </c>
      <c r="AJ453" t="str">
        <f t="shared" si="23"/>
        <v>Wk.2</v>
      </c>
      <c r="AK453" t="str">
        <f>IF(pub_gid_0_single_true_output_csv[[#This Row],[Nilai2]]="","",VLOOKUP(pub_gid_0_single_true_output_csv[[#This Row],[NAMA]],Table7[],3,FALSE))</f>
        <v>High average</v>
      </c>
    </row>
    <row r="454" spans="1:37" x14ac:dyDescent="0.2">
      <c r="A454">
        <v>453</v>
      </c>
      <c r="B454" t="s">
        <v>293</v>
      </c>
      <c r="C454" t="s">
        <v>54</v>
      </c>
      <c r="D454" t="s">
        <v>45</v>
      </c>
      <c r="E454" t="s">
        <v>147</v>
      </c>
      <c r="F454" s="25">
        <v>46030</v>
      </c>
      <c r="G454" t="s">
        <v>347</v>
      </c>
      <c r="H454" t="s">
        <v>405</v>
      </c>
      <c r="I454" t="s">
        <v>371</v>
      </c>
      <c r="J454" t="s">
        <v>90</v>
      </c>
      <c r="K454" t="s">
        <v>92</v>
      </c>
      <c r="L454" t="s">
        <v>95</v>
      </c>
      <c r="M454" t="s">
        <v>141</v>
      </c>
      <c r="N454" t="s">
        <v>142</v>
      </c>
      <c r="O454" t="s">
        <v>155</v>
      </c>
      <c r="P454" t="s">
        <v>281</v>
      </c>
      <c r="Q454" t="s">
        <v>155</v>
      </c>
      <c r="R454" t="s">
        <v>273</v>
      </c>
      <c r="S454" t="s">
        <v>355</v>
      </c>
      <c r="T454">
        <v>2</v>
      </c>
      <c r="U454" t="s">
        <v>414</v>
      </c>
      <c r="V454" t="s">
        <v>303</v>
      </c>
      <c r="W454" t="s">
        <v>415</v>
      </c>
      <c r="X454" t="s">
        <v>306</v>
      </c>
      <c r="Y454" t="s">
        <v>307</v>
      </c>
      <c r="Z454">
        <v>65</v>
      </c>
      <c r="AA454">
        <v>90</v>
      </c>
      <c r="AB454" t="s">
        <v>143</v>
      </c>
      <c r="AC454" t="s">
        <v>160</v>
      </c>
      <c r="AD454" t="s">
        <v>278</v>
      </c>
      <c r="AE454" t="str">
        <f>IF(AF454="","",VLOOKUP(AC454,mapel!$A$2:$B$42,2,FALSE))</f>
        <v>B.Ing</v>
      </c>
      <c r="AF454">
        <f t="shared" si="21"/>
        <v>90</v>
      </c>
      <c r="AG454" t="str">
        <f>IF(AF454="","",IF(AF454&gt;90,"Sangat baik",IF(AF454&gt;79,"Baik",IF(AF454&gt;=pub_gid_0_single_true_output_csv[[#This Row],[KKM]],"Cukup","Kurang"))))</f>
        <v>Baik</v>
      </c>
      <c r="AH454">
        <f t="shared" si="22"/>
        <v>11</v>
      </c>
      <c r="AI454" s="30" t="str">
        <f>IF(OR(J454&lt;&gt;"Karakter",pub_gid_0_single_true_output_csv[[#This Row],[Nilai2]]=""),"",IF(AF454&gt;89,"Sangat baik",IF(AF454&gt;79,"Baik",IF(AF454&gt;69,"Cukup",IF(AF454&gt;59,"Kurang","Sangat kurang")))))</f>
        <v>Sangat baik</v>
      </c>
      <c r="AJ454" t="str">
        <f t="shared" si="23"/>
        <v>Wk.2</v>
      </c>
      <c r="AK454" t="str">
        <f>IF(pub_gid_0_single_true_output_csv[[#This Row],[Nilai2]]="","",VLOOKUP(pub_gid_0_single_true_output_csv[[#This Row],[NAMA]],Table7[],3,FALSE))</f>
        <v>High average</v>
      </c>
    </row>
    <row r="455" spans="1:37" x14ac:dyDescent="0.2">
      <c r="A455">
        <v>454</v>
      </c>
      <c r="B455" t="s">
        <v>293</v>
      </c>
      <c r="C455" t="s">
        <v>54</v>
      </c>
      <c r="D455" t="s">
        <v>45</v>
      </c>
      <c r="E455" t="s">
        <v>147</v>
      </c>
      <c r="F455" s="25">
        <v>46051</v>
      </c>
      <c r="G455" t="s">
        <v>320</v>
      </c>
      <c r="H455" t="s">
        <v>405</v>
      </c>
      <c r="I455" t="s">
        <v>371</v>
      </c>
      <c r="J455" t="s">
        <v>36</v>
      </c>
      <c r="K455" t="s">
        <v>37</v>
      </c>
      <c r="L455" t="s">
        <v>324</v>
      </c>
      <c r="M455" t="s">
        <v>141</v>
      </c>
      <c r="N455" t="s">
        <v>142</v>
      </c>
      <c r="O455" t="s">
        <v>155</v>
      </c>
      <c r="P455" t="s">
        <v>281</v>
      </c>
      <c r="Q455" t="s">
        <v>155</v>
      </c>
      <c r="R455" t="s">
        <v>273</v>
      </c>
      <c r="S455" t="s">
        <v>355</v>
      </c>
      <c r="T455">
        <v>2</v>
      </c>
      <c r="U455" t="s">
        <v>414</v>
      </c>
      <c r="V455" t="s">
        <v>303</v>
      </c>
      <c r="W455" t="s">
        <v>415</v>
      </c>
      <c r="X455" t="s">
        <v>306</v>
      </c>
      <c r="Y455" t="s">
        <v>307</v>
      </c>
      <c r="Z455">
        <v>65</v>
      </c>
      <c r="AA455">
        <v>88</v>
      </c>
      <c r="AB455" t="s">
        <v>143</v>
      </c>
      <c r="AC455" t="s">
        <v>160</v>
      </c>
      <c r="AD455" t="s">
        <v>278</v>
      </c>
      <c r="AE455" t="str">
        <f>IF(AF455="","",VLOOKUP(AC455,mapel!$A$2:$B$42,2,FALSE))</f>
        <v>B.Ing</v>
      </c>
      <c r="AF455">
        <f t="shared" si="21"/>
        <v>88</v>
      </c>
      <c r="AG455" t="str">
        <f>IF(AF455="","",IF(AF455&gt;90,"Sangat baik",IF(AF455&gt;79,"Baik",IF(AF455&gt;=pub_gid_0_single_true_output_csv[[#This Row],[KKM]],"Cukup","Kurang"))))</f>
        <v>Baik</v>
      </c>
      <c r="AH455">
        <f t="shared" si="22"/>
        <v>11</v>
      </c>
      <c r="AI455" s="30" t="str">
        <f>IF(OR(J455&lt;&gt;"Karakter",pub_gid_0_single_true_output_csv[[#This Row],[Nilai2]]=""),"",IF(AF455&gt;89,"Sangat baik",IF(AF455&gt;79,"Baik",IF(AF455&gt;69,"Cukup",IF(AF455&gt;59,"Kurang","Sangat kurang")))))</f>
        <v/>
      </c>
      <c r="AJ455" t="str">
        <f t="shared" si="23"/>
        <v>Wk.5</v>
      </c>
      <c r="AK455" t="str">
        <f>IF(pub_gid_0_single_true_output_csv[[#This Row],[Nilai2]]="","",VLOOKUP(pub_gid_0_single_true_output_csv[[#This Row],[NAMA]],Table7[],3,FALSE))</f>
        <v>High average</v>
      </c>
    </row>
    <row r="456" spans="1:37" x14ac:dyDescent="0.2">
      <c r="A456">
        <v>455</v>
      </c>
      <c r="B456" t="s">
        <v>293</v>
      </c>
      <c r="C456" t="s">
        <v>54</v>
      </c>
      <c r="D456" t="s">
        <v>45</v>
      </c>
      <c r="E456" t="s">
        <v>147</v>
      </c>
      <c r="F456" s="25">
        <v>46051</v>
      </c>
      <c r="G456" t="s">
        <v>320</v>
      </c>
      <c r="H456" t="s">
        <v>405</v>
      </c>
      <c r="I456" t="s">
        <v>371</v>
      </c>
      <c r="J456" t="s">
        <v>90</v>
      </c>
      <c r="K456" t="s">
        <v>377</v>
      </c>
      <c r="L456" t="s">
        <v>378</v>
      </c>
      <c r="M456" t="s">
        <v>141</v>
      </c>
      <c r="N456" t="s">
        <v>142</v>
      </c>
      <c r="O456" t="s">
        <v>155</v>
      </c>
      <c r="P456" t="s">
        <v>281</v>
      </c>
      <c r="Q456" t="s">
        <v>155</v>
      </c>
      <c r="R456" t="s">
        <v>273</v>
      </c>
      <c r="S456" t="s">
        <v>355</v>
      </c>
      <c r="T456">
        <v>2</v>
      </c>
      <c r="U456" t="s">
        <v>414</v>
      </c>
      <c r="V456" t="s">
        <v>303</v>
      </c>
      <c r="W456" t="s">
        <v>415</v>
      </c>
      <c r="X456" t="s">
        <v>306</v>
      </c>
      <c r="Y456" t="s">
        <v>307</v>
      </c>
      <c r="Z456">
        <v>65</v>
      </c>
      <c r="AA456">
        <v>100</v>
      </c>
      <c r="AB456" t="s">
        <v>143</v>
      </c>
      <c r="AC456" t="s">
        <v>160</v>
      </c>
      <c r="AD456" t="s">
        <v>278</v>
      </c>
      <c r="AE456" t="str">
        <f>IF(AF456="","",VLOOKUP(AC456,mapel!$A$2:$B$42,2,FALSE))</f>
        <v>B.Ing</v>
      </c>
      <c r="AF456">
        <f t="shared" si="21"/>
        <v>100</v>
      </c>
      <c r="AG456" t="str">
        <f>IF(AF456="","",IF(AF456&gt;90,"Sangat baik",IF(AF456&gt;79,"Baik",IF(AF456&gt;=pub_gid_0_single_true_output_csv[[#This Row],[KKM]],"Cukup","Kurang"))))</f>
        <v>Sangat baik</v>
      </c>
      <c r="AH456">
        <f t="shared" si="22"/>
        <v>11</v>
      </c>
      <c r="AI456" s="30" t="str">
        <f>IF(OR(J456&lt;&gt;"Karakter",pub_gid_0_single_true_output_csv[[#This Row],[Nilai2]]=""),"",IF(AF456&gt;89,"Sangat baik",IF(AF456&gt;79,"Baik",IF(AF456&gt;69,"Cukup",IF(AF456&gt;59,"Kurang","Sangat kurang")))))</f>
        <v>Sangat baik</v>
      </c>
      <c r="AJ456" t="str">
        <f t="shared" si="23"/>
        <v>Wk.5</v>
      </c>
      <c r="AK456" t="str">
        <f>IF(pub_gid_0_single_true_output_csv[[#This Row],[Nilai2]]="","",VLOOKUP(pub_gid_0_single_true_output_csv[[#This Row],[NAMA]],Table7[],3,FALSE))</f>
        <v>High average</v>
      </c>
    </row>
    <row r="457" spans="1:37" x14ac:dyDescent="0.2">
      <c r="A457">
        <v>456</v>
      </c>
      <c r="B457" t="s">
        <v>293</v>
      </c>
      <c r="C457" t="s">
        <v>54</v>
      </c>
      <c r="D457" t="s">
        <v>45</v>
      </c>
      <c r="E457" t="s">
        <v>147</v>
      </c>
      <c r="F457" s="25">
        <v>46044</v>
      </c>
      <c r="G457" t="s">
        <v>305</v>
      </c>
      <c r="H457" t="s">
        <v>405</v>
      </c>
      <c r="I457" t="s">
        <v>371</v>
      </c>
      <c r="J457" t="s">
        <v>41</v>
      </c>
      <c r="K457" t="s">
        <v>365</v>
      </c>
      <c r="L457" t="s">
        <v>383</v>
      </c>
      <c r="M457" t="s">
        <v>141</v>
      </c>
      <c r="N457" t="s">
        <v>142</v>
      </c>
      <c r="O457" t="s">
        <v>155</v>
      </c>
      <c r="P457" t="s">
        <v>281</v>
      </c>
      <c r="Q457" t="s">
        <v>155</v>
      </c>
      <c r="R457" t="s">
        <v>273</v>
      </c>
      <c r="S457" t="s">
        <v>355</v>
      </c>
      <c r="T457">
        <v>2</v>
      </c>
      <c r="U457" t="s">
        <v>414</v>
      </c>
      <c r="V457" t="s">
        <v>303</v>
      </c>
      <c r="W457" t="s">
        <v>415</v>
      </c>
      <c r="X457" t="s">
        <v>306</v>
      </c>
      <c r="Y457" t="s">
        <v>307</v>
      </c>
      <c r="Z457">
        <v>65</v>
      </c>
      <c r="AA457">
        <v>5</v>
      </c>
      <c r="AB457" t="s">
        <v>151</v>
      </c>
      <c r="AC457" t="s">
        <v>160</v>
      </c>
      <c r="AD457" t="s">
        <v>278</v>
      </c>
      <c r="AE457" t="str">
        <f>IF(AF457="","",VLOOKUP(AC457,mapel!$A$2:$B$42,2,FALSE))</f>
        <v>B.Ing</v>
      </c>
      <c r="AF457">
        <f t="shared" si="21"/>
        <v>5</v>
      </c>
      <c r="AG457" t="str">
        <f>IF(AF457="","",IF(AF457&gt;90,"Sangat baik",IF(AF457&gt;79,"Baik",IF(AF457&gt;=pub_gid_0_single_true_output_csv[[#This Row],[KKM]],"Cukup","Kurang"))))</f>
        <v>Kurang</v>
      </c>
      <c r="AH457">
        <f t="shared" si="22"/>
        <v>11</v>
      </c>
      <c r="AI457" s="30" t="str">
        <f>IF(OR(J457&lt;&gt;"Karakter",pub_gid_0_single_true_output_csv[[#This Row],[Nilai2]]=""),"",IF(AF457&gt;89,"Sangat baik",IF(AF457&gt;79,"Baik",IF(AF457&gt;69,"Cukup",IF(AF457&gt;59,"Kurang","Sangat kurang")))))</f>
        <v/>
      </c>
      <c r="AJ457" t="str">
        <f t="shared" si="23"/>
        <v>Wk.4</v>
      </c>
      <c r="AK457" t="str">
        <f>IF(pub_gid_0_single_true_output_csv[[#This Row],[Nilai2]]="","",VLOOKUP(pub_gid_0_single_true_output_csv[[#This Row],[NAMA]],Table7[],3,FALSE))</f>
        <v>High average</v>
      </c>
    </row>
    <row r="458" spans="1:37" x14ac:dyDescent="0.2">
      <c r="A458">
        <v>457</v>
      </c>
      <c r="B458" t="s">
        <v>293</v>
      </c>
      <c r="C458" t="s">
        <v>54</v>
      </c>
      <c r="D458" t="s">
        <v>45</v>
      </c>
      <c r="E458" t="s">
        <v>147</v>
      </c>
      <c r="F458" s="25">
        <v>46044</v>
      </c>
      <c r="G458" t="s">
        <v>305</v>
      </c>
      <c r="H458" t="s">
        <v>405</v>
      </c>
      <c r="I458" t="s">
        <v>371</v>
      </c>
      <c r="J458" t="s">
        <v>36</v>
      </c>
      <c r="K458" t="s">
        <v>37</v>
      </c>
      <c r="L458" t="s">
        <v>321</v>
      </c>
      <c r="M458" t="s">
        <v>141</v>
      </c>
      <c r="N458" t="s">
        <v>142</v>
      </c>
      <c r="O458" t="s">
        <v>155</v>
      </c>
      <c r="P458" t="s">
        <v>281</v>
      </c>
      <c r="Q458" t="s">
        <v>155</v>
      </c>
      <c r="R458" t="s">
        <v>273</v>
      </c>
      <c r="S458" t="s">
        <v>355</v>
      </c>
      <c r="T458">
        <v>2</v>
      </c>
      <c r="U458" t="s">
        <v>414</v>
      </c>
      <c r="V458" t="s">
        <v>303</v>
      </c>
      <c r="W458" t="s">
        <v>415</v>
      </c>
      <c r="X458" t="s">
        <v>306</v>
      </c>
      <c r="Y458" t="s">
        <v>307</v>
      </c>
      <c r="Z458">
        <v>65</v>
      </c>
      <c r="AA458">
        <v>5</v>
      </c>
      <c r="AB458" t="s">
        <v>151</v>
      </c>
      <c r="AC458" t="s">
        <v>160</v>
      </c>
      <c r="AD458" t="s">
        <v>278</v>
      </c>
      <c r="AE458" t="str">
        <f>IF(AF458="","",VLOOKUP(AC458,mapel!$A$2:$B$42,2,FALSE))</f>
        <v>B.Ing</v>
      </c>
      <c r="AF458">
        <f t="shared" si="21"/>
        <v>5</v>
      </c>
      <c r="AG458" t="str">
        <f>IF(AF458="","",IF(AF458&gt;90,"Sangat baik",IF(AF458&gt;79,"Baik",IF(AF458&gt;=pub_gid_0_single_true_output_csv[[#This Row],[KKM]],"Cukup","Kurang"))))</f>
        <v>Kurang</v>
      </c>
      <c r="AH458">
        <f t="shared" si="22"/>
        <v>11</v>
      </c>
      <c r="AI458" s="30" t="str">
        <f>IF(OR(J458&lt;&gt;"Karakter",pub_gid_0_single_true_output_csv[[#This Row],[Nilai2]]=""),"",IF(AF458&gt;89,"Sangat baik",IF(AF458&gt;79,"Baik",IF(AF458&gt;69,"Cukup",IF(AF458&gt;59,"Kurang","Sangat kurang")))))</f>
        <v/>
      </c>
      <c r="AJ458" t="str">
        <f t="shared" si="23"/>
        <v>Wk.4</v>
      </c>
      <c r="AK458" t="str">
        <f>IF(pub_gid_0_single_true_output_csv[[#This Row],[Nilai2]]="","",VLOOKUP(pub_gid_0_single_true_output_csv[[#This Row],[NAMA]],Table7[],3,FALSE))</f>
        <v>High average</v>
      </c>
    </row>
    <row r="459" spans="1:37" x14ac:dyDescent="0.2">
      <c r="A459">
        <v>458</v>
      </c>
      <c r="B459" t="s">
        <v>293</v>
      </c>
      <c r="C459" t="s">
        <v>54</v>
      </c>
      <c r="D459" t="s">
        <v>45</v>
      </c>
      <c r="E459" t="s">
        <v>147</v>
      </c>
      <c r="F459" s="25">
        <v>46044</v>
      </c>
      <c r="G459" t="s">
        <v>305</v>
      </c>
      <c r="H459" t="s">
        <v>405</v>
      </c>
      <c r="I459" t="s">
        <v>371</v>
      </c>
      <c r="J459" t="s">
        <v>31</v>
      </c>
      <c r="K459" t="s">
        <v>32</v>
      </c>
      <c r="L459" t="s">
        <v>321</v>
      </c>
      <c r="M459" t="s">
        <v>141</v>
      </c>
      <c r="N459" t="s">
        <v>142</v>
      </c>
      <c r="O459" t="s">
        <v>155</v>
      </c>
      <c r="P459" t="s">
        <v>281</v>
      </c>
      <c r="Q459" t="s">
        <v>155</v>
      </c>
      <c r="R459" t="s">
        <v>273</v>
      </c>
      <c r="S459" t="s">
        <v>355</v>
      </c>
      <c r="T459">
        <v>2</v>
      </c>
      <c r="U459" t="s">
        <v>414</v>
      </c>
      <c r="V459" t="s">
        <v>303</v>
      </c>
      <c r="W459" t="s">
        <v>415</v>
      </c>
      <c r="X459" t="s">
        <v>306</v>
      </c>
      <c r="Y459" t="s">
        <v>307</v>
      </c>
      <c r="Z459">
        <v>65</v>
      </c>
      <c r="AA459">
        <v>5</v>
      </c>
      <c r="AB459" t="s">
        <v>151</v>
      </c>
      <c r="AC459" t="s">
        <v>160</v>
      </c>
      <c r="AD459" t="s">
        <v>278</v>
      </c>
      <c r="AE459" t="str">
        <f>IF(AF459="","",VLOOKUP(AC459,mapel!$A$2:$B$42,2,FALSE))</f>
        <v>B.Ing</v>
      </c>
      <c r="AF459">
        <f t="shared" si="21"/>
        <v>5</v>
      </c>
      <c r="AG459" t="str">
        <f>IF(AF459="","",IF(AF459&gt;90,"Sangat baik",IF(AF459&gt;79,"Baik",IF(AF459&gt;=pub_gid_0_single_true_output_csv[[#This Row],[KKM]],"Cukup","Kurang"))))</f>
        <v>Kurang</v>
      </c>
      <c r="AH459">
        <f t="shared" si="22"/>
        <v>11</v>
      </c>
      <c r="AI459" s="30" t="str">
        <f>IF(OR(J459&lt;&gt;"Karakter",pub_gid_0_single_true_output_csv[[#This Row],[Nilai2]]=""),"",IF(AF459&gt;89,"Sangat baik",IF(AF459&gt;79,"Baik",IF(AF459&gt;69,"Cukup",IF(AF459&gt;59,"Kurang","Sangat kurang")))))</f>
        <v/>
      </c>
      <c r="AJ459" t="str">
        <f t="shared" si="23"/>
        <v>Wk.4</v>
      </c>
      <c r="AK459" t="str">
        <f>IF(pub_gid_0_single_true_output_csv[[#This Row],[Nilai2]]="","",VLOOKUP(pub_gid_0_single_true_output_csv[[#This Row],[NAMA]],Table7[],3,FALSE))</f>
        <v>High average</v>
      </c>
    </row>
    <row r="460" spans="1:37" x14ac:dyDescent="0.2">
      <c r="A460">
        <v>459</v>
      </c>
      <c r="B460" t="s">
        <v>293</v>
      </c>
      <c r="C460" t="s">
        <v>54</v>
      </c>
      <c r="D460" t="s">
        <v>45</v>
      </c>
      <c r="E460" t="s">
        <v>147</v>
      </c>
      <c r="F460" s="25">
        <v>46065</v>
      </c>
      <c r="G460" t="s">
        <v>354</v>
      </c>
      <c r="H460" t="s">
        <v>412</v>
      </c>
      <c r="I460" t="s">
        <v>371</v>
      </c>
      <c r="J460" t="s">
        <v>36</v>
      </c>
      <c r="K460" t="s">
        <v>37</v>
      </c>
      <c r="L460" t="s">
        <v>324</v>
      </c>
      <c r="M460" t="s">
        <v>141</v>
      </c>
      <c r="N460" t="s">
        <v>142</v>
      </c>
      <c r="O460" t="s">
        <v>155</v>
      </c>
      <c r="P460" t="s">
        <v>281</v>
      </c>
      <c r="Q460" t="s">
        <v>155</v>
      </c>
      <c r="R460" t="s">
        <v>273</v>
      </c>
      <c r="S460" t="s">
        <v>355</v>
      </c>
      <c r="T460">
        <v>2</v>
      </c>
      <c r="U460" t="s">
        <v>414</v>
      </c>
      <c r="V460" t="s">
        <v>303</v>
      </c>
      <c r="W460" t="s">
        <v>415</v>
      </c>
      <c r="X460" t="s">
        <v>306</v>
      </c>
      <c r="Y460" t="s">
        <v>307</v>
      </c>
      <c r="Z460">
        <v>65</v>
      </c>
      <c r="AA460">
        <v>55</v>
      </c>
      <c r="AB460" t="s">
        <v>151</v>
      </c>
      <c r="AC460" t="s">
        <v>160</v>
      </c>
      <c r="AD460" t="s">
        <v>278</v>
      </c>
      <c r="AE460" t="str">
        <f>IF(AF460="","",VLOOKUP(AC460,mapel!$A$2:$B$42,2,FALSE))</f>
        <v>B.Ing</v>
      </c>
      <c r="AF460">
        <f t="shared" si="21"/>
        <v>55</v>
      </c>
      <c r="AG460" t="str">
        <f>IF(AF460="","",IF(AF460&gt;90,"Sangat baik",IF(AF460&gt;79,"Baik",IF(AF460&gt;=pub_gid_0_single_true_output_csv[[#This Row],[KKM]],"Cukup","Kurang"))))</f>
        <v>Kurang</v>
      </c>
      <c r="AH460">
        <f t="shared" si="22"/>
        <v>11</v>
      </c>
      <c r="AI460" s="30" t="str">
        <f>IF(OR(J460&lt;&gt;"Karakter",pub_gid_0_single_true_output_csv[[#This Row],[Nilai2]]=""),"",IF(AF460&gt;89,"Sangat baik",IF(AF460&gt;79,"Baik",IF(AF460&gt;69,"Cukup",IF(AF460&gt;59,"Kurang","Sangat kurang")))))</f>
        <v/>
      </c>
      <c r="AJ460" t="str">
        <f t="shared" si="23"/>
        <v>Wk.7</v>
      </c>
      <c r="AK460" t="str">
        <f>IF(pub_gid_0_single_true_output_csv[[#This Row],[Nilai2]]="","",VLOOKUP(pub_gid_0_single_true_output_csv[[#This Row],[NAMA]],Table7[],3,FALSE))</f>
        <v>High average</v>
      </c>
    </row>
    <row r="461" spans="1:37" x14ac:dyDescent="0.2">
      <c r="A461">
        <v>460</v>
      </c>
      <c r="B461" t="s">
        <v>293</v>
      </c>
      <c r="C461" t="s">
        <v>54</v>
      </c>
      <c r="D461" t="s">
        <v>45</v>
      </c>
      <c r="E461" t="s">
        <v>147</v>
      </c>
      <c r="F461" s="25">
        <v>46065</v>
      </c>
      <c r="G461" t="s">
        <v>354</v>
      </c>
      <c r="H461" t="s">
        <v>412</v>
      </c>
      <c r="I461" t="s">
        <v>371</v>
      </c>
      <c r="J461" t="s">
        <v>36</v>
      </c>
      <c r="K461" t="s">
        <v>37</v>
      </c>
      <c r="L461" t="s">
        <v>150</v>
      </c>
      <c r="M461" t="s">
        <v>141</v>
      </c>
      <c r="N461" t="s">
        <v>142</v>
      </c>
      <c r="O461" t="s">
        <v>155</v>
      </c>
      <c r="P461" t="s">
        <v>281</v>
      </c>
      <c r="Q461" t="s">
        <v>155</v>
      </c>
      <c r="R461" t="s">
        <v>273</v>
      </c>
      <c r="S461" t="s">
        <v>355</v>
      </c>
      <c r="T461">
        <v>2</v>
      </c>
      <c r="U461" t="s">
        <v>414</v>
      </c>
      <c r="V461" t="s">
        <v>303</v>
      </c>
      <c r="W461" t="s">
        <v>415</v>
      </c>
      <c r="X461" t="s">
        <v>306</v>
      </c>
      <c r="Y461" t="s">
        <v>307</v>
      </c>
      <c r="Z461">
        <v>65</v>
      </c>
      <c r="AA461">
        <v>50</v>
      </c>
      <c r="AB461" t="s">
        <v>151</v>
      </c>
      <c r="AC461" t="s">
        <v>160</v>
      </c>
      <c r="AD461" t="s">
        <v>278</v>
      </c>
      <c r="AE461" t="str">
        <f>IF(AF461="","",VLOOKUP(AC461,mapel!$A$2:$B$42,2,FALSE))</f>
        <v>B.Ing</v>
      </c>
      <c r="AF461">
        <f t="shared" si="21"/>
        <v>50</v>
      </c>
      <c r="AG461" t="str">
        <f>IF(AF461="","",IF(AF461&gt;90,"Sangat baik",IF(AF461&gt;79,"Baik",IF(AF461&gt;=pub_gid_0_single_true_output_csv[[#This Row],[KKM]],"Cukup","Kurang"))))</f>
        <v>Kurang</v>
      </c>
      <c r="AH461">
        <f t="shared" si="22"/>
        <v>11</v>
      </c>
      <c r="AI461" s="30" t="str">
        <f>IF(OR(J461&lt;&gt;"Karakter",pub_gid_0_single_true_output_csv[[#This Row],[Nilai2]]=""),"",IF(AF461&gt;89,"Sangat baik",IF(AF461&gt;79,"Baik",IF(AF461&gt;69,"Cukup",IF(AF461&gt;59,"Kurang","Sangat kurang")))))</f>
        <v/>
      </c>
      <c r="AJ461" t="str">
        <f t="shared" si="23"/>
        <v>Wk.7</v>
      </c>
      <c r="AK461" t="str">
        <f>IF(pub_gid_0_single_true_output_csv[[#This Row],[Nilai2]]="","",VLOOKUP(pub_gid_0_single_true_output_csv[[#This Row],[NAMA]],Table7[],3,FALSE))</f>
        <v>High average</v>
      </c>
    </row>
    <row r="462" spans="1:37" x14ac:dyDescent="0.2">
      <c r="A462">
        <v>461</v>
      </c>
      <c r="B462" t="s">
        <v>293</v>
      </c>
      <c r="C462" t="s">
        <v>54</v>
      </c>
      <c r="D462" t="s">
        <v>45</v>
      </c>
      <c r="E462" t="s">
        <v>147</v>
      </c>
      <c r="F462" s="25">
        <v>46065</v>
      </c>
      <c r="G462" t="s">
        <v>354</v>
      </c>
      <c r="H462" t="s">
        <v>412</v>
      </c>
      <c r="I462" t="s">
        <v>371</v>
      </c>
      <c r="J462" t="s">
        <v>41</v>
      </c>
      <c r="K462" t="s">
        <v>365</v>
      </c>
      <c r="L462" t="s">
        <v>150</v>
      </c>
      <c r="M462" t="s">
        <v>141</v>
      </c>
      <c r="N462" t="s">
        <v>142</v>
      </c>
      <c r="O462" t="s">
        <v>155</v>
      </c>
      <c r="P462" t="s">
        <v>281</v>
      </c>
      <c r="Q462" t="s">
        <v>155</v>
      </c>
      <c r="R462" t="s">
        <v>273</v>
      </c>
      <c r="S462" t="s">
        <v>355</v>
      </c>
      <c r="T462">
        <v>2</v>
      </c>
      <c r="U462" t="s">
        <v>414</v>
      </c>
      <c r="V462" t="s">
        <v>303</v>
      </c>
      <c r="W462" t="s">
        <v>415</v>
      </c>
      <c r="X462" t="s">
        <v>306</v>
      </c>
      <c r="Y462" t="s">
        <v>307</v>
      </c>
      <c r="Z462">
        <v>65</v>
      </c>
      <c r="AA462">
        <v>50</v>
      </c>
      <c r="AB462" t="s">
        <v>151</v>
      </c>
      <c r="AC462" t="s">
        <v>160</v>
      </c>
      <c r="AD462" t="s">
        <v>278</v>
      </c>
      <c r="AE462" t="str">
        <f>IF(AF462="","",VLOOKUP(AC462,mapel!$A$2:$B$42,2,FALSE))</f>
        <v>B.Ing</v>
      </c>
      <c r="AF462">
        <f t="shared" si="21"/>
        <v>50</v>
      </c>
      <c r="AG462" t="str">
        <f>IF(AF462="","",IF(AF462&gt;90,"Sangat baik",IF(AF462&gt;79,"Baik",IF(AF462&gt;=pub_gid_0_single_true_output_csv[[#This Row],[KKM]],"Cukup","Kurang"))))</f>
        <v>Kurang</v>
      </c>
      <c r="AH462">
        <f t="shared" si="22"/>
        <v>11</v>
      </c>
      <c r="AI462" s="30" t="str">
        <f>IF(OR(J462&lt;&gt;"Karakter",pub_gid_0_single_true_output_csv[[#This Row],[Nilai2]]=""),"",IF(AF462&gt;89,"Sangat baik",IF(AF462&gt;79,"Baik",IF(AF462&gt;69,"Cukup",IF(AF462&gt;59,"Kurang","Sangat kurang")))))</f>
        <v/>
      </c>
      <c r="AJ462" t="str">
        <f t="shared" si="23"/>
        <v>Wk.7</v>
      </c>
      <c r="AK462" t="str">
        <f>IF(pub_gid_0_single_true_output_csv[[#This Row],[Nilai2]]="","",VLOOKUP(pub_gid_0_single_true_output_csv[[#This Row],[NAMA]],Table7[],3,FALSE))</f>
        <v>High average</v>
      </c>
    </row>
    <row r="463" spans="1:37" x14ac:dyDescent="0.2">
      <c r="A463">
        <v>462</v>
      </c>
      <c r="B463" t="s">
        <v>293</v>
      </c>
      <c r="C463" t="s">
        <v>54</v>
      </c>
      <c r="D463" t="s">
        <v>45</v>
      </c>
      <c r="E463" t="s">
        <v>147</v>
      </c>
      <c r="F463" s="25">
        <v>46071</v>
      </c>
      <c r="G463" t="s">
        <v>323</v>
      </c>
      <c r="H463" t="s">
        <v>412</v>
      </c>
      <c r="I463" t="s">
        <v>371</v>
      </c>
      <c r="J463" t="s">
        <v>41</v>
      </c>
      <c r="K463" t="s">
        <v>365</v>
      </c>
      <c r="L463" t="s">
        <v>383</v>
      </c>
      <c r="M463" t="s">
        <v>141</v>
      </c>
      <c r="N463" t="s">
        <v>142</v>
      </c>
      <c r="O463" t="s">
        <v>155</v>
      </c>
      <c r="P463" t="s">
        <v>281</v>
      </c>
      <c r="Q463" t="s">
        <v>155</v>
      </c>
      <c r="R463" t="s">
        <v>273</v>
      </c>
      <c r="S463" t="s">
        <v>355</v>
      </c>
      <c r="T463">
        <v>2</v>
      </c>
      <c r="U463" t="s">
        <v>414</v>
      </c>
      <c r="V463" t="s">
        <v>303</v>
      </c>
      <c r="W463" t="s">
        <v>415</v>
      </c>
      <c r="X463" t="s">
        <v>306</v>
      </c>
      <c r="Y463" t="s">
        <v>307</v>
      </c>
      <c r="Z463">
        <v>65</v>
      </c>
      <c r="AA463">
        <v>80</v>
      </c>
      <c r="AB463" t="s">
        <v>143</v>
      </c>
      <c r="AC463" t="s">
        <v>160</v>
      </c>
      <c r="AD463" t="s">
        <v>278</v>
      </c>
      <c r="AE463" t="str">
        <f>IF(AF463="","",VLOOKUP(AC463,mapel!$A$2:$B$42,2,FALSE))</f>
        <v>B.Ing</v>
      </c>
      <c r="AF463">
        <f t="shared" si="21"/>
        <v>80</v>
      </c>
      <c r="AG463" t="str">
        <f>IF(AF463="","",IF(AF463&gt;90,"Sangat baik",IF(AF463&gt;79,"Baik",IF(AF463&gt;=pub_gid_0_single_true_output_csv[[#This Row],[KKM]],"Cukup","Kurang"))))</f>
        <v>Baik</v>
      </c>
      <c r="AH463">
        <f t="shared" si="22"/>
        <v>11</v>
      </c>
      <c r="AI463" s="30" t="str">
        <f>IF(OR(J463&lt;&gt;"Karakter",pub_gid_0_single_true_output_csv[[#This Row],[Nilai2]]=""),"",IF(AF463&gt;89,"Sangat baik",IF(AF463&gt;79,"Baik",IF(AF463&gt;69,"Cukup",IF(AF463&gt;59,"Kurang","Sangat kurang")))))</f>
        <v/>
      </c>
      <c r="AJ463" t="str">
        <f t="shared" si="23"/>
        <v>Wk.8</v>
      </c>
      <c r="AK463" t="str">
        <f>IF(pub_gid_0_single_true_output_csv[[#This Row],[Nilai2]]="","",VLOOKUP(pub_gid_0_single_true_output_csv[[#This Row],[NAMA]],Table7[],3,FALSE))</f>
        <v>High average</v>
      </c>
    </row>
    <row r="464" spans="1:37" x14ac:dyDescent="0.2">
      <c r="A464">
        <v>463</v>
      </c>
      <c r="B464" t="s">
        <v>293</v>
      </c>
      <c r="C464" t="s">
        <v>54</v>
      </c>
      <c r="D464" t="s">
        <v>45</v>
      </c>
      <c r="E464" t="s">
        <v>147</v>
      </c>
      <c r="F464" s="25">
        <v>46071</v>
      </c>
      <c r="G464" t="s">
        <v>323</v>
      </c>
      <c r="H464" t="s">
        <v>412</v>
      </c>
      <c r="I464" t="s">
        <v>371</v>
      </c>
      <c r="J464" t="s">
        <v>36</v>
      </c>
      <c r="K464" t="s">
        <v>37</v>
      </c>
      <c r="L464" t="s">
        <v>383</v>
      </c>
      <c r="M464" t="s">
        <v>141</v>
      </c>
      <c r="N464" t="s">
        <v>142</v>
      </c>
      <c r="O464" t="s">
        <v>155</v>
      </c>
      <c r="P464" t="s">
        <v>281</v>
      </c>
      <c r="Q464" t="s">
        <v>155</v>
      </c>
      <c r="R464" t="s">
        <v>273</v>
      </c>
      <c r="S464" t="s">
        <v>355</v>
      </c>
      <c r="T464">
        <v>2</v>
      </c>
      <c r="U464" t="s">
        <v>414</v>
      </c>
      <c r="V464" t="s">
        <v>303</v>
      </c>
      <c r="W464" t="s">
        <v>415</v>
      </c>
      <c r="X464" t="s">
        <v>306</v>
      </c>
      <c r="Y464" t="s">
        <v>307</v>
      </c>
      <c r="Z464">
        <v>65</v>
      </c>
      <c r="AA464">
        <v>80</v>
      </c>
      <c r="AB464" t="s">
        <v>143</v>
      </c>
      <c r="AC464" t="s">
        <v>160</v>
      </c>
      <c r="AD464" t="s">
        <v>278</v>
      </c>
      <c r="AE464" t="str">
        <f>IF(AF464="","",VLOOKUP(AC464,mapel!$A$2:$B$42,2,FALSE))</f>
        <v>B.Ing</v>
      </c>
      <c r="AF464">
        <f t="shared" si="21"/>
        <v>80</v>
      </c>
      <c r="AG464" t="str">
        <f>IF(AF464="","",IF(AF464&gt;90,"Sangat baik",IF(AF464&gt;79,"Baik",IF(AF464&gt;=pub_gid_0_single_true_output_csv[[#This Row],[KKM]],"Cukup","Kurang"))))</f>
        <v>Baik</v>
      </c>
      <c r="AH464">
        <f t="shared" si="22"/>
        <v>11</v>
      </c>
      <c r="AI464" s="30" t="str">
        <f>IF(OR(J464&lt;&gt;"Karakter",pub_gid_0_single_true_output_csv[[#This Row],[Nilai2]]=""),"",IF(AF464&gt;89,"Sangat baik",IF(AF464&gt;79,"Baik",IF(AF464&gt;69,"Cukup",IF(AF464&gt;59,"Kurang","Sangat kurang")))))</f>
        <v/>
      </c>
      <c r="AJ464" t="str">
        <f t="shared" si="23"/>
        <v>Wk.8</v>
      </c>
      <c r="AK464" t="str">
        <f>IF(pub_gid_0_single_true_output_csv[[#This Row],[Nilai2]]="","",VLOOKUP(pub_gid_0_single_true_output_csv[[#This Row],[NAMA]],Table7[],3,FALSE))</f>
        <v>High average</v>
      </c>
    </row>
    <row r="465" spans="1:37" x14ac:dyDescent="0.2">
      <c r="A465">
        <v>464</v>
      </c>
      <c r="B465" t="s">
        <v>287</v>
      </c>
      <c r="C465" t="s">
        <v>54</v>
      </c>
      <c r="D465" t="s">
        <v>34</v>
      </c>
      <c r="E465" t="s">
        <v>140</v>
      </c>
      <c r="F465" s="25">
        <v>46030</v>
      </c>
      <c r="G465" t="s">
        <v>347</v>
      </c>
      <c r="H465" t="s">
        <v>405</v>
      </c>
      <c r="I465" t="s">
        <v>371</v>
      </c>
      <c r="J465" t="s">
        <v>36</v>
      </c>
      <c r="K465" t="s">
        <v>37</v>
      </c>
      <c r="L465" t="s">
        <v>321</v>
      </c>
      <c r="M465" t="s">
        <v>141</v>
      </c>
      <c r="N465" t="s">
        <v>142</v>
      </c>
      <c r="O465" t="s">
        <v>155</v>
      </c>
      <c r="P465" t="s">
        <v>281</v>
      </c>
      <c r="Q465" t="s">
        <v>155</v>
      </c>
      <c r="R465" t="s">
        <v>273</v>
      </c>
      <c r="S465" t="s">
        <v>355</v>
      </c>
      <c r="T465">
        <v>2</v>
      </c>
      <c r="U465" t="s">
        <v>414</v>
      </c>
      <c r="V465" t="s">
        <v>303</v>
      </c>
      <c r="W465" t="s">
        <v>415</v>
      </c>
      <c r="X465" t="s">
        <v>306</v>
      </c>
      <c r="Y465" t="s">
        <v>307</v>
      </c>
      <c r="Z465">
        <v>65</v>
      </c>
      <c r="AA465">
        <v>80</v>
      </c>
      <c r="AB465" t="s">
        <v>143</v>
      </c>
      <c r="AC465" t="s">
        <v>160</v>
      </c>
      <c r="AD465" t="s">
        <v>278</v>
      </c>
      <c r="AE465" t="str">
        <f>IF(AF465="","",VLOOKUP(AC465,mapel!$A$2:$B$42,2,FALSE))</f>
        <v>B.Ing</v>
      </c>
      <c r="AF465">
        <f t="shared" si="21"/>
        <v>80</v>
      </c>
      <c r="AG465" t="str">
        <f>IF(AF465="","",IF(AF465&gt;90,"Sangat baik",IF(AF465&gt;79,"Baik",IF(AF465&gt;=pub_gid_0_single_true_output_csv[[#This Row],[KKM]],"Cukup","Kurang"))))</f>
        <v>Baik</v>
      </c>
      <c r="AH465">
        <f t="shared" si="22"/>
        <v>11</v>
      </c>
      <c r="AI465" s="30" t="str">
        <f>IF(OR(J465&lt;&gt;"Karakter",pub_gid_0_single_true_output_csv[[#This Row],[Nilai2]]=""),"",IF(AF465&gt;89,"Sangat baik",IF(AF465&gt;79,"Baik",IF(AF465&gt;69,"Cukup",IF(AF465&gt;59,"Kurang","Sangat kurang")))))</f>
        <v/>
      </c>
      <c r="AJ465" t="str">
        <f t="shared" si="23"/>
        <v>Wk.2</v>
      </c>
      <c r="AK465" t="str">
        <f>IF(pub_gid_0_single_true_output_csv[[#This Row],[Nilai2]]="","",VLOOKUP(pub_gid_0_single_true_output_csv[[#This Row],[NAMA]],Table7[],3,FALSE))</f>
        <v>Average</v>
      </c>
    </row>
    <row r="466" spans="1:37" x14ac:dyDescent="0.2">
      <c r="A466">
        <v>465</v>
      </c>
      <c r="B466" t="s">
        <v>287</v>
      </c>
      <c r="C466" t="s">
        <v>54</v>
      </c>
      <c r="D466" t="s">
        <v>34</v>
      </c>
      <c r="E466" t="s">
        <v>140</v>
      </c>
      <c r="F466" s="25">
        <v>46030</v>
      </c>
      <c r="G466" t="s">
        <v>347</v>
      </c>
      <c r="H466" t="s">
        <v>405</v>
      </c>
      <c r="I466" t="s">
        <v>371</v>
      </c>
      <c r="J466" t="s">
        <v>41</v>
      </c>
      <c r="K466" t="s">
        <v>157</v>
      </c>
      <c r="L466" t="s">
        <v>395</v>
      </c>
      <c r="M466" t="s">
        <v>141</v>
      </c>
      <c r="N466" t="s">
        <v>142</v>
      </c>
      <c r="O466" t="s">
        <v>155</v>
      </c>
      <c r="P466" t="s">
        <v>281</v>
      </c>
      <c r="Q466" t="s">
        <v>155</v>
      </c>
      <c r="R466" t="s">
        <v>273</v>
      </c>
      <c r="S466" t="s">
        <v>355</v>
      </c>
      <c r="T466">
        <v>2</v>
      </c>
      <c r="U466" t="s">
        <v>414</v>
      </c>
      <c r="V466" t="s">
        <v>303</v>
      </c>
      <c r="W466" t="s">
        <v>415</v>
      </c>
      <c r="X466" t="s">
        <v>306</v>
      </c>
      <c r="Y466" t="s">
        <v>307</v>
      </c>
      <c r="Z466">
        <v>65</v>
      </c>
      <c r="AA466">
        <v>80</v>
      </c>
      <c r="AB466" t="s">
        <v>143</v>
      </c>
      <c r="AC466" t="s">
        <v>160</v>
      </c>
      <c r="AD466" t="s">
        <v>278</v>
      </c>
      <c r="AE466" t="str">
        <f>IF(AF466="","",VLOOKUP(AC466,mapel!$A$2:$B$42,2,FALSE))</f>
        <v>B.Ing</v>
      </c>
      <c r="AF466">
        <f t="shared" si="21"/>
        <v>80</v>
      </c>
      <c r="AG466" t="str">
        <f>IF(AF466="","",IF(AF466&gt;90,"Sangat baik",IF(AF466&gt;79,"Baik",IF(AF466&gt;=pub_gid_0_single_true_output_csv[[#This Row],[KKM]],"Cukup","Kurang"))))</f>
        <v>Baik</v>
      </c>
      <c r="AH466">
        <f t="shared" si="22"/>
        <v>11</v>
      </c>
      <c r="AI466" s="30" t="str">
        <f>IF(OR(J466&lt;&gt;"Karakter",pub_gid_0_single_true_output_csv[[#This Row],[Nilai2]]=""),"",IF(AF466&gt;89,"Sangat baik",IF(AF466&gt;79,"Baik",IF(AF466&gt;69,"Cukup",IF(AF466&gt;59,"Kurang","Sangat kurang")))))</f>
        <v/>
      </c>
      <c r="AJ466" t="str">
        <f t="shared" si="23"/>
        <v>Wk.2</v>
      </c>
      <c r="AK466" t="str">
        <f>IF(pub_gid_0_single_true_output_csv[[#This Row],[Nilai2]]="","",VLOOKUP(pub_gid_0_single_true_output_csv[[#This Row],[NAMA]],Table7[],3,FALSE))</f>
        <v>Average</v>
      </c>
    </row>
    <row r="467" spans="1:37" x14ac:dyDescent="0.2">
      <c r="A467">
        <v>466</v>
      </c>
      <c r="B467" t="s">
        <v>287</v>
      </c>
      <c r="C467" t="s">
        <v>54</v>
      </c>
      <c r="D467" t="s">
        <v>34</v>
      </c>
      <c r="E467" t="s">
        <v>140</v>
      </c>
      <c r="F467" s="25">
        <v>46030</v>
      </c>
      <c r="G467" t="s">
        <v>347</v>
      </c>
      <c r="H467" t="s">
        <v>405</v>
      </c>
      <c r="I467" t="s">
        <v>371</v>
      </c>
      <c r="J467" t="s">
        <v>90</v>
      </c>
      <c r="K467" t="s">
        <v>92</v>
      </c>
      <c r="L467" t="s">
        <v>95</v>
      </c>
      <c r="M467" t="s">
        <v>141</v>
      </c>
      <c r="N467" t="s">
        <v>142</v>
      </c>
      <c r="O467" t="s">
        <v>155</v>
      </c>
      <c r="P467" t="s">
        <v>281</v>
      </c>
      <c r="Q467" t="s">
        <v>155</v>
      </c>
      <c r="R467" t="s">
        <v>273</v>
      </c>
      <c r="S467" t="s">
        <v>355</v>
      </c>
      <c r="T467">
        <v>2</v>
      </c>
      <c r="U467" t="s">
        <v>414</v>
      </c>
      <c r="V467" t="s">
        <v>303</v>
      </c>
      <c r="W467" t="s">
        <v>415</v>
      </c>
      <c r="X467" t="s">
        <v>306</v>
      </c>
      <c r="Y467" t="s">
        <v>307</v>
      </c>
      <c r="Z467">
        <v>65</v>
      </c>
      <c r="AA467">
        <v>90</v>
      </c>
      <c r="AB467" t="s">
        <v>143</v>
      </c>
      <c r="AC467" t="s">
        <v>160</v>
      </c>
      <c r="AD467" t="s">
        <v>278</v>
      </c>
      <c r="AE467" t="str">
        <f>IF(AF467="","",VLOOKUP(AC467,mapel!$A$2:$B$42,2,FALSE))</f>
        <v>B.Ing</v>
      </c>
      <c r="AF467">
        <f t="shared" si="21"/>
        <v>90</v>
      </c>
      <c r="AG467" t="str">
        <f>IF(AF467="","",IF(AF467&gt;90,"Sangat baik",IF(AF467&gt;79,"Baik",IF(AF467&gt;=pub_gid_0_single_true_output_csv[[#This Row],[KKM]],"Cukup","Kurang"))))</f>
        <v>Baik</v>
      </c>
      <c r="AH467">
        <f t="shared" si="22"/>
        <v>11</v>
      </c>
      <c r="AI467" s="30" t="str">
        <f>IF(OR(J467&lt;&gt;"Karakter",pub_gid_0_single_true_output_csv[[#This Row],[Nilai2]]=""),"",IF(AF467&gt;89,"Sangat baik",IF(AF467&gt;79,"Baik",IF(AF467&gt;69,"Cukup",IF(AF467&gt;59,"Kurang","Sangat kurang")))))</f>
        <v>Sangat baik</v>
      </c>
      <c r="AJ467" t="str">
        <f t="shared" si="23"/>
        <v>Wk.2</v>
      </c>
      <c r="AK467" t="str">
        <f>IF(pub_gid_0_single_true_output_csv[[#This Row],[Nilai2]]="","",VLOOKUP(pub_gid_0_single_true_output_csv[[#This Row],[NAMA]],Table7[],3,FALSE))</f>
        <v>Average</v>
      </c>
    </row>
    <row r="468" spans="1:37" x14ac:dyDescent="0.2">
      <c r="A468">
        <v>467</v>
      </c>
      <c r="B468" t="s">
        <v>287</v>
      </c>
      <c r="C468" t="s">
        <v>54</v>
      </c>
      <c r="D468" t="s">
        <v>34</v>
      </c>
      <c r="E468" t="s">
        <v>140</v>
      </c>
      <c r="F468" s="25">
        <v>46051</v>
      </c>
      <c r="G468" t="s">
        <v>320</v>
      </c>
      <c r="H468" t="s">
        <v>405</v>
      </c>
      <c r="I468" t="s">
        <v>371</v>
      </c>
      <c r="J468" t="s">
        <v>36</v>
      </c>
      <c r="K468" t="s">
        <v>37</v>
      </c>
      <c r="L468" t="s">
        <v>324</v>
      </c>
      <c r="M468" t="s">
        <v>141</v>
      </c>
      <c r="N468" t="s">
        <v>142</v>
      </c>
      <c r="O468" t="s">
        <v>155</v>
      </c>
      <c r="P468" t="s">
        <v>281</v>
      </c>
      <c r="Q468" t="s">
        <v>155</v>
      </c>
      <c r="R468" t="s">
        <v>273</v>
      </c>
      <c r="S468" t="s">
        <v>355</v>
      </c>
      <c r="T468">
        <v>2</v>
      </c>
      <c r="U468" t="s">
        <v>414</v>
      </c>
      <c r="V468" t="s">
        <v>303</v>
      </c>
      <c r="W468" t="s">
        <v>415</v>
      </c>
      <c r="X468" t="s">
        <v>306</v>
      </c>
      <c r="Y468" t="s">
        <v>307</v>
      </c>
      <c r="Z468">
        <v>65</v>
      </c>
      <c r="AA468">
        <v>53</v>
      </c>
      <c r="AB468" t="s">
        <v>151</v>
      </c>
      <c r="AC468" t="s">
        <v>160</v>
      </c>
      <c r="AD468" t="s">
        <v>278</v>
      </c>
      <c r="AE468" t="str">
        <f>IF(AF468="","",VLOOKUP(AC468,mapel!$A$2:$B$42,2,FALSE))</f>
        <v>B.Ing</v>
      </c>
      <c r="AF468">
        <f t="shared" si="21"/>
        <v>53</v>
      </c>
      <c r="AG468" t="str">
        <f>IF(AF468="","",IF(AF468&gt;90,"Sangat baik",IF(AF468&gt;79,"Baik",IF(AF468&gt;=pub_gid_0_single_true_output_csv[[#This Row],[KKM]],"Cukup","Kurang"))))</f>
        <v>Kurang</v>
      </c>
      <c r="AH468">
        <f t="shared" si="22"/>
        <v>11</v>
      </c>
      <c r="AI468" s="30" t="str">
        <f>IF(OR(J468&lt;&gt;"Karakter",pub_gid_0_single_true_output_csv[[#This Row],[Nilai2]]=""),"",IF(AF468&gt;89,"Sangat baik",IF(AF468&gt;79,"Baik",IF(AF468&gt;69,"Cukup",IF(AF468&gt;59,"Kurang","Sangat kurang")))))</f>
        <v/>
      </c>
      <c r="AJ468" t="str">
        <f t="shared" si="23"/>
        <v>Wk.5</v>
      </c>
      <c r="AK468" t="str">
        <f>IF(pub_gid_0_single_true_output_csv[[#This Row],[Nilai2]]="","",VLOOKUP(pub_gid_0_single_true_output_csv[[#This Row],[NAMA]],Table7[],3,FALSE))</f>
        <v>Average</v>
      </c>
    </row>
    <row r="469" spans="1:37" x14ac:dyDescent="0.2">
      <c r="A469">
        <v>468</v>
      </c>
      <c r="B469" t="s">
        <v>287</v>
      </c>
      <c r="C469" t="s">
        <v>54</v>
      </c>
      <c r="D469" t="s">
        <v>34</v>
      </c>
      <c r="E469" t="s">
        <v>140</v>
      </c>
      <c r="F469" s="25">
        <v>46051</v>
      </c>
      <c r="G469" t="s">
        <v>320</v>
      </c>
      <c r="H469" t="s">
        <v>405</v>
      </c>
      <c r="I469" t="s">
        <v>371</v>
      </c>
      <c r="J469" t="s">
        <v>90</v>
      </c>
      <c r="K469" t="s">
        <v>377</v>
      </c>
      <c r="L469" t="s">
        <v>378</v>
      </c>
      <c r="M469" t="s">
        <v>141</v>
      </c>
      <c r="N469" t="s">
        <v>142</v>
      </c>
      <c r="O469" t="s">
        <v>155</v>
      </c>
      <c r="P469" t="s">
        <v>281</v>
      </c>
      <c r="Q469" t="s">
        <v>155</v>
      </c>
      <c r="R469" t="s">
        <v>273</v>
      </c>
      <c r="S469" t="s">
        <v>355</v>
      </c>
      <c r="T469">
        <v>2</v>
      </c>
      <c r="U469" t="s">
        <v>414</v>
      </c>
      <c r="V469" t="s">
        <v>303</v>
      </c>
      <c r="W469" t="s">
        <v>415</v>
      </c>
      <c r="X469" t="s">
        <v>306</v>
      </c>
      <c r="Y469" t="s">
        <v>307</v>
      </c>
      <c r="Z469">
        <v>65</v>
      </c>
      <c r="AA469">
        <v>100</v>
      </c>
      <c r="AB469" t="s">
        <v>143</v>
      </c>
      <c r="AC469" t="s">
        <v>160</v>
      </c>
      <c r="AD469" t="s">
        <v>278</v>
      </c>
      <c r="AE469" t="str">
        <f>IF(AF469="","",VLOOKUP(AC469,mapel!$A$2:$B$42,2,FALSE))</f>
        <v>B.Ing</v>
      </c>
      <c r="AF469">
        <f t="shared" si="21"/>
        <v>100</v>
      </c>
      <c r="AG469" t="str">
        <f>IF(AF469="","",IF(AF469&gt;90,"Sangat baik",IF(AF469&gt;79,"Baik",IF(AF469&gt;=pub_gid_0_single_true_output_csv[[#This Row],[KKM]],"Cukup","Kurang"))))</f>
        <v>Sangat baik</v>
      </c>
      <c r="AH469">
        <f t="shared" si="22"/>
        <v>11</v>
      </c>
      <c r="AI469" s="30" t="str">
        <f>IF(OR(J469&lt;&gt;"Karakter",pub_gid_0_single_true_output_csv[[#This Row],[Nilai2]]=""),"",IF(AF469&gt;89,"Sangat baik",IF(AF469&gt;79,"Baik",IF(AF469&gt;69,"Cukup",IF(AF469&gt;59,"Kurang","Sangat kurang")))))</f>
        <v>Sangat baik</v>
      </c>
      <c r="AJ469" t="str">
        <f t="shared" si="23"/>
        <v>Wk.5</v>
      </c>
      <c r="AK469" t="str">
        <f>IF(pub_gid_0_single_true_output_csv[[#This Row],[Nilai2]]="","",VLOOKUP(pub_gid_0_single_true_output_csv[[#This Row],[NAMA]],Table7[],3,FALSE))</f>
        <v>Average</v>
      </c>
    </row>
    <row r="470" spans="1:37" x14ac:dyDescent="0.2">
      <c r="A470">
        <v>469</v>
      </c>
      <c r="B470" t="s">
        <v>287</v>
      </c>
      <c r="C470" t="s">
        <v>54</v>
      </c>
      <c r="D470" t="s">
        <v>34</v>
      </c>
      <c r="E470" t="s">
        <v>140</v>
      </c>
      <c r="F470" s="25">
        <v>46044</v>
      </c>
      <c r="G470" t="s">
        <v>305</v>
      </c>
      <c r="H470" t="s">
        <v>405</v>
      </c>
      <c r="I470" t="s">
        <v>371</v>
      </c>
      <c r="J470" t="s">
        <v>41</v>
      </c>
      <c r="K470" t="s">
        <v>365</v>
      </c>
      <c r="L470" t="s">
        <v>383</v>
      </c>
      <c r="M470" t="s">
        <v>141</v>
      </c>
      <c r="N470" t="s">
        <v>142</v>
      </c>
      <c r="O470" t="s">
        <v>155</v>
      </c>
      <c r="P470" t="s">
        <v>281</v>
      </c>
      <c r="Q470" t="s">
        <v>155</v>
      </c>
      <c r="R470" t="s">
        <v>273</v>
      </c>
      <c r="S470" t="s">
        <v>355</v>
      </c>
      <c r="T470">
        <v>2</v>
      </c>
      <c r="U470" t="s">
        <v>414</v>
      </c>
      <c r="V470" t="s">
        <v>303</v>
      </c>
      <c r="W470" t="s">
        <v>415</v>
      </c>
      <c r="X470" t="s">
        <v>306</v>
      </c>
      <c r="Y470" t="s">
        <v>307</v>
      </c>
      <c r="Z470">
        <v>65</v>
      </c>
      <c r="AA470">
        <v>59</v>
      </c>
      <c r="AB470" t="s">
        <v>151</v>
      </c>
      <c r="AC470" t="s">
        <v>160</v>
      </c>
      <c r="AD470" t="s">
        <v>278</v>
      </c>
      <c r="AE470" t="str">
        <f>IF(AF470="","",VLOOKUP(AC470,mapel!$A$2:$B$42,2,FALSE))</f>
        <v>B.Ing</v>
      </c>
      <c r="AF470">
        <f t="shared" si="21"/>
        <v>59</v>
      </c>
      <c r="AG470" t="str">
        <f>IF(AF470="","",IF(AF470&gt;90,"Sangat baik",IF(AF470&gt;79,"Baik",IF(AF470&gt;=pub_gid_0_single_true_output_csv[[#This Row],[KKM]],"Cukup","Kurang"))))</f>
        <v>Kurang</v>
      </c>
      <c r="AH470">
        <f t="shared" si="22"/>
        <v>11</v>
      </c>
      <c r="AI470" s="30" t="str">
        <f>IF(OR(J470&lt;&gt;"Karakter",pub_gid_0_single_true_output_csv[[#This Row],[Nilai2]]=""),"",IF(AF470&gt;89,"Sangat baik",IF(AF470&gt;79,"Baik",IF(AF470&gt;69,"Cukup",IF(AF470&gt;59,"Kurang","Sangat kurang")))))</f>
        <v/>
      </c>
      <c r="AJ470" t="str">
        <f t="shared" si="23"/>
        <v>Wk.4</v>
      </c>
      <c r="AK470" t="str">
        <f>IF(pub_gid_0_single_true_output_csv[[#This Row],[Nilai2]]="","",VLOOKUP(pub_gid_0_single_true_output_csv[[#This Row],[NAMA]],Table7[],3,FALSE))</f>
        <v>Average</v>
      </c>
    </row>
    <row r="471" spans="1:37" x14ac:dyDescent="0.2">
      <c r="A471">
        <v>470</v>
      </c>
      <c r="B471" t="s">
        <v>287</v>
      </c>
      <c r="C471" t="s">
        <v>54</v>
      </c>
      <c r="D471" t="s">
        <v>34</v>
      </c>
      <c r="E471" t="s">
        <v>140</v>
      </c>
      <c r="F471" s="25">
        <v>46044</v>
      </c>
      <c r="G471" t="s">
        <v>305</v>
      </c>
      <c r="H471" t="s">
        <v>405</v>
      </c>
      <c r="I471" t="s">
        <v>371</v>
      </c>
      <c r="J471" t="s">
        <v>36</v>
      </c>
      <c r="K471" t="s">
        <v>37</v>
      </c>
      <c r="L471" t="s">
        <v>321</v>
      </c>
      <c r="M471" t="s">
        <v>141</v>
      </c>
      <c r="N471" t="s">
        <v>142</v>
      </c>
      <c r="O471" t="s">
        <v>155</v>
      </c>
      <c r="P471" t="s">
        <v>281</v>
      </c>
      <c r="Q471" t="s">
        <v>155</v>
      </c>
      <c r="R471" t="s">
        <v>273</v>
      </c>
      <c r="S471" t="s">
        <v>355</v>
      </c>
      <c r="T471">
        <v>2</v>
      </c>
      <c r="U471" t="s">
        <v>414</v>
      </c>
      <c r="V471" t="s">
        <v>303</v>
      </c>
      <c r="W471" t="s">
        <v>415</v>
      </c>
      <c r="X471" t="s">
        <v>306</v>
      </c>
      <c r="Y471" t="s">
        <v>307</v>
      </c>
      <c r="Z471">
        <v>65</v>
      </c>
      <c r="AA471">
        <v>59</v>
      </c>
      <c r="AB471" t="s">
        <v>151</v>
      </c>
      <c r="AC471" t="s">
        <v>160</v>
      </c>
      <c r="AD471" t="s">
        <v>278</v>
      </c>
      <c r="AE471" t="str">
        <f>IF(AF471="","",VLOOKUP(AC471,mapel!$A$2:$B$42,2,FALSE))</f>
        <v>B.Ing</v>
      </c>
      <c r="AF471">
        <f t="shared" si="21"/>
        <v>59</v>
      </c>
      <c r="AG471" t="str">
        <f>IF(AF471="","",IF(AF471&gt;90,"Sangat baik",IF(AF471&gt;79,"Baik",IF(AF471&gt;=pub_gid_0_single_true_output_csv[[#This Row],[KKM]],"Cukup","Kurang"))))</f>
        <v>Kurang</v>
      </c>
      <c r="AH471">
        <f t="shared" si="22"/>
        <v>11</v>
      </c>
      <c r="AI471" s="30" t="str">
        <f>IF(OR(J471&lt;&gt;"Karakter",pub_gid_0_single_true_output_csv[[#This Row],[Nilai2]]=""),"",IF(AF471&gt;89,"Sangat baik",IF(AF471&gt;79,"Baik",IF(AF471&gt;69,"Cukup",IF(AF471&gt;59,"Kurang","Sangat kurang")))))</f>
        <v/>
      </c>
      <c r="AJ471" t="str">
        <f t="shared" si="23"/>
        <v>Wk.4</v>
      </c>
      <c r="AK471" t="str">
        <f>IF(pub_gid_0_single_true_output_csv[[#This Row],[Nilai2]]="","",VLOOKUP(pub_gid_0_single_true_output_csv[[#This Row],[NAMA]],Table7[],3,FALSE))</f>
        <v>Average</v>
      </c>
    </row>
    <row r="472" spans="1:37" x14ac:dyDescent="0.2">
      <c r="A472">
        <v>471</v>
      </c>
      <c r="B472" t="s">
        <v>287</v>
      </c>
      <c r="C472" t="s">
        <v>54</v>
      </c>
      <c r="D472" t="s">
        <v>34</v>
      </c>
      <c r="E472" t="s">
        <v>140</v>
      </c>
      <c r="F472" s="25">
        <v>46044</v>
      </c>
      <c r="G472" t="s">
        <v>305</v>
      </c>
      <c r="H472" t="s">
        <v>405</v>
      </c>
      <c r="I472" t="s">
        <v>371</v>
      </c>
      <c r="J472" t="s">
        <v>31</v>
      </c>
      <c r="K472" t="s">
        <v>32</v>
      </c>
      <c r="L472" t="s">
        <v>321</v>
      </c>
      <c r="M472" t="s">
        <v>141</v>
      </c>
      <c r="N472" t="s">
        <v>142</v>
      </c>
      <c r="O472" t="s">
        <v>155</v>
      </c>
      <c r="P472" t="s">
        <v>281</v>
      </c>
      <c r="Q472" t="s">
        <v>155</v>
      </c>
      <c r="R472" t="s">
        <v>273</v>
      </c>
      <c r="S472" t="s">
        <v>355</v>
      </c>
      <c r="T472">
        <v>2</v>
      </c>
      <c r="U472" t="s">
        <v>414</v>
      </c>
      <c r="V472" t="s">
        <v>303</v>
      </c>
      <c r="W472" t="s">
        <v>415</v>
      </c>
      <c r="X472" t="s">
        <v>306</v>
      </c>
      <c r="Y472" t="s">
        <v>307</v>
      </c>
      <c r="Z472">
        <v>65</v>
      </c>
      <c r="AA472">
        <v>59</v>
      </c>
      <c r="AB472" t="s">
        <v>151</v>
      </c>
      <c r="AC472" t="s">
        <v>160</v>
      </c>
      <c r="AD472" t="s">
        <v>278</v>
      </c>
      <c r="AE472" t="str">
        <f>IF(AF472="","",VLOOKUP(AC472,mapel!$A$2:$B$42,2,FALSE))</f>
        <v>B.Ing</v>
      </c>
      <c r="AF472">
        <f t="shared" si="21"/>
        <v>59</v>
      </c>
      <c r="AG472" t="str">
        <f>IF(AF472="","",IF(AF472&gt;90,"Sangat baik",IF(AF472&gt;79,"Baik",IF(AF472&gt;=pub_gid_0_single_true_output_csv[[#This Row],[KKM]],"Cukup","Kurang"))))</f>
        <v>Kurang</v>
      </c>
      <c r="AH472">
        <f t="shared" si="22"/>
        <v>11</v>
      </c>
      <c r="AI472" s="30" t="str">
        <f>IF(OR(J472&lt;&gt;"Karakter",pub_gid_0_single_true_output_csv[[#This Row],[Nilai2]]=""),"",IF(AF472&gt;89,"Sangat baik",IF(AF472&gt;79,"Baik",IF(AF472&gt;69,"Cukup",IF(AF472&gt;59,"Kurang","Sangat kurang")))))</f>
        <v/>
      </c>
      <c r="AJ472" t="str">
        <f t="shared" si="23"/>
        <v>Wk.4</v>
      </c>
      <c r="AK472" t="str">
        <f>IF(pub_gid_0_single_true_output_csv[[#This Row],[Nilai2]]="","",VLOOKUP(pub_gid_0_single_true_output_csv[[#This Row],[NAMA]],Table7[],3,FALSE))</f>
        <v>Average</v>
      </c>
    </row>
    <row r="473" spans="1:37" x14ac:dyDescent="0.2">
      <c r="A473">
        <v>472</v>
      </c>
      <c r="B473" t="s">
        <v>287</v>
      </c>
      <c r="C473" t="s">
        <v>54</v>
      </c>
      <c r="D473" t="s">
        <v>34</v>
      </c>
      <c r="E473" t="s">
        <v>140</v>
      </c>
      <c r="F473" s="25">
        <v>46065</v>
      </c>
      <c r="G473" t="s">
        <v>354</v>
      </c>
      <c r="H473" t="s">
        <v>412</v>
      </c>
      <c r="I473" t="s">
        <v>371</v>
      </c>
      <c r="J473" t="s">
        <v>36</v>
      </c>
      <c r="K473" t="s">
        <v>37</v>
      </c>
      <c r="L473" t="s">
        <v>324</v>
      </c>
      <c r="M473" t="s">
        <v>141</v>
      </c>
      <c r="N473" t="s">
        <v>142</v>
      </c>
      <c r="O473" t="s">
        <v>155</v>
      </c>
      <c r="P473" t="s">
        <v>281</v>
      </c>
      <c r="Q473" t="s">
        <v>155</v>
      </c>
      <c r="R473" t="s">
        <v>273</v>
      </c>
      <c r="S473" t="s">
        <v>355</v>
      </c>
      <c r="T473">
        <v>2</v>
      </c>
      <c r="U473" t="s">
        <v>414</v>
      </c>
      <c r="V473" t="s">
        <v>303</v>
      </c>
      <c r="W473" t="s">
        <v>415</v>
      </c>
      <c r="X473" t="s">
        <v>306</v>
      </c>
      <c r="Y473" t="s">
        <v>307</v>
      </c>
      <c r="Z473">
        <v>65</v>
      </c>
      <c r="AA473">
        <v>45</v>
      </c>
      <c r="AB473" t="s">
        <v>151</v>
      </c>
      <c r="AC473" t="s">
        <v>160</v>
      </c>
      <c r="AD473" t="s">
        <v>278</v>
      </c>
      <c r="AE473" t="str">
        <f>IF(AF473="","",VLOOKUP(AC473,mapel!$A$2:$B$42,2,FALSE))</f>
        <v>B.Ing</v>
      </c>
      <c r="AF473">
        <f t="shared" si="21"/>
        <v>45</v>
      </c>
      <c r="AG473" t="str">
        <f>IF(AF473="","",IF(AF473&gt;90,"Sangat baik",IF(AF473&gt;79,"Baik",IF(AF473&gt;=pub_gid_0_single_true_output_csv[[#This Row],[KKM]],"Cukup","Kurang"))))</f>
        <v>Kurang</v>
      </c>
      <c r="AH473">
        <f t="shared" si="22"/>
        <v>11</v>
      </c>
      <c r="AI473" s="30" t="str">
        <f>IF(OR(J473&lt;&gt;"Karakter",pub_gid_0_single_true_output_csv[[#This Row],[Nilai2]]=""),"",IF(AF473&gt;89,"Sangat baik",IF(AF473&gt;79,"Baik",IF(AF473&gt;69,"Cukup",IF(AF473&gt;59,"Kurang","Sangat kurang")))))</f>
        <v/>
      </c>
      <c r="AJ473" t="str">
        <f t="shared" si="23"/>
        <v>Wk.7</v>
      </c>
      <c r="AK473" t="str">
        <f>IF(pub_gid_0_single_true_output_csv[[#This Row],[Nilai2]]="","",VLOOKUP(pub_gid_0_single_true_output_csv[[#This Row],[NAMA]],Table7[],3,FALSE))</f>
        <v>Average</v>
      </c>
    </row>
    <row r="474" spans="1:37" x14ac:dyDescent="0.2">
      <c r="A474">
        <v>473</v>
      </c>
      <c r="B474" t="s">
        <v>287</v>
      </c>
      <c r="C474" t="s">
        <v>54</v>
      </c>
      <c r="D474" t="s">
        <v>34</v>
      </c>
      <c r="E474" t="s">
        <v>140</v>
      </c>
      <c r="F474" s="25">
        <v>46065</v>
      </c>
      <c r="G474" t="s">
        <v>354</v>
      </c>
      <c r="H474" t="s">
        <v>412</v>
      </c>
      <c r="I474" t="s">
        <v>371</v>
      </c>
      <c r="J474" t="s">
        <v>36</v>
      </c>
      <c r="K474" t="s">
        <v>37</v>
      </c>
      <c r="L474" t="s">
        <v>150</v>
      </c>
      <c r="M474" t="s">
        <v>141</v>
      </c>
      <c r="N474" t="s">
        <v>142</v>
      </c>
      <c r="O474" t="s">
        <v>155</v>
      </c>
      <c r="P474" t="s">
        <v>281</v>
      </c>
      <c r="Q474" t="s">
        <v>155</v>
      </c>
      <c r="R474" t="s">
        <v>273</v>
      </c>
      <c r="S474" t="s">
        <v>355</v>
      </c>
      <c r="T474">
        <v>2</v>
      </c>
      <c r="U474" t="s">
        <v>414</v>
      </c>
      <c r="V474" t="s">
        <v>303</v>
      </c>
      <c r="W474" t="s">
        <v>415</v>
      </c>
      <c r="X474" t="s">
        <v>306</v>
      </c>
      <c r="Y474" t="s">
        <v>307</v>
      </c>
      <c r="Z474">
        <v>65</v>
      </c>
      <c r="AA474">
        <v>50</v>
      </c>
      <c r="AB474" t="s">
        <v>151</v>
      </c>
      <c r="AC474" t="s">
        <v>160</v>
      </c>
      <c r="AD474" t="s">
        <v>278</v>
      </c>
      <c r="AE474" t="str">
        <f>IF(AF474="","",VLOOKUP(AC474,mapel!$A$2:$B$42,2,FALSE))</f>
        <v>B.Ing</v>
      </c>
      <c r="AF474">
        <f t="shared" si="21"/>
        <v>50</v>
      </c>
      <c r="AG474" t="str">
        <f>IF(AF474="","",IF(AF474&gt;90,"Sangat baik",IF(AF474&gt;79,"Baik",IF(AF474&gt;=pub_gid_0_single_true_output_csv[[#This Row],[KKM]],"Cukup","Kurang"))))</f>
        <v>Kurang</v>
      </c>
      <c r="AH474">
        <f t="shared" si="22"/>
        <v>11</v>
      </c>
      <c r="AI474" s="30" t="str">
        <f>IF(OR(J474&lt;&gt;"Karakter",pub_gid_0_single_true_output_csv[[#This Row],[Nilai2]]=""),"",IF(AF474&gt;89,"Sangat baik",IF(AF474&gt;79,"Baik",IF(AF474&gt;69,"Cukup",IF(AF474&gt;59,"Kurang","Sangat kurang")))))</f>
        <v/>
      </c>
      <c r="AJ474" t="str">
        <f t="shared" si="23"/>
        <v>Wk.7</v>
      </c>
      <c r="AK474" t="str">
        <f>IF(pub_gid_0_single_true_output_csv[[#This Row],[Nilai2]]="","",VLOOKUP(pub_gid_0_single_true_output_csv[[#This Row],[NAMA]],Table7[],3,FALSE))</f>
        <v>Average</v>
      </c>
    </row>
    <row r="475" spans="1:37" x14ac:dyDescent="0.2">
      <c r="A475">
        <v>474</v>
      </c>
      <c r="B475" t="s">
        <v>287</v>
      </c>
      <c r="C475" t="s">
        <v>54</v>
      </c>
      <c r="D475" t="s">
        <v>34</v>
      </c>
      <c r="E475" t="s">
        <v>140</v>
      </c>
      <c r="F475" s="25">
        <v>46065</v>
      </c>
      <c r="G475" t="s">
        <v>354</v>
      </c>
      <c r="H475" t="s">
        <v>412</v>
      </c>
      <c r="I475" t="s">
        <v>371</v>
      </c>
      <c r="J475" t="s">
        <v>41</v>
      </c>
      <c r="K475" t="s">
        <v>365</v>
      </c>
      <c r="L475" t="s">
        <v>150</v>
      </c>
      <c r="M475" t="s">
        <v>141</v>
      </c>
      <c r="N475" t="s">
        <v>142</v>
      </c>
      <c r="O475" t="s">
        <v>155</v>
      </c>
      <c r="P475" t="s">
        <v>281</v>
      </c>
      <c r="Q475" t="s">
        <v>155</v>
      </c>
      <c r="R475" t="s">
        <v>273</v>
      </c>
      <c r="S475" t="s">
        <v>355</v>
      </c>
      <c r="T475">
        <v>2</v>
      </c>
      <c r="U475" t="s">
        <v>414</v>
      </c>
      <c r="V475" t="s">
        <v>303</v>
      </c>
      <c r="W475" t="s">
        <v>415</v>
      </c>
      <c r="X475" t="s">
        <v>306</v>
      </c>
      <c r="Y475" t="s">
        <v>307</v>
      </c>
      <c r="Z475">
        <v>65</v>
      </c>
      <c r="AA475">
        <v>50</v>
      </c>
      <c r="AB475" t="s">
        <v>151</v>
      </c>
      <c r="AC475" t="s">
        <v>160</v>
      </c>
      <c r="AD475" t="s">
        <v>278</v>
      </c>
      <c r="AE475" t="str">
        <f>IF(AF475="","",VLOOKUP(AC475,mapel!$A$2:$B$42,2,FALSE))</f>
        <v>B.Ing</v>
      </c>
      <c r="AF475">
        <f t="shared" si="21"/>
        <v>50</v>
      </c>
      <c r="AG475" t="str">
        <f>IF(AF475="","",IF(AF475&gt;90,"Sangat baik",IF(AF475&gt;79,"Baik",IF(AF475&gt;=pub_gid_0_single_true_output_csv[[#This Row],[KKM]],"Cukup","Kurang"))))</f>
        <v>Kurang</v>
      </c>
      <c r="AH475">
        <f t="shared" si="22"/>
        <v>11</v>
      </c>
      <c r="AI475" s="30" t="str">
        <f>IF(OR(J475&lt;&gt;"Karakter",pub_gid_0_single_true_output_csv[[#This Row],[Nilai2]]=""),"",IF(AF475&gt;89,"Sangat baik",IF(AF475&gt;79,"Baik",IF(AF475&gt;69,"Cukup",IF(AF475&gt;59,"Kurang","Sangat kurang")))))</f>
        <v/>
      </c>
      <c r="AJ475" t="str">
        <f t="shared" si="23"/>
        <v>Wk.7</v>
      </c>
      <c r="AK475" t="str">
        <f>IF(pub_gid_0_single_true_output_csv[[#This Row],[Nilai2]]="","",VLOOKUP(pub_gid_0_single_true_output_csv[[#This Row],[NAMA]],Table7[],3,FALSE))</f>
        <v>Average</v>
      </c>
    </row>
    <row r="476" spans="1:37" x14ac:dyDescent="0.2">
      <c r="A476">
        <v>475</v>
      </c>
      <c r="B476" t="s">
        <v>287</v>
      </c>
      <c r="C476" t="s">
        <v>54</v>
      </c>
      <c r="D476" t="s">
        <v>34</v>
      </c>
      <c r="E476" t="s">
        <v>140</v>
      </c>
      <c r="F476" s="25">
        <v>46071</v>
      </c>
      <c r="G476" t="s">
        <v>323</v>
      </c>
      <c r="H476" t="s">
        <v>412</v>
      </c>
      <c r="I476" t="s">
        <v>371</v>
      </c>
      <c r="J476" t="s">
        <v>41</v>
      </c>
      <c r="K476" t="s">
        <v>365</v>
      </c>
      <c r="L476" t="s">
        <v>383</v>
      </c>
      <c r="M476" t="s">
        <v>141</v>
      </c>
      <c r="N476" t="s">
        <v>142</v>
      </c>
      <c r="O476" t="s">
        <v>155</v>
      </c>
      <c r="P476" t="s">
        <v>281</v>
      </c>
      <c r="Q476" t="s">
        <v>155</v>
      </c>
      <c r="R476" t="s">
        <v>273</v>
      </c>
      <c r="S476" t="s">
        <v>355</v>
      </c>
      <c r="T476">
        <v>2</v>
      </c>
      <c r="U476" t="s">
        <v>414</v>
      </c>
      <c r="V476" t="s">
        <v>303</v>
      </c>
      <c r="W476" t="s">
        <v>415</v>
      </c>
      <c r="X476" t="s">
        <v>306</v>
      </c>
      <c r="Y476" t="s">
        <v>307</v>
      </c>
      <c r="Z476">
        <v>65</v>
      </c>
      <c r="AA476">
        <v>95</v>
      </c>
      <c r="AB476" t="s">
        <v>143</v>
      </c>
      <c r="AC476" t="s">
        <v>160</v>
      </c>
      <c r="AD476" t="s">
        <v>278</v>
      </c>
      <c r="AE476" t="str">
        <f>IF(AF476="","",VLOOKUP(AC476,mapel!$A$2:$B$42,2,FALSE))</f>
        <v>B.Ing</v>
      </c>
      <c r="AF476">
        <f t="shared" si="21"/>
        <v>95</v>
      </c>
      <c r="AG476" t="str">
        <f>IF(AF476="","",IF(AF476&gt;90,"Sangat baik",IF(AF476&gt;79,"Baik",IF(AF476&gt;=pub_gid_0_single_true_output_csv[[#This Row],[KKM]],"Cukup","Kurang"))))</f>
        <v>Sangat baik</v>
      </c>
      <c r="AH476">
        <f t="shared" si="22"/>
        <v>11</v>
      </c>
      <c r="AI476" s="30" t="str">
        <f>IF(OR(J476&lt;&gt;"Karakter",pub_gid_0_single_true_output_csv[[#This Row],[Nilai2]]=""),"",IF(AF476&gt;89,"Sangat baik",IF(AF476&gt;79,"Baik",IF(AF476&gt;69,"Cukup",IF(AF476&gt;59,"Kurang","Sangat kurang")))))</f>
        <v/>
      </c>
      <c r="AJ476" t="str">
        <f t="shared" si="23"/>
        <v>Wk.8</v>
      </c>
      <c r="AK476" t="str">
        <f>IF(pub_gid_0_single_true_output_csv[[#This Row],[Nilai2]]="","",VLOOKUP(pub_gid_0_single_true_output_csv[[#This Row],[NAMA]],Table7[],3,FALSE))</f>
        <v>Average</v>
      </c>
    </row>
    <row r="477" spans="1:37" x14ac:dyDescent="0.2">
      <c r="A477">
        <v>476</v>
      </c>
      <c r="B477" t="s">
        <v>287</v>
      </c>
      <c r="C477" t="s">
        <v>54</v>
      </c>
      <c r="D477" t="s">
        <v>34</v>
      </c>
      <c r="E477" t="s">
        <v>140</v>
      </c>
      <c r="F477" s="25">
        <v>46071</v>
      </c>
      <c r="G477" t="s">
        <v>323</v>
      </c>
      <c r="H477" t="s">
        <v>412</v>
      </c>
      <c r="I477" t="s">
        <v>371</v>
      </c>
      <c r="J477" t="s">
        <v>36</v>
      </c>
      <c r="K477" t="s">
        <v>37</v>
      </c>
      <c r="L477" t="s">
        <v>383</v>
      </c>
      <c r="M477" t="s">
        <v>141</v>
      </c>
      <c r="N477" t="s">
        <v>142</v>
      </c>
      <c r="O477" t="s">
        <v>155</v>
      </c>
      <c r="P477" t="s">
        <v>281</v>
      </c>
      <c r="Q477" t="s">
        <v>155</v>
      </c>
      <c r="R477" t="s">
        <v>273</v>
      </c>
      <c r="S477" t="s">
        <v>355</v>
      </c>
      <c r="T477">
        <v>2</v>
      </c>
      <c r="U477" t="s">
        <v>414</v>
      </c>
      <c r="V477" t="s">
        <v>303</v>
      </c>
      <c r="W477" t="s">
        <v>415</v>
      </c>
      <c r="X477" t="s">
        <v>306</v>
      </c>
      <c r="Y477" t="s">
        <v>307</v>
      </c>
      <c r="Z477">
        <v>65</v>
      </c>
      <c r="AA477">
        <v>95</v>
      </c>
      <c r="AB477" t="s">
        <v>143</v>
      </c>
      <c r="AC477" t="s">
        <v>160</v>
      </c>
      <c r="AD477" t="s">
        <v>278</v>
      </c>
      <c r="AE477" t="str">
        <f>IF(AF477="","",VLOOKUP(AC477,mapel!$A$2:$B$42,2,FALSE))</f>
        <v>B.Ing</v>
      </c>
      <c r="AF477">
        <f t="shared" si="21"/>
        <v>95</v>
      </c>
      <c r="AG477" t="str">
        <f>IF(AF477="","",IF(AF477&gt;90,"Sangat baik",IF(AF477&gt;79,"Baik",IF(AF477&gt;=pub_gid_0_single_true_output_csv[[#This Row],[KKM]],"Cukup","Kurang"))))</f>
        <v>Sangat baik</v>
      </c>
      <c r="AH477">
        <f t="shared" si="22"/>
        <v>11</v>
      </c>
      <c r="AI477" s="30" t="str">
        <f>IF(OR(J477&lt;&gt;"Karakter",pub_gid_0_single_true_output_csv[[#This Row],[Nilai2]]=""),"",IF(AF477&gt;89,"Sangat baik",IF(AF477&gt;79,"Baik",IF(AF477&gt;69,"Cukup",IF(AF477&gt;59,"Kurang","Sangat kurang")))))</f>
        <v/>
      </c>
      <c r="AJ477" t="str">
        <f t="shared" si="23"/>
        <v>Wk.8</v>
      </c>
      <c r="AK477" t="str">
        <f>IF(pub_gid_0_single_true_output_csv[[#This Row],[Nilai2]]="","",VLOOKUP(pub_gid_0_single_true_output_csv[[#This Row],[NAMA]],Table7[],3,FALSE))</f>
        <v>Average</v>
      </c>
    </row>
    <row r="478" spans="1:37" x14ac:dyDescent="0.2">
      <c r="A478">
        <v>477</v>
      </c>
      <c r="B478" t="s">
        <v>288</v>
      </c>
      <c r="C478" t="s">
        <v>54</v>
      </c>
      <c r="D478" t="s">
        <v>35</v>
      </c>
      <c r="E478" t="s">
        <v>140</v>
      </c>
      <c r="F478" s="25">
        <v>46030</v>
      </c>
      <c r="G478" t="s">
        <v>347</v>
      </c>
      <c r="H478" t="s">
        <v>405</v>
      </c>
      <c r="I478" t="s">
        <v>371</v>
      </c>
      <c r="J478" t="s">
        <v>36</v>
      </c>
      <c r="K478" t="s">
        <v>37</v>
      </c>
      <c r="L478" t="s">
        <v>321</v>
      </c>
      <c r="M478" t="s">
        <v>141</v>
      </c>
      <c r="N478" t="s">
        <v>142</v>
      </c>
      <c r="O478" t="s">
        <v>155</v>
      </c>
      <c r="P478" t="s">
        <v>281</v>
      </c>
      <c r="Q478" t="s">
        <v>155</v>
      </c>
      <c r="R478" t="s">
        <v>273</v>
      </c>
      <c r="S478" t="s">
        <v>355</v>
      </c>
      <c r="T478">
        <v>2</v>
      </c>
      <c r="U478" t="s">
        <v>414</v>
      </c>
      <c r="V478" t="s">
        <v>303</v>
      </c>
      <c r="W478" t="s">
        <v>415</v>
      </c>
      <c r="X478" t="s">
        <v>306</v>
      </c>
      <c r="Y478" t="s">
        <v>307</v>
      </c>
      <c r="Z478">
        <v>65</v>
      </c>
      <c r="AA478">
        <v>10</v>
      </c>
      <c r="AB478" t="s">
        <v>151</v>
      </c>
      <c r="AC478" t="s">
        <v>160</v>
      </c>
      <c r="AD478" t="s">
        <v>278</v>
      </c>
      <c r="AE478" t="str">
        <f>IF(AF478="","",VLOOKUP(AC478,mapel!$A$2:$B$42,2,FALSE))</f>
        <v>B.Ing</v>
      </c>
      <c r="AF478">
        <f t="shared" si="21"/>
        <v>10</v>
      </c>
      <c r="AG478" t="str">
        <f>IF(AF478="","",IF(AF478&gt;90,"Sangat baik",IF(AF478&gt;79,"Baik",IF(AF478&gt;=pub_gid_0_single_true_output_csv[[#This Row],[KKM]],"Cukup","Kurang"))))</f>
        <v>Kurang</v>
      </c>
      <c r="AH478">
        <f t="shared" si="22"/>
        <v>11</v>
      </c>
      <c r="AI478" s="30" t="str">
        <f>IF(OR(J478&lt;&gt;"Karakter",pub_gid_0_single_true_output_csv[[#This Row],[Nilai2]]=""),"",IF(AF478&gt;89,"Sangat baik",IF(AF478&gt;79,"Baik",IF(AF478&gt;69,"Cukup",IF(AF478&gt;59,"Kurang","Sangat kurang")))))</f>
        <v/>
      </c>
      <c r="AJ478" t="str">
        <f t="shared" si="23"/>
        <v>Wk.2</v>
      </c>
      <c r="AK478" t="str">
        <f>IF(pub_gid_0_single_true_output_csv[[#This Row],[Nilai2]]="","",VLOOKUP(pub_gid_0_single_true_output_csv[[#This Row],[NAMA]],Table7[],3,FALSE))</f>
        <v>Extremely low</v>
      </c>
    </row>
    <row r="479" spans="1:37" x14ac:dyDescent="0.2">
      <c r="A479">
        <v>478</v>
      </c>
      <c r="B479" t="s">
        <v>288</v>
      </c>
      <c r="C479" t="s">
        <v>54</v>
      </c>
      <c r="D479" t="s">
        <v>35</v>
      </c>
      <c r="E479" t="s">
        <v>140</v>
      </c>
      <c r="F479" s="25">
        <v>46030</v>
      </c>
      <c r="G479" t="s">
        <v>347</v>
      </c>
      <c r="H479" t="s">
        <v>405</v>
      </c>
      <c r="I479" t="s">
        <v>371</v>
      </c>
      <c r="J479" t="s">
        <v>41</v>
      </c>
      <c r="K479" t="s">
        <v>157</v>
      </c>
      <c r="L479" t="s">
        <v>395</v>
      </c>
      <c r="M479" t="s">
        <v>141</v>
      </c>
      <c r="N479" t="s">
        <v>142</v>
      </c>
      <c r="O479" t="s">
        <v>155</v>
      </c>
      <c r="P479" t="s">
        <v>281</v>
      </c>
      <c r="Q479" t="s">
        <v>155</v>
      </c>
      <c r="R479" t="s">
        <v>273</v>
      </c>
      <c r="S479" t="s">
        <v>355</v>
      </c>
      <c r="T479">
        <v>2</v>
      </c>
      <c r="U479" t="s">
        <v>414</v>
      </c>
      <c r="V479" t="s">
        <v>303</v>
      </c>
      <c r="W479" t="s">
        <v>415</v>
      </c>
      <c r="X479" t="s">
        <v>306</v>
      </c>
      <c r="Y479" t="s">
        <v>307</v>
      </c>
      <c r="Z479">
        <v>65</v>
      </c>
      <c r="AA479">
        <v>10</v>
      </c>
      <c r="AB479" t="s">
        <v>151</v>
      </c>
      <c r="AC479" t="s">
        <v>160</v>
      </c>
      <c r="AD479" t="s">
        <v>278</v>
      </c>
      <c r="AE479" t="str">
        <f>IF(AF479="","",VLOOKUP(AC479,mapel!$A$2:$B$42,2,FALSE))</f>
        <v>B.Ing</v>
      </c>
      <c r="AF479">
        <f t="shared" si="21"/>
        <v>10</v>
      </c>
      <c r="AG479" t="str">
        <f>IF(AF479="","",IF(AF479&gt;90,"Sangat baik",IF(AF479&gt;79,"Baik",IF(AF479&gt;=pub_gid_0_single_true_output_csv[[#This Row],[KKM]],"Cukup","Kurang"))))</f>
        <v>Kurang</v>
      </c>
      <c r="AH479">
        <f t="shared" si="22"/>
        <v>11</v>
      </c>
      <c r="AI479" s="30" t="str">
        <f>IF(OR(J479&lt;&gt;"Karakter",pub_gid_0_single_true_output_csv[[#This Row],[Nilai2]]=""),"",IF(AF479&gt;89,"Sangat baik",IF(AF479&gt;79,"Baik",IF(AF479&gt;69,"Cukup",IF(AF479&gt;59,"Kurang","Sangat kurang")))))</f>
        <v/>
      </c>
      <c r="AJ479" t="str">
        <f t="shared" si="23"/>
        <v>Wk.2</v>
      </c>
      <c r="AK479" t="str">
        <f>IF(pub_gid_0_single_true_output_csv[[#This Row],[Nilai2]]="","",VLOOKUP(pub_gid_0_single_true_output_csv[[#This Row],[NAMA]],Table7[],3,FALSE))</f>
        <v>Extremely low</v>
      </c>
    </row>
    <row r="480" spans="1:37" x14ac:dyDescent="0.2">
      <c r="A480">
        <v>479</v>
      </c>
      <c r="B480" t="s">
        <v>288</v>
      </c>
      <c r="C480" t="s">
        <v>54</v>
      </c>
      <c r="D480" t="s">
        <v>35</v>
      </c>
      <c r="E480" t="s">
        <v>140</v>
      </c>
      <c r="F480" s="25">
        <v>46030</v>
      </c>
      <c r="G480" t="s">
        <v>347</v>
      </c>
      <c r="H480" t="s">
        <v>405</v>
      </c>
      <c r="I480" t="s">
        <v>371</v>
      </c>
      <c r="J480" t="s">
        <v>90</v>
      </c>
      <c r="K480" t="s">
        <v>92</v>
      </c>
      <c r="L480" t="s">
        <v>95</v>
      </c>
      <c r="M480" t="s">
        <v>141</v>
      </c>
      <c r="N480" t="s">
        <v>142</v>
      </c>
      <c r="O480" t="s">
        <v>155</v>
      </c>
      <c r="P480" t="s">
        <v>281</v>
      </c>
      <c r="Q480" t="s">
        <v>155</v>
      </c>
      <c r="R480" t="s">
        <v>273</v>
      </c>
      <c r="S480" t="s">
        <v>355</v>
      </c>
      <c r="T480">
        <v>2</v>
      </c>
      <c r="U480" t="s">
        <v>414</v>
      </c>
      <c r="V480" t="s">
        <v>303</v>
      </c>
      <c r="W480" t="s">
        <v>415</v>
      </c>
      <c r="X480" t="s">
        <v>306</v>
      </c>
      <c r="Y480" t="s">
        <v>307</v>
      </c>
      <c r="Z480">
        <v>65</v>
      </c>
      <c r="AA480">
        <v>30</v>
      </c>
      <c r="AB480" t="s">
        <v>151</v>
      </c>
      <c r="AC480" t="s">
        <v>160</v>
      </c>
      <c r="AD480" t="s">
        <v>278</v>
      </c>
      <c r="AE480" t="str">
        <f>IF(AF480="","",VLOOKUP(AC480,mapel!$A$2:$B$42,2,FALSE))</f>
        <v>B.Ing</v>
      </c>
      <c r="AF480">
        <f t="shared" si="21"/>
        <v>30</v>
      </c>
      <c r="AG480" t="str">
        <f>IF(AF480="","",IF(AF480&gt;90,"Sangat baik",IF(AF480&gt;79,"Baik",IF(AF480&gt;=pub_gid_0_single_true_output_csv[[#This Row],[KKM]],"Cukup","Kurang"))))</f>
        <v>Kurang</v>
      </c>
      <c r="AH480">
        <f t="shared" si="22"/>
        <v>11</v>
      </c>
      <c r="AI480" s="30" t="str">
        <f>IF(OR(J480&lt;&gt;"Karakter",pub_gid_0_single_true_output_csv[[#This Row],[Nilai2]]=""),"",IF(AF480&gt;89,"Sangat baik",IF(AF480&gt;79,"Baik",IF(AF480&gt;69,"Cukup",IF(AF480&gt;59,"Kurang","Sangat kurang")))))</f>
        <v>Sangat kurang</v>
      </c>
      <c r="AJ480" t="str">
        <f t="shared" si="23"/>
        <v>Wk.2</v>
      </c>
      <c r="AK480" t="str">
        <f>IF(pub_gid_0_single_true_output_csv[[#This Row],[Nilai2]]="","",VLOOKUP(pub_gid_0_single_true_output_csv[[#This Row],[NAMA]],Table7[],3,FALSE))</f>
        <v>Extremely low</v>
      </c>
    </row>
    <row r="481" spans="1:37" x14ac:dyDescent="0.2">
      <c r="A481">
        <v>480</v>
      </c>
      <c r="B481" t="s">
        <v>288</v>
      </c>
      <c r="C481" t="s">
        <v>54</v>
      </c>
      <c r="D481" t="s">
        <v>35</v>
      </c>
      <c r="E481" t="s">
        <v>140</v>
      </c>
      <c r="F481" s="25">
        <v>46051</v>
      </c>
      <c r="G481" t="s">
        <v>320</v>
      </c>
      <c r="H481" t="s">
        <v>405</v>
      </c>
      <c r="I481" t="s">
        <v>371</v>
      </c>
      <c r="J481" t="s">
        <v>36</v>
      </c>
      <c r="K481" t="s">
        <v>37</v>
      </c>
      <c r="L481" t="s">
        <v>324</v>
      </c>
      <c r="M481" t="s">
        <v>141</v>
      </c>
      <c r="N481" t="s">
        <v>142</v>
      </c>
      <c r="O481" t="s">
        <v>155</v>
      </c>
      <c r="P481" t="s">
        <v>281</v>
      </c>
      <c r="Q481" t="s">
        <v>155</v>
      </c>
      <c r="R481" t="s">
        <v>273</v>
      </c>
      <c r="S481" t="s">
        <v>355</v>
      </c>
      <c r="T481">
        <v>2</v>
      </c>
      <c r="U481" t="s">
        <v>414</v>
      </c>
      <c r="V481" t="s">
        <v>303</v>
      </c>
      <c r="W481" t="s">
        <v>415</v>
      </c>
      <c r="X481" t="s">
        <v>306</v>
      </c>
      <c r="Y481" t="s">
        <v>307</v>
      </c>
      <c r="Z481">
        <v>65</v>
      </c>
      <c r="AA481">
        <v>0</v>
      </c>
      <c r="AB481" t="s">
        <v>151</v>
      </c>
      <c r="AC481" t="s">
        <v>160</v>
      </c>
      <c r="AD481" t="s">
        <v>278</v>
      </c>
      <c r="AE481" t="str">
        <f>IF(AF481="","",VLOOKUP(AC481,mapel!$A$2:$B$42,2,FALSE))</f>
        <v/>
      </c>
      <c r="AF481" t="str">
        <f t="shared" si="21"/>
        <v/>
      </c>
      <c r="AG481" t="str">
        <f>IF(AF481="","",IF(AF481&gt;90,"Sangat baik",IF(AF481&gt;79,"Baik",IF(AF481&gt;=pub_gid_0_single_true_output_csv[[#This Row],[KKM]],"Cukup","Kurang"))))</f>
        <v/>
      </c>
      <c r="AH481" t="str">
        <f t="shared" si="22"/>
        <v/>
      </c>
      <c r="AI481" s="30" t="str">
        <f>IF(OR(J481&lt;&gt;"Karakter",pub_gid_0_single_true_output_csv[[#This Row],[Nilai2]]=""),"",IF(AF481&gt;89,"Sangat baik",IF(AF481&gt;79,"Baik",IF(AF481&gt;69,"Cukup",IF(AF481&gt;59,"Kurang","Sangat kurang")))))</f>
        <v/>
      </c>
      <c r="AJ481" t="str">
        <f t="shared" si="23"/>
        <v/>
      </c>
      <c r="AK481" t="str">
        <f>IF(pub_gid_0_single_true_output_csv[[#This Row],[Nilai2]]="","",VLOOKUP(pub_gid_0_single_true_output_csv[[#This Row],[NAMA]],Table7[],3,FALSE))</f>
        <v/>
      </c>
    </row>
    <row r="482" spans="1:37" x14ac:dyDescent="0.2">
      <c r="A482">
        <v>481</v>
      </c>
      <c r="B482" t="s">
        <v>288</v>
      </c>
      <c r="C482" t="s">
        <v>54</v>
      </c>
      <c r="D482" t="s">
        <v>35</v>
      </c>
      <c r="E482" t="s">
        <v>140</v>
      </c>
      <c r="F482" s="25">
        <v>46051</v>
      </c>
      <c r="G482" t="s">
        <v>320</v>
      </c>
      <c r="H482" t="s">
        <v>405</v>
      </c>
      <c r="I482" t="s">
        <v>371</v>
      </c>
      <c r="J482" t="s">
        <v>90</v>
      </c>
      <c r="K482" t="s">
        <v>377</v>
      </c>
      <c r="L482" t="s">
        <v>378</v>
      </c>
      <c r="M482" t="s">
        <v>141</v>
      </c>
      <c r="N482" t="s">
        <v>142</v>
      </c>
      <c r="O482" t="s">
        <v>155</v>
      </c>
      <c r="P482" t="s">
        <v>281</v>
      </c>
      <c r="Q482" t="s">
        <v>155</v>
      </c>
      <c r="R482" t="s">
        <v>273</v>
      </c>
      <c r="S482" t="s">
        <v>355</v>
      </c>
      <c r="T482">
        <v>2</v>
      </c>
      <c r="U482" t="s">
        <v>414</v>
      </c>
      <c r="V482" t="s">
        <v>303</v>
      </c>
      <c r="W482" t="s">
        <v>415</v>
      </c>
      <c r="X482" t="s">
        <v>306</v>
      </c>
      <c r="Y482" t="s">
        <v>307</v>
      </c>
      <c r="Z482">
        <v>65</v>
      </c>
      <c r="AA482">
        <v>25</v>
      </c>
      <c r="AB482" t="s">
        <v>151</v>
      </c>
      <c r="AC482" t="s">
        <v>160</v>
      </c>
      <c r="AD482" t="s">
        <v>278</v>
      </c>
      <c r="AE482" t="str">
        <f>IF(AF482="","",VLOOKUP(AC482,mapel!$A$2:$B$42,2,FALSE))</f>
        <v>B.Ing</v>
      </c>
      <c r="AF482">
        <f t="shared" si="21"/>
        <v>25</v>
      </c>
      <c r="AG482" t="str">
        <f>IF(AF482="","",IF(AF482&gt;90,"Sangat baik",IF(AF482&gt;79,"Baik",IF(AF482&gt;=pub_gid_0_single_true_output_csv[[#This Row],[KKM]],"Cukup","Kurang"))))</f>
        <v>Kurang</v>
      </c>
      <c r="AH482">
        <f t="shared" si="22"/>
        <v>11</v>
      </c>
      <c r="AI482" s="30" t="str">
        <f>IF(OR(J482&lt;&gt;"Karakter",pub_gid_0_single_true_output_csv[[#This Row],[Nilai2]]=""),"",IF(AF482&gt;89,"Sangat baik",IF(AF482&gt;79,"Baik",IF(AF482&gt;69,"Cukup",IF(AF482&gt;59,"Kurang","Sangat kurang")))))</f>
        <v>Sangat kurang</v>
      </c>
      <c r="AJ482" t="str">
        <f t="shared" si="23"/>
        <v>Wk.5</v>
      </c>
      <c r="AK482" t="str">
        <f>IF(pub_gid_0_single_true_output_csv[[#This Row],[Nilai2]]="","",VLOOKUP(pub_gid_0_single_true_output_csv[[#This Row],[NAMA]],Table7[],3,FALSE))</f>
        <v>Extremely low</v>
      </c>
    </row>
    <row r="483" spans="1:37" x14ac:dyDescent="0.2">
      <c r="A483">
        <v>482</v>
      </c>
      <c r="B483" t="s">
        <v>288</v>
      </c>
      <c r="C483" t="s">
        <v>54</v>
      </c>
      <c r="D483" t="s">
        <v>35</v>
      </c>
      <c r="E483" t="s">
        <v>140</v>
      </c>
      <c r="F483" s="25">
        <v>46044</v>
      </c>
      <c r="G483" t="s">
        <v>305</v>
      </c>
      <c r="H483" t="s">
        <v>405</v>
      </c>
      <c r="I483" t="s">
        <v>371</v>
      </c>
      <c r="J483" t="s">
        <v>41</v>
      </c>
      <c r="K483" t="s">
        <v>365</v>
      </c>
      <c r="L483" t="s">
        <v>383</v>
      </c>
      <c r="M483" t="s">
        <v>141</v>
      </c>
      <c r="N483" t="s">
        <v>142</v>
      </c>
      <c r="O483" t="s">
        <v>155</v>
      </c>
      <c r="P483" t="s">
        <v>281</v>
      </c>
      <c r="Q483" t="s">
        <v>155</v>
      </c>
      <c r="R483" t="s">
        <v>273</v>
      </c>
      <c r="S483" t="s">
        <v>355</v>
      </c>
      <c r="T483">
        <v>2</v>
      </c>
      <c r="U483" t="s">
        <v>414</v>
      </c>
      <c r="V483" t="s">
        <v>303</v>
      </c>
      <c r="W483" t="s">
        <v>415</v>
      </c>
      <c r="X483" t="s">
        <v>306</v>
      </c>
      <c r="Y483" t="s">
        <v>307</v>
      </c>
      <c r="Z483">
        <v>65</v>
      </c>
      <c r="AA483">
        <v>0</v>
      </c>
      <c r="AB483" t="s">
        <v>151</v>
      </c>
      <c r="AC483" t="s">
        <v>160</v>
      </c>
      <c r="AD483" t="s">
        <v>278</v>
      </c>
      <c r="AE483" t="str">
        <f>IF(AF483="","",VLOOKUP(AC483,mapel!$A$2:$B$42,2,FALSE))</f>
        <v/>
      </c>
      <c r="AF483" t="str">
        <f t="shared" si="21"/>
        <v/>
      </c>
      <c r="AG483" t="str">
        <f>IF(AF483="","",IF(AF483&gt;90,"Sangat baik",IF(AF483&gt;79,"Baik",IF(AF483&gt;=pub_gid_0_single_true_output_csv[[#This Row],[KKM]],"Cukup","Kurang"))))</f>
        <v/>
      </c>
      <c r="AH483" t="str">
        <f t="shared" si="22"/>
        <v/>
      </c>
      <c r="AI483" s="30" t="str">
        <f>IF(OR(J483&lt;&gt;"Karakter",pub_gid_0_single_true_output_csv[[#This Row],[Nilai2]]=""),"",IF(AF483&gt;89,"Sangat baik",IF(AF483&gt;79,"Baik",IF(AF483&gt;69,"Cukup",IF(AF483&gt;59,"Kurang","Sangat kurang")))))</f>
        <v/>
      </c>
      <c r="AJ483" t="str">
        <f t="shared" si="23"/>
        <v/>
      </c>
      <c r="AK483" t="str">
        <f>IF(pub_gid_0_single_true_output_csv[[#This Row],[Nilai2]]="","",VLOOKUP(pub_gid_0_single_true_output_csv[[#This Row],[NAMA]],Table7[],3,FALSE))</f>
        <v/>
      </c>
    </row>
    <row r="484" spans="1:37" x14ac:dyDescent="0.2">
      <c r="A484">
        <v>483</v>
      </c>
      <c r="B484" t="s">
        <v>288</v>
      </c>
      <c r="C484" t="s">
        <v>54</v>
      </c>
      <c r="D484" t="s">
        <v>35</v>
      </c>
      <c r="E484" t="s">
        <v>140</v>
      </c>
      <c r="F484" s="25">
        <v>46044</v>
      </c>
      <c r="G484" t="s">
        <v>305</v>
      </c>
      <c r="H484" t="s">
        <v>405</v>
      </c>
      <c r="I484" t="s">
        <v>371</v>
      </c>
      <c r="J484" t="s">
        <v>36</v>
      </c>
      <c r="K484" t="s">
        <v>37</v>
      </c>
      <c r="L484" t="s">
        <v>321</v>
      </c>
      <c r="M484" t="s">
        <v>141</v>
      </c>
      <c r="N484" t="s">
        <v>142</v>
      </c>
      <c r="O484" t="s">
        <v>155</v>
      </c>
      <c r="P484" t="s">
        <v>281</v>
      </c>
      <c r="Q484" t="s">
        <v>155</v>
      </c>
      <c r="R484" t="s">
        <v>273</v>
      </c>
      <c r="S484" t="s">
        <v>355</v>
      </c>
      <c r="T484">
        <v>2</v>
      </c>
      <c r="U484" t="s">
        <v>414</v>
      </c>
      <c r="V484" t="s">
        <v>303</v>
      </c>
      <c r="W484" t="s">
        <v>415</v>
      </c>
      <c r="X484" t="s">
        <v>306</v>
      </c>
      <c r="Y484" t="s">
        <v>307</v>
      </c>
      <c r="Z484">
        <v>65</v>
      </c>
      <c r="AA484">
        <v>0</v>
      </c>
      <c r="AB484" t="s">
        <v>151</v>
      </c>
      <c r="AC484" t="s">
        <v>160</v>
      </c>
      <c r="AD484" t="s">
        <v>278</v>
      </c>
      <c r="AE484" t="str">
        <f>IF(AF484="","",VLOOKUP(AC484,mapel!$A$2:$B$42,2,FALSE))</f>
        <v/>
      </c>
      <c r="AF484" t="str">
        <f t="shared" si="21"/>
        <v/>
      </c>
      <c r="AG484" t="str">
        <f>IF(AF484="","",IF(AF484&gt;90,"Sangat baik",IF(AF484&gt;79,"Baik",IF(AF484&gt;=pub_gid_0_single_true_output_csv[[#This Row],[KKM]],"Cukup","Kurang"))))</f>
        <v/>
      </c>
      <c r="AH484" t="str">
        <f t="shared" si="22"/>
        <v/>
      </c>
      <c r="AI484" s="30" t="str">
        <f>IF(OR(J484&lt;&gt;"Karakter",pub_gid_0_single_true_output_csv[[#This Row],[Nilai2]]=""),"",IF(AF484&gt;89,"Sangat baik",IF(AF484&gt;79,"Baik",IF(AF484&gt;69,"Cukup",IF(AF484&gt;59,"Kurang","Sangat kurang")))))</f>
        <v/>
      </c>
      <c r="AJ484" t="str">
        <f t="shared" si="23"/>
        <v/>
      </c>
      <c r="AK484" t="str">
        <f>IF(pub_gid_0_single_true_output_csv[[#This Row],[Nilai2]]="","",VLOOKUP(pub_gid_0_single_true_output_csv[[#This Row],[NAMA]],Table7[],3,FALSE))</f>
        <v/>
      </c>
    </row>
    <row r="485" spans="1:37" x14ac:dyDescent="0.2">
      <c r="A485">
        <v>484</v>
      </c>
      <c r="B485" t="s">
        <v>288</v>
      </c>
      <c r="C485" t="s">
        <v>54</v>
      </c>
      <c r="D485" t="s">
        <v>35</v>
      </c>
      <c r="E485" t="s">
        <v>140</v>
      </c>
      <c r="F485" s="25">
        <v>46044</v>
      </c>
      <c r="G485" t="s">
        <v>305</v>
      </c>
      <c r="H485" t="s">
        <v>405</v>
      </c>
      <c r="I485" t="s">
        <v>371</v>
      </c>
      <c r="J485" t="s">
        <v>31</v>
      </c>
      <c r="K485" t="s">
        <v>32</v>
      </c>
      <c r="L485" t="s">
        <v>321</v>
      </c>
      <c r="M485" t="s">
        <v>141</v>
      </c>
      <c r="N485" t="s">
        <v>142</v>
      </c>
      <c r="O485" t="s">
        <v>155</v>
      </c>
      <c r="P485" t="s">
        <v>281</v>
      </c>
      <c r="Q485" t="s">
        <v>155</v>
      </c>
      <c r="R485" t="s">
        <v>273</v>
      </c>
      <c r="S485" t="s">
        <v>355</v>
      </c>
      <c r="T485">
        <v>2</v>
      </c>
      <c r="U485" t="s">
        <v>414</v>
      </c>
      <c r="V485" t="s">
        <v>303</v>
      </c>
      <c r="W485" t="s">
        <v>415</v>
      </c>
      <c r="X485" t="s">
        <v>306</v>
      </c>
      <c r="Y485" t="s">
        <v>307</v>
      </c>
      <c r="Z485">
        <v>65</v>
      </c>
      <c r="AA485">
        <v>0</v>
      </c>
      <c r="AB485" t="s">
        <v>151</v>
      </c>
      <c r="AC485" t="s">
        <v>160</v>
      </c>
      <c r="AD485" t="s">
        <v>278</v>
      </c>
      <c r="AE485" t="str">
        <f>IF(AF485="","",VLOOKUP(AC485,mapel!$A$2:$B$42,2,FALSE))</f>
        <v/>
      </c>
      <c r="AF485" t="str">
        <f t="shared" si="21"/>
        <v/>
      </c>
      <c r="AG485" t="str">
        <f>IF(AF485="","",IF(AF485&gt;90,"Sangat baik",IF(AF485&gt;79,"Baik",IF(AF485&gt;=pub_gid_0_single_true_output_csv[[#This Row],[KKM]],"Cukup","Kurang"))))</f>
        <v/>
      </c>
      <c r="AH485" t="str">
        <f t="shared" si="22"/>
        <v/>
      </c>
      <c r="AI485" s="30" t="str">
        <f>IF(OR(J485&lt;&gt;"Karakter",pub_gid_0_single_true_output_csv[[#This Row],[Nilai2]]=""),"",IF(AF485&gt;89,"Sangat baik",IF(AF485&gt;79,"Baik",IF(AF485&gt;69,"Cukup",IF(AF485&gt;59,"Kurang","Sangat kurang")))))</f>
        <v/>
      </c>
      <c r="AJ485" t="str">
        <f t="shared" si="23"/>
        <v/>
      </c>
      <c r="AK485" t="str">
        <f>IF(pub_gid_0_single_true_output_csv[[#This Row],[Nilai2]]="","",VLOOKUP(pub_gid_0_single_true_output_csv[[#This Row],[NAMA]],Table7[],3,FALSE))</f>
        <v/>
      </c>
    </row>
    <row r="486" spans="1:37" x14ac:dyDescent="0.2">
      <c r="A486">
        <v>485</v>
      </c>
      <c r="B486" t="s">
        <v>288</v>
      </c>
      <c r="C486" t="s">
        <v>54</v>
      </c>
      <c r="D486" t="s">
        <v>35</v>
      </c>
      <c r="E486" t="s">
        <v>140</v>
      </c>
      <c r="F486" s="25">
        <v>46065</v>
      </c>
      <c r="G486" t="s">
        <v>354</v>
      </c>
      <c r="H486" t="s">
        <v>412</v>
      </c>
      <c r="I486" t="s">
        <v>371</v>
      </c>
      <c r="J486" t="s">
        <v>36</v>
      </c>
      <c r="K486" t="s">
        <v>37</v>
      </c>
      <c r="L486" t="s">
        <v>324</v>
      </c>
      <c r="M486" t="s">
        <v>141</v>
      </c>
      <c r="N486" t="s">
        <v>142</v>
      </c>
      <c r="O486" t="s">
        <v>155</v>
      </c>
      <c r="P486" t="s">
        <v>281</v>
      </c>
      <c r="Q486" t="s">
        <v>155</v>
      </c>
      <c r="R486" t="s">
        <v>273</v>
      </c>
      <c r="S486" t="s">
        <v>355</v>
      </c>
      <c r="T486">
        <v>2</v>
      </c>
      <c r="U486" t="s">
        <v>414</v>
      </c>
      <c r="V486" t="s">
        <v>303</v>
      </c>
      <c r="W486" t="s">
        <v>415</v>
      </c>
      <c r="X486" t="s">
        <v>306</v>
      </c>
      <c r="Y486" t="s">
        <v>307</v>
      </c>
      <c r="Z486">
        <v>65</v>
      </c>
      <c r="AA486">
        <v>45</v>
      </c>
      <c r="AB486" t="s">
        <v>151</v>
      </c>
      <c r="AC486" t="s">
        <v>160</v>
      </c>
      <c r="AD486" t="s">
        <v>278</v>
      </c>
      <c r="AE486" t="str">
        <f>IF(AF486="","",VLOOKUP(AC486,mapel!$A$2:$B$42,2,FALSE))</f>
        <v>B.Ing</v>
      </c>
      <c r="AF486">
        <f t="shared" si="21"/>
        <v>45</v>
      </c>
      <c r="AG486" t="str">
        <f>IF(AF486="","",IF(AF486&gt;90,"Sangat baik",IF(AF486&gt;79,"Baik",IF(AF486&gt;=pub_gid_0_single_true_output_csv[[#This Row],[KKM]],"Cukup","Kurang"))))</f>
        <v>Kurang</v>
      </c>
      <c r="AH486">
        <f t="shared" si="22"/>
        <v>11</v>
      </c>
      <c r="AI486" s="30" t="str">
        <f>IF(OR(J486&lt;&gt;"Karakter",pub_gid_0_single_true_output_csv[[#This Row],[Nilai2]]=""),"",IF(AF486&gt;89,"Sangat baik",IF(AF486&gt;79,"Baik",IF(AF486&gt;69,"Cukup",IF(AF486&gt;59,"Kurang","Sangat kurang")))))</f>
        <v/>
      </c>
      <c r="AJ486" t="str">
        <f t="shared" si="23"/>
        <v>Wk.7</v>
      </c>
      <c r="AK486" t="str">
        <f>IF(pub_gid_0_single_true_output_csv[[#This Row],[Nilai2]]="","",VLOOKUP(pub_gid_0_single_true_output_csv[[#This Row],[NAMA]],Table7[],3,FALSE))</f>
        <v>Extremely low</v>
      </c>
    </row>
    <row r="487" spans="1:37" x14ac:dyDescent="0.2">
      <c r="A487">
        <v>486</v>
      </c>
      <c r="B487" t="s">
        <v>288</v>
      </c>
      <c r="C487" t="s">
        <v>54</v>
      </c>
      <c r="D487" t="s">
        <v>35</v>
      </c>
      <c r="E487" t="s">
        <v>140</v>
      </c>
      <c r="F487" s="25">
        <v>46065</v>
      </c>
      <c r="G487" t="s">
        <v>354</v>
      </c>
      <c r="H487" t="s">
        <v>412</v>
      </c>
      <c r="I487" t="s">
        <v>371</v>
      </c>
      <c r="J487" t="s">
        <v>36</v>
      </c>
      <c r="K487" t="s">
        <v>37</v>
      </c>
      <c r="L487" t="s">
        <v>150</v>
      </c>
      <c r="M487" t="s">
        <v>141</v>
      </c>
      <c r="N487" t="s">
        <v>142</v>
      </c>
      <c r="O487" t="s">
        <v>155</v>
      </c>
      <c r="P487" t="s">
        <v>281</v>
      </c>
      <c r="Q487" t="s">
        <v>155</v>
      </c>
      <c r="R487" t="s">
        <v>273</v>
      </c>
      <c r="S487" t="s">
        <v>355</v>
      </c>
      <c r="T487">
        <v>2</v>
      </c>
      <c r="U487" t="s">
        <v>414</v>
      </c>
      <c r="V487" t="s">
        <v>303</v>
      </c>
      <c r="W487" t="s">
        <v>415</v>
      </c>
      <c r="X487" t="s">
        <v>306</v>
      </c>
      <c r="Y487" t="s">
        <v>307</v>
      </c>
      <c r="Z487">
        <v>65</v>
      </c>
      <c r="AA487">
        <v>60</v>
      </c>
      <c r="AB487" t="s">
        <v>151</v>
      </c>
      <c r="AC487" t="s">
        <v>160</v>
      </c>
      <c r="AD487" t="s">
        <v>278</v>
      </c>
      <c r="AE487" t="str">
        <f>IF(AF487="","",VLOOKUP(AC487,mapel!$A$2:$B$42,2,FALSE))</f>
        <v>B.Ing</v>
      </c>
      <c r="AF487">
        <f t="shared" si="21"/>
        <v>60</v>
      </c>
      <c r="AG487" t="str">
        <f>IF(AF487="","",IF(AF487&gt;90,"Sangat baik",IF(AF487&gt;79,"Baik",IF(AF487&gt;=pub_gid_0_single_true_output_csv[[#This Row],[KKM]],"Cukup","Kurang"))))</f>
        <v>Kurang</v>
      </c>
      <c r="AH487">
        <f t="shared" si="22"/>
        <v>11</v>
      </c>
      <c r="AI487" s="30" t="str">
        <f>IF(OR(J487&lt;&gt;"Karakter",pub_gid_0_single_true_output_csv[[#This Row],[Nilai2]]=""),"",IF(AF487&gt;89,"Sangat baik",IF(AF487&gt;79,"Baik",IF(AF487&gt;69,"Cukup",IF(AF487&gt;59,"Kurang","Sangat kurang")))))</f>
        <v/>
      </c>
      <c r="AJ487" t="str">
        <f t="shared" si="23"/>
        <v>Wk.7</v>
      </c>
      <c r="AK487" t="str">
        <f>IF(pub_gid_0_single_true_output_csv[[#This Row],[Nilai2]]="","",VLOOKUP(pub_gid_0_single_true_output_csv[[#This Row],[NAMA]],Table7[],3,FALSE))</f>
        <v>Extremely low</v>
      </c>
    </row>
    <row r="488" spans="1:37" x14ac:dyDescent="0.2">
      <c r="A488">
        <v>487</v>
      </c>
      <c r="B488" t="s">
        <v>288</v>
      </c>
      <c r="C488" t="s">
        <v>54</v>
      </c>
      <c r="D488" t="s">
        <v>35</v>
      </c>
      <c r="E488" t="s">
        <v>140</v>
      </c>
      <c r="F488" s="25">
        <v>46065</v>
      </c>
      <c r="G488" t="s">
        <v>354</v>
      </c>
      <c r="H488" t="s">
        <v>412</v>
      </c>
      <c r="I488" t="s">
        <v>371</v>
      </c>
      <c r="J488" t="s">
        <v>41</v>
      </c>
      <c r="K488" t="s">
        <v>365</v>
      </c>
      <c r="L488" t="s">
        <v>150</v>
      </c>
      <c r="M488" t="s">
        <v>141</v>
      </c>
      <c r="N488" t="s">
        <v>142</v>
      </c>
      <c r="O488" t="s">
        <v>155</v>
      </c>
      <c r="P488" t="s">
        <v>281</v>
      </c>
      <c r="Q488" t="s">
        <v>155</v>
      </c>
      <c r="R488" t="s">
        <v>273</v>
      </c>
      <c r="S488" t="s">
        <v>355</v>
      </c>
      <c r="T488">
        <v>2</v>
      </c>
      <c r="U488" t="s">
        <v>414</v>
      </c>
      <c r="V488" t="s">
        <v>303</v>
      </c>
      <c r="W488" t="s">
        <v>415</v>
      </c>
      <c r="X488" t="s">
        <v>306</v>
      </c>
      <c r="Y488" t="s">
        <v>307</v>
      </c>
      <c r="Z488">
        <v>65</v>
      </c>
      <c r="AA488">
        <v>60</v>
      </c>
      <c r="AB488" t="s">
        <v>151</v>
      </c>
      <c r="AC488" t="s">
        <v>160</v>
      </c>
      <c r="AD488" t="s">
        <v>278</v>
      </c>
      <c r="AE488" t="str">
        <f>IF(AF488="","",VLOOKUP(AC488,mapel!$A$2:$B$42,2,FALSE))</f>
        <v>B.Ing</v>
      </c>
      <c r="AF488">
        <f t="shared" si="21"/>
        <v>60</v>
      </c>
      <c r="AG488" t="str">
        <f>IF(AF488="","",IF(AF488&gt;90,"Sangat baik",IF(AF488&gt;79,"Baik",IF(AF488&gt;=pub_gid_0_single_true_output_csv[[#This Row],[KKM]],"Cukup","Kurang"))))</f>
        <v>Kurang</v>
      </c>
      <c r="AH488">
        <f t="shared" si="22"/>
        <v>11</v>
      </c>
      <c r="AI488" s="30" t="str">
        <f>IF(OR(J488&lt;&gt;"Karakter",pub_gid_0_single_true_output_csv[[#This Row],[Nilai2]]=""),"",IF(AF488&gt;89,"Sangat baik",IF(AF488&gt;79,"Baik",IF(AF488&gt;69,"Cukup",IF(AF488&gt;59,"Kurang","Sangat kurang")))))</f>
        <v/>
      </c>
      <c r="AJ488" t="str">
        <f t="shared" si="23"/>
        <v>Wk.7</v>
      </c>
      <c r="AK488" t="str">
        <f>IF(pub_gid_0_single_true_output_csv[[#This Row],[Nilai2]]="","",VLOOKUP(pub_gid_0_single_true_output_csv[[#This Row],[NAMA]],Table7[],3,FALSE))</f>
        <v>Extremely low</v>
      </c>
    </row>
    <row r="489" spans="1:37" x14ac:dyDescent="0.2">
      <c r="A489">
        <v>488</v>
      </c>
      <c r="B489" t="s">
        <v>288</v>
      </c>
      <c r="C489" t="s">
        <v>54</v>
      </c>
      <c r="D489" t="s">
        <v>35</v>
      </c>
      <c r="E489" t="s">
        <v>140</v>
      </c>
      <c r="F489" s="25">
        <v>46071</v>
      </c>
      <c r="G489" t="s">
        <v>323</v>
      </c>
      <c r="H489" t="s">
        <v>412</v>
      </c>
      <c r="I489" t="s">
        <v>371</v>
      </c>
      <c r="J489" t="s">
        <v>41</v>
      </c>
      <c r="K489" t="s">
        <v>365</v>
      </c>
      <c r="L489" t="s">
        <v>383</v>
      </c>
      <c r="M489" t="s">
        <v>141</v>
      </c>
      <c r="N489" t="s">
        <v>142</v>
      </c>
      <c r="O489" t="s">
        <v>155</v>
      </c>
      <c r="P489" t="s">
        <v>281</v>
      </c>
      <c r="Q489" t="s">
        <v>155</v>
      </c>
      <c r="R489" t="s">
        <v>273</v>
      </c>
      <c r="S489" t="s">
        <v>355</v>
      </c>
      <c r="T489">
        <v>2</v>
      </c>
      <c r="U489" t="s">
        <v>414</v>
      </c>
      <c r="V489" t="s">
        <v>303</v>
      </c>
      <c r="W489" t="s">
        <v>415</v>
      </c>
      <c r="X489" t="s">
        <v>306</v>
      </c>
      <c r="Y489" t="s">
        <v>307</v>
      </c>
      <c r="Z489">
        <v>65</v>
      </c>
      <c r="AA489">
        <v>75</v>
      </c>
      <c r="AB489" t="s">
        <v>143</v>
      </c>
      <c r="AC489" t="s">
        <v>160</v>
      </c>
      <c r="AD489" t="s">
        <v>278</v>
      </c>
      <c r="AE489" t="str">
        <f>IF(AF489="","",VLOOKUP(AC489,mapel!$A$2:$B$42,2,FALSE))</f>
        <v>B.Ing</v>
      </c>
      <c r="AF489">
        <f t="shared" si="21"/>
        <v>75</v>
      </c>
      <c r="AG489" t="str">
        <f>IF(AF489="","",IF(AF489&gt;90,"Sangat baik",IF(AF489&gt;79,"Baik",IF(AF489&gt;=pub_gid_0_single_true_output_csv[[#This Row],[KKM]],"Cukup","Kurang"))))</f>
        <v>Cukup</v>
      </c>
      <c r="AH489">
        <f t="shared" si="22"/>
        <v>11</v>
      </c>
      <c r="AI489" s="30" t="str">
        <f>IF(OR(J489&lt;&gt;"Karakter",pub_gid_0_single_true_output_csv[[#This Row],[Nilai2]]=""),"",IF(AF489&gt;89,"Sangat baik",IF(AF489&gt;79,"Baik",IF(AF489&gt;69,"Cukup",IF(AF489&gt;59,"Kurang","Sangat kurang")))))</f>
        <v/>
      </c>
      <c r="AJ489" t="str">
        <f t="shared" si="23"/>
        <v>Wk.8</v>
      </c>
      <c r="AK489" t="str">
        <f>IF(pub_gid_0_single_true_output_csv[[#This Row],[Nilai2]]="","",VLOOKUP(pub_gid_0_single_true_output_csv[[#This Row],[NAMA]],Table7[],3,FALSE))</f>
        <v>Extremely low</v>
      </c>
    </row>
    <row r="490" spans="1:37" x14ac:dyDescent="0.2">
      <c r="A490">
        <v>489</v>
      </c>
      <c r="B490" t="s">
        <v>288</v>
      </c>
      <c r="C490" t="s">
        <v>54</v>
      </c>
      <c r="D490" t="s">
        <v>35</v>
      </c>
      <c r="E490" t="s">
        <v>140</v>
      </c>
      <c r="F490" s="25">
        <v>46071</v>
      </c>
      <c r="G490" t="s">
        <v>323</v>
      </c>
      <c r="H490" t="s">
        <v>412</v>
      </c>
      <c r="I490" t="s">
        <v>371</v>
      </c>
      <c r="J490" t="s">
        <v>36</v>
      </c>
      <c r="K490" t="s">
        <v>37</v>
      </c>
      <c r="L490" t="s">
        <v>383</v>
      </c>
      <c r="M490" t="s">
        <v>141</v>
      </c>
      <c r="N490" t="s">
        <v>142</v>
      </c>
      <c r="O490" t="s">
        <v>155</v>
      </c>
      <c r="P490" t="s">
        <v>281</v>
      </c>
      <c r="Q490" t="s">
        <v>155</v>
      </c>
      <c r="R490" t="s">
        <v>273</v>
      </c>
      <c r="S490" t="s">
        <v>355</v>
      </c>
      <c r="T490">
        <v>2</v>
      </c>
      <c r="U490" t="s">
        <v>414</v>
      </c>
      <c r="V490" t="s">
        <v>303</v>
      </c>
      <c r="W490" t="s">
        <v>415</v>
      </c>
      <c r="X490" t="s">
        <v>306</v>
      </c>
      <c r="Y490" t="s">
        <v>307</v>
      </c>
      <c r="Z490">
        <v>65</v>
      </c>
      <c r="AA490">
        <v>75</v>
      </c>
      <c r="AB490" t="s">
        <v>143</v>
      </c>
      <c r="AC490" t="s">
        <v>160</v>
      </c>
      <c r="AD490" t="s">
        <v>278</v>
      </c>
      <c r="AE490" t="str">
        <f>IF(AF490="","",VLOOKUP(AC490,mapel!$A$2:$B$42,2,FALSE))</f>
        <v>B.Ing</v>
      </c>
      <c r="AF490">
        <f t="shared" si="21"/>
        <v>75</v>
      </c>
      <c r="AG490" t="str">
        <f>IF(AF490="","",IF(AF490&gt;90,"Sangat baik",IF(AF490&gt;79,"Baik",IF(AF490&gt;=pub_gid_0_single_true_output_csv[[#This Row],[KKM]],"Cukup","Kurang"))))</f>
        <v>Cukup</v>
      </c>
      <c r="AH490">
        <f t="shared" si="22"/>
        <v>11</v>
      </c>
      <c r="AI490" s="30" t="str">
        <f>IF(OR(J490&lt;&gt;"Karakter",pub_gid_0_single_true_output_csv[[#This Row],[Nilai2]]=""),"",IF(AF490&gt;89,"Sangat baik",IF(AF490&gt;79,"Baik",IF(AF490&gt;69,"Cukup",IF(AF490&gt;59,"Kurang","Sangat kurang")))))</f>
        <v/>
      </c>
      <c r="AJ490" t="str">
        <f t="shared" si="23"/>
        <v>Wk.8</v>
      </c>
      <c r="AK490" t="str">
        <f>IF(pub_gid_0_single_true_output_csv[[#This Row],[Nilai2]]="","",VLOOKUP(pub_gid_0_single_true_output_csv[[#This Row],[NAMA]],Table7[],3,FALSE))</f>
        <v>Extremely low</v>
      </c>
    </row>
    <row r="491" spans="1:37" x14ac:dyDescent="0.2">
      <c r="A491">
        <v>490</v>
      </c>
      <c r="B491" t="s">
        <v>294</v>
      </c>
      <c r="C491" t="s">
        <v>54</v>
      </c>
      <c r="D491" t="s">
        <v>46</v>
      </c>
      <c r="E491" t="s">
        <v>148</v>
      </c>
      <c r="F491" s="25">
        <v>46030</v>
      </c>
      <c r="G491" t="s">
        <v>347</v>
      </c>
      <c r="H491" t="s">
        <v>405</v>
      </c>
      <c r="I491" t="s">
        <v>371</v>
      </c>
      <c r="J491" t="s">
        <v>36</v>
      </c>
      <c r="K491" t="s">
        <v>37</v>
      </c>
      <c r="L491" t="s">
        <v>321</v>
      </c>
      <c r="M491" t="s">
        <v>141</v>
      </c>
      <c r="N491" t="s">
        <v>142</v>
      </c>
      <c r="O491" t="s">
        <v>155</v>
      </c>
      <c r="P491" t="s">
        <v>281</v>
      </c>
      <c r="Q491" t="s">
        <v>155</v>
      </c>
      <c r="R491" t="s">
        <v>273</v>
      </c>
      <c r="S491" t="s">
        <v>355</v>
      </c>
      <c r="T491">
        <v>2</v>
      </c>
      <c r="U491" t="s">
        <v>414</v>
      </c>
      <c r="V491" t="s">
        <v>303</v>
      </c>
      <c r="W491" t="s">
        <v>415</v>
      </c>
      <c r="X491" t="s">
        <v>306</v>
      </c>
      <c r="Y491" t="s">
        <v>307</v>
      </c>
      <c r="Z491">
        <v>65</v>
      </c>
      <c r="AA491">
        <v>100</v>
      </c>
      <c r="AB491" t="s">
        <v>143</v>
      </c>
      <c r="AC491" t="s">
        <v>160</v>
      </c>
      <c r="AD491" t="s">
        <v>278</v>
      </c>
      <c r="AE491" t="str">
        <f>IF(AF491="","",VLOOKUP(AC491,mapel!$A$2:$B$42,2,FALSE))</f>
        <v>B.Ing</v>
      </c>
      <c r="AF491">
        <f t="shared" si="21"/>
        <v>100</v>
      </c>
      <c r="AG491" t="str">
        <f>IF(AF491="","",IF(AF491&gt;90,"Sangat baik",IF(AF491&gt;79,"Baik",IF(AF491&gt;=pub_gid_0_single_true_output_csv[[#This Row],[KKM]],"Cukup","Kurang"))))</f>
        <v>Sangat baik</v>
      </c>
      <c r="AH491">
        <f t="shared" si="22"/>
        <v>11</v>
      </c>
      <c r="AI491" s="30" t="str">
        <f>IF(OR(J491&lt;&gt;"Karakter",pub_gid_0_single_true_output_csv[[#This Row],[Nilai2]]=""),"",IF(AF491&gt;89,"Sangat baik",IF(AF491&gt;79,"Baik",IF(AF491&gt;69,"Cukup",IF(AF491&gt;59,"Kurang","Sangat kurang")))))</f>
        <v/>
      </c>
      <c r="AJ491" t="str">
        <f t="shared" si="23"/>
        <v>Wk.2</v>
      </c>
      <c r="AK491" t="str">
        <f>IF(pub_gid_0_single_true_output_csv[[#This Row],[Nilai2]]="","",VLOOKUP(pub_gid_0_single_true_output_csv[[#This Row],[NAMA]],Table7[],3,FALSE))</f>
        <v>Average</v>
      </c>
    </row>
    <row r="492" spans="1:37" x14ac:dyDescent="0.2">
      <c r="A492">
        <v>491</v>
      </c>
      <c r="B492" t="s">
        <v>294</v>
      </c>
      <c r="C492" t="s">
        <v>54</v>
      </c>
      <c r="D492" t="s">
        <v>46</v>
      </c>
      <c r="E492" t="s">
        <v>148</v>
      </c>
      <c r="F492" s="25">
        <v>46030</v>
      </c>
      <c r="G492" t="s">
        <v>347</v>
      </c>
      <c r="H492" t="s">
        <v>405</v>
      </c>
      <c r="I492" t="s">
        <v>371</v>
      </c>
      <c r="J492" t="s">
        <v>41</v>
      </c>
      <c r="K492" t="s">
        <v>157</v>
      </c>
      <c r="L492" t="s">
        <v>395</v>
      </c>
      <c r="M492" t="s">
        <v>141</v>
      </c>
      <c r="N492" t="s">
        <v>142</v>
      </c>
      <c r="O492" t="s">
        <v>155</v>
      </c>
      <c r="P492" t="s">
        <v>281</v>
      </c>
      <c r="Q492" t="s">
        <v>155</v>
      </c>
      <c r="R492" t="s">
        <v>273</v>
      </c>
      <c r="S492" t="s">
        <v>355</v>
      </c>
      <c r="T492">
        <v>2</v>
      </c>
      <c r="U492" t="s">
        <v>414</v>
      </c>
      <c r="V492" t="s">
        <v>303</v>
      </c>
      <c r="W492" t="s">
        <v>415</v>
      </c>
      <c r="X492" t="s">
        <v>306</v>
      </c>
      <c r="Y492" t="s">
        <v>307</v>
      </c>
      <c r="Z492">
        <v>65</v>
      </c>
      <c r="AA492">
        <v>100</v>
      </c>
      <c r="AB492" t="s">
        <v>143</v>
      </c>
      <c r="AC492" t="s">
        <v>160</v>
      </c>
      <c r="AD492" t="s">
        <v>278</v>
      </c>
      <c r="AE492" t="str">
        <f>IF(AF492="","",VLOOKUP(AC492,mapel!$A$2:$B$42,2,FALSE))</f>
        <v>B.Ing</v>
      </c>
      <c r="AF492">
        <f t="shared" si="21"/>
        <v>100</v>
      </c>
      <c r="AG492" t="str">
        <f>IF(AF492="","",IF(AF492&gt;90,"Sangat baik",IF(AF492&gt;79,"Baik",IF(AF492&gt;=pub_gid_0_single_true_output_csv[[#This Row],[KKM]],"Cukup","Kurang"))))</f>
        <v>Sangat baik</v>
      </c>
      <c r="AH492">
        <f t="shared" si="22"/>
        <v>11</v>
      </c>
      <c r="AI492" s="30" t="str">
        <f>IF(OR(J492&lt;&gt;"Karakter",pub_gid_0_single_true_output_csv[[#This Row],[Nilai2]]=""),"",IF(AF492&gt;89,"Sangat baik",IF(AF492&gt;79,"Baik",IF(AF492&gt;69,"Cukup",IF(AF492&gt;59,"Kurang","Sangat kurang")))))</f>
        <v/>
      </c>
      <c r="AJ492" t="str">
        <f t="shared" si="23"/>
        <v>Wk.2</v>
      </c>
      <c r="AK492" t="str">
        <f>IF(pub_gid_0_single_true_output_csv[[#This Row],[Nilai2]]="","",VLOOKUP(pub_gid_0_single_true_output_csv[[#This Row],[NAMA]],Table7[],3,FALSE))</f>
        <v>Average</v>
      </c>
    </row>
    <row r="493" spans="1:37" x14ac:dyDescent="0.2">
      <c r="A493">
        <v>492</v>
      </c>
      <c r="B493" t="s">
        <v>294</v>
      </c>
      <c r="C493" t="s">
        <v>54</v>
      </c>
      <c r="D493" t="s">
        <v>46</v>
      </c>
      <c r="E493" t="s">
        <v>148</v>
      </c>
      <c r="F493" s="25">
        <v>46030</v>
      </c>
      <c r="G493" t="s">
        <v>347</v>
      </c>
      <c r="H493" t="s">
        <v>405</v>
      </c>
      <c r="I493" t="s">
        <v>371</v>
      </c>
      <c r="J493" t="s">
        <v>90</v>
      </c>
      <c r="K493" t="s">
        <v>92</v>
      </c>
      <c r="L493" t="s">
        <v>95</v>
      </c>
      <c r="M493" t="s">
        <v>141</v>
      </c>
      <c r="N493" t="s">
        <v>142</v>
      </c>
      <c r="O493" t="s">
        <v>155</v>
      </c>
      <c r="P493" t="s">
        <v>281</v>
      </c>
      <c r="Q493" t="s">
        <v>155</v>
      </c>
      <c r="R493" t="s">
        <v>273</v>
      </c>
      <c r="S493" t="s">
        <v>355</v>
      </c>
      <c r="T493">
        <v>2</v>
      </c>
      <c r="U493" t="s">
        <v>414</v>
      </c>
      <c r="V493" t="s">
        <v>303</v>
      </c>
      <c r="W493" t="s">
        <v>415</v>
      </c>
      <c r="X493" t="s">
        <v>306</v>
      </c>
      <c r="Y493" t="s">
        <v>307</v>
      </c>
      <c r="Z493">
        <v>65</v>
      </c>
      <c r="AA493">
        <v>65</v>
      </c>
      <c r="AB493" t="s">
        <v>143</v>
      </c>
      <c r="AC493" t="s">
        <v>160</v>
      </c>
      <c r="AD493" t="s">
        <v>278</v>
      </c>
      <c r="AE493" t="str">
        <f>IF(AF493="","",VLOOKUP(AC493,mapel!$A$2:$B$42,2,FALSE))</f>
        <v>B.Ing</v>
      </c>
      <c r="AF493">
        <f t="shared" si="21"/>
        <v>65</v>
      </c>
      <c r="AG493" t="str">
        <f>IF(AF493="","",IF(AF493&gt;90,"Sangat baik",IF(AF493&gt;79,"Baik",IF(AF493&gt;=pub_gid_0_single_true_output_csv[[#This Row],[KKM]],"Cukup","Kurang"))))</f>
        <v>Cukup</v>
      </c>
      <c r="AH493">
        <f t="shared" si="22"/>
        <v>11</v>
      </c>
      <c r="AI493" s="30" t="str">
        <f>IF(OR(J493&lt;&gt;"Karakter",pub_gid_0_single_true_output_csv[[#This Row],[Nilai2]]=""),"",IF(AF493&gt;89,"Sangat baik",IF(AF493&gt;79,"Baik",IF(AF493&gt;69,"Cukup",IF(AF493&gt;59,"Kurang","Sangat kurang")))))</f>
        <v>Kurang</v>
      </c>
      <c r="AJ493" t="str">
        <f t="shared" si="23"/>
        <v>Wk.2</v>
      </c>
      <c r="AK493" t="str">
        <f>IF(pub_gid_0_single_true_output_csv[[#This Row],[Nilai2]]="","",VLOOKUP(pub_gid_0_single_true_output_csv[[#This Row],[NAMA]],Table7[],3,FALSE))</f>
        <v>Average</v>
      </c>
    </row>
    <row r="494" spans="1:37" x14ac:dyDescent="0.2">
      <c r="A494">
        <v>493</v>
      </c>
      <c r="B494" t="s">
        <v>294</v>
      </c>
      <c r="C494" t="s">
        <v>54</v>
      </c>
      <c r="D494" t="s">
        <v>46</v>
      </c>
      <c r="E494" t="s">
        <v>148</v>
      </c>
      <c r="F494" s="25">
        <v>46051</v>
      </c>
      <c r="G494" t="s">
        <v>320</v>
      </c>
      <c r="H494" t="s">
        <v>405</v>
      </c>
      <c r="I494" t="s">
        <v>371</v>
      </c>
      <c r="J494" t="s">
        <v>36</v>
      </c>
      <c r="K494" t="s">
        <v>37</v>
      </c>
      <c r="L494" t="s">
        <v>324</v>
      </c>
      <c r="M494" t="s">
        <v>141</v>
      </c>
      <c r="N494" t="s">
        <v>142</v>
      </c>
      <c r="O494" t="s">
        <v>155</v>
      </c>
      <c r="P494" t="s">
        <v>281</v>
      </c>
      <c r="Q494" t="s">
        <v>155</v>
      </c>
      <c r="R494" t="s">
        <v>273</v>
      </c>
      <c r="S494" t="s">
        <v>355</v>
      </c>
      <c r="T494">
        <v>2</v>
      </c>
      <c r="U494" t="s">
        <v>414</v>
      </c>
      <c r="V494" t="s">
        <v>303</v>
      </c>
      <c r="W494" t="s">
        <v>415</v>
      </c>
      <c r="X494" t="s">
        <v>306</v>
      </c>
      <c r="Y494" t="s">
        <v>307</v>
      </c>
      <c r="Z494">
        <v>65</v>
      </c>
      <c r="AA494">
        <v>15</v>
      </c>
      <c r="AB494" t="s">
        <v>151</v>
      </c>
      <c r="AC494" t="s">
        <v>160</v>
      </c>
      <c r="AD494" t="s">
        <v>278</v>
      </c>
      <c r="AE494" t="str">
        <f>IF(AF494="","",VLOOKUP(AC494,mapel!$A$2:$B$42,2,FALSE))</f>
        <v>B.Ing</v>
      </c>
      <c r="AF494">
        <f t="shared" si="21"/>
        <v>15</v>
      </c>
      <c r="AG494" t="str">
        <f>IF(AF494="","",IF(AF494&gt;90,"Sangat baik",IF(AF494&gt;79,"Baik",IF(AF494&gt;=pub_gid_0_single_true_output_csv[[#This Row],[KKM]],"Cukup","Kurang"))))</f>
        <v>Kurang</v>
      </c>
      <c r="AH494">
        <f t="shared" si="22"/>
        <v>11</v>
      </c>
      <c r="AI494" s="30" t="str">
        <f>IF(OR(J494&lt;&gt;"Karakter",pub_gid_0_single_true_output_csv[[#This Row],[Nilai2]]=""),"",IF(AF494&gt;89,"Sangat baik",IF(AF494&gt;79,"Baik",IF(AF494&gt;69,"Cukup",IF(AF494&gt;59,"Kurang","Sangat kurang")))))</f>
        <v/>
      </c>
      <c r="AJ494" t="str">
        <f t="shared" si="23"/>
        <v>Wk.5</v>
      </c>
      <c r="AK494" t="str">
        <f>IF(pub_gid_0_single_true_output_csv[[#This Row],[Nilai2]]="","",VLOOKUP(pub_gid_0_single_true_output_csv[[#This Row],[NAMA]],Table7[],3,FALSE))</f>
        <v>Average</v>
      </c>
    </row>
    <row r="495" spans="1:37" x14ac:dyDescent="0.2">
      <c r="A495">
        <v>494</v>
      </c>
      <c r="B495" t="s">
        <v>294</v>
      </c>
      <c r="C495" t="s">
        <v>54</v>
      </c>
      <c r="D495" t="s">
        <v>46</v>
      </c>
      <c r="E495" t="s">
        <v>148</v>
      </c>
      <c r="F495" s="25">
        <v>46051</v>
      </c>
      <c r="G495" t="s">
        <v>320</v>
      </c>
      <c r="H495" t="s">
        <v>405</v>
      </c>
      <c r="I495" t="s">
        <v>371</v>
      </c>
      <c r="J495" t="s">
        <v>90</v>
      </c>
      <c r="K495" t="s">
        <v>377</v>
      </c>
      <c r="L495" t="s">
        <v>378</v>
      </c>
      <c r="M495" t="s">
        <v>141</v>
      </c>
      <c r="N495" t="s">
        <v>142</v>
      </c>
      <c r="O495" t="s">
        <v>155</v>
      </c>
      <c r="P495" t="s">
        <v>281</v>
      </c>
      <c r="Q495" t="s">
        <v>155</v>
      </c>
      <c r="R495" t="s">
        <v>273</v>
      </c>
      <c r="S495" t="s">
        <v>355</v>
      </c>
      <c r="T495">
        <v>2</v>
      </c>
      <c r="U495" t="s">
        <v>414</v>
      </c>
      <c r="V495" t="s">
        <v>303</v>
      </c>
      <c r="W495" t="s">
        <v>415</v>
      </c>
      <c r="X495" t="s">
        <v>306</v>
      </c>
      <c r="Y495" t="s">
        <v>307</v>
      </c>
      <c r="Z495">
        <v>65</v>
      </c>
      <c r="AA495">
        <v>35</v>
      </c>
      <c r="AB495" t="s">
        <v>151</v>
      </c>
      <c r="AC495" t="s">
        <v>160</v>
      </c>
      <c r="AD495" t="s">
        <v>278</v>
      </c>
      <c r="AE495" t="str">
        <f>IF(AF495="","",VLOOKUP(AC495,mapel!$A$2:$B$42,2,FALSE))</f>
        <v>B.Ing</v>
      </c>
      <c r="AF495">
        <f t="shared" si="21"/>
        <v>35</v>
      </c>
      <c r="AG495" t="str">
        <f>IF(AF495="","",IF(AF495&gt;90,"Sangat baik",IF(AF495&gt;79,"Baik",IF(AF495&gt;=pub_gid_0_single_true_output_csv[[#This Row],[KKM]],"Cukup","Kurang"))))</f>
        <v>Kurang</v>
      </c>
      <c r="AH495">
        <f t="shared" si="22"/>
        <v>11</v>
      </c>
      <c r="AI495" s="30" t="str">
        <f>IF(OR(J495&lt;&gt;"Karakter",pub_gid_0_single_true_output_csv[[#This Row],[Nilai2]]=""),"",IF(AF495&gt;89,"Sangat baik",IF(AF495&gt;79,"Baik",IF(AF495&gt;69,"Cukup",IF(AF495&gt;59,"Kurang","Sangat kurang")))))</f>
        <v>Sangat kurang</v>
      </c>
      <c r="AJ495" t="str">
        <f t="shared" si="23"/>
        <v>Wk.5</v>
      </c>
      <c r="AK495" t="str">
        <f>IF(pub_gid_0_single_true_output_csv[[#This Row],[Nilai2]]="","",VLOOKUP(pub_gid_0_single_true_output_csv[[#This Row],[NAMA]],Table7[],3,FALSE))</f>
        <v>Average</v>
      </c>
    </row>
    <row r="496" spans="1:37" x14ac:dyDescent="0.2">
      <c r="A496">
        <v>495</v>
      </c>
      <c r="B496" t="s">
        <v>294</v>
      </c>
      <c r="C496" t="s">
        <v>54</v>
      </c>
      <c r="D496" t="s">
        <v>46</v>
      </c>
      <c r="E496" t="s">
        <v>148</v>
      </c>
      <c r="F496" s="25">
        <v>46044</v>
      </c>
      <c r="G496" t="s">
        <v>305</v>
      </c>
      <c r="H496" t="s">
        <v>405</v>
      </c>
      <c r="I496" t="s">
        <v>371</v>
      </c>
      <c r="J496" t="s">
        <v>41</v>
      </c>
      <c r="K496" t="s">
        <v>365</v>
      </c>
      <c r="L496" t="s">
        <v>383</v>
      </c>
      <c r="M496" t="s">
        <v>141</v>
      </c>
      <c r="N496" t="s">
        <v>142</v>
      </c>
      <c r="O496" t="s">
        <v>155</v>
      </c>
      <c r="P496" t="s">
        <v>281</v>
      </c>
      <c r="Q496" t="s">
        <v>155</v>
      </c>
      <c r="R496" t="s">
        <v>273</v>
      </c>
      <c r="S496" t="s">
        <v>355</v>
      </c>
      <c r="T496">
        <v>2</v>
      </c>
      <c r="U496" t="s">
        <v>414</v>
      </c>
      <c r="V496" t="s">
        <v>303</v>
      </c>
      <c r="W496" t="s">
        <v>415</v>
      </c>
      <c r="X496" t="s">
        <v>306</v>
      </c>
      <c r="Y496" t="s">
        <v>307</v>
      </c>
      <c r="Z496">
        <v>65</v>
      </c>
      <c r="AA496">
        <v>9</v>
      </c>
      <c r="AB496" t="s">
        <v>151</v>
      </c>
      <c r="AC496" t="s">
        <v>160</v>
      </c>
      <c r="AD496" t="s">
        <v>278</v>
      </c>
      <c r="AE496" t="str">
        <f>IF(AF496="","",VLOOKUP(AC496,mapel!$A$2:$B$42,2,FALSE))</f>
        <v>B.Ing</v>
      </c>
      <c r="AF496">
        <f t="shared" si="21"/>
        <v>9</v>
      </c>
      <c r="AG496" t="str">
        <f>IF(AF496="","",IF(AF496&gt;90,"Sangat baik",IF(AF496&gt;79,"Baik",IF(AF496&gt;=pub_gid_0_single_true_output_csv[[#This Row],[KKM]],"Cukup","Kurang"))))</f>
        <v>Kurang</v>
      </c>
      <c r="AH496">
        <f t="shared" si="22"/>
        <v>11</v>
      </c>
      <c r="AI496" s="30" t="str">
        <f>IF(OR(J496&lt;&gt;"Karakter",pub_gid_0_single_true_output_csv[[#This Row],[Nilai2]]=""),"",IF(AF496&gt;89,"Sangat baik",IF(AF496&gt;79,"Baik",IF(AF496&gt;69,"Cukup",IF(AF496&gt;59,"Kurang","Sangat kurang")))))</f>
        <v/>
      </c>
      <c r="AJ496" t="str">
        <f t="shared" si="23"/>
        <v>Wk.4</v>
      </c>
      <c r="AK496" t="str">
        <f>IF(pub_gid_0_single_true_output_csv[[#This Row],[Nilai2]]="","",VLOOKUP(pub_gid_0_single_true_output_csv[[#This Row],[NAMA]],Table7[],3,FALSE))</f>
        <v>Average</v>
      </c>
    </row>
    <row r="497" spans="1:37" x14ac:dyDescent="0.2">
      <c r="A497">
        <v>496</v>
      </c>
      <c r="B497" t="s">
        <v>294</v>
      </c>
      <c r="C497" t="s">
        <v>54</v>
      </c>
      <c r="D497" t="s">
        <v>46</v>
      </c>
      <c r="E497" t="s">
        <v>148</v>
      </c>
      <c r="F497" s="25">
        <v>46044</v>
      </c>
      <c r="G497" t="s">
        <v>305</v>
      </c>
      <c r="H497" t="s">
        <v>405</v>
      </c>
      <c r="I497" t="s">
        <v>371</v>
      </c>
      <c r="J497" t="s">
        <v>36</v>
      </c>
      <c r="K497" t="s">
        <v>37</v>
      </c>
      <c r="L497" t="s">
        <v>321</v>
      </c>
      <c r="M497" t="s">
        <v>141</v>
      </c>
      <c r="N497" t="s">
        <v>142</v>
      </c>
      <c r="O497" t="s">
        <v>155</v>
      </c>
      <c r="P497" t="s">
        <v>281</v>
      </c>
      <c r="Q497" t="s">
        <v>155</v>
      </c>
      <c r="R497" t="s">
        <v>273</v>
      </c>
      <c r="S497" t="s">
        <v>355</v>
      </c>
      <c r="T497">
        <v>2</v>
      </c>
      <c r="U497" t="s">
        <v>414</v>
      </c>
      <c r="V497" t="s">
        <v>303</v>
      </c>
      <c r="W497" t="s">
        <v>415</v>
      </c>
      <c r="X497" t="s">
        <v>306</v>
      </c>
      <c r="Y497" t="s">
        <v>307</v>
      </c>
      <c r="Z497">
        <v>65</v>
      </c>
      <c r="AA497">
        <v>9</v>
      </c>
      <c r="AB497" t="s">
        <v>151</v>
      </c>
      <c r="AC497" t="s">
        <v>160</v>
      </c>
      <c r="AD497" t="s">
        <v>278</v>
      </c>
      <c r="AE497" t="str">
        <f>IF(AF497="","",VLOOKUP(AC497,mapel!$A$2:$B$42,2,FALSE))</f>
        <v>B.Ing</v>
      </c>
      <c r="AF497">
        <f t="shared" si="21"/>
        <v>9</v>
      </c>
      <c r="AG497" t="str">
        <f>IF(AF497="","",IF(AF497&gt;90,"Sangat baik",IF(AF497&gt;79,"Baik",IF(AF497&gt;=pub_gid_0_single_true_output_csv[[#This Row],[KKM]],"Cukup","Kurang"))))</f>
        <v>Kurang</v>
      </c>
      <c r="AH497">
        <f t="shared" si="22"/>
        <v>11</v>
      </c>
      <c r="AI497" s="30" t="str">
        <f>IF(OR(J497&lt;&gt;"Karakter",pub_gid_0_single_true_output_csv[[#This Row],[Nilai2]]=""),"",IF(AF497&gt;89,"Sangat baik",IF(AF497&gt;79,"Baik",IF(AF497&gt;69,"Cukup",IF(AF497&gt;59,"Kurang","Sangat kurang")))))</f>
        <v/>
      </c>
      <c r="AJ497" t="str">
        <f t="shared" si="23"/>
        <v>Wk.4</v>
      </c>
      <c r="AK497" t="str">
        <f>IF(pub_gid_0_single_true_output_csv[[#This Row],[Nilai2]]="","",VLOOKUP(pub_gid_0_single_true_output_csv[[#This Row],[NAMA]],Table7[],3,FALSE))</f>
        <v>Average</v>
      </c>
    </row>
    <row r="498" spans="1:37" x14ac:dyDescent="0.2">
      <c r="A498">
        <v>497</v>
      </c>
      <c r="B498" t="s">
        <v>294</v>
      </c>
      <c r="C498" t="s">
        <v>54</v>
      </c>
      <c r="D498" t="s">
        <v>46</v>
      </c>
      <c r="E498" t="s">
        <v>148</v>
      </c>
      <c r="F498" s="25">
        <v>46044</v>
      </c>
      <c r="G498" t="s">
        <v>305</v>
      </c>
      <c r="H498" t="s">
        <v>405</v>
      </c>
      <c r="I498" t="s">
        <v>371</v>
      </c>
      <c r="J498" t="s">
        <v>31</v>
      </c>
      <c r="K498" t="s">
        <v>32</v>
      </c>
      <c r="L498" t="s">
        <v>321</v>
      </c>
      <c r="M498" t="s">
        <v>141</v>
      </c>
      <c r="N498" t="s">
        <v>142</v>
      </c>
      <c r="O498" t="s">
        <v>155</v>
      </c>
      <c r="P498" t="s">
        <v>281</v>
      </c>
      <c r="Q498" t="s">
        <v>155</v>
      </c>
      <c r="R498" t="s">
        <v>273</v>
      </c>
      <c r="S498" t="s">
        <v>355</v>
      </c>
      <c r="T498">
        <v>2</v>
      </c>
      <c r="U498" t="s">
        <v>414</v>
      </c>
      <c r="V498" t="s">
        <v>303</v>
      </c>
      <c r="W498" t="s">
        <v>415</v>
      </c>
      <c r="X498" t="s">
        <v>306</v>
      </c>
      <c r="Y498" t="s">
        <v>307</v>
      </c>
      <c r="Z498">
        <v>65</v>
      </c>
      <c r="AA498">
        <v>9</v>
      </c>
      <c r="AB498" t="s">
        <v>151</v>
      </c>
      <c r="AC498" t="s">
        <v>160</v>
      </c>
      <c r="AD498" t="s">
        <v>278</v>
      </c>
      <c r="AE498" t="str">
        <f>IF(AF498="","",VLOOKUP(AC498,mapel!$A$2:$B$42,2,FALSE))</f>
        <v>B.Ing</v>
      </c>
      <c r="AF498">
        <f t="shared" si="21"/>
        <v>9</v>
      </c>
      <c r="AG498" t="str">
        <f>IF(AF498="","",IF(AF498&gt;90,"Sangat baik",IF(AF498&gt;79,"Baik",IF(AF498&gt;=pub_gid_0_single_true_output_csv[[#This Row],[KKM]],"Cukup","Kurang"))))</f>
        <v>Kurang</v>
      </c>
      <c r="AH498">
        <f t="shared" si="22"/>
        <v>11</v>
      </c>
      <c r="AI498" s="30" t="str">
        <f>IF(OR(J498&lt;&gt;"Karakter",pub_gid_0_single_true_output_csv[[#This Row],[Nilai2]]=""),"",IF(AF498&gt;89,"Sangat baik",IF(AF498&gt;79,"Baik",IF(AF498&gt;69,"Cukup",IF(AF498&gt;59,"Kurang","Sangat kurang")))))</f>
        <v/>
      </c>
      <c r="AJ498" t="str">
        <f t="shared" si="23"/>
        <v>Wk.4</v>
      </c>
      <c r="AK498" t="str">
        <f>IF(pub_gid_0_single_true_output_csv[[#This Row],[Nilai2]]="","",VLOOKUP(pub_gid_0_single_true_output_csv[[#This Row],[NAMA]],Table7[],3,FALSE))</f>
        <v>Average</v>
      </c>
    </row>
    <row r="499" spans="1:37" x14ac:dyDescent="0.2">
      <c r="A499">
        <v>498</v>
      </c>
      <c r="B499" t="s">
        <v>294</v>
      </c>
      <c r="C499" t="s">
        <v>54</v>
      </c>
      <c r="D499" t="s">
        <v>46</v>
      </c>
      <c r="E499" t="s">
        <v>148</v>
      </c>
      <c r="F499" s="25">
        <v>46065</v>
      </c>
      <c r="G499" t="s">
        <v>354</v>
      </c>
      <c r="H499" t="s">
        <v>412</v>
      </c>
      <c r="I499" t="s">
        <v>371</v>
      </c>
      <c r="J499" t="s">
        <v>36</v>
      </c>
      <c r="K499" t="s">
        <v>37</v>
      </c>
      <c r="L499" t="s">
        <v>324</v>
      </c>
      <c r="M499" t="s">
        <v>141</v>
      </c>
      <c r="N499" t="s">
        <v>142</v>
      </c>
      <c r="O499" t="s">
        <v>155</v>
      </c>
      <c r="P499" t="s">
        <v>281</v>
      </c>
      <c r="Q499" t="s">
        <v>155</v>
      </c>
      <c r="R499" t="s">
        <v>273</v>
      </c>
      <c r="S499" t="s">
        <v>355</v>
      </c>
      <c r="T499">
        <v>2</v>
      </c>
      <c r="U499" t="s">
        <v>414</v>
      </c>
      <c r="V499" t="s">
        <v>303</v>
      </c>
      <c r="W499" t="s">
        <v>415</v>
      </c>
      <c r="X499" t="s">
        <v>306</v>
      </c>
      <c r="Y499" t="s">
        <v>307</v>
      </c>
      <c r="Z499">
        <v>65</v>
      </c>
      <c r="AA499">
        <v>0</v>
      </c>
      <c r="AB499" t="s">
        <v>151</v>
      </c>
      <c r="AC499" t="s">
        <v>160</v>
      </c>
      <c r="AD499" t="s">
        <v>278</v>
      </c>
      <c r="AE499" t="str">
        <f>IF(AF499="","",VLOOKUP(AC499,mapel!$A$2:$B$42,2,FALSE))</f>
        <v/>
      </c>
      <c r="AF499" t="str">
        <f t="shared" si="21"/>
        <v/>
      </c>
      <c r="AG499" t="str">
        <f>IF(AF499="","",IF(AF499&gt;90,"Sangat baik",IF(AF499&gt;79,"Baik",IF(AF499&gt;=pub_gid_0_single_true_output_csv[[#This Row],[KKM]],"Cukup","Kurang"))))</f>
        <v/>
      </c>
      <c r="AH499" t="str">
        <f t="shared" si="22"/>
        <v/>
      </c>
      <c r="AI499" s="30" t="str">
        <f>IF(OR(J499&lt;&gt;"Karakter",pub_gid_0_single_true_output_csv[[#This Row],[Nilai2]]=""),"",IF(AF499&gt;89,"Sangat baik",IF(AF499&gt;79,"Baik",IF(AF499&gt;69,"Cukup",IF(AF499&gt;59,"Kurang","Sangat kurang")))))</f>
        <v/>
      </c>
      <c r="AJ499" t="str">
        <f t="shared" si="23"/>
        <v/>
      </c>
      <c r="AK499" t="str">
        <f>IF(pub_gid_0_single_true_output_csv[[#This Row],[Nilai2]]="","",VLOOKUP(pub_gid_0_single_true_output_csv[[#This Row],[NAMA]],Table7[],3,FALSE))</f>
        <v/>
      </c>
    </row>
    <row r="500" spans="1:37" x14ac:dyDescent="0.2">
      <c r="A500">
        <v>499</v>
      </c>
      <c r="B500" t="s">
        <v>294</v>
      </c>
      <c r="C500" t="s">
        <v>54</v>
      </c>
      <c r="D500" t="s">
        <v>46</v>
      </c>
      <c r="E500" t="s">
        <v>148</v>
      </c>
      <c r="F500" s="25">
        <v>46065</v>
      </c>
      <c r="G500" t="s">
        <v>354</v>
      </c>
      <c r="H500" t="s">
        <v>412</v>
      </c>
      <c r="I500" t="s">
        <v>371</v>
      </c>
      <c r="J500" t="s">
        <v>36</v>
      </c>
      <c r="K500" t="s">
        <v>37</v>
      </c>
      <c r="L500" t="s">
        <v>150</v>
      </c>
      <c r="M500" t="s">
        <v>141</v>
      </c>
      <c r="N500" t="s">
        <v>142</v>
      </c>
      <c r="O500" t="s">
        <v>155</v>
      </c>
      <c r="P500" t="s">
        <v>281</v>
      </c>
      <c r="Q500" t="s">
        <v>155</v>
      </c>
      <c r="R500" t="s">
        <v>273</v>
      </c>
      <c r="S500" t="s">
        <v>355</v>
      </c>
      <c r="T500">
        <v>2</v>
      </c>
      <c r="U500" t="s">
        <v>414</v>
      </c>
      <c r="V500" t="s">
        <v>303</v>
      </c>
      <c r="W500" t="s">
        <v>415</v>
      </c>
      <c r="X500" t="s">
        <v>306</v>
      </c>
      <c r="Y500" t="s">
        <v>307</v>
      </c>
      <c r="Z500">
        <v>65</v>
      </c>
      <c r="AA500">
        <v>40</v>
      </c>
      <c r="AB500" t="s">
        <v>151</v>
      </c>
      <c r="AC500" t="s">
        <v>160</v>
      </c>
      <c r="AD500" t="s">
        <v>278</v>
      </c>
      <c r="AE500" t="str">
        <f>IF(AF500="","",VLOOKUP(AC500,mapel!$A$2:$B$42,2,FALSE))</f>
        <v>B.Ing</v>
      </c>
      <c r="AF500">
        <f t="shared" si="21"/>
        <v>40</v>
      </c>
      <c r="AG500" t="str">
        <f>IF(AF500="","",IF(AF500&gt;90,"Sangat baik",IF(AF500&gt;79,"Baik",IF(AF500&gt;=pub_gid_0_single_true_output_csv[[#This Row],[KKM]],"Cukup","Kurang"))))</f>
        <v>Kurang</v>
      </c>
      <c r="AH500">
        <f t="shared" si="22"/>
        <v>11</v>
      </c>
      <c r="AI500" s="30" t="str">
        <f>IF(OR(J500&lt;&gt;"Karakter",pub_gid_0_single_true_output_csv[[#This Row],[Nilai2]]=""),"",IF(AF500&gt;89,"Sangat baik",IF(AF500&gt;79,"Baik",IF(AF500&gt;69,"Cukup",IF(AF500&gt;59,"Kurang","Sangat kurang")))))</f>
        <v/>
      </c>
      <c r="AJ500" t="str">
        <f t="shared" si="23"/>
        <v>Wk.7</v>
      </c>
      <c r="AK500" t="str">
        <f>IF(pub_gid_0_single_true_output_csv[[#This Row],[Nilai2]]="","",VLOOKUP(pub_gid_0_single_true_output_csv[[#This Row],[NAMA]],Table7[],3,FALSE))</f>
        <v>Average</v>
      </c>
    </row>
    <row r="501" spans="1:37" x14ac:dyDescent="0.2">
      <c r="A501">
        <v>500</v>
      </c>
      <c r="B501" t="s">
        <v>294</v>
      </c>
      <c r="C501" t="s">
        <v>54</v>
      </c>
      <c r="D501" t="s">
        <v>46</v>
      </c>
      <c r="E501" t="s">
        <v>148</v>
      </c>
      <c r="F501" s="25">
        <v>46065</v>
      </c>
      <c r="G501" t="s">
        <v>354</v>
      </c>
      <c r="H501" t="s">
        <v>412</v>
      </c>
      <c r="I501" t="s">
        <v>371</v>
      </c>
      <c r="J501" t="s">
        <v>41</v>
      </c>
      <c r="K501" t="s">
        <v>365</v>
      </c>
      <c r="L501" t="s">
        <v>150</v>
      </c>
      <c r="M501" t="s">
        <v>141</v>
      </c>
      <c r="N501" t="s">
        <v>142</v>
      </c>
      <c r="O501" t="s">
        <v>155</v>
      </c>
      <c r="P501" t="s">
        <v>281</v>
      </c>
      <c r="Q501" t="s">
        <v>155</v>
      </c>
      <c r="R501" t="s">
        <v>273</v>
      </c>
      <c r="S501" t="s">
        <v>355</v>
      </c>
      <c r="T501">
        <v>2</v>
      </c>
      <c r="U501" t="s">
        <v>414</v>
      </c>
      <c r="V501" t="s">
        <v>303</v>
      </c>
      <c r="W501" t="s">
        <v>415</v>
      </c>
      <c r="X501" t="s">
        <v>306</v>
      </c>
      <c r="Y501" t="s">
        <v>307</v>
      </c>
      <c r="Z501">
        <v>65</v>
      </c>
      <c r="AA501">
        <v>40</v>
      </c>
      <c r="AB501" t="s">
        <v>151</v>
      </c>
      <c r="AC501" t="s">
        <v>160</v>
      </c>
      <c r="AD501" t="s">
        <v>278</v>
      </c>
      <c r="AE501" t="str">
        <f>IF(AF501="","",VLOOKUP(AC501,mapel!$A$2:$B$42,2,FALSE))</f>
        <v>B.Ing</v>
      </c>
      <c r="AF501">
        <f t="shared" si="21"/>
        <v>40</v>
      </c>
      <c r="AG501" t="str">
        <f>IF(AF501="","",IF(AF501&gt;90,"Sangat baik",IF(AF501&gt;79,"Baik",IF(AF501&gt;=pub_gid_0_single_true_output_csv[[#This Row],[KKM]],"Cukup","Kurang"))))</f>
        <v>Kurang</v>
      </c>
      <c r="AH501">
        <f t="shared" si="22"/>
        <v>11</v>
      </c>
      <c r="AI501" s="30" t="str">
        <f>IF(OR(J501&lt;&gt;"Karakter",pub_gid_0_single_true_output_csv[[#This Row],[Nilai2]]=""),"",IF(AF501&gt;89,"Sangat baik",IF(AF501&gt;79,"Baik",IF(AF501&gt;69,"Cukup",IF(AF501&gt;59,"Kurang","Sangat kurang")))))</f>
        <v/>
      </c>
      <c r="AJ501" t="str">
        <f t="shared" si="23"/>
        <v>Wk.7</v>
      </c>
      <c r="AK501" t="str">
        <f>IF(pub_gid_0_single_true_output_csv[[#This Row],[Nilai2]]="","",VLOOKUP(pub_gid_0_single_true_output_csv[[#This Row],[NAMA]],Table7[],3,FALSE))</f>
        <v>Average</v>
      </c>
    </row>
    <row r="502" spans="1:37" x14ac:dyDescent="0.2">
      <c r="A502">
        <v>501</v>
      </c>
      <c r="B502" t="s">
        <v>294</v>
      </c>
      <c r="C502" t="s">
        <v>54</v>
      </c>
      <c r="D502" t="s">
        <v>46</v>
      </c>
      <c r="E502" t="s">
        <v>148</v>
      </c>
      <c r="F502" s="25">
        <v>46071</v>
      </c>
      <c r="G502" t="s">
        <v>323</v>
      </c>
      <c r="H502" t="s">
        <v>412</v>
      </c>
      <c r="I502" t="s">
        <v>371</v>
      </c>
      <c r="J502" t="s">
        <v>41</v>
      </c>
      <c r="K502" t="s">
        <v>365</v>
      </c>
      <c r="L502" t="s">
        <v>383</v>
      </c>
      <c r="M502" t="s">
        <v>141</v>
      </c>
      <c r="N502" t="s">
        <v>142</v>
      </c>
      <c r="O502" t="s">
        <v>155</v>
      </c>
      <c r="P502" t="s">
        <v>281</v>
      </c>
      <c r="Q502" t="s">
        <v>155</v>
      </c>
      <c r="R502" t="s">
        <v>273</v>
      </c>
      <c r="S502" t="s">
        <v>355</v>
      </c>
      <c r="T502">
        <v>2</v>
      </c>
      <c r="U502" t="s">
        <v>414</v>
      </c>
      <c r="V502" t="s">
        <v>303</v>
      </c>
      <c r="W502" t="s">
        <v>415</v>
      </c>
      <c r="X502" t="s">
        <v>306</v>
      </c>
      <c r="Y502" t="s">
        <v>307</v>
      </c>
      <c r="Z502">
        <v>65</v>
      </c>
      <c r="AA502">
        <v>45</v>
      </c>
      <c r="AB502" t="s">
        <v>151</v>
      </c>
      <c r="AC502" t="s">
        <v>160</v>
      </c>
      <c r="AD502" t="s">
        <v>278</v>
      </c>
      <c r="AE502" t="str">
        <f>IF(AF502="","",VLOOKUP(AC502,mapel!$A$2:$B$42,2,FALSE))</f>
        <v>B.Ing</v>
      </c>
      <c r="AF502">
        <f t="shared" si="21"/>
        <v>45</v>
      </c>
      <c r="AG502" t="str">
        <f>IF(AF502="","",IF(AF502&gt;90,"Sangat baik",IF(AF502&gt;79,"Baik",IF(AF502&gt;=pub_gid_0_single_true_output_csv[[#This Row],[KKM]],"Cukup","Kurang"))))</f>
        <v>Kurang</v>
      </c>
      <c r="AH502">
        <f t="shared" si="22"/>
        <v>11</v>
      </c>
      <c r="AI502" s="30" t="str">
        <f>IF(OR(J502&lt;&gt;"Karakter",pub_gid_0_single_true_output_csv[[#This Row],[Nilai2]]=""),"",IF(AF502&gt;89,"Sangat baik",IF(AF502&gt;79,"Baik",IF(AF502&gt;69,"Cukup",IF(AF502&gt;59,"Kurang","Sangat kurang")))))</f>
        <v/>
      </c>
      <c r="AJ502" t="str">
        <f t="shared" si="23"/>
        <v>Wk.8</v>
      </c>
      <c r="AK502" t="str">
        <f>IF(pub_gid_0_single_true_output_csv[[#This Row],[Nilai2]]="","",VLOOKUP(pub_gid_0_single_true_output_csv[[#This Row],[NAMA]],Table7[],3,FALSE))</f>
        <v>Average</v>
      </c>
    </row>
    <row r="503" spans="1:37" x14ac:dyDescent="0.2">
      <c r="A503">
        <v>502</v>
      </c>
      <c r="B503" t="s">
        <v>294</v>
      </c>
      <c r="C503" t="s">
        <v>54</v>
      </c>
      <c r="D503" t="s">
        <v>46</v>
      </c>
      <c r="E503" t="s">
        <v>148</v>
      </c>
      <c r="F503" s="25">
        <v>46071</v>
      </c>
      <c r="G503" t="s">
        <v>323</v>
      </c>
      <c r="H503" t="s">
        <v>412</v>
      </c>
      <c r="I503" t="s">
        <v>371</v>
      </c>
      <c r="J503" t="s">
        <v>36</v>
      </c>
      <c r="K503" t="s">
        <v>37</v>
      </c>
      <c r="L503" t="s">
        <v>383</v>
      </c>
      <c r="M503" t="s">
        <v>141</v>
      </c>
      <c r="N503" t="s">
        <v>142</v>
      </c>
      <c r="O503" t="s">
        <v>155</v>
      </c>
      <c r="P503" t="s">
        <v>281</v>
      </c>
      <c r="Q503" t="s">
        <v>155</v>
      </c>
      <c r="R503" t="s">
        <v>273</v>
      </c>
      <c r="S503" t="s">
        <v>355</v>
      </c>
      <c r="T503">
        <v>2</v>
      </c>
      <c r="U503" t="s">
        <v>414</v>
      </c>
      <c r="V503" t="s">
        <v>303</v>
      </c>
      <c r="W503" t="s">
        <v>415</v>
      </c>
      <c r="X503" t="s">
        <v>306</v>
      </c>
      <c r="Y503" t="s">
        <v>307</v>
      </c>
      <c r="Z503">
        <v>65</v>
      </c>
      <c r="AA503">
        <v>45</v>
      </c>
      <c r="AB503" t="s">
        <v>151</v>
      </c>
      <c r="AC503" t="s">
        <v>160</v>
      </c>
      <c r="AD503" t="s">
        <v>278</v>
      </c>
      <c r="AE503" t="str">
        <f>IF(AF503="","",VLOOKUP(AC503,mapel!$A$2:$B$42,2,FALSE))</f>
        <v>B.Ing</v>
      </c>
      <c r="AF503">
        <f t="shared" si="21"/>
        <v>45</v>
      </c>
      <c r="AG503" t="str">
        <f>IF(AF503="","",IF(AF503&gt;90,"Sangat baik",IF(AF503&gt;79,"Baik",IF(AF503&gt;=pub_gid_0_single_true_output_csv[[#This Row],[KKM]],"Cukup","Kurang"))))</f>
        <v>Kurang</v>
      </c>
      <c r="AH503">
        <f t="shared" si="22"/>
        <v>11</v>
      </c>
      <c r="AI503" s="30" t="str">
        <f>IF(OR(J503&lt;&gt;"Karakter",pub_gid_0_single_true_output_csv[[#This Row],[Nilai2]]=""),"",IF(AF503&gt;89,"Sangat baik",IF(AF503&gt;79,"Baik",IF(AF503&gt;69,"Cukup",IF(AF503&gt;59,"Kurang","Sangat kurang")))))</f>
        <v/>
      </c>
      <c r="AJ503" t="str">
        <f t="shared" si="23"/>
        <v>Wk.8</v>
      </c>
      <c r="AK503" t="str">
        <f>IF(pub_gid_0_single_true_output_csv[[#This Row],[Nilai2]]="","",VLOOKUP(pub_gid_0_single_true_output_csv[[#This Row],[NAMA]],Table7[],3,FALSE))</f>
        <v>Average</v>
      </c>
    </row>
    <row r="504" spans="1:37" x14ac:dyDescent="0.2">
      <c r="A504">
        <v>503</v>
      </c>
      <c r="B504" t="s">
        <v>295</v>
      </c>
      <c r="C504" t="s">
        <v>54</v>
      </c>
      <c r="D504" t="s">
        <v>47</v>
      </c>
      <c r="E504" t="s">
        <v>148</v>
      </c>
      <c r="F504" s="25">
        <v>46030</v>
      </c>
      <c r="G504" t="s">
        <v>347</v>
      </c>
      <c r="H504" t="s">
        <v>405</v>
      </c>
      <c r="I504" t="s">
        <v>371</v>
      </c>
      <c r="J504" t="s">
        <v>36</v>
      </c>
      <c r="K504" t="s">
        <v>37</v>
      </c>
      <c r="L504" t="s">
        <v>321</v>
      </c>
      <c r="M504" t="s">
        <v>141</v>
      </c>
      <c r="N504" t="s">
        <v>142</v>
      </c>
      <c r="O504" t="s">
        <v>155</v>
      </c>
      <c r="P504" t="s">
        <v>281</v>
      </c>
      <c r="Q504" t="s">
        <v>155</v>
      </c>
      <c r="R504" t="s">
        <v>273</v>
      </c>
      <c r="S504" t="s">
        <v>355</v>
      </c>
      <c r="T504">
        <v>2</v>
      </c>
      <c r="U504" t="s">
        <v>414</v>
      </c>
      <c r="V504" t="s">
        <v>303</v>
      </c>
      <c r="W504" t="s">
        <v>415</v>
      </c>
      <c r="X504" t="s">
        <v>306</v>
      </c>
      <c r="Y504" t="s">
        <v>307</v>
      </c>
      <c r="Z504">
        <v>65</v>
      </c>
      <c r="AA504">
        <v>25</v>
      </c>
      <c r="AB504" t="s">
        <v>151</v>
      </c>
      <c r="AC504" t="s">
        <v>160</v>
      </c>
      <c r="AD504" t="s">
        <v>278</v>
      </c>
      <c r="AE504" t="str">
        <f>IF(AF504="","",VLOOKUP(AC504,mapel!$A$2:$B$42,2,FALSE))</f>
        <v>B.Ing</v>
      </c>
      <c r="AF504">
        <f t="shared" si="21"/>
        <v>25</v>
      </c>
      <c r="AG504" t="str">
        <f>IF(AF504="","",IF(AF504&gt;90,"Sangat baik",IF(AF504&gt;79,"Baik",IF(AF504&gt;=pub_gid_0_single_true_output_csv[[#This Row],[KKM]],"Cukup","Kurang"))))</f>
        <v>Kurang</v>
      </c>
      <c r="AH504">
        <f t="shared" si="22"/>
        <v>11</v>
      </c>
      <c r="AI504" s="30" t="str">
        <f>IF(OR(J504&lt;&gt;"Karakter",pub_gid_0_single_true_output_csv[[#This Row],[Nilai2]]=""),"",IF(AF504&gt;89,"Sangat baik",IF(AF504&gt;79,"Baik",IF(AF504&gt;69,"Cukup",IF(AF504&gt;59,"Kurang","Sangat kurang")))))</f>
        <v/>
      </c>
      <c r="AJ504" t="str">
        <f t="shared" si="23"/>
        <v>Wk.2</v>
      </c>
      <c r="AK504" t="str">
        <f>IF(pub_gid_0_single_true_output_csv[[#This Row],[Nilai2]]="","",VLOOKUP(pub_gid_0_single_true_output_csv[[#This Row],[NAMA]],Table7[],3,FALSE))</f>
        <v>Low average</v>
      </c>
    </row>
    <row r="505" spans="1:37" x14ac:dyDescent="0.2">
      <c r="A505">
        <v>504</v>
      </c>
      <c r="B505" t="s">
        <v>295</v>
      </c>
      <c r="C505" t="s">
        <v>54</v>
      </c>
      <c r="D505" t="s">
        <v>47</v>
      </c>
      <c r="E505" t="s">
        <v>148</v>
      </c>
      <c r="F505" s="25">
        <v>46030</v>
      </c>
      <c r="G505" t="s">
        <v>347</v>
      </c>
      <c r="H505" t="s">
        <v>405</v>
      </c>
      <c r="I505" t="s">
        <v>371</v>
      </c>
      <c r="J505" t="s">
        <v>41</v>
      </c>
      <c r="K505" t="s">
        <v>157</v>
      </c>
      <c r="L505" t="s">
        <v>395</v>
      </c>
      <c r="M505" t="s">
        <v>141</v>
      </c>
      <c r="N505" t="s">
        <v>142</v>
      </c>
      <c r="O505" t="s">
        <v>155</v>
      </c>
      <c r="P505" t="s">
        <v>281</v>
      </c>
      <c r="Q505" t="s">
        <v>155</v>
      </c>
      <c r="R505" t="s">
        <v>273</v>
      </c>
      <c r="S505" t="s">
        <v>355</v>
      </c>
      <c r="T505">
        <v>2</v>
      </c>
      <c r="U505" t="s">
        <v>414</v>
      </c>
      <c r="V505" t="s">
        <v>303</v>
      </c>
      <c r="W505" t="s">
        <v>415</v>
      </c>
      <c r="X505" t="s">
        <v>306</v>
      </c>
      <c r="Y505" t="s">
        <v>307</v>
      </c>
      <c r="Z505">
        <v>65</v>
      </c>
      <c r="AA505">
        <v>25</v>
      </c>
      <c r="AB505" t="s">
        <v>151</v>
      </c>
      <c r="AC505" t="s">
        <v>160</v>
      </c>
      <c r="AD505" t="s">
        <v>278</v>
      </c>
      <c r="AE505" t="str">
        <f>IF(AF505="","",VLOOKUP(AC505,mapel!$A$2:$B$42,2,FALSE))</f>
        <v>B.Ing</v>
      </c>
      <c r="AF505">
        <f t="shared" si="21"/>
        <v>25</v>
      </c>
      <c r="AG505" t="str">
        <f>IF(AF505="","",IF(AF505&gt;90,"Sangat baik",IF(AF505&gt;79,"Baik",IF(AF505&gt;=pub_gid_0_single_true_output_csv[[#This Row],[KKM]],"Cukup","Kurang"))))</f>
        <v>Kurang</v>
      </c>
      <c r="AH505">
        <f t="shared" si="22"/>
        <v>11</v>
      </c>
      <c r="AI505" s="30" t="str">
        <f>IF(OR(J505&lt;&gt;"Karakter",pub_gid_0_single_true_output_csv[[#This Row],[Nilai2]]=""),"",IF(AF505&gt;89,"Sangat baik",IF(AF505&gt;79,"Baik",IF(AF505&gt;69,"Cukup",IF(AF505&gt;59,"Kurang","Sangat kurang")))))</f>
        <v/>
      </c>
      <c r="AJ505" t="str">
        <f t="shared" si="23"/>
        <v>Wk.2</v>
      </c>
      <c r="AK505" t="str">
        <f>IF(pub_gid_0_single_true_output_csv[[#This Row],[Nilai2]]="","",VLOOKUP(pub_gid_0_single_true_output_csv[[#This Row],[NAMA]],Table7[],3,FALSE))</f>
        <v>Low average</v>
      </c>
    </row>
    <row r="506" spans="1:37" x14ac:dyDescent="0.2">
      <c r="A506">
        <v>505</v>
      </c>
      <c r="B506" t="s">
        <v>295</v>
      </c>
      <c r="C506" t="s">
        <v>54</v>
      </c>
      <c r="D506" t="s">
        <v>47</v>
      </c>
      <c r="E506" t="s">
        <v>148</v>
      </c>
      <c r="F506" s="25">
        <v>46030</v>
      </c>
      <c r="G506" t="s">
        <v>347</v>
      </c>
      <c r="H506" t="s">
        <v>405</v>
      </c>
      <c r="I506" t="s">
        <v>371</v>
      </c>
      <c r="J506" t="s">
        <v>90</v>
      </c>
      <c r="K506" t="s">
        <v>92</v>
      </c>
      <c r="L506" t="s">
        <v>95</v>
      </c>
      <c r="M506" t="s">
        <v>141</v>
      </c>
      <c r="N506" t="s">
        <v>142</v>
      </c>
      <c r="O506" t="s">
        <v>155</v>
      </c>
      <c r="P506" t="s">
        <v>281</v>
      </c>
      <c r="Q506" t="s">
        <v>155</v>
      </c>
      <c r="R506" t="s">
        <v>273</v>
      </c>
      <c r="S506" t="s">
        <v>355</v>
      </c>
      <c r="T506">
        <v>2</v>
      </c>
      <c r="U506" t="s">
        <v>414</v>
      </c>
      <c r="V506" t="s">
        <v>303</v>
      </c>
      <c r="W506" t="s">
        <v>415</v>
      </c>
      <c r="X506" t="s">
        <v>306</v>
      </c>
      <c r="Y506" t="s">
        <v>307</v>
      </c>
      <c r="Z506">
        <v>65</v>
      </c>
      <c r="AA506">
        <v>65</v>
      </c>
      <c r="AB506" t="s">
        <v>143</v>
      </c>
      <c r="AC506" t="s">
        <v>160</v>
      </c>
      <c r="AD506" t="s">
        <v>278</v>
      </c>
      <c r="AE506" t="str">
        <f>IF(AF506="","",VLOOKUP(AC506,mapel!$A$2:$B$42,2,FALSE))</f>
        <v>B.Ing</v>
      </c>
      <c r="AF506">
        <f t="shared" si="21"/>
        <v>65</v>
      </c>
      <c r="AG506" t="str">
        <f>IF(AF506="","",IF(AF506&gt;90,"Sangat baik",IF(AF506&gt;79,"Baik",IF(AF506&gt;=pub_gid_0_single_true_output_csv[[#This Row],[KKM]],"Cukup","Kurang"))))</f>
        <v>Cukup</v>
      </c>
      <c r="AH506">
        <f t="shared" si="22"/>
        <v>11</v>
      </c>
      <c r="AI506" s="30" t="str">
        <f>IF(OR(J506&lt;&gt;"Karakter",pub_gid_0_single_true_output_csv[[#This Row],[Nilai2]]=""),"",IF(AF506&gt;89,"Sangat baik",IF(AF506&gt;79,"Baik",IF(AF506&gt;69,"Cukup",IF(AF506&gt;59,"Kurang","Sangat kurang")))))</f>
        <v>Kurang</v>
      </c>
      <c r="AJ506" t="str">
        <f t="shared" si="23"/>
        <v>Wk.2</v>
      </c>
      <c r="AK506" t="str">
        <f>IF(pub_gid_0_single_true_output_csv[[#This Row],[Nilai2]]="","",VLOOKUP(pub_gid_0_single_true_output_csv[[#This Row],[NAMA]],Table7[],3,FALSE))</f>
        <v>Low average</v>
      </c>
    </row>
    <row r="507" spans="1:37" x14ac:dyDescent="0.2">
      <c r="A507">
        <v>506</v>
      </c>
      <c r="B507" t="s">
        <v>295</v>
      </c>
      <c r="C507" t="s">
        <v>54</v>
      </c>
      <c r="D507" t="s">
        <v>47</v>
      </c>
      <c r="E507" t="s">
        <v>148</v>
      </c>
      <c r="F507" s="25">
        <v>46051</v>
      </c>
      <c r="G507" t="s">
        <v>320</v>
      </c>
      <c r="H507" t="s">
        <v>405</v>
      </c>
      <c r="I507" t="s">
        <v>371</v>
      </c>
      <c r="J507" t="s">
        <v>36</v>
      </c>
      <c r="K507" t="s">
        <v>37</v>
      </c>
      <c r="L507" t="s">
        <v>324</v>
      </c>
      <c r="M507" t="s">
        <v>141</v>
      </c>
      <c r="N507" t="s">
        <v>142</v>
      </c>
      <c r="O507" t="s">
        <v>155</v>
      </c>
      <c r="P507" t="s">
        <v>281</v>
      </c>
      <c r="Q507" t="s">
        <v>155</v>
      </c>
      <c r="R507" t="s">
        <v>273</v>
      </c>
      <c r="S507" t="s">
        <v>355</v>
      </c>
      <c r="T507">
        <v>2</v>
      </c>
      <c r="U507" t="s">
        <v>414</v>
      </c>
      <c r="V507" t="s">
        <v>303</v>
      </c>
      <c r="W507" t="s">
        <v>415</v>
      </c>
      <c r="X507" t="s">
        <v>306</v>
      </c>
      <c r="Y507" t="s">
        <v>307</v>
      </c>
      <c r="Z507">
        <v>65</v>
      </c>
      <c r="AA507">
        <v>35</v>
      </c>
      <c r="AB507" t="s">
        <v>151</v>
      </c>
      <c r="AC507" t="s">
        <v>160</v>
      </c>
      <c r="AD507" t="s">
        <v>278</v>
      </c>
      <c r="AE507" t="str">
        <f>IF(AF507="","",VLOOKUP(AC507,mapel!$A$2:$B$42,2,FALSE))</f>
        <v>B.Ing</v>
      </c>
      <c r="AF507">
        <f t="shared" si="21"/>
        <v>35</v>
      </c>
      <c r="AG507" t="str">
        <f>IF(AF507="","",IF(AF507&gt;90,"Sangat baik",IF(AF507&gt;79,"Baik",IF(AF507&gt;=pub_gid_0_single_true_output_csv[[#This Row],[KKM]],"Cukup","Kurang"))))</f>
        <v>Kurang</v>
      </c>
      <c r="AH507">
        <f t="shared" si="22"/>
        <v>11</v>
      </c>
      <c r="AI507" s="30" t="str">
        <f>IF(OR(J507&lt;&gt;"Karakter",pub_gid_0_single_true_output_csv[[#This Row],[Nilai2]]=""),"",IF(AF507&gt;89,"Sangat baik",IF(AF507&gt;79,"Baik",IF(AF507&gt;69,"Cukup",IF(AF507&gt;59,"Kurang","Sangat kurang")))))</f>
        <v/>
      </c>
      <c r="AJ507" t="str">
        <f t="shared" si="23"/>
        <v>Wk.5</v>
      </c>
      <c r="AK507" t="str">
        <f>IF(pub_gid_0_single_true_output_csv[[#This Row],[Nilai2]]="","",VLOOKUP(pub_gid_0_single_true_output_csv[[#This Row],[NAMA]],Table7[],3,FALSE))</f>
        <v>Low average</v>
      </c>
    </row>
    <row r="508" spans="1:37" x14ac:dyDescent="0.2">
      <c r="A508">
        <v>507</v>
      </c>
      <c r="B508" t="s">
        <v>295</v>
      </c>
      <c r="C508" t="s">
        <v>54</v>
      </c>
      <c r="D508" t="s">
        <v>47</v>
      </c>
      <c r="E508" t="s">
        <v>148</v>
      </c>
      <c r="F508" s="25">
        <v>46051</v>
      </c>
      <c r="G508" t="s">
        <v>320</v>
      </c>
      <c r="H508" t="s">
        <v>405</v>
      </c>
      <c r="I508" t="s">
        <v>371</v>
      </c>
      <c r="J508" t="s">
        <v>90</v>
      </c>
      <c r="K508" t="s">
        <v>377</v>
      </c>
      <c r="L508" t="s">
        <v>378</v>
      </c>
      <c r="M508" t="s">
        <v>141</v>
      </c>
      <c r="N508" t="s">
        <v>142</v>
      </c>
      <c r="O508" t="s">
        <v>155</v>
      </c>
      <c r="P508" t="s">
        <v>281</v>
      </c>
      <c r="Q508" t="s">
        <v>155</v>
      </c>
      <c r="R508" t="s">
        <v>273</v>
      </c>
      <c r="S508" t="s">
        <v>355</v>
      </c>
      <c r="T508">
        <v>2</v>
      </c>
      <c r="U508" t="s">
        <v>414</v>
      </c>
      <c r="V508" t="s">
        <v>303</v>
      </c>
      <c r="W508" t="s">
        <v>415</v>
      </c>
      <c r="X508" t="s">
        <v>306</v>
      </c>
      <c r="Y508" t="s">
        <v>307</v>
      </c>
      <c r="Z508">
        <v>65</v>
      </c>
      <c r="AA508">
        <v>100</v>
      </c>
      <c r="AB508" t="s">
        <v>143</v>
      </c>
      <c r="AC508" t="s">
        <v>160</v>
      </c>
      <c r="AD508" t="s">
        <v>278</v>
      </c>
      <c r="AE508" t="str">
        <f>IF(AF508="","",VLOOKUP(AC508,mapel!$A$2:$B$42,2,FALSE))</f>
        <v>B.Ing</v>
      </c>
      <c r="AF508">
        <f t="shared" si="21"/>
        <v>100</v>
      </c>
      <c r="AG508" t="str">
        <f>IF(AF508="","",IF(AF508&gt;90,"Sangat baik",IF(AF508&gt;79,"Baik",IF(AF508&gt;=pub_gid_0_single_true_output_csv[[#This Row],[KKM]],"Cukup","Kurang"))))</f>
        <v>Sangat baik</v>
      </c>
      <c r="AH508">
        <f t="shared" si="22"/>
        <v>11</v>
      </c>
      <c r="AI508" s="30" t="str">
        <f>IF(OR(J508&lt;&gt;"Karakter",pub_gid_0_single_true_output_csv[[#This Row],[Nilai2]]=""),"",IF(AF508&gt;89,"Sangat baik",IF(AF508&gt;79,"Baik",IF(AF508&gt;69,"Cukup",IF(AF508&gt;59,"Kurang","Sangat kurang")))))</f>
        <v>Sangat baik</v>
      </c>
      <c r="AJ508" t="str">
        <f t="shared" si="23"/>
        <v>Wk.5</v>
      </c>
      <c r="AK508" t="str">
        <f>IF(pub_gid_0_single_true_output_csv[[#This Row],[Nilai2]]="","",VLOOKUP(pub_gid_0_single_true_output_csv[[#This Row],[NAMA]],Table7[],3,FALSE))</f>
        <v>Low average</v>
      </c>
    </row>
    <row r="509" spans="1:37" x14ac:dyDescent="0.2">
      <c r="A509">
        <v>508</v>
      </c>
      <c r="B509" t="s">
        <v>295</v>
      </c>
      <c r="C509" t="s">
        <v>54</v>
      </c>
      <c r="D509" t="s">
        <v>47</v>
      </c>
      <c r="E509" t="s">
        <v>148</v>
      </c>
      <c r="F509" s="25">
        <v>46044</v>
      </c>
      <c r="G509" t="s">
        <v>305</v>
      </c>
      <c r="H509" t="s">
        <v>405</v>
      </c>
      <c r="I509" t="s">
        <v>371</v>
      </c>
      <c r="J509" t="s">
        <v>41</v>
      </c>
      <c r="K509" t="s">
        <v>365</v>
      </c>
      <c r="L509" t="s">
        <v>383</v>
      </c>
      <c r="M509" t="s">
        <v>141</v>
      </c>
      <c r="N509" t="s">
        <v>142</v>
      </c>
      <c r="O509" t="s">
        <v>155</v>
      </c>
      <c r="P509" t="s">
        <v>281</v>
      </c>
      <c r="Q509" t="s">
        <v>155</v>
      </c>
      <c r="R509" t="s">
        <v>273</v>
      </c>
      <c r="S509" t="s">
        <v>355</v>
      </c>
      <c r="T509">
        <v>2</v>
      </c>
      <c r="U509" t="s">
        <v>414</v>
      </c>
      <c r="V509" t="s">
        <v>303</v>
      </c>
      <c r="W509" t="s">
        <v>415</v>
      </c>
      <c r="X509" t="s">
        <v>306</v>
      </c>
      <c r="Y509" t="s">
        <v>307</v>
      </c>
      <c r="Z509">
        <v>65</v>
      </c>
      <c r="AA509">
        <v>9</v>
      </c>
      <c r="AB509" t="s">
        <v>151</v>
      </c>
      <c r="AC509" t="s">
        <v>160</v>
      </c>
      <c r="AD509" t="s">
        <v>278</v>
      </c>
      <c r="AE509" t="str">
        <f>IF(AF509="","",VLOOKUP(AC509,mapel!$A$2:$B$42,2,FALSE))</f>
        <v>B.Ing</v>
      </c>
      <c r="AF509">
        <f t="shared" si="21"/>
        <v>9</v>
      </c>
      <c r="AG509" t="str">
        <f>IF(AF509="","",IF(AF509&gt;90,"Sangat baik",IF(AF509&gt;79,"Baik",IF(AF509&gt;=pub_gid_0_single_true_output_csv[[#This Row],[KKM]],"Cukup","Kurang"))))</f>
        <v>Kurang</v>
      </c>
      <c r="AH509">
        <f t="shared" si="22"/>
        <v>11</v>
      </c>
      <c r="AI509" s="30" t="str">
        <f>IF(OR(J509&lt;&gt;"Karakter",pub_gid_0_single_true_output_csv[[#This Row],[Nilai2]]=""),"",IF(AF509&gt;89,"Sangat baik",IF(AF509&gt;79,"Baik",IF(AF509&gt;69,"Cukup",IF(AF509&gt;59,"Kurang","Sangat kurang")))))</f>
        <v/>
      </c>
      <c r="AJ509" t="str">
        <f t="shared" si="23"/>
        <v>Wk.4</v>
      </c>
      <c r="AK509" t="str">
        <f>IF(pub_gid_0_single_true_output_csv[[#This Row],[Nilai2]]="","",VLOOKUP(pub_gid_0_single_true_output_csv[[#This Row],[NAMA]],Table7[],3,FALSE))</f>
        <v>Low average</v>
      </c>
    </row>
    <row r="510" spans="1:37" x14ac:dyDescent="0.2">
      <c r="A510">
        <v>509</v>
      </c>
      <c r="B510" t="s">
        <v>295</v>
      </c>
      <c r="C510" t="s">
        <v>54</v>
      </c>
      <c r="D510" t="s">
        <v>47</v>
      </c>
      <c r="E510" t="s">
        <v>148</v>
      </c>
      <c r="F510" s="25">
        <v>46044</v>
      </c>
      <c r="G510" t="s">
        <v>305</v>
      </c>
      <c r="H510" t="s">
        <v>405</v>
      </c>
      <c r="I510" t="s">
        <v>371</v>
      </c>
      <c r="J510" t="s">
        <v>36</v>
      </c>
      <c r="K510" t="s">
        <v>37</v>
      </c>
      <c r="L510" t="s">
        <v>321</v>
      </c>
      <c r="M510" t="s">
        <v>141</v>
      </c>
      <c r="N510" t="s">
        <v>142</v>
      </c>
      <c r="O510" t="s">
        <v>155</v>
      </c>
      <c r="P510" t="s">
        <v>281</v>
      </c>
      <c r="Q510" t="s">
        <v>155</v>
      </c>
      <c r="R510" t="s">
        <v>273</v>
      </c>
      <c r="S510" t="s">
        <v>355</v>
      </c>
      <c r="T510">
        <v>2</v>
      </c>
      <c r="U510" t="s">
        <v>414</v>
      </c>
      <c r="V510" t="s">
        <v>303</v>
      </c>
      <c r="W510" t="s">
        <v>415</v>
      </c>
      <c r="X510" t="s">
        <v>306</v>
      </c>
      <c r="Y510" t="s">
        <v>307</v>
      </c>
      <c r="Z510">
        <v>65</v>
      </c>
      <c r="AA510">
        <v>9</v>
      </c>
      <c r="AB510" t="s">
        <v>151</v>
      </c>
      <c r="AC510" t="s">
        <v>160</v>
      </c>
      <c r="AD510" t="s">
        <v>278</v>
      </c>
      <c r="AE510" t="str">
        <f>IF(AF510="","",VLOOKUP(AC510,mapel!$A$2:$B$42,2,FALSE))</f>
        <v>B.Ing</v>
      </c>
      <c r="AF510">
        <f t="shared" si="21"/>
        <v>9</v>
      </c>
      <c r="AG510" t="str">
        <f>IF(AF510="","",IF(AF510&gt;90,"Sangat baik",IF(AF510&gt;79,"Baik",IF(AF510&gt;=pub_gid_0_single_true_output_csv[[#This Row],[KKM]],"Cukup","Kurang"))))</f>
        <v>Kurang</v>
      </c>
      <c r="AH510">
        <f t="shared" si="22"/>
        <v>11</v>
      </c>
      <c r="AI510" s="30" t="str">
        <f>IF(OR(J510&lt;&gt;"Karakter",pub_gid_0_single_true_output_csv[[#This Row],[Nilai2]]=""),"",IF(AF510&gt;89,"Sangat baik",IF(AF510&gt;79,"Baik",IF(AF510&gt;69,"Cukup",IF(AF510&gt;59,"Kurang","Sangat kurang")))))</f>
        <v/>
      </c>
      <c r="AJ510" t="str">
        <f t="shared" si="23"/>
        <v>Wk.4</v>
      </c>
      <c r="AK510" t="str">
        <f>IF(pub_gid_0_single_true_output_csv[[#This Row],[Nilai2]]="","",VLOOKUP(pub_gid_0_single_true_output_csv[[#This Row],[NAMA]],Table7[],3,FALSE))</f>
        <v>Low average</v>
      </c>
    </row>
    <row r="511" spans="1:37" x14ac:dyDescent="0.2">
      <c r="A511">
        <v>510</v>
      </c>
      <c r="B511" t="s">
        <v>295</v>
      </c>
      <c r="C511" t="s">
        <v>54</v>
      </c>
      <c r="D511" t="s">
        <v>47</v>
      </c>
      <c r="E511" t="s">
        <v>148</v>
      </c>
      <c r="F511" s="25">
        <v>46044</v>
      </c>
      <c r="G511" t="s">
        <v>305</v>
      </c>
      <c r="H511" t="s">
        <v>405</v>
      </c>
      <c r="I511" t="s">
        <v>371</v>
      </c>
      <c r="J511" t="s">
        <v>31</v>
      </c>
      <c r="K511" t="s">
        <v>32</v>
      </c>
      <c r="L511" t="s">
        <v>321</v>
      </c>
      <c r="M511" t="s">
        <v>141</v>
      </c>
      <c r="N511" t="s">
        <v>142</v>
      </c>
      <c r="O511" t="s">
        <v>155</v>
      </c>
      <c r="P511" t="s">
        <v>281</v>
      </c>
      <c r="Q511" t="s">
        <v>155</v>
      </c>
      <c r="R511" t="s">
        <v>273</v>
      </c>
      <c r="S511" t="s">
        <v>355</v>
      </c>
      <c r="T511">
        <v>2</v>
      </c>
      <c r="U511" t="s">
        <v>414</v>
      </c>
      <c r="V511" t="s">
        <v>303</v>
      </c>
      <c r="W511" t="s">
        <v>415</v>
      </c>
      <c r="X511" t="s">
        <v>306</v>
      </c>
      <c r="Y511" t="s">
        <v>307</v>
      </c>
      <c r="Z511">
        <v>65</v>
      </c>
      <c r="AA511">
        <v>9</v>
      </c>
      <c r="AB511" t="s">
        <v>151</v>
      </c>
      <c r="AC511" t="s">
        <v>160</v>
      </c>
      <c r="AD511" t="s">
        <v>278</v>
      </c>
      <c r="AE511" t="str">
        <f>IF(AF511="","",VLOOKUP(AC511,mapel!$A$2:$B$42,2,FALSE))</f>
        <v>B.Ing</v>
      </c>
      <c r="AF511">
        <f t="shared" si="21"/>
        <v>9</v>
      </c>
      <c r="AG511" t="str">
        <f>IF(AF511="","",IF(AF511&gt;90,"Sangat baik",IF(AF511&gt;79,"Baik",IF(AF511&gt;=pub_gid_0_single_true_output_csv[[#This Row],[KKM]],"Cukup","Kurang"))))</f>
        <v>Kurang</v>
      </c>
      <c r="AH511">
        <f t="shared" si="22"/>
        <v>11</v>
      </c>
      <c r="AI511" s="30" t="str">
        <f>IF(OR(J511&lt;&gt;"Karakter",pub_gid_0_single_true_output_csv[[#This Row],[Nilai2]]=""),"",IF(AF511&gt;89,"Sangat baik",IF(AF511&gt;79,"Baik",IF(AF511&gt;69,"Cukup",IF(AF511&gt;59,"Kurang","Sangat kurang")))))</f>
        <v/>
      </c>
      <c r="AJ511" t="str">
        <f t="shared" si="23"/>
        <v>Wk.4</v>
      </c>
      <c r="AK511" t="str">
        <f>IF(pub_gid_0_single_true_output_csv[[#This Row],[Nilai2]]="","",VLOOKUP(pub_gid_0_single_true_output_csv[[#This Row],[NAMA]],Table7[],3,FALSE))</f>
        <v>Low average</v>
      </c>
    </row>
    <row r="512" spans="1:37" x14ac:dyDescent="0.2">
      <c r="A512">
        <v>511</v>
      </c>
      <c r="B512" t="s">
        <v>295</v>
      </c>
      <c r="C512" t="s">
        <v>54</v>
      </c>
      <c r="D512" t="s">
        <v>47</v>
      </c>
      <c r="E512" t="s">
        <v>148</v>
      </c>
      <c r="F512" s="25">
        <v>46065</v>
      </c>
      <c r="G512" t="s">
        <v>354</v>
      </c>
      <c r="H512" t="s">
        <v>412</v>
      </c>
      <c r="I512" t="s">
        <v>371</v>
      </c>
      <c r="J512" t="s">
        <v>36</v>
      </c>
      <c r="K512" t="s">
        <v>37</v>
      </c>
      <c r="L512" t="s">
        <v>324</v>
      </c>
      <c r="M512" t="s">
        <v>141</v>
      </c>
      <c r="N512" t="s">
        <v>142</v>
      </c>
      <c r="O512" t="s">
        <v>155</v>
      </c>
      <c r="P512" t="s">
        <v>281</v>
      </c>
      <c r="Q512" t="s">
        <v>155</v>
      </c>
      <c r="R512" t="s">
        <v>273</v>
      </c>
      <c r="S512" t="s">
        <v>355</v>
      </c>
      <c r="T512">
        <v>2</v>
      </c>
      <c r="U512" t="s">
        <v>414</v>
      </c>
      <c r="V512" t="s">
        <v>303</v>
      </c>
      <c r="W512" t="s">
        <v>415</v>
      </c>
      <c r="X512" t="s">
        <v>306</v>
      </c>
      <c r="Y512" t="s">
        <v>307</v>
      </c>
      <c r="Z512">
        <v>65</v>
      </c>
      <c r="AA512">
        <v>100</v>
      </c>
      <c r="AB512" t="s">
        <v>143</v>
      </c>
      <c r="AC512" t="s">
        <v>160</v>
      </c>
      <c r="AD512" t="s">
        <v>278</v>
      </c>
      <c r="AE512" t="str">
        <f>IF(AF512="","",VLOOKUP(AC512,mapel!$A$2:$B$42,2,FALSE))</f>
        <v>B.Ing</v>
      </c>
      <c r="AF512">
        <f t="shared" si="21"/>
        <v>100</v>
      </c>
      <c r="AG512" t="str">
        <f>IF(AF512="","",IF(AF512&gt;90,"Sangat baik",IF(AF512&gt;79,"Baik",IF(AF512&gt;=pub_gid_0_single_true_output_csv[[#This Row],[KKM]],"Cukup","Kurang"))))</f>
        <v>Sangat baik</v>
      </c>
      <c r="AH512">
        <f t="shared" si="22"/>
        <v>11</v>
      </c>
      <c r="AI512" s="30" t="str">
        <f>IF(OR(J512&lt;&gt;"Karakter",pub_gid_0_single_true_output_csv[[#This Row],[Nilai2]]=""),"",IF(AF512&gt;89,"Sangat baik",IF(AF512&gt;79,"Baik",IF(AF512&gt;69,"Cukup",IF(AF512&gt;59,"Kurang","Sangat kurang")))))</f>
        <v/>
      </c>
      <c r="AJ512" t="str">
        <f t="shared" si="23"/>
        <v>Wk.7</v>
      </c>
      <c r="AK512" t="str">
        <f>IF(pub_gid_0_single_true_output_csv[[#This Row],[Nilai2]]="","",VLOOKUP(pub_gid_0_single_true_output_csv[[#This Row],[NAMA]],Table7[],3,FALSE))</f>
        <v>Low average</v>
      </c>
    </row>
    <row r="513" spans="1:37" x14ac:dyDescent="0.2">
      <c r="A513">
        <v>512</v>
      </c>
      <c r="B513" t="s">
        <v>295</v>
      </c>
      <c r="C513" t="s">
        <v>54</v>
      </c>
      <c r="D513" t="s">
        <v>47</v>
      </c>
      <c r="E513" t="s">
        <v>148</v>
      </c>
      <c r="F513" s="25">
        <v>46065</v>
      </c>
      <c r="G513" t="s">
        <v>354</v>
      </c>
      <c r="H513" t="s">
        <v>412</v>
      </c>
      <c r="I513" t="s">
        <v>371</v>
      </c>
      <c r="J513" t="s">
        <v>36</v>
      </c>
      <c r="K513" t="s">
        <v>37</v>
      </c>
      <c r="L513" t="s">
        <v>150</v>
      </c>
      <c r="M513" t="s">
        <v>141</v>
      </c>
      <c r="N513" t="s">
        <v>142</v>
      </c>
      <c r="O513" t="s">
        <v>155</v>
      </c>
      <c r="P513" t="s">
        <v>281</v>
      </c>
      <c r="Q513" t="s">
        <v>155</v>
      </c>
      <c r="R513" t="s">
        <v>273</v>
      </c>
      <c r="S513" t="s">
        <v>355</v>
      </c>
      <c r="T513">
        <v>2</v>
      </c>
      <c r="U513" t="s">
        <v>414</v>
      </c>
      <c r="V513" t="s">
        <v>303</v>
      </c>
      <c r="W513" t="s">
        <v>415</v>
      </c>
      <c r="X513" t="s">
        <v>306</v>
      </c>
      <c r="Y513" t="s">
        <v>307</v>
      </c>
      <c r="Z513">
        <v>65</v>
      </c>
      <c r="AA513">
        <v>35</v>
      </c>
      <c r="AB513" t="s">
        <v>151</v>
      </c>
      <c r="AC513" t="s">
        <v>160</v>
      </c>
      <c r="AD513" t="s">
        <v>278</v>
      </c>
      <c r="AE513" t="str">
        <f>IF(AF513="","",VLOOKUP(AC513,mapel!$A$2:$B$42,2,FALSE))</f>
        <v>B.Ing</v>
      </c>
      <c r="AF513">
        <f t="shared" si="21"/>
        <v>35</v>
      </c>
      <c r="AG513" t="str">
        <f>IF(AF513="","",IF(AF513&gt;90,"Sangat baik",IF(AF513&gt;79,"Baik",IF(AF513&gt;=pub_gid_0_single_true_output_csv[[#This Row],[KKM]],"Cukup","Kurang"))))</f>
        <v>Kurang</v>
      </c>
      <c r="AH513">
        <f t="shared" si="22"/>
        <v>11</v>
      </c>
      <c r="AI513" s="30" t="str">
        <f>IF(OR(J513&lt;&gt;"Karakter",pub_gid_0_single_true_output_csv[[#This Row],[Nilai2]]=""),"",IF(AF513&gt;89,"Sangat baik",IF(AF513&gt;79,"Baik",IF(AF513&gt;69,"Cukup",IF(AF513&gt;59,"Kurang","Sangat kurang")))))</f>
        <v/>
      </c>
      <c r="AJ513" t="str">
        <f t="shared" si="23"/>
        <v>Wk.7</v>
      </c>
      <c r="AK513" t="str">
        <f>IF(pub_gid_0_single_true_output_csv[[#This Row],[Nilai2]]="","",VLOOKUP(pub_gid_0_single_true_output_csv[[#This Row],[NAMA]],Table7[],3,FALSE))</f>
        <v>Low average</v>
      </c>
    </row>
    <row r="514" spans="1:37" x14ac:dyDescent="0.2">
      <c r="A514">
        <v>513</v>
      </c>
      <c r="B514" t="s">
        <v>295</v>
      </c>
      <c r="C514" t="s">
        <v>54</v>
      </c>
      <c r="D514" t="s">
        <v>47</v>
      </c>
      <c r="E514" t="s">
        <v>148</v>
      </c>
      <c r="F514" s="25">
        <v>46065</v>
      </c>
      <c r="G514" t="s">
        <v>354</v>
      </c>
      <c r="H514" t="s">
        <v>412</v>
      </c>
      <c r="I514" t="s">
        <v>371</v>
      </c>
      <c r="J514" t="s">
        <v>41</v>
      </c>
      <c r="K514" t="s">
        <v>365</v>
      </c>
      <c r="L514" t="s">
        <v>150</v>
      </c>
      <c r="M514" t="s">
        <v>141</v>
      </c>
      <c r="N514" t="s">
        <v>142</v>
      </c>
      <c r="O514" t="s">
        <v>155</v>
      </c>
      <c r="P514" t="s">
        <v>281</v>
      </c>
      <c r="Q514" t="s">
        <v>155</v>
      </c>
      <c r="R514" t="s">
        <v>273</v>
      </c>
      <c r="S514" t="s">
        <v>355</v>
      </c>
      <c r="T514">
        <v>2</v>
      </c>
      <c r="U514" t="s">
        <v>414</v>
      </c>
      <c r="V514" t="s">
        <v>303</v>
      </c>
      <c r="W514" t="s">
        <v>415</v>
      </c>
      <c r="X514" t="s">
        <v>306</v>
      </c>
      <c r="Y514" t="s">
        <v>307</v>
      </c>
      <c r="Z514">
        <v>65</v>
      </c>
      <c r="AA514">
        <v>35</v>
      </c>
      <c r="AB514" t="s">
        <v>151</v>
      </c>
      <c r="AC514" t="s">
        <v>160</v>
      </c>
      <c r="AD514" t="s">
        <v>278</v>
      </c>
      <c r="AE514" t="str">
        <f>IF(AF514="","",VLOOKUP(AC514,mapel!$A$2:$B$42,2,FALSE))</f>
        <v>B.Ing</v>
      </c>
      <c r="AF514">
        <f t="shared" ref="AF514:AF577" si="24">IF(AA514=0, "",IF(AA514 = 0.1, 0,AA514))</f>
        <v>35</v>
      </c>
      <c r="AG514" t="str">
        <f>IF(AF514="","",IF(AF514&gt;90,"Sangat baik",IF(AF514&gt;79,"Baik",IF(AF514&gt;=pub_gid_0_single_true_output_csv[[#This Row],[KKM]],"Cukup","Kurang"))))</f>
        <v>Kurang</v>
      </c>
      <c r="AH514">
        <f t="shared" ref="AH514:AH577" si="25">IF(AG514="","",VALUE(RIGHT(X514,2)))</f>
        <v>11</v>
      </c>
      <c r="AI514" s="30" t="str">
        <f>IF(OR(J514&lt;&gt;"Karakter",pub_gid_0_single_true_output_csv[[#This Row],[Nilai2]]=""),"",IF(AF514&gt;89,"Sangat baik",IF(AF514&gt;79,"Baik",IF(AF514&gt;69,"Cukup",IF(AF514&gt;59,"Kurang","Sangat kurang")))))</f>
        <v/>
      </c>
      <c r="AJ514" t="str">
        <f t="shared" ref="AJ514:AJ577" si="26">IF(AF514="","",CONCATENATE("Wk.",WEEKNUM(F514,2)))</f>
        <v>Wk.7</v>
      </c>
      <c r="AK514" t="str">
        <f>IF(pub_gid_0_single_true_output_csv[[#This Row],[Nilai2]]="","",VLOOKUP(pub_gid_0_single_true_output_csv[[#This Row],[NAMA]],Table7[],3,FALSE))</f>
        <v>Low average</v>
      </c>
    </row>
    <row r="515" spans="1:37" x14ac:dyDescent="0.2">
      <c r="A515">
        <v>514</v>
      </c>
      <c r="B515" t="s">
        <v>295</v>
      </c>
      <c r="C515" t="s">
        <v>54</v>
      </c>
      <c r="D515" t="s">
        <v>47</v>
      </c>
      <c r="E515" t="s">
        <v>148</v>
      </c>
      <c r="F515" s="25">
        <v>46071</v>
      </c>
      <c r="G515" t="s">
        <v>323</v>
      </c>
      <c r="H515" t="s">
        <v>412</v>
      </c>
      <c r="I515" t="s">
        <v>371</v>
      </c>
      <c r="J515" t="s">
        <v>41</v>
      </c>
      <c r="K515" t="s">
        <v>365</v>
      </c>
      <c r="L515" t="s">
        <v>383</v>
      </c>
      <c r="M515" t="s">
        <v>141</v>
      </c>
      <c r="N515" t="s">
        <v>142</v>
      </c>
      <c r="O515" t="s">
        <v>155</v>
      </c>
      <c r="P515" t="s">
        <v>281</v>
      </c>
      <c r="Q515" t="s">
        <v>155</v>
      </c>
      <c r="R515" t="s">
        <v>273</v>
      </c>
      <c r="S515" t="s">
        <v>355</v>
      </c>
      <c r="T515">
        <v>2</v>
      </c>
      <c r="U515" t="s">
        <v>414</v>
      </c>
      <c r="V515" t="s">
        <v>303</v>
      </c>
      <c r="W515" t="s">
        <v>415</v>
      </c>
      <c r="X515" t="s">
        <v>306</v>
      </c>
      <c r="Y515" t="s">
        <v>307</v>
      </c>
      <c r="Z515">
        <v>65</v>
      </c>
      <c r="AA515">
        <v>50</v>
      </c>
      <c r="AB515" t="s">
        <v>151</v>
      </c>
      <c r="AC515" t="s">
        <v>160</v>
      </c>
      <c r="AD515" t="s">
        <v>278</v>
      </c>
      <c r="AE515" t="str">
        <f>IF(AF515="","",VLOOKUP(AC515,mapel!$A$2:$B$42,2,FALSE))</f>
        <v>B.Ing</v>
      </c>
      <c r="AF515">
        <f t="shared" si="24"/>
        <v>50</v>
      </c>
      <c r="AG515" t="str">
        <f>IF(AF515="","",IF(AF515&gt;90,"Sangat baik",IF(AF515&gt;79,"Baik",IF(AF515&gt;=pub_gid_0_single_true_output_csv[[#This Row],[KKM]],"Cukup","Kurang"))))</f>
        <v>Kurang</v>
      </c>
      <c r="AH515">
        <f t="shared" si="25"/>
        <v>11</v>
      </c>
      <c r="AI515" s="30" t="str">
        <f>IF(OR(J515&lt;&gt;"Karakter",pub_gid_0_single_true_output_csv[[#This Row],[Nilai2]]=""),"",IF(AF515&gt;89,"Sangat baik",IF(AF515&gt;79,"Baik",IF(AF515&gt;69,"Cukup",IF(AF515&gt;59,"Kurang","Sangat kurang")))))</f>
        <v/>
      </c>
      <c r="AJ515" t="str">
        <f t="shared" si="26"/>
        <v>Wk.8</v>
      </c>
      <c r="AK515" t="str">
        <f>IF(pub_gid_0_single_true_output_csv[[#This Row],[Nilai2]]="","",VLOOKUP(pub_gid_0_single_true_output_csv[[#This Row],[NAMA]],Table7[],3,FALSE))</f>
        <v>Low average</v>
      </c>
    </row>
    <row r="516" spans="1:37" x14ac:dyDescent="0.2">
      <c r="A516">
        <v>515</v>
      </c>
      <c r="B516" t="s">
        <v>295</v>
      </c>
      <c r="C516" t="s">
        <v>54</v>
      </c>
      <c r="D516" t="s">
        <v>47</v>
      </c>
      <c r="E516" t="s">
        <v>148</v>
      </c>
      <c r="F516" s="25">
        <v>46071</v>
      </c>
      <c r="G516" t="s">
        <v>323</v>
      </c>
      <c r="H516" t="s">
        <v>412</v>
      </c>
      <c r="I516" t="s">
        <v>371</v>
      </c>
      <c r="J516" t="s">
        <v>36</v>
      </c>
      <c r="K516" t="s">
        <v>37</v>
      </c>
      <c r="L516" t="s">
        <v>383</v>
      </c>
      <c r="M516" t="s">
        <v>141</v>
      </c>
      <c r="N516" t="s">
        <v>142</v>
      </c>
      <c r="O516" t="s">
        <v>155</v>
      </c>
      <c r="P516" t="s">
        <v>281</v>
      </c>
      <c r="Q516" t="s">
        <v>155</v>
      </c>
      <c r="R516" t="s">
        <v>273</v>
      </c>
      <c r="S516" t="s">
        <v>355</v>
      </c>
      <c r="T516">
        <v>2</v>
      </c>
      <c r="U516" t="s">
        <v>414</v>
      </c>
      <c r="V516" t="s">
        <v>303</v>
      </c>
      <c r="W516" t="s">
        <v>415</v>
      </c>
      <c r="X516" t="s">
        <v>306</v>
      </c>
      <c r="Y516" t="s">
        <v>307</v>
      </c>
      <c r="Z516">
        <v>65</v>
      </c>
      <c r="AA516">
        <v>50</v>
      </c>
      <c r="AB516" t="s">
        <v>151</v>
      </c>
      <c r="AC516" t="s">
        <v>160</v>
      </c>
      <c r="AD516" t="s">
        <v>278</v>
      </c>
      <c r="AE516" t="str">
        <f>IF(AF516="","",VLOOKUP(AC516,mapel!$A$2:$B$42,2,FALSE))</f>
        <v>B.Ing</v>
      </c>
      <c r="AF516">
        <f t="shared" si="24"/>
        <v>50</v>
      </c>
      <c r="AG516" t="str">
        <f>IF(AF516="","",IF(AF516&gt;90,"Sangat baik",IF(AF516&gt;79,"Baik",IF(AF516&gt;=pub_gid_0_single_true_output_csv[[#This Row],[KKM]],"Cukup","Kurang"))))</f>
        <v>Kurang</v>
      </c>
      <c r="AH516">
        <f t="shared" si="25"/>
        <v>11</v>
      </c>
      <c r="AI516" s="30" t="str">
        <f>IF(OR(J516&lt;&gt;"Karakter",pub_gid_0_single_true_output_csv[[#This Row],[Nilai2]]=""),"",IF(AF516&gt;89,"Sangat baik",IF(AF516&gt;79,"Baik",IF(AF516&gt;69,"Cukup",IF(AF516&gt;59,"Kurang","Sangat kurang")))))</f>
        <v/>
      </c>
      <c r="AJ516" t="str">
        <f t="shared" si="26"/>
        <v>Wk.8</v>
      </c>
      <c r="AK516" t="str">
        <f>IF(pub_gid_0_single_true_output_csv[[#This Row],[Nilai2]]="","",VLOOKUP(pub_gid_0_single_true_output_csv[[#This Row],[NAMA]],Table7[],3,FALSE))</f>
        <v>Low average</v>
      </c>
    </row>
    <row r="517" spans="1:37" x14ac:dyDescent="0.2">
      <c r="A517">
        <v>516</v>
      </c>
      <c r="B517" t="s">
        <v>296</v>
      </c>
      <c r="C517" t="s">
        <v>54</v>
      </c>
      <c r="D517" t="s">
        <v>48</v>
      </c>
      <c r="E517" t="s">
        <v>140</v>
      </c>
      <c r="F517" s="25">
        <v>46030</v>
      </c>
      <c r="G517" t="s">
        <v>347</v>
      </c>
      <c r="H517" t="s">
        <v>405</v>
      </c>
      <c r="I517" t="s">
        <v>371</v>
      </c>
      <c r="J517" t="s">
        <v>36</v>
      </c>
      <c r="K517" t="s">
        <v>37</v>
      </c>
      <c r="L517" t="s">
        <v>321</v>
      </c>
      <c r="M517" t="s">
        <v>141</v>
      </c>
      <c r="N517" t="s">
        <v>142</v>
      </c>
      <c r="O517" t="s">
        <v>155</v>
      </c>
      <c r="P517" t="s">
        <v>281</v>
      </c>
      <c r="Q517" t="s">
        <v>155</v>
      </c>
      <c r="R517" t="s">
        <v>273</v>
      </c>
      <c r="S517" t="s">
        <v>355</v>
      </c>
      <c r="T517">
        <v>2</v>
      </c>
      <c r="U517" t="s">
        <v>414</v>
      </c>
      <c r="V517" t="s">
        <v>303</v>
      </c>
      <c r="W517" t="s">
        <v>415</v>
      </c>
      <c r="X517" t="s">
        <v>306</v>
      </c>
      <c r="Y517" t="s">
        <v>307</v>
      </c>
      <c r="Z517">
        <v>65</v>
      </c>
      <c r="AA517">
        <v>86</v>
      </c>
      <c r="AB517" t="s">
        <v>143</v>
      </c>
      <c r="AC517" t="s">
        <v>160</v>
      </c>
      <c r="AD517" t="s">
        <v>278</v>
      </c>
      <c r="AE517" t="str">
        <f>IF(AF517="","",VLOOKUP(AC517,mapel!$A$2:$B$42,2,FALSE))</f>
        <v>B.Ing</v>
      </c>
      <c r="AF517">
        <f t="shared" si="24"/>
        <v>86</v>
      </c>
      <c r="AG517" t="str">
        <f>IF(AF517="","",IF(AF517&gt;90,"Sangat baik",IF(AF517&gt;79,"Baik",IF(AF517&gt;=pub_gid_0_single_true_output_csv[[#This Row],[KKM]],"Cukup","Kurang"))))</f>
        <v>Baik</v>
      </c>
      <c r="AH517">
        <f t="shared" si="25"/>
        <v>11</v>
      </c>
      <c r="AI517" s="30" t="str">
        <f>IF(OR(J517&lt;&gt;"Karakter",pub_gid_0_single_true_output_csv[[#This Row],[Nilai2]]=""),"",IF(AF517&gt;89,"Sangat baik",IF(AF517&gt;79,"Baik",IF(AF517&gt;69,"Cukup",IF(AF517&gt;59,"Kurang","Sangat kurang")))))</f>
        <v/>
      </c>
      <c r="AJ517" t="str">
        <f t="shared" si="26"/>
        <v>Wk.2</v>
      </c>
      <c r="AK517" t="str">
        <f>IF(pub_gid_0_single_true_output_csv[[#This Row],[Nilai2]]="","",VLOOKUP(pub_gid_0_single_true_output_csv[[#This Row],[NAMA]],Table7[],3,FALSE))</f>
        <v>Average</v>
      </c>
    </row>
    <row r="518" spans="1:37" x14ac:dyDescent="0.2">
      <c r="A518">
        <v>517</v>
      </c>
      <c r="B518" t="s">
        <v>296</v>
      </c>
      <c r="C518" t="s">
        <v>54</v>
      </c>
      <c r="D518" t="s">
        <v>48</v>
      </c>
      <c r="E518" t="s">
        <v>140</v>
      </c>
      <c r="F518" s="25">
        <v>46030</v>
      </c>
      <c r="G518" t="s">
        <v>347</v>
      </c>
      <c r="H518" t="s">
        <v>405</v>
      </c>
      <c r="I518" t="s">
        <v>371</v>
      </c>
      <c r="J518" t="s">
        <v>41</v>
      </c>
      <c r="K518" t="s">
        <v>157</v>
      </c>
      <c r="L518" t="s">
        <v>395</v>
      </c>
      <c r="M518" t="s">
        <v>141</v>
      </c>
      <c r="N518" t="s">
        <v>142</v>
      </c>
      <c r="O518" t="s">
        <v>155</v>
      </c>
      <c r="P518" t="s">
        <v>281</v>
      </c>
      <c r="Q518" t="s">
        <v>155</v>
      </c>
      <c r="R518" t="s">
        <v>273</v>
      </c>
      <c r="S518" t="s">
        <v>355</v>
      </c>
      <c r="T518">
        <v>2</v>
      </c>
      <c r="U518" t="s">
        <v>414</v>
      </c>
      <c r="V518" t="s">
        <v>303</v>
      </c>
      <c r="W518" t="s">
        <v>415</v>
      </c>
      <c r="X518" t="s">
        <v>306</v>
      </c>
      <c r="Y518" t="s">
        <v>307</v>
      </c>
      <c r="Z518">
        <v>65</v>
      </c>
      <c r="AA518">
        <v>86</v>
      </c>
      <c r="AB518" t="s">
        <v>143</v>
      </c>
      <c r="AC518" t="s">
        <v>160</v>
      </c>
      <c r="AD518" t="s">
        <v>278</v>
      </c>
      <c r="AE518" t="str">
        <f>IF(AF518="","",VLOOKUP(AC518,mapel!$A$2:$B$42,2,FALSE))</f>
        <v>B.Ing</v>
      </c>
      <c r="AF518">
        <f t="shared" si="24"/>
        <v>86</v>
      </c>
      <c r="AG518" t="str">
        <f>IF(AF518="","",IF(AF518&gt;90,"Sangat baik",IF(AF518&gt;79,"Baik",IF(AF518&gt;=pub_gid_0_single_true_output_csv[[#This Row],[KKM]],"Cukup","Kurang"))))</f>
        <v>Baik</v>
      </c>
      <c r="AH518">
        <f t="shared" si="25"/>
        <v>11</v>
      </c>
      <c r="AI518" s="30" t="str">
        <f>IF(OR(J518&lt;&gt;"Karakter",pub_gid_0_single_true_output_csv[[#This Row],[Nilai2]]=""),"",IF(AF518&gt;89,"Sangat baik",IF(AF518&gt;79,"Baik",IF(AF518&gt;69,"Cukup",IF(AF518&gt;59,"Kurang","Sangat kurang")))))</f>
        <v/>
      </c>
      <c r="AJ518" t="str">
        <f t="shared" si="26"/>
        <v>Wk.2</v>
      </c>
      <c r="AK518" t="str">
        <f>IF(pub_gid_0_single_true_output_csv[[#This Row],[Nilai2]]="","",VLOOKUP(pub_gid_0_single_true_output_csv[[#This Row],[NAMA]],Table7[],3,FALSE))</f>
        <v>Average</v>
      </c>
    </row>
    <row r="519" spans="1:37" x14ac:dyDescent="0.2">
      <c r="A519">
        <v>518</v>
      </c>
      <c r="B519" t="s">
        <v>296</v>
      </c>
      <c r="C519" t="s">
        <v>54</v>
      </c>
      <c r="D519" t="s">
        <v>48</v>
      </c>
      <c r="E519" t="s">
        <v>140</v>
      </c>
      <c r="F519" s="25">
        <v>46030</v>
      </c>
      <c r="G519" t="s">
        <v>347</v>
      </c>
      <c r="H519" t="s">
        <v>405</v>
      </c>
      <c r="I519" t="s">
        <v>371</v>
      </c>
      <c r="J519" t="s">
        <v>90</v>
      </c>
      <c r="K519" t="s">
        <v>92</v>
      </c>
      <c r="L519" t="s">
        <v>95</v>
      </c>
      <c r="M519" t="s">
        <v>141</v>
      </c>
      <c r="N519" t="s">
        <v>142</v>
      </c>
      <c r="O519" t="s">
        <v>155</v>
      </c>
      <c r="P519" t="s">
        <v>281</v>
      </c>
      <c r="Q519" t="s">
        <v>155</v>
      </c>
      <c r="R519" t="s">
        <v>273</v>
      </c>
      <c r="S519" t="s">
        <v>355</v>
      </c>
      <c r="T519">
        <v>2</v>
      </c>
      <c r="U519" t="s">
        <v>414</v>
      </c>
      <c r="V519" t="s">
        <v>303</v>
      </c>
      <c r="W519" t="s">
        <v>415</v>
      </c>
      <c r="X519" t="s">
        <v>306</v>
      </c>
      <c r="Y519" t="s">
        <v>307</v>
      </c>
      <c r="Z519">
        <v>65</v>
      </c>
      <c r="AA519">
        <v>90</v>
      </c>
      <c r="AB519" t="s">
        <v>143</v>
      </c>
      <c r="AC519" t="s">
        <v>160</v>
      </c>
      <c r="AD519" t="s">
        <v>278</v>
      </c>
      <c r="AE519" t="str">
        <f>IF(AF519="","",VLOOKUP(AC519,mapel!$A$2:$B$42,2,FALSE))</f>
        <v>B.Ing</v>
      </c>
      <c r="AF519">
        <f t="shared" si="24"/>
        <v>90</v>
      </c>
      <c r="AG519" t="str">
        <f>IF(AF519="","",IF(AF519&gt;90,"Sangat baik",IF(AF519&gt;79,"Baik",IF(AF519&gt;=pub_gid_0_single_true_output_csv[[#This Row],[KKM]],"Cukup","Kurang"))))</f>
        <v>Baik</v>
      </c>
      <c r="AH519">
        <f t="shared" si="25"/>
        <v>11</v>
      </c>
      <c r="AI519" s="30" t="str">
        <f>IF(OR(J519&lt;&gt;"Karakter",pub_gid_0_single_true_output_csv[[#This Row],[Nilai2]]=""),"",IF(AF519&gt;89,"Sangat baik",IF(AF519&gt;79,"Baik",IF(AF519&gt;69,"Cukup",IF(AF519&gt;59,"Kurang","Sangat kurang")))))</f>
        <v>Sangat baik</v>
      </c>
      <c r="AJ519" t="str">
        <f t="shared" si="26"/>
        <v>Wk.2</v>
      </c>
      <c r="AK519" t="str">
        <f>IF(pub_gid_0_single_true_output_csv[[#This Row],[Nilai2]]="","",VLOOKUP(pub_gid_0_single_true_output_csv[[#This Row],[NAMA]],Table7[],3,FALSE))</f>
        <v>Average</v>
      </c>
    </row>
    <row r="520" spans="1:37" x14ac:dyDescent="0.2">
      <c r="A520">
        <v>519</v>
      </c>
      <c r="B520" t="s">
        <v>296</v>
      </c>
      <c r="C520" t="s">
        <v>54</v>
      </c>
      <c r="D520" t="s">
        <v>48</v>
      </c>
      <c r="E520" t="s">
        <v>140</v>
      </c>
      <c r="F520" s="25">
        <v>46051</v>
      </c>
      <c r="G520" t="s">
        <v>320</v>
      </c>
      <c r="H520" t="s">
        <v>405</v>
      </c>
      <c r="I520" t="s">
        <v>371</v>
      </c>
      <c r="J520" t="s">
        <v>36</v>
      </c>
      <c r="K520" t="s">
        <v>37</v>
      </c>
      <c r="L520" t="s">
        <v>324</v>
      </c>
      <c r="M520" t="s">
        <v>141</v>
      </c>
      <c r="N520" t="s">
        <v>142</v>
      </c>
      <c r="O520" t="s">
        <v>155</v>
      </c>
      <c r="P520" t="s">
        <v>281</v>
      </c>
      <c r="Q520" t="s">
        <v>155</v>
      </c>
      <c r="R520" t="s">
        <v>273</v>
      </c>
      <c r="S520" t="s">
        <v>355</v>
      </c>
      <c r="T520">
        <v>2</v>
      </c>
      <c r="U520" t="s">
        <v>414</v>
      </c>
      <c r="V520" t="s">
        <v>303</v>
      </c>
      <c r="W520" t="s">
        <v>415</v>
      </c>
      <c r="X520" t="s">
        <v>306</v>
      </c>
      <c r="Y520" t="s">
        <v>307</v>
      </c>
      <c r="Z520">
        <v>65</v>
      </c>
      <c r="AA520">
        <v>0</v>
      </c>
      <c r="AB520" t="s">
        <v>151</v>
      </c>
      <c r="AC520" t="s">
        <v>160</v>
      </c>
      <c r="AD520" t="s">
        <v>278</v>
      </c>
      <c r="AE520" t="str">
        <f>IF(AF520="","",VLOOKUP(AC520,mapel!$A$2:$B$42,2,FALSE))</f>
        <v/>
      </c>
      <c r="AF520" t="str">
        <f t="shared" si="24"/>
        <v/>
      </c>
      <c r="AG520" t="str">
        <f>IF(AF520="","",IF(AF520&gt;90,"Sangat baik",IF(AF520&gt;79,"Baik",IF(AF520&gt;=pub_gid_0_single_true_output_csv[[#This Row],[KKM]],"Cukup","Kurang"))))</f>
        <v/>
      </c>
      <c r="AH520" t="str">
        <f t="shared" si="25"/>
        <v/>
      </c>
      <c r="AI520" s="30" t="str">
        <f>IF(OR(J520&lt;&gt;"Karakter",pub_gid_0_single_true_output_csv[[#This Row],[Nilai2]]=""),"",IF(AF520&gt;89,"Sangat baik",IF(AF520&gt;79,"Baik",IF(AF520&gt;69,"Cukup",IF(AF520&gt;59,"Kurang","Sangat kurang")))))</f>
        <v/>
      </c>
      <c r="AJ520" t="str">
        <f t="shared" si="26"/>
        <v/>
      </c>
      <c r="AK520" t="str">
        <f>IF(pub_gid_0_single_true_output_csv[[#This Row],[Nilai2]]="","",VLOOKUP(pub_gid_0_single_true_output_csv[[#This Row],[NAMA]],Table7[],3,FALSE))</f>
        <v/>
      </c>
    </row>
    <row r="521" spans="1:37" x14ac:dyDescent="0.2">
      <c r="A521">
        <v>520</v>
      </c>
      <c r="B521" t="s">
        <v>296</v>
      </c>
      <c r="C521" t="s">
        <v>54</v>
      </c>
      <c r="D521" t="s">
        <v>48</v>
      </c>
      <c r="E521" t="s">
        <v>140</v>
      </c>
      <c r="F521" s="25">
        <v>46051</v>
      </c>
      <c r="G521" t="s">
        <v>320</v>
      </c>
      <c r="H521" t="s">
        <v>405</v>
      </c>
      <c r="I521" t="s">
        <v>371</v>
      </c>
      <c r="J521" t="s">
        <v>90</v>
      </c>
      <c r="K521" t="s">
        <v>377</v>
      </c>
      <c r="L521" t="s">
        <v>378</v>
      </c>
      <c r="M521" t="s">
        <v>141</v>
      </c>
      <c r="N521" t="s">
        <v>142</v>
      </c>
      <c r="O521" t="s">
        <v>155</v>
      </c>
      <c r="P521" t="s">
        <v>281</v>
      </c>
      <c r="Q521" t="s">
        <v>155</v>
      </c>
      <c r="R521" t="s">
        <v>273</v>
      </c>
      <c r="S521" t="s">
        <v>355</v>
      </c>
      <c r="T521">
        <v>2</v>
      </c>
      <c r="U521" t="s">
        <v>414</v>
      </c>
      <c r="V521" t="s">
        <v>303</v>
      </c>
      <c r="W521" t="s">
        <v>415</v>
      </c>
      <c r="X521" t="s">
        <v>306</v>
      </c>
      <c r="Y521" t="s">
        <v>307</v>
      </c>
      <c r="Z521">
        <v>65</v>
      </c>
      <c r="AA521">
        <v>75</v>
      </c>
      <c r="AB521" t="s">
        <v>143</v>
      </c>
      <c r="AC521" t="s">
        <v>160</v>
      </c>
      <c r="AD521" t="s">
        <v>278</v>
      </c>
      <c r="AE521" t="str">
        <f>IF(AF521="","",VLOOKUP(AC521,mapel!$A$2:$B$42,2,FALSE))</f>
        <v>B.Ing</v>
      </c>
      <c r="AF521">
        <f t="shared" si="24"/>
        <v>75</v>
      </c>
      <c r="AG521" t="str">
        <f>IF(AF521="","",IF(AF521&gt;90,"Sangat baik",IF(AF521&gt;79,"Baik",IF(AF521&gt;=pub_gid_0_single_true_output_csv[[#This Row],[KKM]],"Cukup","Kurang"))))</f>
        <v>Cukup</v>
      </c>
      <c r="AH521">
        <f t="shared" si="25"/>
        <v>11</v>
      </c>
      <c r="AI521" s="30" t="str">
        <f>IF(OR(J521&lt;&gt;"Karakter",pub_gid_0_single_true_output_csv[[#This Row],[Nilai2]]=""),"",IF(AF521&gt;89,"Sangat baik",IF(AF521&gt;79,"Baik",IF(AF521&gt;69,"Cukup",IF(AF521&gt;59,"Kurang","Sangat kurang")))))</f>
        <v>Cukup</v>
      </c>
      <c r="AJ521" t="str">
        <f t="shared" si="26"/>
        <v>Wk.5</v>
      </c>
      <c r="AK521" t="str">
        <f>IF(pub_gid_0_single_true_output_csv[[#This Row],[Nilai2]]="","",VLOOKUP(pub_gid_0_single_true_output_csv[[#This Row],[NAMA]],Table7[],3,FALSE))</f>
        <v>Average</v>
      </c>
    </row>
    <row r="522" spans="1:37" x14ac:dyDescent="0.2">
      <c r="A522">
        <v>521</v>
      </c>
      <c r="B522" t="s">
        <v>296</v>
      </c>
      <c r="C522" t="s">
        <v>54</v>
      </c>
      <c r="D522" t="s">
        <v>48</v>
      </c>
      <c r="E522" t="s">
        <v>140</v>
      </c>
      <c r="F522" s="25">
        <v>46044</v>
      </c>
      <c r="G522" t="s">
        <v>305</v>
      </c>
      <c r="H522" t="s">
        <v>405</v>
      </c>
      <c r="I522" t="s">
        <v>371</v>
      </c>
      <c r="J522" t="s">
        <v>41</v>
      </c>
      <c r="K522" t="s">
        <v>365</v>
      </c>
      <c r="L522" t="s">
        <v>383</v>
      </c>
      <c r="M522" t="s">
        <v>141</v>
      </c>
      <c r="N522" t="s">
        <v>142</v>
      </c>
      <c r="O522" t="s">
        <v>155</v>
      </c>
      <c r="P522" t="s">
        <v>281</v>
      </c>
      <c r="Q522" t="s">
        <v>155</v>
      </c>
      <c r="R522" t="s">
        <v>273</v>
      </c>
      <c r="S522" t="s">
        <v>355</v>
      </c>
      <c r="T522">
        <v>2</v>
      </c>
      <c r="U522" t="s">
        <v>414</v>
      </c>
      <c r="V522" t="s">
        <v>303</v>
      </c>
      <c r="W522" t="s">
        <v>415</v>
      </c>
      <c r="X522" t="s">
        <v>306</v>
      </c>
      <c r="Y522" t="s">
        <v>307</v>
      </c>
      <c r="Z522">
        <v>65</v>
      </c>
      <c r="AA522">
        <v>10</v>
      </c>
      <c r="AB522" t="s">
        <v>151</v>
      </c>
      <c r="AC522" t="s">
        <v>160</v>
      </c>
      <c r="AD522" t="s">
        <v>278</v>
      </c>
      <c r="AE522" t="str">
        <f>IF(AF522="","",VLOOKUP(AC522,mapel!$A$2:$B$42,2,FALSE))</f>
        <v>B.Ing</v>
      </c>
      <c r="AF522">
        <f t="shared" si="24"/>
        <v>10</v>
      </c>
      <c r="AG522" t="str">
        <f>IF(AF522="","",IF(AF522&gt;90,"Sangat baik",IF(AF522&gt;79,"Baik",IF(AF522&gt;=pub_gid_0_single_true_output_csv[[#This Row],[KKM]],"Cukup","Kurang"))))</f>
        <v>Kurang</v>
      </c>
      <c r="AH522">
        <f t="shared" si="25"/>
        <v>11</v>
      </c>
      <c r="AI522" s="30" t="str">
        <f>IF(OR(J522&lt;&gt;"Karakter",pub_gid_0_single_true_output_csv[[#This Row],[Nilai2]]=""),"",IF(AF522&gt;89,"Sangat baik",IF(AF522&gt;79,"Baik",IF(AF522&gt;69,"Cukup",IF(AF522&gt;59,"Kurang","Sangat kurang")))))</f>
        <v/>
      </c>
      <c r="AJ522" t="str">
        <f t="shared" si="26"/>
        <v>Wk.4</v>
      </c>
      <c r="AK522" t="str">
        <f>IF(pub_gid_0_single_true_output_csv[[#This Row],[Nilai2]]="","",VLOOKUP(pub_gid_0_single_true_output_csv[[#This Row],[NAMA]],Table7[],3,FALSE))</f>
        <v>Average</v>
      </c>
    </row>
    <row r="523" spans="1:37" x14ac:dyDescent="0.2">
      <c r="A523">
        <v>522</v>
      </c>
      <c r="B523" t="s">
        <v>296</v>
      </c>
      <c r="C523" t="s">
        <v>54</v>
      </c>
      <c r="D523" t="s">
        <v>48</v>
      </c>
      <c r="E523" t="s">
        <v>140</v>
      </c>
      <c r="F523" s="25">
        <v>46044</v>
      </c>
      <c r="G523" t="s">
        <v>305</v>
      </c>
      <c r="H523" t="s">
        <v>405</v>
      </c>
      <c r="I523" t="s">
        <v>371</v>
      </c>
      <c r="J523" t="s">
        <v>36</v>
      </c>
      <c r="K523" t="s">
        <v>37</v>
      </c>
      <c r="L523" t="s">
        <v>321</v>
      </c>
      <c r="M523" t="s">
        <v>141</v>
      </c>
      <c r="N523" t="s">
        <v>142</v>
      </c>
      <c r="O523" t="s">
        <v>155</v>
      </c>
      <c r="P523" t="s">
        <v>281</v>
      </c>
      <c r="Q523" t="s">
        <v>155</v>
      </c>
      <c r="R523" t="s">
        <v>273</v>
      </c>
      <c r="S523" t="s">
        <v>355</v>
      </c>
      <c r="T523">
        <v>2</v>
      </c>
      <c r="U523" t="s">
        <v>414</v>
      </c>
      <c r="V523" t="s">
        <v>303</v>
      </c>
      <c r="W523" t="s">
        <v>415</v>
      </c>
      <c r="X523" t="s">
        <v>306</v>
      </c>
      <c r="Y523" t="s">
        <v>307</v>
      </c>
      <c r="Z523">
        <v>65</v>
      </c>
      <c r="AA523">
        <v>10</v>
      </c>
      <c r="AB523" t="s">
        <v>151</v>
      </c>
      <c r="AC523" t="s">
        <v>160</v>
      </c>
      <c r="AD523" t="s">
        <v>278</v>
      </c>
      <c r="AE523" t="str">
        <f>IF(AF523="","",VLOOKUP(AC523,mapel!$A$2:$B$42,2,FALSE))</f>
        <v>B.Ing</v>
      </c>
      <c r="AF523">
        <f t="shared" si="24"/>
        <v>10</v>
      </c>
      <c r="AG523" t="str">
        <f>IF(AF523="","",IF(AF523&gt;90,"Sangat baik",IF(AF523&gt;79,"Baik",IF(AF523&gt;=pub_gid_0_single_true_output_csv[[#This Row],[KKM]],"Cukup","Kurang"))))</f>
        <v>Kurang</v>
      </c>
      <c r="AH523">
        <f t="shared" si="25"/>
        <v>11</v>
      </c>
      <c r="AI523" s="30" t="str">
        <f>IF(OR(J523&lt;&gt;"Karakter",pub_gid_0_single_true_output_csv[[#This Row],[Nilai2]]=""),"",IF(AF523&gt;89,"Sangat baik",IF(AF523&gt;79,"Baik",IF(AF523&gt;69,"Cukup",IF(AF523&gt;59,"Kurang","Sangat kurang")))))</f>
        <v/>
      </c>
      <c r="AJ523" t="str">
        <f t="shared" si="26"/>
        <v>Wk.4</v>
      </c>
      <c r="AK523" t="str">
        <f>IF(pub_gid_0_single_true_output_csv[[#This Row],[Nilai2]]="","",VLOOKUP(pub_gid_0_single_true_output_csv[[#This Row],[NAMA]],Table7[],3,FALSE))</f>
        <v>Average</v>
      </c>
    </row>
    <row r="524" spans="1:37" x14ac:dyDescent="0.2">
      <c r="A524">
        <v>523</v>
      </c>
      <c r="B524" t="s">
        <v>296</v>
      </c>
      <c r="C524" t="s">
        <v>54</v>
      </c>
      <c r="D524" t="s">
        <v>48</v>
      </c>
      <c r="E524" t="s">
        <v>140</v>
      </c>
      <c r="F524" s="25">
        <v>46044</v>
      </c>
      <c r="G524" t="s">
        <v>305</v>
      </c>
      <c r="H524" t="s">
        <v>405</v>
      </c>
      <c r="I524" t="s">
        <v>371</v>
      </c>
      <c r="J524" t="s">
        <v>31</v>
      </c>
      <c r="K524" t="s">
        <v>32</v>
      </c>
      <c r="L524" t="s">
        <v>321</v>
      </c>
      <c r="M524" t="s">
        <v>141</v>
      </c>
      <c r="N524" t="s">
        <v>142</v>
      </c>
      <c r="O524" t="s">
        <v>155</v>
      </c>
      <c r="P524" t="s">
        <v>281</v>
      </c>
      <c r="Q524" t="s">
        <v>155</v>
      </c>
      <c r="R524" t="s">
        <v>273</v>
      </c>
      <c r="S524" t="s">
        <v>355</v>
      </c>
      <c r="T524">
        <v>2</v>
      </c>
      <c r="U524" t="s">
        <v>414</v>
      </c>
      <c r="V524" t="s">
        <v>303</v>
      </c>
      <c r="W524" t="s">
        <v>415</v>
      </c>
      <c r="X524" t="s">
        <v>306</v>
      </c>
      <c r="Y524" t="s">
        <v>307</v>
      </c>
      <c r="Z524">
        <v>65</v>
      </c>
      <c r="AA524">
        <v>10</v>
      </c>
      <c r="AB524" t="s">
        <v>151</v>
      </c>
      <c r="AC524" t="s">
        <v>160</v>
      </c>
      <c r="AD524" t="s">
        <v>278</v>
      </c>
      <c r="AE524" t="str">
        <f>IF(AF524="","",VLOOKUP(AC524,mapel!$A$2:$B$42,2,FALSE))</f>
        <v>B.Ing</v>
      </c>
      <c r="AF524">
        <f t="shared" si="24"/>
        <v>10</v>
      </c>
      <c r="AG524" t="str">
        <f>IF(AF524="","",IF(AF524&gt;90,"Sangat baik",IF(AF524&gt;79,"Baik",IF(AF524&gt;=pub_gid_0_single_true_output_csv[[#This Row],[KKM]],"Cukup","Kurang"))))</f>
        <v>Kurang</v>
      </c>
      <c r="AH524">
        <f t="shared" si="25"/>
        <v>11</v>
      </c>
      <c r="AI524" s="30" t="str">
        <f>IF(OR(J524&lt;&gt;"Karakter",pub_gid_0_single_true_output_csv[[#This Row],[Nilai2]]=""),"",IF(AF524&gt;89,"Sangat baik",IF(AF524&gt;79,"Baik",IF(AF524&gt;69,"Cukup",IF(AF524&gt;59,"Kurang","Sangat kurang")))))</f>
        <v/>
      </c>
      <c r="AJ524" t="str">
        <f t="shared" si="26"/>
        <v>Wk.4</v>
      </c>
      <c r="AK524" t="str">
        <f>IF(pub_gid_0_single_true_output_csv[[#This Row],[Nilai2]]="","",VLOOKUP(pub_gid_0_single_true_output_csv[[#This Row],[NAMA]],Table7[],3,FALSE))</f>
        <v>Average</v>
      </c>
    </row>
    <row r="525" spans="1:37" x14ac:dyDescent="0.2">
      <c r="A525">
        <v>524</v>
      </c>
      <c r="B525" t="s">
        <v>296</v>
      </c>
      <c r="C525" t="s">
        <v>54</v>
      </c>
      <c r="D525" t="s">
        <v>48</v>
      </c>
      <c r="E525" t="s">
        <v>140</v>
      </c>
      <c r="F525" s="25">
        <v>46065</v>
      </c>
      <c r="G525" t="s">
        <v>354</v>
      </c>
      <c r="H525" t="s">
        <v>412</v>
      </c>
      <c r="I525" t="s">
        <v>371</v>
      </c>
      <c r="J525" t="s">
        <v>36</v>
      </c>
      <c r="K525" t="s">
        <v>37</v>
      </c>
      <c r="L525" t="s">
        <v>324</v>
      </c>
      <c r="M525" t="s">
        <v>141</v>
      </c>
      <c r="N525" t="s">
        <v>142</v>
      </c>
      <c r="O525" t="s">
        <v>155</v>
      </c>
      <c r="P525" t="s">
        <v>281</v>
      </c>
      <c r="Q525" t="s">
        <v>155</v>
      </c>
      <c r="R525" t="s">
        <v>273</v>
      </c>
      <c r="S525" t="s">
        <v>355</v>
      </c>
      <c r="T525">
        <v>2</v>
      </c>
      <c r="U525" t="s">
        <v>414</v>
      </c>
      <c r="V525" t="s">
        <v>303</v>
      </c>
      <c r="W525" t="s">
        <v>415</v>
      </c>
      <c r="X525" t="s">
        <v>306</v>
      </c>
      <c r="Y525" t="s">
        <v>307</v>
      </c>
      <c r="Z525">
        <v>65</v>
      </c>
      <c r="AA525">
        <v>18</v>
      </c>
      <c r="AB525" t="s">
        <v>151</v>
      </c>
      <c r="AC525" t="s">
        <v>160</v>
      </c>
      <c r="AD525" t="s">
        <v>278</v>
      </c>
      <c r="AE525" t="str">
        <f>IF(AF525="","",VLOOKUP(AC525,mapel!$A$2:$B$42,2,FALSE))</f>
        <v>B.Ing</v>
      </c>
      <c r="AF525">
        <f t="shared" si="24"/>
        <v>18</v>
      </c>
      <c r="AG525" t="str">
        <f>IF(AF525="","",IF(AF525&gt;90,"Sangat baik",IF(AF525&gt;79,"Baik",IF(AF525&gt;=pub_gid_0_single_true_output_csv[[#This Row],[KKM]],"Cukup","Kurang"))))</f>
        <v>Kurang</v>
      </c>
      <c r="AH525">
        <f t="shared" si="25"/>
        <v>11</v>
      </c>
      <c r="AI525" s="30" t="str">
        <f>IF(OR(J525&lt;&gt;"Karakter",pub_gid_0_single_true_output_csv[[#This Row],[Nilai2]]=""),"",IF(AF525&gt;89,"Sangat baik",IF(AF525&gt;79,"Baik",IF(AF525&gt;69,"Cukup",IF(AF525&gt;59,"Kurang","Sangat kurang")))))</f>
        <v/>
      </c>
      <c r="AJ525" t="str">
        <f t="shared" si="26"/>
        <v>Wk.7</v>
      </c>
      <c r="AK525" t="str">
        <f>IF(pub_gid_0_single_true_output_csv[[#This Row],[Nilai2]]="","",VLOOKUP(pub_gid_0_single_true_output_csv[[#This Row],[NAMA]],Table7[],3,FALSE))</f>
        <v>Average</v>
      </c>
    </row>
    <row r="526" spans="1:37" x14ac:dyDescent="0.2">
      <c r="A526">
        <v>525</v>
      </c>
      <c r="B526" t="s">
        <v>296</v>
      </c>
      <c r="C526" t="s">
        <v>54</v>
      </c>
      <c r="D526" t="s">
        <v>48</v>
      </c>
      <c r="E526" t="s">
        <v>140</v>
      </c>
      <c r="F526" s="25">
        <v>46065</v>
      </c>
      <c r="G526" t="s">
        <v>354</v>
      </c>
      <c r="H526" t="s">
        <v>412</v>
      </c>
      <c r="I526" t="s">
        <v>371</v>
      </c>
      <c r="J526" t="s">
        <v>36</v>
      </c>
      <c r="K526" t="s">
        <v>37</v>
      </c>
      <c r="L526" t="s">
        <v>150</v>
      </c>
      <c r="M526" t="s">
        <v>141</v>
      </c>
      <c r="N526" t="s">
        <v>142</v>
      </c>
      <c r="O526" t="s">
        <v>155</v>
      </c>
      <c r="P526" t="s">
        <v>281</v>
      </c>
      <c r="Q526" t="s">
        <v>155</v>
      </c>
      <c r="R526" t="s">
        <v>273</v>
      </c>
      <c r="S526" t="s">
        <v>355</v>
      </c>
      <c r="T526">
        <v>2</v>
      </c>
      <c r="U526" t="s">
        <v>414</v>
      </c>
      <c r="V526" t="s">
        <v>303</v>
      </c>
      <c r="W526" t="s">
        <v>415</v>
      </c>
      <c r="X526" t="s">
        <v>306</v>
      </c>
      <c r="Y526" t="s">
        <v>307</v>
      </c>
      <c r="Z526">
        <v>65</v>
      </c>
      <c r="AA526">
        <v>60</v>
      </c>
      <c r="AB526" t="s">
        <v>151</v>
      </c>
      <c r="AC526" t="s">
        <v>160</v>
      </c>
      <c r="AD526" t="s">
        <v>278</v>
      </c>
      <c r="AE526" t="str">
        <f>IF(AF526="","",VLOOKUP(AC526,mapel!$A$2:$B$42,2,FALSE))</f>
        <v>B.Ing</v>
      </c>
      <c r="AF526">
        <f t="shared" si="24"/>
        <v>60</v>
      </c>
      <c r="AG526" t="str">
        <f>IF(AF526="","",IF(AF526&gt;90,"Sangat baik",IF(AF526&gt;79,"Baik",IF(AF526&gt;=pub_gid_0_single_true_output_csv[[#This Row],[KKM]],"Cukup","Kurang"))))</f>
        <v>Kurang</v>
      </c>
      <c r="AH526">
        <f t="shared" si="25"/>
        <v>11</v>
      </c>
      <c r="AI526" s="30" t="str">
        <f>IF(OR(J526&lt;&gt;"Karakter",pub_gid_0_single_true_output_csv[[#This Row],[Nilai2]]=""),"",IF(AF526&gt;89,"Sangat baik",IF(AF526&gt;79,"Baik",IF(AF526&gt;69,"Cukup",IF(AF526&gt;59,"Kurang","Sangat kurang")))))</f>
        <v/>
      </c>
      <c r="AJ526" t="str">
        <f t="shared" si="26"/>
        <v>Wk.7</v>
      </c>
      <c r="AK526" t="str">
        <f>IF(pub_gid_0_single_true_output_csv[[#This Row],[Nilai2]]="","",VLOOKUP(pub_gid_0_single_true_output_csv[[#This Row],[NAMA]],Table7[],3,FALSE))</f>
        <v>Average</v>
      </c>
    </row>
    <row r="527" spans="1:37" x14ac:dyDescent="0.2">
      <c r="A527">
        <v>526</v>
      </c>
      <c r="B527" t="s">
        <v>296</v>
      </c>
      <c r="C527" t="s">
        <v>54</v>
      </c>
      <c r="D527" t="s">
        <v>48</v>
      </c>
      <c r="E527" t="s">
        <v>140</v>
      </c>
      <c r="F527" s="25">
        <v>46065</v>
      </c>
      <c r="G527" t="s">
        <v>354</v>
      </c>
      <c r="H527" t="s">
        <v>412</v>
      </c>
      <c r="I527" t="s">
        <v>371</v>
      </c>
      <c r="J527" t="s">
        <v>41</v>
      </c>
      <c r="K527" t="s">
        <v>365</v>
      </c>
      <c r="L527" t="s">
        <v>150</v>
      </c>
      <c r="M527" t="s">
        <v>141</v>
      </c>
      <c r="N527" t="s">
        <v>142</v>
      </c>
      <c r="O527" t="s">
        <v>155</v>
      </c>
      <c r="P527" t="s">
        <v>281</v>
      </c>
      <c r="Q527" t="s">
        <v>155</v>
      </c>
      <c r="R527" t="s">
        <v>273</v>
      </c>
      <c r="S527" t="s">
        <v>355</v>
      </c>
      <c r="T527">
        <v>2</v>
      </c>
      <c r="U527" t="s">
        <v>414</v>
      </c>
      <c r="V527" t="s">
        <v>303</v>
      </c>
      <c r="W527" t="s">
        <v>415</v>
      </c>
      <c r="X527" t="s">
        <v>306</v>
      </c>
      <c r="Y527" t="s">
        <v>307</v>
      </c>
      <c r="Z527">
        <v>65</v>
      </c>
      <c r="AA527">
        <v>60</v>
      </c>
      <c r="AB527" t="s">
        <v>151</v>
      </c>
      <c r="AC527" t="s">
        <v>160</v>
      </c>
      <c r="AD527" t="s">
        <v>278</v>
      </c>
      <c r="AE527" t="str">
        <f>IF(AF527="","",VLOOKUP(AC527,mapel!$A$2:$B$42,2,FALSE))</f>
        <v>B.Ing</v>
      </c>
      <c r="AF527">
        <f t="shared" si="24"/>
        <v>60</v>
      </c>
      <c r="AG527" t="str">
        <f>IF(AF527="","",IF(AF527&gt;90,"Sangat baik",IF(AF527&gt;79,"Baik",IF(AF527&gt;=pub_gid_0_single_true_output_csv[[#This Row],[KKM]],"Cukup","Kurang"))))</f>
        <v>Kurang</v>
      </c>
      <c r="AH527">
        <f t="shared" si="25"/>
        <v>11</v>
      </c>
      <c r="AI527" s="30" t="str">
        <f>IF(OR(J527&lt;&gt;"Karakter",pub_gid_0_single_true_output_csv[[#This Row],[Nilai2]]=""),"",IF(AF527&gt;89,"Sangat baik",IF(AF527&gt;79,"Baik",IF(AF527&gt;69,"Cukup",IF(AF527&gt;59,"Kurang","Sangat kurang")))))</f>
        <v/>
      </c>
      <c r="AJ527" t="str">
        <f t="shared" si="26"/>
        <v>Wk.7</v>
      </c>
      <c r="AK527" t="str">
        <f>IF(pub_gid_0_single_true_output_csv[[#This Row],[Nilai2]]="","",VLOOKUP(pub_gid_0_single_true_output_csv[[#This Row],[NAMA]],Table7[],3,FALSE))</f>
        <v>Average</v>
      </c>
    </row>
    <row r="528" spans="1:37" x14ac:dyDescent="0.2">
      <c r="A528">
        <v>527</v>
      </c>
      <c r="B528" t="s">
        <v>296</v>
      </c>
      <c r="C528" t="s">
        <v>54</v>
      </c>
      <c r="D528" t="s">
        <v>48</v>
      </c>
      <c r="E528" t="s">
        <v>140</v>
      </c>
      <c r="F528" s="25">
        <v>46071</v>
      </c>
      <c r="G528" t="s">
        <v>323</v>
      </c>
      <c r="H528" t="s">
        <v>412</v>
      </c>
      <c r="I528" t="s">
        <v>371</v>
      </c>
      <c r="J528" t="s">
        <v>41</v>
      </c>
      <c r="K528" t="s">
        <v>365</v>
      </c>
      <c r="L528" t="s">
        <v>383</v>
      </c>
      <c r="M528" t="s">
        <v>141</v>
      </c>
      <c r="N528" t="s">
        <v>142</v>
      </c>
      <c r="O528" t="s">
        <v>155</v>
      </c>
      <c r="P528" t="s">
        <v>281</v>
      </c>
      <c r="Q528" t="s">
        <v>155</v>
      </c>
      <c r="R528" t="s">
        <v>273</v>
      </c>
      <c r="S528" t="s">
        <v>355</v>
      </c>
      <c r="T528">
        <v>2</v>
      </c>
      <c r="U528" t="s">
        <v>414</v>
      </c>
      <c r="V528" t="s">
        <v>303</v>
      </c>
      <c r="W528" t="s">
        <v>415</v>
      </c>
      <c r="X528" t="s">
        <v>306</v>
      </c>
      <c r="Y528" t="s">
        <v>307</v>
      </c>
      <c r="Z528">
        <v>65</v>
      </c>
      <c r="AA528">
        <v>70</v>
      </c>
      <c r="AB528" t="s">
        <v>143</v>
      </c>
      <c r="AC528" t="s">
        <v>160</v>
      </c>
      <c r="AD528" t="s">
        <v>278</v>
      </c>
      <c r="AE528" t="str">
        <f>IF(AF528="","",VLOOKUP(AC528,mapel!$A$2:$B$42,2,FALSE))</f>
        <v>B.Ing</v>
      </c>
      <c r="AF528">
        <f t="shared" si="24"/>
        <v>70</v>
      </c>
      <c r="AG528" t="str">
        <f>IF(AF528="","",IF(AF528&gt;90,"Sangat baik",IF(AF528&gt;79,"Baik",IF(AF528&gt;=pub_gid_0_single_true_output_csv[[#This Row],[KKM]],"Cukup","Kurang"))))</f>
        <v>Cukup</v>
      </c>
      <c r="AH528">
        <f t="shared" si="25"/>
        <v>11</v>
      </c>
      <c r="AI528" s="30" t="str">
        <f>IF(OR(J528&lt;&gt;"Karakter",pub_gid_0_single_true_output_csv[[#This Row],[Nilai2]]=""),"",IF(AF528&gt;89,"Sangat baik",IF(AF528&gt;79,"Baik",IF(AF528&gt;69,"Cukup",IF(AF528&gt;59,"Kurang","Sangat kurang")))))</f>
        <v/>
      </c>
      <c r="AJ528" t="str">
        <f t="shared" si="26"/>
        <v>Wk.8</v>
      </c>
      <c r="AK528" t="str">
        <f>IF(pub_gid_0_single_true_output_csv[[#This Row],[Nilai2]]="","",VLOOKUP(pub_gid_0_single_true_output_csv[[#This Row],[NAMA]],Table7[],3,FALSE))</f>
        <v>Average</v>
      </c>
    </row>
    <row r="529" spans="1:37" x14ac:dyDescent="0.2">
      <c r="A529">
        <v>528</v>
      </c>
      <c r="B529" t="s">
        <v>296</v>
      </c>
      <c r="C529" t="s">
        <v>54</v>
      </c>
      <c r="D529" t="s">
        <v>48</v>
      </c>
      <c r="E529" t="s">
        <v>140</v>
      </c>
      <c r="F529" s="25">
        <v>46071</v>
      </c>
      <c r="G529" t="s">
        <v>323</v>
      </c>
      <c r="H529" t="s">
        <v>412</v>
      </c>
      <c r="I529" t="s">
        <v>371</v>
      </c>
      <c r="J529" t="s">
        <v>36</v>
      </c>
      <c r="K529" t="s">
        <v>37</v>
      </c>
      <c r="L529" t="s">
        <v>383</v>
      </c>
      <c r="M529" t="s">
        <v>141</v>
      </c>
      <c r="N529" t="s">
        <v>142</v>
      </c>
      <c r="O529" t="s">
        <v>155</v>
      </c>
      <c r="P529" t="s">
        <v>281</v>
      </c>
      <c r="Q529" t="s">
        <v>155</v>
      </c>
      <c r="R529" t="s">
        <v>273</v>
      </c>
      <c r="S529" t="s">
        <v>355</v>
      </c>
      <c r="T529">
        <v>2</v>
      </c>
      <c r="U529" t="s">
        <v>414</v>
      </c>
      <c r="V529" t="s">
        <v>303</v>
      </c>
      <c r="W529" t="s">
        <v>415</v>
      </c>
      <c r="X529" t="s">
        <v>306</v>
      </c>
      <c r="Y529" t="s">
        <v>307</v>
      </c>
      <c r="Z529">
        <v>65</v>
      </c>
      <c r="AA529">
        <v>70</v>
      </c>
      <c r="AB529" t="s">
        <v>143</v>
      </c>
      <c r="AC529" t="s">
        <v>160</v>
      </c>
      <c r="AD529" t="s">
        <v>278</v>
      </c>
      <c r="AE529" t="str">
        <f>IF(AF529="","",VLOOKUP(AC529,mapel!$A$2:$B$42,2,FALSE))</f>
        <v>B.Ing</v>
      </c>
      <c r="AF529">
        <f t="shared" si="24"/>
        <v>70</v>
      </c>
      <c r="AG529" t="str">
        <f>IF(AF529="","",IF(AF529&gt;90,"Sangat baik",IF(AF529&gt;79,"Baik",IF(AF529&gt;=pub_gid_0_single_true_output_csv[[#This Row],[KKM]],"Cukup","Kurang"))))</f>
        <v>Cukup</v>
      </c>
      <c r="AH529">
        <f t="shared" si="25"/>
        <v>11</v>
      </c>
      <c r="AI529" s="30" t="str">
        <f>IF(OR(J529&lt;&gt;"Karakter",pub_gid_0_single_true_output_csv[[#This Row],[Nilai2]]=""),"",IF(AF529&gt;89,"Sangat baik",IF(AF529&gt;79,"Baik",IF(AF529&gt;69,"Cukup",IF(AF529&gt;59,"Kurang","Sangat kurang")))))</f>
        <v/>
      </c>
      <c r="AJ529" t="str">
        <f t="shared" si="26"/>
        <v>Wk.8</v>
      </c>
      <c r="AK529" t="str">
        <f>IF(pub_gid_0_single_true_output_csv[[#This Row],[Nilai2]]="","",VLOOKUP(pub_gid_0_single_true_output_csv[[#This Row],[NAMA]],Table7[],3,FALSE))</f>
        <v>Average</v>
      </c>
    </row>
    <row r="530" spans="1:37" x14ac:dyDescent="0.2">
      <c r="A530">
        <v>529</v>
      </c>
      <c r="B530" t="s">
        <v>297</v>
      </c>
      <c r="C530" t="s">
        <v>298</v>
      </c>
      <c r="D530" t="s">
        <v>298</v>
      </c>
      <c r="E530" t="s">
        <v>298</v>
      </c>
      <c r="F530" s="25"/>
      <c r="G530" t="s">
        <v>416</v>
      </c>
      <c r="H530" t="s">
        <v>416</v>
      </c>
      <c r="I530" t="s">
        <v>416</v>
      </c>
      <c r="J530" t="s">
        <v>416</v>
      </c>
      <c r="K530" t="s">
        <v>417</v>
      </c>
      <c r="L530" t="s">
        <v>417</v>
      </c>
      <c r="M530" t="s">
        <v>416</v>
      </c>
      <c r="N530" t="s">
        <v>159</v>
      </c>
      <c r="O530" t="s">
        <v>159</v>
      </c>
      <c r="P530" t="s">
        <v>159</v>
      </c>
      <c r="Q530" t="s">
        <v>300</v>
      </c>
      <c r="R530" t="s">
        <v>300</v>
      </c>
      <c r="S530" t="s">
        <v>416</v>
      </c>
      <c r="U530" t="s">
        <v>159</v>
      </c>
      <c r="V530" t="s">
        <v>418</v>
      </c>
      <c r="W530" t="s">
        <v>297</v>
      </c>
      <c r="X530" t="s">
        <v>416</v>
      </c>
      <c r="Y530" t="s">
        <v>299</v>
      </c>
      <c r="Z530">
        <v>65</v>
      </c>
      <c r="AB530" t="s">
        <v>301</v>
      </c>
      <c r="AC530" t="s">
        <v>152</v>
      </c>
      <c r="AD530" t="s">
        <v>278</v>
      </c>
      <c r="AE530" t="str">
        <f>IF(AF530="","",VLOOKUP(AC530,mapel!$A$2:$B$42,2,FALSE))</f>
        <v/>
      </c>
      <c r="AF530" t="str">
        <f t="shared" si="24"/>
        <v/>
      </c>
      <c r="AG530" t="str">
        <f>IF(AF530="","",IF(AF530&gt;90,"Sangat baik",IF(AF530&gt;79,"Baik",IF(AF530&gt;=pub_gid_0_single_true_output_csv[[#This Row],[KKM]],"Cukup","Kurang"))))</f>
        <v/>
      </c>
      <c r="AH530" t="str">
        <f t="shared" si="25"/>
        <v/>
      </c>
      <c r="AI530" s="30" t="str">
        <f>IF(OR(J530&lt;&gt;"Karakter",pub_gid_0_single_true_output_csv[[#This Row],[Nilai2]]=""),"",IF(AF530&gt;89,"Sangat baik",IF(AF530&gt;79,"Baik",IF(AF530&gt;69,"Cukup",IF(AF530&gt;59,"Kurang","Sangat kurang")))))</f>
        <v/>
      </c>
      <c r="AJ530" t="str">
        <f t="shared" si="26"/>
        <v/>
      </c>
      <c r="AK530" t="str">
        <f>IF(pub_gid_0_single_true_output_csv[[#This Row],[Nilai2]]="","",VLOOKUP(pub_gid_0_single_true_output_csv[[#This Row],[NAMA]],Table7[],3,FALSE))</f>
        <v/>
      </c>
    </row>
    <row r="531" spans="1:37" x14ac:dyDescent="0.2">
      <c r="A531">
        <v>530</v>
      </c>
      <c r="B531" t="s">
        <v>289</v>
      </c>
      <c r="C531" t="s">
        <v>54</v>
      </c>
      <c r="D531" t="s">
        <v>39</v>
      </c>
      <c r="E531" t="s">
        <v>140</v>
      </c>
      <c r="F531" s="25">
        <v>46041</v>
      </c>
      <c r="G531" t="s">
        <v>370</v>
      </c>
      <c r="H531" t="s">
        <v>405</v>
      </c>
      <c r="I531" t="s">
        <v>371</v>
      </c>
      <c r="J531" t="s">
        <v>36</v>
      </c>
      <c r="K531" t="s">
        <v>37</v>
      </c>
      <c r="L531" t="s">
        <v>150</v>
      </c>
      <c r="M531" t="s">
        <v>141</v>
      </c>
      <c r="N531" t="s">
        <v>142</v>
      </c>
      <c r="O531" t="s">
        <v>155</v>
      </c>
      <c r="P531" t="s">
        <v>281</v>
      </c>
      <c r="Q531" t="s">
        <v>155</v>
      </c>
      <c r="R531" t="s">
        <v>273</v>
      </c>
      <c r="S531" t="s">
        <v>380</v>
      </c>
      <c r="T531">
        <v>3</v>
      </c>
      <c r="U531" t="s">
        <v>419</v>
      </c>
      <c r="V531" t="s">
        <v>381</v>
      </c>
      <c r="W531" t="s">
        <v>420</v>
      </c>
      <c r="X531" t="s">
        <v>306</v>
      </c>
      <c r="Y531" t="s">
        <v>307</v>
      </c>
      <c r="Z531">
        <v>65</v>
      </c>
      <c r="AA531">
        <v>100</v>
      </c>
      <c r="AB531" t="s">
        <v>143</v>
      </c>
      <c r="AC531" t="s">
        <v>38</v>
      </c>
      <c r="AD531" t="s">
        <v>310</v>
      </c>
      <c r="AE531" t="str">
        <f>IF(AF531="","",VLOOKUP(AC531,mapel!$A$2:$B$42,2,FALSE))</f>
        <v>Biologi</v>
      </c>
      <c r="AF531">
        <f t="shared" si="24"/>
        <v>100</v>
      </c>
      <c r="AG531" t="str">
        <f>IF(AF531="","",IF(AF531&gt;90,"Sangat baik",IF(AF531&gt;79,"Baik",IF(AF531&gt;=pub_gid_0_single_true_output_csv[[#This Row],[KKM]],"Cukup","Kurang"))))</f>
        <v>Sangat baik</v>
      </c>
      <c r="AH531">
        <f t="shared" si="25"/>
        <v>11</v>
      </c>
      <c r="AI531" s="30" t="str">
        <f>IF(OR(J531&lt;&gt;"Karakter",pub_gid_0_single_true_output_csv[[#This Row],[Nilai2]]=""),"",IF(AF531&gt;89,"Sangat baik",IF(AF531&gt;79,"Baik",IF(AF531&gt;69,"Cukup",IF(AF531&gt;59,"Kurang","Sangat kurang")))))</f>
        <v/>
      </c>
      <c r="AJ531" t="str">
        <f t="shared" si="26"/>
        <v>Wk.4</v>
      </c>
      <c r="AK531" t="str">
        <f>IF(pub_gid_0_single_true_output_csv[[#This Row],[Nilai2]]="","",VLOOKUP(pub_gid_0_single_true_output_csv[[#This Row],[NAMA]],Table7[],3,FALSE))</f>
        <v>Average</v>
      </c>
    </row>
    <row r="532" spans="1:37" x14ac:dyDescent="0.2">
      <c r="A532">
        <v>531</v>
      </c>
      <c r="B532" t="s">
        <v>290</v>
      </c>
      <c r="C532" t="s">
        <v>54</v>
      </c>
      <c r="D532" t="s">
        <v>42</v>
      </c>
      <c r="E532" t="s">
        <v>140</v>
      </c>
      <c r="F532" s="25">
        <v>46041</v>
      </c>
      <c r="G532" t="s">
        <v>370</v>
      </c>
      <c r="H532" t="s">
        <v>405</v>
      </c>
      <c r="I532" t="s">
        <v>371</v>
      </c>
      <c r="J532" t="s">
        <v>36</v>
      </c>
      <c r="K532" t="s">
        <v>37</v>
      </c>
      <c r="L532" t="s">
        <v>150</v>
      </c>
      <c r="M532" t="s">
        <v>141</v>
      </c>
      <c r="N532" t="s">
        <v>142</v>
      </c>
      <c r="O532" t="s">
        <v>155</v>
      </c>
      <c r="P532" t="s">
        <v>281</v>
      </c>
      <c r="Q532" t="s">
        <v>155</v>
      </c>
      <c r="R532" t="s">
        <v>273</v>
      </c>
      <c r="S532" t="s">
        <v>380</v>
      </c>
      <c r="T532">
        <v>3</v>
      </c>
      <c r="U532" t="s">
        <v>419</v>
      </c>
      <c r="V532" t="s">
        <v>381</v>
      </c>
      <c r="W532" t="s">
        <v>420</v>
      </c>
      <c r="X532" t="s">
        <v>306</v>
      </c>
      <c r="Y532" t="s">
        <v>307</v>
      </c>
      <c r="Z532">
        <v>65</v>
      </c>
      <c r="AA532">
        <v>40</v>
      </c>
      <c r="AB532" t="s">
        <v>151</v>
      </c>
      <c r="AC532" t="s">
        <v>38</v>
      </c>
      <c r="AD532" t="s">
        <v>310</v>
      </c>
      <c r="AE532" t="str">
        <f>IF(AF532="","",VLOOKUP(AC532,mapel!$A$2:$B$42,2,FALSE))</f>
        <v>Biologi</v>
      </c>
      <c r="AF532">
        <f t="shared" si="24"/>
        <v>40</v>
      </c>
      <c r="AG532" t="str">
        <f>IF(AF532="","",IF(AF532&gt;90,"Sangat baik",IF(AF532&gt;79,"Baik",IF(AF532&gt;=pub_gid_0_single_true_output_csv[[#This Row],[KKM]],"Cukup","Kurang"))))</f>
        <v>Kurang</v>
      </c>
      <c r="AH532">
        <f t="shared" si="25"/>
        <v>11</v>
      </c>
      <c r="AI532" s="30" t="str">
        <f>IF(OR(J532&lt;&gt;"Karakter",pub_gid_0_single_true_output_csv[[#This Row],[Nilai2]]=""),"",IF(AF532&gt;89,"Sangat baik",IF(AF532&gt;79,"Baik",IF(AF532&gt;69,"Cukup",IF(AF532&gt;59,"Kurang","Sangat kurang")))))</f>
        <v/>
      </c>
      <c r="AJ532" t="str">
        <f t="shared" si="26"/>
        <v>Wk.4</v>
      </c>
      <c r="AK532" t="str">
        <f>IF(pub_gid_0_single_true_output_csv[[#This Row],[Nilai2]]="","",VLOOKUP(pub_gid_0_single_true_output_csv[[#This Row],[NAMA]],Table7[],3,FALSE))</f>
        <v>Superior</v>
      </c>
    </row>
    <row r="533" spans="1:37" x14ac:dyDescent="0.2">
      <c r="A533">
        <v>532</v>
      </c>
      <c r="B533" t="s">
        <v>291</v>
      </c>
      <c r="C533" t="s">
        <v>54</v>
      </c>
      <c r="D533" t="s">
        <v>43</v>
      </c>
      <c r="E533" t="s">
        <v>146</v>
      </c>
      <c r="F533" s="25">
        <v>46041</v>
      </c>
      <c r="G533" t="s">
        <v>370</v>
      </c>
      <c r="H533" t="s">
        <v>405</v>
      </c>
      <c r="I533" t="s">
        <v>371</v>
      </c>
      <c r="J533" t="s">
        <v>36</v>
      </c>
      <c r="K533" t="s">
        <v>37</v>
      </c>
      <c r="L533" t="s">
        <v>150</v>
      </c>
      <c r="M533" t="s">
        <v>141</v>
      </c>
      <c r="N533" t="s">
        <v>142</v>
      </c>
      <c r="O533" t="s">
        <v>155</v>
      </c>
      <c r="P533" t="s">
        <v>281</v>
      </c>
      <c r="Q533" t="s">
        <v>155</v>
      </c>
      <c r="R533" t="s">
        <v>273</v>
      </c>
      <c r="S533" t="s">
        <v>380</v>
      </c>
      <c r="T533">
        <v>3</v>
      </c>
      <c r="U533" t="s">
        <v>419</v>
      </c>
      <c r="V533" t="s">
        <v>381</v>
      </c>
      <c r="W533" t="s">
        <v>420</v>
      </c>
      <c r="X533" t="s">
        <v>306</v>
      </c>
      <c r="Y533" t="s">
        <v>307</v>
      </c>
      <c r="Z533">
        <v>65</v>
      </c>
      <c r="AA533">
        <v>89</v>
      </c>
      <c r="AB533" t="s">
        <v>143</v>
      </c>
      <c r="AC533" t="s">
        <v>38</v>
      </c>
      <c r="AD533" t="s">
        <v>310</v>
      </c>
      <c r="AE533" t="str">
        <f>IF(AF533="","",VLOOKUP(AC533,mapel!$A$2:$B$42,2,FALSE))</f>
        <v>Biologi</v>
      </c>
      <c r="AF533">
        <f t="shared" si="24"/>
        <v>89</v>
      </c>
      <c r="AG533" t="str">
        <f>IF(AF533="","",IF(AF533&gt;90,"Sangat baik",IF(AF533&gt;79,"Baik",IF(AF533&gt;=pub_gid_0_single_true_output_csv[[#This Row],[KKM]],"Cukup","Kurang"))))</f>
        <v>Baik</v>
      </c>
      <c r="AH533">
        <f t="shared" si="25"/>
        <v>11</v>
      </c>
      <c r="AI533" s="30" t="str">
        <f>IF(OR(J533&lt;&gt;"Karakter",pub_gid_0_single_true_output_csv[[#This Row],[Nilai2]]=""),"",IF(AF533&gt;89,"Sangat baik",IF(AF533&gt;79,"Baik",IF(AF533&gt;69,"Cukup",IF(AF533&gt;59,"Kurang","Sangat kurang")))))</f>
        <v/>
      </c>
      <c r="AJ533" t="str">
        <f t="shared" si="26"/>
        <v>Wk.4</v>
      </c>
      <c r="AK533" t="str">
        <f>IF(pub_gid_0_single_true_output_csv[[#This Row],[Nilai2]]="","",VLOOKUP(pub_gid_0_single_true_output_csv[[#This Row],[NAMA]],Table7[],3,FALSE))</f>
        <v>High average</v>
      </c>
    </row>
    <row r="534" spans="1:37" x14ac:dyDescent="0.2">
      <c r="A534">
        <v>533</v>
      </c>
      <c r="B534" t="s">
        <v>282</v>
      </c>
      <c r="C534" t="s">
        <v>54</v>
      </c>
      <c r="D534" t="s">
        <v>283</v>
      </c>
      <c r="E534" t="s">
        <v>140</v>
      </c>
      <c r="F534" s="25">
        <v>46041</v>
      </c>
      <c r="G534" t="s">
        <v>370</v>
      </c>
      <c r="H534" t="s">
        <v>405</v>
      </c>
      <c r="I534" t="s">
        <v>371</v>
      </c>
      <c r="J534" t="s">
        <v>36</v>
      </c>
      <c r="K534" t="s">
        <v>37</v>
      </c>
      <c r="L534" t="s">
        <v>150</v>
      </c>
      <c r="M534" t="s">
        <v>141</v>
      </c>
      <c r="N534" t="s">
        <v>142</v>
      </c>
      <c r="O534" t="s">
        <v>155</v>
      </c>
      <c r="P534" t="s">
        <v>281</v>
      </c>
      <c r="Q534" t="s">
        <v>155</v>
      </c>
      <c r="R534" t="s">
        <v>273</v>
      </c>
      <c r="S534" t="s">
        <v>380</v>
      </c>
      <c r="T534">
        <v>3</v>
      </c>
      <c r="U534" t="s">
        <v>419</v>
      </c>
      <c r="V534" t="s">
        <v>381</v>
      </c>
      <c r="W534" t="s">
        <v>420</v>
      </c>
      <c r="X534" t="s">
        <v>306</v>
      </c>
      <c r="Y534" t="s">
        <v>307</v>
      </c>
      <c r="Z534">
        <v>65</v>
      </c>
      <c r="AA534">
        <v>40</v>
      </c>
      <c r="AB534" t="s">
        <v>151</v>
      </c>
      <c r="AC534" t="s">
        <v>38</v>
      </c>
      <c r="AD534" t="s">
        <v>310</v>
      </c>
      <c r="AE534" t="str">
        <f>IF(AF534="","",VLOOKUP(AC534,mapel!$A$2:$B$42,2,FALSE))</f>
        <v>Biologi</v>
      </c>
      <c r="AF534">
        <f t="shared" si="24"/>
        <v>40</v>
      </c>
      <c r="AG534" t="str">
        <f>IF(AF534="","",IF(AF534&gt;90,"Sangat baik",IF(AF534&gt;79,"Baik",IF(AF534&gt;=pub_gid_0_single_true_output_csv[[#This Row],[KKM]],"Cukup","Kurang"))))</f>
        <v>Kurang</v>
      </c>
      <c r="AH534">
        <f t="shared" si="25"/>
        <v>11</v>
      </c>
      <c r="AI534" s="30" t="str">
        <f>IF(OR(J534&lt;&gt;"Karakter",pub_gid_0_single_true_output_csv[[#This Row],[Nilai2]]=""),"",IF(AF534&gt;89,"Sangat baik",IF(AF534&gt;79,"Baik",IF(AF534&gt;69,"Cukup",IF(AF534&gt;59,"Kurang","Sangat kurang")))))</f>
        <v/>
      </c>
      <c r="AJ534" t="str">
        <f t="shared" si="26"/>
        <v>Wk.4</v>
      </c>
      <c r="AK534" t="e">
        <f>IF(pub_gid_0_single_true_output_csv[[#This Row],[Nilai2]]="","",VLOOKUP(pub_gid_0_single_true_output_csv[[#This Row],[NAMA]],Table7[],3,FALSE))</f>
        <v>#N/A</v>
      </c>
    </row>
    <row r="535" spans="1:37" x14ac:dyDescent="0.2">
      <c r="A535">
        <v>534</v>
      </c>
      <c r="B535" t="s">
        <v>292</v>
      </c>
      <c r="C535" t="s">
        <v>54</v>
      </c>
      <c r="D535" t="s">
        <v>94</v>
      </c>
      <c r="E535" t="s">
        <v>147</v>
      </c>
      <c r="F535" s="25">
        <v>46041</v>
      </c>
      <c r="G535" t="s">
        <v>370</v>
      </c>
      <c r="H535" t="s">
        <v>405</v>
      </c>
      <c r="I535" t="s">
        <v>371</v>
      </c>
      <c r="J535" t="s">
        <v>36</v>
      </c>
      <c r="K535" t="s">
        <v>37</v>
      </c>
      <c r="L535" t="s">
        <v>150</v>
      </c>
      <c r="M535" t="s">
        <v>141</v>
      </c>
      <c r="N535" t="s">
        <v>142</v>
      </c>
      <c r="O535" t="s">
        <v>155</v>
      </c>
      <c r="P535" t="s">
        <v>281</v>
      </c>
      <c r="Q535" t="s">
        <v>155</v>
      </c>
      <c r="R535" t="s">
        <v>273</v>
      </c>
      <c r="S535" t="s">
        <v>380</v>
      </c>
      <c r="T535">
        <v>3</v>
      </c>
      <c r="U535" t="s">
        <v>419</v>
      </c>
      <c r="V535" t="s">
        <v>381</v>
      </c>
      <c r="W535" t="s">
        <v>420</v>
      </c>
      <c r="X535" t="s">
        <v>306</v>
      </c>
      <c r="Y535" t="s">
        <v>307</v>
      </c>
      <c r="Z535">
        <v>65</v>
      </c>
      <c r="AA535">
        <v>99</v>
      </c>
      <c r="AB535" t="s">
        <v>143</v>
      </c>
      <c r="AC535" t="s">
        <v>38</v>
      </c>
      <c r="AD535" t="s">
        <v>310</v>
      </c>
      <c r="AE535" t="str">
        <f>IF(AF535="","",VLOOKUP(AC535,mapel!$A$2:$B$42,2,FALSE))</f>
        <v>Biologi</v>
      </c>
      <c r="AF535">
        <f t="shared" si="24"/>
        <v>99</v>
      </c>
      <c r="AG535" t="str">
        <f>IF(AF535="","",IF(AF535&gt;90,"Sangat baik",IF(AF535&gt;79,"Baik",IF(AF535&gt;=pub_gid_0_single_true_output_csv[[#This Row],[KKM]],"Cukup","Kurang"))))</f>
        <v>Sangat baik</v>
      </c>
      <c r="AH535">
        <f t="shared" si="25"/>
        <v>11</v>
      </c>
      <c r="AI535" s="30" t="str">
        <f>IF(OR(J535&lt;&gt;"Karakter",pub_gid_0_single_true_output_csv[[#This Row],[Nilai2]]=""),"",IF(AF535&gt;89,"Sangat baik",IF(AF535&gt;79,"Baik",IF(AF535&gt;69,"Cukup",IF(AF535&gt;59,"Kurang","Sangat kurang")))))</f>
        <v/>
      </c>
      <c r="AJ535" t="str">
        <f t="shared" si="26"/>
        <v>Wk.4</v>
      </c>
      <c r="AK535" t="str">
        <f>IF(pub_gid_0_single_true_output_csv[[#This Row],[Nilai2]]="","",VLOOKUP(pub_gid_0_single_true_output_csv[[#This Row],[NAMA]],Table7[],3,FALSE))</f>
        <v>Average</v>
      </c>
    </row>
    <row r="536" spans="1:37" x14ac:dyDescent="0.2">
      <c r="A536">
        <v>535</v>
      </c>
      <c r="B536" t="s">
        <v>286</v>
      </c>
      <c r="C536" t="s">
        <v>54</v>
      </c>
      <c r="D536" t="s">
        <v>33</v>
      </c>
      <c r="E536" t="s">
        <v>140</v>
      </c>
      <c r="F536" s="25">
        <v>46041</v>
      </c>
      <c r="G536" t="s">
        <v>370</v>
      </c>
      <c r="H536" t="s">
        <v>405</v>
      </c>
      <c r="I536" t="s">
        <v>371</v>
      </c>
      <c r="J536" t="s">
        <v>36</v>
      </c>
      <c r="K536" t="s">
        <v>37</v>
      </c>
      <c r="L536" t="s">
        <v>150</v>
      </c>
      <c r="M536" t="s">
        <v>141</v>
      </c>
      <c r="N536" t="s">
        <v>142</v>
      </c>
      <c r="O536" t="s">
        <v>155</v>
      </c>
      <c r="P536" t="s">
        <v>281</v>
      </c>
      <c r="Q536" t="s">
        <v>155</v>
      </c>
      <c r="R536" t="s">
        <v>273</v>
      </c>
      <c r="S536" t="s">
        <v>380</v>
      </c>
      <c r="T536">
        <v>3</v>
      </c>
      <c r="U536" t="s">
        <v>419</v>
      </c>
      <c r="V536" t="s">
        <v>381</v>
      </c>
      <c r="W536" t="s">
        <v>420</v>
      </c>
      <c r="X536" t="s">
        <v>306</v>
      </c>
      <c r="Y536" t="s">
        <v>307</v>
      </c>
      <c r="Z536">
        <v>65</v>
      </c>
      <c r="AA536">
        <v>98</v>
      </c>
      <c r="AB536" t="s">
        <v>143</v>
      </c>
      <c r="AC536" t="s">
        <v>38</v>
      </c>
      <c r="AD536" t="s">
        <v>310</v>
      </c>
      <c r="AE536" t="str">
        <f>IF(AF536="","",VLOOKUP(AC536,mapel!$A$2:$B$42,2,FALSE))</f>
        <v>Biologi</v>
      </c>
      <c r="AF536">
        <f t="shared" si="24"/>
        <v>98</v>
      </c>
      <c r="AG536" t="str">
        <f>IF(AF536="","",IF(AF536&gt;90,"Sangat baik",IF(AF536&gt;79,"Baik",IF(AF536&gt;=pub_gid_0_single_true_output_csv[[#This Row],[KKM]],"Cukup","Kurang"))))</f>
        <v>Sangat baik</v>
      </c>
      <c r="AH536">
        <f t="shared" si="25"/>
        <v>11</v>
      </c>
      <c r="AI536" s="30" t="str">
        <f>IF(OR(J536&lt;&gt;"Karakter",pub_gid_0_single_true_output_csv[[#This Row],[Nilai2]]=""),"",IF(AF536&gt;89,"Sangat baik",IF(AF536&gt;79,"Baik",IF(AF536&gt;69,"Cukup",IF(AF536&gt;59,"Kurang","Sangat kurang")))))</f>
        <v/>
      </c>
      <c r="AJ536" t="str">
        <f t="shared" si="26"/>
        <v>Wk.4</v>
      </c>
      <c r="AK536" t="str">
        <f>IF(pub_gid_0_single_true_output_csv[[#This Row],[Nilai2]]="","",VLOOKUP(pub_gid_0_single_true_output_csv[[#This Row],[NAMA]],Table7[],3,FALSE))</f>
        <v>Extremely low</v>
      </c>
    </row>
    <row r="537" spans="1:37" x14ac:dyDescent="0.2">
      <c r="A537">
        <v>536</v>
      </c>
      <c r="B537" t="s">
        <v>293</v>
      </c>
      <c r="C537" t="s">
        <v>54</v>
      </c>
      <c r="D537" t="s">
        <v>45</v>
      </c>
      <c r="E537" t="s">
        <v>147</v>
      </c>
      <c r="F537" s="25">
        <v>46041</v>
      </c>
      <c r="G537" t="s">
        <v>370</v>
      </c>
      <c r="H537" t="s">
        <v>405</v>
      </c>
      <c r="I537" t="s">
        <v>371</v>
      </c>
      <c r="J537" t="s">
        <v>36</v>
      </c>
      <c r="K537" t="s">
        <v>37</v>
      </c>
      <c r="L537" t="s">
        <v>150</v>
      </c>
      <c r="M537" t="s">
        <v>141</v>
      </c>
      <c r="N537" t="s">
        <v>142</v>
      </c>
      <c r="O537" t="s">
        <v>155</v>
      </c>
      <c r="P537" t="s">
        <v>281</v>
      </c>
      <c r="Q537" t="s">
        <v>155</v>
      </c>
      <c r="R537" t="s">
        <v>273</v>
      </c>
      <c r="S537" t="s">
        <v>380</v>
      </c>
      <c r="T537">
        <v>3</v>
      </c>
      <c r="U537" t="s">
        <v>419</v>
      </c>
      <c r="V537" t="s">
        <v>381</v>
      </c>
      <c r="W537" t="s">
        <v>420</v>
      </c>
      <c r="X537" t="s">
        <v>306</v>
      </c>
      <c r="Y537" t="s">
        <v>307</v>
      </c>
      <c r="Z537">
        <v>65</v>
      </c>
      <c r="AA537">
        <v>98</v>
      </c>
      <c r="AB537" t="s">
        <v>143</v>
      </c>
      <c r="AC537" t="s">
        <v>38</v>
      </c>
      <c r="AD537" t="s">
        <v>310</v>
      </c>
      <c r="AE537" t="str">
        <f>IF(AF537="","",VLOOKUP(AC537,mapel!$A$2:$B$42,2,FALSE))</f>
        <v>Biologi</v>
      </c>
      <c r="AF537">
        <f t="shared" si="24"/>
        <v>98</v>
      </c>
      <c r="AG537" t="str">
        <f>IF(AF537="","",IF(AF537&gt;90,"Sangat baik",IF(AF537&gt;79,"Baik",IF(AF537&gt;=pub_gid_0_single_true_output_csv[[#This Row],[KKM]],"Cukup","Kurang"))))</f>
        <v>Sangat baik</v>
      </c>
      <c r="AH537">
        <f t="shared" si="25"/>
        <v>11</v>
      </c>
      <c r="AI537" s="30" t="str">
        <f>IF(OR(J537&lt;&gt;"Karakter",pub_gid_0_single_true_output_csv[[#This Row],[Nilai2]]=""),"",IF(AF537&gt;89,"Sangat baik",IF(AF537&gt;79,"Baik",IF(AF537&gt;69,"Cukup",IF(AF537&gt;59,"Kurang","Sangat kurang")))))</f>
        <v/>
      </c>
      <c r="AJ537" t="str">
        <f t="shared" si="26"/>
        <v>Wk.4</v>
      </c>
      <c r="AK537" t="str">
        <f>IF(pub_gid_0_single_true_output_csv[[#This Row],[Nilai2]]="","",VLOOKUP(pub_gid_0_single_true_output_csv[[#This Row],[NAMA]],Table7[],3,FALSE))</f>
        <v>High average</v>
      </c>
    </row>
    <row r="538" spans="1:37" x14ac:dyDescent="0.2">
      <c r="A538">
        <v>537</v>
      </c>
      <c r="B538" t="s">
        <v>287</v>
      </c>
      <c r="C538" t="s">
        <v>54</v>
      </c>
      <c r="D538" t="s">
        <v>34</v>
      </c>
      <c r="E538" t="s">
        <v>140</v>
      </c>
      <c r="F538" s="25">
        <v>46041</v>
      </c>
      <c r="G538" t="s">
        <v>370</v>
      </c>
      <c r="H538" t="s">
        <v>405</v>
      </c>
      <c r="I538" t="s">
        <v>371</v>
      </c>
      <c r="J538" t="s">
        <v>36</v>
      </c>
      <c r="K538" t="s">
        <v>37</v>
      </c>
      <c r="L538" t="s">
        <v>150</v>
      </c>
      <c r="M538" t="s">
        <v>141</v>
      </c>
      <c r="N538" t="s">
        <v>142</v>
      </c>
      <c r="O538" t="s">
        <v>155</v>
      </c>
      <c r="P538" t="s">
        <v>281</v>
      </c>
      <c r="Q538" t="s">
        <v>155</v>
      </c>
      <c r="R538" t="s">
        <v>273</v>
      </c>
      <c r="S538" t="s">
        <v>380</v>
      </c>
      <c r="T538">
        <v>3</v>
      </c>
      <c r="U538" t="s">
        <v>419</v>
      </c>
      <c r="V538" t="s">
        <v>381</v>
      </c>
      <c r="W538" t="s">
        <v>420</v>
      </c>
      <c r="X538" t="s">
        <v>306</v>
      </c>
      <c r="Y538" t="s">
        <v>307</v>
      </c>
      <c r="Z538">
        <v>65</v>
      </c>
      <c r="AA538">
        <v>82</v>
      </c>
      <c r="AB538" t="s">
        <v>143</v>
      </c>
      <c r="AC538" t="s">
        <v>38</v>
      </c>
      <c r="AD538" t="s">
        <v>310</v>
      </c>
      <c r="AE538" t="str">
        <f>IF(AF538="","",VLOOKUP(AC538,mapel!$A$2:$B$42,2,FALSE))</f>
        <v>Biologi</v>
      </c>
      <c r="AF538">
        <f t="shared" si="24"/>
        <v>82</v>
      </c>
      <c r="AG538" t="str">
        <f>IF(AF538="","",IF(AF538&gt;90,"Sangat baik",IF(AF538&gt;79,"Baik",IF(AF538&gt;=pub_gid_0_single_true_output_csv[[#This Row],[KKM]],"Cukup","Kurang"))))</f>
        <v>Baik</v>
      </c>
      <c r="AH538">
        <f t="shared" si="25"/>
        <v>11</v>
      </c>
      <c r="AI538" s="30" t="str">
        <f>IF(OR(J538&lt;&gt;"Karakter",pub_gid_0_single_true_output_csv[[#This Row],[Nilai2]]=""),"",IF(AF538&gt;89,"Sangat baik",IF(AF538&gt;79,"Baik",IF(AF538&gt;69,"Cukup",IF(AF538&gt;59,"Kurang","Sangat kurang")))))</f>
        <v/>
      </c>
      <c r="AJ538" t="str">
        <f t="shared" si="26"/>
        <v>Wk.4</v>
      </c>
      <c r="AK538" t="str">
        <f>IF(pub_gid_0_single_true_output_csv[[#This Row],[Nilai2]]="","",VLOOKUP(pub_gid_0_single_true_output_csv[[#This Row],[NAMA]],Table7[],3,FALSE))</f>
        <v>Average</v>
      </c>
    </row>
    <row r="539" spans="1:37" x14ac:dyDescent="0.2">
      <c r="A539">
        <v>538</v>
      </c>
      <c r="B539" t="s">
        <v>288</v>
      </c>
      <c r="C539" t="s">
        <v>54</v>
      </c>
      <c r="D539" t="s">
        <v>35</v>
      </c>
      <c r="E539" t="s">
        <v>140</v>
      </c>
      <c r="F539" s="25">
        <v>46041</v>
      </c>
      <c r="G539" t="s">
        <v>370</v>
      </c>
      <c r="H539" t="s">
        <v>405</v>
      </c>
      <c r="I539" t="s">
        <v>371</v>
      </c>
      <c r="J539" t="s">
        <v>36</v>
      </c>
      <c r="K539" t="s">
        <v>37</v>
      </c>
      <c r="L539" t="s">
        <v>150</v>
      </c>
      <c r="M539" t="s">
        <v>141</v>
      </c>
      <c r="N539" t="s">
        <v>142</v>
      </c>
      <c r="O539" t="s">
        <v>155</v>
      </c>
      <c r="P539" t="s">
        <v>281</v>
      </c>
      <c r="Q539" t="s">
        <v>155</v>
      </c>
      <c r="R539" t="s">
        <v>273</v>
      </c>
      <c r="S539" t="s">
        <v>380</v>
      </c>
      <c r="T539">
        <v>3</v>
      </c>
      <c r="U539" t="s">
        <v>419</v>
      </c>
      <c r="V539" t="s">
        <v>381</v>
      </c>
      <c r="W539" t="s">
        <v>420</v>
      </c>
      <c r="X539" t="s">
        <v>306</v>
      </c>
      <c r="Y539" t="s">
        <v>307</v>
      </c>
      <c r="Z539">
        <v>65</v>
      </c>
      <c r="AA539">
        <v>40</v>
      </c>
      <c r="AB539" t="s">
        <v>151</v>
      </c>
      <c r="AC539" t="s">
        <v>38</v>
      </c>
      <c r="AD539" t="s">
        <v>310</v>
      </c>
      <c r="AE539" t="str">
        <f>IF(AF539="","",VLOOKUP(AC539,mapel!$A$2:$B$42,2,FALSE))</f>
        <v>Biologi</v>
      </c>
      <c r="AF539">
        <f t="shared" si="24"/>
        <v>40</v>
      </c>
      <c r="AG539" t="str">
        <f>IF(AF539="","",IF(AF539&gt;90,"Sangat baik",IF(AF539&gt;79,"Baik",IF(AF539&gt;=pub_gid_0_single_true_output_csv[[#This Row],[KKM]],"Cukup","Kurang"))))</f>
        <v>Kurang</v>
      </c>
      <c r="AH539">
        <f t="shared" si="25"/>
        <v>11</v>
      </c>
      <c r="AI539" s="30" t="str">
        <f>IF(OR(J539&lt;&gt;"Karakter",pub_gid_0_single_true_output_csv[[#This Row],[Nilai2]]=""),"",IF(AF539&gt;89,"Sangat baik",IF(AF539&gt;79,"Baik",IF(AF539&gt;69,"Cukup",IF(AF539&gt;59,"Kurang","Sangat kurang")))))</f>
        <v/>
      </c>
      <c r="AJ539" t="str">
        <f t="shared" si="26"/>
        <v>Wk.4</v>
      </c>
      <c r="AK539" t="str">
        <f>IF(pub_gid_0_single_true_output_csv[[#This Row],[Nilai2]]="","",VLOOKUP(pub_gid_0_single_true_output_csv[[#This Row],[NAMA]],Table7[],3,FALSE))</f>
        <v>Extremely low</v>
      </c>
    </row>
    <row r="540" spans="1:37" x14ac:dyDescent="0.2">
      <c r="A540">
        <v>539</v>
      </c>
      <c r="B540" t="s">
        <v>294</v>
      </c>
      <c r="C540" t="s">
        <v>54</v>
      </c>
      <c r="D540" t="s">
        <v>46</v>
      </c>
      <c r="E540" t="s">
        <v>148</v>
      </c>
      <c r="F540" s="25">
        <v>46041</v>
      </c>
      <c r="G540" t="s">
        <v>370</v>
      </c>
      <c r="H540" t="s">
        <v>405</v>
      </c>
      <c r="I540" t="s">
        <v>371</v>
      </c>
      <c r="J540" t="s">
        <v>36</v>
      </c>
      <c r="K540" t="s">
        <v>37</v>
      </c>
      <c r="L540" t="s">
        <v>150</v>
      </c>
      <c r="M540" t="s">
        <v>141</v>
      </c>
      <c r="N540" t="s">
        <v>142</v>
      </c>
      <c r="O540" t="s">
        <v>155</v>
      </c>
      <c r="P540" t="s">
        <v>281</v>
      </c>
      <c r="Q540" t="s">
        <v>155</v>
      </c>
      <c r="R540" t="s">
        <v>273</v>
      </c>
      <c r="S540" t="s">
        <v>380</v>
      </c>
      <c r="T540">
        <v>3</v>
      </c>
      <c r="U540" t="s">
        <v>419</v>
      </c>
      <c r="V540" t="s">
        <v>381</v>
      </c>
      <c r="W540" t="s">
        <v>420</v>
      </c>
      <c r="X540" t="s">
        <v>306</v>
      </c>
      <c r="Y540" t="s">
        <v>307</v>
      </c>
      <c r="Z540">
        <v>65</v>
      </c>
      <c r="AA540">
        <v>91</v>
      </c>
      <c r="AB540" t="s">
        <v>143</v>
      </c>
      <c r="AC540" t="s">
        <v>38</v>
      </c>
      <c r="AD540" t="s">
        <v>310</v>
      </c>
      <c r="AE540" t="str">
        <f>IF(AF540="","",VLOOKUP(AC540,mapel!$A$2:$B$42,2,FALSE))</f>
        <v>Biologi</v>
      </c>
      <c r="AF540">
        <f t="shared" si="24"/>
        <v>91</v>
      </c>
      <c r="AG540" t="str">
        <f>IF(AF540="","",IF(AF540&gt;90,"Sangat baik",IF(AF540&gt;79,"Baik",IF(AF540&gt;=pub_gid_0_single_true_output_csv[[#This Row],[KKM]],"Cukup","Kurang"))))</f>
        <v>Sangat baik</v>
      </c>
      <c r="AH540">
        <f t="shared" si="25"/>
        <v>11</v>
      </c>
      <c r="AI540" s="30" t="str">
        <f>IF(OR(J540&lt;&gt;"Karakter",pub_gid_0_single_true_output_csv[[#This Row],[Nilai2]]=""),"",IF(AF540&gt;89,"Sangat baik",IF(AF540&gt;79,"Baik",IF(AF540&gt;69,"Cukup",IF(AF540&gt;59,"Kurang","Sangat kurang")))))</f>
        <v/>
      </c>
      <c r="AJ540" t="str">
        <f t="shared" si="26"/>
        <v>Wk.4</v>
      </c>
      <c r="AK540" t="str">
        <f>IF(pub_gid_0_single_true_output_csv[[#This Row],[Nilai2]]="","",VLOOKUP(pub_gid_0_single_true_output_csv[[#This Row],[NAMA]],Table7[],3,FALSE))</f>
        <v>Average</v>
      </c>
    </row>
    <row r="541" spans="1:37" x14ac:dyDescent="0.2">
      <c r="A541">
        <v>540</v>
      </c>
      <c r="B541" t="s">
        <v>295</v>
      </c>
      <c r="C541" t="s">
        <v>54</v>
      </c>
      <c r="D541" t="s">
        <v>47</v>
      </c>
      <c r="E541" t="s">
        <v>148</v>
      </c>
      <c r="F541" s="25">
        <v>46041</v>
      </c>
      <c r="G541" t="s">
        <v>370</v>
      </c>
      <c r="H541" t="s">
        <v>405</v>
      </c>
      <c r="I541" t="s">
        <v>371</v>
      </c>
      <c r="J541" t="s">
        <v>36</v>
      </c>
      <c r="K541" t="s">
        <v>37</v>
      </c>
      <c r="L541" t="s">
        <v>150</v>
      </c>
      <c r="M541" t="s">
        <v>141</v>
      </c>
      <c r="N541" t="s">
        <v>142</v>
      </c>
      <c r="O541" t="s">
        <v>155</v>
      </c>
      <c r="P541" t="s">
        <v>281</v>
      </c>
      <c r="Q541" t="s">
        <v>155</v>
      </c>
      <c r="R541" t="s">
        <v>273</v>
      </c>
      <c r="S541" t="s">
        <v>380</v>
      </c>
      <c r="T541">
        <v>3</v>
      </c>
      <c r="U541" t="s">
        <v>419</v>
      </c>
      <c r="V541" t="s">
        <v>381</v>
      </c>
      <c r="W541" t="s">
        <v>420</v>
      </c>
      <c r="X541" t="s">
        <v>306</v>
      </c>
      <c r="Y541" t="s">
        <v>307</v>
      </c>
      <c r="Z541">
        <v>65</v>
      </c>
      <c r="AA541">
        <v>94</v>
      </c>
      <c r="AB541" t="s">
        <v>143</v>
      </c>
      <c r="AC541" t="s">
        <v>38</v>
      </c>
      <c r="AD541" t="s">
        <v>310</v>
      </c>
      <c r="AE541" t="str">
        <f>IF(AF541="","",VLOOKUP(AC541,mapel!$A$2:$B$42,2,FALSE))</f>
        <v>Biologi</v>
      </c>
      <c r="AF541">
        <f t="shared" si="24"/>
        <v>94</v>
      </c>
      <c r="AG541" t="str">
        <f>IF(AF541="","",IF(AF541&gt;90,"Sangat baik",IF(AF541&gt;79,"Baik",IF(AF541&gt;=pub_gid_0_single_true_output_csv[[#This Row],[KKM]],"Cukup","Kurang"))))</f>
        <v>Sangat baik</v>
      </c>
      <c r="AH541">
        <f t="shared" si="25"/>
        <v>11</v>
      </c>
      <c r="AI541" s="30" t="str">
        <f>IF(OR(J541&lt;&gt;"Karakter",pub_gid_0_single_true_output_csv[[#This Row],[Nilai2]]=""),"",IF(AF541&gt;89,"Sangat baik",IF(AF541&gt;79,"Baik",IF(AF541&gt;69,"Cukup",IF(AF541&gt;59,"Kurang","Sangat kurang")))))</f>
        <v/>
      </c>
      <c r="AJ541" t="str">
        <f t="shared" si="26"/>
        <v>Wk.4</v>
      </c>
      <c r="AK541" t="str">
        <f>IF(pub_gid_0_single_true_output_csv[[#This Row],[Nilai2]]="","",VLOOKUP(pub_gid_0_single_true_output_csv[[#This Row],[NAMA]],Table7[],3,FALSE))</f>
        <v>Low average</v>
      </c>
    </row>
    <row r="542" spans="1:37" x14ac:dyDescent="0.2">
      <c r="A542">
        <v>541</v>
      </c>
      <c r="B542" t="s">
        <v>296</v>
      </c>
      <c r="C542" t="s">
        <v>54</v>
      </c>
      <c r="D542" t="s">
        <v>48</v>
      </c>
      <c r="E542" t="s">
        <v>140</v>
      </c>
      <c r="F542" s="25">
        <v>46041</v>
      </c>
      <c r="G542" t="s">
        <v>370</v>
      </c>
      <c r="H542" t="s">
        <v>405</v>
      </c>
      <c r="I542" t="s">
        <v>371</v>
      </c>
      <c r="J542" t="s">
        <v>36</v>
      </c>
      <c r="K542" t="s">
        <v>37</v>
      </c>
      <c r="L542" t="s">
        <v>150</v>
      </c>
      <c r="M542" t="s">
        <v>141</v>
      </c>
      <c r="N542" t="s">
        <v>142</v>
      </c>
      <c r="O542" t="s">
        <v>155</v>
      </c>
      <c r="P542" t="s">
        <v>281</v>
      </c>
      <c r="Q542" t="s">
        <v>155</v>
      </c>
      <c r="R542" t="s">
        <v>273</v>
      </c>
      <c r="S542" t="s">
        <v>380</v>
      </c>
      <c r="T542">
        <v>3</v>
      </c>
      <c r="U542" t="s">
        <v>419</v>
      </c>
      <c r="V542" t="s">
        <v>381</v>
      </c>
      <c r="W542" t="s">
        <v>420</v>
      </c>
      <c r="X542" t="s">
        <v>306</v>
      </c>
      <c r="Y542" t="s">
        <v>307</v>
      </c>
      <c r="Z542">
        <v>65</v>
      </c>
      <c r="AA542">
        <v>97</v>
      </c>
      <c r="AB542" t="s">
        <v>143</v>
      </c>
      <c r="AC542" t="s">
        <v>38</v>
      </c>
      <c r="AD542" t="s">
        <v>310</v>
      </c>
      <c r="AE542" t="str">
        <f>IF(AF542="","",VLOOKUP(AC542,mapel!$A$2:$B$42,2,FALSE))</f>
        <v>Biologi</v>
      </c>
      <c r="AF542">
        <f t="shared" si="24"/>
        <v>97</v>
      </c>
      <c r="AG542" t="str">
        <f>IF(AF542="","",IF(AF542&gt;90,"Sangat baik",IF(AF542&gt;79,"Baik",IF(AF542&gt;=pub_gid_0_single_true_output_csv[[#This Row],[KKM]],"Cukup","Kurang"))))</f>
        <v>Sangat baik</v>
      </c>
      <c r="AH542">
        <f t="shared" si="25"/>
        <v>11</v>
      </c>
      <c r="AI542" s="30" t="str">
        <f>IF(OR(J542&lt;&gt;"Karakter",pub_gid_0_single_true_output_csv[[#This Row],[Nilai2]]=""),"",IF(AF542&gt;89,"Sangat baik",IF(AF542&gt;79,"Baik",IF(AF542&gt;69,"Cukup",IF(AF542&gt;59,"Kurang","Sangat kurang")))))</f>
        <v/>
      </c>
      <c r="AJ542" t="str">
        <f t="shared" si="26"/>
        <v>Wk.4</v>
      </c>
      <c r="AK542" t="str">
        <f>IF(pub_gid_0_single_true_output_csv[[#This Row],[Nilai2]]="","",VLOOKUP(pub_gid_0_single_true_output_csv[[#This Row],[NAMA]],Table7[],3,FALSE))</f>
        <v>Average</v>
      </c>
    </row>
    <row r="543" spans="1:37" x14ac:dyDescent="0.2">
      <c r="A543">
        <v>542</v>
      </c>
      <c r="B543" t="s">
        <v>289</v>
      </c>
      <c r="C543" t="s">
        <v>54</v>
      </c>
      <c r="D543" t="s">
        <v>39</v>
      </c>
      <c r="E543" t="s">
        <v>140</v>
      </c>
      <c r="F543" s="25">
        <v>46057</v>
      </c>
      <c r="G543" t="s">
        <v>348</v>
      </c>
      <c r="H543" t="s">
        <v>412</v>
      </c>
      <c r="I543" t="s">
        <v>371</v>
      </c>
      <c r="J543" t="s">
        <v>36</v>
      </c>
      <c r="K543" t="s">
        <v>37</v>
      </c>
      <c r="L543" t="s">
        <v>150</v>
      </c>
      <c r="M543" t="s">
        <v>141</v>
      </c>
      <c r="N543" t="s">
        <v>142</v>
      </c>
      <c r="O543" t="s">
        <v>155</v>
      </c>
      <c r="P543" t="s">
        <v>281</v>
      </c>
      <c r="Q543" t="s">
        <v>155</v>
      </c>
      <c r="R543" t="s">
        <v>302</v>
      </c>
      <c r="S543" t="s">
        <v>402</v>
      </c>
      <c r="T543">
        <v>1</v>
      </c>
      <c r="U543" t="s">
        <v>359</v>
      </c>
      <c r="V543" t="s">
        <v>403</v>
      </c>
      <c r="W543" t="s">
        <v>421</v>
      </c>
      <c r="X543" t="s">
        <v>386</v>
      </c>
      <c r="Y543" t="s">
        <v>335</v>
      </c>
      <c r="Z543">
        <v>65</v>
      </c>
      <c r="AA543">
        <v>85</v>
      </c>
      <c r="AB543" t="s">
        <v>143</v>
      </c>
      <c r="AC543" t="s">
        <v>40</v>
      </c>
      <c r="AD543" t="s">
        <v>278</v>
      </c>
      <c r="AE543" t="str">
        <f>IF(AF543="","",VLOOKUP(AC543,mapel!$A$2:$B$42,2,FALSE))</f>
        <v>Fisika</v>
      </c>
      <c r="AF543">
        <f t="shared" si="24"/>
        <v>85</v>
      </c>
      <c r="AG543" t="str">
        <f>IF(AF543="","",IF(AF543&gt;90,"Sangat baik",IF(AF543&gt;79,"Baik",IF(AF543&gt;=pub_gid_0_single_true_output_csv[[#This Row],[KKM]],"Cukup","Kurang"))))</f>
        <v>Baik</v>
      </c>
      <c r="AH543">
        <f t="shared" si="25"/>
        <v>7</v>
      </c>
      <c r="AI543" s="30" t="str">
        <f>IF(OR(J543&lt;&gt;"Karakter",pub_gid_0_single_true_output_csv[[#This Row],[Nilai2]]=""),"",IF(AF543&gt;89,"Sangat baik",IF(AF543&gt;79,"Baik",IF(AF543&gt;69,"Cukup",IF(AF543&gt;59,"Kurang","Sangat kurang")))))</f>
        <v/>
      </c>
      <c r="AJ543" t="str">
        <f t="shared" si="26"/>
        <v>Wk.6</v>
      </c>
      <c r="AK543" t="str">
        <f>IF(pub_gid_0_single_true_output_csv[[#This Row],[Nilai2]]="","",VLOOKUP(pub_gid_0_single_true_output_csv[[#This Row],[NAMA]],Table7[],3,FALSE))</f>
        <v>Average</v>
      </c>
    </row>
    <row r="544" spans="1:37" x14ac:dyDescent="0.2">
      <c r="A544">
        <v>543</v>
      </c>
      <c r="B544" t="s">
        <v>289</v>
      </c>
      <c r="C544" t="s">
        <v>54</v>
      </c>
      <c r="D544" t="s">
        <v>39</v>
      </c>
      <c r="E544" t="s">
        <v>140</v>
      </c>
      <c r="F544" s="25">
        <v>46078</v>
      </c>
      <c r="G544" t="s">
        <v>284</v>
      </c>
      <c r="H544" t="s">
        <v>412</v>
      </c>
      <c r="I544" t="s">
        <v>371</v>
      </c>
      <c r="J544" t="s">
        <v>36</v>
      </c>
      <c r="K544" t="s">
        <v>37</v>
      </c>
      <c r="L544" t="s">
        <v>321</v>
      </c>
      <c r="M544" t="s">
        <v>141</v>
      </c>
      <c r="N544" t="s">
        <v>142</v>
      </c>
      <c r="O544" t="s">
        <v>155</v>
      </c>
      <c r="P544" t="s">
        <v>281</v>
      </c>
      <c r="Q544" t="s">
        <v>155</v>
      </c>
      <c r="R544" t="s">
        <v>302</v>
      </c>
      <c r="S544" t="s">
        <v>487</v>
      </c>
      <c r="T544">
        <v>1</v>
      </c>
      <c r="U544" t="s">
        <v>359</v>
      </c>
      <c r="V544" t="s">
        <v>488</v>
      </c>
      <c r="W544" t="s">
        <v>489</v>
      </c>
      <c r="X544" t="s">
        <v>490</v>
      </c>
      <c r="Y544" t="s">
        <v>491</v>
      </c>
      <c r="Z544">
        <v>65</v>
      </c>
      <c r="AA544">
        <v>91</v>
      </c>
      <c r="AB544" t="s">
        <v>143</v>
      </c>
      <c r="AC544" t="s">
        <v>40</v>
      </c>
      <c r="AD544" t="s">
        <v>278</v>
      </c>
      <c r="AE544" t="str">
        <f>IF(AF544="","",VLOOKUP(AC544,mapel!$A$2:$B$42,2,FALSE))</f>
        <v>Fisika</v>
      </c>
      <c r="AF544">
        <f t="shared" si="24"/>
        <v>91</v>
      </c>
      <c r="AG544" t="str">
        <f>IF(AF544="","",IF(AF544&gt;90,"Sangat baik",IF(AF544&gt;79,"Baik",IF(AF544&gt;=pub_gid_0_single_true_output_csv[[#This Row],[KKM]],"Cukup","Kurang"))))</f>
        <v>Sangat baik</v>
      </c>
      <c r="AH544">
        <f t="shared" si="25"/>
        <v>10</v>
      </c>
      <c r="AI544" s="30" t="str">
        <f>IF(OR(J544&lt;&gt;"Karakter",pub_gid_0_single_true_output_csv[[#This Row],[Nilai2]]=""),"",IF(AF544&gt;89,"Sangat baik",IF(AF544&gt;79,"Baik",IF(AF544&gt;69,"Cukup",IF(AF544&gt;59,"Kurang","Sangat kurang")))))</f>
        <v/>
      </c>
      <c r="AJ544" t="str">
        <f t="shared" si="26"/>
        <v>Wk.9</v>
      </c>
      <c r="AK544" t="str">
        <f>IF(pub_gid_0_single_true_output_csv[[#This Row],[Nilai2]]="","",VLOOKUP(pub_gid_0_single_true_output_csv[[#This Row],[NAMA]],Table7[],3,FALSE))</f>
        <v>Average</v>
      </c>
    </row>
    <row r="545" spans="1:37" x14ac:dyDescent="0.2">
      <c r="A545">
        <v>544</v>
      </c>
      <c r="B545" t="s">
        <v>290</v>
      </c>
      <c r="C545" t="s">
        <v>54</v>
      </c>
      <c r="D545" t="s">
        <v>42</v>
      </c>
      <c r="E545" t="s">
        <v>140</v>
      </c>
      <c r="F545" s="25">
        <v>46057</v>
      </c>
      <c r="G545" t="s">
        <v>348</v>
      </c>
      <c r="H545" t="s">
        <v>412</v>
      </c>
      <c r="I545" t="s">
        <v>371</v>
      </c>
      <c r="J545" t="s">
        <v>36</v>
      </c>
      <c r="K545" t="s">
        <v>37</v>
      </c>
      <c r="L545" t="s">
        <v>150</v>
      </c>
      <c r="M545" t="s">
        <v>141</v>
      </c>
      <c r="N545" t="s">
        <v>142</v>
      </c>
      <c r="O545" t="s">
        <v>155</v>
      </c>
      <c r="P545" t="s">
        <v>281</v>
      </c>
      <c r="Q545" t="s">
        <v>155</v>
      </c>
      <c r="R545" t="s">
        <v>302</v>
      </c>
      <c r="S545" t="s">
        <v>402</v>
      </c>
      <c r="T545">
        <v>1</v>
      </c>
      <c r="U545" t="s">
        <v>359</v>
      </c>
      <c r="V545" t="s">
        <v>403</v>
      </c>
      <c r="W545" t="s">
        <v>421</v>
      </c>
      <c r="X545" t="s">
        <v>386</v>
      </c>
      <c r="Y545" t="s">
        <v>335</v>
      </c>
      <c r="Z545">
        <v>65</v>
      </c>
      <c r="AA545">
        <v>65</v>
      </c>
      <c r="AB545" t="s">
        <v>143</v>
      </c>
      <c r="AC545" t="s">
        <v>40</v>
      </c>
      <c r="AD545" t="s">
        <v>278</v>
      </c>
      <c r="AE545" t="str">
        <f>IF(AF545="","",VLOOKUP(AC545,mapel!$A$2:$B$42,2,FALSE))</f>
        <v>Fisika</v>
      </c>
      <c r="AF545">
        <f t="shared" si="24"/>
        <v>65</v>
      </c>
      <c r="AG545" t="str">
        <f>IF(AF545="","",IF(AF545&gt;90,"Sangat baik",IF(AF545&gt;79,"Baik",IF(AF545&gt;=pub_gid_0_single_true_output_csv[[#This Row],[KKM]],"Cukup","Kurang"))))</f>
        <v>Cukup</v>
      </c>
      <c r="AH545">
        <f t="shared" si="25"/>
        <v>7</v>
      </c>
      <c r="AI545" s="30" t="str">
        <f>IF(OR(J545&lt;&gt;"Karakter",pub_gid_0_single_true_output_csv[[#This Row],[Nilai2]]=""),"",IF(AF545&gt;89,"Sangat baik",IF(AF545&gt;79,"Baik",IF(AF545&gt;69,"Cukup",IF(AF545&gt;59,"Kurang","Sangat kurang")))))</f>
        <v/>
      </c>
      <c r="AJ545" t="str">
        <f t="shared" si="26"/>
        <v>Wk.6</v>
      </c>
      <c r="AK545" t="str">
        <f>IF(pub_gid_0_single_true_output_csv[[#This Row],[Nilai2]]="","",VLOOKUP(pub_gid_0_single_true_output_csv[[#This Row],[NAMA]],Table7[],3,FALSE))</f>
        <v>Superior</v>
      </c>
    </row>
    <row r="546" spans="1:37" x14ac:dyDescent="0.2">
      <c r="A546">
        <v>545</v>
      </c>
      <c r="B546" t="s">
        <v>290</v>
      </c>
      <c r="C546" t="s">
        <v>54</v>
      </c>
      <c r="D546" t="s">
        <v>42</v>
      </c>
      <c r="E546" t="s">
        <v>140</v>
      </c>
      <c r="F546" s="25">
        <v>46078</v>
      </c>
      <c r="G546" t="s">
        <v>284</v>
      </c>
      <c r="H546" t="s">
        <v>412</v>
      </c>
      <c r="I546" t="s">
        <v>371</v>
      </c>
      <c r="J546" t="s">
        <v>36</v>
      </c>
      <c r="K546" t="s">
        <v>37</v>
      </c>
      <c r="L546" t="s">
        <v>321</v>
      </c>
      <c r="M546" t="s">
        <v>141</v>
      </c>
      <c r="N546" t="s">
        <v>142</v>
      </c>
      <c r="O546" t="s">
        <v>155</v>
      </c>
      <c r="P546" t="s">
        <v>281</v>
      </c>
      <c r="Q546" t="s">
        <v>155</v>
      </c>
      <c r="R546" t="s">
        <v>302</v>
      </c>
      <c r="S546" t="s">
        <v>487</v>
      </c>
      <c r="T546">
        <v>1</v>
      </c>
      <c r="U546" t="s">
        <v>359</v>
      </c>
      <c r="V546" t="s">
        <v>488</v>
      </c>
      <c r="W546" t="s">
        <v>489</v>
      </c>
      <c r="X546" t="s">
        <v>490</v>
      </c>
      <c r="Y546" t="s">
        <v>491</v>
      </c>
      <c r="Z546">
        <v>65</v>
      </c>
      <c r="AA546">
        <v>0</v>
      </c>
      <c r="AB546" t="s">
        <v>151</v>
      </c>
      <c r="AC546" t="s">
        <v>40</v>
      </c>
      <c r="AD546" t="s">
        <v>278</v>
      </c>
      <c r="AE546" t="str">
        <f>IF(AF546="","",VLOOKUP(AC546,mapel!$A$2:$B$42,2,FALSE))</f>
        <v/>
      </c>
      <c r="AF546" t="str">
        <f t="shared" si="24"/>
        <v/>
      </c>
      <c r="AG546" t="str">
        <f>IF(AF546="","",IF(AF546&gt;90,"Sangat baik",IF(AF546&gt;79,"Baik",IF(AF546&gt;=pub_gid_0_single_true_output_csv[[#This Row],[KKM]],"Cukup","Kurang"))))</f>
        <v/>
      </c>
      <c r="AH546" t="str">
        <f t="shared" si="25"/>
        <v/>
      </c>
      <c r="AI546" s="30" t="str">
        <f>IF(OR(J546&lt;&gt;"Karakter",pub_gid_0_single_true_output_csv[[#This Row],[Nilai2]]=""),"",IF(AF546&gt;89,"Sangat baik",IF(AF546&gt;79,"Baik",IF(AF546&gt;69,"Cukup",IF(AF546&gt;59,"Kurang","Sangat kurang")))))</f>
        <v/>
      </c>
      <c r="AJ546" t="str">
        <f t="shared" si="26"/>
        <v/>
      </c>
      <c r="AK546" t="str">
        <f>IF(pub_gid_0_single_true_output_csv[[#This Row],[Nilai2]]="","",VLOOKUP(pub_gid_0_single_true_output_csv[[#This Row],[NAMA]],Table7[],3,FALSE))</f>
        <v/>
      </c>
    </row>
    <row r="547" spans="1:37" x14ac:dyDescent="0.2">
      <c r="A547">
        <v>546</v>
      </c>
      <c r="B547" t="s">
        <v>291</v>
      </c>
      <c r="C547" t="s">
        <v>54</v>
      </c>
      <c r="D547" t="s">
        <v>43</v>
      </c>
      <c r="E547" t="s">
        <v>146</v>
      </c>
      <c r="F547" s="25">
        <v>46057</v>
      </c>
      <c r="G547" t="s">
        <v>348</v>
      </c>
      <c r="H547" t="s">
        <v>412</v>
      </c>
      <c r="I547" t="s">
        <v>371</v>
      </c>
      <c r="J547" t="s">
        <v>36</v>
      </c>
      <c r="K547" t="s">
        <v>37</v>
      </c>
      <c r="L547" t="s">
        <v>150</v>
      </c>
      <c r="M547" t="s">
        <v>141</v>
      </c>
      <c r="N547" t="s">
        <v>142</v>
      </c>
      <c r="O547" t="s">
        <v>155</v>
      </c>
      <c r="P547" t="s">
        <v>281</v>
      </c>
      <c r="Q547" t="s">
        <v>155</v>
      </c>
      <c r="R547" t="s">
        <v>302</v>
      </c>
      <c r="S547" t="s">
        <v>402</v>
      </c>
      <c r="T547">
        <v>1</v>
      </c>
      <c r="U547" t="s">
        <v>359</v>
      </c>
      <c r="V547" t="s">
        <v>403</v>
      </c>
      <c r="W547" t="s">
        <v>421</v>
      </c>
      <c r="X547" t="s">
        <v>386</v>
      </c>
      <c r="Y547" t="s">
        <v>335</v>
      </c>
      <c r="Z547">
        <v>65</v>
      </c>
      <c r="AA547">
        <v>99</v>
      </c>
      <c r="AB547" t="s">
        <v>143</v>
      </c>
      <c r="AC547" t="s">
        <v>40</v>
      </c>
      <c r="AD547" t="s">
        <v>278</v>
      </c>
      <c r="AE547" t="str">
        <f>IF(AF547="","",VLOOKUP(AC547,mapel!$A$2:$B$42,2,FALSE))</f>
        <v>Fisika</v>
      </c>
      <c r="AF547">
        <f t="shared" si="24"/>
        <v>99</v>
      </c>
      <c r="AG547" t="str">
        <f>IF(AF547="","",IF(AF547&gt;90,"Sangat baik",IF(AF547&gt;79,"Baik",IF(AF547&gt;=pub_gid_0_single_true_output_csv[[#This Row],[KKM]],"Cukup","Kurang"))))</f>
        <v>Sangat baik</v>
      </c>
      <c r="AH547">
        <f t="shared" si="25"/>
        <v>7</v>
      </c>
      <c r="AI547" s="30" t="str">
        <f>IF(OR(J547&lt;&gt;"Karakter",pub_gid_0_single_true_output_csv[[#This Row],[Nilai2]]=""),"",IF(AF547&gt;89,"Sangat baik",IF(AF547&gt;79,"Baik",IF(AF547&gt;69,"Cukup",IF(AF547&gt;59,"Kurang","Sangat kurang")))))</f>
        <v/>
      </c>
      <c r="AJ547" t="str">
        <f t="shared" si="26"/>
        <v>Wk.6</v>
      </c>
      <c r="AK547" t="str">
        <f>IF(pub_gid_0_single_true_output_csv[[#This Row],[Nilai2]]="","",VLOOKUP(pub_gid_0_single_true_output_csv[[#This Row],[NAMA]],Table7[],3,FALSE))</f>
        <v>High average</v>
      </c>
    </row>
    <row r="548" spans="1:37" x14ac:dyDescent="0.2">
      <c r="A548">
        <v>547</v>
      </c>
      <c r="B548" t="s">
        <v>291</v>
      </c>
      <c r="C548" t="s">
        <v>54</v>
      </c>
      <c r="D548" t="s">
        <v>43</v>
      </c>
      <c r="E548" t="s">
        <v>146</v>
      </c>
      <c r="F548" s="25">
        <v>46078</v>
      </c>
      <c r="G548" t="s">
        <v>284</v>
      </c>
      <c r="H548" t="s">
        <v>412</v>
      </c>
      <c r="I548" t="s">
        <v>371</v>
      </c>
      <c r="J548" t="s">
        <v>36</v>
      </c>
      <c r="K548" t="s">
        <v>37</v>
      </c>
      <c r="L548" t="s">
        <v>321</v>
      </c>
      <c r="M548" t="s">
        <v>141</v>
      </c>
      <c r="N548" t="s">
        <v>142</v>
      </c>
      <c r="O548" t="s">
        <v>155</v>
      </c>
      <c r="P548" t="s">
        <v>281</v>
      </c>
      <c r="Q548" t="s">
        <v>155</v>
      </c>
      <c r="R548" t="s">
        <v>302</v>
      </c>
      <c r="S548" t="s">
        <v>487</v>
      </c>
      <c r="T548">
        <v>1</v>
      </c>
      <c r="U548" t="s">
        <v>359</v>
      </c>
      <c r="V548" t="s">
        <v>488</v>
      </c>
      <c r="W548" t="s">
        <v>489</v>
      </c>
      <c r="X548" t="s">
        <v>490</v>
      </c>
      <c r="Y548" t="s">
        <v>491</v>
      </c>
      <c r="Z548">
        <v>65</v>
      </c>
      <c r="AA548">
        <v>80</v>
      </c>
      <c r="AB548" t="s">
        <v>143</v>
      </c>
      <c r="AC548" t="s">
        <v>40</v>
      </c>
      <c r="AD548" t="s">
        <v>278</v>
      </c>
      <c r="AE548" t="str">
        <f>IF(AF548="","",VLOOKUP(AC548,mapel!$A$2:$B$42,2,FALSE))</f>
        <v>Fisika</v>
      </c>
      <c r="AF548">
        <f t="shared" si="24"/>
        <v>80</v>
      </c>
      <c r="AG548" t="str">
        <f>IF(AF548="","",IF(AF548&gt;90,"Sangat baik",IF(AF548&gt;79,"Baik",IF(AF548&gt;=pub_gid_0_single_true_output_csv[[#This Row],[KKM]],"Cukup","Kurang"))))</f>
        <v>Baik</v>
      </c>
      <c r="AH548">
        <f t="shared" si="25"/>
        <v>10</v>
      </c>
      <c r="AI548" s="30" t="str">
        <f>IF(OR(J548&lt;&gt;"Karakter",pub_gid_0_single_true_output_csv[[#This Row],[Nilai2]]=""),"",IF(AF548&gt;89,"Sangat baik",IF(AF548&gt;79,"Baik",IF(AF548&gt;69,"Cukup",IF(AF548&gt;59,"Kurang","Sangat kurang")))))</f>
        <v/>
      </c>
      <c r="AJ548" t="str">
        <f t="shared" si="26"/>
        <v>Wk.9</v>
      </c>
      <c r="AK548" t="str">
        <f>IF(pub_gid_0_single_true_output_csv[[#This Row],[Nilai2]]="","",VLOOKUP(pub_gid_0_single_true_output_csv[[#This Row],[NAMA]],Table7[],3,FALSE))</f>
        <v>High average</v>
      </c>
    </row>
    <row r="549" spans="1:37" x14ac:dyDescent="0.2">
      <c r="A549">
        <v>548</v>
      </c>
      <c r="B549" t="s">
        <v>282</v>
      </c>
      <c r="C549" t="s">
        <v>54</v>
      </c>
      <c r="D549" t="s">
        <v>283</v>
      </c>
      <c r="E549" t="s">
        <v>140</v>
      </c>
      <c r="F549" s="25">
        <v>46057</v>
      </c>
      <c r="G549" t="s">
        <v>348</v>
      </c>
      <c r="H549" t="s">
        <v>412</v>
      </c>
      <c r="I549" t="s">
        <v>371</v>
      </c>
      <c r="J549" t="s">
        <v>36</v>
      </c>
      <c r="K549" t="s">
        <v>37</v>
      </c>
      <c r="L549" t="s">
        <v>150</v>
      </c>
      <c r="M549" t="s">
        <v>141</v>
      </c>
      <c r="N549" t="s">
        <v>142</v>
      </c>
      <c r="O549" t="s">
        <v>155</v>
      </c>
      <c r="P549" t="s">
        <v>281</v>
      </c>
      <c r="Q549" t="s">
        <v>155</v>
      </c>
      <c r="R549" t="s">
        <v>302</v>
      </c>
      <c r="S549" t="s">
        <v>402</v>
      </c>
      <c r="T549">
        <v>1</v>
      </c>
      <c r="U549" t="s">
        <v>359</v>
      </c>
      <c r="V549" t="s">
        <v>403</v>
      </c>
      <c r="W549" t="s">
        <v>421</v>
      </c>
      <c r="X549" t="s">
        <v>386</v>
      </c>
      <c r="Y549" t="s">
        <v>335</v>
      </c>
      <c r="Z549">
        <v>65</v>
      </c>
      <c r="AA549">
        <v>0</v>
      </c>
      <c r="AB549" t="s">
        <v>151</v>
      </c>
      <c r="AC549" t="s">
        <v>40</v>
      </c>
      <c r="AD549" t="s">
        <v>278</v>
      </c>
      <c r="AE549" t="str">
        <f>IF(AF549="","",VLOOKUP(AC549,mapel!$A$2:$B$42,2,FALSE))</f>
        <v/>
      </c>
      <c r="AF549" t="str">
        <f t="shared" si="24"/>
        <v/>
      </c>
      <c r="AG549" t="str">
        <f>IF(AF549="","",IF(AF549&gt;90,"Sangat baik",IF(AF549&gt;79,"Baik",IF(AF549&gt;=pub_gid_0_single_true_output_csv[[#This Row],[KKM]],"Cukup","Kurang"))))</f>
        <v/>
      </c>
      <c r="AH549" t="str">
        <f t="shared" si="25"/>
        <v/>
      </c>
      <c r="AI549" s="30" t="str">
        <f>IF(OR(J549&lt;&gt;"Karakter",pub_gid_0_single_true_output_csv[[#This Row],[Nilai2]]=""),"",IF(AF549&gt;89,"Sangat baik",IF(AF549&gt;79,"Baik",IF(AF549&gt;69,"Cukup",IF(AF549&gt;59,"Kurang","Sangat kurang")))))</f>
        <v/>
      </c>
      <c r="AJ549" t="str">
        <f t="shared" si="26"/>
        <v/>
      </c>
      <c r="AK549" t="str">
        <f>IF(pub_gid_0_single_true_output_csv[[#This Row],[Nilai2]]="","",VLOOKUP(pub_gid_0_single_true_output_csv[[#This Row],[NAMA]],Table7[],3,FALSE))</f>
        <v/>
      </c>
    </row>
    <row r="550" spans="1:37" x14ac:dyDescent="0.2">
      <c r="A550">
        <v>549</v>
      </c>
      <c r="B550" t="s">
        <v>282</v>
      </c>
      <c r="C550" t="s">
        <v>54</v>
      </c>
      <c r="D550" t="s">
        <v>283</v>
      </c>
      <c r="E550" t="s">
        <v>140</v>
      </c>
      <c r="F550" s="25">
        <v>46078</v>
      </c>
      <c r="G550" t="s">
        <v>284</v>
      </c>
      <c r="H550" t="s">
        <v>412</v>
      </c>
      <c r="I550" t="s">
        <v>371</v>
      </c>
      <c r="J550" t="s">
        <v>36</v>
      </c>
      <c r="K550" t="s">
        <v>37</v>
      </c>
      <c r="L550" t="s">
        <v>321</v>
      </c>
      <c r="M550" t="s">
        <v>141</v>
      </c>
      <c r="N550" t="s">
        <v>142</v>
      </c>
      <c r="O550" t="s">
        <v>155</v>
      </c>
      <c r="P550" t="s">
        <v>281</v>
      </c>
      <c r="Q550" t="s">
        <v>155</v>
      </c>
      <c r="R550" t="s">
        <v>302</v>
      </c>
      <c r="S550" t="s">
        <v>487</v>
      </c>
      <c r="T550">
        <v>1</v>
      </c>
      <c r="U550" t="s">
        <v>359</v>
      </c>
      <c r="V550" t="s">
        <v>488</v>
      </c>
      <c r="W550" t="s">
        <v>489</v>
      </c>
      <c r="X550" t="s">
        <v>490</v>
      </c>
      <c r="Y550" t="s">
        <v>491</v>
      </c>
      <c r="Z550">
        <v>65</v>
      </c>
      <c r="AA550">
        <v>0</v>
      </c>
      <c r="AB550" t="s">
        <v>151</v>
      </c>
      <c r="AC550" t="s">
        <v>40</v>
      </c>
      <c r="AD550" t="s">
        <v>278</v>
      </c>
      <c r="AE550" t="str">
        <f>IF(AF550="","",VLOOKUP(AC550,mapel!$A$2:$B$42,2,FALSE))</f>
        <v/>
      </c>
      <c r="AF550" t="str">
        <f t="shared" si="24"/>
        <v/>
      </c>
      <c r="AG550" t="str">
        <f>IF(AF550="","",IF(AF550&gt;90,"Sangat baik",IF(AF550&gt;79,"Baik",IF(AF550&gt;=pub_gid_0_single_true_output_csv[[#This Row],[KKM]],"Cukup","Kurang"))))</f>
        <v/>
      </c>
      <c r="AH550" t="str">
        <f t="shared" si="25"/>
        <v/>
      </c>
      <c r="AI550" s="30" t="str">
        <f>IF(OR(J550&lt;&gt;"Karakter",pub_gid_0_single_true_output_csv[[#This Row],[Nilai2]]=""),"",IF(AF550&gt;89,"Sangat baik",IF(AF550&gt;79,"Baik",IF(AF550&gt;69,"Cukup",IF(AF550&gt;59,"Kurang","Sangat kurang")))))</f>
        <v/>
      </c>
      <c r="AJ550" t="str">
        <f t="shared" si="26"/>
        <v/>
      </c>
      <c r="AK550" t="str">
        <f>IF(pub_gid_0_single_true_output_csv[[#This Row],[Nilai2]]="","",VLOOKUP(pub_gid_0_single_true_output_csv[[#This Row],[NAMA]],Table7[],3,FALSE))</f>
        <v/>
      </c>
    </row>
    <row r="551" spans="1:37" x14ac:dyDescent="0.2">
      <c r="A551">
        <v>550</v>
      </c>
      <c r="B551" t="s">
        <v>292</v>
      </c>
      <c r="C551" t="s">
        <v>54</v>
      </c>
      <c r="D551" t="s">
        <v>94</v>
      </c>
      <c r="E551" t="s">
        <v>147</v>
      </c>
      <c r="F551" s="25">
        <v>46057</v>
      </c>
      <c r="G551" t="s">
        <v>348</v>
      </c>
      <c r="H551" t="s">
        <v>412</v>
      </c>
      <c r="I551" t="s">
        <v>371</v>
      </c>
      <c r="J551" t="s">
        <v>36</v>
      </c>
      <c r="K551" t="s">
        <v>37</v>
      </c>
      <c r="L551" t="s">
        <v>150</v>
      </c>
      <c r="M551" t="s">
        <v>141</v>
      </c>
      <c r="N551" t="s">
        <v>142</v>
      </c>
      <c r="O551" t="s">
        <v>155</v>
      </c>
      <c r="P551" t="s">
        <v>281</v>
      </c>
      <c r="Q551" t="s">
        <v>155</v>
      </c>
      <c r="R551" t="s">
        <v>302</v>
      </c>
      <c r="S551" t="s">
        <v>402</v>
      </c>
      <c r="T551">
        <v>1</v>
      </c>
      <c r="U551" t="s">
        <v>359</v>
      </c>
      <c r="V551" t="s">
        <v>403</v>
      </c>
      <c r="W551" t="s">
        <v>421</v>
      </c>
      <c r="X551" t="s">
        <v>386</v>
      </c>
      <c r="Y551" t="s">
        <v>335</v>
      </c>
      <c r="Z551">
        <v>65</v>
      </c>
      <c r="AA551">
        <v>85</v>
      </c>
      <c r="AB551" t="s">
        <v>143</v>
      </c>
      <c r="AC551" t="s">
        <v>40</v>
      </c>
      <c r="AD551" t="s">
        <v>278</v>
      </c>
      <c r="AE551" t="str">
        <f>IF(AF551="","",VLOOKUP(AC551,mapel!$A$2:$B$42,2,FALSE))</f>
        <v>Fisika</v>
      </c>
      <c r="AF551">
        <f t="shared" si="24"/>
        <v>85</v>
      </c>
      <c r="AG551" t="str">
        <f>IF(AF551="","",IF(AF551&gt;90,"Sangat baik",IF(AF551&gt;79,"Baik",IF(AF551&gt;=pub_gid_0_single_true_output_csv[[#This Row],[KKM]],"Cukup","Kurang"))))</f>
        <v>Baik</v>
      </c>
      <c r="AH551">
        <f t="shared" si="25"/>
        <v>7</v>
      </c>
      <c r="AI551" s="30" t="str">
        <f>IF(OR(J551&lt;&gt;"Karakter",pub_gid_0_single_true_output_csv[[#This Row],[Nilai2]]=""),"",IF(AF551&gt;89,"Sangat baik",IF(AF551&gt;79,"Baik",IF(AF551&gt;69,"Cukup",IF(AF551&gt;59,"Kurang","Sangat kurang")))))</f>
        <v/>
      </c>
      <c r="AJ551" t="str">
        <f t="shared" si="26"/>
        <v>Wk.6</v>
      </c>
      <c r="AK551" t="str">
        <f>IF(pub_gid_0_single_true_output_csv[[#This Row],[Nilai2]]="","",VLOOKUP(pub_gid_0_single_true_output_csv[[#This Row],[NAMA]],Table7[],3,FALSE))</f>
        <v>Average</v>
      </c>
    </row>
    <row r="552" spans="1:37" x14ac:dyDescent="0.2">
      <c r="A552">
        <v>551</v>
      </c>
      <c r="B552" t="s">
        <v>292</v>
      </c>
      <c r="C552" t="s">
        <v>54</v>
      </c>
      <c r="D552" t="s">
        <v>94</v>
      </c>
      <c r="E552" t="s">
        <v>147</v>
      </c>
      <c r="F552" s="25">
        <v>46078</v>
      </c>
      <c r="G552" t="s">
        <v>284</v>
      </c>
      <c r="H552" t="s">
        <v>412</v>
      </c>
      <c r="I552" t="s">
        <v>371</v>
      </c>
      <c r="J552" t="s">
        <v>36</v>
      </c>
      <c r="K552" t="s">
        <v>37</v>
      </c>
      <c r="L552" t="s">
        <v>321</v>
      </c>
      <c r="M552" t="s">
        <v>141</v>
      </c>
      <c r="N552" t="s">
        <v>142</v>
      </c>
      <c r="O552" t="s">
        <v>155</v>
      </c>
      <c r="P552" t="s">
        <v>281</v>
      </c>
      <c r="Q552" t="s">
        <v>155</v>
      </c>
      <c r="R552" t="s">
        <v>302</v>
      </c>
      <c r="S552" t="s">
        <v>487</v>
      </c>
      <c r="T552">
        <v>1</v>
      </c>
      <c r="U552" t="s">
        <v>359</v>
      </c>
      <c r="V552" t="s">
        <v>488</v>
      </c>
      <c r="W552" t="s">
        <v>489</v>
      </c>
      <c r="X552" t="s">
        <v>490</v>
      </c>
      <c r="Y552" t="s">
        <v>491</v>
      </c>
      <c r="Z552">
        <v>65</v>
      </c>
      <c r="AA552">
        <v>85</v>
      </c>
      <c r="AB552" t="s">
        <v>143</v>
      </c>
      <c r="AC552" t="s">
        <v>40</v>
      </c>
      <c r="AD552" t="s">
        <v>278</v>
      </c>
      <c r="AE552" t="str">
        <f>IF(AF552="","",VLOOKUP(AC552,mapel!$A$2:$B$42,2,FALSE))</f>
        <v>Fisika</v>
      </c>
      <c r="AF552">
        <f t="shared" si="24"/>
        <v>85</v>
      </c>
      <c r="AG552" t="str">
        <f>IF(AF552="","",IF(AF552&gt;90,"Sangat baik",IF(AF552&gt;79,"Baik",IF(AF552&gt;=pub_gid_0_single_true_output_csv[[#This Row],[KKM]],"Cukup","Kurang"))))</f>
        <v>Baik</v>
      </c>
      <c r="AH552">
        <f t="shared" si="25"/>
        <v>10</v>
      </c>
      <c r="AI552" s="30" t="str">
        <f>IF(OR(J552&lt;&gt;"Karakter",pub_gid_0_single_true_output_csv[[#This Row],[Nilai2]]=""),"",IF(AF552&gt;89,"Sangat baik",IF(AF552&gt;79,"Baik",IF(AF552&gt;69,"Cukup",IF(AF552&gt;59,"Kurang","Sangat kurang")))))</f>
        <v/>
      </c>
      <c r="AJ552" t="str">
        <f t="shared" si="26"/>
        <v>Wk.9</v>
      </c>
      <c r="AK552" t="str">
        <f>IF(pub_gid_0_single_true_output_csv[[#This Row],[Nilai2]]="","",VLOOKUP(pub_gid_0_single_true_output_csv[[#This Row],[NAMA]],Table7[],3,FALSE))</f>
        <v>Average</v>
      </c>
    </row>
    <row r="553" spans="1:37" x14ac:dyDescent="0.2">
      <c r="A553">
        <v>552</v>
      </c>
      <c r="B553" t="s">
        <v>286</v>
      </c>
      <c r="C553" t="s">
        <v>54</v>
      </c>
      <c r="D553" t="s">
        <v>33</v>
      </c>
      <c r="E553" t="s">
        <v>140</v>
      </c>
      <c r="F553" s="25">
        <v>46057</v>
      </c>
      <c r="G553" t="s">
        <v>348</v>
      </c>
      <c r="H553" t="s">
        <v>412</v>
      </c>
      <c r="I553" t="s">
        <v>371</v>
      </c>
      <c r="J553" t="s">
        <v>36</v>
      </c>
      <c r="K553" t="s">
        <v>37</v>
      </c>
      <c r="L553" t="s">
        <v>150</v>
      </c>
      <c r="M553" t="s">
        <v>141</v>
      </c>
      <c r="N553" t="s">
        <v>142</v>
      </c>
      <c r="O553" t="s">
        <v>155</v>
      </c>
      <c r="P553" t="s">
        <v>281</v>
      </c>
      <c r="Q553" t="s">
        <v>155</v>
      </c>
      <c r="R553" t="s">
        <v>302</v>
      </c>
      <c r="S553" t="s">
        <v>402</v>
      </c>
      <c r="T553">
        <v>1</v>
      </c>
      <c r="U553" t="s">
        <v>359</v>
      </c>
      <c r="V553" t="s">
        <v>403</v>
      </c>
      <c r="W553" t="s">
        <v>421</v>
      </c>
      <c r="X553" t="s">
        <v>386</v>
      </c>
      <c r="Y553" t="s">
        <v>335</v>
      </c>
      <c r="Z553">
        <v>65</v>
      </c>
      <c r="AA553">
        <v>70</v>
      </c>
      <c r="AB553" t="s">
        <v>143</v>
      </c>
      <c r="AC553" t="s">
        <v>40</v>
      </c>
      <c r="AD553" t="s">
        <v>278</v>
      </c>
      <c r="AE553" t="str">
        <f>IF(AF553="","",VLOOKUP(AC553,mapel!$A$2:$B$42,2,FALSE))</f>
        <v>Fisika</v>
      </c>
      <c r="AF553">
        <f t="shared" si="24"/>
        <v>70</v>
      </c>
      <c r="AG553" t="str">
        <f>IF(AF553="","",IF(AF553&gt;90,"Sangat baik",IF(AF553&gt;79,"Baik",IF(AF553&gt;=pub_gid_0_single_true_output_csv[[#This Row],[KKM]],"Cukup","Kurang"))))</f>
        <v>Cukup</v>
      </c>
      <c r="AH553">
        <f t="shared" si="25"/>
        <v>7</v>
      </c>
      <c r="AI553" s="30" t="str">
        <f>IF(OR(J553&lt;&gt;"Karakter",pub_gid_0_single_true_output_csv[[#This Row],[Nilai2]]=""),"",IF(AF553&gt;89,"Sangat baik",IF(AF553&gt;79,"Baik",IF(AF553&gt;69,"Cukup",IF(AF553&gt;59,"Kurang","Sangat kurang")))))</f>
        <v/>
      </c>
      <c r="AJ553" t="str">
        <f t="shared" si="26"/>
        <v>Wk.6</v>
      </c>
      <c r="AK553" t="str">
        <f>IF(pub_gid_0_single_true_output_csv[[#This Row],[Nilai2]]="","",VLOOKUP(pub_gid_0_single_true_output_csv[[#This Row],[NAMA]],Table7[],3,FALSE))</f>
        <v>Extremely low</v>
      </c>
    </row>
    <row r="554" spans="1:37" x14ac:dyDescent="0.2">
      <c r="A554">
        <v>553</v>
      </c>
      <c r="B554" t="s">
        <v>286</v>
      </c>
      <c r="C554" t="s">
        <v>54</v>
      </c>
      <c r="D554" t="s">
        <v>33</v>
      </c>
      <c r="E554" t="s">
        <v>140</v>
      </c>
      <c r="F554" s="25">
        <v>46078</v>
      </c>
      <c r="G554" t="s">
        <v>284</v>
      </c>
      <c r="H554" t="s">
        <v>412</v>
      </c>
      <c r="I554" t="s">
        <v>371</v>
      </c>
      <c r="J554" t="s">
        <v>36</v>
      </c>
      <c r="K554" t="s">
        <v>37</v>
      </c>
      <c r="L554" t="s">
        <v>321</v>
      </c>
      <c r="M554" t="s">
        <v>141</v>
      </c>
      <c r="N554" t="s">
        <v>142</v>
      </c>
      <c r="O554" t="s">
        <v>155</v>
      </c>
      <c r="P554" t="s">
        <v>281</v>
      </c>
      <c r="Q554" t="s">
        <v>155</v>
      </c>
      <c r="R554" t="s">
        <v>302</v>
      </c>
      <c r="S554" t="s">
        <v>487</v>
      </c>
      <c r="T554">
        <v>1</v>
      </c>
      <c r="U554" t="s">
        <v>359</v>
      </c>
      <c r="V554" t="s">
        <v>488</v>
      </c>
      <c r="W554" t="s">
        <v>489</v>
      </c>
      <c r="X554" t="s">
        <v>490</v>
      </c>
      <c r="Y554" t="s">
        <v>491</v>
      </c>
      <c r="Z554">
        <v>65</v>
      </c>
      <c r="AA554">
        <v>62</v>
      </c>
      <c r="AB554" t="s">
        <v>151</v>
      </c>
      <c r="AC554" t="s">
        <v>40</v>
      </c>
      <c r="AD554" t="s">
        <v>278</v>
      </c>
      <c r="AE554" t="str">
        <f>IF(AF554="","",VLOOKUP(AC554,mapel!$A$2:$B$42,2,FALSE))</f>
        <v>Fisika</v>
      </c>
      <c r="AF554">
        <f t="shared" si="24"/>
        <v>62</v>
      </c>
      <c r="AG554" t="str">
        <f>IF(AF554="","",IF(AF554&gt;90,"Sangat baik",IF(AF554&gt;79,"Baik",IF(AF554&gt;=pub_gid_0_single_true_output_csv[[#This Row],[KKM]],"Cukup","Kurang"))))</f>
        <v>Kurang</v>
      </c>
      <c r="AH554">
        <f t="shared" si="25"/>
        <v>10</v>
      </c>
      <c r="AI554" s="30" t="str">
        <f>IF(OR(J554&lt;&gt;"Karakter",pub_gid_0_single_true_output_csv[[#This Row],[Nilai2]]=""),"",IF(AF554&gt;89,"Sangat baik",IF(AF554&gt;79,"Baik",IF(AF554&gt;69,"Cukup",IF(AF554&gt;59,"Kurang","Sangat kurang")))))</f>
        <v/>
      </c>
      <c r="AJ554" t="str">
        <f t="shared" si="26"/>
        <v>Wk.9</v>
      </c>
      <c r="AK554" t="str">
        <f>IF(pub_gid_0_single_true_output_csv[[#This Row],[Nilai2]]="","",VLOOKUP(pub_gid_0_single_true_output_csv[[#This Row],[NAMA]],Table7[],3,FALSE))</f>
        <v>Extremely low</v>
      </c>
    </row>
    <row r="555" spans="1:37" x14ac:dyDescent="0.2">
      <c r="A555">
        <v>554</v>
      </c>
      <c r="B555" t="s">
        <v>293</v>
      </c>
      <c r="C555" t="s">
        <v>54</v>
      </c>
      <c r="D555" t="s">
        <v>45</v>
      </c>
      <c r="E555" t="s">
        <v>147</v>
      </c>
      <c r="F555" s="25">
        <v>46057</v>
      </c>
      <c r="G555" t="s">
        <v>348</v>
      </c>
      <c r="H555" t="s">
        <v>412</v>
      </c>
      <c r="I555" t="s">
        <v>371</v>
      </c>
      <c r="J555" t="s">
        <v>36</v>
      </c>
      <c r="K555" t="s">
        <v>37</v>
      </c>
      <c r="L555" t="s">
        <v>150</v>
      </c>
      <c r="M555" t="s">
        <v>141</v>
      </c>
      <c r="N555" t="s">
        <v>142</v>
      </c>
      <c r="O555" t="s">
        <v>155</v>
      </c>
      <c r="P555" t="s">
        <v>281</v>
      </c>
      <c r="Q555" t="s">
        <v>155</v>
      </c>
      <c r="R555" t="s">
        <v>302</v>
      </c>
      <c r="S555" t="s">
        <v>402</v>
      </c>
      <c r="T555">
        <v>1</v>
      </c>
      <c r="U555" t="s">
        <v>359</v>
      </c>
      <c r="V555" t="s">
        <v>403</v>
      </c>
      <c r="W555" t="s">
        <v>421</v>
      </c>
      <c r="X555" t="s">
        <v>386</v>
      </c>
      <c r="Y555" t="s">
        <v>335</v>
      </c>
      <c r="Z555">
        <v>65</v>
      </c>
      <c r="AA555">
        <v>99</v>
      </c>
      <c r="AB555" t="s">
        <v>143</v>
      </c>
      <c r="AC555" t="s">
        <v>40</v>
      </c>
      <c r="AD555" t="s">
        <v>278</v>
      </c>
      <c r="AE555" t="str">
        <f>IF(AF555="","",VLOOKUP(AC555,mapel!$A$2:$B$42,2,FALSE))</f>
        <v>Fisika</v>
      </c>
      <c r="AF555">
        <f t="shared" si="24"/>
        <v>99</v>
      </c>
      <c r="AG555" t="str">
        <f>IF(AF555="","",IF(AF555&gt;90,"Sangat baik",IF(AF555&gt;79,"Baik",IF(AF555&gt;=pub_gid_0_single_true_output_csv[[#This Row],[KKM]],"Cukup","Kurang"))))</f>
        <v>Sangat baik</v>
      </c>
      <c r="AH555">
        <f t="shared" si="25"/>
        <v>7</v>
      </c>
      <c r="AI555" s="30" t="str">
        <f>IF(OR(J555&lt;&gt;"Karakter",pub_gid_0_single_true_output_csv[[#This Row],[Nilai2]]=""),"",IF(AF555&gt;89,"Sangat baik",IF(AF555&gt;79,"Baik",IF(AF555&gt;69,"Cukup",IF(AF555&gt;59,"Kurang","Sangat kurang")))))</f>
        <v/>
      </c>
      <c r="AJ555" t="str">
        <f t="shared" si="26"/>
        <v>Wk.6</v>
      </c>
      <c r="AK555" t="str">
        <f>IF(pub_gid_0_single_true_output_csv[[#This Row],[Nilai2]]="","",VLOOKUP(pub_gid_0_single_true_output_csv[[#This Row],[NAMA]],Table7[],3,FALSE))</f>
        <v>High average</v>
      </c>
    </row>
    <row r="556" spans="1:37" x14ac:dyDescent="0.2">
      <c r="A556">
        <v>555</v>
      </c>
      <c r="B556" t="s">
        <v>293</v>
      </c>
      <c r="C556" t="s">
        <v>54</v>
      </c>
      <c r="D556" t="s">
        <v>45</v>
      </c>
      <c r="E556" t="s">
        <v>147</v>
      </c>
      <c r="F556" s="25">
        <v>46078</v>
      </c>
      <c r="G556" t="s">
        <v>284</v>
      </c>
      <c r="H556" t="s">
        <v>412</v>
      </c>
      <c r="I556" t="s">
        <v>371</v>
      </c>
      <c r="J556" t="s">
        <v>36</v>
      </c>
      <c r="K556" t="s">
        <v>37</v>
      </c>
      <c r="L556" t="s">
        <v>321</v>
      </c>
      <c r="M556" t="s">
        <v>141</v>
      </c>
      <c r="N556" t="s">
        <v>142</v>
      </c>
      <c r="O556" t="s">
        <v>155</v>
      </c>
      <c r="P556" t="s">
        <v>281</v>
      </c>
      <c r="Q556" t="s">
        <v>155</v>
      </c>
      <c r="R556" t="s">
        <v>302</v>
      </c>
      <c r="S556" t="s">
        <v>487</v>
      </c>
      <c r="T556">
        <v>1</v>
      </c>
      <c r="U556" t="s">
        <v>359</v>
      </c>
      <c r="V556" t="s">
        <v>488</v>
      </c>
      <c r="W556" t="s">
        <v>489</v>
      </c>
      <c r="X556" t="s">
        <v>490</v>
      </c>
      <c r="Y556" t="s">
        <v>491</v>
      </c>
      <c r="Z556">
        <v>65</v>
      </c>
      <c r="AA556">
        <v>77</v>
      </c>
      <c r="AB556" t="s">
        <v>143</v>
      </c>
      <c r="AC556" t="s">
        <v>40</v>
      </c>
      <c r="AD556" t="s">
        <v>278</v>
      </c>
      <c r="AE556" t="str">
        <f>IF(AF556="","",VLOOKUP(AC556,mapel!$A$2:$B$42,2,FALSE))</f>
        <v>Fisika</v>
      </c>
      <c r="AF556">
        <f t="shared" si="24"/>
        <v>77</v>
      </c>
      <c r="AG556" t="str">
        <f>IF(AF556="","",IF(AF556&gt;90,"Sangat baik",IF(AF556&gt;79,"Baik",IF(AF556&gt;=pub_gid_0_single_true_output_csv[[#This Row],[KKM]],"Cukup","Kurang"))))</f>
        <v>Cukup</v>
      </c>
      <c r="AH556">
        <f t="shared" si="25"/>
        <v>10</v>
      </c>
      <c r="AI556" s="30" t="str">
        <f>IF(OR(J556&lt;&gt;"Karakter",pub_gid_0_single_true_output_csv[[#This Row],[Nilai2]]=""),"",IF(AF556&gt;89,"Sangat baik",IF(AF556&gt;79,"Baik",IF(AF556&gt;69,"Cukup",IF(AF556&gt;59,"Kurang","Sangat kurang")))))</f>
        <v/>
      </c>
      <c r="AJ556" t="str">
        <f t="shared" si="26"/>
        <v>Wk.9</v>
      </c>
      <c r="AK556" t="str">
        <f>IF(pub_gid_0_single_true_output_csv[[#This Row],[Nilai2]]="","",VLOOKUP(pub_gid_0_single_true_output_csv[[#This Row],[NAMA]],Table7[],3,FALSE))</f>
        <v>High average</v>
      </c>
    </row>
    <row r="557" spans="1:37" x14ac:dyDescent="0.2">
      <c r="A557">
        <v>556</v>
      </c>
      <c r="B557" t="s">
        <v>287</v>
      </c>
      <c r="C557" t="s">
        <v>54</v>
      </c>
      <c r="D557" t="s">
        <v>34</v>
      </c>
      <c r="E557" t="s">
        <v>140</v>
      </c>
      <c r="F557" s="25">
        <v>46057</v>
      </c>
      <c r="G557" t="s">
        <v>348</v>
      </c>
      <c r="H557" t="s">
        <v>412</v>
      </c>
      <c r="I557" t="s">
        <v>371</v>
      </c>
      <c r="J557" t="s">
        <v>36</v>
      </c>
      <c r="K557" t="s">
        <v>37</v>
      </c>
      <c r="L557" t="s">
        <v>150</v>
      </c>
      <c r="M557" t="s">
        <v>141</v>
      </c>
      <c r="N557" t="s">
        <v>142</v>
      </c>
      <c r="O557" t="s">
        <v>155</v>
      </c>
      <c r="P557" t="s">
        <v>281</v>
      </c>
      <c r="Q557" t="s">
        <v>155</v>
      </c>
      <c r="R557" t="s">
        <v>302</v>
      </c>
      <c r="S557" t="s">
        <v>402</v>
      </c>
      <c r="T557">
        <v>1</v>
      </c>
      <c r="U557" t="s">
        <v>359</v>
      </c>
      <c r="V557" t="s">
        <v>403</v>
      </c>
      <c r="W557" t="s">
        <v>421</v>
      </c>
      <c r="X557" t="s">
        <v>386</v>
      </c>
      <c r="Y557" t="s">
        <v>335</v>
      </c>
      <c r="Z557">
        <v>65</v>
      </c>
      <c r="AA557">
        <v>75</v>
      </c>
      <c r="AB557" t="s">
        <v>143</v>
      </c>
      <c r="AC557" t="s">
        <v>40</v>
      </c>
      <c r="AD557" t="s">
        <v>278</v>
      </c>
      <c r="AE557" t="str">
        <f>IF(AF557="","",VLOOKUP(AC557,mapel!$A$2:$B$42,2,FALSE))</f>
        <v>Fisika</v>
      </c>
      <c r="AF557">
        <f t="shared" si="24"/>
        <v>75</v>
      </c>
      <c r="AG557" t="str">
        <f>IF(AF557="","",IF(AF557&gt;90,"Sangat baik",IF(AF557&gt;79,"Baik",IF(AF557&gt;=pub_gid_0_single_true_output_csv[[#This Row],[KKM]],"Cukup","Kurang"))))</f>
        <v>Cukup</v>
      </c>
      <c r="AH557">
        <f t="shared" si="25"/>
        <v>7</v>
      </c>
      <c r="AI557" s="30" t="str">
        <f>IF(OR(J557&lt;&gt;"Karakter",pub_gid_0_single_true_output_csv[[#This Row],[Nilai2]]=""),"",IF(AF557&gt;89,"Sangat baik",IF(AF557&gt;79,"Baik",IF(AF557&gt;69,"Cukup",IF(AF557&gt;59,"Kurang","Sangat kurang")))))</f>
        <v/>
      </c>
      <c r="AJ557" t="str">
        <f t="shared" si="26"/>
        <v>Wk.6</v>
      </c>
      <c r="AK557" t="str">
        <f>IF(pub_gid_0_single_true_output_csv[[#This Row],[Nilai2]]="","",VLOOKUP(pub_gid_0_single_true_output_csv[[#This Row],[NAMA]],Table7[],3,FALSE))</f>
        <v>Average</v>
      </c>
    </row>
    <row r="558" spans="1:37" x14ac:dyDescent="0.2">
      <c r="A558">
        <v>557</v>
      </c>
      <c r="B558" t="s">
        <v>287</v>
      </c>
      <c r="C558" t="s">
        <v>54</v>
      </c>
      <c r="D558" t="s">
        <v>34</v>
      </c>
      <c r="E558" t="s">
        <v>140</v>
      </c>
      <c r="F558" s="25">
        <v>46078</v>
      </c>
      <c r="G558" t="s">
        <v>284</v>
      </c>
      <c r="H558" t="s">
        <v>412</v>
      </c>
      <c r="I558" t="s">
        <v>371</v>
      </c>
      <c r="J558" t="s">
        <v>36</v>
      </c>
      <c r="K558" t="s">
        <v>37</v>
      </c>
      <c r="L558" t="s">
        <v>321</v>
      </c>
      <c r="M558" t="s">
        <v>141</v>
      </c>
      <c r="N558" t="s">
        <v>142</v>
      </c>
      <c r="O558" t="s">
        <v>155</v>
      </c>
      <c r="P558" t="s">
        <v>281</v>
      </c>
      <c r="Q558" t="s">
        <v>155</v>
      </c>
      <c r="R558" t="s">
        <v>302</v>
      </c>
      <c r="S558" t="s">
        <v>487</v>
      </c>
      <c r="T558">
        <v>1</v>
      </c>
      <c r="U558" t="s">
        <v>359</v>
      </c>
      <c r="V558" t="s">
        <v>488</v>
      </c>
      <c r="W558" t="s">
        <v>489</v>
      </c>
      <c r="X558" t="s">
        <v>490</v>
      </c>
      <c r="Y558" t="s">
        <v>491</v>
      </c>
      <c r="Z558">
        <v>65</v>
      </c>
      <c r="AA558">
        <v>84</v>
      </c>
      <c r="AB558" t="s">
        <v>143</v>
      </c>
      <c r="AC558" t="s">
        <v>40</v>
      </c>
      <c r="AD558" t="s">
        <v>278</v>
      </c>
      <c r="AE558" t="str">
        <f>IF(AF558="","",VLOOKUP(AC558,mapel!$A$2:$B$42,2,FALSE))</f>
        <v>Fisika</v>
      </c>
      <c r="AF558">
        <f t="shared" si="24"/>
        <v>84</v>
      </c>
      <c r="AG558" t="str">
        <f>IF(AF558="","",IF(AF558&gt;90,"Sangat baik",IF(AF558&gt;79,"Baik",IF(AF558&gt;=pub_gid_0_single_true_output_csv[[#This Row],[KKM]],"Cukup","Kurang"))))</f>
        <v>Baik</v>
      </c>
      <c r="AH558">
        <f t="shared" si="25"/>
        <v>10</v>
      </c>
      <c r="AI558" s="30" t="str">
        <f>IF(OR(J558&lt;&gt;"Karakter",pub_gid_0_single_true_output_csv[[#This Row],[Nilai2]]=""),"",IF(AF558&gt;89,"Sangat baik",IF(AF558&gt;79,"Baik",IF(AF558&gt;69,"Cukup",IF(AF558&gt;59,"Kurang","Sangat kurang")))))</f>
        <v/>
      </c>
      <c r="AJ558" t="str">
        <f t="shared" si="26"/>
        <v>Wk.9</v>
      </c>
      <c r="AK558" t="str">
        <f>IF(pub_gid_0_single_true_output_csv[[#This Row],[Nilai2]]="","",VLOOKUP(pub_gid_0_single_true_output_csv[[#This Row],[NAMA]],Table7[],3,FALSE))</f>
        <v>Average</v>
      </c>
    </row>
    <row r="559" spans="1:37" x14ac:dyDescent="0.2">
      <c r="A559">
        <v>558</v>
      </c>
      <c r="B559" t="s">
        <v>288</v>
      </c>
      <c r="C559" t="s">
        <v>54</v>
      </c>
      <c r="D559" t="s">
        <v>35</v>
      </c>
      <c r="E559" t="s">
        <v>140</v>
      </c>
      <c r="F559" s="25">
        <v>46057</v>
      </c>
      <c r="G559" t="s">
        <v>348</v>
      </c>
      <c r="H559" t="s">
        <v>412</v>
      </c>
      <c r="I559" t="s">
        <v>371</v>
      </c>
      <c r="J559" t="s">
        <v>36</v>
      </c>
      <c r="K559" t="s">
        <v>37</v>
      </c>
      <c r="L559" t="s">
        <v>150</v>
      </c>
      <c r="M559" t="s">
        <v>141</v>
      </c>
      <c r="N559" t="s">
        <v>142</v>
      </c>
      <c r="O559" t="s">
        <v>155</v>
      </c>
      <c r="P559" t="s">
        <v>281</v>
      </c>
      <c r="Q559" t="s">
        <v>155</v>
      </c>
      <c r="R559" t="s">
        <v>302</v>
      </c>
      <c r="S559" t="s">
        <v>402</v>
      </c>
      <c r="T559">
        <v>1</v>
      </c>
      <c r="U559" t="s">
        <v>359</v>
      </c>
      <c r="V559" t="s">
        <v>403</v>
      </c>
      <c r="W559" t="s">
        <v>421</v>
      </c>
      <c r="X559" t="s">
        <v>386</v>
      </c>
      <c r="Y559" t="s">
        <v>335</v>
      </c>
      <c r="Z559">
        <v>65</v>
      </c>
      <c r="AA559">
        <v>95</v>
      </c>
      <c r="AB559" t="s">
        <v>143</v>
      </c>
      <c r="AC559" t="s">
        <v>40</v>
      </c>
      <c r="AD559" t="s">
        <v>278</v>
      </c>
      <c r="AE559" t="str">
        <f>IF(AF559="","",VLOOKUP(AC559,mapel!$A$2:$B$42,2,FALSE))</f>
        <v>Fisika</v>
      </c>
      <c r="AF559">
        <f t="shared" si="24"/>
        <v>95</v>
      </c>
      <c r="AG559" t="str">
        <f>IF(AF559="","",IF(AF559&gt;90,"Sangat baik",IF(AF559&gt;79,"Baik",IF(AF559&gt;=pub_gid_0_single_true_output_csv[[#This Row],[KKM]],"Cukup","Kurang"))))</f>
        <v>Sangat baik</v>
      </c>
      <c r="AH559">
        <f t="shared" si="25"/>
        <v>7</v>
      </c>
      <c r="AI559" s="30" t="str">
        <f>IF(OR(J559&lt;&gt;"Karakter",pub_gid_0_single_true_output_csv[[#This Row],[Nilai2]]=""),"",IF(AF559&gt;89,"Sangat baik",IF(AF559&gt;79,"Baik",IF(AF559&gt;69,"Cukup",IF(AF559&gt;59,"Kurang","Sangat kurang")))))</f>
        <v/>
      </c>
      <c r="AJ559" t="str">
        <f t="shared" si="26"/>
        <v>Wk.6</v>
      </c>
      <c r="AK559" t="str">
        <f>IF(pub_gid_0_single_true_output_csv[[#This Row],[Nilai2]]="","",VLOOKUP(pub_gid_0_single_true_output_csv[[#This Row],[NAMA]],Table7[],3,FALSE))</f>
        <v>Extremely low</v>
      </c>
    </row>
    <row r="560" spans="1:37" x14ac:dyDescent="0.2">
      <c r="A560">
        <v>559</v>
      </c>
      <c r="B560" t="s">
        <v>288</v>
      </c>
      <c r="C560" t="s">
        <v>54</v>
      </c>
      <c r="D560" t="s">
        <v>35</v>
      </c>
      <c r="E560" t="s">
        <v>140</v>
      </c>
      <c r="F560" s="25">
        <v>46078</v>
      </c>
      <c r="G560" t="s">
        <v>284</v>
      </c>
      <c r="H560" t="s">
        <v>412</v>
      </c>
      <c r="I560" t="s">
        <v>371</v>
      </c>
      <c r="J560" t="s">
        <v>36</v>
      </c>
      <c r="K560" t="s">
        <v>37</v>
      </c>
      <c r="L560" t="s">
        <v>321</v>
      </c>
      <c r="M560" t="s">
        <v>141</v>
      </c>
      <c r="N560" t="s">
        <v>142</v>
      </c>
      <c r="O560" t="s">
        <v>155</v>
      </c>
      <c r="P560" t="s">
        <v>281</v>
      </c>
      <c r="Q560" t="s">
        <v>155</v>
      </c>
      <c r="R560" t="s">
        <v>302</v>
      </c>
      <c r="S560" t="s">
        <v>487</v>
      </c>
      <c r="T560">
        <v>1</v>
      </c>
      <c r="U560" t="s">
        <v>359</v>
      </c>
      <c r="V560" t="s">
        <v>488</v>
      </c>
      <c r="W560" t="s">
        <v>489</v>
      </c>
      <c r="X560" t="s">
        <v>490</v>
      </c>
      <c r="Y560" t="s">
        <v>491</v>
      </c>
      <c r="Z560">
        <v>65</v>
      </c>
      <c r="AA560">
        <v>61</v>
      </c>
      <c r="AB560" t="s">
        <v>151</v>
      </c>
      <c r="AC560" t="s">
        <v>40</v>
      </c>
      <c r="AD560" t="s">
        <v>278</v>
      </c>
      <c r="AE560" t="str">
        <f>IF(AF560="","",VLOOKUP(AC560,mapel!$A$2:$B$42,2,FALSE))</f>
        <v>Fisika</v>
      </c>
      <c r="AF560">
        <f t="shared" si="24"/>
        <v>61</v>
      </c>
      <c r="AG560" t="str">
        <f>IF(AF560="","",IF(AF560&gt;90,"Sangat baik",IF(AF560&gt;79,"Baik",IF(AF560&gt;=pub_gid_0_single_true_output_csv[[#This Row],[KKM]],"Cukup","Kurang"))))</f>
        <v>Kurang</v>
      </c>
      <c r="AH560">
        <f t="shared" si="25"/>
        <v>10</v>
      </c>
      <c r="AI560" s="30" t="str">
        <f>IF(OR(J560&lt;&gt;"Karakter",pub_gid_0_single_true_output_csv[[#This Row],[Nilai2]]=""),"",IF(AF560&gt;89,"Sangat baik",IF(AF560&gt;79,"Baik",IF(AF560&gt;69,"Cukup",IF(AF560&gt;59,"Kurang","Sangat kurang")))))</f>
        <v/>
      </c>
      <c r="AJ560" t="str">
        <f t="shared" si="26"/>
        <v>Wk.9</v>
      </c>
      <c r="AK560" t="str">
        <f>IF(pub_gid_0_single_true_output_csv[[#This Row],[Nilai2]]="","",VLOOKUP(pub_gid_0_single_true_output_csv[[#This Row],[NAMA]],Table7[],3,FALSE))</f>
        <v>Extremely low</v>
      </c>
    </row>
    <row r="561" spans="1:37" x14ac:dyDescent="0.2">
      <c r="A561">
        <v>560</v>
      </c>
      <c r="B561" t="s">
        <v>294</v>
      </c>
      <c r="C561" t="s">
        <v>54</v>
      </c>
      <c r="D561" t="s">
        <v>46</v>
      </c>
      <c r="E561" t="s">
        <v>148</v>
      </c>
      <c r="F561" s="25">
        <v>46057</v>
      </c>
      <c r="G561" t="s">
        <v>348</v>
      </c>
      <c r="H561" t="s">
        <v>412</v>
      </c>
      <c r="I561" t="s">
        <v>371</v>
      </c>
      <c r="J561" t="s">
        <v>36</v>
      </c>
      <c r="K561" t="s">
        <v>37</v>
      </c>
      <c r="L561" t="s">
        <v>150</v>
      </c>
      <c r="M561" t="s">
        <v>141</v>
      </c>
      <c r="N561" t="s">
        <v>142</v>
      </c>
      <c r="O561" t="s">
        <v>155</v>
      </c>
      <c r="P561" t="s">
        <v>281</v>
      </c>
      <c r="Q561" t="s">
        <v>155</v>
      </c>
      <c r="R561" t="s">
        <v>302</v>
      </c>
      <c r="S561" t="s">
        <v>402</v>
      </c>
      <c r="T561">
        <v>1</v>
      </c>
      <c r="U561" t="s">
        <v>359</v>
      </c>
      <c r="V561" t="s">
        <v>403</v>
      </c>
      <c r="W561" t="s">
        <v>421</v>
      </c>
      <c r="X561" t="s">
        <v>386</v>
      </c>
      <c r="Y561" t="s">
        <v>335</v>
      </c>
      <c r="Z561">
        <v>65</v>
      </c>
      <c r="AA561">
        <v>80</v>
      </c>
      <c r="AB561" t="s">
        <v>143</v>
      </c>
      <c r="AC561" t="s">
        <v>40</v>
      </c>
      <c r="AD561" t="s">
        <v>278</v>
      </c>
      <c r="AE561" t="str">
        <f>IF(AF561="","",VLOOKUP(AC561,mapel!$A$2:$B$42,2,FALSE))</f>
        <v>Fisika</v>
      </c>
      <c r="AF561">
        <f t="shared" si="24"/>
        <v>80</v>
      </c>
      <c r="AG561" t="str">
        <f>IF(AF561="","",IF(AF561&gt;90,"Sangat baik",IF(AF561&gt;79,"Baik",IF(AF561&gt;=pub_gid_0_single_true_output_csv[[#This Row],[KKM]],"Cukup","Kurang"))))</f>
        <v>Baik</v>
      </c>
      <c r="AH561">
        <f t="shared" si="25"/>
        <v>7</v>
      </c>
      <c r="AI561" s="30" t="str">
        <f>IF(OR(J561&lt;&gt;"Karakter",pub_gid_0_single_true_output_csv[[#This Row],[Nilai2]]=""),"",IF(AF561&gt;89,"Sangat baik",IF(AF561&gt;79,"Baik",IF(AF561&gt;69,"Cukup",IF(AF561&gt;59,"Kurang","Sangat kurang")))))</f>
        <v/>
      </c>
      <c r="AJ561" t="str">
        <f t="shared" si="26"/>
        <v>Wk.6</v>
      </c>
      <c r="AK561" t="str">
        <f>IF(pub_gid_0_single_true_output_csv[[#This Row],[Nilai2]]="","",VLOOKUP(pub_gid_0_single_true_output_csv[[#This Row],[NAMA]],Table7[],3,FALSE))</f>
        <v>Average</v>
      </c>
    </row>
    <row r="562" spans="1:37" x14ac:dyDescent="0.2">
      <c r="A562">
        <v>561</v>
      </c>
      <c r="B562" t="s">
        <v>294</v>
      </c>
      <c r="C562" t="s">
        <v>54</v>
      </c>
      <c r="D562" t="s">
        <v>46</v>
      </c>
      <c r="E562" t="s">
        <v>148</v>
      </c>
      <c r="F562" s="25">
        <v>46078</v>
      </c>
      <c r="G562" t="s">
        <v>284</v>
      </c>
      <c r="H562" t="s">
        <v>412</v>
      </c>
      <c r="I562" t="s">
        <v>371</v>
      </c>
      <c r="J562" t="s">
        <v>36</v>
      </c>
      <c r="K562" t="s">
        <v>37</v>
      </c>
      <c r="L562" t="s">
        <v>321</v>
      </c>
      <c r="M562" t="s">
        <v>141</v>
      </c>
      <c r="N562" t="s">
        <v>142</v>
      </c>
      <c r="O562" t="s">
        <v>155</v>
      </c>
      <c r="P562" t="s">
        <v>281</v>
      </c>
      <c r="Q562" t="s">
        <v>155</v>
      </c>
      <c r="R562" t="s">
        <v>302</v>
      </c>
      <c r="S562" t="s">
        <v>487</v>
      </c>
      <c r="T562">
        <v>1</v>
      </c>
      <c r="U562" t="s">
        <v>359</v>
      </c>
      <c r="V562" t="s">
        <v>488</v>
      </c>
      <c r="W562" t="s">
        <v>489</v>
      </c>
      <c r="X562" t="s">
        <v>490</v>
      </c>
      <c r="Y562" t="s">
        <v>491</v>
      </c>
      <c r="Z562">
        <v>65</v>
      </c>
      <c r="AA562">
        <v>48</v>
      </c>
      <c r="AB562" t="s">
        <v>151</v>
      </c>
      <c r="AC562" t="s">
        <v>40</v>
      </c>
      <c r="AD562" t="s">
        <v>278</v>
      </c>
      <c r="AE562" t="str">
        <f>IF(AF562="","",VLOOKUP(AC562,mapel!$A$2:$B$42,2,FALSE))</f>
        <v>Fisika</v>
      </c>
      <c r="AF562">
        <f t="shared" si="24"/>
        <v>48</v>
      </c>
      <c r="AG562" t="str">
        <f>IF(AF562="","",IF(AF562&gt;90,"Sangat baik",IF(AF562&gt;79,"Baik",IF(AF562&gt;=pub_gid_0_single_true_output_csv[[#This Row],[KKM]],"Cukup","Kurang"))))</f>
        <v>Kurang</v>
      </c>
      <c r="AH562">
        <f t="shared" si="25"/>
        <v>10</v>
      </c>
      <c r="AI562" s="30" t="str">
        <f>IF(OR(J562&lt;&gt;"Karakter",pub_gid_0_single_true_output_csv[[#This Row],[Nilai2]]=""),"",IF(AF562&gt;89,"Sangat baik",IF(AF562&gt;79,"Baik",IF(AF562&gt;69,"Cukup",IF(AF562&gt;59,"Kurang","Sangat kurang")))))</f>
        <v/>
      </c>
      <c r="AJ562" t="str">
        <f t="shared" si="26"/>
        <v>Wk.9</v>
      </c>
      <c r="AK562" t="str">
        <f>IF(pub_gid_0_single_true_output_csv[[#This Row],[Nilai2]]="","",VLOOKUP(pub_gid_0_single_true_output_csv[[#This Row],[NAMA]],Table7[],3,FALSE))</f>
        <v>Average</v>
      </c>
    </row>
    <row r="563" spans="1:37" x14ac:dyDescent="0.2">
      <c r="A563">
        <v>562</v>
      </c>
      <c r="B563" t="s">
        <v>295</v>
      </c>
      <c r="C563" t="s">
        <v>54</v>
      </c>
      <c r="D563" t="s">
        <v>47</v>
      </c>
      <c r="E563" t="s">
        <v>148</v>
      </c>
      <c r="F563" s="25">
        <v>46057</v>
      </c>
      <c r="G563" t="s">
        <v>348</v>
      </c>
      <c r="H563" t="s">
        <v>412</v>
      </c>
      <c r="I563" t="s">
        <v>371</v>
      </c>
      <c r="J563" t="s">
        <v>36</v>
      </c>
      <c r="K563" t="s">
        <v>37</v>
      </c>
      <c r="L563" t="s">
        <v>150</v>
      </c>
      <c r="M563" t="s">
        <v>141</v>
      </c>
      <c r="N563" t="s">
        <v>142</v>
      </c>
      <c r="O563" t="s">
        <v>155</v>
      </c>
      <c r="P563" t="s">
        <v>281</v>
      </c>
      <c r="Q563" t="s">
        <v>155</v>
      </c>
      <c r="R563" t="s">
        <v>302</v>
      </c>
      <c r="S563" t="s">
        <v>402</v>
      </c>
      <c r="T563">
        <v>1</v>
      </c>
      <c r="U563" t="s">
        <v>359</v>
      </c>
      <c r="V563" t="s">
        <v>403</v>
      </c>
      <c r="W563" t="s">
        <v>421</v>
      </c>
      <c r="X563" t="s">
        <v>386</v>
      </c>
      <c r="Y563" t="s">
        <v>335</v>
      </c>
      <c r="Z563">
        <v>65</v>
      </c>
      <c r="AA563">
        <v>10</v>
      </c>
      <c r="AB563" t="s">
        <v>151</v>
      </c>
      <c r="AC563" t="s">
        <v>40</v>
      </c>
      <c r="AD563" t="s">
        <v>278</v>
      </c>
      <c r="AE563" t="str">
        <f>IF(AF563="","",VLOOKUP(AC563,mapel!$A$2:$B$42,2,FALSE))</f>
        <v>Fisika</v>
      </c>
      <c r="AF563">
        <f t="shared" si="24"/>
        <v>10</v>
      </c>
      <c r="AG563" t="str">
        <f>IF(AF563="","",IF(AF563&gt;90,"Sangat baik",IF(AF563&gt;79,"Baik",IF(AF563&gt;=pub_gid_0_single_true_output_csv[[#This Row],[KKM]],"Cukup","Kurang"))))</f>
        <v>Kurang</v>
      </c>
      <c r="AH563">
        <f t="shared" si="25"/>
        <v>7</v>
      </c>
      <c r="AI563" s="30" t="str">
        <f>IF(OR(J563&lt;&gt;"Karakter",pub_gid_0_single_true_output_csv[[#This Row],[Nilai2]]=""),"",IF(AF563&gt;89,"Sangat baik",IF(AF563&gt;79,"Baik",IF(AF563&gt;69,"Cukup",IF(AF563&gt;59,"Kurang","Sangat kurang")))))</f>
        <v/>
      </c>
      <c r="AJ563" t="str">
        <f t="shared" si="26"/>
        <v>Wk.6</v>
      </c>
      <c r="AK563" t="str">
        <f>IF(pub_gid_0_single_true_output_csv[[#This Row],[Nilai2]]="","",VLOOKUP(pub_gid_0_single_true_output_csv[[#This Row],[NAMA]],Table7[],3,FALSE))</f>
        <v>Low average</v>
      </c>
    </row>
    <row r="564" spans="1:37" x14ac:dyDescent="0.2">
      <c r="A564">
        <v>563</v>
      </c>
      <c r="B564" t="s">
        <v>295</v>
      </c>
      <c r="C564" t="s">
        <v>54</v>
      </c>
      <c r="D564" t="s">
        <v>47</v>
      </c>
      <c r="E564" t="s">
        <v>148</v>
      </c>
      <c r="F564" s="25">
        <v>46078</v>
      </c>
      <c r="G564" t="s">
        <v>284</v>
      </c>
      <c r="H564" t="s">
        <v>412</v>
      </c>
      <c r="I564" t="s">
        <v>371</v>
      </c>
      <c r="J564" t="s">
        <v>36</v>
      </c>
      <c r="K564" t="s">
        <v>37</v>
      </c>
      <c r="L564" t="s">
        <v>321</v>
      </c>
      <c r="M564" t="s">
        <v>141</v>
      </c>
      <c r="N564" t="s">
        <v>142</v>
      </c>
      <c r="O564" t="s">
        <v>155</v>
      </c>
      <c r="P564" t="s">
        <v>281</v>
      </c>
      <c r="Q564" t="s">
        <v>155</v>
      </c>
      <c r="R564" t="s">
        <v>302</v>
      </c>
      <c r="S564" t="s">
        <v>487</v>
      </c>
      <c r="T564">
        <v>1</v>
      </c>
      <c r="U564" t="s">
        <v>359</v>
      </c>
      <c r="V564" t="s">
        <v>488</v>
      </c>
      <c r="W564" t="s">
        <v>489</v>
      </c>
      <c r="X564" t="s">
        <v>490</v>
      </c>
      <c r="Y564" t="s">
        <v>491</v>
      </c>
      <c r="Z564">
        <v>65</v>
      </c>
      <c r="AA564">
        <v>18</v>
      </c>
      <c r="AB564" t="s">
        <v>151</v>
      </c>
      <c r="AC564" t="s">
        <v>40</v>
      </c>
      <c r="AD564" t="s">
        <v>278</v>
      </c>
      <c r="AE564" t="str">
        <f>IF(AF564="","",VLOOKUP(AC564,mapel!$A$2:$B$42,2,FALSE))</f>
        <v>Fisika</v>
      </c>
      <c r="AF564">
        <f t="shared" si="24"/>
        <v>18</v>
      </c>
      <c r="AG564" t="str">
        <f>IF(AF564="","",IF(AF564&gt;90,"Sangat baik",IF(AF564&gt;79,"Baik",IF(AF564&gt;=pub_gid_0_single_true_output_csv[[#This Row],[KKM]],"Cukup","Kurang"))))</f>
        <v>Kurang</v>
      </c>
      <c r="AH564">
        <f t="shared" si="25"/>
        <v>10</v>
      </c>
      <c r="AI564" s="30" t="str">
        <f>IF(OR(J564&lt;&gt;"Karakter",pub_gid_0_single_true_output_csv[[#This Row],[Nilai2]]=""),"",IF(AF564&gt;89,"Sangat baik",IF(AF564&gt;79,"Baik",IF(AF564&gt;69,"Cukup",IF(AF564&gt;59,"Kurang","Sangat kurang")))))</f>
        <v/>
      </c>
      <c r="AJ564" t="str">
        <f t="shared" si="26"/>
        <v>Wk.9</v>
      </c>
      <c r="AK564" t="str">
        <f>IF(pub_gid_0_single_true_output_csv[[#This Row],[Nilai2]]="","",VLOOKUP(pub_gid_0_single_true_output_csv[[#This Row],[NAMA]],Table7[],3,FALSE))</f>
        <v>Low average</v>
      </c>
    </row>
    <row r="565" spans="1:37" x14ac:dyDescent="0.2">
      <c r="A565">
        <v>564</v>
      </c>
      <c r="B565" t="s">
        <v>296</v>
      </c>
      <c r="C565" t="s">
        <v>54</v>
      </c>
      <c r="D565" t="s">
        <v>48</v>
      </c>
      <c r="E565" t="s">
        <v>140</v>
      </c>
      <c r="F565" s="25">
        <v>46057</v>
      </c>
      <c r="G565" t="s">
        <v>348</v>
      </c>
      <c r="H565" t="s">
        <v>412</v>
      </c>
      <c r="I565" t="s">
        <v>371</v>
      </c>
      <c r="J565" t="s">
        <v>36</v>
      </c>
      <c r="K565" t="s">
        <v>37</v>
      </c>
      <c r="L565" t="s">
        <v>150</v>
      </c>
      <c r="M565" t="s">
        <v>141</v>
      </c>
      <c r="N565" t="s">
        <v>142</v>
      </c>
      <c r="O565" t="s">
        <v>155</v>
      </c>
      <c r="P565" t="s">
        <v>281</v>
      </c>
      <c r="Q565" t="s">
        <v>155</v>
      </c>
      <c r="R565" t="s">
        <v>302</v>
      </c>
      <c r="S565" t="s">
        <v>402</v>
      </c>
      <c r="T565">
        <v>1</v>
      </c>
      <c r="U565" t="s">
        <v>359</v>
      </c>
      <c r="V565" t="s">
        <v>403</v>
      </c>
      <c r="W565" t="s">
        <v>421</v>
      </c>
      <c r="X565" t="s">
        <v>386</v>
      </c>
      <c r="Y565" t="s">
        <v>335</v>
      </c>
      <c r="Z565">
        <v>65</v>
      </c>
      <c r="AA565">
        <v>80</v>
      </c>
      <c r="AB565" t="s">
        <v>143</v>
      </c>
      <c r="AC565" t="s">
        <v>40</v>
      </c>
      <c r="AD565" t="s">
        <v>278</v>
      </c>
      <c r="AE565" t="str">
        <f>IF(AF565="","",VLOOKUP(AC565,mapel!$A$2:$B$42,2,FALSE))</f>
        <v>Fisika</v>
      </c>
      <c r="AF565">
        <f t="shared" si="24"/>
        <v>80</v>
      </c>
      <c r="AG565" t="str">
        <f>IF(AF565="","",IF(AF565&gt;90,"Sangat baik",IF(AF565&gt;79,"Baik",IF(AF565&gt;=pub_gid_0_single_true_output_csv[[#This Row],[KKM]],"Cukup","Kurang"))))</f>
        <v>Baik</v>
      </c>
      <c r="AH565">
        <f t="shared" si="25"/>
        <v>7</v>
      </c>
      <c r="AI565" s="30" t="str">
        <f>IF(OR(J565&lt;&gt;"Karakter",pub_gid_0_single_true_output_csv[[#This Row],[Nilai2]]=""),"",IF(AF565&gt;89,"Sangat baik",IF(AF565&gt;79,"Baik",IF(AF565&gt;69,"Cukup",IF(AF565&gt;59,"Kurang","Sangat kurang")))))</f>
        <v/>
      </c>
      <c r="AJ565" t="str">
        <f t="shared" si="26"/>
        <v>Wk.6</v>
      </c>
      <c r="AK565" t="str">
        <f>IF(pub_gid_0_single_true_output_csv[[#This Row],[Nilai2]]="","",VLOOKUP(pub_gid_0_single_true_output_csv[[#This Row],[NAMA]],Table7[],3,FALSE))</f>
        <v>Average</v>
      </c>
    </row>
    <row r="566" spans="1:37" x14ac:dyDescent="0.2">
      <c r="A566">
        <v>565</v>
      </c>
      <c r="B566" t="s">
        <v>296</v>
      </c>
      <c r="C566" t="s">
        <v>54</v>
      </c>
      <c r="D566" t="s">
        <v>48</v>
      </c>
      <c r="E566" t="s">
        <v>140</v>
      </c>
      <c r="F566" s="25">
        <v>46078</v>
      </c>
      <c r="G566" t="s">
        <v>284</v>
      </c>
      <c r="H566" t="s">
        <v>412</v>
      </c>
      <c r="I566" t="s">
        <v>371</v>
      </c>
      <c r="J566" t="s">
        <v>36</v>
      </c>
      <c r="K566" t="s">
        <v>37</v>
      </c>
      <c r="L566" t="s">
        <v>321</v>
      </c>
      <c r="M566" t="s">
        <v>141</v>
      </c>
      <c r="N566" t="s">
        <v>142</v>
      </c>
      <c r="O566" t="s">
        <v>155</v>
      </c>
      <c r="P566" t="s">
        <v>281</v>
      </c>
      <c r="Q566" t="s">
        <v>155</v>
      </c>
      <c r="R566" t="s">
        <v>302</v>
      </c>
      <c r="S566" t="s">
        <v>487</v>
      </c>
      <c r="T566">
        <v>1</v>
      </c>
      <c r="U566" t="s">
        <v>359</v>
      </c>
      <c r="V566" t="s">
        <v>488</v>
      </c>
      <c r="W566" t="s">
        <v>489</v>
      </c>
      <c r="X566" t="s">
        <v>490</v>
      </c>
      <c r="Y566" t="s">
        <v>491</v>
      </c>
      <c r="Z566">
        <v>65</v>
      </c>
      <c r="AA566">
        <v>40</v>
      </c>
      <c r="AB566" t="s">
        <v>151</v>
      </c>
      <c r="AC566" t="s">
        <v>40</v>
      </c>
      <c r="AD566" t="s">
        <v>278</v>
      </c>
      <c r="AE566" t="str">
        <f>IF(AF566="","",VLOOKUP(AC566,mapel!$A$2:$B$42,2,FALSE))</f>
        <v>Fisika</v>
      </c>
      <c r="AF566">
        <f t="shared" si="24"/>
        <v>40</v>
      </c>
      <c r="AG566" t="str">
        <f>IF(AF566="","",IF(AF566&gt;90,"Sangat baik",IF(AF566&gt;79,"Baik",IF(AF566&gt;=pub_gid_0_single_true_output_csv[[#This Row],[KKM]],"Cukup","Kurang"))))</f>
        <v>Kurang</v>
      </c>
      <c r="AH566">
        <f t="shared" si="25"/>
        <v>10</v>
      </c>
      <c r="AI566" s="30" t="str">
        <f>IF(OR(J566&lt;&gt;"Karakter",pub_gid_0_single_true_output_csv[[#This Row],[Nilai2]]=""),"",IF(AF566&gt;89,"Sangat baik",IF(AF566&gt;79,"Baik",IF(AF566&gt;69,"Cukup",IF(AF566&gt;59,"Kurang","Sangat kurang")))))</f>
        <v/>
      </c>
      <c r="AJ566" t="str">
        <f t="shared" si="26"/>
        <v>Wk.9</v>
      </c>
      <c r="AK566" t="str">
        <f>IF(pub_gid_0_single_true_output_csv[[#This Row],[Nilai2]]="","",VLOOKUP(pub_gid_0_single_true_output_csv[[#This Row],[NAMA]],Table7[],3,FALSE))</f>
        <v>Average</v>
      </c>
    </row>
    <row r="567" spans="1:37" x14ac:dyDescent="0.2">
      <c r="A567">
        <v>566</v>
      </c>
      <c r="B567" t="s">
        <v>289</v>
      </c>
      <c r="C567" t="s">
        <v>54</v>
      </c>
      <c r="D567" t="s">
        <v>39</v>
      </c>
      <c r="E567" t="s">
        <v>140</v>
      </c>
      <c r="F567" s="25">
        <v>46037</v>
      </c>
      <c r="G567" t="s">
        <v>356</v>
      </c>
      <c r="H567" t="s">
        <v>405</v>
      </c>
      <c r="I567" t="s">
        <v>371</v>
      </c>
      <c r="J567" t="s">
        <v>36</v>
      </c>
      <c r="K567" t="s">
        <v>153</v>
      </c>
      <c r="L567" t="s">
        <v>319</v>
      </c>
      <c r="M567" t="s">
        <v>141</v>
      </c>
      <c r="N567" t="s">
        <v>142</v>
      </c>
      <c r="O567" t="s">
        <v>155</v>
      </c>
      <c r="P567" t="s">
        <v>281</v>
      </c>
      <c r="Q567" t="s">
        <v>155</v>
      </c>
      <c r="R567" t="s">
        <v>273</v>
      </c>
      <c r="S567" t="s">
        <v>309</v>
      </c>
      <c r="T567">
        <v>1</v>
      </c>
      <c r="U567" t="s">
        <v>422</v>
      </c>
      <c r="V567" t="s">
        <v>285</v>
      </c>
      <c r="W567" t="s">
        <v>423</v>
      </c>
      <c r="X567" t="s">
        <v>306</v>
      </c>
      <c r="Y567" t="s">
        <v>307</v>
      </c>
      <c r="Z567">
        <v>65</v>
      </c>
      <c r="AA567">
        <v>80</v>
      </c>
      <c r="AB567" t="s">
        <v>143</v>
      </c>
      <c r="AC567" t="s">
        <v>161</v>
      </c>
      <c r="AD567" t="s">
        <v>125</v>
      </c>
      <c r="AE567" t="str">
        <f>IF(AF567="","",VLOOKUP(AC567,mapel!$A$2:$B$42,2,FALSE))</f>
        <v>TIK</v>
      </c>
      <c r="AF567">
        <f t="shared" si="24"/>
        <v>80</v>
      </c>
      <c r="AG567" t="str">
        <f>IF(AF567="","",IF(AF567&gt;90,"Sangat baik",IF(AF567&gt;79,"Baik",IF(AF567&gt;=pub_gid_0_single_true_output_csv[[#This Row],[KKM]],"Cukup","Kurang"))))</f>
        <v>Baik</v>
      </c>
      <c r="AH567">
        <f t="shared" si="25"/>
        <v>11</v>
      </c>
      <c r="AI567" s="30" t="str">
        <f>IF(OR(J567&lt;&gt;"Karakter",pub_gid_0_single_true_output_csv[[#This Row],[Nilai2]]=""),"",IF(AF567&gt;89,"Sangat baik",IF(AF567&gt;79,"Baik",IF(AF567&gt;69,"Cukup",IF(AF567&gt;59,"Kurang","Sangat kurang")))))</f>
        <v/>
      </c>
      <c r="AJ567" t="str">
        <f t="shared" si="26"/>
        <v>Wk.3</v>
      </c>
      <c r="AK567" t="str">
        <f>IF(pub_gid_0_single_true_output_csv[[#This Row],[Nilai2]]="","",VLOOKUP(pub_gid_0_single_true_output_csv[[#This Row],[NAMA]],Table7[],3,FALSE))</f>
        <v>Average</v>
      </c>
    </row>
    <row r="568" spans="1:37" x14ac:dyDescent="0.2">
      <c r="A568">
        <v>567</v>
      </c>
      <c r="B568" t="s">
        <v>289</v>
      </c>
      <c r="C568" t="s">
        <v>54</v>
      </c>
      <c r="D568" t="s">
        <v>39</v>
      </c>
      <c r="E568" t="s">
        <v>140</v>
      </c>
      <c r="F568" s="25">
        <v>46037</v>
      </c>
      <c r="G568" t="s">
        <v>356</v>
      </c>
      <c r="H568" t="s">
        <v>405</v>
      </c>
      <c r="I568" t="s">
        <v>371</v>
      </c>
      <c r="J568" t="s">
        <v>31</v>
      </c>
      <c r="K568" t="s">
        <v>158</v>
      </c>
      <c r="L568" t="s">
        <v>319</v>
      </c>
      <c r="M568" t="s">
        <v>141</v>
      </c>
      <c r="N568" t="s">
        <v>142</v>
      </c>
      <c r="O568" t="s">
        <v>155</v>
      </c>
      <c r="P568" t="s">
        <v>281</v>
      </c>
      <c r="Q568" t="s">
        <v>155</v>
      </c>
      <c r="R568" t="s">
        <v>273</v>
      </c>
      <c r="S568" t="s">
        <v>309</v>
      </c>
      <c r="T568">
        <v>1</v>
      </c>
      <c r="U568" t="s">
        <v>422</v>
      </c>
      <c r="V568" t="s">
        <v>285</v>
      </c>
      <c r="W568" t="s">
        <v>423</v>
      </c>
      <c r="X568" t="s">
        <v>306</v>
      </c>
      <c r="Y568" t="s">
        <v>307</v>
      </c>
      <c r="Z568">
        <v>65</v>
      </c>
      <c r="AA568">
        <v>70</v>
      </c>
      <c r="AB568" t="s">
        <v>143</v>
      </c>
      <c r="AC568" t="s">
        <v>161</v>
      </c>
      <c r="AD568" t="s">
        <v>125</v>
      </c>
      <c r="AE568" t="str">
        <f>IF(AF568="","",VLOOKUP(AC568,mapel!$A$2:$B$42,2,FALSE))</f>
        <v>TIK</v>
      </c>
      <c r="AF568">
        <f t="shared" si="24"/>
        <v>70</v>
      </c>
      <c r="AG568" t="str">
        <f>IF(AF568="","",IF(AF568&gt;90,"Sangat baik",IF(AF568&gt;79,"Baik",IF(AF568&gt;=pub_gid_0_single_true_output_csv[[#This Row],[KKM]],"Cukup","Kurang"))))</f>
        <v>Cukup</v>
      </c>
      <c r="AH568">
        <f t="shared" si="25"/>
        <v>11</v>
      </c>
      <c r="AI568" s="30" t="str">
        <f>IF(OR(J568&lt;&gt;"Karakter",pub_gid_0_single_true_output_csv[[#This Row],[Nilai2]]=""),"",IF(AF568&gt;89,"Sangat baik",IF(AF568&gt;79,"Baik",IF(AF568&gt;69,"Cukup",IF(AF568&gt;59,"Kurang","Sangat kurang")))))</f>
        <v/>
      </c>
      <c r="AJ568" t="str">
        <f t="shared" si="26"/>
        <v>Wk.3</v>
      </c>
      <c r="AK568" t="str">
        <f>IF(pub_gid_0_single_true_output_csv[[#This Row],[Nilai2]]="","",VLOOKUP(pub_gid_0_single_true_output_csv[[#This Row],[NAMA]],Table7[],3,FALSE))</f>
        <v>Average</v>
      </c>
    </row>
    <row r="569" spans="1:37" x14ac:dyDescent="0.2">
      <c r="A569">
        <v>568</v>
      </c>
      <c r="B569" t="s">
        <v>289</v>
      </c>
      <c r="C569" t="s">
        <v>54</v>
      </c>
      <c r="D569" t="s">
        <v>39</v>
      </c>
      <c r="E569" t="s">
        <v>140</v>
      </c>
      <c r="F569" s="25">
        <v>46044</v>
      </c>
      <c r="G569" t="s">
        <v>305</v>
      </c>
      <c r="H569" t="s">
        <v>405</v>
      </c>
      <c r="I569" t="s">
        <v>371</v>
      </c>
      <c r="J569" t="s">
        <v>90</v>
      </c>
      <c r="K569" t="s">
        <v>377</v>
      </c>
      <c r="L569" t="s">
        <v>399</v>
      </c>
      <c r="M569" t="s">
        <v>141</v>
      </c>
      <c r="N569" t="s">
        <v>142</v>
      </c>
      <c r="O569" t="s">
        <v>155</v>
      </c>
      <c r="P569" t="s">
        <v>281</v>
      </c>
      <c r="Q569" t="s">
        <v>155</v>
      </c>
      <c r="R569" t="s">
        <v>273</v>
      </c>
      <c r="S569" t="s">
        <v>309</v>
      </c>
      <c r="T569">
        <v>1</v>
      </c>
      <c r="U569" t="s">
        <v>422</v>
      </c>
      <c r="V569" t="s">
        <v>285</v>
      </c>
      <c r="W569" t="s">
        <v>423</v>
      </c>
      <c r="X569" t="s">
        <v>306</v>
      </c>
      <c r="Y569" t="s">
        <v>307</v>
      </c>
      <c r="Z569">
        <v>65</v>
      </c>
      <c r="AA569">
        <v>80</v>
      </c>
      <c r="AB569" t="s">
        <v>143</v>
      </c>
      <c r="AC569" t="s">
        <v>161</v>
      </c>
      <c r="AD569" t="s">
        <v>125</v>
      </c>
      <c r="AE569" t="str">
        <f>IF(AF569="","",VLOOKUP(AC569,mapel!$A$2:$B$42,2,FALSE))</f>
        <v>TIK</v>
      </c>
      <c r="AF569">
        <f t="shared" si="24"/>
        <v>80</v>
      </c>
      <c r="AG569" t="str">
        <f>IF(AF569="","",IF(AF569&gt;90,"Sangat baik",IF(AF569&gt;79,"Baik",IF(AF569&gt;=pub_gid_0_single_true_output_csv[[#This Row],[KKM]],"Cukup","Kurang"))))</f>
        <v>Baik</v>
      </c>
      <c r="AH569">
        <f t="shared" si="25"/>
        <v>11</v>
      </c>
      <c r="AI569" s="30" t="str">
        <f>IF(OR(J569&lt;&gt;"Karakter",pub_gid_0_single_true_output_csv[[#This Row],[Nilai2]]=""),"",IF(AF569&gt;89,"Sangat baik",IF(AF569&gt;79,"Baik",IF(AF569&gt;69,"Cukup",IF(AF569&gt;59,"Kurang","Sangat kurang")))))</f>
        <v>Baik</v>
      </c>
      <c r="AJ569" t="str">
        <f t="shared" si="26"/>
        <v>Wk.4</v>
      </c>
      <c r="AK569" t="str">
        <f>IF(pub_gid_0_single_true_output_csv[[#This Row],[Nilai2]]="","",VLOOKUP(pub_gid_0_single_true_output_csv[[#This Row],[NAMA]],Table7[],3,FALSE))</f>
        <v>Average</v>
      </c>
    </row>
    <row r="570" spans="1:37" x14ac:dyDescent="0.2">
      <c r="A570">
        <v>569</v>
      </c>
      <c r="B570" t="s">
        <v>289</v>
      </c>
      <c r="C570" t="s">
        <v>54</v>
      </c>
      <c r="D570" t="s">
        <v>39</v>
      </c>
      <c r="E570" t="s">
        <v>140</v>
      </c>
      <c r="F570" s="25">
        <v>46044</v>
      </c>
      <c r="G570" t="s">
        <v>305</v>
      </c>
      <c r="H570" t="s">
        <v>405</v>
      </c>
      <c r="I570" t="s">
        <v>371</v>
      </c>
      <c r="J570" t="s">
        <v>279</v>
      </c>
      <c r="K570" t="s">
        <v>280</v>
      </c>
      <c r="L570" t="s">
        <v>150</v>
      </c>
      <c r="M570" t="s">
        <v>141</v>
      </c>
      <c r="N570" t="s">
        <v>142</v>
      </c>
      <c r="O570" t="s">
        <v>155</v>
      </c>
      <c r="P570" t="s">
        <v>281</v>
      </c>
      <c r="Q570" t="s">
        <v>155</v>
      </c>
      <c r="R570" t="s">
        <v>273</v>
      </c>
      <c r="S570" t="s">
        <v>309</v>
      </c>
      <c r="T570">
        <v>1</v>
      </c>
      <c r="U570" t="s">
        <v>422</v>
      </c>
      <c r="V570" t="s">
        <v>285</v>
      </c>
      <c r="W570" t="s">
        <v>423</v>
      </c>
      <c r="X570" t="s">
        <v>306</v>
      </c>
      <c r="Y570" t="s">
        <v>307</v>
      </c>
      <c r="Z570">
        <v>65</v>
      </c>
      <c r="AA570">
        <v>80</v>
      </c>
      <c r="AB570" t="s">
        <v>143</v>
      </c>
      <c r="AC570" t="s">
        <v>161</v>
      </c>
      <c r="AD570" t="s">
        <v>125</v>
      </c>
      <c r="AE570" t="str">
        <f>IF(AF570="","",VLOOKUP(AC570,mapel!$A$2:$B$42,2,FALSE))</f>
        <v>TIK</v>
      </c>
      <c r="AF570">
        <f t="shared" si="24"/>
        <v>80</v>
      </c>
      <c r="AG570" t="str">
        <f>IF(AF570="","",IF(AF570&gt;90,"Sangat baik",IF(AF570&gt;79,"Baik",IF(AF570&gt;=pub_gid_0_single_true_output_csv[[#This Row],[KKM]],"Cukup","Kurang"))))</f>
        <v>Baik</v>
      </c>
      <c r="AH570">
        <f t="shared" si="25"/>
        <v>11</v>
      </c>
      <c r="AI570" s="30" t="str">
        <f>IF(OR(J570&lt;&gt;"Karakter",pub_gid_0_single_true_output_csv[[#This Row],[Nilai2]]=""),"",IF(AF570&gt;89,"Sangat baik",IF(AF570&gt;79,"Baik",IF(AF570&gt;69,"Cukup",IF(AF570&gt;59,"Kurang","Sangat kurang")))))</f>
        <v/>
      </c>
      <c r="AJ570" t="str">
        <f t="shared" si="26"/>
        <v>Wk.4</v>
      </c>
      <c r="AK570" t="str">
        <f>IF(pub_gid_0_single_true_output_csv[[#This Row],[Nilai2]]="","",VLOOKUP(pub_gid_0_single_true_output_csv[[#This Row],[NAMA]],Table7[],3,FALSE))</f>
        <v>Average</v>
      </c>
    </row>
    <row r="571" spans="1:37" x14ac:dyDescent="0.2">
      <c r="A571">
        <v>570</v>
      </c>
      <c r="B571" t="s">
        <v>289</v>
      </c>
      <c r="C571" t="s">
        <v>54</v>
      </c>
      <c r="D571" t="s">
        <v>39</v>
      </c>
      <c r="E571" t="s">
        <v>140</v>
      </c>
      <c r="F571" s="25">
        <v>46044</v>
      </c>
      <c r="G571" t="s">
        <v>305</v>
      </c>
      <c r="H571" t="s">
        <v>405</v>
      </c>
      <c r="I571" t="s">
        <v>371</v>
      </c>
      <c r="J571" t="s">
        <v>41</v>
      </c>
      <c r="K571" t="s">
        <v>157</v>
      </c>
      <c r="L571" t="s">
        <v>150</v>
      </c>
      <c r="M571" t="s">
        <v>141</v>
      </c>
      <c r="N571" t="s">
        <v>142</v>
      </c>
      <c r="O571" t="s">
        <v>155</v>
      </c>
      <c r="P571" t="s">
        <v>281</v>
      </c>
      <c r="Q571" t="s">
        <v>155</v>
      </c>
      <c r="R571" t="s">
        <v>273</v>
      </c>
      <c r="S571" t="s">
        <v>309</v>
      </c>
      <c r="T571">
        <v>1</v>
      </c>
      <c r="U571" t="s">
        <v>422</v>
      </c>
      <c r="V571" t="s">
        <v>285</v>
      </c>
      <c r="W571" t="s">
        <v>423</v>
      </c>
      <c r="X571" t="s">
        <v>306</v>
      </c>
      <c r="Y571" t="s">
        <v>307</v>
      </c>
      <c r="Z571">
        <v>65</v>
      </c>
      <c r="AA571">
        <v>80</v>
      </c>
      <c r="AB571" t="s">
        <v>143</v>
      </c>
      <c r="AC571" t="s">
        <v>161</v>
      </c>
      <c r="AD571" t="s">
        <v>125</v>
      </c>
      <c r="AE571" t="str">
        <f>IF(AF571="","",VLOOKUP(AC571,mapel!$A$2:$B$42,2,FALSE))</f>
        <v>TIK</v>
      </c>
      <c r="AF571">
        <f t="shared" si="24"/>
        <v>80</v>
      </c>
      <c r="AG571" t="str">
        <f>IF(AF571="","",IF(AF571&gt;90,"Sangat baik",IF(AF571&gt;79,"Baik",IF(AF571&gt;=pub_gid_0_single_true_output_csv[[#This Row],[KKM]],"Cukup","Kurang"))))</f>
        <v>Baik</v>
      </c>
      <c r="AH571">
        <f t="shared" si="25"/>
        <v>11</v>
      </c>
      <c r="AI571" s="30" t="str">
        <f>IF(OR(J571&lt;&gt;"Karakter",pub_gid_0_single_true_output_csv[[#This Row],[Nilai2]]=""),"",IF(AF571&gt;89,"Sangat baik",IF(AF571&gt;79,"Baik",IF(AF571&gt;69,"Cukup",IF(AF571&gt;59,"Kurang","Sangat kurang")))))</f>
        <v/>
      </c>
      <c r="AJ571" t="str">
        <f t="shared" si="26"/>
        <v>Wk.4</v>
      </c>
      <c r="AK571" t="str">
        <f>IF(pub_gid_0_single_true_output_csv[[#This Row],[Nilai2]]="","",VLOOKUP(pub_gid_0_single_true_output_csv[[#This Row],[NAMA]],Table7[],3,FALSE))</f>
        <v>Average</v>
      </c>
    </row>
    <row r="572" spans="1:37" x14ac:dyDescent="0.2">
      <c r="A572">
        <v>571</v>
      </c>
      <c r="B572" t="s">
        <v>289</v>
      </c>
      <c r="C572" t="s">
        <v>54</v>
      </c>
      <c r="D572" t="s">
        <v>39</v>
      </c>
      <c r="E572" t="s">
        <v>140</v>
      </c>
      <c r="F572" s="25">
        <v>46051</v>
      </c>
      <c r="G572" t="s">
        <v>320</v>
      </c>
      <c r="H572" t="s">
        <v>405</v>
      </c>
      <c r="I572" t="s">
        <v>371</v>
      </c>
      <c r="J572" t="s">
        <v>41</v>
      </c>
      <c r="K572" t="s">
        <v>157</v>
      </c>
      <c r="L572" t="s">
        <v>150</v>
      </c>
      <c r="M572" t="s">
        <v>141</v>
      </c>
      <c r="N572" t="s">
        <v>142</v>
      </c>
      <c r="O572" t="s">
        <v>155</v>
      </c>
      <c r="P572" t="s">
        <v>281</v>
      </c>
      <c r="Q572" t="s">
        <v>155</v>
      </c>
      <c r="R572" t="s">
        <v>273</v>
      </c>
      <c r="S572" t="s">
        <v>309</v>
      </c>
      <c r="T572">
        <v>1</v>
      </c>
      <c r="U572" t="s">
        <v>422</v>
      </c>
      <c r="V572" t="s">
        <v>285</v>
      </c>
      <c r="W572" t="s">
        <v>423</v>
      </c>
      <c r="X572" t="s">
        <v>306</v>
      </c>
      <c r="Y572" t="s">
        <v>307</v>
      </c>
      <c r="Z572">
        <v>65</v>
      </c>
      <c r="AA572">
        <v>70</v>
      </c>
      <c r="AB572" t="s">
        <v>143</v>
      </c>
      <c r="AC572" t="s">
        <v>161</v>
      </c>
      <c r="AD572" t="s">
        <v>125</v>
      </c>
      <c r="AE572" t="str">
        <f>IF(AF572="","",VLOOKUP(AC572,mapel!$A$2:$B$42,2,FALSE))</f>
        <v>TIK</v>
      </c>
      <c r="AF572">
        <f t="shared" si="24"/>
        <v>70</v>
      </c>
      <c r="AG572" t="str">
        <f>IF(AF572="","",IF(AF572&gt;90,"Sangat baik",IF(AF572&gt;79,"Baik",IF(AF572&gt;=pub_gid_0_single_true_output_csv[[#This Row],[KKM]],"Cukup","Kurang"))))</f>
        <v>Cukup</v>
      </c>
      <c r="AH572">
        <f t="shared" si="25"/>
        <v>11</v>
      </c>
      <c r="AI572" s="30" t="str">
        <f>IF(OR(J572&lt;&gt;"Karakter",pub_gid_0_single_true_output_csv[[#This Row],[Nilai2]]=""),"",IF(AF572&gt;89,"Sangat baik",IF(AF572&gt;79,"Baik",IF(AF572&gt;69,"Cukup",IF(AF572&gt;59,"Kurang","Sangat kurang")))))</f>
        <v/>
      </c>
      <c r="AJ572" t="str">
        <f t="shared" si="26"/>
        <v>Wk.5</v>
      </c>
      <c r="AK572" t="str">
        <f>IF(pub_gid_0_single_true_output_csv[[#This Row],[Nilai2]]="","",VLOOKUP(pub_gid_0_single_true_output_csv[[#This Row],[NAMA]],Table7[],3,FALSE))</f>
        <v>Average</v>
      </c>
    </row>
    <row r="573" spans="1:37" x14ac:dyDescent="0.2">
      <c r="A573">
        <v>572</v>
      </c>
      <c r="B573" t="s">
        <v>289</v>
      </c>
      <c r="C573" t="s">
        <v>54</v>
      </c>
      <c r="D573" t="s">
        <v>39</v>
      </c>
      <c r="E573" t="s">
        <v>140</v>
      </c>
      <c r="F573" s="25">
        <v>46051</v>
      </c>
      <c r="G573" t="s">
        <v>320</v>
      </c>
      <c r="H573" t="s">
        <v>405</v>
      </c>
      <c r="I573" t="s">
        <v>371</v>
      </c>
      <c r="J573" t="s">
        <v>36</v>
      </c>
      <c r="K573" t="s">
        <v>153</v>
      </c>
      <c r="L573" t="s">
        <v>319</v>
      </c>
      <c r="M573" t="s">
        <v>141</v>
      </c>
      <c r="N573" t="s">
        <v>142</v>
      </c>
      <c r="O573" t="s">
        <v>155</v>
      </c>
      <c r="P573" t="s">
        <v>281</v>
      </c>
      <c r="Q573" t="s">
        <v>155</v>
      </c>
      <c r="R573" t="s">
        <v>273</v>
      </c>
      <c r="S573" t="s">
        <v>309</v>
      </c>
      <c r="T573">
        <v>1</v>
      </c>
      <c r="U573" t="s">
        <v>422</v>
      </c>
      <c r="V573" t="s">
        <v>285</v>
      </c>
      <c r="W573" t="s">
        <v>423</v>
      </c>
      <c r="X573" t="s">
        <v>306</v>
      </c>
      <c r="Y573" t="s">
        <v>307</v>
      </c>
      <c r="Z573">
        <v>65</v>
      </c>
      <c r="AA573">
        <v>70</v>
      </c>
      <c r="AB573" t="s">
        <v>143</v>
      </c>
      <c r="AC573" t="s">
        <v>161</v>
      </c>
      <c r="AD573" t="s">
        <v>125</v>
      </c>
      <c r="AE573" t="str">
        <f>IF(AF573="","",VLOOKUP(AC573,mapel!$A$2:$B$42,2,FALSE))</f>
        <v>TIK</v>
      </c>
      <c r="AF573">
        <f t="shared" si="24"/>
        <v>70</v>
      </c>
      <c r="AG573" t="str">
        <f>IF(AF573="","",IF(AF573&gt;90,"Sangat baik",IF(AF573&gt;79,"Baik",IF(AF573&gt;=pub_gid_0_single_true_output_csv[[#This Row],[KKM]],"Cukup","Kurang"))))</f>
        <v>Cukup</v>
      </c>
      <c r="AH573">
        <f t="shared" si="25"/>
        <v>11</v>
      </c>
      <c r="AI573" s="30" t="str">
        <f>IF(OR(J573&lt;&gt;"Karakter",pub_gid_0_single_true_output_csv[[#This Row],[Nilai2]]=""),"",IF(AF573&gt;89,"Sangat baik",IF(AF573&gt;79,"Baik",IF(AF573&gt;69,"Cukup",IF(AF573&gt;59,"Kurang","Sangat kurang")))))</f>
        <v/>
      </c>
      <c r="AJ573" t="str">
        <f t="shared" si="26"/>
        <v>Wk.5</v>
      </c>
      <c r="AK573" t="str">
        <f>IF(pub_gid_0_single_true_output_csv[[#This Row],[Nilai2]]="","",VLOOKUP(pub_gid_0_single_true_output_csv[[#This Row],[NAMA]],Table7[],3,FALSE))</f>
        <v>Average</v>
      </c>
    </row>
    <row r="574" spans="1:37" x14ac:dyDescent="0.2">
      <c r="A574">
        <v>573</v>
      </c>
      <c r="B574" t="s">
        <v>289</v>
      </c>
      <c r="C574" t="s">
        <v>54</v>
      </c>
      <c r="D574" t="s">
        <v>39</v>
      </c>
      <c r="E574" t="s">
        <v>140</v>
      </c>
      <c r="F574" s="25">
        <v>46065</v>
      </c>
      <c r="G574" t="s">
        <v>354</v>
      </c>
      <c r="H574" t="s">
        <v>412</v>
      </c>
      <c r="I574" t="s">
        <v>371</v>
      </c>
      <c r="J574" t="s">
        <v>41</v>
      </c>
      <c r="K574" t="s">
        <v>157</v>
      </c>
      <c r="L574" t="s">
        <v>150</v>
      </c>
      <c r="M574" t="s">
        <v>141</v>
      </c>
      <c r="N574" t="s">
        <v>142</v>
      </c>
      <c r="O574" t="s">
        <v>155</v>
      </c>
      <c r="P574" t="s">
        <v>281</v>
      </c>
      <c r="Q574" t="s">
        <v>155</v>
      </c>
      <c r="R574" t="s">
        <v>273</v>
      </c>
      <c r="S574" t="s">
        <v>309</v>
      </c>
      <c r="T574">
        <v>1</v>
      </c>
      <c r="U574" t="s">
        <v>422</v>
      </c>
      <c r="V574" t="s">
        <v>285</v>
      </c>
      <c r="W574" t="s">
        <v>423</v>
      </c>
      <c r="X574" t="s">
        <v>306</v>
      </c>
      <c r="Y574" t="s">
        <v>307</v>
      </c>
      <c r="Z574">
        <v>65</v>
      </c>
      <c r="AA574">
        <v>68</v>
      </c>
      <c r="AB574" t="s">
        <v>143</v>
      </c>
      <c r="AC574" t="s">
        <v>161</v>
      </c>
      <c r="AD574" t="s">
        <v>125</v>
      </c>
      <c r="AE574" t="str">
        <f>IF(AF574="","",VLOOKUP(AC574,mapel!$A$2:$B$42,2,FALSE))</f>
        <v>TIK</v>
      </c>
      <c r="AF574">
        <f t="shared" si="24"/>
        <v>68</v>
      </c>
      <c r="AG574" t="str">
        <f>IF(AF574="","",IF(AF574&gt;90,"Sangat baik",IF(AF574&gt;79,"Baik",IF(AF574&gt;=pub_gid_0_single_true_output_csv[[#This Row],[KKM]],"Cukup","Kurang"))))</f>
        <v>Cukup</v>
      </c>
      <c r="AH574">
        <f t="shared" si="25"/>
        <v>11</v>
      </c>
      <c r="AI574" s="30" t="str">
        <f>IF(OR(J574&lt;&gt;"Karakter",pub_gid_0_single_true_output_csv[[#This Row],[Nilai2]]=""),"",IF(AF574&gt;89,"Sangat baik",IF(AF574&gt;79,"Baik",IF(AF574&gt;69,"Cukup",IF(AF574&gt;59,"Kurang","Sangat kurang")))))</f>
        <v/>
      </c>
      <c r="AJ574" t="str">
        <f t="shared" si="26"/>
        <v>Wk.7</v>
      </c>
      <c r="AK574" t="str">
        <f>IF(pub_gid_0_single_true_output_csv[[#This Row],[Nilai2]]="","",VLOOKUP(pub_gid_0_single_true_output_csv[[#This Row],[NAMA]],Table7[],3,FALSE))</f>
        <v>Average</v>
      </c>
    </row>
    <row r="575" spans="1:37" x14ac:dyDescent="0.2">
      <c r="A575">
        <v>574</v>
      </c>
      <c r="B575" t="s">
        <v>289</v>
      </c>
      <c r="C575" t="s">
        <v>54</v>
      </c>
      <c r="D575" t="s">
        <v>39</v>
      </c>
      <c r="E575" t="s">
        <v>140</v>
      </c>
      <c r="F575" s="25">
        <v>46065</v>
      </c>
      <c r="G575" t="s">
        <v>354</v>
      </c>
      <c r="H575" t="s">
        <v>412</v>
      </c>
      <c r="I575" t="s">
        <v>371</v>
      </c>
      <c r="J575" t="s">
        <v>36</v>
      </c>
      <c r="K575" t="s">
        <v>153</v>
      </c>
      <c r="L575" t="s">
        <v>319</v>
      </c>
      <c r="M575" t="s">
        <v>141</v>
      </c>
      <c r="N575" t="s">
        <v>142</v>
      </c>
      <c r="O575" t="s">
        <v>155</v>
      </c>
      <c r="P575" t="s">
        <v>281</v>
      </c>
      <c r="Q575" t="s">
        <v>155</v>
      </c>
      <c r="R575" t="s">
        <v>273</v>
      </c>
      <c r="S575" t="s">
        <v>309</v>
      </c>
      <c r="T575">
        <v>1</v>
      </c>
      <c r="U575" t="s">
        <v>422</v>
      </c>
      <c r="V575" t="s">
        <v>285</v>
      </c>
      <c r="W575" t="s">
        <v>423</v>
      </c>
      <c r="X575" t="s">
        <v>306</v>
      </c>
      <c r="Y575" t="s">
        <v>307</v>
      </c>
      <c r="Z575">
        <v>65</v>
      </c>
      <c r="AA575">
        <v>68</v>
      </c>
      <c r="AB575" t="s">
        <v>143</v>
      </c>
      <c r="AC575" t="s">
        <v>161</v>
      </c>
      <c r="AD575" t="s">
        <v>125</v>
      </c>
      <c r="AE575" t="str">
        <f>IF(AF575="","",VLOOKUP(AC575,mapel!$A$2:$B$42,2,FALSE))</f>
        <v>TIK</v>
      </c>
      <c r="AF575">
        <f t="shared" si="24"/>
        <v>68</v>
      </c>
      <c r="AG575" t="str">
        <f>IF(AF575="","",IF(AF575&gt;90,"Sangat baik",IF(AF575&gt;79,"Baik",IF(AF575&gt;=pub_gid_0_single_true_output_csv[[#This Row],[KKM]],"Cukup","Kurang"))))</f>
        <v>Cukup</v>
      </c>
      <c r="AH575">
        <f t="shared" si="25"/>
        <v>11</v>
      </c>
      <c r="AI575" s="30" t="str">
        <f>IF(OR(J575&lt;&gt;"Karakter",pub_gid_0_single_true_output_csv[[#This Row],[Nilai2]]=""),"",IF(AF575&gt;89,"Sangat baik",IF(AF575&gt;79,"Baik",IF(AF575&gt;69,"Cukup",IF(AF575&gt;59,"Kurang","Sangat kurang")))))</f>
        <v/>
      </c>
      <c r="AJ575" t="str">
        <f t="shared" si="26"/>
        <v>Wk.7</v>
      </c>
      <c r="AK575" t="str">
        <f>IF(pub_gid_0_single_true_output_csv[[#This Row],[Nilai2]]="","",VLOOKUP(pub_gid_0_single_true_output_csv[[#This Row],[NAMA]],Table7[],3,FALSE))</f>
        <v>Average</v>
      </c>
    </row>
    <row r="576" spans="1:37" x14ac:dyDescent="0.2">
      <c r="A576">
        <v>575</v>
      </c>
      <c r="B576" t="s">
        <v>289</v>
      </c>
      <c r="C576" t="s">
        <v>54</v>
      </c>
      <c r="D576" t="s">
        <v>39</v>
      </c>
      <c r="E576" t="s">
        <v>140</v>
      </c>
      <c r="F576" s="25">
        <v>46065</v>
      </c>
      <c r="G576" t="s">
        <v>354</v>
      </c>
      <c r="H576" t="s">
        <v>412</v>
      </c>
      <c r="I576" t="s">
        <v>371</v>
      </c>
      <c r="J576" t="s">
        <v>90</v>
      </c>
      <c r="K576" t="s">
        <v>377</v>
      </c>
      <c r="L576" t="s">
        <v>399</v>
      </c>
      <c r="M576" t="s">
        <v>141</v>
      </c>
      <c r="N576" t="s">
        <v>142</v>
      </c>
      <c r="O576" t="s">
        <v>155</v>
      </c>
      <c r="P576" t="s">
        <v>281</v>
      </c>
      <c r="Q576" t="s">
        <v>155</v>
      </c>
      <c r="R576" t="s">
        <v>273</v>
      </c>
      <c r="S576" t="s">
        <v>309</v>
      </c>
      <c r="T576">
        <v>1</v>
      </c>
      <c r="U576" t="s">
        <v>422</v>
      </c>
      <c r="V576" t="s">
        <v>285</v>
      </c>
      <c r="W576" t="s">
        <v>423</v>
      </c>
      <c r="X576" t="s">
        <v>306</v>
      </c>
      <c r="Y576" t="s">
        <v>307</v>
      </c>
      <c r="Z576">
        <v>65</v>
      </c>
      <c r="AA576">
        <v>80</v>
      </c>
      <c r="AB576" t="s">
        <v>143</v>
      </c>
      <c r="AC576" t="s">
        <v>161</v>
      </c>
      <c r="AD576" t="s">
        <v>125</v>
      </c>
      <c r="AE576" t="str">
        <f>IF(AF576="","",VLOOKUP(AC576,mapel!$A$2:$B$42,2,FALSE))</f>
        <v>TIK</v>
      </c>
      <c r="AF576">
        <f t="shared" si="24"/>
        <v>80</v>
      </c>
      <c r="AG576" t="str">
        <f>IF(AF576="","",IF(AF576&gt;90,"Sangat baik",IF(AF576&gt;79,"Baik",IF(AF576&gt;=pub_gid_0_single_true_output_csv[[#This Row],[KKM]],"Cukup","Kurang"))))</f>
        <v>Baik</v>
      </c>
      <c r="AH576">
        <f t="shared" si="25"/>
        <v>11</v>
      </c>
      <c r="AI576" s="30" t="str">
        <f>IF(OR(J576&lt;&gt;"Karakter",pub_gid_0_single_true_output_csv[[#This Row],[Nilai2]]=""),"",IF(AF576&gt;89,"Sangat baik",IF(AF576&gt;79,"Baik",IF(AF576&gt;69,"Cukup",IF(AF576&gt;59,"Kurang","Sangat kurang")))))</f>
        <v>Baik</v>
      </c>
      <c r="AJ576" t="str">
        <f t="shared" si="26"/>
        <v>Wk.7</v>
      </c>
      <c r="AK576" t="str">
        <f>IF(pub_gid_0_single_true_output_csv[[#This Row],[Nilai2]]="","",VLOOKUP(pub_gid_0_single_true_output_csv[[#This Row],[NAMA]],Table7[],3,FALSE))</f>
        <v>Average</v>
      </c>
    </row>
    <row r="577" spans="1:37" x14ac:dyDescent="0.2">
      <c r="A577">
        <v>576</v>
      </c>
      <c r="B577" t="s">
        <v>290</v>
      </c>
      <c r="C577" t="s">
        <v>54</v>
      </c>
      <c r="D577" t="s">
        <v>42</v>
      </c>
      <c r="E577" t="s">
        <v>140</v>
      </c>
      <c r="F577" s="25">
        <v>46037</v>
      </c>
      <c r="G577" t="s">
        <v>356</v>
      </c>
      <c r="H577" t="s">
        <v>405</v>
      </c>
      <c r="I577" t="s">
        <v>371</v>
      </c>
      <c r="J577" t="s">
        <v>36</v>
      </c>
      <c r="K577" t="s">
        <v>153</v>
      </c>
      <c r="L577" t="s">
        <v>319</v>
      </c>
      <c r="M577" t="s">
        <v>141</v>
      </c>
      <c r="N577" t="s">
        <v>142</v>
      </c>
      <c r="O577" t="s">
        <v>155</v>
      </c>
      <c r="P577" t="s">
        <v>281</v>
      </c>
      <c r="Q577" t="s">
        <v>155</v>
      </c>
      <c r="R577" t="s">
        <v>273</v>
      </c>
      <c r="S577" t="s">
        <v>309</v>
      </c>
      <c r="T577">
        <v>1</v>
      </c>
      <c r="U577" t="s">
        <v>422</v>
      </c>
      <c r="V577" t="s">
        <v>285</v>
      </c>
      <c r="W577" t="s">
        <v>423</v>
      </c>
      <c r="X577" t="s">
        <v>306</v>
      </c>
      <c r="Y577" t="s">
        <v>307</v>
      </c>
      <c r="Z577">
        <v>65</v>
      </c>
      <c r="AA577">
        <v>60</v>
      </c>
      <c r="AB577" t="s">
        <v>151</v>
      </c>
      <c r="AC577" t="s">
        <v>161</v>
      </c>
      <c r="AD577" t="s">
        <v>125</v>
      </c>
      <c r="AE577" t="str">
        <f>IF(AF577="","",VLOOKUP(AC577,mapel!$A$2:$B$42,2,FALSE))</f>
        <v>TIK</v>
      </c>
      <c r="AF577">
        <f t="shared" si="24"/>
        <v>60</v>
      </c>
      <c r="AG577" t="str">
        <f>IF(AF577="","",IF(AF577&gt;90,"Sangat baik",IF(AF577&gt;79,"Baik",IF(AF577&gt;=pub_gid_0_single_true_output_csv[[#This Row],[KKM]],"Cukup","Kurang"))))</f>
        <v>Kurang</v>
      </c>
      <c r="AH577">
        <f t="shared" si="25"/>
        <v>11</v>
      </c>
      <c r="AI577" s="30" t="str">
        <f>IF(OR(J577&lt;&gt;"Karakter",pub_gid_0_single_true_output_csv[[#This Row],[Nilai2]]=""),"",IF(AF577&gt;89,"Sangat baik",IF(AF577&gt;79,"Baik",IF(AF577&gt;69,"Cukup",IF(AF577&gt;59,"Kurang","Sangat kurang")))))</f>
        <v/>
      </c>
      <c r="AJ577" t="str">
        <f t="shared" si="26"/>
        <v>Wk.3</v>
      </c>
      <c r="AK577" t="str">
        <f>IF(pub_gid_0_single_true_output_csv[[#This Row],[Nilai2]]="","",VLOOKUP(pub_gid_0_single_true_output_csv[[#This Row],[NAMA]],Table7[],3,FALSE))</f>
        <v>Superior</v>
      </c>
    </row>
    <row r="578" spans="1:37" x14ac:dyDescent="0.2">
      <c r="A578">
        <v>577</v>
      </c>
      <c r="B578" t="s">
        <v>290</v>
      </c>
      <c r="C578" t="s">
        <v>54</v>
      </c>
      <c r="D578" t="s">
        <v>42</v>
      </c>
      <c r="E578" t="s">
        <v>140</v>
      </c>
      <c r="F578" s="25">
        <v>46037</v>
      </c>
      <c r="G578" t="s">
        <v>356</v>
      </c>
      <c r="H578" t="s">
        <v>405</v>
      </c>
      <c r="I578" t="s">
        <v>371</v>
      </c>
      <c r="J578" t="s">
        <v>31</v>
      </c>
      <c r="K578" t="s">
        <v>158</v>
      </c>
      <c r="L578" t="s">
        <v>319</v>
      </c>
      <c r="M578" t="s">
        <v>141</v>
      </c>
      <c r="N578" t="s">
        <v>142</v>
      </c>
      <c r="O578" t="s">
        <v>155</v>
      </c>
      <c r="P578" t="s">
        <v>281</v>
      </c>
      <c r="Q578" t="s">
        <v>155</v>
      </c>
      <c r="R578" t="s">
        <v>273</v>
      </c>
      <c r="S578" t="s">
        <v>309</v>
      </c>
      <c r="T578">
        <v>1</v>
      </c>
      <c r="U578" t="s">
        <v>422</v>
      </c>
      <c r="V578" t="s">
        <v>285</v>
      </c>
      <c r="W578" t="s">
        <v>423</v>
      </c>
      <c r="X578" t="s">
        <v>306</v>
      </c>
      <c r="Y578" t="s">
        <v>307</v>
      </c>
      <c r="Z578">
        <v>65</v>
      </c>
      <c r="AA578">
        <v>60</v>
      </c>
      <c r="AB578" t="s">
        <v>151</v>
      </c>
      <c r="AC578" t="s">
        <v>161</v>
      </c>
      <c r="AD578" t="s">
        <v>125</v>
      </c>
      <c r="AE578" t="str">
        <f>IF(AF578="","",VLOOKUP(AC578,mapel!$A$2:$B$42,2,FALSE))</f>
        <v>TIK</v>
      </c>
      <c r="AF578">
        <f t="shared" ref="AF578:AF641" si="27">IF(AA578=0, "",IF(AA578 = 0.1, 0,AA578))</f>
        <v>60</v>
      </c>
      <c r="AG578" t="str">
        <f>IF(AF578="","",IF(AF578&gt;90,"Sangat baik",IF(AF578&gt;79,"Baik",IF(AF578&gt;=pub_gid_0_single_true_output_csv[[#This Row],[KKM]],"Cukup","Kurang"))))</f>
        <v>Kurang</v>
      </c>
      <c r="AH578">
        <f t="shared" ref="AH578:AH641" si="28">IF(AG578="","",VALUE(RIGHT(X578,2)))</f>
        <v>11</v>
      </c>
      <c r="AI578" s="30" t="str">
        <f>IF(OR(J578&lt;&gt;"Karakter",pub_gid_0_single_true_output_csv[[#This Row],[Nilai2]]=""),"",IF(AF578&gt;89,"Sangat baik",IF(AF578&gt;79,"Baik",IF(AF578&gt;69,"Cukup",IF(AF578&gt;59,"Kurang","Sangat kurang")))))</f>
        <v/>
      </c>
      <c r="AJ578" t="str">
        <f t="shared" ref="AJ578:AJ641" si="29">IF(AF578="","",CONCATENATE("Wk.",WEEKNUM(F578,2)))</f>
        <v>Wk.3</v>
      </c>
      <c r="AK578" t="str">
        <f>IF(pub_gid_0_single_true_output_csv[[#This Row],[Nilai2]]="","",VLOOKUP(pub_gid_0_single_true_output_csv[[#This Row],[NAMA]],Table7[],3,FALSE))</f>
        <v>Superior</v>
      </c>
    </row>
    <row r="579" spans="1:37" x14ac:dyDescent="0.2">
      <c r="A579">
        <v>578</v>
      </c>
      <c r="B579" t="s">
        <v>290</v>
      </c>
      <c r="C579" t="s">
        <v>54</v>
      </c>
      <c r="D579" t="s">
        <v>42</v>
      </c>
      <c r="E579" t="s">
        <v>140</v>
      </c>
      <c r="F579" s="25">
        <v>46044</v>
      </c>
      <c r="G579" t="s">
        <v>305</v>
      </c>
      <c r="H579" t="s">
        <v>405</v>
      </c>
      <c r="I579" t="s">
        <v>371</v>
      </c>
      <c r="J579" t="s">
        <v>90</v>
      </c>
      <c r="K579" t="s">
        <v>377</v>
      </c>
      <c r="L579" t="s">
        <v>399</v>
      </c>
      <c r="M579" t="s">
        <v>141</v>
      </c>
      <c r="N579" t="s">
        <v>142</v>
      </c>
      <c r="O579" t="s">
        <v>155</v>
      </c>
      <c r="P579" t="s">
        <v>281</v>
      </c>
      <c r="Q579" t="s">
        <v>155</v>
      </c>
      <c r="R579" t="s">
        <v>273</v>
      </c>
      <c r="S579" t="s">
        <v>309</v>
      </c>
      <c r="T579">
        <v>1</v>
      </c>
      <c r="U579" t="s">
        <v>422</v>
      </c>
      <c r="V579" t="s">
        <v>285</v>
      </c>
      <c r="W579" t="s">
        <v>423</v>
      </c>
      <c r="X579" t="s">
        <v>306</v>
      </c>
      <c r="Y579" t="s">
        <v>307</v>
      </c>
      <c r="Z579">
        <v>65</v>
      </c>
      <c r="AA579">
        <v>65</v>
      </c>
      <c r="AB579" t="s">
        <v>143</v>
      </c>
      <c r="AC579" t="s">
        <v>161</v>
      </c>
      <c r="AD579" t="s">
        <v>125</v>
      </c>
      <c r="AE579" t="str">
        <f>IF(AF579="","",VLOOKUP(AC579,mapel!$A$2:$B$42,2,FALSE))</f>
        <v>TIK</v>
      </c>
      <c r="AF579">
        <f t="shared" si="27"/>
        <v>65</v>
      </c>
      <c r="AG579" t="str">
        <f>IF(AF579="","",IF(AF579&gt;90,"Sangat baik",IF(AF579&gt;79,"Baik",IF(AF579&gt;=pub_gid_0_single_true_output_csv[[#This Row],[KKM]],"Cukup","Kurang"))))</f>
        <v>Cukup</v>
      </c>
      <c r="AH579">
        <f t="shared" si="28"/>
        <v>11</v>
      </c>
      <c r="AI579" s="30" t="str">
        <f>IF(OR(J579&lt;&gt;"Karakter",pub_gid_0_single_true_output_csv[[#This Row],[Nilai2]]=""),"",IF(AF579&gt;89,"Sangat baik",IF(AF579&gt;79,"Baik",IF(AF579&gt;69,"Cukup",IF(AF579&gt;59,"Kurang","Sangat kurang")))))</f>
        <v>Kurang</v>
      </c>
      <c r="AJ579" t="str">
        <f t="shared" si="29"/>
        <v>Wk.4</v>
      </c>
      <c r="AK579" t="str">
        <f>IF(pub_gid_0_single_true_output_csv[[#This Row],[Nilai2]]="","",VLOOKUP(pub_gid_0_single_true_output_csv[[#This Row],[NAMA]],Table7[],3,FALSE))</f>
        <v>Superior</v>
      </c>
    </row>
    <row r="580" spans="1:37" x14ac:dyDescent="0.2">
      <c r="A580">
        <v>579</v>
      </c>
      <c r="B580" t="s">
        <v>290</v>
      </c>
      <c r="C580" t="s">
        <v>54</v>
      </c>
      <c r="D580" t="s">
        <v>42</v>
      </c>
      <c r="E580" t="s">
        <v>140</v>
      </c>
      <c r="F580" s="25">
        <v>46044</v>
      </c>
      <c r="G580" t="s">
        <v>305</v>
      </c>
      <c r="H580" t="s">
        <v>405</v>
      </c>
      <c r="I580" t="s">
        <v>371</v>
      </c>
      <c r="J580" t="s">
        <v>279</v>
      </c>
      <c r="K580" t="s">
        <v>280</v>
      </c>
      <c r="L580" t="s">
        <v>150</v>
      </c>
      <c r="M580" t="s">
        <v>141</v>
      </c>
      <c r="N580" t="s">
        <v>142</v>
      </c>
      <c r="O580" t="s">
        <v>155</v>
      </c>
      <c r="P580" t="s">
        <v>281</v>
      </c>
      <c r="Q580" t="s">
        <v>155</v>
      </c>
      <c r="R580" t="s">
        <v>273</v>
      </c>
      <c r="S580" t="s">
        <v>309</v>
      </c>
      <c r="T580">
        <v>1</v>
      </c>
      <c r="U580" t="s">
        <v>422</v>
      </c>
      <c r="V580" t="s">
        <v>285</v>
      </c>
      <c r="W580" t="s">
        <v>423</v>
      </c>
      <c r="X580" t="s">
        <v>306</v>
      </c>
      <c r="Y580" t="s">
        <v>307</v>
      </c>
      <c r="Z580">
        <v>65</v>
      </c>
      <c r="AA580">
        <v>60</v>
      </c>
      <c r="AB580" t="s">
        <v>151</v>
      </c>
      <c r="AC580" t="s">
        <v>161</v>
      </c>
      <c r="AD580" t="s">
        <v>125</v>
      </c>
      <c r="AE580" t="str">
        <f>IF(AF580="","",VLOOKUP(AC580,mapel!$A$2:$B$42,2,FALSE))</f>
        <v>TIK</v>
      </c>
      <c r="AF580">
        <f t="shared" si="27"/>
        <v>60</v>
      </c>
      <c r="AG580" t="str">
        <f>IF(AF580="","",IF(AF580&gt;90,"Sangat baik",IF(AF580&gt;79,"Baik",IF(AF580&gt;=pub_gid_0_single_true_output_csv[[#This Row],[KKM]],"Cukup","Kurang"))))</f>
        <v>Kurang</v>
      </c>
      <c r="AH580">
        <f t="shared" si="28"/>
        <v>11</v>
      </c>
      <c r="AI580" s="30" t="str">
        <f>IF(OR(J580&lt;&gt;"Karakter",pub_gid_0_single_true_output_csv[[#This Row],[Nilai2]]=""),"",IF(AF580&gt;89,"Sangat baik",IF(AF580&gt;79,"Baik",IF(AF580&gt;69,"Cukup",IF(AF580&gt;59,"Kurang","Sangat kurang")))))</f>
        <v/>
      </c>
      <c r="AJ580" t="str">
        <f t="shared" si="29"/>
        <v>Wk.4</v>
      </c>
      <c r="AK580" t="str">
        <f>IF(pub_gid_0_single_true_output_csv[[#This Row],[Nilai2]]="","",VLOOKUP(pub_gid_0_single_true_output_csv[[#This Row],[NAMA]],Table7[],3,FALSE))</f>
        <v>Superior</v>
      </c>
    </row>
    <row r="581" spans="1:37" x14ac:dyDescent="0.2">
      <c r="A581">
        <v>580</v>
      </c>
      <c r="B581" t="s">
        <v>290</v>
      </c>
      <c r="C581" t="s">
        <v>54</v>
      </c>
      <c r="D581" t="s">
        <v>42</v>
      </c>
      <c r="E581" t="s">
        <v>140</v>
      </c>
      <c r="F581" s="25">
        <v>46044</v>
      </c>
      <c r="G581" t="s">
        <v>305</v>
      </c>
      <c r="H581" t="s">
        <v>405</v>
      </c>
      <c r="I581" t="s">
        <v>371</v>
      </c>
      <c r="J581" t="s">
        <v>41</v>
      </c>
      <c r="K581" t="s">
        <v>157</v>
      </c>
      <c r="L581" t="s">
        <v>150</v>
      </c>
      <c r="M581" t="s">
        <v>141</v>
      </c>
      <c r="N581" t="s">
        <v>142</v>
      </c>
      <c r="O581" t="s">
        <v>155</v>
      </c>
      <c r="P581" t="s">
        <v>281</v>
      </c>
      <c r="Q581" t="s">
        <v>155</v>
      </c>
      <c r="R581" t="s">
        <v>273</v>
      </c>
      <c r="S581" t="s">
        <v>309</v>
      </c>
      <c r="T581">
        <v>1</v>
      </c>
      <c r="U581" t="s">
        <v>422</v>
      </c>
      <c r="V581" t="s">
        <v>285</v>
      </c>
      <c r="W581" t="s">
        <v>423</v>
      </c>
      <c r="X581" t="s">
        <v>306</v>
      </c>
      <c r="Y581" t="s">
        <v>307</v>
      </c>
      <c r="Z581">
        <v>65</v>
      </c>
      <c r="AA581">
        <v>60</v>
      </c>
      <c r="AB581" t="s">
        <v>151</v>
      </c>
      <c r="AC581" t="s">
        <v>161</v>
      </c>
      <c r="AD581" t="s">
        <v>125</v>
      </c>
      <c r="AE581" t="str">
        <f>IF(AF581="","",VLOOKUP(AC581,mapel!$A$2:$B$42,2,FALSE))</f>
        <v>TIK</v>
      </c>
      <c r="AF581">
        <f t="shared" si="27"/>
        <v>60</v>
      </c>
      <c r="AG581" t="str">
        <f>IF(AF581="","",IF(AF581&gt;90,"Sangat baik",IF(AF581&gt;79,"Baik",IF(AF581&gt;=pub_gid_0_single_true_output_csv[[#This Row],[KKM]],"Cukup","Kurang"))))</f>
        <v>Kurang</v>
      </c>
      <c r="AH581">
        <f t="shared" si="28"/>
        <v>11</v>
      </c>
      <c r="AI581" s="30" t="str">
        <f>IF(OR(J581&lt;&gt;"Karakter",pub_gid_0_single_true_output_csv[[#This Row],[Nilai2]]=""),"",IF(AF581&gt;89,"Sangat baik",IF(AF581&gt;79,"Baik",IF(AF581&gt;69,"Cukup",IF(AF581&gt;59,"Kurang","Sangat kurang")))))</f>
        <v/>
      </c>
      <c r="AJ581" t="str">
        <f t="shared" si="29"/>
        <v>Wk.4</v>
      </c>
      <c r="AK581" t="str">
        <f>IF(pub_gid_0_single_true_output_csv[[#This Row],[Nilai2]]="","",VLOOKUP(pub_gid_0_single_true_output_csv[[#This Row],[NAMA]],Table7[],3,FALSE))</f>
        <v>Superior</v>
      </c>
    </row>
    <row r="582" spans="1:37" x14ac:dyDescent="0.2">
      <c r="A582">
        <v>581</v>
      </c>
      <c r="B582" t="s">
        <v>290</v>
      </c>
      <c r="C582" t="s">
        <v>54</v>
      </c>
      <c r="D582" t="s">
        <v>42</v>
      </c>
      <c r="E582" t="s">
        <v>140</v>
      </c>
      <c r="F582" s="25">
        <v>46051</v>
      </c>
      <c r="G582" t="s">
        <v>320</v>
      </c>
      <c r="H582" t="s">
        <v>405</v>
      </c>
      <c r="I582" t="s">
        <v>371</v>
      </c>
      <c r="J582" t="s">
        <v>41</v>
      </c>
      <c r="K582" t="s">
        <v>157</v>
      </c>
      <c r="L582" t="s">
        <v>150</v>
      </c>
      <c r="M582" t="s">
        <v>141</v>
      </c>
      <c r="N582" t="s">
        <v>142</v>
      </c>
      <c r="O582" t="s">
        <v>155</v>
      </c>
      <c r="P582" t="s">
        <v>281</v>
      </c>
      <c r="Q582" t="s">
        <v>155</v>
      </c>
      <c r="R582" t="s">
        <v>273</v>
      </c>
      <c r="S582" t="s">
        <v>309</v>
      </c>
      <c r="T582">
        <v>1</v>
      </c>
      <c r="U582" t="s">
        <v>422</v>
      </c>
      <c r="V582" t="s">
        <v>285</v>
      </c>
      <c r="W582" t="s">
        <v>423</v>
      </c>
      <c r="X582" t="s">
        <v>306</v>
      </c>
      <c r="Y582" t="s">
        <v>307</v>
      </c>
      <c r="Z582">
        <v>65</v>
      </c>
      <c r="AA582">
        <v>60</v>
      </c>
      <c r="AB582" t="s">
        <v>151</v>
      </c>
      <c r="AC582" t="s">
        <v>161</v>
      </c>
      <c r="AD582" t="s">
        <v>125</v>
      </c>
      <c r="AE582" t="str">
        <f>IF(AF582="","",VLOOKUP(AC582,mapel!$A$2:$B$42,2,FALSE))</f>
        <v>TIK</v>
      </c>
      <c r="AF582">
        <f t="shared" si="27"/>
        <v>60</v>
      </c>
      <c r="AG582" t="str">
        <f>IF(AF582="","",IF(AF582&gt;90,"Sangat baik",IF(AF582&gt;79,"Baik",IF(AF582&gt;=pub_gid_0_single_true_output_csv[[#This Row],[KKM]],"Cukup","Kurang"))))</f>
        <v>Kurang</v>
      </c>
      <c r="AH582">
        <f t="shared" si="28"/>
        <v>11</v>
      </c>
      <c r="AI582" s="30" t="str">
        <f>IF(OR(J582&lt;&gt;"Karakter",pub_gid_0_single_true_output_csv[[#This Row],[Nilai2]]=""),"",IF(AF582&gt;89,"Sangat baik",IF(AF582&gt;79,"Baik",IF(AF582&gt;69,"Cukup",IF(AF582&gt;59,"Kurang","Sangat kurang")))))</f>
        <v/>
      </c>
      <c r="AJ582" t="str">
        <f t="shared" si="29"/>
        <v>Wk.5</v>
      </c>
      <c r="AK582" t="str">
        <f>IF(pub_gid_0_single_true_output_csv[[#This Row],[Nilai2]]="","",VLOOKUP(pub_gid_0_single_true_output_csv[[#This Row],[NAMA]],Table7[],3,FALSE))</f>
        <v>Superior</v>
      </c>
    </row>
    <row r="583" spans="1:37" x14ac:dyDescent="0.2">
      <c r="A583">
        <v>582</v>
      </c>
      <c r="B583" t="s">
        <v>290</v>
      </c>
      <c r="C583" t="s">
        <v>54</v>
      </c>
      <c r="D583" t="s">
        <v>42</v>
      </c>
      <c r="E583" t="s">
        <v>140</v>
      </c>
      <c r="F583" s="25">
        <v>46051</v>
      </c>
      <c r="G583" t="s">
        <v>320</v>
      </c>
      <c r="H583" t="s">
        <v>405</v>
      </c>
      <c r="I583" t="s">
        <v>371</v>
      </c>
      <c r="J583" t="s">
        <v>36</v>
      </c>
      <c r="K583" t="s">
        <v>153</v>
      </c>
      <c r="L583" t="s">
        <v>319</v>
      </c>
      <c r="M583" t="s">
        <v>141</v>
      </c>
      <c r="N583" t="s">
        <v>142</v>
      </c>
      <c r="O583" t="s">
        <v>155</v>
      </c>
      <c r="P583" t="s">
        <v>281</v>
      </c>
      <c r="Q583" t="s">
        <v>155</v>
      </c>
      <c r="R583" t="s">
        <v>273</v>
      </c>
      <c r="S583" t="s">
        <v>309</v>
      </c>
      <c r="T583">
        <v>1</v>
      </c>
      <c r="U583" t="s">
        <v>422</v>
      </c>
      <c r="V583" t="s">
        <v>285</v>
      </c>
      <c r="W583" t="s">
        <v>423</v>
      </c>
      <c r="X583" t="s">
        <v>306</v>
      </c>
      <c r="Y583" t="s">
        <v>307</v>
      </c>
      <c r="Z583">
        <v>65</v>
      </c>
      <c r="AA583">
        <v>60</v>
      </c>
      <c r="AB583" t="s">
        <v>151</v>
      </c>
      <c r="AC583" t="s">
        <v>161</v>
      </c>
      <c r="AD583" t="s">
        <v>125</v>
      </c>
      <c r="AE583" t="str">
        <f>IF(AF583="","",VLOOKUP(AC583,mapel!$A$2:$B$42,2,FALSE))</f>
        <v>TIK</v>
      </c>
      <c r="AF583">
        <f t="shared" si="27"/>
        <v>60</v>
      </c>
      <c r="AG583" t="str">
        <f>IF(AF583="","",IF(AF583&gt;90,"Sangat baik",IF(AF583&gt;79,"Baik",IF(AF583&gt;=pub_gid_0_single_true_output_csv[[#This Row],[KKM]],"Cukup","Kurang"))))</f>
        <v>Kurang</v>
      </c>
      <c r="AH583">
        <f t="shared" si="28"/>
        <v>11</v>
      </c>
      <c r="AI583" s="30" t="str">
        <f>IF(OR(J583&lt;&gt;"Karakter",pub_gid_0_single_true_output_csv[[#This Row],[Nilai2]]=""),"",IF(AF583&gt;89,"Sangat baik",IF(AF583&gt;79,"Baik",IF(AF583&gt;69,"Cukup",IF(AF583&gt;59,"Kurang","Sangat kurang")))))</f>
        <v/>
      </c>
      <c r="AJ583" t="str">
        <f t="shared" si="29"/>
        <v>Wk.5</v>
      </c>
      <c r="AK583" t="str">
        <f>IF(pub_gid_0_single_true_output_csv[[#This Row],[Nilai2]]="","",VLOOKUP(pub_gid_0_single_true_output_csv[[#This Row],[NAMA]],Table7[],3,FALSE))</f>
        <v>Superior</v>
      </c>
    </row>
    <row r="584" spans="1:37" x14ac:dyDescent="0.2">
      <c r="A584">
        <v>583</v>
      </c>
      <c r="B584" t="s">
        <v>290</v>
      </c>
      <c r="C584" t="s">
        <v>54</v>
      </c>
      <c r="D584" t="s">
        <v>42</v>
      </c>
      <c r="E584" t="s">
        <v>140</v>
      </c>
      <c r="F584" s="25">
        <v>46065</v>
      </c>
      <c r="G584" t="s">
        <v>354</v>
      </c>
      <c r="H584" t="s">
        <v>412</v>
      </c>
      <c r="I584" t="s">
        <v>371</v>
      </c>
      <c r="J584" t="s">
        <v>41</v>
      </c>
      <c r="K584" t="s">
        <v>157</v>
      </c>
      <c r="L584" t="s">
        <v>150</v>
      </c>
      <c r="M584" t="s">
        <v>141</v>
      </c>
      <c r="N584" t="s">
        <v>142</v>
      </c>
      <c r="O584" t="s">
        <v>155</v>
      </c>
      <c r="P584" t="s">
        <v>281</v>
      </c>
      <c r="Q584" t="s">
        <v>155</v>
      </c>
      <c r="R584" t="s">
        <v>273</v>
      </c>
      <c r="S584" t="s">
        <v>309</v>
      </c>
      <c r="T584">
        <v>1</v>
      </c>
      <c r="U584" t="s">
        <v>422</v>
      </c>
      <c r="V584" t="s">
        <v>285</v>
      </c>
      <c r="W584" t="s">
        <v>423</v>
      </c>
      <c r="X584" t="s">
        <v>306</v>
      </c>
      <c r="Y584" t="s">
        <v>307</v>
      </c>
      <c r="Z584">
        <v>65</v>
      </c>
      <c r="AA584">
        <v>60</v>
      </c>
      <c r="AB584" t="s">
        <v>151</v>
      </c>
      <c r="AC584" t="s">
        <v>161</v>
      </c>
      <c r="AD584" t="s">
        <v>125</v>
      </c>
      <c r="AE584" t="str">
        <f>IF(AF584="","",VLOOKUP(AC584,mapel!$A$2:$B$42,2,FALSE))</f>
        <v>TIK</v>
      </c>
      <c r="AF584">
        <f t="shared" si="27"/>
        <v>60</v>
      </c>
      <c r="AG584" t="str">
        <f>IF(AF584="","",IF(AF584&gt;90,"Sangat baik",IF(AF584&gt;79,"Baik",IF(AF584&gt;=pub_gid_0_single_true_output_csv[[#This Row],[KKM]],"Cukup","Kurang"))))</f>
        <v>Kurang</v>
      </c>
      <c r="AH584">
        <f t="shared" si="28"/>
        <v>11</v>
      </c>
      <c r="AI584" s="30" t="str">
        <f>IF(OR(J584&lt;&gt;"Karakter",pub_gid_0_single_true_output_csv[[#This Row],[Nilai2]]=""),"",IF(AF584&gt;89,"Sangat baik",IF(AF584&gt;79,"Baik",IF(AF584&gt;69,"Cukup",IF(AF584&gt;59,"Kurang","Sangat kurang")))))</f>
        <v/>
      </c>
      <c r="AJ584" t="str">
        <f t="shared" si="29"/>
        <v>Wk.7</v>
      </c>
      <c r="AK584" t="str">
        <f>IF(pub_gid_0_single_true_output_csv[[#This Row],[Nilai2]]="","",VLOOKUP(pub_gid_0_single_true_output_csv[[#This Row],[NAMA]],Table7[],3,FALSE))</f>
        <v>Superior</v>
      </c>
    </row>
    <row r="585" spans="1:37" x14ac:dyDescent="0.2">
      <c r="A585">
        <v>584</v>
      </c>
      <c r="B585" t="s">
        <v>290</v>
      </c>
      <c r="C585" t="s">
        <v>54</v>
      </c>
      <c r="D585" t="s">
        <v>42</v>
      </c>
      <c r="E585" t="s">
        <v>140</v>
      </c>
      <c r="F585" s="25">
        <v>46065</v>
      </c>
      <c r="G585" t="s">
        <v>354</v>
      </c>
      <c r="H585" t="s">
        <v>412</v>
      </c>
      <c r="I585" t="s">
        <v>371</v>
      </c>
      <c r="J585" t="s">
        <v>36</v>
      </c>
      <c r="K585" t="s">
        <v>153</v>
      </c>
      <c r="L585" t="s">
        <v>319</v>
      </c>
      <c r="M585" t="s">
        <v>141</v>
      </c>
      <c r="N585" t="s">
        <v>142</v>
      </c>
      <c r="O585" t="s">
        <v>155</v>
      </c>
      <c r="P585" t="s">
        <v>281</v>
      </c>
      <c r="Q585" t="s">
        <v>155</v>
      </c>
      <c r="R585" t="s">
        <v>273</v>
      </c>
      <c r="S585" t="s">
        <v>309</v>
      </c>
      <c r="T585">
        <v>1</v>
      </c>
      <c r="U585" t="s">
        <v>422</v>
      </c>
      <c r="V585" t="s">
        <v>285</v>
      </c>
      <c r="W585" t="s">
        <v>423</v>
      </c>
      <c r="X585" t="s">
        <v>306</v>
      </c>
      <c r="Y585" t="s">
        <v>307</v>
      </c>
      <c r="Z585">
        <v>65</v>
      </c>
      <c r="AA585">
        <v>58</v>
      </c>
      <c r="AB585" t="s">
        <v>151</v>
      </c>
      <c r="AC585" t="s">
        <v>161</v>
      </c>
      <c r="AD585" t="s">
        <v>125</v>
      </c>
      <c r="AE585" t="str">
        <f>IF(AF585="","",VLOOKUP(AC585,mapel!$A$2:$B$42,2,FALSE))</f>
        <v>TIK</v>
      </c>
      <c r="AF585">
        <f t="shared" si="27"/>
        <v>58</v>
      </c>
      <c r="AG585" t="str">
        <f>IF(AF585="","",IF(AF585&gt;90,"Sangat baik",IF(AF585&gt;79,"Baik",IF(AF585&gt;=pub_gid_0_single_true_output_csv[[#This Row],[KKM]],"Cukup","Kurang"))))</f>
        <v>Kurang</v>
      </c>
      <c r="AH585">
        <f t="shared" si="28"/>
        <v>11</v>
      </c>
      <c r="AI585" s="30" t="str">
        <f>IF(OR(J585&lt;&gt;"Karakter",pub_gid_0_single_true_output_csv[[#This Row],[Nilai2]]=""),"",IF(AF585&gt;89,"Sangat baik",IF(AF585&gt;79,"Baik",IF(AF585&gt;69,"Cukup",IF(AF585&gt;59,"Kurang","Sangat kurang")))))</f>
        <v/>
      </c>
      <c r="AJ585" t="str">
        <f t="shared" si="29"/>
        <v>Wk.7</v>
      </c>
      <c r="AK585" t="str">
        <f>IF(pub_gid_0_single_true_output_csv[[#This Row],[Nilai2]]="","",VLOOKUP(pub_gid_0_single_true_output_csv[[#This Row],[NAMA]],Table7[],3,FALSE))</f>
        <v>Superior</v>
      </c>
    </row>
    <row r="586" spans="1:37" x14ac:dyDescent="0.2">
      <c r="A586">
        <v>585</v>
      </c>
      <c r="B586" t="s">
        <v>290</v>
      </c>
      <c r="C586" t="s">
        <v>54</v>
      </c>
      <c r="D586" t="s">
        <v>42</v>
      </c>
      <c r="E586" t="s">
        <v>140</v>
      </c>
      <c r="F586" s="25">
        <v>46065</v>
      </c>
      <c r="G586" t="s">
        <v>354</v>
      </c>
      <c r="H586" t="s">
        <v>412</v>
      </c>
      <c r="I586" t="s">
        <v>371</v>
      </c>
      <c r="J586" t="s">
        <v>90</v>
      </c>
      <c r="K586" t="s">
        <v>377</v>
      </c>
      <c r="L586" t="s">
        <v>399</v>
      </c>
      <c r="M586" t="s">
        <v>141</v>
      </c>
      <c r="N586" t="s">
        <v>142</v>
      </c>
      <c r="O586" t="s">
        <v>155</v>
      </c>
      <c r="P586" t="s">
        <v>281</v>
      </c>
      <c r="Q586" t="s">
        <v>155</v>
      </c>
      <c r="R586" t="s">
        <v>273</v>
      </c>
      <c r="S586" t="s">
        <v>309</v>
      </c>
      <c r="T586">
        <v>1</v>
      </c>
      <c r="U586" t="s">
        <v>422</v>
      </c>
      <c r="V586" t="s">
        <v>285</v>
      </c>
      <c r="W586" t="s">
        <v>423</v>
      </c>
      <c r="X586" t="s">
        <v>306</v>
      </c>
      <c r="Y586" t="s">
        <v>307</v>
      </c>
      <c r="Z586">
        <v>65</v>
      </c>
      <c r="AA586">
        <v>65</v>
      </c>
      <c r="AB586" t="s">
        <v>143</v>
      </c>
      <c r="AC586" t="s">
        <v>161</v>
      </c>
      <c r="AD586" t="s">
        <v>125</v>
      </c>
      <c r="AE586" t="str">
        <f>IF(AF586="","",VLOOKUP(AC586,mapel!$A$2:$B$42,2,FALSE))</f>
        <v>TIK</v>
      </c>
      <c r="AF586">
        <f t="shared" si="27"/>
        <v>65</v>
      </c>
      <c r="AG586" t="str">
        <f>IF(AF586="","",IF(AF586&gt;90,"Sangat baik",IF(AF586&gt;79,"Baik",IF(AF586&gt;=pub_gid_0_single_true_output_csv[[#This Row],[KKM]],"Cukup","Kurang"))))</f>
        <v>Cukup</v>
      </c>
      <c r="AH586">
        <f t="shared" si="28"/>
        <v>11</v>
      </c>
      <c r="AI586" s="30" t="str">
        <f>IF(OR(J586&lt;&gt;"Karakter",pub_gid_0_single_true_output_csv[[#This Row],[Nilai2]]=""),"",IF(AF586&gt;89,"Sangat baik",IF(AF586&gt;79,"Baik",IF(AF586&gt;69,"Cukup",IF(AF586&gt;59,"Kurang","Sangat kurang")))))</f>
        <v>Kurang</v>
      </c>
      <c r="AJ586" t="str">
        <f t="shared" si="29"/>
        <v>Wk.7</v>
      </c>
      <c r="AK586" t="str">
        <f>IF(pub_gid_0_single_true_output_csv[[#This Row],[Nilai2]]="","",VLOOKUP(pub_gid_0_single_true_output_csv[[#This Row],[NAMA]],Table7[],3,FALSE))</f>
        <v>Superior</v>
      </c>
    </row>
    <row r="587" spans="1:37" x14ac:dyDescent="0.2">
      <c r="A587">
        <v>586</v>
      </c>
      <c r="B587" t="s">
        <v>291</v>
      </c>
      <c r="C587" t="s">
        <v>54</v>
      </c>
      <c r="D587" t="s">
        <v>43</v>
      </c>
      <c r="E587" t="s">
        <v>146</v>
      </c>
      <c r="F587" s="25">
        <v>46037</v>
      </c>
      <c r="G587" t="s">
        <v>356</v>
      </c>
      <c r="H587" t="s">
        <v>405</v>
      </c>
      <c r="I587" t="s">
        <v>371</v>
      </c>
      <c r="J587" t="s">
        <v>36</v>
      </c>
      <c r="K587" t="s">
        <v>153</v>
      </c>
      <c r="L587" t="s">
        <v>319</v>
      </c>
      <c r="M587" t="s">
        <v>141</v>
      </c>
      <c r="N587" t="s">
        <v>142</v>
      </c>
      <c r="O587" t="s">
        <v>155</v>
      </c>
      <c r="P587" t="s">
        <v>281</v>
      </c>
      <c r="Q587" t="s">
        <v>155</v>
      </c>
      <c r="R587" t="s">
        <v>273</v>
      </c>
      <c r="S587" t="s">
        <v>309</v>
      </c>
      <c r="T587">
        <v>1</v>
      </c>
      <c r="U587" t="s">
        <v>422</v>
      </c>
      <c r="V587" t="s">
        <v>285</v>
      </c>
      <c r="W587" t="s">
        <v>423</v>
      </c>
      <c r="X587" t="s">
        <v>306</v>
      </c>
      <c r="Y587" t="s">
        <v>307</v>
      </c>
      <c r="Z587">
        <v>65</v>
      </c>
      <c r="AA587">
        <v>75</v>
      </c>
      <c r="AB587" t="s">
        <v>143</v>
      </c>
      <c r="AC587" t="s">
        <v>161</v>
      </c>
      <c r="AD587" t="s">
        <v>125</v>
      </c>
      <c r="AE587" t="str">
        <f>IF(AF587="","",VLOOKUP(AC587,mapel!$A$2:$B$42,2,FALSE))</f>
        <v>TIK</v>
      </c>
      <c r="AF587">
        <f t="shared" si="27"/>
        <v>75</v>
      </c>
      <c r="AG587" t="str">
        <f>IF(AF587="","",IF(AF587&gt;90,"Sangat baik",IF(AF587&gt;79,"Baik",IF(AF587&gt;=pub_gid_0_single_true_output_csv[[#This Row],[KKM]],"Cukup","Kurang"))))</f>
        <v>Cukup</v>
      </c>
      <c r="AH587">
        <f t="shared" si="28"/>
        <v>11</v>
      </c>
      <c r="AI587" s="30" t="str">
        <f>IF(OR(J587&lt;&gt;"Karakter",pub_gid_0_single_true_output_csv[[#This Row],[Nilai2]]=""),"",IF(AF587&gt;89,"Sangat baik",IF(AF587&gt;79,"Baik",IF(AF587&gt;69,"Cukup",IF(AF587&gt;59,"Kurang","Sangat kurang")))))</f>
        <v/>
      </c>
      <c r="AJ587" t="str">
        <f t="shared" si="29"/>
        <v>Wk.3</v>
      </c>
      <c r="AK587" t="str">
        <f>IF(pub_gid_0_single_true_output_csv[[#This Row],[Nilai2]]="","",VLOOKUP(pub_gid_0_single_true_output_csv[[#This Row],[NAMA]],Table7[],3,FALSE))</f>
        <v>High average</v>
      </c>
    </row>
    <row r="588" spans="1:37" x14ac:dyDescent="0.2">
      <c r="A588">
        <v>587</v>
      </c>
      <c r="B588" t="s">
        <v>291</v>
      </c>
      <c r="C588" t="s">
        <v>54</v>
      </c>
      <c r="D588" t="s">
        <v>43</v>
      </c>
      <c r="E588" t="s">
        <v>146</v>
      </c>
      <c r="F588" s="25">
        <v>46037</v>
      </c>
      <c r="G588" t="s">
        <v>356</v>
      </c>
      <c r="H588" t="s">
        <v>405</v>
      </c>
      <c r="I588" t="s">
        <v>371</v>
      </c>
      <c r="J588" t="s">
        <v>31</v>
      </c>
      <c r="K588" t="s">
        <v>158</v>
      </c>
      <c r="L588" t="s">
        <v>319</v>
      </c>
      <c r="M588" t="s">
        <v>141</v>
      </c>
      <c r="N588" t="s">
        <v>142</v>
      </c>
      <c r="O588" t="s">
        <v>155</v>
      </c>
      <c r="P588" t="s">
        <v>281</v>
      </c>
      <c r="Q588" t="s">
        <v>155</v>
      </c>
      <c r="R588" t="s">
        <v>273</v>
      </c>
      <c r="S588" t="s">
        <v>309</v>
      </c>
      <c r="T588">
        <v>1</v>
      </c>
      <c r="U588" t="s">
        <v>422</v>
      </c>
      <c r="V588" t="s">
        <v>285</v>
      </c>
      <c r="W588" t="s">
        <v>423</v>
      </c>
      <c r="X588" t="s">
        <v>306</v>
      </c>
      <c r="Y588" t="s">
        <v>307</v>
      </c>
      <c r="Z588">
        <v>65</v>
      </c>
      <c r="AA588">
        <v>70</v>
      </c>
      <c r="AB588" t="s">
        <v>143</v>
      </c>
      <c r="AC588" t="s">
        <v>161</v>
      </c>
      <c r="AD588" t="s">
        <v>125</v>
      </c>
      <c r="AE588" t="str">
        <f>IF(AF588="","",VLOOKUP(AC588,mapel!$A$2:$B$42,2,FALSE))</f>
        <v>TIK</v>
      </c>
      <c r="AF588">
        <f t="shared" si="27"/>
        <v>70</v>
      </c>
      <c r="AG588" t="str">
        <f>IF(AF588="","",IF(AF588&gt;90,"Sangat baik",IF(AF588&gt;79,"Baik",IF(AF588&gt;=pub_gid_0_single_true_output_csv[[#This Row],[KKM]],"Cukup","Kurang"))))</f>
        <v>Cukup</v>
      </c>
      <c r="AH588">
        <f t="shared" si="28"/>
        <v>11</v>
      </c>
      <c r="AI588" s="30" t="str">
        <f>IF(OR(J588&lt;&gt;"Karakter",pub_gid_0_single_true_output_csv[[#This Row],[Nilai2]]=""),"",IF(AF588&gt;89,"Sangat baik",IF(AF588&gt;79,"Baik",IF(AF588&gt;69,"Cukup",IF(AF588&gt;59,"Kurang","Sangat kurang")))))</f>
        <v/>
      </c>
      <c r="AJ588" t="str">
        <f t="shared" si="29"/>
        <v>Wk.3</v>
      </c>
      <c r="AK588" t="str">
        <f>IF(pub_gid_0_single_true_output_csv[[#This Row],[Nilai2]]="","",VLOOKUP(pub_gid_0_single_true_output_csv[[#This Row],[NAMA]],Table7[],3,FALSE))</f>
        <v>High average</v>
      </c>
    </row>
    <row r="589" spans="1:37" x14ac:dyDescent="0.2">
      <c r="A589">
        <v>588</v>
      </c>
      <c r="B589" t="s">
        <v>291</v>
      </c>
      <c r="C589" t="s">
        <v>54</v>
      </c>
      <c r="D589" t="s">
        <v>43</v>
      </c>
      <c r="E589" t="s">
        <v>146</v>
      </c>
      <c r="F589" s="25">
        <v>46044</v>
      </c>
      <c r="G589" t="s">
        <v>305</v>
      </c>
      <c r="H589" t="s">
        <v>405</v>
      </c>
      <c r="I589" t="s">
        <v>371</v>
      </c>
      <c r="J589" t="s">
        <v>90</v>
      </c>
      <c r="K589" t="s">
        <v>377</v>
      </c>
      <c r="L589" t="s">
        <v>399</v>
      </c>
      <c r="M589" t="s">
        <v>141</v>
      </c>
      <c r="N589" t="s">
        <v>142</v>
      </c>
      <c r="O589" t="s">
        <v>155</v>
      </c>
      <c r="P589" t="s">
        <v>281</v>
      </c>
      <c r="Q589" t="s">
        <v>155</v>
      </c>
      <c r="R589" t="s">
        <v>273</v>
      </c>
      <c r="S589" t="s">
        <v>309</v>
      </c>
      <c r="T589">
        <v>1</v>
      </c>
      <c r="U589" t="s">
        <v>422</v>
      </c>
      <c r="V589" t="s">
        <v>285</v>
      </c>
      <c r="W589" t="s">
        <v>423</v>
      </c>
      <c r="X589" t="s">
        <v>306</v>
      </c>
      <c r="Y589" t="s">
        <v>307</v>
      </c>
      <c r="Z589">
        <v>65</v>
      </c>
      <c r="AA589">
        <v>80</v>
      </c>
      <c r="AB589" t="s">
        <v>143</v>
      </c>
      <c r="AC589" t="s">
        <v>161</v>
      </c>
      <c r="AD589" t="s">
        <v>125</v>
      </c>
      <c r="AE589" t="str">
        <f>IF(AF589="","",VLOOKUP(AC589,mapel!$A$2:$B$42,2,FALSE))</f>
        <v>TIK</v>
      </c>
      <c r="AF589">
        <f t="shared" si="27"/>
        <v>80</v>
      </c>
      <c r="AG589" t="str">
        <f>IF(AF589="","",IF(AF589&gt;90,"Sangat baik",IF(AF589&gt;79,"Baik",IF(AF589&gt;=pub_gid_0_single_true_output_csv[[#This Row],[KKM]],"Cukup","Kurang"))))</f>
        <v>Baik</v>
      </c>
      <c r="AH589">
        <f t="shared" si="28"/>
        <v>11</v>
      </c>
      <c r="AI589" s="30" t="str">
        <f>IF(OR(J589&lt;&gt;"Karakter",pub_gid_0_single_true_output_csv[[#This Row],[Nilai2]]=""),"",IF(AF589&gt;89,"Sangat baik",IF(AF589&gt;79,"Baik",IF(AF589&gt;69,"Cukup",IF(AF589&gt;59,"Kurang","Sangat kurang")))))</f>
        <v>Baik</v>
      </c>
      <c r="AJ589" t="str">
        <f t="shared" si="29"/>
        <v>Wk.4</v>
      </c>
      <c r="AK589" t="str">
        <f>IF(pub_gid_0_single_true_output_csv[[#This Row],[Nilai2]]="","",VLOOKUP(pub_gid_0_single_true_output_csv[[#This Row],[NAMA]],Table7[],3,FALSE))</f>
        <v>High average</v>
      </c>
    </row>
    <row r="590" spans="1:37" x14ac:dyDescent="0.2">
      <c r="A590">
        <v>589</v>
      </c>
      <c r="B590" t="s">
        <v>291</v>
      </c>
      <c r="C590" t="s">
        <v>54</v>
      </c>
      <c r="D590" t="s">
        <v>43</v>
      </c>
      <c r="E590" t="s">
        <v>146</v>
      </c>
      <c r="F590" s="25">
        <v>46044</v>
      </c>
      <c r="G590" t="s">
        <v>305</v>
      </c>
      <c r="H590" t="s">
        <v>405</v>
      </c>
      <c r="I590" t="s">
        <v>371</v>
      </c>
      <c r="J590" t="s">
        <v>279</v>
      </c>
      <c r="K590" t="s">
        <v>280</v>
      </c>
      <c r="L590" t="s">
        <v>150</v>
      </c>
      <c r="M590" t="s">
        <v>141</v>
      </c>
      <c r="N590" t="s">
        <v>142</v>
      </c>
      <c r="O590" t="s">
        <v>155</v>
      </c>
      <c r="P590" t="s">
        <v>281</v>
      </c>
      <c r="Q590" t="s">
        <v>155</v>
      </c>
      <c r="R590" t="s">
        <v>273</v>
      </c>
      <c r="S590" t="s">
        <v>309</v>
      </c>
      <c r="T590">
        <v>1</v>
      </c>
      <c r="U590" t="s">
        <v>422</v>
      </c>
      <c r="V590" t="s">
        <v>285</v>
      </c>
      <c r="W590" t="s">
        <v>423</v>
      </c>
      <c r="X590" t="s">
        <v>306</v>
      </c>
      <c r="Y590" t="s">
        <v>307</v>
      </c>
      <c r="Z590">
        <v>65</v>
      </c>
      <c r="AA590">
        <v>80</v>
      </c>
      <c r="AB590" t="s">
        <v>143</v>
      </c>
      <c r="AC590" t="s">
        <v>161</v>
      </c>
      <c r="AD590" t="s">
        <v>125</v>
      </c>
      <c r="AE590" t="str">
        <f>IF(AF590="","",VLOOKUP(AC590,mapel!$A$2:$B$42,2,FALSE))</f>
        <v>TIK</v>
      </c>
      <c r="AF590">
        <f t="shared" si="27"/>
        <v>80</v>
      </c>
      <c r="AG590" t="str">
        <f>IF(AF590="","",IF(AF590&gt;90,"Sangat baik",IF(AF590&gt;79,"Baik",IF(AF590&gt;=pub_gid_0_single_true_output_csv[[#This Row],[KKM]],"Cukup","Kurang"))))</f>
        <v>Baik</v>
      </c>
      <c r="AH590">
        <f t="shared" si="28"/>
        <v>11</v>
      </c>
      <c r="AI590" s="30" t="str">
        <f>IF(OR(J590&lt;&gt;"Karakter",pub_gid_0_single_true_output_csv[[#This Row],[Nilai2]]=""),"",IF(AF590&gt;89,"Sangat baik",IF(AF590&gt;79,"Baik",IF(AF590&gt;69,"Cukup",IF(AF590&gt;59,"Kurang","Sangat kurang")))))</f>
        <v/>
      </c>
      <c r="AJ590" t="str">
        <f t="shared" si="29"/>
        <v>Wk.4</v>
      </c>
      <c r="AK590" t="str">
        <f>IF(pub_gid_0_single_true_output_csv[[#This Row],[Nilai2]]="","",VLOOKUP(pub_gid_0_single_true_output_csv[[#This Row],[NAMA]],Table7[],3,FALSE))</f>
        <v>High average</v>
      </c>
    </row>
    <row r="591" spans="1:37" x14ac:dyDescent="0.2">
      <c r="A591">
        <v>590</v>
      </c>
      <c r="B591" t="s">
        <v>291</v>
      </c>
      <c r="C591" t="s">
        <v>54</v>
      </c>
      <c r="D591" t="s">
        <v>43</v>
      </c>
      <c r="E591" t="s">
        <v>146</v>
      </c>
      <c r="F591" s="25">
        <v>46044</v>
      </c>
      <c r="G591" t="s">
        <v>305</v>
      </c>
      <c r="H591" t="s">
        <v>405</v>
      </c>
      <c r="I591" t="s">
        <v>371</v>
      </c>
      <c r="J591" t="s">
        <v>41</v>
      </c>
      <c r="K591" t="s">
        <v>157</v>
      </c>
      <c r="L591" t="s">
        <v>150</v>
      </c>
      <c r="M591" t="s">
        <v>141</v>
      </c>
      <c r="N591" t="s">
        <v>142</v>
      </c>
      <c r="O591" t="s">
        <v>155</v>
      </c>
      <c r="P591" t="s">
        <v>281</v>
      </c>
      <c r="Q591" t="s">
        <v>155</v>
      </c>
      <c r="R591" t="s">
        <v>273</v>
      </c>
      <c r="S591" t="s">
        <v>309</v>
      </c>
      <c r="T591">
        <v>1</v>
      </c>
      <c r="U591" t="s">
        <v>422</v>
      </c>
      <c r="V591" t="s">
        <v>285</v>
      </c>
      <c r="W591" t="s">
        <v>423</v>
      </c>
      <c r="X591" t="s">
        <v>306</v>
      </c>
      <c r="Y591" t="s">
        <v>307</v>
      </c>
      <c r="Z591">
        <v>65</v>
      </c>
      <c r="AA591">
        <v>75</v>
      </c>
      <c r="AB591" t="s">
        <v>143</v>
      </c>
      <c r="AC591" t="s">
        <v>161</v>
      </c>
      <c r="AD591" t="s">
        <v>125</v>
      </c>
      <c r="AE591" t="str">
        <f>IF(AF591="","",VLOOKUP(AC591,mapel!$A$2:$B$42,2,FALSE))</f>
        <v>TIK</v>
      </c>
      <c r="AF591">
        <f t="shared" si="27"/>
        <v>75</v>
      </c>
      <c r="AG591" t="str">
        <f>IF(AF591="","",IF(AF591&gt;90,"Sangat baik",IF(AF591&gt;79,"Baik",IF(AF591&gt;=pub_gid_0_single_true_output_csv[[#This Row],[KKM]],"Cukup","Kurang"))))</f>
        <v>Cukup</v>
      </c>
      <c r="AH591">
        <f t="shared" si="28"/>
        <v>11</v>
      </c>
      <c r="AI591" s="30" t="str">
        <f>IF(OR(J591&lt;&gt;"Karakter",pub_gid_0_single_true_output_csv[[#This Row],[Nilai2]]=""),"",IF(AF591&gt;89,"Sangat baik",IF(AF591&gt;79,"Baik",IF(AF591&gt;69,"Cukup",IF(AF591&gt;59,"Kurang","Sangat kurang")))))</f>
        <v/>
      </c>
      <c r="AJ591" t="str">
        <f t="shared" si="29"/>
        <v>Wk.4</v>
      </c>
      <c r="AK591" t="str">
        <f>IF(pub_gid_0_single_true_output_csv[[#This Row],[Nilai2]]="","",VLOOKUP(pub_gid_0_single_true_output_csv[[#This Row],[NAMA]],Table7[],3,FALSE))</f>
        <v>High average</v>
      </c>
    </row>
    <row r="592" spans="1:37" x14ac:dyDescent="0.2">
      <c r="A592">
        <v>591</v>
      </c>
      <c r="B592" t="s">
        <v>291</v>
      </c>
      <c r="C592" t="s">
        <v>54</v>
      </c>
      <c r="D592" t="s">
        <v>43</v>
      </c>
      <c r="E592" t="s">
        <v>146</v>
      </c>
      <c r="F592" s="25">
        <v>46051</v>
      </c>
      <c r="G592" t="s">
        <v>320</v>
      </c>
      <c r="H592" t="s">
        <v>405</v>
      </c>
      <c r="I592" t="s">
        <v>371</v>
      </c>
      <c r="J592" t="s">
        <v>41</v>
      </c>
      <c r="K592" t="s">
        <v>157</v>
      </c>
      <c r="L592" t="s">
        <v>150</v>
      </c>
      <c r="M592" t="s">
        <v>141</v>
      </c>
      <c r="N592" t="s">
        <v>142</v>
      </c>
      <c r="O592" t="s">
        <v>155</v>
      </c>
      <c r="P592" t="s">
        <v>281</v>
      </c>
      <c r="Q592" t="s">
        <v>155</v>
      </c>
      <c r="R592" t="s">
        <v>273</v>
      </c>
      <c r="S592" t="s">
        <v>309</v>
      </c>
      <c r="T592">
        <v>1</v>
      </c>
      <c r="U592" t="s">
        <v>422</v>
      </c>
      <c r="V592" t="s">
        <v>285</v>
      </c>
      <c r="W592" t="s">
        <v>423</v>
      </c>
      <c r="X592" t="s">
        <v>306</v>
      </c>
      <c r="Y592" t="s">
        <v>307</v>
      </c>
      <c r="Z592">
        <v>65</v>
      </c>
      <c r="AA592">
        <v>70</v>
      </c>
      <c r="AB592" t="s">
        <v>143</v>
      </c>
      <c r="AC592" t="s">
        <v>161</v>
      </c>
      <c r="AD592" t="s">
        <v>125</v>
      </c>
      <c r="AE592" t="str">
        <f>IF(AF592="","",VLOOKUP(AC592,mapel!$A$2:$B$42,2,FALSE))</f>
        <v>TIK</v>
      </c>
      <c r="AF592">
        <f t="shared" si="27"/>
        <v>70</v>
      </c>
      <c r="AG592" t="str">
        <f>IF(AF592="","",IF(AF592&gt;90,"Sangat baik",IF(AF592&gt;79,"Baik",IF(AF592&gt;=pub_gid_0_single_true_output_csv[[#This Row],[KKM]],"Cukup","Kurang"))))</f>
        <v>Cukup</v>
      </c>
      <c r="AH592">
        <f t="shared" si="28"/>
        <v>11</v>
      </c>
      <c r="AI592" s="30" t="str">
        <f>IF(OR(J592&lt;&gt;"Karakter",pub_gid_0_single_true_output_csv[[#This Row],[Nilai2]]=""),"",IF(AF592&gt;89,"Sangat baik",IF(AF592&gt;79,"Baik",IF(AF592&gt;69,"Cukup",IF(AF592&gt;59,"Kurang","Sangat kurang")))))</f>
        <v/>
      </c>
      <c r="AJ592" t="str">
        <f t="shared" si="29"/>
        <v>Wk.5</v>
      </c>
      <c r="AK592" t="str">
        <f>IF(pub_gid_0_single_true_output_csv[[#This Row],[Nilai2]]="","",VLOOKUP(pub_gid_0_single_true_output_csv[[#This Row],[NAMA]],Table7[],3,FALSE))</f>
        <v>High average</v>
      </c>
    </row>
    <row r="593" spans="1:37" x14ac:dyDescent="0.2">
      <c r="A593">
        <v>592</v>
      </c>
      <c r="B593" t="s">
        <v>291</v>
      </c>
      <c r="C593" t="s">
        <v>54</v>
      </c>
      <c r="D593" t="s">
        <v>43</v>
      </c>
      <c r="E593" t="s">
        <v>146</v>
      </c>
      <c r="F593" s="25">
        <v>46051</v>
      </c>
      <c r="G593" t="s">
        <v>320</v>
      </c>
      <c r="H593" t="s">
        <v>405</v>
      </c>
      <c r="I593" t="s">
        <v>371</v>
      </c>
      <c r="J593" t="s">
        <v>36</v>
      </c>
      <c r="K593" t="s">
        <v>153</v>
      </c>
      <c r="L593" t="s">
        <v>319</v>
      </c>
      <c r="M593" t="s">
        <v>141</v>
      </c>
      <c r="N593" t="s">
        <v>142</v>
      </c>
      <c r="O593" t="s">
        <v>155</v>
      </c>
      <c r="P593" t="s">
        <v>281</v>
      </c>
      <c r="Q593" t="s">
        <v>155</v>
      </c>
      <c r="R593" t="s">
        <v>273</v>
      </c>
      <c r="S593" t="s">
        <v>309</v>
      </c>
      <c r="T593">
        <v>1</v>
      </c>
      <c r="U593" t="s">
        <v>422</v>
      </c>
      <c r="V593" t="s">
        <v>285</v>
      </c>
      <c r="W593" t="s">
        <v>423</v>
      </c>
      <c r="X593" t="s">
        <v>306</v>
      </c>
      <c r="Y593" t="s">
        <v>307</v>
      </c>
      <c r="Z593">
        <v>65</v>
      </c>
      <c r="AA593">
        <v>70</v>
      </c>
      <c r="AB593" t="s">
        <v>143</v>
      </c>
      <c r="AC593" t="s">
        <v>161</v>
      </c>
      <c r="AD593" t="s">
        <v>125</v>
      </c>
      <c r="AE593" t="str">
        <f>IF(AF593="","",VLOOKUP(AC593,mapel!$A$2:$B$42,2,FALSE))</f>
        <v>TIK</v>
      </c>
      <c r="AF593">
        <f t="shared" si="27"/>
        <v>70</v>
      </c>
      <c r="AG593" t="str">
        <f>IF(AF593="","",IF(AF593&gt;90,"Sangat baik",IF(AF593&gt;79,"Baik",IF(AF593&gt;=pub_gid_0_single_true_output_csv[[#This Row],[KKM]],"Cukup","Kurang"))))</f>
        <v>Cukup</v>
      </c>
      <c r="AH593">
        <f t="shared" si="28"/>
        <v>11</v>
      </c>
      <c r="AI593" s="30" t="str">
        <f>IF(OR(J593&lt;&gt;"Karakter",pub_gid_0_single_true_output_csv[[#This Row],[Nilai2]]=""),"",IF(AF593&gt;89,"Sangat baik",IF(AF593&gt;79,"Baik",IF(AF593&gt;69,"Cukup",IF(AF593&gt;59,"Kurang","Sangat kurang")))))</f>
        <v/>
      </c>
      <c r="AJ593" t="str">
        <f t="shared" si="29"/>
        <v>Wk.5</v>
      </c>
      <c r="AK593" t="str">
        <f>IF(pub_gid_0_single_true_output_csv[[#This Row],[Nilai2]]="","",VLOOKUP(pub_gid_0_single_true_output_csv[[#This Row],[NAMA]],Table7[],3,FALSE))</f>
        <v>High average</v>
      </c>
    </row>
    <row r="594" spans="1:37" x14ac:dyDescent="0.2">
      <c r="A594">
        <v>593</v>
      </c>
      <c r="B594" t="s">
        <v>291</v>
      </c>
      <c r="C594" t="s">
        <v>54</v>
      </c>
      <c r="D594" t="s">
        <v>43</v>
      </c>
      <c r="E594" t="s">
        <v>146</v>
      </c>
      <c r="F594" s="25">
        <v>46065</v>
      </c>
      <c r="G594" t="s">
        <v>354</v>
      </c>
      <c r="H594" t="s">
        <v>412</v>
      </c>
      <c r="I594" t="s">
        <v>371</v>
      </c>
      <c r="J594" t="s">
        <v>41</v>
      </c>
      <c r="K594" t="s">
        <v>157</v>
      </c>
      <c r="L594" t="s">
        <v>150</v>
      </c>
      <c r="M594" t="s">
        <v>141</v>
      </c>
      <c r="N594" t="s">
        <v>142</v>
      </c>
      <c r="O594" t="s">
        <v>155</v>
      </c>
      <c r="P594" t="s">
        <v>281</v>
      </c>
      <c r="Q594" t="s">
        <v>155</v>
      </c>
      <c r="R594" t="s">
        <v>273</v>
      </c>
      <c r="S594" t="s">
        <v>309</v>
      </c>
      <c r="T594">
        <v>1</v>
      </c>
      <c r="U594" t="s">
        <v>422</v>
      </c>
      <c r="V594" t="s">
        <v>285</v>
      </c>
      <c r="W594" t="s">
        <v>423</v>
      </c>
      <c r="X594" t="s">
        <v>306</v>
      </c>
      <c r="Y594" t="s">
        <v>307</v>
      </c>
      <c r="Z594">
        <v>65</v>
      </c>
      <c r="AA594">
        <v>68</v>
      </c>
      <c r="AB594" t="s">
        <v>143</v>
      </c>
      <c r="AC594" t="s">
        <v>161</v>
      </c>
      <c r="AD594" t="s">
        <v>125</v>
      </c>
      <c r="AE594" t="str">
        <f>IF(AF594="","",VLOOKUP(AC594,mapel!$A$2:$B$42,2,FALSE))</f>
        <v>TIK</v>
      </c>
      <c r="AF594">
        <f t="shared" si="27"/>
        <v>68</v>
      </c>
      <c r="AG594" t="str">
        <f>IF(AF594="","",IF(AF594&gt;90,"Sangat baik",IF(AF594&gt;79,"Baik",IF(AF594&gt;=pub_gid_0_single_true_output_csv[[#This Row],[KKM]],"Cukup","Kurang"))))</f>
        <v>Cukup</v>
      </c>
      <c r="AH594">
        <f t="shared" si="28"/>
        <v>11</v>
      </c>
      <c r="AI594" s="30" t="str">
        <f>IF(OR(J594&lt;&gt;"Karakter",pub_gid_0_single_true_output_csv[[#This Row],[Nilai2]]=""),"",IF(AF594&gt;89,"Sangat baik",IF(AF594&gt;79,"Baik",IF(AF594&gt;69,"Cukup",IF(AF594&gt;59,"Kurang","Sangat kurang")))))</f>
        <v/>
      </c>
      <c r="AJ594" t="str">
        <f t="shared" si="29"/>
        <v>Wk.7</v>
      </c>
      <c r="AK594" t="str">
        <f>IF(pub_gid_0_single_true_output_csv[[#This Row],[Nilai2]]="","",VLOOKUP(pub_gid_0_single_true_output_csv[[#This Row],[NAMA]],Table7[],3,FALSE))</f>
        <v>High average</v>
      </c>
    </row>
    <row r="595" spans="1:37" x14ac:dyDescent="0.2">
      <c r="A595">
        <v>594</v>
      </c>
      <c r="B595" t="s">
        <v>291</v>
      </c>
      <c r="C595" t="s">
        <v>54</v>
      </c>
      <c r="D595" t="s">
        <v>43</v>
      </c>
      <c r="E595" t="s">
        <v>146</v>
      </c>
      <c r="F595" s="25">
        <v>46065</v>
      </c>
      <c r="G595" t="s">
        <v>354</v>
      </c>
      <c r="H595" t="s">
        <v>412</v>
      </c>
      <c r="I595" t="s">
        <v>371</v>
      </c>
      <c r="J595" t="s">
        <v>36</v>
      </c>
      <c r="K595" t="s">
        <v>153</v>
      </c>
      <c r="L595" t="s">
        <v>319</v>
      </c>
      <c r="M595" t="s">
        <v>141</v>
      </c>
      <c r="N595" t="s">
        <v>142</v>
      </c>
      <c r="O595" t="s">
        <v>155</v>
      </c>
      <c r="P595" t="s">
        <v>281</v>
      </c>
      <c r="Q595" t="s">
        <v>155</v>
      </c>
      <c r="R595" t="s">
        <v>273</v>
      </c>
      <c r="S595" t="s">
        <v>309</v>
      </c>
      <c r="T595">
        <v>1</v>
      </c>
      <c r="U595" t="s">
        <v>422</v>
      </c>
      <c r="V595" t="s">
        <v>285</v>
      </c>
      <c r="W595" t="s">
        <v>423</v>
      </c>
      <c r="X595" t="s">
        <v>306</v>
      </c>
      <c r="Y595" t="s">
        <v>307</v>
      </c>
      <c r="Z595">
        <v>65</v>
      </c>
      <c r="AA595">
        <v>68</v>
      </c>
      <c r="AB595" t="s">
        <v>143</v>
      </c>
      <c r="AC595" t="s">
        <v>161</v>
      </c>
      <c r="AD595" t="s">
        <v>125</v>
      </c>
      <c r="AE595" t="str">
        <f>IF(AF595="","",VLOOKUP(AC595,mapel!$A$2:$B$42,2,FALSE))</f>
        <v>TIK</v>
      </c>
      <c r="AF595">
        <f t="shared" si="27"/>
        <v>68</v>
      </c>
      <c r="AG595" t="str">
        <f>IF(AF595="","",IF(AF595&gt;90,"Sangat baik",IF(AF595&gt;79,"Baik",IF(AF595&gt;=pub_gid_0_single_true_output_csv[[#This Row],[KKM]],"Cukup","Kurang"))))</f>
        <v>Cukup</v>
      </c>
      <c r="AH595">
        <f t="shared" si="28"/>
        <v>11</v>
      </c>
      <c r="AI595" s="30" t="str">
        <f>IF(OR(J595&lt;&gt;"Karakter",pub_gid_0_single_true_output_csv[[#This Row],[Nilai2]]=""),"",IF(AF595&gt;89,"Sangat baik",IF(AF595&gt;79,"Baik",IF(AF595&gt;69,"Cukup",IF(AF595&gt;59,"Kurang","Sangat kurang")))))</f>
        <v/>
      </c>
      <c r="AJ595" t="str">
        <f t="shared" si="29"/>
        <v>Wk.7</v>
      </c>
      <c r="AK595" t="str">
        <f>IF(pub_gid_0_single_true_output_csv[[#This Row],[Nilai2]]="","",VLOOKUP(pub_gid_0_single_true_output_csv[[#This Row],[NAMA]],Table7[],3,FALSE))</f>
        <v>High average</v>
      </c>
    </row>
    <row r="596" spans="1:37" x14ac:dyDescent="0.2">
      <c r="A596">
        <v>595</v>
      </c>
      <c r="B596" t="s">
        <v>291</v>
      </c>
      <c r="C596" t="s">
        <v>54</v>
      </c>
      <c r="D596" t="s">
        <v>43</v>
      </c>
      <c r="E596" t="s">
        <v>146</v>
      </c>
      <c r="F596" s="25">
        <v>46065</v>
      </c>
      <c r="G596" t="s">
        <v>354</v>
      </c>
      <c r="H596" t="s">
        <v>412</v>
      </c>
      <c r="I596" t="s">
        <v>371</v>
      </c>
      <c r="J596" t="s">
        <v>90</v>
      </c>
      <c r="K596" t="s">
        <v>377</v>
      </c>
      <c r="L596" t="s">
        <v>399</v>
      </c>
      <c r="M596" t="s">
        <v>141</v>
      </c>
      <c r="N596" t="s">
        <v>142</v>
      </c>
      <c r="O596" t="s">
        <v>155</v>
      </c>
      <c r="P596" t="s">
        <v>281</v>
      </c>
      <c r="Q596" t="s">
        <v>155</v>
      </c>
      <c r="R596" t="s">
        <v>273</v>
      </c>
      <c r="S596" t="s">
        <v>309</v>
      </c>
      <c r="T596">
        <v>1</v>
      </c>
      <c r="U596" t="s">
        <v>422</v>
      </c>
      <c r="V596" t="s">
        <v>285</v>
      </c>
      <c r="W596" t="s">
        <v>423</v>
      </c>
      <c r="X596" t="s">
        <v>306</v>
      </c>
      <c r="Y596" t="s">
        <v>307</v>
      </c>
      <c r="Z596">
        <v>65</v>
      </c>
      <c r="AA596">
        <v>80</v>
      </c>
      <c r="AB596" t="s">
        <v>143</v>
      </c>
      <c r="AC596" t="s">
        <v>161</v>
      </c>
      <c r="AD596" t="s">
        <v>125</v>
      </c>
      <c r="AE596" t="str">
        <f>IF(AF596="","",VLOOKUP(AC596,mapel!$A$2:$B$42,2,FALSE))</f>
        <v>TIK</v>
      </c>
      <c r="AF596">
        <f t="shared" si="27"/>
        <v>80</v>
      </c>
      <c r="AG596" t="str">
        <f>IF(AF596="","",IF(AF596&gt;90,"Sangat baik",IF(AF596&gt;79,"Baik",IF(AF596&gt;=pub_gid_0_single_true_output_csv[[#This Row],[KKM]],"Cukup","Kurang"))))</f>
        <v>Baik</v>
      </c>
      <c r="AH596">
        <f t="shared" si="28"/>
        <v>11</v>
      </c>
      <c r="AI596" s="30" t="str">
        <f>IF(OR(J596&lt;&gt;"Karakter",pub_gid_0_single_true_output_csv[[#This Row],[Nilai2]]=""),"",IF(AF596&gt;89,"Sangat baik",IF(AF596&gt;79,"Baik",IF(AF596&gt;69,"Cukup",IF(AF596&gt;59,"Kurang","Sangat kurang")))))</f>
        <v>Baik</v>
      </c>
      <c r="AJ596" t="str">
        <f t="shared" si="29"/>
        <v>Wk.7</v>
      </c>
      <c r="AK596" t="str">
        <f>IF(pub_gid_0_single_true_output_csv[[#This Row],[Nilai2]]="","",VLOOKUP(pub_gid_0_single_true_output_csv[[#This Row],[NAMA]],Table7[],3,FALSE))</f>
        <v>High average</v>
      </c>
    </row>
    <row r="597" spans="1:37" x14ac:dyDescent="0.2">
      <c r="A597">
        <v>596</v>
      </c>
      <c r="B597" t="s">
        <v>282</v>
      </c>
      <c r="C597" t="s">
        <v>54</v>
      </c>
      <c r="D597" t="s">
        <v>283</v>
      </c>
      <c r="E597" t="s">
        <v>140</v>
      </c>
      <c r="F597" s="25">
        <v>46037</v>
      </c>
      <c r="G597" t="s">
        <v>356</v>
      </c>
      <c r="H597" t="s">
        <v>405</v>
      </c>
      <c r="I597" t="s">
        <v>371</v>
      </c>
      <c r="J597" t="s">
        <v>36</v>
      </c>
      <c r="K597" t="s">
        <v>153</v>
      </c>
      <c r="L597" t="s">
        <v>319</v>
      </c>
      <c r="M597" t="s">
        <v>141</v>
      </c>
      <c r="N597" t="s">
        <v>142</v>
      </c>
      <c r="O597" t="s">
        <v>155</v>
      </c>
      <c r="P597" t="s">
        <v>281</v>
      </c>
      <c r="Q597" t="s">
        <v>155</v>
      </c>
      <c r="R597" t="s">
        <v>273</v>
      </c>
      <c r="S597" t="s">
        <v>309</v>
      </c>
      <c r="T597">
        <v>1</v>
      </c>
      <c r="U597" t="s">
        <v>422</v>
      </c>
      <c r="V597" t="s">
        <v>285</v>
      </c>
      <c r="W597" t="s">
        <v>423</v>
      </c>
      <c r="X597" t="s">
        <v>306</v>
      </c>
      <c r="Y597" t="s">
        <v>307</v>
      </c>
      <c r="Z597">
        <v>65</v>
      </c>
      <c r="AA597">
        <v>60</v>
      </c>
      <c r="AB597" t="s">
        <v>151</v>
      </c>
      <c r="AC597" t="s">
        <v>161</v>
      </c>
      <c r="AD597" t="s">
        <v>125</v>
      </c>
      <c r="AE597" t="str">
        <f>IF(AF597="","",VLOOKUP(AC597,mapel!$A$2:$B$42,2,FALSE))</f>
        <v>TIK</v>
      </c>
      <c r="AF597">
        <f t="shared" si="27"/>
        <v>60</v>
      </c>
      <c r="AG597" t="str">
        <f>IF(AF597="","",IF(AF597&gt;90,"Sangat baik",IF(AF597&gt;79,"Baik",IF(AF597&gt;=pub_gid_0_single_true_output_csv[[#This Row],[KKM]],"Cukup","Kurang"))))</f>
        <v>Kurang</v>
      </c>
      <c r="AH597">
        <f t="shared" si="28"/>
        <v>11</v>
      </c>
      <c r="AI597" s="30" t="str">
        <f>IF(OR(J597&lt;&gt;"Karakter",pub_gid_0_single_true_output_csv[[#This Row],[Nilai2]]=""),"",IF(AF597&gt;89,"Sangat baik",IF(AF597&gt;79,"Baik",IF(AF597&gt;69,"Cukup",IF(AF597&gt;59,"Kurang","Sangat kurang")))))</f>
        <v/>
      </c>
      <c r="AJ597" t="str">
        <f t="shared" si="29"/>
        <v>Wk.3</v>
      </c>
      <c r="AK597" t="e">
        <f>IF(pub_gid_0_single_true_output_csv[[#This Row],[Nilai2]]="","",VLOOKUP(pub_gid_0_single_true_output_csv[[#This Row],[NAMA]],Table7[],3,FALSE))</f>
        <v>#N/A</v>
      </c>
    </row>
    <row r="598" spans="1:37" x14ac:dyDescent="0.2">
      <c r="A598">
        <v>597</v>
      </c>
      <c r="B598" t="s">
        <v>282</v>
      </c>
      <c r="C598" t="s">
        <v>54</v>
      </c>
      <c r="D598" t="s">
        <v>283</v>
      </c>
      <c r="E598" t="s">
        <v>140</v>
      </c>
      <c r="F598" s="25">
        <v>46037</v>
      </c>
      <c r="G598" t="s">
        <v>356</v>
      </c>
      <c r="H598" t="s">
        <v>405</v>
      </c>
      <c r="I598" t="s">
        <v>371</v>
      </c>
      <c r="J598" t="s">
        <v>31</v>
      </c>
      <c r="K598" t="s">
        <v>158</v>
      </c>
      <c r="L598" t="s">
        <v>319</v>
      </c>
      <c r="M598" t="s">
        <v>141</v>
      </c>
      <c r="N598" t="s">
        <v>142</v>
      </c>
      <c r="O598" t="s">
        <v>155</v>
      </c>
      <c r="P598" t="s">
        <v>281</v>
      </c>
      <c r="Q598" t="s">
        <v>155</v>
      </c>
      <c r="R598" t="s">
        <v>273</v>
      </c>
      <c r="S598" t="s">
        <v>309</v>
      </c>
      <c r="T598">
        <v>1</v>
      </c>
      <c r="U598" t="s">
        <v>422</v>
      </c>
      <c r="V598" t="s">
        <v>285</v>
      </c>
      <c r="W598" t="s">
        <v>423</v>
      </c>
      <c r="X598" t="s">
        <v>306</v>
      </c>
      <c r="Y598" t="s">
        <v>307</v>
      </c>
      <c r="Z598">
        <v>65</v>
      </c>
      <c r="AA598">
        <v>60</v>
      </c>
      <c r="AB598" t="s">
        <v>151</v>
      </c>
      <c r="AC598" t="s">
        <v>161</v>
      </c>
      <c r="AD598" t="s">
        <v>125</v>
      </c>
      <c r="AE598" t="str">
        <f>IF(AF598="","",VLOOKUP(AC598,mapel!$A$2:$B$42,2,FALSE))</f>
        <v>TIK</v>
      </c>
      <c r="AF598">
        <f t="shared" si="27"/>
        <v>60</v>
      </c>
      <c r="AG598" t="str">
        <f>IF(AF598="","",IF(AF598&gt;90,"Sangat baik",IF(AF598&gt;79,"Baik",IF(AF598&gt;=pub_gid_0_single_true_output_csv[[#This Row],[KKM]],"Cukup","Kurang"))))</f>
        <v>Kurang</v>
      </c>
      <c r="AH598">
        <f t="shared" si="28"/>
        <v>11</v>
      </c>
      <c r="AI598" s="30" t="str">
        <f>IF(OR(J598&lt;&gt;"Karakter",pub_gid_0_single_true_output_csv[[#This Row],[Nilai2]]=""),"",IF(AF598&gt;89,"Sangat baik",IF(AF598&gt;79,"Baik",IF(AF598&gt;69,"Cukup",IF(AF598&gt;59,"Kurang","Sangat kurang")))))</f>
        <v/>
      </c>
      <c r="AJ598" t="str">
        <f t="shared" si="29"/>
        <v>Wk.3</v>
      </c>
      <c r="AK598" t="e">
        <f>IF(pub_gid_0_single_true_output_csv[[#This Row],[Nilai2]]="","",VLOOKUP(pub_gid_0_single_true_output_csv[[#This Row],[NAMA]],Table7[],3,FALSE))</f>
        <v>#N/A</v>
      </c>
    </row>
    <row r="599" spans="1:37" x14ac:dyDescent="0.2">
      <c r="A599">
        <v>598</v>
      </c>
      <c r="B599" t="s">
        <v>282</v>
      </c>
      <c r="C599" t="s">
        <v>54</v>
      </c>
      <c r="D599" t="s">
        <v>283</v>
      </c>
      <c r="E599" t="s">
        <v>140</v>
      </c>
      <c r="F599" s="25">
        <v>46044</v>
      </c>
      <c r="G599" t="s">
        <v>305</v>
      </c>
      <c r="H599" t="s">
        <v>405</v>
      </c>
      <c r="I599" t="s">
        <v>371</v>
      </c>
      <c r="J599" t="s">
        <v>90</v>
      </c>
      <c r="K599" t="s">
        <v>377</v>
      </c>
      <c r="L599" t="s">
        <v>399</v>
      </c>
      <c r="M599" t="s">
        <v>141</v>
      </c>
      <c r="N599" t="s">
        <v>142</v>
      </c>
      <c r="O599" t="s">
        <v>155</v>
      </c>
      <c r="P599" t="s">
        <v>281</v>
      </c>
      <c r="Q599" t="s">
        <v>155</v>
      </c>
      <c r="R599" t="s">
        <v>273</v>
      </c>
      <c r="S599" t="s">
        <v>309</v>
      </c>
      <c r="T599">
        <v>1</v>
      </c>
      <c r="U599" t="s">
        <v>422</v>
      </c>
      <c r="V599" t="s">
        <v>285</v>
      </c>
      <c r="W599" t="s">
        <v>423</v>
      </c>
      <c r="X599" t="s">
        <v>306</v>
      </c>
      <c r="Y599" t="s">
        <v>307</v>
      </c>
      <c r="Z599">
        <v>65</v>
      </c>
      <c r="AA599">
        <v>70</v>
      </c>
      <c r="AB599" t="s">
        <v>143</v>
      </c>
      <c r="AC599" t="s">
        <v>161</v>
      </c>
      <c r="AD599" t="s">
        <v>125</v>
      </c>
      <c r="AE599" t="str">
        <f>IF(AF599="","",VLOOKUP(AC599,mapel!$A$2:$B$42,2,FALSE))</f>
        <v>TIK</v>
      </c>
      <c r="AF599">
        <f t="shared" si="27"/>
        <v>70</v>
      </c>
      <c r="AG599" t="str">
        <f>IF(AF599="","",IF(AF599&gt;90,"Sangat baik",IF(AF599&gt;79,"Baik",IF(AF599&gt;=pub_gid_0_single_true_output_csv[[#This Row],[KKM]],"Cukup","Kurang"))))</f>
        <v>Cukup</v>
      </c>
      <c r="AH599">
        <f t="shared" si="28"/>
        <v>11</v>
      </c>
      <c r="AI599" s="30" t="str">
        <f>IF(OR(J599&lt;&gt;"Karakter",pub_gid_0_single_true_output_csv[[#This Row],[Nilai2]]=""),"",IF(AF599&gt;89,"Sangat baik",IF(AF599&gt;79,"Baik",IF(AF599&gt;69,"Cukup",IF(AF599&gt;59,"Kurang","Sangat kurang")))))</f>
        <v>Cukup</v>
      </c>
      <c r="AJ599" t="str">
        <f t="shared" si="29"/>
        <v>Wk.4</v>
      </c>
      <c r="AK599" t="e">
        <f>IF(pub_gid_0_single_true_output_csv[[#This Row],[Nilai2]]="","",VLOOKUP(pub_gid_0_single_true_output_csv[[#This Row],[NAMA]],Table7[],3,FALSE))</f>
        <v>#N/A</v>
      </c>
    </row>
    <row r="600" spans="1:37" x14ac:dyDescent="0.2">
      <c r="A600">
        <v>599</v>
      </c>
      <c r="B600" t="s">
        <v>282</v>
      </c>
      <c r="C600" t="s">
        <v>54</v>
      </c>
      <c r="D600" t="s">
        <v>283</v>
      </c>
      <c r="E600" t="s">
        <v>140</v>
      </c>
      <c r="F600" s="25">
        <v>46044</v>
      </c>
      <c r="G600" t="s">
        <v>305</v>
      </c>
      <c r="H600" t="s">
        <v>405</v>
      </c>
      <c r="I600" t="s">
        <v>371</v>
      </c>
      <c r="J600" t="s">
        <v>279</v>
      </c>
      <c r="K600" t="s">
        <v>280</v>
      </c>
      <c r="L600" t="s">
        <v>150</v>
      </c>
      <c r="M600" t="s">
        <v>141</v>
      </c>
      <c r="N600" t="s">
        <v>142</v>
      </c>
      <c r="O600" t="s">
        <v>155</v>
      </c>
      <c r="P600" t="s">
        <v>281</v>
      </c>
      <c r="Q600" t="s">
        <v>155</v>
      </c>
      <c r="R600" t="s">
        <v>273</v>
      </c>
      <c r="S600" t="s">
        <v>309</v>
      </c>
      <c r="T600">
        <v>1</v>
      </c>
      <c r="U600" t="s">
        <v>422</v>
      </c>
      <c r="V600" t="s">
        <v>285</v>
      </c>
      <c r="W600" t="s">
        <v>423</v>
      </c>
      <c r="X600" t="s">
        <v>306</v>
      </c>
      <c r="Y600" t="s">
        <v>307</v>
      </c>
      <c r="Z600">
        <v>65</v>
      </c>
      <c r="AA600">
        <v>65</v>
      </c>
      <c r="AB600" t="s">
        <v>143</v>
      </c>
      <c r="AC600" t="s">
        <v>161</v>
      </c>
      <c r="AD600" t="s">
        <v>125</v>
      </c>
      <c r="AE600" t="str">
        <f>IF(AF600="","",VLOOKUP(AC600,mapel!$A$2:$B$42,2,FALSE))</f>
        <v>TIK</v>
      </c>
      <c r="AF600">
        <f t="shared" si="27"/>
        <v>65</v>
      </c>
      <c r="AG600" t="str">
        <f>IF(AF600="","",IF(AF600&gt;90,"Sangat baik",IF(AF600&gt;79,"Baik",IF(AF600&gt;=pub_gid_0_single_true_output_csv[[#This Row],[KKM]],"Cukup","Kurang"))))</f>
        <v>Cukup</v>
      </c>
      <c r="AH600">
        <f t="shared" si="28"/>
        <v>11</v>
      </c>
      <c r="AI600" s="30" t="str">
        <f>IF(OR(J600&lt;&gt;"Karakter",pub_gid_0_single_true_output_csv[[#This Row],[Nilai2]]=""),"",IF(AF600&gt;89,"Sangat baik",IF(AF600&gt;79,"Baik",IF(AF600&gt;69,"Cukup",IF(AF600&gt;59,"Kurang","Sangat kurang")))))</f>
        <v/>
      </c>
      <c r="AJ600" t="str">
        <f t="shared" si="29"/>
        <v>Wk.4</v>
      </c>
      <c r="AK600" t="e">
        <f>IF(pub_gid_0_single_true_output_csv[[#This Row],[Nilai2]]="","",VLOOKUP(pub_gid_0_single_true_output_csv[[#This Row],[NAMA]],Table7[],3,FALSE))</f>
        <v>#N/A</v>
      </c>
    </row>
    <row r="601" spans="1:37" x14ac:dyDescent="0.2">
      <c r="A601">
        <v>600</v>
      </c>
      <c r="B601" t="s">
        <v>282</v>
      </c>
      <c r="C601" t="s">
        <v>54</v>
      </c>
      <c r="D601" t="s">
        <v>283</v>
      </c>
      <c r="E601" t="s">
        <v>140</v>
      </c>
      <c r="F601" s="25">
        <v>46044</v>
      </c>
      <c r="G601" t="s">
        <v>305</v>
      </c>
      <c r="H601" t="s">
        <v>405</v>
      </c>
      <c r="I601" t="s">
        <v>371</v>
      </c>
      <c r="J601" t="s">
        <v>41</v>
      </c>
      <c r="K601" t="s">
        <v>157</v>
      </c>
      <c r="L601" t="s">
        <v>150</v>
      </c>
      <c r="M601" t="s">
        <v>141</v>
      </c>
      <c r="N601" t="s">
        <v>142</v>
      </c>
      <c r="O601" t="s">
        <v>155</v>
      </c>
      <c r="P601" t="s">
        <v>281</v>
      </c>
      <c r="Q601" t="s">
        <v>155</v>
      </c>
      <c r="R601" t="s">
        <v>273</v>
      </c>
      <c r="S601" t="s">
        <v>309</v>
      </c>
      <c r="T601">
        <v>1</v>
      </c>
      <c r="U601" t="s">
        <v>422</v>
      </c>
      <c r="V601" t="s">
        <v>285</v>
      </c>
      <c r="W601" t="s">
        <v>423</v>
      </c>
      <c r="X601" t="s">
        <v>306</v>
      </c>
      <c r="Y601" t="s">
        <v>307</v>
      </c>
      <c r="Z601">
        <v>65</v>
      </c>
      <c r="AA601">
        <v>60</v>
      </c>
      <c r="AB601" t="s">
        <v>151</v>
      </c>
      <c r="AC601" t="s">
        <v>161</v>
      </c>
      <c r="AD601" t="s">
        <v>125</v>
      </c>
      <c r="AE601" t="str">
        <f>IF(AF601="","",VLOOKUP(AC601,mapel!$A$2:$B$42,2,FALSE))</f>
        <v>TIK</v>
      </c>
      <c r="AF601">
        <f t="shared" si="27"/>
        <v>60</v>
      </c>
      <c r="AG601" t="str">
        <f>IF(AF601="","",IF(AF601&gt;90,"Sangat baik",IF(AF601&gt;79,"Baik",IF(AF601&gt;=pub_gid_0_single_true_output_csv[[#This Row],[KKM]],"Cukup","Kurang"))))</f>
        <v>Kurang</v>
      </c>
      <c r="AH601">
        <f t="shared" si="28"/>
        <v>11</v>
      </c>
      <c r="AI601" s="30" t="str">
        <f>IF(OR(J601&lt;&gt;"Karakter",pub_gid_0_single_true_output_csv[[#This Row],[Nilai2]]=""),"",IF(AF601&gt;89,"Sangat baik",IF(AF601&gt;79,"Baik",IF(AF601&gt;69,"Cukup",IF(AF601&gt;59,"Kurang","Sangat kurang")))))</f>
        <v/>
      </c>
      <c r="AJ601" t="str">
        <f t="shared" si="29"/>
        <v>Wk.4</v>
      </c>
      <c r="AK601" t="e">
        <f>IF(pub_gid_0_single_true_output_csv[[#This Row],[Nilai2]]="","",VLOOKUP(pub_gid_0_single_true_output_csv[[#This Row],[NAMA]],Table7[],3,FALSE))</f>
        <v>#N/A</v>
      </c>
    </row>
    <row r="602" spans="1:37" x14ac:dyDescent="0.2">
      <c r="A602">
        <v>601</v>
      </c>
      <c r="B602" t="s">
        <v>282</v>
      </c>
      <c r="C602" t="s">
        <v>54</v>
      </c>
      <c r="D602" t="s">
        <v>283</v>
      </c>
      <c r="E602" t="s">
        <v>140</v>
      </c>
      <c r="F602" s="25">
        <v>46051</v>
      </c>
      <c r="G602" t="s">
        <v>320</v>
      </c>
      <c r="H602" t="s">
        <v>405</v>
      </c>
      <c r="I602" t="s">
        <v>371</v>
      </c>
      <c r="J602" t="s">
        <v>41</v>
      </c>
      <c r="K602" t="s">
        <v>157</v>
      </c>
      <c r="L602" t="s">
        <v>150</v>
      </c>
      <c r="M602" t="s">
        <v>141</v>
      </c>
      <c r="N602" t="s">
        <v>142</v>
      </c>
      <c r="O602" t="s">
        <v>155</v>
      </c>
      <c r="P602" t="s">
        <v>281</v>
      </c>
      <c r="Q602" t="s">
        <v>155</v>
      </c>
      <c r="R602" t="s">
        <v>273</v>
      </c>
      <c r="S602" t="s">
        <v>309</v>
      </c>
      <c r="T602">
        <v>1</v>
      </c>
      <c r="U602" t="s">
        <v>422</v>
      </c>
      <c r="V602" t="s">
        <v>285</v>
      </c>
      <c r="W602" t="s">
        <v>423</v>
      </c>
      <c r="X602" t="s">
        <v>306</v>
      </c>
      <c r="Y602" t="s">
        <v>307</v>
      </c>
      <c r="Z602">
        <v>65</v>
      </c>
      <c r="AA602">
        <v>0</v>
      </c>
      <c r="AB602" t="s">
        <v>151</v>
      </c>
      <c r="AC602" t="s">
        <v>161</v>
      </c>
      <c r="AD602" t="s">
        <v>125</v>
      </c>
      <c r="AE602" t="str">
        <f>IF(AF602="","",VLOOKUP(AC602,mapel!$A$2:$B$42,2,FALSE))</f>
        <v/>
      </c>
      <c r="AF602" t="str">
        <f t="shared" si="27"/>
        <v/>
      </c>
      <c r="AG602" t="str">
        <f>IF(AF602="","",IF(AF602&gt;90,"Sangat baik",IF(AF602&gt;79,"Baik",IF(AF602&gt;=pub_gid_0_single_true_output_csv[[#This Row],[KKM]],"Cukup","Kurang"))))</f>
        <v/>
      </c>
      <c r="AH602" t="str">
        <f t="shared" si="28"/>
        <v/>
      </c>
      <c r="AI602" s="30" t="str">
        <f>IF(OR(J602&lt;&gt;"Karakter",pub_gid_0_single_true_output_csv[[#This Row],[Nilai2]]=""),"",IF(AF602&gt;89,"Sangat baik",IF(AF602&gt;79,"Baik",IF(AF602&gt;69,"Cukup",IF(AF602&gt;59,"Kurang","Sangat kurang")))))</f>
        <v/>
      </c>
      <c r="AJ602" t="str">
        <f t="shared" si="29"/>
        <v/>
      </c>
      <c r="AK602" t="str">
        <f>IF(pub_gid_0_single_true_output_csv[[#This Row],[Nilai2]]="","",VLOOKUP(pub_gid_0_single_true_output_csv[[#This Row],[NAMA]],Table7[],3,FALSE))</f>
        <v/>
      </c>
    </row>
    <row r="603" spans="1:37" x14ac:dyDescent="0.2">
      <c r="A603">
        <v>602</v>
      </c>
      <c r="B603" t="s">
        <v>282</v>
      </c>
      <c r="C603" t="s">
        <v>54</v>
      </c>
      <c r="D603" t="s">
        <v>283</v>
      </c>
      <c r="E603" t="s">
        <v>140</v>
      </c>
      <c r="F603" s="25">
        <v>46051</v>
      </c>
      <c r="G603" t="s">
        <v>320</v>
      </c>
      <c r="H603" t="s">
        <v>405</v>
      </c>
      <c r="I603" t="s">
        <v>371</v>
      </c>
      <c r="J603" t="s">
        <v>36</v>
      </c>
      <c r="K603" t="s">
        <v>153</v>
      </c>
      <c r="L603" t="s">
        <v>319</v>
      </c>
      <c r="M603" t="s">
        <v>141</v>
      </c>
      <c r="N603" t="s">
        <v>142</v>
      </c>
      <c r="O603" t="s">
        <v>155</v>
      </c>
      <c r="P603" t="s">
        <v>281</v>
      </c>
      <c r="Q603" t="s">
        <v>155</v>
      </c>
      <c r="R603" t="s">
        <v>273</v>
      </c>
      <c r="S603" t="s">
        <v>309</v>
      </c>
      <c r="T603">
        <v>1</v>
      </c>
      <c r="U603" t="s">
        <v>422</v>
      </c>
      <c r="V603" t="s">
        <v>285</v>
      </c>
      <c r="W603" t="s">
        <v>423</v>
      </c>
      <c r="X603" t="s">
        <v>306</v>
      </c>
      <c r="Y603" t="s">
        <v>307</v>
      </c>
      <c r="Z603">
        <v>65</v>
      </c>
      <c r="AA603">
        <v>0</v>
      </c>
      <c r="AB603" t="s">
        <v>151</v>
      </c>
      <c r="AC603" t="s">
        <v>161</v>
      </c>
      <c r="AD603" t="s">
        <v>125</v>
      </c>
      <c r="AE603" t="str">
        <f>IF(AF603="","",VLOOKUP(AC603,mapel!$A$2:$B$42,2,FALSE))</f>
        <v/>
      </c>
      <c r="AF603" t="str">
        <f t="shared" si="27"/>
        <v/>
      </c>
      <c r="AG603" t="str">
        <f>IF(AF603="","",IF(AF603&gt;90,"Sangat baik",IF(AF603&gt;79,"Baik",IF(AF603&gt;=pub_gid_0_single_true_output_csv[[#This Row],[KKM]],"Cukup","Kurang"))))</f>
        <v/>
      </c>
      <c r="AH603" t="str">
        <f t="shared" si="28"/>
        <v/>
      </c>
      <c r="AI603" s="30" t="str">
        <f>IF(OR(J603&lt;&gt;"Karakter",pub_gid_0_single_true_output_csv[[#This Row],[Nilai2]]=""),"",IF(AF603&gt;89,"Sangat baik",IF(AF603&gt;79,"Baik",IF(AF603&gt;69,"Cukup",IF(AF603&gt;59,"Kurang","Sangat kurang")))))</f>
        <v/>
      </c>
      <c r="AJ603" t="str">
        <f t="shared" si="29"/>
        <v/>
      </c>
      <c r="AK603" t="str">
        <f>IF(pub_gid_0_single_true_output_csv[[#This Row],[Nilai2]]="","",VLOOKUP(pub_gid_0_single_true_output_csv[[#This Row],[NAMA]],Table7[],3,FALSE))</f>
        <v/>
      </c>
    </row>
    <row r="604" spans="1:37" x14ac:dyDescent="0.2">
      <c r="A604">
        <v>603</v>
      </c>
      <c r="B604" t="s">
        <v>282</v>
      </c>
      <c r="C604" t="s">
        <v>54</v>
      </c>
      <c r="D604" t="s">
        <v>283</v>
      </c>
      <c r="E604" t="s">
        <v>140</v>
      </c>
      <c r="F604" s="25">
        <v>46065</v>
      </c>
      <c r="G604" t="s">
        <v>354</v>
      </c>
      <c r="H604" t="s">
        <v>412</v>
      </c>
      <c r="I604" t="s">
        <v>371</v>
      </c>
      <c r="J604" t="s">
        <v>41</v>
      </c>
      <c r="K604" t="s">
        <v>157</v>
      </c>
      <c r="L604" t="s">
        <v>150</v>
      </c>
      <c r="M604" t="s">
        <v>141</v>
      </c>
      <c r="N604" t="s">
        <v>142</v>
      </c>
      <c r="O604" t="s">
        <v>155</v>
      </c>
      <c r="P604" t="s">
        <v>281</v>
      </c>
      <c r="Q604" t="s">
        <v>155</v>
      </c>
      <c r="R604" t="s">
        <v>273</v>
      </c>
      <c r="S604" t="s">
        <v>309</v>
      </c>
      <c r="T604">
        <v>1</v>
      </c>
      <c r="U604" t="s">
        <v>422</v>
      </c>
      <c r="V604" t="s">
        <v>285</v>
      </c>
      <c r="W604" t="s">
        <v>423</v>
      </c>
      <c r="X604" t="s">
        <v>306</v>
      </c>
      <c r="Y604" t="s">
        <v>307</v>
      </c>
      <c r="Z604">
        <v>65</v>
      </c>
      <c r="AA604">
        <v>0</v>
      </c>
      <c r="AB604" t="s">
        <v>151</v>
      </c>
      <c r="AC604" t="s">
        <v>161</v>
      </c>
      <c r="AD604" t="s">
        <v>125</v>
      </c>
      <c r="AE604" t="str">
        <f>IF(AF604="","",VLOOKUP(AC604,mapel!$A$2:$B$42,2,FALSE))</f>
        <v/>
      </c>
      <c r="AF604" t="str">
        <f t="shared" si="27"/>
        <v/>
      </c>
      <c r="AG604" t="str">
        <f>IF(AF604="","",IF(AF604&gt;90,"Sangat baik",IF(AF604&gt;79,"Baik",IF(AF604&gt;=pub_gid_0_single_true_output_csv[[#This Row],[KKM]],"Cukup","Kurang"))))</f>
        <v/>
      </c>
      <c r="AH604" t="str">
        <f t="shared" si="28"/>
        <v/>
      </c>
      <c r="AI604" s="30" t="str">
        <f>IF(OR(J604&lt;&gt;"Karakter",pub_gid_0_single_true_output_csv[[#This Row],[Nilai2]]=""),"",IF(AF604&gt;89,"Sangat baik",IF(AF604&gt;79,"Baik",IF(AF604&gt;69,"Cukup",IF(AF604&gt;59,"Kurang","Sangat kurang")))))</f>
        <v/>
      </c>
      <c r="AJ604" t="str">
        <f t="shared" si="29"/>
        <v/>
      </c>
      <c r="AK604" t="str">
        <f>IF(pub_gid_0_single_true_output_csv[[#This Row],[Nilai2]]="","",VLOOKUP(pub_gid_0_single_true_output_csv[[#This Row],[NAMA]],Table7[],3,FALSE))</f>
        <v/>
      </c>
    </row>
    <row r="605" spans="1:37" x14ac:dyDescent="0.2">
      <c r="A605">
        <v>604</v>
      </c>
      <c r="B605" t="s">
        <v>282</v>
      </c>
      <c r="C605" t="s">
        <v>54</v>
      </c>
      <c r="D605" t="s">
        <v>283</v>
      </c>
      <c r="E605" t="s">
        <v>140</v>
      </c>
      <c r="F605" s="25">
        <v>46065</v>
      </c>
      <c r="G605" t="s">
        <v>354</v>
      </c>
      <c r="H605" t="s">
        <v>412</v>
      </c>
      <c r="I605" t="s">
        <v>371</v>
      </c>
      <c r="J605" t="s">
        <v>36</v>
      </c>
      <c r="K605" t="s">
        <v>153</v>
      </c>
      <c r="L605" t="s">
        <v>319</v>
      </c>
      <c r="M605" t="s">
        <v>141</v>
      </c>
      <c r="N605" t="s">
        <v>142</v>
      </c>
      <c r="O605" t="s">
        <v>155</v>
      </c>
      <c r="P605" t="s">
        <v>281</v>
      </c>
      <c r="Q605" t="s">
        <v>155</v>
      </c>
      <c r="R605" t="s">
        <v>273</v>
      </c>
      <c r="S605" t="s">
        <v>309</v>
      </c>
      <c r="T605">
        <v>1</v>
      </c>
      <c r="U605" t="s">
        <v>422</v>
      </c>
      <c r="V605" t="s">
        <v>285</v>
      </c>
      <c r="W605" t="s">
        <v>423</v>
      </c>
      <c r="X605" t="s">
        <v>306</v>
      </c>
      <c r="Y605" t="s">
        <v>307</v>
      </c>
      <c r="Z605">
        <v>65</v>
      </c>
      <c r="AA605">
        <v>0</v>
      </c>
      <c r="AB605" t="s">
        <v>151</v>
      </c>
      <c r="AC605" t="s">
        <v>161</v>
      </c>
      <c r="AD605" t="s">
        <v>125</v>
      </c>
      <c r="AE605" t="str">
        <f>IF(AF605="","",VLOOKUP(AC605,mapel!$A$2:$B$42,2,FALSE))</f>
        <v/>
      </c>
      <c r="AF605" t="str">
        <f t="shared" si="27"/>
        <v/>
      </c>
      <c r="AG605" t="str">
        <f>IF(AF605="","",IF(AF605&gt;90,"Sangat baik",IF(AF605&gt;79,"Baik",IF(AF605&gt;=pub_gid_0_single_true_output_csv[[#This Row],[KKM]],"Cukup","Kurang"))))</f>
        <v/>
      </c>
      <c r="AH605" t="str">
        <f t="shared" si="28"/>
        <v/>
      </c>
      <c r="AI605" s="30" t="str">
        <f>IF(OR(J605&lt;&gt;"Karakter",pub_gid_0_single_true_output_csv[[#This Row],[Nilai2]]=""),"",IF(AF605&gt;89,"Sangat baik",IF(AF605&gt;79,"Baik",IF(AF605&gt;69,"Cukup",IF(AF605&gt;59,"Kurang","Sangat kurang")))))</f>
        <v/>
      </c>
      <c r="AJ605" t="str">
        <f t="shared" si="29"/>
        <v/>
      </c>
      <c r="AK605" t="str">
        <f>IF(pub_gid_0_single_true_output_csv[[#This Row],[Nilai2]]="","",VLOOKUP(pub_gid_0_single_true_output_csv[[#This Row],[NAMA]],Table7[],3,FALSE))</f>
        <v/>
      </c>
    </row>
    <row r="606" spans="1:37" x14ac:dyDescent="0.2">
      <c r="A606">
        <v>605</v>
      </c>
      <c r="B606" t="s">
        <v>282</v>
      </c>
      <c r="C606" t="s">
        <v>54</v>
      </c>
      <c r="D606" t="s">
        <v>283</v>
      </c>
      <c r="E606" t="s">
        <v>140</v>
      </c>
      <c r="F606" s="25">
        <v>46065</v>
      </c>
      <c r="G606" t="s">
        <v>354</v>
      </c>
      <c r="H606" t="s">
        <v>412</v>
      </c>
      <c r="I606" t="s">
        <v>371</v>
      </c>
      <c r="J606" t="s">
        <v>90</v>
      </c>
      <c r="K606" t="s">
        <v>377</v>
      </c>
      <c r="L606" t="s">
        <v>399</v>
      </c>
      <c r="M606" t="s">
        <v>141</v>
      </c>
      <c r="N606" t="s">
        <v>142</v>
      </c>
      <c r="O606" t="s">
        <v>155</v>
      </c>
      <c r="P606" t="s">
        <v>281</v>
      </c>
      <c r="Q606" t="s">
        <v>155</v>
      </c>
      <c r="R606" t="s">
        <v>273</v>
      </c>
      <c r="S606" t="s">
        <v>309</v>
      </c>
      <c r="T606">
        <v>1</v>
      </c>
      <c r="U606" t="s">
        <v>422</v>
      </c>
      <c r="V606" t="s">
        <v>285</v>
      </c>
      <c r="W606" t="s">
        <v>423</v>
      </c>
      <c r="X606" t="s">
        <v>306</v>
      </c>
      <c r="Y606" t="s">
        <v>307</v>
      </c>
      <c r="Z606">
        <v>65</v>
      </c>
      <c r="AA606">
        <v>0</v>
      </c>
      <c r="AB606" t="s">
        <v>151</v>
      </c>
      <c r="AC606" t="s">
        <v>161</v>
      </c>
      <c r="AD606" t="s">
        <v>125</v>
      </c>
      <c r="AE606" t="str">
        <f>IF(AF606="","",VLOOKUP(AC606,mapel!$A$2:$B$42,2,FALSE))</f>
        <v/>
      </c>
      <c r="AF606" t="str">
        <f t="shared" si="27"/>
        <v/>
      </c>
      <c r="AG606" t="str">
        <f>IF(AF606="","",IF(AF606&gt;90,"Sangat baik",IF(AF606&gt;79,"Baik",IF(AF606&gt;=pub_gid_0_single_true_output_csv[[#This Row],[KKM]],"Cukup","Kurang"))))</f>
        <v/>
      </c>
      <c r="AH606" t="str">
        <f t="shared" si="28"/>
        <v/>
      </c>
      <c r="AI606" s="30" t="str">
        <f>IF(OR(J606&lt;&gt;"Karakter",pub_gid_0_single_true_output_csv[[#This Row],[Nilai2]]=""),"",IF(AF606&gt;89,"Sangat baik",IF(AF606&gt;79,"Baik",IF(AF606&gt;69,"Cukup",IF(AF606&gt;59,"Kurang","Sangat kurang")))))</f>
        <v/>
      </c>
      <c r="AJ606" t="str">
        <f t="shared" si="29"/>
        <v/>
      </c>
      <c r="AK606" t="str">
        <f>IF(pub_gid_0_single_true_output_csv[[#This Row],[Nilai2]]="","",VLOOKUP(pub_gid_0_single_true_output_csv[[#This Row],[NAMA]],Table7[],3,FALSE))</f>
        <v/>
      </c>
    </row>
    <row r="607" spans="1:37" x14ac:dyDescent="0.2">
      <c r="A607">
        <v>606</v>
      </c>
      <c r="B607" t="s">
        <v>292</v>
      </c>
      <c r="C607" t="s">
        <v>54</v>
      </c>
      <c r="D607" t="s">
        <v>94</v>
      </c>
      <c r="E607" t="s">
        <v>147</v>
      </c>
      <c r="F607" s="25">
        <v>46037</v>
      </c>
      <c r="G607" t="s">
        <v>356</v>
      </c>
      <c r="H607" t="s">
        <v>405</v>
      </c>
      <c r="I607" t="s">
        <v>371</v>
      </c>
      <c r="J607" t="s">
        <v>36</v>
      </c>
      <c r="K607" t="s">
        <v>153</v>
      </c>
      <c r="L607" t="s">
        <v>319</v>
      </c>
      <c r="M607" t="s">
        <v>141</v>
      </c>
      <c r="N607" t="s">
        <v>142</v>
      </c>
      <c r="O607" t="s">
        <v>155</v>
      </c>
      <c r="P607" t="s">
        <v>281</v>
      </c>
      <c r="Q607" t="s">
        <v>155</v>
      </c>
      <c r="R607" t="s">
        <v>273</v>
      </c>
      <c r="S607" t="s">
        <v>309</v>
      </c>
      <c r="T607">
        <v>1</v>
      </c>
      <c r="U607" t="s">
        <v>422</v>
      </c>
      <c r="V607" t="s">
        <v>285</v>
      </c>
      <c r="W607" t="s">
        <v>423</v>
      </c>
      <c r="X607" t="s">
        <v>306</v>
      </c>
      <c r="Y607" t="s">
        <v>307</v>
      </c>
      <c r="Z607">
        <v>65</v>
      </c>
      <c r="AA607">
        <v>60</v>
      </c>
      <c r="AB607" t="s">
        <v>151</v>
      </c>
      <c r="AC607" t="s">
        <v>161</v>
      </c>
      <c r="AD607" t="s">
        <v>125</v>
      </c>
      <c r="AE607" t="str">
        <f>IF(AF607="","",VLOOKUP(AC607,mapel!$A$2:$B$42,2,FALSE))</f>
        <v>TIK</v>
      </c>
      <c r="AF607">
        <f t="shared" si="27"/>
        <v>60</v>
      </c>
      <c r="AG607" t="str">
        <f>IF(AF607="","",IF(AF607&gt;90,"Sangat baik",IF(AF607&gt;79,"Baik",IF(AF607&gt;=pub_gid_0_single_true_output_csv[[#This Row],[KKM]],"Cukup","Kurang"))))</f>
        <v>Kurang</v>
      </c>
      <c r="AH607">
        <f t="shared" si="28"/>
        <v>11</v>
      </c>
      <c r="AI607" s="30" t="str">
        <f>IF(OR(J607&lt;&gt;"Karakter",pub_gid_0_single_true_output_csv[[#This Row],[Nilai2]]=""),"",IF(AF607&gt;89,"Sangat baik",IF(AF607&gt;79,"Baik",IF(AF607&gt;69,"Cukup",IF(AF607&gt;59,"Kurang","Sangat kurang")))))</f>
        <v/>
      </c>
      <c r="AJ607" t="str">
        <f t="shared" si="29"/>
        <v>Wk.3</v>
      </c>
      <c r="AK607" t="str">
        <f>IF(pub_gid_0_single_true_output_csv[[#This Row],[Nilai2]]="","",VLOOKUP(pub_gid_0_single_true_output_csv[[#This Row],[NAMA]],Table7[],3,FALSE))</f>
        <v>Average</v>
      </c>
    </row>
    <row r="608" spans="1:37" x14ac:dyDescent="0.2">
      <c r="A608">
        <v>607</v>
      </c>
      <c r="B608" t="s">
        <v>292</v>
      </c>
      <c r="C608" t="s">
        <v>54</v>
      </c>
      <c r="D608" t="s">
        <v>94</v>
      </c>
      <c r="E608" t="s">
        <v>147</v>
      </c>
      <c r="F608" s="25">
        <v>46037</v>
      </c>
      <c r="G608" t="s">
        <v>356</v>
      </c>
      <c r="H608" t="s">
        <v>405</v>
      </c>
      <c r="I608" t="s">
        <v>371</v>
      </c>
      <c r="J608" t="s">
        <v>31</v>
      </c>
      <c r="K608" t="s">
        <v>158</v>
      </c>
      <c r="L608" t="s">
        <v>319</v>
      </c>
      <c r="M608" t="s">
        <v>141</v>
      </c>
      <c r="N608" t="s">
        <v>142</v>
      </c>
      <c r="O608" t="s">
        <v>155</v>
      </c>
      <c r="P608" t="s">
        <v>281</v>
      </c>
      <c r="Q608" t="s">
        <v>155</v>
      </c>
      <c r="R608" t="s">
        <v>273</v>
      </c>
      <c r="S608" t="s">
        <v>309</v>
      </c>
      <c r="T608">
        <v>1</v>
      </c>
      <c r="U608" t="s">
        <v>422</v>
      </c>
      <c r="V608" t="s">
        <v>285</v>
      </c>
      <c r="W608" t="s">
        <v>423</v>
      </c>
      <c r="X608" t="s">
        <v>306</v>
      </c>
      <c r="Y608" t="s">
        <v>307</v>
      </c>
      <c r="Z608">
        <v>65</v>
      </c>
      <c r="AA608">
        <v>60</v>
      </c>
      <c r="AB608" t="s">
        <v>151</v>
      </c>
      <c r="AC608" t="s">
        <v>161</v>
      </c>
      <c r="AD608" t="s">
        <v>125</v>
      </c>
      <c r="AE608" t="str">
        <f>IF(AF608="","",VLOOKUP(AC608,mapel!$A$2:$B$42,2,FALSE))</f>
        <v>TIK</v>
      </c>
      <c r="AF608">
        <f t="shared" si="27"/>
        <v>60</v>
      </c>
      <c r="AG608" t="str">
        <f>IF(AF608="","",IF(AF608&gt;90,"Sangat baik",IF(AF608&gt;79,"Baik",IF(AF608&gt;=pub_gid_0_single_true_output_csv[[#This Row],[KKM]],"Cukup","Kurang"))))</f>
        <v>Kurang</v>
      </c>
      <c r="AH608">
        <f t="shared" si="28"/>
        <v>11</v>
      </c>
      <c r="AI608" s="30" t="str">
        <f>IF(OR(J608&lt;&gt;"Karakter",pub_gid_0_single_true_output_csv[[#This Row],[Nilai2]]=""),"",IF(AF608&gt;89,"Sangat baik",IF(AF608&gt;79,"Baik",IF(AF608&gt;69,"Cukup",IF(AF608&gt;59,"Kurang","Sangat kurang")))))</f>
        <v/>
      </c>
      <c r="AJ608" t="str">
        <f t="shared" si="29"/>
        <v>Wk.3</v>
      </c>
      <c r="AK608" t="str">
        <f>IF(pub_gid_0_single_true_output_csv[[#This Row],[Nilai2]]="","",VLOOKUP(pub_gid_0_single_true_output_csv[[#This Row],[NAMA]],Table7[],3,FALSE))</f>
        <v>Average</v>
      </c>
    </row>
    <row r="609" spans="1:37" x14ac:dyDescent="0.2">
      <c r="A609">
        <v>608</v>
      </c>
      <c r="B609" t="s">
        <v>292</v>
      </c>
      <c r="C609" t="s">
        <v>54</v>
      </c>
      <c r="D609" t="s">
        <v>94</v>
      </c>
      <c r="E609" t="s">
        <v>147</v>
      </c>
      <c r="F609" s="25">
        <v>46044</v>
      </c>
      <c r="G609" t="s">
        <v>305</v>
      </c>
      <c r="H609" t="s">
        <v>405</v>
      </c>
      <c r="I609" t="s">
        <v>371</v>
      </c>
      <c r="J609" t="s">
        <v>90</v>
      </c>
      <c r="K609" t="s">
        <v>377</v>
      </c>
      <c r="L609" t="s">
        <v>399</v>
      </c>
      <c r="M609" t="s">
        <v>141</v>
      </c>
      <c r="N609" t="s">
        <v>142</v>
      </c>
      <c r="O609" t="s">
        <v>155</v>
      </c>
      <c r="P609" t="s">
        <v>281</v>
      </c>
      <c r="Q609" t="s">
        <v>155</v>
      </c>
      <c r="R609" t="s">
        <v>273</v>
      </c>
      <c r="S609" t="s">
        <v>309</v>
      </c>
      <c r="T609">
        <v>1</v>
      </c>
      <c r="U609" t="s">
        <v>422</v>
      </c>
      <c r="V609" t="s">
        <v>285</v>
      </c>
      <c r="W609" t="s">
        <v>423</v>
      </c>
      <c r="X609" t="s">
        <v>306</v>
      </c>
      <c r="Y609" t="s">
        <v>307</v>
      </c>
      <c r="Z609">
        <v>65</v>
      </c>
      <c r="AA609">
        <v>70</v>
      </c>
      <c r="AB609" t="s">
        <v>143</v>
      </c>
      <c r="AC609" t="s">
        <v>161</v>
      </c>
      <c r="AD609" t="s">
        <v>125</v>
      </c>
      <c r="AE609" t="str">
        <f>IF(AF609="","",VLOOKUP(AC609,mapel!$A$2:$B$42,2,FALSE))</f>
        <v>TIK</v>
      </c>
      <c r="AF609">
        <f t="shared" si="27"/>
        <v>70</v>
      </c>
      <c r="AG609" t="str">
        <f>IF(AF609="","",IF(AF609&gt;90,"Sangat baik",IF(AF609&gt;79,"Baik",IF(AF609&gt;=pub_gid_0_single_true_output_csv[[#This Row],[KKM]],"Cukup","Kurang"))))</f>
        <v>Cukup</v>
      </c>
      <c r="AH609">
        <f t="shared" si="28"/>
        <v>11</v>
      </c>
      <c r="AI609" s="30" t="str">
        <f>IF(OR(J609&lt;&gt;"Karakter",pub_gid_0_single_true_output_csv[[#This Row],[Nilai2]]=""),"",IF(AF609&gt;89,"Sangat baik",IF(AF609&gt;79,"Baik",IF(AF609&gt;69,"Cukup",IF(AF609&gt;59,"Kurang","Sangat kurang")))))</f>
        <v>Cukup</v>
      </c>
      <c r="AJ609" t="str">
        <f t="shared" si="29"/>
        <v>Wk.4</v>
      </c>
      <c r="AK609" t="str">
        <f>IF(pub_gid_0_single_true_output_csv[[#This Row],[Nilai2]]="","",VLOOKUP(pub_gid_0_single_true_output_csv[[#This Row],[NAMA]],Table7[],3,FALSE))</f>
        <v>Average</v>
      </c>
    </row>
    <row r="610" spans="1:37" x14ac:dyDescent="0.2">
      <c r="A610">
        <v>609</v>
      </c>
      <c r="B610" t="s">
        <v>292</v>
      </c>
      <c r="C610" t="s">
        <v>54</v>
      </c>
      <c r="D610" t="s">
        <v>94</v>
      </c>
      <c r="E610" t="s">
        <v>147</v>
      </c>
      <c r="F610" s="25">
        <v>46044</v>
      </c>
      <c r="G610" t="s">
        <v>305</v>
      </c>
      <c r="H610" t="s">
        <v>405</v>
      </c>
      <c r="I610" t="s">
        <v>371</v>
      </c>
      <c r="J610" t="s">
        <v>279</v>
      </c>
      <c r="K610" t="s">
        <v>280</v>
      </c>
      <c r="L610" t="s">
        <v>150</v>
      </c>
      <c r="M610" t="s">
        <v>141</v>
      </c>
      <c r="N610" t="s">
        <v>142</v>
      </c>
      <c r="O610" t="s">
        <v>155</v>
      </c>
      <c r="P610" t="s">
        <v>281</v>
      </c>
      <c r="Q610" t="s">
        <v>155</v>
      </c>
      <c r="R610" t="s">
        <v>273</v>
      </c>
      <c r="S610" t="s">
        <v>309</v>
      </c>
      <c r="T610">
        <v>1</v>
      </c>
      <c r="U610" t="s">
        <v>422</v>
      </c>
      <c r="V610" t="s">
        <v>285</v>
      </c>
      <c r="W610" t="s">
        <v>423</v>
      </c>
      <c r="X610" t="s">
        <v>306</v>
      </c>
      <c r="Y610" t="s">
        <v>307</v>
      </c>
      <c r="Z610">
        <v>65</v>
      </c>
      <c r="AA610">
        <v>65</v>
      </c>
      <c r="AB610" t="s">
        <v>143</v>
      </c>
      <c r="AC610" t="s">
        <v>161</v>
      </c>
      <c r="AD610" t="s">
        <v>125</v>
      </c>
      <c r="AE610" t="str">
        <f>IF(AF610="","",VLOOKUP(AC610,mapel!$A$2:$B$42,2,FALSE))</f>
        <v>TIK</v>
      </c>
      <c r="AF610">
        <f t="shared" si="27"/>
        <v>65</v>
      </c>
      <c r="AG610" t="str">
        <f>IF(AF610="","",IF(AF610&gt;90,"Sangat baik",IF(AF610&gt;79,"Baik",IF(AF610&gt;=pub_gid_0_single_true_output_csv[[#This Row],[KKM]],"Cukup","Kurang"))))</f>
        <v>Cukup</v>
      </c>
      <c r="AH610">
        <f t="shared" si="28"/>
        <v>11</v>
      </c>
      <c r="AI610" s="30" t="str">
        <f>IF(OR(J610&lt;&gt;"Karakter",pub_gid_0_single_true_output_csv[[#This Row],[Nilai2]]=""),"",IF(AF610&gt;89,"Sangat baik",IF(AF610&gt;79,"Baik",IF(AF610&gt;69,"Cukup",IF(AF610&gt;59,"Kurang","Sangat kurang")))))</f>
        <v/>
      </c>
      <c r="AJ610" t="str">
        <f t="shared" si="29"/>
        <v>Wk.4</v>
      </c>
      <c r="AK610" t="str">
        <f>IF(pub_gid_0_single_true_output_csv[[#This Row],[Nilai2]]="","",VLOOKUP(pub_gid_0_single_true_output_csv[[#This Row],[NAMA]],Table7[],3,FALSE))</f>
        <v>Average</v>
      </c>
    </row>
    <row r="611" spans="1:37" x14ac:dyDescent="0.2">
      <c r="A611">
        <v>610</v>
      </c>
      <c r="B611" t="s">
        <v>292</v>
      </c>
      <c r="C611" t="s">
        <v>54</v>
      </c>
      <c r="D611" t="s">
        <v>94</v>
      </c>
      <c r="E611" t="s">
        <v>147</v>
      </c>
      <c r="F611" s="25">
        <v>46044</v>
      </c>
      <c r="G611" t="s">
        <v>305</v>
      </c>
      <c r="H611" t="s">
        <v>405</v>
      </c>
      <c r="I611" t="s">
        <v>371</v>
      </c>
      <c r="J611" t="s">
        <v>41</v>
      </c>
      <c r="K611" t="s">
        <v>157</v>
      </c>
      <c r="L611" t="s">
        <v>150</v>
      </c>
      <c r="M611" t="s">
        <v>141</v>
      </c>
      <c r="N611" t="s">
        <v>142</v>
      </c>
      <c r="O611" t="s">
        <v>155</v>
      </c>
      <c r="P611" t="s">
        <v>281</v>
      </c>
      <c r="Q611" t="s">
        <v>155</v>
      </c>
      <c r="R611" t="s">
        <v>273</v>
      </c>
      <c r="S611" t="s">
        <v>309</v>
      </c>
      <c r="T611">
        <v>1</v>
      </c>
      <c r="U611" t="s">
        <v>422</v>
      </c>
      <c r="V611" t="s">
        <v>285</v>
      </c>
      <c r="W611" t="s">
        <v>423</v>
      </c>
      <c r="X611" t="s">
        <v>306</v>
      </c>
      <c r="Y611" t="s">
        <v>307</v>
      </c>
      <c r="Z611">
        <v>65</v>
      </c>
      <c r="AA611">
        <v>60</v>
      </c>
      <c r="AB611" t="s">
        <v>151</v>
      </c>
      <c r="AC611" t="s">
        <v>161</v>
      </c>
      <c r="AD611" t="s">
        <v>125</v>
      </c>
      <c r="AE611" t="str">
        <f>IF(AF611="","",VLOOKUP(AC611,mapel!$A$2:$B$42,2,FALSE))</f>
        <v>TIK</v>
      </c>
      <c r="AF611">
        <f t="shared" si="27"/>
        <v>60</v>
      </c>
      <c r="AG611" t="str">
        <f>IF(AF611="","",IF(AF611&gt;90,"Sangat baik",IF(AF611&gt;79,"Baik",IF(AF611&gt;=pub_gid_0_single_true_output_csv[[#This Row],[KKM]],"Cukup","Kurang"))))</f>
        <v>Kurang</v>
      </c>
      <c r="AH611">
        <f t="shared" si="28"/>
        <v>11</v>
      </c>
      <c r="AI611" s="30" t="str">
        <f>IF(OR(J611&lt;&gt;"Karakter",pub_gid_0_single_true_output_csv[[#This Row],[Nilai2]]=""),"",IF(AF611&gt;89,"Sangat baik",IF(AF611&gt;79,"Baik",IF(AF611&gt;69,"Cukup",IF(AF611&gt;59,"Kurang","Sangat kurang")))))</f>
        <v/>
      </c>
      <c r="AJ611" t="str">
        <f t="shared" si="29"/>
        <v>Wk.4</v>
      </c>
      <c r="AK611" t="str">
        <f>IF(pub_gid_0_single_true_output_csv[[#This Row],[Nilai2]]="","",VLOOKUP(pub_gid_0_single_true_output_csv[[#This Row],[NAMA]],Table7[],3,FALSE))</f>
        <v>Average</v>
      </c>
    </row>
    <row r="612" spans="1:37" x14ac:dyDescent="0.2">
      <c r="A612">
        <v>611</v>
      </c>
      <c r="B612" t="s">
        <v>292</v>
      </c>
      <c r="C612" t="s">
        <v>54</v>
      </c>
      <c r="D612" t="s">
        <v>94</v>
      </c>
      <c r="E612" t="s">
        <v>147</v>
      </c>
      <c r="F612" s="25">
        <v>46051</v>
      </c>
      <c r="G612" t="s">
        <v>320</v>
      </c>
      <c r="H612" t="s">
        <v>405</v>
      </c>
      <c r="I612" t="s">
        <v>371</v>
      </c>
      <c r="J612" t="s">
        <v>41</v>
      </c>
      <c r="K612" t="s">
        <v>157</v>
      </c>
      <c r="L612" t="s">
        <v>150</v>
      </c>
      <c r="M612" t="s">
        <v>141</v>
      </c>
      <c r="N612" t="s">
        <v>142</v>
      </c>
      <c r="O612" t="s">
        <v>155</v>
      </c>
      <c r="P612" t="s">
        <v>281</v>
      </c>
      <c r="Q612" t="s">
        <v>155</v>
      </c>
      <c r="R612" t="s">
        <v>273</v>
      </c>
      <c r="S612" t="s">
        <v>309</v>
      </c>
      <c r="T612">
        <v>1</v>
      </c>
      <c r="U612" t="s">
        <v>422</v>
      </c>
      <c r="V612" t="s">
        <v>285</v>
      </c>
      <c r="W612" t="s">
        <v>423</v>
      </c>
      <c r="X612" t="s">
        <v>306</v>
      </c>
      <c r="Y612" t="s">
        <v>307</v>
      </c>
      <c r="Z612">
        <v>65</v>
      </c>
      <c r="AA612">
        <v>65</v>
      </c>
      <c r="AB612" t="s">
        <v>143</v>
      </c>
      <c r="AC612" t="s">
        <v>161</v>
      </c>
      <c r="AD612" t="s">
        <v>125</v>
      </c>
      <c r="AE612" t="str">
        <f>IF(AF612="","",VLOOKUP(AC612,mapel!$A$2:$B$42,2,FALSE))</f>
        <v>TIK</v>
      </c>
      <c r="AF612">
        <f t="shared" si="27"/>
        <v>65</v>
      </c>
      <c r="AG612" t="str">
        <f>IF(AF612="","",IF(AF612&gt;90,"Sangat baik",IF(AF612&gt;79,"Baik",IF(AF612&gt;=pub_gid_0_single_true_output_csv[[#This Row],[KKM]],"Cukup","Kurang"))))</f>
        <v>Cukup</v>
      </c>
      <c r="AH612">
        <f t="shared" si="28"/>
        <v>11</v>
      </c>
      <c r="AI612" s="30" t="str">
        <f>IF(OR(J612&lt;&gt;"Karakter",pub_gid_0_single_true_output_csv[[#This Row],[Nilai2]]=""),"",IF(AF612&gt;89,"Sangat baik",IF(AF612&gt;79,"Baik",IF(AF612&gt;69,"Cukup",IF(AF612&gt;59,"Kurang","Sangat kurang")))))</f>
        <v/>
      </c>
      <c r="AJ612" t="str">
        <f t="shared" si="29"/>
        <v>Wk.5</v>
      </c>
      <c r="AK612" t="str">
        <f>IF(pub_gid_0_single_true_output_csv[[#This Row],[Nilai2]]="","",VLOOKUP(pub_gid_0_single_true_output_csv[[#This Row],[NAMA]],Table7[],3,FALSE))</f>
        <v>Average</v>
      </c>
    </row>
    <row r="613" spans="1:37" x14ac:dyDescent="0.2">
      <c r="A613">
        <v>612</v>
      </c>
      <c r="B613" t="s">
        <v>292</v>
      </c>
      <c r="C613" t="s">
        <v>54</v>
      </c>
      <c r="D613" t="s">
        <v>94</v>
      </c>
      <c r="E613" t="s">
        <v>147</v>
      </c>
      <c r="F613" s="25">
        <v>46051</v>
      </c>
      <c r="G613" t="s">
        <v>320</v>
      </c>
      <c r="H613" t="s">
        <v>405</v>
      </c>
      <c r="I613" t="s">
        <v>371</v>
      </c>
      <c r="J613" t="s">
        <v>36</v>
      </c>
      <c r="K613" t="s">
        <v>153</v>
      </c>
      <c r="L613" t="s">
        <v>319</v>
      </c>
      <c r="M613" t="s">
        <v>141</v>
      </c>
      <c r="N613" t="s">
        <v>142</v>
      </c>
      <c r="O613" t="s">
        <v>155</v>
      </c>
      <c r="P613" t="s">
        <v>281</v>
      </c>
      <c r="Q613" t="s">
        <v>155</v>
      </c>
      <c r="R613" t="s">
        <v>273</v>
      </c>
      <c r="S613" t="s">
        <v>309</v>
      </c>
      <c r="T613">
        <v>1</v>
      </c>
      <c r="U613" t="s">
        <v>422</v>
      </c>
      <c r="V613" t="s">
        <v>285</v>
      </c>
      <c r="W613" t="s">
        <v>423</v>
      </c>
      <c r="X613" t="s">
        <v>306</v>
      </c>
      <c r="Y613" t="s">
        <v>307</v>
      </c>
      <c r="Z613">
        <v>65</v>
      </c>
      <c r="AA613">
        <v>65</v>
      </c>
      <c r="AB613" t="s">
        <v>143</v>
      </c>
      <c r="AC613" t="s">
        <v>161</v>
      </c>
      <c r="AD613" t="s">
        <v>125</v>
      </c>
      <c r="AE613" t="str">
        <f>IF(AF613="","",VLOOKUP(AC613,mapel!$A$2:$B$42,2,FALSE))</f>
        <v>TIK</v>
      </c>
      <c r="AF613">
        <f t="shared" si="27"/>
        <v>65</v>
      </c>
      <c r="AG613" t="str">
        <f>IF(AF613="","",IF(AF613&gt;90,"Sangat baik",IF(AF613&gt;79,"Baik",IF(AF613&gt;=pub_gid_0_single_true_output_csv[[#This Row],[KKM]],"Cukup","Kurang"))))</f>
        <v>Cukup</v>
      </c>
      <c r="AH613">
        <f t="shared" si="28"/>
        <v>11</v>
      </c>
      <c r="AI613" s="30" t="str">
        <f>IF(OR(J613&lt;&gt;"Karakter",pub_gid_0_single_true_output_csv[[#This Row],[Nilai2]]=""),"",IF(AF613&gt;89,"Sangat baik",IF(AF613&gt;79,"Baik",IF(AF613&gt;69,"Cukup",IF(AF613&gt;59,"Kurang","Sangat kurang")))))</f>
        <v/>
      </c>
      <c r="AJ613" t="str">
        <f t="shared" si="29"/>
        <v>Wk.5</v>
      </c>
      <c r="AK613" t="str">
        <f>IF(pub_gid_0_single_true_output_csv[[#This Row],[Nilai2]]="","",VLOOKUP(pub_gid_0_single_true_output_csv[[#This Row],[NAMA]],Table7[],3,FALSE))</f>
        <v>Average</v>
      </c>
    </row>
    <row r="614" spans="1:37" x14ac:dyDescent="0.2">
      <c r="A614">
        <v>613</v>
      </c>
      <c r="B614" t="s">
        <v>292</v>
      </c>
      <c r="C614" t="s">
        <v>54</v>
      </c>
      <c r="D614" t="s">
        <v>94</v>
      </c>
      <c r="E614" t="s">
        <v>147</v>
      </c>
      <c r="F614" s="25">
        <v>46065</v>
      </c>
      <c r="G614" t="s">
        <v>354</v>
      </c>
      <c r="H614" t="s">
        <v>412</v>
      </c>
      <c r="I614" t="s">
        <v>371</v>
      </c>
      <c r="J614" t="s">
        <v>41</v>
      </c>
      <c r="K614" t="s">
        <v>157</v>
      </c>
      <c r="L614" t="s">
        <v>150</v>
      </c>
      <c r="M614" t="s">
        <v>141</v>
      </c>
      <c r="N614" t="s">
        <v>142</v>
      </c>
      <c r="O614" t="s">
        <v>155</v>
      </c>
      <c r="P614" t="s">
        <v>281</v>
      </c>
      <c r="Q614" t="s">
        <v>155</v>
      </c>
      <c r="R614" t="s">
        <v>273</v>
      </c>
      <c r="S614" t="s">
        <v>309</v>
      </c>
      <c r="T614">
        <v>1</v>
      </c>
      <c r="U614" t="s">
        <v>422</v>
      </c>
      <c r="V614" t="s">
        <v>285</v>
      </c>
      <c r="W614" t="s">
        <v>423</v>
      </c>
      <c r="X614" t="s">
        <v>306</v>
      </c>
      <c r="Y614" t="s">
        <v>307</v>
      </c>
      <c r="Z614">
        <v>65</v>
      </c>
      <c r="AA614">
        <v>63</v>
      </c>
      <c r="AB614" t="s">
        <v>151</v>
      </c>
      <c r="AC614" t="s">
        <v>161</v>
      </c>
      <c r="AD614" t="s">
        <v>125</v>
      </c>
      <c r="AE614" t="str">
        <f>IF(AF614="","",VLOOKUP(AC614,mapel!$A$2:$B$42,2,FALSE))</f>
        <v>TIK</v>
      </c>
      <c r="AF614">
        <f t="shared" si="27"/>
        <v>63</v>
      </c>
      <c r="AG614" t="str">
        <f>IF(AF614="","",IF(AF614&gt;90,"Sangat baik",IF(AF614&gt;79,"Baik",IF(AF614&gt;=pub_gid_0_single_true_output_csv[[#This Row],[KKM]],"Cukup","Kurang"))))</f>
        <v>Kurang</v>
      </c>
      <c r="AH614">
        <f t="shared" si="28"/>
        <v>11</v>
      </c>
      <c r="AI614" s="30" t="str">
        <f>IF(OR(J614&lt;&gt;"Karakter",pub_gid_0_single_true_output_csv[[#This Row],[Nilai2]]=""),"",IF(AF614&gt;89,"Sangat baik",IF(AF614&gt;79,"Baik",IF(AF614&gt;69,"Cukup",IF(AF614&gt;59,"Kurang","Sangat kurang")))))</f>
        <v/>
      </c>
      <c r="AJ614" t="str">
        <f t="shared" si="29"/>
        <v>Wk.7</v>
      </c>
      <c r="AK614" t="str">
        <f>IF(pub_gid_0_single_true_output_csv[[#This Row],[Nilai2]]="","",VLOOKUP(pub_gid_0_single_true_output_csv[[#This Row],[NAMA]],Table7[],3,FALSE))</f>
        <v>Average</v>
      </c>
    </row>
    <row r="615" spans="1:37" x14ac:dyDescent="0.2">
      <c r="A615">
        <v>614</v>
      </c>
      <c r="B615" t="s">
        <v>292</v>
      </c>
      <c r="C615" t="s">
        <v>54</v>
      </c>
      <c r="D615" t="s">
        <v>94</v>
      </c>
      <c r="E615" t="s">
        <v>147</v>
      </c>
      <c r="F615" s="25">
        <v>46065</v>
      </c>
      <c r="G615" t="s">
        <v>354</v>
      </c>
      <c r="H615" t="s">
        <v>412</v>
      </c>
      <c r="I615" t="s">
        <v>371</v>
      </c>
      <c r="J615" t="s">
        <v>36</v>
      </c>
      <c r="K615" t="s">
        <v>153</v>
      </c>
      <c r="L615" t="s">
        <v>319</v>
      </c>
      <c r="M615" t="s">
        <v>141</v>
      </c>
      <c r="N615" t="s">
        <v>142</v>
      </c>
      <c r="O615" t="s">
        <v>155</v>
      </c>
      <c r="P615" t="s">
        <v>281</v>
      </c>
      <c r="Q615" t="s">
        <v>155</v>
      </c>
      <c r="R615" t="s">
        <v>273</v>
      </c>
      <c r="S615" t="s">
        <v>309</v>
      </c>
      <c r="T615">
        <v>1</v>
      </c>
      <c r="U615" t="s">
        <v>422</v>
      </c>
      <c r="V615" t="s">
        <v>285</v>
      </c>
      <c r="W615" t="s">
        <v>423</v>
      </c>
      <c r="X615" t="s">
        <v>306</v>
      </c>
      <c r="Y615" t="s">
        <v>307</v>
      </c>
      <c r="Z615">
        <v>65</v>
      </c>
      <c r="AA615">
        <v>60</v>
      </c>
      <c r="AB615" t="s">
        <v>151</v>
      </c>
      <c r="AC615" t="s">
        <v>161</v>
      </c>
      <c r="AD615" t="s">
        <v>125</v>
      </c>
      <c r="AE615" t="str">
        <f>IF(AF615="","",VLOOKUP(AC615,mapel!$A$2:$B$42,2,FALSE))</f>
        <v>TIK</v>
      </c>
      <c r="AF615">
        <f t="shared" si="27"/>
        <v>60</v>
      </c>
      <c r="AG615" t="str">
        <f>IF(AF615="","",IF(AF615&gt;90,"Sangat baik",IF(AF615&gt;79,"Baik",IF(AF615&gt;=pub_gid_0_single_true_output_csv[[#This Row],[KKM]],"Cukup","Kurang"))))</f>
        <v>Kurang</v>
      </c>
      <c r="AH615">
        <f t="shared" si="28"/>
        <v>11</v>
      </c>
      <c r="AI615" s="30" t="str">
        <f>IF(OR(J615&lt;&gt;"Karakter",pub_gid_0_single_true_output_csv[[#This Row],[Nilai2]]=""),"",IF(AF615&gt;89,"Sangat baik",IF(AF615&gt;79,"Baik",IF(AF615&gt;69,"Cukup",IF(AF615&gt;59,"Kurang","Sangat kurang")))))</f>
        <v/>
      </c>
      <c r="AJ615" t="str">
        <f t="shared" si="29"/>
        <v>Wk.7</v>
      </c>
      <c r="AK615" t="str">
        <f>IF(pub_gid_0_single_true_output_csv[[#This Row],[Nilai2]]="","",VLOOKUP(pub_gid_0_single_true_output_csv[[#This Row],[NAMA]],Table7[],3,FALSE))</f>
        <v>Average</v>
      </c>
    </row>
    <row r="616" spans="1:37" x14ac:dyDescent="0.2">
      <c r="A616">
        <v>615</v>
      </c>
      <c r="B616" t="s">
        <v>292</v>
      </c>
      <c r="C616" t="s">
        <v>54</v>
      </c>
      <c r="D616" t="s">
        <v>94</v>
      </c>
      <c r="E616" t="s">
        <v>147</v>
      </c>
      <c r="F616" s="25">
        <v>46065</v>
      </c>
      <c r="G616" t="s">
        <v>354</v>
      </c>
      <c r="H616" t="s">
        <v>412</v>
      </c>
      <c r="I616" t="s">
        <v>371</v>
      </c>
      <c r="J616" t="s">
        <v>90</v>
      </c>
      <c r="K616" t="s">
        <v>377</v>
      </c>
      <c r="L616" t="s">
        <v>399</v>
      </c>
      <c r="M616" t="s">
        <v>141</v>
      </c>
      <c r="N616" t="s">
        <v>142</v>
      </c>
      <c r="O616" t="s">
        <v>155</v>
      </c>
      <c r="P616" t="s">
        <v>281</v>
      </c>
      <c r="Q616" t="s">
        <v>155</v>
      </c>
      <c r="R616" t="s">
        <v>273</v>
      </c>
      <c r="S616" t="s">
        <v>309</v>
      </c>
      <c r="T616">
        <v>1</v>
      </c>
      <c r="U616" t="s">
        <v>422</v>
      </c>
      <c r="V616" t="s">
        <v>285</v>
      </c>
      <c r="W616" t="s">
        <v>423</v>
      </c>
      <c r="X616" t="s">
        <v>306</v>
      </c>
      <c r="Y616" t="s">
        <v>307</v>
      </c>
      <c r="Z616">
        <v>65</v>
      </c>
      <c r="AA616">
        <v>75</v>
      </c>
      <c r="AB616" t="s">
        <v>143</v>
      </c>
      <c r="AC616" t="s">
        <v>161</v>
      </c>
      <c r="AD616" t="s">
        <v>125</v>
      </c>
      <c r="AE616" t="str">
        <f>IF(AF616="","",VLOOKUP(AC616,mapel!$A$2:$B$42,2,FALSE))</f>
        <v>TIK</v>
      </c>
      <c r="AF616">
        <f t="shared" si="27"/>
        <v>75</v>
      </c>
      <c r="AG616" t="str">
        <f>IF(AF616="","",IF(AF616&gt;90,"Sangat baik",IF(AF616&gt;79,"Baik",IF(AF616&gt;=pub_gid_0_single_true_output_csv[[#This Row],[KKM]],"Cukup","Kurang"))))</f>
        <v>Cukup</v>
      </c>
      <c r="AH616">
        <f t="shared" si="28"/>
        <v>11</v>
      </c>
      <c r="AI616" s="30" t="str">
        <f>IF(OR(J616&lt;&gt;"Karakter",pub_gid_0_single_true_output_csv[[#This Row],[Nilai2]]=""),"",IF(AF616&gt;89,"Sangat baik",IF(AF616&gt;79,"Baik",IF(AF616&gt;69,"Cukup",IF(AF616&gt;59,"Kurang","Sangat kurang")))))</f>
        <v>Cukup</v>
      </c>
      <c r="AJ616" t="str">
        <f t="shared" si="29"/>
        <v>Wk.7</v>
      </c>
      <c r="AK616" t="str">
        <f>IF(pub_gid_0_single_true_output_csv[[#This Row],[Nilai2]]="","",VLOOKUP(pub_gid_0_single_true_output_csv[[#This Row],[NAMA]],Table7[],3,FALSE))</f>
        <v>Average</v>
      </c>
    </row>
    <row r="617" spans="1:37" x14ac:dyDescent="0.2">
      <c r="A617">
        <v>616</v>
      </c>
      <c r="B617" t="s">
        <v>286</v>
      </c>
      <c r="C617" t="s">
        <v>54</v>
      </c>
      <c r="D617" t="s">
        <v>33</v>
      </c>
      <c r="E617" t="s">
        <v>140</v>
      </c>
      <c r="F617" s="25">
        <v>46037</v>
      </c>
      <c r="G617" t="s">
        <v>356</v>
      </c>
      <c r="H617" t="s">
        <v>405</v>
      </c>
      <c r="I617" t="s">
        <v>371</v>
      </c>
      <c r="J617" t="s">
        <v>36</v>
      </c>
      <c r="K617" t="s">
        <v>153</v>
      </c>
      <c r="L617" t="s">
        <v>319</v>
      </c>
      <c r="M617" t="s">
        <v>141</v>
      </c>
      <c r="N617" t="s">
        <v>142</v>
      </c>
      <c r="O617" t="s">
        <v>155</v>
      </c>
      <c r="P617" t="s">
        <v>281</v>
      </c>
      <c r="Q617" t="s">
        <v>155</v>
      </c>
      <c r="R617" t="s">
        <v>273</v>
      </c>
      <c r="S617" t="s">
        <v>309</v>
      </c>
      <c r="T617">
        <v>1</v>
      </c>
      <c r="U617" t="s">
        <v>422</v>
      </c>
      <c r="V617" t="s">
        <v>285</v>
      </c>
      <c r="W617" t="s">
        <v>423</v>
      </c>
      <c r="X617" t="s">
        <v>306</v>
      </c>
      <c r="Y617" t="s">
        <v>307</v>
      </c>
      <c r="Z617">
        <v>65</v>
      </c>
      <c r="AA617">
        <v>75</v>
      </c>
      <c r="AB617" t="s">
        <v>143</v>
      </c>
      <c r="AC617" t="s">
        <v>161</v>
      </c>
      <c r="AD617" t="s">
        <v>125</v>
      </c>
      <c r="AE617" t="str">
        <f>IF(AF617="","",VLOOKUP(AC617,mapel!$A$2:$B$42,2,FALSE))</f>
        <v>TIK</v>
      </c>
      <c r="AF617">
        <f t="shared" si="27"/>
        <v>75</v>
      </c>
      <c r="AG617" t="str">
        <f>IF(AF617="","",IF(AF617&gt;90,"Sangat baik",IF(AF617&gt;79,"Baik",IF(AF617&gt;=pub_gid_0_single_true_output_csv[[#This Row],[KKM]],"Cukup","Kurang"))))</f>
        <v>Cukup</v>
      </c>
      <c r="AH617">
        <f t="shared" si="28"/>
        <v>11</v>
      </c>
      <c r="AI617" s="30" t="str">
        <f>IF(OR(J617&lt;&gt;"Karakter",pub_gid_0_single_true_output_csv[[#This Row],[Nilai2]]=""),"",IF(AF617&gt;89,"Sangat baik",IF(AF617&gt;79,"Baik",IF(AF617&gt;69,"Cukup",IF(AF617&gt;59,"Kurang","Sangat kurang")))))</f>
        <v/>
      </c>
      <c r="AJ617" t="str">
        <f t="shared" si="29"/>
        <v>Wk.3</v>
      </c>
      <c r="AK617" t="str">
        <f>IF(pub_gid_0_single_true_output_csv[[#This Row],[Nilai2]]="","",VLOOKUP(pub_gid_0_single_true_output_csv[[#This Row],[NAMA]],Table7[],3,FALSE))</f>
        <v>Extremely low</v>
      </c>
    </row>
    <row r="618" spans="1:37" x14ac:dyDescent="0.2">
      <c r="A618">
        <v>617</v>
      </c>
      <c r="B618" t="s">
        <v>286</v>
      </c>
      <c r="C618" t="s">
        <v>54</v>
      </c>
      <c r="D618" t="s">
        <v>33</v>
      </c>
      <c r="E618" t="s">
        <v>140</v>
      </c>
      <c r="F618" s="25">
        <v>46037</v>
      </c>
      <c r="G618" t="s">
        <v>356</v>
      </c>
      <c r="H618" t="s">
        <v>405</v>
      </c>
      <c r="I618" t="s">
        <v>371</v>
      </c>
      <c r="J618" t="s">
        <v>31</v>
      </c>
      <c r="K618" t="s">
        <v>158</v>
      </c>
      <c r="L618" t="s">
        <v>319</v>
      </c>
      <c r="M618" t="s">
        <v>141</v>
      </c>
      <c r="N618" t="s">
        <v>142</v>
      </c>
      <c r="O618" t="s">
        <v>155</v>
      </c>
      <c r="P618" t="s">
        <v>281</v>
      </c>
      <c r="Q618" t="s">
        <v>155</v>
      </c>
      <c r="R618" t="s">
        <v>273</v>
      </c>
      <c r="S618" t="s">
        <v>309</v>
      </c>
      <c r="T618">
        <v>1</v>
      </c>
      <c r="U618" t="s">
        <v>422</v>
      </c>
      <c r="V618" t="s">
        <v>285</v>
      </c>
      <c r="W618" t="s">
        <v>423</v>
      </c>
      <c r="X618" t="s">
        <v>306</v>
      </c>
      <c r="Y618" t="s">
        <v>307</v>
      </c>
      <c r="Z618">
        <v>65</v>
      </c>
      <c r="AA618">
        <v>70</v>
      </c>
      <c r="AB618" t="s">
        <v>143</v>
      </c>
      <c r="AC618" t="s">
        <v>161</v>
      </c>
      <c r="AD618" t="s">
        <v>125</v>
      </c>
      <c r="AE618" t="str">
        <f>IF(AF618="","",VLOOKUP(AC618,mapel!$A$2:$B$42,2,FALSE))</f>
        <v>TIK</v>
      </c>
      <c r="AF618">
        <f t="shared" si="27"/>
        <v>70</v>
      </c>
      <c r="AG618" t="str">
        <f>IF(AF618="","",IF(AF618&gt;90,"Sangat baik",IF(AF618&gt;79,"Baik",IF(AF618&gt;=pub_gid_0_single_true_output_csv[[#This Row],[KKM]],"Cukup","Kurang"))))</f>
        <v>Cukup</v>
      </c>
      <c r="AH618">
        <f t="shared" si="28"/>
        <v>11</v>
      </c>
      <c r="AI618" s="30" t="str">
        <f>IF(OR(J618&lt;&gt;"Karakter",pub_gid_0_single_true_output_csv[[#This Row],[Nilai2]]=""),"",IF(AF618&gt;89,"Sangat baik",IF(AF618&gt;79,"Baik",IF(AF618&gt;69,"Cukup",IF(AF618&gt;59,"Kurang","Sangat kurang")))))</f>
        <v/>
      </c>
      <c r="AJ618" t="str">
        <f t="shared" si="29"/>
        <v>Wk.3</v>
      </c>
      <c r="AK618" t="str">
        <f>IF(pub_gid_0_single_true_output_csv[[#This Row],[Nilai2]]="","",VLOOKUP(pub_gid_0_single_true_output_csv[[#This Row],[NAMA]],Table7[],3,FALSE))</f>
        <v>Extremely low</v>
      </c>
    </row>
    <row r="619" spans="1:37" x14ac:dyDescent="0.2">
      <c r="A619">
        <v>618</v>
      </c>
      <c r="B619" t="s">
        <v>286</v>
      </c>
      <c r="C619" t="s">
        <v>54</v>
      </c>
      <c r="D619" t="s">
        <v>33</v>
      </c>
      <c r="E619" t="s">
        <v>140</v>
      </c>
      <c r="F619" s="25">
        <v>46044</v>
      </c>
      <c r="G619" t="s">
        <v>305</v>
      </c>
      <c r="H619" t="s">
        <v>405</v>
      </c>
      <c r="I619" t="s">
        <v>371</v>
      </c>
      <c r="J619" t="s">
        <v>90</v>
      </c>
      <c r="K619" t="s">
        <v>377</v>
      </c>
      <c r="L619" t="s">
        <v>399</v>
      </c>
      <c r="M619" t="s">
        <v>141</v>
      </c>
      <c r="N619" t="s">
        <v>142</v>
      </c>
      <c r="O619" t="s">
        <v>155</v>
      </c>
      <c r="P619" t="s">
        <v>281</v>
      </c>
      <c r="Q619" t="s">
        <v>155</v>
      </c>
      <c r="R619" t="s">
        <v>273</v>
      </c>
      <c r="S619" t="s">
        <v>309</v>
      </c>
      <c r="T619">
        <v>1</v>
      </c>
      <c r="U619" t="s">
        <v>422</v>
      </c>
      <c r="V619" t="s">
        <v>285</v>
      </c>
      <c r="W619" t="s">
        <v>423</v>
      </c>
      <c r="X619" t="s">
        <v>306</v>
      </c>
      <c r="Y619" t="s">
        <v>307</v>
      </c>
      <c r="Z619">
        <v>65</v>
      </c>
      <c r="AA619">
        <v>80</v>
      </c>
      <c r="AB619" t="s">
        <v>143</v>
      </c>
      <c r="AC619" t="s">
        <v>161</v>
      </c>
      <c r="AD619" t="s">
        <v>125</v>
      </c>
      <c r="AE619" t="str">
        <f>IF(AF619="","",VLOOKUP(AC619,mapel!$A$2:$B$42,2,FALSE))</f>
        <v>TIK</v>
      </c>
      <c r="AF619">
        <f t="shared" si="27"/>
        <v>80</v>
      </c>
      <c r="AG619" t="str">
        <f>IF(AF619="","",IF(AF619&gt;90,"Sangat baik",IF(AF619&gt;79,"Baik",IF(AF619&gt;=pub_gid_0_single_true_output_csv[[#This Row],[KKM]],"Cukup","Kurang"))))</f>
        <v>Baik</v>
      </c>
      <c r="AH619">
        <f t="shared" si="28"/>
        <v>11</v>
      </c>
      <c r="AI619" s="30" t="str">
        <f>IF(OR(J619&lt;&gt;"Karakter",pub_gid_0_single_true_output_csv[[#This Row],[Nilai2]]=""),"",IF(AF619&gt;89,"Sangat baik",IF(AF619&gt;79,"Baik",IF(AF619&gt;69,"Cukup",IF(AF619&gt;59,"Kurang","Sangat kurang")))))</f>
        <v>Baik</v>
      </c>
      <c r="AJ619" t="str">
        <f t="shared" si="29"/>
        <v>Wk.4</v>
      </c>
      <c r="AK619" t="str">
        <f>IF(pub_gid_0_single_true_output_csv[[#This Row],[Nilai2]]="","",VLOOKUP(pub_gid_0_single_true_output_csv[[#This Row],[NAMA]],Table7[],3,FALSE))</f>
        <v>Extremely low</v>
      </c>
    </row>
    <row r="620" spans="1:37" x14ac:dyDescent="0.2">
      <c r="A620">
        <v>619</v>
      </c>
      <c r="B620" t="s">
        <v>286</v>
      </c>
      <c r="C620" t="s">
        <v>54</v>
      </c>
      <c r="D620" t="s">
        <v>33</v>
      </c>
      <c r="E620" t="s">
        <v>140</v>
      </c>
      <c r="F620" s="25">
        <v>46044</v>
      </c>
      <c r="G620" t="s">
        <v>305</v>
      </c>
      <c r="H620" t="s">
        <v>405</v>
      </c>
      <c r="I620" t="s">
        <v>371</v>
      </c>
      <c r="J620" t="s">
        <v>279</v>
      </c>
      <c r="K620" t="s">
        <v>280</v>
      </c>
      <c r="L620" t="s">
        <v>150</v>
      </c>
      <c r="M620" t="s">
        <v>141</v>
      </c>
      <c r="N620" t="s">
        <v>142</v>
      </c>
      <c r="O620" t="s">
        <v>155</v>
      </c>
      <c r="P620" t="s">
        <v>281</v>
      </c>
      <c r="Q620" t="s">
        <v>155</v>
      </c>
      <c r="R620" t="s">
        <v>273</v>
      </c>
      <c r="S620" t="s">
        <v>309</v>
      </c>
      <c r="T620">
        <v>1</v>
      </c>
      <c r="U620" t="s">
        <v>422</v>
      </c>
      <c r="V620" t="s">
        <v>285</v>
      </c>
      <c r="W620" t="s">
        <v>423</v>
      </c>
      <c r="X620" t="s">
        <v>306</v>
      </c>
      <c r="Y620" t="s">
        <v>307</v>
      </c>
      <c r="Z620">
        <v>65</v>
      </c>
      <c r="AA620">
        <v>80</v>
      </c>
      <c r="AB620" t="s">
        <v>143</v>
      </c>
      <c r="AC620" t="s">
        <v>161</v>
      </c>
      <c r="AD620" t="s">
        <v>125</v>
      </c>
      <c r="AE620" t="str">
        <f>IF(AF620="","",VLOOKUP(AC620,mapel!$A$2:$B$42,2,FALSE))</f>
        <v>TIK</v>
      </c>
      <c r="AF620">
        <f t="shared" si="27"/>
        <v>80</v>
      </c>
      <c r="AG620" t="str">
        <f>IF(AF620="","",IF(AF620&gt;90,"Sangat baik",IF(AF620&gt;79,"Baik",IF(AF620&gt;=pub_gid_0_single_true_output_csv[[#This Row],[KKM]],"Cukup","Kurang"))))</f>
        <v>Baik</v>
      </c>
      <c r="AH620">
        <f t="shared" si="28"/>
        <v>11</v>
      </c>
      <c r="AI620" s="30" t="str">
        <f>IF(OR(J620&lt;&gt;"Karakter",pub_gid_0_single_true_output_csv[[#This Row],[Nilai2]]=""),"",IF(AF620&gt;89,"Sangat baik",IF(AF620&gt;79,"Baik",IF(AF620&gt;69,"Cukup",IF(AF620&gt;59,"Kurang","Sangat kurang")))))</f>
        <v/>
      </c>
      <c r="AJ620" t="str">
        <f t="shared" si="29"/>
        <v>Wk.4</v>
      </c>
      <c r="AK620" t="str">
        <f>IF(pub_gid_0_single_true_output_csv[[#This Row],[Nilai2]]="","",VLOOKUP(pub_gid_0_single_true_output_csv[[#This Row],[NAMA]],Table7[],3,FALSE))</f>
        <v>Extremely low</v>
      </c>
    </row>
    <row r="621" spans="1:37" x14ac:dyDescent="0.2">
      <c r="A621">
        <v>620</v>
      </c>
      <c r="B621" t="s">
        <v>286</v>
      </c>
      <c r="C621" t="s">
        <v>54</v>
      </c>
      <c r="D621" t="s">
        <v>33</v>
      </c>
      <c r="E621" t="s">
        <v>140</v>
      </c>
      <c r="F621" s="25">
        <v>46044</v>
      </c>
      <c r="G621" t="s">
        <v>305</v>
      </c>
      <c r="H621" t="s">
        <v>405</v>
      </c>
      <c r="I621" t="s">
        <v>371</v>
      </c>
      <c r="J621" t="s">
        <v>41</v>
      </c>
      <c r="K621" t="s">
        <v>157</v>
      </c>
      <c r="L621" t="s">
        <v>150</v>
      </c>
      <c r="M621" t="s">
        <v>141</v>
      </c>
      <c r="N621" t="s">
        <v>142</v>
      </c>
      <c r="O621" t="s">
        <v>155</v>
      </c>
      <c r="P621" t="s">
        <v>281</v>
      </c>
      <c r="Q621" t="s">
        <v>155</v>
      </c>
      <c r="R621" t="s">
        <v>273</v>
      </c>
      <c r="S621" t="s">
        <v>309</v>
      </c>
      <c r="T621">
        <v>1</v>
      </c>
      <c r="U621" t="s">
        <v>422</v>
      </c>
      <c r="V621" t="s">
        <v>285</v>
      </c>
      <c r="W621" t="s">
        <v>423</v>
      </c>
      <c r="X621" t="s">
        <v>306</v>
      </c>
      <c r="Y621" t="s">
        <v>307</v>
      </c>
      <c r="Z621">
        <v>65</v>
      </c>
      <c r="AA621">
        <v>75</v>
      </c>
      <c r="AB621" t="s">
        <v>143</v>
      </c>
      <c r="AC621" t="s">
        <v>161</v>
      </c>
      <c r="AD621" t="s">
        <v>125</v>
      </c>
      <c r="AE621" t="str">
        <f>IF(AF621="","",VLOOKUP(AC621,mapel!$A$2:$B$42,2,FALSE))</f>
        <v>TIK</v>
      </c>
      <c r="AF621">
        <f t="shared" si="27"/>
        <v>75</v>
      </c>
      <c r="AG621" t="str">
        <f>IF(AF621="","",IF(AF621&gt;90,"Sangat baik",IF(AF621&gt;79,"Baik",IF(AF621&gt;=pub_gid_0_single_true_output_csv[[#This Row],[KKM]],"Cukup","Kurang"))))</f>
        <v>Cukup</v>
      </c>
      <c r="AH621">
        <f t="shared" si="28"/>
        <v>11</v>
      </c>
      <c r="AI621" s="30" t="str">
        <f>IF(OR(J621&lt;&gt;"Karakter",pub_gid_0_single_true_output_csv[[#This Row],[Nilai2]]=""),"",IF(AF621&gt;89,"Sangat baik",IF(AF621&gt;79,"Baik",IF(AF621&gt;69,"Cukup",IF(AF621&gt;59,"Kurang","Sangat kurang")))))</f>
        <v/>
      </c>
      <c r="AJ621" t="str">
        <f t="shared" si="29"/>
        <v>Wk.4</v>
      </c>
      <c r="AK621" t="str">
        <f>IF(pub_gid_0_single_true_output_csv[[#This Row],[Nilai2]]="","",VLOOKUP(pub_gid_0_single_true_output_csv[[#This Row],[NAMA]],Table7[],3,FALSE))</f>
        <v>Extremely low</v>
      </c>
    </row>
    <row r="622" spans="1:37" x14ac:dyDescent="0.2">
      <c r="A622">
        <v>621</v>
      </c>
      <c r="B622" t="s">
        <v>286</v>
      </c>
      <c r="C622" t="s">
        <v>54</v>
      </c>
      <c r="D622" t="s">
        <v>33</v>
      </c>
      <c r="E622" t="s">
        <v>140</v>
      </c>
      <c r="F622" s="25">
        <v>46051</v>
      </c>
      <c r="G622" t="s">
        <v>320</v>
      </c>
      <c r="H622" t="s">
        <v>405</v>
      </c>
      <c r="I622" t="s">
        <v>371</v>
      </c>
      <c r="J622" t="s">
        <v>41</v>
      </c>
      <c r="K622" t="s">
        <v>157</v>
      </c>
      <c r="L622" t="s">
        <v>150</v>
      </c>
      <c r="M622" t="s">
        <v>141</v>
      </c>
      <c r="N622" t="s">
        <v>142</v>
      </c>
      <c r="O622" t="s">
        <v>155</v>
      </c>
      <c r="P622" t="s">
        <v>281</v>
      </c>
      <c r="Q622" t="s">
        <v>155</v>
      </c>
      <c r="R622" t="s">
        <v>273</v>
      </c>
      <c r="S622" t="s">
        <v>309</v>
      </c>
      <c r="T622">
        <v>1</v>
      </c>
      <c r="U622" t="s">
        <v>422</v>
      </c>
      <c r="V622" t="s">
        <v>285</v>
      </c>
      <c r="W622" t="s">
        <v>423</v>
      </c>
      <c r="X622" t="s">
        <v>306</v>
      </c>
      <c r="Y622" t="s">
        <v>307</v>
      </c>
      <c r="Z622">
        <v>65</v>
      </c>
      <c r="AA622">
        <v>60</v>
      </c>
      <c r="AB622" t="s">
        <v>151</v>
      </c>
      <c r="AC622" t="s">
        <v>161</v>
      </c>
      <c r="AD622" t="s">
        <v>125</v>
      </c>
      <c r="AE622" t="str">
        <f>IF(AF622="","",VLOOKUP(AC622,mapel!$A$2:$B$42,2,FALSE))</f>
        <v>TIK</v>
      </c>
      <c r="AF622">
        <f t="shared" si="27"/>
        <v>60</v>
      </c>
      <c r="AG622" t="str">
        <f>IF(AF622="","",IF(AF622&gt;90,"Sangat baik",IF(AF622&gt;79,"Baik",IF(AF622&gt;=pub_gid_0_single_true_output_csv[[#This Row],[KKM]],"Cukup","Kurang"))))</f>
        <v>Kurang</v>
      </c>
      <c r="AH622">
        <f t="shared" si="28"/>
        <v>11</v>
      </c>
      <c r="AI622" s="30" t="str">
        <f>IF(OR(J622&lt;&gt;"Karakter",pub_gid_0_single_true_output_csv[[#This Row],[Nilai2]]=""),"",IF(AF622&gt;89,"Sangat baik",IF(AF622&gt;79,"Baik",IF(AF622&gt;69,"Cukup",IF(AF622&gt;59,"Kurang","Sangat kurang")))))</f>
        <v/>
      </c>
      <c r="AJ622" t="str">
        <f t="shared" si="29"/>
        <v>Wk.5</v>
      </c>
      <c r="AK622" t="str">
        <f>IF(pub_gid_0_single_true_output_csv[[#This Row],[Nilai2]]="","",VLOOKUP(pub_gid_0_single_true_output_csv[[#This Row],[NAMA]],Table7[],3,FALSE))</f>
        <v>Extremely low</v>
      </c>
    </row>
    <row r="623" spans="1:37" x14ac:dyDescent="0.2">
      <c r="A623">
        <v>622</v>
      </c>
      <c r="B623" t="s">
        <v>286</v>
      </c>
      <c r="C623" t="s">
        <v>54</v>
      </c>
      <c r="D623" t="s">
        <v>33</v>
      </c>
      <c r="E623" t="s">
        <v>140</v>
      </c>
      <c r="F623" s="25">
        <v>46051</v>
      </c>
      <c r="G623" t="s">
        <v>320</v>
      </c>
      <c r="H623" t="s">
        <v>405</v>
      </c>
      <c r="I623" t="s">
        <v>371</v>
      </c>
      <c r="J623" t="s">
        <v>36</v>
      </c>
      <c r="K623" t="s">
        <v>153</v>
      </c>
      <c r="L623" t="s">
        <v>319</v>
      </c>
      <c r="M623" t="s">
        <v>141</v>
      </c>
      <c r="N623" t="s">
        <v>142</v>
      </c>
      <c r="O623" t="s">
        <v>155</v>
      </c>
      <c r="P623" t="s">
        <v>281</v>
      </c>
      <c r="Q623" t="s">
        <v>155</v>
      </c>
      <c r="R623" t="s">
        <v>273</v>
      </c>
      <c r="S623" t="s">
        <v>309</v>
      </c>
      <c r="T623">
        <v>1</v>
      </c>
      <c r="U623" t="s">
        <v>422</v>
      </c>
      <c r="V623" t="s">
        <v>285</v>
      </c>
      <c r="W623" t="s">
        <v>423</v>
      </c>
      <c r="X623" t="s">
        <v>306</v>
      </c>
      <c r="Y623" t="s">
        <v>307</v>
      </c>
      <c r="Z623">
        <v>65</v>
      </c>
      <c r="AA623">
        <v>60</v>
      </c>
      <c r="AB623" t="s">
        <v>151</v>
      </c>
      <c r="AC623" t="s">
        <v>161</v>
      </c>
      <c r="AD623" t="s">
        <v>125</v>
      </c>
      <c r="AE623" t="str">
        <f>IF(AF623="","",VLOOKUP(AC623,mapel!$A$2:$B$42,2,FALSE))</f>
        <v>TIK</v>
      </c>
      <c r="AF623">
        <f t="shared" si="27"/>
        <v>60</v>
      </c>
      <c r="AG623" t="str">
        <f>IF(AF623="","",IF(AF623&gt;90,"Sangat baik",IF(AF623&gt;79,"Baik",IF(AF623&gt;=pub_gid_0_single_true_output_csv[[#This Row],[KKM]],"Cukup","Kurang"))))</f>
        <v>Kurang</v>
      </c>
      <c r="AH623">
        <f t="shared" si="28"/>
        <v>11</v>
      </c>
      <c r="AI623" s="30" t="str">
        <f>IF(OR(J623&lt;&gt;"Karakter",pub_gid_0_single_true_output_csv[[#This Row],[Nilai2]]=""),"",IF(AF623&gt;89,"Sangat baik",IF(AF623&gt;79,"Baik",IF(AF623&gt;69,"Cukup",IF(AF623&gt;59,"Kurang","Sangat kurang")))))</f>
        <v/>
      </c>
      <c r="AJ623" t="str">
        <f t="shared" si="29"/>
        <v>Wk.5</v>
      </c>
      <c r="AK623" t="str">
        <f>IF(pub_gid_0_single_true_output_csv[[#This Row],[Nilai2]]="","",VLOOKUP(pub_gid_0_single_true_output_csv[[#This Row],[NAMA]],Table7[],3,FALSE))</f>
        <v>Extremely low</v>
      </c>
    </row>
    <row r="624" spans="1:37" x14ac:dyDescent="0.2">
      <c r="A624">
        <v>623</v>
      </c>
      <c r="B624" t="s">
        <v>286</v>
      </c>
      <c r="C624" t="s">
        <v>54</v>
      </c>
      <c r="D624" t="s">
        <v>33</v>
      </c>
      <c r="E624" t="s">
        <v>140</v>
      </c>
      <c r="F624" s="25">
        <v>46065</v>
      </c>
      <c r="G624" t="s">
        <v>354</v>
      </c>
      <c r="H624" t="s">
        <v>412</v>
      </c>
      <c r="I624" t="s">
        <v>371</v>
      </c>
      <c r="J624" t="s">
        <v>41</v>
      </c>
      <c r="K624" t="s">
        <v>157</v>
      </c>
      <c r="L624" t="s">
        <v>150</v>
      </c>
      <c r="M624" t="s">
        <v>141</v>
      </c>
      <c r="N624" t="s">
        <v>142</v>
      </c>
      <c r="O624" t="s">
        <v>155</v>
      </c>
      <c r="P624" t="s">
        <v>281</v>
      </c>
      <c r="Q624" t="s">
        <v>155</v>
      </c>
      <c r="R624" t="s">
        <v>273</v>
      </c>
      <c r="S624" t="s">
        <v>309</v>
      </c>
      <c r="T624">
        <v>1</v>
      </c>
      <c r="U624" t="s">
        <v>422</v>
      </c>
      <c r="V624" t="s">
        <v>285</v>
      </c>
      <c r="W624" t="s">
        <v>423</v>
      </c>
      <c r="X624" t="s">
        <v>306</v>
      </c>
      <c r="Y624" t="s">
        <v>307</v>
      </c>
      <c r="Z624">
        <v>65</v>
      </c>
      <c r="AA624">
        <v>63</v>
      </c>
      <c r="AB624" t="s">
        <v>151</v>
      </c>
      <c r="AC624" t="s">
        <v>161</v>
      </c>
      <c r="AD624" t="s">
        <v>125</v>
      </c>
      <c r="AE624" t="str">
        <f>IF(AF624="","",VLOOKUP(AC624,mapel!$A$2:$B$42,2,FALSE))</f>
        <v>TIK</v>
      </c>
      <c r="AF624">
        <f t="shared" si="27"/>
        <v>63</v>
      </c>
      <c r="AG624" t="str">
        <f>IF(AF624="","",IF(AF624&gt;90,"Sangat baik",IF(AF624&gt;79,"Baik",IF(AF624&gt;=pub_gid_0_single_true_output_csv[[#This Row],[KKM]],"Cukup","Kurang"))))</f>
        <v>Kurang</v>
      </c>
      <c r="AH624">
        <f t="shared" si="28"/>
        <v>11</v>
      </c>
      <c r="AI624" s="30" t="str">
        <f>IF(OR(J624&lt;&gt;"Karakter",pub_gid_0_single_true_output_csv[[#This Row],[Nilai2]]=""),"",IF(AF624&gt;89,"Sangat baik",IF(AF624&gt;79,"Baik",IF(AF624&gt;69,"Cukup",IF(AF624&gt;59,"Kurang","Sangat kurang")))))</f>
        <v/>
      </c>
      <c r="AJ624" t="str">
        <f t="shared" si="29"/>
        <v>Wk.7</v>
      </c>
      <c r="AK624" t="str">
        <f>IF(pub_gid_0_single_true_output_csv[[#This Row],[Nilai2]]="","",VLOOKUP(pub_gid_0_single_true_output_csv[[#This Row],[NAMA]],Table7[],3,FALSE))</f>
        <v>Extremely low</v>
      </c>
    </row>
    <row r="625" spans="1:37" x14ac:dyDescent="0.2">
      <c r="A625">
        <v>624</v>
      </c>
      <c r="B625" t="s">
        <v>286</v>
      </c>
      <c r="C625" t="s">
        <v>54</v>
      </c>
      <c r="D625" t="s">
        <v>33</v>
      </c>
      <c r="E625" t="s">
        <v>140</v>
      </c>
      <c r="F625" s="25">
        <v>46065</v>
      </c>
      <c r="G625" t="s">
        <v>354</v>
      </c>
      <c r="H625" t="s">
        <v>412</v>
      </c>
      <c r="I625" t="s">
        <v>371</v>
      </c>
      <c r="J625" t="s">
        <v>36</v>
      </c>
      <c r="K625" t="s">
        <v>153</v>
      </c>
      <c r="L625" t="s">
        <v>319</v>
      </c>
      <c r="M625" t="s">
        <v>141</v>
      </c>
      <c r="N625" t="s">
        <v>142</v>
      </c>
      <c r="O625" t="s">
        <v>155</v>
      </c>
      <c r="P625" t="s">
        <v>281</v>
      </c>
      <c r="Q625" t="s">
        <v>155</v>
      </c>
      <c r="R625" t="s">
        <v>273</v>
      </c>
      <c r="S625" t="s">
        <v>309</v>
      </c>
      <c r="T625">
        <v>1</v>
      </c>
      <c r="U625" t="s">
        <v>422</v>
      </c>
      <c r="V625" t="s">
        <v>285</v>
      </c>
      <c r="W625" t="s">
        <v>423</v>
      </c>
      <c r="X625" t="s">
        <v>306</v>
      </c>
      <c r="Y625" t="s">
        <v>307</v>
      </c>
      <c r="Z625">
        <v>65</v>
      </c>
      <c r="AA625">
        <v>60</v>
      </c>
      <c r="AB625" t="s">
        <v>151</v>
      </c>
      <c r="AC625" t="s">
        <v>161</v>
      </c>
      <c r="AD625" t="s">
        <v>125</v>
      </c>
      <c r="AE625" t="str">
        <f>IF(AF625="","",VLOOKUP(AC625,mapel!$A$2:$B$42,2,FALSE))</f>
        <v>TIK</v>
      </c>
      <c r="AF625">
        <f t="shared" si="27"/>
        <v>60</v>
      </c>
      <c r="AG625" t="str">
        <f>IF(AF625="","",IF(AF625&gt;90,"Sangat baik",IF(AF625&gt;79,"Baik",IF(AF625&gt;=pub_gid_0_single_true_output_csv[[#This Row],[KKM]],"Cukup","Kurang"))))</f>
        <v>Kurang</v>
      </c>
      <c r="AH625">
        <f t="shared" si="28"/>
        <v>11</v>
      </c>
      <c r="AI625" s="30" t="str">
        <f>IF(OR(J625&lt;&gt;"Karakter",pub_gid_0_single_true_output_csv[[#This Row],[Nilai2]]=""),"",IF(AF625&gt;89,"Sangat baik",IF(AF625&gt;79,"Baik",IF(AF625&gt;69,"Cukup",IF(AF625&gt;59,"Kurang","Sangat kurang")))))</f>
        <v/>
      </c>
      <c r="AJ625" t="str">
        <f t="shared" si="29"/>
        <v>Wk.7</v>
      </c>
      <c r="AK625" t="str">
        <f>IF(pub_gid_0_single_true_output_csv[[#This Row],[Nilai2]]="","",VLOOKUP(pub_gid_0_single_true_output_csv[[#This Row],[NAMA]],Table7[],3,FALSE))</f>
        <v>Extremely low</v>
      </c>
    </row>
    <row r="626" spans="1:37" x14ac:dyDescent="0.2">
      <c r="A626">
        <v>625</v>
      </c>
      <c r="B626" t="s">
        <v>286</v>
      </c>
      <c r="C626" t="s">
        <v>54</v>
      </c>
      <c r="D626" t="s">
        <v>33</v>
      </c>
      <c r="E626" t="s">
        <v>140</v>
      </c>
      <c r="F626" s="25">
        <v>46065</v>
      </c>
      <c r="G626" t="s">
        <v>354</v>
      </c>
      <c r="H626" t="s">
        <v>412</v>
      </c>
      <c r="I626" t="s">
        <v>371</v>
      </c>
      <c r="J626" t="s">
        <v>90</v>
      </c>
      <c r="K626" t="s">
        <v>377</v>
      </c>
      <c r="L626" t="s">
        <v>399</v>
      </c>
      <c r="M626" t="s">
        <v>141</v>
      </c>
      <c r="N626" t="s">
        <v>142</v>
      </c>
      <c r="O626" t="s">
        <v>155</v>
      </c>
      <c r="P626" t="s">
        <v>281</v>
      </c>
      <c r="Q626" t="s">
        <v>155</v>
      </c>
      <c r="R626" t="s">
        <v>273</v>
      </c>
      <c r="S626" t="s">
        <v>309</v>
      </c>
      <c r="T626">
        <v>1</v>
      </c>
      <c r="U626" t="s">
        <v>422</v>
      </c>
      <c r="V626" t="s">
        <v>285</v>
      </c>
      <c r="W626" t="s">
        <v>423</v>
      </c>
      <c r="X626" t="s">
        <v>306</v>
      </c>
      <c r="Y626" t="s">
        <v>307</v>
      </c>
      <c r="Z626">
        <v>65</v>
      </c>
      <c r="AA626">
        <v>80</v>
      </c>
      <c r="AB626" t="s">
        <v>143</v>
      </c>
      <c r="AC626" t="s">
        <v>161</v>
      </c>
      <c r="AD626" t="s">
        <v>125</v>
      </c>
      <c r="AE626" t="str">
        <f>IF(AF626="","",VLOOKUP(AC626,mapel!$A$2:$B$42,2,FALSE))</f>
        <v>TIK</v>
      </c>
      <c r="AF626">
        <f t="shared" si="27"/>
        <v>80</v>
      </c>
      <c r="AG626" t="str">
        <f>IF(AF626="","",IF(AF626&gt;90,"Sangat baik",IF(AF626&gt;79,"Baik",IF(AF626&gt;=pub_gid_0_single_true_output_csv[[#This Row],[KKM]],"Cukup","Kurang"))))</f>
        <v>Baik</v>
      </c>
      <c r="AH626">
        <f t="shared" si="28"/>
        <v>11</v>
      </c>
      <c r="AI626" s="30" t="str">
        <f>IF(OR(J626&lt;&gt;"Karakter",pub_gid_0_single_true_output_csv[[#This Row],[Nilai2]]=""),"",IF(AF626&gt;89,"Sangat baik",IF(AF626&gt;79,"Baik",IF(AF626&gt;69,"Cukup",IF(AF626&gt;59,"Kurang","Sangat kurang")))))</f>
        <v>Baik</v>
      </c>
      <c r="AJ626" t="str">
        <f t="shared" si="29"/>
        <v>Wk.7</v>
      </c>
      <c r="AK626" t="str">
        <f>IF(pub_gid_0_single_true_output_csv[[#This Row],[Nilai2]]="","",VLOOKUP(pub_gid_0_single_true_output_csv[[#This Row],[NAMA]],Table7[],3,FALSE))</f>
        <v>Extremely low</v>
      </c>
    </row>
    <row r="627" spans="1:37" x14ac:dyDescent="0.2">
      <c r="A627">
        <v>626</v>
      </c>
      <c r="B627" t="s">
        <v>293</v>
      </c>
      <c r="C627" t="s">
        <v>54</v>
      </c>
      <c r="D627" t="s">
        <v>45</v>
      </c>
      <c r="E627" t="s">
        <v>147</v>
      </c>
      <c r="F627" s="25">
        <v>46037</v>
      </c>
      <c r="G627" t="s">
        <v>356</v>
      </c>
      <c r="H627" t="s">
        <v>405</v>
      </c>
      <c r="I627" t="s">
        <v>371</v>
      </c>
      <c r="J627" t="s">
        <v>36</v>
      </c>
      <c r="K627" t="s">
        <v>153</v>
      </c>
      <c r="L627" t="s">
        <v>319</v>
      </c>
      <c r="M627" t="s">
        <v>141</v>
      </c>
      <c r="N627" t="s">
        <v>142</v>
      </c>
      <c r="O627" t="s">
        <v>155</v>
      </c>
      <c r="P627" t="s">
        <v>281</v>
      </c>
      <c r="Q627" t="s">
        <v>155</v>
      </c>
      <c r="R627" t="s">
        <v>273</v>
      </c>
      <c r="S627" t="s">
        <v>309</v>
      </c>
      <c r="T627">
        <v>1</v>
      </c>
      <c r="U627" t="s">
        <v>422</v>
      </c>
      <c r="V627" t="s">
        <v>285</v>
      </c>
      <c r="W627" t="s">
        <v>423</v>
      </c>
      <c r="X627" t="s">
        <v>306</v>
      </c>
      <c r="Y627" t="s">
        <v>307</v>
      </c>
      <c r="Z627">
        <v>65</v>
      </c>
      <c r="AA627">
        <v>60</v>
      </c>
      <c r="AB627" t="s">
        <v>151</v>
      </c>
      <c r="AC627" t="s">
        <v>161</v>
      </c>
      <c r="AD627" t="s">
        <v>125</v>
      </c>
      <c r="AE627" t="str">
        <f>IF(AF627="","",VLOOKUP(AC627,mapel!$A$2:$B$42,2,FALSE))</f>
        <v>TIK</v>
      </c>
      <c r="AF627">
        <f t="shared" si="27"/>
        <v>60</v>
      </c>
      <c r="AG627" t="str">
        <f>IF(AF627="","",IF(AF627&gt;90,"Sangat baik",IF(AF627&gt;79,"Baik",IF(AF627&gt;=pub_gid_0_single_true_output_csv[[#This Row],[KKM]],"Cukup","Kurang"))))</f>
        <v>Kurang</v>
      </c>
      <c r="AH627">
        <f t="shared" si="28"/>
        <v>11</v>
      </c>
      <c r="AI627" s="30" t="str">
        <f>IF(OR(J627&lt;&gt;"Karakter",pub_gid_0_single_true_output_csv[[#This Row],[Nilai2]]=""),"",IF(AF627&gt;89,"Sangat baik",IF(AF627&gt;79,"Baik",IF(AF627&gt;69,"Cukup",IF(AF627&gt;59,"Kurang","Sangat kurang")))))</f>
        <v/>
      </c>
      <c r="AJ627" t="str">
        <f t="shared" si="29"/>
        <v>Wk.3</v>
      </c>
      <c r="AK627" t="str">
        <f>IF(pub_gid_0_single_true_output_csv[[#This Row],[Nilai2]]="","",VLOOKUP(pub_gid_0_single_true_output_csv[[#This Row],[NAMA]],Table7[],3,FALSE))</f>
        <v>High average</v>
      </c>
    </row>
    <row r="628" spans="1:37" x14ac:dyDescent="0.2">
      <c r="A628">
        <v>627</v>
      </c>
      <c r="B628" t="s">
        <v>293</v>
      </c>
      <c r="C628" t="s">
        <v>54</v>
      </c>
      <c r="D628" t="s">
        <v>45</v>
      </c>
      <c r="E628" t="s">
        <v>147</v>
      </c>
      <c r="F628" s="25">
        <v>46037</v>
      </c>
      <c r="G628" t="s">
        <v>356</v>
      </c>
      <c r="H628" t="s">
        <v>405</v>
      </c>
      <c r="I628" t="s">
        <v>371</v>
      </c>
      <c r="J628" t="s">
        <v>31</v>
      </c>
      <c r="K628" t="s">
        <v>158</v>
      </c>
      <c r="L628" t="s">
        <v>319</v>
      </c>
      <c r="M628" t="s">
        <v>141</v>
      </c>
      <c r="N628" t="s">
        <v>142</v>
      </c>
      <c r="O628" t="s">
        <v>155</v>
      </c>
      <c r="P628" t="s">
        <v>281</v>
      </c>
      <c r="Q628" t="s">
        <v>155</v>
      </c>
      <c r="R628" t="s">
        <v>273</v>
      </c>
      <c r="S628" t="s">
        <v>309</v>
      </c>
      <c r="T628">
        <v>1</v>
      </c>
      <c r="U628" t="s">
        <v>422</v>
      </c>
      <c r="V628" t="s">
        <v>285</v>
      </c>
      <c r="W628" t="s">
        <v>423</v>
      </c>
      <c r="X628" t="s">
        <v>306</v>
      </c>
      <c r="Y628" t="s">
        <v>307</v>
      </c>
      <c r="Z628">
        <v>65</v>
      </c>
      <c r="AA628">
        <v>60</v>
      </c>
      <c r="AB628" t="s">
        <v>151</v>
      </c>
      <c r="AC628" t="s">
        <v>161</v>
      </c>
      <c r="AD628" t="s">
        <v>125</v>
      </c>
      <c r="AE628" t="str">
        <f>IF(AF628="","",VLOOKUP(AC628,mapel!$A$2:$B$42,2,FALSE))</f>
        <v>TIK</v>
      </c>
      <c r="AF628">
        <f t="shared" si="27"/>
        <v>60</v>
      </c>
      <c r="AG628" t="str">
        <f>IF(AF628="","",IF(AF628&gt;90,"Sangat baik",IF(AF628&gt;79,"Baik",IF(AF628&gt;=pub_gid_0_single_true_output_csv[[#This Row],[KKM]],"Cukup","Kurang"))))</f>
        <v>Kurang</v>
      </c>
      <c r="AH628">
        <f t="shared" si="28"/>
        <v>11</v>
      </c>
      <c r="AI628" s="30" t="str">
        <f>IF(OR(J628&lt;&gt;"Karakter",pub_gid_0_single_true_output_csv[[#This Row],[Nilai2]]=""),"",IF(AF628&gt;89,"Sangat baik",IF(AF628&gt;79,"Baik",IF(AF628&gt;69,"Cukup",IF(AF628&gt;59,"Kurang","Sangat kurang")))))</f>
        <v/>
      </c>
      <c r="AJ628" t="str">
        <f t="shared" si="29"/>
        <v>Wk.3</v>
      </c>
      <c r="AK628" t="str">
        <f>IF(pub_gid_0_single_true_output_csv[[#This Row],[Nilai2]]="","",VLOOKUP(pub_gid_0_single_true_output_csv[[#This Row],[NAMA]],Table7[],3,FALSE))</f>
        <v>High average</v>
      </c>
    </row>
    <row r="629" spans="1:37" x14ac:dyDescent="0.2">
      <c r="A629">
        <v>628</v>
      </c>
      <c r="B629" t="s">
        <v>293</v>
      </c>
      <c r="C629" t="s">
        <v>54</v>
      </c>
      <c r="D629" t="s">
        <v>45</v>
      </c>
      <c r="E629" t="s">
        <v>147</v>
      </c>
      <c r="F629" s="25">
        <v>46044</v>
      </c>
      <c r="G629" t="s">
        <v>305</v>
      </c>
      <c r="H629" t="s">
        <v>405</v>
      </c>
      <c r="I629" t="s">
        <v>371</v>
      </c>
      <c r="J629" t="s">
        <v>90</v>
      </c>
      <c r="K629" t="s">
        <v>377</v>
      </c>
      <c r="L629" t="s">
        <v>399</v>
      </c>
      <c r="M629" t="s">
        <v>141</v>
      </c>
      <c r="N629" t="s">
        <v>142</v>
      </c>
      <c r="O629" t="s">
        <v>155</v>
      </c>
      <c r="P629" t="s">
        <v>281</v>
      </c>
      <c r="Q629" t="s">
        <v>155</v>
      </c>
      <c r="R629" t="s">
        <v>273</v>
      </c>
      <c r="S629" t="s">
        <v>309</v>
      </c>
      <c r="T629">
        <v>1</v>
      </c>
      <c r="U629" t="s">
        <v>422</v>
      </c>
      <c r="V629" t="s">
        <v>285</v>
      </c>
      <c r="W629" t="s">
        <v>423</v>
      </c>
      <c r="X629" t="s">
        <v>306</v>
      </c>
      <c r="Y629" t="s">
        <v>307</v>
      </c>
      <c r="Z629">
        <v>65</v>
      </c>
      <c r="AA629">
        <v>80</v>
      </c>
      <c r="AB629" t="s">
        <v>143</v>
      </c>
      <c r="AC629" t="s">
        <v>161</v>
      </c>
      <c r="AD629" t="s">
        <v>125</v>
      </c>
      <c r="AE629" t="str">
        <f>IF(AF629="","",VLOOKUP(AC629,mapel!$A$2:$B$42,2,FALSE))</f>
        <v>TIK</v>
      </c>
      <c r="AF629">
        <f t="shared" si="27"/>
        <v>80</v>
      </c>
      <c r="AG629" t="str">
        <f>IF(AF629="","",IF(AF629&gt;90,"Sangat baik",IF(AF629&gt;79,"Baik",IF(AF629&gt;=pub_gid_0_single_true_output_csv[[#This Row],[KKM]],"Cukup","Kurang"))))</f>
        <v>Baik</v>
      </c>
      <c r="AH629">
        <f t="shared" si="28"/>
        <v>11</v>
      </c>
      <c r="AI629" s="30" t="str">
        <f>IF(OR(J629&lt;&gt;"Karakter",pub_gid_0_single_true_output_csv[[#This Row],[Nilai2]]=""),"",IF(AF629&gt;89,"Sangat baik",IF(AF629&gt;79,"Baik",IF(AF629&gt;69,"Cukup",IF(AF629&gt;59,"Kurang","Sangat kurang")))))</f>
        <v>Baik</v>
      </c>
      <c r="AJ629" t="str">
        <f t="shared" si="29"/>
        <v>Wk.4</v>
      </c>
      <c r="AK629" t="str">
        <f>IF(pub_gid_0_single_true_output_csv[[#This Row],[Nilai2]]="","",VLOOKUP(pub_gid_0_single_true_output_csv[[#This Row],[NAMA]],Table7[],3,FALSE))</f>
        <v>High average</v>
      </c>
    </row>
    <row r="630" spans="1:37" x14ac:dyDescent="0.2">
      <c r="A630">
        <v>629</v>
      </c>
      <c r="B630" t="s">
        <v>293</v>
      </c>
      <c r="C630" t="s">
        <v>54</v>
      </c>
      <c r="D630" t="s">
        <v>45</v>
      </c>
      <c r="E630" t="s">
        <v>147</v>
      </c>
      <c r="F630" s="25">
        <v>46044</v>
      </c>
      <c r="G630" t="s">
        <v>305</v>
      </c>
      <c r="H630" t="s">
        <v>405</v>
      </c>
      <c r="I630" t="s">
        <v>371</v>
      </c>
      <c r="J630" t="s">
        <v>279</v>
      </c>
      <c r="K630" t="s">
        <v>280</v>
      </c>
      <c r="L630" t="s">
        <v>150</v>
      </c>
      <c r="M630" t="s">
        <v>141</v>
      </c>
      <c r="N630" t="s">
        <v>142</v>
      </c>
      <c r="O630" t="s">
        <v>155</v>
      </c>
      <c r="P630" t="s">
        <v>281</v>
      </c>
      <c r="Q630" t="s">
        <v>155</v>
      </c>
      <c r="R630" t="s">
        <v>273</v>
      </c>
      <c r="S630" t="s">
        <v>309</v>
      </c>
      <c r="T630">
        <v>1</v>
      </c>
      <c r="U630" t="s">
        <v>422</v>
      </c>
      <c r="V630" t="s">
        <v>285</v>
      </c>
      <c r="W630" t="s">
        <v>423</v>
      </c>
      <c r="X630" t="s">
        <v>306</v>
      </c>
      <c r="Y630" t="s">
        <v>307</v>
      </c>
      <c r="Z630">
        <v>65</v>
      </c>
      <c r="AA630">
        <v>80</v>
      </c>
      <c r="AB630" t="s">
        <v>143</v>
      </c>
      <c r="AC630" t="s">
        <v>161</v>
      </c>
      <c r="AD630" t="s">
        <v>125</v>
      </c>
      <c r="AE630" t="str">
        <f>IF(AF630="","",VLOOKUP(AC630,mapel!$A$2:$B$42,2,FALSE))</f>
        <v>TIK</v>
      </c>
      <c r="AF630">
        <f t="shared" si="27"/>
        <v>80</v>
      </c>
      <c r="AG630" t="str">
        <f>IF(AF630="","",IF(AF630&gt;90,"Sangat baik",IF(AF630&gt;79,"Baik",IF(AF630&gt;=pub_gid_0_single_true_output_csv[[#This Row],[KKM]],"Cukup","Kurang"))))</f>
        <v>Baik</v>
      </c>
      <c r="AH630">
        <f t="shared" si="28"/>
        <v>11</v>
      </c>
      <c r="AI630" s="30" t="str">
        <f>IF(OR(J630&lt;&gt;"Karakter",pub_gid_0_single_true_output_csv[[#This Row],[Nilai2]]=""),"",IF(AF630&gt;89,"Sangat baik",IF(AF630&gt;79,"Baik",IF(AF630&gt;69,"Cukup",IF(AF630&gt;59,"Kurang","Sangat kurang")))))</f>
        <v/>
      </c>
      <c r="AJ630" t="str">
        <f t="shared" si="29"/>
        <v>Wk.4</v>
      </c>
      <c r="AK630" t="str">
        <f>IF(pub_gid_0_single_true_output_csv[[#This Row],[Nilai2]]="","",VLOOKUP(pub_gid_0_single_true_output_csv[[#This Row],[NAMA]],Table7[],3,FALSE))</f>
        <v>High average</v>
      </c>
    </row>
    <row r="631" spans="1:37" x14ac:dyDescent="0.2">
      <c r="A631">
        <v>630</v>
      </c>
      <c r="B631" t="s">
        <v>293</v>
      </c>
      <c r="C631" t="s">
        <v>54</v>
      </c>
      <c r="D631" t="s">
        <v>45</v>
      </c>
      <c r="E631" t="s">
        <v>147</v>
      </c>
      <c r="F631" s="25">
        <v>46044</v>
      </c>
      <c r="G631" t="s">
        <v>305</v>
      </c>
      <c r="H631" t="s">
        <v>405</v>
      </c>
      <c r="I631" t="s">
        <v>371</v>
      </c>
      <c r="J631" t="s">
        <v>41</v>
      </c>
      <c r="K631" t="s">
        <v>157</v>
      </c>
      <c r="L631" t="s">
        <v>150</v>
      </c>
      <c r="M631" t="s">
        <v>141</v>
      </c>
      <c r="N631" t="s">
        <v>142</v>
      </c>
      <c r="O631" t="s">
        <v>155</v>
      </c>
      <c r="P631" t="s">
        <v>281</v>
      </c>
      <c r="Q631" t="s">
        <v>155</v>
      </c>
      <c r="R631" t="s">
        <v>273</v>
      </c>
      <c r="S631" t="s">
        <v>309</v>
      </c>
      <c r="T631">
        <v>1</v>
      </c>
      <c r="U631" t="s">
        <v>422</v>
      </c>
      <c r="V631" t="s">
        <v>285</v>
      </c>
      <c r="W631" t="s">
        <v>423</v>
      </c>
      <c r="X631" t="s">
        <v>306</v>
      </c>
      <c r="Y631" t="s">
        <v>307</v>
      </c>
      <c r="Z631">
        <v>65</v>
      </c>
      <c r="AA631">
        <v>60</v>
      </c>
      <c r="AB631" t="s">
        <v>151</v>
      </c>
      <c r="AC631" t="s">
        <v>161</v>
      </c>
      <c r="AD631" t="s">
        <v>125</v>
      </c>
      <c r="AE631" t="str">
        <f>IF(AF631="","",VLOOKUP(AC631,mapel!$A$2:$B$42,2,FALSE))</f>
        <v>TIK</v>
      </c>
      <c r="AF631">
        <f t="shared" si="27"/>
        <v>60</v>
      </c>
      <c r="AG631" t="str">
        <f>IF(AF631="","",IF(AF631&gt;90,"Sangat baik",IF(AF631&gt;79,"Baik",IF(AF631&gt;=pub_gid_0_single_true_output_csv[[#This Row],[KKM]],"Cukup","Kurang"))))</f>
        <v>Kurang</v>
      </c>
      <c r="AH631">
        <f t="shared" si="28"/>
        <v>11</v>
      </c>
      <c r="AI631" s="30" t="str">
        <f>IF(OR(J631&lt;&gt;"Karakter",pub_gid_0_single_true_output_csv[[#This Row],[Nilai2]]=""),"",IF(AF631&gt;89,"Sangat baik",IF(AF631&gt;79,"Baik",IF(AF631&gt;69,"Cukup",IF(AF631&gt;59,"Kurang","Sangat kurang")))))</f>
        <v/>
      </c>
      <c r="AJ631" t="str">
        <f t="shared" si="29"/>
        <v>Wk.4</v>
      </c>
      <c r="AK631" t="str">
        <f>IF(pub_gid_0_single_true_output_csv[[#This Row],[Nilai2]]="","",VLOOKUP(pub_gid_0_single_true_output_csv[[#This Row],[NAMA]],Table7[],3,FALSE))</f>
        <v>High average</v>
      </c>
    </row>
    <row r="632" spans="1:37" x14ac:dyDescent="0.2">
      <c r="A632">
        <v>631</v>
      </c>
      <c r="B632" t="s">
        <v>293</v>
      </c>
      <c r="C632" t="s">
        <v>54</v>
      </c>
      <c r="D632" t="s">
        <v>45</v>
      </c>
      <c r="E632" t="s">
        <v>147</v>
      </c>
      <c r="F632" s="25">
        <v>46051</v>
      </c>
      <c r="G632" t="s">
        <v>320</v>
      </c>
      <c r="H632" t="s">
        <v>405</v>
      </c>
      <c r="I632" t="s">
        <v>371</v>
      </c>
      <c r="J632" t="s">
        <v>41</v>
      </c>
      <c r="K632" t="s">
        <v>157</v>
      </c>
      <c r="L632" t="s">
        <v>150</v>
      </c>
      <c r="M632" t="s">
        <v>141</v>
      </c>
      <c r="N632" t="s">
        <v>142</v>
      </c>
      <c r="O632" t="s">
        <v>155</v>
      </c>
      <c r="P632" t="s">
        <v>281</v>
      </c>
      <c r="Q632" t="s">
        <v>155</v>
      </c>
      <c r="R632" t="s">
        <v>273</v>
      </c>
      <c r="S632" t="s">
        <v>309</v>
      </c>
      <c r="T632">
        <v>1</v>
      </c>
      <c r="U632" t="s">
        <v>422</v>
      </c>
      <c r="V632" t="s">
        <v>285</v>
      </c>
      <c r="W632" t="s">
        <v>423</v>
      </c>
      <c r="X632" t="s">
        <v>306</v>
      </c>
      <c r="Y632" t="s">
        <v>307</v>
      </c>
      <c r="Z632">
        <v>65</v>
      </c>
      <c r="AA632">
        <v>65</v>
      </c>
      <c r="AB632" t="s">
        <v>143</v>
      </c>
      <c r="AC632" t="s">
        <v>161</v>
      </c>
      <c r="AD632" t="s">
        <v>125</v>
      </c>
      <c r="AE632" t="str">
        <f>IF(AF632="","",VLOOKUP(AC632,mapel!$A$2:$B$42,2,FALSE))</f>
        <v>TIK</v>
      </c>
      <c r="AF632">
        <f t="shared" si="27"/>
        <v>65</v>
      </c>
      <c r="AG632" t="str">
        <f>IF(AF632="","",IF(AF632&gt;90,"Sangat baik",IF(AF632&gt;79,"Baik",IF(AF632&gt;=pub_gid_0_single_true_output_csv[[#This Row],[KKM]],"Cukup","Kurang"))))</f>
        <v>Cukup</v>
      </c>
      <c r="AH632">
        <f t="shared" si="28"/>
        <v>11</v>
      </c>
      <c r="AI632" s="30" t="str">
        <f>IF(OR(J632&lt;&gt;"Karakter",pub_gid_0_single_true_output_csv[[#This Row],[Nilai2]]=""),"",IF(AF632&gt;89,"Sangat baik",IF(AF632&gt;79,"Baik",IF(AF632&gt;69,"Cukup",IF(AF632&gt;59,"Kurang","Sangat kurang")))))</f>
        <v/>
      </c>
      <c r="AJ632" t="str">
        <f t="shared" si="29"/>
        <v>Wk.5</v>
      </c>
      <c r="AK632" t="str">
        <f>IF(pub_gid_0_single_true_output_csv[[#This Row],[Nilai2]]="","",VLOOKUP(pub_gid_0_single_true_output_csv[[#This Row],[NAMA]],Table7[],3,FALSE))</f>
        <v>High average</v>
      </c>
    </row>
    <row r="633" spans="1:37" x14ac:dyDescent="0.2">
      <c r="A633">
        <v>632</v>
      </c>
      <c r="B633" t="s">
        <v>293</v>
      </c>
      <c r="C633" t="s">
        <v>54</v>
      </c>
      <c r="D633" t="s">
        <v>45</v>
      </c>
      <c r="E633" t="s">
        <v>147</v>
      </c>
      <c r="F633" s="25">
        <v>46051</v>
      </c>
      <c r="G633" t="s">
        <v>320</v>
      </c>
      <c r="H633" t="s">
        <v>405</v>
      </c>
      <c r="I633" t="s">
        <v>371</v>
      </c>
      <c r="J633" t="s">
        <v>36</v>
      </c>
      <c r="K633" t="s">
        <v>153</v>
      </c>
      <c r="L633" t="s">
        <v>319</v>
      </c>
      <c r="M633" t="s">
        <v>141</v>
      </c>
      <c r="N633" t="s">
        <v>142</v>
      </c>
      <c r="O633" t="s">
        <v>155</v>
      </c>
      <c r="P633" t="s">
        <v>281</v>
      </c>
      <c r="Q633" t="s">
        <v>155</v>
      </c>
      <c r="R633" t="s">
        <v>273</v>
      </c>
      <c r="S633" t="s">
        <v>309</v>
      </c>
      <c r="T633">
        <v>1</v>
      </c>
      <c r="U633" t="s">
        <v>422</v>
      </c>
      <c r="V633" t="s">
        <v>285</v>
      </c>
      <c r="W633" t="s">
        <v>423</v>
      </c>
      <c r="X633" t="s">
        <v>306</v>
      </c>
      <c r="Y633" t="s">
        <v>307</v>
      </c>
      <c r="Z633">
        <v>65</v>
      </c>
      <c r="AA633">
        <v>65</v>
      </c>
      <c r="AB633" t="s">
        <v>143</v>
      </c>
      <c r="AC633" t="s">
        <v>161</v>
      </c>
      <c r="AD633" t="s">
        <v>125</v>
      </c>
      <c r="AE633" t="str">
        <f>IF(AF633="","",VLOOKUP(AC633,mapel!$A$2:$B$42,2,FALSE))</f>
        <v>TIK</v>
      </c>
      <c r="AF633">
        <f t="shared" si="27"/>
        <v>65</v>
      </c>
      <c r="AG633" t="str">
        <f>IF(AF633="","",IF(AF633&gt;90,"Sangat baik",IF(AF633&gt;79,"Baik",IF(AF633&gt;=pub_gid_0_single_true_output_csv[[#This Row],[KKM]],"Cukup","Kurang"))))</f>
        <v>Cukup</v>
      </c>
      <c r="AH633">
        <f t="shared" si="28"/>
        <v>11</v>
      </c>
      <c r="AI633" s="30" t="str">
        <f>IF(OR(J633&lt;&gt;"Karakter",pub_gid_0_single_true_output_csv[[#This Row],[Nilai2]]=""),"",IF(AF633&gt;89,"Sangat baik",IF(AF633&gt;79,"Baik",IF(AF633&gt;69,"Cukup",IF(AF633&gt;59,"Kurang","Sangat kurang")))))</f>
        <v/>
      </c>
      <c r="AJ633" t="str">
        <f t="shared" si="29"/>
        <v>Wk.5</v>
      </c>
      <c r="AK633" t="str">
        <f>IF(pub_gid_0_single_true_output_csv[[#This Row],[Nilai2]]="","",VLOOKUP(pub_gid_0_single_true_output_csv[[#This Row],[NAMA]],Table7[],3,FALSE))</f>
        <v>High average</v>
      </c>
    </row>
    <row r="634" spans="1:37" x14ac:dyDescent="0.2">
      <c r="A634">
        <v>633</v>
      </c>
      <c r="B634" t="s">
        <v>293</v>
      </c>
      <c r="C634" t="s">
        <v>54</v>
      </c>
      <c r="D634" t="s">
        <v>45</v>
      </c>
      <c r="E634" t="s">
        <v>147</v>
      </c>
      <c r="F634" s="25">
        <v>46065</v>
      </c>
      <c r="G634" t="s">
        <v>354</v>
      </c>
      <c r="H634" t="s">
        <v>412</v>
      </c>
      <c r="I634" t="s">
        <v>371</v>
      </c>
      <c r="J634" t="s">
        <v>41</v>
      </c>
      <c r="K634" t="s">
        <v>157</v>
      </c>
      <c r="L634" t="s">
        <v>150</v>
      </c>
      <c r="M634" t="s">
        <v>141</v>
      </c>
      <c r="N634" t="s">
        <v>142</v>
      </c>
      <c r="O634" t="s">
        <v>155</v>
      </c>
      <c r="P634" t="s">
        <v>281</v>
      </c>
      <c r="Q634" t="s">
        <v>155</v>
      </c>
      <c r="R634" t="s">
        <v>273</v>
      </c>
      <c r="S634" t="s">
        <v>309</v>
      </c>
      <c r="T634">
        <v>1</v>
      </c>
      <c r="U634" t="s">
        <v>422</v>
      </c>
      <c r="V634" t="s">
        <v>285</v>
      </c>
      <c r="W634" t="s">
        <v>423</v>
      </c>
      <c r="X634" t="s">
        <v>306</v>
      </c>
      <c r="Y634" t="s">
        <v>307</v>
      </c>
      <c r="Z634">
        <v>65</v>
      </c>
      <c r="AA634">
        <v>65</v>
      </c>
      <c r="AB634" t="s">
        <v>143</v>
      </c>
      <c r="AC634" t="s">
        <v>161</v>
      </c>
      <c r="AD634" t="s">
        <v>125</v>
      </c>
      <c r="AE634" t="str">
        <f>IF(AF634="","",VLOOKUP(AC634,mapel!$A$2:$B$42,2,FALSE))</f>
        <v>TIK</v>
      </c>
      <c r="AF634">
        <f t="shared" si="27"/>
        <v>65</v>
      </c>
      <c r="AG634" t="str">
        <f>IF(AF634="","",IF(AF634&gt;90,"Sangat baik",IF(AF634&gt;79,"Baik",IF(AF634&gt;=pub_gid_0_single_true_output_csv[[#This Row],[KKM]],"Cukup","Kurang"))))</f>
        <v>Cukup</v>
      </c>
      <c r="AH634">
        <f t="shared" si="28"/>
        <v>11</v>
      </c>
      <c r="AI634" s="30" t="str">
        <f>IF(OR(J634&lt;&gt;"Karakter",pub_gid_0_single_true_output_csv[[#This Row],[Nilai2]]=""),"",IF(AF634&gt;89,"Sangat baik",IF(AF634&gt;79,"Baik",IF(AF634&gt;69,"Cukup",IF(AF634&gt;59,"Kurang","Sangat kurang")))))</f>
        <v/>
      </c>
      <c r="AJ634" t="str">
        <f t="shared" si="29"/>
        <v>Wk.7</v>
      </c>
      <c r="AK634" t="str">
        <f>IF(pub_gid_0_single_true_output_csv[[#This Row],[Nilai2]]="","",VLOOKUP(pub_gid_0_single_true_output_csv[[#This Row],[NAMA]],Table7[],3,FALSE))</f>
        <v>High average</v>
      </c>
    </row>
    <row r="635" spans="1:37" x14ac:dyDescent="0.2">
      <c r="A635">
        <v>634</v>
      </c>
      <c r="B635" t="s">
        <v>293</v>
      </c>
      <c r="C635" t="s">
        <v>54</v>
      </c>
      <c r="D635" t="s">
        <v>45</v>
      </c>
      <c r="E635" t="s">
        <v>147</v>
      </c>
      <c r="F635" s="25">
        <v>46065</v>
      </c>
      <c r="G635" t="s">
        <v>354</v>
      </c>
      <c r="H635" t="s">
        <v>412</v>
      </c>
      <c r="I635" t="s">
        <v>371</v>
      </c>
      <c r="J635" t="s">
        <v>36</v>
      </c>
      <c r="K635" t="s">
        <v>153</v>
      </c>
      <c r="L635" t="s">
        <v>319</v>
      </c>
      <c r="M635" t="s">
        <v>141</v>
      </c>
      <c r="N635" t="s">
        <v>142</v>
      </c>
      <c r="O635" t="s">
        <v>155</v>
      </c>
      <c r="P635" t="s">
        <v>281</v>
      </c>
      <c r="Q635" t="s">
        <v>155</v>
      </c>
      <c r="R635" t="s">
        <v>273</v>
      </c>
      <c r="S635" t="s">
        <v>309</v>
      </c>
      <c r="T635">
        <v>1</v>
      </c>
      <c r="U635" t="s">
        <v>422</v>
      </c>
      <c r="V635" t="s">
        <v>285</v>
      </c>
      <c r="W635" t="s">
        <v>423</v>
      </c>
      <c r="X635" t="s">
        <v>306</v>
      </c>
      <c r="Y635" t="s">
        <v>307</v>
      </c>
      <c r="Z635">
        <v>65</v>
      </c>
      <c r="AA635">
        <v>65</v>
      </c>
      <c r="AB635" t="s">
        <v>143</v>
      </c>
      <c r="AC635" t="s">
        <v>161</v>
      </c>
      <c r="AD635" t="s">
        <v>125</v>
      </c>
      <c r="AE635" t="str">
        <f>IF(AF635="","",VLOOKUP(AC635,mapel!$A$2:$B$42,2,FALSE))</f>
        <v>TIK</v>
      </c>
      <c r="AF635">
        <f t="shared" si="27"/>
        <v>65</v>
      </c>
      <c r="AG635" t="str">
        <f>IF(AF635="","",IF(AF635&gt;90,"Sangat baik",IF(AF635&gt;79,"Baik",IF(AF635&gt;=pub_gid_0_single_true_output_csv[[#This Row],[KKM]],"Cukup","Kurang"))))</f>
        <v>Cukup</v>
      </c>
      <c r="AH635">
        <f t="shared" si="28"/>
        <v>11</v>
      </c>
      <c r="AI635" s="30" t="str">
        <f>IF(OR(J635&lt;&gt;"Karakter",pub_gid_0_single_true_output_csv[[#This Row],[Nilai2]]=""),"",IF(AF635&gt;89,"Sangat baik",IF(AF635&gt;79,"Baik",IF(AF635&gt;69,"Cukup",IF(AF635&gt;59,"Kurang","Sangat kurang")))))</f>
        <v/>
      </c>
      <c r="AJ635" t="str">
        <f t="shared" si="29"/>
        <v>Wk.7</v>
      </c>
      <c r="AK635" t="str">
        <f>IF(pub_gid_0_single_true_output_csv[[#This Row],[Nilai2]]="","",VLOOKUP(pub_gid_0_single_true_output_csv[[#This Row],[NAMA]],Table7[],3,FALSE))</f>
        <v>High average</v>
      </c>
    </row>
    <row r="636" spans="1:37" x14ac:dyDescent="0.2">
      <c r="A636">
        <v>635</v>
      </c>
      <c r="B636" t="s">
        <v>293</v>
      </c>
      <c r="C636" t="s">
        <v>54</v>
      </c>
      <c r="D636" t="s">
        <v>45</v>
      </c>
      <c r="E636" t="s">
        <v>147</v>
      </c>
      <c r="F636" s="25">
        <v>46065</v>
      </c>
      <c r="G636" t="s">
        <v>354</v>
      </c>
      <c r="H636" t="s">
        <v>412</v>
      </c>
      <c r="I636" t="s">
        <v>371</v>
      </c>
      <c r="J636" t="s">
        <v>90</v>
      </c>
      <c r="K636" t="s">
        <v>377</v>
      </c>
      <c r="L636" t="s">
        <v>399</v>
      </c>
      <c r="M636" t="s">
        <v>141</v>
      </c>
      <c r="N636" t="s">
        <v>142</v>
      </c>
      <c r="O636" t="s">
        <v>155</v>
      </c>
      <c r="P636" t="s">
        <v>281</v>
      </c>
      <c r="Q636" t="s">
        <v>155</v>
      </c>
      <c r="R636" t="s">
        <v>273</v>
      </c>
      <c r="S636" t="s">
        <v>309</v>
      </c>
      <c r="T636">
        <v>1</v>
      </c>
      <c r="U636" t="s">
        <v>422</v>
      </c>
      <c r="V636" t="s">
        <v>285</v>
      </c>
      <c r="W636" t="s">
        <v>423</v>
      </c>
      <c r="X636" t="s">
        <v>306</v>
      </c>
      <c r="Y636" t="s">
        <v>307</v>
      </c>
      <c r="Z636">
        <v>65</v>
      </c>
      <c r="AA636">
        <v>80</v>
      </c>
      <c r="AB636" t="s">
        <v>143</v>
      </c>
      <c r="AC636" t="s">
        <v>161</v>
      </c>
      <c r="AD636" t="s">
        <v>125</v>
      </c>
      <c r="AE636" t="str">
        <f>IF(AF636="","",VLOOKUP(AC636,mapel!$A$2:$B$42,2,FALSE))</f>
        <v>TIK</v>
      </c>
      <c r="AF636">
        <f t="shared" si="27"/>
        <v>80</v>
      </c>
      <c r="AG636" t="str">
        <f>IF(AF636="","",IF(AF636&gt;90,"Sangat baik",IF(AF636&gt;79,"Baik",IF(AF636&gt;=pub_gid_0_single_true_output_csv[[#This Row],[KKM]],"Cukup","Kurang"))))</f>
        <v>Baik</v>
      </c>
      <c r="AH636">
        <f t="shared" si="28"/>
        <v>11</v>
      </c>
      <c r="AI636" s="30" t="str">
        <f>IF(OR(J636&lt;&gt;"Karakter",pub_gid_0_single_true_output_csv[[#This Row],[Nilai2]]=""),"",IF(AF636&gt;89,"Sangat baik",IF(AF636&gt;79,"Baik",IF(AF636&gt;69,"Cukup",IF(AF636&gt;59,"Kurang","Sangat kurang")))))</f>
        <v>Baik</v>
      </c>
      <c r="AJ636" t="str">
        <f t="shared" si="29"/>
        <v>Wk.7</v>
      </c>
      <c r="AK636" t="str">
        <f>IF(pub_gid_0_single_true_output_csv[[#This Row],[Nilai2]]="","",VLOOKUP(pub_gid_0_single_true_output_csv[[#This Row],[NAMA]],Table7[],3,FALSE))</f>
        <v>High average</v>
      </c>
    </row>
    <row r="637" spans="1:37" x14ac:dyDescent="0.2">
      <c r="A637">
        <v>636</v>
      </c>
      <c r="B637" t="s">
        <v>287</v>
      </c>
      <c r="C637" t="s">
        <v>54</v>
      </c>
      <c r="D637" t="s">
        <v>34</v>
      </c>
      <c r="E637" t="s">
        <v>140</v>
      </c>
      <c r="F637" s="25">
        <v>46037</v>
      </c>
      <c r="G637" t="s">
        <v>356</v>
      </c>
      <c r="H637" t="s">
        <v>405</v>
      </c>
      <c r="I637" t="s">
        <v>371</v>
      </c>
      <c r="J637" t="s">
        <v>36</v>
      </c>
      <c r="K637" t="s">
        <v>153</v>
      </c>
      <c r="L637" t="s">
        <v>319</v>
      </c>
      <c r="M637" t="s">
        <v>141</v>
      </c>
      <c r="N637" t="s">
        <v>142</v>
      </c>
      <c r="O637" t="s">
        <v>155</v>
      </c>
      <c r="P637" t="s">
        <v>281</v>
      </c>
      <c r="Q637" t="s">
        <v>155</v>
      </c>
      <c r="R637" t="s">
        <v>273</v>
      </c>
      <c r="S637" t="s">
        <v>309</v>
      </c>
      <c r="T637">
        <v>1</v>
      </c>
      <c r="U637" t="s">
        <v>422</v>
      </c>
      <c r="V637" t="s">
        <v>285</v>
      </c>
      <c r="W637" t="s">
        <v>423</v>
      </c>
      <c r="X637" t="s">
        <v>306</v>
      </c>
      <c r="Y637" t="s">
        <v>307</v>
      </c>
      <c r="Z637">
        <v>65</v>
      </c>
      <c r="AA637">
        <v>60</v>
      </c>
      <c r="AB637" t="s">
        <v>151</v>
      </c>
      <c r="AC637" t="s">
        <v>161</v>
      </c>
      <c r="AD637" t="s">
        <v>125</v>
      </c>
      <c r="AE637" t="str">
        <f>IF(AF637="","",VLOOKUP(AC637,mapel!$A$2:$B$42,2,FALSE))</f>
        <v>TIK</v>
      </c>
      <c r="AF637">
        <f t="shared" si="27"/>
        <v>60</v>
      </c>
      <c r="AG637" t="str">
        <f>IF(AF637="","",IF(AF637&gt;90,"Sangat baik",IF(AF637&gt;79,"Baik",IF(AF637&gt;=pub_gid_0_single_true_output_csv[[#This Row],[KKM]],"Cukup","Kurang"))))</f>
        <v>Kurang</v>
      </c>
      <c r="AH637">
        <f t="shared" si="28"/>
        <v>11</v>
      </c>
      <c r="AI637" s="30" t="str">
        <f>IF(OR(J637&lt;&gt;"Karakter",pub_gid_0_single_true_output_csv[[#This Row],[Nilai2]]=""),"",IF(AF637&gt;89,"Sangat baik",IF(AF637&gt;79,"Baik",IF(AF637&gt;69,"Cukup",IF(AF637&gt;59,"Kurang","Sangat kurang")))))</f>
        <v/>
      </c>
      <c r="AJ637" t="str">
        <f t="shared" si="29"/>
        <v>Wk.3</v>
      </c>
      <c r="AK637" t="str">
        <f>IF(pub_gid_0_single_true_output_csv[[#This Row],[Nilai2]]="","",VLOOKUP(pub_gid_0_single_true_output_csv[[#This Row],[NAMA]],Table7[],3,FALSE))</f>
        <v>Average</v>
      </c>
    </row>
    <row r="638" spans="1:37" x14ac:dyDescent="0.2">
      <c r="A638">
        <v>637</v>
      </c>
      <c r="B638" t="s">
        <v>287</v>
      </c>
      <c r="C638" t="s">
        <v>54</v>
      </c>
      <c r="D638" t="s">
        <v>34</v>
      </c>
      <c r="E638" t="s">
        <v>140</v>
      </c>
      <c r="F638" s="25">
        <v>46037</v>
      </c>
      <c r="G638" t="s">
        <v>356</v>
      </c>
      <c r="H638" t="s">
        <v>405</v>
      </c>
      <c r="I638" t="s">
        <v>371</v>
      </c>
      <c r="J638" t="s">
        <v>31</v>
      </c>
      <c r="K638" t="s">
        <v>158</v>
      </c>
      <c r="L638" t="s">
        <v>319</v>
      </c>
      <c r="M638" t="s">
        <v>141</v>
      </c>
      <c r="N638" t="s">
        <v>142</v>
      </c>
      <c r="O638" t="s">
        <v>155</v>
      </c>
      <c r="P638" t="s">
        <v>281</v>
      </c>
      <c r="Q638" t="s">
        <v>155</v>
      </c>
      <c r="R638" t="s">
        <v>273</v>
      </c>
      <c r="S638" t="s">
        <v>309</v>
      </c>
      <c r="T638">
        <v>1</v>
      </c>
      <c r="U638" t="s">
        <v>422</v>
      </c>
      <c r="V638" t="s">
        <v>285</v>
      </c>
      <c r="W638" t="s">
        <v>423</v>
      </c>
      <c r="X638" t="s">
        <v>306</v>
      </c>
      <c r="Y638" t="s">
        <v>307</v>
      </c>
      <c r="Z638">
        <v>65</v>
      </c>
      <c r="AA638">
        <v>60</v>
      </c>
      <c r="AB638" t="s">
        <v>151</v>
      </c>
      <c r="AC638" t="s">
        <v>161</v>
      </c>
      <c r="AD638" t="s">
        <v>125</v>
      </c>
      <c r="AE638" t="str">
        <f>IF(AF638="","",VLOOKUP(AC638,mapel!$A$2:$B$42,2,FALSE))</f>
        <v>TIK</v>
      </c>
      <c r="AF638">
        <f t="shared" si="27"/>
        <v>60</v>
      </c>
      <c r="AG638" t="str">
        <f>IF(AF638="","",IF(AF638&gt;90,"Sangat baik",IF(AF638&gt;79,"Baik",IF(AF638&gt;=pub_gid_0_single_true_output_csv[[#This Row],[KKM]],"Cukup","Kurang"))))</f>
        <v>Kurang</v>
      </c>
      <c r="AH638">
        <f t="shared" si="28"/>
        <v>11</v>
      </c>
      <c r="AI638" s="30" t="str">
        <f>IF(OR(J638&lt;&gt;"Karakter",pub_gid_0_single_true_output_csv[[#This Row],[Nilai2]]=""),"",IF(AF638&gt;89,"Sangat baik",IF(AF638&gt;79,"Baik",IF(AF638&gt;69,"Cukup",IF(AF638&gt;59,"Kurang","Sangat kurang")))))</f>
        <v/>
      </c>
      <c r="AJ638" t="str">
        <f t="shared" si="29"/>
        <v>Wk.3</v>
      </c>
      <c r="AK638" t="str">
        <f>IF(pub_gid_0_single_true_output_csv[[#This Row],[Nilai2]]="","",VLOOKUP(pub_gid_0_single_true_output_csv[[#This Row],[NAMA]],Table7[],3,FALSE))</f>
        <v>Average</v>
      </c>
    </row>
    <row r="639" spans="1:37" x14ac:dyDescent="0.2">
      <c r="A639">
        <v>638</v>
      </c>
      <c r="B639" t="s">
        <v>287</v>
      </c>
      <c r="C639" t="s">
        <v>54</v>
      </c>
      <c r="D639" t="s">
        <v>34</v>
      </c>
      <c r="E639" t="s">
        <v>140</v>
      </c>
      <c r="F639" s="25">
        <v>46044</v>
      </c>
      <c r="G639" t="s">
        <v>305</v>
      </c>
      <c r="H639" t="s">
        <v>405</v>
      </c>
      <c r="I639" t="s">
        <v>371</v>
      </c>
      <c r="J639" t="s">
        <v>90</v>
      </c>
      <c r="K639" t="s">
        <v>377</v>
      </c>
      <c r="L639" t="s">
        <v>399</v>
      </c>
      <c r="M639" t="s">
        <v>141</v>
      </c>
      <c r="N639" t="s">
        <v>142</v>
      </c>
      <c r="O639" t="s">
        <v>155</v>
      </c>
      <c r="P639" t="s">
        <v>281</v>
      </c>
      <c r="Q639" t="s">
        <v>155</v>
      </c>
      <c r="R639" t="s">
        <v>273</v>
      </c>
      <c r="S639" t="s">
        <v>309</v>
      </c>
      <c r="T639">
        <v>1</v>
      </c>
      <c r="U639" t="s">
        <v>422</v>
      </c>
      <c r="V639" t="s">
        <v>285</v>
      </c>
      <c r="W639" t="s">
        <v>423</v>
      </c>
      <c r="X639" t="s">
        <v>306</v>
      </c>
      <c r="Y639" t="s">
        <v>307</v>
      </c>
      <c r="Z639">
        <v>65</v>
      </c>
      <c r="AA639">
        <v>80</v>
      </c>
      <c r="AB639" t="s">
        <v>143</v>
      </c>
      <c r="AC639" t="s">
        <v>161</v>
      </c>
      <c r="AD639" t="s">
        <v>125</v>
      </c>
      <c r="AE639" t="str">
        <f>IF(AF639="","",VLOOKUP(AC639,mapel!$A$2:$B$42,2,FALSE))</f>
        <v>TIK</v>
      </c>
      <c r="AF639">
        <f t="shared" si="27"/>
        <v>80</v>
      </c>
      <c r="AG639" t="str">
        <f>IF(AF639="","",IF(AF639&gt;90,"Sangat baik",IF(AF639&gt;79,"Baik",IF(AF639&gt;=pub_gid_0_single_true_output_csv[[#This Row],[KKM]],"Cukup","Kurang"))))</f>
        <v>Baik</v>
      </c>
      <c r="AH639">
        <f t="shared" si="28"/>
        <v>11</v>
      </c>
      <c r="AI639" s="30" t="str">
        <f>IF(OR(J639&lt;&gt;"Karakter",pub_gid_0_single_true_output_csv[[#This Row],[Nilai2]]=""),"",IF(AF639&gt;89,"Sangat baik",IF(AF639&gt;79,"Baik",IF(AF639&gt;69,"Cukup",IF(AF639&gt;59,"Kurang","Sangat kurang")))))</f>
        <v>Baik</v>
      </c>
      <c r="AJ639" t="str">
        <f t="shared" si="29"/>
        <v>Wk.4</v>
      </c>
      <c r="AK639" t="str">
        <f>IF(pub_gid_0_single_true_output_csv[[#This Row],[Nilai2]]="","",VLOOKUP(pub_gid_0_single_true_output_csv[[#This Row],[NAMA]],Table7[],3,FALSE))</f>
        <v>Average</v>
      </c>
    </row>
    <row r="640" spans="1:37" x14ac:dyDescent="0.2">
      <c r="A640">
        <v>639</v>
      </c>
      <c r="B640" t="s">
        <v>287</v>
      </c>
      <c r="C640" t="s">
        <v>54</v>
      </c>
      <c r="D640" t="s">
        <v>34</v>
      </c>
      <c r="E640" t="s">
        <v>140</v>
      </c>
      <c r="F640" s="25">
        <v>46044</v>
      </c>
      <c r="G640" t="s">
        <v>305</v>
      </c>
      <c r="H640" t="s">
        <v>405</v>
      </c>
      <c r="I640" t="s">
        <v>371</v>
      </c>
      <c r="J640" t="s">
        <v>279</v>
      </c>
      <c r="K640" t="s">
        <v>280</v>
      </c>
      <c r="L640" t="s">
        <v>150</v>
      </c>
      <c r="M640" t="s">
        <v>141</v>
      </c>
      <c r="N640" t="s">
        <v>142</v>
      </c>
      <c r="O640" t="s">
        <v>155</v>
      </c>
      <c r="P640" t="s">
        <v>281</v>
      </c>
      <c r="Q640" t="s">
        <v>155</v>
      </c>
      <c r="R640" t="s">
        <v>273</v>
      </c>
      <c r="S640" t="s">
        <v>309</v>
      </c>
      <c r="T640">
        <v>1</v>
      </c>
      <c r="U640" t="s">
        <v>422</v>
      </c>
      <c r="V640" t="s">
        <v>285</v>
      </c>
      <c r="W640" t="s">
        <v>423</v>
      </c>
      <c r="X640" t="s">
        <v>306</v>
      </c>
      <c r="Y640" t="s">
        <v>307</v>
      </c>
      <c r="Z640">
        <v>65</v>
      </c>
      <c r="AA640">
        <v>80</v>
      </c>
      <c r="AB640" t="s">
        <v>143</v>
      </c>
      <c r="AC640" t="s">
        <v>161</v>
      </c>
      <c r="AD640" t="s">
        <v>125</v>
      </c>
      <c r="AE640" t="str">
        <f>IF(AF640="","",VLOOKUP(AC640,mapel!$A$2:$B$42,2,FALSE))</f>
        <v>TIK</v>
      </c>
      <c r="AF640">
        <f t="shared" si="27"/>
        <v>80</v>
      </c>
      <c r="AG640" t="str">
        <f>IF(AF640="","",IF(AF640&gt;90,"Sangat baik",IF(AF640&gt;79,"Baik",IF(AF640&gt;=pub_gid_0_single_true_output_csv[[#This Row],[KKM]],"Cukup","Kurang"))))</f>
        <v>Baik</v>
      </c>
      <c r="AH640">
        <f t="shared" si="28"/>
        <v>11</v>
      </c>
      <c r="AI640" s="30" t="str">
        <f>IF(OR(J640&lt;&gt;"Karakter",pub_gid_0_single_true_output_csv[[#This Row],[Nilai2]]=""),"",IF(AF640&gt;89,"Sangat baik",IF(AF640&gt;79,"Baik",IF(AF640&gt;69,"Cukup",IF(AF640&gt;59,"Kurang","Sangat kurang")))))</f>
        <v/>
      </c>
      <c r="AJ640" t="str">
        <f t="shared" si="29"/>
        <v>Wk.4</v>
      </c>
      <c r="AK640" t="str">
        <f>IF(pub_gid_0_single_true_output_csv[[#This Row],[Nilai2]]="","",VLOOKUP(pub_gid_0_single_true_output_csv[[#This Row],[NAMA]],Table7[],3,FALSE))</f>
        <v>Average</v>
      </c>
    </row>
    <row r="641" spans="1:37" x14ac:dyDescent="0.2">
      <c r="A641">
        <v>640</v>
      </c>
      <c r="B641" t="s">
        <v>287</v>
      </c>
      <c r="C641" t="s">
        <v>54</v>
      </c>
      <c r="D641" t="s">
        <v>34</v>
      </c>
      <c r="E641" t="s">
        <v>140</v>
      </c>
      <c r="F641" s="25">
        <v>46044</v>
      </c>
      <c r="G641" t="s">
        <v>305</v>
      </c>
      <c r="H641" t="s">
        <v>405</v>
      </c>
      <c r="I641" t="s">
        <v>371</v>
      </c>
      <c r="J641" t="s">
        <v>41</v>
      </c>
      <c r="K641" t="s">
        <v>157</v>
      </c>
      <c r="L641" t="s">
        <v>150</v>
      </c>
      <c r="M641" t="s">
        <v>141</v>
      </c>
      <c r="N641" t="s">
        <v>142</v>
      </c>
      <c r="O641" t="s">
        <v>155</v>
      </c>
      <c r="P641" t="s">
        <v>281</v>
      </c>
      <c r="Q641" t="s">
        <v>155</v>
      </c>
      <c r="R641" t="s">
        <v>273</v>
      </c>
      <c r="S641" t="s">
        <v>309</v>
      </c>
      <c r="T641">
        <v>1</v>
      </c>
      <c r="U641" t="s">
        <v>422</v>
      </c>
      <c r="V641" t="s">
        <v>285</v>
      </c>
      <c r="W641" t="s">
        <v>423</v>
      </c>
      <c r="X641" t="s">
        <v>306</v>
      </c>
      <c r="Y641" t="s">
        <v>307</v>
      </c>
      <c r="Z641">
        <v>65</v>
      </c>
      <c r="AA641">
        <v>60</v>
      </c>
      <c r="AB641" t="s">
        <v>151</v>
      </c>
      <c r="AC641" t="s">
        <v>161</v>
      </c>
      <c r="AD641" t="s">
        <v>125</v>
      </c>
      <c r="AE641" t="str">
        <f>IF(AF641="","",VLOOKUP(AC641,mapel!$A$2:$B$42,2,FALSE))</f>
        <v>TIK</v>
      </c>
      <c r="AF641">
        <f t="shared" si="27"/>
        <v>60</v>
      </c>
      <c r="AG641" t="str">
        <f>IF(AF641="","",IF(AF641&gt;90,"Sangat baik",IF(AF641&gt;79,"Baik",IF(AF641&gt;=pub_gid_0_single_true_output_csv[[#This Row],[KKM]],"Cukup","Kurang"))))</f>
        <v>Kurang</v>
      </c>
      <c r="AH641">
        <f t="shared" si="28"/>
        <v>11</v>
      </c>
      <c r="AI641" s="30" t="str">
        <f>IF(OR(J641&lt;&gt;"Karakter",pub_gid_0_single_true_output_csv[[#This Row],[Nilai2]]=""),"",IF(AF641&gt;89,"Sangat baik",IF(AF641&gt;79,"Baik",IF(AF641&gt;69,"Cukup",IF(AF641&gt;59,"Kurang","Sangat kurang")))))</f>
        <v/>
      </c>
      <c r="AJ641" t="str">
        <f t="shared" si="29"/>
        <v>Wk.4</v>
      </c>
      <c r="AK641" t="str">
        <f>IF(pub_gid_0_single_true_output_csv[[#This Row],[Nilai2]]="","",VLOOKUP(pub_gid_0_single_true_output_csv[[#This Row],[NAMA]],Table7[],3,FALSE))</f>
        <v>Average</v>
      </c>
    </row>
    <row r="642" spans="1:37" x14ac:dyDescent="0.2">
      <c r="A642">
        <v>641</v>
      </c>
      <c r="B642" t="s">
        <v>287</v>
      </c>
      <c r="C642" t="s">
        <v>54</v>
      </c>
      <c r="D642" t="s">
        <v>34</v>
      </c>
      <c r="E642" t="s">
        <v>140</v>
      </c>
      <c r="F642" s="25">
        <v>46051</v>
      </c>
      <c r="G642" t="s">
        <v>320</v>
      </c>
      <c r="H642" t="s">
        <v>405</v>
      </c>
      <c r="I642" t="s">
        <v>371</v>
      </c>
      <c r="J642" t="s">
        <v>41</v>
      </c>
      <c r="K642" t="s">
        <v>157</v>
      </c>
      <c r="L642" t="s">
        <v>150</v>
      </c>
      <c r="M642" t="s">
        <v>141</v>
      </c>
      <c r="N642" t="s">
        <v>142</v>
      </c>
      <c r="O642" t="s">
        <v>155</v>
      </c>
      <c r="P642" t="s">
        <v>281</v>
      </c>
      <c r="Q642" t="s">
        <v>155</v>
      </c>
      <c r="R642" t="s">
        <v>273</v>
      </c>
      <c r="S642" t="s">
        <v>309</v>
      </c>
      <c r="T642">
        <v>1</v>
      </c>
      <c r="U642" t="s">
        <v>422</v>
      </c>
      <c r="V642" t="s">
        <v>285</v>
      </c>
      <c r="W642" t="s">
        <v>423</v>
      </c>
      <c r="X642" t="s">
        <v>306</v>
      </c>
      <c r="Y642" t="s">
        <v>307</v>
      </c>
      <c r="Z642">
        <v>65</v>
      </c>
      <c r="AA642">
        <v>65</v>
      </c>
      <c r="AB642" t="s">
        <v>143</v>
      </c>
      <c r="AC642" t="s">
        <v>161</v>
      </c>
      <c r="AD642" t="s">
        <v>125</v>
      </c>
      <c r="AE642" t="str">
        <f>IF(AF642="","",VLOOKUP(AC642,mapel!$A$2:$B$42,2,FALSE))</f>
        <v>TIK</v>
      </c>
      <c r="AF642">
        <f t="shared" ref="AF642:AF705" si="30">IF(AA642=0, "",IF(AA642 = 0.1, 0,AA642))</f>
        <v>65</v>
      </c>
      <c r="AG642" t="str">
        <f>IF(AF642="","",IF(AF642&gt;90,"Sangat baik",IF(AF642&gt;79,"Baik",IF(AF642&gt;=pub_gid_0_single_true_output_csv[[#This Row],[KKM]],"Cukup","Kurang"))))</f>
        <v>Cukup</v>
      </c>
      <c r="AH642">
        <f t="shared" ref="AH642:AH705" si="31">IF(AG642="","",VALUE(RIGHT(X642,2)))</f>
        <v>11</v>
      </c>
      <c r="AI642" s="30" t="str">
        <f>IF(OR(J642&lt;&gt;"Karakter",pub_gid_0_single_true_output_csv[[#This Row],[Nilai2]]=""),"",IF(AF642&gt;89,"Sangat baik",IF(AF642&gt;79,"Baik",IF(AF642&gt;69,"Cukup",IF(AF642&gt;59,"Kurang","Sangat kurang")))))</f>
        <v/>
      </c>
      <c r="AJ642" t="str">
        <f t="shared" ref="AJ642:AJ705" si="32">IF(AF642="","",CONCATENATE("Wk.",WEEKNUM(F642,2)))</f>
        <v>Wk.5</v>
      </c>
      <c r="AK642" t="str">
        <f>IF(pub_gid_0_single_true_output_csv[[#This Row],[Nilai2]]="","",VLOOKUP(pub_gid_0_single_true_output_csv[[#This Row],[NAMA]],Table7[],3,FALSE))</f>
        <v>Average</v>
      </c>
    </row>
    <row r="643" spans="1:37" x14ac:dyDescent="0.2">
      <c r="A643">
        <v>642</v>
      </c>
      <c r="B643" t="s">
        <v>287</v>
      </c>
      <c r="C643" t="s">
        <v>54</v>
      </c>
      <c r="D643" t="s">
        <v>34</v>
      </c>
      <c r="E643" t="s">
        <v>140</v>
      </c>
      <c r="F643" s="25">
        <v>46051</v>
      </c>
      <c r="G643" t="s">
        <v>320</v>
      </c>
      <c r="H643" t="s">
        <v>405</v>
      </c>
      <c r="I643" t="s">
        <v>371</v>
      </c>
      <c r="J643" t="s">
        <v>36</v>
      </c>
      <c r="K643" t="s">
        <v>153</v>
      </c>
      <c r="L643" t="s">
        <v>319</v>
      </c>
      <c r="M643" t="s">
        <v>141</v>
      </c>
      <c r="N643" t="s">
        <v>142</v>
      </c>
      <c r="O643" t="s">
        <v>155</v>
      </c>
      <c r="P643" t="s">
        <v>281</v>
      </c>
      <c r="Q643" t="s">
        <v>155</v>
      </c>
      <c r="R643" t="s">
        <v>273</v>
      </c>
      <c r="S643" t="s">
        <v>309</v>
      </c>
      <c r="T643">
        <v>1</v>
      </c>
      <c r="U643" t="s">
        <v>422</v>
      </c>
      <c r="V643" t="s">
        <v>285</v>
      </c>
      <c r="W643" t="s">
        <v>423</v>
      </c>
      <c r="X643" t="s">
        <v>306</v>
      </c>
      <c r="Y643" t="s">
        <v>307</v>
      </c>
      <c r="Z643">
        <v>65</v>
      </c>
      <c r="AA643">
        <v>65</v>
      </c>
      <c r="AB643" t="s">
        <v>143</v>
      </c>
      <c r="AC643" t="s">
        <v>161</v>
      </c>
      <c r="AD643" t="s">
        <v>125</v>
      </c>
      <c r="AE643" t="str">
        <f>IF(AF643="","",VLOOKUP(AC643,mapel!$A$2:$B$42,2,FALSE))</f>
        <v>TIK</v>
      </c>
      <c r="AF643">
        <f t="shared" si="30"/>
        <v>65</v>
      </c>
      <c r="AG643" t="str">
        <f>IF(AF643="","",IF(AF643&gt;90,"Sangat baik",IF(AF643&gt;79,"Baik",IF(AF643&gt;=pub_gid_0_single_true_output_csv[[#This Row],[KKM]],"Cukup","Kurang"))))</f>
        <v>Cukup</v>
      </c>
      <c r="AH643">
        <f t="shared" si="31"/>
        <v>11</v>
      </c>
      <c r="AI643" s="30" t="str">
        <f>IF(OR(J643&lt;&gt;"Karakter",pub_gid_0_single_true_output_csv[[#This Row],[Nilai2]]=""),"",IF(AF643&gt;89,"Sangat baik",IF(AF643&gt;79,"Baik",IF(AF643&gt;69,"Cukup",IF(AF643&gt;59,"Kurang","Sangat kurang")))))</f>
        <v/>
      </c>
      <c r="AJ643" t="str">
        <f t="shared" si="32"/>
        <v>Wk.5</v>
      </c>
      <c r="AK643" t="str">
        <f>IF(pub_gid_0_single_true_output_csv[[#This Row],[Nilai2]]="","",VLOOKUP(pub_gid_0_single_true_output_csv[[#This Row],[NAMA]],Table7[],3,FALSE))</f>
        <v>Average</v>
      </c>
    </row>
    <row r="644" spans="1:37" x14ac:dyDescent="0.2">
      <c r="A644">
        <v>643</v>
      </c>
      <c r="B644" t="s">
        <v>287</v>
      </c>
      <c r="C644" t="s">
        <v>54</v>
      </c>
      <c r="D644" t="s">
        <v>34</v>
      </c>
      <c r="E644" t="s">
        <v>140</v>
      </c>
      <c r="F644" s="25">
        <v>46065</v>
      </c>
      <c r="G644" t="s">
        <v>354</v>
      </c>
      <c r="H644" t="s">
        <v>412</v>
      </c>
      <c r="I644" t="s">
        <v>371</v>
      </c>
      <c r="J644" t="s">
        <v>41</v>
      </c>
      <c r="K644" t="s">
        <v>157</v>
      </c>
      <c r="L644" t="s">
        <v>150</v>
      </c>
      <c r="M644" t="s">
        <v>141</v>
      </c>
      <c r="N644" t="s">
        <v>142</v>
      </c>
      <c r="O644" t="s">
        <v>155</v>
      </c>
      <c r="P644" t="s">
        <v>281</v>
      </c>
      <c r="Q644" t="s">
        <v>155</v>
      </c>
      <c r="R644" t="s">
        <v>273</v>
      </c>
      <c r="S644" t="s">
        <v>309</v>
      </c>
      <c r="T644">
        <v>1</v>
      </c>
      <c r="U644" t="s">
        <v>422</v>
      </c>
      <c r="V644" t="s">
        <v>285</v>
      </c>
      <c r="W644" t="s">
        <v>423</v>
      </c>
      <c r="X644" t="s">
        <v>306</v>
      </c>
      <c r="Y644" t="s">
        <v>307</v>
      </c>
      <c r="Z644">
        <v>65</v>
      </c>
      <c r="AA644">
        <v>65</v>
      </c>
      <c r="AB644" t="s">
        <v>143</v>
      </c>
      <c r="AC644" t="s">
        <v>161</v>
      </c>
      <c r="AD644" t="s">
        <v>125</v>
      </c>
      <c r="AE644" t="str">
        <f>IF(AF644="","",VLOOKUP(AC644,mapel!$A$2:$B$42,2,FALSE))</f>
        <v>TIK</v>
      </c>
      <c r="AF644">
        <f t="shared" si="30"/>
        <v>65</v>
      </c>
      <c r="AG644" t="str">
        <f>IF(AF644="","",IF(AF644&gt;90,"Sangat baik",IF(AF644&gt;79,"Baik",IF(AF644&gt;=pub_gid_0_single_true_output_csv[[#This Row],[KKM]],"Cukup","Kurang"))))</f>
        <v>Cukup</v>
      </c>
      <c r="AH644">
        <f t="shared" si="31"/>
        <v>11</v>
      </c>
      <c r="AI644" s="30" t="str">
        <f>IF(OR(J644&lt;&gt;"Karakter",pub_gid_0_single_true_output_csv[[#This Row],[Nilai2]]=""),"",IF(AF644&gt;89,"Sangat baik",IF(AF644&gt;79,"Baik",IF(AF644&gt;69,"Cukup",IF(AF644&gt;59,"Kurang","Sangat kurang")))))</f>
        <v/>
      </c>
      <c r="AJ644" t="str">
        <f t="shared" si="32"/>
        <v>Wk.7</v>
      </c>
      <c r="AK644" t="str">
        <f>IF(pub_gid_0_single_true_output_csv[[#This Row],[Nilai2]]="","",VLOOKUP(pub_gid_0_single_true_output_csv[[#This Row],[NAMA]],Table7[],3,FALSE))</f>
        <v>Average</v>
      </c>
    </row>
    <row r="645" spans="1:37" x14ac:dyDescent="0.2">
      <c r="A645">
        <v>644</v>
      </c>
      <c r="B645" t="s">
        <v>287</v>
      </c>
      <c r="C645" t="s">
        <v>54</v>
      </c>
      <c r="D645" t="s">
        <v>34</v>
      </c>
      <c r="E645" t="s">
        <v>140</v>
      </c>
      <c r="F645" s="25">
        <v>46065</v>
      </c>
      <c r="G645" t="s">
        <v>354</v>
      </c>
      <c r="H645" t="s">
        <v>412</v>
      </c>
      <c r="I645" t="s">
        <v>371</v>
      </c>
      <c r="J645" t="s">
        <v>36</v>
      </c>
      <c r="K645" t="s">
        <v>153</v>
      </c>
      <c r="L645" t="s">
        <v>319</v>
      </c>
      <c r="M645" t="s">
        <v>141</v>
      </c>
      <c r="N645" t="s">
        <v>142</v>
      </c>
      <c r="O645" t="s">
        <v>155</v>
      </c>
      <c r="P645" t="s">
        <v>281</v>
      </c>
      <c r="Q645" t="s">
        <v>155</v>
      </c>
      <c r="R645" t="s">
        <v>273</v>
      </c>
      <c r="S645" t="s">
        <v>309</v>
      </c>
      <c r="T645">
        <v>1</v>
      </c>
      <c r="U645" t="s">
        <v>422</v>
      </c>
      <c r="V645" t="s">
        <v>285</v>
      </c>
      <c r="W645" t="s">
        <v>423</v>
      </c>
      <c r="X645" t="s">
        <v>306</v>
      </c>
      <c r="Y645" t="s">
        <v>307</v>
      </c>
      <c r="Z645">
        <v>65</v>
      </c>
      <c r="AA645">
        <v>65</v>
      </c>
      <c r="AB645" t="s">
        <v>143</v>
      </c>
      <c r="AC645" t="s">
        <v>161</v>
      </c>
      <c r="AD645" t="s">
        <v>125</v>
      </c>
      <c r="AE645" t="str">
        <f>IF(AF645="","",VLOOKUP(AC645,mapel!$A$2:$B$42,2,FALSE))</f>
        <v>TIK</v>
      </c>
      <c r="AF645">
        <f t="shared" si="30"/>
        <v>65</v>
      </c>
      <c r="AG645" t="str">
        <f>IF(AF645="","",IF(AF645&gt;90,"Sangat baik",IF(AF645&gt;79,"Baik",IF(AF645&gt;=pub_gid_0_single_true_output_csv[[#This Row],[KKM]],"Cukup","Kurang"))))</f>
        <v>Cukup</v>
      </c>
      <c r="AH645">
        <f t="shared" si="31"/>
        <v>11</v>
      </c>
      <c r="AI645" s="30" t="str">
        <f>IF(OR(J645&lt;&gt;"Karakter",pub_gid_0_single_true_output_csv[[#This Row],[Nilai2]]=""),"",IF(AF645&gt;89,"Sangat baik",IF(AF645&gt;79,"Baik",IF(AF645&gt;69,"Cukup",IF(AF645&gt;59,"Kurang","Sangat kurang")))))</f>
        <v/>
      </c>
      <c r="AJ645" t="str">
        <f t="shared" si="32"/>
        <v>Wk.7</v>
      </c>
      <c r="AK645" t="str">
        <f>IF(pub_gid_0_single_true_output_csv[[#This Row],[Nilai2]]="","",VLOOKUP(pub_gid_0_single_true_output_csv[[#This Row],[NAMA]],Table7[],3,FALSE))</f>
        <v>Average</v>
      </c>
    </row>
    <row r="646" spans="1:37" x14ac:dyDescent="0.2">
      <c r="A646">
        <v>645</v>
      </c>
      <c r="B646" t="s">
        <v>287</v>
      </c>
      <c r="C646" t="s">
        <v>54</v>
      </c>
      <c r="D646" t="s">
        <v>34</v>
      </c>
      <c r="E646" t="s">
        <v>140</v>
      </c>
      <c r="F646" s="25">
        <v>46065</v>
      </c>
      <c r="G646" t="s">
        <v>354</v>
      </c>
      <c r="H646" t="s">
        <v>412</v>
      </c>
      <c r="I646" t="s">
        <v>371</v>
      </c>
      <c r="J646" t="s">
        <v>90</v>
      </c>
      <c r="K646" t="s">
        <v>377</v>
      </c>
      <c r="L646" t="s">
        <v>399</v>
      </c>
      <c r="M646" t="s">
        <v>141</v>
      </c>
      <c r="N646" t="s">
        <v>142</v>
      </c>
      <c r="O646" t="s">
        <v>155</v>
      </c>
      <c r="P646" t="s">
        <v>281</v>
      </c>
      <c r="Q646" t="s">
        <v>155</v>
      </c>
      <c r="R646" t="s">
        <v>273</v>
      </c>
      <c r="S646" t="s">
        <v>309</v>
      </c>
      <c r="T646">
        <v>1</v>
      </c>
      <c r="U646" t="s">
        <v>422</v>
      </c>
      <c r="V646" t="s">
        <v>285</v>
      </c>
      <c r="W646" t="s">
        <v>423</v>
      </c>
      <c r="X646" t="s">
        <v>306</v>
      </c>
      <c r="Y646" t="s">
        <v>307</v>
      </c>
      <c r="Z646">
        <v>65</v>
      </c>
      <c r="AA646">
        <v>80</v>
      </c>
      <c r="AB646" t="s">
        <v>143</v>
      </c>
      <c r="AC646" t="s">
        <v>161</v>
      </c>
      <c r="AD646" t="s">
        <v>125</v>
      </c>
      <c r="AE646" t="str">
        <f>IF(AF646="","",VLOOKUP(AC646,mapel!$A$2:$B$42,2,FALSE))</f>
        <v>TIK</v>
      </c>
      <c r="AF646">
        <f t="shared" si="30"/>
        <v>80</v>
      </c>
      <c r="AG646" t="str">
        <f>IF(AF646="","",IF(AF646&gt;90,"Sangat baik",IF(AF646&gt;79,"Baik",IF(AF646&gt;=pub_gid_0_single_true_output_csv[[#This Row],[KKM]],"Cukup","Kurang"))))</f>
        <v>Baik</v>
      </c>
      <c r="AH646">
        <f t="shared" si="31"/>
        <v>11</v>
      </c>
      <c r="AI646" s="30" t="str">
        <f>IF(OR(J646&lt;&gt;"Karakter",pub_gid_0_single_true_output_csv[[#This Row],[Nilai2]]=""),"",IF(AF646&gt;89,"Sangat baik",IF(AF646&gt;79,"Baik",IF(AF646&gt;69,"Cukup",IF(AF646&gt;59,"Kurang","Sangat kurang")))))</f>
        <v>Baik</v>
      </c>
      <c r="AJ646" t="str">
        <f t="shared" si="32"/>
        <v>Wk.7</v>
      </c>
      <c r="AK646" t="str">
        <f>IF(pub_gid_0_single_true_output_csv[[#This Row],[Nilai2]]="","",VLOOKUP(pub_gid_0_single_true_output_csv[[#This Row],[NAMA]],Table7[],3,FALSE))</f>
        <v>Average</v>
      </c>
    </row>
    <row r="647" spans="1:37" x14ac:dyDescent="0.2">
      <c r="A647">
        <v>646</v>
      </c>
      <c r="B647" t="s">
        <v>288</v>
      </c>
      <c r="C647" t="s">
        <v>54</v>
      </c>
      <c r="D647" t="s">
        <v>35</v>
      </c>
      <c r="E647" t="s">
        <v>140</v>
      </c>
      <c r="F647" s="25">
        <v>46037</v>
      </c>
      <c r="G647" t="s">
        <v>356</v>
      </c>
      <c r="H647" t="s">
        <v>405</v>
      </c>
      <c r="I647" t="s">
        <v>371</v>
      </c>
      <c r="J647" t="s">
        <v>36</v>
      </c>
      <c r="K647" t="s">
        <v>153</v>
      </c>
      <c r="L647" t="s">
        <v>319</v>
      </c>
      <c r="M647" t="s">
        <v>141</v>
      </c>
      <c r="N647" t="s">
        <v>142</v>
      </c>
      <c r="O647" t="s">
        <v>155</v>
      </c>
      <c r="P647" t="s">
        <v>281</v>
      </c>
      <c r="Q647" t="s">
        <v>155</v>
      </c>
      <c r="R647" t="s">
        <v>273</v>
      </c>
      <c r="S647" t="s">
        <v>309</v>
      </c>
      <c r="T647">
        <v>1</v>
      </c>
      <c r="U647" t="s">
        <v>422</v>
      </c>
      <c r="V647" t="s">
        <v>285</v>
      </c>
      <c r="W647" t="s">
        <v>423</v>
      </c>
      <c r="X647" t="s">
        <v>306</v>
      </c>
      <c r="Y647" t="s">
        <v>307</v>
      </c>
      <c r="Z647">
        <v>65</v>
      </c>
      <c r="AA647">
        <v>60</v>
      </c>
      <c r="AB647" t="s">
        <v>151</v>
      </c>
      <c r="AC647" t="s">
        <v>161</v>
      </c>
      <c r="AD647" t="s">
        <v>125</v>
      </c>
      <c r="AE647" t="str">
        <f>IF(AF647="","",VLOOKUP(AC647,mapel!$A$2:$B$42,2,FALSE))</f>
        <v>TIK</v>
      </c>
      <c r="AF647">
        <f t="shared" si="30"/>
        <v>60</v>
      </c>
      <c r="AG647" t="str">
        <f>IF(AF647="","",IF(AF647&gt;90,"Sangat baik",IF(AF647&gt;79,"Baik",IF(AF647&gt;=pub_gid_0_single_true_output_csv[[#This Row],[KKM]],"Cukup","Kurang"))))</f>
        <v>Kurang</v>
      </c>
      <c r="AH647">
        <f t="shared" si="31"/>
        <v>11</v>
      </c>
      <c r="AI647" s="30" t="str">
        <f>IF(OR(J647&lt;&gt;"Karakter",pub_gid_0_single_true_output_csv[[#This Row],[Nilai2]]=""),"",IF(AF647&gt;89,"Sangat baik",IF(AF647&gt;79,"Baik",IF(AF647&gt;69,"Cukup",IF(AF647&gt;59,"Kurang","Sangat kurang")))))</f>
        <v/>
      </c>
      <c r="AJ647" t="str">
        <f t="shared" si="32"/>
        <v>Wk.3</v>
      </c>
      <c r="AK647" t="str">
        <f>IF(pub_gid_0_single_true_output_csv[[#This Row],[Nilai2]]="","",VLOOKUP(pub_gid_0_single_true_output_csv[[#This Row],[NAMA]],Table7[],3,FALSE))</f>
        <v>Extremely low</v>
      </c>
    </row>
    <row r="648" spans="1:37" x14ac:dyDescent="0.2">
      <c r="A648">
        <v>647</v>
      </c>
      <c r="B648" t="s">
        <v>288</v>
      </c>
      <c r="C648" t="s">
        <v>54</v>
      </c>
      <c r="D648" t="s">
        <v>35</v>
      </c>
      <c r="E648" t="s">
        <v>140</v>
      </c>
      <c r="F648" s="25">
        <v>46037</v>
      </c>
      <c r="G648" t="s">
        <v>356</v>
      </c>
      <c r="H648" t="s">
        <v>405</v>
      </c>
      <c r="I648" t="s">
        <v>371</v>
      </c>
      <c r="J648" t="s">
        <v>31</v>
      </c>
      <c r="K648" t="s">
        <v>158</v>
      </c>
      <c r="L648" t="s">
        <v>319</v>
      </c>
      <c r="M648" t="s">
        <v>141</v>
      </c>
      <c r="N648" t="s">
        <v>142</v>
      </c>
      <c r="O648" t="s">
        <v>155</v>
      </c>
      <c r="P648" t="s">
        <v>281</v>
      </c>
      <c r="Q648" t="s">
        <v>155</v>
      </c>
      <c r="R648" t="s">
        <v>273</v>
      </c>
      <c r="S648" t="s">
        <v>309</v>
      </c>
      <c r="T648">
        <v>1</v>
      </c>
      <c r="U648" t="s">
        <v>422</v>
      </c>
      <c r="V648" t="s">
        <v>285</v>
      </c>
      <c r="W648" t="s">
        <v>423</v>
      </c>
      <c r="X648" t="s">
        <v>306</v>
      </c>
      <c r="Y648" t="s">
        <v>307</v>
      </c>
      <c r="Z648">
        <v>65</v>
      </c>
      <c r="AA648">
        <v>60</v>
      </c>
      <c r="AB648" t="s">
        <v>151</v>
      </c>
      <c r="AC648" t="s">
        <v>161</v>
      </c>
      <c r="AD648" t="s">
        <v>125</v>
      </c>
      <c r="AE648" t="str">
        <f>IF(AF648="","",VLOOKUP(AC648,mapel!$A$2:$B$42,2,FALSE))</f>
        <v>TIK</v>
      </c>
      <c r="AF648">
        <f t="shared" si="30"/>
        <v>60</v>
      </c>
      <c r="AG648" t="str">
        <f>IF(AF648="","",IF(AF648&gt;90,"Sangat baik",IF(AF648&gt;79,"Baik",IF(AF648&gt;=pub_gid_0_single_true_output_csv[[#This Row],[KKM]],"Cukup","Kurang"))))</f>
        <v>Kurang</v>
      </c>
      <c r="AH648">
        <f t="shared" si="31"/>
        <v>11</v>
      </c>
      <c r="AI648" s="30" t="str">
        <f>IF(OR(J648&lt;&gt;"Karakter",pub_gid_0_single_true_output_csv[[#This Row],[Nilai2]]=""),"",IF(AF648&gt;89,"Sangat baik",IF(AF648&gt;79,"Baik",IF(AF648&gt;69,"Cukup",IF(AF648&gt;59,"Kurang","Sangat kurang")))))</f>
        <v/>
      </c>
      <c r="AJ648" t="str">
        <f t="shared" si="32"/>
        <v>Wk.3</v>
      </c>
      <c r="AK648" t="str">
        <f>IF(pub_gid_0_single_true_output_csv[[#This Row],[Nilai2]]="","",VLOOKUP(pub_gid_0_single_true_output_csv[[#This Row],[NAMA]],Table7[],3,FALSE))</f>
        <v>Extremely low</v>
      </c>
    </row>
    <row r="649" spans="1:37" x14ac:dyDescent="0.2">
      <c r="A649">
        <v>648</v>
      </c>
      <c r="B649" t="s">
        <v>288</v>
      </c>
      <c r="C649" t="s">
        <v>54</v>
      </c>
      <c r="D649" t="s">
        <v>35</v>
      </c>
      <c r="E649" t="s">
        <v>140</v>
      </c>
      <c r="F649" s="25">
        <v>46044</v>
      </c>
      <c r="G649" t="s">
        <v>305</v>
      </c>
      <c r="H649" t="s">
        <v>405</v>
      </c>
      <c r="I649" t="s">
        <v>371</v>
      </c>
      <c r="J649" t="s">
        <v>90</v>
      </c>
      <c r="K649" t="s">
        <v>377</v>
      </c>
      <c r="L649" t="s">
        <v>399</v>
      </c>
      <c r="M649" t="s">
        <v>141</v>
      </c>
      <c r="N649" t="s">
        <v>142</v>
      </c>
      <c r="O649" t="s">
        <v>155</v>
      </c>
      <c r="P649" t="s">
        <v>281</v>
      </c>
      <c r="Q649" t="s">
        <v>155</v>
      </c>
      <c r="R649" t="s">
        <v>273</v>
      </c>
      <c r="S649" t="s">
        <v>309</v>
      </c>
      <c r="T649">
        <v>1</v>
      </c>
      <c r="U649" t="s">
        <v>422</v>
      </c>
      <c r="V649" t="s">
        <v>285</v>
      </c>
      <c r="W649" t="s">
        <v>423</v>
      </c>
      <c r="X649" t="s">
        <v>306</v>
      </c>
      <c r="Y649" t="s">
        <v>307</v>
      </c>
      <c r="Z649">
        <v>65</v>
      </c>
      <c r="AA649">
        <v>70</v>
      </c>
      <c r="AB649" t="s">
        <v>143</v>
      </c>
      <c r="AC649" t="s">
        <v>161</v>
      </c>
      <c r="AD649" t="s">
        <v>125</v>
      </c>
      <c r="AE649" t="str">
        <f>IF(AF649="","",VLOOKUP(AC649,mapel!$A$2:$B$42,2,FALSE))</f>
        <v>TIK</v>
      </c>
      <c r="AF649">
        <f t="shared" si="30"/>
        <v>70</v>
      </c>
      <c r="AG649" t="str">
        <f>IF(AF649="","",IF(AF649&gt;90,"Sangat baik",IF(AF649&gt;79,"Baik",IF(AF649&gt;=pub_gid_0_single_true_output_csv[[#This Row],[KKM]],"Cukup","Kurang"))))</f>
        <v>Cukup</v>
      </c>
      <c r="AH649">
        <f t="shared" si="31"/>
        <v>11</v>
      </c>
      <c r="AI649" s="30" t="str">
        <f>IF(OR(J649&lt;&gt;"Karakter",pub_gid_0_single_true_output_csv[[#This Row],[Nilai2]]=""),"",IF(AF649&gt;89,"Sangat baik",IF(AF649&gt;79,"Baik",IF(AF649&gt;69,"Cukup",IF(AF649&gt;59,"Kurang","Sangat kurang")))))</f>
        <v>Cukup</v>
      </c>
      <c r="AJ649" t="str">
        <f t="shared" si="32"/>
        <v>Wk.4</v>
      </c>
      <c r="AK649" t="str">
        <f>IF(pub_gid_0_single_true_output_csv[[#This Row],[Nilai2]]="","",VLOOKUP(pub_gid_0_single_true_output_csv[[#This Row],[NAMA]],Table7[],3,FALSE))</f>
        <v>Extremely low</v>
      </c>
    </row>
    <row r="650" spans="1:37" x14ac:dyDescent="0.2">
      <c r="A650">
        <v>649</v>
      </c>
      <c r="B650" t="s">
        <v>288</v>
      </c>
      <c r="C650" t="s">
        <v>54</v>
      </c>
      <c r="D650" t="s">
        <v>35</v>
      </c>
      <c r="E650" t="s">
        <v>140</v>
      </c>
      <c r="F650" s="25">
        <v>46044</v>
      </c>
      <c r="G650" t="s">
        <v>305</v>
      </c>
      <c r="H650" t="s">
        <v>405</v>
      </c>
      <c r="I650" t="s">
        <v>371</v>
      </c>
      <c r="J650" t="s">
        <v>279</v>
      </c>
      <c r="K650" t="s">
        <v>280</v>
      </c>
      <c r="L650" t="s">
        <v>150</v>
      </c>
      <c r="M650" t="s">
        <v>141</v>
      </c>
      <c r="N650" t="s">
        <v>142</v>
      </c>
      <c r="O650" t="s">
        <v>155</v>
      </c>
      <c r="P650" t="s">
        <v>281</v>
      </c>
      <c r="Q650" t="s">
        <v>155</v>
      </c>
      <c r="R650" t="s">
        <v>273</v>
      </c>
      <c r="S650" t="s">
        <v>309</v>
      </c>
      <c r="T650">
        <v>1</v>
      </c>
      <c r="U650" t="s">
        <v>422</v>
      </c>
      <c r="V650" t="s">
        <v>285</v>
      </c>
      <c r="W650" t="s">
        <v>423</v>
      </c>
      <c r="X650" t="s">
        <v>306</v>
      </c>
      <c r="Y650" t="s">
        <v>307</v>
      </c>
      <c r="Z650">
        <v>65</v>
      </c>
      <c r="AA650">
        <v>65</v>
      </c>
      <c r="AB650" t="s">
        <v>143</v>
      </c>
      <c r="AC650" t="s">
        <v>161</v>
      </c>
      <c r="AD650" t="s">
        <v>125</v>
      </c>
      <c r="AE650" t="str">
        <f>IF(AF650="","",VLOOKUP(AC650,mapel!$A$2:$B$42,2,FALSE))</f>
        <v>TIK</v>
      </c>
      <c r="AF650">
        <f t="shared" si="30"/>
        <v>65</v>
      </c>
      <c r="AG650" t="str">
        <f>IF(AF650="","",IF(AF650&gt;90,"Sangat baik",IF(AF650&gt;79,"Baik",IF(AF650&gt;=pub_gid_0_single_true_output_csv[[#This Row],[KKM]],"Cukup","Kurang"))))</f>
        <v>Cukup</v>
      </c>
      <c r="AH650">
        <f t="shared" si="31"/>
        <v>11</v>
      </c>
      <c r="AI650" s="30" t="str">
        <f>IF(OR(J650&lt;&gt;"Karakter",pub_gid_0_single_true_output_csv[[#This Row],[Nilai2]]=""),"",IF(AF650&gt;89,"Sangat baik",IF(AF650&gt;79,"Baik",IF(AF650&gt;69,"Cukup",IF(AF650&gt;59,"Kurang","Sangat kurang")))))</f>
        <v/>
      </c>
      <c r="AJ650" t="str">
        <f t="shared" si="32"/>
        <v>Wk.4</v>
      </c>
      <c r="AK650" t="str">
        <f>IF(pub_gid_0_single_true_output_csv[[#This Row],[Nilai2]]="","",VLOOKUP(pub_gid_0_single_true_output_csv[[#This Row],[NAMA]],Table7[],3,FALSE))</f>
        <v>Extremely low</v>
      </c>
    </row>
    <row r="651" spans="1:37" x14ac:dyDescent="0.2">
      <c r="A651">
        <v>650</v>
      </c>
      <c r="B651" t="s">
        <v>288</v>
      </c>
      <c r="C651" t="s">
        <v>54</v>
      </c>
      <c r="D651" t="s">
        <v>35</v>
      </c>
      <c r="E651" t="s">
        <v>140</v>
      </c>
      <c r="F651" s="25">
        <v>46044</v>
      </c>
      <c r="G651" t="s">
        <v>305</v>
      </c>
      <c r="H651" t="s">
        <v>405</v>
      </c>
      <c r="I651" t="s">
        <v>371</v>
      </c>
      <c r="J651" t="s">
        <v>41</v>
      </c>
      <c r="K651" t="s">
        <v>157</v>
      </c>
      <c r="L651" t="s">
        <v>150</v>
      </c>
      <c r="M651" t="s">
        <v>141</v>
      </c>
      <c r="N651" t="s">
        <v>142</v>
      </c>
      <c r="O651" t="s">
        <v>155</v>
      </c>
      <c r="P651" t="s">
        <v>281</v>
      </c>
      <c r="Q651" t="s">
        <v>155</v>
      </c>
      <c r="R651" t="s">
        <v>273</v>
      </c>
      <c r="S651" t="s">
        <v>309</v>
      </c>
      <c r="T651">
        <v>1</v>
      </c>
      <c r="U651" t="s">
        <v>422</v>
      </c>
      <c r="V651" t="s">
        <v>285</v>
      </c>
      <c r="W651" t="s">
        <v>423</v>
      </c>
      <c r="X651" t="s">
        <v>306</v>
      </c>
      <c r="Y651" t="s">
        <v>307</v>
      </c>
      <c r="Z651">
        <v>65</v>
      </c>
      <c r="AA651">
        <v>60</v>
      </c>
      <c r="AB651" t="s">
        <v>151</v>
      </c>
      <c r="AC651" t="s">
        <v>161</v>
      </c>
      <c r="AD651" t="s">
        <v>125</v>
      </c>
      <c r="AE651" t="str">
        <f>IF(AF651="","",VLOOKUP(AC651,mapel!$A$2:$B$42,2,FALSE))</f>
        <v>TIK</v>
      </c>
      <c r="AF651">
        <f t="shared" si="30"/>
        <v>60</v>
      </c>
      <c r="AG651" t="str">
        <f>IF(AF651="","",IF(AF651&gt;90,"Sangat baik",IF(AF651&gt;79,"Baik",IF(AF651&gt;=pub_gid_0_single_true_output_csv[[#This Row],[KKM]],"Cukup","Kurang"))))</f>
        <v>Kurang</v>
      </c>
      <c r="AH651">
        <f t="shared" si="31"/>
        <v>11</v>
      </c>
      <c r="AI651" s="30" t="str">
        <f>IF(OR(J651&lt;&gt;"Karakter",pub_gid_0_single_true_output_csv[[#This Row],[Nilai2]]=""),"",IF(AF651&gt;89,"Sangat baik",IF(AF651&gt;79,"Baik",IF(AF651&gt;69,"Cukup",IF(AF651&gt;59,"Kurang","Sangat kurang")))))</f>
        <v/>
      </c>
      <c r="AJ651" t="str">
        <f t="shared" si="32"/>
        <v>Wk.4</v>
      </c>
      <c r="AK651" t="str">
        <f>IF(pub_gid_0_single_true_output_csv[[#This Row],[Nilai2]]="","",VLOOKUP(pub_gid_0_single_true_output_csv[[#This Row],[NAMA]],Table7[],3,FALSE))</f>
        <v>Extremely low</v>
      </c>
    </row>
    <row r="652" spans="1:37" x14ac:dyDescent="0.2">
      <c r="A652">
        <v>651</v>
      </c>
      <c r="B652" t="s">
        <v>288</v>
      </c>
      <c r="C652" t="s">
        <v>54</v>
      </c>
      <c r="D652" t="s">
        <v>35</v>
      </c>
      <c r="E652" t="s">
        <v>140</v>
      </c>
      <c r="F652" s="25">
        <v>46051</v>
      </c>
      <c r="G652" t="s">
        <v>320</v>
      </c>
      <c r="H652" t="s">
        <v>405</v>
      </c>
      <c r="I652" t="s">
        <v>371</v>
      </c>
      <c r="J652" t="s">
        <v>41</v>
      </c>
      <c r="K652" t="s">
        <v>157</v>
      </c>
      <c r="L652" t="s">
        <v>150</v>
      </c>
      <c r="M652" t="s">
        <v>141</v>
      </c>
      <c r="N652" t="s">
        <v>142</v>
      </c>
      <c r="O652" t="s">
        <v>155</v>
      </c>
      <c r="P652" t="s">
        <v>281</v>
      </c>
      <c r="Q652" t="s">
        <v>155</v>
      </c>
      <c r="R652" t="s">
        <v>273</v>
      </c>
      <c r="S652" t="s">
        <v>309</v>
      </c>
      <c r="T652">
        <v>1</v>
      </c>
      <c r="U652" t="s">
        <v>422</v>
      </c>
      <c r="V652" t="s">
        <v>285</v>
      </c>
      <c r="W652" t="s">
        <v>423</v>
      </c>
      <c r="X652" t="s">
        <v>306</v>
      </c>
      <c r="Y652" t="s">
        <v>307</v>
      </c>
      <c r="Z652">
        <v>65</v>
      </c>
      <c r="AA652">
        <v>0</v>
      </c>
      <c r="AB652" t="s">
        <v>151</v>
      </c>
      <c r="AC652" t="s">
        <v>161</v>
      </c>
      <c r="AD652" t="s">
        <v>125</v>
      </c>
      <c r="AE652" t="str">
        <f>IF(AF652="","",VLOOKUP(AC652,mapel!$A$2:$B$42,2,FALSE))</f>
        <v/>
      </c>
      <c r="AF652" t="str">
        <f t="shared" si="30"/>
        <v/>
      </c>
      <c r="AG652" t="str">
        <f>IF(AF652="","",IF(AF652&gt;90,"Sangat baik",IF(AF652&gt;79,"Baik",IF(AF652&gt;=pub_gid_0_single_true_output_csv[[#This Row],[KKM]],"Cukup","Kurang"))))</f>
        <v/>
      </c>
      <c r="AH652" t="str">
        <f t="shared" si="31"/>
        <v/>
      </c>
      <c r="AI652" s="30" t="str">
        <f>IF(OR(J652&lt;&gt;"Karakter",pub_gid_0_single_true_output_csv[[#This Row],[Nilai2]]=""),"",IF(AF652&gt;89,"Sangat baik",IF(AF652&gt;79,"Baik",IF(AF652&gt;69,"Cukup",IF(AF652&gt;59,"Kurang","Sangat kurang")))))</f>
        <v/>
      </c>
      <c r="AJ652" t="str">
        <f t="shared" si="32"/>
        <v/>
      </c>
      <c r="AK652" t="str">
        <f>IF(pub_gid_0_single_true_output_csv[[#This Row],[Nilai2]]="","",VLOOKUP(pub_gid_0_single_true_output_csv[[#This Row],[NAMA]],Table7[],3,FALSE))</f>
        <v/>
      </c>
    </row>
    <row r="653" spans="1:37" x14ac:dyDescent="0.2">
      <c r="A653">
        <v>652</v>
      </c>
      <c r="B653" t="s">
        <v>288</v>
      </c>
      <c r="C653" t="s">
        <v>54</v>
      </c>
      <c r="D653" t="s">
        <v>35</v>
      </c>
      <c r="E653" t="s">
        <v>140</v>
      </c>
      <c r="F653" s="25">
        <v>46051</v>
      </c>
      <c r="G653" t="s">
        <v>320</v>
      </c>
      <c r="H653" t="s">
        <v>405</v>
      </c>
      <c r="I653" t="s">
        <v>371</v>
      </c>
      <c r="J653" t="s">
        <v>36</v>
      </c>
      <c r="K653" t="s">
        <v>153</v>
      </c>
      <c r="L653" t="s">
        <v>319</v>
      </c>
      <c r="M653" t="s">
        <v>141</v>
      </c>
      <c r="N653" t="s">
        <v>142</v>
      </c>
      <c r="O653" t="s">
        <v>155</v>
      </c>
      <c r="P653" t="s">
        <v>281</v>
      </c>
      <c r="Q653" t="s">
        <v>155</v>
      </c>
      <c r="R653" t="s">
        <v>273</v>
      </c>
      <c r="S653" t="s">
        <v>309</v>
      </c>
      <c r="T653">
        <v>1</v>
      </c>
      <c r="U653" t="s">
        <v>422</v>
      </c>
      <c r="V653" t="s">
        <v>285</v>
      </c>
      <c r="W653" t="s">
        <v>423</v>
      </c>
      <c r="X653" t="s">
        <v>306</v>
      </c>
      <c r="Y653" t="s">
        <v>307</v>
      </c>
      <c r="Z653">
        <v>65</v>
      </c>
      <c r="AA653">
        <v>0</v>
      </c>
      <c r="AB653" t="s">
        <v>151</v>
      </c>
      <c r="AC653" t="s">
        <v>161</v>
      </c>
      <c r="AD653" t="s">
        <v>125</v>
      </c>
      <c r="AE653" t="str">
        <f>IF(AF653="","",VLOOKUP(AC653,mapel!$A$2:$B$42,2,FALSE))</f>
        <v/>
      </c>
      <c r="AF653" t="str">
        <f t="shared" si="30"/>
        <v/>
      </c>
      <c r="AG653" t="str">
        <f>IF(AF653="","",IF(AF653&gt;90,"Sangat baik",IF(AF653&gt;79,"Baik",IF(AF653&gt;=pub_gid_0_single_true_output_csv[[#This Row],[KKM]],"Cukup","Kurang"))))</f>
        <v/>
      </c>
      <c r="AH653" t="str">
        <f t="shared" si="31"/>
        <v/>
      </c>
      <c r="AI653" s="30" t="str">
        <f>IF(OR(J653&lt;&gt;"Karakter",pub_gid_0_single_true_output_csv[[#This Row],[Nilai2]]=""),"",IF(AF653&gt;89,"Sangat baik",IF(AF653&gt;79,"Baik",IF(AF653&gt;69,"Cukup",IF(AF653&gt;59,"Kurang","Sangat kurang")))))</f>
        <v/>
      </c>
      <c r="AJ653" t="str">
        <f t="shared" si="32"/>
        <v/>
      </c>
      <c r="AK653" t="str">
        <f>IF(pub_gid_0_single_true_output_csv[[#This Row],[Nilai2]]="","",VLOOKUP(pub_gid_0_single_true_output_csv[[#This Row],[NAMA]],Table7[],3,FALSE))</f>
        <v/>
      </c>
    </row>
    <row r="654" spans="1:37" x14ac:dyDescent="0.2">
      <c r="A654">
        <v>653</v>
      </c>
      <c r="B654" t="s">
        <v>288</v>
      </c>
      <c r="C654" t="s">
        <v>54</v>
      </c>
      <c r="D654" t="s">
        <v>35</v>
      </c>
      <c r="E654" t="s">
        <v>140</v>
      </c>
      <c r="F654" s="25">
        <v>46065</v>
      </c>
      <c r="G654" t="s">
        <v>354</v>
      </c>
      <c r="H654" t="s">
        <v>412</v>
      </c>
      <c r="I654" t="s">
        <v>371</v>
      </c>
      <c r="J654" t="s">
        <v>41</v>
      </c>
      <c r="K654" t="s">
        <v>157</v>
      </c>
      <c r="L654" t="s">
        <v>150</v>
      </c>
      <c r="M654" t="s">
        <v>141</v>
      </c>
      <c r="N654" t="s">
        <v>142</v>
      </c>
      <c r="O654" t="s">
        <v>155</v>
      </c>
      <c r="P654" t="s">
        <v>281</v>
      </c>
      <c r="Q654" t="s">
        <v>155</v>
      </c>
      <c r="R654" t="s">
        <v>273</v>
      </c>
      <c r="S654" t="s">
        <v>309</v>
      </c>
      <c r="T654">
        <v>1</v>
      </c>
      <c r="U654" t="s">
        <v>422</v>
      </c>
      <c r="V654" t="s">
        <v>285</v>
      </c>
      <c r="W654" t="s">
        <v>423</v>
      </c>
      <c r="X654" t="s">
        <v>306</v>
      </c>
      <c r="Y654" t="s">
        <v>307</v>
      </c>
      <c r="Z654">
        <v>65</v>
      </c>
      <c r="AA654">
        <v>55</v>
      </c>
      <c r="AB654" t="s">
        <v>151</v>
      </c>
      <c r="AC654" t="s">
        <v>161</v>
      </c>
      <c r="AD654" t="s">
        <v>125</v>
      </c>
      <c r="AE654" t="str">
        <f>IF(AF654="","",VLOOKUP(AC654,mapel!$A$2:$B$42,2,FALSE))</f>
        <v>TIK</v>
      </c>
      <c r="AF654">
        <f t="shared" si="30"/>
        <v>55</v>
      </c>
      <c r="AG654" t="str">
        <f>IF(AF654="","",IF(AF654&gt;90,"Sangat baik",IF(AF654&gt;79,"Baik",IF(AF654&gt;=pub_gid_0_single_true_output_csv[[#This Row],[KKM]],"Cukup","Kurang"))))</f>
        <v>Kurang</v>
      </c>
      <c r="AH654">
        <f t="shared" si="31"/>
        <v>11</v>
      </c>
      <c r="AI654" s="30" t="str">
        <f>IF(OR(J654&lt;&gt;"Karakter",pub_gid_0_single_true_output_csv[[#This Row],[Nilai2]]=""),"",IF(AF654&gt;89,"Sangat baik",IF(AF654&gt;79,"Baik",IF(AF654&gt;69,"Cukup",IF(AF654&gt;59,"Kurang","Sangat kurang")))))</f>
        <v/>
      </c>
      <c r="AJ654" t="str">
        <f t="shared" si="32"/>
        <v>Wk.7</v>
      </c>
      <c r="AK654" t="str">
        <f>IF(pub_gid_0_single_true_output_csv[[#This Row],[Nilai2]]="","",VLOOKUP(pub_gid_0_single_true_output_csv[[#This Row],[NAMA]],Table7[],3,FALSE))</f>
        <v>Extremely low</v>
      </c>
    </row>
    <row r="655" spans="1:37" x14ac:dyDescent="0.2">
      <c r="A655">
        <v>654</v>
      </c>
      <c r="B655" t="s">
        <v>288</v>
      </c>
      <c r="C655" t="s">
        <v>54</v>
      </c>
      <c r="D655" t="s">
        <v>35</v>
      </c>
      <c r="E655" t="s">
        <v>140</v>
      </c>
      <c r="F655" s="25">
        <v>46065</v>
      </c>
      <c r="G655" t="s">
        <v>354</v>
      </c>
      <c r="H655" t="s">
        <v>412</v>
      </c>
      <c r="I655" t="s">
        <v>371</v>
      </c>
      <c r="J655" t="s">
        <v>36</v>
      </c>
      <c r="K655" t="s">
        <v>153</v>
      </c>
      <c r="L655" t="s">
        <v>319</v>
      </c>
      <c r="M655" t="s">
        <v>141</v>
      </c>
      <c r="N655" t="s">
        <v>142</v>
      </c>
      <c r="O655" t="s">
        <v>155</v>
      </c>
      <c r="P655" t="s">
        <v>281</v>
      </c>
      <c r="Q655" t="s">
        <v>155</v>
      </c>
      <c r="R655" t="s">
        <v>273</v>
      </c>
      <c r="S655" t="s">
        <v>309</v>
      </c>
      <c r="T655">
        <v>1</v>
      </c>
      <c r="U655" t="s">
        <v>422</v>
      </c>
      <c r="V655" t="s">
        <v>285</v>
      </c>
      <c r="W655" t="s">
        <v>423</v>
      </c>
      <c r="X655" t="s">
        <v>306</v>
      </c>
      <c r="Y655" t="s">
        <v>307</v>
      </c>
      <c r="Z655">
        <v>65</v>
      </c>
      <c r="AA655">
        <v>50</v>
      </c>
      <c r="AB655" t="s">
        <v>151</v>
      </c>
      <c r="AC655" t="s">
        <v>161</v>
      </c>
      <c r="AD655" t="s">
        <v>125</v>
      </c>
      <c r="AE655" t="str">
        <f>IF(AF655="","",VLOOKUP(AC655,mapel!$A$2:$B$42,2,FALSE))</f>
        <v>TIK</v>
      </c>
      <c r="AF655">
        <f t="shared" si="30"/>
        <v>50</v>
      </c>
      <c r="AG655" t="str">
        <f>IF(AF655="","",IF(AF655&gt;90,"Sangat baik",IF(AF655&gt;79,"Baik",IF(AF655&gt;=pub_gid_0_single_true_output_csv[[#This Row],[KKM]],"Cukup","Kurang"))))</f>
        <v>Kurang</v>
      </c>
      <c r="AH655">
        <f t="shared" si="31"/>
        <v>11</v>
      </c>
      <c r="AI655" s="30" t="str">
        <f>IF(OR(J655&lt;&gt;"Karakter",pub_gid_0_single_true_output_csv[[#This Row],[Nilai2]]=""),"",IF(AF655&gt;89,"Sangat baik",IF(AF655&gt;79,"Baik",IF(AF655&gt;69,"Cukup",IF(AF655&gt;59,"Kurang","Sangat kurang")))))</f>
        <v/>
      </c>
      <c r="AJ655" t="str">
        <f t="shared" si="32"/>
        <v>Wk.7</v>
      </c>
      <c r="AK655" t="str">
        <f>IF(pub_gid_0_single_true_output_csv[[#This Row],[Nilai2]]="","",VLOOKUP(pub_gid_0_single_true_output_csv[[#This Row],[NAMA]],Table7[],3,FALSE))</f>
        <v>Extremely low</v>
      </c>
    </row>
    <row r="656" spans="1:37" x14ac:dyDescent="0.2">
      <c r="A656">
        <v>655</v>
      </c>
      <c r="B656" t="s">
        <v>288</v>
      </c>
      <c r="C656" t="s">
        <v>54</v>
      </c>
      <c r="D656" t="s">
        <v>35</v>
      </c>
      <c r="E656" t="s">
        <v>140</v>
      </c>
      <c r="F656" s="25">
        <v>46065</v>
      </c>
      <c r="G656" t="s">
        <v>354</v>
      </c>
      <c r="H656" t="s">
        <v>412</v>
      </c>
      <c r="I656" t="s">
        <v>371</v>
      </c>
      <c r="J656" t="s">
        <v>90</v>
      </c>
      <c r="K656" t="s">
        <v>377</v>
      </c>
      <c r="L656" t="s">
        <v>399</v>
      </c>
      <c r="M656" t="s">
        <v>141</v>
      </c>
      <c r="N656" t="s">
        <v>142</v>
      </c>
      <c r="O656" t="s">
        <v>155</v>
      </c>
      <c r="P656" t="s">
        <v>281</v>
      </c>
      <c r="Q656" t="s">
        <v>155</v>
      </c>
      <c r="R656" t="s">
        <v>273</v>
      </c>
      <c r="S656" t="s">
        <v>309</v>
      </c>
      <c r="T656">
        <v>1</v>
      </c>
      <c r="U656" t="s">
        <v>422</v>
      </c>
      <c r="V656" t="s">
        <v>285</v>
      </c>
      <c r="W656" t="s">
        <v>423</v>
      </c>
      <c r="X656" t="s">
        <v>306</v>
      </c>
      <c r="Y656" t="s">
        <v>307</v>
      </c>
      <c r="Z656">
        <v>65</v>
      </c>
      <c r="AA656">
        <v>75</v>
      </c>
      <c r="AB656" t="s">
        <v>143</v>
      </c>
      <c r="AC656" t="s">
        <v>161</v>
      </c>
      <c r="AD656" t="s">
        <v>125</v>
      </c>
      <c r="AE656" t="str">
        <f>IF(AF656="","",VLOOKUP(AC656,mapel!$A$2:$B$42,2,FALSE))</f>
        <v>TIK</v>
      </c>
      <c r="AF656">
        <f t="shared" si="30"/>
        <v>75</v>
      </c>
      <c r="AG656" t="str">
        <f>IF(AF656="","",IF(AF656&gt;90,"Sangat baik",IF(AF656&gt;79,"Baik",IF(AF656&gt;=pub_gid_0_single_true_output_csv[[#This Row],[KKM]],"Cukup","Kurang"))))</f>
        <v>Cukup</v>
      </c>
      <c r="AH656">
        <f t="shared" si="31"/>
        <v>11</v>
      </c>
      <c r="AI656" s="30" t="str">
        <f>IF(OR(J656&lt;&gt;"Karakter",pub_gid_0_single_true_output_csv[[#This Row],[Nilai2]]=""),"",IF(AF656&gt;89,"Sangat baik",IF(AF656&gt;79,"Baik",IF(AF656&gt;69,"Cukup",IF(AF656&gt;59,"Kurang","Sangat kurang")))))</f>
        <v>Cukup</v>
      </c>
      <c r="AJ656" t="str">
        <f t="shared" si="32"/>
        <v>Wk.7</v>
      </c>
      <c r="AK656" t="str">
        <f>IF(pub_gid_0_single_true_output_csv[[#This Row],[Nilai2]]="","",VLOOKUP(pub_gid_0_single_true_output_csv[[#This Row],[NAMA]],Table7[],3,FALSE))</f>
        <v>Extremely low</v>
      </c>
    </row>
    <row r="657" spans="1:37" x14ac:dyDescent="0.2">
      <c r="A657">
        <v>656</v>
      </c>
      <c r="B657" t="s">
        <v>294</v>
      </c>
      <c r="C657" t="s">
        <v>54</v>
      </c>
      <c r="D657" t="s">
        <v>46</v>
      </c>
      <c r="E657" t="s">
        <v>148</v>
      </c>
      <c r="F657" s="25">
        <v>46037</v>
      </c>
      <c r="G657" t="s">
        <v>356</v>
      </c>
      <c r="H657" t="s">
        <v>405</v>
      </c>
      <c r="I657" t="s">
        <v>371</v>
      </c>
      <c r="J657" t="s">
        <v>36</v>
      </c>
      <c r="K657" t="s">
        <v>153</v>
      </c>
      <c r="L657" t="s">
        <v>319</v>
      </c>
      <c r="M657" t="s">
        <v>141</v>
      </c>
      <c r="N657" t="s">
        <v>142</v>
      </c>
      <c r="O657" t="s">
        <v>155</v>
      </c>
      <c r="P657" t="s">
        <v>281</v>
      </c>
      <c r="Q657" t="s">
        <v>155</v>
      </c>
      <c r="R657" t="s">
        <v>273</v>
      </c>
      <c r="S657" t="s">
        <v>309</v>
      </c>
      <c r="T657">
        <v>1</v>
      </c>
      <c r="U657" t="s">
        <v>422</v>
      </c>
      <c r="V657" t="s">
        <v>285</v>
      </c>
      <c r="W657" t="s">
        <v>423</v>
      </c>
      <c r="X657" t="s">
        <v>306</v>
      </c>
      <c r="Y657" t="s">
        <v>307</v>
      </c>
      <c r="Z657">
        <v>65</v>
      </c>
      <c r="AA657">
        <v>40</v>
      </c>
      <c r="AB657" t="s">
        <v>151</v>
      </c>
      <c r="AC657" t="s">
        <v>161</v>
      </c>
      <c r="AD657" t="s">
        <v>125</v>
      </c>
      <c r="AE657" t="str">
        <f>IF(AF657="","",VLOOKUP(AC657,mapel!$A$2:$B$42,2,FALSE))</f>
        <v>TIK</v>
      </c>
      <c r="AF657">
        <f t="shared" si="30"/>
        <v>40</v>
      </c>
      <c r="AG657" t="str">
        <f>IF(AF657="","",IF(AF657&gt;90,"Sangat baik",IF(AF657&gt;79,"Baik",IF(AF657&gt;=pub_gid_0_single_true_output_csv[[#This Row],[KKM]],"Cukup","Kurang"))))</f>
        <v>Kurang</v>
      </c>
      <c r="AH657">
        <f t="shared" si="31"/>
        <v>11</v>
      </c>
      <c r="AI657" s="30" t="str">
        <f>IF(OR(J657&lt;&gt;"Karakter",pub_gid_0_single_true_output_csv[[#This Row],[Nilai2]]=""),"",IF(AF657&gt;89,"Sangat baik",IF(AF657&gt;79,"Baik",IF(AF657&gt;69,"Cukup",IF(AF657&gt;59,"Kurang","Sangat kurang")))))</f>
        <v/>
      </c>
      <c r="AJ657" t="str">
        <f t="shared" si="32"/>
        <v>Wk.3</v>
      </c>
      <c r="AK657" t="str">
        <f>IF(pub_gid_0_single_true_output_csv[[#This Row],[Nilai2]]="","",VLOOKUP(pub_gid_0_single_true_output_csv[[#This Row],[NAMA]],Table7[],3,FALSE))</f>
        <v>Average</v>
      </c>
    </row>
    <row r="658" spans="1:37" x14ac:dyDescent="0.2">
      <c r="A658">
        <v>657</v>
      </c>
      <c r="B658" t="s">
        <v>294</v>
      </c>
      <c r="C658" t="s">
        <v>54</v>
      </c>
      <c r="D658" t="s">
        <v>46</v>
      </c>
      <c r="E658" t="s">
        <v>148</v>
      </c>
      <c r="F658" s="25">
        <v>46037</v>
      </c>
      <c r="G658" t="s">
        <v>356</v>
      </c>
      <c r="H658" t="s">
        <v>405</v>
      </c>
      <c r="I658" t="s">
        <v>371</v>
      </c>
      <c r="J658" t="s">
        <v>31</v>
      </c>
      <c r="K658" t="s">
        <v>158</v>
      </c>
      <c r="L658" t="s">
        <v>319</v>
      </c>
      <c r="M658" t="s">
        <v>141</v>
      </c>
      <c r="N658" t="s">
        <v>142</v>
      </c>
      <c r="O658" t="s">
        <v>155</v>
      </c>
      <c r="P658" t="s">
        <v>281</v>
      </c>
      <c r="Q658" t="s">
        <v>155</v>
      </c>
      <c r="R658" t="s">
        <v>273</v>
      </c>
      <c r="S658" t="s">
        <v>309</v>
      </c>
      <c r="T658">
        <v>1</v>
      </c>
      <c r="U658" t="s">
        <v>422</v>
      </c>
      <c r="V658" t="s">
        <v>285</v>
      </c>
      <c r="W658" t="s">
        <v>423</v>
      </c>
      <c r="X658" t="s">
        <v>306</v>
      </c>
      <c r="Y658" t="s">
        <v>307</v>
      </c>
      <c r="Z658">
        <v>65</v>
      </c>
      <c r="AA658">
        <v>40</v>
      </c>
      <c r="AB658" t="s">
        <v>151</v>
      </c>
      <c r="AC658" t="s">
        <v>161</v>
      </c>
      <c r="AD658" t="s">
        <v>125</v>
      </c>
      <c r="AE658" t="str">
        <f>IF(AF658="","",VLOOKUP(AC658,mapel!$A$2:$B$42,2,FALSE))</f>
        <v>TIK</v>
      </c>
      <c r="AF658">
        <f t="shared" si="30"/>
        <v>40</v>
      </c>
      <c r="AG658" t="str">
        <f>IF(AF658="","",IF(AF658&gt;90,"Sangat baik",IF(AF658&gt;79,"Baik",IF(AF658&gt;=pub_gid_0_single_true_output_csv[[#This Row],[KKM]],"Cukup","Kurang"))))</f>
        <v>Kurang</v>
      </c>
      <c r="AH658">
        <f t="shared" si="31"/>
        <v>11</v>
      </c>
      <c r="AI658" s="30" t="str">
        <f>IF(OR(J658&lt;&gt;"Karakter",pub_gid_0_single_true_output_csv[[#This Row],[Nilai2]]=""),"",IF(AF658&gt;89,"Sangat baik",IF(AF658&gt;79,"Baik",IF(AF658&gt;69,"Cukup",IF(AF658&gt;59,"Kurang","Sangat kurang")))))</f>
        <v/>
      </c>
      <c r="AJ658" t="str">
        <f t="shared" si="32"/>
        <v>Wk.3</v>
      </c>
      <c r="AK658" t="str">
        <f>IF(pub_gid_0_single_true_output_csv[[#This Row],[Nilai2]]="","",VLOOKUP(pub_gid_0_single_true_output_csv[[#This Row],[NAMA]],Table7[],3,FALSE))</f>
        <v>Average</v>
      </c>
    </row>
    <row r="659" spans="1:37" x14ac:dyDescent="0.2">
      <c r="A659">
        <v>658</v>
      </c>
      <c r="B659" t="s">
        <v>294</v>
      </c>
      <c r="C659" t="s">
        <v>54</v>
      </c>
      <c r="D659" t="s">
        <v>46</v>
      </c>
      <c r="E659" t="s">
        <v>148</v>
      </c>
      <c r="F659" s="25">
        <v>46044</v>
      </c>
      <c r="G659" t="s">
        <v>305</v>
      </c>
      <c r="H659" t="s">
        <v>405</v>
      </c>
      <c r="I659" t="s">
        <v>371</v>
      </c>
      <c r="J659" t="s">
        <v>90</v>
      </c>
      <c r="K659" t="s">
        <v>377</v>
      </c>
      <c r="L659" t="s">
        <v>399</v>
      </c>
      <c r="M659" t="s">
        <v>141</v>
      </c>
      <c r="N659" t="s">
        <v>142</v>
      </c>
      <c r="O659" t="s">
        <v>155</v>
      </c>
      <c r="P659" t="s">
        <v>281</v>
      </c>
      <c r="Q659" t="s">
        <v>155</v>
      </c>
      <c r="R659" t="s">
        <v>273</v>
      </c>
      <c r="S659" t="s">
        <v>309</v>
      </c>
      <c r="T659">
        <v>1</v>
      </c>
      <c r="U659" t="s">
        <v>422</v>
      </c>
      <c r="V659" t="s">
        <v>285</v>
      </c>
      <c r="W659" t="s">
        <v>423</v>
      </c>
      <c r="X659" t="s">
        <v>306</v>
      </c>
      <c r="Y659" t="s">
        <v>307</v>
      </c>
      <c r="Z659">
        <v>65</v>
      </c>
      <c r="AA659">
        <v>65</v>
      </c>
      <c r="AB659" t="s">
        <v>143</v>
      </c>
      <c r="AC659" t="s">
        <v>161</v>
      </c>
      <c r="AD659" t="s">
        <v>125</v>
      </c>
      <c r="AE659" t="str">
        <f>IF(AF659="","",VLOOKUP(AC659,mapel!$A$2:$B$42,2,FALSE))</f>
        <v>TIK</v>
      </c>
      <c r="AF659">
        <f t="shared" si="30"/>
        <v>65</v>
      </c>
      <c r="AG659" t="str">
        <f>IF(AF659="","",IF(AF659&gt;90,"Sangat baik",IF(AF659&gt;79,"Baik",IF(AF659&gt;=pub_gid_0_single_true_output_csv[[#This Row],[KKM]],"Cukup","Kurang"))))</f>
        <v>Cukup</v>
      </c>
      <c r="AH659">
        <f t="shared" si="31"/>
        <v>11</v>
      </c>
      <c r="AI659" s="30" t="str">
        <f>IF(OR(J659&lt;&gt;"Karakter",pub_gid_0_single_true_output_csv[[#This Row],[Nilai2]]=""),"",IF(AF659&gt;89,"Sangat baik",IF(AF659&gt;79,"Baik",IF(AF659&gt;69,"Cukup",IF(AF659&gt;59,"Kurang","Sangat kurang")))))</f>
        <v>Kurang</v>
      </c>
      <c r="AJ659" t="str">
        <f t="shared" si="32"/>
        <v>Wk.4</v>
      </c>
      <c r="AK659" t="str">
        <f>IF(pub_gid_0_single_true_output_csv[[#This Row],[Nilai2]]="","",VLOOKUP(pub_gid_0_single_true_output_csv[[#This Row],[NAMA]],Table7[],3,FALSE))</f>
        <v>Average</v>
      </c>
    </row>
    <row r="660" spans="1:37" x14ac:dyDescent="0.2">
      <c r="A660">
        <v>659</v>
      </c>
      <c r="B660" t="s">
        <v>294</v>
      </c>
      <c r="C660" t="s">
        <v>54</v>
      </c>
      <c r="D660" t="s">
        <v>46</v>
      </c>
      <c r="E660" t="s">
        <v>148</v>
      </c>
      <c r="F660" s="25">
        <v>46044</v>
      </c>
      <c r="G660" t="s">
        <v>305</v>
      </c>
      <c r="H660" t="s">
        <v>405</v>
      </c>
      <c r="I660" t="s">
        <v>371</v>
      </c>
      <c r="J660" t="s">
        <v>279</v>
      </c>
      <c r="K660" t="s">
        <v>280</v>
      </c>
      <c r="L660" t="s">
        <v>150</v>
      </c>
      <c r="M660" t="s">
        <v>141</v>
      </c>
      <c r="N660" t="s">
        <v>142</v>
      </c>
      <c r="O660" t="s">
        <v>155</v>
      </c>
      <c r="P660" t="s">
        <v>281</v>
      </c>
      <c r="Q660" t="s">
        <v>155</v>
      </c>
      <c r="R660" t="s">
        <v>273</v>
      </c>
      <c r="S660" t="s">
        <v>309</v>
      </c>
      <c r="T660">
        <v>1</v>
      </c>
      <c r="U660" t="s">
        <v>422</v>
      </c>
      <c r="V660" t="s">
        <v>285</v>
      </c>
      <c r="W660" t="s">
        <v>423</v>
      </c>
      <c r="X660" t="s">
        <v>306</v>
      </c>
      <c r="Y660" t="s">
        <v>307</v>
      </c>
      <c r="Z660">
        <v>65</v>
      </c>
      <c r="AA660">
        <v>50</v>
      </c>
      <c r="AB660" t="s">
        <v>151</v>
      </c>
      <c r="AC660" t="s">
        <v>161</v>
      </c>
      <c r="AD660" t="s">
        <v>125</v>
      </c>
      <c r="AE660" t="str">
        <f>IF(AF660="","",VLOOKUP(AC660,mapel!$A$2:$B$42,2,FALSE))</f>
        <v>TIK</v>
      </c>
      <c r="AF660">
        <f t="shared" si="30"/>
        <v>50</v>
      </c>
      <c r="AG660" t="str">
        <f>IF(AF660="","",IF(AF660&gt;90,"Sangat baik",IF(AF660&gt;79,"Baik",IF(AF660&gt;=pub_gid_0_single_true_output_csv[[#This Row],[KKM]],"Cukup","Kurang"))))</f>
        <v>Kurang</v>
      </c>
      <c r="AH660">
        <f t="shared" si="31"/>
        <v>11</v>
      </c>
      <c r="AI660" s="30" t="str">
        <f>IF(OR(J660&lt;&gt;"Karakter",pub_gid_0_single_true_output_csv[[#This Row],[Nilai2]]=""),"",IF(AF660&gt;89,"Sangat baik",IF(AF660&gt;79,"Baik",IF(AF660&gt;69,"Cukup",IF(AF660&gt;59,"Kurang","Sangat kurang")))))</f>
        <v/>
      </c>
      <c r="AJ660" t="str">
        <f t="shared" si="32"/>
        <v>Wk.4</v>
      </c>
      <c r="AK660" t="str">
        <f>IF(pub_gid_0_single_true_output_csv[[#This Row],[Nilai2]]="","",VLOOKUP(pub_gid_0_single_true_output_csv[[#This Row],[NAMA]],Table7[],3,FALSE))</f>
        <v>Average</v>
      </c>
    </row>
    <row r="661" spans="1:37" x14ac:dyDescent="0.2">
      <c r="A661">
        <v>660</v>
      </c>
      <c r="B661" t="s">
        <v>294</v>
      </c>
      <c r="C661" t="s">
        <v>54</v>
      </c>
      <c r="D661" t="s">
        <v>46</v>
      </c>
      <c r="E661" t="s">
        <v>148</v>
      </c>
      <c r="F661" s="25">
        <v>46044</v>
      </c>
      <c r="G661" t="s">
        <v>305</v>
      </c>
      <c r="H661" t="s">
        <v>405</v>
      </c>
      <c r="I661" t="s">
        <v>371</v>
      </c>
      <c r="J661" t="s">
        <v>41</v>
      </c>
      <c r="K661" t="s">
        <v>157</v>
      </c>
      <c r="L661" t="s">
        <v>150</v>
      </c>
      <c r="M661" t="s">
        <v>141</v>
      </c>
      <c r="N661" t="s">
        <v>142</v>
      </c>
      <c r="O661" t="s">
        <v>155</v>
      </c>
      <c r="P661" t="s">
        <v>281</v>
      </c>
      <c r="Q661" t="s">
        <v>155</v>
      </c>
      <c r="R661" t="s">
        <v>273</v>
      </c>
      <c r="S661" t="s">
        <v>309</v>
      </c>
      <c r="T661">
        <v>1</v>
      </c>
      <c r="U661" t="s">
        <v>422</v>
      </c>
      <c r="V661" t="s">
        <v>285</v>
      </c>
      <c r="W661" t="s">
        <v>423</v>
      </c>
      <c r="X661" t="s">
        <v>306</v>
      </c>
      <c r="Y661" t="s">
        <v>307</v>
      </c>
      <c r="Z661">
        <v>65</v>
      </c>
      <c r="AA661">
        <v>40</v>
      </c>
      <c r="AB661" t="s">
        <v>151</v>
      </c>
      <c r="AC661" t="s">
        <v>161</v>
      </c>
      <c r="AD661" t="s">
        <v>125</v>
      </c>
      <c r="AE661" t="str">
        <f>IF(AF661="","",VLOOKUP(AC661,mapel!$A$2:$B$42,2,FALSE))</f>
        <v>TIK</v>
      </c>
      <c r="AF661">
        <f t="shared" si="30"/>
        <v>40</v>
      </c>
      <c r="AG661" t="str">
        <f>IF(AF661="","",IF(AF661&gt;90,"Sangat baik",IF(AF661&gt;79,"Baik",IF(AF661&gt;=pub_gid_0_single_true_output_csv[[#This Row],[KKM]],"Cukup","Kurang"))))</f>
        <v>Kurang</v>
      </c>
      <c r="AH661">
        <f t="shared" si="31"/>
        <v>11</v>
      </c>
      <c r="AI661" s="30" t="str">
        <f>IF(OR(J661&lt;&gt;"Karakter",pub_gid_0_single_true_output_csv[[#This Row],[Nilai2]]=""),"",IF(AF661&gt;89,"Sangat baik",IF(AF661&gt;79,"Baik",IF(AF661&gt;69,"Cukup",IF(AF661&gt;59,"Kurang","Sangat kurang")))))</f>
        <v/>
      </c>
      <c r="AJ661" t="str">
        <f t="shared" si="32"/>
        <v>Wk.4</v>
      </c>
      <c r="AK661" t="str">
        <f>IF(pub_gid_0_single_true_output_csv[[#This Row],[Nilai2]]="","",VLOOKUP(pub_gid_0_single_true_output_csv[[#This Row],[NAMA]],Table7[],3,FALSE))</f>
        <v>Average</v>
      </c>
    </row>
    <row r="662" spans="1:37" x14ac:dyDescent="0.2">
      <c r="A662">
        <v>661</v>
      </c>
      <c r="B662" t="s">
        <v>294</v>
      </c>
      <c r="C662" t="s">
        <v>54</v>
      </c>
      <c r="D662" t="s">
        <v>46</v>
      </c>
      <c r="E662" t="s">
        <v>148</v>
      </c>
      <c r="F662" s="25">
        <v>46051</v>
      </c>
      <c r="G662" t="s">
        <v>320</v>
      </c>
      <c r="H662" t="s">
        <v>405</v>
      </c>
      <c r="I662" t="s">
        <v>371</v>
      </c>
      <c r="J662" t="s">
        <v>41</v>
      </c>
      <c r="K662" t="s">
        <v>157</v>
      </c>
      <c r="L662" t="s">
        <v>150</v>
      </c>
      <c r="M662" t="s">
        <v>141</v>
      </c>
      <c r="N662" t="s">
        <v>142</v>
      </c>
      <c r="O662" t="s">
        <v>155</v>
      </c>
      <c r="P662" t="s">
        <v>281</v>
      </c>
      <c r="Q662" t="s">
        <v>155</v>
      </c>
      <c r="R662" t="s">
        <v>273</v>
      </c>
      <c r="S662" t="s">
        <v>309</v>
      </c>
      <c r="T662">
        <v>1</v>
      </c>
      <c r="U662" t="s">
        <v>422</v>
      </c>
      <c r="V662" t="s">
        <v>285</v>
      </c>
      <c r="W662" t="s">
        <v>423</v>
      </c>
      <c r="X662" t="s">
        <v>306</v>
      </c>
      <c r="Y662" t="s">
        <v>307</v>
      </c>
      <c r="Z662">
        <v>65</v>
      </c>
      <c r="AA662">
        <v>40</v>
      </c>
      <c r="AB662" t="s">
        <v>151</v>
      </c>
      <c r="AC662" t="s">
        <v>161</v>
      </c>
      <c r="AD662" t="s">
        <v>125</v>
      </c>
      <c r="AE662" t="str">
        <f>IF(AF662="","",VLOOKUP(AC662,mapel!$A$2:$B$42,2,FALSE))</f>
        <v>TIK</v>
      </c>
      <c r="AF662">
        <f t="shared" si="30"/>
        <v>40</v>
      </c>
      <c r="AG662" t="str">
        <f>IF(AF662="","",IF(AF662&gt;90,"Sangat baik",IF(AF662&gt;79,"Baik",IF(AF662&gt;=pub_gid_0_single_true_output_csv[[#This Row],[KKM]],"Cukup","Kurang"))))</f>
        <v>Kurang</v>
      </c>
      <c r="AH662">
        <f t="shared" si="31"/>
        <v>11</v>
      </c>
      <c r="AI662" s="30" t="str">
        <f>IF(OR(J662&lt;&gt;"Karakter",pub_gid_0_single_true_output_csv[[#This Row],[Nilai2]]=""),"",IF(AF662&gt;89,"Sangat baik",IF(AF662&gt;79,"Baik",IF(AF662&gt;69,"Cukup",IF(AF662&gt;59,"Kurang","Sangat kurang")))))</f>
        <v/>
      </c>
      <c r="AJ662" t="str">
        <f t="shared" si="32"/>
        <v>Wk.5</v>
      </c>
      <c r="AK662" t="str">
        <f>IF(pub_gid_0_single_true_output_csv[[#This Row],[Nilai2]]="","",VLOOKUP(pub_gid_0_single_true_output_csv[[#This Row],[NAMA]],Table7[],3,FALSE))</f>
        <v>Average</v>
      </c>
    </row>
    <row r="663" spans="1:37" x14ac:dyDescent="0.2">
      <c r="A663">
        <v>662</v>
      </c>
      <c r="B663" t="s">
        <v>294</v>
      </c>
      <c r="C663" t="s">
        <v>54</v>
      </c>
      <c r="D663" t="s">
        <v>46</v>
      </c>
      <c r="E663" t="s">
        <v>148</v>
      </c>
      <c r="F663" s="25">
        <v>46051</v>
      </c>
      <c r="G663" t="s">
        <v>320</v>
      </c>
      <c r="H663" t="s">
        <v>405</v>
      </c>
      <c r="I663" t="s">
        <v>371</v>
      </c>
      <c r="J663" t="s">
        <v>36</v>
      </c>
      <c r="K663" t="s">
        <v>153</v>
      </c>
      <c r="L663" t="s">
        <v>319</v>
      </c>
      <c r="M663" t="s">
        <v>141</v>
      </c>
      <c r="N663" t="s">
        <v>142</v>
      </c>
      <c r="O663" t="s">
        <v>155</v>
      </c>
      <c r="P663" t="s">
        <v>281</v>
      </c>
      <c r="Q663" t="s">
        <v>155</v>
      </c>
      <c r="R663" t="s">
        <v>273</v>
      </c>
      <c r="S663" t="s">
        <v>309</v>
      </c>
      <c r="T663">
        <v>1</v>
      </c>
      <c r="U663" t="s">
        <v>422</v>
      </c>
      <c r="V663" t="s">
        <v>285</v>
      </c>
      <c r="W663" t="s">
        <v>423</v>
      </c>
      <c r="X663" t="s">
        <v>306</v>
      </c>
      <c r="Y663" t="s">
        <v>307</v>
      </c>
      <c r="Z663">
        <v>65</v>
      </c>
      <c r="AA663">
        <v>40</v>
      </c>
      <c r="AB663" t="s">
        <v>151</v>
      </c>
      <c r="AC663" t="s">
        <v>161</v>
      </c>
      <c r="AD663" t="s">
        <v>125</v>
      </c>
      <c r="AE663" t="str">
        <f>IF(AF663="","",VLOOKUP(AC663,mapel!$A$2:$B$42,2,FALSE))</f>
        <v>TIK</v>
      </c>
      <c r="AF663">
        <f t="shared" si="30"/>
        <v>40</v>
      </c>
      <c r="AG663" t="str">
        <f>IF(AF663="","",IF(AF663&gt;90,"Sangat baik",IF(AF663&gt;79,"Baik",IF(AF663&gt;=pub_gid_0_single_true_output_csv[[#This Row],[KKM]],"Cukup","Kurang"))))</f>
        <v>Kurang</v>
      </c>
      <c r="AH663">
        <f t="shared" si="31"/>
        <v>11</v>
      </c>
      <c r="AI663" s="30" t="str">
        <f>IF(OR(J663&lt;&gt;"Karakter",pub_gid_0_single_true_output_csv[[#This Row],[Nilai2]]=""),"",IF(AF663&gt;89,"Sangat baik",IF(AF663&gt;79,"Baik",IF(AF663&gt;69,"Cukup",IF(AF663&gt;59,"Kurang","Sangat kurang")))))</f>
        <v/>
      </c>
      <c r="AJ663" t="str">
        <f t="shared" si="32"/>
        <v>Wk.5</v>
      </c>
      <c r="AK663" t="str">
        <f>IF(pub_gid_0_single_true_output_csv[[#This Row],[Nilai2]]="","",VLOOKUP(pub_gid_0_single_true_output_csv[[#This Row],[NAMA]],Table7[],3,FALSE))</f>
        <v>Average</v>
      </c>
    </row>
    <row r="664" spans="1:37" x14ac:dyDescent="0.2">
      <c r="A664">
        <v>663</v>
      </c>
      <c r="B664" t="s">
        <v>294</v>
      </c>
      <c r="C664" t="s">
        <v>54</v>
      </c>
      <c r="D664" t="s">
        <v>46</v>
      </c>
      <c r="E664" t="s">
        <v>148</v>
      </c>
      <c r="F664" s="25">
        <v>46065</v>
      </c>
      <c r="G664" t="s">
        <v>354</v>
      </c>
      <c r="H664" t="s">
        <v>412</v>
      </c>
      <c r="I664" t="s">
        <v>371</v>
      </c>
      <c r="J664" t="s">
        <v>41</v>
      </c>
      <c r="K664" t="s">
        <v>157</v>
      </c>
      <c r="L664" t="s">
        <v>150</v>
      </c>
      <c r="M664" t="s">
        <v>141</v>
      </c>
      <c r="N664" t="s">
        <v>142</v>
      </c>
      <c r="O664" t="s">
        <v>155</v>
      </c>
      <c r="P664" t="s">
        <v>281</v>
      </c>
      <c r="Q664" t="s">
        <v>155</v>
      </c>
      <c r="R664" t="s">
        <v>273</v>
      </c>
      <c r="S664" t="s">
        <v>309</v>
      </c>
      <c r="T664">
        <v>1</v>
      </c>
      <c r="U664" t="s">
        <v>422</v>
      </c>
      <c r="V664" t="s">
        <v>285</v>
      </c>
      <c r="W664" t="s">
        <v>423</v>
      </c>
      <c r="X664" t="s">
        <v>306</v>
      </c>
      <c r="Y664" t="s">
        <v>307</v>
      </c>
      <c r="Z664">
        <v>65</v>
      </c>
      <c r="AA664">
        <v>40</v>
      </c>
      <c r="AB664" t="s">
        <v>151</v>
      </c>
      <c r="AC664" t="s">
        <v>161</v>
      </c>
      <c r="AD664" t="s">
        <v>125</v>
      </c>
      <c r="AE664" t="str">
        <f>IF(AF664="","",VLOOKUP(AC664,mapel!$A$2:$B$42,2,FALSE))</f>
        <v>TIK</v>
      </c>
      <c r="AF664">
        <f t="shared" si="30"/>
        <v>40</v>
      </c>
      <c r="AG664" t="str">
        <f>IF(AF664="","",IF(AF664&gt;90,"Sangat baik",IF(AF664&gt;79,"Baik",IF(AF664&gt;=pub_gid_0_single_true_output_csv[[#This Row],[KKM]],"Cukup","Kurang"))))</f>
        <v>Kurang</v>
      </c>
      <c r="AH664">
        <f t="shared" si="31"/>
        <v>11</v>
      </c>
      <c r="AI664" s="30" t="str">
        <f>IF(OR(J664&lt;&gt;"Karakter",pub_gid_0_single_true_output_csv[[#This Row],[Nilai2]]=""),"",IF(AF664&gt;89,"Sangat baik",IF(AF664&gt;79,"Baik",IF(AF664&gt;69,"Cukup",IF(AF664&gt;59,"Kurang","Sangat kurang")))))</f>
        <v/>
      </c>
      <c r="AJ664" t="str">
        <f t="shared" si="32"/>
        <v>Wk.7</v>
      </c>
      <c r="AK664" t="str">
        <f>IF(pub_gid_0_single_true_output_csv[[#This Row],[Nilai2]]="","",VLOOKUP(pub_gid_0_single_true_output_csv[[#This Row],[NAMA]],Table7[],3,FALSE))</f>
        <v>Average</v>
      </c>
    </row>
    <row r="665" spans="1:37" x14ac:dyDescent="0.2">
      <c r="A665">
        <v>664</v>
      </c>
      <c r="B665" t="s">
        <v>294</v>
      </c>
      <c r="C665" t="s">
        <v>54</v>
      </c>
      <c r="D665" t="s">
        <v>46</v>
      </c>
      <c r="E665" t="s">
        <v>148</v>
      </c>
      <c r="F665" s="25">
        <v>46065</v>
      </c>
      <c r="G665" t="s">
        <v>354</v>
      </c>
      <c r="H665" t="s">
        <v>412</v>
      </c>
      <c r="I665" t="s">
        <v>371</v>
      </c>
      <c r="J665" t="s">
        <v>36</v>
      </c>
      <c r="K665" t="s">
        <v>153</v>
      </c>
      <c r="L665" t="s">
        <v>319</v>
      </c>
      <c r="M665" t="s">
        <v>141</v>
      </c>
      <c r="N665" t="s">
        <v>142</v>
      </c>
      <c r="O665" t="s">
        <v>155</v>
      </c>
      <c r="P665" t="s">
        <v>281</v>
      </c>
      <c r="Q665" t="s">
        <v>155</v>
      </c>
      <c r="R665" t="s">
        <v>273</v>
      </c>
      <c r="S665" t="s">
        <v>309</v>
      </c>
      <c r="T665">
        <v>1</v>
      </c>
      <c r="U665" t="s">
        <v>422</v>
      </c>
      <c r="V665" t="s">
        <v>285</v>
      </c>
      <c r="W665" t="s">
        <v>423</v>
      </c>
      <c r="X665" t="s">
        <v>306</v>
      </c>
      <c r="Y665" t="s">
        <v>307</v>
      </c>
      <c r="Z665">
        <v>65</v>
      </c>
      <c r="AA665">
        <v>40</v>
      </c>
      <c r="AB665" t="s">
        <v>151</v>
      </c>
      <c r="AC665" t="s">
        <v>161</v>
      </c>
      <c r="AD665" t="s">
        <v>125</v>
      </c>
      <c r="AE665" t="str">
        <f>IF(AF665="","",VLOOKUP(AC665,mapel!$A$2:$B$42,2,FALSE))</f>
        <v>TIK</v>
      </c>
      <c r="AF665">
        <f t="shared" si="30"/>
        <v>40</v>
      </c>
      <c r="AG665" t="str">
        <f>IF(AF665="","",IF(AF665&gt;90,"Sangat baik",IF(AF665&gt;79,"Baik",IF(AF665&gt;=pub_gid_0_single_true_output_csv[[#This Row],[KKM]],"Cukup","Kurang"))))</f>
        <v>Kurang</v>
      </c>
      <c r="AH665">
        <f t="shared" si="31"/>
        <v>11</v>
      </c>
      <c r="AI665" s="30" t="str">
        <f>IF(OR(J665&lt;&gt;"Karakter",pub_gid_0_single_true_output_csv[[#This Row],[Nilai2]]=""),"",IF(AF665&gt;89,"Sangat baik",IF(AF665&gt;79,"Baik",IF(AF665&gt;69,"Cukup",IF(AF665&gt;59,"Kurang","Sangat kurang")))))</f>
        <v/>
      </c>
      <c r="AJ665" t="str">
        <f t="shared" si="32"/>
        <v>Wk.7</v>
      </c>
      <c r="AK665" t="str">
        <f>IF(pub_gid_0_single_true_output_csv[[#This Row],[Nilai2]]="","",VLOOKUP(pub_gid_0_single_true_output_csv[[#This Row],[NAMA]],Table7[],3,FALSE))</f>
        <v>Average</v>
      </c>
    </row>
    <row r="666" spans="1:37" x14ac:dyDescent="0.2">
      <c r="A666">
        <v>665</v>
      </c>
      <c r="B666" t="s">
        <v>294</v>
      </c>
      <c r="C666" t="s">
        <v>54</v>
      </c>
      <c r="D666" t="s">
        <v>46</v>
      </c>
      <c r="E666" t="s">
        <v>148</v>
      </c>
      <c r="F666" s="25">
        <v>46065</v>
      </c>
      <c r="G666" t="s">
        <v>354</v>
      </c>
      <c r="H666" t="s">
        <v>412</v>
      </c>
      <c r="I666" t="s">
        <v>371</v>
      </c>
      <c r="J666" t="s">
        <v>90</v>
      </c>
      <c r="K666" t="s">
        <v>377</v>
      </c>
      <c r="L666" t="s">
        <v>399</v>
      </c>
      <c r="M666" t="s">
        <v>141</v>
      </c>
      <c r="N666" t="s">
        <v>142</v>
      </c>
      <c r="O666" t="s">
        <v>155</v>
      </c>
      <c r="P666" t="s">
        <v>281</v>
      </c>
      <c r="Q666" t="s">
        <v>155</v>
      </c>
      <c r="R666" t="s">
        <v>273</v>
      </c>
      <c r="S666" t="s">
        <v>309</v>
      </c>
      <c r="T666">
        <v>1</v>
      </c>
      <c r="U666" t="s">
        <v>422</v>
      </c>
      <c r="V666" t="s">
        <v>285</v>
      </c>
      <c r="W666" t="s">
        <v>423</v>
      </c>
      <c r="X666" t="s">
        <v>306</v>
      </c>
      <c r="Y666" t="s">
        <v>307</v>
      </c>
      <c r="Z666">
        <v>65</v>
      </c>
      <c r="AA666">
        <v>65</v>
      </c>
      <c r="AB666" t="s">
        <v>143</v>
      </c>
      <c r="AC666" t="s">
        <v>161</v>
      </c>
      <c r="AD666" t="s">
        <v>125</v>
      </c>
      <c r="AE666" t="str">
        <f>IF(AF666="","",VLOOKUP(AC666,mapel!$A$2:$B$42,2,FALSE))</f>
        <v>TIK</v>
      </c>
      <c r="AF666">
        <f t="shared" si="30"/>
        <v>65</v>
      </c>
      <c r="AG666" t="str">
        <f>IF(AF666="","",IF(AF666&gt;90,"Sangat baik",IF(AF666&gt;79,"Baik",IF(AF666&gt;=pub_gid_0_single_true_output_csv[[#This Row],[KKM]],"Cukup","Kurang"))))</f>
        <v>Cukup</v>
      </c>
      <c r="AH666">
        <f t="shared" si="31"/>
        <v>11</v>
      </c>
      <c r="AI666" s="30" t="str">
        <f>IF(OR(J666&lt;&gt;"Karakter",pub_gid_0_single_true_output_csv[[#This Row],[Nilai2]]=""),"",IF(AF666&gt;89,"Sangat baik",IF(AF666&gt;79,"Baik",IF(AF666&gt;69,"Cukup",IF(AF666&gt;59,"Kurang","Sangat kurang")))))</f>
        <v>Kurang</v>
      </c>
      <c r="AJ666" t="str">
        <f t="shared" si="32"/>
        <v>Wk.7</v>
      </c>
      <c r="AK666" t="str">
        <f>IF(pub_gid_0_single_true_output_csv[[#This Row],[Nilai2]]="","",VLOOKUP(pub_gid_0_single_true_output_csv[[#This Row],[NAMA]],Table7[],3,FALSE))</f>
        <v>Average</v>
      </c>
    </row>
    <row r="667" spans="1:37" x14ac:dyDescent="0.2">
      <c r="A667">
        <v>666</v>
      </c>
      <c r="B667" t="s">
        <v>295</v>
      </c>
      <c r="C667" t="s">
        <v>54</v>
      </c>
      <c r="D667" t="s">
        <v>47</v>
      </c>
      <c r="E667" t="s">
        <v>148</v>
      </c>
      <c r="F667" s="25">
        <v>46037</v>
      </c>
      <c r="G667" t="s">
        <v>356</v>
      </c>
      <c r="H667" t="s">
        <v>405</v>
      </c>
      <c r="I667" t="s">
        <v>371</v>
      </c>
      <c r="J667" t="s">
        <v>36</v>
      </c>
      <c r="K667" t="s">
        <v>153</v>
      </c>
      <c r="L667" t="s">
        <v>319</v>
      </c>
      <c r="M667" t="s">
        <v>141</v>
      </c>
      <c r="N667" t="s">
        <v>142</v>
      </c>
      <c r="O667" t="s">
        <v>155</v>
      </c>
      <c r="P667" t="s">
        <v>281</v>
      </c>
      <c r="Q667" t="s">
        <v>155</v>
      </c>
      <c r="R667" t="s">
        <v>273</v>
      </c>
      <c r="S667" t="s">
        <v>309</v>
      </c>
      <c r="T667">
        <v>1</v>
      </c>
      <c r="U667" t="s">
        <v>422</v>
      </c>
      <c r="V667" t="s">
        <v>285</v>
      </c>
      <c r="W667" t="s">
        <v>423</v>
      </c>
      <c r="X667" t="s">
        <v>306</v>
      </c>
      <c r="Y667" t="s">
        <v>307</v>
      </c>
      <c r="Z667">
        <v>65</v>
      </c>
      <c r="AA667">
        <v>0</v>
      </c>
      <c r="AB667" t="s">
        <v>151</v>
      </c>
      <c r="AC667" t="s">
        <v>161</v>
      </c>
      <c r="AD667" t="s">
        <v>125</v>
      </c>
      <c r="AE667" t="str">
        <f>IF(AF667="","",VLOOKUP(AC667,mapel!$A$2:$B$42,2,FALSE))</f>
        <v/>
      </c>
      <c r="AF667" t="str">
        <f t="shared" si="30"/>
        <v/>
      </c>
      <c r="AG667" t="str">
        <f>IF(AF667="","",IF(AF667&gt;90,"Sangat baik",IF(AF667&gt;79,"Baik",IF(AF667&gt;=pub_gid_0_single_true_output_csv[[#This Row],[KKM]],"Cukup","Kurang"))))</f>
        <v/>
      </c>
      <c r="AH667" t="str">
        <f t="shared" si="31"/>
        <v/>
      </c>
      <c r="AI667" s="30" t="str">
        <f>IF(OR(J667&lt;&gt;"Karakter",pub_gid_0_single_true_output_csv[[#This Row],[Nilai2]]=""),"",IF(AF667&gt;89,"Sangat baik",IF(AF667&gt;79,"Baik",IF(AF667&gt;69,"Cukup",IF(AF667&gt;59,"Kurang","Sangat kurang")))))</f>
        <v/>
      </c>
      <c r="AJ667" t="str">
        <f t="shared" si="32"/>
        <v/>
      </c>
      <c r="AK667" t="str">
        <f>IF(pub_gid_0_single_true_output_csv[[#This Row],[Nilai2]]="","",VLOOKUP(pub_gid_0_single_true_output_csv[[#This Row],[NAMA]],Table7[],3,FALSE))</f>
        <v/>
      </c>
    </row>
    <row r="668" spans="1:37" x14ac:dyDescent="0.2">
      <c r="A668">
        <v>667</v>
      </c>
      <c r="B668" t="s">
        <v>295</v>
      </c>
      <c r="C668" t="s">
        <v>54</v>
      </c>
      <c r="D668" t="s">
        <v>47</v>
      </c>
      <c r="E668" t="s">
        <v>148</v>
      </c>
      <c r="F668" s="25">
        <v>46037</v>
      </c>
      <c r="G668" t="s">
        <v>356</v>
      </c>
      <c r="H668" t="s">
        <v>405</v>
      </c>
      <c r="I668" t="s">
        <v>371</v>
      </c>
      <c r="J668" t="s">
        <v>31</v>
      </c>
      <c r="K668" t="s">
        <v>158</v>
      </c>
      <c r="L668" t="s">
        <v>319</v>
      </c>
      <c r="M668" t="s">
        <v>141</v>
      </c>
      <c r="N668" t="s">
        <v>142</v>
      </c>
      <c r="O668" t="s">
        <v>155</v>
      </c>
      <c r="P668" t="s">
        <v>281</v>
      </c>
      <c r="Q668" t="s">
        <v>155</v>
      </c>
      <c r="R668" t="s">
        <v>273</v>
      </c>
      <c r="S668" t="s">
        <v>309</v>
      </c>
      <c r="T668">
        <v>1</v>
      </c>
      <c r="U668" t="s">
        <v>422</v>
      </c>
      <c r="V668" t="s">
        <v>285</v>
      </c>
      <c r="W668" t="s">
        <v>423</v>
      </c>
      <c r="X668" t="s">
        <v>306</v>
      </c>
      <c r="Y668" t="s">
        <v>307</v>
      </c>
      <c r="Z668">
        <v>65</v>
      </c>
      <c r="AA668">
        <v>0</v>
      </c>
      <c r="AB668" t="s">
        <v>151</v>
      </c>
      <c r="AC668" t="s">
        <v>161</v>
      </c>
      <c r="AD668" t="s">
        <v>125</v>
      </c>
      <c r="AE668" t="str">
        <f>IF(AF668="","",VLOOKUP(AC668,mapel!$A$2:$B$42,2,FALSE))</f>
        <v/>
      </c>
      <c r="AF668" t="str">
        <f t="shared" si="30"/>
        <v/>
      </c>
      <c r="AG668" t="str">
        <f>IF(AF668="","",IF(AF668&gt;90,"Sangat baik",IF(AF668&gt;79,"Baik",IF(AF668&gt;=pub_gid_0_single_true_output_csv[[#This Row],[KKM]],"Cukup","Kurang"))))</f>
        <v/>
      </c>
      <c r="AH668" t="str">
        <f t="shared" si="31"/>
        <v/>
      </c>
      <c r="AI668" s="30" t="str">
        <f>IF(OR(J668&lt;&gt;"Karakter",pub_gid_0_single_true_output_csv[[#This Row],[Nilai2]]=""),"",IF(AF668&gt;89,"Sangat baik",IF(AF668&gt;79,"Baik",IF(AF668&gt;69,"Cukup",IF(AF668&gt;59,"Kurang","Sangat kurang")))))</f>
        <v/>
      </c>
      <c r="AJ668" t="str">
        <f t="shared" si="32"/>
        <v/>
      </c>
      <c r="AK668" t="str">
        <f>IF(pub_gid_0_single_true_output_csv[[#This Row],[Nilai2]]="","",VLOOKUP(pub_gid_0_single_true_output_csv[[#This Row],[NAMA]],Table7[],3,FALSE))</f>
        <v/>
      </c>
    </row>
    <row r="669" spans="1:37" x14ac:dyDescent="0.2">
      <c r="A669">
        <v>668</v>
      </c>
      <c r="B669" t="s">
        <v>295</v>
      </c>
      <c r="C669" t="s">
        <v>54</v>
      </c>
      <c r="D669" t="s">
        <v>47</v>
      </c>
      <c r="E669" t="s">
        <v>148</v>
      </c>
      <c r="F669" s="25">
        <v>46044</v>
      </c>
      <c r="G669" t="s">
        <v>305</v>
      </c>
      <c r="H669" t="s">
        <v>405</v>
      </c>
      <c r="I669" t="s">
        <v>371</v>
      </c>
      <c r="J669" t="s">
        <v>90</v>
      </c>
      <c r="K669" t="s">
        <v>377</v>
      </c>
      <c r="L669" t="s">
        <v>399</v>
      </c>
      <c r="M669" t="s">
        <v>141</v>
      </c>
      <c r="N669" t="s">
        <v>142</v>
      </c>
      <c r="O669" t="s">
        <v>155</v>
      </c>
      <c r="P669" t="s">
        <v>281</v>
      </c>
      <c r="Q669" t="s">
        <v>155</v>
      </c>
      <c r="R669" t="s">
        <v>273</v>
      </c>
      <c r="S669" t="s">
        <v>309</v>
      </c>
      <c r="T669">
        <v>1</v>
      </c>
      <c r="U669" t="s">
        <v>422</v>
      </c>
      <c r="V669" t="s">
        <v>285</v>
      </c>
      <c r="W669" t="s">
        <v>423</v>
      </c>
      <c r="X669" t="s">
        <v>306</v>
      </c>
      <c r="Y669" t="s">
        <v>307</v>
      </c>
      <c r="Z669">
        <v>65</v>
      </c>
      <c r="AA669">
        <v>0</v>
      </c>
      <c r="AB669" t="s">
        <v>151</v>
      </c>
      <c r="AC669" t="s">
        <v>161</v>
      </c>
      <c r="AD669" t="s">
        <v>125</v>
      </c>
      <c r="AE669" t="str">
        <f>IF(AF669="","",VLOOKUP(AC669,mapel!$A$2:$B$42,2,FALSE))</f>
        <v/>
      </c>
      <c r="AF669" t="str">
        <f t="shared" si="30"/>
        <v/>
      </c>
      <c r="AG669" t="str">
        <f>IF(AF669="","",IF(AF669&gt;90,"Sangat baik",IF(AF669&gt;79,"Baik",IF(AF669&gt;=pub_gid_0_single_true_output_csv[[#This Row],[KKM]],"Cukup","Kurang"))))</f>
        <v/>
      </c>
      <c r="AH669" t="str">
        <f t="shared" si="31"/>
        <v/>
      </c>
      <c r="AI669" s="30" t="str">
        <f>IF(OR(J669&lt;&gt;"Karakter",pub_gid_0_single_true_output_csv[[#This Row],[Nilai2]]=""),"",IF(AF669&gt;89,"Sangat baik",IF(AF669&gt;79,"Baik",IF(AF669&gt;69,"Cukup",IF(AF669&gt;59,"Kurang","Sangat kurang")))))</f>
        <v/>
      </c>
      <c r="AJ669" t="str">
        <f t="shared" si="32"/>
        <v/>
      </c>
      <c r="AK669" t="str">
        <f>IF(pub_gid_0_single_true_output_csv[[#This Row],[Nilai2]]="","",VLOOKUP(pub_gid_0_single_true_output_csv[[#This Row],[NAMA]],Table7[],3,FALSE))</f>
        <v/>
      </c>
    </row>
    <row r="670" spans="1:37" x14ac:dyDescent="0.2">
      <c r="A670">
        <v>669</v>
      </c>
      <c r="B670" t="s">
        <v>295</v>
      </c>
      <c r="C670" t="s">
        <v>54</v>
      </c>
      <c r="D670" t="s">
        <v>47</v>
      </c>
      <c r="E670" t="s">
        <v>148</v>
      </c>
      <c r="F670" s="25">
        <v>46044</v>
      </c>
      <c r="G670" t="s">
        <v>305</v>
      </c>
      <c r="H670" t="s">
        <v>405</v>
      </c>
      <c r="I670" t="s">
        <v>371</v>
      </c>
      <c r="J670" t="s">
        <v>279</v>
      </c>
      <c r="K670" t="s">
        <v>280</v>
      </c>
      <c r="L670" t="s">
        <v>150</v>
      </c>
      <c r="M670" t="s">
        <v>141</v>
      </c>
      <c r="N670" t="s">
        <v>142</v>
      </c>
      <c r="O670" t="s">
        <v>155</v>
      </c>
      <c r="P670" t="s">
        <v>281</v>
      </c>
      <c r="Q670" t="s">
        <v>155</v>
      </c>
      <c r="R670" t="s">
        <v>273</v>
      </c>
      <c r="S670" t="s">
        <v>309</v>
      </c>
      <c r="T670">
        <v>1</v>
      </c>
      <c r="U670" t="s">
        <v>422</v>
      </c>
      <c r="V670" t="s">
        <v>285</v>
      </c>
      <c r="W670" t="s">
        <v>423</v>
      </c>
      <c r="X670" t="s">
        <v>306</v>
      </c>
      <c r="Y670" t="s">
        <v>307</v>
      </c>
      <c r="Z670">
        <v>65</v>
      </c>
      <c r="AA670">
        <v>0</v>
      </c>
      <c r="AB670" t="s">
        <v>151</v>
      </c>
      <c r="AC670" t="s">
        <v>161</v>
      </c>
      <c r="AD670" t="s">
        <v>125</v>
      </c>
      <c r="AE670" t="str">
        <f>IF(AF670="","",VLOOKUP(AC670,mapel!$A$2:$B$42,2,FALSE))</f>
        <v/>
      </c>
      <c r="AF670" t="str">
        <f t="shared" si="30"/>
        <v/>
      </c>
      <c r="AG670" t="str">
        <f>IF(AF670="","",IF(AF670&gt;90,"Sangat baik",IF(AF670&gt;79,"Baik",IF(AF670&gt;=pub_gid_0_single_true_output_csv[[#This Row],[KKM]],"Cukup","Kurang"))))</f>
        <v/>
      </c>
      <c r="AH670" t="str">
        <f t="shared" si="31"/>
        <v/>
      </c>
      <c r="AI670" s="30" t="str">
        <f>IF(OR(J670&lt;&gt;"Karakter",pub_gid_0_single_true_output_csv[[#This Row],[Nilai2]]=""),"",IF(AF670&gt;89,"Sangat baik",IF(AF670&gt;79,"Baik",IF(AF670&gt;69,"Cukup",IF(AF670&gt;59,"Kurang","Sangat kurang")))))</f>
        <v/>
      </c>
      <c r="AJ670" t="str">
        <f t="shared" si="32"/>
        <v/>
      </c>
      <c r="AK670" t="str">
        <f>IF(pub_gid_0_single_true_output_csv[[#This Row],[Nilai2]]="","",VLOOKUP(pub_gid_0_single_true_output_csv[[#This Row],[NAMA]],Table7[],3,FALSE))</f>
        <v/>
      </c>
    </row>
    <row r="671" spans="1:37" x14ac:dyDescent="0.2">
      <c r="A671">
        <v>670</v>
      </c>
      <c r="B671" t="s">
        <v>295</v>
      </c>
      <c r="C671" t="s">
        <v>54</v>
      </c>
      <c r="D671" t="s">
        <v>47</v>
      </c>
      <c r="E671" t="s">
        <v>148</v>
      </c>
      <c r="F671" s="25">
        <v>46044</v>
      </c>
      <c r="G671" t="s">
        <v>305</v>
      </c>
      <c r="H671" t="s">
        <v>405</v>
      </c>
      <c r="I671" t="s">
        <v>371</v>
      </c>
      <c r="J671" t="s">
        <v>41</v>
      </c>
      <c r="K671" t="s">
        <v>157</v>
      </c>
      <c r="L671" t="s">
        <v>150</v>
      </c>
      <c r="M671" t="s">
        <v>141</v>
      </c>
      <c r="N671" t="s">
        <v>142</v>
      </c>
      <c r="O671" t="s">
        <v>155</v>
      </c>
      <c r="P671" t="s">
        <v>281</v>
      </c>
      <c r="Q671" t="s">
        <v>155</v>
      </c>
      <c r="R671" t="s">
        <v>273</v>
      </c>
      <c r="S671" t="s">
        <v>309</v>
      </c>
      <c r="T671">
        <v>1</v>
      </c>
      <c r="U671" t="s">
        <v>422</v>
      </c>
      <c r="V671" t="s">
        <v>285</v>
      </c>
      <c r="W671" t="s">
        <v>423</v>
      </c>
      <c r="X671" t="s">
        <v>306</v>
      </c>
      <c r="Y671" t="s">
        <v>307</v>
      </c>
      <c r="Z671">
        <v>65</v>
      </c>
      <c r="AA671">
        <v>0</v>
      </c>
      <c r="AB671" t="s">
        <v>151</v>
      </c>
      <c r="AC671" t="s">
        <v>161</v>
      </c>
      <c r="AD671" t="s">
        <v>125</v>
      </c>
      <c r="AE671" t="str">
        <f>IF(AF671="","",VLOOKUP(AC671,mapel!$A$2:$B$42,2,FALSE))</f>
        <v/>
      </c>
      <c r="AF671" t="str">
        <f t="shared" si="30"/>
        <v/>
      </c>
      <c r="AG671" t="str">
        <f>IF(AF671="","",IF(AF671&gt;90,"Sangat baik",IF(AF671&gt;79,"Baik",IF(AF671&gt;=pub_gid_0_single_true_output_csv[[#This Row],[KKM]],"Cukup","Kurang"))))</f>
        <v/>
      </c>
      <c r="AH671" t="str">
        <f t="shared" si="31"/>
        <v/>
      </c>
      <c r="AI671" s="30" t="str">
        <f>IF(OR(J671&lt;&gt;"Karakter",pub_gid_0_single_true_output_csv[[#This Row],[Nilai2]]=""),"",IF(AF671&gt;89,"Sangat baik",IF(AF671&gt;79,"Baik",IF(AF671&gt;69,"Cukup",IF(AF671&gt;59,"Kurang","Sangat kurang")))))</f>
        <v/>
      </c>
      <c r="AJ671" t="str">
        <f t="shared" si="32"/>
        <v/>
      </c>
      <c r="AK671" t="str">
        <f>IF(pub_gid_0_single_true_output_csv[[#This Row],[Nilai2]]="","",VLOOKUP(pub_gid_0_single_true_output_csv[[#This Row],[NAMA]],Table7[],3,FALSE))</f>
        <v/>
      </c>
    </row>
    <row r="672" spans="1:37" x14ac:dyDescent="0.2">
      <c r="A672">
        <v>671</v>
      </c>
      <c r="B672" t="s">
        <v>295</v>
      </c>
      <c r="C672" t="s">
        <v>54</v>
      </c>
      <c r="D672" t="s">
        <v>47</v>
      </c>
      <c r="E672" t="s">
        <v>148</v>
      </c>
      <c r="F672" s="25">
        <v>46051</v>
      </c>
      <c r="G672" t="s">
        <v>320</v>
      </c>
      <c r="H672" t="s">
        <v>405</v>
      </c>
      <c r="I672" t="s">
        <v>371</v>
      </c>
      <c r="J672" t="s">
        <v>41</v>
      </c>
      <c r="K672" t="s">
        <v>157</v>
      </c>
      <c r="L672" t="s">
        <v>150</v>
      </c>
      <c r="M672" t="s">
        <v>141</v>
      </c>
      <c r="N672" t="s">
        <v>142</v>
      </c>
      <c r="O672" t="s">
        <v>155</v>
      </c>
      <c r="P672" t="s">
        <v>281</v>
      </c>
      <c r="Q672" t="s">
        <v>155</v>
      </c>
      <c r="R672" t="s">
        <v>273</v>
      </c>
      <c r="S672" t="s">
        <v>309</v>
      </c>
      <c r="T672">
        <v>1</v>
      </c>
      <c r="U672" t="s">
        <v>422</v>
      </c>
      <c r="V672" t="s">
        <v>285</v>
      </c>
      <c r="W672" t="s">
        <v>423</v>
      </c>
      <c r="X672" t="s">
        <v>306</v>
      </c>
      <c r="Y672" t="s">
        <v>307</v>
      </c>
      <c r="Z672">
        <v>65</v>
      </c>
      <c r="AA672">
        <v>40</v>
      </c>
      <c r="AB672" t="s">
        <v>151</v>
      </c>
      <c r="AC672" t="s">
        <v>161</v>
      </c>
      <c r="AD672" t="s">
        <v>125</v>
      </c>
      <c r="AE672" t="str">
        <f>IF(AF672="","",VLOOKUP(AC672,mapel!$A$2:$B$42,2,FALSE))</f>
        <v>TIK</v>
      </c>
      <c r="AF672">
        <f t="shared" si="30"/>
        <v>40</v>
      </c>
      <c r="AG672" t="str">
        <f>IF(AF672="","",IF(AF672&gt;90,"Sangat baik",IF(AF672&gt;79,"Baik",IF(AF672&gt;=pub_gid_0_single_true_output_csv[[#This Row],[KKM]],"Cukup","Kurang"))))</f>
        <v>Kurang</v>
      </c>
      <c r="AH672">
        <f t="shared" si="31"/>
        <v>11</v>
      </c>
      <c r="AI672" s="30" t="str">
        <f>IF(OR(J672&lt;&gt;"Karakter",pub_gid_0_single_true_output_csv[[#This Row],[Nilai2]]=""),"",IF(AF672&gt;89,"Sangat baik",IF(AF672&gt;79,"Baik",IF(AF672&gt;69,"Cukup",IF(AF672&gt;59,"Kurang","Sangat kurang")))))</f>
        <v/>
      </c>
      <c r="AJ672" t="str">
        <f t="shared" si="32"/>
        <v>Wk.5</v>
      </c>
      <c r="AK672" t="str">
        <f>IF(pub_gid_0_single_true_output_csv[[#This Row],[Nilai2]]="","",VLOOKUP(pub_gid_0_single_true_output_csv[[#This Row],[NAMA]],Table7[],3,FALSE))</f>
        <v>Low average</v>
      </c>
    </row>
    <row r="673" spans="1:37" x14ac:dyDescent="0.2">
      <c r="A673">
        <v>672</v>
      </c>
      <c r="B673" t="s">
        <v>295</v>
      </c>
      <c r="C673" t="s">
        <v>54</v>
      </c>
      <c r="D673" t="s">
        <v>47</v>
      </c>
      <c r="E673" t="s">
        <v>148</v>
      </c>
      <c r="F673" s="25">
        <v>46051</v>
      </c>
      <c r="G673" t="s">
        <v>320</v>
      </c>
      <c r="H673" t="s">
        <v>405</v>
      </c>
      <c r="I673" t="s">
        <v>371</v>
      </c>
      <c r="J673" t="s">
        <v>36</v>
      </c>
      <c r="K673" t="s">
        <v>153</v>
      </c>
      <c r="L673" t="s">
        <v>319</v>
      </c>
      <c r="M673" t="s">
        <v>141</v>
      </c>
      <c r="N673" t="s">
        <v>142</v>
      </c>
      <c r="O673" t="s">
        <v>155</v>
      </c>
      <c r="P673" t="s">
        <v>281</v>
      </c>
      <c r="Q673" t="s">
        <v>155</v>
      </c>
      <c r="R673" t="s">
        <v>273</v>
      </c>
      <c r="S673" t="s">
        <v>309</v>
      </c>
      <c r="T673">
        <v>1</v>
      </c>
      <c r="U673" t="s">
        <v>422</v>
      </c>
      <c r="V673" t="s">
        <v>285</v>
      </c>
      <c r="W673" t="s">
        <v>423</v>
      </c>
      <c r="X673" t="s">
        <v>306</v>
      </c>
      <c r="Y673" t="s">
        <v>307</v>
      </c>
      <c r="Z673">
        <v>65</v>
      </c>
      <c r="AA673">
        <v>40</v>
      </c>
      <c r="AB673" t="s">
        <v>151</v>
      </c>
      <c r="AC673" t="s">
        <v>161</v>
      </c>
      <c r="AD673" t="s">
        <v>125</v>
      </c>
      <c r="AE673" t="str">
        <f>IF(AF673="","",VLOOKUP(AC673,mapel!$A$2:$B$42,2,FALSE))</f>
        <v>TIK</v>
      </c>
      <c r="AF673">
        <f t="shared" si="30"/>
        <v>40</v>
      </c>
      <c r="AG673" t="str">
        <f>IF(AF673="","",IF(AF673&gt;90,"Sangat baik",IF(AF673&gt;79,"Baik",IF(AF673&gt;=pub_gid_0_single_true_output_csv[[#This Row],[KKM]],"Cukup","Kurang"))))</f>
        <v>Kurang</v>
      </c>
      <c r="AH673">
        <f t="shared" si="31"/>
        <v>11</v>
      </c>
      <c r="AI673" s="30" t="str">
        <f>IF(OR(J673&lt;&gt;"Karakter",pub_gid_0_single_true_output_csv[[#This Row],[Nilai2]]=""),"",IF(AF673&gt;89,"Sangat baik",IF(AF673&gt;79,"Baik",IF(AF673&gt;69,"Cukup",IF(AF673&gt;59,"Kurang","Sangat kurang")))))</f>
        <v/>
      </c>
      <c r="AJ673" t="str">
        <f t="shared" si="32"/>
        <v>Wk.5</v>
      </c>
      <c r="AK673" t="str">
        <f>IF(pub_gid_0_single_true_output_csv[[#This Row],[Nilai2]]="","",VLOOKUP(pub_gid_0_single_true_output_csv[[#This Row],[NAMA]],Table7[],3,FALSE))</f>
        <v>Low average</v>
      </c>
    </row>
    <row r="674" spans="1:37" x14ac:dyDescent="0.2">
      <c r="A674">
        <v>673</v>
      </c>
      <c r="B674" t="s">
        <v>295</v>
      </c>
      <c r="C674" t="s">
        <v>54</v>
      </c>
      <c r="D674" t="s">
        <v>47</v>
      </c>
      <c r="E674" t="s">
        <v>148</v>
      </c>
      <c r="F674" s="25">
        <v>46065</v>
      </c>
      <c r="G674" t="s">
        <v>354</v>
      </c>
      <c r="H674" t="s">
        <v>412</v>
      </c>
      <c r="I674" t="s">
        <v>371</v>
      </c>
      <c r="J674" t="s">
        <v>41</v>
      </c>
      <c r="K674" t="s">
        <v>157</v>
      </c>
      <c r="L674" t="s">
        <v>150</v>
      </c>
      <c r="M674" t="s">
        <v>141</v>
      </c>
      <c r="N674" t="s">
        <v>142</v>
      </c>
      <c r="O674" t="s">
        <v>155</v>
      </c>
      <c r="P674" t="s">
        <v>281</v>
      </c>
      <c r="Q674" t="s">
        <v>155</v>
      </c>
      <c r="R674" t="s">
        <v>273</v>
      </c>
      <c r="S674" t="s">
        <v>309</v>
      </c>
      <c r="T674">
        <v>1</v>
      </c>
      <c r="U674" t="s">
        <v>422</v>
      </c>
      <c r="V674" t="s">
        <v>285</v>
      </c>
      <c r="W674" t="s">
        <v>423</v>
      </c>
      <c r="X674" t="s">
        <v>306</v>
      </c>
      <c r="Y674" t="s">
        <v>307</v>
      </c>
      <c r="Z674">
        <v>65</v>
      </c>
      <c r="AA674">
        <v>40</v>
      </c>
      <c r="AB674" t="s">
        <v>151</v>
      </c>
      <c r="AC674" t="s">
        <v>161</v>
      </c>
      <c r="AD674" t="s">
        <v>125</v>
      </c>
      <c r="AE674" t="str">
        <f>IF(AF674="","",VLOOKUP(AC674,mapel!$A$2:$B$42,2,FALSE))</f>
        <v>TIK</v>
      </c>
      <c r="AF674">
        <f t="shared" si="30"/>
        <v>40</v>
      </c>
      <c r="AG674" t="str">
        <f>IF(AF674="","",IF(AF674&gt;90,"Sangat baik",IF(AF674&gt;79,"Baik",IF(AF674&gt;=pub_gid_0_single_true_output_csv[[#This Row],[KKM]],"Cukup","Kurang"))))</f>
        <v>Kurang</v>
      </c>
      <c r="AH674">
        <f t="shared" si="31"/>
        <v>11</v>
      </c>
      <c r="AI674" s="30" t="str">
        <f>IF(OR(J674&lt;&gt;"Karakter",pub_gid_0_single_true_output_csv[[#This Row],[Nilai2]]=""),"",IF(AF674&gt;89,"Sangat baik",IF(AF674&gt;79,"Baik",IF(AF674&gt;69,"Cukup",IF(AF674&gt;59,"Kurang","Sangat kurang")))))</f>
        <v/>
      </c>
      <c r="AJ674" t="str">
        <f t="shared" si="32"/>
        <v>Wk.7</v>
      </c>
      <c r="AK674" t="str">
        <f>IF(pub_gid_0_single_true_output_csv[[#This Row],[Nilai2]]="","",VLOOKUP(pub_gid_0_single_true_output_csv[[#This Row],[NAMA]],Table7[],3,FALSE))</f>
        <v>Low average</v>
      </c>
    </row>
    <row r="675" spans="1:37" x14ac:dyDescent="0.2">
      <c r="A675">
        <v>674</v>
      </c>
      <c r="B675" t="s">
        <v>295</v>
      </c>
      <c r="C675" t="s">
        <v>54</v>
      </c>
      <c r="D675" t="s">
        <v>47</v>
      </c>
      <c r="E675" t="s">
        <v>148</v>
      </c>
      <c r="F675" s="25">
        <v>46065</v>
      </c>
      <c r="G675" t="s">
        <v>354</v>
      </c>
      <c r="H675" t="s">
        <v>412</v>
      </c>
      <c r="I675" t="s">
        <v>371</v>
      </c>
      <c r="J675" t="s">
        <v>36</v>
      </c>
      <c r="K675" t="s">
        <v>153</v>
      </c>
      <c r="L675" t="s">
        <v>319</v>
      </c>
      <c r="M675" t="s">
        <v>141</v>
      </c>
      <c r="N675" t="s">
        <v>142</v>
      </c>
      <c r="O675" t="s">
        <v>155</v>
      </c>
      <c r="P675" t="s">
        <v>281</v>
      </c>
      <c r="Q675" t="s">
        <v>155</v>
      </c>
      <c r="R675" t="s">
        <v>273</v>
      </c>
      <c r="S675" t="s">
        <v>309</v>
      </c>
      <c r="T675">
        <v>1</v>
      </c>
      <c r="U675" t="s">
        <v>422</v>
      </c>
      <c r="V675" t="s">
        <v>285</v>
      </c>
      <c r="W675" t="s">
        <v>423</v>
      </c>
      <c r="X675" t="s">
        <v>306</v>
      </c>
      <c r="Y675" t="s">
        <v>307</v>
      </c>
      <c r="Z675">
        <v>65</v>
      </c>
      <c r="AA675">
        <v>40</v>
      </c>
      <c r="AB675" t="s">
        <v>151</v>
      </c>
      <c r="AC675" t="s">
        <v>161</v>
      </c>
      <c r="AD675" t="s">
        <v>125</v>
      </c>
      <c r="AE675" t="str">
        <f>IF(AF675="","",VLOOKUP(AC675,mapel!$A$2:$B$42,2,FALSE))</f>
        <v>TIK</v>
      </c>
      <c r="AF675">
        <f t="shared" si="30"/>
        <v>40</v>
      </c>
      <c r="AG675" t="str">
        <f>IF(AF675="","",IF(AF675&gt;90,"Sangat baik",IF(AF675&gt;79,"Baik",IF(AF675&gt;=pub_gid_0_single_true_output_csv[[#This Row],[KKM]],"Cukup","Kurang"))))</f>
        <v>Kurang</v>
      </c>
      <c r="AH675">
        <f t="shared" si="31"/>
        <v>11</v>
      </c>
      <c r="AI675" s="30" t="str">
        <f>IF(OR(J675&lt;&gt;"Karakter",pub_gid_0_single_true_output_csv[[#This Row],[Nilai2]]=""),"",IF(AF675&gt;89,"Sangat baik",IF(AF675&gt;79,"Baik",IF(AF675&gt;69,"Cukup",IF(AF675&gt;59,"Kurang","Sangat kurang")))))</f>
        <v/>
      </c>
      <c r="AJ675" t="str">
        <f t="shared" si="32"/>
        <v>Wk.7</v>
      </c>
      <c r="AK675" t="str">
        <f>IF(pub_gid_0_single_true_output_csv[[#This Row],[Nilai2]]="","",VLOOKUP(pub_gid_0_single_true_output_csv[[#This Row],[NAMA]],Table7[],3,FALSE))</f>
        <v>Low average</v>
      </c>
    </row>
    <row r="676" spans="1:37" x14ac:dyDescent="0.2">
      <c r="A676">
        <v>675</v>
      </c>
      <c r="B676" t="s">
        <v>295</v>
      </c>
      <c r="C676" t="s">
        <v>54</v>
      </c>
      <c r="D676" t="s">
        <v>47</v>
      </c>
      <c r="E676" t="s">
        <v>148</v>
      </c>
      <c r="F676" s="25">
        <v>46065</v>
      </c>
      <c r="G676" t="s">
        <v>354</v>
      </c>
      <c r="H676" t="s">
        <v>412</v>
      </c>
      <c r="I676" t="s">
        <v>371</v>
      </c>
      <c r="J676" t="s">
        <v>90</v>
      </c>
      <c r="K676" t="s">
        <v>377</v>
      </c>
      <c r="L676" t="s">
        <v>399</v>
      </c>
      <c r="M676" t="s">
        <v>141</v>
      </c>
      <c r="N676" t="s">
        <v>142</v>
      </c>
      <c r="O676" t="s">
        <v>155</v>
      </c>
      <c r="P676" t="s">
        <v>281</v>
      </c>
      <c r="Q676" t="s">
        <v>155</v>
      </c>
      <c r="R676" t="s">
        <v>273</v>
      </c>
      <c r="S676" t="s">
        <v>309</v>
      </c>
      <c r="T676">
        <v>1</v>
      </c>
      <c r="U676" t="s">
        <v>422</v>
      </c>
      <c r="V676" t="s">
        <v>285</v>
      </c>
      <c r="W676" t="s">
        <v>423</v>
      </c>
      <c r="X676" t="s">
        <v>306</v>
      </c>
      <c r="Y676" t="s">
        <v>307</v>
      </c>
      <c r="Z676">
        <v>65</v>
      </c>
      <c r="AA676">
        <v>65</v>
      </c>
      <c r="AB676" t="s">
        <v>143</v>
      </c>
      <c r="AC676" t="s">
        <v>161</v>
      </c>
      <c r="AD676" t="s">
        <v>125</v>
      </c>
      <c r="AE676" t="str">
        <f>IF(AF676="","",VLOOKUP(AC676,mapel!$A$2:$B$42,2,FALSE))</f>
        <v>TIK</v>
      </c>
      <c r="AF676">
        <f t="shared" si="30"/>
        <v>65</v>
      </c>
      <c r="AG676" t="str">
        <f>IF(AF676="","",IF(AF676&gt;90,"Sangat baik",IF(AF676&gt;79,"Baik",IF(AF676&gt;=pub_gid_0_single_true_output_csv[[#This Row],[KKM]],"Cukup","Kurang"))))</f>
        <v>Cukup</v>
      </c>
      <c r="AH676">
        <f t="shared" si="31"/>
        <v>11</v>
      </c>
      <c r="AI676" s="30" t="str">
        <f>IF(OR(J676&lt;&gt;"Karakter",pub_gid_0_single_true_output_csv[[#This Row],[Nilai2]]=""),"",IF(AF676&gt;89,"Sangat baik",IF(AF676&gt;79,"Baik",IF(AF676&gt;69,"Cukup",IF(AF676&gt;59,"Kurang","Sangat kurang")))))</f>
        <v>Kurang</v>
      </c>
      <c r="AJ676" t="str">
        <f t="shared" si="32"/>
        <v>Wk.7</v>
      </c>
      <c r="AK676" t="str">
        <f>IF(pub_gid_0_single_true_output_csv[[#This Row],[Nilai2]]="","",VLOOKUP(pub_gid_0_single_true_output_csv[[#This Row],[NAMA]],Table7[],3,FALSE))</f>
        <v>Low average</v>
      </c>
    </row>
    <row r="677" spans="1:37" x14ac:dyDescent="0.2">
      <c r="A677">
        <v>676</v>
      </c>
      <c r="B677" t="s">
        <v>296</v>
      </c>
      <c r="C677" t="s">
        <v>54</v>
      </c>
      <c r="D677" t="s">
        <v>48</v>
      </c>
      <c r="E677" t="s">
        <v>140</v>
      </c>
      <c r="F677" s="25">
        <v>46037</v>
      </c>
      <c r="G677" t="s">
        <v>356</v>
      </c>
      <c r="H677" t="s">
        <v>405</v>
      </c>
      <c r="I677" t="s">
        <v>371</v>
      </c>
      <c r="J677" t="s">
        <v>36</v>
      </c>
      <c r="K677" t="s">
        <v>153</v>
      </c>
      <c r="L677" t="s">
        <v>319</v>
      </c>
      <c r="M677" t="s">
        <v>141</v>
      </c>
      <c r="N677" t="s">
        <v>142</v>
      </c>
      <c r="O677" t="s">
        <v>155</v>
      </c>
      <c r="P677" t="s">
        <v>281</v>
      </c>
      <c r="Q677" t="s">
        <v>155</v>
      </c>
      <c r="R677" t="s">
        <v>273</v>
      </c>
      <c r="S677" t="s">
        <v>309</v>
      </c>
      <c r="T677">
        <v>1</v>
      </c>
      <c r="U677" t="s">
        <v>422</v>
      </c>
      <c r="V677" t="s">
        <v>285</v>
      </c>
      <c r="W677" t="s">
        <v>423</v>
      </c>
      <c r="X677" t="s">
        <v>306</v>
      </c>
      <c r="Y677" t="s">
        <v>307</v>
      </c>
      <c r="Z677">
        <v>65</v>
      </c>
      <c r="AA677">
        <v>60</v>
      </c>
      <c r="AB677" t="s">
        <v>151</v>
      </c>
      <c r="AC677" t="s">
        <v>161</v>
      </c>
      <c r="AD677" t="s">
        <v>125</v>
      </c>
      <c r="AE677" t="str">
        <f>IF(AF677="","",VLOOKUP(AC677,mapel!$A$2:$B$42,2,FALSE))</f>
        <v>TIK</v>
      </c>
      <c r="AF677">
        <f t="shared" si="30"/>
        <v>60</v>
      </c>
      <c r="AG677" t="str">
        <f>IF(AF677="","",IF(AF677&gt;90,"Sangat baik",IF(AF677&gt;79,"Baik",IF(AF677&gt;=pub_gid_0_single_true_output_csv[[#This Row],[KKM]],"Cukup","Kurang"))))</f>
        <v>Kurang</v>
      </c>
      <c r="AH677">
        <f t="shared" si="31"/>
        <v>11</v>
      </c>
      <c r="AI677" s="30" t="str">
        <f>IF(OR(J677&lt;&gt;"Karakter",pub_gid_0_single_true_output_csv[[#This Row],[Nilai2]]=""),"",IF(AF677&gt;89,"Sangat baik",IF(AF677&gt;79,"Baik",IF(AF677&gt;69,"Cukup",IF(AF677&gt;59,"Kurang","Sangat kurang")))))</f>
        <v/>
      </c>
      <c r="AJ677" t="str">
        <f t="shared" si="32"/>
        <v>Wk.3</v>
      </c>
      <c r="AK677" t="str">
        <f>IF(pub_gid_0_single_true_output_csv[[#This Row],[Nilai2]]="","",VLOOKUP(pub_gid_0_single_true_output_csv[[#This Row],[NAMA]],Table7[],3,FALSE))</f>
        <v>Average</v>
      </c>
    </row>
    <row r="678" spans="1:37" x14ac:dyDescent="0.2">
      <c r="A678">
        <v>677</v>
      </c>
      <c r="B678" t="s">
        <v>296</v>
      </c>
      <c r="C678" t="s">
        <v>54</v>
      </c>
      <c r="D678" t="s">
        <v>48</v>
      </c>
      <c r="E678" t="s">
        <v>140</v>
      </c>
      <c r="F678" s="25">
        <v>46037</v>
      </c>
      <c r="G678" t="s">
        <v>356</v>
      </c>
      <c r="H678" t="s">
        <v>405</v>
      </c>
      <c r="I678" t="s">
        <v>371</v>
      </c>
      <c r="J678" t="s">
        <v>31</v>
      </c>
      <c r="K678" t="s">
        <v>158</v>
      </c>
      <c r="L678" t="s">
        <v>319</v>
      </c>
      <c r="M678" t="s">
        <v>141</v>
      </c>
      <c r="N678" t="s">
        <v>142</v>
      </c>
      <c r="O678" t="s">
        <v>155</v>
      </c>
      <c r="P678" t="s">
        <v>281</v>
      </c>
      <c r="Q678" t="s">
        <v>155</v>
      </c>
      <c r="R678" t="s">
        <v>273</v>
      </c>
      <c r="S678" t="s">
        <v>309</v>
      </c>
      <c r="T678">
        <v>1</v>
      </c>
      <c r="U678" t="s">
        <v>422</v>
      </c>
      <c r="V678" t="s">
        <v>285</v>
      </c>
      <c r="W678" t="s">
        <v>423</v>
      </c>
      <c r="X678" t="s">
        <v>306</v>
      </c>
      <c r="Y678" t="s">
        <v>307</v>
      </c>
      <c r="Z678">
        <v>65</v>
      </c>
      <c r="AA678">
        <v>60</v>
      </c>
      <c r="AB678" t="s">
        <v>151</v>
      </c>
      <c r="AC678" t="s">
        <v>161</v>
      </c>
      <c r="AD678" t="s">
        <v>125</v>
      </c>
      <c r="AE678" t="str">
        <f>IF(AF678="","",VLOOKUP(AC678,mapel!$A$2:$B$42,2,FALSE))</f>
        <v>TIK</v>
      </c>
      <c r="AF678">
        <f t="shared" si="30"/>
        <v>60</v>
      </c>
      <c r="AG678" t="str">
        <f>IF(AF678="","",IF(AF678&gt;90,"Sangat baik",IF(AF678&gt;79,"Baik",IF(AF678&gt;=pub_gid_0_single_true_output_csv[[#This Row],[KKM]],"Cukup","Kurang"))))</f>
        <v>Kurang</v>
      </c>
      <c r="AH678">
        <f t="shared" si="31"/>
        <v>11</v>
      </c>
      <c r="AI678" s="30" t="str">
        <f>IF(OR(J678&lt;&gt;"Karakter",pub_gid_0_single_true_output_csv[[#This Row],[Nilai2]]=""),"",IF(AF678&gt;89,"Sangat baik",IF(AF678&gt;79,"Baik",IF(AF678&gt;69,"Cukup",IF(AF678&gt;59,"Kurang","Sangat kurang")))))</f>
        <v/>
      </c>
      <c r="AJ678" t="str">
        <f t="shared" si="32"/>
        <v>Wk.3</v>
      </c>
      <c r="AK678" t="str">
        <f>IF(pub_gid_0_single_true_output_csv[[#This Row],[Nilai2]]="","",VLOOKUP(pub_gid_0_single_true_output_csv[[#This Row],[NAMA]],Table7[],3,FALSE))</f>
        <v>Average</v>
      </c>
    </row>
    <row r="679" spans="1:37" x14ac:dyDescent="0.2">
      <c r="A679">
        <v>678</v>
      </c>
      <c r="B679" t="s">
        <v>296</v>
      </c>
      <c r="C679" t="s">
        <v>54</v>
      </c>
      <c r="D679" t="s">
        <v>48</v>
      </c>
      <c r="E679" t="s">
        <v>140</v>
      </c>
      <c r="F679" s="25">
        <v>46044</v>
      </c>
      <c r="G679" t="s">
        <v>305</v>
      </c>
      <c r="H679" t="s">
        <v>405</v>
      </c>
      <c r="I679" t="s">
        <v>371</v>
      </c>
      <c r="J679" t="s">
        <v>90</v>
      </c>
      <c r="K679" t="s">
        <v>377</v>
      </c>
      <c r="L679" t="s">
        <v>399</v>
      </c>
      <c r="M679" t="s">
        <v>141</v>
      </c>
      <c r="N679" t="s">
        <v>142</v>
      </c>
      <c r="O679" t="s">
        <v>155</v>
      </c>
      <c r="P679" t="s">
        <v>281</v>
      </c>
      <c r="Q679" t="s">
        <v>155</v>
      </c>
      <c r="R679" t="s">
        <v>273</v>
      </c>
      <c r="S679" t="s">
        <v>309</v>
      </c>
      <c r="T679">
        <v>1</v>
      </c>
      <c r="U679" t="s">
        <v>422</v>
      </c>
      <c r="V679" t="s">
        <v>285</v>
      </c>
      <c r="W679" t="s">
        <v>423</v>
      </c>
      <c r="X679" t="s">
        <v>306</v>
      </c>
      <c r="Y679" t="s">
        <v>307</v>
      </c>
      <c r="Z679">
        <v>65</v>
      </c>
      <c r="AA679">
        <v>65</v>
      </c>
      <c r="AB679" t="s">
        <v>143</v>
      </c>
      <c r="AC679" t="s">
        <v>161</v>
      </c>
      <c r="AD679" t="s">
        <v>125</v>
      </c>
      <c r="AE679" t="str">
        <f>IF(AF679="","",VLOOKUP(AC679,mapel!$A$2:$B$42,2,FALSE))</f>
        <v>TIK</v>
      </c>
      <c r="AF679">
        <f t="shared" si="30"/>
        <v>65</v>
      </c>
      <c r="AG679" t="str">
        <f>IF(AF679="","",IF(AF679&gt;90,"Sangat baik",IF(AF679&gt;79,"Baik",IF(AF679&gt;=pub_gid_0_single_true_output_csv[[#This Row],[KKM]],"Cukup","Kurang"))))</f>
        <v>Cukup</v>
      </c>
      <c r="AH679">
        <f t="shared" si="31"/>
        <v>11</v>
      </c>
      <c r="AI679" s="30" t="str">
        <f>IF(OR(J679&lt;&gt;"Karakter",pub_gid_0_single_true_output_csv[[#This Row],[Nilai2]]=""),"",IF(AF679&gt;89,"Sangat baik",IF(AF679&gt;79,"Baik",IF(AF679&gt;69,"Cukup",IF(AF679&gt;59,"Kurang","Sangat kurang")))))</f>
        <v>Kurang</v>
      </c>
      <c r="AJ679" t="str">
        <f t="shared" si="32"/>
        <v>Wk.4</v>
      </c>
      <c r="AK679" t="str">
        <f>IF(pub_gid_0_single_true_output_csv[[#This Row],[Nilai2]]="","",VLOOKUP(pub_gid_0_single_true_output_csv[[#This Row],[NAMA]],Table7[],3,FALSE))</f>
        <v>Average</v>
      </c>
    </row>
    <row r="680" spans="1:37" x14ac:dyDescent="0.2">
      <c r="A680">
        <v>679</v>
      </c>
      <c r="B680" t="s">
        <v>296</v>
      </c>
      <c r="C680" t="s">
        <v>54</v>
      </c>
      <c r="D680" t="s">
        <v>48</v>
      </c>
      <c r="E680" t="s">
        <v>140</v>
      </c>
      <c r="F680" s="25">
        <v>46044</v>
      </c>
      <c r="G680" t="s">
        <v>305</v>
      </c>
      <c r="H680" t="s">
        <v>405</v>
      </c>
      <c r="I680" t="s">
        <v>371</v>
      </c>
      <c r="J680" t="s">
        <v>279</v>
      </c>
      <c r="K680" t="s">
        <v>280</v>
      </c>
      <c r="L680" t="s">
        <v>150</v>
      </c>
      <c r="M680" t="s">
        <v>141</v>
      </c>
      <c r="N680" t="s">
        <v>142</v>
      </c>
      <c r="O680" t="s">
        <v>155</v>
      </c>
      <c r="P680" t="s">
        <v>281</v>
      </c>
      <c r="Q680" t="s">
        <v>155</v>
      </c>
      <c r="R680" t="s">
        <v>273</v>
      </c>
      <c r="S680" t="s">
        <v>309</v>
      </c>
      <c r="T680">
        <v>1</v>
      </c>
      <c r="U680" t="s">
        <v>422</v>
      </c>
      <c r="V680" t="s">
        <v>285</v>
      </c>
      <c r="W680" t="s">
        <v>423</v>
      </c>
      <c r="X680" t="s">
        <v>306</v>
      </c>
      <c r="Y680" t="s">
        <v>307</v>
      </c>
      <c r="Z680">
        <v>65</v>
      </c>
      <c r="AA680">
        <v>65</v>
      </c>
      <c r="AB680" t="s">
        <v>143</v>
      </c>
      <c r="AC680" t="s">
        <v>161</v>
      </c>
      <c r="AD680" t="s">
        <v>125</v>
      </c>
      <c r="AE680" t="str">
        <f>IF(AF680="","",VLOOKUP(AC680,mapel!$A$2:$B$42,2,FALSE))</f>
        <v>TIK</v>
      </c>
      <c r="AF680">
        <f t="shared" si="30"/>
        <v>65</v>
      </c>
      <c r="AG680" t="str">
        <f>IF(AF680="","",IF(AF680&gt;90,"Sangat baik",IF(AF680&gt;79,"Baik",IF(AF680&gt;=pub_gid_0_single_true_output_csv[[#This Row],[KKM]],"Cukup","Kurang"))))</f>
        <v>Cukup</v>
      </c>
      <c r="AH680">
        <f t="shared" si="31"/>
        <v>11</v>
      </c>
      <c r="AI680" s="30" t="str">
        <f>IF(OR(J680&lt;&gt;"Karakter",pub_gid_0_single_true_output_csv[[#This Row],[Nilai2]]=""),"",IF(AF680&gt;89,"Sangat baik",IF(AF680&gt;79,"Baik",IF(AF680&gt;69,"Cukup",IF(AF680&gt;59,"Kurang","Sangat kurang")))))</f>
        <v/>
      </c>
      <c r="AJ680" t="str">
        <f t="shared" si="32"/>
        <v>Wk.4</v>
      </c>
      <c r="AK680" t="str">
        <f>IF(pub_gid_0_single_true_output_csv[[#This Row],[Nilai2]]="","",VLOOKUP(pub_gid_0_single_true_output_csv[[#This Row],[NAMA]],Table7[],3,FALSE))</f>
        <v>Average</v>
      </c>
    </row>
    <row r="681" spans="1:37" x14ac:dyDescent="0.2">
      <c r="A681">
        <v>680</v>
      </c>
      <c r="B681" t="s">
        <v>296</v>
      </c>
      <c r="C681" t="s">
        <v>54</v>
      </c>
      <c r="D681" t="s">
        <v>48</v>
      </c>
      <c r="E681" t="s">
        <v>140</v>
      </c>
      <c r="F681" s="25">
        <v>46044</v>
      </c>
      <c r="G681" t="s">
        <v>305</v>
      </c>
      <c r="H681" t="s">
        <v>405</v>
      </c>
      <c r="I681" t="s">
        <v>371</v>
      </c>
      <c r="J681" t="s">
        <v>41</v>
      </c>
      <c r="K681" t="s">
        <v>157</v>
      </c>
      <c r="L681" t="s">
        <v>150</v>
      </c>
      <c r="M681" t="s">
        <v>141</v>
      </c>
      <c r="N681" t="s">
        <v>142</v>
      </c>
      <c r="O681" t="s">
        <v>155</v>
      </c>
      <c r="P681" t="s">
        <v>281</v>
      </c>
      <c r="Q681" t="s">
        <v>155</v>
      </c>
      <c r="R681" t="s">
        <v>273</v>
      </c>
      <c r="S681" t="s">
        <v>309</v>
      </c>
      <c r="T681">
        <v>1</v>
      </c>
      <c r="U681" t="s">
        <v>422</v>
      </c>
      <c r="V681" t="s">
        <v>285</v>
      </c>
      <c r="W681" t="s">
        <v>423</v>
      </c>
      <c r="X681" t="s">
        <v>306</v>
      </c>
      <c r="Y681" t="s">
        <v>307</v>
      </c>
      <c r="Z681">
        <v>65</v>
      </c>
      <c r="AA681">
        <v>60</v>
      </c>
      <c r="AB681" t="s">
        <v>151</v>
      </c>
      <c r="AC681" t="s">
        <v>161</v>
      </c>
      <c r="AD681" t="s">
        <v>125</v>
      </c>
      <c r="AE681" t="str">
        <f>IF(AF681="","",VLOOKUP(AC681,mapel!$A$2:$B$42,2,FALSE))</f>
        <v>TIK</v>
      </c>
      <c r="AF681">
        <f t="shared" si="30"/>
        <v>60</v>
      </c>
      <c r="AG681" t="str">
        <f>IF(AF681="","",IF(AF681&gt;90,"Sangat baik",IF(AF681&gt;79,"Baik",IF(AF681&gt;=pub_gid_0_single_true_output_csv[[#This Row],[KKM]],"Cukup","Kurang"))))</f>
        <v>Kurang</v>
      </c>
      <c r="AH681">
        <f t="shared" si="31"/>
        <v>11</v>
      </c>
      <c r="AI681" s="30" t="str">
        <f>IF(OR(J681&lt;&gt;"Karakter",pub_gid_0_single_true_output_csv[[#This Row],[Nilai2]]=""),"",IF(AF681&gt;89,"Sangat baik",IF(AF681&gt;79,"Baik",IF(AF681&gt;69,"Cukup",IF(AF681&gt;59,"Kurang","Sangat kurang")))))</f>
        <v/>
      </c>
      <c r="AJ681" t="str">
        <f t="shared" si="32"/>
        <v>Wk.4</v>
      </c>
      <c r="AK681" t="str">
        <f>IF(pub_gid_0_single_true_output_csv[[#This Row],[Nilai2]]="","",VLOOKUP(pub_gid_0_single_true_output_csv[[#This Row],[NAMA]],Table7[],3,FALSE))</f>
        <v>Average</v>
      </c>
    </row>
    <row r="682" spans="1:37" x14ac:dyDescent="0.2">
      <c r="A682">
        <v>681</v>
      </c>
      <c r="B682" t="s">
        <v>296</v>
      </c>
      <c r="C682" t="s">
        <v>54</v>
      </c>
      <c r="D682" t="s">
        <v>48</v>
      </c>
      <c r="E682" t="s">
        <v>140</v>
      </c>
      <c r="F682" s="25">
        <v>46051</v>
      </c>
      <c r="G682" t="s">
        <v>320</v>
      </c>
      <c r="H682" t="s">
        <v>405</v>
      </c>
      <c r="I682" t="s">
        <v>371</v>
      </c>
      <c r="J682" t="s">
        <v>41</v>
      </c>
      <c r="K682" t="s">
        <v>157</v>
      </c>
      <c r="L682" t="s">
        <v>150</v>
      </c>
      <c r="M682" t="s">
        <v>141</v>
      </c>
      <c r="N682" t="s">
        <v>142</v>
      </c>
      <c r="O682" t="s">
        <v>155</v>
      </c>
      <c r="P682" t="s">
        <v>281</v>
      </c>
      <c r="Q682" t="s">
        <v>155</v>
      </c>
      <c r="R682" t="s">
        <v>273</v>
      </c>
      <c r="S682" t="s">
        <v>309</v>
      </c>
      <c r="T682">
        <v>1</v>
      </c>
      <c r="U682" t="s">
        <v>422</v>
      </c>
      <c r="V682" t="s">
        <v>285</v>
      </c>
      <c r="W682" t="s">
        <v>423</v>
      </c>
      <c r="X682" t="s">
        <v>306</v>
      </c>
      <c r="Y682" t="s">
        <v>307</v>
      </c>
      <c r="Z682">
        <v>65</v>
      </c>
      <c r="AA682">
        <v>0</v>
      </c>
      <c r="AB682" t="s">
        <v>151</v>
      </c>
      <c r="AC682" t="s">
        <v>161</v>
      </c>
      <c r="AD682" t="s">
        <v>125</v>
      </c>
      <c r="AE682" t="str">
        <f>IF(AF682="","",VLOOKUP(AC682,mapel!$A$2:$B$42,2,FALSE))</f>
        <v/>
      </c>
      <c r="AF682" t="str">
        <f t="shared" si="30"/>
        <v/>
      </c>
      <c r="AG682" t="str">
        <f>IF(AF682="","",IF(AF682&gt;90,"Sangat baik",IF(AF682&gt;79,"Baik",IF(AF682&gt;=pub_gid_0_single_true_output_csv[[#This Row],[KKM]],"Cukup","Kurang"))))</f>
        <v/>
      </c>
      <c r="AH682" t="str">
        <f t="shared" si="31"/>
        <v/>
      </c>
      <c r="AI682" s="30" t="str">
        <f>IF(OR(J682&lt;&gt;"Karakter",pub_gid_0_single_true_output_csv[[#This Row],[Nilai2]]=""),"",IF(AF682&gt;89,"Sangat baik",IF(AF682&gt;79,"Baik",IF(AF682&gt;69,"Cukup",IF(AF682&gt;59,"Kurang","Sangat kurang")))))</f>
        <v/>
      </c>
      <c r="AJ682" t="str">
        <f t="shared" si="32"/>
        <v/>
      </c>
      <c r="AK682" t="str">
        <f>IF(pub_gid_0_single_true_output_csv[[#This Row],[Nilai2]]="","",VLOOKUP(pub_gid_0_single_true_output_csv[[#This Row],[NAMA]],Table7[],3,FALSE))</f>
        <v/>
      </c>
    </row>
    <row r="683" spans="1:37" x14ac:dyDescent="0.2">
      <c r="A683">
        <v>682</v>
      </c>
      <c r="B683" t="s">
        <v>296</v>
      </c>
      <c r="C683" t="s">
        <v>54</v>
      </c>
      <c r="D683" t="s">
        <v>48</v>
      </c>
      <c r="E683" t="s">
        <v>140</v>
      </c>
      <c r="F683" s="25">
        <v>46051</v>
      </c>
      <c r="G683" t="s">
        <v>320</v>
      </c>
      <c r="H683" t="s">
        <v>405</v>
      </c>
      <c r="I683" t="s">
        <v>371</v>
      </c>
      <c r="J683" t="s">
        <v>36</v>
      </c>
      <c r="K683" t="s">
        <v>153</v>
      </c>
      <c r="L683" t="s">
        <v>319</v>
      </c>
      <c r="M683" t="s">
        <v>141</v>
      </c>
      <c r="N683" t="s">
        <v>142</v>
      </c>
      <c r="O683" t="s">
        <v>155</v>
      </c>
      <c r="P683" t="s">
        <v>281</v>
      </c>
      <c r="Q683" t="s">
        <v>155</v>
      </c>
      <c r="R683" t="s">
        <v>273</v>
      </c>
      <c r="S683" t="s">
        <v>309</v>
      </c>
      <c r="T683">
        <v>1</v>
      </c>
      <c r="U683" t="s">
        <v>422</v>
      </c>
      <c r="V683" t="s">
        <v>285</v>
      </c>
      <c r="W683" t="s">
        <v>423</v>
      </c>
      <c r="X683" t="s">
        <v>306</v>
      </c>
      <c r="Y683" t="s">
        <v>307</v>
      </c>
      <c r="Z683">
        <v>65</v>
      </c>
      <c r="AA683">
        <v>0</v>
      </c>
      <c r="AB683" t="s">
        <v>151</v>
      </c>
      <c r="AC683" t="s">
        <v>161</v>
      </c>
      <c r="AD683" t="s">
        <v>125</v>
      </c>
      <c r="AE683" t="str">
        <f>IF(AF683="","",VLOOKUP(AC683,mapel!$A$2:$B$42,2,FALSE))</f>
        <v/>
      </c>
      <c r="AF683" t="str">
        <f t="shared" si="30"/>
        <v/>
      </c>
      <c r="AG683" t="str">
        <f>IF(AF683="","",IF(AF683&gt;90,"Sangat baik",IF(AF683&gt;79,"Baik",IF(AF683&gt;=pub_gid_0_single_true_output_csv[[#This Row],[KKM]],"Cukup","Kurang"))))</f>
        <v/>
      </c>
      <c r="AH683" t="str">
        <f t="shared" si="31"/>
        <v/>
      </c>
      <c r="AI683" s="30" t="str">
        <f>IF(OR(J683&lt;&gt;"Karakter",pub_gid_0_single_true_output_csv[[#This Row],[Nilai2]]=""),"",IF(AF683&gt;89,"Sangat baik",IF(AF683&gt;79,"Baik",IF(AF683&gt;69,"Cukup",IF(AF683&gt;59,"Kurang","Sangat kurang")))))</f>
        <v/>
      </c>
      <c r="AJ683" t="str">
        <f t="shared" si="32"/>
        <v/>
      </c>
      <c r="AK683" t="str">
        <f>IF(pub_gid_0_single_true_output_csv[[#This Row],[Nilai2]]="","",VLOOKUP(pub_gid_0_single_true_output_csv[[#This Row],[NAMA]],Table7[],3,FALSE))</f>
        <v/>
      </c>
    </row>
    <row r="684" spans="1:37" x14ac:dyDescent="0.2">
      <c r="A684">
        <v>683</v>
      </c>
      <c r="B684" t="s">
        <v>296</v>
      </c>
      <c r="C684" t="s">
        <v>54</v>
      </c>
      <c r="D684" t="s">
        <v>48</v>
      </c>
      <c r="E684" t="s">
        <v>140</v>
      </c>
      <c r="F684" s="25">
        <v>46065</v>
      </c>
      <c r="G684" t="s">
        <v>354</v>
      </c>
      <c r="H684" t="s">
        <v>412</v>
      </c>
      <c r="I684" t="s">
        <v>371</v>
      </c>
      <c r="J684" t="s">
        <v>41</v>
      </c>
      <c r="K684" t="s">
        <v>157</v>
      </c>
      <c r="L684" t="s">
        <v>150</v>
      </c>
      <c r="M684" t="s">
        <v>141</v>
      </c>
      <c r="N684" t="s">
        <v>142</v>
      </c>
      <c r="O684" t="s">
        <v>155</v>
      </c>
      <c r="P684" t="s">
        <v>281</v>
      </c>
      <c r="Q684" t="s">
        <v>155</v>
      </c>
      <c r="R684" t="s">
        <v>273</v>
      </c>
      <c r="S684" t="s">
        <v>309</v>
      </c>
      <c r="T684">
        <v>1</v>
      </c>
      <c r="U684" t="s">
        <v>422</v>
      </c>
      <c r="V684" t="s">
        <v>285</v>
      </c>
      <c r="W684" t="s">
        <v>423</v>
      </c>
      <c r="X684" t="s">
        <v>306</v>
      </c>
      <c r="Y684" t="s">
        <v>307</v>
      </c>
      <c r="Z684">
        <v>65</v>
      </c>
      <c r="AA684">
        <v>55</v>
      </c>
      <c r="AB684" t="s">
        <v>151</v>
      </c>
      <c r="AC684" t="s">
        <v>161</v>
      </c>
      <c r="AD684" t="s">
        <v>125</v>
      </c>
      <c r="AE684" t="str">
        <f>IF(AF684="","",VLOOKUP(AC684,mapel!$A$2:$B$42,2,FALSE))</f>
        <v>TIK</v>
      </c>
      <c r="AF684">
        <f t="shared" si="30"/>
        <v>55</v>
      </c>
      <c r="AG684" t="str">
        <f>IF(AF684="","",IF(AF684&gt;90,"Sangat baik",IF(AF684&gt;79,"Baik",IF(AF684&gt;=pub_gid_0_single_true_output_csv[[#This Row],[KKM]],"Cukup","Kurang"))))</f>
        <v>Kurang</v>
      </c>
      <c r="AH684">
        <f t="shared" si="31"/>
        <v>11</v>
      </c>
      <c r="AI684" s="30" t="str">
        <f>IF(OR(J684&lt;&gt;"Karakter",pub_gid_0_single_true_output_csv[[#This Row],[Nilai2]]=""),"",IF(AF684&gt;89,"Sangat baik",IF(AF684&gt;79,"Baik",IF(AF684&gt;69,"Cukup",IF(AF684&gt;59,"Kurang","Sangat kurang")))))</f>
        <v/>
      </c>
      <c r="AJ684" t="str">
        <f t="shared" si="32"/>
        <v>Wk.7</v>
      </c>
      <c r="AK684" t="str">
        <f>IF(pub_gid_0_single_true_output_csv[[#This Row],[Nilai2]]="","",VLOOKUP(pub_gid_0_single_true_output_csv[[#This Row],[NAMA]],Table7[],3,FALSE))</f>
        <v>Average</v>
      </c>
    </row>
    <row r="685" spans="1:37" x14ac:dyDescent="0.2">
      <c r="A685">
        <v>684</v>
      </c>
      <c r="B685" t="s">
        <v>296</v>
      </c>
      <c r="C685" t="s">
        <v>54</v>
      </c>
      <c r="D685" t="s">
        <v>48</v>
      </c>
      <c r="E685" t="s">
        <v>140</v>
      </c>
      <c r="F685" s="25">
        <v>46065</v>
      </c>
      <c r="G685" t="s">
        <v>354</v>
      </c>
      <c r="H685" t="s">
        <v>412</v>
      </c>
      <c r="I685" t="s">
        <v>371</v>
      </c>
      <c r="J685" t="s">
        <v>36</v>
      </c>
      <c r="K685" t="s">
        <v>153</v>
      </c>
      <c r="L685" t="s">
        <v>319</v>
      </c>
      <c r="M685" t="s">
        <v>141</v>
      </c>
      <c r="N685" t="s">
        <v>142</v>
      </c>
      <c r="O685" t="s">
        <v>155</v>
      </c>
      <c r="P685" t="s">
        <v>281</v>
      </c>
      <c r="Q685" t="s">
        <v>155</v>
      </c>
      <c r="R685" t="s">
        <v>273</v>
      </c>
      <c r="S685" t="s">
        <v>309</v>
      </c>
      <c r="T685">
        <v>1</v>
      </c>
      <c r="U685" t="s">
        <v>422</v>
      </c>
      <c r="V685" t="s">
        <v>285</v>
      </c>
      <c r="W685" t="s">
        <v>423</v>
      </c>
      <c r="X685" t="s">
        <v>306</v>
      </c>
      <c r="Y685" t="s">
        <v>307</v>
      </c>
      <c r="Z685">
        <v>65</v>
      </c>
      <c r="AA685">
        <v>50</v>
      </c>
      <c r="AB685" t="s">
        <v>151</v>
      </c>
      <c r="AC685" t="s">
        <v>161</v>
      </c>
      <c r="AD685" t="s">
        <v>125</v>
      </c>
      <c r="AE685" t="str">
        <f>IF(AF685="","",VLOOKUP(AC685,mapel!$A$2:$B$42,2,FALSE))</f>
        <v>TIK</v>
      </c>
      <c r="AF685">
        <f t="shared" si="30"/>
        <v>50</v>
      </c>
      <c r="AG685" t="str">
        <f>IF(AF685="","",IF(AF685&gt;90,"Sangat baik",IF(AF685&gt;79,"Baik",IF(AF685&gt;=pub_gid_0_single_true_output_csv[[#This Row],[KKM]],"Cukup","Kurang"))))</f>
        <v>Kurang</v>
      </c>
      <c r="AH685">
        <f t="shared" si="31"/>
        <v>11</v>
      </c>
      <c r="AI685" s="30" t="str">
        <f>IF(OR(J685&lt;&gt;"Karakter",pub_gid_0_single_true_output_csv[[#This Row],[Nilai2]]=""),"",IF(AF685&gt;89,"Sangat baik",IF(AF685&gt;79,"Baik",IF(AF685&gt;69,"Cukup",IF(AF685&gt;59,"Kurang","Sangat kurang")))))</f>
        <v/>
      </c>
      <c r="AJ685" t="str">
        <f t="shared" si="32"/>
        <v>Wk.7</v>
      </c>
      <c r="AK685" t="str">
        <f>IF(pub_gid_0_single_true_output_csv[[#This Row],[Nilai2]]="","",VLOOKUP(pub_gid_0_single_true_output_csv[[#This Row],[NAMA]],Table7[],3,FALSE))</f>
        <v>Average</v>
      </c>
    </row>
    <row r="686" spans="1:37" x14ac:dyDescent="0.2">
      <c r="A686">
        <v>685</v>
      </c>
      <c r="B686" t="s">
        <v>296</v>
      </c>
      <c r="C686" t="s">
        <v>54</v>
      </c>
      <c r="D686" t="s">
        <v>48</v>
      </c>
      <c r="E686" t="s">
        <v>140</v>
      </c>
      <c r="F686" s="25">
        <v>46065</v>
      </c>
      <c r="G686" t="s">
        <v>354</v>
      </c>
      <c r="H686" t="s">
        <v>412</v>
      </c>
      <c r="I686" t="s">
        <v>371</v>
      </c>
      <c r="J686" t="s">
        <v>90</v>
      </c>
      <c r="K686" t="s">
        <v>377</v>
      </c>
      <c r="L686" t="s">
        <v>399</v>
      </c>
      <c r="M686" t="s">
        <v>141</v>
      </c>
      <c r="N686" t="s">
        <v>142</v>
      </c>
      <c r="O686" t="s">
        <v>155</v>
      </c>
      <c r="P686" t="s">
        <v>281</v>
      </c>
      <c r="Q686" t="s">
        <v>155</v>
      </c>
      <c r="R686" t="s">
        <v>273</v>
      </c>
      <c r="S686" t="s">
        <v>309</v>
      </c>
      <c r="T686">
        <v>1</v>
      </c>
      <c r="U686" t="s">
        <v>422</v>
      </c>
      <c r="V686" t="s">
        <v>285</v>
      </c>
      <c r="W686" t="s">
        <v>423</v>
      </c>
      <c r="X686" t="s">
        <v>306</v>
      </c>
      <c r="Y686" t="s">
        <v>307</v>
      </c>
      <c r="Z686">
        <v>65</v>
      </c>
      <c r="AA686">
        <v>75</v>
      </c>
      <c r="AB686" t="s">
        <v>143</v>
      </c>
      <c r="AC686" t="s">
        <v>161</v>
      </c>
      <c r="AD686" t="s">
        <v>125</v>
      </c>
      <c r="AE686" t="str">
        <f>IF(AF686="","",VLOOKUP(AC686,mapel!$A$2:$B$42,2,FALSE))</f>
        <v>TIK</v>
      </c>
      <c r="AF686">
        <f t="shared" si="30"/>
        <v>75</v>
      </c>
      <c r="AG686" t="str">
        <f>IF(AF686="","",IF(AF686&gt;90,"Sangat baik",IF(AF686&gt;79,"Baik",IF(AF686&gt;=pub_gid_0_single_true_output_csv[[#This Row],[KKM]],"Cukup","Kurang"))))</f>
        <v>Cukup</v>
      </c>
      <c r="AH686">
        <f t="shared" si="31"/>
        <v>11</v>
      </c>
      <c r="AI686" s="30" t="str">
        <f>IF(OR(J686&lt;&gt;"Karakter",pub_gid_0_single_true_output_csv[[#This Row],[Nilai2]]=""),"",IF(AF686&gt;89,"Sangat baik",IF(AF686&gt;79,"Baik",IF(AF686&gt;69,"Cukup",IF(AF686&gt;59,"Kurang","Sangat kurang")))))</f>
        <v>Cukup</v>
      </c>
      <c r="AJ686" t="str">
        <f t="shared" si="32"/>
        <v>Wk.7</v>
      </c>
      <c r="AK686" t="str">
        <f>IF(pub_gid_0_single_true_output_csv[[#This Row],[Nilai2]]="","",VLOOKUP(pub_gid_0_single_true_output_csv[[#This Row],[NAMA]],Table7[],3,FALSE))</f>
        <v>Average</v>
      </c>
    </row>
    <row r="687" spans="1:37" x14ac:dyDescent="0.2">
      <c r="A687">
        <v>686</v>
      </c>
      <c r="B687" t="s">
        <v>289</v>
      </c>
      <c r="C687" t="s">
        <v>54</v>
      </c>
      <c r="D687" t="s">
        <v>39</v>
      </c>
      <c r="E687" t="s">
        <v>140</v>
      </c>
      <c r="F687" s="25">
        <v>46028</v>
      </c>
      <c r="G687" t="s">
        <v>349</v>
      </c>
      <c r="H687" t="s">
        <v>405</v>
      </c>
      <c r="I687" t="s">
        <v>371</v>
      </c>
      <c r="J687" t="s">
        <v>41</v>
      </c>
      <c r="K687" t="s">
        <v>365</v>
      </c>
      <c r="L687" t="s">
        <v>395</v>
      </c>
      <c r="M687" t="s">
        <v>141</v>
      </c>
      <c r="N687" t="s">
        <v>142</v>
      </c>
      <c r="O687" t="s">
        <v>155</v>
      </c>
      <c r="P687" t="s">
        <v>281</v>
      </c>
      <c r="Q687" t="s">
        <v>155</v>
      </c>
      <c r="R687" t="s">
        <v>273</v>
      </c>
      <c r="S687" t="s">
        <v>309</v>
      </c>
      <c r="T687">
        <v>1</v>
      </c>
      <c r="U687" t="s">
        <v>424</v>
      </c>
      <c r="V687" t="s">
        <v>285</v>
      </c>
      <c r="W687" t="s">
        <v>425</v>
      </c>
      <c r="X687" t="s">
        <v>306</v>
      </c>
      <c r="Y687" t="s">
        <v>307</v>
      </c>
      <c r="Z687">
        <v>65</v>
      </c>
      <c r="AA687">
        <v>100</v>
      </c>
      <c r="AB687" t="s">
        <v>143</v>
      </c>
      <c r="AC687" t="s">
        <v>49</v>
      </c>
      <c r="AD687" t="s">
        <v>426</v>
      </c>
      <c r="AE687" t="str">
        <f>IF(AF687="","",VLOOKUP(AC687,mapel!$A$2:$B$42,2,FALSE))</f>
        <v>Kimia</v>
      </c>
      <c r="AF687">
        <f t="shared" si="30"/>
        <v>100</v>
      </c>
      <c r="AG687" t="str">
        <f>IF(AF687="","",IF(AF687&gt;90,"Sangat baik",IF(AF687&gt;79,"Baik",IF(AF687&gt;=pub_gid_0_single_true_output_csv[[#This Row],[KKM]],"Cukup","Kurang"))))</f>
        <v>Sangat baik</v>
      </c>
      <c r="AH687">
        <f t="shared" si="31"/>
        <v>11</v>
      </c>
      <c r="AI687" s="30" t="str">
        <f>IF(OR(J687&lt;&gt;"Karakter",pub_gid_0_single_true_output_csv[[#This Row],[Nilai2]]=""),"",IF(AF687&gt;89,"Sangat baik",IF(AF687&gt;79,"Baik",IF(AF687&gt;69,"Cukup",IF(AF687&gt;59,"Kurang","Sangat kurang")))))</f>
        <v/>
      </c>
      <c r="AJ687" t="str">
        <f t="shared" si="32"/>
        <v>Wk.2</v>
      </c>
      <c r="AK687" t="str">
        <f>IF(pub_gid_0_single_true_output_csv[[#This Row],[Nilai2]]="","",VLOOKUP(pub_gid_0_single_true_output_csv[[#This Row],[NAMA]],Table7[],3,FALSE))</f>
        <v>Average</v>
      </c>
    </row>
    <row r="688" spans="1:37" x14ac:dyDescent="0.2">
      <c r="A688">
        <v>687</v>
      </c>
      <c r="B688" t="s">
        <v>289</v>
      </c>
      <c r="C688" t="s">
        <v>54</v>
      </c>
      <c r="D688" t="s">
        <v>39</v>
      </c>
      <c r="E688" t="s">
        <v>140</v>
      </c>
      <c r="F688" s="25">
        <v>46045</v>
      </c>
      <c r="G688" t="s">
        <v>468</v>
      </c>
      <c r="H688" t="s">
        <v>405</v>
      </c>
      <c r="I688" t="s">
        <v>371</v>
      </c>
      <c r="J688" t="s">
        <v>31</v>
      </c>
      <c r="K688" t="s">
        <v>32</v>
      </c>
      <c r="L688" t="s">
        <v>150</v>
      </c>
      <c r="M688" t="s">
        <v>141</v>
      </c>
      <c r="N688" t="s">
        <v>142</v>
      </c>
      <c r="O688" t="s">
        <v>155</v>
      </c>
      <c r="P688" t="s">
        <v>281</v>
      </c>
      <c r="Q688" t="s">
        <v>155</v>
      </c>
      <c r="R688" t="s">
        <v>273</v>
      </c>
      <c r="S688" t="s">
        <v>309</v>
      </c>
      <c r="T688">
        <v>1</v>
      </c>
      <c r="U688" t="s">
        <v>424</v>
      </c>
      <c r="V688" t="s">
        <v>285</v>
      </c>
      <c r="W688" t="s">
        <v>425</v>
      </c>
      <c r="X688" t="s">
        <v>306</v>
      </c>
      <c r="Y688" t="s">
        <v>307</v>
      </c>
      <c r="Z688">
        <v>65</v>
      </c>
      <c r="AA688">
        <v>70</v>
      </c>
      <c r="AB688" t="s">
        <v>143</v>
      </c>
      <c r="AC688" t="s">
        <v>49</v>
      </c>
      <c r="AD688" t="s">
        <v>426</v>
      </c>
      <c r="AE688" t="str">
        <f>IF(AF688="","",VLOOKUP(AC688,mapel!$A$2:$B$42,2,FALSE))</f>
        <v>Kimia</v>
      </c>
      <c r="AF688">
        <f t="shared" si="30"/>
        <v>70</v>
      </c>
      <c r="AG688" t="str">
        <f>IF(AF688="","",IF(AF688&gt;90,"Sangat baik",IF(AF688&gt;79,"Baik",IF(AF688&gt;=pub_gid_0_single_true_output_csv[[#This Row],[KKM]],"Cukup","Kurang"))))</f>
        <v>Cukup</v>
      </c>
      <c r="AH688">
        <f t="shared" si="31"/>
        <v>11</v>
      </c>
      <c r="AI688" s="30" t="str">
        <f>IF(OR(J688&lt;&gt;"Karakter",pub_gid_0_single_true_output_csv[[#This Row],[Nilai2]]=""),"",IF(AF688&gt;89,"Sangat baik",IF(AF688&gt;79,"Baik",IF(AF688&gt;69,"Cukup",IF(AF688&gt;59,"Kurang","Sangat kurang")))))</f>
        <v/>
      </c>
      <c r="AJ688" t="str">
        <f t="shared" si="32"/>
        <v>Wk.4</v>
      </c>
      <c r="AK688" t="str">
        <f>IF(pub_gid_0_single_true_output_csv[[#This Row],[Nilai2]]="","",VLOOKUP(pub_gid_0_single_true_output_csv[[#This Row],[NAMA]],Table7[],3,FALSE))</f>
        <v>Average</v>
      </c>
    </row>
    <row r="689" spans="1:37" x14ac:dyDescent="0.2">
      <c r="A689">
        <v>688</v>
      </c>
      <c r="B689" t="s">
        <v>289</v>
      </c>
      <c r="C689" t="s">
        <v>54</v>
      </c>
      <c r="D689" t="s">
        <v>39</v>
      </c>
      <c r="E689" t="s">
        <v>140</v>
      </c>
      <c r="F689" s="25">
        <v>46063</v>
      </c>
      <c r="G689" t="s">
        <v>374</v>
      </c>
      <c r="H689" t="s">
        <v>412</v>
      </c>
      <c r="I689" t="s">
        <v>371</v>
      </c>
      <c r="J689" t="s">
        <v>36</v>
      </c>
      <c r="K689" t="s">
        <v>37</v>
      </c>
      <c r="L689" t="s">
        <v>150</v>
      </c>
      <c r="M689" t="s">
        <v>141</v>
      </c>
      <c r="N689" t="s">
        <v>142</v>
      </c>
      <c r="O689" t="s">
        <v>155</v>
      </c>
      <c r="P689" t="s">
        <v>281</v>
      </c>
      <c r="Q689" t="s">
        <v>155</v>
      </c>
      <c r="R689" t="s">
        <v>273</v>
      </c>
      <c r="S689" t="s">
        <v>309</v>
      </c>
      <c r="T689">
        <v>1</v>
      </c>
      <c r="U689" t="s">
        <v>424</v>
      </c>
      <c r="V689" t="s">
        <v>285</v>
      </c>
      <c r="W689" t="s">
        <v>425</v>
      </c>
      <c r="X689" t="s">
        <v>306</v>
      </c>
      <c r="Y689" t="s">
        <v>307</v>
      </c>
      <c r="Z689">
        <v>65</v>
      </c>
      <c r="AA689">
        <v>67</v>
      </c>
      <c r="AB689" t="s">
        <v>143</v>
      </c>
      <c r="AC689" t="s">
        <v>49</v>
      </c>
      <c r="AD689" t="s">
        <v>426</v>
      </c>
      <c r="AE689" t="str">
        <f>IF(AF689="","",VLOOKUP(AC689,mapel!$A$2:$B$42,2,FALSE))</f>
        <v>Kimia</v>
      </c>
      <c r="AF689">
        <f t="shared" si="30"/>
        <v>67</v>
      </c>
      <c r="AG689" t="str">
        <f>IF(AF689="","",IF(AF689&gt;90,"Sangat baik",IF(AF689&gt;79,"Baik",IF(AF689&gt;=pub_gid_0_single_true_output_csv[[#This Row],[KKM]],"Cukup","Kurang"))))</f>
        <v>Cukup</v>
      </c>
      <c r="AH689">
        <f t="shared" si="31"/>
        <v>11</v>
      </c>
      <c r="AI689" s="30" t="str">
        <f>IF(OR(J689&lt;&gt;"Karakter",pub_gid_0_single_true_output_csv[[#This Row],[Nilai2]]=""),"",IF(AF689&gt;89,"Sangat baik",IF(AF689&gt;79,"Baik",IF(AF689&gt;69,"Cukup",IF(AF689&gt;59,"Kurang","Sangat kurang")))))</f>
        <v/>
      </c>
      <c r="AJ689" t="str">
        <f t="shared" si="32"/>
        <v>Wk.7</v>
      </c>
      <c r="AK689" t="str">
        <f>IF(pub_gid_0_single_true_output_csv[[#This Row],[Nilai2]]="","",VLOOKUP(pub_gid_0_single_true_output_csv[[#This Row],[NAMA]],Table7[],3,FALSE))</f>
        <v>Average</v>
      </c>
    </row>
    <row r="690" spans="1:37" x14ac:dyDescent="0.2">
      <c r="A690">
        <v>689</v>
      </c>
      <c r="B690" t="s">
        <v>289</v>
      </c>
      <c r="C690" t="s">
        <v>54</v>
      </c>
      <c r="D690" t="s">
        <v>39</v>
      </c>
      <c r="E690" t="s">
        <v>140</v>
      </c>
      <c r="F690" s="25">
        <v>46070</v>
      </c>
      <c r="G690" t="s">
        <v>469</v>
      </c>
      <c r="H690" t="s">
        <v>412</v>
      </c>
      <c r="I690" t="s">
        <v>371</v>
      </c>
      <c r="J690" t="s">
        <v>36</v>
      </c>
      <c r="K690" t="s">
        <v>37</v>
      </c>
      <c r="L690" t="s">
        <v>150</v>
      </c>
      <c r="M690" t="s">
        <v>141</v>
      </c>
      <c r="N690" t="s">
        <v>142</v>
      </c>
      <c r="O690" t="s">
        <v>155</v>
      </c>
      <c r="P690" t="s">
        <v>281</v>
      </c>
      <c r="Q690" t="s">
        <v>155</v>
      </c>
      <c r="R690" t="s">
        <v>273</v>
      </c>
      <c r="S690" t="s">
        <v>309</v>
      </c>
      <c r="T690">
        <v>1</v>
      </c>
      <c r="U690" t="s">
        <v>424</v>
      </c>
      <c r="V690" t="s">
        <v>285</v>
      </c>
      <c r="W690" t="s">
        <v>425</v>
      </c>
      <c r="X690" t="s">
        <v>306</v>
      </c>
      <c r="Y690" t="s">
        <v>307</v>
      </c>
      <c r="Z690">
        <v>65</v>
      </c>
      <c r="AA690">
        <v>90</v>
      </c>
      <c r="AB690" t="s">
        <v>143</v>
      </c>
      <c r="AC690" t="s">
        <v>49</v>
      </c>
      <c r="AD690" t="s">
        <v>426</v>
      </c>
      <c r="AE690" t="str">
        <f>IF(AF690="","",VLOOKUP(AC690,mapel!$A$2:$B$42,2,FALSE))</f>
        <v>Kimia</v>
      </c>
      <c r="AF690">
        <f t="shared" si="30"/>
        <v>90</v>
      </c>
      <c r="AG690" t="str">
        <f>IF(AF690="","",IF(AF690&gt;90,"Sangat baik",IF(AF690&gt;79,"Baik",IF(AF690&gt;=pub_gid_0_single_true_output_csv[[#This Row],[KKM]],"Cukup","Kurang"))))</f>
        <v>Baik</v>
      </c>
      <c r="AH690">
        <f t="shared" si="31"/>
        <v>11</v>
      </c>
      <c r="AI690" s="30" t="str">
        <f>IF(OR(J690&lt;&gt;"Karakter",pub_gid_0_single_true_output_csv[[#This Row],[Nilai2]]=""),"",IF(AF690&gt;89,"Sangat baik",IF(AF690&gt;79,"Baik",IF(AF690&gt;69,"Cukup",IF(AF690&gt;59,"Kurang","Sangat kurang")))))</f>
        <v/>
      </c>
      <c r="AJ690" t="str">
        <f t="shared" si="32"/>
        <v>Wk.8</v>
      </c>
      <c r="AK690" t="str">
        <f>IF(pub_gid_0_single_true_output_csv[[#This Row],[Nilai2]]="","",VLOOKUP(pub_gid_0_single_true_output_csv[[#This Row],[NAMA]],Table7[],3,FALSE))</f>
        <v>Average</v>
      </c>
    </row>
    <row r="691" spans="1:37" x14ac:dyDescent="0.2">
      <c r="A691">
        <v>690</v>
      </c>
      <c r="B691" t="s">
        <v>290</v>
      </c>
      <c r="C691" t="s">
        <v>54</v>
      </c>
      <c r="D691" t="s">
        <v>42</v>
      </c>
      <c r="E691" t="s">
        <v>140</v>
      </c>
      <c r="F691" s="25">
        <v>46028</v>
      </c>
      <c r="G691" t="s">
        <v>349</v>
      </c>
      <c r="H691" t="s">
        <v>405</v>
      </c>
      <c r="I691" t="s">
        <v>371</v>
      </c>
      <c r="J691" t="s">
        <v>41</v>
      </c>
      <c r="K691" t="s">
        <v>365</v>
      </c>
      <c r="L691" t="s">
        <v>395</v>
      </c>
      <c r="M691" t="s">
        <v>141</v>
      </c>
      <c r="N691" t="s">
        <v>142</v>
      </c>
      <c r="O691" t="s">
        <v>155</v>
      </c>
      <c r="P691" t="s">
        <v>281</v>
      </c>
      <c r="Q691" t="s">
        <v>155</v>
      </c>
      <c r="R691" t="s">
        <v>273</v>
      </c>
      <c r="S691" t="s">
        <v>309</v>
      </c>
      <c r="T691">
        <v>1</v>
      </c>
      <c r="U691" t="s">
        <v>424</v>
      </c>
      <c r="V691" t="s">
        <v>285</v>
      </c>
      <c r="W691" t="s">
        <v>425</v>
      </c>
      <c r="X691" t="s">
        <v>306</v>
      </c>
      <c r="Y691" t="s">
        <v>307</v>
      </c>
      <c r="Z691">
        <v>65</v>
      </c>
      <c r="AA691">
        <v>65</v>
      </c>
      <c r="AB691" t="s">
        <v>143</v>
      </c>
      <c r="AC691" t="s">
        <v>49</v>
      </c>
      <c r="AD691" t="s">
        <v>426</v>
      </c>
      <c r="AE691" t="str">
        <f>IF(AF691="","",VLOOKUP(AC691,mapel!$A$2:$B$42,2,FALSE))</f>
        <v>Kimia</v>
      </c>
      <c r="AF691">
        <f t="shared" si="30"/>
        <v>65</v>
      </c>
      <c r="AG691" t="str">
        <f>IF(AF691="","",IF(AF691&gt;90,"Sangat baik",IF(AF691&gt;79,"Baik",IF(AF691&gt;=pub_gid_0_single_true_output_csv[[#This Row],[KKM]],"Cukup","Kurang"))))</f>
        <v>Cukup</v>
      </c>
      <c r="AH691">
        <f t="shared" si="31"/>
        <v>11</v>
      </c>
      <c r="AI691" s="30" t="str">
        <f>IF(OR(J691&lt;&gt;"Karakter",pub_gid_0_single_true_output_csv[[#This Row],[Nilai2]]=""),"",IF(AF691&gt;89,"Sangat baik",IF(AF691&gt;79,"Baik",IF(AF691&gt;69,"Cukup",IF(AF691&gt;59,"Kurang","Sangat kurang")))))</f>
        <v/>
      </c>
      <c r="AJ691" t="str">
        <f t="shared" si="32"/>
        <v>Wk.2</v>
      </c>
      <c r="AK691" t="str">
        <f>IF(pub_gid_0_single_true_output_csv[[#This Row],[Nilai2]]="","",VLOOKUP(pub_gid_0_single_true_output_csv[[#This Row],[NAMA]],Table7[],3,FALSE))</f>
        <v>Superior</v>
      </c>
    </row>
    <row r="692" spans="1:37" x14ac:dyDescent="0.2">
      <c r="A692">
        <v>691</v>
      </c>
      <c r="B692" t="s">
        <v>290</v>
      </c>
      <c r="C692" t="s">
        <v>54</v>
      </c>
      <c r="D692" t="s">
        <v>42</v>
      </c>
      <c r="E692" t="s">
        <v>140</v>
      </c>
      <c r="F692" s="25">
        <v>46045</v>
      </c>
      <c r="G692" t="s">
        <v>468</v>
      </c>
      <c r="H692" t="s">
        <v>405</v>
      </c>
      <c r="I692" t="s">
        <v>371</v>
      </c>
      <c r="J692" t="s">
        <v>31</v>
      </c>
      <c r="K692" t="s">
        <v>32</v>
      </c>
      <c r="L692" t="s">
        <v>150</v>
      </c>
      <c r="M692" t="s">
        <v>141</v>
      </c>
      <c r="N692" t="s">
        <v>142</v>
      </c>
      <c r="O692" t="s">
        <v>155</v>
      </c>
      <c r="P692" t="s">
        <v>281</v>
      </c>
      <c r="Q692" t="s">
        <v>155</v>
      </c>
      <c r="R692" t="s">
        <v>273</v>
      </c>
      <c r="S692" t="s">
        <v>309</v>
      </c>
      <c r="T692">
        <v>1</v>
      </c>
      <c r="U692" t="s">
        <v>424</v>
      </c>
      <c r="V692" t="s">
        <v>285</v>
      </c>
      <c r="W692" t="s">
        <v>425</v>
      </c>
      <c r="X692" t="s">
        <v>306</v>
      </c>
      <c r="Y692" t="s">
        <v>307</v>
      </c>
      <c r="Z692">
        <v>65</v>
      </c>
      <c r="AA692">
        <v>65</v>
      </c>
      <c r="AB692" t="s">
        <v>143</v>
      </c>
      <c r="AC692" t="s">
        <v>49</v>
      </c>
      <c r="AD692" t="s">
        <v>426</v>
      </c>
      <c r="AE692" t="str">
        <f>IF(AF692="","",VLOOKUP(AC692,mapel!$A$2:$B$42,2,FALSE))</f>
        <v>Kimia</v>
      </c>
      <c r="AF692">
        <f t="shared" si="30"/>
        <v>65</v>
      </c>
      <c r="AG692" t="str">
        <f>IF(AF692="","",IF(AF692&gt;90,"Sangat baik",IF(AF692&gt;79,"Baik",IF(AF692&gt;=pub_gid_0_single_true_output_csv[[#This Row],[KKM]],"Cukup","Kurang"))))</f>
        <v>Cukup</v>
      </c>
      <c r="AH692">
        <f t="shared" si="31"/>
        <v>11</v>
      </c>
      <c r="AI692" s="30" t="str">
        <f>IF(OR(J692&lt;&gt;"Karakter",pub_gid_0_single_true_output_csv[[#This Row],[Nilai2]]=""),"",IF(AF692&gt;89,"Sangat baik",IF(AF692&gt;79,"Baik",IF(AF692&gt;69,"Cukup",IF(AF692&gt;59,"Kurang","Sangat kurang")))))</f>
        <v/>
      </c>
      <c r="AJ692" t="str">
        <f t="shared" si="32"/>
        <v>Wk.4</v>
      </c>
      <c r="AK692" t="str">
        <f>IF(pub_gid_0_single_true_output_csv[[#This Row],[Nilai2]]="","",VLOOKUP(pub_gid_0_single_true_output_csv[[#This Row],[NAMA]],Table7[],3,FALSE))</f>
        <v>Superior</v>
      </c>
    </row>
    <row r="693" spans="1:37" x14ac:dyDescent="0.2">
      <c r="A693">
        <v>692</v>
      </c>
      <c r="B693" t="s">
        <v>290</v>
      </c>
      <c r="C693" t="s">
        <v>54</v>
      </c>
      <c r="D693" t="s">
        <v>42</v>
      </c>
      <c r="E693" t="s">
        <v>140</v>
      </c>
      <c r="F693" s="25">
        <v>46063</v>
      </c>
      <c r="G693" t="s">
        <v>374</v>
      </c>
      <c r="H693" t="s">
        <v>412</v>
      </c>
      <c r="I693" t="s">
        <v>371</v>
      </c>
      <c r="J693" t="s">
        <v>36</v>
      </c>
      <c r="K693" t="s">
        <v>37</v>
      </c>
      <c r="L693" t="s">
        <v>150</v>
      </c>
      <c r="M693" t="s">
        <v>141</v>
      </c>
      <c r="N693" t="s">
        <v>142</v>
      </c>
      <c r="O693" t="s">
        <v>155</v>
      </c>
      <c r="P693" t="s">
        <v>281</v>
      </c>
      <c r="Q693" t="s">
        <v>155</v>
      </c>
      <c r="R693" t="s">
        <v>273</v>
      </c>
      <c r="S693" t="s">
        <v>309</v>
      </c>
      <c r="T693">
        <v>1</v>
      </c>
      <c r="U693" t="s">
        <v>424</v>
      </c>
      <c r="V693" t="s">
        <v>285</v>
      </c>
      <c r="W693" t="s">
        <v>425</v>
      </c>
      <c r="X693" t="s">
        <v>306</v>
      </c>
      <c r="Y693" t="s">
        <v>307</v>
      </c>
      <c r="Z693">
        <v>65</v>
      </c>
      <c r="AA693">
        <v>67</v>
      </c>
      <c r="AB693" t="s">
        <v>143</v>
      </c>
      <c r="AC693" t="s">
        <v>49</v>
      </c>
      <c r="AD693" t="s">
        <v>426</v>
      </c>
      <c r="AE693" t="str">
        <f>IF(AF693="","",VLOOKUP(AC693,mapel!$A$2:$B$42,2,FALSE))</f>
        <v>Kimia</v>
      </c>
      <c r="AF693">
        <f t="shared" si="30"/>
        <v>67</v>
      </c>
      <c r="AG693" t="str">
        <f>IF(AF693="","",IF(AF693&gt;90,"Sangat baik",IF(AF693&gt;79,"Baik",IF(AF693&gt;=pub_gid_0_single_true_output_csv[[#This Row],[KKM]],"Cukup","Kurang"))))</f>
        <v>Cukup</v>
      </c>
      <c r="AH693">
        <f t="shared" si="31"/>
        <v>11</v>
      </c>
      <c r="AI693" s="30" t="str">
        <f>IF(OR(J693&lt;&gt;"Karakter",pub_gid_0_single_true_output_csv[[#This Row],[Nilai2]]=""),"",IF(AF693&gt;89,"Sangat baik",IF(AF693&gt;79,"Baik",IF(AF693&gt;69,"Cukup",IF(AF693&gt;59,"Kurang","Sangat kurang")))))</f>
        <v/>
      </c>
      <c r="AJ693" t="str">
        <f t="shared" si="32"/>
        <v>Wk.7</v>
      </c>
      <c r="AK693" t="str">
        <f>IF(pub_gid_0_single_true_output_csv[[#This Row],[Nilai2]]="","",VLOOKUP(pub_gid_0_single_true_output_csv[[#This Row],[NAMA]],Table7[],3,FALSE))</f>
        <v>Superior</v>
      </c>
    </row>
    <row r="694" spans="1:37" x14ac:dyDescent="0.2">
      <c r="A694">
        <v>693</v>
      </c>
      <c r="B694" t="s">
        <v>290</v>
      </c>
      <c r="C694" t="s">
        <v>54</v>
      </c>
      <c r="D694" t="s">
        <v>42</v>
      </c>
      <c r="E694" t="s">
        <v>140</v>
      </c>
      <c r="F694" s="25">
        <v>46070</v>
      </c>
      <c r="G694" t="s">
        <v>469</v>
      </c>
      <c r="H694" t="s">
        <v>412</v>
      </c>
      <c r="I694" t="s">
        <v>371</v>
      </c>
      <c r="J694" t="s">
        <v>36</v>
      </c>
      <c r="K694" t="s">
        <v>37</v>
      </c>
      <c r="L694" t="s">
        <v>150</v>
      </c>
      <c r="M694" t="s">
        <v>141</v>
      </c>
      <c r="N694" t="s">
        <v>142</v>
      </c>
      <c r="O694" t="s">
        <v>155</v>
      </c>
      <c r="P694" t="s">
        <v>281</v>
      </c>
      <c r="Q694" t="s">
        <v>155</v>
      </c>
      <c r="R694" t="s">
        <v>273</v>
      </c>
      <c r="S694" t="s">
        <v>309</v>
      </c>
      <c r="T694">
        <v>1</v>
      </c>
      <c r="U694" t="s">
        <v>424</v>
      </c>
      <c r="V694" t="s">
        <v>285</v>
      </c>
      <c r="W694" t="s">
        <v>425</v>
      </c>
      <c r="X694" t="s">
        <v>306</v>
      </c>
      <c r="Y694" t="s">
        <v>307</v>
      </c>
      <c r="Z694">
        <v>65</v>
      </c>
      <c r="AA694">
        <v>65</v>
      </c>
      <c r="AB694" t="s">
        <v>143</v>
      </c>
      <c r="AC694" t="s">
        <v>49</v>
      </c>
      <c r="AD694" t="s">
        <v>426</v>
      </c>
      <c r="AE694" t="str">
        <f>IF(AF694="","",VLOOKUP(AC694,mapel!$A$2:$B$42,2,FALSE))</f>
        <v>Kimia</v>
      </c>
      <c r="AF694">
        <f t="shared" si="30"/>
        <v>65</v>
      </c>
      <c r="AG694" t="str">
        <f>IF(AF694="","",IF(AF694&gt;90,"Sangat baik",IF(AF694&gt;79,"Baik",IF(AF694&gt;=pub_gid_0_single_true_output_csv[[#This Row],[KKM]],"Cukup","Kurang"))))</f>
        <v>Cukup</v>
      </c>
      <c r="AH694">
        <f t="shared" si="31"/>
        <v>11</v>
      </c>
      <c r="AI694" s="30" t="str">
        <f>IF(OR(J694&lt;&gt;"Karakter",pub_gid_0_single_true_output_csv[[#This Row],[Nilai2]]=""),"",IF(AF694&gt;89,"Sangat baik",IF(AF694&gt;79,"Baik",IF(AF694&gt;69,"Cukup",IF(AF694&gt;59,"Kurang","Sangat kurang")))))</f>
        <v/>
      </c>
      <c r="AJ694" t="str">
        <f t="shared" si="32"/>
        <v>Wk.8</v>
      </c>
      <c r="AK694" t="str">
        <f>IF(pub_gid_0_single_true_output_csv[[#This Row],[Nilai2]]="","",VLOOKUP(pub_gid_0_single_true_output_csv[[#This Row],[NAMA]],Table7[],3,FALSE))</f>
        <v>Superior</v>
      </c>
    </row>
    <row r="695" spans="1:37" x14ac:dyDescent="0.2">
      <c r="A695">
        <v>694</v>
      </c>
      <c r="B695" t="s">
        <v>291</v>
      </c>
      <c r="C695" t="s">
        <v>54</v>
      </c>
      <c r="D695" t="s">
        <v>43</v>
      </c>
      <c r="E695" t="s">
        <v>146</v>
      </c>
      <c r="F695" s="25">
        <v>46028</v>
      </c>
      <c r="G695" t="s">
        <v>349</v>
      </c>
      <c r="H695" t="s">
        <v>405</v>
      </c>
      <c r="I695" t="s">
        <v>371</v>
      </c>
      <c r="J695" t="s">
        <v>41</v>
      </c>
      <c r="K695" t="s">
        <v>365</v>
      </c>
      <c r="L695" t="s">
        <v>395</v>
      </c>
      <c r="M695" t="s">
        <v>141</v>
      </c>
      <c r="N695" t="s">
        <v>142</v>
      </c>
      <c r="O695" t="s">
        <v>155</v>
      </c>
      <c r="P695" t="s">
        <v>281</v>
      </c>
      <c r="Q695" t="s">
        <v>155</v>
      </c>
      <c r="R695" t="s">
        <v>273</v>
      </c>
      <c r="S695" t="s">
        <v>309</v>
      </c>
      <c r="T695">
        <v>1</v>
      </c>
      <c r="U695" t="s">
        <v>424</v>
      </c>
      <c r="V695" t="s">
        <v>285</v>
      </c>
      <c r="W695" t="s">
        <v>425</v>
      </c>
      <c r="X695" t="s">
        <v>306</v>
      </c>
      <c r="Y695" t="s">
        <v>307</v>
      </c>
      <c r="Z695">
        <v>65</v>
      </c>
      <c r="AA695">
        <v>100</v>
      </c>
      <c r="AB695" t="s">
        <v>143</v>
      </c>
      <c r="AC695" t="s">
        <v>49</v>
      </c>
      <c r="AD695" t="s">
        <v>426</v>
      </c>
      <c r="AE695" t="str">
        <f>IF(AF695="","",VLOOKUP(AC695,mapel!$A$2:$B$42,2,FALSE))</f>
        <v>Kimia</v>
      </c>
      <c r="AF695">
        <f t="shared" si="30"/>
        <v>100</v>
      </c>
      <c r="AG695" t="str">
        <f>IF(AF695="","",IF(AF695&gt;90,"Sangat baik",IF(AF695&gt;79,"Baik",IF(AF695&gt;=pub_gid_0_single_true_output_csv[[#This Row],[KKM]],"Cukup","Kurang"))))</f>
        <v>Sangat baik</v>
      </c>
      <c r="AH695">
        <f t="shared" si="31"/>
        <v>11</v>
      </c>
      <c r="AI695" s="30" t="str">
        <f>IF(OR(J695&lt;&gt;"Karakter",pub_gid_0_single_true_output_csv[[#This Row],[Nilai2]]=""),"",IF(AF695&gt;89,"Sangat baik",IF(AF695&gt;79,"Baik",IF(AF695&gt;69,"Cukup",IF(AF695&gt;59,"Kurang","Sangat kurang")))))</f>
        <v/>
      </c>
      <c r="AJ695" t="str">
        <f t="shared" si="32"/>
        <v>Wk.2</v>
      </c>
      <c r="AK695" t="str">
        <f>IF(pub_gid_0_single_true_output_csv[[#This Row],[Nilai2]]="","",VLOOKUP(pub_gid_0_single_true_output_csv[[#This Row],[NAMA]],Table7[],3,FALSE))</f>
        <v>High average</v>
      </c>
    </row>
    <row r="696" spans="1:37" x14ac:dyDescent="0.2">
      <c r="A696">
        <v>695</v>
      </c>
      <c r="B696" t="s">
        <v>291</v>
      </c>
      <c r="C696" t="s">
        <v>54</v>
      </c>
      <c r="D696" t="s">
        <v>43</v>
      </c>
      <c r="E696" t="s">
        <v>146</v>
      </c>
      <c r="F696" s="25">
        <v>46045</v>
      </c>
      <c r="G696" t="s">
        <v>468</v>
      </c>
      <c r="H696" t="s">
        <v>405</v>
      </c>
      <c r="I696" t="s">
        <v>371</v>
      </c>
      <c r="J696" t="s">
        <v>31</v>
      </c>
      <c r="K696" t="s">
        <v>32</v>
      </c>
      <c r="L696" t="s">
        <v>150</v>
      </c>
      <c r="M696" t="s">
        <v>141</v>
      </c>
      <c r="N696" t="s">
        <v>142</v>
      </c>
      <c r="O696" t="s">
        <v>155</v>
      </c>
      <c r="P696" t="s">
        <v>281</v>
      </c>
      <c r="Q696" t="s">
        <v>155</v>
      </c>
      <c r="R696" t="s">
        <v>273</v>
      </c>
      <c r="S696" t="s">
        <v>309</v>
      </c>
      <c r="T696">
        <v>1</v>
      </c>
      <c r="U696" t="s">
        <v>424</v>
      </c>
      <c r="V696" t="s">
        <v>285</v>
      </c>
      <c r="W696" t="s">
        <v>425</v>
      </c>
      <c r="X696" t="s">
        <v>306</v>
      </c>
      <c r="Y696" t="s">
        <v>307</v>
      </c>
      <c r="Z696">
        <v>65</v>
      </c>
      <c r="AA696">
        <v>70</v>
      </c>
      <c r="AB696" t="s">
        <v>143</v>
      </c>
      <c r="AC696" t="s">
        <v>49</v>
      </c>
      <c r="AD696" t="s">
        <v>426</v>
      </c>
      <c r="AE696" t="str">
        <f>IF(AF696="","",VLOOKUP(AC696,mapel!$A$2:$B$42,2,FALSE))</f>
        <v>Kimia</v>
      </c>
      <c r="AF696">
        <f t="shared" si="30"/>
        <v>70</v>
      </c>
      <c r="AG696" t="str">
        <f>IF(AF696="","",IF(AF696&gt;90,"Sangat baik",IF(AF696&gt;79,"Baik",IF(AF696&gt;=pub_gid_0_single_true_output_csv[[#This Row],[KKM]],"Cukup","Kurang"))))</f>
        <v>Cukup</v>
      </c>
      <c r="AH696">
        <f t="shared" si="31"/>
        <v>11</v>
      </c>
      <c r="AI696" s="30" t="str">
        <f>IF(OR(J696&lt;&gt;"Karakter",pub_gid_0_single_true_output_csv[[#This Row],[Nilai2]]=""),"",IF(AF696&gt;89,"Sangat baik",IF(AF696&gt;79,"Baik",IF(AF696&gt;69,"Cukup",IF(AF696&gt;59,"Kurang","Sangat kurang")))))</f>
        <v/>
      </c>
      <c r="AJ696" t="str">
        <f t="shared" si="32"/>
        <v>Wk.4</v>
      </c>
      <c r="AK696" t="str">
        <f>IF(pub_gid_0_single_true_output_csv[[#This Row],[Nilai2]]="","",VLOOKUP(pub_gid_0_single_true_output_csv[[#This Row],[NAMA]],Table7[],3,FALSE))</f>
        <v>High average</v>
      </c>
    </row>
    <row r="697" spans="1:37" x14ac:dyDescent="0.2">
      <c r="A697">
        <v>696</v>
      </c>
      <c r="B697" t="s">
        <v>291</v>
      </c>
      <c r="C697" t="s">
        <v>54</v>
      </c>
      <c r="D697" t="s">
        <v>43</v>
      </c>
      <c r="E697" t="s">
        <v>146</v>
      </c>
      <c r="F697" s="25">
        <v>46063</v>
      </c>
      <c r="G697" t="s">
        <v>374</v>
      </c>
      <c r="H697" t="s">
        <v>412</v>
      </c>
      <c r="I697" t="s">
        <v>371</v>
      </c>
      <c r="J697" t="s">
        <v>36</v>
      </c>
      <c r="K697" t="s">
        <v>37</v>
      </c>
      <c r="L697" t="s">
        <v>150</v>
      </c>
      <c r="M697" t="s">
        <v>141</v>
      </c>
      <c r="N697" t="s">
        <v>142</v>
      </c>
      <c r="O697" t="s">
        <v>155</v>
      </c>
      <c r="P697" t="s">
        <v>281</v>
      </c>
      <c r="Q697" t="s">
        <v>155</v>
      </c>
      <c r="R697" t="s">
        <v>273</v>
      </c>
      <c r="S697" t="s">
        <v>309</v>
      </c>
      <c r="T697">
        <v>1</v>
      </c>
      <c r="U697" t="s">
        <v>424</v>
      </c>
      <c r="V697" t="s">
        <v>285</v>
      </c>
      <c r="W697" t="s">
        <v>425</v>
      </c>
      <c r="X697" t="s">
        <v>306</v>
      </c>
      <c r="Y697" t="s">
        <v>307</v>
      </c>
      <c r="Z697">
        <v>65</v>
      </c>
      <c r="AA697">
        <v>80</v>
      </c>
      <c r="AB697" t="s">
        <v>143</v>
      </c>
      <c r="AC697" t="s">
        <v>49</v>
      </c>
      <c r="AD697" t="s">
        <v>426</v>
      </c>
      <c r="AE697" t="str">
        <f>IF(AF697="","",VLOOKUP(AC697,mapel!$A$2:$B$42,2,FALSE))</f>
        <v>Kimia</v>
      </c>
      <c r="AF697">
        <f t="shared" si="30"/>
        <v>80</v>
      </c>
      <c r="AG697" t="str">
        <f>IF(AF697="","",IF(AF697&gt;90,"Sangat baik",IF(AF697&gt;79,"Baik",IF(AF697&gt;=pub_gid_0_single_true_output_csv[[#This Row],[KKM]],"Cukup","Kurang"))))</f>
        <v>Baik</v>
      </c>
      <c r="AH697">
        <f t="shared" si="31"/>
        <v>11</v>
      </c>
      <c r="AI697" s="30" t="str">
        <f>IF(OR(J697&lt;&gt;"Karakter",pub_gid_0_single_true_output_csv[[#This Row],[Nilai2]]=""),"",IF(AF697&gt;89,"Sangat baik",IF(AF697&gt;79,"Baik",IF(AF697&gt;69,"Cukup",IF(AF697&gt;59,"Kurang","Sangat kurang")))))</f>
        <v/>
      </c>
      <c r="AJ697" t="str">
        <f t="shared" si="32"/>
        <v>Wk.7</v>
      </c>
      <c r="AK697" t="str">
        <f>IF(pub_gid_0_single_true_output_csv[[#This Row],[Nilai2]]="","",VLOOKUP(pub_gid_0_single_true_output_csv[[#This Row],[NAMA]],Table7[],3,FALSE))</f>
        <v>High average</v>
      </c>
    </row>
    <row r="698" spans="1:37" x14ac:dyDescent="0.2">
      <c r="A698">
        <v>697</v>
      </c>
      <c r="B698" t="s">
        <v>291</v>
      </c>
      <c r="C698" t="s">
        <v>54</v>
      </c>
      <c r="D698" t="s">
        <v>43</v>
      </c>
      <c r="E698" t="s">
        <v>146</v>
      </c>
      <c r="F698" s="25">
        <v>46070</v>
      </c>
      <c r="G698" t="s">
        <v>469</v>
      </c>
      <c r="H698" t="s">
        <v>412</v>
      </c>
      <c r="I698" t="s">
        <v>371</v>
      </c>
      <c r="J698" t="s">
        <v>36</v>
      </c>
      <c r="K698" t="s">
        <v>37</v>
      </c>
      <c r="L698" t="s">
        <v>150</v>
      </c>
      <c r="M698" t="s">
        <v>141</v>
      </c>
      <c r="N698" t="s">
        <v>142</v>
      </c>
      <c r="O698" t="s">
        <v>155</v>
      </c>
      <c r="P698" t="s">
        <v>281</v>
      </c>
      <c r="Q698" t="s">
        <v>155</v>
      </c>
      <c r="R698" t="s">
        <v>273</v>
      </c>
      <c r="S698" t="s">
        <v>309</v>
      </c>
      <c r="T698">
        <v>1</v>
      </c>
      <c r="U698" t="s">
        <v>424</v>
      </c>
      <c r="V698" t="s">
        <v>285</v>
      </c>
      <c r="W698" t="s">
        <v>425</v>
      </c>
      <c r="X698" t="s">
        <v>306</v>
      </c>
      <c r="Y698" t="s">
        <v>307</v>
      </c>
      <c r="Z698">
        <v>65</v>
      </c>
      <c r="AA698">
        <v>95</v>
      </c>
      <c r="AB698" t="s">
        <v>143</v>
      </c>
      <c r="AC698" t="s">
        <v>49</v>
      </c>
      <c r="AD698" t="s">
        <v>426</v>
      </c>
      <c r="AE698" t="str">
        <f>IF(AF698="","",VLOOKUP(AC698,mapel!$A$2:$B$42,2,FALSE))</f>
        <v>Kimia</v>
      </c>
      <c r="AF698">
        <f t="shared" si="30"/>
        <v>95</v>
      </c>
      <c r="AG698" t="str">
        <f>IF(AF698="","",IF(AF698&gt;90,"Sangat baik",IF(AF698&gt;79,"Baik",IF(AF698&gt;=pub_gid_0_single_true_output_csv[[#This Row],[KKM]],"Cukup","Kurang"))))</f>
        <v>Sangat baik</v>
      </c>
      <c r="AH698">
        <f t="shared" si="31"/>
        <v>11</v>
      </c>
      <c r="AI698" s="30" t="str">
        <f>IF(OR(J698&lt;&gt;"Karakter",pub_gid_0_single_true_output_csv[[#This Row],[Nilai2]]=""),"",IF(AF698&gt;89,"Sangat baik",IF(AF698&gt;79,"Baik",IF(AF698&gt;69,"Cukup",IF(AF698&gt;59,"Kurang","Sangat kurang")))))</f>
        <v/>
      </c>
      <c r="AJ698" t="str">
        <f t="shared" si="32"/>
        <v>Wk.8</v>
      </c>
      <c r="AK698" t="str">
        <f>IF(pub_gid_0_single_true_output_csv[[#This Row],[Nilai2]]="","",VLOOKUP(pub_gid_0_single_true_output_csv[[#This Row],[NAMA]],Table7[],3,FALSE))</f>
        <v>High average</v>
      </c>
    </row>
    <row r="699" spans="1:37" x14ac:dyDescent="0.2">
      <c r="A699">
        <v>698</v>
      </c>
      <c r="B699" t="s">
        <v>282</v>
      </c>
      <c r="C699" t="s">
        <v>54</v>
      </c>
      <c r="D699" t="s">
        <v>283</v>
      </c>
      <c r="E699" t="s">
        <v>140</v>
      </c>
      <c r="F699" s="25">
        <v>46028</v>
      </c>
      <c r="G699" t="s">
        <v>349</v>
      </c>
      <c r="H699" t="s">
        <v>405</v>
      </c>
      <c r="I699" t="s">
        <v>371</v>
      </c>
      <c r="J699" t="s">
        <v>41</v>
      </c>
      <c r="K699" t="s">
        <v>365</v>
      </c>
      <c r="L699" t="s">
        <v>395</v>
      </c>
      <c r="M699" t="s">
        <v>141</v>
      </c>
      <c r="N699" t="s">
        <v>142</v>
      </c>
      <c r="O699" t="s">
        <v>155</v>
      </c>
      <c r="P699" t="s">
        <v>281</v>
      </c>
      <c r="Q699" t="s">
        <v>155</v>
      </c>
      <c r="R699" t="s">
        <v>273</v>
      </c>
      <c r="S699" t="s">
        <v>309</v>
      </c>
      <c r="T699">
        <v>1</v>
      </c>
      <c r="U699" t="s">
        <v>424</v>
      </c>
      <c r="V699" t="s">
        <v>285</v>
      </c>
      <c r="W699" t="s">
        <v>425</v>
      </c>
      <c r="X699" t="s">
        <v>306</v>
      </c>
      <c r="Y699" t="s">
        <v>307</v>
      </c>
      <c r="Z699">
        <v>65</v>
      </c>
      <c r="AA699">
        <v>65</v>
      </c>
      <c r="AB699" t="s">
        <v>143</v>
      </c>
      <c r="AC699" t="s">
        <v>49</v>
      </c>
      <c r="AD699" t="s">
        <v>426</v>
      </c>
      <c r="AE699" t="str">
        <f>IF(AF699="","",VLOOKUP(AC699,mapel!$A$2:$B$42,2,FALSE))</f>
        <v>Kimia</v>
      </c>
      <c r="AF699">
        <f t="shared" si="30"/>
        <v>65</v>
      </c>
      <c r="AG699" t="str">
        <f>IF(AF699="","",IF(AF699&gt;90,"Sangat baik",IF(AF699&gt;79,"Baik",IF(AF699&gt;=pub_gid_0_single_true_output_csv[[#This Row],[KKM]],"Cukup","Kurang"))))</f>
        <v>Cukup</v>
      </c>
      <c r="AH699">
        <f t="shared" si="31"/>
        <v>11</v>
      </c>
      <c r="AI699" s="30" t="str">
        <f>IF(OR(J699&lt;&gt;"Karakter",pub_gid_0_single_true_output_csv[[#This Row],[Nilai2]]=""),"",IF(AF699&gt;89,"Sangat baik",IF(AF699&gt;79,"Baik",IF(AF699&gt;69,"Cukup",IF(AF699&gt;59,"Kurang","Sangat kurang")))))</f>
        <v/>
      </c>
      <c r="AJ699" t="str">
        <f t="shared" si="32"/>
        <v>Wk.2</v>
      </c>
      <c r="AK699" t="e">
        <f>IF(pub_gid_0_single_true_output_csv[[#This Row],[Nilai2]]="","",VLOOKUP(pub_gid_0_single_true_output_csv[[#This Row],[NAMA]],Table7[],3,FALSE))</f>
        <v>#N/A</v>
      </c>
    </row>
    <row r="700" spans="1:37" x14ac:dyDescent="0.2">
      <c r="A700">
        <v>699</v>
      </c>
      <c r="B700" t="s">
        <v>282</v>
      </c>
      <c r="C700" t="s">
        <v>54</v>
      </c>
      <c r="D700" t="s">
        <v>283</v>
      </c>
      <c r="E700" t="s">
        <v>140</v>
      </c>
      <c r="F700" s="25">
        <v>46045</v>
      </c>
      <c r="G700" t="s">
        <v>468</v>
      </c>
      <c r="H700" t="s">
        <v>405</v>
      </c>
      <c r="I700" t="s">
        <v>371</v>
      </c>
      <c r="J700" t="s">
        <v>31</v>
      </c>
      <c r="K700" t="s">
        <v>32</v>
      </c>
      <c r="L700" t="s">
        <v>150</v>
      </c>
      <c r="M700" t="s">
        <v>141</v>
      </c>
      <c r="N700" t="s">
        <v>142</v>
      </c>
      <c r="O700" t="s">
        <v>155</v>
      </c>
      <c r="P700" t="s">
        <v>281</v>
      </c>
      <c r="Q700" t="s">
        <v>155</v>
      </c>
      <c r="R700" t="s">
        <v>273</v>
      </c>
      <c r="S700" t="s">
        <v>309</v>
      </c>
      <c r="T700">
        <v>1</v>
      </c>
      <c r="U700" t="s">
        <v>424</v>
      </c>
      <c r="V700" t="s">
        <v>285</v>
      </c>
      <c r="W700" t="s">
        <v>425</v>
      </c>
      <c r="X700" t="s">
        <v>306</v>
      </c>
      <c r="Y700" t="s">
        <v>307</v>
      </c>
      <c r="Z700">
        <v>65</v>
      </c>
      <c r="AA700">
        <v>70</v>
      </c>
      <c r="AB700" t="s">
        <v>143</v>
      </c>
      <c r="AC700" t="s">
        <v>49</v>
      </c>
      <c r="AD700" t="s">
        <v>426</v>
      </c>
      <c r="AE700" t="str">
        <f>IF(AF700="","",VLOOKUP(AC700,mapel!$A$2:$B$42,2,FALSE))</f>
        <v>Kimia</v>
      </c>
      <c r="AF700">
        <f t="shared" si="30"/>
        <v>70</v>
      </c>
      <c r="AG700" t="str">
        <f>IF(AF700="","",IF(AF700&gt;90,"Sangat baik",IF(AF700&gt;79,"Baik",IF(AF700&gt;=pub_gid_0_single_true_output_csv[[#This Row],[KKM]],"Cukup","Kurang"))))</f>
        <v>Cukup</v>
      </c>
      <c r="AH700">
        <f t="shared" si="31"/>
        <v>11</v>
      </c>
      <c r="AI700" s="30" t="str">
        <f>IF(OR(J700&lt;&gt;"Karakter",pub_gid_0_single_true_output_csv[[#This Row],[Nilai2]]=""),"",IF(AF700&gt;89,"Sangat baik",IF(AF700&gt;79,"Baik",IF(AF700&gt;69,"Cukup",IF(AF700&gt;59,"Kurang","Sangat kurang")))))</f>
        <v/>
      </c>
      <c r="AJ700" t="str">
        <f t="shared" si="32"/>
        <v>Wk.4</v>
      </c>
      <c r="AK700" t="e">
        <f>IF(pub_gid_0_single_true_output_csv[[#This Row],[Nilai2]]="","",VLOOKUP(pub_gid_0_single_true_output_csv[[#This Row],[NAMA]],Table7[],3,FALSE))</f>
        <v>#N/A</v>
      </c>
    </row>
    <row r="701" spans="1:37" x14ac:dyDescent="0.2">
      <c r="A701">
        <v>700</v>
      </c>
      <c r="B701" t="s">
        <v>282</v>
      </c>
      <c r="C701" t="s">
        <v>54</v>
      </c>
      <c r="D701" t="s">
        <v>283</v>
      </c>
      <c r="E701" t="s">
        <v>140</v>
      </c>
      <c r="F701" s="25">
        <v>46063</v>
      </c>
      <c r="G701" t="s">
        <v>374</v>
      </c>
      <c r="H701" t="s">
        <v>412</v>
      </c>
      <c r="I701" t="s">
        <v>371</v>
      </c>
      <c r="J701" t="s">
        <v>36</v>
      </c>
      <c r="K701" t="s">
        <v>37</v>
      </c>
      <c r="L701" t="s">
        <v>150</v>
      </c>
      <c r="M701" t="s">
        <v>141</v>
      </c>
      <c r="N701" t="s">
        <v>142</v>
      </c>
      <c r="O701" t="s">
        <v>155</v>
      </c>
      <c r="P701" t="s">
        <v>281</v>
      </c>
      <c r="Q701" t="s">
        <v>155</v>
      </c>
      <c r="R701" t="s">
        <v>273</v>
      </c>
      <c r="S701" t="s">
        <v>309</v>
      </c>
      <c r="T701">
        <v>1</v>
      </c>
      <c r="U701" t="s">
        <v>424</v>
      </c>
      <c r="V701" t="s">
        <v>285</v>
      </c>
      <c r="W701" t="s">
        <v>425</v>
      </c>
      <c r="X701" t="s">
        <v>306</v>
      </c>
      <c r="Y701" t="s">
        <v>307</v>
      </c>
      <c r="Z701">
        <v>65</v>
      </c>
      <c r="AA701">
        <v>67</v>
      </c>
      <c r="AB701" t="s">
        <v>143</v>
      </c>
      <c r="AC701" t="s">
        <v>49</v>
      </c>
      <c r="AD701" t="s">
        <v>426</v>
      </c>
      <c r="AE701" t="str">
        <f>IF(AF701="","",VLOOKUP(AC701,mapel!$A$2:$B$42,2,FALSE))</f>
        <v>Kimia</v>
      </c>
      <c r="AF701">
        <f t="shared" si="30"/>
        <v>67</v>
      </c>
      <c r="AG701" t="str">
        <f>IF(AF701="","",IF(AF701&gt;90,"Sangat baik",IF(AF701&gt;79,"Baik",IF(AF701&gt;=pub_gid_0_single_true_output_csv[[#This Row],[KKM]],"Cukup","Kurang"))))</f>
        <v>Cukup</v>
      </c>
      <c r="AH701">
        <f t="shared" si="31"/>
        <v>11</v>
      </c>
      <c r="AI701" s="30" t="str">
        <f>IF(OR(J701&lt;&gt;"Karakter",pub_gid_0_single_true_output_csv[[#This Row],[Nilai2]]=""),"",IF(AF701&gt;89,"Sangat baik",IF(AF701&gt;79,"Baik",IF(AF701&gt;69,"Cukup",IF(AF701&gt;59,"Kurang","Sangat kurang")))))</f>
        <v/>
      </c>
      <c r="AJ701" t="str">
        <f t="shared" si="32"/>
        <v>Wk.7</v>
      </c>
      <c r="AK701" t="e">
        <f>IF(pub_gid_0_single_true_output_csv[[#This Row],[Nilai2]]="","",VLOOKUP(pub_gid_0_single_true_output_csv[[#This Row],[NAMA]],Table7[],3,FALSE))</f>
        <v>#N/A</v>
      </c>
    </row>
    <row r="702" spans="1:37" x14ac:dyDescent="0.2">
      <c r="A702">
        <v>701</v>
      </c>
      <c r="B702" t="s">
        <v>282</v>
      </c>
      <c r="C702" t="s">
        <v>54</v>
      </c>
      <c r="D702" t="s">
        <v>283</v>
      </c>
      <c r="E702" t="s">
        <v>140</v>
      </c>
      <c r="F702" s="25">
        <v>46070</v>
      </c>
      <c r="G702" t="s">
        <v>469</v>
      </c>
      <c r="H702" t="s">
        <v>412</v>
      </c>
      <c r="I702" t="s">
        <v>371</v>
      </c>
      <c r="J702" t="s">
        <v>36</v>
      </c>
      <c r="K702" t="s">
        <v>37</v>
      </c>
      <c r="L702" t="s">
        <v>150</v>
      </c>
      <c r="M702" t="s">
        <v>141</v>
      </c>
      <c r="N702" t="s">
        <v>142</v>
      </c>
      <c r="O702" t="s">
        <v>155</v>
      </c>
      <c r="P702" t="s">
        <v>281</v>
      </c>
      <c r="Q702" t="s">
        <v>155</v>
      </c>
      <c r="R702" t="s">
        <v>273</v>
      </c>
      <c r="S702" t="s">
        <v>309</v>
      </c>
      <c r="T702">
        <v>1</v>
      </c>
      <c r="U702" t="s">
        <v>424</v>
      </c>
      <c r="V702" t="s">
        <v>285</v>
      </c>
      <c r="W702" t="s">
        <v>425</v>
      </c>
      <c r="X702" t="s">
        <v>306</v>
      </c>
      <c r="Y702" t="s">
        <v>307</v>
      </c>
      <c r="Z702">
        <v>65</v>
      </c>
      <c r="AA702">
        <v>65</v>
      </c>
      <c r="AB702" t="s">
        <v>143</v>
      </c>
      <c r="AC702" t="s">
        <v>49</v>
      </c>
      <c r="AD702" t="s">
        <v>426</v>
      </c>
      <c r="AE702" t="str">
        <f>IF(AF702="","",VLOOKUP(AC702,mapel!$A$2:$B$42,2,FALSE))</f>
        <v>Kimia</v>
      </c>
      <c r="AF702">
        <f t="shared" si="30"/>
        <v>65</v>
      </c>
      <c r="AG702" t="str">
        <f>IF(AF702="","",IF(AF702&gt;90,"Sangat baik",IF(AF702&gt;79,"Baik",IF(AF702&gt;=pub_gid_0_single_true_output_csv[[#This Row],[KKM]],"Cukup","Kurang"))))</f>
        <v>Cukup</v>
      </c>
      <c r="AH702">
        <f t="shared" si="31"/>
        <v>11</v>
      </c>
      <c r="AI702" s="30" t="str">
        <f>IF(OR(J702&lt;&gt;"Karakter",pub_gid_0_single_true_output_csv[[#This Row],[Nilai2]]=""),"",IF(AF702&gt;89,"Sangat baik",IF(AF702&gt;79,"Baik",IF(AF702&gt;69,"Cukup",IF(AF702&gt;59,"Kurang","Sangat kurang")))))</f>
        <v/>
      </c>
      <c r="AJ702" t="str">
        <f t="shared" si="32"/>
        <v>Wk.8</v>
      </c>
      <c r="AK702" t="e">
        <f>IF(pub_gid_0_single_true_output_csv[[#This Row],[Nilai2]]="","",VLOOKUP(pub_gid_0_single_true_output_csv[[#This Row],[NAMA]],Table7[],3,FALSE))</f>
        <v>#N/A</v>
      </c>
    </row>
    <row r="703" spans="1:37" x14ac:dyDescent="0.2">
      <c r="A703">
        <v>702</v>
      </c>
      <c r="B703" t="s">
        <v>292</v>
      </c>
      <c r="C703" t="s">
        <v>54</v>
      </c>
      <c r="D703" t="s">
        <v>94</v>
      </c>
      <c r="E703" t="s">
        <v>147</v>
      </c>
      <c r="F703" s="25">
        <v>46028</v>
      </c>
      <c r="G703" t="s">
        <v>349</v>
      </c>
      <c r="H703" t="s">
        <v>405</v>
      </c>
      <c r="I703" t="s">
        <v>371</v>
      </c>
      <c r="J703" t="s">
        <v>41</v>
      </c>
      <c r="K703" t="s">
        <v>365</v>
      </c>
      <c r="L703" t="s">
        <v>395</v>
      </c>
      <c r="M703" t="s">
        <v>141</v>
      </c>
      <c r="N703" t="s">
        <v>142</v>
      </c>
      <c r="O703" t="s">
        <v>155</v>
      </c>
      <c r="P703" t="s">
        <v>281</v>
      </c>
      <c r="Q703" t="s">
        <v>155</v>
      </c>
      <c r="R703" t="s">
        <v>273</v>
      </c>
      <c r="S703" t="s">
        <v>309</v>
      </c>
      <c r="T703">
        <v>1</v>
      </c>
      <c r="U703" t="s">
        <v>424</v>
      </c>
      <c r="V703" t="s">
        <v>285</v>
      </c>
      <c r="W703" t="s">
        <v>425</v>
      </c>
      <c r="X703" t="s">
        <v>306</v>
      </c>
      <c r="Y703" t="s">
        <v>307</v>
      </c>
      <c r="Z703">
        <v>65</v>
      </c>
      <c r="AA703">
        <v>65</v>
      </c>
      <c r="AB703" t="s">
        <v>143</v>
      </c>
      <c r="AC703" t="s">
        <v>49</v>
      </c>
      <c r="AD703" t="s">
        <v>426</v>
      </c>
      <c r="AE703" t="str">
        <f>IF(AF703="","",VLOOKUP(AC703,mapel!$A$2:$B$42,2,FALSE))</f>
        <v>Kimia</v>
      </c>
      <c r="AF703">
        <f t="shared" si="30"/>
        <v>65</v>
      </c>
      <c r="AG703" t="str">
        <f>IF(AF703="","",IF(AF703&gt;90,"Sangat baik",IF(AF703&gt;79,"Baik",IF(AF703&gt;=pub_gid_0_single_true_output_csv[[#This Row],[KKM]],"Cukup","Kurang"))))</f>
        <v>Cukup</v>
      </c>
      <c r="AH703">
        <f t="shared" si="31"/>
        <v>11</v>
      </c>
      <c r="AI703" s="30" t="str">
        <f>IF(OR(J703&lt;&gt;"Karakter",pub_gid_0_single_true_output_csv[[#This Row],[Nilai2]]=""),"",IF(AF703&gt;89,"Sangat baik",IF(AF703&gt;79,"Baik",IF(AF703&gt;69,"Cukup",IF(AF703&gt;59,"Kurang","Sangat kurang")))))</f>
        <v/>
      </c>
      <c r="AJ703" t="str">
        <f t="shared" si="32"/>
        <v>Wk.2</v>
      </c>
      <c r="AK703" t="str">
        <f>IF(pub_gid_0_single_true_output_csv[[#This Row],[Nilai2]]="","",VLOOKUP(pub_gid_0_single_true_output_csv[[#This Row],[NAMA]],Table7[],3,FALSE))</f>
        <v>Average</v>
      </c>
    </row>
    <row r="704" spans="1:37" x14ac:dyDescent="0.2">
      <c r="A704">
        <v>703</v>
      </c>
      <c r="B704" t="s">
        <v>292</v>
      </c>
      <c r="C704" t="s">
        <v>54</v>
      </c>
      <c r="D704" t="s">
        <v>94</v>
      </c>
      <c r="E704" t="s">
        <v>147</v>
      </c>
      <c r="F704" s="25">
        <v>46045</v>
      </c>
      <c r="G704" t="s">
        <v>468</v>
      </c>
      <c r="H704" t="s">
        <v>405</v>
      </c>
      <c r="I704" t="s">
        <v>371</v>
      </c>
      <c r="J704" t="s">
        <v>31</v>
      </c>
      <c r="K704" t="s">
        <v>32</v>
      </c>
      <c r="L704" t="s">
        <v>150</v>
      </c>
      <c r="M704" t="s">
        <v>141</v>
      </c>
      <c r="N704" t="s">
        <v>142</v>
      </c>
      <c r="O704" t="s">
        <v>155</v>
      </c>
      <c r="P704" t="s">
        <v>281</v>
      </c>
      <c r="Q704" t="s">
        <v>155</v>
      </c>
      <c r="R704" t="s">
        <v>273</v>
      </c>
      <c r="S704" t="s">
        <v>309</v>
      </c>
      <c r="T704">
        <v>1</v>
      </c>
      <c r="U704" t="s">
        <v>424</v>
      </c>
      <c r="V704" t="s">
        <v>285</v>
      </c>
      <c r="W704" t="s">
        <v>425</v>
      </c>
      <c r="X704" t="s">
        <v>306</v>
      </c>
      <c r="Y704" t="s">
        <v>307</v>
      </c>
      <c r="Z704">
        <v>65</v>
      </c>
      <c r="AA704">
        <v>70</v>
      </c>
      <c r="AB704" t="s">
        <v>143</v>
      </c>
      <c r="AC704" t="s">
        <v>49</v>
      </c>
      <c r="AD704" t="s">
        <v>426</v>
      </c>
      <c r="AE704" t="str">
        <f>IF(AF704="","",VLOOKUP(AC704,mapel!$A$2:$B$42,2,FALSE))</f>
        <v>Kimia</v>
      </c>
      <c r="AF704">
        <f t="shared" si="30"/>
        <v>70</v>
      </c>
      <c r="AG704" t="str">
        <f>IF(AF704="","",IF(AF704&gt;90,"Sangat baik",IF(AF704&gt;79,"Baik",IF(AF704&gt;=pub_gid_0_single_true_output_csv[[#This Row],[KKM]],"Cukup","Kurang"))))</f>
        <v>Cukup</v>
      </c>
      <c r="AH704">
        <f t="shared" si="31"/>
        <v>11</v>
      </c>
      <c r="AI704" s="30" t="str">
        <f>IF(OR(J704&lt;&gt;"Karakter",pub_gid_0_single_true_output_csv[[#This Row],[Nilai2]]=""),"",IF(AF704&gt;89,"Sangat baik",IF(AF704&gt;79,"Baik",IF(AF704&gt;69,"Cukup",IF(AF704&gt;59,"Kurang","Sangat kurang")))))</f>
        <v/>
      </c>
      <c r="AJ704" t="str">
        <f t="shared" si="32"/>
        <v>Wk.4</v>
      </c>
      <c r="AK704" t="str">
        <f>IF(pub_gid_0_single_true_output_csv[[#This Row],[Nilai2]]="","",VLOOKUP(pub_gid_0_single_true_output_csv[[#This Row],[NAMA]],Table7[],3,FALSE))</f>
        <v>Average</v>
      </c>
    </row>
    <row r="705" spans="1:37" x14ac:dyDescent="0.2">
      <c r="A705">
        <v>704</v>
      </c>
      <c r="B705" t="s">
        <v>292</v>
      </c>
      <c r="C705" t="s">
        <v>54</v>
      </c>
      <c r="D705" t="s">
        <v>94</v>
      </c>
      <c r="E705" t="s">
        <v>147</v>
      </c>
      <c r="F705" s="25">
        <v>46063</v>
      </c>
      <c r="G705" t="s">
        <v>374</v>
      </c>
      <c r="H705" t="s">
        <v>412</v>
      </c>
      <c r="I705" t="s">
        <v>371</v>
      </c>
      <c r="J705" t="s">
        <v>36</v>
      </c>
      <c r="K705" t="s">
        <v>37</v>
      </c>
      <c r="L705" t="s">
        <v>150</v>
      </c>
      <c r="M705" t="s">
        <v>141</v>
      </c>
      <c r="N705" t="s">
        <v>142</v>
      </c>
      <c r="O705" t="s">
        <v>155</v>
      </c>
      <c r="P705" t="s">
        <v>281</v>
      </c>
      <c r="Q705" t="s">
        <v>155</v>
      </c>
      <c r="R705" t="s">
        <v>273</v>
      </c>
      <c r="S705" t="s">
        <v>309</v>
      </c>
      <c r="T705">
        <v>1</v>
      </c>
      <c r="U705" t="s">
        <v>424</v>
      </c>
      <c r="V705" t="s">
        <v>285</v>
      </c>
      <c r="W705" t="s">
        <v>425</v>
      </c>
      <c r="X705" t="s">
        <v>306</v>
      </c>
      <c r="Y705" t="s">
        <v>307</v>
      </c>
      <c r="Z705">
        <v>65</v>
      </c>
      <c r="AA705">
        <v>67</v>
      </c>
      <c r="AB705" t="s">
        <v>143</v>
      </c>
      <c r="AC705" t="s">
        <v>49</v>
      </c>
      <c r="AD705" t="s">
        <v>426</v>
      </c>
      <c r="AE705" t="str">
        <f>IF(AF705="","",VLOOKUP(AC705,mapel!$A$2:$B$42,2,FALSE))</f>
        <v>Kimia</v>
      </c>
      <c r="AF705">
        <f t="shared" si="30"/>
        <v>67</v>
      </c>
      <c r="AG705" t="str">
        <f>IF(AF705="","",IF(AF705&gt;90,"Sangat baik",IF(AF705&gt;79,"Baik",IF(AF705&gt;=pub_gid_0_single_true_output_csv[[#This Row],[KKM]],"Cukup","Kurang"))))</f>
        <v>Cukup</v>
      </c>
      <c r="AH705">
        <f t="shared" si="31"/>
        <v>11</v>
      </c>
      <c r="AI705" s="30" t="str">
        <f>IF(OR(J705&lt;&gt;"Karakter",pub_gid_0_single_true_output_csv[[#This Row],[Nilai2]]=""),"",IF(AF705&gt;89,"Sangat baik",IF(AF705&gt;79,"Baik",IF(AF705&gt;69,"Cukup",IF(AF705&gt;59,"Kurang","Sangat kurang")))))</f>
        <v/>
      </c>
      <c r="AJ705" t="str">
        <f t="shared" si="32"/>
        <v>Wk.7</v>
      </c>
      <c r="AK705" t="str">
        <f>IF(pub_gid_0_single_true_output_csv[[#This Row],[Nilai2]]="","",VLOOKUP(pub_gid_0_single_true_output_csv[[#This Row],[NAMA]],Table7[],3,FALSE))</f>
        <v>Average</v>
      </c>
    </row>
    <row r="706" spans="1:37" x14ac:dyDescent="0.2">
      <c r="A706">
        <v>705</v>
      </c>
      <c r="B706" t="s">
        <v>292</v>
      </c>
      <c r="C706" t="s">
        <v>54</v>
      </c>
      <c r="D706" t="s">
        <v>94</v>
      </c>
      <c r="E706" t="s">
        <v>147</v>
      </c>
      <c r="F706" s="25">
        <v>46070</v>
      </c>
      <c r="G706" t="s">
        <v>469</v>
      </c>
      <c r="H706" t="s">
        <v>412</v>
      </c>
      <c r="I706" t="s">
        <v>371</v>
      </c>
      <c r="J706" t="s">
        <v>36</v>
      </c>
      <c r="K706" t="s">
        <v>37</v>
      </c>
      <c r="L706" t="s">
        <v>150</v>
      </c>
      <c r="M706" t="s">
        <v>141</v>
      </c>
      <c r="N706" t="s">
        <v>142</v>
      </c>
      <c r="O706" t="s">
        <v>155</v>
      </c>
      <c r="P706" t="s">
        <v>281</v>
      </c>
      <c r="Q706" t="s">
        <v>155</v>
      </c>
      <c r="R706" t="s">
        <v>273</v>
      </c>
      <c r="S706" t="s">
        <v>309</v>
      </c>
      <c r="T706">
        <v>1</v>
      </c>
      <c r="U706" t="s">
        <v>424</v>
      </c>
      <c r="V706" t="s">
        <v>285</v>
      </c>
      <c r="W706" t="s">
        <v>425</v>
      </c>
      <c r="X706" t="s">
        <v>306</v>
      </c>
      <c r="Y706" t="s">
        <v>307</v>
      </c>
      <c r="Z706">
        <v>65</v>
      </c>
      <c r="AA706">
        <v>90</v>
      </c>
      <c r="AB706" t="s">
        <v>143</v>
      </c>
      <c r="AC706" t="s">
        <v>49</v>
      </c>
      <c r="AD706" t="s">
        <v>426</v>
      </c>
      <c r="AE706" t="str">
        <f>IF(AF706="","",VLOOKUP(AC706,mapel!$A$2:$B$42,2,FALSE))</f>
        <v>Kimia</v>
      </c>
      <c r="AF706">
        <f t="shared" ref="AF706:AF769" si="33">IF(AA706=0, "",IF(AA706 = 0.1, 0,AA706))</f>
        <v>90</v>
      </c>
      <c r="AG706" t="str">
        <f>IF(AF706="","",IF(AF706&gt;90,"Sangat baik",IF(AF706&gt;79,"Baik",IF(AF706&gt;=pub_gid_0_single_true_output_csv[[#This Row],[KKM]],"Cukup","Kurang"))))</f>
        <v>Baik</v>
      </c>
      <c r="AH706">
        <f t="shared" ref="AH706:AH769" si="34">IF(AG706="","",VALUE(RIGHT(X706,2)))</f>
        <v>11</v>
      </c>
      <c r="AI706" s="30" t="str">
        <f>IF(OR(J706&lt;&gt;"Karakter",pub_gid_0_single_true_output_csv[[#This Row],[Nilai2]]=""),"",IF(AF706&gt;89,"Sangat baik",IF(AF706&gt;79,"Baik",IF(AF706&gt;69,"Cukup",IF(AF706&gt;59,"Kurang","Sangat kurang")))))</f>
        <v/>
      </c>
      <c r="AJ706" t="str">
        <f t="shared" ref="AJ706:AJ769" si="35">IF(AF706="","",CONCATENATE("Wk.",WEEKNUM(F706,2)))</f>
        <v>Wk.8</v>
      </c>
      <c r="AK706" t="str">
        <f>IF(pub_gid_0_single_true_output_csv[[#This Row],[Nilai2]]="","",VLOOKUP(pub_gid_0_single_true_output_csv[[#This Row],[NAMA]],Table7[],3,FALSE))</f>
        <v>Average</v>
      </c>
    </row>
    <row r="707" spans="1:37" x14ac:dyDescent="0.2">
      <c r="A707">
        <v>706</v>
      </c>
      <c r="B707" t="s">
        <v>286</v>
      </c>
      <c r="C707" t="s">
        <v>54</v>
      </c>
      <c r="D707" t="s">
        <v>33</v>
      </c>
      <c r="E707" t="s">
        <v>140</v>
      </c>
      <c r="F707" s="25">
        <v>46028</v>
      </c>
      <c r="G707" t="s">
        <v>349</v>
      </c>
      <c r="H707" t="s">
        <v>405</v>
      </c>
      <c r="I707" t="s">
        <v>371</v>
      </c>
      <c r="J707" t="s">
        <v>41</v>
      </c>
      <c r="K707" t="s">
        <v>365</v>
      </c>
      <c r="L707" t="s">
        <v>395</v>
      </c>
      <c r="M707" t="s">
        <v>141</v>
      </c>
      <c r="N707" t="s">
        <v>142</v>
      </c>
      <c r="O707" t="s">
        <v>155</v>
      </c>
      <c r="P707" t="s">
        <v>281</v>
      </c>
      <c r="Q707" t="s">
        <v>155</v>
      </c>
      <c r="R707" t="s">
        <v>273</v>
      </c>
      <c r="S707" t="s">
        <v>309</v>
      </c>
      <c r="T707">
        <v>1</v>
      </c>
      <c r="U707" t="s">
        <v>424</v>
      </c>
      <c r="V707" t="s">
        <v>285</v>
      </c>
      <c r="W707" t="s">
        <v>425</v>
      </c>
      <c r="X707" t="s">
        <v>306</v>
      </c>
      <c r="Y707" t="s">
        <v>307</v>
      </c>
      <c r="Z707">
        <v>65</v>
      </c>
      <c r="AA707">
        <v>65</v>
      </c>
      <c r="AB707" t="s">
        <v>143</v>
      </c>
      <c r="AC707" t="s">
        <v>49</v>
      </c>
      <c r="AD707" t="s">
        <v>426</v>
      </c>
      <c r="AE707" t="str">
        <f>IF(AF707="","",VLOOKUP(AC707,mapel!$A$2:$B$42,2,FALSE))</f>
        <v>Kimia</v>
      </c>
      <c r="AF707">
        <f t="shared" si="33"/>
        <v>65</v>
      </c>
      <c r="AG707" t="str">
        <f>IF(AF707="","",IF(AF707&gt;90,"Sangat baik",IF(AF707&gt;79,"Baik",IF(AF707&gt;=pub_gid_0_single_true_output_csv[[#This Row],[KKM]],"Cukup","Kurang"))))</f>
        <v>Cukup</v>
      </c>
      <c r="AH707">
        <f t="shared" si="34"/>
        <v>11</v>
      </c>
      <c r="AI707" s="30" t="str">
        <f>IF(OR(J707&lt;&gt;"Karakter",pub_gid_0_single_true_output_csv[[#This Row],[Nilai2]]=""),"",IF(AF707&gt;89,"Sangat baik",IF(AF707&gt;79,"Baik",IF(AF707&gt;69,"Cukup",IF(AF707&gt;59,"Kurang","Sangat kurang")))))</f>
        <v/>
      </c>
      <c r="AJ707" t="str">
        <f t="shared" si="35"/>
        <v>Wk.2</v>
      </c>
      <c r="AK707" t="str">
        <f>IF(pub_gid_0_single_true_output_csv[[#This Row],[Nilai2]]="","",VLOOKUP(pub_gid_0_single_true_output_csv[[#This Row],[NAMA]],Table7[],3,FALSE))</f>
        <v>Extremely low</v>
      </c>
    </row>
    <row r="708" spans="1:37" x14ac:dyDescent="0.2">
      <c r="A708">
        <v>707</v>
      </c>
      <c r="B708" t="s">
        <v>286</v>
      </c>
      <c r="C708" t="s">
        <v>54</v>
      </c>
      <c r="D708" t="s">
        <v>33</v>
      </c>
      <c r="E708" t="s">
        <v>140</v>
      </c>
      <c r="F708" s="25">
        <v>46045</v>
      </c>
      <c r="G708" t="s">
        <v>468</v>
      </c>
      <c r="H708" t="s">
        <v>405</v>
      </c>
      <c r="I708" t="s">
        <v>371</v>
      </c>
      <c r="J708" t="s">
        <v>31</v>
      </c>
      <c r="K708" t="s">
        <v>32</v>
      </c>
      <c r="L708" t="s">
        <v>150</v>
      </c>
      <c r="M708" t="s">
        <v>141</v>
      </c>
      <c r="N708" t="s">
        <v>142</v>
      </c>
      <c r="O708" t="s">
        <v>155</v>
      </c>
      <c r="P708" t="s">
        <v>281</v>
      </c>
      <c r="Q708" t="s">
        <v>155</v>
      </c>
      <c r="R708" t="s">
        <v>273</v>
      </c>
      <c r="S708" t="s">
        <v>309</v>
      </c>
      <c r="T708">
        <v>1</v>
      </c>
      <c r="U708" t="s">
        <v>424</v>
      </c>
      <c r="V708" t="s">
        <v>285</v>
      </c>
      <c r="W708" t="s">
        <v>425</v>
      </c>
      <c r="X708" t="s">
        <v>306</v>
      </c>
      <c r="Y708" t="s">
        <v>307</v>
      </c>
      <c r="Z708">
        <v>65</v>
      </c>
      <c r="AA708">
        <v>70</v>
      </c>
      <c r="AB708" t="s">
        <v>143</v>
      </c>
      <c r="AC708" t="s">
        <v>49</v>
      </c>
      <c r="AD708" t="s">
        <v>426</v>
      </c>
      <c r="AE708" t="str">
        <f>IF(AF708="","",VLOOKUP(AC708,mapel!$A$2:$B$42,2,FALSE))</f>
        <v>Kimia</v>
      </c>
      <c r="AF708">
        <f t="shared" si="33"/>
        <v>70</v>
      </c>
      <c r="AG708" t="str">
        <f>IF(AF708="","",IF(AF708&gt;90,"Sangat baik",IF(AF708&gt;79,"Baik",IF(AF708&gt;=pub_gid_0_single_true_output_csv[[#This Row],[KKM]],"Cukup","Kurang"))))</f>
        <v>Cukup</v>
      </c>
      <c r="AH708">
        <f t="shared" si="34"/>
        <v>11</v>
      </c>
      <c r="AI708" s="30" t="str">
        <f>IF(OR(J708&lt;&gt;"Karakter",pub_gid_0_single_true_output_csv[[#This Row],[Nilai2]]=""),"",IF(AF708&gt;89,"Sangat baik",IF(AF708&gt;79,"Baik",IF(AF708&gt;69,"Cukup",IF(AF708&gt;59,"Kurang","Sangat kurang")))))</f>
        <v/>
      </c>
      <c r="AJ708" t="str">
        <f t="shared" si="35"/>
        <v>Wk.4</v>
      </c>
      <c r="AK708" t="str">
        <f>IF(pub_gid_0_single_true_output_csv[[#This Row],[Nilai2]]="","",VLOOKUP(pub_gid_0_single_true_output_csv[[#This Row],[NAMA]],Table7[],3,FALSE))</f>
        <v>Extremely low</v>
      </c>
    </row>
    <row r="709" spans="1:37" x14ac:dyDescent="0.2">
      <c r="A709">
        <v>708</v>
      </c>
      <c r="B709" t="s">
        <v>286</v>
      </c>
      <c r="C709" t="s">
        <v>54</v>
      </c>
      <c r="D709" t="s">
        <v>33</v>
      </c>
      <c r="E709" t="s">
        <v>140</v>
      </c>
      <c r="F709" s="25">
        <v>46063</v>
      </c>
      <c r="G709" t="s">
        <v>374</v>
      </c>
      <c r="H709" t="s">
        <v>412</v>
      </c>
      <c r="I709" t="s">
        <v>371</v>
      </c>
      <c r="J709" t="s">
        <v>36</v>
      </c>
      <c r="K709" t="s">
        <v>37</v>
      </c>
      <c r="L709" t="s">
        <v>150</v>
      </c>
      <c r="M709" t="s">
        <v>141</v>
      </c>
      <c r="N709" t="s">
        <v>142</v>
      </c>
      <c r="O709" t="s">
        <v>155</v>
      </c>
      <c r="P709" t="s">
        <v>281</v>
      </c>
      <c r="Q709" t="s">
        <v>155</v>
      </c>
      <c r="R709" t="s">
        <v>273</v>
      </c>
      <c r="S709" t="s">
        <v>309</v>
      </c>
      <c r="T709">
        <v>1</v>
      </c>
      <c r="U709" t="s">
        <v>424</v>
      </c>
      <c r="V709" t="s">
        <v>285</v>
      </c>
      <c r="W709" t="s">
        <v>425</v>
      </c>
      <c r="X709" t="s">
        <v>306</v>
      </c>
      <c r="Y709" t="s">
        <v>307</v>
      </c>
      <c r="Z709">
        <v>65</v>
      </c>
      <c r="AA709">
        <v>67</v>
      </c>
      <c r="AB709" t="s">
        <v>143</v>
      </c>
      <c r="AC709" t="s">
        <v>49</v>
      </c>
      <c r="AD709" t="s">
        <v>426</v>
      </c>
      <c r="AE709" t="str">
        <f>IF(AF709="","",VLOOKUP(AC709,mapel!$A$2:$B$42,2,FALSE))</f>
        <v>Kimia</v>
      </c>
      <c r="AF709">
        <f t="shared" si="33"/>
        <v>67</v>
      </c>
      <c r="AG709" t="str">
        <f>IF(AF709="","",IF(AF709&gt;90,"Sangat baik",IF(AF709&gt;79,"Baik",IF(AF709&gt;=pub_gid_0_single_true_output_csv[[#This Row],[KKM]],"Cukup","Kurang"))))</f>
        <v>Cukup</v>
      </c>
      <c r="AH709">
        <f t="shared" si="34"/>
        <v>11</v>
      </c>
      <c r="AI709" s="30" t="str">
        <f>IF(OR(J709&lt;&gt;"Karakter",pub_gid_0_single_true_output_csv[[#This Row],[Nilai2]]=""),"",IF(AF709&gt;89,"Sangat baik",IF(AF709&gt;79,"Baik",IF(AF709&gt;69,"Cukup",IF(AF709&gt;59,"Kurang","Sangat kurang")))))</f>
        <v/>
      </c>
      <c r="AJ709" t="str">
        <f t="shared" si="35"/>
        <v>Wk.7</v>
      </c>
      <c r="AK709" t="str">
        <f>IF(pub_gid_0_single_true_output_csv[[#This Row],[Nilai2]]="","",VLOOKUP(pub_gid_0_single_true_output_csv[[#This Row],[NAMA]],Table7[],3,FALSE))</f>
        <v>Extremely low</v>
      </c>
    </row>
    <row r="710" spans="1:37" x14ac:dyDescent="0.2">
      <c r="A710">
        <v>709</v>
      </c>
      <c r="B710" t="s">
        <v>286</v>
      </c>
      <c r="C710" t="s">
        <v>54</v>
      </c>
      <c r="D710" t="s">
        <v>33</v>
      </c>
      <c r="E710" t="s">
        <v>140</v>
      </c>
      <c r="F710" s="25">
        <v>46070</v>
      </c>
      <c r="G710" t="s">
        <v>469</v>
      </c>
      <c r="H710" t="s">
        <v>412</v>
      </c>
      <c r="I710" t="s">
        <v>371</v>
      </c>
      <c r="J710" t="s">
        <v>36</v>
      </c>
      <c r="K710" t="s">
        <v>37</v>
      </c>
      <c r="L710" t="s">
        <v>150</v>
      </c>
      <c r="M710" t="s">
        <v>141</v>
      </c>
      <c r="N710" t="s">
        <v>142</v>
      </c>
      <c r="O710" t="s">
        <v>155</v>
      </c>
      <c r="P710" t="s">
        <v>281</v>
      </c>
      <c r="Q710" t="s">
        <v>155</v>
      </c>
      <c r="R710" t="s">
        <v>273</v>
      </c>
      <c r="S710" t="s">
        <v>309</v>
      </c>
      <c r="T710">
        <v>1</v>
      </c>
      <c r="U710" t="s">
        <v>424</v>
      </c>
      <c r="V710" t="s">
        <v>285</v>
      </c>
      <c r="W710" t="s">
        <v>425</v>
      </c>
      <c r="X710" t="s">
        <v>306</v>
      </c>
      <c r="Y710" t="s">
        <v>307</v>
      </c>
      <c r="Z710">
        <v>65</v>
      </c>
      <c r="AA710">
        <v>98</v>
      </c>
      <c r="AB710" t="s">
        <v>143</v>
      </c>
      <c r="AC710" t="s">
        <v>49</v>
      </c>
      <c r="AD710" t="s">
        <v>426</v>
      </c>
      <c r="AE710" t="str">
        <f>IF(AF710="","",VLOOKUP(AC710,mapel!$A$2:$B$42,2,FALSE))</f>
        <v>Kimia</v>
      </c>
      <c r="AF710">
        <f t="shared" si="33"/>
        <v>98</v>
      </c>
      <c r="AG710" t="str">
        <f>IF(AF710="","",IF(AF710&gt;90,"Sangat baik",IF(AF710&gt;79,"Baik",IF(AF710&gt;=pub_gid_0_single_true_output_csv[[#This Row],[KKM]],"Cukup","Kurang"))))</f>
        <v>Sangat baik</v>
      </c>
      <c r="AH710">
        <f t="shared" si="34"/>
        <v>11</v>
      </c>
      <c r="AI710" s="30" t="str">
        <f>IF(OR(J710&lt;&gt;"Karakter",pub_gid_0_single_true_output_csv[[#This Row],[Nilai2]]=""),"",IF(AF710&gt;89,"Sangat baik",IF(AF710&gt;79,"Baik",IF(AF710&gt;69,"Cukup",IF(AF710&gt;59,"Kurang","Sangat kurang")))))</f>
        <v/>
      </c>
      <c r="AJ710" t="str">
        <f t="shared" si="35"/>
        <v>Wk.8</v>
      </c>
      <c r="AK710" t="str">
        <f>IF(pub_gid_0_single_true_output_csv[[#This Row],[Nilai2]]="","",VLOOKUP(pub_gid_0_single_true_output_csv[[#This Row],[NAMA]],Table7[],3,FALSE))</f>
        <v>Extremely low</v>
      </c>
    </row>
    <row r="711" spans="1:37" x14ac:dyDescent="0.2">
      <c r="A711">
        <v>710</v>
      </c>
      <c r="B711" t="s">
        <v>293</v>
      </c>
      <c r="C711" t="s">
        <v>54</v>
      </c>
      <c r="D711" t="s">
        <v>45</v>
      </c>
      <c r="E711" t="s">
        <v>147</v>
      </c>
      <c r="F711" s="25">
        <v>46028</v>
      </c>
      <c r="G711" t="s">
        <v>349</v>
      </c>
      <c r="H711" t="s">
        <v>405</v>
      </c>
      <c r="I711" t="s">
        <v>371</v>
      </c>
      <c r="J711" t="s">
        <v>41</v>
      </c>
      <c r="K711" t="s">
        <v>365</v>
      </c>
      <c r="L711" t="s">
        <v>395</v>
      </c>
      <c r="M711" t="s">
        <v>141</v>
      </c>
      <c r="N711" t="s">
        <v>142</v>
      </c>
      <c r="O711" t="s">
        <v>155</v>
      </c>
      <c r="P711" t="s">
        <v>281</v>
      </c>
      <c r="Q711" t="s">
        <v>155</v>
      </c>
      <c r="R711" t="s">
        <v>273</v>
      </c>
      <c r="S711" t="s">
        <v>309</v>
      </c>
      <c r="T711">
        <v>1</v>
      </c>
      <c r="U711" t="s">
        <v>424</v>
      </c>
      <c r="V711" t="s">
        <v>285</v>
      </c>
      <c r="W711" t="s">
        <v>425</v>
      </c>
      <c r="X711" t="s">
        <v>306</v>
      </c>
      <c r="Y711" t="s">
        <v>307</v>
      </c>
      <c r="Z711">
        <v>65</v>
      </c>
      <c r="AA711">
        <v>100</v>
      </c>
      <c r="AB711" t="s">
        <v>143</v>
      </c>
      <c r="AC711" t="s">
        <v>49</v>
      </c>
      <c r="AD711" t="s">
        <v>426</v>
      </c>
      <c r="AE711" t="str">
        <f>IF(AF711="","",VLOOKUP(AC711,mapel!$A$2:$B$42,2,FALSE))</f>
        <v>Kimia</v>
      </c>
      <c r="AF711">
        <f t="shared" si="33"/>
        <v>100</v>
      </c>
      <c r="AG711" t="str">
        <f>IF(AF711="","",IF(AF711&gt;90,"Sangat baik",IF(AF711&gt;79,"Baik",IF(AF711&gt;=pub_gid_0_single_true_output_csv[[#This Row],[KKM]],"Cukup","Kurang"))))</f>
        <v>Sangat baik</v>
      </c>
      <c r="AH711">
        <f t="shared" si="34"/>
        <v>11</v>
      </c>
      <c r="AI711" s="30" t="str">
        <f>IF(OR(J711&lt;&gt;"Karakter",pub_gid_0_single_true_output_csv[[#This Row],[Nilai2]]=""),"",IF(AF711&gt;89,"Sangat baik",IF(AF711&gt;79,"Baik",IF(AF711&gt;69,"Cukup",IF(AF711&gt;59,"Kurang","Sangat kurang")))))</f>
        <v/>
      </c>
      <c r="AJ711" t="str">
        <f t="shared" si="35"/>
        <v>Wk.2</v>
      </c>
      <c r="AK711" t="str">
        <f>IF(pub_gid_0_single_true_output_csv[[#This Row],[Nilai2]]="","",VLOOKUP(pub_gid_0_single_true_output_csv[[#This Row],[NAMA]],Table7[],3,FALSE))</f>
        <v>High average</v>
      </c>
    </row>
    <row r="712" spans="1:37" x14ac:dyDescent="0.2">
      <c r="A712">
        <v>711</v>
      </c>
      <c r="B712" t="s">
        <v>293</v>
      </c>
      <c r="C712" t="s">
        <v>54</v>
      </c>
      <c r="D712" t="s">
        <v>45</v>
      </c>
      <c r="E712" t="s">
        <v>147</v>
      </c>
      <c r="F712" s="25">
        <v>46045</v>
      </c>
      <c r="G712" t="s">
        <v>468</v>
      </c>
      <c r="H712" t="s">
        <v>405</v>
      </c>
      <c r="I712" t="s">
        <v>371</v>
      </c>
      <c r="J712" t="s">
        <v>31</v>
      </c>
      <c r="K712" t="s">
        <v>32</v>
      </c>
      <c r="L712" t="s">
        <v>150</v>
      </c>
      <c r="M712" t="s">
        <v>141</v>
      </c>
      <c r="N712" t="s">
        <v>142</v>
      </c>
      <c r="O712" t="s">
        <v>155</v>
      </c>
      <c r="P712" t="s">
        <v>281</v>
      </c>
      <c r="Q712" t="s">
        <v>155</v>
      </c>
      <c r="R712" t="s">
        <v>273</v>
      </c>
      <c r="S712" t="s">
        <v>309</v>
      </c>
      <c r="T712">
        <v>1</v>
      </c>
      <c r="U712" t="s">
        <v>424</v>
      </c>
      <c r="V712" t="s">
        <v>285</v>
      </c>
      <c r="W712" t="s">
        <v>425</v>
      </c>
      <c r="X712" t="s">
        <v>306</v>
      </c>
      <c r="Y712" t="s">
        <v>307</v>
      </c>
      <c r="Z712">
        <v>65</v>
      </c>
      <c r="AA712">
        <v>70</v>
      </c>
      <c r="AB712" t="s">
        <v>143</v>
      </c>
      <c r="AC712" t="s">
        <v>49</v>
      </c>
      <c r="AD712" t="s">
        <v>426</v>
      </c>
      <c r="AE712" t="str">
        <f>IF(AF712="","",VLOOKUP(AC712,mapel!$A$2:$B$42,2,FALSE))</f>
        <v>Kimia</v>
      </c>
      <c r="AF712">
        <f t="shared" si="33"/>
        <v>70</v>
      </c>
      <c r="AG712" t="str">
        <f>IF(AF712="","",IF(AF712&gt;90,"Sangat baik",IF(AF712&gt;79,"Baik",IF(AF712&gt;=pub_gid_0_single_true_output_csv[[#This Row],[KKM]],"Cukup","Kurang"))))</f>
        <v>Cukup</v>
      </c>
      <c r="AH712">
        <f t="shared" si="34"/>
        <v>11</v>
      </c>
      <c r="AI712" s="30" t="str">
        <f>IF(OR(J712&lt;&gt;"Karakter",pub_gid_0_single_true_output_csv[[#This Row],[Nilai2]]=""),"",IF(AF712&gt;89,"Sangat baik",IF(AF712&gt;79,"Baik",IF(AF712&gt;69,"Cukup",IF(AF712&gt;59,"Kurang","Sangat kurang")))))</f>
        <v/>
      </c>
      <c r="AJ712" t="str">
        <f t="shared" si="35"/>
        <v>Wk.4</v>
      </c>
      <c r="AK712" t="str">
        <f>IF(pub_gid_0_single_true_output_csv[[#This Row],[Nilai2]]="","",VLOOKUP(pub_gid_0_single_true_output_csv[[#This Row],[NAMA]],Table7[],3,FALSE))</f>
        <v>High average</v>
      </c>
    </row>
    <row r="713" spans="1:37" x14ac:dyDescent="0.2">
      <c r="A713">
        <v>712</v>
      </c>
      <c r="B713" t="s">
        <v>293</v>
      </c>
      <c r="C713" t="s">
        <v>54</v>
      </c>
      <c r="D713" t="s">
        <v>45</v>
      </c>
      <c r="E713" t="s">
        <v>147</v>
      </c>
      <c r="F713" s="25">
        <v>46063</v>
      </c>
      <c r="G713" t="s">
        <v>374</v>
      </c>
      <c r="H713" t="s">
        <v>412</v>
      </c>
      <c r="I713" t="s">
        <v>371</v>
      </c>
      <c r="J713" t="s">
        <v>36</v>
      </c>
      <c r="K713" t="s">
        <v>37</v>
      </c>
      <c r="L713" t="s">
        <v>150</v>
      </c>
      <c r="M713" t="s">
        <v>141</v>
      </c>
      <c r="N713" t="s">
        <v>142</v>
      </c>
      <c r="O713" t="s">
        <v>155</v>
      </c>
      <c r="P713" t="s">
        <v>281</v>
      </c>
      <c r="Q713" t="s">
        <v>155</v>
      </c>
      <c r="R713" t="s">
        <v>273</v>
      </c>
      <c r="S713" t="s">
        <v>309</v>
      </c>
      <c r="T713">
        <v>1</v>
      </c>
      <c r="U713" t="s">
        <v>424</v>
      </c>
      <c r="V713" t="s">
        <v>285</v>
      </c>
      <c r="W713" t="s">
        <v>425</v>
      </c>
      <c r="X713" t="s">
        <v>306</v>
      </c>
      <c r="Y713" t="s">
        <v>307</v>
      </c>
      <c r="Z713">
        <v>65</v>
      </c>
      <c r="AA713">
        <v>67</v>
      </c>
      <c r="AB713" t="s">
        <v>143</v>
      </c>
      <c r="AC713" t="s">
        <v>49</v>
      </c>
      <c r="AD713" t="s">
        <v>426</v>
      </c>
      <c r="AE713" t="str">
        <f>IF(AF713="","",VLOOKUP(AC713,mapel!$A$2:$B$42,2,FALSE))</f>
        <v>Kimia</v>
      </c>
      <c r="AF713">
        <f t="shared" si="33"/>
        <v>67</v>
      </c>
      <c r="AG713" t="str">
        <f>IF(AF713="","",IF(AF713&gt;90,"Sangat baik",IF(AF713&gt;79,"Baik",IF(AF713&gt;=pub_gid_0_single_true_output_csv[[#This Row],[KKM]],"Cukup","Kurang"))))</f>
        <v>Cukup</v>
      </c>
      <c r="AH713">
        <f t="shared" si="34"/>
        <v>11</v>
      </c>
      <c r="AI713" s="30" t="str">
        <f>IF(OR(J713&lt;&gt;"Karakter",pub_gid_0_single_true_output_csv[[#This Row],[Nilai2]]=""),"",IF(AF713&gt;89,"Sangat baik",IF(AF713&gt;79,"Baik",IF(AF713&gt;69,"Cukup",IF(AF713&gt;59,"Kurang","Sangat kurang")))))</f>
        <v/>
      </c>
      <c r="AJ713" t="str">
        <f t="shared" si="35"/>
        <v>Wk.7</v>
      </c>
      <c r="AK713" t="str">
        <f>IF(pub_gid_0_single_true_output_csv[[#This Row],[Nilai2]]="","",VLOOKUP(pub_gid_0_single_true_output_csv[[#This Row],[NAMA]],Table7[],3,FALSE))</f>
        <v>High average</v>
      </c>
    </row>
    <row r="714" spans="1:37" x14ac:dyDescent="0.2">
      <c r="A714">
        <v>713</v>
      </c>
      <c r="B714" t="s">
        <v>293</v>
      </c>
      <c r="C714" t="s">
        <v>54</v>
      </c>
      <c r="D714" t="s">
        <v>45</v>
      </c>
      <c r="E714" t="s">
        <v>147</v>
      </c>
      <c r="F714" s="25">
        <v>46070</v>
      </c>
      <c r="G714" t="s">
        <v>469</v>
      </c>
      <c r="H714" t="s">
        <v>412</v>
      </c>
      <c r="I714" t="s">
        <v>371</v>
      </c>
      <c r="J714" t="s">
        <v>36</v>
      </c>
      <c r="K714" t="s">
        <v>37</v>
      </c>
      <c r="L714" t="s">
        <v>150</v>
      </c>
      <c r="M714" t="s">
        <v>141</v>
      </c>
      <c r="N714" t="s">
        <v>142</v>
      </c>
      <c r="O714" t="s">
        <v>155</v>
      </c>
      <c r="P714" t="s">
        <v>281</v>
      </c>
      <c r="Q714" t="s">
        <v>155</v>
      </c>
      <c r="R714" t="s">
        <v>273</v>
      </c>
      <c r="S714" t="s">
        <v>309</v>
      </c>
      <c r="T714">
        <v>1</v>
      </c>
      <c r="U714" t="s">
        <v>424</v>
      </c>
      <c r="V714" t="s">
        <v>285</v>
      </c>
      <c r="W714" t="s">
        <v>425</v>
      </c>
      <c r="X714" t="s">
        <v>306</v>
      </c>
      <c r="Y714" t="s">
        <v>307</v>
      </c>
      <c r="Z714">
        <v>65</v>
      </c>
      <c r="AA714">
        <v>95</v>
      </c>
      <c r="AB714" t="s">
        <v>143</v>
      </c>
      <c r="AC714" t="s">
        <v>49</v>
      </c>
      <c r="AD714" t="s">
        <v>426</v>
      </c>
      <c r="AE714" t="str">
        <f>IF(AF714="","",VLOOKUP(AC714,mapel!$A$2:$B$42,2,FALSE))</f>
        <v>Kimia</v>
      </c>
      <c r="AF714">
        <f t="shared" si="33"/>
        <v>95</v>
      </c>
      <c r="AG714" t="str">
        <f>IF(AF714="","",IF(AF714&gt;90,"Sangat baik",IF(AF714&gt;79,"Baik",IF(AF714&gt;=pub_gid_0_single_true_output_csv[[#This Row],[KKM]],"Cukup","Kurang"))))</f>
        <v>Sangat baik</v>
      </c>
      <c r="AH714">
        <f t="shared" si="34"/>
        <v>11</v>
      </c>
      <c r="AI714" s="30" t="str">
        <f>IF(OR(J714&lt;&gt;"Karakter",pub_gid_0_single_true_output_csv[[#This Row],[Nilai2]]=""),"",IF(AF714&gt;89,"Sangat baik",IF(AF714&gt;79,"Baik",IF(AF714&gt;69,"Cukup",IF(AF714&gt;59,"Kurang","Sangat kurang")))))</f>
        <v/>
      </c>
      <c r="AJ714" t="str">
        <f t="shared" si="35"/>
        <v>Wk.8</v>
      </c>
      <c r="AK714" t="str">
        <f>IF(pub_gid_0_single_true_output_csv[[#This Row],[Nilai2]]="","",VLOOKUP(pub_gid_0_single_true_output_csv[[#This Row],[NAMA]],Table7[],3,FALSE))</f>
        <v>High average</v>
      </c>
    </row>
    <row r="715" spans="1:37" x14ac:dyDescent="0.2">
      <c r="A715">
        <v>714</v>
      </c>
      <c r="B715" t="s">
        <v>287</v>
      </c>
      <c r="C715" t="s">
        <v>54</v>
      </c>
      <c r="D715" t="s">
        <v>34</v>
      </c>
      <c r="E715" t="s">
        <v>140</v>
      </c>
      <c r="F715" s="25">
        <v>46028</v>
      </c>
      <c r="G715" t="s">
        <v>349</v>
      </c>
      <c r="H715" t="s">
        <v>405</v>
      </c>
      <c r="I715" t="s">
        <v>371</v>
      </c>
      <c r="J715" t="s">
        <v>41</v>
      </c>
      <c r="K715" t="s">
        <v>365</v>
      </c>
      <c r="L715" t="s">
        <v>395</v>
      </c>
      <c r="M715" t="s">
        <v>141</v>
      </c>
      <c r="N715" t="s">
        <v>142</v>
      </c>
      <c r="O715" t="s">
        <v>155</v>
      </c>
      <c r="P715" t="s">
        <v>281</v>
      </c>
      <c r="Q715" t="s">
        <v>155</v>
      </c>
      <c r="R715" t="s">
        <v>273</v>
      </c>
      <c r="S715" t="s">
        <v>309</v>
      </c>
      <c r="T715">
        <v>1</v>
      </c>
      <c r="U715" t="s">
        <v>424</v>
      </c>
      <c r="V715" t="s">
        <v>285</v>
      </c>
      <c r="W715" t="s">
        <v>425</v>
      </c>
      <c r="X715" t="s">
        <v>306</v>
      </c>
      <c r="Y715" t="s">
        <v>307</v>
      </c>
      <c r="Z715">
        <v>65</v>
      </c>
      <c r="AA715">
        <v>100</v>
      </c>
      <c r="AB715" t="s">
        <v>143</v>
      </c>
      <c r="AC715" t="s">
        <v>49</v>
      </c>
      <c r="AD715" t="s">
        <v>426</v>
      </c>
      <c r="AE715" t="str">
        <f>IF(AF715="","",VLOOKUP(AC715,mapel!$A$2:$B$42,2,FALSE))</f>
        <v>Kimia</v>
      </c>
      <c r="AF715">
        <f t="shared" si="33"/>
        <v>100</v>
      </c>
      <c r="AG715" t="str">
        <f>IF(AF715="","",IF(AF715&gt;90,"Sangat baik",IF(AF715&gt;79,"Baik",IF(AF715&gt;=pub_gid_0_single_true_output_csv[[#This Row],[KKM]],"Cukup","Kurang"))))</f>
        <v>Sangat baik</v>
      </c>
      <c r="AH715">
        <f t="shared" si="34"/>
        <v>11</v>
      </c>
      <c r="AI715" s="30" t="str">
        <f>IF(OR(J715&lt;&gt;"Karakter",pub_gid_0_single_true_output_csv[[#This Row],[Nilai2]]=""),"",IF(AF715&gt;89,"Sangat baik",IF(AF715&gt;79,"Baik",IF(AF715&gt;69,"Cukup",IF(AF715&gt;59,"Kurang","Sangat kurang")))))</f>
        <v/>
      </c>
      <c r="AJ715" t="str">
        <f t="shared" si="35"/>
        <v>Wk.2</v>
      </c>
      <c r="AK715" t="str">
        <f>IF(pub_gid_0_single_true_output_csv[[#This Row],[Nilai2]]="","",VLOOKUP(pub_gid_0_single_true_output_csv[[#This Row],[NAMA]],Table7[],3,FALSE))</f>
        <v>Average</v>
      </c>
    </row>
    <row r="716" spans="1:37" x14ac:dyDescent="0.2">
      <c r="A716">
        <v>715</v>
      </c>
      <c r="B716" t="s">
        <v>287</v>
      </c>
      <c r="C716" t="s">
        <v>54</v>
      </c>
      <c r="D716" t="s">
        <v>34</v>
      </c>
      <c r="E716" t="s">
        <v>140</v>
      </c>
      <c r="F716" s="25">
        <v>46045</v>
      </c>
      <c r="G716" t="s">
        <v>468</v>
      </c>
      <c r="H716" t="s">
        <v>405</v>
      </c>
      <c r="I716" t="s">
        <v>371</v>
      </c>
      <c r="J716" t="s">
        <v>31</v>
      </c>
      <c r="K716" t="s">
        <v>32</v>
      </c>
      <c r="L716" t="s">
        <v>150</v>
      </c>
      <c r="M716" t="s">
        <v>141</v>
      </c>
      <c r="N716" t="s">
        <v>142</v>
      </c>
      <c r="O716" t="s">
        <v>155</v>
      </c>
      <c r="P716" t="s">
        <v>281</v>
      </c>
      <c r="Q716" t="s">
        <v>155</v>
      </c>
      <c r="R716" t="s">
        <v>273</v>
      </c>
      <c r="S716" t="s">
        <v>309</v>
      </c>
      <c r="T716">
        <v>1</v>
      </c>
      <c r="U716" t="s">
        <v>424</v>
      </c>
      <c r="V716" t="s">
        <v>285</v>
      </c>
      <c r="W716" t="s">
        <v>425</v>
      </c>
      <c r="X716" t="s">
        <v>306</v>
      </c>
      <c r="Y716" t="s">
        <v>307</v>
      </c>
      <c r="Z716">
        <v>65</v>
      </c>
      <c r="AA716">
        <v>65</v>
      </c>
      <c r="AB716" t="s">
        <v>143</v>
      </c>
      <c r="AC716" t="s">
        <v>49</v>
      </c>
      <c r="AD716" t="s">
        <v>426</v>
      </c>
      <c r="AE716" t="str">
        <f>IF(AF716="","",VLOOKUP(AC716,mapel!$A$2:$B$42,2,FALSE))</f>
        <v>Kimia</v>
      </c>
      <c r="AF716">
        <f t="shared" si="33"/>
        <v>65</v>
      </c>
      <c r="AG716" t="str">
        <f>IF(AF716="","",IF(AF716&gt;90,"Sangat baik",IF(AF716&gt;79,"Baik",IF(AF716&gt;=pub_gid_0_single_true_output_csv[[#This Row],[KKM]],"Cukup","Kurang"))))</f>
        <v>Cukup</v>
      </c>
      <c r="AH716">
        <f t="shared" si="34"/>
        <v>11</v>
      </c>
      <c r="AI716" s="30" t="str">
        <f>IF(OR(J716&lt;&gt;"Karakter",pub_gid_0_single_true_output_csv[[#This Row],[Nilai2]]=""),"",IF(AF716&gt;89,"Sangat baik",IF(AF716&gt;79,"Baik",IF(AF716&gt;69,"Cukup",IF(AF716&gt;59,"Kurang","Sangat kurang")))))</f>
        <v/>
      </c>
      <c r="AJ716" t="str">
        <f t="shared" si="35"/>
        <v>Wk.4</v>
      </c>
      <c r="AK716" t="str">
        <f>IF(pub_gid_0_single_true_output_csv[[#This Row],[Nilai2]]="","",VLOOKUP(pub_gid_0_single_true_output_csv[[#This Row],[NAMA]],Table7[],3,FALSE))</f>
        <v>Average</v>
      </c>
    </row>
    <row r="717" spans="1:37" x14ac:dyDescent="0.2">
      <c r="A717">
        <v>716</v>
      </c>
      <c r="B717" t="s">
        <v>287</v>
      </c>
      <c r="C717" t="s">
        <v>54</v>
      </c>
      <c r="D717" t="s">
        <v>34</v>
      </c>
      <c r="E717" t="s">
        <v>140</v>
      </c>
      <c r="F717" s="25">
        <v>46063</v>
      </c>
      <c r="G717" t="s">
        <v>374</v>
      </c>
      <c r="H717" t="s">
        <v>412</v>
      </c>
      <c r="I717" t="s">
        <v>371</v>
      </c>
      <c r="J717" t="s">
        <v>36</v>
      </c>
      <c r="K717" t="s">
        <v>37</v>
      </c>
      <c r="L717" t="s">
        <v>150</v>
      </c>
      <c r="M717" t="s">
        <v>141</v>
      </c>
      <c r="N717" t="s">
        <v>142</v>
      </c>
      <c r="O717" t="s">
        <v>155</v>
      </c>
      <c r="P717" t="s">
        <v>281</v>
      </c>
      <c r="Q717" t="s">
        <v>155</v>
      </c>
      <c r="R717" t="s">
        <v>273</v>
      </c>
      <c r="S717" t="s">
        <v>309</v>
      </c>
      <c r="T717">
        <v>1</v>
      </c>
      <c r="U717" t="s">
        <v>424</v>
      </c>
      <c r="V717" t="s">
        <v>285</v>
      </c>
      <c r="W717" t="s">
        <v>425</v>
      </c>
      <c r="X717" t="s">
        <v>306</v>
      </c>
      <c r="Y717" t="s">
        <v>307</v>
      </c>
      <c r="Z717">
        <v>65</v>
      </c>
      <c r="AA717">
        <v>67</v>
      </c>
      <c r="AB717" t="s">
        <v>143</v>
      </c>
      <c r="AC717" t="s">
        <v>49</v>
      </c>
      <c r="AD717" t="s">
        <v>426</v>
      </c>
      <c r="AE717" t="str">
        <f>IF(AF717="","",VLOOKUP(AC717,mapel!$A$2:$B$42,2,FALSE))</f>
        <v>Kimia</v>
      </c>
      <c r="AF717">
        <f t="shared" si="33"/>
        <v>67</v>
      </c>
      <c r="AG717" t="str">
        <f>IF(AF717="","",IF(AF717&gt;90,"Sangat baik",IF(AF717&gt;79,"Baik",IF(AF717&gt;=pub_gid_0_single_true_output_csv[[#This Row],[KKM]],"Cukup","Kurang"))))</f>
        <v>Cukup</v>
      </c>
      <c r="AH717">
        <f t="shared" si="34"/>
        <v>11</v>
      </c>
      <c r="AI717" s="30" t="str">
        <f>IF(OR(J717&lt;&gt;"Karakter",pub_gid_0_single_true_output_csv[[#This Row],[Nilai2]]=""),"",IF(AF717&gt;89,"Sangat baik",IF(AF717&gt;79,"Baik",IF(AF717&gt;69,"Cukup",IF(AF717&gt;59,"Kurang","Sangat kurang")))))</f>
        <v/>
      </c>
      <c r="AJ717" t="str">
        <f t="shared" si="35"/>
        <v>Wk.7</v>
      </c>
      <c r="AK717" t="str">
        <f>IF(pub_gid_0_single_true_output_csv[[#This Row],[Nilai2]]="","",VLOOKUP(pub_gid_0_single_true_output_csv[[#This Row],[NAMA]],Table7[],3,FALSE))</f>
        <v>Average</v>
      </c>
    </row>
    <row r="718" spans="1:37" x14ac:dyDescent="0.2">
      <c r="A718">
        <v>717</v>
      </c>
      <c r="B718" t="s">
        <v>287</v>
      </c>
      <c r="C718" t="s">
        <v>54</v>
      </c>
      <c r="D718" t="s">
        <v>34</v>
      </c>
      <c r="E718" t="s">
        <v>140</v>
      </c>
      <c r="F718" s="25">
        <v>46070</v>
      </c>
      <c r="G718" t="s">
        <v>469</v>
      </c>
      <c r="H718" t="s">
        <v>412</v>
      </c>
      <c r="I718" t="s">
        <v>371</v>
      </c>
      <c r="J718" t="s">
        <v>36</v>
      </c>
      <c r="K718" t="s">
        <v>37</v>
      </c>
      <c r="L718" t="s">
        <v>150</v>
      </c>
      <c r="M718" t="s">
        <v>141</v>
      </c>
      <c r="N718" t="s">
        <v>142</v>
      </c>
      <c r="O718" t="s">
        <v>155</v>
      </c>
      <c r="P718" t="s">
        <v>281</v>
      </c>
      <c r="Q718" t="s">
        <v>155</v>
      </c>
      <c r="R718" t="s">
        <v>273</v>
      </c>
      <c r="S718" t="s">
        <v>309</v>
      </c>
      <c r="T718">
        <v>1</v>
      </c>
      <c r="U718" t="s">
        <v>424</v>
      </c>
      <c r="V718" t="s">
        <v>285</v>
      </c>
      <c r="W718" t="s">
        <v>425</v>
      </c>
      <c r="X718" t="s">
        <v>306</v>
      </c>
      <c r="Y718" t="s">
        <v>307</v>
      </c>
      <c r="Z718">
        <v>65</v>
      </c>
      <c r="AA718">
        <v>65</v>
      </c>
      <c r="AB718" t="s">
        <v>143</v>
      </c>
      <c r="AC718" t="s">
        <v>49</v>
      </c>
      <c r="AD718" t="s">
        <v>426</v>
      </c>
      <c r="AE718" t="str">
        <f>IF(AF718="","",VLOOKUP(AC718,mapel!$A$2:$B$42,2,FALSE))</f>
        <v>Kimia</v>
      </c>
      <c r="AF718">
        <f t="shared" si="33"/>
        <v>65</v>
      </c>
      <c r="AG718" t="str">
        <f>IF(AF718="","",IF(AF718&gt;90,"Sangat baik",IF(AF718&gt;79,"Baik",IF(AF718&gt;=pub_gid_0_single_true_output_csv[[#This Row],[KKM]],"Cukup","Kurang"))))</f>
        <v>Cukup</v>
      </c>
      <c r="AH718">
        <f t="shared" si="34"/>
        <v>11</v>
      </c>
      <c r="AI718" s="30" t="str">
        <f>IF(OR(J718&lt;&gt;"Karakter",pub_gid_0_single_true_output_csv[[#This Row],[Nilai2]]=""),"",IF(AF718&gt;89,"Sangat baik",IF(AF718&gt;79,"Baik",IF(AF718&gt;69,"Cukup",IF(AF718&gt;59,"Kurang","Sangat kurang")))))</f>
        <v/>
      </c>
      <c r="AJ718" t="str">
        <f t="shared" si="35"/>
        <v>Wk.8</v>
      </c>
      <c r="AK718" t="str">
        <f>IF(pub_gid_0_single_true_output_csv[[#This Row],[Nilai2]]="","",VLOOKUP(pub_gid_0_single_true_output_csv[[#This Row],[NAMA]],Table7[],3,FALSE))</f>
        <v>Average</v>
      </c>
    </row>
    <row r="719" spans="1:37" x14ac:dyDescent="0.2">
      <c r="A719">
        <v>718</v>
      </c>
      <c r="B719" t="s">
        <v>288</v>
      </c>
      <c r="C719" t="s">
        <v>54</v>
      </c>
      <c r="D719" t="s">
        <v>35</v>
      </c>
      <c r="E719" t="s">
        <v>140</v>
      </c>
      <c r="F719" s="25">
        <v>46028</v>
      </c>
      <c r="G719" t="s">
        <v>349</v>
      </c>
      <c r="H719" t="s">
        <v>405</v>
      </c>
      <c r="I719" t="s">
        <v>371</v>
      </c>
      <c r="J719" t="s">
        <v>41</v>
      </c>
      <c r="K719" t="s">
        <v>365</v>
      </c>
      <c r="L719" t="s">
        <v>395</v>
      </c>
      <c r="M719" t="s">
        <v>141</v>
      </c>
      <c r="N719" t="s">
        <v>142</v>
      </c>
      <c r="O719" t="s">
        <v>155</v>
      </c>
      <c r="P719" t="s">
        <v>281</v>
      </c>
      <c r="Q719" t="s">
        <v>155</v>
      </c>
      <c r="R719" t="s">
        <v>273</v>
      </c>
      <c r="S719" t="s">
        <v>309</v>
      </c>
      <c r="T719">
        <v>1</v>
      </c>
      <c r="U719" t="s">
        <v>424</v>
      </c>
      <c r="V719" t="s">
        <v>285</v>
      </c>
      <c r="W719" t="s">
        <v>425</v>
      </c>
      <c r="X719" t="s">
        <v>306</v>
      </c>
      <c r="Y719" t="s">
        <v>307</v>
      </c>
      <c r="Z719">
        <v>65</v>
      </c>
      <c r="AA719">
        <v>65</v>
      </c>
      <c r="AB719" t="s">
        <v>143</v>
      </c>
      <c r="AC719" t="s">
        <v>49</v>
      </c>
      <c r="AD719" t="s">
        <v>426</v>
      </c>
      <c r="AE719" t="str">
        <f>IF(AF719="","",VLOOKUP(AC719,mapel!$A$2:$B$42,2,FALSE))</f>
        <v>Kimia</v>
      </c>
      <c r="AF719">
        <f t="shared" si="33"/>
        <v>65</v>
      </c>
      <c r="AG719" t="str">
        <f>IF(AF719="","",IF(AF719&gt;90,"Sangat baik",IF(AF719&gt;79,"Baik",IF(AF719&gt;=pub_gid_0_single_true_output_csv[[#This Row],[KKM]],"Cukup","Kurang"))))</f>
        <v>Cukup</v>
      </c>
      <c r="AH719">
        <f t="shared" si="34"/>
        <v>11</v>
      </c>
      <c r="AI719" s="30" t="str">
        <f>IF(OR(J719&lt;&gt;"Karakter",pub_gid_0_single_true_output_csv[[#This Row],[Nilai2]]=""),"",IF(AF719&gt;89,"Sangat baik",IF(AF719&gt;79,"Baik",IF(AF719&gt;69,"Cukup",IF(AF719&gt;59,"Kurang","Sangat kurang")))))</f>
        <v/>
      </c>
      <c r="AJ719" t="str">
        <f t="shared" si="35"/>
        <v>Wk.2</v>
      </c>
      <c r="AK719" t="str">
        <f>IF(pub_gid_0_single_true_output_csv[[#This Row],[Nilai2]]="","",VLOOKUP(pub_gid_0_single_true_output_csv[[#This Row],[NAMA]],Table7[],3,FALSE))</f>
        <v>Extremely low</v>
      </c>
    </row>
    <row r="720" spans="1:37" x14ac:dyDescent="0.2">
      <c r="A720">
        <v>719</v>
      </c>
      <c r="B720" t="s">
        <v>288</v>
      </c>
      <c r="C720" t="s">
        <v>54</v>
      </c>
      <c r="D720" t="s">
        <v>35</v>
      </c>
      <c r="E720" t="s">
        <v>140</v>
      </c>
      <c r="F720" s="25">
        <v>46045</v>
      </c>
      <c r="G720" t="s">
        <v>468</v>
      </c>
      <c r="H720" t="s">
        <v>405</v>
      </c>
      <c r="I720" t="s">
        <v>371</v>
      </c>
      <c r="J720" t="s">
        <v>31</v>
      </c>
      <c r="K720" t="s">
        <v>32</v>
      </c>
      <c r="L720" t="s">
        <v>150</v>
      </c>
      <c r="M720" t="s">
        <v>141</v>
      </c>
      <c r="N720" t="s">
        <v>142</v>
      </c>
      <c r="O720" t="s">
        <v>155</v>
      </c>
      <c r="P720" t="s">
        <v>281</v>
      </c>
      <c r="Q720" t="s">
        <v>155</v>
      </c>
      <c r="R720" t="s">
        <v>273</v>
      </c>
      <c r="S720" t="s">
        <v>309</v>
      </c>
      <c r="T720">
        <v>1</v>
      </c>
      <c r="U720" t="s">
        <v>424</v>
      </c>
      <c r="V720" t="s">
        <v>285</v>
      </c>
      <c r="W720" t="s">
        <v>425</v>
      </c>
      <c r="X720" t="s">
        <v>306</v>
      </c>
      <c r="Y720" t="s">
        <v>307</v>
      </c>
      <c r="Z720">
        <v>65</v>
      </c>
      <c r="AA720">
        <v>70</v>
      </c>
      <c r="AB720" t="s">
        <v>143</v>
      </c>
      <c r="AC720" t="s">
        <v>49</v>
      </c>
      <c r="AD720" t="s">
        <v>426</v>
      </c>
      <c r="AE720" t="str">
        <f>IF(AF720="","",VLOOKUP(AC720,mapel!$A$2:$B$42,2,FALSE))</f>
        <v>Kimia</v>
      </c>
      <c r="AF720">
        <f t="shared" si="33"/>
        <v>70</v>
      </c>
      <c r="AG720" t="str">
        <f>IF(AF720="","",IF(AF720&gt;90,"Sangat baik",IF(AF720&gt;79,"Baik",IF(AF720&gt;=pub_gid_0_single_true_output_csv[[#This Row],[KKM]],"Cukup","Kurang"))))</f>
        <v>Cukup</v>
      </c>
      <c r="AH720">
        <f t="shared" si="34"/>
        <v>11</v>
      </c>
      <c r="AI720" s="30" t="str">
        <f>IF(OR(J720&lt;&gt;"Karakter",pub_gid_0_single_true_output_csv[[#This Row],[Nilai2]]=""),"",IF(AF720&gt;89,"Sangat baik",IF(AF720&gt;79,"Baik",IF(AF720&gt;69,"Cukup",IF(AF720&gt;59,"Kurang","Sangat kurang")))))</f>
        <v/>
      </c>
      <c r="AJ720" t="str">
        <f t="shared" si="35"/>
        <v>Wk.4</v>
      </c>
      <c r="AK720" t="str">
        <f>IF(pub_gid_0_single_true_output_csv[[#This Row],[Nilai2]]="","",VLOOKUP(pub_gid_0_single_true_output_csv[[#This Row],[NAMA]],Table7[],3,FALSE))</f>
        <v>Extremely low</v>
      </c>
    </row>
    <row r="721" spans="1:37" x14ac:dyDescent="0.2">
      <c r="A721">
        <v>720</v>
      </c>
      <c r="B721" t="s">
        <v>288</v>
      </c>
      <c r="C721" t="s">
        <v>54</v>
      </c>
      <c r="D721" t="s">
        <v>35</v>
      </c>
      <c r="E721" t="s">
        <v>140</v>
      </c>
      <c r="F721" s="25">
        <v>46063</v>
      </c>
      <c r="G721" t="s">
        <v>374</v>
      </c>
      <c r="H721" t="s">
        <v>412</v>
      </c>
      <c r="I721" t="s">
        <v>371</v>
      </c>
      <c r="J721" t="s">
        <v>36</v>
      </c>
      <c r="K721" t="s">
        <v>37</v>
      </c>
      <c r="L721" t="s">
        <v>150</v>
      </c>
      <c r="M721" t="s">
        <v>141</v>
      </c>
      <c r="N721" t="s">
        <v>142</v>
      </c>
      <c r="O721" t="s">
        <v>155</v>
      </c>
      <c r="P721" t="s">
        <v>281</v>
      </c>
      <c r="Q721" t="s">
        <v>155</v>
      </c>
      <c r="R721" t="s">
        <v>273</v>
      </c>
      <c r="S721" t="s">
        <v>309</v>
      </c>
      <c r="T721">
        <v>1</v>
      </c>
      <c r="U721" t="s">
        <v>424</v>
      </c>
      <c r="V721" t="s">
        <v>285</v>
      </c>
      <c r="W721" t="s">
        <v>425</v>
      </c>
      <c r="X721" t="s">
        <v>306</v>
      </c>
      <c r="Y721" t="s">
        <v>307</v>
      </c>
      <c r="Z721">
        <v>65</v>
      </c>
      <c r="AA721">
        <v>67</v>
      </c>
      <c r="AB721" t="s">
        <v>143</v>
      </c>
      <c r="AC721" t="s">
        <v>49</v>
      </c>
      <c r="AD721" t="s">
        <v>426</v>
      </c>
      <c r="AE721" t="str">
        <f>IF(AF721="","",VLOOKUP(AC721,mapel!$A$2:$B$42,2,FALSE))</f>
        <v>Kimia</v>
      </c>
      <c r="AF721">
        <f t="shared" si="33"/>
        <v>67</v>
      </c>
      <c r="AG721" t="str">
        <f>IF(AF721="","",IF(AF721&gt;90,"Sangat baik",IF(AF721&gt;79,"Baik",IF(AF721&gt;=pub_gid_0_single_true_output_csv[[#This Row],[KKM]],"Cukup","Kurang"))))</f>
        <v>Cukup</v>
      </c>
      <c r="AH721">
        <f t="shared" si="34"/>
        <v>11</v>
      </c>
      <c r="AI721" s="30" t="str">
        <f>IF(OR(J721&lt;&gt;"Karakter",pub_gid_0_single_true_output_csv[[#This Row],[Nilai2]]=""),"",IF(AF721&gt;89,"Sangat baik",IF(AF721&gt;79,"Baik",IF(AF721&gt;69,"Cukup",IF(AF721&gt;59,"Kurang","Sangat kurang")))))</f>
        <v/>
      </c>
      <c r="AJ721" t="str">
        <f t="shared" si="35"/>
        <v>Wk.7</v>
      </c>
      <c r="AK721" t="str">
        <f>IF(pub_gid_0_single_true_output_csv[[#This Row],[Nilai2]]="","",VLOOKUP(pub_gid_0_single_true_output_csv[[#This Row],[NAMA]],Table7[],3,FALSE))</f>
        <v>Extremely low</v>
      </c>
    </row>
    <row r="722" spans="1:37" x14ac:dyDescent="0.2">
      <c r="A722">
        <v>721</v>
      </c>
      <c r="B722" t="s">
        <v>288</v>
      </c>
      <c r="C722" t="s">
        <v>54</v>
      </c>
      <c r="D722" t="s">
        <v>35</v>
      </c>
      <c r="E722" t="s">
        <v>140</v>
      </c>
      <c r="F722" s="25">
        <v>46070</v>
      </c>
      <c r="G722" t="s">
        <v>469</v>
      </c>
      <c r="H722" t="s">
        <v>412</v>
      </c>
      <c r="I722" t="s">
        <v>371</v>
      </c>
      <c r="J722" t="s">
        <v>36</v>
      </c>
      <c r="K722" t="s">
        <v>37</v>
      </c>
      <c r="L722" t="s">
        <v>150</v>
      </c>
      <c r="M722" t="s">
        <v>141</v>
      </c>
      <c r="N722" t="s">
        <v>142</v>
      </c>
      <c r="O722" t="s">
        <v>155</v>
      </c>
      <c r="P722" t="s">
        <v>281</v>
      </c>
      <c r="Q722" t="s">
        <v>155</v>
      </c>
      <c r="R722" t="s">
        <v>273</v>
      </c>
      <c r="S722" t="s">
        <v>309</v>
      </c>
      <c r="T722">
        <v>1</v>
      </c>
      <c r="U722" t="s">
        <v>424</v>
      </c>
      <c r="V722" t="s">
        <v>285</v>
      </c>
      <c r="W722" t="s">
        <v>425</v>
      </c>
      <c r="X722" t="s">
        <v>306</v>
      </c>
      <c r="Y722" t="s">
        <v>307</v>
      </c>
      <c r="Z722">
        <v>65</v>
      </c>
      <c r="AA722">
        <v>65</v>
      </c>
      <c r="AB722" t="s">
        <v>143</v>
      </c>
      <c r="AC722" t="s">
        <v>49</v>
      </c>
      <c r="AD722" t="s">
        <v>426</v>
      </c>
      <c r="AE722" t="str">
        <f>IF(AF722="","",VLOOKUP(AC722,mapel!$A$2:$B$42,2,FALSE))</f>
        <v>Kimia</v>
      </c>
      <c r="AF722">
        <f t="shared" si="33"/>
        <v>65</v>
      </c>
      <c r="AG722" t="str">
        <f>IF(AF722="","",IF(AF722&gt;90,"Sangat baik",IF(AF722&gt;79,"Baik",IF(AF722&gt;=pub_gid_0_single_true_output_csv[[#This Row],[KKM]],"Cukup","Kurang"))))</f>
        <v>Cukup</v>
      </c>
      <c r="AH722">
        <f t="shared" si="34"/>
        <v>11</v>
      </c>
      <c r="AI722" s="30" t="str">
        <f>IF(OR(J722&lt;&gt;"Karakter",pub_gid_0_single_true_output_csv[[#This Row],[Nilai2]]=""),"",IF(AF722&gt;89,"Sangat baik",IF(AF722&gt;79,"Baik",IF(AF722&gt;69,"Cukup",IF(AF722&gt;59,"Kurang","Sangat kurang")))))</f>
        <v/>
      </c>
      <c r="AJ722" t="str">
        <f t="shared" si="35"/>
        <v>Wk.8</v>
      </c>
      <c r="AK722" t="str">
        <f>IF(pub_gid_0_single_true_output_csv[[#This Row],[Nilai2]]="","",VLOOKUP(pub_gid_0_single_true_output_csv[[#This Row],[NAMA]],Table7[],3,FALSE))</f>
        <v>Extremely low</v>
      </c>
    </row>
    <row r="723" spans="1:37" x14ac:dyDescent="0.2">
      <c r="A723">
        <v>722</v>
      </c>
      <c r="B723" t="s">
        <v>294</v>
      </c>
      <c r="C723" t="s">
        <v>54</v>
      </c>
      <c r="D723" t="s">
        <v>46</v>
      </c>
      <c r="E723" t="s">
        <v>148</v>
      </c>
      <c r="F723" s="25">
        <v>46028</v>
      </c>
      <c r="G723" t="s">
        <v>349</v>
      </c>
      <c r="H723" t="s">
        <v>405</v>
      </c>
      <c r="I723" t="s">
        <v>371</v>
      </c>
      <c r="J723" t="s">
        <v>41</v>
      </c>
      <c r="K723" t="s">
        <v>365</v>
      </c>
      <c r="L723" t="s">
        <v>395</v>
      </c>
      <c r="M723" t="s">
        <v>141</v>
      </c>
      <c r="N723" t="s">
        <v>142</v>
      </c>
      <c r="O723" t="s">
        <v>155</v>
      </c>
      <c r="P723" t="s">
        <v>281</v>
      </c>
      <c r="Q723" t="s">
        <v>155</v>
      </c>
      <c r="R723" t="s">
        <v>273</v>
      </c>
      <c r="S723" t="s">
        <v>309</v>
      </c>
      <c r="T723">
        <v>1</v>
      </c>
      <c r="U723" t="s">
        <v>424</v>
      </c>
      <c r="V723" t="s">
        <v>285</v>
      </c>
      <c r="W723" t="s">
        <v>425</v>
      </c>
      <c r="X723" t="s">
        <v>306</v>
      </c>
      <c r="Y723" t="s">
        <v>307</v>
      </c>
      <c r="Z723">
        <v>65</v>
      </c>
      <c r="AA723">
        <v>65</v>
      </c>
      <c r="AB723" t="s">
        <v>143</v>
      </c>
      <c r="AC723" t="s">
        <v>49</v>
      </c>
      <c r="AD723" t="s">
        <v>426</v>
      </c>
      <c r="AE723" t="str">
        <f>IF(AF723="","",VLOOKUP(AC723,mapel!$A$2:$B$42,2,FALSE))</f>
        <v>Kimia</v>
      </c>
      <c r="AF723">
        <f t="shared" si="33"/>
        <v>65</v>
      </c>
      <c r="AG723" t="str">
        <f>IF(AF723="","",IF(AF723&gt;90,"Sangat baik",IF(AF723&gt;79,"Baik",IF(AF723&gt;=pub_gid_0_single_true_output_csv[[#This Row],[KKM]],"Cukup","Kurang"))))</f>
        <v>Cukup</v>
      </c>
      <c r="AH723">
        <f t="shared" si="34"/>
        <v>11</v>
      </c>
      <c r="AI723" s="30" t="str">
        <f>IF(OR(J723&lt;&gt;"Karakter",pub_gid_0_single_true_output_csv[[#This Row],[Nilai2]]=""),"",IF(AF723&gt;89,"Sangat baik",IF(AF723&gt;79,"Baik",IF(AF723&gt;69,"Cukup",IF(AF723&gt;59,"Kurang","Sangat kurang")))))</f>
        <v/>
      </c>
      <c r="AJ723" t="str">
        <f t="shared" si="35"/>
        <v>Wk.2</v>
      </c>
      <c r="AK723" t="str">
        <f>IF(pub_gid_0_single_true_output_csv[[#This Row],[Nilai2]]="","",VLOOKUP(pub_gid_0_single_true_output_csv[[#This Row],[NAMA]],Table7[],3,FALSE))</f>
        <v>Average</v>
      </c>
    </row>
    <row r="724" spans="1:37" x14ac:dyDescent="0.2">
      <c r="A724">
        <v>723</v>
      </c>
      <c r="B724" t="s">
        <v>294</v>
      </c>
      <c r="C724" t="s">
        <v>54</v>
      </c>
      <c r="D724" t="s">
        <v>46</v>
      </c>
      <c r="E724" t="s">
        <v>148</v>
      </c>
      <c r="F724" s="25">
        <v>46045</v>
      </c>
      <c r="G724" t="s">
        <v>468</v>
      </c>
      <c r="H724" t="s">
        <v>405</v>
      </c>
      <c r="I724" t="s">
        <v>371</v>
      </c>
      <c r="J724" t="s">
        <v>31</v>
      </c>
      <c r="K724" t="s">
        <v>32</v>
      </c>
      <c r="L724" t="s">
        <v>150</v>
      </c>
      <c r="M724" t="s">
        <v>141</v>
      </c>
      <c r="N724" t="s">
        <v>142</v>
      </c>
      <c r="O724" t="s">
        <v>155</v>
      </c>
      <c r="P724" t="s">
        <v>281</v>
      </c>
      <c r="Q724" t="s">
        <v>155</v>
      </c>
      <c r="R724" t="s">
        <v>273</v>
      </c>
      <c r="S724" t="s">
        <v>309</v>
      </c>
      <c r="T724">
        <v>1</v>
      </c>
      <c r="U724" t="s">
        <v>424</v>
      </c>
      <c r="V724" t="s">
        <v>285</v>
      </c>
      <c r="W724" t="s">
        <v>425</v>
      </c>
      <c r="X724" t="s">
        <v>306</v>
      </c>
      <c r="Y724" t="s">
        <v>307</v>
      </c>
      <c r="Z724">
        <v>65</v>
      </c>
      <c r="AA724">
        <v>65</v>
      </c>
      <c r="AB724" t="s">
        <v>143</v>
      </c>
      <c r="AC724" t="s">
        <v>49</v>
      </c>
      <c r="AD724" t="s">
        <v>426</v>
      </c>
      <c r="AE724" t="str">
        <f>IF(AF724="","",VLOOKUP(AC724,mapel!$A$2:$B$42,2,FALSE))</f>
        <v>Kimia</v>
      </c>
      <c r="AF724">
        <f t="shared" si="33"/>
        <v>65</v>
      </c>
      <c r="AG724" t="str">
        <f>IF(AF724="","",IF(AF724&gt;90,"Sangat baik",IF(AF724&gt;79,"Baik",IF(AF724&gt;=pub_gid_0_single_true_output_csv[[#This Row],[KKM]],"Cukup","Kurang"))))</f>
        <v>Cukup</v>
      </c>
      <c r="AH724">
        <f t="shared" si="34"/>
        <v>11</v>
      </c>
      <c r="AI724" s="30" t="str">
        <f>IF(OR(J724&lt;&gt;"Karakter",pub_gid_0_single_true_output_csv[[#This Row],[Nilai2]]=""),"",IF(AF724&gt;89,"Sangat baik",IF(AF724&gt;79,"Baik",IF(AF724&gt;69,"Cukup",IF(AF724&gt;59,"Kurang","Sangat kurang")))))</f>
        <v/>
      </c>
      <c r="AJ724" t="str">
        <f t="shared" si="35"/>
        <v>Wk.4</v>
      </c>
      <c r="AK724" t="str">
        <f>IF(pub_gid_0_single_true_output_csv[[#This Row],[Nilai2]]="","",VLOOKUP(pub_gid_0_single_true_output_csv[[#This Row],[NAMA]],Table7[],3,FALSE))</f>
        <v>Average</v>
      </c>
    </row>
    <row r="725" spans="1:37" x14ac:dyDescent="0.2">
      <c r="A725">
        <v>724</v>
      </c>
      <c r="B725" t="s">
        <v>294</v>
      </c>
      <c r="C725" t="s">
        <v>54</v>
      </c>
      <c r="D725" t="s">
        <v>46</v>
      </c>
      <c r="E725" t="s">
        <v>148</v>
      </c>
      <c r="F725" s="25">
        <v>46063</v>
      </c>
      <c r="G725" t="s">
        <v>374</v>
      </c>
      <c r="H725" t="s">
        <v>412</v>
      </c>
      <c r="I725" t="s">
        <v>371</v>
      </c>
      <c r="J725" t="s">
        <v>36</v>
      </c>
      <c r="K725" t="s">
        <v>37</v>
      </c>
      <c r="L725" t="s">
        <v>150</v>
      </c>
      <c r="M725" t="s">
        <v>141</v>
      </c>
      <c r="N725" t="s">
        <v>142</v>
      </c>
      <c r="O725" t="s">
        <v>155</v>
      </c>
      <c r="P725" t="s">
        <v>281</v>
      </c>
      <c r="Q725" t="s">
        <v>155</v>
      </c>
      <c r="R725" t="s">
        <v>273</v>
      </c>
      <c r="S725" t="s">
        <v>309</v>
      </c>
      <c r="T725">
        <v>1</v>
      </c>
      <c r="U725" t="s">
        <v>424</v>
      </c>
      <c r="V725" t="s">
        <v>285</v>
      </c>
      <c r="W725" t="s">
        <v>425</v>
      </c>
      <c r="X725" t="s">
        <v>306</v>
      </c>
      <c r="Y725" t="s">
        <v>307</v>
      </c>
      <c r="Z725">
        <v>65</v>
      </c>
      <c r="AA725">
        <v>67</v>
      </c>
      <c r="AB725" t="s">
        <v>143</v>
      </c>
      <c r="AC725" t="s">
        <v>49</v>
      </c>
      <c r="AD725" t="s">
        <v>426</v>
      </c>
      <c r="AE725" t="str">
        <f>IF(AF725="","",VLOOKUP(AC725,mapel!$A$2:$B$42,2,FALSE))</f>
        <v>Kimia</v>
      </c>
      <c r="AF725">
        <f t="shared" si="33"/>
        <v>67</v>
      </c>
      <c r="AG725" t="str">
        <f>IF(AF725="","",IF(AF725&gt;90,"Sangat baik",IF(AF725&gt;79,"Baik",IF(AF725&gt;=pub_gid_0_single_true_output_csv[[#This Row],[KKM]],"Cukup","Kurang"))))</f>
        <v>Cukup</v>
      </c>
      <c r="AH725">
        <f t="shared" si="34"/>
        <v>11</v>
      </c>
      <c r="AI725" s="30" t="str">
        <f>IF(OR(J725&lt;&gt;"Karakter",pub_gid_0_single_true_output_csv[[#This Row],[Nilai2]]=""),"",IF(AF725&gt;89,"Sangat baik",IF(AF725&gt;79,"Baik",IF(AF725&gt;69,"Cukup",IF(AF725&gt;59,"Kurang","Sangat kurang")))))</f>
        <v/>
      </c>
      <c r="AJ725" t="str">
        <f t="shared" si="35"/>
        <v>Wk.7</v>
      </c>
      <c r="AK725" t="str">
        <f>IF(pub_gid_0_single_true_output_csv[[#This Row],[Nilai2]]="","",VLOOKUP(pub_gid_0_single_true_output_csv[[#This Row],[NAMA]],Table7[],3,FALSE))</f>
        <v>Average</v>
      </c>
    </row>
    <row r="726" spans="1:37" x14ac:dyDescent="0.2">
      <c r="A726">
        <v>725</v>
      </c>
      <c r="B726" t="s">
        <v>294</v>
      </c>
      <c r="C726" t="s">
        <v>54</v>
      </c>
      <c r="D726" t="s">
        <v>46</v>
      </c>
      <c r="E726" t="s">
        <v>148</v>
      </c>
      <c r="F726" s="25">
        <v>46070</v>
      </c>
      <c r="G726" t="s">
        <v>469</v>
      </c>
      <c r="H726" t="s">
        <v>412</v>
      </c>
      <c r="I726" t="s">
        <v>371</v>
      </c>
      <c r="J726" t="s">
        <v>36</v>
      </c>
      <c r="K726" t="s">
        <v>37</v>
      </c>
      <c r="L726" t="s">
        <v>150</v>
      </c>
      <c r="M726" t="s">
        <v>141</v>
      </c>
      <c r="N726" t="s">
        <v>142</v>
      </c>
      <c r="O726" t="s">
        <v>155</v>
      </c>
      <c r="P726" t="s">
        <v>281</v>
      </c>
      <c r="Q726" t="s">
        <v>155</v>
      </c>
      <c r="R726" t="s">
        <v>273</v>
      </c>
      <c r="S726" t="s">
        <v>309</v>
      </c>
      <c r="T726">
        <v>1</v>
      </c>
      <c r="U726" t="s">
        <v>424</v>
      </c>
      <c r="V726" t="s">
        <v>285</v>
      </c>
      <c r="W726" t="s">
        <v>425</v>
      </c>
      <c r="X726" t="s">
        <v>306</v>
      </c>
      <c r="Y726" t="s">
        <v>307</v>
      </c>
      <c r="Z726">
        <v>65</v>
      </c>
      <c r="AA726">
        <v>80</v>
      </c>
      <c r="AB726" t="s">
        <v>143</v>
      </c>
      <c r="AC726" t="s">
        <v>49</v>
      </c>
      <c r="AD726" t="s">
        <v>426</v>
      </c>
      <c r="AE726" t="str">
        <f>IF(AF726="","",VLOOKUP(AC726,mapel!$A$2:$B$42,2,FALSE))</f>
        <v>Kimia</v>
      </c>
      <c r="AF726">
        <f t="shared" si="33"/>
        <v>80</v>
      </c>
      <c r="AG726" t="str">
        <f>IF(AF726="","",IF(AF726&gt;90,"Sangat baik",IF(AF726&gt;79,"Baik",IF(AF726&gt;=pub_gid_0_single_true_output_csv[[#This Row],[KKM]],"Cukup","Kurang"))))</f>
        <v>Baik</v>
      </c>
      <c r="AH726">
        <f t="shared" si="34"/>
        <v>11</v>
      </c>
      <c r="AI726" s="30" t="str">
        <f>IF(OR(J726&lt;&gt;"Karakter",pub_gid_0_single_true_output_csv[[#This Row],[Nilai2]]=""),"",IF(AF726&gt;89,"Sangat baik",IF(AF726&gt;79,"Baik",IF(AF726&gt;69,"Cukup",IF(AF726&gt;59,"Kurang","Sangat kurang")))))</f>
        <v/>
      </c>
      <c r="AJ726" t="str">
        <f t="shared" si="35"/>
        <v>Wk.8</v>
      </c>
      <c r="AK726" t="str">
        <f>IF(pub_gid_0_single_true_output_csv[[#This Row],[Nilai2]]="","",VLOOKUP(pub_gid_0_single_true_output_csv[[#This Row],[NAMA]],Table7[],3,FALSE))</f>
        <v>Average</v>
      </c>
    </row>
    <row r="727" spans="1:37" x14ac:dyDescent="0.2">
      <c r="A727">
        <v>726</v>
      </c>
      <c r="B727" t="s">
        <v>295</v>
      </c>
      <c r="C727" t="s">
        <v>54</v>
      </c>
      <c r="D727" t="s">
        <v>47</v>
      </c>
      <c r="E727" t="s">
        <v>148</v>
      </c>
      <c r="F727" s="25">
        <v>46028</v>
      </c>
      <c r="G727" t="s">
        <v>349</v>
      </c>
      <c r="H727" t="s">
        <v>405</v>
      </c>
      <c r="I727" t="s">
        <v>371</v>
      </c>
      <c r="J727" t="s">
        <v>41</v>
      </c>
      <c r="K727" t="s">
        <v>365</v>
      </c>
      <c r="L727" t="s">
        <v>395</v>
      </c>
      <c r="M727" t="s">
        <v>141</v>
      </c>
      <c r="N727" t="s">
        <v>142</v>
      </c>
      <c r="O727" t="s">
        <v>155</v>
      </c>
      <c r="P727" t="s">
        <v>281</v>
      </c>
      <c r="Q727" t="s">
        <v>155</v>
      </c>
      <c r="R727" t="s">
        <v>273</v>
      </c>
      <c r="S727" t="s">
        <v>309</v>
      </c>
      <c r="T727">
        <v>1</v>
      </c>
      <c r="U727" t="s">
        <v>424</v>
      </c>
      <c r="V727" t="s">
        <v>285</v>
      </c>
      <c r="W727" t="s">
        <v>425</v>
      </c>
      <c r="X727" t="s">
        <v>306</v>
      </c>
      <c r="Y727" t="s">
        <v>307</v>
      </c>
      <c r="Z727">
        <v>65</v>
      </c>
      <c r="AA727">
        <v>65</v>
      </c>
      <c r="AB727" t="s">
        <v>143</v>
      </c>
      <c r="AC727" t="s">
        <v>49</v>
      </c>
      <c r="AD727" t="s">
        <v>426</v>
      </c>
      <c r="AE727" t="str">
        <f>IF(AF727="","",VLOOKUP(AC727,mapel!$A$2:$B$42,2,FALSE))</f>
        <v>Kimia</v>
      </c>
      <c r="AF727">
        <f t="shared" si="33"/>
        <v>65</v>
      </c>
      <c r="AG727" t="str">
        <f>IF(AF727="","",IF(AF727&gt;90,"Sangat baik",IF(AF727&gt;79,"Baik",IF(AF727&gt;=pub_gid_0_single_true_output_csv[[#This Row],[KKM]],"Cukup","Kurang"))))</f>
        <v>Cukup</v>
      </c>
      <c r="AH727">
        <f t="shared" si="34"/>
        <v>11</v>
      </c>
      <c r="AI727" s="30" t="str">
        <f>IF(OR(J727&lt;&gt;"Karakter",pub_gid_0_single_true_output_csv[[#This Row],[Nilai2]]=""),"",IF(AF727&gt;89,"Sangat baik",IF(AF727&gt;79,"Baik",IF(AF727&gt;69,"Cukup",IF(AF727&gt;59,"Kurang","Sangat kurang")))))</f>
        <v/>
      </c>
      <c r="AJ727" t="str">
        <f t="shared" si="35"/>
        <v>Wk.2</v>
      </c>
      <c r="AK727" t="str">
        <f>IF(pub_gid_0_single_true_output_csv[[#This Row],[Nilai2]]="","",VLOOKUP(pub_gid_0_single_true_output_csv[[#This Row],[NAMA]],Table7[],3,FALSE))</f>
        <v>Low average</v>
      </c>
    </row>
    <row r="728" spans="1:37" x14ac:dyDescent="0.2">
      <c r="A728">
        <v>727</v>
      </c>
      <c r="B728" t="s">
        <v>295</v>
      </c>
      <c r="C728" t="s">
        <v>54</v>
      </c>
      <c r="D728" t="s">
        <v>47</v>
      </c>
      <c r="E728" t="s">
        <v>148</v>
      </c>
      <c r="F728" s="25">
        <v>46045</v>
      </c>
      <c r="G728" t="s">
        <v>468</v>
      </c>
      <c r="H728" t="s">
        <v>405</v>
      </c>
      <c r="I728" t="s">
        <v>371</v>
      </c>
      <c r="J728" t="s">
        <v>31</v>
      </c>
      <c r="K728" t="s">
        <v>32</v>
      </c>
      <c r="L728" t="s">
        <v>150</v>
      </c>
      <c r="M728" t="s">
        <v>141</v>
      </c>
      <c r="N728" t="s">
        <v>142</v>
      </c>
      <c r="O728" t="s">
        <v>155</v>
      </c>
      <c r="P728" t="s">
        <v>281</v>
      </c>
      <c r="Q728" t="s">
        <v>155</v>
      </c>
      <c r="R728" t="s">
        <v>273</v>
      </c>
      <c r="S728" t="s">
        <v>309</v>
      </c>
      <c r="T728">
        <v>1</v>
      </c>
      <c r="U728" t="s">
        <v>424</v>
      </c>
      <c r="V728" t="s">
        <v>285</v>
      </c>
      <c r="W728" t="s">
        <v>425</v>
      </c>
      <c r="X728" t="s">
        <v>306</v>
      </c>
      <c r="Y728" t="s">
        <v>307</v>
      </c>
      <c r="Z728">
        <v>65</v>
      </c>
      <c r="AA728">
        <v>50</v>
      </c>
      <c r="AB728" t="s">
        <v>151</v>
      </c>
      <c r="AC728" t="s">
        <v>49</v>
      </c>
      <c r="AD728" t="s">
        <v>426</v>
      </c>
      <c r="AE728" t="str">
        <f>IF(AF728="","",VLOOKUP(AC728,mapel!$A$2:$B$42,2,FALSE))</f>
        <v>Kimia</v>
      </c>
      <c r="AF728">
        <f t="shared" si="33"/>
        <v>50</v>
      </c>
      <c r="AG728" t="str">
        <f>IF(AF728="","",IF(AF728&gt;90,"Sangat baik",IF(AF728&gt;79,"Baik",IF(AF728&gt;=pub_gid_0_single_true_output_csv[[#This Row],[KKM]],"Cukup","Kurang"))))</f>
        <v>Kurang</v>
      </c>
      <c r="AH728">
        <f t="shared" si="34"/>
        <v>11</v>
      </c>
      <c r="AI728" s="30" t="str">
        <f>IF(OR(J728&lt;&gt;"Karakter",pub_gid_0_single_true_output_csv[[#This Row],[Nilai2]]=""),"",IF(AF728&gt;89,"Sangat baik",IF(AF728&gt;79,"Baik",IF(AF728&gt;69,"Cukup",IF(AF728&gt;59,"Kurang","Sangat kurang")))))</f>
        <v/>
      </c>
      <c r="AJ728" t="str">
        <f t="shared" si="35"/>
        <v>Wk.4</v>
      </c>
      <c r="AK728" t="str">
        <f>IF(pub_gid_0_single_true_output_csv[[#This Row],[Nilai2]]="","",VLOOKUP(pub_gid_0_single_true_output_csv[[#This Row],[NAMA]],Table7[],3,FALSE))</f>
        <v>Low average</v>
      </c>
    </row>
    <row r="729" spans="1:37" x14ac:dyDescent="0.2">
      <c r="A729">
        <v>728</v>
      </c>
      <c r="B729" t="s">
        <v>295</v>
      </c>
      <c r="C729" t="s">
        <v>54</v>
      </c>
      <c r="D729" t="s">
        <v>47</v>
      </c>
      <c r="E729" t="s">
        <v>148</v>
      </c>
      <c r="F729" s="25">
        <v>46063</v>
      </c>
      <c r="G729" t="s">
        <v>374</v>
      </c>
      <c r="H729" t="s">
        <v>412</v>
      </c>
      <c r="I729" t="s">
        <v>371</v>
      </c>
      <c r="J729" t="s">
        <v>36</v>
      </c>
      <c r="K729" t="s">
        <v>37</v>
      </c>
      <c r="L729" t="s">
        <v>150</v>
      </c>
      <c r="M729" t="s">
        <v>141</v>
      </c>
      <c r="N729" t="s">
        <v>142</v>
      </c>
      <c r="O729" t="s">
        <v>155</v>
      </c>
      <c r="P729" t="s">
        <v>281</v>
      </c>
      <c r="Q729" t="s">
        <v>155</v>
      </c>
      <c r="R729" t="s">
        <v>273</v>
      </c>
      <c r="S729" t="s">
        <v>309</v>
      </c>
      <c r="T729">
        <v>1</v>
      </c>
      <c r="U729" t="s">
        <v>424</v>
      </c>
      <c r="V729" t="s">
        <v>285</v>
      </c>
      <c r="W729" t="s">
        <v>425</v>
      </c>
      <c r="X729" t="s">
        <v>306</v>
      </c>
      <c r="Y729" t="s">
        <v>307</v>
      </c>
      <c r="Z729">
        <v>65</v>
      </c>
      <c r="AA729">
        <v>67</v>
      </c>
      <c r="AB729" t="s">
        <v>143</v>
      </c>
      <c r="AC729" t="s">
        <v>49</v>
      </c>
      <c r="AD729" t="s">
        <v>426</v>
      </c>
      <c r="AE729" t="str">
        <f>IF(AF729="","",VLOOKUP(AC729,mapel!$A$2:$B$42,2,FALSE))</f>
        <v>Kimia</v>
      </c>
      <c r="AF729">
        <f t="shared" si="33"/>
        <v>67</v>
      </c>
      <c r="AG729" t="str">
        <f>IF(AF729="","",IF(AF729&gt;90,"Sangat baik",IF(AF729&gt;79,"Baik",IF(AF729&gt;=pub_gid_0_single_true_output_csv[[#This Row],[KKM]],"Cukup","Kurang"))))</f>
        <v>Cukup</v>
      </c>
      <c r="AH729">
        <f t="shared" si="34"/>
        <v>11</v>
      </c>
      <c r="AI729" s="30" t="str">
        <f>IF(OR(J729&lt;&gt;"Karakter",pub_gid_0_single_true_output_csv[[#This Row],[Nilai2]]=""),"",IF(AF729&gt;89,"Sangat baik",IF(AF729&gt;79,"Baik",IF(AF729&gt;69,"Cukup",IF(AF729&gt;59,"Kurang","Sangat kurang")))))</f>
        <v/>
      </c>
      <c r="AJ729" t="str">
        <f t="shared" si="35"/>
        <v>Wk.7</v>
      </c>
      <c r="AK729" t="str">
        <f>IF(pub_gid_0_single_true_output_csv[[#This Row],[Nilai2]]="","",VLOOKUP(pub_gid_0_single_true_output_csv[[#This Row],[NAMA]],Table7[],3,FALSE))</f>
        <v>Low average</v>
      </c>
    </row>
    <row r="730" spans="1:37" x14ac:dyDescent="0.2">
      <c r="A730">
        <v>729</v>
      </c>
      <c r="B730" t="s">
        <v>295</v>
      </c>
      <c r="C730" t="s">
        <v>54</v>
      </c>
      <c r="D730" t="s">
        <v>47</v>
      </c>
      <c r="E730" t="s">
        <v>148</v>
      </c>
      <c r="F730" s="25">
        <v>46070</v>
      </c>
      <c r="G730" t="s">
        <v>469</v>
      </c>
      <c r="H730" t="s">
        <v>412</v>
      </c>
      <c r="I730" t="s">
        <v>371</v>
      </c>
      <c r="J730" t="s">
        <v>36</v>
      </c>
      <c r="K730" t="s">
        <v>37</v>
      </c>
      <c r="L730" t="s">
        <v>150</v>
      </c>
      <c r="M730" t="s">
        <v>141</v>
      </c>
      <c r="N730" t="s">
        <v>142</v>
      </c>
      <c r="O730" t="s">
        <v>155</v>
      </c>
      <c r="P730" t="s">
        <v>281</v>
      </c>
      <c r="Q730" t="s">
        <v>155</v>
      </c>
      <c r="R730" t="s">
        <v>273</v>
      </c>
      <c r="S730" t="s">
        <v>309</v>
      </c>
      <c r="T730">
        <v>1</v>
      </c>
      <c r="U730" t="s">
        <v>424</v>
      </c>
      <c r="V730" t="s">
        <v>285</v>
      </c>
      <c r="W730" t="s">
        <v>425</v>
      </c>
      <c r="X730" t="s">
        <v>306</v>
      </c>
      <c r="Y730" t="s">
        <v>307</v>
      </c>
      <c r="Z730">
        <v>65</v>
      </c>
      <c r="AA730">
        <v>40</v>
      </c>
      <c r="AB730" t="s">
        <v>151</v>
      </c>
      <c r="AC730" t="s">
        <v>49</v>
      </c>
      <c r="AD730" t="s">
        <v>426</v>
      </c>
      <c r="AE730" t="str">
        <f>IF(AF730="","",VLOOKUP(AC730,mapel!$A$2:$B$42,2,FALSE))</f>
        <v>Kimia</v>
      </c>
      <c r="AF730">
        <f t="shared" si="33"/>
        <v>40</v>
      </c>
      <c r="AG730" t="str">
        <f>IF(AF730="","",IF(AF730&gt;90,"Sangat baik",IF(AF730&gt;79,"Baik",IF(AF730&gt;=pub_gid_0_single_true_output_csv[[#This Row],[KKM]],"Cukup","Kurang"))))</f>
        <v>Kurang</v>
      </c>
      <c r="AH730">
        <f t="shared" si="34"/>
        <v>11</v>
      </c>
      <c r="AI730" s="30" t="str">
        <f>IF(OR(J730&lt;&gt;"Karakter",pub_gid_0_single_true_output_csv[[#This Row],[Nilai2]]=""),"",IF(AF730&gt;89,"Sangat baik",IF(AF730&gt;79,"Baik",IF(AF730&gt;69,"Cukup",IF(AF730&gt;59,"Kurang","Sangat kurang")))))</f>
        <v/>
      </c>
      <c r="AJ730" t="str">
        <f t="shared" si="35"/>
        <v>Wk.8</v>
      </c>
      <c r="AK730" t="str">
        <f>IF(pub_gid_0_single_true_output_csv[[#This Row],[Nilai2]]="","",VLOOKUP(pub_gid_0_single_true_output_csv[[#This Row],[NAMA]],Table7[],3,FALSE))</f>
        <v>Low average</v>
      </c>
    </row>
    <row r="731" spans="1:37" x14ac:dyDescent="0.2">
      <c r="A731">
        <v>730</v>
      </c>
      <c r="B731" t="s">
        <v>296</v>
      </c>
      <c r="C731" t="s">
        <v>54</v>
      </c>
      <c r="D731" t="s">
        <v>48</v>
      </c>
      <c r="E731" t="s">
        <v>140</v>
      </c>
      <c r="F731" s="25">
        <v>46028</v>
      </c>
      <c r="G731" t="s">
        <v>349</v>
      </c>
      <c r="H731" t="s">
        <v>405</v>
      </c>
      <c r="I731" t="s">
        <v>371</v>
      </c>
      <c r="J731" t="s">
        <v>41</v>
      </c>
      <c r="K731" t="s">
        <v>365</v>
      </c>
      <c r="L731" t="s">
        <v>395</v>
      </c>
      <c r="M731" t="s">
        <v>141</v>
      </c>
      <c r="N731" t="s">
        <v>142</v>
      </c>
      <c r="O731" t="s">
        <v>155</v>
      </c>
      <c r="P731" t="s">
        <v>281</v>
      </c>
      <c r="Q731" t="s">
        <v>155</v>
      </c>
      <c r="R731" t="s">
        <v>273</v>
      </c>
      <c r="S731" t="s">
        <v>309</v>
      </c>
      <c r="T731">
        <v>1</v>
      </c>
      <c r="U731" t="s">
        <v>424</v>
      </c>
      <c r="V731" t="s">
        <v>285</v>
      </c>
      <c r="W731" t="s">
        <v>425</v>
      </c>
      <c r="X731" t="s">
        <v>306</v>
      </c>
      <c r="Y731" t="s">
        <v>307</v>
      </c>
      <c r="Z731">
        <v>65</v>
      </c>
      <c r="AA731">
        <v>65</v>
      </c>
      <c r="AB731" t="s">
        <v>143</v>
      </c>
      <c r="AC731" t="s">
        <v>49</v>
      </c>
      <c r="AD731" t="s">
        <v>426</v>
      </c>
      <c r="AE731" t="str">
        <f>IF(AF731="","",VLOOKUP(AC731,mapel!$A$2:$B$42,2,FALSE))</f>
        <v>Kimia</v>
      </c>
      <c r="AF731">
        <f t="shared" si="33"/>
        <v>65</v>
      </c>
      <c r="AG731" t="str">
        <f>IF(AF731="","",IF(AF731&gt;90,"Sangat baik",IF(AF731&gt;79,"Baik",IF(AF731&gt;=pub_gid_0_single_true_output_csv[[#This Row],[KKM]],"Cukup","Kurang"))))</f>
        <v>Cukup</v>
      </c>
      <c r="AH731">
        <f t="shared" si="34"/>
        <v>11</v>
      </c>
      <c r="AI731" s="30" t="str">
        <f>IF(OR(J731&lt;&gt;"Karakter",pub_gid_0_single_true_output_csv[[#This Row],[Nilai2]]=""),"",IF(AF731&gt;89,"Sangat baik",IF(AF731&gt;79,"Baik",IF(AF731&gt;69,"Cukup",IF(AF731&gt;59,"Kurang","Sangat kurang")))))</f>
        <v/>
      </c>
      <c r="AJ731" t="str">
        <f t="shared" si="35"/>
        <v>Wk.2</v>
      </c>
      <c r="AK731" t="str">
        <f>IF(pub_gid_0_single_true_output_csv[[#This Row],[Nilai2]]="","",VLOOKUP(pub_gid_0_single_true_output_csv[[#This Row],[NAMA]],Table7[],3,FALSE))</f>
        <v>Average</v>
      </c>
    </row>
    <row r="732" spans="1:37" x14ac:dyDescent="0.2">
      <c r="A732">
        <v>731</v>
      </c>
      <c r="B732" t="s">
        <v>296</v>
      </c>
      <c r="C732" t="s">
        <v>54</v>
      </c>
      <c r="D732" t="s">
        <v>48</v>
      </c>
      <c r="E732" t="s">
        <v>140</v>
      </c>
      <c r="F732" s="25">
        <v>46045</v>
      </c>
      <c r="G732" t="s">
        <v>468</v>
      </c>
      <c r="H732" t="s">
        <v>405</v>
      </c>
      <c r="I732" t="s">
        <v>371</v>
      </c>
      <c r="J732" t="s">
        <v>31</v>
      </c>
      <c r="K732" t="s">
        <v>32</v>
      </c>
      <c r="L732" t="s">
        <v>150</v>
      </c>
      <c r="M732" t="s">
        <v>141</v>
      </c>
      <c r="N732" t="s">
        <v>142</v>
      </c>
      <c r="O732" t="s">
        <v>155</v>
      </c>
      <c r="P732" t="s">
        <v>281</v>
      </c>
      <c r="Q732" t="s">
        <v>155</v>
      </c>
      <c r="R732" t="s">
        <v>273</v>
      </c>
      <c r="S732" t="s">
        <v>309</v>
      </c>
      <c r="T732">
        <v>1</v>
      </c>
      <c r="U732" t="s">
        <v>424</v>
      </c>
      <c r="V732" t="s">
        <v>285</v>
      </c>
      <c r="W732" t="s">
        <v>425</v>
      </c>
      <c r="X732" t="s">
        <v>306</v>
      </c>
      <c r="Y732" t="s">
        <v>307</v>
      </c>
      <c r="Z732">
        <v>65</v>
      </c>
      <c r="AA732">
        <v>60</v>
      </c>
      <c r="AB732" t="s">
        <v>151</v>
      </c>
      <c r="AC732" t="s">
        <v>49</v>
      </c>
      <c r="AD732" t="s">
        <v>426</v>
      </c>
      <c r="AE732" t="str">
        <f>IF(AF732="","",VLOOKUP(AC732,mapel!$A$2:$B$42,2,FALSE))</f>
        <v>Kimia</v>
      </c>
      <c r="AF732">
        <f t="shared" si="33"/>
        <v>60</v>
      </c>
      <c r="AG732" t="str">
        <f>IF(AF732="","",IF(AF732&gt;90,"Sangat baik",IF(AF732&gt;79,"Baik",IF(AF732&gt;=pub_gid_0_single_true_output_csv[[#This Row],[KKM]],"Cukup","Kurang"))))</f>
        <v>Kurang</v>
      </c>
      <c r="AH732">
        <f t="shared" si="34"/>
        <v>11</v>
      </c>
      <c r="AI732" s="30" t="str">
        <f>IF(OR(J732&lt;&gt;"Karakter",pub_gid_0_single_true_output_csv[[#This Row],[Nilai2]]=""),"",IF(AF732&gt;89,"Sangat baik",IF(AF732&gt;79,"Baik",IF(AF732&gt;69,"Cukup",IF(AF732&gt;59,"Kurang","Sangat kurang")))))</f>
        <v/>
      </c>
      <c r="AJ732" t="str">
        <f t="shared" si="35"/>
        <v>Wk.4</v>
      </c>
      <c r="AK732" t="str">
        <f>IF(pub_gid_0_single_true_output_csv[[#This Row],[Nilai2]]="","",VLOOKUP(pub_gid_0_single_true_output_csv[[#This Row],[NAMA]],Table7[],3,FALSE))</f>
        <v>Average</v>
      </c>
    </row>
    <row r="733" spans="1:37" x14ac:dyDescent="0.2">
      <c r="A733">
        <v>732</v>
      </c>
      <c r="B733" t="s">
        <v>296</v>
      </c>
      <c r="C733" t="s">
        <v>54</v>
      </c>
      <c r="D733" t="s">
        <v>48</v>
      </c>
      <c r="E733" t="s">
        <v>140</v>
      </c>
      <c r="F733" s="25">
        <v>46063</v>
      </c>
      <c r="G733" t="s">
        <v>374</v>
      </c>
      <c r="H733" t="s">
        <v>412</v>
      </c>
      <c r="I733" t="s">
        <v>371</v>
      </c>
      <c r="J733" t="s">
        <v>36</v>
      </c>
      <c r="K733" t="s">
        <v>37</v>
      </c>
      <c r="L733" t="s">
        <v>150</v>
      </c>
      <c r="M733" t="s">
        <v>141</v>
      </c>
      <c r="N733" t="s">
        <v>142</v>
      </c>
      <c r="O733" t="s">
        <v>155</v>
      </c>
      <c r="P733" t="s">
        <v>281</v>
      </c>
      <c r="Q733" t="s">
        <v>155</v>
      </c>
      <c r="R733" t="s">
        <v>273</v>
      </c>
      <c r="S733" t="s">
        <v>309</v>
      </c>
      <c r="T733">
        <v>1</v>
      </c>
      <c r="U733" t="s">
        <v>424</v>
      </c>
      <c r="V733" t="s">
        <v>285</v>
      </c>
      <c r="W733" t="s">
        <v>425</v>
      </c>
      <c r="X733" t="s">
        <v>306</v>
      </c>
      <c r="Y733" t="s">
        <v>307</v>
      </c>
      <c r="Z733">
        <v>65</v>
      </c>
      <c r="AA733">
        <v>67</v>
      </c>
      <c r="AB733" t="s">
        <v>143</v>
      </c>
      <c r="AC733" t="s">
        <v>49</v>
      </c>
      <c r="AD733" t="s">
        <v>426</v>
      </c>
      <c r="AE733" t="str">
        <f>IF(AF733="","",VLOOKUP(AC733,mapel!$A$2:$B$42,2,FALSE))</f>
        <v>Kimia</v>
      </c>
      <c r="AF733">
        <f t="shared" si="33"/>
        <v>67</v>
      </c>
      <c r="AG733" t="str">
        <f>IF(AF733="","",IF(AF733&gt;90,"Sangat baik",IF(AF733&gt;79,"Baik",IF(AF733&gt;=pub_gid_0_single_true_output_csv[[#This Row],[KKM]],"Cukup","Kurang"))))</f>
        <v>Cukup</v>
      </c>
      <c r="AH733">
        <f t="shared" si="34"/>
        <v>11</v>
      </c>
      <c r="AI733" s="30" t="str">
        <f>IF(OR(J733&lt;&gt;"Karakter",pub_gid_0_single_true_output_csv[[#This Row],[Nilai2]]=""),"",IF(AF733&gt;89,"Sangat baik",IF(AF733&gt;79,"Baik",IF(AF733&gt;69,"Cukup",IF(AF733&gt;59,"Kurang","Sangat kurang")))))</f>
        <v/>
      </c>
      <c r="AJ733" t="str">
        <f t="shared" si="35"/>
        <v>Wk.7</v>
      </c>
      <c r="AK733" t="str">
        <f>IF(pub_gid_0_single_true_output_csv[[#This Row],[Nilai2]]="","",VLOOKUP(pub_gid_0_single_true_output_csv[[#This Row],[NAMA]],Table7[],3,FALSE))</f>
        <v>Average</v>
      </c>
    </row>
    <row r="734" spans="1:37" x14ac:dyDescent="0.2">
      <c r="A734">
        <v>733</v>
      </c>
      <c r="B734" t="s">
        <v>296</v>
      </c>
      <c r="C734" t="s">
        <v>54</v>
      </c>
      <c r="D734" t="s">
        <v>48</v>
      </c>
      <c r="E734" t="s">
        <v>140</v>
      </c>
      <c r="F734" s="25">
        <v>46070</v>
      </c>
      <c r="G734" t="s">
        <v>469</v>
      </c>
      <c r="H734" t="s">
        <v>412</v>
      </c>
      <c r="I734" t="s">
        <v>371</v>
      </c>
      <c r="J734" t="s">
        <v>36</v>
      </c>
      <c r="K734" t="s">
        <v>37</v>
      </c>
      <c r="L734" t="s">
        <v>150</v>
      </c>
      <c r="M734" t="s">
        <v>141</v>
      </c>
      <c r="N734" t="s">
        <v>142</v>
      </c>
      <c r="O734" t="s">
        <v>155</v>
      </c>
      <c r="P734" t="s">
        <v>281</v>
      </c>
      <c r="Q734" t="s">
        <v>155</v>
      </c>
      <c r="R734" t="s">
        <v>273</v>
      </c>
      <c r="S734" t="s">
        <v>309</v>
      </c>
      <c r="T734">
        <v>1</v>
      </c>
      <c r="U734" t="s">
        <v>424</v>
      </c>
      <c r="V734" t="s">
        <v>285</v>
      </c>
      <c r="W734" t="s">
        <v>425</v>
      </c>
      <c r="X734" t="s">
        <v>306</v>
      </c>
      <c r="Y734" t="s">
        <v>307</v>
      </c>
      <c r="Z734">
        <v>65</v>
      </c>
      <c r="AA734">
        <v>90</v>
      </c>
      <c r="AB734" t="s">
        <v>143</v>
      </c>
      <c r="AC734" t="s">
        <v>49</v>
      </c>
      <c r="AD734" t="s">
        <v>426</v>
      </c>
      <c r="AE734" t="str">
        <f>IF(AF734="","",VLOOKUP(AC734,mapel!$A$2:$B$42,2,FALSE))</f>
        <v>Kimia</v>
      </c>
      <c r="AF734">
        <f t="shared" si="33"/>
        <v>90</v>
      </c>
      <c r="AG734" t="str">
        <f>IF(AF734="","",IF(AF734&gt;90,"Sangat baik",IF(AF734&gt;79,"Baik",IF(AF734&gt;=pub_gid_0_single_true_output_csv[[#This Row],[KKM]],"Cukup","Kurang"))))</f>
        <v>Baik</v>
      </c>
      <c r="AH734">
        <f t="shared" si="34"/>
        <v>11</v>
      </c>
      <c r="AI734" s="30" t="str">
        <f>IF(OR(J734&lt;&gt;"Karakter",pub_gid_0_single_true_output_csv[[#This Row],[Nilai2]]=""),"",IF(AF734&gt;89,"Sangat baik",IF(AF734&gt;79,"Baik",IF(AF734&gt;69,"Cukup",IF(AF734&gt;59,"Kurang","Sangat kurang")))))</f>
        <v/>
      </c>
      <c r="AJ734" t="str">
        <f t="shared" si="35"/>
        <v>Wk.8</v>
      </c>
      <c r="AK734" t="str">
        <f>IF(pub_gid_0_single_true_output_csv[[#This Row],[Nilai2]]="","",VLOOKUP(pub_gid_0_single_true_output_csv[[#This Row],[NAMA]],Table7[],3,FALSE))</f>
        <v>Average</v>
      </c>
    </row>
    <row r="735" spans="1:37" x14ac:dyDescent="0.2">
      <c r="A735">
        <v>734</v>
      </c>
      <c r="B735" t="s">
        <v>289</v>
      </c>
      <c r="C735" t="s">
        <v>54</v>
      </c>
      <c r="D735" t="s">
        <v>39</v>
      </c>
      <c r="E735" t="s">
        <v>140</v>
      </c>
      <c r="F735" s="25">
        <v>46036</v>
      </c>
      <c r="G735" t="s">
        <v>353</v>
      </c>
      <c r="H735" t="s">
        <v>405</v>
      </c>
      <c r="I735" t="s">
        <v>371</v>
      </c>
      <c r="J735" t="s">
        <v>36</v>
      </c>
      <c r="K735" t="s">
        <v>37</v>
      </c>
      <c r="L735" t="s">
        <v>150</v>
      </c>
      <c r="M735" t="s">
        <v>141</v>
      </c>
      <c r="N735" t="s">
        <v>142</v>
      </c>
      <c r="O735" t="s">
        <v>155</v>
      </c>
      <c r="P735" t="s">
        <v>281</v>
      </c>
      <c r="Q735" t="s">
        <v>155</v>
      </c>
      <c r="R735" t="s">
        <v>302</v>
      </c>
      <c r="S735" t="s">
        <v>427</v>
      </c>
      <c r="T735">
        <v>1</v>
      </c>
      <c r="U735" t="s">
        <v>428</v>
      </c>
      <c r="V735" t="s">
        <v>285</v>
      </c>
      <c r="W735" t="s">
        <v>429</v>
      </c>
      <c r="X735" t="s">
        <v>391</v>
      </c>
      <c r="Y735" t="s">
        <v>335</v>
      </c>
      <c r="Z735">
        <v>65</v>
      </c>
      <c r="AA735">
        <v>60</v>
      </c>
      <c r="AB735" t="s">
        <v>151</v>
      </c>
      <c r="AC735" t="s">
        <v>154</v>
      </c>
      <c r="AD735" t="s">
        <v>50</v>
      </c>
      <c r="AE735" t="str">
        <f>IF(AF735="","",VLOOKUP(AC735,mapel!$A$2:$B$42,2,FALSE))</f>
        <v>Math</v>
      </c>
      <c r="AF735">
        <f t="shared" si="33"/>
        <v>60</v>
      </c>
      <c r="AG735" t="str">
        <f>IF(AF735="","",IF(AF735&gt;90,"Sangat baik",IF(AF735&gt;79,"Baik",IF(AF735&gt;=pub_gid_0_single_true_output_csv[[#This Row],[KKM]],"Cukup","Kurang"))))</f>
        <v>Kurang</v>
      </c>
      <c r="AH735">
        <f t="shared" si="34"/>
        <v>9</v>
      </c>
      <c r="AI735" s="30" t="str">
        <f>IF(OR(J735&lt;&gt;"Karakter",pub_gid_0_single_true_output_csv[[#This Row],[Nilai2]]=""),"",IF(AF735&gt;89,"Sangat baik",IF(AF735&gt;79,"Baik",IF(AF735&gt;69,"Cukup",IF(AF735&gt;59,"Kurang","Sangat kurang")))))</f>
        <v/>
      </c>
      <c r="AJ735" t="str">
        <f t="shared" si="35"/>
        <v>Wk.3</v>
      </c>
      <c r="AK735" t="str">
        <f>IF(pub_gid_0_single_true_output_csv[[#This Row],[Nilai2]]="","",VLOOKUP(pub_gid_0_single_true_output_csv[[#This Row],[NAMA]],Table7[],3,FALSE))</f>
        <v>Average</v>
      </c>
    </row>
    <row r="736" spans="1:37" x14ac:dyDescent="0.2">
      <c r="A736">
        <v>735</v>
      </c>
      <c r="B736" t="s">
        <v>289</v>
      </c>
      <c r="C736" t="s">
        <v>54</v>
      </c>
      <c r="D736" t="s">
        <v>39</v>
      </c>
      <c r="E736" t="s">
        <v>140</v>
      </c>
      <c r="F736" s="25">
        <v>46036</v>
      </c>
      <c r="G736" t="s">
        <v>353</v>
      </c>
      <c r="H736" t="s">
        <v>405</v>
      </c>
      <c r="I736" t="s">
        <v>371</v>
      </c>
      <c r="J736" t="s">
        <v>36</v>
      </c>
      <c r="K736" t="s">
        <v>37</v>
      </c>
      <c r="L736" t="s">
        <v>150</v>
      </c>
      <c r="M736" t="s">
        <v>141</v>
      </c>
      <c r="N736" t="s">
        <v>142</v>
      </c>
      <c r="O736" t="s">
        <v>155</v>
      </c>
      <c r="P736" t="s">
        <v>281</v>
      </c>
      <c r="Q736" t="s">
        <v>155</v>
      </c>
      <c r="R736" t="s">
        <v>302</v>
      </c>
      <c r="S736" t="s">
        <v>369</v>
      </c>
      <c r="T736">
        <v>1</v>
      </c>
      <c r="U736" t="s">
        <v>428</v>
      </c>
      <c r="V736" t="s">
        <v>342</v>
      </c>
      <c r="W736" t="s">
        <v>430</v>
      </c>
      <c r="X736" t="s">
        <v>306</v>
      </c>
      <c r="Y736" t="s">
        <v>307</v>
      </c>
      <c r="Z736">
        <v>65</v>
      </c>
      <c r="AA736">
        <v>91</v>
      </c>
      <c r="AB736" t="s">
        <v>143</v>
      </c>
      <c r="AC736" t="s">
        <v>154</v>
      </c>
      <c r="AD736" t="s">
        <v>50</v>
      </c>
      <c r="AE736" t="str">
        <f>IF(AF736="","",VLOOKUP(AC736,mapel!$A$2:$B$42,2,FALSE))</f>
        <v>Math</v>
      </c>
      <c r="AF736">
        <f t="shared" si="33"/>
        <v>91</v>
      </c>
      <c r="AG736" t="str">
        <f>IF(AF736="","",IF(AF736&gt;90,"Sangat baik",IF(AF736&gt;79,"Baik",IF(AF736&gt;=pub_gid_0_single_true_output_csv[[#This Row],[KKM]],"Cukup","Kurang"))))</f>
        <v>Sangat baik</v>
      </c>
      <c r="AH736">
        <f t="shared" si="34"/>
        <v>11</v>
      </c>
      <c r="AI736" s="30" t="str">
        <f>IF(OR(J736&lt;&gt;"Karakter",pub_gid_0_single_true_output_csv[[#This Row],[Nilai2]]=""),"",IF(AF736&gt;89,"Sangat baik",IF(AF736&gt;79,"Baik",IF(AF736&gt;69,"Cukup",IF(AF736&gt;59,"Kurang","Sangat kurang")))))</f>
        <v/>
      </c>
      <c r="AJ736" t="str">
        <f t="shared" si="35"/>
        <v>Wk.3</v>
      </c>
      <c r="AK736" t="str">
        <f>IF(pub_gid_0_single_true_output_csv[[#This Row],[Nilai2]]="","",VLOOKUP(pub_gid_0_single_true_output_csv[[#This Row],[NAMA]],Table7[],3,FALSE))</f>
        <v>Average</v>
      </c>
    </row>
    <row r="737" spans="1:37" x14ac:dyDescent="0.2">
      <c r="A737">
        <v>736</v>
      </c>
      <c r="B737" t="s">
        <v>289</v>
      </c>
      <c r="C737" t="s">
        <v>54</v>
      </c>
      <c r="D737" t="s">
        <v>39</v>
      </c>
      <c r="E737" t="s">
        <v>140</v>
      </c>
      <c r="F737" s="25">
        <v>46041</v>
      </c>
      <c r="G737" t="s">
        <v>370</v>
      </c>
      <c r="H737" t="s">
        <v>405</v>
      </c>
      <c r="I737" t="s">
        <v>371</v>
      </c>
      <c r="J737" t="s">
        <v>36</v>
      </c>
      <c r="K737" t="s">
        <v>37</v>
      </c>
      <c r="L737" t="s">
        <v>150</v>
      </c>
      <c r="M737" t="s">
        <v>141</v>
      </c>
      <c r="N737" t="s">
        <v>142</v>
      </c>
      <c r="O737" t="s">
        <v>155</v>
      </c>
      <c r="P737" t="s">
        <v>281</v>
      </c>
      <c r="Q737" t="s">
        <v>155</v>
      </c>
      <c r="R737" t="s">
        <v>302</v>
      </c>
      <c r="S737" t="s">
        <v>427</v>
      </c>
      <c r="T737">
        <v>1</v>
      </c>
      <c r="U737" t="s">
        <v>428</v>
      </c>
      <c r="V737" t="s">
        <v>285</v>
      </c>
      <c r="W737" t="s">
        <v>429</v>
      </c>
      <c r="X737" t="s">
        <v>391</v>
      </c>
      <c r="Y737" t="s">
        <v>335</v>
      </c>
      <c r="Z737">
        <v>65</v>
      </c>
      <c r="AA737">
        <v>80</v>
      </c>
      <c r="AB737" t="s">
        <v>143</v>
      </c>
      <c r="AC737" t="s">
        <v>154</v>
      </c>
      <c r="AD737" t="s">
        <v>50</v>
      </c>
      <c r="AE737" t="str">
        <f>IF(AF737="","",VLOOKUP(AC737,mapel!$A$2:$B$42,2,FALSE))</f>
        <v>Math</v>
      </c>
      <c r="AF737">
        <f t="shared" si="33"/>
        <v>80</v>
      </c>
      <c r="AG737" t="str">
        <f>IF(AF737="","",IF(AF737&gt;90,"Sangat baik",IF(AF737&gt;79,"Baik",IF(AF737&gt;=pub_gid_0_single_true_output_csv[[#This Row],[KKM]],"Cukup","Kurang"))))</f>
        <v>Baik</v>
      </c>
      <c r="AH737">
        <f t="shared" si="34"/>
        <v>9</v>
      </c>
      <c r="AI737" s="30" t="str">
        <f>IF(OR(J737&lt;&gt;"Karakter",pub_gid_0_single_true_output_csv[[#This Row],[Nilai2]]=""),"",IF(AF737&gt;89,"Sangat baik",IF(AF737&gt;79,"Baik",IF(AF737&gt;69,"Cukup",IF(AF737&gt;59,"Kurang","Sangat kurang")))))</f>
        <v/>
      </c>
      <c r="AJ737" t="str">
        <f t="shared" si="35"/>
        <v>Wk.4</v>
      </c>
      <c r="AK737" t="str">
        <f>IF(pub_gid_0_single_true_output_csv[[#This Row],[Nilai2]]="","",VLOOKUP(pub_gid_0_single_true_output_csv[[#This Row],[NAMA]],Table7[],3,FALSE))</f>
        <v>Average</v>
      </c>
    </row>
    <row r="738" spans="1:37" x14ac:dyDescent="0.2">
      <c r="A738">
        <v>737</v>
      </c>
      <c r="B738" t="s">
        <v>289</v>
      </c>
      <c r="C738" t="s">
        <v>54</v>
      </c>
      <c r="D738" t="s">
        <v>39</v>
      </c>
      <c r="E738" t="s">
        <v>140</v>
      </c>
      <c r="F738" s="25">
        <v>46041</v>
      </c>
      <c r="G738" t="s">
        <v>370</v>
      </c>
      <c r="H738" t="s">
        <v>405</v>
      </c>
      <c r="I738" t="s">
        <v>371</v>
      </c>
      <c r="J738" t="s">
        <v>90</v>
      </c>
      <c r="K738" t="s">
        <v>377</v>
      </c>
      <c r="L738" t="s">
        <v>399</v>
      </c>
      <c r="M738" t="s">
        <v>141</v>
      </c>
      <c r="N738" t="s">
        <v>142</v>
      </c>
      <c r="O738" t="s">
        <v>155</v>
      </c>
      <c r="P738" t="s">
        <v>281</v>
      </c>
      <c r="Q738" t="s">
        <v>155</v>
      </c>
      <c r="R738" t="s">
        <v>302</v>
      </c>
      <c r="S738" t="s">
        <v>369</v>
      </c>
      <c r="T738">
        <v>1</v>
      </c>
      <c r="U738" t="s">
        <v>428</v>
      </c>
      <c r="V738" t="s">
        <v>342</v>
      </c>
      <c r="W738" t="s">
        <v>430</v>
      </c>
      <c r="X738" t="s">
        <v>306</v>
      </c>
      <c r="Y738" t="s">
        <v>307</v>
      </c>
      <c r="Z738">
        <v>65</v>
      </c>
      <c r="AA738">
        <v>90</v>
      </c>
      <c r="AB738" t="s">
        <v>143</v>
      </c>
      <c r="AC738" t="s">
        <v>154</v>
      </c>
      <c r="AD738" t="s">
        <v>50</v>
      </c>
      <c r="AE738" t="str">
        <f>IF(AF738="","",VLOOKUP(AC738,mapel!$A$2:$B$42,2,FALSE))</f>
        <v>Math</v>
      </c>
      <c r="AF738">
        <f t="shared" si="33"/>
        <v>90</v>
      </c>
      <c r="AG738" t="str">
        <f>IF(AF738="","",IF(AF738&gt;90,"Sangat baik",IF(AF738&gt;79,"Baik",IF(AF738&gt;=pub_gid_0_single_true_output_csv[[#This Row],[KKM]],"Cukup","Kurang"))))</f>
        <v>Baik</v>
      </c>
      <c r="AH738">
        <f t="shared" si="34"/>
        <v>11</v>
      </c>
      <c r="AI738" s="30" t="str">
        <f>IF(OR(J738&lt;&gt;"Karakter",pub_gid_0_single_true_output_csv[[#This Row],[Nilai2]]=""),"",IF(AF738&gt;89,"Sangat baik",IF(AF738&gt;79,"Baik",IF(AF738&gt;69,"Cukup",IF(AF738&gt;59,"Kurang","Sangat kurang")))))</f>
        <v>Sangat baik</v>
      </c>
      <c r="AJ738" t="str">
        <f t="shared" si="35"/>
        <v>Wk.4</v>
      </c>
      <c r="AK738" t="str">
        <f>IF(pub_gid_0_single_true_output_csv[[#This Row],[Nilai2]]="","",VLOOKUP(pub_gid_0_single_true_output_csv[[#This Row],[NAMA]],Table7[],3,FALSE))</f>
        <v>Average</v>
      </c>
    </row>
    <row r="739" spans="1:37" x14ac:dyDescent="0.2">
      <c r="A739">
        <v>738</v>
      </c>
      <c r="B739" t="s">
        <v>289</v>
      </c>
      <c r="C739" t="s">
        <v>54</v>
      </c>
      <c r="D739" t="s">
        <v>39</v>
      </c>
      <c r="E739" t="s">
        <v>140</v>
      </c>
      <c r="F739" s="25">
        <v>46043</v>
      </c>
      <c r="G739" t="s">
        <v>341</v>
      </c>
      <c r="H739" t="s">
        <v>405</v>
      </c>
      <c r="I739" t="s">
        <v>371</v>
      </c>
      <c r="J739" t="s">
        <v>36</v>
      </c>
      <c r="K739" t="s">
        <v>37</v>
      </c>
      <c r="L739" t="s">
        <v>150</v>
      </c>
      <c r="M739" t="s">
        <v>141</v>
      </c>
      <c r="N739" t="s">
        <v>142</v>
      </c>
      <c r="O739" t="s">
        <v>155</v>
      </c>
      <c r="P739" t="s">
        <v>281</v>
      </c>
      <c r="Q739" t="s">
        <v>155</v>
      </c>
      <c r="R739" t="s">
        <v>302</v>
      </c>
      <c r="S739" t="s">
        <v>427</v>
      </c>
      <c r="T739">
        <v>1</v>
      </c>
      <c r="U739" t="s">
        <v>428</v>
      </c>
      <c r="V739" t="s">
        <v>285</v>
      </c>
      <c r="W739" t="s">
        <v>429</v>
      </c>
      <c r="X739" t="s">
        <v>391</v>
      </c>
      <c r="Y739" t="s">
        <v>335</v>
      </c>
      <c r="Z739">
        <v>65</v>
      </c>
      <c r="AA739">
        <v>40</v>
      </c>
      <c r="AB739" t="s">
        <v>151</v>
      </c>
      <c r="AC739" t="s">
        <v>154</v>
      </c>
      <c r="AD739" t="s">
        <v>50</v>
      </c>
      <c r="AE739" t="str">
        <f>IF(AF739="","",VLOOKUP(AC739,mapel!$A$2:$B$42,2,FALSE))</f>
        <v>Math</v>
      </c>
      <c r="AF739">
        <f t="shared" si="33"/>
        <v>40</v>
      </c>
      <c r="AG739" t="str">
        <f>IF(AF739="","",IF(AF739&gt;90,"Sangat baik",IF(AF739&gt;79,"Baik",IF(AF739&gt;=pub_gid_0_single_true_output_csv[[#This Row],[KKM]],"Cukup","Kurang"))))</f>
        <v>Kurang</v>
      </c>
      <c r="AH739">
        <f t="shared" si="34"/>
        <v>9</v>
      </c>
      <c r="AI739" s="30" t="str">
        <f>IF(OR(J739&lt;&gt;"Karakter",pub_gid_0_single_true_output_csv[[#This Row],[Nilai2]]=""),"",IF(AF739&gt;89,"Sangat baik",IF(AF739&gt;79,"Baik",IF(AF739&gt;69,"Cukup",IF(AF739&gt;59,"Kurang","Sangat kurang")))))</f>
        <v/>
      </c>
      <c r="AJ739" t="str">
        <f t="shared" si="35"/>
        <v>Wk.4</v>
      </c>
      <c r="AK739" t="str">
        <f>IF(pub_gid_0_single_true_output_csv[[#This Row],[Nilai2]]="","",VLOOKUP(pub_gid_0_single_true_output_csv[[#This Row],[NAMA]],Table7[],3,FALSE))</f>
        <v>Average</v>
      </c>
    </row>
    <row r="740" spans="1:37" x14ac:dyDescent="0.2">
      <c r="A740">
        <v>739</v>
      </c>
      <c r="B740" t="s">
        <v>289</v>
      </c>
      <c r="C740" t="s">
        <v>54</v>
      </c>
      <c r="D740" t="s">
        <v>39</v>
      </c>
      <c r="E740" t="s">
        <v>140</v>
      </c>
      <c r="F740" s="25">
        <v>46043</v>
      </c>
      <c r="G740" t="s">
        <v>341</v>
      </c>
      <c r="H740" t="s">
        <v>405</v>
      </c>
      <c r="I740" t="s">
        <v>371</v>
      </c>
      <c r="J740" t="s">
        <v>90</v>
      </c>
      <c r="K740" t="s">
        <v>377</v>
      </c>
      <c r="L740" t="s">
        <v>399</v>
      </c>
      <c r="M740" t="s">
        <v>141</v>
      </c>
      <c r="N740" t="s">
        <v>142</v>
      </c>
      <c r="O740" t="s">
        <v>155</v>
      </c>
      <c r="P740" t="s">
        <v>281</v>
      </c>
      <c r="Q740" t="s">
        <v>155</v>
      </c>
      <c r="R740" t="s">
        <v>302</v>
      </c>
      <c r="S740" t="s">
        <v>427</v>
      </c>
      <c r="T740">
        <v>1</v>
      </c>
      <c r="U740" t="s">
        <v>428</v>
      </c>
      <c r="V740" t="s">
        <v>285</v>
      </c>
      <c r="W740" t="s">
        <v>429</v>
      </c>
      <c r="X740" t="s">
        <v>391</v>
      </c>
      <c r="Y740" t="s">
        <v>335</v>
      </c>
      <c r="Z740">
        <v>65</v>
      </c>
      <c r="AA740">
        <v>90</v>
      </c>
      <c r="AB740" t="s">
        <v>143</v>
      </c>
      <c r="AC740" t="s">
        <v>154</v>
      </c>
      <c r="AD740" t="s">
        <v>50</v>
      </c>
      <c r="AE740" t="str">
        <f>IF(AF740="","",VLOOKUP(AC740,mapel!$A$2:$B$42,2,FALSE))</f>
        <v>Math</v>
      </c>
      <c r="AF740">
        <f t="shared" si="33"/>
        <v>90</v>
      </c>
      <c r="AG740" t="str">
        <f>IF(AF740="","",IF(AF740&gt;90,"Sangat baik",IF(AF740&gt;79,"Baik",IF(AF740&gt;=pub_gid_0_single_true_output_csv[[#This Row],[KKM]],"Cukup","Kurang"))))</f>
        <v>Baik</v>
      </c>
      <c r="AH740">
        <f t="shared" si="34"/>
        <v>9</v>
      </c>
      <c r="AI740" s="30" t="str">
        <f>IF(OR(J740&lt;&gt;"Karakter",pub_gid_0_single_true_output_csv[[#This Row],[Nilai2]]=""),"",IF(AF740&gt;89,"Sangat baik",IF(AF740&gt;79,"Baik",IF(AF740&gt;69,"Cukup",IF(AF740&gt;59,"Kurang","Sangat kurang")))))</f>
        <v>Sangat baik</v>
      </c>
      <c r="AJ740" t="str">
        <f t="shared" si="35"/>
        <v>Wk.4</v>
      </c>
      <c r="AK740" t="str">
        <f>IF(pub_gid_0_single_true_output_csv[[#This Row],[Nilai2]]="","",VLOOKUP(pub_gid_0_single_true_output_csv[[#This Row],[NAMA]],Table7[],3,FALSE))</f>
        <v>Average</v>
      </c>
    </row>
    <row r="741" spans="1:37" x14ac:dyDescent="0.2">
      <c r="A741">
        <v>740</v>
      </c>
      <c r="B741" t="s">
        <v>289</v>
      </c>
      <c r="C741" t="s">
        <v>54</v>
      </c>
      <c r="D741" t="s">
        <v>39</v>
      </c>
      <c r="E741" t="s">
        <v>140</v>
      </c>
      <c r="F741" s="25">
        <v>46041</v>
      </c>
      <c r="G741" t="s">
        <v>370</v>
      </c>
      <c r="H741" t="s">
        <v>405</v>
      </c>
      <c r="I741" t="s">
        <v>371</v>
      </c>
      <c r="J741" t="s">
        <v>36</v>
      </c>
      <c r="K741" t="s">
        <v>37</v>
      </c>
      <c r="L741" t="s">
        <v>321</v>
      </c>
      <c r="M741" t="s">
        <v>141</v>
      </c>
      <c r="N741" t="s">
        <v>142</v>
      </c>
      <c r="O741" t="s">
        <v>155</v>
      </c>
      <c r="P741" t="s">
        <v>281</v>
      </c>
      <c r="Q741" t="s">
        <v>155</v>
      </c>
      <c r="R741" t="s">
        <v>302</v>
      </c>
      <c r="S741" t="s">
        <v>427</v>
      </c>
      <c r="T741">
        <v>1</v>
      </c>
      <c r="U741" t="s">
        <v>428</v>
      </c>
      <c r="V741" t="s">
        <v>285</v>
      </c>
      <c r="W741" t="s">
        <v>429</v>
      </c>
      <c r="X741" t="s">
        <v>391</v>
      </c>
      <c r="Y741" t="s">
        <v>335</v>
      </c>
      <c r="Z741">
        <v>65</v>
      </c>
      <c r="AA741">
        <v>100</v>
      </c>
      <c r="AB741" t="s">
        <v>143</v>
      </c>
      <c r="AC741" t="s">
        <v>154</v>
      </c>
      <c r="AD741" t="s">
        <v>50</v>
      </c>
      <c r="AE741" t="str">
        <f>IF(AF741="","",VLOOKUP(AC741,mapel!$A$2:$B$42,2,FALSE))</f>
        <v>Math</v>
      </c>
      <c r="AF741">
        <f t="shared" si="33"/>
        <v>100</v>
      </c>
      <c r="AG741" t="str">
        <f>IF(AF741="","",IF(AF741&gt;90,"Sangat baik",IF(AF741&gt;79,"Baik",IF(AF741&gt;=pub_gid_0_single_true_output_csv[[#This Row],[KKM]],"Cukup","Kurang"))))</f>
        <v>Sangat baik</v>
      </c>
      <c r="AH741">
        <f t="shared" si="34"/>
        <v>9</v>
      </c>
      <c r="AI741" s="30" t="str">
        <f>IF(OR(J741&lt;&gt;"Karakter",pub_gid_0_single_true_output_csv[[#This Row],[Nilai2]]=""),"",IF(AF741&gt;89,"Sangat baik",IF(AF741&gt;79,"Baik",IF(AF741&gt;69,"Cukup",IF(AF741&gt;59,"Kurang","Sangat kurang")))))</f>
        <v/>
      </c>
      <c r="AJ741" t="str">
        <f t="shared" si="35"/>
        <v>Wk.4</v>
      </c>
      <c r="AK741" t="str">
        <f>IF(pub_gid_0_single_true_output_csv[[#This Row],[Nilai2]]="","",VLOOKUP(pub_gid_0_single_true_output_csv[[#This Row],[NAMA]],Table7[],3,FALSE))</f>
        <v>Average</v>
      </c>
    </row>
    <row r="742" spans="1:37" x14ac:dyDescent="0.2">
      <c r="A742">
        <v>741</v>
      </c>
      <c r="B742" t="s">
        <v>289</v>
      </c>
      <c r="C742" t="s">
        <v>54</v>
      </c>
      <c r="D742" t="s">
        <v>39</v>
      </c>
      <c r="E742" t="s">
        <v>140</v>
      </c>
      <c r="F742" s="25">
        <v>46041</v>
      </c>
      <c r="G742" t="s">
        <v>370</v>
      </c>
      <c r="H742" t="s">
        <v>405</v>
      </c>
      <c r="I742" t="s">
        <v>371</v>
      </c>
      <c r="J742" t="s">
        <v>36</v>
      </c>
      <c r="K742" t="s">
        <v>37</v>
      </c>
      <c r="L742" t="s">
        <v>321</v>
      </c>
      <c r="M742" t="s">
        <v>141</v>
      </c>
      <c r="N742" t="s">
        <v>142</v>
      </c>
      <c r="O742" t="s">
        <v>155</v>
      </c>
      <c r="P742" t="s">
        <v>281</v>
      </c>
      <c r="Q742" t="s">
        <v>155</v>
      </c>
      <c r="R742" t="s">
        <v>302</v>
      </c>
      <c r="S742" t="s">
        <v>369</v>
      </c>
      <c r="T742">
        <v>1</v>
      </c>
      <c r="U742" t="s">
        <v>428</v>
      </c>
      <c r="V742" t="s">
        <v>342</v>
      </c>
      <c r="W742" t="s">
        <v>430</v>
      </c>
      <c r="X742" t="s">
        <v>306</v>
      </c>
      <c r="Y742" t="s">
        <v>307</v>
      </c>
      <c r="Z742">
        <v>65</v>
      </c>
      <c r="AA742">
        <v>20</v>
      </c>
      <c r="AB742" t="s">
        <v>151</v>
      </c>
      <c r="AC742" t="s">
        <v>154</v>
      </c>
      <c r="AD742" t="s">
        <v>50</v>
      </c>
      <c r="AE742" t="str">
        <f>IF(AF742="","",VLOOKUP(AC742,mapel!$A$2:$B$42,2,FALSE))</f>
        <v>Math</v>
      </c>
      <c r="AF742">
        <f t="shared" si="33"/>
        <v>20</v>
      </c>
      <c r="AG742" t="str">
        <f>IF(AF742="","",IF(AF742&gt;90,"Sangat baik",IF(AF742&gt;79,"Baik",IF(AF742&gt;=pub_gid_0_single_true_output_csv[[#This Row],[KKM]],"Cukup","Kurang"))))</f>
        <v>Kurang</v>
      </c>
      <c r="AH742">
        <f t="shared" si="34"/>
        <v>11</v>
      </c>
      <c r="AI742" s="30" t="str">
        <f>IF(OR(J742&lt;&gt;"Karakter",pub_gid_0_single_true_output_csv[[#This Row],[Nilai2]]=""),"",IF(AF742&gt;89,"Sangat baik",IF(AF742&gt;79,"Baik",IF(AF742&gt;69,"Cukup",IF(AF742&gt;59,"Kurang","Sangat kurang")))))</f>
        <v/>
      </c>
      <c r="AJ742" t="str">
        <f t="shared" si="35"/>
        <v>Wk.4</v>
      </c>
      <c r="AK742" t="str">
        <f>IF(pub_gid_0_single_true_output_csv[[#This Row],[Nilai2]]="","",VLOOKUP(pub_gid_0_single_true_output_csv[[#This Row],[NAMA]],Table7[],3,FALSE))</f>
        <v>Average</v>
      </c>
    </row>
    <row r="743" spans="1:37" x14ac:dyDescent="0.2">
      <c r="A743">
        <v>742</v>
      </c>
      <c r="B743" t="s">
        <v>289</v>
      </c>
      <c r="C743" t="s">
        <v>54</v>
      </c>
      <c r="D743" t="s">
        <v>39</v>
      </c>
      <c r="E743" t="s">
        <v>140</v>
      </c>
      <c r="F743" s="25">
        <v>46050</v>
      </c>
      <c r="G743" t="s">
        <v>308</v>
      </c>
      <c r="H743" t="s">
        <v>405</v>
      </c>
      <c r="I743" t="s">
        <v>371</v>
      </c>
      <c r="J743" t="s">
        <v>36</v>
      </c>
      <c r="K743" t="s">
        <v>37</v>
      </c>
      <c r="L743" t="s">
        <v>150</v>
      </c>
      <c r="M743" t="s">
        <v>141</v>
      </c>
      <c r="N743" t="s">
        <v>142</v>
      </c>
      <c r="O743" t="s">
        <v>155</v>
      </c>
      <c r="P743" t="s">
        <v>281</v>
      </c>
      <c r="Q743" t="s">
        <v>155</v>
      </c>
      <c r="R743" t="s">
        <v>302</v>
      </c>
      <c r="S743" t="s">
        <v>427</v>
      </c>
      <c r="T743">
        <v>1</v>
      </c>
      <c r="U743" t="s">
        <v>428</v>
      </c>
      <c r="V743" t="s">
        <v>285</v>
      </c>
      <c r="W743" t="s">
        <v>429</v>
      </c>
      <c r="X743" t="s">
        <v>391</v>
      </c>
      <c r="Y743" t="s">
        <v>335</v>
      </c>
      <c r="Z743">
        <v>65</v>
      </c>
      <c r="AA743">
        <v>50</v>
      </c>
      <c r="AB743" t="s">
        <v>151</v>
      </c>
      <c r="AC743" t="s">
        <v>154</v>
      </c>
      <c r="AD743" t="s">
        <v>50</v>
      </c>
      <c r="AE743" t="str">
        <f>IF(AF743="","",VLOOKUP(AC743,mapel!$A$2:$B$42,2,FALSE))</f>
        <v>Math</v>
      </c>
      <c r="AF743">
        <f t="shared" si="33"/>
        <v>50</v>
      </c>
      <c r="AG743" t="str">
        <f>IF(AF743="","",IF(AF743&gt;90,"Sangat baik",IF(AF743&gt;79,"Baik",IF(AF743&gt;=pub_gid_0_single_true_output_csv[[#This Row],[KKM]],"Cukup","Kurang"))))</f>
        <v>Kurang</v>
      </c>
      <c r="AH743">
        <f t="shared" si="34"/>
        <v>9</v>
      </c>
      <c r="AI743" s="30" t="str">
        <f>IF(OR(J743&lt;&gt;"Karakter",pub_gid_0_single_true_output_csv[[#This Row],[Nilai2]]=""),"",IF(AF743&gt;89,"Sangat baik",IF(AF743&gt;79,"Baik",IF(AF743&gt;69,"Cukup",IF(AF743&gt;59,"Kurang","Sangat kurang")))))</f>
        <v/>
      </c>
      <c r="AJ743" t="str">
        <f t="shared" si="35"/>
        <v>Wk.5</v>
      </c>
      <c r="AK743" t="str">
        <f>IF(pub_gid_0_single_true_output_csv[[#This Row],[Nilai2]]="","",VLOOKUP(pub_gid_0_single_true_output_csv[[#This Row],[NAMA]],Table7[],3,FALSE))</f>
        <v>Average</v>
      </c>
    </row>
    <row r="744" spans="1:37" x14ac:dyDescent="0.2">
      <c r="A744">
        <v>743</v>
      </c>
      <c r="B744" t="s">
        <v>289</v>
      </c>
      <c r="C744" t="s">
        <v>54</v>
      </c>
      <c r="D744" t="s">
        <v>39</v>
      </c>
      <c r="E744" t="s">
        <v>140</v>
      </c>
      <c r="F744" s="25">
        <v>46057</v>
      </c>
      <c r="G744" t="s">
        <v>348</v>
      </c>
      <c r="H744" t="s">
        <v>412</v>
      </c>
      <c r="I744" t="s">
        <v>371</v>
      </c>
      <c r="J744" t="s">
        <v>36</v>
      </c>
      <c r="K744" t="s">
        <v>37</v>
      </c>
      <c r="L744" t="s">
        <v>150</v>
      </c>
      <c r="M744" t="s">
        <v>141</v>
      </c>
      <c r="N744" t="s">
        <v>142</v>
      </c>
      <c r="O744" t="s">
        <v>155</v>
      </c>
      <c r="P744" t="s">
        <v>281</v>
      </c>
      <c r="Q744" t="s">
        <v>155</v>
      </c>
      <c r="R744" t="s">
        <v>302</v>
      </c>
      <c r="S744" t="s">
        <v>369</v>
      </c>
      <c r="T744">
        <v>1</v>
      </c>
      <c r="U744" t="s">
        <v>428</v>
      </c>
      <c r="V744" t="s">
        <v>342</v>
      </c>
      <c r="W744" t="s">
        <v>430</v>
      </c>
      <c r="X744" t="s">
        <v>306</v>
      </c>
      <c r="Y744" t="s">
        <v>307</v>
      </c>
      <c r="Z744">
        <v>65</v>
      </c>
      <c r="AA744">
        <v>89</v>
      </c>
      <c r="AB744" t="s">
        <v>143</v>
      </c>
      <c r="AC744" t="s">
        <v>154</v>
      </c>
      <c r="AD744" t="s">
        <v>50</v>
      </c>
      <c r="AE744" t="str">
        <f>IF(AF744="","",VLOOKUP(AC744,mapel!$A$2:$B$42,2,FALSE))</f>
        <v>Math</v>
      </c>
      <c r="AF744">
        <f t="shared" si="33"/>
        <v>89</v>
      </c>
      <c r="AG744" t="str">
        <f>IF(AF744="","",IF(AF744&gt;90,"Sangat baik",IF(AF744&gt;79,"Baik",IF(AF744&gt;=pub_gid_0_single_true_output_csv[[#This Row],[KKM]],"Cukup","Kurang"))))</f>
        <v>Baik</v>
      </c>
      <c r="AH744">
        <f t="shared" si="34"/>
        <v>11</v>
      </c>
      <c r="AI744" s="30" t="str">
        <f>IF(OR(J744&lt;&gt;"Karakter",pub_gid_0_single_true_output_csv[[#This Row],[Nilai2]]=""),"",IF(AF744&gt;89,"Sangat baik",IF(AF744&gt;79,"Baik",IF(AF744&gt;69,"Cukup",IF(AF744&gt;59,"Kurang","Sangat kurang")))))</f>
        <v/>
      </c>
      <c r="AJ744" t="str">
        <f t="shared" si="35"/>
        <v>Wk.6</v>
      </c>
      <c r="AK744" t="str">
        <f>IF(pub_gid_0_single_true_output_csv[[#This Row],[Nilai2]]="","",VLOOKUP(pub_gid_0_single_true_output_csv[[#This Row],[NAMA]],Table7[],3,FALSE))</f>
        <v>Average</v>
      </c>
    </row>
    <row r="745" spans="1:37" x14ac:dyDescent="0.2">
      <c r="A745">
        <v>744</v>
      </c>
      <c r="B745" t="s">
        <v>289</v>
      </c>
      <c r="C745" t="s">
        <v>54</v>
      </c>
      <c r="D745" t="s">
        <v>39</v>
      </c>
      <c r="E745" t="s">
        <v>140</v>
      </c>
      <c r="F745" s="25">
        <v>46059</v>
      </c>
      <c r="G745" t="s">
        <v>349</v>
      </c>
      <c r="H745" t="s">
        <v>412</v>
      </c>
      <c r="I745" t="s">
        <v>371</v>
      </c>
      <c r="J745" t="s">
        <v>36</v>
      </c>
      <c r="K745" t="s">
        <v>37</v>
      </c>
      <c r="L745" t="s">
        <v>150</v>
      </c>
      <c r="M745" t="s">
        <v>141</v>
      </c>
      <c r="N745" t="s">
        <v>142</v>
      </c>
      <c r="O745" t="s">
        <v>155</v>
      </c>
      <c r="P745" t="s">
        <v>281</v>
      </c>
      <c r="Q745" t="s">
        <v>155</v>
      </c>
      <c r="R745" t="s">
        <v>302</v>
      </c>
      <c r="S745" t="s">
        <v>369</v>
      </c>
      <c r="T745">
        <v>1</v>
      </c>
      <c r="U745" t="s">
        <v>428</v>
      </c>
      <c r="V745" t="s">
        <v>342</v>
      </c>
      <c r="W745" t="s">
        <v>430</v>
      </c>
      <c r="X745" t="s">
        <v>306</v>
      </c>
      <c r="Y745" t="s">
        <v>307</v>
      </c>
      <c r="Z745">
        <v>65</v>
      </c>
      <c r="AA745">
        <v>90</v>
      </c>
      <c r="AB745" t="s">
        <v>143</v>
      </c>
      <c r="AC745" t="s">
        <v>154</v>
      </c>
      <c r="AD745" t="s">
        <v>50</v>
      </c>
      <c r="AE745" t="str">
        <f>IF(AF745="","",VLOOKUP(AC745,mapel!$A$2:$B$42,2,FALSE))</f>
        <v>Math</v>
      </c>
      <c r="AF745">
        <f t="shared" si="33"/>
        <v>90</v>
      </c>
      <c r="AG745" t="str">
        <f>IF(AF745="","",IF(AF745&gt;90,"Sangat baik",IF(AF745&gt;79,"Baik",IF(AF745&gt;=pub_gid_0_single_true_output_csv[[#This Row],[KKM]],"Cukup","Kurang"))))</f>
        <v>Baik</v>
      </c>
      <c r="AH745">
        <f t="shared" si="34"/>
        <v>11</v>
      </c>
      <c r="AI745" s="30" t="str">
        <f>IF(OR(J745&lt;&gt;"Karakter",pub_gid_0_single_true_output_csv[[#This Row],[Nilai2]]=""),"",IF(AF745&gt;89,"Sangat baik",IF(AF745&gt;79,"Baik",IF(AF745&gt;69,"Cukup",IF(AF745&gt;59,"Kurang","Sangat kurang")))))</f>
        <v/>
      </c>
      <c r="AJ745" t="str">
        <f t="shared" si="35"/>
        <v>Wk.6</v>
      </c>
      <c r="AK745" t="str">
        <f>IF(pub_gid_0_single_true_output_csv[[#This Row],[Nilai2]]="","",VLOOKUP(pub_gid_0_single_true_output_csv[[#This Row],[NAMA]],Table7[],3,FALSE))</f>
        <v>Average</v>
      </c>
    </row>
    <row r="746" spans="1:37" x14ac:dyDescent="0.2">
      <c r="A746">
        <v>745</v>
      </c>
      <c r="B746" t="s">
        <v>289</v>
      </c>
      <c r="C746" t="s">
        <v>54</v>
      </c>
      <c r="D746" t="s">
        <v>39</v>
      </c>
      <c r="E746" t="s">
        <v>140</v>
      </c>
      <c r="F746" s="25">
        <v>46062</v>
      </c>
      <c r="G746" t="s">
        <v>376</v>
      </c>
      <c r="H746" t="s">
        <v>412</v>
      </c>
      <c r="I746" t="s">
        <v>371</v>
      </c>
      <c r="J746" t="s">
        <v>36</v>
      </c>
      <c r="K746" t="s">
        <v>37</v>
      </c>
      <c r="L746" t="s">
        <v>150</v>
      </c>
      <c r="M746" t="s">
        <v>141</v>
      </c>
      <c r="N746" t="s">
        <v>142</v>
      </c>
      <c r="O746" t="s">
        <v>155</v>
      </c>
      <c r="P746" t="s">
        <v>281</v>
      </c>
      <c r="Q746" t="s">
        <v>155</v>
      </c>
      <c r="R746" t="s">
        <v>302</v>
      </c>
      <c r="S746" t="s">
        <v>369</v>
      </c>
      <c r="T746">
        <v>1</v>
      </c>
      <c r="U746" t="s">
        <v>428</v>
      </c>
      <c r="V746" t="s">
        <v>342</v>
      </c>
      <c r="W746" t="s">
        <v>430</v>
      </c>
      <c r="X746" t="s">
        <v>306</v>
      </c>
      <c r="Y746" t="s">
        <v>307</v>
      </c>
      <c r="Z746">
        <v>65</v>
      </c>
      <c r="AA746">
        <v>60</v>
      </c>
      <c r="AB746" t="s">
        <v>151</v>
      </c>
      <c r="AC746" t="s">
        <v>154</v>
      </c>
      <c r="AD746" t="s">
        <v>50</v>
      </c>
      <c r="AE746" t="str">
        <f>IF(AF746="","",VLOOKUP(AC746,mapel!$A$2:$B$42,2,FALSE))</f>
        <v>Math</v>
      </c>
      <c r="AF746">
        <f t="shared" si="33"/>
        <v>60</v>
      </c>
      <c r="AG746" t="str">
        <f>IF(AF746="","",IF(AF746&gt;90,"Sangat baik",IF(AF746&gt;79,"Baik",IF(AF746&gt;=pub_gid_0_single_true_output_csv[[#This Row],[KKM]],"Cukup","Kurang"))))</f>
        <v>Kurang</v>
      </c>
      <c r="AH746">
        <f t="shared" si="34"/>
        <v>11</v>
      </c>
      <c r="AI746" s="30" t="str">
        <f>IF(OR(J746&lt;&gt;"Karakter",pub_gid_0_single_true_output_csv[[#This Row],[Nilai2]]=""),"",IF(AF746&gt;89,"Sangat baik",IF(AF746&gt;79,"Baik",IF(AF746&gt;69,"Cukup",IF(AF746&gt;59,"Kurang","Sangat kurang")))))</f>
        <v/>
      </c>
      <c r="AJ746" t="str">
        <f t="shared" si="35"/>
        <v>Wk.7</v>
      </c>
      <c r="AK746" t="str">
        <f>IF(pub_gid_0_single_true_output_csv[[#This Row],[Nilai2]]="","",VLOOKUP(pub_gid_0_single_true_output_csv[[#This Row],[NAMA]],Table7[],3,FALSE))</f>
        <v>Average</v>
      </c>
    </row>
    <row r="747" spans="1:37" x14ac:dyDescent="0.2">
      <c r="A747">
        <v>746</v>
      </c>
      <c r="B747" t="s">
        <v>289</v>
      </c>
      <c r="C747" t="s">
        <v>54</v>
      </c>
      <c r="D747" t="s">
        <v>39</v>
      </c>
      <c r="E747" t="s">
        <v>140</v>
      </c>
      <c r="F747" s="25">
        <v>46059</v>
      </c>
      <c r="G747" t="s">
        <v>349</v>
      </c>
      <c r="H747" t="s">
        <v>412</v>
      </c>
      <c r="I747" t="s">
        <v>371</v>
      </c>
      <c r="J747" t="s">
        <v>36</v>
      </c>
      <c r="K747" t="s">
        <v>37</v>
      </c>
      <c r="L747" t="s">
        <v>321</v>
      </c>
      <c r="M747" t="s">
        <v>141</v>
      </c>
      <c r="N747" t="s">
        <v>142</v>
      </c>
      <c r="O747" t="s">
        <v>155</v>
      </c>
      <c r="P747" t="s">
        <v>281</v>
      </c>
      <c r="Q747" t="s">
        <v>155</v>
      </c>
      <c r="R747" t="s">
        <v>302</v>
      </c>
      <c r="S747" t="s">
        <v>369</v>
      </c>
      <c r="T747">
        <v>1</v>
      </c>
      <c r="U747" t="s">
        <v>428</v>
      </c>
      <c r="V747" t="s">
        <v>342</v>
      </c>
      <c r="W747" t="s">
        <v>430</v>
      </c>
      <c r="X747" t="s">
        <v>306</v>
      </c>
      <c r="Y747" t="s">
        <v>307</v>
      </c>
      <c r="Z747">
        <v>65</v>
      </c>
      <c r="AA747">
        <v>77</v>
      </c>
      <c r="AB747" t="s">
        <v>143</v>
      </c>
      <c r="AC747" t="s">
        <v>154</v>
      </c>
      <c r="AD747" t="s">
        <v>50</v>
      </c>
      <c r="AE747" t="str">
        <f>IF(AF747="","",VLOOKUP(AC747,mapel!$A$2:$B$42,2,FALSE))</f>
        <v>Math</v>
      </c>
      <c r="AF747">
        <f t="shared" si="33"/>
        <v>77</v>
      </c>
      <c r="AG747" t="str">
        <f>IF(AF747="","",IF(AF747&gt;90,"Sangat baik",IF(AF747&gt;79,"Baik",IF(AF747&gt;=pub_gid_0_single_true_output_csv[[#This Row],[KKM]],"Cukup","Kurang"))))</f>
        <v>Cukup</v>
      </c>
      <c r="AH747">
        <f t="shared" si="34"/>
        <v>11</v>
      </c>
      <c r="AI747" s="30" t="str">
        <f>IF(OR(J747&lt;&gt;"Karakter",pub_gid_0_single_true_output_csv[[#This Row],[Nilai2]]=""),"",IF(AF747&gt;89,"Sangat baik",IF(AF747&gt;79,"Baik",IF(AF747&gt;69,"Cukup",IF(AF747&gt;59,"Kurang","Sangat kurang")))))</f>
        <v/>
      </c>
      <c r="AJ747" t="str">
        <f t="shared" si="35"/>
        <v>Wk.6</v>
      </c>
      <c r="AK747" t="str">
        <f>IF(pub_gid_0_single_true_output_csv[[#This Row],[Nilai2]]="","",VLOOKUP(pub_gid_0_single_true_output_csv[[#This Row],[NAMA]],Table7[],3,FALSE))</f>
        <v>Average</v>
      </c>
    </row>
    <row r="748" spans="1:37" x14ac:dyDescent="0.2">
      <c r="A748">
        <v>747</v>
      </c>
      <c r="B748" t="s">
        <v>289</v>
      </c>
      <c r="C748" t="s">
        <v>54</v>
      </c>
      <c r="D748" t="s">
        <v>39</v>
      </c>
      <c r="E748" t="s">
        <v>140</v>
      </c>
      <c r="F748" s="25">
        <v>46064</v>
      </c>
      <c r="G748" t="s">
        <v>352</v>
      </c>
      <c r="H748" t="s">
        <v>412</v>
      </c>
      <c r="I748" t="s">
        <v>371</v>
      </c>
      <c r="J748" t="s">
        <v>36</v>
      </c>
      <c r="K748" t="s">
        <v>37</v>
      </c>
      <c r="L748" t="s">
        <v>150</v>
      </c>
      <c r="M748" t="s">
        <v>141</v>
      </c>
      <c r="N748" t="s">
        <v>142</v>
      </c>
      <c r="O748" t="s">
        <v>155</v>
      </c>
      <c r="P748" t="s">
        <v>281</v>
      </c>
      <c r="Q748" t="s">
        <v>155</v>
      </c>
      <c r="R748" t="s">
        <v>302</v>
      </c>
      <c r="S748" t="s">
        <v>369</v>
      </c>
      <c r="T748">
        <v>1</v>
      </c>
      <c r="U748" t="s">
        <v>428</v>
      </c>
      <c r="V748" t="s">
        <v>342</v>
      </c>
      <c r="W748" t="s">
        <v>430</v>
      </c>
      <c r="X748" t="s">
        <v>306</v>
      </c>
      <c r="Y748" t="s">
        <v>307</v>
      </c>
      <c r="Z748">
        <v>65</v>
      </c>
      <c r="AA748">
        <v>50</v>
      </c>
      <c r="AB748" t="s">
        <v>151</v>
      </c>
      <c r="AC748" t="s">
        <v>154</v>
      </c>
      <c r="AD748" t="s">
        <v>50</v>
      </c>
      <c r="AE748" t="str">
        <f>IF(AF748="","",VLOOKUP(AC748,mapel!$A$2:$B$42,2,FALSE))</f>
        <v>Math</v>
      </c>
      <c r="AF748">
        <f t="shared" si="33"/>
        <v>50</v>
      </c>
      <c r="AG748" t="str">
        <f>IF(AF748="","",IF(AF748&gt;90,"Sangat baik",IF(AF748&gt;79,"Baik",IF(AF748&gt;=pub_gid_0_single_true_output_csv[[#This Row],[KKM]],"Cukup","Kurang"))))</f>
        <v>Kurang</v>
      </c>
      <c r="AH748">
        <f t="shared" si="34"/>
        <v>11</v>
      </c>
      <c r="AI748" s="30" t="str">
        <f>IF(OR(J748&lt;&gt;"Karakter",pub_gid_0_single_true_output_csv[[#This Row],[Nilai2]]=""),"",IF(AF748&gt;89,"Sangat baik",IF(AF748&gt;79,"Baik",IF(AF748&gt;69,"Cukup",IF(AF748&gt;59,"Kurang","Sangat kurang")))))</f>
        <v/>
      </c>
      <c r="AJ748" t="str">
        <f t="shared" si="35"/>
        <v>Wk.7</v>
      </c>
      <c r="AK748" t="str">
        <f>IF(pub_gid_0_single_true_output_csv[[#This Row],[Nilai2]]="","",VLOOKUP(pub_gid_0_single_true_output_csv[[#This Row],[NAMA]],Table7[],3,FALSE))</f>
        <v>Average</v>
      </c>
    </row>
    <row r="749" spans="1:37" x14ac:dyDescent="0.2">
      <c r="A749">
        <v>748</v>
      </c>
      <c r="B749" t="s">
        <v>290</v>
      </c>
      <c r="C749" t="s">
        <v>54</v>
      </c>
      <c r="D749" t="s">
        <v>42</v>
      </c>
      <c r="E749" t="s">
        <v>140</v>
      </c>
      <c r="F749" s="25">
        <v>46036</v>
      </c>
      <c r="G749" t="s">
        <v>353</v>
      </c>
      <c r="H749" t="s">
        <v>405</v>
      </c>
      <c r="I749" t="s">
        <v>371</v>
      </c>
      <c r="J749" t="s">
        <v>36</v>
      </c>
      <c r="K749" t="s">
        <v>37</v>
      </c>
      <c r="L749" t="s">
        <v>150</v>
      </c>
      <c r="M749" t="s">
        <v>141</v>
      </c>
      <c r="N749" t="s">
        <v>142</v>
      </c>
      <c r="O749" t="s">
        <v>155</v>
      </c>
      <c r="P749" t="s">
        <v>281</v>
      </c>
      <c r="Q749" t="s">
        <v>155</v>
      </c>
      <c r="R749" t="s">
        <v>302</v>
      </c>
      <c r="S749" t="s">
        <v>427</v>
      </c>
      <c r="T749">
        <v>1</v>
      </c>
      <c r="U749" t="s">
        <v>428</v>
      </c>
      <c r="V749" t="s">
        <v>285</v>
      </c>
      <c r="W749" t="s">
        <v>429</v>
      </c>
      <c r="X749" t="s">
        <v>391</v>
      </c>
      <c r="Y749" t="s">
        <v>335</v>
      </c>
      <c r="Z749">
        <v>65</v>
      </c>
      <c r="AA749">
        <v>20</v>
      </c>
      <c r="AB749" t="s">
        <v>151</v>
      </c>
      <c r="AC749" t="s">
        <v>154</v>
      </c>
      <c r="AD749" t="s">
        <v>50</v>
      </c>
      <c r="AE749" t="str">
        <f>IF(AF749="","",VLOOKUP(AC749,mapel!$A$2:$B$42,2,FALSE))</f>
        <v>Math</v>
      </c>
      <c r="AF749">
        <f t="shared" si="33"/>
        <v>20</v>
      </c>
      <c r="AG749" t="str">
        <f>IF(AF749="","",IF(AF749&gt;90,"Sangat baik",IF(AF749&gt;79,"Baik",IF(AF749&gt;=pub_gid_0_single_true_output_csv[[#This Row],[KKM]],"Cukup","Kurang"))))</f>
        <v>Kurang</v>
      </c>
      <c r="AH749">
        <f t="shared" si="34"/>
        <v>9</v>
      </c>
      <c r="AI749" s="30" t="str">
        <f>IF(OR(J749&lt;&gt;"Karakter",pub_gid_0_single_true_output_csv[[#This Row],[Nilai2]]=""),"",IF(AF749&gt;89,"Sangat baik",IF(AF749&gt;79,"Baik",IF(AF749&gt;69,"Cukup",IF(AF749&gt;59,"Kurang","Sangat kurang")))))</f>
        <v/>
      </c>
      <c r="AJ749" t="str">
        <f t="shared" si="35"/>
        <v>Wk.3</v>
      </c>
      <c r="AK749" t="str">
        <f>IF(pub_gid_0_single_true_output_csv[[#This Row],[Nilai2]]="","",VLOOKUP(pub_gid_0_single_true_output_csv[[#This Row],[NAMA]],Table7[],3,FALSE))</f>
        <v>Superior</v>
      </c>
    </row>
    <row r="750" spans="1:37" x14ac:dyDescent="0.2">
      <c r="A750">
        <v>749</v>
      </c>
      <c r="B750" t="s">
        <v>290</v>
      </c>
      <c r="C750" t="s">
        <v>54</v>
      </c>
      <c r="D750" t="s">
        <v>42</v>
      </c>
      <c r="E750" t="s">
        <v>140</v>
      </c>
      <c r="F750" s="25">
        <v>46036</v>
      </c>
      <c r="G750" t="s">
        <v>353</v>
      </c>
      <c r="H750" t="s">
        <v>405</v>
      </c>
      <c r="I750" t="s">
        <v>371</v>
      </c>
      <c r="J750" t="s">
        <v>36</v>
      </c>
      <c r="K750" t="s">
        <v>37</v>
      </c>
      <c r="L750" t="s">
        <v>150</v>
      </c>
      <c r="M750" t="s">
        <v>141</v>
      </c>
      <c r="N750" t="s">
        <v>142</v>
      </c>
      <c r="O750" t="s">
        <v>155</v>
      </c>
      <c r="P750" t="s">
        <v>281</v>
      </c>
      <c r="Q750" t="s">
        <v>155</v>
      </c>
      <c r="R750" t="s">
        <v>302</v>
      </c>
      <c r="S750" t="s">
        <v>369</v>
      </c>
      <c r="T750">
        <v>1</v>
      </c>
      <c r="U750" t="s">
        <v>428</v>
      </c>
      <c r="V750" t="s">
        <v>342</v>
      </c>
      <c r="W750" t="s">
        <v>430</v>
      </c>
      <c r="X750" t="s">
        <v>306</v>
      </c>
      <c r="Y750" t="s">
        <v>307</v>
      </c>
      <c r="Z750">
        <v>65</v>
      </c>
      <c r="AA750">
        <v>100</v>
      </c>
      <c r="AB750" t="s">
        <v>143</v>
      </c>
      <c r="AC750" t="s">
        <v>154</v>
      </c>
      <c r="AD750" t="s">
        <v>50</v>
      </c>
      <c r="AE750" t="str">
        <f>IF(AF750="","",VLOOKUP(AC750,mapel!$A$2:$B$42,2,FALSE))</f>
        <v>Math</v>
      </c>
      <c r="AF750">
        <f t="shared" si="33"/>
        <v>100</v>
      </c>
      <c r="AG750" t="str">
        <f>IF(AF750="","",IF(AF750&gt;90,"Sangat baik",IF(AF750&gt;79,"Baik",IF(AF750&gt;=pub_gid_0_single_true_output_csv[[#This Row],[KKM]],"Cukup","Kurang"))))</f>
        <v>Sangat baik</v>
      </c>
      <c r="AH750">
        <f t="shared" si="34"/>
        <v>11</v>
      </c>
      <c r="AI750" s="30" t="str">
        <f>IF(OR(J750&lt;&gt;"Karakter",pub_gid_0_single_true_output_csv[[#This Row],[Nilai2]]=""),"",IF(AF750&gt;89,"Sangat baik",IF(AF750&gt;79,"Baik",IF(AF750&gt;69,"Cukup",IF(AF750&gt;59,"Kurang","Sangat kurang")))))</f>
        <v/>
      </c>
      <c r="AJ750" t="str">
        <f t="shared" si="35"/>
        <v>Wk.3</v>
      </c>
      <c r="AK750" t="str">
        <f>IF(pub_gid_0_single_true_output_csv[[#This Row],[Nilai2]]="","",VLOOKUP(pub_gid_0_single_true_output_csv[[#This Row],[NAMA]],Table7[],3,FALSE))</f>
        <v>Superior</v>
      </c>
    </row>
    <row r="751" spans="1:37" x14ac:dyDescent="0.2">
      <c r="A751">
        <v>750</v>
      </c>
      <c r="B751" t="s">
        <v>290</v>
      </c>
      <c r="C751" t="s">
        <v>54</v>
      </c>
      <c r="D751" t="s">
        <v>42</v>
      </c>
      <c r="E751" t="s">
        <v>140</v>
      </c>
      <c r="F751" s="25">
        <v>46041</v>
      </c>
      <c r="G751" t="s">
        <v>370</v>
      </c>
      <c r="H751" t="s">
        <v>405</v>
      </c>
      <c r="I751" t="s">
        <v>371</v>
      </c>
      <c r="J751" t="s">
        <v>36</v>
      </c>
      <c r="K751" t="s">
        <v>37</v>
      </c>
      <c r="L751" t="s">
        <v>150</v>
      </c>
      <c r="M751" t="s">
        <v>141</v>
      </c>
      <c r="N751" t="s">
        <v>142</v>
      </c>
      <c r="O751" t="s">
        <v>155</v>
      </c>
      <c r="P751" t="s">
        <v>281</v>
      </c>
      <c r="Q751" t="s">
        <v>155</v>
      </c>
      <c r="R751" t="s">
        <v>302</v>
      </c>
      <c r="S751" t="s">
        <v>427</v>
      </c>
      <c r="T751">
        <v>1</v>
      </c>
      <c r="U751" t="s">
        <v>428</v>
      </c>
      <c r="V751" t="s">
        <v>285</v>
      </c>
      <c r="W751" t="s">
        <v>429</v>
      </c>
      <c r="X751" t="s">
        <v>391</v>
      </c>
      <c r="Y751" t="s">
        <v>335</v>
      </c>
      <c r="Z751">
        <v>65</v>
      </c>
      <c r="AA751">
        <v>0</v>
      </c>
      <c r="AB751" t="s">
        <v>151</v>
      </c>
      <c r="AC751" t="s">
        <v>154</v>
      </c>
      <c r="AD751" t="s">
        <v>50</v>
      </c>
      <c r="AE751" t="str">
        <f>IF(AF751="","",VLOOKUP(AC751,mapel!$A$2:$B$42,2,FALSE))</f>
        <v/>
      </c>
      <c r="AF751" t="str">
        <f t="shared" si="33"/>
        <v/>
      </c>
      <c r="AG751" t="str">
        <f>IF(AF751="","",IF(AF751&gt;90,"Sangat baik",IF(AF751&gt;79,"Baik",IF(AF751&gt;=pub_gid_0_single_true_output_csv[[#This Row],[KKM]],"Cukup","Kurang"))))</f>
        <v/>
      </c>
      <c r="AH751" t="str">
        <f t="shared" si="34"/>
        <v/>
      </c>
      <c r="AI751" s="30" t="str">
        <f>IF(OR(J751&lt;&gt;"Karakter",pub_gid_0_single_true_output_csv[[#This Row],[Nilai2]]=""),"",IF(AF751&gt;89,"Sangat baik",IF(AF751&gt;79,"Baik",IF(AF751&gt;69,"Cukup",IF(AF751&gt;59,"Kurang","Sangat kurang")))))</f>
        <v/>
      </c>
      <c r="AJ751" t="str">
        <f t="shared" si="35"/>
        <v/>
      </c>
      <c r="AK751" t="str">
        <f>IF(pub_gid_0_single_true_output_csv[[#This Row],[Nilai2]]="","",VLOOKUP(pub_gid_0_single_true_output_csv[[#This Row],[NAMA]],Table7[],3,FALSE))</f>
        <v/>
      </c>
    </row>
    <row r="752" spans="1:37" x14ac:dyDescent="0.2">
      <c r="A752">
        <v>751</v>
      </c>
      <c r="B752" t="s">
        <v>290</v>
      </c>
      <c r="C752" t="s">
        <v>54</v>
      </c>
      <c r="D752" t="s">
        <v>42</v>
      </c>
      <c r="E752" t="s">
        <v>140</v>
      </c>
      <c r="F752" s="25">
        <v>46041</v>
      </c>
      <c r="G752" t="s">
        <v>370</v>
      </c>
      <c r="H752" t="s">
        <v>405</v>
      </c>
      <c r="I752" t="s">
        <v>371</v>
      </c>
      <c r="J752" t="s">
        <v>90</v>
      </c>
      <c r="K752" t="s">
        <v>377</v>
      </c>
      <c r="L752" t="s">
        <v>399</v>
      </c>
      <c r="M752" t="s">
        <v>141</v>
      </c>
      <c r="N752" t="s">
        <v>142</v>
      </c>
      <c r="O752" t="s">
        <v>155</v>
      </c>
      <c r="P752" t="s">
        <v>281</v>
      </c>
      <c r="Q752" t="s">
        <v>155</v>
      </c>
      <c r="R752" t="s">
        <v>302</v>
      </c>
      <c r="S752" t="s">
        <v>369</v>
      </c>
      <c r="T752">
        <v>1</v>
      </c>
      <c r="U752" t="s">
        <v>428</v>
      </c>
      <c r="V752" t="s">
        <v>342</v>
      </c>
      <c r="W752" t="s">
        <v>430</v>
      </c>
      <c r="X752" t="s">
        <v>306</v>
      </c>
      <c r="Y752" t="s">
        <v>307</v>
      </c>
      <c r="Z752">
        <v>65</v>
      </c>
      <c r="AA752">
        <v>0</v>
      </c>
      <c r="AB752" t="s">
        <v>151</v>
      </c>
      <c r="AC752" t="s">
        <v>154</v>
      </c>
      <c r="AD752" t="s">
        <v>50</v>
      </c>
      <c r="AE752" t="str">
        <f>IF(AF752="","",VLOOKUP(AC752,mapel!$A$2:$B$42,2,FALSE))</f>
        <v/>
      </c>
      <c r="AF752" t="str">
        <f t="shared" si="33"/>
        <v/>
      </c>
      <c r="AG752" t="str">
        <f>IF(AF752="","",IF(AF752&gt;90,"Sangat baik",IF(AF752&gt;79,"Baik",IF(AF752&gt;=pub_gid_0_single_true_output_csv[[#This Row],[KKM]],"Cukup","Kurang"))))</f>
        <v/>
      </c>
      <c r="AH752" t="str">
        <f t="shared" si="34"/>
        <v/>
      </c>
      <c r="AI752" s="30" t="str">
        <f>IF(OR(J752&lt;&gt;"Karakter",pub_gid_0_single_true_output_csv[[#This Row],[Nilai2]]=""),"",IF(AF752&gt;89,"Sangat baik",IF(AF752&gt;79,"Baik",IF(AF752&gt;69,"Cukup",IF(AF752&gt;59,"Kurang","Sangat kurang")))))</f>
        <v/>
      </c>
      <c r="AJ752" t="str">
        <f t="shared" si="35"/>
        <v/>
      </c>
      <c r="AK752" t="str">
        <f>IF(pub_gid_0_single_true_output_csv[[#This Row],[Nilai2]]="","",VLOOKUP(pub_gid_0_single_true_output_csv[[#This Row],[NAMA]],Table7[],3,FALSE))</f>
        <v/>
      </c>
    </row>
    <row r="753" spans="1:37" x14ac:dyDescent="0.2">
      <c r="A753">
        <v>752</v>
      </c>
      <c r="B753" t="s">
        <v>290</v>
      </c>
      <c r="C753" t="s">
        <v>54</v>
      </c>
      <c r="D753" t="s">
        <v>42</v>
      </c>
      <c r="E753" t="s">
        <v>140</v>
      </c>
      <c r="F753" s="25">
        <v>46043</v>
      </c>
      <c r="G753" t="s">
        <v>341</v>
      </c>
      <c r="H753" t="s">
        <v>405</v>
      </c>
      <c r="I753" t="s">
        <v>371</v>
      </c>
      <c r="J753" t="s">
        <v>36</v>
      </c>
      <c r="K753" t="s">
        <v>37</v>
      </c>
      <c r="L753" t="s">
        <v>150</v>
      </c>
      <c r="M753" t="s">
        <v>141</v>
      </c>
      <c r="N753" t="s">
        <v>142</v>
      </c>
      <c r="O753" t="s">
        <v>155</v>
      </c>
      <c r="P753" t="s">
        <v>281</v>
      </c>
      <c r="Q753" t="s">
        <v>155</v>
      </c>
      <c r="R753" t="s">
        <v>302</v>
      </c>
      <c r="S753" t="s">
        <v>427</v>
      </c>
      <c r="T753">
        <v>1</v>
      </c>
      <c r="U753" t="s">
        <v>428</v>
      </c>
      <c r="V753" t="s">
        <v>285</v>
      </c>
      <c r="W753" t="s">
        <v>429</v>
      </c>
      <c r="X753" t="s">
        <v>391</v>
      </c>
      <c r="Y753" t="s">
        <v>335</v>
      </c>
      <c r="Z753">
        <v>65</v>
      </c>
      <c r="AA753">
        <v>20</v>
      </c>
      <c r="AB753" t="s">
        <v>151</v>
      </c>
      <c r="AC753" t="s">
        <v>154</v>
      </c>
      <c r="AD753" t="s">
        <v>50</v>
      </c>
      <c r="AE753" t="str">
        <f>IF(AF753="","",VLOOKUP(AC753,mapel!$A$2:$B$42,2,FALSE))</f>
        <v>Math</v>
      </c>
      <c r="AF753">
        <f t="shared" si="33"/>
        <v>20</v>
      </c>
      <c r="AG753" t="str">
        <f>IF(AF753="","",IF(AF753&gt;90,"Sangat baik",IF(AF753&gt;79,"Baik",IF(AF753&gt;=pub_gid_0_single_true_output_csv[[#This Row],[KKM]],"Cukup","Kurang"))))</f>
        <v>Kurang</v>
      </c>
      <c r="AH753">
        <f t="shared" si="34"/>
        <v>9</v>
      </c>
      <c r="AI753" s="30" t="str">
        <f>IF(OR(J753&lt;&gt;"Karakter",pub_gid_0_single_true_output_csv[[#This Row],[Nilai2]]=""),"",IF(AF753&gt;89,"Sangat baik",IF(AF753&gt;79,"Baik",IF(AF753&gt;69,"Cukup",IF(AF753&gt;59,"Kurang","Sangat kurang")))))</f>
        <v/>
      </c>
      <c r="AJ753" t="str">
        <f t="shared" si="35"/>
        <v>Wk.4</v>
      </c>
      <c r="AK753" t="str">
        <f>IF(pub_gid_0_single_true_output_csv[[#This Row],[Nilai2]]="","",VLOOKUP(pub_gid_0_single_true_output_csv[[#This Row],[NAMA]],Table7[],3,FALSE))</f>
        <v>Superior</v>
      </c>
    </row>
    <row r="754" spans="1:37" x14ac:dyDescent="0.2">
      <c r="A754">
        <v>753</v>
      </c>
      <c r="B754" t="s">
        <v>290</v>
      </c>
      <c r="C754" t="s">
        <v>54</v>
      </c>
      <c r="D754" t="s">
        <v>42</v>
      </c>
      <c r="E754" t="s">
        <v>140</v>
      </c>
      <c r="F754" s="25">
        <v>46043</v>
      </c>
      <c r="G754" t="s">
        <v>341</v>
      </c>
      <c r="H754" t="s">
        <v>405</v>
      </c>
      <c r="I754" t="s">
        <v>371</v>
      </c>
      <c r="J754" t="s">
        <v>90</v>
      </c>
      <c r="K754" t="s">
        <v>377</v>
      </c>
      <c r="L754" t="s">
        <v>399</v>
      </c>
      <c r="M754" t="s">
        <v>141</v>
      </c>
      <c r="N754" t="s">
        <v>142</v>
      </c>
      <c r="O754" t="s">
        <v>155</v>
      </c>
      <c r="P754" t="s">
        <v>281</v>
      </c>
      <c r="Q754" t="s">
        <v>155</v>
      </c>
      <c r="R754" t="s">
        <v>302</v>
      </c>
      <c r="S754" t="s">
        <v>427</v>
      </c>
      <c r="T754">
        <v>1</v>
      </c>
      <c r="U754" t="s">
        <v>428</v>
      </c>
      <c r="V754" t="s">
        <v>285</v>
      </c>
      <c r="W754" t="s">
        <v>429</v>
      </c>
      <c r="X754" t="s">
        <v>391</v>
      </c>
      <c r="Y754" t="s">
        <v>335</v>
      </c>
      <c r="Z754">
        <v>65</v>
      </c>
      <c r="AA754">
        <v>65</v>
      </c>
      <c r="AB754" t="s">
        <v>143</v>
      </c>
      <c r="AC754" t="s">
        <v>154</v>
      </c>
      <c r="AD754" t="s">
        <v>50</v>
      </c>
      <c r="AE754" t="str">
        <f>IF(AF754="","",VLOOKUP(AC754,mapel!$A$2:$B$42,2,FALSE))</f>
        <v>Math</v>
      </c>
      <c r="AF754">
        <f t="shared" si="33"/>
        <v>65</v>
      </c>
      <c r="AG754" t="str">
        <f>IF(AF754="","",IF(AF754&gt;90,"Sangat baik",IF(AF754&gt;79,"Baik",IF(AF754&gt;=pub_gid_0_single_true_output_csv[[#This Row],[KKM]],"Cukup","Kurang"))))</f>
        <v>Cukup</v>
      </c>
      <c r="AH754">
        <f t="shared" si="34"/>
        <v>9</v>
      </c>
      <c r="AI754" s="30" t="str">
        <f>IF(OR(J754&lt;&gt;"Karakter",pub_gid_0_single_true_output_csv[[#This Row],[Nilai2]]=""),"",IF(AF754&gt;89,"Sangat baik",IF(AF754&gt;79,"Baik",IF(AF754&gt;69,"Cukup",IF(AF754&gt;59,"Kurang","Sangat kurang")))))</f>
        <v>Kurang</v>
      </c>
      <c r="AJ754" t="str">
        <f t="shared" si="35"/>
        <v>Wk.4</v>
      </c>
      <c r="AK754" t="str">
        <f>IF(pub_gid_0_single_true_output_csv[[#This Row],[Nilai2]]="","",VLOOKUP(pub_gid_0_single_true_output_csv[[#This Row],[NAMA]],Table7[],3,FALSE))</f>
        <v>Superior</v>
      </c>
    </row>
    <row r="755" spans="1:37" x14ac:dyDescent="0.2">
      <c r="A755">
        <v>754</v>
      </c>
      <c r="B755" t="s">
        <v>290</v>
      </c>
      <c r="C755" t="s">
        <v>54</v>
      </c>
      <c r="D755" t="s">
        <v>42</v>
      </c>
      <c r="E755" t="s">
        <v>140</v>
      </c>
      <c r="F755" s="25">
        <v>46041</v>
      </c>
      <c r="G755" t="s">
        <v>370</v>
      </c>
      <c r="H755" t="s">
        <v>405</v>
      </c>
      <c r="I755" t="s">
        <v>371</v>
      </c>
      <c r="J755" t="s">
        <v>36</v>
      </c>
      <c r="K755" t="s">
        <v>37</v>
      </c>
      <c r="L755" t="s">
        <v>321</v>
      </c>
      <c r="M755" t="s">
        <v>141</v>
      </c>
      <c r="N755" t="s">
        <v>142</v>
      </c>
      <c r="O755" t="s">
        <v>155</v>
      </c>
      <c r="P755" t="s">
        <v>281</v>
      </c>
      <c r="Q755" t="s">
        <v>155</v>
      </c>
      <c r="R755" t="s">
        <v>302</v>
      </c>
      <c r="S755" t="s">
        <v>427</v>
      </c>
      <c r="T755">
        <v>1</v>
      </c>
      <c r="U755" t="s">
        <v>428</v>
      </c>
      <c r="V755" t="s">
        <v>285</v>
      </c>
      <c r="W755" t="s">
        <v>429</v>
      </c>
      <c r="X755" t="s">
        <v>391</v>
      </c>
      <c r="Y755" t="s">
        <v>335</v>
      </c>
      <c r="Z755">
        <v>65</v>
      </c>
      <c r="AA755">
        <v>80</v>
      </c>
      <c r="AB755" t="s">
        <v>143</v>
      </c>
      <c r="AC755" t="s">
        <v>154</v>
      </c>
      <c r="AD755" t="s">
        <v>50</v>
      </c>
      <c r="AE755" t="str">
        <f>IF(AF755="","",VLOOKUP(AC755,mapel!$A$2:$B$42,2,FALSE))</f>
        <v>Math</v>
      </c>
      <c r="AF755">
        <f t="shared" si="33"/>
        <v>80</v>
      </c>
      <c r="AG755" t="str">
        <f>IF(AF755="","",IF(AF755&gt;90,"Sangat baik",IF(AF755&gt;79,"Baik",IF(AF755&gt;=pub_gid_0_single_true_output_csv[[#This Row],[KKM]],"Cukup","Kurang"))))</f>
        <v>Baik</v>
      </c>
      <c r="AH755">
        <f t="shared" si="34"/>
        <v>9</v>
      </c>
      <c r="AI755" s="30" t="str">
        <f>IF(OR(J755&lt;&gt;"Karakter",pub_gid_0_single_true_output_csv[[#This Row],[Nilai2]]=""),"",IF(AF755&gt;89,"Sangat baik",IF(AF755&gt;79,"Baik",IF(AF755&gt;69,"Cukup",IF(AF755&gt;59,"Kurang","Sangat kurang")))))</f>
        <v/>
      </c>
      <c r="AJ755" t="str">
        <f t="shared" si="35"/>
        <v>Wk.4</v>
      </c>
      <c r="AK755" t="str">
        <f>IF(pub_gid_0_single_true_output_csv[[#This Row],[Nilai2]]="","",VLOOKUP(pub_gid_0_single_true_output_csv[[#This Row],[NAMA]],Table7[],3,FALSE))</f>
        <v>Superior</v>
      </c>
    </row>
    <row r="756" spans="1:37" x14ac:dyDescent="0.2">
      <c r="A756">
        <v>755</v>
      </c>
      <c r="B756" t="s">
        <v>290</v>
      </c>
      <c r="C756" t="s">
        <v>54</v>
      </c>
      <c r="D756" t="s">
        <v>42</v>
      </c>
      <c r="E756" t="s">
        <v>140</v>
      </c>
      <c r="F756" s="25">
        <v>46041</v>
      </c>
      <c r="G756" t="s">
        <v>370</v>
      </c>
      <c r="H756" t="s">
        <v>405</v>
      </c>
      <c r="I756" t="s">
        <v>371</v>
      </c>
      <c r="J756" t="s">
        <v>36</v>
      </c>
      <c r="K756" t="s">
        <v>37</v>
      </c>
      <c r="L756" t="s">
        <v>321</v>
      </c>
      <c r="M756" t="s">
        <v>141</v>
      </c>
      <c r="N756" t="s">
        <v>142</v>
      </c>
      <c r="O756" t="s">
        <v>155</v>
      </c>
      <c r="P756" t="s">
        <v>281</v>
      </c>
      <c r="Q756" t="s">
        <v>155</v>
      </c>
      <c r="R756" t="s">
        <v>302</v>
      </c>
      <c r="S756" t="s">
        <v>369</v>
      </c>
      <c r="T756">
        <v>1</v>
      </c>
      <c r="U756" t="s">
        <v>428</v>
      </c>
      <c r="V756" t="s">
        <v>342</v>
      </c>
      <c r="W756" t="s">
        <v>430</v>
      </c>
      <c r="X756" t="s">
        <v>306</v>
      </c>
      <c r="Y756" t="s">
        <v>307</v>
      </c>
      <c r="Z756">
        <v>65</v>
      </c>
      <c r="AA756">
        <v>30</v>
      </c>
      <c r="AB756" t="s">
        <v>151</v>
      </c>
      <c r="AC756" t="s">
        <v>154</v>
      </c>
      <c r="AD756" t="s">
        <v>50</v>
      </c>
      <c r="AE756" t="str">
        <f>IF(AF756="","",VLOOKUP(AC756,mapel!$A$2:$B$42,2,FALSE))</f>
        <v>Math</v>
      </c>
      <c r="AF756">
        <f t="shared" si="33"/>
        <v>30</v>
      </c>
      <c r="AG756" t="str">
        <f>IF(AF756="","",IF(AF756&gt;90,"Sangat baik",IF(AF756&gt;79,"Baik",IF(AF756&gt;=pub_gid_0_single_true_output_csv[[#This Row],[KKM]],"Cukup","Kurang"))))</f>
        <v>Kurang</v>
      </c>
      <c r="AH756">
        <f t="shared" si="34"/>
        <v>11</v>
      </c>
      <c r="AI756" s="30" t="str">
        <f>IF(OR(J756&lt;&gt;"Karakter",pub_gid_0_single_true_output_csv[[#This Row],[Nilai2]]=""),"",IF(AF756&gt;89,"Sangat baik",IF(AF756&gt;79,"Baik",IF(AF756&gt;69,"Cukup",IF(AF756&gt;59,"Kurang","Sangat kurang")))))</f>
        <v/>
      </c>
      <c r="AJ756" t="str">
        <f t="shared" si="35"/>
        <v>Wk.4</v>
      </c>
      <c r="AK756" t="str">
        <f>IF(pub_gid_0_single_true_output_csv[[#This Row],[Nilai2]]="","",VLOOKUP(pub_gid_0_single_true_output_csv[[#This Row],[NAMA]],Table7[],3,FALSE))</f>
        <v>Superior</v>
      </c>
    </row>
    <row r="757" spans="1:37" x14ac:dyDescent="0.2">
      <c r="A757">
        <v>756</v>
      </c>
      <c r="B757" t="s">
        <v>290</v>
      </c>
      <c r="C757" t="s">
        <v>54</v>
      </c>
      <c r="D757" t="s">
        <v>42</v>
      </c>
      <c r="E757" t="s">
        <v>140</v>
      </c>
      <c r="F757" s="25">
        <v>46050</v>
      </c>
      <c r="G757" t="s">
        <v>308</v>
      </c>
      <c r="H757" t="s">
        <v>405</v>
      </c>
      <c r="I757" t="s">
        <v>371</v>
      </c>
      <c r="J757" t="s">
        <v>36</v>
      </c>
      <c r="K757" t="s">
        <v>37</v>
      </c>
      <c r="L757" t="s">
        <v>150</v>
      </c>
      <c r="M757" t="s">
        <v>141</v>
      </c>
      <c r="N757" t="s">
        <v>142</v>
      </c>
      <c r="O757" t="s">
        <v>155</v>
      </c>
      <c r="P757" t="s">
        <v>281</v>
      </c>
      <c r="Q757" t="s">
        <v>155</v>
      </c>
      <c r="R757" t="s">
        <v>302</v>
      </c>
      <c r="S757" t="s">
        <v>427</v>
      </c>
      <c r="T757">
        <v>1</v>
      </c>
      <c r="U757" t="s">
        <v>428</v>
      </c>
      <c r="V757" t="s">
        <v>285</v>
      </c>
      <c r="W757" t="s">
        <v>429</v>
      </c>
      <c r="X757" t="s">
        <v>391</v>
      </c>
      <c r="Y757" t="s">
        <v>335</v>
      </c>
      <c r="Z757">
        <v>65</v>
      </c>
      <c r="AA757">
        <v>20</v>
      </c>
      <c r="AB757" t="s">
        <v>151</v>
      </c>
      <c r="AC757" t="s">
        <v>154</v>
      </c>
      <c r="AD757" t="s">
        <v>50</v>
      </c>
      <c r="AE757" t="str">
        <f>IF(AF757="","",VLOOKUP(AC757,mapel!$A$2:$B$42,2,FALSE))</f>
        <v>Math</v>
      </c>
      <c r="AF757">
        <f t="shared" si="33"/>
        <v>20</v>
      </c>
      <c r="AG757" t="str">
        <f>IF(AF757="","",IF(AF757&gt;90,"Sangat baik",IF(AF757&gt;79,"Baik",IF(AF757&gt;=pub_gid_0_single_true_output_csv[[#This Row],[KKM]],"Cukup","Kurang"))))</f>
        <v>Kurang</v>
      </c>
      <c r="AH757">
        <f t="shared" si="34"/>
        <v>9</v>
      </c>
      <c r="AI757" s="30" t="str">
        <f>IF(OR(J757&lt;&gt;"Karakter",pub_gid_0_single_true_output_csv[[#This Row],[Nilai2]]=""),"",IF(AF757&gt;89,"Sangat baik",IF(AF757&gt;79,"Baik",IF(AF757&gt;69,"Cukup",IF(AF757&gt;59,"Kurang","Sangat kurang")))))</f>
        <v/>
      </c>
      <c r="AJ757" t="str">
        <f t="shared" si="35"/>
        <v>Wk.5</v>
      </c>
      <c r="AK757" t="str">
        <f>IF(pub_gid_0_single_true_output_csv[[#This Row],[Nilai2]]="","",VLOOKUP(pub_gid_0_single_true_output_csv[[#This Row],[NAMA]],Table7[],3,FALSE))</f>
        <v>Superior</v>
      </c>
    </row>
    <row r="758" spans="1:37" x14ac:dyDescent="0.2">
      <c r="A758">
        <v>757</v>
      </c>
      <c r="B758" t="s">
        <v>290</v>
      </c>
      <c r="C758" t="s">
        <v>54</v>
      </c>
      <c r="D758" t="s">
        <v>42</v>
      </c>
      <c r="E758" t="s">
        <v>140</v>
      </c>
      <c r="F758" s="25">
        <v>46057</v>
      </c>
      <c r="G758" t="s">
        <v>348</v>
      </c>
      <c r="H758" t="s">
        <v>412</v>
      </c>
      <c r="I758" t="s">
        <v>371</v>
      </c>
      <c r="J758" t="s">
        <v>36</v>
      </c>
      <c r="K758" t="s">
        <v>37</v>
      </c>
      <c r="L758" t="s">
        <v>150</v>
      </c>
      <c r="M758" t="s">
        <v>141</v>
      </c>
      <c r="N758" t="s">
        <v>142</v>
      </c>
      <c r="O758" t="s">
        <v>155</v>
      </c>
      <c r="P758" t="s">
        <v>281</v>
      </c>
      <c r="Q758" t="s">
        <v>155</v>
      </c>
      <c r="R758" t="s">
        <v>302</v>
      </c>
      <c r="S758" t="s">
        <v>369</v>
      </c>
      <c r="T758">
        <v>1</v>
      </c>
      <c r="U758" t="s">
        <v>428</v>
      </c>
      <c r="V758" t="s">
        <v>342</v>
      </c>
      <c r="W758" t="s">
        <v>430</v>
      </c>
      <c r="X758" t="s">
        <v>306</v>
      </c>
      <c r="Y758" t="s">
        <v>307</v>
      </c>
      <c r="Z758">
        <v>65</v>
      </c>
      <c r="AA758">
        <v>95</v>
      </c>
      <c r="AB758" t="s">
        <v>143</v>
      </c>
      <c r="AC758" t="s">
        <v>154</v>
      </c>
      <c r="AD758" t="s">
        <v>50</v>
      </c>
      <c r="AE758" t="str">
        <f>IF(AF758="","",VLOOKUP(AC758,mapel!$A$2:$B$42,2,FALSE))</f>
        <v>Math</v>
      </c>
      <c r="AF758">
        <f t="shared" si="33"/>
        <v>95</v>
      </c>
      <c r="AG758" t="str">
        <f>IF(AF758="","",IF(AF758&gt;90,"Sangat baik",IF(AF758&gt;79,"Baik",IF(AF758&gt;=pub_gid_0_single_true_output_csv[[#This Row],[KKM]],"Cukup","Kurang"))))</f>
        <v>Sangat baik</v>
      </c>
      <c r="AH758">
        <f t="shared" si="34"/>
        <v>11</v>
      </c>
      <c r="AI758" s="30" t="str">
        <f>IF(OR(J758&lt;&gt;"Karakter",pub_gid_0_single_true_output_csv[[#This Row],[Nilai2]]=""),"",IF(AF758&gt;89,"Sangat baik",IF(AF758&gt;79,"Baik",IF(AF758&gt;69,"Cukup",IF(AF758&gt;59,"Kurang","Sangat kurang")))))</f>
        <v/>
      </c>
      <c r="AJ758" t="str">
        <f t="shared" si="35"/>
        <v>Wk.6</v>
      </c>
      <c r="AK758" t="str">
        <f>IF(pub_gid_0_single_true_output_csv[[#This Row],[Nilai2]]="","",VLOOKUP(pub_gid_0_single_true_output_csv[[#This Row],[NAMA]],Table7[],3,FALSE))</f>
        <v>Superior</v>
      </c>
    </row>
    <row r="759" spans="1:37" x14ac:dyDescent="0.2">
      <c r="A759">
        <v>758</v>
      </c>
      <c r="B759" t="s">
        <v>290</v>
      </c>
      <c r="C759" t="s">
        <v>54</v>
      </c>
      <c r="D759" t="s">
        <v>42</v>
      </c>
      <c r="E759" t="s">
        <v>140</v>
      </c>
      <c r="F759" s="25">
        <v>46059</v>
      </c>
      <c r="G759" t="s">
        <v>349</v>
      </c>
      <c r="H759" t="s">
        <v>412</v>
      </c>
      <c r="I759" t="s">
        <v>371</v>
      </c>
      <c r="J759" t="s">
        <v>36</v>
      </c>
      <c r="K759" t="s">
        <v>37</v>
      </c>
      <c r="L759" t="s">
        <v>150</v>
      </c>
      <c r="M759" t="s">
        <v>141</v>
      </c>
      <c r="N759" t="s">
        <v>142</v>
      </c>
      <c r="O759" t="s">
        <v>155</v>
      </c>
      <c r="P759" t="s">
        <v>281</v>
      </c>
      <c r="Q759" t="s">
        <v>155</v>
      </c>
      <c r="R759" t="s">
        <v>302</v>
      </c>
      <c r="S759" t="s">
        <v>369</v>
      </c>
      <c r="T759">
        <v>1</v>
      </c>
      <c r="U759" t="s">
        <v>428</v>
      </c>
      <c r="V759" t="s">
        <v>342</v>
      </c>
      <c r="W759" t="s">
        <v>430</v>
      </c>
      <c r="X759" t="s">
        <v>306</v>
      </c>
      <c r="Y759" t="s">
        <v>307</v>
      </c>
      <c r="Z759">
        <v>65</v>
      </c>
      <c r="AA759">
        <v>90</v>
      </c>
      <c r="AB759" t="s">
        <v>143</v>
      </c>
      <c r="AC759" t="s">
        <v>154</v>
      </c>
      <c r="AD759" t="s">
        <v>50</v>
      </c>
      <c r="AE759" t="str">
        <f>IF(AF759="","",VLOOKUP(AC759,mapel!$A$2:$B$42,2,FALSE))</f>
        <v>Math</v>
      </c>
      <c r="AF759">
        <f t="shared" si="33"/>
        <v>90</v>
      </c>
      <c r="AG759" t="str">
        <f>IF(AF759="","",IF(AF759&gt;90,"Sangat baik",IF(AF759&gt;79,"Baik",IF(AF759&gt;=pub_gid_0_single_true_output_csv[[#This Row],[KKM]],"Cukup","Kurang"))))</f>
        <v>Baik</v>
      </c>
      <c r="AH759">
        <f t="shared" si="34"/>
        <v>11</v>
      </c>
      <c r="AI759" s="30" t="str">
        <f>IF(OR(J759&lt;&gt;"Karakter",pub_gid_0_single_true_output_csv[[#This Row],[Nilai2]]=""),"",IF(AF759&gt;89,"Sangat baik",IF(AF759&gt;79,"Baik",IF(AF759&gt;69,"Cukup",IF(AF759&gt;59,"Kurang","Sangat kurang")))))</f>
        <v/>
      </c>
      <c r="AJ759" t="str">
        <f t="shared" si="35"/>
        <v>Wk.6</v>
      </c>
      <c r="AK759" t="str">
        <f>IF(pub_gid_0_single_true_output_csv[[#This Row],[Nilai2]]="","",VLOOKUP(pub_gid_0_single_true_output_csv[[#This Row],[NAMA]],Table7[],3,FALSE))</f>
        <v>Superior</v>
      </c>
    </row>
    <row r="760" spans="1:37" x14ac:dyDescent="0.2">
      <c r="A760">
        <v>759</v>
      </c>
      <c r="B760" t="s">
        <v>290</v>
      </c>
      <c r="C760" t="s">
        <v>54</v>
      </c>
      <c r="D760" t="s">
        <v>42</v>
      </c>
      <c r="E760" t="s">
        <v>140</v>
      </c>
      <c r="F760" s="25">
        <v>46062</v>
      </c>
      <c r="G760" t="s">
        <v>376</v>
      </c>
      <c r="H760" t="s">
        <v>412</v>
      </c>
      <c r="I760" t="s">
        <v>371</v>
      </c>
      <c r="J760" t="s">
        <v>36</v>
      </c>
      <c r="K760" t="s">
        <v>37</v>
      </c>
      <c r="L760" t="s">
        <v>150</v>
      </c>
      <c r="M760" t="s">
        <v>141</v>
      </c>
      <c r="N760" t="s">
        <v>142</v>
      </c>
      <c r="O760" t="s">
        <v>155</v>
      </c>
      <c r="P760" t="s">
        <v>281</v>
      </c>
      <c r="Q760" t="s">
        <v>155</v>
      </c>
      <c r="R760" t="s">
        <v>302</v>
      </c>
      <c r="S760" t="s">
        <v>369</v>
      </c>
      <c r="T760">
        <v>1</v>
      </c>
      <c r="U760" t="s">
        <v>428</v>
      </c>
      <c r="V760" t="s">
        <v>342</v>
      </c>
      <c r="W760" t="s">
        <v>430</v>
      </c>
      <c r="X760" t="s">
        <v>306</v>
      </c>
      <c r="Y760" t="s">
        <v>307</v>
      </c>
      <c r="Z760">
        <v>65</v>
      </c>
      <c r="AA760">
        <v>50</v>
      </c>
      <c r="AB760" t="s">
        <v>151</v>
      </c>
      <c r="AC760" t="s">
        <v>154</v>
      </c>
      <c r="AD760" t="s">
        <v>50</v>
      </c>
      <c r="AE760" t="str">
        <f>IF(AF760="","",VLOOKUP(AC760,mapel!$A$2:$B$42,2,FALSE))</f>
        <v>Math</v>
      </c>
      <c r="AF760">
        <f t="shared" si="33"/>
        <v>50</v>
      </c>
      <c r="AG760" t="str">
        <f>IF(AF760="","",IF(AF760&gt;90,"Sangat baik",IF(AF760&gt;79,"Baik",IF(AF760&gt;=pub_gid_0_single_true_output_csv[[#This Row],[KKM]],"Cukup","Kurang"))))</f>
        <v>Kurang</v>
      </c>
      <c r="AH760">
        <f t="shared" si="34"/>
        <v>11</v>
      </c>
      <c r="AI760" s="30" t="str">
        <f>IF(OR(J760&lt;&gt;"Karakter",pub_gid_0_single_true_output_csv[[#This Row],[Nilai2]]=""),"",IF(AF760&gt;89,"Sangat baik",IF(AF760&gt;79,"Baik",IF(AF760&gt;69,"Cukup",IF(AF760&gt;59,"Kurang","Sangat kurang")))))</f>
        <v/>
      </c>
      <c r="AJ760" t="str">
        <f t="shared" si="35"/>
        <v>Wk.7</v>
      </c>
      <c r="AK760" t="str">
        <f>IF(pub_gid_0_single_true_output_csv[[#This Row],[Nilai2]]="","",VLOOKUP(pub_gid_0_single_true_output_csv[[#This Row],[NAMA]],Table7[],3,FALSE))</f>
        <v>Superior</v>
      </c>
    </row>
    <row r="761" spans="1:37" x14ac:dyDescent="0.2">
      <c r="A761">
        <v>760</v>
      </c>
      <c r="B761" t="s">
        <v>290</v>
      </c>
      <c r="C761" t="s">
        <v>54</v>
      </c>
      <c r="D761" t="s">
        <v>42</v>
      </c>
      <c r="E761" t="s">
        <v>140</v>
      </c>
      <c r="F761" s="25">
        <v>46059</v>
      </c>
      <c r="G761" t="s">
        <v>349</v>
      </c>
      <c r="H761" t="s">
        <v>412</v>
      </c>
      <c r="I761" t="s">
        <v>371</v>
      </c>
      <c r="J761" t="s">
        <v>36</v>
      </c>
      <c r="K761" t="s">
        <v>37</v>
      </c>
      <c r="L761" t="s">
        <v>321</v>
      </c>
      <c r="M761" t="s">
        <v>141</v>
      </c>
      <c r="N761" t="s">
        <v>142</v>
      </c>
      <c r="O761" t="s">
        <v>155</v>
      </c>
      <c r="P761" t="s">
        <v>281</v>
      </c>
      <c r="Q761" t="s">
        <v>155</v>
      </c>
      <c r="R761" t="s">
        <v>302</v>
      </c>
      <c r="S761" t="s">
        <v>369</v>
      </c>
      <c r="T761">
        <v>1</v>
      </c>
      <c r="U761" t="s">
        <v>428</v>
      </c>
      <c r="V761" t="s">
        <v>342</v>
      </c>
      <c r="W761" t="s">
        <v>430</v>
      </c>
      <c r="X761" t="s">
        <v>306</v>
      </c>
      <c r="Y761" t="s">
        <v>307</v>
      </c>
      <c r="Z761">
        <v>65</v>
      </c>
      <c r="AA761">
        <v>53</v>
      </c>
      <c r="AB761" t="s">
        <v>151</v>
      </c>
      <c r="AC761" t="s">
        <v>154</v>
      </c>
      <c r="AD761" t="s">
        <v>50</v>
      </c>
      <c r="AE761" t="str">
        <f>IF(AF761="","",VLOOKUP(AC761,mapel!$A$2:$B$42,2,FALSE))</f>
        <v>Math</v>
      </c>
      <c r="AF761">
        <f t="shared" si="33"/>
        <v>53</v>
      </c>
      <c r="AG761" t="str">
        <f>IF(AF761="","",IF(AF761&gt;90,"Sangat baik",IF(AF761&gt;79,"Baik",IF(AF761&gt;=pub_gid_0_single_true_output_csv[[#This Row],[KKM]],"Cukup","Kurang"))))</f>
        <v>Kurang</v>
      </c>
      <c r="AH761">
        <f t="shared" si="34"/>
        <v>11</v>
      </c>
      <c r="AI761" s="30" t="str">
        <f>IF(OR(J761&lt;&gt;"Karakter",pub_gid_0_single_true_output_csv[[#This Row],[Nilai2]]=""),"",IF(AF761&gt;89,"Sangat baik",IF(AF761&gt;79,"Baik",IF(AF761&gt;69,"Cukup",IF(AF761&gt;59,"Kurang","Sangat kurang")))))</f>
        <v/>
      </c>
      <c r="AJ761" t="str">
        <f t="shared" si="35"/>
        <v>Wk.6</v>
      </c>
      <c r="AK761" t="str">
        <f>IF(pub_gid_0_single_true_output_csv[[#This Row],[Nilai2]]="","",VLOOKUP(pub_gid_0_single_true_output_csv[[#This Row],[NAMA]],Table7[],3,FALSE))</f>
        <v>Superior</v>
      </c>
    </row>
    <row r="762" spans="1:37" x14ac:dyDescent="0.2">
      <c r="A762">
        <v>761</v>
      </c>
      <c r="B762" t="s">
        <v>290</v>
      </c>
      <c r="C762" t="s">
        <v>54</v>
      </c>
      <c r="D762" t="s">
        <v>42</v>
      </c>
      <c r="E762" t="s">
        <v>140</v>
      </c>
      <c r="F762" s="25">
        <v>46064</v>
      </c>
      <c r="G762" t="s">
        <v>352</v>
      </c>
      <c r="H762" t="s">
        <v>412</v>
      </c>
      <c r="I762" t="s">
        <v>371</v>
      </c>
      <c r="J762" t="s">
        <v>36</v>
      </c>
      <c r="K762" t="s">
        <v>37</v>
      </c>
      <c r="L762" t="s">
        <v>150</v>
      </c>
      <c r="M762" t="s">
        <v>141</v>
      </c>
      <c r="N762" t="s">
        <v>142</v>
      </c>
      <c r="O762" t="s">
        <v>155</v>
      </c>
      <c r="P762" t="s">
        <v>281</v>
      </c>
      <c r="Q762" t="s">
        <v>155</v>
      </c>
      <c r="R762" t="s">
        <v>302</v>
      </c>
      <c r="S762" t="s">
        <v>369</v>
      </c>
      <c r="T762">
        <v>1</v>
      </c>
      <c r="U762" t="s">
        <v>428</v>
      </c>
      <c r="V762" t="s">
        <v>342</v>
      </c>
      <c r="W762" t="s">
        <v>430</v>
      </c>
      <c r="X762" t="s">
        <v>306</v>
      </c>
      <c r="Y762" t="s">
        <v>307</v>
      </c>
      <c r="Z762">
        <v>65</v>
      </c>
      <c r="AA762">
        <v>30</v>
      </c>
      <c r="AB762" t="s">
        <v>151</v>
      </c>
      <c r="AC762" t="s">
        <v>154</v>
      </c>
      <c r="AD762" t="s">
        <v>50</v>
      </c>
      <c r="AE762" t="str">
        <f>IF(AF762="","",VLOOKUP(AC762,mapel!$A$2:$B$42,2,FALSE))</f>
        <v>Math</v>
      </c>
      <c r="AF762">
        <f t="shared" si="33"/>
        <v>30</v>
      </c>
      <c r="AG762" t="str">
        <f>IF(AF762="","",IF(AF762&gt;90,"Sangat baik",IF(AF762&gt;79,"Baik",IF(AF762&gt;=pub_gid_0_single_true_output_csv[[#This Row],[KKM]],"Cukup","Kurang"))))</f>
        <v>Kurang</v>
      </c>
      <c r="AH762">
        <f t="shared" si="34"/>
        <v>11</v>
      </c>
      <c r="AI762" s="30" t="str">
        <f>IF(OR(J762&lt;&gt;"Karakter",pub_gid_0_single_true_output_csv[[#This Row],[Nilai2]]=""),"",IF(AF762&gt;89,"Sangat baik",IF(AF762&gt;79,"Baik",IF(AF762&gt;69,"Cukup",IF(AF762&gt;59,"Kurang","Sangat kurang")))))</f>
        <v/>
      </c>
      <c r="AJ762" t="str">
        <f t="shared" si="35"/>
        <v>Wk.7</v>
      </c>
      <c r="AK762" t="str">
        <f>IF(pub_gid_0_single_true_output_csv[[#This Row],[Nilai2]]="","",VLOOKUP(pub_gid_0_single_true_output_csv[[#This Row],[NAMA]],Table7[],3,FALSE))</f>
        <v>Superior</v>
      </c>
    </row>
    <row r="763" spans="1:37" x14ac:dyDescent="0.2">
      <c r="A763">
        <v>762</v>
      </c>
      <c r="B763" t="s">
        <v>291</v>
      </c>
      <c r="C763" t="s">
        <v>54</v>
      </c>
      <c r="D763" t="s">
        <v>43</v>
      </c>
      <c r="E763" t="s">
        <v>146</v>
      </c>
      <c r="F763" s="25">
        <v>46036</v>
      </c>
      <c r="G763" t="s">
        <v>353</v>
      </c>
      <c r="H763" t="s">
        <v>405</v>
      </c>
      <c r="I763" t="s">
        <v>371</v>
      </c>
      <c r="J763" t="s">
        <v>36</v>
      </c>
      <c r="K763" t="s">
        <v>37</v>
      </c>
      <c r="L763" t="s">
        <v>150</v>
      </c>
      <c r="M763" t="s">
        <v>141</v>
      </c>
      <c r="N763" t="s">
        <v>142</v>
      </c>
      <c r="O763" t="s">
        <v>155</v>
      </c>
      <c r="P763" t="s">
        <v>281</v>
      </c>
      <c r="Q763" t="s">
        <v>155</v>
      </c>
      <c r="R763" t="s">
        <v>302</v>
      </c>
      <c r="S763" t="s">
        <v>427</v>
      </c>
      <c r="T763">
        <v>1</v>
      </c>
      <c r="U763" t="s">
        <v>428</v>
      </c>
      <c r="V763" t="s">
        <v>285</v>
      </c>
      <c r="W763" t="s">
        <v>429</v>
      </c>
      <c r="X763" t="s">
        <v>391</v>
      </c>
      <c r="Y763" t="s">
        <v>335</v>
      </c>
      <c r="Z763">
        <v>65</v>
      </c>
      <c r="AA763">
        <v>100</v>
      </c>
      <c r="AB763" t="s">
        <v>143</v>
      </c>
      <c r="AC763" t="s">
        <v>154</v>
      </c>
      <c r="AD763" t="s">
        <v>50</v>
      </c>
      <c r="AE763" t="str">
        <f>IF(AF763="","",VLOOKUP(AC763,mapel!$A$2:$B$42,2,FALSE))</f>
        <v>Math</v>
      </c>
      <c r="AF763">
        <f t="shared" si="33"/>
        <v>100</v>
      </c>
      <c r="AG763" t="str">
        <f>IF(AF763="","",IF(AF763&gt;90,"Sangat baik",IF(AF763&gt;79,"Baik",IF(AF763&gt;=pub_gid_0_single_true_output_csv[[#This Row],[KKM]],"Cukup","Kurang"))))</f>
        <v>Sangat baik</v>
      </c>
      <c r="AH763">
        <f t="shared" si="34"/>
        <v>9</v>
      </c>
      <c r="AI763" s="30" t="str">
        <f>IF(OR(J763&lt;&gt;"Karakter",pub_gid_0_single_true_output_csv[[#This Row],[Nilai2]]=""),"",IF(AF763&gt;89,"Sangat baik",IF(AF763&gt;79,"Baik",IF(AF763&gt;69,"Cukup",IF(AF763&gt;59,"Kurang","Sangat kurang")))))</f>
        <v/>
      </c>
      <c r="AJ763" t="str">
        <f t="shared" si="35"/>
        <v>Wk.3</v>
      </c>
      <c r="AK763" t="str">
        <f>IF(pub_gid_0_single_true_output_csv[[#This Row],[Nilai2]]="","",VLOOKUP(pub_gid_0_single_true_output_csv[[#This Row],[NAMA]],Table7[],3,FALSE))</f>
        <v>High average</v>
      </c>
    </row>
    <row r="764" spans="1:37" x14ac:dyDescent="0.2">
      <c r="A764">
        <v>763</v>
      </c>
      <c r="B764" t="s">
        <v>291</v>
      </c>
      <c r="C764" t="s">
        <v>54</v>
      </c>
      <c r="D764" t="s">
        <v>43</v>
      </c>
      <c r="E764" t="s">
        <v>146</v>
      </c>
      <c r="F764" s="25">
        <v>46036</v>
      </c>
      <c r="G764" t="s">
        <v>353</v>
      </c>
      <c r="H764" t="s">
        <v>405</v>
      </c>
      <c r="I764" t="s">
        <v>371</v>
      </c>
      <c r="J764" t="s">
        <v>36</v>
      </c>
      <c r="K764" t="s">
        <v>37</v>
      </c>
      <c r="L764" t="s">
        <v>150</v>
      </c>
      <c r="M764" t="s">
        <v>141</v>
      </c>
      <c r="N764" t="s">
        <v>142</v>
      </c>
      <c r="O764" t="s">
        <v>155</v>
      </c>
      <c r="P764" t="s">
        <v>281</v>
      </c>
      <c r="Q764" t="s">
        <v>155</v>
      </c>
      <c r="R764" t="s">
        <v>302</v>
      </c>
      <c r="S764" t="s">
        <v>369</v>
      </c>
      <c r="T764">
        <v>1</v>
      </c>
      <c r="U764" t="s">
        <v>428</v>
      </c>
      <c r="V764" t="s">
        <v>342</v>
      </c>
      <c r="W764" t="s">
        <v>430</v>
      </c>
      <c r="X764" t="s">
        <v>306</v>
      </c>
      <c r="Y764" t="s">
        <v>307</v>
      </c>
      <c r="Z764">
        <v>65</v>
      </c>
      <c r="AA764">
        <v>100</v>
      </c>
      <c r="AB764" t="s">
        <v>143</v>
      </c>
      <c r="AC764" t="s">
        <v>154</v>
      </c>
      <c r="AD764" t="s">
        <v>50</v>
      </c>
      <c r="AE764" t="str">
        <f>IF(AF764="","",VLOOKUP(AC764,mapel!$A$2:$B$42,2,FALSE))</f>
        <v>Math</v>
      </c>
      <c r="AF764">
        <f t="shared" si="33"/>
        <v>100</v>
      </c>
      <c r="AG764" t="str">
        <f>IF(AF764="","",IF(AF764&gt;90,"Sangat baik",IF(AF764&gt;79,"Baik",IF(AF764&gt;=pub_gid_0_single_true_output_csv[[#This Row],[KKM]],"Cukup","Kurang"))))</f>
        <v>Sangat baik</v>
      </c>
      <c r="AH764">
        <f t="shared" si="34"/>
        <v>11</v>
      </c>
      <c r="AI764" s="30" t="str">
        <f>IF(OR(J764&lt;&gt;"Karakter",pub_gid_0_single_true_output_csv[[#This Row],[Nilai2]]=""),"",IF(AF764&gt;89,"Sangat baik",IF(AF764&gt;79,"Baik",IF(AF764&gt;69,"Cukup",IF(AF764&gt;59,"Kurang","Sangat kurang")))))</f>
        <v/>
      </c>
      <c r="AJ764" t="str">
        <f t="shared" si="35"/>
        <v>Wk.3</v>
      </c>
      <c r="AK764" t="str">
        <f>IF(pub_gid_0_single_true_output_csv[[#This Row],[Nilai2]]="","",VLOOKUP(pub_gid_0_single_true_output_csv[[#This Row],[NAMA]],Table7[],3,FALSE))</f>
        <v>High average</v>
      </c>
    </row>
    <row r="765" spans="1:37" x14ac:dyDescent="0.2">
      <c r="A765">
        <v>764</v>
      </c>
      <c r="B765" t="s">
        <v>291</v>
      </c>
      <c r="C765" t="s">
        <v>54</v>
      </c>
      <c r="D765" t="s">
        <v>43</v>
      </c>
      <c r="E765" t="s">
        <v>146</v>
      </c>
      <c r="F765" s="25">
        <v>46041</v>
      </c>
      <c r="G765" t="s">
        <v>370</v>
      </c>
      <c r="H765" t="s">
        <v>405</v>
      </c>
      <c r="I765" t="s">
        <v>371</v>
      </c>
      <c r="J765" t="s">
        <v>36</v>
      </c>
      <c r="K765" t="s">
        <v>37</v>
      </c>
      <c r="L765" t="s">
        <v>150</v>
      </c>
      <c r="M765" t="s">
        <v>141</v>
      </c>
      <c r="N765" t="s">
        <v>142</v>
      </c>
      <c r="O765" t="s">
        <v>155</v>
      </c>
      <c r="P765" t="s">
        <v>281</v>
      </c>
      <c r="Q765" t="s">
        <v>155</v>
      </c>
      <c r="R765" t="s">
        <v>302</v>
      </c>
      <c r="S765" t="s">
        <v>427</v>
      </c>
      <c r="T765">
        <v>1</v>
      </c>
      <c r="U765" t="s">
        <v>428</v>
      </c>
      <c r="V765" t="s">
        <v>285</v>
      </c>
      <c r="W765" t="s">
        <v>429</v>
      </c>
      <c r="X765" t="s">
        <v>391</v>
      </c>
      <c r="Y765" t="s">
        <v>335</v>
      </c>
      <c r="Z765">
        <v>65</v>
      </c>
      <c r="AA765">
        <v>70</v>
      </c>
      <c r="AB765" t="s">
        <v>143</v>
      </c>
      <c r="AC765" t="s">
        <v>154</v>
      </c>
      <c r="AD765" t="s">
        <v>50</v>
      </c>
      <c r="AE765" t="str">
        <f>IF(AF765="","",VLOOKUP(AC765,mapel!$A$2:$B$42,2,FALSE))</f>
        <v>Math</v>
      </c>
      <c r="AF765">
        <f t="shared" si="33"/>
        <v>70</v>
      </c>
      <c r="AG765" t="str">
        <f>IF(AF765="","",IF(AF765&gt;90,"Sangat baik",IF(AF765&gt;79,"Baik",IF(AF765&gt;=pub_gid_0_single_true_output_csv[[#This Row],[KKM]],"Cukup","Kurang"))))</f>
        <v>Cukup</v>
      </c>
      <c r="AH765">
        <f t="shared" si="34"/>
        <v>9</v>
      </c>
      <c r="AI765" s="30" t="str">
        <f>IF(OR(J765&lt;&gt;"Karakter",pub_gid_0_single_true_output_csv[[#This Row],[Nilai2]]=""),"",IF(AF765&gt;89,"Sangat baik",IF(AF765&gt;79,"Baik",IF(AF765&gt;69,"Cukup",IF(AF765&gt;59,"Kurang","Sangat kurang")))))</f>
        <v/>
      </c>
      <c r="AJ765" t="str">
        <f t="shared" si="35"/>
        <v>Wk.4</v>
      </c>
      <c r="AK765" t="str">
        <f>IF(pub_gid_0_single_true_output_csv[[#This Row],[Nilai2]]="","",VLOOKUP(pub_gid_0_single_true_output_csv[[#This Row],[NAMA]],Table7[],3,FALSE))</f>
        <v>High average</v>
      </c>
    </row>
    <row r="766" spans="1:37" x14ac:dyDescent="0.2">
      <c r="A766">
        <v>765</v>
      </c>
      <c r="B766" t="s">
        <v>291</v>
      </c>
      <c r="C766" t="s">
        <v>54</v>
      </c>
      <c r="D766" t="s">
        <v>43</v>
      </c>
      <c r="E766" t="s">
        <v>146</v>
      </c>
      <c r="F766" s="25">
        <v>46041</v>
      </c>
      <c r="G766" t="s">
        <v>370</v>
      </c>
      <c r="H766" t="s">
        <v>405</v>
      </c>
      <c r="I766" t="s">
        <v>371</v>
      </c>
      <c r="J766" t="s">
        <v>90</v>
      </c>
      <c r="K766" t="s">
        <v>377</v>
      </c>
      <c r="L766" t="s">
        <v>399</v>
      </c>
      <c r="M766" t="s">
        <v>141</v>
      </c>
      <c r="N766" t="s">
        <v>142</v>
      </c>
      <c r="O766" t="s">
        <v>155</v>
      </c>
      <c r="P766" t="s">
        <v>281</v>
      </c>
      <c r="Q766" t="s">
        <v>155</v>
      </c>
      <c r="R766" t="s">
        <v>302</v>
      </c>
      <c r="S766" t="s">
        <v>369</v>
      </c>
      <c r="T766">
        <v>1</v>
      </c>
      <c r="U766" t="s">
        <v>428</v>
      </c>
      <c r="V766" t="s">
        <v>342</v>
      </c>
      <c r="W766" t="s">
        <v>430</v>
      </c>
      <c r="X766" t="s">
        <v>306</v>
      </c>
      <c r="Y766" t="s">
        <v>307</v>
      </c>
      <c r="Z766">
        <v>65</v>
      </c>
      <c r="AA766">
        <v>90</v>
      </c>
      <c r="AB766" t="s">
        <v>143</v>
      </c>
      <c r="AC766" t="s">
        <v>154</v>
      </c>
      <c r="AD766" t="s">
        <v>50</v>
      </c>
      <c r="AE766" t="str">
        <f>IF(AF766="","",VLOOKUP(AC766,mapel!$A$2:$B$42,2,FALSE))</f>
        <v>Math</v>
      </c>
      <c r="AF766">
        <f t="shared" si="33"/>
        <v>90</v>
      </c>
      <c r="AG766" t="str">
        <f>IF(AF766="","",IF(AF766&gt;90,"Sangat baik",IF(AF766&gt;79,"Baik",IF(AF766&gt;=pub_gid_0_single_true_output_csv[[#This Row],[KKM]],"Cukup","Kurang"))))</f>
        <v>Baik</v>
      </c>
      <c r="AH766">
        <f t="shared" si="34"/>
        <v>11</v>
      </c>
      <c r="AI766" s="30" t="str">
        <f>IF(OR(J766&lt;&gt;"Karakter",pub_gid_0_single_true_output_csv[[#This Row],[Nilai2]]=""),"",IF(AF766&gt;89,"Sangat baik",IF(AF766&gt;79,"Baik",IF(AF766&gt;69,"Cukup",IF(AF766&gt;59,"Kurang","Sangat kurang")))))</f>
        <v>Sangat baik</v>
      </c>
      <c r="AJ766" t="str">
        <f t="shared" si="35"/>
        <v>Wk.4</v>
      </c>
      <c r="AK766" t="str">
        <f>IF(pub_gid_0_single_true_output_csv[[#This Row],[Nilai2]]="","",VLOOKUP(pub_gid_0_single_true_output_csv[[#This Row],[NAMA]],Table7[],3,FALSE))</f>
        <v>High average</v>
      </c>
    </row>
    <row r="767" spans="1:37" x14ac:dyDescent="0.2">
      <c r="A767">
        <v>766</v>
      </c>
      <c r="B767" t="s">
        <v>291</v>
      </c>
      <c r="C767" t="s">
        <v>54</v>
      </c>
      <c r="D767" t="s">
        <v>43</v>
      </c>
      <c r="E767" t="s">
        <v>146</v>
      </c>
      <c r="F767" s="25">
        <v>46043</v>
      </c>
      <c r="G767" t="s">
        <v>341</v>
      </c>
      <c r="H767" t="s">
        <v>405</v>
      </c>
      <c r="I767" t="s">
        <v>371</v>
      </c>
      <c r="J767" t="s">
        <v>36</v>
      </c>
      <c r="K767" t="s">
        <v>37</v>
      </c>
      <c r="L767" t="s">
        <v>150</v>
      </c>
      <c r="M767" t="s">
        <v>141</v>
      </c>
      <c r="N767" t="s">
        <v>142</v>
      </c>
      <c r="O767" t="s">
        <v>155</v>
      </c>
      <c r="P767" t="s">
        <v>281</v>
      </c>
      <c r="Q767" t="s">
        <v>155</v>
      </c>
      <c r="R767" t="s">
        <v>302</v>
      </c>
      <c r="S767" t="s">
        <v>427</v>
      </c>
      <c r="T767">
        <v>1</v>
      </c>
      <c r="U767" t="s">
        <v>428</v>
      </c>
      <c r="V767" t="s">
        <v>285</v>
      </c>
      <c r="W767" t="s">
        <v>429</v>
      </c>
      <c r="X767" t="s">
        <v>391</v>
      </c>
      <c r="Y767" t="s">
        <v>335</v>
      </c>
      <c r="Z767">
        <v>65</v>
      </c>
      <c r="AA767">
        <v>40</v>
      </c>
      <c r="AB767" t="s">
        <v>151</v>
      </c>
      <c r="AC767" t="s">
        <v>154</v>
      </c>
      <c r="AD767" t="s">
        <v>50</v>
      </c>
      <c r="AE767" t="str">
        <f>IF(AF767="","",VLOOKUP(AC767,mapel!$A$2:$B$42,2,FALSE))</f>
        <v>Math</v>
      </c>
      <c r="AF767">
        <f t="shared" si="33"/>
        <v>40</v>
      </c>
      <c r="AG767" t="str">
        <f>IF(AF767="","",IF(AF767&gt;90,"Sangat baik",IF(AF767&gt;79,"Baik",IF(AF767&gt;=pub_gid_0_single_true_output_csv[[#This Row],[KKM]],"Cukup","Kurang"))))</f>
        <v>Kurang</v>
      </c>
      <c r="AH767">
        <f t="shared" si="34"/>
        <v>9</v>
      </c>
      <c r="AI767" s="30" t="str">
        <f>IF(OR(J767&lt;&gt;"Karakter",pub_gid_0_single_true_output_csv[[#This Row],[Nilai2]]=""),"",IF(AF767&gt;89,"Sangat baik",IF(AF767&gt;79,"Baik",IF(AF767&gt;69,"Cukup",IF(AF767&gt;59,"Kurang","Sangat kurang")))))</f>
        <v/>
      </c>
      <c r="AJ767" t="str">
        <f t="shared" si="35"/>
        <v>Wk.4</v>
      </c>
      <c r="AK767" t="str">
        <f>IF(pub_gid_0_single_true_output_csv[[#This Row],[Nilai2]]="","",VLOOKUP(pub_gid_0_single_true_output_csv[[#This Row],[NAMA]],Table7[],3,FALSE))</f>
        <v>High average</v>
      </c>
    </row>
    <row r="768" spans="1:37" x14ac:dyDescent="0.2">
      <c r="A768">
        <v>767</v>
      </c>
      <c r="B768" t="s">
        <v>291</v>
      </c>
      <c r="C768" t="s">
        <v>54</v>
      </c>
      <c r="D768" t="s">
        <v>43</v>
      </c>
      <c r="E768" t="s">
        <v>146</v>
      </c>
      <c r="F768" s="25">
        <v>46043</v>
      </c>
      <c r="G768" t="s">
        <v>341</v>
      </c>
      <c r="H768" t="s">
        <v>405</v>
      </c>
      <c r="I768" t="s">
        <v>371</v>
      </c>
      <c r="J768" t="s">
        <v>90</v>
      </c>
      <c r="K768" t="s">
        <v>377</v>
      </c>
      <c r="L768" t="s">
        <v>399</v>
      </c>
      <c r="M768" t="s">
        <v>141</v>
      </c>
      <c r="N768" t="s">
        <v>142</v>
      </c>
      <c r="O768" t="s">
        <v>155</v>
      </c>
      <c r="P768" t="s">
        <v>281</v>
      </c>
      <c r="Q768" t="s">
        <v>155</v>
      </c>
      <c r="R768" t="s">
        <v>302</v>
      </c>
      <c r="S768" t="s">
        <v>427</v>
      </c>
      <c r="T768">
        <v>1</v>
      </c>
      <c r="U768" t="s">
        <v>428</v>
      </c>
      <c r="V768" t="s">
        <v>285</v>
      </c>
      <c r="W768" t="s">
        <v>429</v>
      </c>
      <c r="X768" t="s">
        <v>391</v>
      </c>
      <c r="Y768" t="s">
        <v>335</v>
      </c>
      <c r="Z768">
        <v>65</v>
      </c>
      <c r="AA768">
        <v>90</v>
      </c>
      <c r="AB768" t="s">
        <v>143</v>
      </c>
      <c r="AC768" t="s">
        <v>154</v>
      </c>
      <c r="AD768" t="s">
        <v>50</v>
      </c>
      <c r="AE768" t="str">
        <f>IF(AF768="","",VLOOKUP(AC768,mapel!$A$2:$B$42,2,FALSE))</f>
        <v>Math</v>
      </c>
      <c r="AF768">
        <f t="shared" si="33"/>
        <v>90</v>
      </c>
      <c r="AG768" t="str">
        <f>IF(AF768="","",IF(AF768&gt;90,"Sangat baik",IF(AF768&gt;79,"Baik",IF(AF768&gt;=pub_gid_0_single_true_output_csv[[#This Row],[KKM]],"Cukup","Kurang"))))</f>
        <v>Baik</v>
      </c>
      <c r="AH768">
        <f t="shared" si="34"/>
        <v>9</v>
      </c>
      <c r="AI768" s="30" t="str">
        <f>IF(OR(J768&lt;&gt;"Karakter",pub_gid_0_single_true_output_csv[[#This Row],[Nilai2]]=""),"",IF(AF768&gt;89,"Sangat baik",IF(AF768&gt;79,"Baik",IF(AF768&gt;69,"Cukup",IF(AF768&gt;59,"Kurang","Sangat kurang")))))</f>
        <v>Sangat baik</v>
      </c>
      <c r="AJ768" t="str">
        <f t="shared" si="35"/>
        <v>Wk.4</v>
      </c>
      <c r="AK768" t="str">
        <f>IF(pub_gid_0_single_true_output_csv[[#This Row],[Nilai2]]="","",VLOOKUP(pub_gid_0_single_true_output_csv[[#This Row],[NAMA]],Table7[],3,FALSE))</f>
        <v>High average</v>
      </c>
    </row>
    <row r="769" spans="1:37" x14ac:dyDescent="0.2">
      <c r="A769">
        <v>768</v>
      </c>
      <c r="B769" t="s">
        <v>291</v>
      </c>
      <c r="C769" t="s">
        <v>54</v>
      </c>
      <c r="D769" t="s">
        <v>43</v>
      </c>
      <c r="E769" t="s">
        <v>146</v>
      </c>
      <c r="F769" s="25">
        <v>46041</v>
      </c>
      <c r="G769" t="s">
        <v>370</v>
      </c>
      <c r="H769" t="s">
        <v>405</v>
      </c>
      <c r="I769" t="s">
        <v>371</v>
      </c>
      <c r="J769" t="s">
        <v>36</v>
      </c>
      <c r="K769" t="s">
        <v>37</v>
      </c>
      <c r="L769" t="s">
        <v>321</v>
      </c>
      <c r="M769" t="s">
        <v>141</v>
      </c>
      <c r="N769" t="s">
        <v>142</v>
      </c>
      <c r="O769" t="s">
        <v>155</v>
      </c>
      <c r="P769" t="s">
        <v>281</v>
      </c>
      <c r="Q769" t="s">
        <v>155</v>
      </c>
      <c r="R769" t="s">
        <v>302</v>
      </c>
      <c r="S769" t="s">
        <v>427</v>
      </c>
      <c r="T769">
        <v>1</v>
      </c>
      <c r="U769" t="s">
        <v>428</v>
      </c>
      <c r="V769" t="s">
        <v>285</v>
      </c>
      <c r="W769" t="s">
        <v>429</v>
      </c>
      <c r="X769" t="s">
        <v>391</v>
      </c>
      <c r="Y769" t="s">
        <v>335</v>
      </c>
      <c r="Z769">
        <v>65</v>
      </c>
      <c r="AA769">
        <v>100</v>
      </c>
      <c r="AB769" t="s">
        <v>143</v>
      </c>
      <c r="AC769" t="s">
        <v>154</v>
      </c>
      <c r="AD769" t="s">
        <v>50</v>
      </c>
      <c r="AE769" t="str">
        <f>IF(AF769="","",VLOOKUP(AC769,mapel!$A$2:$B$42,2,FALSE))</f>
        <v>Math</v>
      </c>
      <c r="AF769">
        <f t="shared" si="33"/>
        <v>100</v>
      </c>
      <c r="AG769" t="str">
        <f>IF(AF769="","",IF(AF769&gt;90,"Sangat baik",IF(AF769&gt;79,"Baik",IF(AF769&gt;=pub_gid_0_single_true_output_csv[[#This Row],[KKM]],"Cukup","Kurang"))))</f>
        <v>Sangat baik</v>
      </c>
      <c r="AH769">
        <f t="shared" si="34"/>
        <v>9</v>
      </c>
      <c r="AI769" s="30" t="str">
        <f>IF(OR(J769&lt;&gt;"Karakter",pub_gid_0_single_true_output_csv[[#This Row],[Nilai2]]=""),"",IF(AF769&gt;89,"Sangat baik",IF(AF769&gt;79,"Baik",IF(AF769&gt;69,"Cukup",IF(AF769&gt;59,"Kurang","Sangat kurang")))))</f>
        <v/>
      </c>
      <c r="AJ769" t="str">
        <f t="shared" si="35"/>
        <v>Wk.4</v>
      </c>
      <c r="AK769" t="str">
        <f>IF(pub_gid_0_single_true_output_csv[[#This Row],[Nilai2]]="","",VLOOKUP(pub_gid_0_single_true_output_csv[[#This Row],[NAMA]],Table7[],3,FALSE))</f>
        <v>High average</v>
      </c>
    </row>
    <row r="770" spans="1:37" x14ac:dyDescent="0.2">
      <c r="A770">
        <v>769</v>
      </c>
      <c r="B770" t="s">
        <v>291</v>
      </c>
      <c r="C770" t="s">
        <v>54</v>
      </c>
      <c r="D770" t="s">
        <v>43</v>
      </c>
      <c r="E770" t="s">
        <v>146</v>
      </c>
      <c r="F770" s="25">
        <v>46041</v>
      </c>
      <c r="G770" t="s">
        <v>370</v>
      </c>
      <c r="H770" t="s">
        <v>405</v>
      </c>
      <c r="I770" t="s">
        <v>371</v>
      </c>
      <c r="J770" t="s">
        <v>36</v>
      </c>
      <c r="K770" t="s">
        <v>37</v>
      </c>
      <c r="L770" t="s">
        <v>321</v>
      </c>
      <c r="M770" t="s">
        <v>141</v>
      </c>
      <c r="N770" t="s">
        <v>142</v>
      </c>
      <c r="O770" t="s">
        <v>155</v>
      </c>
      <c r="P770" t="s">
        <v>281</v>
      </c>
      <c r="Q770" t="s">
        <v>155</v>
      </c>
      <c r="R770" t="s">
        <v>302</v>
      </c>
      <c r="S770" t="s">
        <v>369</v>
      </c>
      <c r="T770">
        <v>1</v>
      </c>
      <c r="U770" t="s">
        <v>428</v>
      </c>
      <c r="V770" t="s">
        <v>342</v>
      </c>
      <c r="W770" t="s">
        <v>430</v>
      </c>
      <c r="X770" t="s">
        <v>306</v>
      </c>
      <c r="Y770" t="s">
        <v>307</v>
      </c>
      <c r="Z770">
        <v>65</v>
      </c>
      <c r="AA770">
        <v>70</v>
      </c>
      <c r="AB770" t="s">
        <v>143</v>
      </c>
      <c r="AC770" t="s">
        <v>154</v>
      </c>
      <c r="AD770" t="s">
        <v>50</v>
      </c>
      <c r="AE770" t="str">
        <f>IF(AF770="","",VLOOKUP(AC770,mapel!$A$2:$B$42,2,FALSE))</f>
        <v>Math</v>
      </c>
      <c r="AF770">
        <f t="shared" ref="AF770:AF833" si="36">IF(AA770=0, "",IF(AA770 = 0.1, 0,AA770))</f>
        <v>70</v>
      </c>
      <c r="AG770" t="str">
        <f>IF(AF770="","",IF(AF770&gt;90,"Sangat baik",IF(AF770&gt;79,"Baik",IF(AF770&gt;=pub_gid_0_single_true_output_csv[[#This Row],[KKM]],"Cukup","Kurang"))))</f>
        <v>Cukup</v>
      </c>
      <c r="AH770">
        <f t="shared" ref="AH770:AH833" si="37">IF(AG770="","",VALUE(RIGHT(X770,2)))</f>
        <v>11</v>
      </c>
      <c r="AI770" s="30" t="str">
        <f>IF(OR(J770&lt;&gt;"Karakter",pub_gid_0_single_true_output_csv[[#This Row],[Nilai2]]=""),"",IF(AF770&gt;89,"Sangat baik",IF(AF770&gt;79,"Baik",IF(AF770&gt;69,"Cukup",IF(AF770&gt;59,"Kurang","Sangat kurang")))))</f>
        <v/>
      </c>
      <c r="AJ770" t="str">
        <f t="shared" ref="AJ770:AJ833" si="38">IF(AF770="","",CONCATENATE("Wk.",WEEKNUM(F770,2)))</f>
        <v>Wk.4</v>
      </c>
      <c r="AK770" t="str">
        <f>IF(pub_gid_0_single_true_output_csv[[#This Row],[Nilai2]]="","",VLOOKUP(pub_gid_0_single_true_output_csv[[#This Row],[NAMA]],Table7[],3,FALSE))</f>
        <v>High average</v>
      </c>
    </row>
    <row r="771" spans="1:37" x14ac:dyDescent="0.2">
      <c r="A771">
        <v>770</v>
      </c>
      <c r="B771" t="s">
        <v>291</v>
      </c>
      <c r="C771" t="s">
        <v>54</v>
      </c>
      <c r="D771" t="s">
        <v>43</v>
      </c>
      <c r="E771" t="s">
        <v>146</v>
      </c>
      <c r="F771" s="25">
        <v>46050</v>
      </c>
      <c r="G771" t="s">
        <v>308</v>
      </c>
      <c r="H771" t="s">
        <v>405</v>
      </c>
      <c r="I771" t="s">
        <v>371</v>
      </c>
      <c r="J771" t="s">
        <v>36</v>
      </c>
      <c r="K771" t="s">
        <v>37</v>
      </c>
      <c r="L771" t="s">
        <v>150</v>
      </c>
      <c r="M771" t="s">
        <v>141</v>
      </c>
      <c r="N771" t="s">
        <v>142</v>
      </c>
      <c r="O771" t="s">
        <v>155</v>
      </c>
      <c r="P771" t="s">
        <v>281</v>
      </c>
      <c r="Q771" t="s">
        <v>155</v>
      </c>
      <c r="R771" t="s">
        <v>302</v>
      </c>
      <c r="S771" t="s">
        <v>427</v>
      </c>
      <c r="T771">
        <v>1</v>
      </c>
      <c r="U771" t="s">
        <v>428</v>
      </c>
      <c r="V771" t="s">
        <v>285</v>
      </c>
      <c r="W771" t="s">
        <v>429</v>
      </c>
      <c r="X771" t="s">
        <v>391</v>
      </c>
      <c r="Y771" t="s">
        <v>335</v>
      </c>
      <c r="Z771">
        <v>65</v>
      </c>
      <c r="AA771">
        <v>95</v>
      </c>
      <c r="AB771" t="s">
        <v>143</v>
      </c>
      <c r="AC771" t="s">
        <v>154</v>
      </c>
      <c r="AD771" t="s">
        <v>50</v>
      </c>
      <c r="AE771" t="str">
        <f>IF(AF771="","",VLOOKUP(AC771,mapel!$A$2:$B$42,2,FALSE))</f>
        <v>Math</v>
      </c>
      <c r="AF771">
        <f t="shared" si="36"/>
        <v>95</v>
      </c>
      <c r="AG771" t="str">
        <f>IF(AF771="","",IF(AF771&gt;90,"Sangat baik",IF(AF771&gt;79,"Baik",IF(AF771&gt;=pub_gid_0_single_true_output_csv[[#This Row],[KKM]],"Cukup","Kurang"))))</f>
        <v>Sangat baik</v>
      </c>
      <c r="AH771">
        <f t="shared" si="37"/>
        <v>9</v>
      </c>
      <c r="AI771" s="30" t="str">
        <f>IF(OR(J771&lt;&gt;"Karakter",pub_gid_0_single_true_output_csv[[#This Row],[Nilai2]]=""),"",IF(AF771&gt;89,"Sangat baik",IF(AF771&gt;79,"Baik",IF(AF771&gt;69,"Cukup",IF(AF771&gt;59,"Kurang","Sangat kurang")))))</f>
        <v/>
      </c>
      <c r="AJ771" t="str">
        <f t="shared" si="38"/>
        <v>Wk.5</v>
      </c>
      <c r="AK771" t="str">
        <f>IF(pub_gid_0_single_true_output_csv[[#This Row],[Nilai2]]="","",VLOOKUP(pub_gid_0_single_true_output_csv[[#This Row],[NAMA]],Table7[],3,FALSE))</f>
        <v>High average</v>
      </c>
    </row>
    <row r="772" spans="1:37" x14ac:dyDescent="0.2">
      <c r="A772">
        <v>771</v>
      </c>
      <c r="B772" t="s">
        <v>291</v>
      </c>
      <c r="C772" t="s">
        <v>54</v>
      </c>
      <c r="D772" t="s">
        <v>43</v>
      </c>
      <c r="E772" t="s">
        <v>146</v>
      </c>
      <c r="F772" s="25">
        <v>46057</v>
      </c>
      <c r="G772" t="s">
        <v>348</v>
      </c>
      <c r="H772" t="s">
        <v>412</v>
      </c>
      <c r="I772" t="s">
        <v>371</v>
      </c>
      <c r="J772" t="s">
        <v>36</v>
      </c>
      <c r="K772" t="s">
        <v>37</v>
      </c>
      <c r="L772" t="s">
        <v>150</v>
      </c>
      <c r="M772" t="s">
        <v>141</v>
      </c>
      <c r="N772" t="s">
        <v>142</v>
      </c>
      <c r="O772" t="s">
        <v>155</v>
      </c>
      <c r="P772" t="s">
        <v>281</v>
      </c>
      <c r="Q772" t="s">
        <v>155</v>
      </c>
      <c r="R772" t="s">
        <v>302</v>
      </c>
      <c r="S772" t="s">
        <v>369</v>
      </c>
      <c r="T772">
        <v>1</v>
      </c>
      <c r="U772" t="s">
        <v>428</v>
      </c>
      <c r="V772" t="s">
        <v>342</v>
      </c>
      <c r="W772" t="s">
        <v>430</v>
      </c>
      <c r="X772" t="s">
        <v>306</v>
      </c>
      <c r="Y772" t="s">
        <v>307</v>
      </c>
      <c r="Z772">
        <v>65</v>
      </c>
      <c r="AA772">
        <v>98</v>
      </c>
      <c r="AB772" t="s">
        <v>143</v>
      </c>
      <c r="AC772" t="s">
        <v>154</v>
      </c>
      <c r="AD772" t="s">
        <v>50</v>
      </c>
      <c r="AE772" t="str">
        <f>IF(AF772="","",VLOOKUP(AC772,mapel!$A$2:$B$42,2,FALSE))</f>
        <v>Math</v>
      </c>
      <c r="AF772">
        <f t="shared" si="36"/>
        <v>98</v>
      </c>
      <c r="AG772" t="str">
        <f>IF(AF772="","",IF(AF772&gt;90,"Sangat baik",IF(AF772&gt;79,"Baik",IF(AF772&gt;=pub_gid_0_single_true_output_csv[[#This Row],[KKM]],"Cukup","Kurang"))))</f>
        <v>Sangat baik</v>
      </c>
      <c r="AH772">
        <f t="shared" si="37"/>
        <v>11</v>
      </c>
      <c r="AI772" s="30" t="str">
        <f>IF(OR(J772&lt;&gt;"Karakter",pub_gid_0_single_true_output_csv[[#This Row],[Nilai2]]=""),"",IF(AF772&gt;89,"Sangat baik",IF(AF772&gt;79,"Baik",IF(AF772&gt;69,"Cukup",IF(AF772&gt;59,"Kurang","Sangat kurang")))))</f>
        <v/>
      </c>
      <c r="AJ772" t="str">
        <f t="shared" si="38"/>
        <v>Wk.6</v>
      </c>
      <c r="AK772" t="str">
        <f>IF(pub_gid_0_single_true_output_csv[[#This Row],[Nilai2]]="","",VLOOKUP(pub_gid_0_single_true_output_csv[[#This Row],[NAMA]],Table7[],3,FALSE))</f>
        <v>High average</v>
      </c>
    </row>
    <row r="773" spans="1:37" x14ac:dyDescent="0.2">
      <c r="A773">
        <v>772</v>
      </c>
      <c r="B773" t="s">
        <v>291</v>
      </c>
      <c r="C773" t="s">
        <v>54</v>
      </c>
      <c r="D773" t="s">
        <v>43</v>
      </c>
      <c r="E773" t="s">
        <v>146</v>
      </c>
      <c r="F773" s="25">
        <v>46059</v>
      </c>
      <c r="G773" t="s">
        <v>349</v>
      </c>
      <c r="H773" t="s">
        <v>412</v>
      </c>
      <c r="I773" t="s">
        <v>371</v>
      </c>
      <c r="J773" t="s">
        <v>36</v>
      </c>
      <c r="K773" t="s">
        <v>37</v>
      </c>
      <c r="L773" t="s">
        <v>150</v>
      </c>
      <c r="M773" t="s">
        <v>141</v>
      </c>
      <c r="N773" t="s">
        <v>142</v>
      </c>
      <c r="O773" t="s">
        <v>155</v>
      </c>
      <c r="P773" t="s">
        <v>281</v>
      </c>
      <c r="Q773" t="s">
        <v>155</v>
      </c>
      <c r="R773" t="s">
        <v>302</v>
      </c>
      <c r="S773" t="s">
        <v>369</v>
      </c>
      <c r="T773">
        <v>1</v>
      </c>
      <c r="U773" t="s">
        <v>428</v>
      </c>
      <c r="V773" t="s">
        <v>342</v>
      </c>
      <c r="W773" t="s">
        <v>430</v>
      </c>
      <c r="X773" t="s">
        <v>306</v>
      </c>
      <c r="Y773" t="s">
        <v>307</v>
      </c>
      <c r="Z773">
        <v>65</v>
      </c>
      <c r="AA773">
        <v>100</v>
      </c>
      <c r="AB773" t="s">
        <v>143</v>
      </c>
      <c r="AC773" t="s">
        <v>154</v>
      </c>
      <c r="AD773" t="s">
        <v>50</v>
      </c>
      <c r="AE773" t="str">
        <f>IF(AF773="","",VLOOKUP(AC773,mapel!$A$2:$B$42,2,FALSE))</f>
        <v>Math</v>
      </c>
      <c r="AF773">
        <f t="shared" si="36"/>
        <v>100</v>
      </c>
      <c r="AG773" t="str">
        <f>IF(AF773="","",IF(AF773&gt;90,"Sangat baik",IF(AF773&gt;79,"Baik",IF(AF773&gt;=pub_gid_0_single_true_output_csv[[#This Row],[KKM]],"Cukup","Kurang"))))</f>
        <v>Sangat baik</v>
      </c>
      <c r="AH773">
        <f t="shared" si="37"/>
        <v>11</v>
      </c>
      <c r="AI773" s="30" t="str">
        <f>IF(OR(J773&lt;&gt;"Karakter",pub_gid_0_single_true_output_csv[[#This Row],[Nilai2]]=""),"",IF(AF773&gt;89,"Sangat baik",IF(AF773&gt;79,"Baik",IF(AF773&gt;69,"Cukup",IF(AF773&gt;59,"Kurang","Sangat kurang")))))</f>
        <v/>
      </c>
      <c r="AJ773" t="str">
        <f t="shared" si="38"/>
        <v>Wk.6</v>
      </c>
      <c r="AK773" t="str">
        <f>IF(pub_gid_0_single_true_output_csv[[#This Row],[Nilai2]]="","",VLOOKUP(pub_gid_0_single_true_output_csv[[#This Row],[NAMA]],Table7[],3,FALSE))</f>
        <v>High average</v>
      </c>
    </row>
    <row r="774" spans="1:37" x14ac:dyDescent="0.2">
      <c r="A774">
        <v>773</v>
      </c>
      <c r="B774" t="s">
        <v>291</v>
      </c>
      <c r="C774" t="s">
        <v>54</v>
      </c>
      <c r="D774" t="s">
        <v>43</v>
      </c>
      <c r="E774" t="s">
        <v>146</v>
      </c>
      <c r="F774" s="25">
        <v>46062</v>
      </c>
      <c r="G774" t="s">
        <v>376</v>
      </c>
      <c r="H774" t="s">
        <v>412</v>
      </c>
      <c r="I774" t="s">
        <v>371</v>
      </c>
      <c r="J774" t="s">
        <v>36</v>
      </c>
      <c r="K774" t="s">
        <v>37</v>
      </c>
      <c r="L774" t="s">
        <v>150</v>
      </c>
      <c r="M774" t="s">
        <v>141</v>
      </c>
      <c r="N774" t="s">
        <v>142</v>
      </c>
      <c r="O774" t="s">
        <v>155</v>
      </c>
      <c r="P774" t="s">
        <v>281</v>
      </c>
      <c r="Q774" t="s">
        <v>155</v>
      </c>
      <c r="R774" t="s">
        <v>302</v>
      </c>
      <c r="S774" t="s">
        <v>369</v>
      </c>
      <c r="T774">
        <v>1</v>
      </c>
      <c r="U774" t="s">
        <v>428</v>
      </c>
      <c r="V774" t="s">
        <v>342</v>
      </c>
      <c r="W774" t="s">
        <v>430</v>
      </c>
      <c r="X774" t="s">
        <v>306</v>
      </c>
      <c r="Y774" t="s">
        <v>307</v>
      </c>
      <c r="Z774">
        <v>65</v>
      </c>
      <c r="AA774">
        <v>80</v>
      </c>
      <c r="AB774" t="s">
        <v>143</v>
      </c>
      <c r="AC774" t="s">
        <v>154</v>
      </c>
      <c r="AD774" t="s">
        <v>50</v>
      </c>
      <c r="AE774" t="str">
        <f>IF(AF774="","",VLOOKUP(AC774,mapel!$A$2:$B$42,2,FALSE))</f>
        <v>Math</v>
      </c>
      <c r="AF774">
        <f t="shared" si="36"/>
        <v>80</v>
      </c>
      <c r="AG774" t="str">
        <f>IF(AF774="","",IF(AF774&gt;90,"Sangat baik",IF(AF774&gt;79,"Baik",IF(AF774&gt;=pub_gid_0_single_true_output_csv[[#This Row],[KKM]],"Cukup","Kurang"))))</f>
        <v>Baik</v>
      </c>
      <c r="AH774">
        <f t="shared" si="37"/>
        <v>11</v>
      </c>
      <c r="AI774" s="30" t="str">
        <f>IF(OR(J774&lt;&gt;"Karakter",pub_gid_0_single_true_output_csv[[#This Row],[Nilai2]]=""),"",IF(AF774&gt;89,"Sangat baik",IF(AF774&gt;79,"Baik",IF(AF774&gt;69,"Cukup",IF(AF774&gt;59,"Kurang","Sangat kurang")))))</f>
        <v/>
      </c>
      <c r="AJ774" t="str">
        <f t="shared" si="38"/>
        <v>Wk.7</v>
      </c>
      <c r="AK774" t="str">
        <f>IF(pub_gid_0_single_true_output_csv[[#This Row],[Nilai2]]="","",VLOOKUP(pub_gid_0_single_true_output_csv[[#This Row],[NAMA]],Table7[],3,FALSE))</f>
        <v>High average</v>
      </c>
    </row>
    <row r="775" spans="1:37" x14ac:dyDescent="0.2">
      <c r="A775">
        <v>774</v>
      </c>
      <c r="B775" t="s">
        <v>291</v>
      </c>
      <c r="C775" t="s">
        <v>54</v>
      </c>
      <c r="D775" t="s">
        <v>43</v>
      </c>
      <c r="E775" t="s">
        <v>146</v>
      </c>
      <c r="F775" s="25">
        <v>46059</v>
      </c>
      <c r="G775" t="s">
        <v>349</v>
      </c>
      <c r="H775" t="s">
        <v>412</v>
      </c>
      <c r="I775" t="s">
        <v>371</v>
      </c>
      <c r="J775" t="s">
        <v>36</v>
      </c>
      <c r="K775" t="s">
        <v>37</v>
      </c>
      <c r="L775" t="s">
        <v>321</v>
      </c>
      <c r="M775" t="s">
        <v>141</v>
      </c>
      <c r="N775" t="s">
        <v>142</v>
      </c>
      <c r="O775" t="s">
        <v>155</v>
      </c>
      <c r="P775" t="s">
        <v>281</v>
      </c>
      <c r="Q775" t="s">
        <v>155</v>
      </c>
      <c r="R775" t="s">
        <v>302</v>
      </c>
      <c r="S775" t="s">
        <v>369</v>
      </c>
      <c r="T775">
        <v>1</v>
      </c>
      <c r="U775" t="s">
        <v>428</v>
      </c>
      <c r="V775" t="s">
        <v>342</v>
      </c>
      <c r="W775" t="s">
        <v>430</v>
      </c>
      <c r="X775" t="s">
        <v>306</v>
      </c>
      <c r="Y775" t="s">
        <v>307</v>
      </c>
      <c r="Z775">
        <v>65</v>
      </c>
      <c r="AA775">
        <v>90</v>
      </c>
      <c r="AB775" t="s">
        <v>143</v>
      </c>
      <c r="AC775" t="s">
        <v>154</v>
      </c>
      <c r="AD775" t="s">
        <v>50</v>
      </c>
      <c r="AE775" t="str">
        <f>IF(AF775="","",VLOOKUP(AC775,mapel!$A$2:$B$42,2,FALSE))</f>
        <v>Math</v>
      </c>
      <c r="AF775">
        <f t="shared" si="36"/>
        <v>90</v>
      </c>
      <c r="AG775" t="str">
        <f>IF(AF775="","",IF(AF775&gt;90,"Sangat baik",IF(AF775&gt;79,"Baik",IF(AF775&gt;=pub_gid_0_single_true_output_csv[[#This Row],[KKM]],"Cukup","Kurang"))))</f>
        <v>Baik</v>
      </c>
      <c r="AH775">
        <f t="shared" si="37"/>
        <v>11</v>
      </c>
      <c r="AI775" s="30" t="str">
        <f>IF(OR(J775&lt;&gt;"Karakter",pub_gid_0_single_true_output_csv[[#This Row],[Nilai2]]=""),"",IF(AF775&gt;89,"Sangat baik",IF(AF775&gt;79,"Baik",IF(AF775&gt;69,"Cukup",IF(AF775&gt;59,"Kurang","Sangat kurang")))))</f>
        <v/>
      </c>
      <c r="AJ775" t="str">
        <f t="shared" si="38"/>
        <v>Wk.6</v>
      </c>
      <c r="AK775" t="str">
        <f>IF(pub_gid_0_single_true_output_csv[[#This Row],[Nilai2]]="","",VLOOKUP(pub_gid_0_single_true_output_csv[[#This Row],[NAMA]],Table7[],3,FALSE))</f>
        <v>High average</v>
      </c>
    </row>
    <row r="776" spans="1:37" x14ac:dyDescent="0.2">
      <c r="A776">
        <v>775</v>
      </c>
      <c r="B776" t="s">
        <v>291</v>
      </c>
      <c r="C776" t="s">
        <v>54</v>
      </c>
      <c r="D776" t="s">
        <v>43</v>
      </c>
      <c r="E776" t="s">
        <v>146</v>
      </c>
      <c r="F776" s="25">
        <v>46064</v>
      </c>
      <c r="G776" t="s">
        <v>352</v>
      </c>
      <c r="H776" t="s">
        <v>412</v>
      </c>
      <c r="I776" t="s">
        <v>371</v>
      </c>
      <c r="J776" t="s">
        <v>36</v>
      </c>
      <c r="K776" t="s">
        <v>37</v>
      </c>
      <c r="L776" t="s">
        <v>150</v>
      </c>
      <c r="M776" t="s">
        <v>141</v>
      </c>
      <c r="N776" t="s">
        <v>142</v>
      </c>
      <c r="O776" t="s">
        <v>155</v>
      </c>
      <c r="P776" t="s">
        <v>281</v>
      </c>
      <c r="Q776" t="s">
        <v>155</v>
      </c>
      <c r="R776" t="s">
        <v>302</v>
      </c>
      <c r="S776" t="s">
        <v>369</v>
      </c>
      <c r="T776">
        <v>1</v>
      </c>
      <c r="U776" t="s">
        <v>428</v>
      </c>
      <c r="V776" t="s">
        <v>342</v>
      </c>
      <c r="W776" t="s">
        <v>430</v>
      </c>
      <c r="X776" t="s">
        <v>306</v>
      </c>
      <c r="Y776" t="s">
        <v>307</v>
      </c>
      <c r="Z776">
        <v>65</v>
      </c>
      <c r="AA776">
        <v>80</v>
      </c>
      <c r="AB776" t="s">
        <v>143</v>
      </c>
      <c r="AC776" t="s">
        <v>154</v>
      </c>
      <c r="AD776" t="s">
        <v>50</v>
      </c>
      <c r="AE776" t="str">
        <f>IF(AF776="","",VLOOKUP(AC776,mapel!$A$2:$B$42,2,FALSE))</f>
        <v>Math</v>
      </c>
      <c r="AF776">
        <f t="shared" si="36"/>
        <v>80</v>
      </c>
      <c r="AG776" t="str">
        <f>IF(AF776="","",IF(AF776&gt;90,"Sangat baik",IF(AF776&gt;79,"Baik",IF(AF776&gt;=pub_gid_0_single_true_output_csv[[#This Row],[KKM]],"Cukup","Kurang"))))</f>
        <v>Baik</v>
      </c>
      <c r="AH776">
        <f t="shared" si="37"/>
        <v>11</v>
      </c>
      <c r="AI776" s="30" t="str">
        <f>IF(OR(J776&lt;&gt;"Karakter",pub_gid_0_single_true_output_csv[[#This Row],[Nilai2]]=""),"",IF(AF776&gt;89,"Sangat baik",IF(AF776&gt;79,"Baik",IF(AF776&gt;69,"Cukup",IF(AF776&gt;59,"Kurang","Sangat kurang")))))</f>
        <v/>
      </c>
      <c r="AJ776" t="str">
        <f t="shared" si="38"/>
        <v>Wk.7</v>
      </c>
      <c r="AK776" t="str">
        <f>IF(pub_gid_0_single_true_output_csv[[#This Row],[Nilai2]]="","",VLOOKUP(pub_gid_0_single_true_output_csv[[#This Row],[NAMA]],Table7[],3,FALSE))</f>
        <v>High average</v>
      </c>
    </row>
    <row r="777" spans="1:37" x14ac:dyDescent="0.2">
      <c r="A777">
        <v>776</v>
      </c>
      <c r="B777" t="s">
        <v>282</v>
      </c>
      <c r="C777" t="s">
        <v>54</v>
      </c>
      <c r="D777" t="s">
        <v>283</v>
      </c>
      <c r="E777" t="s">
        <v>140</v>
      </c>
      <c r="F777" s="25">
        <v>46036</v>
      </c>
      <c r="G777" t="s">
        <v>353</v>
      </c>
      <c r="H777" t="s">
        <v>405</v>
      </c>
      <c r="I777" t="s">
        <v>371</v>
      </c>
      <c r="J777" t="s">
        <v>36</v>
      </c>
      <c r="K777" t="s">
        <v>37</v>
      </c>
      <c r="L777" t="s">
        <v>150</v>
      </c>
      <c r="M777" t="s">
        <v>141</v>
      </c>
      <c r="N777" t="s">
        <v>142</v>
      </c>
      <c r="O777" t="s">
        <v>155</v>
      </c>
      <c r="P777" t="s">
        <v>281</v>
      </c>
      <c r="Q777" t="s">
        <v>155</v>
      </c>
      <c r="R777" t="s">
        <v>302</v>
      </c>
      <c r="S777" t="s">
        <v>427</v>
      </c>
      <c r="T777">
        <v>1</v>
      </c>
      <c r="U777" t="s">
        <v>428</v>
      </c>
      <c r="V777" t="s">
        <v>285</v>
      </c>
      <c r="W777" t="s">
        <v>429</v>
      </c>
      <c r="X777" t="s">
        <v>391</v>
      </c>
      <c r="Y777" t="s">
        <v>335</v>
      </c>
      <c r="Z777">
        <v>65</v>
      </c>
      <c r="AA777">
        <v>40</v>
      </c>
      <c r="AB777" t="s">
        <v>151</v>
      </c>
      <c r="AC777" t="s">
        <v>154</v>
      </c>
      <c r="AD777" t="s">
        <v>50</v>
      </c>
      <c r="AE777" t="str">
        <f>IF(AF777="","",VLOOKUP(AC777,mapel!$A$2:$B$42,2,FALSE))</f>
        <v>Math</v>
      </c>
      <c r="AF777">
        <f t="shared" si="36"/>
        <v>40</v>
      </c>
      <c r="AG777" t="str">
        <f>IF(AF777="","",IF(AF777&gt;90,"Sangat baik",IF(AF777&gt;79,"Baik",IF(AF777&gt;=pub_gid_0_single_true_output_csv[[#This Row],[KKM]],"Cukup","Kurang"))))</f>
        <v>Kurang</v>
      </c>
      <c r="AH777">
        <f t="shared" si="37"/>
        <v>9</v>
      </c>
      <c r="AI777" s="30" t="str">
        <f>IF(OR(J777&lt;&gt;"Karakter",pub_gid_0_single_true_output_csv[[#This Row],[Nilai2]]=""),"",IF(AF777&gt;89,"Sangat baik",IF(AF777&gt;79,"Baik",IF(AF777&gt;69,"Cukup",IF(AF777&gt;59,"Kurang","Sangat kurang")))))</f>
        <v/>
      </c>
      <c r="AJ777" t="str">
        <f t="shared" si="38"/>
        <v>Wk.3</v>
      </c>
      <c r="AK777" t="e">
        <f>IF(pub_gid_0_single_true_output_csv[[#This Row],[Nilai2]]="","",VLOOKUP(pub_gid_0_single_true_output_csv[[#This Row],[NAMA]],Table7[],3,FALSE))</f>
        <v>#N/A</v>
      </c>
    </row>
    <row r="778" spans="1:37" x14ac:dyDescent="0.2">
      <c r="A778">
        <v>777</v>
      </c>
      <c r="B778" t="s">
        <v>282</v>
      </c>
      <c r="C778" t="s">
        <v>54</v>
      </c>
      <c r="D778" t="s">
        <v>283</v>
      </c>
      <c r="E778" t="s">
        <v>140</v>
      </c>
      <c r="F778" s="25">
        <v>46036</v>
      </c>
      <c r="G778" t="s">
        <v>353</v>
      </c>
      <c r="H778" t="s">
        <v>405</v>
      </c>
      <c r="I778" t="s">
        <v>371</v>
      </c>
      <c r="J778" t="s">
        <v>36</v>
      </c>
      <c r="K778" t="s">
        <v>37</v>
      </c>
      <c r="L778" t="s">
        <v>150</v>
      </c>
      <c r="M778" t="s">
        <v>141</v>
      </c>
      <c r="N778" t="s">
        <v>142</v>
      </c>
      <c r="O778" t="s">
        <v>155</v>
      </c>
      <c r="P778" t="s">
        <v>281</v>
      </c>
      <c r="Q778" t="s">
        <v>155</v>
      </c>
      <c r="R778" t="s">
        <v>302</v>
      </c>
      <c r="S778" t="s">
        <v>369</v>
      </c>
      <c r="T778">
        <v>1</v>
      </c>
      <c r="U778" t="s">
        <v>428</v>
      </c>
      <c r="V778" t="s">
        <v>342</v>
      </c>
      <c r="W778" t="s">
        <v>430</v>
      </c>
      <c r="X778" t="s">
        <v>306</v>
      </c>
      <c r="Y778" t="s">
        <v>307</v>
      </c>
      <c r="Z778">
        <v>65</v>
      </c>
      <c r="AA778">
        <v>100</v>
      </c>
      <c r="AB778" t="s">
        <v>143</v>
      </c>
      <c r="AC778" t="s">
        <v>154</v>
      </c>
      <c r="AD778" t="s">
        <v>50</v>
      </c>
      <c r="AE778" t="str">
        <f>IF(AF778="","",VLOOKUP(AC778,mapel!$A$2:$B$42,2,FALSE))</f>
        <v>Math</v>
      </c>
      <c r="AF778">
        <f t="shared" si="36"/>
        <v>100</v>
      </c>
      <c r="AG778" t="str">
        <f>IF(AF778="","",IF(AF778&gt;90,"Sangat baik",IF(AF778&gt;79,"Baik",IF(AF778&gt;=pub_gid_0_single_true_output_csv[[#This Row],[KKM]],"Cukup","Kurang"))))</f>
        <v>Sangat baik</v>
      </c>
      <c r="AH778">
        <f t="shared" si="37"/>
        <v>11</v>
      </c>
      <c r="AI778" s="30" t="str">
        <f>IF(OR(J778&lt;&gt;"Karakter",pub_gid_0_single_true_output_csv[[#This Row],[Nilai2]]=""),"",IF(AF778&gt;89,"Sangat baik",IF(AF778&gt;79,"Baik",IF(AF778&gt;69,"Cukup",IF(AF778&gt;59,"Kurang","Sangat kurang")))))</f>
        <v/>
      </c>
      <c r="AJ778" t="str">
        <f t="shared" si="38"/>
        <v>Wk.3</v>
      </c>
      <c r="AK778" t="e">
        <f>IF(pub_gid_0_single_true_output_csv[[#This Row],[Nilai2]]="","",VLOOKUP(pub_gid_0_single_true_output_csv[[#This Row],[NAMA]],Table7[],3,FALSE))</f>
        <v>#N/A</v>
      </c>
    </row>
    <row r="779" spans="1:37" x14ac:dyDescent="0.2">
      <c r="A779">
        <v>778</v>
      </c>
      <c r="B779" t="s">
        <v>282</v>
      </c>
      <c r="C779" t="s">
        <v>54</v>
      </c>
      <c r="D779" t="s">
        <v>283</v>
      </c>
      <c r="E779" t="s">
        <v>140</v>
      </c>
      <c r="F779" s="25">
        <v>46041</v>
      </c>
      <c r="G779" t="s">
        <v>370</v>
      </c>
      <c r="H779" t="s">
        <v>405</v>
      </c>
      <c r="I779" t="s">
        <v>371</v>
      </c>
      <c r="J779" t="s">
        <v>36</v>
      </c>
      <c r="K779" t="s">
        <v>37</v>
      </c>
      <c r="L779" t="s">
        <v>150</v>
      </c>
      <c r="M779" t="s">
        <v>141</v>
      </c>
      <c r="N779" t="s">
        <v>142</v>
      </c>
      <c r="O779" t="s">
        <v>155</v>
      </c>
      <c r="P779" t="s">
        <v>281</v>
      </c>
      <c r="Q779" t="s">
        <v>155</v>
      </c>
      <c r="R779" t="s">
        <v>302</v>
      </c>
      <c r="S779" t="s">
        <v>427</v>
      </c>
      <c r="T779">
        <v>1</v>
      </c>
      <c r="U779" t="s">
        <v>428</v>
      </c>
      <c r="V779" t="s">
        <v>285</v>
      </c>
      <c r="W779" t="s">
        <v>429</v>
      </c>
      <c r="X779" t="s">
        <v>391</v>
      </c>
      <c r="Y779" t="s">
        <v>335</v>
      </c>
      <c r="Z779">
        <v>65</v>
      </c>
      <c r="AA779">
        <v>0</v>
      </c>
      <c r="AB779" t="s">
        <v>151</v>
      </c>
      <c r="AC779" t="s">
        <v>154</v>
      </c>
      <c r="AD779" t="s">
        <v>50</v>
      </c>
      <c r="AE779" t="str">
        <f>IF(AF779="","",VLOOKUP(AC779,mapel!$A$2:$B$42,2,FALSE))</f>
        <v/>
      </c>
      <c r="AF779" t="str">
        <f t="shared" si="36"/>
        <v/>
      </c>
      <c r="AG779" t="str">
        <f>IF(AF779="","",IF(AF779&gt;90,"Sangat baik",IF(AF779&gt;79,"Baik",IF(AF779&gt;=pub_gid_0_single_true_output_csv[[#This Row],[KKM]],"Cukup","Kurang"))))</f>
        <v/>
      </c>
      <c r="AH779" t="str">
        <f t="shared" si="37"/>
        <v/>
      </c>
      <c r="AI779" s="30" t="str">
        <f>IF(OR(J779&lt;&gt;"Karakter",pub_gid_0_single_true_output_csv[[#This Row],[Nilai2]]=""),"",IF(AF779&gt;89,"Sangat baik",IF(AF779&gt;79,"Baik",IF(AF779&gt;69,"Cukup",IF(AF779&gt;59,"Kurang","Sangat kurang")))))</f>
        <v/>
      </c>
      <c r="AJ779" t="str">
        <f t="shared" si="38"/>
        <v/>
      </c>
      <c r="AK779" t="str">
        <f>IF(pub_gid_0_single_true_output_csv[[#This Row],[Nilai2]]="","",VLOOKUP(pub_gid_0_single_true_output_csv[[#This Row],[NAMA]],Table7[],3,FALSE))</f>
        <v/>
      </c>
    </row>
    <row r="780" spans="1:37" x14ac:dyDescent="0.2">
      <c r="A780">
        <v>779</v>
      </c>
      <c r="B780" t="s">
        <v>282</v>
      </c>
      <c r="C780" t="s">
        <v>54</v>
      </c>
      <c r="D780" t="s">
        <v>283</v>
      </c>
      <c r="E780" t="s">
        <v>140</v>
      </c>
      <c r="F780" s="25">
        <v>46041</v>
      </c>
      <c r="G780" t="s">
        <v>370</v>
      </c>
      <c r="H780" t="s">
        <v>405</v>
      </c>
      <c r="I780" t="s">
        <v>371</v>
      </c>
      <c r="J780" t="s">
        <v>90</v>
      </c>
      <c r="K780" t="s">
        <v>377</v>
      </c>
      <c r="L780" t="s">
        <v>399</v>
      </c>
      <c r="M780" t="s">
        <v>141</v>
      </c>
      <c r="N780" t="s">
        <v>142</v>
      </c>
      <c r="O780" t="s">
        <v>155</v>
      </c>
      <c r="P780" t="s">
        <v>281</v>
      </c>
      <c r="Q780" t="s">
        <v>155</v>
      </c>
      <c r="R780" t="s">
        <v>302</v>
      </c>
      <c r="S780" t="s">
        <v>369</v>
      </c>
      <c r="T780">
        <v>1</v>
      </c>
      <c r="U780" t="s">
        <v>428</v>
      </c>
      <c r="V780" t="s">
        <v>342</v>
      </c>
      <c r="W780" t="s">
        <v>430</v>
      </c>
      <c r="X780" t="s">
        <v>306</v>
      </c>
      <c r="Y780" t="s">
        <v>307</v>
      </c>
      <c r="Z780">
        <v>65</v>
      </c>
      <c r="AA780">
        <v>0</v>
      </c>
      <c r="AB780" t="s">
        <v>151</v>
      </c>
      <c r="AC780" t="s">
        <v>154</v>
      </c>
      <c r="AD780" t="s">
        <v>50</v>
      </c>
      <c r="AE780" t="str">
        <f>IF(AF780="","",VLOOKUP(AC780,mapel!$A$2:$B$42,2,FALSE))</f>
        <v/>
      </c>
      <c r="AF780" t="str">
        <f t="shared" si="36"/>
        <v/>
      </c>
      <c r="AG780" t="str">
        <f>IF(AF780="","",IF(AF780&gt;90,"Sangat baik",IF(AF780&gt;79,"Baik",IF(AF780&gt;=pub_gid_0_single_true_output_csv[[#This Row],[KKM]],"Cukup","Kurang"))))</f>
        <v/>
      </c>
      <c r="AH780" t="str">
        <f t="shared" si="37"/>
        <v/>
      </c>
      <c r="AI780" s="30" t="str">
        <f>IF(OR(J780&lt;&gt;"Karakter",pub_gid_0_single_true_output_csv[[#This Row],[Nilai2]]=""),"",IF(AF780&gt;89,"Sangat baik",IF(AF780&gt;79,"Baik",IF(AF780&gt;69,"Cukup",IF(AF780&gt;59,"Kurang","Sangat kurang")))))</f>
        <v/>
      </c>
      <c r="AJ780" t="str">
        <f t="shared" si="38"/>
        <v/>
      </c>
      <c r="AK780" t="str">
        <f>IF(pub_gid_0_single_true_output_csv[[#This Row],[Nilai2]]="","",VLOOKUP(pub_gid_0_single_true_output_csv[[#This Row],[NAMA]],Table7[],3,FALSE))</f>
        <v/>
      </c>
    </row>
    <row r="781" spans="1:37" x14ac:dyDescent="0.2">
      <c r="A781">
        <v>780</v>
      </c>
      <c r="B781" t="s">
        <v>282</v>
      </c>
      <c r="C781" t="s">
        <v>54</v>
      </c>
      <c r="D781" t="s">
        <v>283</v>
      </c>
      <c r="E781" t="s">
        <v>140</v>
      </c>
      <c r="F781" s="25">
        <v>46043</v>
      </c>
      <c r="G781" t="s">
        <v>341</v>
      </c>
      <c r="H781" t="s">
        <v>405</v>
      </c>
      <c r="I781" t="s">
        <v>371</v>
      </c>
      <c r="J781" t="s">
        <v>36</v>
      </c>
      <c r="K781" t="s">
        <v>37</v>
      </c>
      <c r="L781" t="s">
        <v>150</v>
      </c>
      <c r="M781" t="s">
        <v>141</v>
      </c>
      <c r="N781" t="s">
        <v>142</v>
      </c>
      <c r="O781" t="s">
        <v>155</v>
      </c>
      <c r="P781" t="s">
        <v>281</v>
      </c>
      <c r="Q781" t="s">
        <v>155</v>
      </c>
      <c r="R781" t="s">
        <v>302</v>
      </c>
      <c r="S781" t="s">
        <v>427</v>
      </c>
      <c r="T781">
        <v>1</v>
      </c>
      <c r="U781" t="s">
        <v>428</v>
      </c>
      <c r="V781" t="s">
        <v>285</v>
      </c>
      <c r="W781" t="s">
        <v>429</v>
      </c>
      <c r="X781" t="s">
        <v>391</v>
      </c>
      <c r="Y781" t="s">
        <v>335</v>
      </c>
      <c r="Z781">
        <v>65</v>
      </c>
      <c r="AA781">
        <v>0</v>
      </c>
      <c r="AB781" t="s">
        <v>151</v>
      </c>
      <c r="AC781" t="s">
        <v>154</v>
      </c>
      <c r="AD781" t="s">
        <v>50</v>
      </c>
      <c r="AE781" t="str">
        <f>IF(AF781="","",VLOOKUP(AC781,mapel!$A$2:$B$42,2,FALSE))</f>
        <v/>
      </c>
      <c r="AF781" t="str">
        <f t="shared" si="36"/>
        <v/>
      </c>
      <c r="AG781" t="str">
        <f>IF(AF781="","",IF(AF781&gt;90,"Sangat baik",IF(AF781&gt;79,"Baik",IF(AF781&gt;=pub_gid_0_single_true_output_csv[[#This Row],[KKM]],"Cukup","Kurang"))))</f>
        <v/>
      </c>
      <c r="AH781" t="str">
        <f t="shared" si="37"/>
        <v/>
      </c>
      <c r="AI781" s="30" t="str">
        <f>IF(OR(J781&lt;&gt;"Karakter",pub_gid_0_single_true_output_csv[[#This Row],[Nilai2]]=""),"",IF(AF781&gt;89,"Sangat baik",IF(AF781&gt;79,"Baik",IF(AF781&gt;69,"Cukup",IF(AF781&gt;59,"Kurang","Sangat kurang")))))</f>
        <v/>
      </c>
      <c r="AJ781" t="str">
        <f t="shared" si="38"/>
        <v/>
      </c>
      <c r="AK781" t="str">
        <f>IF(pub_gid_0_single_true_output_csv[[#This Row],[Nilai2]]="","",VLOOKUP(pub_gid_0_single_true_output_csv[[#This Row],[NAMA]],Table7[],3,FALSE))</f>
        <v/>
      </c>
    </row>
    <row r="782" spans="1:37" x14ac:dyDescent="0.2">
      <c r="A782">
        <v>781</v>
      </c>
      <c r="B782" t="s">
        <v>282</v>
      </c>
      <c r="C782" t="s">
        <v>54</v>
      </c>
      <c r="D782" t="s">
        <v>283</v>
      </c>
      <c r="E782" t="s">
        <v>140</v>
      </c>
      <c r="F782" s="25">
        <v>46043</v>
      </c>
      <c r="G782" t="s">
        <v>341</v>
      </c>
      <c r="H782" t="s">
        <v>405</v>
      </c>
      <c r="I782" t="s">
        <v>371</v>
      </c>
      <c r="J782" t="s">
        <v>90</v>
      </c>
      <c r="K782" t="s">
        <v>377</v>
      </c>
      <c r="L782" t="s">
        <v>399</v>
      </c>
      <c r="M782" t="s">
        <v>141</v>
      </c>
      <c r="N782" t="s">
        <v>142</v>
      </c>
      <c r="O782" t="s">
        <v>155</v>
      </c>
      <c r="P782" t="s">
        <v>281</v>
      </c>
      <c r="Q782" t="s">
        <v>155</v>
      </c>
      <c r="R782" t="s">
        <v>302</v>
      </c>
      <c r="S782" t="s">
        <v>427</v>
      </c>
      <c r="T782">
        <v>1</v>
      </c>
      <c r="U782" t="s">
        <v>428</v>
      </c>
      <c r="V782" t="s">
        <v>285</v>
      </c>
      <c r="W782" t="s">
        <v>429</v>
      </c>
      <c r="X782" t="s">
        <v>391</v>
      </c>
      <c r="Y782" t="s">
        <v>335</v>
      </c>
      <c r="Z782">
        <v>65</v>
      </c>
      <c r="AA782">
        <v>0</v>
      </c>
      <c r="AB782" t="s">
        <v>151</v>
      </c>
      <c r="AC782" t="s">
        <v>154</v>
      </c>
      <c r="AD782" t="s">
        <v>50</v>
      </c>
      <c r="AE782" t="str">
        <f>IF(AF782="","",VLOOKUP(AC782,mapel!$A$2:$B$42,2,FALSE))</f>
        <v/>
      </c>
      <c r="AF782" t="str">
        <f t="shared" si="36"/>
        <v/>
      </c>
      <c r="AG782" t="str">
        <f>IF(AF782="","",IF(AF782&gt;90,"Sangat baik",IF(AF782&gt;79,"Baik",IF(AF782&gt;=pub_gid_0_single_true_output_csv[[#This Row],[KKM]],"Cukup","Kurang"))))</f>
        <v/>
      </c>
      <c r="AH782" t="str">
        <f t="shared" si="37"/>
        <v/>
      </c>
      <c r="AI782" s="30" t="str">
        <f>IF(OR(J782&lt;&gt;"Karakter",pub_gid_0_single_true_output_csv[[#This Row],[Nilai2]]=""),"",IF(AF782&gt;89,"Sangat baik",IF(AF782&gt;79,"Baik",IF(AF782&gt;69,"Cukup",IF(AF782&gt;59,"Kurang","Sangat kurang")))))</f>
        <v/>
      </c>
      <c r="AJ782" t="str">
        <f t="shared" si="38"/>
        <v/>
      </c>
      <c r="AK782" t="str">
        <f>IF(pub_gid_0_single_true_output_csv[[#This Row],[Nilai2]]="","",VLOOKUP(pub_gid_0_single_true_output_csv[[#This Row],[NAMA]],Table7[],3,FALSE))</f>
        <v/>
      </c>
    </row>
    <row r="783" spans="1:37" x14ac:dyDescent="0.2">
      <c r="A783">
        <v>782</v>
      </c>
      <c r="B783" t="s">
        <v>282</v>
      </c>
      <c r="C783" t="s">
        <v>54</v>
      </c>
      <c r="D783" t="s">
        <v>283</v>
      </c>
      <c r="E783" t="s">
        <v>140</v>
      </c>
      <c r="F783" s="25">
        <v>46041</v>
      </c>
      <c r="G783" t="s">
        <v>370</v>
      </c>
      <c r="H783" t="s">
        <v>405</v>
      </c>
      <c r="I783" t="s">
        <v>371</v>
      </c>
      <c r="J783" t="s">
        <v>36</v>
      </c>
      <c r="K783" t="s">
        <v>37</v>
      </c>
      <c r="L783" t="s">
        <v>321</v>
      </c>
      <c r="M783" t="s">
        <v>141</v>
      </c>
      <c r="N783" t="s">
        <v>142</v>
      </c>
      <c r="O783" t="s">
        <v>155</v>
      </c>
      <c r="P783" t="s">
        <v>281</v>
      </c>
      <c r="Q783" t="s">
        <v>155</v>
      </c>
      <c r="R783" t="s">
        <v>302</v>
      </c>
      <c r="S783" t="s">
        <v>427</v>
      </c>
      <c r="T783">
        <v>1</v>
      </c>
      <c r="U783" t="s">
        <v>428</v>
      </c>
      <c r="V783" t="s">
        <v>285</v>
      </c>
      <c r="W783" t="s">
        <v>429</v>
      </c>
      <c r="X783" t="s">
        <v>391</v>
      </c>
      <c r="Y783" t="s">
        <v>335</v>
      </c>
      <c r="Z783">
        <v>65</v>
      </c>
      <c r="AA783">
        <v>90</v>
      </c>
      <c r="AB783" t="s">
        <v>143</v>
      </c>
      <c r="AC783" t="s">
        <v>154</v>
      </c>
      <c r="AD783" t="s">
        <v>50</v>
      </c>
      <c r="AE783" t="str">
        <f>IF(AF783="","",VLOOKUP(AC783,mapel!$A$2:$B$42,2,FALSE))</f>
        <v>Math</v>
      </c>
      <c r="AF783">
        <f t="shared" si="36"/>
        <v>90</v>
      </c>
      <c r="AG783" t="str">
        <f>IF(AF783="","",IF(AF783&gt;90,"Sangat baik",IF(AF783&gt;79,"Baik",IF(AF783&gt;=pub_gid_0_single_true_output_csv[[#This Row],[KKM]],"Cukup","Kurang"))))</f>
        <v>Baik</v>
      </c>
      <c r="AH783">
        <f t="shared" si="37"/>
        <v>9</v>
      </c>
      <c r="AI783" s="30" t="str">
        <f>IF(OR(J783&lt;&gt;"Karakter",pub_gid_0_single_true_output_csv[[#This Row],[Nilai2]]=""),"",IF(AF783&gt;89,"Sangat baik",IF(AF783&gt;79,"Baik",IF(AF783&gt;69,"Cukup",IF(AF783&gt;59,"Kurang","Sangat kurang")))))</f>
        <v/>
      </c>
      <c r="AJ783" t="str">
        <f t="shared" si="38"/>
        <v>Wk.4</v>
      </c>
      <c r="AK783" t="e">
        <f>IF(pub_gid_0_single_true_output_csv[[#This Row],[Nilai2]]="","",VLOOKUP(pub_gid_0_single_true_output_csv[[#This Row],[NAMA]],Table7[],3,FALSE))</f>
        <v>#N/A</v>
      </c>
    </row>
    <row r="784" spans="1:37" x14ac:dyDescent="0.2">
      <c r="A784">
        <v>783</v>
      </c>
      <c r="B784" t="s">
        <v>282</v>
      </c>
      <c r="C784" t="s">
        <v>54</v>
      </c>
      <c r="D784" t="s">
        <v>283</v>
      </c>
      <c r="E784" t="s">
        <v>140</v>
      </c>
      <c r="F784" s="25">
        <v>46041</v>
      </c>
      <c r="G784" t="s">
        <v>370</v>
      </c>
      <c r="H784" t="s">
        <v>405</v>
      </c>
      <c r="I784" t="s">
        <v>371</v>
      </c>
      <c r="J784" t="s">
        <v>36</v>
      </c>
      <c r="K784" t="s">
        <v>37</v>
      </c>
      <c r="L784" t="s">
        <v>321</v>
      </c>
      <c r="M784" t="s">
        <v>141</v>
      </c>
      <c r="N784" t="s">
        <v>142</v>
      </c>
      <c r="O784" t="s">
        <v>155</v>
      </c>
      <c r="P784" t="s">
        <v>281</v>
      </c>
      <c r="Q784" t="s">
        <v>155</v>
      </c>
      <c r="R784" t="s">
        <v>302</v>
      </c>
      <c r="S784" t="s">
        <v>369</v>
      </c>
      <c r="T784">
        <v>1</v>
      </c>
      <c r="U784" t="s">
        <v>428</v>
      </c>
      <c r="V784" t="s">
        <v>342</v>
      </c>
      <c r="W784" t="s">
        <v>430</v>
      </c>
      <c r="X784" t="s">
        <v>306</v>
      </c>
      <c r="Y784" t="s">
        <v>307</v>
      </c>
      <c r="Z784">
        <v>65</v>
      </c>
      <c r="AA784">
        <v>50</v>
      </c>
      <c r="AB784" t="s">
        <v>151</v>
      </c>
      <c r="AC784" t="s">
        <v>154</v>
      </c>
      <c r="AD784" t="s">
        <v>50</v>
      </c>
      <c r="AE784" t="str">
        <f>IF(AF784="","",VLOOKUP(AC784,mapel!$A$2:$B$42,2,FALSE))</f>
        <v>Math</v>
      </c>
      <c r="AF784">
        <f t="shared" si="36"/>
        <v>50</v>
      </c>
      <c r="AG784" t="str">
        <f>IF(AF784="","",IF(AF784&gt;90,"Sangat baik",IF(AF784&gt;79,"Baik",IF(AF784&gt;=pub_gid_0_single_true_output_csv[[#This Row],[KKM]],"Cukup","Kurang"))))</f>
        <v>Kurang</v>
      </c>
      <c r="AH784">
        <f t="shared" si="37"/>
        <v>11</v>
      </c>
      <c r="AI784" s="30" t="str">
        <f>IF(OR(J784&lt;&gt;"Karakter",pub_gid_0_single_true_output_csv[[#This Row],[Nilai2]]=""),"",IF(AF784&gt;89,"Sangat baik",IF(AF784&gt;79,"Baik",IF(AF784&gt;69,"Cukup",IF(AF784&gt;59,"Kurang","Sangat kurang")))))</f>
        <v/>
      </c>
      <c r="AJ784" t="str">
        <f t="shared" si="38"/>
        <v>Wk.4</v>
      </c>
      <c r="AK784" t="e">
        <f>IF(pub_gid_0_single_true_output_csv[[#This Row],[Nilai2]]="","",VLOOKUP(pub_gid_0_single_true_output_csv[[#This Row],[NAMA]],Table7[],3,FALSE))</f>
        <v>#N/A</v>
      </c>
    </row>
    <row r="785" spans="1:37" x14ac:dyDescent="0.2">
      <c r="A785">
        <v>784</v>
      </c>
      <c r="B785" t="s">
        <v>282</v>
      </c>
      <c r="C785" t="s">
        <v>54</v>
      </c>
      <c r="D785" t="s">
        <v>283</v>
      </c>
      <c r="E785" t="s">
        <v>140</v>
      </c>
      <c r="F785" s="25">
        <v>46050</v>
      </c>
      <c r="G785" t="s">
        <v>308</v>
      </c>
      <c r="H785" t="s">
        <v>405</v>
      </c>
      <c r="I785" t="s">
        <v>371</v>
      </c>
      <c r="J785" t="s">
        <v>36</v>
      </c>
      <c r="K785" t="s">
        <v>37</v>
      </c>
      <c r="L785" t="s">
        <v>150</v>
      </c>
      <c r="M785" t="s">
        <v>141</v>
      </c>
      <c r="N785" t="s">
        <v>142</v>
      </c>
      <c r="O785" t="s">
        <v>155</v>
      </c>
      <c r="P785" t="s">
        <v>281</v>
      </c>
      <c r="Q785" t="s">
        <v>155</v>
      </c>
      <c r="R785" t="s">
        <v>302</v>
      </c>
      <c r="S785" t="s">
        <v>427</v>
      </c>
      <c r="T785">
        <v>1</v>
      </c>
      <c r="U785" t="s">
        <v>428</v>
      </c>
      <c r="V785" t="s">
        <v>285</v>
      </c>
      <c r="W785" t="s">
        <v>429</v>
      </c>
      <c r="X785" t="s">
        <v>391</v>
      </c>
      <c r="Y785" t="s">
        <v>335</v>
      </c>
      <c r="Z785">
        <v>65</v>
      </c>
      <c r="AA785">
        <v>0</v>
      </c>
      <c r="AB785" t="s">
        <v>151</v>
      </c>
      <c r="AC785" t="s">
        <v>154</v>
      </c>
      <c r="AD785" t="s">
        <v>50</v>
      </c>
      <c r="AE785" t="str">
        <f>IF(AF785="","",VLOOKUP(AC785,mapel!$A$2:$B$42,2,FALSE))</f>
        <v/>
      </c>
      <c r="AF785" t="str">
        <f t="shared" si="36"/>
        <v/>
      </c>
      <c r="AG785" t="str">
        <f>IF(AF785="","",IF(AF785&gt;90,"Sangat baik",IF(AF785&gt;79,"Baik",IF(AF785&gt;=pub_gid_0_single_true_output_csv[[#This Row],[KKM]],"Cukup","Kurang"))))</f>
        <v/>
      </c>
      <c r="AH785" t="str">
        <f t="shared" si="37"/>
        <v/>
      </c>
      <c r="AI785" s="30" t="str">
        <f>IF(OR(J785&lt;&gt;"Karakter",pub_gid_0_single_true_output_csv[[#This Row],[Nilai2]]=""),"",IF(AF785&gt;89,"Sangat baik",IF(AF785&gt;79,"Baik",IF(AF785&gt;69,"Cukup",IF(AF785&gt;59,"Kurang","Sangat kurang")))))</f>
        <v/>
      </c>
      <c r="AJ785" t="str">
        <f t="shared" si="38"/>
        <v/>
      </c>
      <c r="AK785" t="str">
        <f>IF(pub_gid_0_single_true_output_csv[[#This Row],[Nilai2]]="","",VLOOKUP(pub_gid_0_single_true_output_csv[[#This Row],[NAMA]],Table7[],3,FALSE))</f>
        <v/>
      </c>
    </row>
    <row r="786" spans="1:37" x14ac:dyDescent="0.2">
      <c r="A786">
        <v>785</v>
      </c>
      <c r="B786" t="s">
        <v>282</v>
      </c>
      <c r="C786" t="s">
        <v>54</v>
      </c>
      <c r="D786" t="s">
        <v>283</v>
      </c>
      <c r="E786" t="s">
        <v>140</v>
      </c>
      <c r="F786" s="25">
        <v>46057</v>
      </c>
      <c r="G786" t="s">
        <v>348</v>
      </c>
      <c r="H786" t="s">
        <v>412</v>
      </c>
      <c r="I786" t="s">
        <v>371</v>
      </c>
      <c r="J786" t="s">
        <v>36</v>
      </c>
      <c r="K786" t="s">
        <v>37</v>
      </c>
      <c r="L786" t="s">
        <v>150</v>
      </c>
      <c r="M786" t="s">
        <v>141</v>
      </c>
      <c r="N786" t="s">
        <v>142</v>
      </c>
      <c r="O786" t="s">
        <v>155</v>
      </c>
      <c r="P786" t="s">
        <v>281</v>
      </c>
      <c r="Q786" t="s">
        <v>155</v>
      </c>
      <c r="R786" t="s">
        <v>302</v>
      </c>
      <c r="S786" t="s">
        <v>369</v>
      </c>
      <c r="T786">
        <v>1</v>
      </c>
      <c r="U786" t="s">
        <v>428</v>
      </c>
      <c r="V786" t="s">
        <v>342</v>
      </c>
      <c r="W786" t="s">
        <v>430</v>
      </c>
      <c r="X786" t="s">
        <v>306</v>
      </c>
      <c r="Y786" t="s">
        <v>307</v>
      </c>
      <c r="Z786">
        <v>65</v>
      </c>
      <c r="AA786">
        <v>0</v>
      </c>
      <c r="AB786" t="s">
        <v>151</v>
      </c>
      <c r="AC786" t="s">
        <v>154</v>
      </c>
      <c r="AD786" t="s">
        <v>50</v>
      </c>
      <c r="AE786" t="str">
        <f>IF(AF786="","",VLOOKUP(AC786,mapel!$A$2:$B$42,2,FALSE))</f>
        <v/>
      </c>
      <c r="AF786" t="str">
        <f t="shared" si="36"/>
        <v/>
      </c>
      <c r="AG786" t="str">
        <f>IF(AF786="","",IF(AF786&gt;90,"Sangat baik",IF(AF786&gt;79,"Baik",IF(AF786&gt;=pub_gid_0_single_true_output_csv[[#This Row],[KKM]],"Cukup","Kurang"))))</f>
        <v/>
      </c>
      <c r="AH786" t="str">
        <f t="shared" si="37"/>
        <v/>
      </c>
      <c r="AI786" s="30" t="str">
        <f>IF(OR(J786&lt;&gt;"Karakter",pub_gid_0_single_true_output_csv[[#This Row],[Nilai2]]=""),"",IF(AF786&gt;89,"Sangat baik",IF(AF786&gt;79,"Baik",IF(AF786&gt;69,"Cukup",IF(AF786&gt;59,"Kurang","Sangat kurang")))))</f>
        <v/>
      </c>
      <c r="AJ786" t="str">
        <f t="shared" si="38"/>
        <v/>
      </c>
      <c r="AK786" t="str">
        <f>IF(pub_gid_0_single_true_output_csv[[#This Row],[Nilai2]]="","",VLOOKUP(pub_gid_0_single_true_output_csv[[#This Row],[NAMA]],Table7[],3,FALSE))</f>
        <v/>
      </c>
    </row>
    <row r="787" spans="1:37" x14ac:dyDescent="0.2">
      <c r="A787">
        <v>786</v>
      </c>
      <c r="B787" t="s">
        <v>282</v>
      </c>
      <c r="C787" t="s">
        <v>54</v>
      </c>
      <c r="D787" t="s">
        <v>283</v>
      </c>
      <c r="E787" t="s">
        <v>140</v>
      </c>
      <c r="F787" s="25">
        <v>46059</v>
      </c>
      <c r="G787" t="s">
        <v>349</v>
      </c>
      <c r="H787" t="s">
        <v>412</v>
      </c>
      <c r="I787" t="s">
        <v>371</v>
      </c>
      <c r="J787" t="s">
        <v>36</v>
      </c>
      <c r="K787" t="s">
        <v>37</v>
      </c>
      <c r="L787" t="s">
        <v>150</v>
      </c>
      <c r="M787" t="s">
        <v>141</v>
      </c>
      <c r="N787" t="s">
        <v>142</v>
      </c>
      <c r="O787" t="s">
        <v>155</v>
      </c>
      <c r="P787" t="s">
        <v>281</v>
      </c>
      <c r="Q787" t="s">
        <v>155</v>
      </c>
      <c r="R787" t="s">
        <v>302</v>
      </c>
      <c r="S787" t="s">
        <v>369</v>
      </c>
      <c r="T787">
        <v>1</v>
      </c>
      <c r="U787" t="s">
        <v>428</v>
      </c>
      <c r="V787" t="s">
        <v>342</v>
      </c>
      <c r="W787" t="s">
        <v>430</v>
      </c>
      <c r="X787" t="s">
        <v>306</v>
      </c>
      <c r="Y787" t="s">
        <v>307</v>
      </c>
      <c r="Z787">
        <v>65</v>
      </c>
      <c r="AA787">
        <v>0</v>
      </c>
      <c r="AB787" t="s">
        <v>151</v>
      </c>
      <c r="AC787" t="s">
        <v>154</v>
      </c>
      <c r="AD787" t="s">
        <v>50</v>
      </c>
      <c r="AE787" t="str">
        <f>IF(AF787="","",VLOOKUP(AC787,mapel!$A$2:$B$42,2,FALSE))</f>
        <v/>
      </c>
      <c r="AF787" t="str">
        <f t="shared" si="36"/>
        <v/>
      </c>
      <c r="AG787" t="str">
        <f>IF(AF787="","",IF(AF787&gt;90,"Sangat baik",IF(AF787&gt;79,"Baik",IF(AF787&gt;=pub_gid_0_single_true_output_csv[[#This Row],[KKM]],"Cukup","Kurang"))))</f>
        <v/>
      </c>
      <c r="AH787" t="str">
        <f t="shared" si="37"/>
        <v/>
      </c>
      <c r="AI787" s="30" t="str">
        <f>IF(OR(J787&lt;&gt;"Karakter",pub_gid_0_single_true_output_csv[[#This Row],[Nilai2]]=""),"",IF(AF787&gt;89,"Sangat baik",IF(AF787&gt;79,"Baik",IF(AF787&gt;69,"Cukup",IF(AF787&gt;59,"Kurang","Sangat kurang")))))</f>
        <v/>
      </c>
      <c r="AJ787" t="str">
        <f t="shared" si="38"/>
        <v/>
      </c>
      <c r="AK787" t="str">
        <f>IF(pub_gid_0_single_true_output_csv[[#This Row],[Nilai2]]="","",VLOOKUP(pub_gid_0_single_true_output_csv[[#This Row],[NAMA]],Table7[],3,FALSE))</f>
        <v/>
      </c>
    </row>
    <row r="788" spans="1:37" x14ac:dyDescent="0.2">
      <c r="A788">
        <v>787</v>
      </c>
      <c r="B788" t="s">
        <v>282</v>
      </c>
      <c r="C788" t="s">
        <v>54</v>
      </c>
      <c r="D788" t="s">
        <v>283</v>
      </c>
      <c r="E788" t="s">
        <v>140</v>
      </c>
      <c r="F788" s="25">
        <v>46062</v>
      </c>
      <c r="G788" t="s">
        <v>376</v>
      </c>
      <c r="H788" t="s">
        <v>412</v>
      </c>
      <c r="I788" t="s">
        <v>371</v>
      </c>
      <c r="J788" t="s">
        <v>36</v>
      </c>
      <c r="K788" t="s">
        <v>37</v>
      </c>
      <c r="L788" t="s">
        <v>150</v>
      </c>
      <c r="M788" t="s">
        <v>141</v>
      </c>
      <c r="N788" t="s">
        <v>142</v>
      </c>
      <c r="O788" t="s">
        <v>155</v>
      </c>
      <c r="P788" t="s">
        <v>281</v>
      </c>
      <c r="Q788" t="s">
        <v>155</v>
      </c>
      <c r="R788" t="s">
        <v>302</v>
      </c>
      <c r="S788" t="s">
        <v>369</v>
      </c>
      <c r="T788">
        <v>1</v>
      </c>
      <c r="U788" t="s">
        <v>428</v>
      </c>
      <c r="V788" t="s">
        <v>342</v>
      </c>
      <c r="W788" t="s">
        <v>430</v>
      </c>
      <c r="X788" t="s">
        <v>306</v>
      </c>
      <c r="Y788" t="s">
        <v>307</v>
      </c>
      <c r="Z788">
        <v>65</v>
      </c>
      <c r="AA788">
        <v>0</v>
      </c>
      <c r="AB788" t="s">
        <v>151</v>
      </c>
      <c r="AC788" t="s">
        <v>154</v>
      </c>
      <c r="AD788" t="s">
        <v>50</v>
      </c>
      <c r="AE788" t="str">
        <f>IF(AF788="","",VLOOKUP(AC788,mapel!$A$2:$B$42,2,FALSE))</f>
        <v/>
      </c>
      <c r="AF788" t="str">
        <f t="shared" si="36"/>
        <v/>
      </c>
      <c r="AG788" t="str">
        <f>IF(AF788="","",IF(AF788&gt;90,"Sangat baik",IF(AF788&gt;79,"Baik",IF(AF788&gt;=pub_gid_0_single_true_output_csv[[#This Row],[KKM]],"Cukup","Kurang"))))</f>
        <v/>
      </c>
      <c r="AH788" t="str">
        <f t="shared" si="37"/>
        <v/>
      </c>
      <c r="AI788" s="30" t="str">
        <f>IF(OR(J788&lt;&gt;"Karakter",pub_gid_0_single_true_output_csv[[#This Row],[Nilai2]]=""),"",IF(AF788&gt;89,"Sangat baik",IF(AF788&gt;79,"Baik",IF(AF788&gt;69,"Cukup",IF(AF788&gt;59,"Kurang","Sangat kurang")))))</f>
        <v/>
      </c>
      <c r="AJ788" t="str">
        <f t="shared" si="38"/>
        <v/>
      </c>
      <c r="AK788" t="str">
        <f>IF(pub_gid_0_single_true_output_csv[[#This Row],[Nilai2]]="","",VLOOKUP(pub_gid_0_single_true_output_csv[[#This Row],[NAMA]],Table7[],3,FALSE))</f>
        <v/>
      </c>
    </row>
    <row r="789" spans="1:37" x14ac:dyDescent="0.2">
      <c r="A789">
        <v>788</v>
      </c>
      <c r="B789" t="s">
        <v>282</v>
      </c>
      <c r="C789" t="s">
        <v>54</v>
      </c>
      <c r="D789" t="s">
        <v>283</v>
      </c>
      <c r="E789" t="s">
        <v>140</v>
      </c>
      <c r="F789" s="25">
        <v>46059</v>
      </c>
      <c r="G789" t="s">
        <v>349</v>
      </c>
      <c r="H789" t="s">
        <v>412</v>
      </c>
      <c r="I789" t="s">
        <v>371</v>
      </c>
      <c r="J789" t="s">
        <v>36</v>
      </c>
      <c r="K789" t="s">
        <v>37</v>
      </c>
      <c r="L789" t="s">
        <v>321</v>
      </c>
      <c r="M789" t="s">
        <v>141</v>
      </c>
      <c r="N789" t="s">
        <v>142</v>
      </c>
      <c r="O789" t="s">
        <v>155</v>
      </c>
      <c r="P789" t="s">
        <v>281</v>
      </c>
      <c r="Q789" t="s">
        <v>155</v>
      </c>
      <c r="R789" t="s">
        <v>302</v>
      </c>
      <c r="S789" t="s">
        <v>369</v>
      </c>
      <c r="T789">
        <v>1</v>
      </c>
      <c r="U789" t="s">
        <v>428</v>
      </c>
      <c r="V789" t="s">
        <v>342</v>
      </c>
      <c r="W789" t="s">
        <v>430</v>
      </c>
      <c r="X789" t="s">
        <v>306</v>
      </c>
      <c r="Y789" t="s">
        <v>307</v>
      </c>
      <c r="Z789">
        <v>65</v>
      </c>
      <c r="AA789">
        <v>0</v>
      </c>
      <c r="AB789" t="s">
        <v>151</v>
      </c>
      <c r="AC789" t="s">
        <v>154</v>
      </c>
      <c r="AD789" t="s">
        <v>50</v>
      </c>
      <c r="AE789" t="str">
        <f>IF(AF789="","",VLOOKUP(AC789,mapel!$A$2:$B$42,2,FALSE))</f>
        <v/>
      </c>
      <c r="AF789" t="str">
        <f t="shared" si="36"/>
        <v/>
      </c>
      <c r="AG789" t="str">
        <f>IF(AF789="","",IF(AF789&gt;90,"Sangat baik",IF(AF789&gt;79,"Baik",IF(AF789&gt;=pub_gid_0_single_true_output_csv[[#This Row],[KKM]],"Cukup","Kurang"))))</f>
        <v/>
      </c>
      <c r="AH789" t="str">
        <f t="shared" si="37"/>
        <v/>
      </c>
      <c r="AI789" s="30" t="str">
        <f>IF(OR(J789&lt;&gt;"Karakter",pub_gid_0_single_true_output_csv[[#This Row],[Nilai2]]=""),"",IF(AF789&gt;89,"Sangat baik",IF(AF789&gt;79,"Baik",IF(AF789&gt;69,"Cukup",IF(AF789&gt;59,"Kurang","Sangat kurang")))))</f>
        <v/>
      </c>
      <c r="AJ789" t="str">
        <f t="shared" si="38"/>
        <v/>
      </c>
      <c r="AK789" t="str">
        <f>IF(pub_gid_0_single_true_output_csv[[#This Row],[Nilai2]]="","",VLOOKUP(pub_gid_0_single_true_output_csv[[#This Row],[NAMA]],Table7[],3,FALSE))</f>
        <v/>
      </c>
    </row>
    <row r="790" spans="1:37" x14ac:dyDescent="0.2">
      <c r="A790">
        <v>789</v>
      </c>
      <c r="B790" t="s">
        <v>282</v>
      </c>
      <c r="C790" t="s">
        <v>54</v>
      </c>
      <c r="D790" t="s">
        <v>283</v>
      </c>
      <c r="E790" t="s">
        <v>140</v>
      </c>
      <c r="F790" s="25">
        <v>46064</v>
      </c>
      <c r="G790" t="s">
        <v>352</v>
      </c>
      <c r="H790" t="s">
        <v>412</v>
      </c>
      <c r="I790" t="s">
        <v>371</v>
      </c>
      <c r="J790" t="s">
        <v>36</v>
      </c>
      <c r="K790" t="s">
        <v>37</v>
      </c>
      <c r="L790" t="s">
        <v>150</v>
      </c>
      <c r="M790" t="s">
        <v>141</v>
      </c>
      <c r="N790" t="s">
        <v>142</v>
      </c>
      <c r="O790" t="s">
        <v>155</v>
      </c>
      <c r="P790" t="s">
        <v>281</v>
      </c>
      <c r="Q790" t="s">
        <v>155</v>
      </c>
      <c r="R790" t="s">
        <v>302</v>
      </c>
      <c r="S790" t="s">
        <v>369</v>
      </c>
      <c r="T790">
        <v>1</v>
      </c>
      <c r="U790" t="s">
        <v>428</v>
      </c>
      <c r="V790" t="s">
        <v>342</v>
      </c>
      <c r="W790" t="s">
        <v>430</v>
      </c>
      <c r="X790" t="s">
        <v>306</v>
      </c>
      <c r="Y790" t="s">
        <v>307</v>
      </c>
      <c r="Z790">
        <v>65</v>
      </c>
      <c r="AA790">
        <v>0</v>
      </c>
      <c r="AB790" t="s">
        <v>151</v>
      </c>
      <c r="AC790" t="s">
        <v>154</v>
      </c>
      <c r="AD790" t="s">
        <v>50</v>
      </c>
      <c r="AE790" t="str">
        <f>IF(AF790="","",VLOOKUP(AC790,mapel!$A$2:$B$42,2,FALSE))</f>
        <v/>
      </c>
      <c r="AF790" t="str">
        <f t="shared" si="36"/>
        <v/>
      </c>
      <c r="AG790" t="str">
        <f>IF(AF790="","",IF(AF790&gt;90,"Sangat baik",IF(AF790&gt;79,"Baik",IF(AF790&gt;=pub_gid_0_single_true_output_csv[[#This Row],[KKM]],"Cukup","Kurang"))))</f>
        <v/>
      </c>
      <c r="AH790" t="str">
        <f t="shared" si="37"/>
        <v/>
      </c>
      <c r="AI790" s="30" t="str">
        <f>IF(OR(J790&lt;&gt;"Karakter",pub_gid_0_single_true_output_csv[[#This Row],[Nilai2]]=""),"",IF(AF790&gt;89,"Sangat baik",IF(AF790&gt;79,"Baik",IF(AF790&gt;69,"Cukup",IF(AF790&gt;59,"Kurang","Sangat kurang")))))</f>
        <v/>
      </c>
      <c r="AJ790" t="str">
        <f t="shared" si="38"/>
        <v/>
      </c>
      <c r="AK790" t="str">
        <f>IF(pub_gid_0_single_true_output_csv[[#This Row],[Nilai2]]="","",VLOOKUP(pub_gid_0_single_true_output_csv[[#This Row],[NAMA]],Table7[],3,FALSE))</f>
        <v/>
      </c>
    </row>
    <row r="791" spans="1:37" x14ac:dyDescent="0.2">
      <c r="A791">
        <v>790</v>
      </c>
      <c r="B791" t="s">
        <v>292</v>
      </c>
      <c r="C791" t="s">
        <v>54</v>
      </c>
      <c r="D791" t="s">
        <v>94</v>
      </c>
      <c r="E791" t="s">
        <v>147</v>
      </c>
      <c r="F791" s="25">
        <v>46036</v>
      </c>
      <c r="G791" t="s">
        <v>353</v>
      </c>
      <c r="H791" t="s">
        <v>405</v>
      </c>
      <c r="I791" t="s">
        <v>371</v>
      </c>
      <c r="J791" t="s">
        <v>36</v>
      </c>
      <c r="K791" t="s">
        <v>37</v>
      </c>
      <c r="L791" t="s">
        <v>150</v>
      </c>
      <c r="M791" t="s">
        <v>141</v>
      </c>
      <c r="N791" t="s">
        <v>142</v>
      </c>
      <c r="O791" t="s">
        <v>155</v>
      </c>
      <c r="P791" t="s">
        <v>281</v>
      </c>
      <c r="Q791" t="s">
        <v>155</v>
      </c>
      <c r="R791" t="s">
        <v>302</v>
      </c>
      <c r="S791" t="s">
        <v>427</v>
      </c>
      <c r="T791">
        <v>1</v>
      </c>
      <c r="U791" t="s">
        <v>428</v>
      </c>
      <c r="V791" t="s">
        <v>285</v>
      </c>
      <c r="W791" t="s">
        <v>429</v>
      </c>
      <c r="X791" t="s">
        <v>391</v>
      </c>
      <c r="Y791" t="s">
        <v>335</v>
      </c>
      <c r="Z791">
        <v>65</v>
      </c>
      <c r="AA791">
        <v>0</v>
      </c>
      <c r="AB791" t="s">
        <v>151</v>
      </c>
      <c r="AC791" t="s">
        <v>154</v>
      </c>
      <c r="AD791" t="s">
        <v>50</v>
      </c>
      <c r="AE791" t="str">
        <f>IF(AF791="","",VLOOKUP(AC791,mapel!$A$2:$B$42,2,FALSE))</f>
        <v/>
      </c>
      <c r="AF791" t="str">
        <f t="shared" si="36"/>
        <v/>
      </c>
      <c r="AG791" t="str">
        <f>IF(AF791="","",IF(AF791&gt;90,"Sangat baik",IF(AF791&gt;79,"Baik",IF(AF791&gt;=pub_gid_0_single_true_output_csv[[#This Row],[KKM]],"Cukup","Kurang"))))</f>
        <v/>
      </c>
      <c r="AH791" t="str">
        <f t="shared" si="37"/>
        <v/>
      </c>
      <c r="AI791" s="30" t="str">
        <f>IF(OR(J791&lt;&gt;"Karakter",pub_gid_0_single_true_output_csv[[#This Row],[Nilai2]]=""),"",IF(AF791&gt;89,"Sangat baik",IF(AF791&gt;79,"Baik",IF(AF791&gt;69,"Cukup",IF(AF791&gt;59,"Kurang","Sangat kurang")))))</f>
        <v/>
      </c>
      <c r="AJ791" t="str">
        <f t="shared" si="38"/>
        <v/>
      </c>
      <c r="AK791" t="str">
        <f>IF(pub_gid_0_single_true_output_csv[[#This Row],[Nilai2]]="","",VLOOKUP(pub_gid_0_single_true_output_csv[[#This Row],[NAMA]],Table7[],3,FALSE))</f>
        <v/>
      </c>
    </row>
    <row r="792" spans="1:37" x14ac:dyDescent="0.2">
      <c r="A792">
        <v>791</v>
      </c>
      <c r="B792" t="s">
        <v>292</v>
      </c>
      <c r="C792" t="s">
        <v>54</v>
      </c>
      <c r="D792" t="s">
        <v>94</v>
      </c>
      <c r="E792" t="s">
        <v>147</v>
      </c>
      <c r="F792" s="25">
        <v>46036</v>
      </c>
      <c r="G792" t="s">
        <v>353</v>
      </c>
      <c r="H792" t="s">
        <v>405</v>
      </c>
      <c r="I792" t="s">
        <v>371</v>
      </c>
      <c r="J792" t="s">
        <v>36</v>
      </c>
      <c r="K792" t="s">
        <v>37</v>
      </c>
      <c r="L792" t="s">
        <v>150</v>
      </c>
      <c r="M792" t="s">
        <v>141</v>
      </c>
      <c r="N792" t="s">
        <v>142</v>
      </c>
      <c r="O792" t="s">
        <v>155</v>
      </c>
      <c r="P792" t="s">
        <v>281</v>
      </c>
      <c r="Q792" t="s">
        <v>155</v>
      </c>
      <c r="R792" t="s">
        <v>302</v>
      </c>
      <c r="S792" t="s">
        <v>369</v>
      </c>
      <c r="T792">
        <v>1</v>
      </c>
      <c r="U792" t="s">
        <v>428</v>
      </c>
      <c r="V792" t="s">
        <v>342</v>
      </c>
      <c r="W792" t="s">
        <v>430</v>
      </c>
      <c r="X792" t="s">
        <v>306</v>
      </c>
      <c r="Y792" t="s">
        <v>307</v>
      </c>
      <c r="Z792">
        <v>65</v>
      </c>
      <c r="AA792">
        <v>0</v>
      </c>
      <c r="AB792" t="s">
        <v>151</v>
      </c>
      <c r="AC792" t="s">
        <v>154</v>
      </c>
      <c r="AD792" t="s">
        <v>50</v>
      </c>
      <c r="AE792" t="str">
        <f>IF(AF792="","",VLOOKUP(AC792,mapel!$A$2:$B$42,2,FALSE))</f>
        <v/>
      </c>
      <c r="AF792" t="str">
        <f t="shared" si="36"/>
        <v/>
      </c>
      <c r="AG792" t="str">
        <f>IF(AF792="","",IF(AF792&gt;90,"Sangat baik",IF(AF792&gt;79,"Baik",IF(AF792&gt;=pub_gid_0_single_true_output_csv[[#This Row],[KKM]],"Cukup","Kurang"))))</f>
        <v/>
      </c>
      <c r="AH792" t="str">
        <f t="shared" si="37"/>
        <v/>
      </c>
      <c r="AI792" s="30" t="str">
        <f>IF(OR(J792&lt;&gt;"Karakter",pub_gid_0_single_true_output_csv[[#This Row],[Nilai2]]=""),"",IF(AF792&gt;89,"Sangat baik",IF(AF792&gt;79,"Baik",IF(AF792&gt;69,"Cukup",IF(AF792&gt;59,"Kurang","Sangat kurang")))))</f>
        <v/>
      </c>
      <c r="AJ792" t="str">
        <f t="shared" si="38"/>
        <v/>
      </c>
      <c r="AK792" t="str">
        <f>IF(pub_gid_0_single_true_output_csv[[#This Row],[Nilai2]]="","",VLOOKUP(pub_gid_0_single_true_output_csv[[#This Row],[NAMA]],Table7[],3,FALSE))</f>
        <v/>
      </c>
    </row>
    <row r="793" spans="1:37" x14ac:dyDescent="0.2">
      <c r="A793">
        <v>792</v>
      </c>
      <c r="B793" t="s">
        <v>292</v>
      </c>
      <c r="C793" t="s">
        <v>54</v>
      </c>
      <c r="D793" t="s">
        <v>94</v>
      </c>
      <c r="E793" t="s">
        <v>147</v>
      </c>
      <c r="F793" s="25">
        <v>46041</v>
      </c>
      <c r="G793" t="s">
        <v>370</v>
      </c>
      <c r="H793" t="s">
        <v>405</v>
      </c>
      <c r="I793" t="s">
        <v>371</v>
      </c>
      <c r="J793" t="s">
        <v>36</v>
      </c>
      <c r="K793" t="s">
        <v>37</v>
      </c>
      <c r="L793" t="s">
        <v>150</v>
      </c>
      <c r="M793" t="s">
        <v>141</v>
      </c>
      <c r="N793" t="s">
        <v>142</v>
      </c>
      <c r="O793" t="s">
        <v>155</v>
      </c>
      <c r="P793" t="s">
        <v>281</v>
      </c>
      <c r="Q793" t="s">
        <v>155</v>
      </c>
      <c r="R793" t="s">
        <v>302</v>
      </c>
      <c r="S793" t="s">
        <v>427</v>
      </c>
      <c r="T793">
        <v>1</v>
      </c>
      <c r="U793" t="s">
        <v>428</v>
      </c>
      <c r="V793" t="s">
        <v>285</v>
      </c>
      <c r="W793" t="s">
        <v>429</v>
      </c>
      <c r="X793" t="s">
        <v>391</v>
      </c>
      <c r="Y793" t="s">
        <v>335</v>
      </c>
      <c r="Z793">
        <v>65</v>
      </c>
      <c r="AA793">
        <v>40</v>
      </c>
      <c r="AB793" t="s">
        <v>151</v>
      </c>
      <c r="AC793" t="s">
        <v>154</v>
      </c>
      <c r="AD793" t="s">
        <v>50</v>
      </c>
      <c r="AE793" t="str">
        <f>IF(AF793="","",VLOOKUP(AC793,mapel!$A$2:$B$42,2,FALSE))</f>
        <v>Math</v>
      </c>
      <c r="AF793">
        <f t="shared" si="36"/>
        <v>40</v>
      </c>
      <c r="AG793" t="str">
        <f>IF(AF793="","",IF(AF793&gt;90,"Sangat baik",IF(AF793&gt;79,"Baik",IF(AF793&gt;=pub_gid_0_single_true_output_csv[[#This Row],[KKM]],"Cukup","Kurang"))))</f>
        <v>Kurang</v>
      </c>
      <c r="AH793">
        <f t="shared" si="37"/>
        <v>9</v>
      </c>
      <c r="AI793" s="30" t="str">
        <f>IF(OR(J793&lt;&gt;"Karakter",pub_gid_0_single_true_output_csv[[#This Row],[Nilai2]]=""),"",IF(AF793&gt;89,"Sangat baik",IF(AF793&gt;79,"Baik",IF(AF793&gt;69,"Cukup",IF(AF793&gt;59,"Kurang","Sangat kurang")))))</f>
        <v/>
      </c>
      <c r="AJ793" t="str">
        <f t="shared" si="38"/>
        <v>Wk.4</v>
      </c>
      <c r="AK793" t="str">
        <f>IF(pub_gid_0_single_true_output_csv[[#This Row],[Nilai2]]="","",VLOOKUP(pub_gid_0_single_true_output_csv[[#This Row],[NAMA]],Table7[],3,FALSE))</f>
        <v>Average</v>
      </c>
    </row>
    <row r="794" spans="1:37" x14ac:dyDescent="0.2">
      <c r="A794">
        <v>793</v>
      </c>
      <c r="B794" t="s">
        <v>292</v>
      </c>
      <c r="C794" t="s">
        <v>54</v>
      </c>
      <c r="D794" t="s">
        <v>94</v>
      </c>
      <c r="E794" t="s">
        <v>147</v>
      </c>
      <c r="F794" s="25">
        <v>46041</v>
      </c>
      <c r="G794" t="s">
        <v>370</v>
      </c>
      <c r="H794" t="s">
        <v>405</v>
      </c>
      <c r="I794" t="s">
        <v>371</v>
      </c>
      <c r="J794" t="s">
        <v>90</v>
      </c>
      <c r="K794" t="s">
        <v>377</v>
      </c>
      <c r="L794" t="s">
        <v>399</v>
      </c>
      <c r="M794" t="s">
        <v>141</v>
      </c>
      <c r="N794" t="s">
        <v>142</v>
      </c>
      <c r="O794" t="s">
        <v>155</v>
      </c>
      <c r="P794" t="s">
        <v>281</v>
      </c>
      <c r="Q794" t="s">
        <v>155</v>
      </c>
      <c r="R794" t="s">
        <v>302</v>
      </c>
      <c r="S794" t="s">
        <v>369</v>
      </c>
      <c r="T794">
        <v>1</v>
      </c>
      <c r="U794" t="s">
        <v>428</v>
      </c>
      <c r="V794" t="s">
        <v>342</v>
      </c>
      <c r="W794" t="s">
        <v>430</v>
      </c>
      <c r="X794" t="s">
        <v>306</v>
      </c>
      <c r="Y794" t="s">
        <v>307</v>
      </c>
      <c r="Z794">
        <v>65</v>
      </c>
      <c r="AA794">
        <v>65</v>
      </c>
      <c r="AB794" t="s">
        <v>143</v>
      </c>
      <c r="AC794" t="s">
        <v>154</v>
      </c>
      <c r="AD794" t="s">
        <v>50</v>
      </c>
      <c r="AE794" t="str">
        <f>IF(AF794="","",VLOOKUP(AC794,mapel!$A$2:$B$42,2,FALSE))</f>
        <v>Math</v>
      </c>
      <c r="AF794">
        <f t="shared" si="36"/>
        <v>65</v>
      </c>
      <c r="AG794" t="str">
        <f>IF(AF794="","",IF(AF794&gt;90,"Sangat baik",IF(AF794&gt;79,"Baik",IF(AF794&gt;=pub_gid_0_single_true_output_csv[[#This Row],[KKM]],"Cukup","Kurang"))))</f>
        <v>Cukup</v>
      </c>
      <c r="AH794">
        <f t="shared" si="37"/>
        <v>11</v>
      </c>
      <c r="AI794" s="30" t="str">
        <f>IF(OR(J794&lt;&gt;"Karakter",pub_gid_0_single_true_output_csv[[#This Row],[Nilai2]]=""),"",IF(AF794&gt;89,"Sangat baik",IF(AF794&gt;79,"Baik",IF(AF794&gt;69,"Cukup",IF(AF794&gt;59,"Kurang","Sangat kurang")))))</f>
        <v>Kurang</v>
      </c>
      <c r="AJ794" t="str">
        <f t="shared" si="38"/>
        <v>Wk.4</v>
      </c>
      <c r="AK794" t="str">
        <f>IF(pub_gid_0_single_true_output_csv[[#This Row],[Nilai2]]="","",VLOOKUP(pub_gid_0_single_true_output_csv[[#This Row],[NAMA]],Table7[],3,FALSE))</f>
        <v>Average</v>
      </c>
    </row>
    <row r="795" spans="1:37" x14ac:dyDescent="0.2">
      <c r="A795">
        <v>794</v>
      </c>
      <c r="B795" t="s">
        <v>292</v>
      </c>
      <c r="C795" t="s">
        <v>54</v>
      </c>
      <c r="D795" t="s">
        <v>94</v>
      </c>
      <c r="E795" t="s">
        <v>147</v>
      </c>
      <c r="F795" s="25">
        <v>46043</v>
      </c>
      <c r="G795" t="s">
        <v>341</v>
      </c>
      <c r="H795" t="s">
        <v>405</v>
      </c>
      <c r="I795" t="s">
        <v>371</v>
      </c>
      <c r="J795" t="s">
        <v>36</v>
      </c>
      <c r="K795" t="s">
        <v>37</v>
      </c>
      <c r="L795" t="s">
        <v>150</v>
      </c>
      <c r="M795" t="s">
        <v>141</v>
      </c>
      <c r="N795" t="s">
        <v>142</v>
      </c>
      <c r="O795" t="s">
        <v>155</v>
      </c>
      <c r="P795" t="s">
        <v>281</v>
      </c>
      <c r="Q795" t="s">
        <v>155</v>
      </c>
      <c r="R795" t="s">
        <v>302</v>
      </c>
      <c r="S795" t="s">
        <v>427</v>
      </c>
      <c r="T795">
        <v>1</v>
      </c>
      <c r="U795" t="s">
        <v>428</v>
      </c>
      <c r="V795" t="s">
        <v>285</v>
      </c>
      <c r="W795" t="s">
        <v>429</v>
      </c>
      <c r="X795" t="s">
        <v>391</v>
      </c>
      <c r="Y795" t="s">
        <v>335</v>
      </c>
      <c r="Z795">
        <v>65</v>
      </c>
      <c r="AA795">
        <v>20</v>
      </c>
      <c r="AB795" t="s">
        <v>151</v>
      </c>
      <c r="AC795" t="s">
        <v>154</v>
      </c>
      <c r="AD795" t="s">
        <v>50</v>
      </c>
      <c r="AE795" t="str">
        <f>IF(AF795="","",VLOOKUP(AC795,mapel!$A$2:$B$42,2,FALSE))</f>
        <v>Math</v>
      </c>
      <c r="AF795">
        <f t="shared" si="36"/>
        <v>20</v>
      </c>
      <c r="AG795" t="str">
        <f>IF(AF795="","",IF(AF795&gt;90,"Sangat baik",IF(AF795&gt;79,"Baik",IF(AF795&gt;=pub_gid_0_single_true_output_csv[[#This Row],[KKM]],"Cukup","Kurang"))))</f>
        <v>Kurang</v>
      </c>
      <c r="AH795">
        <f t="shared" si="37"/>
        <v>9</v>
      </c>
      <c r="AI795" s="30" t="str">
        <f>IF(OR(J795&lt;&gt;"Karakter",pub_gid_0_single_true_output_csv[[#This Row],[Nilai2]]=""),"",IF(AF795&gt;89,"Sangat baik",IF(AF795&gt;79,"Baik",IF(AF795&gt;69,"Cukup",IF(AF795&gt;59,"Kurang","Sangat kurang")))))</f>
        <v/>
      </c>
      <c r="AJ795" t="str">
        <f t="shared" si="38"/>
        <v>Wk.4</v>
      </c>
      <c r="AK795" t="str">
        <f>IF(pub_gid_0_single_true_output_csv[[#This Row],[Nilai2]]="","",VLOOKUP(pub_gid_0_single_true_output_csv[[#This Row],[NAMA]],Table7[],3,FALSE))</f>
        <v>Average</v>
      </c>
    </row>
    <row r="796" spans="1:37" x14ac:dyDescent="0.2">
      <c r="A796">
        <v>795</v>
      </c>
      <c r="B796" t="s">
        <v>292</v>
      </c>
      <c r="C796" t="s">
        <v>54</v>
      </c>
      <c r="D796" t="s">
        <v>94</v>
      </c>
      <c r="E796" t="s">
        <v>147</v>
      </c>
      <c r="F796" s="25">
        <v>46043</v>
      </c>
      <c r="G796" t="s">
        <v>341</v>
      </c>
      <c r="H796" t="s">
        <v>405</v>
      </c>
      <c r="I796" t="s">
        <v>371</v>
      </c>
      <c r="J796" t="s">
        <v>90</v>
      </c>
      <c r="K796" t="s">
        <v>377</v>
      </c>
      <c r="L796" t="s">
        <v>399</v>
      </c>
      <c r="M796" t="s">
        <v>141</v>
      </c>
      <c r="N796" t="s">
        <v>142</v>
      </c>
      <c r="O796" t="s">
        <v>155</v>
      </c>
      <c r="P796" t="s">
        <v>281</v>
      </c>
      <c r="Q796" t="s">
        <v>155</v>
      </c>
      <c r="R796" t="s">
        <v>302</v>
      </c>
      <c r="S796" t="s">
        <v>427</v>
      </c>
      <c r="T796">
        <v>1</v>
      </c>
      <c r="U796" t="s">
        <v>428</v>
      </c>
      <c r="V796" t="s">
        <v>285</v>
      </c>
      <c r="W796" t="s">
        <v>429</v>
      </c>
      <c r="X796" t="s">
        <v>391</v>
      </c>
      <c r="Y796" t="s">
        <v>335</v>
      </c>
      <c r="Z796">
        <v>65</v>
      </c>
      <c r="AA796">
        <v>65</v>
      </c>
      <c r="AB796" t="s">
        <v>143</v>
      </c>
      <c r="AC796" t="s">
        <v>154</v>
      </c>
      <c r="AD796" t="s">
        <v>50</v>
      </c>
      <c r="AE796" t="str">
        <f>IF(AF796="","",VLOOKUP(AC796,mapel!$A$2:$B$42,2,FALSE))</f>
        <v>Math</v>
      </c>
      <c r="AF796">
        <f t="shared" si="36"/>
        <v>65</v>
      </c>
      <c r="AG796" t="str">
        <f>IF(AF796="","",IF(AF796&gt;90,"Sangat baik",IF(AF796&gt;79,"Baik",IF(AF796&gt;=pub_gid_0_single_true_output_csv[[#This Row],[KKM]],"Cukup","Kurang"))))</f>
        <v>Cukup</v>
      </c>
      <c r="AH796">
        <f t="shared" si="37"/>
        <v>9</v>
      </c>
      <c r="AI796" s="30" t="str">
        <f>IF(OR(J796&lt;&gt;"Karakter",pub_gid_0_single_true_output_csv[[#This Row],[Nilai2]]=""),"",IF(AF796&gt;89,"Sangat baik",IF(AF796&gt;79,"Baik",IF(AF796&gt;69,"Cukup",IF(AF796&gt;59,"Kurang","Sangat kurang")))))</f>
        <v>Kurang</v>
      </c>
      <c r="AJ796" t="str">
        <f t="shared" si="38"/>
        <v>Wk.4</v>
      </c>
      <c r="AK796" t="str">
        <f>IF(pub_gid_0_single_true_output_csv[[#This Row],[Nilai2]]="","",VLOOKUP(pub_gid_0_single_true_output_csv[[#This Row],[NAMA]],Table7[],3,FALSE))</f>
        <v>Average</v>
      </c>
    </row>
    <row r="797" spans="1:37" x14ac:dyDescent="0.2">
      <c r="A797">
        <v>796</v>
      </c>
      <c r="B797" t="s">
        <v>292</v>
      </c>
      <c r="C797" t="s">
        <v>54</v>
      </c>
      <c r="D797" t="s">
        <v>94</v>
      </c>
      <c r="E797" t="s">
        <v>147</v>
      </c>
      <c r="F797" s="25">
        <v>46041</v>
      </c>
      <c r="G797" t="s">
        <v>370</v>
      </c>
      <c r="H797" t="s">
        <v>405</v>
      </c>
      <c r="I797" t="s">
        <v>371</v>
      </c>
      <c r="J797" t="s">
        <v>36</v>
      </c>
      <c r="K797" t="s">
        <v>37</v>
      </c>
      <c r="L797" t="s">
        <v>321</v>
      </c>
      <c r="M797" t="s">
        <v>141</v>
      </c>
      <c r="N797" t="s">
        <v>142</v>
      </c>
      <c r="O797" t="s">
        <v>155</v>
      </c>
      <c r="P797" t="s">
        <v>281</v>
      </c>
      <c r="Q797" t="s">
        <v>155</v>
      </c>
      <c r="R797" t="s">
        <v>302</v>
      </c>
      <c r="S797" t="s">
        <v>427</v>
      </c>
      <c r="T797">
        <v>1</v>
      </c>
      <c r="U797" t="s">
        <v>428</v>
      </c>
      <c r="V797" t="s">
        <v>285</v>
      </c>
      <c r="W797" t="s">
        <v>429</v>
      </c>
      <c r="X797" t="s">
        <v>391</v>
      </c>
      <c r="Y797" t="s">
        <v>335</v>
      </c>
      <c r="Z797">
        <v>65</v>
      </c>
      <c r="AA797">
        <v>90</v>
      </c>
      <c r="AB797" t="s">
        <v>143</v>
      </c>
      <c r="AC797" t="s">
        <v>154</v>
      </c>
      <c r="AD797" t="s">
        <v>50</v>
      </c>
      <c r="AE797" t="str">
        <f>IF(AF797="","",VLOOKUP(AC797,mapel!$A$2:$B$42,2,FALSE))</f>
        <v>Math</v>
      </c>
      <c r="AF797">
        <f t="shared" si="36"/>
        <v>90</v>
      </c>
      <c r="AG797" t="str">
        <f>IF(AF797="","",IF(AF797&gt;90,"Sangat baik",IF(AF797&gt;79,"Baik",IF(AF797&gt;=pub_gid_0_single_true_output_csv[[#This Row],[KKM]],"Cukup","Kurang"))))</f>
        <v>Baik</v>
      </c>
      <c r="AH797">
        <f t="shared" si="37"/>
        <v>9</v>
      </c>
      <c r="AI797" s="30" t="str">
        <f>IF(OR(J797&lt;&gt;"Karakter",pub_gid_0_single_true_output_csv[[#This Row],[Nilai2]]=""),"",IF(AF797&gt;89,"Sangat baik",IF(AF797&gt;79,"Baik",IF(AF797&gt;69,"Cukup",IF(AF797&gt;59,"Kurang","Sangat kurang")))))</f>
        <v/>
      </c>
      <c r="AJ797" t="str">
        <f t="shared" si="38"/>
        <v>Wk.4</v>
      </c>
      <c r="AK797" t="str">
        <f>IF(pub_gid_0_single_true_output_csv[[#This Row],[Nilai2]]="","",VLOOKUP(pub_gid_0_single_true_output_csv[[#This Row],[NAMA]],Table7[],3,FALSE))</f>
        <v>Average</v>
      </c>
    </row>
    <row r="798" spans="1:37" x14ac:dyDescent="0.2">
      <c r="A798">
        <v>797</v>
      </c>
      <c r="B798" t="s">
        <v>292</v>
      </c>
      <c r="C798" t="s">
        <v>54</v>
      </c>
      <c r="D798" t="s">
        <v>94</v>
      </c>
      <c r="E798" t="s">
        <v>147</v>
      </c>
      <c r="F798" s="25">
        <v>46041</v>
      </c>
      <c r="G798" t="s">
        <v>370</v>
      </c>
      <c r="H798" t="s">
        <v>405</v>
      </c>
      <c r="I798" t="s">
        <v>371</v>
      </c>
      <c r="J798" t="s">
        <v>36</v>
      </c>
      <c r="K798" t="s">
        <v>37</v>
      </c>
      <c r="L798" t="s">
        <v>321</v>
      </c>
      <c r="M798" t="s">
        <v>141</v>
      </c>
      <c r="N798" t="s">
        <v>142</v>
      </c>
      <c r="O798" t="s">
        <v>155</v>
      </c>
      <c r="P798" t="s">
        <v>281</v>
      </c>
      <c r="Q798" t="s">
        <v>155</v>
      </c>
      <c r="R798" t="s">
        <v>302</v>
      </c>
      <c r="S798" t="s">
        <v>369</v>
      </c>
      <c r="T798">
        <v>1</v>
      </c>
      <c r="U798" t="s">
        <v>428</v>
      </c>
      <c r="V798" t="s">
        <v>342</v>
      </c>
      <c r="W798" t="s">
        <v>430</v>
      </c>
      <c r="X798" t="s">
        <v>306</v>
      </c>
      <c r="Y798" t="s">
        <v>307</v>
      </c>
      <c r="Z798">
        <v>65</v>
      </c>
      <c r="AA798">
        <v>40</v>
      </c>
      <c r="AB798" t="s">
        <v>151</v>
      </c>
      <c r="AC798" t="s">
        <v>154</v>
      </c>
      <c r="AD798" t="s">
        <v>50</v>
      </c>
      <c r="AE798" t="str">
        <f>IF(AF798="","",VLOOKUP(AC798,mapel!$A$2:$B$42,2,FALSE))</f>
        <v>Math</v>
      </c>
      <c r="AF798">
        <f t="shared" si="36"/>
        <v>40</v>
      </c>
      <c r="AG798" t="str">
        <f>IF(AF798="","",IF(AF798&gt;90,"Sangat baik",IF(AF798&gt;79,"Baik",IF(AF798&gt;=pub_gid_0_single_true_output_csv[[#This Row],[KKM]],"Cukup","Kurang"))))</f>
        <v>Kurang</v>
      </c>
      <c r="AH798">
        <f t="shared" si="37"/>
        <v>11</v>
      </c>
      <c r="AI798" s="30" t="str">
        <f>IF(OR(J798&lt;&gt;"Karakter",pub_gid_0_single_true_output_csv[[#This Row],[Nilai2]]=""),"",IF(AF798&gt;89,"Sangat baik",IF(AF798&gt;79,"Baik",IF(AF798&gt;69,"Cukup",IF(AF798&gt;59,"Kurang","Sangat kurang")))))</f>
        <v/>
      </c>
      <c r="AJ798" t="str">
        <f t="shared" si="38"/>
        <v>Wk.4</v>
      </c>
      <c r="AK798" t="str">
        <f>IF(pub_gid_0_single_true_output_csv[[#This Row],[Nilai2]]="","",VLOOKUP(pub_gid_0_single_true_output_csv[[#This Row],[NAMA]],Table7[],3,FALSE))</f>
        <v>Average</v>
      </c>
    </row>
    <row r="799" spans="1:37" x14ac:dyDescent="0.2">
      <c r="A799">
        <v>798</v>
      </c>
      <c r="B799" t="s">
        <v>292</v>
      </c>
      <c r="C799" t="s">
        <v>54</v>
      </c>
      <c r="D799" t="s">
        <v>94</v>
      </c>
      <c r="E799" t="s">
        <v>147</v>
      </c>
      <c r="F799" s="25">
        <v>46050</v>
      </c>
      <c r="G799" t="s">
        <v>308</v>
      </c>
      <c r="H799" t="s">
        <v>405</v>
      </c>
      <c r="I799" t="s">
        <v>371</v>
      </c>
      <c r="J799" t="s">
        <v>36</v>
      </c>
      <c r="K799" t="s">
        <v>37</v>
      </c>
      <c r="L799" t="s">
        <v>150</v>
      </c>
      <c r="M799" t="s">
        <v>141</v>
      </c>
      <c r="N799" t="s">
        <v>142</v>
      </c>
      <c r="O799" t="s">
        <v>155</v>
      </c>
      <c r="P799" t="s">
        <v>281</v>
      </c>
      <c r="Q799" t="s">
        <v>155</v>
      </c>
      <c r="R799" t="s">
        <v>302</v>
      </c>
      <c r="S799" t="s">
        <v>427</v>
      </c>
      <c r="T799">
        <v>1</v>
      </c>
      <c r="U799" t="s">
        <v>428</v>
      </c>
      <c r="V799" t="s">
        <v>285</v>
      </c>
      <c r="W799" t="s">
        <v>429</v>
      </c>
      <c r="X799" t="s">
        <v>391</v>
      </c>
      <c r="Y799" t="s">
        <v>335</v>
      </c>
      <c r="Z799">
        <v>65</v>
      </c>
      <c r="AA799">
        <v>40</v>
      </c>
      <c r="AB799" t="s">
        <v>151</v>
      </c>
      <c r="AC799" t="s">
        <v>154</v>
      </c>
      <c r="AD799" t="s">
        <v>50</v>
      </c>
      <c r="AE799" t="str">
        <f>IF(AF799="","",VLOOKUP(AC799,mapel!$A$2:$B$42,2,FALSE))</f>
        <v>Math</v>
      </c>
      <c r="AF799">
        <f t="shared" si="36"/>
        <v>40</v>
      </c>
      <c r="AG799" t="str">
        <f>IF(AF799="","",IF(AF799&gt;90,"Sangat baik",IF(AF799&gt;79,"Baik",IF(AF799&gt;=pub_gid_0_single_true_output_csv[[#This Row],[KKM]],"Cukup","Kurang"))))</f>
        <v>Kurang</v>
      </c>
      <c r="AH799">
        <f t="shared" si="37"/>
        <v>9</v>
      </c>
      <c r="AI799" s="30" t="str">
        <f>IF(OR(J799&lt;&gt;"Karakter",pub_gid_0_single_true_output_csv[[#This Row],[Nilai2]]=""),"",IF(AF799&gt;89,"Sangat baik",IF(AF799&gt;79,"Baik",IF(AF799&gt;69,"Cukup",IF(AF799&gt;59,"Kurang","Sangat kurang")))))</f>
        <v/>
      </c>
      <c r="AJ799" t="str">
        <f t="shared" si="38"/>
        <v>Wk.5</v>
      </c>
      <c r="AK799" t="str">
        <f>IF(pub_gid_0_single_true_output_csv[[#This Row],[Nilai2]]="","",VLOOKUP(pub_gid_0_single_true_output_csv[[#This Row],[NAMA]],Table7[],3,FALSE))</f>
        <v>Average</v>
      </c>
    </row>
    <row r="800" spans="1:37" x14ac:dyDescent="0.2">
      <c r="A800">
        <v>799</v>
      </c>
      <c r="B800" t="s">
        <v>292</v>
      </c>
      <c r="C800" t="s">
        <v>54</v>
      </c>
      <c r="D800" t="s">
        <v>94</v>
      </c>
      <c r="E800" t="s">
        <v>147</v>
      </c>
      <c r="F800" s="25">
        <v>46057</v>
      </c>
      <c r="G800" t="s">
        <v>348</v>
      </c>
      <c r="H800" t="s">
        <v>412</v>
      </c>
      <c r="I800" t="s">
        <v>371</v>
      </c>
      <c r="J800" t="s">
        <v>36</v>
      </c>
      <c r="K800" t="s">
        <v>37</v>
      </c>
      <c r="L800" t="s">
        <v>150</v>
      </c>
      <c r="M800" t="s">
        <v>141</v>
      </c>
      <c r="N800" t="s">
        <v>142</v>
      </c>
      <c r="O800" t="s">
        <v>155</v>
      </c>
      <c r="P800" t="s">
        <v>281</v>
      </c>
      <c r="Q800" t="s">
        <v>155</v>
      </c>
      <c r="R800" t="s">
        <v>302</v>
      </c>
      <c r="S800" t="s">
        <v>369</v>
      </c>
      <c r="T800">
        <v>1</v>
      </c>
      <c r="U800" t="s">
        <v>428</v>
      </c>
      <c r="V800" t="s">
        <v>342</v>
      </c>
      <c r="W800" t="s">
        <v>430</v>
      </c>
      <c r="X800" t="s">
        <v>306</v>
      </c>
      <c r="Y800" t="s">
        <v>307</v>
      </c>
      <c r="Z800">
        <v>65</v>
      </c>
      <c r="AA800">
        <v>90</v>
      </c>
      <c r="AB800" t="s">
        <v>143</v>
      </c>
      <c r="AC800" t="s">
        <v>154</v>
      </c>
      <c r="AD800" t="s">
        <v>50</v>
      </c>
      <c r="AE800" t="str">
        <f>IF(AF800="","",VLOOKUP(AC800,mapel!$A$2:$B$42,2,FALSE))</f>
        <v>Math</v>
      </c>
      <c r="AF800">
        <f t="shared" si="36"/>
        <v>90</v>
      </c>
      <c r="AG800" t="str">
        <f>IF(AF800="","",IF(AF800&gt;90,"Sangat baik",IF(AF800&gt;79,"Baik",IF(AF800&gt;=pub_gid_0_single_true_output_csv[[#This Row],[KKM]],"Cukup","Kurang"))))</f>
        <v>Baik</v>
      </c>
      <c r="AH800">
        <f t="shared" si="37"/>
        <v>11</v>
      </c>
      <c r="AI800" s="30" t="str">
        <f>IF(OR(J800&lt;&gt;"Karakter",pub_gid_0_single_true_output_csv[[#This Row],[Nilai2]]=""),"",IF(AF800&gt;89,"Sangat baik",IF(AF800&gt;79,"Baik",IF(AF800&gt;69,"Cukup",IF(AF800&gt;59,"Kurang","Sangat kurang")))))</f>
        <v/>
      </c>
      <c r="AJ800" t="str">
        <f t="shared" si="38"/>
        <v>Wk.6</v>
      </c>
      <c r="AK800" t="str">
        <f>IF(pub_gid_0_single_true_output_csv[[#This Row],[Nilai2]]="","",VLOOKUP(pub_gid_0_single_true_output_csv[[#This Row],[NAMA]],Table7[],3,FALSE))</f>
        <v>Average</v>
      </c>
    </row>
    <row r="801" spans="1:37" x14ac:dyDescent="0.2">
      <c r="A801">
        <v>800</v>
      </c>
      <c r="B801" t="s">
        <v>292</v>
      </c>
      <c r="C801" t="s">
        <v>54</v>
      </c>
      <c r="D801" t="s">
        <v>94</v>
      </c>
      <c r="E801" t="s">
        <v>147</v>
      </c>
      <c r="F801" s="25">
        <v>46059</v>
      </c>
      <c r="G801" t="s">
        <v>349</v>
      </c>
      <c r="H801" t="s">
        <v>412</v>
      </c>
      <c r="I801" t="s">
        <v>371</v>
      </c>
      <c r="J801" t="s">
        <v>36</v>
      </c>
      <c r="K801" t="s">
        <v>37</v>
      </c>
      <c r="L801" t="s">
        <v>150</v>
      </c>
      <c r="M801" t="s">
        <v>141</v>
      </c>
      <c r="N801" t="s">
        <v>142</v>
      </c>
      <c r="O801" t="s">
        <v>155</v>
      </c>
      <c r="P801" t="s">
        <v>281</v>
      </c>
      <c r="Q801" t="s">
        <v>155</v>
      </c>
      <c r="R801" t="s">
        <v>302</v>
      </c>
      <c r="S801" t="s">
        <v>369</v>
      </c>
      <c r="T801">
        <v>1</v>
      </c>
      <c r="U801" t="s">
        <v>428</v>
      </c>
      <c r="V801" t="s">
        <v>342</v>
      </c>
      <c r="W801" t="s">
        <v>430</v>
      </c>
      <c r="X801" t="s">
        <v>306</v>
      </c>
      <c r="Y801" t="s">
        <v>307</v>
      </c>
      <c r="Z801">
        <v>65</v>
      </c>
      <c r="AA801">
        <v>80</v>
      </c>
      <c r="AB801" t="s">
        <v>143</v>
      </c>
      <c r="AC801" t="s">
        <v>154</v>
      </c>
      <c r="AD801" t="s">
        <v>50</v>
      </c>
      <c r="AE801" t="str">
        <f>IF(AF801="","",VLOOKUP(AC801,mapel!$A$2:$B$42,2,FALSE))</f>
        <v>Math</v>
      </c>
      <c r="AF801">
        <f t="shared" si="36"/>
        <v>80</v>
      </c>
      <c r="AG801" t="str">
        <f>IF(AF801="","",IF(AF801&gt;90,"Sangat baik",IF(AF801&gt;79,"Baik",IF(AF801&gt;=pub_gid_0_single_true_output_csv[[#This Row],[KKM]],"Cukup","Kurang"))))</f>
        <v>Baik</v>
      </c>
      <c r="AH801">
        <f t="shared" si="37"/>
        <v>11</v>
      </c>
      <c r="AI801" s="30" t="str">
        <f>IF(OR(J801&lt;&gt;"Karakter",pub_gid_0_single_true_output_csv[[#This Row],[Nilai2]]=""),"",IF(AF801&gt;89,"Sangat baik",IF(AF801&gt;79,"Baik",IF(AF801&gt;69,"Cukup",IF(AF801&gt;59,"Kurang","Sangat kurang")))))</f>
        <v/>
      </c>
      <c r="AJ801" t="str">
        <f t="shared" si="38"/>
        <v>Wk.6</v>
      </c>
      <c r="AK801" t="str">
        <f>IF(pub_gid_0_single_true_output_csv[[#This Row],[Nilai2]]="","",VLOOKUP(pub_gid_0_single_true_output_csv[[#This Row],[NAMA]],Table7[],3,FALSE))</f>
        <v>Average</v>
      </c>
    </row>
    <row r="802" spans="1:37" x14ac:dyDescent="0.2">
      <c r="A802">
        <v>801</v>
      </c>
      <c r="B802" t="s">
        <v>292</v>
      </c>
      <c r="C802" t="s">
        <v>54</v>
      </c>
      <c r="D802" t="s">
        <v>94</v>
      </c>
      <c r="E802" t="s">
        <v>147</v>
      </c>
      <c r="F802" s="25">
        <v>46062</v>
      </c>
      <c r="G802" t="s">
        <v>376</v>
      </c>
      <c r="H802" t="s">
        <v>412</v>
      </c>
      <c r="I802" t="s">
        <v>371</v>
      </c>
      <c r="J802" t="s">
        <v>36</v>
      </c>
      <c r="K802" t="s">
        <v>37</v>
      </c>
      <c r="L802" t="s">
        <v>150</v>
      </c>
      <c r="M802" t="s">
        <v>141</v>
      </c>
      <c r="N802" t="s">
        <v>142</v>
      </c>
      <c r="O802" t="s">
        <v>155</v>
      </c>
      <c r="P802" t="s">
        <v>281</v>
      </c>
      <c r="Q802" t="s">
        <v>155</v>
      </c>
      <c r="R802" t="s">
        <v>302</v>
      </c>
      <c r="S802" t="s">
        <v>369</v>
      </c>
      <c r="T802">
        <v>1</v>
      </c>
      <c r="U802" t="s">
        <v>428</v>
      </c>
      <c r="V802" t="s">
        <v>342</v>
      </c>
      <c r="W802" t="s">
        <v>430</v>
      </c>
      <c r="X802" t="s">
        <v>306</v>
      </c>
      <c r="Y802" t="s">
        <v>307</v>
      </c>
      <c r="Z802">
        <v>65</v>
      </c>
      <c r="AA802">
        <v>60</v>
      </c>
      <c r="AB802" t="s">
        <v>151</v>
      </c>
      <c r="AC802" t="s">
        <v>154</v>
      </c>
      <c r="AD802" t="s">
        <v>50</v>
      </c>
      <c r="AE802" t="str">
        <f>IF(AF802="","",VLOOKUP(AC802,mapel!$A$2:$B$42,2,FALSE))</f>
        <v>Math</v>
      </c>
      <c r="AF802">
        <f t="shared" si="36"/>
        <v>60</v>
      </c>
      <c r="AG802" t="str">
        <f>IF(AF802="","",IF(AF802&gt;90,"Sangat baik",IF(AF802&gt;79,"Baik",IF(AF802&gt;=pub_gid_0_single_true_output_csv[[#This Row],[KKM]],"Cukup","Kurang"))))</f>
        <v>Kurang</v>
      </c>
      <c r="AH802">
        <f t="shared" si="37"/>
        <v>11</v>
      </c>
      <c r="AI802" s="30" t="str">
        <f>IF(OR(J802&lt;&gt;"Karakter",pub_gid_0_single_true_output_csv[[#This Row],[Nilai2]]=""),"",IF(AF802&gt;89,"Sangat baik",IF(AF802&gt;79,"Baik",IF(AF802&gt;69,"Cukup",IF(AF802&gt;59,"Kurang","Sangat kurang")))))</f>
        <v/>
      </c>
      <c r="AJ802" t="str">
        <f t="shared" si="38"/>
        <v>Wk.7</v>
      </c>
      <c r="AK802" t="str">
        <f>IF(pub_gid_0_single_true_output_csv[[#This Row],[Nilai2]]="","",VLOOKUP(pub_gid_0_single_true_output_csv[[#This Row],[NAMA]],Table7[],3,FALSE))</f>
        <v>Average</v>
      </c>
    </row>
    <row r="803" spans="1:37" x14ac:dyDescent="0.2">
      <c r="A803">
        <v>802</v>
      </c>
      <c r="B803" t="s">
        <v>292</v>
      </c>
      <c r="C803" t="s">
        <v>54</v>
      </c>
      <c r="D803" t="s">
        <v>94</v>
      </c>
      <c r="E803" t="s">
        <v>147</v>
      </c>
      <c r="F803" s="25">
        <v>46059</v>
      </c>
      <c r="G803" t="s">
        <v>349</v>
      </c>
      <c r="H803" t="s">
        <v>412</v>
      </c>
      <c r="I803" t="s">
        <v>371</v>
      </c>
      <c r="J803" t="s">
        <v>36</v>
      </c>
      <c r="K803" t="s">
        <v>37</v>
      </c>
      <c r="L803" t="s">
        <v>321</v>
      </c>
      <c r="M803" t="s">
        <v>141</v>
      </c>
      <c r="N803" t="s">
        <v>142</v>
      </c>
      <c r="O803" t="s">
        <v>155</v>
      </c>
      <c r="P803" t="s">
        <v>281</v>
      </c>
      <c r="Q803" t="s">
        <v>155</v>
      </c>
      <c r="R803" t="s">
        <v>302</v>
      </c>
      <c r="S803" t="s">
        <v>369</v>
      </c>
      <c r="T803">
        <v>1</v>
      </c>
      <c r="U803" t="s">
        <v>428</v>
      </c>
      <c r="V803" t="s">
        <v>342</v>
      </c>
      <c r="W803" t="s">
        <v>430</v>
      </c>
      <c r="X803" t="s">
        <v>306</v>
      </c>
      <c r="Y803" t="s">
        <v>307</v>
      </c>
      <c r="Z803">
        <v>65</v>
      </c>
      <c r="AA803">
        <v>69</v>
      </c>
      <c r="AB803" t="s">
        <v>143</v>
      </c>
      <c r="AC803" t="s">
        <v>154</v>
      </c>
      <c r="AD803" t="s">
        <v>50</v>
      </c>
      <c r="AE803" t="str">
        <f>IF(AF803="","",VLOOKUP(AC803,mapel!$A$2:$B$42,2,FALSE))</f>
        <v>Math</v>
      </c>
      <c r="AF803">
        <f t="shared" si="36"/>
        <v>69</v>
      </c>
      <c r="AG803" t="str">
        <f>IF(AF803="","",IF(AF803&gt;90,"Sangat baik",IF(AF803&gt;79,"Baik",IF(AF803&gt;=pub_gid_0_single_true_output_csv[[#This Row],[KKM]],"Cukup","Kurang"))))</f>
        <v>Cukup</v>
      </c>
      <c r="AH803">
        <f t="shared" si="37"/>
        <v>11</v>
      </c>
      <c r="AI803" s="30" t="str">
        <f>IF(OR(J803&lt;&gt;"Karakter",pub_gid_0_single_true_output_csv[[#This Row],[Nilai2]]=""),"",IF(AF803&gt;89,"Sangat baik",IF(AF803&gt;79,"Baik",IF(AF803&gt;69,"Cukup",IF(AF803&gt;59,"Kurang","Sangat kurang")))))</f>
        <v/>
      </c>
      <c r="AJ803" t="str">
        <f t="shared" si="38"/>
        <v>Wk.6</v>
      </c>
      <c r="AK803" t="str">
        <f>IF(pub_gid_0_single_true_output_csv[[#This Row],[Nilai2]]="","",VLOOKUP(pub_gid_0_single_true_output_csv[[#This Row],[NAMA]],Table7[],3,FALSE))</f>
        <v>Average</v>
      </c>
    </row>
    <row r="804" spans="1:37" x14ac:dyDescent="0.2">
      <c r="A804">
        <v>803</v>
      </c>
      <c r="B804" t="s">
        <v>292</v>
      </c>
      <c r="C804" t="s">
        <v>54</v>
      </c>
      <c r="D804" t="s">
        <v>94</v>
      </c>
      <c r="E804" t="s">
        <v>147</v>
      </c>
      <c r="F804" s="25">
        <v>46064</v>
      </c>
      <c r="G804" t="s">
        <v>352</v>
      </c>
      <c r="H804" t="s">
        <v>412</v>
      </c>
      <c r="I804" t="s">
        <v>371</v>
      </c>
      <c r="J804" t="s">
        <v>36</v>
      </c>
      <c r="K804" t="s">
        <v>37</v>
      </c>
      <c r="L804" t="s">
        <v>150</v>
      </c>
      <c r="M804" t="s">
        <v>141</v>
      </c>
      <c r="N804" t="s">
        <v>142</v>
      </c>
      <c r="O804" t="s">
        <v>155</v>
      </c>
      <c r="P804" t="s">
        <v>281</v>
      </c>
      <c r="Q804" t="s">
        <v>155</v>
      </c>
      <c r="R804" t="s">
        <v>302</v>
      </c>
      <c r="S804" t="s">
        <v>369</v>
      </c>
      <c r="T804">
        <v>1</v>
      </c>
      <c r="U804" t="s">
        <v>428</v>
      </c>
      <c r="V804" t="s">
        <v>342</v>
      </c>
      <c r="W804" t="s">
        <v>430</v>
      </c>
      <c r="X804" t="s">
        <v>306</v>
      </c>
      <c r="Y804" t="s">
        <v>307</v>
      </c>
      <c r="Z804">
        <v>65</v>
      </c>
      <c r="AA804">
        <v>80</v>
      </c>
      <c r="AB804" t="s">
        <v>143</v>
      </c>
      <c r="AC804" t="s">
        <v>154</v>
      </c>
      <c r="AD804" t="s">
        <v>50</v>
      </c>
      <c r="AE804" t="str">
        <f>IF(AF804="","",VLOOKUP(AC804,mapel!$A$2:$B$42,2,FALSE))</f>
        <v>Math</v>
      </c>
      <c r="AF804">
        <f t="shared" si="36"/>
        <v>80</v>
      </c>
      <c r="AG804" t="str">
        <f>IF(AF804="","",IF(AF804&gt;90,"Sangat baik",IF(AF804&gt;79,"Baik",IF(AF804&gt;=pub_gid_0_single_true_output_csv[[#This Row],[KKM]],"Cukup","Kurang"))))</f>
        <v>Baik</v>
      </c>
      <c r="AH804">
        <f t="shared" si="37"/>
        <v>11</v>
      </c>
      <c r="AI804" s="30" t="str">
        <f>IF(OR(J804&lt;&gt;"Karakter",pub_gid_0_single_true_output_csv[[#This Row],[Nilai2]]=""),"",IF(AF804&gt;89,"Sangat baik",IF(AF804&gt;79,"Baik",IF(AF804&gt;69,"Cukup",IF(AF804&gt;59,"Kurang","Sangat kurang")))))</f>
        <v/>
      </c>
      <c r="AJ804" t="str">
        <f t="shared" si="38"/>
        <v>Wk.7</v>
      </c>
      <c r="AK804" t="str">
        <f>IF(pub_gid_0_single_true_output_csv[[#This Row],[Nilai2]]="","",VLOOKUP(pub_gid_0_single_true_output_csv[[#This Row],[NAMA]],Table7[],3,FALSE))</f>
        <v>Average</v>
      </c>
    </row>
    <row r="805" spans="1:37" x14ac:dyDescent="0.2">
      <c r="A805">
        <v>804</v>
      </c>
      <c r="B805" t="s">
        <v>286</v>
      </c>
      <c r="C805" t="s">
        <v>54</v>
      </c>
      <c r="D805" t="s">
        <v>33</v>
      </c>
      <c r="E805" t="s">
        <v>140</v>
      </c>
      <c r="F805" s="25">
        <v>46036</v>
      </c>
      <c r="G805" t="s">
        <v>353</v>
      </c>
      <c r="H805" t="s">
        <v>405</v>
      </c>
      <c r="I805" t="s">
        <v>371</v>
      </c>
      <c r="J805" t="s">
        <v>36</v>
      </c>
      <c r="K805" t="s">
        <v>37</v>
      </c>
      <c r="L805" t="s">
        <v>150</v>
      </c>
      <c r="M805" t="s">
        <v>141</v>
      </c>
      <c r="N805" t="s">
        <v>142</v>
      </c>
      <c r="O805" t="s">
        <v>155</v>
      </c>
      <c r="P805" t="s">
        <v>281</v>
      </c>
      <c r="Q805" t="s">
        <v>155</v>
      </c>
      <c r="R805" t="s">
        <v>302</v>
      </c>
      <c r="S805" t="s">
        <v>427</v>
      </c>
      <c r="T805">
        <v>1</v>
      </c>
      <c r="U805" t="s">
        <v>428</v>
      </c>
      <c r="V805" t="s">
        <v>285</v>
      </c>
      <c r="W805" t="s">
        <v>429</v>
      </c>
      <c r="X805" t="s">
        <v>391</v>
      </c>
      <c r="Y805" t="s">
        <v>335</v>
      </c>
      <c r="Z805">
        <v>65</v>
      </c>
      <c r="AA805">
        <v>20</v>
      </c>
      <c r="AB805" t="s">
        <v>151</v>
      </c>
      <c r="AC805" t="s">
        <v>154</v>
      </c>
      <c r="AD805" t="s">
        <v>50</v>
      </c>
      <c r="AE805" t="str">
        <f>IF(AF805="","",VLOOKUP(AC805,mapel!$A$2:$B$42,2,FALSE))</f>
        <v>Math</v>
      </c>
      <c r="AF805">
        <f t="shared" si="36"/>
        <v>20</v>
      </c>
      <c r="AG805" t="str">
        <f>IF(AF805="","",IF(AF805&gt;90,"Sangat baik",IF(AF805&gt;79,"Baik",IF(AF805&gt;=pub_gid_0_single_true_output_csv[[#This Row],[KKM]],"Cukup","Kurang"))))</f>
        <v>Kurang</v>
      </c>
      <c r="AH805">
        <f t="shared" si="37"/>
        <v>9</v>
      </c>
      <c r="AI805" s="30" t="str">
        <f>IF(OR(J805&lt;&gt;"Karakter",pub_gid_0_single_true_output_csv[[#This Row],[Nilai2]]=""),"",IF(AF805&gt;89,"Sangat baik",IF(AF805&gt;79,"Baik",IF(AF805&gt;69,"Cukup",IF(AF805&gt;59,"Kurang","Sangat kurang")))))</f>
        <v/>
      </c>
      <c r="AJ805" t="str">
        <f t="shared" si="38"/>
        <v>Wk.3</v>
      </c>
      <c r="AK805" t="str">
        <f>IF(pub_gid_0_single_true_output_csv[[#This Row],[Nilai2]]="","",VLOOKUP(pub_gid_0_single_true_output_csv[[#This Row],[NAMA]],Table7[],3,FALSE))</f>
        <v>Extremely low</v>
      </c>
    </row>
    <row r="806" spans="1:37" x14ac:dyDescent="0.2">
      <c r="A806">
        <v>805</v>
      </c>
      <c r="B806" t="s">
        <v>286</v>
      </c>
      <c r="C806" t="s">
        <v>54</v>
      </c>
      <c r="D806" t="s">
        <v>33</v>
      </c>
      <c r="E806" t="s">
        <v>140</v>
      </c>
      <c r="F806" s="25">
        <v>46036</v>
      </c>
      <c r="G806" t="s">
        <v>353</v>
      </c>
      <c r="H806" t="s">
        <v>405</v>
      </c>
      <c r="I806" t="s">
        <v>371</v>
      </c>
      <c r="J806" t="s">
        <v>36</v>
      </c>
      <c r="K806" t="s">
        <v>37</v>
      </c>
      <c r="L806" t="s">
        <v>150</v>
      </c>
      <c r="M806" t="s">
        <v>141</v>
      </c>
      <c r="N806" t="s">
        <v>142</v>
      </c>
      <c r="O806" t="s">
        <v>155</v>
      </c>
      <c r="P806" t="s">
        <v>281</v>
      </c>
      <c r="Q806" t="s">
        <v>155</v>
      </c>
      <c r="R806" t="s">
        <v>302</v>
      </c>
      <c r="S806" t="s">
        <v>369</v>
      </c>
      <c r="T806">
        <v>1</v>
      </c>
      <c r="U806" t="s">
        <v>428</v>
      </c>
      <c r="V806" t="s">
        <v>342</v>
      </c>
      <c r="W806" t="s">
        <v>430</v>
      </c>
      <c r="X806" t="s">
        <v>306</v>
      </c>
      <c r="Y806" t="s">
        <v>307</v>
      </c>
      <c r="Z806">
        <v>65</v>
      </c>
      <c r="AA806">
        <v>100</v>
      </c>
      <c r="AB806" t="s">
        <v>143</v>
      </c>
      <c r="AC806" t="s">
        <v>154</v>
      </c>
      <c r="AD806" t="s">
        <v>50</v>
      </c>
      <c r="AE806" t="str">
        <f>IF(AF806="","",VLOOKUP(AC806,mapel!$A$2:$B$42,2,FALSE))</f>
        <v>Math</v>
      </c>
      <c r="AF806">
        <f t="shared" si="36"/>
        <v>100</v>
      </c>
      <c r="AG806" t="str">
        <f>IF(AF806="","",IF(AF806&gt;90,"Sangat baik",IF(AF806&gt;79,"Baik",IF(AF806&gt;=pub_gid_0_single_true_output_csv[[#This Row],[KKM]],"Cukup","Kurang"))))</f>
        <v>Sangat baik</v>
      </c>
      <c r="AH806">
        <f t="shared" si="37"/>
        <v>11</v>
      </c>
      <c r="AI806" s="30" t="str">
        <f>IF(OR(J806&lt;&gt;"Karakter",pub_gid_0_single_true_output_csv[[#This Row],[Nilai2]]=""),"",IF(AF806&gt;89,"Sangat baik",IF(AF806&gt;79,"Baik",IF(AF806&gt;69,"Cukup",IF(AF806&gt;59,"Kurang","Sangat kurang")))))</f>
        <v/>
      </c>
      <c r="AJ806" t="str">
        <f t="shared" si="38"/>
        <v>Wk.3</v>
      </c>
      <c r="AK806" t="str">
        <f>IF(pub_gid_0_single_true_output_csv[[#This Row],[Nilai2]]="","",VLOOKUP(pub_gid_0_single_true_output_csv[[#This Row],[NAMA]],Table7[],3,FALSE))</f>
        <v>Extremely low</v>
      </c>
    </row>
    <row r="807" spans="1:37" x14ac:dyDescent="0.2">
      <c r="A807">
        <v>806</v>
      </c>
      <c r="B807" t="s">
        <v>286</v>
      </c>
      <c r="C807" t="s">
        <v>54</v>
      </c>
      <c r="D807" t="s">
        <v>33</v>
      </c>
      <c r="E807" t="s">
        <v>140</v>
      </c>
      <c r="F807" s="25">
        <v>46041</v>
      </c>
      <c r="G807" t="s">
        <v>370</v>
      </c>
      <c r="H807" t="s">
        <v>405</v>
      </c>
      <c r="I807" t="s">
        <v>371</v>
      </c>
      <c r="J807" t="s">
        <v>36</v>
      </c>
      <c r="K807" t="s">
        <v>37</v>
      </c>
      <c r="L807" t="s">
        <v>150</v>
      </c>
      <c r="M807" t="s">
        <v>141</v>
      </c>
      <c r="N807" t="s">
        <v>142</v>
      </c>
      <c r="O807" t="s">
        <v>155</v>
      </c>
      <c r="P807" t="s">
        <v>281</v>
      </c>
      <c r="Q807" t="s">
        <v>155</v>
      </c>
      <c r="R807" t="s">
        <v>302</v>
      </c>
      <c r="S807" t="s">
        <v>427</v>
      </c>
      <c r="T807">
        <v>1</v>
      </c>
      <c r="U807" t="s">
        <v>428</v>
      </c>
      <c r="V807" t="s">
        <v>285</v>
      </c>
      <c r="W807" t="s">
        <v>429</v>
      </c>
      <c r="X807" t="s">
        <v>391</v>
      </c>
      <c r="Y807" t="s">
        <v>335</v>
      </c>
      <c r="Z807">
        <v>65</v>
      </c>
      <c r="AA807">
        <v>70</v>
      </c>
      <c r="AB807" t="s">
        <v>143</v>
      </c>
      <c r="AC807" t="s">
        <v>154</v>
      </c>
      <c r="AD807" t="s">
        <v>50</v>
      </c>
      <c r="AE807" t="str">
        <f>IF(AF807="","",VLOOKUP(AC807,mapel!$A$2:$B$42,2,FALSE))</f>
        <v>Math</v>
      </c>
      <c r="AF807">
        <f t="shared" si="36"/>
        <v>70</v>
      </c>
      <c r="AG807" t="str">
        <f>IF(AF807="","",IF(AF807&gt;90,"Sangat baik",IF(AF807&gt;79,"Baik",IF(AF807&gt;=pub_gid_0_single_true_output_csv[[#This Row],[KKM]],"Cukup","Kurang"))))</f>
        <v>Cukup</v>
      </c>
      <c r="AH807">
        <f t="shared" si="37"/>
        <v>9</v>
      </c>
      <c r="AI807" s="30" t="str">
        <f>IF(OR(J807&lt;&gt;"Karakter",pub_gid_0_single_true_output_csv[[#This Row],[Nilai2]]=""),"",IF(AF807&gt;89,"Sangat baik",IF(AF807&gt;79,"Baik",IF(AF807&gt;69,"Cukup",IF(AF807&gt;59,"Kurang","Sangat kurang")))))</f>
        <v/>
      </c>
      <c r="AJ807" t="str">
        <f t="shared" si="38"/>
        <v>Wk.4</v>
      </c>
      <c r="AK807" t="str">
        <f>IF(pub_gid_0_single_true_output_csv[[#This Row],[Nilai2]]="","",VLOOKUP(pub_gid_0_single_true_output_csv[[#This Row],[NAMA]],Table7[],3,FALSE))</f>
        <v>Extremely low</v>
      </c>
    </row>
    <row r="808" spans="1:37" x14ac:dyDescent="0.2">
      <c r="A808">
        <v>807</v>
      </c>
      <c r="B808" t="s">
        <v>286</v>
      </c>
      <c r="C808" t="s">
        <v>54</v>
      </c>
      <c r="D808" t="s">
        <v>33</v>
      </c>
      <c r="E808" t="s">
        <v>140</v>
      </c>
      <c r="F808" s="25">
        <v>46041</v>
      </c>
      <c r="G808" t="s">
        <v>370</v>
      </c>
      <c r="H808" t="s">
        <v>405</v>
      </c>
      <c r="I808" t="s">
        <v>371</v>
      </c>
      <c r="J808" t="s">
        <v>90</v>
      </c>
      <c r="K808" t="s">
        <v>377</v>
      </c>
      <c r="L808" t="s">
        <v>399</v>
      </c>
      <c r="M808" t="s">
        <v>141</v>
      </c>
      <c r="N808" t="s">
        <v>142</v>
      </c>
      <c r="O808" t="s">
        <v>155</v>
      </c>
      <c r="P808" t="s">
        <v>281</v>
      </c>
      <c r="Q808" t="s">
        <v>155</v>
      </c>
      <c r="R808" t="s">
        <v>302</v>
      </c>
      <c r="S808" t="s">
        <v>369</v>
      </c>
      <c r="T808">
        <v>1</v>
      </c>
      <c r="U808" t="s">
        <v>428</v>
      </c>
      <c r="V808" t="s">
        <v>342</v>
      </c>
      <c r="W808" t="s">
        <v>430</v>
      </c>
      <c r="X808" t="s">
        <v>306</v>
      </c>
      <c r="Y808" t="s">
        <v>307</v>
      </c>
      <c r="Z808">
        <v>65</v>
      </c>
      <c r="AA808">
        <v>65</v>
      </c>
      <c r="AB808" t="s">
        <v>143</v>
      </c>
      <c r="AC808" t="s">
        <v>154</v>
      </c>
      <c r="AD808" t="s">
        <v>50</v>
      </c>
      <c r="AE808" t="str">
        <f>IF(AF808="","",VLOOKUP(AC808,mapel!$A$2:$B$42,2,FALSE))</f>
        <v>Math</v>
      </c>
      <c r="AF808">
        <f t="shared" si="36"/>
        <v>65</v>
      </c>
      <c r="AG808" t="str">
        <f>IF(AF808="","",IF(AF808&gt;90,"Sangat baik",IF(AF808&gt;79,"Baik",IF(AF808&gt;=pub_gid_0_single_true_output_csv[[#This Row],[KKM]],"Cukup","Kurang"))))</f>
        <v>Cukup</v>
      </c>
      <c r="AH808">
        <f t="shared" si="37"/>
        <v>11</v>
      </c>
      <c r="AI808" s="30" t="str">
        <f>IF(OR(J808&lt;&gt;"Karakter",pub_gid_0_single_true_output_csv[[#This Row],[Nilai2]]=""),"",IF(AF808&gt;89,"Sangat baik",IF(AF808&gt;79,"Baik",IF(AF808&gt;69,"Cukup",IF(AF808&gt;59,"Kurang","Sangat kurang")))))</f>
        <v>Kurang</v>
      </c>
      <c r="AJ808" t="str">
        <f t="shared" si="38"/>
        <v>Wk.4</v>
      </c>
      <c r="AK808" t="str">
        <f>IF(pub_gid_0_single_true_output_csv[[#This Row],[Nilai2]]="","",VLOOKUP(pub_gid_0_single_true_output_csv[[#This Row],[NAMA]],Table7[],3,FALSE))</f>
        <v>Extremely low</v>
      </c>
    </row>
    <row r="809" spans="1:37" x14ac:dyDescent="0.2">
      <c r="A809">
        <v>808</v>
      </c>
      <c r="B809" t="s">
        <v>286</v>
      </c>
      <c r="C809" t="s">
        <v>54</v>
      </c>
      <c r="D809" t="s">
        <v>33</v>
      </c>
      <c r="E809" t="s">
        <v>140</v>
      </c>
      <c r="F809" s="25">
        <v>46043</v>
      </c>
      <c r="G809" t="s">
        <v>341</v>
      </c>
      <c r="H809" t="s">
        <v>405</v>
      </c>
      <c r="I809" t="s">
        <v>371</v>
      </c>
      <c r="J809" t="s">
        <v>36</v>
      </c>
      <c r="K809" t="s">
        <v>37</v>
      </c>
      <c r="L809" t="s">
        <v>150</v>
      </c>
      <c r="M809" t="s">
        <v>141</v>
      </c>
      <c r="N809" t="s">
        <v>142</v>
      </c>
      <c r="O809" t="s">
        <v>155</v>
      </c>
      <c r="P809" t="s">
        <v>281</v>
      </c>
      <c r="Q809" t="s">
        <v>155</v>
      </c>
      <c r="R809" t="s">
        <v>302</v>
      </c>
      <c r="S809" t="s">
        <v>427</v>
      </c>
      <c r="T809">
        <v>1</v>
      </c>
      <c r="U809" t="s">
        <v>428</v>
      </c>
      <c r="V809" t="s">
        <v>285</v>
      </c>
      <c r="W809" t="s">
        <v>429</v>
      </c>
      <c r="X809" t="s">
        <v>391</v>
      </c>
      <c r="Y809" t="s">
        <v>335</v>
      </c>
      <c r="Z809">
        <v>65</v>
      </c>
      <c r="AA809">
        <v>60</v>
      </c>
      <c r="AB809" t="s">
        <v>151</v>
      </c>
      <c r="AC809" t="s">
        <v>154</v>
      </c>
      <c r="AD809" t="s">
        <v>50</v>
      </c>
      <c r="AE809" t="str">
        <f>IF(AF809="","",VLOOKUP(AC809,mapel!$A$2:$B$42,2,FALSE))</f>
        <v>Math</v>
      </c>
      <c r="AF809">
        <f t="shared" si="36"/>
        <v>60</v>
      </c>
      <c r="AG809" t="str">
        <f>IF(AF809="","",IF(AF809&gt;90,"Sangat baik",IF(AF809&gt;79,"Baik",IF(AF809&gt;=pub_gid_0_single_true_output_csv[[#This Row],[KKM]],"Cukup","Kurang"))))</f>
        <v>Kurang</v>
      </c>
      <c r="AH809">
        <f t="shared" si="37"/>
        <v>9</v>
      </c>
      <c r="AI809" s="30" t="str">
        <f>IF(OR(J809&lt;&gt;"Karakter",pub_gid_0_single_true_output_csv[[#This Row],[Nilai2]]=""),"",IF(AF809&gt;89,"Sangat baik",IF(AF809&gt;79,"Baik",IF(AF809&gt;69,"Cukup",IF(AF809&gt;59,"Kurang","Sangat kurang")))))</f>
        <v/>
      </c>
      <c r="AJ809" t="str">
        <f t="shared" si="38"/>
        <v>Wk.4</v>
      </c>
      <c r="AK809" t="str">
        <f>IF(pub_gid_0_single_true_output_csv[[#This Row],[Nilai2]]="","",VLOOKUP(pub_gid_0_single_true_output_csv[[#This Row],[NAMA]],Table7[],3,FALSE))</f>
        <v>Extremely low</v>
      </c>
    </row>
    <row r="810" spans="1:37" x14ac:dyDescent="0.2">
      <c r="A810">
        <v>809</v>
      </c>
      <c r="B810" t="s">
        <v>286</v>
      </c>
      <c r="C810" t="s">
        <v>54</v>
      </c>
      <c r="D810" t="s">
        <v>33</v>
      </c>
      <c r="E810" t="s">
        <v>140</v>
      </c>
      <c r="F810" s="25">
        <v>46043</v>
      </c>
      <c r="G810" t="s">
        <v>341</v>
      </c>
      <c r="H810" t="s">
        <v>405</v>
      </c>
      <c r="I810" t="s">
        <v>371</v>
      </c>
      <c r="J810" t="s">
        <v>90</v>
      </c>
      <c r="K810" t="s">
        <v>377</v>
      </c>
      <c r="L810" t="s">
        <v>399</v>
      </c>
      <c r="M810" t="s">
        <v>141</v>
      </c>
      <c r="N810" t="s">
        <v>142</v>
      </c>
      <c r="O810" t="s">
        <v>155</v>
      </c>
      <c r="P810" t="s">
        <v>281</v>
      </c>
      <c r="Q810" t="s">
        <v>155</v>
      </c>
      <c r="R810" t="s">
        <v>302</v>
      </c>
      <c r="S810" t="s">
        <v>427</v>
      </c>
      <c r="T810">
        <v>1</v>
      </c>
      <c r="U810" t="s">
        <v>428</v>
      </c>
      <c r="V810" t="s">
        <v>285</v>
      </c>
      <c r="W810" t="s">
        <v>429</v>
      </c>
      <c r="X810" t="s">
        <v>391</v>
      </c>
      <c r="Y810" t="s">
        <v>335</v>
      </c>
      <c r="Z810">
        <v>65</v>
      </c>
      <c r="AA810">
        <v>65</v>
      </c>
      <c r="AB810" t="s">
        <v>143</v>
      </c>
      <c r="AC810" t="s">
        <v>154</v>
      </c>
      <c r="AD810" t="s">
        <v>50</v>
      </c>
      <c r="AE810" t="str">
        <f>IF(AF810="","",VLOOKUP(AC810,mapel!$A$2:$B$42,2,FALSE))</f>
        <v>Math</v>
      </c>
      <c r="AF810">
        <f t="shared" si="36"/>
        <v>65</v>
      </c>
      <c r="AG810" t="str">
        <f>IF(AF810="","",IF(AF810&gt;90,"Sangat baik",IF(AF810&gt;79,"Baik",IF(AF810&gt;=pub_gid_0_single_true_output_csv[[#This Row],[KKM]],"Cukup","Kurang"))))</f>
        <v>Cukup</v>
      </c>
      <c r="AH810">
        <f t="shared" si="37"/>
        <v>9</v>
      </c>
      <c r="AI810" s="30" t="str">
        <f>IF(OR(J810&lt;&gt;"Karakter",pub_gid_0_single_true_output_csv[[#This Row],[Nilai2]]=""),"",IF(AF810&gt;89,"Sangat baik",IF(AF810&gt;79,"Baik",IF(AF810&gt;69,"Cukup",IF(AF810&gt;59,"Kurang","Sangat kurang")))))</f>
        <v>Kurang</v>
      </c>
      <c r="AJ810" t="str">
        <f t="shared" si="38"/>
        <v>Wk.4</v>
      </c>
      <c r="AK810" t="str">
        <f>IF(pub_gid_0_single_true_output_csv[[#This Row],[Nilai2]]="","",VLOOKUP(pub_gid_0_single_true_output_csv[[#This Row],[NAMA]],Table7[],3,FALSE))</f>
        <v>Extremely low</v>
      </c>
    </row>
    <row r="811" spans="1:37" x14ac:dyDescent="0.2">
      <c r="A811">
        <v>810</v>
      </c>
      <c r="B811" t="s">
        <v>286</v>
      </c>
      <c r="C811" t="s">
        <v>54</v>
      </c>
      <c r="D811" t="s">
        <v>33</v>
      </c>
      <c r="E811" t="s">
        <v>140</v>
      </c>
      <c r="F811" s="25">
        <v>46041</v>
      </c>
      <c r="G811" t="s">
        <v>370</v>
      </c>
      <c r="H811" t="s">
        <v>405</v>
      </c>
      <c r="I811" t="s">
        <v>371</v>
      </c>
      <c r="J811" t="s">
        <v>36</v>
      </c>
      <c r="K811" t="s">
        <v>37</v>
      </c>
      <c r="L811" t="s">
        <v>321</v>
      </c>
      <c r="M811" t="s">
        <v>141</v>
      </c>
      <c r="N811" t="s">
        <v>142</v>
      </c>
      <c r="O811" t="s">
        <v>155</v>
      </c>
      <c r="P811" t="s">
        <v>281</v>
      </c>
      <c r="Q811" t="s">
        <v>155</v>
      </c>
      <c r="R811" t="s">
        <v>302</v>
      </c>
      <c r="S811" t="s">
        <v>427</v>
      </c>
      <c r="T811">
        <v>1</v>
      </c>
      <c r="U811" t="s">
        <v>428</v>
      </c>
      <c r="V811" t="s">
        <v>285</v>
      </c>
      <c r="W811" t="s">
        <v>429</v>
      </c>
      <c r="X811" t="s">
        <v>391</v>
      </c>
      <c r="Y811" t="s">
        <v>335</v>
      </c>
      <c r="Z811">
        <v>65</v>
      </c>
      <c r="AA811">
        <v>80</v>
      </c>
      <c r="AB811" t="s">
        <v>143</v>
      </c>
      <c r="AC811" t="s">
        <v>154</v>
      </c>
      <c r="AD811" t="s">
        <v>50</v>
      </c>
      <c r="AE811" t="str">
        <f>IF(AF811="","",VLOOKUP(AC811,mapel!$A$2:$B$42,2,FALSE))</f>
        <v>Math</v>
      </c>
      <c r="AF811">
        <f t="shared" si="36"/>
        <v>80</v>
      </c>
      <c r="AG811" t="str">
        <f>IF(AF811="","",IF(AF811&gt;90,"Sangat baik",IF(AF811&gt;79,"Baik",IF(AF811&gt;=pub_gid_0_single_true_output_csv[[#This Row],[KKM]],"Cukup","Kurang"))))</f>
        <v>Baik</v>
      </c>
      <c r="AH811">
        <f t="shared" si="37"/>
        <v>9</v>
      </c>
      <c r="AI811" s="30" t="str">
        <f>IF(OR(J811&lt;&gt;"Karakter",pub_gid_0_single_true_output_csv[[#This Row],[Nilai2]]=""),"",IF(AF811&gt;89,"Sangat baik",IF(AF811&gt;79,"Baik",IF(AF811&gt;69,"Cukup",IF(AF811&gt;59,"Kurang","Sangat kurang")))))</f>
        <v/>
      </c>
      <c r="AJ811" t="str">
        <f t="shared" si="38"/>
        <v>Wk.4</v>
      </c>
      <c r="AK811" t="str">
        <f>IF(pub_gid_0_single_true_output_csv[[#This Row],[Nilai2]]="","",VLOOKUP(pub_gid_0_single_true_output_csv[[#This Row],[NAMA]],Table7[],3,FALSE))</f>
        <v>Extremely low</v>
      </c>
    </row>
    <row r="812" spans="1:37" x14ac:dyDescent="0.2">
      <c r="A812">
        <v>811</v>
      </c>
      <c r="B812" t="s">
        <v>286</v>
      </c>
      <c r="C812" t="s">
        <v>54</v>
      </c>
      <c r="D812" t="s">
        <v>33</v>
      </c>
      <c r="E812" t="s">
        <v>140</v>
      </c>
      <c r="F812" s="25">
        <v>46041</v>
      </c>
      <c r="G812" t="s">
        <v>370</v>
      </c>
      <c r="H812" t="s">
        <v>405</v>
      </c>
      <c r="I812" t="s">
        <v>371</v>
      </c>
      <c r="J812" t="s">
        <v>36</v>
      </c>
      <c r="K812" t="s">
        <v>37</v>
      </c>
      <c r="L812" t="s">
        <v>321</v>
      </c>
      <c r="M812" t="s">
        <v>141</v>
      </c>
      <c r="N812" t="s">
        <v>142</v>
      </c>
      <c r="O812" t="s">
        <v>155</v>
      </c>
      <c r="P812" t="s">
        <v>281</v>
      </c>
      <c r="Q812" t="s">
        <v>155</v>
      </c>
      <c r="R812" t="s">
        <v>302</v>
      </c>
      <c r="S812" t="s">
        <v>369</v>
      </c>
      <c r="T812">
        <v>1</v>
      </c>
      <c r="U812" t="s">
        <v>428</v>
      </c>
      <c r="V812" t="s">
        <v>342</v>
      </c>
      <c r="W812" t="s">
        <v>430</v>
      </c>
      <c r="X812" t="s">
        <v>306</v>
      </c>
      <c r="Y812" t="s">
        <v>307</v>
      </c>
      <c r="Z812">
        <v>65</v>
      </c>
      <c r="AA812">
        <v>0</v>
      </c>
      <c r="AB812" t="s">
        <v>151</v>
      </c>
      <c r="AC812" t="s">
        <v>154</v>
      </c>
      <c r="AD812" t="s">
        <v>50</v>
      </c>
      <c r="AE812" t="str">
        <f>IF(AF812="","",VLOOKUP(AC812,mapel!$A$2:$B$42,2,FALSE))</f>
        <v/>
      </c>
      <c r="AF812" t="str">
        <f t="shared" si="36"/>
        <v/>
      </c>
      <c r="AG812" t="str">
        <f>IF(AF812="","",IF(AF812&gt;90,"Sangat baik",IF(AF812&gt;79,"Baik",IF(AF812&gt;=pub_gid_0_single_true_output_csv[[#This Row],[KKM]],"Cukup","Kurang"))))</f>
        <v/>
      </c>
      <c r="AH812" t="str">
        <f t="shared" si="37"/>
        <v/>
      </c>
      <c r="AI812" s="30" t="str">
        <f>IF(OR(J812&lt;&gt;"Karakter",pub_gid_0_single_true_output_csv[[#This Row],[Nilai2]]=""),"",IF(AF812&gt;89,"Sangat baik",IF(AF812&gt;79,"Baik",IF(AF812&gt;69,"Cukup",IF(AF812&gt;59,"Kurang","Sangat kurang")))))</f>
        <v/>
      </c>
      <c r="AJ812" t="str">
        <f t="shared" si="38"/>
        <v/>
      </c>
      <c r="AK812" t="str">
        <f>IF(pub_gid_0_single_true_output_csv[[#This Row],[Nilai2]]="","",VLOOKUP(pub_gid_0_single_true_output_csv[[#This Row],[NAMA]],Table7[],3,FALSE))</f>
        <v/>
      </c>
    </row>
    <row r="813" spans="1:37" x14ac:dyDescent="0.2">
      <c r="A813">
        <v>812</v>
      </c>
      <c r="B813" t="s">
        <v>286</v>
      </c>
      <c r="C813" t="s">
        <v>54</v>
      </c>
      <c r="D813" t="s">
        <v>33</v>
      </c>
      <c r="E813" t="s">
        <v>140</v>
      </c>
      <c r="F813" s="25">
        <v>46050</v>
      </c>
      <c r="G813" t="s">
        <v>308</v>
      </c>
      <c r="H813" t="s">
        <v>405</v>
      </c>
      <c r="I813" t="s">
        <v>371</v>
      </c>
      <c r="J813" t="s">
        <v>36</v>
      </c>
      <c r="K813" t="s">
        <v>37</v>
      </c>
      <c r="L813" t="s">
        <v>150</v>
      </c>
      <c r="M813" t="s">
        <v>141</v>
      </c>
      <c r="N813" t="s">
        <v>142</v>
      </c>
      <c r="O813" t="s">
        <v>155</v>
      </c>
      <c r="P813" t="s">
        <v>281</v>
      </c>
      <c r="Q813" t="s">
        <v>155</v>
      </c>
      <c r="R813" t="s">
        <v>302</v>
      </c>
      <c r="S813" t="s">
        <v>427</v>
      </c>
      <c r="T813">
        <v>1</v>
      </c>
      <c r="U813" t="s">
        <v>428</v>
      </c>
      <c r="V813" t="s">
        <v>285</v>
      </c>
      <c r="W813" t="s">
        <v>429</v>
      </c>
      <c r="X813" t="s">
        <v>391</v>
      </c>
      <c r="Y813" t="s">
        <v>335</v>
      </c>
      <c r="Z813">
        <v>65</v>
      </c>
      <c r="AA813">
        <v>100</v>
      </c>
      <c r="AB813" t="s">
        <v>143</v>
      </c>
      <c r="AC813" t="s">
        <v>154</v>
      </c>
      <c r="AD813" t="s">
        <v>50</v>
      </c>
      <c r="AE813" t="str">
        <f>IF(AF813="","",VLOOKUP(AC813,mapel!$A$2:$B$42,2,FALSE))</f>
        <v>Math</v>
      </c>
      <c r="AF813">
        <f t="shared" si="36"/>
        <v>100</v>
      </c>
      <c r="AG813" t="str">
        <f>IF(AF813="","",IF(AF813&gt;90,"Sangat baik",IF(AF813&gt;79,"Baik",IF(AF813&gt;=pub_gid_0_single_true_output_csv[[#This Row],[KKM]],"Cukup","Kurang"))))</f>
        <v>Sangat baik</v>
      </c>
      <c r="AH813">
        <f t="shared" si="37"/>
        <v>9</v>
      </c>
      <c r="AI813" s="30" t="str">
        <f>IF(OR(J813&lt;&gt;"Karakter",pub_gid_0_single_true_output_csv[[#This Row],[Nilai2]]=""),"",IF(AF813&gt;89,"Sangat baik",IF(AF813&gt;79,"Baik",IF(AF813&gt;69,"Cukup",IF(AF813&gt;59,"Kurang","Sangat kurang")))))</f>
        <v/>
      </c>
      <c r="AJ813" t="str">
        <f t="shared" si="38"/>
        <v>Wk.5</v>
      </c>
      <c r="AK813" t="str">
        <f>IF(pub_gid_0_single_true_output_csv[[#This Row],[Nilai2]]="","",VLOOKUP(pub_gid_0_single_true_output_csv[[#This Row],[NAMA]],Table7[],3,FALSE))</f>
        <v>Extremely low</v>
      </c>
    </row>
    <row r="814" spans="1:37" x14ac:dyDescent="0.2">
      <c r="A814">
        <v>813</v>
      </c>
      <c r="B814" t="s">
        <v>286</v>
      </c>
      <c r="C814" t="s">
        <v>54</v>
      </c>
      <c r="D814" t="s">
        <v>33</v>
      </c>
      <c r="E814" t="s">
        <v>140</v>
      </c>
      <c r="F814" s="25">
        <v>46057</v>
      </c>
      <c r="G814" t="s">
        <v>348</v>
      </c>
      <c r="H814" t="s">
        <v>412</v>
      </c>
      <c r="I814" t="s">
        <v>371</v>
      </c>
      <c r="J814" t="s">
        <v>36</v>
      </c>
      <c r="K814" t="s">
        <v>37</v>
      </c>
      <c r="L814" t="s">
        <v>150</v>
      </c>
      <c r="M814" t="s">
        <v>141</v>
      </c>
      <c r="N814" t="s">
        <v>142</v>
      </c>
      <c r="O814" t="s">
        <v>155</v>
      </c>
      <c r="P814" t="s">
        <v>281</v>
      </c>
      <c r="Q814" t="s">
        <v>155</v>
      </c>
      <c r="R814" t="s">
        <v>302</v>
      </c>
      <c r="S814" t="s">
        <v>369</v>
      </c>
      <c r="T814">
        <v>1</v>
      </c>
      <c r="U814" t="s">
        <v>428</v>
      </c>
      <c r="V814" t="s">
        <v>342</v>
      </c>
      <c r="W814" t="s">
        <v>430</v>
      </c>
      <c r="X814" t="s">
        <v>306</v>
      </c>
      <c r="Y814" t="s">
        <v>307</v>
      </c>
      <c r="Z814">
        <v>65</v>
      </c>
      <c r="AA814">
        <v>90</v>
      </c>
      <c r="AB814" t="s">
        <v>143</v>
      </c>
      <c r="AC814" t="s">
        <v>154</v>
      </c>
      <c r="AD814" t="s">
        <v>50</v>
      </c>
      <c r="AE814" t="str">
        <f>IF(AF814="","",VLOOKUP(AC814,mapel!$A$2:$B$42,2,FALSE))</f>
        <v>Math</v>
      </c>
      <c r="AF814">
        <f t="shared" si="36"/>
        <v>90</v>
      </c>
      <c r="AG814" t="str">
        <f>IF(AF814="","",IF(AF814&gt;90,"Sangat baik",IF(AF814&gt;79,"Baik",IF(AF814&gt;=pub_gid_0_single_true_output_csv[[#This Row],[KKM]],"Cukup","Kurang"))))</f>
        <v>Baik</v>
      </c>
      <c r="AH814">
        <f t="shared" si="37"/>
        <v>11</v>
      </c>
      <c r="AI814" s="30" t="str">
        <f>IF(OR(J814&lt;&gt;"Karakter",pub_gid_0_single_true_output_csv[[#This Row],[Nilai2]]=""),"",IF(AF814&gt;89,"Sangat baik",IF(AF814&gt;79,"Baik",IF(AF814&gt;69,"Cukup",IF(AF814&gt;59,"Kurang","Sangat kurang")))))</f>
        <v/>
      </c>
      <c r="AJ814" t="str">
        <f t="shared" si="38"/>
        <v>Wk.6</v>
      </c>
      <c r="AK814" t="str">
        <f>IF(pub_gid_0_single_true_output_csv[[#This Row],[Nilai2]]="","",VLOOKUP(pub_gid_0_single_true_output_csv[[#This Row],[NAMA]],Table7[],3,FALSE))</f>
        <v>Extremely low</v>
      </c>
    </row>
    <row r="815" spans="1:37" x14ac:dyDescent="0.2">
      <c r="A815">
        <v>814</v>
      </c>
      <c r="B815" t="s">
        <v>286</v>
      </c>
      <c r="C815" t="s">
        <v>54</v>
      </c>
      <c r="D815" t="s">
        <v>33</v>
      </c>
      <c r="E815" t="s">
        <v>140</v>
      </c>
      <c r="F815" s="25">
        <v>46059</v>
      </c>
      <c r="G815" t="s">
        <v>349</v>
      </c>
      <c r="H815" t="s">
        <v>412</v>
      </c>
      <c r="I815" t="s">
        <v>371</v>
      </c>
      <c r="J815" t="s">
        <v>36</v>
      </c>
      <c r="K815" t="s">
        <v>37</v>
      </c>
      <c r="L815" t="s">
        <v>150</v>
      </c>
      <c r="M815" t="s">
        <v>141</v>
      </c>
      <c r="N815" t="s">
        <v>142</v>
      </c>
      <c r="O815" t="s">
        <v>155</v>
      </c>
      <c r="P815" t="s">
        <v>281</v>
      </c>
      <c r="Q815" t="s">
        <v>155</v>
      </c>
      <c r="R815" t="s">
        <v>302</v>
      </c>
      <c r="S815" t="s">
        <v>369</v>
      </c>
      <c r="T815">
        <v>1</v>
      </c>
      <c r="U815" t="s">
        <v>428</v>
      </c>
      <c r="V815" t="s">
        <v>342</v>
      </c>
      <c r="W815" t="s">
        <v>430</v>
      </c>
      <c r="X815" t="s">
        <v>306</v>
      </c>
      <c r="Y815" t="s">
        <v>307</v>
      </c>
      <c r="Z815">
        <v>65</v>
      </c>
      <c r="AA815">
        <v>100</v>
      </c>
      <c r="AB815" t="s">
        <v>143</v>
      </c>
      <c r="AC815" t="s">
        <v>154</v>
      </c>
      <c r="AD815" t="s">
        <v>50</v>
      </c>
      <c r="AE815" t="str">
        <f>IF(AF815="","",VLOOKUP(AC815,mapel!$A$2:$B$42,2,FALSE))</f>
        <v>Math</v>
      </c>
      <c r="AF815">
        <f t="shared" si="36"/>
        <v>100</v>
      </c>
      <c r="AG815" t="str">
        <f>IF(AF815="","",IF(AF815&gt;90,"Sangat baik",IF(AF815&gt;79,"Baik",IF(AF815&gt;=pub_gid_0_single_true_output_csv[[#This Row],[KKM]],"Cukup","Kurang"))))</f>
        <v>Sangat baik</v>
      </c>
      <c r="AH815">
        <f t="shared" si="37"/>
        <v>11</v>
      </c>
      <c r="AI815" s="30" t="str">
        <f>IF(OR(J815&lt;&gt;"Karakter",pub_gid_0_single_true_output_csv[[#This Row],[Nilai2]]=""),"",IF(AF815&gt;89,"Sangat baik",IF(AF815&gt;79,"Baik",IF(AF815&gt;69,"Cukup",IF(AF815&gt;59,"Kurang","Sangat kurang")))))</f>
        <v/>
      </c>
      <c r="AJ815" t="str">
        <f t="shared" si="38"/>
        <v>Wk.6</v>
      </c>
      <c r="AK815" t="str">
        <f>IF(pub_gid_0_single_true_output_csv[[#This Row],[Nilai2]]="","",VLOOKUP(pub_gid_0_single_true_output_csv[[#This Row],[NAMA]],Table7[],3,FALSE))</f>
        <v>Extremely low</v>
      </c>
    </row>
    <row r="816" spans="1:37" x14ac:dyDescent="0.2">
      <c r="A816">
        <v>815</v>
      </c>
      <c r="B816" t="s">
        <v>286</v>
      </c>
      <c r="C816" t="s">
        <v>54</v>
      </c>
      <c r="D816" t="s">
        <v>33</v>
      </c>
      <c r="E816" t="s">
        <v>140</v>
      </c>
      <c r="F816" s="25">
        <v>46062</v>
      </c>
      <c r="G816" t="s">
        <v>376</v>
      </c>
      <c r="H816" t="s">
        <v>412</v>
      </c>
      <c r="I816" t="s">
        <v>371</v>
      </c>
      <c r="J816" t="s">
        <v>36</v>
      </c>
      <c r="K816" t="s">
        <v>37</v>
      </c>
      <c r="L816" t="s">
        <v>150</v>
      </c>
      <c r="M816" t="s">
        <v>141</v>
      </c>
      <c r="N816" t="s">
        <v>142</v>
      </c>
      <c r="O816" t="s">
        <v>155</v>
      </c>
      <c r="P816" t="s">
        <v>281</v>
      </c>
      <c r="Q816" t="s">
        <v>155</v>
      </c>
      <c r="R816" t="s">
        <v>302</v>
      </c>
      <c r="S816" t="s">
        <v>369</v>
      </c>
      <c r="T816">
        <v>1</v>
      </c>
      <c r="U816" t="s">
        <v>428</v>
      </c>
      <c r="V816" t="s">
        <v>342</v>
      </c>
      <c r="W816" t="s">
        <v>430</v>
      </c>
      <c r="X816" t="s">
        <v>306</v>
      </c>
      <c r="Y816" t="s">
        <v>307</v>
      </c>
      <c r="Z816">
        <v>65</v>
      </c>
      <c r="AA816">
        <v>60</v>
      </c>
      <c r="AB816" t="s">
        <v>151</v>
      </c>
      <c r="AC816" t="s">
        <v>154</v>
      </c>
      <c r="AD816" t="s">
        <v>50</v>
      </c>
      <c r="AE816" t="str">
        <f>IF(AF816="","",VLOOKUP(AC816,mapel!$A$2:$B$42,2,FALSE))</f>
        <v>Math</v>
      </c>
      <c r="AF816">
        <f t="shared" si="36"/>
        <v>60</v>
      </c>
      <c r="AG816" t="str">
        <f>IF(AF816="","",IF(AF816&gt;90,"Sangat baik",IF(AF816&gt;79,"Baik",IF(AF816&gt;=pub_gid_0_single_true_output_csv[[#This Row],[KKM]],"Cukup","Kurang"))))</f>
        <v>Kurang</v>
      </c>
      <c r="AH816">
        <f t="shared" si="37"/>
        <v>11</v>
      </c>
      <c r="AI816" s="30" t="str">
        <f>IF(OR(J816&lt;&gt;"Karakter",pub_gid_0_single_true_output_csv[[#This Row],[Nilai2]]=""),"",IF(AF816&gt;89,"Sangat baik",IF(AF816&gt;79,"Baik",IF(AF816&gt;69,"Cukup",IF(AF816&gt;59,"Kurang","Sangat kurang")))))</f>
        <v/>
      </c>
      <c r="AJ816" t="str">
        <f t="shared" si="38"/>
        <v>Wk.7</v>
      </c>
      <c r="AK816" t="str">
        <f>IF(pub_gid_0_single_true_output_csv[[#This Row],[Nilai2]]="","",VLOOKUP(pub_gid_0_single_true_output_csv[[#This Row],[NAMA]],Table7[],3,FALSE))</f>
        <v>Extremely low</v>
      </c>
    </row>
    <row r="817" spans="1:37" x14ac:dyDescent="0.2">
      <c r="A817">
        <v>816</v>
      </c>
      <c r="B817" t="s">
        <v>286</v>
      </c>
      <c r="C817" t="s">
        <v>54</v>
      </c>
      <c r="D817" t="s">
        <v>33</v>
      </c>
      <c r="E817" t="s">
        <v>140</v>
      </c>
      <c r="F817" s="25">
        <v>46059</v>
      </c>
      <c r="G817" t="s">
        <v>349</v>
      </c>
      <c r="H817" t="s">
        <v>412</v>
      </c>
      <c r="I817" t="s">
        <v>371</v>
      </c>
      <c r="J817" t="s">
        <v>36</v>
      </c>
      <c r="K817" t="s">
        <v>37</v>
      </c>
      <c r="L817" t="s">
        <v>321</v>
      </c>
      <c r="M817" t="s">
        <v>141</v>
      </c>
      <c r="N817" t="s">
        <v>142</v>
      </c>
      <c r="O817" t="s">
        <v>155</v>
      </c>
      <c r="P817" t="s">
        <v>281</v>
      </c>
      <c r="Q817" t="s">
        <v>155</v>
      </c>
      <c r="R817" t="s">
        <v>302</v>
      </c>
      <c r="S817" t="s">
        <v>369</v>
      </c>
      <c r="T817">
        <v>1</v>
      </c>
      <c r="U817" t="s">
        <v>428</v>
      </c>
      <c r="V817" t="s">
        <v>342</v>
      </c>
      <c r="W817" t="s">
        <v>430</v>
      </c>
      <c r="X817" t="s">
        <v>306</v>
      </c>
      <c r="Y817" t="s">
        <v>307</v>
      </c>
      <c r="Z817">
        <v>65</v>
      </c>
      <c r="AA817">
        <v>74</v>
      </c>
      <c r="AB817" t="s">
        <v>143</v>
      </c>
      <c r="AC817" t="s">
        <v>154</v>
      </c>
      <c r="AD817" t="s">
        <v>50</v>
      </c>
      <c r="AE817" t="str">
        <f>IF(AF817="","",VLOOKUP(AC817,mapel!$A$2:$B$42,2,FALSE))</f>
        <v>Math</v>
      </c>
      <c r="AF817">
        <f t="shared" si="36"/>
        <v>74</v>
      </c>
      <c r="AG817" t="str">
        <f>IF(AF817="","",IF(AF817&gt;90,"Sangat baik",IF(AF817&gt;79,"Baik",IF(AF817&gt;=pub_gid_0_single_true_output_csv[[#This Row],[KKM]],"Cukup","Kurang"))))</f>
        <v>Cukup</v>
      </c>
      <c r="AH817">
        <f t="shared" si="37"/>
        <v>11</v>
      </c>
      <c r="AI817" s="30" t="str">
        <f>IF(OR(J817&lt;&gt;"Karakter",pub_gid_0_single_true_output_csv[[#This Row],[Nilai2]]=""),"",IF(AF817&gt;89,"Sangat baik",IF(AF817&gt;79,"Baik",IF(AF817&gt;69,"Cukup",IF(AF817&gt;59,"Kurang","Sangat kurang")))))</f>
        <v/>
      </c>
      <c r="AJ817" t="str">
        <f t="shared" si="38"/>
        <v>Wk.6</v>
      </c>
      <c r="AK817" t="str">
        <f>IF(pub_gid_0_single_true_output_csv[[#This Row],[Nilai2]]="","",VLOOKUP(pub_gid_0_single_true_output_csv[[#This Row],[NAMA]],Table7[],3,FALSE))</f>
        <v>Extremely low</v>
      </c>
    </row>
    <row r="818" spans="1:37" x14ac:dyDescent="0.2">
      <c r="A818">
        <v>817</v>
      </c>
      <c r="B818" t="s">
        <v>286</v>
      </c>
      <c r="C818" t="s">
        <v>54</v>
      </c>
      <c r="D818" t="s">
        <v>33</v>
      </c>
      <c r="E818" t="s">
        <v>140</v>
      </c>
      <c r="F818" s="25">
        <v>46064</v>
      </c>
      <c r="G818" t="s">
        <v>352</v>
      </c>
      <c r="H818" t="s">
        <v>412</v>
      </c>
      <c r="I818" t="s">
        <v>371</v>
      </c>
      <c r="J818" t="s">
        <v>36</v>
      </c>
      <c r="K818" t="s">
        <v>37</v>
      </c>
      <c r="L818" t="s">
        <v>150</v>
      </c>
      <c r="M818" t="s">
        <v>141</v>
      </c>
      <c r="N818" t="s">
        <v>142</v>
      </c>
      <c r="O818" t="s">
        <v>155</v>
      </c>
      <c r="P818" t="s">
        <v>281</v>
      </c>
      <c r="Q818" t="s">
        <v>155</v>
      </c>
      <c r="R818" t="s">
        <v>302</v>
      </c>
      <c r="S818" t="s">
        <v>369</v>
      </c>
      <c r="T818">
        <v>1</v>
      </c>
      <c r="U818" t="s">
        <v>428</v>
      </c>
      <c r="V818" t="s">
        <v>342</v>
      </c>
      <c r="W818" t="s">
        <v>430</v>
      </c>
      <c r="X818" t="s">
        <v>306</v>
      </c>
      <c r="Y818" t="s">
        <v>307</v>
      </c>
      <c r="Z818">
        <v>65</v>
      </c>
      <c r="AA818">
        <v>60</v>
      </c>
      <c r="AB818" t="s">
        <v>151</v>
      </c>
      <c r="AC818" t="s">
        <v>154</v>
      </c>
      <c r="AD818" t="s">
        <v>50</v>
      </c>
      <c r="AE818" t="str">
        <f>IF(AF818="","",VLOOKUP(AC818,mapel!$A$2:$B$42,2,FALSE))</f>
        <v>Math</v>
      </c>
      <c r="AF818">
        <f t="shared" si="36"/>
        <v>60</v>
      </c>
      <c r="AG818" t="str">
        <f>IF(AF818="","",IF(AF818&gt;90,"Sangat baik",IF(AF818&gt;79,"Baik",IF(AF818&gt;=pub_gid_0_single_true_output_csv[[#This Row],[KKM]],"Cukup","Kurang"))))</f>
        <v>Kurang</v>
      </c>
      <c r="AH818">
        <f t="shared" si="37"/>
        <v>11</v>
      </c>
      <c r="AI818" s="30" t="str">
        <f>IF(OR(J818&lt;&gt;"Karakter",pub_gid_0_single_true_output_csv[[#This Row],[Nilai2]]=""),"",IF(AF818&gt;89,"Sangat baik",IF(AF818&gt;79,"Baik",IF(AF818&gt;69,"Cukup",IF(AF818&gt;59,"Kurang","Sangat kurang")))))</f>
        <v/>
      </c>
      <c r="AJ818" t="str">
        <f t="shared" si="38"/>
        <v>Wk.7</v>
      </c>
      <c r="AK818" t="str">
        <f>IF(pub_gid_0_single_true_output_csv[[#This Row],[Nilai2]]="","",VLOOKUP(pub_gid_0_single_true_output_csv[[#This Row],[NAMA]],Table7[],3,FALSE))</f>
        <v>Extremely low</v>
      </c>
    </row>
    <row r="819" spans="1:37" x14ac:dyDescent="0.2">
      <c r="A819">
        <v>818</v>
      </c>
      <c r="B819" t="s">
        <v>293</v>
      </c>
      <c r="C819" t="s">
        <v>54</v>
      </c>
      <c r="D819" t="s">
        <v>45</v>
      </c>
      <c r="E819" t="s">
        <v>147</v>
      </c>
      <c r="F819" s="25">
        <v>46036</v>
      </c>
      <c r="G819" t="s">
        <v>353</v>
      </c>
      <c r="H819" t="s">
        <v>405</v>
      </c>
      <c r="I819" t="s">
        <v>371</v>
      </c>
      <c r="J819" t="s">
        <v>36</v>
      </c>
      <c r="K819" t="s">
        <v>37</v>
      </c>
      <c r="L819" t="s">
        <v>150</v>
      </c>
      <c r="M819" t="s">
        <v>141</v>
      </c>
      <c r="N819" t="s">
        <v>142</v>
      </c>
      <c r="O819" t="s">
        <v>155</v>
      </c>
      <c r="P819" t="s">
        <v>281</v>
      </c>
      <c r="Q819" t="s">
        <v>155</v>
      </c>
      <c r="R819" t="s">
        <v>302</v>
      </c>
      <c r="S819" t="s">
        <v>427</v>
      </c>
      <c r="T819">
        <v>1</v>
      </c>
      <c r="U819" t="s">
        <v>428</v>
      </c>
      <c r="V819" t="s">
        <v>285</v>
      </c>
      <c r="W819" t="s">
        <v>429</v>
      </c>
      <c r="X819" t="s">
        <v>391</v>
      </c>
      <c r="Y819" t="s">
        <v>335</v>
      </c>
      <c r="Z819">
        <v>65</v>
      </c>
      <c r="AA819">
        <v>60</v>
      </c>
      <c r="AB819" t="s">
        <v>151</v>
      </c>
      <c r="AC819" t="s">
        <v>154</v>
      </c>
      <c r="AD819" t="s">
        <v>50</v>
      </c>
      <c r="AE819" t="str">
        <f>IF(AF819="","",VLOOKUP(AC819,mapel!$A$2:$B$42,2,FALSE))</f>
        <v>Math</v>
      </c>
      <c r="AF819">
        <f t="shared" si="36"/>
        <v>60</v>
      </c>
      <c r="AG819" t="str">
        <f>IF(AF819="","",IF(AF819&gt;90,"Sangat baik",IF(AF819&gt;79,"Baik",IF(AF819&gt;=pub_gid_0_single_true_output_csv[[#This Row],[KKM]],"Cukup","Kurang"))))</f>
        <v>Kurang</v>
      </c>
      <c r="AH819">
        <f t="shared" si="37"/>
        <v>9</v>
      </c>
      <c r="AI819" s="30" t="str">
        <f>IF(OR(J819&lt;&gt;"Karakter",pub_gid_0_single_true_output_csv[[#This Row],[Nilai2]]=""),"",IF(AF819&gt;89,"Sangat baik",IF(AF819&gt;79,"Baik",IF(AF819&gt;69,"Cukup",IF(AF819&gt;59,"Kurang","Sangat kurang")))))</f>
        <v/>
      </c>
      <c r="AJ819" t="str">
        <f t="shared" si="38"/>
        <v>Wk.3</v>
      </c>
      <c r="AK819" t="str">
        <f>IF(pub_gid_0_single_true_output_csv[[#This Row],[Nilai2]]="","",VLOOKUP(pub_gid_0_single_true_output_csv[[#This Row],[NAMA]],Table7[],3,FALSE))</f>
        <v>High average</v>
      </c>
    </row>
    <row r="820" spans="1:37" x14ac:dyDescent="0.2">
      <c r="A820">
        <v>819</v>
      </c>
      <c r="B820" t="s">
        <v>293</v>
      </c>
      <c r="C820" t="s">
        <v>54</v>
      </c>
      <c r="D820" t="s">
        <v>45</v>
      </c>
      <c r="E820" t="s">
        <v>147</v>
      </c>
      <c r="F820" s="25">
        <v>46036</v>
      </c>
      <c r="G820" t="s">
        <v>353</v>
      </c>
      <c r="H820" t="s">
        <v>405</v>
      </c>
      <c r="I820" t="s">
        <v>371</v>
      </c>
      <c r="J820" t="s">
        <v>36</v>
      </c>
      <c r="K820" t="s">
        <v>37</v>
      </c>
      <c r="L820" t="s">
        <v>150</v>
      </c>
      <c r="M820" t="s">
        <v>141</v>
      </c>
      <c r="N820" t="s">
        <v>142</v>
      </c>
      <c r="O820" t="s">
        <v>155</v>
      </c>
      <c r="P820" t="s">
        <v>281</v>
      </c>
      <c r="Q820" t="s">
        <v>155</v>
      </c>
      <c r="R820" t="s">
        <v>302</v>
      </c>
      <c r="S820" t="s">
        <v>369</v>
      </c>
      <c r="T820">
        <v>1</v>
      </c>
      <c r="U820" t="s">
        <v>428</v>
      </c>
      <c r="V820" t="s">
        <v>342</v>
      </c>
      <c r="W820" t="s">
        <v>430</v>
      </c>
      <c r="X820" t="s">
        <v>306</v>
      </c>
      <c r="Y820" t="s">
        <v>307</v>
      </c>
      <c r="Z820">
        <v>65</v>
      </c>
      <c r="AA820">
        <v>100</v>
      </c>
      <c r="AB820" t="s">
        <v>143</v>
      </c>
      <c r="AC820" t="s">
        <v>154</v>
      </c>
      <c r="AD820" t="s">
        <v>50</v>
      </c>
      <c r="AE820" t="str">
        <f>IF(AF820="","",VLOOKUP(AC820,mapel!$A$2:$B$42,2,FALSE))</f>
        <v>Math</v>
      </c>
      <c r="AF820">
        <f t="shared" si="36"/>
        <v>100</v>
      </c>
      <c r="AG820" t="str">
        <f>IF(AF820="","",IF(AF820&gt;90,"Sangat baik",IF(AF820&gt;79,"Baik",IF(AF820&gt;=pub_gid_0_single_true_output_csv[[#This Row],[KKM]],"Cukup","Kurang"))))</f>
        <v>Sangat baik</v>
      </c>
      <c r="AH820">
        <f t="shared" si="37"/>
        <v>11</v>
      </c>
      <c r="AI820" s="30" t="str">
        <f>IF(OR(J820&lt;&gt;"Karakter",pub_gid_0_single_true_output_csv[[#This Row],[Nilai2]]=""),"",IF(AF820&gt;89,"Sangat baik",IF(AF820&gt;79,"Baik",IF(AF820&gt;69,"Cukup",IF(AF820&gt;59,"Kurang","Sangat kurang")))))</f>
        <v/>
      </c>
      <c r="AJ820" t="str">
        <f t="shared" si="38"/>
        <v>Wk.3</v>
      </c>
      <c r="AK820" t="str">
        <f>IF(pub_gid_0_single_true_output_csv[[#This Row],[Nilai2]]="","",VLOOKUP(pub_gid_0_single_true_output_csv[[#This Row],[NAMA]],Table7[],3,FALSE))</f>
        <v>High average</v>
      </c>
    </row>
    <row r="821" spans="1:37" x14ac:dyDescent="0.2">
      <c r="A821">
        <v>820</v>
      </c>
      <c r="B821" t="s">
        <v>293</v>
      </c>
      <c r="C821" t="s">
        <v>54</v>
      </c>
      <c r="D821" t="s">
        <v>45</v>
      </c>
      <c r="E821" t="s">
        <v>147</v>
      </c>
      <c r="F821" s="25">
        <v>46041</v>
      </c>
      <c r="G821" t="s">
        <v>370</v>
      </c>
      <c r="H821" t="s">
        <v>405</v>
      </c>
      <c r="I821" t="s">
        <v>371</v>
      </c>
      <c r="J821" t="s">
        <v>36</v>
      </c>
      <c r="K821" t="s">
        <v>37</v>
      </c>
      <c r="L821" t="s">
        <v>150</v>
      </c>
      <c r="M821" t="s">
        <v>141</v>
      </c>
      <c r="N821" t="s">
        <v>142</v>
      </c>
      <c r="O821" t="s">
        <v>155</v>
      </c>
      <c r="P821" t="s">
        <v>281</v>
      </c>
      <c r="Q821" t="s">
        <v>155</v>
      </c>
      <c r="R821" t="s">
        <v>302</v>
      </c>
      <c r="S821" t="s">
        <v>427</v>
      </c>
      <c r="T821">
        <v>1</v>
      </c>
      <c r="U821" t="s">
        <v>428</v>
      </c>
      <c r="V821" t="s">
        <v>285</v>
      </c>
      <c r="W821" t="s">
        <v>429</v>
      </c>
      <c r="X821" t="s">
        <v>391</v>
      </c>
      <c r="Y821" t="s">
        <v>335</v>
      </c>
      <c r="Z821">
        <v>65</v>
      </c>
      <c r="AA821">
        <v>70</v>
      </c>
      <c r="AB821" t="s">
        <v>143</v>
      </c>
      <c r="AC821" t="s">
        <v>154</v>
      </c>
      <c r="AD821" t="s">
        <v>50</v>
      </c>
      <c r="AE821" t="str">
        <f>IF(AF821="","",VLOOKUP(AC821,mapel!$A$2:$B$42,2,FALSE))</f>
        <v>Math</v>
      </c>
      <c r="AF821">
        <f t="shared" si="36"/>
        <v>70</v>
      </c>
      <c r="AG821" t="str">
        <f>IF(AF821="","",IF(AF821&gt;90,"Sangat baik",IF(AF821&gt;79,"Baik",IF(AF821&gt;=pub_gid_0_single_true_output_csv[[#This Row],[KKM]],"Cukup","Kurang"))))</f>
        <v>Cukup</v>
      </c>
      <c r="AH821">
        <f t="shared" si="37"/>
        <v>9</v>
      </c>
      <c r="AI821" s="30" t="str">
        <f>IF(OR(J821&lt;&gt;"Karakter",pub_gid_0_single_true_output_csv[[#This Row],[Nilai2]]=""),"",IF(AF821&gt;89,"Sangat baik",IF(AF821&gt;79,"Baik",IF(AF821&gt;69,"Cukup",IF(AF821&gt;59,"Kurang","Sangat kurang")))))</f>
        <v/>
      </c>
      <c r="AJ821" t="str">
        <f t="shared" si="38"/>
        <v>Wk.4</v>
      </c>
      <c r="AK821" t="str">
        <f>IF(pub_gid_0_single_true_output_csv[[#This Row],[Nilai2]]="","",VLOOKUP(pub_gid_0_single_true_output_csv[[#This Row],[NAMA]],Table7[],3,FALSE))</f>
        <v>High average</v>
      </c>
    </row>
    <row r="822" spans="1:37" x14ac:dyDescent="0.2">
      <c r="A822">
        <v>821</v>
      </c>
      <c r="B822" t="s">
        <v>293</v>
      </c>
      <c r="C822" t="s">
        <v>54</v>
      </c>
      <c r="D822" t="s">
        <v>45</v>
      </c>
      <c r="E822" t="s">
        <v>147</v>
      </c>
      <c r="F822" s="25">
        <v>46041</v>
      </c>
      <c r="G822" t="s">
        <v>370</v>
      </c>
      <c r="H822" t="s">
        <v>405</v>
      </c>
      <c r="I822" t="s">
        <v>371</v>
      </c>
      <c r="J822" t="s">
        <v>90</v>
      </c>
      <c r="K822" t="s">
        <v>377</v>
      </c>
      <c r="L822" t="s">
        <v>399</v>
      </c>
      <c r="M822" t="s">
        <v>141</v>
      </c>
      <c r="N822" t="s">
        <v>142</v>
      </c>
      <c r="O822" t="s">
        <v>155</v>
      </c>
      <c r="P822" t="s">
        <v>281</v>
      </c>
      <c r="Q822" t="s">
        <v>155</v>
      </c>
      <c r="R822" t="s">
        <v>302</v>
      </c>
      <c r="S822" t="s">
        <v>369</v>
      </c>
      <c r="T822">
        <v>1</v>
      </c>
      <c r="U822" t="s">
        <v>428</v>
      </c>
      <c r="V822" t="s">
        <v>342</v>
      </c>
      <c r="W822" t="s">
        <v>430</v>
      </c>
      <c r="X822" t="s">
        <v>306</v>
      </c>
      <c r="Y822" t="s">
        <v>307</v>
      </c>
      <c r="Z822">
        <v>65</v>
      </c>
      <c r="AA822">
        <v>90</v>
      </c>
      <c r="AB822" t="s">
        <v>143</v>
      </c>
      <c r="AC822" t="s">
        <v>154</v>
      </c>
      <c r="AD822" t="s">
        <v>50</v>
      </c>
      <c r="AE822" t="str">
        <f>IF(AF822="","",VLOOKUP(AC822,mapel!$A$2:$B$42,2,FALSE))</f>
        <v>Math</v>
      </c>
      <c r="AF822">
        <f t="shared" si="36"/>
        <v>90</v>
      </c>
      <c r="AG822" t="str">
        <f>IF(AF822="","",IF(AF822&gt;90,"Sangat baik",IF(AF822&gt;79,"Baik",IF(AF822&gt;=pub_gid_0_single_true_output_csv[[#This Row],[KKM]],"Cukup","Kurang"))))</f>
        <v>Baik</v>
      </c>
      <c r="AH822">
        <f t="shared" si="37"/>
        <v>11</v>
      </c>
      <c r="AI822" s="30" t="str">
        <f>IF(OR(J822&lt;&gt;"Karakter",pub_gid_0_single_true_output_csv[[#This Row],[Nilai2]]=""),"",IF(AF822&gt;89,"Sangat baik",IF(AF822&gt;79,"Baik",IF(AF822&gt;69,"Cukup",IF(AF822&gt;59,"Kurang","Sangat kurang")))))</f>
        <v>Sangat baik</v>
      </c>
      <c r="AJ822" t="str">
        <f t="shared" si="38"/>
        <v>Wk.4</v>
      </c>
      <c r="AK822" t="str">
        <f>IF(pub_gid_0_single_true_output_csv[[#This Row],[Nilai2]]="","",VLOOKUP(pub_gid_0_single_true_output_csv[[#This Row],[NAMA]],Table7[],3,FALSE))</f>
        <v>High average</v>
      </c>
    </row>
    <row r="823" spans="1:37" x14ac:dyDescent="0.2">
      <c r="A823">
        <v>822</v>
      </c>
      <c r="B823" t="s">
        <v>293</v>
      </c>
      <c r="C823" t="s">
        <v>54</v>
      </c>
      <c r="D823" t="s">
        <v>45</v>
      </c>
      <c r="E823" t="s">
        <v>147</v>
      </c>
      <c r="F823" s="25">
        <v>46043</v>
      </c>
      <c r="G823" t="s">
        <v>341</v>
      </c>
      <c r="H823" t="s">
        <v>405</v>
      </c>
      <c r="I823" t="s">
        <v>371</v>
      </c>
      <c r="J823" t="s">
        <v>36</v>
      </c>
      <c r="K823" t="s">
        <v>37</v>
      </c>
      <c r="L823" t="s">
        <v>150</v>
      </c>
      <c r="M823" t="s">
        <v>141</v>
      </c>
      <c r="N823" t="s">
        <v>142</v>
      </c>
      <c r="O823" t="s">
        <v>155</v>
      </c>
      <c r="P823" t="s">
        <v>281</v>
      </c>
      <c r="Q823" t="s">
        <v>155</v>
      </c>
      <c r="R823" t="s">
        <v>302</v>
      </c>
      <c r="S823" t="s">
        <v>427</v>
      </c>
      <c r="T823">
        <v>1</v>
      </c>
      <c r="U823" t="s">
        <v>428</v>
      </c>
      <c r="V823" t="s">
        <v>285</v>
      </c>
      <c r="W823" t="s">
        <v>429</v>
      </c>
      <c r="X823" t="s">
        <v>391</v>
      </c>
      <c r="Y823" t="s">
        <v>335</v>
      </c>
      <c r="Z823">
        <v>65</v>
      </c>
      <c r="AA823">
        <v>40</v>
      </c>
      <c r="AB823" t="s">
        <v>151</v>
      </c>
      <c r="AC823" t="s">
        <v>154</v>
      </c>
      <c r="AD823" t="s">
        <v>50</v>
      </c>
      <c r="AE823" t="str">
        <f>IF(AF823="","",VLOOKUP(AC823,mapel!$A$2:$B$42,2,FALSE))</f>
        <v>Math</v>
      </c>
      <c r="AF823">
        <f t="shared" si="36"/>
        <v>40</v>
      </c>
      <c r="AG823" t="str">
        <f>IF(AF823="","",IF(AF823&gt;90,"Sangat baik",IF(AF823&gt;79,"Baik",IF(AF823&gt;=pub_gid_0_single_true_output_csv[[#This Row],[KKM]],"Cukup","Kurang"))))</f>
        <v>Kurang</v>
      </c>
      <c r="AH823">
        <f t="shared" si="37"/>
        <v>9</v>
      </c>
      <c r="AI823" s="30" t="str">
        <f>IF(OR(J823&lt;&gt;"Karakter",pub_gid_0_single_true_output_csv[[#This Row],[Nilai2]]=""),"",IF(AF823&gt;89,"Sangat baik",IF(AF823&gt;79,"Baik",IF(AF823&gt;69,"Cukup",IF(AF823&gt;59,"Kurang","Sangat kurang")))))</f>
        <v/>
      </c>
      <c r="AJ823" t="str">
        <f t="shared" si="38"/>
        <v>Wk.4</v>
      </c>
      <c r="AK823" t="str">
        <f>IF(pub_gid_0_single_true_output_csv[[#This Row],[Nilai2]]="","",VLOOKUP(pub_gid_0_single_true_output_csv[[#This Row],[NAMA]],Table7[],3,FALSE))</f>
        <v>High average</v>
      </c>
    </row>
    <row r="824" spans="1:37" x14ac:dyDescent="0.2">
      <c r="A824">
        <v>823</v>
      </c>
      <c r="B824" t="s">
        <v>293</v>
      </c>
      <c r="C824" t="s">
        <v>54</v>
      </c>
      <c r="D824" t="s">
        <v>45</v>
      </c>
      <c r="E824" t="s">
        <v>147</v>
      </c>
      <c r="F824" s="25">
        <v>46043</v>
      </c>
      <c r="G824" t="s">
        <v>341</v>
      </c>
      <c r="H824" t="s">
        <v>405</v>
      </c>
      <c r="I824" t="s">
        <v>371</v>
      </c>
      <c r="J824" t="s">
        <v>90</v>
      </c>
      <c r="K824" t="s">
        <v>377</v>
      </c>
      <c r="L824" t="s">
        <v>399</v>
      </c>
      <c r="M824" t="s">
        <v>141</v>
      </c>
      <c r="N824" t="s">
        <v>142</v>
      </c>
      <c r="O824" t="s">
        <v>155</v>
      </c>
      <c r="P824" t="s">
        <v>281</v>
      </c>
      <c r="Q824" t="s">
        <v>155</v>
      </c>
      <c r="R824" t="s">
        <v>302</v>
      </c>
      <c r="S824" t="s">
        <v>427</v>
      </c>
      <c r="T824">
        <v>1</v>
      </c>
      <c r="U824" t="s">
        <v>428</v>
      </c>
      <c r="V824" t="s">
        <v>285</v>
      </c>
      <c r="W824" t="s">
        <v>429</v>
      </c>
      <c r="X824" t="s">
        <v>391</v>
      </c>
      <c r="Y824" t="s">
        <v>335</v>
      </c>
      <c r="Z824">
        <v>65</v>
      </c>
      <c r="AA824">
        <v>90</v>
      </c>
      <c r="AB824" t="s">
        <v>143</v>
      </c>
      <c r="AC824" t="s">
        <v>154</v>
      </c>
      <c r="AD824" t="s">
        <v>50</v>
      </c>
      <c r="AE824" t="str">
        <f>IF(AF824="","",VLOOKUP(AC824,mapel!$A$2:$B$42,2,FALSE))</f>
        <v>Math</v>
      </c>
      <c r="AF824">
        <f t="shared" si="36"/>
        <v>90</v>
      </c>
      <c r="AG824" t="str">
        <f>IF(AF824="","",IF(AF824&gt;90,"Sangat baik",IF(AF824&gt;79,"Baik",IF(AF824&gt;=pub_gid_0_single_true_output_csv[[#This Row],[KKM]],"Cukup","Kurang"))))</f>
        <v>Baik</v>
      </c>
      <c r="AH824">
        <f t="shared" si="37"/>
        <v>9</v>
      </c>
      <c r="AI824" s="30" t="str">
        <f>IF(OR(J824&lt;&gt;"Karakter",pub_gid_0_single_true_output_csv[[#This Row],[Nilai2]]=""),"",IF(AF824&gt;89,"Sangat baik",IF(AF824&gt;79,"Baik",IF(AF824&gt;69,"Cukup",IF(AF824&gt;59,"Kurang","Sangat kurang")))))</f>
        <v>Sangat baik</v>
      </c>
      <c r="AJ824" t="str">
        <f t="shared" si="38"/>
        <v>Wk.4</v>
      </c>
      <c r="AK824" t="str">
        <f>IF(pub_gid_0_single_true_output_csv[[#This Row],[Nilai2]]="","",VLOOKUP(pub_gid_0_single_true_output_csv[[#This Row],[NAMA]],Table7[],3,FALSE))</f>
        <v>High average</v>
      </c>
    </row>
    <row r="825" spans="1:37" x14ac:dyDescent="0.2">
      <c r="A825">
        <v>824</v>
      </c>
      <c r="B825" t="s">
        <v>293</v>
      </c>
      <c r="C825" t="s">
        <v>54</v>
      </c>
      <c r="D825" t="s">
        <v>45</v>
      </c>
      <c r="E825" t="s">
        <v>147</v>
      </c>
      <c r="F825" s="25">
        <v>46041</v>
      </c>
      <c r="G825" t="s">
        <v>370</v>
      </c>
      <c r="H825" t="s">
        <v>405</v>
      </c>
      <c r="I825" t="s">
        <v>371</v>
      </c>
      <c r="J825" t="s">
        <v>36</v>
      </c>
      <c r="K825" t="s">
        <v>37</v>
      </c>
      <c r="L825" t="s">
        <v>321</v>
      </c>
      <c r="M825" t="s">
        <v>141</v>
      </c>
      <c r="N825" t="s">
        <v>142</v>
      </c>
      <c r="O825" t="s">
        <v>155</v>
      </c>
      <c r="P825" t="s">
        <v>281</v>
      </c>
      <c r="Q825" t="s">
        <v>155</v>
      </c>
      <c r="R825" t="s">
        <v>302</v>
      </c>
      <c r="S825" t="s">
        <v>427</v>
      </c>
      <c r="T825">
        <v>1</v>
      </c>
      <c r="U825" t="s">
        <v>428</v>
      </c>
      <c r="V825" t="s">
        <v>285</v>
      </c>
      <c r="W825" t="s">
        <v>429</v>
      </c>
      <c r="X825" t="s">
        <v>391</v>
      </c>
      <c r="Y825" t="s">
        <v>335</v>
      </c>
      <c r="Z825">
        <v>65</v>
      </c>
      <c r="AA825">
        <v>85</v>
      </c>
      <c r="AB825" t="s">
        <v>143</v>
      </c>
      <c r="AC825" t="s">
        <v>154</v>
      </c>
      <c r="AD825" t="s">
        <v>50</v>
      </c>
      <c r="AE825" t="str">
        <f>IF(AF825="","",VLOOKUP(AC825,mapel!$A$2:$B$42,2,FALSE))</f>
        <v>Math</v>
      </c>
      <c r="AF825">
        <f t="shared" si="36"/>
        <v>85</v>
      </c>
      <c r="AG825" t="str">
        <f>IF(AF825="","",IF(AF825&gt;90,"Sangat baik",IF(AF825&gt;79,"Baik",IF(AF825&gt;=pub_gid_0_single_true_output_csv[[#This Row],[KKM]],"Cukup","Kurang"))))</f>
        <v>Baik</v>
      </c>
      <c r="AH825">
        <f t="shared" si="37"/>
        <v>9</v>
      </c>
      <c r="AI825" s="30" t="str">
        <f>IF(OR(J825&lt;&gt;"Karakter",pub_gid_0_single_true_output_csv[[#This Row],[Nilai2]]=""),"",IF(AF825&gt;89,"Sangat baik",IF(AF825&gt;79,"Baik",IF(AF825&gt;69,"Cukup",IF(AF825&gt;59,"Kurang","Sangat kurang")))))</f>
        <v/>
      </c>
      <c r="AJ825" t="str">
        <f t="shared" si="38"/>
        <v>Wk.4</v>
      </c>
      <c r="AK825" t="str">
        <f>IF(pub_gid_0_single_true_output_csv[[#This Row],[Nilai2]]="","",VLOOKUP(pub_gid_0_single_true_output_csv[[#This Row],[NAMA]],Table7[],3,FALSE))</f>
        <v>High average</v>
      </c>
    </row>
    <row r="826" spans="1:37" x14ac:dyDescent="0.2">
      <c r="A826">
        <v>825</v>
      </c>
      <c r="B826" t="s">
        <v>293</v>
      </c>
      <c r="C826" t="s">
        <v>54</v>
      </c>
      <c r="D826" t="s">
        <v>45</v>
      </c>
      <c r="E826" t="s">
        <v>147</v>
      </c>
      <c r="F826" s="25">
        <v>46041</v>
      </c>
      <c r="G826" t="s">
        <v>370</v>
      </c>
      <c r="H826" t="s">
        <v>405</v>
      </c>
      <c r="I826" t="s">
        <v>371</v>
      </c>
      <c r="J826" t="s">
        <v>36</v>
      </c>
      <c r="K826" t="s">
        <v>37</v>
      </c>
      <c r="L826" t="s">
        <v>321</v>
      </c>
      <c r="M826" t="s">
        <v>141</v>
      </c>
      <c r="N826" t="s">
        <v>142</v>
      </c>
      <c r="O826" t="s">
        <v>155</v>
      </c>
      <c r="P826" t="s">
        <v>281</v>
      </c>
      <c r="Q826" t="s">
        <v>155</v>
      </c>
      <c r="R826" t="s">
        <v>302</v>
      </c>
      <c r="S826" t="s">
        <v>369</v>
      </c>
      <c r="T826">
        <v>1</v>
      </c>
      <c r="U826" t="s">
        <v>428</v>
      </c>
      <c r="V826" t="s">
        <v>342</v>
      </c>
      <c r="W826" t="s">
        <v>430</v>
      </c>
      <c r="X826" t="s">
        <v>306</v>
      </c>
      <c r="Y826" t="s">
        <v>307</v>
      </c>
      <c r="Z826">
        <v>65</v>
      </c>
      <c r="AA826">
        <v>30</v>
      </c>
      <c r="AB826" t="s">
        <v>151</v>
      </c>
      <c r="AC826" t="s">
        <v>154</v>
      </c>
      <c r="AD826" t="s">
        <v>50</v>
      </c>
      <c r="AE826" t="str">
        <f>IF(AF826="","",VLOOKUP(AC826,mapel!$A$2:$B$42,2,FALSE))</f>
        <v>Math</v>
      </c>
      <c r="AF826">
        <f t="shared" si="36"/>
        <v>30</v>
      </c>
      <c r="AG826" t="str">
        <f>IF(AF826="","",IF(AF826&gt;90,"Sangat baik",IF(AF826&gt;79,"Baik",IF(AF826&gt;=pub_gid_0_single_true_output_csv[[#This Row],[KKM]],"Cukup","Kurang"))))</f>
        <v>Kurang</v>
      </c>
      <c r="AH826">
        <f t="shared" si="37"/>
        <v>11</v>
      </c>
      <c r="AI826" s="30" t="str">
        <f>IF(OR(J826&lt;&gt;"Karakter",pub_gid_0_single_true_output_csv[[#This Row],[Nilai2]]=""),"",IF(AF826&gt;89,"Sangat baik",IF(AF826&gt;79,"Baik",IF(AF826&gt;69,"Cukup",IF(AF826&gt;59,"Kurang","Sangat kurang")))))</f>
        <v/>
      </c>
      <c r="AJ826" t="str">
        <f t="shared" si="38"/>
        <v>Wk.4</v>
      </c>
      <c r="AK826" t="str">
        <f>IF(pub_gid_0_single_true_output_csv[[#This Row],[Nilai2]]="","",VLOOKUP(pub_gid_0_single_true_output_csv[[#This Row],[NAMA]],Table7[],3,FALSE))</f>
        <v>High average</v>
      </c>
    </row>
    <row r="827" spans="1:37" x14ac:dyDescent="0.2">
      <c r="A827">
        <v>826</v>
      </c>
      <c r="B827" t="s">
        <v>293</v>
      </c>
      <c r="C827" t="s">
        <v>54</v>
      </c>
      <c r="D827" t="s">
        <v>45</v>
      </c>
      <c r="E827" t="s">
        <v>147</v>
      </c>
      <c r="F827" s="25">
        <v>46050</v>
      </c>
      <c r="G827" t="s">
        <v>308</v>
      </c>
      <c r="H827" t="s">
        <v>405</v>
      </c>
      <c r="I827" t="s">
        <v>371</v>
      </c>
      <c r="J827" t="s">
        <v>36</v>
      </c>
      <c r="K827" t="s">
        <v>37</v>
      </c>
      <c r="L827" t="s">
        <v>150</v>
      </c>
      <c r="M827" t="s">
        <v>141</v>
      </c>
      <c r="N827" t="s">
        <v>142</v>
      </c>
      <c r="O827" t="s">
        <v>155</v>
      </c>
      <c r="P827" t="s">
        <v>281</v>
      </c>
      <c r="Q827" t="s">
        <v>155</v>
      </c>
      <c r="R827" t="s">
        <v>302</v>
      </c>
      <c r="S827" t="s">
        <v>427</v>
      </c>
      <c r="T827">
        <v>1</v>
      </c>
      <c r="U827" t="s">
        <v>428</v>
      </c>
      <c r="V827" t="s">
        <v>285</v>
      </c>
      <c r="W827" t="s">
        <v>429</v>
      </c>
      <c r="X827" t="s">
        <v>391</v>
      </c>
      <c r="Y827" t="s">
        <v>335</v>
      </c>
      <c r="Z827">
        <v>65</v>
      </c>
      <c r="AA827">
        <v>40</v>
      </c>
      <c r="AB827" t="s">
        <v>151</v>
      </c>
      <c r="AC827" t="s">
        <v>154</v>
      </c>
      <c r="AD827" t="s">
        <v>50</v>
      </c>
      <c r="AE827" t="str">
        <f>IF(AF827="","",VLOOKUP(AC827,mapel!$A$2:$B$42,2,FALSE))</f>
        <v>Math</v>
      </c>
      <c r="AF827">
        <f t="shared" si="36"/>
        <v>40</v>
      </c>
      <c r="AG827" t="str">
        <f>IF(AF827="","",IF(AF827&gt;90,"Sangat baik",IF(AF827&gt;79,"Baik",IF(AF827&gt;=pub_gid_0_single_true_output_csv[[#This Row],[KKM]],"Cukup","Kurang"))))</f>
        <v>Kurang</v>
      </c>
      <c r="AH827">
        <f t="shared" si="37"/>
        <v>9</v>
      </c>
      <c r="AI827" s="30" t="str">
        <f>IF(OR(J827&lt;&gt;"Karakter",pub_gid_0_single_true_output_csv[[#This Row],[Nilai2]]=""),"",IF(AF827&gt;89,"Sangat baik",IF(AF827&gt;79,"Baik",IF(AF827&gt;69,"Cukup",IF(AF827&gt;59,"Kurang","Sangat kurang")))))</f>
        <v/>
      </c>
      <c r="AJ827" t="str">
        <f t="shared" si="38"/>
        <v>Wk.5</v>
      </c>
      <c r="AK827" t="str">
        <f>IF(pub_gid_0_single_true_output_csv[[#This Row],[Nilai2]]="","",VLOOKUP(pub_gid_0_single_true_output_csv[[#This Row],[NAMA]],Table7[],3,FALSE))</f>
        <v>High average</v>
      </c>
    </row>
    <row r="828" spans="1:37" x14ac:dyDescent="0.2">
      <c r="A828">
        <v>827</v>
      </c>
      <c r="B828" t="s">
        <v>293</v>
      </c>
      <c r="C828" t="s">
        <v>54</v>
      </c>
      <c r="D828" t="s">
        <v>45</v>
      </c>
      <c r="E828" t="s">
        <v>147</v>
      </c>
      <c r="F828" s="25">
        <v>46057</v>
      </c>
      <c r="G828" t="s">
        <v>348</v>
      </c>
      <c r="H828" t="s">
        <v>412</v>
      </c>
      <c r="I828" t="s">
        <v>371</v>
      </c>
      <c r="J828" t="s">
        <v>36</v>
      </c>
      <c r="K828" t="s">
        <v>37</v>
      </c>
      <c r="L828" t="s">
        <v>150</v>
      </c>
      <c r="M828" t="s">
        <v>141</v>
      </c>
      <c r="N828" t="s">
        <v>142</v>
      </c>
      <c r="O828" t="s">
        <v>155</v>
      </c>
      <c r="P828" t="s">
        <v>281</v>
      </c>
      <c r="Q828" t="s">
        <v>155</v>
      </c>
      <c r="R828" t="s">
        <v>302</v>
      </c>
      <c r="S828" t="s">
        <v>369</v>
      </c>
      <c r="T828">
        <v>1</v>
      </c>
      <c r="U828" t="s">
        <v>428</v>
      </c>
      <c r="V828" t="s">
        <v>342</v>
      </c>
      <c r="W828" t="s">
        <v>430</v>
      </c>
      <c r="X828" t="s">
        <v>306</v>
      </c>
      <c r="Y828" t="s">
        <v>307</v>
      </c>
      <c r="Z828">
        <v>65</v>
      </c>
      <c r="AA828">
        <v>97</v>
      </c>
      <c r="AB828" t="s">
        <v>143</v>
      </c>
      <c r="AC828" t="s">
        <v>154</v>
      </c>
      <c r="AD828" t="s">
        <v>50</v>
      </c>
      <c r="AE828" t="str">
        <f>IF(AF828="","",VLOOKUP(AC828,mapel!$A$2:$B$42,2,FALSE))</f>
        <v>Math</v>
      </c>
      <c r="AF828">
        <f t="shared" si="36"/>
        <v>97</v>
      </c>
      <c r="AG828" t="str">
        <f>IF(AF828="","",IF(AF828&gt;90,"Sangat baik",IF(AF828&gt;79,"Baik",IF(AF828&gt;=pub_gid_0_single_true_output_csv[[#This Row],[KKM]],"Cukup","Kurang"))))</f>
        <v>Sangat baik</v>
      </c>
      <c r="AH828">
        <f t="shared" si="37"/>
        <v>11</v>
      </c>
      <c r="AI828" s="30" t="str">
        <f>IF(OR(J828&lt;&gt;"Karakter",pub_gid_0_single_true_output_csv[[#This Row],[Nilai2]]=""),"",IF(AF828&gt;89,"Sangat baik",IF(AF828&gt;79,"Baik",IF(AF828&gt;69,"Cukup",IF(AF828&gt;59,"Kurang","Sangat kurang")))))</f>
        <v/>
      </c>
      <c r="AJ828" t="str">
        <f t="shared" si="38"/>
        <v>Wk.6</v>
      </c>
      <c r="AK828" t="str">
        <f>IF(pub_gid_0_single_true_output_csv[[#This Row],[Nilai2]]="","",VLOOKUP(pub_gid_0_single_true_output_csv[[#This Row],[NAMA]],Table7[],3,FALSE))</f>
        <v>High average</v>
      </c>
    </row>
    <row r="829" spans="1:37" x14ac:dyDescent="0.2">
      <c r="A829">
        <v>828</v>
      </c>
      <c r="B829" t="s">
        <v>293</v>
      </c>
      <c r="C829" t="s">
        <v>54</v>
      </c>
      <c r="D829" t="s">
        <v>45</v>
      </c>
      <c r="E829" t="s">
        <v>147</v>
      </c>
      <c r="F829" s="25">
        <v>46059</v>
      </c>
      <c r="G829" t="s">
        <v>349</v>
      </c>
      <c r="H829" t="s">
        <v>412</v>
      </c>
      <c r="I829" t="s">
        <v>371</v>
      </c>
      <c r="J829" t="s">
        <v>36</v>
      </c>
      <c r="K829" t="s">
        <v>37</v>
      </c>
      <c r="L829" t="s">
        <v>150</v>
      </c>
      <c r="M829" t="s">
        <v>141</v>
      </c>
      <c r="N829" t="s">
        <v>142</v>
      </c>
      <c r="O829" t="s">
        <v>155</v>
      </c>
      <c r="P829" t="s">
        <v>281</v>
      </c>
      <c r="Q829" t="s">
        <v>155</v>
      </c>
      <c r="R829" t="s">
        <v>302</v>
      </c>
      <c r="S829" t="s">
        <v>369</v>
      </c>
      <c r="T829">
        <v>1</v>
      </c>
      <c r="U829" t="s">
        <v>428</v>
      </c>
      <c r="V829" t="s">
        <v>342</v>
      </c>
      <c r="W829" t="s">
        <v>430</v>
      </c>
      <c r="X829" t="s">
        <v>306</v>
      </c>
      <c r="Y829" t="s">
        <v>307</v>
      </c>
      <c r="Z829">
        <v>65</v>
      </c>
      <c r="AA829">
        <v>100</v>
      </c>
      <c r="AB829" t="s">
        <v>143</v>
      </c>
      <c r="AC829" t="s">
        <v>154</v>
      </c>
      <c r="AD829" t="s">
        <v>50</v>
      </c>
      <c r="AE829" t="str">
        <f>IF(AF829="","",VLOOKUP(AC829,mapel!$A$2:$B$42,2,FALSE))</f>
        <v>Math</v>
      </c>
      <c r="AF829">
        <f t="shared" si="36"/>
        <v>100</v>
      </c>
      <c r="AG829" t="str">
        <f>IF(AF829="","",IF(AF829&gt;90,"Sangat baik",IF(AF829&gt;79,"Baik",IF(AF829&gt;=pub_gid_0_single_true_output_csv[[#This Row],[KKM]],"Cukup","Kurang"))))</f>
        <v>Sangat baik</v>
      </c>
      <c r="AH829">
        <f t="shared" si="37"/>
        <v>11</v>
      </c>
      <c r="AI829" s="30" t="str">
        <f>IF(OR(J829&lt;&gt;"Karakter",pub_gid_0_single_true_output_csv[[#This Row],[Nilai2]]=""),"",IF(AF829&gt;89,"Sangat baik",IF(AF829&gt;79,"Baik",IF(AF829&gt;69,"Cukup",IF(AF829&gt;59,"Kurang","Sangat kurang")))))</f>
        <v/>
      </c>
      <c r="AJ829" t="str">
        <f t="shared" si="38"/>
        <v>Wk.6</v>
      </c>
      <c r="AK829" t="str">
        <f>IF(pub_gid_0_single_true_output_csv[[#This Row],[Nilai2]]="","",VLOOKUP(pub_gid_0_single_true_output_csv[[#This Row],[NAMA]],Table7[],3,FALSE))</f>
        <v>High average</v>
      </c>
    </row>
    <row r="830" spans="1:37" x14ac:dyDescent="0.2">
      <c r="A830">
        <v>829</v>
      </c>
      <c r="B830" t="s">
        <v>293</v>
      </c>
      <c r="C830" t="s">
        <v>54</v>
      </c>
      <c r="D830" t="s">
        <v>45</v>
      </c>
      <c r="E830" t="s">
        <v>147</v>
      </c>
      <c r="F830" s="25">
        <v>46062</v>
      </c>
      <c r="G830" t="s">
        <v>376</v>
      </c>
      <c r="H830" t="s">
        <v>412</v>
      </c>
      <c r="I830" t="s">
        <v>371</v>
      </c>
      <c r="J830" t="s">
        <v>36</v>
      </c>
      <c r="K830" t="s">
        <v>37</v>
      </c>
      <c r="L830" t="s">
        <v>150</v>
      </c>
      <c r="M830" t="s">
        <v>141</v>
      </c>
      <c r="N830" t="s">
        <v>142</v>
      </c>
      <c r="O830" t="s">
        <v>155</v>
      </c>
      <c r="P830" t="s">
        <v>281</v>
      </c>
      <c r="Q830" t="s">
        <v>155</v>
      </c>
      <c r="R830" t="s">
        <v>302</v>
      </c>
      <c r="S830" t="s">
        <v>369</v>
      </c>
      <c r="T830">
        <v>1</v>
      </c>
      <c r="U830" t="s">
        <v>428</v>
      </c>
      <c r="V830" t="s">
        <v>342</v>
      </c>
      <c r="W830" t="s">
        <v>430</v>
      </c>
      <c r="X830" t="s">
        <v>306</v>
      </c>
      <c r="Y830" t="s">
        <v>307</v>
      </c>
      <c r="Z830">
        <v>65</v>
      </c>
      <c r="AA830">
        <v>50</v>
      </c>
      <c r="AB830" t="s">
        <v>151</v>
      </c>
      <c r="AC830" t="s">
        <v>154</v>
      </c>
      <c r="AD830" t="s">
        <v>50</v>
      </c>
      <c r="AE830" t="str">
        <f>IF(AF830="","",VLOOKUP(AC830,mapel!$A$2:$B$42,2,FALSE))</f>
        <v>Math</v>
      </c>
      <c r="AF830">
        <f t="shared" si="36"/>
        <v>50</v>
      </c>
      <c r="AG830" t="str">
        <f>IF(AF830="","",IF(AF830&gt;90,"Sangat baik",IF(AF830&gt;79,"Baik",IF(AF830&gt;=pub_gid_0_single_true_output_csv[[#This Row],[KKM]],"Cukup","Kurang"))))</f>
        <v>Kurang</v>
      </c>
      <c r="AH830">
        <f t="shared" si="37"/>
        <v>11</v>
      </c>
      <c r="AI830" s="30" t="str">
        <f>IF(OR(J830&lt;&gt;"Karakter",pub_gid_0_single_true_output_csv[[#This Row],[Nilai2]]=""),"",IF(AF830&gt;89,"Sangat baik",IF(AF830&gt;79,"Baik",IF(AF830&gt;69,"Cukup",IF(AF830&gt;59,"Kurang","Sangat kurang")))))</f>
        <v/>
      </c>
      <c r="AJ830" t="str">
        <f t="shared" si="38"/>
        <v>Wk.7</v>
      </c>
      <c r="AK830" t="str">
        <f>IF(pub_gid_0_single_true_output_csv[[#This Row],[Nilai2]]="","",VLOOKUP(pub_gid_0_single_true_output_csv[[#This Row],[NAMA]],Table7[],3,FALSE))</f>
        <v>High average</v>
      </c>
    </row>
    <row r="831" spans="1:37" x14ac:dyDescent="0.2">
      <c r="A831">
        <v>830</v>
      </c>
      <c r="B831" t="s">
        <v>293</v>
      </c>
      <c r="C831" t="s">
        <v>54</v>
      </c>
      <c r="D831" t="s">
        <v>45</v>
      </c>
      <c r="E831" t="s">
        <v>147</v>
      </c>
      <c r="F831" s="25">
        <v>46059</v>
      </c>
      <c r="G831" t="s">
        <v>349</v>
      </c>
      <c r="H831" t="s">
        <v>412</v>
      </c>
      <c r="I831" t="s">
        <v>371</v>
      </c>
      <c r="J831" t="s">
        <v>36</v>
      </c>
      <c r="K831" t="s">
        <v>37</v>
      </c>
      <c r="L831" t="s">
        <v>321</v>
      </c>
      <c r="M831" t="s">
        <v>141</v>
      </c>
      <c r="N831" t="s">
        <v>142</v>
      </c>
      <c r="O831" t="s">
        <v>155</v>
      </c>
      <c r="P831" t="s">
        <v>281</v>
      </c>
      <c r="Q831" t="s">
        <v>155</v>
      </c>
      <c r="R831" t="s">
        <v>302</v>
      </c>
      <c r="S831" t="s">
        <v>369</v>
      </c>
      <c r="T831">
        <v>1</v>
      </c>
      <c r="U831" t="s">
        <v>428</v>
      </c>
      <c r="V831" t="s">
        <v>342</v>
      </c>
      <c r="W831" t="s">
        <v>430</v>
      </c>
      <c r="X831" t="s">
        <v>306</v>
      </c>
      <c r="Y831" t="s">
        <v>307</v>
      </c>
      <c r="Z831">
        <v>65</v>
      </c>
      <c r="AA831">
        <v>86</v>
      </c>
      <c r="AB831" t="s">
        <v>143</v>
      </c>
      <c r="AC831" t="s">
        <v>154</v>
      </c>
      <c r="AD831" t="s">
        <v>50</v>
      </c>
      <c r="AE831" t="str">
        <f>IF(AF831="","",VLOOKUP(AC831,mapel!$A$2:$B$42,2,FALSE))</f>
        <v>Math</v>
      </c>
      <c r="AF831">
        <f t="shared" si="36"/>
        <v>86</v>
      </c>
      <c r="AG831" t="str">
        <f>IF(AF831="","",IF(AF831&gt;90,"Sangat baik",IF(AF831&gt;79,"Baik",IF(AF831&gt;=pub_gid_0_single_true_output_csv[[#This Row],[KKM]],"Cukup","Kurang"))))</f>
        <v>Baik</v>
      </c>
      <c r="AH831">
        <f t="shared" si="37"/>
        <v>11</v>
      </c>
      <c r="AI831" s="30" t="str">
        <f>IF(OR(J831&lt;&gt;"Karakter",pub_gid_0_single_true_output_csv[[#This Row],[Nilai2]]=""),"",IF(AF831&gt;89,"Sangat baik",IF(AF831&gt;79,"Baik",IF(AF831&gt;69,"Cukup",IF(AF831&gt;59,"Kurang","Sangat kurang")))))</f>
        <v/>
      </c>
      <c r="AJ831" t="str">
        <f t="shared" si="38"/>
        <v>Wk.6</v>
      </c>
      <c r="AK831" t="str">
        <f>IF(pub_gid_0_single_true_output_csv[[#This Row],[Nilai2]]="","",VLOOKUP(pub_gid_0_single_true_output_csv[[#This Row],[NAMA]],Table7[],3,FALSE))</f>
        <v>High average</v>
      </c>
    </row>
    <row r="832" spans="1:37" x14ac:dyDescent="0.2">
      <c r="A832">
        <v>831</v>
      </c>
      <c r="B832" t="s">
        <v>293</v>
      </c>
      <c r="C832" t="s">
        <v>54</v>
      </c>
      <c r="D832" t="s">
        <v>45</v>
      </c>
      <c r="E832" t="s">
        <v>147</v>
      </c>
      <c r="F832" s="25">
        <v>46064</v>
      </c>
      <c r="G832" t="s">
        <v>352</v>
      </c>
      <c r="H832" t="s">
        <v>412</v>
      </c>
      <c r="I832" t="s">
        <v>371</v>
      </c>
      <c r="J832" t="s">
        <v>36</v>
      </c>
      <c r="K832" t="s">
        <v>37</v>
      </c>
      <c r="L832" t="s">
        <v>150</v>
      </c>
      <c r="M832" t="s">
        <v>141</v>
      </c>
      <c r="N832" t="s">
        <v>142</v>
      </c>
      <c r="O832" t="s">
        <v>155</v>
      </c>
      <c r="P832" t="s">
        <v>281</v>
      </c>
      <c r="Q832" t="s">
        <v>155</v>
      </c>
      <c r="R832" t="s">
        <v>302</v>
      </c>
      <c r="S832" t="s">
        <v>369</v>
      </c>
      <c r="T832">
        <v>1</v>
      </c>
      <c r="U832" t="s">
        <v>428</v>
      </c>
      <c r="V832" t="s">
        <v>342</v>
      </c>
      <c r="W832" t="s">
        <v>430</v>
      </c>
      <c r="X832" t="s">
        <v>306</v>
      </c>
      <c r="Y832" t="s">
        <v>307</v>
      </c>
      <c r="Z832">
        <v>65</v>
      </c>
      <c r="AA832">
        <v>80</v>
      </c>
      <c r="AB832" t="s">
        <v>143</v>
      </c>
      <c r="AC832" t="s">
        <v>154</v>
      </c>
      <c r="AD832" t="s">
        <v>50</v>
      </c>
      <c r="AE832" t="str">
        <f>IF(AF832="","",VLOOKUP(AC832,mapel!$A$2:$B$42,2,FALSE))</f>
        <v>Math</v>
      </c>
      <c r="AF832">
        <f t="shared" si="36"/>
        <v>80</v>
      </c>
      <c r="AG832" t="str">
        <f>IF(AF832="","",IF(AF832&gt;90,"Sangat baik",IF(AF832&gt;79,"Baik",IF(AF832&gt;=pub_gid_0_single_true_output_csv[[#This Row],[KKM]],"Cukup","Kurang"))))</f>
        <v>Baik</v>
      </c>
      <c r="AH832">
        <f t="shared" si="37"/>
        <v>11</v>
      </c>
      <c r="AI832" s="30" t="str">
        <f>IF(OR(J832&lt;&gt;"Karakter",pub_gid_0_single_true_output_csv[[#This Row],[Nilai2]]=""),"",IF(AF832&gt;89,"Sangat baik",IF(AF832&gt;79,"Baik",IF(AF832&gt;69,"Cukup",IF(AF832&gt;59,"Kurang","Sangat kurang")))))</f>
        <v/>
      </c>
      <c r="AJ832" t="str">
        <f t="shared" si="38"/>
        <v>Wk.7</v>
      </c>
      <c r="AK832" t="str">
        <f>IF(pub_gid_0_single_true_output_csv[[#This Row],[Nilai2]]="","",VLOOKUP(pub_gid_0_single_true_output_csv[[#This Row],[NAMA]],Table7[],3,FALSE))</f>
        <v>High average</v>
      </c>
    </row>
    <row r="833" spans="1:37" x14ac:dyDescent="0.2">
      <c r="A833">
        <v>832</v>
      </c>
      <c r="B833" t="s">
        <v>287</v>
      </c>
      <c r="C833" t="s">
        <v>54</v>
      </c>
      <c r="D833" t="s">
        <v>34</v>
      </c>
      <c r="E833" t="s">
        <v>140</v>
      </c>
      <c r="F833" s="25">
        <v>46036</v>
      </c>
      <c r="G833" t="s">
        <v>353</v>
      </c>
      <c r="H833" t="s">
        <v>405</v>
      </c>
      <c r="I833" t="s">
        <v>371</v>
      </c>
      <c r="J833" t="s">
        <v>36</v>
      </c>
      <c r="K833" t="s">
        <v>37</v>
      </c>
      <c r="L833" t="s">
        <v>150</v>
      </c>
      <c r="M833" t="s">
        <v>141</v>
      </c>
      <c r="N833" t="s">
        <v>142</v>
      </c>
      <c r="O833" t="s">
        <v>155</v>
      </c>
      <c r="P833" t="s">
        <v>281</v>
      </c>
      <c r="Q833" t="s">
        <v>155</v>
      </c>
      <c r="R833" t="s">
        <v>302</v>
      </c>
      <c r="S833" t="s">
        <v>427</v>
      </c>
      <c r="T833">
        <v>1</v>
      </c>
      <c r="U833" t="s">
        <v>428</v>
      </c>
      <c r="V833" t="s">
        <v>285</v>
      </c>
      <c r="W833" t="s">
        <v>429</v>
      </c>
      <c r="X833" t="s">
        <v>391</v>
      </c>
      <c r="Y833" t="s">
        <v>335</v>
      </c>
      <c r="Z833">
        <v>65</v>
      </c>
      <c r="AA833">
        <v>0</v>
      </c>
      <c r="AB833" t="s">
        <v>151</v>
      </c>
      <c r="AC833" t="s">
        <v>154</v>
      </c>
      <c r="AD833" t="s">
        <v>50</v>
      </c>
      <c r="AE833" t="str">
        <f>IF(AF833="","",VLOOKUP(AC833,mapel!$A$2:$B$42,2,FALSE))</f>
        <v/>
      </c>
      <c r="AF833" t="str">
        <f t="shared" si="36"/>
        <v/>
      </c>
      <c r="AG833" t="str">
        <f>IF(AF833="","",IF(AF833&gt;90,"Sangat baik",IF(AF833&gt;79,"Baik",IF(AF833&gt;=pub_gid_0_single_true_output_csv[[#This Row],[KKM]],"Cukup","Kurang"))))</f>
        <v/>
      </c>
      <c r="AH833" t="str">
        <f t="shared" si="37"/>
        <v/>
      </c>
      <c r="AI833" s="30" t="str">
        <f>IF(OR(J833&lt;&gt;"Karakter",pub_gid_0_single_true_output_csv[[#This Row],[Nilai2]]=""),"",IF(AF833&gt;89,"Sangat baik",IF(AF833&gt;79,"Baik",IF(AF833&gt;69,"Cukup",IF(AF833&gt;59,"Kurang","Sangat kurang")))))</f>
        <v/>
      </c>
      <c r="AJ833" t="str">
        <f t="shared" si="38"/>
        <v/>
      </c>
      <c r="AK833" t="str">
        <f>IF(pub_gid_0_single_true_output_csv[[#This Row],[Nilai2]]="","",VLOOKUP(pub_gid_0_single_true_output_csv[[#This Row],[NAMA]],Table7[],3,FALSE))</f>
        <v/>
      </c>
    </row>
    <row r="834" spans="1:37" x14ac:dyDescent="0.2">
      <c r="A834">
        <v>833</v>
      </c>
      <c r="B834" t="s">
        <v>287</v>
      </c>
      <c r="C834" t="s">
        <v>54</v>
      </c>
      <c r="D834" t="s">
        <v>34</v>
      </c>
      <c r="E834" t="s">
        <v>140</v>
      </c>
      <c r="F834" s="25">
        <v>46036</v>
      </c>
      <c r="G834" t="s">
        <v>353</v>
      </c>
      <c r="H834" t="s">
        <v>405</v>
      </c>
      <c r="I834" t="s">
        <v>371</v>
      </c>
      <c r="J834" t="s">
        <v>36</v>
      </c>
      <c r="K834" t="s">
        <v>37</v>
      </c>
      <c r="L834" t="s">
        <v>150</v>
      </c>
      <c r="M834" t="s">
        <v>141</v>
      </c>
      <c r="N834" t="s">
        <v>142</v>
      </c>
      <c r="O834" t="s">
        <v>155</v>
      </c>
      <c r="P834" t="s">
        <v>281</v>
      </c>
      <c r="Q834" t="s">
        <v>155</v>
      </c>
      <c r="R834" t="s">
        <v>302</v>
      </c>
      <c r="S834" t="s">
        <v>369</v>
      </c>
      <c r="T834">
        <v>1</v>
      </c>
      <c r="U834" t="s">
        <v>428</v>
      </c>
      <c r="V834" t="s">
        <v>342</v>
      </c>
      <c r="W834" t="s">
        <v>430</v>
      </c>
      <c r="X834" t="s">
        <v>306</v>
      </c>
      <c r="Y834" t="s">
        <v>307</v>
      </c>
      <c r="Z834">
        <v>65</v>
      </c>
      <c r="AA834">
        <v>100</v>
      </c>
      <c r="AB834" t="s">
        <v>143</v>
      </c>
      <c r="AC834" t="s">
        <v>154</v>
      </c>
      <c r="AD834" t="s">
        <v>50</v>
      </c>
      <c r="AE834" t="str">
        <f>IF(AF834="","",VLOOKUP(AC834,mapel!$A$2:$B$42,2,FALSE))</f>
        <v>Math</v>
      </c>
      <c r="AF834">
        <f t="shared" ref="AF834:AF897" si="39">IF(AA834=0, "",IF(AA834 = 0.1, 0,AA834))</f>
        <v>100</v>
      </c>
      <c r="AG834" t="str">
        <f>IF(AF834="","",IF(AF834&gt;90,"Sangat baik",IF(AF834&gt;79,"Baik",IF(AF834&gt;=pub_gid_0_single_true_output_csv[[#This Row],[KKM]],"Cukup","Kurang"))))</f>
        <v>Sangat baik</v>
      </c>
      <c r="AH834">
        <f t="shared" ref="AH834:AH897" si="40">IF(AG834="","",VALUE(RIGHT(X834,2)))</f>
        <v>11</v>
      </c>
      <c r="AI834" s="30" t="str">
        <f>IF(OR(J834&lt;&gt;"Karakter",pub_gid_0_single_true_output_csv[[#This Row],[Nilai2]]=""),"",IF(AF834&gt;89,"Sangat baik",IF(AF834&gt;79,"Baik",IF(AF834&gt;69,"Cukup",IF(AF834&gt;59,"Kurang","Sangat kurang")))))</f>
        <v/>
      </c>
      <c r="AJ834" t="str">
        <f t="shared" ref="AJ834:AJ897" si="41">IF(AF834="","",CONCATENATE("Wk.",WEEKNUM(F834,2)))</f>
        <v>Wk.3</v>
      </c>
      <c r="AK834" t="str">
        <f>IF(pub_gid_0_single_true_output_csv[[#This Row],[Nilai2]]="","",VLOOKUP(pub_gid_0_single_true_output_csv[[#This Row],[NAMA]],Table7[],3,FALSE))</f>
        <v>Average</v>
      </c>
    </row>
    <row r="835" spans="1:37" x14ac:dyDescent="0.2">
      <c r="A835">
        <v>834</v>
      </c>
      <c r="B835" t="s">
        <v>287</v>
      </c>
      <c r="C835" t="s">
        <v>54</v>
      </c>
      <c r="D835" t="s">
        <v>34</v>
      </c>
      <c r="E835" t="s">
        <v>140</v>
      </c>
      <c r="F835" s="25">
        <v>46041</v>
      </c>
      <c r="G835" t="s">
        <v>370</v>
      </c>
      <c r="H835" t="s">
        <v>405</v>
      </c>
      <c r="I835" t="s">
        <v>371</v>
      </c>
      <c r="J835" t="s">
        <v>36</v>
      </c>
      <c r="K835" t="s">
        <v>37</v>
      </c>
      <c r="L835" t="s">
        <v>150</v>
      </c>
      <c r="M835" t="s">
        <v>141</v>
      </c>
      <c r="N835" t="s">
        <v>142</v>
      </c>
      <c r="O835" t="s">
        <v>155</v>
      </c>
      <c r="P835" t="s">
        <v>281</v>
      </c>
      <c r="Q835" t="s">
        <v>155</v>
      </c>
      <c r="R835" t="s">
        <v>302</v>
      </c>
      <c r="S835" t="s">
        <v>427</v>
      </c>
      <c r="T835">
        <v>1</v>
      </c>
      <c r="U835" t="s">
        <v>428</v>
      </c>
      <c r="V835" t="s">
        <v>285</v>
      </c>
      <c r="W835" t="s">
        <v>429</v>
      </c>
      <c r="X835" t="s">
        <v>391</v>
      </c>
      <c r="Y835" t="s">
        <v>335</v>
      </c>
      <c r="Z835">
        <v>65</v>
      </c>
      <c r="AA835">
        <v>50</v>
      </c>
      <c r="AB835" t="s">
        <v>151</v>
      </c>
      <c r="AC835" t="s">
        <v>154</v>
      </c>
      <c r="AD835" t="s">
        <v>50</v>
      </c>
      <c r="AE835" t="str">
        <f>IF(AF835="","",VLOOKUP(AC835,mapel!$A$2:$B$42,2,FALSE))</f>
        <v>Math</v>
      </c>
      <c r="AF835">
        <f t="shared" si="39"/>
        <v>50</v>
      </c>
      <c r="AG835" t="str">
        <f>IF(AF835="","",IF(AF835&gt;90,"Sangat baik",IF(AF835&gt;79,"Baik",IF(AF835&gt;=pub_gid_0_single_true_output_csv[[#This Row],[KKM]],"Cukup","Kurang"))))</f>
        <v>Kurang</v>
      </c>
      <c r="AH835">
        <f t="shared" si="40"/>
        <v>9</v>
      </c>
      <c r="AI835" s="30" t="str">
        <f>IF(OR(J835&lt;&gt;"Karakter",pub_gid_0_single_true_output_csv[[#This Row],[Nilai2]]=""),"",IF(AF835&gt;89,"Sangat baik",IF(AF835&gt;79,"Baik",IF(AF835&gt;69,"Cukup",IF(AF835&gt;59,"Kurang","Sangat kurang")))))</f>
        <v/>
      </c>
      <c r="AJ835" t="str">
        <f t="shared" si="41"/>
        <v>Wk.4</v>
      </c>
      <c r="AK835" t="str">
        <f>IF(pub_gid_0_single_true_output_csv[[#This Row],[Nilai2]]="","",VLOOKUP(pub_gid_0_single_true_output_csv[[#This Row],[NAMA]],Table7[],3,FALSE))</f>
        <v>Average</v>
      </c>
    </row>
    <row r="836" spans="1:37" x14ac:dyDescent="0.2">
      <c r="A836">
        <v>835</v>
      </c>
      <c r="B836" t="s">
        <v>287</v>
      </c>
      <c r="C836" t="s">
        <v>54</v>
      </c>
      <c r="D836" t="s">
        <v>34</v>
      </c>
      <c r="E836" t="s">
        <v>140</v>
      </c>
      <c r="F836" s="25">
        <v>46041</v>
      </c>
      <c r="G836" t="s">
        <v>370</v>
      </c>
      <c r="H836" t="s">
        <v>405</v>
      </c>
      <c r="I836" t="s">
        <v>371</v>
      </c>
      <c r="J836" t="s">
        <v>90</v>
      </c>
      <c r="K836" t="s">
        <v>377</v>
      </c>
      <c r="L836" t="s">
        <v>399</v>
      </c>
      <c r="M836" t="s">
        <v>141</v>
      </c>
      <c r="N836" t="s">
        <v>142</v>
      </c>
      <c r="O836" t="s">
        <v>155</v>
      </c>
      <c r="P836" t="s">
        <v>281</v>
      </c>
      <c r="Q836" t="s">
        <v>155</v>
      </c>
      <c r="R836" t="s">
        <v>302</v>
      </c>
      <c r="S836" t="s">
        <v>369</v>
      </c>
      <c r="T836">
        <v>1</v>
      </c>
      <c r="U836" t="s">
        <v>428</v>
      </c>
      <c r="V836" t="s">
        <v>342</v>
      </c>
      <c r="W836" t="s">
        <v>430</v>
      </c>
      <c r="X836" t="s">
        <v>306</v>
      </c>
      <c r="Y836" t="s">
        <v>307</v>
      </c>
      <c r="Z836">
        <v>65</v>
      </c>
      <c r="AA836">
        <v>90</v>
      </c>
      <c r="AB836" t="s">
        <v>143</v>
      </c>
      <c r="AC836" t="s">
        <v>154</v>
      </c>
      <c r="AD836" t="s">
        <v>50</v>
      </c>
      <c r="AE836" t="str">
        <f>IF(AF836="","",VLOOKUP(AC836,mapel!$A$2:$B$42,2,FALSE))</f>
        <v>Math</v>
      </c>
      <c r="AF836">
        <f t="shared" si="39"/>
        <v>90</v>
      </c>
      <c r="AG836" t="str">
        <f>IF(AF836="","",IF(AF836&gt;90,"Sangat baik",IF(AF836&gt;79,"Baik",IF(AF836&gt;=pub_gid_0_single_true_output_csv[[#This Row],[KKM]],"Cukup","Kurang"))))</f>
        <v>Baik</v>
      </c>
      <c r="AH836">
        <f t="shared" si="40"/>
        <v>11</v>
      </c>
      <c r="AI836" s="30" t="str">
        <f>IF(OR(J836&lt;&gt;"Karakter",pub_gid_0_single_true_output_csv[[#This Row],[Nilai2]]=""),"",IF(AF836&gt;89,"Sangat baik",IF(AF836&gt;79,"Baik",IF(AF836&gt;69,"Cukup",IF(AF836&gt;59,"Kurang","Sangat kurang")))))</f>
        <v>Sangat baik</v>
      </c>
      <c r="AJ836" t="str">
        <f t="shared" si="41"/>
        <v>Wk.4</v>
      </c>
      <c r="AK836" t="str">
        <f>IF(pub_gid_0_single_true_output_csv[[#This Row],[Nilai2]]="","",VLOOKUP(pub_gid_0_single_true_output_csv[[#This Row],[NAMA]],Table7[],3,FALSE))</f>
        <v>Average</v>
      </c>
    </row>
    <row r="837" spans="1:37" x14ac:dyDescent="0.2">
      <c r="A837">
        <v>836</v>
      </c>
      <c r="B837" t="s">
        <v>287</v>
      </c>
      <c r="C837" t="s">
        <v>54</v>
      </c>
      <c r="D837" t="s">
        <v>34</v>
      </c>
      <c r="E837" t="s">
        <v>140</v>
      </c>
      <c r="F837" s="25">
        <v>46043</v>
      </c>
      <c r="G837" t="s">
        <v>341</v>
      </c>
      <c r="H837" t="s">
        <v>405</v>
      </c>
      <c r="I837" t="s">
        <v>371</v>
      </c>
      <c r="J837" t="s">
        <v>36</v>
      </c>
      <c r="K837" t="s">
        <v>37</v>
      </c>
      <c r="L837" t="s">
        <v>150</v>
      </c>
      <c r="M837" t="s">
        <v>141</v>
      </c>
      <c r="N837" t="s">
        <v>142</v>
      </c>
      <c r="O837" t="s">
        <v>155</v>
      </c>
      <c r="P837" t="s">
        <v>281</v>
      </c>
      <c r="Q837" t="s">
        <v>155</v>
      </c>
      <c r="R837" t="s">
        <v>302</v>
      </c>
      <c r="S837" t="s">
        <v>427</v>
      </c>
      <c r="T837">
        <v>1</v>
      </c>
      <c r="U837" t="s">
        <v>428</v>
      </c>
      <c r="V837" t="s">
        <v>285</v>
      </c>
      <c r="W837" t="s">
        <v>429</v>
      </c>
      <c r="X837" t="s">
        <v>391</v>
      </c>
      <c r="Y837" t="s">
        <v>335</v>
      </c>
      <c r="Z837">
        <v>65</v>
      </c>
      <c r="AA837">
        <v>20</v>
      </c>
      <c r="AB837" t="s">
        <v>151</v>
      </c>
      <c r="AC837" t="s">
        <v>154</v>
      </c>
      <c r="AD837" t="s">
        <v>50</v>
      </c>
      <c r="AE837" t="str">
        <f>IF(AF837="","",VLOOKUP(AC837,mapel!$A$2:$B$42,2,FALSE))</f>
        <v>Math</v>
      </c>
      <c r="AF837">
        <f t="shared" si="39"/>
        <v>20</v>
      </c>
      <c r="AG837" t="str">
        <f>IF(AF837="","",IF(AF837&gt;90,"Sangat baik",IF(AF837&gt;79,"Baik",IF(AF837&gt;=pub_gid_0_single_true_output_csv[[#This Row],[KKM]],"Cukup","Kurang"))))</f>
        <v>Kurang</v>
      </c>
      <c r="AH837">
        <f t="shared" si="40"/>
        <v>9</v>
      </c>
      <c r="AI837" s="30" t="str">
        <f>IF(OR(J837&lt;&gt;"Karakter",pub_gid_0_single_true_output_csv[[#This Row],[Nilai2]]=""),"",IF(AF837&gt;89,"Sangat baik",IF(AF837&gt;79,"Baik",IF(AF837&gt;69,"Cukup",IF(AF837&gt;59,"Kurang","Sangat kurang")))))</f>
        <v/>
      </c>
      <c r="AJ837" t="str">
        <f t="shared" si="41"/>
        <v>Wk.4</v>
      </c>
      <c r="AK837" t="str">
        <f>IF(pub_gid_0_single_true_output_csv[[#This Row],[Nilai2]]="","",VLOOKUP(pub_gid_0_single_true_output_csv[[#This Row],[NAMA]],Table7[],3,FALSE))</f>
        <v>Average</v>
      </c>
    </row>
    <row r="838" spans="1:37" x14ac:dyDescent="0.2">
      <c r="A838">
        <v>837</v>
      </c>
      <c r="B838" t="s">
        <v>287</v>
      </c>
      <c r="C838" t="s">
        <v>54</v>
      </c>
      <c r="D838" t="s">
        <v>34</v>
      </c>
      <c r="E838" t="s">
        <v>140</v>
      </c>
      <c r="F838" s="25">
        <v>46043</v>
      </c>
      <c r="G838" t="s">
        <v>341</v>
      </c>
      <c r="H838" t="s">
        <v>405</v>
      </c>
      <c r="I838" t="s">
        <v>371</v>
      </c>
      <c r="J838" t="s">
        <v>90</v>
      </c>
      <c r="K838" t="s">
        <v>377</v>
      </c>
      <c r="L838" t="s">
        <v>399</v>
      </c>
      <c r="M838" t="s">
        <v>141</v>
      </c>
      <c r="N838" t="s">
        <v>142</v>
      </c>
      <c r="O838" t="s">
        <v>155</v>
      </c>
      <c r="P838" t="s">
        <v>281</v>
      </c>
      <c r="Q838" t="s">
        <v>155</v>
      </c>
      <c r="R838" t="s">
        <v>302</v>
      </c>
      <c r="S838" t="s">
        <v>427</v>
      </c>
      <c r="T838">
        <v>1</v>
      </c>
      <c r="U838" t="s">
        <v>428</v>
      </c>
      <c r="V838" t="s">
        <v>285</v>
      </c>
      <c r="W838" t="s">
        <v>429</v>
      </c>
      <c r="X838" t="s">
        <v>391</v>
      </c>
      <c r="Y838" t="s">
        <v>335</v>
      </c>
      <c r="Z838">
        <v>65</v>
      </c>
      <c r="AA838">
        <v>90</v>
      </c>
      <c r="AB838" t="s">
        <v>143</v>
      </c>
      <c r="AC838" t="s">
        <v>154</v>
      </c>
      <c r="AD838" t="s">
        <v>50</v>
      </c>
      <c r="AE838" t="str">
        <f>IF(AF838="","",VLOOKUP(AC838,mapel!$A$2:$B$42,2,FALSE))</f>
        <v>Math</v>
      </c>
      <c r="AF838">
        <f t="shared" si="39"/>
        <v>90</v>
      </c>
      <c r="AG838" t="str">
        <f>IF(AF838="","",IF(AF838&gt;90,"Sangat baik",IF(AF838&gt;79,"Baik",IF(AF838&gt;=pub_gid_0_single_true_output_csv[[#This Row],[KKM]],"Cukup","Kurang"))))</f>
        <v>Baik</v>
      </c>
      <c r="AH838">
        <f t="shared" si="40"/>
        <v>9</v>
      </c>
      <c r="AI838" s="30" t="str">
        <f>IF(OR(J838&lt;&gt;"Karakter",pub_gid_0_single_true_output_csv[[#This Row],[Nilai2]]=""),"",IF(AF838&gt;89,"Sangat baik",IF(AF838&gt;79,"Baik",IF(AF838&gt;69,"Cukup",IF(AF838&gt;59,"Kurang","Sangat kurang")))))</f>
        <v>Sangat baik</v>
      </c>
      <c r="AJ838" t="str">
        <f t="shared" si="41"/>
        <v>Wk.4</v>
      </c>
      <c r="AK838" t="str">
        <f>IF(pub_gid_0_single_true_output_csv[[#This Row],[Nilai2]]="","",VLOOKUP(pub_gid_0_single_true_output_csv[[#This Row],[NAMA]],Table7[],3,FALSE))</f>
        <v>Average</v>
      </c>
    </row>
    <row r="839" spans="1:37" x14ac:dyDescent="0.2">
      <c r="A839">
        <v>838</v>
      </c>
      <c r="B839" t="s">
        <v>287</v>
      </c>
      <c r="C839" t="s">
        <v>54</v>
      </c>
      <c r="D839" t="s">
        <v>34</v>
      </c>
      <c r="E839" t="s">
        <v>140</v>
      </c>
      <c r="F839" s="25">
        <v>46041</v>
      </c>
      <c r="G839" t="s">
        <v>370</v>
      </c>
      <c r="H839" t="s">
        <v>405</v>
      </c>
      <c r="I839" t="s">
        <v>371</v>
      </c>
      <c r="J839" t="s">
        <v>36</v>
      </c>
      <c r="K839" t="s">
        <v>37</v>
      </c>
      <c r="L839" t="s">
        <v>321</v>
      </c>
      <c r="M839" t="s">
        <v>141</v>
      </c>
      <c r="N839" t="s">
        <v>142</v>
      </c>
      <c r="O839" t="s">
        <v>155</v>
      </c>
      <c r="P839" t="s">
        <v>281</v>
      </c>
      <c r="Q839" t="s">
        <v>155</v>
      </c>
      <c r="R839" t="s">
        <v>302</v>
      </c>
      <c r="S839" t="s">
        <v>427</v>
      </c>
      <c r="T839">
        <v>1</v>
      </c>
      <c r="U839" t="s">
        <v>428</v>
      </c>
      <c r="V839" t="s">
        <v>285</v>
      </c>
      <c r="W839" t="s">
        <v>429</v>
      </c>
      <c r="X839" t="s">
        <v>391</v>
      </c>
      <c r="Y839" t="s">
        <v>335</v>
      </c>
      <c r="Z839">
        <v>65</v>
      </c>
      <c r="AA839">
        <v>100</v>
      </c>
      <c r="AB839" t="s">
        <v>143</v>
      </c>
      <c r="AC839" t="s">
        <v>154</v>
      </c>
      <c r="AD839" t="s">
        <v>50</v>
      </c>
      <c r="AE839" t="str">
        <f>IF(AF839="","",VLOOKUP(AC839,mapel!$A$2:$B$42,2,FALSE))</f>
        <v>Math</v>
      </c>
      <c r="AF839">
        <f t="shared" si="39"/>
        <v>100</v>
      </c>
      <c r="AG839" t="str">
        <f>IF(AF839="","",IF(AF839&gt;90,"Sangat baik",IF(AF839&gt;79,"Baik",IF(AF839&gt;=pub_gid_0_single_true_output_csv[[#This Row],[KKM]],"Cukup","Kurang"))))</f>
        <v>Sangat baik</v>
      </c>
      <c r="AH839">
        <f t="shared" si="40"/>
        <v>9</v>
      </c>
      <c r="AI839" s="30" t="str">
        <f>IF(OR(J839&lt;&gt;"Karakter",pub_gid_0_single_true_output_csv[[#This Row],[Nilai2]]=""),"",IF(AF839&gt;89,"Sangat baik",IF(AF839&gt;79,"Baik",IF(AF839&gt;69,"Cukup",IF(AF839&gt;59,"Kurang","Sangat kurang")))))</f>
        <v/>
      </c>
      <c r="AJ839" t="str">
        <f t="shared" si="41"/>
        <v>Wk.4</v>
      </c>
      <c r="AK839" t="str">
        <f>IF(pub_gid_0_single_true_output_csv[[#This Row],[Nilai2]]="","",VLOOKUP(pub_gid_0_single_true_output_csv[[#This Row],[NAMA]],Table7[],3,FALSE))</f>
        <v>Average</v>
      </c>
    </row>
    <row r="840" spans="1:37" x14ac:dyDescent="0.2">
      <c r="A840">
        <v>839</v>
      </c>
      <c r="B840" t="s">
        <v>287</v>
      </c>
      <c r="C840" t="s">
        <v>54</v>
      </c>
      <c r="D840" t="s">
        <v>34</v>
      </c>
      <c r="E840" t="s">
        <v>140</v>
      </c>
      <c r="F840" s="25">
        <v>46041</v>
      </c>
      <c r="G840" t="s">
        <v>370</v>
      </c>
      <c r="H840" t="s">
        <v>405</v>
      </c>
      <c r="I840" t="s">
        <v>371</v>
      </c>
      <c r="J840" t="s">
        <v>36</v>
      </c>
      <c r="K840" t="s">
        <v>37</v>
      </c>
      <c r="L840" t="s">
        <v>321</v>
      </c>
      <c r="M840" t="s">
        <v>141</v>
      </c>
      <c r="N840" t="s">
        <v>142</v>
      </c>
      <c r="O840" t="s">
        <v>155</v>
      </c>
      <c r="P840" t="s">
        <v>281</v>
      </c>
      <c r="Q840" t="s">
        <v>155</v>
      </c>
      <c r="R840" t="s">
        <v>302</v>
      </c>
      <c r="S840" t="s">
        <v>369</v>
      </c>
      <c r="T840">
        <v>1</v>
      </c>
      <c r="U840" t="s">
        <v>428</v>
      </c>
      <c r="V840" t="s">
        <v>342</v>
      </c>
      <c r="W840" t="s">
        <v>430</v>
      </c>
      <c r="X840" t="s">
        <v>306</v>
      </c>
      <c r="Y840" t="s">
        <v>307</v>
      </c>
      <c r="Z840">
        <v>65</v>
      </c>
      <c r="AA840">
        <v>100</v>
      </c>
      <c r="AB840" t="s">
        <v>143</v>
      </c>
      <c r="AC840" t="s">
        <v>154</v>
      </c>
      <c r="AD840" t="s">
        <v>50</v>
      </c>
      <c r="AE840" t="str">
        <f>IF(AF840="","",VLOOKUP(AC840,mapel!$A$2:$B$42,2,FALSE))</f>
        <v>Math</v>
      </c>
      <c r="AF840">
        <f t="shared" si="39"/>
        <v>100</v>
      </c>
      <c r="AG840" t="str">
        <f>IF(AF840="","",IF(AF840&gt;90,"Sangat baik",IF(AF840&gt;79,"Baik",IF(AF840&gt;=pub_gid_0_single_true_output_csv[[#This Row],[KKM]],"Cukup","Kurang"))))</f>
        <v>Sangat baik</v>
      </c>
      <c r="AH840">
        <f t="shared" si="40"/>
        <v>11</v>
      </c>
      <c r="AI840" s="30" t="str">
        <f>IF(OR(J840&lt;&gt;"Karakter",pub_gid_0_single_true_output_csv[[#This Row],[Nilai2]]=""),"",IF(AF840&gt;89,"Sangat baik",IF(AF840&gt;79,"Baik",IF(AF840&gt;69,"Cukup",IF(AF840&gt;59,"Kurang","Sangat kurang")))))</f>
        <v/>
      </c>
      <c r="AJ840" t="str">
        <f t="shared" si="41"/>
        <v>Wk.4</v>
      </c>
      <c r="AK840" t="str">
        <f>IF(pub_gid_0_single_true_output_csv[[#This Row],[Nilai2]]="","",VLOOKUP(pub_gid_0_single_true_output_csv[[#This Row],[NAMA]],Table7[],3,FALSE))</f>
        <v>Average</v>
      </c>
    </row>
    <row r="841" spans="1:37" x14ac:dyDescent="0.2">
      <c r="A841">
        <v>840</v>
      </c>
      <c r="B841" t="s">
        <v>287</v>
      </c>
      <c r="C841" t="s">
        <v>54</v>
      </c>
      <c r="D841" t="s">
        <v>34</v>
      </c>
      <c r="E841" t="s">
        <v>140</v>
      </c>
      <c r="F841" s="25">
        <v>46050</v>
      </c>
      <c r="G841" t="s">
        <v>308</v>
      </c>
      <c r="H841" t="s">
        <v>405</v>
      </c>
      <c r="I841" t="s">
        <v>371</v>
      </c>
      <c r="J841" t="s">
        <v>36</v>
      </c>
      <c r="K841" t="s">
        <v>37</v>
      </c>
      <c r="L841" t="s">
        <v>150</v>
      </c>
      <c r="M841" t="s">
        <v>141</v>
      </c>
      <c r="N841" t="s">
        <v>142</v>
      </c>
      <c r="O841" t="s">
        <v>155</v>
      </c>
      <c r="P841" t="s">
        <v>281</v>
      </c>
      <c r="Q841" t="s">
        <v>155</v>
      </c>
      <c r="R841" t="s">
        <v>302</v>
      </c>
      <c r="S841" t="s">
        <v>427</v>
      </c>
      <c r="T841">
        <v>1</v>
      </c>
      <c r="U841" t="s">
        <v>428</v>
      </c>
      <c r="V841" t="s">
        <v>285</v>
      </c>
      <c r="W841" t="s">
        <v>429</v>
      </c>
      <c r="X841" t="s">
        <v>391</v>
      </c>
      <c r="Y841" t="s">
        <v>335</v>
      </c>
      <c r="Z841">
        <v>65</v>
      </c>
      <c r="AA841">
        <v>10</v>
      </c>
      <c r="AB841" t="s">
        <v>151</v>
      </c>
      <c r="AC841" t="s">
        <v>154</v>
      </c>
      <c r="AD841" t="s">
        <v>50</v>
      </c>
      <c r="AE841" t="str">
        <f>IF(AF841="","",VLOOKUP(AC841,mapel!$A$2:$B$42,2,FALSE))</f>
        <v>Math</v>
      </c>
      <c r="AF841">
        <f t="shared" si="39"/>
        <v>10</v>
      </c>
      <c r="AG841" t="str">
        <f>IF(AF841="","",IF(AF841&gt;90,"Sangat baik",IF(AF841&gt;79,"Baik",IF(AF841&gt;=pub_gid_0_single_true_output_csv[[#This Row],[KKM]],"Cukup","Kurang"))))</f>
        <v>Kurang</v>
      </c>
      <c r="AH841">
        <f t="shared" si="40"/>
        <v>9</v>
      </c>
      <c r="AI841" s="30" t="str">
        <f>IF(OR(J841&lt;&gt;"Karakter",pub_gid_0_single_true_output_csv[[#This Row],[Nilai2]]=""),"",IF(AF841&gt;89,"Sangat baik",IF(AF841&gt;79,"Baik",IF(AF841&gt;69,"Cukup",IF(AF841&gt;59,"Kurang","Sangat kurang")))))</f>
        <v/>
      </c>
      <c r="AJ841" t="str">
        <f t="shared" si="41"/>
        <v>Wk.5</v>
      </c>
      <c r="AK841" t="str">
        <f>IF(pub_gid_0_single_true_output_csv[[#This Row],[Nilai2]]="","",VLOOKUP(pub_gid_0_single_true_output_csv[[#This Row],[NAMA]],Table7[],3,FALSE))</f>
        <v>Average</v>
      </c>
    </row>
    <row r="842" spans="1:37" x14ac:dyDescent="0.2">
      <c r="A842">
        <v>841</v>
      </c>
      <c r="B842" t="s">
        <v>287</v>
      </c>
      <c r="C842" t="s">
        <v>54</v>
      </c>
      <c r="D842" t="s">
        <v>34</v>
      </c>
      <c r="E842" t="s">
        <v>140</v>
      </c>
      <c r="F842" s="25">
        <v>46057</v>
      </c>
      <c r="G842" t="s">
        <v>348</v>
      </c>
      <c r="H842" t="s">
        <v>412</v>
      </c>
      <c r="I842" t="s">
        <v>371</v>
      </c>
      <c r="J842" t="s">
        <v>36</v>
      </c>
      <c r="K842" t="s">
        <v>37</v>
      </c>
      <c r="L842" t="s">
        <v>150</v>
      </c>
      <c r="M842" t="s">
        <v>141</v>
      </c>
      <c r="N842" t="s">
        <v>142</v>
      </c>
      <c r="O842" t="s">
        <v>155</v>
      </c>
      <c r="P842" t="s">
        <v>281</v>
      </c>
      <c r="Q842" t="s">
        <v>155</v>
      </c>
      <c r="R842" t="s">
        <v>302</v>
      </c>
      <c r="S842" t="s">
        <v>369</v>
      </c>
      <c r="T842">
        <v>1</v>
      </c>
      <c r="U842" t="s">
        <v>428</v>
      </c>
      <c r="V842" t="s">
        <v>342</v>
      </c>
      <c r="W842" t="s">
        <v>430</v>
      </c>
      <c r="X842" t="s">
        <v>306</v>
      </c>
      <c r="Y842" t="s">
        <v>307</v>
      </c>
      <c r="Z842">
        <v>65</v>
      </c>
      <c r="AA842">
        <v>90</v>
      </c>
      <c r="AB842" t="s">
        <v>143</v>
      </c>
      <c r="AC842" t="s">
        <v>154</v>
      </c>
      <c r="AD842" t="s">
        <v>50</v>
      </c>
      <c r="AE842" t="str">
        <f>IF(AF842="","",VLOOKUP(AC842,mapel!$A$2:$B$42,2,FALSE))</f>
        <v>Math</v>
      </c>
      <c r="AF842">
        <f t="shared" si="39"/>
        <v>90</v>
      </c>
      <c r="AG842" t="str">
        <f>IF(AF842="","",IF(AF842&gt;90,"Sangat baik",IF(AF842&gt;79,"Baik",IF(AF842&gt;=pub_gid_0_single_true_output_csv[[#This Row],[KKM]],"Cukup","Kurang"))))</f>
        <v>Baik</v>
      </c>
      <c r="AH842">
        <f t="shared" si="40"/>
        <v>11</v>
      </c>
      <c r="AI842" s="30" t="str">
        <f>IF(OR(J842&lt;&gt;"Karakter",pub_gid_0_single_true_output_csv[[#This Row],[Nilai2]]=""),"",IF(AF842&gt;89,"Sangat baik",IF(AF842&gt;79,"Baik",IF(AF842&gt;69,"Cukup",IF(AF842&gt;59,"Kurang","Sangat kurang")))))</f>
        <v/>
      </c>
      <c r="AJ842" t="str">
        <f t="shared" si="41"/>
        <v>Wk.6</v>
      </c>
      <c r="AK842" t="str">
        <f>IF(pub_gid_0_single_true_output_csv[[#This Row],[Nilai2]]="","",VLOOKUP(pub_gid_0_single_true_output_csv[[#This Row],[NAMA]],Table7[],3,FALSE))</f>
        <v>Average</v>
      </c>
    </row>
    <row r="843" spans="1:37" x14ac:dyDescent="0.2">
      <c r="A843">
        <v>842</v>
      </c>
      <c r="B843" t="s">
        <v>287</v>
      </c>
      <c r="C843" t="s">
        <v>54</v>
      </c>
      <c r="D843" t="s">
        <v>34</v>
      </c>
      <c r="E843" t="s">
        <v>140</v>
      </c>
      <c r="F843" s="25">
        <v>46059</v>
      </c>
      <c r="G843" t="s">
        <v>349</v>
      </c>
      <c r="H843" t="s">
        <v>412</v>
      </c>
      <c r="I843" t="s">
        <v>371</v>
      </c>
      <c r="J843" t="s">
        <v>36</v>
      </c>
      <c r="K843" t="s">
        <v>37</v>
      </c>
      <c r="L843" t="s">
        <v>150</v>
      </c>
      <c r="M843" t="s">
        <v>141</v>
      </c>
      <c r="N843" t="s">
        <v>142</v>
      </c>
      <c r="O843" t="s">
        <v>155</v>
      </c>
      <c r="P843" t="s">
        <v>281</v>
      </c>
      <c r="Q843" t="s">
        <v>155</v>
      </c>
      <c r="R843" t="s">
        <v>302</v>
      </c>
      <c r="S843" t="s">
        <v>369</v>
      </c>
      <c r="T843">
        <v>1</v>
      </c>
      <c r="U843" t="s">
        <v>428</v>
      </c>
      <c r="V843" t="s">
        <v>342</v>
      </c>
      <c r="W843" t="s">
        <v>430</v>
      </c>
      <c r="X843" t="s">
        <v>306</v>
      </c>
      <c r="Y843" t="s">
        <v>307</v>
      </c>
      <c r="Z843">
        <v>65</v>
      </c>
      <c r="AA843">
        <v>40</v>
      </c>
      <c r="AB843" t="s">
        <v>151</v>
      </c>
      <c r="AC843" t="s">
        <v>154</v>
      </c>
      <c r="AD843" t="s">
        <v>50</v>
      </c>
      <c r="AE843" t="str">
        <f>IF(AF843="","",VLOOKUP(AC843,mapel!$A$2:$B$42,2,FALSE))</f>
        <v>Math</v>
      </c>
      <c r="AF843">
        <f t="shared" si="39"/>
        <v>40</v>
      </c>
      <c r="AG843" t="str">
        <f>IF(AF843="","",IF(AF843&gt;90,"Sangat baik",IF(AF843&gt;79,"Baik",IF(AF843&gt;=pub_gid_0_single_true_output_csv[[#This Row],[KKM]],"Cukup","Kurang"))))</f>
        <v>Kurang</v>
      </c>
      <c r="AH843">
        <f t="shared" si="40"/>
        <v>11</v>
      </c>
      <c r="AI843" s="30" t="str">
        <f>IF(OR(J843&lt;&gt;"Karakter",pub_gid_0_single_true_output_csv[[#This Row],[Nilai2]]=""),"",IF(AF843&gt;89,"Sangat baik",IF(AF843&gt;79,"Baik",IF(AF843&gt;69,"Cukup",IF(AF843&gt;59,"Kurang","Sangat kurang")))))</f>
        <v/>
      </c>
      <c r="AJ843" t="str">
        <f t="shared" si="41"/>
        <v>Wk.6</v>
      </c>
      <c r="AK843" t="str">
        <f>IF(pub_gid_0_single_true_output_csv[[#This Row],[Nilai2]]="","",VLOOKUP(pub_gid_0_single_true_output_csv[[#This Row],[NAMA]],Table7[],3,FALSE))</f>
        <v>Average</v>
      </c>
    </row>
    <row r="844" spans="1:37" x14ac:dyDescent="0.2">
      <c r="A844">
        <v>843</v>
      </c>
      <c r="B844" t="s">
        <v>287</v>
      </c>
      <c r="C844" t="s">
        <v>54</v>
      </c>
      <c r="D844" t="s">
        <v>34</v>
      </c>
      <c r="E844" t="s">
        <v>140</v>
      </c>
      <c r="F844" s="25">
        <v>46062</v>
      </c>
      <c r="G844" t="s">
        <v>376</v>
      </c>
      <c r="H844" t="s">
        <v>412</v>
      </c>
      <c r="I844" t="s">
        <v>371</v>
      </c>
      <c r="J844" t="s">
        <v>36</v>
      </c>
      <c r="K844" t="s">
        <v>37</v>
      </c>
      <c r="L844" t="s">
        <v>150</v>
      </c>
      <c r="M844" t="s">
        <v>141</v>
      </c>
      <c r="N844" t="s">
        <v>142</v>
      </c>
      <c r="O844" t="s">
        <v>155</v>
      </c>
      <c r="P844" t="s">
        <v>281</v>
      </c>
      <c r="Q844" t="s">
        <v>155</v>
      </c>
      <c r="R844" t="s">
        <v>302</v>
      </c>
      <c r="S844" t="s">
        <v>369</v>
      </c>
      <c r="T844">
        <v>1</v>
      </c>
      <c r="U844" t="s">
        <v>428</v>
      </c>
      <c r="V844" t="s">
        <v>342</v>
      </c>
      <c r="W844" t="s">
        <v>430</v>
      </c>
      <c r="X844" t="s">
        <v>306</v>
      </c>
      <c r="Y844" t="s">
        <v>307</v>
      </c>
      <c r="Z844">
        <v>65</v>
      </c>
      <c r="AA844">
        <v>60</v>
      </c>
      <c r="AB844" t="s">
        <v>151</v>
      </c>
      <c r="AC844" t="s">
        <v>154</v>
      </c>
      <c r="AD844" t="s">
        <v>50</v>
      </c>
      <c r="AE844" t="str">
        <f>IF(AF844="","",VLOOKUP(AC844,mapel!$A$2:$B$42,2,FALSE))</f>
        <v>Math</v>
      </c>
      <c r="AF844">
        <f t="shared" si="39"/>
        <v>60</v>
      </c>
      <c r="AG844" t="str">
        <f>IF(AF844="","",IF(AF844&gt;90,"Sangat baik",IF(AF844&gt;79,"Baik",IF(AF844&gt;=pub_gid_0_single_true_output_csv[[#This Row],[KKM]],"Cukup","Kurang"))))</f>
        <v>Kurang</v>
      </c>
      <c r="AH844">
        <f t="shared" si="40"/>
        <v>11</v>
      </c>
      <c r="AI844" s="30" t="str">
        <f>IF(OR(J844&lt;&gt;"Karakter",pub_gid_0_single_true_output_csv[[#This Row],[Nilai2]]=""),"",IF(AF844&gt;89,"Sangat baik",IF(AF844&gt;79,"Baik",IF(AF844&gt;69,"Cukup",IF(AF844&gt;59,"Kurang","Sangat kurang")))))</f>
        <v/>
      </c>
      <c r="AJ844" t="str">
        <f t="shared" si="41"/>
        <v>Wk.7</v>
      </c>
      <c r="AK844" t="str">
        <f>IF(pub_gid_0_single_true_output_csv[[#This Row],[Nilai2]]="","",VLOOKUP(pub_gid_0_single_true_output_csv[[#This Row],[NAMA]],Table7[],3,FALSE))</f>
        <v>Average</v>
      </c>
    </row>
    <row r="845" spans="1:37" x14ac:dyDescent="0.2">
      <c r="A845">
        <v>844</v>
      </c>
      <c r="B845" t="s">
        <v>287</v>
      </c>
      <c r="C845" t="s">
        <v>54</v>
      </c>
      <c r="D845" t="s">
        <v>34</v>
      </c>
      <c r="E845" t="s">
        <v>140</v>
      </c>
      <c r="F845" s="25">
        <v>46059</v>
      </c>
      <c r="G845" t="s">
        <v>349</v>
      </c>
      <c r="H845" t="s">
        <v>412</v>
      </c>
      <c r="I845" t="s">
        <v>371</v>
      </c>
      <c r="J845" t="s">
        <v>36</v>
      </c>
      <c r="K845" t="s">
        <v>37</v>
      </c>
      <c r="L845" t="s">
        <v>321</v>
      </c>
      <c r="M845" t="s">
        <v>141</v>
      </c>
      <c r="N845" t="s">
        <v>142</v>
      </c>
      <c r="O845" t="s">
        <v>155</v>
      </c>
      <c r="P845" t="s">
        <v>281</v>
      </c>
      <c r="Q845" t="s">
        <v>155</v>
      </c>
      <c r="R845" t="s">
        <v>302</v>
      </c>
      <c r="S845" t="s">
        <v>369</v>
      </c>
      <c r="T845">
        <v>1</v>
      </c>
      <c r="U845" t="s">
        <v>428</v>
      </c>
      <c r="V845" t="s">
        <v>342</v>
      </c>
      <c r="W845" t="s">
        <v>430</v>
      </c>
      <c r="X845" t="s">
        <v>306</v>
      </c>
      <c r="Y845" t="s">
        <v>307</v>
      </c>
      <c r="Z845">
        <v>65</v>
      </c>
      <c r="AA845">
        <v>85</v>
      </c>
      <c r="AB845" t="s">
        <v>143</v>
      </c>
      <c r="AC845" t="s">
        <v>154</v>
      </c>
      <c r="AD845" t="s">
        <v>50</v>
      </c>
      <c r="AE845" t="str">
        <f>IF(AF845="","",VLOOKUP(AC845,mapel!$A$2:$B$42,2,FALSE))</f>
        <v>Math</v>
      </c>
      <c r="AF845">
        <f t="shared" si="39"/>
        <v>85</v>
      </c>
      <c r="AG845" t="str">
        <f>IF(AF845="","",IF(AF845&gt;90,"Sangat baik",IF(AF845&gt;79,"Baik",IF(AF845&gt;=pub_gid_0_single_true_output_csv[[#This Row],[KKM]],"Cukup","Kurang"))))</f>
        <v>Baik</v>
      </c>
      <c r="AH845">
        <f t="shared" si="40"/>
        <v>11</v>
      </c>
      <c r="AI845" s="30" t="str">
        <f>IF(OR(J845&lt;&gt;"Karakter",pub_gid_0_single_true_output_csv[[#This Row],[Nilai2]]=""),"",IF(AF845&gt;89,"Sangat baik",IF(AF845&gt;79,"Baik",IF(AF845&gt;69,"Cukup",IF(AF845&gt;59,"Kurang","Sangat kurang")))))</f>
        <v/>
      </c>
      <c r="AJ845" t="str">
        <f t="shared" si="41"/>
        <v>Wk.6</v>
      </c>
      <c r="AK845" t="str">
        <f>IF(pub_gid_0_single_true_output_csv[[#This Row],[Nilai2]]="","",VLOOKUP(pub_gid_0_single_true_output_csv[[#This Row],[NAMA]],Table7[],3,FALSE))</f>
        <v>Average</v>
      </c>
    </row>
    <row r="846" spans="1:37" x14ac:dyDescent="0.2">
      <c r="A846">
        <v>845</v>
      </c>
      <c r="B846" t="s">
        <v>287</v>
      </c>
      <c r="C846" t="s">
        <v>54</v>
      </c>
      <c r="D846" t="s">
        <v>34</v>
      </c>
      <c r="E846" t="s">
        <v>140</v>
      </c>
      <c r="F846" s="25">
        <v>46064</v>
      </c>
      <c r="G846" t="s">
        <v>352</v>
      </c>
      <c r="H846" t="s">
        <v>412</v>
      </c>
      <c r="I846" t="s">
        <v>371</v>
      </c>
      <c r="J846" t="s">
        <v>36</v>
      </c>
      <c r="K846" t="s">
        <v>37</v>
      </c>
      <c r="L846" t="s">
        <v>150</v>
      </c>
      <c r="M846" t="s">
        <v>141</v>
      </c>
      <c r="N846" t="s">
        <v>142</v>
      </c>
      <c r="O846" t="s">
        <v>155</v>
      </c>
      <c r="P846" t="s">
        <v>281</v>
      </c>
      <c r="Q846" t="s">
        <v>155</v>
      </c>
      <c r="R846" t="s">
        <v>302</v>
      </c>
      <c r="S846" t="s">
        <v>369</v>
      </c>
      <c r="T846">
        <v>1</v>
      </c>
      <c r="U846" t="s">
        <v>428</v>
      </c>
      <c r="V846" t="s">
        <v>342</v>
      </c>
      <c r="W846" t="s">
        <v>430</v>
      </c>
      <c r="X846" t="s">
        <v>306</v>
      </c>
      <c r="Y846" t="s">
        <v>307</v>
      </c>
      <c r="Z846">
        <v>65</v>
      </c>
      <c r="AA846">
        <v>50</v>
      </c>
      <c r="AB846" t="s">
        <v>151</v>
      </c>
      <c r="AC846" t="s">
        <v>154</v>
      </c>
      <c r="AD846" t="s">
        <v>50</v>
      </c>
      <c r="AE846" t="str">
        <f>IF(AF846="","",VLOOKUP(AC846,mapel!$A$2:$B$42,2,FALSE))</f>
        <v>Math</v>
      </c>
      <c r="AF846">
        <f t="shared" si="39"/>
        <v>50</v>
      </c>
      <c r="AG846" t="str">
        <f>IF(AF846="","",IF(AF846&gt;90,"Sangat baik",IF(AF846&gt;79,"Baik",IF(AF846&gt;=pub_gid_0_single_true_output_csv[[#This Row],[KKM]],"Cukup","Kurang"))))</f>
        <v>Kurang</v>
      </c>
      <c r="AH846">
        <f t="shared" si="40"/>
        <v>11</v>
      </c>
      <c r="AI846" s="30" t="str">
        <f>IF(OR(J846&lt;&gt;"Karakter",pub_gid_0_single_true_output_csv[[#This Row],[Nilai2]]=""),"",IF(AF846&gt;89,"Sangat baik",IF(AF846&gt;79,"Baik",IF(AF846&gt;69,"Cukup",IF(AF846&gt;59,"Kurang","Sangat kurang")))))</f>
        <v/>
      </c>
      <c r="AJ846" t="str">
        <f t="shared" si="41"/>
        <v>Wk.7</v>
      </c>
      <c r="AK846" t="str">
        <f>IF(pub_gid_0_single_true_output_csv[[#This Row],[Nilai2]]="","",VLOOKUP(pub_gid_0_single_true_output_csv[[#This Row],[NAMA]],Table7[],3,FALSE))</f>
        <v>Average</v>
      </c>
    </row>
    <row r="847" spans="1:37" x14ac:dyDescent="0.2">
      <c r="A847">
        <v>846</v>
      </c>
      <c r="B847" t="s">
        <v>288</v>
      </c>
      <c r="C847" t="s">
        <v>54</v>
      </c>
      <c r="D847" t="s">
        <v>35</v>
      </c>
      <c r="E847" t="s">
        <v>140</v>
      </c>
      <c r="F847" s="25">
        <v>46036</v>
      </c>
      <c r="G847" t="s">
        <v>353</v>
      </c>
      <c r="H847" t="s">
        <v>405</v>
      </c>
      <c r="I847" t="s">
        <v>371</v>
      </c>
      <c r="J847" t="s">
        <v>36</v>
      </c>
      <c r="K847" t="s">
        <v>37</v>
      </c>
      <c r="L847" t="s">
        <v>150</v>
      </c>
      <c r="M847" t="s">
        <v>141</v>
      </c>
      <c r="N847" t="s">
        <v>142</v>
      </c>
      <c r="O847" t="s">
        <v>155</v>
      </c>
      <c r="P847" t="s">
        <v>281</v>
      </c>
      <c r="Q847" t="s">
        <v>155</v>
      </c>
      <c r="R847" t="s">
        <v>302</v>
      </c>
      <c r="S847" t="s">
        <v>427</v>
      </c>
      <c r="T847">
        <v>1</v>
      </c>
      <c r="U847" t="s">
        <v>428</v>
      </c>
      <c r="V847" t="s">
        <v>285</v>
      </c>
      <c r="W847" t="s">
        <v>429</v>
      </c>
      <c r="X847" t="s">
        <v>391</v>
      </c>
      <c r="Y847" t="s">
        <v>335</v>
      </c>
      <c r="Z847">
        <v>65</v>
      </c>
      <c r="AA847">
        <v>40</v>
      </c>
      <c r="AB847" t="s">
        <v>151</v>
      </c>
      <c r="AC847" t="s">
        <v>154</v>
      </c>
      <c r="AD847" t="s">
        <v>50</v>
      </c>
      <c r="AE847" t="str">
        <f>IF(AF847="","",VLOOKUP(AC847,mapel!$A$2:$B$42,2,FALSE))</f>
        <v>Math</v>
      </c>
      <c r="AF847">
        <f t="shared" si="39"/>
        <v>40</v>
      </c>
      <c r="AG847" t="str">
        <f>IF(AF847="","",IF(AF847&gt;90,"Sangat baik",IF(AF847&gt;79,"Baik",IF(AF847&gt;=pub_gid_0_single_true_output_csv[[#This Row],[KKM]],"Cukup","Kurang"))))</f>
        <v>Kurang</v>
      </c>
      <c r="AH847">
        <f t="shared" si="40"/>
        <v>9</v>
      </c>
      <c r="AI847" s="30" t="str">
        <f>IF(OR(J847&lt;&gt;"Karakter",pub_gid_0_single_true_output_csv[[#This Row],[Nilai2]]=""),"",IF(AF847&gt;89,"Sangat baik",IF(AF847&gt;79,"Baik",IF(AF847&gt;69,"Cukup",IF(AF847&gt;59,"Kurang","Sangat kurang")))))</f>
        <v/>
      </c>
      <c r="AJ847" t="str">
        <f t="shared" si="41"/>
        <v>Wk.3</v>
      </c>
      <c r="AK847" t="str">
        <f>IF(pub_gid_0_single_true_output_csv[[#This Row],[Nilai2]]="","",VLOOKUP(pub_gid_0_single_true_output_csv[[#This Row],[NAMA]],Table7[],3,FALSE))</f>
        <v>Extremely low</v>
      </c>
    </row>
    <row r="848" spans="1:37" x14ac:dyDescent="0.2">
      <c r="A848">
        <v>847</v>
      </c>
      <c r="B848" t="s">
        <v>288</v>
      </c>
      <c r="C848" t="s">
        <v>54</v>
      </c>
      <c r="D848" t="s">
        <v>35</v>
      </c>
      <c r="E848" t="s">
        <v>140</v>
      </c>
      <c r="F848" s="25">
        <v>46036</v>
      </c>
      <c r="G848" t="s">
        <v>353</v>
      </c>
      <c r="H848" t="s">
        <v>405</v>
      </c>
      <c r="I848" t="s">
        <v>371</v>
      </c>
      <c r="J848" t="s">
        <v>36</v>
      </c>
      <c r="K848" t="s">
        <v>37</v>
      </c>
      <c r="L848" t="s">
        <v>150</v>
      </c>
      <c r="M848" t="s">
        <v>141</v>
      </c>
      <c r="N848" t="s">
        <v>142</v>
      </c>
      <c r="O848" t="s">
        <v>155</v>
      </c>
      <c r="P848" t="s">
        <v>281</v>
      </c>
      <c r="Q848" t="s">
        <v>155</v>
      </c>
      <c r="R848" t="s">
        <v>302</v>
      </c>
      <c r="S848" t="s">
        <v>369</v>
      </c>
      <c r="T848">
        <v>1</v>
      </c>
      <c r="U848" t="s">
        <v>428</v>
      </c>
      <c r="V848" t="s">
        <v>342</v>
      </c>
      <c r="W848" t="s">
        <v>430</v>
      </c>
      <c r="X848" t="s">
        <v>306</v>
      </c>
      <c r="Y848" t="s">
        <v>307</v>
      </c>
      <c r="Z848">
        <v>65</v>
      </c>
      <c r="AA848">
        <v>100</v>
      </c>
      <c r="AB848" t="s">
        <v>143</v>
      </c>
      <c r="AC848" t="s">
        <v>154</v>
      </c>
      <c r="AD848" t="s">
        <v>50</v>
      </c>
      <c r="AE848" t="str">
        <f>IF(AF848="","",VLOOKUP(AC848,mapel!$A$2:$B$42,2,FALSE))</f>
        <v>Math</v>
      </c>
      <c r="AF848">
        <f t="shared" si="39"/>
        <v>100</v>
      </c>
      <c r="AG848" t="str">
        <f>IF(AF848="","",IF(AF848&gt;90,"Sangat baik",IF(AF848&gt;79,"Baik",IF(AF848&gt;=pub_gid_0_single_true_output_csv[[#This Row],[KKM]],"Cukup","Kurang"))))</f>
        <v>Sangat baik</v>
      </c>
      <c r="AH848">
        <f t="shared" si="40"/>
        <v>11</v>
      </c>
      <c r="AI848" s="30" t="str">
        <f>IF(OR(J848&lt;&gt;"Karakter",pub_gid_0_single_true_output_csv[[#This Row],[Nilai2]]=""),"",IF(AF848&gt;89,"Sangat baik",IF(AF848&gt;79,"Baik",IF(AF848&gt;69,"Cukup",IF(AF848&gt;59,"Kurang","Sangat kurang")))))</f>
        <v/>
      </c>
      <c r="AJ848" t="str">
        <f t="shared" si="41"/>
        <v>Wk.3</v>
      </c>
      <c r="AK848" t="str">
        <f>IF(pub_gid_0_single_true_output_csv[[#This Row],[Nilai2]]="","",VLOOKUP(pub_gid_0_single_true_output_csv[[#This Row],[NAMA]],Table7[],3,FALSE))</f>
        <v>Extremely low</v>
      </c>
    </row>
    <row r="849" spans="1:37" x14ac:dyDescent="0.2">
      <c r="A849">
        <v>848</v>
      </c>
      <c r="B849" t="s">
        <v>288</v>
      </c>
      <c r="C849" t="s">
        <v>54</v>
      </c>
      <c r="D849" t="s">
        <v>35</v>
      </c>
      <c r="E849" t="s">
        <v>140</v>
      </c>
      <c r="F849" s="25">
        <v>46041</v>
      </c>
      <c r="G849" t="s">
        <v>370</v>
      </c>
      <c r="H849" t="s">
        <v>405</v>
      </c>
      <c r="I849" t="s">
        <v>371</v>
      </c>
      <c r="J849" t="s">
        <v>36</v>
      </c>
      <c r="K849" t="s">
        <v>37</v>
      </c>
      <c r="L849" t="s">
        <v>150</v>
      </c>
      <c r="M849" t="s">
        <v>141</v>
      </c>
      <c r="N849" t="s">
        <v>142</v>
      </c>
      <c r="O849" t="s">
        <v>155</v>
      </c>
      <c r="P849" t="s">
        <v>281</v>
      </c>
      <c r="Q849" t="s">
        <v>155</v>
      </c>
      <c r="R849" t="s">
        <v>302</v>
      </c>
      <c r="S849" t="s">
        <v>427</v>
      </c>
      <c r="T849">
        <v>1</v>
      </c>
      <c r="U849" t="s">
        <v>428</v>
      </c>
      <c r="V849" t="s">
        <v>285</v>
      </c>
      <c r="W849" t="s">
        <v>429</v>
      </c>
      <c r="X849" t="s">
        <v>391</v>
      </c>
      <c r="Y849" t="s">
        <v>335</v>
      </c>
      <c r="Z849">
        <v>65</v>
      </c>
      <c r="AA849">
        <v>0</v>
      </c>
      <c r="AB849" t="s">
        <v>151</v>
      </c>
      <c r="AC849" t="s">
        <v>154</v>
      </c>
      <c r="AD849" t="s">
        <v>50</v>
      </c>
      <c r="AE849" t="str">
        <f>IF(AF849="","",VLOOKUP(AC849,mapel!$A$2:$B$42,2,FALSE))</f>
        <v/>
      </c>
      <c r="AF849" t="str">
        <f t="shared" si="39"/>
        <v/>
      </c>
      <c r="AG849" t="str">
        <f>IF(AF849="","",IF(AF849&gt;90,"Sangat baik",IF(AF849&gt;79,"Baik",IF(AF849&gt;=pub_gid_0_single_true_output_csv[[#This Row],[KKM]],"Cukup","Kurang"))))</f>
        <v/>
      </c>
      <c r="AH849" t="str">
        <f t="shared" si="40"/>
        <v/>
      </c>
      <c r="AI849" s="30" t="str">
        <f>IF(OR(J849&lt;&gt;"Karakter",pub_gid_0_single_true_output_csv[[#This Row],[Nilai2]]=""),"",IF(AF849&gt;89,"Sangat baik",IF(AF849&gt;79,"Baik",IF(AF849&gt;69,"Cukup",IF(AF849&gt;59,"Kurang","Sangat kurang")))))</f>
        <v/>
      </c>
      <c r="AJ849" t="str">
        <f t="shared" si="41"/>
        <v/>
      </c>
      <c r="AK849" t="str">
        <f>IF(pub_gid_0_single_true_output_csv[[#This Row],[Nilai2]]="","",VLOOKUP(pub_gid_0_single_true_output_csv[[#This Row],[NAMA]],Table7[],3,FALSE))</f>
        <v/>
      </c>
    </row>
    <row r="850" spans="1:37" x14ac:dyDescent="0.2">
      <c r="A850">
        <v>849</v>
      </c>
      <c r="B850" t="s">
        <v>288</v>
      </c>
      <c r="C850" t="s">
        <v>54</v>
      </c>
      <c r="D850" t="s">
        <v>35</v>
      </c>
      <c r="E850" t="s">
        <v>140</v>
      </c>
      <c r="F850" s="25">
        <v>46041</v>
      </c>
      <c r="G850" t="s">
        <v>370</v>
      </c>
      <c r="H850" t="s">
        <v>405</v>
      </c>
      <c r="I850" t="s">
        <v>371</v>
      </c>
      <c r="J850" t="s">
        <v>90</v>
      </c>
      <c r="K850" t="s">
        <v>377</v>
      </c>
      <c r="L850" t="s">
        <v>399</v>
      </c>
      <c r="M850" t="s">
        <v>141</v>
      </c>
      <c r="N850" t="s">
        <v>142</v>
      </c>
      <c r="O850" t="s">
        <v>155</v>
      </c>
      <c r="P850" t="s">
        <v>281</v>
      </c>
      <c r="Q850" t="s">
        <v>155</v>
      </c>
      <c r="R850" t="s">
        <v>302</v>
      </c>
      <c r="S850" t="s">
        <v>369</v>
      </c>
      <c r="T850">
        <v>1</v>
      </c>
      <c r="U850" t="s">
        <v>428</v>
      </c>
      <c r="V850" t="s">
        <v>342</v>
      </c>
      <c r="W850" t="s">
        <v>430</v>
      </c>
      <c r="X850" t="s">
        <v>306</v>
      </c>
      <c r="Y850" t="s">
        <v>307</v>
      </c>
      <c r="Z850">
        <v>65</v>
      </c>
      <c r="AA850">
        <v>0</v>
      </c>
      <c r="AB850" t="s">
        <v>151</v>
      </c>
      <c r="AC850" t="s">
        <v>154</v>
      </c>
      <c r="AD850" t="s">
        <v>50</v>
      </c>
      <c r="AE850" t="str">
        <f>IF(AF850="","",VLOOKUP(AC850,mapel!$A$2:$B$42,2,FALSE))</f>
        <v/>
      </c>
      <c r="AF850" t="str">
        <f t="shared" si="39"/>
        <v/>
      </c>
      <c r="AG850" t="str">
        <f>IF(AF850="","",IF(AF850&gt;90,"Sangat baik",IF(AF850&gt;79,"Baik",IF(AF850&gt;=pub_gid_0_single_true_output_csv[[#This Row],[KKM]],"Cukup","Kurang"))))</f>
        <v/>
      </c>
      <c r="AH850" t="str">
        <f t="shared" si="40"/>
        <v/>
      </c>
      <c r="AI850" s="30" t="str">
        <f>IF(OR(J850&lt;&gt;"Karakter",pub_gid_0_single_true_output_csv[[#This Row],[Nilai2]]=""),"",IF(AF850&gt;89,"Sangat baik",IF(AF850&gt;79,"Baik",IF(AF850&gt;69,"Cukup",IF(AF850&gt;59,"Kurang","Sangat kurang")))))</f>
        <v/>
      </c>
      <c r="AJ850" t="str">
        <f t="shared" si="41"/>
        <v/>
      </c>
      <c r="AK850" t="str">
        <f>IF(pub_gid_0_single_true_output_csv[[#This Row],[Nilai2]]="","",VLOOKUP(pub_gid_0_single_true_output_csv[[#This Row],[NAMA]],Table7[],3,FALSE))</f>
        <v/>
      </c>
    </row>
    <row r="851" spans="1:37" x14ac:dyDescent="0.2">
      <c r="A851">
        <v>850</v>
      </c>
      <c r="B851" t="s">
        <v>288</v>
      </c>
      <c r="C851" t="s">
        <v>54</v>
      </c>
      <c r="D851" t="s">
        <v>35</v>
      </c>
      <c r="E851" t="s">
        <v>140</v>
      </c>
      <c r="F851" s="25">
        <v>46043</v>
      </c>
      <c r="G851" t="s">
        <v>341</v>
      </c>
      <c r="H851" t="s">
        <v>405</v>
      </c>
      <c r="I851" t="s">
        <v>371</v>
      </c>
      <c r="J851" t="s">
        <v>36</v>
      </c>
      <c r="K851" t="s">
        <v>37</v>
      </c>
      <c r="L851" t="s">
        <v>150</v>
      </c>
      <c r="M851" t="s">
        <v>141</v>
      </c>
      <c r="N851" t="s">
        <v>142</v>
      </c>
      <c r="O851" t="s">
        <v>155</v>
      </c>
      <c r="P851" t="s">
        <v>281</v>
      </c>
      <c r="Q851" t="s">
        <v>155</v>
      </c>
      <c r="R851" t="s">
        <v>302</v>
      </c>
      <c r="S851" t="s">
        <v>427</v>
      </c>
      <c r="T851">
        <v>1</v>
      </c>
      <c r="U851" t="s">
        <v>428</v>
      </c>
      <c r="V851" t="s">
        <v>285</v>
      </c>
      <c r="W851" t="s">
        <v>429</v>
      </c>
      <c r="X851" t="s">
        <v>391</v>
      </c>
      <c r="Y851" t="s">
        <v>335</v>
      </c>
      <c r="Z851">
        <v>65</v>
      </c>
      <c r="AA851">
        <v>40</v>
      </c>
      <c r="AB851" t="s">
        <v>151</v>
      </c>
      <c r="AC851" t="s">
        <v>154</v>
      </c>
      <c r="AD851" t="s">
        <v>50</v>
      </c>
      <c r="AE851" t="str">
        <f>IF(AF851="","",VLOOKUP(AC851,mapel!$A$2:$B$42,2,FALSE))</f>
        <v>Math</v>
      </c>
      <c r="AF851">
        <f t="shared" si="39"/>
        <v>40</v>
      </c>
      <c r="AG851" t="str">
        <f>IF(AF851="","",IF(AF851&gt;90,"Sangat baik",IF(AF851&gt;79,"Baik",IF(AF851&gt;=pub_gid_0_single_true_output_csv[[#This Row],[KKM]],"Cukup","Kurang"))))</f>
        <v>Kurang</v>
      </c>
      <c r="AH851">
        <f t="shared" si="40"/>
        <v>9</v>
      </c>
      <c r="AI851" s="30" t="str">
        <f>IF(OR(J851&lt;&gt;"Karakter",pub_gid_0_single_true_output_csv[[#This Row],[Nilai2]]=""),"",IF(AF851&gt;89,"Sangat baik",IF(AF851&gt;79,"Baik",IF(AF851&gt;69,"Cukup",IF(AF851&gt;59,"Kurang","Sangat kurang")))))</f>
        <v/>
      </c>
      <c r="AJ851" t="str">
        <f t="shared" si="41"/>
        <v>Wk.4</v>
      </c>
      <c r="AK851" t="str">
        <f>IF(pub_gid_0_single_true_output_csv[[#This Row],[Nilai2]]="","",VLOOKUP(pub_gid_0_single_true_output_csv[[#This Row],[NAMA]],Table7[],3,FALSE))</f>
        <v>Extremely low</v>
      </c>
    </row>
    <row r="852" spans="1:37" x14ac:dyDescent="0.2">
      <c r="A852">
        <v>851</v>
      </c>
      <c r="B852" t="s">
        <v>288</v>
      </c>
      <c r="C852" t="s">
        <v>54</v>
      </c>
      <c r="D852" t="s">
        <v>35</v>
      </c>
      <c r="E852" t="s">
        <v>140</v>
      </c>
      <c r="F852" s="25">
        <v>46043</v>
      </c>
      <c r="G852" t="s">
        <v>341</v>
      </c>
      <c r="H852" t="s">
        <v>405</v>
      </c>
      <c r="I852" t="s">
        <v>371</v>
      </c>
      <c r="J852" t="s">
        <v>90</v>
      </c>
      <c r="K852" t="s">
        <v>377</v>
      </c>
      <c r="L852" t="s">
        <v>399</v>
      </c>
      <c r="M852" t="s">
        <v>141</v>
      </c>
      <c r="N852" t="s">
        <v>142</v>
      </c>
      <c r="O852" t="s">
        <v>155</v>
      </c>
      <c r="P852" t="s">
        <v>281</v>
      </c>
      <c r="Q852" t="s">
        <v>155</v>
      </c>
      <c r="R852" t="s">
        <v>302</v>
      </c>
      <c r="S852" t="s">
        <v>427</v>
      </c>
      <c r="T852">
        <v>1</v>
      </c>
      <c r="U852" t="s">
        <v>428</v>
      </c>
      <c r="V852" t="s">
        <v>285</v>
      </c>
      <c r="W852" t="s">
        <v>429</v>
      </c>
      <c r="X852" t="s">
        <v>391</v>
      </c>
      <c r="Y852" t="s">
        <v>335</v>
      </c>
      <c r="Z852">
        <v>65</v>
      </c>
      <c r="AA852">
        <v>90</v>
      </c>
      <c r="AB852" t="s">
        <v>143</v>
      </c>
      <c r="AC852" t="s">
        <v>154</v>
      </c>
      <c r="AD852" t="s">
        <v>50</v>
      </c>
      <c r="AE852" t="str">
        <f>IF(AF852="","",VLOOKUP(AC852,mapel!$A$2:$B$42,2,FALSE))</f>
        <v>Math</v>
      </c>
      <c r="AF852">
        <f t="shared" si="39"/>
        <v>90</v>
      </c>
      <c r="AG852" t="str">
        <f>IF(AF852="","",IF(AF852&gt;90,"Sangat baik",IF(AF852&gt;79,"Baik",IF(AF852&gt;=pub_gid_0_single_true_output_csv[[#This Row],[KKM]],"Cukup","Kurang"))))</f>
        <v>Baik</v>
      </c>
      <c r="AH852">
        <f t="shared" si="40"/>
        <v>9</v>
      </c>
      <c r="AI852" s="30" t="str">
        <f>IF(OR(J852&lt;&gt;"Karakter",pub_gid_0_single_true_output_csv[[#This Row],[Nilai2]]=""),"",IF(AF852&gt;89,"Sangat baik",IF(AF852&gt;79,"Baik",IF(AF852&gt;69,"Cukup",IF(AF852&gt;59,"Kurang","Sangat kurang")))))</f>
        <v>Sangat baik</v>
      </c>
      <c r="AJ852" t="str">
        <f t="shared" si="41"/>
        <v>Wk.4</v>
      </c>
      <c r="AK852" t="str">
        <f>IF(pub_gid_0_single_true_output_csv[[#This Row],[Nilai2]]="","",VLOOKUP(pub_gid_0_single_true_output_csv[[#This Row],[NAMA]],Table7[],3,FALSE))</f>
        <v>Extremely low</v>
      </c>
    </row>
    <row r="853" spans="1:37" x14ac:dyDescent="0.2">
      <c r="A853">
        <v>852</v>
      </c>
      <c r="B853" t="s">
        <v>288</v>
      </c>
      <c r="C853" t="s">
        <v>54</v>
      </c>
      <c r="D853" t="s">
        <v>35</v>
      </c>
      <c r="E853" t="s">
        <v>140</v>
      </c>
      <c r="F853" s="25">
        <v>46041</v>
      </c>
      <c r="G853" t="s">
        <v>370</v>
      </c>
      <c r="H853" t="s">
        <v>405</v>
      </c>
      <c r="I853" t="s">
        <v>371</v>
      </c>
      <c r="J853" t="s">
        <v>36</v>
      </c>
      <c r="K853" t="s">
        <v>37</v>
      </c>
      <c r="L853" t="s">
        <v>321</v>
      </c>
      <c r="M853" t="s">
        <v>141</v>
      </c>
      <c r="N853" t="s">
        <v>142</v>
      </c>
      <c r="O853" t="s">
        <v>155</v>
      </c>
      <c r="P853" t="s">
        <v>281</v>
      </c>
      <c r="Q853" t="s">
        <v>155</v>
      </c>
      <c r="R853" t="s">
        <v>302</v>
      </c>
      <c r="S853" t="s">
        <v>427</v>
      </c>
      <c r="T853">
        <v>1</v>
      </c>
      <c r="U853" t="s">
        <v>428</v>
      </c>
      <c r="V853" t="s">
        <v>285</v>
      </c>
      <c r="W853" t="s">
        <v>429</v>
      </c>
      <c r="X853" t="s">
        <v>391</v>
      </c>
      <c r="Y853" t="s">
        <v>335</v>
      </c>
      <c r="Z853">
        <v>65</v>
      </c>
      <c r="AA853">
        <v>0</v>
      </c>
      <c r="AB853" t="s">
        <v>151</v>
      </c>
      <c r="AC853" t="s">
        <v>154</v>
      </c>
      <c r="AD853" t="s">
        <v>50</v>
      </c>
      <c r="AE853" t="str">
        <f>IF(AF853="","",VLOOKUP(AC853,mapel!$A$2:$B$42,2,FALSE))</f>
        <v/>
      </c>
      <c r="AF853" t="str">
        <f t="shared" si="39"/>
        <v/>
      </c>
      <c r="AG853" t="str">
        <f>IF(AF853="","",IF(AF853&gt;90,"Sangat baik",IF(AF853&gt;79,"Baik",IF(AF853&gt;=pub_gid_0_single_true_output_csv[[#This Row],[KKM]],"Cukup","Kurang"))))</f>
        <v/>
      </c>
      <c r="AH853" t="str">
        <f t="shared" si="40"/>
        <v/>
      </c>
      <c r="AI853" s="30" t="str">
        <f>IF(OR(J853&lt;&gt;"Karakter",pub_gid_0_single_true_output_csv[[#This Row],[Nilai2]]=""),"",IF(AF853&gt;89,"Sangat baik",IF(AF853&gt;79,"Baik",IF(AF853&gt;69,"Cukup",IF(AF853&gt;59,"Kurang","Sangat kurang")))))</f>
        <v/>
      </c>
      <c r="AJ853" t="str">
        <f t="shared" si="41"/>
        <v/>
      </c>
      <c r="AK853" t="str">
        <f>IF(pub_gid_0_single_true_output_csv[[#This Row],[Nilai2]]="","",VLOOKUP(pub_gid_0_single_true_output_csv[[#This Row],[NAMA]],Table7[],3,FALSE))</f>
        <v/>
      </c>
    </row>
    <row r="854" spans="1:37" x14ac:dyDescent="0.2">
      <c r="A854">
        <v>853</v>
      </c>
      <c r="B854" t="s">
        <v>288</v>
      </c>
      <c r="C854" t="s">
        <v>54</v>
      </c>
      <c r="D854" t="s">
        <v>35</v>
      </c>
      <c r="E854" t="s">
        <v>140</v>
      </c>
      <c r="F854" s="25">
        <v>46041</v>
      </c>
      <c r="G854" t="s">
        <v>370</v>
      </c>
      <c r="H854" t="s">
        <v>405</v>
      </c>
      <c r="I854" t="s">
        <v>371</v>
      </c>
      <c r="J854" t="s">
        <v>36</v>
      </c>
      <c r="K854" t="s">
        <v>37</v>
      </c>
      <c r="L854" t="s">
        <v>321</v>
      </c>
      <c r="M854" t="s">
        <v>141</v>
      </c>
      <c r="N854" t="s">
        <v>142</v>
      </c>
      <c r="O854" t="s">
        <v>155</v>
      </c>
      <c r="P854" t="s">
        <v>281</v>
      </c>
      <c r="Q854" t="s">
        <v>155</v>
      </c>
      <c r="R854" t="s">
        <v>302</v>
      </c>
      <c r="S854" t="s">
        <v>369</v>
      </c>
      <c r="T854">
        <v>1</v>
      </c>
      <c r="U854" t="s">
        <v>428</v>
      </c>
      <c r="V854" t="s">
        <v>342</v>
      </c>
      <c r="W854" t="s">
        <v>430</v>
      </c>
      <c r="X854" t="s">
        <v>306</v>
      </c>
      <c r="Y854" t="s">
        <v>307</v>
      </c>
      <c r="Z854">
        <v>65</v>
      </c>
      <c r="AA854">
        <v>70</v>
      </c>
      <c r="AB854" t="s">
        <v>143</v>
      </c>
      <c r="AC854" t="s">
        <v>154</v>
      </c>
      <c r="AD854" t="s">
        <v>50</v>
      </c>
      <c r="AE854" t="str">
        <f>IF(AF854="","",VLOOKUP(AC854,mapel!$A$2:$B$42,2,FALSE))</f>
        <v>Math</v>
      </c>
      <c r="AF854">
        <f t="shared" si="39"/>
        <v>70</v>
      </c>
      <c r="AG854" t="str">
        <f>IF(AF854="","",IF(AF854&gt;90,"Sangat baik",IF(AF854&gt;79,"Baik",IF(AF854&gt;=pub_gid_0_single_true_output_csv[[#This Row],[KKM]],"Cukup","Kurang"))))</f>
        <v>Cukup</v>
      </c>
      <c r="AH854">
        <f t="shared" si="40"/>
        <v>11</v>
      </c>
      <c r="AI854" s="30" t="str">
        <f>IF(OR(J854&lt;&gt;"Karakter",pub_gid_0_single_true_output_csv[[#This Row],[Nilai2]]=""),"",IF(AF854&gt;89,"Sangat baik",IF(AF854&gt;79,"Baik",IF(AF854&gt;69,"Cukup",IF(AF854&gt;59,"Kurang","Sangat kurang")))))</f>
        <v/>
      </c>
      <c r="AJ854" t="str">
        <f t="shared" si="41"/>
        <v>Wk.4</v>
      </c>
      <c r="AK854" t="str">
        <f>IF(pub_gid_0_single_true_output_csv[[#This Row],[Nilai2]]="","",VLOOKUP(pub_gid_0_single_true_output_csv[[#This Row],[NAMA]],Table7[],3,FALSE))</f>
        <v>Extremely low</v>
      </c>
    </row>
    <row r="855" spans="1:37" x14ac:dyDescent="0.2">
      <c r="A855">
        <v>854</v>
      </c>
      <c r="B855" t="s">
        <v>288</v>
      </c>
      <c r="C855" t="s">
        <v>54</v>
      </c>
      <c r="D855" t="s">
        <v>35</v>
      </c>
      <c r="E855" t="s">
        <v>140</v>
      </c>
      <c r="F855" s="25">
        <v>46050</v>
      </c>
      <c r="G855" t="s">
        <v>308</v>
      </c>
      <c r="H855" t="s">
        <v>405</v>
      </c>
      <c r="I855" t="s">
        <v>371</v>
      </c>
      <c r="J855" t="s">
        <v>36</v>
      </c>
      <c r="K855" t="s">
        <v>37</v>
      </c>
      <c r="L855" t="s">
        <v>150</v>
      </c>
      <c r="M855" t="s">
        <v>141</v>
      </c>
      <c r="N855" t="s">
        <v>142</v>
      </c>
      <c r="O855" t="s">
        <v>155</v>
      </c>
      <c r="P855" t="s">
        <v>281</v>
      </c>
      <c r="Q855" t="s">
        <v>155</v>
      </c>
      <c r="R855" t="s">
        <v>302</v>
      </c>
      <c r="S855" t="s">
        <v>427</v>
      </c>
      <c r="T855">
        <v>1</v>
      </c>
      <c r="U855" t="s">
        <v>428</v>
      </c>
      <c r="V855" t="s">
        <v>285</v>
      </c>
      <c r="W855" t="s">
        <v>429</v>
      </c>
      <c r="X855" t="s">
        <v>391</v>
      </c>
      <c r="Y855" t="s">
        <v>335</v>
      </c>
      <c r="Z855">
        <v>65</v>
      </c>
      <c r="AA855">
        <v>0</v>
      </c>
      <c r="AB855" t="s">
        <v>151</v>
      </c>
      <c r="AC855" t="s">
        <v>154</v>
      </c>
      <c r="AD855" t="s">
        <v>50</v>
      </c>
      <c r="AE855" t="str">
        <f>IF(AF855="","",VLOOKUP(AC855,mapel!$A$2:$B$42,2,FALSE))</f>
        <v/>
      </c>
      <c r="AF855" t="str">
        <f t="shared" si="39"/>
        <v/>
      </c>
      <c r="AG855" t="str">
        <f>IF(AF855="","",IF(AF855&gt;90,"Sangat baik",IF(AF855&gt;79,"Baik",IF(AF855&gt;=pub_gid_0_single_true_output_csv[[#This Row],[KKM]],"Cukup","Kurang"))))</f>
        <v/>
      </c>
      <c r="AH855" t="str">
        <f t="shared" si="40"/>
        <v/>
      </c>
      <c r="AI855" s="30" t="str">
        <f>IF(OR(J855&lt;&gt;"Karakter",pub_gid_0_single_true_output_csv[[#This Row],[Nilai2]]=""),"",IF(AF855&gt;89,"Sangat baik",IF(AF855&gt;79,"Baik",IF(AF855&gt;69,"Cukup",IF(AF855&gt;59,"Kurang","Sangat kurang")))))</f>
        <v/>
      </c>
      <c r="AJ855" t="str">
        <f t="shared" si="41"/>
        <v/>
      </c>
      <c r="AK855" t="str">
        <f>IF(pub_gid_0_single_true_output_csv[[#This Row],[Nilai2]]="","",VLOOKUP(pub_gid_0_single_true_output_csv[[#This Row],[NAMA]],Table7[],3,FALSE))</f>
        <v/>
      </c>
    </row>
    <row r="856" spans="1:37" x14ac:dyDescent="0.2">
      <c r="A856">
        <v>855</v>
      </c>
      <c r="B856" t="s">
        <v>288</v>
      </c>
      <c r="C856" t="s">
        <v>54</v>
      </c>
      <c r="D856" t="s">
        <v>35</v>
      </c>
      <c r="E856" t="s">
        <v>140</v>
      </c>
      <c r="F856" s="25">
        <v>46057</v>
      </c>
      <c r="G856" t="s">
        <v>348</v>
      </c>
      <c r="H856" t="s">
        <v>412</v>
      </c>
      <c r="I856" t="s">
        <v>371</v>
      </c>
      <c r="J856" t="s">
        <v>36</v>
      </c>
      <c r="K856" t="s">
        <v>37</v>
      </c>
      <c r="L856" t="s">
        <v>150</v>
      </c>
      <c r="M856" t="s">
        <v>141</v>
      </c>
      <c r="N856" t="s">
        <v>142</v>
      </c>
      <c r="O856" t="s">
        <v>155</v>
      </c>
      <c r="P856" t="s">
        <v>281</v>
      </c>
      <c r="Q856" t="s">
        <v>155</v>
      </c>
      <c r="R856" t="s">
        <v>302</v>
      </c>
      <c r="S856" t="s">
        <v>369</v>
      </c>
      <c r="T856">
        <v>1</v>
      </c>
      <c r="U856" t="s">
        <v>428</v>
      </c>
      <c r="V856" t="s">
        <v>342</v>
      </c>
      <c r="W856" t="s">
        <v>430</v>
      </c>
      <c r="X856" t="s">
        <v>306</v>
      </c>
      <c r="Y856" t="s">
        <v>307</v>
      </c>
      <c r="Z856">
        <v>65</v>
      </c>
      <c r="AA856">
        <v>100</v>
      </c>
      <c r="AB856" t="s">
        <v>143</v>
      </c>
      <c r="AC856" t="s">
        <v>154</v>
      </c>
      <c r="AD856" t="s">
        <v>50</v>
      </c>
      <c r="AE856" t="str">
        <f>IF(AF856="","",VLOOKUP(AC856,mapel!$A$2:$B$42,2,FALSE))</f>
        <v>Math</v>
      </c>
      <c r="AF856">
        <f t="shared" si="39"/>
        <v>100</v>
      </c>
      <c r="AG856" t="str">
        <f>IF(AF856="","",IF(AF856&gt;90,"Sangat baik",IF(AF856&gt;79,"Baik",IF(AF856&gt;=pub_gid_0_single_true_output_csv[[#This Row],[KKM]],"Cukup","Kurang"))))</f>
        <v>Sangat baik</v>
      </c>
      <c r="AH856">
        <f t="shared" si="40"/>
        <v>11</v>
      </c>
      <c r="AI856" s="30" t="str">
        <f>IF(OR(J856&lt;&gt;"Karakter",pub_gid_0_single_true_output_csv[[#This Row],[Nilai2]]=""),"",IF(AF856&gt;89,"Sangat baik",IF(AF856&gt;79,"Baik",IF(AF856&gt;69,"Cukup",IF(AF856&gt;59,"Kurang","Sangat kurang")))))</f>
        <v/>
      </c>
      <c r="AJ856" t="str">
        <f t="shared" si="41"/>
        <v>Wk.6</v>
      </c>
      <c r="AK856" t="str">
        <f>IF(pub_gid_0_single_true_output_csv[[#This Row],[Nilai2]]="","",VLOOKUP(pub_gid_0_single_true_output_csv[[#This Row],[NAMA]],Table7[],3,FALSE))</f>
        <v>Extremely low</v>
      </c>
    </row>
    <row r="857" spans="1:37" x14ac:dyDescent="0.2">
      <c r="A857">
        <v>856</v>
      </c>
      <c r="B857" t="s">
        <v>288</v>
      </c>
      <c r="C857" t="s">
        <v>54</v>
      </c>
      <c r="D857" t="s">
        <v>35</v>
      </c>
      <c r="E857" t="s">
        <v>140</v>
      </c>
      <c r="F857" s="25">
        <v>46059</v>
      </c>
      <c r="G857" t="s">
        <v>349</v>
      </c>
      <c r="H857" t="s">
        <v>412</v>
      </c>
      <c r="I857" t="s">
        <v>371</v>
      </c>
      <c r="J857" t="s">
        <v>36</v>
      </c>
      <c r="K857" t="s">
        <v>37</v>
      </c>
      <c r="L857" t="s">
        <v>150</v>
      </c>
      <c r="M857" t="s">
        <v>141</v>
      </c>
      <c r="N857" t="s">
        <v>142</v>
      </c>
      <c r="O857" t="s">
        <v>155</v>
      </c>
      <c r="P857" t="s">
        <v>281</v>
      </c>
      <c r="Q857" t="s">
        <v>155</v>
      </c>
      <c r="R857" t="s">
        <v>302</v>
      </c>
      <c r="S857" t="s">
        <v>369</v>
      </c>
      <c r="T857">
        <v>1</v>
      </c>
      <c r="U857" t="s">
        <v>428</v>
      </c>
      <c r="V857" t="s">
        <v>342</v>
      </c>
      <c r="W857" t="s">
        <v>430</v>
      </c>
      <c r="X857" t="s">
        <v>306</v>
      </c>
      <c r="Y857" t="s">
        <v>307</v>
      </c>
      <c r="Z857">
        <v>65</v>
      </c>
      <c r="AA857">
        <v>100</v>
      </c>
      <c r="AB857" t="s">
        <v>143</v>
      </c>
      <c r="AC857" t="s">
        <v>154</v>
      </c>
      <c r="AD857" t="s">
        <v>50</v>
      </c>
      <c r="AE857" t="str">
        <f>IF(AF857="","",VLOOKUP(AC857,mapel!$A$2:$B$42,2,FALSE))</f>
        <v>Math</v>
      </c>
      <c r="AF857">
        <f t="shared" si="39"/>
        <v>100</v>
      </c>
      <c r="AG857" t="str">
        <f>IF(AF857="","",IF(AF857&gt;90,"Sangat baik",IF(AF857&gt;79,"Baik",IF(AF857&gt;=pub_gid_0_single_true_output_csv[[#This Row],[KKM]],"Cukup","Kurang"))))</f>
        <v>Sangat baik</v>
      </c>
      <c r="AH857">
        <f t="shared" si="40"/>
        <v>11</v>
      </c>
      <c r="AI857" s="30" t="str">
        <f>IF(OR(J857&lt;&gt;"Karakter",pub_gid_0_single_true_output_csv[[#This Row],[Nilai2]]=""),"",IF(AF857&gt;89,"Sangat baik",IF(AF857&gt;79,"Baik",IF(AF857&gt;69,"Cukup",IF(AF857&gt;59,"Kurang","Sangat kurang")))))</f>
        <v/>
      </c>
      <c r="AJ857" t="str">
        <f t="shared" si="41"/>
        <v>Wk.6</v>
      </c>
      <c r="AK857" t="str">
        <f>IF(pub_gid_0_single_true_output_csv[[#This Row],[Nilai2]]="","",VLOOKUP(pub_gid_0_single_true_output_csv[[#This Row],[NAMA]],Table7[],3,FALSE))</f>
        <v>Extremely low</v>
      </c>
    </row>
    <row r="858" spans="1:37" x14ac:dyDescent="0.2">
      <c r="A858">
        <v>857</v>
      </c>
      <c r="B858" t="s">
        <v>288</v>
      </c>
      <c r="C858" t="s">
        <v>54</v>
      </c>
      <c r="D858" t="s">
        <v>35</v>
      </c>
      <c r="E858" t="s">
        <v>140</v>
      </c>
      <c r="F858" s="25">
        <v>46062</v>
      </c>
      <c r="G858" t="s">
        <v>376</v>
      </c>
      <c r="H858" t="s">
        <v>412</v>
      </c>
      <c r="I858" t="s">
        <v>371</v>
      </c>
      <c r="J858" t="s">
        <v>36</v>
      </c>
      <c r="K858" t="s">
        <v>37</v>
      </c>
      <c r="L858" t="s">
        <v>150</v>
      </c>
      <c r="M858" t="s">
        <v>141</v>
      </c>
      <c r="N858" t="s">
        <v>142</v>
      </c>
      <c r="O858" t="s">
        <v>155</v>
      </c>
      <c r="P858" t="s">
        <v>281</v>
      </c>
      <c r="Q858" t="s">
        <v>155</v>
      </c>
      <c r="R858" t="s">
        <v>302</v>
      </c>
      <c r="S858" t="s">
        <v>369</v>
      </c>
      <c r="T858">
        <v>1</v>
      </c>
      <c r="U858" t="s">
        <v>428</v>
      </c>
      <c r="V858" t="s">
        <v>342</v>
      </c>
      <c r="W858" t="s">
        <v>430</v>
      </c>
      <c r="X858" t="s">
        <v>306</v>
      </c>
      <c r="Y858" t="s">
        <v>307</v>
      </c>
      <c r="Z858">
        <v>65</v>
      </c>
      <c r="AA858">
        <v>80</v>
      </c>
      <c r="AB858" t="s">
        <v>143</v>
      </c>
      <c r="AC858" t="s">
        <v>154</v>
      </c>
      <c r="AD858" t="s">
        <v>50</v>
      </c>
      <c r="AE858" t="str">
        <f>IF(AF858="","",VLOOKUP(AC858,mapel!$A$2:$B$42,2,FALSE))</f>
        <v>Math</v>
      </c>
      <c r="AF858">
        <f t="shared" si="39"/>
        <v>80</v>
      </c>
      <c r="AG858" t="str">
        <f>IF(AF858="","",IF(AF858&gt;90,"Sangat baik",IF(AF858&gt;79,"Baik",IF(AF858&gt;=pub_gid_0_single_true_output_csv[[#This Row],[KKM]],"Cukup","Kurang"))))</f>
        <v>Baik</v>
      </c>
      <c r="AH858">
        <f t="shared" si="40"/>
        <v>11</v>
      </c>
      <c r="AI858" s="30" t="str">
        <f>IF(OR(J858&lt;&gt;"Karakter",pub_gid_0_single_true_output_csv[[#This Row],[Nilai2]]=""),"",IF(AF858&gt;89,"Sangat baik",IF(AF858&gt;79,"Baik",IF(AF858&gt;69,"Cukup",IF(AF858&gt;59,"Kurang","Sangat kurang")))))</f>
        <v/>
      </c>
      <c r="AJ858" t="str">
        <f t="shared" si="41"/>
        <v>Wk.7</v>
      </c>
      <c r="AK858" t="str">
        <f>IF(pub_gid_0_single_true_output_csv[[#This Row],[Nilai2]]="","",VLOOKUP(pub_gid_0_single_true_output_csv[[#This Row],[NAMA]],Table7[],3,FALSE))</f>
        <v>Extremely low</v>
      </c>
    </row>
    <row r="859" spans="1:37" x14ac:dyDescent="0.2">
      <c r="A859">
        <v>858</v>
      </c>
      <c r="B859" t="s">
        <v>288</v>
      </c>
      <c r="C859" t="s">
        <v>54</v>
      </c>
      <c r="D859" t="s">
        <v>35</v>
      </c>
      <c r="E859" t="s">
        <v>140</v>
      </c>
      <c r="F859" s="25">
        <v>46059</v>
      </c>
      <c r="G859" t="s">
        <v>349</v>
      </c>
      <c r="H859" t="s">
        <v>412</v>
      </c>
      <c r="I859" t="s">
        <v>371</v>
      </c>
      <c r="J859" t="s">
        <v>36</v>
      </c>
      <c r="K859" t="s">
        <v>37</v>
      </c>
      <c r="L859" t="s">
        <v>321</v>
      </c>
      <c r="M859" t="s">
        <v>141</v>
      </c>
      <c r="N859" t="s">
        <v>142</v>
      </c>
      <c r="O859" t="s">
        <v>155</v>
      </c>
      <c r="P859" t="s">
        <v>281</v>
      </c>
      <c r="Q859" t="s">
        <v>155</v>
      </c>
      <c r="R859" t="s">
        <v>302</v>
      </c>
      <c r="S859" t="s">
        <v>369</v>
      </c>
      <c r="T859">
        <v>1</v>
      </c>
      <c r="U859" t="s">
        <v>428</v>
      </c>
      <c r="V859" t="s">
        <v>342</v>
      </c>
      <c r="W859" t="s">
        <v>430</v>
      </c>
      <c r="X859" t="s">
        <v>306</v>
      </c>
      <c r="Y859" t="s">
        <v>307</v>
      </c>
      <c r="Z859">
        <v>65</v>
      </c>
      <c r="AA859">
        <v>77</v>
      </c>
      <c r="AB859" t="s">
        <v>143</v>
      </c>
      <c r="AC859" t="s">
        <v>154</v>
      </c>
      <c r="AD859" t="s">
        <v>50</v>
      </c>
      <c r="AE859" t="str">
        <f>IF(AF859="","",VLOOKUP(AC859,mapel!$A$2:$B$42,2,FALSE))</f>
        <v>Math</v>
      </c>
      <c r="AF859">
        <f t="shared" si="39"/>
        <v>77</v>
      </c>
      <c r="AG859" t="str">
        <f>IF(AF859="","",IF(AF859&gt;90,"Sangat baik",IF(AF859&gt;79,"Baik",IF(AF859&gt;=pub_gid_0_single_true_output_csv[[#This Row],[KKM]],"Cukup","Kurang"))))</f>
        <v>Cukup</v>
      </c>
      <c r="AH859">
        <f t="shared" si="40"/>
        <v>11</v>
      </c>
      <c r="AI859" s="30" t="str">
        <f>IF(OR(J859&lt;&gt;"Karakter",pub_gid_0_single_true_output_csv[[#This Row],[Nilai2]]=""),"",IF(AF859&gt;89,"Sangat baik",IF(AF859&gt;79,"Baik",IF(AF859&gt;69,"Cukup",IF(AF859&gt;59,"Kurang","Sangat kurang")))))</f>
        <v/>
      </c>
      <c r="AJ859" t="str">
        <f t="shared" si="41"/>
        <v>Wk.6</v>
      </c>
      <c r="AK859" t="str">
        <f>IF(pub_gid_0_single_true_output_csv[[#This Row],[Nilai2]]="","",VLOOKUP(pub_gid_0_single_true_output_csv[[#This Row],[NAMA]],Table7[],3,FALSE))</f>
        <v>Extremely low</v>
      </c>
    </row>
    <row r="860" spans="1:37" x14ac:dyDescent="0.2">
      <c r="A860">
        <v>859</v>
      </c>
      <c r="B860" t="s">
        <v>288</v>
      </c>
      <c r="C860" t="s">
        <v>54</v>
      </c>
      <c r="D860" t="s">
        <v>35</v>
      </c>
      <c r="E860" t="s">
        <v>140</v>
      </c>
      <c r="F860" s="25">
        <v>46064</v>
      </c>
      <c r="G860" t="s">
        <v>352</v>
      </c>
      <c r="H860" t="s">
        <v>412</v>
      </c>
      <c r="I860" t="s">
        <v>371</v>
      </c>
      <c r="J860" t="s">
        <v>36</v>
      </c>
      <c r="K860" t="s">
        <v>37</v>
      </c>
      <c r="L860" t="s">
        <v>150</v>
      </c>
      <c r="M860" t="s">
        <v>141</v>
      </c>
      <c r="N860" t="s">
        <v>142</v>
      </c>
      <c r="O860" t="s">
        <v>155</v>
      </c>
      <c r="P860" t="s">
        <v>281</v>
      </c>
      <c r="Q860" t="s">
        <v>155</v>
      </c>
      <c r="R860" t="s">
        <v>302</v>
      </c>
      <c r="S860" t="s">
        <v>369</v>
      </c>
      <c r="T860">
        <v>1</v>
      </c>
      <c r="U860" t="s">
        <v>428</v>
      </c>
      <c r="V860" t="s">
        <v>342</v>
      </c>
      <c r="W860" t="s">
        <v>430</v>
      </c>
      <c r="X860" t="s">
        <v>306</v>
      </c>
      <c r="Y860" t="s">
        <v>307</v>
      </c>
      <c r="Z860">
        <v>65</v>
      </c>
      <c r="AA860">
        <v>50</v>
      </c>
      <c r="AB860" t="s">
        <v>151</v>
      </c>
      <c r="AC860" t="s">
        <v>154</v>
      </c>
      <c r="AD860" t="s">
        <v>50</v>
      </c>
      <c r="AE860" t="str">
        <f>IF(AF860="","",VLOOKUP(AC860,mapel!$A$2:$B$42,2,FALSE))</f>
        <v>Math</v>
      </c>
      <c r="AF860">
        <f t="shared" si="39"/>
        <v>50</v>
      </c>
      <c r="AG860" t="str">
        <f>IF(AF860="","",IF(AF860&gt;90,"Sangat baik",IF(AF860&gt;79,"Baik",IF(AF860&gt;=pub_gid_0_single_true_output_csv[[#This Row],[KKM]],"Cukup","Kurang"))))</f>
        <v>Kurang</v>
      </c>
      <c r="AH860">
        <f t="shared" si="40"/>
        <v>11</v>
      </c>
      <c r="AI860" s="30" t="str">
        <f>IF(OR(J860&lt;&gt;"Karakter",pub_gid_0_single_true_output_csv[[#This Row],[Nilai2]]=""),"",IF(AF860&gt;89,"Sangat baik",IF(AF860&gt;79,"Baik",IF(AF860&gt;69,"Cukup",IF(AF860&gt;59,"Kurang","Sangat kurang")))))</f>
        <v/>
      </c>
      <c r="AJ860" t="str">
        <f t="shared" si="41"/>
        <v>Wk.7</v>
      </c>
      <c r="AK860" t="str">
        <f>IF(pub_gid_0_single_true_output_csv[[#This Row],[Nilai2]]="","",VLOOKUP(pub_gid_0_single_true_output_csv[[#This Row],[NAMA]],Table7[],3,FALSE))</f>
        <v>Extremely low</v>
      </c>
    </row>
    <row r="861" spans="1:37" x14ac:dyDescent="0.2">
      <c r="A861">
        <v>860</v>
      </c>
      <c r="B861" t="s">
        <v>294</v>
      </c>
      <c r="C861" t="s">
        <v>54</v>
      </c>
      <c r="D861" t="s">
        <v>46</v>
      </c>
      <c r="E861" t="s">
        <v>148</v>
      </c>
      <c r="F861" s="25">
        <v>46036</v>
      </c>
      <c r="G861" t="s">
        <v>353</v>
      </c>
      <c r="H861" t="s">
        <v>405</v>
      </c>
      <c r="I861" t="s">
        <v>371</v>
      </c>
      <c r="J861" t="s">
        <v>36</v>
      </c>
      <c r="K861" t="s">
        <v>37</v>
      </c>
      <c r="L861" t="s">
        <v>150</v>
      </c>
      <c r="M861" t="s">
        <v>141</v>
      </c>
      <c r="N861" t="s">
        <v>142</v>
      </c>
      <c r="O861" t="s">
        <v>155</v>
      </c>
      <c r="P861" t="s">
        <v>281</v>
      </c>
      <c r="Q861" t="s">
        <v>155</v>
      </c>
      <c r="R861" t="s">
        <v>302</v>
      </c>
      <c r="S861" t="s">
        <v>427</v>
      </c>
      <c r="T861">
        <v>1</v>
      </c>
      <c r="U861" t="s">
        <v>428</v>
      </c>
      <c r="V861" t="s">
        <v>285</v>
      </c>
      <c r="W861" t="s">
        <v>429</v>
      </c>
      <c r="X861" t="s">
        <v>391</v>
      </c>
      <c r="Y861" t="s">
        <v>335</v>
      </c>
      <c r="Z861">
        <v>65</v>
      </c>
      <c r="AA861">
        <v>0</v>
      </c>
      <c r="AB861" t="s">
        <v>151</v>
      </c>
      <c r="AC861" t="s">
        <v>154</v>
      </c>
      <c r="AD861" t="s">
        <v>50</v>
      </c>
      <c r="AE861" t="str">
        <f>IF(AF861="","",VLOOKUP(AC861,mapel!$A$2:$B$42,2,FALSE))</f>
        <v/>
      </c>
      <c r="AF861" t="str">
        <f t="shared" si="39"/>
        <v/>
      </c>
      <c r="AG861" t="str">
        <f>IF(AF861="","",IF(AF861&gt;90,"Sangat baik",IF(AF861&gt;79,"Baik",IF(AF861&gt;=pub_gid_0_single_true_output_csv[[#This Row],[KKM]],"Cukup","Kurang"))))</f>
        <v/>
      </c>
      <c r="AH861" t="str">
        <f t="shared" si="40"/>
        <v/>
      </c>
      <c r="AI861" s="30" t="str">
        <f>IF(OR(J861&lt;&gt;"Karakter",pub_gid_0_single_true_output_csv[[#This Row],[Nilai2]]=""),"",IF(AF861&gt;89,"Sangat baik",IF(AF861&gt;79,"Baik",IF(AF861&gt;69,"Cukup",IF(AF861&gt;59,"Kurang","Sangat kurang")))))</f>
        <v/>
      </c>
      <c r="AJ861" t="str">
        <f t="shared" si="41"/>
        <v/>
      </c>
      <c r="AK861" t="str">
        <f>IF(pub_gid_0_single_true_output_csv[[#This Row],[Nilai2]]="","",VLOOKUP(pub_gid_0_single_true_output_csv[[#This Row],[NAMA]],Table7[],3,FALSE))</f>
        <v/>
      </c>
    </row>
    <row r="862" spans="1:37" x14ac:dyDescent="0.2">
      <c r="A862">
        <v>861</v>
      </c>
      <c r="B862" t="s">
        <v>294</v>
      </c>
      <c r="C862" t="s">
        <v>54</v>
      </c>
      <c r="D862" t="s">
        <v>46</v>
      </c>
      <c r="E862" t="s">
        <v>148</v>
      </c>
      <c r="F862" s="25">
        <v>46036</v>
      </c>
      <c r="G862" t="s">
        <v>353</v>
      </c>
      <c r="H862" t="s">
        <v>405</v>
      </c>
      <c r="I862" t="s">
        <v>371</v>
      </c>
      <c r="J862" t="s">
        <v>36</v>
      </c>
      <c r="K862" t="s">
        <v>37</v>
      </c>
      <c r="L862" t="s">
        <v>150</v>
      </c>
      <c r="M862" t="s">
        <v>141</v>
      </c>
      <c r="N862" t="s">
        <v>142</v>
      </c>
      <c r="O862" t="s">
        <v>155</v>
      </c>
      <c r="P862" t="s">
        <v>281</v>
      </c>
      <c r="Q862" t="s">
        <v>155</v>
      </c>
      <c r="R862" t="s">
        <v>302</v>
      </c>
      <c r="S862" t="s">
        <v>369</v>
      </c>
      <c r="T862">
        <v>1</v>
      </c>
      <c r="U862" t="s">
        <v>428</v>
      </c>
      <c r="V862" t="s">
        <v>342</v>
      </c>
      <c r="W862" t="s">
        <v>430</v>
      </c>
      <c r="X862" t="s">
        <v>306</v>
      </c>
      <c r="Y862" t="s">
        <v>307</v>
      </c>
      <c r="Z862">
        <v>65</v>
      </c>
      <c r="AA862">
        <v>0</v>
      </c>
      <c r="AB862" t="s">
        <v>151</v>
      </c>
      <c r="AC862" t="s">
        <v>154</v>
      </c>
      <c r="AD862" t="s">
        <v>50</v>
      </c>
      <c r="AE862" t="str">
        <f>IF(AF862="","",VLOOKUP(AC862,mapel!$A$2:$B$42,2,FALSE))</f>
        <v/>
      </c>
      <c r="AF862" t="str">
        <f t="shared" si="39"/>
        <v/>
      </c>
      <c r="AG862" t="str">
        <f>IF(AF862="","",IF(AF862&gt;90,"Sangat baik",IF(AF862&gt;79,"Baik",IF(AF862&gt;=pub_gid_0_single_true_output_csv[[#This Row],[KKM]],"Cukup","Kurang"))))</f>
        <v/>
      </c>
      <c r="AH862" t="str">
        <f t="shared" si="40"/>
        <v/>
      </c>
      <c r="AI862" s="30" t="str">
        <f>IF(OR(J862&lt;&gt;"Karakter",pub_gid_0_single_true_output_csv[[#This Row],[Nilai2]]=""),"",IF(AF862&gt;89,"Sangat baik",IF(AF862&gt;79,"Baik",IF(AF862&gt;69,"Cukup",IF(AF862&gt;59,"Kurang","Sangat kurang")))))</f>
        <v/>
      </c>
      <c r="AJ862" t="str">
        <f t="shared" si="41"/>
        <v/>
      </c>
      <c r="AK862" t="str">
        <f>IF(pub_gid_0_single_true_output_csv[[#This Row],[Nilai2]]="","",VLOOKUP(pub_gid_0_single_true_output_csv[[#This Row],[NAMA]],Table7[],3,FALSE))</f>
        <v/>
      </c>
    </row>
    <row r="863" spans="1:37" x14ac:dyDescent="0.2">
      <c r="A863">
        <v>862</v>
      </c>
      <c r="B863" t="s">
        <v>294</v>
      </c>
      <c r="C863" t="s">
        <v>54</v>
      </c>
      <c r="D863" t="s">
        <v>46</v>
      </c>
      <c r="E863" t="s">
        <v>148</v>
      </c>
      <c r="F863" s="25">
        <v>46041</v>
      </c>
      <c r="G863" t="s">
        <v>370</v>
      </c>
      <c r="H863" t="s">
        <v>405</v>
      </c>
      <c r="I863" t="s">
        <v>371</v>
      </c>
      <c r="J863" t="s">
        <v>36</v>
      </c>
      <c r="K863" t="s">
        <v>37</v>
      </c>
      <c r="L863" t="s">
        <v>150</v>
      </c>
      <c r="M863" t="s">
        <v>141</v>
      </c>
      <c r="N863" t="s">
        <v>142</v>
      </c>
      <c r="O863" t="s">
        <v>155</v>
      </c>
      <c r="P863" t="s">
        <v>281</v>
      </c>
      <c r="Q863" t="s">
        <v>155</v>
      </c>
      <c r="R863" t="s">
        <v>302</v>
      </c>
      <c r="S863" t="s">
        <v>427</v>
      </c>
      <c r="T863">
        <v>1</v>
      </c>
      <c r="U863" t="s">
        <v>428</v>
      </c>
      <c r="V863" t="s">
        <v>285</v>
      </c>
      <c r="W863" t="s">
        <v>429</v>
      </c>
      <c r="X863" t="s">
        <v>391</v>
      </c>
      <c r="Y863" t="s">
        <v>335</v>
      </c>
      <c r="Z863">
        <v>65</v>
      </c>
      <c r="AA863">
        <v>30</v>
      </c>
      <c r="AB863" t="s">
        <v>151</v>
      </c>
      <c r="AC863" t="s">
        <v>154</v>
      </c>
      <c r="AD863" t="s">
        <v>50</v>
      </c>
      <c r="AE863" t="str">
        <f>IF(AF863="","",VLOOKUP(AC863,mapel!$A$2:$B$42,2,FALSE))</f>
        <v>Math</v>
      </c>
      <c r="AF863">
        <f t="shared" si="39"/>
        <v>30</v>
      </c>
      <c r="AG863" t="str">
        <f>IF(AF863="","",IF(AF863&gt;90,"Sangat baik",IF(AF863&gt;79,"Baik",IF(AF863&gt;=pub_gid_0_single_true_output_csv[[#This Row],[KKM]],"Cukup","Kurang"))))</f>
        <v>Kurang</v>
      </c>
      <c r="AH863">
        <f t="shared" si="40"/>
        <v>9</v>
      </c>
      <c r="AI863" s="30" t="str">
        <f>IF(OR(J863&lt;&gt;"Karakter",pub_gid_0_single_true_output_csv[[#This Row],[Nilai2]]=""),"",IF(AF863&gt;89,"Sangat baik",IF(AF863&gt;79,"Baik",IF(AF863&gt;69,"Cukup",IF(AF863&gt;59,"Kurang","Sangat kurang")))))</f>
        <v/>
      </c>
      <c r="AJ863" t="str">
        <f t="shared" si="41"/>
        <v>Wk.4</v>
      </c>
      <c r="AK863" t="str">
        <f>IF(pub_gid_0_single_true_output_csv[[#This Row],[Nilai2]]="","",VLOOKUP(pub_gid_0_single_true_output_csv[[#This Row],[NAMA]],Table7[],3,FALSE))</f>
        <v>Average</v>
      </c>
    </row>
    <row r="864" spans="1:37" x14ac:dyDescent="0.2">
      <c r="A864">
        <v>863</v>
      </c>
      <c r="B864" t="s">
        <v>294</v>
      </c>
      <c r="C864" t="s">
        <v>54</v>
      </c>
      <c r="D864" t="s">
        <v>46</v>
      </c>
      <c r="E864" t="s">
        <v>148</v>
      </c>
      <c r="F864" s="25">
        <v>46041</v>
      </c>
      <c r="G864" t="s">
        <v>370</v>
      </c>
      <c r="H864" t="s">
        <v>405</v>
      </c>
      <c r="I864" t="s">
        <v>371</v>
      </c>
      <c r="J864" t="s">
        <v>90</v>
      </c>
      <c r="K864" t="s">
        <v>377</v>
      </c>
      <c r="L864" t="s">
        <v>399</v>
      </c>
      <c r="M864" t="s">
        <v>141</v>
      </c>
      <c r="N864" t="s">
        <v>142</v>
      </c>
      <c r="O864" t="s">
        <v>155</v>
      </c>
      <c r="P864" t="s">
        <v>281</v>
      </c>
      <c r="Q864" t="s">
        <v>155</v>
      </c>
      <c r="R864" t="s">
        <v>302</v>
      </c>
      <c r="S864" t="s">
        <v>369</v>
      </c>
      <c r="T864">
        <v>1</v>
      </c>
      <c r="U864" t="s">
        <v>428</v>
      </c>
      <c r="V864" t="s">
        <v>342</v>
      </c>
      <c r="W864" t="s">
        <v>430</v>
      </c>
      <c r="X864" t="s">
        <v>306</v>
      </c>
      <c r="Y864" t="s">
        <v>307</v>
      </c>
      <c r="Z864">
        <v>65</v>
      </c>
      <c r="AA864">
        <v>65</v>
      </c>
      <c r="AB864" t="s">
        <v>143</v>
      </c>
      <c r="AC864" t="s">
        <v>154</v>
      </c>
      <c r="AD864" t="s">
        <v>50</v>
      </c>
      <c r="AE864" t="str">
        <f>IF(AF864="","",VLOOKUP(AC864,mapel!$A$2:$B$42,2,FALSE))</f>
        <v>Math</v>
      </c>
      <c r="AF864">
        <f t="shared" si="39"/>
        <v>65</v>
      </c>
      <c r="AG864" t="str">
        <f>IF(AF864="","",IF(AF864&gt;90,"Sangat baik",IF(AF864&gt;79,"Baik",IF(AF864&gt;=pub_gid_0_single_true_output_csv[[#This Row],[KKM]],"Cukup","Kurang"))))</f>
        <v>Cukup</v>
      </c>
      <c r="AH864">
        <f t="shared" si="40"/>
        <v>11</v>
      </c>
      <c r="AI864" s="30" t="str">
        <f>IF(OR(J864&lt;&gt;"Karakter",pub_gid_0_single_true_output_csv[[#This Row],[Nilai2]]=""),"",IF(AF864&gt;89,"Sangat baik",IF(AF864&gt;79,"Baik",IF(AF864&gt;69,"Cukup",IF(AF864&gt;59,"Kurang","Sangat kurang")))))</f>
        <v>Kurang</v>
      </c>
      <c r="AJ864" t="str">
        <f t="shared" si="41"/>
        <v>Wk.4</v>
      </c>
      <c r="AK864" t="str">
        <f>IF(pub_gid_0_single_true_output_csv[[#This Row],[Nilai2]]="","",VLOOKUP(pub_gid_0_single_true_output_csv[[#This Row],[NAMA]],Table7[],3,FALSE))</f>
        <v>Average</v>
      </c>
    </row>
    <row r="865" spans="1:37" x14ac:dyDescent="0.2">
      <c r="A865">
        <v>864</v>
      </c>
      <c r="B865" t="s">
        <v>294</v>
      </c>
      <c r="C865" t="s">
        <v>54</v>
      </c>
      <c r="D865" t="s">
        <v>46</v>
      </c>
      <c r="E865" t="s">
        <v>148</v>
      </c>
      <c r="F865" s="25">
        <v>46043</v>
      </c>
      <c r="G865" t="s">
        <v>341</v>
      </c>
      <c r="H865" t="s">
        <v>405</v>
      </c>
      <c r="I865" t="s">
        <v>371</v>
      </c>
      <c r="J865" t="s">
        <v>36</v>
      </c>
      <c r="K865" t="s">
        <v>37</v>
      </c>
      <c r="L865" t="s">
        <v>150</v>
      </c>
      <c r="M865" t="s">
        <v>141</v>
      </c>
      <c r="N865" t="s">
        <v>142</v>
      </c>
      <c r="O865" t="s">
        <v>155</v>
      </c>
      <c r="P865" t="s">
        <v>281</v>
      </c>
      <c r="Q865" t="s">
        <v>155</v>
      </c>
      <c r="R865" t="s">
        <v>302</v>
      </c>
      <c r="S865" t="s">
        <v>427</v>
      </c>
      <c r="T865">
        <v>1</v>
      </c>
      <c r="U865" t="s">
        <v>428</v>
      </c>
      <c r="V865" t="s">
        <v>285</v>
      </c>
      <c r="W865" t="s">
        <v>429</v>
      </c>
      <c r="X865" t="s">
        <v>391</v>
      </c>
      <c r="Y865" t="s">
        <v>335</v>
      </c>
      <c r="Z865">
        <v>65</v>
      </c>
      <c r="AA865">
        <v>40</v>
      </c>
      <c r="AB865" t="s">
        <v>151</v>
      </c>
      <c r="AC865" t="s">
        <v>154</v>
      </c>
      <c r="AD865" t="s">
        <v>50</v>
      </c>
      <c r="AE865" t="str">
        <f>IF(AF865="","",VLOOKUP(AC865,mapel!$A$2:$B$42,2,FALSE))</f>
        <v>Math</v>
      </c>
      <c r="AF865">
        <f t="shared" si="39"/>
        <v>40</v>
      </c>
      <c r="AG865" t="str">
        <f>IF(AF865="","",IF(AF865&gt;90,"Sangat baik",IF(AF865&gt;79,"Baik",IF(AF865&gt;=pub_gid_0_single_true_output_csv[[#This Row],[KKM]],"Cukup","Kurang"))))</f>
        <v>Kurang</v>
      </c>
      <c r="AH865">
        <f t="shared" si="40"/>
        <v>9</v>
      </c>
      <c r="AI865" s="30" t="str">
        <f>IF(OR(J865&lt;&gt;"Karakter",pub_gid_0_single_true_output_csv[[#This Row],[Nilai2]]=""),"",IF(AF865&gt;89,"Sangat baik",IF(AF865&gt;79,"Baik",IF(AF865&gt;69,"Cukup",IF(AF865&gt;59,"Kurang","Sangat kurang")))))</f>
        <v/>
      </c>
      <c r="AJ865" t="str">
        <f t="shared" si="41"/>
        <v>Wk.4</v>
      </c>
      <c r="AK865" t="str">
        <f>IF(pub_gid_0_single_true_output_csv[[#This Row],[Nilai2]]="","",VLOOKUP(pub_gid_0_single_true_output_csv[[#This Row],[NAMA]],Table7[],3,FALSE))</f>
        <v>Average</v>
      </c>
    </row>
    <row r="866" spans="1:37" x14ac:dyDescent="0.2">
      <c r="A866">
        <v>865</v>
      </c>
      <c r="B866" t="s">
        <v>294</v>
      </c>
      <c r="C866" t="s">
        <v>54</v>
      </c>
      <c r="D866" t="s">
        <v>46</v>
      </c>
      <c r="E866" t="s">
        <v>148</v>
      </c>
      <c r="F866" s="25">
        <v>46043</v>
      </c>
      <c r="G866" t="s">
        <v>341</v>
      </c>
      <c r="H866" t="s">
        <v>405</v>
      </c>
      <c r="I866" t="s">
        <v>371</v>
      </c>
      <c r="J866" t="s">
        <v>90</v>
      </c>
      <c r="K866" t="s">
        <v>377</v>
      </c>
      <c r="L866" t="s">
        <v>399</v>
      </c>
      <c r="M866" t="s">
        <v>141</v>
      </c>
      <c r="N866" t="s">
        <v>142</v>
      </c>
      <c r="O866" t="s">
        <v>155</v>
      </c>
      <c r="P866" t="s">
        <v>281</v>
      </c>
      <c r="Q866" t="s">
        <v>155</v>
      </c>
      <c r="R866" t="s">
        <v>302</v>
      </c>
      <c r="S866" t="s">
        <v>427</v>
      </c>
      <c r="T866">
        <v>1</v>
      </c>
      <c r="U866" t="s">
        <v>428</v>
      </c>
      <c r="V866" t="s">
        <v>285</v>
      </c>
      <c r="W866" t="s">
        <v>429</v>
      </c>
      <c r="X866" t="s">
        <v>391</v>
      </c>
      <c r="Y866" t="s">
        <v>335</v>
      </c>
      <c r="Z866">
        <v>65</v>
      </c>
      <c r="AA866">
        <v>65</v>
      </c>
      <c r="AB866" t="s">
        <v>143</v>
      </c>
      <c r="AC866" t="s">
        <v>154</v>
      </c>
      <c r="AD866" t="s">
        <v>50</v>
      </c>
      <c r="AE866" t="str">
        <f>IF(AF866="","",VLOOKUP(AC866,mapel!$A$2:$B$42,2,FALSE))</f>
        <v>Math</v>
      </c>
      <c r="AF866">
        <f t="shared" si="39"/>
        <v>65</v>
      </c>
      <c r="AG866" t="str">
        <f>IF(AF866="","",IF(AF866&gt;90,"Sangat baik",IF(AF866&gt;79,"Baik",IF(AF866&gt;=pub_gid_0_single_true_output_csv[[#This Row],[KKM]],"Cukup","Kurang"))))</f>
        <v>Cukup</v>
      </c>
      <c r="AH866">
        <f t="shared" si="40"/>
        <v>9</v>
      </c>
      <c r="AI866" s="30" t="str">
        <f>IF(OR(J866&lt;&gt;"Karakter",pub_gid_0_single_true_output_csv[[#This Row],[Nilai2]]=""),"",IF(AF866&gt;89,"Sangat baik",IF(AF866&gt;79,"Baik",IF(AF866&gt;69,"Cukup",IF(AF866&gt;59,"Kurang","Sangat kurang")))))</f>
        <v>Kurang</v>
      </c>
      <c r="AJ866" t="str">
        <f t="shared" si="41"/>
        <v>Wk.4</v>
      </c>
      <c r="AK866" t="str">
        <f>IF(pub_gid_0_single_true_output_csv[[#This Row],[Nilai2]]="","",VLOOKUP(pub_gid_0_single_true_output_csv[[#This Row],[NAMA]],Table7[],3,FALSE))</f>
        <v>Average</v>
      </c>
    </row>
    <row r="867" spans="1:37" x14ac:dyDescent="0.2">
      <c r="A867">
        <v>866</v>
      </c>
      <c r="B867" t="s">
        <v>294</v>
      </c>
      <c r="C867" t="s">
        <v>54</v>
      </c>
      <c r="D867" t="s">
        <v>46</v>
      </c>
      <c r="E867" t="s">
        <v>148</v>
      </c>
      <c r="F867" s="25">
        <v>46041</v>
      </c>
      <c r="G867" t="s">
        <v>370</v>
      </c>
      <c r="H867" t="s">
        <v>405</v>
      </c>
      <c r="I867" t="s">
        <v>371</v>
      </c>
      <c r="J867" t="s">
        <v>36</v>
      </c>
      <c r="K867" t="s">
        <v>37</v>
      </c>
      <c r="L867" t="s">
        <v>321</v>
      </c>
      <c r="M867" t="s">
        <v>141</v>
      </c>
      <c r="N867" t="s">
        <v>142</v>
      </c>
      <c r="O867" t="s">
        <v>155</v>
      </c>
      <c r="P867" t="s">
        <v>281</v>
      </c>
      <c r="Q867" t="s">
        <v>155</v>
      </c>
      <c r="R867" t="s">
        <v>302</v>
      </c>
      <c r="S867" t="s">
        <v>427</v>
      </c>
      <c r="T867">
        <v>1</v>
      </c>
      <c r="U867" t="s">
        <v>428</v>
      </c>
      <c r="V867" t="s">
        <v>285</v>
      </c>
      <c r="W867" t="s">
        <v>429</v>
      </c>
      <c r="X867" t="s">
        <v>391</v>
      </c>
      <c r="Y867" t="s">
        <v>335</v>
      </c>
      <c r="Z867">
        <v>65</v>
      </c>
      <c r="AA867">
        <v>30</v>
      </c>
      <c r="AB867" t="s">
        <v>151</v>
      </c>
      <c r="AC867" t="s">
        <v>154</v>
      </c>
      <c r="AD867" t="s">
        <v>50</v>
      </c>
      <c r="AE867" t="str">
        <f>IF(AF867="","",VLOOKUP(AC867,mapel!$A$2:$B$42,2,FALSE))</f>
        <v>Math</v>
      </c>
      <c r="AF867">
        <f t="shared" si="39"/>
        <v>30</v>
      </c>
      <c r="AG867" t="str">
        <f>IF(AF867="","",IF(AF867&gt;90,"Sangat baik",IF(AF867&gt;79,"Baik",IF(AF867&gt;=pub_gid_0_single_true_output_csv[[#This Row],[KKM]],"Cukup","Kurang"))))</f>
        <v>Kurang</v>
      </c>
      <c r="AH867">
        <f t="shared" si="40"/>
        <v>9</v>
      </c>
      <c r="AI867" s="30" t="str">
        <f>IF(OR(J867&lt;&gt;"Karakter",pub_gid_0_single_true_output_csv[[#This Row],[Nilai2]]=""),"",IF(AF867&gt;89,"Sangat baik",IF(AF867&gt;79,"Baik",IF(AF867&gt;69,"Cukup",IF(AF867&gt;59,"Kurang","Sangat kurang")))))</f>
        <v/>
      </c>
      <c r="AJ867" t="str">
        <f t="shared" si="41"/>
        <v>Wk.4</v>
      </c>
      <c r="AK867" t="str">
        <f>IF(pub_gid_0_single_true_output_csv[[#This Row],[Nilai2]]="","",VLOOKUP(pub_gid_0_single_true_output_csv[[#This Row],[NAMA]],Table7[],3,FALSE))</f>
        <v>Average</v>
      </c>
    </row>
    <row r="868" spans="1:37" x14ac:dyDescent="0.2">
      <c r="A868">
        <v>867</v>
      </c>
      <c r="B868" t="s">
        <v>294</v>
      </c>
      <c r="C868" t="s">
        <v>54</v>
      </c>
      <c r="D868" t="s">
        <v>46</v>
      </c>
      <c r="E868" t="s">
        <v>148</v>
      </c>
      <c r="F868" s="25">
        <v>46041</v>
      </c>
      <c r="G868" t="s">
        <v>370</v>
      </c>
      <c r="H868" t="s">
        <v>405</v>
      </c>
      <c r="I868" t="s">
        <v>371</v>
      </c>
      <c r="J868" t="s">
        <v>36</v>
      </c>
      <c r="K868" t="s">
        <v>37</v>
      </c>
      <c r="L868" t="s">
        <v>321</v>
      </c>
      <c r="M868" t="s">
        <v>141</v>
      </c>
      <c r="N868" t="s">
        <v>142</v>
      </c>
      <c r="O868" t="s">
        <v>155</v>
      </c>
      <c r="P868" t="s">
        <v>281</v>
      </c>
      <c r="Q868" t="s">
        <v>155</v>
      </c>
      <c r="R868" t="s">
        <v>302</v>
      </c>
      <c r="S868" t="s">
        <v>369</v>
      </c>
      <c r="T868">
        <v>1</v>
      </c>
      <c r="U868" t="s">
        <v>428</v>
      </c>
      <c r="V868" t="s">
        <v>342</v>
      </c>
      <c r="W868" t="s">
        <v>430</v>
      </c>
      <c r="X868" t="s">
        <v>306</v>
      </c>
      <c r="Y868" t="s">
        <v>307</v>
      </c>
      <c r="Z868">
        <v>65</v>
      </c>
      <c r="AA868">
        <v>100</v>
      </c>
      <c r="AB868" t="s">
        <v>143</v>
      </c>
      <c r="AC868" t="s">
        <v>154</v>
      </c>
      <c r="AD868" t="s">
        <v>50</v>
      </c>
      <c r="AE868" t="str">
        <f>IF(AF868="","",VLOOKUP(AC868,mapel!$A$2:$B$42,2,FALSE))</f>
        <v>Math</v>
      </c>
      <c r="AF868">
        <f t="shared" si="39"/>
        <v>100</v>
      </c>
      <c r="AG868" t="str">
        <f>IF(AF868="","",IF(AF868&gt;90,"Sangat baik",IF(AF868&gt;79,"Baik",IF(AF868&gt;=pub_gid_0_single_true_output_csv[[#This Row],[KKM]],"Cukup","Kurang"))))</f>
        <v>Sangat baik</v>
      </c>
      <c r="AH868">
        <f t="shared" si="40"/>
        <v>11</v>
      </c>
      <c r="AI868" s="30" t="str">
        <f>IF(OR(J868&lt;&gt;"Karakter",pub_gid_0_single_true_output_csv[[#This Row],[Nilai2]]=""),"",IF(AF868&gt;89,"Sangat baik",IF(AF868&gt;79,"Baik",IF(AF868&gt;69,"Cukup",IF(AF868&gt;59,"Kurang","Sangat kurang")))))</f>
        <v/>
      </c>
      <c r="AJ868" t="str">
        <f t="shared" si="41"/>
        <v>Wk.4</v>
      </c>
      <c r="AK868" t="str">
        <f>IF(pub_gid_0_single_true_output_csv[[#This Row],[Nilai2]]="","",VLOOKUP(pub_gid_0_single_true_output_csv[[#This Row],[NAMA]],Table7[],3,FALSE))</f>
        <v>Average</v>
      </c>
    </row>
    <row r="869" spans="1:37" x14ac:dyDescent="0.2">
      <c r="A869">
        <v>868</v>
      </c>
      <c r="B869" t="s">
        <v>294</v>
      </c>
      <c r="C869" t="s">
        <v>54</v>
      </c>
      <c r="D869" t="s">
        <v>46</v>
      </c>
      <c r="E869" t="s">
        <v>148</v>
      </c>
      <c r="F869" s="25">
        <v>46050</v>
      </c>
      <c r="G869" t="s">
        <v>308</v>
      </c>
      <c r="H869" t="s">
        <v>405</v>
      </c>
      <c r="I869" t="s">
        <v>371</v>
      </c>
      <c r="J869" t="s">
        <v>36</v>
      </c>
      <c r="K869" t="s">
        <v>37</v>
      </c>
      <c r="L869" t="s">
        <v>150</v>
      </c>
      <c r="M869" t="s">
        <v>141</v>
      </c>
      <c r="N869" t="s">
        <v>142</v>
      </c>
      <c r="O869" t="s">
        <v>155</v>
      </c>
      <c r="P869" t="s">
        <v>281</v>
      </c>
      <c r="Q869" t="s">
        <v>155</v>
      </c>
      <c r="R869" t="s">
        <v>302</v>
      </c>
      <c r="S869" t="s">
        <v>427</v>
      </c>
      <c r="T869">
        <v>1</v>
      </c>
      <c r="U869" t="s">
        <v>428</v>
      </c>
      <c r="V869" t="s">
        <v>285</v>
      </c>
      <c r="W869" t="s">
        <v>429</v>
      </c>
      <c r="X869" t="s">
        <v>391</v>
      </c>
      <c r="Y869" t="s">
        <v>335</v>
      </c>
      <c r="Z869">
        <v>65</v>
      </c>
      <c r="AA869">
        <v>0</v>
      </c>
      <c r="AB869" t="s">
        <v>151</v>
      </c>
      <c r="AC869" t="s">
        <v>154</v>
      </c>
      <c r="AD869" t="s">
        <v>50</v>
      </c>
      <c r="AE869" t="str">
        <f>IF(AF869="","",VLOOKUP(AC869,mapel!$A$2:$B$42,2,FALSE))</f>
        <v/>
      </c>
      <c r="AF869" t="str">
        <f t="shared" si="39"/>
        <v/>
      </c>
      <c r="AG869" t="str">
        <f>IF(AF869="","",IF(AF869&gt;90,"Sangat baik",IF(AF869&gt;79,"Baik",IF(AF869&gt;=pub_gid_0_single_true_output_csv[[#This Row],[KKM]],"Cukup","Kurang"))))</f>
        <v/>
      </c>
      <c r="AH869" t="str">
        <f t="shared" si="40"/>
        <v/>
      </c>
      <c r="AI869" s="30" t="str">
        <f>IF(OR(J869&lt;&gt;"Karakter",pub_gid_0_single_true_output_csv[[#This Row],[Nilai2]]=""),"",IF(AF869&gt;89,"Sangat baik",IF(AF869&gt;79,"Baik",IF(AF869&gt;69,"Cukup",IF(AF869&gt;59,"Kurang","Sangat kurang")))))</f>
        <v/>
      </c>
      <c r="AJ869" t="str">
        <f t="shared" si="41"/>
        <v/>
      </c>
      <c r="AK869" t="str">
        <f>IF(pub_gid_0_single_true_output_csv[[#This Row],[Nilai2]]="","",VLOOKUP(pub_gid_0_single_true_output_csv[[#This Row],[NAMA]],Table7[],3,FALSE))</f>
        <v/>
      </c>
    </row>
    <row r="870" spans="1:37" x14ac:dyDescent="0.2">
      <c r="A870">
        <v>869</v>
      </c>
      <c r="B870" t="s">
        <v>294</v>
      </c>
      <c r="C870" t="s">
        <v>54</v>
      </c>
      <c r="D870" t="s">
        <v>46</v>
      </c>
      <c r="E870" t="s">
        <v>148</v>
      </c>
      <c r="F870" s="25">
        <v>46057</v>
      </c>
      <c r="G870" t="s">
        <v>348</v>
      </c>
      <c r="H870" t="s">
        <v>412</v>
      </c>
      <c r="I870" t="s">
        <v>371</v>
      </c>
      <c r="J870" t="s">
        <v>36</v>
      </c>
      <c r="K870" t="s">
        <v>37</v>
      </c>
      <c r="L870" t="s">
        <v>150</v>
      </c>
      <c r="M870" t="s">
        <v>141</v>
      </c>
      <c r="N870" t="s">
        <v>142</v>
      </c>
      <c r="O870" t="s">
        <v>155</v>
      </c>
      <c r="P870" t="s">
        <v>281</v>
      </c>
      <c r="Q870" t="s">
        <v>155</v>
      </c>
      <c r="R870" t="s">
        <v>302</v>
      </c>
      <c r="S870" t="s">
        <v>369</v>
      </c>
      <c r="T870">
        <v>1</v>
      </c>
      <c r="U870" t="s">
        <v>428</v>
      </c>
      <c r="V870" t="s">
        <v>342</v>
      </c>
      <c r="W870" t="s">
        <v>430</v>
      </c>
      <c r="X870" t="s">
        <v>306</v>
      </c>
      <c r="Y870" t="s">
        <v>307</v>
      </c>
      <c r="Z870">
        <v>65</v>
      </c>
      <c r="AA870">
        <v>93</v>
      </c>
      <c r="AB870" t="s">
        <v>143</v>
      </c>
      <c r="AC870" t="s">
        <v>154</v>
      </c>
      <c r="AD870" t="s">
        <v>50</v>
      </c>
      <c r="AE870" t="str">
        <f>IF(AF870="","",VLOOKUP(AC870,mapel!$A$2:$B$42,2,FALSE))</f>
        <v>Math</v>
      </c>
      <c r="AF870">
        <f t="shared" si="39"/>
        <v>93</v>
      </c>
      <c r="AG870" t="str">
        <f>IF(AF870="","",IF(AF870&gt;90,"Sangat baik",IF(AF870&gt;79,"Baik",IF(AF870&gt;=pub_gid_0_single_true_output_csv[[#This Row],[KKM]],"Cukup","Kurang"))))</f>
        <v>Sangat baik</v>
      </c>
      <c r="AH870">
        <f t="shared" si="40"/>
        <v>11</v>
      </c>
      <c r="AI870" s="30" t="str">
        <f>IF(OR(J870&lt;&gt;"Karakter",pub_gid_0_single_true_output_csv[[#This Row],[Nilai2]]=""),"",IF(AF870&gt;89,"Sangat baik",IF(AF870&gt;79,"Baik",IF(AF870&gt;69,"Cukup",IF(AF870&gt;59,"Kurang","Sangat kurang")))))</f>
        <v/>
      </c>
      <c r="AJ870" t="str">
        <f t="shared" si="41"/>
        <v>Wk.6</v>
      </c>
      <c r="AK870" t="str">
        <f>IF(pub_gid_0_single_true_output_csv[[#This Row],[Nilai2]]="","",VLOOKUP(pub_gid_0_single_true_output_csv[[#This Row],[NAMA]],Table7[],3,FALSE))</f>
        <v>Average</v>
      </c>
    </row>
    <row r="871" spans="1:37" x14ac:dyDescent="0.2">
      <c r="A871">
        <v>870</v>
      </c>
      <c r="B871" t="s">
        <v>294</v>
      </c>
      <c r="C871" t="s">
        <v>54</v>
      </c>
      <c r="D871" t="s">
        <v>46</v>
      </c>
      <c r="E871" t="s">
        <v>148</v>
      </c>
      <c r="F871" s="25">
        <v>46059</v>
      </c>
      <c r="G871" t="s">
        <v>349</v>
      </c>
      <c r="H871" t="s">
        <v>412</v>
      </c>
      <c r="I871" t="s">
        <v>371</v>
      </c>
      <c r="J871" t="s">
        <v>36</v>
      </c>
      <c r="K871" t="s">
        <v>37</v>
      </c>
      <c r="L871" t="s">
        <v>150</v>
      </c>
      <c r="M871" t="s">
        <v>141</v>
      </c>
      <c r="N871" t="s">
        <v>142</v>
      </c>
      <c r="O871" t="s">
        <v>155</v>
      </c>
      <c r="P871" t="s">
        <v>281</v>
      </c>
      <c r="Q871" t="s">
        <v>155</v>
      </c>
      <c r="R871" t="s">
        <v>302</v>
      </c>
      <c r="S871" t="s">
        <v>369</v>
      </c>
      <c r="T871">
        <v>1</v>
      </c>
      <c r="U871" t="s">
        <v>428</v>
      </c>
      <c r="V871" t="s">
        <v>342</v>
      </c>
      <c r="W871" t="s">
        <v>430</v>
      </c>
      <c r="X871" t="s">
        <v>306</v>
      </c>
      <c r="Y871" t="s">
        <v>307</v>
      </c>
      <c r="Z871">
        <v>65</v>
      </c>
      <c r="AA871">
        <v>100</v>
      </c>
      <c r="AB871" t="s">
        <v>143</v>
      </c>
      <c r="AC871" t="s">
        <v>154</v>
      </c>
      <c r="AD871" t="s">
        <v>50</v>
      </c>
      <c r="AE871" t="str">
        <f>IF(AF871="","",VLOOKUP(AC871,mapel!$A$2:$B$42,2,FALSE))</f>
        <v>Math</v>
      </c>
      <c r="AF871">
        <f t="shared" si="39"/>
        <v>100</v>
      </c>
      <c r="AG871" t="str">
        <f>IF(AF871="","",IF(AF871&gt;90,"Sangat baik",IF(AF871&gt;79,"Baik",IF(AF871&gt;=pub_gid_0_single_true_output_csv[[#This Row],[KKM]],"Cukup","Kurang"))))</f>
        <v>Sangat baik</v>
      </c>
      <c r="AH871">
        <f t="shared" si="40"/>
        <v>11</v>
      </c>
      <c r="AI871" s="30" t="str">
        <f>IF(OR(J871&lt;&gt;"Karakter",pub_gid_0_single_true_output_csv[[#This Row],[Nilai2]]=""),"",IF(AF871&gt;89,"Sangat baik",IF(AF871&gt;79,"Baik",IF(AF871&gt;69,"Cukup",IF(AF871&gt;59,"Kurang","Sangat kurang")))))</f>
        <v/>
      </c>
      <c r="AJ871" t="str">
        <f t="shared" si="41"/>
        <v>Wk.6</v>
      </c>
      <c r="AK871" t="str">
        <f>IF(pub_gid_0_single_true_output_csv[[#This Row],[Nilai2]]="","",VLOOKUP(pub_gid_0_single_true_output_csv[[#This Row],[NAMA]],Table7[],3,FALSE))</f>
        <v>Average</v>
      </c>
    </row>
    <row r="872" spans="1:37" x14ac:dyDescent="0.2">
      <c r="A872">
        <v>871</v>
      </c>
      <c r="B872" t="s">
        <v>294</v>
      </c>
      <c r="C872" t="s">
        <v>54</v>
      </c>
      <c r="D872" t="s">
        <v>46</v>
      </c>
      <c r="E872" t="s">
        <v>148</v>
      </c>
      <c r="F872" s="25">
        <v>46062</v>
      </c>
      <c r="G872" t="s">
        <v>376</v>
      </c>
      <c r="H872" t="s">
        <v>412</v>
      </c>
      <c r="I872" t="s">
        <v>371</v>
      </c>
      <c r="J872" t="s">
        <v>36</v>
      </c>
      <c r="K872" t="s">
        <v>37</v>
      </c>
      <c r="L872" t="s">
        <v>150</v>
      </c>
      <c r="M872" t="s">
        <v>141</v>
      </c>
      <c r="N872" t="s">
        <v>142</v>
      </c>
      <c r="O872" t="s">
        <v>155</v>
      </c>
      <c r="P872" t="s">
        <v>281</v>
      </c>
      <c r="Q872" t="s">
        <v>155</v>
      </c>
      <c r="R872" t="s">
        <v>302</v>
      </c>
      <c r="S872" t="s">
        <v>369</v>
      </c>
      <c r="T872">
        <v>1</v>
      </c>
      <c r="U872" t="s">
        <v>428</v>
      </c>
      <c r="V872" t="s">
        <v>342</v>
      </c>
      <c r="W872" t="s">
        <v>430</v>
      </c>
      <c r="X872" t="s">
        <v>306</v>
      </c>
      <c r="Y872" t="s">
        <v>307</v>
      </c>
      <c r="Z872">
        <v>65</v>
      </c>
      <c r="AA872">
        <v>50</v>
      </c>
      <c r="AB872" t="s">
        <v>151</v>
      </c>
      <c r="AC872" t="s">
        <v>154</v>
      </c>
      <c r="AD872" t="s">
        <v>50</v>
      </c>
      <c r="AE872" t="str">
        <f>IF(AF872="","",VLOOKUP(AC872,mapel!$A$2:$B$42,2,FALSE))</f>
        <v>Math</v>
      </c>
      <c r="AF872">
        <f t="shared" si="39"/>
        <v>50</v>
      </c>
      <c r="AG872" t="str">
        <f>IF(AF872="","",IF(AF872&gt;90,"Sangat baik",IF(AF872&gt;79,"Baik",IF(AF872&gt;=pub_gid_0_single_true_output_csv[[#This Row],[KKM]],"Cukup","Kurang"))))</f>
        <v>Kurang</v>
      </c>
      <c r="AH872">
        <f t="shared" si="40"/>
        <v>11</v>
      </c>
      <c r="AI872" s="30" t="str">
        <f>IF(OR(J872&lt;&gt;"Karakter",pub_gid_0_single_true_output_csv[[#This Row],[Nilai2]]=""),"",IF(AF872&gt;89,"Sangat baik",IF(AF872&gt;79,"Baik",IF(AF872&gt;69,"Cukup",IF(AF872&gt;59,"Kurang","Sangat kurang")))))</f>
        <v/>
      </c>
      <c r="AJ872" t="str">
        <f t="shared" si="41"/>
        <v>Wk.7</v>
      </c>
      <c r="AK872" t="str">
        <f>IF(pub_gid_0_single_true_output_csv[[#This Row],[Nilai2]]="","",VLOOKUP(pub_gid_0_single_true_output_csv[[#This Row],[NAMA]],Table7[],3,FALSE))</f>
        <v>Average</v>
      </c>
    </row>
    <row r="873" spans="1:37" x14ac:dyDescent="0.2">
      <c r="A873">
        <v>872</v>
      </c>
      <c r="B873" t="s">
        <v>294</v>
      </c>
      <c r="C873" t="s">
        <v>54</v>
      </c>
      <c r="D873" t="s">
        <v>46</v>
      </c>
      <c r="E873" t="s">
        <v>148</v>
      </c>
      <c r="F873" s="25">
        <v>46059</v>
      </c>
      <c r="G873" t="s">
        <v>349</v>
      </c>
      <c r="H873" t="s">
        <v>412</v>
      </c>
      <c r="I873" t="s">
        <v>371</v>
      </c>
      <c r="J873" t="s">
        <v>36</v>
      </c>
      <c r="K873" t="s">
        <v>37</v>
      </c>
      <c r="L873" t="s">
        <v>321</v>
      </c>
      <c r="M873" t="s">
        <v>141</v>
      </c>
      <c r="N873" t="s">
        <v>142</v>
      </c>
      <c r="O873" t="s">
        <v>155</v>
      </c>
      <c r="P873" t="s">
        <v>281</v>
      </c>
      <c r="Q873" t="s">
        <v>155</v>
      </c>
      <c r="R873" t="s">
        <v>302</v>
      </c>
      <c r="S873" t="s">
        <v>369</v>
      </c>
      <c r="T873">
        <v>1</v>
      </c>
      <c r="U873" t="s">
        <v>428</v>
      </c>
      <c r="V873" t="s">
        <v>342</v>
      </c>
      <c r="W873" t="s">
        <v>430</v>
      </c>
      <c r="X873" t="s">
        <v>306</v>
      </c>
      <c r="Y873" t="s">
        <v>307</v>
      </c>
      <c r="Z873">
        <v>65</v>
      </c>
      <c r="AA873">
        <v>75</v>
      </c>
      <c r="AB873" t="s">
        <v>143</v>
      </c>
      <c r="AC873" t="s">
        <v>154</v>
      </c>
      <c r="AD873" t="s">
        <v>50</v>
      </c>
      <c r="AE873" t="str">
        <f>IF(AF873="","",VLOOKUP(AC873,mapel!$A$2:$B$42,2,FALSE))</f>
        <v>Math</v>
      </c>
      <c r="AF873">
        <f t="shared" si="39"/>
        <v>75</v>
      </c>
      <c r="AG873" t="str">
        <f>IF(AF873="","",IF(AF873&gt;90,"Sangat baik",IF(AF873&gt;79,"Baik",IF(AF873&gt;=pub_gid_0_single_true_output_csv[[#This Row],[KKM]],"Cukup","Kurang"))))</f>
        <v>Cukup</v>
      </c>
      <c r="AH873">
        <f t="shared" si="40"/>
        <v>11</v>
      </c>
      <c r="AI873" s="30" t="str">
        <f>IF(OR(J873&lt;&gt;"Karakter",pub_gid_0_single_true_output_csv[[#This Row],[Nilai2]]=""),"",IF(AF873&gt;89,"Sangat baik",IF(AF873&gt;79,"Baik",IF(AF873&gt;69,"Cukup",IF(AF873&gt;59,"Kurang","Sangat kurang")))))</f>
        <v/>
      </c>
      <c r="AJ873" t="str">
        <f t="shared" si="41"/>
        <v>Wk.6</v>
      </c>
      <c r="AK873" t="str">
        <f>IF(pub_gid_0_single_true_output_csv[[#This Row],[Nilai2]]="","",VLOOKUP(pub_gid_0_single_true_output_csv[[#This Row],[NAMA]],Table7[],3,FALSE))</f>
        <v>Average</v>
      </c>
    </row>
    <row r="874" spans="1:37" x14ac:dyDescent="0.2">
      <c r="A874">
        <v>873</v>
      </c>
      <c r="B874" t="s">
        <v>294</v>
      </c>
      <c r="C874" t="s">
        <v>54</v>
      </c>
      <c r="D874" t="s">
        <v>46</v>
      </c>
      <c r="E874" t="s">
        <v>148</v>
      </c>
      <c r="F874" s="25">
        <v>46064</v>
      </c>
      <c r="G874" t="s">
        <v>352</v>
      </c>
      <c r="H874" t="s">
        <v>412</v>
      </c>
      <c r="I874" t="s">
        <v>371</v>
      </c>
      <c r="J874" t="s">
        <v>36</v>
      </c>
      <c r="K874" t="s">
        <v>37</v>
      </c>
      <c r="L874" t="s">
        <v>150</v>
      </c>
      <c r="M874" t="s">
        <v>141</v>
      </c>
      <c r="N874" t="s">
        <v>142</v>
      </c>
      <c r="O874" t="s">
        <v>155</v>
      </c>
      <c r="P874" t="s">
        <v>281</v>
      </c>
      <c r="Q874" t="s">
        <v>155</v>
      </c>
      <c r="R874" t="s">
        <v>302</v>
      </c>
      <c r="S874" t="s">
        <v>369</v>
      </c>
      <c r="T874">
        <v>1</v>
      </c>
      <c r="U874" t="s">
        <v>428</v>
      </c>
      <c r="V874" t="s">
        <v>342</v>
      </c>
      <c r="W874" t="s">
        <v>430</v>
      </c>
      <c r="X874" t="s">
        <v>306</v>
      </c>
      <c r="Y874" t="s">
        <v>307</v>
      </c>
      <c r="Z874">
        <v>65</v>
      </c>
      <c r="AA874">
        <v>50</v>
      </c>
      <c r="AB874" t="s">
        <v>151</v>
      </c>
      <c r="AC874" t="s">
        <v>154</v>
      </c>
      <c r="AD874" t="s">
        <v>50</v>
      </c>
      <c r="AE874" t="str">
        <f>IF(AF874="","",VLOOKUP(AC874,mapel!$A$2:$B$42,2,FALSE))</f>
        <v>Math</v>
      </c>
      <c r="AF874">
        <f t="shared" si="39"/>
        <v>50</v>
      </c>
      <c r="AG874" t="str">
        <f>IF(AF874="","",IF(AF874&gt;90,"Sangat baik",IF(AF874&gt;79,"Baik",IF(AF874&gt;=pub_gid_0_single_true_output_csv[[#This Row],[KKM]],"Cukup","Kurang"))))</f>
        <v>Kurang</v>
      </c>
      <c r="AH874">
        <f t="shared" si="40"/>
        <v>11</v>
      </c>
      <c r="AI874" s="30" t="str">
        <f>IF(OR(J874&lt;&gt;"Karakter",pub_gid_0_single_true_output_csv[[#This Row],[Nilai2]]=""),"",IF(AF874&gt;89,"Sangat baik",IF(AF874&gt;79,"Baik",IF(AF874&gt;69,"Cukup",IF(AF874&gt;59,"Kurang","Sangat kurang")))))</f>
        <v/>
      </c>
      <c r="AJ874" t="str">
        <f t="shared" si="41"/>
        <v>Wk.7</v>
      </c>
      <c r="AK874" t="str">
        <f>IF(pub_gid_0_single_true_output_csv[[#This Row],[Nilai2]]="","",VLOOKUP(pub_gid_0_single_true_output_csv[[#This Row],[NAMA]],Table7[],3,FALSE))</f>
        <v>Average</v>
      </c>
    </row>
    <row r="875" spans="1:37" x14ac:dyDescent="0.2">
      <c r="A875">
        <v>874</v>
      </c>
      <c r="B875" t="s">
        <v>295</v>
      </c>
      <c r="C875" t="s">
        <v>54</v>
      </c>
      <c r="D875" t="s">
        <v>47</v>
      </c>
      <c r="E875" t="s">
        <v>148</v>
      </c>
      <c r="F875" s="25">
        <v>46036</v>
      </c>
      <c r="G875" t="s">
        <v>353</v>
      </c>
      <c r="H875" t="s">
        <v>405</v>
      </c>
      <c r="I875" t="s">
        <v>371</v>
      </c>
      <c r="J875" t="s">
        <v>36</v>
      </c>
      <c r="K875" t="s">
        <v>37</v>
      </c>
      <c r="L875" t="s">
        <v>150</v>
      </c>
      <c r="M875" t="s">
        <v>141</v>
      </c>
      <c r="N875" t="s">
        <v>142</v>
      </c>
      <c r="O875" t="s">
        <v>155</v>
      </c>
      <c r="P875" t="s">
        <v>281</v>
      </c>
      <c r="Q875" t="s">
        <v>155</v>
      </c>
      <c r="R875" t="s">
        <v>302</v>
      </c>
      <c r="S875" t="s">
        <v>427</v>
      </c>
      <c r="T875">
        <v>1</v>
      </c>
      <c r="U875" t="s">
        <v>428</v>
      </c>
      <c r="V875" t="s">
        <v>285</v>
      </c>
      <c r="W875" t="s">
        <v>429</v>
      </c>
      <c r="X875" t="s">
        <v>391</v>
      </c>
      <c r="Y875" t="s">
        <v>335</v>
      </c>
      <c r="Z875">
        <v>65</v>
      </c>
      <c r="AA875">
        <v>40</v>
      </c>
      <c r="AB875" t="s">
        <v>151</v>
      </c>
      <c r="AC875" t="s">
        <v>154</v>
      </c>
      <c r="AD875" t="s">
        <v>50</v>
      </c>
      <c r="AE875" t="str">
        <f>IF(AF875="","",VLOOKUP(AC875,mapel!$A$2:$B$42,2,FALSE))</f>
        <v>Math</v>
      </c>
      <c r="AF875">
        <f t="shared" si="39"/>
        <v>40</v>
      </c>
      <c r="AG875" t="str">
        <f>IF(AF875="","",IF(AF875&gt;90,"Sangat baik",IF(AF875&gt;79,"Baik",IF(AF875&gt;=pub_gid_0_single_true_output_csv[[#This Row],[KKM]],"Cukup","Kurang"))))</f>
        <v>Kurang</v>
      </c>
      <c r="AH875">
        <f t="shared" si="40"/>
        <v>9</v>
      </c>
      <c r="AI875" s="30" t="str">
        <f>IF(OR(J875&lt;&gt;"Karakter",pub_gid_0_single_true_output_csv[[#This Row],[Nilai2]]=""),"",IF(AF875&gt;89,"Sangat baik",IF(AF875&gt;79,"Baik",IF(AF875&gt;69,"Cukup",IF(AF875&gt;59,"Kurang","Sangat kurang")))))</f>
        <v/>
      </c>
      <c r="AJ875" t="str">
        <f t="shared" si="41"/>
        <v>Wk.3</v>
      </c>
      <c r="AK875" t="str">
        <f>IF(pub_gid_0_single_true_output_csv[[#This Row],[Nilai2]]="","",VLOOKUP(pub_gid_0_single_true_output_csv[[#This Row],[NAMA]],Table7[],3,FALSE))</f>
        <v>Low average</v>
      </c>
    </row>
    <row r="876" spans="1:37" x14ac:dyDescent="0.2">
      <c r="A876">
        <v>875</v>
      </c>
      <c r="B876" t="s">
        <v>295</v>
      </c>
      <c r="C876" t="s">
        <v>54</v>
      </c>
      <c r="D876" t="s">
        <v>47</v>
      </c>
      <c r="E876" t="s">
        <v>148</v>
      </c>
      <c r="F876" s="25">
        <v>46036</v>
      </c>
      <c r="G876" t="s">
        <v>353</v>
      </c>
      <c r="H876" t="s">
        <v>405</v>
      </c>
      <c r="I876" t="s">
        <v>371</v>
      </c>
      <c r="J876" t="s">
        <v>36</v>
      </c>
      <c r="K876" t="s">
        <v>37</v>
      </c>
      <c r="L876" t="s">
        <v>150</v>
      </c>
      <c r="M876" t="s">
        <v>141</v>
      </c>
      <c r="N876" t="s">
        <v>142</v>
      </c>
      <c r="O876" t="s">
        <v>155</v>
      </c>
      <c r="P876" t="s">
        <v>281</v>
      </c>
      <c r="Q876" t="s">
        <v>155</v>
      </c>
      <c r="R876" t="s">
        <v>302</v>
      </c>
      <c r="S876" t="s">
        <v>369</v>
      </c>
      <c r="T876">
        <v>1</v>
      </c>
      <c r="U876" t="s">
        <v>428</v>
      </c>
      <c r="V876" t="s">
        <v>342</v>
      </c>
      <c r="W876" t="s">
        <v>430</v>
      </c>
      <c r="X876" t="s">
        <v>306</v>
      </c>
      <c r="Y876" t="s">
        <v>307</v>
      </c>
      <c r="Z876">
        <v>65</v>
      </c>
      <c r="AA876">
        <v>10</v>
      </c>
      <c r="AB876" t="s">
        <v>151</v>
      </c>
      <c r="AC876" t="s">
        <v>154</v>
      </c>
      <c r="AD876" t="s">
        <v>50</v>
      </c>
      <c r="AE876" t="str">
        <f>IF(AF876="","",VLOOKUP(AC876,mapel!$A$2:$B$42,2,FALSE))</f>
        <v>Math</v>
      </c>
      <c r="AF876">
        <f t="shared" si="39"/>
        <v>10</v>
      </c>
      <c r="AG876" t="str">
        <f>IF(AF876="","",IF(AF876&gt;90,"Sangat baik",IF(AF876&gt;79,"Baik",IF(AF876&gt;=pub_gid_0_single_true_output_csv[[#This Row],[KKM]],"Cukup","Kurang"))))</f>
        <v>Kurang</v>
      </c>
      <c r="AH876">
        <f t="shared" si="40"/>
        <v>11</v>
      </c>
      <c r="AI876" s="30" t="str">
        <f>IF(OR(J876&lt;&gt;"Karakter",pub_gid_0_single_true_output_csv[[#This Row],[Nilai2]]=""),"",IF(AF876&gt;89,"Sangat baik",IF(AF876&gt;79,"Baik",IF(AF876&gt;69,"Cukup",IF(AF876&gt;59,"Kurang","Sangat kurang")))))</f>
        <v/>
      </c>
      <c r="AJ876" t="str">
        <f t="shared" si="41"/>
        <v>Wk.3</v>
      </c>
      <c r="AK876" t="str">
        <f>IF(pub_gid_0_single_true_output_csv[[#This Row],[Nilai2]]="","",VLOOKUP(pub_gid_0_single_true_output_csv[[#This Row],[NAMA]],Table7[],3,FALSE))</f>
        <v>Low average</v>
      </c>
    </row>
    <row r="877" spans="1:37" x14ac:dyDescent="0.2">
      <c r="A877">
        <v>876</v>
      </c>
      <c r="B877" t="s">
        <v>295</v>
      </c>
      <c r="C877" t="s">
        <v>54</v>
      </c>
      <c r="D877" t="s">
        <v>47</v>
      </c>
      <c r="E877" t="s">
        <v>148</v>
      </c>
      <c r="F877" s="25">
        <v>46041</v>
      </c>
      <c r="G877" t="s">
        <v>370</v>
      </c>
      <c r="H877" t="s">
        <v>405</v>
      </c>
      <c r="I877" t="s">
        <v>371</v>
      </c>
      <c r="J877" t="s">
        <v>36</v>
      </c>
      <c r="K877" t="s">
        <v>37</v>
      </c>
      <c r="L877" t="s">
        <v>150</v>
      </c>
      <c r="M877" t="s">
        <v>141</v>
      </c>
      <c r="N877" t="s">
        <v>142</v>
      </c>
      <c r="O877" t="s">
        <v>155</v>
      </c>
      <c r="P877" t="s">
        <v>281</v>
      </c>
      <c r="Q877" t="s">
        <v>155</v>
      </c>
      <c r="R877" t="s">
        <v>302</v>
      </c>
      <c r="S877" t="s">
        <v>427</v>
      </c>
      <c r="T877">
        <v>1</v>
      </c>
      <c r="U877" t="s">
        <v>428</v>
      </c>
      <c r="V877" t="s">
        <v>285</v>
      </c>
      <c r="W877" t="s">
        <v>429</v>
      </c>
      <c r="X877" t="s">
        <v>391</v>
      </c>
      <c r="Y877" t="s">
        <v>335</v>
      </c>
      <c r="Z877">
        <v>65</v>
      </c>
      <c r="AA877">
        <v>50</v>
      </c>
      <c r="AB877" t="s">
        <v>151</v>
      </c>
      <c r="AC877" t="s">
        <v>154</v>
      </c>
      <c r="AD877" t="s">
        <v>50</v>
      </c>
      <c r="AE877" t="str">
        <f>IF(AF877="","",VLOOKUP(AC877,mapel!$A$2:$B$42,2,FALSE))</f>
        <v>Math</v>
      </c>
      <c r="AF877">
        <f t="shared" si="39"/>
        <v>50</v>
      </c>
      <c r="AG877" t="str">
        <f>IF(AF877="","",IF(AF877&gt;90,"Sangat baik",IF(AF877&gt;79,"Baik",IF(AF877&gt;=pub_gid_0_single_true_output_csv[[#This Row],[KKM]],"Cukup","Kurang"))))</f>
        <v>Kurang</v>
      </c>
      <c r="AH877">
        <f t="shared" si="40"/>
        <v>9</v>
      </c>
      <c r="AI877" s="30" t="str">
        <f>IF(OR(J877&lt;&gt;"Karakter",pub_gid_0_single_true_output_csv[[#This Row],[Nilai2]]=""),"",IF(AF877&gt;89,"Sangat baik",IF(AF877&gt;79,"Baik",IF(AF877&gt;69,"Cukup",IF(AF877&gt;59,"Kurang","Sangat kurang")))))</f>
        <v/>
      </c>
      <c r="AJ877" t="str">
        <f t="shared" si="41"/>
        <v>Wk.4</v>
      </c>
      <c r="AK877" t="str">
        <f>IF(pub_gid_0_single_true_output_csv[[#This Row],[Nilai2]]="","",VLOOKUP(pub_gid_0_single_true_output_csv[[#This Row],[NAMA]],Table7[],3,FALSE))</f>
        <v>Low average</v>
      </c>
    </row>
    <row r="878" spans="1:37" x14ac:dyDescent="0.2">
      <c r="A878">
        <v>877</v>
      </c>
      <c r="B878" t="s">
        <v>295</v>
      </c>
      <c r="C878" t="s">
        <v>54</v>
      </c>
      <c r="D878" t="s">
        <v>47</v>
      </c>
      <c r="E878" t="s">
        <v>148</v>
      </c>
      <c r="F878" s="25">
        <v>46041</v>
      </c>
      <c r="G878" t="s">
        <v>370</v>
      </c>
      <c r="H878" t="s">
        <v>405</v>
      </c>
      <c r="I878" t="s">
        <v>371</v>
      </c>
      <c r="J878" t="s">
        <v>90</v>
      </c>
      <c r="K878" t="s">
        <v>377</v>
      </c>
      <c r="L878" t="s">
        <v>399</v>
      </c>
      <c r="M878" t="s">
        <v>141</v>
      </c>
      <c r="N878" t="s">
        <v>142</v>
      </c>
      <c r="O878" t="s">
        <v>155</v>
      </c>
      <c r="P878" t="s">
        <v>281</v>
      </c>
      <c r="Q878" t="s">
        <v>155</v>
      </c>
      <c r="R878" t="s">
        <v>302</v>
      </c>
      <c r="S878" t="s">
        <v>369</v>
      </c>
      <c r="T878">
        <v>1</v>
      </c>
      <c r="U878" t="s">
        <v>428</v>
      </c>
      <c r="V878" t="s">
        <v>342</v>
      </c>
      <c r="W878" t="s">
        <v>430</v>
      </c>
      <c r="X878" t="s">
        <v>306</v>
      </c>
      <c r="Y878" t="s">
        <v>307</v>
      </c>
      <c r="Z878">
        <v>65</v>
      </c>
      <c r="AA878">
        <v>90</v>
      </c>
      <c r="AB878" t="s">
        <v>143</v>
      </c>
      <c r="AC878" t="s">
        <v>154</v>
      </c>
      <c r="AD878" t="s">
        <v>50</v>
      </c>
      <c r="AE878" t="str">
        <f>IF(AF878="","",VLOOKUP(AC878,mapel!$A$2:$B$42,2,FALSE))</f>
        <v>Math</v>
      </c>
      <c r="AF878">
        <f t="shared" si="39"/>
        <v>90</v>
      </c>
      <c r="AG878" t="str">
        <f>IF(AF878="","",IF(AF878&gt;90,"Sangat baik",IF(AF878&gt;79,"Baik",IF(AF878&gt;=pub_gid_0_single_true_output_csv[[#This Row],[KKM]],"Cukup","Kurang"))))</f>
        <v>Baik</v>
      </c>
      <c r="AH878">
        <f t="shared" si="40"/>
        <v>11</v>
      </c>
      <c r="AI878" s="30" t="str">
        <f>IF(OR(J878&lt;&gt;"Karakter",pub_gid_0_single_true_output_csv[[#This Row],[Nilai2]]=""),"",IF(AF878&gt;89,"Sangat baik",IF(AF878&gt;79,"Baik",IF(AF878&gt;69,"Cukup",IF(AF878&gt;59,"Kurang","Sangat kurang")))))</f>
        <v>Sangat baik</v>
      </c>
      <c r="AJ878" t="str">
        <f t="shared" si="41"/>
        <v>Wk.4</v>
      </c>
      <c r="AK878" t="str">
        <f>IF(pub_gid_0_single_true_output_csv[[#This Row],[Nilai2]]="","",VLOOKUP(pub_gid_0_single_true_output_csv[[#This Row],[NAMA]],Table7[],3,FALSE))</f>
        <v>Low average</v>
      </c>
    </row>
    <row r="879" spans="1:37" x14ac:dyDescent="0.2">
      <c r="A879">
        <v>878</v>
      </c>
      <c r="B879" t="s">
        <v>295</v>
      </c>
      <c r="C879" t="s">
        <v>54</v>
      </c>
      <c r="D879" t="s">
        <v>47</v>
      </c>
      <c r="E879" t="s">
        <v>148</v>
      </c>
      <c r="F879" s="25">
        <v>46043</v>
      </c>
      <c r="G879" t="s">
        <v>341</v>
      </c>
      <c r="H879" t="s">
        <v>405</v>
      </c>
      <c r="I879" t="s">
        <v>371</v>
      </c>
      <c r="J879" t="s">
        <v>36</v>
      </c>
      <c r="K879" t="s">
        <v>37</v>
      </c>
      <c r="L879" t="s">
        <v>150</v>
      </c>
      <c r="M879" t="s">
        <v>141</v>
      </c>
      <c r="N879" t="s">
        <v>142</v>
      </c>
      <c r="O879" t="s">
        <v>155</v>
      </c>
      <c r="P879" t="s">
        <v>281</v>
      </c>
      <c r="Q879" t="s">
        <v>155</v>
      </c>
      <c r="R879" t="s">
        <v>302</v>
      </c>
      <c r="S879" t="s">
        <v>427</v>
      </c>
      <c r="T879">
        <v>1</v>
      </c>
      <c r="U879" t="s">
        <v>428</v>
      </c>
      <c r="V879" t="s">
        <v>285</v>
      </c>
      <c r="W879" t="s">
        <v>429</v>
      </c>
      <c r="X879" t="s">
        <v>391</v>
      </c>
      <c r="Y879" t="s">
        <v>335</v>
      </c>
      <c r="Z879">
        <v>65</v>
      </c>
      <c r="AA879">
        <v>40</v>
      </c>
      <c r="AB879" t="s">
        <v>151</v>
      </c>
      <c r="AC879" t="s">
        <v>154</v>
      </c>
      <c r="AD879" t="s">
        <v>50</v>
      </c>
      <c r="AE879" t="str">
        <f>IF(AF879="","",VLOOKUP(AC879,mapel!$A$2:$B$42,2,FALSE))</f>
        <v>Math</v>
      </c>
      <c r="AF879">
        <f t="shared" si="39"/>
        <v>40</v>
      </c>
      <c r="AG879" t="str">
        <f>IF(AF879="","",IF(AF879&gt;90,"Sangat baik",IF(AF879&gt;79,"Baik",IF(AF879&gt;=pub_gid_0_single_true_output_csv[[#This Row],[KKM]],"Cukup","Kurang"))))</f>
        <v>Kurang</v>
      </c>
      <c r="AH879">
        <f t="shared" si="40"/>
        <v>9</v>
      </c>
      <c r="AI879" s="30" t="str">
        <f>IF(OR(J879&lt;&gt;"Karakter",pub_gid_0_single_true_output_csv[[#This Row],[Nilai2]]=""),"",IF(AF879&gt;89,"Sangat baik",IF(AF879&gt;79,"Baik",IF(AF879&gt;69,"Cukup",IF(AF879&gt;59,"Kurang","Sangat kurang")))))</f>
        <v/>
      </c>
      <c r="AJ879" t="str">
        <f t="shared" si="41"/>
        <v>Wk.4</v>
      </c>
      <c r="AK879" t="str">
        <f>IF(pub_gid_0_single_true_output_csv[[#This Row],[Nilai2]]="","",VLOOKUP(pub_gid_0_single_true_output_csv[[#This Row],[NAMA]],Table7[],3,FALSE))</f>
        <v>Low average</v>
      </c>
    </row>
    <row r="880" spans="1:37" x14ac:dyDescent="0.2">
      <c r="A880">
        <v>879</v>
      </c>
      <c r="B880" t="s">
        <v>295</v>
      </c>
      <c r="C880" t="s">
        <v>54</v>
      </c>
      <c r="D880" t="s">
        <v>47</v>
      </c>
      <c r="E880" t="s">
        <v>148</v>
      </c>
      <c r="F880" s="25">
        <v>46043</v>
      </c>
      <c r="G880" t="s">
        <v>341</v>
      </c>
      <c r="H880" t="s">
        <v>405</v>
      </c>
      <c r="I880" t="s">
        <v>371</v>
      </c>
      <c r="J880" t="s">
        <v>90</v>
      </c>
      <c r="K880" t="s">
        <v>377</v>
      </c>
      <c r="L880" t="s">
        <v>399</v>
      </c>
      <c r="M880" t="s">
        <v>141</v>
      </c>
      <c r="N880" t="s">
        <v>142</v>
      </c>
      <c r="O880" t="s">
        <v>155</v>
      </c>
      <c r="P880" t="s">
        <v>281</v>
      </c>
      <c r="Q880" t="s">
        <v>155</v>
      </c>
      <c r="R880" t="s">
        <v>302</v>
      </c>
      <c r="S880" t="s">
        <v>427</v>
      </c>
      <c r="T880">
        <v>1</v>
      </c>
      <c r="U880" t="s">
        <v>428</v>
      </c>
      <c r="V880" t="s">
        <v>285</v>
      </c>
      <c r="W880" t="s">
        <v>429</v>
      </c>
      <c r="X880" t="s">
        <v>391</v>
      </c>
      <c r="Y880" t="s">
        <v>335</v>
      </c>
      <c r="Z880">
        <v>65</v>
      </c>
      <c r="AA880">
        <v>90</v>
      </c>
      <c r="AB880" t="s">
        <v>143</v>
      </c>
      <c r="AC880" t="s">
        <v>154</v>
      </c>
      <c r="AD880" t="s">
        <v>50</v>
      </c>
      <c r="AE880" t="str">
        <f>IF(AF880="","",VLOOKUP(AC880,mapel!$A$2:$B$42,2,FALSE))</f>
        <v>Math</v>
      </c>
      <c r="AF880">
        <f t="shared" si="39"/>
        <v>90</v>
      </c>
      <c r="AG880" t="str">
        <f>IF(AF880="","",IF(AF880&gt;90,"Sangat baik",IF(AF880&gt;79,"Baik",IF(AF880&gt;=pub_gid_0_single_true_output_csv[[#This Row],[KKM]],"Cukup","Kurang"))))</f>
        <v>Baik</v>
      </c>
      <c r="AH880">
        <f t="shared" si="40"/>
        <v>9</v>
      </c>
      <c r="AI880" s="30" t="str">
        <f>IF(OR(J880&lt;&gt;"Karakter",pub_gid_0_single_true_output_csv[[#This Row],[Nilai2]]=""),"",IF(AF880&gt;89,"Sangat baik",IF(AF880&gt;79,"Baik",IF(AF880&gt;69,"Cukup",IF(AF880&gt;59,"Kurang","Sangat kurang")))))</f>
        <v>Sangat baik</v>
      </c>
      <c r="AJ880" t="str">
        <f t="shared" si="41"/>
        <v>Wk.4</v>
      </c>
      <c r="AK880" t="str">
        <f>IF(pub_gid_0_single_true_output_csv[[#This Row],[Nilai2]]="","",VLOOKUP(pub_gid_0_single_true_output_csv[[#This Row],[NAMA]],Table7[],3,FALSE))</f>
        <v>Low average</v>
      </c>
    </row>
    <row r="881" spans="1:37" x14ac:dyDescent="0.2">
      <c r="A881">
        <v>880</v>
      </c>
      <c r="B881" t="s">
        <v>295</v>
      </c>
      <c r="C881" t="s">
        <v>54</v>
      </c>
      <c r="D881" t="s">
        <v>47</v>
      </c>
      <c r="E881" t="s">
        <v>148</v>
      </c>
      <c r="F881" s="25">
        <v>46041</v>
      </c>
      <c r="G881" t="s">
        <v>370</v>
      </c>
      <c r="H881" t="s">
        <v>405</v>
      </c>
      <c r="I881" t="s">
        <v>371</v>
      </c>
      <c r="J881" t="s">
        <v>36</v>
      </c>
      <c r="K881" t="s">
        <v>37</v>
      </c>
      <c r="L881" t="s">
        <v>321</v>
      </c>
      <c r="M881" t="s">
        <v>141</v>
      </c>
      <c r="N881" t="s">
        <v>142</v>
      </c>
      <c r="O881" t="s">
        <v>155</v>
      </c>
      <c r="P881" t="s">
        <v>281</v>
      </c>
      <c r="Q881" t="s">
        <v>155</v>
      </c>
      <c r="R881" t="s">
        <v>302</v>
      </c>
      <c r="S881" t="s">
        <v>427</v>
      </c>
      <c r="T881">
        <v>1</v>
      </c>
      <c r="U881" t="s">
        <v>428</v>
      </c>
      <c r="V881" t="s">
        <v>285</v>
      </c>
      <c r="W881" t="s">
        <v>429</v>
      </c>
      <c r="X881" t="s">
        <v>391</v>
      </c>
      <c r="Y881" t="s">
        <v>335</v>
      </c>
      <c r="Z881">
        <v>65</v>
      </c>
      <c r="AA881">
        <v>80</v>
      </c>
      <c r="AB881" t="s">
        <v>143</v>
      </c>
      <c r="AC881" t="s">
        <v>154</v>
      </c>
      <c r="AD881" t="s">
        <v>50</v>
      </c>
      <c r="AE881" t="str">
        <f>IF(AF881="","",VLOOKUP(AC881,mapel!$A$2:$B$42,2,FALSE))</f>
        <v>Math</v>
      </c>
      <c r="AF881">
        <f t="shared" si="39"/>
        <v>80</v>
      </c>
      <c r="AG881" t="str">
        <f>IF(AF881="","",IF(AF881&gt;90,"Sangat baik",IF(AF881&gt;79,"Baik",IF(AF881&gt;=pub_gid_0_single_true_output_csv[[#This Row],[KKM]],"Cukup","Kurang"))))</f>
        <v>Baik</v>
      </c>
      <c r="AH881">
        <f t="shared" si="40"/>
        <v>9</v>
      </c>
      <c r="AI881" s="30" t="str">
        <f>IF(OR(J881&lt;&gt;"Karakter",pub_gid_0_single_true_output_csv[[#This Row],[Nilai2]]=""),"",IF(AF881&gt;89,"Sangat baik",IF(AF881&gt;79,"Baik",IF(AF881&gt;69,"Cukup",IF(AF881&gt;59,"Kurang","Sangat kurang")))))</f>
        <v/>
      </c>
      <c r="AJ881" t="str">
        <f t="shared" si="41"/>
        <v>Wk.4</v>
      </c>
      <c r="AK881" t="str">
        <f>IF(pub_gid_0_single_true_output_csv[[#This Row],[Nilai2]]="","",VLOOKUP(pub_gid_0_single_true_output_csv[[#This Row],[NAMA]],Table7[],3,FALSE))</f>
        <v>Low average</v>
      </c>
    </row>
    <row r="882" spans="1:37" x14ac:dyDescent="0.2">
      <c r="A882">
        <v>881</v>
      </c>
      <c r="B882" t="s">
        <v>295</v>
      </c>
      <c r="C882" t="s">
        <v>54</v>
      </c>
      <c r="D882" t="s">
        <v>47</v>
      </c>
      <c r="E882" t="s">
        <v>148</v>
      </c>
      <c r="F882" s="25">
        <v>46041</v>
      </c>
      <c r="G882" t="s">
        <v>370</v>
      </c>
      <c r="H882" t="s">
        <v>405</v>
      </c>
      <c r="I882" t="s">
        <v>371</v>
      </c>
      <c r="J882" t="s">
        <v>36</v>
      </c>
      <c r="K882" t="s">
        <v>37</v>
      </c>
      <c r="L882" t="s">
        <v>321</v>
      </c>
      <c r="M882" t="s">
        <v>141</v>
      </c>
      <c r="N882" t="s">
        <v>142</v>
      </c>
      <c r="O882" t="s">
        <v>155</v>
      </c>
      <c r="P882" t="s">
        <v>281</v>
      </c>
      <c r="Q882" t="s">
        <v>155</v>
      </c>
      <c r="R882" t="s">
        <v>302</v>
      </c>
      <c r="S882" t="s">
        <v>369</v>
      </c>
      <c r="T882">
        <v>1</v>
      </c>
      <c r="U882" t="s">
        <v>428</v>
      </c>
      <c r="V882" t="s">
        <v>342</v>
      </c>
      <c r="W882" t="s">
        <v>430</v>
      </c>
      <c r="X882" t="s">
        <v>306</v>
      </c>
      <c r="Y882" t="s">
        <v>307</v>
      </c>
      <c r="Z882">
        <v>65</v>
      </c>
      <c r="AA882">
        <v>70</v>
      </c>
      <c r="AB882" t="s">
        <v>143</v>
      </c>
      <c r="AC882" t="s">
        <v>154</v>
      </c>
      <c r="AD882" t="s">
        <v>50</v>
      </c>
      <c r="AE882" t="str">
        <f>IF(AF882="","",VLOOKUP(AC882,mapel!$A$2:$B$42,2,FALSE))</f>
        <v>Math</v>
      </c>
      <c r="AF882">
        <f t="shared" si="39"/>
        <v>70</v>
      </c>
      <c r="AG882" t="str">
        <f>IF(AF882="","",IF(AF882&gt;90,"Sangat baik",IF(AF882&gt;79,"Baik",IF(AF882&gt;=pub_gid_0_single_true_output_csv[[#This Row],[KKM]],"Cukup","Kurang"))))</f>
        <v>Cukup</v>
      </c>
      <c r="AH882">
        <f t="shared" si="40"/>
        <v>11</v>
      </c>
      <c r="AI882" s="30" t="str">
        <f>IF(OR(J882&lt;&gt;"Karakter",pub_gid_0_single_true_output_csv[[#This Row],[Nilai2]]=""),"",IF(AF882&gt;89,"Sangat baik",IF(AF882&gt;79,"Baik",IF(AF882&gt;69,"Cukup",IF(AF882&gt;59,"Kurang","Sangat kurang")))))</f>
        <v/>
      </c>
      <c r="AJ882" t="str">
        <f t="shared" si="41"/>
        <v>Wk.4</v>
      </c>
      <c r="AK882" t="str">
        <f>IF(pub_gid_0_single_true_output_csv[[#This Row],[Nilai2]]="","",VLOOKUP(pub_gid_0_single_true_output_csv[[#This Row],[NAMA]],Table7[],3,FALSE))</f>
        <v>Low average</v>
      </c>
    </row>
    <row r="883" spans="1:37" x14ac:dyDescent="0.2">
      <c r="A883">
        <v>882</v>
      </c>
      <c r="B883" t="s">
        <v>295</v>
      </c>
      <c r="C883" t="s">
        <v>54</v>
      </c>
      <c r="D883" t="s">
        <v>47</v>
      </c>
      <c r="E883" t="s">
        <v>148</v>
      </c>
      <c r="F883" s="25">
        <v>46050</v>
      </c>
      <c r="G883" t="s">
        <v>308</v>
      </c>
      <c r="H883" t="s">
        <v>405</v>
      </c>
      <c r="I883" t="s">
        <v>371</v>
      </c>
      <c r="J883" t="s">
        <v>36</v>
      </c>
      <c r="K883" t="s">
        <v>37</v>
      </c>
      <c r="L883" t="s">
        <v>150</v>
      </c>
      <c r="M883" t="s">
        <v>141</v>
      </c>
      <c r="N883" t="s">
        <v>142</v>
      </c>
      <c r="O883" t="s">
        <v>155</v>
      </c>
      <c r="P883" t="s">
        <v>281</v>
      </c>
      <c r="Q883" t="s">
        <v>155</v>
      </c>
      <c r="R883" t="s">
        <v>302</v>
      </c>
      <c r="S883" t="s">
        <v>427</v>
      </c>
      <c r="T883">
        <v>1</v>
      </c>
      <c r="U883" t="s">
        <v>428</v>
      </c>
      <c r="V883" t="s">
        <v>285</v>
      </c>
      <c r="W883" t="s">
        <v>429</v>
      </c>
      <c r="X883" t="s">
        <v>391</v>
      </c>
      <c r="Y883" t="s">
        <v>335</v>
      </c>
      <c r="Z883">
        <v>65</v>
      </c>
      <c r="AA883">
        <v>0</v>
      </c>
      <c r="AB883" t="s">
        <v>151</v>
      </c>
      <c r="AC883" t="s">
        <v>154</v>
      </c>
      <c r="AD883" t="s">
        <v>50</v>
      </c>
      <c r="AE883" t="str">
        <f>IF(AF883="","",VLOOKUP(AC883,mapel!$A$2:$B$42,2,FALSE))</f>
        <v/>
      </c>
      <c r="AF883" t="str">
        <f t="shared" si="39"/>
        <v/>
      </c>
      <c r="AG883" t="str">
        <f>IF(AF883="","",IF(AF883&gt;90,"Sangat baik",IF(AF883&gt;79,"Baik",IF(AF883&gt;=pub_gid_0_single_true_output_csv[[#This Row],[KKM]],"Cukup","Kurang"))))</f>
        <v/>
      </c>
      <c r="AH883" t="str">
        <f t="shared" si="40"/>
        <v/>
      </c>
      <c r="AI883" s="30" t="str">
        <f>IF(OR(J883&lt;&gt;"Karakter",pub_gid_0_single_true_output_csv[[#This Row],[Nilai2]]=""),"",IF(AF883&gt;89,"Sangat baik",IF(AF883&gt;79,"Baik",IF(AF883&gt;69,"Cukup",IF(AF883&gt;59,"Kurang","Sangat kurang")))))</f>
        <v/>
      </c>
      <c r="AJ883" t="str">
        <f t="shared" si="41"/>
        <v/>
      </c>
      <c r="AK883" t="str">
        <f>IF(pub_gid_0_single_true_output_csv[[#This Row],[Nilai2]]="","",VLOOKUP(pub_gid_0_single_true_output_csv[[#This Row],[NAMA]],Table7[],3,FALSE))</f>
        <v/>
      </c>
    </row>
    <row r="884" spans="1:37" x14ac:dyDescent="0.2">
      <c r="A884">
        <v>883</v>
      </c>
      <c r="B884" t="s">
        <v>295</v>
      </c>
      <c r="C884" t="s">
        <v>54</v>
      </c>
      <c r="D884" t="s">
        <v>47</v>
      </c>
      <c r="E884" t="s">
        <v>148</v>
      </c>
      <c r="F884" s="25">
        <v>46057</v>
      </c>
      <c r="G884" t="s">
        <v>348</v>
      </c>
      <c r="H884" t="s">
        <v>412</v>
      </c>
      <c r="I884" t="s">
        <v>371</v>
      </c>
      <c r="J884" t="s">
        <v>36</v>
      </c>
      <c r="K884" t="s">
        <v>37</v>
      </c>
      <c r="L884" t="s">
        <v>150</v>
      </c>
      <c r="M884" t="s">
        <v>141</v>
      </c>
      <c r="N884" t="s">
        <v>142</v>
      </c>
      <c r="O884" t="s">
        <v>155</v>
      </c>
      <c r="P884" t="s">
        <v>281</v>
      </c>
      <c r="Q884" t="s">
        <v>155</v>
      </c>
      <c r="R884" t="s">
        <v>302</v>
      </c>
      <c r="S884" t="s">
        <v>369</v>
      </c>
      <c r="T884">
        <v>1</v>
      </c>
      <c r="U884" t="s">
        <v>428</v>
      </c>
      <c r="V884" t="s">
        <v>342</v>
      </c>
      <c r="W884" t="s">
        <v>430</v>
      </c>
      <c r="X884" t="s">
        <v>306</v>
      </c>
      <c r="Y884" t="s">
        <v>307</v>
      </c>
      <c r="Z884">
        <v>65</v>
      </c>
      <c r="AA884">
        <v>50</v>
      </c>
      <c r="AB884" t="s">
        <v>151</v>
      </c>
      <c r="AC884" t="s">
        <v>154</v>
      </c>
      <c r="AD884" t="s">
        <v>50</v>
      </c>
      <c r="AE884" t="str">
        <f>IF(AF884="","",VLOOKUP(AC884,mapel!$A$2:$B$42,2,FALSE))</f>
        <v>Math</v>
      </c>
      <c r="AF884">
        <f t="shared" si="39"/>
        <v>50</v>
      </c>
      <c r="AG884" t="str">
        <f>IF(AF884="","",IF(AF884&gt;90,"Sangat baik",IF(AF884&gt;79,"Baik",IF(AF884&gt;=pub_gid_0_single_true_output_csv[[#This Row],[KKM]],"Cukup","Kurang"))))</f>
        <v>Kurang</v>
      </c>
      <c r="AH884">
        <f t="shared" si="40"/>
        <v>11</v>
      </c>
      <c r="AI884" s="30" t="str">
        <f>IF(OR(J884&lt;&gt;"Karakter",pub_gid_0_single_true_output_csv[[#This Row],[Nilai2]]=""),"",IF(AF884&gt;89,"Sangat baik",IF(AF884&gt;79,"Baik",IF(AF884&gt;69,"Cukup",IF(AF884&gt;59,"Kurang","Sangat kurang")))))</f>
        <v/>
      </c>
      <c r="AJ884" t="str">
        <f t="shared" si="41"/>
        <v>Wk.6</v>
      </c>
      <c r="AK884" t="str">
        <f>IF(pub_gid_0_single_true_output_csv[[#This Row],[Nilai2]]="","",VLOOKUP(pub_gid_0_single_true_output_csv[[#This Row],[NAMA]],Table7[],3,FALSE))</f>
        <v>Low average</v>
      </c>
    </row>
    <row r="885" spans="1:37" x14ac:dyDescent="0.2">
      <c r="A885">
        <v>884</v>
      </c>
      <c r="B885" t="s">
        <v>295</v>
      </c>
      <c r="C885" t="s">
        <v>54</v>
      </c>
      <c r="D885" t="s">
        <v>47</v>
      </c>
      <c r="E885" t="s">
        <v>148</v>
      </c>
      <c r="F885" s="25">
        <v>46059</v>
      </c>
      <c r="G885" t="s">
        <v>349</v>
      </c>
      <c r="H885" t="s">
        <v>412</v>
      </c>
      <c r="I885" t="s">
        <v>371</v>
      </c>
      <c r="J885" t="s">
        <v>36</v>
      </c>
      <c r="K885" t="s">
        <v>37</v>
      </c>
      <c r="L885" t="s">
        <v>150</v>
      </c>
      <c r="M885" t="s">
        <v>141</v>
      </c>
      <c r="N885" t="s">
        <v>142</v>
      </c>
      <c r="O885" t="s">
        <v>155</v>
      </c>
      <c r="P885" t="s">
        <v>281</v>
      </c>
      <c r="Q885" t="s">
        <v>155</v>
      </c>
      <c r="R885" t="s">
        <v>302</v>
      </c>
      <c r="S885" t="s">
        <v>369</v>
      </c>
      <c r="T885">
        <v>1</v>
      </c>
      <c r="U885" t="s">
        <v>428</v>
      </c>
      <c r="V885" t="s">
        <v>342</v>
      </c>
      <c r="W885" t="s">
        <v>430</v>
      </c>
      <c r="X885" t="s">
        <v>306</v>
      </c>
      <c r="Y885" t="s">
        <v>307</v>
      </c>
      <c r="Z885">
        <v>65</v>
      </c>
      <c r="AA885">
        <v>30</v>
      </c>
      <c r="AB885" t="s">
        <v>151</v>
      </c>
      <c r="AC885" t="s">
        <v>154</v>
      </c>
      <c r="AD885" t="s">
        <v>50</v>
      </c>
      <c r="AE885" t="str">
        <f>IF(AF885="","",VLOOKUP(AC885,mapel!$A$2:$B$42,2,FALSE))</f>
        <v>Math</v>
      </c>
      <c r="AF885">
        <f t="shared" si="39"/>
        <v>30</v>
      </c>
      <c r="AG885" t="str">
        <f>IF(AF885="","",IF(AF885&gt;90,"Sangat baik",IF(AF885&gt;79,"Baik",IF(AF885&gt;=pub_gid_0_single_true_output_csv[[#This Row],[KKM]],"Cukup","Kurang"))))</f>
        <v>Kurang</v>
      </c>
      <c r="AH885">
        <f t="shared" si="40"/>
        <v>11</v>
      </c>
      <c r="AI885" s="30" t="str">
        <f>IF(OR(J885&lt;&gt;"Karakter",pub_gid_0_single_true_output_csv[[#This Row],[Nilai2]]=""),"",IF(AF885&gt;89,"Sangat baik",IF(AF885&gt;79,"Baik",IF(AF885&gt;69,"Cukup",IF(AF885&gt;59,"Kurang","Sangat kurang")))))</f>
        <v/>
      </c>
      <c r="AJ885" t="str">
        <f t="shared" si="41"/>
        <v>Wk.6</v>
      </c>
      <c r="AK885" t="str">
        <f>IF(pub_gid_0_single_true_output_csv[[#This Row],[Nilai2]]="","",VLOOKUP(pub_gid_0_single_true_output_csv[[#This Row],[NAMA]],Table7[],3,FALSE))</f>
        <v>Low average</v>
      </c>
    </row>
    <row r="886" spans="1:37" x14ac:dyDescent="0.2">
      <c r="A886">
        <v>885</v>
      </c>
      <c r="B886" t="s">
        <v>295</v>
      </c>
      <c r="C886" t="s">
        <v>54</v>
      </c>
      <c r="D886" t="s">
        <v>47</v>
      </c>
      <c r="E886" t="s">
        <v>148</v>
      </c>
      <c r="F886" s="25">
        <v>46062</v>
      </c>
      <c r="G886" t="s">
        <v>376</v>
      </c>
      <c r="H886" t="s">
        <v>412</v>
      </c>
      <c r="I886" t="s">
        <v>371</v>
      </c>
      <c r="J886" t="s">
        <v>36</v>
      </c>
      <c r="K886" t="s">
        <v>37</v>
      </c>
      <c r="L886" t="s">
        <v>150</v>
      </c>
      <c r="M886" t="s">
        <v>141</v>
      </c>
      <c r="N886" t="s">
        <v>142</v>
      </c>
      <c r="O886" t="s">
        <v>155</v>
      </c>
      <c r="P886" t="s">
        <v>281</v>
      </c>
      <c r="Q886" t="s">
        <v>155</v>
      </c>
      <c r="R886" t="s">
        <v>302</v>
      </c>
      <c r="S886" t="s">
        <v>369</v>
      </c>
      <c r="T886">
        <v>1</v>
      </c>
      <c r="U886" t="s">
        <v>428</v>
      </c>
      <c r="V886" t="s">
        <v>342</v>
      </c>
      <c r="W886" t="s">
        <v>430</v>
      </c>
      <c r="X886" t="s">
        <v>306</v>
      </c>
      <c r="Y886" t="s">
        <v>307</v>
      </c>
      <c r="Z886">
        <v>65</v>
      </c>
      <c r="AA886">
        <v>30</v>
      </c>
      <c r="AB886" t="s">
        <v>151</v>
      </c>
      <c r="AC886" t="s">
        <v>154</v>
      </c>
      <c r="AD886" t="s">
        <v>50</v>
      </c>
      <c r="AE886" t="str">
        <f>IF(AF886="","",VLOOKUP(AC886,mapel!$A$2:$B$42,2,FALSE))</f>
        <v>Math</v>
      </c>
      <c r="AF886">
        <f t="shared" si="39"/>
        <v>30</v>
      </c>
      <c r="AG886" t="str">
        <f>IF(AF886="","",IF(AF886&gt;90,"Sangat baik",IF(AF886&gt;79,"Baik",IF(AF886&gt;=pub_gid_0_single_true_output_csv[[#This Row],[KKM]],"Cukup","Kurang"))))</f>
        <v>Kurang</v>
      </c>
      <c r="AH886">
        <f t="shared" si="40"/>
        <v>11</v>
      </c>
      <c r="AI886" s="30" t="str">
        <f>IF(OR(J886&lt;&gt;"Karakter",pub_gid_0_single_true_output_csv[[#This Row],[Nilai2]]=""),"",IF(AF886&gt;89,"Sangat baik",IF(AF886&gt;79,"Baik",IF(AF886&gt;69,"Cukup",IF(AF886&gt;59,"Kurang","Sangat kurang")))))</f>
        <v/>
      </c>
      <c r="AJ886" t="str">
        <f t="shared" si="41"/>
        <v>Wk.7</v>
      </c>
      <c r="AK886" t="str">
        <f>IF(pub_gid_0_single_true_output_csv[[#This Row],[Nilai2]]="","",VLOOKUP(pub_gid_0_single_true_output_csv[[#This Row],[NAMA]],Table7[],3,FALSE))</f>
        <v>Low average</v>
      </c>
    </row>
    <row r="887" spans="1:37" x14ac:dyDescent="0.2">
      <c r="A887">
        <v>886</v>
      </c>
      <c r="B887" t="s">
        <v>295</v>
      </c>
      <c r="C887" t="s">
        <v>54</v>
      </c>
      <c r="D887" t="s">
        <v>47</v>
      </c>
      <c r="E887" t="s">
        <v>148</v>
      </c>
      <c r="F887" s="25">
        <v>46059</v>
      </c>
      <c r="G887" t="s">
        <v>349</v>
      </c>
      <c r="H887" t="s">
        <v>412</v>
      </c>
      <c r="I887" t="s">
        <v>371</v>
      </c>
      <c r="J887" t="s">
        <v>36</v>
      </c>
      <c r="K887" t="s">
        <v>37</v>
      </c>
      <c r="L887" t="s">
        <v>321</v>
      </c>
      <c r="M887" t="s">
        <v>141</v>
      </c>
      <c r="N887" t="s">
        <v>142</v>
      </c>
      <c r="O887" t="s">
        <v>155</v>
      </c>
      <c r="P887" t="s">
        <v>281</v>
      </c>
      <c r="Q887" t="s">
        <v>155</v>
      </c>
      <c r="R887" t="s">
        <v>302</v>
      </c>
      <c r="S887" t="s">
        <v>369</v>
      </c>
      <c r="T887">
        <v>1</v>
      </c>
      <c r="U887" t="s">
        <v>428</v>
      </c>
      <c r="V887" t="s">
        <v>342</v>
      </c>
      <c r="W887" t="s">
        <v>430</v>
      </c>
      <c r="X887" t="s">
        <v>306</v>
      </c>
      <c r="Y887" t="s">
        <v>307</v>
      </c>
      <c r="Z887">
        <v>65</v>
      </c>
      <c r="AA887">
        <v>10</v>
      </c>
      <c r="AB887" t="s">
        <v>151</v>
      </c>
      <c r="AC887" t="s">
        <v>154</v>
      </c>
      <c r="AD887" t="s">
        <v>50</v>
      </c>
      <c r="AE887" t="str">
        <f>IF(AF887="","",VLOOKUP(AC887,mapel!$A$2:$B$42,2,FALSE))</f>
        <v>Math</v>
      </c>
      <c r="AF887">
        <f t="shared" si="39"/>
        <v>10</v>
      </c>
      <c r="AG887" t="str">
        <f>IF(AF887="","",IF(AF887&gt;90,"Sangat baik",IF(AF887&gt;79,"Baik",IF(AF887&gt;=pub_gid_0_single_true_output_csv[[#This Row],[KKM]],"Cukup","Kurang"))))</f>
        <v>Kurang</v>
      </c>
      <c r="AH887">
        <f t="shared" si="40"/>
        <v>11</v>
      </c>
      <c r="AI887" s="30" t="str">
        <f>IF(OR(J887&lt;&gt;"Karakter",pub_gid_0_single_true_output_csv[[#This Row],[Nilai2]]=""),"",IF(AF887&gt;89,"Sangat baik",IF(AF887&gt;79,"Baik",IF(AF887&gt;69,"Cukup",IF(AF887&gt;59,"Kurang","Sangat kurang")))))</f>
        <v/>
      </c>
      <c r="AJ887" t="str">
        <f t="shared" si="41"/>
        <v>Wk.6</v>
      </c>
      <c r="AK887" t="str">
        <f>IF(pub_gid_0_single_true_output_csv[[#This Row],[Nilai2]]="","",VLOOKUP(pub_gid_0_single_true_output_csv[[#This Row],[NAMA]],Table7[],3,FALSE))</f>
        <v>Low average</v>
      </c>
    </row>
    <row r="888" spans="1:37" x14ac:dyDescent="0.2">
      <c r="A888">
        <v>887</v>
      </c>
      <c r="B888" t="s">
        <v>295</v>
      </c>
      <c r="C888" t="s">
        <v>54</v>
      </c>
      <c r="D888" t="s">
        <v>47</v>
      </c>
      <c r="E888" t="s">
        <v>148</v>
      </c>
      <c r="F888" s="25">
        <v>46064</v>
      </c>
      <c r="G888" t="s">
        <v>352</v>
      </c>
      <c r="H888" t="s">
        <v>412</v>
      </c>
      <c r="I888" t="s">
        <v>371</v>
      </c>
      <c r="J888" t="s">
        <v>36</v>
      </c>
      <c r="K888" t="s">
        <v>37</v>
      </c>
      <c r="L888" t="s">
        <v>150</v>
      </c>
      <c r="M888" t="s">
        <v>141</v>
      </c>
      <c r="N888" t="s">
        <v>142</v>
      </c>
      <c r="O888" t="s">
        <v>155</v>
      </c>
      <c r="P888" t="s">
        <v>281</v>
      </c>
      <c r="Q888" t="s">
        <v>155</v>
      </c>
      <c r="R888" t="s">
        <v>302</v>
      </c>
      <c r="S888" t="s">
        <v>369</v>
      </c>
      <c r="T888">
        <v>1</v>
      </c>
      <c r="U888" t="s">
        <v>428</v>
      </c>
      <c r="V888" t="s">
        <v>342</v>
      </c>
      <c r="W888" t="s">
        <v>430</v>
      </c>
      <c r="X888" t="s">
        <v>306</v>
      </c>
      <c r="Y888" t="s">
        <v>307</v>
      </c>
      <c r="Z888">
        <v>65</v>
      </c>
      <c r="AA888">
        <v>30</v>
      </c>
      <c r="AB888" t="s">
        <v>151</v>
      </c>
      <c r="AC888" t="s">
        <v>154</v>
      </c>
      <c r="AD888" t="s">
        <v>50</v>
      </c>
      <c r="AE888" t="str">
        <f>IF(AF888="","",VLOOKUP(AC888,mapel!$A$2:$B$42,2,FALSE))</f>
        <v>Math</v>
      </c>
      <c r="AF888">
        <f t="shared" si="39"/>
        <v>30</v>
      </c>
      <c r="AG888" t="str">
        <f>IF(AF888="","",IF(AF888&gt;90,"Sangat baik",IF(AF888&gt;79,"Baik",IF(AF888&gt;=pub_gid_0_single_true_output_csv[[#This Row],[KKM]],"Cukup","Kurang"))))</f>
        <v>Kurang</v>
      </c>
      <c r="AH888">
        <f t="shared" si="40"/>
        <v>11</v>
      </c>
      <c r="AI888" s="30" t="str">
        <f>IF(OR(J888&lt;&gt;"Karakter",pub_gid_0_single_true_output_csv[[#This Row],[Nilai2]]=""),"",IF(AF888&gt;89,"Sangat baik",IF(AF888&gt;79,"Baik",IF(AF888&gt;69,"Cukup",IF(AF888&gt;59,"Kurang","Sangat kurang")))))</f>
        <v/>
      </c>
      <c r="AJ888" t="str">
        <f t="shared" si="41"/>
        <v>Wk.7</v>
      </c>
      <c r="AK888" t="str">
        <f>IF(pub_gid_0_single_true_output_csv[[#This Row],[Nilai2]]="","",VLOOKUP(pub_gid_0_single_true_output_csv[[#This Row],[NAMA]],Table7[],3,FALSE))</f>
        <v>Low average</v>
      </c>
    </row>
    <row r="889" spans="1:37" x14ac:dyDescent="0.2">
      <c r="A889">
        <v>888</v>
      </c>
      <c r="B889" t="s">
        <v>296</v>
      </c>
      <c r="C889" t="s">
        <v>54</v>
      </c>
      <c r="D889" t="s">
        <v>48</v>
      </c>
      <c r="E889" t="s">
        <v>140</v>
      </c>
      <c r="F889" s="25">
        <v>46036</v>
      </c>
      <c r="G889" t="s">
        <v>353</v>
      </c>
      <c r="H889" t="s">
        <v>405</v>
      </c>
      <c r="I889" t="s">
        <v>371</v>
      </c>
      <c r="J889" t="s">
        <v>36</v>
      </c>
      <c r="K889" t="s">
        <v>37</v>
      </c>
      <c r="L889" t="s">
        <v>150</v>
      </c>
      <c r="M889" t="s">
        <v>141</v>
      </c>
      <c r="N889" t="s">
        <v>142</v>
      </c>
      <c r="O889" t="s">
        <v>155</v>
      </c>
      <c r="P889" t="s">
        <v>281</v>
      </c>
      <c r="Q889" t="s">
        <v>155</v>
      </c>
      <c r="R889" t="s">
        <v>302</v>
      </c>
      <c r="S889" t="s">
        <v>427</v>
      </c>
      <c r="T889">
        <v>1</v>
      </c>
      <c r="U889" t="s">
        <v>428</v>
      </c>
      <c r="V889" t="s">
        <v>285</v>
      </c>
      <c r="W889" t="s">
        <v>429</v>
      </c>
      <c r="X889" t="s">
        <v>391</v>
      </c>
      <c r="Y889" t="s">
        <v>335</v>
      </c>
      <c r="Z889">
        <v>65</v>
      </c>
      <c r="AA889">
        <v>40</v>
      </c>
      <c r="AB889" t="s">
        <v>151</v>
      </c>
      <c r="AC889" t="s">
        <v>154</v>
      </c>
      <c r="AD889" t="s">
        <v>50</v>
      </c>
      <c r="AE889" t="str">
        <f>IF(AF889="","",VLOOKUP(AC889,mapel!$A$2:$B$42,2,FALSE))</f>
        <v>Math</v>
      </c>
      <c r="AF889">
        <f t="shared" si="39"/>
        <v>40</v>
      </c>
      <c r="AG889" t="str">
        <f>IF(AF889="","",IF(AF889&gt;90,"Sangat baik",IF(AF889&gt;79,"Baik",IF(AF889&gt;=pub_gid_0_single_true_output_csv[[#This Row],[KKM]],"Cukup","Kurang"))))</f>
        <v>Kurang</v>
      </c>
      <c r="AH889">
        <f t="shared" si="40"/>
        <v>9</v>
      </c>
      <c r="AI889" s="30" t="str">
        <f>IF(OR(J889&lt;&gt;"Karakter",pub_gid_0_single_true_output_csv[[#This Row],[Nilai2]]=""),"",IF(AF889&gt;89,"Sangat baik",IF(AF889&gt;79,"Baik",IF(AF889&gt;69,"Cukup",IF(AF889&gt;59,"Kurang","Sangat kurang")))))</f>
        <v/>
      </c>
      <c r="AJ889" t="str">
        <f t="shared" si="41"/>
        <v>Wk.3</v>
      </c>
      <c r="AK889" t="str">
        <f>IF(pub_gid_0_single_true_output_csv[[#This Row],[Nilai2]]="","",VLOOKUP(pub_gid_0_single_true_output_csv[[#This Row],[NAMA]],Table7[],3,FALSE))</f>
        <v>Average</v>
      </c>
    </row>
    <row r="890" spans="1:37" x14ac:dyDescent="0.2">
      <c r="A890">
        <v>889</v>
      </c>
      <c r="B890" t="s">
        <v>296</v>
      </c>
      <c r="C890" t="s">
        <v>54</v>
      </c>
      <c r="D890" t="s">
        <v>48</v>
      </c>
      <c r="E890" t="s">
        <v>140</v>
      </c>
      <c r="F890" s="25">
        <v>46036</v>
      </c>
      <c r="G890" t="s">
        <v>353</v>
      </c>
      <c r="H890" t="s">
        <v>405</v>
      </c>
      <c r="I890" t="s">
        <v>371</v>
      </c>
      <c r="J890" t="s">
        <v>36</v>
      </c>
      <c r="K890" t="s">
        <v>37</v>
      </c>
      <c r="L890" t="s">
        <v>150</v>
      </c>
      <c r="M890" t="s">
        <v>141</v>
      </c>
      <c r="N890" t="s">
        <v>142</v>
      </c>
      <c r="O890" t="s">
        <v>155</v>
      </c>
      <c r="P890" t="s">
        <v>281</v>
      </c>
      <c r="Q890" t="s">
        <v>155</v>
      </c>
      <c r="R890" t="s">
        <v>302</v>
      </c>
      <c r="S890" t="s">
        <v>369</v>
      </c>
      <c r="T890">
        <v>1</v>
      </c>
      <c r="U890" t="s">
        <v>428</v>
      </c>
      <c r="V890" t="s">
        <v>342</v>
      </c>
      <c r="W890" t="s">
        <v>430</v>
      </c>
      <c r="X890" t="s">
        <v>306</v>
      </c>
      <c r="Y890" t="s">
        <v>307</v>
      </c>
      <c r="Z890">
        <v>65</v>
      </c>
      <c r="AA890">
        <v>91</v>
      </c>
      <c r="AB890" t="s">
        <v>143</v>
      </c>
      <c r="AC890" t="s">
        <v>154</v>
      </c>
      <c r="AD890" t="s">
        <v>50</v>
      </c>
      <c r="AE890" t="str">
        <f>IF(AF890="","",VLOOKUP(AC890,mapel!$A$2:$B$42,2,FALSE))</f>
        <v>Math</v>
      </c>
      <c r="AF890">
        <f t="shared" si="39"/>
        <v>91</v>
      </c>
      <c r="AG890" t="str">
        <f>IF(AF890="","",IF(AF890&gt;90,"Sangat baik",IF(AF890&gt;79,"Baik",IF(AF890&gt;=pub_gid_0_single_true_output_csv[[#This Row],[KKM]],"Cukup","Kurang"))))</f>
        <v>Sangat baik</v>
      </c>
      <c r="AH890">
        <f t="shared" si="40"/>
        <v>11</v>
      </c>
      <c r="AI890" s="30" t="str">
        <f>IF(OR(J890&lt;&gt;"Karakter",pub_gid_0_single_true_output_csv[[#This Row],[Nilai2]]=""),"",IF(AF890&gt;89,"Sangat baik",IF(AF890&gt;79,"Baik",IF(AF890&gt;69,"Cukup",IF(AF890&gt;59,"Kurang","Sangat kurang")))))</f>
        <v/>
      </c>
      <c r="AJ890" t="str">
        <f t="shared" si="41"/>
        <v>Wk.3</v>
      </c>
      <c r="AK890" t="str">
        <f>IF(pub_gid_0_single_true_output_csv[[#This Row],[Nilai2]]="","",VLOOKUP(pub_gid_0_single_true_output_csv[[#This Row],[NAMA]],Table7[],3,FALSE))</f>
        <v>Average</v>
      </c>
    </row>
    <row r="891" spans="1:37" x14ac:dyDescent="0.2">
      <c r="A891">
        <v>890</v>
      </c>
      <c r="B891" t="s">
        <v>296</v>
      </c>
      <c r="C891" t="s">
        <v>54</v>
      </c>
      <c r="D891" t="s">
        <v>48</v>
      </c>
      <c r="E891" t="s">
        <v>140</v>
      </c>
      <c r="F891" s="25">
        <v>46041</v>
      </c>
      <c r="G891" t="s">
        <v>370</v>
      </c>
      <c r="H891" t="s">
        <v>405</v>
      </c>
      <c r="I891" t="s">
        <v>371</v>
      </c>
      <c r="J891" t="s">
        <v>36</v>
      </c>
      <c r="K891" t="s">
        <v>37</v>
      </c>
      <c r="L891" t="s">
        <v>150</v>
      </c>
      <c r="M891" t="s">
        <v>141</v>
      </c>
      <c r="N891" t="s">
        <v>142</v>
      </c>
      <c r="O891" t="s">
        <v>155</v>
      </c>
      <c r="P891" t="s">
        <v>281</v>
      </c>
      <c r="Q891" t="s">
        <v>155</v>
      </c>
      <c r="R891" t="s">
        <v>302</v>
      </c>
      <c r="S891" t="s">
        <v>427</v>
      </c>
      <c r="T891">
        <v>1</v>
      </c>
      <c r="U891" t="s">
        <v>428</v>
      </c>
      <c r="V891" t="s">
        <v>285</v>
      </c>
      <c r="W891" t="s">
        <v>429</v>
      </c>
      <c r="X891" t="s">
        <v>391</v>
      </c>
      <c r="Y891" t="s">
        <v>335</v>
      </c>
      <c r="Z891">
        <v>65</v>
      </c>
      <c r="AA891">
        <v>70</v>
      </c>
      <c r="AB891" t="s">
        <v>143</v>
      </c>
      <c r="AC891" t="s">
        <v>154</v>
      </c>
      <c r="AD891" t="s">
        <v>50</v>
      </c>
      <c r="AE891" t="str">
        <f>IF(AF891="","",VLOOKUP(AC891,mapel!$A$2:$B$42,2,FALSE))</f>
        <v>Math</v>
      </c>
      <c r="AF891">
        <f t="shared" si="39"/>
        <v>70</v>
      </c>
      <c r="AG891" t="str">
        <f>IF(AF891="","",IF(AF891&gt;90,"Sangat baik",IF(AF891&gt;79,"Baik",IF(AF891&gt;=pub_gid_0_single_true_output_csv[[#This Row],[KKM]],"Cukup","Kurang"))))</f>
        <v>Cukup</v>
      </c>
      <c r="AH891">
        <f t="shared" si="40"/>
        <v>9</v>
      </c>
      <c r="AI891" s="30" t="str">
        <f>IF(OR(J891&lt;&gt;"Karakter",pub_gid_0_single_true_output_csv[[#This Row],[Nilai2]]=""),"",IF(AF891&gt;89,"Sangat baik",IF(AF891&gt;79,"Baik",IF(AF891&gt;69,"Cukup",IF(AF891&gt;59,"Kurang","Sangat kurang")))))</f>
        <v/>
      </c>
      <c r="AJ891" t="str">
        <f t="shared" si="41"/>
        <v>Wk.4</v>
      </c>
      <c r="AK891" t="str">
        <f>IF(pub_gid_0_single_true_output_csv[[#This Row],[Nilai2]]="","",VLOOKUP(pub_gid_0_single_true_output_csv[[#This Row],[NAMA]],Table7[],3,FALSE))</f>
        <v>Average</v>
      </c>
    </row>
    <row r="892" spans="1:37" x14ac:dyDescent="0.2">
      <c r="A892">
        <v>891</v>
      </c>
      <c r="B892" t="s">
        <v>296</v>
      </c>
      <c r="C892" t="s">
        <v>54</v>
      </c>
      <c r="D892" t="s">
        <v>48</v>
      </c>
      <c r="E892" t="s">
        <v>140</v>
      </c>
      <c r="F892" s="25">
        <v>46041</v>
      </c>
      <c r="G892" t="s">
        <v>370</v>
      </c>
      <c r="H892" t="s">
        <v>405</v>
      </c>
      <c r="I892" t="s">
        <v>371</v>
      </c>
      <c r="J892" t="s">
        <v>90</v>
      </c>
      <c r="K892" t="s">
        <v>377</v>
      </c>
      <c r="L892" t="s">
        <v>399</v>
      </c>
      <c r="M892" t="s">
        <v>141</v>
      </c>
      <c r="N892" t="s">
        <v>142</v>
      </c>
      <c r="O892" t="s">
        <v>155</v>
      </c>
      <c r="P892" t="s">
        <v>281</v>
      </c>
      <c r="Q892" t="s">
        <v>155</v>
      </c>
      <c r="R892" t="s">
        <v>302</v>
      </c>
      <c r="S892" t="s">
        <v>369</v>
      </c>
      <c r="T892">
        <v>1</v>
      </c>
      <c r="U892" t="s">
        <v>428</v>
      </c>
      <c r="V892" t="s">
        <v>342</v>
      </c>
      <c r="W892" t="s">
        <v>430</v>
      </c>
      <c r="X892" t="s">
        <v>306</v>
      </c>
      <c r="Y892" t="s">
        <v>307</v>
      </c>
      <c r="Z892">
        <v>65</v>
      </c>
      <c r="AA892">
        <v>65</v>
      </c>
      <c r="AB892" t="s">
        <v>143</v>
      </c>
      <c r="AC892" t="s">
        <v>154</v>
      </c>
      <c r="AD892" t="s">
        <v>50</v>
      </c>
      <c r="AE892" t="str">
        <f>IF(AF892="","",VLOOKUP(AC892,mapel!$A$2:$B$42,2,FALSE))</f>
        <v>Math</v>
      </c>
      <c r="AF892">
        <f t="shared" si="39"/>
        <v>65</v>
      </c>
      <c r="AG892" t="str">
        <f>IF(AF892="","",IF(AF892&gt;90,"Sangat baik",IF(AF892&gt;79,"Baik",IF(AF892&gt;=pub_gid_0_single_true_output_csv[[#This Row],[KKM]],"Cukup","Kurang"))))</f>
        <v>Cukup</v>
      </c>
      <c r="AH892">
        <f t="shared" si="40"/>
        <v>11</v>
      </c>
      <c r="AI892" s="30" t="str">
        <f>IF(OR(J892&lt;&gt;"Karakter",pub_gid_0_single_true_output_csv[[#This Row],[Nilai2]]=""),"",IF(AF892&gt;89,"Sangat baik",IF(AF892&gt;79,"Baik",IF(AF892&gt;69,"Cukup",IF(AF892&gt;59,"Kurang","Sangat kurang")))))</f>
        <v>Kurang</v>
      </c>
      <c r="AJ892" t="str">
        <f t="shared" si="41"/>
        <v>Wk.4</v>
      </c>
      <c r="AK892" t="str">
        <f>IF(pub_gid_0_single_true_output_csv[[#This Row],[Nilai2]]="","",VLOOKUP(pub_gid_0_single_true_output_csv[[#This Row],[NAMA]],Table7[],3,FALSE))</f>
        <v>Average</v>
      </c>
    </row>
    <row r="893" spans="1:37" x14ac:dyDescent="0.2">
      <c r="A893">
        <v>892</v>
      </c>
      <c r="B893" t="s">
        <v>296</v>
      </c>
      <c r="C893" t="s">
        <v>54</v>
      </c>
      <c r="D893" t="s">
        <v>48</v>
      </c>
      <c r="E893" t="s">
        <v>140</v>
      </c>
      <c r="F893" s="25">
        <v>46043</v>
      </c>
      <c r="G893" t="s">
        <v>341</v>
      </c>
      <c r="H893" t="s">
        <v>405</v>
      </c>
      <c r="I893" t="s">
        <v>371</v>
      </c>
      <c r="J893" t="s">
        <v>36</v>
      </c>
      <c r="K893" t="s">
        <v>37</v>
      </c>
      <c r="L893" t="s">
        <v>150</v>
      </c>
      <c r="M893" t="s">
        <v>141</v>
      </c>
      <c r="N893" t="s">
        <v>142</v>
      </c>
      <c r="O893" t="s">
        <v>155</v>
      </c>
      <c r="P893" t="s">
        <v>281</v>
      </c>
      <c r="Q893" t="s">
        <v>155</v>
      </c>
      <c r="R893" t="s">
        <v>302</v>
      </c>
      <c r="S893" t="s">
        <v>427</v>
      </c>
      <c r="T893">
        <v>1</v>
      </c>
      <c r="U893" t="s">
        <v>428</v>
      </c>
      <c r="V893" t="s">
        <v>285</v>
      </c>
      <c r="W893" t="s">
        <v>429</v>
      </c>
      <c r="X893" t="s">
        <v>391</v>
      </c>
      <c r="Y893" t="s">
        <v>335</v>
      </c>
      <c r="Z893">
        <v>65</v>
      </c>
      <c r="AA893">
        <v>80</v>
      </c>
      <c r="AB893" t="s">
        <v>143</v>
      </c>
      <c r="AC893" t="s">
        <v>154</v>
      </c>
      <c r="AD893" t="s">
        <v>50</v>
      </c>
      <c r="AE893" t="str">
        <f>IF(AF893="","",VLOOKUP(AC893,mapel!$A$2:$B$42,2,FALSE))</f>
        <v>Math</v>
      </c>
      <c r="AF893">
        <f t="shared" si="39"/>
        <v>80</v>
      </c>
      <c r="AG893" t="str">
        <f>IF(AF893="","",IF(AF893&gt;90,"Sangat baik",IF(AF893&gt;79,"Baik",IF(AF893&gt;=pub_gid_0_single_true_output_csv[[#This Row],[KKM]],"Cukup","Kurang"))))</f>
        <v>Baik</v>
      </c>
      <c r="AH893">
        <f t="shared" si="40"/>
        <v>9</v>
      </c>
      <c r="AI893" s="30" t="str">
        <f>IF(OR(J893&lt;&gt;"Karakter",pub_gid_0_single_true_output_csv[[#This Row],[Nilai2]]=""),"",IF(AF893&gt;89,"Sangat baik",IF(AF893&gt;79,"Baik",IF(AF893&gt;69,"Cukup",IF(AF893&gt;59,"Kurang","Sangat kurang")))))</f>
        <v/>
      </c>
      <c r="AJ893" t="str">
        <f t="shared" si="41"/>
        <v>Wk.4</v>
      </c>
      <c r="AK893" t="str">
        <f>IF(pub_gid_0_single_true_output_csv[[#This Row],[Nilai2]]="","",VLOOKUP(pub_gid_0_single_true_output_csv[[#This Row],[NAMA]],Table7[],3,FALSE))</f>
        <v>Average</v>
      </c>
    </row>
    <row r="894" spans="1:37" x14ac:dyDescent="0.2">
      <c r="A894">
        <v>893</v>
      </c>
      <c r="B894" t="s">
        <v>296</v>
      </c>
      <c r="C894" t="s">
        <v>54</v>
      </c>
      <c r="D894" t="s">
        <v>48</v>
      </c>
      <c r="E894" t="s">
        <v>140</v>
      </c>
      <c r="F894" s="25">
        <v>46043</v>
      </c>
      <c r="G894" t="s">
        <v>341</v>
      </c>
      <c r="H894" t="s">
        <v>405</v>
      </c>
      <c r="I894" t="s">
        <v>371</v>
      </c>
      <c r="J894" t="s">
        <v>90</v>
      </c>
      <c r="K894" t="s">
        <v>377</v>
      </c>
      <c r="L894" t="s">
        <v>399</v>
      </c>
      <c r="M894" t="s">
        <v>141</v>
      </c>
      <c r="N894" t="s">
        <v>142</v>
      </c>
      <c r="O894" t="s">
        <v>155</v>
      </c>
      <c r="P894" t="s">
        <v>281</v>
      </c>
      <c r="Q894" t="s">
        <v>155</v>
      </c>
      <c r="R894" t="s">
        <v>302</v>
      </c>
      <c r="S894" t="s">
        <v>427</v>
      </c>
      <c r="T894">
        <v>1</v>
      </c>
      <c r="U894" t="s">
        <v>428</v>
      </c>
      <c r="V894" t="s">
        <v>285</v>
      </c>
      <c r="W894" t="s">
        <v>429</v>
      </c>
      <c r="X894" t="s">
        <v>391</v>
      </c>
      <c r="Y894" t="s">
        <v>335</v>
      </c>
      <c r="Z894">
        <v>65</v>
      </c>
      <c r="AA894">
        <v>65</v>
      </c>
      <c r="AB894" t="s">
        <v>143</v>
      </c>
      <c r="AC894" t="s">
        <v>154</v>
      </c>
      <c r="AD894" t="s">
        <v>50</v>
      </c>
      <c r="AE894" t="str">
        <f>IF(AF894="","",VLOOKUP(AC894,mapel!$A$2:$B$42,2,FALSE))</f>
        <v>Math</v>
      </c>
      <c r="AF894">
        <f t="shared" si="39"/>
        <v>65</v>
      </c>
      <c r="AG894" t="str">
        <f>IF(AF894="","",IF(AF894&gt;90,"Sangat baik",IF(AF894&gt;79,"Baik",IF(AF894&gt;=pub_gid_0_single_true_output_csv[[#This Row],[KKM]],"Cukup","Kurang"))))</f>
        <v>Cukup</v>
      </c>
      <c r="AH894">
        <f t="shared" si="40"/>
        <v>9</v>
      </c>
      <c r="AI894" s="30" t="str">
        <f>IF(OR(J894&lt;&gt;"Karakter",pub_gid_0_single_true_output_csv[[#This Row],[Nilai2]]=""),"",IF(AF894&gt;89,"Sangat baik",IF(AF894&gt;79,"Baik",IF(AF894&gt;69,"Cukup",IF(AF894&gt;59,"Kurang","Sangat kurang")))))</f>
        <v>Kurang</v>
      </c>
      <c r="AJ894" t="str">
        <f t="shared" si="41"/>
        <v>Wk.4</v>
      </c>
      <c r="AK894" t="str">
        <f>IF(pub_gid_0_single_true_output_csv[[#This Row],[Nilai2]]="","",VLOOKUP(pub_gid_0_single_true_output_csv[[#This Row],[NAMA]],Table7[],3,FALSE))</f>
        <v>Average</v>
      </c>
    </row>
    <row r="895" spans="1:37" x14ac:dyDescent="0.2">
      <c r="A895">
        <v>894</v>
      </c>
      <c r="B895" t="s">
        <v>296</v>
      </c>
      <c r="C895" t="s">
        <v>54</v>
      </c>
      <c r="D895" t="s">
        <v>48</v>
      </c>
      <c r="E895" t="s">
        <v>140</v>
      </c>
      <c r="F895" s="25">
        <v>46041</v>
      </c>
      <c r="G895" t="s">
        <v>370</v>
      </c>
      <c r="H895" t="s">
        <v>405</v>
      </c>
      <c r="I895" t="s">
        <v>371</v>
      </c>
      <c r="J895" t="s">
        <v>36</v>
      </c>
      <c r="K895" t="s">
        <v>37</v>
      </c>
      <c r="L895" t="s">
        <v>321</v>
      </c>
      <c r="M895" t="s">
        <v>141</v>
      </c>
      <c r="N895" t="s">
        <v>142</v>
      </c>
      <c r="O895" t="s">
        <v>155</v>
      </c>
      <c r="P895" t="s">
        <v>281</v>
      </c>
      <c r="Q895" t="s">
        <v>155</v>
      </c>
      <c r="R895" t="s">
        <v>302</v>
      </c>
      <c r="S895" t="s">
        <v>427</v>
      </c>
      <c r="T895">
        <v>1</v>
      </c>
      <c r="U895" t="s">
        <v>428</v>
      </c>
      <c r="V895" t="s">
        <v>285</v>
      </c>
      <c r="W895" t="s">
        <v>429</v>
      </c>
      <c r="X895" t="s">
        <v>391</v>
      </c>
      <c r="Y895" t="s">
        <v>335</v>
      </c>
      <c r="Z895">
        <v>65</v>
      </c>
      <c r="AA895">
        <v>60</v>
      </c>
      <c r="AB895" t="s">
        <v>151</v>
      </c>
      <c r="AC895" t="s">
        <v>154</v>
      </c>
      <c r="AD895" t="s">
        <v>50</v>
      </c>
      <c r="AE895" t="str">
        <f>IF(AF895="","",VLOOKUP(AC895,mapel!$A$2:$B$42,2,FALSE))</f>
        <v>Math</v>
      </c>
      <c r="AF895">
        <f t="shared" si="39"/>
        <v>60</v>
      </c>
      <c r="AG895" t="str">
        <f>IF(AF895="","",IF(AF895&gt;90,"Sangat baik",IF(AF895&gt;79,"Baik",IF(AF895&gt;=pub_gid_0_single_true_output_csv[[#This Row],[KKM]],"Cukup","Kurang"))))</f>
        <v>Kurang</v>
      </c>
      <c r="AH895">
        <f t="shared" si="40"/>
        <v>9</v>
      </c>
      <c r="AI895" s="30" t="str">
        <f>IF(OR(J895&lt;&gt;"Karakter",pub_gid_0_single_true_output_csv[[#This Row],[Nilai2]]=""),"",IF(AF895&gt;89,"Sangat baik",IF(AF895&gt;79,"Baik",IF(AF895&gt;69,"Cukup",IF(AF895&gt;59,"Kurang","Sangat kurang")))))</f>
        <v/>
      </c>
      <c r="AJ895" t="str">
        <f t="shared" si="41"/>
        <v>Wk.4</v>
      </c>
      <c r="AK895" t="str">
        <f>IF(pub_gid_0_single_true_output_csv[[#This Row],[Nilai2]]="","",VLOOKUP(pub_gid_0_single_true_output_csv[[#This Row],[NAMA]],Table7[],3,FALSE))</f>
        <v>Average</v>
      </c>
    </row>
    <row r="896" spans="1:37" x14ac:dyDescent="0.2">
      <c r="A896">
        <v>895</v>
      </c>
      <c r="B896" t="s">
        <v>296</v>
      </c>
      <c r="C896" t="s">
        <v>54</v>
      </c>
      <c r="D896" t="s">
        <v>48</v>
      </c>
      <c r="E896" t="s">
        <v>140</v>
      </c>
      <c r="F896" s="25">
        <v>46041</v>
      </c>
      <c r="G896" t="s">
        <v>370</v>
      </c>
      <c r="H896" t="s">
        <v>405</v>
      </c>
      <c r="I896" t="s">
        <v>371</v>
      </c>
      <c r="J896" t="s">
        <v>36</v>
      </c>
      <c r="K896" t="s">
        <v>37</v>
      </c>
      <c r="L896" t="s">
        <v>321</v>
      </c>
      <c r="M896" t="s">
        <v>141</v>
      </c>
      <c r="N896" t="s">
        <v>142</v>
      </c>
      <c r="O896" t="s">
        <v>155</v>
      </c>
      <c r="P896" t="s">
        <v>281</v>
      </c>
      <c r="Q896" t="s">
        <v>155</v>
      </c>
      <c r="R896" t="s">
        <v>302</v>
      </c>
      <c r="S896" t="s">
        <v>369</v>
      </c>
      <c r="T896">
        <v>1</v>
      </c>
      <c r="U896" t="s">
        <v>428</v>
      </c>
      <c r="V896" t="s">
        <v>342</v>
      </c>
      <c r="W896" t="s">
        <v>430</v>
      </c>
      <c r="X896" t="s">
        <v>306</v>
      </c>
      <c r="Y896" t="s">
        <v>307</v>
      </c>
      <c r="Z896">
        <v>65</v>
      </c>
      <c r="AA896">
        <v>50</v>
      </c>
      <c r="AB896" t="s">
        <v>151</v>
      </c>
      <c r="AC896" t="s">
        <v>154</v>
      </c>
      <c r="AD896" t="s">
        <v>50</v>
      </c>
      <c r="AE896" t="str">
        <f>IF(AF896="","",VLOOKUP(AC896,mapel!$A$2:$B$42,2,FALSE))</f>
        <v>Math</v>
      </c>
      <c r="AF896">
        <f t="shared" si="39"/>
        <v>50</v>
      </c>
      <c r="AG896" t="str">
        <f>IF(AF896="","",IF(AF896&gt;90,"Sangat baik",IF(AF896&gt;79,"Baik",IF(AF896&gt;=pub_gid_0_single_true_output_csv[[#This Row],[KKM]],"Cukup","Kurang"))))</f>
        <v>Kurang</v>
      </c>
      <c r="AH896">
        <f t="shared" si="40"/>
        <v>11</v>
      </c>
      <c r="AI896" s="30" t="str">
        <f>IF(OR(J896&lt;&gt;"Karakter",pub_gid_0_single_true_output_csv[[#This Row],[Nilai2]]=""),"",IF(AF896&gt;89,"Sangat baik",IF(AF896&gt;79,"Baik",IF(AF896&gt;69,"Cukup",IF(AF896&gt;59,"Kurang","Sangat kurang")))))</f>
        <v/>
      </c>
      <c r="AJ896" t="str">
        <f t="shared" si="41"/>
        <v>Wk.4</v>
      </c>
      <c r="AK896" t="str">
        <f>IF(pub_gid_0_single_true_output_csv[[#This Row],[Nilai2]]="","",VLOOKUP(pub_gid_0_single_true_output_csv[[#This Row],[NAMA]],Table7[],3,FALSE))</f>
        <v>Average</v>
      </c>
    </row>
    <row r="897" spans="1:37" x14ac:dyDescent="0.2">
      <c r="A897">
        <v>896</v>
      </c>
      <c r="B897" t="s">
        <v>296</v>
      </c>
      <c r="C897" t="s">
        <v>54</v>
      </c>
      <c r="D897" t="s">
        <v>48</v>
      </c>
      <c r="E897" t="s">
        <v>140</v>
      </c>
      <c r="F897" s="25">
        <v>46050</v>
      </c>
      <c r="G897" t="s">
        <v>308</v>
      </c>
      <c r="H897" t="s">
        <v>405</v>
      </c>
      <c r="I897" t="s">
        <v>371</v>
      </c>
      <c r="J897" t="s">
        <v>36</v>
      </c>
      <c r="K897" t="s">
        <v>37</v>
      </c>
      <c r="L897" t="s">
        <v>150</v>
      </c>
      <c r="M897" t="s">
        <v>141</v>
      </c>
      <c r="N897" t="s">
        <v>142</v>
      </c>
      <c r="O897" t="s">
        <v>155</v>
      </c>
      <c r="P897" t="s">
        <v>281</v>
      </c>
      <c r="Q897" t="s">
        <v>155</v>
      </c>
      <c r="R897" t="s">
        <v>302</v>
      </c>
      <c r="S897" t="s">
        <v>427</v>
      </c>
      <c r="T897">
        <v>1</v>
      </c>
      <c r="U897" t="s">
        <v>428</v>
      </c>
      <c r="V897" t="s">
        <v>285</v>
      </c>
      <c r="W897" t="s">
        <v>429</v>
      </c>
      <c r="X897" t="s">
        <v>391</v>
      </c>
      <c r="Y897" t="s">
        <v>335</v>
      </c>
      <c r="Z897">
        <v>65</v>
      </c>
      <c r="AA897">
        <v>65</v>
      </c>
      <c r="AB897" t="s">
        <v>143</v>
      </c>
      <c r="AC897" t="s">
        <v>154</v>
      </c>
      <c r="AD897" t="s">
        <v>50</v>
      </c>
      <c r="AE897" t="str">
        <f>IF(AF897="","",VLOOKUP(AC897,mapel!$A$2:$B$42,2,FALSE))</f>
        <v>Math</v>
      </c>
      <c r="AF897">
        <f t="shared" si="39"/>
        <v>65</v>
      </c>
      <c r="AG897" t="str">
        <f>IF(AF897="","",IF(AF897&gt;90,"Sangat baik",IF(AF897&gt;79,"Baik",IF(AF897&gt;=pub_gid_0_single_true_output_csv[[#This Row],[KKM]],"Cukup","Kurang"))))</f>
        <v>Cukup</v>
      </c>
      <c r="AH897">
        <f t="shared" si="40"/>
        <v>9</v>
      </c>
      <c r="AI897" s="30" t="str">
        <f>IF(OR(J897&lt;&gt;"Karakter",pub_gid_0_single_true_output_csv[[#This Row],[Nilai2]]=""),"",IF(AF897&gt;89,"Sangat baik",IF(AF897&gt;79,"Baik",IF(AF897&gt;69,"Cukup",IF(AF897&gt;59,"Kurang","Sangat kurang")))))</f>
        <v/>
      </c>
      <c r="AJ897" t="str">
        <f t="shared" si="41"/>
        <v>Wk.5</v>
      </c>
      <c r="AK897" t="str">
        <f>IF(pub_gid_0_single_true_output_csv[[#This Row],[Nilai2]]="","",VLOOKUP(pub_gid_0_single_true_output_csv[[#This Row],[NAMA]],Table7[],3,FALSE))</f>
        <v>Average</v>
      </c>
    </row>
    <row r="898" spans="1:37" x14ac:dyDescent="0.2">
      <c r="A898">
        <v>897</v>
      </c>
      <c r="B898" t="s">
        <v>296</v>
      </c>
      <c r="C898" t="s">
        <v>54</v>
      </c>
      <c r="D898" t="s">
        <v>48</v>
      </c>
      <c r="E898" t="s">
        <v>140</v>
      </c>
      <c r="F898" s="25">
        <v>46057</v>
      </c>
      <c r="G898" t="s">
        <v>348</v>
      </c>
      <c r="H898" t="s">
        <v>412</v>
      </c>
      <c r="I898" t="s">
        <v>371</v>
      </c>
      <c r="J898" t="s">
        <v>36</v>
      </c>
      <c r="K898" t="s">
        <v>37</v>
      </c>
      <c r="L898" t="s">
        <v>150</v>
      </c>
      <c r="M898" t="s">
        <v>141</v>
      </c>
      <c r="N898" t="s">
        <v>142</v>
      </c>
      <c r="O898" t="s">
        <v>155</v>
      </c>
      <c r="P898" t="s">
        <v>281</v>
      </c>
      <c r="Q898" t="s">
        <v>155</v>
      </c>
      <c r="R898" t="s">
        <v>302</v>
      </c>
      <c r="S898" t="s">
        <v>369</v>
      </c>
      <c r="T898">
        <v>1</v>
      </c>
      <c r="U898" t="s">
        <v>428</v>
      </c>
      <c r="V898" t="s">
        <v>342</v>
      </c>
      <c r="W898" t="s">
        <v>430</v>
      </c>
      <c r="X898" t="s">
        <v>306</v>
      </c>
      <c r="Y898" t="s">
        <v>307</v>
      </c>
      <c r="Z898">
        <v>65</v>
      </c>
      <c r="AA898">
        <v>93</v>
      </c>
      <c r="AB898" t="s">
        <v>143</v>
      </c>
      <c r="AC898" t="s">
        <v>154</v>
      </c>
      <c r="AD898" t="s">
        <v>50</v>
      </c>
      <c r="AE898" t="str">
        <f>IF(AF898="","",VLOOKUP(AC898,mapel!$A$2:$B$42,2,FALSE))</f>
        <v>Math</v>
      </c>
      <c r="AF898">
        <f t="shared" ref="AF898:AF961" si="42">IF(AA898=0, "",IF(AA898 = 0.1, 0,AA898))</f>
        <v>93</v>
      </c>
      <c r="AG898" t="str">
        <f>IF(AF898="","",IF(AF898&gt;90,"Sangat baik",IF(AF898&gt;79,"Baik",IF(AF898&gt;=pub_gid_0_single_true_output_csv[[#This Row],[KKM]],"Cukup","Kurang"))))</f>
        <v>Sangat baik</v>
      </c>
      <c r="AH898">
        <f t="shared" ref="AH898:AH961" si="43">IF(AG898="","",VALUE(RIGHT(X898,2)))</f>
        <v>11</v>
      </c>
      <c r="AI898" s="30" t="str">
        <f>IF(OR(J898&lt;&gt;"Karakter",pub_gid_0_single_true_output_csv[[#This Row],[Nilai2]]=""),"",IF(AF898&gt;89,"Sangat baik",IF(AF898&gt;79,"Baik",IF(AF898&gt;69,"Cukup",IF(AF898&gt;59,"Kurang","Sangat kurang")))))</f>
        <v/>
      </c>
      <c r="AJ898" t="str">
        <f t="shared" ref="AJ898:AJ961" si="44">IF(AF898="","",CONCATENATE("Wk.",WEEKNUM(F898,2)))</f>
        <v>Wk.6</v>
      </c>
      <c r="AK898" t="str">
        <f>IF(pub_gid_0_single_true_output_csv[[#This Row],[Nilai2]]="","",VLOOKUP(pub_gid_0_single_true_output_csv[[#This Row],[NAMA]],Table7[],3,FALSE))</f>
        <v>Average</v>
      </c>
    </row>
    <row r="899" spans="1:37" x14ac:dyDescent="0.2">
      <c r="A899">
        <v>898</v>
      </c>
      <c r="B899" t="s">
        <v>296</v>
      </c>
      <c r="C899" t="s">
        <v>54</v>
      </c>
      <c r="D899" t="s">
        <v>48</v>
      </c>
      <c r="E899" t="s">
        <v>140</v>
      </c>
      <c r="F899" s="25">
        <v>46059</v>
      </c>
      <c r="G899" t="s">
        <v>349</v>
      </c>
      <c r="H899" t="s">
        <v>412</v>
      </c>
      <c r="I899" t="s">
        <v>371</v>
      </c>
      <c r="J899" t="s">
        <v>36</v>
      </c>
      <c r="K899" t="s">
        <v>37</v>
      </c>
      <c r="L899" t="s">
        <v>150</v>
      </c>
      <c r="M899" t="s">
        <v>141</v>
      </c>
      <c r="N899" t="s">
        <v>142</v>
      </c>
      <c r="O899" t="s">
        <v>155</v>
      </c>
      <c r="P899" t="s">
        <v>281</v>
      </c>
      <c r="Q899" t="s">
        <v>155</v>
      </c>
      <c r="R899" t="s">
        <v>302</v>
      </c>
      <c r="S899" t="s">
        <v>369</v>
      </c>
      <c r="T899">
        <v>1</v>
      </c>
      <c r="U899" t="s">
        <v>428</v>
      </c>
      <c r="V899" t="s">
        <v>342</v>
      </c>
      <c r="W899" t="s">
        <v>430</v>
      </c>
      <c r="X899" t="s">
        <v>306</v>
      </c>
      <c r="Y899" t="s">
        <v>307</v>
      </c>
      <c r="Z899">
        <v>65</v>
      </c>
      <c r="AA899">
        <v>50</v>
      </c>
      <c r="AB899" t="s">
        <v>151</v>
      </c>
      <c r="AC899" t="s">
        <v>154</v>
      </c>
      <c r="AD899" t="s">
        <v>50</v>
      </c>
      <c r="AE899" t="str">
        <f>IF(AF899="","",VLOOKUP(AC899,mapel!$A$2:$B$42,2,FALSE))</f>
        <v>Math</v>
      </c>
      <c r="AF899">
        <f t="shared" si="42"/>
        <v>50</v>
      </c>
      <c r="AG899" t="str">
        <f>IF(AF899="","",IF(AF899&gt;90,"Sangat baik",IF(AF899&gt;79,"Baik",IF(AF899&gt;=pub_gid_0_single_true_output_csv[[#This Row],[KKM]],"Cukup","Kurang"))))</f>
        <v>Kurang</v>
      </c>
      <c r="AH899">
        <f t="shared" si="43"/>
        <v>11</v>
      </c>
      <c r="AI899" s="30" t="str">
        <f>IF(OR(J899&lt;&gt;"Karakter",pub_gid_0_single_true_output_csv[[#This Row],[Nilai2]]=""),"",IF(AF899&gt;89,"Sangat baik",IF(AF899&gt;79,"Baik",IF(AF899&gt;69,"Cukup",IF(AF899&gt;59,"Kurang","Sangat kurang")))))</f>
        <v/>
      </c>
      <c r="AJ899" t="str">
        <f t="shared" si="44"/>
        <v>Wk.6</v>
      </c>
      <c r="AK899" t="str">
        <f>IF(pub_gid_0_single_true_output_csv[[#This Row],[Nilai2]]="","",VLOOKUP(pub_gid_0_single_true_output_csv[[#This Row],[NAMA]],Table7[],3,FALSE))</f>
        <v>Average</v>
      </c>
    </row>
    <row r="900" spans="1:37" x14ac:dyDescent="0.2">
      <c r="A900">
        <v>899</v>
      </c>
      <c r="B900" t="s">
        <v>296</v>
      </c>
      <c r="C900" t="s">
        <v>54</v>
      </c>
      <c r="D900" t="s">
        <v>48</v>
      </c>
      <c r="E900" t="s">
        <v>140</v>
      </c>
      <c r="F900" s="25">
        <v>46062</v>
      </c>
      <c r="G900" t="s">
        <v>376</v>
      </c>
      <c r="H900" t="s">
        <v>412</v>
      </c>
      <c r="I900" t="s">
        <v>371</v>
      </c>
      <c r="J900" t="s">
        <v>36</v>
      </c>
      <c r="K900" t="s">
        <v>37</v>
      </c>
      <c r="L900" t="s">
        <v>150</v>
      </c>
      <c r="M900" t="s">
        <v>141</v>
      </c>
      <c r="N900" t="s">
        <v>142</v>
      </c>
      <c r="O900" t="s">
        <v>155</v>
      </c>
      <c r="P900" t="s">
        <v>281</v>
      </c>
      <c r="Q900" t="s">
        <v>155</v>
      </c>
      <c r="R900" t="s">
        <v>302</v>
      </c>
      <c r="S900" t="s">
        <v>369</v>
      </c>
      <c r="T900">
        <v>1</v>
      </c>
      <c r="U900" t="s">
        <v>428</v>
      </c>
      <c r="V900" t="s">
        <v>342</v>
      </c>
      <c r="W900" t="s">
        <v>430</v>
      </c>
      <c r="X900" t="s">
        <v>306</v>
      </c>
      <c r="Y900" t="s">
        <v>307</v>
      </c>
      <c r="Z900">
        <v>65</v>
      </c>
      <c r="AA900">
        <v>80</v>
      </c>
      <c r="AB900" t="s">
        <v>143</v>
      </c>
      <c r="AC900" t="s">
        <v>154</v>
      </c>
      <c r="AD900" t="s">
        <v>50</v>
      </c>
      <c r="AE900" t="str">
        <f>IF(AF900="","",VLOOKUP(AC900,mapel!$A$2:$B$42,2,FALSE))</f>
        <v>Math</v>
      </c>
      <c r="AF900">
        <f t="shared" si="42"/>
        <v>80</v>
      </c>
      <c r="AG900" t="str">
        <f>IF(AF900="","",IF(AF900&gt;90,"Sangat baik",IF(AF900&gt;79,"Baik",IF(AF900&gt;=pub_gid_0_single_true_output_csv[[#This Row],[KKM]],"Cukup","Kurang"))))</f>
        <v>Baik</v>
      </c>
      <c r="AH900">
        <f t="shared" si="43"/>
        <v>11</v>
      </c>
      <c r="AI900" s="30" t="str">
        <f>IF(OR(J900&lt;&gt;"Karakter",pub_gid_0_single_true_output_csv[[#This Row],[Nilai2]]=""),"",IF(AF900&gt;89,"Sangat baik",IF(AF900&gt;79,"Baik",IF(AF900&gt;69,"Cukup",IF(AF900&gt;59,"Kurang","Sangat kurang")))))</f>
        <v/>
      </c>
      <c r="AJ900" t="str">
        <f t="shared" si="44"/>
        <v>Wk.7</v>
      </c>
      <c r="AK900" t="str">
        <f>IF(pub_gid_0_single_true_output_csv[[#This Row],[Nilai2]]="","",VLOOKUP(pub_gid_0_single_true_output_csv[[#This Row],[NAMA]],Table7[],3,FALSE))</f>
        <v>Average</v>
      </c>
    </row>
    <row r="901" spans="1:37" x14ac:dyDescent="0.2">
      <c r="A901">
        <v>900</v>
      </c>
      <c r="B901" t="s">
        <v>296</v>
      </c>
      <c r="C901" t="s">
        <v>54</v>
      </c>
      <c r="D901" t="s">
        <v>48</v>
      </c>
      <c r="E901" t="s">
        <v>140</v>
      </c>
      <c r="F901" s="25">
        <v>46059</v>
      </c>
      <c r="G901" t="s">
        <v>349</v>
      </c>
      <c r="H901" t="s">
        <v>412</v>
      </c>
      <c r="I901" t="s">
        <v>371</v>
      </c>
      <c r="J901" t="s">
        <v>36</v>
      </c>
      <c r="K901" t="s">
        <v>37</v>
      </c>
      <c r="L901" t="s">
        <v>321</v>
      </c>
      <c r="M901" t="s">
        <v>141</v>
      </c>
      <c r="N901" t="s">
        <v>142</v>
      </c>
      <c r="O901" t="s">
        <v>155</v>
      </c>
      <c r="P901" t="s">
        <v>281</v>
      </c>
      <c r="Q901" t="s">
        <v>155</v>
      </c>
      <c r="R901" t="s">
        <v>302</v>
      </c>
      <c r="S901" t="s">
        <v>369</v>
      </c>
      <c r="T901">
        <v>1</v>
      </c>
      <c r="U901" t="s">
        <v>428</v>
      </c>
      <c r="V901" t="s">
        <v>342</v>
      </c>
      <c r="W901" t="s">
        <v>430</v>
      </c>
      <c r="X901" t="s">
        <v>306</v>
      </c>
      <c r="Y901" t="s">
        <v>307</v>
      </c>
      <c r="Z901">
        <v>65</v>
      </c>
      <c r="AA901">
        <v>78</v>
      </c>
      <c r="AB901" t="s">
        <v>143</v>
      </c>
      <c r="AC901" t="s">
        <v>154</v>
      </c>
      <c r="AD901" t="s">
        <v>50</v>
      </c>
      <c r="AE901" t="str">
        <f>IF(AF901="","",VLOOKUP(AC901,mapel!$A$2:$B$42,2,FALSE))</f>
        <v>Math</v>
      </c>
      <c r="AF901">
        <f t="shared" si="42"/>
        <v>78</v>
      </c>
      <c r="AG901" t="str">
        <f>IF(AF901="","",IF(AF901&gt;90,"Sangat baik",IF(AF901&gt;79,"Baik",IF(AF901&gt;=pub_gid_0_single_true_output_csv[[#This Row],[KKM]],"Cukup","Kurang"))))</f>
        <v>Cukup</v>
      </c>
      <c r="AH901">
        <f t="shared" si="43"/>
        <v>11</v>
      </c>
      <c r="AI901" s="30" t="str">
        <f>IF(OR(J901&lt;&gt;"Karakter",pub_gid_0_single_true_output_csv[[#This Row],[Nilai2]]=""),"",IF(AF901&gt;89,"Sangat baik",IF(AF901&gt;79,"Baik",IF(AF901&gt;69,"Cukup",IF(AF901&gt;59,"Kurang","Sangat kurang")))))</f>
        <v/>
      </c>
      <c r="AJ901" t="str">
        <f t="shared" si="44"/>
        <v>Wk.6</v>
      </c>
      <c r="AK901" t="str">
        <f>IF(pub_gid_0_single_true_output_csv[[#This Row],[Nilai2]]="","",VLOOKUP(pub_gid_0_single_true_output_csv[[#This Row],[NAMA]],Table7[],3,FALSE))</f>
        <v>Average</v>
      </c>
    </row>
    <row r="902" spans="1:37" x14ac:dyDescent="0.2">
      <c r="A902">
        <v>901</v>
      </c>
      <c r="B902" t="s">
        <v>296</v>
      </c>
      <c r="C902" t="s">
        <v>54</v>
      </c>
      <c r="D902" t="s">
        <v>48</v>
      </c>
      <c r="E902" t="s">
        <v>140</v>
      </c>
      <c r="F902" s="25">
        <v>46064</v>
      </c>
      <c r="G902" t="s">
        <v>352</v>
      </c>
      <c r="H902" t="s">
        <v>412</v>
      </c>
      <c r="I902" t="s">
        <v>371</v>
      </c>
      <c r="J902" t="s">
        <v>36</v>
      </c>
      <c r="K902" t="s">
        <v>37</v>
      </c>
      <c r="L902" t="s">
        <v>150</v>
      </c>
      <c r="M902" t="s">
        <v>141</v>
      </c>
      <c r="N902" t="s">
        <v>142</v>
      </c>
      <c r="O902" t="s">
        <v>155</v>
      </c>
      <c r="P902" t="s">
        <v>281</v>
      </c>
      <c r="Q902" t="s">
        <v>155</v>
      </c>
      <c r="R902" t="s">
        <v>302</v>
      </c>
      <c r="S902" t="s">
        <v>369</v>
      </c>
      <c r="T902">
        <v>1</v>
      </c>
      <c r="U902" t="s">
        <v>428</v>
      </c>
      <c r="V902" t="s">
        <v>342</v>
      </c>
      <c r="W902" t="s">
        <v>430</v>
      </c>
      <c r="X902" t="s">
        <v>306</v>
      </c>
      <c r="Y902" t="s">
        <v>307</v>
      </c>
      <c r="Z902">
        <v>65</v>
      </c>
      <c r="AA902">
        <v>30</v>
      </c>
      <c r="AB902" t="s">
        <v>151</v>
      </c>
      <c r="AC902" t="s">
        <v>154</v>
      </c>
      <c r="AD902" t="s">
        <v>50</v>
      </c>
      <c r="AE902" t="str">
        <f>IF(AF902="","",VLOOKUP(AC902,mapel!$A$2:$B$42,2,FALSE))</f>
        <v>Math</v>
      </c>
      <c r="AF902">
        <f t="shared" si="42"/>
        <v>30</v>
      </c>
      <c r="AG902" t="str">
        <f>IF(AF902="","",IF(AF902&gt;90,"Sangat baik",IF(AF902&gt;79,"Baik",IF(AF902&gt;=pub_gid_0_single_true_output_csv[[#This Row],[KKM]],"Cukup","Kurang"))))</f>
        <v>Kurang</v>
      </c>
      <c r="AH902">
        <f t="shared" si="43"/>
        <v>11</v>
      </c>
      <c r="AI902" s="30" t="str">
        <f>IF(OR(J902&lt;&gt;"Karakter",pub_gid_0_single_true_output_csv[[#This Row],[Nilai2]]=""),"",IF(AF902&gt;89,"Sangat baik",IF(AF902&gt;79,"Baik",IF(AF902&gt;69,"Cukup",IF(AF902&gt;59,"Kurang","Sangat kurang")))))</f>
        <v/>
      </c>
      <c r="AJ902" t="str">
        <f t="shared" si="44"/>
        <v>Wk.7</v>
      </c>
      <c r="AK902" t="str">
        <f>IF(pub_gid_0_single_true_output_csv[[#This Row],[Nilai2]]="","",VLOOKUP(pub_gid_0_single_true_output_csv[[#This Row],[NAMA]],Table7[],3,FALSE))</f>
        <v>Average</v>
      </c>
    </row>
    <row r="903" spans="1:37" x14ac:dyDescent="0.2">
      <c r="A903">
        <v>902</v>
      </c>
      <c r="B903" t="s">
        <v>297</v>
      </c>
      <c r="C903" t="s">
        <v>298</v>
      </c>
      <c r="D903" t="s">
        <v>298</v>
      </c>
      <c r="E903" t="s">
        <v>298</v>
      </c>
      <c r="F903" s="25"/>
      <c r="G903" t="s">
        <v>416</v>
      </c>
      <c r="H903" t="s">
        <v>416</v>
      </c>
      <c r="I903" t="s">
        <v>416</v>
      </c>
      <c r="J903" t="s">
        <v>416</v>
      </c>
      <c r="K903" t="s">
        <v>417</v>
      </c>
      <c r="L903" t="s">
        <v>417</v>
      </c>
      <c r="M903" t="s">
        <v>416</v>
      </c>
      <c r="N903" t="s">
        <v>159</v>
      </c>
      <c r="O903" t="s">
        <v>159</v>
      </c>
      <c r="P903" t="s">
        <v>159</v>
      </c>
      <c r="Q903" t="s">
        <v>300</v>
      </c>
      <c r="R903" t="s">
        <v>300</v>
      </c>
      <c r="S903" t="s">
        <v>416</v>
      </c>
      <c r="U903" t="s">
        <v>159</v>
      </c>
      <c r="V903" t="s">
        <v>418</v>
      </c>
      <c r="W903" t="s">
        <v>297</v>
      </c>
      <c r="X903" t="s">
        <v>416</v>
      </c>
      <c r="Y903" t="s">
        <v>299</v>
      </c>
      <c r="Z903">
        <v>65</v>
      </c>
      <c r="AB903" t="s">
        <v>301</v>
      </c>
      <c r="AC903" t="s">
        <v>64</v>
      </c>
      <c r="AD903" t="s">
        <v>278</v>
      </c>
      <c r="AE903" t="str">
        <f>IF(AF903="","",VLOOKUP(AC903,mapel!$A$2:$B$42,2,FALSE))</f>
        <v/>
      </c>
      <c r="AF903" t="str">
        <f t="shared" si="42"/>
        <v/>
      </c>
      <c r="AG903" t="str">
        <f>IF(AF903="","",IF(AF903&gt;90,"Sangat baik",IF(AF903&gt;79,"Baik",IF(AF903&gt;=pub_gid_0_single_true_output_csv[[#This Row],[KKM]],"Cukup","Kurang"))))</f>
        <v/>
      </c>
      <c r="AH903" t="str">
        <f t="shared" si="43"/>
        <v/>
      </c>
      <c r="AI903" s="30" t="str">
        <f>IF(OR(J903&lt;&gt;"Karakter",pub_gid_0_single_true_output_csv[[#This Row],[Nilai2]]=""),"",IF(AF903&gt;89,"Sangat baik",IF(AF903&gt;79,"Baik",IF(AF903&gt;69,"Cukup",IF(AF903&gt;59,"Kurang","Sangat kurang")))))</f>
        <v/>
      </c>
      <c r="AJ903" t="str">
        <f t="shared" si="44"/>
        <v/>
      </c>
      <c r="AK903" t="str">
        <f>IF(pub_gid_0_single_true_output_csv[[#This Row],[Nilai2]]="","",VLOOKUP(pub_gid_0_single_true_output_csv[[#This Row],[NAMA]],Table7[],3,FALSE))</f>
        <v/>
      </c>
    </row>
    <row r="904" spans="1:37" x14ac:dyDescent="0.2">
      <c r="A904">
        <v>903</v>
      </c>
      <c r="B904" t="s">
        <v>297</v>
      </c>
      <c r="C904" t="s">
        <v>298</v>
      </c>
      <c r="D904" t="s">
        <v>298</v>
      </c>
      <c r="E904" t="s">
        <v>298</v>
      </c>
      <c r="F904" s="25"/>
      <c r="G904" t="s">
        <v>416</v>
      </c>
      <c r="H904" t="s">
        <v>416</v>
      </c>
      <c r="I904" t="s">
        <v>416</v>
      </c>
      <c r="J904" t="s">
        <v>416</v>
      </c>
      <c r="K904" t="s">
        <v>417</v>
      </c>
      <c r="L904" t="s">
        <v>417</v>
      </c>
      <c r="M904" t="s">
        <v>416</v>
      </c>
      <c r="N904" t="s">
        <v>159</v>
      </c>
      <c r="O904" t="s">
        <v>159</v>
      </c>
      <c r="P904" t="s">
        <v>159</v>
      </c>
      <c r="Q904" t="s">
        <v>300</v>
      </c>
      <c r="R904" t="s">
        <v>300</v>
      </c>
      <c r="S904" t="s">
        <v>416</v>
      </c>
      <c r="U904" t="s">
        <v>159</v>
      </c>
      <c r="V904" t="s">
        <v>418</v>
      </c>
      <c r="W904" t="s">
        <v>297</v>
      </c>
      <c r="X904" t="s">
        <v>416</v>
      </c>
      <c r="Y904" t="s">
        <v>299</v>
      </c>
      <c r="Z904">
        <v>65</v>
      </c>
      <c r="AB904" t="s">
        <v>301</v>
      </c>
      <c r="AC904" t="s">
        <v>162</v>
      </c>
      <c r="AD904" t="s">
        <v>278</v>
      </c>
      <c r="AE904" t="str">
        <f>IF(AF904="","",VLOOKUP(AC904,mapel!$A$2:$B$42,2,FALSE))</f>
        <v/>
      </c>
      <c r="AF904" t="str">
        <f t="shared" si="42"/>
        <v/>
      </c>
      <c r="AG904" t="str">
        <f>IF(AF904="","",IF(AF904&gt;90,"Sangat baik",IF(AF904&gt;79,"Baik",IF(AF904&gt;=pub_gid_0_single_true_output_csv[[#This Row],[KKM]],"Cukup","Kurang"))))</f>
        <v/>
      </c>
      <c r="AH904" t="str">
        <f t="shared" si="43"/>
        <v/>
      </c>
      <c r="AI904" s="30" t="str">
        <f>IF(OR(J904&lt;&gt;"Karakter",pub_gid_0_single_true_output_csv[[#This Row],[Nilai2]]=""),"",IF(AF904&gt;89,"Sangat baik",IF(AF904&gt;79,"Baik",IF(AF904&gt;69,"Cukup",IF(AF904&gt;59,"Kurang","Sangat kurang")))))</f>
        <v/>
      </c>
      <c r="AJ904" t="str">
        <f t="shared" si="44"/>
        <v/>
      </c>
      <c r="AK904" t="str">
        <f>IF(pub_gid_0_single_true_output_csv[[#This Row],[Nilai2]]="","",VLOOKUP(pub_gid_0_single_true_output_csv[[#This Row],[NAMA]],Table7[],3,FALSE))</f>
        <v/>
      </c>
    </row>
    <row r="905" spans="1:37" x14ac:dyDescent="0.2">
      <c r="A905">
        <v>904</v>
      </c>
      <c r="B905" t="s">
        <v>289</v>
      </c>
      <c r="C905" t="s">
        <v>54</v>
      </c>
      <c r="D905" t="s">
        <v>39</v>
      </c>
      <c r="E905" t="s">
        <v>140</v>
      </c>
      <c r="F905" s="25">
        <v>46034</v>
      </c>
      <c r="G905" t="s">
        <v>354</v>
      </c>
      <c r="H905" t="s">
        <v>405</v>
      </c>
      <c r="I905" t="s">
        <v>371</v>
      </c>
      <c r="J905" t="s">
        <v>90</v>
      </c>
      <c r="K905" t="s">
        <v>92</v>
      </c>
      <c r="L905" t="s">
        <v>398</v>
      </c>
      <c r="M905" t="s">
        <v>141</v>
      </c>
      <c r="N905" t="s">
        <v>142</v>
      </c>
      <c r="O905" t="s">
        <v>155</v>
      </c>
      <c r="P905" t="s">
        <v>281</v>
      </c>
      <c r="Q905" t="s">
        <v>155</v>
      </c>
      <c r="R905" t="s">
        <v>302</v>
      </c>
      <c r="S905" t="s">
        <v>309</v>
      </c>
      <c r="T905">
        <v>1</v>
      </c>
      <c r="U905" t="s">
        <v>431</v>
      </c>
      <c r="V905" t="s">
        <v>285</v>
      </c>
      <c r="W905" t="s">
        <v>432</v>
      </c>
      <c r="X905" t="s">
        <v>306</v>
      </c>
      <c r="Y905" t="s">
        <v>307</v>
      </c>
      <c r="Z905">
        <v>65</v>
      </c>
      <c r="AA905">
        <v>83</v>
      </c>
      <c r="AB905" t="s">
        <v>143</v>
      </c>
      <c r="AC905" t="s">
        <v>336</v>
      </c>
      <c r="AD905" t="s">
        <v>278</v>
      </c>
      <c r="AE905" t="str">
        <f>IF(AF905="","",VLOOKUP(AC905,mapel!$A$2:$B$42,2,FALSE))</f>
        <v>Pancasila</v>
      </c>
      <c r="AF905">
        <f t="shared" si="42"/>
        <v>83</v>
      </c>
      <c r="AG905" t="str">
        <f>IF(AF905="","",IF(AF905&gt;90,"Sangat baik",IF(AF905&gt;79,"Baik",IF(AF905&gt;=pub_gid_0_single_true_output_csv[[#This Row],[KKM]],"Cukup","Kurang"))))</f>
        <v>Baik</v>
      </c>
      <c r="AH905">
        <f t="shared" si="43"/>
        <v>11</v>
      </c>
      <c r="AI905" s="30" t="str">
        <f>IF(OR(J905&lt;&gt;"Karakter",pub_gid_0_single_true_output_csv[[#This Row],[Nilai2]]=""),"",IF(AF905&gt;89,"Sangat baik",IF(AF905&gt;79,"Baik",IF(AF905&gt;69,"Cukup",IF(AF905&gt;59,"Kurang","Sangat kurang")))))</f>
        <v>Baik</v>
      </c>
      <c r="AJ905" t="str">
        <f t="shared" si="44"/>
        <v>Wk.3</v>
      </c>
      <c r="AK905" t="str">
        <f>IF(pub_gid_0_single_true_output_csv[[#This Row],[Nilai2]]="","",VLOOKUP(pub_gid_0_single_true_output_csv[[#This Row],[NAMA]],Table7[],3,FALSE))</f>
        <v>Average</v>
      </c>
    </row>
    <row r="906" spans="1:37" x14ac:dyDescent="0.2">
      <c r="A906">
        <v>905</v>
      </c>
      <c r="B906" t="s">
        <v>289</v>
      </c>
      <c r="C906" t="s">
        <v>54</v>
      </c>
      <c r="D906" t="s">
        <v>39</v>
      </c>
      <c r="E906" t="s">
        <v>140</v>
      </c>
      <c r="F906" s="25">
        <v>46034</v>
      </c>
      <c r="G906" t="s">
        <v>354</v>
      </c>
      <c r="H906" t="s">
        <v>405</v>
      </c>
      <c r="I906" t="s">
        <v>371</v>
      </c>
      <c r="J906" t="s">
        <v>36</v>
      </c>
      <c r="K906" t="s">
        <v>37</v>
      </c>
      <c r="L906" t="s">
        <v>150</v>
      </c>
      <c r="M906" t="s">
        <v>141</v>
      </c>
      <c r="N906" t="s">
        <v>142</v>
      </c>
      <c r="O906" t="s">
        <v>155</v>
      </c>
      <c r="P906" t="s">
        <v>281</v>
      </c>
      <c r="Q906" t="s">
        <v>155</v>
      </c>
      <c r="R906" t="s">
        <v>302</v>
      </c>
      <c r="S906" t="s">
        <v>309</v>
      </c>
      <c r="T906">
        <v>1</v>
      </c>
      <c r="U906" t="s">
        <v>431</v>
      </c>
      <c r="V906" t="s">
        <v>285</v>
      </c>
      <c r="W906" t="s">
        <v>432</v>
      </c>
      <c r="X906" t="s">
        <v>306</v>
      </c>
      <c r="Y906" t="s">
        <v>307</v>
      </c>
      <c r="Z906">
        <v>65</v>
      </c>
      <c r="AA906">
        <v>78</v>
      </c>
      <c r="AB906" t="s">
        <v>143</v>
      </c>
      <c r="AC906" t="s">
        <v>336</v>
      </c>
      <c r="AD906" t="s">
        <v>278</v>
      </c>
      <c r="AE906" t="str">
        <f>IF(AF906="","",VLOOKUP(AC906,mapel!$A$2:$B$42,2,FALSE))</f>
        <v>Pancasila</v>
      </c>
      <c r="AF906">
        <f t="shared" si="42"/>
        <v>78</v>
      </c>
      <c r="AG906" t="str">
        <f>IF(AF906="","",IF(AF906&gt;90,"Sangat baik",IF(AF906&gt;79,"Baik",IF(AF906&gt;=pub_gid_0_single_true_output_csv[[#This Row],[KKM]],"Cukup","Kurang"))))</f>
        <v>Cukup</v>
      </c>
      <c r="AH906">
        <f t="shared" si="43"/>
        <v>11</v>
      </c>
      <c r="AI906" s="30" t="str">
        <f>IF(OR(J906&lt;&gt;"Karakter",pub_gid_0_single_true_output_csv[[#This Row],[Nilai2]]=""),"",IF(AF906&gt;89,"Sangat baik",IF(AF906&gt;79,"Baik",IF(AF906&gt;69,"Cukup",IF(AF906&gt;59,"Kurang","Sangat kurang")))))</f>
        <v/>
      </c>
      <c r="AJ906" t="str">
        <f t="shared" si="44"/>
        <v>Wk.3</v>
      </c>
      <c r="AK906" t="str">
        <f>IF(pub_gid_0_single_true_output_csv[[#This Row],[Nilai2]]="","",VLOOKUP(pub_gid_0_single_true_output_csv[[#This Row],[NAMA]],Table7[],3,FALSE))</f>
        <v>Average</v>
      </c>
    </row>
    <row r="907" spans="1:37" x14ac:dyDescent="0.2">
      <c r="A907">
        <v>906</v>
      </c>
      <c r="B907" t="s">
        <v>289</v>
      </c>
      <c r="C907" t="s">
        <v>54</v>
      </c>
      <c r="D907" t="s">
        <v>39</v>
      </c>
      <c r="E907" t="s">
        <v>140</v>
      </c>
      <c r="F907" s="25">
        <v>46034</v>
      </c>
      <c r="G907" t="s">
        <v>354</v>
      </c>
      <c r="H907" t="s">
        <v>405</v>
      </c>
      <c r="I907" t="s">
        <v>371</v>
      </c>
      <c r="J907" t="s">
        <v>31</v>
      </c>
      <c r="K907" t="s">
        <v>32</v>
      </c>
      <c r="L907" t="s">
        <v>150</v>
      </c>
      <c r="M907" t="s">
        <v>141</v>
      </c>
      <c r="N907" t="s">
        <v>142</v>
      </c>
      <c r="O907" t="s">
        <v>155</v>
      </c>
      <c r="P907" t="s">
        <v>281</v>
      </c>
      <c r="Q907" t="s">
        <v>155</v>
      </c>
      <c r="R907" t="s">
        <v>302</v>
      </c>
      <c r="S907" t="s">
        <v>309</v>
      </c>
      <c r="T907">
        <v>1</v>
      </c>
      <c r="U907" t="s">
        <v>431</v>
      </c>
      <c r="V907" t="s">
        <v>285</v>
      </c>
      <c r="W907" t="s">
        <v>432</v>
      </c>
      <c r="X907" t="s">
        <v>306</v>
      </c>
      <c r="Y907" t="s">
        <v>307</v>
      </c>
      <c r="Z907">
        <v>65</v>
      </c>
      <c r="AA907">
        <v>75</v>
      </c>
      <c r="AB907" t="s">
        <v>143</v>
      </c>
      <c r="AC907" t="s">
        <v>336</v>
      </c>
      <c r="AD907" t="s">
        <v>278</v>
      </c>
      <c r="AE907" t="str">
        <f>IF(AF907="","",VLOOKUP(AC907,mapel!$A$2:$B$42,2,FALSE))</f>
        <v>Pancasila</v>
      </c>
      <c r="AF907">
        <f t="shared" si="42"/>
        <v>75</v>
      </c>
      <c r="AG907" t="str">
        <f>IF(AF907="","",IF(AF907&gt;90,"Sangat baik",IF(AF907&gt;79,"Baik",IF(AF907&gt;=pub_gid_0_single_true_output_csv[[#This Row],[KKM]],"Cukup","Kurang"))))</f>
        <v>Cukup</v>
      </c>
      <c r="AH907">
        <f t="shared" si="43"/>
        <v>11</v>
      </c>
      <c r="AI907" s="30" t="str">
        <f>IF(OR(J907&lt;&gt;"Karakter",pub_gid_0_single_true_output_csv[[#This Row],[Nilai2]]=""),"",IF(AF907&gt;89,"Sangat baik",IF(AF907&gt;79,"Baik",IF(AF907&gt;69,"Cukup",IF(AF907&gt;59,"Kurang","Sangat kurang")))))</f>
        <v/>
      </c>
      <c r="AJ907" t="str">
        <f t="shared" si="44"/>
        <v>Wk.3</v>
      </c>
      <c r="AK907" t="str">
        <f>IF(pub_gid_0_single_true_output_csv[[#This Row],[Nilai2]]="","",VLOOKUP(pub_gid_0_single_true_output_csv[[#This Row],[NAMA]],Table7[],3,FALSE))</f>
        <v>Average</v>
      </c>
    </row>
    <row r="908" spans="1:37" x14ac:dyDescent="0.2">
      <c r="A908">
        <v>907</v>
      </c>
      <c r="B908" t="s">
        <v>289</v>
      </c>
      <c r="C908" t="s">
        <v>54</v>
      </c>
      <c r="D908" t="s">
        <v>39</v>
      </c>
      <c r="E908" t="s">
        <v>140</v>
      </c>
      <c r="F908" s="25">
        <v>46034</v>
      </c>
      <c r="G908" t="s">
        <v>354</v>
      </c>
      <c r="H908" t="s">
        <v>405</v>
      </c>
      <c r="I908" t="s">
        <v>371</v>
      </c>
      <c r="J908" t="s">
        <v>279</v>
      </c>
      <c r="K908" t="s">
        <v>280</v>
      </c>
      <c r="L908" t="s">
        <v>322</v>
      </c>
      <c r="M908" t="s">
        <v>141</v>
      </c>
      <c r="N908" t="s">
        <v>142</v>
      </c>
      <c r="O908" t="s">
        <v>155</v>
      </c>
      <c r="P908" t="s">
        <v>281</v>
      </c>
      <c r="Q908" t="s">
        <v>155</v>
      </c>
      <c r="R908" t="s">
        <v>302</v>
      </c>
      <c r="S908" t="s">
        <v>309</v>
      </c>
      <c r="T908">
        <v>1</v>
      </c>
      <c r="U908" t="s">
        <v>431</v>
      </c>
      <c r="V908" t="s">
        <v>285</v>
      </c>
      <c r="W908" t="s">
        <v>432</v>
      </c>
      <c r="X908" t="s">
        <v>306</v>
      </c>
      <c r="Y908" t="s">
        <v>307</v>
      </c>
      <c r="Z908">
        <v>65</v>
      </c>
      <c r="AA908">
        <v>74</v>
      </c>
      <c r="AB908" t="s">
        <v>143</v>
      </c>
      <c r="AC908" t="s">
        <v>336</v>
      </c>
      <c r="AD908" t="s">
        <v>278</v>
      </c>
      <c r="AE908" t="str">
        <f>IF(AF908="","",VLOOKUP(AC908,mapel!$A$2:$B$42,2,FALSE))</f>
        <v>Pancasila</v>
      </c>
      <c r="AF908">
        <f t="shared" si="42"/>
        <v>74</v>
      </c>
      <c r="AG908" t="str">
        <f>IF(AF908="","",IF(AF908&gt;90,"Sangat baik",IF(AF908&gt;79,"Baik",IF(AF908&gt;=pub_gid_0_single_true_output_csv[[#This Row],[KKM]],"Cukup","Kurang"))))</f>
        <v>Cukup</v>
      </c>
      <c r="AH908">
        <f t="shared" si="43"/>
        <v>11</v>
      </c>
      <c r="AI908" s="30" t="str">
        <f>IF(OR(J908&lt;&gt;"Karakter",pub_gid_0_single_true_output_csv[[#This Row],[Nilai2]]=""),"",IF(AF908&gt;89,"Sangat baik",IF(AF908&gt;79,"Baik",IF(AF908&gt;69,"Cukup",IF(AF908&gt;59,"Kurang","Sangat kurang")))))</f>
        <v/>
      </c>
      <c r="AJ908" t="str">
        <f t="shared" si="44"/>
        <v>Wk.3</v>
      </c>
      <c r="AK908" t="str">
        <f>IF(pub_gid_0_single_true_output_csv[[#This Row],[Nilai2]]="","",VLOOKUP(pub_gid_0_single_true_output_csv[[#This Row],[NAMA]],Table7[],3,FALSE))</f>
        <v>Average</v>
      </c>
    </row>
    <row r="909" spans="1:37" x14ac:dyDescent="0.2">
      <c r="A909">
        <v>908</v>
      </c>
      <c r="B909" t="s">
        <v>289</v>
      </c>
      <c r="C909" t="s">
        <v>54</v>
      </c>
      <c r="D909" t="s">
        <v>39</v>
      </c>
      <c r="E909" t="s">
        <v>140</v>
      </c>
      <c r="F909" s="25">
        <v>46048</v>
      </c>
      <c r="G909" t="s">
        <v>371</v>
      </c>
      <c r="H909" t="s">
        <v>405</v>
      </c>
      <c r="I909" t="s">
        <v>371</v>
      </c>
      <c r="J909" t="s">
        <v>36</v>
      </c>
      <c r="K909" t="s">
        <v>37</v>
      </c>
      <c r="L909" t="s">
        <v>351</v>
      </c>
      <c r="M909" t="s">
        <v>141</v>
      </c>
      <c r="N909" t="s">
        <v>142</v>
      </c>
      <c r="O909" t="s">
        <v>155</v>
      </c>
      <c r="P909" t="s">
        <v>281</v>
      </c>
      <c r="Q909" t="s">
        <v>155</v>
      </c>
      <c r="R909" t="s">
        <v>302</v>
      </c>
      <c r="S909" t="s">
        <v>369</v>
      </c>
      <c r="T909">
        <v>1</v>
      </c>
      <c r="U909" t="s">
        <v>431</v>
      </c>
      <c r="V909" t="s">
        <v>342</v>
      </c>
      <c r="W909" t="s">
        <v>433</v>
      </c>
      <c r="X909" t="s">
        <v>306</v>
      </c>
      <c r="Y909" t="s">
        <v>307</v>
      </c>
      <c r="Z909">
        <v>65</v>
      </c>
      <c r="AA909">
        <v>78</v>
      </c>
      <c r="AB909" t="s">
        <v>143</v>
      </c>
      <c r="AC909" t="s">
        <v>336</v>
      </c>
      <c r="AD909" t="s">
        <v>278</v>
      </c>
      <c r="AE909" t="str">
        <f>IF(AF909="","",VLOOKUP(AC909,mapel!$A$2:$B$42,2,FALSE))</f>
        <v>Pancasila</v>
      </c>
      <c r="AF909">
        <f t="shared" si="42"/>
        <v>78</v>
      </c>
      <c r="AG909" t="str">
        <f>IF(AF909="","",IF(AF909&gt;90,"Sangat baik",IF(AF909&gt;79,"Baik",IF(AF909&gt;=pub_gid_0_single_true_output_csv[[#This Row],[KKM]],"Cukup","Kurang"))))</f>
        <v>Cukup</v>
      </c>
      <c r="AH909">
        <f t="shared" si="43"/>
        <v>11</v>
      </c>
      <c r="AI909" s="30" t="str">
        <f>IF(OR(J909&lt;&gt;"Karakter",pub_gid_0_single_true_output_csv[[#This Row],[Nilai2]]=""),"",IF(AF909&gt;89,"Sangat baik",IF(AF909&gt;79,"Baik",IF(AF909&gt;69,"Cukup",IF(AF909&gt;59,"Kurang","Sangat kurang")))))</f>
        <v/>
      </c>
      <c r="AJ909" t="str">
        <f t="shared" si="44"/>
        <v>Wk.5</v>
      </c>
      <c r="AK909" t="str">
        <f>IF(pub_gid_0_single_true_output_csv[[#This Row],[Nilai2]]="","",VLOOKUP(pub_gid_0_single_true_output_csv[[#This Row],[NAMA]],Table7[],3,FALSE))</f>
        <v>Average</v>
      </c>
    </row>
    <row r="910" spans="1:37" x14ac:dyDescent="0.2">
      <c r="A910">
        <v>909</v>
      </c>
      <c r="B910" t="s">
        <v>289</v>
      </c>
      <c r="C910" t="s">
        <v>54</v>
      </c>
      <c r="D910" t="s">
        <v>39</v>
      </c>
      <c r="E910" t="s">
        <v>140</v>
      </c>
      <c r="F910" s="25">
        <v>46048</v>
      </c>
      <c r="G910" t="s">
        <v>371</v>
      </c>
      <c r="H910" t="s">
        <v>405</v>
      </c>
      <c r="I910" t="s">
        <v>371</v>
      </c>
      <c r="J910" t="s">
        <v>31</v>
      </c>
      <c r="K910" t="s">
        <v>96</v>
      </c>
      <c r="L910" t="s">
        <v>351</v>
      </c>
      <c r="M910" t="s">
        <v>141</v>
      </c>
      <c r="N910" t="s">
        <v>142</v>
      </c>
      <c r="O910" t="s">
        <v>155</v>
      </c>
      <c r="P910" t="s">
        <v>281</v>
      </c>
      <c r="Q910" t="s">
        <v>155</v>
      </c>
      <c r="R910" t="s">
        <v>302</v>
      </c>
      <c r="S910" t="s">
        <v>369</v>
      </c>
      <c r="T910">
        <v>1</v>
      </c>
      <c r="U910" t="s">
        <v>431</v>
      </c>
      <c r="V910" t="s">
        <v>342</v>
      </c>
      <c r="W910" t="s">
        <v>433</v>
      </c>
      <c r="X910" t="s">
        <v>306</v>
      </c>
      <c r="Y910" t="s">
        <v>307</v>
      </c>
      <c r="Z910">
        <v>65</v>
      </c>
      <c r="AA910">
        <v>75</v>
      </c>
      <c r="AB910" t="s">
        <v>143</v>
      </c>
      <c r="AC910" t="s">
        <v>336</v>
      </c>
      <c r="AD910" t="s">
        <v>278</v>
      </c>
      <c r="AE910" t="str">
        <f>IF(AF910="","",VLOOKUP(AC910,mapel!$A$2:$B$42,2,FALSE))</f>
        <v>Pancasila</v>
      </c>
      <c r="AF910">
        <f t="shared" si="42"/>
        <v>75</v>
      </c>
      <c r="AG910" t="str">
        <f>IF(AF910="","",IF(AF910&gt;90,"Sangat baik",IF(AF910&gt;79,"Baik",IF(AF910&gt;=pub_gid_0_single_true_output_csv[[#This Row],[KKM]],"Cukup","Kurang"))))</f>
        <v>Cukup</v>
      </c>
      <c r="AH910">
        <f t="shared" si="43"/>
        <v>11</v>
      </c>
      <c r="AI910" s="30" t="str">
        <f>IF(OR(J910&lt;&gt;"Karakter",pub_gid_0_single_true_output_csv[[#This Row],[Nilai2]]=""),"",IF(AF910&gt;89,"Sangat baik",IF(AF910&gt;79,"Baik",IF(AF910&gt;69,"Cukup",IF(AF910&gt;59,"Kurang","Sangat kurang")))))</f>
        <v/>
      </c>
      <c r="AJ910" t="str">
        <f t="shared" si="44"/>
        <v>Wk.5</v>
      </c>
      <c r="AK910" t="str">
        <f>IF(pub_gid_0_single_true_output_csv[[#This Row],[Nilai2]]="","",VLOOKUP(pub_gid_0_single_true_output_csv[[#This Row],[NAMA]],Table7[],3,FALSE))</f>
        <v>Average</v>
      </c>
    </row>
    <row r="911" spans="1:37" x14ac:dyDescent="0.2">
      <c r="A911">
        <v>910</v>
      </c>
      <c r="B911" t="s">
        <v>289</v>
      </c>
      <c r="C911" t="s">
        <v>54</v>
      </c>
      <c r="D911" t="s">
        <v>39</v>
      </c>
      <c r="E911" t="s">
        <v>140</v>
      </c>
      <c r="F911" s="25">
        <v>46048</v>
      </c>
      <c r="G911" t="s">
        <v>371</v>
      </c>
      <c r="H911" t="s">
        <v>405</v>
      </c>
      <c r="I911" t="s">
        <v>371</v>
      </c>
      <c r="J911" t="s">
        <v>90</v>
      </c>
      <c r="K911" t="s">
        <v>377</v>
      </c>
      <c r="L911" t="s">
        <v>378</v>
      </c>
      <c r="M911" t="s">
        <v>141</v>
      </c>
      <c r="N911" t="s">
        <v>142</v>
      </c>
      <c r="O911" t="s">
        <v>155</v>
      </c>
      <c r="P911" t="s">
        <v>281</v>
      </c>
      <c r="Q911" t="s">
        <v>155</v>
      </c>
      <c r="R911" t="s">
        <v>302</v>
      </c>
      <c r="S911" t="s">
        <v>369</v>
      </c>
      <c r="T911">
        <v>1</v>
      </c>
      <c r="U911" t="s">
        <v>431</v>
      </c>
      <c r="V911" t="s">
        <v>342</v>
      </c>
      <c r="W911" t="s">
        <v>433</v>
      </c>
      <c r="X911" t="s">
        <v>306</v>
      </c>
      <c r="Y911" t="s">
        <v>307</v>
      </c>
      <c r="Z911">
        <v>65</v>
      </c>
      <c r="AA911">
        <v>78</v>
      </c>
      <c r="AB911" t="s">
        <v>143</v>
      </c>
      <c r="AC911" t="s">
        <v>336</v>
      </c>
      <c r="AD911" t="s">
        <v>278</v>
      </c>
      <c r="AE911" t="str">
        <f>IF(AF911="","",VLOOKUP(AC911,mapel!$A$2:$B$42,2,FALSE))</f>
        <v>Pancasila</v>
      </c>
      <c r="AF911">
        <f t="shared" si="42"/>
        <v>78</v>
      </c>
      <c r="AG911" t="str">
        <f>IF(AF911="","",IF(AF911&gt;90,"Sangat baik",IF(AF911&gt;79,"Baik",IF(AF911&gt;=pub_gid_0_single_true_output_csv[[#This Row],[KKM]],"Cukup","Kurang"))))</f>
        <v>Cukup</v>
      </c>
      <c r="AH911">
        <f t="shared" si="43"/>
        <v>11</v>
      </c>
      <c r="AI911" s="30" t="str">
        <f>IF(OR(J911&lt;&gt;"Karakter",pub_gid_0_single_true_output_csv[[#This Row],[Nilai2]]=""),"",IF(AF911&gt;89,"Sangat baik",IF(AF911&gt;79,"Baik",IF(AF911&gt;69,"Cukup",IF(AF911&gt;59,"Kurang","Sangat kurang")))))</f>
        <v>Cukup</v>
      </c>
      <c r="AJ911" t="str">
        <f t="shared" si="44"/>
        <v>Wk.5</v>
      </c>
      <c r="AK911" t="str">
        <f>IF(pub_gid_0_single_true_output_csv[[#This Row],[Nilai2]]="","",VLOOKUP(pub_gid_0_single_true_output_csv[[#This Row],[NAMA]],Table7[],3,FALSE))</f>
        <v>Average</v>
      </c>
    </row>
    <row r="912" spans="1:37" x14ac:dyDescent="0.2">
      <c r="A912">
        <v>911</v>
      </c>
      <c r="B912" t="s">
        <v>289</v>
      </c>
      <c r="C912" t="s">
        <v>54</v>
      </c>
      <c r="D912" t="s">
        <v>39</v>
      </c>
      <c r="E912" t="s">
        <v>140</v>
      </c>
      <c r="F912" s="25">
        <v>46048</v>
      </c>
      <c r="G912" t="s">
        <v>371</v>
      </c>
      <c r="H912" t="s">
        <v>405</v>
      </c>
      <c r="I912" t="s">
        <v>371</v>
      </c>
      <c r="J912" t="s">
        <v>279</v>
      </c>
      <c r="K912" t="s">
        <v>280</v>
      </c>
      <c r="L912" t="s">
        <v>322</v>
      </c>
      <c r="M912" t="s">
        <v>141</v>
      </c>
      <c r="N912" t="s">
        <v>142</v>
      </c>
      <c r="O912" t="s">
        <v>155</v>
      </c>
      <c r="P912" t="s">
        <v>281</v>
      </c>
      <c r="Q912" t="s">
        <v>155</v>
      </c>
      <c r="R912" t="s">
        <v>302</v>
      </c>
      <c r="S912" t="s">
        <v>369</v>
      </c>
      <c r="T912">
        <v>1</v>
      </c>
      <c r="U912" t="s">
        <v>431</v>
      </c>
      <c r="V912" t="s">
        <v>342</v>
      </c>
      <c r="W912" t="s">
        <v>433</v>
      </c>
      <c r="X912" t="s">
        <v>306</v>
      </c>
      <c r="Y912" t="s">
        <v>307</v>
      </c>
      <c r="Z912">
        <v>65</v>
      </c>
      <c r="AA912">
        <v>75</v>
      </c>
      <c r="AB912" t="s">
        <v>143</v>
      </c>
      <c r="AC912" t="s">
        <v>336</v>
      </c>
      <c r="AD912" t="s">
        <v>278</v>
      </c>
      <c r="AE912" t="str">
        <f>IF(AF912="","",VLOOKUP(AC912,mapel!$A$2:$B$42,2,FALSE))</f>
        <v>Pancasila</v>
      </c>
      <c r="AF912">
        <f t="shared" si="42"/>
        <v>75</v>
      </c>
      <c r="AG912" t="str">
        <f>IF(AF912="","",IF(AF912&gt;90,"Sangat baik",IF(AF912&gt;79,"Baik",IF(AF912&gt;=pub_gid_0_single_true_output_csv[[#This Row],[KKM]],"Cukup","Kurang"))))</f>
        <v>Cukup</v>
      </c>
      <c r="AH912">
        <f t="shared" si="43"/>
        <v>11</v>
      </c>
      <c r="AI912" s="30" t="str">
        <f>IF(OR(J912&lt;&gt;"Karakter",pub_gid_0_single_true_output_csv[[#This Row],[Nilai2]]=""),"",IF(AF912&gt;89,"Sangat baik",IF(AF912&gt;79,"Baik",IF(AF912&gt;69,"Cukup",IF(AF912&gt;59,"Kurang","Sangat kurang")))))</f>
        <v/>
      </c>
      <c r="AJ912" t="str">
        <f t="shared" si="44"/>
        <v>Wk.5</v>
      </c>
      <c r="AK912" t="str">
        <f>IF(pub_gid_0_single_true_output_csv[[#This Row],[Nilai2]]="","",VLOOKUP(pub_gid_0_single_true_output_csv[[#This Row],[NAMA]],Table7[],3,FALSE))</f>
        <v>Average</v>
      </c>
    </row>
    <row r="913" spans="1:37" x14ac:dyDescent="0.2">
      <c r="A913">
        <v>912</v>
      </c>
      <c r="B913" t="s">
        <v>289</v>
      </c>
      <c r="C913" t="s">
        <v>54</v>
      </c>
      <c r="D913" t="s">
        <v>39</v>
      </c>
      <c r="E913" t="s">
        <v>140</v>
      </c>
      <c r="F913" s="25">
        <v>46055</v>
      </c>
      <c r="G913" t="s">
        <v>379</v>
      </c>
      <c r="H913" t="s">
        <v>412</v>
      </c>
      <c r="I913" t="s">
        <v>371</v>
      </c>
      <c r="J913" t="s">
        <v>90</v>
      </c>
      <c r="K913" t="s">
        <v>377</v>
      </c>
      <c r="L913" t="s">
        <v>400</v>
      </c>
      <c r="M913" t="s">
        <v>141</v>
      </c>
      <c r="N913" t="s">
        <v>142</v>
      </c>
      <c r="O913" t="s">
        <v>155</v>
      </c>
      <c r="P913" t="s">
        <v>281</v>
      </c>
      <c r="Q913" t="s">
        <v>155</v>
      </c>
      <c r="R913" t="s">
        <v>302</v>
      </c>
      <c r="S913" t="s">
        <v>345</v>
      </c>
      <c r="T913">
        <v>1</v>
      </c>
      <c r="U913" t="s">
        <v>431</v>
      </c>
      <c r="V913" t="s">
        <v>343</v>
      </c>
      <c r="W913" t="s">
        <v>434</v>
      </c>
      <c r="X913" t="s">
        <v>306</v>
      </c>
      <c r="Y913" t="s">
        <v>307</v>
      </c>
      <c r="Z913">
        <v>65</v>
      </c>
      <c r="AA913">
        <v>80</v>
      </c>
      <c r="AB913" t="s">
        <v>143</v>
      </c>
      <c r="AC913" t="s">
        <v>336</v>
      </c>
      <c r="AD913" t="s">
        <v>278</v>
      </c>
      <c r="AE913" t="str">
        <f>IF(AF913="","",VLOOKUP(AC913,mapel!$A$2:$B$42,2,FALSE))</f>
        <v>Pancasila</v>
      </c>
      <c r="AF913">
        <f t="shared" si="42"/>
        <v>80</v>
      </c>
      <c r="AG913" t="str">
        <f>IF(AF913="","",IF(AF913&gt;90,"Sangat baik",IF(AF913&gt;79,"Baik",IF(AF913&gt;=pub_gid_0_single_true_output_csv[[#This Row],[KKM]],"Cukup","Kurang"))))</f>
        <v>Baik</v>
      </c>
      <c r="AH913">
        <f t="shared" si="43"/>
        <v>11</v>
      </c>
      <c r="AI913" s="30" t="str">
        <f>IF(OR(J913&lt;&gt;"Karakter",pub_gid_0_single_true_output_csv[[#This Row],[Nilai2]]=""),"",IF(AF913&gt;89,"Sangat baik",IF(AF913&gt;79,"Baik",IF(AF913&gt;69,"Cukup",IF(AF913&gt;59,"Kurang","Sangat kurang")))))</f>
        <v>Baik</v>
      </c>
      <c r="AJ913" t="str">
        <f t="shared" si="44"/>
        <v>Wk.6</v>
      </c>
      <c r="AK913" t="str">
        <f>IF(pub_gid_0_single_true_output_csv[[#This Row],[Nilai2]]="","",VLOOKUP(pub_gid_0_single_true_output_csv[[#This Row],[NAMA]],Table7[],3,FALSE))</f>
        <v>Average</v>
      </c>
    </row>
    <row r="914" spans="1:37" x14ac:dyDescent="0.2">
      <c r="A914">
        <v>913</v>
      </c>
      <c r="B914" t="s">
        <v>289</v>
      </c>
      <c r="C914" t="s">
        <v>54</v>
      </c>
      <c r="D914" t="s">
        <v>39</v>
      </c>
      <c r="E914" t="s">
        <v>140</v>
      </c>
      <c r="F914" s="25">
        <v>46055</v>
      </c>
      <c r="G914" t="s">
        <v>379</v>
      </c>
      <c r="H914" t="s">
        <v>412</v>
      </c>
      <c r="I914" t="s">
        <v>371</v>
      </c>
      <c r="J914" t="s">
        <v>279</v>
      </c>
      <c r="K914" t="s">
        <v>280</v>
      </c>
      <c r="L914" t="s">
        <v>322</v>
      </c>
      <c r="M914" t="s">
        <v>141</v>
      </c>
      <c r="N914" t="s">
        <v>142</v>
      </c>
      <c r="O914" t="s">
        <v>155</v>
      </c>
      <c r="P914" t="s">
        <v>281</v>
      </c>
      <c r="Q914" t="s">
        <v>155</v>
      </c>
      <c r="R914" t="s">
        <v>302</v>
      </c>
      <c r="S914" t="s">
        <v>345</v>
      </c>
      <c r="T914">
        <v>1</v>
      </c>
      <c r="U914" t="s">
        <v>431</v>
      </c>
      <c r="V914" t="s">
        <v>343</v>
      </c>
      <c r="W914" t="s">
        <v>434</v>
      </c>
      <c r="X914" t="s">
        <v>306</v>
      </c>
      <c r="Y914" t="s">
        <v>307</v>
      </c>
      <c r="Z914">
        <v>65</v>
      </c>
      <c r="AA914">
        <v>80</v>
      </c>
      <c r="AB914" t="s">
        <v>143</v>
      </c>
      <c r="AC914" t="s">
        <v>336</v>
      </c>
      <c r="AD914" t="s">
        <v>278</v>
      </c>
      <c r="AE914" t="str">
        <f>IF(AF914="","",VLOOKUP(AC914,mapel!$A$2:$B$42,2,FALSE))</f>
        <v>Pancasila</v>
      </c>
      <c r="AF914">
        <f t="shared" si="42"/>
        <v>80</v>
      </c>
      <c r="AG914" t="str">
        <f>IF(AF914="","",IF(AF914&gt;90,"Sangat baik",IF(AF914&gt;79,"Baik",IF(AF914&gt;=pub_gid_0_single_true_output_csv[[#This Row],[KKM]],"Cukup","Kurang"))))</f>
        <v>Baik</v>
      </c>
      <c r="AH914">
        <f t="shared" si="43"/>
        <v>11</v>
      </c>
      <c r="AI914" s="30" t="str">
        <f>IF(OR(J914&lt;&gt;"Karakter",pub_gid_0_single_true_output_csv[[#This Row],[Nilai2]]=""),"",IF(AF914&gt;89,"Sangat baik",IF(AF914&gt;79,"Baik",IF(AF914&gt;69,"Cukup",IF(AF914&gt;59,"Kurang","Sangat kurang")))))</f>
        <v/>
      </c>
      <c r="AJ914" t="str">
        <f t="shared" si="44"/>
        <v>Wk.6</v>
      </c>
      <c r="AK914" t="str">
        <f>IF(pub_gid_0_single_true_output_csv[[#This Row],[Nilai2]]="","",VLOOKUP(pub_gid_0_single_true_output_csv[[#This Row],[NAMA]],Table7[],3,FALSE))</f>
        <v>Average</v>
      </c>
    </row>
    <row r="915" spans="1:37" x14ac:dyDescent="0.2">
      <c r="A915">
        <v>914</v>
      </c>
      <c r="B915" t="s">
        <v>289</v>
      </c>
      <c r="C915" t="s">
        <v>54</v>
      </c>
      <c r="D915" t="s">
        <v>39</v>
      </c>
      <c r="E915" t="s">
        <v>140</v>
      </c>
      <c r="F915" s="25">
        <v>46055</v>
      </c>
      <c r="G915" t="s">
        <v>379</v>
      </c>
      <c r="H915" t="s">
        <v>412</v>
      </c>
      <c r="I915" t="s">
        <v>371</v>
      </c>
      <c r="J915" t="s">
        <v>41</v>
      </c>
      <c r="K915" t="s">
        <v>365</v>
      </c>
      <c r="L915" t="s">
        <v>351</v>
      </c>
      <c r="M915" t="s">
        <v>141</v>
      </c>
      <c r="N915" t="s">
        <v>142</v>
      </c>
      <c r="O915" t="s">
        <v>155</v>
      </c>
      <c r="P915" t="s">
        <v>281</v>
      </c>
      <c r="Q915" t="s">
        <v>155</v>
      </c>
      <c r="R915" t="s">
        <v>302</v>
      </c>
      <c r="S915" t="s">
        <v>345</v>
      </c>
      <c r="T915">
        <v>1</v>
      </c>
      <c r="U915" t="s">
        <v>431</v>
      </c>
      <c r="V915" t="s">
        <v>343</v>
      </c>
      <c r="W915" t="s">
        <v>434</v>
      </c>
      <c r="X915" t="s">
        <v>306</v>
      </c>
      <c r="Y915" t="s">
        <v>307</v>
      </c>
      <c r="Z915">
        <v>65</v>
      </c>
      <c r="AA915">
        <v>78</v>
      </c>
      <c r="AB915" t="s">
        <v>143</v>
      </c>
      <c r="AC915" t="s">
        <v>336</v>
      </c>
      <c r="AD915" t="s">
        <v>278</v>
      </c>
      <c r="AE915" t="str">
        <f>IF(AF915="","",VLOOKUP(AC915,mapel!$A$2:$B$42,2,FALSE))</f>
        <v>Pancasila</v>
      </c>
      <c r="AF915">
        <f t="shared" si="42"/>
        <v>78</v>
      </c>
      <c r="AG915" t="str">
        <f>IF(AF915="","",IF(AF915&gt;90,"Sangat baik",IF(AF915&gt;79,"Baik",IF(AF915&gt;=pub_gid_0_single_true_output_csv[[#This Row],[KKM]],"Cukup","Kurang"))))</f>
        <v>Cukup</v>
      </c>
      <c r="AH915">
        <f t="shared" si="43"/>
        <v>11</v>
      </c>
      <c r="AI915" s="30" t="str">
        <f>IF(OR(J915&lt;&gt;"Karakter",pub_gid_0_single_true_output_csv[[#This Row],[Nilai2]]=""),"",IF(AF915&gt;89,"Sangat baik",IF(AF915&gt;79,"Baik",IF(AF915&gt;69,"Cukup",IF(AF915&gt;59,"Kurang","Sangat kurang")))))</f>
        <v/>
      </c>
      <c r="AJ915" t="str">
        <f t="shared" si="44"/>
        <v>Wk.6</v>
      </c>
      <c r="AK915" t="str">
        <f>IF(pub_gid_0_single_true_output_csv[[#This Row],[Nilai2]]="","",VLOOKUP(pub_gid_0_single_true_output_csv[[#This Row],[NAMA]],Table7[],3,FALSE))</f>
        <v>Average</v>
      </c>
    </row>
    <row r="916" spans="1:37" x14ac:dyDescent="0.2">
      <c r="A916">
        <v>915</v>
      </c>
      <c r="B916" t="s">
        <v>289</v>
      </c>
      <c r="C916" t="s">
        <v>54</v>
      </c>
      <c r="D916" t="s">
        <v>39</v>
      </c>
      <c r="E916" t="s">
        <v>140</v>
      </c>
      <c r="F916" s="25">
        <v>46055</v>
      </c>
      <c r="G916" t="s">
        <v>379</v>
      </c>
      <c r="H916" t="s">
        <v>412</v>
      </c>
      <c r="I916" t="s">
        <v>371</v>
      </c>
      <c r="J916" t="s">
        <v>31</v>
      </c>
      <c r="K916" t="s">
        <v>96</v>
      </c>
      <c r="L916" t="s">
        <v>351</v>
      </c>
      <c r="M916" t="s">
        <v>141</v>
      </c>
      <c r="N916" t="s">
        <v>142</v>
      </c>
      <c r="O916" t="s">
        <v>155</v>
      </c>
      <c r="P916" t="s">
        <v>281</v>
      </c>
      <c r="Q916" t="s">
        <v>155</v>
      </c>
      <c r="R916" t="s">
        <v>302</v>
      </c>
      <c r="S916" t="s">
        <v>345</v>
      </c>
      <c r="T916">
        <v>1</v>
      </c>
      <c r="U916" t="s">
        <v>431</v>
      </c>
      <c r="V916" t="s">
        <v>343</v>
      </c>
      <c r="W916" t="s">
        <v>434</v>
      </c>
      <c r="X916" t="s">
        <v>306</v>
      </c>
      <c r="Y916" t="s">
        <v>307</v>
      </c>
      <c r="Z916">
        <v>65</v>
      </c>
      <c r="AA916">
        <v>87</v>
      </c>
      <c r="AB916" t="s">
        <v>143</v>
      </c>
      <c r="AC916" t="s">
        <v>336</v>
      </c>
      <c r="AD916" t="s">
        <v>278</v>
      </c>
      <c r="AE916" t="str">
        <f>IF(AF916="","",VLOOKUP(AC916,mapel!$A$2:$B$42,2,FALSE))</f>
        <v>Pancasila</v>
      </c>
      <c r="AF916">
        <f t="shared" si="42"/>
        <v>87</v>
      </c>
      <c r="AG916" t="str">
        <f>IF(AF916="","",IF(AF916&gt;90,"Sangat baik",IF(AF916&gt;79,"Baik",IF(AF916&gt;=pub_gid_0_single_true_output_csv[[#This Row],[KKM]],"Cukup","Kurang"))))</f>
        <v>Baik</v>
      </c>
      <c r="AH916">
        <f t="shared" si="43"/>
        <v>11</v>
      </c>
      <c r="AI916" s="30" t="str">
        <f>IF(OR(J916&lt;&gt;"Karakter",pub_gid_0_single_true_output_csv[[#This Row],[Nilai2]]=""),"",IF(AF916&gt;89,"Sangat baik",IF(AF916&gt;79,"Baik",IF(AF916&gt;69,"Cukup",IF(AF916&gt;59,"Kurang","Sangat kurang")))))</f>
        <v/>
      </c>
      <c r="AJ916" t="str">
        <f t="shared" si="44"/>
        <v>Wk.6</v>
      </c>
      <c r="AK916" t="str">
        <f>IF(pub_gid_0_single_true_output_csv[[#This Row],[Nilai2]]="","",VLOOKUP(pub_gid_0_single_true_output_csv[[#This Row],[NAMA]],Table7[],3,FALSE))</f>
        <v>Average</v>
      </c>
    </row>
    <row r="917" spans="1:37" x14ac:dyDescent="0.2">
      <c r="A917">
        <v>916</v>
      </c>
      <c r="B917" t="s">
        <v>289</v>
      </c>
      <c r="C917" t="s">
        <v>54</v>
      </c>
      <c r="D917" t="s">
        <v>39</v>
      </c>
      <c r="E917" t="s">
        <v>140</v>
      </c>
      <c r="F917" s="25">
        <v>46055</v>
      </c>
      <c r="G917" t="s">
        <v>379</v>
      </c>
      <c r="H917" t="s">
        <v>412</v>
      </c>
      <c r="I917" t="s">
        <v>371</v>
      </c>
      <c r="J917" t="s">
        <v>36</v>
      </c>
      <c r="K917" t="s">
        <v>37</v>
      </c>
      <c r="L917" t="s">
        <v>324</v>
      </c>
      <c r="M917" t="s">
        <v>141</v>
      </c>
      <c r="N917" t="s">
        <v>142</v>
      </c>
      <c r="O917" t="s">
        <v>155</v>
      </c>
      <c r="P917" t="s">
        <v>281</v>
      </c>
      <c r="Q917" t="s">
        <v>155</v>
      </c>
      <c r="R917" t="s">
        <v>302</v>
      </c>
      <c r="S917" t="s">
        <v>345</v>
      </c>
      <c r="T917">
        <v>1</v>
      </c>
      <c r="U917" t="s">
        <v>431</v>
      </c>
      <c r="V917" t="s">
        <v>343</v>
      </c>
      <c r="W917" t="s">
        <v>434</v>
      </c>
      <c r="X917" t="s">
        <v>306</v>
      </c>
      <c r="Y917" t="s">
        <v>307</v>
      </c>
      <c r="Z917">
        <v>65</v>
      </c>
      <c r="AA917">
        <v>88</v>
      </c>
      <c r="AB917" t="s">
        <v>143</v>
      </c>
      <c r="AC917" t="s">
        <v>336</v>
      </c>
      <c r="AD917" t="s">
        <v>278</v>
      </c>
      <c r="AE917" t="str">
        <f>IF(AF917="","",VLOOKUP(AC917,mapel!$A$2:$B$42,2,FALSE))</f>
        <v>Pancasila</v>
      </c>
      <c r="AF917">
        <f t="shared" si="42"/>
        <v>88</v>
      </c>
      <c r="AG917" t="str">
        <f>IF(AF917="","",IF(AF917&gt;90,"Sangat baik",IF(AF917&gt;79,"Baik",IF(AF917&gt;=pub_gid_0_single_true_output_csv[[#This Row],[KKM]],"Cukup","Kurang"))))</f>
        <v>Baik</v>
      </c>
      <c r="AH917">
        <f t="shared" si="43"/>
        <v>11</v>
      </c>
      <c r="AI917" s="30" t="str">
        <f>IF(OR(J917&lt;&gt;"Karakter",pub_gid_0_single_true_output_csv[[#This Row],[Nilai2]]=""),"",IF(AF917&gt;89,"Sangat baik",IF(AF917&gt;79,"Baik",IF(AF917&gt;69,"Cukup",IF(AF917&gt;59,"Kurang","Sangat kurang")))))</f>
        <v/>
      </c>
      <c r="AJ917" t="str">
        <f t="shared" si="44"/>
        <v>Wk.6</v>
      </c>
      <c r="AK917" t="str">
        <f>IF(pub_gid_0_single_true_output_csv[[#This Row],[Nilai2]]="","",VLOOKUP(pub_gid_0_single_true_output_csv[[#This Row],[NAMA]],Table7[],3,FALSE))</f>
        <v>Average</v>
      </c>
    </row>
    <row r="918" spans="1:37" x14ac:dyDescent="0.2">
      <c r="A918">
        <v>917</v>
      </c>
      <c r="B918" t="s">
        <v>289</v>
      </c>
      <c r="C918" t="s">
        <v>54</v>
      </c>
      <c r="D918" t="s">
        <v>39</v>
      </c>
      <c r="E918" t="s">
        <v>140</v>
      </c>
      <c r="F918" s="25">
        <v>46062</v>
      </c>
      <c r="G918" t="s">
        <v>376</v>
      </c>
      <c r="H918" t="s">
        <v>412</v>
      </c>
      <c r="I918" t="s">
        <v>371</v>
      </c>
      <c r="J918" t="s">
        <v>36</v>
      </c>
      <c r="K918" t="s">
        <v>362</v>
      </c>
      <c r="L918" t="s">
        <v>363</v>
      </c>
      <c r="M918" t="s">
        <v>141</v>
      </c>
      <c r="N918" t="s">
        <v>142</v>
      </c>
      <c r="O918" t="s">
        <v>155</v>
      </c>
      <c r="P918" t="s">
        <v>281</v>
      </c>
      <c r="Q918" t="s">
        <v>155</v>
      </c>
      <c r="R918" t="s">
        <v>302</v>
      </c>
      <c r="S918" t="s">
        <v>309</v>
      </c>
      <c r="T918">
        <v>1</v>
      </c>
      <c r="U918" t="s">
        <v>431</v>
      </c>
      <c r="V918" t="s">
        <v>285</v>
      </c>
      <c r="W918" t="s">
        <v>432</v>
      </c>
      <c r="X918" t="s">
        <v>306</v>
      </c>
      <c r="Y918" t="s">
        <v>307</v>
      </c>
      <c r="Z918">
        <v>65</v>
      </c>
      <c r="AA918">
        <v>75</v>
      </c>
      <c r="AB918" t="s">
        <v>143</v>
      </c>
      <c r="AC918" t="s">
        <v>336</v>
      </c>
      <c r="AD918" t="s">
        <v>278</v>
      </c>
      <c r="AE918" t="str">
        <f>IF(AF918="","",VLOOKUP(AC918,mapel!$A$2:$B$42,2,FALSE))</f>
        <v>Pancasila</v>
      </c>
      <c r="AF918">
        <f t="shared" si="42"/>
        <v>75</v>
      </c>
      <c r="AG918" t="str">
        <f>IF(AF918="","",IF(AF918&gt;90,"Sangat baik",IF(AF918&gt;79,"Baik",IF(AF918&gt;=pub_gid_0_single_true_output_csv[[#This Row],[KKM]],"Cukup","Kurang"))))</f>
        <v>Cukup</v>
      </c>
      <c r="AH918">
        <f t="shared" si="43"/>
        <v>11</v>
      </c>
      <c r="AI918" s="30" t="str">
        <f>IF(OR(J918&lt;&gt;"Karakter",pub_gid_0_single_true_output_csv[[#This Row],[Nilai2]]=""),"",IF(AF918&gt;89,"Sangat baik",IF(AF918&gt;79,"Baik",IF(AF918&gt;69,"Cukup",IF(AF918&gt;59,"Kurang","Sangat kurang")))))</f>
        <v/>
      </c>
      <c r="AJ918" t="str">
        <f t="shared" si="44"/>
        <v>Wk.7</v>
      </c>
      <c r="AK918" t="str">
        <f>IF(pub_gid_0_single_true_output_csv[[#This Row],[Nilai2]]="","",VLOOKUP(pub_gid_0_single_true_output_csv[[#This Row],[NAMA]],Table7[],3,FALSE))</f>
        <v>Average</v>
      </c>
    </row>
    <row r="919" spans="1:37" x14ac:dyDescent="0.2">
      <c r="A919">
        <v>918</v>
      </c>
      <c r="B919" t="s">
        <v>289</v>
      </c>
      <c r="C919" t="s">
        <v>54</v>
      </c>
      <c r="D919" t="s">
        <v>39</v>
      </c>
      <c r="E919" t="s">
        <v>140</v>
      </c>
      <c r="F919" s="25">
        <v>46062</v>
      </c>
      <c r="G919" t="s">
        <v>376</v>
      </c>
      <c r="H919" t="s">
        <v>412</v>
      </c>
      <c r="I919" t="s">
        <v>371</v>
      </c>
      <c r="J919" t="s">
        <v>36</v>
      </c>
      <c r="K919" t="s">
        <v>362</v>
      </c>
      <c r="L919" t="s">
        <v>363</v>
      </c>
      <c r="M919" t="s">
        <v>141</v>
      </c>
      <c r="N919" t="s">
        <v>142</v>
      </c>
      <c r="O919" t="s">
        <v>155</v>
      </c>
      <c r="P919" t="s">
        <v>281</v>
      </c>
      <c r="Q919" t="s">
        <v>155</v>
      </c>
      <c r="R919" t="s">
        <v>302</v>
      </c>
      <c r="S919" t="s">
        <v>369</v>
      </c>
      <c r="T919">
        <v>1</v>
      </c>
      <c r="U919" t="s">
        <v>431</v>
      </c>
      <c r="V919" t="s">
        <v>342</v>
      </c>
      <c r="W919" t="s">
        <v>433</v>
      </c>
      <c r="X919" t="s">
        <v>306</v>
      </c>
      <c r="Y919" t="s">
        <v>307</v>
      </c>
      <c r="Z919">
        <v>65</v>
      </c>
      <c r="AA919">
        <v>75</v>
      </c>
      <c r="AB919" t="s">
        <v>143</v>
      </c>
      <c r="AC919" t="s">
        <v>336</v>
      </c>
      <c r="AD919" t="s">
        <v>278</v>
      </c>
      <c r="AE919" t="str">
        <f>IF(AF919="","",VLOOKUP(AC919,mapel!$A$2:$B$42,2,FALSE))</f>
        <v>Pancasila</v>
      </c>
      <c r="AF919">
        <f t="shared" si="42"/>
        <v>75</v>
      </c>
      <c r="AG919" t="str">
        <f>IF(AF919="","",IF(AF919&gt;90,"Sangat baik",IF(AF919&gt;79,"Baik",IF(AF919&gt;=pub_gid_0_single_true_output_csv[[#This Row],[KKM]],"Cukup","Kurang"))))</f>
        <v>Cukup</v>
      </c>
      <c r="AH919">
        <f t="shared" si="43"/>
        <v>11</v>
      </c>
      <c r="AI919" s="30" t="str">
        <f>IF(OR(J919&lt;&gt;"Karakter",pub_gid_0_single_true_output_csv[[#This Row],[Nilai2]]=""),"",IF(AF919&gt;89,"Sangat baik",IF(AF919&gt;79,"Baik",IF(AF919&gt;69,"Cukup",IF(AF919&gt;59,"Kurang","Sangat kurang")))))</f>
        <v/>
      </c>
      <c r="AJ919" t="str">
        <f t="shared" si="44"/>
        <v>Wk.7</v>
      </c>
      <c r="AK919" t="str">
        <f>IF(pub_gid_0_single_true_output_csv[[#This Row],[Nilai2]]="","",VLOOKUP(pub_gid_0_single_true_output_csv[[#This Row],[NAMA]],Table7[],3,FALSE))</f>
        <v>Average</v>
      </c>
    </row>
    <row r="920" spans="1:37" x14ac:dyDescent="0.2">
      <c r="A920">
        <v>919</v>
      </c>
      <c r="B920" t="s">
        <v>289</v>
      </c>
      <c r="C920" t="s">
        <v>54</v>
      </c>
      <c r="D920" t="s">
        <v>39</v>
      </c>
      <c r="E920" t="s">
        <v>140</v>
      </c>
      <c r="F920" s="25">
        <v>46059</v>
      </c>
      <c r="G920" t="s">
        <v>349</v>
      </c>
      <c r="H920" t="s">
        <v>412</v>
      </c>
      <c r="I920" t="s">
        <v>371</v>
      </c>
      <c r="J920" t="s">
        <v>41</v>
      </c>
      <c r="K920" t="s">
        <v>357</v>
      </c>
      <c r="L920" t="s">
        <v>351</v>
      </c>
      <c r="M920" t="s">
        <v>141</v>
      </c>
      <c r="N920" t="s">
        <v>142</v>
      </c>
      <c r="O920" t="s">
        <v>155</v>
      </c>
      <c r="P920" t="s">
        <v>281</v>
      </c>
      <c r="Q920" t="s">
        <v>155</v>
      </c>
      <c r="R920" t="s">
        <v>302</v>
      </c>
      <c r="S920" t="s">
        <v>345</v>
      </c>
      <c r="T920">
        <v>1</v>
      </c>
      <c r="U920" t="s">
        <v>431</v>
      </c>
      <c r="V920" t="s">
        <v>343</v>
      </c>
      <c r="W920" t="s">
        <v>434</v>
      </c>
      <c r="X920" t="s">
        <v>306</v>
      </c>
      <c r="Y920" t="s">
        <v>307</v>
      </c>
      <c r="Z920">
        <v>65</v>
      </c>
      <c r="AA920">
        <v>65</v>
      </c>
      <c r="AB920" t="s">
        <v>143</v>
      </c>
      <c r="AC920" t="s">
        <v>336</v>
      </c>
      <c r="AD920" t="s">
        <v>278</v>
      </c>
      <c r="AE920" t="str">
        <f>IF(AF920="","",VLOOKUP(AC920,mapel!$A$2:$B$42,2,FALSE))</f>
        <v>Pancasila</v>
      </c>
      <c r="AF920">
        <f t="shared" si="42"/>
        <v>65</v>
      </c>
      <c r="AG920" t="str">
        <f>IF(AF920="","",IF(AF920&gt;90,"Sangat baik",IF(AF920&gt;79,"Baik",IF(AF920&gt;=pub_gid_0_single_true_output_csv[[#This Row],[KKM]],"Cukup","Kurang"))))</f>
        <v>Cukup</v>
      </c>
      <c r="AH920">
        <f t="shared" si="43"/>
        <v>11</v>
      </c>
      <c r="AI920" s="30" t="str">
        <f>IF(OR(J920&lt;&gt;"Karakter",pub_gid_0_single_true_output_csv[[#This Row],[Nilai2]]=""),"",IF(AF920&gt;89,"Sangat baik",IF(AF920&gt;79,"Baik",IF(AF920&gt;69,"Cukup",IF(AF920&gt;59,"Kurang","Sangat kurang")))))</f>
        <v/>
      </c>
      <c r="AJ920" t="str">
        <f t="shared" si="44"/>
        <v>Wk.6</v>
      </c>
      <c r="AK920" t="str">
        <f>IF(pub_gid_0_single_true_output_csv[[#This Row],[Nilai2]]="","",VLOOKUP(pub_gid_0_single_true_output_csv[[#This Row],[NAMA]],Table7[],3,FALSE))</f>
        <v>Average</v>
      </c>
    </row>
    <row r="921" spans="1:37" x14ac:dyDescent="0.2">
      <c r="A921">
        <v>920</v>
      </c>
      <c r="B921" t="s">
        <v>289</v>
      </c>
      <c r="C921" t="s">
        <v>54</v>
      </c>
      <c r="D921" t="s">
        <v>39</v>
      </c>
      <c r="E921" t="s">
        <v>140</v>
      </c>
      <c r="F921" s="25">
        <v>46059</v>
      </c>
      <c r="G921" t="s">
        <v>349</v>
      </c>
      <c r="H921" t="s">
        <v>412</v>
      </c>
      <c r="I921" t="s">
        <v>371</v>
      </c>
      <c r="J921" t="s">
        <v>36</v>
      </c>
      <c r="K921" t="s">
        <v>37</v>
      </c>
      <c r="L921" t="s">
        <v>351</v>
      </c>
      <c r="M921" t="s">
        <v>141</v>
      </c>
      <c r="N921" t="s">
        <v>142</v>
      </c>
      <c r="O921" t="s">
        <v>155</v>
      </c>
      <c r="P921" t="s">
        <v>281</v>
      </c>
      <c r="Q921" t="s">
        <v>155</v>
      </c>
      <c r="R921" t="s">
        <v>302</v>
      </c>
      <c r="S921" t="s">
        <v>345</v>
      </c>
      <c r="T921">
        <v>1</v>
      </c>
      <c r="U921" t="s">
        <v>431</v>
      </c>
      <c r="V921" t="s">
        <v>343</v>
      </c>
      <c r="W921" t="s">
        <v>434</v>
      </c>
      <c r="X921" t="s">
        <v>306</v>
      </c>
      <c r="Y921" t="s">
        <v>307</v>
      </c>
      <c r="Z921">
        <v>65</v>
      </c>
      <c r="AA921">
        <v>67</v>
      </c>
      <c r="AB921" t="s">
        <v>143</v>
      </c>
      <c r="AC921" t="s">
        <v>336</v>
      </c>
      <c r="AD921" t="s">
        <v>278</v>
      </c>
      <c r="AE921" t="str">
        <f>IF(AF921="","",VLOOKUP(AC921,mapel!$A$2:$B$42,2,FALSE))</f>
        <v>Pancasila</v>
      </c>
      <c r="AF921">
        <f t="shared" si="42"/>
        <v>67</v>
      </c>
      <c r="AG921" t="str">
        <f>IF(AF921="","",IF(AF921&gt;90,"Sangat baik",IF(AF921&gt;79,"Baik",IF(AF921&gt;=pub_gid_0_single_true_output_csv[[#This Row],[KKM]],"Cukup","Kurang"))))</f>
        <v>Cukup</v>
      </c>
      <c r="AH921">
        <f t="shared" si="43"/>
        <v>11</v>
      </c>
      <c r="AI921" s="30" t="str">
        <f>IF(OR(J921&lt;&gt;"Karakter",pub_gid_0_single_true_output_csv[[#This Row],[Nilai2]]=""),"",IF(AF921&gt;89,"Sangat baik",IF(AF921&gt;79,"Baik",IF(AF921&gt;69,"Cukup",IF(AF921&gt;59,"Kurang","Sangat kurang")))))</f>
        <v/>
      </c>
      <c r="AJ921" t="str">
        <f t="shared" si="44"/>
        <v>Wk.6</v>
      </c>
      <c r="AK921" t="str">
        <f>IF(pub_gid_0_single_true_output_csv[[#This Row],[Nilai2]]="","",VLOOKUP(pub_gid_0_single_true_output_csv[[#This Row],[NAMA]],Table7[],3,FALSE))</f>
        <v>Average</v>
      </c>
    </row>
    <row r="922" spans="1:37" x14ac:dyDescent="0.2">
      <c r="A922">
        <v>921</v>
      </c>
      <c r="B922" t="s">
        <v>290</v>
      </c>
      <c r="C922" t="s">
        <v>54</v>
      </c>
      <c r="D922" t="s">
        <v>42</v>
      </c>
      <c r="E922" t="s">
        <v>140</v>
      </c>
      <c r="F922" s="25">
        <v>46034</v>
      </c>
      <c r="G922" t="s">
        <v>354</v>
      </c>
      <c r="H922" t="s">
        <v>405</v>
      </c>
      <c r="I922" t="s">
        <v>371</v>
      </c>
      <c r="J922" t="s">
        <v>90</v>
      </c>
      <c r="K922" t="s">
        <v>92</v>
      </c>
      <c r="L922" t="s">
        <v>398</v>
      </c>
      <c r="M922" t="s">
        <v>141</v>
      </c>
      <c r="N922" t="s">
        <v>142</v>
      </c>
      <c r="O922" t="s">
        <v>155</v>
      </c>
      <c r="P922" t="s">
        <v>281</v>
      </c>
      <c r="Q922" t="s">
        <v>155</v>
      </c>
      <c r="R922" t="s">
        <v>302</v>
      </c>
      <c r="S922" t="s">
        <v>309</v>
      </c>
      <c r="T922">
        <v>1</v>
      </c>
      <c r="U922" t="s">
        <v>431</v>
      </c>
      <c r="V922" t="s">
        <v>285</v>
      </c>
      <c r="W922" t="s">
        <v>432</v>
      </c>
      <c r="X922" t="s">
        <v>306</v>
      </c>
      <c r="Y922" t="s">
        <v>307</v>
      </c>
      <c r="Z922">
        <v>65</v>
      </c>
      <c r="AA922">
        <v>76</v>
      </c>
      <c r="AB922" t="s">
        <v>143</v>
      </c>
      <c r="AC922" t="s">
        <v>336</v>
      </c>
      <c r="AD922" t="s">
        <v>278</v>
      </c>
      <c r="AE922" t="str">
        <f>IF(AF922="","",VLOOKUP(AC922,mapel!$A$2:$B$42,2,FALSE))</f>
        <v>Pancasila</v>
      </c>
      <c r="AF922">
        <f t="shared" si="42"/>
        <v>76</v>
      </c>
      <c r="AG922" t="str">
        <f>IF(AF922="","",IF(AF922&gt;90,"Sangat baik",IF(AF922&gt;79,"Baik",IF(AF922&gt;=pub_gid_0_single_true_output_csv[[#This Row],[KKM]],"Cukup","Kurang"))))</f>
        <v>Cukup</v>
      </c>
      <c r="AH922">
        <f t="shared" si="43"/>
        <v>11</v>
      </c>
      <c r="AI922" s="30" t="str">
        <f>IF(OR(J922&lt;&gt;"Karakter",pub_gid_0_single_true_output_csv[[#This Row],[Nilai2]]=""),"",IF(AF922&gt;89,"Sangat baik",IF(AF922&gt;79,"Baik",IF(AF922&gt;69,"Cukup",IF(AF922&gt;59,"Kurang","Sangat kurang")))))</f>
        <v>Cukup</v>
      </c>
      <c r="AJ922" t="str">
        <f t="shared" si="44"/>
        <v>Wk.3</v>
      </c>
      <c r="AK922" t="str">
        <f>IF(pub_gid_0_single_true_output_csv[[#This Row],[Nilai2]]="","",VLOOKUP(pub_gid_0_single_true_output_csv[[#This Row],[NAMA]],Table7[],3,FALSE))</f>
        <v>Superior</v>
      </c>
    </row>
    <row r="923" spans="1:37" x14ac:dyDescent="0.2">
      <c r="A923">
        <v>922</v>
      </c>
      <c r="B923" t="s">
        <v>290</v>
      </c>
      <c r="C923" t="s">
        <v>54</v>
      </c>
      <c r="D923" t="s">
        <v>42</v>
      </c>
      <c r="E923" t="s">
        <v>140</v>
      </c>
      <c r="F923" s="25">
        <v>46034</v>
      </c>
      <c r="G923" t="s">
        <v>354</v>
      </c>
      <c r="H923" t="s">
        <v>405</v>
      </c>
      <c r="I923" t="s">
        <v>371</v>
      </c>
      <c r="J923" t="s">
        <v>36</v>
      </c>
      <c r="K923" t="s">
        <v>37</v>
      </c>
      <c r="L923" t="s">
        <v>150</v>
      </c>
      <c r="M923" t="s">
        <v>141</v>
      </c>
      <c r="N923" t="s">
        <v>142</v>
      </c>
      <c r="O923" t="s">
        <v>155</v>
      </c>
      <c r="P923" t="s">
        <v>281</v>
      </c>
      <c r="Q923" t="s">
        <v>155</v>
      </c>
      <c r="R923" t="s">
        <v>302</v>
      </c>
      <c r="S923" t="s">
        <v>309</v>
      </c>
      <c r="T923">
        <v>1</v>
      </c>
      <c r="U923" t="s">
        <v>431</v>
      </c>
      <c r="V923" t="s">
        <v>285</v>
      </c>
      <c r="W923" t="s">
        <v>432</v>
      </c>
      <c r="X923" t="s">
        <v>306</v>
      </c>
      <c r="Y923" t="s">
        <v>307</v>
      </c>
      <c r="Z923">
        <v>65</v>
      </c>
      <c r="AA923">
        <v>65</v>
      </c>
      <c r="AB923" t="s">
        <v>143</v>
      </c>
      <c r="AC923" t="s">
        <v>336</v>
      </c>
      <c r="AD923" t="s">
        <v>278</v>
      </c>
      <c r="AE923" t="str">
        <f>IF(AF923="","",VLOOKUP(AC923,mapel!$A$2:$B$42,2,FALSE))</f>
        <v>Pancasila</v>
      </c>
      <c r="AF923">
        <f t="shared" si="42"/>
        <v>65</v>
      </c>
      <c r="AG923" t="str">
        <f>IF(AF923="","",IF(AF923&gt;90,"Sangat baik",IF(AF923&gt;79,"Baik",IF(AF923&gt;=pub_gid_0_single_true_output_csv[[#This Row],[KKM]],"Cukup","Kurang"))))</f>
        <v>Cukup</v>
      </c>
      <c r="AH923">
        <f t="shared" si="43"/>
        <v>11</v>
      </c>
      <c r="AI923" s="30" t="str">
        <f>IF(OR(J923&lt;&gt;"Karakter",pub_gid_0_single_true_output_csv[[#This Row],[Nilai2]]=""),"",IF(AF923&gt;89,"Sangat baik",IF(AF923&gt;79,"Baik",IF(AF923&gt;69,"Cukup",IF(AF923&gt;59,"Kurang","Sangat kurang")))))</f>
        <v/>
      </c>
      <c r="AJ923" t="str">
        <f t="shared" si="44"/>
        <v>Wk.3</v>
      </c>
      <c r="AK923" t="str">
        <f>IF(pub_gid_0_single_true_output_csv[[#This Row],[Nilai2]]="","",VLOOKUP(pub_gid_0_single_true_output_csv[[#This Row],[NAMA]],Table7[],3,FALSE))</f>
        <v>Superior</v>
      </c>
    </row>
    <row r="924" spans="1:37" x14ac:dyDescent="0.2">
      <c r="A924">
        <v>923</v>
      </c>
      <c r="B924" t="s">
        <v>290</v>
      </c>
      <c r="C924" t="s">
        <v>54</v>
      </c>
      <c r="D924" t="s">
        <v>42</v>
      </c>
      <c r="E924" t="s">
        <v>140</v>
      </c>
      <c r="F924" s="25">
        <v>46034</v>
      </c>
      <c r="G924" t="s">
        <v>354</v>
      </c>
      <c r="H924" t="s">
        <v>405</v>
      </c>
      <c r="I924" t="s">
        <v>371</v>
      </c>
      <c r="J924" t="s">
        <v>31</v>
      </c>
      <c r="K924" t="s">
        <v>32</v>
      </c>
      <c r="L924" t="s">
        <v>150</v>
      </c>
      <c r="M924" t="s">
        <v>141</v>
      </c>
      <c r="N924" t="s">
        <v>142</v>
      </c>
      <c r="O924" t="s">
        <v>155</v>
      </c>
      <c r="P924" t="s">
        <v>281</v>
      </c>
      <c r="Q924" t="s">
        <v>155</v>
      </c>
      <c r="R924" t="s">
        <v>302</v>
      </c>
      <c r="S924" t="s">
        <v>309</v>
      </c>
      <c r="T924">
        <v>1</v>
      </c>
      <c r="U924" t="s">
        <v>431</v>
      </c>
      <c r="V924" t="s">
        <v>285</v>
      </c>
      <c r="W924" t="s">
        <v>432</v>
      </c>
      <c r="X924" t="s">
        <v>306</v>
      </c>
      <c r="Y924" t="s">
        <v>307</v>
      </c>
      <c r="Z924">
        <v>65</v>
      </c>
      <c r="AA924">
        <v>65</v>
      </c>
      <c r="AB924" t="s">
        <v>143</v>
      </c>
      <c r="AC924" t="s">
        <v>336</v>
      </c>
      <c r="AD924" t="s">
        <v>278</v>
      </c>
      <c r="AE924" t="str">
        <f>IF(AF924="","",VLOOKUP(AC924,mapel!$A$2:$B$42,2,FALSE))</f>
        <v>Pancasila</v>
      </c>
      <c r="AF924">
        <f t="shared" si="42"/>
        <v>65</v>
      </c>
      <c r="AG924" t="str">
        <f>IF(AF924="","",IF(AF924&gt;90,"Sangat baik",IF(AF924&gt;79,"Baik",IF(AF924&gt;=pub_gid_0_single_true_output_csv[[#This Row],[KKM]],"Cukup","Kurang"))))</f>
        <v>Cukup</v>
      </c>
      <c r="AH924">
        <f t="shared" si="43"/>
        <v>11</v>
      </c>
      <c r="AI924" s="30" t="str">
        <f>IF(OR(J924&lt;&gt;"Karakter",pub_gid_0_single_true_output_csv[[#This Row],[Nilai2]]=""),"",IF(AF924&gt;89,"Sangat baik",IF(AF924&gt;79,"Baik",IF(AF924&gt;69,"Cukup",IF(AF924&gt;59,"Kurang","Sangat kurang")))))</f>
        <v/>
      </c>
      <c r="AJ924" t="str">
        <f t="shared" si="44"/>
        <v>Wk.3</v>
      </c>
      <c r="AK924" t="str">
        <f>IF(pub_gid_0_single_true_output_csv[[#This Row],[Nilai2]]="","",VLOOKUP(pub_gid_0_single_true_output_csv[[#This Row],[NAMA]],Table7[],3,FALSE))</f>
        <v>Superior</v>
      </c>
    </row>
    <row r="925" spans="1:37" x14ac:dyDescent="0.2">
      <c r="A925">
        <v>924</v>
      </c>
      <c r="B925" t="s">
        <v>290</v>
      </c>
      <c r="C925" t="s">
        <v>54</v>
      </c>
      <c r="D925" t="s">
        <v>42</v>
      </c>
      <c r="E925" t="s">
        <v>140</v>
      </c>
      <c r="F925" s="25">
        <v>46034</v>
      </c>
      <c r="G925" t="s">
        <v>354</v>
      </c>
      <c r="H925" t="s">
        <v>405</v>
      </c>
      <c r="I925" t="s">
        <v>371</v>
      </c>
      <c r="J925" t="s">
        <v>279</v>
      </c>
      <c r="K925" t="s">
        <v>280</v>
      </c>
      <c r="L925" t="s">
        <v>322</v>
      </c>
      <c r="M925" t="s">
        <v>141</v>
      </c>
      <c r="N925" t="s">
        <v>142</v>
      </c>
      <c r="O925" t="s">
        <v>155</v>
      </c>
      <c r="P925" t="s">
        <v>281</v>
      </c>
      <c r="Q925" t="s">
        <v>155</v>
      </c>
      <c r="R925" t="s">
        <v>302</v>
      </c>
      <c r="S925" t="s">
        <v>309</v>
      </c>
      <c r="T925">
        <v>1</v>
      </c>
      <c r="U925" t="s">
        <v>431</v>
      </c>
      <c r="V925" t="s">
        <v>285</v>
      </c>
      <c r="W925" t="s">
        <v>432</v>
      </c>
      <c r="X925" t="s">
        <v>306</v>
      </c>
      <c r="Y925" t="s">
        <v>307</v>
      </c>
      <c r="Z925">
        <v>65</v>
      </c>
      <c r="AA925">
        <v>75</v>
      </c>
      <c r="AB925" t="s">
        <v>143</v>
      </c>
      <c r="AC925" t="s">
        <v>336</v>
      </c>
      <c r="AD925" t="s">
        <v>278</v>
      </c>
      <c r="AE925" t="str">
        <f>IF(AF925="","",VLOOKUP(AC925,mapel!$A$2:$B$42,2,FALSE))</f>
        <v>Pancasila</v>
      </c>
      <c r="AF925">
        <f t="shared" si="42"/>
        <v>75</v>
      </c>
      <c r="AG925" t="str">
        <f>IF(AF925="","",IF(AF925&gt;90,"Sangat baik",IF(AF925&gt;79,"Baik",IF(AF925&gt;=pub_gid_0_single_true_output_csv[[#This Row],[KKM]],"Cukup","Kurang"))))</f>
        <v>Cukup</v>
      </c>
      <c r="AH925">
        <f t="shared" si="43"/>
        <v>11</v>
      </c>
      <c r="AI925" s="30" t="str">
        <f>IF(OR(J925&lt;&gt;"Karakter",pub_gid_0_single_true_output_csv[[#This Row],[Nilai2]]=""),"",IF(AF925&gt;89,"Sangat baik",IF(AF925&gt;79,"Baik",IF(AF925&gt;69,"Cukup",IF(AF925&gt;59,"Kurang","Sangat kurang")))))</f>
        <v/>
      </c>
      <c r="AJ925" t="str">
        <f t="shared" si="44"/>
        <v>Wk.3</v>
      </c>
      <c r="AK925" t="str">
        <f>IF(pub_gid_0_single_true_output_csv[[#This Row],[Nilai2]]="","",VLOOKUP(pub_gid_0_single_true_output_csv[[#This Row],[NAMA]],Table7[],3,FALSE))</f>
        <v>Superior</v>
      </c>
    </row>
    <row r="926" spans="1:37" x14ac:dyDescent="0.2">
      <c r="A926">
        <v>925</v>
      </c>
      <c r="B926" t="s">
        <v>290</v>
      </c>
      <c r="C926" t="s">
        <v>54</v>
      </c>
      <c r="D926" t="s">
        <v>42</v>
      </c>
      <c r="E926" t="s">
        <v>140</v>
      </c>
      <c r="F926" s="25">
        <v>46048</v>
      </c>
      <c r="G926" t="s">
        <v>371</v>
      </c>
      <c r="H926" t="s">
        <v>405</v>
      </c>
      <c r="I926" t="s">
        <v>371</v>
      </c>
      <c r="J926" t="s">
        <v>36</v>
      </c>
      <c r="K926" t="s">
        <v>37</v>
      </c>
      <c r="L926" t="s">
        <v>351</v>
      </c>
      <c r="M926" t="s">
        <v>141</v>
      </c>
      <c r="N926" t="s">
        <v>142</v>
      </c>
      <c r="O926" t="s">
        <v>155</v>
      </c>
      <c r="P926" t="s">
        <v>281</v>
      </c>
      <c r="Q926" t="s">
        <v>155</v>
      </c>
      <c r="R926" t="s">
        <v>302</v>
      </c>
      <c r="S926" t="s">
        <v>369</v>
      </c>
      <c r="T926">
        <v>1</v>
      </c>
      <c r="U926" t="s">
        <v>431</v>
      </c>
      <c r="V926" t="s">
        <v>342</v>
      </c>
      <c r="W926" t="s">
        <v>433</v>
      </c>
      <c r="X926" t="s">
        <v>306</v>
      </c>
      <c r="Y926" t="s">
        <v>307</v>
      </c>
      <c r="Z926">
        <v>65</v>
      </c>
      <c r="AA926">
        <v>72</v>
      </c>
      <c r="AB926" t="s">
        <v>143</v>
      </c>
      <c r="AC926" t="s">
        <v>336</v>
      </c>
      <c r="AD926" t="s">
        <v>278</v>
      </c>
      <c r="AE926" t="str">
        <f>IF(AF926="","",VLOOKUP(AC926,mapel!$A$2:$B$42,2,FALSE))</f>
        <v>Pancasila</v>
      </c>
      <c r="AF926">
        <f t="shared" si="42"/>
        <v>72</v>
      </c>
      <c r="AG926" t="str">
        <f>IF(AF926="","",IF(AF926&gt;90,"Sangat baik",IF(AF926&gt;79,"Baik",IF(AF926&gt;=pub_gid_0_single_true_output_csv[[#This Row],[KKM]],"Cukup","Kurang"))))</f>
        <v>Cukup</v>
      </c>
      <c r="AH926">
        <f t="shared" si="43"/>
        <v>11</v>
      </c>
      <c r="AI926" s="30" t="str">
        <f>IF(OR(J926&lt;&gt;"Karakter",pub_gid_0_single_true_output_csv[[#This Row],[Nilai2]]=""),"",IF(AF926&gt;89,"Sangat baik",IF(AF926&gt;79,"Baik",IF(AF926&gt;69,"Cukup",IF(AF926&gt;59,"Kurang","Sangat kurang")))))</f>
        <v/>
      </c>
      <c r="AJ926" t="str">
        <f t="shared" si="44"/>
        <v>Wk.5</v>
      </c>
      <c r="AK926" t="str">
        <f>IF(pub_gid_0_single_true_output_csv[[#This Row],[Nilai2]]="","",VLOOKUP(pub_gid_0_single_true_output_csv[[#This Row],[NAMA]],Table7[],3,FALSE))</f>
        <v>Superior</v>
      </c>
    </row>
    <row r="927" spans="1:37" x14ac:dyDescent="0.2">
      <c r="A927">
        <v>926</v>
      </c>
      <c r="B927" t="s">
        <v>290</v>
      </c>
      <c r="C927" t="s">
        <v>54</v>
      </c>
      <c r="D927" t="s">
        <v>42</v>
      </c>
      <c r="E927" t="s">
        <v>140</v>
      </c>
      <c r="F927" s="25">
        <v>46048</v>
      </c>
      <c r="G927" t="s">
        <v>371</v>
      </c>
      <c r="H927" t="s">
        <v>405</v>
      </c>
      <c r="I927" t="s">
        <v>371</v>
      </c>
      <c r="J927" t="s">
        <v>31</v>
      </c>
      <c r="K927" t="s">
        <v>96</v>
      </c>
      <c r="L927" t="s">
        <v>351</v>
      </c>
      <c r="M927" t="s">
        <v>141</v>
      </c>
      <c r="N927" t="s">
        <v>142</v>
      </c>
      <c r="O927" t="s">
        <v>155</v>
      </c>
      <c r="P927" t="s">
        <v>281</v>
      </c>
      <c r="Q927" t="s">
        <v>155</v>
      </c>
      <c r="R927" t="s">
        <v>302</v>
      </c>
      <c r="S927" t="s">
        <v>369</v>
      </c>
      <c r="T927">
        <v>1</v>
      </c>
      <c r="U927" t="s">
        <v>431</v>
      </c>
      <c r="V927" t="s">
        <v>342</v>
      </c>
      <c r="W927" t="s">
        <v>433</v>
      </c>
      <c r="X927" t="s">
        <v>306</v>
      </c>
      <c r="Y927" t="s">
        <v>307</v>
      </c>
      <c r="Z927">
        <v>65</v>
      </c>
      <c r="AA927">
        <v>70</v>
      </c>
      <c r="AB927" t="s">
        <v>143</v>
      </c>
      <c r="AC927" t="s">
        <v>336</v>
      </c>
      <c r="AD927" t="s">
        <v>278</v>
      </c>
      <c r="AE927" t="str">
        <f>IF(AF927="","",VLOOKUP(AC927,mapel!$A$2:$B$42,2,FALSE))</f>
        <v>Pancasila</v>
      </c>
      <c r="AF927">
        <f t="shared" si="42"/>
        <v>70</v>
      </c>
      <c r="AG927" t="str">
        <f>IF(AF927="","",IF(AF927&gt;90,"Sangat baik",IF(AF927&gt;79,"Baik",IF(AF927&gt;=pub_gid_0_single_true_output_csv[[#This Row],[KKM]],"Cukup","Kurang"))))</f>
        <v>Cukup</v>
      </c>
      <c r="AH927">
        <f t="shared" si="43"/>
        <v>11</v>
      </c>
      <c r="AI927" s="30" t="str">
        <f>IF(OR(J927&lt;&gt;"Karakter",pub_gid_0_single_true_output_csv[[#This Row],[Nilai2]]=""),"",IF(AF927&gt;89,"Sangat baik",IF(AF927&gt;79,"Baik",IF(AF927&gt;69,"Cukup",IF(AF927&gt;59,"Kurang","Sangat kurang")))))</f>
        <v/>
      </c>
      <c r="AJ927" t="str">
        <f t="shared" si="44"/>
        <v>Wk.5</v>
      </c>
      <c r="AK927" t="str">
        <f>IF(pub_gid_0_single_true_output_csv[[#This Row],[Nilai2]]="","",VLOOKUP(pub_gid_0_single_true_output_csv[[#This Row],[NAMA]],Table7[],3,FALSE))</f>
        <v>Superior</v>
      </c>
    </row>
    <row r="928" spans="1:37" x14ac:dyDescent="0.2">
      <c r="A928">
        <v>927</v>
      </c>
      <c r="B928" t="s">
        <v>290</v>
      </c>
      <c r="C928" t="s">
        <v>54</v>
      </c>
      <c r="D928" t="s">
        <v>42</v>
      </c>
      <c r="E928" t="s">
        <v>140</v>
      </c>
      <c r="F928" s="25">
        <v>46048</v>
      </c>
      <c r="G928" t="s">
        <v>371</v>
      </c>
      <c r="H928" t="s">
        <v>405</v>
      </c>
      <c r="I928" t="s">
        <v>371</v>
      </c>
      <c r="J928" t="s">
        <v>90</v>
      </c>
      <c r="K928" t="s">
        <v>377</v>
      </c>
      <c r="L928" t="s">
        <v>378</v>
      </c>
      <c r="M928" t="s">
        <v>141</v>
      </c>
      <c r="N928" t="s">
        <v>142</v>
      </c>
      <c r="O928" t="s">
        <v>155</v>
      </c>
      <c r="P928" t="s">
        <v>281</v>
      </c>
      <c r="Q928" t="s">
        <v>155</v>
      </c>
      <c r="R928" t="s">
        <v>302</v>
      </c>
      <c r="S928" t="s">
        <v>369</v>
      </c>
      <c r="T928">
        <v>1</v>
      </c>
      <c r="U928" t="s">
        <v>431</v>
      </c>
      <c r="V928" t="s">
        <v>342</v>
      </c>
      <c r="W928" t="s">
        <v>433</v>
      </c>
      <c r="X928" t="s">
        <v>306</v>
      </c>
      <c r="Y928" t="s">
        <v>307</v>
      </c>
      <c r="Z928">
        <v>65</v>
      </c>
      <c r="AA928">
        <v>75</v>
      </c>
      <c r="AB928" t="s">
        <v>143</v>
      </c>
      <c r="AC928" t="s">
        <v>336</v>
      </c>
      <c r="AD928" t="s">
        <v>278</v>
      </c>
      <c r="AE928" t="str">
        <f>IF(AF928="","",VLOOKUP(AC928,mapel!$A$2:$B$42,2,FALSE))</f>
        <v>Pancasila</v>
      </c>
      <c r="AF928">
        <f t="shared" si="42"/>
        <v>75</v>
      </c>
      <c r="AG928" t="str">
        <f>IF(AF928="","",IF(AF928&gt;90,"Sangat baik",IF(AF928&gt;79,"Baik",IF(AF928&gt;=pub_gid_0_single_true_output_csv[[#This Row],[KKM]],"Cukup","Kurang"))))</f>
        <v>Cukup</v>
      </c>
      <c r="AH928">
        <f t="shared" si="43"/>
        <v>11</v>
      </c>
      <c r="AI928" s="30" t="str">
        <f>IF(OR(J928&lt;&gt;"Karakter",pub_gid_0_single_true_output_csv[[#This Row],[Nilai2]]=""),"",IF(AF928&gt;89,"Sangat baik",IF(AF928&gt;79,"Baik",IF(AF928&gt;69,"Cukup",IF(AF928&gt;59,"Kurang","Sangat kurang")))))</f>
        <v>Cukup</v>
      </c>
      <c r="AJ928" t="str">
        <f t="shared" si="44"/>
        <v>Wk.5</v>
      </c>
      <c r="AK928" t="str">
        <f>IF(pub_gid_0_single_true_output_csv[[#This Row],[Nilai2]]="","",VLOOKUP(pub_gid_0_single_true_output_csv[[#This Row],[NAMA]],Table7[],3,FALSE))</f>
        <v>Superior</v>
      </c>
    </row>
    <row r="929" spans="1:37" x14ac:dyDescent="0.2">
      <c r="A929">
        <v>928</v>
      </c>
      <c r="B929" t="s">
        <v>290</v>
      </c>
      <c r="C929" t="s">
        <v>54</v>
      </c>
      <c r="D929" t="s">
        <v>42</v>
      </c>
      <c r="E929" t="s">
        <v>140</v>
      </c>
      <c r="F929" s="25">
        <v>46048</v>
      </c>
      <c r="G929" t="s">
        <v>371</v>
      </c>
      <c r="H929" t="s">
        <v>405</v>
      </c>
      <c r="I929" t="s">
        <v>371</v>
      </c>
      <c r="J929" t="s">
        <v>279</v>
      </c>
      <c r="K929" t="s">
        <v>280</v>
      </c>
      <c r="L929" t="s">
        <v>322</v>
      </c>
      <c r="M929" t="s">
        <v>141</v>
      </c>
      <c r="N929" t="s">
        <v>142</v>
      </c>
      <c r="O929" t="s">
        <v>155</v>
      </c>
      <c r="P929" t="s">
        <v>281</v>
      </c>
      <c r="Q929" t="s">
        <v>155</v>
      </c>
      <c r="R929" t="s">
        <v>302</v>
      </c>
      <c r="S929" t="s">
        <v>369</v>
      </c>
      <c r="T929">
        <v>1</v>
      </c>
      <c r="U929" t="s">
        <v>431</v>
      </c>
      <c r="V929" t="s">
        <v>342</v>
      </c>
      <c r="W929" t="s">
        <v>433</v>
      </c>
      <c r="X929" t="s">
        <v>306</v>
      </c>
      <c r="Y929" t="s">
        <v>307</v>
      </c>
      <c r="Z929">
        <v>65</v>
      </c>
      <c r="AA929">
        <v>76</v>
      </c>
      <c r="AB929" t="s">
        <v>143</v>
      </c>
      <c r="AC929" t="s">
        <v>336</v>
      </c>
      <c r="AD929" t="s">
        <v>278</v>
      </c>
      <c r="AE929" t="str">
        <f>IF(AF929="","",VLOOKUP(AC929,mapel!$A$2:$B$42,2,FALSE))</f>
        <v>Pancasila</v>
      </c>
      <c r="AF929">
        <f t="shared" si="42"/>
        <v>76</v>
      </c>
      <c r="AG929" t="str">
        <f>IF(AF929="","",IF(AF929&gt;90,"Sangat baik",IF(AF929&gt;79,"Baik",IF(AF929&gt;=pub_gid_0_single_true_output_csv[[#This Row],[KKM]],"Cukup","Kurang"))))</f>
        <v>Cukup</v>
      </c>
      <c r="AH929">
        <f t="shared" si="43"/>
        <v>11</v>
      </c>
      <c r="AI929" s="30" t="str">
        <f>IF(OR(J929&lt;&gt;"Karakter",pub_gid_0_single_true_output_csv[[#This Row],[Nilai2]]=""),"",IF(AF929&gt;89,"Sangat baik",IF(AF929&gt;79,"Baik",IF(AF929&gt;69,"Cukup",IF(AF929&gt;59,"Kurang","Sangat kurang")))))</f>
        <v/>
      </c>
      <c r="AJ929" t="str">
        <f t="shared" si="44"/>
        <v>Wk.5</v>
      </c>
      <c r="AK929" t="str">
        <f>IF(pub_gid_0_single_true_output_csv[[#This Row],[Nilai2]]="","",VLOOKUP(pub_gid_0_single_true_output_csv[[#This Row],[NAMA]],Table7[],3,FALSE))</f>
        <v>Superior</v>
      </c>
    </row>
    <row r="930" spans="1:37" x14ac:dyDescent="0.2">
      <c r="A930">
        <v>929</v>
      </c>
      <c r="B930" t="s">
        <v>290</v>
      </c>
      <c r="C930" t="s">
        <v>54</v>
      </c>
      <c r="D930" t="s">
        <v>42</v>
      </c>
      <c r="E930" t="s">
        <v>140</v>
      </c>
      <c r="F930" s="25">
        <v>46055</v>
      </c>
      <c r="G930" t="s">
        <v>379</v>
      </c>
      <c r="H930" t="s">
        <v>412</v>
      </c>
      <c r="I930" t="s">
        <v>371</v>
      </c>
      <c r="J930" t="s">
        <v>90</v>
      </c>
      <c r="K930" t="s">
        <v>377</v>
      </c>
      <c r="L930" t="s">
        <v>400</v>
      </c>
      <c r="M930" t="s">
        <v>141</v>
      </c>
      <c r="N930" t="s">
        <v>142</v>
      </c>
      <c r="O930" t="s">
        <v>155</v>
      </c>
      <c r="P930" t="s">
        <v>281</v>
      </c>
      <c r="Q930" t="s">
        <v>155</v>
      </c>
      <c r="R930" t="s">
        <v>302</v>
      </c>
      <c r="S930" t="s">
        <v>345</v>
      </c>
      <c r="T930">
        <v>1</v>
      </c>
      <c r="U930" t="s">
        <v>431</v>
      </c>
      <c r="V930" t="s">
        <v>343</v>
      </c>
      <c r="W930" t="s">
        <v>434</v>
      </c>
      <c r="X930" t="s">
        <v>306</v>
      </c>
      <c r="Y930" t="s">
        <v>307</v>
      </c>
      <c r="Z930">
        <v>65</v>
      </c>
      <c r="AA930">
        <v>76</v>
      </c>
      <c r="AB930" t="s">
        <v>143</v>
      </c>
      <c r="AC930" t="s">
        <v>336</v>
      </c>
      <c r="AD930" t="s">
        <v>278</v>
      </c>
      <c r="AE930" t="str">
        <f>IF(AF930="","",VLOOKUP(AC930,mapel!$A$2:$B$42,2,FALSE))</f>
        <v>Pancasila</v>
      </c>
      <c r="AF930">
        <f t="shared" si="42"/>
        <v>76</v>
      </c>
      <c r="AG930" t="str">
        <f>IF(AF930="","",IF(AF930&gt;90,"Sangat baik",IF(AF930&gt;79,"Baik",IF(AF930&gt;=pub_gid_0_single_true_output_csv[[#This Row],[KKM]],"Cukup","Kurang"))))</f>
        <v>Cukup</v>
      </c>
      <c r="AH930">
        <f t="shared" si="43"/>
        <v>11</v>
      </c>
      <c r="AI930" s="30" t="str">
        <f>IF(OR(J930&lt;&gt;"Karakter",pub_gid_0_single_true_output_csv[[#This Row],[Nilai2]]=""),"",IF(AF930&gt;89,"Sangat baik",IF(AF930&gt;79,"Baik",IF(AF930&gt;69,"Cukup",IF(AF930&gt;59,"Kurang","Sangat kurang")))))</f>
        <v>Cukup</v>
      </c>
      <c r="AJ930" t="str">
        <f t="shared" si="44"/>
        <v>Wk.6</v>
      </c>
      <c r="AK930" t="str">
        <f>IF(pub_gid_0_single_true_output_csv[[#This Row],[Nilai2]]="","",VLOOKUP(pub_gid_0_single_true_output_csv[[#This Row],[NAMA]],Table7[],3,FALSE))</f>
        <v>Superior</v>
      </c>
    </row>
    <row r="931" spans="1:37" x14ac:dyDescent="0.2">
      <c r="A931">
        <v>930</v>
      </c>
      <c r="B931" t="s">
        <v>290</v>
      </c>
      <c r="C931" t="s">
        <v>54</v>
      </c>
      <c r="D931" t="s">
        <v>42</v>
      </c>
      <c r="E931" t="s">
        <v>140</v>
      </c>
      <c r="F931" s="25">
        <v>46055</v>
      </c>
      <c r="G931" t="s">
        <v>379</v>
      </c>
      <c r="H931" t="s">
        <v>412</v>
      </c>
      <c r="I931" t="s">
        <v>371</v>
      </c>
      <c r="J931" t="s">
        <v>279</v>
      </c>
      <c r="K931" t="s">
        <v>280</v>
      </c>
      <c r="L931" t="s">
        <v>322</v>
      </c>
      <c r="M931" t="s">
        <v>141</v>
      </c>
      <c r="N931" t="s">
        <v>142</v>
      </c>
      <c r="O931" t="s">
        <v>155</v>
      </c>
      <c r="P931" t="s">
        <v>281</v>
      </c>
      <c r="Q931" t="s">
        <v>155</v>
      </c>
      <c r="R931" t="s">
        <v>302</v>
      </c>
      <c r="S931" t="s">
        <v>345</v>
      </c>
      <c r="T931">
        <v>1</v>
      </c>
      <c r="U931" t="s">
        <v>431</v>
      </c>
      <c r="V931" t="s">
        <v>343</v>
      </c>
      <c r="W931" t="s">
        <v>434</v>
      </c>
      <c r="X931" t="s">
        <v>306</v>
      </c>
      <c r="Y931" t="s">
        <v>307</v>
      </c>
      <c r="Z931">
        <v>65</v>
      </c>
      <c r="AA931">
        <v>76</v>
      </c>
      <c r="AB931" t="s">
        <v>143</v>
      </c>
      <c r="AC931" t="s">
        <v>336</v>
      </c>
      <c r="AD931" t="s">
        <v>278</v>
      </c>
      <c r="AE931" t="str">
        <f>IF(AF931="","",VLOOKUP(AC931,mapel!$A$2:$B$42,2,FALSE))</f>
        <v>Pancasila</v>
      </c>
      <c r="AF931">
        <f t="shared" si="42"/>
        <v>76</v>
      </c>
      <c r="AG931" t="str">
        <f>IF(AF931="","",IF(AF931&gt;90,"Sangat baik",IF(AF931&gt;79,"Baik",IF(AF931&gt;=pub_gid_0_single_true_output_csv[[#This Row],[KKM]],"Cukup","Kurang"))))</f>
        <v>Cukup</v>
      </c>
      <c r="AH931">
        <f t="shared" si="43"/>
        <v>11</v>
      </c>
      <c r="AI931" s="30" t="str">
        <f>IF(OR(J931&lt;&gt;"Karakter",pub_gid_0_single_true_output_csv[[#This Row],[Nilai2]]=""),"",IF(AF931&gt;89,"Sangat baik",IF(AF931&gt;79,"Baik",IF(AF931&gt;69,"Cukup",IF(AF931&gt;59,"Kurang","Sangat kurang")))))</f>
        <v/>
      </c>
      <c r="AJ931" t="str">
        <f t="shared" si="44"/>
        <v>Wk.6</v>
      </c>
      <c r="AK931" t="str">
        <f>IF(pub_gid_0_single_true_output_csv[[#This Row],[Nilai2]]="","",VLOOKUP(pub_gid_0_single_true_output_csv[[#This Row],[NAMA]],Table7[],3,FALSE))</f>
        <v>Superior</v>
      </c>
    </row>
    <row r="932" spans="1:37" x14ac:dyDescent="0.2">
      <c r="A932">
        <v>931</v>
      </c>
      <c r="B932" t="s">
        <v>290</v>
      </c>
      <c r="C932" t="s">
        <v>54</v>
      </c>
      <c r="D932" t="s">
        <v>42</v>
      </c>
      <c r="E932" t="s">
        <v>140</v>
      </c>
      <c r="F932" s="25">
        <v>46055</v>
      </c>
      <c r="G932" t="s">
        <v>379</v>
      </c>
      <c r="H932" t="s">
        <v>412</v>
      </c>
      <c r="I932" t="s">
        <v>371</v>
      </c>
      <c r="J932" t="s">
        <v>41</v>
      </c>
      <c r="K932" t="s">
        <v>365</v>
      </c>
      <c r="L932" t="s">
        <v>351</v>
      </c>
      <c r="M932" t="s">
        <v>141</v>
      </c>
      <c r="N932" t="s">
        <v>142</v>
      </c>
      <c r="O932" t="s">
        <v>155</v>
      </c>
      <c r="P932" t="s">
        <v>281</v>
      </c>
      <c r="Q932" t="s">
        <v>155</v>
      </c>
      <c r="R932" t="s">
        <v>302</v>
      </c>
      <c r="S932" t="s">
        <v>345</v>
      </c>
      <c r="T932">
        <v>1</v>
      </c>
      <c r="U932" t="s">
        <v>431</v>
      </c>
      <c r="V932" t="s">
        <v>343</v>
      </c>
      <c r="W932" t="s">
        <v>434</v>
      </c>
      <c r="X932" t="s">
        <v>306</v>
      </c>
      <c r="Y932" t="s">
        <v>307</v>
      </c>
      <c r="Z932">
        <v>65</v>
      </c>
      <c r="AA932">
        <v>75</v>
      </c>
      <c r="AB932" t="s">
        <v>143</v>
      </c>
      <c r="AC932" t="s">
        <v>336</v>
      </c>
      <c r="AD932" t="s">
        <v>278</v>
      </c>
      <c r="AE932" t="str">
        <f>IF(AF932="","",VLOOKUP(AC932,mapel!$A$2:$B$42,2,FALSE))</f>
        <v>Pancasila</v>
      </c>
      <c r="AF932">
        <f t="shared" si="42"/>
        <v>75</v>
      </c>
      <c r="AG932" t="str">
        <f>IF(AF932="","",IF(AF932&gt;90,"Sangat baik",IF(AF932&gt;79,"Baik",IF(AF932&gt;=pub_gid_0_single_true_output_csv[[#This Row],[KKM]],"Cukup","Kurang"))))</f>
        <v>Cukup</v>
      </c>
      <c r="AH932">
        <f t="shared" si="43"/>
        <v>11</v>
      </c>
      <c r="AI932" s="30" t="str">
        <f>IF(OR(J932&lt;&gt;"Karakter",pub_gid_0_single_true_output_csv[[#This Row],[Nilai2]]=""),"",IF(AF932&gt;89,"Sangat baik",IF(AF932&gt;79,"Baik",IF(AF932&gt;69,"Cukup",IF(AF932&gt;59,"Kurang","Sangat kurang")))))</f>
        <v/>
      </c>
      <c r="AJ932" t="str">
        <f t="shared" si="44"/>
        <v>Wk.6</v>
      </c>
      <c r="AK932" t="str">
        <f>IF(pub_gid_0_single_true_output_csv[[#This Row],[Nilai2]]="","",VLOOKUP(pub_gid_0_single_true_output_csv[[#This Row],[NAMA]],Table7[],3,FALSE))</f>
        <v>Superior</v>
      </c>
    </row>
    <row r="933" spans="1:37" x14ac:dyDescent="0.2">
      <c r="A933">
        <v>932</v>
      </c>
      <c r="B933" t="s">
        <v>290</v>
      </c>
      <c r="C933" t="s">
        <v>54</v>
      </c>
      <c r="D933" t="s">
        <v>42</v>
      </c>
      <c r="E933" t="s">
        <v>140</v>
      </c>
      <c r="F933" s="25">
        <v>46055</v>
      </c>
      <c r="G933" t="s">
        <v>379</v>
      </c>
      <c r="H933" t="s">
        <v>412</v>
      </c>
      <c r="I933" t="s">
        <v>371</v>
      </c>
      <c r="J933" t="s">
        <v>31</v>
      </c>
      <c r="K933" t="s">
        <v>96</v>
      </c>
      <c r="L933" t="s">
        <v>351</v>
      </c>
      <c r="M933" t="s">
        <v>141</v>
      </c>
      <c r="N933" t="s">
        <v>142</v>
      </c>
      <c r="O933" t="s">
        <v>155</v>
      </c>
      <c r="P933" t="s">
        <v>281</v>
      </c>
      <c r="Q933" t="s">
        <v>155</v>
      </c>
      <c r="R933" t="s">
        <v>302</v>
      </c>
      <c r="S933" t="s">
        <v>345</v>
      </c>
      <c r="T933">
        <v>1</v>
      </c>
      <c r="U933" t="s">
        <v>431</v>
      </c>
      <c r="V933" t="s">
        <v>343</v>
      </c>
      <c r="W933" t="s">
        <v>434</v>
      </c>
      <c r="X933" t="s">
        <v>306</v>
      </c>
      <c r="Y933" t="s">
        <v>307</v>
      </c>
      <c r="Z933">
        <v>65</v>
      </c>
      <c r="AA933">
        <v>87</v>
      </c>
      <c r="AB933" t="s">
        <v>143</v>
      </c>
      <c r="AC933" t="s">
        <v>336</v>
      </c>
      <c r="AD933" t="s">
        <v>278</v>
      </c>
      <c r="AE933" t="str">
        <f>IF(AF933="","",VLOOKUP(AC933,mapel!$A$2:$B$42,2,FALSE))</f>
        <v>Pancasila</v>
      </c>
      <c r="AF933">
        <f t="shared" si="42"/>
        <v>87</v>
      </c>
      <c r="AG933" t="str">
        <f>IF(AF933="","",IF(AF933&gt;90,"Sangat baik",IF(AF933&gt;79,"Baik",IF(AF933&gt;=pub_gid_0_single_true_output_csv[[#This Row],[KKM]],"Cukup","Kurang"))))</f>
        <v>Baik</v>
      </c>
      <c r="AH933">
        <f t="shared" si="43"/>
        <v>11</v>
      </c>
      <c r="AI933" s="30" t="str">
        <f>IF(OR(J933&lt;&gt;"Karakter",pub_gid_0_single_true_output_csv[[#This Row],[Nilai2]]=""),"",IF(AF933&gt;89,"Sangat baik",IF(AF933&gt;79,"Baik",IF(AF933&gt;69,"Cukup",IF(AF933&gt;59,"Kurang","Sangat kurang")))))</f>
        <v/>
      </c>
      <c r="AJ933" t="str">
        <f t="shared" si="44"/>
        <v>Wk.6</v>
      </c>
      <c r="AK933" t="str">
        <f>IF(pub_gid_0_single_true_output_csv[[#This Row],[Nilai2]]="","",VLOOKUP(pub_gid_0_single_true_output_csv[[#This Row],[NAMA]],Table7[],3,FALSE))</f>
        <v>Superior</v>
      </c>
    </row>
    <row r="934" spans="1:37" x14ac:dyDescent="0.2">
      <c r="A934">
        <v>933</v>
      </c>
      <c r="B934" t="s">
        <v>290</v>
      </c>
      <c r="C934" t="s">
        <v>54</v>
      </c>
      <c r="D934" t="s">
        <v>42</v>
      </c>
      <c r="E934" t="s">
        <v>140</v>
      </c>
      <c r="F934" s="25">
        <v>46055</v>
      </c>
      <c r="G934" t="s">
        <v>379</v>
      </c>
      <c r="H934" t="s">
        <v>412</v>
      </c>
      <c r="I934" t="s">
        <v>371</v>
      </c>
      <c r="J934" t="s">
        <v>36</v>
      </c>
      <c r="K934" t="s">
        <v>37</v>
      </c>
      <c r="L934" t="s">
        <v>324</v>
      </c>
      <c r="M934" t="s">
        <v>141</v>
      </c>
      <c r="N934" t="s">
        <v>142</v>
      </c>
      <c r="O934" t="s">
        <v>155</v>
      </c>
      <c r="P934" t="s">
        <v>281</v>
      </c>
      <c r="Q934" t="s">
        <v>155</v>
      </c>
      <c r="R934" t="s">
        <v>302</v>
      </c>
      <c r="S934" t="s">
        <v>345</v>
      </c>
      <c r="T934">
        <v>1</v>
      </c>
      <c r="U934" t="s">
        <v>431</v>
      </c>
      <c r="V934" t="s">
        <v>343</v>
      </c>
      <c r="W934" t="s">
        <v>434</v>
      </c>
      <c r="X934" t="s">
        <v>306</v>
      </c>
      <c r="Y934" t="s">
        <v>307</v>
      </c>
      <c r="Z934">
        <v>65</v>
      </c>
      <c r="AA934">
        <v>87</v>
      </c>
      <c r="AB934" t="s">
        <v>143</v>
      </c>
      <c r="AC934" t="s">
        <v>336</v>
      </c>
      <c r="AD934" t="s">
        <v>278</v>
      </c>
      <c r="AE934" t="str">
        <f>IF(AF934="","",VLOOKUP(AC934,mapel!$A$2:$B$42,2,FALSE))</f>
        <v>Pancasila</v>
      </c>
      <c r="AF934">
        <f t="shared" si="42"/>
        <v>87</v>
      </c>
      <c r="AG934" t="str">
        <f>IF(AF934="","",IF(AF934&gt;90,"Sangat baik",IF(AF934&gt;79,"Baik",IF(AF934&gt;=pub_gid_0_single_true_output_csv[[#This Row],[KKM]],"Cukup","Kurang"))))</f>
        <v>Baik</v>
      </c>
      <c r="AH934">
        <f t="shared" si="43"/>
        <v>11</v>
      </c>
      <c r="AI934" s="30" t="str">
        <f>IF(OR(J934&lt;&gt;"Karakter",pub_gid_0_single_true_output_csv[[#This Row],[Nilai2]]=""),"",IF(AF934&gt;89,"Sangat baik",IF(AF934&gt;79,"Baik",IF(AF934&gt;69,"Cukup",IF(AF934&gt;59,"Kurang","Sangat kurang")))))</f>
        <v/>
      </c>
      <c r="AJ934" t="str">
        <f t="shared" si="44"/>
        <v>Wk.6</v>
      </c>
      <c r="AK934" t="str">
        <f>IF(pub_gid_0_single_true_output_csv[[#This Row],[Nilai2]]="","",VLOOKUP(pub_gid_0_single_true_output_csv[[#This Row],[NAMA]],Table7[],3,FALSE))</f>
        <v>Superior</v>
      </c>
    </row>
    <row r="935" spans="1:37" x14ac:dyDescent="0.2">
      <c r="A935">
        <v>934</v>
      </c>
      <c r="B935" t="s">
        <v>290</v>
      </c>
      <c r="C935" t="s">
        <v>54</v>
      </c>
      <c r="D935" t="s">
        <v>42</v>
      </c>
      <c r="E935" t="s">
        <v>140</v>
      </c>
      <c r="F935" s="25">
        <v>46062</v>
      </c>
      <c r="G935" t="s">
        <v>376</v>
      </c>
      <c r="H935" t="s">
        <v>412</v>
      </c>
      <c r="I935" t="s">
        <v>371</v>
      </c>
      <c r="J935" t="s">
        <v>36</v>
      </c>
      <c r="K935" t="s">
        <v>362</v>
      </c>
      <c r="L935" t="s">
        <v>363</v>
      </c>
      <c r="M935" t="s">
        <v>141</v>
      </c>
      <c r="N935" t="s">
        <v>142</v>
      </c>
      <c r="O935" t="s">
        <v>155</v>
      </c>
      <c r="P935" t="s">
        <v>281</v>
      </c>
      <c r="Q935" t="s">
        <v>155</v>
      </c>
      <c r="R935" t="s">
        <v>302</v>
      </c>
      <c r="S935" t="s">
        <v>309</v>
      </c>
      <c r="T935">
        <v>1</v>
      </c>
      <c r="U935" t="s">
        <v>431</v>
      </c>
      <c r="V935" t="s">
        <v>285</v>
      </c>
      <c r="W935" t="s">
        <v>432</v>
      </c>
      <c r="X935" t="s">
        <v>306</v>
      </c>
      <c r="Y935" t="s">
        <v>307</v>
      </c>
      <c r="Z935">
        <v>65</v>
      </c>
      <c r="AA935">
        <v>88</v>
      </c>
      <c r="AB935" t="s">
        <v>143</v>
      </c>
      <c r="AC935" t="s">
        <v>336</v>
      </c>
      <c r="AD935" t="s">
        <v>278</v>
      </c>
      <c r="AE935" t="str">
        <f>IF(AF935="","",VLOOKUP(AC935,mapel!$A$2:$B$42,2,FALSE))</f>
        <v>Pancasila</v>
      </c>
      <c r="AF935">
        <f t="shared" si="42"/>
        <v>88</v>
      </c>
      <c r="AG935" t="str">
        <f>IF(AF935="","",IF(AF935&gt;90,"Sangat baik",IF(AF935&gt;79,"Baik",IF(AF935&gt;=pub_gid_0_single_true_output_csv[[#This Row],[KKM]],"Cukup","Kurang"))))</f>
        <v>Baik</v>
      </c>
      <c r="AH935">
        <f t="shared" si="43"/>
        <v>11</v>
      </c>
      <c r="AI935" s="30" t="str">
        <f>IF(OR(J935&lt;&gt;"Karakter",pub_gid_0_single_true_output_csv[[#This Row],[Nilai2]]=""),"",IF(AF935&gt;89,"Sangat baik",IF(AF935&gt;79,"Baik",IF(AF935&gt;69,"Cukup",IF(AF935&gt;59,"Kurang","Sangat kurang")))))</f>
        <v/>
      </c>
      <c r="AJ935" t="str">
        <f t="shared" si="44"/>
        <v>Wk.7</v>
      </c>
      <c r="AK935" t="str">
        <f>IF(pub_gid_0_single_true_output_csv[[#This Row],[Nilai2]]="","",VLOOKUP(pub_gid_0_single_true_output_csv[[#This Row],[NAMA]],Table7[],3,FALSE))</f>
        <v>Superior</v>
      </c>
    </row>
    <row r="936" spans="1:37" x14ac:dyDescent="0.2">
      <c r="A936">
        <v>935</v>
      </c>
      <c r="B936" t="s">
        <v>290</v>
      </c>
      <c r="C936" t="s">
        <v>54</v>
      </c>
      <c r="D936" t="s">
        <v>42</v>
      </c>
      <c r="E936" t="s">
        <v>140</v>
      </c>
      <c r="F936" s="25">
        <v>46062</v>
      </c>
      <c r="G936" t="s">
        <v>376</v>
      </c>
      <c r="H936" t="s">
        <v>412</v>
      </c>
      <c r="I936" t="s">
        <v>371</v>
      </c>
      <c r="J936" t="s">
        <v>36</v>
      </c>
      <c r="K936" t="s">
        <v>362</v>
      </c>
      <c r="L936" t="s">
        <v>363</v>
      </c>
      <c r="M936" t="s">
        <v>141</v>
      </c>
      <c r="N936" t="s">
        <v>142</v>
      </c>
      <c r="O936" t="s">
        <v>155</v>
      </c>
      <c r="P936" t="s">
        <v>281</v>
      </c>
      <c r="Q936" t="s">
        <v>155</v>
      </c>
      <c r="R936" t="s">
        <v>302</v>
      </c>
      <c r="S936" t="s">
        <v>369</v>
      </c>
      <c r="T936">
        <v>1</v>
      </c>
      <c r="U936" t="s">
        <v>431</v>
      </c>
      <c r="V936" t="s">
        <v>342</v>
      </c>
      <c r="W936" t="s">
        <v>433</v>
      </c>
      <c r="X936" t="s">
        <v>306</v>
      </c>
      <c r="Y936" t="s">
        <v>307</v>
      </c>
      <c r="Z936">
        <v>65</v>
      </c>
      <c r="AA936">
        <v>90</v>
      </c>
      <c r="AB936" t="s">
        <v>143</v>
      </c>
      <c r="AC936" t="s">
        <v>336</v>
      </c>
      <c r="AD936" t="s">
        <v>278</v>
      </c>
      <c r="AE936" t="str">
        <f>IF(AF936="","",VLOOKUP(AC936,mapel!$A$2:$B$42,2,FALSE))</f>
        <v>Pancasila</v>
      </c>
      <c r="AF936">
        <f t="shared" si="42"/>
        <v>90</v>
      </c>
      <c r="AG936" t="str">
        <f>IF(AF936="","",IF(AF936&gt;90,"Sangat baik",IF(AF936&gt;79,"Baik",IF(AF936&gt;=pub_gid_0_single_true_output_csv[[#This Row],[KKM]],"Cukup","Kurang"))))</f>
        <v>Baik</v>
      </c>
      <c r="AH936">
        <f t="shared" si="43"/>
        <v>11</v>
      </c>
      <c r="AI936" s="30" t="str">
        <f>IF(OR(J936&lt;&gt;"Karakter",pub_gid_0_single_true_output_csv[[#This Row],[Nilai2]]=""),"",IF(AF936&gt;89,"Sangat baik",IF(AF936&gt;79,"Baik",IF(AF936&gt;69,"Cukup",IF(AF936&gt;59,"Kurang","Sangat kurang")))))</f>
        <v/>
      </c>
      <c r="AJ936" t="str">
        <f t="shared" si="44"/>
        <v>Wk.7</v>
      </c>
      <c r="AK936" t="str">
        <f>IF(pub_gid_0_single_true_output_csv[[#This Row],[Nilai2]]="","",VLOOKUP(pub_gid_0_single_true_output_csv[[#This Row],[NAMA]],Table7[],3,FALSE))</f>
        <v>Superior</v>
      </c>
    </row>
    <row r="937" spans="1:37" x14ac:dyDescent="0.2">
      <c r="A937">
        <v>936</v>
      </c>
      <c r="B937" t="s">
        <v>290</v>
      </c>
      <c r="C937" t="s">
        <v>54</v>
      </c>
      <c r="D937" t="s">
        <v>42</v>
      </c>
      <c r="E937" t="s">
        <v>140</v>
      </c>
      <c r="F937" s="25">
        <v>46059</v>
      </c>
      <c r="G937" t="s">
        <v>349</v>
      </c>
      <c r="H937" t="s">
        <v>412</v>
      </c>
      <c r="I937" t="s">
        <v>371</v>
      </c>
      <c r="J937" t="s">
        <v>41</v>
      </c>
      <c r="K937" t="s">
        <v>357</v>
      </c>
      <c r="L937" t="s">
        <v>351</v>
      </c>
      <c r="M937" t="s">
        <v>141</v>
      </c>
      <c r="N937" t="s">
        <v>142</v>
      </c>
      <c r="O937" t="s">
        <v>155</v>
      </c>
      <c r="P937" t="s">
        <v>281</v>
      </c>
      <c r="Q937" t="s">
        <v>155</v>
      </c>
      <c r="R937" t="s">
        <v>302</v>
      </c>
      <c r="S937" t="s">
        <v>345</v>
      </c>
      <c r="T937">
        <v>1</v>
      </c>
      <c r="U937" t="s">
        <v>431</v>
      </c>
      <c r="V937" t="s">
        <v>343</v>
      </c>
      <c r="W937" t="s">
        <v>434</v>
      </c>
      <c r="X937" t="s">
        <v>306</v>
      </c>
      <c r="Y937" t="s">
        <v>307</v>
      </c>
      <c r="Z937">
        <v>65</v>
      </c>
      <c r="AA937">
        <v>73</v>
      </c>
      <c r="AB937" t="s">
        <v>143</v>
      </c>
      <c r="AC937" t="s">
        <v>336</v>
      </c>
      <c r="AD937" t="s">
        <v>278</v>
      </c>
      <c r="AE937" t="str">
        <f>IF(AF937="","",VLOOKUP(AC937,mapel!$A$2:$B$42,2,FALSE))</f>
        <v>Pancasila</v>
      </c>
      <c r="AF937">
        <f t="shared" si="42"/>
        <v>73</v>
      </c>
      <c r="AG937" t="str">
        <f>IF(AF937="","",IF(AF937&gt;90,"Sangat baik",IF(AF937&gt;79,"Baik",IF(AF937&gt;=pub_gid_0_single_true_output_csv[[#This Row],[KKM]],"Cukup","Kurang"))))</f>
        <v>Cukup</v>
      </c>
      <c r="AH937">
        <f t="shared" si="43"/>
        <v>11</v>
      </c>
      <c r="AI937" s="30" t="str">
        <f>IF(OR(J937&lt;&gt;"Karakter",pub_gid_0_single_true_output_csv[[#This Row],[Nilai2]]=""),"",IF(AF937&gt;89,"Sangat baik",IF(AF937&gt;79,"Baik",IF(AF937&gt;69,"Cukup",IF(AF937&gt;59,"Kurang","Sangat kurang")))))</f>
        <v/>
      </c>
      <c r="AJ937" t="str">
        <f t="shared" si="44"/>
        <v>Wk.6</v>
      </c>
      <c r="AK937" t="str">
        <f>IF(pub_gid_0_single_true_output_csv[[#This Row],[Nilai2]]="","",VLOOKUP(pub_gid_0_single_true_output_csv[[#This Row],[NAMA]],Table7[],3,FALSE))</f>
        <v>Superior</v>
      </c>
    </row>
    <row r="938" spans="1:37" x14ac:dyDescent="0.2">
      <c r="A938">
        <v>937</v>
      </c>
      <c r="B938" t="s">
        <v>290</v>
      </c>
      <c r="C938" t="s">
        <v>54</v>
      </c>
      <c r="D938" t="s">
        <v>42</v>
      </c>
      <c r="E938" t="s">
        <v>140</v>
      </c>
      <c r="F938" s="25">
        <v>46059</v>
      </c>
      <c r="G938" t="s">
        <v>349</v>
      </c>
      <c r="H938" t="s">
        <v>412</v>
      </c>
      <c r="I938" t="s">
        <v>371</v>
      </c>
      <c r="J938" t="s">
        <v>36</v>
      </c>
      <c r="K938" t="s">
        <v>37</v>
      </c>
      <c r="L938" t="s">
        <v>351</v>
      </c>
      <c r="M938" t="s">
        <v>141</v>
      </c>
      <c r="N938" t="s">
        <v>142</v>
      </c>
      <c r="O938" t="s">
        <v>155</v>
      </c>
      <c r="P938" t="s">
        <v>281</v>
      </c>
      <c r="Q938" t="s">
        <v>155</v>
      </c>
      <c r="R938" t="s">
        <v>302</v>
      </c>
      <c r="S938" t="s">
        <v>345</v>
      </c>
      <c r="T938">
        <v>1</v>
      </c>
      <c r="U938" t="s">
        <v>431</v>
      </c>
      <c r="V938" t="s">
        <v>343</v>
      </c>
      <c r="W938" t="s">
        <v>434</v>
      </c>
      <c r="X938" t="s">
        <v>306</v>
      </c>
      <c r="Y938" t="s">
        <v>307</v>
      </c>
      <c r="Z938">
        <v>65</v>
      </c>
      <c r="AA938">
        <v>75</v>
      </c>
      <c r="AB938" t="s">
        <v>143</v>
      </c>
      <c r="AC938" t="s">
        <v>336</v>
      </c>
      <c r="AD938" t="s">
        <v>278</v>
      </c>
      <c r="AE938" t="str">
        <f>IF(AF938="","",VLOOKUP(AC938,mapel!$A$2:$B$42,2,FALSE))</f>
        <v>Pancasila</v>
      </c>
      <c r="AF938">
        <f t="shared" si="42"/>
        <v>75</v>
      </c>
      <c r="AG938" t="str">
        <f>IF(AF938="","",IF(AF938&gt;90,"Sangat baik",IF(AF938&gt;79,"Baik",IF(AF938&gt;=pub_gid_0_single_true_output_csv[[#This Row],[KKM]],"Cukup","Kurang"))))</f>
        <v>Cukup</v>
      </c>
      <c r="AH938">
        <f t="shared" si="43"/>
        <v>11</v>
      </c>
      <c r="AI938" s="30" t="str">
        <f>IF(OR(J938&lt;&gt;"Karakter",pub_gid_0_single_true_output_csv[[#This Row],[Nilai2]]=""),"",IF(AF938&gt;89,"Sangat baik",IF(AF938&gt;79,"Baik",IF(AF938&gt;69,"Cukup",IF(AF938&gt;59,"Kurang","Sangat kurang")))))</f>
        <v/>
      </c>
      <c r="AJ938" t="str">
        <f t="shared" si="44"/>
        <v>Wk.6</v>
      </c>
      <c r="AK938" t="str">
        <f>IF(pub_gid_0_single_true_output_csv[[#This Row],[Nilai2]]="","",VLOOKUP(pub_gid_0_single_true_output_csv[[#This Row],[NAMA]],Table7[],3,FALSE))</f>
        <v>Superior</v>
      </c>
    </row>
    <row r="939" spans="1:37" x14ac:dyDescent="0.2">
      <c r="A939">
        <v>938</v>
      </c>
      <c r="B939" t="s">
        <v>291</v>
      </c>
      <c r="C939" t="s">
        <v>54</v>
      </c>
      <c r="D939" t="s">
        <v>43</v>
      </c>
      <c r="E939" t="s">
        <v>146</v>
      </c>
      <c r="F939" s="25">
        <v>46034</v>
      </c>
      <c r="G939" t="s">
        <v>354</v>
      </c>
      <c r="H939" t="s">
        <v>405</v>
      </c>
      <c r="I939" t="s">
        <v>371</v>
      </c>
      <c r="J939" t="s">
        <v>90</v>
      </c>
      <c r="K939" t="s">
        <v>92</v>
      </c>
      <c r="L939" t="s">
        <v>398</v>
      </c>
      <c r="M939" t="s">
        <v>141</v>
      </c>
      <c r="N939" t="s">
        <v>142</v>
      </c>
      <c r="O939" t="s">
        <v>155</v>
      </c>
      <c r="P939" t="s">
        <v>281</v>
      </c>
      <c r="Q939" t="s">
        <v>155</v>
      </c>
      <c r="R939" t="s">
        <v>302</v>
      </c>
      <c r="S939" t="s">
        <v>309</v>
      </c>
      <c r="T939">
        <v>1</v>
      </c>
      <c r="U939" t="s">
        <v>431</v>
      </c>
      <c r="V939" t="s">
        <v>285</v>
      </c>
      <c r="W939" t="s">
        <v>432</v>
      </c>
      <c r="X939" t="s">
        <v>306</v>
      </c>
      <c r="Y939" t="s">
        <v>307</v>
      </c>
      <c r="Z939">
        <v>65</v>
      </c>
      <c r="AA939">
        <v>85</v>
      </c>
      <c r="AB939" t="s">
        <v>143</v>
      </c>
      <c r="AC939" t="s">
        <v>336</v>
      </c>
      <c r="AD939" t="s">
        <v>278</v>
      </c>
      <c r="AE939" t="str">
        <f>IF(AF939="","",VLOOKUP(AC939,mapel!$A$2:$B$42,2,FALSE))</f>
        <v>Pancasila</v>
      </c>
      <c r="AF939">
        <f t="shared" si="42"/>
        <v>85</v>
      </c>
      <c r="AG939" t="str">
        <f>IF(AF939="","",IF(AF939&gt;90,"Sangat baik",IF(AF939&gt;79,"Baik",IF(AF939&gt;=pub_gid_0_single_true_output_csv[[#This Row],[KKM]],"Cukup","Kurang"))))</f>
        <v>Baik</v>
      </c>
      <c r="AH939">
        <f t="shared" si="43"/>
        <v>11</v>
      </c>
      <c r="AI939" s="30" t="str">
        <f>IF(OR(J939&lt;&gt;"Karakter",pub_gid_0_single_true_output_csv[[#This Row],[Nilai2]]=""),"",IF(AF939&gt;89,"Sangat baik",IF(AF939&gt;79,"Baik",IF(AF939&gt;69,"Cukup",IF(AF939&gt;59,"Kurang","Sangat kurang")))))</f>
        <v>Baik</v>
      </c>
      <c r="AJ939" t="str">
        <f t="shared" si="44"/>
        <v>Wk.3</v>
      </c>
      <c r="AK939" t="str">
        <f>IF(pub_gid_0_single_true_output_csv[[#This Row],[Nilai2]]="","",VLOOKUP(pub_gid_0_single_true_output_csv[[#This Row],[NAMA]],Table7[],3,FALSE))</f>
        <v>High average</v>
      </c>
    </row>
    <row r="940" spans="1:37" x14ac:dyDescent="0.2">
      <c r="A940">
        <v>939</v>
      </c>
      <c r="B940" t="s">
        <v>291</v>
      </c>
      <c r="C940" t="s">
        <v>54</v>
      </c>
      <c r="D940" t="s">
        <v>43</v>
      </c>
      <c r="E940" t="s">
        <v>146</v>
      </c>
      <c r="F940" s="25">
        <v>46034</v>
      </c>
      <c r="G940" t="s">
        <v>354</v>
      </c>
      <c r="H940" t="s">
        <v>405</v>
      </c>
      <c r="I940" t="s">
        <v>371</v>
      </c>
      <c r="J940" t="s">
        <v>36</v>
      </c>
      <c r="K940" t="s">
        <v>37</v>
      </c>
      <c r="L940" t="s">
        <v>150</v>
      </c>
      <c r="M940" t="s">
        <v>141</v>
      </c>
      <c r="N940" t="s">
        <v>142</v>
      </c>
      <c r="O940" t="s">
        <v>155</v>
      </c>
      <c r="P940" t="s">
        <v>281</v>
      </c>
      <c r="Q940" t="s">
        <v>155</v>
      </c>
      <c r="R940" t="s">
        <v>302</v>
      </c>
      <c r="S940" t="s">
        <v>309</v>
      </c>
      <c r="T940">
        <v>1</v>
      </c>
      <c r="U940" t="s">
        <v>431</v>
      </c>
      <c r="V940" t="s">
        <v>285</v>
      </c>
      <c r="W940" t="s">
        <v>432</v>
      </c>
      <c r="X940" t="s">
        <v>306</v>
      </c>
      <c r="Y940" t="s">
        <v>307</v>
      </c>
      <c r="Z940">
        <v>65</v>
      </c>
      <c r="AA940">
        <v>77</v>
      </c>
      <c r="AB940" t="s">
        <v>143</v>
      </c>
      <c r="AC940" t="s">
        <v>336</v>
      </c>
      <c r="AD940" t="s">
        <v>278</v>
      </c>
      <c r="AE940" t="str">
        <f>IF(AF940="","",VLOOKUP(AC940,mapel!$A$2:$B$42,2,FALSE))</f>
        <v>Pancasila</v>
      </c>
      <c r="AF940">
        <f t="shared" si="42"/>
        <v>77</v>
      </c>
      <c r="AG940" t="str">
        <f>IF(AF940="","",IF(AF940&gt;90,"Sangat baik",IF(AF940&gt;79,"Baik",IF(AF940&gt;=pub_gid_0_single_true_output_csv[[#This Row],[KKM]],"Cukup","Kurang"))))</f>
        <v>Cukup</v>
      </c>
      <c r="AH940">
        <f t="shared" si="43"/>
        <v>11</v>
      </c>
      <c r="AI940" s="30" t="str">
        <f>IF(OR(J940&lt;&gt;"Karakter",pub_gid_0_single_true_output_csv[[#This Row],[Nilai2]]=""),"",IF(AF940&gt;89,"Sangat baik",IF(AF940&gt;79,"Baik",IF(AF940&gt;69,"Cukup",IF(AF940&gt;59,"Kurang","Sangat kurang")))))</f>
        <v/>
      </c>
      <c r="AJ940" t="str">
        <f t="shared" si="44"/>
        <v>Wk.3</v>
      </c>
      <c r="AK940" t="str">
        <f>IF(pub_gid_0_single_true_output_csv[[#This Row],[Nilai2]]="","",VLOOKUP(pub_gid_0_single_true_output_csv[[#This Row],[NAMA]],Table7[],3,FALSE))</f>
        <v>High average</v>
      </c>
    </row>
    <row r="941" spans="1:37" x14ac:dyDescent="0.2">
      <c r="A941">
        <v>940</v>
      </c>
      <c r="B941" t="s">
        <v>291</v>
      </c>
      <c r="C941" t="s">
        <v>54</v>
      </c>
      <c r="D941" t="s">
        <v>43</v>
      </c>
      <c r="E941" t="s">
        <v>146</v>
      </c>
      <c r="F941" s="25">
        <v>46034</v>
      </c>
      <c r="G941" t="s">
        <v>354</v>
      </c>
      <c r="H941" t="s">
        <v>405</v>
      </c>
      <c r="I941" t="s">
        <v>371</v>
      </c>
      <c r="J941" t="s">
        <v>31</v>
      </c>
      <c r="K941" t="s">
        <v>32</v>
      </c>
      <c r="L941" t="s">
        <v>150</v>
      </c>
      <c r="M941" t="s">
        <v>141</v>
      </c>
      <c r="N941" t="s">
        <v>142</v>
      </c>
      <c r="O941" t="s">
        <v>155</v>
      </c>
      <c r="P941" t="s">
        <v>281</v>
      </c>
      <c r="Q941" t="s">
        <v>155</v>
      </c>
      <c r="R941" t="s">
        <v>302</v>
      </c>
      <c r="S941" t="s">
        <v>309</v>
      </c>
      <c r="T941">
        <v>1</v>
      </c>
      <c r="U941" t="s">
        <v>431</v>
      </c>
      <c r="V941" t="s">
        <v>285</v>
      </c>
      <c r="W941" t="s">
        <v>432</v>
      </c>
      <c r="X941" t="s">
        <v>306</v>
      </c>
      <c r="Y941" t="s">
        <v>307</v>
      </c>
      <c r="Z941">
        <v>65</v>
      </c>
      <c r="AA941">
        <v>75</v>
      </c>
      <c r="AB941" t="s">
        <v>143</v>
      </c>
      <c r="AC941" t="s">
        <v>336</v>
      </c>
      <c r="AD941" t="s">
        <v>278</v>
      </c>
      <c r="AE941" t="str">
        <f>IF(AF941="","",VLOOKUP(AC941,mapel!$A$2:$B$42,2,FALSE))</f>
        <v>Pancasila</v>
      </c>
      <c r="AF941">
        <f t="shared" si="42"/>
        <v>75</v>
      </c>
      <c r="AG941" t="str">
        <f>IF(AF941="","",IF(AF941&gt;90,"Sangat baik",IF(AF941&gt;79,"Baik",IF(AF941&gt;=pub_gid_0_single_true_output_csv[[#This Row],[KKM]],"Cukup","Kurang"))))</f>
        <v>Cukup</v>
      </c>
      <c r="AH941">
        <f t="shared" si="43"/>
        <v>11</v>
      </c>
      <c r="AI941" s="30" t="str">
        <f>IF(OR(J941&lt;&gt;"Karakter",pub_gid_0_single_true_output_csv[[#This Row],[Nilai2]]=""),"",IF(AF941&gt;89,"Sangat baik",IF(AF941&gt;79,"Baik",IF(AF941&gt;69,"Cukup",IF(AF941&gt;59,"Kurang","Sangat kurang")))))</f>
        <v/>
      </c>
      <c r="AJ941" t="str">
        <f t="shared" si="44"/>
        <v>Wk.3</v>
      </c>
      <c r="AK941" t="str">
        <f>IF(pub_gid_0_single_true_output_csv[[#This Row],[Nilai2]]="","",VLOOKUP(pub_gid_0_single_true_output_csv[[#This Row],[NAMA]],Table7[],3,FALSE))</f>
        <v>High average</v>
      </c>
    </row>
    <row r="942" spans="1:37" x14ac:dyDescent="0.2">
      <c r="A942">
        <v>941</v>
      </c>
      <c r="B942" t="s">
        <v>291</v>
      </c>
      <c r="C942" t="s">
        <v>54</v>
      </c>
      <c r="D942" t="s">
        <v>43</v>
      </c>
      <c r="E942" t="s">
        <v>146</v>
      </c>
      <c r="F942" s="25">
        <v>46034</v>
      </c>
      <c r="G942" t="s">
        <v>354</v>
      </c>
      <c r="H942" t="s">
        <v>405</v>
      </c>
      <c r="I942" t="s">
        <v>371</v>
      </c>
      <c r="J942" t="s">
        <v>279</v>
      </c>
      <c r="K942" t="s">
        <v>280</v>
      </c>
      <c r="L942" t="s">
        <v>322</v>
      </c>
      <c r="M942" t="s">
        <v>141</v>
      </c>
      <c r="N942" t="s">
        <v>142</v>
      </c>
      <c r="O942" t="s">
        <v>155</v>
      </c>
      <c r="P942" t="s">
        <v>281</v>
      </c>
      <c r="Q942" t="s">
        <v>155</v>
      </c>
      <c r="R942" t="s">
        <v>302</v>
      </c>
      <c r="S942" t="s">
        <v>309</v>
      </c>
      <c r="T942">
        <v>1</v>
      </c>
      <c r="U942" t="s">
        <v>431</v>
      </c>
      <c r="V942" t="s">
        <v>285</v>
      </c>
      <c r="W942" t="s">
        <v>432</v>
      </c>
      <c r="X942" t="s">
        <v>306</v>
      </c>
      <c r="Y942" t="s">
        <v>307</v>
      </c>
      <c r="Z942">
        <v>65</v>
      </c>
      <c r="AA942">
        <v>76</v>
      </c>
      <c r="AB942" t="s">
        <v>143</v>
      </c>
      <c r="AC942" t="s">
        <v>336</v>
      </c>
      <c r="AD942" t="s">
        <v>278</v>
      </c>
      <c r="AE942" t="str">
        <f>IF(AF942="","",VLOOKUP(AC942,mapel!$A$2:$B$42,2,FALSE))</f>
        <v>Pancasila</v>
      </c>
      <c r="AF942">
        <f t="shared" si="42"/>
        <v>76</v>
      </c>
      <c r="AG942" t="str">
        <f>IF(AF942="","",IF(AF942&gt;90,"Sangat baik",IF(AF942&gt;79,"Baik",IF(AF942&gt;=pub_gid_0_single_true_output_csv[[#This Row],[KKM]],"Cukup","Kurang"))))</f>
        <v>Cukup</v>
      </c>
      <c r="AH942">
        <f t="shared" si="43"/>
        <v>11</v>
      </c>
      <c r="AI942" s="30" t="str">
        <f>IF(OR(J942&lt;&gt;"Karakter",pub_gid_0_single_true_output_csv[[#This Row],[Nilai2]]=""),"",IF(AF942&gt;89,"Sangat baik",IF(AF942&gt;79,"Baik",IF(AF942&gt;69,"Cukup",IF(AF942&gt;59,"Kurang","Sangat kurang")))))</f>
        <v/>
      </c>
      <c r="AJ942" t="str">
        <f t="shared" si="44"/>
        <v>Wk.3</v>
      </c>
      <c r="AK942" t="str">
        <f>IF(pub_gid_0_single_true_output_csv[[#This Row],[Nilai2]]="","",VLOOKUP(pub_gid_0_single_true_output_csv[[#This Row],[NAMA]],Table7[],3,FALSE))</f>
        <v>High average</v>
      </c>
    </row>
    <row r="943" spans="1:37" x14ac:dyDescent="0.2">
      <c r="A943">
        <v>942</v>
      </c>
      <c r="B943" t="s">
        <v>291</v>
      </c>
      <c r="C943" t="s">
        <v>54</v>
      </c>
      <c r="D943" t="s">
        <v>43</v>
      </c>
      <c r="E943" t="s">
        <v>146</v>
      </c>
      <c r="F943" s="25">
        <v>46048</v>
      </c>
      <c r="G943" t="s">
        <v>371</v>
      </c>
      <c r="H943" t="s">
        <v>405</v>
      </c>
      <c r="I943" t="s">
        <v>371</v>
      </c>
      <c r="J943" t="s">
        <v>36</v>
      </c>
      <c r="K943" t="s">
        <v>37</v>
      </c>
      <c r="L943" t="s">
        <v>351</v>
      </c>
      <c r="M943" t="s">
        <v>141</v>
      </c>
      <c r="N943" t="s">
        <v>142</v>
      </c>
      <c r="O943" t="s">
        <v>155</v>
      </c>
      <c r="P943" t="s">
        <v>281</v>
      </c>
      <c r="Q943" t="s">
        <v>155</v>
      </c>
      <c r="R943" t="s">
        <v>302</v>
      </c>
      <c r="S943" t="s">
        <v>369</v>
      </c>
      <c r="T943">
        <v>1</v>
      </c>
      <c r="U943" t="s">
        <v>431</v>
      </c>
      <c r="V943" t="s">
        <v>342</v>
      </c>
      <c r="W943" t="s">
        <v>433</v>
      </c>
      <c r="X943" t="s">
        <v>306</v>
      </c>
      <c r="Y943" t="s">
        <v>307</v>
      </c>
      <c r="Z943">
        <v>65</v>
      </c>
      <c r="AA943">
        <v>85</v>
      </c>
      <c r="AB943" t="s">
        <v>143</v>
      </c>
      <c r="AC943" t="s">
        <v>336</v>
      </c>
      <c r="AD943" t="s">
        <v>278</v>
      </c>
      <c r="AE943" t="str">
        <f>IF(AF943="","",VLOOKUP(AC943,mapel!$A$2:$B$42,2,FALSE))</f>
        <v>Pancasila</v>
      </c>
      <c r="AF943">
        <f t="shared" si="42"/>
        <v>85</v>
      </c>
      <c r="AG943" t="str">
        <f>IF(AF943="","",IF(AF943&gt;90,"Sangat baik",IF(AF943&gt;79,"Baik",IF(AF943&gt;=pub_gid_0_single_true_output_csv[[#This Row],[KKM]],"Cukup","Kurang"))))</f>
        <v>Baik</v>
      </c>
      <c r="AH943">
        <f t="shared" si="43"/>
        <v>11</v>
      </c>
      <c r="AI943" s="30" t="str">
        <f>IF(OR(J943&lt;&gt;"Karakter",pub_gid_0_single_true_output_csv[[#This Row],[Nilai2]]=""),"",IF(AF943&gt;89,"Sangat baik",IF(AF943&gt;79,"Baik",IF(AF943&gt;69,"Cukup",IF(AF943&gt;59,"Kurang","Sangat kurang")))))</f>
        <v/>
      </c>
      <c r="AJ943" t="str">
        <f t="shared" si="44"/>
        <v>Wk.5</v>
      </c>
      <c r="AK943" t="str">
        <f>IF(pub_gid_0_single_true_output_csv[[#This Row],[Nilai2]]="","",VLOOKUP(pub_gid_0_single_true_output_csv[[#This Row],[NAMA]],Table7[],3,FALSE))</f>
        <v>High average</v>
      </c>
    </row>
    <row r="944" spans="1:37" x14ac:dyDescent="0.2">
      <c r="A944">
        <v>943</v>
      </c>
      <c r="B944" t="s">
        <v>291</v>
      </c>
      <c r="C944" t="s">
        <v>54</v>
      </c>
      <c r="D944" t="s">
        <v>43</v>
      </c>
      <c r="E944" t="s">
        <v>146</v>
      </c>
      <c r="F944" s="25">
        <v>46048</v>
      </c>
      <c r="G944" t="s">
        <v>371</v>
      </c>
      <c r="H944" t="s">
        <v>405</v>
      </c>
      <c r="I944" t="s">
        <v>371</v>
      </c>
      <c r="J944" t="s">
        <v>31</v>
      </c>
      <c r="K944" t="s">
        <v>96</v>
      </c>
      <c r="L944" t="s">
        <v>351</v>
      </c>
      <c r="M944" t="s">
        <v>141</v>
      </c>
      <c r="N944" t="s">
        <v>142</v>
      </c>
      <c r="O944" t="s">
        <v>155</v>
      </c>
      <c r="P944" t="s">
        <v>281</v>
      </c>
      <c r="Q944" t="s">
        <v>155</v>
      </c>
      <c r="R944" t="s">
        <v>302</v>
      </c>
      <c r="S944" t="s">
        <v>369</v>
      </c>
      <c r="T944">
        <v>1</v>
      </c>
      <c r="U944" t="s">
        <v>431</v>
      </c>
      <c r="V944" t="s">
        <v>342</v>
      </c>
      <c r="W944" t="s">
        <v>433</v>
      </c>
      <c r="X944" t="s">
        <v>306</v>
      </c>
      <c r="Y944" t="s">
        <v>307</v>
      </c>
      <c r="Z944">
        <v>65</v>
      </c>
      <c r="AA944">
        <v>85</v>
      </c>
      <c r="AB944" t="s">
        <v>143</v>
      </c>
      <c r="AC944" t="s">
        <v>336</v>
      </c>
      <c r="AD944" t="s">
        <v>278</v>
      </c>
      <c r="AE944" t="str">
        <f>IF(AF944="","",VLOOKUP(AC944,mapel!$A$2:$B$42,2,FALSE))</f>
        <v>Pancasila</v>
      </c>
      <c r="AF944">
        <f t="shared" si="42"/>
        <v>85</v>
      </c>
      <c r="AG944" t="str">
        <f>IF(AF944="","",IF(AF944&gt;90,"Sangat baik",IF(AF944&gt;79,"Baik",IF(AF944&gt;=pub_gid_0_single_true_output_csv[[#This Row],[KKM]],"Cukup","Kurang"))))</f>
        <v>Baik</v>
      </c>
      <c r="AH944">
        <f t="shared" si="43"/>
        <v>11</v>
      </c>
      <c r="AI944" s="30" t="str">
        <f>IF(OR(J944&lt;&gt;"Karakter",pub_gid_0_single_true_output_csv[[#This Row],[Nilai2]]=""),"",IF(AF944&gt;89,"Sangat baik",IF(AF944&gt;79,"Baik",IF(AF944&gt;69,"Cukup",IF(AF944&gt;59,"Kurang","Sangat kurang")))))</f>
        <v/>
      </c>
      <c r="AJ944" t="str">
        <f t="shared" si="44"/>
        <v>Wk.5</v>
      </c>
      <c r="AK944" t="str">
        <f>IF(pub_gid_0_single_true_output_csv[[#This Row],[Nilai2]]="","",VLOOKUP(pub_gid_0_single_true_output_csv[[#This Row],[NAMA]],Table7[],3,FALSE))</f>
        <v>High average</v>
      </c>
    </row>
    <row r="945" spans="1:37" x14ac:dyDescent="0.2">
      <c r="A945">
        <v>944</v>
      </c>
      <c r="B945" t="s">
        <v>291</v>
      </c>
      <c r="C945" t="s">
        <v>54</v>
      </c>
      <c r="D945" t="s">
        <v>43</v>
      </c>
      <c r="E945" t="s">
        <v>146</v>
      </c>
      <c r="F945" s="25">
        <v>46048</v>
      </c>
      <c r="G945" t="s">
        <v>371</v>
      </c>
      <c r="H945" t="s">
        <v>405</v>
      </c>
      <c r="I945" t="s">
        <v>371</v>
      </c>
      <c r="J945" t="s">
        <v>90</v>
      </c>
      <c r="K945" t="s">
        <v>377</v>
      </c>
      <c r="L945" t="s">
        <v>378</v>
      </c>
      <c r="M945" t="s">
        <v>141</v>
      </c>
      <c r="N945" t="s">
        <v>142</v>
      </c>
      <c r="O945" t="s">
        <v>155</v>
      </c>
      <c r="P945" t="s">
        <v>281</v>
      </c>
      <c r="Q945" t="s">
        <v>155</v>
      </c>
      <c r="R945" t="s">
        <v>302</v>
      </c>
      <c r="S945" t="s">
        <v>369</v>
      </c>
      <c r="T945">
        <v>1</v>
      </c>
      <c r="U945" t="s">
        <v>431</v>
      </c>
      <c r="V945" t="s">
        <v>342</v>
      </c>
      <c r="W945" t="s">
        <v>433</v>
      </c>
      <c r="X945" t="s">
        <v>306</v>
      </c>
      <c r="Y945" t="s">
        <v>307</v>
      </c>
      <c r="Z945">
        <v>65</v>
      </c>
      <c r="AA945">
        <v>78</v>
      </c>
      <c r="AB945" t="s">
        <v>143</v>
      </c>
      <c r="AC945" t="s">
        <v>336</v>
      </c>
      <c r="AD945" t="s">
        <v>278</v>
      </c>
      <c r="AE945" t="str">
        <f>IF(AF945="","",VLOOKUP(AC945,mapel!$A$2:$B$42,2,FALSE))</f>
        <v>Pancasila</v>
      </c>
      <c r="AF945">
        <f t="shared" si="42"/>
        <v>78</v>
      </c>
      <c r="AG945" t="str">
        <f>IF(AF945="","",IF(AF945&gt;90,"Sangat baik",IF(AF945&gt;79,"Baik",IF(AF945&gt;=pub_gid_0_single_true_output_csv[[#This Row],[KKM]],"Cukup","Kurang"))))</f>
        <v>Cukup</v>
      </c>
      <c r="AH945">
        <f t="shared" si="43"/>
        <v>11</v>
      </c>
      <c r="AI945" s="30" t="str">
        <f>IF(OR(J945&lt;&gt;"Karakter",pub_gid_0_single_true_output_csv[[#This Row],[Nilai2]]=""),"",IF(AF945&gt;89,"Sangat baik",IF(AF945&gt;79,"Baik",IF(AF945&gt;69,"Cukup",IF(AF945&gt;59,"Kurang","Sangat kurang")))))</f>
        <v>Cukup</v>
      </c>
      <c r="AJ945" t="str">
        <f t="shared" si="44"/>
        <v>Wk.5</v>
      </c>
      <c r="AK945" t="str">
        <f>IF(pub_gid_0_single_true_output_csv[[#This Row],[Nilai2]]="","",VLOOKUP(pub_gid_0_single_true_output_csv[[#This Row],[NAMA]],Table7[],3,FALSE))</f>
        <v>High average</v>
      </c>
    </row>
    <row r="946" spans="1:37" x14ac:dyDescent="0.2">
      <c r="A946">
        <v>945</v>
      </c>
      <c r="B946" t="s">
        <v>291</v>
      </c>
      <c r="C946" t="s">
        <v>54</v>
      </c>
      <c r="D946" t="s">
        <v>43</v>
      </c>
      <c r="E946" t="s">
        <v>146</v>
      </c>
      <c r="F946" s="25">
        <v>46048</v>
      </c>
      <c r="G946" t="s">
        <v>371</v>
      </c>
      <c r="H946" t="s">
        <v>405</v>
      </c>
      <c r="I946" t="s">
        <v>371</v>
      </c>
      <c r="J946" t="s">
        <v>279</v>
      </c>
      <c r="K946" t="s">
        <v>280</v>
      </c>
      <c r="L946" t="s">
        <v>322</v>
      </c>
      <c r="M946" t="s">
        <v>141</v>
      </c>
      <c r="N946" t="s">
        <v>142</v>
      </c>
      <c r="O946" t="s">
        <v>155</v>
      </c>
      <c r="P946" t="s">
        <v>281</v>
      </c>
      <c r="Q946" t="s">
        <v>155</v>
      </c>
      <c r="R946" t="s">
        <v>302</v>
      </c>
      <c r="S946" t="s">
        <v>369</v>
      </c>
      <c r="T946">
        <v>1</v>
      </c>
      <c r="U946" t="s">
        <v>431</v>
      </c>
      <c r="V946" t="s">
        <v>342</v>
      </c>
      <c r="W946" t="s">
        <v>433</v>
      </c>
      <c r="X946" t="s">
        <v>306</v>
      </c>
      <c r="Y946" t="s">
        <v>307</v>
      </c>
      <c r="Z946">
        <v>65</v>
      </c>
      <c r="AA946">
        <v>76</v>
      </c>
      <c r="AB946" t="s">
        <v>143</v>
      </c>
      <c r="AC946" t="s">
        <v>336</v>
      </c>
      <c r="AD946" t="s">
        <v>278</v>
      </c>
      <c r="AE946" t="str">
        <f>IF(AF946="","",VLOOKUP(AC946,mapel!$A$2:$B$42,2,FALSE))</f>
        <v>Pancasila</v>
      </c>
      <c r="AF946">
        <f t="shared" si="42"/>
        <v>76</v>
      </c>
      <c r="AG946" t="str">
        <f>IF(AF946="","",IF(AF946&gt;90,"Sangat baik",IF(AF946&gt;79,"Baik",IF(AF946&gt;=pub_gid_0_single_true_output_csv[[#This Row],[KKM]],"Cukup","Kurang"))))</f>
        <v>Cukup</v>
      </c>
      <c r="AH946">
        <f t="shared" si="43"/>
        <v>11</v>
      </c>
      <c r="AI946" s="30" t="str">
        <f>IF(OR(J946&lt;&gt;"Karakter",pub_gid_0_single_true_output_csv[[#This Row],[Nilai2]]=""),"",IF(AF946&gt;89,"Sangat baik",IF(AF946&gt;79,"Baik",IF(AF946&gt;69,"Cukup",IF(AF946&gt;59,"Kurang","Sangat kurang")))))</f>
        <v/>
      </c>
      <c r="AJ946" t="str">
        <f t="shared" si="44"/>
        <v>Wk.5</v>
      </c>
      <c r="AK946" t="str">
        <f>IF(pub_gid_0_single_true_output_csv[[#This Row],[Nilai2]]="","",VLOOKUP(pub_gid_0_single_true_output_csv[[#This Row],[NAMA]],Table7[],3,FALSE))</f>
        <v>High average</v>
      </c>
    </row>
    <row r="947" spans="1:37" x14ac:dyDescent="0.2">
      <c r="A947">
        <v>946</v>
      </c>
      <c r="B947" t="s">
        <v>291</v>
      </c>
      <c r="C947" t="s">
        <v>54</v>
      </c>
      <c r="D947" t="s">
        <v>43</v>
      </c>
      <c r="E947" t="s">
        <v>146</v>
      </c>
      <c r="F947" s="25">
        <v>46055</v>
      </c>
      <c r="G947" t="s">
        <v>379</v>
      </c>
      <c r="H947" t="s">
        <v>412</v>
      </c>
      <c r="I947" t="s">
        <v>371</v>
      </c>
      <c r="J947" t="s">
        <v>90</v>
      </c>
      <c r="K947" t="s">
        <v>377</v>
      </c>
      <c r="L947" t="s">
        <v>400</v>
      </c>
      <c r="M947" t="s">
        <v>141</v>
      </c>
      <c r="N947" t="s">
        <v>142</v>
      </c>
      <c r="O947" t="s">
        <v>155</v>
      </c>
      <c r="P947" t="s">
        <v>281</v>
      </c>
      <c r="Q947" t="s">
        <v>155</v>
      </c>
      <c r="R947" t="s">
        <v>302</v>
      </c>
      <c r="S947" t="s">
        <v>345</v>
      </c>
      <c r="T947">
        <v>1</v>
      </c>
      <c r="U947" t="s">
        <v>431</v>
      </c>
      <c r="V947" t="s">
        <v>343</v>
      </c>
      <c r="W947" t="s">
        <v>434</v>
      </c>
      <c r="X947" t="s">
        <v>306</v>
      </c>
      <c r="Y947" t="s">
        <v>307</v>
      </c>
      <c r="Z947">
        <v>65</v>
      </c>
      <c r="AA947">
        <v>80</v>
      </c>
      <c r="AB947" t="s">
        <v>143</v>
      </c>
      <c r="AC947" t="s">
        <v>336</v>
      </c>
      <c r="AD947" t="s">
        <v>278</v>
      </c>
      <c r="AE947" t="str">
        <f>IF(AF947="","",VLOOKUP(AC947,mapel!$A$2:$B$42,2,FALSE))</f>
        <v>Pancasila</v>
      </c>
      <c r="AF947">
        <f t="shared" si="42"/>
        <v>80</v>
      </c>
      <c r="AG947" t="str">
        <f>IF(AF947="","",IF(AF947&gt;90,"Sangat baik",IF(AF947&gt;79,"Baik",IF(AF947&gt;=pub_gid_0_single_true_output_csv[[#This Row],[KKM]],"Cukup","Kurang"))))</f>
        <v>Baik</v>
      </c>
      <c r="AH947">
        <f t="shared" si="43"/>
        <v>11</v>
      </c>
      <c r="AI947" s="30" t="str">
        <f>IF(OR(J947&lt;&gt;"Karakter",pub_gid_0_single_true_output_csv[[#This Row],[Nilai2]]=""),"",IF(AF947&gt;89,"Sangat baik",IF(AF947&gt;79,"Baik",IF(AF947&gt;69,"Cukup",IF(AF947&gt;59,"Kurang","Sangat kurang")))))</f>
        <v>Baik</v>
      </c>
      <c r="AJ947" t="str">
        <f t="shared" si="44"/>
        <v>Wk.6</v>
      </c>
      <c r="AK947" t="str">
        <f>IF(pub_gid_0_single_true_output_csv[[#This Row],[Nilai2]]="","",VLOOKUP(pub_gid_0_single_true_output_csv[[#This Row],[NAMA]],Table7[],3,FALSE))</f>
        <v>High average</v>
      </c>
    </row>
    <row r="948" spans="1:37" x14ac:dyDescent="0.2">
      <c r="A948">
        <v>947</v>
      </c>
      <c r="B948" t="s">
        <v>291</v>
      </c>
      <c r="C948" t="s">
        <v>54</v>
      </c>
      <c r="D948" t="s">
        <v>43</v>
      </c>
      <c r="E948" t="s">
        <v>146</v>
      </c>
      <c r="F948" s="25">
        <v>46055</v>
      </c>
      <c r="G948" t="s">
        <v>379</v>
      </c>
      <c r="H948" t="s">
        <v>412</v>
      </c>
      <c r="I948" t="s">
        <v>371</v>
      </c>
      <c r="J948" t="s">
        <v>279</v>
      </c>
      <c r="K948" t="s">
        <v>280</v>
      </c>
      <c r="L948" t="s">
        <v>322</v>
      </c>
      <c r="M948" t="s">
        <v>141</v>
      </c>
      <c r="N948" t="s">
        <v>142</v>
      </c>
      <c r="O948" t="s">
        <v>155</v>
      </c>
      <c r="P948" t="s">
        <v>281</v>
      </c>
      <c r="Q948" t="s">
        <v>155</v>
      </c>
      <c r="R948" t="s">
        <v>302</v>
      </c>
      <c r="S948" t="s">
        <v>345</v>
      </c>
      <c r="T948">
        <v>1</v>
      </c>
      <c r="U948" t="s">
        <v>431</v>
      </c>
      <c r="V948" t="s">
        <v>343</v>
      </c>
      <c r="W948" t="s">
        <v>434</v>
      </c>
      <c r="X948" t="s">
        <v>306</v>
      </c>
      <c r="Y948" t="s">
        <v>307</v>
      </c>
      <c r="Z948">
        <v>65</v>
      </c>
      <c r="AA948">
        <v>80</v>
      </c>
      <c r="AB948" t="s">
        <v>143</v>
      </c>
      <c r="AC948" t="s">
        <v>336</v>
      </c>
      <c r="AD948" t="s">
        <v>278</v>
      </c>
      <c r="AE948" t="str">
        <f>IF(AF948="","",VLOOKUP(AC948,mapel!$A$2:$B$42,2,FALSE))</f>
        <v>Pancasila</v>
      </c>
      <c r="AF948">
        <f t="shared" si="42"/>
        <v>80</v>
      </c>
      <c r="AG948" t="str">
        <f>IF(AF948="","",IF(AF948&gt;90,"Sangat baik",IF(AF948&gt;79,"Baik",IF(AF948&gt;=pub_gid_0_single_true_output_csv[[#This Row],[KKM]],"Cukup","Kurang"))))</f>
        <v>Baik</v>
      </c>
      <c r="AH948">
        <f t="shared" si="43"/>
        <v>11</v>
      </c>
      <c r="AI948" s="30" t="str">
        <f>IF(OR(J948&lt;&gt;"Karakter",pub_gid_0_single_true_output_csv[[#This Row],[Nilai2]]=""),"",IF(AF948&gt;89,"Sangat baik",IF(AF948&gt;79,"Baik",IF(AF948&gt;69,"Cukup",IF(AF948&gt;59,"Kurang","Sangat kurang")))))</f>
        <v/>
      </c>
      <c r="AJ948" t="str">
        <f t="shared" si="44"/>
        <v>Wk.6</v>
      </c>
      <c r="AK948" t="str">
        <f>IF(pub_gid_0_single_true_output_csv[[#This Row],[Nilai2]]="","",VLOOKUP(pub_gid_0_single_true_output_csv[[#This Row],[NAMA]],Table7[],3,FALSE))</f>
        <v>High average</v>
      </c>
    </row>
    <row r="949" spans="1:37" x14ac:dyDescent="0.2">
      <c r="A949">
        <v>948</v>
      </c>
      <c r="B949" t="s">
        <v>291</v>
      </c>
      <c r="C949" t="s">
        <v>54</v>
      </c>
      <c r="D949" t="s">
        <v>43</v>
      </c>
      <c r="E949" t="s">
        <v>146</v>
      </c>
      <c r="F949" s="25">
        <v>46055</v>
      </c>
      <c r="G949" t="s">
        <v>379</v>
      </c>
      <c r="H949" t="s">
        <v>412</v>
      </c>
      <c r="I949" t="s">
        <v>371</v>
      </c>
      <c r="J949" t="s">
        <v>41</v>
      </c>
      <c r="K949" t="s">
        <v>365</v>
      </c>
      <c r="L949" t="s">
        <v>351</v>
      </c>
      <c r="M949" t="s">
        <v>141</v>
      </c>
      <c r="N949" t="s">
        <v>142</v>
      </c>
      <c r="O949" t="s">
        <v>155</v>
      </c>
      <c r="P949" t="s">
        <v>281</v>
      </c>
      <c r="Q949" t="s">
        <v>155</v>
      </c>
      <c r="R949" t="s">
        <v>302</v>
      </c>
      <c r="S949" t="s">
        <v>345</v>
      </c>
      <c r="T949">
        <v>1</v>
      </c>
      <c r="U949" t="s">
        <v>431</v>
      </c>
      <c r="V949" t="s">
        <v>343</v>
      </c>
      <c r="W949" t="s">
        <v>434</v>
      </c>
      <c r="X949" t="s">
        <v>306</v>
      </c>
      <c r="Y949" t="s">
        <v>307</v>
      </c>
      <c r="Z949">
        <v>65</v>
      </c>
      <c r="AA949">
        <v>77</v>
      </c>
      <c r="AB949" t="s">
        <v>143</v>
      </c>
      <c r="AC949" t="s">
        <v>336</v>
      </c>
      <c r="AD949" t="s">
        <v>278</v>
      </c>
      <c r="AE949" t="str">
        <f>IF(AF949="","",VLOOKUP(AC949,mapel!$A$2:$B$42,2,FALSE))</f>
        <v>Pancasila</v>
      </c>
      <c r="AF949">
        <f t="shared" si="42"/>
        <v>77</v>
      </c>
      <c r="AG949" t="str">
        <f>IF(AF949="","",IF(AF949&gt;90,"Sangat baik",IF(AF949&gt;79,"Baik",IF(AF949&gt;=pub_gid_0_single_true_output_csv[[#This Row],[KKM]],"Cukup","Kurang"))))</f>
        <v>Cukup</v>
      </c>
      <c r="AH949">
        <f t="shared" si="43"/>
        <v>11</v>
      </c>
      <c r="AI949" s="30" t="str">
        <f>IF(OR(J949&lt;&gt;"Karakter",pub_gid_0_single_true_output_csv[[#This Row],[Nilai2]]=""),"",IF(AF949&gt;89,"Sangat baik",IF(AF949&gt;79,"Baik",IF(AF949&gt;69,"Cukup",IF(AF949&gt;59,"Kurang","Sangat kurang")))))</f>
        <v/>
      </c>
      <c r="AJ949" t="str">
        <f t="shared" si="44"/>
        <v>Wk.6</v>
      </c>
      <c r="AK949" t="str">
        <f>IF(pub_gid_0_single_true_output_csv[[#This Row],[Nilai2]]="","",VLOOKUP(pub_gid_0_single_true_output_csv[[#This Row],[NAMA]],Table7[],3,FALSE))</f>
        <v>High average</v>
      </c>
    </row>
    <row r="950" spans="1:37" x14ac:dyDescent="0.2">
      <c r="A950">
        <v>949</v>
      </c>
      <c r="B950" t="s">
        <v>291</v>
      </c>
      <c r="C950" t="s">
        <v>54</v>
      </c>
      <c r="D950" t="s">
        <v>43</v>
      </c>
      <c r="E950" t="s">
        <v>146</v>
      </c>
      <c r="F950" s="25">
        <v>46055</v>
      </c>
      <c r="G950" t="s">
        <v>379</v>
      </c>
      <c r="H950" t="s">
        <v>412</v>
      </c>
      <c r="I950" t="s">
        <v>371</v>
      </c>
      <c r="J950" t="s">
        <v>31</v>
      </c>
      <c r="K950" t="s">
        <v>96</v>
      </c>
      <c r="L950" t="s">
        <v>351</v>
      </c>
      <c r="M950" t="s">
        <v>141</v>
      </c>
      <c r="N950" t="s">
        <v>142</v>
      </c>
      <c r="O950" t="s">
        <v>155</v>
      </c>
      <c r="P950" t="s">
        <v>281</v>
      </c>
      <c r="Q950" t="s">
        <v>155</v>
      </c>
      <c r="R950" t="s">
        <v>302</v>
      </c>
      <c r="S950" t="s">
        <v>345</v>
      </c>
      <c r="T950">
        <v>1</v>
      </c>
      <c r="U950" t="s">
        <v>431</v>
      </c>
      <c r="V950" t="s">
        <v>343</v>
      </c>
      <c r="W950" t="s">
        <v>434</v>
      </c>
      <c r="X950" t="s">
        <v>306</v>
      </c>
      <c r="Y950" t="s">
        <v>307</v>
      </c>
      <c r="Z950">
        <v>65</v>
      </c>
      <c r="AA950">
        <v>85</v>
      </c>
      <c r="AB950" t="s">
        <v>143</v>
      </c>
      <c r="AC950" t="s">
        <v>336</v>
      </c>
      <c r="AD950" t="s">
        <v>278</v>
      </c>
      <c r="AE950" t="str">
        <f>IF(AF950="","",VLOOKUP(AC950,mapel!$A$2:$B$42,2,FALSE))</f>
        <v>Pancasila</v>
      </c>
      <c r="AF950">
        <f t="shared" si="42"/>
        <v>85</v>
      </c>
      <c r="AG950" t="str">
        <f>IF(AF950="","",IF(AF950&gt;90,"Sangat baik",IF(AF950&gt;79,"Baik",IF(AF950&gt;=pub_gid_0_single_true_output_csv[[#This Row],[KKM]],"Cukup","Kurang"))))</f>
        <v>Baik</v>
      </c>
      <c r="AH950">
        <f t="shared" si="43"/>
        <v>11</v>
      </c>
      <c r="AI950" s="30" t="str">
        <f>IF(OR(J950&lt;&gt;"Karakter",pub_gid_0_single_true_output_csv[[#This Row],[Nilai2]]=""),"",IF(AF950&gt;89,"Sangat baik",IF(AF950&gt;79,"Baik",IF(AF950&gt;69,"Cukup",IF(AF950&gt;59,"Kurang","Sangat kurang")))))</f>
        <v/>
      </c>
      <c r="AJ950" t="str">
        <f t="shared" si="44"/>
        <v>Wk.6</v>
      </c>
      <c r="AK950" t="str">
        <f>IF(pub_gid_0_single_true_output_csv[[#This Row],[Nilai2]]="","",VLOOKUP(pub_gid_0_single_true_output_csv[[#This Row],[NAMA]],Table7[],3,FALSE))</f>
        <v>High average</v>
      </c>
    </row>
    <row r="951" spans="1:37" x14ac:dyDescent="0.2">
      <c r="A951">
        <v>950</v>
      </c>
      <c r="B951" t="s">
        <v>291</v>
      </c>
      <c r="C951" t="s">
        <v>54</v>
      </c>
      <c r="D951" t="s">
        <v>43</v>
      </c>
      <c r="E951" t="s">
        <v>146</v>
      </c>
      <c r="F951" s="25">
        <v>46055</v>
      </c>
      <c r="G951" t="s">
        <v>379</v>
      </c>
      <c r="H951" t="s">
        <v>412</v>
      </c>
      <c r="I951" t="s">
        <v>371</v>
      </c>
      <c r="J951" t="s">
        <v>36</v>
      </c>
      <c r="K951" t="s">
        <v>37</v>
      </c>
      <c r="L951" t="s">
        <v>324</v>
      </c>
      <c r="M951" t="s">
        <v>141</v>
      </c>
      <c r="N951" t="s">
        <v>142</v>
      </c>
      <c r="O951" t="s">
        <v>155</v>
      </c>
      <c r="P951" t="s">
        <v>281</v>
      </c>
      <c r="Q951" t="s">
        <v>155</v>
      </c>
      <c r="R951" t="s">
        <v>302</v>
      </c>
      <c r="S951" t="s">
        <v>345</v>
      </c>
      <c r="T951">
        <v>1</v>
      </c>
      <c r="U951" t="s">
        <v>431</v>
      </c>
      <c r="V951" t="s">
        <v>343</v>
      </c>
      <c r="W951" t="s">
        <v>434</v>
      </c>
      <c r="X951" t="s">
        <v>306</v>
      </c>
      <c r="Y951" t="s">
        <v>307</v>
      </c>
      <c r="Z951">
        <v>65</v>
      </c>
      <c r="AA951">
        <v>85</v>
      </c>
      <c r="AB951" t="s">
        <v>143</v>
      </c>
      <c r="AC951" t="s">
        <v>336</v>
      </c>
      <c r="AD951" t="s">
        <v>278</v>
      </c>
      <c r="AE951" t="str">
        <f>IF(AF951="","",VLOOKUP(AC951,mapel!$A$2:$B$42,2,FALSE))</f>
        <v>Pancasila</v>
      </c>
      <c r="AF951">
        <f t="shared" si="42"/>
        <v>85</v>
      </c>
      <c r="AG951" t="str">
        <f>IF(AF951="","",IF(AF951&gt;90,"Sangat baik",IF(AF951&gt;79,"Baik",IF(AF951&gt;=pub_gid_0_single_true_output_csv[[#This Row],[KKM]],"Cukup","Kurang"))))</f>
        <v>Baik</v>
      </c>
      <c r="AH951">
        <f t="shared" si="43"/>
        <v>11</v>
      </c>
      <c r="AI951" s="30" t="str">
        <f>IF(OR(J951&lt;&gt;"Karakter",pub_gid_0_single_true_output_csv[[#This Row],[Nilai2]]=""),"",IF(AF951&gt;89,"Sangat baik",IF(AF951&gt;79,"Baik",IF(AF951&gt;69,"Cukup",IF(AF951&gt;59,"Kurang","Sangat kurang")))))</f>
        <v/>
      </c>
      <c r="AJ951" t="str">
        <f t="shared" si="44"/>
        <v>Wk.6</v>
      </c>
      <c r="AK951" t="str">
        <f>IF(pub_gid_0_single_true_output_csv[[#This Row],[Nilai2]]="","",VLOOKUP(pub_gid_0_single_true_output_csv[[#This Row],[NAMA]],Table7[],3,FALSE))</f>
        <v>High average</v>
      </c>
    </row>
    <row r="952" spans="1:37" x14ac:dyDescent="0.2">
      <c r="A952">
        <v>951</v>
      </c>
      <c r="B952" t="s">
        <v>291</v>
      </c>
      <c r="C952" t="s">
        <v>54</v>
      </c>
      <c r="D952" t="s">
        <v>43</v>
      </c>
      <c r="E952" t="s">
        <v>146</v>
      </c>
      <c r="F952" s="25">
        <v>46062</v>
      </c>
      <c r="G952" t="s">
        <v>376</v>
      </c>
      <c r="H952" t="s">
        <v>412</v>
      </c>
      <c r="I952" t="s">
        <v>371</v>
      </c>
      <c r="J952" t="s">
        <v>36</v>
      </c>
      <c r="K952" t="s">
        <v>362</v>
      </c>
      <c r="L952" t="s">
        <v>363</v>
      </c>
      <c r="M952" t="s">
        <v>141</v>
      </c>
      <c r="N952" t="s">
        <v>142</v>
      </c>
      <c r="O952" t="s">
        <v>155</v>
      </c>
      <c r="P952" t="s">
        <v>281</v>
      </c>
      <c r="Q952" t="s">
        <v>155</v>
      </c>
      <c r="R952" t="s">
        <v>302</v>
      </c>
      <c r="S952" t="s">
        <v>309</v>
      </c>
      <c r="T952">
        <v>1</v>
      </c>
      <c r="U952" t="s">
        <v>431</v>
      </c>
      <c r="V952" t="s">
        <v>285</v>
      </c>
      <c r="W952" t="s">
        <v>432</v>
      </c>
      <c r="X952" t="s">
        <v>306</v>
      </c>
      <c r="Y952" t="s">
        <v>307</v>
      </c>
      <c r="Z952">
        <v>65</v>
      </c>
      <c r="AA952">
        <v>88</v>
      </c>
      <c r="AB952" t="s">
        <v>143</v>
      </c>
      <c r="AC952" t="s">
        <v>336</v>
      </c>
      <c r="AD952" t="s">
        <v>278</v>
      </c>
      <c r="AE952" t="str">
        <f>IF(AF952="","",VLOOKUP(AC952,mapel!$A$2:$B$42,2,FALSE))</f>
        <v>Pancasila</v>
      </c>
      <c r="AF952">
        <f t="shared" si="42"/>
        <v>88</v>
      </c>
      <c r="AG952" t="str">
        <f>IF(AF952="","",IF(AF952&gt;90,"Sangat baik",IF(AF952&gt;79,"Baik",IF(AF952&gt;=pub_gid_0_single_true_output_csv[[#This Row],[KKM]],"Cukup","Kurang"))))</f>
        <v>Baik</v>
      </c>
      <c r="AH952">
        <f t="shared" si="43"/>
        <v>11</v>
      </c>
      <c r="AI952" s="30" t="str">
        <f>IF(OR(J952&lt;&gt;"Karakter",pub_gid_0_single_true_output_csv[[#This Row],[Nilai2]]=""),"",IF(AF952&gt;89,"Sangat baik",IF(AF952&gt;79,"Baik",IF(AF952&gt;69,"Cukup",IF(AF952&gt;59,"Kurang","Sangat kurang")))))</f>
        <v/>
      </c>
      <c r="AJ952" t="str">
        <f t="shared" si="44"/>
        <v>Wk.7</v>
      </c>
      <c r="AK952" t="str">
        <f>IF(pub_gid_0_single_true_output_csv[[#This Row],[Nilai2]]="","",VLOOKUP(pub_gid_0_single_true_output_csv[[#This Row],[NAMA]],Table7[],3,FALSE))</f>
        <v>High average</v>
      </c>
    </row>
    <row r="953" spans="1:37" x14ac:dyDescent="0.2">
      <c r="A953">
        <v>952</v>
      </c>
      <c r="B953" t="s">
        <v>291</v>
      </c>
      <c r="C953" t="s">
        <v>54</v>
      </c>
      <c r="D953" t="s">
        <v>43</v>
      </c>
      <c r="E953" t="s">
        <v>146</v>
      </c>
      <c r="F953" s="25">
        <v>46062</v>
      </c>
      <c r="G953" t="s">
        <v>376</v>
      </c>
      <c r="H953" t="s">
        <v>412</v>
      </c>
      <c r="I953" t="s">
        <v>371</v>
      </c>
      <c r="J953" t="s">
        <v>36</v>
      </c>
      <c r="K953" t="s">
        <v>362</v>
      </c>
      <c r="L953" t="s">
        <v>363</v>
      </c>
      <c r="M953" t="s">
        <v>141</v>
      </c>
      <c r="N953" t="s">
        <v>142</v>
      </c>
      <c r="O953" t="s">
        <v>155</v>
      </c>
      <c r="P953" t="s">
        <v>281</v>
      </c>
      <c r="Q953" t="s">
        <v>155</v>
      </c>
      <c r="R953" t="s">
        <v>302</v>
      </c>
      <c r="S953" t="s">
        <v>369</v>
      </c>
      <c r="T953">
        <v>1</v>
      </c>
      <c r="U953" t="s">
        <v>431</v>
      </c>
      <c r="V953" t="s">
        <v>342</v>
      </c>
      <c r="W953" t="s">
        <v>433</v>
      </c>
      <c r="X953" t="s">
        <v>306</v>
      </c>
      <c r="Y953" t="s">
        <v>307</v>
      </c>
      <c r="Z953">
        <v>65</v>
      </c>
      <c r="AA953">
        <v>90</v>
      </c>
      <c r="AB953" t="s">
        <v>143</v>
      </c>
      <c r="AC953" t="s">
        <v>336</v>
      </c>
      <c r="AD953" t="s">
        <v>278</v>
      </c>
      <c r="AE953" t="str">
        <f>IF(AF953="","",VLOOKUP(AC953,mapel!$A$2:$B$42,2,FALSE))</f>
        <v>Pancasila</v>
      </c>
      <c r="AF953">
        <f t="shared" si="42"/>
        <v>90</v>
      </c>
      <c r="AG953" t="str">
        <f>IF(AF953="","",IF(AF953&gt;90,"Sangat baik",IF(AF953&gt;79,"Baik",IF(AF953&gt;=pub_gid_0_single_true_output_csv[[#This Row],[KKM]],"Cukup","Kurang"))))</f>
        <v>Baik</v>
      </c>
      <c r="AH953">
        <f t="shared" si="43"/>
        <v>11</v>
      </c>
      <c r="AI953" s="30" t="str">
        <f>IF(OR(J953&lt;&gt;"Karakter",pub_gid_0_single_true_output_csv[[#This Row],[Nilai2]]=""),"",IF(AF953&gt;89,"Sangat baik",IF(AF953&gt;79,"Baik",IF(AF953&gt;69,"Cukup",IF(AF953&gt;59,"Kurang","Sangat kurang")))))</f>
        <v/>
      </c>
      <c r="AJ953" t="str">
        <f t="shared" si="44"/>
        <v>Wk.7</v>
      </c>
      <c r="AK953" t="str">
        <f>IF(pub_gid_0_single_true_output_csv[[#This Row],[Nilai2]]="","",VLOOKUP(pub_gid_0_single_true_output_csv[[#This Row],[NAMA]],Table7[],3,FALSE))</f>
        <v>High average</v>
      </c>
    </row>
    <row r="954" spans="1:37" x14ac:dyDescent="0.2">
      <c r="A954">
        <v>953</v>
      </c>
      <c r="B954" t="s">
        <v>291</v>
      </c>
      <c r="C954" t="s">
        <v>54</v>
      </c>
      <c r="D954" t="s">
        <v>43</v>
      </c>
      <c r="E954" t="s">
        <v>146</v>
      </c>
      <c r="F954" s="25">
        <v>46059</v>
      </c>
      <c r="G954" t="s">
        <v>349</v>
      </c>
      <c r="H954" t="s">
        <v>412</v>
      </c>
      <c r="I954" t="s">
        <v>371</v>
      </c>
      <c r="J954" t="s">
        <v>41</v>
      </c>
      <c r="K954" t="s">
        <v>357</v>
      </c>
      <c r="L954" t="s">
        <v>351</v>
      </c>
      <c r="M954" t="s">
        <v>141</v>
      </c>
      <c r="N954" t="s">
        <v>142</v>
      </c>
      <c r="O954" t="s">
        <v>155</v>
      </c>
      <c r="P954" t="s">
        <v>281</v>
      </c>
      <c r="Q954" t="s">
        <v>155</v>
      </c>
      <c r="R954" t="s">
        <v>302</v>
      </c>
      <c r="S954" t="s">
        <v>345</v>
      </c>
      <c r="T954">
        <v>1</v>
      </c>
      <c r="U954" t="s">
        <v>431</v>
      </c>
      <c r="V954" t="s">
        <v>343</v>
      </c>
      <c r="W954" t="s">
        <v>434</v>
      </c>
      <c r="X954" t="s">
        <v>306</v>
      </c>
      <c r="Y954" t="s">
        <v>307</v>
      </c>
      <c r="Z954">
        <v>65</v>
      </c>
      <c r="AA954">
        <v>75</v>
      </c>
      <c r="AB954" t="s">
        <v>143</v>
      </c>
      <c r="AC954" t="s">
        <v>336</v>
      </c>
      <c r="AD954" t="s">
        <v>278</v>
      </c>
      <c r="AE954" t="str">
        <f>IF(AF954="","",VLOOKUP(AC954,mapel!$A$2:$B$42,2,FALSE))</f>
        <v>Pancasila</v>
      </c>
      <c r="AF954">
        <f t="shared" si="42"/>
        <v>75</v>
      </c>
      <c r="AG954" t="str">
        <f>IF(AF954="","",IF(AF954&gt;90,"Sangat baik",IF(AF954&gt;79,"Baik",IF(AF954&gt;=pub_gid_0_single_true_output_csv[[#This Row],[KKM]],"Cukup","Kurang"))))</f>
        <v>Cukup</v>
      </c>
      <c r="AH954">
        <f t="shared" si="43"/>
        <v>11</v>
      </c>
      <c r="AI954" s="30" t="str">
        <f>IF(OR(J954&lt;&gt;"Karakter",pub_gid_0_single_true_output_csv[[#This Row],[Nilai2]]=""),"",IF(AF954&gt;89,"Sangat baik",IF(AF954&gt;79,"Baik",IF(AF954&gt;69,"Cukup",IF(AF954&gt;59,"Kurang","Sangat kurang")))))</f>
        <v/>
      </c>
      <c r="AJ954" t="str">
        <f t="shared" si="44"/>
        <v>Wk.6</v>
      </c>
      <c r="AK954" t="str">
        <f>IF(pub_gid_0_single_true_output_csv[[#This Row],[Nilai2]]="","",VLOOKUP(pub_gid_0_single_true_output_csv[[#This Row],[NAMA]],Table7[],3,FALSE))</f>
        <v>High average</v>
      </c>
    </row>
    <row r="955" spans="1:37" x14ac:dyDescent="0.2">
      <c r="A955">
        <v>954</v>
      </c>
      <c r="B955" t="s">
        <v>291</v>
      </c>
      <c r="C955" t="s">
        <v>54</v>
      </c>
      <c r="D955" t="s">
        <v>43</v>
      </c>
      <c r="E955" t="s">
        <v>146</v>
      </c>
      <c r="F955" s="25">
        <v>46059</v>
      </c>
      <c r="G955" t="s">
        <v>349</v>
      </c>
      <c r="H955" t="s">
        <v>412</v>
      </c>
      <c r="I955" t="s">
        <v>371</v>
      </c>
      <c r="J955" t="s">
        <v>36</v>
      </c>
      <c r="K955" t="s">
        <v>37</v>
      </c>
      <c r="L955" t="s">
        <v>351</v>
      </c>
      <c r="M955" t="s">
        <v>141</v>
      </c>
      <c r="N955" t="s">
        <v>142</v>
      </c>
      <c r="O955" t="s">
        <v>155</v>
      </c>
      <c r="P955" t="s">
        <v>281</v>
      </c>
      <c r="Q955" t="s">
        <v>155</v>
      </c>
      <c r="R955" t="s">
        <v>302</v>
      </c>
      <c r="S955" t="s">
        <v>345</v>
      </c>
      <c r="T955">
        <v>1</v>
      </c>
      <c r="U955" t="s">
        <v>431</v>
      </c>
      <c r="V955" t="s">
        <v>343</v>
      </c>
      <c r="W955" t="s">
        <v>434</v>
      </c>
      <c r="X955" t="s">
        <v>306</v>
      </c>
      <c r="Y955" t="s">
        <v>307</v>
      </c>
      <c r="Z955">
        <v>65</v>
      </c>
      <c r="AA955">
        <v>76</v>
      </c>
      <c r="AB955" t="s">
        <v>143</v>
      </c>
      <c r="AC955" t="s">
        <v>336</v>
      </c>
      <c r="AD955" t="s">
        <v>278</v>
      </c>
      <c r="AE955" t="str">
        <f>IF(AF955="","",VLOOKUP(AC955,mapel!$A$2:$B$42,2,FALSE))</f>
        <v>Pancasila</v>
      </c>
      <c r="AF955">
        <f t="shared" si="42"/>
        <v>76</v>
      </c>
      <c r="AG955" t="str">
        <f>IF(AF955="","",IF(AF955&gt;90,"Sangat baik",IF(AF955&gt;79,"Baik",IF(AF955&gt;=pub_gid_0_single_true_output_csv[[#This Row],[KKM]],"Cukup","Kurang"))))</f>
        <v>Cukup</v>
      </c>
      <c r="AH955">
        <f t="shared" si="43"/>
        <v>11</v>
      </c>
      <c r="AI955" s="30" t="str">
        <f>IF(OR(J955&lt;&gt;"Karakter",pub_gid_0_single_true_output_csv[[#This Row],[Nilai2]]=""),"",IF(AF955&gt;89,"Sangat baik",IF(AF955&gt;79,"Baik",IF(AF955&gt;69,"Cukup",IF(AF955&gt;59,"Kurang","Sangat kurang")))))</f>
        <v/>
      </c>
      <c r="AJ955" t="str">
        <f t="shared" si="44"/>
        <v>Wk.6</v>
      </c>
      <c r="AK955" t="str">
        <f>IF(pub_gid_0_single_true_output_csv[[#This Row],[Nilai2]]="","",VLOOKUP(pub_gid_0_single_true_output_csv[[#This Row],[NAMA]],Table7[],3,FALSE))</f>
        <v>High average</v>
      </c>
    </row>
    <row r="956" spans="1:37" x14ac:dyDescent="0.2">
      <c r="A956">
        <v>955</v>
      </c>
      <c r="B956" t="s">
        <v>282</v>
      </c>
      <c r="C956" t="s">
        <v>54</v>
      </c>
      <c r="D956" t="s">
        <v>283</v>
      </c>
      <c r="E956" t="s">
        <v>140</v>
      </c>
      <c r="F956" s="25">
        <v>46034</v>
      </c>
      <c r="G956" t="s">
        <v>354</v>
      </c>
      <c r="H956" t="s">
        <v>405</v>
      </c>
      <c r="I956" t="s">
        <v>371</v>
      </c>
      <c r="J956" t="s">
        <v>90</v>
      </c>
      <c r="K956" t="s">
        <v>92</v>
      </c>
      <c r="L956" t="s">
        <v>398</v>
      </c>
      <c r="M956" t="s">
        <v>141</v>
      </c>
      <c r="N956" t="s">
        <v>142</v>
      </c>
      <c r="O956" t="s">
        <v>155</v>
      </c>
      <c r="P956" t="s">
        <v>281</v>
      </c>
      <c r="Q956" t="s">
        <v>155</v>
      </c>
      <c r="R956" t="s">
        <v>302</v>
      </c>
      <c r="S956" t="s">
        <v>309</v>
      </c>
      <c r="T956">
        <v>1</v>
      </c>
      <c r="U956" t="s">
        <v>431</v>
      </c>
      <c r="V956" t="s">
        <v>285</v>
      </c>
      <c r="W956" t="s">
        <v>432</v>
      </c>
      <c r="X956" t="s">
        <v>306</v>
      </c>
      <c r="Y956" t="s">
        <v>307</v>
      </c>
      <c r="Z956">
        <v>65</v>
      </c>
      <c r="AA956">
        <v>74</v>
      </c>
      <c r="AB956" t="s">
        <v>143</v>
      </c>
      <c r="AC956" t="s">
        <v>336</v>
      </c>
      <c r="AD956" t="s">
        <v>278</v>
      </c>
      <c r="AE956" t="str">
        <f>IF(AF956="","",VLOOKUP(AC956,mapel!$A$2:$B$42,2,FALSE))</f>
        <v>Pancasila</v>
      </c>
      <c r="AF956">
        <f t="shared" si="42"/>
        <v>74</v>
      </c>
      <c r="AG956" t="str">
        <f>IF(AF956="","",IF(AF956&gt;90,"Sangat baik",IF(AF956&gt;79,"Baik",IF(AF956&gt;=pub_gid_0_single_true_output_csv[[#This Row],[KKM]],"Cukup","Kurang"))))</f>
        <v>Cukup</v>
      </c>
      <c r="AH956">
        <f t="shared" si="43"/>
        <v>11</v>
      </c>
      <c r="AI956" s="30" t="str">
        <f>IF(OR(J956&lt;&gt;"Karakter",pub_gid_0_single_true_output_csv[[#This Row],[Nilai2]]=""),"",IF(AF956&gt;89,"Sangat baik",IF(AF956&gt;79,"Baik",IF(AF956&gt;69,"Cukup",IF(AF956&gt;59,"Kurang","Sangat kurang")))))</f>
        <v>Cukup</v>
      </c>
      <c r="AJ956" t="str">
        <f t="shared" si="44"/>
        <v>Wk.3</v>
      </c>
      <c r="AK956" t="e">
        <f>IF(pub_gid_0_single_true_output_csv[[#This Row],[Nilai2]]="","",VLOOKUP(pub_gid_0_single_true_output_csv[[#This Row],[NAMA]],Table7[],3,FALSE))</f>
        <v>#N/A</v>
      </c>
    </row>
    <row r="957" spans="1:37" x14ac:dyDescent="0.2">
      <c r="A957">
        <v>956</v>
      </c>
      <c r="B957" t="s">
        <v>282</v>
      </c>
      <c r="C957" t="s">
        <v>54</v>
      </c>
      <c r="D957" t="s">
        <v>283</v>
      </c>
      <c r="E957" t="s">
        <v>140</v>
      </c>
      <c r="F957" s="25">
        <v>46034</v>
      </c>
      <c r="G957" t="s">
        <v>354</v>
      </c>
      <c r="H957" t="s">
        <v>405</v>
      </c>
      <c r="I957" t="s">
        <v>371</v>
      </c>
      <c r="J957" t="s">
        <v>36</v>
      </c>
      <c r="K957" t="s">
        <v>37</v>
      </c>
      <c r="L957" t="s">
        <v>150</v>
      </c>
      <c r="M957" t="s">
        <v>141</v>
      </c>
      <c r="N957" t="s">
        <v>142</v>
      </c>
      <c r="O957" t="s">
        <v>155</v>
      </c>
      <c r="P957" t="s">
        <v>281</v>
      </c>
      <c r="Q957" t="s">
        <v>155</v>
      </c>
      <c r="R957" t="s">
        <v>302</v>
      </c>
      <c r="S957" t="s">
        <v>309</v>
      </c>
      <c r="T957">
        <v>1</v>
      </c>
      <c r="U957" t="s">
        <v>431</v>
      </c>
      <c r="V957" t="s">
        <v>285</v>
      </c>
      <c r="W957" t="s">
        <v>432</v>
      </c>
      <c r="X957" t="s">
        <v>306</v>
      </c>
      <c r="Y957" t="s">
        <v>307</v>
      </c>
      <c r="Z957">
        <v>65</v>
      </c>
      <c r="AA957">
        <v>70</v>
      </c>
      <c r="AB957" t="s">
        <v>143</v>
      </c>
      <c r="AC957" t="s">
        <v>336</v>
      </c>
      <c r="AD957" t="s">
        <v>278</v>
      </c>
      <c r="AE957" t="str">
        <f>IF(AF957="","",VLOOKUP(AC957,mapel!$A$2:$B$42,2,FALSE))</f>
        <v>Pancasila</v>
      </c>
      <c r="AF957">
        <f t="shared" si="42"/>
        <v>70</v>
      </c>
      <c r="AG957" t="str">
        <f>IF(AF957="","",IF(AF957&gt;90,"Sangat baik",IF(AF957&gt;79,"Baik",IF(AF957&gt;=pub_gid_0_single_true_output_csv[[#This Row],[KKM]],"Cukup","Kurang"))))</f>
        <v>Cukup</v>
      </c>
      <c r="AH957">
        <f t="shared" si="43"/>
        <v>11</v>
      </c>
      <c r="AI957" s="30" t="str">
        <f>IF(OR(J957&lt;&gt;"Karakter",pub_gid_0_single_true_output_csv[[#This Row],[Nilai2]]=""),"",IF(AF957&gt;89,"Sangat baik",IF(AF957&gt;79,"Baik",IF(AF957&gt;69,"Cukup",IF(AF957&gt;59,"Kurang","Sangat kurang")))))</f>
        <v/>
      </c>
      <c r="AJ957" t="str">
        <f t="shared" si="44"/>
        <v>Wk.3</v>
      </c>
      <c r="AK957" t="e">
        <f>IF(pub_gid_0_single_true_output_csv[[#This Row],[Nilai2]]="","",VLOOKUP(pub_gid_0_single_true_output_csv[[#This Row],[NAMA]],Table7[],3,FALSE))</f>
        <v>#N/A</v>
      </c>
    </row>
    <row r="958" spans="1:37" x14ac:dyDescent="0.2">
      <c r="A958">
        <v>957</v>
      </c>
      <c r="B958" t="s">
        <v>282</v>
      </c>
      <c r="C958" t="s">
        <v>54</v>
      </c>
      <c r="D958" t="s">
        <v>283</v>
      </c>
      <c r="E958" t="s">
        <v>140</v>
      </c>
      <c r="F958" s="25">
        <v>46034</v>
      </c>
      <c r="G958" t="s">
        <v>354</v>
      </c>
      <c r="H958" t="s">
        <v>405</v>
      </c>
      <c r="I958" t="s">
        <v>371</v>
      </c>
      <c r="J958" t="s">
        <v>31</v>
      </c>
      <c r="K958" t="s">
        <v>32</v>
      </c>
      <c r="L958" t="s">
        <v>150</v>
      </c>
      <c r="M958" t="s">
        <v>141</v>
      </c>
      <c r="N958" t="s">
        <v>142</v>
      </c>
      <c r="O958" t="s">
        <v>155</v>
      </c>
      <c r="P958" t="s">
        <v>281</v>
      </c>
      <c r="Q958" t="s">
        <v>155</v>
      </c>
      <c r="R958" t="s">
        <v>302</v>
      </c>
      <c r="S958" t="s">
        <v>309</v>
      </c>
      <c r="T958">
        <v>1</v>
      </c>
      <c r="U958" t="s">
        <v>431</v>
      </c>
      <c r="V958" t="s">
        <v>285</v>
      </c>
      <c r="W958" t="s">
        <v>432</v>
      </c>
      <c r="X958" t="s">
        <v>306</v>
      </c>
      <c r="Y958" t="s">
        <v>307</v>
      </c>
      <c r="Z958">
        <v>65</v>
      </c>
      <c r="AA958">
        <v>73</v>
      </c>
      <c r="AB958" t="s">
        <v>143</v>
      </c>
      <c r="AC958" t="s">
        <v>336</v>
      </c>
      <c r="AD958" t="s">
        <v>278</v>
      </c>
      <c r="AE958" t="str">
        <f>IF(AF958="","",VLOOKUP(AC958,mapel!$A$2:$B$42,2,FALSE))</f>
        <v>Pancasila</v>
      </c>
      <c r="AF958">
        <f t="shared" si="42"/>
        <v>73</v>
      </c>
      <c r="AG958" t="str">
        <f>IF(AF958="","",IF(AF958&gt;90,"Sangat baik",IF(AF958&gt;79,"Baik",IF(AF958&gt;=pub_gid_0_single_true_output_csv[[#This Row],[KKM]],"Cukup","Kurang"))))</f>
        <v>Cukup</v>
      </c>
      <c r="AH958">
        <f t="shared" si="43"/>
        <v>11</v>
      </c>
      <c r="AI958" s="30" t="str">
        <f>IF(OR(J958&lt;&gt;"Karakter",pub_gid_0_single_true_output_csv[[#This Row],[Nilai2]]=""),"",IF(AF958&gt;89,"Sangat baik",IF(AF958&gt;79,"Baik",IF(AF958&gt;69,"Cukup",IF(AF958&gt;59,"Kurang","Sangat kurang")))))</f>
        <v/>
      </c>
      <c r="AJ958" t="str">
        <f t="shared" si="44"/>
        <v>Wk.3</v>
      </c>
      <c r="AK958" t="e">
        <f>IF(pub_gid_0_single_true_output_csv[[#This Row],[Nilai2]]="","",VLOOKUP(pub_gid_0_single_true_output_csv[[#This Row],[NAMA]],Table7[],3,FALSE))</f>
        <v>#N/A</v>
      </c>
    </row>
    <row r="959" spans="1:37" x14ac:dyDescent="0.2">
      <c r="A959">
        <v>958</v>
      </c>
      <c r="B959" t="s">
        <v>282</v>
      </c>
      <c r="C959" t="s">
        <v>54</v>
      </c>
      <c r="D959" t="s">
        <v>283</v>
      </c>
      <c r="E959" t="s">
        <v>140</v>
      </c>
      <c r="F959" s="25">
        <v>46034</v>
      </c>
      <c r="G959" t="s">
        <v>354</v>
      </c>
      <c r="H959" t="s">
        <v>405</v>
      </c>
      <c r="I959" t="s">
        <v>371</v>
      </c>
      <c r="J959" t="s">
        <v>279</v>
      </c>
      <c r="K959" t="s">
        <v>280</v>
      </c>
      <c r="L959" t="s">
        <v>322</v>
      </c>
      <c r="M959" t="s">
        <v>141</v>
      </c>
      <c r="N959" t="s">
        <v>142</v>
      </c>
      <c r="O959" t="s">
        <v>155</v>
      </c>
      <c r="P959" t="s">
        <v>281</v>
      </c>
      <c r="Q959" t="s">
        <v>155</v>
      </c>
      <c r="R959" t="s">
        <v>302</v>
      </c>
      <c r="S959" t="s">
        <v>309</v>
      </c>
      <c r="T959">
        <v>1</v>
      </c>
      <c r="U959" t="s">
        <v>431</v>
      </c>
      <c r="V959" t="s">
        <v>285</v>
      </c>
      <c r="W959" t="s">
        <v>432</v>
      </c>
      <c r="X959" t="s">
        <v>306</v>
      </c>
      <c r="Y959" t="s">
        <v>307</v>
      </c>
      <c r="Z959">
        <v>65</v>
      </c>
      <c r="AA959">
        <v>78</v>
      </c>
      <c r="AB959" t="s">
        <v>143</v>
      </c>
      <c r="AC959" t="s">
        <v>336</v>
      </c>
      <c r="AD959" t="s">
        <v>278</v>
      </c>
      <c r="AE959" t="str">
        <f>IF(AF959="","",VLOOKUP(AC959,mapel!$A$2:$B$42,2,FALSE))</f>
        <v>Pancasila</v>
      </c>
      <c r="AF959">
        <f t="shared" si="42"/>
        <v>78</v>
      </c>
      <c r="AG959" t="str">
        <f>IF(AF959="","",IF(AF959&gt;90,"Sangat baik",IF(AF959&gt;79,"Baik",IF(AF959&gt;=pub_gid_0_single_true_output_csv[[#This Row],[KKM]],"Cukup","Kurang"))))</f>
        <v>Cukup</v>
      </c>
      <c r="AH959">
        <f t="shared" si="43"/>
        <v>11</v>
      </c>
      <c r="AI959" s="30" t="str">
        <f>IF(OR(J959&lt;&gt;"Karakter",pub_gid_0_single_true_output_csv[[#This Row],[Nilai2]]=""),"",IF(AF959&gt;89,"Sangat baik",IF(AF959&gt;79,"Baik",IF(AF959&gt;69,"Cukup",IF(AF959&gt;59,"Kurang","Sangat kurang")))))</f>
        <v/>
      </c>
      <c r="AJ959" t="str">
        <f t="shared" si="44"/>
        <v>Wk.3</v>
      </c>
      <c r="AK959" t="e">
        <f>IF(pub_gid_0_single_true_output_csv[[#This Row],[Nilai2]]="","",VLOOKUP(pub_gid_0_single_true_output_csv[[#This Row],[NAMA]],Table7[],3,FALSE))</f>
        <v>#N/A</v>
      </c>
    </row>
    <row r="960" spans="1:37" x14ac:dyDescent="0.2">
      <c r="A960">
        <v>959</v>
      </c>
      <c r="B960" t="s">
        <v>282</v>
      </c>
      <c r="C960" t="s">
        <v>54</v>
      </c>
      <c r="D960" t="s">
        <v>283</v>
      </c>
      <c r="E960" t="s">
        <v>140</v>
      </c>
      <c r="F960" s="25">
        <v>46048</v>
      </c>
      <c r="G960" t="s">
        <v>371</v>
      </c>
      <c r="H960" t="s">
        <v>405</v>
      </c>
      <c r="I960" t="s">
        <v>371</v>
      </c>
      <c r="J960" t="s">
        <v>36</v>
      </c>
      <c r="K960" t="s">
        <v>37</v>
      </c>
      <c r="L960" t="s">
        <v>351</v>
      </c>
      <c r="M960" t="s">
        <v>141</v>
      </c>
      <c r="N960" t="s">
        <v>142</v>
      </c>
      <c r="O960" t="s">
        <v>155</v>
      </c>
      <c r="P960" t="s">
        <v>281</v>
      </c>
      <c r="Q960" t="s">
        <v>155</v>
      </c>
      <c r="R960" t="s">
        <v>302</v>
      </c>
      <c r="S960" t="s">
        <v>369</v>
      </c>
      <c r="T960">
        <v>1</v>
      </c>
      <c r="U960" t="s">
        <v>431</v>
      </c>
      <c r="V960" t="s">
        <v>342</v>
      </c>
      <c r="W960" t="s">
        <v>433</v>
      </c>
      <c r="X960" t="s">
        <v>306</v>
      </c>
      <c r="Y960" t="s">
        <v>307</v>
      </c>
      <c r="Z960">
        <v>65</v>
      </c>
      <c r="AA960">
        <v>87</v>
      </c>
      <c r="AB960" t="s">
        <v>143</v>
      </c>
      <c r="AC960" t="s">
        <v>336</v>
      </c>
      <c r="AD960" t="s">
        <v>278</v>
      </c>
      <c r="AE960" t="str">
        <f>IF(AF960="","",VLOOKUP(AC960,mapel!$A$2:$B$42,2,FALSE))</f>
        <v>Pancasila</v>
      </c>
      <c r="AF960">
        <f t="shared" si="42"/>
        <v>87</v>
      </c>
      <c r="AG960" t="str">
        <f>IF(AF960="","",IF(AF960&gt;90,"Sangat baik",IF(AF960&gt;79,"Baik",IF(AF960&gt;=pub_gid_0_single_true_output_csv[[#This Row],[KKM]],"Cukup","Kurang"))))</f>
        <v>Baik</v>
      </c>
      <c r="AH960">
        <f t="shared" si="43"/>
        <v>11</v>
      </c>
      <c r="AI960" s="30" t="str">
        <f>IF(OR(J960&lt;&gt;"Karakter",pub_gid_0_single_true_output_csv[[#This Row],[Nilai2]]=""),"",IF(AF960&gt;89,"Sangat baik",IF(AF960&gt;79,"Baik",IF(AF960&gt;69,"Cukup",IF(AF960&gt;59,"Kurang","Sangat kurang")))))</f>
        <v/>
      </c>
      <c r="AJ960" t="str">
        <f t="shared" si="44"/>
        <v>Wk.5</v>
      </c>
      <c r="AK960" t="e">
        <f>IF(pub_gid_0_single_true_output_csv[[#This Row],[Nilai2]]="","",VLOOKUP(pub_gid_0_single_true_output_csv[[#This Row],[NAMA]],Table7[],3,FALSE))</f>
        <v>#N/A</v>
      </c>
    </row>
    <row r="961" spans="1:37" x14ac:dyDescent="0.2">
      <c r="A961">
        <v>960</v>
      </c>
      <c r="B961" t="s">
        <v>282</v>
      </c>
      <c r="C961" t="s">
        <v>54</v>
      </c>
      <c r="D961" t="s">
        <v>283</v>
      </c>
      <c r="E961" t="s">
        <v>140</v>
      </c>
      <c r="F961" s="25">
        <v>46048</v>
      </c>
      <c r="G961" t="s">
        <v>371</v>
      </c>
      <c r="H961" t="s">
        <v>405</v>
      </c>
      <c r="I961" t="s">
        <v>371</v>
      </c>
      <c r="J961" t="s">
        <v>31</v>
      </c>
      <c r="K961" t="s">
        <v>96</v>
      </c>
      <c r="L961" t="s">
        <v>351</v>
      </c>
      <c r="M961" t="s">
        <v>141</v>
      </c>
      <c r="N961" t="s">
        <v>142</v>
      </c>
      <c r="O961" t="s">
        <v>155</v>
      </c>
      <c r="P961" t="s">
        <v>281</v>
      </c>
      <c r="Q961" t="s">
        <v>155</v>
      </c>
      <c r="R961" t="s">
        <v>302</v>
      </c>
      <c r="S961" t="s">
        <v>369</v>
      </c>
      <c r="T961">
        <v>1</v>
      </c>
      <c r="U961" t="s">
        <v>431</v>
      </c>
      <c r="V961" t="s">
        <v>342</v>
      </c>
      <c r="W961" t="s">
        <v>433</v>
      </c>
      <c r="X961" t="s">
        <v>306</v>
      </c>
      <c r="Y961" t="s">
        <v>307</v>
      </c>
      <c r="Z961">
        <v>65</v>
      </c>
      <c r="AA961">
        <v>85</v>
      </c>
      <c r="AB961" t="s">
        <v>143</v>
      </c>
      <c r="AC961" t="s">
        <v>336</v>
      </c>
      <c r="AD961" t="s">
        <v>278</v>
      </c>
      <c r="AE961" t="str">
        <f>IF(AF961="","",VLOOKUP(AC961,mapel!$A$2:$B$42,2,FALSE))</f>
        <v>Pancasila</v>
      </c>
      <c r="AF961">
        <f t="shared" si="42"/>
        <v>85</v>
      </c>
      <c r="AG961" t="str">
        <f>IF(AF961="","",IF(AF961&gt;90,"Sangat baik",IF(AF961&gt;79,"Baik",IF(AF961&gt;=pub_gid_0_single_true_output_csv[[#This Row],[KKM]],"Cukup","Kurang"))))</f>
        <v>Baik</v>
      </c>
      <c r="AH961">
        <f t="shared" si="43"/>
        <v>11</v>
      </c>
      <c r="AI961" s="30" t="str">
        <f>IF(OR(J961&lt;&gt;"Karakter",pub_gid_0_single_true_output_csv[[#This Row],[Nilai2]]=""),"",IF(AF961&gt;89,"Sangat baik",IF(AF961&gt;79,"Baik",IF(AF961&gt;69,"Cukup",IF(AF961&gt;59,"Kurang","Sangat kurang")))))</f>
        <v/>
      </c>
      <c r="AJ961" t="str">
        <f t="shared" si="44"/>
        <v>Wk.5</v>
      </c>
      <c r="AK961" t="e">
        <f>IF(pub_gid_0_single_true_output_csv[[#This Row],[Nilai2]]="","",VLOOKUP(pub_gid_0_single_true_output_csv[[#This Row],[NAMA]],Table7[],3,FALSE))</f>
        <v>#N/A</v>
      </c>
    </row>
    <row r="962" spans="1:37" x14ac:dyDescent="0.2">
      <c r="A962">
        <v>961</v>
      </c>
      <c r="B962" t="s">
        <v>282</v>
      </c>
      <c r="C962" t="s">
        <v>54</v>
      </c>
      <c r="D962" t="s">
        <v>283</v>
      </c>
      <c r="E962" t="s">
        <v>140</v>
      </c>
      <c r="F962" s="25">
        <v>46048</v>
      </c>
      <c r="G962" t="s">
        <v>371</v>
      </c>
      <c r="H962" t="s">
        <v>405</v>
      </c>
      <c r="I962" t="s">
        <v>371</v>
      </c>
      <c r="J962" t="s">
        <v>90</v>
      </c>
      <c r="K962" t="s">
        <v>377</v>
      </c>
      <c r="L962" t="s">
        <v>378</v>
      </c>
      <c r="M962" t="s">
        <v>141</v>
      </c>
      <c r="N962" t="s">
        <v>142</v>
      </c>
      <c r="O962" t="s">
        <v>155</v>
      </c>
      <c r="P962" t="s">
        <v>281</v>
      </c>
      <c r="Q962" t="s">
        <v>155</v>
      </c>
      <c r="R962" t="s">
        <v>302</v>
      </c>
      <c r="S962" t="s">
        <v>369</v>
      </c>
      <c r="T962">
        <v>1</v>
      </c>
      <c r="U962" t="s">
        <v>431</v>
      </c>
      <c r="V962" t="s">
        <v>342</v>
      </c>
      <c r="W962" t="s">
        <v>433</v>
      </c>
      <c r="X962" t="s">
        <v>306</v>
      </c>
      <c r="Y962" t="s">
        <v>307</v>
      </c>
      <c r="Z962">
        <v>65</v>
      </c>
      <c r="AA962">
        <v>75</v>
      </c>
      <c r="AB962" t="s">
        <v>143</v>
      </c>
      <c r="AC962" t="s">
        <v>336</v>
      </c>
      <c r="AD962" t="s">
        <v>278</v>
      </c>
      <c r="AE962" t="str">
        <f>IF(AF962="","",VLOOKUP(AC962,mapel!$A$2:$B$42,2,FALSE))</f>
        <v>Pancasila</v>
      </c>
      <c r="AF962">
        <f t="shared" ref="AF962:AF1025" si="45">IF(AA962=0, "",IF(AA962 = 0.1, 0,AA962))</f>
        <v>75</v>
      </c>
      <c r="AG962" t="str">
        <f>IF(AF962="","",IF(AF962&gt;90,"Sangat baik",IF(AF962&gt;79,"Baik",IF(AF962&gt;=pub_gid_0_single_true_output_csv[[#This Row],[KKM]],"Cukup","Kurang"))))</f>
        <v>Cukup</v>
      </c>
      <c r="AH962">
        <f t="shared" ref="AH962:AH1025" si="46">IF(AG962="","",VALUE(RIGHT(X962,2)))</f>
        <v>11</v>
      </c>
      <c r="AI962" s="30" t="str">
        <f>IF(OR(J962&lt;&gt;"Karakter",pub_gid_0_single_true_output_csv[[#This Row],[Nilai2]]=""),"",IF(AF962&gt;89,"Sangat baik",IF(AF962&gt;79,"Baik",IF(AF962&gt;69,"Cukup",IF(AF962&gt;59,"Kurang","Sangat kurang")))))</f>
        <v>Cukup</v>
      </c>
      <c r="AJ962" t="str">
        <f t="shared" ref="AJ962:AJ1025" si="47">IF(AF962="","",CONCATENATE("Wk.",WEEKNUM(F962,2)))</f>
        <v>Wk.5</v>
      </c>
      <c r="AK962" t="e">
        <f>IF(pub_gid_0_single_true_output_csv[[#This Row],[Nilai2]]="","",VLOOKUP(pub_gid_0_single_true_output_csv[[#This Row],[NAMA]],Table7[],3,FALSE))</f>
        <v>#N/A</v>
      </c>
    </row>
    <row r="963" spans="1:37" x14ac:dyDescent="0.2">
      <c r="A963">
        <v>962</v>
      </c>
      <c r="B963" t="s">
        <v>282</v>
      </c>
      <c r="C963" t="s">
        <v>54</v>
      </c>
      <c r="D963" t="s">
        <v>283</v>
      </c>
      <c r="E963" t="s">
        <v>140</v>
      </c>
      <c r="F963" s="25">
        <v>46048</v>
      </c>
      <c r="G963" t="s">
        <v>371</v>
      </c>
      <c r="H963" t="s">
        <v>405</v>
      </c>
      <c r="I963" t="s">
        <v>371</v>
      </c>
      <c r="J963" t="s">
        <v>279</v>
      </c>
      <c r="K963" t="s">
        <v>280</v>
      </c>
      <c r="L963" t="s">
        <v>322</v>
      </c>
      <c r="M963" t="s">
        <v>141</v>
      </c>
      <c r="N963" t="s">
        <v>142</v>
      </c>
      <c r="O963" t="s">
        <v>155</v>
      </c>
      <c r="P963" t="s">
        <v>281</v>
      </c>
      <c r="Q963" t="s">
        <v>155</v>
      </c>
      <c r="R963" t="s">
        <v>302</v>
      </c>
      <c r="S963" t="s">
        <v>369</v>
      </c>
      <c r="T963">
        <v>1</v>
      </c>
      <c r="U963" t="s">
        <v>431</v>
      </c>
      <c r="V963" t="s">
        <v>342</v>
      </c>
      <c r="W963" t="s">
        <v>433</v>
      </c>
      <c r="X963" t="s">
        <v>306</v>
      </c>
      <c r="Y963" t="s">
        <v>307</v>
      </c>
      <c r="Z963">
        <v>65</v>
      </c>
      <c r="AA963">
        <v>78</v>
      </c>
      <c r="AB963" t="s">
        <v>143</v>
      </c>
      <c r="AC963" t="s">
        <v>336</v>
      </c>
      <c r="AD963" t="s">
        <v>278</v>
      </c>
      <c r="AE963" t="str">
        <f>IF(AF963="","",VLOOKUP(AC963,mapel!$A$2:$B$42,2,FALSE))</f>
        <v>Pancasila</v>
      </c>
      <c r="AF963">
        <f t="shared" si="45"/>
        <v>78</v>
      </c>
      <c r="AG963" t="str">
        <f>IF(AF963="","",IF(AF963&gt;90,"Sangat baik",IF(AF963&gt;79,"Baik",IF(AF963&gt;=pub_gid_0_single_true_output_csv[[#This Row],[KKM]],"Cukup","Kurang"))))</f>
        <v>Cukup</v>
      </c>
      <c r="AH963">
        <f t="shared" si="46"/>
        <v>11</v>
      </c>
      <c r="AI963" s="30" t="str">
        <f>IF(OR(J963&lt;&gt;"Karakter",pub_gid_0_single_true_output_csv[[#This Row],[Nilai2]]=""),"",IF(AF963&gt;89,"Sangat baik",IF(AF963&gt;79,"Baik",IF(AF963&gt;69,"Cukup",IF(AF963&gt;59,"Kurang","Sangat kurang")))))</f>
        <v/>
      </c>
      <c r="AJ963" t="str">
        <f t="shared" si="47"/>
        <v>Wk.5</v>
      </c>
      <c r="AK963" t="e">
        <f>IF(pub_gid_0_single_true_output_csv[[#This Row],[Nilai2]]="","",VLOOKUP(pub_gid_0_single_true_output_csv[[#This Row],[NAMA]],Table7[],3,FALSE))</f>
        <v>#N/A</v>
      </c>
    </row>
    <row r="964" spans="1:37" x14ac:dyDescent="0.2">
      <c r="A964">
        <v>963</v>
      </c>
      <c r="B964" t="s">
        <v>282</v>
      </c>
      <c r="C964" t="s">
        <v>54</v>
      </c>
      <c r="D964" t="s">
        <v>283</v>
      </c>
      <c r="E964" t="s">
        <v>140</v>
      </c>
      <c r="F964" s="25">
        <v>46055</v>
      </c>
      <c r="G964" t="s">
        <v>379</v>
      </c>
      <c r="H964" t="s">
        <v>412</v>
      </c>
      <c r="I964" t="s">
        <v>371</v>
      </c>
      <c r="J964" t="s">
        <v>90</v>
      </c>
      <c r="K964" t="s">
        <v>377</v>
      </c>
      <c r="L964" t="s">
        <v>400</v>
      </c>
      <c r="M964" t="s">
        <v>141</v>
      </c>
      <c r="N964" t="s">
        <v>142</v>
      </c>
      <c r="O964" t="s">
        <v>155</v>
      </c>
      <c r="P964" t="s">
        <v>281</v>
      </c>
      <c r="Q964" t="s">
        <v>155</v>
      </c>
      <c r="R964" t="s">
        <v>302</v>
      </c>
      <c r="S964" t="s">
        <v>345</v>
      </c>
      <c r="T964">
        <v>1</v>
      </c>
      <c r="U964" t="s">
        <v>431</v>
      </c>
      <c r="V964" t="s">
        <v>343</v>
      </c>
      <c r="W964" t="s">
        <v>434</v>
      </c>
      <c r="X964" t="s">
        <v>306</v>
      </c>
      <c r="Y964" t="s">
        <v>307</v>
      </c>
      <c r="Z964">
        <v>65</v>
      </c>
      <c r="AA964">
        <v>65</v>
      </c>
      <c r="AB964" t="s">
        <v>143</v>
      </c>
      <c r="AC964" t="s">
        <v>336</v>
      </c>
      <c r="AD964" t="s">
        <v>278</v>
      </c>
      <c r="AE964" t="str">
        <f>IF(AF964="","",VLOOKUP(AC964,mapel!$A$2:$B$42,2,FALSE))</f>
        <v>Pancasila</v>
      </c>
      <c r="AF964">
        <f t="shared" si="45"/>
        <v>65</v>
      </c>
      <c r="AG964" t="str">
        <f>IF(AF964="","",IF(AF964&gt;90,"Sangat baik",IF(AF964&gt;79,"Baik",IF(AF964&gt;=pub_gid_0_single_true_output_csv[[#This Row],[KKM]],"Cukup","Kurang"))))</f>
        <v>Cukup</v>
      </c>
      <c r="AH964">
        <f t="shared" si="46"/>
        <v>11</v>
      </c>
      <c r="AI964" s="30" t="str">
        <f>IF(OR(J964&lt;&gt;"Karakter",pub_gid_0_single_true_output_csv[[#This Row],[Nilai2]]=""),"",IF(AF964&gt;89,"Sangat baik",IF(AF964&gt;79,"Baik",IF(AF964&gt;69,"Cukup",IF(AF964&gt;59,"Kurang","Sangat kurang")))))</f>
        <v>Kurang</v>
      </c>
      <c r="AJ964" t="str">
        <f t="shared" si="47"/>
        <v>Wk.6</v>
      </c>
      <c r="AK964" t="e">
        <f>IF(pub_gid_0_single_true_output_csv[[#This Row],[Nilai2]]="","",VLOOKUP(pub_gid_0_single_true_output_csv[[#This Row],[NAMA]],Table7[],3,FALSE))</f>
        <v>#N/A</v>
      </c>
    </row>
    <row r="965" spans="1:37" x14ac:dyDescent="0.2">
      <c r="A965">
        <v>964</v>
      </c>
      <c r="B965" t="s">
        <v>282</v>
      </c>
      <c r="C965" t="s">
        <v>54</v>
      </c>
      <c r="D965" t="s">
        <v>283</v>
      </c>
      <c r="E965" t="s">
        <v>140</v>
      </c>
      <c r="F965" s="25">
        <v>46055</v>
      </c>
      <c r="G965" t="s">
        <v>379</v>
      </c>
      <c r="H965" t="s">
        <v>412</v>
      </c>
      <c r="I965" t="s">
        <v>371</v>
      </c>
      <c r="J965" t="s">
        <v>279</v>
      </c>
      <c r="K965" t="s">
        <v>280</v>
      </c>
      <c r="L965" t="s">
        <v>322</v>
      </c>
      <c r="M965" t="s">
        <v>141</v>
      </c>
      <c r="N965" t="s">
        <v>142</v>
      </c>
      <c r="O965" t="s">
        <v>155</v>
      </c>
      <c r="P965" t="s">
        <v>281</v>
      </c>
      <c r="Q965" t="s">
        <v>155</v>
      </c>
      <c r="R965" t="s">
        <v>302</v>
      </c>
      <c r="S965" t="s">
        <v>345</v>
      </c>
      <c r="T965">
        <v>1</v>
      </c>
      <c r="U965" t="s">
        <v>431</v>
      </c>
      <c r="V965" t="s">
        <v>343</v>
      </c>
      <c r="W965" t="s">
        <v>434</v>
      </c>
      <c r="X965" t="s">
        <v>306</v>
      </c>
      <c r="Y965" t="s">
        <v>307</v>
      </c>
      <c r="Z965">
        <v>65</v>
      </c>
      <c r="AA965">
        <v>65</v>
      </c>
      <c r="AB965" t="s">
        <v>143</v>
      </c>
      <c r="AC965" t="s">
        <v>336</v>
      </c>
      <c r="AD965" t="s">
        <v>278</v>
      </c>
      <c r="AE965" t="str">
        <f>IF(AF965="","",VLOOKUP(AC965,mapel!$A$2:$B$42,2,FALSE))</f>
        <v>Pancasila</v>
      </c>
      <c r="AF965">
        <f t="shared" si="45"/>
        <v>65</v>
      </c>
      <c r="AG965" t="str">
        <f>IF(AF965="","",IF(AF965&gt;90,"Sangat baik",IF(AF965&gt;79,"Baik",IF(AF965&gt;=pub_gid_0_single_true_output_csv[[#This Row],[KKM]],"Cukup","Kurang"))))</f>
        <v>Cukup</v>
      </c>
      <c r="AH965">
        <f t="shared" si="46"/>
        <v>11</v>
      </c>
      <c r="AI965" s="30" t="str">
        <f>IF(OR(J965&lt;&gt;"Karakter",pub_gid_0_single_true_output_csv[[#This Row],[Nilai2]]=""),"",IF(AF965&gt;89,"Sangat baik",IF(AF965&gt;79,"Baik",IF(AF965&gt;69,"Cukup",IF(AF965&gt;59,"Kurang","Sangat kurang")))))</f>
        <v/>
      </c>
      <c r="AJ965" t="str">
        <f t="shared" si="47"/>
        <v>Wk.6</v>
      </c>
      <c r="AK965" t="e">
        <f>IF(pub_gid_0_single_true_output_csv[[#This Row],[Nilai2]]="","",VLOOKUP(pub_gid_0_single_true_output_csv[[#This Row],[NAMA]],Table7[],3,FALSE))</f>
        <v>#N/A</v>
      </c>
    </row>
    <row r="966" spans="1:37" x14ac:dyDescent="0.2">
      <c r="A966">
        <v>965</v>
      </c>
      <c r="B966" t="s">
        <v>282</v>
      </c>
      <c r="C966" t="s">
        <v>54</v>
      </c>
      <c r="D966" t="s">
        <v>283</v>
      </c>
      <c r="E966" t="s">
        <v>140</v>
      </c>
      <c r="F966" s="25">
        <v>46055</v>
      </c>
      <c r="G966" t="s">
        <v>379</v>
      </c>
      <c r="H966" t="s">
        <v>412</v>
      </c>
      <c r="I966" t="s">
        <v>371</v>
      </c>
      <c r="J966" t="s">
        <v>41</v>
      </c>
      <c r="K966" t="s">
        <v>365</v>
      </c>
      <c r="L966" t="s">
        <v>351</v>
      </c>
      <c r="M966" t="s">
        <v>141</v>
      </c>
      <c r="N966" t="s">
        <v>142</v>
      </c>
      <c r="O966" t="s">
        <v>155</v>
      </c>
      <c r="P966" t="s">
        <v>281</v>
      </c>
      <c r="Q966" t="s">
        <v>155</v>
      </c>
      <c r="R966" t="s">
        <v>302</v>
      </c>
      <c r="S966" t="s">
        <v>345</v>
      </c>
      <c r="T966">
        <v>1</v>
      </c>
      <c r="U966" t="s">
        <v>431</v>
      </c>
      <c r="V966" t="s">
        <v>343</v>
      </c>
      <c r="W966" t="s">
        <v>434</v>
      </c>
      <c r="X966" t="s">
        <v>306</v>
      </c>
      <c r="Y966" t="s">
        <v>307</v>
      </c>
      <c r="Z966">
        <v>65</v>
      </c>
      <c r="AA966">
        <v>70</v>
      </c>
      <c r="AB966" t="s">
        <v>143</v>
      </c>
      <c r="AC966" t="s">
        <v>336</v>
      </c>
      <c r="AD966" t="s">
        <v>278</v>
      </c>
      <c r="AE966" t="str">
        <f>IF(AF966="","",VLOOKUP(AC966,mapel!$A$2:$B$42,2,FALSE))</f>
        <v>Pancasila</v>
      </c>
      <c r="AF966">
        <f t="shared" si="45"/>
        <v>70</v>
      </c>
      <c r="AG966" t="str">
        <f>IF(AF966="","",IF(AF966&gt;90,"Sangat baik",IF(AF966&gt;79,"Baik",IF(AF966&gt;=pub_gid_0_single_true_output_csv[[#This Row],[KKM]],"Cukup","Kurang"))))</f>
        <v>Cukup</v>
      </c>
      <c r="AH966">
        <f t="shared" si="46"/>
        <v>11</v>
      </c>
      <c r="AI966" s="30" t="str">
        <f>IF(OR(J966&lt;&gt;"Karakter",pub_gid_0_single_true_output_csv[[#This Row],[Nilai2]]=""),"",IF(AF966&gt;89,"Sangat baik",IF(AF966&gt;79,"Baik",IF(AF966&gt;69,"Cukup",IF(AF966&gt;59,"Kurang","Sangat kurang")))))</f>
        <v/>
      </c>
      <c r="AJ966" t="str">
        <f t="shared" si="47"/>
        <v>Wk.6</v>
      </c>
      <c r="AK966" t="e">
        <f>IF(pub_gid_0_single_true_output_csv[[#This Row],[Nilai2]]="","",VLOOKUP(pub_gid_0_single_true_output_csv[[#This Row],[NAMA]],Table7[],3,FALSE))</f>
        <v>#N/A</v>
      </c>
    </row>
    <row r="967" spans="1:37" x14ac:dyDescent="0.2">
      <c r="A967">
        <v>966</v>
      </c>
      <c r="B967" t="s">
        <v>282</v>
      </c>
      <c r="C967" t="s">
        <v>54</v>
      </c>
      <c r="D967" t="s">
        <v>283</v>
      </c>
      <c r="E967" t="s">
        <v>140</v>
      </c>
      <c r="F967" s="25">
        <v>46055</v>
      </c>
      <c r="G967" t="s">
        <v>379</v>
      </c>
      <c r="H967" t="s">
        <v>412</v>
      </c>
      <c r="I967" t="s">
        <v>371</v>
      </c>
      <c r="J967" t="s">
        <v>31</v>
      </c>
      <c r="K967" t="s">
        <v>96</v>
      </c>
      <c r="L967" t="s">
        <v>351</v>
      </c>
      <c r="M967" t="s">
        <v>141</v>
      </c>
      <c r="N967" t="s">
        <v>142</v>
      </c>
      <c r="O967" t="s">
        <v>155</v>
      </c>
      <c r="P967" t="s">
        <v>281</v>
      </c>
      <c r="Q967" t="s">
        <v>155</v>
      </c>
      <c r="R967" t="s">
        <v>302</v>
      </c>
      <c r="S967" t="s">
        <v>345</v>
      </c>
      <c r="T967">
        <v>1</v>
      </c>
      <c r="U967" t="s">
        <v>431</v>
      </c>
      <c r="V967" t="s">
        <v>343</v>
      </c>
      <c r="W967" t="s">
        <v>434</v>
      </c>
      <c r="X967" t="s">
        <v>306</v>
      </c>
      <c r="Y967" t="s">
        <v>307</v>
      </c>
      <c r="Z967">
        <v>65</v>
      </c>
      <c r="AA967">
        <v>87</v>
      </c>
      <c r="AB967" t="s">
        <v>143</v>
      </c>
      <c r="AC967" t="s">
        <v>336</v>
      </c>
      <c r="AD967" t="s">
        <v>278</v>
      </c>
      <c r="AE967" t="str">
        <f>IF(AF967="","",VLOOKUP(AC967,mapel!$A$2:$B$42,2,FALSE))</f>
        <v>Pancasila</v>
      </c>
      <c r="AF967">
        <f t="shared" si="45"/>
        <v>87</v>
      </c>
      <c r="AG967" t="str">
        <f>IF(AF967="","",IF(AF967&gt;90,"Sangat baik",IF(AF967&gt;79,"Baik",IF(AF967&gt;=pub_gid_0_single_true_output_csv[[#This Row],[KKM]],"Cukup","Kurang"))))</f>
        <v>Baik</v>
      </c>
      <c r="AH967">
        <f t="shared" si="46"/>
        <v>11</v>
      </c>
      <c r="AI967" s="30" t="str">
        <f>IF(OR(J967&lt;&gt;"Karakter",pub_gid_0_single_true_output_csv[[#This Row],[Nilai2]]=""),"",IF(AF967&gt;89,"Sangat baik",IF(AF967&gt;79,"Baik",IF(AF967&gt;69,"Cukup",IF(AF967&gt;59,"Kurang","Sangat kurang")))))</f>
        <v/>
      </c>
      <c r="AJ967" t="str">
        <f t="shared" si="47"/>
        <v>Wk.6</v>
      </c>
      <c r="AK967" t="e">
        <f>IF(pub_gid_0_single_true_output_csv[[#This Row],[Nilai2]]="","",VLOOKUP(pub_gid_0_single_true_output_csv[[#This Row],[NAMA]],Table7[],3,FALSE))</f>
        <v>#N/A</v>
      </c>
    </row>
    <row r="968" spans="1:37" x14ac:dyDescent="0.2">
      <c r="A968">
        <v>967</v>
      </c>
      <c r="B968" t="s">
        <v>282</v>
      </c>
      <c r="C968" t="s">
        <v>54</v>
      </c>
      <c r="D968" t="s">
        <v>283</v>
      </c>
      <c r="E968" t="s">
        <v>140</v>
      </c>
      <c r="F968" s="25">
        <v>46055</v>
      </c>
      <c r="G968" t="s">
        <v>379</v>
      </c>
      <c r="H968" t="s">
        <v>412</v>
      </c>
      <c r="I968" t="s">
        <v>371</v>
      </c>
      <c r="J968" t="s">
        <v>36</v>
      </c>
      <c r="K968" t="s">
        <v>37</v>
      </c>
      <c r="L968" t="s">
        <v>324</v>
      </c>
      <c r="M968" t="s">
        <v>141</v>
      </c>
      <c r="N968" t="s">
        <v>142</v>
      </c>
      <c r="O968" t="s">
        <v>155</v>
      </c>
      <c r="P968" t="s">
        <v>281</v>
      </c>
      <c r="Q968" t="s">
        <v>155</v>
      </c>
      <c r="R968" t="s">
        <v>302</v>
      </c>
      <c r="S968" t="s">
        <v>345</v>
      </c>
      <c r="T968">
        <v>1</v>
      </c>
      <c r="U968" t="s">
        <v>431</v>
      </c>
      <c r="V968" t="s">
        <v>343</v>
      </c>
      <c r="W968" t="s">
        <v>434</v>
      </c>
      <c r="X968" t="s">
        <v>306</v>
      </c>
      <c r="Y968" t="s">
        <v>307</v>
      </c>
      <c r="Z968">
        <v>65</v>
      </c>
      <c r="AA968">
        <v>87</v>
      </c>
      <c r="AB968" t="s">
        <v>143</v>
      </c>
      <c r="AC968" t="s">
        <v>336</v>
      </c>
      <c r="AD968" t="s">
        <v>278</v>
      </c>
      <c r="AE968" t="str">
        <f>IF(AF968="","",VLOOKUP(AC968,mapel!$A$2:$B$42,2,FALSE))</f>
        <v>Pancasila</v>
      </c>
      <c r="AF968">
        <f t="shared" si="45"/>
        <v>87</v>
      </c>
      <c r="AG968" t="str">
        <f>IF(AF968="","",IF(AF968&gt;90,"Sangat baik",IF(AF968&gt;79,"Baik",IF(AF968&gt;=pub_gid_0_single_true_output_csv[[#This Row],[KKM]],"Cukup","Kurang"))))</f>
        <v>Baik</v>
      </c>
      <c r="AH968">
        <f t="shared" si="46"/>
        <v>11</v>
      </c>
      <c r="AI968" s="30" t="str">
        <f>IF(OR(J968&lt;&gt;"Karakter",pub_gid_0_single_true_output_csv[[#This Row],[Nilai2]]=""),"",IF(AF968&gt;89,"Sangat baik",IF(AF968&gt;79,"Baik",IF(AF968&gt;69,"Cukup",IF(AF968&gt;59,"Kurang","Sangat kurang")))))</f>
        <v/>
      </c>
      <c r="AJ968" t="str">
        <f t="shared" si="47"/>
        <v>Wk.6</v>
      </c>
      <c r="AK968" t="e">
        <f>IF(pub_gid_0_single_true_output_csv[[#This Row],[Nilai2]]="","",VLOOKUP(pub_gid_0_single_true_output_csv[[#This Row],[NAMA]],Table7[],3,FALSE))</f>
        <v>#N/A</v>
      </c>
    </row>
    <row r="969" spans="1:37" x14ac:dyDescent="0.2">
      <c r="A969">
        <v>968</v>
      </c>
      <c r="B969" t="s">
        <v>282</v>
      </c>
      <c r="C969" t="s">
        <v>54</v>
      </c>
      <c r="D969" t="s">
        <v>283</v>
      </c>
      <c r="E969" t="s">
        <v>140</v>
      </c>
      <c r="F969" s="25">
        <v>46062</v>
      </c>
      <c r="G969" t="s">
        <v>376</v>
      </c>
      <c r="H969" t="s">
        <v>412</v>
      </c>
      <c r="I969" t="s">
        <v>371</v>
      </c>
      <c r="J969" t="s">
        <v>36</v>
      </c>
      <c r="K969" t="s">
        <v>362</v>
      </c>
      <c r="L969" t="s">
        <v>363</v>
      </c>
      <c r="M969" t="s">
        <v>141</v>
      </c>
      <c r="N969" t="s">
        <v>142</v>
      </c>
      <c r="O969" t="s">
        <v>155</v>
      </c>
      <c r="P969" t="s">
        <v>281</v>
      </c>
      <c r="Q969" t="s">
        <v>155</v>
      </c>
      <c r="R969" t="s">
        <v>302</v>
      </c>
      <c r="S969" t="s">
        <v>309</v>
      </c>
      <c r="T969">
        <v>1</v>
      </c>
      <c r="U969" t="s">
        <v>431</v>
      </c>
      <c r="V969" t="s">
        <v>285</v>
      </c>
      <c r="W969" t="s">
        <v>432</v>
      </c>
      <c r="X969" t="s">
        <v>306</v>
      </c>
      <c r="Y969" t="s">
        <v>307</v>
      </c>
      <c r="Z969">
        <v>65</v>
      </c>
      <c r="AA969">
        <v>0</v>
      </c>
      <c r="AB969" t="s">
        <v>151</v>
      </c>
      <c r="AC969" t="s">
        <v>336</v>
      </c>
      <c r="AD969" t="s">
        <v>278</v>
      </c>
      <c r="AE969" t="str">
        <f>IF(AF969="","",VLOOKUP(AC969,mapel!$A$2:$B$42,2,FALSE))</f>
        <v/>
      </c>
      <c r="AF969" t="str">
        <f t="shared" si="45"/>
        <v/>
      </c>
      <c r="AG969" t="str">
        <f>IF(AF969="","",IF(AF969&gt;90,"Sangat baik",IF(AF969&gt;79,"Baik",IF(AF969&gt;=pub_gid_0_single_true_output_csv[[#This Row],[KKM]],"Cukup","Kurang"))))</f>
        <v/>
      </c>
      <c r="AH969" t="str">
        <f t="shared" si="46"/>
        <v/>
      </c>
      <c r="AI969" s="30" t="str">
        <f>IF(OR(J969&lt;&gt;"Karakter",pub_gid_0_single_true_output_csv[[#This Row],[Nilai2]]=""),"",IF(AF969&gt;89,"Sangat baik",IF(AF969&gt;79,"Baik",IF(AF969&gt;69,"Cukup",IF(AF969&gt;59,"Kurang","Sangat kurang")))))</f>
        <v/>
      </c>
      <c r="AJ969" t="str">
        <f t="shared" si="47"/>
        <v/>
      </c>
      <c r="AK969" t="str">
        <f>IF(pub_gid_0_single_true_output_csv[[#This Row],[Nilai2]]="","",VLOOKUP(pub_gid_0_single_true_output_csv[[#This Row],[NAMA]],Table7[],3,FALSE))</f>
        <v/>
      </c>
    </row>
    <row r="970" spans="1:37" x14ac:dyDescent="0.2">
      <c r="A970">
        <v>969</v>
      </c>
      <c r="B970" t="s">
        <v>282</v>
      </c>
      <c r="C970" t="s">
        <v>54</v>
      </c>
      <c r="D970" t="s">
        <v>283</v>
      </c>
      <c r="E970" t="s">
        <v>140</v>
      </c>
      <c r="F970" s="25">
        <v>46062</v>
      </c>
      <c r="G970" t="s">
        <v>376</v>
      </c>
      <c r="H970" t="s">
        <v>412</v>
      </c>
      <c r="I970" t="s">
        <v>371</v>
      </c>
      <c r="J970" t="s">
        <v>36</v>
      </c>
      <c r="K970" t="s">
        <v>362</v>
      </c>
      <c r="L970" t="s">
        <v>363</v>
      </c>
      <c r="M970" t="s">
        <v>141</v>
      </c>
      <c r="N970" t="s">
        <v>142</v>
      </c>
      <c r="O970" t="s">
        <v>155</v>
      </c>
      <c r="P970" t="s">
        <v>281</v>
      </c>
      <c r="Q970" t="s">
        <v>155</v>
      </c>
      <c r="R970" t="s">
        <v>302</v>
      </c>
      <c r="S970" t="s">
        <v>369</v>
      </c>
      <c r="T970">
        <v>1</v>
      </c>
      <c r="U970" t="s">
        <v>431</v>
      </c>
      <c r="V970" t="s">
        <v>342</v>
      </c>
      <c r="W970" t="s">
        <v>433</v>
      </c>
      <c r="X970" t="s">
        <v>306</v>
      </c>
      <c r="Y970" t="s">
        <v>307</v>
      </c>
      <c r="Z970">
        <v>65</v>
      </c>
      <c r="AA970">
        <v>0</v>
      </c>
      <c r="AB970" t="s">
        <v>151</v>
      </c>
      <c r="AC970" t="s">
        <v>336</v>
      </c>
      <c r="AD970" t="s">
        <v>278</v>
      </c>
      <c r="AE970" t="str">
        <f>IF(AF970="","",VLOOKUP(AC970,mapel!$A$2:$B$42,2,FALSE))</f>
        <v/>
      </c>
      <c r="AF970" t="str">
        <f t="shared" si="45"/>
        <v/>
      </c>
      <c r="AG970" t="str">
        <f>IF(AF970="","",IF(AF970&gt;90,"Sangat baik",IF(AF970&gt;79,"Baik",IF(AF970&gt;=pub_gid_0_single_true_output_csv[[#This Row],[KKM]],"Cukup","Kurang"))))</f>
        <v/>
      </c>
      <c r="AH970" t="str">
        <f t="shared" si="46"/>
        <v/>
      </c>
      <c r="AI970" s="30" t="str">
        <f>IF(OR(J970&lt;&gt;"Karakter",pub_gid_0_single_true_output_csv[[#This Row],[Nilai2]]=""),"",IF(AF970&gt;89,"Sangat baik",IF(AF970&gt;79,"Baik",IF(AF970&gt;69,"Cukup",IF(AF970&gt;59,"Kurang","Sangat kurang")))))</f>
        <v/>
      </c>
      <c r="AJ970" t="str">
        <f t="shared" si="47"/>
        <v/>
      </c>
      <c r="AK970" t="str">
        <f>IF(pub_gid_0_single_true_output_csv[[#This Row],[Nilai2]]="","",VLOOKUP(pub_gid_0_single_true_output_csv[[#This Row],[NAMA]],Table7[],3,FALSE))</f>
        <v/>
      </c>
    </row>
    <row r="971" spans="1:37" x14ac:dyDescent="0.2">
      <c r="A971">
        <v>970</v>
      </c>
      <c r="B971" t="s">
        <v>282</v>
      </c>
      <c r="C971" t="s">
        <v>54</v>
      </c>
      <c r="D971" t="s">
        <v>283</v>
      </c>
      <c r="E971" t="s">
        <v>140</v>
      </c>
      <c r="F971" s="25">
        <v>46059</v>
      </c>
      <c r="G971" t="s">
        <v>349</v>
      </c>
      <c r="H971" t="s">
        <v>412</v>
      </c>
      <c r="I971" t="s">
        <v>371</v>
      </c>
      <c r="J971" t="s">
        <v>41</v>
      </c>
      <c r="K971" t="s">
        <v>357</v>
      </c>
      <c r="L971" t="s">
        <v>351</v>
      </c>
      <c r="M971" t="s">
        <v>141</v>
      </c>
      <c r="N971" t="s">
        <v>142</v>
      </c>
      <c r="O971" t="s">
        <v>155</v>
      </c>
      <c r="P971" t="s">
        <v>281</v>
      </c>
      <c r="Q971" t="s">
        <v>155</v>
      </c>
      <c r="R971" t="s">
        <v>302</v>
      </c>
      <c r="S971" t="s">
        <v>345</v>
      </c>
      <c r="T971">
        <v>1</v>
      </c>
      <c r="U971" t="s">
        <v>431</v>
      </c>
      <c r="V971" t="s">
        <v>343</v>
      </c>
      <c r="W971" t="s">
        <v>434</v>
      </c>
      <c r="X971" t="s">
        <v>306</v>
      </c>
      <c r="Y971" t="s">
        <v>307</v>
      </c>
      <c r="Z971">
        <v>65</v>
      </c>
      <c r="AA971">
        <v>0</v>
      </c>
      <c r="AB971" t="s">
        <v>151</v>
      </c>
      <c r="AC971" t="s">
        <v>336</v>
      </c>
      <c r="AD971" t="s">
        <v>278</v>
      </c>
      <c r="AE971" t="str">
        <f>IF(AF971="","",VLOOKUP(AC971,mapel!$A$2:$B$42,2,FALSE))</f>
        <v/>
      </c>
      <c r="AF971" t="str">
        <f t="shared" si="45"/>
        <v/>
      </c>
      <c r="AG971" t="str">
        <f>IF(AF971="","",IF(AF971&gt;90,"Sangat baik",IF(AF971&gt;79,"Baik",IF(AF971&gt;=pub_gid_0_single_true_output_csv[[#This Row],[KKM]],"Cukup","Kurang"))))</f>
        <v/>
      </c>
      <c r="AH971" t="str">
        <f t="shared" si="46"/>
        <v/>
      </c>
      <c r="AI971" s="30" t="str">
        <f>IF(OR(J971&lt;&gt;"Karakter",pub_gid_0_single_true_output_csv[[#This Row],[Nilai2]]=""),"",IF(AF971&gt;89,"Sangat baik",IF(AF971&gt;79,"Baik",IF(AF971&gt;69,"Cukup",IF(AF971&gt;59,"Kurang","Sangat kurang")))))</f>
        <v/>
      </c>
      <c r="AJ971" t="str">
        <f t="shared" si="47"/>
        <v/>
      </c>
      <c r="AK971" t="str">
        <f>IF(pub_gid_0_single_true_output_csv[[#This Row],[Nilai2]]="","",VLOOKUP(pub_gid_0_single_true_output_csv[[#This Row],[NAMA]],Table7[],3,FALSE))</f>
        <v/>
      </c>
    </row>
    <row r="972" spans="1:37" x14ac:dyDescent="0.2">
      <c r="A972">
        <v>971</v>
      </c>
      <c r="B972" t="s">
        <v>282</v>
      </c>
      <c r="C972" t="s">
        <v>54</v>
      </c>
      <c r="D972" t="s">
        <v>283</v>
      </c>
      <c r="E972" t="s">
        <v>140</v>
      </c>
      <c r="F972" s="25">
        <v>46059</v>
      </c>
      <c r="G972" t="s">
        <v>349</v>
      </c>
      <c r="H972" t="s">
        <v>412</v>
      </c>
      <c r="I972" t="s">
        <v>371</v>
      </c>
      <c r="J972" t="s">
        <v>36</v>
      </c>
      <c r="K972" t="s">
        <v>37</v>
      </c>
      <c r="L972" t="s">
        <v>351</v>
      </c>
      <c r="M972" t="s">
        <v>141</v>
      </c>
      <c r="N972" t="s">
        <v>142</v>
      </c>
      <c r="O972" t="s">
        <v>155</v>
      </c>
      <c r="P972" t="s">
        <v>281</v>
      </c>
      <c r="Q972" t="s">
        <v>155</v>
      </c>
      <c r="R972" t="s">
        <v>302</v>
      </c>
      <c r="S972" t="s">
        <v>345</v>
      </c>
      <c r="T972">
        <v>1</v>
      </c>
      <c r="U972" t="s">
        <v>431</v>
      </c>
      <c r="V972" t="s">
        <v>343</v>
      </c>
      <c r="W972" t="s">
        <v>434</v>
      </c>
      <c r="X972" t="s">
        <v>306</v>
      </c>
      <c r="Y972" t="s">
        <v>307</v>
      </c>
      <c r="Z972">
        <v>65</v>
      </c>
      <c r="AA972">
        <v>0</v>
      </c>
      <c r="AB972" t="s">
        <v>151</v>
      </c>
      <c r="AC972" t="s">
        <v>336</v>
      </c>
      <c r="AD972" t="s">
        <v>278</v>
      </c>
      <c r="AE972" t="str">
        <f>IF(AF972="","",VLOOKUP(AC972,mapel!$A$2:$B$42,2,FALSE))</f>
        <v/>
      </c>
      <c r="AF972" t="str">
        <f t="shared" si="45"/>
        <v/>
      </c>
      <c r="AG972" t="str">
        <f>IF(AF972="","",IF(AF972&gt;90,"Sangat baik",IF(AF972&gt;79,"Baik",IF(AF972&gt;=pub_gid_0_single_true_output_csv[[#This Row],[KKM]],"Cukup","Kurang"))))</f>
        <v/>
      </c>
      <c r="AH972" t="str">
        <f t="shared" si="46"/>
        <v/>
      </c>
      <c r="AI972" s="30" t="str">
        <f>IF(OR(J972&lt;&gt;"Karakter",pub_gid_0_single_true_output_csv[[#This Row],[Nilai2]]=""),"",IF(AF972&gt;89,"Sangat baik",IF(AF972&gt;79,"Baik",IF(AF972&gt;69,"Cukup",IF(AF972&gt;59,"Kurang","Sangat kurang")))))</f>
        <v/>
      </c>
      <c r="AJ972" t="str">
        <f t="shared" si="47"/>
        <v/>
      </c>
      <c r="AK972" t="str">
        <f>IF(pub_gid_0_single_true_output_csv[[#This Row],[Nilai2]]="","",VLOOKUP(pub_gid_0_single_true_output_csv[[#This Row],[NAMA]],Table7[],3,FALSE))</f>
        <v/>
      </c>
    </row>
    <row r="973" spans="1:37" x14ac:dyDescent="0.2">
      <c r="A973">
        <v>972</v>
      </c>
      <c r="B973" t="s">
        <v>292</v>
      </c>
      <c r="C973" t="s">
        <v>54</v>
      </c>
      <c r="D973" t="s">
        <v>94</v>
      </c>
      <c r="E973" t="s">
        <v>147</v>
      </c>
      <c r="F973" s="25">
        <v>46034</v>
      </c>
      <c r="G973" t="s">
        <v>354</v>
      </c>
      <c r="H973" t="s">
        <v>405</v>
      </c>
      <c r="I973" t="s">
        <v>371</v>
      </c>
      <c r="J973" t="s">
        <v>90</v>
      </c>
      <c r="K973" t="s">
        <v>92</v>
      </c>
      <c r="L973" t="s">
        <v>398</v>
      </c>
      <c r="M973" t="s">
        <v>141</v>
      </c>
      <c r="N973" t="s">
        <v>142</v>
      </c>
      <c r="O973" t="s">
        <v>155</v>
      </c>
      <c r="P973" t="s">
        <v>281</v>
      </c>
      <c r="Q973" t="s">
        <v>155</v>
      </c>
      <c r="R973" t="s">
        <v>302</v>
      </c>
      <c r="S973" t="s">
        <v>309</v>
      </c>
      <c r="T973">
        <v>1</v>
      </c>
      <c r="U973" t="s">
        <v>431</v>
      </c>
      <c r="V973" t="s">
        <v>285</v>
      </c>
      <c r="W973" t="s">
        <v>432</v>
      </c>
      <c r="X973" t="s">
        <v>306</v>
      </c>
      <c r="Y973" t="s">
        <v>307</v>
      </c>
      <c r="Z973">
        <v>65</v>
      </c>
      <c r="AA973">
        <v>73</v>
      </c>
      <c r="AB973" t="s">
        <v>143</v>
      </c>
      <c r="AC973" t="s">
        <v>336</v>
      </c>
      <c r="AD973" t="s">
        <v>278</v>
      </c>
      <c r="AE973" t="str">
        <f>IF(AF973="","",VLOOKUP(AC973,mapel!$A$2:$B$42,2,FALSE))</f>
        <v>Pancasila</v>
      </c>
      <c r="AF973">
        <f t="shared" si="45"/>
        <v>73</v>
      </c>
      <c r="AG973" t="str">
        <f>IF(AF973="","",IF(AF973&gt;90,"Sangat baik",IF(AF973&gt;79,"Baik",IF(AF973&gt;=pub_gid_0_single_true_output_csv[[#This Row],[KKM]],"Cukup","Kurang"))))</f>
        <v>Cukup</v>
      </c>
      <c r="AH973">
        <f t="shared" si="46"/>
        <v>11</v>
      </c>
      <c r="AI973" s="30" t="str">
        <f>IF(OR(J973&lt;&gt;"Karakter",pub_gid_0_single_true_output_csv[[#This Row],[Nilai2]]=""),"",IF(AF973&gt;89,"Sangat baik",IF(AF973&gt;79,"Baik",IF(AF973&gt;69,"Cukup",IF(AF973&gt;59,"Kurang","Sangat kurang")))))</f>
        <v>Cukup</v>
      </c>
      <c r="AJ973" t="str">
        <f t="shared" si="47"/>
        <v>Wk.3</v>
      </c>
      <c r="AK973" t="str">
        <f>IF(pub_gid_0_single_true_output_csv[[#This Row],[Nilai2]]="","",VLOOKUP(pub_gid_0_single_true_output_csv[[#This Row],[NAMA]],Table7[],3,FALSE))</f>
        <v>Average</v>
      </c>
    </row>
    <row r="974" spans="1:37" x14ac:dyDescent="0.2">
      <c r="A974">
        <v>973</v>
      </c>
      <c r="B974" t="s">
        <v>292</v>
      </c>
      <c r="C974" t="s">
        <v>54</v>
      </c>
      <c r="D974" t="s">
        <v>94</v>
      </c>
      <c r="E974" t="s">
        <v>147</v>
      </c>
      <c r="F974" s="25">
        <v>46034</v>
      </c>
      <c r="G974" t="s">
        <v>354</v>
      </c>
      <c r="H974" t="s">
        <v>405</v>
      </c>
      <c r="I974" t="s">
        <v>371</v>
      </c>
      <c r="J974" t="s">
        <v>36</v>
      </c>
      <c r="K974" t="s">
        <v>37</v>
      </c>
      <c r="L974" t="s">
        <v>150</v>
      </c>
      <c r="M974" t="s">
        <v>141</v>
      </c>
      <c r="N974" t="s">
        <v>142</v>
      </c>
      <c r="O974" t="s">
        <v>155</v>
      </c>
      <c r="P974" t="s">
        <v>281</v>
      </c>
      <c r="Q974" t="s">
        <v>155</v>
      </c>
      <c r="R974" t="s">
        <v>302</v>
      </c>
      <c r="S974" t="s">
        <v>309</v>
      </c>
      <c r="T974">
        <v>1</v>
      </c>
      <c r="U974" t="s">
        <v>431</v>
      </c>
      <c r="V974" t="s">
        <v>285</v>
      </c>
      <c r="W974" t="s">
        <v>432</v>
      </c>
      <c r="X974" t="s">
        <v>306</v>
      </c>
      <c r="Y974" t="s">
        <v>307</v>
      </c>
      <c r="Z974">
        <v>65</v>
      </c>
      <c r="AA974">
        <v>60</v>
      </c>
      <c r="AB974" t="s">
        <v>151</v>
      </c>
      <c r="AC974" t="s">
        <v>336</v>
      </c>
      <c r="AD974" t="s">
        <v>278</v>
      </c>
      <c r="AE974" t="str">
        <f>IF(AF974="","",VLOOKUP(AC974,mapel!$A$2:$B$42,2,FALSE))</f>
        <v>Pancasila</v>
      </c>
      <c r="AF974">
        <f t="shared" si="45"/>
        <v>60</v>
      </c>
      <c r="AG974" t="str">
        <f>IF(AF974="","",IF(AF974&gt;90,"Sangat baik",IF(AF974&gt;79,"Baik",IF(AF974&gt;=pub_gid_0_single_true_output_csv[[#This Row],[KKM]],"Cukup","Kurang"))))</f>
        <v>Kurang</v>
      </c>
      <c r="AH974">
        <f t="shared" si="46"/>
        <v>11</v>
      </c>
      <c r="AI974" s="30" t="str">
        <f>IF(OR(J974&lt;&gt;"Karakter",pub_gid_0_single_true_output_csv[[#This Row],[Nilai2]]=""),"",IF(AF974&gt;89,"Sangat baik",IF(AF974&gt;79,"Baik",IF(AF974&gt;69,"Cukup",IF(AF974&gt;59,"Kurang","Sangat kurang")))))</f>
        <v/>
      </c>
      <c r="AJ974" t="str">
        <f t="shared" si="47"/>
        <v>Wk.3</v>
      </c>
      <c r="AK974" t="str">
        <f>IF(pub_gid_0_single_true_output_csv[[#This Row],[Nilai2]]="","",VLOOKUP(pub_gid_0_single_true_output_csv[[#This Row],[NAMA]],Table7[],3,FALSE))</f>
        <v>Average</v>
      </c>
    </row>
    <row r="975" spans="1:37" x14ac:dyDescent="0.2">
      <c r="A975">
        <v>974</v>
      </c>
      <c r="B975" t="s">
        <v>292</v>
      </c>
      <c r="C975" t="s">
        <v>54</v>
      </c>
      <c r="D975" t="s">
        <v>94</v>
      </c>
      <c r="E975" t="s">
        <v>147</v>
      </c>
      <c r="F975" s="25">
        <v>46034</v>
      </c>
      <c r="G975" t="s">
        <v>354</v>
      </c>
      <c r="H975" t="s">
        <v>405</v>
      </c>
      <c r="I975" t="s">
        <v>371</v>
      </c>
      <c r="J975" t="s">
        <v>31</v>
      </c>
      <c r="K975" t="s">
        <v>32</v>
      </c>
      <c r="L975" t="s">
        <v>150</v>
      </c>
      <c r="M975" t="s">
        <v>141</v>
      </c>
      <c r="N975" t="s">
        <v>142</v>
      </c>
      <c r="O975" t="s">
        <v>155</v>
      </c>
      <c r="P975" t="s">
        <v>281</v>
      </c>
      <c r="Q975" t="s">
        <v>155</v>
      </c>
      <c r="R975" t="s">
        <v>302</v>
      </c>
      <c r="S975" t="s">
        <v>309</v>
      </c>
      <c r="T975">
        <v>1</v>
      </c>
      <c r="U975" t="s">
        <v>431</v>
      </c>
      <c r="V975" t="s">
        <v>285</v>
      </c>
      <c r="W975" t="s">
        <v>432</v>
      </c>
      <c r="X975" t="s">
        <v>306</v>
      </c>
      <c r="Y975" t="s">
        <v>307</v>
      </c>
      <c r="Z975">
        <v>65</v>
      </c>
      <c r="AA975">
        <v>65</v>
      </c>
      <c r="AB975" t="s">
        <v>143</v>
      </c>
      <c r="AC975" t="s">
        <v>336</v>
      </c>
      <c r="AD975" t="s">
        <v>278</v>
      </c>
      <c r="AE975" t="str">
        <f>IF(AF975="","",VLOOKUP(AC975,mapel!$A$2:$B$42,2,FALSE))</f>
        <v>Pancasila</v>
      </c>
      <c r="AF975">
        <f t="shared" si="45"/>
        <v>65</v>
      </c>
      <c r="AG975" t="str">
        <f>IF(AF975="","",IF(AF975&gt;90,"Sangat baik",IF(AF975&gt;79,"Baik",IF(AF975&gt;=pub_gid_0_single_true_output_csv[[#This Row],[KKM]],"Cukup","Kurang"))))</f>
        <v>Cukup</v>
      </c>
      <c r="AH975">
        <f t="shared" si="46"/>
        <v>11</v>
      </c>
      <c r="AI975" s="30" t="str">
        <f>IF(OR(J975&lt;&gt;"Karakter",pub_gid_0_single_true_output_csv[[#This Row],[Nilai2]]=""),"",IF(AF975&gt;89,"Sangat baik",IF(AF975&gt;79,"Baik",IF(AF975&gt;69,"Cukup",IF(AF975&gt;59,"Kurang","Sangat kurang")))))</f>
        <v/>
      </c>
      <c r="AJ975" t="str">
        <f t="shared" si="47"/>
        <v>Wk.3</v>
      </c>
      <c r="AK975" t="str">
        <f>IF(pub_gid_0_single_true_output_csv[[#This Row],[Nilai2]]="","",VLOOKUP(pub_gid_0_single_true_output_csv[[#This Row],[NAMA]],Table7[],3,FALSE))</f>
        <v>Average</v>
      </c>
    </row>
    <row r="976" spans="1:37" x14ac:dyDescent="0.2">
      <c r="A976">
        <v>975</v>
      </c>
      <c r="B976" t="s">
        <v>292</v>
      </c>
      <c r="C976" t="s">
        <v>54</v>
      </c>
      <c r="D976" t="s">
        <v>94</v>
      </c>
      <c r="E976" t="s">
        <v>147</v>
      </c>
      <c r="F976" s="25">
        <v>46034</v>
      </c>
      <c r="G976" t="s">
        <v>354</v>
      </c>
      <c r="H976" t="s">
        <v>405</v>
      </c>
      <c r="I976" t="s">
        <v>371</v>
      </c>
      <c r="J976" t="s">
        <v>279</v>
      </c>
      <c r="K976" t="s">
        <v>280</v>
      </c>
      <c r="L976" t="s">
        <v>322</v>
      </c>
      <c r="M976" t="s">
        <v>141</v>
      </c>
      <c r="N976" t="s">
        <v>142</v>
      </c>
      <c r="O976" t="s">
        <v>155</v>
      </c>
      <c r="P976" t="s">
        <v>281</v>
      </c>
      <c r="Q976" t="s">
        <v>155</v>
      </c>
      <c r="R976" t="s">
        <v>302</v>
      </c>
      <c r="S976" t="s">
        <v>309</v>
      </c>
      <c r="T976">
        <v>1</v>
      </c>
      <c r="U976" t="s">
        <v>431</v>
      </c>
      <c r="V976" t="s">
        <v>285</v>
      </c>
      <c r="W976" t="s">
        <v>432</v>
      </c>
      <c r="X976" t="s">
        <v>306</v>
      </c>
      <c r="Y976" t="s">
        <v>307</v>
      </c>
      <c r="Z976">
        <v>65</v>
      </c>
      <c r="AA976">
        <v>70</v>
      </c>
      <c r="AB976" t="s">
        <v>143</v>
      </c>
      <c r="AC976" t="s">
        <v>336</v>
      </c>
      <c r="AD976" t="s">
        <v>278</v>
      </c>
      <c r="AE976" t="str">
        <f>IF(AF976="","",VLOOKUP(AC976,mapel!$A$2:$B$42,2,FALSE))</f>
        <v>Pancasila</v>
      </c>
      <c r="AF976">
        <f t="shared" si="45"/>
        <v>70</v>
      </c>
      <c r="AG976" t="str">
        <f>IF(AF976="","",IF(AF976&gt;90,"Sangat baik",IF(AF976&gt;79,"Baik",IF(AF976&gt;=pub_gid_0_single_true_output_csv[[#This Row],[KKM]],"Cukup","Kurang"))))</f>
        <v>Cukup</v>
      </c>
      <c r="AH976">
        <f t="shared" si="46"/>
        <v>11</v>
      </c>
      <c r="AI976" s="30" t="str">
        <f>IF(OR(J976&lt;&gt;"Karakter",pub_gid_0_single_true_output_csv[[#This Row],[Nilai2]]=""),"",IF(AF976&gt;89,"Sangat baik",IF(AF976&gt;79,"Baik",IF(AF976&gt;69,"Cukup",IF(AF976&gt;59,"Kurang","Sangat kurang")))))</f>
        <v/>
      </c>
      <c r="AJ976" t="str">
        <f t="shared" si="47"/>
        <v>Wk.3</v>
      </c>
      <c r="AK976" t="str">
        <f>IF(pub_gid_0_single_true_output_csv[[#This Row],[Nilai2]]="","",VLOOKUP(pub_gid_0_single_true_output_csv[[#This Row],[NAMA]],Table7[],3,FALSE))</f>
        <v>Average</v>
      </c>
    </row>
    <row r="977" spans="1:37" x14ac:dyDescent="0.2">
      <c r="A977">
        <v>976</v>
      </c>
      <c r="B977" t="s">
        <v>292</v>
      </c>
      <c r="C977" t="s">
        <v>54</v>
      </c>
      <c r="D977" t="s">
        <v>94</v>
      </c>
      <c r="E977" t="s">
        <v>147</v>
      </c>
      <c r="F977" s="25">
        <v>46048</v>
      </c>
      <c r="G977" t="s">
        <v>371</v>
      </c>
      <c r="H977" t="s">
        <v>405</v>
      </c>
      <c r="I977" t="s">
        <v>371</v>
      </c>
      <c r="J977" t="s">
        <v>36</v>
      </c>
      <c r="K977" t="s">
        <v>37</v>
      </c>
      <c r="L977" t="s">
        <v>351</v>
      </c>
      <c r="M977" t="s">
        <v>141</v>
      </c>
      <c r="N977" t="s">
        <v>142</v>
      </c>
      <c r="O977" t="s">
        <v>155</v>
      </c>
      <c r="P977" t="s">
        <v>281</v>
      </c>
      <c r="Q977" t="s">
        <v>155</v>
      </c>
      <c r="R977" t="s">
        <v>302</v>
      </c>
      <c r="S977" t="s">
        <v>369</v>
      </c>
      <c r="T977">
        <v>1</v>
      </c>
      <c r="U977" t="s">
        <v>431</v>
      </c>
      <c r="V977" t="s">
        <v>342</v>
      </c>
      <c r="W977" t="s">
        <v>433</v>
      </c>
      <c r="X977" t="s">
        <v>306</v>
      </c>
      <c r="Y977" t="s">
        <v>307</v>
      </c>
      <c r="Z977">
        <v>65</v>
      </c>
      <c r="AA977">
        <v>86</v>
      </c>
      <c r="AB977" t="s">
        <v>143</v>
      </c>
      <c r="AC977" t="s">
        <v>336</v>
      </c>
      <c r="AD977" t="s">
        <v>278</v>
      </c>
      <c r="AE977" t="str">
        <f>IF(AF977="","",VLOOKUP(AC977,mapel!$A$2:$B$42,2,FALSE))</f>
        <v>Pancasila</v>
      </c>
      <c r="AF977">
        <f t="shared" si="45"/>
        <v>86</v>
      </c>
      <c r="AG977" t="str">
        <f>IF(AF977="","",IF(AF977&gt;90,"Sangat baik",IF(AF977&gt;79,"Baik",IF(AF977&gt;=pub_gid_0_single_true_output_csv[[#This Row],[KKM]],"Cukup","Kurang"))))</f>
        <v>Baik</v>
      </c>
      <c r="AH977">
        <f t="shared" si="46"/>
        <v>11</v>
      </c>
      <c r="AI977" s="30" t="str">
        <f>IF(OR(J977&lt;&gt;"Karakter",pub_gid_0_single_true_output_csv[[#This Row],[Nilai2]]=""),"",IF(AF977&gt;89,"Sangat baik",IF(AF977&gt;79,"Baik",IF(AF977&gt;69,"Cukup",IF(AF977&gt;59,"Kurang","Sangat kurang")))))</f>
        <v/>
      </c>
      <c r="AJ977" t="str">
        <f t="shared" si="47"/>
        <v>Wk.5</v>
      </c>
      <c r="AK977" t="str">
        <f>IF(pub_gid_0_single_true_output_csv[[#This Row],[Nilai2]]="","",VLOOKUP(pub_gid_0_single_true_output_csv[[#This Row],[NAMA]],Table7[],3,FALSE))</f>
        <v>Average</v>
      </c>
    </row>
    <row r="978" spans="1:37" x14ac:dyDescent="0.2">
      <c r="A978">
        <v>977</v>
      </c>
      <c r="B978" t="s">
        <v>292</v>
      </c>
      <c r="C978" t="s">
        <v>54</v>
      </c>
      <c r="D978" t="s">
        <v>94</v>
      </c>
      <c r="E978" t="s">
        <v>147</v>
      </c>
      <c r="F978" s="25">
        <v>46048</v>
      </c>
      <c r="G978" t="s">
        <v>371</v>
      </c>
      <c r="H978" t="s">
        <v>405</v>
      </c>
      <c r="I978" t="s">
        <v>371</v>
      </c>
      <c r="J978" t="s">
        <v>31</v>
      </c>
      <c r="K978" t="s">
        <v>96</v>
      </c>
      <c r="L978" t="s">
        <v>351</v>
      </c>
      <c r="M978" t="s">
        <v>141</v>
      </c>
      <c r="N978" t="s">
        <v>142</v>
      </c>
      <c r="O978" t="s">
        <v>155</v>
      </c>
      <c r="P978" t="s">
        <v>281</v>
      </c>
      <c r="Q978" t="s">
        <v>155</v>
      </c>
      <c r="R978" t="s">
        <v>302</v>
      </c>
      <c r="S978" t="s">
        <v>369</v>
      </c>
      <c r="T978">
        <v>1</v>
      </c>
      <c r="U978" t="s">
        <v>431</v>
      </c>
      <c r="V978" t="s">
        <v>342</v>
      </c>
      <c r="W978" t="s">
        <v>433</v>
      </c>
      <c r="X978" t="s">
        <v>306</v>
      </c>
      <c r="Y978" t="s">
        <v>307</v>
      </c>
      <c r="Z978">
        <v>65</v>
      </c>
      <c r="AA978">
        <v>80</v>
      </c>
      <c r="AB978" t="s">
        <v>143</v>
      </c>
      <c r="AC978" t="s">
        <v>336</v>
      </c>
      <c r="AD978" t="s">
        <v>278</v>
      </c>
      <c r="AE978" t="str">
        <f>IF(AF978="","",VLOOKUP(AC978,mapel!$A$2:$B$42,2,FALSE))</f>
        <v>Pancasila</v>
      </c>
      <c r="AF978">
        <f t="shared" si="45"/>
        <v>80</v>
      </c>
      <c r="AG978" t="str">
        <f>IF(AF978="","",IF(AF978&gt;90,"Sangat baik",IF(AF978&gt;79,"Baik",IF(AF978&gt;=pub_gid_0_single_true_output_csv[[#This Row],[KKM]],"Cukup","Kurang"))))</f>
        <v>Baik</v>
      </c>
      <c r="AH978">
        <f t="shared" si="46"/>
        <v>11</v>
      </c>
      <c r="AI978" s="30" t="str">
        <f>IF(OR(J978&lt;&gt;"Karakter",pub_gid_0_single_true_output_csv[[#This Row],[Nilai2]]=""),"",IF(AF978&gt;89,"Sangat baik",IF(AF978&gt;79,"Baik",IF(AF978&gt;69,"Cukup",IF(AF978&gt;59,"Kurang","Sangat kurang")))))</f>
        <v/>
      </c>
      <c r="AJ978" t="str">
        <f t="shared" si="47"/>
        <v>Wk.5</v>
      </c>
      <c r="AK978" t="str">
        <f>IF(pub_gid_0_single_true_output_csv[[#This Row],[Nilai2]]="","",VLOOKUP(pub_gid_0_single_true_output_csv[[#This Row],[NAMA]],Table7[],3,FALSE))</f>
        <v>Average</v>
      </c>
    </row>
    <row r="979" spans="1:37" x14ac:dyDescent="0.2">
      <c r="A979">
        <v>978</v>
      </c>
      <c r="B979" t="s">
        <v>292</v>
      </c>
      <c r="C979" t="s">
        <v>54</v>
      </c>
      <c r="D979" t="s">
        <v>94</v>
      </c>
      <c r="E979" t="s">
        <v>147</v>
      </c>
      <c r="F979" s="25">
        <v>46048</v>
      </c>
      <c r="G979" t="s">
        <v>371</v>
      </c>
      <c r="H979" t="s">
        <v>405</v>
      </c>
      <c r="I979" t="s">
        <v>371</v>
      </c>
      <c r="J979" t="s">
        <v>90</v>
      </c>
      <c r="K979" t="s">
        <v>377</v>
      </c>
      <c r="L979" t="s">
        <v>378</v>
      </c>
      <c r="M979" t="s">
        <v>141</v>
      </c>
      <c r="N979" t="s">
        <v>142</v>
      </c>
      <c r="O979" t="s">
        <v>155</v>
      </c>
      <c r="P979" t="s">
        <v>281</v>
      </c>
      <c r="Q979" t="s">
        <v>155</v>
      </c>
      <c r="R979" t="s">
        <v>302</v>
      </c>
      <c r="S979" t="s">
        <v>369</v>
      </c>
      <c r="T979">
        <v>1</v>
      </c>
      <c r="U979" t="s">
        <v>431</v>
      </c>
      <c r="V979" t="s">
        <v>342</v>
      </c>
      <c r="W979" t="s">
        <v>433</v>
      </c>
      <c r="X979" t="s">
        <v>306</v>
      </c>
      <c r="Y979" t="s">
        <v>307</v>
      </c>
      <c r="Z979">
        <v>65</v>
      </c>
      <c r="AA979">
        <v>73</v>
      </c>
      <c r="AB979" t="s">
        <v>143</v>
      </c>
      <c r="AC979" t="s">
        <v>336</v>
      </c>
      <c r="AD979" t="s">
        <v>278</v>
      </c>
      <c r="AE979" t="str">
        <f>IF(AF979="","",VLOOKUP(AC979,mapel!$A$2:$B$42,2,FALSE))</f>
        <v>Pancasila</v>
      </c>
      <c r="AF979">
        <f t="shared" si="45"/>
        <v>73</v>
      </c>
      <c r="AG979" t="str">
        <f>IF(AF979="","",IF(AF979&gt;90,"Sangat baik",IF(AF979&gt;79,"Baik",IF(AF979&gt;=pub_gid_0_single_true_output_csv[[#This Row],[KKM]],"Cukup","Kurang"))))</f>
        <v>Cukup</v>
      </c>
      <c r="AH979">
        <f t="shared" si="46"/>
        <v>11</v>
      </c>
      <c r="AI979" s="30" t="str">
        <f>IF(OR(J979&lt;&gt;"Karakter",pub_gid_0_single_true_output_csv[[#This Row],[Nilai2]]=""),"",IF(AF979&gt;89,"Sangat baik",IF(AF979&gt;79,"Baik",IF(AF979&gt;69,"Cukup",IF(AF979&gt;59,"Kurang","Sangat kurang")))))</f>
        <v>Cukup</v>
      </c>
      <c r="AJ979" t="str">
        <f t="shared" si="47"/>
        <v>Wk.5</v>
      </c>
      <c r="AK979" t="str">
        <f>IF(pub_gid_0_single_true_output_csv[[#This Row],[Nilai2]]="","",VLOOKUP(pub_gid_0_single_true_output_csv[[#This Row],[NAMA]],Table7[],3,FALSE))</f>
        <v>Average</v>
      </c>
    </row>
    <row r="980" spans="1:37" x14ac:dyDescent="0.2">
      <c r="A980">
        <v>979</v>
      </c>
      <c r="B980" t="s">
        <v>292</v>
      </c>
      <c r="C980" t="s">
        <v>54</v>
      </c>
      <c r="D980" t="s">
        <v>94</v>
      </c>
      <c r="E980" t="s">
        <v>147</v>
      </c>
      <c r="F980" s="25">
        <v>46048</v>
      </c>
      <c r="G980" t="s">
        <v>371</v>
      </c>
      <c r="H980" t="s">
        <v>405</v>
      </c>
      <c r="I980" t="s">
        <v>371</v>
      </c>
      <c r="J980" t="s">
        <v>279</v>
      </c>
      <c r="K980" t="s">
        <v>280</v>
      </c>
      <c r="L980" t="s">
        <v>322</v>
      </c>
      <c r="M980" t="s">
        <v>141</v>
      </c>
      <c r="N980" t="s">
        <v>142</v>
      </c>
      <c r="O980" t="s">
        <v>155</v>
      </c>
      <c r="P980" t="s">
        <v>281</v>
      </c>
      <c r="Q980" t="s">
        <v>155</v>
      </c>
      <c r="R980" t="s">
        <v>302</v>
      </c>
      <c r="S980" t="s">
        <v>369</v>
      </c>
      <c r="T980">
        <v>1</v>
      </c>
      <c r="U980" t="s">
        <v>431</v>
      </c>
      <c r="V980" t="s">
        <v>342</v>
      </c>
      <c r="W980" t="s">
        <v>433</v>
      </c>
      <c r="X980" t="s">
        <v>306</v>
      </c>
      <c r="Y980" t="s">
        <v>307</v>
      </c>
      <c r="Z980">
        <v>65</v>
      </c>
      <c r="AA980">
        <v>73</v>
      </c>
      <c r="AB980" t="s">
        <v>143</v>
      </c>
      <c r="AC980" t="s">
        <v>336</v>
      </c>
      <c r="AD980" t="s">
        <v>278</v>
      </c>
      <c r="AE980" t="str">
        <f>IF(AF980="","",VLOOKUP(AC980,mapel!$A$2:$B$42,2,FALSE))</f>
        <v>Pancasila</v>
      </c>
      <c r="AF980">
        <f t="shared" si="45"/>
        <v>73</v>
      </c>
      <c r="AG980" t="str">
        <f>IF(AF980="","",IF(AF980&gt;90,"Sangat baik",IF(AF980&gt;79,"Baik",IF(AF980&gt;=pub_gid_0_single_true_output_csv[[#This Row],[KKM]],"Cukup","Kurang"))))</f>
        <v>Cukup</v>
      </c>
      <c r="AH980">
        <f t="shared" si="46"/>
        <v>11</v>
      </c>
      <c r="AI980" s="30" t="str">
        <f>IF(OR(J980&lt;&gt;"Karakter",pub_gid_0_single_true_output_csv[[#This Row],[Nilai2]]=""),"",IF(AF980&gt;89,"Sangat baik",IF(AF980&gt;79,"Baik",IF(AF980&gt;69,"Cukup",IF(AF980&gt;59,"Kurang","Sangat kurang")))))</f>
        <v/>
      </c>
      <c r="AJ980" t="str">
        <f t="shared" si="47"/>
        <v>Wk.5</v>
      </c>
      <c r="AK980" t="str">
        <f>IF(pub_gid_0_single_true_output_csv[[#This Row],[Nilai2]]="","",VLOOKUP(pub_gid_0_single_true_output_csv[[#This Row],[NAMA]],Table7[],3,FALSE))</f>
        <v>Average</v>
      </c>
    </row>
    <row r="981" spans="1:37" x14ac:dyDescent="0.2">
      <c r="A981">
        <v>980</v>
      </c>
      <c r="B981" t="s">
        <v>292</v>
      </c>
      <c r="C981" t="s">
        <v>54</v>
      </c>
      <c r="D981" t="s">
        <v>94</v>
      </c>
      <c r="E981" t="s">
        <v>147</v>
      </c>
      <c r="F981" s="25">
        <v>46055</v>
      </c>
      <c r="G981" t="s">
        <v>379</v>
      </c>
      <c r="H981" t="s">
        <v>412</v>
      </c>
      <c r="I981" t="s">
        <v>371</v>
      </c>
      <c r="J981" t="s">
        <v>90</v>
      </c>
      <c r="K981" t="s">
        <v>377</v>
      </c>
      <c r="L981" t="s">
        <v>400</v>
      </c>
      <c r="M981" t="s">
        <v>141</v>
      </c>
      <c r="N981" t="s">
        <v>142</v>
      </c>
      <c r="O981" t="s">
        <v>155</v>
      </c>
      <c r="P981" t="s">
        <v>281</v>
      </c>
      <c r="Q981" t="s">
        <v>155</v>
      </c>
      <c r="R981" t="s">
        <v>302</v>
      </c>
      <c r="S981" t="s">
        <v>345</v>
      </c>
      <c r="T981">
        <v>1</v>
      </c>
      <c r="U981" t="s">
        <v>431</v>
      </c>
      <c r="V981" t="s">
        <v>343</v>
      </c>
      <c r="W981" t="s">
        <v>434</v>
      </c>
      <c r="X981" t="s">
        <v>306</v>
      </c>
      <c r="Y981" t="s">
        <v>307</v>
      </c>
      <c r="Z981">
        <v>65</v>
      </c>
      <c r="AA981">
        <v>76</v>
      </c>
      <c r="AB981" t="s">
        <v>143</v>
      </c>
      <c r="AC981" t="s">
        <v>336</v>
      </c>
      <c r="AD981" t="s">
        <v>278</v>
      </c>
      <c r="AE981" t="str">
        <f>IF(AF981="","",VLOOKUP(AC981,mapel!$A$2:$B$42,2,FALSE))</f>
        <v>Pancasila</v>
      </c>
      <c r="AF981">
        <f t="shared" si="45"/>
        <v>76</v>
      </c>
      <c r="AG981" t="str">
        <f>IF(AF981="","",IF(AF981&gt;90,"Sangat baik",IF(AF981&gt;79,"Baik",IF(AF981&gt;=pub_gid_0_single_true_output_csv[[#This Row],[KKM]],"Cukup","Kurang"))))</f>
        <v>Cukup</v>
      </c>
      <c r="AH981">
        <f t="shared" si="46"/>
        <v>11</v>
      </c>
      <c r="AI981" s="30" t="str">
        <f>IF(OR(J981&lt;&gt;"Karakter",pub_gid_0_single_true_output_csv[[#This Row],[Nilai2]]=""),"",IF(AF981&gt;89,"Sangat baik",IF(AF981&gt;79,"Baik",IF(AF981&gt;69,"Cukup",IF(AF981&gt;59,"Kurang","Sangat kurang")))))</f>
        <v>Cukup</v>
      </c>
      <c r="AJ981" t="str">
        <f t="shared" si="47"/>
        <v>Wk.6</v>
      </c>
      <c r="AK981" t="str">
        <f>IF(pub_gid_0_single_true_output_csv[[#This Row],[Nilai2]]="","",VLOOKUP(pub_gid_0_single_true_output_csv[[#This Row],[NAMA]],Table7[],3,FALSE))</f>
        <v>Average</v>
      </c>
    </row>
    <row r="982" spans="1:37" x14ac:dyDescent="0.2">
      <c r="A982">
        <v>981</v>
      </c>
      <c r="B982" t="s">
        <v>292</v>
      </c>
      <c r="C982" t="s">
        <v>54</v>
      </c>
      <c r="D982" t="s">
        <v>94</v>
      </c>
      <c r="E982" t="s">
        <v>147</v>
      </c>
      <c r="F982" s="25">
        <v>46055</v>
      </c>
      <c r="G982" t="s">
        <v>379</v>
      </c>
      <c r="H982" t="s">
        <v>412</v>
      </c>
      <c r="I982" t="s">
        <v>371</v>
      </c>
      <c r="J982" t="s">
        <v>279</v>
      </c>
      <c r="K982" t="s">
        <v>280</v>
      </c>
      <c r="L982" t="s">
        <v>322</v>
      </c>
      <c r="M982" t="s">
        <v>141</v>
      </c>
      <c r="N982" t="s">
        <v>142</v>
      </c>
      <c r="O982" t="s">
        <v>155</v>
      </c>
      <c r="P982" t="s">
        <v>281</v>
      </c>
      <c r="Q982" t="s">
        <v>155</v>
      </c>
      <c r="R982" t="s">
        <v>302</v>
      </c>
      <c r="S982" t="s">
        <v>345</v>
      </c>
      <c r="T982">
        <v>1</v>
      </c>
      <c r="U982" t="s">
        <v>431</v>
      </c>
      <c r="V982" t="s">
        <v>343</v>
      </c>
      <c r="W982" t="s">
        <v>434</v>
      </c>
      <c r="X982" t="s">
        <v>306</v>
      </c>
      <c r="Y982" t="s">
        <v>307</v>
      </c>
      <c r="Z982">
        <v>65</v>
      </c>
      <c r="AA982">
        <v>76</v>
      </c>
      <c r="AB982" t="s">
        <v>143</v>
      </c>
      <c r="AC982" t="s">
        <v>336</v>
      </c>
      <c r="AD982" t="s">
        <v>278</v>
      </c>
      <c r="AE982" t="str">
        <f>IF(AF982="","",VLOOKUP(AC982,mapel!$A$2:$B$42,2,FALSE))</f>
        <v>Pancasila</v>
      </c>
      <c r="AF982">
        <f t="shared" si="45"/>
        <v>76</v>
      </c>
      <c r="AG982" t="str">
        <f>IF(AF982="","",IF(AF982&gt;90,"Sangat baik",IF(AF982&gt;79,"Baik",IF(AF982&gt;=pub_gid_0_single_true_output_csv[[#This Row],[KKM]],"Cukup","Kurang"))))</f>
        <v>Cukup</v>
      </c>
      <c r="AH982">
        <f t="shared" si="46"/>
        <v>11</v>
      </c>
      <c r="AI982" s="30" t="str">
        <f>IF(OR(J982&lt;&gt;"Karakter",pub_gid_0_single_true_output_csv[[#This Row],[Nilai2]]=""),"",IF(AF982&gt;89,"Sangat baik",IF(AF982&gt;79,"Baik",IF(AF982&gt;69,"Cukup",IF(AF982&gt;59,"Kurang","Sangat kurang")))))</f>
        <v/>
      </c>
      <c r="AJ982" t="str">
        <f t="shared" si="47"/>
        <v>Wk.6</v>
      </c>
      <c r="AK982" t="str">
        <f>IF(pub_gid_0_single_true_output_csv[[#This Row],[Nilai2]]="","",VLOOKUP(pub_gid_0_single_true_output_csv[[#This Row],[NAMA]],Table7[],3,FALSE))</f>
        <v>Average</v>
      </c>
    </row>
    <row r="983" spans="1:37" x14ac:dyDescent="0.2">
      <c r="A983">
        <v>982</v>
      </c>
      <c r="B983" t="s">
        <v>292</v>
      </c>
      <c r="C983" t="s">
        <v>54</v>
      </c>
      <c r="D983" t="s">
        <v>94</v>
      </c>
      <c r="E983" t="s">
        <v>147</v>
      </c>
      <c r="F983" s="25">
        <v>46055</v>
      </c>
      <c r="G983" t="s">
        <v>379</v>
      </c>
      <c r="H983" t="s">
        <v>412</v>
      </c>
      <c r="I983" t="s">
        <v>371</v>
      </c>
      <c r="J983" t="s">
        <v>41</v>
      </c>
      <c r="K983" t="s">
        <v>365</v>
      </c>
      <c r="L983" t="s">
        <v>351</v>
      </c>
      <c r="M983" t="s">
        <v>141</v>
      </c>
      <c r="N983" t="s">
        <v>142</v>
      </c>
      <c r="O983" t="s">
        <v>155</v>
      </c>
      <c r="P983" t="s">
        <v>281</v>
      </c>
      <c r="Q983" t="s">
        <v>155</v>
      </c>
      <c r="R983" t="s">
        <v>302</v>
      </c>
      <c r="S983" t="s">
        <v>345</v>
      </c>
      <c r="T983">
        <v>1</v>
      </c>
      <c r="U983" t="s">
        <v>431</v>
      </c>
      <c r="V983" t="s">
        <v>343</v>
      </c>
      <c r="W983" t="s">
        <v>434</v>
      </c>
      <c r="X983" t="s">
        <v>306</v>
      </c>
      <c r="Y983" t="s">
        <v>307</v>
      </c>
      <c r="Z983">
        <v>65</v>
      </c>
      <c r="AA983">
        <v>78</v>
      </c>
      <c r="AB983" t="s">
        <v>143</v>
      </c>
      <c r="AC983" t="s">
        <v>336</v>
      </c>
      <c r="AD983" t="s">
        <v>278</v>
      </c>
      <c r="AE983" t="str">
        <f>IF(AF983="","",VLOOKUP(AC983,mapel!$A$2:$B$42,2,FALSE))</f>
        <v>Pancasila</v>
      </c>
      <c r="AF983">
        <f t="shared" si="45"/>
        <v>78</v>
      </c>
      <c r="AG983" t="str">
        <f>IF(AF983="","",IF(AF983&gt;90,"Sangat baik",IF(AF983&gt;79,"Baik",IF(AF983&gt;=pub_gid_0_single_true_output_csv[[#This Row],[KKM]],"Cukup","Kurang"))))</f>
        <v>Cukup</v>
      </c>
      <c r="AH983">
        <f t="shared" si="46"/>
        <v>11</v>
      </c>
      <c r="AI983" s="30" t="str">
        <f>IF(OR(J983&lt;&gt;"Karakter",pub_gid_0_single_true_output_csv[[#This Row],[Nilai2]]=""),"",IF(AF983&gt;89,"Sangat baik",IF(AF983&gt;79,"Baik",IF(AF983&gt;69,"Cukup",IF(AF983&gt;59,"Kurang","Sangat kurang")))))</f>
        <v/>
      </c>
      <c r="AJ983" t="str">
        <f t="shared" si="47"/>
        <v>Wk.6</v>
      </c>
      <c r="AK983" t="str">
        <f>IF(pub_gid_0_single_true_output_csv[[#This Row],[Nilai2]]="","",VLOOKUP(pub_gid_0_single_true_output_csv[[#This Row],[NAMA]],Table7[],3,FALSE))</f>
        <v>Average</v>
      </c>
    </row>
    <row r="984" spans="1:37" x14ac:dyDescent="0.2">
      <c r="A984">
        <v>983</v>
      </c>
      <c r="B984" t="s">
        <v>292</v>
      </c>
      <c r="C984" t="s">
        <v>54</v>
      </c>
      <c r="D984" t="s">
        <v>94</v>
      </c>
      <c r="E984" t="s">
        <v>147</v>
      </c>
      <c r="F984" s="25">
        <v>46055</v>
      </c>
      <c r="G984" t="s">
        <v>379</v>
      </c>
      <c r="H984" t="s">
        <v>412</v>
      </c>
      <c r="I984" t="s">
        <v>371</v>
      </c>
      <c r="J984" t="s">
        <v>31</v>
      </c>
      <c r="K984" t="s">
        <v>96</v>
      </c>
      <c r="L984" t="s">
        <v>351</v>
      </c>
      <c r="M984" t="s">
        <v>141</v>
      </c>
      <c r="N984" t="s">
        <v>142</v>
      </c>
      <c r="O984" t="s">
        <v>155</v>
      </c>
      <c r="P984" t="s">
        <v>281</v>
      </c>
      <c r="Q984" t="s">
        <v>155</v>
      </c>
      <c r="R984" t="s">
        <v>302</v>
      </c>
      <c r="S984" t="s">
        <v>345</v>
      </c>
      <c r="T984">
        <v>1</v>
      </c>
      <c r="U984" t="s">
        <v>431</v>
      </c>
      <c r="V984" t="s">
        <v>343</v>
      </c>
      <c r="W984" t="s">
        <v>434</v>
      </c>
      <c r="X984" t="s">
        <v>306</v>
      </c>
      <c r="Y984" t="s">
        <v>307</v>
      </c>
      <c r="Z984">
        <v>65</v>
      </c>
      <c r="AA984">
        <v>72</v>
      </c>
      <c r="AB984" t="s">
        <v>143</v>
      </c>
      <c r="AC984" t="s">
        <v>336</v>
      </c>
      <c r="AD984" t="s">
        <v>278</v>
      </c>
      <c r="AE984" t="str">
        <f>IF(AF984="","",VLOOKUP(AC984,mapel!$A$2:$B$42,2,FALSE))</f>
        <v>Pancasila</v>
      </c>
      <c r="AF984">
        <f t="shared" si="45"/>
        <v>72</v>
      </c>
      <c r="AG984" t="str">
        <f>IF(AF984="","",IF(AF984&gt;90,"Sangat baik",IF(AF984&gt;79,"Baik",IF(AF984&gt;=pub_gid_0_single_true_output_csv[[#This Row],[KKM]],"Cukup","Kurang"))))</f>
        <v>Cukup</v>
      </c>
      <c r="AH984">
        <f t="shared" si="46"/>
        <v>11</v>
      </c>
      <c r="AI984" s="30" t="str">
        <f>IF(OR(J984&lt;&gt;"Karakter",pub_gid_0_single_true_output_csv[[#This Row],[Nilai2]]=""),"",IF(AF984&gt;89,"Sangat baik",IF(AF984&gt;79,"Baik",IF(AF984&gt;69,"Cukup",IF(AF984&gt;59,"Kurang","Sangat kurang")))))</f>
        <v/>
      </c>
      <c r="AJ984" t="str">
        <f t="shared" si="47"/>
        <v>Wk.6</v>
      </c>
      <c r="AK984" t="str">
        <f>IF(pub_gid_0_single_true_output_csv[[#This Row],[Nilai2]]="","",VLOOKUP(pub_gid_0_single_true_output_csv[[#This Row],[NAMA]],Table7[],3,FALSE))</f>
        <v>Average</v>
      </c>
    </row>
    <row r="985" spans="1:37" x14ac:dyDescent="0.2">
      <c r="A985">
        <v>984</v>
      </c>
      <c r="B985" t="s">
        <v>292</v>
      </c>
      <c r="C985" t="s">
        <v>54</v>
      </c>
      <c r="D985" t="s">
        <v>94</v>
      </c>
      <c r="E985" t="s">
        <v>147</v>
      </c>
      <c r="F985" s="25">
        <v>46055</v>
      </c>
      <c r="G985" t="s">
        <v>379</v>
      </c>
      <c r="H985" t="s">
        <v>412</v>
      </c>
      <c r="I985" t="s">
        <v>371</v>
      </c>
      <c r="J985" t="s">
        <v>36</v>
      </c>
      <c r="K985" t="s">
        <v>37</v>
      </c>
      <c r="L985" t="s">
        <v>324</v>
      </c>
      <c r="M985" t="s">
        <v>141</v>
      </c>
      <c r="N985" t="s">
        <v>142</v>
      </c>
      <c r="O985" t="s">
        <v>155</v>
      </c>
      <c r="P985" t="s">
        <v>281</v>
      </c>
      <c r="Q985" t="s">
        <v>155</v>
      </c>
      <c r="R985" t="s">
        <v>302</v>
      </c>
      <c r="S985" t="s">
        <v>345</v>
      </c>
      <c r="T985">
        <v>1</v>
      </c>
      <c r="U985" t="s">
        <v>431</v>
      </c>
      <c r="V985" t="s">
        <v>343</v>
      </c>
      <c r="W985" t="s">
        <v>434</v>
      </c>
      <c r="X985" t="s">
        <v>306</v>
      </c>
      <c r="Y985" t="s">
        <v>307</v>
      </c>
      <c r="Z985">
        <v>65</v>
      </c>
      <c r="AA985">
        <v>70</v>
      </c>
      <c r="AB985" t="s">
        <v>143</v>
      </c>
      <c r="AC985" t="s">
        <v>336</v>
      </c>
      <c r="AD985" t="s">
        <v>278</v>
      </c>
      <c r="AE985" t="str">
        <f>IF(AF985="","",VLOOKUP(AC985,mapel!$A$2:$B$42,2,FALSE))</f>
        <v>Pancasila</v>
      </c>
      <c r="AF985">
        <f t="shared" si="45"/>
        <v>70</v>
      </c>
      <c r="AG985" t="str">
        <f>IF(AF985="","",IF(AF985&gt;90,"Sangat baik",IF(AF985&gt;79,"Baik",IF(AF985&gt;=pub_gid_0_single_true_output_csv[[#This Row],[KKM]],"Cukup","Kurang"))))</f>
        <v>Cukup</v>
      </c>
      <c r="AH985">
        <f t="shared" si="46"/>
        <v>11</v>
      </c>
      <c r="AI985" s="30" t="str">
        <f>IF(OR(J985&lt;&gt;"Karakter",pub_gid_0_single_true_output_csv[[#This Row],[Nilai2]]=""),"",IF(AF985&gt;89,"Sangat baik",IF(AF985&gt;79,"Baik",IF(AF985&gt;69,"Cukup",IF(AF985&gt;59,"Kurang","Sangat kurang")))))</f>
        <v/>
      </c>
      <c r="AJ985" t="str">
        <f t="shared" si="47"/>
        <v>Wk.6</v>
      </c>
      <c r="AK985" t="str">
        <f>IF(pub_gid_0_single_true_output_csv[[#This Row],[Nilai2]]="","",VLOOKUP(pub_gid_0_single_true_output_csv[[#This Row],[NAMA]],Table7[],3,FALSE))</f>
        <v>Average</v>
      </c>
    </row>
    <row r="986" spans="1:37" x14ac:dyDescent="0.2">
      <c r="A986">
        <v>985</v>
      </c>
      <c r="B986" t="s">
        <v>292</v>
      </c>
      <c r="C986" t="s">
        <v>54</v>
      </c>
      <c r="D986" t="s">
        <v>94</v>
      </c>
      <c r="E986" t="s">
        <v>147</v>
      </c>
      <c r="F986" s="25">
        <v>46062</v>
      </c>
      <c r="G986" t="s">
        <v>376</v>
      </c>
      <c r="H986" t="s">
        <v>412</v>
      </c>
      <c r="I986" t="s">
        <v>371</v>
      </c>
      <c r="J986" t="s">
        <v>36</v>
      </c>
      <c r="K986" t="s">
        <v>362</v>
      </c>
      <c r="L986" t="s">
        <v>363</v>
      </c>
      <c r="M986" t="s">
        <v>141</v>
      </c>
      <c r="N986" t="s">
        <v>142</v>
      </c>
      <c r="O986" t="s">
        <v>155</v>
      </c>
      <c r="P986" t="s">
        <v>281</v>
      </c>
      <c r="Q986" t="s">
        <v>155</v>
      </c>
      <c r="R986" t="s">
        <v>302</v>
      </c>
      <c r="S986" t="s">
        <v>309</v>
      </c>
      <c r="T986">
        <v>1</v>
      </c>
      <c r="U986" t="s">
        <v>431</v>
      </c>
      <c r="V986" t="s">
        <v>285</v>
      </c>
      <c r="W986" t="s">
        <v>432</v>
      </c>
      <c r="X986" t="s">
        <v>306</v>
      </c>
      <c r="Y986" t="s">
        <v>307</v>
      </c>
      <c r="Z986">
        <v>65</v>
      </c>
      <c r="AA986">
        <v>68</v>
      </c>
      <c r="AB986" t="s">
        <v>143</v>
      </c>
      <c r="AC986" t="s">
        <v>336</v>
      </c>
      <c r="AD986" t="s">
        <v>278</v>
      </c>
      <c r="AE986" t="str">
        <f>IF(AF986="","",VLOOKUP(AC986,mapel!$A$2:$B$42,2,FALSE))</f>
        <v>Pancasila</v>
      </c>
      <c r="AF986">
        <f t="shared" si="45"/>
        <v>68</v>
      </c>
      <c r="AG986" t="str">
        <f>IF(AF986="","",IF(AF986&gt;90,"Sangat baik",IF(AF986&gt;79,"Baik",IF(AF986&gt;=pub_gid_0_single_true_output_csv[[#This Row],[KKM]],"Cukup","Kurang"))))</f>
        <v>Cukup</v>
      </c>
      <c r="AH986">
        <f t="shared" si="46"/>
        <v>11</v>
      </c>
      <c r="AI986" s="30" t="str">
        <f>IF(OR(J986&lt;&gt;"Karakter",pub_gid_0_single_true_output_csv[[#This Row],[Nilai2]]=""),"",IF(AF986&gt;89,"Sangat baik",IF(AF986&gt;79,"Baik",IF(AF986&gt;69,"Cukup",IF(AF986&gt;59,"Kurang","Sangat kurang")))))</f>
        <v/>
      </c>
      <c r="AJ986" t="str">
        <f t="shared" si="47"/>
        <v>Wk.7</v>
      </c>
      <c r="AK986" t="str">
        <f>IF(pub_gid_0_single_true_output_csv[[#This Row],[Nilai2]]="","",VLOOKUP(pub_gid_0_single_true_output_csv[[#This Row],[NAMA]],Table7[],3,FALSE))</f>
        <v>Average</v>
      </c>
    </row>
    <row r="987" spans="1:37" x14ac:dyDescent="0.2">
      <c r="A987">
        <v>986</v>
      </c>
      <c r="B987" t="s">
        <v>292</v>
      </c>
      <c r="C987" t="s">
        <v>54</v>
      </c>
      <c r="D987" t="s">
        <v>94</v>
      </c>
      <c r="E987" t="s">
        <v>147</v>
      </c>
      <c r="F987" s="25">
        <v>46062</v>
      </c>
      <c r="G987" t="s">
        <v>376</v>
      </c>
      <c r="H987" t="s">
        <v>412</v>
      </c>
      <c r="I987" t="s">
        <v>371</v>
      </c>
      <c r="J987" t="s">
        <v>36</v>
      </c>
      <c r="K987" t="s">
        <v>362</v>
      </c>
      <c r="L987" t="s">
        <v>363</v>
      </c>
      <c r="M987" t="s">
        <v>141</v>
      </c>
      <c r="N987" t="s">
        <v>142</v>
      </c>
      <c r="O987" t="s">
        <v>155</v>
      </c>
      <c r="P987" t="s">
        <v>281</v>
      </c>
      <c r="Q987" t="s">
        <v>155</v>
      </c>
      <c r="R987" t="s">
        <v>302</v>
      </c>
      <c r="S987" t="s">
        <v>369</v>
      </c>
      <c r="T987">
        <v>1</v>
      </c>
      <c r="U987" t="s">
        <v>431</v>
      </c>
      <c r="V987" t="s">
        <v>342</v>
      </c>
      <c r="W987" t="s">
        <v>433</v>
      </c>
      <c r="X987" t="s">
        <v>306</v>
      </c>
      <c r="Y987" t="s">
        <v>307</v>
      </c>
      <c r="Z987">
        <v>65</v>
      </c>
      <c r="AA987">
        <v>74</v>
      </c>
      <c r="AB987" t="s">
        <v>143</v>
      </c>
      <c r="AC987" t="s">
        <v>336</v>
      </c>
      <c r="AD987" t="s">
        <v>278</v>
      </c>
      <c r="AE987" t="str">
        <f>IF(AF987="","",VLOOKUP(AC987,mapel!$A$2:$B$42,2,FALSE))</f>
        <v>Pancasila</v>
      </c>
      <c r="AF987">
        <f t="shared" si="45"/>
        <v>74</v>
      </c>
      <c r="AG987" t="str">
        <f>IF(AF987="","",IF(AF987&gt;90,"Sangat baik",IF(AF987&gt;79,"Baik",IF(AF987&gt;=pub_gid_0_single_true_output_csv[[#This Row],[KKM]],"Cukup","Kurang"))))</f>
        <v>Cukup</v>
      </c>
      <c r="AH987">
        <f t="shared" si="46"/>
        <v>11</v>
      </c>
      <c r="AI987" s="30" t="str">
        <f>IF(OR(J987&lt;&gt;"Karakter",pub_gid_0_single_true_output_csv[[#This Row],[Nilai2]]=""),"",IF(AF987&gt;89,"Sangat baik",IF(AF987&gt;79,"Baik",IF(AF987&gt;69,"Cukup",IF(AF987&gt;59,"Kurang","Sangat kurang")))))</f>
        <v/>
      </c>
      <c r="AJ987" t="str">
        <f t="shared" si="47"/>
        <v>Wk.7</v>
      </c>
      <c r="AK987" t="str">
        <f>IF(pub_gid_0_single_true_output_csv[[#This Row],[Nilai2]]="","",VLOOKUP(pub_gid_0_single_true_output_csv[[#This Row],[NAMA]],Table7[],3,FALSE))</f>
        <v>Average</v>
      </c>
    </row>
    <row r="988" spans="1:37" x14ac:dyDescent="0.2">
      <c r="A988">
        <v>987</v>
      </c>
      <c r="B988" t="s">
        <v>292</v>
      </c>
      <c r="C988" t="s">
        <v>54</v>
      </c>
      <c r="D988" t="s">
        <v>94</v>
      </c>
      <c r="E988" t="s">
        <v>147</v>
      </c>
      <c r="F988" s="25">
        <v>46059</v>
      </c>
      <c r="G988" t="s">
        <v>349</v>
      </c>
      <c r="H988" t="s">
        <v>412</v>
      </c>
      <c r="I988" t="s">
        <v>371</v>
      </c>
      <c r="J988" t="s">
        <v>41</v>
      </c>
      <c r="K988" t="s">
        <v>357</v>
      </c>
      <c r="L988" t="s">
        <v>351</v>
      </c>
      <c r="M988" t="s">
        <v>141</v>
      </c>
      <c r="N988" t="s">
        <v>142</v>
      </c>
      <c r="O988" t="s">
        <v>155</v>
      </c>
      <c r="P988" t="s">
        <v>281</v>
      </c>
      <c r="Q988" t="s">
        <v>155</v>
      </c>
      <c r="R988" t="s">
        <v>302</v>
      </c>
      <c r="S988" t="s">
        <v>345</v>
      </c>
      <c r="T988">
        <v>1</v>
      </c>
      <c r="U988" t="s">
        <v>431</v>
      </c>
      <c r="V988" t="s">
        <v>343</v>
      </c>
      <c r="W988" t="s">
        <v>434</v>
      </c>
      <c r="X988" t="s">
        <v>306</v>
      </c>
      <c r="Y988" t="s">
        <v>307</v>
      </c>
      <c r="Z988">
        <v>65</v>
      </c>
      <c r="AA988">
        <v>65</v>
      </c>
      <c r="AB988" t="s">
        <v>143</v>
      </c>
      <c r="AC988" t="s">
        <v>336</v>
      </c>
      <c r="AD988" t="s">
        <v>278</v>
      </c>
      <c r="AE988" t="str">
        <f>IF(AF988="","",VLOOKUP(AC988,mapel!$A$2:$B$42,2,FALSE))</f>
        <v>Pancasila</v>
      </c>
      <c r="AF988">
        <f t="shared" si="45"/>
        <v>65</v>
      </c>
      <c r="AG988" t="str">
        <f>IF(AF988="","",IF(AF988&gt;90,"Sangat baik",IF(AF988&gt;79,"Baik",IF(AF988&gt;=pub_gid_0_single_true_output_csv[[#This Row],[KKM]],"Cukup","Kurang"))))</f>
        <v>Cukup</v>
      </c>
      <c r="AH988">
        <f t="shared" si="46"/>
        <v>11</v>
      </c>
      <c r="AI988" s="30" t="str">
        <f>IF(OR(J988&lt;&gt;"Karakter",pub_gid_0_single_true_output_csv[[#This Row],[Nilai2]]=""),"",IF(AF988&gt;89,"Sangat baik",IF(AF988&gt;79,"Baik",IF(AF988&gt;69,"Cukup",IF(AF988&gt;59,"Kurang","Sangat kurang")))))</f>
        <v/>
      </c>
      <c r="AJ988" t="str">
        <f t="shared" si="47"/>
        <v>Wk.6</v>
      </c>
      <c r="AK988" t="str">
        <f>IF(pub_gid_0_single_true_output_csv[[#This Row],[Nilai2]]="","",VLOOKUP(pub_gid_0_single_true_output_csv[[#This Row],[NAMA]],Table7[],3,FALSE))</f>
        <v>Average</v>
      </c>
    </row>
    <row r="989" spans="1:37" x14ac:dyDescent="0.2">
      <c r="A989">
        <v>988</v>
      </c>
      <c r="B989" t="s">
        <v>292</v>
      </c>
      <c r="C989" t="s">
        <v>54</v>
      </c>
      <c r="D989" t="s">
        <v>94</v>
      </c>
      <c r="E989" t="s">
        <v>147</v>
      </c>
      <c r="F989" s="25">
        <v>46059</v>
      </c>
      <c r="G989" t="s">
        <v>349</v>
      </c>
      <c r="H989" t="s">
        <v>412</v>
      </c>
      <c r="I989" t="s">
        <v>371</v>
      </c>
      <c r="J989" t="s">
        <v>36</v>
      </c>
      <c r="K989" t="s">
        <v>37</v>
      </c>
      <c r="L989" t="s">
        <v>351</v>
      </c>
      <c r="M989" t="s">
        <v>141</v>
      </c>
      <c r="N989" t="s">
        <v>142</v>
      </c>
      <c r="O989" t="s">
        <v>155</v>
      </c>
      <c r="P989" t="s">
        <v>281</v>
      </c>
      <c r="Q989" t="s">
        <v>155</v>
      </c>
      <c r="R989" t="s">
        <v>302</v>
      </c>
      <c r="S989" t="s">
        <v>345</v>
      </c>
      <c r="T989">
        <v>1</v>
      </c>
      <c r="U989" t="s">
        <v>431</v>
      </c>
      <c r="V989" t="s">
        <v>343</v>
      </c>
      <c r="W989" t="s">
        <v>434</v>
      </c>
      <c r="X989" t="s">
        <v>306</v>
      </c>
      <c r="Y989" t="s">
        <v>307</v>
      </c>
      <c r="Z989">
        <v>65</v>
      </c>
      <c r="AA989">
        <v>65</v>
      </c>
      <c r="AB989" t="s">
        <v>143</v>
      </c>
      <c r="AC989" t="s">
        <v>336</v>
      </c>
      <c r="AD989" t="s">
        <v>278</v>
      </c>
      <c r="AE989" t="str">
        <f>IF(AF989="","",VLOOKUP(AC989,mapel!$A$2:$B$42,2,FALSE))</f>
        <v>Pancasila</v>
      </c>
      <c r="AF989">
        <f t="shared" si="45"/>
        <v>65</v>
      </c>
      <c r="AG989" t="str">
        <f>IF(AF989="","",IF(AF989&gt;90,"Sangat baik",IF(AF989&gt;79,"Baik",IF(AF989&gt;=pub_gid_0_single_true_output_csv[[#This Row],[KKM]],"Cukup","Kurang"))))</f>
        <v>Cukup</v>
      </c>
      <c r="AH989">
        <f t="shared" si="46"/>
        <v>11</v>
      </c>
      <c r="AI989" s="30" t="str">
        <f>IF(OR(J989&lt;&gt;"Karakter",pub_gid_0_single_true_output_csv[[#This Row],[Nilai2]]=""),"",IF(AF989&gt;89,"Sangat baik",IF(AF989&gt;79,"Baik",IF(AF989&gt;69,"Cukup",IF(AF989&gt;59,"Kurang","Sangat kurang")))))</f>
        <v/>
      </c>
      <c r="AJ989" t="str">
        <f t="shared" si="47"/>
        <v>Wk.6</v>
      </c>
      <c r="AK989" t="str">
        <f>IF(pub_gid_0_single_true_output_csv[[#This Row],[Nilai2]]="","",VLOOKUP(pub_gid_0_single_true_output_csv[[#This Row],[NAMA]],Table7[],3,FALSE))</f>
        <v>Average</v>
      </c>
    </row>
    <row r="990" spans="1:37" x14ac:dyDescent="0.2">
      <c r="A990">
        <v>989</v>
      </c>
      <c r="B990" t="s">
        <v>286</v>
      </c>
      <c r="C990" t="s">
        <v>54</v>
      </c>
      <c r="D990" t="s">
        <v>33</v>
      </c>
      <c r="E990" t="s">
        <v>140</v>
      </c>
      <c r="F990" s="25">
        <v>46034</v>
      </c>
      <c r="G990" t="s">
        <v>354</v>
      </c>
      <c r="H990" t="s">
        <v>405</v>
      </c>
      <c r="I990" t="s">
        <v>371</v>
      </c>
      <c r="J990" t="s">
        <v>90</v>
      </c>
      <c r="K990" t="s">
        <v>92</v>
      </c>
      <c r="L990" t="s">
        <v>398</v>
      </c>
      <c r="M990" t="s">
        <v>141</v>
      </c>
      <c r="N990" t="s">
        <v>142</v>
      </c>
      <c r="O990" t="s">
        <v>155</v>
      </c>
      <c r="P990" t="s">
        <v>281</v>
      </c>
      <c r="Q990" t="s">
        <v>155</v>
      </c>
      <c r="R990" t="s">
        <v>302</v>
      </c>
      <c r="S990" t="s">
        <v>309</v>
      </c>
      <c r="T990">
        <v>1</v>
      </c>
      <c r="U990" t="s">
        <v>431</v>
      </c>
      <c r="V990" t="s">
        <v>285</v>
      </c>
      <c r="W990" t="s">
        <v>432</v>
      </c>
      <c r="X990" t="s">
        <v>306</v>
      </c>
      <c r="Y990" t="s">
        <v>307</v>
      </c>
      <c r="Z990">
        <v>65</v>
      </c>
      <c r="AA990">
        <v>80</v>
      </c>
      <c r="AB990" t="s">
        <v>143</v>
      </c>
      <c r="AC990" t="s">
        <v>336</v>
      </c>
      <c r="AD990" t="s">
        <v>278</v>
      </c>
      <c r="AE990" t="str">
        <f>IF(AF990="","",VLOOKUP(AC990,mapel!$A$2:$B$42,2,FALSE))</f>
        <v>Pancasila</v>
      </c>
      <c r="AF990">
        <f t="shared" si="45"/>
        <v>80</v>
      </c>
      <c r="AG990" t="str">
        <f>IF(AF990="","",IF(AF990&gt;90,"Sangat baik",IF(AF990&gt;79,"Baik",IF(AF990&gt;=pub_gid_0_single_true_output_csv[[#This Row],[KKM]],"Cukup","Kurang"))))</f>
        <v>Baik</v>
      </c>
      <c r="AH990">
        <f t="shared" si="46"/>
        <v>11</v>
      </c>
      <c r="AI990" s="30" t="str">
        <f>IF(OR(J990&lt;&gt;"Karakter",pub_gid_0_single_true_output_csv[[#This Row],[Nilai2]]=""),"",IF(AF990&gt;89,"Sangat baik",IF(AF990&gt;79,"Baik",IF(AF990&gt;69,"Cukup",IF(AF990&gt;59,"Kurang","Sangat kurang")))))</f>
        <v>Baik</v>
      </c>
      <c r="AJ990" t="str">
        <f t="shared" si="47"/>
        <v>Wk.3</v>
      </c>
      <c r="AK990" t="str">
        <f>IF(pub_gid_0_single_true_output_csv[[#This Row],[Nilai2]]="","",VLOOKUP(pub_gid_0_single_true_output_csv[[#This Row],[NAMA]],Table7[],3,FALSE))</f>
        <v>Extremely low</v>
      </c>
    </row>
    <row r="991" spans="1:37" x14ac:dyDescent="0.2">
      <c r="A991">
        <v>990</v>
      </c>
      <c r="B991" t="s">
        <v>286</v>
      </c>
      <c r="C991" t="s">
        <v>54</v>
      </c>
      <c r="D991" t="s">
        <v>33</v>
      </c>
      <c r="E991" t="s">
        <v>140</v>
      </c>
      <c r="F991" s="25">
        <v>46034</v>
      </c>
      <c r="G991" t="s">
        <v>354</v>
      </c>
      <c r="H991" t="s">
        <v>405</v>
      </c>
      <c r="I991" t="s">
        <v>371</v>
      </c>
      <c r="J991" t="s">
        <v>36</v>
      </c>
      <c r="K991" t="s">
        <v>37</v>
      </c>
      <c r="L991" t="s">
        <v>150</v>
      </c>
      <c r="M991" t="s">
        <v>141</v>
      </c>
      <c r="N991" t="s">
        <v>142</v>
      </c>
      <c r="O991" t="s">
        <v>155</v>
      </c>
      <c r="P991" t="s">
        <v>281</v>
      </c>
      <c r="Q991" t="s">
        <v>155</v>
      </c>
      <c r="R991" t="s">
        <v>302</v>
      </c>
      <c r="S991" t="s">
        <v>309</v>
      </c>
      <c r="T991">
        <v>1</v>
      </c>
      <c r="U991" t="s">
        <v>431</v>
      </c>
      <c r="V991" t="s">
        <v>285</v>
      </c>
      <c r="W991" t="s">
        <v>432</v>
      </c>
      <c r="X991" t="s">
        <v>306</v>
      </c>
      <c r="Y991" t="s">
        <v>307</v>
      </c>
      <c r="Z991">
        <v>65</v>
      </c>
      <c r="AA991">
        <v>78</v>
      </c>
      <c r="AB991" t="s">
        <v>143</v>
      </c>
      <c r="AC991" t="s">
        <v>336</v>
      </c>
      <c r="AD991" t="s">
        <v>278</v>
      </c>
      <c r="AE991" t="str">
        <f>IF(AF991="","",VLOOKUP(AC991,mapel!$A$2:$B$42,2,FALSE))</f>
        <v>Pancasila</v>
      </c>
      <c r="AF991">
        <f t="shared" si="45"/>
        <v>78</v>
      </c>
      <c r="AG991" t="str">
        <f>IF(AF991="","",IF(AF991&gt;90,"Sangat baik",IF(AF991&gt;79,"Baik",IF(AF991&gt;=pub_gid_0_single_true_output_csv[[#This Row],[KKM]],"Cukup","Kurang"))))</f>
        <v>Cukup</v>
      </c>
      <c r="AH991">
        <f t="shared" si="46"/>
        <v>11</v>
      </c>
      <c r="AI991" s="30" t="str">
        <f>IF(OR(J991&lt;&gt;"Karakter",pub_gid_0_single_true_output_csv[[#This Row],[Nilai2]]=""),"",IF(AF991&gt;89,"Sangat baik",IF(AF991&gt;79,"Baik",IF(AF991&gt;69,"Cukup",IF(AF991&gt;59,"Kurang","Sangat kurang")))))</f>
        <v/>
      </c>
      <c r="AJ991" t="str">
        <f t="shared" si="47"/>
        <v>Wk.3</v>
      </c>
      <c r="AK991" t="str">
        <f>IF(pub_gid_0_single_true_output_csv[[#This Row],[Nilai2]]="","",VLOOKUP(pub_gid_0_single_true_output_csv[[#This Row],[NAMA]],Table7[],3,FALSE))</f>
        <v>Extremely low</v>
      </c>
    </row>
    <row r="992" spans="1:37" x14ac:dyDescent="0.2">
      <c r="A992">
        <v>991</v>
      </c>
      <c r="B992" t="s">
        <v>286</v>
      </c>
      <c r="C992" t="s">
        <v>54</v>
      </c>
      <c r="D992" t="s">
        <v>33</v>
      </c>
      <c r="E992" t="s">
        <v>140</v>
      </c>
      <c r="F992" s="25">
        <v>46034</v>
      </c>
      <c r="G992" t="s">
        <v>354</v>
      </c>
      <c r="H992" t="s">
        <v>405</v>
      </c>
      <c r="I992" t="s">
        <v>371</v>
      </c>
      <c r="J992" t="s">
        <v>31</v>
      </c>
      <c r="K992" t="s">
        <v>32</v>
      </c>
      <c r="L992" t="s">
        <v>150</v>
      </c>
      <c r="M992" t="s">
        <v>141</v>
      </c>
      <c r="N992" t="s">
        <v>142</v>
      </c>
      <c r="O992" t="s">
        <v>155</v>
      </c>
      <c r="P992" t="s">
        <v>281</v>
      </c>
      <c r="Q992" t="s">
        <v>155</v>
      </c>
      <c r="R992" t="s">
        <v>302</v>
      </c>
      <c r="S992" t="s">
        <v>309</v>
      </c>
      <c r="T992">
        <v>1</v>
      </c>
      <c r="U992" t="s">
        <v>431</v>
      </c>
      <c r="V992" t="s">
        <v>285</v>
      </c>
      <c r="W992" t="s">
        <v>432</v>
      </c>
      <c r="X992" t="s">
        <v>306</v>
      </c>
      <c r="Y992" t="s">
        <v>307</v>
      </c>
      <c r="Z992">
        <v>65</v>
      </c>
      <c r="AA992">
        <v>76</v>
      </c>
      <c r="AB992" t="s">
        <v>143</v>
      </c>
      <c r="AC992" t="s">
        <v>336</v>
      </c>
      <c r="AD992" t="s">
        <v>278</v>
      </c>
      <c r="AE992" t="str">
        <f>IF(AF992="","",VLOOKUP(AC992,mapel!$A$2:$B$42,2,FALSE))</f>
        <v>Pancasila</v>
      </c>
      <c r="AF992">
        <f t="shared" si="45"/>
        <v>76</v>
      </c>
      <c r="AG992" t="str">
        <f>IF(AF992="","",IF(AF992&gt;90,"Sangat baik",IF(AF992&gt;79,"Baik",IF(AF992&gt;=pub_gid_0_single_true_output_csv[[#This Row],[KKM]],"Cukup","Kurang"))))</f>
        <v>Cukup</v>
      </c>
      <c r="AH992">
        <f t="shared" si="46"/>
        <v>11</v>
      </c>
      <c r="AI992" s="30" t="str">
        <f>IF(OR(J992&lt;&gt;"Karakter",pub_gid_0_single_true_output_csv[[#This Row],[Nilai2]]=""),"",IF(AF992&gt;89,"Sangat baik",IF(AF992&gt;79,"Baik",IF(AF992&gt;69,"Cukup",IF(AF992&gt;59,"Kurang","Sangat kurang")))))</f>
        <v/>
      </c>
      <c r="AJ992" t="str">
        <f t="shared" si="47"/>
        <v>Wk.3</v>
      </c>
      <c r="AK992" t="str">
        <f>IF(pub_gid_0_single_true_output_csv[[#This Row],[Nilai2]]="","",VLOOKUP(pub_gid_0_single_true_output_csv[[#This Row],[NAMA]],Table7[],3,FALSE))</f>
        <v>Extremely low</v>
      </c>
    </row>
    <row r="993" spans="1:37" x14ac:dyDescent="0.2">
      <c r="A993">
        <v>992</v>
      </c>
      <c r="B993" t="s">
        <v>286</v>
      </c>
      <c r="C993" t="s">
        <v>54</v>
      </c>
      <c r="D993" t="s">
        <v>33</v>
      </c>
      <c r="E993" t="s">
        <v>140</v>
      </c>
      <c r="F993" s="25">
        <v>46034</v>
      </c>
      <c r="G993" t="s">
        <v>354</v>
      </c>
      <c r="H993" t="s">
        <v>405</v>
      </c>
      <c r="I993" t="s">
        <v>371</v>
      </c>
      <c r="J993" t="s">
        <v>279</v>
      </c>
      <c r="K993" t="s">
        <v>280</v>
      </c>
      <c r="L993" t="s">
        <v>322</v>
      </c>
      <c r="M993" t="s">
        <v>141</v>
      </c>
      <c r="N993" t="s">
        <v>142</v>
      </c>
      <c r="O993" t="s">
        <v>155</v>
      </c>
      <c r="P993" t="s">
        <v>281</v>
      </c>
      <c r="Q993" t="s">
        <v>155</v>
      </c>
      <c r="R993" t="s">
        <v>302</v>
      </c>
      <c r="S993" t="s">
        <v>309</v>
      </c>
      <c r="T993">
        <v>1</v>
      </c>
      <c r="U993" t="s">
        <v>431</v>
      </c>
      <c r="V993" t="s">
        <v>285</v>
      </c>
      <c r="W993" t="s">
        <v>432</v>
      </c>
      <c r="X993" t="s">
        <v>306</v>
      </c>
      <c r="Y993" t="s">
        <v>307</v>
      </c>
      <c r="Z993">
        <v>65</v>
      </c>
      <c r="AA993">
        <v>78</v>
      </c>
      <c r="AB993" t="s">
        <v>143</v>
      </c>
      <c r="AC993" t="s">
        <v>336</v>
      </c>
      <c r="AD993" t="s">
        <v>278</v>
      </c>
      <c r="AE993" t="str">
        <f>IF(AF993="","",VLOOKUP(AC993,mapel!$A$2:$B$42,2,FALSE))</f>
        <v>Pancasila</v>
      </c>
      <c r="AF993">
        <f t="shared" si="45"/>
        <v>78</v>
      </c>
      <c r="AG993" t="str">
        <f>IF(AF993="","",IF(AF993&gt;90,"Sangat baik",IF(AF993&gt;79,"Baik",IF(AF993&gt;=pub_gid_0_single_true_output_csv[[#This Row],[KKM]],"Cukup","Kurang"))))</f>
        <v>Cukup</v>
      </c>
      <c r="AH993">
        <f t="shared" si="46"/>
        <v>11</v>
      </c>
      <c r="AI993" s="30" t="str">
        <f>IF(OR(J993&lt;&gt;"Karakter",pub_gid_0_single_true_output_csv[[#This Row],[Nilai2]]=""),"",IF(AF993&gt;89,"Sangat baik",IF(AF993&gt;79,"Baik",IF(AF993&gt;69,"Cukup",IF(AF993&gt;59,"Kurang","Sangat kurang")))))</f>
        <v/>
      </c>
      <c r="AJ993" t="str">
        <f t="shared" si="47"/>
        <v>Wk.3</v>
      </c>
      <c r="AK993" t="str">
        <f>IF(pub_gid_0_single_true_output_csv[[#This Row],[Nilai2]]="","",VLOOKUP(pub_gid_0_single_true_output_csv[[#This Row],[NAMA]],Table7[],3,FALSE))</f>
        <v>Extremely low</v>
      </c>
    </row>
    <row r="994" spans="1:37" x14ac:dyDescent="0.2">
      <c r="A994">
        <v>993</v>
      </c>
      <c r="B994" t="s">
        <v>286</v>
      </c>
      <c r="C994" t="s">
        <v>54</v>
      </c>
      <c r="D994" t="s">
        <v>33</v>
      </c>
      <c r="E994" t="s">
        <v>140</v>
      </c>
      <c r="F994" s="25">
        <v>46048</v>
      </c>
      <c r="G994" t="s">
        <v>371</v>
      </c>
      <c r="H994" t="s">
        <v>405</v>
      </c>
      <c r="I994" t="s">
        <v>371</v>
      </c>
      <c r="J994" t="s">
        <v>36</v>
      </c>
      <c r="K994" t="s">
        <v>37</v>
      </c>
      <c r="L994" t="s">
        <v>351</v>
      </c>
      <c r="M994" t="s">
        <v>141</v>
      </c>
      <c r="N994" t="s">
        <v>142</v>
      </c>
      <c r="O994" t="s">
        <v>155</v>
      </c>
      <c r="P994" t="s">
        <v>281</v>
      </c>
      <c r="Q994" t="s">
        <v>155</v>
      </c>
      <c r="R994" t="s">
        <v>302</v>
      </c>
      <c r="S994" t="s">
        <v>369</v>
      </c>
      <c r="T994">
        <v>1</v>
      </c>
      <c r="U994" t="s">
        <v>431</v>
      </c>
      <c r="V994" t="s">
        <v>342</v>
      </c>
      <c r="W994" t="s">
        <v>433</v>
      </c>
      <c r="X994" t="s">
        <v>306</v>
      </c>
      <c r="Y994" t="s">
        <v>307</v>
      </c>
      <c r="Z994">
        <v>65</v>
      </c>
      <c r="AA994">
        <v>90</v>
      </c>
      <c r="AB994" t="s">
        <v>143</v>
      </c>
      <c r="AC994" t="s">
        <v>336</v>
      </c>
      <c r="AD994" t="s">
        <v>278</v>
      </c>
      <c r="AE994" t="str">
        <f>IF(AF994="","",VLOOKUP(AC994,mapel!$A$2:$B$42,2,FALSE))</f>
        <v>Pancasila</v>
      </c>
      <c r="AF994">
        <f t="shared" si="45"/>
        <v>90</v>
      </c>
      <c r="AG994" t="str">
        <f>IF(AF994="","",IF(AF994&gt;90,"Sangat baik",IF(AF994&gt;79,"Baik",IF(AF994&gt;=pub_gid_0_single_true_output_csv[[#This Row],[KKM]],"Cukup","Kurang"))))</f>
        <v>Baik</v>
      </c>
      <c r="AH994">
        <f t="shared" si="46"/>
        <v>11</v>
      </c>
      <c r="AI994" s="30" t="str">
        <f>IF(OR(J994&lt;&gt;"Karakter",pub_gid_0_single_true_output_csv[[#This Row],[Nilai2]]=""),"",IF(AF994&gt;89,"Sangat baik",IF(AF994&gt;79,"Baik",IF(AF994&gt;69,"Cukup",IF(AF994&gt;59,"Kurang","Sangat kurang")))))</f>
        <v/>
      </c>
      <c r="AJ994" t="str">
        <f t="shared" si="47"/>
        <v>Wk.5</v>
      </c>
      <c r="AK994" t="str">
        <f>IF(pub_gid_0_single_true_output_csv[[#This Row],[Nilai2]]="","",VLOOKUP(pub_gid_0_single_true_output_csv[[#This Row],[NAMA]],Table7[],3,FALSE))</f>
        <v>Extremely low</v>
      </c>
    </row>
    <row r="995" spans="1:37" x14ac:dyDescent="0.2">
      <c r="A995">
        <v>994</v>
      </c>
      <c r="B995" t="s">
        <v>286</v>
      </c>
      <c r="C995" t="s">
        <v>54</v>
      </c>
      <c r="D995" t="s">
        <v>33</v>
      </c>
      <c r="E995" t="s">
        <v>140</v>
      </c>
      <c r="F995" s="25">
        <v>46048</v>
      </c>
      <c r="G995" t="s">
        <v>371</v>
      </c>
      <c r="H995" t="s">
        <v>405</v>
      </c>
      <c r="I995" t="s">
        <v>371</v>
      </c>
      <c r="J995" t="s">
        <v>31</v>
      </c>
      <c r="K995" t="s">
        <v>96</v>
      </c>
      <c r="L995" t="s">
        <v>351</v>
      </c>
      <c r="M995" t="s">
        <v>141</v>
      </c>
      <c r="N995" t="s">
        <v>142</v>
      </c>
      <c r="O995" t="s">
        <v>155</v>
      </c>
      <c r="P995" t="s">
        <v>281</v>
      </c>
      <c r="Q995" t="s">
        <v>155</v>
      </c>
      <c r="R995" t="s">
        <v>302</v>
      </c>
      <c r="S995" t="s">
        <v>369</v>
      </c>
      <c r="T995">
        <v>1</v>
      </c>
      <c r="U995" t="s">
        <v>431</v>
      </c>
      <c r="V995" t="s">
        <v>342</v>
      </c>
      <c r="W995" t="s">
        <v>433</v>
      </c>
      <c r="X995" t="s">
        <v>306</v>
      </c>
      <c r="Y995" t="s">
        <v>307</v>
      </c>
      <c r="Z995">
        <v>65</v>
      </c>
      <c r="AA995">
        <v>86</v>
      </c>
      <c r="AB995" t="s">
        <v>143</v>
      </c>
      <c r="AC995" t="s">
        <v>336</v>
      </c>
      <c r="AD995" t="s">
        <v>278</v>
      </c>
      <c r="AE995" t="str">
        <f>IF(AF995="","",VLOOKUP(AC995,mapel!$A$2:$B$42,2,FALSE))</f>
        <v>Pancasila</v>
      </c>
      <c r="AF995">
        <f t="shared" si="45"/>
        <v>86</v>
      </c>
      <c r="AG995" t="str">
        <f>IF(AF995="","",IF(AF995&gt;90,"Sangat baik",IF(AF995&gt;79,"Baik",IF(AF995&gt;=pub_gid_0_single_true_output_csv[[#This Row],[KKM]],"Cukup","Kurang"))))</f>
        <v>Baik</v>
      </c>
      <c r="AH995">
        <f t="shared" si="46"/>
        <v>11</v>
      </c>
      <c r="AI995" s="30" t="str">
        <f>IF(OR(J995&lt;&gt;"Karakter",pub_gid_0_single_true_output_csv[[#This Row],[Nilai2]]=""),"",IF(AF995&gt;89,"Sangat baik",IF(AF995&gt;79,"Baik",IF(AF995&gt;69,"Cukup",IF(AF995&gt;59,"Kurang","Sangat kurang")))))</f>
        <v/>
      </c>
      <c r="AJ995" t="str">
        <f t="shared" si="47"/>
        <v>Wk.5</v>
      </c>
      <c r="AK995" t="str">
        <f>IF(pub_gid_0_single_true_output_csv[[#This Row],[Nilai2]]="","",VLOOKUP(pub_gid_0_single_true_output_csv[[#This Row],[NAMA]],Table7[],3,FALSE))</f>
        <v>Extremely low</v>
      </c>
    </row>
    <row r="996" spans="1:37" x14ac:dyDescent="0.2">
      <c r="A996">
        <v>995</v>
      </c>
      <c r="B996" t="s">
        <v>286</v>
      </c>
      <c r="C996" t="s">
        <v>54</v>
      </c>
      <c r="D996" t="s">
        <v>33</v>
      </c>
      <c r="E996" t="s">
        <v>140</v>
      </c>
      <c r="F996" s="25">
        <v>46048</v>
      </c>
      <c r="G996" t="s">
        <v>371</v>
      </c>
      <c r="H996" t="s">
        <v>405</v>
      </c>
      <c r="I996" t="s">
        <v>371</v>
      </c>
      <c r="J996" t="s">
        <v>90</v>
      </c>
      <c r="K996" t="s">
        <v>377</v>
      </c>
      <c r="L996" t="s">
        <v>378</v>
      </c>
      <c r="M996" t="s">
        <v>141</v>
      </c>
      <c r="N996" t="s">
        <v>142</v>
      </c>
      <c r="O996" t="s">
        <v>155</v>
      </c>
      <c r="P996" t="s">
        <v>281</v>
      </c>
      <c r="Q996" t="s">
        <v>155</v>
      </c>
      <c r="R996" t="s">
        <v>302</v>
      </c>
      <c r="S996" t="s">
        <v>369</v>
      </c>
      <c r="T996">
        <v>1</v>
      </c>
      <c r="U996" t="s">
        <v>431</v>
      </c>
      <c r="V996" t="s">
        <v>342</v>
      </c>
      <c r="W996" t="s">
        <v>433</v>
      </c>
      <c r="X996" t="s">
        <v>306</v>
      </c>
      <c r="Y996" t="s">
        <v>307</v>
      </c>
      <c r="Z996">
        <v>65</v>
      </c>
      <c r="AA996">
        <v>78</v>
      </c>
      <c r="AB996" t="s">
        <v>143</v>
      </c>
      <c r="AC996" t="s">
        <v>336</v>
      </c>
      <c r="AD996" t="s">
        <v>278</v>
      </c>
      <c r="AE996" t="str">
        <f>IF(AF996="","",VLOOKUP(AC996,mapel!$A$2:$B$42,2,FALSE))</f>
        <v>Pancasila</v>
      </c>
      <c r="AF996">
        <f t="shared" si="45"/>
        <v>78</v>
      </c>
      <c r="AG996" t="str">
        <f>IF(AF996="","",IF(AF996&gt;90,"Sangat baik",IF(AF996&gt;79,"Baik",IF(AF996&gt;=pub_gid_0_single_true_output_csv[[#This Row],[KKM]],"Cukup","Kurang"))))</f>
        <v>Cukup</v>
      </c>
      <c r="AH996">
        <f t="shared" si="46"/>
        <v>11</v>
      </c>
      <c r="AI996" s="30" t="str">
        <f>IF(OR(J996&lt;&gt;"Karakter",pub_gid_0_single_true_output_csv[[#This Row],[Nilai2]]=""),"",IF(AF996&gt;89,"Sangat baik",IF(AF996&gt;79,"Baik",IF(AF996&gt;69,"Cukup",IF(AF996&gt;59,"Kurang","Sangat kurang")))))</f>
        <v>Cukup</v>
      </c>
      <c r="AJ996" t="str">
        <f t="shared" si="47"/>
        <v>Wk.5</v>
      </c>
      <c r="AK996" t="str">
        <f>IF(pub_gid_0_single_true_output_csv[[#This Row],[Nilai2]]="","",VLOOKUP(pub_gid_0_single_true_output_csv[[#This Row],[NAMA]],Table7[],3,FALSE))</f>
        <v>Extremely low</v>
      </c>
    </row>
    <row r="997" spans="1:37" x14ac:dyDescent="0.2">
      <c r="A997">
        <v>996</v>
      </c>
      <c r="B997" t="s">
        <v>286</v>
      </c>
      <c r="C997" t="s">
        <v>54</v>
      </c>
      <c r="D997" t="s">
        <v>33</v>
      </c>
      <c r="E997" t="s">
        <v>140</v>
      </c>
      <c r="F997" s="25">
        <v>46048</v>
      </c>
      <c r="G997" t="s">
        <v>371</v>
      </c>
      <c r="H997" t="s">
        <v>405</v>
      </c>
      <c r="I997" t="s">
        <v>371</v>
      </c>
      <c r="J997" t="s">
        <v>279</v>
      </c>
      <c r="K997" t="s">
        <v>280</v>
      </c>
      <c r="L997" t="s">
        <v>322</v>
      </c>
      <c r="M997" t="s">
        <v>141</v>
      </c>
      <c r="N997" t="s">
        <v>142</v>
      </c>
      <c r="O997" t="s">
        <v>155</v>
      </c>
      <c r="P997" t="s">
        <v>281</v>
      </c>
      <c r="Q997" t="s">
        <v>155</v>
      </c>
      <c r="R997" t="s">
        <v>302</v>
      </c>
      <c r="S997" t="s">
        <v>369</v>
      </c>
      <c r="T997">
        <v>1</v>
      </c>
      <c r="U997" t="s">
        <v>431</v>
      </c>
      <c r="V997" t="s">
        <v>342</v>
      </c>
      <c r="W997" t="s">
        <v>433</v>
      </c>
      <c r="X997" t="s">
        <v>306</v>
      </c>
      <c r="Y997" t="s">
        <v>307</v>
      </c>
      <c r="Z997">
        <v>65</v>
      </c>
      <c r="AA997">
        <v>78</v>
      </c>
      <c r="AB997" t="s">
        <v>143</v>
      </c>
      <c r="AC997" t="s">
        <v>336</v>
      </c>
      <c r="AD997" t="s">
        <v>278</v>
      </c>
      <c r="AE997" t="str">
        <f>IF(AF997="","",VLOOKUP(AC997,mapel!$A$2:$B$42,2,FALSE))</f>
        <v>Pancasila</v>
      </c>
      <c r="AF997">
        <f t="shared" si="45"/>
        <v>78</v>
      </c>
      <c r="AG997" t="str">
        <f>IF(AF997="","",IF(AF997&gt;90,"Sangat baik",IF(AF997&gt;79,"Baik",IF(AF997&gt;=pub_gid_0_single_true_output_csv[[#This Row],[KKM]],"Cukup","Kurang"))))</f>
        <v>Cukup</v>
      </c>
      <c r="AH997">
        <f t="shared" si="46"/>
        <v>11</v>
      </c>
      <c r="AI997" s="30" t="str">
        <f>IF(OR(J997&lt;&gt;"Karakter",pub_gid_0_single_true_output_csv[[#This Row],[Nilai2]]=""),"",IF(AF997&gt;89,"Sangat baik",IF(AF997&gt;79,"Baik",IF(AF997&gt;69,"Cukup",IF(AF997&gt;59,"Kurang","Sangat kurang")))))</f>
        <v/>
      </c>
      <c r="AJ997" t="str">
        <f t="shared" si="47"/>
        <v>Wk.5</v>
      </c>
      <c r="AK997" t="str">
        <f>IF(pub_gid_0_single_true_output_csv[[#This Row],[Nilai2]]="","",VLOOKUP(pub_gid_0_single_true_output_csv[[#This Row],[NAMA]],Table7[],3,FALSE))</f>
        <v>Extremely low</v>
      </c>
    </row>
    <row r="998" spans="1:37" x14ac:dyDescent="0.2">
      <c r="A998">
        <v>997</v>
      </c>
      <c r="B998" t="s">
        <v>286</v>
      </c>
      <c r="C998" t="s">
        <v>54</v>
      </c>
      <c r="D998" t="s">
        <v>33</v>
      </c>
      <c r="E998" t="s">
        <v>140</v>
      </c>
      <c r="F998" s="25">
        <v>46055</v>
      </c>
      <c r="G998" t="s">
        <v>379</v>
      </c>
      <c r="H998" t="s">
        <v>412</v>
      </c>
      <c r="I998" t="s">
        <v>371</v>
      </c>
      <c r="J998" t="s">
        <v>90</v>
      </c>
      <c r="K998" t="s">
        <v>377</v>
      </c>
      <c r="L998" t="s">
        <v>400</v>
      </c>
      <c r="M998" t="s">
        <v>141</v>
      </c>
      <c r="N998" t="s">
        <v>142</v>
      </c>
      <c r="O998" t="s">
        <v>155</v>
      </c>
      <c r="P998" t="s">
        <v>281</v>
      </c>
      <c r="Q998" t="s">
        <v>155</v>
      </c>
      <c r="R998" t="s">
        <v>302</v>
      </c>
      <c r="S998" t="s">
        <v>345</v>
      </c>
      <c r="T998">
        <v>1</v>
      </c>
      <c r="U998" t="s">
        <v>431</v>
      </c>
      <c r="V998" t="s">
        <v>343</v>
      </c>
      <c r="W998" t="s">
        <v>434</v>
      </c>
      <c r="X998" t="s">
        <v>306</v>
      </c>
      <c r="Y998" t="s">
        <v>307</v>
      </c>
      <c r="Z998">
        <v>65</v>
      </c>
      <c r="AA998">
        <v>78</v>
      </c>
      <c r="AB998" t="s">
        <v>143</v>
      </c>
      <c r="AC998" t="s">
        <v>336</v>
      </c>
      <c r="AD998" t="s">
        <v>278</v>
      </c>
      <c r="AE998" t="str">
        <f>IF(AF998="","",VLOOKUP(AC998,mapel!$A$2:$B$42,2,FALSE))</f>
        <v>Pancasila</v>
      </c>
      <c r="AF998">
        <f t="shared" si="45"/>
        <v>78</v>
      </c>
      <c r="AG998" t="str">
        <f>IF(AF998="","",IF(AF998&gt;90,"Sangat baik",IF(AF998&gt;79,"Baik",IF(AF998&gt;=pub_gid_0_single_true_output_csv[[#This Row],[KKM]],"Cukup","Kurang"))))</f>
        <v>Cukup</v>
      </c>
      <c r="AH998">
        <f t="shared" si="46"/>
        <v>11</v>
      </c>
      <c r="AI998" s="30" t="str">
        <f>IF(OR(J998&lt;&gt;"Karakter",pub_gid_0_single_true_output_csv[[#This Row],[Nilai2]]=""),"",IF(AF998&gt;89,"Sangat baik",IF(AF998&gt;79,"Baik",IF(AF998&gt;69,"Cukup",IF(AF998&gt;59,"Kurang","Sangat kurang")))))</f>
        <v>Cukup</v>
      </c>
      <c r="AJ998" t="str">
        <f t="shared" si="47"/>
        <v>Wk.6</v>
      </c>
      <c r="AK998" t="str">
        <f>IF(pub_gid_0_single_true_output_csv[[#This Row],[Nilai2]]="","",VLOOKUP(pub_gid_0_single_true_output_csv[[#This Row],[NAMA]],Table7[],3,FALSE))</f>
        <v>Extremely low</v>
      </c>
    </row>
    <row r="999" spans="1:37" x14ac:dyDescent="0.2">
      <c r="A999">
        <v>998</v>
      </c>
      <c r="B999" t="s">
        <v>286</v>
      </c>
      <c r="C999" t="s">
        <v>54</v>
      </c>
      <c r="D999" t="s">
        <v>33</v>
      </c>
      <c r="E999" t="s">
        <v>140</v>
      </c>
      <c r="F999" s="25">
        <v>46055</v>
      </c>
      <c r="G999" t="s">
        <v>379</v>
      </c>
      <c r="H999" t="s">
        <v>412</v>
      </c>
      <c r="I999" t="s">
        <v>371</v>
      </c>
      <c r="J999" t="s">
        <v>279</v>
      </c>
      <c r="K999" t="s">
        <v>280</v>
      </c>
      <c r="L999" t="s">
        <v>322</v>
      </c>
      <c r="M999" t="s">
        <v>141</v>
      </c>
      <c r="N999" t="s">
        <v>142</v>
      </c>
      <c r="O999" t="s">
        <v>155</v>
      </c>
      <c r="P999" t="s">
        <v>281</v>
      </c>
      <c r="Q999" t="s">
        <v>155</v>
      </c>
      <c r="R999" t="s">
        <v>302</v>
      </c>
      <c r="S999" t="s">
        <v>345</v>
      </c>
      <c r="T999">
        <v>1</v>
      </c>
      <c r="U999" t="s">
        <v>431</v>
      </c>
      <c r="V999" t="s">
        <v>343</v>
      </c>
      <c r="W999" t="s">
        <v>434</v>
      </c>
      <c r="X999" t="s">
        <v>306</v>
      </c>
      <c r="Y999" t="s">
        <v>307</v>
      </c>
      <c r="Z999">
        <v>65</v>
      </c>
      <c r="AA999">
        <v>78</v>
      </c>
      <c r="AB999" t="s">
        <v>143</v>
      </c>
      <c r="AC999" t="s">
        <v>336</v>
      </c>
      <c r="AD999" t="s">
        <v>278</v>
      </c>
      <c r="AE999" t="str">
        <f>IF(AF999="","",VLOOKUP(AC999,mapel!$A$2:$B$42,2,FALSE))</f>
        <v>Pancasila</v>
      </c>
      <c r="AF999">
        <f t="shared" si="45"/>
        <v>78</v>
      </c>
      <c r="AG999" t="str">
        <f>IF(AF999="","",IF(AF999&gt;90,"Sangat baik",IF(AF999&gt;79,"Baik",IF(AF999&gt;=pub_gid_0_single_true_output_csv[[#This Row],[KKM]],"Cukup","Kurang"))))</f>
        <v>Cukup</v>
      </c>
      <c r="AH999">
        <f t="shared" si="46"/>
        <v>11</v>
      </c>
      <c r="AI999" s="30" t="str">
        <f>IF(OR(J999&lt;&gt;"Karakter",pub_gid_0_single_true_output_csv[[#This Row],[Nilai2]]=""),"",IF(AF999&gt;89,"Sangat baik",IF(AF999&gt;79,"Baik",IF(AF999&gt;69,"Cukup",IF(AF999&gt;59,"Kurang","Sangat kurang")))))</f>
        <v/>
      </c>
      <c r="AJ999" t="str">
        <f t="shared" si="47"/>
        <v>Wk.6</v>
      </c>
      <c r="AK999" t="str">
        <f>IF(pub_gid_0_single_true_output_csv[[#This Row],[Nilai2]]="","",VLOOKUP(pub_gid_0_single_true_output_csv[[#This Row],[NAMA]],Table7[],3,FALSE))</f>
        <v>Extremely low</v>
      </c>
    </row>
    <row r="1000" spans="1:37" x14ac:dyDescent="0.2">
      <c r="A1000">
        <v>999</v>
      </c>
      <c r="B1000" t="s">
        <v>286</v>
      </c>
      <c r="C1000" t="s">
        <v>54</v>
      </c>
      <c r="D1000" t="s">
        <v>33</v>
      </c>
      <c r="E1000" t="s">
        <v>140</v>
      </c>
      <c r="F1000" s="25">
        <v>46055</v>
      </c>
      <c r="G1000" t="s">
        <v>379</v>
      </c>
      <c r="H1000" t="s">
        <v>412</v>
      </c>
      <c r="I1000" t="s">
        <v>371</v>
      </c>
      <c r="J1000" t="s">
        <v>41</v>
      </c>
      <c r="K1000" t="s">
        <v>365</v>
      </c>
      <c r="L1000" t="s">
        <v>351</v>
      </c>
      <c r="M1000" t="s">
        <v>141</v>
      </c>
      <c r="N1000" t="s">
        <v>142</v>
      </c>
      <c r="O1000" t="s">
        <v>155</v>
      </c>
      <c r="P1000" t="s">
        <v>281</v>
      </c>
      <c r="Q1000" t="s">
        <v>155</v>
      </c>
      <c r="R1000" t="s">
        <v>302</v>
      </c>
      <c r="S1000" t="s">
        <v>345</v>
      </c>
      <c r="T1000">
        <v>1</v>
      </c>
      <c r="U1000" t="s">
        <v>431</v>
      </c>
      <c r="V1000" t="s">
        <v>343</v>
      </c>
      <c r="W1000" t="s">
        <v>434</v>
      </c>
      <c r="X1000" t="s">
        <v>306</v>
      </c>
      <c r="Y1000" t="s">
        <v>307</v>
      </c>
      <c r="Z1000">
        <v>65</v>
      </c>
      <c r="AA1000">
        <v>76</v>
      </c>
      <c r="AB1000" t="s">
        <v>143</v>
      </c>
      <c r="AC1000" t="s">
        <v>336</v>
      </c>
      <c r="AD1000" t="s">
        <v>278</v>
      </c>
      <c r="AE1000" t="str">
        <f>IF(AF1000="","",VLOOKUP(AC1000,mapel!$A$2:$B$42,2,FALSE))</f>
        <v>Pancasila</v>
      </c>
      <c r="AF1000">
        <f t="shared" si="45"/>
        <v>76</v>
      </c>
      <c r="AG1000" t="str">
        <f>IF(AF1000="","",IF(AF1000&gt;90,"Sangat baik",IF(AF1000&gt;79,"Baik",IF(AF1000&gt;=pub_gid_0_single_true_output_csv[[#This Row],[KKM]],"Cukup","Kurang"))))</f>
        <v>Cukup</v>
      </c>
      <c r="AH1000">
        <f t="shared" si="46"/>
        <v>11</v>
      </c>
      <c r="AI1000" s="30" t="str">
        <f>IF(OR(J1000&lt;&gt;"Karakter",pub_gid_0_single_true_output_csv[[#This Row],[Nilai2]]=""),"",IF(AF1000&gt;89,"Sangat baik",IF(AF1000&gt;79,"Baik",IF(AF1000&gt;69,"Cukup",IF(AF1000&gt;59,"Kurang","Sangat kurang")))))</f>
        <v/>
      </c>
      <c r="AJ1000" t="str">
        <f t="shared" si="47"/>
        <v>Wk.6</v>
      </c>
      <c r="AK1000" t="str">
        <f>IF(pub_gid_0_single_true_output_csv[[#This Row],[Nilai2]]="","",VLOOKUP(pub_gid_0_single_true_output_csv[[#This Row],[NAMA]],Table7[],3,FALSE))</f>
        <v>Extremely low</v>
      </c>
    </row>
    <row r="1001" spans="1:37" x14ac:dyDescent="0.2">
      <c r="A1001">
        <v>1000</v>
      </c>
      <c r="B1001" t="s">
        <v>286</v>
      </c>
      <c r="C1001" t="s">
        <v>54</v>
      </c>
      <c r="D1001" t="s">
        <v>33</v>
      </c>
      <c r="E1001" t="s">
        <v>140</v>
      </c>
      <c r="F1001" s="25">
        <v>46055</v>
      </c>
      <c r="G1001" t="s">
        <v>379</v>
      </c>
      <c r="H1001" t="s">
        <v>412</v>
      </c>
      <c r="I1001" t="s">
        <v>371</v>
      </c>
      <c r="J1001" t="s">
        <v>31</v>
      </c>
      <c r="K1001" t="s">
        <v>96</v>
      </c>
      <c r="L1001" t="s">
        <v>351</v>
      </c>
      <c r="M1001" t="s">
        <v>141</v>
      </c>
      <c r="N1001" t="s">
        <v>142</v>
      </c>
      <c r="O1001" t="s">
        <v>155</v>
      </c>
      <c r="P1001" t="s">
        <v>281</v>
      </c>
      <c r="Q1001" t="s">
        <v>155</v>
      </c>
      <c r="R1001" t="s">
        <v>302</v>
      </c>
      <c r="S1001" t="s">
        <v>345</v>
      </c>
      <c r="T1001">
        <v>1</v>
      </c>
      <c r="U1001" t="s">
        <v>431</v>
      </c>
      <c r="V1001" t="s">
        <v>343</v>
      </c>
      <c r="W1001" t="s">
        <v>434</v>
      </c>
      <c r="X1001" t="s">
        <v>306</v>
      </c>
      <c r="Y1001" t="s">
        <v>307</v>
      </c>
      <c r="Z1001">
        <v>65</v>
      </c>
      <c r="AA1001">
        <v>80</v>
      </c>
      <c r="AB1001" t="s">
        <v>143</v>
      </c>
      <c r="AC1001" t="s">
        <v>336</v>
      </c>
      <c r="AD1001" t="s">
        <v>278</v>
      </c>
      <c r="AE1001" t="str">
        <f>IF(AF1001="","",VLOOKUP(AC1001,mapel!$A$2:$B$42,2,FALSE))</f>
        <v>Pancasila</v>
      </c>
      <c r="AF1001">
        <f t="shared" si="45"/>
        <v>80</v>
      </c>
      <c r="AG1001" t="str">
        <f>IF(AF1001="","",IF(AF1001&gt;90,"Sangat baik",IF(AF1001&gt;79,"Baik",IF(AF1001&gt;=pub_gid_0_single_true_output_csv[[#This Row],[KKM]],"Cukup","Kurang"))))</f>
        <v>Baik</v>
      </c>
      <c r="AH1001">
        <f t="shared" si="46"/>
        <v>11</v>
      </c>
      <c r="AI1001" s="30" t="str">
        <f>IF(OR(J1001&lt;&gt;"Karakter",pub_gid_0_single_true_output_csv[[#This Row],[Nilai2]]=""),"",IF(AF1001&gt;89,"Sangat baik",IF(AF1001&gt;79,"Baik",IF(AF1001&gt;69,"Cukup",IF(AF1001&gt;59,"Kurang","Sangat kurang")))))</f>
        <v/>
      </c>
      <c r="AJ1001" t="str">
        <f t="shared" si="47"/>
        <v>Wk.6</v>
      </c>
      <c r="AK1001" t="str">
        <f>IF(pub_gid_0_single_true_output_csv[[#This Row],[Nilai2]]="","",VLOOKUP(pub_gid_0_single_true_output_csv[[#This Row],[NAMA]],Table7[],3,FALSE))</f>
        <v>Extremely low</v>
      </c>
    </row>
    <row r="1002" spans="1:37" x14ac:dyDescent="0.2">
      <c r="A1002">
        <v>1001</v>
      </c>
      <c r="B1002" t="s">
        <v>286</v>
      </c>
      <c r="C1002" t="s">
        <v>54</v>
      </c>
      <c r="D1002" t="s">
        <v>33</v>
      </c>
      <c r="E1002" t="s">
        <v>140</v>
      </c>
      <c r="F1002" s="25">
        <v>46055</v>
      </c>
      <c r="G1002" t="s">
        <v>379</v>
      </c>
      <c r="H1002" t="s">
        <v>412</v>
      </c>
      <c r="I1002" t="s">
        <v>371</v>
      </c>
      <c r="J1002" t="s">
        <v>36</v>
      </c>
      <c r="K1002" t="s">
        <v>37</v>
      </c>
      <c r="L1002" t="s">
        <v>324</v>
      </c>
      <c r="M1002" t="s">
        <v>141</v>
      </c>
      <c r="N1002" t="s">
        <v>142</v>
      </c>
      <c r="O1002" t="s">
        <v>155</v>
      </c>
      <c r="P1002" t="s">
        <v>281</v>
      </c>
      <c r="Q1002" t="s">
        <v>155</v>
      </c>
      <c r="R1002" t="s">
        <v>302</v>
      </c>
      <c r="S1002" t="s">
        <v>345</v>
      </c>
      <c r="T1002">
        <v>1</v>
      </c>
      <c r="U1002" t="s">
        <v>431</v>
      </c>
      <c r="V1002" t="s">
        <v>343</v>
      </c>
      <c r="W1002" t="s">
        <v>434</v>
      </c>
      <c r="X1002" t="s">
        <v>306</v>
      </c>
      <c r="Y1002" t="s">
        <v>307</v>
      </c>
      <c r="Z1002">
        <v>65</v>
      </c>
      <c r="AA1002">
        <v>78</v>
      </c>
      <c r="AB1002" t="s">
        <v>143</v>
      </c>
      <c r="AC1002" t="s">
        <v>336</v>
      </c>
      <c r="AD1002" t="s">
        <v>278</v>
      </c>
      <c r="AE1002" t="str">
        <f>IF(AF1002="","",VLOOKUP(AC1002,mapel!$A$2:$B$42,2,FALSE))</f>
        <v>Pancasila</v>
      </c>
      <c r="AF1002">
        <f t="shared" si="45"/>
        <v>78</v>
      </c>
      <c r="AG1002" t="str">
        <f>IF(AF1002="","",IF(AF1002&gt;90,"Sangat baik",IF(AF1002&gt;79,"Baik",IF(AF1002&gt;=pub_gid_0_single_true_output_csv[[#This Row],[KKM]],"Cukup","Kurang"))))</f>
        <v>Cukup</v>
      </c>
      <c r="AH1002">
        <f t="shared" si="46"/>
        <v>11</v>
      </c>
      <c r="AI1002" s="30" t="str">
        <f>IF(OR(J1002&lt;&gt;"Karakter",pub_gid_0_single_true_output_csv[[#This Row],[Nilai2]]=""),"",IF(AF1002&gt;89,"Sangat baik",IF(AF1002&gt;79,"Baik",IF(AF1002&gt;69,"Cukup",IF(AF1002&gt;59,"Kurang","Sangat kurang")))))</f>
        <v/>
      </c>
      <c r="AJ1002" t="str">
        <f t="shared" si="47"/>
        <v>Wk.6</v>
      </c>
      <c r="AK1002" t="str">
        <f>IF(pub_gid_0_single_true_output_csv[[#This Row],[Nilai2]]="","",VLOOKUP(pub_gid_0_single_true_output_csv[[#This Row],[NAMA]],Table7[],3,FALSE))</f>
        <v>Extremely low</v>
      </c>
    </row>
    <row r="1003" spans="1:37" x14ac:dyDescent="0.2">
      <c r="A1003">
        <v>1002</v>
      </c>
      <c r="B1003" t="s">
        <v>286</v>
      </c>
      <c r="C1003" t="s">
        <v>54</v>
      </c>
      <c r="D1003" t="s">
        <v>33</v>
      </c>
      <c r="E1003" t="s">
        <v>140</v>
      </c>
      <c r="F1003" s="25">
        <v>46062</v>
      </c>
      <c r="G1003" t="s">
        <v>376</v>
      </c>
      <c r="H1003" t="s">
        <v>412</v>
      </c>
      <c r="I1003" t="s">
        <v>371</v>
      </c>
      <c r="J1003" t="s">
        <v>36</v>
      </c>
      <c r="K1003" t="s">
        <v>362</v>
      </c>
      <c r="L1003" t="s">
        <v>363</v>
      </c>
      <c r="M1003" t="s">
        <v>141</v>
      </c>
      <c r="N1003" t="s">
        <v>142</v>
      </c>
      <c r="O1003" t="s">
        <v>155</v>
      </c>
      <c r="P1003" t="s">
        <v>281</v>
      </c>
      <c r="Q1003" t="s">
        <v>155</v>
      </c>
      <c r="R1003" t="s">
        <v>302</v>
      </c>
      <c r="S1003" t="s">
        <v>309</v>
      </c>
      <c r="T1003">
        <v>1</v>
      </c>
      <c r="U1003" t="s">
        <v>431</v>
      </c>
      <c r="V1003" t="s">
        <v>285</v>
      </c>
      <c r="W1003" t="s">
        <v>432</v>
      </c>
      <c r="X1003" t="s">
        <v>306</v>
      </c>
      <c r="Y1003" t="s">
        <v>307</v>
      </c>
      <c r="Z1003">
        <v>65</v>
      </c>
      <c r="AA1003">
        <v>69</v>
      </c>
      <c r="AB1003" t="s">
        <v>143</v>
      </c>
      <c r="AC1003" t="s">
        <v>336</v>
      </c>
      <c r="AD1003" t="s">
        <v>278</v>
      </c>
      <c r="AE1003" t="str">
        <f>IF(AF1003="","",VLOOKUP(AC1003,mapel!$A$2:$B$42,2,FALSE))</f>
        <v>Pancasila</v>
      </c>
      <c r="AF1003">
        <f t="shared" si="45"/>
        <v>69</v>
      </c>
      <c r="AG1003" t="str">
        <f>IF(AF1003="","",IF(AF1003&gt;90,"Sangat baik",IF(AF1003&gt;79,"Baik",IF(AF1003&gt;=pub_gid_0_single_true_output_csv[[#This Row],[KKM]],"Cukup","Kurang"))))</f>
        <v>Cukup</v>
      </c>
      <c r="AH1003">
        <f t="shared" si="46"/>
        <v>11</v>
      </c>
      <c r="AI1003" s="30" t="str">
        <f>IF(OR(J1003&lt;&gt;"Karakter",pub_gid_0_single_true_output_csv[[#This Row],[Nilai2]]=""),"",IF(AF1003&gt;89,"Sangat baik",IF(AF1003&gt;79,"Baik",IF(AF1003&gt;69,"Cukup",IF(AF1003&gt;59,"Kurang","Sangat kurang")))))</f>
        <v/>
      </c>
      <c r="AJ1003" t="str">
        <f t="shared" si="47"/>
        <v>Wk.7</v>
      </c>
      <c r="AK1003" t="str">
        <f>IF(pub_gid_0_single_true_output_csv[[#This Row],[Nilai2]]="","",VLOOKUP(pub_gid_0_single_true_output_csv[[#This Row],[NAMA]],Table7[],3,FALSE))</f>
        <v>Extremely low</v>
      </c>
    </row>
    <row r="1004" spans="1:37" x14ac:dyDescent="0.2">
      <c r="A1004">
        <v>1003</v>
      </c>
      <c r="B1004" t="s">
        <v>286</v>
      </c>
      <c r="C1004" t="s">
        <v>54</v>
      </c>
      <c r="D1004" t="s">
        <v>33</v>
      </c>
      <c r="E1004" t="s">
        <v>140</v>
      </c>
      <c r="F1004" s="25">
        <v>46062</v>
      </c>
      <c r="G1004" t="s">
        <v>376</v>
      </c>
      <c r="H1004" t="s">
        <v>412</v>
      </c>
      <c r="I1004" t="s">
        <v>371</v>
      </c>
      <c r="J1004" t="s">
        <v>36</v>
      </c>
      <c r="K1004" t="s">
        <v>362</v>
      </c>
      <c r="L1004" t="s">
        <v>363</v>
      </c>
      <c r="M1004" t="s">
        <v>141</v>
      </c>
      <c r="N1004" t="s">
        <v>142</v>
      </c>
      <c r="O1004" t="s">
        <v>155</v>
      </c>
      <c r="P1004" t="s">
        <v>281</v>
      </c>
      <c r="Q1004" t="s">
        <v>155</v>
      </c>
      <c r="R1004" t="s">
        <v>302</v>
      </c>
      <c r="S1004" t="s">
        <v>369</v>
      </c>
      <c r="T1004">
        <v>1</v>
      </c>
      <c r="U1004" t="s">
        <v>431</v>
      </c>
      <c r="V1004" t="s">
        <v>342</v>
      </c>
      <c r="W1004" t="s">
        <v>433</v>
      </c>
      <c r="X1004" t="s">
        <v>306</v>
      </c>
      <c r="Y1004" t="s">
        <v>307</v>
      </c>
      <c r="Z1004">
        <v>65</v>
      </c>
      <c r="AA1004">
        <v>73</v>
      </c>
      <c r="AB1004" t="s">
        <v>143</v>
      </c>
      <c r="AC1004" t="s">
        <v>336</v>
      </c>
      <c r="AD1004" t="s">
        <v>278</v>
      </c>
      <c r="AE1004" t="str">
        <f>IF(AF1004="","",VLOOKUP(AC1004,mapel!$A$2:$B$42,2,FALSE))</f>
        <v>Pancasila</v>
      </c>
      <c r="AF1004">
        <f t="shared" si="45"/>
        <v>73</v>
      </c>
      <c r="AG1004" t="str">
        <f>IF(AF1004="","",IF(AF1004&gt;90,"Sangat baik",IF(AF1004&gt;79,"Baik",IF(AF1004&gt;=pub_gid_0_single_true_output_csv[[#This Row],[KKM]],"Cukup","Kurang"))))</f>
        <v>Cukup</v>
      </c>
      <c r="AH1004">
        <f t="shared" si="46"/>
        <v>11</v>
      </c>
      <c r="AI1004" s="30" t="str">
        <f>IF(OR(J1004&lt;&gt;"Karakter",pub_gid_0_single_true_output_csv[[#This Row],[Nilai2]]=""),"",IF(AF1004&gt;89,"Sangat baik",IF(AF1004&gt;79,"Baik",IF(AF1004&gt;69,"Cukup",IF(AF1004&gt;59,"Kurang","Sangat kurang")))))</f>
        <v/>
      </c>
      <c r="AJ1004" t="str">
        <f t="shared" si="47"/>
        <v>Wk.7</v>
      </c>
      <c r="AK1004" t="str">
        <f>IF(pub_gid_0_single_true_output_csv[[#This Row],[Nilai2]]="","",VLOOKUP(pub_gid_0_single_true_output_csv[[#This Row],[NAMA]],Table7[],3,FALSE))</f>
        <v>Extremely low</v>
      </c>
    </row>
    <row r="1005" spans="1:37" x14ac:dyDescent="0.2">
      <c r="A1005">
        <v>1004</v>
      </c>
      <c r="B1005" t="s">
        <v>286</v>
      </c>
      <c r="C1005" t="s">
        <v>54</v>
      </c>
      <c r="D1005" t="s">
        <v>33</v>
      </c>
      <c r="E1005" t="s">
        <v>140</v>
      </c>
      <c r="F1005" s="25">
        <v>46059</v>
      </c>
      <c r="G1005" t="s">
        <v>349</v>
      </c>
      <c r="H1005" t="s">
        <v>412</v>
      </c>
      <c r="I1005" t="s">
        <v>371</v>
      </c>
      <c r="J1005" t="s">
        <v>41</v>
      </c>
      <c r="K1005" t="s">
        <v>357</v>
      </c>
      <c r="L1005" t="s">
        <v>351</v>
      </c>
      <c r="M1005" t="s">
        <v>141</v>
      </c>
      <c r="N1005" t="s">
        <v>142</v>
      </c>
      <c r="O1005" t="s">
        <v>155</v>
      </c>
      <c r="P1005" t="s">
        <v>281</v>
      </c>
      <c r="Q1005" t="s">
        <v>155</v>
      </c>
      <c r="R1005" t="s">
        <v>302</v>
      </c>
      <c r="S1005" t="s">
        <v>345</v>
      </c>
      <c r="T1005">
        <v>1</v>
      </c>
      <c r="U1005" t="s">
        <v>431</v>
      </c>
      <c r="V1005" t="s">
        <v>343</v>
      </c>
      <c r="W1005" t="s">
        <v>434</v>
      </c>
      <c r="X1005" t="s">
        <v>306</v>
      </c>
      <c r="Y1005" t="s">
        <v>307</v>
      </c>
      <c r="Z1005">
        <v>65</v>
      </c>
      <c r="AA1005">
        <v>87</v>
      </c>
      <c r="AB1005" t="s">
        <v>143</v>
      </c>
      <c r="AC1005" t="s">
        <v>336</v>
      </c>
      <c r="AD1005" t="s">
        <v>278</v>
      </c>
      <c r="AE1005" t="str">
        <f>IF(AF1005="","",VLOOKUP(AC1005,mapel!$A$2:$B$42,2,FALSE))</f>
        <v>Pancasila</v>
      </c>
      <c r="AF1005">
        <f t="shared" si="45"/>
        <v>87</v>
      </c>
      <c r="AG1005" t="str">
        <f>IF(AF1005="","",IF(AF1005&gt;90,"Sangat baik",IF(AF1005&gt;79,"Baik",IF(AF1005&gt;=pub_gid_0_single_true_output_csv[[#This Row],[KKM]],"Cukup","Kurang"))))</f>
        <v>Baik</v>
      </c>
      <c r="AH1005">
        <f t="shared" si="46"/>
        <v>11</v>
      </c>
      <c r="AI1005" s="30" t="str">
        <f>IF(OR(J1005&lt;&gt;"Karakter",pub_gid_0_single_true_output_csv[[#This Row],[Nilai2]]=""),"",IF(AF1005&gt;89,"Sangat baik",IF(AF1005&gt;79,"Baik",IF(AF1005&gt;69,"Cukup",IF(AF1005&gt;59,"Kurang","Sangat kurang")))))</f>
        <v/>
      </c>
      <c r="AJ1005" t="str">
        <f t="shared" si="47"/>
        <v>Wk.6</v>
      </c>
      <c r="AK1005" t="str">
        <f>IF(pub_gid_0_single_true_output_csv[[#This Row],[Nilai2]]="","",VLOOKUP(pub_gid_0_single_true_output_csv[[#This Row],[NAMA]],Table7[],3,FALSE))</f>
        <v>Extremely low</v>
      </c>
    </row>
    <row r="1006" spans="1:37" x14ac:dyDescent="0.2">
      <c r="A1006">
        <v>1005</v>
      </c>
      <c r="B1006" t="s">
        <v>286</v>
      </c>
      <c r="C1006" t="s">
        <v>54</v>
      </c>
      <c r="D1006" t="s">
        <v>33</v>
      </c>
      <c r="E1006" t="s">
        <v>140</v>
      </c>
      <c r="F1006" s="25">
        <v>46059</v>
      </c>
      <c r="G1006" t="s">
        <v>349</v>
      </c>
      <c r="H1006" t="s">
        <v>412</v>
      </c>
      <c r="I1006" t="s">
        <v>371</v>
      </c>
      <c r="J1006" t="s">
        <v>36</v>
      </c>
      <c r="K1006" t="s">
        <v>37</v>
      </c>
      <c r="L1006" t="s">
        <v>351</v>
      </c>
      <c r="M1006" t="s">
        <v>141</v>
      </c>
      <c r="N1006" t="s">
        <v>142</v>
      </c>
      <c r="O1006" t="s">
        <v>155</v>
      </c>
      <c r="P1006" t="s">
        <v>281</v>
      </c>
      <c r="Q1006" t="s">
        <v>155</v>
      </c>
      <c r="R1006" t="s">
        <v>302</v>
      </c>
      <c r="S1006" t="s">
        <v>345</v>
      </c>
      <c r="T1006">
        <v>1</v>
      </c>
      <c r="U1006" t="s">
        <v>431</v>
      </c>
      <c r="V1006" t="s">
        <v>343</v>
      </c>
      <c r="W1006" t="s">
        <v>434</v>
      </c>
      <c r="X1006" t="s">
        <v>306</v>
      </c>
      <c r="Y1006" t="s">
        <v>307</v>
      </c>
      <c r="Z1006">
        <v>65</v>
      </c>
      <c r="AA1006">
        <v>87</v>
      </c>
      <c r="AB1006" t="s">
        <v>143</v>
      </c>
      <c r="AC1006" t="s">
        <v>336</v>
      </c>
      <c r="AD1006" t="s">
        <v>278</v>
      </c>
      <c r="AE1006" t="str">
        <f>IF(AF1006="","",VLOOKUP(AC1006,mapel!$A$2:$B$42,2,FALSE))</f>
        <v>Pancasila</v>
      </c>
      <c r="AF1006">
        <f t="shared" si="45"/>
        <v>87</v>
      </c>
      <c r="AG1006" t="str">
        <f>IF(AF1006="","",IF(AF1006&gt;90,"Sangat baik",IF(AF1006&gt;79,"Baik",IF(AF1006&gt;=pub_gid_0_single_true_output_csv[[#This Row],[KKM]],"Cukup","Kurang"))))</f>
        <v>Baik</v>
      </c>
      <c r="AH1006">
        <f t="shared" si="46"/>
        <v>11</v>
      </c>
      <c r="AI1006" s="30" t="str">
        <f>IF(OR(J1006&lt;&gt;"Karakter",pub_gid_0_single_true_output_csv[[#This Row],[Nilai2]]=""),"",IF(AF1006&gt;89,"Sangat baik",IF(AF1006&gt;79,"Baik",IF(AF1006&gt;69,"Cukup",IF(AF1006&gt;59,"Kurang","Sangat kurang")))))</f>
        <v/>
      </c>
      <c r="AJ1006" t="str">
        <f t="shared" si="47"/>
        <v>Wk.6</v>
      </c>
      <c r="AK1006" t="str">
        <f>IF(pub_gid_0_single_true_output_csv[[#This Row],[Nilai2]]="","",VLOOKUP(pub_gid_0_single_true_output_csv[[#This Row],[NAMA]],Table7[],3,FALSE))</f>
        <v>Extremely low</v>
      </c>
    </row>
    <row r="1007" spans="1:37" x14ac:dyDescent="0.2">
      <c r="A1007">
        <v>1006</v>
      </c>
      <c r="B1007" t="s">
        <v>293</v>
      </c>
      <c r="C1007" t="s">
        <v>54</v>
      </c>
      <c r="D1007" t="s">
        <v>45</v>
      </c>
      <c r="E1007" t="s">
        <v>147</v>
      </c>
      <c r="F1007" s="25">
        <v>46034</v>
      </c>
      <c r="G1007" t="s">
        <v>354</v>
      </c>
      <c r="H1007" t="s">
        <v>405</v>
      </c>
      <c r="I1007" t="s">
        <v>371</v>
      </c>
      <c r="J1007" t="s">
        <v>90</v>
      </c>
      <c r="K1007" t="s">
        <v>92</v>
      </c>
      <c r="L1007" t="s">
        <v>398</v>
      </c>
      <c r="M1007" t="s">
        <v>141</v>
      </c>
      <c r="N1007" t="s">
        <v>142</v>
      </c>
      <c r="O1007" t="s">
        <v>155</v>
      </c>
      <c r="P1007" t="s">
        <v>281</v>
      </c>
      <c r="Q1007" t="s">
        <v>155</v>
      </c>
      <c r="R1007" t="s">
        <v>302</v>
      </c>
      <c r="S1007" t="s">
        <v>309</v>
      </c>
      <c r="T1007">
        <v>1</v>
      </c>
      <c r="U1007" t="s">
        <v>431</v>
      </c>
      <c r="V1007" t="s">
        <v>285</v>
      </c>
      <c r="W1007" t="s">
        <v>432</v>
      </c>
      <c r="X1007" t="s">
        <v>306</v>
      </c>
      <c r="Y1007" t="s">
        <v>307</v>
      </c>
      <c r="Z1007">
        <v>65</v>
      </c>
      <c r="AA1007">
        <v>80</v>
      </c>
      <c r="AB1007" t="s">
        <v>143</v>
      </c>
      <c r="AC1007" t="s">
        <v>336</v>
      </c>
      <c r="AD1007" t="s">
        <v>278</v>
      </c>
      <c r="AE1007" t="str">
        <f>IF(AF1007="","",VLOOKUP(AC1007,mapel!$A$2:$B$42,2,FALSE))</f>
        <v>Pancasila</v>
      </c>
      <c r="AF1007">
        <f t="shared" si="45"/>
        <v>80</v>
      </c>
      <c r="AG1007" t="str">
        <f>IF(AF1007="","",IF(AF1007&gt;90,"Sangat baik",IF(AF1007&gt;79,"Baik",IF(AF1007&gt;=pub_gid_0_single_true_output_csv[[#This Row],[KKM]],"Cukup","Kurang"))))</f>
        <v>Baik</v>
      </c>
      <c r="AH1007">
        <f t="shared" si="46"/>
        <v>11</v>
      </c>
      <c r="AI1007" s="30" t="str">
        <f>IF(OR(J1007&lt;&gt;"Karakter",pub_gid_0_single_true_output_csv[[#This Row],[Nilai2]]=""),"",IF(AF1007&gt;89,"Sangat baik",IF(AF1007&gt;79,"Baik",IF(AF1007&gt;69,"Cukup",IF(AF1007&gt;59,"Kurang","Sangat kurang")))))</f>
        <v>Baik</v>
      </c>
      <c r="AJ1007" t="str">
        <f t="shared" si="47"/>
        <v>Wk.3</v>
      </c>
      <c r="AK1007" t="str">
        <f>IF(pub_gid_0_single_true_output_csv[[#This Row],[Nilai2]]="","",VLOOKUP(pub_gid_0_single_true_output_csv[[#This Row],[NAMA]],Table7[],3,FALSE))</f>
        <v>High average</v>
      </c>
    </row>
    <row r="1008" spans="1:37" x14ac:dyDescent="0.2">
      <c r="A1008">
        <v>1007</v>
      </c>
      <c r="B1008" t="s">
        <v>293</v>
      </c>
      <c r="C1008" t="s">
        <v>54</v>
      </c>
      <c r="D1008" t="s">
        <v>45</v>
      </c>
      <c r="E1008" t="s">
        <v>147</v>
      </c>
      <c r="F1008" s="25">
        <v>46034</v>
      </c>
      <c r="G1008" t="s">
        <v>354</v>
      </c>
      <c r="H1008" t="s">
        <v>405</v>
      </c>
      <c r="I1008" t="s">
        <v>371</v>
      </c>
      <c r="J1008" t="s">
        <v>36</v>
      </c>
      <c r="K1008" t="s">
        <v>37</v>
      </c>
      <c r="L1008" t="s">
        <v>150</v>
      </c>
      <c r="M1008" t="s">
        <v>141</v>
      </c>
      <c r="N1008" t="s">
        <v>142</v>
      </c>
      <c r="O1008" t="s">
        <v>155</v>
      </c>
      <c r="P1008" t="s">
        <v>281</v>
      </c>
      <c r="Q1008" t="s">
        <v>155</v>
      </c>
      <c r="R1008" t="s">
        <v>302</v>
      </c>
      <c r="S1008" t="s">
        <v>309</v>
      </c>
      <c r="T1008">
        <v>1</v>
      </c>
      <c r="U1008" t="s">
        <v>431</v>
      </c>
      <c r="V1008" t="s">
        <v>285</v>
      </c>
      <c r="W1008" t="s">
        <v>432</v>
      </c>
      <c r="X1008" t="s">
        <v>306</v>
      </c>
      <c r="Y1008" t="s">
        <v>307</v>
      </c>
      <c r="Z1008">
        <v>65</v>
      </c>
      <c r="AA1008">
        <v>75</v>
      </c>
      <c r="AB1008" t="s">
        <v>143</v>
      </c>
      <c r="AC1008" t="s">
        <v>336</v>
      </c>
      <c r="AD1008" t="s">
        <v>278</v>
      </c>
      <c r="AE1008" t="str">
        <f>IF(AF1008="","",VLOOKUP(AC1008,mapel!$A$2:$B$42,2,FALSE))</f>
        <v>Pancasila</v>
      </c>
      <c r="AF1008">
        <f t="shared" si="45"/>
        <v>75</v>
      </c>
      <c r="AG1008" t="str">
        <f>IF(AF1008="","",IF(AF1008&gt;90,"Sangat baik",IF(AF1008&gt;79,"Baik",IF(AF1008&gt;=pub_gid_0_single_true_output_csv[[#This Row],[KKM]],"Cukup","Kurang"))))</f>
        <v>Cukup</v>
      </c>
      <c r="AH1008">
        <f t="shared" si="46"/>
        <v>11</v>
      </c>
      <c r="AI1008" s="30" t="str">
        <f>IF(OR(J1008&lt;&gt;"Karakter",pub_gid_0_single_true_output_csv[[#This Row],[Nilai2]]=""),"",IF(AF1008&gt;89,"Sangat baik",IF(AF1008&gt;79,"Baik",IF(AF1008&gt;69,"Cukup",IF(AF1008&gt;59,"Kurang","Sangat kurang")))))</f>
        <v/>
      </c>
      <c r="AJ1008" t="str">
        <f t="shared" si="47"/>
        <v>Wk.3</v>
      </c>
      <c r="AK1008" t="str">
        <f>IF(pub_gid_0_single_true_output_csv[[#This Row],[Nilai2]]="","",VLOOKUP(pub_gid_0_single_true_output_csv[[#This Row],[NAMA]],Table7[],3,FALSE))</f>
        <v>High average</v>
      </c>
    </row>
    <row r="1009" spans="1:37" x14ac:dyDescent="0.2">
      <c r="A1009">
        <v>1008</v>
      </c>
      <c r="B1009" t="s">
        <v>293</v>
      </c>
      <c r="C1009" t="s">
        <v>54</v>
      </c>
      <c r="D1009" t="s">
        <v>45</v>
      </c>
      <c r="E1009" t="s">
        <v>147</v>
      </c>
      <c r="F1009" s="25">
        <v>46034</v>
      </c>
      <c r="G1009" t="s">
        <v>354</v>
      </c>
      <c r="H1009" t="s">
        <v>405</v>
      </c>
      <c r="I1009" t="s">
        <v>371</v>
      </c>
      <c r="J1009" t="s">
        <v>31</v>
      </c>
      <c r="K1009" t="s">
        <v>32</v>
      </c>
      <c r="L1009" t="s">
        <v>150</v>
      </c>
      <c r="M1009" t="s">
        <v>141</v>
      </c>
      <c r="N1009" t="s">
        <v>142</v>
      </c>
      <c r="O1009" t="s">
        <v>155</v>
      </c>
      <c r="P1009" t="s">
        <v>281</v>
      </c>
      <c r="Q1009" t="s">
        <v>155</v>
      </c>
      <c r="R1009" t="s">
        <v>302</v>
      </c>
      <c r="S1009" t="s">
        <v>309</v>
      </c>
      <c r="T1009">
        <v>1</v>
      </c>
      <c r="U1009" t="s">
        <v>431</v>
      </c>
      <c r="V1009" t="s">
        <v>285</v>
      </c>
      <c r="W1009" t="s">
        <v>432</v>
      </c>
      <c r="X1009" t="s">
        <v>306</v>
      </c>
      <c r="Y1009" t="s">
        <v>307</v>
      </c>
      <c r="Z1009">
        <v>65</v>
      </c>
      <c r="AA1009">
        <v>72</v>
      </c>
      <c r="AB1009" t="s">
        <v>143</v>
      </c>
      <c r="AC1009" t="s">
        <v>336</v>
      </c>
      <c r="AD1009" t="s">
        <v>278</v>
      </c>
      <c r="AE1009" t="str">
        <f>IF(AF1009="","",VLOOKUP(AC1009,mapel!$A$2:$B$42,2,FALSE))</f>
        <v>Pancasila</v>
      </c>
      <c r="AF1009">
        <f t="shared" si="45"/>
        <v>72</v>
      </c>
      <c r="AG1009" t="str">
        <f>IF(AF1009="","",IF(AF1009&gt;90,"Sangat baik",IF(AF1009&gt;79,"Baik",IF(AF1009&gt;=pub_gid_0_single_true_output_csv[[#This Row],[KKM]],"Cukup","Kurang"))))</f>
        <v>Cukup</v>
      </c>
      <c r="AH1009">
        <f t="shared" si="46"/>
        <v>11</v>
      </c>
      <c r="AI1009" s="30" t="str">
        <f>IF(OR(J1009&lt;&gt;"Karakter",pub_gid_0_single_true_output_csv[[#This Row],[Nilai2]]=""),"",IF(AF1009&gt;89,"Sangat baik",IF(AF1009&gt;79,"Baik",IF(AF1009&gt;69,"Cukup",IF(AF1009&gt;59,"Kurang","Sangat kurang")))))</f>
        <v/>
      </c>
      <c r="AJ1009" t="str">
        <f t="shared" si="47"/>
        <v>Wk.3</v>
      </c>
      <c r="AK1009" t="str">
        <f>IF(pub_gid_0_single_true_output_csv[[#This Row],[Nilai2]]="","",VLOOKUP(pub_gid_0_single_true_output_csv[[#This Row],[NAMA]],Table7[],3,FALSE))</f>
        <v>High average</v>
      </c>
    </row>
    <row r="1010" spans="1:37" x14ac:dyDescent="0.2">
      <c r="A1010">
        <v>1009</v>
      </c>
      <c r="B1010" t="s">
        <v>293</v>
      </c>
      <c r="C1010" t="s">
        <v>54</v>
      </c>
      <c r="D1010" t="s">
        <v>45</v>
      </c>
      <c r="E1010" t="s">
        <v>147</v>
      </c>
      <c r="F1010" s="25">
        <v>46034</v>
      </c>
      <c r="G1010" t="s">
        <v>354</v>
      </c>
      <c r="H1010" t="s">
        <v>405</v>
      </c>
      <c r="I1010" t="s">
        <v>371</v>
      </c>
      <c r="J1010" t="s">
        <v>279</v>
      </c>
      <c r="K1010" t="s">
        <v>280</v>
      </c>
      <c r="L1010" t="s">
        <v>322</v>
      </c>
      <c r="M1010" t="s">
        <v>141</v>
      </c>
      <c r="N1010" t="s">
        <v>142</v>
      </c>
      <c r="O1010" t="s">
        <v>155</v>
      </c>
      <c r="P1010" t="s">
        <v>281</v>
      </c>
      <c r="Q1010" t="s">
        <v>155</v>
      </c>
      <c r="R1010" t="s">
        <v>302</v>
      </c>
      <c r="S1010" t="s">
        <v>309</v>
      </c>
      <c r="T1010">
        <v>1</v>
      </c>
      <c r="U1010" t="s">
        <v>431</v>
      </c>
      <c r="V1010" t="s">
        <v>285</v>
      </c>
      <c r="W1010" t="s">
        <v>432</v>
      </c>
      <c r="X1010" t="s">
        <v>306</v>
      </c>
      <c r="Y1010" t="s">
        <v>307</v>
      </c>
      <c r="Z1010">
        <v>65</v>
      </c>
      <c r="AA1010">
        <v>74</v>
      </c>
      <c r="AB1010" t="s">
        <v>143</v>
      </c>
      <c r="AC1010" t="s">
        <v>336</v>
      </c>
      <c r="AD1010" t="s">
        <v>278</v>
      </c>
      <c r="AE1010" t="str">
        <f>IF(AF1010="","",VLOOKUP(AC1010,mapel!$A$2:$B$42,2,FALSE))</f>
        <v>Pancasila</v>
      </c>
      <c r="AF1010">
        <f t="shared" si="45"/>
        <v>74</v>
      </c>
      <c r="AG1010" t="str">
        <f>IF(AF1010="","",IF(AF1010&gt;90,"Sangat baik",IF(AF1010&gt;79,"Baik",IF(AF1010&gt;=pub_gid_0_single_true_output_csv[[#This Row],[KKM]],"Cukup","Kurang"))))</f>
        <v>Cukup</v>
      </c>
      <c r="AH1010">
        <f t="shared" si="46"/>
        <v>11</v>
      </c>
      <c r="AI1010" s="30" t="str">
        <f>IF(OR(J1010&lt;&gt;"Karakter",pub_gid_0_single_true_output_csv[[#This Row],[Nilai2]]=""),"",IF(AF1010&gt;89,"Sangat baik",IF(AF1010&gt;79,"Baik",IF(AF1010&gt;69,"Cukup",IF(AF1010&gt;59,"Kurang","Sangat kurang")))))</f>
        <v/>
      </c>
      <c r="AJ1010" t="str">
        <f t="shared" si="47"/>
        <v>Wk.3</v>
      </c>
      <c r="AK1010" t="str">
        <f>IF(pub_gid_0_single_true_output_csv[[#This Row],[Nilai2]]="","",VLOOKUP(pub_gid_0_single_true_output_csv[[#This Row],[NAMA]],Table7[],3,FALSE))</f>
        <v>High average</v>
      </c>
    </row>
    <row r="1011" spans="1:37" x14ac:dyDescent="0.2">
      <c r="A1011">
        <v>1010</v>
      </c>
      <c r="B1011" t="s">
        <v>293</v>
      </c>
      <c r="C1011" t="s">
        <v>54</v>
      </c>
      <c r="D1011" t="s">
        <v>45</v>
      </c>
      <c r="E1011" t="s">
        <v>147</v>
      </c>
      <c r="F1011" s="25">
        <v>46048</v>
      </c>
      <c r="G1011" t="s">
        <v>371</v>
      </c>
      <c r="H1011" t="s">
        <v>405</v>
      </c>
      <c r="I1011" t="s">
        <v>371</v>
      </c>
      <c r="J1011" t="s">
        <v>36</v>
      </c>
      <c r="K1011" t="s">
        <v>37</v>
      </c>
      <c r="L1011" t="s">
        <v>351</v>
      </c>
      <c r="M1011" t="s">
        <v>141</v>
      </c>
      <c r="N1011" t="s">
        <v>142</v>
      </c>
      <c r="O1011" t="s">
        <v>155</v>
      </c>
      <c r="P1011" t="s">
        <v>281</v>
      </c>
      <c r="Q1011" t="s">
        <v>155</v>
      </c>
      <c r="R1011" t="s">
        <v>302</v>
      </c>
      <c r="S1011" t="s">
        <v>369</v>
      </c>
      <c r="T1011">
        <v>1</v>
      </c>
      <c r="U1011" t="s">
        <v>431</v>
      </c>
      <c r="V1011" t="s">
        <v>342</v>
      </c>
      <c r="W1011" t="s">
        <v>433</v>
      </c>
      <c r="X1011" t="s">
        <v>306</v>
      </c>
      <c r="Y1011" t="s">
        <v>307</v>
      </c>
      <c r="Z1011">
        <v>65</v>
      </c>
      <c r="AA1011">
        <v>90</v>
      </c>
      <c r="AB1011" t="s">
        <v>143</v>
      </c>
      <c r="AC1011" t="s">
        <v>336</v>
      </c>
      <c r="AD1011" t="s">
        <v>278</v>
      </c>
      <c r="AE1011" t="str">
        <f>IF(AF1011="","",VLOOKUP(AC1011,mapel!$A$2:$B$42,2,FALSE))</f>
        <v>Pancasila</v>
      </c>
      <c r="AF1011">
        <f t="shared" si="45"/>
        <v>90</v>
      </c>
      <c r="AG1011" t="str">
        <f>IF(AF1011="","",IF(AF1011&gt;90,"Sangat baik",IF(AF1011&gt;79,"Baik",IF(AF1011&gt;=pub_gid_0_single_true_output_csv[[#This Row],[KKM]],"Cukup","Kurang"))))</f>
        <v>Baik</v>
      </c>
      <c r="AH1011">
        <f t="shared" si="46"/>
        <v>11</v>
      </c>
      <c r="AI1011" s="30" t="str">
        <f>IF(OR(J1011&lt;&gt;"Karakter",pub_gid_0_single_true_output_csv[[#This Row],[Nilai2]]=""),"",IF(AF1011&gt;89,"Sangat baik",IF(AF1011&gt;79,"Baik",IF(AF1011&gt;69,"Cukup",IF(AF1011&gt;59,"Kurang","Sangat kurang")))))</f>
        <v/>
      </c>
      <c r="AJ1011" t="str">
        <f t="shared" si="47"/>
        <v>Wk.5</v>
      </c>
      <c r="AK1011" t="str">
        <f>IF(pub_gid_0_single_true_output_csv[[#This Row],[Nilai2]]="","",VLOOKUP(pub_gid_0_single_true_output_csv[[#This Row],[NAMA]],Table7[],3,FALSE))</f>
        <v>High average</v>
      </c>
    </row>
    <row r="1012" spans="1:37" x14ac:dyDescent="0.2">
      <c r="A1012">
        <v>1011</v>
      </c>
      <c r="B1012" t="s">
        <v>293</v>
      </c>
      <c r="C1012" t="s">
        <v>54</v>
      </c>
      <c r="D1012" t="s">
        <v>45</v>
      </c>
      <c r="E1012" t="s">
        <v>147</v>
      </c>
      <c r="F1012" s="25">
        <v>46048</v>
      </c>
      <c r="G1012" t="s">
        <v>371</v>
      </c>
      <c r="H1012" t="s">
        <v>405</v>
      </c>
      <c r="I1012" t="s">
        <v>371</v>
      </c>
      <c r="J1012" t="s">
        <v>31</v>
      </c>
      <c r="K1012" t="s">
        <v>96</v>
      </c>
      <c r="L1012" t="s">
        <v>351</v>
      </c>
      <c r="M1012" t="s">
        <v>141</v>
      </c>
      <c r="N1012" t="s">
        <v>142</v>
      </c>
      <c r="O1012" t="s">
        <v>155</v>
      </c>
      <c r="P1012" t="s">
        <v>281</v>
      </c>
      <c r="Q1012" t="s">
        <v>155</v>
      </c>
      <c r="R1012" t="s">
        <v>302</v>
      </c>
      <c r="S1012" t="s">
        <v>369</v>
      </c>
      <c r="T1012">
        <v>1</v>
      </c>
      <c r="U1012" t="s">
        <v>431</v>
      </c>
      <c r="V1012" t="s">
        <v>342</v>
      </c>
      <c r="W1012" t="s">
        <v>433</v>
      </c>
      <c r="X1012" t="s">
        <v>306</v>
      </c>
      <c r="Y1012" t="s">
        <v>307</v>
      </c>
      <c r="Z1012">
        <v>65</v>
      </c>
      <c r="AA1012">
        <v>88</v>
      </c>
      <c r="AB1012" t="s">
        <v>143</v>
      </c>
      <c r="AC1012" t="s">
        <v>336</v>
      </c>
      <c r="AD1012" t="s">
        <v>278</v>
      </c>
      <c r="AE1012" t="str">
        <f>IF(AF1012="","",VLOOKUP(AC1012,mapel!$A$2:$B$42,2,FALSE))</f>
        <v>Pancasila</v>
      </c>
      <c r="AF1012">
        <f t="shared" si="45"/>
        <v>88</v>
      </c>
      <c r="AG1012" t="str">
        <f>IF(AF1012="","",IF(AF1012&gt;90,"Sangat baik",IF(AF1012&gt;79,"Baik",IF(AF1012&gt;=pub_gid_0_single_true_output_csv[[#This Row],[KKM]],"Cukup","Kurang"))))</f>
        <v>Baik</v>
      </c>
      <c r="AH1012">
        <f t="shared" si="46"/>
        <v>11</v>
      </c>
      <c r="AI1012" s="30" t="str">
        <f>IF(OR(J1012&lt;&gt;"Karakter",pub_gid_0_single_true_output_csv[[#This Row],[Nilai2]]=""),"",IF(AF1012&gt;89,"Sangat baik",IF(AF1012&gt;79,"Baik",IF(AF1012&gt;69,"Cukup",IF(AF1012&gt;59,"Kurang","Sangat kurang")))))</f>
        <v/>
      </c>
      <c r="AJ1012" t="str">
        <f t="shared" si="47"/>
        <v>Wk.5</v>
      </c>
      <c r="AK1012" t="str">
        <f>IF(pub_gid_0_single_true_output_csv[[#This Row],[Nilai2]]="","",VLOOKUP(pub_gid_0_single_true_output_csv[[#This Row],[NAMA]],Table7[],3,FALSE))</f>
        <v>High average</v>
      </c>
    </row>
    <row r="1013" spans="1:37" x14ac:dyDescent="0.2">
      <c r="A1013">
        <v>1012</v>
      </c>
      <c r="B1013" t="s">
        <v>293</v>
      </c>
      <c r="C1013" t="s">
        <v>54</v>
      </c>
      <c r="D1013" t="s">
        <v>45</v>
      </c>
      <c r="E1013" t="s">
        <v>147</v>
      </c>
      <c r="F1013" s="25">
        <v>46048</v>
      </c>
      <c r="G1013" t="s">
        <v>371</v>
      </c>
      <c r="H1013" t="s">
        <v>405</v>
      </c>
      <c r="I1013" t="s">
        <v>371</v>
      </c>
      <c r="J1013" t="s">
        <v>90</v>
      </c>
      <c r="K1013" t="s">
        <v>377</v>
      </c>
      <c r="L1013" t="s">
        <v>378</v>
      </c>
      <c r="M1013" t="s">
        <v>141</v>
      </c>
      <c r="N1013" t="s">
        <v>142</v>
      </c>
      <c r="O1013" t="s">
        <v>155</v>
      </c>
      <c r="P1013" t="s">
        <v>281</v>
      </c>
      <c r="Q1013" t="s">
        <v>155</v>
      </c>
      <c r="R1013" t="s">
        <v>302</v>
      </c>
      <c r="S1013" t="s">
        <v>369</v>
      </c>
      <c r="T1013">
        <v>1</v>
      </c>
      <c r="U1013" t="s">
        <v>431</v>
      </c>
      <c r="V1013" t="s">
        <v>342</v>
      </c>
      <c r="W1013" t="s">
        <v>433</v>
      </c>
      <c r="X1013" t="s">
        <v>306</v>
      </c>
      <c r="Y1013" t="s">
        <v>307</v>
      </c>
      <c r="Z1013">
        <v>65</v>
      </c>
      <c r="AA1013">
        <v>78</v>
      </c>
      <c r="AB1013" t="s">
        <v>143</v>
      </c>
      <c r="AC1013" t="s">
        <v>336</v>
      </c>
      <c r="AD1013" t="s">
        <v>278</v>
      </c>
      <c r="AE1013" t="str">
        <f>IF(AF1013="","",VLOOKUP(AC1013,mapel!$A$2:$B$42,2,FALSE))</f>
        <v>Pancasila</v>
      </c>
      <c r="AF1013">
        <f t="shared" si="45"/>
        <v>78</v>
      </c>
      <c r="AG1013" t="str">
        <f>IF(AF1013="","",IF(AF1013&gt;90,"Sangat baik",IF(AF1013&gt;79,"Baik",IF(AF1013&gt;=pub_gid_0_single_true_output_csv[[#This Row],[KKM]],"Cukup","Kurang"))))</f>
        <v>Cukup</v>
      </c>
      <c r="AH1013">
        <f t="shared" si="46"/>
        <v>11</v>
      </c>
      <c r="AI1013" s="30" t="str">
        <f>IF(OR(J1013&lt;&gt;"Karakter",pub_gid_0_single_true_output_csv[[#This Row],[Nilai2]]=""),"",IF(AF1013&gt;89,"Sangat baik",IF(AF1013&gt;79,"Baik",IF(AF1013&gt;69,"Cukup",IF(AF1013&gt;59,"Kurang","Sangat kurang")))))</f>
        <v>Cukup</v>
      </c>
      <c r="AJ1013" t="str">
        <f t="shared" si="47"/>
        <v>Wk.5</v>
      </c>
      <c r="AK1013" t="str">
        <f>IF(pub_gid_0_single_true_output_csv[[#This Row],[Nilai2]]="","",VLOOKUP(pub_gid_0_single_true_output_csv[[#This Row],[NAMA]],Table7[],3,FALSE))</f>
        <v>High average</v>
      </c>
    </row>
    <row r="1014" spans="1:37" x14ac:dyDescent="0.2">
      <c r="A1014">
        <v>1013</v>
      </c>
      <c r="B1014" t="s">
        <v>293</v>
      </c>
      <c r="C1014" t="s">
        <v>54</v>
      </c>
      <c r="D1014" t="s">
        <v>45</v>
      </c>
      <c r="E1014" t="s">
        <v>147</v>
      </c>
      <c r="F1014" s="25">
        <v>46048</v>
      </c>
      <c r="G1014" t="s">
        <v>371</v>
      </c>
      <c r="H1014" t="s">
        <v>405</v>
      </c>
      <c r="I1014" t="s">
        <v>371</v>
      </c>
      <c r="J1014" t="s">
        <v>279</v>
      </c>
      <c r="K1014" t="s">
        <v>280</v>
      </c>
      <c r="L1014" t="s">
        <v>322</v>
      </c>
      <c r="M1014" t="s">
        <v>141</v>
      </c>
      <c r="N1014" t="s">
        <v>142</v>
      </c>
      <c r="O1014" t="s">
        <v>155</v>
      </c>
      <c r="P1014" t="s">
        <v>281</v>
      </c>
      <c r="Q1014" t="s">
        <v>155</v>
      </c>
      <c r="R1014" t="s">
        <v>302</v>
      </c>
      <c r="S1014" t="s">
        <v>369</v>
      </c>
      <c r="T1014">
        <v>1</v>
      </c>
      <c r="U1014" t="s">
        <v>431</v>
      </c>
      <c r="V1014" t="s">
        <v>342</v>
      </c>
      <c r="W1014" t="s">
        <v>433</v>
      </c>
      <c r="X1014" t="s">
        <v>306</v>
      </c>
      <c r="Y1014" t="s">
        <v>307</v>
      </c>
      <c r="Z1014">
        <v>65</v>
      </c>
      <c r="AA1014">
        <v>74</v>
      </c>
      <c r="AB1014" t="s">
        <v>143</v>
      </c>
      <c r="AC1014" t="s">
        <v>336</v>
      </c>
      <c r="AD1014" t="s">
        <v>278</v>
      </c>
      <c r="AE1014" t="str">
        <f>IF(AF1014="","",VLOOKUP(AC1014,mapel!$A$2:$B$42,2,FALSE))</f>
        <v>Pancasila</v>
      </c>
      <c r="AF1014">
        <f t="shared" si="45"/>
        <v>74</v>
      </c>
      <c r="AG1014" t="str">
        <f>IF(AF1014="","",IF(AF1014&gt;90,"Sangat baik",IF(AF1014&gt;79,"Baik",IF(AF1014&gt;=pub_gid_0_single_true_output_csv[[#This Row],[KKM]],"Cukup","Kurang"))))</f>
        <v>Cukup</v>
      </c>
      <c r="AH1014">
        <f t="shared" si="46"/>
        <v>11</v>
      </c>
      <c r="AI1014" s="30" t="str">
        <f>IF(OR(J1014&lt;&gt;"Karakter",pub_gid_0_single_true_output_csv[[#This Row],[Nilai2]]=""),"",IF(AF1014&gt;89,"Sangat baik",IF(AF1014&gt;79,"Baik",IF(AF1014&gt;69,"Cukup",IF(AF1014&gt;59,"Kurang","Sangat kurang")))))</f>
        <v/>
      </c>
      <c r="AJ1014" t="str">
        <f t="shared" si="47"/>
        <v>Wk.5</v>
      </c>
      <c r="AK1014" t="str">
        <f>IF(pub_gid_0_single_true_output_csv[[#This Row],[Nilai2]]="","",VLOOKUP(pub_gid_0_single_true_output_csv[[#This Row],[NAMA]],Table7[],3,FALSE))</f>
        <v>High average</v>
      </c>
    </row>
    <row r="1015" spans="1:37" x14ac:dyDescent="0.2">
      <c r="A1015">
        <v>1014</v>
      </c>
      <c r="B1015" t="s">
        <v>293</v>
      </c>
      <c r="C1015" t="s">
        <v>54</v>
      </c>
      <c r="D1015" t="s">
        <v>45</v>
      </c>
      <c r="E1015" t="s">
        <v>147</v>
      </c>
      <c r="F1015" s="25">
        <v>46055</v>
      </c>
      <c r="G1015" t="s">
        <v>379</v>
      </c>
      <c r="H1015" t="s">
        <v>412</v>
      </c>
      <c r="I1015" t="s">
        <v>371</v>
      </c>
      <c r="J1015" t="s">
        <v>90</v>
      </c>
      <c r="K1015" t="s">
        <v>377</v>
      </c>
      <c r="L1015" t="s">
        <v>400</v>
      </c>
      <c r="M1015" t="s">
        <v>141</v>
      </c>
      <c r="N1015" t="s">
        <v>142</v>
      </c>
      <c r="O1015" t="s">
        <v>155</v>
      </c>
      <c r="P1015" t="s">
        <v>281</v>
      </c>
      <c r="Q1015" t="s">
        <v>155</v>
      </c>
      <c r="R1015" t="s">
        <v>302</v>
      </c>
      <c r="S1015" t="s">
        <v>345</v>
      </c>
      <c r="T1015">
        <v>1</v>
      </c>
      <c r="U1015" t="s">
        <v>431</v>
      </c>
      <c r="V1015" t="s">
        <v>343</v>
      </c>
      <c r="W1015" t="s">
        <v>434</v>
      </c>
      <c r="X1015" t="s">
        <v>306</v>
      </c>
      <c r="Y1015" t="s">
        <v>307</v>
      </c>
      <c r="Z1015">
        <v>65</v>
      </c>
      <c r="AA1015">
        <v>80</v>
      </c>
      <c r="AB1015" t="s">
        <v>143</v>
      </c>
      <c r="AC1015" t="s">
        <v>336</v>
      </c>
      <c r="AD1015" t="s">
        <v>278</v>
      </c>
      <c r="AE1015" t="str">
        <f>IF(AF1015="","",VLOOKUP(AC1015,mapel!$A$2:$B$42,2,FALSE))</f>
        <v>Pancasila</v>
      </c>
      <c r="AF1015">
        <f t="shared" si="45"/>
        <v>80</v>
      </c>
      <c r="AG1015" t="str">
        <f>IF(AF1015="","",IF(AF1015&gt;90,"Sangat baik",IF(AF1015&gt;79,"Baik",IF(AF1015&gt;=pub_gid_0_single_true_output_csv[[#This Row],[KKM]],"Cukup","Kurang"))))</f>
        <v>Baik</v>
      </c>
      <c r="AH1015">
        <f t="shared" si="46"/>
        <v>11</v>
      </c>
      <c r="AI1015" s="30" t="str">
        <f>IF(OR(J1015&lt;&gt;"Karakter",pub_gid_0_single_true_output_csv[[#This Row],[Nilai2]]=""),"",IF(AF1015&gt;89,"Sangat baik",IF(AF1015&gt;79,"Baik",IF(AF1015&gt;69,"Cukup",IF(AF1015&gt;59,"Kurang","Sangat kurang")))))</f>
        <v>Baik</v>
      </c>
      <c r="AJ1015" t="str">
        <f t="shared" si="47"/>
        <v>Wk.6</v>
      </c>
      <c r="AK1015" t="str">
        <f>IF(pub_gid_0_single_true_output_csv[[#This Row],[Nilai2]]="","",VLOOKUP(pub_gid_0_single_true_output_csv[[#This Row],[NAMA]],Table7[],3,FALSE))</f>
        <v>High average</v>
      </c>
    </row>
    <row r="1016" spans="1:37" x14ac:dyDescent="0.2">
      <c r="A1016">
        <v>1015</v>
      </c>
      <c r="B1016" t="s">
        <v>293</v>
      </c>
      <c r="C1016" t="s">
        <v>54</v>
      </c>
      <c r="D1016" t="s">
        <v>45</v>
      </c>
      <c r="E1016" t="s">
        <v>147</v>
      </c>
      <c r="F1016" s="25">
        <v>46055</v>
      </c>
      <c r="G1016" t="s">
        <v>379</v>
      </c>
      <c r="H1016" t="s">
        <v>412</v>
      </c>
      <c r="I1016" t="s">
        <v>371</v>
      </c>
      <c r="J1016" t="s">
        <v>279</v>
      </c>
      <c r="K1016" t="s">
        <v>280</v>
      </c>
      <c r="L1016" t="s">
        <v>322</v>
      </c>
      <c r="M1016" t="s">
        <v>141</v>
      </c>
      <c r="N1016" t="s">
        <v>142</v>
      </c>
      <c r="O1016" t="s">
        <v>155</v>
      </c>
      <c r="P1016" t="s">
        <v>281</v>
      </c>
      <c r="Q1016" t="s">
        <v>155</v>
      </c>
      <c r="R1016" t="s">
        <v>302</v>
      </c>
      <c r="S1016" t="s">
        <v>345</v>
      </c>
      <c r="T1016">
        <v>1</v>
      </c>
      <c r="U1016" t="s">
        <v>431</v>
      </c>
      <c r="V1016" t="s">
        <v>343</v>
      </c>
      <c r="W1016" t="s">
        <v>434</v>
      </c>
      <c r="X1016" t="s">
        <v>306</v>
      </c>
      <c r="Y1016" t="s">
        <v>307</v>
      </c>
      <c r="Z1016">
        <v>65</v>
      </c>
      <c r="AA1016">
        <v>80</v>
      </c>
      <c r="AB1016" t="s">
        <v>143</v>
      </c>
      <c r="AC1016" t="s">
        <v>336</v>
      </c>
      <c r="AD1016" t="s">
        <v>278</v>
      </c>
      <c r="AE1016" t="str">
        <f>IF(AF1016="","",VLOOKUP(AC1016,mapel!$A$2:$B$42,2,FALSE))</f>
        <v>Pancasila</v>
      </c>
      <c r="AF1016">
        <f t="shared" si="45"/>
        <v>80</v>
      </c>
      <c r="AG1016" t="str">
        <f>IF(AF1016="","",IF(AF1016&gt;90,"Sangat baik",IF(AF1016&gt;79,"Baik",IF(AF1016&gt;=pub_gid_0_single_true_output_csv[[#This Row],[KKM]],"Cukup","Kurang"))))</f>
        <v>Baik</v>
      </c>
      <c r="AH1016">
        <f t="shared" si="46"/>
        <v>11</v>
      </c>
      <c r="AI1016" s="30" t="str">
        <f>IF(OR(J1016&lt;&gt;"Karakter",pub_gid_0_single_true_output_csv[[#This Row],[Nilai2]]=""),"",IF(AF1016&gt;89,"Sangat baik",IF(AF1016&gt;79,"Baik",IF(AF1016&gt;69,"Cukup",IF(AF1016&gt;59,"Kurang","Sangat kurang")))))</f>
        <v/>
      </c>
      <c r="AJ1016" t="str">
        <f t="shared" si="47"/>
        <v>Wk.6</v>
      </c>
      <c r="AK1016" t="str">
        <f>IF(pub_gid_0_single_true_output_csv[[#This Row],[Nilai2]]="","",VLOOKUP(pub_gid_0_single_true_output_csv[[#This Row],[NAMA]],Table7[],3,FALSE))</f>
        <v>High average</v>
      </c>
    </row>
    <row r="1017" spans="1:37" x14ac:dyDescent="0.2">
      <c r="A1017">
        <v>1016</v>
      </c>
      <c r="B1017" t="s">
        <v>293</v>
      </c>
      <c r="C1017" t="s">
        <v>54</v>
      </c>
      <c r="D1017" t="s">
        <v>45</v>
      </c>
      <c r="E1017" t="s">
        <v>147</v>
      </c>
      <c r="F1017" s="25">
        <v>46055</v>
      </c>
      <c r="G1017" t="s">
        <v>379</v>
      </c>
      <c r="H1017" t="s">
        <v>412</v>
      </c>
      <c r="I1017" t="s">
        <v>371</v>
      </c>
      <c r="J1017" t="s">
        <v>41</v>
      </c>
      <c r="K1017" t="s">
        <v>365</v>
      </c>
      <c r="L1017" t="s">
        <v>351</v>
      </c>
      <c r="M1017" t="s">
        <v>141</v>
      </c>
      <c r="N1017" t="s">
        <v>142</v>
      </c>
      <c r="O1017" t="s">
        <v>155</v>
      </c>
      <c r="P1017" t="s">
        <v>281</v>
      </c>
      <c r="Q1017" t="s">
        <v>155</v>
      </c>
      <c r="R1017" t="s">
        <v>302</v>
      </c>
      <c r="S1017" t="s">
        <v>345</v>
      </c>
      <c r="T1017">
        <v>1</v>
      </c>
      <c r="U1017" t="s">
        <v>431</v>
      </c>
      <c r="V1017" t="s">
        <v>343</v>
      </c>
      <c r="W1017" t="s">
        <v>434</v>
      </c>
      <c r="X1017" t="s">
        <v>306</v>
      </c>
      <c r="Y1017" t="s">
        <v>307</v>
      </c>
      <c r="Z1017">
        <v>65</v>
      </c>
      <c r="AA1017">
        <v>78</v>
      </c>
      <c r="AB1017" t="s">
        <v>143</v>
      </c>
      <c r="AC1017" t="s">
        <v>336</v>
      </c>
      <c r="AD1017" t="s">
        <v>278</v>
      </c>
      <c r="AE1017" t="str">
        <f>IF(AF1017="","",VLOOKUP(AC1017,mapel!$A$2:$B$42,2,FALSE))</f>
        <v>Pancasila</v>
      </c>
      <c r="AF1017">
        <f t="shared" si="45"/>
        <v>78</v>
      </c>
      <c r="AG1017" t="str">
        <f>IF(AF1017="","",IF(AF1017&gt;90,"Sangat baik",IF(AF1017&gt;79,"Baik",IF(AF1017&gt;=pub_gid_0_single_true_output_csv[[#This Row],[KKM]],"Cukup","Kurang"))))</f>
        <v>Cukup</v>
      </c>
      <c r="AH1017">
        <f t="shared" si="46"/>
        <v>11</v>
      </c>
      <c r="AI1017" s="30" t="str">
        <f>IF(OR(J1017&lt;&gt;"Karakter",pub_gid_0_single_true_output_csv[[#This Row],[Nilai2]]=""),"",IF(AF1017&gt;89,"Sangat baik",IF(AF1017&gt;79,"Baik",IF(AF1017&gt;69,"Cukup",IF(AF1017&gt;59,"Kurang","Sangat kurang")))))</f>
        <v/>
      </c>
      <c r="AJ1017" t="str">
        <f t="shared" si="47"/>
        <v>Wk.6</v>
      </c>
      <c r="AK1017" t="str">
        <f>IF(pub_gid_0_single_true_output_csv[[#This Row],[Nilai2]]="","",VLOOKUP(pub_gid_0_single_true_output_csv[[#This Row],[NAMA]],Table7[],3,FALSE))</f>
        <v>High average</v>
      </c>
    </row>
    <row r="1018" spans="1:37" x14ac:dyDescent="0.2">
      <c r="A1018">
        <v>1017</v>
      </c>
      <c r="B1018" t="s">
        <v>293</v>
      </c>
      <c r="C1018" t="s">
        <v>54</v>
      </c>
      <c r="D1018" t="s">
        <v>45</v>
      </c>
      <c r="E1018" t="s">
        <v>147</v>
      </c>
      <c r="F1018" s="25">
        <v>46055</v>
      </c>
      <c r="G1018" t="s">
        <v>379</v>
      </c>
      <c r="H1018" t="s">
        <v>412</v>
      </c>
      <c r="I1018" t="s">
        <v>371</v>
      </c>
      <c r="J1018" t="s">
        <v>31</v>
      </c>
      <c r="K1018" t="s">
        <v>96</v>
      </c>
      <c r="L1018" t="s">
        <v>351</v>
      </c>
      <c r="M1018" t="s">
        <v>141</v>
      </c>
      <c r="N1018" t="s">
        <v>142</v>
      </c>
      <c r="O1018" t="s">
        <v>155</v>
      </c>
      <c r="P1018" t="s">
        <v>281</v>
      </c>
      <c r="Q1018" t="s">
        <v>155</v>
      </c>
      <c r="R1018" t="s">
        <v>302</v>
      </c>
      <c r="S1018" t="s">
        <v>345</v>
      </c>
      <c r="T1018">
        <v>1</v>
      </c>
      <c r="U1018" t="s">
        <v>431</v>
      </c>
      <c r="V1018" t="s">
        <v>343</v>
      </c>
      <c r="W1018" t="s">
        <v>434</v>
      </c>
      <c r="X1018" t="s">
        <v>306</v>
      </c>
      <c r="Y1018" t="s">
        <v>307</v>
      </c>
      <c r="Z1018">
        <v>65</v>
      </c>
      <c r="AA1018">
        <v>87</v>
      </c>
      <c r="AB1018" t="s">
        <v>143</v>
      </c>
      <c r="AC1018" t="s">
        <v>336</v>
      </c>
      <c r="AD1018" t="s">
        <v>278</v>
      </c>
      <c r="AE1018" t="str">
        <f>IF(AF1018="","",VLOOKUP(AC1018,mapel!$A$2:$B$42,2,FALSE))</f>
        <v>Pancasila</v>
      </c>
      <c r="AF1018">
        <f t="shared" si="45"/>
        <v>87</v>
      </c>
      <c r="AG1018" t="str">
        <f>IF(AF1018="","",IF(AF1018&gt;90,"Sangat baik",IF(AF1018&gt;79,"Baik",IF(AF1018&gt;=pub_gid_0_single_true_output_csv[[#This Row],[KKM]],"Cukup","Kurang"))))</f>
        <v>Baik</v>
      </c>
      <c r="AH1018">
        <f t="shared" si="46"/>
        <v>11</v>
      </c>
      <c r="AI1018" s="30" t="str">
        <f>IF(OR(J1018&lt;&gt;"Karakter",pub_gid_0_single_true_output_csv[[#This Row],[Nilai2]]=""),"",IF(AF1018&gt;89,"Sangat baik",IF(AF1018&gt;79,"Baik",IF(AF1018&gt;69,"Cukup",IF(AF1018&gt;59,"Kurang","Sangat kurang")))))</f>
        <v/>
      </c>
      <c r="AJ1018" t="str">
        <f t="shared" si="47"/>
        <v>Wk.6</v>
      </c>
      <c r="AK1018" t="str">
        <f>IF(pub_gid_0_single_true_output_csv[[#This Row],[Nilai2]]="","",VLOOKUP(pub_gid_0_single_true_output_csv[[#This Row],[NAMA]],Table7[],3,FALSE))</f>
        <v>High average</v>
      </c>
    </row>
    <row r="1019" spans="1:37" x14ac:dyDescent="0.2">
      <c r="A1019">
        <v>1018</v>
      </c>
      <c r="B1019" t="s">
        <v>293</v>
      </c>
      <c r="C1019" t="s">
        <v>54</v>
      </c>
      <c r="D1019" t="s">
        <v>45</v>
      </c>
      <c r="E1019" t="s">
        <v>147</v>
      </c>
      <c r="F1019" s="25">
        <v>46055</v>
      </c>
      <c r="G1019" t="s">
        <v>379</v>
      </c>
      <c r="H1019" t="s">
        <v>412</v>
      </c>
      <c r="I1019" t="s">
        <v>371</v>
      </c>
      <c r="J1019" t="s">
        <v>36</v>
      </c>
      <c r="K1019" t="s">
        <v>37</v>
      </c>
      <c r="L1019" t="s">
        <v>324</v>
      </c>
      <c r="M1019" t="s">
        <v>141</v>
      </c>
      <c r="N1019" t="s">
        <v>142</v>
      </c>
      <c r="O1019" t="s">
        <v>155</v>
      </c>
      <c r="P1019" t="s">
        <v>281</v>
      </c>
      <c r="Q1019" t="s">
        <v>155</v>
      </c>
      <c r="R1019" t="s">
        <v>302</v>
      </c>
      <c r="S1019" t="s">
        <v>345</v>
      </c>
      <c r="T1019">
        <v>1</v>
      </c>
      <c r="U1019" t="s">
        <v>431</v>
      </c>
      <c r="V1019" t="s">
        <v>343</v>
      </c>
      <c r="W1019" t="s">
        <v>434</v>
      </c>
      <c r="X1019" t="s">
        <v>306</v>
      </c>
      <c r="Y1019" t="s">
        <v>307</v>
      </c>
      <c r="Z1019">
        <v>65</v>
      </c>
      <c r="AA1019">
        <v>87</v>
      </c>
      <c r="AB1019" t="s">
        <v>143</v>
      </c>
      <c r="AC1019" t="s">
        <v>336</v>
      </c>
      <c r="AD1019" t="s">
        <v>278</v>
      </c>
      <c r="AE1019" t="str">
        <f>IF(AF1019="","",VLOOKUP(AC1019,mapel!$A$2:$B$42,2,FALSE))</f>
        <v>Pancasila</v>
      </c>
      <c r="AF1019">
        <f t="shared" si="45"/>
        <v>87</v>
      </c>
      <c r="AG1019" t="str">
        <f>IF(AF1019="","",IF(AF1019&gt;90,"Sangat baik",IF(AF1019&gt;79,"Baik",IF(AF1019&gt;=pub_gid_0_single_true_output_csv[[#This Row],[KKM]],"Cukup","Kurang"))))</f>
        <v>Baik</v>
      </c>
      <c r="AH1019">
        <f t="shared" si="46"/>
        <v>11</v>
      </c>
      <c r="AI1019" s="30" t="str">
        <f>IF(OR(J1019&lt;&gt;"Karakter",pub_gid_0_single_true_output_csv[[#This Row],[Nilai2]]=""),"",IF(AF1019&gt;89,"Sangat baik",IF(AF1019&gt;79,"Baik",IF(AF1019&gt;69,"Cukup",IF(AF1019&gt;59,"Kurang","Sangat kurang")))))</f>
        <v/>
      </c>
      <c r="AJ1019" t="str">
        <f t="shared" si="47"/>
        <v>Wk.6</v>
      </c>
      <c r="AK1019" t="str">
        <f>IF(pub_gid_0_single_true_output_csv[[#This Row],[Nilai2]]="","",VLOOKUP(pub_gid_0_single_true_output_csv[[#This Row],[NAMA]],Table7[],3,FALSE))</f>
        <v>High average</v>
      </c>
    </row>
    <row r="1020" spans="1:37" x14ac:dyDescent="0.2">
      <c r="A1020">
        <v>1019</v>
      </c>
      <c r="B1020" t="s">
        <v>293</v>
      </c>
      <c r="C1020" t="s">
        <v>54</v>
      </c>
      <c r="D1020" t="s">
        <v>45</v>
      </c>
      <c r="E1020" t="s">
        <v>147</v>
      </c>
      <c r="F1020" s="25">
        <v>46062</v>
      </c>
      <c r="G1020" t="s">
        <v>376</v>
      </c>
      <c r="H1020" t="s">
        <v>412</v>
      </c>
      <c r="I1020" t="s">
        <v>371</v>
      </c>
      <c r="J1020" t="s">
        <v>36</v>
      </c>
      <c r="K1020" t="s">
        <v>362</v>
      </c>
      <c r="L1020" t="s">
        <v>363</v>
      </c>
      <c r="M1020" t="s">
        <v>141</v>
      </c>
      <c r="N1020" t="s">
        <v>142</v>
      </c>
      <c r="O1020" t="s">
        <v>155</v>
      </c>
      <c r="P1020" t="s">
        <v>281</v>
      </c>
      <c r="Q1020" t="s">
        <v>155</v>
      </c>
      <c r="R1020" t="s">
        <v>302</v>
      </c>
      <c r="S1020" t="s">
        <v>309</v>
      </c>
      <c r="T1020">
        <v>1</v>
      </c>
      <c r="U1020" t="s">
        <v>431</v>
      </c>
      <c r="V1020" t="s">
        <v>285</v>
      </c>
      <c r="W1020" t="s">
        <v>432</v>
      </c>
      <c r="X1020" t="s">
        <v>306</v>
      </c>
      <c r="Y1020" t="s">
        <v>307</v>
      </c>
      <c r="Z1020">
        <v>65</v>
      </c>
      <c r="AA1020">
        <v>80</v>
      </c>
      <c r="AB1020" t="s">
        <v>143</v>
      </c>
      <c r="AC1020" t="s">
        <v>336</v>
      </c>
      <c r="AD1020" t="s">
        <v>278</v>
      </c>
      <c r="AE1020" t="str">
        <f>IF(AF1020="","",VLOOKUP(AC1020,mapel!$A$2:$B$42,2,FALSE))</f>
        <v>Pancasila</v>
      </c>
      <c r="AF1020">
        <f t="shared" si="45"/>
        <v>80</v>
      </c>
      <c r="AG1020" t="str">
        <f>IF(AF1020="","",IF(AF1020&gt;90,"Sangat baik",IF(AF1020&gt;79,"Baik",IF(AF1020&gt;=pub_gid_0_single_true_output_csv[[#This Row],[KKM]],"Cukup","Kurang"))))</f>
        <v>Baik</v>
      </c>
      <c r="AH1020">
        <f t="shared" si="46"/>
        <v>11</v>
      </c>
      <c r="AI1020" s="30" t="str">
        <f>IF(OR(J1020&lt;&gt;"Karakter",pub_gid_0_single_true_output_csv[[#This Row],[Nilai2]]=""),"",IF(AF1020&gt;89,"Sangat baik",IF(AF1020&gt;79,"Baik",IF(AF1020&gt;69,"Cukup",IF(AF1020&gt;59,"Kurang","Sangat kurang")))))</f>
        <v/>
      </c>
      <c r="AJ1020" t="str">
        <f t="shared" si="47"/>
        <v>Wk.7</v>
      </c>
      <c r="AK1020" t="str">
        <f>IF(pub_gid_0_single_true_output_csv[[#This Row],[Nilai2]]="","",VLOOKUP(pub_gid_0_single_true_output_csv[[#This Row],[NAMA]],Table7[],3,FALSE))</f>
        <v>High average</v>
      </c>
    </row>
    <row r="1021" spans="1:37" x14ac:dyDescent="0.2">
      <c r="A1021">
        <v>1020</v>
      </c>
      <c r="B1021" t="s">
        <v>293</v>
      </c>
      <c r="C1021" t="s">
        <v>54</v>
      </c>
      <c r="D1021" t="s">
        <v>45</v>
      </c>
      <c r="E1021" t="s">
        <v>147</v>
      </c>
      <c r="F1021" s="25">
        <v>46062</v>
      </c>
      <c r="G1021" t="s">
        <v>376</v>
      </c>
      <c r="H1021" t="s">
        <v>412</v>
      </c>
      <c r="I1021" t="s">
        <v>371</v>
      </c>
      <c r="J1021" t="s">
        <v>36</v>
      </c>
      <c r="K1021" t="s">
        <v>362</v>
      </c>
      <c r="L1021" t="s">
        <v>363</v>
      </c>
      <c r="M1021" t="s">
        <v>141</v>
      </c>
      <c r="N1021" t="s">
        <v>142</v>
      </c>
      <c r="O1021" t="s">
        <v>155</v>
      </c>
      <c r="P1021" t="s">
        <v>281</v>
      </c>
      <c r="Q1021" t="s">
        <v>155</v>
      </c>
      <c r="R1021" t="s">
        <v>302</v>
      </c>
      <c r="S1021" t="s">
        <v>369</v>
      </c>
      <c r="T1021">
        <v>1</v>
      </c>
      <c r="U1021" t="s">
        <v>431</v>
      </c>
      <c r="V1021" t="s">
        <v>342</v>
      </c>
      <c r="W1021" t="s">
        <v>433</v>
      </c>
      <c r="X1021" t="s">
        <v>306</v>
      </c>
      <c r="Y1021" t="s">
        <v>307</v>
      </c>
      <c r="Z1021">
        <v>65</v>
      </c>
      <c r="AA1021">
        <v>85</v>
      </c>
      <c r="AB1021" t="s">
        <v>143</v>
      </c>
      <c r="AC1021" t="s">
        <v>336</v>
      </c>
      <c r="AD1021" t="s">
        <v>278</v>
      </c>
      <c r="AE1021" t="str">
        <f>IF(AF1021="","",VLOOKUP(AC1021,mapel!$A$2:$B$42,2,FALSE))</f>
        <v>Pancasila</v>
      </c>
      <c r="AF1021">
        <f t="shared" si="45"/>
        <v>85</v>
      </c>
      <c r="AG1021" t="str">
        <f>IF(AF1021="","",IF(AF1021&gt;90,"Sangat baik",IF(AF1021&gt;79,"Baik",IF(AF1021&gt;=pub_gid_0_single_true_output_csv[[#This Row],[KKM]],"Cukup","Kurang"))))</f>
        <v>Baik</v>
      </c>
      <c r="AH1021">
        <f t="shared" si="46"/>
        <v>11</v>
      </c>
      <c r="AI1021" s="30" t="str">
        <f>IF(OR(J1021&lt;&gt;"Karakter",pub_gid_0_single_true_output_csv[[#This Row],[Nilai2]]=""),"",IF(AF1021&gt;89,"Sangat baik",IF(AF1021&gt;79,"Baik",IF(AF1021&gt;69,"Cukup",IF(AF1021&gt;59,"Kurang","Sangat kurang")))))</f>
        <v/>
      </c>
      <c r="AJ1021" t="str">
        <f t="shared" si="47"/>
        <v>Wk.7</v>
      </c>
      <c r="AK1021" t="str">
        <f>IF(pub_gid_0_single_true_output_csv[[#This Row],[Nilai2]]="","",VLOOKUP(pub_gid_0_single_true_output_csv[[#This Row],[NAMA]],Table7[],3,FALSE))</f>
        <v>High average</v>
      </c>
    </row>
    <row r="1022" spans="1:37" x14ac:dyDescent="0.2">
      <c r="A1022">
        <v>1021</v>
      </c>
      <c r="B1022" t="s">
        <v>293</v>
      </c>
      <c r="C1022" t="s">
        <v>54</v>
      </c>
      <c r="D1022" t="s">
        <v>45</v>
      </c>
      <c r="E1022" t="s">
        <v>147</v>
      </c>
      <c r="F1022" s="25">
        <v>46059</v>
      </c>
      <c r="G1022" t="s">
        <v>349</v>
      </c>
      <c r="H1022" t="s">
        <v>412</v>
      </c>
      <c r="I1022" t="s">
        <v>371</v>
      </c>
      <c r="J1022" t="s">
        <v>41</v>
      </c>
      <c r="K1022" t="s">
        <v>357</v>
      </c>
      <c r="L1022" t="s">
        <v>351</v>
      </c>
      <c r="M1022" t="s">
        <v>141</v>
      </c>
      <c r="N1022" t="s">
        <v>142</v>
      </c>
      <c r="O1022" t="s">
        <v>155</v>
      </c>
      <c r="P1022" t="s">
        <v>281</v>
      </c>
      <c r="Q1022" t="s">
        <v>155</v>
      </c>
      <c r="R1022" t="s">
        <v>302</v>
      </c>
      <c r="S1022" t="s">
        <v>345</v>
      </c>
      <c r="T1022">
        <v>1</v>
      </c>
      <c r="U1022" t="s">
        <v>431</v>
      </c>
      <c r="V1022" t="s">
        <v>343</v>
      </c>
      <c r="W1022" t="s">
        <v>434</v>
      </c>
      <c r="X1022" t="s">
        <v>306</v>
      </c>
      <c r="Y1022" t="s">
        <v>307</v>
      </c>
      <c r="Z1022">
        <v>65</v>
      </c>
      <c r="AA1022">
        <v>78</v>
      </c>
      <c r="AB1022" t="s">
        <v>143</v>
      </c>
      <c r="AC1022" t="s">
        <v>336</v>
      </c>
      <c r="AD1022" t="s">
        <v>278</v>
      </c>
      <c r="AE1022" t="str">
        <f>IF(AF1022="","",VLOOKUP(AC1022,mapel!$A$2:$B$42,2,FALSE))</f>
        <v>Pancasila</v>
      </c>
      <c r="AF1022">
        <f t="shared" si="45"/>
        <v>78</v>
      </c>
      <c r="AG1022" t="str">
        <f>IF(AF1022="","",IF(AF1022&gt;90,"Sangat baik",IF(AF1022&gt;79,"Baik",IF(AF1022&gt;=pub_gid_0_single_true_output_csv[[#This Row],[KKM]],"Cukup","Kurang"))))</f>
        <v>Cukup</v>
      </c>
      <c r="AH1022">
        <f t="shared" si="46"/>
        <v>11</v>
      </c>
      <c r="AI1022" s="30" t="str">
        <f>IF(OR(J1022&lt;&gt;"Karakter",pub_gid_0_single_true_output_csv[[#This Row],[Nilai2]]=""),"",IF(AF1022&gt;89,"Sangat baik",IF(AF1022&gt;79,"Baik",IF(AF1022&gt;69,"Cukup",IF(AF1022&gt;59,"Kurang","Sangat kurang")))))</f>
        <v/>
      </c>
      <c r="AJ1022" t="str">
        <f t="shared" si="47"/>
        <v>Wk.6</v>
      </c>
      <c r="AK1022" t="str">
        <f>IF(pub_gid_0_single_true_output_csv[[#This Row],[Nilai2]]="","",VLOOKUP(pub_gid_0_single_true_output_csv[[#This Row],[NAMA]],Table7[],3,FALSE))</f>
        <v>High average</v>
      </c>
    </row>
    <row r="1023" spans="1:37" x14ac:dyDescent="0.2">
      <c r="A1023">
        <v>1022</v>
      </c>
      <c r="B1023" t="s">
        <v>293</v>
      </c>
      <c r="C1023" t="s">
        <v>54</v>
      </c>
      <c r="D1023" t="s">
        <v>45</v>
      </c>
      <c r="E1023" t="s">
        <v>147</v>
      </c>
      <c r="F1023" s="25">
        <v>46059</v>
      </c>
      <c r="G1023" t="s">
        <v>349</v>
      </c>
      <c r="H1023" t="s">
        <v>412</v>
      </c>
      <c r="I1023" t="s">
        <v>371</v>
      </c>
      <c r="J1023" t="s">
        <v>36</v>
      </c>
      <c r="K1023" t="s">
        <v>37</v>
      </c>
      <c r="L1023" t="s">
        <v>351</v>
      </c>
      <c r="M1023" t="s">
        <v>141</v>
      </c>
      <c r="N1023" t="s">
        <v>142</v>
      </c>
      <c r="O1023" t="s">
        <v>155</v>
      </c>
      <c r="P1023" t="s">
        <v>281</v>
      </c>
      <c r="Q1023" t="s">
        <v>155</v>
      </c>
      <c r="R1023" t="s">
        <v>302</v>
      </c>
      <c r="S1023" t="s">
        <v>345</v>
      </c>
      <c r="T1023">
        <v>1</v>
      </c>
      <c r="U1023" t="s">
        <v>431</v>
      </c>
      <c r="V1023" t="s">
        <v>343</v>
      </c>
      <c r="W1023" t="s">
        <v>434</v>
      </c>
      <c r="X1023" t="s">
        <v>306</v>
      </c>
      <c r="Y1023" t="s">
        <v>307</v>
      </c>
      <c r="Z1023">
        <v>65</v>
      </c>
      <c r="AA1023">
        <v>80</v>
      </c>
      <c r="AB1023" t="s">
        <v>143</v>
      </c>
      <c r="AC1023" t="s">
        <v>336</v>
      </c>
      <c r="AD1023" t="s">
        <v>278</v>
      </c>
      <c r="AE1023" t="str">
        <f>IF(AF1023="","",VLOOKUP(AC1023,mapel!$A$2:$B$42,2,FALSE))</f>
        <v>Pancasila</v>
      </c>
      <c r="AF1023">
        <f t="shared" si="45"/>
        <v>80</v>
      </c>
      <c r="AG1023" t="str">
        <f>IF(AF1023="","",IF(AF1023&gt;90,"Sangat baik",IF(AF1023&gt;79,"Baik",IF(AF1023&gt;=pub_gid_0_single_true_output_csv[[#This Row],[KKM]],"Cukup","Kurang"))))</f>
        <v>Baik</v>
      </c>
      <c r="AH1023">
        <f t="shared" si="46"/>
        <v>11</v>
      </c>
      <c r="AI1023" s="30" t="str">
        <f>IF(OR(J1023&lt;&gt;"Karakter",pub_gid_0_single_true_output_csv[[#This Row],[Nilai2]]=""),"",IF(AF1023&gt;89,"Sangat baik",IF(AF1023&gt;79,"Baik",IF(AF1023&gt;69,"Cukup",IF(AF1023&gt;59,"Kurang","Sangat kurang")))))</f>
        <v/>
      </c>
      <c r="AJ1023" t="str">
        <f t="shared" si="47"/>
        <v>Wk.6</v>
      </c>
      <c r="AK1023" t="str">
        <f>IF(pub_gid_0_single_true_output_csv[[#This Row],[Nilai2]]="","",VLOOKUP(pub_gid_0_single_true_output_csv[[#This Row],[NAMA]],Table7[],3,FALSE))</f>
        <v>High average</v>
      </c>
    </row>
    <row r="1024" spans="1:37" x14ac:dyDescent="0.2">
      <c r="A1024">
        <v>1023</v>
      </c>
      <c r="B1024" t="s">
        <v>287</v>
      </c>
      <c r="C1024" t="s">
        <v>54</v>
      </c>
      <c r="D1024" t="s">
        <v>34</v>
      </c>
      <c r="E1024" t="s">
        <v>140</v>
      </c>
      <c r="F1024" s="25">
        <v>46034</v>
      </c>
      <c r="G1024" t="s">
        <v>354</v>
      </c>
      <c r="H1024" t="s">
        <v>405</v>
      </c>
      <c r="I1024" t="s">
        <v>371</v>
      </c>
      <c r="J1024" t="s">
        <v>90</v>
      </c>
      <c r="K1024" t="s">
        <v>92</v>
      </c>
      <c r="L1024" t="s">
        <v>398</v>
      </c>
      <c r="M1024" t="s">
        <v>141</v>
      </c>
      <c r="N1024" t="s">
        <v>142</v>
      </c>
      <c r="O1024" t="s">
        <v>155</v>
      </c>
      <c r="P1024" t="s">
        <v>281</v>
      </c>
      <c r="Q1024" t="s">
        <v>155</v>
      </c>
      <c r="R1024" t="s">
        <v>302</v>
      </c>
      <c r="S1024" t="s">
        <v>309</v>
      </c>
      <c r="T1024">
        <v>1</v>
      </c>
      <c r="U1024" t="s">
        <v>431</v>
      </c>
      <c r="V1024" t="s">
        <v>285</v>
      </c>
      <c r="W1024" t="s">
        <v>432</v>
      </c>
      <c r="X1024" t="s">
        <v>306</v>
      </c>
      <c r="Y1024" t="s">
        <v>307</v>
      </c>
      <c r="Z1024">
        <v>65</v>
      </c>
      <c r="AA1024">
        <v>78</v>
      </c>
      <c r="AB1024" t="s">
        <v>143</v>
      </c>
      <c r="AC1024" t="s">
        <v>336</v>
      </c>
      <c r="AD1024" t="s">
        <v>278</v>
      </c>
      <c r="AE1024" t="str">
        <f>IF(AF1024="","",VLOOKUP(AC1024,mapel!$A$2:$B$42,2,FALSE))</f>
        <v>Pancasila</v>
      </c>
      <c r="AF1024">
        <f t="shared" si="45"/>
        <v>78</v>
      </c>
      <c r="AG1024" t="str">
        <f>IF(AF1024="","",IF(AF1024&gt;90,"Sangat baik",IF(AF1024&gt;79,"Baik",IF(AF1024&gt;=pub_gid_0_single_true_output_csv[[#This Row],[KKM]],"Cukup","Kurang"))))</f>
        <v>Cukup</v>
      </c>
      <c r="AH1024">
        <f t="shared" si="46"/>
        <v>11</v>
      </c>
      <c r="AI1024" s="30" t="str">
        <f>IF(OR(J1024&lt;&gt;"Karakter",pub_gid_0_single_true_output_csv[[#This Row],[Nilai2]]=""),"",IF(AF1024&gt;89,"Sangat baik",IF(AF1024&gt;79,"Baik",IF(AF1024&gt;69,"Cukup",IF(AF1024&gt;59,"Kurang","Sangat kurang")))))</f>
        <v>Cukup</v>
      </c>
      <c r="AJ1024" t="str">
        <f t="shared" si="47"/>
        <v>Wk.3</v>
      </c>
      <c r="AK1024" t="str">
        <f>IF(pub_gid_0_single_true_output_csv[[#This Row],[Nilai2]]="","",VLOOKUP(pub_gid_0_single_true_output_csv[[#This Row],[NAMA]],Table7[],3,FALSE))</f>
        <v>Average</v>
      </c>
    </row>
    <row r="1025" spans="1:37" x14ac:dyDescent="0.2">
      <c r="A1025">
        <v>1024</v>
      </c>
      <c r="B1025" t="s">
        <v>287</v>
      </c>
      <c r="C1025" t="s">
        <v>54</v>
      </c>
      <c r="D1025" t="s">
        <v>34</v>
      </c>
      <c r="E1025" t="s">
        <v>140</v>
      </c>
      <c r="F1025" s="25">
        <v>46034</v>
      </c>
      <c r="G1025" t="s">
        <v>354</v>
      </c>
      <c r="H1025" t="s">
        <v>405</v>
      </c>
      <c r="I1025" t="s">
        <v>371</v>
      </c>
      <c r="J1025" t="s">
        <v>36</v>
      </c>
      <c r="K1025" t="s">
        <v>37</v>
      </c>
      <c r="L1025" t="s">
        <v>150</v>
      </c>
      <c r="M1025" t="s">
        <v>141</v>
      </c>
      <c r="N1025" t="s">
        <v>142</v>
      </c>
      <c r="O1025" t="s">
        <v>155</v>
      </c>
      <c r="P1025" t="s">
        <v>281</v>
      </c>
      <c r="Q1025" t="s">
        <v>155</v>
      </c>
      <c r="R1025" t="s">
        <v>302</v>
      </c>
      <c r="S1025" t="s">
        <v>309</v>
      </c>
      <c r="T1025">
        <v>1</v>
      </c>
      <c r="U1025" t="s">
        <v>431</v>
      </c>
      <c r="V1025" t="s">
        <v>285</v>
      </c>
      <c r="W1025" t="s">
        <v>432</v>
      </c>
      <c r="X1025" t="s">
        <v>306</v>
      </c>
      <c r="Y1025" t="s">
        <v>307</v>
      </c>
      <c r="Z1025">
        <v>65</v>
      </c>
      <c r="AA1025">
        <v>77</v>
      </c>
      <c r="AB1025" t="s">
        <v>143</v>
      </c>
      <c r="AC1025" t="s">
        <v>336</v>
      </c>
      <c r="AD1025" t="s">
        <v>278</v>
      </c>
      <c r="AE1025" t="str">
        <f>IF(AF1025="","",VLOOKUP(AC1025,mapel!$A$2:$B$42,2,FALSE))</f>
        <v>Pancasila</v>
      </c>
      <c r="AF1025">
        <f t="shared" si="45"/>
        <v>77</v>
      </c>
      <c r="AG1025" t="str">
        <f>IF(AF1025="","",IF(AF1025&gt;90,"Sangat baik",IF(AF1025&gt;79,"Baik",IF(AF1025&gt;=pub_gid_0_single_true_output_csv[[#This Row],[KKM]],"Cukup","Kurang"))))</f>
        <v>Cukup</v>
      </c>
      <c r="AH1025">
        <f t="shared" si="46"/>
        <v>11</v>
      </c>
      <c r="AI1025" s="30" t="str">
        <f>IF(OR(J1025&lt;&gt;"Karakter",pub_gid_0_single_true_output_csv[[#This Row],[Nilai2]]=""),"",IF(AF1025&gt;89,"Sangat baik",IF(AF1025&gt;79,"Baik",IF(AF1025&gt;69,"Cukup",IF(AF1025&gt;59,"Kurang","Sangat kurang")))))</f>
        <v/>
      </c>
      <c r="AJ1025" t="str">
        <f t="shared" si="47"/>
        <v>Wk.3</v>
      </c>
      <c r="AK1025" t="str">
        <f>IF(pub_gid_0_single_true_output_csv[[#This Row],[Nilai2]]="","",VLOOKUP(pub_gid_0_single_true_output_csv[[#This Row],[NAMA]],Table7[],3,FALSE))</f>
        <v>Average</v>
      </c>
    </row>
    <row r="1026" spans="1:37" x14ac:dyDescent="0.2">
      <c r="A1026">
        <v>1025</v>
      </c>
      <c r="B1026" t="s">
        <v>287</v>
      </c>
      <c r="C1026" t="s">
        <v>54</v>
      </c>
      <c r="D1026" t="s">
        <v>34</v>
      </c>
      <c r="E1026" t="s">
        <v>140</v>
      </c>
      <c r="F1026" s="25">
        <v>46034</v>
      </c>
      <c r="G1026" t="s">
        <v>354</v>
      </c>
      <c r="H1026" t="s">
        <v>405</v>
      </c>
      <c r="I1026" t="s">
        <v>371</v>
      </c>
      <c r="J1026" t="s">
        <v>31</v>
      </c>
      <c r="K1026" t="s">
        <v>32</v>
      </c>
      <c r="L1026" t="s">
        <v>150</v>
      </c>
      <c r="M1026" t="s">
        <v>141</v>
      </c>
      <c r="N1026" t="s">
        <v>142</v>
      </c>
      <c r="O1026" t="s">
        <v>155</v>
      </c>
      <c r="P1026" t="s">
        <v>281</v>
      </c>
      <c r="Q1026" t="s">
        <v>155</v>
      </c>
      <c r="R1026" t="s">
        <v>302</v>
      </c>
      <c r="S1026" t="s">
        <v>309</v>
      </c>
      <c r="T1026">
        <v>1</v>
      </c>
      <c r="U1026" t="s">
        <v>431</v>
      </c>
      <c r="V1026" t="s">
        <v>285</v>
      </c>
      <c r="W1026" t="s">
        <v>432</v>
      </c>
      <c r="X1026" t="s">
        <v>306</v>
      </c>
      <c r="Y1026" t="s">
        <v>307</v>
      </c>
      <c r="Z1026">
        <v>65</v>
      </c>
      <c r="AA1026">
        <v>74</v>
      </c>
      <c r="AB1026" t="s">
        <v>143</v>
      </c>
      <c r="AC1026" t="s">
        <v>336</v>
      </c>
      <c r="AD1026" t="s">
        <v>278</v>
      </c>
      <c r="AE1026" t="str">
        <f>IF(AF1026="","",VLOOKUP(AC1026,mapel!$A$2:$B$42,2,FALSE))</f>
        <v>Pancasila</v>
      </c>
      <c r="AF1026">
        <f t="shared" ref="AF1026:AF1089" si="48">IF(AA1026=0, "",IF(AA1026 = 0.1, 0,AA1026))</f>
        <v>74</v>
      </c>
      <c r="AG1026" t="str">
        <f>IF(AF1026="","",IF(AF1026&gt;90,"Sangat baik",IF(AF1026&gt;79,"Baik",IF(AF1026&gt;=pub_gid_0_single_true_output_csv[[#This Row],[KKM]],"Cukup","Kurang"))))</f>
        <v>Cukup</v>
      </c>
      <c r="AH1026">
        <f t="shared" ref="AH1026:AH1089" si="49">IF(AG1026="","",VALUE(RIGHT(X1026,2)))</f>
        <v>11</v>
      </c>
      <c r="AI1026" s="30" t="str">
        <f>IF(OR(J1026&lt;&gt;"Karakter",pub_gid_0_single_true_output_csv[[#This Row],[Nilai2]]=""),"",IF(AF1026&gt;89,"Sangat baik",IF(AF1026&gt;79,"Baik",IF(AF1026&gt;69,"Cukup",IF(AF1026&gt;59,"Kurang","Sangat kurang")))))</f>
        <v/>
      </c>
      <c r="AJ1026" t="str">
        <f t="shared" ref="AJ1026:AJ1089" si="50">IF(AF1026="","",CONCATENATE("Wk.",WEEKNUM(F1026,2)))</f>
        <v>Wk.3</v>
      </c>
      <c r="AK1026" t="str">
        <f>IF(pub_gid_0_single_true_output_csv[[#This Row],[Nilai2]]="","",VLOOKUP(pub_gid_0_single_true_output_csv[[#This Row],[NAMA]],Table7[],3,FALSE))</f>
        <v>Average</v>
      </c>
    </row>
    <row r="1027" spans="1:37" x14ac:dyDescent="0.2">
      <c r="A1027">
        <v>1026</v>
      </c>
      <c r="B1027" t="s">
        <v>287</v>
      </c>
      <c r="C1027" t="s">
        <v>54</v>
      </c>
      <c r="D1027" t="s">
        <v>34</v>
      </c>
      <c r="E1027" t="s">
        <v>140</v>
      </c>
      <c r="F1027" s="25">
        <v>46034</v>
      </c>
      <c r="G1027" t="s">
        <v>354</v>
      </c>
      <c r="H1027" t="s">
        <v>405</v>
      </c>
      <c r="I1027" t="s">
        <v>371</v>
      </c>
      <c r="J1027" t="s">
        <v>279</v>
      </c>
      <c r="K1027" t="s">
        <v>280</v>
      </c>
      <c r="L1027" t="s">
        <v>322</v>
      </c>
      <c r="M1027" t="s">
        <v>141</v>
      </c>
      <c r="N1027" t="s">
        <v>142</v>
      </c>
      <c r="O1027" t="s">
        <v>155</v>
      </c>
      <c r="P1027" t="s">
        <v>281</v>
      </c>
      <c r="Q1027" t="s">
        <v>155</v>
      </c>
      <c r="R1027" t="s">
        <v>302</v>
      </c>
      <c r="S1027" t="s">
        <v>309</v>
      </c>
      <c r="T1027">
        <v>1</v>
      </c>
      <c r="U1027" t="s">
        <v>431</v>
      </c>
      <c r="V1027" t="s">
        <v>285</v>
      </c>
      <c r="W1027" t="s">
        <v>432</v>
      </c>
      <c r="X1027" t="s">
        <v>306</v>
      </c>
      <c r="Y1027" t="s">
        <v>307</v>
      </c>
      <c r="Z1027">
        <v>65</v>
      </c>
      <c r="AA1027">
        <v>67</v>
      </c>
      <c r="AB1027" t="s">
        <v>143</v>
      </c>
      <c r="AC1027" t="s">
        <v>336</v>
      </c>
      <c r="AD1027" t="s">
        <v>278</v>
      </c>
      <c r="AE1027" t="str">
        <f>IF(AF1027="","",VLOOKUP(AC1027,mapel!$A$2:$B$42,2,FALSE))</f>
        <v>Pancasila</v>
      </c>
      <c r="AF1027">
        <f t="shared" si="48"/>
        <v>67</v>
      </c>
      <c r="AG1027" t="str">
        <f>IF(AF1027="","",IF(AF1027&gt;90,"Sangat baik",IF(AF1027&gt;79,"Baik",IF(AF1027&gt;=pub_gid_0_single_true_output_csv[[#This Row],[KKM]],"Cukup","Kurang"))))</f>
        <v>Cukup</v>
      </c>
      <c r="AH1027">
        <f t="shared" si="49"/>
        <v>11</v>
      </c>
      <c r="AI1027" s="30" t="str">
        <f>IF(OR(J1027&lt;&gt;"Karakter",pub_gid_0_single_true_output_csv[[#This Row],[Nilai2]]=""),"",IF(AF1027&gt;89,"Sangat baik",IF(AF1027&gt;79,"Baik",IF(AF1027&gt;69,"Cukup",IF(AF1027&gt;59,"Kurang","Sangat kurang")))))</f>
        <v/>
      </c>
      <c r="AJ1027" t="str">
        <f t="shared" si="50"/>
        <v>Wk.3</v>
      </c>
      <c r="AK1027" t="str">
        <f>IF(pub_gid_0_single_true_output_csv[[#This Row],[Nilai2]]="","",VLOOKUP(pub_gid_0_single_true_output_csv[[#This Row],[NAMA]],Table7[],3,FALSE))</f>
        <v>Average</v>
      </c>
    </row>
    <row r="1028" spans="1:37" x14ac:dyDescent="0.2">
      <c r="A1028">
        <v>1027</v>
      </c>
      <c r="B1028" t="s">
        <v>287</v>
      </c>
      <c r="C1028" t="s">
        <v>54</v>
      </c>
      <c r="D1028" t="s">
        <v>34</v>
      </c>
      <c r="E1028" t="s">
        <v>140</v>
      </c>
      <c r="F1028" s="25">
        <v>46048</v>
      </c>
      <c r="G1028" t="s">
        <v>371</v>
      </c>
      <c r="H1028" t="s">
        <v>405</v>
      </c>
      <c r="I1028" t="s">
        <v>371</v>
      </c>
      <c r="J1028" t="s">
        <v>36</v>
      </c>
      <c r="K1028" t="s">
        <v>37</v>
      </c>
      <c r="L1028" t="s">
        <v>351</v>
      </c>
      <c r="M1028" t="s">
        <v>141</v>
      </c>
      <c r="N1028" t="s">
        <v>142</v>
      </c>
      <c r="O1028" t="s">
        <v>155</v>
      </c>
      <c r="P1028" t="s">
        <v>281</v>
      </c>
      <c r="Q1028" t="s">
        <v>155</v>
      </c>
      <c r="R1028" t="s">
        <v>302</v>
      </c>
      <c r="S1028" t="s">
        <v>369</v>
      </c>
      <c r="T1028">
        <v>1</v>
      </c>
      <c r="U1028" t="s">
        <v>431</v>
      </c>
      <c r="V1028" t="s">
        <v>342</v>
      </c>
      <c r="W1028" t="s">
        <v>433</v>
      </c>
      <c r="X1028" t="s">
        <v>306</v>
      </c>
      <c r="Y1028" t="s">
        <v>307</v>
      </c>
      <c r="Z1028">
        <v>65</v>
      </c>
      <c r="AA1028">
        <v>70</v>
      </c>
      <c r="AB1028" t="s">
        <v>143</v>
      </c>
      <c r="AC1028" t="s">
        <v>336</v>
      </c>
      <c r="AD1028" t="s">
        <v>278</v>
      </c>
      <c r="AE1028" t="str">
        <f>IF(AF1028="","",VLOOKUP(AC1028,mapel!$A$2:$B$42,2,FALSE))</f>
        <v>Pancasila</v>
      </c>
      <c r="AF1028">
        <f t="shared" si="48"/>
        <v>70</v>
      </c>
      <c r="AG1028" t="str">
        <f>IF(AF1028="","",IF(AF1028&gt;90,"Sangat baik",IF(AF1028&gt;79,"Baik",IF(AF1028&gt;=pub_gid_0_single_true_output_csv[[#This Row],[KKM]],"Cukup","Kurang"))))</f>
        <v>Cukup</v>
      </c>
      <c r="AH1028">
        <f t="shared" si="49"/>
        <v>11</v>
      </c>
      <c r="AI1028" s="30" t="str">
        <f>IF(OR(J1028&lt;&gt;"Karakter",pub_gid_0_single_true_output_csv[[#This Row],[Nilai2]]=""),"",IF(AF1028&gt;89,"Sangat baik",IF(AF1028&gt;79,"Baik",IF(AF1028&gt;69,"Cukup",IF(AF1028&gt;59,"Kurang","Sangat kurang")))))</f>
        <v/>
      </c>
      <c r="AJ1028" t="str">
        <f t="shared" si="50"/>
        <v>Wk.5</v>
      </c>
      <c r="AK1028" t="str">
        <f>IF(pub_gid_0_single_true_output_csv[[#This Row],[Nilai2]]="","",VLOOKUP(pub_gid_0_single_true_output_csv[[#This Row],[NAMA]],Table7[],3,FALSE))</f>
        <v>Average</v>
      </c>
    </row>
    <row r="1029" spans="1:37" x14ac:dyDescent="0.2">
      <c r="A1029">
        <v>1028</v>
      </c>
      <c r="B1029" t="s">
        <v>287</v>
      </c>
      <c r="C1029" t="s">
        <v>54</v>
      </c>
      <c r="D1029" t="s">
        <v>34</v>
      </c>
      <c r="E1029" t="s">
        <v>140</v>
      </c>
      <c r="F1029" s="25">
        <v>46048</v>
      </c>
      <c r="G1029" t="s">
        <v>371</v>
      </c>
      <c r="H1029" t="s">
        <v>405</v>
      </c>
      <c r="I1029" t="s">
        <v>371</v>
      </c>
      <c r="J1029" t="s">
        <v>31</v>
      </c>
      <c r="K1029" t="s">
        <v>96</v>
      </c>
      <c r="L1029" t="s">
        <v>351</v>
      </c>
      <c r="M1029" t="s">
        <v>141</v>
      </c>
      <c r="N1029" t="s">
        <v>142</v>
      </c>
      <c r="O1029" t="s">
        <v>155</v>
      </c>
      <c r="P1029" t="s">
        <v>281</v>
      </c>
      <c r="Q1029" t="s">
        <v>155</v>
      </c>
      <c r="R1029" t="s">
        <v>302</v>
      </c>
      <c r="S1029" t="s">
        <v>369</v>
      </c>
      <c r="T1029">
        <v>1</v>
      </c>
      <c r="U1029" t="s">
        <v>431</v>
      </c>
      <c r="V1029" t="s">
        <v>342</v>
      </c>
      <c r="W1029" t="s">
        <v>433</v>
      </c>
      <c r="X1029" t="s">
        <v>306</v>
      </c>
      <c r="Y1029" t="s">
        <v>307</v>
      </c>
      <c r="Z1029">
        <v>65</v>
      </c>
      <c r="AA1029">
        <v>68</v>
      </c>
      <c r="AB1029" t="s">
        <v>143</v>
      </c>
      <c r="AC1029" t="s">
        <v>336</v>
      </c>
      <c r="AD1029" t="s">
        <v>278</v>
      </c>
      <c r="AE1029" t="str">
        <f>IF(AF1029="","",VLOOKUP(AC1029,mapel!$A$2:$B$42,2,FALSE))</f>
        <v>Pancasila</v>
      </c>
      <c r="AF1029">
        <f t="shared" si="48"/>
        <v>68</v>
      </c>
      <c r="AG1029" t="str">
        <f>IF(AF1029="","",IF(AF1029&gt;90,"Sangat baik",IF(AF1029&gt;79,"Baik",IF(AF1029&gt;=pub_gid_0_single_true_output_csv[[#This Row],[KKM]],"Cukup","Kurang"))))</f>
        <v>Cukup</v>
      </c>
      <c r="AH1029">
        <f t="shared" si="49"/>
        <v>11</v>
      </c>
      <c r="AI1029" s="30" t="str">
        <f>IF(OR(J1029&lt;&gt;"Karakter",pub_gid_0_single_true_output_csv[[#This Row],[Nilai2]]=""),"",IF(AF1029&gt;89,"Sangat baik",IF(AF1029&gt;79,"Baik",IF(AF1029&gt;69,"Cukup",IF(AF1029&gt;59,"Kurang","Sangat kurang")))))</f>
        <v/>
      </c>
      <c r="AJ1029" t="str">
        <f t="shared" si="50"/>
        <v>Wk.5</v>
      </c>
      <c r="AK1029" t="str">
        <f>IF(pub_gid_0_single_true_output_csv[[#This Row],[Nilai2]]="","",VLOOKUP(pub_gid_0_single_true_output_csv[[#This Row],[NAMA]],Table7[],3,FALSE))</f>
        <v>Average</v>
      </c>
    </row>
    <row r="1030" spans="1:37" x14ac:dyDescent="0.2">
      <c r="A1030">
        <v>1029</v>
      </c>
      <c r="B1030" t="s">
        <v>287</v>
      </c>
      <c r="C1030" t="s">
        <v>54</v>
      </c>
      <c r="D1030" t="s">
        <v>34</v>
      </c>
      <c r="E1030" t="s">
        <v>140</v>
      </c>
      <c r="F1030" s="25">
        <v>46048</v>
      </c>
      <c r="G1030" t="s">
        <v>371</v>
      </c>
      <c r="H1030" t="s">
        <v>405</v>
      </c>
      <c r="I1030" t="s">
        <v>371</v>
      </c>
      <c r="J1030" t="s">
        <v>90</v>
      </c>
      <c r="K1030" t="s">
        <v>377</v>
      </c>
      <c r="L1030" t="s">
        <v>378</v>
      </c>
      <c r="M1030" t="s">
        <v>141</v>
      </c>
      <c r="N1030" t="s">
        <v>142</v>
      </c>
      <c r="O1030" t="s">
        <v>155</v>
      </c>
      <c r="P1030" t="s">
        <v>281</v>
      </c>
      <c r="Q1030" t="s">
        <v>155</v>
      </c>
      <c r="R1030" t="s">
        <v>302</v>
      </c>
      <c r="S1030" t="s">
        <v>369</v>
      </c>
      <c r="T1030">
        <v>1</v>
      </c>
      <c r="U1030" t="s">
        <v>431</v>
      </c>
      <c r="V1030" t="s">
        <v>342</v>
      </c>
      <c r="W1030" t="s">
        <v>433</v>
      </c>
      <c r="X1030" t="s">
        <v>306</v>
      </c>
      <c r="Y1030" t="s">
        <v>307</v>
      </c>
      <c r="Z1030">
        <v>65</v>
      </c>
      <c r="AA1030">
        <v>74</v>
      </c>
      <c r="AB1030" t="s">
        <v>143</v>
      </c>
      <c r="AC1030" t="s">
        <v>336</v>
      </c>
      <c r="AD1030" t="s">
        <v>278</v>
      </c>
      <c r="AE1030" t="str">
        <f>IF(AF1030="","",VLOOKUP(AC1030,mapel!$A$2:$B$42,2,FALSE))</f>
        <v>Pancasila</v>
      </c>
      <c r="AF1030">
        <f t="shared" si="48"/>
        <v>74</v>
      </c>
      <c r="AG1030" t="str">
        <f>IF(AF1030="","",IF(AF1030&gt;90,"Sangat baik",IF(AF1030&gt;79,"Baik",IF(AF1030&gt;=pub_gid_0_single_true_output_csv[[#This Row],[KKM]],"Cukup","Kurang"))))</f>
        <v>Cukup</v>
      </c>
      <c r="AH1030">
        <f t="shared" si="49"/>
        <v>11</v>
      </c>
      <c r="AI1030" s="30" t="str">
        <f>IF(OR(J1030&lt;&gt;"Karakter",pub_gid_0_single_true_output_csv[[#This Row],[Nilai2]]=""),"",IF(AF1030&gt;89,"Sangat baik",IF(AF1030&gt;79,"Baik",IF(AF1030&gt;69,"Cukup",IF(AF1030&gt;59,"Kurang","Sangat kurang")))))</f>
        <v>Cukup</v>
      </c>
      <c r="AJ1030" t="str">
        <f t="shared" si="50"/>
        <v>Wk.5</v>
      </c>
      <c r="AK1030" t="str">
        <f>IF(pub_gid_0_single_true_output_csv[[#This Row],[Nilai2]]="","",VLOOKUP(pub_gid_0_single_true_output_csv[[#This Row],[NAMA]],Table7[],3,FALSE))</f>
        <v>Average</v>
      </c>
    </row>
    <row r="1031" spans="1:37" x14ac:dyDescent="0.2">
      <c r="A1031">
        <v>1030</v>
      </c>
      <c r="B1031" t="s">
        <v>287</v>
      </c>
      <c r="C1031" t="s">
        <v>54</v>
      </c>
      <c r="D1031" t="s">
        <v>34</v>
      </c>
      <c r="E1031" t="s">
        <v>140</v>
      </c>
      <c r="F1031" s="25">
        <v>46048</v>
      </c>
      <c r="G1031" t="s">
        <v>371</v>
      </c>
      <c r="H1031" t="s">
        <v>405</v>
      </c>
      <c r="I1031" t="s">
        <v>371</v>
      </c>
      <c r="J1031" t="s">
        <v>279</v>
      </c>
      <c r="K1031" t="s">
        <v>280</v>
      </c>
      <c r="L1031" t="s">
        <v>322</v>
      </c>
      <c r="M1031" t="s">
        <v>141</v>
      </c>
      <c r="N1031" t="s">
        <v>142</v>
      </c>
      <c r="O1031" t="s">
        <v>155</v>
      </c>
      <c r="P1031" t="s">
        <v>281</v>
      </c>
      <c r="Q1031" t="s">
        <v>155</v>
      </c>
      <c r="R1031" t="s">
        <v>302</v>
      </c>
      <c r="S1031" t="s">
        <v>369</v>
      </c>
      <c r="T1031">
        <v>1</v>
      </c>
      <c r="U1031" t="s">
        <v>431</v>
      </c>
      <c r="V1031" t="s">
        <v>342</v>
      </c>
      <c r="W1031" t="s">
        <v>433</v>
      </c>
      <c r="X1031" t="s">
        <v>306</v>
      </c>
      <c r="Y1031" t="s">
        <v>307</v>
      </c>
      <c r="Z1031">
        <v>65</v>
      </c>
      <c r="AA1031">
        <v>68</v>
      </c>
      <c r="AB1031" t="s">
        <v>143</v>
      </c>
      <c r="AC1031" t="s">
        <v>336</v>
      </c>
      <c r="AD1031" t="s">
        <v>278</v>
      </c>
      <c r="AE1031" t="str">
        <f>IF(AF1031="","",VLOOKUP(AC1031,mapel!$A$2:$B$42,2,FALSE))</f>
        <v>Pancasila</v>
      </c>
      <c r="AF1031">
        <f t="shared" si="48"/>
        <v>68</v>
      </c>
      <c r="AG1031" t="str">
        <f>IF(AF1031="","",IF(AF1031&gt;90,"Sangat baik",IF(AF1031&gt;79,"Baik",IF(AF1031&gt;=pub_gid_0_single_true_output_csv[[#This Row],[KKM]],"Cukup","Kurang"))))</f>
        <v>Cukup</v>
      </c>
      <c r="AH1031">
        <f t="shared" si="49"/>
        <v>11</v>
      </c>
      <c r="AI1031" s="30" t="str">
        <f>IF(OR(J1031&lt;&gt;"Karakter",pub_gid_0_single_true_output_csv[[#This Row],[Nilai2]]=""),"",IF(AF1031&gt;89,"Sangat baik",IF(AF1031&gt;79,"Baik",IF(AF1031&gt;69,"Cukup",IF(AF1031&gt;59,"Kurang","Sangat kurang")))))</f>
        <v/>
      </c>
      <c r="AJ1031" t="str">
        <f t="shared" si="50"/>
        <v>Wk.5</v>
      </c>
      <c r="AK1031" t="str">
        <f>IF(pub_gid_0_single_true_output_csv[[#This Row],[Nilai2]]="","",VLOOKUP(pub_gid_0_single_true_output_csv[[#This Row],[NAMA]],Table7[],3,FALSE))</f>
        <v>Average</v>
      </c>
    </row>
    <row r="1032" spans="1:37" x14ac:dyDescent="0.2">
      <c r="A1032">
        <v>1031</v>
      </c>
      <c r="B1032" t="s">
        <v>287</v>
      </c>
      <c r="C1032" t="s">
        <v>54</v>
      </c>
      <c r="D1032" t="s">
        <v>34</v>
      </c>
      <c r="E1032" t="s">
        <v>140</v>
      </c>
      <c r="F1032" s="25">
        <v>46055</v>
      </c>
      <c r="G1032" t="s">
        <v>379</v>
      </c>
      <c r="H1032" t="s">
        <v>412</v>
      </c>
      <c r="I1032" t="s">
        <v>371</v>
      </c>
      <c r="J1032" t="s">
        <v>90</v>
      </c>
      <c r="K1032" t="s">
        <v>377</v>
      </c>
      <c r="L1032" t="s">
        <v>400</v>
      </c>
      <c r="M1032" t="s">
        <v>141</v>
      </c>
      <c r="N1032" t="s">
        <v>142</v>
      </c>
      <c r="O1032" t="s">
        <v>155</v>
      </c>
      <c r="P1032" t="s">
        <v>281</v>
      </c>
      <c r="Q1032" t="s">
        <v>155</v>
      </c>
      <c r="R1032" t="s">
        <v>302</v>
      </c>
      <c r="S1032" t="s">
        <v>345</v>
      </c>
      <c r="T1032">
        <v>1</v>
      </c>
      <c r="U1032" t="s">
        <v>431</v>
      </c>
      <c r="V1032" t="s">
        <v>343</v>
      </c>
      <c r="W1032" t="s">
        <v>434</v>
      </c>
      <c r="X1032" t="s">
        <v>306</v>
      </c>
      <c r="Y1032" t="s">
        <v>307</v>
      </c>
      <c r="Z1032">
        <v>65</v>
      </c>
      <c r="AA1032">
        <v>77</v>
      </c>
      <c r="AB1032" t="s">
        <v>143</v>
      </c>
      <c r="AC1032" t="s">
        <v>336</v>
      </c>
      <c r="AD1032" t="s">
        <v>278</v>
      </c>
      <c r="AE1032" t="str">
        <f>IF(AF1032="","",VLOOKUP(AC1032,mapel!$A$2:$B$42,2,FALSE))</f>
        <v>Pancasila</v>
      </c>
      <c r="AF1032">
        <f t="shared" si="48"/>
        <v>77</v>
      </c>
      <c r="AG1032" t="str">
        <f>IF(AF1032="","",IF(AF1032&gt;90,"Sangat baik",IF(AF1032&gt;79,"Baik",IF(AF1032&gt;=pub_gid_0_single_true_output_csv[[#This Row],[KKM]],"Cukup","Kurang"))))</f>
        <v>Cukup</v>
      </c>
      <c r="AH1032">
        <f t="shared" si="49"/>
        <v>11</v>
      </c>
      <c r="AI1032" s="30" t="str">
        <f>IF(OR(J1032&lt;&gt;"Karakter",pub_gid_0_single_true_output_csv[[#This Row],[Nilai2]]=""),"",IF(AF1032&gt;89,"Sangat baik",IF(AF1032&gt;79,"Baik",IF(AF1032&gt;69,"Cukup",IF(AF1032&gt;59,"Kurang","Sangat kurang")))))</f>
        <v>Cukup</v>
      </c>
      <c r="AJ1032" t="str">
        <f t="shared" si="50"/>
        <v>Wk.6</v>
      </c>
      <c r="AK1032" t="str">
        <f>IF(pub_gid_0_single_true_output_csv[[#This Row],[Nilai2]]="","",VLOOKUP(pub_gid_0_single_true_output_csv[[#This Row],[NAMA]],Table7[],3,FALSE))</f>
        <v>Average</v>
      </c>
    </row>
    <row r="1033" spans="1:37" x14ac:dyDescent="0.2">
      <c r="A1033">
        <v>1032</v>
      </c>
      <c r="B1033" t="s">
        <v>287</v>
      </c>
      <c r="C1033" t="s">
        <v>54</v>
      </c>
      <c r="D1033" t="s">
        <v>34</v>
      </c>
      <c r="E1033" t="s">
        <v>140</v>
      </c>
      <c r="F1033" s="25">
        <v>46055</v>
      </c>
      <c r="G1033" t="s">
        <v>379</v>
      </c>
      <c r="H1033" t="s">
        <v>412</v>
      </c>
      <c r="I1033" t="s">
        <v>371</v>
      </c>
      <c r="J1033" t="s">
        <v>279</v>
      </c>
      <c r="K1033" t="s">
        <v>280</v>
      </c>
      <c r="L1033" t="s">
        <v>322</v>
      </c>
      <c r="M1033" t="s">
        <v>141</v>
      </c>
      <c r="N1033" t="s">
        <v>142</v>
      </c>
      <c r="O1033" t="s">
        <v>155</v>
      </c>
      <c r="P1033" t="s">
        <v>281</v>
      </c>
      <c r="Q1033" t="s">
        <v>155</v>
      </c>
      <c r="R1033" t="s">
        <v>302</v>
      </c>
      <c r="S1033" t="s">
        <v>345</v>
      </c>
      <c r="T1033">
        <v>1</v>
      </c>
      <c r="U1033" t="s">
        <v>431</v>
      </c>
      <c r="V1033" t="s">
        <v>343</v>
      </c>
      <c r="W1033" t="s">
        <v>434</v>
      </c>
      <c r="X1033" t="s">
        <v>306</v>
      </c>
      <c r="Y1033" t="s">
        <v>307</v>
      </c>
      <c r="Z1033">
        <v>65</v>
      </c>
      <c r="AA1033">
        <v>77</v>
      </c>
      <c r="AB1033" t="s">
        <v>143</v>
      </c>
      <c r="AC1033" t="s">
        <v>336</v>
      </c>
      <c r="AD1033" t="s">
        <v>278</v>
      </c>
      <c r="AE1033" t="str">
        <f>IF(AF1033="","",VLOOKUP(AC1033,mapel!$A$2:$B$42,2,FALSE))</f>
        <v>Pancasila</v>
      </c>
      <c r="AF1033">
        <f t="shared" si="48"/>
        <v>77</v>
      </c>
      <c r="AG1033" t="str">
        <f>IF(AF1033="","",IF(AF1033&gt;90,"Sangat baik",IF(AF1033&gt;79,"Baik",IF(AF1033&gt;=pub_gid_0_single_true_output_csv[[#This Row],[KKM]],"Cukup","Kurang"))))</f>
        <v>Cukup</v>
      </c>
      <c r="AH1033">
        <f t="shared" si="49"/>
        <v>11</v>
      </c>
      <c r="AI1033" s="30" t="str">
        <f>IF(OR(J1033&lt;&gt;"Karakter",pub_gid_0_single_true_output_csv[[#This Row],[Nilai2]]=""),"",IF(AF1033&gt;89,"Sangat baik",IF(AF1033&gt;79,"Baik",IF(AF1033&gt;69,"Cukup",IF(AF1033&gt;59,"Kurang","Sangat kurang")))))</f>
        <v/>
      </c>
      <c r="AJ1033" t="str">
        <f t="shared" si="50"/>
        <v>Wk.6</v>
      </c>
      <c r="AK1033" t="str">
        <f>IF(pub_gid_0_single_true_output_csv[[#This Row],[Nilai2]]="","",VLOOKUP(pub_gid_0_single_true_output_csv[[#This Row],[NAMA]],Table7[],3,FALSE))</f>
        <v>Average</v>
      </c>
    </row>
    <row r="1034" spans="1:37" x14ac:dyDescent="0.2">
      <c r="A1034">
        <v>1033</v>
      </c>
      <c r="B1034" t="s">
        <v>287</v>
      </c>
      <c r="C1034" t="s">
        <v>54</v>
      </c>
      <c r="D1034" t="s">
        <v>34</v>
      </c>
      <c r="E1034" t="s">
        <v>140</v>
      </c>
      <c r="F1034" s="25">
        <v>46055</v>
      </c>
      <c r="G1034" t="s">
        <v>379</v>
      </c>
      <c r="H1034" t="s">
        <v>412</v>
      </c>
      <c r="I1034" t="s">
        <v>371</v>
      </c>
      <c r="J1034" t="s">
        <v>41</v>
      </c>
      <c r="K1034" t="s">
        <v>365</v>
      </c>
      <c r="L1034" t="s">
        <v>351</v>
      </c>
      <c r="M1034" t="s">
        <v>141</v>
      </c>
      <c r="N1034" t="s">
        <v>142</v>
      </c>
      <c r="O1034" t="s">
        <v>155</v>
      </c>
      <c r="P1034" t="s">
        <v>281</v>
      </c>
      <c r="Q1034" t="s">
        <v>155</v>
      </c>
      <c r="R1034" t="s">
        <v>302</v>
      </c>
      <c r="S1034" t="s">
        <v>345</v>
      </c>
      <c r="T1034">
        <v>1</v>
      </c>
      <c r="U1034" t="s">
        <v>431</v>
      </c>
      <c r="V1034" t="s">
        <v>343</v>
      </c>
      <c r="W1034" t="s">
        <v>434</v>
      </c>
      <c r="X1034" t="s">
        <v>306</v>
      </c>
      <c r="Y1034" t="s">
        <v>307</v>
      </c>
      <c r="Z1034">
        <v>65</v>
      </c>
      <c r="AA1034">
        <v>70</v>
      </c>
      <c r="AB1034" t="s">
        <v>143</v>
      </c>
      <c r="AC1034" t="s">
        <v>336</v>
      </c>
      <c r="AD1034" t="s">
        <v>278</v>
      </c>
      <c r="AE1034" t="str">
        <f>IF(AF1034="","",VLOOKUP(AC1034,mapel!$A$2:$B$42,2,FALSE))</f>
        <v>Pancasila</v>
      </c>
      <c r="AF1034">
        <f t="shared" si="48"/>
        <v>70</v>
      </c>
      <c r="AG1034" t="str">
        <f>IF(AF1034="","",IF(AF1034&gt;90,"Sangat baik",IF(AF1034&gt;79,"Baik",IF(AF1034&gt;=pub_gid_0_single_true_output_csv[[#This Row],[KKM]],"Cukup","Kurang"))))</f>
        <v>Cukup</v>
      </c>
      <c r="AH1034">
        <f t="shared" si="49"/>
        <v>11</v>
      </c>
      <c r="AI1034" s="30" t="str">
        <f>IF(OR(J1034&lt;&gt;"Karakter",pub_gid_0_single_true_output_csv[[#This Row],[Nilai2]]=""),"",IF(AF1034&gt;89,"Sangat baik",IF(AF1034&gt;79,"Baik",IF(AF1034&gt;69,"Cukup",IF(AF1034&gt;59,"Kurang","Sangat kurang")))))</f>
        <v/>
      </c>
      <c r="AJ1034" t="str">
        <f t="shared" si="50"/>
        <v>Wk.6</v>
      </c>
      <c r="AK1034" t="str">
        <f>IF(pub_gid_0_single_true_output_csv[[#This Row],[Nilai2]]="","",VLOOKUP(pub_gid_0_single_true_output_csv[[#This Row],[NAMA]],Table7[],3,FALSE))</f>
        <v>Average</v>
      </c>
    </row>
    <row r="1035" spans="1:37" x14ac:dyDescent="0.2">
      <c r="A1035">
        <v>1034</v>
      </c>
      <c r="B1035" t="s">
        <v>287</v>
      </c>
      <c r="C1035" t="s">
        <v>54</v>
      </c>
      <c r="D1035" t="s">
        <v>34</v>
      </c>
      <c r="E1035" t="s">
        <v>140</v>
      </c>
      <c r="F1035" s="25">
        <v>46055</v>
      </c>
      <c r="G1035" t="s">
        <v>379</v>
      </c>
      <c r="H1035" t="s">
        <v>412</v>
      </c>
      <c r="I1035" t="s">
        <v>371</v>
      </c>
      <c r="J1035" t="s">
        <v>31</v>
      </c>
      <c r="K1035" t="s">
        <v>96</v>
      </c>
      <c r="L1035" t="s">
        <v>351</v>
      </c>
      <c r="M1035" t="s">
        <v>141</v>
      </c>
      <c r="N1035" t="s">
        <v>142</v>
      </c>
      <c r="O1035" t="s">
        <v>155</v>
      </c>
      <c r="P1035" t="s">
        <v>281</v>
      </c>
      <c r="Q1035" t="s">
        <v>155</v>
      </c>
      <c r="R1035" t="s">
        <v>302</v>
      </c>
      <c r="S1035" t="s">
        <v>345</v>
      </c>
      <c r="T1035">
        <v>1</v>
      </c>
      <c r="U1035" t="s">
        <v>431</v>
      </c>
      <c r="V1035" t="s">
        <v>343</v>
      </c>
      <c r="W1035" t="s">
        <v>434</v>
      </c>
      <c r="X1035" t="s">
        <v>306</v>
      </c>
      <c r="Y1035" t="s">
        <v>307</v>
      </c>
      <c r="Z1035">
        <v>65</v>
      </c>
      <c r="AA1035">
        <v>70</v>
      </c>
      <c r="AB1035" t="s">
        <v>143</v>
      </c>
      <c r="AC1035" t="s">
        <v>336</v>
      </c>
      <c r="AD1035" t="s">
        <v>278</v>
      </c>
      <c r="AE1035" t="str">
        <f>IF(AF1035="","",VLOOKUP(AC1035,mapel!$A$2:$B$42,2,FALSE))</f>
        <v>Pancasila</v>
      </c>
      <c r="AF1035">
        <f t="shared" si="48"/>
        <v>70</v>
      </c>
      <c r="AG1035" t="str">
        <f>IF(AF1035="","",IF(AF1035&gt;90,"Sangat baik",IF(AF1035&gt;79,"Baik",IF(AF1035&gt;=pub_gid_0_single_true_output_csv[[#This Row],[KKM]],"Cukup","Kurang"))))</f>
        <v>Cukup</v>
      </c>
      <c r="AH1035">
        <f t="shared" si="49"/>
        <v>11</v>
      </c>
      <c r="AI1035" s="30" t="str">
        <f>IF(OR(J1035&lt;&gt;"Karakter",pub_gid_0_single_true_output_csv[[#This Row],[Nilai2]]=""),"",IF(AF1035&gt;89,"Sangat baik",IF(AF1035&gt;79,"Baik",IF(AF1035&gt;69,"Cukup",IF(AF1035&gt;59,"Kurang","Sangat kurang")))))</f>
        <v/>
      </c>
      <c r="AJ1035" t="str">
        <f t="shared" si="50"/>
        <v>Wk.6</v>
      </c>
      <c r="AK1035" t="str">
        <f>IF(pub_gid_0_single_true_output_csv[[#This Row],[Nilai2]]="","",VLOOKUP(pub_gid_0_single_true_output_csv[[#This Row],[NAMA]],Table7[],3,FALSE))</f>
        <v>Average</v>
      </c>
    </row>
    <row r="1036" spans="1:37" x14ac:dyDescent="0.2">
      <c r="A1036">
        <v>1035</v>
      </c>
      <c r="B1036" t="s">
        <v>287</v>
      </c>
      <c r="C1036" t="s">
        <v>54</v>
      </c>
      <c r="D1036" t="s">
        <v>34</v>
      </c>
      <c r="E1036" t="s">
        <v>140</v>
      </c>
      <c r="F1036" s="25">
        <v>46055</v>
      </c>
      <c r="G1036" t="s">
        <v>379</v>
      </c>
      <c r="H1036" t="s">
        <v>412</v>
      </c>
      <c r="I1036" t="s">
        <v>371</v>
      </c>
      <c r="J1036" t="s">
        <v>36</v>
      </c>
      <c r="K1036" t="s">
        <v>37</v>
      </c>
      <c r="L1036" t="s">
        <v>324</v>
      </c>
      <c r="M1036" t="s">
        <v>141</v>
      </c>
      <c r="N1036" t="s">
        <v>142</v>
      </c>
      <c r="O1036" t="s">
        <v>155</v>
      </c>
      <c r="P1036" t="s">
        <v>281</v>
      </c>
      <c r="Q1036" t="s">
        <v>155</v>
      </c>
      <c r="R1036" t="s">
        <v>302</v>
      </c>
      <c r="S1036" t="s">
        <v>345</v>
      </c>
      <c r="T1036">
        <v>1</v>
      </c>
      <c r="U1036" t="s">
        <v>431</v>
      </c>
      <c r="V1036" t="s">
        <v>343</v>
      </c>
      <c r="W1036" t="s">
        <v>434</v>
      </c>
      <c r="X1036" t="s">
        <v>306</v>
      </c>
      <c r="Y1036" t="s">
        <v>307</v>
      </c>
      <c r="Z1036">
        <v>65</v>
      </c>
      <c r="AA1036">
        <v>73</v>
      </c>
      <c r="AB1036" t="s">
        <v>143</v>
      </c>
      <c r="AC1036" t="s">
        <v>336</v>
      </c>
      <c r="AD1036" t="s">
        <v>278</v>
      </c>
      <c r="AE1036" t="str">
        <f>IF(AF1036="","",VLOOKUP(AC1036,mapel!$A$2:$B$42,2,FALSE))</f>
        <v>Pancasila</v>
      </c>
      <c r="AF1036">
        <f t="shared" si="48"/>
        <v>73</v>
      </c>
      <c r="AG1036" t="str">
        <f>IF(AF1036="","",IF(AF1036&gt;90,"Sangat baik",IF(AF1036&gt;79,"Baik",IF(AF1036&gt;=pub_gid_0_single_true_output_csv[[#This Row],[KKM]],"Cukup","Kurang"))))</f>
        <v>Cukup</v>
      </c>
      <c r="AH1036">
        <f t="shared" si="49"/>
        <v>11</v>
      </c>
      <c r="AI1036" s="30" t="str">
        <f>IF(OR(J1036&lt;&gt;"Karakter",pub_gid_0_single_true_output_csv[[#This Row],[Nilai2]]=""),"",IF(AF1036&gt;89,"Sangat baik",IF(AF1036&gt;79,"Baik",IF(AF1036&gt;69,"Cukup",IF(AF1036&gt;59,"Kurang","Sangat kurang")))))</f>
        <v/>
      </c>
      <c r="AJ1036" t="str">
        <f t="shared" si="50"/>
        <v>Wk.6</v>
      </c>
      <c r="AK1036" t="str">
        <f>IF(pub_gid_0_single_true_output_csv[[#This Row],[Nilai2]]="","",VLOOKUP(pub_gid_0_single_true_output_csv[[#This Row],[NAMA]],Table7[],3,FALSE))</f>
        <v>Average</v>
      </c>
    </row>
    <row r="1037" spans="1:37" x14ac:dyDescent="0.2">
      <c r="A1037">
        <v>1036</v>
      </c>
      <c r="B1037" t="s">
        <v>287</v>
      </c>
      <c r="C1037" t="s">
        <v>54</v>
      </c>
      <c r="D1037" t="s">
        <v>34</v>
      </c>
      <c r="E1037" t="s">
        <v>140</v>
      </c>
      <c r="F1037" s="25">
        <v>46062</v>
      </c>
      <c r="G1037" t="s">
        <v>376</v>
      </c>
      <c r="H1037" t="s">
        <v>412</v>
      </c>
      <c r="I1037" t="s">
        <v>371</v>
      </c>
      <c r="J1037" t="s">
        <v>36</v>
      </c>
      <c r="K1037" t="s">
        <v>362</v>
      </c>
      <c r="L1037" t="s">
        <v>363</v>
      </c>
      <c r="M1037" t="s">
        <v>141</v>
      </c>
      <c r="N1037" t="s">
        <v>142</v>
      </c>
      <c r="O1037" t="s">
        <v>155</v>
      </c>
      <c r="P1037" t="s">
        <v>281</v>
      </c>
      <c r="Q1037" t="s">
        <v>155</v>
      </c>
      <c r="R1037" t="s">
        <v>302</v>
      </c>
      <c r="S1037" t="s">
        <v>309</v>
      </c>
      <c r="T1037">
        <v>1</v>
      </c>
      <c r="U1037" t="s">
        <v>431</v>
      </c>
      <c r="V1037" t="s">
        <v>285</v>
      </c>
      <c r="W1037" t="s">
        <v>432</v>
      </c>
      <c r="X1037" t="s">
        <v>306</v>
      </c>
      <c r="Y1037" t="s">
        <v>307</v>
      </c>
      <c r="Z1037">
        <v>65</v>
      </c>
      <c r="AA1037">
        <v>65</v>
      </c>
      <c r="AB1037" t="s">
        <v>143</v>
      </c>
      <c r="AC1037" t="s">
        <v>336</v>
      </c>
      <c r="AD1037" t="s">
        <v>278</v>
      </c>
      <c r="AE1037" t="str">
        <f>IF(AF1037="","",VLOOKUP(AC1037,mapel!$A$2:$B$42,2,FALSE))</f>
        <v>Pancasila</v>
      </c>
      <c r="AF1037">
        <f t="shared" si="48"/>
        <v>65</v>
      </c>
      <c r="AG1037" t="str">
        <f>IF(AF1037="","",IF(AF1037&gt;90,"Sangat baik",IF(AF1037&gt;79,"Baik",IF(AF1037&gt;=pub_gid_0_single_true_output_csv[[#This Row],[KKM]],"Cukup","Kurang"))))</f>
        <v>Cukup</v>
      </c>
      <c r="AH1037">
        <f t="shared" si="49"/>
        <v>11</v>
      </c>
      <c r="AI1037" s="30" t="str">
        <f>IF(OR(J1037&lt;&gt;"Karakter",pub_gid_0_single_true_output_csv[[#This Row],[Nilai2]]=""),"",IF(AF1037&gt;89,"Sangat baik",IF(AF1037&gt;79,"Baik",IF(AF1037&gt;69,"Cukup",IF(AF1037&gt;59,"Kurang","Sangat kurang")))))</f>
        <v/>
      </c>
      <c r="AJ1037" t="str">
        <f t="shared" si="50"/>
        <v>Wk.7</v>
      </c>
      <c r="AK1037" t="str">
        <f>IF(pub_gid_0_single_true_output_csv[[#This Row],[Nilai2]]="","",VLOOKUP(pub_gid_0_single_true_output_csv[[#This Row],[NAMA]],Table7[],3,FALSE))</f>
        <v>Average</v>
      </c>
    </row>
    <row r="1038" spans="1:37" x14ac:dyDescent="0.2">
      <c r="A1038">
        <v>1037</v>
      </c>
      <c r="B1038" t="s">
        <v>287</v>
      </c>
      <c r="C1038" t="s">
        <v>54</v>
      </c>
      <c r="D1038" t="s">
        <v>34</v>
      </c>
      <c r="E1038" t="s">
        <v>140</v>
      </c>
      <c r="F1038" s="25">
        <v>46062</v>
      </c>
      <c r="G1038" t="s">
        <v>376</v>
      </c>
      <c r="H1038" t="s">
        <v>412</v>
      </c>
      <c r="I1038" t="s">
        <v>371</v>
      </c>
      <c r="J1038" t="s">
        <v>36</v>
      </c>
      <c r="K1038" t="s">
        <v>362</v>
      </c>
      <c r="L1038" t="s">
        <v>363</v>
      </c>
      <c r="M1038" t="s">
        <v>141</v>
      </c>
      <c r="N1038" t="s">
        <v>142</v>
      </c>
      <c r="O1038" t="s">
        <v>155</v>
      </c>
      <c r="P1038" t="s">
        <v>281</v>
      </c>
      <c r="Q1038" t="s">
        <v>155</v>
      </c>
      <c r="R1038" t="s">
        <v>302</v>
      </c>
      <c r="S1038" t="s">
        <v>369</v>
      </c>
      <c r="T1038">
        <v>1</v>
      </c>
      <c r="U1038" t="s">
        <v>431</v>
      </c>
      <c r="V1038" t="s">
        <v>342</v>
      </c>
      <c r="W1038" t="s">
        <v>433</v>
      </c>
      <c r="X1038" t="s">
        <v>306</v>
      </c>
      <c r="Y1038" t="s">
        <v>307</v>
      </c>
      <c r="Z1038">
        <v>65</v>
      </c>
      <c r="AA1038">
        <v>70</v>
      </c>
      <c r="AB1038" t="s">
        <v>143</v>
      </c>
      <c r="AC1038" t="s">
        <v>336</v>
      </c>
      <c r="AD1038" t="s">
        <v>278</v>
      </c>
      <c r="AE1038" t="str">
        <f>IF(AF1038="","",VLOOKUP(AC1038,mapel!$A$2:$B$42,2,FALSE))</f>
        <v>Pancasila</v>
      </c>
      <c r="AF1038">
        <f t="shared" si="48"/>
        <v>70</v>
      </c>
      <c r="AG1038" t="str">
        <f>IF(AF1038="","",IF(AF1038&gt;90,"Sangat baik",IF(AF1038&gt;79,"Baik",IF(AF1038&gt;=pub_gid_0_single_true_output_csv[[#This Row],[KKM]],"Cukup","Kurang"))))</f>
        <v>Cukup</v>
      </c>
      <c r="AH1038">
        <f t="shared" si="49"/>
        <v>11</v>
      </c>
      <c r="AI1038" s="30" t="str">
        <f>IF(OR(J1038&lt;&gt;"Karakter",pub_gid_0_single_true_output_csv[[#This Row],[Nilai2]]=""),"",IF(AF1038&gt;89,"Sangat baik",IF(AF1038&gt;79,"Baik",IF(AF1038&gt;69,"Cukup",IF(AF1038&gt;59,"Kurang","Sangat kurang")))))</f>
        <v/>
      </c>
      <c r="AJ1038" t="str">
        <f t="shared" si="50"/>
        <v>Wk.7</v>
      </c>
      <c r="AK1038" t="str">
        <f>IF(pub_gid_0_single_true_output_csv[[#This Row],[Nilai2]]="","",VLOOKUP(pub_gid_0_single_true_output_csv[[#This Row],[NAMA]],Table7[],3,FALSE))</f>
        <v>Average</v>
      </c>
    </row>
    <row r="1039" spans="1:37" x14ac:dyDescent="0.2">
      <c r="A1039">
        <v>1038</v>
      </c>
      <c r="B1039" t="s">
        <v>287</v>
      </c>
      <c r="C1039" t="s">
        <v>54</v>
      </c>
      <c r="D1039" t="s">
        <v>34</v>
      </c>
      <c r="E1039" t="s">
        <v>140</v>
      </c>
      <c r="F1039" s="25">
        <v>46059</v>
      </c>
      <c r="G1039" t="s">
        <v>349</v>
      </c>
      <c r="H1039" t="s">
        <v>412</v>
      </c>
      <c r="I1039" t="s">
        <v>371</v>
      </c>
      <c r="J1039" t="s">
        <v>41</v>
      </c>
      <c r="K1039" t="s">
        <v>357</v>
      </c>
      <c r="L1039" t="s">
        <v>351</v>
      </c>
      <c r="M1039" t="s">
        <v>141</v>
      </c>
      <c r="N1039" t="s">
        <v>142</v>
      </c>
      <c r="O1039" t="s">
        <v>155</v>
      </c>
      <c r="P1039" t="s">
        <v>281</v>
      </c>
      <c r="Q1039" t="s">
        <v>155</v>
      </c>
      <c r="R1039" t="s">
        <v>302</v>
      </c>
      <c r="S1039" t="s">
        <v>345</v>
      </c>
      <c r="T1039">
        <v>1</v>
      </c>
      <c r="U1039" t="s">
        <v>431</v>
      </c>
      <c r="V1039" t="s">
        <v>343</v>
      </c>
      <c r="W1039" t="s">
        <v>434</v>
      </c>
      <c r="X1039" t="s">
        <v>306</v>
      </c>
      <c r="Y1039" t="s">
        <v>307</v>
      </c>
      <c r="Z1039">
        <v>65</v>
      </c>
      <c r="AA1039">
        <v>70</v>
      </c>
      <c r="AB1039" t="s">
        <v>143</v>
      </c>
      <c r="AC1039" t="s">
        <v>336</v>
      </c>
      <c r="AD1039" t="s">
        <v>278</v>
      </c>
      <c r="AE1039" t="str">
        <f>IF(AF1039="","",VLOOKUP(AC1039,mapel!$A$2:$B$42,2,FALSE))</f>
        <v>Pancasila</v>
      </c>
      <c r="AF1039">
        <f t="shared" si="48"/>
        <v>70</v>
      </c>
      <c r="AG1039" t="str">
        <f>IF(AF1039="","",IF(AF1039&gt;90,"Sangat baik",IF(AF1039&gt;79,"Baik",IF(AF1039&gt;=pub_gid_0_single_true_output_csv[[#This Row],[KKM]],"Cukup","Kurang"))))</f>
        <v>Cukup</v>
      </c>
      <c r="AH1039">
        <f t="shared" si="49"/>
        <v>11</v>
      </c>
      <c r="AI1039" s="30" t="str">
        <f>IF(OR(J1039&lt;&gt;"Karakter",pub_gid_0_single_true_output_csv[[#This Row],[Nilai2]]=""),"",IF(AF1039&gt;89,"Sangat baik",IF(AF1039&gt;79,"Baik",IF(AF1039&gt;69,"Cukup",IF(AF1039&gt;59,"Kurang","Sangat kurang")))))</f>
        <v/>
      </c>
      <c r="AJ1039" t="str">
        <f t="shared" si="50"/>
        <v>Wk.6</v>
      </c>
      <c r="AK1039" t="str">
        <f>IF(pub_gid_0_single_true_output_csv[[#This Row],[Nilai2]]="","",VLOOKUP(pub_gid_0_single_true_output_csv[[#This Row],[NAMA]],Table7[],3,FALSE))</f>
        <v>Average</v>
      </c>
    </row>
    <row r="1040" spans="1:37" x14ac:dyDescent="0.2">
      <c r="A1040">
        <v>1039</v>
      </c>
      <c r="B1040" t="s">
        <v>287</v>
      </c>
      <c r="C1040" t="s">
        <v>54</v>
      </c>
      <c r="D1040" t="s">
        <v>34</v>
      </c>
      <c r="E1040" t="s">
        <v>140</v>
      </c>
      <c r="F1040" s="25">
        <v>46059</v>
      </c>
      <c r="G1040" t="s">
        <v>349</v>
      </c>
      <c r="H1040" t="s">
        <v>412</v>
      </c>
      <c r="I1040" t="s">
        <v>371</v>
      </c>
      <c r="J1040" t="s">
        <v>36</v>
      </c>
      <c r="K1040" t="s">
        <v>37</v>
      </c>
      <c r="L1040" t="s">
        <v>351</v>
      </c>
      <c r="M1040" t="s">
        <v>141</v>
      </c>
      <c r="N1040" t="s">
        <v>142</v>
      </c>
      <c r="O1040" t="s">
        <v>155</v>
      </c>
      <c r="P1040" t="s">
        <v>281</v>
      </c>
      <c r="Q1040" t="s">
        <v>155</v>
      </c>
      <c r="R1040" t="s">
        <v>302</v>
      </c>
      <c r="S1040" t="s">
        <v>345</v>
      </c>
      <c r="T1040">
        <v>1</v>
      </c>
      <c r="U1040" t="s">
        <v>431</v>
      </c>
      <c r="V1040" t="s">
        <v>343</v>
      </c>
      <c r="W1040" t="s">
        <v>434</v>
      </c>
      <c r="X1040" t="s">
        <v>306</v>
      </c>
      <c r="Y1040" t="s">
        <v>307</v>
      </c>
      <c r="Z1040">
        <v>65</v>
      </c>
      <c r="AA1040">
        <v>70</v>
      </c>
      <c r="AB1040" t="s">
        <v>143</v>
      </c>
      <c r="AC1040" t="s">
        <v>336</v>
      </c>
      <c r="AD1040" t="s">
        <v>278</v>
      </c>
      <c r="AE1040" t="str">
        <f>IF(AF1040="","",VLOOKUP(AC1040,mapel!$A$2:$B$42,2,FALSE))</f>
        <v>Pancasila</v>
      </c>
      <c r="AF1040">
        <f t="shared" si="48"/>
        <v>70</v>
      </c>
      <c r="AG1040" t="str">
        <f>IF(AF1040="","",IF(AF1040&gt;90,"Sangat baik",IF(AF1040&gt;79,"Baik",IF(AF1040&gt;=pub_gid_0_single_true_output_csv[[#This Row],[KKM]],"Cukup","Kurang"))))</f>
        <v>Cukup</v>
      </c>
      <c r="AH1040">
        <f t="shared" si="49"/>
        <v>11</v>
      </c>
      <c r="AI1040" s="30" t="str">
        <f>IF(OR(J1040&lt;&gt;"Karakter",pub_gid_0_single_true_output_csv[[#This Row],[Nilai2]]=""),"",IF(AF1040&gt;89,"Sangat baik",IF(AF1040&gt;79,"Baik",IF(AF1040&gt;69,"Cukup",IF(AF1040&gt;59,"Kurang","Sangat kurang")))))</f>
        <v/>
      </c>
      <c r="AJ1040" t="str">
        <f t="shared" si="50"/>
        <v>Wk.6</v>
      </c>
      <c r="AK1040" t="str">
        <f>IF(pub_gid_0_single_true_output_csv[[#This Row],[Nilai2]]="","",VLOOKUP(pub_gid_0_single_true_output_csv[[#This Row],[NAMA]],Table7[],3,FALSE))</f>
        <v>Average</v>
      </c>
    </row>
    <row r="1041" spans="1:37" x14ac:dyDescent="0.2">
      <c r="A1041">
        <v>1040</v>
      </c>
      <c r="B1041" t="s">
        <v>288</v>
      </c>
      <c r="C1041" t="s">
        <v>54</v>
      </c>
      <c r="D1041" t="s">
        <v>35</v>
      </c>
      <c r="E1041" t="s">
        <v>140</v>
      </c>
      <c r="F1041" s="25">
        <v>46034</v>
      </c>
      <c r="G1041" t="s">
        <v>354</v>
      </c>
      <c r="H1041" t="s">
        <v>405</v>
      </c>
      <c r="I1041" t="s">
        <v>371</v>
      </c>
      <c r="J1041" t="s">
        <v>90</v>
      </c>
      <c r="K1041" t="s">
        <v>92</v>
      </c>
      <c r="L1041" t="s">
        <v>398</v>
      </c>
      <c r="M1041" t="s">
        <v>141</v>
      </c>
      <c r="N1041" t="s">
        <v>142</v>
      </c>
      <c r="O1041" t="s">
        <v>155</v>
      </c>
      <c r="P1041" t="s">
        <v>281</v>
      </c>
      <c r="Q1041" t="s">
        <v>155</v>
      </c>
      <c r="R1041" t="s">
        <v>302</v>
      </c>
      <c r="S1041" t="s">
        <v>309</v>
      </c>
      <c r="T1041">
        <v>1</v>
      </c>
      <c r="U1041" t="s">
        <v>431</v>
      </c>
      <c r="V1041" t="s">
        <v>285</v>
      </c>
      <c r="W1041" t="s">
        <v>432</v>
      </c>
      <c r="X1041" t="s">
        <v>306</v>
      </c>
      <c r="Y1041" t="s">
        <v>307</v>
      </c>
      <c r="Z1041">
        <v>65</v>
      </c>
      <c r="AA1041">
        <v>70</v>
      </c>
      <c r="AB1041" t="s">
        <v>143</v>
      </c>
      <c r="AC1041" t="s">
        <v>336</v>
      </c>
      <c r="AD1041" t="s">
        <v>278</v>
      </c>
      <c r="AE1041" t="str">
        <f>IF(AF1041="","",VLOOKUP(AC1041,mapel!$A$2:$B$42,2,FALSE))</f>
        <v>Pancasila</v>
      </c>
      <c r="AF1041">
        <f t="shared" si="48"/>
        <v>70</v>
      </c>
      <c r="AG1041" t="str">
        <f>IF(AF1041="","",IF(AF1041&gt;90,"Sangat baik",IF(AF1041&gt;79,"Baik",IF(AF1041&gt;=pub_gid_0_single_true_output_csv[[#This Row],[KKM]],"Cukup","Kurang"))))</f>
        <v>Cukup</v>
      </c>
      <c r="AH1041">
        <f t="shared" si="49"/>
        <v>11</v>
      </c>
      <c r="AI1041" s="30" t="str">
        <f>IF(OR(J1041&lt;&gt;"Karakter",pub_gid_0_single_true_output_csv[[#This Row],[Nilai2]]=""),"",IF(AF1041&gt;89,"Sangat baik",IF(AF1041&gt;79,"Baik",IF(AF1041&gt;69,"Cukup",IF(AF1041&gt;59,"Kurang","Sangat kurang")))))</f>
        <v>Cukup</v>
      </c>
      <c r="AJ1041" t="str">
        <f t="shared" si="50"/>
        <v>Wk.3</v>
      </c>
      <c r="AK1041" t="str">
        <f>IF(pub_gid_0_single_true_output_csv[[#This Row],[Nilai2]]="","",VLOOKUP(pub_gid_0_single_true_output_csv[[#This Row],[NAMA]],Table7[],3,FALSE))</f>
        <v>Extremely low</v>
      </c>
    </row>
    <row r="1042" spans="1:37" x14ac:dyDescent="0.2">
      <c r="A1042">
        <v>1041</v>
      </c>
      <c r="B1042" t="s">
        <v>288</v>
      </c>
      <c r="C1042" t="s">
        <v>54</v>
      </c>
      <c r="D1042" t="s">
        <v>35</v>
      </c>
      <c r="E1042" t="s">
        <v>140</v>
      </c>
      <c r="F1042" s="25">
        <v>46034</v>
      </c>
      <c r="G1042" t="s">
        <v>354</v>
      </c>
      <c r="H1042" t="s">
        <v>405</v>
      </c>
      <c r="I1042" t="s">
        <v>371</v>
      </c>
      <c r="J1042" t="s">
        <v>36</v>
      </c>
      <c r="K1042" t="s">
        <v>37</v>
      </c>
      <c r="L1042" t="s">
        <v>150</v>
      </c>
      <c r="M1042" t="s">
        <v>141</v>
      </c>
      <c r="N1042" t="s">
        <v>142</v>
      </c>
      <c r="O1042" t="s">
        <v>155</v>
      </c>
      <c r="P1042" t="s">
        <v>281</v>
      </c>
      <c r="Q1042" t="s">
        <v>155</v>
      </c>
      <c r="R1042" t="s">
        <v>302</v>
      </c>
      <c r="S1042" t="s">
        <v>309</v>
      </c>
      <c r="T1042">
        <v>1</v>
      </c>
      <c r="U1042" t="s">
        <v>431</v>
      </c>
      <c r="V1042" t="s">
        <v>285</v>
      </c>
      <c r="W1042" t="s">
        <v>432</v>
      </c>
      <c r="X1042" t="s">
        <v>306</v>
      </c>
      <c r="Y1042" t="s">
        <v>307</v>
      </c>
      <c r="Z1042">
        <v>65</v>
      </c>
      <c r="AA1042">
        <v>68</v>
      </c>
      <c r="AB1042" t="s">
        <v>143</v>
      </c>
      <c r="AC1042" t="s">
        <v>336</v>
      </c>
      <c r="AD1042" t="s">
        <v>278</v>
      </c>
      <c r="AE1042" t="str">
        <f>IF(AF1042="","",VLOOKUP(AC1042,mapel!$A$2:$B$42,2,FALSE))</f>
        <v>Pancasila</v>
      </c>
      <c r="AF1042">
        <f t="shared" si="48"/>
        <v>68</v>
      </c>
      <c r="AG1042" t="str">
        <f>IF(AF1042="","",IF(AF1042&gt;90,"Sangat baik",IF(AF1042&gt;79,"Baik",IF(AF1042&gt;=pub_gid_0_single_true_output_csv[[#This Row],[KKM]],"Cukup","Kurang"))))</f>
        <v>Cukup</v>
      </c>
      <c r="AH1042">
        <f t="shared" si="49"/>
        <v>11</v>
      </c>
      <c r="AI1042" s="30" t="str">
        <f>IF(OR(J1042&lt;&gt;"Karakter",pub_gid_0_single_true_output_csv[[#This Row],[Nilai2]]=""),"",IF(AF1042&gt;89,"Sangat baik",IF(AF1042&gt;79,"Baik",IF(AF1042&gt;69,"Cukup",IF(AF1042&gt;59,"Kurang","Sangat kurang")))))</f>
        <v/>
      </c>
      <c r="AJ1042" t="str">
        <f t="shared" si="50"/>
        <v>Wk.3</v>
      </c>
      <c r="AK1042" t="str">
        <f>IF(pub_gid_0_single_true_output_csv[[#This Row],[Nilai2]]="","",VLOOKUP(pub_gid_0_single_true_output_csv[[#This Row],[NAMA]],Table7[],3,FALSE))</f>
        <v>Extremely low</v>
      </c>
    </row>
    <row r="1043" spans="1:37" x14ac:dyDescent="0.2">
      <c r="A1043">
        <v>1042</v>
      </c>
      <c r="B1043" t="s">
        <v>288</v>
      </c>
      <c r="C1043" t="s">
        <v>54</v>
      </c>
      <c r="D1043" t="s">
        <v>35</v>
      </c>
      <c r="E1043" t="s">
        <v>140</v>
      </c>
      <c r="F1043" s="25">
        <v>46034</v>
      </c>
      <c r="G1043" t="s">
        <v>354</v>
      </c>
      <c r="H1043" t="s">
        <v>405</v>
      </c>
      <c r="I1043" t="s">
        <v>371</v>
      </c>
      <c r="J1043" t="s">
        <v>31</v>
      </c>
      <c r="K1043" t="s">
        <v>32</v>
      </c>
      <c r="L1043" t="s">
        <v>150</v>
      </c>
      <c r="M1043" t="s">
        <v>141</v>
      </c>
      <c r="N1043" t="s">
        <v>142</v>
      </c>
      <c r="O1043" t="s">
        <v>155</v>
      </c>
      <c r="P1043" t="s">
        <v>281</v>
      </c>
      <c r="Q1043" t="s">
        <v>155</v>
      </c>
      <c r="R1043" t="s">
        <v>302</v>
      </c>
      <c r="S1043" t="s">
        <v>309</v>
      </c>
      <c r="T1043">
        <v>1</v>
      </c>
      <c r="U1043" t="s">
        <v>431</v>
      </c>
      <c r="V1043" t="s">
        <v>285</v>
      </c>
      <c r="W1043" t="s">
        <v>432</v>
      </c>
      <c r="X1043" t="s">
        <v>306</v>
      </c>
      <c r="Y1043" t="s">
        <v>307</v>
      </c>
      <c r="Z1043">
        <v>65</v>
      </c>
      <c r="AA1043">
        <v>65</v>
      </c>
      <c r="AB1043" t="s">
        <v>143</v>
      </c>
      <c r="AC1043" t="s">
        <v>336</v>
      </c>
      <c r="AD1043" t="s">
        <v>278</v>
      </c>
      <c r="AE1043" t="str">
        <f>IF(AF1043="","",VLOOKUP(AC1043,mapel!$A$2:$B$42,2,FALSE))</f>
        <v>Pancasila</v>
      </c>
      <c r="AF1043">
        <f t="shared" si="48"/>
        <v>65</v>
      </c>
      <c r="AG1043" t="str">
        <f>IF(AF1043="","",IF(AF1043&gt;90,"Sangat baik",IF(AF1043&gt;79,"Baik",IF(AF1043&gt;=pub_gid_0_single_true_output_csv[[#This Row],[KKM]],"Cukup","Kurang"))))</f>
        <v>Cukup</v>
      </c>
      <c r="AH1043">
        <f t="shared" si="49"/>
        <v>11</v>
      </c>
      <c r="AI1043" s="30" t="str">
        <f>IF(OR(J1043&lt;&gt;"Karakter",pub_gid_0_single_true_output_csv[[#This Row],[Nilai2]]=""),"",IF(AF1043&gt;89,"Sangat baik",IF(AF1043&gt;79,"Baik",IF(AF1043&gt;69,"Cukup",IF(AF1043&gt;59,"Kurang","Sangat kurang")))))</f>
        <v/>
      </c>
      <c r="AJ1043" t="str">
        <f t="shared" si="50"/>
        <v>Wk.3</v>
      </c>
      <c r="AK1043" t="str">
        <f>IF(pub_gid_0_single_true_output_csv[[#This Row],[Nilai2]]="","",VLOOKUP(pub_gid_0_single_true_output_csv[[#This Row],[NAMA]],Table7[],3,FALSE))</f>
        <v>Extremely low</v>
      </c>
    </row>
    <row r="1044" spans="1:37" x14ac:dyDescent="0.2">
      <c r="A1044">
        <v>1043</v>
      </c>
      <c r="B1044" t="s">
        <v>288</v>
      </c>
      <c r="C1044" t="s">
        <v>54</v>
      </c>
      <c r="D1044" t="s">
        <v>35</v>
      </c>
      <c r="E1044" t="s">
        <v>140</v>
      </c>
      <c r="F1044" s="25">
        <v>46034</v>
      </c>
      <c r="G1044" t="s">
        <v>354</v>
      </c>
      <c r="H1044" t="s">
        <v>405</v>
      </c>
      <c r="I1044" t="s">
        <v>371</v>
      </c>
      <c r="J1044" t="s">
        <v>279</v>
      </c>
      <c r="K1044" t="s">
        <v>280</v>
      </c>
      <c r="L1044" t="s">
        <v>322</v>
      </c>
      <c r="M1044" t="s">
        <v>141</v>
      </c>
      <c r="N1044" t="s">
        <v>142</v>
      </c>
      <c r="O1044" t="s">
        <v>155</v>
      </c>
      <c r="P1044" t="s">
        <v>281</v>
      </c>
      <c r="Q1044" t="s">
        <v>155</v>
      </c>
      <c r="R1044" t="s">
        <v>302</v>
      </c>
      <c r="S1044" t="s">
        <v>309</v>
      </c>
      <c r="T1044">
        <v>1</v>
      </c>
      <c r="U1044" t="s">
        <v>431</v>
      </c>
      <c r="V1044" t="s">
        <v>285</v>
      </c>
      <c r="W1044" t="s">
        <v>432</v>
      </c>
      <c r="X1044" t="s">
        <v>306</v>
      </c>
      <c r="Y1044" t="s">
        <v>307</v>
      </c>
      <c r="Z1044">
        <v>65</v>
      </c>
      <c r="AA1044">
        <v>70</v>
      </c>
      <c r="AB1044" t="s">
        <v>143</v>
      </c>
      <c r="AC1044" t="s">
        <v>336</v>
      </c>
      <c r="AD1044" t="s">
        <v>278</v>
      </c>
      <c r="AE1044" t="str">
        <f>IF(AF1044="","",VLOOKUP(AC1044,mapel!$A$2:$B$42,2,FALSE))</f>
        <v>Pancasila</v>
      </c>
      <c r="AF1044">
        <f t="shared" si="48"/>
        <v>70</v>
      </c>
      <c r="AG1044" t="str">
        <f>IF(AF1044="","",IF(AF1044&gt;90,"Sangat baik",IF(AF1044&gt;79,"Baik",IF(AF1044&gt;=pub_gid_0_single_true_output_csv[[#This Row],[KKM]],"Cukup","Kurang"))))</f>
        <v>Cukup</v>
      </c>
      <c r="AH1044">
        <f t="shared" si="49"/>
        <v>11</v>
      </c>
      <c r="AI1044" s="30" t="str">
        <f>IF(OR(J1044&lt;&gt;"Karakter",pub_gid_0_single_true_output_csv[[#This Row],[Nilai2]]=""),"",IF(AF1044&gt;89,"Sangat baik",IF(AF1044&gt;79,"Baik",IF(AF1044&gt;69,"Cukup",IF(AF1044&gt;59,"Kurang","Sangat kurang")))))</f>
        <v/>
      </c>
      <c r="AJ1044" t="str">
        <f t="shared" si="50"/>
        <v>Wk.3</v>
      </c>
      <c r="AK1044" t="str">
        <f>IF(pub_gid_0_single_true_output_csv[[#This Row],[Nilai2]]="","",VLOOKUP(pub_gid_0_single_true_output_csv[[#This Row],[NAMA]],Table7[],3,FALSE))</f>
        <v>Extremely low</v>
      </c>
    </row>
    <row r="1045" spans="1:37" x14ac:dyDescent="0.2">
      <c r="A1045">
        <v>1044</v>
      </c>
      <c r="B1045" t="s">
        <v>288</v>
      </c>
      <c r="C1045" t="s">
        <v>54</v>
      </c>
      <c r="D1045" t="s">
        <v>35</v>
      </c>
      <c r="E1045" t="s">
        <v>140</v>
      </c>
      <c r="F1045" s="25">
        <v>46048</v>
      </c>
      <c r="G1045" t="s">
        <v>371</v>
      </c>
      <c r="H1045" t="s">
        <v>405</v>
      </c>
      <c r="I1045" t="s">
        <v>371</v>
      </c>
      <c r="J1045" t="s">
        <v>36</v>
      </c>
      <c r="K1045" t="s">
        <v>37</v>
      </c>
      <c r="L1045" t="s">
        <v>351</v>
      </c>
      <c r="M1045" t="s">
        <v>141</v>
      </c>
      <c r="N1045" t="s">
        <v>142</v>
      </c>
      <c r="O1045" t="s">
        <v>155</v>
      </c>
      <c r="P1045" t="s">
        <v>281</v>
      </c>
      <c r="Q1045" t="s">
        <v>155</v>
      </c>
      <c r="R1045" t="s">
        <v>302</v>
      </c>
      <c r="S1045" t="s">
        <v>369</v>
      </c>
      <c r="T1045">
        <v>1</v>
      </c>
      <c r="U1045" t="s">
        <v>431</v>
      </c>
      <c r="V1045" t="s">
        <v>342</v>
      </c>
      <c r="W1045" t="s">
        <v>433</v>
      </c>
      <c r="X1045" t="s">
        <v>306</v>
      </c>
      <c r="Y1045" t="s">
        <v>307</v>
      </c>
      <c r="Z1045">
        <v>65</v>
      </c>
      <c r="AA1045">
        <v>0</v>
      </c>
      <c r="AB1045" t="s">
        <v>151</v>
      </c>
      <c r="AC1045" t="s">
        <v>336</v>
      </c>
      <c r="AD1045" t="s">
        <v>278</v>
      </c>
      <c r="AE1045" t="str">
        <f>IF(AF1045="","",VLOOKUP(AC1045,mapel!$A$2:$B$42,2,FALSE))</f>
        <v/>
      </c>
      <c r="AF1045" t="str">
        <f t="shared" si="48"/>
        <v/>
      </c>
      <c r="AG1045" t="str">
        <f>IF(AF1045="","",IF(AF1045&gt;90,"Sangat baik",IF(AF1045&gt;79,"Baik",IF(AF1045&gt;=pub_gid_0_single_true_output_csv[[#This Row],[KKM]],"Cukup","Kurang"))))</f>
        <v/>
      </c>
      <c r="AH1045" t="str">
        <f t="shared" si="49"/>
        <v/>
      </c>
      <c r="AI1045" s="30" t="str">
        <f>IF(OR(J1045&lt;&gt;"Karakter",pub_gid_0_single_true_output_csv[[#This Row],[Nilai2]]=""),"",IF(AF1045&gt;89,"Sangat baik",IF(AF1045&gt;79,"Baik",IF(AF1045&gt;69,"Cukup",IF(AF1045&gt;59,"Kurang","Sangat kurang")))))</f>
        <v/>
      </c>
      <c r="AJ1045" t="str">
        <f t="shared" si="50"/>
        <v/>
      </c>
      <c r="AK1045" t="str">
        <f>IF(pub_gid_0_single_true_output_csv[[#This Row],[Nilai2]]="","",VLOOKUP(pub_gid_0_single_true_output_csv[[#This Row],[NAMA]],Table7[],3,FALSE))</f>
        <v/>
      </c>
    </row>
    <row r="1046" spans="1:37" x14ac:dyDescent="0.2">
      <c r="A1046">
        <v>1045</v>
      </c>
      <c r="B1046" t="s">
        <v>288</v>
      </c>
      <c r="C1046" t="s">
        <v>54</v>
      </c>
      <c r="D1046" t="s">
        <v>35</v>
      </c>
      <c r="E1046" t="s">
        <v>140</v>
      </c>
      <c r="F1046" s="25">
        <v>46048</v>
      </c>
      <c r="G1046" t="s">
        <v>371</v>
      </c>
      <c r="H1046" t="s">
        <v>405</v>
      </c>
      <c r="I1046" t="s">
        <v>371</v>
      </c>
      <c r="J1046" t="s">
        <v>31</v>
      </c>
      <c r="K1046" t="s">
        <v>96</v>
      </c>
      <c r="L1046" t="s">
        <v>351</v>
      </c>
      <c r="M1046" t="s">
        <v>141</v>
      </c>
      <c r="N1046" t="s">
        <v>142</v>
      </c>
      <c r="O1046" t="s">
        <v>155</v>
      </c>
      <c r="P1046" t="s">
        <v>281</v>
      </c>
      <c r="Q1046" t="s">
        <v>155</v>
      </c>
      <c r="R1046" t="s">
        <v>302</v>
      </c>
      <c r="S1046" t="s">
        <v>369</v>
      </c>
      <c r="T1046">
        <v>1</v>
      </c>
      <c r="U1046" t="s">
        <v>431</v>
      </c>
      <c r="V1046" t="s">
        <v>342</v>
      </c>
      <c r="W1046" t="s">
        <v>433</v>
      </c>
      <c r="X1046" t="s">
        <v>306</v>
      </c>
      <c r="Y1046" t="s">
        <v>307</v>
      </c>
      <c r="Z1046">
        <v>65</v>
      </c>
      <c r="AA1046">
        <v>0</v>
      </c>
      <c r="AB1046" t="s">
        <v>151</v>
      </c>
      <c r="AC1046" t="s">
        <v>336</v>
      </c>
      <c r="AD1046" t="s">
        <v>278</v>
      </c>
      <c r="AE1046" t="str">
        <f>IF(AF1046="","",VLOOKUP(AC1046,mapel!$A$2:$B$42,2,FALSE))</f>
        <v/>
      </c>
      <c r="AF1046" t="str">
        <f t="shared" si="48"/>
        <v/>
      </c>
      <c r="AG1046" t="str">
        <f>IF(AF1046="","",IF(AF1046&gt;90,"Sangat baik",IF(AF1046&gt;79,"Baik",IF(AF1046&gt;=pub_gid_0_single_true_output_csv[[#This Row],[KKM]],"Cukup","Kurang"))))</f>
        <v/>
      </c>
      <c r="AH1046" t="str">
        <f t="shared" si="49"/>
        <v/>
      </c>
      <c r="AI1046" s="30" t="str">
        <f>IF(OR(J1046&lt;&gt;"Karakter",pub_gid_0_single_true_output_csv[[#This Row],[Nilai2]]=""),"",IF(AF1046&gt;89,"Sangat baik",IF(AF1046&gt;79,"Baik",IF(AF1046&gt;69,"Cukup",IF(AF1046&gt;59,"Kurang","Sangat kurang")))))</f>
        <v/>
      </c>
      <c r="AJ1046" t="str">
        <f t="shared" si="50"/>
        <v/>
      </c>
      <c r="AK1046" t="str">
        <f>IF(pub_gid_0_single_true_output_csv[[#This Row],[Nilai2]]="","",VLOOKUP(pub_gid_0_single_true_output_csv[[#This Row],[NAMA]],Table7[],3,FALSE))</f>
        <v/>
      </c>
    </row>
    <row r="1047" spans="1:37" x14ac:dyDescent="0.2">
      <c r="A1047">
        <v>1046</v>
      </c>
      <c r="B1047" t="s">
        <v>288</v>
      </c>
      <c r="C1047" t="s">
        <v>54</v>
      </c>
      <c r="D1047" t="s">
        <v>35</v>
      </c>
      <c r="E1047" t="s">
        <v>140</v>
      </c>
      <c r="F1047" s="25">
        <v>46048</v>
      </c>
      <c r="G1047" t="s">
        <v>371</v>
      </c>
      <c r="H1047" t="s">
        <v>405</v>
      </c>
      <c r="I1047" t="s">
        <v>371</v>
      </c>
      <c r="J1047" t="s">
        <v>90</v>
      </c>
      <c r="K1047" t="s">
        <v>377</v>
      </c>
      <c r="L1047" t="s">
        <v>378</v>
      </c>
      <c r="M1047" t="s">
        <v>141</v>
      </c>
      <c r="N1047" t="s">
        <v>142</v>
      </c>
      <c r="O1047" t="s">
        <v>155</v>
      </c>
      <c r="P1047" t="s">
        <v>281</v>
      </c>
      <c r="Q1047" t="s">
        <v>155</v>
      </c>
      <c r="R1047" t="s">
        <v>302</v>
      </c>
      <c r="S1047" t="s">
        <v>369</v>
      </c>
      <c r="T1047">
        <v>1</v>
      </c>
      <c r="U1047" t="s">
        <v>431</v>
      </c>
      <c r="V1047" t="s">
        <v>342</v>
      </c>
      <c r="W1047" t="s">
        <v>433</v>
      </c>
      <c r="X1047" t="s">
        <v>306</v>
      </c>
      <c r="Y1047" t="s">
        <v>307</v>
      </c>
      <c r="Z1047">
        <v>65</v>
      </c>
      <c r="AA1047">
        <v>0</v>
      </c>
      <c r="AB1047" t="s">
        <v>151</v>
      </c>
      <c r="AC1047" t="s">
        <v>336</v>
      </c>
      <c r="AD1047" t="s">
        <v>278</v>
      </c>
      <c r="AE1047" t="str">
        <f>IF(AF1047="","",VLOOKUP(AC1047,mapel!$A$2:$B$42,2,FALSE))</f>
        <v/>
      </c>
      <c r="AF1047" t="str">
        <f t="shared" si="48"/>
        <v/>
      </c>
      <c r="AG1047" t="str">
        <f>IF(AF1047="","",IF(AF1047&gt;90,"Sangat baik",IF(AF1047&gt;79,"Baik",IF(AF1047&gt;=pub_gid_0_single_true_output_csv[[#This Row],[KKM]],"Cukup","Kurang"))))</f>
        <v/>
      </c>
      <c r="AH1047" t="str">
        <f t="shared" si="49"/>
        <v/>
      </c>
      <c r="AI1047" s="30" t="str">
        <f>IF(OR(J1047&lt;&gt;"Karakter",pub_gid_0_single_true_output_csv[[#This Row],[Nilai2]]=""),"",IF(AF1047&gt;89,"Sangat baik",IF(AF1047&gt;79,"Baik",IF(AF1047&gt;69,"Cukup",IF(AF1047&gt;59,"Kurang","Sangat kurang")))))</f>
        <v/>
      </c>
      <c r="AJ1047" t="str">
        <f t="shared" si="50"/>
        <v/>
      </c>
      <c r="AK1047" t="str">
        <f>IF(pub_gid_0_single_true_output_csv[[#This Row],[Nilai2]]="","",VLOOKUP(pub_gid_0_single_true_output_csv[[#This Row],[NAMA]],Table7[],3,FALSE))</f>
        <v/>
      </c>
    </row>
    <row r="1048" spans="1:37" x14ac:dyDescent="0.2">
      <c r="A1048">
        <v>1047</v>
      </c>
      <c r="B1048" t="s">
        <v>288</v>
      </c>
      <c r="C1048" t="s">
        <v>54</v>
      </c>
      <c r="D1048" t="s">
        <v>35</v>
      </c>
      <c r="E1048" t="s">
        <v>140</v>
      </c>
      <c r="F1048" s="25">
        <v>46048</v>
      </c>
      <c r="G1048" t="s">
        <v>371</v>
      </c>
      <c r="H1048" t="s">
        <v>405</v>
      </c>
      <c r="I1048" t="s">
        <v>371</v>
      </c>
      <c r="J1048" t="s">
        <v>279</v>
      </c>
      <c r="K1048" t="s">
        <v>280</v>
      </c>
      <c r="L1048" t="s">
        <v>322</v>
      </c>
      <c r="M1048" t="s">
        <v>141</v>
      </c>
      <c r="N1048" t="s">
        <v>142</v>
      </c>
      <c r="O1048" t="s">
        <v>155</v>
      </c>
      <c r="P1048" t="s">
        <v>281</v>
      </c>
      <c r="Q1048" t="s">
        <v>155</v>
      </c>
      <c r="R1048" t="s">
        <v>302</v>
      </c>
      <c r="S1048" t="s">
        <v>369</v>
      </c>
      <c r="T1048">
        <v>1</v>
      </c>
      <c r="U1048" t="s">
        <v>431</v>
      </c>
      <c r="V1048" t="s">
        <v>342</v>
      </c>
      <c r="W1048" t="s">
        <v>433</v>
      </c>
      <c r="X1048" t="s">
        <v>306</v>
      </c>
      <c r="Y1048" t="s">
        <v>307</v>
      </c>
      <c r="Z1048">
        <v>65</v>
      </c>
      <c r="AA1048">
        <v>0</v>
      </c>
      <c r="AB1048" t="s">
        <v>151</v>
      </c>
      <c r="AC1048" t="s">
        <v>336</v>
      </c>
      <c r="AD1048" t="s">
        <v>278</v>
      </c>
      <c r="AE1048" t="str">
        <f>IF(AF1048="","",VLOOKUP(AC1048,mapel!$A$2:$B$42,2,FALSE))</f>
        <v/>
      </c>
      <c r="AF1048" t="str">
        <f t="shared" si="48"/>
        <v/>
      </c>
      <c r="AG1048" t="str">
        <f>IF(AF1048="","",IF(AF1048&gt;90,"Sangat baik",IF(AF1048&gt;79,"Baik",IF(AF1048&gt;=pub_gid_0_single_true_output_csv[[#This Row],[KKM]],"Cukup","Kurang"))))</f>
        <v/>
      </c>
      <c r="AH1048" t="str">
        <f t="shared" si="49"/>
        <v/>
      </c>
      <c r="AI1048" s="30" t="str">
        <f>IF(OR(J1048&lt;&gt;"Karakter",pub_gid_0_single_true_output_csv[[#This Row],[Nilai2]]=""),"",IF(AF1048&gt;89,"Sangat baik",IF(AF1048&gt;79,"Baik",IF(AF1048&gt;69,"Cukup",IF(AF1048&gt;59,"Kurang","Sangat kurang")))))</f>
        <v/>
      </c>
      <c r="AJ1048" t="str">
        <f t="shared" si="50"/>
        <v/>
      </c>
      <c r="AK1048" t="str">
        <f>IF(pub_gid_0_single_true_output_csv[[#This Row],[Nilai2]]="","",VLOOKUP(pub_gid_0_single_true_output_csv[[#This Row],[NAMA]],Table7[],3,FALSE))</f>
        <v/>
      </c>
    </row>
    <row r="1049" spans="1:37" x14ac:dyDescent="0.2">
      <c r="A1049">
        <v>1048</v>
      </c>
      <c r="B1049" t="s">
        <v>288</v>
      </c>
      <c r="C1049" t="s">
        <v>54</v>
      </c>
      <c r="D1049" t="s">
        <v>35</v>
      </c>
      <c r="E1049" t="s">
        <v>140</v>
      </c>
      <c r="F1049" s="25">
        <v>46055</v>
      </c>
      <c r="G1049" t="s">
        <v>379</v>
      </c>
      <c r="H1049" t="s">
        <v>412</v>
      </c>
      <c r="I1049" t="s">
        <v>371</v>
      </c>
      <c r="J1049" t="s">
        <v>90</v>
      </c>
      <c r="K1049" t="s">
        <v>377</v>
      </c>
      <c r="L1049" t="s">
        <v>400</v>
      </c>
      <c r="M1049" t="s">
        <v>141</v>
      </c>
      <c r="N1049" t="s">
        <v>142</v>
      </c>
      <c r="O1049" t="s">
        <v>155</v>
      </c>
      <c r="P1049" t="s">
        <v>281</v>
      </c>
      <c r="Q1049" t="s">
        <v>155</v>
      </c>
      <c r="R1049" t="s">
        <v>302</v>
      </c>
      <c r="S1049" t="s">
        <v>345</v>
      </c>
      <c r="T1049">
        <v>1</v>
      </c>
      <c r="U1049" t="s">
        <v>431</v>
      </c>
      <c r="V1049" t="s">
        <v>343</v>
      </c>
      <c r="W1049" t="s">
        <v>434</v>
      </c>
      <c r="X1049" t="s">
        <v>306</v>
      </c>
      <c r="Y1049" t="s">
        <v>307</v>
      </c>
      <c r="Z1049">
        <v>65</v>
      </c>
      <c r="AA1049">
        <v>70</v>
      </c>
      <c r="AB1049" t="s">
        <v>143</v>
      </c>
      <c r="AC1049" t="s">
        <v>336</v>
      </c>
      <c r="AD1049" t="s">
        <v>278</v>
      </c>
      <c r="AE1049" t="str">
        <f>IF(AF1049="","",VLOOKUP(AC1049,mapel!$A$2:$B$42,2,FALSE))</f>
        <v>Pancasila</v>
      </c>
      <c r="AF1049">
        <f t="shared" si="48"/>
        <v>70</v>
      </c>
      <c r="AG1049" t="str">
        <f>IF(AF1049="","",IF(AF1049&gt;90,"Sangat baik",IF(AF1049&gt;79,"Baik",IF(AF1049&gt;=pub_gid_0_single_true_output_csv[[#This Row],[KKM]],"Cukup","Kurang"))))</f>
        <v>Cukup</v>
      </c>
      <c r="AH1049">
        <f t="shared" si="49"/>
        <v>11</v>
      </c>
      <c r="AI1049" s="30" t="str">
        <f>IF(OR(J1049&lt;&gt;"Karakter",pub_gid_0_single_true_output_csv[[#This Row],[Nilai2]]=""),"",IF(AF1049&gt;89,"Sangat baik",IF(AF1049&gt;79,"Baik",IF(AF1049&gt;69,"Cukup",IF(AF1049&gt;59,"Kurang","Sangat kurang")))))</f>
        <v>Cukup</v>
      </c>
      <c r="AJ1049" t="str">
        <f t="shared" si="50"/>
        <v>Wk.6</v>
      </c>
      <c r="AK1049" t="str">
        <f>IF(pub_gid_0_single_true_output_csv[[#This Row],[Nilai2]]="","",VLOOKUP(pub_gid_0_single_true_output_csv[[#This Row],[NAMA]],Table7[],3,FALSE))</f>
        <v>Extremely low</v>
      </c>
    </row>
    <row r="1050" spans="1:37" x14ac:dyDescent="0.2">
      <c r="A1050">
        <v>1049</v>
      </c>
      <c r="B1050" t="s">
        <v>288</v>
      </c>
      <c r="C1050" t="s">
        <v>54</v>
      </c>
      <c r="D1050" t="s">
        <v>35</v>
      </c>
      <c r="E1050" t="s">
        <v>140</v>
      </c>
      <c r="F1050" s="25">
        <v>46055</v>
      </c>
      <c r="G1050" t="s">
        <v>379</v>
      </c>
      <c r="H1050" t="s">
        <v>412</v>
      </c>
      <c r="I1050" t="s">
        <v>371</v>
      </c>
      <c r="J1050" t="s">
        <v>279</v>
      </c>
      <c r="K1050" t="s">
        <v>280</v>
      </c>
      <c r="L1050" t="s">
        <v>322</v>
      </c>
      <c r="M1050" t="s">
        <v>141</v>
      </c>
      <c r="N1050" t="s">
        <v>142</v>
      </c>
      <c r="O1050" t="s">
        <v>155</v>
      </c>
      <c r="P1050" t="s">
        <v>281</v>
      </c>
      <c r="Q1050" t="s">
        <v>155</v>
      </c>
      <c r="R1050" t="s">
        <v>302</v>
      </c>
      <c r="S1050" t="s">
        <v>345</v>
      </c>
      <c r="T1050">
        <v>1</v>
      </c>
      <c r="U1050" t="s">
        <v>431</v>
      </c>
      <c r="V1050" t="s">
        <v>343</v>
      </c>
      <c r="W1050" t="s">
        <v>434</v>
      </c>
      <c r="X1050" t="s">
        <v>306</v>
      </c>
      <c r="Y1050" t="s">
        <v>307</v>
      </c>
      <c r="Z1050">
        <v>65</v>
      </c>
      <c r="AA1050">
        <v>70</v>
      </c>
      <c r="AB1050" t="s">
        <v>143</v>
      </c>
      <c r="AC1050" t="s">
        <v>336</v>
      </c>
      <c r="AD1050" t="s">
        <v>278</v>
      </c>
      <c r="AE1050" t="str">
        <f>IF(AF1050="","",VLOOKUP(AC1050,mapel!$A$2:$B$42,2,FALSE))</f>
        <v>Pancasila</v>
      </c>
      <c r="AF1050">
        <f t="shared" si="48"/>
        <v>70</v>
      </c>
      <c r="AG1050" t="str">
        <f>IF(AF1050="","",IF(AF1050&gt;90,"Sangat baik",IF(AF1050&gt;79,"Baik",IF(AF1050&gt;=pub_gid_0_single_true_output_csv[[#This Row],[KKM]],"Cukup","Kurang"))))</f>
        <v>Cukup</v>
      </c>
      <c r="AH1050">
        <f t="shared" si="49"/>
        <v>11</v>
      </c>
      <c r="AI1050" s="30" t="str">
        <f>IF(OR(J1050&lt;&gt;"Karakter",pub_gid_0_single_true_output_csv[[#This Row],[Nilai2]]=""),"",IF(AF1050&gt;89,"Sangat baik",IF(AF1050&gt;79,"Baik",IF(AF1050&gt;69,"Cukup",IF(AF1050&gt;59,"Kurang","Sangat kurang")))))</f>
        <v/>
      </c>
      <c r="AJ1050" t="str">
        <f t="shared" si="50"/>
        <v>Wk.6</v>
      </c>
      <c r="AK1050" t="str">
        <f>IF(pub_gid_0_single_true_output_csv[[#This Row],[Nilai2]]="","",VLOOKUP(pub_gid_0_single_true_output_csv[[#This Row],[NAMA]],Table7[],3,FALSE))</f>
        <v>Extremely low</v>
      </c>
    </row>
    <row r="1051" spans="1:37" x14ac:dyDescent="0.2">
      <c r="A1051">
        <v>1050</v>
      </c>
      <c r="B1051" t="s">
        <v>288</v>
      </c>
      <c r="C1051" t="s">
        <v>54</v>
      </c>
      <c r="D1051" t="s">
        <v>35</v>
      </c>
      <c r="E1051" t="s">
        <v>140</v>
      </c>
      <c r="F1051" s="25">
        <v>46055</v>
      </c>
      <c r="G1051" t="s">
        <v>379</v>
      </c>
      <c r="H1051" t="s">
        <v>412</v>
      </c>
      <c r="I1051" t="s">
        <v>371</v>
      </c>
      <c r="J1051" t="s">
        <v>41</v>
      </c>
      <c r="K1051" t="s">
        <v>365</v>
      </c>
      <c r="L1051" t="s">
        <v>351</v>
      </c>
      <c r="M1051" t="s">
        <v>141</v>
      </c>
      <c r="N1051" t="s">
        <v>142</v>
      </c>
      <c r="O1051" t="s">
        <v>155</v>
      </c>
      <c r="P1051" t="s">
        <v>281</v>
      </c>
      <c r="Q1051" t="s">
        <v>155</v>
      </c>
      <c r="R1051" t="s">
        <v>302</v>
      </c>
      <c r="S1051" t="s">
        <v>345</v>
      </c>
      <c r="T1051">
        <v>1</v>
      </c>
      <c r="U1051" t="s">
        <v>431</v>
      </c>
      <c r="V1051" t="s">
        <v>343</v>
      </c>
      <c r="W1051" t="s">
        <v>434</v>
      </c>
      <c r="X1051" t="s">
        <v>306</v>
      </c>
      <c r="Y1051" t="s">
        <v>307</v>
      </c>
      <c r="Z1051">
        <v>65</v>
      </c>
      <c r="AA1051">
        <v>70</v>
      </c>
      <c r="AB1051" t="s">
        <v>143</v>
      </c>
      <c r="AC1051" t="s">
        <v>336</v>
      </c>
      <c r="AD1051" t="s">
        <v>278</v>
      </c>
      <c r="AE1051" t="str">
        <f>IF(AF1051="","",VLOOKUP(AC1051,mapel!$A$2:$B$42,2,FALSE))</f>
        <v>Pancasila</v>
      </c>
      <c r="AF1051">
        <f t="shared" si="48"/>
        <v>70</v>
      </c>
      <c r="AG1051" t="str">
        <f>IF(AF1051="","",IF(AF1051&gt;90,"Sangat baik",IF(AF1051&gt;79,"Baik",IF(AF1051&gt;=pub_gid_0_single_true_output_csv[[#This Row],[KKM]],"Cukup","Kurang"))))</f>
        <v>Cukup</v>
      </c>
      <c r="AH1051">
        <f t="shared" si="49"/>
        <v>11</v>
      </c>
      <c r="AI1051" s="30" t="str">
        <f>IF(OR(J1051&lt;&gt;"Karakter",pub_gid_0_single_true_output_csv[[#This Row],[Nilai2]]=""),"",IF(AF1051&gt;89,"Sangat baik",IF(AF1051&gt;79,"Baik",IF(AF1051&gt;69,"Cukup",IF(AF1051&gt;59,"Kurang","Sangat kurang")))))</f>
        <v/>
      </c>
      <c r="AJ1051" t="str">
        <f t="shared" si="50"/>
        <v>Wk.6</v>
      </c>
      <c r="AK1051" t="str">
        <f>IF(pub_gid_0_single_true_output_csv[[#This Row],[Nilai2]]="","",VLOOKUP(pub_gid_0_single_true_output_csv[[#This Row],[NAMA]],Table7[],3,FALSE))</f>
        <v>Extremely low</v>
      </c>
    </row>
    <row r="1052" spans="1:37" x14ac:dyDescent="0.2">
      <c r="A1052">
        <v>1051</v>
      </c>
      <c r="B1052" t="s">
        <v>288</v>
      </c>
      <c r="C1052" t="s">
        <v>54</v>
      </c>
      <c r="D1052" t="s">
        <v>35</v>
      </c>
      <c r="E1052" t="s">
        <v>140</v>
      </c>
      <c r="F1052" s="25">
        <v>46055</v>
      </c>
      <c r="G1052" t="s">
        <v>379</v>
      </c>
      <c r="H1052" t="s">
        <v>412</v>
      </c>
      <c r="I1052" t="s">
        <v>371</v>
      </c>
      <c r="J1052" t="s">
        <v>31</v>
      </c>
      <c r="K1052" t="s">
        <v>96</v>
      </c>
      <c r="L1052" t="s">
        <v>351</v>
      </c>
      <c r="M1052" t="s">
        <v>141</v>
      </c>
      <c r="N1052" t="s">
        <v>142</v>
      </c>
      <c r="O1052" t="s">
        <v>155</v>
      </c>
      <c r="P1052" t="s">
        <v>281</v>
      </c>
      <c r="Q1052" t="s">
        <v>155</v>
      </c>
      <c r="R1052" t="s">
        <v>302</v>
      </c>
      <c r="S1052" t="s">
        <v>345</v>
      </c>
      <c r="T1052">
        <v>1</v>
      </c>
      <c r="U1052" t="s">
        <v>431</v>
      </c>
      <c r="V1052" t="s">
        <v>343</v>
      </c>
      <c r="W1052" t="s">
        <v>434</v>
      </c>
      <c r="X1052" t="s">
        <v>306</v>
      </c>
      <c r="Y1052" t="s">
        <v>307</v>
      </c>
      <c r="Z1052">
        <v>65</v>
      </c>
      <c r="AA1052">
        <v>70</v>
      </c>
      <c r="AB1052" t="s">
        <v>143</v>
      </c>
      <c r="AC1052" t="s">
        <v>336</v>
      </c>
      <c r="AD1052" t="s">
        <v>278</v>
      </c>
      <c r="AE1052" t="str">
        <f>IF(AF1052="","",VLOOKUP(AC1052,mapel!$A$2:$B$42,2,FALSE))</f>
        <v>Pancasila</v>
      </c>
      <c r="AF1052">
        <f t="shared" si="48"/>
        <v>70</v>
      </c>
      <c r="AG1052" t="str">
        <f>IF(AF1052="","",IF(AF1052&gt;90,"Sangat baik",IF(AF1052&gt;79,"Baik",IF(AF1052&gt;=pub_gid_0_single_true_output_csv[[#This Row],[KKM]],"Cukup","Kurang"))))</f>
        <v>Cukup</v>
      </c>
      <c r="AH1052">
        <f t="shared" si="49"/>
        <v>11</v>
      </c>
      <c r="AI1052" s="30" t="str">
        <f>IF(OR(J1052&lt;&gt;"Karakter",pub_gid_0_single_true_output_csv[[#This Row],[Nilai2]]=""),"",IF(AF1052&gt;89,"Sangat baik",IF(AF1052&gt;79,"Baik",IF(AF1052&gt;69,"Cukup",IF(AF1052&gt;59,"Kurang","Sangat kurang")))))</f>
        <v/>
      </c>
      <c r="AJ1052" t="str">
        <f t="shared" si="50"/>
        <v>Wk.6</v>
      </c>
      <c r="AK1052" t="str">
        <f>IF(pub_gid_0_single_true_output_csv[[#This Row],[Nilai2]]="","",VLOOKUP(pub_gid_0_single_true_output_csv[[#This Row],[NAMA]],Table7[],3,FALSE))</f>
        <v>Extremely low</v>
      </c>
    </row>
    <row r="1053" spans="1:37" x14ac:dyDescent="0.2">
      <c r="A1053">
        <v>1052</v>
      </c>
      <c r="B1053" t="s">
        <v>288</v>
      </c>
      <c r="C1053" t="s">
        <v>54</v>
      </c>
      <c r="D1053" t="s">
        <v>35</v>
      </c>
      <c r="E1053" t="s">
        <v>140</v>
      </c>
      <c r="F1053" s="25">
        <v>46055</v>
      </c>
      <c r="G1053" t="s">
        <v>379</v>
      </c>
      <c r="H1053" t="s">
        <v>412</v>
      </c>
      <c r="I1053" t="s">
        <v>371</v>
      </c>
      <c r="J1053" t="s">
        <v>36</v>
      </c>
      <c r="K1053" t="s">
        <v>37</v>
      </c>
      <c r="L1053" t="s">
        <v>324</v>
      </c>
      <c r="M1053" t="s">
        <v>141</v>
      </c>
      <c r="N1053" t="s">
        <v>142</v>
      </c>
      <c r="O1053" t="s">
        <v>155</v>
      </c>
      <c r="P1053" t="s">
        <v>281</v>
      </c>
      <c r="Q1053" t="s">
        <v>155</v>
      </c>
      <c r="R1053" t="s">
        <v>302</v>
      </c>
      <c r="S1053" t="s">
        <v>345</v>
      </c>
      <c r="T1053">
        <v>1</v>
      </c>
      <c r="U1053" t="s">
        <v>431</v>
      </c>
      <c r="V1053" t="s">
        <v>343</v>
      </c>
      <c r="W1053" t="s">
        <v>434</v>
      </c>
      <c r="X1053" t="s">
        <v>306</v>
      </c>
      <c r="Y1053" t="s">
        <v>307</v>
      </c>
      <c r="Z1053">
        <v>65</v>
      </c>
      <c r="AA1053">
        <v>67</v>
      </c>
      <c r="AB1053" t="s">
        <v>143</v>
      </c>
      <c r="AC1053" t="s">
        <v>336</v>
      </c>
      <c r="AD1053" t="s">
        <v>278</v>
      </c>
      <c r="AE1053" t="str">
        <f>IF(AF1053="","",VLOOKUP(AC1053,mapel!$A$2:$B$42,2,FALSE))</f>
        <v>Pancasila</v>
      </c>
      <c r="AF1053">
        <f t="shared" si="48"/>
        <v>67</v>
      </c>
      <c r="AG1053" t="str">
        <f>IF(AF1053="","",IF(AF1053&gt;90,"Sangat baik",IF(AF1053&gt;79,"Baik",IF(AF1053&gt;=pub_gid_0_single_true_output_csv[[#This Row],[KKM]],"Cukup","Kurang"))))</f>
        <v>Cukup</v>
      </c>
      <c r="AH1053">
        <f t="shared" si="49"/>
        <v>11</v>
      </c>
      <c r="AI1053" s="30" t="str">
        <f>IF(OR(J1053&lt;&gt;"Karakter",pub_gid_0_single_true_output_csv[[#This Row],[Nilai2]]=""),"",IF(AF1053&gt;89,"Sangat baik",IF(AF1053&gt;79,"Baik",IF(AF1053&gt;69,"Cukup",IF(AF1053&gt;59,"Kurang","Sangat kurang")))))</f>
        <v/>
      </c>
      <c r="AJ1053" t="str">
        <f t="shared" si="50"/>
        <v>Wk.6</v>
      </c>
      <c r="AK1053" t="str">
        <f>IF(pub_gid_0_single_true_output_csv[[#This Row],[Nilai2]]="","",VLOOKUP(pub_gid_0_single_true_output_csv[[#This Row],[NAMA]],Table7[],3,FALSE))</f>
        <v>Extremely low</v>
      </c>
    </row>
    <row r="1054" spans="1:37" x14ac:dyDescent="0.2">
      <c r="A1054">
        <v>1053</v>
      </c>
      <c r="B1054" t="s">
        <v>288</v>
      </c>
      <c r="C1054" t="s">
        <v>54</v>
      </c>
      <c r="D1054" t="s">
        <v>35</v>
      </c>
      <c r="E1054" t="s">
        <v>140</v>
      </c>
      <c r="F1054" s="25">
        <v>46062</v>
      </c>
      <c r="G1054" t="s">
        <v>376</v>
      </c>
      <c r="H1054" t="s">
        <v>412</v>
      </c>
      <c r="I1054" t="s">
        <v>371</v>
      </c>
      <c r="J1054" t="s">
        <v>36</v>
      </c>
      <c r="K1054" t="s">
        <v>362</v>
      </c>
      <c r="L1054" t="s">
        <v>363</v>
      </c>
      <c r="M1054" t="s">
        <v>141</v>
      </c>
      <c r="N1054" t="s">
        <v>142</v>
      </c>
      <c r="O1054" t="s">
        <v>155</v>
      </c>
      <c r="P1054" t="s">
        <v>281</v>
      </c>
      <c r="Q1054" t="s">
        <v>155</v>
      </c>
      <c r="R1054" t="s">
        <v>302</v>
      </c>
      <c r="S1054" t="s">
        <v>309</v>
      </c>
      <c r="T1054">
        <v>1</v>
      </c>
      <c r="U1054" t="s">
        <v>431</v>
      </c>
      <c r="V1054" t="s">
        <v>285</v>
      </c>
      <c r="W1054" t="s">
        <v>432</v>
      </c>
      <c r="X1054" t="s">
        <v>306</v>
      </c>
      <c r="Y1054" t="s">
        <v>307</v>
      </c>
      <c r="Z1054">
        <v>65</v>
      </c>
      <c r="AA1054">
        <v>68</v>
      </c>
      <c r="AB1054" t="s">
        <v>143</v>
      </c>
      <c r="AC1054" t="s">
        <v>336</v>
      </c>
      <c r="AD1054" t="s">
        <v>278</v>
      </c>
      <c r="AE1054" t="str">
        <f>IF(AF1054="","",VLOOKUP(AC1054,mapel!$A$2:$B$42,2,FALSE))</f>
        <v>Pancasila</v>
      </c>
      <c r="AF1054">
        <f t="shared" si="48"/>
        <v>68</v>
      </c>
      <c r="AG1054" t="str">
        <f>IF(AF1054="","",IF(AF1054&gt;90,"Sangat baik",IF(AF1054&gt;79,"Baik",IF(AF1054&gt;=pub_gid_0_single_true_output_csv[[#This Row],[KKM]],"Cukup","Kurang"))))</f>
        <v>Cukup</v>
      </c>
      <c r="AH1054">
        <f t="shared" si="49"/>
        <v>11</v>
      </c>
      <c r="AI1054" s="30" t="str">
        <f>IF(OR(J1054&lt;&gt;"Karakter",pub_gid_0_single_true_output_csv[[#This Row],[Nilai2]]=""),"",IF(AF1054&gt;89,"Sangat baik",IF(AF1054&gt;79,"Baik",IF(AF1054&gt;69,"Cukup",IF(AF1054&gt;59,"Kurang","Sangat kurang")))))</f>
        <v/>
      </c>
      <c r="AJ1054" t="str">
        <f t="shared" si="50"/>
        <v>Wk.7</v>
      </c>
      <c r="AK1054" t="str">
        <f>IF(pub_gid_0_single_true_output_csv[[#This Row],[Nilai2]]="","",VLOOKUP(pub_gid_0_single_true_output_csv[[#This Row],[NAMA]],Table7[],3,FALSE))</f>
        <v>Extremely low</v>
      </c>
    </row>
    <row r="1055" spans="1:37" x14ac:dyDescent="0.2">
      <c r="A1055">
        <v>1054</v>
      </c>
      <c r="B1055" t="s">
        <v>288</v>
      </c>
      <c r="C1055" t="s">
        <v>54</v>
      </c>
      <c r="D1055" t="s">
        <v>35</v>
      </c>
      <c r="E1055" t="s">
        <v>140</v>
      </c>
      <c r="F1055" s="25">
        <v>46062</v>
      </c>
      <c r="G1055" t="s">
        <v>376</v>
      </c>
      <c r="H1055" t="s">
        <v>412</v>
      </c>
      <c r="I1055" t="s">
        <v>371</v>
      </c>
      <c r="J1055" t="s">
        <v>36</v>
      </c>
      <c r="K1055" t="s">
        <v>362</v>
      </c>
      <c r="L1055" t="s">
        <v>363</v>
      </c>
      <c r="M1055" t="s">
        <v>141</v>
      </c>
      <c r="N1055" t="s">
        <v>142</v>
      </c>
      <c r="O1055" t="s">
        <v>155</v>
      </c>
      <c r="P1055" t="s">
        <v>281</v>
      </c>
      <c r="Q1055" t="s">
        <v>155</v>
      </c>
      <c r="R1055" t="s">
        <v>302</v>
      </c>
      <c r="S1055" t="s">
        <v>369</v>
      </c>
      <c r="T1055">
        <v>1</v>
      </c>
      <c r="U1055" t="s">
        <v>431</v>
      </c>
      <c r="V1055" t="s">
        <v>342</v>
      </c>
      <c r="W1055" t="s">
        <v>433</v>
      </c>
      <c r="X1055" t="s">
        <v>306</v>
      </c>
      <c r="Y1055" t="s">
        <v>307</v>
      </c>
      <c r="Z1055">
        <v>65</v>
      </c>
      <c r="AA1055">
        <v>72</v>
      </c>
      <c r="AB1055" t="s">
        <v>143</v>
      </c>
      <c r="AC1055" t="s">
        <v>336</v>
      </c>
      <c r="AD1055" t="s">
        <v>278</v>
      </c>
      <c r="AE1055" t="str">
        <f>IF(AF1055="","",VLOOKUP(AC1055,mapel!$A$2:$B$42,2,FALSE))</f>
        <v>Pancasila</v>
      </c>
      <c r="AF1055">
        <f t="shared" si="48"/>
        <v>72</v>
      </c>
      <c r="AG1055" t="str">
        <f>IF(AF1055="","",IF(AF1055&gt;90,"Sangat baik",IF(AF1055&gt;79,"Baik",IF(AF1055&gt;=pub_gid_0_single_true_output_csv[[#This Row],[KKM]],"Cukup","Kurang"))))</f>
        <v>Cukup</v>
      </c>
      <c r="AH1055">
        <f t="shared" si="49"/>
        <v>11</v>
      </c>
      <c r="AI1055" s="30" t="str">
        <f>IF(OR(J1055&lt;&gt;"Karakter",pub_gid_0_single_true_output_csv[[#This Row],[Nilai2]]=""),"",IF(AF1055&gt;89,"Sangat baik",IF(AF1055&gt;79,"Baik",IF(AF1055&gt;69,"Cukup",IF(AF1055&gt;59,"Kurang","Sangat kurang")))))</f>
        <v/>
      </c>
      <c r="AJ1055" t="str">
        <f t="shared" si="50"/>
        <v>Wk.7</v>
      </c>
      <c r="AK1055" t="str">
        <f>IF(pub_gid_0_single_true_output_csv[[#This Row],[Nilai2]]="","",VLOOKUP(pub_gid_0_single_true_output_csv[[#This Row],[NAMA]],Table7[],3,FALSE))</f>
        <v>Extremely low</v>
      </c>
    </row>
    <row r="1056" spans="1:37" x14ac:dyDescent="0.2">
      <c r="A1056">
        <v>1055</v>
      </c>
      <c r="B1056" t="s">
        <v>288</v>
      </c>
      <c r="C1056" t="s">
        <v>54</v>
      </c>
      <c r="D1056" t="s">
        <v>35</v>
      </c>
      <c r="E1056" t="s">
        <v>140</v>
      </c>
      <c r="F1056" s="25">
        <v>46059</v>
      </c>
      <c r="G1056" t="s">
        <v>349</v>
      </c>
      <c r="H1056" t="s">
        <v>412</v>
      </c>
      <c r="I1056" t="s">
        <v>371</v>
      </c>
      <c r="J1056" t="s">
        <v>41</v>
      </c>
      <c r="K1056" t="s">
        <v>357</v>
      </c>
      <c r="L1056" t="s">
        <v>351</v>
      </c>
      <c r="M1056" t="s">
        <v>141</v>
      </c>
      <c r="N1056" t="s">
        <v>142</v>
      </c>
      <c r="O1056" t="s">
        <v>155</v>
      </c>
      <c r="P1056" t="s">
        <v>281</v>
      </c>
      <c r="Q1056" t="s">
        <v>155</v>
      </c>
      <c r="R1056" t="s">
        <v>302</v>
      </c>
      <c r="S1056" t="s">
        <v>345</v>
      </c>
      <c r="T1056">
        <v>1</v>
      </c>
      <c r="U1056" t="s">
        <v>431</v>
      </c>
      <c r="V1056" t="s">
        <v>343</v>
      </c>
      <c r="W1056" t="s">
        <v>434</v>
      </c>
      <c r="X1056" t="s">
        <v>306</v>
      </c>
      <c r="Y1056" t="s">
        <v>307</v>
      </c>
      <c r="Z1056">
        <v>65</v>
      </c>
      <c r="AA1056">
        <v>65</v>
      </c>
      <c r="AB1056" t="s">
        <v>143</v>
      </c>
      <c r="AC1056" t="s">
        <v>336</v>
      </c>
      <c r="AD1056" t="s">
        <v>278</v>
      </c>
      <c r="AE1056" t="str">
        <f>IF(AF1056="","",VLOOKUP(AC1056,mapel!$A$2:$B$42,2,FALSE))</f>
        <v>Pancasila</v>
      </c>
      <c r="AF1056">
        <f t="shared" si="48"/>
        <v>65</v>
      </c>
      <c r="AG1056" t="str">
        <f>IF(AF1056="","",IF(AF1056&gt;90,"Sangat baik",IF(AF1056&gt;79,"Baik",IF(AF1056&gt;=pub_gid_0_single_true_output_csv[[#This Row],[KKM]],"Cukup","Kurang"))))</f>
        <v>Cukup</v>
      </c>
      <c r="AH1056">
        <f t="shared" si="49"/>
        <v>11</v>
      </c>
      <c r="AI1056" s="30" t="str">
        <f>IF(OR(J1056&lt;&gt;"Karakter",pub_gid_0_single_true_output_csv[[#This Row],[Nilai2]]=""),"",IF(AF1056&gt;89,"Sangat baik",IF(AF1056&gt;79,"Baik",IF(AF1056&gt;69,"Cukup",IF(AF1056&gt;59,"Kurang","Sangat kurang")))))</f>
        <v/>
      </c>
      <c r="AJ1056" t="str">
        <f t="shared" si="50"/>
        <v>Wk.6</v>
      </c>
      <c r="AK1056" t="str">
        <f>IF(pub_gid_0_single_true_output_csv[[#This Row],[Nilai2]]="","",VLOOKUP(pub_gid_0_single_true_output_csv[[#This Row],[NAMA]],Table7[],3,FALSE))</f>
        <v>Extremely low</v>
      </c>
    </row>
    <row r="1057" spans="1:37" x14ac:dyDescent="0.2">
      <c r="A1057">
        <v>1056</v>
      </c>
      <c r="B1057" t="s">
        <v>288</v>
      </c>
      <c r="C1057" t="s">
        <v>54</v>
      </c>
      <c r="D1057" t="s">
        <v>35</v>
      </c>
      <c r="E1057" t="s">
        <v>140</v>
      </c>
      <c r="F1057" s="25">
        <v>46059</v>
      </c>
      <c r="G1057" t="s">
        <v>349</v>
      </c>
      <c r="H1057" t="s">
        <v>412</v>
      </c>
      <c r="I1057" t="s">
        <v>371</v>
      </c>
      <c r="J1057" t="s">
        <v>36</v>
      </c>
      <c r="K1057" t="s">
        <v>37</v>
      </c>
      <c r="L1057" t="s">
        <v>351</v>
      </c>
      <c r="M1057" t="s">
        <v>141</v>
      </c>
      <c r="N1057" t="s">
        <v>142</v>
      </c>
      <c r="O1057" t="s">
        <v>155</v>
      </c>
      <c r="P1057" t="s">
        <v>281</v>
      </c>
      <c r="Q1057" t="s">
        <v>155</v>
      </c>
      <c r="R1057" t="s">
        <v>302</v>
      </c>
      <c r="S1057" t="s">
        <v>345</v>
      </c>
      <c r="T1057">
        <v>1</v>
      </c>
      <c r="U1057" t="s">
        <v>431</v>
      </c>
      <c r="V1057" t="s">
        <v>343</v>
      </c>
      <c r="W1057" t="s">
        <v>434</v>
      </c>
      <c r="X1057" t="s">
        <v>306</v>
      </c>
      <c r="Y1057" t="s">
        <v>307</v>
      </c>
      <c r="Z1057">
        <v>65</v>
      </c>
      <c r="AA1057">
        <v>65</v>
      </c>
      <c r="AB1057" t="s">
        <v>143</v>
      </c>
      <c r="AC1057" t="s">
        <v>336</v>
      </c>
      <c r="AD1057" t="s">
        <v>278</v>
      </c>
      <c r="AE1057" t="str">
        <f>IF(AF1057="","",VLOOKUP(AC1057,mapel!$A$2:$B$42,2,FALSE))</f>
        <v>Pancasila</v>
      </c>
      <c r="AF1057">
        <f t="shared" si="48"/>
        <v>65</v>
      </c>
      <c r="AG1057" t="str">
        <f>IF(AF1057="","",IF(AF1057&gt;90,"Sangat baik",IF(AF1057&gt;79,"Baik",IF(AF1057&gt;=pub_gid_0_single_true_output_csv[[#This Row],[KKM]],"Cukup","Kurang"))))</f>
        <v>Cukup</v>
      </c>
      <c r="AH1057">
        <f t="shared" si="49"/>
        <v>11</v>
      </c>
      <c r="AI1057" s="30" t="str">
        <f>IF(OR(J1057&lt;&gt;"Karakter",pub_gid_0_single_true_output_csv[[#This Row],[Nilai2]]=""),"",IF(AF1057&gt;89,"Sangat baik",IF(AF1057&gt;79,"Baik",IF(AF1057&gt;69,"Cukup",IF(AF1057&gt;59,"Kurang","Sangat kurang")))))</f>
        <v/>
      </c>
      <c r="AJ1057" t="str">
        <f t="shared" si="50"/>
        <v>Wk.6</v>
      </c>
      <c r="AK1057" t="str">
        <f>IF(pub_gid_0_single_true_output_csv[[#This Row],[Nilai2]]="","",VLOOKUP(pub_gid_0_single_true_output_csv[[#This Row],[NAMA]],Table7[],3,FALSE))</f>
        <v>Extremely low</v>
      </c>
    </row>
    <row r="1058" spans="1:37" x14ac:dyDescent="0.2">
      <c r="A1058">
        <v>1057</v>
      </c>
      <c r="B1058" t="s">
        <v>294</v>
      </c>
      <c r="C1058" t="s">
        <v>54</v>
      </c>
      <c r="D1058" t="s">
        <v>46</v>
      </c>
      <c r="E1058" t="s">
        <v>148</v>
      </c>
      <c r="F1058" s="25">
        <v>46034</v>
      </c>
      <c r="G1058" t="s">
        <v>354</v>
      </c>
      <c r="H1058" t="s">
        <v>405</v>
      </c>
      <c r="I1058" t="s">
        <v>371</v>
      </c>
      <c r="J1058" t="s">
        <v>90</v>
      </c>
      <c r="K1058" t="s">
        <v>92</v>
      </c>
      <c r="L1058" t="s">
        <v>398</v>
      </c>
      <c r="M1058" t="s">
        <v>141</v>
      </c>
      <c r="N1058" t="s">
        <v>142</v>
      </c>
      <c r="O1058" t="s">
        <v>155</v>
      </c>
      <c r="P1058" t="s">
        <v>281</v>
      </c>
      <c r="Q1058" t="s">
        <v>155</v>
      </c>
      <c r="R1058" t="s">
        <v>302</v>
      </c>
      <c r="S1058" t="s">
        <v>309</v>
      </c>
      <c r="T1058">
        <v>1</v>
      </c>
      <c r="U1058" t="s">
        <v>431</v>
      </c>
      <c r="V1058" t="s">
        <v>285</v>
      </c>
      <c r="W1058" t="s">
        <v>432</v>
      </c>
      <c r="X1058" t="s">
        <v>306</v>
      </c>
      <c r="Y1058" t="s">
        <v>307</v>
      </c>
      <c r="Z1058">
        <v>65</v>
      </c>
      <c r="AA1058">
        <v>75</v>
      </c>
      <c r="AB1058" t="s">
        <v>143</v>
      </c>
      <c r="AC1058" t="s">
        <v>336</v>
      </c>
      <c r="AD1058" t="s">
        <v>278</v>
      </c>
      <c r="AE1058" t="str">
        <f>IF(AF1058="","",VLOOKUP(AC1058,mapel!$A$2:$B$42,2,FALSE))</f>
        <v>Pancasila</v>
      </c>
      <c r="AF1058">
        <f t="shared" si="48"/>
        <v>75</v>
      </c>
      <c r="AG1058" t="str">
        <f>IF(AF1058="","",IF(AF1058&gt;90,"Sangat baik",IF(AF1058&gt;79,"Baik",IF(AF1058&gt;=pub_gid_0_single_true_output_csv[[#This Row],[KKM]],"Cukup","Kurang"))))</f>
        <v>Cukup</v>
      </c>
      <c r="AH1058">
        <f t="shared" si="49"/>
        <v>11</v>
      </c>
      <c r="AI1058" s="30" t="str">
        <f>IF(OR(J1058&lt;&gt;"Karakter",pub_gid_0_single_true_output_csv[[#This Row],[Nilai2]]=""),"",IF(AF1058&gt;89,"Sangat baik",IF(AF1058&gt;79,"Baik",IF(AF1058&gt;69,"Cukup",IF(AF1058&gt;59,"Kurang","Sangat kurang")))))</f>
        <v>Cukup</v>
      </c>
      <c r="AJ1058" t="str">
        <f t="shared" si="50"/>
        <v>Wk.3</v>
      </c>
      <c r="AK1058" t="str">
        <f>IF(pub_gid_0_single_true_output_csv[[#This Row],[Nilai2]]="","",VLOOKUP(pub_gid_0_single_true_output_csv[[#This Row],[NAMA]],Table7[],3,FALSE))</f>
        <v>Average</v>
      </c>
    </row>
    <row r="1059" spans="1:37" x14ac:dyDescent="0.2">
      <c r="A1059">
        <v>1058</v>
      </c>
      <c r="B1059" t="s">
        <v>294</v>
      </c>
      <c r="C1059" t="s">
        <v>54</v>
      </c>
      <c r="D1059" t="s">
        <v>46</v>
      </c>
      <c r="E1059" t="s">
        <v>148</v>
      </c>
      <c r="F1059" s="25">
        <v>46034</v>
      </c>
      <c r="G1059" t="s">
        <v>354</v>
      </c>
      <c r="H1059" t="s">
        <v>405</v>
      </c>
      <c r="I1059" t="s">
        <v>371</v>
      </c>
      <c r="J1059" t="s">
        <v>36</v>
      </c>
      <c r="K1059" t="s">
        <v>37</v>
      </c>
      <c r="L1059" t="s">
        <v>150</v>
      </c>
      <c r="M1059" t="s">
        <v>141</v>
      </c>
      <c r="N1059" t="s">
        <v>142</v>
      </c>
      <c r="O1059" t="s">
        <v>155</v>
      </c>
      <c r="P1059" t="s">
        <v>281</v>
      </c>
      <c r="Q1059" t="s">
        <v>155</v>
      </c>
      <c r="R1059" t="s">
        <v>302</v>
      </c>
      <c r="S1059" t="s">
        <v>309</v>
      </c>
      <c r="T1059">
        <v>1</v>
      </c>
      <c r="U1059" t="s">
        <v>431</v>
      </c>
      <c r="V1059" t="s">
        <v>285</v>
      </c>
      <c r="W1059" t="s">
        <v>432</v>
      </c>
      <c r="X1059" t="s">
        <v>306</v>
      </c>
      <c r="Y1059" t="s">
        <v>307</v>
      </c>
      <c r="Z1059">
        <v>65</v>
      </c>
      <c r="AA1059">
        <v>62</v>
      </c>
      <c r="AB1059" t="s">
        <v>151</v>
      </c>
      <c r="AC1059" t="s">
        <v>336</v>
      </c>
      <c r="AD1059" t="s">
        <v>278</v>
      </c>
      <c r="AE1059" t="str">
        <f>IF(AF1059="","",VLOOKUP(AC1059,mapel!$A$2:$B$42,2,FALSE))</f>
        <v>Pancasila</v>
      </c>
      <c r="AF1059">
        <f t="shared" si="48"/>
        <v>62</v>
      </c>
      <c r="AG1059" t="str">
        <f>IF(AF1059="","",IF(AF1059&gt;90,"Sangat baik",IF(AF1059&gt;79,"Baik",IF(AF1059&gt;=pub_gid_0_single_true_output_csv[[#This Row],[KKM]],"Cukup","Kurang"))))</f>
        <v>Kurang</v>
      </c>
      <c r="AH1059">
        <f t="shared" si="49"/>
        <v>11</v>
      </c>
      <c r="AI1059" s="30" t="str">
        <f>IF(OR(J1059&lt;&gt;"Karakter",pub_gid_0_single_true_output_csv[[#This Row],[Nilai2]]=""),"",IF(AF1059&gt;89,"Sangat baik",IF(AF1059&gt;79,"Baik",IF(AF1059&gt;69,"Cukup",IF(AF1059&gt;59,"Kurang","Sangat kurang")))))</f>
        <v/>
      </c>
      <c r="AJ1059" t="str">
        <f t="shared" si="50"/>
        <v>Wk.3</v>
      </c>
      <c r="AK1059" t="str">
        <f>IF(pub_gid_0_single_true_output_csv[[#This Row],[Nilai2]]="","",VLOOKUP(pub_gid_0_single_true_output_csv[[#This Row],[NAMA]],Table7[],3,FALSE))</f>
        <v>Average</v>
      </c>
    </row>
    <row r="1060" spans="1:37" x14ac:dyDescent="0.2">
      <c r="A1060">
        <v>1059</v>
      </c>
      <c r="B1060" t="s">
        <v>294</v>
      </c>
      <c r="C1060" t="s">
        <v>54</v>
      </c>
      <c r="D1060" t="s">
        <v>46</v>
      </c>
      <c r="E1060" t="s">
        <v>148</v>
      </c>
      <c r="F1060" s="25">
        <v>46034</v>
      </c>
      <c r="G1060" t="s">
        <v>354</v>
      </c>
      <c r="H1060" t="s">
        <v>405</v>
      </c>
      <c r="I1060" t="s">
        <v>371</v>
      </c>
      <c r="J1060" t="s">
        <v>31</v>
      </c>
      <c r="K1060" t="s">
        <v>32</v>
      </c>
      <c r="L1060" t="s">
        <v>150</v>
      </c>
      <c r="M1060" t="s">
        <v>141</v>
      </c>
      <c r="N1060" t="s">
        <v>142</v>
      </c>
      <c r="O1060" t="s">
        <v>155</v>
      </c>
      <c r="P1060" t="s">
        <v>281</v>
      </c>
      <c r="Q1060" t="s">
        <v>155</v>
      </c>
      <c r="R1060" t="s">
        <v>302</v>
      </c>
      <c r="S1060" t="s">
        <v>309</v>
      </c>
      <c r="T1060">
        <v>1</v>
      </c>
      <c r="U1060" t="s">
        <v>431</v>
      </c>
      <c r="V1060" t="s">
        <v>285</v>
      </c>
      <c r="W1060" t="s">
        <v>432</v>
      </c>
      <c r="X1060" t="s">
        <v>306</v>
      </c>
      <c r="Y1060" t="s">
        <v>307</v>
      </c>
      <c r="Z1060">
        <v>65</v>
      </c>
      <c r="AA1060">
        <v>63</v>
      </c>
      <c r="AB1060" t="s">
        <v>151</v>
      </c>
      <c r="AC1060" t="s">
        <v>336</v>
      </c>
      <c r="AD1060" t="s">
        <v>278</v>
      </c>
      <c r="AE1060" t="str">
        <f>IF(AF1060="","",VLOOKUP(AC1060,mapel!$A$2:$B$42,2,FALSE))</f>
        <v>Pancasila</v>
      </c>
      <c r="AF1060">
        <f t="shared" si="48"/>
        <v>63</v>
      </c>
      <c r="AG1060" t="str">
        <f>IF(AF1060="","",IF(AF1060&gt;90,"Sangat baik",IF(AF1060&gt;79,"Baik",IF(AF1060&gt;=pub_gid_0_single_true_output_csv[[#This Row],[KKM]],"Cukup","Kurang"))))</f>
        <v>Kurang</v>
      </c>
      <c r="AH1060">
        <f t="shared" si="49"/>
        <v>11</v>
      </c>
      <c r="AI1060" s="30" t="str">
        <f>IF(OR(J1060&lt;&gt;"Karakter",pub_gid_0_single_true_output_csv[[#This Row],[Nilai2]]=""),"",IF(AF1060&gt;89,"Sangat baik",IF(AF1060&gt;79,"Baik",IF(AF1060&gt;69,"Cukup",IF(AF1060&gt;59,"Kurang","Sangat kurang")))))</f>
        <v/>
      </c>
      <c r="AJ1060" t="str">
        <f t="shared" si="50"/>
        <v>Wk.3</v>
      </c>
      <c r="AK1060" t="str">
        <f>IF(pub_gid_0_single_true_output_csv[[#This Row],[Nilai2]]="","",VLOOKUP(pub_gid_0_single_true_output_csv[[#This Row],[NAMA]],Table7[],3,FALSE))</f>
        <v>Average</v>
      </c>
    </row>
    <row r="1061" spans="1:37" x14ac:dyDescent="0.2">
      <c r="A1061">
        <v>1060</v>
      </c>
      <c r="B1061" t="s">
        <v>294</v>
      </c>
      <c r="C1061" t="s">
        <v>54</v>
      </c>
      <c r="D1061" t="s">
        <v>46</v>
      </c>
      <c r="E1061" t="s">
        <v>148</v>
      </c>
      <c r="F1061" s="25">
        <v>46034</v>
      </c>
      <c r="G1061" t="s">
        <v>354</v>
      </c>
      <c r="H1061" t="s">
        <v>405</v>
      </c>
      <c r="I1061" t="s">
        <v>371</v>
      </c>
      <c r="J1061" t="s">
        <v>279</v>
      </c>
      <c r="K1061" t="s">
        <v>280</v>
      </c>
      <c r="L1061" t="s">
        <v>322</v>
      </c>
      <c r="M1061" t="s">
        <v>141</v>
      </c>
      <c r="N1061" t="s">
        <v>142</v>
      </c>
      <c r="O1061" t="s">
        <v>155</v>
      </c>
      <c r="P1061" t="s">
        <v>281</v>
      </c>
      <c r="Q1061" t="s">
        <v>155</v>
      </c>
      <c r="R1061" t="s">
        <v>302</v>
      </c>
      <c r="S1061" t="s">
        <v>309</v>
      </c>
      <c r="T1061">
        <v>1</v>
      </c>
      <c r="U1061" t="s">
        <v>431</v>
      </c>
      <c r="V1061" t="s">
        <v>285</v>
      </c>
      <c r="W1061" t="s">
        <v>432</v>
      </c>
      <c r="X1061" t="s">
        <v>306</v>
      </c>
      <c r="Y1061" t="s">
        <v>307</v>
      </c>
      <c r="Z1061">
        <v>65</v>
      </c>
      <c r="AA1061">
        <v>65</v>
      </c>
      <c r="AB1061" t="s">
        <v>143</v>
      </c>
      <c r="AC1061" t="s">
        <v>336</v>
      </c>
      <c r="AD1061" t="s">
        <v>278</v>
      </c>
      <c r="AE1061" t="str">
        <f>IF(AF1061="","",VLOOKUP(AC1061,mapel!$A$2:$B$42,2,FALSE))</f>
        <v>Pancasila</v>
      </c>
      <c r="AF1061">
        <f t="shared" si="48"/>
        <v>65</v>
      </c>
      <c r="AG1061" t="str">
        <f>IF(AF1061="","",IF(AF1061&gt;90,"Sangat baik",IF(AF1061&gt;79,"Baik",IF(AF1061&gt;=pub_gid_0_single_true_output_csv[[#This Row],[KKM]],"Cukup","Kurang"))))</f>
        <v>Cukup</v>
      </c>
      <c r="AH1061">
        <f t="shared" si="49"/>
        <v>11</v>
      </c>
      <c r="AI1061" s="30" t="str">
        <f>IF(OR(J1061&lt;&gt;"Karakter",pub_gid_0_single_true_output_csv[[#This Row],[Nilai2]]=""),"",IF(AF1061&gt;89,"Sangat baik",IF(AF1061&gt;79,"Baik",IF(AF1061&gt;69,"Cukup",IF(AF1061&gt;59,"Kurang","Sangat kurang")))))</f>
        <v/>
      </c>
      <c r="AJ1061" t="str">
        <f t="shared" si="50"/>
        <v>Wk.3</v>
      </c>
      <c r="AK1061" t="str">
        <f>IF(pub_gid_0_single_true_output_csv[[#This Row],[Nilai2]]="","",VLOOKUP(pub_gid_0_single_true_output_csv[[#This Row],[NAMA]],Table7[],3,FALSE))</f>
        <v>Average</v>
      </c>
    </row>
    <row r="1062" spans="1:37" x14ac:dyDescent="0.2">
      <c r="A1062">
        <v>1061</v>
      </c>
      <c r="B1062" t="s">
        <v>294</v>
      </c>
      <c r="C1062" t="s">
        <v>54</v>
      </c>
      <c r="D1062" t="s">
        <v>46</v>
      </c>
      <c r="E1062" t="s">
        <v>148</v>
      </c>
      <c r="F1062" s="25">
        <v>46048</v>
      </c>
      <c r="G1062" t="s">
        <v>371</v>
      </c>
      <c r="H1062" t="s">
        <v>405</v>
      </c>
      <c r="I1062" t="s">
        <v>371</v>
      </c>
      <c r="J1062" t="s">
        <v>36</v>
      </c>
      <c r="K1062" t="s">
        <v>37</v>
      </c>
      <c r="L1062" t="s">
        <v>351</v>
      </c>
      <c r="M1062" t="s">
        <v>141</v>
      </c>
      <c r="N1062" t="s">
        <v>142</v>
      </c>
      <c r="O1062" t="s">
        <v>155</v>
      </c>
      <c r="P1062" t="s">
        <v>281</v>
      </c>
      <c r="Q1062" t="s">
        <v>155</v>
      </c>
      <c r="R1062" t="s">
        <v>302</v>
      </c>
      <c r="S1062" t="s">
        <v>369</v>
      </c>
      <c r="T1062">
        <v>1</v>
      </c>
      <c r="U1062" t="s">
        <v>431</v>
      </c>
      <c r="V1062" t="s">
        <v>342</v>
      </c>
      <c r="W1062" t="s">
        <v>433</v>
      </c>
      <c r="X1062" t="s">
        <v>306</v>
      </c>
      <c r="Y1062" t="s">
        <v>307</v>
      </c>
      <c r="Z1062">
        <v>65</v>
      </c>
      <c r="AA1062">
        <v>73</v>
      </c>
      <c r="AB1062" t="s">
        <v>143</v>
      </c>
      <c r="AC1062" t="s">
        <v>336</v>
      </c>
      <c r="AD1062" t="s">
        <v>278</v>
      </c>
      <c r="AE1062" t="str">
        <f>IF(AF1062="","",VLOOKUP(AC1062,mapel!$A$2:$B$42,2,FALSE))</f>
        <v>Pancasila</v>
      </c>
      <c r="AF1062">
        <f t="shared" si="48"/>
        <v>73</v>
      </c>
      <c r="AG1062" t="str">
        <f>IF(AF1062="","",IF(AF1062&gt;90,"Sangat baik",IF(AF1062&gt;79,"Baik",IF(AF1062&gt;=pub_gid_0_single_true_output_csv[[#This Row],[KKM]],"Cukup","Kurang"))))</f>
        <v>Cukup</v>
      </c>
      <c r="AH1062">
        <f t="shared" si="49"/>
        <v>11</v>
      </c>
      <c r="AI1062" s="30" t="str">
        <f>IF(OR(J1062&lt;&gt;"Karakter",pub_gid_0_single_true_output_csv[[#This Row],[Nilai2]]=""),"",IF(AF1062&gt;89,"Sangat baik",IF(AF1062&gt;79,"Baik",IF(AF1062&gt;69,"Cukup",IF(AF1062&gt;59,"Kurang","Sangat kurang")))))</f>
        <v/>
      </c>
      <c r="AJ1062" t="str">
        <f t="shared" si="50"/>
        <v>Wk.5</v>
      </c>
      <c r="AK1062" t="str">
        <f>IF(pub_gid_0_single_true_output_csv[[#This Row],[Nilai2]]="","",VLOOKUP(pub_gid_0_single_true_output_csv[[#This Row],[NAMA]],Table7[],3,FALSE))</f>
        <v>Average</v>
      </c>
    </row>
    <row r="1063" spans="1:37" x14ac:dyDescent="0.2">
      <c r="A1063">
        <v>1062</v>
      </c>
      <c r="B1063" t="s">
        <v>294</v>
      </c>
      <c r="C1063" t="s">
        <v>54</v>
      </c>
      <c r="D1063" t="s">
        <v>46</v>
      </c>
      <c r="E1063" t="s">
        <v>148</v>
      </c>
      <c r="F1063" s="25">
        <v>46048</v>
      </c>
      <c r="G1063" t="s">
        <v>371</v>
      </c>
      <c r="H1063" t="s">
        <v>405</v>
      </c>
      <c r="I1063" t="s">
        <v>371</v>
      </c>
      <c r="J1063" t="s">
        <v>31</v>
      </c>
      <c r="K1063" t="s">
        <v>96</v>
      </c>
      <c r="L1063" t="s">
        <v>351</v>
      </c>
      <c r="M1063" t="s">
        <v>141</v>
      </c>
      <c r="N1063" t="s">
        <v>142</v>
      </c>
      <c r="O1063" t="s">
        <v>155</v>
      </c>
      <c r="P1063" t="s">
        <v>281</v>
      </c>
      <c r="Q1063" t="s">
        <v>155</v>
      </c>
      <c r="R1063" t="s">
        <v>302</v>
      </c>
      <c r="S1063" t="s">
        <v>369</v>
      </c>
      <c r="T1063">
        <v>1</v>
      </c>
      <c r="U1063" t="s">
        <v>431</v>
      </c>
      <c r="V1063" t="s">
        <v>342</v>
      </c>
      <c r="W1063" t="s">
        <v>433</v>
      </c>
      <c r="X1063" t="s">
        <v>306</v>
      </c>
      <c r="Y1063" t="s">
        <v>307</v>
      </c>
      <c r="Z1063">
        <v>65</v>
      </c>
      <c r="AA1063">
        <v>70</v>
      </c>
      <c r="AB1063" t="s">
        <v>143</v>
      </c>
      <c r="AC1063" t="s">
        <v>336</v>
      </c>
      <c r="AD1063" t="s">
        <v>278</v>
      </c>
      <c r="AE1063" t="str">
        <f>IF(AF1063="","",VLOOKUP(AC1063,mapel!$A$2:$B$42,2,FALSE))</f>
        <v>Pancasila</v>
      </c>
      <c r="AF1063">
        <f t="shared" si="48"/>
        <v>70</v>
      </c>
      <c r="AG1063" t="str">
        <f>IF(AF1063="","",IF(AF1063&gt;90,"Sangat baik",IF(AF1063&gt;79,"Baik",IF(AF1063&gt;=pub_gid_0_single_true_output_csv[[#This Row],[KKM]],"Cukup","Kurang"))))</f>
        <v>Cukup</v>
      </c>
      <c r="AH1063">
        <f t="shared" si="49"/>
        <v>11</v>
      </c>
      <c r="AI1063" s="30" t="str">
        <f>IF(OR(J1063&lt;&gt;"Karakter",pub_gid_0_single_true_output_csv[[#This Row],[Nilai2]]=""),"",IF(AF1063&gt;89,"Sangat baik",IF(AF1063&gt;79,"Baik",IF(AF1063&gt;69,"Cukup",IF(AF1063&gt;59,"Kurang","Sangat kurang")))))</f>
        <v/>
      </c>
      <c r="AJ1063" t="str">
        <f t="shared" si="50"/>
        <v>Wk.5</v>
      </c>
      <c r="AK1063" t="str">
        <f>IF(pub_gid_0_single_true_output_csv[[#This Row],[Nilai2]]="","",VLOOKUP(pub_gid_0_single_true_output_csv[[#This Row],[NAMA]],Table7[],3,FALSE))</f>
        <v>Average</v>
      </c>
    </row>
    <row r="1064" spans="1:37" x14ac:dyDescent="0.2">
      <c r="A1064">
        <v>1063</v>
      </c>
      <c r="B1064" t="s">
        <v>294</v>
      </c>
      <c r="C1064" t="s">
        <v>54</v>
      </c>
      <c r="D1064" t="s">
        <v>46</v>
      </c>
      <c r="E1064" t="s">
        <v>148</v>
      </c>
      <c r="F1064" s="25">
        <v>46048</v>
      </c>
      <c r="G1064" t="s">
        <v>371</v>
      </c>
      <c r="H1064" t="s">
        <v>405</v>
      </c>
      <c r="I1064" t="s">
        <v>371</v>
      </c>
      <c r="J1064" t="s">
        <v>90</v>
      </c>
      <c r="K1064" t="s">
        <v>377</v>
      </c>
      <c r="L1064" t="s">
        <v>378</v>
      </c>
      <c r="M1064" t="s">
        <v>141</v>
      </c>
      <c r="N1064" t="s">
        <v>142</v>
      </c>
      <c r="O1064" t="s">
        <v>155</v>
      </c>
      <c r="P1064" t="s">
        <v>281</v>
      </c>
      <c r="Q1064" t="s">
        <v>155</v>
      </c>
      <c r="R1064" t="s">
        <v>302</v>
      </c>
      <c r="S1064" t="s">
        <v>369</v>
      </c>
      <c r="T1064">
        <v>1</v>
      </c>
      <c r="U1064" t="s">
        <v>431</v>
      </c>
      <c r="V1064" t="s">
        <v>342</v>
      </c>
      <c r="W1064" t="s">
        <v>433</v>
      </c>
      <c r="X1064" t="s">
        <v>306</v>
      </c>
      <c r="Y1064" t="s">
        <v>307</v>
      </c>
      <c r="Z1064">
        <v>65</v>
      </c>
      <c r="AA1064">
        <v>70</v>
      </c>
      <c r="AB1064" t="s">
        <v>143</v>
      </c>
      <c r="AC1064" t="s">
        <v>336</v>
      </c>
      <c r="AD1064" t="s">
        <v>278</v>
      </c>
      <c r="AE1064" t="str">
        <f>IF(AF1064="","",VLOOKUP(AC1064,mapel!$A$2:$B$42,2,FALSE))</f>
        <v>Pancasila</v>
      </c>
      <c r="AF1064">
        <f t="shared" si="48"/>
        <v>70</v>
      </c>
      <c r="AG1064" t="str">
        <f>IF(AF1064="","",IF(AF1064&gt;90,"Sangat baik",IF(AF1064&gt;79,"Baik",IF(AF1064&gt;=pub_gid_0_single_true_output_csv[[#This Row],[KKM]],"Cukup","Kurang"))))</f>
        <v>Cukup</v>
      </c>
      <c r="AH1064">
        <f t="shared" si="49"/>
        <v>11</v>
      </c>
      <c r="AI1064" s="30" t="str">
        <f>IF(OR(J1064&lt;&gt;"Karakter",pub_gid_0_single_true_output_csv[[#This Row],[Nilai2]]=""),"",IF(AF1064&gt;89,"Sangat baik",IF(AF1064&gt;79,"Baik",IF(AF1064&gt;69,"Cukup",IF(AF1064&gt;59,"Kurang","Sangat kurang")))))</f>
        <v>Cukup</v>
      </c>
      <c r="AJ1064" t="str">
        <f t="shared" si="50"/>
        <v>Wk.5</v>
      </c>
      <c r="AK1064" t="str">
        <f>IF(pub_gid_0_single_true_output_csv[[#This Row],[Nilai2]]="","",VLOOKUP(pub_gid_0_single_true_output_csv[[#This Row],[NAMA]],Table7[],3,FALSE))</f>
        <v>Average</v>
      </c>
    </row>
    <row r="1065" spans="1:37" x14ac:dyDescent="0.2">
      <c r="A1065">
        <v>1064</v>
      </c>
      <c r="B1065" t="s">
        <v>294</v>
      </c>
      <c r="C1065" t="s">
        <v>54</v>
      </c>
      <c r="D1065" t="s">
        <v>46</v>
      </c>
      <c r="E1065" t="s">
        <v>148</v>
      </c>
      <c r="F1065" s="25">
        <v>46048</v>
      </c>
      <c r="G1065" t="s">
        <v>371</v>
      </c>
      <c r="H1065" t="s">
        <v>405</v>
      </c>
      <c r="I1065" t="s">
        <v>371</v>
      </c>
      <c r="J1065" t="s">
        <v>279</v>
      </c>
      <c r="K1065" t="s">
        <v>280</v>
      </c>
      <c r="L1065" t="s">
        <v>322</v>
      </c>
      <c r="M1065" t="s">
        <v>141</v>
      </c>
      <c r="N1065" t="s">
        <v>142</v>
      </c>
      <c r="O1065" t="s">
        <v>155</v>
      </c>
      <c r="P1065" t="s">
        <v>281</v>
      </c>
      <c r="Q1065" t="s">
        <v>155</v>
      </c>
      <c r="R1065" t="s">
        <v>302</v>
      </c>
      <c r="S1065" t="s">
        <v>369</v>
      </c>
      <c r="T1065">
        <v>1</v>
      </c>
      <c r="U1065" t="s">
        <v>431</v>
      </c>
      <c r="V1065" t="s">
        <v>342</v>
      </c>
      <c r="W1065" t="s">
        <v>433</v>
      </c>
      <c r="X1065" t="s">
        <v>306</v>
      </c>
      <c r="Y1065" t="s">
        <v>307</v>
      </c>
      <c r="Z1065">
        <v>65</v>
      </c>
      <c r="AA1065">
        <v>65</v>
      </c>
      <c r="AB1065" t="s">
        <v>143</v>
      </c>
      <c r="AC1065" t="s">
        <v>336</v>
      </c>
      <c r="AD1065" t="s">
        <v>278</v>
      </c>
      <c r="AE1065" t="str">
        <f>IF(AF1065="","",VLOOKUP(AC1065,mapel!$A$2:$B$42,2,FALSE))</f>
        <v>Pancasila</v>
      </c>
      <c r="AF1065">
        <f t="shared" si="48"/>
        <v>65</v>
      </c>
      <c r="AG1065" t="str">
        <f>IF(AF1065="","",IF(AF1065&gt;90,"Sangat baik",IF(AF1065&gt;79,"Baik",IF(AF1065&gt;=pub_gid_0_single_true_output_csv[[#This Row],[KKM]],"Cukup","Kurang"))))</f>
        <v>Cukup</v>
      </c>
      <c r="AH1065">
        <f t="shared" si="49"/>
        <v>11</v>
      </c>
      <c r="AI1065" s="30" t="str">
        <f>IF(OR(J1065&lt;&gt;"Karakter",pub_gid_0_single_true_output_csv[[#This Row],[Nilai2]]=""),"",IF(AF1065&gt;89,"Sangat baik",IF(AF1065&gt;79,"Baik",IF(AF1065&gt;69,"Cukup",IF(AF1065&gt;59,"Kurang","Sangat kurang")))))</f>
        <v/>
      </c>
      <c r="AJ1065" t="str">
        <f t="shared" si="50"/>
        <v>Wk.5</v>
      </c>
      <c r="AK1065" t="str">
        <f>IF(pub_gid_0_single_true_output_csv[[#This Row],[Nilai2]]="","",VLOOKUP(pub_gid_0_single_true_output_csv[[#This Row],[NAMA]],Table7[],3,FALSE))</f>
        <v>Average</v>
      </c>
    </row>
    <row r="1066" spans="1:37" x14ac:dyDescent="0.2">
      <c r="A1066">
        <v>1065</v>
      </c>
      <c r="B1066" t="s">
        <v>294</v>
      </c>
      <c r="C1066" t="s">
        <v>54</v>
      </c>
      <c r="D1066" t="s">
        <v>46</v>
      </c>
      <c r="E1066" t="s">
        <v>148</v>
      </c>
      <c r="F1066" s="25">
        <v>46055</v>
      </c>
      <c r="G1066" t="s">
        <v>379</v>
      </c>
      <c r="H1066" t="s">
        <v>412</v>
      </c>
      <c r="I1066" t="s">
        <v>371</v>
      </c>
      <c r="J1066" t="s">
        <v>90</v>
      </c>
      <c r="K1066" t="s">
        <v>377</v>
      </c>
      <c r="L1066" t="s">
        <v>400</v>
      </c>
      <c r="M1066" t="s">
        <v>141</v>
      </c>
      <c r="N1066" t="s">
        <v>142</v>
      </c>
      <c r="O1066" t="s">
        <v>155</v>
      </c>
      <c r="P1066" t="s">
        <v>281</v>
      </c>
      <c r="Q1066" t="s">
        <v>155</v>
      </c>
      <c r="R1066" t="s">
        <v>302</v>
      </c>
      <c r="S1066" t="s">
        <v>345</v>
      </c>
      <c r="T1066">
        <v>1</v>
      </c>
      <c r="U1066" t="s">
        <v>431</v>
      </c>
      <c r="V1066" t="s">
        <v>343</v>
      </c>
      <c r="W1066" t="s">
        <v>434</v>
      </c>
      <c r="X1066" t="s">
        <v>306</v>
      </c>
      <c r="Y1066" t="s">
        <v>307</v>
      </c>
      <c r="Z1066">
        <v>65</v>
      </c>
      <c r="AA1066">
        <v>74</v>
      </c>
      <c r="AB1066" t="s">
        <v>143</v>
      </c>
      <c r="AC1066" t="s">
        <v>336</v>
      </c>
      <c r="AD1066" t="s">
        <v>278</v>
      </c>
      <c r="AE1066" t="str">
        <f>IF(AF1066="","",VLOOKUP(AC1066,mapel!$A$2:$B$42,2,FALSE))</f>
        <v>Pancasila</v>
      </c>
      <c r="AF1066">
        <f t="shared" si="48"/>
        <v>74</v>
      </c>
      <c r="AG1066" t="str">
        <f>IF(AF1066="","",IF(AF1066&gt;90,"Sangat baik",IF(AF1066&gt;79,"Baik",IF(AF1066&gt;=pub_gid_0_single_true_output_csv[[#This Row],[KKM]],"Cukup","Kurang"))))</f>
        <v>Cukup</v>
      </c>
      <c r="AH1066">
        <f t="shared" si="49"/>
        <v>11</v>
      </c>
      <c r="AI1066" s="30" t="str">
        <f>IF(OR(J1066&lt;&gt;"Karakter",pub_gid_0_single_true_output_csv[[#This Row],[Nilai2]]=""),"",IF(AF1066&gt;89,"Sangat baik",IF(AF1066&gt;79,"Baik",IF(AF1066&gt;69,"Cukup",IF(AF1066&gt;59,"Kurang","Sangat kurang")))))</f>
        <v>Cukup</v>
      </c>
      <c r="AJ1066" t="str">
        <f t="shared" si="50"/>
        <v>Wk.6</v>
      </c>
      <c r="AK1066" t="str">
        <f>IF(pub_gid_0_single_true_output_csv[[#This Row],[Nilai2]]="","",VLOOKUP(pub_gid_0_single_true_output_csv[[#This Row],[NAMA]],Table7[],3,FALSE))</f>
        <v>Average</v>
      </c>
    </row>
    <row r="1067" spans="1:37" x14ac:dyDescent="0.2">
      <c r="A1067">
        <v>1066</v>
      </c>
      <c r="B1067" t="s">
        <v>294</v>
      </c>
      <c r="C1067" t="s">
        <v>54</v>
      </c>
      <c r="D1067" t="s">
        <v>46</v>
      </c>
      <c r="E1067" t="s">
        <v>148</v>
      </c>
      <c r="F1067" s="25">
        <v>46055</v>
      </c>
      <c r="G1067" t="s">
        <v>379</v>
      </c>
      <c r="H1067" t="s">
        <v>412</v>
      </c>
      <c r="I1067" t="s">
        <v>371</v>
      </c>
      <c r="J1067" t="s">
        <v>279</v>
      </c>
      <c r="K1067" t="s">
        <v>280</v>
      </c>
      <c r="L1067" t="s">
        <v>322</v>
      </c>
      <c r="M1067" t="s">
        <v>141</v>
      </c>
      <c r="N1067" t="s">
        <v>142</v>
      </c>
      <c r="O1067" t="s">
        <v>155</v>
      </c>
      <c r="P1067" t="s">
        <v>281</v>
      </c>
      <c r="Q1067" t="s">
        <v>155</v>
      </c>
      <c r="R1067" t="s">
        <v>302</v>
      </c>
      <c r="S1067" t="s">
        <v>345</v>
      </c>
      <c r="T1067">
        <v>1</v>
      </c>
      <c r="U1067" t="s">
        <v>431</v>
      </c>
      <c r="V1067" t="s">
        <v>343</v>
      </c>
      <c r="W1067" t="s">
        <v>434</v>
      </c>
      <c r="X1067" t="s">
        <v>306</v>
      </c>
      <c r="Y1067" t="s">
        <v>307</v>
      </c>
      <c r="Z1067">
        <v>65</v>
      </c>
      <c r="AA1067">
        <v>74</v>
      </c>
      <c r="AB1067" t="s">
        <v>143</v>
      </c>
      <c r="AC1067" t="s">
        <v>336</v>
      </c>
      <c r="AD1067" t="s">
        <v>278</v>
      </c>
      <c r="AE1067" t="str">
        <f>IF(AF1067="","",VLOOKUP(AC1067,mapel!$A$2:$B$42,2,FALSE))</f>
        <v>Pancasila</v>
      </c>
      <c r="AF1067">
        <f t="shared" si="48"/>
        <v>74</v>
      </c>
      <c r="AG1067" t="str">
        <f>IF(AF1067="","",IF(AF1067&gt;90,"Sangat baik",IF(AF1067&gt;79,"Baik",IF(AF1067&gt;=pub_gid_0_single_true_output_csv[[#This Row],[KKM]],"Cukup","Kurang"))))</f>
        <v>Cukup</v>
      </c>
      <c r="AH1067">
        <f t="shared" si="49"/>
        <v>11</v>
      </c>
      <c r="AI1067" s="30" t="str">
        <f>IF(OR(J1067&lt;&gt;"Karakter",pub_gid_0_single_true_output_csv[[#This Row],[Nilai2]]=""),"",IF(AF1067&gt;89,"Sangat baik",IF(AF1067&gt;79,"Baik",IF(AF1067&gt;69,"Cukup",IF(AF1067&gt;59,"Kurang","Sangat kurang")))))</f>
        <v/>
      </c>
      <c r="AJ1067" t="str">
        <f t="shared" si="50"/>
        <v>Wk.6</v>
      </c>
      <c r="AK1067" t="str">
        <f>IF(pub_gid_0_single_true_output_csv[[#This Row],[Nilai2]]="","",VLOOKUP(pub_gid_0_single_true_output_csv[[#This Row],[NAMA]],Table7[],3,FALSE))</f>
        <v>Average</v>
      </c>
    </row>
    <row r="1068" spans="1:37" x14ac:dyDescent="0.2">
      <c r="A1068">
        <v>1067</v>
      </c>
      <c r="B1068" t="s">
        <v>294</v>
      </c>
      <c r="C1068" t="s">
        <v>54</v>
      </c>
      <c r="D1068" t="s">
        <v>46</v>
      </c>
      <c r="E1068" t="s">
        <v>148</v>
      </c>
      <c r="F1068" s="25">
        <v>46055</v>
      </c>
      <c r="G1068" t="s">
        <v>379</v>
      </c>
      <c r="H1068" t="s">
        <v>412</v>
      </c>
      <c r="I1068" t="s">
        <v>371</v>
      </c>
      <c r="J1068" t="s">
        <v>41</v>
      </c>
      <c r="K1068" t="s">
        <v>365</v>
      </c>
      <c r="L1068" t="s">
        <v>351</v>
      </c>
      <c r="M1068" t="s">
        <v>141</v>
      </c>
      <c r="N1068" t="s">
        <v>142</v>
      </c>
      <c r="O1068" t="s">
        <v>155</v>
      </c>
      <c r="P1068" t="s">
        <v>281</v>
      </c>
      <c r="Q1068" t="s">
        <v>155</v>
      </c>
      <c r="R1068" t="s">
        <v>302</v>
      </c>
      <c r="S1068" t="s">
        <v>345</v>
      </c>
      <c r="T1068">
        <v>1</v>
      </c>
      <c r="U1068" t="s">
        <v>431</v>
      </c>
      <c r="V1068" t="s">
        <v>343</v>
      </c>
      <c r="W1068" t="s">
        <v>434</v>
      </c>
      <c r="X1068" t="s">
        <v>306</v>
      </c>
      <c r="Y1068" t="s">
        <v>307</v>
      </c>
      <c r="Z1068">
        <v>65</v>
      </c>
      <c r="AA1068">
        <v>72</v>
      </c>
      <c r="AB1068" t="s">
        <v>143</v>
      </c>
      <c r="AC1068" t="s">
        <v>336</v>
      </c>
      <c r="AD1068" t="s">
        <v>278</v>
      </c>
      <c r="AE1068" t="str">
        <f>IF(AF1068="","",VLOOKUP(AC1068,mapel!$A$2:$B$42,2,FALSE))</f>
        <v>Pancasila</v>
      </c>
      <c r="AF1068">
        <f t="shared" si="48"/>
        <v>72</v>
      </c>
      <c r="AG1068" t="str">
        <f>IF(AF1068="","",IF(AF1068&gt;90,"Sangat baik",IF(AF1068&gt;79,"Baik",IF(AF1068&gt;=pub_gid_0_single_true_output_csv[[#This Row],[KKM]],"Cukup","Kurang"))))</f>
        <v>Cukup</v>
      </c>
      <c r="AH1068">
        <f t="shared" si="49"/>
        <v>11</v>
      </c>
      <c r="AI1068" s="30" t="str">
        <f>IF(OR(J1068&lt;&gt;"Karakter",pub_gid_0_single_true_output_csv[[#This Row],[Nilai2]]=""),"",IF(AF1068&gt;89,"Sangat baik",IF(AF1068&gt;79,"Baik",IF(AF1068&gt;69,"Cukup",IF(AF1068&gt;59,"Kurang","Sangat kurang")))))</f>
        <v/>
      </c>
      <c r="AJ1068" t="str">
        <f t="shared" si="50"/>
        <v>Wk.6</v>
      </c>
      <c r="AK1068" t="str">
        <f>IF(pub_gid_0_single_true_output_csv[[#This Row],[Nilai2]]="","",VLOOKUP(pub_gid_0_single_true_output_csv[[#This Row],[NAMA]],Table7[],3,FALSE))</f>
        <v>Average</v>
      </c>
    </row>
    <row r="1069" spans="1:37" x14ac:dyDescent="0.2">
      <c r="A1069">
        <v>1068</v>
      </c>
      <c r="B1069" t="s">
        <v>294</v>
      </c>
      <c r="C1069" t="s">
        <v>54</v>
      </c>
      <c r="D1069" t="s">
        <v>46</v>
      </c>
      <c r="E1069" t="s">
        <v>148</v>
      </c>
      <c r="F1069" s="25">
        <v>46055</v>
      </c>
      <c r="G1069" t="s">
        <v>379</v>
      </c>
      <c r="H1069" t="s">
        <v>412</v>
      </c>
      <c r="I1069" t="s">
        <v>371</v>
      </c>
      <c r="J1069" t="s">
        <v>31</v>
      </c>
      <c r="K1069" t="s">
        <v>96</v>
      </c>
      <c r="L1069" t="s">
        <v>351</v>
      </c>
      <c r="M1069" t="s">
        <v>141</v>
      </c>
      <c r="N1069" t="s">
        <v>142</v>
      </c>
      <c r="O1069" t="s">
        <v>155</v>
      </c>
      <c r="P1069" t="s">
        <v>281</v>
      </c>
      <c r="Q1069" t="s">
        <v>155</v>
      </c>
      <c r="R1069" t="s">
        <v>302</v>
      </c>
      <c r="S1069" t="s">
        <v>345</v>
      </c>
      <c r="T1069">
        <v>1</v>
      </c>
      <c r="U1069" t="s">
        <v>431</v>
      </c>
      <c r="V1069" t="s">
        <v>343</v>
      </c>
      <c r="W1069" t="s">
        <v>434</v>
      </c>
      <c r="X1069" t="s">
        <v>306</v>
      </c>
      <c r="Y1069" t="s">
        <v>307</v>
      </c>
      <c r="Z1069">
        <v>65</v>
      </c>
      <c r="AA1069">
        <v>57</v>
      </c>
      <c r="AB1069" t="s">
        <v>151</v>
      </c>
      <c r="AC1069" t="s">
        <v>336</v>
      </c>
      <c r="AD1069" t="s">
        <v>278</v>
      </c>
      <c r="AE1069" t="str">
        <f>IF(AF1069="","",VLOOKUP(AC1069,mapel!$A$2:$B$42,2,FALSE))</f>
        <v>Pancasila</v>
      </c>
      <c r="AF1069">
        <f t="shared" si="48"/>
        <v>57</v>
      </c>
      <c r="AG1069" t="str">
        <f>IF(AF1069="","",IF(AF1069&gt;90,"Sangat baik",IF(AF1069&gt;79,"Baik",IF(AF1069&gt;=pub_gid_0_single_true_output_csv[[#This Row],[KKM]],"Cukup","Kurang"))))</f>
        <v>Kurang</v>
      </c>
      <c r="AH1069">
        <f t="shared" si="49"/>
        <v>11</v>
      </c>
      <c r="AI1069" s="30" t="str">
        <f>IF(OR(J1069&lt;&gt;"Karakter",pub_gid_0_single_true_output_csv[[#This Row],[Nilai2]]=""),"",IF(AF1069&gt;89,"Sangat baik",IF(AF1069&gt;79,"Baik",IF(AF1069&gt;69,"Cukup",IF(AF1069&gt;59,"Kurang","Sangat kurang")))))</f>
        <v/>
      </c>
      <c r="AJ1069" t="str">
        <f t="shared" si="50"/>
        <v>Wk.6</v>
      </c>
      <c r="AK1069" t="str">
        <f>IF(pub_gid_0_single_true_output_csv[[#This Row],[Nilai2]]="","",VLOOKUP(pub_gid_0_single_true_output_csv[[#This Row],[NAMA]],Table7[],3,FALSE))</f>
        <v>Average</v>
      </c>
    </row>
    <row r="1070" spans="1:37" x14ac:dyDescent="0.2">
      <c r="A1070">
        <v>1069</v>
      </c>
      <c r="B1070" t="s">
        <v>294</v>
      </c>
      <c r="C1070" t="s">
        <v>54</v>
      </c>
      <c r="D1070" t="s">
        <v>46</v>
      </c>
      <c r="E1070" t="s">
        <v>148</v>
      </c>
      <c r="F1070" s="25">
        <v>46055</v>
      </c>
      <c r="G1070" t="s">
        <v>379</v>
      </c>
      <c r="H1070" t="s">
        <v>412</v>
      </c>
      <c r="I1070" t="s">
        <v>371</v>
      </c>
      <c r="J1070" t="s">
        <v>36</v>
      </c>
      <c r="K1070" t="s">
        <v>37</v>
      </c>
      <c r="L1070" t="s">
        <v>324</v>
      </c>
      <c r="M1070" t="s">
        <v>141</v>
      </c>
      <c r="N1070" t="s">
        <v>142</v>
      </c>
      <c r="O1070" t="s">
        <v>155</v>
      </c>
      <c r="P1070" t="s">
        <v>281</v>
      </c>
      <c r="Q1070" t="s">
        <v>155</v>
      </c>
      <c r="R1070" t="s">
        <v>302</v>
      </c>
      <c r="S1070" t="s">
        <v>345</v>
      </c>
      <c r="T1070">
        <v>1</v>
      </c>
      <c r="U1070" t="s">
        <v>431</v>
      </c>
      <c r="V1070" t="s">
        <v>343</v>
      </c>
      <c r="W1070" t="s">
        <v>434</v>
      </c>
      <c r="X1070" t="s">
        <v>306</v>
      </c>
      <c r="Y1070" t="s">
        <v>307</v>
      </c>
      <c r="Z1070">
        <v>65</v>
      </c>
      <c r="AA1070">
        <v>60</v>
      </c>
      <c r="AB1070" t="s">
        <v>151</v>
      </c>
      <c r="AC1070" t="s">
        <v>336</v>
      </c>
      <c r="AD1070" t="s">
        <v>278</v>
      </c>
      <c r="AE1070" t="str">
        <f>IF(AF1070="","",VLOOKUP(AC1070,mapel!$A$2:$B$42,2,FALSE))</f>
        <v>Pancasila</v>
      </c>
      <c r="AF1070">
        <f t="shared" si="48"/>
        <v>60</v>
      </c>
      <c r="AG1070" t="str">
        <f>IF(AF1070="","",IF(AF1070&gt;90,"Sangat baik",IF(AF1070&gt;79,"Baik",IF(AF1070&gt;=pub_gid_0_single_true_output_csv[[#This Row],[KKM]],"Cukup","Kurang"))))</f>
        <v>Kurang</v>
      </c>
      <c r="AH1070">
        <f t="shared" si="49"/>
        <v>11</v>
      </c>
      <c r="AI1070" s="30" t="str">
        <f>IF(OR(J1070&lt;&gt;"Karakter",pub_gid_0_single_true_output_csv[[#This Row],[Nilai2]]=""),"",IF(AF1070&gt;89,"Sangat baik",IF(AF1070&gt;79,"Baik",IF(AF1070&gt;69,"Cukup",IF(AF1070&gt;59,"Kurang","Sangat kurang")))))</f>
        <v/>
      </c>
      <c r="AJ1070" t="str">
        <f t="shared" si="50"/>
        <v>Wk.6</v>
      </c>
      <c r="AK1070" t="str">
        <f>IF(pub_gid_0_single_true_output_csv[[#This Row],[Nilai2]]="","",VLOOKUP(pub_gid_0_single_true_output_csv[[#This Row],[NAMA]],Table7[],3,FALSE))</f>
        <v>Average</v>
      </c>
    </row>
    <row r="1071" spans="1:37" x14ac:dyDescent="0.2">
      <c r="A1071">
        <v>1070</v>
      </c>
      <c r="B1071" t="s">
        <v>294</v>
      </c>
      <c r="C1071" t="s">
        <v>54</v>
      </c>
      <c r="D1071" t="s">
        <v>46</v>
      </c>
      <c r="E1071" t="s">
        <v>148</v>
      </c>
      <c r="F1071" s="25">
        <v>46062</v>
      </c>
      <c r="G1071" t="s">
        <v>376</v>
      </c>
      <c r="H1071" t="s">
        <v>412</v>
      </c>
      <c r="I1071" t="s">
        <v>371</v>
      </c>
      <c r="J1071" t="s">
        <v>36</v>
      </c>
      <c r="K1071" t="s">
        <v>362</v>
      </c>
      <c r="L1071" t="s">
        <v>363</v>
      </c>
      <c r="M1071" t="s">
        <v>141</v>
      </c>
      <c r="N1071" t="s">
        <v>142</v>
      </c>
      <c r="O1071" t="s">
        <v>155</v>
      </c>
      <c r="P1071" t="s">
        <v>281</v>
      </c>
      <c r="Q1071" t="s">
        <v>155</v>
      </c>
      <c r="R1071" t="s">
        <v>302</v>
      </c>
      <c r="S1071" t="s">
        <v>309</v>
      </c>
      <c r="T1071">
        <v>1</v>
      </c>
      <c r="U1071" t="s">
        <v>431</v>
      </c>
      <c r="V1071" t="s">
        <v>285</v>
      </c>
      <c r="W1071" t="s">
        <v>432</v>
      </c>
      <c r="X1071" t="s">
        <v>306</v>
      </c>
      <c r="Y1071" t="s">
        <v>307</v>
      </c>
      <c r="Z1071">
        <v>65</v>
      </c>
      <c r="AA1071">
        <v>50</v>
      </c>
      <c r="AB1071" t="s">
        <v>151</v>
      </c>
      <c r="AC1071" t="s">
        <v>336</v>
      </c>
      <c r="AD1071" t="s">
        <v>278</v>
      </c>
      <c r="AE1071" t="str">
        <f>IF(AF1071="","",VLOOKUP(AC1071,mapel!$A$2:$B$42,2,FALSE))</f>
        <v>Pancasila</v>
      </c>
      <c r="AF1071">
        <f t="shared" si="48"/>
        <v>50</v>
      </c>
      <c r="AG1071" t="str">
        <f>IF(AF1071="","",IF(AF1071&gt;90,"Sangat baik",IF(AF1071&gt;79,"Baik",IF(AF1071&gt;=pub_gid_0_single_true_output_csv[[#This Row],[KKM]],"Cukup","Kurang"))))</f>
        <v>Kurang</v>
      </c>
      <c r="AH1071">
        <f t="shared" si="49"/>
        <v>11</v>
      </c>
      <c r="AI1071" s="30" t="str">
        <f>IF(OR(J1071&lt;&gt;"Karakter",pub_gid_0_single_true_output_csv[[#This Row],[Nilai2]]=""),"",IF(AF1071&gt;89,"Sangat baik",IF(AF1071&gt;79,"Baik",IF(AF1071&gt;69,"Cukup",IF(AF1071&gt;59,"Kurang","Sangat kurang")))))</f>
        <v/>
      </c>
      <c r="AJ1071" t="str">
        <f t="shared" si="50"/>
        <v>Wk.7</v>
      </c>
      <c r="AK1071" t="str">
        <f>IF(pub_gid_0_single_true_output_csv[[#This Row],[Nilai2]]="","",VLOOKUP(pub_gid_0_single_true_output_csv[[#This Row],[NAMA]],Table7[],3,FALSE))</f>
        <v>Average</v>
      </c>
    </row>
    <row r="1072" spans="1:37" x14ac:dyDescent="0.2">
      <c r="A1072">
        <v>1071</v>
      </c>
      <c r="B1072" t="s">
        <v>294</v>
      </c>
      <c r="C1072" t="s">
        <v>54</v>
      </c>
      <c r="D1072" t="s">
        <v>46</v>
      </c>
      <c r="E1072" t="s">
        <v>148</v>
      </c>
      <c r="F1072" s="25">
        <v>46062</v>
      </c>
      <c r="G1072" t="s">
        <v>376</v>
      </c>
      <c r="H1072" t="s">
        <v>412</v>
      </c>
      <c r="I1072" t="s">
        <v>371</v>
      </c>
      <c r="J1072" t="s">
        <v>36</v>
      </c>
      <c r="K1072" t="s">
        <v>362</v>
      </c>
      <c r="L1072" t="s">
        <v>363</v>
      </c>
      <c r="M1072" t="s">
        <v>141</v>
      </c>
      <c r="N1072" t="s">
        <v>142</v>
      </c>
      <c r="O1072" t="s">
        <v>155</v>
      </c>
      <c r="P1072" t="s">
        <v>281</v>
      </c>
      <c r="Q1072" t="s">
        <v>155</v>
      </c>
      <c r="R1072" t="s">
        <v>302</v>
      </c>
      <c r="S1072" t="s">
        <v>369</v>
      </c>
      <c r="T1072">
        <v>1</v>
      </c>
      <c r="U1072" t="s">
        <v>431</v>
      </c>
      <c r="V1072" t="s">
        <v>342</v>
      </c>
      <c r="W1072" t="s">
        <v>433</v>
      </c>
      <c r="X1072" t="s">
        <v>306</v>
      </c>
      <c r="Y1072" t="s">
        <v>307</v>
      </c>
      <c r="Z1072">
        <v>65</v>
      </c>
      <c r="AA1072">
        <v>70</v>
      </c>
      <c r="AB1072" t="s">
        <v>143</v>
      </c>
      <c r="AC1072" t="s">
        <v>336</v>
      </c>
      <c r="AD1072" t="s">
        <v>278</v>
      </c>
      <c r="AE1072" t="str">
        <f>IF(AF1072="","",VLOOKUP(AC1072,mapel!$A$2:$B$42,2,FALSE))</f>
        <v>Pancasila</v>
      </c>
      <c r="AF1072">
        <f t="shared" si="48"/>
        <v>70</v>
      </c>
      <c r="AG1072" t="str">
        <f>IF(AF1072="","",IF(AF1072&gt;90,"Sangat baik",IF(AF1072&gt;79,"Baik",IF(AF1072&gt;=pub_gid_0_single_true_output_csv[[#This Row],[KKM]],"Cukup","Kurang"))))</f>
        <v>Cukup</v>
      </c>
      <c r="AH1072">
        <f t="shared" si="49"/>
        <v>11</v>
      </c>
      <c r="AI1072" s="30" t="str">
        <f>IF(OR(J1072&lt;&gt;"Karakter",pub_gid_0_single_true_output_csv[[#This Row],[Nilai2]]=""),"",IF(AF1072&gt;89,"Sangat baik",IF(AF1072&gt;79,"Baik",IF(AF1072&gt;69,"Cukup",IF(AF1072&gt;59,"Kurang","Sangat kurang")))))</f>
        <v/>
      </c>
      <c r="AJ1072" t="str">
        <f t="shared" si="50"/>
        <v>Wk.7</v>
      </c>
      <c r="AK1072" t="str">
        <f>IF(pub_gid_0_single_true_output_csv[[#This Row],[Nilai2]]="","",VLOOKUP(pub_gid_0_single_true_output_csv[[#This Row],[NAMA]],Table7[],3,FALSE))</f>
        <v>Average</v>
      </c>
    </row>
    <row r="1073" spans="1:37" x14ac:dyDescent="0.2">
      <c r="A1073">
        <v>1072</v>
      </c>
      <c r="B1073" t="s">
        <v>294</v>
      </c>
      <c r="C1073" t="s">
        <v>54</v>
      </c>
      <c r="D1073" t="s">
        <v>46</v>
      </c>
      <c r="E1073" t="s">
        <v>148</v>
      </c>
      <c r="F1073" s="25">
        <v>46059</v>
      </c>
      <c r="G1073" t="s">
        <v>349</v>
      </c>
      <c r="H1073" t="s">
        <v>412</v>
      </c>
      <c r="I1073" t="s">
        <v>371</v>
      </c>
      <c r="J1073" t="s">
        <v>41</v>
      </c>
      <c r="K1073" t="s">
        <v>357</v>
      </c>
      <c r="L1073" t="s">
        <v>351</v>
      </c>
      <c r="M1073" t="s">
        <v>141</v>
      </c>
      <c r="N1073" t="s">
        <v>142</v>
      </c>
      <c r="O1073" t="s">
        <v>155</v>
      </c>
      <c r="P1073" t="s">
        <v>281</v>
      </c>
      <c r="Q1073" t="s">
        <v>155</v>
      </c>
      <c r="R1073" t="s">
        <v>302</v>
      </c>
      <c r="S1073" t="s">
        <v>345</v>
      </c>
      <c r="T1073">
        <v>1</v>
      </c>
      <c r="U1073" t="s">
        <v>431</v>
      </c>
      <c r="V1073" t="s">
        <v>343</v>
      </c>
      <c r="W1073" t="s">
        <v>434</v>
      </c>
      <c r="X1073" t="s">
        <v>306</v>
      </c>
      <c r="Y1073" t="s">
        <v>307</v>
      </c>
      <c r="Z1073">
        <v>65</v>
      </c>
      <c r="AA1073">
        <v>67</v>
      </c>
      <c r="AB1073" t="s">
        <v>143</v>
      </c>
      <c r="AC1073" t="s">
        <v>336</v>
      </c>
      <c r="AD1073" t="s">
        <v>278</v>
      </c>
      <c r="AE1073" t="str">
        <f>IF(AF1073="","",VLOOKUP(AC1073,mapel!$A$2:$B$42,2,FALSE))</f>
        <v>Pancasila</v>
      </c>
      <c r="AF1073">
        <f t="shared" si="48"/>
        <v>67</v>
      </c>
      <c r="AG1073" t="str">
        <f>IF(AF1073="","",IF(AF1073&gt;90,"Sangat baik",IF(AF1073&gt;79,"Baik",IF(AF1073&gt;=pub_gid_0_single_true_output_csv[[#This Row],[KKM]],"Cukup","Kurang"))))</f>
        <v>Cukup</v>
      </c>
      <c r="AH1073">
        <f t="shared" si="49"/>
        <v>11</v>
      </c>
      <c r="AI1073" s="30" t="str">
        <f>IF(OR(J1073&lt;&gt;"Karakter",pub_gid_0_single_true_output_csv[[#This Row],[Nilai2]]=""),"",IF(AF1073&gt;89,"Sangat baik",IF(AF1073&gt;79,"Baik",IF(AF1073&gt;69,"Cukup",IF(AF1073&gt;59,"Kurang","Sangat kurang")))))</f>
        <v/>
      </c>
      <c r="AJ1073" t="str">
        <f t="shared" si="50"/>
        <v>Wk.6</v>
      </c>
      <c r="AK1073" t="str">
        <f>IF(pub_gid_0_single_true_output_csv[[#This Row],[Nilai2]]="","",VLOOKUP(pub_gid_0_single_true_output_csv[[#This Row],[NAMA]],Table7[],3,FALSE))</f>
        <v>Average</v>
      </c>
    </row>
    <row r="1074" spans="1:37" x14ac:dyDescent="0.2">
      <c r="A1074">
        <v>1073</v>
      </c>
      <c r="B1074" t="s">
        <v>294</v>
      </c>
      <c r="C1074" t="s">
        <v>54</v>
      </c>
      <c r="D1074" t="s">
        <v>46</v>
      </c>
      <c r="E1074" t="s">
        <v>148</v>
      </c>
      <c r="F1074" s="25">
        <v>46059</v>
      </c>
      <c r="G1074" t="s">
        <v>349</v>
      </c>
      <c r="H1074" t="s">
        <v>412</v>
      </c>
      <c r="I1074" t="s">
        <v>371</v>
      </c>
      <c r="J1074" t="s">
        <v>36</v>
      </c>
      <c r="K1074" t="s">
        <v>37</v>
      </c>
      <c r="L1074" t="s">
        <v>351</v>
      </c>
      <c r="M1074" t="s">
        <v>141</v>
      </c>
      <c r="N1074" t="s">
        <v>142</v>
      </c>
      <c r="O1074" t="s">
        <v>155</v>
      </c>
      <c r="P1074" t="s">
        <v>281</v>
      </c>
      <c r="Q1074" t="s">
        <v>155</v>
      </c>
      <c r="R1074" t="s">
        <v>302</v>
      </c>
      <c r="S1074" t="s">
        <v>345</v>
      </c>
      <c r="T1074">
        <v>1</v>
      </c>
      <c r="U1074" t="s">
        <v>431</v>
      </c>
      <c r="V1074" t="s">
        <v>343</v>
      </c>
      <c r="W1074" t="s">
        <v>434</v>
      </c>
      <c r="X1074" t="s">
        <v>306</v>
      </c>
      <c r="Y1074" t="s">
        <v>307</v>
      </c>
      <c r="Z1074">
        <v>65</v>
      </c>
      <c r="AA1074">
        <v>67</v>
      </c>
      <c r="AB1074" t="s">
        <v>143</v>
      </c>
      <c r="AC1074" t="s">
        <v>336</v>
      </c>
      <c r="AD1074" t="s">
        <v>278</v>
      </c>
      <c r="AE1074" t="str">
        <f>IF(AF1074="","",VLOOKUP(AC1074,mapel!$A$2:$B$42,2,FALSE))</f>
        <v>Pancasila</v>
      </c>
      <c r="AF1074">
        <f t="shared" si="48"/>
        <v>67</v>
      </c>
      <c r="AG1074" t="str">
        <f>IF(AF1074="","",IF(AF1074&gt;90,"Sangat baik",IF(AF1074&gt;79,"Baik",IF(AF1074&gt;=pub_gid_0_single_true_output_csv[[#This Row],[KKM]],"Cukup","Kurang"))))</f>
        <v>Cukup</v>
      </c>
      <c r="AH1074">
        <f t="shared" si="49"/>
        <v>11</v>
      </c>
      <c r="AI1074" s="30" t="str">
        <f>IF(OR(J1074&lt;&gt;"Karakter",pub_gid_0_single_true_output_csv[[#This Row],[Nilai2]]=""),"",IF(AF1074&gt;89,"Sangat baik",IF(AF1074&gt;79,"Baik",IF(AF1074&gt;69,"Cukup",IF(AF1074&gt;59,"Kurang","Sangat kurang")))))</f>
        <v/>
      </c>
      <c r="AJ1074" t="str">
        <f t="shared" si="50"/>
        <v>Wk.6</v>
      </c>
      <c r="AK1074" t="str">
        <f>IF(pub_gid_0_single_true_output_csv[[#This Row],[Nilai2]]="","",VLOOKUP(pub_gid_0_single_true_output_csv[[#This Row],[NAMA]],Table7[],3,FALSE))</f>
        <v>Average</v>
      </c>
    </row>
    <row r="1075" spans="1:37" x14ac:dyDescent="0.2">
      <c r="A1075">
        <v>1074</v>
      </c>
      <c r="B1075" t="s">
        <v>295</v>
      </c>
      <c r="C1075" t="s">
        <v>54</v>
      </c>
      <c r="D1075" t="s">
        <v>47</v>
      </c>
      <c r="E1075" t="s">
        <v>148</v>
      </c>
      <c r="F1075" s="25">
        <v>46034</v>
      </c>
      <c r="G1075" t="s">
        <v>354</v>
      </c>
      <c r="H1075" t="s">
        <v>405</v>
      </c>
      <c r="I1075" t="s">
        <v>371</v>
      </c>
      <c r="J1075" t="s">
        <v>90</v>
      </c>
      <c r="K1075" t="s">
        <v>92</v>
      </c>
      <c r="L1075" t="s">
        <v>398</v>
      </c>
      <c r="M1075" t="s">
        <v>141</v>
      </c>
      <c r="N1075" t="s">
        <v>142</v>
      </c>
      <c r="O1075" t="s">
        <v>155</v>
      </c>
      <c r="P1075" t="s">
        <v>281</v>
      </c>
      <c r="Q1075" t="s">
        <v>155</v>
      </c>
      <c r="R1075" t="s">
        <v>302</v>
      </c>
      <c r="S1075" t="s">
        <v>309</v>
      </c>
      <c r="T1075">
        <v>1</v>
      </c>
      <c r="U1075" t="s">
        <v>431</v>
      </c>
      <c r="V1075" t="s">
        <v>285</v>
      </c>
      <c r="W1075" t="s">
        <v>432</v>
      </c>
      <c r="X1075" t="s">
        <v>306</v>
      </c>
      <c r="Y1075" t="s">
        <v>307</v>
      </c>
      <c r="Z1075">
        <v>65</v>
      </c>
      <c r="AA1075">
        <v>75</v>
      </c>
      <c r="AB1075" t="s">
        <v>143</v>
      </c>
      <c r="AC1075" t="s">
        <v>336</v>
      </c>
      <c r="AD1075" t="s">
        <v>278</v>
      </c>
      <c r="AE1075" t="str">
        <f>IF(AF1075="","",VLOOKUP(AC1075,mapel!$A$2:$B$42,2,FALSE))</f>
        <v>Pancasila</v>
      </c>
      <c r="AF1075">
        <f t="shared" si="48"/>
        <v>75</v>
      </c>
      <c r="AG1075" t="str">
        <f>IF(AF1075="","",IF(AF1075&gt;90,"Sangat baik",IF(AF1075&gt;79,"Baik",IF(AF1075&gt;=pub_gid_0_single_true_output_csv[[#This Row],[KKM]],"Cukup","Kurang"))))</f>
        <v>Cukup</v>
      </c>
      <c r="AH1075">
        <f t="shared" si="49"/>
        <v>11</v>
      </c>
      <c r="AI1075" s="30" t="str">
        <f>IF(OR(J1075&lt;&gt;"Karakter",pub_gid_0_single_true_output_csv[[#This Row],[Nilai2]]=""),"",IF(AF1075&gt;89,"Sangat baik",IF(AF1075&gt;79,"Baik",IF(AF1075&gt;69,"Cukup",IF(AF1075&gt;59,"Kurang","Sangat kurang")))))</f>
        <v>Cukup</v>
      </c>
      <c r="AJ1075" t="str">
        <f t="shared" si="50"/>
        <v>Wk.3</v>
      </c>
      <c r="AK1075" t="str">
        <f>IF(pub_gid_0_single_true_output_csv[[#This Row],[Nilai2]]="","",VLOOKUP(pub_gid_0_single_true_output_csv[[#This Row],[NAMA]],Table7[],3,FALSE))</f>
        <v>Low average</v>
      </c>
    </row>
    <row r="1076" spans="1:37" x14ac:dyDescent="0.2">
      <c r="A1076">
        <v>1075</v>
      </c>
      <c r="B1076" t="s">
        <v>295</v>
      </c>
      <c r="C1076" t="s">
        <v>54</v>
      </c>
      <c r="D1076" t="s">
        <v>47</v>
      </c>
      <c r="E1076" t="s">
        <v>148</v>
      </c>
      <c r="F1076" s="25">
        <v>46034</v>
      </c>
      <c r="G1076" t="s">
        <v>354</v>
      </c>
      <c r="H1076" t="s">
        <v>405</v>
      </c>
      <c r="I1076" t="s">
        <v>371</v>
      </c>
      <c r="J1076" t="s">
        <v>36</v>
      </c>
      <c r="K1076" t="s">
        <v>37</v>
      </c>
      <c r="L1076" t="s">
        <v>150</v>
      </c>
      <c r="M1076" t="s">
        <v>141</v>
      </c>
      <c r="N1076" t="s">
        <v>142</v>
      </c>
      <c r="O1076" t="s">
        <v>155</v>
      </c>
      <c r="P1076" t="s">
        <v>281</v>
      </c>
      <c r="Q1076" t="s">
        <v>155</v>
      </c>
      <c r="R1076" t="s">
        <v>302</v>
      </c>
      <c r="S1076" t="s">
        <v>309</v>
      </c>
      <c r="T1076">
        <v>1</v>
      </c>
      <c r="U1076" t="s">
        <v>431</v>
      </c>
      <c r="V1076" t="s">
        <v>285</v>
      </c>
      <c r="W1076" t="s">
        <v>432</v>
      </c>
      <c r="X1076" t="s">
        <v>306</v>
      </c>
      <c r="Y1076" t="s">
        <v>307</v>
      </c>
      <c r="Z1076">
        <v>65</v>
      </c>
      <c r="AA1076">
        <v>60</v>
      </c>
      <c r="AB1076" t="s">
        <v>151</v>
      </c>
      <c r="AC1076" t="s">
        <v>336</v>
      </c>
      <c r="AD1076" t="s">
        <v>278</v>
      </c>
      <c r="AE1076" t="str">
        <f>IF(AF1076="","",VLOOKUP(AC1076,mapel!$A$2:$B$42,2,FALSE))</f>
        <v>Pancasila</v>
      </c>
      <c r="AF1076">
        <f t="shared" si="48"/>
        <v>60</v>
      </c>
      <c r="AG1076" t="str">
        <f>IF(AF1076="","",IF(AF1076&gt;90,"Sangat baik",IF(AF1076&gt;79,"Baik",IF(AF1076&gt;=pub_gid_0_single_true_output_csv[[#This Row],[KKM]],"Cukup","Kurang"))))</f>
        <v>Kurang</v>
      </c>
      <c r="AH1076">
        <f t="shared" si="49"/>
        <v>11</v>
      </c>
      <c r="AI1076" s="30" t="str">
        <f>IF(OR(J1076&lt;&gt;"Karakter",pub_gid_0_single_true_output_csv[[#This Row],[Nilai2]]=""),"",IF(AF1076&gt;89,"Sangat baik",IF(AF1076&gt;79,"Baik",IF(AF1076&gt;69,"Cukup",IF(AF1076&gt;59,"Kurang","Sangat kurang")))))</f>
        <v/>
      </c>
      <c r="AJ1076" t="str">
        <f t="shared" si="50"/>
        <v>Wk.3</v>
      </c>
      <c r="AK1076" t="str">
        <f>IF(pub_gid_0_single_true_output_csv[[#This Row],[Nilai2]]="","",VLOOKUP(pub_gid_0_single_true_output_csv[[#This Row],[NAMA]],Table7[],3,FALSE))</f>
        <v>Low average</v>
      </c>
    </row>
    <row r="1077" spans="1:37" x14ac:dyDescent="0.2">
      <c r="A1077">
        <v>1076</v>
      </c>
      <c r="B1077" t="s">
        <v>295</v>
      </c>
      <c r="C1077" t="s">
        <v>54</v>
      </c>
      <c r="D1077" t="s">
        <v>47</v>
      </c>
      <c r="E1077" t="s">
        <v>148</v>
      </c>
      <c r="F1077" s="25">
        <v>46034</v>
      </c>
      <c r="G1077" t="s">
        <v>354</v>
      </c>
      <c r="H1077" t="s">
        <v>405</v>
      </c>
      <c r="I1077" t="s">
        <v>371</v>
      </c>
      <c r="J1077" t="s">
        <v>31</v>
      </c>
      <c r="K1077" t="s">
        <v>32</v>
      </c>
      <c r="L1077" t="s">
        <v>150</v>
      </c>
      <c r="M1077" t="s">
        <v>141</v>
      </c>
      <c r="N1077" t="s">
        <v>142</v>
      </c>
      <c r="O1077" t="s">
        <v>155</v>
      </c>
      <c r="P1077" t="s">
        <v>281</v>
      </c>
      <c r="Q1077" t="s">
        <v>155</v>
      </c>
      <c r="R1077" t="s">
        <v>302</v>
      </c>
      <c r="S1077" t="s">
        <v>309</v>
      </c>
      <c r="T1077">
        <v>1</v>
      </c>
      <c r="U1077" t="s">
        <v>431</v>
      </c>
      <c r="V1077" t="s">
        <v>285</v>
      </c>
      <c r="W1077" t="s">
        <v>432</v>
      </c>
      <c r="X1077" t="s">
        <v>306</v>
      </c>
      <c r="Y1077" t="s">
        <v>307</v>
      </c>
      <c r="Z1077">
        <v>65</v>
      </c>
      <c r="AA1077">
        <v>60</v>
      </c>
      <c r="AB1077" t="s">
        <v>151</v>
      </c>
      <c r="AC1077" t="s">
        <v>336</v>
      </c>
      <c r="AD1077" t="s">
        <v>278</v>
      </c>
      <c r="AE1077" t="str">
        <f>IF(AF1077="","",VLOOKUP(AC1077,mapel!$A$2:$B$42,2,FALSE))</f>
        <v>Pancasila</v>
      </c>
      <c r="AF1077">
        <f t="shared" si="48"/>
        <v>60</v>
      </c>
      <c r="AG1077" t="str">
        <f>IF(AF1077="","",IF(AF1077&gt;90,"Sangat baik",IF(AF1077&gt;79,"Baik",IF(AF1077&gt;=pub_gid_0_single_true_output_csv[[#This Row],[KKM]],"Cukup","Kurang"))))</f>
        <v>Kurang</v>
      </c>
      <c r="AH1077">
        <f t="shared" si="49"/>
        <v>11</v>
      </c>
      <c r="AI1077" s="30" t="str">
        <f>IF(OR(J1077&lt;&gt;"Karakter",pub_gid_0_single_true_output_csv[[#This Row],[Nilai2]]=""),"",IF(AF1077&gt;89,"Sangat baik",IF(AF1077&gt;79,"Baik",IF(AF1077&gt;69,"Cukup",IF(AF1077&gt;59,"Kurang","Sangat kurang")))))</f>
        <v/>
      </c>
      <c r="AJ1077" t="str">
        <f t="shared" si="50"/>
        <v>Wk.3</v>
      </c>
      <c r="AK1077" t="str">
        <f>IF(pub_gid_0_single_true_output_csv[[#This Row],[Nilai2]]="","",VLOOKUP(pub_gid_0_single_true_output_csv[[#This Row],[NAMA]],Table7[],3,FALSE))</f>
        <v>Low average</v>
      </c>
    </row>
    <row r="1078" spans="1:37" x14ac:dyDescent="0.2">
      <c r="A1078">
        <v>1077</v>
      </c>
      <c r="B1078" t="s">
        <v>295</v>
      </c>
      <c r="C1078" t="s">
        <v>54</v>
      </c>
      <c r="D1078" t="s">
        <v>47</v>
      </c>
      <c r="E1078" t="s">
        <v>148</v>
      </c>
      <c r="F1078" s="25">
        <v>46034</v>
      </c>
      <c r="G1078" t="s">
        <v>354</v>
      </c>
      <c r="H1078" t="s">
        <v>405</v>
      </c>
      <c r="I1078" t="s">
        <v>371</v>
      </c>
      <c r="J1078" t="s">
        <v>279</v>
      </c>
      <c r="K1078" t="s">
        <v>280</v>
      </c>
      <c r="L1078" t="s">
        <v>322</v>
      </c>
      <c r="M1078" t="s">
        <v>141</v>
      </c>
      <c r="N1078" t="s">
        <v>142</v>
      </c>
      <c r="O1078" t="s">
        <v>155</v>
      </c>
      <c r="P1078" t="s">
        <v>281</v>
      </c>
      <c r="Q1078" t="s">
        <v>155</v>
      </c>
      <c r="R1078" t="s">
        <v>302</v>
      </c>
      <c r="S1078" t="s">
        <v>309</v>
      </c>
      <c r="T1078">
        <v>1</v>
      </c>
      <c r="U1078" t="s">
        <v>431</v>
      </c>
      <c r="V1078" t="s">
        <v>285</v>
      </c>
      <c r="W1078" t="s">
        <v>432</v>
      </c>
      <c r="X1078" t="s">
        <v>306</v>
      </c>
      <c r="Y1078" t="s">
        <v>307</v>
      </c>
      <c r="Z1078">
        <v>65</v>
      </c>
      <c r="AA1078">
        <v>67</v>
      </c>
      <c r="AB1078" t="s">
        <v>143</v>
      </c>
      <c r="AC1078" t="s">
        <v>336</v>
      </c>
      <c r="AD1078" t="s">
        <v>278</v>
      </c>
      <c r="AE1078" t="str">
        <f>IF(AF1078="","",VLOOKUP(AC1078,mapel!$A$2:$B$42,2,FALSE))</f>
        <v>Pancasila</v>
      </c>
      <c r="AF1078">
        <f t="shared" si="48"/>
        <v>67</v>
      </c>
      <c r="AG1078" t="str">
        <f>IF(AF1078="","",IF(AF1078&gt;90,"Sangat baik",IF(AF1078&gt;79,"Baik",IF(AF1078&gt;=pub_gid_0_single_true_output_csv[[#This Row],[KKM]],"Cukup","Kurang"))))</f>
        <v>Cukup</v>
      </c>
      <c r="AH1078">
        <f t="shared" si="49"/>
        <v>11</v>
      </c>
      <c r="AI1078" s="30" t="str">
        <f>IF(OR(J1078&lt;&gt;"Karakter",pub_gid_0_single_true_output_csv[[#This Row],[Nilai2]]=""),"",IF(AF1078&gt;89,"Sangat baik",IF(AF1078&gt;79,"Baik",IF(AF1078&gt;69,"Cukup",IF(AF1078&gt;59,"Kurang","Sangat kurang")))))</f>
        <v/>
      </c>
      <c r="AJ1078" t="str">
        <f t="shared" si="50"/>
        <v>Wk.3</v>
      </c>
      <c r="AK1078" t="str">
        <f>IF(pub_gid_0_single_true_output_csv[[#This Row],[Nilai2]]="","",VLOOKUP(pub_gid_0_single_true_output_csv[[#This Row],[NAMA]],Table7[],3,FALSE))</f>
        <v>Low average</v>
      </c>
    </row>
    <row r="1079" spans="1:37" x14ac:dyDescent="0.2">
      <c r="A1079">
        <v>1078</v>
      </c>
      <c r="B1079" t="s">
        <v>295</v>
      </c>
      <c r="C1079" t="s">
        <v>54</v>
      </c>
      <c r="D1079" t="s">
        <v>47</v>
      </c>
      <c r="E1079" t="s">
        <v>148</v>
      </c>
      <c r="F1079" s="25">
        <v>46048</v>
      </c>
      <c r="G1079" t="s">
        <v>371</v>
      </c>
      <c r="H1079" t="s">
        <v>405</v>
      </c>
      <c r="I1079" t="s">
        <v>371</v>
      </c>
      <c r="J1079" t="s">
        <v>36</v>
      </c>
      <c r="K1079" t="s">
        <v>37</v>
      </c>
      <c r="L1079" t="s">
        <v>351</v>
      </c>
      <c r="M1079" t="s">
        <v>141</v>
      </c>
      <c r="N1079" t="s">
        <v>142</v>
      </c>
      <c r="O1079" t="s">
        <v>155</v>
      </c>
      <c r="P1079" t="s">
        <v>281</v>
      </c>
      <c r="Q1079" t="s">
        <v>155</v>
      </c>
      <c r="R1079" t="s">
        <v>302</v>
      </c>
      <c r="S1079" t="s">
        <v>369</v>
      </c>
      <c r="T1079">
        <v>1</v>
      </c>
      <c r="U1079" t="s">
        <v>431</v>
      </c>
      <c r="V1079" t="s">
        <v>342</v>
      </c>
      <c r="W1079" t="s">
        <v>433</v>
      </c>
      <c r="X1079" t="s">
        <v>306</v>
      </c>
      <c r="Y1079" t="s">
        <v>307</v>
      </c>
      <c r="Z1079">
        <v>65</v>
      </c>
      <c r="AA1079">
        <v>67</v>
      </c>
      <c r="AB1079" t="s">
        <v>143</v>
      </c>
      <c r="AC1079" t="s">
        <v>336</v>
      </c>
      <c r="AD1079" t="s">
        <v>278</v>
      </c>
      <c r="AE1079" t="str">
        <f>IF(AF1079="","",VLOOKUP(AC1079,mapel!$A$2:$B$42,2,FALSE))</f>
        <v>Pancasila</v>
      </c>
      <c r="AF1079">
        <f t="shared" si="48"/>
        <v>67</v>
      </c>
      <c r="AG1079" t="str">
        <f>IF(AF1079="","",IF(AF1079&gt;90,"Sangat baik",IF(AF1079&gt;79,"Baik",IF(AF1079&gt;=pub_gid_0_single_true_output_csv[[#This Row],[KKM]],"Cukup","Kurang"))))</f>
        <v>Cukup</v>
      </c>
      <c r="AH1079">
        <f t="shared" si="49"/>
        <v>11</v>
      </c>
      <c r="AI1079" s="30" t="str">
        <f>IF(OR(J1079&lt;&gt;"Karakter",pub_gid_0_single_true_output_csv[[#This Row],[Nilai2]]=""),"",IF(AF1079&gt;89,"Sangat baik",IF(AF1079&gt;79,"Baik",IF(AF1079&gt;69,"Cukup",IF(AF1079&gt;59,"Kurang","Sangat kurang")))))</f>
        <v/>
      </c>
      <c r="AJ1079" t="str">
        <f t="shared" si="50"/>
        <v>Wk.5</v>
      </c>
      <c r="AK1079" t="str">
        <f>IF(pub_gid_0_single_true_output_csv[[#This Row],[Nilai2]]="","",VLOOKUP(pub_gid_0_single_true_output_csv[[#This Row],[NAMA]],Table7[],3,FALSE))</f>
        <v>Low average</v>
      </c>
    </row>
    <row r="1080" spans="1:37" x14ac:dyDescent="0.2">
      <c r="A1080">
        <v>1079</v>
      </c>
      <c r="B1080" t="s">
        <v>295</v>
      </c>
      <c r="C1080" t="s">
        <v>54</v>
      </c>
      <c r="D1080" t="s">
        <v>47</v>
      </c>
      <c r="E1080" t="s">
        <v>148</v>
      </c>
      <c r="F1080" s="25">
        <v>46048</v>
      </c>
      <c r="G1080" t="s">
        <v>371</v>
      </c>
      <c r="H1080" t="s">
        <v>405</v>
      </c>
      <c r="I1080" t="s">
        <v>371</v>
      </c>
      <c r="J1080" t="s">
        <v>31</v>
      </c>
      <c r="K1080" t="s">
        <v>96</v>
      </c>
      <c r="L1080" t="s">
        <v>351</v>
      </c>
      <c r="M1080" t="s">
        <v>141</v>
      </c>
      <c r="N1080" t="s">
        <v>142</v>
      </c>
      <c r="O1080" t="s">
        <v>155</v>
      </c>
      <c r="P1080" t="s">
        <v>281</v>
      </c>
      <c r="Q1080" t="s">
        <v>155</v>
      </c>
      <c r="R1080" t="s">
        <v>302</v>
      </c>
      <c r="S1080" t="s">
        <v>369</v>
      </c>
      <c r="T1080">
        <v>1</v>
      </c>
      <c r="U1080" t="s">
        <v>431</v>
      </c>
      <c r="V1080" t="s">
        <v>342</v>
      </c>
      <c r="W1080" t="s">
        <v>433</v>
      </c>
      <c r="X1080" t="s">
        <v>306</v>
      </c>
      <c r="Y1080" t="s">
        <v>307</v>
      </c>
      <c r="Z1080">
        <v>65</v>
      </c>
      <c r="AA1080">
        <v>65</v>
      </c>
      <c r="AB1080" t="s">
        <v>143</v>
      </c>
      <c r="AC1080" t="s">
        <v>336</v>
      </c>
      <c r="AD1080" t="s">
        <v>278</v>
      </c>
      <c r="AE1080" t="str">
        <f>IF(AF1080="","",VLOOKUP(AC1080,mapel!$A$2:$B$42,2,FALSE))</f>
        <v>Pancasila</v>
      </c>
      <c r="AF1080">
        <f t="shared" si="48"/>
        <v>65</v>
      </c>
      <c r="AG1080" t="str">
        <f>IF(AF1080="","",IF(AF1080&gt;90,"Sangat baik",IF(AF1080&gt;79,"Baik",IF(AF1080&gt;=pub_gid_0_single_true_output_csv[[#This Row],[KKM]],"Cukup","Kurang"))))</f>
        <v>Cukup</v>
      </c>
      <c r="AH1080">
        <f t="shared" si="49"/>
        <v>11</v>
      </c>
      <c r="AI1080" s="30" t="str">
        <f>IF(OR(J1080&lt;&gt;"Karakter",pub_gid_0_single_true_output_csv[[#This Row],[Nilai2]]=""),"",IF(AF1080&gt;89,"Sangat baik",IF(AF1080&gt;79,"Baik",IF(AF1080&gt;69,"Cukup",IF(AF1080&gt;59,"Kurang","Sangat kurang")))))</f>
        <v/>
      </c>
      <c r="AJ1080" t="str">
        <f t="shared" si="50"/>
        <v>Wk.5</v>
      </c>
      <c r="AK1080" t="str">
        <f>IF(pub_gid_0_single_true_output_csv[[#This Row],[Nilai2]]="","",VLOOKUP(pub_gid_0_single_true_output_csv[[#This Row],[NAMA]],Table7[],3,FALSE))</f>
        <v>Low average</v>
      </c>
    </row>
    <row r="1081" spans="1:37" x14ac:dyDescent="0.2">
      <c r="A1081">
        <v>1080</v>
      </c>
      <c r="B1081" t="s">
        <v>295</v>
      </c>
      <c r="C1081" t="s">
        <v>54</v>
      </c>
      <c r="D1081" t="s">
        <v>47</v>
      </c>
      <c r="E1081" t="s">
        <v>148</v>
      </c>
      <c r="F1081" s="25">
        <v>46048</v>
      </c>
      <c r="G1081" t="s">
        <v>371</v>
      </c>
      <c r="H1081" t="s">
        <v>405</v>
      </c>
      <c r="I1081" t="s">
        <v>371</v>
      </c>
      <c r="J1081" t="s">
        <v>90</v>
      </c>
      <c r="K1081" t="s">
        <v>377</v>
      </c>
      <c r="L1081" t="s">
        <v>378</v>
      </c>
      <c r="M1081" t="s">
        <v>141</v>
      </c>
      <c r="N1081" t="s">
        <v>142</v>
      </c>
      <c r="O1081" t="s">
        <v>155</v>
      </c>
      <c r="P1081" t="s">
        <v>281</v>
      </c>
      <c r="Q1081" t="s">
        <v>155</v>
      </c>
      <c r="R1081" t="s">
        <v>302</v>
      </c>
      <c r="S1081" t="s">
        <v>369</v>
      </c>
      <c r="T1081">
        <v>1</v>
      </c>
      <c r="U1081" t="s">
        <v>431</v>
      </c>
      <c r="V1081" t="s">
        <v>342</v>
      </c>
      <c r="W1081" t="s">
        <v>433</v>
      </c>
      <c r="X1081" t="s">
        <v>306</v>
      </c>
      <c r="Y1081" t="s">
        <v>307</v>
      </c>
      <c r="Z1081">
        <v>65</v>
      </c>
      <c r="AA1081">
        <v>75</v>
      </c>
      <c r="AB1081" t="s">
        <v>143</v>
      </c>
      <c r="AC1081" t="s">
        <v>336</v>
      </c>
      <c r="AD1081" t="s">
        <v>278</v>
      </c>
      <c r="AE1081" t="str">
        <f>IF(AF1081="","",VLOOKUP(AC1081,mapel!$A$2:$B$42,2,FALSE))</f>
        <v>Pancasila</v>
      </c>
      <c r="AF1081">
        <f t="shared" si="48"/>
        <v>75</v>
      </c>
      <c r="AG1081" t="str">
        <f>IF(AF1081="","",IF(AF1081&gt;90,"Sangat baik",IF(AF1081&gt;79,"Baik",IF(AF1081&gt;=pub_gid_0_single_true_output_csv[[#This Row],[KKM]],"Cukup","Kurang"))))</f>
        <v>Cukup</v>
      </c>
      <c r="AH1081">
        <f t="shared" si="49"/>
        <v>11</v>
      </c>
      <c r="AI1081" s="30" t="str">
        <f>IF(OR(J1081&lt;&gt;"Karakter",pub_gid_0_single_true_output_csv[[#This Row],[Nilai2]]=""),"",IF(AF1081&gt;89,"Sangat baik",IF(AF1081&gt;79,"Baik",IF(AF1081&gt;69,"Cukup",IF(AF1081&gt;59,"Kurang","Sangat kurang")))))</f>
        <v>Cukup</v>
      </c>
      <c r="AJ1081" t="str">
        <f t="shared" si="50"/>
        <v>Wk.5</v>
      </c>
      <c r="AK1081" t="str">
        <f>IF(pub_gid_0_single_true_output_csv[[#This Row],[Nilai2]]="","",VLOOKUP(pub_gid_0_single_true_output_csv[[#This Row],[NAMA]],Table7[],3,FALSE))</f>
        <v>Low average</v>
      </c>
    </row>
    <row r="1082" spans="1:37" x14ac:dyDescent="0.2">
      <c r="A1082">
        <v>1081</v>
      </c>
      <c r="B1082" t="s">
        <v>295</v>
      </c>
      <c r="C1082" t="s">
        <v>54</v>
      </c>
      <c r="D1082" t="s">
        <v>47</v>
      </c>
      <c r="E1082" t="s">
        <v>148</v>
      </c>
      <c r="F1082" s="25">
        <v>46048</v>
      </c>
      <c r="G1082" t="s">
        <v>371</v>
      </c>
      <c r="H1082" t="s">
        <v>405</v>
      </c>
      <c r="I1082" t="s">
        <v>371</v>
      </c>
      <c r="J1082" t="s">
        <v>279</v>
      </c>
      <c r="K1082" t="s">
        <v>280</v>
      </c>
      <c r="L1082" t="s">
        <v>322</v>
      </c>
      <c r="M1082" t="s">
        <v>141</v>
      </c>
      <c r="N1082" t="s">
        <v>142</v>
      </c>
      <c r="O1082" t="s">
        <v>155</v>
      </c>
      <c r="P1082" t="s">
        <v>281</v>
      </c>
      <c r="Q1082" t="s">
        <v>155</v>
      </c>
      <c r="R1082" t="s">
        <v>302</v>
      </c>
      <c r="S1082" t="s">
        <v>369</v>
      </c>
      <c r="T1082">
        <v>1</v>
      </c>
      <c r="U1082" t="s">
        <v>431</v>
      </c>
      <c r="V1082" t="s">
        <v>342</v>
      </c>
      <c r="W1082" t="s">
        <v>433</v>
      </c>
      <c r="X1082" t="s">
        <v>306</v>
      </c>
      <c r="Y1082" t="s">
        <v>307</v>
      </c>
      <c r="Z1082">
        <v>65</v>
      </c>
      <c r="AA1082">
        <v>65</v>
      </c>
      <c r="AB1082" t="s">
        <v>143</v>
      </c>
      <c r="AC1082" t="s">
        <v>336</v>
      </c>
      <c r="AD1082" t="s">
        <v>278</v>
      </c>
      <c r="AE1082" t="str">
        <f>IF(AF1082="","",VLOOKUP(AC1082,mapel!$A$2:$B$42,2,FALSE))</f>
        <v>Pancasila</v>
      </c>
      <c r="AF1082">
        <f t="shared" si="48"/>
        <v>65</v>
      </c>
      <c r="AG1082" t="str">
        <f>IF(AF1082="","",IF(AF1082&gt;90,"Sangat baik",IF(AF1082&gt;79,"Baik",IF(AF1082&gt;=pub_gid_0_single_true_output_csv[[#This Row],[KKM]],"Cukup","Kurang"))))</f>
        <v>Cukup</v>
      </c>
      <c r="AH1082">
        <f t="shared" si="49"/>
        <v>11</v>
      </c>
      <c r="AI1082" s="30" t="str">
        <f>IF(OR(J1082&lt;&gt;"Karakter",pub_gid_0_single_true_output_csv[[#This Row],[Nilai2]]=""),"",IF(AF1082&gt;89,"Sangat baik",IF(AF1082&gt;79,"Baik",IF(AF1082&gt;69,"Cukup",IF(AF1082&gt;59,"Kurang","Sangat kurang")))))</f>
        <v/>
      </c>
      <c r="AJ1082" t="str">
        <f t="shared" si="50"/>
        <v>Wk.5</v>
      </c>
      <c r="AK1082" t="str">
        <f>IF(pub_gid_0_single_true_output_csv[[#This Row],[Nilai2]]="","",VLOOKUP(pub_gid_0_single_true_output_csv[[#This Row],[NAMA]],Table7[],3,FALSE))</f>
        <v>Low average</v>
      </c>
    </row>
    <row r="1083" spans="1:37" x14ac:dyDescent="0.2">
      <c r="A1083">
        <v>1082</v>
      </c>
      <c r="B1083" t="s">
        <v>295</v>
      </c>
      <c r="C1083" t="s">
        <v>54</v>
      </c>
      <c r="D1083" t="s">
        <v>47</v>
      </c>
      <c r="E1083" t="s">
        <v>148</v>
      </c>
      <c r="F1083" s="25">
        <v>46055</v>
      </c>
      <c r="G1083" t="s">
        <v>379</v>
      </c>
      <c r="H1083" t="s">
        <v>412</v>
      </c>
      <c r="I1083" t="s">
        <v>371</v>
      </c>
      <c r="J1083" t="s">
        <v>90</v>
      </c>
      <c r="K1083" t="s">
        <v>377</v>
      </c>
      <c r="L1083" t="s">
        <v>400</v>
      </c>
      <c r="M1083" t="s">
        <v>141</v>
      </c>
      <c r="N1083" t="s">
        <v>142</v>
      </c>
      <c r="O1083" t="s">
        <v>155</v>
      </c>
      <c r="P1083" t="s">
        <v>281</v>
      </c>
      <c r="Q1083" t="s">
        <v>155</v>
      </c>
      <c r="R1083" t="s">
        <v>302</v>
      </c>
      <c r="S1083" t="s">
        <v>345</v>
      </c>
      <c r="T1083">
        <v>1</v>
      </c>
      <c r="U1083" t="s">
        <v>431</v>
      </c>
      <c r="V1083" t="s">
        <v>343</v>
      </c>
      <c r="W1083" t="s">
        <v>434</v>
      </c>
      <c r="X1083" t="s">
        <v>306</v>
      </c>
      <c r="Y1083" t="s">
        <v>307</v>
      </c>
      <c r="Z1083">
        <v>65</v>
      </c>
      <c r="AA1083">
        <v>78</v>
      </c>
      <c r="AB1083" t="s">
        <v>143</v>
      </c>
      <c r="AC1083" t="s">
        <v>336</v>
      </c>
      <c r="AD1083" t="s">
        <v>278</v>
      </c>
      <c r="AE1083" t="str">
        <f>IF(AF1083="","",VLOOKUP(AC1083,mapel!$A$2:$B$42,2,FALSE))</f>
        <v>Pancasila</v>
      </c>
      <c r="AF1083">
        <f t="shared" si="48"/>
        <v>78</v>
      </c>
      <c r="AG1083" t="str">
        <f>IF(AF1083="","",IF(AF1083&gt;90,"Sangat baik",IF(AF1083&gt;79,"Baik",IF(AF1083&gt;=pub_gid_0_single_true_output_csv[[#This Row],[KKM]],"Cukup","Kurang"))))</f>
        <v>Cukup</v>
      </c>
      <c r="AH1083">
        <f t="shared" si="49"/>
        <v>11</v>
      </c>
      <c r="AI1083" s="30" t="str">
        <f>IF(OR(J1083&lt;&gt;"Karakter",pub_gid_0_single_true_output_csv[[#This Row],[Nilai2]]=""),"",IF(AF1083&gt;89,"Sangat baik",IF(AF1083&gt;79,"Baik",IF(AF1083&gt;69,"Cukup",IF(AF1083&gt;59,"Kurang","Sangat kurang")))))</f>
        <v>Cukup</v>
      </c>
      <c r="AJ1083" t="str">
        <f t="shared" si="50"/>
        <v>Wk.6</v>
      </c>
      <c r="AK1083" t="str">
        <f>IF(pub_gid_0_single_true_output_csv[[#This Row],[Nilai2]]="","",VLOOKUP(pub_gid_0_single_true_output_csv[[#This Row],[NAMA]],Table7[],3,FALSE))</f>
        <v>Low average</v>
      </c>
    </row>
    <row r="1084" spans="1:37" x14ac:dyDescent="0.2">
      <c r="A1084">
        <v>1083</v>
      </c>
      <c r="B1084" t="s">
        <v>295</v>
      </c>
      <c r="C1084" t="s">
        <v>54</v>
      </c>
      <c r="D1084" t="s">
        <v>47</v>
      </c>
      <c r="E1084" t="s">
        <v>148</v>
      </c>
      <c r="F1084" s="25">
        <v>46055</v>
      </c>
      <c r="G1084" t="s">
        <v>379</v>
      </c>
      <c r="H1084" t="s">
        <v>412</v>
      </c>
      <c r="I1084" t="s">
        <v>371</v>
      </c>
      <c r="J1084" t="s">
        <v>279</v>
      </c>
      <c r="K1084" t="s">
        <v>280</v>
      </c>
      <c r="L1084" t="s">
        <v>322</v>
      </c>
      <c r="M1084" t="s">
        <v>141</v>
      </c>
      <c r="N1084" t="s">
        <v>142</v>
      </c>
      <c r="O1084" t="s">
        <v>155</v>
      </c>
      <c r="P1084" t="s">
        <v>281</v>
      </c>
      <c r="Q1084" t="s">
        <v>155</v>
      </c>
      <c r="R1084" t="s">
        <v>302</v>
      </c>
      <c r="S1084" t="s">
        <v>345</v>
      </c>
      <c r="T1084">
        <v>1</v>
      </c>
      <c r="U1084" t="s">
        <v>431</v>
      </c>
      <c r="V1084" t="s">
        <v>343</v>
      </c>
      <c r="W1084" t="s">
        <v>434</v>
      </c>
      <c r="X1084" t="s">
        <v>306</v>
      </c>
      <c r="Y1084" t="s">
        <v>307</v>
      </c>
      <c r="Z1084">
        <v>65</v>
      </c>
      <c r="AA1084">
        <v>78</v>
      </c>
      <c r="AB1084" t="s">
        <v>143</v>
      </c>
      <c r="AC1084" t="s">
        <v>336</v>
      </c>
      <c r="AD1084" t="s">
        <v>278</v>
      </c>
      <c r="AE1084" t="str">
        <f>IF(AF1084="","",VLOOKUP(AC1084,mapel!$A$2:$B$42,2,FALSE))</f>
        <v>Pancasila</v>
      </c>
      <c r="AF1084">
        <f t="shared" si="48"/>
        <v>78</v>
      </c>
      <c r="AG1084" t="str">
        <f>IF(AF1084="","",IF(AF1084&gt;90,"Sangat baik",IF(AF1084&gt;79,"Baik",IF(AF1084&gt;=pub_gid_0_single_true_output_csv[[#This Row],[KKM]],"Cukup","Kurang"))))</f>
        <v>Cukup</v>
      </c>
      <c r="AH1084">
        <f t="shared" si="49"/>
        <v>11</v>
      </c>
      <c r="AI1084" s="30" t="str">
        <f>IF(OR(J1084&lt;&gt;"Karakter",pub_gid_0_single_true_output_csv[[#This Row],[Nilai2]]=""),"",IF(AF1084&gt;89,"Sangat baik",IF(AF1084&gt;79,"Baik",IF(AF1084&gt;69,"Cukup",IF(AF1084&gt;59,"Kurang","Sangat kurang")))))</f>
        <v/>
      </c>
      <c r="AJ1084" t="str">
        <f t="shared" si="50"/>
        <v>Wk.6</v>
      </c>
      <c r="AK1084" t="str">
        <f>IF(pub_gid_0_single_true_output_csv[[#This Row],[Nilai2]]="","",VLOOKUP(pub_gid_0_single_true_output_csv[[#This Row],[NAMA]],Table7[],3,FALSE))</f>
        <v>Low average</v>
      </c>
    </row>
    <row r="1085" spans="1:37" x14ac:dyDescent="0.2">
      <c r="A1085">
        <v>1084</v>
      </c>
      <c r="B1085" t="s">
        <v>295</v>
      </c>
      <c r="C1085" t="s">
        <v>54</v>
      </c>
      <c r="D1085" t="s">
        <v>47</v>
      </c>
      <c r="E1085" t="s">
        <v>148</v>
      </c>
      <c r="F1085" s="25">
        <v>46055</v>
      </c>
      <c r="G1085" t="s">
        <v>379</v>
      </c>
      <c r="H1085" t="s">
        <v>412</v>
      </c>
      <c r="I1085" t="s">
        <v>371</v>
      </c>
      <c r="J1085" t="s">
        <v>41</v>
      </c>
      <c r="K1085" t="s">
        <v>365</v>
      </c>
      <c r="L1085" t="s">
        <v>351</v>
      </c>
      <c r="M1085" t="s">
        <v>141</v>
      </c>
      <c r="N1085" t="s">
        <v>142</v>
      </c>
      <c r="O1085" t="s">
        <v>155</v>
      </c>
      <c r="P1085" t="s">
        <v>281</v>
      </c>
      <c r="Q1085" t="s">
        <v>155</v>
      </c>
      <c r="R1085" t="s">
        <v>302</v>
      </c>
      <c r="S1085" t="s">
        <v>345</v>
      </c>
      <c r="T1085">
        <v>1</v>
      </c>
      <c r="U1085" t="s">
        <v>431</v>
      </c>
      <c r="V1085" t="s">
        <v>343</v>
      </c>
      <c r="W1085" t="s">
        <v>434</v>
      </c>
      <c r="X1085" t="s">
        <v>306</v>
      </c>
      <c r="Y1085" t="s">
        <v>307</v>
      </c>
      <c r="Z1085">
        <v>65</v>
      </c>
      <c r="AA1085">
        <v>70</v>
      </c>
      <c r="AB1085" t="s">
        <v>143</v>
      </c>
      <c r="AC1085" t="s">
        <v>336</v>
      </c>
      <c r="AD1085" t="s">
        <v>278</v>
      </c>
      <c r="AE1085" t="str">
        <f>IF(AF1085="","",VLOOKUP(AC1085,mapel!$A$2:$B$42,2,FALSE))</f>
        <v>Pancasila</v>
      </c>
      <c r="AF1085">
        <f t="shared" si="48"/>
        <v>70</v>
      </c>
      <c r="AG1085" t="str">
        <f>IF(AF1085="","",IF(AF1085&gt;90,"Sangat baik",IF(AF1085&gt;79,"Baik",IF(AF1085&gt;=pub_gid_0_single_true_output_csv[[#This Row],[KKM]],"Cukup","Kurang"))))</f>
        <v>Cukup</v>
      </c>
      <c r="AH1085">
        <f t="shared" si="49"/>
        <v>11</v>
      </c>
      <c r="AI1085" s="30" t="str">
        <f>IF(OR(J1085&lt;&gt;"Karakter",pub_gid_0_single_true_output_csv[[#This Row],[Nilai2]]=""),"",IF(AF1085&gt;89,"Sangat baik",IF(AF1085&gt;79,"Baik",IF(AF1085&gt;69,"Cukup",IF(AF1085&gt;59,"Kurang","Sangat kurang")))))</f>
        <v/>
      </c>
      <c r="AJ1085" t="str">
        <f t="shared" si="50"/>
        <v>Wk.6</v>
      </c>
      <c r="AK1085" t="str">
        <f>IF(pub_gid_0_single_true_output_csv[[#This Row],[Nilai2]]="","",VLOOKUP(pub_gid_0_single_true_output_csv[[#This Row],[NAMA]],Table7[],3,FALSE))</f>
        <v>Low average</v>
      </c>
    </row>
    <row r="1086" spans="1:37" x14ac:dyDescent="0.2">
      <c r="A1086">
        <v>1085</v>
      </c>
      <c r="B1086" t="s">
        <v>295</v>
      </c>
      <c r="C1086" t="s">
        <v>54</v>
      </c>
      <c r="D1086" t="s">
        <v>47</v>
      </c>
      <c r="E1086" t="s">
        <v>148</v>
      </c>
      <c r="F1086" s="25">
        <v>46055</v>
      </c>
      <c r="G1086" t="s">
        <v>379</v>
      </c>
      <c r="H1086" t="s">
        <v>412</v>
      </c>
      <c r="I1086" t="s">
        <v>371</v>
      </c>
      <c r="J1086" t="s">
        <v>31</v>
      </c>
      <c r="K1086" t="s">
        <v>96</v>
      </c>
      <c r="L1086" t="s">
        <v>351</v>
      </c>
      <c r="M1086" t="s">
        <v>141</v>
      </c>
      <c r="N1086" t="s">
        <v>142</v>
      </c>
      <c r="O1086" t="s">
        <v>155</v>
      </c>
      <c r="P1086" t="s">
        <v>281</v>
      </c>
      <c r="Q1086" t="s">
        <v>155</v>
      </c>
      <c r="R1086" t="s">
        <v>302</v>
      </c>
      <c r="S1086" t="s">
        <v>345</v>
      </c>
      <c r="T1086">
        <v>1</v>
      </c>
      <c r="U1086" t="s">
        <v>431</v>
      </c>
      <c r="V1086" t="s">
        <v>343</v>
      </c>
      <c r="W1086" t="s">
        <v>434</v>
      </c>
      <c r="X1086" t="s">
        <v>306</v>
      </c>
      <c r="Y1086" t="s">
        <v>307</v>
      </c>
      <c r="Z1086">
        <v>65</v>
      </c>
      <c r="AA1086">
        <v>55</v>
      </c>
      <c r="AB1086" t="s">
        <v>151</v>
      </c>
      <c r="AC1086" t="s">
        <v>336</v>
      </c>
      <c r="AD1086" t="s">
        <v>278</v>
      </c>
      <c r="AE1086" t="str">
        <f>IF(AF1086="","",VLOOKUP(AC1086,mapel!$A$2:$B$42,2,FALSE))</f>
        <v>Pancasila</v>
      </c>
      <c r="AF1086">
        <f t="shared" si="48"/>
        <v>55</v>
      </c>
      <c r="AG1086" t="str">
        <f>IF(AF1086="","",IF(AF1086&gt;90,"Sangat baik",IF(AF1086&gt;79,"Baik",IF(AF1086&gt;=pub_gid_0_single_true_output_csv[[#This Row],[KKM]],"Cukup","Kurang"))))</f>
        <v>Kurang</v>
      </c>
      <c r="AH1086">
        <f t="shared" si="49"/>
        <v>11</v>
      </c>
      <c r="AI1086" s="30" t="str">
        <f>IF(OR(J1086&lt;&gt;"Karakter",pub_gid_0_single_true_output_csv[[#This Row],[Nilai2]]=""),"",IF(AF1086&gt;89,"Sangat baik",IF(AF1086&gt;79,"Baik",IF(AF1086&gt;69,"Cukup",IF(AF1086&gt;59,"Kurang","Sangat kurang")))))</f>
        <v/>
      </c>
      <c r="AJ1086" t="str">
        <f t="shared" si="50"/>
        <v>Wk.6</v>
      </c>
      <c r="AK1086" t="str">
        <f>IF(pub_gid_0_single_true_output_csv[[#This Row],[Nilai2]]="","",VLOOKUP(pub_gid_0_single_true_output_csv[[#This Row],[NAMA]],Table7[],3,FALSE))</f>
        <v>Low average</v>
      </c>
    </row>
    <row r="1087" spans="1:37" x14ac:dyDescent="0.2">
      <c r="A1087">
        <v>1086</v>
      </c>
      <c r="B1087" t="s">
        <v>295</v>
      </c>
      <c r="C1087" t="s">
        <v>54</v>
      </c>
      <c r="D1087" t="s">
        <v>47</v>
      </c>
      <c r="E1087" t="s">
        <v>148</v>
      </c>
      <c r="F1087" s="25">
        <v>46055</v>
      </c>
      <c r="G1087" t="s">
        <v>379</v>
      </c>
      <c r="H1087" t="s">
        <v>412</v>
      </c>
      <c r="I1087" t="s">
        <v>371</v>
      </c>
      <c r="J1087" t="s">
        <v>36</v>
      </c>
      <c r="K1087" t="s">
        <v>37</v>
      </c>
      <c r="L1087" t="s">
        <v>324</v>
      </c>
      <c r="M1087" t="s">
        <v>141</v>
      </c>
      <c r="N1087" t="s">
        <v>142</v>
      </c>
      <c r="O1087" t="s">
        <v>155</v>
      </c>
      <c r="P1087" t="s">
        <v>281</v>
      </c>
      <c r="Q1087" t="s">
        <v>155</v>
      </c>
      <c r="R1087" t="s">
        <v>302</v>
      </c>
      <c r="S1087" t="s">
        <v>345</v>
      </c>
      <c r="T1087">
        <v>1</v>
      </c>
      <c r="U1087" t="s">
        <v>431</v>
      </c>
      <c r="V1087" t="s">
        <v>343</v>
      </c>
      <c r="W1087" t="s">
        <v>434</v>
      </c>
      <c r="X1087" t="s">
        <v>306</v>
      </c>
      <c r="Y1087" t="s">
        <v>307</v>
      </c>
      <c r="Z1087">
        <v>65</v>
      </c>
      <c r="AA1087">
        <v>50</v>
      </c>
      <c r="AB1087" t="s">
        <v>151</v>
      </c>
      <c r="AC1087" t="s">
        <v>336</v>
      </c>
      <c r="AD1087" t="s">
        <v>278</v>
      </c>
      <c r="AE1087" t="str">
        <f>IF(AF1087="","",VLOOKUP(AC1087,mapel!$A$2:$B$42,2,FALSE))</f>
        <v>Pancasila</v>
      </c>
      <c r="AF1087">
        <f t="shared" si="48"/>
        <v>50</v>
      </c>
      <c r="AG1087" t="str">
        <f>IF(AF1087="","",IF(AF1087&gt;90,"Sangat baik",IF(AF1087&gt;79,"Baik",IF(AF1087&gt;=pub_gid_0_single_true_output_csv[[#This Row],[KKM]],"Cukup","Kurang"))))</f>
        <v>Kurang</v>
      </c>
      <c r="AH1087">
        <f t="shared" si="49"/>
        <v>11</v>
      </c>
      <c r="AI1087" s="30" t="str">
        <f>IF(OR(J1087&lt;&gt;"Karakter",pub_gid_0_single_true_output_csv[[#This Row],[Nilai2]]=""),"",IF(AF1087&gt;89,"Sangat baik",IF(AF1087&gt;79,"Baik",IF(AF1087&gt;69,"Cukup",IF(AF1087&gt;59,"Kurang","Sangat kurang")))))</f>
        <v/>
      </c>
      <c r="AJ1087" t="str">
        <f t="shared" si="50"/>
        <v>Wk.6</v>
      </c>
      <c r="AK1087" t="str">
        <f>IF(pub_gid_0_single_true_output_csv[[#This Row],[Nilai2]]="","",VLOOKUP(pub_gid_0_single_true_output_csv[[#This Row],[NAMA]],Table7[],3,FALSE))</f>
        <v>Low average</v>
      </c>
    </row>
    <row r="1088" spans="1:37" x14ac:dyDescent="0.2">
      <c r="A1088">
        <v>1087</v>
      </c>
      <c r="B1088" t="s">
        <v>295</v>
      </c>
      <c r="C1088" t="s">
        <v>54</v>
      </c>
      <c r="D1088" t="s">
        <v>47</v>
      </c>
      <c r="E1088" t="s">
        <v>148</v>
      </c>
      <c r="F1088" s="25">
        <v>46062</v>
      </c>
      <c r="G1088" t="s">
        <v>376</v>
      </c>
      <c r="H1088" t="s">
        <v>412</v>
      </c>
      <c r="I1088" t="s">
        <v>371</v>
      </c>
      <c r="J1088" t="s">
        <v>36</v>
      </c>
      <c r="K1088" t="s">
        <v>362</v>
      </c>
      <c r="L1088" t="s">
        <v>363</v>
      </c>
      <c r="M1088" t="s">
        <v>141</v>
      </c>
      <c r="N1088" t="s">
        <v>142</v>
      </c>
      <c r="O1088" t="s">
        <v>155</v>
      </c>
      <c r="P1088" t="s">
        <v>281</v>
      </c>
      <c r="Q1088" t="s">
        <v>155</v>
      </c>
      <c r="R1088" t="s">
        <v>302</v>
      </c>
      <c r="S1088" t="s">
        <v>309</v>
      </c>
      <c r="T1088">
        <v>1</v>
      </c>
      <c r="U1088" t="s">
        <v>431</v>
      </c>
      <c r="V1088" t="s">
        <v>285</v>
      </c>
      <c r="W1088" t="s">
        <v>432</v>
      </c>
      <c r="X1088" t="s">
        <v>306</v>
      </c>
      <c r="Y1088" t="s">
        <v>307</v>
      </c>
      <c r="Z1088">
        <v>65</v>
      </c>
      <c r="AA1088">
        <v>50</v>
      </c>
      <c r="AB1088" t="s">
        <v>151</v>
      </c>
      <c r="AC1088" t="s">
        <v>336</v>
      </c>
      <c r="AD1088" t="s">
        <v>278</v>
      </c>
      <c r="AE1088" t="str">
        <f>IF(AF1088="","",VLOOKUP(AC1088,mapel!$A$2:$B$42,2,FALSE))</f>
        <v>Pancasila</v>
      </c>
      <c r="AF1088">
        <f t="shared" si="48"/>
        <v>50</v>
      </c>
      <c r="AG1088" t="str">
        <f>IF(AF1088="","",IF(AF1088&gt;90,"Sangat baik",IF(AF1088&gt;79,"Baik",IF(AF1088&gt;=pub_gid_0_single_true_output_csv[[#This Row],[KKM]],"Cukup","Kurang"))))</f>
        <v>Kurang</v>
      </c>
      <c r="AH1088">
        <f t="shared" si="49"/>
        <v>11</v>
      </c>
      <c r="AI1088" s="30" t="str">
        <f>IF(OR(J1088&lt;&gt;"Karakter",pub_gid_0_single_true_output_csv[[#This Row],[Nilai2]]=""),"",IF(AF1088&gt;89,"Sangat baik",IF(AF1088&gt;79,"Baik",IF(AF1088&gt;69,"Cukup",IF(AF1088&gt;59,"Kurang","Sangat kurang")))))</f>
        <v/>
      </c>
      <c r="AJ1088" t="str">
        <f t="shared" si="50"/>
        <v>Wk.7</v>
      </c>
      <c r="AK1088" t="str">
        <f>IF(pub_gid_0_single_true_output_csv[[#This Row],[Nilai2]]="","",VLOOKUP(pub_gid_0_single_true_output_csv[[#This Row],[NAMA]],Table7[],3,FALSE))</f>
        <v>Low average</v>
      </c>
    </row>
    <row r="1089" spans="1:37" x14ac:dyDescent="0.2">
      <c r="A1089">
        <v>1088</v>
      </c>
      <c r="B1089" t="s">
        <v>295</v>
      </c>
      <c r="C1089" t="s">
        <v>54</v>
      </c>
      <c r="D1089" t="s">
        <v>47</v>
      </c>
      <c r="E1089" t="s">
        <v>148</v>
      </c>
      <c r="F1089" s="25">
        <v>46062</v>
      </c>
      <c r="G1089" t="s">
        <v>376</v>
      </c>
      <c r="H1089" t="s">
        <v>412</v>
      </c>
      <c r="I1089" t="s">
        <v>371</v>
      </c>
      <c r="J1089" t="s">
        <v>36</v>
      </c>
      <c r="K1089" t="s">
        <v>362</v>
      </c>
      <c r="L1089" t="s">
        <v>363</v>
      </c>
      <c r="M1089" t="s">
        <v>141</v>
      </c>
      <c r="N1089" t="s">
        <v>142</v>
      </c>
      <c r="O1089" t="s">
        <v>155</v>
      </c>
      <c r="P1089" t="s">
        <v>281</v>
      </c>
      <c r="Q1089" t="s">
        <v>155</v>
      </c>
      <c r="R1089" t="s">
        <v>302</v>
      </c>
      <c r="S1089" t="s">
        <v>369</v>
      </c>
      <c r="T1089">
        <v>1</v>
      </c>
      <c r="U1089" t="s">
        <v>431</v>
      </c>
      <c r="V1089" t="s">
        <v>342</v>
      </c>
      <c r="W1089" t="s">
        <v>433</v>
      </c>
      <c r="X1089" t="s">
        <v>306</v>
      </c>
      <c r="Y1089" t="s">
        <v>307</v>
      </c>
      <c r="Z1089">
        <v>65</v>
      </c>
      <c r="AA1089">
        <v>68</v>
      </c>
      <c r="AB1089" t="s">
        <v>143</v>
      </c>
      <c r="AC1089" t="s">
        <v>336</v>
      </c>
      <c r="AD1089" t="s">
        <v>278</v>
      </c>
      <c r="AE1089" t="str">
        <f>IF(AF1089="","",VLOOKUP(AC1089,mapel!$A$2:$B$42,2,FALSE))</f>
        <v>Pancasila</v>
      </c>
      <c r="AF1089">
        <f t="shared" si="48"/>
        <v>68</v>
      </c>
      <c r="AG1089" t="str">
        <f>IF(AF1089="","",IF(AF1089&gt;90,"Sangat baik",IF(AF1089&gt;79,"Baik",IF(AF1089&gt;=pub_gid_0_single_true_output_csv[[#This Row],[KKM]],"Cukup","Kurang"))))</f>
        <v>Cukup</v>
      </c>
      <c r="AH1089">
        <f t="shared" si="49"/>
        <v>11</v>
      </c>
      <c r="AI1089" s="30" t="str">
        <f>IF(OR(J1089&lt;&gt;"Karakter",pub_gid_0_single_true_output_csv[[#This Row],[Nilai2]]=""),"",IF(AF1089&gt;89,"Sangat baik",IF(AF1089&gt;79,"Baik",IF(AF1089&gt;69,"Cukup",IF(AF1089&gt;59,"Kurang","Sangat kurang")))))</f>
        <v/>
      </c>
      <c r="AJ1089" t="str">
        <f t="shared" si="50"/>
        <v>Wk.7</v>
      </c>
      <c r="AK1089" t="str">
        <f>IF(pub_gid_0_single_true_output_csv[[#This Row],[Nilai2]]="","",VLOOKUP(pub_gid_0_single_true_output_csv[[#This Row],[NAMA]],Table7[],3,FALSE))</f>
        <v>Low average</v>
      </c>
    </row>
    <row r="1090" spans="1:37" x14ac:dyDescent="0.2">
      <c r="A1090">
        <v>1089</v>
      </c>
      <c r="B1090" t="s">
        <v>295</v>
      </c>
      <c r="C1090" t="s">
        <v>54</v>
      </c>
      <c r="D1090" t="s">
        <v>47</v>
      </c>
      <c r="E1090" t="s">
        <v>148</v>
      </c>
      <c r="F1090" s="25">
        <v>46059</v>
      </c>
      <c r="G1090" t="s">
        <v>349</v>
      </c>
      <c r="H1090" t="s">
        <v>412</v>
      </c>
      <c r="I1090" t="s">
        <v>371</v>
      </c>
      <c r="J1090" t="s">
        <v>41</v>
      </c>
      <c r="K1090" t="s">
        <v>357</v>
      </c>
      <c r="L1090" t="s">
        <v>351</v>
      </c>
      <c r="M1090" t="s">
        <v>141</v>
      </c>
      <c r="N1090" t="s">
        <v>142</v>
      </c>
      <c r="O1090" t="s">
        <v>155</v>
      </c>
      <c r="P1090" t="s">
        <v>281</v>
      </c>
      <c r="Q1090" t="s">
        <v>155</v>
      </c>
      <c r="R1090" t="s">
        <v>302</v>
      </c>
      <c r="S1090" t="s">
        <v>345</v>
      </c>
      <c r="T1090">
        <v>1</v>
      </c>
      <c r="U1090" t="s">
        <v>431</v>
      </c>
      <c r="V1090" t="s">
        <v>343</v>
      </c>
      <c r="W1090" t="s">
        <v>434</v>
      </c>
      <c r="X1090" t="s">
        <v>306</v>
      </c>
      <c r="Y1090" t="s">
        <v>307</v>
      </c>
      <c r="Z1090">
        <v>65</v>
      </c>
      <c r="AA1090">
        <v>30</v>
      </c>
      <c r="AB1090" t="s">
        <v>151</v>
      </c>
      <c r="AC1090" t="s">
        <v>336</v>
      </c>
      <c r="AD1090" t="s">
        <v>278</v>
      </c>
      <c r="AE1090" t="str">
        <f>IF(AF1090="","",VLOOKUP(AC1090,mapel!$A$2:$B$42,2,FALSE))</f>
        <v>Pancasila</v>
      </c>
      <c r="AF1090">
        <f t="shared" ref="AF1090:AF1153" si="51">IF(AA1090=0, "",IF(AA1090 = 0.1, 0,AA1090))</f>
        <v>30</v>
      </c>
      <c r="AG1090" t="str">
        <f>IF(AF1090="","",IF(AF1090&gt;90,"Sangat baik",IF(AF1090&gt;79,"Baik",IF(AF1090&gt;=pub_gid_0_single_true_output_csv[[#This Row],[KKM]],"Cukup","Kurang"))))</f>
        <v>Kurang</v>
      </c>
      <c r="AH1090">
        <f t="shared" ref="AH1090:AH1153" si="52">IF(AG1090="","",VALUE(RIGHT(X1090,2)))</f>
        <v>11</v>
      </c>
      <c r="AI1090" s="30" t="str">
        <f>IF(OR(J1090&lt;&gt;"Karakter",pub_gid_0_single_true_output_csv[[#This Row],[Nilai2]]=""),"",IF(AF1090&gt;89,"Sangat baik",IF(AF1090&gt;79,"Baik",IF(AF1090&gt;69,"Cukup",IF(AF1090&gt;59,"Kurang","Sangat kurang")))))</f>
        <v/>
      </c>
      <c r="AJ1090" t="str">
        <f t="shared" ref="AJ1090:AJ1153" si="53">IF(AF1090="","",CONCATENATE("Wk.",WEEKNUM(F1090,2)))</f>
        <v>Wk.6</v>
      </c>
      <c r="AK1090" t="str">
        <f>IF(pub_gid_0_single_true_output_csv[[#This Row],[Nilai2]]="","",VLOOKUP(pub_gid_0_single_true_output_csv[[#This Row],[NAMA]],Table7[],3,FALSE))</f>
        <v>Low average</v>
      </c>
    </row>
    <row r="1091" spans="1:37" x14ac:dyDescent="0.2">
      <c r="A1091">
        <v>1090</v>
      </c>
      <c r="B1091" t="s">
        <v>295</v>
      </c>
      <c r="C1091" t="s">
        <v>54</v>
      </c>
      <c r="D1091" t="s">
        <v>47</v>
      </c>
      <c r="E1091" t="s">
        <v>148</v>
      </c>
      <c r="F1091" s="25">
        <v>46059</v>
      </c>
      <c r="G1091" t="s">
        <v>349</v>
      </c>
      <c r="H1091" t="s">
        <v>412</v>
      </c>
      <c r="I1091" t="s">
        <v>371</v>
      </c>
      <c r="J1091" t="s">
        <v>36</v>
      </c>
      <c r="K1091" t="s">
        <v>37</v>
      </c>
      <c r="L1091" t="s">
        <v>351</v>
      </c>
      <c r="M1091" t="s">
        <v>141</v>
      </c>
      <c r="N1091" t="s">
        <v>142</v>
      </c>
      <c r="O1091" t="s">
        <v>155</v>
      </c>
      <c r="P1091" t="s">
        <v>281</v>
      </c>
      <c r="Q1091" t="s">
        <v>155</v>
      </c>
      <c r="R1091" t="s">
        <v>302</v>
      </c>
      <c r="S1091" t="s">
        <v>345</v>
      </c>
      <c r="T1091">
        <v>1</v>
      </c>
      <c r="U1091" t="s">
        <v>431</v>
      </c>
      <c r="V1091" t="s">
        <v>343</v>
      </c>
      <c r="W1091" t="s">
        <v>434</v>
      </c>
      <c r="X1091" t="s">
        <v>306</v>
      </c>
      <c r="Y1091" t="s">
        <v>307</v>
      </c>
      <c r="Z1091">
        <v>65</v>
      </c>
      <c r="AA1091">
        <v>50</v>
      </c>
      <c r="AB1091" t="s">
        <v>151</v>
      </c>
      <c r="AC1091" t="s">
        <v>336</v>
      </c>
      <c r="AD1091" t="s">
        <v>278</v>
      </c>
      <c r="AE1091" t="str">
        <f>IF(AF1091="","",VLOOKUP(AC1091,mapel!$A$2:$B$42,2,FALSE))</f>
        <v>Pancasila</v>
      </c>
      <c r="AF1091">
        <f t="shared" si="51"/>
        <v>50</v>
      </c>
      <c r="AG1091" t="str">
        <f>IF(AF1091="","",IF(AF1091&gt;90,"Sangat baik",IF(AF1091&gt;79,"Baik",IF(AF1091&gt;=pub_gid_0_single_true_output_csv[[#This Row],[KKM]],"Cukup","Kurang"))))</f>
        <v>Kurang</v>
      </c>
      <c r="AH1091">
        <f t="shared" si="52"/>
        <v>11</v>
      </c>
      <c r="AI1091" s="30" t="str">
        <f>IF(OR(J1091&lt;&gt;"Karakter",pub_gid_0_single_true_output_csv[[#This Row],[Nilai2]]=""),"",IF(AF1091&gt;89,"Sangat baik",IF(AF1091&gt;79,"Baik",IF(AF1091&gt;69,"Cukup",IF(AF1091&gt;59,"Kurang","Sangat kurang")))))</f>
        <v/>
      </c>
      <c r="AJ1091" t="str">
        <f t="shared" si="53"/>
        <v>Wk.6</v>
      </c>
      <c r="AK1091" t="str">
        <f>IF(pub_gid_0_single_true_output_csv[[#This Row],[Nilai2]]="","",VLOOKUP(pub_gid_0_single_true_output_csv[[#This Row],[NAMA]],Table7[],3,FALSE))</f>
        <v>Low average</v>
      </c>
    </row>
    <row r="1092" spans="1:37" x14ac:dyDescent="0.2">
      <c r="A1092">
        <v>1091</v>
      </c>
      <c r="B1092" t="s">
        <v>296</v>
      </c>
      <c r="C1092" t="s">
        <v>54</v>
      </c>
      <c r="D1092" t="s">
        <v>48</v>
      </c>
      <c r="E1092" t="s">
        <v>140</v>
      </c>
      <c r="F1092" s="25">
        <v>46034</v>
      </c>
      <c r="G1092" t="s">
        <v>354</v>
      </c>
      <c r="H1092" t="s">
        <v>405</v>
      </c>
      <c r="I1092" t="s">
        <v>371</v>
      </c>
      <c r="J1092" t="s">
        <v>90</v>
      </c>
      <c r="K1092" t="s">
        <v>92</v>
      </c>
      <c r="L1092" t="s">
        <v>398</v>
      </c>
      <c r="M1092" t="s">
        <v>141</v>
      </c>
      <c r="N1092" t="s">
        <v>142</v>
      </c>
      <c r="O1092" t="s">
        <v>155</v>
      </c>
      <c r="P1092" t="s">
        <v>281</v>
      </c>
      <c r="Q1092" t="s">
        <v>155</v>
      </c>
      <c r="R1092" t="s">
        <v>302</v>
      </c>
      <c r="S1092" t="s">
        <v>309</v>
      </c>
      <c r="T1092">
        <v>1</v>
      </c>
      <c r="U1092" t="s">
        <v>431</v>
      </c>
      <c r="V1092" t="s">
        <v>285</v>
      </c>
      <c r="W1092" t="s">
        <v>432</v>
      </c>
      <c r="X1092" t="s">
        <v>306</v>
      </c>
      <c r="Y1092" t="s">
        <v>307</v>
      </c>
      <c r="Z1092">
        <v>65</v>
      </c>
      <c r="AA1092">
        <v>73</v>
      </c>
      <c r="AB1092" t="s">
        <v>143</v>
      </c>
      <c r="AC1092" t="s">
        <v>336</v>
      </c>
      <c r="AD1092" t="s">
        <v>278</v>
      </c>
      <c r="AE1092" t="str">
        <f>IF(AF1092="","",VLOOKUP(AC1092,mapel!$A$2:$B$42,2,FALSE))</f>
        <v>Pancasila</v>
      </c>
      <c r="AF1092">
        <f t="shared" si="51"/>
        <v>73</v>
      </c>
      <c r="AG1092" t="str">
        <f>IF(AF1092="","",IF(AF1092&gt;90,"Sangat baik",IF(AF1092&gt;79,"Baik",IF(AF1092&gt;=pub_gid_0_single_true_output_csv[[#This Row],[KKM]],"Cukup","Kurang"))))</f>
        <v>Cukup</v>
      </c>
      <c r="AH1092">
        <f t="shared" si="52"/>
        <v>11</v>
      </c>
      <c r="AI1092" s="30" t="str">
        <f>IF(OR(J1092&lt;&gt;"Karakter",pub_gid_0_single_true_output_csv[[#This Row],[Nilai2]]=""),"",IF(AF1092&gt;89,"Sangat baik",IF(AF1092&gt;79,"Baik",IF(AF1092&gt;69,"Cukup",IF(AF1092&gt;59,"Kurang","Sangat kurang")))))</f>
        <v>Cukup</v>
      </c>
      <c r="AJ1092" t="str">
        <f t="shared" si="53"/>
        <v>Wk.3</v>
      </c>
      <c r="AK1092" t="str">
        <f>IF(pub_gid_0_single_true_output_csv[[#This Row],[Nilai2]]="","",VLOOKUP(pub_gid_0_single_true_output_csv[[#This Row],[NAMA]],Table7[],3,FALSE))</f>
        <v>Average</v>
      </c>
    </row>
    <row r="1093" spans="1:37" x14ac:dyDescent="0.2">
      <c r="A1093">
        <v>1092</v>
      </c>
      <c r="B1093" t="s">
        <v>296</v>
      </c>
      <c r="C1093" t="s">
        <v>54</v>
      </c>
      <c r="D1093" t="s">
        <v>48</v>
      </c>
      <c r="E1093" t="s">
        <v>140</v>
      </c>
      <c r="F1093" s="25">
        <v>46034</v>
      </c>
      <c r="G1093" t="s">
        <v>354</v>
      </c>
      <c r="H1093" t="s">
        <v>405</v>
      </c>
      <c r="I1093" t="s">
        <v>371</v>
      </c>
      <c r="J1093" t="s">
        <v>36</v>
      </c>
      <c r="K1093" t="s">
        <v>37</v>
      </c>
      <c r="L1093" t="s">
        <v>150</v>
      </c>
      <c r="M1093" t="s">
        <v>141</v>
      </c>
      <c r="N1093" t="s">
        <v>142</v>
      </c>
      <c r="O1093" t="s">
        <v>155</v>
      </c>
      <c r="P1093" t="s">
        <v>281</v>
      </c>
      <c r="Q1093" t="s">
        <v>155</v>
      </c>
      <c r="R1093" t="s">
        <v>302</v>
      </c>
      <c r="S1093" t="s">
        <v>309</v>
      </c>
      <c r="T1093">
        <v>1</v>
      </c>
      <c r="U1093" t="s">
        <v>431</v>
      </c>
      <c r="V1093" t="s">
        <v>285</v>
      </c>
      <c r="W1093" t="s">
        <v>432</v>
      </c>
      <c r="X1093" t="s">
        <v>306</v>
      </c>
      <c r="Y1093" t="s">
        <v>307</v>
      </c>
      <c r="Z1093">
        <v>65</v>
      </c>
      <c r="AA1093">
        <v>68</v>
      </c>
      <c r="AB1093" t="s">
        <v>143</v>
      </c>
      <c r="AC1093" t="s">
        <v>336</v>
      </c>
      <c r="AD1093" t="s">
        <v>278</v>
      </c>
      <c r="AE1093" t="str">
        <f>IF(AF1093="","",VLOOKUP(AC1093,mapel!$A$2:$B$42,2,FALSE))</f>
        <v>Pancasila</v>
      </c>
      <c r="AF1093">
        <f t="shared" si="51"/>
        <v>68</v>
      </c>
      <c r="AG1093" t="str">
        <f>IF(AF1093="","",IF(AF1093&gt;90,"Sangat baik",IF(AF1093&gt;79,"Baik",IF(AF1093&gt;=pub_gid_0_single_true_output_csv[[#This Row],[KKM]],"Cukup","Kurang"))))</f>
        <v>Cukup</v>
      </c>
      <c r="AH1093">
        <f t="shared" si="52"/>
        <v>11</v>
      </c>
      <c r="AI1093" s="30" t="str">
        <f>IF(OR(J1093&lt;&gt;"Karakter",pub_gid_0_single_true_output_csv[[#This Row],[Nilai2]]=""),"",IF(AF1093&gt;89,"Sangat baik",IF(AF1093&gt;79,"Baik",IF(AF1093&gt;69,"Cukup",IF(AF1093&gt;59,"Kurang","Sangat kurang")))))</f>
        <v/>
      </c>
      <c r="AJ1093" t="str">
        <f t="shared" si="53"/>
        <v>Wk.3</v>
      </c>
      <c r="AK1093" t="str">
        <f>IF(pub_gid_0_single_true_output_csv[[#This Row],[Nilai2]]="","",VLOOKUP(pub_gid_0_single_true_output_csv[[#This Row],[NAMA]],Table7[],3,FALSE))</f>
        <v>Average</v>
      </c>
    </row>
    <row r="1094" spans="1:37" x14ac:dyDescent="0.2">
      <c r="A1094">
        <v>1093</v>
      </c>
      <c r="B1094" t="s">
        <v>296</v>
      </c>
      <c r="C1094" t="s">
        <v>54</v>
      </c>
      <c r="D1094" t="s">
        <v>48</v>
      </c>
      <c r="E1094" t="s">
        <v>140</v>
      </c>
      <c r="F1094" s="25">
        <v>46034</v>
      </c>
      <c r="G1094" t="s">
        <v>354</v>
      </c>
      <c r="H1094" t="s">
        <v>405</v>
      </c>
      <c r="I1094" t="s">
        <v>371</v>
      </c>
      <c r="J1094" t="s">
        <v>31</v>
      </c>
      <c r="K1094" t="s">
        <v>32</v>
      </c>
      <c r="L1094" t="s">
        <v>150</v>
      </c>
      <c r="M1094" t="s">
        <v>141</v>
      </c>
      <c r="N1094" t="s">
        <v>142</v>
      </c>
      <c r="O1094" t="s">
        <v>155</v>
      </c>
      <c r="P1094" t="s">
        <v>281</v>
      </c>
      <c r="Q1094" t="s">
        <v>155</v>
      </c>
      <c r="R1094" t="s">
        <v>302</v>
      </c>
      <c r="S1094" t="s">
        <v>309</v>
      </c>
      <c r="T1094">
        <v>1</v>
      </c>
      <c r="U1094" t="s">
        <v>431</v>
      </c>
      <c r="V1094" t="s">
        <v>285</v>
      </c>
      <c r="W1094" t="s">
        <v>432</v>
      </c>
      <c r="X1094" t="s">
        <v>306</v>
      </c>
      <c r="Y1094" t="s">
        <v>307</v>
      </c>
      <c r="Z1094">
        <v>65</v>
      </c>
      <c r="AA1094">
        <v>65</v>
      </c>
      <c r="AB1094" t="s">
        <v>143</v>
      </c>
      <c r="AC1094" t="s">
        <v>336</v>
      </c>
      <c r="AD1094" t="s">
        <v>278</v>
      </c>
      <c r="AE1094" t="str">
        <f>IF(AF1094="","",VLOOKUP(AC1094,mapel!$A$2:$B$42,2,FALSE))</f>
        <v>Pancasila</v>
      </c>
      <c r="AF1094">
        <f t="shared" si="51"/>
        <v>65</v>
      </c>
      <c r="AG1094" t="str">
        <f>IF(AF1094="","",IF(AF1094&gt;90,"Sangat baik",IF(AF1094&gt;79,"Baik",IF(AF1094&gt;=pub_gid_0_single_true_output_csv[[#This Row],[KKM]],"Cukup","Kurang"))))</f>
        <v>Cukup</v>
      </c>
      <c r="AH1094">
        <f t="shared" si="52"/>
        <v>11</v>
      </c>
      <c r="AI1094" s="30" t="str">
        <f>IF(OR(J1094&lt;&gt;"Karakter",pub_gid_0_single_true_output_csv[[#This Row],[Nilai2]]=""),"",IF(AF1094&gt;89,"Sangat baik",IF(AF1094&gt;79,"Baik",IF(AF1094&gt;69,"Cukup",IF(AF1094&gt;59,"Kurang","Sangat kurang")))))</f>
        <v/>
      </c>
      <c r="AJ1094" t="str">
        <f t="shared" si="53"/>
        <v>Wk.3</v>
      </c>
      <c r="AK1094" t="str">
        <f>IF(pub_gid_0_single_true_output_csv[[#This Row],[Nilai2]]="","",VLOOKUP(pub_gid_0_single_true_output_csv[[#This Row],[NAMA]],Table7[],3,FALSE))</f>
        <v>Average</v>
      </c>
    </row>
    <row r="1095" spans="1:37" x14ac:dyDescent="0.2">
      <c r="A1095">
        <v>1094</v>
      </c>
      <c r="B1095" t="s">
        <v>296</v>
      </c>
      <c r="C1095" t="s">
        <v>54</v>
      </c>
      <c r="D1095" t="s">
        <v>48</v>
      </c>
      <c r="E1095" t="s">
        <v>140</v>
      </c>
      <c r="F1095" s="25">
        <v>46034</v>
      </c>
      <c r="G1095" t="s">
        <v>354</v>
      </c>
      <c r="H1095" t="s">
        <v>405</v>
      </c>
      <c r="I1095" t="s">
        <v>371</v>
      </c>
      <c r="J1095" t="s">
        <v>279</v>
      </c>
      <c r="K1095" t="s">
        <v>280</v>
      </c>
      <c r="L1095" t="s">
        <v>322</v>
      </c>
      <c r="M1095" t="s">
        <v>141</v>
      </c>
      <c r="N1095" t="s">
        <v>142</v>
      </c>
      <c r="O1095" t="s">
        <v>155</v>
      </c>
      <c r="P1095" t="s">
        <v>281</v>
      </c>
      <c r="Q1095" t="s">
        <v>155</v>
      </c>
      <c r="R1095" t="s">
        <v>302</v>
      </c>
      <c r="S1095" t="s">
        <v>309</v>
      </c>
      <c r="T1095">
        <v>1</v>
      </c>
      <c r="U1095" t="s">
        <v>431</v>
      </c>
      <c r="V1095" t="s">
        <v>285</v>
      </c>
      <c r="W1095" t="s">
        <v>432</v>
      </c>
      <c r="X1095" t="s">
        <v>306</v>
      </c>
      <c r="Y1095" t="s">
        <v>307</v>
      </c>
      <c r="Z1095">
        <v>65</v>
      </c>
      <c r="AA1095">
        <v>65</v>
      </c>
      <c r="AB1095" t="s">
        <v>143</v>
      </c>
      <c r="AC1095" t="s">
        <v>336</v>
      </c>
      <c r="AD1095" t="s">
        <v>278</v>
      </c>
      <c r="AE1095" t="str">
        <f>IF(AF1095="","",VLOOKUP(AC1095,mapel!$A$2:$B$42,2,FALSE))</f>
        <v>Pancasila</v>
      </c>
      <c r="AF1095">
        <f t="shared" si="51"/>
        <v>65</v>
      </c>
      <c r="AG1095" t="str">
        <f>IF(AF1095="","",IF(AF1095&gt;90,"Sangat baik",IF(AF1095&gt;79,"Baik",IF(AF1095&gt;=pub_gid_0_single_true_output_csv[[#This Row],[KKM]],"Cukup","Kurang"))))</f>
        <v>Cukup</v>
      </c>
      <c r="AH1095">
        <f t="shared" si="52"/>
        <v>11</v>
      </c>
      <c r="AI1095" s="30" t="str">
        <f>IF(OR(J1095&lt;&gt;"Karakter",pub_gid_0_single_true_output_csv[[#This Row],[Nilai2]]=""),"",IF(AF1095&gt;89,"Sangat baik",IF(AF1095&gt;79,"Baik",IF(AF1095&gt;69,"Cukup",IF(AF1095&gt;59,"Kurang","Sangat kurang")))))</f>
        <v/>
      </c>
      <c r="AJ1095" t="str">
        <f t="shared" si="53"/>
        <v>Wk.3</v>
      </c>
      <c r="AK1095" t="str">
        <f>IF(pub_gid_0_single_true_output_csv[[#This Row],[Nilai2]]="","",VLOOKUP(pub_gid_0_single_true_output_csv[[#This Row],[NAMA]],Table7[],3,FALSE))</f>
        <v>Average</v>
      </c>
    </row>
    <row r="1096" spans="1:37" x14ac:dyDescent="0.2">
      <c r="A1096">
        <v>1095</v>
      </c>
      <c r="B1096" t="s">
        <v>296</v>
      </c>
      <c r="C1096" t="s">
        <v>54</v>
      </c>
      <c r="D1096" t="s">
        <v>48</v>
      </c>
      <c r="E1096" t="s">
        <v>140</v>
      </c>
      <c r="F1096" s="25">
        <v>46048</v>
      </c>
      <c r="G1096" t="s">
        <v>371</v>
      </c>
      <c r="H1096" t="s">
        <v>405</v>
      </c>
      <c r="I1096" t="s">
        <v>371</v>
      </c>
      <c r="J1096" t="s">
        <v>36</v>
      </c>
      <c r="K1096" t="s">
        <v>37</v>
      </c>
      <c r="L1096" t="s">
        <v>351</v>
      </c>
      <c r="M1096" t="s">
        <v>141</v>
      </c>
      <c r="N1096" t="s">
        <v>142</v>
      </c>
      <c r="O1096" t="s">
        <v>155</v>
      </c>
      <c r="P1096" t="s">
        <v>281</v>
      </c>
      <c r="Q1096" t="s">
        <v>155</v>
      </c>
      <c r="R1096" t="s">
        <v>302</v>
      </c>
      <c r="S1096" t="s">
        <v>369</v>
      </c>
      <c r="T1096">
        <v>1</v>
      </c>
      <c r="U1096" t="s">
        <v>431</v>
      </c>
      <c r="V1096" t="s">
        <v>342</v>
      </c>
      <c r="W1096" t="s">
        <v>433</v>
      </c>
      <c r="X1096" t="s">
        <v>306</v>
      </c>
      <c r="Y1096" t="s">
        <v>307</v>
      </c>
      <c r="Z1096">
        <v>65</v>
      </c>
      <c r="AA1096">
        <v>83</v>
      </c>
      <c r="AB1096" t="s">
        <v>143</v>
      </c>
      <c r="AC1096" t="s">
        <v>336</v>
      </c>
      <c r="AD1096" t="s">
        <v>278</v>
      </c>
      <c r="AE1096" t="str">
        <f>IF(AF1096="","",VLOOKUP(AC1096,mapel!$A$2:$B$42,2,FALSE))</f>
        <v>Pancasila</v>
      </c>
      <c r="AF1096">
        <f t="shared" si="51"/>
        <v>83</v>
      </c>
      <c r="AG1096" t="str">
        <f>IF(AF1096="","",IF(AF1096&gt;90,"Sangat baik",IF(AF1096&gt;79,"Baik",IF(AF1096&gt;=pub_gid_0_single_true_output_csv[[#This Row],[KKM]],"Cukup","Kurang"))))</f>
        <v>Baik</v>
      </c>
      <c r="AH1096">
        <f t="shared" si="52"/>
        <v>11</v>
      </c>
      <c r="AI1096" s="30" t="str">
        <f>IF(OR(J1096&lt;&gt;"Karakter",pub_gid_0_single_true_output_csv[[#This Row],[Nilai2]]=""),"",IF(AF1096&gt;89,"Sangat baik",IF(AF1096&gt;79,"Baik",IF(AF1096&gt;69,"Cukup",IF(AF1096&gt;59,"Kurang","Sangat kurang")))))</f>
        <v/>
      </c>
      <c r="AJ1096" t="str">
        <f t="shared" si="53"/>
        <v>Wk.5</v>
      </c>
      <c r="AK1096" t="str">
        <f>IF(pub_gid_0_single_true_output_csv[[#This Row],[Nilai2]]="","",VLOOKUP(pub_gid_0_single_true_output_csv[[#This Row],[NAMA]],Table7[],3,FALSE))</f>
        <v>Average</v>
      </c>
    </row>
    <row r="1097" spans="1:37" x14ac:dyDescent="0.2">
      <c r="A1097">
        <v>1096</v>
      </c>
      <c r="B1097" t="s">
        <v>296</v>
      </c>
      <c r="C1097" t="s">
        <v>54</v>
      </c>
      <c r="D1097" t="s">
        <v>48</v>
      </c>
      <c r="E1097" t="s">
        <v>140</v>
      </c>
      <c r="F1097" s="25">
        <v>46048</v>
      </c>
      <c r="G1097" t="s">
        <v>371</v>
      </c>
      <c r="H1097" t="s">
        <v>405</v>
      </c>
      <c r="I1097" t="s">
        <v>371</v>
      </c>
      <c r="J1097" t="s">
        <v>31</v>
      </c>
      <c r="K1097" t="s">
        <v>96</v>
      </c>
      <c r="L1097" t="s">
        <v>351</v>
      </c>
      <c r="M1097" t="s">
        <v>141</v>
      </c>
      <c r="N1097" t="s">
        <v>142</v>
      </c>
      <c r="O1097" t="s">
        <v>155</v>
      </c>
      <c r="P1097" t="s">
        <v>281</v>
      </c>
      <c r="Q1097" t="s">
        <v>155</v>
      </c>
      <c r="R1097" t="s">
        <v>302</v>
      </c>
      <c r="S1097" t="s">
        <v>369</v>
      </c>
      <c r="T1097">
        <v>1</v>
      </c>
      <c r="U1097" t="s">
        <v>431</v>
      </c>
      <c r="V1097" t="s">
        <v>342</v>
      </c>
      <c r="W1097" t="s">
        <v>433</v>
      </c>
      <c r="X1097" t="s">
        <v>306</v>
      </c>
      <c r="Y1097" t="s">
        <v>307</v>
      </c>
      <c r="Z1097">
        <v>65</v>
      </c>
      <c r="AA1097">
        <v>77</v>
      </c>
      <c r="AB1097" t="s">
        <v>143</v>
      </c>
      <c r="AC1097" t="s">
        <v>336</v>
      </c>
      <c r="AD1097" t="s">
        <v>278</v>
      </c>
      <c r="AE1097" t="str">
        <f>IF(AF1097="","",VLOOKUP(AC1097,mapel!$A$2:$B$42,2,FALSE))</f>
        <v>Pancasila</v>
      </c>
      <c r="AF1097">
        <f t="shared" si="51"/>
        <v>77</v>
      </c>
      <c r="AG1097" t="str">
        <f>IF(AF1097="","",IF(AF1097&gt;90,"Sangat baik",IF(AF1097&gt;79,"Baik",IF(AF1097&gt;=pub_gid_0_single_true_output_csv[[#This Row],[KKM]],"Cukup","Kurang"))))</f>
        <v>Cukup</v>
      </c>
      <c r="AH1097">
        <f t="shared" si="52"/>
        <v>11</v>
      </c>
      <c r="AI1097" s="30" t="str">
        <f>IF(OR(J1097&lt;&gt;"Karakter",pub_gid_0_single_true_output_csv[[#This Row],[Nilai2]]=""),"",IF(AF1097&gt;89,"Sangat baik",IF(AF1097&gt;79,"Baik",IF(AF1097&gt;69,"Cukup",IF(AF1097&gt;59,"Kurang","Sangat kurang")))))</f>
        <v/>
      </c>
      <c r="AJ1097" t="str">
        <f t="shared" si="53"/>
        <v>Wk.5</v>
      </c>
      <c r="AK1097" t="str">
        <f>IF(pub_gid_0_single_true_output_csv[[#This Row],[Nilai2]]="","",VLOOKUP(pub_gid_0_single_true_output_csv[[#This Row],[NAMA]],Table7[],3,FALSE))</f>
        <v>Average</v>
      </c>
    </row>
    <row r="1098" spans="1:37" x14ac:dyDescent="0.2">
      <c r="A1098">
        <v>1097</v>
      </c>
      <c r="B1098" t="s">
        <v>296</v>
      </c>
      <c r="C1098" t="s">
        <v>54</v>
      </c>
      <c r="D1098" t="s">
        <v>48</v>
      </c>
      <c r="E1098" t="s">
        <v>140</v>
      </c>
      <c r="F1098" s="25">
        <v>46048</v>
      </c>
      <c r="G1098" t="s">
        <v>371</v>
      </c>
      <c r="H1098" t="s">
        <v>405</v>
      </c>
      <c r="I1098" t="s">
        <v>371</v>
      </c>
      <c r="J1098" t="s">
        <v>90</v>
      </c>
      <c r="K1098" t="s">
        <v>377</v>
      </c>
      <c r="L1098" t="s">
        <v>378</v>
      </c>
      <c r="M1098" t="s">
        <v>141</v>
      </c>
      <c r="N1098" t="s">
        <v>142</v>
      </c>
      <c r="O1098" t="s">
        <v>155</v>
      </c>
      <c r="P1098" t="s">
        <v>281</v>
      </c>
      <c r="Q1098" t="s">
        <v>155</v>
      </c>
      <c r="R1098" t="s">
        <v>302</v>
      </c>
      <c r="S1098" t="s">
        <v>369</v>
      </c>
      <c r="T1098">
        <v>1</v>
      </c>
      <c r="U1098" t="s">
        <v>431</v>
      </c>
      <c r="V1098" t="s">
        <v>342</v>
      </c>
      <c r="W1098" t="s">
        <v>433</v>
      </c>
      <c r="X1098" t="s">
        <v>306</v>
      </c>
      <c r="Y1098" t="s">
        <v>307</v>
      </c>
      <c r="Z1098">
        <v>65</v>
      </c>
      <c r="AA1098">
        <v>75</v>
      </c>
      <c r="AB1098" t="s">
        <v>143</v>
      </c>
      <c r="AC1098" t="s">
        <v>336</v>
      </c>
      <c r="AD1098" t="s">
        <v>278</v>
      </c>
      <c r="AE1098" t="str">
        <f>IF(AF1098="","",VLOOKUP(AC1098,mapel!$A$2:$B$42,2,FALSE))</f>
        <v>Pancasila</v>
      </c>
      <c r="AF1098">
        <f t="shared" si="51"/>
        <v>75</v>
      </c>
      <c r="AG1098" t="str">
        <f>IF(AF1098="","",IF(AF1098&gt;90,"Sangat baik",IF(AF1098&gt;79,"Baik",IF(AF1098&gt;=pub_gid_0_single_true_output_csv[[#This Row],[KKM]],"Cukup","Kurang"))))</f>
        <v>Cukup</v>
      </c>
      <c r="AH1098">
        <f t="shared" si="52"/>
        <v>11</v>
      </c>
      <c r="AI1098" s="30" t="str">
        <f>IF(OR(J1098&lt;&gt;"Karakter",pub_gid_0_single_true_output_csv[[#This Row],[Nilai2]]=""),"",IF(AF1098&gt;89,"Sangat baik",IF(AF1098&gt;79,"Baik",IF(AF1098&gt;69,"Cukup",IF(AF1098&gt;59,"Kurang","Sangat kurang")))))</f>
        <v>Cukup</v>
      </c>
      <c r="AJ1098" t="str">
        <f t="shared" si="53"/>
        <v>Wk.5</v>
      </c>
      <c r="AK1098" t="str">
        <f>IF(pub_gid_0_single_true_output_csv[[#This Row],[Nilai2]]="","",VLOOKUP(pub_gid_0_single_true_output_csv[[#This Row],[NAMA]],Table7[],3,FALSE))</f>
        <v>Average</v>
      </c>
    </row>
    <row r="1099" spans="1:37" x14ac:dyDescent="0.2">
      <c r="A1099">
        <v>1098</v>
      </c>
      <c r="B1099" t="s">
        <v>296</v>
      </c>
      <c r="C1099" t="s">
        <v>54</v>
      </c>
      <c r="D1099" t="s">
        <v>48</v>
      </c>
      <c r="E1099" t="s">
        <v>140</v>
      </c>
      <c r="F1099" s="25">
        <v>46048</v>
      </c>
      <c r="G1099" t="s">
        <v>371</v>
      </c>
      <c r="H1099" t="s">
        <v>405</v>
      </c>
      <c r="I1099" t="s">
        <v>371</v>
      </c>
      <c r="J1099" t="s">
        <v>279</v>
      </c>
      <c r="K1099" t="s">
        <v>280</v>
      </c>
      <c r="L1099" t="s">
        <v>322</v>
      </c>
      <c r="M1099" t="s">
        <v>141</v>
      </c>
      <c r="N1099" t="s">
        <v>142</v>
      </c>
      <c r="O1099" t="s">
        <v>155</v>
      </c>
      <c r="P1099" t="s">
        <v>281</v>
      </c>
      <c r="Q1099" t="s">
        <v>155</v>
      </c>
      <c r="R1099" t="s">
        <v>302</v>
      </c>
      <c r="S1099" t="s">
        <v>369</v>
      </c>
      <c r="T1099">
        <v>1</v>
      </c>
      <c r="U1099" t="s">
        <v>431</v>
      </c>
      <c r="V1099" t="s">
        <v>342</v>
      </c>
      <c r="W1099" t="s">
        <v>433</v>
      </c>
      <c r="X1099" t="s">
        <v>306</v>
      </c>
      <c r="Y1099" t="s">
        <v>307</v>
      </c>
      <c r="Z1099">
        <v>65</v>
      </c>
      <c r="AA1099">
        <v>65</v>
      </c>
      <c r="AB1099" t="s">
        <v>143</v>
      </c>
      <c r="AC1099" t="s">
        <v>336</v>
      </c>
      <c r="AD1099" t="s">
        <v>278</v>
      </c>
      <c r="AE1099" t="str">
        <f>IF(AF1099="","",VLOOKUP(AC1099,mapel!$A$2:$B$42,2,FALSE))</f>
        <v>Pancasila</v>
      </c>
      <c r="AF1099">
        <f t="shared" si="51"/>
        <v>65</v>
      </c>
      <c r="AG1099" t="str">
        <f>IF(AF1099="","",IF(AF1099&gt;90,"Sangat baik",IF(AF1099&gt;79,"Baik",IF(AF1099&gt;=pub_gid_0_single_true_output_csv[[#This Row],[KKM]],"Cukup","Kurang"))))</f>
        <v>Cukup</v>
      </c>
      <c r="AH1099">
        <f t="shared" si="52"/>
        <v>11</v>
      </c>
      <c r="AI1099" s="30" t="str">
        <f>IF(OR(J1099&lt;&gt;"Karakter",pub_gid_0_single_true_output_csv[[#This Row],[Nilai2]]=""),"",IF(AF1099&gt;89,"Sangat baik",IF(AF1099&gt;79,"Baik",IF(AF1099&gt;69,"Cukup",IF(AF1099&gt;59,"Kurang","Sangat kurang")))))</f>
        <v/>
      </c>
      <c r="AJ1099" t="str">
        <f t="shared" si="53"/>
        <v>Wk.5</v>
      </c>
      <c r="AK1099" t="str">
        <f>IF(pub_gid_0_single_true_output_csv[[#This Row],[Nilai2]]="","",VLOOKUP(pub_gid_0_single_true_output_csv[[#This Row],[NAMA]],Table7[],3,FALSE))</f>
        <v>Average</v>
      </c>
    </row>
    <row r="1100" spans="1:37" x14ac:dyDescent="0.2">
      <c r="A1100">
        <v>1099</v>
      </c>
      <c r="B1100" t="s">
        <v>296</v>
      </c>
      <c r="C1100" t="s">
        <v>54</v>
      </c>
      <c r="D1100" t="s">
        <v>48</v>
      </c>
      <c r="E1100" t="s">
        <v>140</v>
      </c>
      <c r="F1100" s="25">
        <v>46055</v>
      </c>
      <c r="G1100" t="s">
        <v>379</v>
      </c>
      <c r="H1100" t="s">
        <v>412</v>
      </c>
      <c r="I1100" t="s">
        <v>371</v>
      </c>
      <c r="J1100" t="s">
        <v>90</v>
      </c>
      <c r="K1100" t="s">
        <v>377</v>
      </c>
      <c r="L1100" t="s">
        <v>400</v>
      </c>
      <c r="M1100" t="s">
        <v>141</v>
      </c>
      <c r="N1100" t="s">
        <v>142</v>
      </c>
      <c r="O1100" t="s">
        <v>155</v>
      </c>
      <c r="P1100" t="s">
        <v>281</v>
      </c>
      <c r="Q1100" t="s">
        <v>155</v>
      </c>
      <c r="R1100" t="s">
        <v>302</v>
      </c>
      <c r="S1100" t="s">
        <v>345</v>
      </c>
      <c r="T1100">
        <v>1</v>
      </c>
      <c r="U1100" t="s">
        <v>431</v>
      </c>
      <c r="V1100" t="s">
        <v>343</v>
      </c>
      <c r="W1100" t="s">
        <v>434</v>
      </c>
      <c r="X1100" t="s">
        <v>306</v>
      </c>
      <c r="Y1100" t="s">
        <v>307</v>
      </c>
      <c r="Z1100">
        <v>65</v>
      </c>
      <c r="AA1100">
        <v>75</v>
      </c>
      <c r="AB1100" t="s">
        <v>143</v>
      </c>
      <c r="AC1100" t="s">
        <v>336</v>
      </c>
      <c r="AD1100" t="s">
        <v>278</v>
      </c>
      <c r="AE1100" t="str">
        <f>IF(AF1100="","",VLOOKUP(AC1100,mapel!$A$2:$B$42,2,FALSE))</f>
        <v>Pancasila</v>
      </c>
      <c r="AF1100">
        <f t="shared" si="51"/>
        <v>75</v>
      </c>
      <c r="AG1100" t="str">
        <f>IF(AF1100="","",IF(AF1100&gt;90,"Sangat baik",IF(AF1100&gt;79,"Baik",IF(AF1100&gt;=pub_gid_0_single_true_output_csv[[#This Row],[KKM]],"Cukup","Kurang"))))</f>
        <v>Cukup</v>
      </c>
      <c r="AH1100">
        <f t="shared" si="52"/>
        <v>11</v>
      </c>
      <c r="AI1100" s="30" t="str">
        <f>IF(OR(J1100&lt;&gt;"Karakter",pub_gid_0_single_true_output_csv[[#This Row],[Nilai2]]=""),"",IF(AF1100&gt;89,"Sangat baik",IF(AF1100&gt;79,"Baik",IF(AF1100&gt;69,"Cukup",IF(AF1100&gt;59,"Kurang","Sangat kurang")))))</f>
        <v>Cukup</v>
      </c>
      <c r="AJ1100" t="str">
        <f t="shared" si="53"/>
        <v>Wk.6</v>
      </c>
      <c r="AK1100" t="str">
        <f>IF(pub_gid_0_single_true_output_csv[[#This Row],[Nilai2]]="","",VLOOKUP(pub_gid_0_single_true_output_csv[[#This Row],[NAMA]],Table7[],3,FALSE))</f>
        <v>Average</v>
      </c>
    </row>
    <row r="1101" spans="1:37" x14ac:dyDescent="0.2">
      <c r="A1101">
        <v>1100</v>
      </c>
      <c r="B1101" t="s">
        <v>296</v>
      </c>
      <c r="C1101" t="s">
        <v>54</v>
      </c>
      <c r="D1101" t="s">
        <v>48</v>
      </c>
      <c r="E1101" t="s">
        <v>140</v>
      </c>
      <c r="F1101" s="25">
        <v>46055</v>
      </c>
      <c r="G1101" t="s">
        <v>379</v>
      </c>
      <c r="H1101" t="s">
        <v>412</v>
      </c>
      <c r="I1101" t="s">
        <v>371</v>
      </c>
      <c r="J1101" t="s">
        <v>279</v>
      </c>
      <c r="K1101" t="s">
        <v>280</v>
      </c>
      <c r="L1101" t="s">
        <v>322</v>
      </c>
      <c r="M1101" t="s">
        <v>141</v>
      </c>
      <c r="N1101" t="s">
        <v>142</v>
      </c>
      <c r="O1101" t="s">
        <v>155</v>
      </c>
      <c r="P1101" t="s">
        <v>281</v>
      </c>
      <c r="Q1101" t="s">
        <v>155</v>
      </c>
      <c r="R1101" t="s">
        <v>302</v>
      </c>
      <c r="S1101" t="s">
        <v>345</v>
      </c>
      <c r="T1101">
        <v>1</v>
      </c>
      <c r="U1101" t="s">
        <v>431</v>
      </c>
      <c r="V1101" t="s">
        <v>343</v>
      </c>
      <c r="W1101" t="s">
        <v>434</v>
      </c>
      <c r="X1101" t="s">
        <v>306</v>
      </c>
      <c r="Y1101" t="s">
        <v>307</v>
      </c>
      <c r="Z1101">
        <v>65</v>
      </c>
      <c r="AA1101">
        <v>75</v>
      </c>
      <c r="AB1101" t="s">
        <v>143</v>
      </c>
      <c r="AC1101" t="s">
        <v>336</v>
      </c>
      <c r="AD1101" t="s">
        <v>278</v>
      </c>
      <c r="AE1101" t="str">
        <f>IF(AF1101="","",VLOOKUP(AC1101,mapel!$A$2:$B$42,2,FALSE))</f>
        <v>Pancasila</v>
      </c>
      <c r="AF1101">
        <f t="shared" si="51"/>
        <v>75</v>
      </c>
      <c r="AG1101" t="str">
        <f>IF(AF1101="","",IF(AF1101&gt;90,"Sangat baik",IF(AF1101&gt;79,"Baik",IF(AF1101&gt;=pub_gid_0_single_true_output_csv[[#This Row],[KKM]],"Cukup","Kurang"))))</f>
        <v>Cukup</v>
      </c>
      <c r="AH1101">
        <f t="shared" si="52"/>
        <v>11</v>
      </c>
      <c r="AI1101" s="30" t="str">
        <f>IF(OR(J1101&lt;&gt;"Karakter",pub_gid_0_single_true_output_csv[[#This Row],[Nilai2]]=""),"",IF(AF1101&gt;89,"Sangat baik",IF(AF1101&gt;79,"Baik",IF(AF1101&gt;69,"Cukup",IF(AF1101&gt;59,"Kurang","Sangat kurang")))))</f>
        <v/>
      </c>
      <c r="AJ1101" t="str">
        <f t="shared" si="53"/>
        <v>Wk.6</v>
      </c>
      <c r="AK1101" t="str">
        <f>IF(pub_gid_0_single_true_output_csv[[#This Row],[Nilai2]]="","",VLOOKUP(pub_gid_0_single_true_output_csv[[#This Row],[NAMA]],Table7[],3,FALSE))</f>
        <v>Average</v>
      </c>
    </row>
    <row r="1102" spans="1:37" x14ac:dyDescent="0.2">
      <c r="A1102">
        <v>1101</v>
      </c>
      <c r="B1102" t="s">
        <v>296</v>
      </c>
      <c r="C1102" t="s">
        <v>54</v>
      </c>
      <c r="D1102" t="s">
        <v>48</v>
      </c>
      <c r="E1102" t="s">
        <v>140</v>
      </c>
      <c r="F1102" s="25">
        <v>46055</v>
      </c>
      <c r="G1102" t="s">
        <v>379</v>
      </c>
      <c r="H1102" t="s">
        <v>412</v>
      </c>
      <c r="I1102" t="s">
        <v>371</v>
      </c>
      <c r="J1102" t="s">
        <v>41</v>
      </c>
      <c r="K1102" t="s">
        <v>365</v>
      </c>
      <c r="L1102" t="s">
        <v>351</v>
      </c>
      <c r="M1102" t="s">
        <v>141</v>
      </c>
      <c r="N1102" t="s">
        <v>142</v>
      </c>
      <c r="O1102" t="s">
        <v>155</v>
      </c>
      <c r="P1102" t="s">
        <v>281</v>
      </c>
      <c r="Q1102" t="s">
        <v>155</v>
      </c>
      <c r="R1102" t="s">
        <v>302</v>
      </c>
      <c r="S1102" t="s">
        <v>345</v>
      </c>
      <c r="T1102">
        <v>1</v>
      </c>
      <c r="U1102" t="s">
        <v>431</v>
      </c>
      <c r="V1102" t="s">
        <v>343</v>
      </c>
      <c r="W1102" t="s">
        <v>434</v>
      </c>
      <c r="X1102" t="s">
        <v>306</v>
      </c>
      <c r="Y1102" t="s">
        <v>307</v>
      </c>
      <c r="Z1102">
        <v>65</v>
      </c>
      <c r="AA1102">
        <v>70</v>
      </c>
      <c r="AB1102" t="s">
        <v>143</v>
      </c>
      <c r="AC1102" t="s">
        <v>336</v>
      </c>
      <c r="AD1102" t="s">
        <v>278</v>
      </c>
      <c r="AE1102" t="str">
        <f>IF(AF1102="","",VLOOKUP(AC1102,mapel!$A$2:$B$42,2,FALSE))</f>
        <v>Pancasila</v>
      </c>
      <c r="AF1102">
        <f t="shared" si="51"/>
        <v>70</v>
      </c>
      <c r="AG1102" t="str">
        <f>IF(AF1102="","",IF(AF1102&gt;90,"Sangat baik",IF(AF1102&gt;79,"Baik",IF(AF1102&gt;=pub_gid_0_single_true_output_csv[[#This Row],[KKM]],"Cukup","Kurang"))))</f>
        <v>Cukup</v>
      </c>
      <c r="AH1102">
        <f t="shared" si="52"/>
        <v>11</v>
      </c>
      <c r="AI1102" s="30" t="str">
        <f>IF(OR(J1102&lt;&gt;"Karakter",pub_gid_0_single_true_output_csv[[#This Row],[Nilai2]]=""),"",IF(AF1102&gt;89,"Sangat baik",IF(AF1102&gt;79,"Baik",IF(AF1102&gt;69,"Cukup",IF(AF1102&gt;59,"Kurang","Sangat kurang")))))</f>
        <v/>
      </c>
      <c r="AJ1102" t="str">
        <f t="shared" si="53"/>
        <v>Wk.6</v>
      </c>
      <c r="AK1102" t="str">
        <f>IF(pub_gid_0_single_true_output_csv[[#This Row],[Nilai2]]="","",VLOOKUP(pub_gid_0_single_true_output_csv[[#This Row],[NAMA]],Table7[],3,FALSE))</f>
        <v>Average</v>
      </c>
    </row>
    <row r="1103" spans="1:37" x14ac:dyDescent="0.2">
      <c r="A1103">
        <v>1102</v>
      </c>
      <c r="B1103" t="s">
        <v>296</v>
      </c>
      <c r="C1103" t="s">
        <v>54</v>
      </c>
      <c r="D1103" t="s">
        <v>48</v>
      </c>
      <c r="E1103" t="s">
        <v>140</v>
      </c>
      <c r="F1103" s="25">
        <v>46055</v>
      </c>
      <c r="G1103" t="s">
        <v>379</v>
      </c>
      <c r="H1103" t="s">
        <v>412</v>
      </c>
      <c r="I1103" t="s">
        <v>371</v>
      </c>
      <c r="J1103" t="s">
        <v>31</v>
      </c>
      <c r="K1103" t="s">
        <v>96</v>
      </c>
      <c r="L1103" t="s">
        <v>351</v>
      </c>
      <c r="M1103" t="s">
        <v>141</v>
      </c>
      <c r="N1103" t="s">
        <v>142</v>
      </c>
      <c r="O1103" t="s">
        <v>155</v>
      </c>
      <c r="P1103" t="s">
        <v>281</v>
      </c>
      <c r="Q1103" t="s">
        <v>155</v>
      </c>
      <c r="R1103" t="s">
        <v>302</v>
      </c>
      <c r="S1103" t="s">
        <v>345</v>
      </c>
      <c r="T1103">
        <v>1</v>
      </c>
      <c r="U1103" t="s">
        <v>431</v>
      </c>
      <c r="V1103" t="s">
        <v>343</v>
      </c>
      <c r="W1103" t="s">
        <v>434</v>
      </c>
      <c r="X1103" t="s">
        <v>306</v>
      </c>
      <c r="Y1103" t="s">
        <v>307</v>
      </c>
      <c r="Z1103">
        <v>65</v>
      </c>
      <c r="AA1103">
        <v>70</v>
      </c>
      <c r="AB1103" t="s">
        <v>143</v>
      </c>
      <c r="AC1103" t="s">
        <v>336</v>
      </c>
      <c r="AD1103" t="s">
        <v>278</v>
      </c>
      <c r="AE1103" t="str">
        <f>IF(AF1103="","",VLOOKUP(AC1103,mapel!$A$2:$B$42,2,FALSE))</f>
        <v>Pancasila</v>
      </c>
      <c r="AF1103">
        <f t="shared" si="51"/>
        <v>70</v>
      </c>
      <c r="AG1103" t="str">
        <f>IF(AF1103="","",IF(AF1103&gt;90,"Sangat baik",IF(AF1103&gt;79,"Baik",IF(AF1103&gt;=pub_gid_0_single_true_output_csv[[#This Row],[KKM]],"Cukup","Kurang"))))</f>
        <v>Cukup</v>
      </c>
      <c r="AH1103">
        <f t="shared" si="52"/>
        <v>11</v>
      </c>
      <c r="AI1103" s="30" t="str">
        <f>IF(OR(J1103&lt;&gt;"Karakter",pub_gid_0_single_true_output_csv[[#This Row],[Nilai2]]=""),"",IF(AF1103&gt;89,"Sangat baik",IF(AF1103&gt;79,"Baik",IF(AF1103&gt;69,"Cukup",IF(AF1103&gt;59,"Kurang","Sangat kurang")))))</f>
        <v/>
      </c>
      <c r="AJ1103" t="str">
        <f t="shared" si="53"/>
        <v>Wk.6</v>
      </c>
      <c r="AK1103" t="str">
        <f>IF(pub_gid_0_single_true_output_csv[[#This Row],[Nilai2]]="","",VLOOKUP(pub_gid_0_single_true_output_csv[[#This Row],[NAMA]],Table7[],3,FALSE))</f>
        <v>Average</v>
      </c>
    </row>
    <row r="1104" spans="1:37" x14ac:dyDescent="0.2">
      <c r="A1104">
        <v>1103</v>
      </c>
      <c r="B1104" t="s">
        <v>296</v>
      </c>
      <c r="C1104" t="s">
        <v>54</v>
      </c>
      <c r="D1104" t="s">
        <v>48</v>
      </c>
      <c r="E1104" t="s">
        <v>140</v>
      </c>
      <c r="F1104" s="25">
        <v>46055</v>
      </c>
      <c r="G1104" t="s">
        <v>379</v>
      </c>
      <c r="H1104" t="s">
        <v>412</v>
      </c>
      <c r="I1104" t="s">
        <v>371</v>
      </c>
      <c r="J1104" t="s">
        <v>36</v>
      </c>
      <c r="K1104" t="s">
        <v>37</v>
      </c>
      <c r="L1104" t="s">
        <v>324</v>
      </c>
      <c r="M1104" t="s">
        <v>141</v>
      </c>
      <c r="N1104" t="s">
        <v>142</v>
      </c>
      <c r="O1104" t="s">
        <v>155</v>
      </c>
      <c r="P1104" t="s">
        <v>281</v>
      </c>
      <c r="Q1104" t="s">
        <v>155</v>
      </c>
      <c r="R1104" t="s">
        <v>302</v>
      </c>
      <c r="S1104" t="s">
        <v>345</v>
      </c>
      <c r="T1104">
        <v>1</v>
      </c>
      <c r="U1104" t="s">
        <v>431</v>
      </c>
      <c r="V1104" t="s">
        <v>343</v>
      </c>
      <c r="W1104" t="s">
        <v>434</v>
      </c>
      <c r="X1104" t="s">
        <v>306</v>
      </c>
      <c r="Y1104" t="s">
        <v>307</v>
      </c>
      <c r="Z1104">
        <v>65</v>
      </c>
      <c r="AA1104">
        <v>72</v>
      </c>
      <c r="AB1104" t="s">
        <v>143</v>
      </c>
      <c r="AC1104" t="s">
        <v>336</v>
      </c>
      <c r="AD1104" t="s">
        <v>278</v>
      </c>
      <c r="AE1104" t="str">
        <f>IF(AF1104="","",VLOOKUP(AC1104,mapel!$A$2:$B$42,2,FALSE))</f>
        <v>Pancasila</v>
      </c>
      <c r="AF1104">
        <f t="shared" si="51"/>
        <v>72</v>
      </c>
      <c r="AG1104" t="str">
        <f>IF(AF1104="","",IF(AF1104&gt;90,"Sangat baik",IF(AF1104&gt;79,"Baik",IF(AF1104&gt;=pub_gid_0_single_true_output_csv[[#This Row],[KKM]],"Cukup","Kurang"))))</f>
        <v>Cukup</v>
      </c>
      <c r="AH1104">
        <f t="shared" si="52"/>
        <v>11</v>
      </c>
      <c r="AI1104" s="30" t="str">
        <f>IF(OR(J1104&lt;&gt;"Karakter",pub_gid_0_single_true_output_csv[[#This Row],[Nilai2]]=""),"",IF(AF1104&gt;89,"Sangat baik",IF(AF1104&gt;79,"Baik",IF(AF1104&gt;69,"Cukup",IF(AF1104&gt;59,"Kurang","Sangat kurang")))))</f>
        <v/>
      </c>
      <c r="AJ1104" t="str">
        <f t="shared" si="53"/>
        <v>Wk.6</v>
      </c>
      <c r="AK1104" t="str">
        <f>IF(pub_gid_0_single_true_output_csv[[#This Row],[Nilai2]]="","",VLOOKUP(pub_gid_0_single_true_output_csv[[#This Row],[NAMA]],Table7[],3,FALSE))</f>
        <v>Average</v>
      </c>
    </row>
    <row r="1105" spans="1:37" x14ac:dyDescent="0.2">
      <c r="A1105">
        <v>1104</v>
      </c>
      <c r="B1105" t="s">
        <v>296</v>
      </c>
      <c r="C1105" t="s">
        <v>54</v>
      </c>
      <c r="D1105" t="s">
        <v>48</v>
      </c>
      <c r="E1105" t="s">
        <v>140</v>
      </c>
      <c r="F1105" s="25">
        <v>46062</v>
      </c>
      <c r="G1105" t="s">
        <v>376</v>
      </c>
      <c r="H1105" t="s">
        <v>412</v>
      </c>
      <c r="I1105" t="s">
        <v>371</v>
      </c>
      <c r="J1105" t="s">
        <v>36</v>
      </c>
      <c r="K1105" t="s">
        <v>362</v>
      </c>
      <c r="L1105" t="s">
        <v>363</v>
      </c>
      <c r="M1105" t="s">
        <v>141</v>
      </c>
      <c r="N1105" t="s">
        <v>142</v>
      </c>
      <c r="O1105" t="s">
        <v>155</v>
      </c>
      <c r="P1105" t="s">
        <v>281</v>
      </c>
      <c r="Q1105" t="s">
        <v>155</v>
      </c>
      <c r="R1105" t="s">
        <v>302</v>
      </c>
      <c r="S1105" t="s">
        <v>309</v>
      </c>
      <c r="T1105">
        <v>1</v>
      </c>
      <c r="U1105" t="s">
        <v>431</v>
      </c>
      <c r="V1105" t="s">
        <v>285</v>
      </c>
      <c r="W1105" t="s">
        <v>432</v>
      </c>
      <c r="X1105" t="s">
        <v>306</v>
      </c>
      <c r="Y1105" t="s">
        <v>307</v>
      </c>
      <c r="Z1105">
        <v>65</v>
      </c>
      <c r="AA1105">
        <v>73</v>
      </c>
      <c r="AB1105" t="s">
        <v>143</v>
      </c>
      <c r="AC1105" t="s">
        <v>336</v>
      </c>
      <c r="AD1105" t="s">
        <v>278</v>
      </c>
      <c r="AE1105" t="str">
        <f>IF(AF1105="","",VLOOKUP(AC1105,mapel!$A$2:$B$42,2,FALSE))</f>
        <v>Pancasila</v>
      </c>
      <c r="AF1105">
        <f t="shared" si="51"/>
        <v>73</v>
      </c>
      <c r="AG1105" t="str">
        <f>IF(AF1105="","",IF(AF1105&gt;90,"Sangat baik",IF(AF1105&gt;79,"Baik",IF(AF1105&gt;=pub_gid_0_single_true_output_csv[[#This Row],[KKM]],"Cukup","Kurang"))))</f>
        <v>Cukup</v>
      </c>
      <c r="AH1105">
        <f t="shared" si="52"/>
        <v>11</v>
      </c>
      <c r="AI1105" s="30" t="str">
        <f>IF(OR(J1105&lt;&gt;"Karakter",pub_gid_0_single_true_output_csv[[#This Row],[Nilai2]]=""),"",IF(AF1105&gt;89,"Sangat baik",IF(AF1105&gt;79,"Baik",IF(AF1105&gt;69,"Cukup",IF(AF1105&gt;59,"Kurang","Sangat kurang")))))</f>
        <v/>
      </c>
      <c r="AJ1105" t="str">
        <f t="shared" si="53"/>
        <v>Wk.7</v>
      </c>
      <c r="AK1105" t="str">
        <f>IF(pub_gid_0_single_true_output_csv[[#This Row],[Nilai2]]="","",VLOOKUP(pub_gid_0_single_true_output_csv[[#This Row],[NAMA]],Table7[],3,FALSE))</f>
        <v>Average</v>
      </c>
    </row>
    <row r="1106" spans="1:37" x14ac:dyDescent="0.2">
      <c r="A1106">
        <v>1105</v>
      </c>
      <c r="B1106" t="s">
        <v>296</v>
      </c>
      <c r="C1106" t="s">
        <v>54</v>
      </c>
      <c r="D1106" t="s">
        <v>48</v>
      </c>
      <c r="E1106" t="s">
        <v>140</v>
      </c>
      <c r="F1106" s="25">
        <v>46062</v>
      </c>
      <c r="G1106" t="s">
        <v>376</v>
      </c>
      <c r="H1106" t="s">
        <v>412</v>
      </c>
      <c r="I1106" t="s">
        <v>371</v>
      </c>
      <c r="J1106" t="s">
        <v>36</v>
      </c>
      <c r="K1106" t="s">
        <v>362</v>
      </c>
      <c r="L1106" t="s">
        <v>363</v>
      </c>
      <c r="M1106" t="s">
        <v>141</v>
      </c>
      <c r="N1106" t="s">
        <v>142</v>
      </c>
      <c r="O1106" t="s">
        <v>155</v>
      </c>
      <c r="P1106" t="s">
        <v>281</v>
      </c>
      <c r="Q1106" t="s">
        <v>155</v>
      </c>
      <c r="R1106" t="s">
        <v>302</v>
      </c>
      <c r="S1106" t="s">
        <v>369</v>
      </c>
      <c r="T1106">
        <v>1</v>
      </c>
      <c r="U1106" t="s">
        <v>431</v>
      </c>
      <c r="V1106" t="s">
        <v>342</v>
      </c>
      <c r="W1106" t="s">
        <v>433</v>
      </c>
      <c r="X1106" t="s">
        <v>306</v>
      </c>
      <c r="Y1106" t="s">
        <v>307</v>
      </c>
      <c r="Z1106">
        <v>65</v>
      </c>
      <c r="AA1106">
        <v>76</v>
      </c>
      <c r="AB1106" t="s">
        <v>143</v>
      </c>
      <c r="AC1106" t="s">
        <v>336</v>
      </c>
      <c r="AD1106" t="s">
        <v>278</v>
      </c>
      <c r="AE1106" t="str">
        <f>IF(AF1106="","",VLOOKUP(AC1106,mapel!$A$2:$B$42,2,FALSE))</f>
        <v>Pancasila</v>
      </c>
      <c r="AF1106">
        <f t="shared" si="51"/>
        <v>76</v>
      </c>
      <c r="AG1106" t="str">
        <f>IF(AF1106="","",IF(AF1106&gt;90,"Sangat baik",IF(AF1106&gt;79,"Baik",IF(AF1106&gt;=pub_gid_0_single_true_output_csv[[#This Row],[KKM]],"Cukup","Kurang"))))</f>
        <v>Cukup</v>
      </c>
      <c r="AH1106">
        <f t="shared" si="52"/>
        <v>11</v>
      </c>
      <c r="AI1106" s="30" t="str">
        <f>IF(OR(J1106&lt;&gt;"Karakter",pub_gid_0_single_true_output_csv[[#This Row],[Nilai2]]=""),"",IF(AF1106&gt;89,"Sangat baik",IF(AF1106&gt;79,"Baik",IF(AF1106&gt;69,"Cukup",IF(AF1106&gt;59,"Kurang","Sangat kurang")))))</f>
        <v/>
      </c>
      <c r="AJ1106" t="str">
        <f t="shared" si="53"/>
        <v>Wk.7</v>
      </c>
      <c r="AK1106" t="str">
        <f>IF(pub_gid_0_single_true_output_csv[[#This Row],[Nilai2]]="","",VLOOKUP(pub_gid_0_single_true_output_csv[[#This Row],[NAMA]],Table7[],3,FALSE))</f>
        <v>Average</v>
      </c>
    </row>
    <row r="1107" spans="1:37" x14ac:dyDescent="0.2">
      <c r="A1107">
        <v>1106</v>
      </c>
      <c r="B1107" t="s">
        <v>296</v>
      </c>
      <c r="C1107" t="s">
        <v>54</v>
      </c>
      <c r="D1107" t="s">
        <v>48</v>
      </c>
      <c r="E1107" t="s">
        <v>140</v>
      </c>
      <c r="F1107" s="25">
        <v>46059</v>
      </c>
      <c r="G1107" t="s">
        <v>349</v>
      </c>
      <c r="H1107" t="s">
        <v>412</v>
      </c>
      <c r="I1107" t="s">
        <v>371</v>
      </c>
      <c r="J1107" t="s">
        <v>41</v>
      </c>
      <c r="K1107" t="s">
        <v>357</v>
      </c>
      <c r="L1107" t="s">
        <v>351</v>
      </c>
      <c r="M1107" t="s">
        <v>141</v>
      </c>
      <c r="N1107" t="s">
        <v>142</v>
      </c>
      <c r="O1107" t="s">
        <v>155</v>
      </c>
      <c r="P1107" t="s">
        <v>281</v>
      </c>
      <c r="Q1107" t="s">
        <v>155</v>
      </c>
      <c r="R1107" t="s">
        <v>302</v>
      </c>
      <c r="S1107" t="s">
        <v>345</v>
      </c>
      <c r="T1107">
        <v>1</v>
      </c>
      <c r="U1107" t="s">
        <v>431</v>
      </c>
      <c r="V1107" t="s">
        <v>343</v>
      </c>
      <c r="W1107" t="s">
        <v>434</v>
      </c>
      <c r="X1107" t="s">
        <v>306</v>
      </c>
      <c r="Y1107" t="s">
        <v>307</v>
      </c>
      <c r="Z1107">
        <v>65</v>
      </c>
      <c r="AA1107">
        <v>50</v>
      </c>
      <c r="AB1107" t="s">
        <v>151</v>
      </c>
      <c r="AC1107" t="s">
        <v>336</v>
      </c>
      <c r="AD1107" t="s">
        <v>278</v>
      </c>
      <c r="AE1107" t="str">
        <f>IF(AF1107="","",VLOOKUP(AC1107,mapel!$A$2:$B$42,2,FALSE))</f>
        <v>Pancasila</v>
      </c>
      <c r="AF1107">
        <f t="shared" si="51"/>
        <v>50</v>
      </c>
      <c r="AG1107" t="str">
        <f>IF(AF1107="","",IF(AF1107&gt;90,"Sangat baik",IF(AF1107&gt;79,"Baik",IF(AF1107&gt;=pub_gid_0_single_true_output_csv[[#This Row],[KKM]],"Cukup","Kurang"))))</f>
        <v>Kurang</v>
      </c>
      <c r="AH1107">
        <f t="shared" si="52"/>
        <v>11</v>
      </c>
      <c r="AI1107" s="30" t="str">
        <f>IF(OR(J1107&lt;&gt;"Karakter",pub_gid_0_single_true_output_csv[[#This Row],[Nilai2]]=""),"",IF(AF1107&gt;89,"Sangat baik",IF(AF1107&gt;79,"Baik",IF(AF1107&gt;69,"Cukup",IF(AF1107&gt;59,"Kurang","Sangat kurang")))))</f>
        <v/>
      </c>
      <c r="AJ1107" t="str">
        <f t="shared" si="53"/>
        <v>Wk.6</v>
      </c>
      <c r="AK1107" t="str">
        <f>IF(pub_gid_0_single_true_output_csv[[#This Row],[Nilai2]]="","",VLOOKUP(pub_gid_0_single_true_output_csv[[#This Row],[NAMA]],Table7[],3,FALSE))</f>
        <v>Average</v>
      </c>
    </row>
    <row r="1108" spans="1:37" x14ac:dyDescent="0.2">
      <c r="A1108">
        <v>1107</v>
      </c>
      <c r="B1108" t="s">
        <v>296</v>
      </c>
      <c r="C1108" t="s">
        <v>54</v>
      </c>
      <c r="D1108" t="s">
        <v>48</v>
      </c>
      <c r="E1108" t="s">
        <v>140</v>
      </c>
      <c r="F1108" s="25">
        <v>46059</v>
      </c>
      <c r="G1108" t="s">
        <v>349</v>
      </c>
      <c r="H1108" t="s">
        <v>412</v>
      </c>
      <c r="I1108" t="s">
        <v>371</v>
      </c>
      <c r="J1108" t="s">
        <v>36</v>
      </c>
      <c r="K1108" t="s">
        <v>37</v>
      </c>
      <c r="L1108" t="s">
        <v>351</v>
      </c>
      <c r="M1108" t="s">
        <v>141</v>
      </c>
      <c r="N1108" t="s">
        <v>142</v>
      </c>
      <c r="O1108" t="s">
        <v>155</v>
      </c>
      <c r="P1108" t="s">
        <v>281</v>
      </c>
      <c r="Q1108" t="s">
        <v>155</v>
      </c>
      <c r="R1108" t="s">
        <v>302</v>
      </c>
      <c r="S1108" t="s">
        <v>345</v>
      </c>
      <c r="T1108">
        <v>1</v>
      </c>
      <c r="U1108" t="s">
        <v>431</v>
      </c>
      <c r="V1108" t="s">
        <v>343</v>
      </c>
      <c r="W1108" t="s">
        <v>434</v>
      </c>
      <c r="X1108" t="s">
        <v>306</v>
      </c>
      <c r="Y1108" t="s">
        <v>307</v>
      </c>
      <c r="Z1108">
        <v>65</v>
      </c>
      <c r="AA1108">
        <v>65</v>
      </c>
      <c r="AB1108" t="s">
        <v>143</v>
      </c>
      <c r="AC1108" t="s">
        <v>336</v>
      </c>
      <c r="AD1108" t="s">
        <v>278</v>
      </c>
      <c r="AE1108" t="str">
        <f>IF(AF1108="","",VLOOKUP(AC1108,mapel!$A$2:$B$42,2,FALSE))</f>
        <v>Pancasila</v>
      </c>
      <c r="AF1108">
        <f t="shared" si="51"/>
        <v>65</v>
      </c>
      <c r="AG1108" t="str">
        <f>IF(AF1108="","",IF(AF1108&gt;90,"Sangat baik",IF(AF1108&gt;79,"Baik",IF(AF1108&gt;=pub_gid_0_single_true_output_csv[[#This Row],[KKM]],"Cukup","Kurang"))))</f>
        <v>Cukup</v>
      </c>
      <c r="AH1108">
        <f t="shared" si="52"/>
        <v>11</v>
      </c>
      <c r="AI1108" s="30" t="str">
        <f>IF(OR(J1108&lt;&gt;"Karakter",pub_gid_0_single_true_output_csv[[#This Row],[Nilai2]]=""),"",IF(AF1108&gt;89,"Sangat baik",IF(AF1108&gt;79,"Baik",IF(AF1108&gt;69,"Cukup",IF(AF1108&gt;59,"Kurang","Sangat kurang")))))</f>
        <v/>
      </c>
      <c r="AJ1108" t="str">
        <f t="shared" si="53"/>
        <v>Wk.6</v>
      </c>
      <c r="AK1108" t="str">
        <f>IF(pub_gid_0_single_true_output_csv[[#This Row],[Nilai2]]="","",VLOOKUP(pub_gid_0_single_true_output_csv[[#This Row],[NAMA]],Table7[],3,FALSE))</f>
        <v>Average</v>
      </c>
    </row>
    <row r="1109" spans="1:37" x14ac:dyDescent="0.2">
      <c r="A1109">
        <v>1108</v>
      </c>
      <c r="B1109" t="s">
        <v>289</v>
      </c>
      <c r="C1109" t="s">
        <v>54</v>
      </c>
      <c r="D1109" t="s">
        <v>39</v>
      </c>
      <c r="E1109" t="s">
        <v>140</v>
      </c>
      <c r="F1109" s="25">
        <v>46036</v>
      </c>
      <c r="G1109" t="s">
        <v>353</v>
      </c>
      <c r="H1109" t="s">
        <v>405</v>
      </c>
      <c r="I1109" t="s">
        <v>371</v>
      </c>
      <c r="J1109" t="s">
        <v>36</v>
      </c>
      <c r="K1109" t="s">
        <v>37</v>
      </c>
      <c r="L1109" t="s">
        <v>351</v>
      </c>
      <c r="M1109" t="s">
        <v>141</v>
      </c>
      <c r="N1109" t="s">
        <v>142</v>
      </c>
      <c r="O1109" t="s">
        <v>155</v>
      </c>
      <c r="P1109" t="s">
        <v>281</v>
      </c>
      <c r="Q1109" t="s">
        <v>155</v>
      </c>
      <c r="R1109" t="s">
        <v>302</v>
      </c>
      <c r="S1109" t="s">
        <v>309</v>
      </c>
      <c r="T1109">
        <v>1</v>
      </c>
      <c r="U1109" t="s">
        <v>435</v>
      </c>
      <c r="V1109" t="s">
        <v>285</v>
      </c>
      <c r="W1109" t="s">
        <v>436</v>
      </c>
      <c r="X1109" t="s">
        <v>306</v>
      </c>
      <c r="Y1109" t="s">
        <v>307</v>
      </c>
      <c r="Z1109">
        <v>65</v>
      </c>
      <c r="AA1109">
        <v>85</v>
      </c>
      <c r="AB1109" t="s">
        <v>143</v>
      </c>
      <c r="AC1109" t="s">
        <v>53</v>
      </c>
      <c r="AD1109" t="s">
        <v>404</v>
      </c>
      <c r="AE1109" t="str">
        <f>IF(AF1109="","",VLOOKUP(AC1109,mapel!$A$2:$B$42,2,FALSE))</f>
        <v>Sejarah</v>
      </c>
      <c r="AF1109">
        <f t="shared" si="51"/>
        <v>85</v>
      </c>
      <c r="AG1109" t="str">
        <f>IF(AF1109="","",IF(AF1109&gt;90,"Sangat baik",IF(AF1109&gt;79,"Baik",IF(AF1109&gt;=pub_gid_0_single_true_output_csv[[#This Row],[KKM]],"Cukup","Kurang"))))</f>
        <v>Baik</v>
      </c>
      <c r="AH1109">
        <f t="shared" si="52"/>
        <v>11</v>
      </c>
      <c r="AI1109" s="30" t="str">
        <f>IF(OR(J1109&lt;&gt;"Karakter",pub_gid_0_single_true_output_csv[[#This Row],[Nilai2]]=""),"",IF(AF1109&gt;89,"Sangat baik",IF(AF1109&gt;79,"Baik",IF(AF1109&gt;69,"Cukup",IF(AF1109&gt;59,"Kurang","Sangat kurang")))))</f>
        <v/>
      </c>
      <c r="AJ1109" t="str">
        <f t="shared" si="53"/>
        <v>Wk.3</v>
      </c>
      <c r="AK1109" t="str">
        <f>IF(pub_gid_0_single_true_output_csv[[#This Row],[Nilai2]]="","",VLOOKUP(pub_gid_0_single_true_output_csv[[#This Row],[NAMA]],Table7[],3,FALSE))</f>
        <v>Average</v>
      </c>
    </row>
    <row r="1110" spans="1:37" x14ac:dyDescent="0.2">
      <c r="A1110">
        <v>1109</v>
      </c>
      <c r="B1110" t="s">
        <v>289</v>
      </c>
      <c r="C1110" t="s">
        <v>54</v>
      </c>
      <c r="D1110" t="s">
        <v>39</v>
      </c>
      <c r="E1110" t="s">
        <v>140</v>
      </c>
      <c r="F1110" s="25">
        <v>46036</v>
      </c>
      <c r="G1110" t="s">
        <v>353</v>
      </c>
      <c r="H1110" t="s">
        <v>405</v>
      </c>
      <c r="I1110" t="s">
        <v>371</v>
      </c>
      <c r="J1110" t="s">
        <v>31</v>
      </c>
      <c r="K1110" t="s">
        <v>32</v>
      </c>
      <c r="L1110" t="s">
        <v>351</v>
      </c>
      <c r="M1110" t="s">
        <v>141</v>
      </c>
      <c r="N1110" t="s">
        <v>142</v>
      </c>
      <c r="O1110" t="s">
        <v>155</v>
      </c>
      <c r="P1110" t="s">
        <v>281</v>
      </c>
      <c r="Q1110" t="s">
        <v>155</v>
      </c>
      <c r="R1110" t="s">
        <v>302</v>
      </c>
      <c r="S1110" t="s">
        <v>309</v>
      </c>
      <c r="T1110">
        <v>1</v>
      </c>
      <c r="U1110" t="s">
        <v>435</v>
      </c>
      <c r="V1110" t="s">
        <v>285</v>
      </c>
      <c r="W1110" t="s">
        <v>436</v>
      </c>
      <c r="X1110" t="s">
        <v>306</v>
      </c>
      <c r="Y1110" t="s">
        <v>307</v>
      </c>
      <c r="Z1110">
        <v>65</v>
      </c>
      <c r="AA1110">
        <v>75</v>
      </c>
      <c r="AB1110" t="s">
        <v>143</v>
      </c>
      <c r="AC1110" t="s">
        <v>53</v>
      </c>
      <c r="AD1110" t="s">
        <v>404</v>
      </c>
      <c r="AE1110" t="str">
        <f>IF(AF1110="","",VLOOKUP(AC1110,mapel!$A$2:$B$42,2,FALSE))</f>
        <v>Sejarah</v>
      </c>
      <c r="AF1110">
        <f t="shared" si="51"/>
        <v>75</v>
      </c>
      <c r="AG1110" t="str">
        <f>IF(AF1110="","",IF(AF1110&gt;90,"Sangat baik",IF(AF1110&gt;79,"Baik",IF(AF1110&gt;=pub_gid_0_single_true_output_csv[[#This Row],[KKM]],"Cukup","Kurang"))))</f>
        <v>Cukup</v>
      </c>
      <c r="AH1110">
        <f t="shared" si="52"/>
        <v>11</v>
      </c>
      <c r="AI1110" s="30" t="str">
        <f>IF(OR(J1110&lt;&gt;"Karakter",pub_gid_0_single_true_output_csv[[#This Row],[Nilai2]]=""),"",IF(AF1110&gt;89,"Sangat baik",IF(AF1110&gt;79,"Baik",IF(AF1110&gt;69,"Cukup",IF(AF1110&gt;59,"Kurang","Sangat kurang")))))</f>
        <v/>
      </c>
      <c r="AJ1110" t="str">
        <f t="shared" si="53"/>
        <v>Wk.3</v>
      </c>
      <c r="AK1110" t="str">
        <f>IF(pub_gid_0_single_true_output_csv[[#This Row],[Nilai2]]="","",VLOOKUP(pub_gid_0_single_true_output_csv[[#This Row],[NAMA]],Table7[],3,FALSE))</f>
        <v>Average</v>
      </c>
    </row>
    <row r="1111" spans="1:37" x14ac:dyDescent="0.2">
      <c r="A1111">
        <v>1110</v>
      </c>
      <c r="B1111" t="s">
        <v>289</v>
      </c>
      <c r="C1111" t="s">
        <v>54</v>
      </c>
      <c r="D1111" t="s">
        <v>39</v>
      </c>
      <c r="E1111" t="s">
        <v>140</v>
      </c>
      <c r="F1111" s="25">
        <v>46036</v>
      </c>
      <c r="G1111" t="s">
        <v>353</v>
      </c>
      <c r="H1111" t="s">
        <v>405</v>
      </c>
      <c r="I1111" t="s">
        <v>371</v>
      </c>
      <c r="J1111" t="s">
        <v>90</v>
      </c>
      <c r="K1111" t="s">
        <v>92</v>
      </c>
      <c r="L1111" t="s">
        <v>91</v>
      </c>
      <c r="M1111" t="s">
        <v>141</v>
      </c>
      <c r="N1111" t="s">
        <v>142</v>
      </c>
      <c r="O1111" t="s">
        <v>155</v>
      </c>
      <c r="P1111" t="s">
        <v>281</v>
      </c>
      <c r="Q1111" t="s">
        <v>155</v>
      </c>
      <c r="R1111" t="s">
        <v>302</v>
      </c>
      <c r="S1111" t="s">
        <v>309</v>
      </c>
      <c r="T1111">
        <v>1</v>
      </c>
      <c r="U1111" t="s">
        <v>435</v>
      </c>
      <c r="V1111" t="s">
        <v>285</v>
      </c>
      <c r="W1111" t="s">
        <v>436</v>
      </c>
      <c r="X1111" t="s">
        <v>306</v>
      </c>
      <c r="Y1111" t="s">
        <v>307</v>
      </c>
      <c r="Z1111">
        <v>65</v>
      </c>
      <c r="AA1111">
        <v>95</v>
      </c>
      <c r="AB1111" t="s">
        <v>143</v>
      </c>
      <c r="AC1111" t="s">
        <v>53</v>
      </c>
      <c r="AD1111" t="s">
        <v>404</v>
      </c>
      <c r="AE1111" t="str">
        <f>IF(AF1111="","",VLOOKUP(AC1111,mapel!$A$2:$B$42,2,FALSE))</f>
        <v>Sejarah</v>
      </c>
      <c r="AF1111">
        <f t="shared" si="51"/>
        <v>95</v>
      </c>
      <c r="AG1111" t="str">
        <f>IF(AF1111="","",IF(AF1111&gt;90,"Sangat baik",IF(AF1111&gt;79,"Baik",IF(AF1111&gt;=pub_gid_0_single_true_output_csv[[#This Row],[KKM]],"Cukup","Kurang"))))</f>
        <v>Sangat baik</v>
      </c>
      <c r="AH1111">
        <f t="shared" si="52"/>
        <v>11</v>
      </c>
      <c r="AI1111" s="30" t="str">
        <f>IF(OR(J1111&lt;&gt;"Karakter",pub_gid_0_single_true_output_csv[[#This Row],[Nilai2]]=""),"",IF(AF1111&gt;89,"Sangat baik",IF(AF1111&gt;79,"Baik",IF(AF1111&gt;69,"Cukup",IF(AF1111&gt;59,"Kurang","Sangat kurang")))))</f>
        <v>Sangat baik</v>
      </c>
      <c r="AJ1111" t="str">
        <f t="shared" si="53"/>
        <v>Wk.3</v>
      </c>
      <c r="AK1111" t="str">
        <f>IF(pub_gid_0_single_true_output_csv[[#This Row],[Nilai2]]="","",VLOOKUP(pub_gid_0_single_true_output_csv[[#This Row],[NAMA]],Table7[],3,FALSE))</f>
        <v>Average</v>
      </c>
    </row>
    <row r="1112" spans="1:37" x14ac:dyDescent="0.2">
      <c r="A1112">
        <v>1111</v>
      </c>
      <c r="B1112" t="s">
        <v>289</v>
      </c>
      <c r="C1112" t="s">
        <v>54</v>
      </c>
      <c r="D1112" t="s">
        <v>39</v>
      </c>
      <c r="E1112" t="s">
        <v>140</v>
      </c>
      <c r="F1112" s="25">
        <v>46036</v>
      </c>
      <c r="G1112" t="s">
        <v>353</v>
      </c>
      <c r="H1112" t="s">
        <v>405</v>
      </c>
      <c r="I1112" t="s">
        <v>371</v>
      </c>
      <c r="J1112" t="s">
        <v>279</v>
      </c>
      <c r="K1112" t="s">
        <v>280</v>
      </c>
      <c r="L1112" t="s">
        <v>322</v>
      </c>
      <c r="M1112" t="s">
        <v>141</v>
      </c>
      <c r="N1112" t="s">
        <v>142</v>
      </c>
      <c r="O1112" t="s">
        <v>155</v>
      </c>
      <c r="P1112" t="s">
        <v>281</v>
      </c>
      <c r="Q1112" t="s">
        <v>155</v>
      </c>
      <c r="R1112" t="s">
        <v>302</v>
      </c>
      <c r="S1112" t="s">
        <v>309</v>
      </c>
      <c r="T1112">
        <v>1</v>
      </c>
      <c r="U1112" t="s">
        <v>435</v>
      </c>
      <c r="V1112" t="s">
        <v>285</v>
      </c>
      <c r="W1112" t="s">
        <v>436</v>
      </c>
      <c r="X1112" t="s">
        <v>306</v>
      </c>
      <c r="Y1112" t="s">
        <v>307</v>
      </c>
      <c r="Z1112">
        <v>65</v>
      </c>
      <c r="AA1112">
        <v>70</v>
      </c>
      <c r="AB1112" t="s">
        <v>143</v>
      </c>
      <c r="AC1112" t="s">
        <v>53</v>
      </c>
      <c r="AD1112" t="s">
        <v>404</v>
      </c>
      <c r="AE1112" t="str">
        <f>IF(AF1112="","",VLOOKUP(AC1112,mapel!$A$2:$B$42,2,FALSE))</f>
        <v>Sejarah</v>
      </c>
      <c r="AF1112">
        <f t="shared" si="51"/>
        <v>70</v>
      </c>
      <c r="AG1112" t="str">
        <f>IF(AF1112="","",IF(AF1112&gt;90,"Sangat baik",IF(AF1112&gt;79,"Baik",IF(AF1112&gt;=pub_gid_0_single_true_output_csv[[#This Row],[KKM]],"Cukup","Kurang"))))</f>
        <v>Cukup</v>
      </c>
      <c r="AH1112">
        <f t="shared" si="52"/>
        <v>11</v>
      </c>
      <c r="AI1112" s="30" t="str">
        <f>IF(OR(J1112&lt;&gt;"Karakter",pub_gid_0_single_true_output_csv[[#This Row],[Nilai2]]=""),"",IF(AF1112&gt;89,"Sangat baik",IF(AF1112&gt;79,"Baik",IF(AF1112&gt;69,"Cukup",IF(AF1112&gt;59,"Kurang","Sangat kurang")))))</f>
        <v/>
      </c>
      <c r="AJ1112" t="str">
        <f t="shared" si="53"/>
        <v>Wk.3</v>
      </c>
      <c r="AK1112" t="str">
        <f>IF(pub_gid_0_single_true_output_csv[[#This Row],[Nilai2]]="","",VLOOKUP(pub_gid_0_single_true_output_csv[[#This Row],[NAMA]],Table7[],3,FALSE))</f>
        <v>Average</v>
      </c>
    </row>
    <row r="1113" spans="1:37" x14ac:dyDescent="0.2">
      <c r="A1113">
        <v>1112</v>
      </c>
      <c r="B1113" t="s">
        <v>289</v>
      </c>
      <c r="C1113" t="s">
        <v>54</v>
      </c>
      <c r="D1113" t="s">
        <v>39</v>
      </c>
      <c r="E1113" t="s">
        <v>140</v>
      </c>
      <c r="F1113" s="25">
        <v>46043</v>
      </c>
      <c r="G1113" t="s">
        <v>341</v>
      </c>
      <c r="H1113" t="s">
        <v>405</v>
      </c>
      <c r="I1113" t="s">
        <v>371</v>
      </c>
      <c r="J1113" t="s">
        <v>36</v>
      </c>
      <c r="K1113" t="s">
        <v>37</v>
      </c>
      <c r="L1113" t="s">
        <v>351</v>
      </c>
      <c r="M1113" t="s">
        <v>141</v>
      </c>
      <c r="N1113" t="s">
        <v>142</v>
      </c>
      <c r="O1113" t="s">
        <v>155</v>
      </c>
      <c r="P1113" t="s">
        <v>281</v>
      </c>
      <c r="Q1113" t="s">
        <v>155</v>
      </c>
      <c r="R1113" t="s">
        <v>302</v>
      </c>
      <c r="S1113" t="s">
        <v>309</v>
      </c>
      <c r="T1113">
        <v>1</v>
      </c>
      <c r="U1113" t="s">
        <v>435</v>
      </c>
      <c r="V1113" t="s">
        <v>285</v>
      </c>
      <c r="W1113" t="s">
        <v>436</v>
      </c>
      <c r="X1113" t="s">
        <v>306</v>
      </c>
      <c r="Y1113" t="s">
        <v>307</v>
      </c>
      <c r="Z1113">
        <v>65</v>
      </c>
      <c r="AA1113">
        <v>70</v>
      </c>
      <c r="AB1113" t="s">
        <v>143</v>
      </c>
      <c r="AC1113" t="s">
        <v>53</v>
      </c>
      <c r="AD1113" t="s">
        <v>404</v>
      </c>
      <c r="AE1113" t="str">
        <f>IF(AF1113="","",VLOOKUP(AC1113,mapel!$A$2:$B$42,2,FALSE))</f>
        <v>Sejarah</v>
      </c>
      <c r="AF1113">
        <f t="shared" si="51"/>
        <v>70</v>
      </c>
      <c r="AG1113" t="str">
        <f>IF(AF1113="","",IF(AF1113&gt;90,"Sangat baik",IF(AF1113&gt;79,"Baik",IF(AF1113&gt;=pub_gid_0_single_true_output_csv[[#This Row],[KKM]],"Cukup","Kurang"))))</f>
        <v>Cukup</v>
      </c>
      <c r="AH1113">
        <f t="shared" si="52"/>
        <v>11</v>
      </c>
      <c r="AI1113" s="30" t="str">
        <f>IF(OR(J1113&lt;&gt;"Karakter",pub_gid_0_single_true_output_csv[[#This Row],[Nilai2]]=""),"",IF(AF1113&gt;89,"Sangat baik",IF(AF1113&gt;79,"Baik",IF(AF1113&gt;69,"Cukup",IF(AF1113&gt;59,"Kurang","Sangat kurang")))))</f>
        <v/>
      </c>
      <c r="AJ1113" t="str">
        <f t="shared" si="53"/>
        <v>Wk.4</v>
      </c>
      <c r="AK1113" t="str">
        <f>IF(pub_gid_0_single_true_output_csv[[#This Row],[Nilai2]]="","",VLOOKUP(pub_gid_0_single_true_output_csv[[#This Row],[NAMA]],Table7[],3,FALSE))</f>
        <v>Average</v>
      </c>
    </row>
    <row r="1114" spans="1:37" x14ac:dyDescent="0.2">
      <c r="A1114">
        <v>1113</v>
      </c>
      <c r="B1114" t="s">
        <v>289</v>
      </c>
      <c r="C1114" t="s">
        <v>54</v>
      </c>
      <c r="D1114" t="s">
        <v>39</v>
      </c>
      <c r="E1114" t="s">
        <v>140</v>
      </c>
      <c r="F1114" s="25">
        <v>46043</v>
      </c>
      <c r="G1114" t="s">
        <v>341</v>
      </c>
      <c r="H1114" t="s">
        <v>405</v>
      </c>
      <c r="I1114" t="s">
        <v>371</v>
      </c>
      <c r="J1114" t="s">
        <v>31</v>
      </c>
      <c r="K1114" t="s">
        <v>96</v>
      </c>
      <c r="L1114" t="s">
        <v>322</v>
      </c>
      <c r="M1114" t="s">
        <v>141</v>
      </c>
      <c r="N1114" t="s">
        <v>142</v>
      </c>
      <c r="O1114" t="s">
        <v>155</v>
      </c>
      <c r="P1114" t="s">
        <v>281</v>
      </c>
      <c r="Q1114" t="s">
        <v>155</v>
      </c>
      <c r="R1114" t="s">
        <v>302</v>
      </c>
      <c r="S1114" t="s">
        <v>309</v>
      </c>
      <c r="T1114">
        <v>1</v>
      </c>
      <c r="U1114" t="s">
        <v>435</v>
      </c>
      <c r="V1114" t="s">
        <v>285</v>
      </c>
      <c r="W1114" t="s">
        <v>436</v>
      </c>
      <c r="X1114" t="s">
        <v>306</v>
      </c>
      <c r="Y1114" t="s">
        <v>307</v>
      </c>
      <c r="Z1114">
        <v>65</v>
      </c>
      <c r="AA1114">
        <v>68</v>
      </c>
      <c r="AB1114" t="s">
        <v>143</v>
      </c>
      <c r="AC1114" t="s">
        <v>53</v>
      </c>
      <c r="AD1114" t="s">
        <v>404</v>
      </c>
      <c r="AE1114" t="str">
        <f>IF(AF1114="","",VLOOKUP(AC1114,mapel!$A$2:$B$42,2,FALSE))</f>
        <v>Sejarah</v>
      </c>
      <c r="AF1114">
        <f t="shared" si="51"/>
        <v>68</v>
      </c>
      <c r="AG1114" t="str">
        <f>IF(AF1114="","",IF(AF1114&gt;90,"Sangat baik",IF(AF1114&gt;79,"Baik",IF(AF1114&gt;=pub_gid_0_single_true_output_csv[[#This Row],[KKM]],"Cukup","Kurang"))))</f>
        <v>Cukup</v>
      </c>
      <c r="AH1114">
        <f t="shared" si="52"/>
        <v>11</v>
      </c>
      <c r="AI1114" s="30" t="str">
        <f>IF(OR(J1114&lt;&gt;"Karakter",pub_gid_0_single_true_output_csv[[#This Row],[Nilai2]]=""),"",IF(AF1114&gt;89,"Sangat baik",IF(AF1114&gt;79,"Baik",IF(AF1114&gt;69,"Cukup",IF(AF1114&gt;59,"Kurang","Sangat kurang")))))</f>
        <v/>
      </c>
      <c r="AJ1114" t="str">
        <f t="shared" si="53"/>
        <v>Wk.4</v>
      </c>
      <c r="AK1114" t="str">
        <f>IF(pub_gid_0_single_true_output_csv[[#This Row],[Nilai2]]="","",VLOOKUP(pub_gid_0_single_true_output_csv[[#This Row],[NAMA]],Table7[],3,FALSE))</f>
        <v>Average</v>
      </c>
    </row>
    <row r="1115" spans="1:37" x14ac:dyDescent="0.2">
      <c r="A1115">
        <v>1114</v>
      </c>
      <c r="B1115" t="s">
        <v>289</v>
      </c>
      <c r="C1115" t="s">
        <v>54</v>
      </c>
      <c r="D1115" t="s">
        <v>39</v>
      </c>
      <c r="E1115" t="s">
        <v>140</v>
      </c>
      <c r="F1115" s="25">
        <v>46043</v>
      </c>
      <c r="G1115" t="s">
        <v>341</v>
      </c>
      <c r="H1115" t="s">
        <v>405</v>
      </c>
      <c r="I1115" t="s">
        <v>371</v>
      </c>
      <c r="J1115" t="s">
        <v>90</v>
      </c>
      <c r="K1115" t="s">
        <v>92</v>
      </c>
      <c r="L1115" t="s">
        <v>93</v>
      </c>
      <c r="M1115" t="s">
        <v>141</v>
      </c>
      <c r="N1115" t="s">
        <v>142</v>
      </c>
      <c r="O1115" t="s">
        <v>155</v>
      </c>
      <c r="P1115" t="s">
        <v>281</v>
      </c>
      <c r="Q1115" t="s">
        <v>155</v>
      </c>
      <c r="R1115" t="s">
        <v>302</v>
      </c>
      <c r="S1115" t="s">
        <v>309</v>
      </c>
      <c r="T1115">
        <v>1</v>
      </c>
      <c r="U1115" t="s">
        <v>435</v>
      </c>
      <c r="V1115" t="s">
        <v>285</v>
      </c>
      <c r="W1115" t="s">
        <v>436</v>
      </c>
      <c r="X1115" t="s">
        <v>306</v>
      </c>
      <c r="Y1115" t="s">
        <v>307</v>
      </c>
      <c r="Z1115">
        <v>65</v>
      </c>
      <c r="AA1115">
        <v>80</v>
      </c>
      <c r="AB1115" t="s">
        <v>143</v>
      </c>
      <c r="AC1115" t="s">
        <v>53</v>
      </c>
      <c r="AD1115" t="s">
        <v>404</v>
      </c>
      <c r="AE1115" t="str">
        <f>IF(AF1115="","",VLOOKUP(AC1115,mapel!$A$2:$B$42,2,FALSE))</f>
        <v>Sejarah</v>
      </c>
      <c r="AF1115">
        <f t="shared" si="51"/>
        <v>80</v>
      </c>
      <c r="AG1115" t="str">
        <f>IF(AF1115="","",IF(AF1115&gt;90,"Sangat baik",IF(AF1115&gt;79,"Baik",IF(AF1115&gt;=pub_gid_0_single_true_output_csv[[#This Row],[KKM]],"Cukup","Kurang"))))</f>
        <v>Baik</v>
      </c>
      <c r="AH1115">
        <f t="shared" si="52"/>
        <v>11</v>
      </c>
      <c r="AI1115" s="30" t="str">
        <f>IF(OR(J1115&lt;&gt;"Karakter",pub_gid_0_single_true_output_csv[[#This Row],[Nilai2]]=""),"",IF(AF1115&gt;89,"Sangat baik",IF(AF1115&gt;79,"Baik",IF(AF1115&gt;69,"Cukup",IF(AF1115&gt;59,"Kurang","Sangat kurang")))))</f>
        <v>Baik</v>
      </c>
      <c r="AJ1115" t="str">
        <f t="shared" si="53"/>
        <v>Wk.4</v>
      </c>
      <c r="AK1115" t="str">
        <f>IF(pub_gid_0_single_true_output_csv[[#This Row],[Nilai2]]="","",VLOOKUP(pub_gid_0_single_true_output_csv[[#This Row],[NAMA]],Table7[],3,FALSE))</f>
        <v>Average</v>
      </c>
    </row>
    <row r="1116" spans="1:37" x14ac:dyDescent="0.2">
      <c r="A1116">
        <v>1115</v>
      </c>
      <c r="B1116" t="s">
        <v>289</v>
      </c>
      <c r="C1116" t="s">
        <v>54</v>
      </c>
      <c r="D1116" t="s">
        <v>39</v>
      </c>
      <c r="E1116" t="s">
        <v>140</v>
      </c>
      <c r="F1116" s="25">
        <v>46043</v>
      </c>
      <c r="G1116" t="s">
        <v>341</v>
      </c>
      <c r="H1116" t="s">
        <v>405</v>
      </c>
      <c r="I1116" t="s">
        <v>371</v>
      </c>
      <c r="J1116" t="s">
        <v>279</v>
      </c>
      <c r="K1116" t="s">
        <v>280</v>
      </c>
      <c r="L1116" t="s">
        <v>322</v>
      </c>
      <c r="M1116" t="s">
        <v>141</v>
      </c>
      <c r="N1116" t="s">
        <v>142</v>
      </c>
      <c r="O1116" t="s">
        <v>155</v>
      </c>
      <c r="P1116" t="s">
        <v>281</v>
      </c>
      <c r="Q1116" t="s">
        <v>155</v>
      </c>
      <c r="R1116" t="s">
        <v>302</v>
      </c>
      <c r="S1116" t="s">
        <v>355</v>
      </c>
      <c r="T1116">
        <v>2</v>
      </c>
      <c r="U1116" t="s">
        <v>159</v>
      </c>
      <c r="V1116" t="s">
        <v>303</v>
      </c>
      <c r="W1116" t="s">
        <v>437</v>
      </c>
      <c r="X1116" t="s">
        <v>306</v>
      </c>
      <c r="Y1116" t="s">
        <v>307</v>
      </c>
      <c r="Z1116">
        <v>65</v>
      </c>
      <c r="AA1116">
        <v>70</v>
      </c>
      <c r="AB1116" t="s">
        <v>143</v>
      </c>
      <c r="AC1116" t="s">
        <v>53</v>
      </c>
      <c r="AD1116" t="s">
        <v>404</v>
      </c>
      <c r="AE1116" t="str">
        <f>IF(AF1116="","",VLOOKUP(AC1116,mapel!$A$2:$B$42,2,FALSE))</f>
        <v>Sejarah</v>
      </c>
      <c r="AF1116">
        <f t="shared" si="51"/>
        <v>70</v>
      </c>
      <c r="AG1116" t="str">
        <f>IF(AF1116="","",IF(AF1116&gt;90,"Sangat baik",IF(AF1116&gt;79,"Baik",IF(AF1116&gt;=pub_gid_0_single_true_output_csv[[#This Row],[KKM]],"Cukup","Kurang"))))</f>
        <v>Cukup</v>
      </c>
      <c r="AH1116">
        <f t="shared" si="52"/>
        <v>11</v>
      </c>
      <c r="AI1116" s="30" t="str">
        <f>IF(OR(J1116&lt;&gt;"Karakter",pub_gid_0_single_true_output_csv[[#This Row],[Nilai2]]=""),"",IF(AF1116&gt;89,"Sangat baik",IF(AF1116&gt;79,"Baik",IF(AF1116&gt;69,"Cukup",IF(AF1116&gt;59,"Kurang","Sangat kurang")))))</f>
        <v/>
      </c>
      <c r="AJ1116" t="str">
        <f t="shared" si="53"/>
        <v>Wk.4</v>
      </c>
      <c r="AK1116" t="str">
        <f>IF(pub_gid_0_single_true_output_csv[[#This Row],[Nilai2]]="","",VLOOKUP(pub_gid_0_single_true_output_csv[[#This Row],[NAMA]],Table7[],3,FALSE))</f>
        <v>Average</v>
      </c>
    </row>
    <row r="1117" spans="1:37" x14ac:dyDescent="0.2">
      <c r="A1117">
        <v>1116</v>
      </c>
      <c r="B1117" t="s">
        <v>289</v>
      </c>
      <c r="C1117" t="s">
        <v>54</v>
      </c>
      <c r="D1117" t="s">
        <v>39</v>
      </c>
      <c r="E1117" t="s">
        <v>140</v>
      </c>
      <c r="F1117" s="25">
        <v>46050</v>
      </c>
      <c r="G1117" t="s">
        <v>308</v>
      </c>
      <c r="H1117" t="s">
        <v>405</v>
      </c>
      <c r="I1117" t="s">
        <v>371</v>
      </c>
      <c r="J1117" t="s">
        <v>36</v>
      </c>
      <c r="K1117" t="s">
        <v>37</v>
      </c>
      <c r="L1117" t="s">
        <v>351</v>
      </c>
      <c r="M1117" t="s">
        <v>141</v>
      </c>
      <c r="N1117" t="s">
        <v>142</v>
      </c>
      <c r="O1117" t="s">
        <v>155</v>
      </c>
      <c r="P1117" t="s">
        <v>281</v>
      </c>
      <c r="Q1117" t="s">
        <v>155</v>
      </c>
      <c r="R1117" t="s">
        <v>302</v>
      </c>
      <c r="S1117" t="s">
        <v>355</v>
      </c>
      <c r="T1117">
        <v>2</v>
      </c>
      <c r="U1117" t="s">
        <v>159</v>
      </c>
      <c r="V1117" t="s">
        <v>303</v>
      </c>
      <c r="W1117" t="s">
        <v>437</v>
      </c>
      <c r="X1117" t="s">
        <v>306</v>
      </c>
      <c r="Y1117" t="s">
        <v>307</v>
      </c>
      <c r="Z1117">
        <v>65</v>
      </c>
      <c r="AA1117">
        <v>85</v>
      </c>
      <c r="AB1117" t="s">
        <v>143</v>
      </c>
      <c r="AC1117" t="s">
        <v>53</v>
      </c>
      <c r="AD1117" t="s">
        <v>404</v>
      </c>
      <c r="AE1117" t="str">
        <f>IF(AF1117="","",VLOOKUP(AC1117,mapel!$A$2:$B$42,2,FALSE))</f>
        <v>Sejarah</v>
      </c>
      <c r="AF1117">
        <f t="shared" si="51"/>
        <v>85</v>
      </c>
      <c r="AG1117" t="str">
        <f>IF(AF1117="","",IF(AF1117&gt;90,"Sangat baik",IF(AF1117&gt;79,"Baik",IF(AF1117&gt;=pub_gid_0_single_true_output_csv[[#This Row],[KKM]],"Cukup","Kurang"))))</f>
        <v>Baik</v>
      </c>
      <c r="AH1117">
        <f t="shared" si="52"/>
        <v>11</v>
      </c>
      <c r="AI1117" s="30" t="str">
        <f>IF(OR(J1117&lt;&gt;"Karakter",pub_gid_0_single_true_output_csv[[#This Row],[Nilai2]]=""),"",IF(AF1117&gt;89,"Sangat baik",IF(AF1117&gt;79,"Baik",IF(AF1117&gt;69,"Cukup",IF(AF1117&gt;59,"Kurang","Sangat kurang")))))</f>
        <v/>
      </c>
      <c r="AJ1117" t="str">
        <f t="shared" si="53"/>
        <v>Wk.5</v>
      </c>
      <c r="AK1117" t="str">
        <f>IF(pub_gid_0_single_true_output_csv[[#This Row],[Nilai2]]="","",VLOOKUP(pub_gid_0_single_true_output_csv[[#This Row],[NAMA]],Table7[],3,FALSE))</f>
        <v>Average</v>
      </c>
    </row>
    <row r="1118" spans="1:37" x14ac:dyDescent="0.2">
      <c r="A1118">
        <v>1117</v>
      </c>
      <c r="B1118" t="s">
        <v>289</v>
      </c>
      <c r="C1118" t="s">
        <v>54</v>
      </c>
      <c r="D1118" t="s">
        <v>39</v>
      </c>
      <c r="E1118" t="s">
        <v>140</v>
      </c>
      <c r="F1118" s="25">
        <v>46050</v>
      </c>
      <c r="G1118" t="s">
        <v>308</v>
      </c>
      <c r="H1118" t="s">
        <v>405</v>
      </c>
      <c r="I1118" t="s">
        <v>371</v>
      </c>
      <c r="J1118" t="s">
        <v>31</v>
      </c>
      <c r="K1118" t="s">
        <v>96</v>
      </c>
      <c r="L1118" t="s">
        <v>351</v>
      </c>
      <c r="M1118" t="s">
        <v>141</v>
      </c>
      <c r="N1118" t="s">
        <v>142</v>
      </c>
      <c r="O1118" t="s">
        <v>155</v>
      </c>
      <c r="P1118" t="s">
        <v>281</v>
      </c>
      <c r="Q1118" t="s">
        <v>155</v>
      </c>
      <c r="R1118" t="s">
        <v>302</v>
      </c>
      <c r="S1118" t="s">
        <v>355</v>
      </c>
      <c r="T1118">
        <v>2</v>
      </c>
      <c r="U1118" t="s">
        <v>159</v>
      </c>
      <c r="V1118" t="s">
        <v>303</v>
      </c>
      <c r="W1118" t="s">
        <v>437</v>
      </c>
      <c r="X1118" t="s">
        <v>306</v>
      </c>
      <c r="Y1118" t="s">
        <v>307</v>
      </c>
      <c r="Z1118">
        <v>65</v>
      </c>
      <c r="AA1118">
        <v>75</v>
      </c>
      <c r="AB1118" t="s">
        <v>143</v>
      </c>
      <c r="AC1118" t="s">
        <v>53</v>
      </c>
      <c r="AD1118" t="s">
        <v>404</v>
      </c>
      <c r="AE1118" t="str">
        <f>IF(AF1118="","",VLOOKUP(AC1118,mapel!$A$2:$B$42,2,FALSE))</f>
        <v>Sejarah</v>
      </c>
      <c r="AF1118">
        <f t="shared" si="51"/>
        <v>75</v>
      </c>
      <c r="AG1118" t="str">
        <f>IF(AF1118="","",IF(AF1118&gt;90,"Sangat baik",IF(AF1118&gt;79,"Baik",IF(AF1118&gt;=pub_gid_0_single_true_output_csv[[#This Row],[KKM]],"Cukup","Kurang"))))</f>
        <v>Cukup</v>
      </c>
      <c r="AH1118">
        <f t="shared" si="52"/>
        <v>11</v>
      </c>
      <c r="AI1118" s="30" t="str">
        <f>IF(OR(J1118&lt;&gt;"Karakter",pub_gid_0_single_true_output_csv[[#This Row],[Nilai2]]=""),"",IF(AF1118&gt;89,"Sangat baik",IF(AF1118&gt;79,"Baik",IF(AF1118&gt;69,"Cukup",IF(AF1118&gt;59,"Kurang","Sangat kurang")))))</f>
        <v/>
      </c>
      <c r="AJ1118" t="str">
        <f t="shared" si="53"/>
        <v>Wk.5</v>
      </c>
      <c r="AK1118" t="str">
        <f>IF(pub_gid_0_single_true_output_csv[[#This Row],[Nilai2]]="","",VLOOKUP(pub_gid_0_single_true_output_csv[[#This Row],[NAMA]],Table7[],3,FALSE))</f>
        <v>Average</v>
      </c>
    </row>
    <row r="1119" spans="1:37" x14ac:dyDescent="0.2">
      <c r="A1119">
        <v>1118</v>
      </c>
      <c r="B1119" t="s">
        <v>289</v>
      </c>
      <c r="C1119" t="s">
        <v>54</v>
      </c>
      <c r="D1119" t="s">
        <v>39</v>
      </c>
      <c r="E1119" t="s">
        <v>140</v>
      </c>
      <c r="F1119" s="25">
        <v>46050</v>
      </c>
      <c r="G1119" t="s">
        <v>308</v>
      </c>
      <c r="H1119" t="s">
        <v>405</v>
      </c>
      <c r="I1119" t="s">
        <v>371</v>
      </c>
      <c r="J1119" t="s">
        <v>90</v>
      </c>
      <c r="K1119" t="s">
        <v>92</v>
      </c>
      <c r="L1119" t="s">
        <v>91</v>
      </c>
      <c r="M1119" t="s">
        <v>141</v>
      </c>
      <c r="N1119" t="s">
        <v>142</v>
      </c>
      <c r="O1119" t="s">
        <v>155</v>
      </c>
      <c r="P1119" t="s">
        <v>281</v>
      </c>
      <c r="Q1119" t="s">
        <v>155</v>
      </c>
      <c r="R1119" t="s">
        <v>302</v>
      </c>
      <c r="S1119" t="s">
        <v>355</v>
      </c>
      <c r="T1119">
        <v>2</v>
      </c>
      <c r="U1119" t="s">
        <v>159</v>
      </c>
      <c r="V1119" t="s">
        <v>303</v>
      </c>
      <c r="W1119" t="s">
        <v>437</v>
      </c>
      <c r="X1119" t="s">
        <v>306</v>
      </c>
      <c r="Y1119" t="s">
        <v>307</v>
      </c>
      <c r="Z1119">
        <v>65</v>
      </c>
      <c r="AA1119">
        <v>80</v>
      </c>
      <c r="AB1119" t="s">
        <v>143</v>
      </c>
      <c r="AC1119" t="s">
        <v>53</v>
      </c>
      <c r="AD1119" t="s">
        <v>404</v>
      </c>
      <c r="AE1119" t="str">
        <f>IF(AF1119="","",VLOOKUP(AC1119,mapel!$A$2:$B$42,2,FALSE))</f>
        <v>Sejarah</v>
      </c>
      <c r="AF1119">
        <f t="shared" si="51"/>
        <v>80</v>
      </c>
      <c r="AG1119" t="str">
        <f>IF(AF1119="","",IF(AF1119&gt;90,"Sangat baik",IF(AF1119&gt;79,"Baik",IF(AF1119&gt;=pub_gid_0_single_true_output_csv[[#This Row],[KKM]],"Cukup","Kurang"))))</f>
        <v>Baik</v>
      </c>
      <c r="AH1119">
        <f t="shared" si="52"/>
        <v>11</v>
      </c>
      <c r="AI1119" s="30" t="str">
        <f>IF(OR(J1119&lt;&gt;"Karakter",pub_gid_0_single_true_output_csv[[#This Row],[Nilai2]]=""),"",IF(AF1119&gt;89,"Sangat baik",IF(AF1119&gt;79,"Baik",IF(AF1119&gt;69,"Cukup",IF(AF1119&gt;59,"Kurang","Sangat kurang")))))</f>
        <v>Baik</v>
      </c>
      <c r="AJ1119" t="str">
        <f t="shared" si="53"/>
        <v>Wk.5</v>
      </c>
      <c r="AK1119" t="str">
        <f>IF(pub_gid_0_single_true_output_csv[[#This Row],[Nilai2]]="","",VLOOKUP(pub_gid_0_single_true_output_csv[[#This Row],[NAMA]],Table7[],3,FALSE))</f>
        <v>Average</v>
      </c>
    </row>
    <row r="1120" spans="1:37" x14ac:dyDescent="0.2">
      <c r="A1120">
        <v>1119</v>
      </c>
      <c r="B1120" t="s">
        <v>289</v>
      </c>
      <c r="C1120" t="s">
        <v>54</v>
      </c>
      <c r="D1120" t="s">
        <v>39</v>
      </c>
      <c r="E1120" t="s">
        <v>140</v>
      </c>
      <c r="F1120" s="25">
        <v>46050</v>
      </c>
      <c r="G1120" t="s">
        <v>308</v>
      </c>
      <c r="H1120" t="s">
        <v>405</v>
      </c>
      <c r="I1120" t="s">
        <v>371</v>
      </c>
      <c r="J1120" t="s">
        <v>279</v>
      </c>
      <c r="K1120" t="s">
        <v>280</v>
      </c>
      <c r="L1120" t="s">
        <v>322</v>
      </c>
      <c r="M1120" t="s">
        <v>141</v>
      </c>
      <c r="N1120" t="s">
        <v>142</v>
      </c>
      <c r="O1120" t="s">
        <v>155</v>
      </c>
      <c r="P1120" t="s">
        <v>281</v>
      </c>
      <c r="Q1120" t="s">
        <v>155</v>
      </c>
      <c r="R1120" t="s">
        <v>302</v>
      </c>
      <c r="S1120" t="s">
        <v>355</v>
      </c>
      <c r="T1120">
        <v>2</v>
      </c>
      <c r="U1120" t="s">
        <v>159</v>
      </c>
      <c r="V1120" t="s">
        <v>303</v>
      </c>
      <c r="W1120" t="s">
        <v>437</v>
      </c>
      <c r="X1120" t="s">
        <v>306</v>
      </c>
      <c r="Y1120" t="s">
        <v>307</v>
      </c>
      <c r="Z1120">
        <v>65</v>
      </c>
      <c r="AA1120">
        <v>75</v>
      </c>
      <c r="AB1120" t="s">
        <v>143</v>
      </c>
      <c r="AC1120" t="s">
        <v>53</v>
      </c>
      <c r="AD1120" t="s">
        <v>404</v>
      </c>
      <c r="AE1120" t="str">
        <f>IF(AF1120="","",VLOOKUP(AC1120,mapel!$A$2:$B$42,2,FALSE))</f>
        <v>Sejarah</v>
      </c>
      <c r="AF1120">
        <f t="shared" si="51"/>
        <v>75</v>
      </c>
      <c r="AG1120" t="str">
        <f>IF(AF1120="","",IF(AF1120&gt;90,"Sangat baik",IF(AF1120&gt;79,"Baik",IF(AF1120&gt;=pub_gid_0_single_true_output_csv[[#This Row],[KKM]],"Cukup","Kurang"))))</f>
        <v>Cukup</v>
      </c>
      <c r="AH1120">
        <f t="shared" si="52"/>
        <v>11</v>
      </c>
      <c r="AI1120" s="30" t="str">
        <f>IF(OR(J1120&lt;&gt;"Karakter",pub_gid_0_single_true_output_csv[[#This Row],[Nilai2]]=""),"",IF(AF1120&gt;89,"Sangat baik",IF(AF1120&gt;79,"Baik",IF(AF1120&gt;69,"Cukup",IF(AF1120&gt;59,"Kurang","Sangat kurang")))))</f>
        <v/>
      </c>
      <c r="AJ1120" t="str">
        <f t="shared" si="53"/>
        <v>Wk.5</v>
      </c>
      <c r="AK1120" t="str">
        <f>IF(pub_gid_0_single_true_output_csv[[#This Row],[Nilai2]]="","",VLOOKUP(pub_gid_0_single_true_output_csv[[#This Row],[NAMA]],Table7[],3,FALSE))</f>
        <v>Average</v>
      </c>
    </row>
    <row r="1121" spans="1:37" x14ac:dyDescent="0.2">
      <c r="A1121">
        <v>1120</v>
      </c>
      <c r="B1121" t="s">
        <v>289</v>
      </c>
      <c r="C1121" t="s">
        <v>54</v>
      </c>
      <c r="D1121" t="s">
        <v>39</v>
      </c>
      <c r="E1121" t="s">
        <v>140</v>
      </c>
      <c r="F1121" s="25">
        <v>46057</v>
      </c>
      <c r="G1121" t="s">
        <v>348</v>
      </c>
      <c r="H1121" t="s">
        <v>412</v>
      </c>
      <c r="I1121" t="s">
        <v>371</v>
      </c>
      <c r="J1121" t="s">
        <v>36</v>
      </c>
      <c r="K1121" t="s">
        <v>37</v>
      </c>
      <c r="L1121" t="s">
        <v>351</v>
      </c>
      <c r="M1121" t="s">
        <v>141</v>
      </c>
      <c r="N1121" t="s">
        <v>142</v>
      </c>
      <c r="O1121" t="s">
        <v>155</v>
      </c>
      <c r="P1121" t="s">
        <v>281</v>
      </c>
      <c r="Q1121" t="s">
        <v>155</v>
      </c>
      <c r="R1121" t="s">
        <v>302</v>
      </c>
      <c r="S1121" t="s">
        <v>355</v>
      </c>
      <c r="T1121">
        <v>2</v>
      </c>
      <c r="U1121" t="s">
        <v>159</v>
      </c>
      <c r="V1121" t="s">
        <v>303</v>
      </c>
      <c r="W1121" t="s">
        <v>437</v>
      </c>
      <c r="X1121" t="s">
        <v>306</v>
      </c>
      <c r="Y1121" t="s">
        <v>307</v>
      </c>
      <c r="Z1121">
        <v>65</v>
      </c>
      <c r="AA1121">
        <v>70</v>
      </c>
      <c r="AB1121" t="s">
        <v>143</v>
      </c>
      <c r="AC1121" t="s">
        <v>53</v>
      </c>
      <c r="AD1121" t="s">
        <v>404</v>
      </c>
      <c r="AE1121" t="str">
        <f>IF(AF1121="","",VLOOKUP(AC1121,mapel!$A$2:$B$42,2,FALSE))</f>
        <v>Sejarah</v>
      </c>
      <c r="AF1121">
        <f t="shared" si="51"/>
        <v>70</v>
      </c>
      <c r="AG1121" t="str">
        <f>IF(AF1121="","",IF(AF1121&gt;90,"Sangat baik",IF(AF1121&gt;79,"Baik",IF(AF1121&gt;=pub_gid_0_single_true_output_csv[[#This Row],[KKM]],"Cukup","Kurang"))))</f>
        <v>Cukup</v>
      </c>
      <c r="AH1121">
        <f t="shared" si="52"/>
        <v>11</v>
      </c>
      <c r="AI1121" s="30" t="str">
        <f>IF(OR(J1121&lt;&gt;"Karakter",pub_gid_0_single_true_output_csv[[#This Row],[Nilai2]]=""),"",IF(AF1121&gt;89,"Sangat baik",IF(AF1121&gt;79,"Baik",IF(AF1121&gt;69,"Cukup",IF(AF1121&gt;59,"Kurang","Sangat kurang")))))</f>
        <v/>
      </c>
      <c r="AJ1121" t="str">
        <f t="shared" si="53"/>
        <v>Wk.6</v>
      </c>
      <c r="AK1121" t="str">
        <f>IF(pub_gid_0_single_true_output_csv[[#This Row],[Nilai2]]="","",VLOOKUP(pub_gid_0_single_true_output_csv[[#This Row],[NAMA]],Table7[],3,FALSE))</f>
        <v>Average</v>
      </c>
    </row>
    <row r="1122" spans="1:37" x14ac:dyDescent="0.2">
      <c r="A1122">
        <v>1121</v>
      </c>
      <c r="B1122" t="s">
        <v>289</v>
      </c>
      <c r="C1122" t="s">
        <v>54</v>
      </c>
      <c r="D1122" t="s">
        <v>39</v>
      </c>
      <c r="E1122" t="s">
        <v>140</v>
      </c>
      <c r="F1122" s="25">
        <v>46057</v>
      </c>
      <c r="G1122" t="s">
        <v>348</v>
      </c>
      <c r="H1122" t="s">
        <v>412</v>
      </c>
      <c r="I1122" t="s">
        <v>371</v>
      </c>
      <c r="J1122" t="s">
        <v>31</v>
      </c>
      <c r="K1122" t="s">
        <v>96</v>
      </c>
      <c r="L1122" t="s">
        <v>351</v>
      </c>
      <c r="M1122" t="s">
        <v>141</v>
      </c>
      <c r="N1122" t="s">
        <v>142</v>
      </c>
      <c r="O1122" t="s">
        <v>155</v>
      </c>
      <c r="P1122" t="s">
        <v>281</v>
      </c>
      <c r="Q1122" t="s">
        <v>155</v>
      </c>
      <c r="R1122" t="s">
        <v>302</v>
      </c>
      <c r="S1122" t="s">
        <v>355</v>
      </c>
      <c r="T1122">
        <v>2</v>
      </c>
      <c r="U1122" t="s">
        <v>159</v>
      </c>
      <c r="V1122" t="s">
        <v>303</v>
      </c>
      <c r="W1122" t="s">
        <v>437</v>
      </c>
      <c r="X1122" t="s">
        <v>306</v>
      </c>
      <c r="Y1122" t="s">
        <v>307</v>
      </c>
      <c r="Z1122">
        <v>65</v>
      </c>
      <c r="AA1122">
        <v>85</v>
      </c>
      <c r="AB1122" t="s">
        <v>143</v>
      </c>
      <c r="AC1122" t="s">
        <v>53</v>
      </c>
      <c r="AD1122" t="s">
        <v>404</v>
      </c>
      <c r="AE1122" t="str">
        <f>IF(AF1122="","",VLOOKUP(AC1122,mapel!$A$2:$B$42,2,FALSE))</f>
        <v>Sejarah</v>
      </c>
      <c r="AF1122">
        <f t="shared" si="51"/>
        <v>85</v>
      </c>
      <c r="AG1122" t="str">
        <f>IF(AF1122="","",IF(AF1122&gt;90,"Sangat baik",IF(AF1122&gt;79,"Baik",IF(AF1122&gt;=pub_gid_0_single_true_output_csv[[#This Row],[KKM]],"Cukup","Kurang"))))</f>
        <v>Baik</v>
      </c>
      <c r="AH1122">
        <f t="shared" si="52"/>
        <v>11</v>
      </c>
      <c r="AI1122" s="30" t="str">
        <f>IF(OR(J1122&lt;&gt;"Karakter",pub_gid_0_single_true_output_csv[[#This Row],[Nilai2]]=""),"",IF(AF1122&gt;89,"Sangat baik",IF(AF1122&gt;79,"Baik",IF(AF1122&gt;69,"Cukup",IF(AF1122&gt;59,"Kurang","Sangat kurang")))))</f>
        <v/>
      </c>
      <c r="AJ1122" t="str">
        <f t="shared" si="53"/>
        <v>Wk.6</v>
      </c>
      <c r="AK1122" t="str">
        <f>IF(pub_gid_0_single_true_output_csv[[#This Row],[Nilai2]]="","",VLOOKUP(pub_gid_0_single_true_output_csv[[#This Row],[NAMA]],Table7[],3,FALSE))</f>
        <v>Average</v>
      </c>
    </row>
    <row r="1123" spans="1:37" x14ac:dyDescent="0.2">
      <c r="A1123">
        <v>1122</v>
      </c>
      <c r="B1123" t="s">
        <v>289</v>
      </c>
      <c r="C1123" t="s">
        <v>54</v>
      </c>
      <c r="D1123" t="s">
        <v>39</v>
      </c>
      <c r="E1123" t="s">
        <v>140</v>
      </c>
      <c r="F1123" s="25">
        <v>46057</v>
      </c>
      <c r="G1123" t="s">
        <v>348</v>
      </c>
      <c r="H1123" t="s">
        <v>412</v>
      </c>
      <c r="I1123" t="s">
        <v>371</v>
      </c>
      <c r="J1123" t="s">
        <v>90</v>
      </c>
      <c r="K1123" t="s">
        <v>92</v>
      </c>
      <c r="L1123" t="s">
        <v>93</v>
      </c>
      <c r="M1123" t="s">
        <v>141</v>
      </c>
      <c r="N1123" t="s">
        <v>142</v>
      </c>
      <c r="O1123" t="s">
        <v>155</v>
      </c>
      <c r="P1123" t="s">
        <v>281</v>
      </c>
      <c r="Q1123" t="s">
        <v>155</v>
      </c>
      <c r="R1123" t="s">
        <v>302</v>
      </c>
      <c r="S1123" t="s">
        <v>355</v>
      </c>
      <c r="T1123">
        <v>2</v>
      </c>
      <c r="U1123" t="s">
        <v>159</v>
      </c>
      <c r="V1123" t="s">
        <v>303</v>
      </c>
      <c r="W1123" t="s">
        <v>437</v>
      </c>
      <c r="X1123" t="s">
        <v>306</v>
      </c>
      <c r="Y1123" t="s">
        <v>307</v>
      </c>
      <c r="Z1123">
        <v>65</v>
      </c>
      <c r="AA1123">
        <v>70</v>
      </c>
      <c r="AB1123" t="s">
        <v>143</v>
      </c>
      <c r="AC1123" t="s">
        <v>53</v>
      </c>
      <c r="AD1123" t="s">
        <v>404</v>
      </c>
      <c r="AE1123" t="str">
        <f>IF(AF1123="","",VLOOKUP(AC1123,mapel!$A$2:$B$42,2,FALSE))</f>
        <v>Sejarah</v>
      </c>
      <c r="AF1123">
        <f t="shared" si="51"/>
        <v>70</v>
      </c>
      <c r="AG1123" t="str">
        <f>IF(AF1123="","",IF(AF1123&gt;90,"Sangat baik",IF(AF1123&gt;79,"Baik",IF(AF1123&gt;=pub_gid_0_single_true_output_csv[[#This Row],[KKM]],"Cukup","Kurang"))))</f>
        <v>Cukup</v>
      </c>
      <c r="AH1123">
        <f t="shared" si="52"/>
        <v>11</v>
      </c>
      <c r="AI1123" s="30" t="str">
        <f>IF(OR(J1123&lt;&gt;"Karakter",pub_gid_0_single_true_output_csv[[#This Row],[Nilai2]]=""),"",IF(AF1123&gt;89,"Sangat baik",IF(AF1123&gt;79,"Baik",IF(AF1123&gt;69,"Cukup",IF(AF1123&gt;59,"Kurang","Sangat kurang")))))</f>
        <v>Cukup</v>
      </c>
      <c r="AJ1123" t="str">
        <f t="shared" si="53"/>
        <v>Wk.6</v>
      </c>
      <c r="AK1123" t="str">
        <f>IF(pub_gid_0_single_true_output_csv[[#This Row],[Nilai2]]="","",VLOOKUP(pub_gid_0_single_true_output_csv[[#This Row],[NAMA]],Table7[],3,FALSE))</f>
        <v>Average</v>
      </c>
    </row>
    <row r="1124" spans="1:37" x14ac:dyDescent="0.2">
      <c r="A1124">
        <v>1123</v>
      </c>
      <c r="B1124" t="s">
        <v>289</v>
      </c>
      <c r="C1124" t="s">
        <v>54</v>
      </c>
      <c r="D1124" t="s">
        <v>39</v>
      </c>
      <c r="E1124" t="s">
        <v>140</v>
      </c>
      <c r="F1124" s="25">
        <v>46057</v>
      </c>
      <c r="G1124" t="s">
        <v>348</v>
      </c>
      <c r="H1124" t="s">
        <v>412</v>
      </c>
      <c r="I1124" t="s">
        <v>371</v>
      </c>
      <c r="J1124" t="s">
        <v>279</v>
      </c>
      <c r="K1124" t="s">
        <v>280</v>
      </c>
      <c r="L1124" t="s">
        <v>322</v>
      </c>
      <c r="M1124" t="s">
        <v>141</v>
      </c>
      <c r="N1124" t="s">
        <v>142</v>
      </c>
      <c r="O1124" t="s">
        <v>155</v>
      </c>
      <c r="P1124" t="s">
        <v>281</v>
      </c>
      <c r="Q1124" t="s">
        <v>155</v>
      </c>
      <c r="R1124" t="s">
        <v>302</v>
      </c>
      <c r="S1124" t="s">
        <v>355</v>
      </c>
      <c r="T1124">
        <v>2</v>
      </c>
      <c r="U1124" t="s">
        <v>159</v>
      </c>
      <c r="V1124" t="s">
        <v>303</v>
      </c>
      <c r="W1124" t="s">
        <v>437</v>
      </c>
      <c r="X1124" t="s">
        <v>306</v>
      </c>
      <c r="Y1124" t="s">
        <v>307</v>
      </c>
      <c r="Z1124">
        <v>65</v>
      </c>
      <c r="AA1124">
        <v>65</v>
      </c>
      <c r="AB1124" t="s">
        <v>143</v>
      </c>
      <c r="AC1124" t="s">
        <v>53</v>
      </c>
      <c r="AD1124" t="s">
        <v>404</v>
      </c>
      <c r="AE1124" t="str">
        <f>IF(AF1124="","",VLOOKUP(AC1124,mapel!$A$2:$B$42,2,FALSE))</f>
        <v>Sejarah</v>
      </c>
      <c r="AF1124">
        <f t="shared" si="51"/>
        <v>65</v>
      </c>
      <c r="AG1124" t="str">
        <f>IF(AF1124="","",IF(AF1124&gt;90,"Sangat baik",IF(AF1124&gt;79,"Baik",IF(AF1124&gt;=pub_gid_0_single_true_output_csv[[#This Row],[KKM]],"Cukup","Kurang"))))</f>
        <v>Cukup</v>
      </c>
      <c r="AH1124">
        <f t="shared" si="52"/>
        <v>11</v>
      </c>
      <c r="AI1124" s="30" t="str">
        <f>IF(OR(J1124&lt;&gt;"Karakter",pub_gid_0_single_true_output_csv[[#This Row],[Nilai2]]=""),"",IF(AF1124&gt;89,"Sangat baik",IF(AF1124&gt;79,"Baik",IF(AF1124&gt;69,"Cukup",IF(AF1124&gt;59,"Kurang","Sangat kurang")))))</f>
        <v/>
      </c>
      <c r="AJ1124" t="str">
        <f t="shared" si="53"/>
        <v>Wk.6</v>
      </c>
      <c r="AK1124" t="str">
        <f>IF(pub_gid_0_single_true_output_csv[[#This Row],[Nilai2]]="","",VLOOKUP(pub_gid_0_single_true_output_csv[[#This Row],[NAMA]],Table7[],3,FALSE))</f>
        <v>Average</v>
      </c>
    </row>
    <row r="1125" spans="1:37" x14ac:dyDescent="0.2">
      <c r="A1125">
        <v>1124</v>
      </c>
      <c r="B1125" t="s">
        <v>289</v>
      </c>
      <c r="C1125" t="s">
        <v>54</v>
      </c>
      <c r="D1125" t="s">
        <v>39</v>
      </c>
      <c r="E1125" t="s">
        <v>140</v>
      </c>
      <c r="F1125" s="25">
        <v>46064</v>
      </c>
      <c r="G1125" t="s">
        <v>352</v>
      </c>
      <c r="H1125" t="s">
        <v>412</v>
      </c>
      <c r="I1125" t="s">
        <v>371</v>
      </c>
      <c r="J1125" t="s">
        <v>36</v>
      </c>
      <c r="K1125" t="s">
        <v>37</v>
      </c>
      <c r="L1125" t="s">
        <v>351</v>
      </c>
      <c r="M1125" t="s">
        <v>141</v>
      </c>
      <c r="N1125" t="s">
        <v>142</v>
      </c>
      <c r="O1125" t="s">
        <v>155</v>
      </c>
      <c r="P1125" t="s">
        <v>281</v>
      </c>
      <c r="Q1125" t="s">
        <v>155</v>
      </c>
      <c r="R1125" t="s">
        <v>302</v>
      </c>
      <c r="S1125" t="s">
        <v>380</v>
      </c>
      <c r="T1125">
        <v>3</v>
      </c>
      <c r="U1125" t="s">
        <v>159</v>
      </c>
      <c r="V1125" t="s">
        <v>381</v>
      </c>
      <c r="W1125" t="s">
        <v>438</v>
      </c>
      <c r="X1125" t="s">
        <v>306</v>
      </c>
      <c r="Y1125" t="s">
        <v>307</v>
      </c>
      <c r="Z1125">
        <v>65</v>
      </c>
      <c r="AA1125">
        <v>70</v>
      </c>
      <c r="AB1125" t="s">
        <v>143</v>
      </c>
      <c r="AC1125" t="s">
        <v>53</v>
      </c>
      <c r="AD1125" t="s">
        <v>404</v>
      </c>
      <c r="AE1125" t="str">
        <f>IF(AF1125="","",VLOOKUP(AC1125,mapel!$A$2:$B$42,2,FALSE))</f>
        <v>Sejarah</v>
      </c>
      <c r="AF1125">
        <f t="shared" si="51"/>
        <v>70</v>
      </c>
      <c r="AG1125" t="str">
        <f>IF(AF1125="","",IF(AF1125&gt;90,"Sangat baik",IF(AF1125&gt;79,"Baik",IF(AF1125&gt;=pub_gid_0_single_true_output_csv[[#This Row],[KKM]],"Cukup","Kurang"))))</f>
        <v>Cukup</v>
      </c>
      <c r="AH1125">
        <f t="shared" si="52"/>
        <v>11</v>
      </c>
      <c r="AI1125" s="30" t="str">
        <f>IF(OR(J1125&lt;&gt;"Karakter",pub_gid_0_single_true_output_csv[[#This Row],[Nilai2]]=""),"",IF(AF1125&gt;89,"Sangat baik",IF(AF1125&gt;79,"Baik",IF(AF1125&gt;69,"Cukup",IF(AF1125&gt;59,"Kurang","Sangat kurang")))))</f>
        <v/>
      </c>
      <c r="AJ1125" t="str">
        <f t="shared" si="53"/>
        <v>Wk.7</v>
      </c>
      <c r="AK1125" t="str">
        <f>IF(pub_gid_0_single_true_output_csv[[#This Row],[Nilai2]]="","",VLOOKUP(pub_gid_0_single_true_output_csv[[#This Row],[NAMA]],Table7[],3,FALSE))</f>
        <v>Average</v>
      </c>
    </row>
    <row r="1126" spans="1:37" x14ac:dyDescent="0.2">
      <c r="A1126">
        <v>1125</v>
      </c>
      <c r="B1126" t="s">
        <v>289</v>
      </c>
      <c r="C1126" t="s">
        <v>54</v>
      </c>
      <c r="D1126" t="s">
        <v>39</v>
      </c>
      <c r="E1126" t="s">
        <v>140</v>
      </c>
      <c r="F1126" s="25">
        <v>46064</v>
      </c>
      <c r="G1126" t="s">
        <v>352</v>
      </c>
      <c r="H1126" t="s">
        <v>412</v>
      </c>
      <c r="I1126" t="s">
        <v>371</v>
      </c>
      <c r="J1126" t="s">
        <v>31</v>
      </c>
      <c r="K1126" t="s">
        <v>96</v>
      </c>
      <c r="L1126" t="s">
        <v>351</v>
      </c>
      <c r="M1126" t="s">
        <v>141</v>
      </c>
      <c r="N1126" t="s">
        <v>142</v>
      </c>
      <c r="O1126" t="s">
        <v>155</v>
      </c>
      <c r="P1126" t="s">
        <v>281</v>
      </c>
      <c r="Q1126" t="s">
        <v>155</v>
      </c>
      <c r="R1126" t="s">
        <v>302</v>
      </c>
      <c r="S1126" t="s">
        <v>380</v>
      </c>
      <c r="T1126">
        <v>3</v>
      </c>
      <c r="U1126" t="s">
        <v>159</v>
      </c>
      <c r="V1126" t="s">
        <v>381</v>
      </c>
      <c r="W1126" t="s">
        <v>438</v>
      </c>
      <c r="X1126" t="s">
        <v>306</v>
      </c>
      <c r="Y1126" t="s">
        <v>307</v>
      </c>
      <c r="Z1126">
        <v>65</v>
      </c>
      <c r="AA1126">
        <v>65</v>
      </c>
      <c r="AB1126" t="s">
        <v>143</v>
      </c>
      <c r="AC1126" t="s">
        <v>53</v>
      </c>
      <c r="AD1126" t="s">
        <v>404</v>
      </c>
      <c r="AE1126" t="str">
        <f>IF(AF1126="","",VLOOKUP(AC1126,mapel!$A$2:$B$42,2,FALSE))</f>
        <v>Sejarah</v>
      </c>
      <c r="AF1126">
        <f t="shared" si="51"/>
        <v>65</v>
      </c>
      <c r="AG1126" t="str">
        <f>IF(AF1126="","",IF(AF1126&gt;90,"Sangat baik",IF(AF1126&gt;79,"Baik",IF(AF1126&gt;=pub_gid_0_single_true_output_csv[[#This Row],[KKM]],"Cukup","Kurang"))))</f>
        <v>Cukup</v>
      </c>
      <c r="AH1126">
        <f t="shared" si="52"/>
        <v>11</v>
      </c>
      <c r="AI1126" s="30" t="str">
        <f>IF(OR(J1126&lt;&gt;"Karakter",pub_gid_0_single_true_output_csv[[#This Row],[Nilai2]]=""),"",IF(AF1126&gt;89,"Sangat baik",IF(AF1126&gt;79,"Baik",IF(AF1126&gt;69,"Cukup",IF(AF1126&gt;59,"Kurang","Sangat kurang")))))</f>
        <v/>
      </c>
      <c r="AJ1126" t="str">
        <f t="shared" si="53"/>
        <v>Wk.7</v>
      </c>
      <c r="AK1126" t="str">
        <f>IF(pub_gid_0_single_true_output_csv[[#This Row],[Nilai2]]="","",VLOOKUP(pub_gid_0_single_true_output_csv[[#This Row],[NAMA]],Table7[],3,FALSE))</f>
        <v>Average</v>
      </c>
    </row>
    <row r="1127" spans="1:37" x14ac:dyDescent="0.2">
      <c r="A1127">
        <v>1126</v>
      </c>
      <c r="B1127" t="s">
        <v>289</v>
      </c>
      <c r="C1127" t="s">
        <v>54</v>
      </c>
      <c r="D1127" t="s">
        <v>39</v>
      </c>
      <c r="E1127" t="s">
        <v>140</v>
      </c>
      <c r="F1127" s="25">
        <v>46064</v>
      </c>
      <c r="G1127" t="s">
        <v>352</v>
      </c>
      <c r="H1127" t="s">
        <v>412</v>
      </c>
      <c r="I1127" t="s">
        <v>371</v>
      </c>
      <c r="J1127" t="s">
        <v>90</v>
      </c>
      <c r="K1127" t="s">
        <v>92</v>
      </c>
      <c r="L1127" t="s">
        <v>93</v>
      </c>
      <c r="M1127" t="s">
        <v>141</v>
      </c>
      <c r="N1127" t="s">
        <v>142</v>
      </c>
      <c r="O1127" t="s">
        <v>155</v>
      </c>
      <c r="P1127" t="s">
        <v>281</v>
      </c>
      <c r="Q1127" t="s">
        <v>155</v>
      </c>
      <c r="R1127" t="s">
        <v>302</v>
      </c>
      <c r="S1127" t="s">
        <v>380</v>
      </c>
      <c r="T1127">
        <v>3</v>
      </c>
      <c r="U1127" t="s">
        <v>159</v>
      </c>
      <c r="V1127" t="s">
        <v>381</v>
      </c>
      <c r="W1127" t="s">
        <v>438</v>
      </c>
      <c r="X1127" t="s">
        <v>306</v>
      </c>
      <c r="Y1127" t="s">
        <v>307</v>
      </c>
      <c r="Z1127">
        <v>65</v>
      </c>
      <c r="AA1127">
        <v>75</v>
      </c>
      <c r="AB1127" t="s">
        <v>143</v>
      </c>
      <c r="AC1127" t="s">
        <v>53</v>
      </c>
      <c r="AD1127" t="s">
        <v>404</v>
      </c>
      <c r="AE1127" t="str">
        <f>IF(AF1127="","",VLOOKUP(AC1127,mapel!$A$2:$B$42,2,FALSE))</f>
        <v>Sejarah</v>
      </c>
      <c r="AF1127">
        <f t="shared" si="51"/>
        <v>75</v>
      </c>
      <c r="AG1127" t="str">
        <f>IF(AF1127="","",IF(AF1127&gt;90,"Sangat baik",IF(AF1127&gt;79,"Baik",IF(AF1127&gt;=pub_gid_0_single_true_output_csv[[#This Row],[KKM]],"Cukup","Kurang"))))</f>
        <v>Cukup</v>
      </c>
      <c r="AH1127">
        <f t="shared" si="52"/>
        <v>11</v>
      </c>
      <c r="AI1127" s="30" t="str">
        <f>IF(OR(J1127&lt;&gt;"Karakter",pub_gid_0_single_true_output_csv[[#This Row],[Nilai2]]=""),"",IF(AF1127&gt;89,"Sangat baik",IF(AF1127&gt;79,"Baik",IF(AF1127&gt;69,"Cukup",IF(AF1127&gt;59,"Kurang","Sangat kurang")))))</f>
        <v>Cukup</v>
      </c>
      <c r="AJ1127" t="str">
        <f t="shared" si="53"/>
        <v>Wk.7</v>
      </c>
      <c r="AK1127" t="str">
        <f>IF(pub_gid_0_single_true_output_csv[[#This Row],[Nilai2]]="","",VLOOKUP(pub_gid_0_single_true_output_csv[[#This Row],[NAMA]],Table7[],3,FALSE))</f>
        <v>Average</v>
      </c>
    </row>
    <row r="1128" spans="1:37" x14ac:dyDescent="0.2">
      <c r="A1128">
        <v>1127</v>
      </c>
      <c r="B1128" t="s">
        <v>289</v>
      </c>
      <c r="C1128" t="s">
        <v>54</v>
      </c>
      <c r="D1128" t="s">
        <v>39</v>
      </c>
      <c r="E1128" t="s">
        <v>140</v>
      </c>
      <c r="F1128" s="25">
        <v>46064</v>
      </c>
      <c r="G1128" t="s">
        <v>352</v>
      </c>
      <c r="H1128" t="s">
        <v>412</v>
      </c>
      <c r="I1128" t="s">
        <v>371</v>
      </c>
      <c r="J1128" t="s">
        <v>279</v>
      </c>
      <c r="K1128" t="s">
        <v>280</v>
      </c>
      <c r="L1128" t="s">
        <v>322</v>
      </c>
      <c r="M1128" t="s">
        <v>141</v>
      </c>
      <c r="N1128" t="s">
        <v>142</v>
      </c>
      <c r="O1128" t="s">
        <v>155</v>
      </c>
      <c r="P1128" t="s">
        <v>281</v>
      </c>
      <c r="Q1128" t="s">
        <v>155</v>
      </c>
      <c r="R1128" t="s">
        <v>302</v>
      </c>
      <c r="S1128" t="s">
        <v>380</v>
      </c>
      <c r="T1128">
        <v>3</v>
      </c>
      <c r="U1128" t="s">
        <v>159</v>
      </c>
      <c r="V1128" t="s">
        <v>381</v>
      </c>
      <c r="W1128" t="s">
        <v>438</v>
      </c>
      <c r="X1128" t="s">
        <v>306</v>
      </c>
      <c r="Y1128" t="s">
        <v>307</v>
      </c>
      <c r="Z1128">
        <v>65</v>
      </c>
      <c r="AA1128">
        <v>70</v>
      </c>
      <c r="AB1128" t="s">
        <v>143</v>
      </c>
      <c r="AC1128" t="s">
        <v>53</v>
      </c>
      <c r="AD1128" t="s">
        <v>404</v>
      </c>
      <c r="AE1128" t="str">
        <f>IF(AF1128="","",VLOOKUP(AC1128,mapel!$A$2:$B$42,2,FALSE))</f>
        <v>Sejarah</v>
      </c>
      <c r="AF1128">
        <f t="shared" si="51"/>
        <v>70</v>
      </c>
      <c r="AG1128" t="str">
        <f>IF(AF1128="","",IF(AF1128&gt;90,"Sangat baik",IF(AF1128&gt;79,"Baik",IF(AF1128&gt;=pub_gid_0_single_true_output_csv[[#This Row],[KKM]],"Cukup","Kurang"))))</f>
        <v>Cukup</v>
      </c>
      <c r="AH1128">
        <f t="shared" si="52"/>
        <v>11</v>
      </c>
      <c r="AI1128" s="30" t="str">
        <f>IF(OR(J1128&lt;&gt;"Karakter",pub_gid_0_single_true_output_csv[[#This Row],[Nilai2]]=""),"",IF(AF1128&gt;89,"Sangat baik",IF(AF1128&gt;79,"Baik",IF(AF1128&gt;69,"Cukup",IF(AF1128&gt;59,"Kurang","Sangat kurang")))))</f>
        <v/>
      </c>
      <c r="AJ1128" t="str">
        <f t="shared" si="53"/>
        <v>Wk.7</v>
      </c>
      <c r="AK1128" t="str">
        <f>IF(pub_gid_0_single_true_output_csv[[#This Row],[Nilai2]]="","",VLOOKUP(pub_gid_0_single_true_output_csv[[#This Row],[NAMA]],Table7[],3,FALSE))</f>
        <v>Average</v>
      </c>
    </row>
    <row r="1129" spans="1:37" x14ac:dyDescent="0.2">
      <c r="A1129">
        <v>1128</v>
      </c>
      <c r="B1129" t="s">
        <v>289</v>
      </c>
      <c r="C1129" t="s">
        <v>54</v>
      </c>
      <c r="D1129" t="s">
        <v>39</v>
      </c>
      <c r="E1129" t="s">
        <v>140</v>
      </c>
      <c r="F1129" s="25">
        <v>46071</v>
      </c>
      <c r="G1129" t="s">
        <v>323</v>
      </c>
      <c r="H1129" t="s">
        <v>412</v>
      </c>
      <c r="I1129" t="s">
        <v>371</v>
      </c>
      <c r="J1129" t="s">
        <v>36</v>
      </c>
      <c r="K1129" t="s">
        <v>362</v>
      </c>
      <c r="L1129" t="s">
        <v>363</v>
      </c>
      <c r="M1129" t="s">
        <v>141</v>
      </c>
      <c r="N1129" t="s">
        <v>142</v>
      </c>
      <c r="O1129" t="s">
        <v>155</v>
      </c>
      <c r="P1129" t="s">
        <v>281</v>
      </c>
      <c r="Q1129" t="s">
        <v>155</v>
      </c>
      <c r="R1129" t="s">
        <v>302</v>
      </c>
      <c r="S1129" t="s">
        <v>309</v>
      </c>
      <c r="T1129">
        <v>1</v>
      </c>
      <c r="U1129" t="s">
        <v>435</v>
      </c>
      <c r="V1129" t="s">
        <v>285</v>
      </c>
      <c r="W1129" t="s">
        <v>436</v>
      </c>
      <c r="X1129" t="s">
        <v>306</v>
      </c>
      <c r="Y1129" t="s">
        <v>307</v>
      </c>
      <c r="Z1129">
        <v>65</v>
      </c>
      <c r="AA1129">
        <v>70</v>
      </c>
      <c r="AB1129" t="s">
        <v>143</v>
      </c>
      <c r="AC1129" t="s">
        <v>53</v>
      </c>
      <c r="AD1129" t="s">
        <v>404</v>
      </c>
      <c r="AE1129" t="str">
        <f>IF(AF1129="","",VLOOKUP(AC1129,mapel!$A$2:$B$42,2,FALSE))</f>
        <v>Sejarah</v>
      </c>
      <c r="AF1129">
        <f t="shared" si="51"/>
        <v>70</v>
      </c>
      <c r="AG1129" t="str">
        <f>IF(AF1129="","",IF(AF1129&gt;90,"Sangat baik",IF(AF1129&gt;79,"Baik",IF(AF1129&gt;=pub_gid_0_single_true_output_csv[[#This Row],[KKM]],"Cukup","Kurang"))))</f>
        <v>Cukup</v>
      </c>
      <c r="AH1129">
        <f t="shared" si="52"/>
        <v>11</v>
      </c>
      <c r="AI1129" s="30" t="str">
        <f>IF(OR(J1129&lt;&gt;"Karakter",pub_gid_0_single_true_output_csv[[#This Row],[Nilai2]]=""),"",IF(AF1129&gt;89,"Sangat baik",IF(AF1129&gt;79,"Baik",IF(AF1129&gt;69,"Cukup",IF(AF1129&gt;59,"Kurang","Sangat kurang")))))</f>
        <v/>
      </c>
      <c r="AJ1129" t="str">
        <f t="shared" si="53"/>
        <v>Wk.8</v>
      </c>
      <c r="AK1129" t="str">
        <f>IF(pub_gid_0_single_true_output_csv[[#This Row],[Nilai2]]="","",VLOOKUP(pub_gid_0_single_true_output_csv[[#This Row],[NAMA]],Table7[],3,FALSE))</f>
        <v>Average</v>
      </c>
    </row>
    <row r="1130" spans="1:37" x14ac:dyDescent="0.2">
      <c r="A1130">
        <v>1129</v>
      </c>
      <c r="B1130" t="s">
        <v>289</v>
      </c>
      <c r="C1130" t="s">
        <v>54</v>
      </c>
      <c r="D1130" t="s">
        <v>39</v>
      </c>
      <c r="E1130" t="s">
        <v>140</v>
      </c>
      <c r="F1130" s="25">
        <v>46071</v>
      </c>
      <c r="G1130" t="s">
        <v>323</v>
      </c>
      <c r="H1130" t="s">
        <v>412</v>
      </c>
      <c r="I1130" t="s">
        <v>371</v>
      </c>
      <c r="J1130" t="s">
        <v>90</v>
      </c>
      <c r="K1130" t="s">
        <v>92</v>
      </c>
      <c r="L1130" t="s">
        <v>93</v>
      </c>
      <c r="M1130" t="s">
        <v>141</v>
      </c>
      <c r="N1130" t="s">
        <v>142</v>
      </c>
      <c r="O1130" t="s">
        <v>155</v>
      </c>
      <c r="P1130" t="s">
        <v>281</v>
      </c>
      <c r="Q1130" t="s">
        <v>155</v>
      </c>
      <c r="R1130" t="s">
        <v>302</v>
      </c>
      <c r="S1130" t="s">
        <v>309</v>
      </c>
      <c r="T1130">
        <v>1</v>
      </c>
      <c r="U1130" t="s">
        <v>435</v>
      </c>
      <c r="V1130" t="s">
        <v>285</v>
      </c>
      <c r="W1130" t="s">
        <v>436</v>
      </c>
      <c r="X1130" t="s">
        <v>306</v>
      </c>
      <c r="Y1130" t="s">
        <v>307</v>
      </c>
      <c r="Z1130">
        <v>65</v>
      </c>
      <c r="AA1130">
        <v>70</v>
      </c>
      <c r="AB1130" t="s">
        <v>143</v>
      </c>
      <c r="AC1130" t="s">
        <v>53</v>
      </c>
      <c r="AD1130" t="s">
        <v>404</v>
      </c>
      <c r="AE1130" t="str">
        <f>IF(AF1130="","",VLOOKUP(AC1130,mapel!$A$2:$B$42,2,FALSE))</f>
        <v>Sejarah</v>
      </c>
      <c r="AF1130">
        <f t="shared" si="51"/>
        <v>70</v>
      </c>
      <c r="AG1130" t="str">
        <f>IF(AF1130="","",IF(AF1130&gt;90,"Sangat baik",IF(AF1130&gt;79,"Baik",IF(AF1130&gt;=pub_gid_0_single_true_output_csv[[#This Row],[KKM]],"Cukup","Kurang"))))</f>
        <v>Cukup</v>
      </c>
      <c r="AH1130">
        <f t="shared" si="52"/>
        <v>11</v>
      </c>
      <c r="AI1130" s="30" t="str">
        <f>IF(OR(J1130&lt;&gt;"Karakter",pub_gid_0_single_true_output_csv[[#This Row],[Nilai2]]=""),"",IF(AF1130&gt;89,"Sangat baik",IF(AF1130&gt;79,"Baik",IF(AF1130&gt;69,"Cukup",IF(AF1130&gt;59,"Kurang","Sangat kurang")))))</f>
        <v>Cukup</v>
      </c>
      <c r="AJ1130" t="str">
        <f t="shared" si="53"/>
        <v>Wk.8</v>
      </c>
      <c r="AK1130" t="str">
        <f>IF(pub_gid_0_single_true_output_csv[[#This Row],[Nilai2]]="","",VLOOKUP(pub_gid_0_single_true_output_csv[[#This Row],[NAMA]],Table7[],3,FALSE))</f>
        <v>Average</v>
      </c>
    </row>
    <row r="1131" spans="1:37" x14ac:dyDescent="0.2">
      <c r="A1131">
        <v>1130</v>
      </c>
      <c r="B1131" t="s">
        <v>290</v>
      </c>
      <c r="C1131" t="s">
        <v>54</v>
      </c>
      <c r="D1131" t="s">
        <v>42</v>
      </c>
      <c r="E1131" t="s">
        <v>140</v>
      </c>
      <c r="F1131" s="25">
        <v>46036</v>
      </c>
      <c r="G1131" t="s">
        <v>353</v>
      </c>
      <c r="H1131" t="s">
        <v>405</v>
      </c>
      <c r="I1131" t="s">
        <v>371</v>
      </c>
      <c r="J1131" t="s">
        <v>36</v>
      </c>
      <c r="K1131" t="s">
        <v>37</v>
      </c>
      <c r="L1131" t="s">
        <v>351</v>
      </c>
      <c r="M1131" t="s">
        <v>141</v>
      </c>
      <c r="N1131" t="s">
        <v>142</v>
      </c>
      <c r="O1131" t="s">
        <v>155</v>
      </c>
      <c r="P1131" t="s">
        <v>281</v>
      </c>
      <c r="Q1131" t="s">
        <v>155</v>
      </c>
      <c r="R1131" t="s">
        <v>302</v>
      </c>
      <c r="S1131" t="s">
        <v>309</v>
      </c>
      <c r="T1131">
        <v>1</v>
      </c>
      <c r="U1131" t="s">
        <v>435</v>
      </c>
      <c r="V1131" t="s">
        <v>285</v>
      </c>
      <c r="W1131" t="s">
        <v>436</v>
      </c>
      <c r="X1131" t="s">
        <v>306</v>
      </c>
      <c r="Y1131" t="s">
        <v>307</v>
      </c>
      <c r="Z1131">
        <v>65</v>
      </c>
      <c r="AA1131">
        <v>70</v>
      </c>
      <c r="AB1131" t="s">
        <v>143</v>
      </c>
      <c r="AC1131" t="s">
        <v>53</v>
      </c>
      <c r="AD1131" t="s">
        <v>404</v>
      </c>
      <c r="AE1131" t="str">
        <f>IF(AF1131="","",VLOOKUP(AC1131,mapel!$A$2:$B$42,2,FALSE))</f>
        <v>Sejarah</v>
      </c>
      <c r="AF1131">
        <f t="shared" si="51"/>
        <v>70</v>
      </c>
      <c r="AG1131" t="str">
        <f>IF(AF1131="","",IF(AF1131&gt;90,"Sangat baik",IF(AF1131&gt;79,"Baik",IF(AF1131&gt;=pub_gid_0_single_true_output_csv[[#This Row],[KKM]],"Cukup","Kurang"))))</f>
        <v>Cukup</v>
      </c>
      <c r="AH1131">
        <f t="shared" si="52"/>
        <v>11</v>
      </c>
      <c r="AI1131" s="30" t="str">
        <f>IF(OR(J1131&lt;&gt;"Karakter",pub_gid_0_single_true_output_csv[[#This Row],[Nilai2]]=""),"",IF(AF1131&gt;89,"Sangat baik",IF(AF1131&gt;79,"Baik",IF(AF1131&gt;69,"Cukup",IF(AF1131&gt;59,"Kurang","Sangat kurang")))))</f>
        <v/>
      </c>
      <c r="AJ1131" t="str">
        <f t="shared" si="53"/>
        <v>Wk.3</v>
      </c>
      <c r="AK1131" t="str">
        <f>IF(pub_gid_0_single_true_output_csv[[#This Row],[Nilai2]]="","",VLOOKUP(pub_gid_0_single_true_output_csv[[#This Row],[NAMA]],Table7[],3,FALSE))</f>
        <v>Superior</v>
      </c>
    </row>
    <row r="1132" spans="1:37" x14ac:dyDescent="0.2">
      <c r="A1132">
        <v>1131</v>
      </c>
      <c r="B1132" t="s">
        <v>290</v>
      </c>
      <c r="C1132" t="s">
        <v>54</v>
      </c>
      <c r="D1132" t="s">
        <v>42</v>
      </c>
      <c r="E1132" t="s">
        <v>140</v>
      </c>
      <c r="F1132" s="25">
        <v>46036</v>
      </c>
      <c r="G1132" t="s">
        <v>353</v>
      </c>
      <c r="H1132" t="s">
        <v>405</v>
      </c>
      <c r="I1132" t="s">
        <v>371</v>
      </c>
      <c r="J1132" t="s">
        <v>31</v>
      </c>
      <c r="K1132" t="s">
        <v>32</v>
      </c>
      <c r="L1132" t="s">
        <v>351</v>
      </c>
      <c r="M1132" t="s">
        <v>141</v>
      </c>
      <c r="N1132" t="s">
        <v>142</v>
      </c>
      <c r="O1132" t="s">
        <v>155</v>
      </c>
      <c r="P1132" t="s">
        <v>281</v>
      </c>
      <c r="Q1132" t="s">
        <v>155</v>
      </c>
      <c r="R1132" t="s">
        <v>302</v>
      </c>
      <c r="S1132" t="s">
        <v>309</v>
      </c>
      <c r="T1132">
        <v>1</v>
      </c>
      <c r="U1132" t="s">
        <v>435</v>
      </c>
      <c r="V1132" t="s">
        <v>285</v>
      </c>
      <c r="W1132" t="s">
        <v>436</v>
      </c>
      <c r="X1132" t="s">
        <v>306</v>
      </c>
      <c r="Y1132" t="s">
        <v>307</v>
      </c>
      <c r="Z1132">
        <v>65</v>
      </c>
      <c r="AA1132">
        <v>70</v>
      </c>
      <c r="AB1132" t="s">
        <v>143</v>
      </c>
      <c r="AC1132" t="s">
        <v>53</v>
      </c>
      <c r="AD1132" t="s">
        <v>404</v>
      </c>
      <c r="AE1132" t="str">
        <f>IF(AF1132="","",VLOOKUP(AC1132,mapel!$A$2:$B$42,2,FALSE))</f>
        <v>Sejarah</v>
      </c>
      <c r="AF1132">
        <f t="shared" si="51"/>
        <v>70</v>
      </c>
      <c r="AG1132" t="str">
        <f>IF(AF1132="","",IF(AF1132&gt;90,"Sangat baik",IF(AF1132&gt;79,"Baik",IF(AF1132&gt;=pub_gid_0_single_true_output_csv[[#This Row],[KKM]],"Cukup","Kurang"))))</f>
        <v>Cukup</v>
      </c>
      <c r="AH1132">
        <f t="shared" si="52"/>
        <v>11</v>
      </c>
      <c r="AI1132" s="30" t="str">
        <f>IF(OR(J1132&lt;&gt;"Karakter",pub_gid_0_single_true_output_csv[[#This Row],[Nilai2]]=""),"",IF(AF1132&gt;89,"Sangat baik",IF(AF1132&gt;79,"Baik",IF(AF1132&gt;69,"Cukup",IF(AF1132&gt;59,"Kurang","Sangat kurang")))))</f>
        <v/>
      </c>
      <c r="AJ1132" t="str">
        <f t="shared" si="53"/>
        <v>Wk.3</v>
      </c>
      <c r="AK1132" t="str">
        <f>IF(pub_gid_0_single_true_output_csv[[#This Row],[Nilai2]]="","",VLOOKUP(pub_gid_0_single_true_output_csv[[#This Row],[NAMA]],Table7[],3,FALSE))</f>
        <v>Superior</v>
      </c>
    </row>
    <row r="1133" spans="1:37" x14ac:dyDescent="0.2">
      <c r="A1133">
        <v>1132</v>
      </c>
      <c r="B1133" t="s">
        <v>290</v>
      </c>
      <c r="C1133" t="s">
        <v>54</v>
      </c>
      <c r="D1133" t="s">
        <v>42</v>
      </c>
      <c r="E1133" t="s">
        <v>140</v>
      </c>
      <c r="F1133" s="25">
        <v>46036</v>
      </c>
      <c r="G1133" t="s">
        <v>353</v>
      </c>
      <c r="H1133" t="s">
        <v>405</v>
      </c>
      <c r="I1133" t="s">
        <v>371</v>
      </c>
      <c r="J1133" t="s">
        <v>90</v>
      </c>
      <c r="K1133" t="s">
        <v>92</v>
      </c>
      <c r="L1133" t="s">
        <v>91</v>
      </c>
      <c r="M1133" t="s">
        <v>141</v>
      </c>
      <c r="N1133" t="s">
        <v>142</v>
      </c>
      <c r="O1133" t="s">
        <v>155</v>
      </c>
      <c r="P1133" t="s">
        <v>281</v>
      </c>
      <c r="Q1133" t="s">
        <v>155</v>
      </c>
      <c r="R1133" t="s">
        <v>302</v>
      </c>
      <c r="S1133" t="s">
        <v>309</v>
      </c>
      <c r="T1133">
        <v>1</v>
      </c>
      <c r="U1133" t="s">
        <v>435</v>
      </c>
      <c r="V1133" t="s">
        <v>285</v>
      </c>
      <c r="W1133" t="s">
        <v>436</v>
      </c>
      <c r="X1133" t="s">
        <v>306</v>
      </c>
      <c r="Y1133" t="s">
        <v>307</v>
      </c>
      <c r="Z1133">
        <v>65</v>
      </c>
      <c r="AA1133">
        <v>95</v>
      </c>
      <c r="AB1133" t="s">
        <v>143</v>
      </c>
      <c r="AC1133" t="s">
        <v>53</v>
      </c>
      <c r="AD1133" t="s">
        <v>404</v>
      </c>
      <c r="AE1133" t="str">
        <f>IF(AF1133="","",VLOOKUP(AC1133,mapel!$A$2:$B$42,2,FALSE))</f>
        <v>Sejarah</v>
      </c>
      <c r="AF1133">
        <f t="shared" si="51"/>
        <v>95</v>
      </c>
      <c r="AG1133" t="str">
        <f>IF(AF1133="","",IF(AF1133&gt;90,"Sangat baik",IF(AF1133&gt;79,"Baik",IF(AF1133&gt;=pub_gid_0_single_true_output_csv[[#This Row],[KKM]],"Cukup","Kurang"))))</f>
        <v>Sangat baik</v>
      </c>
      <c r="AH1133">
        <f t="shared" si="52"/>
        <v>11</v>
      </c>
      <c r="AI1133" s="30" t="str">
        <f>IF(OR(J1133&lt;&gt;"Karakter",pub_gid_0_single_true_output_csv[[#This Row],[Nilai2]]=""),"",IF(AF1133&gt;89,"Sangat baik",IF(AF1133&gt;79,"Baik",IF(AF1133&gt;69,"Cukup",IF(AF1133&gt;59,"Kurang","Sangat kurang")))))</f>
        <v>Sangat baik</v>
      </c>
      <c r="AJ1133" t="str">
        <f t="shared" si="53"/>
        <v>Wk.3</v>
      </c>
      <c r="AK1133" t="str">
        <f>IF(pub_gid_0_single_true_output_csv[[#This Row],[Nilai2]]="","",VLOOKUP(pub_gid_0_single_true_output_csv[[#This Row],[NAMA]],Table7[],3,FALSE))</f>
        <v>Superior</v>
      </c>
    </row>
    <row r="1134" spans="1:37" x14ac:dyDescent="0.2">
      <c r="A1134">
        <v>1133</v>
      </c>
      <c r="B1134" t="s">
        <v>290</v>
      </c>
      <c r="C1134" t="s">
        <v>54</v>
      </c>
      <c r="D1134" t="s">
        <v>42</v>
      </c>
      <c r="E1134" t="s">
        <v>140</v>
      </c>
      <c r="F1134" s="25">
        <v>46036</v>
      </c>
      <c r="G1134" t="s">
        <v>353</v>
      </c>
      <c r="H1134" t="s">
        <v>405</v>
      </c>
      <c r="I1134" t="s">
        <v>371</v>
      </c>
      <c r="J1134" t="s">
        <v>279</v>
      </c>
      <c r="K1134" t="s">
        <v>280</v>
      </c>
      <c r="L1134" t="s">
        <v>322</v>
      </c>
      <c r="M1134" t="s">
        <v>141</v>
      </c>
      <c r="N1134" t="s">
        <v>142</v>
      </c>
      <c r="O1134" t="s">
        <v>155</v>
      </c>
      <c r="P1134" t="s">
        <v>281</v>
      </c>
      <c r="Q1134" t="s">
        <v>155</v>
      </c>
      <c r="R1134" t="s">
        <v>302</v>
      </c>
      <c r="S1134" t="s">
        <v>309</v>
      </c>
      <c r="T1134">
        <v>1</v>
      </c>
      <c r="U1134" t="s">
        <v>435</v>
      </c>
      <c r="V1134" t="s">
        <v>285</v>
      </c>
      <c r="W1134" t="s">
        <v>436</v>
      </c>
      <c r="X1134" t="s">
        <v>306</v>
      </c>
      <c r="Y1134" t="s">
        <v>307</v>
      </c>
      <c r="Z1134">
        <v>65</v>
      </c>
      <c r="AA1134">
        <v>70</v>
      </c>
      <c r="AB1134" t="s">
        <v>143</v>
      </c>
      <c r="AC1134" t="s">
        <v>53</v>
      </c>
      <c r="AD1134" t="s">
        <v>404</v>
      </c>
      <c r="AE1134" t="str">
        <f>IF(AF1134="","",VLOOKUP(AC1134,mapel!$A$2:$B$42,2,FALSE))</f>
        <v>Sejarah</v>
      </c>
      <c r="AF1134">
        <f t="shared" si="51"/>
        <v>70</v>
      </c>
      <c r="AG1134" t="str">
        <f>IF(AF1134="","",IF(AF1134&gt;90,"Sangat baik",IF(AF1134&gt;79,"Baik",IF(AF1134&gt;=pub_gid_0_single_true_output_csv[[#This Row],[KKM]],"Cukup","Kurang"))))</f>
        <v>Cukup</v>
      </c>
      <c r="AH1134">
        <f t="shared" si="52"/>
        <v>11</v>
      </c>
      <c r="AI1134" s="30" t="str">
        <f>IF(OR(J1134&lt;&gt;"Karakter",pub_gid_0_single_true_output_csv[[#This Row],[Nilai2]]=""),"",IF(AF1134&gt;89,"Sangat baik",IF(AF1134&gt;79,"Baik",IF(AF1134&gt;69,"Cukup",IF(AF1134&gt;59,"Kurang","Sangat kurang")))))</f>
        <v/>
      </c>
      <c r="AJ1134" t="str">
        <f t="shared" si="53"/>
        <v>Wk.3</v>
      </c>
      <c r="AK1134" t="str">
        <f>IF(pub_gid_0_single_true_output_csv[[#This Row],[Nilai2]]="","",VLOOKUP(pub_gid_0_single_true_output_csv[[#This Row],[NAMA]],Table7[],3,FALSE))</f>
        <v>Superior</v>
      </c>
    </row>
    <row r="1135" spans="1:37" x14ac:dyDescent="0.2">
      <c r="A1135">
        <v>1134</v>
      </c>
      <c r="B1135" t="s">
        <v>290</v>
      </c>
      <c r="C1135" t="s">
        <v>54</v>
      </c>
      <c r="D1135" t="s">
        <v>42</v>
      </c>
      <c r="E1135" t="s">
        <v>140</v>
      </c>
      <c r="F1135" s="25">
        <v>46043</v>
      </c>
      <c r="G1135" t="s">
        <v>341</v>
      </c>
      <c r="H1135" t="s">
        <v>405</v>
      </c>
      <c r="I1135" t="s">
        <v>371</v>
      </c>
      <c r="J1135" t="s">
        <v>36</v>
      </c>
      <c r="K1135" t="s">
        <v>37</v>
      </c>
      <c r="L1135" t="s">
        <v>351</v>
      </c>
      <c r="M1135" t="s">
        <v>141</v>
      </c>
      <c r="N1135" t="s">
        <v>142</v>
      </c>
      <c r="O1135" t="s">
        <v>155</v>
      </c>
      <c r="P1135" t="s">
        <v>281</v>
      </c>
      <c r="Q1135" t="s">
        <v>155</v>
      </c>
      <c r="R1135" t="s">
        <v>302</v>
      </c>
      <c r="S1135" t="s">
        <v>309</v>
      </c>
      <c r="T1135">
        <v>1</v>
      </c>
      <c r="U1135" t="s">
        <v>435</v>
      </c>
      <c r="V1135" t="s">
        <v>285</v>
      </c>
      <c r="W1135" t="s">
        <v>436</v>
      </c>
      <c r="X1135" t="s">
        <v>306</v>
      </c>
      <c r="Y1135" t="s">
        <v>307</v>
      </c>
      <c r="Z1135">
        <v>65</v>
      </c>
      <c r="AA1135">
        <v>70</v>
      </c>
      <c r="AB1135" t="s">
        <v>143</v>
      </c>
      <c r="AC1135" t="s">
        <v>53</v>
      </c>
      <c r="AD1135" t="s">
        <v>404</v>
      </c>
      <c r="AE1135" t="str">
        <f>IF(AF1135="","",VLOOKUP(AC1135,mapel!$A$2:$B$42,2,FALSE))</f>
        <v>Sejarah</v>
      </c>
      <c r="AF1135">
        <f t="shared" si="51"/>
        <v>70</v>
      </c>
      <c r="AG1135" t="str">
        <f>IF(AF1135="","",IF(AF1135&gt;90,"Sangat baik",IF(AF1135&gt;79,"Baik",IF(AF1135&gt;=pub_gid_0_single_true_output_csv[[#This Row],[KKM]],"Cukup","Kurang"))))</f>
        <v>Cukup</v>
      </c>
      <c r="AH1135">
        <f t="shared" si="52"/>
        <v>11</v>
      </c>
      <c r="AI1135" s="30" t="str">
        <f>IF(OR(J1135&lt;&gt;"Karakter",pub_gid_0_single_true_output_csv[[#This Row],[Nilai2]]=""),"",IF(AF1135&gt;89,"Sangat baik",IF(AF1135&gt;79,"Baik",IF(AF1135&gt;69,"Cukup",IF(AF1135&gt;59,"Kurang","Sangat kurang")))))</f>
        <v/>
      </c>
      <c r="AJ1135" t="str">
        <f t="shared" si="53"/>
        <v>Wk.4</v>
      </c>
      <c r="AK1135" t="str">
        <f>IF(pub_gid_0_single_true_output_csv[[#This Row],[Nilai2]]="","",VLOOKUP(pub_gid_0_single_true_output_csv[[#This Row],[NAMA]],Table7[],3,FALSE))</f>
        <v>Superior</v>
      </c>
    </row>
    <row r="1136" spans="1:37" x14ac:dyDescent="0.2">
      <c r="A1136">
        <v>1135</v>
      </c>
      <c r="B1136" t="s">
        <v>290</v>
      </c>
      <c r="C1136" t="s">
        <v>54</v>
      </c>
      <c r="D1136" t="s">
        <v>42</v>
      </c>
      <c r="E1136" t="s">
        <v>140</v>
      </c>
      <c r="F1136" s="25">
        <v>46043</v>
      </c>
      <c r="G1136" t="s">
        <v>341</v>
      </c>
      <c r="H1136" t="s">
        <v>405</v>
      </c>
      <c r="I1136" t="s">
        <v>371</v>
      </c>
      <c r="J1136" t="s">
        <v>31</v>
      </c>
      <c r="K1136" t="s">
        <v>96</v>
      </c>
      <c r="L1136" t="s">
        <v>322</v>
      </c>
      <c r="M1136" t="s">
        <v>141</v>
      </c>
      <c r="N1136" t="s">
        <v>142</v>
      </c>
      <c r="O1136" t="s">
        <v>155</v>
      </c>
      <c r="P1136" t="s">
        <v>281</v>
      </c>
      <c r="Q1136" t="s">
        <v>155</v>
      </c>
      <c r="R1136" t="s">
        <v>302</v>
      </c>
      <c r="S1136" t="s">
        <v>309</v>
      </c>
      <c r="T1136">
        <v>1</v>
      </c>
      <c r="U1136" t="s">
        <v>435</v>
      </c>
      <c r="V1136" t="s">
        <v>285</v>
      </c>
      <c r="W1136" t="s">
        <v>436</v>
      </c>
      <c r="X1136" t="s">
        <v>306</v>
      </c>
      <c r="Y1136" t="s">
        <v>307</v>
      </c>
      <c r="Z1136">
        <v>65</v>
      </c>
      <c r="AA1136">
        <v>68</v>
      </c>
      <c r="AB1136" t="s">
        <v>143</v>
      </c>
      <c r="AC1136" t="s">
        <v>53</v>
      </c>
      <c r="AD1136" t="s">
        <v>404</v>
      </c>
      <c r="AE1136" t="str">
        <f>IF(AF1136="","",VLOOKUP(AC1136,mapel!$A$2:$B$42,2,FALSE))</f>
        <v>Sejarah</v>
      </c>
      <c r="AF1136">
        <f t="shared" si="51"/>
        <v>68</v>
      </c>
      <c r="AG1136" t="str">
        <f>IF(AF1136="","",IF(AF1136&gt;90,"Sangat baik",IF(AF1136&gt;79,"Baik",IF(AF1136&gt;=pub_gid_0_single_true_output_csv[[#This Row],[KKM]],"Cukup","Kurang"))))</f>
        <v>Cukup</v>
      </c>
      <c r="AH1136">
        <f t="shared" si="52"/>
        <v>11</v>
      </c>
      <c r="AI1136" s="30" t="str">
        <f>IF(OR(J1136&lt;&gt;"Karakter",pub_gid_0_single_true_output_csv[[#This Row],[Nilai2]]=""),"",IF(AF1136&gt;89,"Sangat baik",IF(AF1136&gt;79,"Baik",IF(AF1136&gt;69,"Cukup",IF(AF1136&gt;59,"Kurang","Sangat kurang")))))</f>
        <v/>
      </c>
      <c r="AJ1136" t="str">
        <f t="shared" si="53"/>
        <v>Wk.4</v>
      </c>
      <c r="AK1136" t="str">
        <f>IF(pub_gid_0_single_true_output_csv[[#This Row],[Nilai2]]="","",VLOOKUP(pub_gid_0_single_true_output_csv[[#This Row],[NAMA]],Table7[],3,FALSE))</f>
        <v>Superior</v>
      </c>
    </row>
    <row r="1137" spans="1:37" x14ac:dyDescent="0.2">
      <c r="A1137">
        <v>1136</v>
      </c>
      <c r="B1137" t="s">
        <v>290</v>
      </c>
      <c r="C1137" t="s">
        <v>54</v>
      </c>
      <c r="D1137" t="s">
        <v>42</v>
      </c>
      <c r="E1137" t="s">
        <v>140</v>
      </c>
      <c r="F1137" s="25">
        <v>46043</v>
      </c>
      <c r="G1137" t="s">
        <v>341</v>
      </c>
      <c r="H1137" t="s">
        <v>405</v>
      </c>
      <c r="I1137" t="s">
        <v>371</v>
      </c>
      <c r="J1137" t="s">
        <v>90</v>
      </c>
      <c r="K1137" t="s">
        <v>92</v>
      </c>
      <c r="L1137" t="s">
        <v>93</v>
      </c>
      <c r="M1137" t="s">
        <v>141</v>
      </c>
      <c r="N1137" t="s">
        <v>142</v>
      </c>
      <c r="O1137" t="s">
        <v>155</v>
      </c>
      <c r="P1137" t="s">
        <v>281</v>
      </c>
      <c r="Q1137" t="s">
        <v>155</v>
      </c>
      <c r="R1137" t="s">
        <v>302</v>
      </c>
      <c r="S1137" t="s">
        <v>309</v>
      </c>
      <c r="T1137">
        <v>1</v>
      </c>
      <c r="U1137" t="s">
        <v>435</v>
      </c>
      <c r="V1137" t="s">
        <v>285</v>
      </c>
      <c r="W1137" t="s">
        <v>436</v>
      </c>
      <c r="X1137" t="s">
        <v>306</v>
      </c>
      <c r="Y1137" t="s">
        <v>307</v>
      </c>
      <c r="Z1137">
        <v>65</v>
      </c>
      <c r="AA1137">
        <v>80</v>
      </c>
      <c r="AB1137" t="s">
        <v>143</v>
      </c>
      <c r="AC1137" t="s">
        <v>53</v>
      </c>
      <c r="AD1137" t="s">
        <v>404</v>
      </c>
      <c r="AE1137" t="str">
        <f>IF(AF1137="","",VLOOKUP(AC1137,mapel!$A$2:$B$42,2,FALSE))</f>
        <v>Sejarah</v>
      </c>
      <c r="AF1137">
        <f t="shared" si="51"/>
        <v>80</v>
      </c>
      <c r="AG1137" t="str">
        <f>IF(AF1137="","",IF(AF1137&gt;90,"Sangat baik",IF(AF1137&gt;79,"Baik",IF(AF1137&gt;=pub_gid_0_single_true_output_csv[[#This Row],[KKM]],"Cukup","Kurang"))))</f>
        <v>Baik</v>
      </c>
      <c r="AH1137">
        <f t="shared" si="52"/>
        <v>11</v>
      </c>
      <c r="AI1137" s="30" t="str">
        <f>IF(OR(J1137&lt;&gt;"Karakter",pub_gid_0_single_true_output_csv[[#This Row],[Nilai2]]=""),"",IF(AF1137&gt;89,"Sangat baik",IF(AF1137&gt;79,"Baik",IF(AF1137&gt;69,"Cukup",IF(AF1137&gt;59,"Kurang","Sangat kurang")))))</f>
        <v>Baik</v>
      </c>
      <c r="AJ1137" t="str">
        <f t="shared" si="53"/>
        <v>Wk.4</v>
      </c>
      <c r="AK1137" t="str">
        <f>IF(pub_gid_0_single_true_output_csv[[#This Row],[Nilai2]]="","",VLOOKUP(pub_gid_0_single_true_output_csv[[#This Row],[NAMA]],Table7[],3,FALSE))</f>
        <v>Superior</v>
      </c>
    </row>
    <row r="1138" spans="1:37" x14ac:dyDescent="0.2">
      <c r="A1138">
        <v>1137</v>
      </c>
      <c r="B1138" t="s">
        <v>290</v>
      </c>
      <c r="C1138" t="s">
        <v>54</v>
      </c>
      <c r="D1138" t="s">
        <v>42</v>
      </c>
      <c r="E1138" t="s">
        <v>140</v>
      </c>
      <c r="F1138" s="25">
        <v>46043</v>
      </c>
      <c r="G1138" t="s">
        <v>341</v>
      </c>
      <c r="H1138" t="s">
        <v>405</v>
      </c>
      <c r="I1138" t="s">
        <v>371</v>
      </c>
      <c r="J1138" t="s">
        <v>279</v>
      </c>
      <c r="K1138" t="s">
        <v>280</v>
      </c>
      <c r="L1138" t="s">
        <v>322</v>
      </c>
      <c r="M1138" t="s">
        <v>141</v>
      </c>
      <c r="N1138" t="s">
        <v>142</v>
      </c>
      <c r="O1138" t="s">
        <v>155</v>
      </c>
      <c r="P1138" t="s">
        <v>281</v>
      </c>
      <c r="Q1138" t="s">
        <v>155</v>
      </c>
      <c r="R1138" t="s">
        <v>302</v>
      </c>
      <c r="S1138" t="s">
        <v>355</v>
      </c>
      <c r="T1138">
        <v>2</v>
      </c>
      <c r="U1138" t="s">
        <v>159</v>
      </c>
      <c r="V1138" t="s">
        <v>303</v>
      </c>
      <c r="W1138" t="s">
        <v>437</v>
      </c>
      <c r="X1138" t="s">
        <v>306</v>
      </c>
      <c r="Y1138" t="s">
        <v>307</v>
      </c>
      <c r="Z1138">
        <v>65</v>
      </c>
      <c r="AA1138">
        <v>70</v>
      </c>
      <c r="AB1138" t="s">
        <v>143</v>
      </c>
      <c r="AC1138" t="s">
        <v>53</v>
      </c>
      <c r="AD1138" t="s">
        <v>404</v>
      </c>
      <c r="AE1138" t="str">
        <f>IF(AF1138="","",VLOOKUP(AC1138,mapel!$A$2:$B$42,2,FALSE))</f>
        <v>Sejarah</v>
      </c>
      <c r="AF1138">
        <f t="shared" si="51"/>
        <v>70</v>
      </c>
      <c r="AG1138" t="str">
        <f>IF(AF1138="","",IF(AF1138&gt;90,"Sangat baik",IF(AF1138&gt;79,"Baik",IF(AF1138&gt;=pub_gid_0_single_true_output_csv[[#This Row],[KKM]],"Cukup","Kurang"))))</f>
        <v>Cukup</v>
      </c>
      <c r="AH1138">
        <f t="shared" si="52"/>
        <v>11</v>
      </c>
      <c r="AI1138" s="30" t="str">
        <f>IF(OR(J1138&lt;&gt;"Karakter",pub_gid_0_single_true_output_csv[[#This Row],[Nilai2]]=""),"",IF(AF1138&gt;89,"Sangat baik",IF(AF1138&gt;79,"Baik",IF(AF1138&gt;69,"Cukup",IF(AF1138&gt;59,"Kurang","Sangat kurang")))))</f>
        <v/>
      </c>
      <c r="AJ1138" t="str">
        <f t="shared" si="53"/>
        <v>Wk.4</v>
      </c>
      <c r="AK1138" t="str">
        <f>IF(pub_gid_0_single_true_output_csv[[#This Row],[Nilai2]]="","",VLOOKUP(pub_gid_0_single_true_output_csv[[#This Row],[NAMA]],Table7[],3,FALSE))</f>
        <v>Superior</v>
      </c>
    </row>
    <row r="1139" spans="1:37" x14ac:dyDescent="0.2">
      <c r="A1139">
        <v>1138</v>
      </c>
      <c r="B1139" t="s">
        <v>290</v>
      </c>
      <c r="C1139" t="s">
        <v>54</v>
      </c>
      <c r="D1139" t="s">
        <v>42</v>
      </c>
      <c r="E1139" t="s">
        <v>140</v>
      </c>
      <c r="F1139" s="25">
        <v>46050</v>
      </c>
      <c r="G1139" t="s">
        <v>308</v>
      </c>
      <c r="H1139" t="s">
        <v>405</v>
      </c>
      <c r="I1139" t="s">
        <v>371</v>
      </c>
      <c r="J1139" t="s">
        <v>36</v>
      </c>
      <c r="K1139" t="s">
        <v>37</v>
      </c>
      <c r="L1139" t="s">
        <v>351</v>
      </c>
      <c r="M1139" t="s">
        <v>141</v>
      </c>
      <c r="N1139" t="s">
        <v>142</v>
      </c>
      <c r="O1139" t="s">
        <v>155</v>
      </c>
      <c r="P1139" t="s">
        <v>281</v>
      </c>
      <c r="Q1139" t="s">
        <v>155</v>
      </c>
      <c r="R1139" t="s">
        <v>302</v>
      </c>
      <c r="S1139" t="s">
        <v>355</v>
      </c>
      <c r="T1139">
        <v>2</v>
      </c>
      <c r="U1139" t="s">
        <v>159</v>
      </c>
      <c r="V1139" t="s">
        <v>303</v>
      </c>
      <c r="W1139" t="s">
        <v>437</v>
      </c>
      <c r="X1139" t="s">
        <v>306</v>
      </c>
      <c r="Y1139" t="s">
        <v>307</v>
      </c>
      <c r="Z1139">
        <v>65</v>
      </c>
      <c r="AA1139">
        <v>70</v>
      </c>
      <c r="AB1139" t="s">
        <v>143</v>
      </c>
      <c r="AC1139" t="s">
        <v>53</v>
      </c>
      <c r="AD1139" t="s">
        <v>404</v>
      </c>
      <c r="AE1139" t="str">
        <f>IF(AF1139="","",VLOOKUP(AC1139,mapel!$A$2:$B$42,2,FALSE))</f>
        <v>Sejarah</v>
      </c>
      <c r="AF1139">
        <f t="shared" si="51"/>
        <v>70</v>
      </c>
      <c r="AG1139" t="str">
        <f>IF(AF1139="","",IF(AF1139&gt;90,"Sangat baik",IF(AF1139&gt;79,"Baik",IF(AF1139&gt;=pub_gid_0_single_true_output_csv[[#This Row],[KKM]],"Cukup","Kurang"))))</f>
        <v>Cukup</v>
      </c>
      <c r="AH1139">
        <f t="shared" si="52"/>
        <v>11</v>
      </c>
      <c r="AI1139" s="30" t="str">
        <f>IF(OR(J1139&lt;&gt;"Karakter",pub_gid_0_single_true_output_csv[[#This Row],[Nilai2]]=""),"",IF(AF1139&gt;89,"Sangat baik",IF(AF1139&gt;79,"Baik",IF(AF1139&gt;69,"Cukup",IF(AF1139&gt;59,"Kurang","Sangat kurang")))))</f>
        <v/>
      </c>
      <c r="AJ1139" t="str">
        <f t="shared" si="53"/>
        <v>Wk.5</v>
      </c>
      <c r="AK1139" t="str">
        <f>IF(pub_gid_0_single_true_output_csv[[#This Row],[Nilai2]]="","",VLOOKUP(pub_gid_0_single_true_output_csv[[#This Row],[NAMA]],Table7[],3,FALSE))</f>
        <v>Superior</v>
      </c>
    </row>
    <row r="1140" spans="1:37" x14ac:dyDescent="0.2">
      <c r="A1140">
        <v>1139</v>
      </c>
      <c r="B1140" t="s">
        <v>290</v>
      </c>
      <c r="C1140" t="s">
        <v>54</v>
      </c>
      <c r="D1140" t="s">
        <v>42</v>
      </c>
      <c r="E1140" t="s">
        <v>140</v>
      </c>
      <c r="F1140" s="25">
        <v>46050</v>
      </c>
      <c r="G1140" t="s">
        <v>308</v>
      </c>
      <c r="H1140" t="s">
        <v>405</v>
      </c>
      <c r="I1140" t="s">
        <v>371</v>
      </c>
      <c r="J1140" t="s">
        <v>31</v>
      </c>
      <c r="K1140" t="s">
        <v>96</v>
      </c>
      <c r="L1140" t="s">
        <v>351</v>
      </c>
      <c r="M1140" t="s">
        <v>141</v>
      </c>
      <c r="N1140" t="s">
        <v>142</v>
      </c>
      <c r="O1140" t="s">
        <v>155</v>
      </c>
      <c r="P1140" t="s">
        <v>281</v>
      </c>
      <c r="Q1140" t="s">
        <v>155</v>
      </c>
      <c r="R1140" t="s">
        <v>302</v>
      </c>
      <c r="S1140" t="s">
        <v>355</v>
      </c>
      <c r="T1140">
        <v>2</v>
      </c>
      <c r="U1140" t="s">
        <v>159</v>
      </c>
      <c r="V1140" t="s">
        <v>303</v>
      </c>
      <c r="W1140" t="s">
        <v>437</v>
      </c>
      <c r="X1140" t="s">
        <v>306</v>
      </c>
      <c r="Y1140" t="s">
        <v>307</v>
      </c>
      <c r="Z1140">
        <v>65</v>
      </c>
      <c r="AA1140">
        <v>70</v>
      </c>
      <c r="AB1140" t="s">
        <v>143</v>
      </c>
      <c r="AC1140" t="s">
        <v>53</v>
      </c>
      <c r="AD1140" t="s">
        <v>404</v>
      </c>
      <c r="AE1140" t="str">
        <f>IF(AF1140="","",VLOOKUP(AC1140,mapel!$A$2:$B$42,2,FALSE))</f>
        <v>Sejarah</v>
      </c>
      <c r="AF1140">
        <f t="shared" si="51"/>
        <v>70</v>
      </c>
      <c r="AG1140" t="str">
        <f>IF(AF1140="","",IF(AF1140&gt;90,"Sangat baik",IF(AF1140&gt;79,"Baik",IF(AF1140&gt;=pub_gid_0_single_true_output_csv[[#This Row],[KKM]],"Cukup","Kurang"))))</f>
        <v>Cukup</v>
      </c>
      <c r="AH1140">
        <f t="shared" si="52"/>
        <v>11</v>
      </c>
      <c r="AI1140" s="30" t="str">
        <f>IF(OR(J1140&lt;&gt;"Karakter",pub_gid_0_single_true_output_csv[[#This Row],[Nilai2]]=""),"",IF(AF1140&gt;89,"Sangat baik",IF(AF1140&gt;79,"Baik",IF(AF1140&gt;69,"Cukup",IF(AF1140&gt;59,"Kurang","Sangat kurang")))))</f>
        <v/>
      </c>
      <c r="AJ1140" t="str">
        <f t="shared" si="53"/>
        <v>Wk.5</v>
      </c>
      <c r="AK1140" t="str">
        <f>IF(pub_gid_0_single_true_output_csv[[#This Row],[Nilai2]]="","",VLOOKUP(pub_gid_0_single_true_output_csv[[#This Row],[NAMA]],Table7[],3,FALSE))</f>
        <v>Superior</v>
      </c>
    </row>
    <row r="1141" spans="1:37" x14ac:dyDescent="0.2">
      <c r="A1141">
        <v>1140</v>
      </c>
      <c r="B1141" t="s">
        <v>290</v>
      </c>
      <c r="C1141" t="s">
        <v>54</v>
      </c>
      <c r="D1141" t="s">
        <v>42</v>
      </c>
      <c r="E1141" t="s">
        <v>140</v>
      </c>
      <c r="F1141" s="25">
        <v>46050</v>
      </c>
      <c r="G1141" t="s">
        <v>308</v>
      </c>
      <c r="H1141" t="s">
        <v>405</v>
      </c>
      <c r="I1141" t="s">
        <v>371</v>
      </c>
      <c r="J1141" t="s">
        <v>90</v>
      </c>
      <c r="K1141" t="s">
        <v>92</v>
      </c>
      <c r="L1141" t="s">
        <v>91</v>
      </c>
      <c r="M1141" t="s">
        <v>141</v>
      </c>
      <c r="N1141" t="s">
        <v>142</v>
      </c>
      <c r="O1141" t="s">
        <v>155</v>
      </c>
      <c r="P1141" t="s">
        <v>281</v>
      </c>
      <c r="Q1141" t="s">
        <v>155</v>
      </c>
      <c r="R1141" t="s">
        <v>302</v>
      </c>
      <c r="S1141" t="s">
        <v>355</v>
      </c>
      <c r="T1141">
        <v>2</v>
      </c>
      <c r="U1141" t="s">
        <v>159</v>
      </c>
      <c r="V1141" t="s">
        <v>303</v>
      </c>
      <c r="W1141" t="s">
        <v>437</v>
      </c>
      <c r="X1141" t="s">
        <v>306</v>
      </c>
      <c r="Y1141" t="s">
        <v>307</v>
      </c>
      <c r="Z1141">
        <v>65</v>
      </c>
      <c r="AA1141">
        <v>80</v>
      </c>
      <c r="AB1141" t="s">
        <v>143</v>
      </c>
      <c r="AC1141" t="s">
        <v>53</v>
      </c>
      <c r="AD1141" t="s">
        <v>404</v>
      </c>
      <c r="AE1141" t="str">
        <f>IF(AF1141="","",VLOOKUP(AC1141,mapel!$A$2:$B$42,2,FALSE))</f>
        <v>Sejarah</v>
      </c>
      <c r="AF1141">
        <f t="shared" si="51"/>
        <v>80</v>
      </c>
      <c r="AG1141" t="str">
        <f>IF(AF1141="","",IF(AF1141&gt;90,"Sangat baik",IF(AF1141&gt;79,"Baik",IF(AF1141&gt;=pub_gid_0_single_true_output_csv[[#This Row],[KKM]],"Cukup","Kurang"))))</f>
        <v>Baik</v>
      </c>
      <c r="AH1141">
        <f t="shared" si="52"/>
        <v>11</v>
      </c>
      <c r="AI1141" s="30" t="str">
        <f>IF(OR(J1141&lt;&gt;"Karakter",pub_gid_0_single_true_output_csv[[#This Row],[Nilai2]]=""),"",IF(AF1141&gt;89,"Sangat baik",IF(AF1141&gt;79,"Baik",IF(AF1141&gt;69,"Cukup",IF(AF1141&gt;59,"Kurang","Sangat kurang")))))</f>
        <v>Baik</v>
      </c>
      <c r="AJ1141" t="str">
        <f t="shared" si="53"/>
        <v>Wk.5</v>
      </c>
      <c r="AK1141" t="str">
        <f>IF(pub_gid_0_single_true_output_csv[[#This Row],[Nilai2]]="","",VLOOKUP(pub_gid_0_single_true_output_csv[[#This Row],[NAMA]],Table7[],3,FALSE))</f>
        <v>Superior</v>
      </c>
    </row>
    <row r="1142" spans="1:37" x14ac:dyDescent="0.2">
      <c r="A1142">
        <v>1141</v>
      </c>
      <c r="B1142" t="s">
        <v>290</v>
      </c>
      <c r="C1142" t="s">
        <v>54</v>
      </c>
      <c r="D1142" t="s">
        <v>42</v>
      </c>
      <c r="E1142" t="s">
        <v>140</v>
      </c>
      <c r="F1142" s="25">
        <v>46050</v>
      </c>
      <c r="G1142" t="s">
        <v>308</v>
      </c>
      <c r="H1142" t="s">
        <v>405</v>
      </c>
      <c r="I1142" t="s">
        <v>371</v>
      </c>
      <c r="J1142" t="s">
        <v>279</v>
      </c>
      <c r="K1142" t="s">
        <v>280</v>
      </c>
      <c r="L1142" t="s">
        <v>322</v>
      </c>
      <c r="M1142" t="s">
        <v>141</v>
      </c>
      <c r="N1142" t="s">
        <v>142</v>
      </c>
      <c r="O1142" t="s">
        <v>155</v>
      </c>
      <c r="P1142" t="s">
        <v>281</v>
      </c>
      <c r="Q1142" t="s">
        <v>155</v>
      </c>
      <c r="R1142" t="s">
        <v>302</v>
      </c>
      <c r="S1142" t="s">
        <v>355</v>
      </c>
      <c r="T1142">
        <v>2</v>
      </c>
      <c r="U1142" t="s">
        <v>159</v>
      </c>
      <c r="V1142" t="s">
        <v>303</v>
      </c>
      <c r="W1142" t="s">
        <v>437</v>
      </c>
      <c r="X1142" t="s">
        <v>306</v>
      </c>
      <c r="Y1142" t="s">
        <v>307</v>
      </c>
      <c r="Z1142">
        <v>65</v>
      </c>
      <c r="AA1142">
        <v>70</v>
      </c>
      <c r="AB1142" t="s">
        <v>143</v>
      </c>
      <c r="AC1142" t="s">
        <v>53</v>
      </c>
      <c r="AD1142" t="s">
        <v>404</v>
      </c>
      <c r="AE1142" t="str">
        <f>IF(AF1142="","",VLOOKUP(AC1142,mapel!$A$2:$B$42,2,FALSE))</f>
        <v>Sejarah</v>
      </c>
      <c r="AF1142">
        <f t="shared" si="51"/>
        <v>70</v>
      </c>
      <c r="AG1142" t="str">
        <f>IF(AF1142="","",IF(AF1142&gt;90,"Sangat baik",IF(AF1142&gt;79,"Baik",IF(AF1142&gt;=pub_gid_0_single_true_output_csv[[#This Row],[KKM]],"Cukup","Kurang"))))</f>
        <v>Cukup</v>
      </c>
      <c r="AH1142">
        <f t="shared" si="52"/>
        <v>11</v>
      </c>
      <c r="AI1142" s="30" t="str">
        <f>IF(OR(J1142&lt;&gt;"Karakter",pub_gid_0_single_true_output_csv[[#This Row],[Nilai2]]=""),"",IF(AF1142&gt;89,"Sangat baik",IF(AF1142&gt;79,"Baik",IF(AF1142&gt;69,"Cukup",IF(AF1142&gt;59,"Kurang","Sangat kurang")))))</f>
        <v/>
      </c>
      <c r="AJ1142" t="str">
        <f t="shared" si="53"/>
        <v>Wk.5</v>
      </c>
      <c r="AK1142" t="str">
        <f>IF(pub_gid_0_single_true_output_csv[[#This Row],[Nilai2]]="","",VLOOKUP(pub_gid_0_single_true_output_csv[[#This Row],[NAMA]],Table7[],3,FALSE))</f>
        <v>Superior</v>
      </c>
    </row>
    <row r="1143" spans="1:37" x14ac:dyDescent="0.2">
      <c r="A1143">
        <v>1142</v>
      </c>
      <c r="B1143" t="s">
        <v>290</v>
      </c>
      <c r="C1143" t="s">
        <v>54</v>
      </c>
      <c r="D1143" t="s">
        <v>42</v>
      </c>
      <c r="E1143" t="s">
        <v>140</v>
      </c>
      <c r="F1143" s="25">
        <v>46057</v>
      </c>
      <c r="G1143" t="s">
        <v>348</v>
      </c>
      <c r="H1143" t="s">
        <v>412</v>
      </c>
      <c r="I1143" t="s">
        <v>371</v>
      </c>
      <c r="J1143" t="s">
        <v>36</v>
      </c>
      <c r="K1143" t="s">
        <v>37</v>
      </c>
      <c r="L1143" t="s">
        <v>351</v>
      </c>
      <c r="M1143" t="s">
        <v>141</v>
      </c>
      <c r="N1143" t="s">
        <v>142</v>
      </c>
      <c r="O1143" t="s">
        <v>155</v>
      </c>
      <c r="P1143" t="s">
        <v>281</v>
      </c>
      <c r="Q1143" t="s">
        <v>155</v>
      </c>
      <c r="R1143" t="s">
        <v>302</v>
      </c>
      <c r="S1143" t="s">
        <v>355</v>
      </c>
      <c r="T1143">
        <v>2</v>
      </c>
      <c r="U1143" t="s">
        <v>159</v>
      </c>
      <c r="V1143" t="s">
        <v>303</v>
      </c>
      <c r="W1143" t="s">
        <v>437</v>
      </c>
      <c r="X1143" t="s">
        <v>306</v>
      </c>
      <c r="Y1143" t="s">
        <v>307</v>
      </c>
      <c r="Z1143">
        <v>65</v>
      </c>
      <c r="AA1143">
        <v>70</v>
      </c>
      <c r="AB1143" t="s">
        <v>143</v>
      </c>
      <c r="AC1143" t="s">
        <v>53</v>
      </c>
      <c r="AD1143" t="s">
        <v>404</v>
      </c>
      <c r="AE1143" t="str">
        <f>IF(AF1143="","",VLOOKUP(AC1143,mapel!$A$2:$B$42,2,FALSE))</f>
        <v>Sejarah</v>
      </c>
      <c r="AF1143">
        <f t="shared" si="51"/>
        <v>70</v>
      </c>
      <c r="AG1143" t="str">
        <f>IF(AF1143="","",IF(AF1143&gt;90,"Sangat baik",IF(AF1143&gt;79,"Baik",IF(AF1143&gt;=pub_gid_0_single_true_output_csv[[#This Row],[KKM]],"Cukup","Kurang"))))</f>
        <v>Cukup</v>
      </c>
      <c r="AH1143">
        <f t="shared" si="52"/>
        <v>11</v>
      </c>
      <c r="AI1143" s="30" t="str">
        <f>IF(OR(J1143&lt;&gt;"Karakter",pub_gid_0_single_true_output_csv[[#This Row],[Nilai2]]=""),"",IF(AF1143&gt;89,"Sangat baik",IF(AF1143&gt;79,"Baik",IF(AF1143&gt;69,"Cukup",IF(AF1143&gt;59,"Kurang","Sangat kurang")))))</f>
        <v/>
      </c>
      <c r="AJ1143" t="str">
        <f t="shared" si="53"/>
        <v>Wk.6</v>
      </c>
      <c r="AK1143" t="str">
        <f>IF(pub_gid_0_single_true_output_csv[[#This Row],[Nilai2]]="","",VLOOKUP(pub_gid_0_single_true_output_csv[[#This Row],[NAMA]],Table7[],3,FALSE))</f>
        <v>Superior</v>
      </c>
    </row>
    <row r="1144" spans="1:37" x14ac:dyDescent="0.2">
      <c r="A1144">
        <v>1143</v>
      </c>
      <c r="B1144" t="s">
        <v>290</v>
      </c>
      <c r="C1144" t="s">
        <v>54</v>
      </c>
      <c r="D1144" t="s">
        <v>42</v>
      </c>
      <c r="E1144" t="s">
        <v>140</v>
      </c>
      <c r="F1144" s="25">
        <v>46057</v>
      </c>
      <c r="G1144" t="s">
        <v>348</v>
      </c>
      <c r="H1144" t="s">
        <v>412</v>
      </c>
      <c r="I1144" t="s">
        <v>371</v>
      </c>
      <c r="J1144" t="s">
        <v>31</v>
      </c>
      <c r="K1144" t="s">
        <v>96</v>
      </c>
      <c r="L1144" t="s">
        <v>351</v>
      </c>
      <c r="M1144" t="s">
        <v>141</v>
      </c>
      <c r="N1144" t="s">
        <v>142</v>
      </c>
      <c r="O1144" t="s">
        <v>155</v>
      </c>
      <c r="P1144" t="s">
        <v>281</v>
      </c>
      <c r="Q1144" t="s">
        <v>155</v>
      </c>
      <c r="R1144" t="s">
        <v>302</v>
      </c>
      <c r="S1144" t="s">
        <v>355</v>
      </c>
      <c r="T1144">
        <v>2</v>
      </c>
      <c r="U1144" t="s">
        <v>159</v>
      </c>
      <c r="V1144" t="s">
        <v>303</v>
      </c>
      <c r="W1144" t="s">
        <v>437</v>
      </c>
      <c r="X1144" t="s">
        <v>306</v>
      </c>
      <c r="Y1144" t="s">
        <v>307</v>
      </c>
      <c r="Z1144">
        <v>65</v>
      </c>
      <c r="AA1144">
        <v>70</v>
      </c>
      <c r="AB1144" t="s">
        <v>143</v>
      </c>
      <c r="AC1144" t="s">
        <v>53</v>
      </c>
      <c r="AD1144" t="s">
        <v>404</v>
      </c>
      <c r="AE1144" t="str">
        <f>IF(AF1144="","",VLOOKUP(AC1144,mapel!$A$2:$B$42,2,FALSE))</f>
        <v>Sejarah</v>
      </c>
      <c r="AF1144">
        <f t="shared" si="51"/>
        <v>70</v>
      </c>
      <c r="AG1144" t="str">
        <f>IF(AF1144="","",IF(AF1144&gt;90,"Sangat baik",IF(AF1144&gt;79,"Baik",IF(AF1144&gt;=pub_gid_0_single_true_output_csv[[#This Row],[KKM]],"Cukup","Kurang"))))</f>
        <v>Cukup</v>
      </c>
      <c r="AH1144">
        <f t="shared" si="52"/>
        <v>11</v>
      </c>
      <c r="AI1144" s="30" t="str">
        <f>IF(OR(J1144&lt;&gt;"Karakter",pub_gid_0_single_true_output_csv[[#This Row],[Nilai2]]=""),"",IF(AF1144&gt;89,"Sangat baik",IF(AF1144&gt;79,"Baik",IF(AF1144&gt;69,"Cukup",IF(AF1144&gt;59,"Kurang","Sangat kurang")))))</f>
        <v/>
      </c>
      <c r="AJ1144" t="str">
        <f t="shared" si="53"/>
        <v>Wk.6</v>
      </c>
      <c r="AK1144" t="str">
        <f>IF(pub_gid_0_single_true_output_csv[[#This Row],[Nilai2]]="","",VLOOKUP(pub_gid_0_single_true_output_csv[[#This Row],[NAMA]],Table7[],3,FALSE))</f>
        <v>Superior</v>
      </c>
    </row>
    <row r="1145" spans="1:37" x14ac:dyDescent="0.2">
      <c r="A1145">
        <v>1144</v>
      </c>
      <c r="B1145" t="s">
        <v>290</v>
      </c>
      <c r="C1145" t="s">
        <v>54</v>
      </c>
      <c r="D1145" t="s">
        <v>42</v>
      </c>
      <c r="E1145" t="s">
        <v>140</v>
      </c>
      <c r="F1145" s="25">
        <v>46057</v>
      </c>
      <c r="G1145" t="s">
        <v>348</v>
      </c>
      <c r="H1145" t="s">
        <v>412</v>
      </c>
      <c r="I1145" t="s">
        <v>371</v>
      </c>
      <c r="J1145" t="s">
        <v>90</v>
      </c>
      <c r="K1145" t="s">
        <v>92</v>
      </c>
      <c r="L1145" t="s">
        <v>93</v>
      </c>
      <c r="M1145" t="s">
        <v>141</v>
      </c>
      <c r="N1145" t="s">
        <v>142</v>
      </c>
      <c r="O1145" t="s">
        <v>155</v>
      </c>
      <c r="P1145" t="s">
        <v>281</v>
      </c>
      <c r="Q1145" t="s">
        <v>155</v>
      </c>
      <c r="R1145" t="s">
        <v>302</v>
      </c>
      <c r="S1145" t="s">
        <v>355</v>
      </c>
      <c r="T1145">
        <v>2</v>
      </c>
      <c r="U1145" t="s">
        <v>159</v>
      </c>
      <c r="V1145" t="s">
        <v>303</v>
      </c>
      <c r="W1145" t="s">
        <v>437</v>
      </c>
      <c r="X1145" t="s">
        <v>306</v>
      </c>
      <c r="Y1145" t="s">
        <v>307</v>
      </c>
      <c r="Z1145">
        <v>65</v>
      </c>
      <c r="AA1145">
        <v>65</v>
      </c>
      <c r="AB1145" t="s">
        <v>143</v>
      </c>
      <c r="AC1145" t="s">
        <v>53</v>
      </c>
      <c r="AD1145" t="s">
        <v>404</v>
      </c>
      <c r="AE1145" t="str">
        <f>IF(AF1145="","",VLOOKUP(AC1145,mapel!$A$2:$B$42,2,FALSE))</f>
        <v>Sejarah</v>
      </c>
      <c r="AF1145">
        <f t="shared" si="51"/>
        <v>65</v>
      </c>
      <c r="AG1145" t="str">
        <f>IF(AF1145="","",IF(AF1145&gt;90,"Sangat baik",IF(AF1145&gt;79,"Baik",IF(AF1145&gt;=pub_gid_0_single_true_output_csv[[#This Row],[KKM]],"Cukup","Kurang"))))</f>
        <v>Cukup</v>
      </c>
      <c r="AH1145">
        <f t="shared" si="52"/>
        <v>11</v>
      </c>
      <c r="AI1145" s="30" t="str">
        <f>IF(OR(J1145&lt;&gt;"Karakter",pub_gid_0_single_true_output_csv[[#This Row],[Nilai2]]=""),"",IF(AF1145&gt;89,"Sangat baik",IF(AF1145&gt;79,"Baik",IF(AF1145&gt;69,"Cukup",IF(AF1145&gt;59,"Kurang","Sangat kurang")))))</f>
        <v>Kurang</v>
      </c>
      <c r="AJ1145" t="str">
        <f t="shared" si="53"/>
        <v>Wk.6</v>
      </c>
      <c r="AK1145" t="str">
        <f>IF(pub_gid_0_single_true_output_csv[[#This Row],[Nilai2]]="","",VLOOKUP(pub_gid_0_single_true_output_csv[[#This Row],[NAMA]],Table7[],3,FALSE))</f>
        <v>Superior</v>
      </c>
    </row>
    <row r="1146" spans="1:37" x14ac:dyDescent="0.2">
      <c r="A1146">
        <v>1145</v>
      </c>
      <c r="B1146" t="s">
        <v>290</v>
      </c>
      <c r="C1146" t="s">
        <v>54</v>
      </c>
      <c r="D1146" t="s">
        <v>42</v>
      </c>
      <c r="E1146" t="s">
        <v>140</v>
      </c>
      <c r="F1146" s="25">
        <v>46057</v>
      </c>
      <c r="G1146" t="s">
        <v>348</v>
      </c>
      <c r="H1146" t="s">
        <v>412</v>
      </c>
      <c r="I1146" t="s">
        <v>371</v>
      </c>
      <c r="J1146" t="s">
        <v>279</v>
      </c>
      <c r="K1146" t="s">
        <v>280</v>
      </c>
      <c r="L1146" t="s">
        <v>322</v>
      </c>
      <c r="M1146" t="s">
        <v>141</v>
      </c>
      <c r="N1146" t="s">
        <v>142</v>
      </c>
      <c r="O1146" t="s">
        <v>155</v>
      </c>
      <c r="P1146" t="s">
        <v>281</v>
      </c>
      <c r="Q1146" t="s">
        <v>155</v>
      </c>
      <c r="R1146" t="s">
        <v>302</v>
      </c>
      <c r="S1146" t="s">
        <v>355</v>
      </c>
      <c r="T1146">
        <v>2</v>
      </c>
      <c r="U1146" t="s">
        <v>159</v>
      </c>
      <c r="V1146" t="s">
        <v>303</v>
      </c>
      <c r="W1146" t="s">
        <v>437</v>
      </c>
      <c r="X1146" t="s">
        <v>306</v>
      </c>
      <c r="Y1146" t="s">
        <v>307</v>
      </c>
      <c r="Z1146">
        <v>65</v>
      </c>
      <c r="AA1146">
        <v>65</v>
      </c>
      <c r="AB1146" t="s">
        <v>143</v>
      </c>
      <c r="AC1146" t="s">
        <v>53</v>
      </c>
      <c r="AD1146" t="s">
        <v>404</v>
      </c>
      <c r="AE1146" t="str">
        <f>IF(AF1146="","",VLOOKUP(AC1146,mapel!$A$2:$B$42,2,FALSE))</f>
        <v>Sejarah</v>
      </c>
      <c r="AF1146">
        <f t="shared" si="51"/>
        <v>65</v>
      </c>
      <c r="AG1146" t="str">
        <f>IF(AF1146="","",IF(AF1146&gt;90,"Sangat baik",IF(AF1146&gt;79,"Baik",IF(AF1146&gt;=pub_gid_0_single_true_output_csv[[#This Row],[KKM]],"Cukup","Kurang"))))</f>
        <v>Cukup</v>
      </c>
      <c r="AH1146">
        <f t="shared" si="52"/>
        <v>11</v>
      </c>
      <c r="AI1146" s="30" t="str">
        <f>IF(OR(J1146&lt;&gt;"Karakter",pub_gid_0_single_true_output_csv[[#This Row],[Nilai2]]=""),"",IF(AF1146&gt;89,"Sangat baik",IF(AF1146&gt;79,"Baik",IF(AF1146&gt;69,"Cukup",IF(AF1146&gt;59,"Kurang","Sangat kurang")))))</f>
        <v/>
      </c>
      <c r="AJ1146" t="str">
        <f t="shared" si="53"/>
        <v>Wk.6</v>
      </c>
      <c r="AK1146" t="str">
        <f>IF(pub_gid_0_single_true_output_csv[[#This Row],[Nilai2]]="","",VLOOKUP(pub_gid_0_single_true_output_csv[[#This Row],[NAMA]],Table7[],3,FALSE))</f>
        <v>Superior</v>
      </c>
    </row>
    <row r="1147" spans="1:37" x14ac:dyDescent="0.2">
      <c r="A1147">
        <v>1146</v>
      </c>
      <c r="B1147" t="s">
        <v>290</v>
      </c>
      <c r="C1147" t="s">
        <v>54</v>
      </c>
      <c r="D1147" t="s">
        <v>42</v>
      </c>
      <c r="E1147" t="s">
        <v>140</v>
      </c>
      <c r="F1147" s="25">
        <v>46064</v>
      </c>
      <c r="G1147" t="s">
        <v>352</v>
      </c>
      <c r="H1147" t="s">
        <v>412</v>
      </c>
      <c r="I1147" t="s">
        <v>371</v>
      </c>
      <c r="J1147" t="s">
        <v>36</v>
      </c>
      <c r="K1147" t="s">
        <v>37</v>
      </c>
      <c r="L1147" t="s">
        <v>351</v>
      </c>
      <c r="M1147" t="s">
        <v>141</v>
      </c>
      <c r="N1147" t="s">
        <v>142</v>
      </c>
      <c r="O1147" t="s">
        <v>155</v>
      </c>
      <c r="P1147" t="s">
        <v>281</v>
      </c>
      <c r="Q1147" t="s">
        <v>155</v>
      </c>
      <c r="R1147" t="s">
        <v>302</v>
      </c>
      <c r="S1147" t="s">
        <v>380</v>
      </c>
      <c r="T1147">
        <v>3</v>
      </c>
      <c r="U1147" t="s">
        <v>159</v>
      </c>
      <c r="V1147" t="s">
        <v>381</v>
      </c>
      <c r="W1147" t="s">
        <v>438</v>
      </c>
      <c r="X1147" t="s">
        <v>306</v>
      </c>
      <c r="Y1147" t="s">
        <v>307</v>
      </c>
      <c r="Z1147">
        <v>65</v>
      </c>
      <c r="AA1147">
        <v>70</v>
      </c>
      <c r="AB1147" t="s">
        <v>143</v>
      </c>
      <c r="AC1147" t="s">
        <v>53</v>
      </c>
      <c r="AD1147" t="s">
        <v>404</v>
      </c>
      <c r="AE1147" t="str">
        <f>IF(AF1147="","",VLOOKUP(AC1147,mapel!$A$2:$B$42,2,FALSE))</f>
        <v>Sejarah</v>
      </c>
      <c r="AF1147">
        <f t="shared" si="51"/>
        <v>70</v>
      </c>
      <c r="AG1147" t="str">
        <f>IF(AF1147="","",IF(AF1147&gt;90,"Sangat baik",IF(AF1147&gt;79,"Baik",IF(AF1147&gt;=pub_gid_0_single_true_output_csv[[#This Row],[KKM]],"Cukup","Kurang"))))</f>
        <v>Cukup</v>
      </c>
      <c r="AH1147">
        <f t="shared" si="52"/>
        <v>11</v>
      </c>
      <c r="AI1147" s="30" t="str">
        <f>IF(OR(J1147&lt;&gt;"Karakter",pub_gid_0_single_true_output_csv[[#This Row],[Nilai2]]=""),"",IF(AF1147&gt;89,"Sangat baik",IF(AF1147&gt;79,"Baik",IF(AF1147&gt;69,"Cukup",IF(AF1147&gt;59,"Kurang","Sangat kurang")))))</f>
        <v/>
      </c>
      <c r="AJ1147" t="str">
        <f t="shared" si="53"/>
        <v>Wk.7</v>
      </c>
      <c r="AK1147" t="str">
        <f>IF(pub_gid_0_single_true_output_csv[[#This Row],[Nilai2]]="","",VLOOKUP(pub_gid_0_single_true_output_csv[[#This Row],[NAMA]],Table7[],3,FALSE))</f>
        <v>Superior</v>
      </c>
    </row>
    <row r="1148" spans="1:37" x14ac:dyDescent="0.2">
      <c r="A1148">
        <v>1147</v>
      </c>
      <c r="B1148" t="s">
        <v>290</v>
      </c>
      <c r="C1148" t="s">
        <v>54</v>
      </c>
      <c r="D1148" t="s">
        <v>42</v>
      </c>
      <c r="E1148" t="s">
        <v>140</v>
      </c>
      <c r="F1148" s="25">
        <v>46064</v>
      </c>
      <c r="G1148" t="s">
        <v>352</v>
      </c>
      <c r="H1148" t="s">
        <v>412</v>
      </c>
      <c r="I1148" t="s">
        <v>371</v>
      </c>
      <c r="J1148" t="s">
        <v>31</v>
      </c>
      <c r="K1148" t="s">
        <v>96</v>
      </c>
      <c r="L1148" t="s">
        <v>351</v>
      </c>
      <c r="M1148" t="s">
        <v>141</v>
      </c>
      <c r="N1148" t="s">
        <v>142</v>
      </c>
      <c r="O1148" t="s">
        <v>155</v>
      </c>
      <c r="P1148" t="s">
        <v>281</v>
      </c>
      <c r="Q1148" t="s">
        <v>155</v>
      </c>
      <c r="R1148" t="s">
        <v>302</v>
      </c>
      <c r="S1148" t="s">
        <v>380</v>
      </c>
      <c r="T1148">
        <v>3</v>
      </c>
      <c r="U1148" t="s">
        <v>159</v>
      </c>
      <c r="V1148" t="s">
        <v>381</v>
      </c>
      <c r="W1148" t="s">
        <v>438</v>
      </c>
      <c r="X1148" t="s">
        <v>306</v>
      </c>
      <c r="Y1148" t="s">
        <v>307</v>
      </c>
      <c r="Z1148">
        <v>65</v>
      </c>
      <c r="AA1148">
        <v>65</v>
      </c>
      <c r="AB1148" t="s">
        <v>143</v>
      </c>
      <c r="AC1148" t="s">
        <v>53</v>
      </c>
      <c r="AD1148" t="s">
        <v>404</v>
      </c>
      <c r="AE1148" t="str">
        <f>IF(AF1148="","",VLOOKUP(AC1148,mapel!$A$2:$B$42,2,FALSE))</f>
        <v>Sejarah</v>
      </c>
      <c r="AF1148">
        <f t="shared" si="51"/>
        <v>65</v>
      </c>
      <c r="AG1148" t="str">
        <f>IF(AF1148="","",IF(AF1148&gt;90,"Sangat baik",IF(AF1148&gt;79,"Baik",IF(AF1148&gt;=pub_gid_0_single_true_output_csv[[#This Row],[KKM]],"Cukup","Kurang"))))</f>
        <v>Cukup</v>
      </c>
      <c r="AH1148">
        <f t="shared" si="52"/>
        <v>11</v>
      </c>
      <c r="AI1148" s="30" t="str">
        <f>IF(OR(J1148&lt;&gt;"Karakter",pub_gid_0_single_true_output_csv[[#This Row],[Nilai2]]=""),"",IF(AF1148&gt;89,"Sangat baik",IF(AF1148&gt;79,"Baik",IF(AF1148&gt;69,"Cukup",IF(AF1148&gt;59,"Kurang","Sangat kurang")))))</f>
        <v/>
      </c>
      <c r="AJ1148" t="str">
        <f t="shared" si="53"/>
        <v>Wk.7</v>
      </c>
      <c r="AK1148" t="str">
        <f>IF(pub_gid_0_single_true_output_csv[[#This Row],[Nilai2]]="","",VLOOKUP(pub_gid_0_single_true_output_csv[[#This Row],[NAMA]],Table7[],3,FALSE))</f>
        <v>Superior</v>
      </c>
    </row>
    <row r="1149" spans="1:37" x14ac:dyDescent="0.2">
      <c r="A1149">
        <v>1148</v>
      </c>
      <c r="B1149" t="s">
        <v>290</v>
      </c>
      <c r="C1149" t="s">
        <v>54</v>
      </c>
      <c r="D1149" t="s">
        <v>42</v>
      </c>
      <c r="E1149" t="s">
        <v>140</v>
      </c>
      <c r="F1149" s="25">
        <v>46064</v>
      </c>
      <c r="G1149" t="s">
        <v>352</v>
      </c>
      <c r="H1149" t="s">
        <v>412</v>
      </c>
      <c r="I1149" t="s">
        <v>371</v>
      </c>
      <c r="J1149" t="s">
        <v>90</v>
      </c>
      <c r="K1149" t="s">
        <v>92</v>
      </c>
      <c r="L1149" t="s">
        <v>93</v>
      </c>
      <c r="M1149" t="s">
        <v>141</v>
      </c>
      <c r="N1149" t="s">
        <v>142</v>
      </c>
      <c r="O1149" t="s">
        <v>155</v>
      </c>
      <c r="P1149" t="s">
        <v>281</v>
      </c>
      <c r="Q1149" t="s">
        <v>155</v>
      </c>
      <c r="R1149" t="s">
        <v>302</v>
      </c>
      <c r="S1149" t="s">
        <v>380</v>
      </c>
      <c r="T1149">
        <v>3</v>
      </c>
      <c r="U1149" t="s">
        <v>159</v>
      </c>
      <c r="V1149" t="s">
        <v>381</v>
      </c>
      <c r="W1149" t="s">
        <v>438</v>
      </c>
      <c r="X1149" t="s">
        <v>306</v>
      </c>
      <c r="Y1149" t="s">
        <v>307</v>
      </c>
      <c r="Z1149">
        <v>65</v>
      </c>
      <c r="AA1149">
        <v>70</v>
      </c>
      <c r="AB1149" t="s">
        <v>143</v>
      </c>
      <c r="AC1149" t="s">
        <v>53</v>
      </c>
      <c r="AD1149" t="s">
        <v>404</v>
      </c>
      <c r="AE1149" t="str">
        <f>IF(AF1149="","",VLOOKUP(AC1149,mapel!$A$2:$B$42,2,FALSE))</f>
        <v>Sejarah</v>
      </c>
      <c r="AF1149">
        <f t="shared" si="51"/>
        <v>70</v>
      </c>
      <c r="AG1149" t="str">
        <f>IF(AF1149="","",IF(AF1149&gt;90,"Sangat baik",IF(AF1149&gt;79,"Baik",IF(AF1149&gt;=pub_gid_0_single_true_output_csv[[#This Row],[KKM]],"Cukup","Kurang"))))</f>
        <v>Cukup</v>
      </c>
      <c r="AH1149">
        <f t="shared" si="52"/>
        <v>11</v>
      </c>
      <c r="AI1149" s="30" t="str">
        <f>IF(OR(J1149&lt;&gt;"Karakter",pub_gid_0_single_true_output_csv[[#This Row],[Nilai2]]=""),"",IF(AF1149&gt;89,"Sangat baik",IF(AF1149&gt;79,"Baik",IF(AF1149&gt;69,"Cukup",IF(AF1149&gt;59,"Kurang","Sangat kurang")))))</f>
        <v>Cukup</v>
      </c>
      <c r="AJ1149" t="str">
        <f t="shared" si="53"/>
        <v>Wk.7</v>
      </c>
      <c r="AK1149" t="str">
        <f>IF(pub_gid_0_single_true_output_csv[[#This Row],[Nilai2]]="","",VLOOKUP(pub_gid_0_single_true_output_csv[[#This Row],[NAMA]],Table7[],3,FALSE))</f>
        <v>Superior</v>
      </c>
    </row>
    <row r="1150" spans="1:37" x14ac:dyDescent="0.2">
      <c r="A1150">
        <v>1149</v>
      </c>
      <c r="B1150" t="s">
        <v>290</v>
      </c>
      <c r="C1150" t="s">
        <v>54</v>
      </c>
      <c r="D1150" t="s">
        <v>42</v>
      </c>
      <c r="E1150" t="s">
        <v>140</v>
      </c>
      <c r="F1150" s="25">
        <v>46064</v>
      </c>
      <c r="G1150" t="s">
        <v>352</v>
      </c>
      <c r="H1150" t="s">
        <v>412</v>
      </c>
      <c r="I1150" t="s">
        <v>371</v>
      </c>
      <c r="J1150" t="s">
        <v>279</v>
      </c>
      <c r="K1150" t="s">
        <v>280</v>
      </c>
      <c r="L1150" t="s">
        <v>322</v>
      </c>
      <c r="M1150" t="s">
        <v>141</v>
      </c>
      <c r="N1150" t="s">
        <v>142</v>
      </c>
      <c r="O1150" t="s">
        <v>155</v>
      </c>
      <c r="P1150" t="s">
        <v>281</v>
      </c>
      <c r="Q1150" t="s">
        <v>155</v>
      </c>
      <c r="R1150" t="s">
        <v>302</v>
      </c>
      <c r="S1150" t="s">
        <v>380</v>
      </c>
      <c r="T1150">
        <v>3</v>
      </c>
      <c r="U1150" t="s">
        <v>159</v>
      </c>
      <c r="V1150" t="s">
        <v>381</v>
      </c>
      <c r="W1150" t="s">
        <v>438</v>
      </c>
      <c r="X1150" t="s">
        <v>306</v>
      </c>
      <c r="Y1150" t="s">
        <v>307</v>
      </c>
      <c r="Z1150">
        <v>65</v>
      </c>
      <c r="AA1150">
        <v>70</v>
      </c>
      <c r="AB1150" t="s">
        <v>143</v>
      </c>
      <c r="AC1150" t="s">
        <v>53</v>
      </c>
      <c r="AD1150" t="s">
        <v>404</v>
      </c>
      <c r="AE1150" t="str">
        <f>IF(AF1150="","",VLOOKUP(AC1150,mapel!$A$2:$B$42,2,FALSE))</f>
        <v>Sejarah</v>
      </c>
      <c r="AF1150">
        <f t="shared" si="51"/>
        <v>70</v>
      </c>
      <c r="AG1150" t="str">
        <f>IF(AF1150="","",IF(AF1150&gt;90,"Sangat baik",IF(AF1150&gt;79,"Baik",IF(AF1150&gt;=pub_gid_0_single_true_output_csv[[#This Row],[KKM]],"Cukup","Kurang"))))</f>
        <v>Cukup</v>
      </c>
      <c r="AH1150">
        <f t="shared" si="52"/>
        <v>11</v>
      </c>
      <c r="AI1150" s="30" t="str">
        <f>IF(OR(J1150&lt;&gt;"Karakter",pub_gid_0_single_true_output_csv[[#This Row],[Nilai2]]=""),"",IF(AF1150&gt;89,"Sangat baik",IF(AF1150&gt;79,"Baik",IF(AF1150&gt;69,"Cukup",IF(AF1150&gt;59,"Kurang","Sangat kurang")))))</f>
        <v/>
      </c>
      <c r="AJ1150" t="str">
        <f t="shared" si="53"/>
        <v>Wk.7</v>
      </c>
      <c r="AK1150" t="str">
        <f>IF(pub_gid_0_single_true_output_csv[[#This Row],[Nilai2]]="","",VLOOKUP(pub_gid_0_single_true_output_csv[[#This Row],[NAMA]],Table7[],3,FALSE))</f>
        <v>Superior</v>
      </c>
    </row>
    <row r="1151" spans="1:37" x14ac:dyDescent="0.2">
      <c r="A1151">
        <v>1150</v>
      </c>
      <c r="B1151" t="s">
        <v>290</v>
      </c>
      <c r="C1151" t="s">
        <v>54</v>
      </c>
      <c r="D1151" t="s">
        <v>42</v>
      </c>
      <c r="E1151" t="s">
        <v>140</v>
      </c>
      <c r="F1151" s="25">
        <v>46071</v>
      </c>
      <c r="G1151" t="s">
        <v>323</v>
      </c>
      <c r="H1151" t="s">
        <v>412</v>
      </c>
      <c r="I1151" t="s">
        <v>371</v>
      </c>
      <c r="J1151" t="s">
        <v>36</v>
      </c>
      <c r="K1151" t="s">
        <v>362</v>
      </c>
      <c r="L1151" t="s">
        <v>363</v>
      </c>
      <c r="M1151" t="s">
        <v>141</v>
      </c>
      <c r="N1151" t="s">
        <v>142</v>
      </c>
      <c r="O1151" t="s">
        <v>155</v>
      </c>
      <c r="P1151" t="s">
        <v>281</v>
      </c>
      <c r="Q1151" t="s">
        <v>155</v>
      </c>
      <c r="R1151" t="s">
        <v>302</v>
      </c>
      <c r="S1151" t="s">
        <v>309</v>
      </c>
      <c r="T1151">
        <v>1</v>
      </c>
      <c r="U1151" t="s">
        <v>435</v>
      </c>
      <c r="V1151" t="s">
        <v>285</v>
      </c>
      <c r="W1151" t="s">
        <v>436</v>
      </c>
      <c r="X1151" t="s">
        <v>306</v>
      </c>
      <c r="Y1151" t="s">
        <v>307</v>
      </c>
      <c r="Z1151">
        <v>65</v>
      </c>
      <c r="AA1151">
        <v>70</v>
      </c>
      <c r="AB1151" t="s">
        <v>143</v>
      </c>
      <c r="AC1151" t="s">
        <v>53</v>
      </c>
      <c r="AD1151" t="s">
        <v>404</v>
      </c>
      <c r="AE1151" t="str">
        <f>IF(AF1151="","",VLOOKUP(AC1151,mapel!$A$2:$B$42,2,FALSE))</f>
        <v>Sejarah</v>
      </c>
      <c r="AF1151">
        <f t="shared" si="51"/>
        <v>70</v>
      </c>
      <c r="AG1151" t="str">
        <f>IF(AF1151="","",IF(AF1151&gt;90,"Sangat baik",IF(AF1151&gt;79,"Baik",IF(AF1151&gt;=pub_gid_0_single_true_output_csv[[#This Row],[KKM]],"Cukup","Kurang"))))</f>
        <v>Cukup</v>
      </c>
      <c r="AH1151">
        <f t="shared" si="52"/>
        <v>11</v>
      </c>
      <c r="AI1151" s="30" t="str">
        <f>IF(OR(J1151&lt;&gt;"Karakter",pub_gid_0_single_true_output_csv[[#This Row],[Nilai2]]=""),"",IF(AF1151&gt;89,"Sangat baik",IF(AF1151&gt;79,"Baik",IF(AF1151&gt;69,"Cukup",IF(AF1151&gt;59,"Kurang","Sangat kurang")))))</f>
        <v/>
      </c>
      <c r="AJ1151" t="str">
        <f t="shared" si="53"/>
        <v>Wk.8</v>
      </c>
      <c r="AK1151" t="str">
        <f>IF(pub_gid_0_single_true_output_csv[[#This Row],[Nilai2]]="","",VLOOKUP(pub_gid_0_single_true_output_csv[[#This Row],[NAMA]],Table7[],3,FALSE))</f>
        <v>Superior</v>
      </c>
    </row>
    <row r="1152" spans="1:37" x14ac:dyDescent="0.2">
      <c r="A1152">
        <v>1151</v>
      </c>
      <c r="B1152" t="s">
        <v>290</v>
      </c>
      <c r="C1152" t="s">
        <v>54</v>
      </c>
      <c r="D1152" t="s">
        <v>42</v>
      </c>
      <c r="E1152" t="s">
        <v>140</v>
      </c>
      <c r="F1152" s="25">
        <v>46071</v>
      </c>
      <c r="G1152" t="s">
        <v>323</v>
      </c>
      <c r="H1152" t="s">
        <v>412</v>
      </c>
      <c r="I1152" t="s">
        <v>371</v>
      </c>
      <c r="J1152" t="s">
        <v>90</v>
      </c>
      <c r="K1152" t="s">
        <v>92</v>
      </c>
      <c r="L1152" t="s">
        <v>93</v>
      </c>
      <c r="M1152" t="s">
        <v>141</v>
      </c>
      <c r="N1152" t="s">
        <v>142</v>
      </c>
      <c r="O1152" t="s">
        <v>155</v>
      </c>
      <c r="P1152" t="s">
        <v>281</v>
      </c>
      <c r="Q1152" t="s">
        <v>155</v>
      </c>
      <c r="R1152" t="s">
        <v>302</v>
      </c>
      <c r="S1152" t="s">
        <v>309</v>
      </c>
      <c r="T1152">
        <v>1</v>
      </c>
      <c r="U1152" t="s">
        <v>435</v>
      </c>
      <c r="V1152" t="s">
        <v>285</v>
      </c>
      <c r="W1152" t="s">
        <v>436</v>
      </c>
      <c r="X1152" t="s">
        <v>306</v>
      </c>
      <c r="Y1152" t="s">
        <v>307</v>
      </c>
      <c r="Z1152">
        <v>65</v>
      </c>
      <c r="AA1152">
        <v>70</v>
      </c>
      <c r="AB1152" t="s">
        <v>143</v>
      </c>
      <c r="AC1152" t="s">
        <v>53</v>
      </c>
      <c r="AD1152" t="s">
        <v>404</v>
      </c>
      <c r="AE1152" t="str">
        <f>IF(AF1152="","",VLOOKUP(AC1152,mapel!$A$2:$B$42,2,FALSE))</f>
        <v>Sejarah</v>
      </c>
      <c r="AF1152">
        <f t="shared" si="51"/>
        <v>70</v>
      </c>
      <c r="AG1152" t="str">
        <f>IF(AF1152="","",IF(AF1152&gt;90,"Sangat baik",IF(AF1152&gt;79,"Baik",IF(AF1152&gt;=pub_gid_0_single_true_output_csv[[#This Row],[KKM]],"Cukup","Kurang"))))</f>
        <v>Cukup</v>
      </c>
      <c r="AH1152">
        <f t="shared" si="52"/>
        <v>11</v>
      </c>
      <c r="AI1152" s="30" t="str">
        <f>IF(OR(J1152&lt;&gt;"Karakter",pub_gid_0_single_true_output_csv[[#This Row],[Nilai2]]=""),"",IF(AF1152&gt;89,"Sangat baik",IF(AF1152&gt;79,"Baik",IF(AF1152&gt;69,"Cukup",IF(AF1152&gt;59,"Kurang","Sangat kurang")))))</f>
        <v>Cukup</v>
      </c>
      <c r="AJ1152" t="str">
        <f t="shared" si="53"/>
        <v>Wk.8</v>
      </c>
      <c r="AK1152" t="str">
        <f>IF(pub_gid_0_single_true_output_csv[[#This Row],[Nilai2]]="","",VLOOKUP(pub_gid_0_single_true_output_csv[[#This Row],[NAMA]],Table7[],3,FALSE))</f>
        <v>Superior</v>
      </c>
    </row>
    <row r="1153" spans="1:37" x14ac:dyDescent="0.2">
      <c r="A1153">
        <v>1152</v>
      </c>
      <c r="B1153" t="s">
        <v>291</v>
      </c>
      <c r="C1153" t="s">
        <v>54</v>
      </c>
      <c r="D1153" t="s">
        <v>43</v>
      </c>
      <c r="E1153" t="s">
        <v>146</v>
      </c>
      <c r="F1153" s="25">
        <v>46036</v>
      </c>
      <c r="G1153" t="s">
        <v>353</v>
      </c>
      <c r="H1153" t="s">
        <v>405</v>
      </c>
      <c r="I1153" t="s">
        <v>371</v>
      </c>
      <c r="J1153" t="s">
        <v>36</v>
      </c>
      <c r="K1153" t="s">
        <v>37</v>
      </c>
      <c r="L1153" t="s">
        <v>351</v>
      </c>
      <c r="M1153" t="s">
        <v>141</v>
      </c>
      <c r="N1153" t="s">
        <v>142</v>
      </c>
      <c r="O1153" t="s">
        <v>155</v>
      </c>
      <c r="P1153" t="s">
        <v>281</v>
      </c>
      <c r="Q1153" t="s">
        <v>155</v>
      </c>
      <c r="R1153" t="s">
        <v>302</v>
      </c>
      <c r="S1153" t="s">
        <v>309</v>
      </c>
      <c r="T1153">
        <v>1</v>
      </c>
      <c r="U1153" t="s">
        <v>435</v>
      </c>
      <c r="V1153" t="s">
        <v>285</v>
      </c>
      <c r="W1153" t="s">
        <v>436</v>
      </c>
      <c r="X1153" t="s">
        <v>306</v>
      </c>
      <c r="Y1153" t="s">
        <v>307</v>
      </c>
      <c r="Z1153">
        <v>65</v>
      </c>
      <c r="AA1153">
        <v>80</v>
      </c>
      <c r="AB1153" t="s">
        <v>143</v>
      </c>
      <c r="AC1153" t="s">
        <v>53</v>
      </c>
      <c r="AD1153" t="s">
        <v>404</v>
      </c>
      <c r="AE1153" t="str">
        <f>IF(AF1153="","",VLOOKUP(AC1153,mapel!$A$2:$B$42,2,FALSE))</f>
        <v>Sejarah</v>
      </c>
      <c r="AF1153">
        <f t="shared" si="51"/>
        <v>80</v>
      </c>
      <c r="AG1153" t="str">
        <f>IF(AF1153="","",IF(AF1153&gt;90,"Sangat baik",IF(AF1153&gt;79,"Baik",IF(AF1153&gt;=pub_gid_0_single_true_output_csv[[#This Row],[KKM]],"Cukup","Kurang"))))</f>
        <v>Baik</v>
      </c>
      <c r="AH1153">
        <f t="shared" si="52"/>
        <v>11</v>
      </c>
      <c r="AI1153" s="30" t="str">
        <f>IF(OR(J1153&lt;&gt;"Karakter",pub_gid_0_single_true_output_csv[[#This Row],[Nilai2]]=""),"",IF(AF1153&gt;89,"Sangat baik",IF(AF1153&gt;79,"Baik",IF(AF1153&gt;69,"Cukup",IF(AF1153&gt;59,"Kurang","Sangat kurang")))))</f>
        <v/>
      </c>
      <c r="AJ1153" t="str">
        <f t="shared" si="53"/>
        <v>Wk.3</v>
      </c>
      <c r="AK1153" t="str">
        <f>IF(pub_gid_0_single_true_output_csv[[#This Row],[Nilai2]]="","",VLOOKUP(pub_gid_0_single_true_output_csv[[#This Row],[NAMA]],Table7[],3,FALSE))</f>
        <v>High average</v>
      </c>
    </row>
    <row r="1154" spans="1:37" x14ac:dyDescent="0.2">
      <c r="A1154">
        <v>1153</v>
      </c>
      <c r="B1154" t="s">
        <v>291</v>
      </c>
      <c r="C1154" t="s">
        <v>54</v>
      </c>
      <c r="D1154" t="s">
        <v>43</v>
      </c>
      <c r="E1154" t="s">
        <v>146</v>
      </c>
      <c r="F1154" s="25">
        <v>46036</v>
      </c>
      <c r="G1154" t="s">
        <v>353</v>
      </c>
      <c r="H1154" t="s">
        <v>405</v>
      </c>
      <c r="I1154" t="s">
        <v>371</v>
      </c>
      <c r="J1154" t="s">
        <v>31</v>
      </c>
      <c r="K1154" t="s">
        <v>32</v>
      </c>
      <c r="L1154" t="s">
        <v>351</v>
      </c>
      <c r="M1154" t="s">
        <v>141</v>
      </c>
      <c r="N1154" t="s">
        <v>142</v>
      </c>
      <c r="O1154" t="s">
        <v>155</v>
      </c>
      <c r="P1154" t="s">
        <v>281</v>
      </c>
      <c r="Q1154" t="s">
        <v>155</v>
      </c>
      <c r="R1154" t="s">
        <v>302</v>
      </c>
      <c r="S1154" t="s">
        <v>309</v>
      </c>
      <c r="T1154">
        <v>1</v>
      </c>
      <c r="U1154" t="s">
        <v>435</v>
      </c>
      <c r="V1154" t="s">
        <v>285</v>
      </c>
      <c r="W1154" t="s">
        <v>436</v>
      </c>
      <c r="X1154" t="s">
        <v>306</v>
      </c>
      <c r="Y1154" t="s">
        <v>307</v>
      </c>
      <c r="Z1154">
        <v>65</v>
      </c>
      <c r="AA1154">
        <v>75</v>
      </c>
      <c r="AB1154" t="s">
        <v>143</v>
      </c>
      <c r="AC1154" t="s">
        <v>53</v>
      </c>
      <c r="AD1154" t="s">
        <v>404</v>
      </c>
      <c r="AE1154" t="str">
        <f>IF(AF1154="","",VLOOKUP(AC1154,mapel!$A$2:$B$42,2,FALSE))</f>
        <v>Sejarah</v>
      </c>
      <c r="AF1154">
        <f t="shared" ref="AF1154:AF1217" si="54">IF(AA1154=0, "",IF(AA1154 = 0.1, 0,AA1154))</f>
        <v>75</v>
      </c>
      <c r="AG1154" t="str">
        <f>IF(AF1154="","",IF(AF1154&gt;90,"Sangat baik",IF(AF1154&gt;79,"Baik",IF(AF1154&gt;=pub_gid_0_single_true_output_csv[[#This Row],[KKM]],"Cukup","Kurang"))))</f>
        <v>Cukup</v>
      </c>
      <c r="AH1154">
        <f t="shared" ref="AH1154:AH1217" si="55">IF(AG1154="","",VALUE(RIGHT(X1154,2)))</f>
        <v>11</v>
      </c>
      <c r="AI1154" s="30" t="str">
        <f>IF(OR(J1154&lt;&gt;"Karakter",pub_gid_0_single_true_output_csv[[#This Row],[Nilai2]]=""),"",IF(AF1154&gt;89,"Sangat baik",IF(AF1154&gt;79,"Baik",IF(AF1154&gt;69,"Cukup",IF(AF1154&gt;59,"Kurang","Sangat kurang")))))</f>
        <v/>
      </c>
      <c r="AJ1154" t="str">
        <f t="shared" ref="AJ1154:AJ1217" si="56">IF(AF1154="","",CONCATENATE("Wk.",WEEKNUM(F1154,2)))</f>
        <v>Wk.3</v>
      </c>
      <c r="AK1154" t="str">
        <f>IF(pub_gid_0_single_true_output_csv[[#This Row],[Nilai2]]="","",VLOOKUP(pub_gid_0_single_true_output_csv[[#This Row],[NAMA]],Table7[],3,FALSE))</f>
        <v>High average</v>
      </c>
    </row>
    <row r="1155" spans="1:37" x14ac:dyDescent="0.2">
      <c r="A1155">
        <v>1154</v>
      </c>
      <c r="B1155" t="s">
        <v>291</v>
      </c>
      <c r="C1155" t="s">
        <v>54</v>
      </c>
      <c r="D1155" t="s">
        <v>43</v>
      </c>
      <c r="E1155" t="s">
        <v>146</v>
      </c>
      <c r="F1155" s="25">
        <v>46036</v>
      </c>
      <c r="G1155" t="s">
        <v>353</v>
      </c>
      <c r="H1155" t="s">
        <v>405</v>
      </c>
      <c r="I1155" t="s">
        <v>371</v>
      </c>
      <c r="J1155" t="s">
        <v>90</v>
      </c>
      <c r="K1155" t="s">
        <v>92</v>
      </c>
      <c r="L1155" t="s">
        <v>91</v>
      </c>
      <c r="M1155" t="s">
        <v>141</v>
      </c>
      <c r="N1155" t="s">
        <v>142</v>
      </c>
      <c r="O1155" t="s">
        <v>155</v>
      </c>
      <c r="P1155" t="s">
        <v>281</v>
      </c>
      <c r="Q1155" t="s">
        <v>155</v>
      </c>
      <c r="R1155" t="s">
        <v>302</v>
      </c>
      <c r="S1155" t="s">
        <v>309</v>
      </c>
      <c r="T1155">
        <v>1</v>
      </c>
      <c r="U1155" t="s">
        <v>435</v>
      </c>
      <c r="V1155" t="s">
        <v>285</v>
      </c>
      <c r="W1155" t="s">
        <v>436</v>
      </c>
      <c r="X1155" t="s">
        <v>306</v>
      </c>
      <c r="Y1155" t="s">
        <v>307</v>
      </c>
      <c r="Z1155">
        <v>65</v>
      </c>
      <c r="AA1155">
        <v>95</v>
      </c>
      <c r="AB1155" t="s">
        <v>143</v>
      </c>
      <c r="AC1155" t="s">
        <v>53</v>
      </c>
      <c r="AD1155" t="s">
        <v>404</v>
      </c>
      <c r="AE1155" t="str">
        <f>IF(AF1155="","",VLOOKUP(AC1155,mapel!$A$2:$B$42,2,FALSE))</f>
        <v>Sejarah</v>
      </c>
      <c r="AF1155">
        <f t="shared" si="54"/>
        <v>95</v>
      </c>
      <c r="AG1155" t="str">
        <f>IF(AF1155="","",IF(AF1155&gt;90,"Sangat baik",IF(AF1155&gt;79,"Baik",IF(AF1155&gt;=pub_gid_0_single_true_output_csv[[#This Row],[KKM]],"Cukup","Kurang"))))</f>
        <v>Sangat baik</v>
      </c>
      <c r="AH1155">
        <f t="shared" si="55"/>
        <v>11</v>
      </c>
      <c r="AI1155" s="30" t="str">
        <f>IF(OR(J1155&lt;&gt;"Karakter",pub_gid_0_single_true_output_csv[[#This Row],[Nilai2]]=""),"",IF(AF1155&gt;89,"Sangat baik",IF(AF1155&gt;79,"Baik",IF(AF1155&gt;69,"Cukup",IF(AF1155&gt;59,"Kurang","Sangat kurang")))))</f>
        <v>Sangat baik</v>
      </c>
      <c r="AJ1155" t="str">
        <f t="shared" si="56"/>
        <v>Wk.3</v>
      </c>
      <c r="AK1155" t="str">
        <f>IF(pub_gid_0_single_true_output_csv[[#This Row],[Nilai2]]="","",VLOOKUP(pub_gid_0_single_true_output_csv[[#This Row],[NAMA]],Table7[],3,FALSE))</f>
        <v>High average</v>
      </c>
    </row>
    <row r="1156" spans="1:37" x14ac:dyDescent="0.2">
      <c r="A1156">
        <v>1155</v>
      </c>
      <c r="B1156" t="s">
        <v>291</v>
      </c>
      <c r="C1156" t="s">
        <v>54</v>
      </c>
      <c r="D1156" t="s">
        <v>43</v>
      </c>
      <c r="E1156" t="s">
        <v>146</v>
      </c>
      <c r="F1156" s="25">
        <v>46036</v>
      </c>
      <c r="G1156" t="s">
        <v>353</v>
      </c>
      <c r="H1156" t="s">
        <v>405</v>
      </c>
      <c r="I1156" t="s">
        <v>371</v>
      </c>
      <c r="J1156" t="s">
        <v>279</v>
      </c>
      <c r="K1156" t="s">
        <v>280</v>
      </c>
      <c r="L1156" t="s">
        <v>322</v>
      </c>
      <c r="M1156" t="s">
        <v>141</v>
      </c>
      <c r="N1156" t="s">
        <v>142</v>
      </c>
      <c r="O1156" t="s">
        <v>155</v>
      </c>
      <c r="P1156" t="s">
        <v>281</v>
      </c>
      <c r="Q1156" t="s">
        <v>155</v>
      </c>
      <c r="R1156" t="s">
        <v>302</v>
      </c>
      <c r="S1156" t="s">
        <v>309</v>
      </c>
      <c r="T1156">
        <v>1</v>
      </c>
      <c r="U1156" t="s">
        <v>435</v>
      </c>
      <c r="V1156" t="s">
        <v>285</v>
      </c>
      <c r="W1156" t="s">
        <v>436</v>
      </c>
      <c r="X1156" t="s">
        <v>306</v>
      </c>
      <c r="Y1156" t="s">
        <v>307</v>
      </c>
      <c r="Z1156">
        <v>65</v>
      </c>
      <c r="AA1156">
        <v>70</v>
      </c>
      <c r="AB1156" t="s">
        <v>143</v>
      </c>
      <c r="AC1156" t="s">
        <v>53</v>
      </c>
      <c r="AD1156" t="s">
        <v>404</v>
      </c>
      <c r="AE1156" t="str">
        <f>IF(AF1156="","",VLOOKUP(AC1156,mapel!$A$2:$B$42,2,FALSE))</f>
        <v>Sejarah</v>
      </c>
      <c r="AF1156">
        <f t="shared" si="54"/>
        <v>70</v>
      </c>
      <c r="AG1156" t="str">
        <f>IF(AF1156="","",IF(AF1156&gt;90,"Sangat baik",IF(AF1156&gt;79,"Baik",IF(AF1156&gt;=pub_gid_0_single_true_output_csv[[#This Row],[KKM]],"Cukup","Kurang"))))</f>
        <v>Cukup</v>
      </c>
      <c r="AH1156">
        <f t="shared" si="55"/>
        <v>11</v>
      </c>
      <c r="AI1156" s="30" t="str">
        <f>IF(OR(J1156&lt;&gt;"Karakter",pub_gid_0_single_true_output_csv[[#This Row],[Nilai2]]=""),"",IF(AF1156&gt;89,"Sangat baik",IF(AF1156&gt;79,"Baik",IF(AF1156&gt;69,"Cukup",IF(AF1156&gt;59,"Kurang","Sangat kurang")))))</f>
        <v/>
      </c>
      <c r="AJ1156" t="str">
        <f t="shared" si="56"/>
        <v>Wk.3</v>
      </c>
      <c r="AK1156" t="str">
        <f>IF(pub_gid_0_single_true_output_csv[[#This Row],[Nilai2]]="","",VLOOKUP(pub_gid_0_single_true_output_csv[[#This Row],[NAMA]],Table7[],3,FALSE))</f>
        <v>High average</v>
      </c>
    </row>
    <row r="1157" spans="1:37" x14ac:dyDescent="0.2">
      <c r="A1157">
        <v>1156</v>
      </c>
      <c r="B1157" t="s">
        <v>291</v>
      </c>
      <c r="C1157" t="s">
        <v>54</v>
      </c>
      <c r="D1157" t="s">
        <v>43</v>
      </c>
      <c r="E1157" t="s">
        <v>146</v>
      </c>
      <c r="F1157" s="25">
        <v>46043</v>
      </c>
      <c r="G1157" t="s">
        <v>341</v>
      </c>
      <c r="H1157" t="s">
        <v>405</v>
      </c>
      <c r="I1157" t="s">
        <v>371</v>
      </c>
      <c r="J1157" t="s">
        <v>36</v>
      </c>
      <c r="K1157" t="s">
        <v>37</v>
      </c>
      <c r="L1157" t="s">
        <v>351</v>
      </c>
      <c r="M1157" t="s">
        <v>141</v>
      </c>
      <c r="N1157" t="s">
        <v>142</v>
      </c>
      <c r="O1157" t="s">
        <v>155</v>
      </c>
      <c r="P1157" t="s">
        <v>281</v>
      </c>
      <c r="Q1157" t="s">
        <v>155</v>
      </c>
      <c r="R1157" t="s">
        <v>302</v>
      </c>
      <c r="S1157" t="s">
        <v>309</v>
      </c>
      <c r="T1157">
        <v>1</v>
      </c>
      <c r="U1157" t="s">
        <v>435</v>
      </c>
      <c r="V1157" t="s">
        <v>285</v>
      </c>
      <c r="W1157" t="s">
        <v>436</v>
      </c>
      <c r="X1157" t="s">
        <v>306</v>
      </c>
      <c r="Y1157" t="s">
        <v>307</v>
      </c>
      <c r="Z1157">
        <v>65</v>
      </c>
      <c r="AA1157">
        <v>75</v>
      </c>
      <c r="AB1157" t="s">
        <v>143</v>
      </c>
      <c r="AC1157" t="s">
        <v>53</v>
      </c>
      <c r="AD1157" t="s">
        <v>404</v>
      </c>
      <c r="AE1157" t="str">
        <f>IF(AF1157="","",VLOOKUP(AC1157,mapel!$A$2:$B$42,2,FALSE))</f>
        <v>Sejarah</v>
      </c>
      <c r="AF1157">
        <f t="shared" si="54"/>
        <v>75</v>
      </c>
      <c r="AG1157" t="str">
        <f>IF(AF1157="","",IF(AF1157&gt;90,"Sangat baik",IF(AF1157&gt;79,"Baik",IF(AF1157&gt;=pub_gid_0_single_true_output_csv[[#This Row],[KKM]],"Cukup","Kurang"))))</f>
        <v>Cukup</v>
      </c>
      <c r="AH1157">
        <f t="shared" si="55"/>
        <v>11</v>
      </c>
      <c r="AI1157" s="30" t="str">
        <f>IF(OR(J1157&lt;&gt;"Karakter",pub_gid_0_single_true_output_csv[[#This Row],[Nilai2]]=""),"",IF(AF1157&gt;89,"Sangat baik",IF(AF1157&gt;79,"Baik",IF(AF1157&gt;69,"Cukup",IF(AF1157&gt;59,"Kurang","Sangat kurang")))))</f>
        <v/>
      </c>
      <c r="AJ1157" t="str">
        <f t="shared" si="56"/>
        <v>Wk.4</v>
      </c>
      <c r="AK1157" t="str">
        <f>IF(pub_gid_0_single_true_output_csv[[#This Row],[Nilai2]]="","",VLOOKUP(pub_gid_0_single_true_output_csv[[#This Row],[NAMA]],Table7[],3,FALSE))</f>
        <v>High average</v>
      </c>
    </row>
    <row r="1158" spans="1:37" x14ac:dyDescent="0.2">
      <c r="A1158">
        <v>1157</v>
      </c>
      <c r="B1158" t="s">
        <v>291</v>
      </c>
      <c r="C1158" t="s">
        <v>54</v>
      </c>
      <c r="D1158" t="s">
        <v>43</v>
      </c>
      <c r="E1158" t="s">
        <v>146</v>
      </c>
      <c r="F1158" s="25">
        <v>46043</v>
      </c>
      <c r="G1158" t="s">
        <v>341</v>
      </c>
      <c r="H1158" t="s">
        <v>405</v>
      </c>
      <c r="I1158" t="s">
        <v>371</v>
      </c>
      <c r="J1158" t="s">
        <v>31</v>
      </c>
      <c r="K1158" t="s">
        <v>96</v>
      </c>
      <c r="L1158" t="s">
        <v>322</v>
      </c>
      <c r="M1158" t="s">
        <v>141</v>
      </c>
      <c r="N1158" t="s">
        <v>142</v>
      </c>
      <c r="O1158" t="s">
        <v>155</v>
      </c>
      <c r="P1158" t="s">
        <v>281</v>
      </c>
      <c r="Q1158" t="s">
        <v>155</v>
      </c>
      <c r="R1158" t="s">
        <v>302</v>
      </c>
      <c r="S1158" t="s">
        <v>309</v>
      </c>
      <c r="T1158">
        <v>1</v>
      </c>
      <c r="U1158" t="s">
        <v>435</v>
      </c>
      <c r="V1158" t="s">
        <v>285</v>
      </c>
      <c r="W1158" t="s">
        <v>436</v>
      </c>
      <c r="X1158" t="s">
        <v>306</v>
      </c>
      <c r="Y1158" t="s">
        <v>307</v>
      </c>
      <c r="Z1158">
        <v>65</v>
      </c>
      <c r="AA1158">
        <v>70</v>
      </c>
      <c r="AB1158" t="s">
        <v>143</v>
      </c>
      <c r="AC1158" t="s">
        <v>53</v>
      </c>
      <c r="AD1158" t="s">
        <v>404</v>
      </c>
      <c r="AE1158" t="str">
        <f>IF(AF1158="","",VLOOKUP(AC1158,mapel!$A$2:$B$42,2,FALSE))</f>
        <v>Sejarah</v>
      </c>
      <c r="AF1158">
        <f t="shared" si="54"/>
        <v>70</v>
      </c>
      <c r="AG1158" t="str">
        <f>IF(AF1158="","",IF(AF1158&gt;90,"Sangat baik",IF(AF1158&gt;79,"Baik",IF(AF1158&gt;=pub_gid_0_single_true_output_csv[[#This Row],[KKM]],"Cukup","Kurang"))))</f>
        <v>Cukup</v>
      </c>
      <c r="AH1158">
        <f t="shared" si="55"/>
        <v>11</v>
      </c>
      <c r="AI1158" s="30" t="str">
        <f>IF(OR(J1158&lt;&gt;"Karakter",pub_gid_0_single_true_output_csv[[#This Row],[Nilai2]]=""),"",IF(AF1158&gt;89,"Sangat baik",IF(AF1158&gt;79,"Baik",IF(AF1158&gt;69,"Cukup",IF(AF1158&gt;59,"Kurang","Sangat kurang")))))</f>
        <v/>
      </c>
      <c r="AJ1158" t="str">
        <f t="shared" si="56"/>
        <v>Wk.4</v>
      </c>
      <c r="AK1158" t="str">
        <f>IF(pub_gid_0_single_true_output_csv[[#This Row],[Nilai2]]="","",VLOOKUP(pub_gid_0_single_true_output_csv[[#This Row],[NAMA]],Table7[],3,FALSE))</f>
        <v>High average</v>
      </c>
    </row>
    <row r="1159" spans="1:37" x14ac:dyDescent="0.2">
      <c r="A1159">
        <v>1158</v>
      </c>
      <c r="B1159" t="s">
        <v>291</v>
      </c>
      <c r="C1159" t="s">
        <v>54</v>
      </c>
      <c r="D1159" t="s">
        <v>43</v>
      </c>
      <c r="E1159" t="s">
        <v>146</v>
      </c>
      <c r="F1159" s="25">
        <v>46043</v>
      </c>
      <c r="G1159" t="s">
        <v>341</v>
      </c>
      <c r="H1159" t="s">
        <v>405</v>
      </c>
      <c r="I1159" t="s">
        <v>371</v>
      </c>
      <c r="J1159" t="s">
        <v>90</v>
      </c>
      <c r="K1159" t="s">
        <v>92</v>
      </c>
      <c r="L1159" t="s">
        <v>93</v>
      </c>
      <c r="M1159" t="s">
        <v>141</v>
      </c>
      <c r="N1159" t="s">
        <v>142</v>
      </c>
      <c r="O1159" t="s">
        <v>155</v>
      </c>
      <c r="P1159" t="s">
        <v>281</v>
      </c>
      <c r="Q1159" t="s">
        <v>155</v>
      </c>
      <c r="R1159" t="s">
        <v>302</v>
      </c>
      <c r="S1159" t="s">
        <v>309</v>
      </c>
      <c r="T1159">
        <v>1</v>
      </c>
      <c r="U1159" t="s">
        <v>435</v>
      </c>
      <c r="V1159" t="s">
        <v>285</v>
      </c>
      <c r="W1159" t="s">
        <v>436</v>
      </c>
      <c r="X1159" t="s">
        <v>306</v>
      </c>
      <c r="Y1159" t="s">
        <v>307</v>
      </c>
      <c r="Z1159">
        <v>65</v>
      </c>
      <c r="AA1159">
        <v>80</v>
      </c>
      <c r="AB1159" t="s">
        <v>143</v>
      </c>
      <c r="AC1159" t="s">
        <v>53</v>
      </c>
      <c r="AD1159" t="s">
        <v>404</v>
      </c>
      <c r="AE1159" t="str">
        <f>IF(AF1159="","",VLOOKUP(AC1159,mapel!$A$2:$B$42,2,FALSE))</f>
        <v>Sejarah</v>
      </c>
      <c r="AF1159">
        <f t="shared" si="54"/>
        <v>80</v>
      </c>
      <c r="AG1159" t="str">
        <f>IF(AF1159="","",IF(AF1159&gt;90,"Sangat baik",IF(AF1159&gt;79,"Baik",IF(AF1159&gt;=pub_gid_0_single_true_output_csv[[#This Row],[KKM]],"Cukup","Kurang"))))</f>
        <v>Baik</v>
      </c>
      <c r="AH1159">
        <f t="shared" si="55"/>
        <v>11</v>
      </c>
      <c r="AI1159" s="30" t="str">
        <f>IF(OR(J1159&lt;&gt;"Karakter",pub_gid_0_single_true_output_csv[[#This Row],[Nilai2]]=""),"",IF(AF1159&gt;89,"Sangat baik",IF(AF1159&gt;79,"Baik",IF(AF1159&gt;69,"Cukup",IF(AF1159&gt;59,"Kurang","Sangat kurang")))))</f>
        <v>Baik</v>
      </c>
      <c r="AJ1159" t="str">
        <f t="shared" si="56"/>
        <v>Wk.4</v>
      </c>
      <c r="AK1159" t="str">
        <f>IF(pub_gid_0_single_true_output_csv[[#This Row],[Nilai2]]="","",VLOOKUP(pub_gid_0_single_true_output_csv[[#This Row],[NAMA]],Table7[],3,FALSE))</f>
        <v>High average</v>
      </c>
    </row>
    <row r="1160" spans="1:37" x14ac:dyDescent="0.2">
      <c r="A1160">
        <v>1159</v>
      </c>
      <c r="B1160" t="s">
        <v>291</v>
      </c>
      <c r="C1160" t="s">
        <v>54</v>
      </c>
      <c r="D1160" t="s">
        <v>43</v>
      </c>
      <c r="E1160" t="s">
        <v>146</v>
      </c>
      <c r="F1160" s="25">
        <v>46043</v>
      </c>
      <c r="G1160" t="s">
        <v>341</v>
      </c>
      <c r="H1160" t="s">
        <v>405</v>
      </c>
      <c r="I1160" t="s">
        <v>371</v>
      </c>
      <c r="J1160" t="s">
        <v>279</v>
      </c>
      <c r="K1160" t="s">
        <v>280</v>
      </c>
      <c r="L1160" t="s">
        <v>322</v>
      </c>
      <c r="M1160" t="s">
        <v>141</v>
      </c>
      <c r="N1160" t="s">
        <v>142</v>
      </c>
      <c r="O1160" t="s">
        <v>155</v>
      </c>
      <c r="P1160" t="s">
        <v>281</v>
      </c>
      <c r="Q1160" t="s">
        <v>155</v>
      </c>
      <c r="R1160" t="s">
        <v>302</v>
      </c>
      <c r="S1160" t="s">
        <v>355</v>
      </c>
      <c r="T1160">
        <v>2</v>
      </c>
      <c r="U1160" t="s">
        <v>159</v>
      </c>
      <c r="V1160" t="s">
        <v>303</v>
      </c>
      <c r="W1160" t="s">
        <v>437</v>
      </c>
      <c r="X1160" t="s">
        <v>306</v>
      </c>
      <c r="Y1160" t="s">
        <v>307</v>
      </c>
      <c r="Z1160">
        <v>65</v>
      </c>
      <c r="AA1160">
        <v>70</v>
      </c>
      <c r="AB1160" t="s">
        <v>143</v>
      </c>
      <c r="AC1160" t="s">
        <v>53</v>
      </c>
      <c r="AD1160" t="s">
        <v>404</v>
      </c>
      <c r="AE1160" t="str">
        <f>IF(AF1160="","",VLOOKUP(AC1160,mapel!$A$2:$B$42,2,FALSE))</f>
        <v>Sejarah</v>
      </c>
      <c r="AF1160">
        <f t="shared" si="54"/>
        <v>70</v>
      </c>
      <c r="AG1160" t="str">
        <f>IF(AF1160="","",IF(AF1160&gt;90,"Sangat baik",IF(AF1160&gt;79,"Baik",IF(AF1160&gt;=pub_gid_0_single_true_output_csv[[#This Row],[KKM]],"Cukup","Kurang"))))</f>
        <v>Cukup</v>
      </c>
      <c r="AH1160">
        <f t="shared" si="55"/>
        <v>11</v>
      </c>
      <c r="AI1160" s="30" t="str">
        <f>IF(OR(J1160&lt;&gt;"Karakter",pub_gid_0_single_true_output_csv[[#This Row],[Nilai2]]=""),"",IF(AF1160&gt;89,"Sangat baik",IF(AF1160&gt;79,"Baik",IF(AF1160&gt;69,"Cukup",IF(AF1160&gt;59,"Kurang","Sangat kurang")))))</f>
        <v/>
      </c>
      <c r="AJ1160" t="str">
        <f t="shared" si="56"/>
        <v>Wk.4</v>
      </c>
      <c r="AK1160" t="str">
        <f>IF(pub_gid_0_single_true_output_csv[[#This Row],[Nilai2]]="","",VLOOKUP(pub_gid_0_single_true_output_csv[[#This Row],[NAMA]],Table7[],3,FALSE))</f>
        <v>High average</v>
      </c>
    </row>
    <row r="1161" spans="1:37" x14ac:dyDescent="0.2">
      <c r="A1161">
        <v>1160</v>
      </c>
      <c r="B1161" t="s">
        <v>291</v>
      </c>
      <c r="C1161" t="s">
        <v>54</v>
      </c>
      <c r="D1161" t="s">
        <v>43</v>
      </c>
      <c r="E1161" t="s">
        <v>146</v>
      </c>
      <c r="F1161" s="25">
        <v>46050</v>
      </c>
      <c r="G1161" t="s">
        <v>308</v>
      </c>
      <c r="H1161" t="s">
        <v>405</v>
      </c>
      <c r="I1161" t="s">
        <v>371</v>
      </c>
      <c r="J1161" t="s">
        <v>36</v>
      </c>
      <c r="K1161" t="s">
        <v>37</v>
      </c>
      <c r="L1161" t="s">
        <v>351</v>
      </c>
      <c r="M1161" t="s">
        <v>141</v>
      </c>
      <c r="N1161" t="s">
        <v>142</v>
      </c>
      <c r="O1161" t="s">
        <v>155</v>
      </c>
      <c r="P1161" t="s">
        <v>281</v>
      </c>
      <c r="Q1161" t="s">
        <v>155</v>
      </c>
      <c r="R1161" t="s">
        <v>302</v>
      </c>
      <c r="S1161" t="s">
        <v>355</v>
      </c>
      <c r="T1161">
        <v>2</v>
      </c>
      <c r="U1161" t="s">
        <v>159</v>
      </c>
      <c r="V1161" t="s">
        <v>303</v>
      </c>
      <c r="W1161" t="s">
        <v>437</v>
      </c>
      <c r="X1161" t="s">
        <v>306</v>
      </c>
      <c r="Y1161" t="s">
        <v>307</v>
      </c>
      <c r="Z1161">
        <v>65</v>
      </c>
      <c r="AA1161">
        <v>80</v>
      </c>
      <c r="AB1161" t="s">
        <v>143</v>
      </c>
      <c r="AC1161" t="s">
        <v>53</v>
      </c>
      <c r="AD1161" t="s">
        <v>404</v>
      </c>
      <c r="AE1161" t="str">
        <f>IF(AF1161="","",VLOOKUP(AC1161,mapel!$A$2:$B$42,2,FALSE))</f>
        <v>Sejarah</v>
      </c>
      <c r="AF1161">
        <f t="shared" si="54"/>
        <v>80</v>
      </c>
      <c r="AG1161" t="str">
        <f>IF(AF1161="","",IF(AF1161&gt;90,"Sangat baik",IF(AF1161&gt;79,"Baik",IF(AF1161&gt;=pub_gid_0_single_true_output_csv[[#This Row],[KKM]],"Cukup","Kurang"))))</f>
        <v>Baik</v>
      </c>
      <c r="AH1161">
        <f t="shared" si="55"/>
        <v>11</v>
      </c>
      <c r="AI1161" s="30" t="str">
        <f>IF(OR(J1161&lt;&gt;"Karakter",pub_gid_0_single_true_output_csv[[#This Row],[Nilai2]]=""),"",IF(AF1161&gt;89,"Sangat baik",IF(AF1161&gt;79,"Baik",IF(AF1161&gt;69,"Cukup",IF(AF1161&gt;59,"Kurang","Sangat kurang")))))</f>
        <v/>
      </c>
      <c r="AJ1161" t="str">
        <f t="shared" si="56"/>
        <v>Wk.5</v>
      </c>
      <c r="AK1161" t="str">
        <f>IF(pub_gid_0_single_true_output_csv[[#This Row],[Nilai2]]="","",VLOOKUP(pub_gid_0_single_true_output_csv[[#This Row],[NAMA]],Table7[],3,FALSE))</f>
        <v>High average</v>
      </c>
    </row>
    <row r="1162" spans="1:37" x14ac:dyDescent="0.2">
      <c r="A1162">
        <v>1161</v>
      </c>
      <c r="B1162" t="s">
        <v>291</v>
      </c>
      <c r="C1162" t="s">
        <v>54</v>
      </c>
      <c r="D1162" t="s">
        <v>43</v>
      </c>
      <c r="E1162" t="s">
        <v>146</v>
      </c>
      <c r="F1162" s="25">
        <v>46050</v>
      </c>
      <c r="G1162" t="s">
        <v>308</v>
      </c>
      <c r="H1162" t="s">
        <v>405</v>
      </c>
      <c r="I1162" t="s">
        <v>371</v>
      </c>
      <c r="J1162" t="s">
        <v>31</v>
      </c>
      <c r="K1162" t="s">
        <v>96</v>
      </c>
      <c r="L1162" t="s">
        <v>351</v>
      </c>
      <c r="M1162" t="s">
        <v>141</v>
      </c>
      <c r="N1162" t="s">
        <v>142</v>
      </c>
      <c r="O1162" t="s">
        <v>155</v>
      </c>
      <c r="P1162" t="s">
        <v>281</v>
      </c>
      <c r="Q1162" t="s">
        <v>155</v>
      </c>
      <c r="R1162" t="s">
        <v>302</v>
      </c>
      <c r="S1162" t="s">
        <v>355</v>
      </c>
      <c r="T1162">
        <v>2</v>
      </c>
      <c r="U1162" t="s">
        <v>159</v>
      </c>
      <c r="V1162" t="s">
        <v>303</v>
      </c>
      <c r="W1162" t="s">
        <v>437</v>
      </c>
      <c r="X1162" t="s">
        <v>306</v>
      </c>
      <c r="Y1162" t="s">
        <v>307</v>
      </c>
      <c r="Z1162">
        <v>65</v>
      </c>
      <c r="AA1162">
        <v>75</v>
      </c>
      <c r="AB1162" t="s">
        <v>143</v>
      </c>
      <c r="AC1162" t="s">
        <v>53</v>
      </c>
      <c r="AD1162" t="s">
        <v>404</v>
      </c>
      <c r="AE1162" t="str">
        <f>IF(AF1162="","",VLOOKUP(AC1162,mapel!$A$2:$B$42,2,FALSE))</f>
        <v>Sejarah</v>
      </c>
      <c r="AF1162">
        <f t="shared" si="54"/>
        <v>75</v>
      </c>
      <c r="AG1162" t="str">
        <f>IF(AF1162="","",IF(AF1162&gt;90,"Sangat baik",IF(AF1162&gt;79,"Baik",IF(AF1162&gt;=pub_gid_0_single_true_output_csv[[#This Row],[KKM]],"Cukup","Kurang"))))</f>
        <v>Cukup</v>
      </c>
      <c r="AH1162">
        <f t="shared" si="55"/>
        <v>11</v>
      </c>
      <c r="AI1162" s="30" t="str">
        <f>IF(OR(J1162&lt;&gt;"Karakter",pub_gid_0_single_true_output_csv[[#This Row],[Nilai2]]=""),"",IF(AF1162&gt;89,"Sangat baik",IF(AF1162&gt;79,"Baik",IF(AF1162&gt;69,"Cukup",IF(AF1162&gt;59,"Kurang","Sangat kurang")))))</f>
        <v/>
      </c>
      <c r="AJ1162" t="str">
        <f t="shared" si="56"/>
        <v>Wk.5</v>
      </c>
      <c r="AK1162" t="str">
        <f>IF(pub_gid_0_single_true_output_csv[[#This Row],[Nilai2]]="","",VLOOKUP(pub_gid_0_single_true_output_csv[[#This Row],[NAMA]],Table7[],3,FALSE))</f>
        <v>High average</v>
      </c>
    </row>
    <row r="1163" spans="1:37" x14ac:dyDescent="0.2">
      <c r="A1163">
        <v>1162</v>
      </c>
      <c r="B1163" t="s">
        <v>291</v>
      </c>
      <c r="C1163" t="s">
        <v>54</v>
      </c>
      <c r="D1163" t="s">
        <v>43</v>
      </c>
      <c r="E1163" t="s">
        <v>146</v>
      </c>
      <c r="F1163" s="25">
        <v>46050</v>
      </c>
      <c r="G1163" t="s">
        <v>308</v>
      </c>
      <c r="H1163" t="s">
        <v>405</v>
      </c>
      <c r="I1163" t="s">
        <v>371</v>
      </c>
      <c r="J1163" t="s">
        <v>90</v>
      </c>
      <c r="K1163" t="s">
        <v>92</v>
      </c>
      <c r="L1163" t="s">
        <v>91</v>
      </c>
      <c r="M1163" t="s">
        <v>141</v>
      </c>
      <c r="N1163" t="s">
        <v>142</v>
      </c>
      <c r="O1163" t="s">
        <v>155</v>
      </c>
      <c r="P1163" t="s">
        <v>281</v>
      </c>
      <c r="Q1163" t="s">
        <v>155</v>
      </c>
      <c r="R1163" t="s">
        <v>302</v>
      </c>
      <c r="S1163" t="s">
        <v>355</v>
      </c>
      <c r="T1163">
        <v>2</v>
      </c>
      <c r="U1163" t="s">
        <v>159</v>
      </c>
      <c r="V1163" t="s">
        <v>303</v>
      </c>
      <c r="W1163" t="s">
        <v>437</v>
      </c>
      <c r="X1163" t="s">
        <v>306</v>
      </c>
      <c r="Y1163" t="s">
        <v>307</v>
      </c>
      <c r="Z1163">
        <v>65</v>
      </c>
      <c r="AA1163">
        <v>80</v>
      </c>
      <c r="AB1163" t="s">
        <v>143</v>
      </c>
      <c r="AC1163" t="s">
        <v>53</v>
      </c>
      <c r="AD1163" t="s">
        <v>404</v>
      </c>
      <c r="AE1163" t="str">
        <f>IF(AF1163="","",VLOOKUP(AC1163,mapel!$A$2:$B$42,2,FALSE))</f>
        <v>Sejarah</v>
      </c>
      <c r="AF1163">
        <f t="shared" si="54"/>
        <v>80</v>
      </c>
      <c r="AG1163" t="str">
        <f>IF(AF1163="","",IF(AF1163&gt;90,"Sangat baik",IF(AF1163&gt;79,"Baik",IF(AF1163&gt;=pub_gid_0_single_true_output_csv[[#This Row],[KKM]],"Cukup","Kurang"))))</f>
        <v>Baik</v>
      </c>
      <c r="AH1163">
        <f t="shared" si="55"/>
        <v>11</v>
      </c>
      <c r="AI1163" s="30" t="str">
        <f>IF(OR(J1163&lt;&gt;"Karakter",pub_gid_0_single_true_output_csv[[#This Row],[Nilai2]]=""),"",IF(AF1163&gt;89,"Sangat baik",IF(AF1163&gt;79,"Baik",IF(AF1163&gt;69,"Cukup",IF(AF1163&gt;59,"Kurang","Sangat kurang")))))</f>
        <v>Baik</v>
      </c>
      <c r="AJ1163" t="str">
        <f t="shared" si="56"/>
        <v>Wk.5</v>
      </c>
      <c r="AK1163" t="str">
        <f>IF(pub_gid_0_single_true_output_csv[[#This Row],[Nilai2]]="","",VLOOKUP(pub_gid_0_single_true_output_csv[[#This Row],[NAMA]],Table7[],3,FALSE))</f>
        <v>High average</v>
      </c>
    </row>
    <row r="1164" spans="1:37" x14ac:dyDescent="0.2">
      <c r="A1164">
        <v>1163</v>
      </c>
      <c r="B1164" t="s">
        <v>291</v>
      </c>
      <c r="C1164" t="s">
        <v>54</v>
      </c>
      <c r="D1164" t="s">
        <v>43</v>
      </c>
      <c r="E1164" t="s">
        <v>146</v>
      </c>
      <c r="F1164" s="25">
        <v>46050</v>
      </c>
      <c r="G1164" t="s">
        <v>308</v>
      </c>
      <c r="H1164" t="s">
        <v>405</v>
      </c>
      <c r="I1164" t="s">
        <v>371</v>
      </c>
      <c r="J1164" t="s">
        <v>279</v>
      </c>
      <c r="K1164" t="s">
        <v>280</v>
      </c>
      <c r="L1164" t="s">
        <v>322</v>
      </c>
      <c r="M1164" t="s">
        <v>141</v>
      </c>
      <c r="N1164" t="s">
        <v>142</v>
      </c>
      <c r="O1164" t="s">
        <v>155</v>
      </c>
      <c r="P1164" t="s">
        <v>281</v>
      </c>
      <c r="Q1164" t="s">
        <v>155</v>
      </c>
      <c r="R1164" t="s">
        <v>302</v>
      </c>
      <c r="S1164" t="s">
        <v>355</v>
      </c>
      <c r="T1164">
        <v>2</v>
      </c>
      <c r="U1164" t="s">
        <v>159</v>
      </c>
      <c r="V1164" t="s">
        <v>303</v>
      </c>
      <c r="W1164" t="s">
        <v>437</v>
      </c>
      <c r="X1164" t="s">
        <v>306</v>
      </c>
      <c r="Y1164" t="s">
        <v>307</v>
      </c>
      <c r="Z1164">
        <v>65</v>
      </c>
      <c r="AA1164">
        <v>75</v>
      </c>
      <c r="AB1164" t="s">
        <v>143</v>
      </c>
      <c r="AC1164" t="s">
        <v>53</v>
      </c>
      <c r="AD1164" t="s">
        <v>404</v>
      </c>
      <c r="AE1164" t="str">
        <f>IF(AF1164="","",VLOOKUP(AC1164,mapel!$A$2:$B$42,2,FALSE))</f>
        <v>Sejarah</v>
      </c>
      <c r="AF1164">
        <f t="shared" si="54"/>
        <v>75</v>
      </c>
      <c r="AG1164" t="str">
        <f>IF(AF1164="","",IF(AF1164&gt;90,"Sangat baik",IF(AF1164&gt;79,"Baik",IF(AF1164&gt;=pub_gid_0_single_true_output_csv[[#This Row],[KKM]],"Cukup","Kurang"))))</f>
        <v>Cukup</v>
      </c>
      <c r="AH1164">
        <f t="shared" si="55"/>
        <v>11</v>
      </c>
      <c r="AI1164" s="30" t="str">
        <f>IF(OR(J1164&lt;&gt;"Karakter",pub_gid_0_single_true_output_csv[[#This Row],[Nilai2]]=""),"",IF(AF1164&gt;89,"Sangat baik",IF(AF1164&gt;79,"Baik",IF(AF1164&gt;69,"Cukup",IF(AF1164&gt;59,"Kurang","Sangat kurang")))))</f>
        <v/>
      </c>
      <c r="AJ1164" t="str">
        <f t="shared" si="56"/>
        <v>Wk.5</v>
      </c>
      <c r="AK1164" t="str">
        <f>IF(pub_gid_0_single_true_output_csv[[#This Row],[Nilai2]]="","",VLOOKUP(pub_gid_0_single_true_output_csv[[#This Row],[NAMA]],Table7[],3,FALSE))</f>
        <v>High average</v>
      </c>
    </row>
    <row r="1165" spans="1:37" x14ac:dyDescent="0.2">
      <c r="A1165">
        <v>1164</v>
      </c>
      <c r="B1165" t="s">
        <v>291</v>
      </c>
      <c r="C1165" t="s">
        <v>54</v>
      </c>
      <c r="D1165" t="s">
        <v>43</v>
      </c>
      <c r="E1165" t="s">
        <v>146</v>
      </c>
      <c r="F1165" s="25">
        <v>46057</v>
      </c>
      <c r="G1165" t="s">
        <v>348</v>
      </c>
      <c r="H1165" t="s">
        <v>412</v>
      </c>
      <c r="I1165" t="s">
        <v>371</v>
      </c>
      <c r="J1165" t="s">
        <v>36</v>
      </c>
      <c r="K1165" t="s">
        <v>37</v>
      </c>
      <c r="L1165" t="s">
        <v>351</v>
      </c>
      <c r="M1165" t="s">
        <v>141</v>
      </c>
      <c r="N1165" t="s">
        <v>142</v>
      </c>
      <c r="O1165" t="s">
        <v>155</v>
      </c>
      <c r="P1165" t="s">
        <v>281</v>
      </c>
      <c r="Q1165" t="s">
        <v>155</v>
      </c>
      <c r="R1165" t="s">
        <v>302</v>
      </c>
      <c r="S1165" t="s">
        <v>355</v>
      </c>
      <c r="T1165">
        <v>2</v>
      </c>
      <c r="U1165" t="s">
        <v>159</v>
      </c>
      <c r="V1165" t="s">
        <v>303</v>
      </c>
      <c r="W1165" t="s">
        <v>437</v>
      </c>
      <c r="X1165" t="s">
        <v>306</v>
      </c>
      <c r="Y1165" t="s">
        <v>307</v>
      </c>
      <c r="Z1165">
        <v>65</v>
      </c>
      <c r="AA1165">
        <v>75</v>
      </c>
      <c r="AB1165" t="s">
        <v>143</v>
      </c>
      <c r="AC1165" t="s">
        <v>53</v>
      </c>
      <c r="AD1165" t="s">
        <v>404</v>
      </c>
      <c r="AE1165" t="str">
        <f>IF(AF1165="","",VLOOKUP(AC1165,mapel!$A$2:$B$42,2,FALSE))</f>
        <v>Sejarah</v>
      </c>
      <c r="AF1165">
        <f t="shared" si="54"/>
        <v>75</v>
      </c>
      <c r="AG1165" t="str">
        <f>IF(AF1165="","",IF(AF1165&gt;90,"Sangat baik",IF(AF1165&gt;79,"Baik",IF(AF1165&gt;=pub_gid_0_single_true_output_csv[[#This Row],[KKM]],"Cukup","Kurang"))))</f>
        <v>Cukup</v>
      </c>
      <c r="AH1165">
        <f t="shared" si="55"/>
        <v>11</v>
      </c>
      <c r="AI1165" s="30" t="str">
        <f>IF(OR(J1165&lt;&gt;"Karakter",pub_gid_0_single_true_output_csv[[#This Row],[Nilai2]]=""),"",IF(AF1165&gt;89,"Sangat baik",IF(AF1165&gt;79,"Baik",IF(AF1165&gt;69,"Cukup",IF(AF1165&gt;59,"Kurang","Sangat kurang")))))</f>
        <v/>
      </c>
      <c r="AJ1165" t="str">
        <f t="shared" si="56"/>
        <v>Wk.6</v>
      </c>
      <c r="AK1165" t="str">
        <f>IF(pub_gid_0_single_true_output_csv[[#This Row],[Nilai2]]="","",VLOOKUP(pub_gid_0_single_true_output_csv[[#This Row],[NAMA]],Table7[],3,FALSE))</f>
        <v>High average</v>
      </c>
    </row>
    <row r="1166" spans="1:37" x14ac:dyDescent="0.2">
      <c r="A1166">
        <v>1165</v>
      </c>
      <c r="B1166" t="s">
        <v>291</v>
      </c>
      <c r="C1166" t="s">
        <v>54</v>
      </c>
      <c r="D1166" t="s">
        <v>43</v>
      </c>
      <c r="E1166" t="s">
        <v>146</v>
      </c>
      <c r="F1166" s="25">
        <v>46057</v>
      </c>
      <c r="G1166" t="s">
        <v>348</v>
      </c>
      <c r="H1166" t="s">
        <v>412</v>
      </c>
      <c r="I1166" t="s">
        <v>371</v>
      </c>
      <c r="J1166" t="s">
        <v>31</v>
      </c>
      <c r="K1166" t="s">
        <v>96</v>
      </c>
      <c r="L1166" t="s">
        <v>351</v>
      </c>
      <c r="M1166" t="s">
        <v>141</v>
      </c>
      <c r="N1166" t="s">
        <v>142</v>
      </c>
      <c r="O1166" t="s">
        <v>155</v>
      </c>
      <c r="P1166" t="s">
        <v>281</v>
      </c>
      <c r="Q1166" t="s">
        <v>155</v>
      </c>
      <c r="R1166" t="s">
        <v>302</v>
      </c>
      <c r="S1166" t="s">
        <v>355</v>
      </c>
      <c r="T1166">
        <v>2</v>
      </c>
      <c r="U1166" t="s">
        <v>159</v>
      </c>
      <c r="V1166" t="s">
        <v>303</v>
      </c>
      <c r="W1166" t="s">
        <v>437</v>
      </c>
      <c r="X1166" t="s">
        <v>306</v>
      </c>
      <c r="Y1166" t="s">
        <v>307</v>
      </c>
      <c r="Z1166">
        <v>65</v>
      </c>
      <c r="AA1166">
        <v>80</v>
      </c>
      <c r="AB1166" t="s">
        <v>143</v>
      </c>
      <c r="AC1166" t="s">
        <v>53</v>
      </c>
      <c r="AD1166" t="s">
        <v>404</v>
      </c>
      <c r="AE1166" t="str">
        <f>IF(AF1166="","",VLOOKUP(AC1166,mapel!$A$2:$B$42,2,FALSE))</f>
        <v>Sejarah</v>
      </c>
      <c r="AF1166">
        <f t="shared" si="54"/>
        <v>80</v>
      </c>
      <c r="AG1166" t="str">
        <f>IF(AF1166="","",IF(AF1166&gt;90,"Sangat baik",IF(AF1166&gt;79,"Baik",IF(AF1166&gt;=pub_gid_0_single_true_output_csv[[#This Row],[KKM]],"Cukup","Kurang"))))</f>
        <v>Baik</v>
      </c>
      <c r="AH1166">
        <f t="shared" si="55"/>
        <v>11</v>
      </c>
      <c r="AI1166" s="30" t="str">
        <f>IF(OR(J1166&lt;&gt;"Karakter",pub_gid_0_single_true_output_csv[[#This Row],[Nilai2]]=""),"",IF(AF1166&gt;89,"Sangat baik",IF(AF1166&gt;79,"Baik",IF(AF1166&gt;69,"Cukup",IF(AF1166&gt;59,"Kurang","Sangat kurang")))))</f>
        <v/>
      </c>
      <c r="AJ1166" t="str">
        <f t="shared" si="56"/>
        <v>Wk.6</v>
      </c>
      <c r="AK1166" t="str">
        <f>IF(pub_gid_0_single_true_output_csv[[#This Row],[Nilai2]]="","",VLOOKUP(pub_gid_0_single_true_output_csv[[#This Row],[NAMA]],Table7[],3,FALSE))</f>
        <v>High average</v>
      </c>
    </row>
    <row r="1167" spans="1:37" x14ac:dyDescent="0.2">
      <c r="A1167">
        <v>1166</v>
      </c>
      <c r="B1167" t="s">
        <v>291</v>
      </c>
      <c r="C1167" t="s">
        <v>54</v>
      </c>
      <c r="D1167" t="s">
        <v>43</v>
      </c>
      <c r="E1167" t="s">
        <v>146</v>
      </c>
      <c r="F1167" s="25">
        <v>46057</v>
      </c>
      <c r="G1167" t="s">
        <v>348</v>
      </c>
      <c r="H1167" t="s">
        <v>412</v>
      </c>
      <c r="I1167" t="s">
        <v>371</v>
      </c>
      <c r="J1167" t="s">
        <v>90</v>
      </c>
      <c r="K1167" t="s">
        <v>92</v>
      </c>
      <c r="L1167" t="s">
        <v>93</v>
      </c>
      <c r="M1167" t="s">
        <v>141</v>
      </c>
      <c r="N1167" t="s">
        <v>142</v>
      </c>
      <c r="O1167" t="s">
        <v>155</v>
      </c>
      <c r="P1167" t="s">
        <v>281</v>
      </c>
      <c r="Q1167" t="s">
        <v>155</v>
      </c>
      <c r="R1167" t="s">
        <v>302</v>
      </c>
      <c r="S1167" t="s">
        <v>355</v>
      </c>
      <c r="T1167">
        <v>2</v>
      </c>
      <c r="U1167" t="s">
        <v>159</v>
      </c>
      <c r="V1167" t="s">
        <v>303</v>
      </c>
      <c r="W1167" t="s">
        <v>437</v>
      </c>
      <c r="X1167" t="s">
        <v>306</v>
      </c>
      <c r="Y1167" t="s">
        <v>307</v>
      </c>
      <c r="Z1167">
        <v>65</v>
      </c>
      <c r="AA1167">
        <v>70</v>
      </c>
      <c r="AB1167" t="s">
        <v>143</v>
      </c>
      <c r="AC1167" t="s">
        <v>53</v>
      </c>
      <c r="AD1167" t="s">
        <v>404</v>
      </c>
      <c r="AE1167" t="str">
        <f>IF(AF1167="","",VLOOKUP(AC1167,mapel!$A$2:$B$42,2,FALSE))</f>
        <v>Sejarah</v>
      </c>
      <c r="AF1167">
        <f t="shared" si="54"/>
        <v>70</v>
      </c>
      <c r="AG1167" t="str">
        <f>IF(AF1167="","",IF(AF1167&gt;90,"Sangat baik",IF(AF1167&gt;79,"Baik",IF(AF1167&gt;=pub_gid_0_single_true_output_csv[[#This Row],[KKM]],"Cukup","Kurang"))))</f>
        <v>Cukup</v>
      </c>
      <c r="AH1167">
        <f t="shared" si="55"/>
        <v>11</v>
      </c>
      <c r="AI1167" s="30" t="str">
        <f>IF(OR(J1167&lt;&gt;"Karakter",pub_gid_0_single_true_output_csv[[#This Row],[Nilai2]]=""),"",IF(AF1167&gt;89,"Sangat baik",IF(AF1167&gt;79,"Baik",IF(AF1167&gt;69,"Cukup",IF(AF1167&gt;59,"Kurang","Sangat kurang")))))</f>
        <v>Cukup</v>
      </c>
      <c r="AJ1167" t="str">
        <f t="shared" si="56"/>
        <v>Wk.6</v>
      </c>
      <c r="AK1167" t="str">
        <f>IF(pub_gid_0_single_true_output_csv[[#This Row],[Nilai2]]="","",VLOOKUP(pub_gid_0_single_true_output_csv[[#This Row],[NAMA]],Table7[],3,FALSE))</f>
        <v>High average</v>
      </c>
    </row>
    <row r="1168" spans="1:37" x14ac:dyDescent="0.2">
      <c r="A1168">
        <v>1167</v>
      </c>
      <c r="B1168" t="s">
        <v>291</v>
      </c>
      <c r="C1168" t="s">
        <v>54</v>
      </c>
      <c r="D1168" t="s">
        <v>43</v>
      </c>
      <c r="E1168" t="s">
        <v>146</v>
      </c>
      <c r="F1168" s="25">
        <v>46057</v>
      </c>
      <c r="G1168" t="s">
        <v>348</v>
      </c>
      <c r="H1168" t="s">
        <v>412</v>
      </c>
      <c r="I1168" t="s">
        <v>371</v>
      </c>
      <c r="J1168" t="s">
        <v>279</v>
      </c>
      <c r="K1168" t="s">
        <v>280</v>
      </c>
      <c r="L1168" t="s">
        <v>322</v>
      </c>
      <c r="M1168" t="s">
        <v>141</v>
      </c>
      <c r="N1168" t="s">
        <v>142</v>
      </c>
      <c r="O1168" t="s">
        <v>155</v>
      </c>
      <c r="P1168" t="s">
        <v>281</v>
      </c>
      <c r="Q1168" t="s">
        <v>155</v>
      </c>
      <c r="R1168" t="s">
        <v>302</v>
      </c>
      <c r="S1168" t="s">
        <v>355</v>
      </c>
      <c r="T1168">
        <v>2</v>
      </c>
      <c r="U1168" t="s">
        <v>159</v>
      </c>
      <c r="V1168" t="s">
        <v>303</v>
      </c>
      <c r="W1168" t="s">
        <v>437</v>
      </c>
      <c r="X1168" t="s">
        <v>306</v>
      </c>
      <c r="Y1168" t="s">
        <v>307</v>
      </c>
      <c r="Z1168">
        <v>65</v>
      </c>
      <c r="AA1168">
        <v>65</v>
      </c>
      <c r="AB1168" t="s">
        <v>143</v>
      </c>
      <c r="AC1168" t="s">
        <v>53</v>
      </c>
      <c r="AD1168" t="s">
        <v>404</v>
      </c>
      <c r="AE1168" t="str">
        <f>IF(AF1168="","",VLOOKUP(AC1168,mapel!$A$2:$B$42,2,FALSE))</f>
        <v>Sejarah</v>
      </c>
      <c r="AF1168">
        <f t="shared" si="54"/>
        <v>65</v>
      </c>
      <c r="AG1168" t="str">
        <f>IF(AF1168="","",IF(AF1168&gt;90,"Sangat baik",IF(AF1168&gt;79,"Baik",IF(AF1168&gt;=pub_gid_0_single_true_output_csv[[#This Row],[KKM]],"Cukup","Kurang"))))</f>
        <v>Cukup</v>
      </c>
      <c r="AH1168">
        <f t="shared" si="55"/>
        <v>11</v>
      </c>
      <c r="AI1168" s="30" t="str">
        <f>IF(OR(J1168&lt;&gt;"Karakter",pub_gid_0_single_true_output_csv[[#This Row],[Nilai2]]=""),"",IF(AF1168&gt;89,"Sangat baik",IF(AF1168&gt;79,"Baik",IF(AF1168&gt;69,"Cukup",IF(AF1168&gt;59,"Kurang","Sangat kurang")))))</f>
        <v/>
      </c>
      <c r="AJ1168" t="str">
        <f t="shared" si="56"/>
        <v>Wk.6</v>
      </c>
      <c r="AK1168" t="str">
        <f>IF(pub_gid_0_single_true_output_csv[[#This Row],[Nilai2]]="","",VLOOKUP(pub_gid_0_single_true_output_csv[[#This Row],[NAMA]],Table7[],3,FALSE))</f>
        <v>High average</v>
      </c>
    </row>
    <row r="1169" spans="1:37" x14ac:dyDescent="0.2">
      <c r="A1169">
        <v>1168</v>
      </c>
      <c r="B1169" t="s">
        <v>291</v>
      </c>
      <c r="C1169" t="s">
        <v>54</v>
      </c>
      <c r="D1169" t="s">
        <v>43</v>
      </c>
      <c r="E1169" t="s">
        <v>146</v>
      </c>
      <c r="F1169" s="25">
        <v>46064</v>
      </c>
      <c r="G1169" t="s">
        <v>352</v>
      </c>
      <c r="H1169" t="s">
        <v>412</v>
      </c>
      <c r="I1169" t="s">
        <v>371</v>
      </c>
      <c r="J1169" t="s">
        <v>36</v>
      </c>
      <c r="K1169" t="s">
        <v>37</v>
      </c>
      <c r="L1169" t="s">
        <v>351</v>
      </c>
      <c r="M1169" t="s">
        <v>141</v>
      </c>
      <c r="N1169" t="s">
        <v>142</v>
      </c>
      <c r="O1169" t="s">
        <v>155</v>
      </c>
      <c r="P1169" t="s">
        <v>281</v>
      </c>
      <c r="Q1169" t="s">
        <v>155</v>
      </c>
      <c r="R1169" t="s">
        <v>302</v>
      </c>
      <c r="S1169" t="s">
        <v>380</v>
      </c>
      <c r="T1169">
        <v>3</v>
      </c>
      <c r="U1169" t="s">
        <v>159</v>
      </c>
      <c r="V1169" t="s">
        <v>381</v>
      </c>
      <c r="W1169" t="s">
        <v>438</v>
      </c>
      <c r="X1169" t="s">
        <v>306</v>
      </c>
      <c r="Y1169" t="s">
        <v>307</v>
      </c>
      <c r="Z1169">
        <v>65</v>
      </c>
      <c r="AA1169">
        <v>75</v>
      </c>
      <c r="AB1169" t="s">
        <v>143</v>
      </c>
      <c r="AC1169" t="s">
        <v>53</v>
      </c>
      <c r="AD1169" t="s">
        <v>404</v>
      </c>
      <c r="AE1169" t="str">
        <f>IF(AF1169="","",VLOOKUP(AC1169,mapel!$A$2:$B$42,2,FALSE))</f>
        <v>Sejarah</v>
      </c>
      <c r="AF1169">
        <f t="shared" si="54"/>
        <v>75</v>
      </c>
      <c r="AG1169" t="str">
        <f>IF(AF1169="","",IF(AF1169&gt;90,"Sangat baik",IF(AF1169&gt;79,"Baik",IF(AF1169&gt;=pub_gid_0_single_true_output_csv[[#This Row],[KKM]],"Cukup","Kurang"))))</f>
        <v>Cukup</v>
      </c>
      <c r="AH1169">
        <f t="shared" si="55"/>
        <v>11</v>
      </c>
      <c r="AI1169" s="30" t="str">
        <f>IF(OR(J1169&lt;&gt;"Karakter",pub_gid_0_single_true_output_csv[[#This Row],[Nilai2]]=""),"",IF(AF1169&gt;89,"Sangat baik",IF(AF1169&gt;79,"Baik",IF(AF1169&gt;69,"Cukup",IF(AF1169&gt;59,"Kurang","Sangat kurang")))))</f>
        <v/>
      </c>
      <c r="AJ1169" t="str">
        <f t="shared" si="56"/>
        <v>Wk.7</v>
      </c>
      <c r="AK1169" t="str">
        <f>IF(pub_gid_0_single_true_output_csv[[#This Row],[Nilai2]]="","",VLOOKUP(pub_gid_0_single_true_output_csv[[#This Row],[NAMA]],Table7[],3,FALSE))</f>
        <v>High average</v>
      </c>
    </row>
    <row r="1170" spans="1:37" x14ac:dyDescent="0.2">
      <c r="A1170">
        <v>1169</v>
      </c>
      <c r="B1170" t="s">
        <v>291</v>
      </c>
      <c r="C1170" t="s">
        <v>54</v>
      </c>
      <c r="D1170" t="s">
        <v>43</v>
      </c>
      <c r="E1170" t="s">
        <v>146</v>
      </c>
      <c r="F1170" s="25">
        <v>46064</v>
      </c>
      <c r="G1170" t="s">
        <v>352</v>
      </c>
      <c r="H1170" t="s">
        <v>412</v>
      </c>
      <c r="I1170" t="s">
        <v>371</v>
      </c>
      <c r="J1170" t="s">
        <v>31</v>
      </c>
      <c r="K1170" t="s">
        <v>96</v>
      </c>
      <c r="L1170" t="s">
        <v>351</v>
      </c>
      <c r="M1170" t="s">
        <v>141</v>
      </c>
      <c r="N1170" t="s">
        <v>142</v>
      </c>
      <c r="O1170" t="s">
        <v>155</v>
      </c>
      <c r="P1170" t="s">
        <v>281</v>
      </c>
      <c r="Q1170" t="s">
        <v>155</v>
      </c>
      <c r="R1170" t="s">
        <v>302</v>
      </c>
      <c r="S1170" t="s">
        <v>380</v>
      </c>
      <c r="T1170">
        <v>3</v>
      </c>
      <c r="U1170" t="s">
        <v>159</v>
      </c>
      <c r="V1170" t="s">
        <v>381</v>
      </c>
      <c r="W1170" t="s">
        <v>438</v>
      </c>
      <c r="X1170" t="s">
        <v>306</v>
      </c>
      <c r="Y1170" t="s">
        <v>307</v>
      </c>
      <c r="Z1170">
        <v>65</v>
      </c>
      <c r="AA1170">
        <v>70</v>
      </c>
      <c r="AB1170" t="s">
        <v>143</v>
      </c>
      <c r="AC1170" t="s">
        <v>53</v>
      </c>
      <c r="AD1170" t="s">
        <v>404</v>
      </c>
      <c r="AE1170" t="str">
        <f>IF(AF1170="","",VLOOKUP(AC1170,mapel!$A$2:$B$42,2,FALSE))</f>
        <v>Sejarah</v>
      </c>
      <c r="AF1170">
        <f t="shared" si="54"/>
        <v>70</v>
      </c>
      <c r="AG1170" t="str">
        <f>IF(AF1170="","",IF(AF1170&gt;90,"Sangat baik",IF(AF1170&gt;79,"Baik",IF(AF1170&gt;=pub_gid_0_single_true_output_csv[[#This Row],[KKM]],"Cukup","Kurang"))))</f>
        <v>Cukup</v>
      </c>
      <c r="AH1170">
        <f t="shared" si="55"/>
        <v>11</v>
      </c>
      <c r="AI1170" s="30" t="str">
        <f>IF(OR(J1170&lt;&gt;"Karakter",pub_gid_0_single_true_output_csv[[#This Row],[Nilai2]]=""),"",IF(AF1170&gt;89,"Sangat baik",IF(AF1170&gt;79,"Baik",IF(AF1170&gt;69,"Cukup",IF(AF1170&gt;59,"Kurang","Sangat kurang")))))</f>
        <v/>
      </c>
      <c r="AJ1170" t="str">
        <f t="shared" si="56"/>
        <v>Wk.7</v>
      </c>
      <c r="AK1170" t="str">
        <f>IF(pub_gid_0_single_true_output_csv[[#This Row],[Nilai2]]="","",VLOOKUP(pub_gid_0_single_true_output_csv[[#This Row],[NAMA]],Table7[],3,FALSE))</f>
        <v>High average</v>
      </c>
    </row>
    <row r="1171" spans="1:37" x14ac:dyDescent="0.2">
      <c r="A1171">
        <v>1170</v>
      </c>
      <c r="B1171" t="s">
        <v>291</v>
      </c>
      <c r="C1171" t="s">
        <v>54</v>
      </c>
      <c r="D1171" t="s">
        <v>43</v>
      </c>
      <c r="E1171" t="s">
        <v>146</v>
      </c>
      <c r="F1171" s="25">
        <v>46064</v>
      </c>
      <c r="G1171" t="s">
        <v>352</v>
      </c>
      <c r="H1171" t="s">
        <v>412</v>
      </c>
      <c r="I1171" t="s">
        <v>371</v>
      </c>
      <c r="J1171" t="s">
        <v>90</v>
      </c>
      <c r="K1171" t="s">
        <v>92</v>
      </c>
      <c r="L1171" t="s">
        <v>93</v>
      </c>
      <c r="M1171" t="s">
        <v>141</v>
      </c>
      <c r="N1171" t="s">
        <v>142</v>
      </c>
      <c r="O1171" t="s">
        <v>155</v>
      </c>
      <c r="P1171" t="s">
        <v>281</v>
      </c>
      <c r="Q1171" t="s">
        <v>155</v>
      </c>
      <c r="R1171" t="s">
        <v>302</v>
      </c>
      <c r="S1171" t="s">
        <v>380</v>
      </c>
      <c r="T1171">
        <v>3</v>
      </c>
      <c r="U1171" t="s">
        <v>159</v>
      </c>
      <c r="V1171" t="s">
        <v>381</v>
      </c>
      <c r="W1171" t="s">
        <v>438</v>
      </c>
      <c r="X1171" t="s">
        <v>306</v>
      </c>
      <c r="Y1171" t="s">
        <v>307</v>
      </c>
      <c r="Z1171">
        <v>65</v>
      </c>
      <c r="AA1171">
        <v>75</v>
      </c>
      <c r="AB1171" t="s">
        <v>143</v>
      </c>
      <c r="AC1171" t="s">
        <v>53</v>
      </c>
      <c r="AD1171" t="s">
        <v>404</v>
      </c>
      <c r="AE1171" t="str">
        <f>IF(AF1171="","",VLOOKUP(AC1171,mapel!$A$2:$B$42,2,FALSE))</f>
        <v>Sejarah</v>
      </c>
      <c r="AF1171">
        <f t="shared" si="54"/>
        <v>75</v>
      </c>
      <c r="AG1171" t="str">
        <f>IF(AF1171="","",IF(AF1171&gt;90,"Sangat baik",IF(AF1171&gt;79,"Baik",IF(AF1171&gt;=pub_gid_0_single_true_output_csv[[#This Row],[KKM]],"Cukup","Kurang"))))</f>
        <v>Cukup</v>
      </c>
      <c r="AH1171">
        <f t="shared" si="55"/>
        <v>11</v>
      </c>
      <c r="AI1171" s="30" t="str">
        <f>IF(OR(J1171&lt;&gt;"Karakter",pub_gid_0_single_true_output_csv[[#This Row],[Nilai2]]=""),"",IF(AF1171&gt;89,"Sangat baik",IF(AF1171&gt;79,"Baik",IF(AF1171&gt;69,"Cukup",IF(AF1171&gt;59,"Kurang","Sangat kurang")))))</f>
        <v>Cukup</v>
      </c>
      <c r="AJ1171" t="str">
        <f t="shared" si="56"/>
        <v>Wk.7</v>
      </c>
      <c r="AK1171" t="str">
        <f>IF(pub_gid_0_single_true_output_csv[[#This Row],[Nilai2]]="","",VLOOKUP(pub_gid_0_single_true_output_csv[[#This Row],[NAMA]],Table7[],3,FALSE))</f>
        <v>High average</v>
      </c>
    </row>
    <row r="1172" spans="1:37" x14ac:dyDescent="0.2">
      <c r="A1172">
        <v>1171</v>
      </c>
      <c r="B1172" t="s">
        <v>291</v>
      </c>
      <c r="C1172" t="s">
        <v>54</v>
      </c>
      <c r="D1172" t="s">
        <v>43</v>
      </c>
      <c r="E1172" t="s">
        <v>146</v>
      </c>
      <c r="F1172" s="25">
        <v>46064</v>
      </c>
      <c r="G1172" t="s">
        <v>352</v>
      </c>
      <c r="H1172" t="s">
        <v>412</v>
      </c>
      <c r="I1172" t="s">
        <v>371</v>
      </c>
      <c r="J1172" t="s">
        <v>279</v>
      </c>
      <c r="K1172" t="s">
        <v>280</v>
      </c>
      <c r="L1172" t="s">
        <v>322</v>
      </c>
      <c r="M1172" t="s">
        <v>141</v>
      </c>
      <c r="N1172" t="s">
        <v>142</v>
      </c>
      <c r="O1172" t="s">
        <v>155</v>
      </c>
      <c r="P1172" t="s">
        <v>281</v>
      </c>
      <c r="Q1172" t="s">
        <v>155</v>
      </c>
      <c r="R1172" t="s">
        <v>302</v>
      </c>
      <c r="S1172" t="s">
        <v>380</v>
      </c>
      <c r="T1172">
        <v>3</v>
      </c>
      <c r="U1172" t="s">
        <v>159</v>
      </c>
      <c r="V1172" t="s">
        <v>381</v>
      </c>
      <c r="W1172" t="s">
        <v>438</v>
      </c>
      <c r="X1172" t="s">
        <v>306</v>
      </c>
      <c r="Y1172" t="s">
        <v>307</v>
      </c>
      <c r="Z1172">
        <v>65</v>
      </c>
      <c r="AA1172">
        <v>70</v>
      </c>
      <c r="AB1172" t="s">
        <v>143</v>
      </c>
      <c r="AC1172" t="s">
        <v>53</v>
      </c>
      <c r="AD1172" t="s">
        <v>404</v>
      </c>
      <c r="AE1172" t="str">
        <f>IF(AF1172="","",VLOOKUP(AC1172,mapel!$A$2:$B$42,2,FALSE))</f>
        <v>Sejarah</v>
      </c>
      <c r="AF1172">
        <f t="shared" si="54"/>
        <v>70</v>
      </c>
      <c r="AG1172" t="str">
        <f>IF(AF1172="","",IF(AF1172&gt;90,"Sangat baik",IF(AF1172&gt;79,"Baik",IF(AF1172&gt;=pub_gid_0_single_true_output_csv[[#This Row],[KKM]],"Cukup","Kurang"))))</f>
        <v>Cukup</v>
      </c>
      <c r="AH1172">
        <f t="shared" si="55"/>
        <v>11</v>
      </c>
      <c r="AI1172" s="30" t="str">
        <f>IF(OR(J1172&lt;&gt;"Karakter",pub_gid_0_single_true_output_csv[[#This Row],[Nilai2]]=""),"",IF(AF1172&gt;89,"Sangat baik",IF(AF1172&gt;79,"Baik",IF(AF1172&gt;69,"Cukup",IF(AF1172&gt;59,"Kurang","Sangat kurang")))))</f>
        <v/>
      </c>
      <c r="AJ1172" t="str">
        <f t="shared" si="56"/>
        <v>Wk.7</v>
      </c>
      <c r="AK1172" t="str">
        <f>IF(pub_gid_0_single_true_output_csv[[#This Row],[Nilai2]]="","",VLOOKUP(pub_gid_0_single_true_output_csv[[#This Row],[NAMA]],Table7[],3,FALSE))</f>
        <v>High average</v>
      </c>
    </row>
    <row r="1173" spans="1:37" x14ac:dyDescent="0.2">
      <c r="A1173">
        <v>1172</v>
      </c>
      <c r="B1173" t="s">
        <v>291</v>
      </c>
      <c r="C1173" t="s">
        <v>54</v>
      </c>
      <c r="D1173" t="s">
        <v>43</v>
      </c>
      <c r="E1173" t="s">
        <v>146</v>
      </c>
      <c r="F1173" s="25">
        <v>46071</v>
      </c>
      <c r="G1173" t="s">
        <v>323</v>
      </c>
      <c r="H1173" t="s">
        <v>412</v>
      </c>
      <c r="I1173" t="s">
        <v>371</v>
      </c>
      <c r="J1173" t="s">
        <v>36</v>
      </c>
      <c r="K1173" t="s">
        <v>362</v>
      </c>
      <c r="L1173" t="s">
        <v>363</v>
      </c>
      <c r="M1173" t="s">
        <v>141</v>
      </c>
      <c r="N1173" t="s">
        <v>142</v>
      </c>
      <c r="O1173" t="s">
        <v>155</v>
      </c>
      <c r="P1173" t="s">
        <v>281</v>
      </c>
      <c r="Q1173" t="s">
        <v>155</v>
      </c>
      <c r="R1173" t="s">
        <v>302</v>
      </c>
      <c r="S1173" t="s">
        <v>309</v>
      </c>
      <c r="T1173">
        <v>1</v>
      </c>
      <c r="U1173" t="s">
        <v>435</v>
      </c>
      <c r="V1173" t="s">
        <v>285</v>
      </c>
      <c r="W1173" t="s">
        <v>436</v>
      </c>
      <c r="X1173" t="s">
        <v>306</v>
      </c>
      <c r="Y1173" t="s">
        <v>307</v>
      </c>
      <c r="Z1173">
        <v>65</v>
      </c>
      <c r="AA1173">
        <v>80</v>
      </c>
      <c r="AB1173" t="s">
        <v>143</v>
      </c>
      <c r="AC1173" t="s">
        <v>53</v>
      </c>
      <c r="AD1173" t="s">
        <v>404</v>
      </c>
      <c r="AE1173" t="str">
        <f>IF(AF1173="","",VLOOKUP(AC1173,mapel!$A$2:$B$42,2,FALSE))</f>
        <v>Sejarah</v>
      </c>
      <c r="AF1173">
        <f t="shared" si="54"/>
        <v>80</v>
      </c>
      <c r="AG1173" t="str">
        <f>IF(AF1173="","",IF(AF1173&gt;90,"Sangat baik",IF(AF1173&gt;79,"Baik",IF(AF1173&gt;=pub_gid_0_single_true_output_csv[[#This Row],[KKM]],"Cukup","Kurang"))))</f>
        <v>Baik</v>
      </c>
      <c r="AH1173">
        <f t="shared" si="55"/>
        <v>11</v>
      </c>
      <c r="AI1173" s="30" t="str">
        <f>IF(OR(J1173&lt;&gt;"Karakter",pub_gid_0_single_true_output_csv[[#This Row],[Nilai2]]=""),"",IF(AF1173&gt;89,"Sangat baik",IF(AF1173&gt;79,"Baik",IF(AF1173&gt;69,"Cukup",IF(AF1173&gt;59,"Kurang","Sangat kurang")))))</f>
        <v/>
      </c>
      <c r="AJ1173" t="str">
        <f t="shared" si="56"/>
        <v>Wk.8</v>
      </c>
      <c r="AK1173" t="str">
        <f>IF(pub_gid_0_single_true_output_csv[[#This Row],[Nilai2]]="","",VLOOKUP(pub_gid_0_single_true_output_csv[[#This Row],[NAMA]],Table7[],3,FALSE))</f>
        <v>High average</v>
      </c>
    </row>
    <row r="1174" spans="1:37" x14ac:dyDescent="0.2">
      <c r="A1174">
        <v>1173</v>
      </c>
      <c r="B1174" t="s">
        <v>291</v>
      </c>
      <c r="C1174" t="s">
        <v>54</v>
      </c>
      <c r="D1174" t="s">
        <v>43</v>
      </c>
      <c r="E1174" t="s">
        <v>146</v>
      </c>
      <c r="F1174" s="25">
        <v>46071</v>
      </c>
      <c r="G1174" t="s">
        <v>323</v>
      </c>
      <c r="H1174" t="s">
        <v>412</v>
      </c>
      <c r="I1174" t="s">
        <v>371</v>
      </c>
      <c r="J1174" t="s">
        <v>90</v>
      </c>
      <c r="K1174" t="s">
        <v>92</v>
      </c>
      <c r="L1174" t="s">
        <v>93</v>
      </c>
      <c r="M1174" t="s">
        <v>141</v>
      </c>
      <c r="N1174" t="s">
        <v>142</v>
      </c>
      <c r="O1174" t="s">
        <v>155</v>
      </c>
      <c r="P1174" t="s">
        <v>281</v>
      </c>
      <c r="Q1174" t="s">
        <v>155</v>
      </c>
      <c r="R1174" t="s">
        <v>302</v>
      </c>
      <c r="S1174" t="s">
        <v>309</v>
      </c>
      <c r="T1174">
        <v>1</v>
      </c>
      <c r="U1174" t="s">
        <v>435</v>
      </c>
      <c r="V1174" t="s">
        <v>285</v>
      </c>
      <c r="W1174" t="s">
        <v>436</v>
      </c>
      <c r="X1174" t="s">
        <v>306</v>
      </c>
      <c r="Y1174" t="s">
        <v>307</v>
      </c>
      <c r="Z1174">
        <v>65</v>
      </c>
      <c r="AA1174">
        <v>70</v>
      </c>
      <c r="AB1174" t="s">
        <v>143</v>
      </c>
      <c r="AC1174" t="s">
        <v>53</v>
      </c>
      <c r="AD1174" t="s">
        <v>404</v>
      </c>
      <c r="AE1174" t="str">
        <f>IF(AF1174="","",VLOOKUP(AC1174,mapel!$A$2:$B$42,2,FALSE))</f>
        <v>Sejarah</v>
      </c>
      <c r="AF1174">
        <f t="shared" si="54"/>
        <v>70</v>
      </c>
      <c r="AG1174" t="str">
        <f>IF(AF1174="","",IF(AF1174&gt;90,"Sangat baik",IF(AF1174&gt;79,"Baik",IF(AF1174&gt;=pub_gid_0_single_true_output_csv[[#This Row],[KKM]],"Cukup","Kurang"))))</f>
        <v>Cukup</v>
      </c>
      <c r="AH1174">
        <f t="shared" si="55"/>
        <v>11</v>
      </c>
      <c r="AI1174" s="30" t="str">
        <f>IF(OR(J1174&lt;&gt;"Karakter",pub_gid_0_single_true_output_csv[[#This Row],[Nilai2]]=""),"",IF(AF1174&gt;89,"Sangat baik",IF(AF1174&gt;79,"Baik",IF(AF1174&gt;69,"Cukup",IF(AF1174&gt;59,"Kurang","Sangat kurang")))))</f>
        <v>Cukup</v>
      </c>
      <c r="AJ1174" t="str">
        <f t="shared" si="56"/>
        <v>Wk.8</v>
      </c>
      <c r="AK1174" t="str">
        <f>IF(pub_gid_0_single_true_output_csv[[#This Row],[Nilai2]]="","",VLOOKUP(pub_gid_0_single_true_output_csv[[#This Row],[NAMA]],Table7[],3,FALSE))</f>
        <v>High average</v>
      </c>
    </row>
    <row r="1175" spans="1:37" x14ac:dyDescent="0.2">
      <c r="A1175">
        <v>1174</v>
      </c>
      <c r="B1175" t="s">
        <v>282</v>
      </c>
      <c r="C1175" t="s">
        <v>54</v>
      </c>
      <c r="D1175" t="s">
        <v>283</v>
      </c>
      <c r="E1175" t="s">
        <v>140</v>
      </c>
      <c r="F1175" s="25">
        <v>46036</v>
      </c>
      <c r="G1175" t="s">
        <v>353</v>
      </c>
      <c r="H1175" t="s">
        <v>405</v>
      </c>
      <c r="I1175" t="s">
        <v>371</v>
      </c>
      <c r="J1175" t="s">
        <v>36</v>
      </c>
      <c r="K1175" t="s">
        <v>37</v>
      </c>
      <c r="L1175" t="s">
        <v>351</v>
      </c>
      <c r="M1175" t="s">
        <v>141</v>
      </c>
      <c r="N1175" t="s">
        <v>142</v>
      </c>
      <c r="O1175" t="s">
        <v>155</v>
      </c>
      <c r="P1175" t="s">
        <v>281</v>
      </c>
      <c r="Q1175" t="s">
        <v>155</v>
      </c>
      <c r="R1175" t="s">
        <v>302</v>
      </c>
      <c r="S1175" t="s">
        <v>309</v>
      </c>
      <c r="T1175">
        <v>1</v>
      </c>
      <c r="U1175" t="s">
        <v>435</v>
      </c>
      <c r="V1175" t="s">
        <v>285</v>
      </c>
      <c r="W1175" t="s">
        <v>436</v>
      </c>
      <c r="X1175" t="s">
        <v>306</v>
      </c>
      <c r="Y1175" t="s">
        <v>307</v>
      </c>
      <c r="Z1175">
        <v>65</v>
      </c>
      <c r="AA1175">
        <v>0</v>
      </c>
      <c r="AB1175" t="s">
        <v>151</v>
      </c>
      <c r="AC1175" t="s">
        <v>53</v>
      </c>
      <c r="AD1175" t="s">
        <v>404</v>
      </c>
      <c r="AE1175" t="str">
        <f>IF(AF1175="","",VLOOKUP(AC1175,mapel!$A$2:$B$42,2,FALSE))</f>
        <v/>
      </c>
      <c r="AF1175" t="str">
        <f t="shared" si="54"/>
        <v/>
      </c>
      <c r="AG1175" t="str">
        <f>IF(AF1175="","",IF(AF1175&gt;90,"Sangat baik",IF(AF1175&gt;79,"Baik",IF(AF1175&gt;=pub_gid_0_single_true_output_csv[[#This Row],[KKM]],"Cukup","Kurang"))))</f>
        <v/>
      </c>
      <c r="AH1175" t="str">
        <f t="shared" si="55"/>
        <v/>
      </c>
      <c r="AI1175" s="30" t="str">
        <f>IF(OR(J1175&lt;&gt;"Karakter",pub_gid_0_single_true_output_csv[[#This Row],[Nilai2]]=""),"",IF(AF1175&gt;89,"Sangat baik",IF(AF1175&gt;79,"Baik",IF(AF1175&gt;69,"Cukup",IF(AF1175&gt;59,"Kurang","Sangat kurang")))))</f>
        <v/>
      </c>
      <c r="AJ1175" t="str">
        <f t="shared" si="56"/>
        <v/>
      </c>
      <c r="AK1175" t="str">
        <f>IF(pub_gid_0_single_true_output_csv[[#This Row],[Nilai2]]="","",VLOOKUP(pub_gid_0_single_true_output_csv[[#This Row],[NAMA]],Table7[],3,FALSE))</f>
        <v/>
      </c>
    </row>
    <row r="1176" spans="1:37" x14ac:dyDescent="0.2">
      <c r="A1176">
        <v>1175</v>
      </c>
      <c r="B1176" t="s">
        <v>282</v>
      </c>
      <c r="C1176" t="s">
        <v>54</v>
      </c>
      <c r="D1176" t="s">
        <v>283</v>
      </c>
      <c r="E1176" t="s">
        <v>140</v>
      </c>
      <c r="F1176" s="25">
        <v>46036</v>
      </c>
      <c r="G1176" t="s">
        <v>353</v>
      </c>
      <c r="H1176" t="s">
        <v>405</v>
      </c>
      <c r="I1176" t="s">
        <v>371</v>
      </c>
      <c r="J1176" t="s">
        <v>31</v>
      </c>
      <c r="K1176" t="s">
        <v>32</v>
      </c>
      <c r="L1176" t="s">
        <v>351</v>
      </c>
      <c r="M1176" t="s">
        <v>141</v>
      </c>
      <c r="N1176" t="s">
        <v>142</v>
      </c>
      <c r="O1176" t="s">
        <v>155</v>
      </c>
      <c r="P1176" t="s">
        <v>281</v>
      </c>
      <c r="Q1176" t="s">
        <v>155</v>
      </c>
      <c r="R1176" t="s">
        <v>302</v>
      </c>
      <c r="S1176" t="s">
        <v>309</v>
      </c>
      <c r="T1176">
        <v>1</v>
      </c>
      <c r="U1176" t="s">
        <v>435</v>
      </c>
      <c r="V1176" t="s">
        <v>285</v>
      </c>
      <c r="W1176" t="s">
        <v>436</v>
      </c>
      <c r="X1176" t="s">
        <v>306</v>
      </c>
      <c r="Y1176" t="s">
        <v>307</v>
      </c>
      <c r="Z1176">
        <v>65</v>
      </c>
      <c r="AA1176">
        <v>0</v>
      </c>
      <c r="AB1176" t="s">
        <v>151</v>
      </c>
      <c r="AC1176" t="s">
        <v>53</v>
      </c>
      <c r="AD1176" t="s">
        <v>404</v>
      </c>
      <c r="AE1176" t="str">
        <f>IF(AF1176="","",VLOOKUP(AC1176,mapel!$A$2:$B$42,2,FALSE))</f>
        <v/>
      </c>
      <c r="AF1176" t="str">
        <f t="shared" si="54"/>
        <v/>
      </c>
      <c r="AG1176" t="str">
        <f>IF(AF1176="","",IF(AF1176&gt;90,"Sangat baik",IF(AF1176&gt;79,"Baik",IF(AF1176&gt;=pub_gid_0_single_true_output_csv[[#This Row],[KKM]],"Cukup","Kurang"))))</f>
        <v/>
      </c>
      <c r="AH1176" t="str">
        <f t="shared" si="55"/>
        <v/>
      </c>
      <c r="AI1176" s="30" t="str">
        <f>IF(OR(J1176&lt;&gt;"Karakter",pub_gid_0_single_true_output_csv[[#This Row],[Nilai2]]=""),"",IF(AF1176&gt;89,"Sangat baik",IF(AF1176&gt;79,"Baik",IF(AF1176&gt;69,"Cukup",IF(AF1176&gt;59,"Kurang","Sangat kurang")))))</f>
        <v/>
      </c>
      <c r="AJ1176" t="str">
        <f t="shared" si="56"/>
        <v/>
      </c>
      <c r="AK1176" t="str">
        <f>IF(pub_gid_0_single_true_output_csv[[#This Row],[Nilai2]]="","",VLOOKUP(pub_gid_0_single_true_output_csv[[#This Row],[NAMA]],Table7[],3,FALSE))</f>
        <v/>
      </c>
    </row>
    <row r="1177" spans="1:37" x14ac:dyDescent="0.2">
      <c r="A1177">
        <v>1176</v>
      </c>
      <c r="B1177" t="s">
        <v>282</v>
      </c>
      <c r="C1177" t="s">
        <v>54</v>
      </c>
      <c r="D1177" t="s">
        <v>283</v>
      </c>
      <c r="E1177" t="s">
        <v>140</v>
      </c>
      <c r="F1177" s="25">
        <v>46036</v>
      </c>
      <c r="G1177" t="s">
        <v>353</v>
      </c>
      <c r="H1177" t="s">
        <v>405</v>
      </c>
      <c r="I1177" t="s">
        <v>371</v>
      </c>
      <c r="J1177" t="s">
        <v>90</v>
      </c>
      <c r="K1177" t="s">
        <v>92</v>
      </c>
      <c r="L1177" t="s">
        <v>91</v>
      </c>
      <c r="M1177" t="s">
        <v>141</v>
      </c>
      <c r="N1177" t="s">
        <v>142</v>
      </c>
      <c r="O1177" t="s">
        <v>155</v>
      </c>
      <c r="P1177" t="s">
        <v>281</v>
      </c>
      <c r="Q1177" t="s">
        <v>155</v>
      </c>
      <c r="R1177" t="s">
        <v>302</v>
      </c>
      <c r="S1177" t="s">
        <v>309</v>
      </c>
      <c r="T1177">
        <v>1</v>
      </c>
      <c r="U1177" t="s">
        <v>435</v>
      </c>
      <c r="V1177" t="s">
        <v>285</v>
      </c>
      <c r="W1177" t="s">
        <v>436</v>
      </c>
      <c r="X1177" t="s">
        <v>306</v>
      </c>
      <c r="Y1177" t="s">
        <v>307</v>
      </c>
      <c r="Z1177">
        <v>65</v>
      </c>
      <c r="AA1177">
        <v>0</v>
      </c>
      <c r="AB1177" t="s">
        <v>151</v>
      </c>
      <c r="AC1177" t="s">
        <v>53</v>
      </c>
      <c r="AD1177" t="s">
        <v>404</v>
      </c>
      <c r="AE1177" t="str">
        <f>IF(AF1177="","",VLOOKUP(AC1177,mapel!$A$2:$B$42,2,FALSE))</f>
        <v/>
      </c>
      <c r="AF1177" t="str">
        <f t="shared" si="54"/>
        <v/>
      </c>
      <c r="AG1177" t="str">
        <f>IF(AF1177="","",IF(AF1177&gt;90,"Sangat baik",IF(AF1177&gt;79,"Baik",IF(AF1177&gt;=pub_gid_0_single_true_output_csv[[#This Row],[KKM]],"Cukup","Kurang"))))</f>
        <v/>
      </c>
      <c r="AH1177" t="str">
        <f t="shared" si="55"/>
        <v/>
      </c>
      <c r="AI1177" s="30" t="str">
        <f>IF(OR(J1177&lt;&gt;"Karakter",pub_gid_0_single_true_output_csv[[#This Row],[Nilai2]]=""),"",IF(AF1177&gt;89,"Sangat baik",IF(AF1177&gt;79,"Baik",IF(AF1177&gt;69,"Cukup",IF(AF1177&gt;59,"Kurang","Sangat kurang")))))</f>
        <v/>
      </c>
      <c r="AJ1177" t="str">
        <f t="shared" si="56"/>
        <v/>
      </c>
      <c r="AK1177" t="str">
        <f>IF(pub_gid_0_single_true_output_csv[[#This Row],[Nilai2]]="","",VLOOKUP(pub_gid_0_single_true_output_csv[[#This Row],[NAMA]],Table7[],3,FALSE))</f>
        <v/>
      </c>
    </row>
    <row r="1178" spans="1:37" x14ac:dyDescent="0.2">
      <c r="A1178">
        <v>1177</v>
      </c>
      <c r="B1178" t="s">
        <v>282</v>
      </c>
      <c r="C1178" t="s">
        <v>54</v>
      </c>
      <c r="D1178" t="s">
        <v>283</v>
      </c>
      <c r="E1178" t="s">
        <v>140</v>
      </c>
      <c r="F1178" s="25">
        <v>46036</v>
      </c>
      <c r="G1178" t="s">
        <v>353</v>
      </c>
      <c r="H1178" t="s">
        <v>405</v>
      </c>
      <c r="I1178" t="s">
        <v>371</v>
      </c>
      <c r="J1178" t="s">
        <v>279</v>
      </c>
      <c r="K1178" t="s">
        <v>280</v>
      </c>
      <c r="L1178" t="s">
        <v>322</v>
      </c>
      <c r="M1178" t="s">
        <v>141</v>
      </c>
      <c r="N1178" t="s">
        <v>142</v>
      </c>
      <c r="O1178" t="s">
        <v>155</v>
      </c>
      <c r="P1178" t="s">
        <v>281</v>
      </c>
      <c r="Q1178" t="s">
        <v>155</v>
      </c>
      <c r="R1178" t="s">
        <v>302</v>
      </c>
      <c r="S1178" t="s">
        <v>309</v>
      </c>
      <c r="T1178">
        <v>1</v>
      </c>
      <c r="U1178" t="s">
        <v>435</v>
      </c>
      <c r="V1178" t="s">
        <v>285</v>
      </c>
      <c r="W1178" t="s">
        <v>436</v>
      </c>
      <c r="X1178" t="s">
        <v>306</v>
      </c>
      <c r="Y1178" t="s">
        <v>307</v>
      </c>
      <c r="Z1178">
        <v>65</v>
      </c>
      <c r="AA1178">
        <v>0</v>
      </c>
      <c r="AB1178" t="s">
        <v>151</v>
      </c>
      <c r="AC1178" t="s">
        <v>53</v>
      </c>
      <c r="AD1178" t="s">
        <v>404</v>
      </c>
      <c r="AE1178" t="str">
        <f>IF(AF1178="","",VLOOKUP(AC1178,mapel!$A$2:$B$42,2,FALSE))</f>
        <v/>
      </c>
      <c r="AF1178" t="str">
        <f t="shared" si="54"/>
        <v/>
      </c>
      <c r="AG1178" t="str">
        <f>IF(AF1178="","",IF(AF1178&gt;90,"Sangat baik",IF(AF1178&gt;79,"Baik",IF(AF1178&gt;=pub_gid_0_single_true_output_csv[[#This Row],[KKM]],"Cukup","Kurang"))))</f>
        <v/>
      </c>
      <c r="AH1178" t="str">
        <f t="shared" si="55"/>
        <v/>
      </c>
      <c r="AI1178" s="30" t="str">
        <f>IF(OR(J1178&lt;&gt;"Karakter",pub_gid_0_single_true_output_csv[[#This Row],[Nilai2]]=""),"",IF(AF1178&gt;89,"Sangat baik",IF(AF1178&gt;79,"Baik",IF(AF1178&gt;69,"Cukup",IF(AF1178&gt;59,"Kurang","Sangat kurang")))))</f>
        <v/>
      </c>
      <c r="AJ1178" t="str">
        <f t="shared" si="56"/>
        <v/>
      </c>
      <c r="AK1178" t="str">
        <f>IF(pub_gid_0_single_true_output_csv[[#This Row],[Nilai2]]="","",VLOOKUP(pub_gid_0_single_true_output_csv[[#This Row],[NAMA]],Table7[],3,FALSE))</f>
        <v/>
      </c>
    </row>
    <row r="1179" spans="1:37" x14ac:dyDescent="0.2">
      <c r="A1179">
        <v>1178</v>
      </c>
      <c r="B1179" t="s">
        <v>282</v>
      </c>
      <c r="C1179" t="s">
        <v>54</v>
      </c>
      <c r="D1179" t="s">
        <v>283</v>
      </c>
      <c r="E1179" t="s">
        <v>140</v>
      </c>
      <c r="F1179" s="25">
        <v>46043</v>
      </c>
      <c r="G1179" t="s">
        <v>341</v>
      </c>
      <c r="H1179" t="s">
        <v>405</v>
      </c>
      <c r="I1179" t="s">
        <v>371</v>
      </c>
      <c r="J1179" t="s">
        <v>36</v>
      </c>
      <c r="K1179" t="s">
        <v>37</v>
      </c>
      <c r="L1179" t="s">
        <v>351</v>
      </c>
      <c r="M1179" t="s">
        <v>141</v>
      </c>
      <c r="N1179" t="s">
        <v>142</v>
      </c>
      <c r="O1179" t="s">
        <v>155</v>
      </c>
      <c r="P1179" t="s">
        <v>281</v>
      </c>
      <c r="Q1179" t="s">
        <v>155</v>
      </c>
      <c r="R1179" t="s">
        <v>302</v>
      </c>
      <c r="S1179" t="s">
        <v>309</v>
      </c>
      <c r="T1179">
        <v>1</v>
      </c>
      <c r="U1179" t="s">
        <v>435</v>
      </c>
      <c r="V1179" t="s">
        <v>285</v>
      </c>
      <c r="W1179" t="s">
        <v>436</v>
      </c>
      <c r="X1179" t="s">
        <v>306</v>
      </c>
      <c r="Y1179" t="s">
        <v>307</v>
      </c>
      <c r="Z1179">
        <v>65</v>
      </c>
      <c r="AA1179">
        <v>0</v>
      </c>
      <c r="AB1179" t="s">
        <v>151</v>
      </c>
      <c r="AC1179" t="s">
        <v>53</v>
      </c>
      <c r="AD1179" t="s">
        <v>404</v>
      </c>
      <c r="AE1179" t="str">
        <f>IF(AF1179="","",VLOOKUP(AC1179,mapel!$A$2:$B$42,2,FALSE))</f>
        <v/>
      </c>
      <c r="AF1179" t="str">
        <f t="shared" si="54"/>
        <v/>
      </c>
      <c r="AG1179" t="str">
        <f>IF(AF1179="","",IF(AF1179&gt;90,"Sangat baik",IF(AF1179&gt;79,"Baik",IF(AF1179&gt;=pub_gid_0_single_true_output_csv[[#This Row],[KKM]],"Cukup","Kurang"))))</f>
        <v/>
      </c>
      <c r="AH1179" t="str">
        <f t="shared" si="55"/>
        <v/>
      </c>
      <c r="AI1179" s="30" t="str">
        <f>IF(OR(J1179&lt;&gt;"Karakter",pub_gid_0_single_true_output_csv[[#This Row],[Nilai2]]=""),"",IF(AF1179&gt;89,"Sangat baik",IF(AF1179&gt;79,"Baik",IF(AF1179&gt;69,"Cukup",IF(AF1179&gt;59,"Kurang","Sangat kurang")))))</f>
        <v/>
      </c>
      <c r="AJ1179" t="str">
        <f t="shared" si="56"/>
        <v/>
      </c>
      <c r="AK1179" t="str">
        <f>IF(pub_gid_0_single_true_output_csv[[#This Row],[Nilai2]]="","",VLOOKUP(pub_gid_0_single_true_output_csv[[#This Row],[NAMA]],Table7[],3,FALSE))</f>
        <v/>
      </c>
    </row>
    <row r="1180" spans="1:37" x14ac:dyDescent="0.2">
      <c r="A1180">
        <v>1179</v>
      </c>
      <c r="B1180" t="s">
        <v>282</v>
      </c>
      <c r="C1180" t="s">
        <v>54</v>
      </c>
      <c r="D1180" t="s">
        <v>283</v>
      </c>
      <c r="E1180" t="s">
        <v>140</v>
      </c>
      <c r="F1180" s="25">
        <v>46043</v>
      </c>
      <c r="G1180" t="s">
        <v>341</v>
      </c>
      <c r="H1180" t="s">
        <v>405</v>
      </c>
      <c r="I1180" t="s">
        <v>371</v>
      </c>
      <c r="J1180" t="s">
        <v>31</v>
      </c>
      <c r="K1180" t="s">
        <v>96</v>
      </c>
      <c r="L1180" t="s">
        <v>322</v>
      </c>
      <c r="M1180" t="s">
        <v>141</v>
      </c>
      <c r="N1180" t="s">
        <v>142</v>
      </c>
      <c r="O1180" t="s">
        <v>155</v>
      </c>
      <c r="P1180" t="s">
        <v>281</v>
      </c>
      <c r="Q1180" t="s">
        <v>155</v>
      </c>
      <c r="R1180" t="s">
        <v>302</v>
      </c>
      <c r="S1180" t="s">
        <v>309</v>
      </c>
      <c r="T1180">
        <v>1</v>
      </c>
      <c r="U1180" t="s">
        <v>435</v>
      </c>
      <c r="V1180" t="s">
        <v>285</v>
      </c>
      <c r="W1180" t="s">
        <v>436</v>
      </c>
      <c r="X1180" t="s">
        <v>306</v>
      </c>
      <c r="Y1180" t="s">
        <v>307</v>
      </c>
      <c r="Z1180">
        <v>65</v>
      </c>
      <c r="AA1180">
        <v>0</v>
      </c>
      <c r="AB1180" t="s">
        <v>151</v>
      </c>
      <c r="AC1180" t="s">
        <v>53</v>
      </c>
      <c r="AD1180" t="s">
        <v>404</v>
      </c>
      <c r="AE1180" t="str">
        <f>IF(AF1180="","",VLOOKUP(AC1180,mapel!$A$2:$B$42,2,FALSE))</f>
        <v/>
      </c>
      <c r="AF1180" t="str">
        <f t="shared" si="54"/>
        <v/>
      </c>
      <c r="AG1180" t="str">
        <f>IF(AF1180="","",IF(AF1180&gt;90,"Sangat baik",IF(AF1180&gt;79,"Baik",IF(AF1180&gt;=pub_gid_0_single_true_output_csv[[#This Row],[KKM]],"Cukup","Kurang"))))</f>
        <v/>
      </c>
      <c r="AH1180" t="str">
        <f t="shared" si="55"/>
        <v/>
      </c>
      <c r="AI1180" s="30" t="str">
        <f>IF(OR(J1180&lt;&gt;"Karakter",pub_gid_0_single_true_output_csv[[#This Row],[Nilai2]]=""),"",IF(AF1180&gt;89,"Sangat baik",IF(AF1180&gt;79,"Baik",IF(AF1180&gt;69,"Cukup",IF(AF1180&gt;59,"Kurang","Sangat kurang")))))</f>
        <v/>
      </c>
      <c r="AJ1180" t="str">
        <f t="shared" si="56"/>
        <v/>
      </c>
      <c r="AK1180" t="str">
        <f>IF(pub_gid_0_single_true_output_csv[[#This Row],[Nilai2]]="","",VLOOKUP(pub_gid_0_single_true_output_csv[[#This Row],[NAMA]],Table7[],3,FALSE))</f>
        <v/>
      </c>
    </row>
    <row r="1181" spans="1:37" x14ac:dyDescent="0.2">
      <c r="A1181">
        <v>1180</v>
      </c>
      <c r="B1181" t="s">
        <v>282</v>
      </c>
      <c r="C1181" t="s">
        <v>54</v>
      </c>
      <c r="D1181" t="s">
        <v>283</v>
      </c>
      <c r="E1181" t="s">
        <v>140</v>
      </c>
      <c r="F1181" s="25">
        <v>46043</v>
      </c>
      <c r="G1181" t="s">
        <v>341</v>
      </c>
      <c r="H1181" t="s">
        <v>405</v>
      </c>
      <c r="I1181" t="s">
        <v>371</v>
      </c>
      <c r="J1181" t="s">
        <v>90</v>
      </c>
      <c r="K1181" t="s">
        <v>92</v>
      </c>
      <c r="L1181" t="s">
        <v>93</v>
      </c>
      <c r="M1181" t="s">
        <v>141</v>
      </c>
      <c r="N1181" t="s">
        <v>142</v>
      </c>
      <c r="O1181" t="s">
        <v>155</v>
      </c>
      <c r="P1181" t="s">
        <v>281</v>
      </c>
      <c r="Q1181" t="s">
        <v>155</v>
      </c>
      <c r="R1181" t="s">
        <v>302</v>
      </c>
      <c r="S1181" t="s">
        <v>309</v>
      </c>
      <c r="T1181">
        <v>1</v>
      </c>
      <c r="U1181" t="s">
        <v>435</v>
      </c>
      <c r="V1181" t="s">
        <v>285</v>
      </c>
      <c r="W1181" t="s">
        <v>436</v>
      </c>
      <c r="X1181" t="s">
        <v>306</v>
      </c>
      <c r="Y1181" t="s">
        <v>307</v>
      </c>
      <c r="Z1181">
        <v>65</v>
      </c>
      <c r="AA1181">
        <v>0</v>
      </c>
      <c r="AB1181" t="s">
        <v>151</v>
      </c>
      <c r="AC1181" t="s">
        <v>53</v>
      </c>
      <c r="AD1181" t="s">
        <v>404</v>
      </c>
      <c r="AE1181" t="str">
        <f>IF(AF1181="","",VLOOKUP(AC1181,mapel!$A$2:$B$42,2,FALSE))</f>
        <v/>
      </c>
      <c r="AF1181" t="str">
        <f t="shared" si="54"/>
        <v/>
      </c>
      <c r="AG1181" t="str">
        <f>IF(AF1181="","",IF(AF1181&gt;90,"Sangat baik",IF(AF1181&gt;79,"Baik",IF(AF1181&gt;=pub_gid_0_single_true_output_csv[[#This Row],[KKM]],"Cukup","Kurang"))))</f>
        <v/>
      </c>
      <c r="AH1181" t="str">
        <f t="shared" si="55"/>
        <v/>
      </c>
      <c r="AI1181" s="30" t="str">
        <f>IF(OR(J1181&lt;&gt;"Karakter",pub_gid_0_single_true_output_csv[[#This Row],[Nilai2]]=""),"",IF(AF1181&gt;89,"Sangat baik",IF(AF1181&gt;79,"Baik",IF(AF1181&gt;69,"Cukup",IF(AF1181&gt;59,"Kurang","Sangat kurang")))))</f>
        <v/>
      </c>
      <c r="AJ1181" t="str">
        <f t="shared" si="56"/>
        <v/>
      </c>
      <c r="AK1181" t="str">
        <f>IF(pub_gid_0_single_true_output_csv[[#This Row],[Nilai2]]="","",VLOOKUP(pub_gid_0_single_true_output_csv[[#This Row],[NAMA]],Table7[],3,FALSE))</f>
        <v/>
      </c>
    </row>
    <row r="1182" spans="1:37" x14ac:dyDescent="0.2">
      <c r="A1182">
        <v>1181</v>
      </c>
      <c r="B1182" t="s">
        <v>282</v>
      </c>
      <c r="C1182" t="s">
        <v>54</v>
      </c>
      <c r="D1182" t="s">
        <v>283</v>
      </c>
      <c r="E1182" t="s">
        <v>140</v>
      </c>
      <c r="F1182" s="25">
        <v>46043</v>
      </c>
      <c r="G1182" t="s">
        <v>341</v>
      </c>
      <c r="H1182" t="s">
        <v>405</v>
      </c>
      <c r="I1182" t="s">
        <v>371</v>
      </c>
      <c r="J1182" t="s">
        <v>279</v>
      </c>
      <c r="K1182" t="s">
        <v>280</v>
      </c>
      <c r="L1182" t="s">
        <v>322</v>
      </c>
      <c r="M1182" t="s">
        <v>141</v>
      </c>
      <c r="N1182" t="s">
        <v>142</v>
      </c>
      <c r="O1182" t="s">
        <v>155</v>
      </c>
      <c r="P1182" t="s">
        <v>281</v>
      </c>
      <c r="Q1182" t="s">
        <v>155</v>
      </c>
      <c r="R1182" t="s">
        <v>302</v>
      </c>
      <c r="S1182" t="s">
        <v>355</v>
      </c>
      <c r="T1182">
        <v>2</v>
      </c>
      <c r="U1182" t="s">
        <v>159</v>
      </c>
      <c r="V1182" t="s">
        <v>303</v>
      </c>
      <c r="W1182" t="s">
        <v>437</v>
      </c>
      <c r="X1182" t="s">
        <v>306</v>
      </c>
      <c r="Y1182" t="s">
        <v>307</v>
      </c>
      <c r="Z1182">
        <v>65</v>
      </c>
      <c r="AA1182">
        <v>0</v>
      </c>
      <c r="AB1182" t="s">
        <v>151</v>
      </c>
      <c r="AC1182" t="s">
        <v>53</v>
      </c>
      <c r="AD1182" t="s">
        <v>404</v>
      </c>
      <c r="AE1182" t="str">
        <f>IF(AF1182="","",VLOOKUP(AC1182,mapel!$A$2:$B$42,2,FALSE))</f>
        <v/>
      </c>
      <c r="AF1182" t="str">
        <f t="shared" si="54"/>
        <v/>
      </c>
      <c r="AG1182" t="str">
        <f>IF(AF1182="","",IF(AF1182&gt;90,"Sangat baik",IF(AF1182&gt;79,"Baik",IF(AF1182&gt;=pub_gid_0_single_true_output_csv[[#This Row],[KKM]],"Cukup","Kurang"))))</f>
        <v/>
      </c>
      <c r="AH1182" t="str">
        <f t="shared" si="55"/>
        <v/>
      </c>
      <c r="AI1182" s="30" t="str">
        <f>IF(OR(J1182&lt;&gt;"Karakter",pub_gid_0_single_true_output_csv[[#This Row],[Nilai2]]=""),"",IF(AF1182&gt;89,"Sangat baik",IF(AF1182&gt;79,"Baik",IF(AF1182&gt;69,"Cukup",IF(AF1182&gt;59,"Kurang","Sangat kurang")))))</f>
        <v/>
      </c>
      <c r="AJ1182" t="str">
        <f t="shared" si="56"/>
        <v/>
      </c>
      <c r="AK1182" t="str">
        <f>IF(pub_gid_0_single_true_output_csv[[#This Row],[Nilai2]]="","",VLOOKUP(pub_gid_0_single_true_output_csv[[#This Row],[NAMA]],Table7[],3,FALSE))</f>
        <v/>
      </c>
    </row>
    <row r="1183" spans="1:37" x14ac:dyDescent="0.2">
      <c r="A1183">
        <v>1182</v>
      </c>
      <c r="B1183" t="s">
        <v>282</v>
      </c>
      <c r="C1183" t="s">
        <v>54</v>
      </c>
      <c r="D1183" t="s">
        <v>283</v>
      </c>
      <c r="E1183" t="s">
        <v>140</v>
      </c>
      <c r="F1183" s="25">
        <v>46050</v>
      </c>
      <c r="G1183" t="s">
        <v>308</v>
      </c>
      <c r="H1183" t="s">
        <v>405</v>
      </c>
      <c r="I1183" t="s">
        <v>371</v>
      </c>
      <c r="J1183" t="s">
        <v>36</v>
      </c>
      <c r="K1183" t="s">
        <v>37</v>
      </c>
      <c r="L1183" t="s">
        <v>351</v>
      </c>
      <c r="M1183" t="s">
        <v>141</v>
      </c>
      <c r="N1183" t="s">
        <v>142</v>
      </c>
      <c r="O1183" t="s">
        <v>155</v>
      </c>
      <c r="P1183" t="s">
        <v>281</v>
      </c>
      <c r="Q1183" t="s">
        <v>155</v>
      </c>
      <c r="R1183" t="s">
        <v>302</v>
      </c>
      <c r="S1183" t="s">
        <v>355</v>
      </c>
      <c r="T1183">
        <v>2</v>
      </c>
      <c r="U1183" t="s">
        <v>159</v>
      </c>
      <c r="V1183" t="s">
        <v>303</v>
      </c>
      <c r="W1183" t="s">
        <v>437</v>
      </c>
      <c r="X1183" t="s">
        <v>306</v>
      </c>
      <c r="Y1183" t="s">
        <v>307</v>
      </c>
      <c r="Z1183">
        <v>65</v>
      </c>
      <c r="AA1183">
        <v>0</v>
      </c>
      <c r="AB1183" t="s">
        <v>151</v>
      </c>
      <c r="AC1183" t="s">
        <v>53</v>
      </c>
      <c r="AD1183" t="s">
        <v>404</v>
      </c>
      <c r="AE1183" t="str">
        <f>IF(AF1183="","",VLOOKUP(AC1183,mapel!$A$2:$B$42,2,FALSE))</f>
        <v/>
      </c>
      <c r="AF1183" t="str">
        <f t="shared" si="54"/>
        <v/>
      </c>
      <c r="AG1183" t="str">
        <f>IF(AF1183="","",IF(AF1183&gt;90,"Sangat baik",IF(AF1183&gt;79,"Baik",IF(AF1183&gt;=pub_gid_0_single_true_output_csv[[#This Row],[KKM]],"Cukup","Kurang"))))</f>
        <v/>
      </c>
      <c r="AH1183" t="str">
        <f t="shared" si="55"/>
        <v/>
      </c>
      <c r="AI1183" s="30" t="str">
        <f>IF(OR(J1183&lt;&gt;"Karakter",pub_gid_0_single_true_output_csv[[#This Row],[Nilai2]]=""),"",IF(AF1183&gt;89,"Sangat baik",IF(AF1183&gt;79,"Baik",IF(AF1183&gt;69,"Cukup",IF(AF1183&gt;59,"Kurang","Sangat kurang")))))</f>
        <v/>
      </c>
      <c r="AJ1183" t="str">
        <f t="shared" si="56"/>
        <v/>
      </c>
      <c r="AK1183" t="str">
        <f>IF(pub_gid_0_single_true_output_csv[[#This Row],[Nilai2]]="","",VLOOKUP(pub_gid_0_single_true_output_csv[[#This Row],[NAMA]],Table7[],3,FALSE))</f>
        <v/>
      </c>
    </row>
    <row r="1184" spans="1:37" x14ac:dyDescent="0.2">
      <c r="A1184">
        <v>1183</v>
      </c>
      <c r="B1184" t="s">
        <v>282</v>
      </c>
      <c r="C1184" t="s">
        <v>54</v>
      </c>
      <c r="D1184" t="s">
        <v>283</v>
      </c>
      <c r="E1184" t="s">
        <v>140</v>
      </c>
      <c r="F1184" s="25">
        <v>46050</v>
      </c>
      <c r="G1184" t="s">
        <v>308</v>
      </c>
      <c r="H1184" t="s">
        <v>405</v>
      </c>
      <c r="I1184" t="s">
        <v>371</v>
      </c>
      <c r="J1184" t="s">
        <v>31</v>
      </c>
      <c r="K1184" t="s">
        <v>96</v>
      </c>
      <c r="L1184" t="s">
        <v>351</v>
      </c>
      <c r="M1184" t="s">
        <v>141</v>
      </c>
      <c r="N1184" t="s">
        <v>142</v>
      </c>
      <c r="O1184" t="s">
        <v>155</v>
      </c>
      <c r="P1184" t="s">
        <v>281</v>
      </c>
      <c r="Q1184" t="s">
        <v>155</v>
      </c>
      <c r="R1184" t="s">
        <v>302</v>
      </c>
      <c r="S1184" t="s">
        <v>355</v>
      </c>
      <c r="T1184">
        <v>2</v>
      </c>
      <c r="U1184" t="s">
        <v>159</v>
      </c>
      <c r="V1184" t="s">
        <v>303</v>
      </c>
      <c r="W1184" t="s">
        <v>437</v>
      </c>
      <c r="X1184" t="s">
        <v>306</v>
      </c>
      <c r="Y1184" t="s">
        <v>307</v>
      </c>
      <c r="Z1184">
        <v>65</v>
      </c>
      <c r="AA1184">
        <v>0</v>
      </c>
      <c r="AB1184" t="s">
        <v>151</v>
      </c>
      <c r="AC1184" t="s">
        <v>53</v>
      </c>
      <c r="AD1184" t="s">
        <v>404</v>
      </c>
      <c r="AE1184" t="str">
        <f>IF(AF1184="","",VLOOKUP(AC1184,mapel!$A$2:$B$42,2,FALSE))</f>
        <v/>
      </c>
      <c r="AF1184" t="str">
        <f t="shared" si="54"/>
        <v/>
      </c>
      <c r="AG1184" t="str">
        <f>IF(AF1184="","",IF(AF1184&gt;90,"Sangat baik",IF(AF1184&gt;79,"Baik",IF(AF1184&gt;=pub_gid_0_single_true_output_csv[[#This Row],[KKM]],"Cukup","Kurang"))))</f>
        <v/>
      </c>
      <c r="AH1184" t="str">
        <f t="shared" si="55"/>
        <v/>
      </c>
      <c r="AI1184" s="30" t="str">
        <f>IF(OR(J1184&lt;&gt;"Karakter",pub_gid_0_single_true_output_csv[[#This Row],[Nilai2]]=""),"",IF(AF1184&gt;89,"Sangat baik",IF(AF1184&gt;79,"Baik",IF(AF1184&gt;69,"Cukup",IF(AF1184&gt;59,"Kurang","Sangat kurang")))))</f>
        <v/>
      </c>
      <c r="AJ1184" t="str">
        <f t="shared" si="56"/>
        <v/>
      </c>
      <c r="AK1184" t="str">
        <f>IF(pub_gid_0_single_true_output_csv[[#This Row],[Nilai2]]="","",VLOOKUP(pub_gid_0_single_true_output_csv[[#This Row],[NAMA]],Table7[],3,FALSE))</f>
        <v/>
      </c>
    </row>
    <row r="1185" spans="1:37" x14ac:dyDescent="0.2">
      <c r="A1185">
        <v>1184</v>
      </c>
      <c r="B1185" t="s">
        <v>282</v>
      </c>
      <c r="C1185" t="s">
        <v>54</v>
      </c>
      <c r="D1185" t="s">
        <v>283</v>
      </c>
      <c r="E1185" t="s">
        <v>140</v>
      </c>
      <c r="F1185" s="25">
        <v>46050</v>
      </c>
      <c r="G1185" t="s">
        <v>308</v>
      </c>
      <c r="H1185" t="s">
        <v>405</v>
      </c>
      <c r="I1185" t="s">
        <v>371</v>
      </c>
      <c r="J1185" t="s">
        <v>90</v>
      </c>
      <c r="K1185" t="s">
        <v>92</v>
      </c>
      <c r="L1185" t="s">
        <v>91</v>
      </c>
      <c r="M1185" t="s">
        <v>141</v>
      </c>
      <c r="N1185" t="s">
        <v>142</v>
      </c>
      <c r="O1185" t="s">
        <v>155</v>
      </c>
      <c r="P1185" t="s">
        <v>281</v>
      </c>
      <c r="Q1185" t="s">
        <v>155</v>
      </c>
      <c r="R1185" t="s">
        <v>302</v>
      </c>
      <c r="S1185" t="s">
        <v>355</v>
      </c>
      <c r="T1185">
        <v>2</v>
      </c>
      <c r="U1185" t="s">
        <v>159</v>
      </c>
      <c r="V1185" t="s">
        <v>303</v>
      </c>
      <c r="W1185" t="s">
        <v>437</v>
      </c>
      <c r="X1185" t="s">
        <v>306</v>
      </c>
      <c r="Y1185" t="s">
        <v>307</v>
      </c>
      <c r="Z1185">
        <v>65</v>
      </c>
      <c r="AA1185">
        <v>0</v>
      </c>
      <c r="AB1185" t="s">
        <v>151</v>
      </c>
      <c r="AC1185" t="s">
        <v>53</v>
      </c>
      <c r="AD1185" t="s">
        <v>404</v>
      </c>
      <c r="AE1185" t="str">
        <f>IF(AF1185="","",VLOOKUP(AC1185,mapel!$A$2:$B$42,2,FALSE))</f>
        <v/>
      </c>
      <c r="AF1185" t="str">
        <f t="shared" si="54"/>
        <v/>
      </c>
      <c r="AG1185" t="str">
        <f>IF(AF1185="","",IF(AF1185&gt;90,"Sangat baik",IF(AF1185&gt;79,"Baik",IF(AF1185&gt;=pub_gid_0_single_true_output_csv[[#This Row],[KKM]],"Cukup","Kurang"))))</f>
        <v/>
      </c>
      <c r="AH1185" t="str">
        <f t="shared" si="55"/>
        <v/>
      </c>
      <c r="AI1185" s="30" t="str">
        <f>IF(OR(J1185&lt;&gt;"Karakter",pub_gid_0_single_true_output_csv[[#This Row],[Nilai2]]=""),"",IF(AF1185&gt;89,"Sangat baik",IF(AF1185&gt;79,"Baik",IF(AF1185&gt;69,"Cukup",IF(AF1185&gt;59,"Kurang","Sangat kurang")))))</f>
        <v/>
      </c>
      <c r="AJ1185" t="str">
        <f t="shared" si="56"/>
        <v/>
      </c>
      <c r="AK1185" t="str">
        <f>IF(pub_gid_0_single_true_output_csv[[#This Row],[Nilai2]]="","",VLOOKUP(pub_gid_0_single_true_output_csv[[#This Row],[NAMA]],Table7[],3,FALSE))</f>
        <v/>
      </c>
    </row>
    <row r="1186" spans="1:37" x14ac:dyDescent="0.2">
      <c r="A1186">
        <v>1185</v>
      </c>
      <c r="B1186" t="s">
        <v>282</v>
      </c>
      <c r="C1186" t="s">
        <v>54</v>
      </c>
      <c r="D1186" t="s">
        <v>283</v>
      </c>
      <c r="E1186" t="s">
        <v>140</v>
      </c>
      <c r="F1186" s="25">
        <v>46050</v>
      </c>
      <c r="G1186" t="s">
        <v>308</v>
      </c>
      <c r="H1186" t="s">
        <v>405</v>
      </c>
      <c r="I1186" t="s">
        <v>371</v>
      </c>
      <c r="J1186" t="s">
        <v>279</v>
      </c>
      <c r="K1186" t="s">
        <v>280</v>
      </c>
      <c r="L1186" t="s">
        <v>322</v>
      </c>
      <c r="M1186" t="s">
        <v>141</v>
      </c>
      <c r="N1186" t="s">
        <v>142</v>
      </c>
      <c r="O1186" t="s">
        <v>155</v>
      </c>
      <c r="P1186" t="s">
        <v>281</v>
      </c>
      <c r="Q1186" t="s">
        <v>155</v>
      </c>
      <c r="R1186" t="s">
        <v>302</v>
      </c>
      <c r="S1186" t="s">
        <v>355</v>
      </c>
      <c r="T1186">
        <v>2</v>
      </c>
      <c r="U1186" t="s">
        <v>159</v>
      </c>
      <c r="V1186" t="s">
        <v>303</v>
      </c>
      <c r="W1186" t="s">
        <v>437</v>
      </c>
      <c r="X1186" t="s">
        <v>306</v>
      </c>
      <c r="Y1186" t="s">
        <v>307</v>
      </c>
      <c r="Z1186">
        <v>65</v>
      </c>
      <c r="AA1186">
        <v>0</v>
      </c>
      <c r="AB1186" t="s">
        <v>151</v>
      </c>
      <c r="AC1186" t="s">
        <v>53</v>
      </c>
      <c r="AD1186" t="s">
        <v>404</v>
      </c>
      <c r="AE1186" t="str">
        <f>IF(AF1186="","",VLOOKUP(AC1186,mapel!$A$2:$B$42,2,FALSE))</f>
        <v/>
      </c>
      <c r="AF1186" t="str">
        <f t="shared" si="54"/>
        <v/>
      </c>
      <c r="AG1186" t="str">
        <f>IF(AF1186="","",IF(AF1186&gt;90,"Sangat baik",IF(AF1186&gt;79,"Baik",IF(AF1186&gt;=pub_gid_0_single_true_output_csv[[#This Row],[KKM]],"Cukup","Kurang"))))</f>
        <v/>
      </c>
      <c r="AH1186" t="str">
        <f t="shared" si="55"/>
        <v/>
      </c>
      <c r="AI1186" s="30" t="str">
        <f>IF(OR(J1186&lt;&gt;"Karakter",pub_gid_0_single_true_output_csv[[#This Row],[Nilai2]]=""),"",IF(AF1186&gt;89,"Sangat baik",IF(AF1186&gt;79,"Baik",IF(AF1186&gt;69,"Cukup",IF(AF1186&gt;59,"Kurang","Sangat kurang")))))</f>
        <v/>
      </c>
      <c r="AJ1186" t="str">
        <f t="shared" si="56"/>
        <v/>
      </c>
      <c r="AK1186" t="str">
        <f>IF(pub_gid_0_single_true_output_csv[[#This Row],[Nilai2]]="","",VLOOKUP(pub_gid_0_single_true_output_csv[[#This Row],[NAMA]],Table7[],3,FALSE))</f>
        <v/>
      </c>
    </row>
    <row r="1187" spans="1:37" x14ac:dyDescent="0.2">
      <c r="A1187">
        <v>1186</v>
      </c>
      <c r="B1187" t="s">
        <v>282</v>
      </c>
      <c r="C1187" t="s">
        <v>54</v>
      </c>
      <c r="D1187" t="s">
        <v>283</v>
      </c>
      <c r="E1187" t="s">
        <v>140</v>
      </c>
      <c r="F1187" s="25">
        <v>46057</v>
      </c>
      <c r="G1187" t="s">
        <v>348</v>
      </c>
      <c r="H1187" t="s">
        <v>412</v>
      </c>
      <c r="I1187" t="s">
        <v>371</v>
      </c>
      <c r="J1187" t="s">
        <v>36</v>
      </c>
      <c r="K1187" t="s">
        <v>37</v>
      </c>
      <c r="L1187" t="s">
        <v>351</v>
      </c>
      <c r="M1187" t="s">
        <v>141</v>
      </c>
      <c r="N1187" t="s">
        <v>142</v>
      </c>
      <c r="O1187" t="s">
        <v>155</v>
      </c>
      <c r="P1187" t="s">
        <v>281</v>
      </c>
      <c r="Q1187" t="s">
        <v>155</v>
      </c>
      <c r="R1187" t="s">
        <v>302</v>
      </c>
      <c r="S1187" t="s">
        <v>355</v>
      </c>
      <c r="T1187">
        <v>2</v>
      </c>
      <c r="U1187" t="s">
        <v>159</v>
      </c>
      <c r="V1187" t="s">
        <v>303</v>
      </c>
      <c r="W1187" t="s">
        <v>437</v>
      </c>
      <c r="X1187" t="s">
        <v>306</v>
      </c>
      <c r="Y1187" t="s">
        <v>307</v>
      </c>
      <c r="Z1187">
        <v>65</v>
      </c>
      <c r="AA1187">
        <v>0</v>
      </c>
      <c r="AB1187" t="s">
        <v>151</v>
      </c>
      <c r="AC1187" t="s">
        <v>53</v>
      </c>
      <c r="AD1187" t="s">
        <v>404</v>
      </c>
      <c r="AE1187" t="str">
        <f>IF(AF1187="","",VLOOKUP(AC1187,mapel!$A$2:$B$42,2,FALSE))</f>
        <v/>
      </c>
      <c r="AF1187" t="str">
        <f t="shared" si="54"/>
        <v/>
      </c>
      <c r="AG1187" t="str">
        <f>IF(AF1187="","",IF(AF1187&gt;90,"Sangat baik",IF(AF1187&gt;79,"Baik",IF(AF1187&gt;=pub_gid_0_single_true_output_csv[[#This Row],[KKM]],"Cukup","Kurang"))))</f>
        <v/>
      </c>
      <c r="AH1187" t="str">
        <f t="shared" si="55"/>
        <v/>
      </c>
      <c r="AI1187" s="30" t="str">
        <f>IF(OR(J1187&lt;&gt;"Karakter",pub_gid_0_single_true_output_csv[[#This Row],[Nilai2]]=""),"",IF(AF1187&gt;89,"Sangat baik",IF(AF1187&gt;79,"Baik",IF(AF1187&gt;69,"Cukup",IF(AF1187&gt;59,"Kurang","Sangat kurang")))))</f>
        <v/>
      </c>
      <c r="AJ1187" t="str">
        <f t="shared" si="56"/>
        <v/>
      </c>
      <c r="AK1187" t="str">
        <f>IF(pub_gid_0_single_true_output_csv[[#This Row],[Nilai2]]="","",VLOOKUP(pub_gid_0_single_true_output_csv[[#This Row],[NAMA]],Table7[],3,FALSE))</f>
        <v/>
      </c>
    </row>
    <row r="1188" spans="1:37" x14ac:dyDescent="0.2">
      <c r="A1188">
        <v>1187</v>
      </c>
      <c r="B1188" t="s">
        <v>282</v>
      </c>
      <c r="C1188" t="s">
        <v>54</v>
      </c>
      <c r="D1188" t="s">
        <v>283</v>
      </c>
      <c r="E1188" t="s">
        <v>140</v>
      </c>
      <c r="F1188" s="25">
        <v>46057</v>
      </c>
      <c r="G1188" t="s">
        <v>348</v>
      </c>
      <c r="H1188" t="s">
        <v>412</v>
      </c>
      <c r="I1188" t="s">
        <v>371</v>
      </c>
      <c r="J1188" t="s">
        <v>31</v>
      </c>
      <c r="K1188" t="s">
        <v>96</v>
      </c>
      <c r="L1188" t="s">
        <v>351</v>
      </c>
      <c r="M1188" t="s">
        <v>141</v>
      </c>
      <c r="N1188" t="s">
        <v>142</v>
      </c>
      <c r="O1188" t="s">
        <v>155</v>
      </c>
      <c r="P1188" t="s">
        <v>281</v>
      </c>
      <c r="Q1188" t="s">
        <v>155</v>
      </c>
      <c r="R1188" t="s">
        <v>302</v>
      </c>
      <c r="S1188" t="s">
        <v>355</v>
      </c>
      <c r="T1188">
        <v>2</v>
      </c>
      <c r="U1188" t="s">
        <v>159</v>
      </c>
      <c r="V1188" t="s">
        <v>303</v>
      </c>
      <c r="W1188" t="s">
        <v>437</v>
      </c>
      <c r="X1188" t="s">
        <v>306</v>
      </c>
      <c r="Y1188" t="s">
        <v>307</v>
      </c>
      <c r="Z1188">
        <v>65</v>
      </c>
      <c r="AA1188">
        <v>0</v>
      </c>
      <c r="AB1188" t="s">
        <v>151</v>
      </c>
      <c r="AC1188" t="s">
        <v>53</v>
      </c>
      <c r="AD1188" t="s">
        <v>404</v>
      </c>
      <c r="AE1188" t="str">
        <f>IF(AF1188="","",VLOOKUP(AC1188,mapel!$A$2:$B$42,2,FALSE))</f>
        <v/>
      </c>
      <c r="AF1188" t="str">
        <f t="shared" si="54"/>
        <v/>
      </c>
      <c r="AG1188" t="str">
        <f>IF(AF1188="","",IF(AF1188&gt;90,"Sangat baik",IF(AF1188&gt;79,"Baik",IF(AF1188&gt;=pub_gid_0_single_true_output_csv[[#This Row],[KKM]],"Cukup","Kurang"))))</f>
        <v/>
      </c>
      <c r="AH1188" t="str">
        <f t="shared" si="55"/>
        <v/>
      </c>
      <c r="AI1188" s="30" t="str">
        <f>IF(OR(J1188&lt;&gt;"Karakter",pub_gid_0_single_true_output_csv[[#This Row],[Nilai2]]=""),"",IF(AF1188&gt;89,"Sangat baik",IF(AF1188&gt;79,"Baik",IF(AF1188&gt;69,"Cukup",IF(AF1188&gt;59,"Kurang","Sangat kurang")))))</f>
        <v/>
      </c>
      <c r="AJ1188" t="str">
        <f t="shared" si="56"/>
        <v/>
      </c>
      <c r="AK1188" t="str">
        <f>IF(pub_gid_0_single_true_output_csv[[#This Row],[Nilai2]]="","",VLOOKUP(pub_gid_0_single_true_output_csv[[#This Row],[NAMA]],Table7[],3,FALSE))</f>
        <v/>
      </c>
    </row>
    <row r="1189" spans="1:37" x14ac:dyDescent="0.2">
      <c r="A1189">
        <v>1188</v>
      </c>
      <c r="B1189" t="s">
        <v>282</v>
      </c>
      <c r="C1189" t="s">
        <v>54</v>
      </c>
      <c r="D1189" t="s">
        <v>283</v>
      </c>
      <c r="E1189" t="s">
        <v>140</v>
      </c>
      <c r="F1189" s="25">
        <v>46057</v>
      </c>
      <c r="G1189" t="s">
        <v>348</v>
      </c>
      <c r="H1189" t="s">
        <v>412</v>
      </c>
      <c r="I1189" t="s">
        <v>371</v>
      </c>
      <c r="J1189" t="s">
        <v>90</v>
      </c>
      <c r="K1189" t="s">
        <v>92</v>
      </c>
      <c r="L1189" t="s">
        <v>93</v>
      </c>
      <c r="M1189" t="s">
        <v>141</v>
      </c>
      <c r="N1189" t="s">
        <v>142</v>
      </c>
      <c r="O1189" t="s">
        <v>155</v>
      </c>
      <c r="P1189" t="s">
        <v>281</v>
      </c>
      <c r="Q1189" t="s">
        <v>155</v>
      </c>
      <c r="R1189" t="s">
        <v>302</v>
      </c>
      <c r="S1189" t="s">
        <v>355</v>
      </c>
      <c r="T1189">
        <v>2</v>
      </c>
      <c r="U1189" t="s">
        <v>159</v>
      </c>
      <c r="V1189" t="s">
        <v>303</v>
      </c>
      <c r="W1189" t="s">
        <v>437</v>
      </c>
      <c r="X1189" t="s">
        <v>306</v>
      </c>
      <c r="Y1189" t="s">
        <v>307</v>
      </c>
      <c r="Z1189">
        <v>65</v>
      </c>
      <c r="AA1189">
        <v>70</v>
      </c>
      <c r="AB1189" t="s">
        <v>143</v>
      </c>
      <c r="AC1189" t="s">
        <v>53</v>
      </c>
      <c r="AD1189" t="s">
        <v>404</v>
      </c>
      <c r="AE1189" t="str">
        <f>IF(AF1189="","",VLOOKUP(AC1189,mapel!$A$2:$B$42,2,FALSE))</f>
        <v>Sejarah</v>
      </c>
      <c r="AF1189">
        <f t="shared" si="54"/>
        <v>70</v>
      </c>
      <c r="AG1189" t="str">
        <f>IF(AF1189="","",IF(AF1189&gt;90,"Sangat baik",IF(AF1189&gt;79,"Baik",IF(AF1189&gt;=pub_gid_0_single_true_output_csv[[#This Row],[KKM]],"Cukup","Kurang"))))</f>
        <v>Cukup</v>
      </c>
      <c r="AH1189">
        <f t="shared" si="55"/>
        <v>11</v>
      </c>
      <c r="AI1189" s="30" t="str">
        <f>IF(OR(J1189&lt;&gt;"Karakter",pub_gid_0_single_true_output_csv[[#This Row],[Nilai2]]=""),"",IF(AF1189&gt;89,"Sangat baik",IF(AF1189&gt;79,"Baik",IF(AF1189&gt;69,"Cukup",IF(AF1189&gt;59,"Kurang","Sangat kurang")))))</f>
        <v>Cukup</v>
      </c>
      <c r="AJ1189" t="str">
        <f t="shared" si="56"/>
        <v>Wk.6</v>
      </c>
      <c r="AK1189" t="e">
        <f>IF(pub_gid_0_single_true_output_csv[[#This Row],[Nilai2]]="","",VLOOKUP(pub_gid_0_single_true_output_csv[[#This Row],[NAMA]],Table7[],3,FALSE))</f>
        <v>#N/A</v>
      </c>
    </row>
    <row r="1190" spans="1:37" x14ac:dyDescent="0.2">
      <c r="A1190">
        <v>1189</v>
      </c>
      <c r="B1190" t="s">
        <v>282</v>
      </c>
      <c r="C1190" t="s">
        <v>54</v>
      </c>
      <c r="D1190" t="s">
        <v>283</v>
      </c>
      <c r="E1190" t="s">
        <v>140</v>
      </c>
      <c r="F1190" s="25">
        <v>46057</v>
      </c>
      <c r="G1190" t="s">
        <v>348</v>
      </c>
      <c r="H1190" t="s">
        <v>412</v>
      </c>
      <c r="I1190" t="s">
        <v>371</v>
      </c>
      <c r="J1190" t="s">
        <v>279</v>
      </c>
      <c r="K1190" t="s">
        <v>280</v>
      </c>
      <c r="L1190" t="s">
        <v>322</v>
      </c>
      <c r="M1190" t="s">
        <v>141</v>
      </c>
      <c r="N1190" t="s">
        <v>142</v>
      </c>
      <c r="O1190" t="s">
        <v>155</v>
      </c>
      <c r="P1190" t="s">
        <v>281</v>
      </c>
      <c r="Q1190" t="s">
        <v>155</v>
      </c>
      <c r="R1190" t="s">
        <v>302</v>
      </c>
      <c r="S1190" t="s">
        <v>355</v>
      </c>
      <c r="T1190">
        <v>2</v>
      </c>
      <c r="U1190" t="s">
        <v>159</v>
      </c>
      <c r="V1190" t="s">
        <v>303</v>
      </c>
      <c r="W1190" t="s">
        <v>437</v>
      </c>
      <c r="X1190" t="s">
        <v>306</v>
      </c>
      <c r="Y1190" t="s">
        <v>307</v>
      </c>
      <c r="Z1190">
        <v>65</v>
      </c>
      <c r="AA1190">
        <v>0</v>
      </c>
      <c r="AB1190" t="s">
        <v>151</v>
      </c>
      <c r="AC1190" t="s">
        <v>53</v>
      </c>
      <c r="AD1190" t="s">
        <v>404</v>
      </c>
      <c r="AE1190" t="str">
        <f>IF(AF1190="","",VLOOKUP(AC1190,mapel!$A$2:$B$42,2,FALSE))</f>
        <v/>
      </c>
      <c r="AF1190" t="str">
        <f t="shared" si="54"/>
        <v/>
      </c>
      <c r="AG1190" t="str">
        <f>IF(AF1190="","",IF(AF1190&gt;90,"Sangat baik",IF(AF1190&gt;79,"Baik",IF(AF1190&gt;=pub_gid_0_single_true_output_csv[[#This Row],[KKM]],"Cukup","Kurang"))))</f>
        <v/>
      </c>
      <c r="AH1190" t="str">
        <f t="shared" si="55"/>
        <v/>
      </c>
      <c r="AI1190" s="30" t="str">
        <f>IF(OR(J1190&lt;&gt;"Karakter",pub_gid_0_single_true_output_csv[[#This Row],[Nilai2]]=""),"",IF(AF1190&gt;89,"Sangat baik",IF(AF1190&gt;79,"Baik",IF(AF1190&gt;69,"Cukup",IF(AF1190&gt;59,"Kurang","Sangat kurang")))))</f>
        <v/>
      </c>
      <c r="AJ1190" t="str">
        <f t="shared" si="56"/>
        <v/>
      </c>
      <c r="AK1190" t="str">
        <f>IF(pub_gid_0_single_true_output_csv[[#This Row],[Nilai2]]="","",VLOOKUP(pub_gid_0_single_true_output_csv[[#This Row],[NAMA]],Table7[],3,FALSE))</f>
        <v/>
      </c>
    </row>
    <row r="1191" spans="1:37" x14ac:dyDescent="0.2">
      <c r="A1191">
        <v>1190</v>
      </c>
      <c r="B1191" t="s">
        <v>282</v>
      </c>
      <c r="C1191" t="s">
        <v>54</v>
      </c>
      <c r="D1191" t="s">
        <v>283</v>
      </c>
      <c r="E1191" t="s">
        <v>140</v>
      </c>
      <c r="F1191" s="25">
        <v>46064</v>
      </c>
      <c r="G1191" t="s">
        <v>352</v>
      </c>
      <c r="H1191" t="s">
        <v>412</v>
      </c>
      <c r="I1191" t="s">
        <v>371</v>
      </c>
      <c r="J1191" t="s">
        <v>36</v>
      </c>
      <c r="K1191" t="s">
        <v>37</v>
      </c>
      <c r="L1191" t="s">
        <v>351</v>
      </c>
      <c r="M1191" t="s">
        <v>141</v>
      </c>
      <c r="N1191" t="s">
        <v>142</v>
      </c>
      <c r="O1191" t="s">
        <v>155</v>
      </c>
      <c r="P1191" t="s">
        <v>281</v>
      </c>
      <c r="Q1191" t="s">
        <v>155</v>
      </c>
      <c r="R1191" t="s">
        <v>302</v>
      </c>
      <c r="S1191" t="s">
        <v>380</v>
      </c>
      <c r="T1191">
        <v>3</v>
      </c>
      <c r="U1191" t="s">
        <v>159</v>
      </c>
      <c r="V1191" t="s">
        <v>381</v>
      </c>
      <c r="W1191" t="s">
        <v>438</v>
      </c>
      <c r="X1191" t="s">
        <v>306</v>
      </c>
      <c r="Y1191" t="s">
        <v>307</v>
      </c>
      <c r="Z1191">
        <v>65</v>
      </c>
      <c r="AA1191">
        <v>0</v>
      </c>
      <c r="AB1191" t="s">
        <v>151</v>
      </c>
      <c r="AC1191" t="s">
        <v>53</v>
      </c>
      <c r="AD1191" t="s">
        <v>404</v>
      </c>
      <c r="AE1191" t="str">
        <f>IF(AF1191="","",VLOOKUP(AC1191,mapel!$A$2:$B$42,2,FALSE))</f>
        <v/>
      </c>
      <c r="AF1191" t="str">
        <f t="shared" si="54"/>
        <v/>
      </c>
      <c r="AG1191" t="str">
        <f>IF(AF1191="","",IF(AF1191&gt;90,"Sangat baik",IF(AF1191&gt;79,"Baik",IF(AF1191&gt;=pub_gid_0_single_true_output_csv[[#This Row],[KKM]],"Cukup","Kurang"))))</f>
        <v/>
      </c>
      <c r="AH1191" t="str">
        <f t="shared" si="55"/>
        <v/>
      </c>
      <c r="AI1191" s="30" t="str">
        <f>IF(OR(J1191&lt;&gt;"Karakter",pub_gid_0_single_true_output_csv[[#This Row],[Nilai2]]=""),"",IF(AF1191&gt;89,"Sangat baik",IF(AF1191&gt;79,"Baik",IF(AF1191&gt;69,"Cukup",IF(AF1191&gt;59,"Kurang","Sangat kurang")))))</f>
        <v/>
      </c>
      <c r="AJ1191" t="str">
        <f t="shared" si="56"/>
        <v/>
      </c>
      <c r="AK1191" t="str">
        <f>IF(pub_gid_0_single_true_output_csv[[#This Row],[Nilai2]]="","",VLOOKUP(pub_gid_0_single_true_output_csv[[#This Row],[NAMA]],Table7[],3,FALSE))</f>
        <v/>
      </c>
    </row>
    <row r="1192" spans="1:37" x14ac:dyDescent="0.2">
      <c r="A1192">
        <v>1191</v>
      </c>
      <c r="B1192" t="s">
        <v>282</v>
      </c>
      <c r="C1192" t="s">
        <v>54</v>
      </c>
      <c r="D1192" t="s">
        <v>283</v>
      </c>
      <c r="E1192" t="s">
        <v>140</v>
      </c>
      <c r="F1192" s="25">
        <v>46064</v>
      </c>
      <c r="G1192" t="s">
        <v>352</v>
      </c>
      <c r="H1192" t="s">
        <v>412</v>
      </c>
      <c r="I1192" t="s">
        <v>371</v>
      </c>
      <c r="J1192" t="s">
        <v>31</v>
      </c>
      <c r="K1192" t="s">
        <v>96</v>
      </c>
      <c r="L1192" t="s">
        <v>351</v>
      </c>
      <c r="M1192" t="s">
        <v>141</v>
      </c>
      <c r="N1192" t="s">
        <v>142</v>
      </c>
      <c r="O1192" t="s">
        <v>155</v>
      </c>
      <c r="P1192" t="s">
        <v>281</v>
      </c>
      <c r="Q1192" t="s">
        <v>155</v>
      </c>
      <c r="R1192" t="s">
        <v>302</v>
      </c>
      <c r="S1192" t="s">
        <v>380</v>
      </c>
      <c r="T1192">
        <v>3</v>
      </c>
      <c r="U1192" t="s">
        <v>159</v>
      </c>
      <c r="V1192" t="s">
        <v>381</v>
      </c>
      <c r="W1192" t="s">
        <v>438</v>
      </c>
      <c r="X1192" t="s">
        <v>306</v>
      </c>
      <c r="Y1192" t="s">
        <v>307</v>
      </c>
      <c r="Z1192">
        <v>65</v>
      </c>
      <c r="AA1192">
        <v>0</v>
      </c>
      <c r="AB1192" t="s">
        <v>151</v>
      </c>
      <c r="AC1192" t="s">
        <v>53</v>
      </c>
      <c r="AD1192" t="s">
        <v>404</v>
      </c>
      <c r="AE1192" t="str">
        <f>IF(AF1192="","",VLOOKUP(AC1192,mapel!$A$2:$B$42,2,FALSE))</f>
        <v/>
      </c>
      <c r="AF1192" t="str">
        <f t="shared" si="54"/>
        <v/>
      </c>
      <c r="AG1192" t="str">
        <f>IF(AF1192="","",IF(AF1192&gt;90,"Sangat baik",IF(AF1192&gt;79,"Baik",IF(AF1192&gt;=pub_gid_0_single_true_output_csv[[#This Row],[KKM]],"Cukup","Kurang"))))</f>
        <v/>
      </c>
      <c r="AH1192" t="str">
        <f t="shared" si="55"/>
        <v/>
      </c>
      <c r="AI1192" s="30" t="str">
        <f>IF(OR(J1192&lt;&gt;"Karakter",pub_gid_0_single_true_output_csv[[#This Row],[Nilai2]]=""),"",IF(AF1192&gt;89,"Sangat baik",IF(AF1192&gt;79,"Baik",IF(AF1192&gt;69,"Cukup",IF(AF1192&gt;59,"Kurang","Sangat kurang")))))</f>
        <v/>
      </c>
      <c r="AJ1192" t="str">
        <f t="shared" si="56"/>
        <v/>
      </c>
      <c r="AK1192" t="str">
        <f>IF(pub_gid_0_single_true_output_csv[[#This Row],[Nilai2]]="","",VLOOKUP(pub_gid_0_single_true_output_csv[[#This Row],[NAMA]],Table7[],3,FALSE))</f>
        <v/>
      </c>
    </row>
    <row r="1193" spans="1:37" x14ac:dyDescent="0.2">
      <c r="A1193">
        <v>1192</v>
      </c>
      <c r="B1193" t="s">
        <v>282</v>
      </c>
      <c r="C1193" t="s">
        <v>54</v>
      </c>
      <c r="D1193" t="s">
        <v>283</v>
      </c>
      <c r="E1193" t="s">
        <v>140</v>
      </c>
      <c r="F1193" s="25">
        <v>46064</v>
      </c>
      <c r="G1193" t="s">
        <v>352</v>
      </c>
      <c r="H1193" t="s">
        <v>412</v>
      </c>
      <c r="I1193" t="s">
        <v>371</v>
      </c>
      <c r="J1193" t="s">
        <v>90</v>
      </c>
      <c r="K1193" t="s">
        <v>92</v>
      </c>
      <c r="L1193" t="s">
        <v>93</v>
      </c>
      <c r="M1193" t="s">
        <v>141</v>
      </c>
      <c r="N1193" t="s">
        <v>142</v>
      </c>
      <c r="O1193" t="s">
        <v>155</v>
      </c>
      <c r="P1193" t="s">
        <v>281</v>
      </c>
      <c r="Q1193" t="s">
        <v>155</v>
      </c>
      <c r="R1193" t="s">
        <v>302</v>
      </c>
      <c r="S1193" t="s">
        <v>380</v>
      </c>
      <c r="T1193">
        <v>3</v>
      </c>
      <c r="U1193" t="s">
        <v>159</v>
      </c>
      <c r="V1193" t="s">
        <v>381</v>
      </c>
      <c r="W1193" t="s">
        <v>438</v>
      </c>
      <c r="X1193" t="s">
        <v>306</v>
      </c>
      <c r="Y1193" t="s">
        <v>307</v>
      </c>
      <c r="Z1193">
        <v>65</v>
      </c>
      <c r="AA1193">
        <v>0</v>
      </c>
      <c r="AB1193" t="s">
        <v>151</v>
      </c>
      <c r="AC1193" t="s">
        <v>53</v>
      </c>
      <c r="AD1193" t="s">
        <v>404</v>
      </c>
      <c r="AE1193" t="str">
        <f>IF(AF1193="","",VLOOKUP(AC1193,mapel!$A$2:$B$42,2,FALSE))</f>
        <v/>
      </c>
      <c r="AF1193" t="str">
        <f t="shared" si="54"/>
        <v/>
      </c>
      <c r="AG1193" t="str">
        <f>IF(AF1193="","",IF(AF1193&gt;90,"Sangat baik",IF(AF1193&gt;79,"Baik",IF(AF1193&gt;=pub_gid_0_single_true_output_csv[[#This Row],[KKM]],"Cukup","Kurang"))))</f>
        <v/>
      </c>
      <c r="AH1193" t="str">
        <f t="shared" si="55"/>
        <v/>
      </c>
      <c r="AI1193" s="30" t="str">
        <f>IF(OR(J1193&lt;&gt;"Karakter",pub_gid_0_single_true_output_csv[[#This Row],[Nilai2]]=""),"",IF(AF1193&gt;89,"Sangat baik",IF(AF1193&gt;79,"Baik",IF(AF1193&gt;69,"Cukup",IF(AF1193&gt;59,"Kurang","Sangat kurang")))))</f>
        <v/>
      </c>
      <c r="AJ1193" t="str">
        <f t="shared" si="56"/>
        <v/>
      </c>
      <c r="AK1193" t="str">
        <f>IF(pub_gid_0_single_true_output_csv[[#This Row],[Nilai2]]="","",VLOOKUP(pub_gid_0_single_true_output_csv[[#This Row],[NAMA]],Table7[],3,FALSE))</f>
        <v/>
      </c>
    </row>
    <row r="1194" spans="1:37" x14ac:dyDescent="0.2">
      <c r="A1194">
        <v>1193</v>
      </c>
      <c r="B1194" t="s">
        <v>282</v>
      </c>
      <c r="C1194" t="s">
        <v>54</v>
      </c>
      <c r="D1194" t="s">
        <v>283</v>
      </c>
      <c r="E1194" t="s">
        <v>140</v>
      </c>
      <c r="F1194" s="25">
        <v>46064</v>
      </c>
      <c r="G1194" t="s">
        <v>352</v>
      </c>
      <c r="H1194" t="s">
        <v>412</v>
      </c>
      <c r="I1194" t="s">
        <v>371</v>
      </c>
      <c r="J1194" t="s">
        <v>279</v>
      </c>
      <c r="K1194" t="s">
        <v>280</v>
      </c>
      <c r="L1194" t="s">
        <v>322</v>
      </c>
      <c r="M1194" t="s">
        <v>141</v>
      </c>
      <c r="N1194" t="s">
        <v>142</v>
      </c>
      <c r="O1194" t="s">
        <v>155</v>
      </c>
      <c r="P1194" t="s">
        <v>281</v>
      </c>
      <c r="Q1194" t="s">
        <v>155</v>
      </c>
      <c r="R1194" t="s">
        <v>302</v>
      </c>
      <c r="S1194" t="s">
        <v>380</v>
      </c>
      <c r="T1194">
        <v>3</v>
      </c>
      <c r="U1194" t="s">
        <v>159</v>
      </c>
      <c r="V1194" t="s">
        <v>381</v>
      </c>
      <c r="W1194" t="s">
        <v>438</v>
      </c>
      <c r="X1194" t="s">
        <v>306</v>
      </c>
      <c r="Y1194" t="s">
        <v>307</v>
      </c>
      <c r="Z1194">
        <v>65</v>
      </c>
      <c r="AA1194">
        <v>0</v>
      </c>
      <c r="AB1194" t="s">
        <v>151</v>
      </c>
      <c r="AC1194" t="s">
        <v>53</v>
      </c>
      <c r="AD1194" t="s">
        <v>404</v>
      </c>
      <c r="AE1194" t="str">
        <f>IF(AF1194="","",VLOOKUP(AC1194,mapel!$A$2:$B$42,2,FALSE))</f>
        <v/>
      </c>
      <c r="AF1194" t="str">
        <f t="shared" si="54"/>
        <v/>
      </c>
      <c r="AG1194" t="str">
        <f>IF(AF1194="","",IF(AF1194&gt;90,"Sangat baik",IF(AF1194&gt;79,"Baik",IF(AF1194&gt;=pub_gid_0_single_true_output_csv[[#This Row],[KKM]],"Cukup","Kurang"))))</f>
        <v/>
      </c>
      <c r="AH1194" t="str">
        <f t="shared" si="55"/>
        <v/>
      </c>
      <c r="AI1194" s="30" t="str">
        <f>IF(OR(J1194&lt;&gt;"Karakter",pub_gid_0_single_true_output_csv[[#This Row],[Nilai2]]=""),"",IF(AF1194&gt;89,"Sangat baik",IF(AF1194&gt;79,"Baik",IF(AF1194&gt;69,"Cukup",IF(AF1194&gt;59,"Kurang","Sangat kurang")))))</f>
        <v/>
      </c>
      <c r="AJ1194" t="str">
        <f t="shared" si="56"/>
        <v/>
      </c>
      <c r="AK1194" t="str">
        <f>IF(pub_gid_0_single_true_output_csv[[#This Row],[Nilai2]]="","",VLOOKUP(pub_gid_0_single_true_output_csv[[#This Row],[NAMA]],Table7[],3,FALSE))</f>
        <v/>
      </c>
    </row>
    <row r="1195" spans="1:37" x14ac:dyDescent="0.2">
      <c r="A1195">
        <v>1194</v>
      </c>
      <c r="B1195" t="s">
        <v>282</v>
      </c>
      <c r="C1195" t="s">
        <v>54</v>
      </c>
      <c r="D1195" t="s">
        <v>283</v>
      </c>
      <c r="E1195" t="s">
        <v>140</v>
      </c>
      <c r="F1195" s="25">
        <v>46071</v>
      </c>
      <c r="G1195" t="s">
        <v>323</v>
      </c>
      <c r="H1195" t="s">
        <v>412</v>
      </c>
      <c r="I1195" t="s">
        <v>371</v>
      </c>
      <c r="J1195" t="s">
        <v>36</v>
      </c>
      <c r="K1195" t="s">
        <v>362</v>
      </c>
      <c r="L1195" t="s">
        <v>363</v>
      </c>
      <c r="M1195" t="s">
        <v>141</v>
      </c>
      <c r="N1195" t="s">
        <v>142</v>
      </c>
      <c r="O1195" t="s">
        <v>155</v>
      </c>
      <c r="P1195" t="s">
        <v>281</v>
      </c>
      <c r="Q1195" t="s">
        <v>155</v>
      </c>
      <c r="R1195" t="s">
        <v>302</v>
      </c>
      <c r="S1195" t="s">
        <v>309</v>
      </c>
      <c r="T1195">
        <v>1</v>
      </c>
      <c r="U1195" t="s">
        <v>435</v>
      </c>
      <c r="V1195" t="s">
        <v>285</v>
      </c>
      <c r="W1195" t="s">
        <v>436</v>
      </c>
      <c r="X1195" t="s">
        <v>306</v>
      </c>
      <c r="Y1195" t="s">
        <v>307</v>
      </c>
      <c r="Z1195">
        <v>65</v>
      </c>
      <c r="AA1195">
        <v>0</v>
      </c>
      <c r="AB1195" t="s">
        <v>151</v>
      </c>
      <c r="AC1195" t="s">
        <v>53</v>
      </c>
      <c r="AD1195" t="s">
        <v>404</v>
      </c>
      <c r="AE1195" t="str">
        <f>IF(AF1195="","",VLOOKUP(AC1195,mapel!$A$2:$B$42,2,FALSE))</f>
        <v/>
      </c>
      <c r="AF1195" t="str">
        <f t="shared" si="54"/>
        <v/>
      </c>
      <c r="AG1195" t="str">
        <f>IF(AF1195="","",IF(AF1195&gt;90,"Sangat baik",IF(AF1195&gt;79,"Baik",IF(AF1195&gt;=pub_gid_0_single_true_output_csv[[#This Row],[KKM]],"Cukup","Kurang"))))</f>
        <v/>
      </c>
      <c r="AH1195" t="str">
        <f t="shared" si="55"/>
        <v/>
      </c>
      <c r="AI1195" s="30" t="str">
        <f>IF(OR(J1195&lt;&gt;"Karakter",pub_gid_0_single_true_output_csv[[#This Row],[Nilai2]]=""),"",IF(AF1195&gt;89,"Sangat baik",IF(AF1195&gt;79,"Baik",IF(AF1195&gt;69,"Cukup",IF(AF1195&gt;59,"Kurang","Sangat kurang")))))</f>
        <v/>
      </c>
      <c r="AJ1195" t="str">
        <f t="shared" si="56"/>
        <v/>
      </c>
      <c r="AK1195" t="str">
        <f>IF(pub_gid_0_single_true_output_csv[[#This Row],[Nilai2]]="","",VLOOKUP(pub_gid_0_single_true_output_csv[[#This Row],[NAMA]],Table7[],3,FALSE))</f>
        <v/>
      </c>
    </row>
    <row r="1196" spans="1:37" x14ac:dyDescent="0.2">
      <c r="A1196">
        <v>1195</v>
      </c>
      <c r="B1196" t="s">
        <v>282</v>
      </c>
      <c r="C1196" t="s">
        <v>54</v>
      </c>
      <c r="D1196" t="s">
        <v>283</v>
      </c>
      <c r="E1196" t="s">
        <v>140</v>
      </c>
      <c r="F1196" s="25">
        <v>46071</v>
      </c>
      <c r="G1196" t="s">
        <v>323</v>
      </c>
      <c r="H1196" t="s">
        <v>412</v>
      </c>
      <c r="I1196" t="s">
        <v>371</v>
      </c>
      <c r="J1196" t="s">
        <v>90</v>
      </c>
      <c r="K1196" t="s">
        <v>92</v>
      </c>
      <c r="L1196" t="s">
        <v>93</v>
      </c>
      <c r="M1196" t="s">
        <v>141</v>
      </c>
      <c r="N1196" t="s">
        <v>142</v>
      </c>
      <c r="O1196" t="s">
        <v>155</v>
      </c>
      <c r="P1196" t="s">
        <v>281</v>
      </c>
      <c r="Q1196" t="s">
        <v>155</v>
      </c>
      <c r="R1196" t="s">
        <v>302</v>
      </c>
      <c r="S1196" t="s">
        <v>309</v>
      </c>
      <c r="T1196">
        <v>1</v>
      </c>
      <c r="U1196" t="s">
        <v>435</v>
      </c>
      <c r="V1196" t="s">
        <v>285</v>
      </c>
      <c r="W1196" t="s">
        <v>436</v>
      </c>
      <c r="X1196" t="s">
        <v>306</v>
      </c>
      <c r="Y1196" t="s">
        <v>307</v>
      </c>
      <c r="Z1196">
        <v>65</v>
      </c>
      <c r="AA1196">
        <v>0</v>
      </c>
      <c r="AB1196" t="s">
        <v>151</v>
      </c>
      <c r="AC1196" t="s">
        <v>53</v>
      </c>
      <c r="AD1196" t="s">
        <v>404</v>
      </c>
      <c r="AE1196" t="str">
        <f>IF(AF1196="","",VLOOKUP(AC1196,mapel!$A$2:$B$42,2,FALSE))</f>
        <v/>
      </c>
      <c r="AF1196" t="str">
        <f t="shared" si="54"/>
        <v/>
      </c>
      <c r="AG1196" t="str">
        <f>IF(AF1196="","",IF(AF1196&gt;90,"Sangat baik",IF(AF1196&gt;79,"Baik",IF(AF1196&gt;=pub_gid_0_single_true_output_csv[[#This Row],[KKM]],"Cukup","Kurang"))))</f>
        <v/>
      </c>
      <c r="AH1196" t="str">
        <f t="shared" si="55"/>
        <v/>
      </c>
      <c r="AI1196" s="30" t="str">
        <f>IF(OR(J1196&lt;&gt;"Karakter",pub_gid_0_single_true_output_csv[[#This Row],[Nilai2]]=""),"",IF(AF1196&gt;89,"Sangat baik",IF(AF1196&gt;79,"Baik",IF(AF1196&gt;69,"Cukup",IF(AF1196&gt;59,"Kurang","Sangat kurang")))))</f>
        <v/>
      </c>
      <c r="AJ1196" t="str">
        <f t="shared" si="56"/>
        <v/>
      </c>
      <c r="AK1196" t="str">
        <f>IF(pub_gid_0_single_true_output_csv[[#This Row],[Nilai2]]="","",VLOOKUP(pub_gid_0_single_true_output_csv[[#This Row],[NAMA]],Table7[],3,FALSE))</f>
        <v/>
      </c>
    </row>
    <row r="1197" spans="1:37" x14ac:dyDescent="0.2">
      <c r="A1197">
        <v>1196</v>
      </c>
      <c r="B1197" t="s">
        <v>292</v>
      </c>
      <c r="C1197" t="s">
        <v>54</v>
      </c>
      <c r="D1197" t="s">
        <v>94</v>
      </c>
      <c r="E1197" t="s">
        <v>147</v>
      </c>
      <c r="F1197" s="25">
        <v>46036</v>
      </c>
      <c r="G1197" t="s">
        <v>353</v>
      </c>
      <c r="H1197" t="s">
        <v>405</v>
      </c>
      <c r="I1197" t="s">
        <v>371</v>
      </c>
      <c r="J1197" t="s">
        <v>36</v>
      </c>
      <c r="K1197" t="s">
        <v>37</v>
      </c>
      <c r="L1197" t="s">
        <v>351</v>
      </c>
      <c r="M1197" t="s">
        <v>141</v>
      </c>
      <c r="N1197" t="s">
        <v>142</v>
      </c>
      <c r="O1197" t="s">
        <v>155</v>
      </c>
      <c r="P1197" t="s">
        <v>281</v>
      </c>
      <c r="Q1197" t="s">
        <v>155</v>
      </c>
      <c r="R1197" t="s">
        <v>302</v>
      </c>
      <c r="S1197" t="s">
        <v>309</v>
      </c>
      <c r="T1197">
        <v>1</v>
      </c>
      <c r="U1197" t="s">
        <v>435</v>
      </c>
      <c r="V1197" t="s">
        <v>285</v>
      </c>
      <c r="W1197" t="s">
        <v>436</v>
      </c>
      <c r="X1197" t="s">
        <v>306</v>
      </c>
      <c r="Y1197" t="s">
        <v>307</v>
      </c>
      <c r="Z1197">
        <v>65</v>
      </c>
      <c r="AA1197">
        <v>69</v>
      </c>
      <c r="AB1197" t="s">
        <v>143</v>
      </c>
      <c r="AC1197" t="s">
        <v>53</v>
      </c>
      <c r="AD1197" t="s">
        <v>404</v>
      </c>
      <c r="AE1197" t="str">
        <f>IF(AF1197="","",VLOOKUP(AC1197,mapel!$A$2:$B$42,2,FALSE))</f>
        <v>Sejarah</v>
      </c>
      <c r="AF1197">
        <f t="shared" si="54"/>
        <v>69</v>
      </c>
      <c r="AG1197" t="str">
        <f>IF(AF1197="","",IF(AF1197&gt;90,"Sangat baik",IF(AF1197&gt;79,"Baik",IF(AF1197&gt;=pub_gid_0_single_true_output_csv[[#This Row],[KKM]],"Cukup","Kurang"))))</f>
        <v>Cukup</v>
      </c>
      <c r="AH1197">
        <f t="shared" si="55"/>
        <v>11</v>
      </c>
      <c r="AI1197" s="30" t="str">
        <f>IF(OR(J1197&lt;&gt;"Karakter",pub_gid_0_single_true_output_csv[[#This Row],[Nilai2]]=""),"",IF(AF1197&gt;89,"Sangat baik",IF(AF1197&gt;79,"Baik",IF(AF1197&gt;69,"Cukup",IF(AF1197&gt;59,"Kurang","Sangat kurang")))))</f>
        <v/>
      </c>
      <c r="AJ1197" t="str">
        <f t="shared" si="56"/>
        <v>Wk.3</v>
      </c>
      <c r="AK1197" t="str">
        <f>IF(pub_gid_0_single_true_output_csv[[#This Row],[Nilai2]]="","",VLOOKUP(pub_gid_0_single_true_output_csv[[#This Row],[NAMA]],Table7[],3,FALSE))</f>
        <v>Average</v>
      </c>
    </row>
    <row r="1198" spans="1:37" x14ac:dyDescent="0.2">
      <c r="A1198">
        <v>1197</v>
      </c>
      <c r="B1198" t="s">
        <v>292</v>
      </c>
      <c r="C1198" t="s">
        <v>54</v>
      </c>
      <c r="D1198" t="s">
        <v>94</v>
      </c>
      <c r="E1198" t="s">
        <v>147</v>
      </c>
      <c r="F1198" s="25">
        <v>46036</v>
      </c>
      <c r="G1198" t="s">
        <v>353</v>
      </c>
      <c r="H1198" t="s">
        <v>405</v>
      </c>
      <c r="I1198" t="s">
        <v>371</v>
      </c>
      <c r="J1198" t="s">
        <v>31</v>
      </c>
      <c r="K1198" t="s">
        <v>32</v>
      </c>
      <c r="L1198" t="s">
        <v>351</v>
      </c>
      <c r="M1198" t="s">
        <v>141</v>
      </c>
      <c r="N1198" t="s">
        <v>142</v>
      </c>
      <c r="O1198" t="s">
        <v>155</v>
      </c>
      <c r="P1198" t="s">
        <v>281</v>
      </c>
      <c r="Q1198" t="s">
        <v>155</v>
      </c>
      <c r="R1198" t="s">
        <v>302</v>
      </c>
      <c r="S1198" t="s">
        <v>309</v>
      </c>
      <c r="T1198">
        <v>1</v>
      </c>
      <c r="U1198" t="s">
        <v>435</v>
      </c>
      <c r="V1198" t="s">
        <v>285</v>
      </c>
      <c r="W1198" t="s">
        <v>436</v>
      </c>
      <c r="X1198" t="s">
        <v>306</v>
      </c>
      <c r="Y1198" t="s">
        <v>307</v>
      </c>
      <c r="Z1198">
        <v>65</v>
      </c>
      <c r="AA1198">
        <v>65</v>
      </c>
      <c r="AB1198" t="s">
        <v>143</v>
      </c>
      <c r="AC1198" t="s">
        <v>53</v>
      </c>
      <c r="AD1198" t="s">
        <v>404</v>
      </c>
      <c r="AE1198" t="str">
        <f>IF(AF1198="","",VLOOKUP(AC1198,mapel!$A$2:$B$42,2,FALSE))</f>
        <v>Sejarah</v>
      </c>
      <c r="AF1198">
        <f t="shared" si="54"/>
        <v>65</v>
      </c>
      <c r="AG1198" t="str">
        <f>IF(AF1198="","",IF(AF1198&gt;90,"Sangat baik",IF(AF1198&gt;79,"Baik",IF(AF1198&gt;=pub_gid_0_single_true_output_csv[[#This Row],[KKM]],"Cukup","Kurang"))))</f>
        <v>Cukup</v>
      </c>
      <c r="AH1198">
        <f t="shared" si="55"/>
        <v>11</v>
      </c>
      <c r="AI1198" s="30" t="str">
        <f>IF(OR(J1198&lt;&gt;"Karakter",pub_gid_0_single_true_output_csv[[#This Row],[Nilai2]]=""),"",IF(AF1198&gt;89,"Sangat baik",IF(AF1198&gt;79,"Baik",IF(AF1198&gt;69,"Cukup",IF(AF1198&gt;59,"Kurang","Sangat kurang")))))</f>
        <v/>
      </c>
      <c r="AJ1198" t="str">
        <f t="shared" si="56"/>
        <v>Wk.3</v>
      </c>
      <c r="AK1198" t="str">
        <f>IF(pub_gid_0_single_true_output_csv[[#This Row],[Nilai2]]="","",VLOOKUP(pub_gid_0_single_true_output_csv[[#This Row],[NAMA]],Table7[],3,FALSE))</f>
        <v>Average</v>
      </c>
    </row>
    <row r="1199" spans="1:37" x14ac:dyDescent="0.2">
      <c r="A1199">
        <v>1198</v>
      </c>
      <c r="B1199" t="s">
        <v>292</v>
      </c>
      <c r="C1199" t="s">
        <v>54</v>
      </c>
      <c r="D1199" t="s">
        <v>94</v>
      </c>
      <c r="E1199" t="s">
        <v>147</v>
      </c>
      <c r="F1199" s="25">
        <v>46036</v>
      </c>
      <c r="G1199" t="s">
        <v>353</v>
      </c>
      <c r="H1199" t="s">
        <v>405</v>
      </c>
      <c r="I1199" t="s">
        <v>371</v>
      </c>
      <c r="J1199" t="s">
        <v>90</v>
      </c>
      <c r="K1199" t="s">
        <v>92</v>
      </c>
      <c r="L1199" t="s">
        <v>91</v>
      </c>
      <c r="M1199" t="s">
        <v>141</v>
      </c>
      <c r="N1199" t="s">
        <v>142</v>
      </c>
      <c r="O1199" t="s">
        <v>155</v>
      </c>
      <c r="P1199" t="s">
        <v>281</v>
      </c>
      <c r="Q1199" t="s">
        <v>155</v>
      </c>
      <c r="R1199" t="s">
        <v>302</v>
      </c>
      <c r="S1199" t="s">
        <v>309</v>
      </c>
      <c r="T1199">
        <v>1</v>
      </c>
      <c r="U1199" t="s">
        <v>435</v>
      </c>
      <c r="V1199" t="s">
        <v>285</v>
      </c>
      <c r="W1199" t="s">
        <v>436</v>
      </c>
      <c r="X1199" t="s">
        <v>306</v>
      </c>
      <c r="Y1199" t="s">
        <v>307</v>
      </c>
      <c r="Z1199">
        <v>65</v>
      </c>
      <c r="AA1199">
        <v>80</v>
      </c>
      <c r="AB1199" t="s">
        <v>143</v>
      </c>
      <c r="AC1199" t="s">
        <v>53</v>
      </c>
      <c r="AD1199" t="s">
        <v>404</v>
      </c>
      <c r="AE1199" t="str">
        <f>IF(AF1199="","",VLOOKUP(AC1199,mapel!$A$2:$B$42,2,FALSE))</f>
        <v>Sejarah</v>
      </c>
      <c r="AF1199">
        <f t="shared" si="54"/>
        <v>80</v>
      </c>
      <c r="AG1199" t="str">
        <f>IF(AF1199="","",IF(AF1199&gt;90,"Sangat baik",IF(AF1199&gt;79,"Baik",IF(AF1199&gt;=pub_gid_0_single_true_output_csv[[#This Row],[KKM]],"Cukup","Kurang"))))</f>
        <v>Baik</v>
      </c>
      <c r="AH1199">
        <f t="shared" si="55"/>
        <v>11</v>
      </c>
      <c r="AI1199" s="30" t="str">
        <f>IF(OR(J1199&lt;&gt;"Karakter",pub_gid_0_single_true_output_csv[[#This Row],[Nilai2]]=""),"",IF(AF1199&gt;89,"Sangat baik",IF(AF1199&gt;79,"Baik",IF(AF1199&gt;69,"Cukup",IF(AF1199&gt;59,"Kurang","Sangat kurang")))))</f>
        <v>Baik</v>
      </c>
      <c r="AJ1199" t="str">
        <f t="shared" si="56"/>
        <v>Wk.3</v>
      </c>
      <c r="AK1199" t="str">
        <f>IF(pub_gid_0_single_true_output_csv[[#This Row],[Nilai2]]="","",VLOOKUP(pub_gid_0_single_true_output_csv[[#This Row],[NAMA]],Table7[],3,FALSE))</f>
        <v>Average</v>
      </c>
    </row>
    <row r="1200" spans="1:37" x14ac:dyDescent="0.2">
      <c r="A1200">
        <v>1199</v>
      </c>
      <c r="B1200" t="s">
        <v>292</v>
      </c>
      <c r="C1200" t="s">
        <v>54</v>
      </c>
      <c r="D1200" t="s">
        <v>94</v>
      </c>
      <c r="E1200" t="s">
        <v>147</v>
      </c>
      <c r="F1200" s="25">
        <v>46036</v>
      </c>
      <c r="G1200" t="s">
        <v>353</v>
      </c>
      <c r="H1200" t="s">
        <v>405</v>
      </c>
      <c r="I1200" t="s">
        <v>371</v>
      </c>
      <c r="J1200" t="s">
        <v>279</v>
      </c>
      <c r="K1200" t="s">
        <v>280</v>
      </c>
      <c r="L1200" t="s">
        <v>322</v>
      </c>
      <c r="M1200" t="s">
        <v>141</v>
      </c>
      <c r="N1200" t="s">
        <v>142</v>
      </c>
      <c r="O1200" t="s">
        <v>155</v>
      </c>
      <c r="P1200" t="s">
        <v>281</v>
      </c>
      <c r="Q1200" t="s">
        <v>155</v>
      </c>
      <c r="R1200" t="s">
        <v>302</v>
      </c>
      <c r="S1200" t="s">
        <v>309</v>
      </c>
      <c r="T1200">
        <v>1</v>
      </c>
      <c r="U1200" t="s">
        <v>435</v>
      </c>
      <c r="V1200" t="s">
        <v>285</v>
      </c>
      <c r="W1200" t="s">
        <v>436</v>
      </c>
      <c r="X1200" t="s">
        <v>306</v>
      </c>
      <c r="Y1200" t="s">
        <v>307</v>
      </c>
      <c r="Z1200">
        <v>65</v>
      </c>
      <c r="AA1200">
        <v>70</v>
      </c>
      <c r="AB1200" t="s">
        <v>143</v>
      </c>
      <c r="AC1200" t="s">
        <v>53</v>
      </c>
      <c r="AD1200" t="s">
        <v>404</v>
      </c>
      <c r="AE1200" t="str">
        <f>IF(AF1200="","",VLOOKUP(AC1200,mapel!$A$2:$B$42,2,FALSE))</f>
        <v>Sejarah</v>
      </c>
      <c r="AF1200">
        <f t="shared" si="54"/>
        <v>70</v>
      </c>
      <c r="AG1200" t="str">
        <f>IF(AF1200="","",IF(AF1200&gt;90,"Sangat baik",IF(AF1200&gt;79,"Baik",IF(AF1200&gt;=pub_gid_0_single_true_output_csv[[#This Row],[KKM]],"Cukup","Kurang"))))</f>
        <v>Cukup</v>
      </c>
      <c r="AH1200">
        <f t="shared" si="55"/>
        <v>11</v>
      </c>
      <c r="AI1200" s="30" t="str">
        <f>IF(OR(J1200&lt;&gt;"Karakter",pub_gid_0_single_true_output_csv[[#This Row],[Nilai2]]=""),"",IF(AF1200&gt;89,"Sangat baik",IF(AF1200&gt;79,"Baik",IF(AF1200&gt;69,"Cukup",IF(AF1200&gt;59,"Kurang","Sangat kurang")))))</f>
        <v/>
      </c>
      <c r="AJ1200" t="str">
        <f t="shared" si="56"/>
        <v>Wk.3</v>
      </c>
      <c r="AK1200" t="str">
        <f>IF(pub_gid_0_single_true_output_csv[[#This Row],[Nilai2]]="","",VLOOKUP(pub_gid_0_single_true_output_csv[[#This Row],[NAMA]],Table7[],3,FALSE))</f>
        <v>Average</v>
      </c>
    </row>
    <row r="1201" spans="1:37" x14ac:dyDescent="0.2">
      <c r="A1201">
        <v>1200</v>
      </c>
      <c r="B1201" t="s">
        <v>292</v>
      </c>
      <c r="C1201" t="s">
        <v>54</v>
      </c>
      <c r="D1201" t="s">
        <v>94</v>
      </c>
      <c r="E1201" t="s">
        <v>147</v>
      </c>
      <c r="F1201" s="25">
        <v>46043</v>
      </c>
      <c r="G1201" t="s">
        <v>341</v>
      </c>
      <c r="H1201" t="s">
        <v>405</v>
      </c>
      <c r="I1201" t="s">
        <v>371</v>
      </c>
      <c r="J1201" t="s">
        <v>36</v>
      </c>
      <c r="K1201" t="s">
        <v>37</v>
      </c>
      <c r="L1201" t="s">
        <v>351</v>
      </c>
      <c r="M1201" t="s">
        <v>141</v>
      </c>
      <c r="N1201" t="s">
        <v>142</v>
      </c>
      <c r="O1201" t="s">
        <v>155</v>
      </c>
      <c r="P1201" t="s">
        <v>281</v>
      </c>
      <c r="Q1201" t="s">
        <v>155</v>
      </c>
      <c r="R1201" t="s">
        <v>302</v>
      </c>
      <c r="S1201" t="s">
        <v>309</v>
      </c>
      <c r="T1201">
        <v>1</v>
      </c>
      <c r="U1201" t="s">
        <v>435</v>
      </c>
      <c r="V1201" t="s">
        <v>285</v>
      </c>
      <c r="W1201" t="s">
        <v>436</v>
      </c>
      <c r="X1201" t="s">
        <v>306</v>
      </c>
      <c r="Y1201" t="s">
        <v>307</v>
      </c>
      <c r="Z1201">
        <v>65</v>
      </c>
      <c r="AA1201">
        <v>75</v>
      </c>
      <c r="AB1201" t="s">
        <v>143</v>
      </c>
      <c r="AC1201" t="s">
        <v>53</v>
      </c>
      <c r="AD1201" t="s">
        <v>404</v>
      </c>
      <c r="AE1201" t="str">
        <f>IF(AF1201="","",VLOOKUP(AC1201,mapel!$A$2:$B$42,2,FALSE))</f>
        <v>Sejarah</v>
      </c>
      <c r="AF1201">
        <f t="shared" si="54"/>
        <v>75</v>
      </c>
      <c r="AG1201" t="str">
        <f>IF(AF1201="","",IF(AF1201&gt;90,"Sangat baik",IF(AF1201&gt;79,"Baik",IF(AF1201&gt;=pub_gid_0_single_true_output_csv[[#This Row],[KKM]],"Cukup","Kurang"))))</f>
        <v>Cukup</v>
      </c>
      <c r="AH1201">
        <f t="shared" si="55"/>
        <v>11</v>
      </c>
      <c r="AI1201" s="30" t="str">
        <f>IF(OR(J1201&lt;&gt;"Karakter",pub_gid_0_single_true_output_csv[[#This Row],[Nilai2]]=""),"",IF(AF1201&gt;89,"Sangat baik",IF(AF1201&gt;79,"Baik",IF(AF1201&gt;69,"Cukup",IF(AF1201&gt;59,"Kurang","Sangat kurang")))))</f>
        <v/>
      </c>
      <c r="AJ1201" t="str">
        <f t="shared" si="56"/>
        <v>Wk.4</v>
      </c>
      <c r="AK1201" t="str">
        <f>IF(pub_gid_0_single_true_output_csv[[#This Row],[Nilai2]]="","",VLOOKUP(pub_gid_0_single_true_output_csv[[#This Row],[NAMA]],Table7[],3,FALSE))</f>
        <v>Average</v>
      </c>
    </row>
    <row r="1202" spans="1:37" x14ac:dyDescent="0.2">
      <c r="A1202">
        <v>1201</v>
      </c>
      <c r="B1202" t="s">
        <v>292</v>
      </c>
      <c r="C1202" t="s">
        <v>54</v>
      </c>
      <c r="D1202" t="s">
        <v>94</v>
      </c>
      <c r="E1202" t="s">
        <v>147</v>
      </c>
      <c r="F1202" s="25">
        <v>46043</v>
      </c>
      <c r="G1202" t="s">
        <v>341</v>
      </c>
      <c r="H1202" t="s">
        <v>405</v>
      </c>
      <c r="I1202" t="s">
        <v>371</v>
      </c>
      <c r="J1202" t="s">
        <v>31</v>
      </c>
      <c r="K1202" t="s">
        <v>96</v>
      </c>
      <c r="L1202" t="s">
        <v>322</v>
      </c>
      <c r="M1202" t="s">
        <v>141</v>
      </c>
      <c r="N1202" t="s">
        <v>142</v>
      </c>
      <c r="O1202" t="s">
        <v>155</v>
      </c>
      <c r="P1202" t="s">
        <v>281</v>
      </c>
      <c r="Q1202" t="s">
        <v>155</v>
      </c>
      <c r="R1202" t="s">
        <v>302</v>
      </c>
      <c r="S1202" t="s">
        <v>309</v>
      </c>
      <c r="T1202">
        <v>1</v>
      </c>
      <c r="U1202" t="s">
        <v>435</v>
      </c>
      <c r="V1202" t="s">
        <v>285</v>
      </c>
      <c r="W1202" t="s">
        <v>436</v>
      </c>
      <c r="X1202" t="s">
        <v>306</v>
      </c>
      <c r="Y1202" t="s">
        <v>307</v>
      </c>
      <c r="Z1202">
        <v>65</v>
      </c>
      <c r="AA1202">
        <v>70</v>
      </c>
      <c r="AB1202" t="s">
        <v>143</v>
      </c>
      <c r="AC1202" t="s">
        <v>53</v>
      </c>
      <c r="AD1202" t="s">
        <v>404</v>
      </c>
      <c r="AE1202" t="str">
        <f>IF(AF1202="","",VLOOKUP(AC1202,mapel!$A$2:$B$42,2,FALSE))</f>
        <v>Sejarah</v>
      </c>
      <c r="AF1202">
        <f t="shared" si="54"/>
        <v>70</v>
      </c>
      <c r="AG1202" t="str">
        <f>IF(AF1202="","",IF(AF1202&gt;90,"Sangat baik",IF(AF1202&gt;79,"Baik",IF(AF1202&gt;=pub_gid_0_single_true_output_csv[[#This Row],[KKM]],"Cukup","Kurang"))))</f>
        <v>Cukup</v>
      </c>
      <c r="AH1202">
        <f t="shared" si="55"/>
        <v>11</v>
      </c>
      <c r="AI1202" s="30" t="str">
        <f>IF(OR(J1202&lt;&gt;"Karakter",pub_gid_0_single_true_output_csv[[#This Row],[Nilai2]]=""),"",IF(AF1202&gt;89,"Sangat baik",IF(AF1202&gt;79,"Baik",IF(AF1202&gt;69,"Cukup",IF(AF1202&gt;59,"Kurang","Sangat kurang")))))</f>
        <v/>
      </c>
      <c r="AJ1202" t="str">
        <f t="shared" si="56"/>
        <v>Wk.4</v>
      </c>
      <c r="AK1202" t="str">
        <f>IF(pub_gid_0_single_true_output_csv[[#This Row],[Nilai2]]="","",VLOOKUP(pub_gid_0_single_true_output_csv[[#This Row],[NAMA]],Table7[],3,FALSE))</f>
        <v>Average</v>
      </c>
    </row>
    <row r="1203" spans="1:37" x14ac:dyDescent="0.2">
      <c r="A1203">
        <v>1202</v>
      </c>
      <c r="B1203" t="s">
        <v>292</v>
      </c>
      <c r="C1203" t="s">
        <v>54</v>
      </c>
      <c r="D1203" t="s">
        <v>94</v>
      </c>
      <c r="E1203" t="s">
        <v>147</v>
      </c>
      <c r="F1203" s="25">
        <v>46043</v>
      </c>
      <c r="G1203" t="s">
        <v>341</v>
      </c>
      <c r="H1203" t="s">
        <v>405</v>
      </c>
      <c r="I1203" t="s">
        <v>371</v>
      </c>
      <c r="J1203" t="s">
        <v>90</v>
      </c>
      <c r="K1203" t="s">
        <v>92</v>
      </c>
      <c r="L1203" t="s">
        <v>93</v>
      </c>
      <c r="M1203" t="s">
        <v>141</v>
      </c>
      <c r="N1203" t="s">
        <v>142</v>
      </c>
      <c r="O1203" t="s">
        <v>155</v>
      </c>
      <c r="P1203" t="s">
        <v>281</v>
      </c>
      <c r="Q1203" t="s">
        <v>155</v>
      </c>
      <c r="R1203" t="s">
        <v>302</v>
      </c>
      <c r="S1203" t="s">
        <v>309</v>
      </c>
      <c r="T1203">
        <v>1</v>
      </c>
      <c r="U1203" t="s">
        <v>435</v>
      </c>
      <c r="V1203" t="s">
        <v>285</v>
      </c>
      <c r="W1203" t="s">
        <v>436</v>
      </c>
      <c r="X1203" t="s">
        <v>306</v>
      </c>
      <c r="Y1203" t="s">
        <v>307</v>
      </c>
      <c r="Z1203">
        <v>65</v>
      </c>
      <c r="AA1203">
        <v>80</v>
      </c>
      <c r="AB1203" t="s">
        <v>143</v>
      </c>
      <c r="AC1203" t="s">
        <v>53</v>
      </c>
      <c r="AD1203" t="s">
        <v>404</v>
      </c>
      <c r="AE1203" t="str">
        <f>IF(AF1203="","",VLOOKUP(AC1203,mapel!$A$2:$B$42,2,FALSE))</f>
        <v>Sejarah</v>
      </c>
      <c r="AF1203">
        <f t="shared" si="54"/>
        <v>80</v>
      </c>
      <c r="AG1203" t="str">
        <f>IF(AF1203="","",IF(AF1203&gt;90,"Sangat baik",IF(AF1203&gt;79,"Baik",IF(AF1203&gt;=pub_gid_0_single_true_output_csv[[#This Row],[KKM]],"Cukup","Kurang"))))</f>
        <v>Baik</v>
      </c>
      <c r="AH1203">
        <f t="shared" si="55"/>
        <v>11</v>
      </c>
      <c r="AI1203" s="30" t="str">
        <f>IF(OR(J1203&lt;&gt;"Karakter",pub_gid_0_single_true_output_csv[[#This Row],[Nilai2]]=""),"",IF(AF1203&gt;89,"Sangat baik",IF(AF1203&gt;79,"Baik",IF(AF1203&gt;69,"Cukup",IF(AF1203&gt;59,"Kurang","Sangat kurang")))))</f>
        <v>Baik</v>
      </c>
      <c r="AJ1203" t="str">
        <f t="shared" si="56"/>
        <v>Wk.4</v>
      </c>
      <c r="AK1203" t="str">
        <f>IF(pub_gid_0_single_true_output_csv[[#This Row],[Nilai2]]="","",VLOOKUP(pub_gid_0_single_true_output_csv[[#This Row],[NAMA]],Table7[],3,FALSE))</f>
        <v>Average</v>
      </c>
    </row>
    <row r="1204" spans="1:37" x14ac:dyDescent="0.2">
      <c r="A1204">
        <v>1203</v>
      </c>
      <c r="B1204" t="s">
        <v>292</v>
      </c>
      <c r="C1204" t="s">
        <v>54</v>
      </c>
      <c r="D1204" t="s">
        <v>94</v>
      </c>
      <c r="E1204" t="s">
        <v>147</v>
      </c>
      <c r="F1204" s="25">
        <v>46043</v>
      </c>
      <c r="G1204" t="s">
        <v>341</v>
      </c>
      <c r="H1204" t="s">
        <v>405</v>
      </c>
      <c r="I1204" t="s">
        <v>371</v>
      </c>
      <c r="J1204" t="s">
        <v>279</v>
      </c>
      <c r="K1204" t="s">
        <v>280</v>
      </c>
      <c r="L1204" t="s">
        <v>322</v>
      </c>
      <c r="M1204" t="s">
        <v>141</v>
      </c>
      <c r="N1204" t="s">
        <v>142</v>
      </c>
      <c r="O1204" t="s">
        <v>155</v>
      </c>
      <c r="P1204" t="s">
        <v>281</v>
      </c>
      <c r="Q1204" t="s">
        <v>155</v>
      </c>
      <c r="R1204" t="s">
        <v>302</v>
      </c>
      <c r="S1204" t="s">
        <v>355</v>
      </c>
      <c r="T1204">
        <v>2</v>
      </c>
      <c r="U1204" t="s">
        <v>159</v>
      </c>
      <c r="V1204" t="s">
        <v>303</v>
      </c>
      <c r="W1204" t="s">
        <v>437</v>
      </c>
      <c r="X1204" t="s">
        <v>306</v>
      </c>
      <c r="Y1204" t="s">
        <v>307</v>
      </c>
      <c r="Z1204">
        <v>65</v>
      </c>
      <c r="AA1204">
        <v>70</v>
      </c>
      <c r="AB1204" t="s">
        <v>143</v>
      </c>
      <c r="AC1204" t="s">
        <v>53</v>
      </c>
      <c r="AD1204" t="s">
        <v>404</v>
      </c>
      <c r="AE1204" t="str">
        <f>IF(AF1204="","",VLOOKUP(AC1204,mapel!$A$2:$B$42,2,FALSE))</f>
        <v>Sejarah</v>
      </c>
      <c r="AF1204">
        <f t="shared" si="54"/>
        <v>70</v>
      </c>
      <c r="AG1204" t="str">
        <f>IF(AF1204="","",IF(AF1204&gt;90,"Sangat baik",IF(AF1204&gt;79,"Baik",IF(AF1204&gt;=pub_gid_0_single_true_output_csv[[#This Row],[KKM]],"Cukup","Kurang"))))</f>
        <v>Cukup</v>
      </c>
      <c r="AH1204">
        <f t="shared" si="55"/>
        <v>11</v>
      </c>
      <c r="AI1204" s="30" t="str">
        <f>IF(OR(J1204&lt;&gt;"Karakter",pub_gid_0_single_true_output_csv[[#This Row],[Nilai2]]=""),"",IF(AF1204&gt;89,"Sangat baik",IF(AF1204&gt;79,"Baik",IF(AF1204&gt;69,"Cukup",IF(AF1204&gt;59,"Kurang","Sangat kurang")))))</f>
        <v/>
      </c>
      <c r="AJ1204" t="str">
        <f t="shared" si="56"/>
        <v>Wk.4</v>
      </c>
      <c r="AK1204" t="str">
        <f>IF(pub_gid_0_single_true_output_csv[[#This Row],[Nilai2]]="","",VLOOKUP(pub_gid_0_single_true_output_csv[[#This Row],[NAMA]],Table7[],3,FALSE))</f>
        <v>Average</v>
      </c>
    </row>
    <row r="1205" spans="1:37" x14ac:dyDescent="0.2">
      <c r="A1205">
        <v>1204</v>
      </c>
      <c r="B1205" t="s">
        <v>292</v>
      </c>
      <c r="C1205" t="s">
        <v>54</v>
      </c>
      <c r="D1205" t="s">
        <v>94</v>
      </c>
      <c r="E1205" t="s">
        <v>147</v>
      </c>
      <c r="F1205" s="25">
        <v>46050</v>
      </c>
      <c r="G1205" t="s">
        <v>308</v>
      </c>
      <c r="H1205" t="s">
        <v>405</v>
      </c>
      <c r="I1205" t="s">
        <v>371</v>
      </c>
      <c r="J1205" t="s">
        <v>36</v>
      </c>
      <c r="K1205" t="s">
        <v>37</v>
      </c>
      <c r="L1205" t="s">
        <v>351</v>
      </c>
      <c r="M1205" t="s">
        <v>141</v>
      </c>
      <c r="N1205" t="s">
        <v>142</v>
      </c>
      <c r="O1205" t="s">
        <v>155</v>
      </c>
      <c r="P1205" t="s">
        <v>281</v>
      </c>
      <c r="Q1205" t="s">
        <v>155</v>
      </c>
      <c r="R1205" t="s">
        <v>302</v>
      </c>
      <c r="S1205" t="s">
        <v>355</v>
      </c>
      <c r="T1205">
        <v>2</v>
      </c>
      <c r="U1205" t="s">
        <v>159</v>
      </c>
      <c r="V1205" t="s">
        <v>303</v>
      </c>
      <c r="W1205" t="s">
        <v>437</v>
      </c>
      <c r="X1205" t="s">
        <v>306</v>
      </c>
      <c r="Y1205" t="s">
        <v>307</v>
      </c>
      <c r="Z1205">
        <v>65</v>
      </c>
      <c r="AA1205">
        <v>65</v>
      </c>
      <c r="AB1205" t="s">
        <v>143</v>
      </c>
      <c r="AC1205" t="s">
        <v>53</v>
      </c>
      <c r="AD1205" t="s">
        <v>404</v>
      </c>
      <c r="AE1205" t="str">
        <f>IF(AF1205="","",VLOOKUP(AC1205,mapel!$A$2:$B$42,2,FALSE))</f>
        <v>Sejarah</v>
      </c>
      <c r="AF1205">
        <f t="shared" si="54"/>
        <v>65</v>
      </c>
      <c r="AG1205" t="str">
        <f>IF(AF1205="","",IF(AF1205&gt;90,"Sangat baik",IF(AF1205&gt;79,"Baik",IF(AF1205&gt;=pub_gid_0_single_true_output_csv[[#This Row],[KKM]],"Cukup","Kurang"))))</f>
        <v>Cukup</v>
      </c>
      <c r="AH1205">
        <f t="shared" si="55"/>
        <v>11</v>
      </c>
      <c r="AI1205" s="30" t="str">
        <f>IF(OR(J1205&lt;&gt;"Karakter",pub_gid_0_single_true_output_csv[[#This Row],[Nilai2]]=""),"",IF(AF1205&gt;89,"Sangat baik",IF(AF1205&gt;79,"Baik",IF(AF1205&gt;69,"Cukup",IF(AF1205&gt;59,"Kurang","Sangat kurang")))))</f>
        <v/>
      </c>
      <c r="AJ1205" t="str">
        <f t="shared" si="56"/>
        <v>Wk.5</v>
      </c>
      <c r="AK1205" t="str">
        <f>IF(pub_gid_0_single_true_output_csv[[#This Row],[Nilai2]]="","",VLOOKUP(pub_gid_0_single_true_output_csv[[#This Row],[NAMA]],Table7[],3,FALSE))</f>
        <v>Average</v>
      </c>
    </row>
    <row r="1206" spans="1:37" x14ac:dyDescent="0.2">
      <c r="A1206">
        <v>1205</v>
      </c>
      <c r="B1206" t="s">
        <v>292</v>
      </c>
      <c r="C1206" t="s">
        <v>54</v>
      </c>
      <c r="D1206" t="s">
        <v>94</v>
      </c>
      <c r="E1206" t="s">
        <v>147</v>
      </c>
      <c r="F1206" s="25">
        <v>46050</v>
      </c>
      <c r="G1206" t="s">
        <v>308</v>
      </c>
      <c r="H1206" t="s">
        <v>405</v>
      </c>
      <c r="I1206" t="s">
        <v>371</v>
      </c>
      <c r="J1206" t="s">
        <v>31</v>
      </c>
      <c r="K1206" t="s">
        <v>96</v>
      </c>
      <c r="L1206" t="s">
        <v>351</v>
      </c>
      <c r="M1206" t="s">
        <v>141</v>
      </c>
      <c r="N1206" t="s">
        <v>142</v>
      </c>
      <c r="O1206" t="s">
        <v>155</v>
      </c>
      <c r="P1206" t="s">
        <v>281</v>
      </c>
      <c r="Q1206" t="s">
        <v>155</v>
      </c>
      <c r="R1206" t="s">
        <v>302</v>
      </c>
      <c r="S1206" t="s">
        <v>355</v>
      </c>
      <c r="T1206">
        <v>2</v>
      </c>
      <c r="U1206" t="s">
        <v>159</v>
      </c>
      <c r="V1206" t="s">
        <v>303</v>
      </c>
      <c r="W1206" t="s">
        <v>437</v>
      </c>
      <c r="X1206" t="s">
        <v>306</v>
      </c>
      <c r="Y1206" t="s">
        <v>307</v>
      </c>
      <c r="Z1206">
        <v>65</v>
      </c>
      <c r="AA1206">
        <v>65</v>
      </c>
      <c r="AB1206" t="s">
        <v>143</v>
      </c>
      <c r="AC1206" t="s">
        <v>53</v>
      </c>
      <c r="AD1206" t="s">
        <v>404</v>
      </c>
      <c r="AE1206" t="str">
        <f>IF(AF1206="","",VLOOKUP(AC1206,mapel!$A$2:$B$42,2,FALSE))</f>
        <v>Sejarah</v>
      </c>
      <c r="AF1206">
        <f t="shared" si="54"/>
        <v>65</v>
      </c>
      <c r="AG1206" t="str">
        <f>IF(AF1206="","",IF(AF1206&gt;90,"Sangat baik",IF(AF1206&gt;79,"Baik",IF(AF1206&gt;=pub_gid_0_single_true_output_csv[[#This Row],[KKM]],"Cukup","Kurang"))))</f>
        <v>Cukup</v>
      </c>
      <c r="AH1206">
        <f t="shared" si="55"/>
        <v>11</v>
      </c>
      <c r="AI1206" s="30" t="str">
        <f>IF(OR(J1206&lt;&gt;"Karakter",pub_gid_0_single_true_output_csv[[#This Row],[Nilai2]]=""),"",IF(AF1206&gt;89,"Sangat baik",IF(AF1206&gt;79,"Baik",IF(AF1206&gt;69,"Cukup",IF(AF1206&gt;59,"Kurang","Sangat kurang")))))</f>
        <v/>
      </c>
      <c r="AJ1206" t="str">
        <f t="shared" si="56"/>
        <v>Wk.5</v>
      </c>
      <c r="AK1206" t="str">
        <f>IF(pub_gid_0_single_true_output_csv[[#This Row],[Nilai2]]="","",VLOOKUP(pub_gid_0_single_true_output_csv[[#This Row],[NAMA]],Table7[],3,FALSE))</f>
        <v>Average</v>
      </c>
    </row>
    <row r="1207" spans="1:37" x14ac:dyDescent="0.2">
      <c r="A1207">
        <v>1206</v>
      </c>
      <c r="B1207" t="s">
        <v>292</v>
      </c>
      <c r="C1207" t="s">
        <v>54</v>
      </c>
      <c r="D1207" t="s">
        <v>94</v>
      </c>
      <c r="E1207" t="s">
        <v>147</v>
      </c>
      <c r="F1207" s="25">
        <v>46050</v>
      </c>
      <c r="G1207" t="s">
        <v>308</v>
      </c>
      <c r="H1207" t="s">
        <v>405</v>
      </c>
      <c r="I1207" t="s">
        <v>371</v>
      </c>
      <c r="J1207" t="s">
        <v>90</v>
      </c>
      <c r="K1207" t="s">
        <v>92</v>
      </c>
      <c r="L1207" t="s">
        <v>91</v>
      </c>
      <c r="M1207" t="s">
        <v>141</v>
      </c>
      <c r="N1207" t="s">
        <v>142</v>
      </c>
      <c r="O1207" t="s">
        <v>155</v>
      </c>
      <c r="P1207" t="s">
        <v>281</v>
      </c>
      <c r="Q1207" t="s">
        <v>155</v>
      </c>
      <c r="R1207" t="s">
        <v>302</v>
      </c>
      <c r="S1207" t="s">
        <v>355</v>
      </c>
      <c r="T1207">
        <v>2</v>
      </c>
      <c r="U1207" t="s">
        <v>159</v>
      </c>
      <c r="V1207" t="s">
        <v>303</v>
      </c>
      <c r="W1207" t="s">
        <v>437</v>
      </c>
      <c r="X1207" t="s">
        <v>306</v>
      </c>
      <c r="Y1207" t="s">
        <v>307</v>
      </c>
      <c r="Z1207">
        <v>65</v>
      </c>
      <c r="AA1207">
        <v>80</v>
      </c>
      <c r="AB1207" t="s">
        <v>143</v>
      </c>
      <c r="AC1207" t="s">
        <v>53</v>
      </c>
      <c r="AD1207" t="s">
        <v>404</v>
      </c>
      <c r="AE1207" t="str">
        <f>IF(AF1207="","",VLOOKUP(AC1207,mapel!$A$2:$B$42,2,FALSE))</f>
        <v>Sejarah</v>
      </c>
      <c r="AF1207">
        <f t="shared" si="54"/>
        <v>80</v>
      </c>
      <c r="AG1207" t="str">
        <f>IF(AF1207="","",IF(AF1207&gt;90,"Sangat baik",IF(AF1207&gt;79,"Baik",IF(AF1207&gt;=pub_gid_0_single_true_output_csv[[#This Row],[KKM]],"Cukup","Kurang"))))</f>
        <v>Baik</v>
      </c>
      <c r="AH1207">
        <f t="shared" si="55"/>
        <v>11</v>
      </c>
      <c r="AI1207" s="30" t="str">
        <f>IF(OR(J1207&lt;&gt;"Karakter",pub_gid_0_single_true_output_csv[[#This Row],[Nilai2]]=""),"",IF(AF1207&gt;89,"Sangat baik",IF(AF1207&gt;79,"Baik",IF(AF1207&gt;69,"Cukup",IF(AF1207&gt;59,"Kurang","Sangat kurang")))))</f>
        <v>Baik</v>
      </c>
      <c r="AJ1207" t="str">
        <f t="shared" si="56"/>
        <v>Wk.5</v>
      </c>
      <c r="AK1207" t="str">
        <f>IF(pub_gid_0_single_true_output_csv[[#This Row],[Nilai2]]="","",VLOOKUP(pub_gid_0_single_true_output_csv[[#This Row],[NAMA]],Table7[],3,FALSE))</f>
        <v>Average</v>
      </c>
    </row>
    <row r="1208" spans="1:37" x14ac:dyDescent="0.2">
      <c r="A1208">
        <v>1207</v>
      </c>
      <c r="B1208" t="s">
        <v>292</v>
      </c>
      <c r="C1208" t="s">
        <v>54</v>
      </c>
      <c r="D1208" t="s">
        <v>94</v>
      </c>
      <c r="E1208" t="s">
        <v>147</v>
      </c>
      <c r="F1208" s="25">
        <v>46050</v>
      </c>
      <c r="G1208" t="s">
        <v>308</v>
      </c>
      <c r="H1208" t="s">
        <v>405</v>
      </c>
      <c r="I1208" t="s">
        <v>371</v>
      </c>
      <c r="J1208" t="s">
        <v>279</v>
      </c>
      <c r="K1208" t="s">
        <v>280</v>
      </c>
      <c r="L1208" t="s">
        <v>322</v>
      </c>
      <c r="M1208" t="s">
        <v>141</v>
      </c>
      <c r="N1208" t="s">
        <v>142</v>
      </c>
      <c r="O1208" t="s">
        <v>155</v>
      </c>
      <c r="P1208" t="s">
        <v>281</v>
      </c>
      <c r="Q1208" t="s">
        <v>155</v>
      </c>
      <c r="R1208" t="s">
        <v>302</v>
      </c>
      <c r="S1208" t="s">
        <v>355</v>
      </c>
      <c r="T1208">
        <v>2</v>
      </c>
      <c r="U1208" t="s">
        <v>159</v>
      </c>
      <c r="V1208" t="s">
        <v>303</v>
      </c>
      <c r="W1208" t="s">
        <v>437</v>
      </c>
      <c r="X1208" t="s">
        <v>306</v>
      </c>
      <c r="Y1208" t="s">
        <v>307</v>
      </c>
      <c r="Z1208">
        <v>65</v>
      </c>
      <c r="AA1208">
        <v>65</v>
      </c>
      <c r="AB1208" t="s">
        <v>143</v>
      </c>
      <c r="AC1208" t="s">
        <v>53</v>
      </c>
      <c r="AD1208" t="s">
        <v>404</v>
      </c>
      <c r="AE1208" t="str">
        <f>IF(AF1208="","",VLOOKUP(AC1208,mapel!$A$2:$B$42,2,FALSE))</f>
        <v>Sejarah</v>
      </c>
      <c r="AF1208">
        <f t="shared" si="54"/>
        <v>65</v>
      </c>
      <c r="AG1208" t="str">
        <f>IF(AF1208="","",IF(AF1208&gt;90,"Sangat baik",IF(AF1208&gt;79,"Baik",IF(AF1208&gt;=pub_gid_0_single_true_output_csv[[#This Row],[KKM]],"Cukup","Kurang"))))</f>
        <v>Cukup</v>
      </c>
      <c r="AH1208">
        <f t="shared" si="55"/>
        <v>11</v>
      </c>
      <c r="AI1208" s="30" t="str">
        <f>IF(OR(J1208&lt;&gt;"Karakter",pub_gid_0_single_true_output_csv[[#This Row],[Nilai2]]=""),"",IF(AF1208&gt;89,"Sangat baik",IF(AF1208&gt;79,"Baik",IF(AF1208&gt;69,"Cukup",IF(AF1208&gt;59,"Kurang","Sangat kurang")))))</f>
        <v/>
      </c>
      <c r="AJ1208" t="str">
        <f t="shared" si="56"/>
        <v>Wk.5</v>
      </c>
      <c r="AK1208" t="str">
        <f>IF(pub_gid_0_single_true_output_csv[[#This Row],[Nilai2]]="","",VLOOKUP(pub_gid_0_single_true_output_csv[[#This Row],[NAMA]],Table7[],3,FALSE))</f>
        <v>Average</v>
      </c>
    </row>
    <row r="1209" spans="1:37" x14ac:dyDescent="0.2">
      <c r="A1209">
        <v>1208</v>
      </c>
      <c r="B1209" t="s">
        <v>292</v>
      </c>
      <c r="C1209" t="s">
        <v>54</v>
      </c>
      <c r="D1209" t="s">
        <v>94</v>
      </c>
      <c r="E1209" t="s">
        <v>147</v>
      </c>
      <c r="F1209" s="25">
        <v>46057</v>
      </c>
      <c r="G1209" t="s">
        <v>348</v>
      </c>
      <c r="H1209" t="s">
        <v>412</v>
      </c>
      <c r="I1209" t="s">
        <v>371</v>
      </c>
      <c r="J1209" t="s">
        <v>36</v>
      </c>
      <c r="K1209" t="s">
        <v>37</v>
      </c>
      <c r="L1209" t="s">
        <v>351</v>
      </c>
      <c r="M1209" t="s">
        <v>141</v>
      </c>
      <c r="N1209" t="s">
        <v>142</v>
      </c>
      <c r="O1209" t="s">
        <v>155</v>
      </c>
      <c r="P1209" t="s">
        <v>281</v>
      </c>
      <c r="Q1209" t="s">
        <v>155</v>
      </c>
      <c r="R1209" t="s">
        <v>302</v>
      </c>
      <c r="S1209" t="s">
        <v>355</v>
      </c>
      <c r="T1209">
        <v>2</v>
      </c>
      <c r="U1209" t="s">
        <v>159</v>
      </c>
      <c r="V1209" t="s">
        <v>303</v>
      </c>
      <c r="W1209" t="s">
        <v>437</v>
      </c>
      <c r="X1209" t="s">
        <v>306</v>
      </c>
      <c r="Y1209" t="s">
        <v>307</v>
      </c>
      <c r="Z1209">
        <v>65</v>
      </c>
      <c r="AA1209">
        <v>75</v>
      </c>
      <c r="AB1209" t="s">
        <v>143</v>
      </c>
      <c r="AC1209" t="s">
        <v>53</v>
      </c>
      <c r="AD1209" t="s">
        <v>404</v>
      </c>
      <c r="AE1209" t="str">
        <f>IF(AF1209="","",VLOOKUP(AC1209,mapel!$A$2:$B$42,2,FALSE))</f>
        <v>Sejarah</v>
      </c>
      <c r="AF1209">
        <f t="shared" si="54"/>
        <v>75</v>
      </c>
      <c r="AG1209" t="str">
        <f>IF(AF1209="","",IF(AF1209&gt;90,"Sangat baik",IF(AF1209&gt;79,"Baik",IF(AF1209&gt;=pub_gid_0_single_true_output_csv[[#This Row],[KKM]],"Cukup","Kurang"))))</f>
        <v>Cukup</v>
      </c>
      <c r="AH1209">
        <f t="shared" si="55"/>
        <v>11</v>
      </c>
      <c r="AI1209" s="30" t="str">
        <f>IF(OR(J1209&lt;&gt;"Karakter",pub_gid_0_single_true_output_csv[[#This Row],[Nilai2]]=""),"",IF(AF1209&gt;89,"Sangat baik",IF(AF1209&gt;79,"Baik",IF(AF1209&gt;69,"Cukup",IF(AF1209&gt;59,"Kurang","Sangat kurang")))))</f>
        <v/>
      </c>
      <c r="AJ1209" t="str">
        <f t="shared" si="56"/>
        <v>Wk.6</v>
      </c>
      <c r="AK1209" t="str">
        <f>IF(pub_gid_0_single_true_output_csv[[#This Row],[Nilai2]]="","",VLOOKUP(pub_gid_0_single_true_output_csv[[#This Row],[NAMA]],Table7[],3,FALSE))</f>
        <v>Average</v>
      </c>
    </row>
    <row r="1210" spans="1:37" x14ac:dyDescent="0.2">
      <c r="A1210">
        <v>1209</v>
      </c>
      <c r="B1210" t="s">
        <v>292</v>
      </c>
      <c r="C1210" t="s">
        <v>54</v>
      </c>
      <c r="D1210" t="s">
        <v>94</v>
      </c>
      <c r="E1210" t="s">
        <v>147</v>
      </c>
      <c r="F1210" s="25">
        <v>46057</v>
      </c>
      <c r="G1210" t="s">
        <v>348</v>
      </c>
      <c r="H1210" t="s">
        <v>412</v>
      </c>
      <c r="I1210" t="s">
        <v>371</v>
      </c>
      <c r="J1210" t="s">
        <v>31</v>
      </c>
      <c r="K1210" t="s">
        <v>96</v>
      </c>
      <c r="L1210" t="s">
        <v>351</v>
      </c>
      <c r="M1210" t="s">
        <v>141</v>
      </c>
      <c r="N1210" t="s">
        <v>142</v>
      </c>
      <c r="O1210" t="s">
        <v>155</v>
      </c>
      <c r="P1210" t="s">
        <v>281</v>
      </c>
      <c r="Q1210" t="s">
        <v>155</v>
      </c>
      <c r="R1210" t="s">
        <v>302</v>
      </c>
      <c r="S1210" t="s">
        <v>355</v>
      </c>
      <c r="T1210">
        <v>2</v>
      </c>
      <c r="U1210" t="s">
        <v>159</v>
      </c>
      <c r="V1210" t="s">
        <v>303</v>
      </c>
      <c r="W1210" t="s">
        <v>437</v>
      </c>
      <c r="X1210" t="s">
        <v>306</v>
      </c>
      <c r="Y1210" t="s">
        <v>307</v>
      </c>
      <c r="Z1210">
        <v>65</v>
      </c>
      <c r="AA1210">
        <v>65</v>
      </c>
      <c r="AB1210" t="s">
        <v>143</v>
      </c>
      <c r="AC1210" t="s">
        <v>53</v>
      </c>
      <c r="AD1210" t="s">
        <v>404</v>
      </c>
      <c r="AE1210" t="str">
        <f>IF(AF1210="","",VLOOKUP(AC1210,mapel!$A$2:$B$42,2,FALSE))</f>
        <v>Sejarah</v>
      </c>
      <c r="AF1210">
        <f t="shared" si="54"/>
        <v>65</v>
      </c>
      <c r="AG1210" t="str">
        <f>IF(AF1210="","",IF(AF1210&gt;90,"Sangat baik",IF(AF1210&gt;79,"Baik",IF(AF1210&gt;=pub_gid_0_single_true_output_csv[[#This Row],[KKM]],"Cukup","Kurang"))))</f>
        <v>Cukup</v>
      </c>
      <c r="AH1210">
        <f t="shared" si="55"/>
        <v>11</v>
      </c>
      <c r="AI1210" s="30" t="str">
        <f>IF(OR(J1210&lt;&gt;"Karakter",pub_gid_0_single_true_output_csv[[#This Row],[Nilai2]]=""),"",IF(AF1210&gt;89,"Sangat baik",IF(AF1210&gt;79,"Baik",IF(AF1210&gt;69,"Cukup",IF(AF1210&gt;59,"Kurang","Sangat kurang")))))</f>
        <v/>
      </c>
      <c r="AJ1210" t="str">
        <f t="shared" si="56"/>
        <v>Wk.6</v>
      </c>
      <c r="AK1210" t="str">
        <f>IF(pub_gid_0_single_true_output_csv[[#This Row],[Nilai2]]="","",VLOOKUP(pub_gid_0_single_true_output_csv[[#This Row],[NAMA]],Table7[],3,FALSE))</f>
        <v>Average</v>
      </c>
    </row>
    <row r="1211" spans="1:37" x14ac:dyDescent="0.2">
      <c r="A1211">
        <v>1210</v>
      </c>
      <c r="B1211" t="s">
        <v>292</v>
      </c>
      <c r="C1211" t="s">
        <v>54</v>
      </c>
      <c r="D1211" t="s">
        <v>94</v>
      </c>
      <c r="E1211" t="s">
        <v>147</v>
      </c>
      <c r="F1211" s="25">
        <v>46057</v>
      </c>
      <c r="G1211" t="s">
        <v>348</v>
      </c>
      <c r="H1211" t="s">
        <v>412</v>
      </c>
      <c r="I1211" t="s">
        <v>371</v>
      </c>
      <c r="J1211" t="s">
        <v>90</v>
      </c>
      <c r="K1211" t="s">
        <v>92</v>
      </c>
      <c r="L1211" t="s">
        <v>93</v>
      </c>
      <c r="M1211" t="s">
        <v>141</v>
      </c>
      <c r="N1211" t="s">
        <v>142</v>
      </c>
      <c r="O1211" t="s">
        <v>155</v>
      </c>
      <c r="P1211" t="s">
        <v>281</v>
      </c>
      <c r="Q1211" t="s">
        <v>155</v>
      </c>
      <c r="R1211" t="s">
        <v>302</v>
      </c>
      <c r="S1211" t="s">
        <v>355</v>
      </c>
      <c r="T1211">
        <v>2</v>
      </c>
      <c r="U1211" t="s">
        <v>159</v>
      </c>
      <c r="V1211" t="s">
        <v>303</v>
      </c>
      <c r="W1211" t="s">
        <v>437</v>
      </c>
      <c r="X1211" t="s">
        <v>306</v>
      </c>
      <c r="Y1211" t="s">
        <v>307</v>
      </c>
      <c r="Z1211">
        <v>65</v>
      </c>
      <c r="AA1211">
        <v>70</v>
      </c>
      <c r="AB1211" t="s">
        <v>143</v>
      </c>
      <c r="AC1211" t="s">
        <v>53</v>
      </c>
      <c r="AD1211" t="s">
        <v>404</v>
      </c>
      <c r="AE1211" t="str">
        <f>IF(AF1211="","",VLOOKUP(AC1211,mapel!$A$2:$B$42,2,FALSE))</f>
        <v>Sejarah</v>
      </c>
      <c r="AF1211">
        <f t="shared" si="54"/>
        <v>70</v>
      </c>
      <c r="AG1211" t="str">
        <f>IF(AF1211="","",IF(AF1211&gt;90,"Sangat baik",IF(AF1211&gt;79,"Baik",IF(AF1211&gt;=pub_gid_0_single_true_output_csv[[#This Row],[KKM]],"Cukup","Kurang"))))</f>
        <v>Cukup</v>
      </c>
      <c r="AH1211">
        <f t="shared" si="55"/>
        <v>11</v>
      </c>
      <c r="AI1211" s="30" t="str">
        <f>IF(OR(J1211&lt;&gt;"Karakter",pub_gid_0_single_true_output_csv[[#This Row],[Nilai2]]=""),"",IF(AF1211&gt;89,"Sangat baik",IF(AF1211&gt;79,"Baik",IF(AF1211&gt;69,"Cukup",IF(AF1211&gt;59,"Kurang","Sangat kurang")))))</f>
        <v>Cukup</v>
      </c>
      <c r="AJ1211" t="str">
        <f t="shared" si="56"/>
        <v>Wk.6</v>
      </c>
      <c r="AK1211" t="str">
        <f>IF(pub_gid_0_single_true_output_csv[[#This Row],[Nilai2]]="","",VLOOKUP(pub_gid_0_single_true_output_csv[[#This Row],[NAMA]],Table7[],3,FALSE))</f>
        <v>Average</v>
      </c>
    </row>
    <row r="1212" spans="1:37" x14ac:dyDescent="0.2">
      <c r="A1212">
        <v>1211</v>
      </c>
      <c r="B1212" t="s">
        <v>292</v>
      </c>
      <c r="C1212" t="s">
        <v>54</v>
      </c>
      <c r="D1212" t="s">
        <v>94</v>
      </c>
      <c r="E1212" t="s">
        <v>147</v>
      </c>
      <c r="F1212" s="25">
        <v>46057</v>
      </c>
      <c r="G1212" t="s">
        <v>348</v>
      </c>
      <c r="H1212" t="s">
        <v>412</v>
      </c>
      <c r="I1212" t="s">
        <v>371</v>
      </c>
      <c r="J1212" t="s">
        <v>279</v>
      </c>
      <c r="K1212" t="s">
        <v>280</v>
      </c>
      <c r="L1212" t="s">
        <v>322</v>
      </c>
      <c r="M1212" t="s">
        <v>141</v>
      </c>
      <c r="N1212" t="s">
        <v>142</v>
      </c>
      <c r="O1212" t="s">
        <v>155</v>
      </c>
      <c r="P1212" t="s">
        <v>281</v>
      </c>
      <c r="Q1212" t="s">
        <v>155</v>
      </c>
      <c r="R1212" t="s">
        <v>302</v>
      </c>
      <c r="S1212" t="s">
        <v>355</v>
      </c>
      <c r="T1212">
        <v>2</v>
      </c>
      <c r="U1212" t="s">
        <v>159</v>
      </c>
      <c r="V1212" t="s">
        <v>303</v>
      </c>
      <c r="W1212" t="s">
        <v>437</v>
      </c>
      <c r="X1212" t="s">
        <v>306</v>
      </c>
      <c r="Y1212" t="s">
        <v>307</v>
      </c>
      <c r="Z1212">
        <v>65</v>
      </c>
      <c r="AA1212">
        <v>65</v>
      </c>
      <c r="AB1212" t="s">
        <v>143</v>
      </c>
      <c r="AC1212" t="s">
        <v>53</v>
      </c>
      <c r="AD1212" t="s">
        <v>404</v>
      </c>
      <c r="AE1212" t="str">
        <f>IF(AF1212="","",VLOOKUP(AC1212,mapel!$A$2:$B$42,2,FALSE))</f>
        <v>Sejarah</v>
      </c>
      <c r="AF1212">
        <f t="shared" si="54"/>
        <v>65</v>
      </c>
      <c r="AG1212" t="str">
        <f>IF(AF1212="","",IF(AF1212&gt;90,"Sangat baik",IF(AF1212&gt;79,"Baik",IF(AF1212&gt;=pub_gid_0_single_true_output_csv[[#This Row],[KKM]],"Cukup","Kurang"))))</f>
        <v>Cukup</v>
      </c>
      <c r="AH1212">
        <f t="shared" si="55"/>
        <v>11</v>
      </c>
      <c r="AI1212" s="30" t="str">
        <f>IF(OR(J1212&lt;&gt;"Karakter",pub_gid_0_single_true_output_csv[[#This Row],[Nilai2]]=""),"",IF(AF1212&gt;89,"Sangat baik",IF(AF1212&gt;79,"Baik",IF(AF1212&gt;69,"Cukup",IF(AF1212&gt;59,"Kurang","Sangat kurang")))))</f>
        <v/>
      </c>
      <c r="AJ1212" t="str">
        <f t="shared" si="56"/>
        <v>Wk.6</v>
      </c>
      <c r="AK1212" t="str">
        <f>IF(pub_gid_0_single_true_output_csv[[#This Row],[Nilai2]]="","",VLOOKUP(pub_gid_0_single_true_output_csv[[#This Row],[NAMA]],Table7[],3,FALSE))</f>
        <v>Average</v>
      </c>
    </row>
    <row r="1213" spans="1:37" x14ac:dyDescent="0.2">
      <c r="A1213">
        <v>1212</v>
      </c>
      <c r="B1213" t="s">
        <v>292</v>
      </c>
      <c r="C1213" t="s">
        <v>54</v>
      </c>
      <c r="D1213" t="s">
        <v>94</v>
      </c>
      <c r="E1213" t="s">
        <v>147</v>
      </c>
      <c r="F1213" s="25">
        <v>46064</v>
      </c>
      <c r="G1213" t="s">
        <v>352</v>
      </c>
      <c r="H1213" t="s">
        <v>412</v>
      </c>
      <c r="I1213" t="s">
        <v>371</v>
      </c>
      <c r="J1213" t="s">
        <v>36</v>
      </c>
      <c r="K1213" t="s">
        <v>37</v>
      </c>
      <c r="L1213" t="s">
        <v>351</v>
      </c>
      <c r="M1213" t="s">
        <v>141</v>
      </c>
      <c r="N1213" t="s">
        <v>142</v>
      </c>
      <c r="O1213" t="s">
        <v>155</v>
      </c>
      <c r="P1213" t="s">
        <v>281</v>
      </c>
      <c r="Q1213" t="s">
        <v>155</v>
      </c>
      <c r="R1213" t="s">
        <v>302</v>
      </c>
      <c r="S1213" t="s">
        <v>380</v>
      </c>
      <c r="T1213">
        <v>3</v>
      </c>
      <c r="U1213" t="s">
        <v>159</v>
      </c>
      <c r="V1213" t="s">
        <v>381</v>
      </c>
      <c r="W1213" t="s">
        <v>438</v>
      </c>
      <c r="X1213" t="s">
        <v>306</v>
      </c>
      <c r="Y1213" t="s">
        <v>307</v>
      </c>
      <c r="Z1213">
        <v>65</v>
      </c>
      <c r="AA1213">
        <v>75</v>
      </c>
      <c r="AB1213" t="s">
        <v>143</v>
      </c>
      <c r="AC1213" t="s">
        <v>53</v>
      </c>
      <c r="AD1213" t="s">
        <v>404</v>
      </c>
      <c r="AE1213" t="str">
        <f>IF(AF1213="","",VLOOKUP(AC1213,mapel!$A$2:$B$42,2,FALSE))</f>
        <v>Sejarah</v>
      </c>
      <c r="AF1213">
        <f t="shared" si="54"/>
        <v>75</v>
      </c>
      <c r="AG1213" t="str">
        <f>IF(AF1213="","",IF(AF1213&gt;90,"Sangat baik",IF(AF1213&gt;79,"Baik",IF(AF1213&gt;=pub_gid_0_single_true_output_csv[[#This Row],[KKM]],"Cukup","Kurang"))))</f>
        <v>Cukup</v>
      </c>
      <c r="AH1213">
        <f t="shared" si="55"/>
        <v>11</v>
      </c>
      <c r="AI1213" s="30" t="str">
        <f>IF(OR(J1213&lt;&gt;"Karakter",pub_gid_0_single_true_output_csv[[#This Row],[Nilai2]]=""),"",IF(AF1213&gt;89,"Sangat baik",IF(AF1213&gt;79,"Baik",IF(AF1213&gt;69,"Cukup",IF(AF1213&gt;59,"Kurang","Sangat kurang")))))</f>
        <v/>
      </c>
      <c r="AJ1213" t="str">
        <f t="shared" si="56"/>
        <v>Wk.7</v>
      </c>
      <c r="AK1213" t="str">
        <f>IF(pub_gid_0_single_true_output_csv[[#This Row],[Nilai2]]="","",VLOOKUP(pub_gid_0_single_true_output_csv[[#This Row],[NAMA]],Table7[],3,FALSE))</f>
        <v>Average</v>
      </c>
    </row>
    <row r="1214" spans="1:37" x14ac:dyDescent="0.2">
      <c r="A1214">
        <v>1213</v>
      </c>
      <c r="B1214" t="s">
        <v>292</v>
      </c>
      <c r="C1214" t="s">
        <v>54</v>
      </c>
      <c r="D1214" t="s">
        <v>94</v>
      </c>
      <c r="E1214" t="s">
        <v>147</v>
      </c>
      <c r="F1214" s="25">
        <v>46064</v>
      </c>
      <c r="G1214" t="s">
        <v>352</v>
      </c>
      <c r="H1214" t="s">
        <v>412</v>
      </c>
      <c r="I1214" t="s">
        <v>371</v>
      </c>
      <c r="J1214" t="s">
        <v>31</v>
      </c>
      <c r="K1214" t="s">
        <v>96</v>
      </c>
      <c r="L1214" t="s">
        <v>351</v>
      </c>
      <c r="M1214" t="s">
        <v>141</v>
      </c>
      <c r="N1214" t="s">
        <v>142</v>
      </c>
      <c r="O1214" t="s">
        <v>155</v>
      </c>
      <c r="P1214" t="s">
        <v>281</v>
      </c>
      <c r="Q1214" t="s">
        <v>155</v>
      </c>
      <c r="R1214" t="s">
        <v>302</v>
      </c>
      <c r="S1214" t="s">
        <v>380</v>
      </c>
      <c r="T1214">
        <v>3</v>
      </c>
      <c r="U1214" t="s">
        <v>159</v>
      </c>
      <c r="V1214" t="s">
        <v>381</v>
      </c>
      <c r="W1214" t="s">
        <v>438</v>
      </c>
      <c r="X1214" t="s">
        <v>306</v>
      </c>
      <c r="Y1214" t="s">
        <v>307</v>
      </c>
      <c r="Z1214">
        <v>65</v>
      </c>
      <c r="AA1214">
        <v>70</v>
      </c>
      <c r="AB1214" t="s">
        <v>143</v>
      </c>
      <c r="AC1214" t="s">
        <v>53</v>
      </c>
      <c r="AD1214" t="s">
        <v>404</v>
      </c>
      <c r="AE1214" t="str">
        <f>IF(AF1214="","",VLOOKUP(AC1214,mapel!$A$2:$B$42,2,FALSE))</f>
        <v>Sejarah</v>
      </c>
      <c r="AF1214">
        <f t="shared" si="54"/>
        <v>70</v>
      </c>
      <c r="AG1214" t="str">
        <f>IF(AF1214="","",IF(AF1214&gt;90,"Sangat baik",IF(AF1214&gt;79,"Baik",IF(AF1214&gt;=pub_gid_0_single_true_output_csv[[#This Row],[KKM]],"Cukup","Kurang"))))</f>
        <v>Cukup</v>
      </c>
      <c r="AH1214">
        <f t="shared" si="55"/>
        <v>11</v>
      </c>
      <c r="AI1214" s="30" t="str">
        <f>IF(OR(J1214&lt;&gt;"Karakter",pub_gid_0_single_true_output_csv[[#This Row],[Nilai2]]=""),"",IF(AF1214&gt;89,"Sangat baik",IF(AF1214&gt;79,"Baik",IF(AF1214&gt;69,"Cukup",IF(AF1214&gt;59,"Kurang","Sangat kurang")))))</f>
        <v/>
      </c>
      <c r="AJ1214" t="str">
        <f t="shared" si="56"/>
        <v>Wk.7</v>
      </c>
      <c r="AK1214" t="str">
        <f>IF(pub_gid_0_single_true_output_csv[[#This Row],[Nilai2]]="","",VLOOKUP(pub_gid_0_single_true_output_csv[[#This Row],[NAMA]],Table7[],3,FALSE))</f>
        <v>Average</v>
      </c>
    </row>
    <row r="1215" spans="1:37" x14ac:dyDescent="0.2">
      <c r="A1215">
        <v>1214</v>
      </c>
      <c r="B1215" t="s">
        <v>292</v>
      </c>
      <c r="C1215" t="s">
        <v>54</v>
      </c>
      <c r="D1215" t="s">
        <v>94</v>
      </c>
      <c r="E1215" t="s">
        <v>147</v>
      </c>
      <c r="F1215" s="25">
        <v>46064</v>
      </c>
      <c r="G1215" t="s">
        <v>352</v>
      </c>
      <c r="H1215" t="s">
        <v>412</v>
      </c>
      <c r="I1215" t="s">
        <v>371</v>
      </c>
      <c r="J1215" t="s">
        <v>90</v>
      </c>
      <c r="K1215" t="s">
        <v>92</v>
      </c>
      <c r="L1215" t="s">
        <v>93</v>
      </c>
      <c r="M1215" t="s">
        <v>141</v>
      </c>
      <c r="N1215" t="s">
        <v>142</v>
      </c>
      <c r="O1215" t="s">
        <v>155</v>
      </c>
      <c r="P1215" t="s">
        <v>281</v>
      </c>
      <c r="Q1215" t="s">
        <v>155</v>
      </c>
      <c r="R1215" t="s">
        <v>302</v>
      </c>
      <c r="S1215" t="s">
        <v>380</v>
      </c>
      <c r="T1215">
        <v>3</v>
      </c>
      <c r="U1215" t="s">
        <v>159</v>
      </c>
      <c r="V1215" t="s">
        <v>381</v>
      </c>
      <c r="W1215" t="s">
        <v>438</v>
      </c>
      <c r="X1215" t="s">
        <v>306</v>
      </c>
      <c r="Y1215" t="s">
        <v>307</v>
      </c>
      <c r="Z1215">
        <v>65</v>
      </c>
      <c r="AA1215">
        <v>75</v>
      </c>
      <c r="AB1215" t="s">
        <v>143</v>
      </c>
      <c r="AC1215" t="s">
        <v>53</v>
      </c>
      <c r="AD1215" t="s">
        <v>404</v>
      </c>
      <c r="AE1215" t="str">
        <f>IF(AF1215="","",VLOOKUP(AC1215,mapel!$A$2:$B$42,2,FALSE))</f>
        <v>Sejarah</v>
      </c>
      <c r="AF1215">
        <f t="shared" si="54"/>
        <v>75</v>
      </c>
      <c r="AG1215" t="str">
        <f>IF(AF1215="","",IF(AF1215&gt;90,"Sangat baik",IF(AF1215&gt;79,"Baik",IF(AF1215&gt;=pub_gid_0_single_true_output_csv[[#This Row],[KKM]],"Cukup","Kurang"))))</f>
        <v>Cukup</v>
      </c>
      <c r="AH1215">
        <f t="shared" si="55"/>
        <v>11</v>
      </c>
      <c r="AI1215" s="30" t="str">
        <f>IF(OR(J1215&lt;&gt;"Karakter",pub_gid_0_single_true_output_csv[[#This Row],[Nilai2]]=""),"",IF(AF1215&gt;89,"Sangat baik",IF(AF1215&gt;79,"Baik",IF(AF1215&gt;69,"Cukup",IF(AF1215&gt;59,"Kurang","Sangat kurang")))))</f>
        <v>Cukup</v>
      </c>
      <c r="AJ1215" t="str">
        <f t="shared" si="56"/>
        <v>Wk.7</v>
      </c>
      <c r="AK1215" t="str">
        <f>IF(pub_gid_0_single_true_output_csv[[#This Row],[Nilai2]]="","",VLOOKUP(pub_gid_0_single_true_output_csv[[#This Row],[NAMA]],Table7[],3,FALSE))</f>
        <v>Average</v>
      </c>
    </row>
    <row r="1216" spans="1:37" x14ac:dyDescent="0.2">
      <c r="A1216">
        <v>1215</v>
      </c>
      <c r="B1216" t="s">
        <v>292</v>
      </c>
      <c r="C1216" t="s">
        <v>54</v>
      </c>
      <c r="D1216" t="s">
        <v>94</v>
      </c>
      <c r="E1216" t="s">
        <v>147</v>
      </c>
      <c r="F1216" s="25">
        <v>46064</v>
      </c>
      <c r="G1216" t="s">
        <v>352</v>
      </c>
      <c r="H1216" t="s">
        <v>412</v>
      </c>
      <c r="I1216" t="s">
        <v>371</v>
      </c>
      <c r="J1216" t="s">
        <v>279</v>
      </c>
      <c r="K1216" t="s">
        <v>280</v>
      </c>
      <c r="L1216" t="s">
        <v>322</v>
      </c>
      <c r="M1216" t="s">
        <v>141</v>
      </c>
      <c r="N1216" t="s">
        <v>142</v>
      </c>
      <c r="O1216" t="s">
        <v>155</v>
      </c>
      <c r="P1216" t="s">
        <v>281</v>
      </c>
      <c r="Q1216" t="s">
        <v>155</v>
      </c>
      <c r="R1216" t="s">
        <v>302</v>
      </c>
      <c r="S1216" t="s">
        <v>380</v>
      </c>
      <c r="T1216">
        <v>3</v>
      </c>
      <c r="U1216" t="s">
        <v>159</v>
      </c>
      <c r="V1216" t="s">
        <v>381</v>
      </c>
      <c r="W1216" t="s">
        <v>438</v>
      </c>
      <c r="X1216" t="s">
        <v>306</v>
      </c>
      <c r="Y1216" t="s">
        <v>307</v>
      </c>
      <c r="Z1216">
        <v>65</v>
      </c>
      <c r="AA1216">
        <v>70</v>
      </c>
      <c r="AB1216" t="s">
        <v>143</v>
      </c>
      <c r="AC1216" t="s">
        <v>53</v>
      </c>
      <c r="AD1216" t="s">
        <v>404</v>
      </c>
      <c r="AE1216" t="str">
        <f>IF(AF1216="","",VLOOKUP(AC1216,mapel!$A$2:$B$42,2,FALSE))</f>
        <v>Sejarah</v>
      </c>
      <c r="AF1216">
        <f t="shared" si="54"/>
        <v>70</v>
      </c>
      <c r="AG1216" t="str">
        <f>IF(AF1216="","",IF(AF1216&gt;90,"Sangat baik",IF(AF1216&gt;79,"Baik",IF(AF1216&gt;=pub_gid_0_single_true_output_csv[[#This Row],[KKM]],"Cukup","Kurang"))))</f>
        <v>Cukup</v>
      </c>
      <c r="AH1216">
        <f t="shared" si="55"/>
        <v>11</v>
      </c>
      <c r="AI1216" s="30" t="str">
        <f>IF(OR(J1216&lt;&gt;"Karakter",pub_gid_0_single_true_output_csv[[#This Row],[Nilai2]]=""),"",IF(AF1216&gt;89,"Sangat baik",IF(AF1216&gt;79,"Baik",IF(AF1216&gt;69,"Cukup",IF(AF1216&gt;59,"Kurang","Sangat kurang")))))</f>
        <v/>
      </c>
      <c r="AJ1216" t="str">
        <f t="shared" si="56"/>
        <v>Wk.7</v>
      </c>
      <c r="AK1216" t="str">
        <f>IF(pub_gid_0_single_true_output_csv[[#This Row],[Nilai2]]="","",VLOOKUP(pub_gid_0_single_true_output_csv[[#This Row],[NAMA]],Table7[],3,FALSE))</f>
        <v>Average</v>
      </c>
    </row>
    <row r="1217" spans="1:37" x14ac:dyDescent="0.2">
      <c r="A1217">
        <v>1216</v>
      </c>
      <c r="B1217" t="s">
        <v>292</v>
      </c>
      <c r="C1217" t="s">
        <v>54</v>
      </c>
      <c r="D1217" t="s">
        <v>94</v>
      </c>
      <c r="E1217" t="s">
        <v>147</v>
      </c>
      <c r="F1217" s="25">
        <v>46071</v>
      </c>
      <c r="G1217" t="s">
        <v>323</v>
      </c>
      <c r="H1217" t="s">
        <v>412</v>
      </c>
      <c r="I1217" t="s">
        <v>371</v>
      </c>
      <c r="J1217" t="s">
        <v>36</v>
      </c>
      <c r="K1217" t="s">
        <v>362</v>
      </c>
      <c r="L1217" t="s">
        <v>363</v>
      </c>
      <c r="M1217" t="s">
        <v>141</v>
      </c>
      <c r="N1217" t="s">
        <v>142</v>
      </c>
      <c r="O1217" t="s">
        <v>155</v>
      </c>
      <c r="P1217" t="s">
        <v>281</v>
      </c>
      <c r="Q1217" t="s">
        <v>155</v>
      </c>
      <c r="R1217" t="s">
        <v>302</v>
      </c>
      <c r="S1217" t="s">
        <v>309</v>
      </c>
      <c r="T1217">
        <v>1</v>
      </c>
      <c r="U1217" t="s">
        <v>435</v>
      </c>
      <c r="V1217" t="s">
        <v>285</v>
      </c>
      <c r="W1217" t="s">
        <v>436</v>
      </c>
      <c r="X1217" t="s">
        <v>306</v>
      </c>
      <c r="Y1217" t="s">
        <v>307</v>
      </c>
      <c r="Z1217">
        <v>65</v>
      </c>
      <c r="AA1217">
        <v>66</v>
      </c>
      <c r="AB1217" t="s">
        <v>143</v>
      </c>
      <c r="AC1217" t="s">
        <v>53</v>
      </c>
      <c r="AD1217" t="s">
        <v>404</v>
      </c>
      <c r="AE1217" t="str">
        <f>IF(AF1217="","",VLOOKUP(AC1217,mapel!$A$2:$B$42,2,FALSE))</f>
        <v>Sejarah</v>
      </c>
      <c r="AF1217">
        <f t="shared" si="54"/>
        <v>66</v>
      </c>
      <c r="AG1217" t="str">
        <f>IF(AF1217="","",IF(AF1217&gt;90,"Sangat baik",IF(AF1217&gt;79,"Baik",IF(AF1217&gt;=pub_gid_0_single_true_output_csv[[#This Row],[KKM]],"Cukup","Kurang"))))</f>
        <v>Cukup</v>
      </c>
      <c r="AH1217">
        <f t="shared" si="55"/>
        <v>11</v>
      </c>
      <c r="AI1217" s="30" t="str">
        <f>IF(OR(J1217&lt;&gt;"Karakter",pub_gid_0_single_true_output_csv[[#This Row],[Nilai2]]=""),"",IF(AF1217&gt;89,"Sangat baik",IF(AF1217&gt;79,"Baik",IF(AF1217&gt;69,"Cukup",IF(AF1217&gt;59,"Kurang","Sangat kurang")))))</f>
        <v/>
      </c>
      <c r="AJ1217" t="str">
        <f t="shared" si="56"/>
        <v>Wk.8</v>
      </c>
      <c r="AK1217" t="str">
        <f>IF(pub_gid_0_single_true_output_csv[[#This Row],[Nilai2]]="","",VLOOKUP(pub_gid_0_single_true_output_csv[[#This Row],[NAMA]],Table7[],3,FALSE))</f>
        <v>Average</v>
      </c>
    </row>
    <row r="1218" spans="1:37" x14ac:dyDescent="0.2">
      <c r="A1218">
        <v>1217</v>
      </c>
      <c r="B1218" t="s">
        <v>292</v>
      </c>
      <c r="C1218" t="s">
        <v>54</v>
      </c>
      <c r="D1218" t="s">
        <v>94</v>
      </c>
      <c r="E1218" t="s">
        <v>147</v>
      </c>
      <c r="F1218" s="25">
        <v>46071</v>
      </c>
      <c r="G1218" t="s">
        <v>323</v>
      </c>
      <c r="H1218" t="s">
        <v>412</v>
      </c>
      <c r="I1218" t="s">
        <v>371</v>
      </c>
      <c r="J1218" t="s">
        <v>90</v>
      </c>
      <c r="K1218" t="s">
        <v>92</v>
      </c>
      <c r="L1218" t="s">
        <v>93</v>
      </c>
      <c r="M1218" t="s">
        <v>141</v>
      </c>
      <c r="N1218" t="s">
        <v>142</v>
      </c>
      <c r="O1218" t="s">
        <v>155</v>
      </c>
      <c r="P1218" t="s">
        <v>281</v>
      </c>
      <c r="Q1218" t="s">
        <v>155</v>
      </c>
      <c r="R1218" t="s">
        <v>302</v>
      </c>
      <c r="S1218" t="s">
        <v>309</v>
      </c>
      <c r="T1218">
        <v>1</v>
      </c>
      <c r="U1218" t="s">
        <v>435</v>
      </c>
      <c r="V1218" t="s">
        <v>285</v>
      </c>
      <c r="W1218" t="s">
        <v>436</v>
      </c>
      <c r="X1218" t="s">
        <v>306</v>
      </c>
      <c r="Y1218" t="s">
        <v>307</v>
      </c>
      <c r="Z1218">
        <v>65</v>
      </c>
      <c r="AA1218">
        <v>70</v>
      </c>
      <c r="AB1218" t="s">
        <v>143</v>
      </c>
      <c r="AC1218" t="s">
        <v>53</v>
      </c>
      <c r="AD1218" t="s">
        <v>404</v>
      </c>
      <c r="AE1218" t="str">
        <f>IF(AF1218="","",VLOOKUP(AC1218,mapel!$A$2:$B$42,2,FALSE))</f>
        <v>Sejarah</v>
      </c>
      <c r="AF1218">
        <f t="shared" ref="AF1218:AF1281" si="57">IF(AA1218=0, "",IF(AA1218 = 0.1, 0,AA1218))</f>
        <v>70</v>
      </c>
      <c r="AG1218" t="str">
        <f>IF(AF1218="","",IF(AF1218&gt;90,"Sangat baik",IF(AF1218&gt;79,"Baik",IF(AF1218&gt;=pub_gid_0_single_true_output_csv[[#This Row],[KKM]],"Cukup","Kurang"))))</f>
        <v>Cukup</v>
      </c>
      <c r="AH1218">
        <f t="shared" ref="AH1218:AH1281" si="58">IF(AG1218="","",VALUE(RIGHT(X1218,2)))</f>
        <v>11</v>
      </c>
      <c r="AI1218" s="30" t="str">
        <f>IF(OR(J1218&lt;&gt;"Karakter",pub_gid_0_single_true_output_csv[[#This Row],[Nilai2]]=""),"",IF(AF1218&gt;89,"Sangat baik",IF(AF1218&gt;79,"Baik",IF(AF1218&gt;69,"Cukup",IF(AF1218&gt;59,"Kurang","Sangat kurang")))))</f>
        <v>Cukup</v>
      </c>
      <c r="AJ1218" t="str">
        <f t="shared" ref="AJ1218:AJ1281" si="59">IF(AF1218="","",CONCATENATE("Wk.",WEEKNUM(F1218,2)))</f>
        <v>Wk.8</v>
      </c>
      <c r="AK1218" t="str">
        <f>IF(pub_gid_0_single_true_output_csv[[#This Row],[Nilai2]]="","",VLOOKUP(pub_gid_0_single_true_output_csv[[#This Row],[NAMA]],Table7[],3,FALSE))</f>
        <v>Average</v>
      </c>
    </row>
    <row r="1219" spans="1:37" x14ac:dyDescent="0.2">
      <c r="A1219">
        <v>1218</v>
      </c>
      <c r="B1219" t="s">
        <v>286</v>
      </c>
      <c r="C1219" t="s">
        <v>54</v>
      </c>
      <c r="D1219" t="s">
        <v>33</v>
      </c>
      <c r="E1219" t="s">
        <v>140</v>
      </c>
      <c r="F1219" s="25">
        <v>46036</v>
      </c>
      <c r="G1219" t="s">
        <v>353</v>
      </c>
      <c r="H1219" t="s">
        <v>405</v>
      </c>
      <c r="I1219" t="s">
        <v>371</v>
      </c>
      <c r="J1219" t="s">
        <v>36</v>
      </c>
      <c r="K1219" t="s">
        <v>37</v>
      </c>
      <c r="L1219" t="s">
        <v>351</v>
      </c>
      <c r="M1219" t="s">
        <v>141</v>
      </c>
      <c r="N1219" t="s">
        <v>142</v>
      </c>
      <c r="O1219" t="s">
        <v>155</v>
      </c>
      <c r="P1219" t="s">
        <v>281</v>
      </c>
      <c r="Q1219" t="s">
        <v>155</v>
      </c>
      <c r="R1219" t="s">
        <v>302</v>
      </c>
      <c r="S1219" t="s">
        <v>309</v>
      </c>
      <c r="T1219">
        <v>1</v>
      </c>
      <c r="U1219" t="s">
        <v>435</v>
      </c>
      <c r="V1219" t="s">
        <v>285</v>
      </c>
      <c r="W1219" t="s">
        <v>436</v>
      </c>
      <c r="X1219" t="s">
        <v>306</v>
      </c>
      <c r="Y1219" t="s">
        <v>307</v>
      </c>
      <c r="Z1219">
        <v>65</v>
      </c>
      <c r="AA1219">
        <v>89</v>
      </c>
      <c r="AB1219" t="s">
        <v>143</v>
      </c>
      <c r="AC1219" t="s">
        <v>53</v>
      </c>
      <c r="AD1219" t="s">
        <v>404</v>
      </c>
      <c r="AE1219" t="str">
        <f>IF(AF1219="","",VLOOKUP(AC1219,mapel!$A$2:$B$42,2,FALSE))</f>
        <v>Sejarah</v>
      </c>
      <c r="AF1219">
        <f t="shared" si="57"/>
        <v>89</v>
      </c>
      <c r="AG1219" t="str">
        <f>IF(AF1219="","",IF(AF1219&gt;90,"Sangat baik",IF(AF1219&gt;79,"Baik",IF(AF1219&gt;=pub_gid_0_single_true_output_csv[[#This Row],[KKM]],"Cukup","Kurang"))))</f>
        <v>Baik</v>
      </c>
      <c r="AH1219">
        <f t="shared" si="58"/>
        <v>11</v>
      </c>
      <c r="AI1219" s="30" t="str">
        <f>IF(OR(J1219&lt;&gt;"Karakter",pub_gid_0_single_true_output_csv[[#This Row],[Nilai2]]=""),"",IF(AF1219&gt;89,"Sangat baik",IF(AF1219&gt;79,"Baik",IF(AF1219&gt;69,"Cukup",IF(AF1219&gt;59,"Kurang","Sangat kurang")))))</f>
        <v/>
      </c>
      <c r="AJ1219" t="str">
        <f t="shared" si="59"/>
        <v>Wk.3</v>
      </c>
      <c r="AK1219" t="str">
        <f>IF(pub_gid_0_single_true_output_csv[[#This Row],[Nilai2]]="","",VLOOKUP(pub_gid_0_single_true_output_csv[[#This Row],[NAMA]],Table7[],3,FALSE))</f>
        <v>Extremely low</v>
      </c>
    </row>
    <row r="1220" spans="1:37" x14ac:dyDescent="0.2">
      <c r="A1220">
        <v>1219</v>
      </c>
      <c r="B1220" t="s">
        <v>286</v>
      </c>
      <c r="C1220" t="s">
        <v>54</v>
      </c>
      <c r="D1220" t="s">
        <v>33</v>
      </c>
      <c r="E1220" t="s">
        <v>140</v>
      </c>
      <c r="F1220" s="25">
        <v>46036</v>
      </c>
      <c r="G1220" t="s">
        <v>353</v>
      </c>
      <c r="H1220" t="s">
        <v>405</v>
      </c>
      <c r="I1220" t="s">
        <v>371</v>
      </c>
      <c r="J1220" t="s">
        <v>31</v>
      </c>
      <c r="K1220" t="s">
        <v>32</v>
      </c>
      <c r="L1220" t="s">
        <v>351</v>
      </c>
      <c r="M1220" t="s">
        <v>141</v>
      </c>
      <c r="N1220" t="s">
        <v>142</v>
      </c>
      <c r="O1220" t="s">
        <v>155</v>
      </c>
      <c r="P1220" t="s">
        <v>281</v>
      </c>
      <c r="Q1220" t="s">
        <v>155</v>
      </c>
      <c r="R1220" t="s">
        <v>302</v>
      </c>
      <c r="S1220" t="s">
        <v>309</v>
      </c>
      <c r="T1220">
        <v>1</v>
      </c>
      <c r="U1220" t="s">
        <v>435</v>
      </c>
      <c r="V1220" t="s">
        <v>285</v>
      </c>
      <c r="W1220" t="s">
        <v>436</v>
      </c>
      <c r="X1220" t="s">
        <v>306</v>
      </c>
      <c r="Y1220" t="s">
        <v>307</v>
      </c>
      <c r="Z1220">
        <v>65</v>
      </c>
      <c r="AA1220">
        <v>75</v>
      </c>
      <c r="AB1220" t="s">
        <v>143</v>
      </c>
      <c r="AC1220" t="s">
        <v>53</v>
      </c>
      <c r="AD1220" t="s">
        <v>404</v>
      </c>
      <c r="AE1220" t="str">
        <f>IF(AF1220="","",VLOOKUP(AC1220,mapel!$A$2:$B$42,2,FALSE))</f>
        <v>Sejarah</v>
      </c>
      <c r="AF1220">
        <f t="shared" si="57"/>
        <v>75</v>
      </c>
      <c r="AG1220" t="str">
        <f>IF(AF1220="","",IF(AF1220&gt;90,"Sangat baik",IF(AF1220&gt;79,"Baik",IF(AF1220&gt;=pub_gid_0_single_true_output_csv[[#This Row],[KKM]],"Cukup","Kurang"))))</f>
        <v>Cukup</v>
      </c>
      <c r="AH1220">
        <f t="shared" si="58"/>
        <v>11</v>
      </c>
      <c r="AI1220" s="30" t="str">
        <f>IF(OR(J1220&lt;&gt;"Karakter",pub_gid_0_single_true_output_csv[[#This Row],[Nilai2]]=""),"",IF(AF1220&gt;89,"Sangat baik",IF(AF1220&gt;79,"Baik",IF(AF1220&gt;69,"Cukup",IF(AF1220&gt;59,"Kurang","Sangat kurang")))))</f>
        <v/>
      </c>
      <c r="AJ1220" t="str">
        <f t="shared" si="59"/>
        <v>Wk.3</v>
      </c>
      <c r="AK1220" t="str">
        <f>IF(pub_gid_0_single_true_output_csv[[#This Row],[Nilai2]]="","",VLOOKUP(pub_gid_0_single_true_output_csv[[#This Row],[NAMA]],Table7[],3,FALSE))</f>
        <v>Extremely low</v>
      </c>
    </row>
    <row r="1221" spans="1:37" x14ac:dyDescent="0.2">
      <c r="A1221">
        <v>1220</v>
      </c>
      <c r="B1221" t="s">
        <v>286</v>
      </c>
      <c r="C1221" t="s">
        <v>54</v>
      </c>
      <c r="D1221" t="s">
        <v>33</v>
      </c>
      <c r="E1221" t="s">
        <v>140</v>
      </c>
      <c r="F1221" s="25">
        <v>46036</v>
      </c>
      <c r="G1221" t="s">
        <v>353</v>
      </c>
      <c r="H1221" t="s">
        <v>405</v>
      </c>
      <c r="I1221" t="s">
        <v>371</v>
      </c>
      <c r="J1221" t="s">
        <v>90</v>
      </c>
      <c r="K1221" t="s">
        <v>92</v>
      </c>
      <c r="L1221" t="s">
        <v>91</v>
      </c>
      <c r="M1221" t="s">
        <v>141</v>
      </c>
      <c r="N1221" t="s">
        <v>142</v>
      </c>
      <c r="O1221" t="s">
        <v>155</v>
      </c>
      <c r="P1221" t="s">
        <v>281</v>
      </c>
      <c r="Q1221" t="s">
        <v>155</v>
      </c>
      <c r="R1221" t="s">
        <v>302</v>
      </c>
      <c r="S1221" t="s">
        <v>309</v>
      </c>
      <c r="T1221">
        <v>1</v>
      </c>
      <c r="U1221" t="s">
        <v>435</v>
      </c>
      <c r="V1221" t="s">
        <v>285</v>
      </c>
      <c r="W1221" t="s">
        <v>436</v>
      </c>
      <c r="X1221" t="s">
        <v>306</v>
      </c>
      <c r="Y1221" t="s">
        <v>307</v>
      </c>
      <c r="Z1221">
        <v>65</v>
      </c>
      <c r="AA1221">
        <v>80</v>
      </c>
      <c r="AB1221" t="s">
        <v>143</v>
      </c>
      <c r="AC1221" t="s">
        <v>53</v>
      </c>
      <c r="AD1221" t="s">
        <v>404</v>
      </c>
      <c r="AE1221" t="str">
        <f>IF(AF1221="","",VLOOKUP(AC1221,mapel!$A$2:$B$42,2,FALSE))</f>
        <v>Sejarah</v>
      </c>
      <c r="AF1221">
        <f t="shared" si="57"/>
        <v>80</v>
      </c>
      <c r="AG1221" t="str">
        <f>IF(AF1221="","",IF(AF1221&gt;90,"Sangat baik",IF(AF1221&gt;79,"Baik",IF(AF1221&gt;=pub_gid_0_single_true_output_csv[[#This Row],[KKM]],"Cukup","Kurang"))))</f>
        <v>Baik</v>
      </c>
      <c r="AH1221">
        <f t="shared" si="58"/>
        <v>11</v>
      </c>
      <c r="AI1221" s="30" t="str">
        <f>IF(OR(J1221&lt;&gt;"Karakter",pub_gid_0_single_true_output_csv[[#This Row],[Nilai2]]=""),"",IF(AF1221&gt;89,"Sangat baik",IF(AF1221&gt;79,"Baik",IF(AF1221&gt;69,"Cukup",IF(AF1221&gt;59,"Kurang","Sangat kurang")))))</f>
        <v>Baik</v>
      </c>
      <c r="AJ1221" t="str">
        <f t="shared" si="59"/>
        <v>Wk.3</v>
      </c>
      <c r="AK1221" t="str">
        <f>IF(pub_gid_0_single_true_output_csv[[#This Row],[Nilai2]]="","",VLOOKUP(pub_gid_0_single_true_output_csv[[#This Row],[NAMA]],Table7[],3,FALSE))</f>
        <v>Extremely low</v>
      </c>
    </row>
    <row r="1222" spans="1:37" x14ac:dyDescent="0.2">
      <c r="A1222">
        <v>1221</v>
      </c>
      <c r="B1222" t="s">
        <v>286</v>
      </c>
      <c r="C1222" t="s">
        <v>54</v>
      </c>
      <c r="D1222" t="s">
        <v>33</v>
      </c>
      <c r="E1222" t="s">
        <v>140</v>
      </c>
      <c r="F1222" s="25">
        <v>46036</v>
      </c>
      <c r="G1222" t="s">
        <v>353</v>
      </c>
      <c r="H1222" t="s">
        <v>405</v>
      </c>
      <c r="I1222" t="s">
        <v>371</v>
      </c>
      <c r="J1222" t="s">
        <v>279</v>
      </c>
      <c r="K1222" t="s">
        <v>280</v>
      </c>
      <c r="L1222" t="s">
        <v>322</v>
      </c>
      <c r="M1222" t="s">
        <v>141</v>
      </c>
      <c r="N1222" t="s">
        <v>142</v>
      </c>
      <c r="O1222" t="s">
        <v>155</v>
      </c>
      <c r="P1222" t="s">
        <v>281</v>
      </c>
      <c r="Q1222" t="s">
        <v>155</v>
      </c>
      <c r="R1222" t="s">
        <v>302</v>
      </c>
      <c r="S1222" t="s">
        <v>309</v>
      </c>
      <c r="T1222">
        <v>1</v>
      </c>
      <c r="U1222" t="s">
        <v>435</v>
      </c>
      <c r="V1222" t="s">
        <v>285</v>
      </c>
      <c r="W1222" t="s">
        <v>436</v>
      </c>
      <c r="X1222" t="s">
        <v>306</v>
      </c>
      <c r="Y1222" t="s">
        <v>307</v>
      </c>
      <c r="Z1222">
        <v>65</v>
      </c>
      <c r="AA1222">
        <v>70</v>
      </c>
      <c r="AB1222" t="s">
        <v>143</v>
      </c>
      <c r="AC1222" t="s">
        <v>53</v>
      </c>
      <c r="AD1222" t="s">
        <v>404</v>
      </c>
      <c r="AE1222" t="str">
        <f>IF(AF1222="","",VLOOKUP(AC1222,mapel!$A$2:$B$42,2,FALSE))</f>
        <v>Sejarah</v>
      </c>
      <c r="AF1222">
        <f t="shared" si="57"/>
        <v>70</v>
      </c>
      <c r="AG1222" t="str">
        <f>IF(AF1222="","",IF(AF1222&gt;90,"Sangat baik",IF(AF1222&gt;79,"Baik",IF(AF1222&gt;=pub_gid_0_single_true_output_csv[[#This Row],[KKM]],"Cukup","Kurang"))))</f>
        <v>Cukup</v>
      </c>
      <c r="AH1222">
        <f t="shared" si="58"/>
        <v>11</v>
      </c>
      <c r="AI1222" s="30" t="str">
        <f>IF(OR(J1222&lt;&gt;"Karakter",pub_gid_0_single_true_output_csv[[#This Row],[Nilai2]]=""),"",IF(AF1222&gt;89,"Sangat baik",IF(AF1222&gt;79,"Baik",IF(AF1222&gt;69,"Cukup",IF(AF1222&gt;59,"Kurang","Sangat kurang")))))</f>
        <v/>
      </c>
      <c r="AJ1222" t="str">
        <f t="shared" si="59"/>
        <v>Wk.3</v>
      </c>
      <c r="AK1222" t="str">
        <f>IF(pub_gid_0_single_true_output_csv[[#This Row],[Nilai2]]="","",VLOOKUP(pub_gid_0_single_true_output_csv[[#This Row],[NAMA]],Table7[],3,FALSE))</f>
        <v>Extremely low</v>
      </c>
    </row>
    <row r="1223" spans="1:37" x14ac:dyDescent="0.2">
      <c r="A1223">
        <v>1222</v>
      </c>
      <c r="B1223" t="s">
        <v>286</v>
      </c>
      <c r="C1223" t="s">
        <v>54</v>
      </c>
      <c r="D1223" t="s">
        <v>33</v>
      </c>
      <c r="E1223" t="s">
        <v>140</v>
      </c>
      <c r="F1223" s="25">
        <v>46043</v>
      </c>
      <c r="G1223" t="s">
        <v>341</v>
      </c>
      <c r="H1223" t="s">
        <v>405</v>
      </c>
      <c r="I1223" t="s">
        <v>371</v>
      </c>
      <c r="J1223" t="s">
        <v>36</v>
      </c>
      <c r="K1223" t="s">
        <v>37</v>
      </c>
      <c r="L1223" t="s">
        <v>351</v>
      </c>
      <c r="M1223" t="s">
        <v>141</v>
      </c>
      <c r="N1223" t="s">
        <v>142</v>
      </c>
      <c r="O1223" t="s">
        <v>155</v>
      </c>
      <c r="P1223" t="s">
        <v>281</v>
      </c>
      <c r="Q1223" t="s">
        <v>155</v>
      </c>
      <c r="R1223" t="s">
        <v>302</v>
      </c>
      <c r="S1223" t="s">
        <v>309</v>
      </c>
      <c r="T1223">
        <v>1</v>
      </c>
      <c r="U1223" t="s">
        <v>435</v>
      </c>
      <c r="V1223" t="s">
        <v>285</v>
      </c>
      <c r="W1223" t="s">
        <v>436</v>
      </c>
      <c r="X1223" t="s">
        <v>306</v>
      </c>
      <c r="Y1223" t="s">
        <v>307</v>
      </c>
      <c r="Z1223">
        <v>65</v>
      </c>
      <c r="AA1223">
        <v>90</v>
      </c>
      <c r="AB1223" t="s">
        <v>143</v>
      </c>
      <c r="AC1223" t="s">
        <v>53</v>
      </c>
      <c r="AD1223" t="s">
        <v>404</v>
      </c>
      <c r="AE1223" t="str">
        <f>IF(AF1223="","",VLOOKUP(AC1223,mapel!$A$2:$B$42,2,FALSE))</f>
        <v>Sejarah</v>
      </c>
      <c r="AF1223">
        <f t="shared" si="57"/>
        <v>90</v>
      </c>
      <c r="AG1223" t="str">
        <f>IF(AF1223="","",IF(AF1223&gt;90,"Sangat baik",IF(AF1223&gt;79,"Baik",IF(AF1223&gt;=pub_gid_0_single_true_output_csv[[#This Row],[KKM]],"Cukup","Kurang"))))</f>
        <v>Baik</v>
      </c>
      <c r="AH1223">
        <f t="shared" si="58"/>
        <v>11</v>
      </c>
      <c r="AI1223" s="30" t="str">
        <f>IF(OR(J1223&lt;&gt;"Karakter",pub_gid_0_single_true_output_csv[[#This Row],[Nilai2]]=""),"",IF(AF1223&gt;89,"Sangat baik",IF(AF1223&gt;79,"Baik",IF(AF1223&gt;69,"Cukup",IF(AF1223&gt;59,"Kurang","Sangat kurang")))))</f>
        <v/>
      </c>
      <c r="AJ1223" t="str">
        <f t="shared" si="59"/>
        <v>Wk.4</v>
      </c>
      <c r="AK1223" t="str">
        <f>IF(pub_gid_0_single_true_output_csv[[#This Row],[Nilai2]]="","",VLOOKUP(pub_gid_0_single_true_output_csv[[#This Row],[NAMA]],Table7[],3,FALSE))</f>
        <v>Extremely low</v>
      </c>
    </row>
    <row r="1224" spans="1:37" x14ac:dyDescent="0.2">
      <c r="A1224">
        <v>1223</v>
      </c>
      <c r="B1224" t="s">
        <v>286</v>
      </c>
      <c r="C1224" t="s">
        <v>54</v>
      </c>
      <c r="D1224" t="s">
        <v>33</v>
      </c>
      <c r="E1224" t="s">
        <v>140</v>
      </c>
      <c r="F1224" s="25">
        <v>46043</v>
      </c>
      <c r="G1224" t="s">
        <v>341</v>
      </c>
      <c r="H1224" t="s">
        <v>405</v>
      </c>
      <c r="I1224" t="s">
        <v>371</v>
      </c>
      <c r="J1224" t="s">
        <v>31</v>
      </c>
      <c r="K1224" t="s">
        <v>96</v>
      </c>
      <c r="L1224" t="s">
        <v>322</v>
      </c>
      <c r="M1224" t="s">
        <v>141</v>
      </c>
      <c r="N1224" t="s">
        <v>142</v>
      </c>
      <c r="O1224" t="s">
        <v>155</v>
      </c>
      <c r="P1224" t="s">
        <v>281</v>
      </c>
      <c r="Q1224" t="s">
        <v>155</v>
      </c>
      <c r="R1224" t="s">
        <v>302</v>
      </c>
      <c r="S1224" t="s">
        <v>309</v>
      </c>
      <c r="T1224">
        <v>1</v>
      </c>
      <c r="U1224" t="s">
        <v>435</v>
      </c>
      <c r="V1224" t="s">
        <v>285</v>
      </c>
      <c r="W1224" t="s">
        <v>436</v>
      </c>
      <c r="X1224" t="s">
        <v>306</v>
      </c>
      <c r="Y1224" t="s">
        <v>307</v>
      </c>
      <c r="Z1224">
        <v>65</v>
      </c>
      <c r="AA1224">
        <v>85</v>
      </c>
      <c r="AB1224" t="s">
        <v>143</v>
      </c>
      <c r="AC1224" t="s">
        <v>53</v>
      </c>
      <c r="AD1224" t="s">
        <v>404</v>
      </c>
      <c r="AE1224" t="str">
        <f>IF(AF1224="","",VLOOKUP(AC1224,mapel!$A$2:$B$42,2,FALSE))</f>
        <v>Sejarah</v>
      </c>
      <c r="AF1224">
        <f t="shared" si="57"/>
        <v>85</v>
      </c>
      <c r="AG1224" t="str">
        <f>IF(AF1224="","",IF(AF1224&gt;90,"Sangat baik",IF(AF1224&gt;79,"Baik",IF(AF1224&gt;=pub_gid_0_single_true_output_csv[[#This Row],[KKM]],"Cukup","Kurang"))))</f>
        <v>Baik</v>
      </c>
      <c r="AH1224">
        <f t="shared" si="58"/>
        <v>11</v>
      </c>
      <c r="AI1224" s="30" t="str">
        <f>IF(OR(J1224&lt;&gt;"Karakter",pub_gid_0_single_true_output_csv[[#This Row],[Nilai2]]=""),"",IF(AF1224&gt;89,"Sangat baik",IF(AF1224&gt;79,"Baik",IF(AF1224&gt;69,"Cukup",IF(AF1224&gt;59,"Kurang","Sangat kurang")))))</f>
        <v/>
      </c>
      <c r="AJ1224" t="str">
        <f t="shared" si="59"/>
        <v>Wk.4</v>
      </c>
      <c r="AK1224" t="str">
        <f>IF(pub_gid_0_single_true_output_csv[[#This Row],[Nilai2]]="","",VLOOKUP(pub_gid_0_single_true_output_csv[[#This Row],[NAMA]],Table7[],3,FALSE))</f>
        <v>Extremely low</v>
      </c>
    </row>
    <row r="1225" spans="1:37" x14ac:dyDescent="0.2">
      <c r="A1225">
        <v>1224</v>
      </c>
      <c r="B1225" t="s">
        <v>286</v>
      </c>
      <c r="C1225" t="s">
        <v>54</v>
      </c>
      <c r="D1225" t="s">
        <v>33</v>
      </c>
      <c r="E1225" t="s">
        <v>140</v>
      </c>
      <c r="F1225" s="25">
        <v>46043</v>
      </c>
      <c r="G1225" t="s">
        <v>341</v>
      </c>
      <c r="H1225" t="s">
        <v>405</v>
      </c>
      <c r="I1225" t="s">
        <v>371</v>
      </c>
      <c r="J1225" t="s">
        <v>90</v>
      </c>
      <c r="K1225" t="s">
        <v>92</v>
      </c>
      <c r="L1225" t="s">
        <v>93</v>
      </c>
      <c r="M1225" t="s">
        <v>141</v>
      </c>
      <c r="N1225" t="s">
        <v>142</v>
      </c>
      <c r="O1225" t="s">
        <v>155</v>
      </c>
      <c r="P1225" t="s">
        <v>281</v>
      </c>
      <c r="Q1225" t="s">
        <v>155</v>
      </c>
      <c r="R1225" t="s">
        <v>302</v>
      </c>
      <c r="S1225" t="s">
        <v>309</v>
      </c>
      <c r="T1225">
        <v>1</v>
      </c>
      <c r="U1225" t="s">
        <v>435</v>
      </c>
      <c r="V1225" t="s">
        <v>285</v>
      </c>
      <c r="W1225" t="s">
        <v>436</v>
      </c>
      <c r="X1225" t="s">
        <v>306</v>
      </c>
      <c r="Y1225" t="s">
        <v>307</v>
      </c>
      <c r="Z1225">
        <v>65</v>
      </c>
      <c r="AA1225">
        <v>80</v>
      </c>
      <c r="AB1225" t="s">
        <v>143</v>
      </c>
      <c r="AC1225" t="s">
        <v>53</v>
      </c>
      <c r="AD1225" t="s">
        <v>404</v>
      </c>
      <c r="AE1225" t="str">
        <f>IF(AF1225="","",VLOOKUP(AC1225,mapel!$A$2:$B$42,2,FALSE))</f>
        <v>Sejarah</v>
      </c>
      <c r="AF1225">
        <f t="shared" si="57"/>
        <v>80</v>
      </c>
      <c r="AG1225" t="str">
        <f>IF(AF1225="","",IF(AF1225&gt;90,"Sangat baik",IF(AF1225&gt;79,"Baik",IF(AF1225&gt;=pub_gid_0_single_true_output_csv[[#This Row],[KKM]],"Cukup","Kurang"))))</f>
        <v>Baik</v>
      </c>
      <c r="AH1225">
        <f t="shared" si="58"/>
        <v>11</v>
      </c>
      <c r="AI1225" s="30" t="str">
        <f>IF(OR(J1225&lt;&gt;"Karakter",pub_gid_0_single_true_output_csv[[#This Row],[Nilai2]]=""),"",IF(AF1225&gt;89,"Sangat baik",IF(AF1225&gt;79,"Baik",IF(AF1225&gt;69,"Cukup",IF(AF1225&gt;59,"Kurang","Sangat kurang")))))</f>
        <v>Baik</v>
      </c>
      <c r="AJ1225" t="str">
        <f t="shared" si="59"/>
        <v>Wk.4</v>
      </c>
      <c r="AK1225" t="str">
        <f>IF(pub_gid_0_single_true_output_csv[[#This Row],[Nilai2]]="","",VLOOKUP(pub_gid_0_single_true_output_csv[[#This Row],[NAMA]],Table7[],3,FALSE))</f>
        <v>Extremely low</v>
      </c>
    </row>
    <row r="1226" spans="1:37" x14ac:dyDescent="0.2">
      <c r="A1226">
        <v>1225</v>
      </c>
      <c r="B1226" t="s">
        <v>286</v>
      </c>
      <c r="C1226" t="s">
        <v>54</v>
      </c>
      <c r="D1226" t="s">
        <v>33</v>
      </c>
      <c r="E1226" t="s">
        <v>140</v>
      </c>
      <c r="F1226" s="25">
        <v>46043</v>
      </c>
      <c r="G1226" t="s">
        <v>341</v>
      </c>
      <c r="H1226" t="s">
        <v>405</v>
      </c>
      <c r="I1226" t="s">
        <v>371</v>
      </c>
      <c r="J1226" t="s">
        <v>279</v>
      </c>
      <c r="K1226" t="s">
        <v>280</v>
      </c>
      <c r="L1226" t="s">
        <v>322</v>
      </c>
      <c r="M1226" t="s">
        <v>141</v>
      </c>
      <c r="N1226" t="s">
        <v>142</v>
      </c>
      <c r="O1226" t="s">
        <v>155</v>
      </c>
      <c r="P1226" t="s">
        <v>281</v>
      </c>
      <c r="Q1226" t="s">
        <v>155</v>
      </c>
      <c r="R1226" t="s">
        <v>302</v>
      </c>
      <c r="S1226" t="s">
        <v>355</v>
      </c>
      <c r="T1226">
        <v>2</v>
      </c>
      <c r="U1226" t="s">
        <v>159</v>
      </c>
      <c r="V1226" t="s">
        <v>303</v>
      </c>
      <c r="W1226" t="s">
        <v>437</v>
      </c>
      <c r="X1226" t="s">
        <v>306</v>
      </c>
      <c r="Y1226" t="s">
        <v>307</v>
      </c>
      <c r="Z1226">
        <v>65</v>
      </c>
      <c r="AA1226">
        <v>70</v>
      </c>
      <c r="AB1226" t="s">
        <v>143</v>
      </c>
      <c r="AC1226" t="s">
        <v>53</v>
      </c>
      <c r="AD1226" t="s">
        <v>404</v>
      </c>
      <c r="AE1226" t="str">
        <f>IF(AF1226="","",VLOOKUP(AC1226,mapel!$A$2:$B$42,2,FALSE))</f>
        <v>Sejarah</v>
      </c>
      <c r="AF1226">
        <f t="shared" si="57"/>
        <v>70</v>
      </c>
      <c r="AG1226" t="str">
        <f>IF(AF1226="","",IF(AF1226&gt;90,"Sangat baik",IF(AF1226&gt;79,"Baik",IF(AF1226&gt;=pub_gid_0_single_true_output_csv[[#This Row],[KKM]],"Cukup","Kurang"))))</f>
        <v>Cukup</v>
      </c>
      <c r="AH1226">
        <f t="shared" si="58"/>
        <v>11</v>
      </c>
      <c r="AI1226" s="30" t="str">
        <f>IF(OR(J1226&lt;&gt;"Karakter",pub_gid_0_single_true_output_csv[[#This Row],[Nilai2]]=""),"",IF(AF1226&gt;89,"Sangat baik",IF(AF1226&gt;79,"Baik",IF(AF1226&gt;69,"Cukup",IF(AF1226&gt;59,"Kurang","Sangat kurang")))))</f>
        <v/>
      </c>
      <c r="AJ1226" t="str">
        <f t="shared" si="59"/>
        <v>Wk.4</v>
      </c>
      <c r="AK1226" t="str">
        <f>IF(pub_gid_0_single_true_output_csv[[#This Row],[Nilai2]]="","",VLOOKUP(pub_gid_0_single_true_output_csv[[#This Row],[NAMA]],Table7[],3,FALSE))</f>
        <v>Extremely low</v>
      </c>
    </row>
    <row r="1227" spans="1:37" x14ac:dyDescent="0.2">
      <c r="A1227">
        <v>1226</v>
      </c>
      <c r="B1227" t="s">
        <v>286</v>
      </c>
      <c r="C1227" t="s">
        <v>54</v>
      </c>
      <c r="D1227" t="s">
        <v>33</v>
      </c>
      <c r="E1227" t="s">
        <v>140</v>
      </c>
      <c r="F1227" s="25">
        <v>46050</v>
      </c>
      <c r="G1227" t="s">
        <v>308</v>
      </c>
      <c r="H1227" t="s">
        <v>405</v>
      </c>
      <c r="I1227" t="s">
        <v>371</v>
      </c>
      <c r="J1227" t="s">
        <v>36</v>
      </c>
      <c r="K1227" t="s">
        <v>37</v>
      </c>
      <c r="L1227" t="s">
        <v>351</v>
      </c>
      <c r="M1227" t="s">
        <v>141</v>
      </c>
      <c r="N1227" t="s">
        <v>142</v>
      </c>
      <c r="O1227" t="s">
        <v>155</v>
      </c>
      <c r="P1227" t="s">
        <v>281</v>
      </c>
      <c r="Q1227" t="s">
        <v>155</v>
      </c>
      <c r="R1227" t="s">
        <v>302</v>
      </c>
      <c r="S1227" t="s">
        <v>355</v>
      </c>
      <c r="T1227">
        <v>2</v>
      </c>
      <c r="U1227" t="s">
        <v>159</v>
      </c>
      <c r="V1227" t="s">
        <v>303</v>
      </c>
      <c r="W1227" t="s">
        <v>437</v>
      </c>
      <c r="X1227" t="s">
        <v>306</v>
      </c>
      <c r="Y1227" t="s">
        <v>307</v>
      </c>
      <c r="Z1227">
        <v>65</v>
      </c>
      <c r="AA1227">
        <v>89</v>
      </c>
      <c r="AB1227" t="s">
        <v>143</v>
      </c>
      <c r="AC1227" t="s">
        <v>53</v>
      </c>
      <c r="AD1227" t="s">
        <v>404</v>
      </c>
      <c r="AE1227" t="str">
        <f>IF(AF1227="","",VLOOKUP(AC1227,mapel!$A$2:$B$42,2,FALSE))</f>
        <v>Sejarah</v>
      </c>
      <c r="AF1227">
        <f t="shared" si="57"/>
        <v>89</v>
      </c>
      <c r="AG1227" t="str">
        <f>IF(AF1227="","",IF(AF1227&gt;90,"Sangat baik",IF(AF1227&gt;79,"Baik",IF(AF1227&gt;=pub_gid_0_single_true_output_csv[[#This Row],[KKM]],"Cukup","Kurang"))))</f>
        <v>Baik</v>
      </c>
      <c r="AH1227">
        <f t="shared" si="58"/>
        <v>11</v>
      </c>
      <c r="AI1227" s="30" t="str">
        <f>IF(OR(J1227&lt;&gt;"Karakter",pub_gid_0_single_true_output_csv[[#This Row],[Nilai2]]=""),"",IF(AF1227&gt;89,"Sangat baik",IF(AF1227&gt;79,"Baik",IF(AF1227&gt;69,"Cukup",IF(AF1227&gt;59,"Kurang","Sangat kurang")))))</f>
        <v/>
      </c>
      <c r="AJ1227" t="str">
        <f t="shared" si="59"/>
        <v>Wk.5</v>
      </c>
      <c r="AK1227" t="str">
        <f>IF(pub_gid_0_single_true_output_csv[[#This Row],[Nilai2]]="","",VLOOKUP(pub_gid_0_single_true_output_csv[[#This Row],[NAMA]],Table7[],3,FALSE))</f>
        <v>Extremely low</v>
      </c>
    </row>
    <row r="1228" spans="1:37" x14ac:dyDescent="0.2">
      <c r="A1228">
        <v>1227</v>
      </c>
      <c r="B1228" t="s">
        <v>286</v>
      </c>
      <c r="C1228" t="s">
        <v>54</v>
      </c>
      <c r="D1228" t="s">
        <v>33</v>
      </c>
      <c r="E1228" t="s">
        <v>140</v>
      </c>
      <c r="F1228" s="25">
        <v>46050</v>
      </c>
      <c r="G1228" t="s">
        <v>308</v>
      </c>
      <c r="H1228" t="s">
        <v>405</v>
      </c>
      <c r="I1228" t="s">
        <v>371</v>
      </c>
      <c r="J1228" t="s">
        <v>31</v>
      </c>
      <c r="K1228" t="s">
        <v>96</v>
      </c>
      <c r="L1228" t="s">
        <v>351</v>
      </c>
      <c r="M1228" t="s">
        <v>141</v>
      </c>
      <c r="N1228" t="s">
        <v>142</v>
      </c>
      <c r="O1228" t="s">
        <v>155</v>
      </c>
      <c r="P1228" t="s">
        <v>281</v>
      </c>
      <c r="Q1228" t="s">
        <v>155</v>
      </c>
      <c r="R1228" t="s">
        <v>302</v>
      </c>
      <c r="S1228" t="s">
        <v>355</v>
      </c>
      <c r="T1228">
        <v>2</v>
      </c>
      <c r="U1228" t="s">
        <v>159</v>
      </c>
      <c r="V1228" t="s">
        <v>303</v>
      </c>
      <c r="W1228" t="s">
        <v>437</v>
      </c>
      <c r="X1228" t="s">
        <v>306</v>
      </c>
      <c r="Y1228" t="s">
        <v>307</v>
      </c>
      <c r="Z1228">
        <v>65</v>
      </c>
      <c r="AA1228">
        <v>75</v>
      </c>
      <c r="AB1228" t="s">
        <v>143</v>
      </c>
      <c r="AC1228" t="s">
        <v>53</v>
      </c>
      <c r="AD1228" t="s">
        <v>404</v>
      </c>
      <c r="AE1228" t="str">
        <f>IF(AF1228="","",VLOOKUP(AC1228,mapel!$A$2:$B$42,2,FALSE))</f>
        <v>Sejarah</v>
      </c>
      <c r="AF1228">
        <f t="shared" si="57"/>
        <v>75</v>
      </c>
      <c r="AG1228" t="str">
        <f>IF(AF1228="","",IF(AF1228&gt;90,"Sangat baik",IF(AF1228&gt;79,"Baik",IF(AF1228&gt;=pub_gid_0_single_true_output_csv[[#This Row],[KKM]],"Cukup","Kurang"))))</f>
        <v>Cukup</v>
      </c>
      <c r="AH1228">
        <f t="shared" si="58"/>
        <v>11</v>
      </c>
      <c r="AI1228" s="30" t="str">
        <f>IF(OR(J1228&lt;&gt;"Karakter",pub_gid_0_single_true_output_csv[[#This Row],[Nilai2]]=""),"",IF(AF1228&gt;89,"Sangat baik",IF(AF1228&gt;79,"Baik",IF(AF1228&gt;69,"Cukup",IF(AF1228&gt;59,"Kurang","Sangat kurang")))))</f>
        <v/>
      </c>
      <c r="AJ1228" t="str">
        <f t="shared" si="59"/>
        <v>Wk.5</v>
      </c>
      <c r="AK1228" t="str">
        <f>IF(pub_gid_0_single_true_output_csv[[#This Row],[Nilai2]]="","",VLOOKUP(pub_gid_0_single_true_output_csv[[#This Row],[NAMA]],Table7[],3,FALSE))</f>
        <v>Extremely low</v>
      </c>
    </row>
    <row r="1229" spans="1:37" x14ac:dyDescent="0.2">
      <c r="A1229">
        <v>1228</v>
      </c>
      <c r="B1229" t="s">
        <v>286</v>
      </c>
      <c r="C1229" t="s">
        <v>54</v>
      </c>
      <c r="D1229" t="s">
        <v>33</v>
      </c>
      <c r="E1229" t="s">
        <v>140</v>
      </c>
      <c r="F1229" s="25">
        <v>46050</v>
      </c>
      <c r="G1229" t="s">
        <v>308</v>
      </c>
      <c r="H1229" t="s">
        <v>405</v>
      </c>
      <c r="I1229" t="s">
        <v>371</v>
      </c>
      <c r="J1229" t="s">
        <v>90</v>
      </c>
      <c r="K1229" t="s">
        <v>92</v>
      </c>
      <c r="L1229" t="s">
        <v>91</v>
      </c>
      <c r="M1229" t="s">
        <v>141</v>
      </c>
      <c r="N1229" t="s">
        <v>142</v>
      </c>
      <c r="O1229" t="s">
        <v>155</v>
      </c>
      <c r="P1229" t="s">
        <v>281</v>
      </c>
      <c r="Q1229" t="s">
        <v>155</v>
      </c>
      <c r="R1229" t="s">
        <v>302</v>
      </c>
      <c r="S1229" t="s">
        <v>355</v>
      </c>
      <c r="T1229">
        <v>2</v>
      </c>
      <c r="U1229" t="s">
        <v>159</v>
      </c>
      <c r="V1229" t="s">
        <v>303</v>
      </c>
      <c r="W1229" t="s">
        <v>437</v>
      </c>
      <c r="X1229" t="s">
        <v>306</v>
      </c>
      <c r="Y1229" t="s">
        <v>307</v>
      </c>
      <c r="Z1229">
        <v>65</v>
      </c>
      <c r="AA1229">
        <v>80</v>
      </c>
      <c r="AB1229" t="s">
        <v>143</v>
      </c>
      <c r="AC1229" t="s">
        <v>53</v>
      </c>
      <c r="AD1229" t="s">
        <v>404</v>
      </c>
      <c r="AE1229" t="str">
        <f>IF(AF1229="","",VLOOKUP(AC1229,mapel!$A$2:$B$42,2,FALSE))</f>
        <v>Sejarah</v>
      </c>
      <c r="AF1229">
        <f t="shared" si="57"/>
        <v>80</v>
      </c>
      <c r="AG1229" t="str">
        <f>IF(AF1229="","",IF(AF1229&gt;90,"Sangat baik",IF(AF1229&gt;79,"Baik",IF(AF1229&gt;=pub_gid_0_single_true_output_csv[[#This Row],[KKM]],"Cukup","Kurang"))))</f>
        <v>Baik</v>
      </c>
      <c r="AH1229">
        <f t="shared" si="58"/>
        <v>11</v>
      </c>
      <c r="AI1229" s="30" t="str">
        <f>IF(OR(J1229&lt;&gt;"Karakter",pub_gid_0_single_true_output_csv[[#This Row],[Nilai2]]=""),"",IF(AF1229&gt;89,"Sangat baik",IF(AF1229&gt;79,"Baik",IF(AF1229&gt;69,"Cukup",IF(AF1229&gt;59,"Kurang","Sangat kurang")))))</f>
        <v>Baik</v>
      </c>
      <c r="AJ1229" t="str">
        <f t="shared" si="59"/>
        <v>Wk.5</v>
      </c>
      <c r="AK1229" t="str">
        <f>IF(pub_gid_0_single_true_output_csv[[#This Row],[Nilai2]]="","",VLOOKUP(pub_gid_0_single_true_output_csv[[#This Row],[NAMA]],Table7[],3,FALSE))</f>
        <v>Extremely low</v>
      </c>
    </row>
    <row r="1230" spans="1:37" x14ac:dyDescent="0.2">
      <c r="A1230">
        <v>1229</v>
      </c>
      <c r="B1230" t="s">
        <v>286</v>
      </c>
      <c r="C1230" t="s">
        <v>54</v>
      </c>
      <c r="D1230" t="s">
        <v>33</v>
      </c>
      <c r="E1230" t="s">
        <v>140</v>
      </c>
      <c r="F1230" s="25">
        <v>46050</v>
      </c>
      <c r="G1230" t="s">
        <v>308</v>
      </c>
      <c r="H1230" t="s">
        <v>405</v>
      </c>
      <c r="I1230" t="s">
        <v>371</v>
      </c>
      <c r="J1230" t="s">
        <v>279</v>
      </c>
      <c r="K1230" t="s">
        <v>280</v>
      </c>
      <c r="L1230" t="s">
        <v>322</v>
      </c>
      <c r="M1230" t="s">
        <v>141</v>
      </c>
      <c r="N1230" t="s">
        <v>142</v>
      </c>
      <c r="O1230" t="s">
        <v>155</v>
      </c>
      <c r="P1230" t="s">
        <v>281</v>
      </c>
      <c r="Q1230" t="s">
        <v>155</v>
      </c>
      <c r="R1230" t="s">
        <v>302</v>
      </c>
      <c r="S1230" t="s">
        <v>355</v>
      </c>
      <c r="T1230">
        <v>2</v>
      </c>
      <c r="U1230" t="s">
        <v>159</v>
      </c>
      <c r="V1230" t="s">
        <v>303</v>
      </c>
      <c r="W1230" t="s">
        <v>437</v>
      </c>
      <c r="X1230" t="s">
        <v>306</v>
      </c>
      <c r="Y1230" t="s">
        <v>307</v>
      </c>
      <c r="Z1230">
        <v>65</v>
      </c>
      <c r="AA1230">
        <v>75</v>
      </c>
      <c r="AB1230" t="s">
        <v>143</v>
      </c>
      <c r="AC1230" t="s">
        <v>53</v>
      </c>
      <c r="AD1230" t="s">
        <v>404</v>
      </c>
      <c r="AE1230" t="str">
        <f>IF(AF1230="","",VLOOKUP(AC1230,mapel!$A$2:$B$42,2,FALSE))</f>
        <v>Sejarah</v>
      </c>
      <c r="AF1230">
        <f t="shared" si="57"/>
        <v>75</v>
      </c>
      <c r="AG1230" t="str">
        <f>IF(AF1230="","",IF(AF1230&gt;90,"Sangat baik",IF(AF1230&gt;79,"Baik",IF(AF1230&gt;=pub_gid_0_single_true_output_csv[[#This Row],[KKM]],"Cukup","Kurang"))))</f>
        <v>Cukup</v>
      </c>
      <c r="AH1230">
        <f t="shared" si="58"/>
        <v>11</v>
      </c>
      <c r="AI1230" s="30" t="str">
        <f>IF(OR(J1230&lt;&gt;"Karakter",pub_gid_0_single_true_output_csv[[#This Row],[Nilai2]]=""),"",IF(AF1230&gt;89,"Sangat baik",IF(AF1230&gt;79,"Baik",IF(AF1230&gt;69,"Cukup",IF(AF1230&gt;59,"Kurang","Sangat kurang")))))</f>
        <v/>
      </c>
      <c r="AJ1230" t="str">
        <f t="shared" si="59"/>
        <v>Wk.5</v>
      </c>
      <c r="AK1230" t="str">
        <f>IF(pub_gid_0_single_true_output_csv[[#This Row],[Nilai2]]="","",VLOOKUP(pub_gid_0_single_true_output_csv[[#This Row],[NAMA]],Table7[],3,FALSE))</f>
        <v>Extremely low</v>
      </c>
    </row>
    <row r="1231" spans="1:37" x14ac:dyDescent="0.2">
      <c r="A1231">
        <v>1230</v>
      </c>
      <c r="B1231" t="s">
        <v>286</v>
      </c>
      <c r="C1231" t="s">
        <v>54</v>
      </c>
      <c r="D1231" t="s">
        <v>33</v>
      </c>
      <c r="E1231" t="s">
        <v>140</v>
      </c>
      <c r="F1231" s="25">
        <v>46057</v>
      </c>
      <c r="G1231" t="s">
        <v>348</v>
      </c>
      <c r="H1231" t="s">
        <v>412</v>
      </c>
      <c r="I1231" t="s">
        <v>371</v>
      </c>
      <c r="J1231" t="s">
        <v>36</v>
      </c>
      <c r="K1231" t="s">
        <v>37</v>
      </c>
      <c r="L1231" t="s">
        <v>351</v>
      </c>
      <c r="M1231" t="s">
        <v>141</v>
      </c>
      <c r="N1231" t="s">
        <v>142</v>
      </c>
      <c r="O1231" t="s">
        <v>155</v>
      </c>
      <c r="P1231" t="s">
        <v>281</v>
      </c>
      <c r="Q1231" t="s">
        <v>155</v>
      </c>
      <c r="R1231" t="s">
        <v>302</v>
      </c>
      <c r="S1231" t="s">
        <v>355</v>
      </c>
      <c r="T1231">
        <v>2</v>
      </c>
      <c r="U1231" t="s">
        <v>159</v>
      </c>
      <c r="V1231" t="s">
        <v>303</v>
      </c>
      <c r="W1231" t="s">
        <v>437</v>
      </c>
      <c r="X1231" t="s">
        <v>306</v>
      </c>
      <c r="Y1231" t="s">
        <v>307</v>
      </c>
      <c r="Z1231">
        <v>65</v>
      </c>
      <c r="AA1231">
        <v>90</v>
      </c>
      <c r="AB1231" t="s">
        <v>143</v>
      </c>
      <c r="AC1231" t="s">
        <v>53</v>
      </c>
      <c r="AD1231" t="s">
        <v>404</v>
      </c>
      <c r="AE1231" t="str">
        <f>IF(AF1231="","",VLOOKUP(AC1231,mapel!$A$2:$B$42,2,FALSE))</f>
        <v>Sejarah</v>
      </c>
      <c r="AF1231">
        <f t="shared" si="57"/>
        <v>90</v>
      </c>
      <c r="AG1231" t="str">
        <f>IF(AF1231="","",IF(AF1231&gt;90,"Sangat baik",IF(AF1231&gt;79,"Baik",IF(AF1231&gt;=pub_gid_0_single_true_output_csv[[#This Row],[KKM]],"Cukup","Kurang"))))</f>
        <v>Baik</v>
      </c>
      <c r="AH1231">
        <f t="shared" si="58"/>
        <v>11</v>
      </c>
      <c r="AI1231" s="30" t="str">
        <f>IF(OR(J1231&lt;&gt;"Karakter",pub_gid_0_single_true_output_csv[[#This Row],[Nilai2]]=""),"",IF(AF1231&gt;89,"Sangat baik",IF(AF1231&gt;79,"Baik",IF(AF1231&gt;69,"Cukup",IF(AF1231&gt;59,"Kurang","Sangat kurang")))))</f>
        <v/>
      </c>
      <c r="AJ1231" t="str">
        <f t="shared" si="59"/>
        <v>Wk.6</v>
      </c>
      <c r="AK1231" t="str">
        <f>IF(pub_gid_0_single_true_output_csv[[#This Row],[Nilai2]]="","",VLOOKUP(pub_gid_0_single_true_output_csv[[#This Row],[NAMA]],Table7[],3,FALSE))</f>
        <v>Extremely low</v>
      </c>
    </row>
    <row r="1232" spans="1:37" x14ac:dyDescent="0.2">
      <c r="A1232">
        <v>1231</v>
      </c>
      <c r="B1232" t="s">
        <v>286</v>
      </c>
      <c r="C1232" t="s">
        <v>54</v>
      </c>
      <c r="D1232" t="s">
        <v>33</v>
      </c>
      <c r="E1232" t="s">
        <v>140</v>
      </c>
      <c r="F1232" s="25">
        <v>46057</v>
      </c>
      <c r="G1232" t="s">
        <v>348</v>
      </c>
      <c r="H1232" t="s">
        <v>412</v>
      </c>
      <c r="I1232" t="s">
        <v>371</v>
      </c>
      <c r="J1232" t="s">
        <v>31</v>
      </c>
      <c r="K1232" t="s">
        <v>96</v>
      </c>
      <c r="L1232" t="s">
        <v>351</v>
      </c>
      <c r="M1232" t="s">
        <v>141</v>
      </c>
      <c r="N1232" t="s">
        <v>142</v>
      </c>
      <c r="O1232" t="s">
        <v>155</v>
      </c>
      <c r="P1232" t="s">
        <v>281</v>
      </c>
      <c r="Q1232" t="s">
        <v>155</v>
      </c>
      <c r="R1232" t="s">
        <v>302</v>
      </c>
      <c r="S1232" t="s">
        <v>355</v>
      </c>
      <c r="T1232">
        <v>2</v>
      </c>
      <c r="U1232" t="s">
        <v>159</v>
      </c>
      <c r="V1232" t="s">
        <v>303</v>
      </c>
      <c r="W1232" t="s">
        <v>437</v>
      </c>
      <c r="X1232" t="s">
        <v>306</v>
      </c>
      <c r="Y1232" t="s">
        <v>307</v>
      </c>
      <c r="Z1232">
        <v>65</v>
      </c>
      <c r="AA1232">
        <v>89</v>
      </c>
      <c r="AB1232" t="s">
        <v>143</v>
      </c>
      <c r="AC1232" t="s">
        <v>53</v>
      </c>
      <c r="AD1232" t="s">
        <v>404</v>
      </c>
      <c r="AE1232" t="str">
        <f>IF(AF1232="","",VLOOKUP(AC1232,mapel!$A$2:$B$42,2,FALSE))</f>
        <v>Sejarah</v>
      </c>
      <c r="AF1232">
        <f t="shared" si="57"/>
        <v>89</v>
      </c>
      <c r="AG1232" t="str">
        <f>IF(AF1232="","",IF(AF1232&gt;90,"Sangat baik",IF(AF1232&gt;79,"Baik",IF(AF1232&gt;=pub_gid_0_single_true_output_csv[[#This Row],[KKM]],"Cukup","Kurang"))))</f>
        <v>Baik</v>
      </c>
      <c r="AH1232">
        <f t="shared" si="58"/>
        <v>11</v>
      </c>
      <c r="AI1232" s="30" t="str">
        <f>IF(OR(J1232&lt;&gt;"Karakter",pub_gid_0_single_true_output_csv[[#This Row],[Nilai2]]=""),"",IF(AF1232&gt;89,"Sangat baik",IF(AF1232&gt;79,"Baik",IF(AF1232&gt;69,"Cukup",IF(AF1232&gt;59,"Kurang","Sangat kurang")))))</f>
        <v/>
      </c>
      <c r="AJ1232" t="str">
        <f t="shared" si="59"/>
        <v>Wk.6</v>
      </c>
      <c r="AK1232" t="str">
        <f>IF(pub_gid_0_single_true_output_csv[[#This Row],[Nilai2]]="","",VLOOKUP(pub_gid_0_single_true_output_csv[[#This Row],[NAMA]],Table7[],3,FALSE))</f>
        <v>Extremely low</v>
      </c>
    </row>
    <row r="1233" spans="1:37" x14ac:dyDescent="0.2">
      <c r="A1233">
        <v>1232</v>
      </c>
      <c r="B1233" t="s">
        <v>286</v>
      </c>
      <c r="C1233" t="s">
        <v>54</v>
      </c>
      <c r="D1233" t="s">
        <v>33</v>
      </c>
      <c r="E1233" t="s">
        <v>140</v>
      </c>
      <c r="F1233" s="25">
        <v>46057</v>
      </c>
      <c r="G1233" t="s">
        <v>348</v>
      </c>
      <c r="H1233" t="s">
        <v>412</v>
      </c>
      <c r="I1233" t="s">
        <v>371</v>
      </c>
      <c r="J1233" t="s">
        <v>90</v>
      </c>
      <c r="K1233" t="s">
        <v>92</v>
      </c>
      <c r="L1233" t="s">
        <v>93</v>
      </c>
      <c r="M1233" t="s">
        <v>141</v>
      </c>
      <c r="N1233" t="s">
        <v>142</v>
      </c>
      <c r="O1233" t="s">
        <v>155</v>
      </c>
      <c r="P1233" t="s">
        <v>281</v>
      </c>
      <c r="Q1233" t="s">
        <v>155</v>
      </c>
      <c r="R1233" t="s">
        <v>302</v>
      </c>
      <c r="S1233" t="s">
        <v>355</v>
      </c>
      <c r="T1233">
        <v>2</v>
      </c>
      <c r="U1233" t="s">
        <v>159</v>
      </c>
      <c r="V1233" t="s">
        <v>303</v>
      </c>
      <c r="W1233" t="s">
        <v>437</v>
      </c>
      <c r="X1233" t="s">
        <v>306</v>
      </c>
      <c r="Y1233" t="s">
        <v>307</v>
      </c>
      <c r="Z1233">
        <v>65</v>
      </c>
      <c r="AA1233">
        <v>70</v>
      </c>
      <c r="AB1233" t="s">
        <v>143</v>
      </c>
      <c r="AC1233" t="s">
        <v>53</v>
      </c>
      <c r="AD1233" t="s">
        <v>404</v>
      </c>
      <c r="AE1233" t="str">
        <f>IF(AF1233="","",VLOOKUP(AC1233,mapel!$A$2:$B$42,2,FALSE))</f>
        <v>Sejarah</v>
      </c>
      <c r="AF1233">
        <f t="shared" si="57"/>
        <v>70</v>
      </c>
      <c r="AG1233" t="str">
        <f>IF(AF1233="","",IF(AF1233&gt;90,"Sangat baik",IF(AF1233&gt;79,"Baik",IF(AF1233&gt;=pub_gid_0_single_true_output_csv[[#This Row],[KKM]],"Cukup","Kurang"))))</f>
        <v>Cukup</v>
      </c>
      <c r="AH1233">
        <f t="shared" si="58"/>
        <v>11</v>
      </c>
      <c r="AI1233" s="30" t="str">
        <f>IF(OR(J1233&lt;&gt;"Karakter",pub_gid_0_single_true_output_csv[[#This Row],[Nilai2]]=""),"",IF(AF1233&gt;89,"Sangat baik",IF(AF1233&gt;79,"Baik",IF(AF1233&gt;69,"Cukup",IF(AF1233&gt;59,"Kurang","Sangat kurang")))))</f>
        <v>Cukup</v>
      </c>
      <c r="AJ1233" t="str">
        <f t="shared" si="59"/>
        <v>Wk.6</v>
      </c>
      <c r="AK1233" t="str">
        <f>IF(pub_gid_0_single_true_output_csv[[#This Row],[Nilai2]]="","",VLOOKUP(pub_gid_0_single_true_output_csv[[#This Row],[NAMA]],Table7[],3,FALSE))</f>
        <v>Extremely low</v>
      </c>
    </row>
    <row r="1234" spans="1:37" x14ac:dyDescent="0.2">
      <c r="A1234">
        <v>1233</v>
      </c>
      <c r="B1234" t="s">
        <v>286</v>
      </c>
      <c r="C1234" t="s">
        <v>54</v>
      </c>
      <c r="D1234" t="s">
        <v>33</v>
      </c>
      <c r="E1234" t="s">
        <v>140</v>
      </c>
      <c r="F1234" s="25">
        <v>46057</v>
      </c>
      <c r="G1234" t="s">
        <v>348</v>
      </c>
      <c r="H1234" t="s">
        <v>412</v>
      </c>
      <c r="I1234" t="s">
        <v>371</v>
      </c>
      <c r="J1234" t="s">
        <v>279</v>
      </c>
      <c r="K1234" t="s">
        <v>280</v>
      </c>
      <c r="L1234" t="s">
        <v>322</v>
      </c>
      <c r="M1234" t="s">
        <v>141</v>
      </c>
      <c r="N1234" t="s">
        <v>142</v>
      </c>
      <c r="O1234" t="s">
        <v>155</v>
      </c>
      <c r="P1234" t="s">
        <v>281</v>
      </c>
      <c r="Q1234" t="s">
        <v>155</v>
      </c>
      <c r="R1234" t="s">
        <v>302</v>
      </c>
      <c r="S1234" t="s">
        <v>355</v>
      </c>
      <c r="T1234">
        <v>2</v>
      </c>
      <c r="U1234" t="s">
        <v>159</v>
      </c>
      <c r="V1234" t="s">
        <v>303</v>
      </c>
      <c r="W1234" t="s">
        <v>437</v>
      </c>
      <c r="X1234" t="s">
        <v>306</v>
      </c>
      <c r="Y1234" t="s">
        <v>307</v>
      </c>
      <c r="Z1234">
        <v>65</v>
      </c>
      <c r="AA1234">
        <v>65</v>
      </c>
      <c r="AB1234" t="s">
        <v>143</v>
      </c>
      <c r="AC1234" t="s">
        <v>53</v>
      </c>
      <c r="AD1234" t="s">
        <v>404</v>
      </c>
      <c r="AE1234" t="str">
        <f>IF(AF1234="","",VLOOKUP(AC1234,mapel!$A$2:$B$42,2,FALSE))</f>
        <v>Sejarah</v>
      </c>
      <c r="AF1234">
        <f t="shared" si="57"/>
        <v>65</v>
      </c>
      <c r="AG1234" t="str">
        <f>IF(AF1234="","",IF(AF1234&gt;90,"Sangat baik",IF(AF1234&gt;79,"Baik",IF(AF1234&gt;=pub_gid_0_single_true_output_csv[[#This Row],[KKM]],"Cukup","Kurang"))))</f>
        <v>Cukup</v>
      </c>
      <c r="AH1234">
        <f t="shared" si="58"/>
        <v>11</v>
      </c>
      <c r="AI1234" s="30" t="str">
        <f>IF(OR(J1234&lt;&gt;"Karakter",pub_gid_0_single_true_output_csv[[#This Row],[Nilai2]]=""),"",IF(AF1234&gt;89,"Sangat baik",IF(AF1234&gt;79,"Baik",IF(AF1234&gt;69,"Cukup",IF(AF1234&gt;59,"Kurang","Sangat kurang")))))</f>
        <v/>
      </c>
      <c r="AJ1234" t="str">
        <f t="shared" si="59"/>
        <v>Wk.6</v>
      </c>
      <c r="AK1234" t="str">
        <f>IF(pub_gid_0_single_true_output_csv[[#This Row],[Nilai2]]="","",VLOOKUP(pub_gid_0_single_true_output_csv[[#This Row],[NAMA]],Table7[],3,FALSE))</f>
        <v>Extremely low</v>
      </c>
    </row>
    <row r="1235" spans="1:37" x14ac:dyDescent="0.2">
      <c r="A1235">
        <v>1234</v>
      </c>
      <c r="B1235" t="s">
        <v>286</v>
      </c>
      <c r="C1235" t="s">
        <v>54</v>
      </c>
      <c r="D1235" t="s">
        <v>33</v>
      </c>
      <c r="E1235" t="s">
        <v>140</v>
      </c>
      <c r="F1235" s="25">
        <v>46064</v>
      </c>
      <c r="G1235" t="s">
        <v>352</v>
      </c>
      <c r="H1235" t="s">
        <v>412</v>
      </c>
      <c r="I1235" t="s">
        <v>371</v>
      </c>
      <c r="J1235" t="s">
        <v>36</v>
      </c>
      <c r="K1235" t="s">
        <v>37</v>
      </c>
      <c r="L1235" t="s">
        <v>351</v>
      </c>
      <c r="M1235" t="s">
        <v>141</v>
      </c>
      <c r="N1235" t="s">
        <v>142</v>
      </c>
      <c r="O1235" t="s">
        <v>155</v>
      </c>
      <c r="P1235" t="s">
        <v>281</v>
      </c>
      <c r="Q1235" t="s">
        <v>155</v>
      </c>
      <c r="R1235" t="s">
        <v>302</v>
      </c>
      <c r="S1235" t="s">
        <v>380</v>
      </c>
      <c r="T1235">
        <v>3</v>
      </c>
      <c r="U1235" t="s">
        <v>159</v>
      </c>
      <c r="V1235" t="s">
        <v>381</v>
      </c>
      <c r="W1235" t="s">
        <v>438</v>
      </c>
      <c r="X1235" t="s">
        <v>306</v>
      </c>
      <c r="Y1235" t="s">
        <v>307</v>
      </c>
      <c r="Z1235">
        <v>65</v>
      </c>
      <c r="AA1235">
        <v>90</v>
      </c>
      <c r="AB1235" t="s">
        <v>143</v>
      </c>
      <c r="AC1235" t="s">
        <v>53</v>
      </c>
      <c r="AD1235" t="s">
        <v>404</v>
      </c>
      <c r="AE1235" t="str">
        <f>IF(AF1235="","",VLOOKUP(AC1235,mapel!$A$2:$B$42,2,FALSE))</f>
        <v>Sejarah</v>
      </c>
      <c r="AF1235">
        <f t="shared" si="57"/>
        <v>90</v>
      </c>
      <c r="AG1235" t="str">
        <f>IF(AF1235="","",IF(AF1235&gt;90,"Sangat baik",IF(AF1235&gt;79,"Baik",IF(AF1235&gt;=pub_gid_0_single_true_output_csv[[#This Row],[KKM]],"Cukup","Kurang"))))</f>
        <v>Baik</v>
      </c>
      <c r="AH1235">
        <f t="shared" si="58"/>
        <v>11</v>
      </c>
      <c r="AI1235" s="30" t="str">
        <f>IF(OR(J1235&lt;&gt;"Karakter",pub_gid_0_single_true_output_csv[[#This Row],[Nilai2]]=""),"",IF(AF1235&gt;89,"Sangat baik",IF(AF1235&gt;79,"Baik",IF(AF1235&gt;69,"Cukup",IF(AF1235&gt;59,"Kurang","Sangat kurang")))))</f>
        <v/>
      </c>
      <c r="AJ1235" t="str">
        <f t="shared" si="59"/>
        <v>Wk.7</v>
      </c>
      <c r="AK1235" t="str">
        <f>IF(pub_gid_0_single_true_output_csv[[#This Row],[Nilai2]]="","",VLOOKUP(pub_gid_0_single_true_output_csv[[#This Row],[NAMA]],Table7[],3,FALSE))</f>
        <v>Extremely low</v>
      </c>
    </row>
    <row r="1236" spans="1:37" x14ac:dyDescent="0.2">
      <c r="A1236">
        <v>1235</v>
      </c>
      <c r="B1236" t="s">
        <v>286</v>
      </c>
      <c r="C1236" t="s">
        <v>54</v>
      </c>
      <c r="D1236" t="s">
        <v>33</v>
      </c>
      <c r="E1236" t="s">
        <v>140</v>
      </c>
      <c r="F1236" s="25">
        <v>46064</v>
      </c>
      <c r="G1236" t="s">
        <v>352</v>
      </c>
      <c r="H1236" t="s">
        <v>412</v>
      </c>
      <c r="I1236" t="s">
        <v>371</v>
      </c>
      <c r="J1236" t="s">
        <v>31</v>
      </c>
      <c r="K1236" t="s">
        <v>96</v>
      </c>
      <c r="L1236" t="s">
        <v>351</v>
      </c>
      <c r="M1236" t="s">
        <v>141</v>
      </c>
      <c r="N1236" t="s">
        <v>142</v>
      </c>
      <c r="O1236" t="s">
        <v>155</v>
      </c>
      <c r="P1236" t="s">
        <v>281</v>
      </c>
      <c r="Q1236" t="s">
        <v>155</v>
      </c>
      <c r="R1236" t="s">
        <v>302</v>
      </c>
      <c r="S1236" t="s">
        <v>380</v>
      </c>
      <c r="T1236">
        <v>3</v>
      </c>
      <c r="U1236" t="s">
        <v>159</v>
      </c>
      <c r="V1236" t="s">
        <v>381</v>
      </c>
      <c r="W1236" t="s">
        <v>438</v>
      </c>
      <c r="X1236" t="s">
        <v>306</v>
      </c>
      <c r="Y1236" t="s">
        <v>307</v>
      </c>
      <c r="Z1236">
        <v>65</v>
      </c>
      <c r="AA1236">
        <v>70</v>
      </c>
      <c r="AB1236" t="s">
        <v>143</v>
      </c>
      <c r="AC1236" t="s">
        <v>53</v>
      </c>
      <c r="AD1236" t="s">
        <v>404</v>
      </c>
      <c r="AE1236" t="str">
        <f>IF(AF1236="","",VLOOKUP(AC1236,mapel!$A$2:$B$42,2,FALSE))</f>
        <v>Sejarah</v>
      </c>
      <c r="AF1236">
        <f t="shared" si="57"/>
        <v>70</v>
      </c>
      <c r="AG1236" t="str">
        <f>IF(AF1236="","",IF(AF1236&gt;90,"Sangat baik",IF(AF1236&gt;79,"Baik",IF(AF1236&gt;=pub_gid_0_single_true_output_csv[[#This Row],[KKM]],"Cukup","Kurang"))))</f>
        <v>Cukup</v>
      </c>
      <c r="AH1236">
        <f t="shared" si="58"/>
        <v>11</v>
      </c>
      <c r="AI1236" s="30" t="str">
        <f>IF(OR(J1236&lt;&gt;"Karakter",pub_gid_0_single_true_output_csv[[#This Row],[Nilai2]]=""),"",IF(AF1236&gt;89,"Sangat baik",IF(AF1236&gt;79,"Baik",IF(AF1236&gt;69,"Cukup",IF(AF1236&gt;59,"Kurang","Sangat kurang")))))</f>
        <v/>
      </c>
      <c r="AJ1236" t="str">
        <f t="shared" si="59"/>
        <v>Wk.7</v>
      </c>
      <c r="AK1236" t="str">
        <f>IF(pub_gid_0_single_true_output_csv[[#This Row],[Nilai2]]="","",VLOOKUP(pub_gid_0_single_true_output_csv[[#This Row],[NAMA]],Table7[],3,FALSE))</f>
        <v>Extremely low</v>
      </c>
    </row>
    <row r="1237" spans="1:37" x14ac:dyDescent="0.2">
      <c r="A1237">
        <v>1236</v>
      </c>
      <c r="B1237" t="s">
        <v>286</v>
      </c>
      <c r="C1237" t="s">
        <v>54</v>
      </c>
      <c r="D1237" t="s">
        <v>33</v>
      </c>
      <c r="E1237" t="s">
        <v>140</v>
      </c>
      <c r="F1237" s="25">
        <v>46064</v>
      </c>
      <c r="G1237" t="s">
        <v>352</v>
      </c>
      <c r="H1237" t="s">
        <v>412</v>
      </c>
      <c r="I1237" t="s">
        <v>371</v>
      </c>
      <c r="J1237" t="s">
        <v>90</v>
      </c>
      <c r="K1237" t="s">
        <v>92</v>
      </c>
      <c r="L1237" t="s">
        <v>93</v>
      </c>
      <c r="M1237" t="s">
        <v>141</v>
      </c>
      <c r="N1237" t="s">
        <v>142</v>
      </c>
      <c r="O1237" t="s">
        <v>155</v>
      </c>
      <c r="P1237" t="s">
        <v>281</v>
      </c>
      <c r="Q1237" t="s">
        <v>155</v>
      </c>
      <c r="R1237" t="s">
        <v>302</v>
      </c>
      <c r="S1237" t="s">
        <v>380</v>
      </c>
      <c r="T1237">
        <v>3</v>
      </c>
      <c r="U1237" t="s">
        <v>159</v>
      </c>
      <c r="V1237" t="s">
        <v>381</v>
      </c>
      <c r="W1237" t="s">
        <v>438</v>
      </c>
      <c r="X1237" t="s">
        <v>306</v>
      </c>
      <c r="Y1237" t="s">
        <v>307</v>
      </c>
      <c r="Z1237">
        <v>65</v>
      </c>
      <c r="AA1237">
        <v>75</v>
      </c>
      <c r="AB1237" t="s">
        <v>143</v>
      </c>
      <c r="AC1237" t="s">
        <v>53</v>
      </c>
      <c r="AD1237" t="s">
        <v>404</v>
      </c>
      <c r="AE1237" t="str">
        <f>IF(AF1237="","",VLOOKUP(AC1237,mapel!$A$2:$B$42,2,FALSE))</f>
        <v>Sejarah</v>
      </c>
      <c r="AF1237">
        <f t="shared" si="57"/>
        <v>75</v>
      </c>
      <c r="AG1237" t="str">
        <f>IF(AF1237="","",IF(AF1237&gt;90,"Sangat baik",IF(AF1237&gt;79,"Baik",IF(AF1237&gt;=pub_gid_0_single_true_output_csv[[#This Row],[KKM]],"Cukup","Kurang"))))</f>
        <v>Cukup</v>
      </c>
      <c r="AH1237">
        <f t="shared" si="58"/>
        <v>11</v>
      </c>
      <c r="AI1237" s="30" t="str">
        <f>IF(OR(J1237&lt;&gt;"Karakter",pub_gid_0_single_true_output_csv[[#This Row],[Nilai2]]=""),"",IF(AF1237&gt;89,"Sangat baik",IF(AF1237&gt;79,"Baik",IF(AF1237&gt;69,"Cukup",IF(AF1237&gt;59,"Kurang","Sangat kurang")))))</f>
        <v>Cukup</v>
      </c>
      <c r="AJ1237" t="str">
        <f t="shared" si="59"/>
        <v>Wk.7</v>
      </c>
      <c r="AK1237" t="str">
        <f>IF(pub_gid_0_single_true_output_csv[[#This Row],[Nilai2]]="","",VLOOKUP(pub_gid_0_single_true_output_csv[[#This Row],[NAMA]],Table7[],3,FALSE))</f>
        <v>Extremely low</v>
      </c>
    </row>
    <row r="1238" spans="1:37" x14ac:dyDescent="0.2">
      <c r="A1238">
        <v>1237</v>
      </c>
      <c r="B1238" t="s">
        <v>286</v>
      </c>
      <c r="C1238" t="s">
        <v>54</v>
      </c>
      <c r="D1238" t="s">
        <v>33</v>
      </c>
      <c r="E1238" t="s">
        <v>140</v>
      </c>
      <c r="F1238" s="25">
        <v>46064</v>
      </c>
      <c r="G1238" t="s">
        <v>352</v>
      </c>
      <c r="H1238" t="s">
        <v>412</v>
      </c>
      <c r="I1238" t="s">
        <v>371</v>
      </c>
      <c r="J1238" t="s">
        <v>279</v>
      </c>
      <c r="K1238" t="s">
        <v>280</v>
      </c>
      <c r="L1238" t="s">
        <v>322</v>
      </c>
      <c r="M1238" t="s">
        <v>141</v>
      </c>
      <c r="N1238" t="s">
        <v>142</v>
      </c>
      <c r="O1238" t="s">
        <v>155</v>
      </c>
      <c r="P1238" t="s">
        <v>281</v>
      </c>
      <c r="Q1238" t="s">
        <v>155</v>
      </c>
      <c r="R1238" t="s">
        <v>302</v>
      </c>
      <c r="S1238" t="s">
        <v>380</v>
      </c>
      <c r="T1238">
        <v>3</v>
      </c>
      <c r="U1238" t="s">
        <v>159</v>
      </c>
      <c r="V1238" t="s">
        <v>381</v>
      </c>
      <c r="W1238" t="s">
        <v>438</v>
      </c>
      <c r="X1238" t="s">
        <v>306</v>
      </c>
      <c r="Y1238" t="s">
        <v>307</v>
      </c>
      <c r="Z1238">
        <v>65</v>
      </c>
      <c r="AA1238">
        <v>75</v>
      </c>
      <c r="AB1238" t="s">
        <v>143</v>
      </c>
      <c r="AC1238" t="s">
        <v>53</v>
      </c>
      <c r="AD1238" t="s">
        <v>404</v>
      </c>
      <c r="AE1238" t="str">
        <f>IF(AF1238="","",VLOOKUP(AC1238,mapel!$A$2:$B$42,2,FALSE))</f>
        <v>Sejarah</v>
      </c>
      <c r="AF1238">
        <f t="shared" si="57"/>
        <v>75</v>
      </c>
      <c r="AG1238" t="str">
        <f>IF(AF1238="","",IF(AF1238&gt;90,"Sangat baik",IF(AF1238&gt;79,"Baik",IF(AF1238&gt;=pub_gid_0_single_true_output_csv[[#This Row],[KKM]],"Cukup","Kurang"))))</f>
        <v>Cukup</v>
      </c>
      <c r="AH1238">
        <f t="shared" si="58"/>
        <v>11</v>
      </c>
      <c r="AI1238" s="30" t="str">
        <f>IF(OR(J1238&lt;&gt;"Karakter",pub_gid_0_single_true_output_csv[[#This Row],[Nilai2]]=""),"",IF(AF1238&gt;89,"Sangat baik",IF(AF1238&gt;79,"Baik",IF(AF1238&gt;69,"Cukup",IF(AF1238&gt;59,"Kurang","Sangat kurang")))))</f>
        <v/>
      </c>
      <c r="AJ1238" t="str">
        <f t="shared" si="59"/>
        <v>Wk.7</v>
      </c>
      <c r="AK1238" t="str">
        <f>IF(pub_gid_0_single_true_output_csv[[#This Row],[Nilai2]]="","",VLOOKUP(pub_gid_0_single_true_output_csv[[#This Row],[NAMA]],Table7[],3,FALSE))</f>
        <v>Extremely low</v>
      </c>
    </row>
    <row r="1239" spans="1:37" x14ac:dyDescent="0.2">
      <c r="A1239">
        <v>1238</v>
      </c>
      <c r="B1239" t="s">
        <v>286</v>
      </c>
      <c r="C1239" t="s">
        <v>54</v>
      </c>
      <c r="D1239" t="s">
        <v>33</v>
      </c>
      <c r="E1239" t="s">
        <v>140</v>
      </c>
      <c r="F1239" s="25">
        <v>46071</v>
      </c>
      <c r="G1239" t="s">
        <v>323</v>
      </c>
      <c r="H1239" t="s">
        <v>412</v>
      </c>
      <c r="I1239" t="s">
        <v>371</v>
      </c>
      <c r="J1239" t="s">
        <v>36</v>
      </c>
      <c r="K1239" t="s">
        <v>362</v>
      </c>
      <c r="L1239" t="s">
        <v>363</v>
      </c>
      <c r="M1239" t="s">
        <v>141</v>
      </c>
      <c r="N1239" t="s">
        <v>142</v>
      </c>
      <c r="O1239" t="s">
        <v>155</v>
      </c>
      <c r="P1239" t="s">
        <v>281</v>
      </c>
      <c r="Q1239" t="s">
        <v>155</v>
      </c>
      <c r="R1239" t="s">
        <v>302</v>
      </c>
      <c r="S1239" t="s">
        <v>309</v>
      </c>
      <c r="T1239">
        <v>1</v>
      </c>
      <c r="U1239" t="s">
        <v>435</v>
      </c>
      <c r="V1239" t="s">
        <v>285</v>
      </c>
      <c r="W1239" t="s">
        <v>436</v>
      </c>
      <c r="X1239" t="s">
        <v>306</v>
      </c>
      <c r="Y1239" t="s">
        <v>307</v>
      </c>
      <c r="Z1239">
        <v>65</v>
      </c>
      <c r="AA1239">
        <v>93</v>
      </c>
      <c r="AB1239" t="s">
        <v>143</v>
      </c>
      <c r="AC1239" t="s">
        <v>53</v>
      </c>
      <c r="AD1239" t="s">
        <v>404</v>
      </c>
      <c r="AE1239" t="str">
        <f>IF(AF1239="","",VLOOKUP(AC1239,mapel!$A$2:$B$42,2,FALSE))</f>
        <v>Sejarah</v>
      </c>
      <c r="AF1239">
        <f t="shared" si="57"/>
        <v>93</v>
      </c>
      <c r="AG1239" t="str">
        <f>IF(AF1239="","",IF(AF1239&gt;90,"Sangat baik",IF(AF1239&gt;79,"Baik",IF(AF1239&gt;=pub_gid_0_single_true_output_csv[[#This Row],[KKM]],"Cukup","Kurang"))))</f>
        <v>Sangat baik</v>
      </c>
      <c r="AH1239">
        <f t="shared" si="58"/>
        <v>11</v>
      </c>
      <c r="AI1239" s="30" t="str">
        <f>IF(OR(J1239&lt;&gt;"Karakter",pub_gid_0_single_true_output_csv[[#This Row],[Nilai2]]=""),"",IF(AF1239&gt;89,"Sangat baik",IF(AF1239&gt;79,"Baik",IF(AF1239&gt;69,"Cukup",IF(AF1239&gt;59,"Kurang","Sangat kurang")))))</f>
        <v/>
      </c>
      <c r="AJ1239" t="str">
        <f t="shared" si="59"/>
        <v>Wk.8</v>
      </c>
      <c r="AK1239" t="str">
        <f>IF(pub_gid_0_single_true_output_csv[[#This Row],[Nilai2]]="","",VLOOKUP(pub_gid_0_single_true_output_csv[[#This Row],[NAMA]],Table7[],3,FALSE))</f>
        <v>Extremely low</v>
      </c>
    </row>
    <row r="1240" spans="1:37" x14ac:dyDescent="0.2">
      <c r="A1240">
        <v>1239</v>
      </c>
      <c r="B1240" t="s">
        <v>286</v>
      </c>
      <c r="C1240" t="s">
        <v>54</v>
      </c>
      <c r="D1240" t="s">
        <v>33</v>
      </c>
      <c r="E1240" t="s">
        <v>140</v>
      </c>
      <c r="F1240" s="25">
        <v>46071</v>
      </c>
      <c r="G1240" t="s">
        <v>323</v>
      </c>
      <c r="H1240" t="s">
        <v>412</v>
      </c>
      <c r="I1240" t="s">
        <v>371</v>
      </c>
      <c r="J1240" t="s">
        <v>90</v>
      </c>
      <c r="K1240" t="s">
        <v>92</v>
      </c>
      <c r="L1240" t="s">
        <v>93</v>
      </c>
      <c r="M1240" t="s">
        <v>141</v>
      </c>
      <c r="N1240" t="s">
        <v>142</v>
      </c>
      <c r="O1240" t="s">
        <v>155</v>
      </c>
      <c r="P1240" t="s">
        <v>281</v>
      </c>
      <c r="Q1240" t="s">
        <v>155</v>
      </c>
      <c r="R1240" t="s">
        <v>302</v>
      </c>
      <c r="S1240" t="s">
        <v>309</v>
      </c>
      <c r="T1240">
        <v>1</v>
      </c>
      <c r="U1240" t="s">
        <v>435</v>
      </c>
      <c r="V1240" t="s">
        <v>285</v>
      </c>
      <c r="W1240" t="s">
        <v>436</v>
      </c>
      <c r="X1240" t="s">
        <v>306</v>
      </c>
      <c r="Y1240" t="s">
        <v>307</v>
      </c>
      <c r="Z1240">
        <v>65</v>
      </c>
      <c r="AA1240">
        <v>70</v>
      </c>
      <c r="AB1240" t="s">
        <v>143</v>
      </c>
      <c r="AC1240" t="s">
        <v>53</v>
      </c>
      <c r="AD1240" t="s">
        <v>404</v>
      </c>
      <c r="AE1240" t="str">
        <f>IF(AF1240="","",VLOOKUP(AC1240,mapel!$A$2:$B$42,2,FALSE))</f>
        <v>Sejarah</v>
      </c>
      <c r="AF1240">
        <f t="shared" si="57"/>
        <v>70</v>
      </c>
      <c r="AG1240" t="str">
        <f>IF(AF1240="","",IF(AF1240&gt;90,"Sangat baik",IF(AF1240&gt;79,"Baik",IF(AF1240&gt;=pub_gid_0_single_true_output_csv[[#This Row],[KKM]],"Cukup","Kurang"))))</f>
        <v>Cukup</v>
      </c>
      <c r="AH1240">
        <f t="shared" si="58"/>
        <v>11</v>
      </c>
      <c r="AI1240" s="30" t="str">
        <f>IF(OR(J1240&lt;&gt;"Karakter",pub_gid_0_single_true_output_csv[[#This Row],[Nilai2]]=""),"",IF(AF1240&gt;89,"Sangat baik",IF(AF1240&gt;79,"Baik",IF(AF1240&gt;69,"Cukup",IF(AF1240&gt;59,"Kurang","Sangat kurang")))))</f>
        <v>Cukup</v>
      </c>
      <c r="AJ1240" t="str">
        <f t="shared" si="59"/>
        <v>Wk.8</v>
      </c>
      <c r="AK1240" t="str">
        <f>IF(pub_gid_0_single_true_output_csv[[#This Row],[Nilai2]]="","",VLOOKUP(pub_gid_0_single_true_output_csv[[#This Row],[NAMA]],Table7[],3,FALSE))</f>
        <v>Extremely low</v>
      </c>
    </row>
    <row r="1241" spans="1:37" x14ac:dyDescent="0.2">
      <c r="A1241">
        <v>1240</v>
      </c>
      <c r="B1241" t="s">
        <v>293</v>
      </c>
      <c r="C1241" t="s">
        <v>54</v>
      </c>
      <c r="D1241" t="s">
        <v>45</v>
      </c>
      <c r="E1241" t="s">
        <v>147</v>
      </c>
      <c r="F1241" s="25">
        <v>46036</v>
      </c>
      <c r="G1241" t="s">
        <v>353</v>
      </c>
      <c r="H1241" t="s">
        <v>405</v>
      </c>
      <c r="I1241" t="s">
        <v>371</v>
      </c>
      <c r="J1241" t="s">
        <v>36</v>
      </c>
      <c r="K1241" t="s">
        <v>37</v>
      </c>
      <c r="L1241" t="s">
        <v>351</v>
      </c>
      <c r="M1241" t="s">
        <v>141</v>
      </c>
      <c r="N1241" t="s">
        <v>142</v>
      </c>
      <c r="O1241" t="s">
        <v>155</v>
      </c>
      <c r="P1241" t="s">
        <v>281</v>
      </c>
      <c r="Q1241" t="s">
        <v>155</v>
      </c>
      <c r="R1241" t="s">
        <v>302</v>
      </c>
      <c r="S1241" t="s">
        <v>309</v>
      </c>
      <c r="T1241">
        <v>1</v>
      </c>
      <c r="U1241" t="s">
        <v>435</v>
      </c>
      <c r="V1241" t="s">
        <v>285</v>
      </c>
      <c r="W1241" t="s">
        <v>436</v>
      </c>
      <c r="X1241" t="s">
        <v>306</v>
      </c>
      <c r="Y1241" t="s">
        <v>307</v>
      </c>
      <c r="Z1241">
        <v>65</v>
      </c>
      <c r="AA1241">
        <v>85</v>
      </c>
      <c r="AB1241" t="s">
        <v>143</v>
      </c>
      <c r="AC1241" t="s">
        <v>53</v>
      </c>
      <c r="AD1241" t="s">
        <v>404</v>
      </c>
      <c r="AE1241" t="str">
        <f>IF(AF1241="","",VLOOKUP(AC1241,mapel!$A$2:$B$42,2,FALSE))</f>
        <v>Sejarah</v>
      </c>
      <c r="AF1241">
        <f t="shared" si="57"/>
        <v>85</v>
      </c>
      <c r="AG1241" t="str">
        <f>IF(AF1241="","",IF(AF1241&gt;90,"Sangat baik",IF(AF1241&gt;79,"Baik",IF(AF1241&gt;=pub_gid_0_single_true_output_csv[[#This Row],[KKM]],"Cukup","Kurang"))))</f>
        <v>Baik</v>
      </c>
      <c r="AH1241">
        <f t="shared" si="58"/>
        <v>11</v>
      </c>
      <c r="AI1241" s="30" t="str">
        <f>IF(OR(J1241&lt;&gt;"Karakter",pub_gid_0_single_true_output_csv[[#This Row],[Nilai2]]=""),"",IF(AF1241&gt;89,"Sangat baik",IF(AF1241&gt;79,"Baik",IF(AF1241&gt;69,"Cukup",IF(AF1241&gt;59,"Kurang","Sangat kurang")))))</f>
        <v/>
      </c>
      <c r="AJ1241" t="str">
        <f t="shared" si="59"/>
        <v>Wk.3</v>
      </c>
      <c r="AK1241" t="str">
        <f>IF(pub_gid_0_single_true_output_csv[[#This Row],[Nilai2]]="","",VLOOKUP(pub_gid_0_single_true_output_csv[[#This Row],[NAMA]],Table7[],3,FALSE))</f>
        <v>High average</v>
      </c>
    </row>
    <row r="1242" spans="1:37" x14ac:dyDescent="0.2">
      <c r="A1242">
        <v>1241</v>
      </c>
      <c r="B1242" t="s">
        <v>293</v>
      </c>
      <c r="C1242" t="s">
        <v>54</v>
      </c>
      <c r="D1242" t="s">
        <v>45</v>
      </c>
      <c r="E1242" t="s">
        <v>147</v>
      </c>
      <c r="F1242" s="25">
        <v>46036</v>
      </c>
      <c r="G1242" t="s">
        <v>353</v>
      </c>
      <c r="H1242" t="s">
        <v>405</v>
      </c>
      <c r="I1242" t="s">
        <v>371</v>
      </c>
      <c r="J1242" t="s">
        <v>31</v>
      </c>
      <c r="K1242" t="s">
        <v>32</v>
      </c>
      <c r="L1242" t="s">
        <v>351</v>
      </c>
      <c r="M1242" t="s">
        <v>141</v>
      </c>
      <c r="N1242" t="s">
        <v>142</v>
      </c>
      <c r="O1242" t="s">
        <v>155</v>
      </c>
      <c r="P1242" t="s">
        <v>281</v>
      </c>
      <c r="Q1242" t="s">
        <v>155</v>
      </c>
      <c r="R1242" t="s">
        <v>302</v>
      </c>
      <c r="S1242" t="s">
        <v>309</v>
      </c>
      <c r="T1242">
        <v>1</v>
      </c>
      <c r="U1242" t="s">
        <v>435</v>
      </c>
      <c r="V1242" t="s">
        <v>285</v>
      </c>
      <c r="W1242" t="s">
        <v>436</v>
      </c>
      <c r="X1242" t="s">
        <v>306</v>
      </c>
      <c r="Y1242" t="s">
        <v>307</v>
      </c>
      <c r="Z1242">
        <v>65</v>
      </c>
      <c r="AA1242">
        <v>75</v>
      </c>
      <c r="AB1242" t="s">
        <v>143</v>
      </c>
      <c r="AC1242" t="s">
        <v>53</v>
      </c>
      <c r="AD1242" t="s">
        <v>404</v>
      </c>
      <c r="AE1242" t="str">
        <f>IF(AF1242="","",VLOOKUP(AC1242,mapel!$A$2:$B$42,2,FALSE))</f>
        <v>Sejarah</v>
      </c>
      <c r="AF1242">
        <f t="shared" si="57"/>
        <v>75</v>
      </c>
      <c r="AG1242" t="str">
        <f>IF(AF1242="","",IF(AF1242&gt;90,"Sangat baik",IF(AF1242&gt;79,"Baik",IF(AF1242&gt;=pub_gid_0_single_true_output_csv[[#This Row],[KKM]],"Cukup","Kurang"))))</f>
        <v>Cukup</v>
      </c>
      <c r="AH1242">
        <f t="shared" si="58"/>
        <v>11</v>
      </c>
      <c r="AI1242" s="30" t="str">
        <f>IF(OR(J1242&lt;&gt;"Karakter",pub_gid_0_single_true_output_csv[[#This Row],[Nilai2]]=""),"",IF(AF1242&gt;89,"Sangat baik",IF(AF1242&gt;79,"Baik",IF(AF1242&gt;69,"Cukup",IF(AF1242&gt;59,"Kurang","Sangat kurang")))))</f>
        <v/>
      </c>
      <c r="AJ1242" t="str">
        <f t="shared" si="59"/>
        <v>Wk.3</v>
      </c>
      <c r="AK1242" t="str">
        <f>IF(pub_gid_0_single_true_output_csv[[#This Row],[Nilai2]]="","",VLOOKUP(pub_gid_0_single_true_output_csv[[#This Row],[NAMA]],Table7[],3,FALSE))</f>
        <v>High average</v>
      </c>
    </row>
    <row r="1243" spans="1:37" x14ac:dyDescent="0.2">
      <c r="A1243">
        <v>1242</v>
      </c>
      <c r="B1243" t="s">
        <v>293</v>
      </c>
      <c r="C1243" t="s">
        <v>54</v>
      </c>
      <c r="D1243" t="s">
        <v>45</v>
      </c>
      <c r="E1243" t="s">
        <v>147</v>
      </c>
      <c r="F1243" s="25">
        <v>46036</v>
      </c>
      <c r="G1243" t="s">
        <v>353</v>
      </c>
      <c r="H1243" t="s">
        <v>405</v>
      </c>
      <c r="I1243" t="s">
        <v>371</v>
      </c>
      <c r="J1243" t="s">
        <v>90</v>
      </c>
      <c r="K1243" t="s">
        <v>92</v>
      </c>
      <c r="L1243" t="s">
        <v>91</v>
      </c>
      <c r="M1243" t="s">
        <v>141</v>
      </c>
      <c r="N1243" t="s">
        <v>142</v>
      </c>
      <c r="O1243" t="s">
        <v>155</v>
      </c>
      <c r="P1243" t="s">
        <v>281</v>
      </c>
      <c r="Q1243" t="s">
        <v>155</v>
      </c>
      <c r="R1243" t="s">
        <v>302</v>
      </c>
      <c r="S1243" t="s">
        <v>309</v>
      </c>
      <c r="T1243">
        <v>1</v>
      </c>
      <c r="U1243" t="s">
        <v>435</v>
      </c>
      <c r="V1243" t="s">
        <v>285</v>
      </c>
      <c r="W1243" t="s">
        <v>436</v>
      </c>
      <c r="X1243" t="s">
        <v>306</v>
      </c>
      <c r="Y1243" t="s">
        <v>307</v>
      </c>
      <c r="Z1243">
        <v>65</v>
      </c>
      <c r="AA1243">
        <v>80</v>
      </c>
      <c r="AB1243" t="s">
        <v>143</v>
      </c>
      <c r="AC1243" t="s">
        <v>53</v>
      </c>
      <c r="AD1243" t="s">
        <v>404</v>
      </c>
      <c r="AE1243" t="str">
        <f>IF(AF1243="","",VLOOKUP(AC1243,mapel!$A$2:$B$42,2,FALSE))</f>
        <v>Sejarah</v>
      </c>
      <c r="AF1243">
        <f t="shared" si="57"/>
        <v>80</v>
      </c>
      <c r="AG1243" t="str">
        <f>IF(AF1243="","",IF(AF1243&gt;90,"Sangat baik",IF(AF1243&gt;79,"Baik",IF(AF1243&gt;=pub_gid_0_single_true_output_csv[[#This Row],[KKM]],"Cukup","Kurang"))))</f>
        <v>Baik</v>
      </c>
      <c r="AH1243">
        <f t="shared" si="58"/>
        <v>11</v>
      </c>
      <c r="AI1243" s="30" t="str">
        <f>IF(OR(J1243&lt;&gt;"Karakter",pub_gid_0_single_true_output_csv[[#This Row],[Nilai2]]=""),"",IF(AF1243&gt;89,"Sangat baik",IF(AF1243&gt;79,"Baik",IF(AF1243&gt;69,"Cukup",IF(AF1243&gt;59,"Kurang","Sangat kurang")))))</f>
        <v>Baik</v>
      </c>
      <c r="AJ1243" t="str">
        <f t="shared" si="59"/>
        <v>Wk.3</v>
      </c>
      <c r="AK1243" t="str">
        <f>IF(pub_gid_0_single_true_output_csv[[#This Row],[Nilai2]]="","",VLOOKUP(pub_gid_0_single_true_output_csv[[#This Row],[NAMA]],Table7[],3,FALSE))</f>
        <v>High average</v>
      </c>
    </row>
    <row r="1244" spans="1:37" x14ac:dyDescent="0.2">
      <c r="A1244">
        <v>1243</v>
      </c>
      <c r="B1244" t="s">
        <v>293</v>
      </c>
      <c r="C1244" t="s">
        <v>54</v>
      </c>
      <c r="D1244" t="s">
        <v>45</v>
      </c>
      <c r="E1244" t="s">
        <v>147</v>
      </c>
      <c r="F1244" s="25">
        <v>46036</v>
      </c>
      <c r="G1244" t="s">
        <v>353</v>
      </c>
      <c r="H1244" t="s">
        <v>405</v>
      </c>
      <c r="I1244" t="s">
        <v>371</v>
      </c>
      <c r="J1244" t="s">
        <v>279</v>
      </c>
      <c r="K1244" t="s">
        <v>280</v>
      </c>
      <c r="L1244" t="s">
        <v>322</v>
      </c>
      <c r="M1244" t="s">
        <v>141</v>
      </c>
      <c r="N1244" t="s">
        <v>142</v>
      </c>
      <c r="O1244" t="s">
        <v>155</v>
      </c>
      <c r="P1244" t="s">
        <v>281</v>
      </c>
      <c r="Q1244" t="s">
        <v>155</v>
      </c>
      <c r="R1244" t="s">
        <v>302</v>
      </c>
      <c r="S1244" t="s">
        <v>309</v>
      </c>
      <c r="T1244">
        <v>1</v>
      </c>
      <c r="U1244" t="s">
        <v>435</v>
      </c>
      <c r="V1244" t="s">
        <v>285</v>
      </c>
      <c r="W1244" t="s">
        <v>436</v>
      </c>
      <c r="X1244" t="s">
        <v>306</v>
      </c>
      <c r="Y1244" t="s">
        <v>307</v>
      </c>
      <c r="Z1244">
        <v>65</v>
      </c>
      <c r="AA1244">
        <v>70</v>
      </c>
      <c r="AB1244" t="s">
        <v>143</v>
      </c>
      <c r="AC1244" t="s">
        <v>53</v>
      </c>
      <c r="AD1244" t="s">
        <v>404</v>
      </c>
      <c r="AE1244" t="str">
        <f>IF(AF1244="","",VLOOKUP(AC1244,mapel!$A$2:$B$42,2,FALSE))</f>
        <v>Sejarah</v>
      </c>
      <c r="AF1244">
        <f t="shared" si="57"/>
        <v>70</v>
      </c>
      <c r="AG1244" t="str">
        <f>IF(AF1244="","",IF(AF1244&gt;90,"Sangat baik",IF(AF1244&gt;79,"Baik",IF(AF1244&gt;=pub_gid_0_single_true_output_csv[[#This Row],[KKM]],"Cukup","Kurang"))))</f>
        <v>Cukup</v>
      </c>
      <c r="AH1244">
        <f t="shared" si="58"/>
        <v>11</v>
      </c>
      <c r="AI1244" s="30" t="str">
        <f>IF(OR(J1244&lt;&gt;"Karakter",pub_gid_0_single_true_output_csv[[#This Row],[Nilai2]]=""),"",IF(AF1244&gt;89,"Sangat baik",IF(AF1244&gt;79,"Baik",IF(AF1244&gt;69,"Cukup",IF(AF1244&gt;59,"Kurang","Sangat kurang")))))</f>
        <v/>
      </c>
      <c r="AJ1244" t="str">
        <f t="shared" si="59"/>
        <v>Wk.3</v>
      </c>
      <c r="AK1244" t="str">
        <f>IF(pub_gid_0_single_true_output_csv[[#This Row],[Nilai2]]="","",VLOOKUP(pub_gid_0_single_true_output_csv[[#This Row],[NAMA]],Table7[],3,FALSE))</f>
        <v>High average</v>
      </c>
    </row>
    <row r="1245" spans="1:37" x14ac:dyDescent="0.2">
      <c r="A1245">
        <v>1244</v>
      </c>
      <c r="B1245" t="s">
        <v>293</v>
      </c>
      <c r="C1245" t="s">
        <v>54</v>
      </c>
      <c r="D1245" t="s">
        <v>45</v>
      </c>
      <c r="E1245" t="s">
        <v>147</v>
      </c>
      <c r="F1245" s="25">
        <v>46043</v>
      </c>
      <c r="G1245" t="s">
        <v>341</v>
      </c>
      <c r="H1245" t="s">
        <v>405</v>
      </c>
      <c r="I1245" t="s">
        <v>371</v>
      </c>
      <c r="J1245" t="s">
        <v>36</v>
      </c>
      <c r="K1245" t="s">
        <v>37</v>
      </c>
      <c r="L1245" t="s">
        <v>351</v>
      </c>
      <c r="M1245" t="s">
        <v>141</v>
      </c>
      <c r="N1245" t="s">
        <v>142</v>
      </c>
      <c r="O1245" t="s">
        <v>155</v>
      </c>
      <c r="P1245" t="s">
        <v>281</v>
      </c>
      <c r="Q1245" t="s">
        <v>155</v>
      </c>
      <c r="R1245" t="s">
        <v>302</v>
      </c>
      <c r="S1245" t="s">
        <v>309</v>
      </c>
      <c r="T1245">
        <v>1</v>
      </c>
      <c r="U1245" t="s">
        <v>435</v>
      </c>
      <c r="V1245" t="s">
        <v>285</v>
      </c>
      <c r="W1245" t="s">
        <v>436</v>
      </c>
      <c r="X1245" t="s">
        <v>306</v>
      </c>
      <c r="Y1245" t="s">
        <v>307</v>
      </c>
      <c r="Z1245">
        <v>65</v>
      </c>
      <c r="AA1245">
        <v>70</v>
      </c>
      <c r="AB1245" t="s">
        <v>143</v>
      </c>
      <c r="AC1245" t="s">
        <v>53</v>
      </c>
      <c r="AD1245" t="s">
        <v>404</v>
      </c>
      <c r="AE1245" t="str">
        <f>IF(AF1245="","",VLOOKUP(AC1245,mapel!$A$2:$B$42,2,FALSE))</f>
        <v>Sejarah</v>
      </c>
      <c r="AF1245">
        <f t="shared" si="57"/>
        <v>70</v>
      </c>
      <c r="AG1245" t="str">
        <f>IF(AF1245="","",IF(AF1245&gt;90,"Sangat baik",IF(AF1245&gt;79,"Baik",IF(AF1245&gt;=pub_gid_0_single_true_output_csv[[#This Row],[KKM]],"Cukup","Kurang"))))</f>
        <v>Cukup</v>
      </c>
      <c r="AH1245">
        <f t="shared" si="58"/>
        <v>11</v>
      </c>
      <c r="AI1245" s="30" t="str">
        <f>IF(OR(J1245&lt;&gt;"Karakter",pub_gid_0_single_true_output_csv[[#This Row],[Nilai2]]=""),"",IF(AF1245&gt;89,"Sangat baik",IF(AF1245&gt;79,"Baik",IF(AF1245&gt;69,"Cukup",IF(AF1245&gt;59,"Kurang","Sangat kurang")))))</f>
        <v/>
      </c>
      <c r="AJ1245" t="str">
        <f t="shared" si="59"/>
        <v>Wk.4</v>
      </c>
      <c r="AK1245" t="str">
        <f>IF(pub_gid_0_single_true_output_csv[[#This Row],[Nilai2]]="","",VLOOKUP(pub_gid_0_single_true_output_csv[[#This Row],[NAMA]],Table7[],3,FALSE))</f>
        <v>High average</v>
      </c>
    </row>
    <row r="1246" spans="1:37" x14ac:dyDescent="0.2">
      <c r="A1246">
        <v>1245</v>
      </c>
      <c r="B1246" t="s">
        <v>293</v>
      </c>
      <c r="C1246" t="s">
        <v>54</v>
      </c>
      <c r="D1246" t="s">
        <v>45</v>
      </c>
      <c r="E1246" t="s">
        <v>147</v>
      </c>
      <c r="F1246" s="25">
        <v>46043</v>
      </c>
      <c r="G1246" t="s">
        <v>341</v>
      </c>
      <c r="H1246" t="s">
        <v>405</v>
      </c>
      <c r="I1246" t="s">
        <v>371</v>
      </c>
      <c r="J1246" t="s">
        <v>31</v>
      </c>
      <c r="K1246" t="s">
        <v>96</v>
      </c>
      <c r="L1246" t="s">
        <v>322</v>
      </c>
      <c r="M1246" t="s">
        <v>141</v>
      </c>
      <c r="N1246" t="s">
        <v>142</v>
      </c>
      <c r="O1246" t="s">
        <v>155</v>
      </c>
      <c r="P1246" t="s">
        <v>281</v>
      </c>
      <c r="Q1246" t="s">
        <v>155</v>
      </c>
      <c r="R1246" t="s">
        <v>302</v>
      </c>
      <c r="S1246" t="s">
        <v>309</v>
      </c>
      <c r="T1246">
        <v>1</v>
      </c>
      <c r="U1246" t="s">
        <v>435</v>
      </c>
      <c r="V1246" t="s">
        <v>285</v>
      </c>
      <c r="W1246" t="s">
        <v>436</v>
      </c>
      <c r="X1246" t="s">
        <v>306</v>
      </c>
      <c r="Y1246" t="s">
        <v>307</v>
      </c>
      <c r="Z1246">
        <v>65</v>
      </c>
      <c r="AA1246">
        <v>68</v>
      </c>
      <c r="AB1246" t="s">
        <v>143</v>
      </c>
      <c r="AC1246" t="s">
        <v>53</v>
      </c>
      <c r="AD1246" t="s">
        <v>404</v>
      </c>
      <c r="AE1246" t="str">
        <f>IF(AF1246="","",VLOOKUP(AC1246,mapel!$A$2:$B$42,2,FALSE))</f>
        <v>Sejarah</v>
      </c>
      <c r="AF1246">
        <f t="shared" si="57"/>
        <v>68</v>
      </c>
      <c r="AG1246" t="str">
        <f>IF(AF1246="","",IF(AF1246&gt;90,"Sangat baik",IF(AF1246&gt;79,"Baik",IF(AF1246&gt;=pub_gid_0_single_true_output_csv[[#This Row],[KKM]],"Cukup","Kurang"))))</f>
        <v>Cukup</v>
      </c>
      <c r="AH1246">
        <f t="shared" si="58"/>
        <v>11</v>
      </c>
      <c r="AI1246" s="30" t="str">
        <f>IF(OR(J1246&lt;&gt;"Karakter",pub_gid_0_single_true_output_csv[[#This Row],[Nilai2]]=""),"",IF(AF1246&gt;89,"Sangat baik",IF(AF1246&gt;79,"Baik",IF(AF1246&gt;69,"Cukup",IF(AF1246&gt;59,"Kurang","Sangat kurang")))))</f>
        <v/>
      </c>
      <c r="AJ1246" t="str">
        <f t="shared" si="59"/>
        <v>Wk.4</v>
      </c>
      <c r="AK1246" t="str">
        <f>IF(pub_gid_0_single_true_output_csv[[#This Row],[Nilai2]]="","",VLOOKUP(pub_gid_0_single_true_output_csv[[#This Row],[NAMA]],Table7[],3,FALSE))</f>
        <v>High average</v>
      </c>
    </row>
    <row r="1247" spans="1:37" x14ac:dyDescent="0.2">
      <c r="A1247">
        <v>1246</v>
      </c>
      <c r="B1247" t="s">
        <v>293</v>
      </c>
      <c r="C1247" t="s">
        <v>54</v>
      </c>
      <c r="D1247" t="s">
        <v>45</v>
      </c>
      <c r="E1247" t="s">
        <v>147</v>
      </c>
      <c r="F1247" s="25">
        <v>46043</v>
      </c>
      <c r="G1247" t="s">
        <v>341</v>
      </c>
      <c r="H1247" t="s">
        <v>405</v>
      </c>
      <c r="I1247" t="s">
        <v>371</v>
      </c>
      <c r="J1247" t="s">
        <v>90</v>
      </c>
      <c r="K1247" t="s">
        <v>92</v>
      </c>
      <c r="L1247" t="s">
        <v>93</v>
      </c>
      <c r="M1247" t="s">
        <v>141</v>
      </c>
      <c r="N1247" t="s">
        <v>142</v>
      </c>
      <c r="O1247" t="s">
        <v>155</v>
      </c>
      <c r="P1247" t="s">
        <v>281</v>
      </c>
      <c r="Q1247" t="s">
        <v>155</v>
      </c>
      <c r="R1247" t="s">
        <v>302</v>
      </c>
      <c r="S1247" t="s">
        <v>309</v>
      </c>
      <c r="T1247">
        <v>1</v>
      </c>
      <c r="U1247" t="s">
        <v>435</v>
      </c>
      <c r="V1247" t="s">
        <v>285</v>
      </c>
      <c r="W1247" t="s">
        <v>436</v>
      </c>
      <c r="X1247" t="s">
        <v>306</v>
      </c>
      <c r="Y1247" t="s">
        <v>307</v>
      </c>
      <c r="Z1247">
        <v>65</v>
      </c>
      <c r="AA1247">
        <v>80</v>
      </c>
      <c r="AB1247" t="s">
        <v>143</v>
      </c>
      <c r="AC1247" t="s">
        <v>53</v>
      </c>
      <c r="AD1247" t="s">
        <v>404</v>
      </c>
      <c r="AE1247" t="str">
        <f>IF(AF1247="","",VLOOKUP(AC1247,mapel!$A$2:$B$42,2,FALSE))</f>
        <v>Sejarah</v>
      </c>
      <c r="AF1247">
        <f t="shared" si="57"/>
        <v>80</v>
      </c>
      <c r="AG1247" t="str">
        <f>IF(AF1247="","",IF(AF1247&gt;90,"Sangat baik",IF(AF1247&gt;79,"Baik",IF(AF1247&gt;=pub_gid_0_single_true_output_csv[[#This Row],[KKM]],"Cukup","Kurang"))))</f>
        <v>Baik</v>
      </c>
      <c r="AH1247">
        <f t="shared" si="58"/>
        <v>11</v>
      </c>
      <c r="AI1247" s="30" t="str">
        <f>IF(OR(J1247&lt;&gt;"Karakter",pub_gid_0_single_true_output_csv[[#This Row],[Nilai2]]=""),"",IF(AF1247&gt;89,"Sangat baik",IF(AF1247&gt;79,"Baik",IF(AF1247&gt;69,"Cukup",IF(AF1247&gt;59,"Kurang","Sangat kurang")))))</f>
        <v>Baik</v>
      </c>
      <c r="AJ1247" t="str">
        <f t="shared" si="59"/>
        <v>Wk.4</v>
      </c>
      <c r="AK1247" t="str">
        <f>IF(pub_gid_0_single_true_output_csv[[#This Row],[Nilai2]]="","",VLOOKUP(pub_gid_0_single_true_output_csv[[#This Row],[NAMA]],Table7[],3,FALSE))</f>
        <v>High average</v>
      </c>
    </row>
    <row r="1248" spans="1:37" x14ac:dyDescent="0.2">
      <c r="A1248">
        <v>1247</v>
      </c>
      <c r="B1248" t="s">
        <v>293</v>
      </c>
      <c r="C1248" t="s">
        <v>54</v>
      </c>
      <c r="D1248" t="s">
        <v>45</v>
      </c>
      <c r="E1248" t="s">
        <v>147</v>
      </c>
      <c r="F1248" s="25">
        <v>46043</v>
      </c>
      <c r="G1248" t="s">
        <v>341</v>
      </c>
      <c r="H1248" t="s">
        <v>405</v>
      </c>
      <c r="I1248" t="s">
        <v>371</v>
      </c>
      <c r="J1248" t="s">
        <v>279</v>
      </c>
      <c r="K1248" t="s">
        <v>280</v>
      </c>
      <c r="L1248" t="s">
        <v>322</v>
      </c>
      <c r="M1248" t="s">
        <v>141</v>
      </c>
      <c r="N1248" t="s">
        <v>142</v>
      </c>
      <c r="O1248" t="s">
        <v>155</v>
      </c>
      <c r="P1248" t="s">
        <v>281</v>
      </c>
      <c r="Q1248" t="s">
        <v>155</v>
      </c>
      <c r="R1248" t="s">
        <v>302</v>
      </c>
      <c r="S1248" t="s">
        <v>355</v>
      </c>
      <c r="T1248">
        <v>2</v>
      </c>
      <c r="U1248" t="s">
        <v>159</v>
      </c>
      <c r="V1248" t="s">
        <v>303</v>
      </c>
      <c r="W1248" t="s">
        <v>437</v>
      </c>
      <c r="X1248" t="s">
        <v>306</v>
      </c>
      <c r="Y1248" t="s">
        <v>307</v>
      </c>
      <c r="Z1248">
        <v>65</v>
      </c>
      <c r="AA1248">
        <v>70</v>
      </c>
      <c r="AB1248" t="s">
        <v>143</v>
      </c>
      <c r="AC1248" t="s">
        <v>53</v>
      </c>
      <c r="AD1248" t="s">
        <v>404</v>
      </c>
      <c r="AE1248" t="str">
        <f>IF(AF1248="","",VLOOKUP(AC1248,mapel!$A$2:$B$42,2,FALSE))</f>
        <v>Sejarah</v>
      </c>
      <c r="AF1248">
        <f t="shared" si="57"/>
        <v>70</v>
      </c>
      <c r="AG1248" t="str">
        <f>IF(AF1248="","",IF(AF1248&gt;90,"Sangat baik",IF(AF1248&gt;79,"Baik",IF(AF1248&gt;=pub_gid_0_single_true_output_csv[[#This Row],[KKM]],"Cukup","Kurang"))))</f>
        <v>Cukup</v>
      </c>
      <c r="AH1248">
        <f t="shared" si="58"/>
        <v>11</v>
      </c>
      <c r="AI1248" s="30" t="str">
        <f>IF(OR(J1248&lt;&gt;"Karakter",pub_gid_0_single_true_output_csv[[#This Row],[Nilai2]]=""),"",IF(AF1248&gt;89,"Sangat baik",IF(AF1248&gt;79,"Baik",IF(AF1248&gt;69,"Cukup",IF(AF1248&gt;59,"Kurang","Sangat kurang")))))</f>
        <v/>
      </c>
      <c r="AJ1248" t="str">
        <f t="shared" si="59"/>
        <v>Wk.4</v>
      </c>
      <c r="AK1248" t="str">
        <f>IF(pub_gid_0_single_true_output_csv[[#This Row],[Nilai2]]="","",VLOOKUP(pub_gid_0_single_true_output_csv[[#This Row],[NAMA]],Table7[],3,FALSE))</f>
        <v>High average</v>
      </c>
    </row>
    <row r="1249" spans="1:37" x14ac:dyDescent="0.2">
      <c r="A1249">
        <v>1248</v>
      </c>
      <c r="B1249" t="s">
        <v>293</v>
      </c>
      <c r="C1249" t="s">
        <v>54</v>
      </c>
      <c r="D1249" t="s">
        <v>45</v>
      </c>
      <c r="E1249" t="s">
        <v>147</v>
      </c>
      <c r="F1249" s="25">
        <v>46050</v>
      </c>
      <c r="G1249" t="s">
        <v>308</v>
      </c>
      <c r="H1249" t="s">
        <v>405</v>
      </c>
      <c r="I1249" t="s">
        <v>371</v>
      </c>
      <c r="J1249" t="s">
        <v>36</v>
      </c>
      <c r="K1249" t="s">
        <v>37</v>
      </c>
      <c r="L1249" t="s">
        <v>351</v>
      </c>
      <c r="M1249" t="s">
        <v>141</v>
      </c>
      <c r="N1249" t="s">
        <v>142</v>
      </c>
      <c r="O1249" t="s">
        <v>155</v>
      </c>
      <c r="P1249" t="s">
        <v>281</v>
      </c>
      <c r="Q1249" t="s">
        <v>155</v>
      </c>
      <c r="R1249" t="s">
        <v>302</v>
      </c>
      <c r="S1249" t="s">
        <v>355</v>
      </c>
      <c r="T1249">
        <v>2</v>
      </c>
      <c r="U1249" t="s">
        <v>159</v>
      </c>
      <c r="V1249" t="s">
        <v>303</v>
      </c>
      <c r="W1249" t="s">
        <v>437</v>
      </c>
      <c r="X1249" t="s">
        <v>306</v>
      </c>
      <c r="Y1249" t="s">
        <v>307</v>
      </c>
      <c r="Z1249">
        <v>65</v>
      </c>
      <c r="AA1249">
        <v>85</v>
      </c>
      <c r="AB1249" t="s">
        <v>143</v>
      </c>
      <c r="AC1249" t="s">
        <v>53</v>
      </c>
      <c r="AD1249" t="s">
        <v>404</v>
      </c>
      <c r="AE1249" t="str">
        <f>IF(AF1249="","",VLOOKUP(AC1249,mapel!$A$2:$B$42,2,FALSE))</f>
        <v>Sejarah</v>
      </c>
      <c r="AF1249">
        <f t="shared" si="57"/>
        <v>85</v>
      </c>
      <c r="AG1249" t="str">
        <f>IF(AF1249="","",IF(AF1249&gt;90,"Sangat baik",IF(AF1249&gt;79,"Baik",IF(AF1249&gt;=pub_gid_0_single_true_output_csv[[#This Row],[KKM]],"Cukup","Kurang"))))</f>
        <v>Baik</v>
      </c>
      <c r="AH1249">
        <f t="shared" si="58"/>
        <v>11</v>
      </c>
      <c r="AI1249" s="30" t="str">
        <f>IF(OR(J1249&lt;&gt;"Karakter",pub_gid_0_single_true_output_csv[[#This Row],[Nilai2]]=""),"",IF(AF1249&gt;89,"Sangat baik",IF(AF1249&gt;79,"Baik",IF(AF1249&gt;69,"Cukup",IF(AF1249&gt;59,"Kurang","Sangat kurang")))))</f>
        <v/>
      </c>
      <c r="AJ1249" t="str">
        <f t="shared" si="59"/>
        <v>Wk.5</v>
      </c>
      <c r="AK1249" t="str">
        <f>IF(pub_gid_0_single_true_output_csv[[#This Row],[Nilai2]]="","",VLOOKUP(pub_gid_0_single_true_output_csv[[#This Row],[NAMA]],Table7[],3,FALSE))</f>
        <v>High average</v>
      </c>
    </row>
    <row r="1250" spans="1:37" x14ac:dyDescent="0.2">
      <c r="A1250">
        <v>1249</v>
      </c>
      <c r="B1250" t="s">
        <v>293</v>
      </c>
      <c r="C1250" t="s">
        <v>54</v>
      </c>
      <c r="D1250" t="s">
        <v>45</v>
      </c>
      <c r="E1250" t="s">
        <v>147</v>
      </c>
      <c r="F1250" s="25">
        <v>46050</v>
      </c>
      <c r="G1250" t="s">
        <v>308</v>
      </c>
      <c r="H1250" t="s">
        <v>405</v>
      </c>
      <c r="I1250" t="s">
        <v>371</v>
      </c>
      <c r="J1250" t="s">
        <v>31</v>
      </c>
      <c r="K1250" t="s">
        <v>96</v>
      </c>
      <c r="L1250" t="s">
        <v>351</v>
      </c>
      <c r="M1250" t="s">
        <v>141</v>
      </c>
      <c r="N1250" t="s">
        <v>142</v>
      </c>
      <c r="O1250" t="s">
        <v>155</v>
      </c>
      <c r="P1250" t="s">
        <v>281</v>
      </c>
      <c r="Q1250" t="s">
        <v>155</v>
      </c>
      <c r="R1250" t="s">
        <v>302</v>
      </c>
      <c r="S1250" t="s">
        <v>355</v>
      </c>
      <c r="T1250">
        <v>2</v>
      </c>
      <c r="U1250" t="s">
        <v>159</v>
      </c>
      <c r="V1250" t="s">
        <v>303</v>
      </c>
      <c r="W1250" t="s">
        <v>437</v>
      </c>
      <c r="X1250" t="s">
        <v>306</v>
      </c>
      <c r="Y1250" t="s">
        <v>307</v>
      </c>
      <c r="Z1250">
        <v>65</v>
      </c>
      <c r="AA1250">
        <v>75</v>
      </c>
      <c r="AB1250" t="s">
        <v>143</v>
      </c>
      <c r="AC1250" t="s">
        <v>53</v>
      </c>
      <c r="AD1250" t="s">
        <v>404</v>
      </c>
      <c r="AE1250" t="str">
        <f>IF(AF1250="","",VLOOKUP(AC1250,mapel!$A$2:$B$42,2,FALSE))</f>
        <v>Sejarah</v>
      </c>
      <c r="AF1250">
        <f t="shared" si="57"/>
        <v>75</v>
      </c>
      <c r="AG1250" t="str">
        <f>IF(AF1250="","",IF(AF1250&gt;90,"Sangat baik",IF(AF1250&gt;79,"Baik",IF(AF1250&gt;=pub_gid_0_single_true_output_csv[[#This Row],[KKM]],"Cukup","Kurang"))))</f>
        <v>Cukup</v>
      </c>
      <c r="AH1250">
        <f t="shared" si="58"/>
        <v>11</v>
      </c>
      <c r="AI1250" s="30" t="str">
        <f>IF(OR(J1250&lt;&gt;"Karakter",pub_gid_0_single_true_output_csv[[#This Row],[Nilai2]]=""),"",IF(AF1250&gt;89,"Sangat baik",IF(AF1250&gt;79,"Baik",IF(AF1250&gt;69,"Cukup",IF(AF1250&gt;59,"Kurang","Sangat kurang")))))</f>
        <v/>
      </c>
      <c r="AJ1250" t="str">
        <f t="shared" si="59"/>
        <v>Wk.5</v>
      </c>
      <c r="AK1250" t="str">
        <f>IF(pub_gid_0_single_true_output_csv[[#This Row],[Nilai2]]="","",VLOOKUP(pub_gid_0_single_true_output_csv[[#This Row],[NAMA]],Table7[],3,FALSE))</f>
        <v>High average</v>
      </c>
    </row>
    <row r="1251" spans="1:37" x14ac:dyDescent="0.2">
      <c r="A1251">
        <v>1250</v>
      </c>
      <c r="B1251" t="s">
        <v>293</v>
      </c>
      <c r="C1251" t="s">
        <v>54</v>
      </c>
      <c r="D1251" t="s">
        <v>45</v>
      </c>
      <c r="E1251" t="s">
        <v>147</v>
      </c>
      <c r="F1251" s="25">
        <v>46050</v>
      </c>
      <c r="G1251" t="s">
        <v>308</v>
      </c>
      <c r="H1251" t="s">
        <v>405</v>
      </c>
      <c r="I1251" t="s">
        <v>371</v>
      </c>
      <c r="J1251" t="s">
        <v>90</v>
      </c>
      <c r="K1251" t="s">
        <v>92</v>
      </c>
      <c r="L1251" t="s">
        <v>91</v>
      </c>
      <c r="M1251" t="s">
        <v>141</v>
      </c>
      <c r="N1251" t="s">
        <v>142</v>
      </c>
      <c r="O1251" t="s">
        <v>155</v>
      </c>
      <c r="P1251" t="s">
        <v>281</v>
      </c>
      <c r="Q1251" t="s">
        <v>155</v>
      </c>
      <c r="R1251" t="s">
        <v>302</v>
      </c>
      <c r="S1251" t="s">
        <v>355</v>
      </c>
      <c r="T1251">
        <v>2</v>
      </c>
      <c r="U1251" t="s">
        <v>159</v>
      </c>
      <c r="V1251" t="s">
        <v>303</v>
      </c>
      <c r="W1251" t="s">
        <v>437</v>
      </c>
      <c r="X1251" t="s">
        <v>306</v>
      </c>
      <c r="Y1251" t="s">
        <v>307</v>
      </c>
      <c r="Z1251">
        <v>65</v>
      </c>
      <c r="AA1251">
        <v>78</v>
      </c>
      <c r="AB1251" t="s">
        <v>143</v>
      </c>
      <c r="AC1251" t="s">
        <v>53</v>
      </c>
      <c r="AD1251" t="s">
        <v>404</v>
      </c>
      <c r="AE1251" t="str">
        <f>IF(AF1251="","",VLOOKUP(AC1251,mapel!$A$2:$B$42,2,FALSE))</f>
        <v>Sejarah</v>
      </c>
      <c r="AF1251">
        <f t="shared" si="57"/>
        <v>78</v>
      </c>
      <c r="AG1251" t="str">
        <f>IF(AF1251="","",IF(AF1251&gt;90,"Sangat baik",IF(AF1251&gt;79,"Baik",IF(AF1251&gt;=pub_gid_0_single_true_output_csv[[#This Row],[KKM]],"Cukup","Kurang"))))</f>
        <v>Cukup</v>
      </c>
      <c r="AH1251">
        <f t="shared" si="58"/>
        <v>11</v>
      </c>
      <c r="AI1251" s="30" t="str">
        <f>IF(OR(J1251&lt;&gt;"Karakter",pub_gid_0_single_true_output_csv[[#This Row],[Nilai2]]=""),"",IF(AF1251&gt;89,"Sangat baik",IF(AF1251&gt;79,"Baik",IF(AF1251&gt;69,"Cukup",IF(AF1251&gt;59,"Kurang","Sangat kurang")))))</f>
        <v>Cukup</v>
      </c>
      <c r="AJ1251" t="str">
        <f t="shared" si="59"/>
        <v>Wk.5</v>
      </c>
      <c r="AK1251" t="str">
        <f>IF(pub_gid_0_single_true_output_csv[[#This Row],[Nilai2]]="","",VLOOKUP(pub_gid_0_single_true_output_csv[[#This Row],[NAMA]],Table7[],3,FALSE))</f>
        <v>High average</v>
      </c>
    </row>
    <row r="1252" spans="1:37" x14ac:dyDescent="0.2">
      <c r="A1252">
        <v>1251</v>
      </c>
      <c r="B1252" t="s">
        <v>293</v>
      </c>
      <c r="C1252" t="s">
        <v>54</v>
      </c>
      <c r="D1252" t="s">
        <v>45</v>
      </c>
      <c r="E1252" t="s">
        <v>147</v>
      </c>
      <c r="F1252" s="25">
        <v>46050</v>
      </c>
      <c r="G1252" t="s">
        <v>308</v>
      </c>
      <c r="H1252" t="s">
        <v>405</v>
      </c>
      <c r="I1252" t="s">
        <v>371</v>
      </c>
      <c r="J1252" t="s">
        <v>279</v>
      </c>
      <c r="K1252" t="s">
        <v>280</v>
      </c>
      <c r="L1252" t="s">
        <v>322</v>
      </c>
      <c r="M1252" t="s">
        <v>141</v>
      </c>
      <c r="N1252" t="s">
        <v>142</v>
      </c>
      <c r="O1252" t="s">
        <v>155</v>
      </c>
      <c r="P1252" t="s">
        <v>281</v>
      </c>
      <c r="Q1252" t="s">
        <v>155</v>
      </c>
      <c r="R1252" t="s">
        <v>302</v>
      </c>
      <c r="S1252" t="s">
        <v>355</v>
      </c>
      <c r="T1252">
        <v>2</v>
      </c>
      <c r="U1252" t="s">
        <v>159</v>
      </c>
      <c r="V1252" t="s">
        <v>303</v>
      </c>
      <c r="W1252" t="s">
        <v>437</v>
      </c>
      <c r="X1252" t="s">
        <v>306</v>
      </c>
      <c r="Y1252" t="s">
        <v>307</v>
      </c>
      <c r="Z1252">
        <v>65</v>
      </c>
      <c r="AA1252">
        <v>75</v>
      </c>
      <c r="AB1252" t="s">
        <v>143</v>
      </c>
      <c r="AC1252" t="s">
        <v>53</v>
      </c>
      <c r="AD1252" t="s">
        <v>404</v>
      </c>
      <c r="AE1252" t="str">
        <f>IF(AF1252="","",VLOOKUP(AC1252,mapel!$A$2:$B$42,2,FALSE))</f>
        <v>Sejarah</v>
      </c>
      <c r="AF1252">
        <f t="shared" si="57"/>
        <v>75</v>
      </c>
      <c r="AG1252" t="str">
        <f>IF(AF1252="","",IF(AF1252&gt;90,"Sangat baik",IF(AF1252&gt;79,"Baik",IF(AF1252&gt;=pub_gid_0_single_true_output_csv[[#This Row],[KKM]],"Cukup","Kurang"))))</f>
        <v>Cukup</v>
      </c>
      <c r="AH1252">
        <f t="shared" si="58"/>
        <v>11</v>
      </c>
      <c r="AI1252" s="30" t="str">
        <f>IF(OR(J1252&lt;&gt;"Karakter",pub_gid_0_single_true_output_csv[[#This Row],[Nilai2]]=""),"",IF(AF1252&gt;89,"Sangat baik",IF(AF1252&gt;79,"Baik",IF(AF1252&gt;69,"Cukup",IF(AF1252&gt;59,"Kurang","Sangat kurang")))))</f>
        <v/>
      </c>
      <c r="AJ1252" t="str">
        <f t="shared" si="59"/>
        <v>Wk.5</v>
      </c>
      <c r="AK1252" t="str">
        <f>IF(pub_gid_0_single_true_output_csv[[#This Row],[Nilai2]]="","",VLOOKUP(pub_gid_0_single_true_output_csv[[#This Row],[NAMA]],Table7[],3,FALSE))</f>
        <v>High average</v>
      </c>
    </row>
    <row r="1253" spans="1:37" x14ac:dyDescent="0.2">
      <c r="A1253">
        <v>1252</v>
      </c>
      <c r="B1253" t="s">
        <v>293</v>
      </c>
      <c r="C1253" t="s">
        <v>54</v>
      </c>
      <c r="D1253" t="s">
        <v>45</v>
      </c>
      <c r="E1253" t="s">
        <v>147</v>
      </c>
      <c r="F1253" s="25">
        <v>46057</v>
      </c>
      <c r="G1253" t="s">
        <v>348</v>
      </c>
      <c r="H1253" t="s">
        <v>412</v>
      </c>
      <c r="I1253" t="s">
        <v>371</v>
      </c>
      <c r="J1253" t="s">
        <v>36</v>
      </c>
      <c r="K1253" t="s">
        <v>37</v>
      </c>
      <c r="L1253" t="s">
        <v>351</v>
      </c>
      <c r="M1253" t="s">
        <v>141</v>
      </c>
      <c r="N1253" t="s">
        <v>142</v>
      </c>
      <c r="O1253" t="s">
        <v>155</v>
      </c>
      <c r="P1253" t="s">
        <v>281</v>
      </c>
      <c r="Q1253" t="s">
        <v>155</v>
      </c>
      <c r="R1253" t="s">
        <v>302</v>
      </c>
      <c r="S1253" t="s">
        <v>355</v>
      </c>
      <c r="T1253">
        <v>2</v>
      </c>
      <c r="U1253" t="s">
        <v>159</v>
      </c>
      <c r="V1253" t="s">
        <v>303</v>
      </c>
      <c r="W1253" t="s">
        <v>437</v>
      </c>
      <c r="X1253" t="s">
        <v>306</v>
      </c>
      <c r="Y1253" t="s">
        <v>307</v>
      </c>
      <c r="Z1253">
        <v>65</v>
      </c>
      <c r="AA1253">
        <v>70</v>
      </c>
      <c r="AB1253" t="s">
        <v>143</v>
      </c>
      <c r="AC1253" t="s">
        <v>53</v>
      </c>
      <c r="AD1253" t="s">
        <v>404</v>
      </c>
      <c r="AE1253" t="str">
        <f>IF(AF1253="","",VLOOKUP(AC1253,mapel!$A$2:$B$42,2,FALSE))</f>
        <v>Sejarah</v>
      </c>
      <c r="AF1253">
        <f t="shared" si="57"/>
        <v>70</v>
      </c>
      <c r="AG1253" t="str">
        <f>IF(AF1253="","",IF(AF1253&gt;90,"Sangat baik",IF(AF1253&gt;79,"Baik",IF(AF1253&gt;=pub_gid_0_single_true_output_csv[[#This Row],[KKM]],"Cukup","Kurang"))))</f>
        <v>Cukup</v>
      </c>
      <c r="AH1253">
        <f t="shared" si="58"/>
        <v>11</v>
      </c>
      <c r="AI1253" s="30" t="str">
        <f>IF(OR(J1253&lt;&gt;"Karakter",pub_gid_0_single_true_output_csv[[#This Row],[Nilai2]]=""),"",IF(AF1253&gt;89,"Sangat baik",IF(AF1253&gt;79,"Baik",IF(AF1253&gt;69,"Cukup",IF(AF1253&gt;59,"Kurang","Sangat kurang")))))</f>
        <v/>
      </c>
      <c r="AJ1253" t="str">
        <f t="shared" si="59"/>
        <v>Wk.6</v>
      </c>
      <c r="AK1253" t="str">
        <f>IF(pub_gid_0_single_true_output_csv[[#This Row],[Nilai2]]="","",VLOOKUP(pub_gid_0_single_true_output_csv[[#This Row],[NAMA]],Table7[],3,FALSE))</f>
        <v>High average</v>
      </c>
    </row>
    <row r="1254" spans="1:37" x14ac:dyDescent="0.2">
      <c r="A1254">
        <v>1253</v>
      </c>
      <c r="B1254" t="s">
        <v>293</v>
      </c>
      <c r="C1254" t="s">
        <v>54</v>
      </c>
      <c r="D1254" t="s">
        <v>45</v>
      </c>
      <c r="E1254" t="s">
        <v>147</v>
      </c>
      <c r="F1254" s="25">
        <v>46057</v>
      </c>
      <c r="G1254" t="s">
        <v>348</v>
      </c>
      <c r="H1254" t="s">
        <v>412</v>
      </c>
      <c r="I1254" t="s">
        <v>371</v>
      </c>
      <c r="J1254" t="s">
        <v>31</v>
      </c>
      <c r="K1254" t="s">
        <v>96</v>
      </c>
      <c r="L1254" t="s">
        <v>351</v>
      </c>
      <c r="M1254" t="s">
        <v>141</v>
      </c>
      <c r="N1254" t="s">
        <v>142</v>
      </c>
      <c r="O1254" t="s">
        <v>155</v>
      </c>
      <c r="P1254" t="s">
        <v>281</v>
      </c>
      <c r="Q1254" t="s">
        <v>155</v>
      </c>
      <c r="R1254" t="s">
        <v>302</v>
      </c>
      <c r="S1254" t="s">
        <v>355</v>
      </c>
      <c r="T1254">
        <v>2</v>
      </c>
      <c r="U1254" t="s">
        <v>159</v>
      </c>
      <c r="V1254" t="s">
        <v>303</v>
      </c>
      <c r="W1254" t="s">
        <v>437</v>
      </c>
      <c r="X1254" t="s">
        <v>306</v>
      </c>
      <c r="Y1254" t="s">
        <v>307</v>
      </c>
      <c r="Z1254">
        <v>65</v>
      </c>
      <c r="AA1254">
        <v>85</v>
      </c>
      <c r="AB1254" t="s">
        <v>143</v>
      </c>
      <c r="AC1254" t="s">
        <v>53</v>
      </c>
      <c r="AD1254" t="s">
        <v>404</v>
      </c>
      <c r="AE1254" t="str">
        <f>IF(AF1254="","",VLOOKUP(AC1254,mapel!$A$2:$B$42,2,FALSE))</f>
        <v>Sejarah</v>
      </c>
      <c r="AF1254">
        <f t="shared" si="57"/>
        <v>85</v>
      </c>
      <c r="AG1254" t="str">
        <f>IF(AF1254="","",IF(AF1254&gt;90,"Sangat baik",IF(AF1254&gt;79,"Baik",IF(AF1254&gt;=pub_gid_0_single_true_output_csv[[#This Row],[KKM]],"Cukup","Kurang"))))</f>
        <v>Baik</v>
      </c>
      <c r="AH1254">
        <f t="shared" si="58"/>
        <v>11</v>
      </c>
      <c r="AI1254" s="30" t="str">
        <f>IF(OR(J1254&lt;&gt;"Karakter",pub_gid_0_single_true_output_csv[[#This Row],[Nilai2]]=""),"",IF(AF1254&gt;89,"Sangat baik",IF(AF1254&gt;79,"Baik",IF(AF1254&gt;69,"Cukup",IF(AF1254&gt;59,"Kurang","Sangat kurang")))))</f>
        <v/>
      </c>
      <c r="AJ1254" t="str">
        <f t="shared" si="59"/>
        <v>Wk.6</v>
      </c>
      <c r="AK1254" t="str">
        <f>IF(pub_gid_0_single_true_output_csv[[#This Row],[Nilai2]]="","",VLOOKUP(pub_gid_0_single_true_output_csv[[#This Row],[NAMA]],Table7[],3,FALSE))</f>
        <v>High average</v>
      </c>
    </row>
    <row r="1255" spans="1:37" x14ac:dyDescent="0.2">
      <c r="A1255">
        <v>1254</v>
      </c>
      <c r="B1255" t="s">
        <v>293</v>
      </c>
      <c r="C1255" t="s">
        <v>54</v>
      </c>
      <c r="D1255" t="s">
        <v>45</v>
      </c>
      <c r="E1255" t="s">
        <v>147</v>
      </c>
      <c r="F1255" s="25">
        <v>46057</v>
      </c>
      <c r="G1255" t="s">
        <v>348</v>
      </c>
      <c r="H1255" t="s">
        <v>412</v>
      </c>
      <c r="I1255" t="s">
        <v>371</v>
      </c>
      <c r="J1255" t="s">
        <v>90</v>
      </c>
      <c r="K1255" t="s">
        <v>92</v>
      </c>
      <c r="L1255" t="s">
        <v>93</v>
      </c>
      <c r="M1255" t="s">
        <v>141</v>
      </c>
      <c r="N1255" t="s">
        <v>142</v>
      </c>
      <c r="O1255" t="s">
        <v>155</v>
      </c>
      <c r="P1255" t="s">
        <v>281</v>
      </c>
      <c r="Q1255" t="s">
        <v>155</v>
      </c>
      <c r="R1255" t="s">
        <v>302</v>
      </c>
      <c r="S1255" t="s">
        <v>355</v>
      </c>
      <c r="T1255">
        <v>2</v>
      </c>
      <c r="U1255" t="s">
        <v>159</v>
      </c>
      <c r="V1255" t="s">
        <v>303</v>
      </c>
      <c r="W1255" t="s">
        <v>437</v>
      </c>
      <c r="X1255" t="s">
        <v>306</v>
      </c>
      <c r="Y1255" t="s">
        <v>307</v>
      </c>
      <c r="Z1255">
        <v>65</v>
      </c>
      <c r="AA1255">
        <v>70</v>
      </c>
      <c r="AB1255" t="s">
        <v>143</v>
      </c>
      <c r="AC1255" t="s">
        <v>53</v>
      </c>
      <c r="AD1255" t="s">
        <v>404</v>
      </c>
      <c r="AE1255" t="str">
        <f>IF(AF1255="","",VLOOKUP(AC1255,mapel!$A$2:$B$42,2,FALSE))</f>
        <v>Sejarah</v>
      </c>
      <c r="AF1255">
        <f t="shared" si="57"/>
        <v>70</v>
      </c>
      <c r="AG1255" t="str">
        <f>IF(AF1255="","",IF(AF1255&gt;90,"Sangat baik",IF(AF1255&gt;79,"Baik",IF(AF1255&gt;=pub_gid_0_single_true_output_csv[[#This Row],[KKM]],"Cukup","Kurang"))))</f>
        <v>Cukup</v>
      </c>
      <c r="AH1255">
        <f t="shared" si="58"/>
        <v>11</v>
      </c>
      <c r="AI1255" s="30" t="str">
        <f>IF(OR(J1255&lt;&gt;"Karakter",pub_gid_0_single_true_output_csv[[#This Row],[Nilai2]]=""),"",IF(AF1255&gt;89,"Sangat baik",IF(AF1255&gt;79,"Baik",IF(AF1255&gt;69,"Cukup",IF(AF1255&gt;59,"Kurang","Sangat kurang")))))</f>
        <v>Cukup</v>
      </c>
      <c r="AJ1255" t="str">
        <f t="shared" si="59"/>
        <v>Wk.6</v>
      </c>
      <c r="AK1255" t="str">
        <f>IF(pub_gid_0_single_true_output_csv[[#This Row],[Nilai2]]="","",VLOOKUP(pub_gid_0_single_true_output_csv[[#This Row],[NAMA]],Table7[],3,FALSE))</f>
        <v>High average</v>
      </c>
    </row>
    <row r="1256" spans="1:37" x14ac:dyDescent="0.2">
      <c r="A1256">
        <v>1255</v>
      </c>
      <c r="B1256" t="s">
        <v>293</v>
      </c>
      <c r="C1256" t="s">
        <v>54</v>
      </c>
      <c r="D1256" t="s">
        <v>45</v>
      </c>
      <c r="E1256" t="s">
        <v>147</v>
      </c>
      <c r="F1256" s="25">
        <v>46057</v>
      </c>
      <c r="G1256" t="s">
        <v>348</v>
      </c>
      <c r="H1256" t="s">
        <v>412</v>
      </c>
      <c r="I1256" t="s">
        <v>371</v>
      </c>
      <c r="J1256" t="s">
        <v>279</v>
      </c>
      <c r="K1256" t="s">
        <v>280</v>
      </c>
      <c r="L1256" t="s">
        <v>322</v>
      </c>
      <c r="M1256" t="s">
        <v>141</v>
      </c>
      <c r="N1256" t="s">
        <v>142</v>
      </c>
      <c r="O1256" t="s">
        <v>155</v>
      </c>
      <c r="P1256" t="s">
        <v>281</v>
      </c>
      <c r="Q1256" t="s">
        <v>155</v>
      </c>
      <c r="R1256" t="s">
        <v>302</v>
      </c>
      <c r="S1256" t="s">
        <v>355</v>
      </c>
      <c r="T1256">
        <v>2</v>
      </c>
      <c r="U1256" t="s">
        <v>159</v>
      </c>
      <c r="V1256" t="s">
        <v>303</v>
      </c>
      <c r="W1256" t="s">
        <v>437</v>
      </c>
      <c r="X1256" t="s">
        <v>306</v>
      </c>
      <c r="Y1256" t="s">
        <v>307</v>
      </c>
      <c r="Z1256">
        <v>65</v>
      </c>
      <c r="AA1256">
        <v>65</v>
      </c>
      <c r="AB1256" t="s">
        <v>143</v>
      </c>
      <c r="AC1256" t="s">
        <v>53</v>
      </c>
      <c r="AD1256" t="s">
        <v>404</v>
      </c>
      <c r="AE1256" t="str">
        <f>IF(AF1256="","",VLOOKUP(AC1256,mapel!$A$2:$B$42,2,FALSE))</f>
        <v>Sejarah</v>
      </c>
      <c r="AF1256">
        <f t="shared" si="57"/>
        <v>65</v>
      </c>
      <c r="AG1256" t="str">
        <f>IF(AF1256="","",IF(AF1256&gt;90,"Sangat baik",IF(AF1256&gt;79,"Baik",IF(AF1256&gt;=pub_gid_0_single_true_output_csv[[#This Row],[KKM]],"Cukup","Kurang"))))</f>
        <v>Cukup</v>
      </c>
      <c r="AH1256">
        <f t="shared" si="58"/>
        <v>11</v>
      </c>
      <c r="AI1256" s="30" t="str">
        <f>IF(OR(J1256&lt;&gt;"Karakter",pub_gid_0_single_true_output_csv[[#This Row],[Nilai2]]=""),"",IF(AF1256&gt;89,"Sangat baik",IF(AF1256&gt;79,"Baik",IF(AF1256&gt;69,"Cukup",IF(AF1256&gt;59,"Kurang","Sangat kurang")))))</f>
        <v/>
      </c>
      <c r="AJ1256" t="str">
        <f t="shared" si="59"/>
        <v>Wk.6</v>
      </c>
      <c r="AK1256" t="str">
        <f>IF(pub_gid_0_single_true_output_csv[[#This Row],[Nilai2]]="","",VLOOKUP(pub_gid_0_single_true_output_csv[[#This Row],[NAMA]],Table7[],3,FALSE))</f>
        <v>High average</v>
      </c>
    </row>
    <row r="1257" spans="1:37" x14ac:dyDescent="0.2">
      <c r="A1257">
        <v>1256</v>
      </c>
      <c r="B1257" t="s">
        <v>293</v>
      </c>
      <c r="C1257" t="s">
        <v>54</v>
      </c>
      <c r="D1257" t="s">
        <v>45</v>
      </c>
      <c r="E1257" t="s">
        <v>147</v>
      </c>
      <c r="F1257" s="25">
        <v>46064</v>
      </c>
      <c r="G1257" t="s">
        <v>352</v>
      </c>
      <c r="H1257" t="s">
        <v>412</v>
      </c>
      <c r="I1257" t="s">
        <v>371</v>
      </c>
      <c r="J1257" t="s">
        <v>36</v>
      </c>
      <c r="K1257" t="s">
        <v>37</v>
      </c>
      <c r="L1257" t="s">
        <v>351</v>
      </c>
      <c r="M1257" t="s">
        <v>141</v>
      </c>
      <c r="N1257" t="s">
        <v>142</v>
      </c>
      <c r="O1257" t="s">
        <v>155</v>
      </c>
      <c r="P1257" t="s">
        <v>281</v>
      </c>
      <c r="Q1257" t="s">
        <v>155</v>
      </c>
      <c r="R1257" t="s">
        <v>302</v>
      </c>
      <c r="S1257" t="s">
        <v>380</v>
      </c>
      <c r="T1257">
        <v>3</v>
      </c>
      <c r="U1257" t="s">
        <v>159</v>
      </c>
      <c r="V1257" t="s">
        <v>381</v>
      </c>
      <c r="W1257" t="s">
        <v>438</v>
      </c>
      <c r="X1257" t="s">
        <v>306</v>
      </c>
      <c r="Y1257" t="s">
        <v>307</v>
      </c>
      <c r="Z1257">
        <v>65</v>
      </c>
      <c r="AA1257">
        <v>70</v>
      </c>
      <c r="AB1257" t="s">
        <v>143</v>
      </c>
      <c r="AC1257" t="s">
        <v>53</v>
      </c>
      <c r="AD1257" t="s">
        <v>404</v>
      </c>
      <c r="AE1257" t="str">
        <f>IF(AF1257="","",VLOOKUP(AC1257,mapel!$A$2:$B$42,2,FALSE))</f>
        <v>Sejarah</v>
      </c>
      <c r="AF1257">
        <f t="shared" si="57"/>
        <v>70</v>
      </c>
      <c r="AG1257" t="str">
        <f>IF(AF1257="","",IF(AF1257&gt;90,"Sangat baik",IF(AF1257&gt;79,"Baik",IF(AF1257&gt;=pub_gid_0_single_true_output_csv[[#This Row],[KKM]],"Cukup","Kurang"))))</f>
        <v>Cukup</v>
      </c>
      <c r="AH1257">
        <f t="shared" si="58"/>
        <v>11</v>
      </c>
      <c r="AI1257" s="30" t="str">
        <f>IF(OR(J1257&lt;&gt;"Karakter",pub_gid_0_single_true_output_csv[[#This Row],[Nilai2]]=""),"",IF(AF1257&gt;89,"Sangat baik",IF(AF1257&gt;79,"Baik",IF(AF1257&gt;69,"Cukup",IF(AF1257&gt;59,"Kurang","Sangat kurang")))))</f>
        <v/>
      </c>
      <c r="AJ1257" t="str">
        <f t="shared" si="59"/>
        <v>Wk.7</v>
      </c>
      <c r="AK1257" t="str">
        <f>IF(pub_gid_0_single_true_output_csv[[#This Row],[Nilai2]]="","",VLOOKUP(pub_gid_0_single_true_output_csv[[#This Row],[NAMA]],Table7[],3,FALSE))</f>
        <v>High average</v>
      </c>
    </row>
    <row r="1258" spans="1:37" x14ac:dyDescent="0.2">
      <c r="A1258">
        <v>1257</v>
      </c>
      <c r="B1258" t="s">
        <v>293</v>
      </c>
      <c r="C1258" t="s">
        <v>54</v>
      </c>
      <c r="D1258" t="s">
        <v>45</v>
      </c>
      <c r="E1258" t="s">
        <v>147</v>
      </c>
      <c r="F1258" s="25">
        <v>46064</v>
      </c>
      <c r="G1258" t="s">
        <v>352</v>
      </c>
      <c r="H1258" t="s">
        <v>412</v>
      </c>
      <c r="I1258" t="s">
        <v>371</v>
      </c>
      <c r="J1258" t="s">
        <v>31</v>
      </c>
      <c r="K1258" t="s">
        <v>96</v>
      </c>
      <c r="L1258" t="s">
        <v>351</v>
      </c>
      <c r="M1258" t="s">
        <v>141</v>
      </c>
      <c r="N1258" t="s">
        <v>142</v>
      </c>
      <c r="O1258" t="s">
        <v>155</v>
      </c>
      <c r="P1258" t="s">
        <v>281</v>
      </c>
      <c r="Q1258" t="s">
        <v>155</v>
      </c>
      <c r="R1258" t="s">
        <v>302</v>
      </c>
      <c r="S1258" t="s">
        <v>380</v>
      </c>
      <c r="T1258">
        <v>3</v>
      </c>
      <c r="U1258" t="s">
        <v>159</v>
      </c>
      <c r="V1258" t="s">
        <v>381</v>
      </c>
      <c r="W1258" t="s">
        <v>438</v>
      </c>
      <c r="X1258" t="s">
        <v>306</v>
      </c>
      <c r="Y1258" t="s">
        <v>307</v>
      </c>
      <c r="Z1258">
        <v>65</v>
      </c>
      <c r="AA1258">
        <v>65</v>
      </c>
      <c r="AB1258" t="s">
        <v>143</v>
      </c>
      <c r="AC1258" t="s">
        <v>53</v>
      </c>
      <c r="AD1258" t="s">
        <v>404</v>
      </c>
      <c r="AE1258" t="str">
        <f>IF(AF1258="","",VLOOKUP(AC1258,mapel!$A$2:$B$42,2,FALSE))</f>
        <v>Sejarah</v>
      </c>
      <c r="AF1258">
        <f t="shared" si="57"/>
        <v>65</v>
      </c>
      <c r="AG1258" t="str">
        <f>IF(AF1258="","",IF(AF1258&gt;90,"Sangat baik",IF(AF1258&gt;79,"Baik",IF(AF1258&gt;=pub_gid_0_single_true_output_csv[[#This Row],[KKM]],"Cukup","Kurang"))))</f>
        <v>Cukup</v>
      </c>
      <c r="AH1258">
        <f t="shared" si="58"/>
        <v>11</v>
      </c>
      <c r="AI1258" s="30" t="str">
        <f>IF(OR(J1258&lt;&gt;"Karakter",pub_gid_0_single_true_output_csv[[#This Row],[Nilai2]]=""),"",IF(AF1258&gt;89,"Sangat baik",IF(AF1258&gt;79,"Baik",IF(AF1258&gt;69,"Cukup",IF(AF1258&gt;59,"Kurang","Sangat kurang")))))</f>
        <v/>
      </c>
      <c r="AJ1258" t="str">
        <f t="shared" si="59"/>
        <v>Wk.7</v>
      </c>
      <c r="AK1258" t="str">
        <f>IF(pub_gid_0_single_true_output_csv[[#This Row],[Nilai2]]="","",VLOOKUP(pub_gid_0_single_true_output_csv[[#This Row],[NAMA]],Table7[],3,FALSE))</f>
        <v>High average</v>
      </c>
    </row>
    <row r="1259" spans="1:37" x14ac:dyDescent="0.2">
      <c r="A1259">
        <v>1258</v>
      </c>
      <c r="B1259" t="s">
        <v>293</v>
      </c>
      <c r="C1259" t="s">
        <v>54</v>
      </c>
      <c r="D1259" t="s">
        <v>45</v>
      </c>
      <c r="E1259" t="s">
        <v>147</v>
      </c>
      <c r="F1259" s="25">
        <v>46064</v>
      </c>
      <c r="G1259" t="s">
        <v>352</v>
      </c>
      <c r="H1259" t="s">
        <v>412</v>
      </c>
      <c r="I1259" t="s">
        <v>371</v>
      </c>
      <c r="J1259" t="s">
        <v>90</v>
      </c>
      <c r="K1259" t="s">
        <v>92</v>
      </c>
      <c r="L1259" t="s">
        <v>93</v>
      </c>
      <c r="M1259" t="s">
        <v>141</v>
      </c>
      <c r="N1259" t="s">
        <v>142</v>
      </c>
      <c r="O1259" t="s">
        <v>155</v>
      </c>
      <c r="P1259" t="s">
        <v>281</v>
      </c>
      <c r="Q1259" t="s">
        <v>155</v>
      </c>
      <c r="R1259" t="s">
        <v>302</v>
      </c>
      <c r="S1259" t="s">
        <v>380</v>
      </c>
      <c r="T1259">
        <v>3</v>
      </c>
      <c r="U1259" t="s">
        <v>159</v>
      </c>
      <c r="V1259" t="s">
        <v>381</v>
      </c>
      <c r="W1259" t="s">
        <v>438</v>
      </c>
      <c r="X1259" t="s">
        <v>306</v>
      </c>
      <c r="Y1259" t="s">
        <v>307</v>
      </c>
      <c r="Z1259">
        <v>65</v>
      </c>
      <c r="AA1259">
        <v>75</v>
      </c>
      <c r="AB1259" t="s">
        <v>143</v>
      </c>
      <c r="AC1259" t="s">
        <v>53</v>
      </c>
      <c r="AD1259" t="s">
        <v>404</v>
      </c>
      <c r="AE1259" t="str">
        <f>IF(AF1259="","",VLOOKUP(AC1259,mapel!$A$2:$B$42,2,FALSE))</f>
        <v>Sejarah</v>
      </c>
      <c r="AF1259">
        <f t="shared" si="57"/>
        <v>75</v>
      </c>
      <c r="AG1259" t="str">
        <f>IF(AF1259="","",IF(AF1259&gt;90,"Sangat baik",IF(AF1259&gt;79,"Baik",IF(AF1259&gt;=pub_gid_0_single_true_output_csv[[#This Row],[KKM]],"Cukup","Kurang"))))</f>
        <v>Cukup</v>
      </c>
      <c r="AH1259">
        <f t="shared" si="58"/>
        <v>11</v>
      </c>
      <c r="AI1259" s="30" t="str">
        <f>IF(OR(J1259&lt;&gt;"Karakter",pub_gid_0_single_true_output_csv[[#This Row],[Nilai2]]=""),"",IF(AF1259&gt;89,"Sangat baik",IF(AF1259&gt;79,"Baik",IF(AF1259&gt;69,"Cukup",IF(AF1259&gt;59,"Kurang","Sangat kurang")))))</f>
        <v>Cukup</v>
      </c>
      <c r="AJ1259" t="str">
        <f t="shared" si="59"/>
        <v>Wk.7</v>
      </c>
      <c r="AK1259" t="str">
        <f>IF(pub_gid_0_single_true_output_csv[[#This Row],[Nilai2]]="","",VLOOKUP(pub_gid_0_single_true_output_csv[[#This Row],[NAMA]],Table7[],3,FALSE))</f>
        <v>High average</v>
      </c>
    </row>
    <row r="1260" spans="1:37" x14ac:dyDescent="0.2">
      <c r="A1260">
        <v>1259</v>
      </c>
      <c r="B1260" t="s">
        <v>293</v>
      </c>
      <c r="C1260" t="s">
        <v>54</v>
      </c>
      <c r="D1260" t="s">
        <v>45</v>
      </c>
      <c r="E1260" t="s">
        <v>147</v>
      </c>
      <c r="F1260" s="25">
        <v>46064</v>
      </c>
      <c r="G1260" t="s">
        <v>352</v>
      </c>
      <c r="H1260" t="s">
        <v>412</v>
      </c>
      <c r="I1260" t="s">
        <v>371</v>
      </c>
      <c r="J1260" t="s">
        <v>279</v>
      </c>
      <c r="K1260" t="s">
        <v>280</v>
      </c>
      <c r="L1260" t="s">
        <v>322</v>
      </c>
      <c r="M1260" t="s">
        <v>141</v>
      </c>
      <c r="N1260" t="s">
        <v>142</v>
      </c>
      <c r="O1260" t="s">
        <v>155</v>
      </c>
      <c r="P1260" t="s">
        <v>281</v>
      </c>
      <c r="Q1260" t="s">
        <v>155</v>
      </c>
      <c r="R1260" t="s">
        <v>302</v>
      </c>
      <c r="S1260" t="s">
        <v>380</v>
      </c>
      <c r="T1260">
        <v>3</v>
      </c>
      <c r="U1260" t="s">
        <v>159</v>
      </c>
      <c r="V1260" t="s">
        <v>381</v>
      </c>
      <c r="W1260" t="s">
        <v>438</v>
      </c>
      <c r="X1260" t="s">
        <v>306</v>
      </c>
      <c r="Y1260" t="s">
        <v>307</v>
      </c>
      <c r="Z1260">
        <v>65</v>
      </c>
      <c r="AA1260">
        <v>70</v>
      </c>
      <c r="AB1260" t="s">
        <v>143</v>
      </c>
      <c r="AC1260" t="s">
        <v>53</v>
      </c>
      <c r="AD1260" t="s">
        <v>404</v>
      </c>
      <c r="AE1260" t="str">
        <f>IF(AF1260="","",VLOOKUP(AC1260,mapel!$A$2:$B$42,2,FALSE))</f>
        <v>Sejarah</v>
      </c>
      <c r="AF1260">
        <f t="shared" si="57"/>
        <v>70</v>
      </c>
      <c r="AG1260" t="str">
        <f>IF(AF1260="","",IF(AF1260&gt;90,"Sangat baik",IF(AF1260&gt;79,"Baik",IF(AF1260&gt;=pub_gid_0_single_true_output_csv[[#This Row],[KKM]],"Cukup","Kurang"))))</f>
        <v>Cukup</v>
      </c>
      <c r="AH1260">
        <f t="shared" si="58"/>
        <v>11</v>
      </c>
      <c r="AI1260" s="30" t="str">
        <f>IF(OR(J1260&lt;&gt;"Karakter",pub_gid_0_single_true_output_csv[[#This Row],[Nilai2]]=""),"",IF(AF1260&gt;89,"Sangat baik",IF(AF1260&gt;79,"Baik",IF(AF1260&gt;69,"Cukup",IF(AF1260&gt;59,"Kurang","Sangat kurang")))))</f>
        <v/>
      </c>
      <c r="AJ1260" t="str">
        <f t="shared" si="59"/>
        <v>Wk.7</v>
      </c>
      <c r="AK1260" t="str">
        <f>IF(pub_gid_0_single_true_output_csv[[#This Row],[Nilai2]]="","",VLOOKUP(pub_gid_0_single_true_output_csv[[#This Row],[NAMA]],Table7[],3,FALSE))</f>
        <v>High average</v>
      </c>
    </row>
    <row r="1261" spans="1:37" x14ac:dyDescent="0.2">
      <c r="A1261">
        <v>1260</v>
      </c>
      <c r="B1261" t="s">
        <v>293</v>
      </c>
      <c r="C1261" t="s">
        <v>54</v>
      </c>
      <c r="D1261" t="s">
        <v>45</v>
      </c>
      <c r="E1261" t="s">
        <v>147</v>
      </c>
      <c r="F1261" s="25">
        <v>46071</v>
      </c>
      <c r="G1261" t="s">
        <v>323</v>
      </c>
      <c r="H1261" t="s">
        <v>412</v>
      </c>
      <c r="I1261" t="s">
        <v>371</v>
      </c>
      <c r="J1261" t="s">
        <v>36</v>
      </c>
      <c r="K1261" t="s">
        <v>362</v>
      </c>
      <c r="L1261" t="s">
        <v>363</v>
      </c>
      <c r="M1261" t="s">
        <v>141</v>
      </c>
      <c r="N1261" t="s">
        <v>142</v>
      </c>
      <c r="O1261" t="s">
        <v>155</v>
      </c>
      <c r="P1261" t="s">
        <v>281</v>
      </c>
      <c r="Q1261" t="s">
        <v>155</v>
      </c>
      <c r="R1261" t="s">
        <v>302</v>
      </c>
      <c r="S1261" t="s">
        <v>309</v>
      </c>
      <c r="T1261">
        <v>1</v>
      </c>
      <c r="U1261" t="s">
        <v>435</v>
      </c>
      <c r="V1261" t="s">
        <v>285</v>
      </c>
      <c r="W1261" t="s">
        <v>436</v>
      </c>
      <c r="X1261" t="s">
        <v>306</v>
      </c>
      <c r="Y1261" t="s">
        <v>307</v>
      </c>
      <c r="Z1261">
        <v>65</v>
      </c>
      <c r="AA1261">
        <v>73</v>
      </c>
      <c r="AB1261" t="s">
        <v>143</v>
      </c>
      <c r="AC1261" t="s">
        <v>53</v>
      </c>
      <c r="AD1261" t="s">
        <v>404</v>
      </c>
      <c r="AE1261" t="str">
        <f>IF(AF1261="","",VLOOKUP(AC1261,mapel!$A$2:$B$42,2,FALSE))</f>
        <v>Sejarah</v>
      </c>
      <c r="AF1261">
        <f t="shared" si="57"/>
        <v>73</v>
      </c>
      <c r="AG1261" t="str">
        <f>IF(AF1261="","",IF(AF1261&gt;90,"Sangat baik",IF(AF1261&gt;79,"Baik",IF(AF1261&gt;=pub_gid_0_single_true_output_csv[[#This Row],[KKM]],"Cukup","Kurang"))))</f>
        <v>Cukup</v>
      </c>
      <c r="AH1261">
        <f t="shared" si="58"/>
        <v>11</v>
      </c>
      <c r="AI1261" s="30" t="str">
        <f>IF(OR(J1261&lt;&gt;"Karakter",pub_gid_0_single_true_output_csv[[#This Row],[Nilai2]]=""),"",IF(AF1261&gt;89,"Sangat baik",IF(AF1261&gt;79,"Baik",IF(AF1261&gt;69,"Cukup",IF(AF1261&gt;59,"Kurang","Sangat kurang")))))</f>
        <v/>
      </c>
      <c r="AJ1261" t="str">
        <f t="shared" si="59"/>
        <v>Wk.8</v>
      </c>
      <c r="AK1261" t="str">
        <f>IF(pub_gid_0_single_true_output_csv[[#This Row],[Nilai2]]="","",VLOOKUP(pub_gid_0_single_true_output_csv[[#This Row],[NAMA]],Table7[],3,FALSE))</f>
        <v>High average</v>
      </c>
    </row>
    <row r="1262" spans="1:37" x14ac:dyDescent="0.2">
      <c r="A1262">
        <v>1261</v>
      </c>
      <c r="B1262" t="s">
        <v>293</v>
      </c>
      <c r="C1262" t="s">
        <v>54</v>
      </c>
      <c r="D1262" t="s">
        <v>45</v>
      </c>
      <c r="E1262" t="s">
        <v>147</v>
      </c>
      <c r="F1262" s="25">
        <v>46071</v>
      </c>
      <c r="G1262" t="s">
        <v>323</v>
      </c>
      <c r="H1262" t="s">
        <v>412</v>
      </c>
      <c r="I1262" t="s">
        <v>371</v>
      </c>
      <c r="J1262" t="s">
        <v>90</v>
      </c>
      <c r="K1262" t="s">
        <v>92</v>
      </c>
      <c r="L1262" t="s">
        <v>93</v>
      </c>
      <c r="M1262" t="s">
        <v>141</v>
      </c>
      <c r="N1262" t="s">
        <v>142</v>
      </c>
      <c r="O1262" t="s">
        <v>155</v>
      </c>
      <c r="P1262" t="s">
        <v>281</v>
      </c>
      <c r="Q1262" t="s">
        <v>155</v>
      </c>
      <c r="R1262" t="s">
        <v>302</v>
      </c>
      <c r="S1262" t="s">
        <v>309</v>
      </c>
      <c r="T1262">
        <v>1</v>
      </c>
      <c r="U1262" t="s">
        <v>435</v>
      </c>
      <c r="V1262" t="s">
        <v>285</v>
      </c>
      <c r="W1262" t="s">
        <v>436</v>
      </c>
      <c r="X1262" t="s">
        <v>306</v>
      </c>
      <c r="Y1262" t="s">
        <v>307</v>
      </c>
      <c r="Z1262">
        <v>65</v>
      </c>
      <c r="AA1262">
        <v>70</v>
      </c>
      <c r="AB1262" t="s">
        <v>143</v>
      </c>
      <c r="AC1262" t="s">
        <v>53</v>
      </c>
      <c r="AD1262" t="s">
        <v>404</v>
      </c>
      <c r="AE1262" t="str">
        <f>IF(AF1262="","",VLOOKUP(AC1262,mapel!$A$2:$B$42,2,FALSE))</f>
        <v>Sejarah</v>
      </c>
      <c r="AF1262">
        <f t="shared" si="57"/>
        <v>70</v>
      </c>
      <c r="AG1262" t="str">
        <f>IF(AF1262="","",IF(AF1262&gt;90,"Sangat baik",IF(AF1262&gt;79,"Baik",IF(AF1262&gt;=pub_gid_0_single_true_output_csv[[#This Row],[KKM]],"Cukup","Kurang"))))</f>
        <v>Cukup</v>
      </c>
      <c r="AH1262">
        <f t="shared" si="58"/>
        <v>11</v>
      </c>
      <c r="AI1262" s="30" t="str">
        <f>IF(OR(J1262&lt;&gt;"Karakter",pub_gid_0_single_true_output_csv[[#This Row],[Nilai2]]=""),"",IF(AF1262&gt;89,"Sangat baik",IF(AF1262&gt;79,"Baik",IF(AF1262&gt;69,"Cukup",IF(AF1262&gt;59,"Kurang","Sangat kurang")))))</f>
        <v>Cukup</v>
      </c>
      <c r="AJ1262" t="str">
        <f t="shared" si="59"/>
        <v>Wk.8</v>
      </c>
      <c r="AK1262" t="str">
        <f>IF(pub_gid_0_single_true_output_csv[[#This Row],[Nilai2]]="","",VLOOKUP(pub_gid_0_single_true_output_csv[[#This Row],[NAMA]],Table7[],3,FALSE))</f>
        <v>High average</v>
      </c>
    </row>
    <row r="1263" spans="1:37" x14ac:dyDescent="0.2">
      <c r="A1263">
        <v>1262</v>
      </c>
      <c r="B1263" t="s">
        <v>287</v>
      </c>
      <c r="C1263" t="s">
        <v>54</v>
      </c>
      <c r="D1263" t="s">
        <v>34</v>
      </c>
      <c r="E1263" t="s">
        <v>140</v>
      </c>
      <c r="F1263" s="25">
        <v>46036</v>
      </c>
      <c r="G1263" t="s">
        <v>353</v>
      </c>
      <c r="H1263" t="s">
        <v>405</v>
      </c>
      <c r="I1263" t="s">
        <v>371</v>
      </c>
      <c r="J1263" t="s">
        <v>36</v>
      </c>
      <c r="K1263" t="s">
        <v>37</v>
      </c>
      <c r="L1263" t="s">
        <v>351</v>
      </c>
      <c r="M1263" t="s">
        <v>141</v>
      </c>
      <c r="N1263" t="s">
        <v>142</v>
      </c>
      <c r="O1263" t="s">
        <v>155</v>
      </c>
      <c r="P1263" t="s">
        <v>281</v>
      </c>
      <c r="Q1263" t="s">
        <v>155</v>
      </c>
      <c r="R1263" t="s">
        <v>302</v>
      </c>
      <c r="S1263" t="s">
        <v>309</v>
      </c>
      <c r="T1263">
        <v>1</v>
      </c>
      <c r="U1263" t="s">
        <v>435</v>
      </c>
      <c r="V1263" t="s">
        <v>285</v>
      </c>
      <c r="W1263" t="s">
        <v>436</v>
      </c>
      <c r="X1263" t="s">
        <v>306</v>
      </c>
      <c r="Y1263" t="s">
        <v>307</v>
      </c>
      <c r="Z1263">
        <v>65</v>
      </c>
      <c r="AA1263">
        <v>70</v>
      </c>
      <c r="AB1263" t="s">
        <v>143</v>
      </c>
      <c r="AC1263" t="s">
        <v>53</v>
      </c>
      <c r="AD1263" t="s">
        <v>404</v>
      </c>
      <c r="AE1263" t="str">
        <f>IF(AF1263="","",VLOOKUP(AC1263,mapel!$A$2:$B$42,2,FALSE))</f>
        <v>Sejarah</v>
      </c>
      <c r="AF1263">
        <f t="shared" si="57"/>
        <v>70</v>
      </c>
      <c r="AG1263" t="str">
        <f>IF(AF1263="","",IF(AF1263&gt;90,"Sangat baik",IF(AF1263&gt;79,"Baik",IF(AF1263&gt;=pub_gid_0_single_true_output_csv[[#This Row],[KKM]],"Cukup","Kurang"))))</f>
        <v>Cukup</v>
      </c>
      <c r="AH1263">
        <f t="shared" si="58"/>
        <v>11</v>
      </c>
      <c r="AI1263" s="30" t="str">
        <f>IF(OR(J1263&lt;&gt;"Karakter",pub_gid_0_single_true_output_csv[[#This Row],[Nilai2]]=""),"",IF(AF1263&gt;89,"Sangat baik",IF(AF1263&gt;79,"Baik",IF(AF1263&gt;69,"Cukup",IF(AF1263&gt;59,"Kurang","Sangat kurang")))))</f>
        <v/>
      </c>
      <c r="AJ1263" t="str">
        <f t="shared" si="59"/>
        <v>Wk.3</v>
      </c>
      <c r="AK1263" t="str">
        <f>IF(pub_gid_0_single_true_output_csv[[#This Row],[Nilai2]]="","",VLOOKUP(pub_gid_0_single_true_output_csv[[#This Row],[NAMA]],Table7[],3,FALSE))</f>
        <v>Average</v>
      </c>
    </row>
    <row r="1264" spans="1:37" x14ac:dyDescent="0.2">
      <c r="A1264">
        <v>1263</v>
      </c>
      <c r="B1264" t="s">
        <v>287</v>
      </c>
      <c r="C1264" t="s">
        <v>54</v>
      </c>
      <c r="D1264" t="s">
        <v>34</v>
      </c>
      <c r="E1264" t="s">
        <v>140</v>
      </c>
      <c r="F1264" s="25">
        <v>46036</v>
      </c>
      <c r="G1264" t="s">
        <v>353</v>
      </c>
      <c r="H1264" t="s">
        <v>405</v>
      </c>
      <c r="I1264" t="s">
        <v>371</v>
      </c>
      <c r="J1264" t="s">
        <v>31</v>
      </c>
      <c r="K1264" t="s">
        <v>32</v>
      </c>
      <c r="L1264" t="s">
        <v>351</v>
      </c>
      <c r="M1264" t="s">
        <v>141</v>
      </c>
      <c r="N1264" t="s">
        <v>142</v>
      </c>
      <c r="O1264" t="s">
        <v>155</v>
      </c>
      <c r="P1264" t="s">
        <v>281</v>
      </c>
      <c r="Q1264" t="s">
        <v>155</v>
      </c>
      <c r="R1264" t="s">
        <v>302</v>
      </c>
      <c r="S1264" t="s">
        <v>309</v>
      </c>
      <c r="T1264">
        <v>1</v>
      </c>
      <c r="U1264" t="s">
        <v>435</v>
      </c>
      <c r="V1264" t="s">
        <v>285</v>
      </c>
      <c r="W1264" t="s">
        <v>436</v>
      </c>
      <c r="X1264" t="s">
        <v>306</v>
      </c>
      <c r="Y1264" t="s">
        <v>307</v>
      </c>
      <c r="Z1264">
        <v>65</v>
      </c>
      <c r="AA1264">
        <v>70</v>
      </c>
      <c r="AB1264" t="s">
        <v>143</v>
      </c>
      <c r="AC1264" t="s">
        <v>53</v>
      </c>
      <c r="AD1264" t="s">
        <v>404</v>
      </c>
      <c r="AE1264" t="str">
        <f>IF(AF1264="","",VLOOKUP(AC1264,mapel!$A$2:$B$42,2,FALSE))</f>
        <v>Sejarah</v>
      </c>
      <c r="AF1264">
        <f t="shared" si="57"/>
        <v>70</v>
      </c>
      <c r="AG1264" t="str">
        <f>IF(AF1264="","",IF(AF1264&gt;90,"Sangat baik",IF(AF1264&gt;79,"Baik",IF(AF1264&gt;=pub_gid_0_single_true_output_csv[[#This Row],[KKM]],"Cukup","Kurang"))))</f>
        <v>Cukup</v>
      </c>
      <c r="AH1264">
        <f t="shared" si="58"/>
        <v>11</v>
      </c>
      <c r="AI1264" s="30" t="str">
        <f>IF(OR(J1264&lt;&gt;"Karakter",pub_gid_0_single_true_output_csv[[#This Row],[Nilai2]]=""),"",IF(AF1264&gt;89,"Sangat baik",IF(AF1264&gt;79,"Baik",IF(AF1264&gt;69,"Cukup",IF(AF1264&gt;59,"Kurang","Sangat kurang")))))</f>
        <v/>
      </c>
      <c r="AJ1264" t="str">
        <f t="shared" si="59"/>
        <v>Wk.3</v>
      </c>
      <c r="AK1264" t="str">
        <f>IF(pub_gid_0_single_true_output_csv[[#This Row],[Nilai2]]="","",VLOOKUP(pub_gid_0_single_true_output_csv[[#This Row],[NAMA]],Table7[],3,FALSE))</f>
        <v>Average</v>
      </c>
    </row>
    <row r="1265" spans="1:37" x14ac:dyDescent="0.2">
      <c r="A1265">
        <v>1264</v>
      </c>
      <c r="B1265" t="s">
        <v>287</v>
      </c>
      <c r="C1265" t="s">
        <v>54</v>
      </c>
      <c r="D1265" t="s">
        <v>34</v>
      </c>
      <c r="E1265" t="s">
        <v>140</v>
      </c>
      <c r="F1265" s="25">
        <v>46036</v>
      </c>
      <c r="G1265" t="s">
        <v>353</v>
      </c>
      <c r="H1265" t="s">
        <v>405</v>
      </c>
      <c r="I1265" t="s">
        <v>371</v>
      </c>
      <c r="J1265" t="s">
        <v>90</v>
      </c>
      <c r="K1265" t="s">
        <v>92</v>
      </c>
      <c r="L1265" t="s">
        <v>91</v>
      </c>
      <c r="M1265" t="s">
        <v>141</v>
      </c>
      <c r="N1265" t="s">
        <v>142</v>
      </c>
      <c r="O1265" t="s">
        <v>155</v>
      </c>
      <c r="P1265" t="s">
        <v>281</v>
      </c>
      <c r="Q1265" t="s">
        <v>155</v>
      </c>
      <c r="R1265" t="s">
        <v>302</v>
      </c>
      <c r="S1265" t="s">
        <v>309</v>
      </c>
      <c r="T1265">
        <v>1</v>
      </c>
      <c r="U1265" t="s">
        <v>435</v>
      </c>
      <c r="V1265" t="s">
        <v>285</v>
      </c>
      <c r="W1265" t="s">
        <v>436</v>
      </c>
      <c r="X1265" t="s">
        <v>306</v>
      </c>
      <c r="Y1265" t="s">
        <v>307</v>
      </c>
      <c r="Z1265">
        <v>65</v>
      </c>
      <c r="AA1265">
        <v>80</v>
      </c>
      <c r="AB1265" t="s">
        <v>143</v>
      </c>
      <c r="AC1265" t="s">
        <v>53</v>
      </c>
      <c r="AD1265" t="s">
        <v>404</v>
      </c>
      <c r="AE1265" t="str">
        <f>IF(AF1265="","",VLOOKUP(AC1265,mapel!$A$2:$B$42,2,FALSE))</f>
        <v>Sejarah</v>
      </c>
      <c r="AF1265">
        <f t="shared" si="57"/>
        <v>80</v>
      </c>
      <c r="AG1265" t="str">
        <f>IF(AF1265="","",IF(AF1265&gt;90,"Sangat baik",IF(AF1265&gt;79,"Baik",IF(AF1265&gt;=pub_gid_0_single_true_output_csv[[#This Row],[KKM]],"Cukup","Kurang"))))</f>
        <v>Baik</v>
      </c>
      <c r="AH1265">
        <f t="shared" si="58"/>
        <v>11</v>
      </c>
      <c r="AI1265" s="30" t="str">
        <f>IF(OR(J1265&lt;&gt;"Karakter",pub_gid_0_single_true_output_csv[[#This Row],[Nilai2]]=""),"",IF(AF1265&gt;89,"Sangat baik",IF(AF1265&gt;79,"Baik",IF(AF1265&gt;69,"Cukup",IF(AF1265&gt;59,"Kurang","Sangat kurang")))))</f>
        <v>Baik</v>
      </c>
      <c r="AJ1265" t="str">
        <f t="shared" si="59"/>
        <v>Wk.3</v>
      </c>
      <c r="AK1265" t="str">
        <f>IF(pub_gid_0_single_true_output_csv[[#This Row],[Nilai2]]="","",VLOOKUP(pub_gid_0_single_true_output_csv[[#This Row],[NAMA]],Table7[],3,FALSE))</f>
        <v>Average</v>
      </c>
    </row>
    <row r="1266" spans="1:37" x14ac:dyDescent="0.2">
      <c r="A1266">
        <v>1265</v>
      </c>
      <c r="B1266" t="s">
        <v>287</v>
      </c>
      <c r="C1266" t="s">
        <v>54</v>
      </c>
      <c r="D1266" t="s">
        <v>34</v>
      </c>
      <c r="E1266" t="s">
        <v>140</v>
      </c>
      <c r="F1266" s="25">
        <v>46036</v>
      </c>
      <c r="G1266" t="s">
        <v>353</v>
      </c>
      <c r="H1266" t="s">
        <v>405</v>
      </c>
      <c r="I1266" t="s">
        <v>371</v>
      </c>
      <c r="J1266" t="s">
        <v>279</v>
      </c>
      <c r="K1266" t="s">
        <v>280</v>
      </c>
      <c r="L1266" t="s">
        <v>322</v>
      </c>
      <c r="M1266" t="s">
        <v>141</v>
      </c>
      <c r="N1266" t="s">
        <v>142</v>
      </c>
      <c r="O1266" t="s">
        <v>155</v>
      </c>
      <c r="P1266" t="s">
        <v>281</v>
      </c>
      <c r="Q1266" t="s">
        <v>155</v>
      </c>
      <c r="R1266" t="s">
        <v>302</v>
      </c>
      <c r="S1266" t="s">
        <v>309</v>
      </c>
      <c r="T1266">
        <v>1</v>
      </c>
      <c r="U1266" t="s">
        <v>435</v>
      </c>
      <c r="V1266" t="s">
        <v>285</v>
      </c>
      <c r="W1266" t="s">
        <v>436</v>
      </c>
      <c r="X1266" t="s">
        <v>306</v>
      </c>
      <c r="Y1266" t="s">
        <v>307</v>
      </c>
      <c r="Z1266">
        <v>65</v>
      </c>
      <c r="AA1266">
        <v>70</v>
      </c>
      <c r="AB1266" t="s">
        <v>143</v>
      </c>
      <c r="AC1266" t="s">
        <v>53</v>
      </c>
      <c r="AD1266" t="s">
        <v>404</v>
      </c>
      <c r="AE1266" t="str">
        <f>IF(AF1266="","",VLOOKUP(AC1266,mapel!$A$2:$B$42,2,FALSE))</f>
        <v>Sejarah</v>
      </c>
      <c r="AF1266">
        <f t="shared" si="57"/>
        <v>70</v>
      </c>
      <c r="AG1266" t="str">
        <f>IF(AF1266="","",IF(AF1266&gt;90,"Sangat baik",IF(AF1266&gt;79,"Baik",IF(AF1266&gt;=pub_gid_0_single_true_output_csv[[#This Row],[KKM]],"Cukup","Kurang"))))</f>
        <v>Cukup</v>
      </c>
      <c r="AH1266">
        <f t="shared" si="58"/>
        <v>11</v>
      </c>
      <c r="AI1266" s="30" t="str">
        <f>IF(OR(J1266&lt;&gt;"Karakter",pub_gid_0_single_true_output_csv[[#This Row],[Nilai2]]=""),"",IF(AF1266&gt;89,"Sangat baik",IF(AF1266&gt;79,"Baik",IF(AF1266&gt;69,"Cukup",IF(AF1266&gt;59,"Kurang","Sangat kurang")))))</f>
        <v/>
      </c>
      <c r="AJ1266" t="str">
        <f t="shared" si="59"/>
        <v>Wk.3</v>
      </c>
      <c r="AK1266" t="str">
        <f>IF(pub_gid_0_single_true_output_csv[[#This Row],[Nilai2]]="","",VLOOKUP(pub_gid_0_single_true_output_csv[[#This Row],[NAMA]],Table7[],3,FALSE))</f>
        <v>Average</v>
      </c>
    </row>
    <row r="1267" spans="1:37" x14ac:dyDescent="0.2">
      <c r="A1267">
        <v>1266</v>
      </c>
      <c r="B1267" t="s">
        <v>287</v>
      </c>
      <c r="C1267" t="s">
        <v>54</v>
      </c>
      <c r="D1267" t="s">
        <v>34</v>
      </c>
      <c r="E1267" t="s">
        <v>140</v>
      </c>
      <c r="F1267" s="25">
        <v>46043</v>
      </c>
      <c r="G1267" t="s">
        <v>341</v>
      </c>
      <c r="H1267" t="s">
        <v>405</v>
      </c>
      <c r="I1267" t="s">
        <v>371</v>
      </c>
      <c r="J1267" t="s">
        <v>36</v>
      </c>
      <c r="K1267" t="s">
        <v>37</v>
      </c>
      <c r="L1267" t="s">
        <v>351</v>
      </c>
      <c r="M1267" t="s">
        <v>141</v>
      </c>
      <c r="N1267" t="s">
        <v>142</v>
      </c>
      <c r="O1267" t="s">
        <v>155</v>
      </c>
      <c r="P1267" t="s">
        <v>281</v>
      </c>
      <c r="Q1267" t="s">
        <v>155</v>
      </c>
      <c r="R1267" t="s">
        <v>302</v>
      </c>
      <c r="S1267" t="s">
        <v>309</v>
      </c>
      <c r="T1267">
        <v>1</v>
      </c>
      <c r="U1267" t="s">
        <v>435</v>
      </c>
      <c r="V1267" t="s">
        <v>285</v>
      </c>
      <c r="W1267" t="s">
        <v>436</v>
      </c>
      <c r="X1267" t="s">
        <v>306</v>
      </c>
      <c r="Y1267" t="s">
        <v>307</v>
      </c>
      <c r="Z1267">
        <v>65</v>
      </c>
      <c r="AA1267">
        <v>70</v>
      </c>
      <c r="AB1267" t="s">
        <v>143</v>
      </c>
      <c r="AC1267" t="s">
        <v>53</v>
      </c>
      <c r="AD1267" t="s">
        <v>404</v>
      </c>
      <c r="AE1267" t="str">
        <f>IF(AF1267="","",VLOOKUP(AC1267,mapel!$A$2:$B$42,2,FALSE))</f>
        <v>Sejarah</v>
      </c>
      <c r="AF1267">
        <f t="shared" si="57"/>
        <v>70</v>
      </c>
      <c r="AG1267" t="str">
        <f>IF(AF1267="","",IF(AF1267&gt;90,"Sangat baik",IF(AF1267&gt;79,"Baik",IF(AF1267&gt;=pub_gid_0_single_true_output_csv[[#This Row],[KKM]],"Cukup","Kurang"))))</f>
        <v>Cukup</v>
      </c>
      <c r="AH1267">
        <f t="shared" si="58"/>
        <v>11</v>
      </c>
      <c r="AI1267" s="30" t="str">
        <f>IF(OR(J1267&lt;&gt;"Karakter",pub_gid_0_single_true_output_csv[[#This Row],[Nilai2]]=""),"",IF(AF1267&gt;89,"Sangat baik",IF(AF1267&gt;79,"Baik",IF(AF1267&gt;69,"Cukup",IF(AF1267&gt;59,"Kurang","Sangat kurang")))))</f>
        <v/>
      </c>
      <c r="AJ1267" t="str">
        <f t="shared" si="59"/>
        <v>Wk.4</v>
      </c>
      <c r="AK1267" t="str">
        <f>IF(pub_gid_0_single_true_output_csv[[#This Row],[Nilai2]]="","",VLOOKUP(pub_gid_0_single_true_output_csv[[#This Row],[NAMA]],Table7[],3,FALSE))</f>
        <v>Average</v>
      </c>
    </row>
    <row r="1268" spans="1:37" x14ac:dyDescent="0.2">
      <c r="A1268">
        <v>1267</v>
      </c>
      <c r="B1268" t="s">
        <v>287</v>
      </c>
      <c r="C1268" t="s">
        <v>54</v>
      </c>
      <c r="D1268" t="s">
        <v>34</v>
      </c>
      <c r="E1268" t="s">
        <v>140</v>
      </c>
      <c r="F1268" s="25">
        <v>46043</v>
      </c>
      <c r="G1268" t="s">
        <v>341</v>
      </c>
      <c r="H1268" t="s">
        <v>405</v>
      </c>
      <c r="I1268" t="s">
        <v>371</v>
      </c>
      <c r="J1268" t="s">
        <v>31</v>
      </c>
      <c r="K1268" t="s">
        <v>96</v>
      </c>
      <c r="L1268" t="s">
        <v>322</v>
      </c>
      <c r="M1268" t="s">
        <v>141</v>
      </c>
      <c r="N1268" t="s">
        <v>142</v>
      </c>
      <c r="O1268" t="s">
        <v>155</v>
      </c>
      <c r="P1268" t="s">
        <v>281</v>
      </c>
      <c r="Q1268" t="s">
        <v>155</v>
      </c>
      <c r="R1268" t="s">
        <v>302</v>
      </c>
      <c r="S1268" t="s">
        <v>309</v>
      </c>
      <c r="T1268">
        <v>1</v>
      </c>
      <c r="U1268" t="s">
        <v>435</v>
      </c>
      <c r="V1268" t="s">
        <v>285</v>
      </c>
      <c r="W1268" t="s">
        <v>436</v>
      </c>
      <c r="X1268" t="s">
        <v>306</v>
      </c>
      <c r="Y1268" t="s">
        <v>307</v>
      </c>
      <c r="Z1268">
        <v>65</v>
      </c>
      <c r="AA1268">
        <v>68</v>
      </c>
      <c r="AB1268" t="s">
        <v>143</v>
      </c>
      <c r="AC1268" t="s">
        <v>53</v>
      </c>
      <c r="AD1268" t="s">
        <v>404</v>
      </c>
      <c r="AE1268" t="str">
        <f>IF(AF1268="","",VLOOKUP(AC1268,mapel!$A$2:$B$42,2,FALSE))</f>
        <v>Sejarah</v>
      </c>
      <c r="AF1268">
        <f t="shared" si="57"/>
        <v>68</v>
      </c>
      <c r="AG1268" t="str">
        <f>IF(AF1268="","",IF(AF1268&gt;90,"Sangat baik",IF(AF1268&gt;79,"Baik",IF(AF1268&gt;=pub_gid_0_single_true_output_csv[[#This Row],[KKM]],"Cukup","Kurang"))))</f>
        <v>Cukup</v>
      </c>
      <c r="AH1268">
        <f t="shared" si="58"/>
        <v>11</v>
      </c>
      <c r="AI1268" s="30" t="str">
        <f>IF(OR(J1268&lt;&gt;"Karakter",pub_gid_0_single_true_output_csv[[#This Row],[Nilai2]]=""),"",IF(AF1268&gt;89,"Sangat baik",IF(AF1268&gt;79,"Baik",IF(AF1268&gt;69,"Cukup",IF(AF1268&gt;59,"Kurang","Sangat kurang")))))</f>
        <v/>
      </c>
      <c r="AJ1268" t="str">
        <f t="shared" si="59"/>
        <v>Wk.4</v>
      </c>
      <c r="AK1268" t="str">
        <f>IF(pub_gid_0_single_true_output_csv[[#This Row],[Nilai2]]="","",VLOOKUP(pub_gid_0_single_true_output_csv[[#This Row],[NAMA]],Table7[],3,FALSE))</f>
        <v>Average</v>
      </c>
    </row>
    <row r="1269" spans="1:37" x14ac:dyDescent="0.2">
      <c r="A1269">
        <v>1268</v>
      </c>
      <c r="B1269" t="s">
        <v>287</v>
      </c>
      <c r="C1269" t="s">
        <v>54</v>
      </c>
      <c r="D1269" t="s">
        <v>34</v>
      </c>
      <c r="E1269" t="s">
        <v>140</v>
      </c>
      <c r="F1269" s="25">
        <v>46043</v>
      </c>
      <c r="G1269" t="s">
        <v>341</v>
      </c>
      <c r="H1269" t="s">
        <v>405</v>
      </c>
      <c r="I1269" t="s">
        <v>371</v>
      </c>
      <c r="J1269" t="s">
        <v>90</v>
      </c>
      <c r="K1269" t="s">
        <v>92</v>
      </c>
      <c r="L1269" t="s">
        <v>93</v>
      </c>
      <c r="M1269" t="s">
        <v>141</v>
      </c>
      <c r="N1269" t="s">
        <v>142</v>
      </c>
      <c r="O1269" t="s">
        <v>155</v>
      </c>
      <c r="P1269" t="s">
        <v>281</v>
      </c>
      <c r="Q1269" t="s">
        <v>155</v>
      </c>
      <c r="R1269" t="s">
        <v>302</v>
      </c>
      <c r="S1269" t="s">
        <v>309</v>
      </c>
      <c r="T1269">
        <v>1</v>
      </c>
      <c r="U1269" t="s">
        <v>435</v>
      </c>
      <c r="V1269" t="s">
        <v>285</v>
      </c>
      <c r="W1269" t="s">
        <v>436</v>
      </c>
      <c r="X1269" t="s">
        <v>306</v>
      </c>
      <c r="Y1269" t="s">
        <v>307</v>
      </c>
      <c r="Z1269">
        <v>65</v>
      </c>
      <c r="AA1269">
        <v>80</v>
      </c>
      <c r="AB1269" t="s">
        <v>143</v>
      </c>
      <c r="AC1269" t="s">
        <v>53</v>
      </c>
      <c r="AD1269" t="s">
        <v>404</v>
      </c>
      <c r="AE1269" t="str">
        <f>IF(AF1269="","",VLOOKUP(AC1269,mapel!$A$2:$B$42,2,FALSE))</f>
        <v>Sejarah</v>
      </c>
      <c r="AF1269">
        <f t="shared" si="57"/>
        <v>80</v>
      </c>
      <c r="AG1269" t="str">
        <f>IF(AF1269="","",IF(AF1269&gt;90,"Sangat baik",IF(AF1269&gt;79,"Baik",IF(AF1269&gt;=pub_gid_0_single_true_output_csv[[#This Row],[KKM]],"Cukup","Kurang"))))</f>
        <v>Baik</v>
      </c>
      <c r="AH1269">
        <f t="shared" si="58"/>
        <v>11</v>
      </c>
      <c r="AI1269" s="30" t="str">
        <f>IF(OR(J1269&lt;&gt;"Karakter",pub_gid_0_single_true_output_csv[[#This Row],[Nilai2]]=""),"",IF(AF1269&gt;89,"Sangat baik",IF(AF1269&gt;79,"Baik",IF(AF1269&gt;69,"Cukup",IF(AF1269&gt;59,"Kurang","Sangat kurang")))))</f>
        <v>Baik</v>
      </c>
      <c r="AJ1269" t="str">
        <f t="shared" si="59"/>
        <v>Wk.4</v>
      </c>
      <c r="AK1269" t="str">
        <f>IF(pub_gid_0_single_true_output_csv[[#This Row],[Nilai2]]="","",VLOOKUP(pub_gid_0_single_true_output_csv[[#This Row],[NAMA]],Table7[],3,FALSE))</f>
        <v>Average</v>
      </c>
    </row>
    <row r="1270" spans="1:37" x14ac:dyDescent="0.2">
      <c r="A1270">
        <v>1269</v>
      </c>
      <c r="B1270" t="s">
        <v>287</v>
      </c>
      <c r="C1270" t="s">
        <v>54</v>
      </c>
      <c r="D1270" t="s">
        <v>34</v>
      </c>
      <c r="E1270" t="s">
        <v>140</v>
      </c>
      <c r="F1270" s="25">
        <v>46043</v>
      </c>
      <c r="G1270" t="s">
        <v>341</v>
      </c>
      <c r="H1270" t="s">
        <v>405</v>
      </c>
      <c r="I1270" t="s">
        <v>371</v>
      </c>
      <c r="J1270" t="s">
        <v>279</v>
      </c>
      <c r="K1270" t="s">
        <v>280</v>
      </c>
      <c r="L1270" t="s">
        <v>322</v>
      </c>
      <c r="M1270" t="s">
        <v>141</v>
      </c>
      <c r="N1270" t="s">
        <v>142</v>
      </c>
      <c r="O1270" t="s">
        <v>155</v>
      </c>
      <c r="P1270" t="s">
        <v>281</v>
      </c>
      <c r="Q1270" t="s">
        <v>155</v>
      </c>
      <c r="R1270" t="s">
        <v>302</v>
      </c>
      <c r="S1270" t="s">
        <v>355</v>
      </c>
      <c r="T1270">
        <v>2</v>
      </c>
      <c r="U1270" t="s">
        <v>159</v>
      </c>
      <c r="V1270" t="s">
        <v>303</v>
      </c>
      <c r="W1270" t="s">
        <v>437</v>
      </c>
      <c r="X1270" t="s">
        <v>306</v>
      </c>
      <c r="Y1270" t="s">
        <v>307</v>
      </c>
      <c r="Z1270">
        <v>65</v>
      </c>
      <c r="AA1270">
        <v>70</v>
      </c>
      <c r="AB1270" t="s">
        <v>143</v>
      </c>
      <c r="AC1270" t="s">
        <v>53</v>
      </c>
      <c r="AD1270" t="s">
        <v>404</v>
      </c>
      <c r="AE1270" t="str">
        <f>IF(AF1270="","",VLOOKUP(AC1270,mapel!$A$2:$B$42,2,FALSE))</f>
        <v>Sejarah</v>
      </c>
      <c r="AF1270">
        <f t="shared" si="57"/>
        <v>70</v>
      </c>
      <c r="AG1270" t="str">
        <f>IF(AF1270="","",IF(AF1270&gt;90,"Sangat baik",IF(AF1270&gt;79,"Baik",IF(AF1270&gt;=pub_gid_0_single_true_output_csv[[#This Row],[KKM]],"Cukup","Kurang"))))</f>
        <v>Cukup</v>
      </c>
      <c r="AH1270">
        <f t="shared" si="58"/>
        <v>11</v>
      </c>
      <c r="AI1270" s="30" t="str">
        <f>IF(OR(J1270&lt;&gt;"Karakter",pub_gid_0_single_true_output_csv[[#This Row],[Nilai2]]=""),"",IF(AF1270&gt;89,"Sangat baik",IF(AF1270&gt;79,"Baik",IF(AF1270&gt;69,"Cukup",IF(AF1270&gt;59,"Kurang","Sangat kurang")))))</f>
        <v/>
      </c>
      <c r="AJ1270" t="str">
        <f t="shared" si="59"/>
        <v>Wk.4</v>
      </c>
      <c r="AK1270" t="str">
        <f>IF(pub_gid_0_single_true_output_csv[[#This Row],[Nilai2]]="","",VLOOKUP(pub_gid_0_single_true_output_csv[[#This Row],[NAMA]],Table7[],3,FALSE))</f>
        <v>Average</v>
      </c>
    </row>
    <row r="1271" spans="1:37" x14ac:dyDescent="0.2">
      <c r="A1271">
        <v>1270</v>
      </c>
      <c r="B1271" t="s">
        <v>287</v>
      </c>
      <c r="C1271" t="s">
        <v>54</v>
      </c>
      <c r="D1271" t="s">
        <v>34</v>
      </c>
      <c r="E1271" t="s">
        <v>140</v>
      </c>
      <c r="F1271" s="25">
        <v>46050</v>
      </c>
      <c r="G1271" t="s">
        <v>308</v>
      </c>
      <c r="H1271" t="s">
        <v>405</v>
      </c>
      <c r="I1271" t="s">
        <v>371</v>
      </c>
      <c r="J1271" t="s">
        <v>36</v>
      </c>
      <c r="K1271" t="s">
        <v>37</v>
      </c>
      <c r="L1271" t="s">
        <v>351</v>
      </c>
      <c r="M1271" t="s">
        <v>141</v>
      </c>
      <c r="N1271" t="s">
        <v>142</v>
      </c>
      <c r="O1271" t="s">
        <v>155</v>
      </c>
      <c r="P1271" t="s">
        <v>281</v>
      </c>
      <c r="Q1271" t="s">
        <v>155</v>
      </c>
      <c r="R1271" t="s">
        <v>302</v>
      </c>
      <c r="S1271" t="s">
        <v>355</v>
      </c>
      <c r="T1271">
        <v>2</v>
      </c>
      <c r="U1271" t="s">
        <v>159</v>
      </c>
      <c r="V1271" t="s">
        <v>303</v>
      </c>
      <c r="W1271" t="s">
        <v>437</v>
      </c>
      <c r="X1271" t="s">
        <v>306</v>
      </c>
      <c r="Y1271" t="s">
        <v>307</v>
      </c>
      <c r="Z1271">
        <v>65</v>
      </c>
      <c r="AA1271">
        <v>70</v>
      </c>
      <c r="AB1271" t="s">
        <v>143</v>
      </c>
      <c r="AC1271" t="s">
        <v>53</v>
      </c>
      <c r="AD1271" t="s">
        <v>404</v>
      </c>
      <c r="AE1271" t="str">
        <f>IF(AF1271="","",VLOOKUP(AC1271,mapel!$A$2:$B$42,2,FALSE))</f>
        <v>Sejarah</v>
      </c>
      <c r="AF1271">
        <f t="shared" si="57"/>
        <v>70</v>
      </c>
      <c r="AG1271" t="str">
        <f>IF(AF1271="","",IF(AF1271&gt;90,"Sangat baik",IF(AF1271&gt;79,"Baik",IF(AF1271&gt;=pub_gid_0_single_true_output_csv[[#This Row],[KKM]],"Cukup","Kurang"))))</f>
        <v>Cukup</v>
      </c>
      <c r="AH1271">
        <f t="shared" si="58"/>
        <v>11</v>
      </c>
      <c r="AI1271" s="30" t="str">
        <f>IF(OR(J1271&lt;&gt;"Karakter",pub_gid_0_single_true_output_csv[[#This Row],[Nilai2]]=""),"",IF(AF1271&gt;89,"Sangat baik",IF(AF1271&gt;79,"Baik",IF(AF1271&gt;69,"Cukup",IF(AF1271&gt;59,"Kurang","Sangat kurang")))))</f>
        <v/>
      </c>
      <c r="AJ1271" t="str">
        <f t="shared" si="59"/>
        <v>Wk.5</v>
      </c>
      <c r="AK1271" t="str">
        <f>IF(pub_gid_0_single_true_output_csv[[#This Row],[Nilai2]]="","",VLOOKUP(pub_gid_0_single_true_output_csv[[#This Row],[NAMA]],Table7[],3,FALSE))</f>
        <v>Average</v>
      </c>
    </row>
    <row r="1272" spans="1:37" x14ac:dyDescent="0.2">
      <c r="A1272">
        <v>1271</v>
      </c>
      <c r="B1272" t="s">
        <v>287</v>
      </c>
      <c r="C1272" t="s">
        <v>54</v>
      </c>
      <c r="D1272" t="s">
        <v>34</v>
      </c>
      <c r="E1272" t="s">
        <v>140</v>
      </c>
      <c r="F1272" s="25">
        <v>46050</v>
      </c>
      <c r="G1272" t="s">
        <v>308</v>
      </c>
      <c r="H1272" t="s">
        <v>405</v>
      </c>
      <c r="I1272" t="s">
        <v>371</v>
      </c>
      <c r="J1272" t="s">
        <v>31</v>
      </c>
      <c r="K1272" t="s">
        <v>96</v>
      </c>
      <c r="L1272" t="s">
        <v>351</v>
      </c>
      <c r="M1272" t="s">
        <v>141</v>
      </c>
      <c r="N1272" t="s">
        <v>142</v>
      </c>
      <c r="O1272" t="s">
        <v>155</v>
      </c>
      <c r="P1272" t="s">
        <v>281</v>
      </c>
      <c r="Q1272" t="s">
        <v>155</v>
      </c>
      <c r="R1272" t="s">
        <v>302</v>
      </c>
      <c r="S1272" t="s">
        <v>355</v>
      </c>
      <c r="T1272">
        <v>2</v>
      </c>
      <c r="U1272" t="s">
        <v>159</v>
      </c>
      <c r="V1272" t="s">
        <v>303</v>
      </c>
      <c r="W1272" t="s">
        <v>437</v>
      </c>
      <c r="X1272" t="s">
        <v>306</v>
      </c>
      <c r="Y1272" t="s">
        <v>307</v>
      </c>
      <c r="Z1272">
        <v>65</v>
      </c>
      <c r="AA1272">
        <v>70</v>
      </c>
      <c r="AB1272" t="s">
        <v>143</v>
      </c>
      <c r="AC1272" t="s">
        <v>53</v>
      </c>
      <c r="AD1272" t="s">
        <v>404</v>
      </c>
      <c r="AE1272" t="str">
        <f>IF(AF1272="","",VLOOKUP(AC1272,mapel!$A$2:$B$42,2,FALSE))</f>
        <v>Sejarah</v>
      </c>
      <c r="AF1272">
        <f t="shared" si="57"/>
        <v>70</v>
      </c>
      <c r="AG1272" t="str">
        <f>IF(AF1272="","",IF(AF1272&gt;90,"Sangat baik",IF(AF1272&gt;79,"Baik",IF(AF1272&gt;=pub_gid_0_single_true_output_csv[[#This Row],[KKM]],"Cukup","Kurang"))))</f>
        <v>Cukup</v>
      </c>
      <c r="AH1272">
        <f t="shared" si="58"/>
        <v>11</v>
      </c>
      <c r="AI1272" s="30" t="str">
        <f>IF(OR(J1272&lt;&gt;"Karakter",pub_gid_0_single_true_output_csv[[#This Row],[Nilai2]]=""),"",IF(AF1272&gt;89,"Sangat baik",IF(AF1272&gt;79,"Baik",IF(AF1272&gt;69,"Cukup",IF(AF1272&gt;59,"Kurang","Sangat kurang")))))</f>
        <v/>
      </c>
      <c r="AJ1272" t="str">
        <f t="shared" si="59"/>
        <v>Wk.5</v>
      </c>
      <c r="AK1272" t="str">
        <f>IF(pub_gid_0_single_true_output_csv[[#This Row],[Nilai2]]="","",VLOOKUP(pub_gid_0_single_true_output_csv[[#This Row],[NAMA]],Table7[],3,FALSE))</f>
        <v>Average</v>
      </c>
    </row>
    <row r="1273" spans="1:37" x14ac:dyDescent="0.2">
      <c r="A1273">
        <v>1272</v>
      </c>
      <c r="B1273" t="s">
        <v>287</v>
      </c>
      <c r="C1273" t="s">
        <v>54</v>
      </c>
      <c r="D1273" t="s">
        <v>34</v>
      </c>
      <c r="E1273" t="s">
        <v>140</v>
      </c>
      <c r="F1273" s="25">
        <v>46050</v>
      </c>
      <c r="G1273" t="s">
        <v>308</v>
      </c>
      <c r="H1273" t="s">
        <v>405</v>
      </c>
      <c r="I1273" t="s">
        <v>371</v>
      </c>
      <c r="J1273" t="s">
        <v>90</v>
      </c>
      <c r="K1273" t="s">
        <v>92</v>
      </c>
      <c r="L1273" t="s">
        <v>91</v>
      </c>
      <c r="M1273" t="s">
        <v>141</v>
      </c>
      <c r="N1273" t="s">
        <v>142</v>
      </c>
      <c r="O1273" t="s">
        <v>155</v>
      </c>
      <c r="P1273" t="s">
        <v>281</v>
      </c>
      <c r="Q1273" t="s">
        <v>155</v>
      </c>
      <c r="R1273" t="s">
        <v>302</v>
      </c>
      <c r="S1273" t="s">
        <v>355</v>
      </c>
      <c r="T1273">
        <v>2</v>
      </c>
      <c r="U1273" t="s">
        <v>159</v>
      </c>
      <c r="V1273" t="s">
        <v>303</v>
      </c>
      <c r="W1273" t="s">
        <v>437</v>
      </c>
      <c r="X1273" t="s">
        <v>306</v>
      </c>
      <c r="Y1273" t="s">
        <v>307</v>
      </c>
      <c r="Z1273">
        <v>65</v>
      </c>
      <c r="AA1273">
        <v>70</v>
      </c>
      <c r="AB1273" t="s">
        <v>143</v>
      </c>
      <c r="AC1273" t="s">
        <v>53</v>
      </c>
      <c r="AD1273" t="s">
        <v>404</v>
      </c>
      <c r="AE1273" t="str">
        <f>IF(AF1273="","",VLOOKUP(AC1273,mapel!$A$2:$B$42,2,FALSE))</f>
        <v>Sejarah</v>
      </c>
      <c r="AF1273">
        <f t="shared" si="57"/>
        <v>70</v>
      </c>
      <c r="AG1273" t="str">
        <f>IF(AF1273="","",IF(AF1273&gt;90,"Sangat baik",IF(AF1273&gt;79,"Baik",IF(AF1273&gt;=pub_gid_0_single_true_output_csv[[#This Row],[KKM]],"Cukup","Kurang"))))</f>
        <v>Cukup</v>
      </c>
      <c r="AH1273">
        <f t="shared" si="58"/>
        <v>11</v>
      </c>
      <c r="AI1273" s="30" t="str">
        <f>IF(OR(J1273&lt;&gt;"Karakter",pub_gid_0_single_true_output_csv[[#This Row],[Nilai2]]=""),"",IF(AF1273&gt;89,"Sangat baik",IF(AF1273&gt;79,"Baik",IF(AF1273&gt;69,"Cukup",IF(AF1273&gt;59,"Kurang","Sangat kurang")))))</f>
        <v>Cukup</v>
      </c>
      <c r="AJ1273" t="str">
        <f t="shared" si="59"/>
        <v>Wk.5</v>
      </c>
      <c r="AK1273" t="str">
        <f>IF(pub_gid_0_single_true_output_csv[[#This Row],[Nilai2]]="","",VLOOKUP(pub_gid_0_single_true_output_csv[[#This Row],[NAMA]],Table7[],3,FALSE))</f>
        <v>Average</v>
      </c>
    </row>
    <row r="1274" spans="1:37" x14ac:dyDescent="0.2">
      <c r="A1274">
        <v>1273</v>
      </c>
      <c r="B1274" t="s">
        <v>287</v>
      </c>
      <c r="C1274" t="s">
        <v>54</v>
      </c>
      <c r="D1274" t="s">
        <v>34</v>
      </c>
      <c r="E1274" t="s">
        <v>140</v>
      </c>
      <c r="F1274" s="25">
        <v>46050</v>
      </c>
      <c r="G1274" t="s">
        <v>308</v>
      </c>
      <c r="H1274" t="s">
        <v>405</v>
      </c>
      <c r="I1274" t="s">
        <v>371</v>
      </c>
      <c r="J1274" t="s">
        <v>279</v>
      </c>
      <c r="K1274" t="s">
        <v>280</v>
      </c>
      <c r="L1274" t="s">
        <v>322</v>
      </c>
      <c r="M1274" t="s">
        <v>141</v>
      </c>
      <c r="N1274" t="s">
        <v>142</v>
      </c>
      <c r="O1274" t="s">
        <v>155</v>
      </c>
      <c r="P1274" t="s">
        <v>281</v>
      </c>
      <c r="Q1274" t="s">
        <v>155</v>
      </c>
      <c r="R1274" t="s">
        <v>302</v>
      </c>
      <c r="S1274" t="s">
        <v>355</v>
      </c>
      <c r="T1274">
        <v>2</v>
      </c>
      <c r="U1274" t="s">
        <v>159</v>
      </c>
      <c r="V1274" t="s">
        <v>303</v>
      </c>
      <c r="W1274" t="s">
        <v>437</v>
      </c>
      <c r="X1274" t="s">
        <v>306</v>
      </c>
      <c r="Y1274" t="s">
        <v>307</v>
      </c>
      <c r="Z1274">
        <v>65</v>
      </c>
      <c r="AA1274">
        <v>70</v>
      </c>
      <c r="AB1274" t="s">
        <v>143</v>
      </c>
      <c r="AC1274" t="s">
        <v>53</v>
      </c>
      <c r="AD1274" t="s">
        <v>404</v>
      </c>
      <c r="AE1274" t="str">
        <f>IF(AF1274="","",VLOOKUP(AC1274,mapel!$A$2:$B$42,2,FALSE))</f>
        <v>Sejarah</v>
      </c>
      <c r="AF1274">
        <f t="shared" si="57"/>
        <v>70</v>
      </c>
      <c r="AG1274" t="str">
        <f>IF(AF1274="","",IF(AF1274&gt;90,"Sangat baik",IF(AF1274&gt;79,"Baik",IF(AF1274&gt;=pub_gid_0_single_true_output_csv[[#This Row],[KKM]],"Cukup","Kurang"))))</f>
        <v>Cukup</v>
      </c>
      <c r="AH1274">
        <f t="shared" si="58"/>
        <v>11</v>
      </c>
      <c r="AI1274" s="30" t="str">
        <f>IF(OR(J1274&lt;&gt;"Karakter",pub_gid_0_single_true_output_csv[[#This Row],[Nilai2]]=""),"",IF(AF1274&gt;89,"Sangat baik",IF(AF1274&gt;79,"Baik",IF(AF1274&gt;69,"Cukup",IF(AF1274&gt;59,"Kurang","Sangat kurang")))))</f>
        <v/>
      </c>
      <c r="AJ1274" t="str">
        <f t="shared" si="59"/>
        <v>Wk.5</v>
      </c>
      <c r="AK1274" t="str">
        <f>IF(pub_gid_0_single_true_output_csv[[#This Row],[Nilai2]]="","",VLOOKUP(pub_gid_0_single_true_output_csv[[#This Row],[NAMA]],Table7[],3,FALSE))</f>
        <v>Average</v>
      </c>
    </row>
    <row r="1275" spans="1:37" x14ac:dyDescent="0.2">
      <c r="A1275">
        <v>1274</v>
      </c>
      <c r="B1275" t="s">
        <v>287</v>
      </c>
      <c r="C1275" t="s">
        <v>54</v>
      </c>
      <c r="D1275" t="s">
        <v>34</v>
      </c>
      <c r="E1275" t="s">
        <v>140</v>
      </c>
      <c r="F1275" s="25">
        <v>46057</v>
      </c>
      <c r="G1275" t="s">
        <v>348</v>
      </c>
      <c r="H1275" t="s">
        <v>412</v>
      </c>
      <c r="I1275" t="s">
        <v>371</v>
      </c>
      <c r="J1275" t="s">
        <v>36</v>
      </c>
      <c r="K1275" t="s">
        <v>37</v>
      </c>
      <c r="L1275" t="s">
        <v>351</v>
      </c>
      <c r="M1275" t="s">
        <v>141</v>
      </c>
      <c r="N1275" t="s">
        <v>142</v>
      </c>
      <c r="O1275" t="s">
        <v>155</v>
      </c>
      <c r="P1275" t="s">
        <v>281</v>
      </c>
      <c r="Q1275" t="s">
        <v>155</v>
      </c>
      <c r="R1275" t="s">
        <v>302</v>
      </c>
      <c r="S1275" t="s">
        <v>355</v>
      </c>
      <c r="T1275">
        <v>2</v>
      </c>
      <c r="U1275" t="s">
        <v>159</v>
      </c>
      <c r="V1275" t="s">
        <v>303</v>
      </c>
      <c r="W1275" t="s">
        <v>437</v>
      </c>
      <c r="X1275" t="s">
        <v>306</v>
      </c>
      <c r="Y1275" t="s">
        <v>307</v>
      </c>
      <c r="Z1275">
        <v>65</v>
      </c>
      <c r="AA1275">
        <v>70</v>
      </c>
      <c r="AB1275" t="s">
        <v>143</v>
      </c>
      <c r="AC1275" t="s">
        <v>53</v>
      </c>
      <c r="AD1275" t="s">
        <v>404</v>
      </c>
      <c r="AE1275" t="str">
        <f>IF(AF1275="","",VLOOKUP(AC1275,mapel!$A$2:$B$42,2,FALSE))</f>
        <v>Sejarah</v>
      </c>
      <c r="AF1275">
        <f t="shared" si="57"/>
        <v>70</v>
      </c>
      <c r="AG1275" t="str">
        <f>IF(AF1275="","",IF(AF1275&gt;90,"Sangat baik",IF(AF1275&gt;79,"Baik",IF(AF1275&gt;=pub_gid_0_single_true_output_csv[[#This Row],[KKM]],"Cukup","Kurang"))))</f>
        <v>Cukup</v>
      </c>
      <c r="AH1275">
        <f t="shared" si="58"/>
        <v>11</v>
      </c>
      <c r="AI1275" s="30" t="str">
        <f>IF(OR(J1275&lt;&gt;"Karakter",pub_gid_0_single_true_output_csv[[#This Row],[Nilai2]]=""),"",IF(AF1275&gt;89,"Sangat baik",IF(AF1275&gt;79,"Baik",IF(AF1275&gt;69,"Cukup",IF(AF1275&gt;59,"Kurang","Sangat kurang")))))</f>
        <v/>
      </c>
      <c r="AJ1275" t="str">
        <f t="shared" si="59"/>
        <v>Wk.6</v>
      </c>
      <c r="AK1275" t="str">
        <f>IF(pub_gid_0_single_true_output_csv[[#This Row],[Nilai2]]="","",VLOOKUP(pub_gid_0_single_true_output_csv[[#This Row],[NAMA]],Table7[],3,FALSE))</f>
        <v>Average</v>
      </c>
    </row>
    <row r="1276" spans="1:37" x14ac:dyDescent="0.2">
      <c r="A1276">
        <v>1275</v>
      </c>
      <c r="B1276" t="s">
        <v>287</v>
      </c>
      <c r="C1276" t="s">
        <v>54</v>
      </c>
      <c r="D1276" t="s">
        <v>34</v>
      </c>
      <c r="E1276" t="s">
        <v>140</v>
      </c>
      <c r="F1276" s="25">
        <v>46057</v>
      </c>
      <c r="G1276" t="s">
        <v>348</v>
      </c>
      <c r="H1276" t="s">
        <v>412</v>
      </c>
      <c r="I1276" t="s">
        <v>371</v>
      </c>
      <c r="J1276" t="s">
        <v>31</v>
      </c>
      <c r="K1276" t="s">
        <v>96</v>
      </c>
      <c r="L1276" t="s">
        <v>351</v>
      </c>
      <c r="M1276" t="s">
        <v>141</v>
      </c>
      <c r="N1276" t="s">
        <v>142</v>
      </c>
      <c r="O1276" t="s">
        <v>155</v>
      </c>
      <c r="P1276" t="s">
        <v>281</v>
      </c>
      <c r="Q1276" t="s">
        <v>155</v>
      </c>
      <c r="R1276" t="s">
        <v>302</v>
      </c>
      <c r="S1276" t="s">
        <v>355</v>
      </c>
      <c r="T1276">
        <v>2</v>
      </c>
      <c r="U1276" t="s">
        <v>159</v>
      </c>
      <c r="V1276" t="s">
        <v>303</v>
      </c>
      <c r="W1276" t="s">
        <v>437</v>
      </c>
      <c r="X1276" t="s">
        <v>306</v>
      </c>
      <c r="Y1276" t="s">
        <v>307</v>
      </c>
      <c r="Z1276">
        <v>65</v>
      </c>
      <c r="AA1276">
        <v>70</v>
      </c>
      <c r="AB1276" t="s">
        <v>143</v>
      </c>
      <c r="AC1276" t="s">
        <v>53</v>
      </c>
      <c r="AD1276" t="s">
        <v>404</v>
      </c>
      <c r="AE1276" t="str">
        <f>IF(AF1276="","",VLOOKUP(AC1276,mapel!$A$2:$B$42,2,FALSE))</f>
        <v>Sejarah</v>
      </c>
      <c r="AF1276">
        <f t="shared" si="57"/>
        <v>70</v>
      </c>
      <c r="AG1276" t="str">
        <f>IF(AF1276="","",IF(AF1276&gt;90,"Sangat baik",IF(AF1276&gt;79,"Baik",IF(AF1276&gt;=pub_gid_0_single_true_output_csv[[#This Row],[KKM]],"Cukup","Kurang"))))</f>
        <v>Cukup</v>
      </c>
      <c r="AH1276">
        <f t="shared" si="58"/>
        <v>11</v>
      </c>
      <c r="AI1276" s="30" t="str">
        <f>IF(OR(J1276&lt;&gt;"Karakter",pub_gid_0_single_true_output_csv[[#This Row],[Nilai2]]=""),"",IF(AF1276&gt;89,"Sangat baik",IF(AF1276&gt;79,"Baik",IF(AF1276&gt;69,"Cukup",IF(AF1276&gt;59,"Kurang","Sangat kurang")))))</f>
        <v/>
      </c>
      <c r="AJ1276" t="str">
        <f t="shared" si="59"/>
        <v>Wk.6</v>
      </c>
      <c r="AK1276" t="str">
        <f>IF(pub_gid_0_single_true_output_csv[[#This Row],[Nilai2]]="","",VLOOKUP(pub_gid_0_single_true_output_csv[[#This Row],[NAMA]],Table7[],3,FALSE))</f>
        <v>Average</v>
      </c>
    </row>
    <row r="1277" spans="1:37" x14ac:dyDescent="0.2">
      <c r="A1277">
        <v>1276</v>
      </c>
      <c r="B1277" t="s">
        <v>287</v>
      </c>
      <c r="C1277" t="s">
        <v>54</v>
      </c>
      <c r="D1277" t="s">
        <v>34</v>
      </c>
      <c r="E1277" t="s">
        <v>140</v>
      </c>
      <c r="F1277" s="25">
        <v>46057</v>
      </c>
      <c r="G1277" t="s">
        <v>348</v>
      </c>
      <c r="H1277" t="s">
        <v>412</v>
      </c>
      <c r="I1277" t="s">
        <v>371</v>
      </c>
      <c r="J1277" t="s">
        <v>90</v>
      </c>
      <c r="K1277" t="s">
        <v>92</v>
      </c>
      <c r="L1277" t="s">
        <v>93</v>
      </c>
      <c r="M1277" t="s">
        <v>141</v>
      </c>
      <c r="N1277" t="s">
        <v>142</v>
      </c>
      <c r="O1277" t="s">
        <v>155</v>
      </c>
      <c r="P1277" t="s">
        <v>281</v>
      </c>
      <c r="Q1277" t="s">
        <v>155</v>
      </c>
      <c r="R1277" t="s">
        <v>302</v>
      </c>
      <c r="S1277" t="s">
        <v>355</v>
      </c>
      <c r="T1277">
        <v>2</v>
      </c>
      <c r="U1277" t="s">
        <v>159</v>
      </c>
      <c r="V1277" t="s">
        <v>303</v>
      </c>
      <c r="W1277" t="s">
        <v>437</v>
      </c>
      <c r="X1277" t="s">
        <v>306</v>
      </c>
      <c r="Y1277" t="s">
        <v>307</v>
      </c>
      <c r="Z1277">
        <v>65</v>
      </c>
      <c r="AA1277">
        <v>70</v>
      </c>
      <c r="AB1277" t="s">
        <v>143</v>
      </c>
      <c r="AC1277" t="s">
        <v>53</v>
      </c>
      <c r="AD1277" t="s">
        <v>404</v>
      </c>
      <c r="AE1277" t="str">
        <f>IF(AF1277="","",VLOOKUP(AC1277,mapel!$A$2:$B$42,2,FALSE))</f>
        <v>Sejarah</v>
      </c>
      <c r="AF1277">
        <f t="shared" si="57"/>
        <v>70</v>
      </c>
      <c r="AG1277" t="str">
        <f>IF(AF1277="","",IF(AF1277&gt;90,"Sangat baik",IF(AF1277&gt;79,"Baik",IF(AF1277&gt;=pub_gid_0_single_true_output_csv[[#This Row],[KKM]],"Cukup","Kurang"))))</f>
        <v>Cukup</v>
      </c>
      <c r="AH1277">
        <f t="shared" si="58"/>
        <v>11</v>
      </c>
      <c r="AI1277" s="30" t="str">
        <f>IF(OR(J1277&lt;&gt;"Karakter",pub_gid_0_single_true_output_csv[[#This Row],[Nilai2]]=""),"",IF(AF1277&gt;89,"Sangat baik",IF(AF1277&gt;79,"Baik",IF(AF1277&gt;69,"Cukup",IF(AF1277&gt;59,"Kurang","Sangat kurang")))))</f>
        <v>Cukup</v>
      </c>
      <c r="AJ1277" t="str">
        <f t="shared" si="59"/>
        <v>Wk.6</v>
      </c>
      <c r="AK1277" t="str">
        <f>IF(pub_gid_0_single_true_output_csv[[#This Row],[Nilai2]]="","",VLOOKUP(pub_gid_0_single_true_output_csv[[#This Row],[NAMA]],Table7[],3,FALSE))</f>
        <v>Average</v>
      </c>
    </row>
    <row r="1278" spans="1:37" x14ac:dyDescent="0.2">
      <c r="A1278">
        <v>1277</v>
      </c>
      <c r="B1278" t="s">
        <v>287</v>
      </c>
      <c r="C1278" t="s">
        <v>54</v>
      </c>
      <c r="D1278" t="s">
        <v>34</v>
      </c>
      <c r="E1278" t="s">
        <v>140</v>
      </c>
      <c r="F1278" s="25">
        <v>46057</v>
      </c>
      <c r="G1278" t="s">
        <v>348</v>
      </c>
      <c r="H1278" t="s">
        <v>412</v>
      </c>
      <c r="I1278" t="s">
        <v>371</v>
      </c>
      <c r="J1278" t="s">
        <v>279</v>
      </c>
      <c r="K1278" t="s">
        <v>280</v>
      </c>
      <c r="L1278" t="s">
        <v>322</v>
      </c>
      <c r="M1278" t="s">
        <v>141</v>
      </c>
      <c r="N1278" t="s">
        <v>142</v>
      </c>
      <c r="O1278" t="s">
        <v>155</v>
      </c>
      <c r="P1278" t="s">
        <v>281</v>
      </c>
      <c r="Q1278" t="s">
        <v>155</v>
      </c>
      <c r="R1278" t="s">
        <v>302</v>
      </c>
      <c r="S1278" t="s">
        <v>355</v>
      </c>
      <c r="T1278">
        <v>2</v>
      </c>
      <c r="U1278" t="s">
        <v>159</v>
      </c>
      <c r="V1278" t="s">
        <v>303</v>
      </c>
      <c r="W1278" t="s">
        <v>437</v>
      </c>
      <c r="X1278" t="s">
        <v>306</v>
      </c>
      <c r="Y1278" t="s">
        <v>307</v>
      </c>
      <c r="Z1278">
        <v>65</v>
      </c>
      <c r="AA1278">
        <v>65</v>
      </c>
      <c r="AB1278" t="s">
        <v>143</v>
      </c>
      <c r="AC1278" t="s">
        <v>53</v>
      </c>
      <c r="AD1278" t="s">
        <v>404</v>
      </c>
      <c r="AE1278" t="str">
        <f>IF(AF1278="","",VLOOKUP(AC1278,mapel!$A$2:$B$42,2,FALSE))</f>
        <v>Sejarah</v>
      </c>
      <c r="AF1278">
        <f t="shared" si="57"/>
        <v>65</v>
      </c>
      <c r="AG1278" t="str">
        <f>IF(AF1278="","",IF(AF1278&gt;90,"Sangat baik",IF(AF1278&gt;79,"Baik",IF(AF1278&gt;=pub_gid_0_single_true_output_csv[[#This Row],[KKM]],"Cukup","Kurang"))))</f>
        <v>Cukup</v>
      </c>
      <c r="AH1278">
        <f t="shared" si="58"/>
        <v>11</v>
      </c>
      <c r="AI1278" s="30" t="str">
        <f>IF(OR(J1278&lt;&gt;"Karakter",pub_gid_0_single_true_output_csv[[#This Row],[Nilai2]]=""),"",IF(AF1278&gt;89,"Sangat baik",IF(AF1278&gt;79,"Baik",IF(AF1278&gt;69,"Cukup",IF(AF1278&gt;59,"Kurang","Sangat kurang")))))</f>
        <v/>
      </c>
      <c r="AJ1278" t="str">
        <f t="shared" si="59"/>
        <v>Wk.6</v>
      </c>
      <c r="AK1278" t="str">
        <f>IF(pub_gid_0_single_true_output_csv[[#This Row],[Nilai2]]="","",VLOOKUP(pub_gid_0_single_true_output_csv[[#This Row],[NAMA]],Table7[],3,FALSE))</f>
        <v>Average</v>
      </c>
    </row>
    <row r="1279" spans="1:37" x14ac:dyDescent="0.2">
      <c r="A1279">
        <v>1278</v>
      </c>
      <c r="B1279" t="s">
        <v>287</v>
      </c>
      <c r="C1279" t="s">
        <v>54</v>
      </c>
      <c r="D1279" t="s">
        <v>34</v>
      </c>
      <c r="E1279" t="s">
        <v>140</v>
      </c>
      <c r="F1279" s="25">
        <v>46064</v>
      </c>
      <c r="G1279" t="s">
        <v>352</v>
      </c>
      <c r="H1279" t="s">
        <v>412</v>
      </c>
      <c r="I1279" t="s">
        <v>371</v>
      </c>
      <c r="J1279" t="s">
        <v>36</v>
      </c>
      <c r="K1279" t="s">
        <v>37</v>
      </c>
      <c r="L1279" t="s">
        <v>351</v>
      </c>
      <c r="M1279" t="s">
        <v>141</v>
      </c>
      <c r="N1279" t="s">
        <v>142</v>
      </c>
      <c r="O1279" t="s">
        <v>155</v>
      </c>
      <c r="P1279" t="s">
        <v>281</v>
      </c>
      <c r="Q1279" t="s">
        <v>155</v>
      </c>
      <c r="R1279" t="s">
        <v>302</v>
      </c>
      <c r="S1279" t="s">
        <v>380</v>
      </c>
      <c r="T1279">
        <v>3</v>
      </c>
      <c r="U1279" t="s">
        <v>159</v>
      </c>
      <c r="V1279" t="s">
        <v>381</v>
      </c>
      <c r="W1279" t="s">
        <v>438</v>
      </c>
      <c r="X1279" t="s">
        <v>306</v>
      </c>
      <c r="Y1279" t="s">
        <v>307</v>
      </c>
      <c r="Z1279">
        <v>65</v>
      </c>
      <c r="AA1279">
        <v>70</v>
      </c>
      <c r="AB1279" t="s">
        <v>143</v>
      </c>
      <c r="AC1279" t="s">
        <v>53</v>
      </c>
      <c r="AD1279" t="s">
        <v>404</v>
      </c>
      <c r="AE1279" t="str">
        <f>IF(AF1279="","",VLOOKUP(AC1279,mapel!$A$2:$B$42,2,FALSE))</f>
        <v>Sejarah</v>
      </c>
      <c r="AF1279">
        <f t="shared" si="57"/>
        <v>70</v>
      </c>
      <c r="AG1279" t="str">
        <f>IF(AF1279="","",IF(AF1279&gt;90,"Sangat baik",IF(AF1279&gt;79,"Baik",IF(AF1279&gt;=pub_gid_0_single_true_output_csv[[#This Row],[KKM]],"Cukup","Kurang"))))</f>
        <v>Cukup</v>
      </c>
      <c r="AH1279">
        <f t="shared" si="58"/>
        <v>11</v>
      </c>
      <c r="AI1279" s="30" t="str">
        <f>IF(OR(J1279&lt;&gt;"Karakter",pub_gid_0_single_true_output_csv[[#This Row],[Nilai2]]=""),"",IF(AF1279&gt;89,"Sangat baik",IF(AF1279&gt;79,"Baik",IF(AF1279&gt;69,"Cukup",IF(AF1279&gt;59,"Kurang","Sangat kurang")))))</f>
        <v/>
      </c>
      <c r="AJ1279" t="str">
        <f t="shared" si="59"/>
        <v>Wk.7</v>
      </c>
      <c r="AK1279" t="str">
        <f>IF(pub_gid_0_single_true_output_csv[[#This Row],[Nilai2]]="","",VLOOKUP(pub_gid_0_single_true_output_csv[[#This Row],[NAMA]],Table7[],3,FALSE))</f>
        <v>Average</v>
      </c>
    </row>
    <row r="1280" spans="1:37" x14ac:dyDescent="0.2">
      <c r="A1280">
        <v>1279</v>
      </c>
      <c r="B1280" t="s">
        <v>287</v>
      </c>
      <c r="C1280" t="s">
        <v>54</v>
      </c>
      <c r="D1280" t="s">
        <v>34</v>
      </c>
      <c r="E1280" t="s">
        <v>140</v>
      </c>
      <c r="F1280" s="25">
        <v>46064</v>
      </c>
      <c r="G1280" t="s">
        <v>352</v>
      </c>
      <c r="H1280" t="s">
        <v>412</v>
      </c>
      <c r="I1280" t="s">
        <v>371</v>
      </c>
      <c r="J1280" t="s">
        <v>31</v>
      </c>
      <c r="K1280" t="s">
        <v>96</v>
      </c>
      <c r="L1280" t="s">
        <v>351</v>
      </c>
      <c r="M1280" t="s">
        <v>141</v>
      </c>
      <c r="N1280" t="s">
        <v>142</v>
      </c>
      <c r="O1280" t="s">
        <v>155</v>
      </c>
      <c r="P1280" t="s">
        <v>281</v>
      </c>
      <c r="Q1280" t="s">
        <v>155</v>
      </c>
      <c r="R1280" t="s">
        <v>302</v>
      </c>
      <c r="S1280" t="s">
        <v>380</v>
      </c>
      <c r="T1280">
        <v>3</v>
      </c>
      <c r="U1280" t="s">
        <v>159</v>
      </c>
      <c r="V1280" t="s">
        <v>381</v>
      </c>
      <c r="W1280" t="s">
        <v>438</v>
      </c>
      <c r="X1280" t="s">
        <v>306</v>
      </c>
      <c r="Y1280" t="s">
        <v>307</v>
      </c>
      <c r="Z1280">
        <v>65</v>
      </c>
      <c r="AA1280">
        <v>65</v>
      </c>
      <c r="AB1280" t="s">
        <v>143</v>
      </c>
      <c r="AC1280" t="s">
        <v>53</v>
      </c>
      <c r="AD1280" t="s">
        <v>404</v>
      </c>
      <c r="AE1280" t="str">
        <f>IF(AF1280="","",VLOOKUP(AC1280,mapel!$A$2:$B$42,2,FALSE))</f>
        <v>Sejarah</v>
      </c>
      <c r="AF1280">
        <f t="shared" si="57"/>
        <v>65</v>
      </c>
      <c r="AG1280" t="str">
        <f>IF(AF1280="","",IF(AF1280&gt;90,"Sangat baik",IF(AF1280&gt;79,"Baik",IF(AF1280&gt;=pub_gid_0_single_true_output_csv[[#This Row],[KKM]],"Cukup","Kurang"))))</f>
        <v>Cukup</v>
      </c>
      <c r="AH1280">
        <f t="shared" si="58"/>
        <v>11</v>
      </c>
      <c r="AI1280" s="30" t="str">
        <f>IF(OR(J1280&lt;&gt;"Karakter",pub_gid_0_single_true_output_csv[[#This Row],[Nilai2]]=""),"",IF(AF1280&gt;89,"Sangat baik",IF(AF1280&gt;79,"Baik",IF(AF1280&gt;69,"Cukup",IF(AF1280&gt;59,"Kurang","Sangat kurang")))))</f>
        <v/>
      </c>
      <c r="AJ1280" t="str">
        <f t="shared" si="59"/>
        <v>Wk.7</v>
      </c>
      <c r="AK1280" t="str">
        <f>IF(pub_gid_0_single_true_output_csv[[#This Row],[Nilai2]]="","",VLOOKUP(pub_gid_0_single_true_output_csv[[#This Row],[NAMA]],Table7[],3,FALSE))</f>
        <v>Average</v>
      </c>
    </row>
    <row r="1281" spans="1:37" x14ac:dyDescent="0.2">
      <c r="A1281">
        <v>1280</v>
      </c>
      <c r="B1281" t="s">
        <v>287</v>
      </c>
      <c r="C1281" t="s">
        <v>54</v>
      </c>
      <c r="D1281" t="s">
        <v>34</v>
      </c>
      <c r="E1281" t="s">
        <v>140</v>
      </c>
      <c r="F1281" s="25">
        <v>46064</v>
      </c>
      <c r="G1281" t="s">
        <v>352</v>
      </c>
      <c r="H1281" t="s">
        <v>412</v>
      </c>
      <c r="I1281" t="s">
        <v>371</v>
      </c>
      <c r="J1281" t="s">
        <v>90</v>
      </c>
      <c r="K1281" t="s">
        <v>92</v>
      </c>
      <c r="L1281" t="s">
        <v>93</v>
      </c>
      <c r="M1281" t="s">
        <v>141</v>
      </c>
      <c r="N1281" t="s">
        <v>142</v>
      </c>
      <c r="O1281" t="s">
        <v>155</v>
      </c>
      <c r="P1281" t="s">
        <v>281</v>
      </c>
      <c r="Q1281" t="s">
        <v>155</v>
      </c>
      <c r="R1281" t="s">
        <v>302</v>
      </c>
      <c r="S1281" t="s">
        <v>380</v>
      </c>
      <c r="T1281">
        <v>3</v>
      </c>
      <c r="U1281" t="s">
        <v>159</v>
      </c>
      <c r="V1281" t="s">
        <v>381</v>
      </c>
      <c r="W1281" t="s">
        <v>438</v>
      </c>
      <c r="X1281" t="s">
        <v>306</v>
      </c>
      <c r="Y1281" t="s">
        <v>307</v>
      </c>
      <c r="Z1281">
        <v>65</v>
      </c>
      <c r="AA1281">
        <v>70</v>
      </c>
      <c r="AB1281" t="s">
        <v>143</v>
      </c>
      <c r="AC1281" t="s">
        <v>53</v>
      </c>
      <c r="AD1281" t="s">
        <v>404</v>
      </c>
      <c r="AE1281" t="str">
        <f>IF(AF1281="","",VLOOKUP(AC1281,mapel!$A$2:$B$42,2,FALSE))</f>
        <v>Sejarah</v>
      </c>
      <c r="AF1281">
        <f t="shared" si="57"/>
        <v>70</v>
      </c>
      <c r="AG1281" t="str">
        <f>IF(AF1281="","",IF(AF1281&gt;90,"Sangat baik",IF(AF1281&gt;79,"Baik",IF(AF1281&gt;=pub_gid_0_single_true_output_csv[[#This Row],[KKM]],"Cukup","Kurang"))))</f>
        <v>Cukup</v>
      </c>
      <c r="AH1281">
        <f t="shared" si="58"/>
        <v>11</v>
      </c>
      <c r="AI1281" s="30" t="str">
        <f>IF(OR(J1281&lt;&gt;"Karakter",pub_gid_0_single_true_output_csv[[#This Row],[Nilai2]]=""),"",IF(AF1281&gt;89,"Sangat baik",IF(AF1281&gt;79,"Baik",IF(AF1281&gt;69,"Cukup",IF(AF1281&gt;59,"Kurang","Sangat kurang")))))</f>
        <v>Cukup</v>
      </c>
      <c r="AJ1281" t="str">
        <f t="shared" si="59"/>
        <v>Wk.7</v>
      </c>
      <c r="AK1281" t="str">
        <f>IF(pub_gid_0_single_true_output_csv[[#This Row],[Nilai2]]="","",VLOOKUP(pub_gid_0_single_true_output_csv[[#This Row],[NAMA]],Table7[],3,FALSE))</f>
        <v>Average</v>
      </c>
    </row>
    <row r="1282" spans="1:37" x14ac:dyDescent="0.2">
      <c r="A1282">
        <v>1281</v>
      </c>
      <c r="B1282" t="s">
        <v>287</v>
      </c>
      <c r="C1282" t="s">
        <v>54</v>
      </c>
      <c r="D1282" t="s">
        <v>34</v>
      </c>
      <c r="E1282" t="s">
        <v>140</v>
      </c>
      <c r="F1282" s="25">
        <v>46064</v>
      </c>
      <c r="G1282" t="s">
        <v>352</v>
      </c>
      <c r="H1282" t="s">
        <v>412</v>
      </c>
      <c r="I1282" t="s">
        <v>371</v>
      </c>
      <c r="J1282" t="s">
        <v>279</v>
      </c>
      <c r="K1282" t="s">
        <v>280</v>
      </c>
      <c r="L1282" t="s">
        <v>322</v>
      </c>
      <c r="M1282" t="s">
        <v>141</v>
      </c>
      <c r="N1282" t="s">
        <v>142</v>
      </c>
      <c r="O1282" t="s">
        <v>155</v>
      </c>
      <c r="P1282" t="s">
        <v>281</v>
      </c>
      <c r="Q1282" t="s">
        <v>155</v>
      </c>
      <c r="R1282" t="s">
        <v>302</v>
      </c>
      <c r="S1282" t="s">
        <v>380</v>
      </c>
      <c r="T1282">
        <v>3</v>
      </c>
      <c r="U1282" t="s">
        <v>159</v>
      </c>
      <c r="V1282" t="s">
        <v>381</v>
      </c>
      <c r="W1282" t="s">
        <v>438</v>
      </c>
      <c r="X1282" t="s">
        <v>306</v>
      </c>
      <c r="Y1282" t="s">
        <v>307</v>
      </c>
      <c r="Z1282">
        <v>65</v>
      </c>
      <c r="AA1282">
        <v>70</v>
      </c>
      <c r="AB1282" t="s">
        <v>143</v>
      </c>
      <c r="AC1282" t="s">
        <v>53</v>
      </c>
      <c r="AD1282" t="s">
        <v>404</v>
      </c>
      <c r="AE1282" t="str">
        <f>IF(AF1282="","",VLOOKUP(AC1282,mapel!$A$2:$B$42,2,FALSE))</f>
        <v>Sejarah</v>
      </c>
      <c r="AF1282">
        <f t="shared" ref="AF1282:AF1345" si="60">IF(AA1282=0, "",IF(AA1282 = 0.1, 0,AA1282))</f>
        <v>70</v>
      </c>
      <c r="AG1282" t="str">
        <f>IF(AF1282="","",IF(AF1282&gt;90,"Sangat baik",IF(AF1282&gt;79,"Baik",IF(AF1282&gt;=pub_gid_0_single_true_output_csv[[#This Row],[KKM]],"Cukup","Kurang"))))</f>
        <v>Cukup</v>
      </c>
      <c r="AH1282">
        <f t="shared" ref="AH1282:AH1345" si="61">IF(AG1282="","",VALUE(RIGHT(X1282,2)))</f>
        <v>11</v>
      </c>
      <c r="AI1282" s="30" t="str">
        <f>IF(OR(J1282&lt;&gt;"Karakter",pub_gid_0_single_true_output_csv[[#This Row],[Nilai2]]=""),"",IF(AF1282&gt;89,"Sangat baik",IF(AF1282&gt;79,"Baik",IF(AF1282&gt;69,"Cukup",IF(AF1282&gt;59,"Kurang","Sangat kurang")))))</f>
        <v/>
      </c>
      <c r="AJ1282" t="str">
        <f t="shared" ref="AJ1282:AJ1345" si="62">IF(AF1282="","",CONCATENATE("Wk.",WEEKNUM(F1282,2)))</f>
        <v>Wk.7</v>
      </c>
      <c r="AK1282" t="str">
        <f>IF(pub_gid_0_single_true_output_csv[[#This Row],[Nilai2]]="","",VLOOKUP(pub_gid_0_single_true_output_csv[[#This Row],[NAMA]],Table7[],3,FALSE))</f>
        <v>Average</v>
      </c>
    </row>
    <row r="1283" spans="1:37" x14ac:dyDescent="0.2">
      <c r="A1283">
        <v>1282</v>
      </c>
      <c r="B1283" t="s">
        <v>287</v>
      </c>
      <c r="C1283" t="s">
        <v>54</v>
      </c>
      <c r="D1283" t="s">
        <v>34</v>
      </c>
      <c r="E1283" t="s">
        <v>140</v>
      </c>
      <c r="F1283" s="25">
        <v>46071</v>
      </c>
      <c r="G1283" t="s">
        <v>323</v>
      </c>
      <c r="H1283" t="s">
        <v>412</v>
      </c>
      <c r="I1283" t="s">
        <v>371</v>
      </c>
      <c r="J1283" t="s">
        <v>36</v>
      </c>
      <c r="K1283" t="s">
        <v>362</v>
      </c>
      <c r="L1283" t="s">
        <v>363</v>
      </c>
      <c r="M1283" t="s">
        <v>141</v>
      </c>
      <c r="N1283" t="s">
        <v>142</v>
      </c>
      <c r="O1283" t="s">
        <v>155</v>
      </c>
      <c r="P1283" t="s">
        <v>281</v>
      </c>
      <c r="Q1283" t="s">
        <v>155</v>
      </c>
      <c r="R1283" t="s">
        <v>302</v>
      </c>
      <c r="S1283" t="s">
        <v>309</v>
      </c>
      <c r="T1283">
        <v>1</v>
      </c>
      <c r="U1283" t="s">
        <v>435</v>
      </c>
      <c r="V1283" t="s">
        <v>285</v>
      </c>
      <c r="W1283" t="s">
        <v>436</v>
      </c>
      <c r="X1283" t="s">
        <v>306</v>
      </c>
      <c r="Y1283" t="s">
        <v>307</v>
      </c>
      <c r="Z1283">
        <v>65</v>
      </c>
      <c r="AA1283">
        <v>60</v>
      </c>
      <c r="AB1283" t="s">
        <v>151</v>
      </c>
      <c r="AC1283" t="s">
        <v>53</v>
      </c>
      <c r="AD1283" t="s">
        <v>404</v>
      </c>
      <c r="AE1283" t="str">
        <f>IF(AF1283="","",VLOOKUP(AC1283,mapel!$A$2:$B$42,2,FALSE))</f>
        <v>Sejarah</v>
      </c>
      <c r="AF1283">
        <f t="shared" si="60"/>
        <v>60</v>
      </c>
      <c r="AG1283" t="str">
        <f>IF(AF1283="","",IF(AF1283&gt;90,"Sangat baik",IF(AF1283&gt;79,"Baik",IF(AF1283&gt;=pub_gid_0_single_true_output_csv[[#This Row],[KKM]],"Cukup","Kurang"))))</f>
        <v>Kurang</v>
      </c>
      <c r="AH1283">
        <f t="shared" si="61"/>
        <v>11</v>
      </c>
      <c r="AI1283" s="30" t="str">
        <f>IF(OR(J1283&lt;&gt;"Karakter",pub_gid_0_single_true_output_csv[[#This Row],[Nilai2]]=""),"",IF(AF1283&gt;89,"Sangat baik",IF(AF1283&gt;79,"Baik",IF(AF1283&gt;69,"Cukup",IF(AF1283&gt;59,"Kurang","Sangat kurang")))))</f>
        <v/>
      </c>
      <c r="AJ1283" t="str">
        <f t="shared" si="62"/>
        <v>Wk.8</v>
      </c>
      <c r="AK1283" t="str">
        <f>IF(pub_gid_0_single_true_output_csv[[#This Row],[Nilai2]]="","",VLOOKUP(pub_gid_0_single_true_output_csv[[#This Row],[NAMA]],Table7[],3,FALSE))</f>
        <v>Average</v>
      </c>
    </row>
    <row r="1284" spans="1:37" x14ac:dyDescent="0.2">
      <c r="A1284">
        <v>1283</v>
      </c>
      <c r="B1284" t="s">
        <v>287</v>
      </c>
      <c r="C1284" t="s">
        <v>54</v>
      </c>
      <c r="D1284" t="s">
        <v>34</v>
      </c>
      <c r="E1284" t="s">
        <v>140</v>
      </c>
      <c r="F1284" s="25">
        <v>46071</v>
      </c>
      <c r="G1284" t="s">
        <v>323</v>
      </c>
      <c r="H1284" t="s">
        <v>412</v>
      </c>
      <c r="I1284" t="s">
        <v>371</v>
      </c>
      <c r="J1284" t="s">
        <v>90</v>
      </c>
      <c r="K1284" t="s">
        <v>92</v>
      </c>
      <c r="L1284" t="s">
        <v>93</v>
      </c>
      <c r="M1284" t="s">
        <v>141</v>
      </c>
      <c r="N1284" t="s">
        <v>142</v>
      </c>
      <c r="O1284" t="s">
        <v>155</v>
      </c>
      <c r="P1284" t="s">
        <v>281</v>
      </c>
      <c r="Q1284" t="s">
        <v>155</v>
      </c>
      <c r="R1284" t="s">
        <v>302</v>
      </c>
      <c r="S1284" t="s">
        <v>309</v>
      </c>
      <c r="T1284">
        <v>1</v>
      </c>
      <c r="U1284" t="s">
        <v>435</v>
      </c>
      <c r="V1284" t="s">
        <v>285</v>
      </c>
      <c r="W1284" t="s">
        <v>436</v>
      </c>
      <c r="X1284" t="s">
        <v>306</v>
      </c>
      <c r="Y1284" t="s">
        <v>307</v>
      </c>
      <c r="Z1284">
        <v>65</v>
      </c>
      <c r="AA1284">
        <v>70</v>
      </c>
      <c r="AB1284" t="s">
        <v>143</v>
      </c>
      <c r="AC1284" t="s">
        <v>53</v>
      </c>
      <c r="AD1284" t="s">
        <v>404</v>
      </c>
      <c r="AE1284" t="str">
        <f>IF(AF1284="","",VLOOKUP(AC1284,mapel!$A$2:$B$42,2,FALSE))</f>
        <v>Sejarah</v>
      </c>
      <c r="AF1284">
        <f t="shared" si="60"/>
        <v>70</v>
      </c>
      <c r="AG1284" t="str">
        <f>IF(AF1284="","",IF(AF1284&gt;90,"Sangat baik",IF(AF1284&gt;79,"Baik",IF(AF1284&gt;=pub_gid_0_single_true_output_csv[[#This Row],[KKM]],"Cukup","Kurang"))))</f>
        <v>Cukup</v>
      </c>
      <c r="AH1284">
        <f t="shared" si="61"/>
        <v>11</v>
      </c>
      <c r="AI1284" s="30" t="str">
        <f>IF(OR(J1284&lt;&gt;"Karakter",pub_gid_0_single_true_output_csv[[#This Row],[Nilai2]]=""),"",IF(AF1284&gt;89,"Sangat baik",IF(AF1284&gt;79,"Baik",IF(AF1284&gt;69,"Cukup",IF(AF1284&gt;59,"Kurang","Sangat kurang")))))</f>
        <v>Cukup</v>
      </c>
      <c r="AJ1284" t="str">
        <f t="shared" si="62"/>
        <v>Wk.8</v>
      </c>
      <c r="AK1284" t="str">
        <f>IF(pub_gid_0_single_true_output_csv[[#This Row],[Nilai2]]="","",VLOOKUP(pub_gid_0_single_true_output_csv[[#This Row],[NAMA]],Table7[],3,FALSE))</f>
        <v>Average</v>
      </c>
    </row>
    <row r="1285" spans="1:37" x14ac:dyDescent="0.2">
      <c r="A1285">
        <v>1284</v>
      </c>
      <c r="B1285" t="s">
        <v>288</v>
      </c>
      <c r="C1285" t="s">
        <v>54</v>
      </c>
      <c r="D1285" t="s">
        <v>35</v>
      </c>
      <c r="E1285" t="s">
        <v>140</v>
      </c>
      <c r="F1285" s="25">
        <v>46036</v>
      </c>
      <c r="G1285" t="s">
        <v>353</v>
      </c>
      <c r="H1285" t="s">
        <v>405</v>
      </c>
      <c r="I1285" t="s">
        <v>371</v>
      </c>
      <c r="J1285" t="s">
        <v>36</v>
      </c>
      <c r="K1285" t="s">
        <v>37</v>
      </c>
      <c r="L1285" t="s">
        <v>351</v>
      </c>
      <c r="M1285" t="s">
        <v>141</v>
      </c>
      <c r="N1285" t="s">
        <v>142</v>
      </c>
      <c r="O1285" t="s">
        <v>155</v>
      </c>
      <c r="P1285" t="s">
        <v>281</v>
      </c>
      <c r="Q1285" t="s">
        <v>155</v>
      </c>
      <c r="R1285" t="s">
        <v>302</v>
      </c>
      <c r="S1285" t="s">
        <v>309</v>
      </c>
      <c r="T1285">
        <v>1</v>
      </c>
      <c r="U1285" t="s">
        <v>435</v>
      </c>
      <c r="V1285" t="s">
        <v>285</v>
      </c>
      <c r="W1285" t="s">
        <v>436</v>
      </c>
      <c r="X1285" t="s">
        <v>306</v>
      </c>
      <c r="Y1285" t="s">
        <v>307</v>
      </c>
      <c r="Z1285">
        <v>65</v>
      </c>
      <c r="AA1285">
        <v>68</v>
      </c>
      <c r="AB1285" t="s">
        <v>143</v>
      </c>
      <c r="AC1285" t="s">
        <v>53</v>
      </c>
      <c r="AD1285" t="s">
        <v>404</v>
      </c>
      <c r="AE1285" t="str">
        <f>IF(AF1285="","",VLOOKUP(AC1285,mapel!$A$2:$B$42,2,FALSE))</f>
        <v>Sejarah</v>
      </c>
      <c r="AF1285">
        <f t="shared" si="60"/>
        <v>68</v>
      </c>
      <c r="AG1285" t="str">
        <f>IF(AF1285="","",IF(AF1285&gt;90,"Sangat baik",IF(AF1285&gt;79,"Baik",IF(AF1285&gt;=pub_gid_0_single_true_output_csv[[#This Row],[KKM]],"Cukup","Kurang"))))</f>
        <v>Cukup</v>
      </c>
      <c r="AH1285">
        <f t="shared" si="61"/>
        <v>11</v>
      </c>
      <c r="AI1285" s="30" t="str">
        <f>IF(OR(J1285&lt;&gt;"Karakter",pub_gid_0_single_true_output_csv[[#This Row],[Nilai2]]=""),"",IF(AF1285&gt;89,"Sangat baik",IF(AF1285&gt;79,"Baik",IF(AF1285&gt;69,"Cukup",IF(AF1285&gt;59,"Kurang","Sangat kurang")))))</f>
        <v/>
      </c>
      <c r="AJ1285" t="str">
        <f t="shared" si="62"/>
        <v>Wk.3</v>
      </c>
      <c r="AK1285" t="str">
        <f>IF(pub_gid_0_single_true_output_csv[[#This Row],[Nilai2]]="","",VLOOKUP(pub_gid_0_single_true_output_csv[[#This Row],[NAMA]],Table7[],3,FALSE))</f>
        <v>Extremely low</v>
      </c>
    </row>
    <row r="1286" spans="1:37" x14ac:dyDescent="0.2">
      <c r="A1286">
        <v>1285</v>
      </c>
      <c r="B1286" t="s">
        <v>288</v>
      </c>
      <c r="C1286" t="s">
        <v>54</v>
      </c>
      <c r="D1286" t="s">
        <v>35</v>
      </c>
      <c r="E1286" t="s">
        <v>140</v>
      </c>
      <c r="F1286" s="25">
        <v>46036</v>
      </c>
      <c r="G1286" t="s">
        <v>353</v>
      </c>
      <c r="H1286" t="s">
        <v>405</v>
      </c>
      <c r="I1286" t="s">
        <v>371</v>
      </c>
      <c r="J1286" t="s">
        <v>31</v>
      </c>
      <c r="K1286" t="s">
        <v>32</v>
      </c>
      <c r="L1286" t="s">
        <v>351</v>
      </c>
      <c r="M1286" t="s">
        <v>141</v>
      </c>
      <c r="N1286" t="s">
        <v>142</v>
      </c>
      <c r="O1286" t="s">
        <v>155</v>
      </c>
      <c r="P1286" t="s">
        <v>281</v>
      </c>
      <c r="Q1286" t="s">
        <v>155</v>
      </c>
      <c r="R1286" t="s">
        <v>302</v>
      </c>
      <c r="S1286" t="s">
        <v>309</v>
      </c>
      <c r="T1286">
        <v>1</v>
      </c>
      <c r="U1286" t="s">
        <v>435</v>
      </c>
      <c r="V1286" t="s">
        <v>285</v>
      </c>
      <c r="W1286" t="s">
        <v>436</v>
      </c>
      <c r="X1286" t="s">
        <v>306</v>
      </c>
      <c r="Y1286" t="s">
        <v>307</v>
      </c>
      <c r="Z1286">
        <v>65</v>
      </c>
      <c r="AA1286">
        <v>65</v>
      </c>
      <c r="AB1286" t="s">
        <v>143</v>
      </c>
      <c r="AC1286" t="s">
        <v>53</v>
      </c>
      <c r="AD1286" t="s">
        <v>404</v>
      </c>
      <c r="AE1286" t="str">
        <f>IF(AF1286="","",VLOOKUP(AC1286,mapel!$A$2:$B$42,2,FALSE))</f>
        <v>Sejarah</v>
      </c>
      <c r="AF1286">
        <f t="shared" si="60"/>
        <v>65</v>
      </c>
      <c r="AG1286" t="str">
        <f>IF(AF1286="","",IF(AF1286&gt;90,"Sangat baik",IF(AF1286&gt;79,"Baik",IF(AF1286&gt;=pub_gid_0_single_true_output_csv[[#This Row],[KKM]],"Cukup","Kurang"))))</f>
        <v>Cukup</v>
      </c>
      <c r="AH1286">
        <f t="shared" si="61"/>
        <v>11</v>
      </c>
      <c r="AI1286" s="30" t="str">
        <f>IF(OR(J1286&lt;&gt;"Karakter",pub_gid_0_single_true_output_csv[[#This Row],[Nilai2]]=""),"",IF(AF1286&gt;89,"Sangat baik",IF(AF1286&gt;79,"Baik",IF(AF1286&gt;69,"Cukup",IF(AF1286&gt;59,"Kurang","Sangat kurang")))))</f>
        <v/>
      </c>
      <c r="AJ1286" t="str">
        <f t="shared" si="62"/>
        <v>Wk.3</v>
      </c>
      <c r="AK1286" t="str">
        <f>IF(pub_gid_0_single_true_output_csv[[#This Row],[Nilai2]]="","",VLOOKUP(pub_gid_0_single_true_output_csv[[#This Row],[NAMA]],Table7[],3,FALSE))</f>
        <v>Extremely low</v>
      </c>
    </row>
    <row r="1287" spans="1:37" x14ac:dyDescent="0.2">
      <c r="A1287">
        <v>1286</v>
      </c>
      <c r="B1287" t="s">
        <v>288</v>
      </c>
      <c r="C1287" t="s">
        <v>54</v>
      </c>
      <c r="D1287" t="s">
        <v>35</v>
      </c>
      <c r="E1287" t="s">
        <v>140</v>
      </c>
      <c r="F1287" s="25">
        <v>46036</v>
      </c>
      <c r="G1287" t="s">
        <v>353</v>
      </c>
      <c r="H1287" t="s">
        <v>405</v>
      </c>
      <c r="I1287" t="s">
        <v>371</v>
      </c>
      <c r="J1287" t="s">
        <v>90</v>
      </c>
      <c r="K1287" t="s">
        <v>92</v>
      </c>
      <c r="L1287" t="s">
        <v>91</v>
      </c>
      <c r="M1287" t="s">
        <v>141</v>
      </c>
      <c r="N1287" t="s">
        <v>142</v>
      </c>
      <c r="O1287" t="s">
        <v>155</v>
      </c>
      <c r="P1287" t="s">
        <v>281</v>
      </c>
      <c r="Q1287" t="s">
        <v>155</v>
      </c>
      <c r="R1287" t="s">
        <v>302</v>
      </c>
      <c r="S1287" t="s">
        <v>309</v>
      </c>
      <c r="T1287">
        <v>1</v>
      </c>
      <c r="U1287" t="s">
        <v>435</v>
      </c>
      <c r="V1287" t="s">
        <v>285</v>
      </c>
      <c r="W1287" t="s">
        <v>436</v>
      </c>
      <c r="X1287" t="s">
        <v>306</v>
      </c>
      <c r="Y1287" t="s">
        <v>307</v>
      </c>
      <c r="Z1287">
        <v>65</v>
      </c>
      <c r="AA1287">
        <v>75</v>
      </c>
      <c r="AB1287" t="s">
        <v>143</v>
      </c>
      <c r="AC1287" t="s">
        <v>53</v>
      </c>
      <c r="AD1287" t="s">
        <v>404</v>
      </c>
      <c r="AE1287" t="str">
        <f>IF(AF1287="","",VLOOKUP(AC1287,mapel!$A$2:$B$42,2,FALSE))</f>
        <v>Sejarah</v>
      </c>
      <c r="AF1287">
        <f t="shared" si="60"/>
        <v>75</v>
      </c>
      <c r="AG1287" t="str">
        <f>IF(AF1287="","",IF(AF1287&gt;90,"Sangat baik",IF(AF1287&gt;79,"Baik",IF(AF1287&gt;=pub_gid_0_single_true_output_csv[[#This Row],[KKM]],"Cukup","Kurang"))))</f>
        <v>Cukup</v>
      </c>
      <c r="AH1287">
        <f t="shared" si="61"/>
        <v>11</v>
      </c>
      <c r="AI1287" s="30" t="str">
        <f>IF(OR(J1287&lt;&gt;"Karakter",pub_gid_0_single_true_output_csv[[#This Row],[Nilai2]]=""),"",IF(AF1287&gt;89,"Sangat baik",IF(AF1287&gt;79,"Baik",IF(AF1287&gt;69,"Cukup",IF(AF1287&gt;59,"Kurang","Sangat kurang")))))</f>
        <v>Cukup</v>
      </c>
      <c r="AJ1287" t="str">
        <f t="shared" si="62"/>
        <v>Wk.3</v>
      </c>
      <c r="AK1287" t="str">
        <f>IF(pub_gid_0_single_true_output_csv[[#This Row],[Nilai2]]="","",VLOOKUP(pub_gid_0_single_true_output_csv[[#This Row],[NAMA]],Table7[],3,FALSE))</f>
        <v>Extremely low</v>
      </c>
    </row>
    <row r="1288" spans="1:37" x14ac:dyDescent="0.2">
      <c r="A1288">
        <v>1287</v>
      </c>
      <c r="B1288" t="s">
        <v>288</v>
      </c>
      <c r="C1288" t="s">
        <v>54</v>
      </c>
      <c r="D1288" t="s">
        <v>35</v>
      </c>
      <c r="E1288" t="s">
        <v>140</v>
      </c>
      <c r="F1288" s="25">
        <v>46036</v>
      </c>
      <c r="G1288" t="s">
        <v>353</v>
      </c>
      <c r="H1288" t="s">
        <v>405</v>
      </c>
      <c r="I1288" t="s">
        <v>371</v>
      </c>
      <c r="J1288" t="s">
        <v>279</v>
      </c>
      <c r="K1288" t="s">
        <v>280</v>
      </c>
      <c r="L1288" t="s">
        <v>322</v>
      </c>
      <c r="M1288" t="s">
        <v>141</v>
      </c>
      <c r="N1288" t="s">
        <v>142</v>
      </c>
      <c r="O1288" t="s">
        <v>155</v>
      </c>
      <c r="P1288" t="s">
        <v>281</v>
      </c>
      <c r="Q1288" t="s">
        <v>155</v>
      </c>
      <c r="R1288" t="s">
        <v>302</v>
      </c>
      <c r="S1288" t="s">
        <v>309</v>
      </c>
      <c r="T1288">
        <v>1</v>
      </c>
      <c r="U1288" t="s">
        <v>435</v>
      </c>
      <c r="V1288" t="s">
        <v>285</v>
      </c>
      <c r="W1288" t="s">
        <v>436</v>
      </c>
      <c r="X1288" t="s">
        <v>306</v>
      </c>
      <c r="Y1288" t="s">
        <v>307</v>
      </c>
      <c r="Z1288">
        <v>65</v>
      </c>
      <c r="AA1288">
        <v>70</v>
      </c>
      <c r="AB1288" t="s">
        <v>143</v>
      </c>
      <c r="AC1288" t="s">
        <v>53</v>
      </c>
      <c r="AD1288" t="s">
        <v>404</v>
      </c>
      <c r="AE1288" t="str">
        <f>IF(AF1288="","",VLOOKUP(AC1288,mapel!$A$2:$B$42,2,FALSE))</f>
        <v>Sejarah</v>
      </c>
      <c r="AF1288">
        <f t="shared" si="60"/>
        <v>70</v>
      </c>
      <c r="AG1288" t="str">
        <f>IF(AF1288="","",IF(AF1288&gt;90,"Sangat baik",IF(AF1288&gt;79,"Baik",IF(AF1288&gt;=pub_gid_0_single_true_output_csv[[#This Row],[KKM]],"Cukup","Kurang"))))</f>
        <v>Cukup</v>
      </c>
      <c r="AH1288">
        <f t="shared" si="61"/>
        <v>11</v>
      </c>
      <c r="AI1288" s="30" t="str">
        <f>IF(OR(J1288&lt;&gt;"Karakter",pub_gid_0_single_true_output_csv[[#This Row],[Nilai2]]=""),"",IF(AF1288&gt;89,"Sangat baik",IF(AF1288&gt;79,"Baik",IF(AF1288&gt;69,"Cukup",IF(AF1288&gt;59,"Kurang","Sangat kurang")))))</f>
        <v/>
      </c>
      <c r="AJ1288" t="str">
        <f t="shared" si="62"/>
        <v>Wk.3</v>
      </c>
      <c r="AK1288" t="str">
        <f>IF(pub_gid_0_single_true_output_csv[[#This Row],[Nilai2]]="","",VLOOKUP(pub_gid_0_single_true_output_csv[[#This Row],[NAMA]],Table7[],3,FALSE))</f>
        <v>Extremely low</v>
      </c>
    </row>
    <row r="1289" spans="1:37" x14ac:dyDescent="0.2">
      <c r="A1289">
        <v>1288</v>
      </c>
      <c r="B1289" t="s">
        <v>288</v>
      </c>
      <c r="C1289" t="s">
        <v>54</v>
      </c>
      <c r="D1289" t="s">
        <v>35</v>
      </c>
      <c r="E1289" t="s">
        <v>140</v>
      </c>
      <c r="F1289" s="25">
        <v>46043</v>
      </c>
      <c r="G1289" t="s">
        <v>341</v>
      </c>
      <c r="H1289" t="s">
        <v>405</v>
      </c>
      <c r="I1289" t="s">
        <v>371</v>
      </c>
      <c r="J1289" t="s">
        <v>36</v>
      </c>
      <c r="K1289" t="s">
        <v>37</v>
      </c>
      <c r="L1289" t="s">
        <v>351</v>
      </c>
      <c r="M1289" t="s">
        <v>141</v>
      </c>
      <c r="N1289" t="s">
        <v>142</v>
      </c>
      <c r="O1289" t="s">
        <v>155</v>
      </c>
      <c r="P1289" t="s">
        <v>281</v>
      </c>
      <c r="Q1289" t="s">
        <v>155</v>
      </c>
      <c r="R1289" t="s">
        <v>302</v>
      </c>
      <c r="S1289" t="s">
        <v>309</v>
      </c>
      <c r="T1289">
        <v>1</v>
      </c>
      <c r="U1289" t="s">
        <v>435</v>
      </c>
      <c r="V1289" t="s">
        <v>285</v>
      </c>
      <c r="W1289" t="s">
        <v>436</v>
      </c>
      <c r="X1289" t="s">
        <v>306</v>
      </c>
      <c r="Y1289" t="s">
        <v>307</v>
      </c>
      <c r="Z1289">
        <v>65</v>
      </c>
      <c r="AA1289">
        <v>68</v>
      </c>
      <c r="AB1289" t="s">
        <v>143</v>
      </c>
      <c r="AC1289" t="s">
        <v>53</v>
      </c>
      <c r="AD1289" t="s">
        <v>404</v>
      </c>
      <c r="AE1289" t="str">
        <f>IF(AF1289="","",VLOOKUP(AC1289,mapel!$A$2:$B$42,2,FALSE))</f>
        <v>Sejarah</v>
      </c>
      <c r="AF1289">
        <f t="shared" si="60"/>
        <v>68</v>
      </c>
      <c r="AG1289" t="str">
        <f>IF(AF1289="","",IF(AF1289&gt;90,"Sangat baik",IF(AF1289&gt;79,"Baik",IF(AF1289&gt;=pub_gid_0_single_true_output_csv[[#This Row],[KKM]],"Cukup","Kurang"))))</f>
        <v>Cukup</v>
      </c>
      <c r="AH1289">
        <f t="shared" si="61"/>
        <v>11</v>
      </c>
      <c r="AI1289" s="30" t="str">
        <f>IF(OR(J1289&lt;&gt;"Karakter",pub_gid_0_single_true_output_csv[[#This Row],[Nilai2]]=""),"",IF(AF1289&gt;89,"Sangat baik",IF(AF1289&gt;79,"Baik",IF(AF1289&gt;69,"Cukup",IF(AF1289&gt;59,"Kurang","Sangat kurang")))))</f>
        <v/>
      </c>
      <c r="AJ1289" t="str">
        <f t="shared" si="62"/>
        <v>Wk.4</v>
      </c>
      <c r="AK1289" t="str">
        <f>IF(pub_gid_0_single_true_output_csv[[#This Row],[Nilai2]]="","",VLOOKUP(pub_gid_0_single_true_output_csv[[#This Row],[NAMA]],Table7[],3,FALSE))</f>
        <v>Extremely low</v>
      </c>
    </row>
    <row r="1290" spans="1:37" x14ac:dyDescent="0.2">
      <c r="A1290">
        <v>1289</v>
      </c>
      <c r="B1290" t="s">
        <v>288</v>
      </c>
      <c r="C1290" t="s">
        <v>54</v>
      </c>
      <c r="D1290" t="s">
        <v>35</v>
      </c>
      <c r="E1290" t="s">
        <v>140</v>
      </c>
      <c r="F1290" s="25">
        <v>46043</v>
      </c>
      <c r="G1290" t="s">
        <v>341</v>
      </c>
      <c r="H1290" t="s">
        <v>405</v>
      </c>
      <c r="I1290" t="s">
        <v>371</v>
      </c>
      <c r="J1290" t="s">
        <v>31</v>
      </c>
      <c r="K1290" t="s">
        <v>96</v>
      </c>
      <c r="L1290" t="s">
        <v>322</v>
      </c>
      <c r="M1290" t="s">
        <v>141</v>
      </c>
      <c r="N1290" t="s">
        <v>142</v>
      </c>
      <c r="O1290" t="s">
        <v>155</v>
      </c>
      <c r="P1290" t="s">
        <v>281</v>
      </c>
      <c r="Q1290" t="s">
        <v>155</v>
      </c>
      <c r="R1290" t="s">
        <v>302</v>
      </c>
      <c r="S1290" t="s">
        <v>309</v>
      </c>
      <c r="T1290">
        <v>1</v>
      </c>
      <c r="U1290" t="s">
        <v>435</v>
      </c>
      <c r="V1290" t="s">
        <v>285</v>
      </c>
      <c r="W1290" t="s">
        <v>436</v>
      </c>
      <c r="X1290" t="s">
        <v>306</v>
      </c>
      <c r="Y1290" t="s">
        <v>307</v>
      </c>
      <c r="Z1290">
        <v>65</v>
      </c>
      <c r="AA1290">
        <v>65</v>
      </c>
      <c r="AB1290" t="s">
        <v>143</v>
      </c>
      <c r="AC1290" t="s">
        <v>53</v>
      </c>
      <c r="AD1290" t="s">
        <v>404</v>
      </c>
      <c r="AE1290" t="str">
        <f>IF(AF1290="","",VLOOKUP(AC1290,mapel!$A$2:$B$42,2,FALSE))</f>
        <v>Sejarah</v>
      </c>
      <c r="AF1290">
        <f t="shared" si="60"/>
        <v>65</v>
      </c>
      <c r="AG1290" t="str">
        <f>IF(AF1290="","",IF(AF1290&gt;90,"Sangat baik",IF(AF1290&gt;79,"Baik",IF(AF1290&gt;=pub_gid_0_single_true_output_csv[[#This Row],[KKM]],"Cukup","Kurang"))))</f>
        <v>Cukup</v>
      </c>
      <c r="AH1290">
        <f t="shared" si="61"/>
        <v>11</v>
      </c>
      <c r="AI1290" s="30" t="str">
        <f>IF(OR(J1290&lt;&gt;"Karakter",pub_gid_0_single_true_output_csv[[#This Row],[Nilai2]]=""),"",IF(AF1290&gt;89,"Sangat baik",IF(AF1290&gt;79,"Baik",IF(AF1290&gt;69,"Cukup",IF(AF1290&gt;59,"Kurang","Sangat kurang")))))</f>
        <v/>
      </c>
      <c r="AJ1290" t="str">
        <f t="shared" si="62"/>
        <v>Wk.4</v>
      </c>
      <c r="AK1290" t="str">
        <f>IF(pub_gid_0_single_true_output_csv[[#This Row],[Nilai2]]="","",VLOOKUP(pub_gid_0_single_true_output_csv[[#This Row],[NAMA]],Table7[],3,FALSE))</f>
        <v>Extremely low</v>
      </c>
    </row>
    <row r="1291" spans="1:37" x14ac:dyDescent="0.2">
      <c r="A1291">
        <v>1290</v>
      </c>
      <c r="B1291" t="s">
        <v>288</v>
      </c>
      <c r="C1291" t="s">
        <v>54</v>
      </c>
      <c r="D1291" t="s">
        <v>35</v>
      </c>
      <c r="E1291" t="s">
        <v>140</v>
      </c>
      <c r="F1291" s="25">
        <v>46043</v>
      </c>
      <c r="G1291" t="s">
        <v>341</v>
      </c>
      <c r="H1291" t="s">
        <v>405</v>
      </c>
      <c r="I1291" t="s">
        <v>371</v>
      </c>
      <c r="J1291" t="s">
        <v>90</v>
      </c>
      <c r="K1291" t="s">
        <v>92</v>
      </c>
      <c r="L1291" t="s">
        <v>93</v>
      </c>
      <c r="M1291" t="s">
        <v>141</v>
      </c>
      <c r="N1291" t="s">
        <v>142</v>
      </c>
      <c r="O1291" t="s">
        <v>155</v>
      </c>
      <c r="P1291" t="s">
        <v>281</v>
      </c>
      <c r="Q1291" t="s">
        <v>155</v>
      </c>
      <c r="R1291" t="s">
        <v>302</v>
      </c>
      <c r="S1291" t="s">
        <v>309</v>
      </c>
      <c r="T1291">
        <v>1</v>
      </c>
      <c r="U1291" t="s">
        <v>435</v>
      </c>
      <c r="V1291" t="s">
        <v>285</v>
      </c>
      <c r="W1291" t="s">
        <v>436</v>
      </c>
      <c r="X1291" t="s">
        <v>306</v>
      </c>
      <c r="Y1291" t="s">
        <v>307</v>
      </c>
      <c r="Z1291">
        <v>65</v>
      </c>
      <c r="AA1291">
        <v>80</v>
      </c>
      <c r="AB1291" t="s">
        <v>143</v>
      </c>
      <c r="AC1291" t="s">
        <v>53</v>
      </c>
      <c r="AD1291" t="s">
        <v>404</v>
      </c>
      <c r="AE1291" t="str">
        <f>IF(AF1291="","",VLOOKUP(AC1291,mapel!$A$2:$B$42,2,FALSE))</f>
        <v>Sejarah</v>
      </c>
      <c r="AF1291">
        <f t="shared" si="60"/>
        <v>80</v>
      </c>
      <c r="AG1291" t="str">
        <f>IF(AF1291="","",IF(AF1291&gt;90,"Sangat baik",IF(AF1291&gt;79,"Baik",IF(AF1291&gt;=pub_gid_0_single_true_output_csv[[#This Row],[KKM]],"Cukup","Kurang"))))</f>
        <v>Baik</v>
      </c>
      <c r="AH1291">
        <f t="shared" si="61"/>
        <v>11</v>
      </c>
      <c r="AI1291" s="30" t="str">
        <f>IF(OR(J1291&lt;&gt;"Karakter",pub_gid_0_single_true_output_csv[[#This Row],[Nilai2]]=""),"",IF(AF1291&gt;89,"Sangat baik",IF(AF1291&gt;79,"Baik",IF(AF1291&gt;69,"Cukup",IF(AF1291&gt;59,"Kurang","Sangat kurang")))))</f>
        <v>Baik</v>
      </c>
      <c r="AJ1291" t="str">
        <f t="shared" si="62"/>
        <v>Wk.4</v>
      </c>
      <c r="AK1291" t="str">
        <f>IF(pub_gid_0_single_true_output_csv[[#This Row],[Nilai2]]="","",VLOOKUP(pub_gid_0_single_true_output_csv[[#This Row],[NAMA]],Table7[],3,FALSE))</f>
        <v>Extremely low</v>
      </c>
    </row>
    <row r="1292" spans="1:37" x14ac:dyDescent="0.2">
      <c r="A1292">
        <v>1291</v>
      </c>
      <c r="B1292" t="s">
        <v>288</v>
      </c>
      <c r="C1292" t="s">
        <v>54</v>
      </c>
      <c r="D1292" t="s">
        <v>35</v>
      </c>
      <c r="E1292" t="s">
        <v>140</v>
      </c>
      <c r="F1292" s="25">
        <v>46043</v>
      </c>
      <c r="G1292" t="s">
        <v>341</v>
      </c>
      <c r="H1292" t="s">
        <v>405</v>
      </c>
      <c r="I1292" t="s">
        <v>371</v>
      </c>
      <c r="J1292" t="s">
        <v>279</v>
      </c>
      <c r="K1292" t="s">
        <v>280</v>
      </c>
      <c r="L1292" t="s">
        <v>322</v>
      </c>
      <c r="M1292" t="s">
        <v>141</v>
      </c>
      <c r="N1292" t="s">
        <v>142</v>
      </c>
      <c r="O1292" t="s">
        <v>155</v>
      </c>
      <c r="P1292" t="s">
        <v>281</v>
      </c>
      <c r="Q1292" t="s">
        <v>155</v>
      </c>
      <c r="R1292" t="s">
        <v>302</v>
      </c>
      <c r="S1292" t="s">
        <v>355</v>
      </c>
      <c r="T1292">
        <v>2</v>
      </c>
      <c r="U1292" t="s">
        <v>159</v>
      </c>
      <c r="V1292" t="s">
        <v>303</v>
      </c>
      <c r="W1292" t="s">
        <v>437</v>
      </c>
      <c r="X1292" t="s">
        <v>306</v>
      </c>
      <c r="Y1292" t="s">
        <v>307</v>
      </c>
      <c r="Z1292">
        <v>65</v>
      </c>
      <c r="AA1292">
        <v>70</v>
      </c>
      <c r="AB1292" t="s">
        <v>143</v>
      </c>
      <c r="AC1292" t="s">
        <v>53</v>
      </c>
      <c r="AD1292" t="s">
        <v>404</v>
      </c>
      <c r="AE1292" t="str">
        <f>IF(AF1292="","",VLOOKUP(AC1292,mapel!$A$2:$B$42,2,FALSE))</f>
        <v>Sejarah</v>
      </c>
      <c r="AF1292">
        <f t="shared" si="60"/>
        <v>70</v>
      </c>
      <c r="AG1292" t="str">
        <f>IF(AF1292="","",IF(AF1292&gt;90,"Sangat baik",IF(AF1292&gt;79,"Baik",IF(AF1292&gt;=pub_gid_0_single_true_output_csv[[#This Row],[KKM]],"Cukup","Kurang"))))</f>
        <v>Cukup</v>
      </c>
      <c r="AH1292">
        <f t="shared" si="61"/>
        <v>11</v>
      </c>
      <c r="AI1292" s="30" t="str">
        <f>IF(OR(J1292&lt;&gt;"Karakter",pub_gid_0_single_true_output_csv[[#This Row],[Nilai2]]=""),"",IF(AF1292&gt;89,"Sangat baik",IF(AF1292&gt;79,"Baik",IF(AF1292&gt;69,"Cukup",IF(AF1292&gt;59,"Kurang","Sangat kurang")))))</f>
        <v/>
      </c>
      <c r="AJ1292" t="str">
        <f t="shared" si="62"/>
        <v>Wk.4</v>
      </c>
      <c r="AK1292" t="str">
        <f>IF(pub_gid_0_single_true_output_csv[[#This Row],[Nilai2]]="","",VLOOKUP(pub_gid_0_single_true_output_csv[[#This Row],[NAMA]],Table7[],3,FALSE))</f>
        <v>Extremely low</v>
      </c>
    </row>
    <row r="1293" spans="1:37" x14ac:dyDescent="0.2">
      <c r="A1293">
        <v>1292</v>
      </c>
      <c r="B1293" t="s">
        <v>288</v>
      </c>
      <c r="C1293" t="s">
        <v>54</v>
      </c>
      <c r="D1293" t="s">
        <v>35</v>
      </c>
      <c r="E1293" t="s">
        <v>140</v>
      </c>
      <c r="F1293" s="25">
        <v>46050</v>
      </c>
      <c r="G1293" t="s">
        <v>308</v>
      </c>
      <c r="H1293" t="s">
        <v>405</v>
      </c>
      <c r="I1293" t="s">
        <v>371</v>
      </c>
      <c r="J1293" t="s">
        <v>36</v>
      </c>
      <c r="K1293" t="s">
        <v>37</v>
      </c>
      <c r="L1293" t="s">
        <v>351</v>
      </c>
      <c r="M1293" t="s">
        <v>141</v>
      </c>
      <c r="N1293" t="s">
        <v>142</v>
      </c>
      <c r="O1293" t="s">
        <v>155</v>
      </c>
      <c r="P1293" t="s">
        <v>281</v>
      </c>
      <c r="Q1293" t="s">
        <v>155</v>
      </c>
      <c r="R1293" t="s">
        <v>302</v>
      </c>
      <c r="S1293" t="s">
        <v>355</v>
      </c>
      <c r="T1293">
        <v>2</v>
      </c>
      <c r="U1293" t="s">
        <v>159</v>
      </c>
      <c r="V1293" t="s">
        <v>303</v>
      </c>
      <c r="W1293" t="s">
        <v>437</v>
      </c>
      <c r="X1293" t="s">
        <v>306</v>
      </c>
      <c r="Y1293" t="s">
        <v>307</v>
      </c>
      <c r="Z1293">
        <v>65</v>
      </c>
      <c r="AA1293">
        <v>65</v>
      </c>
      <c r="AB1293" t="s">
        <v>143</v>
      </c>
      <c r="AC1293" t="s">
        <v>53</v>
      </c>
      <c r="AD1293" t="s">
        <v>404</v>
      </c>
      <c r="AE1293" t="str">
        <f>IF(AF1293="","",VLOOKUP(AC1293,mapel!$A$2:$B$42,2,FALSE))</f>
        <v>Sejarah</v>
      </c>
      <c r="AF1293">
        <f t="shared" si="60"/>
        <v>65</v>
      </c>
      <c r="AG1293" t="str">
        <f>IF(AF1293="","",IF(AF1293&gt;90,"Sangat baik",IF(AF1293&gt;79,"Baik",IF(AF1293&gt;=pub_gid_0_single_true_output_csv[[#This Row],[KKM]],"Cukup","Kurang"))))</f>
        <v>Cukup</v>
      </c>
      <c r="AH1293">
        <f t="shared" si="61"/>
        <v>11</v>
      </c>
      <c r="AI1293" s="30" t="str">
        <f>IF(OR(J1293&lt;&gt;"Karakter",pub_gid_0_single_true_output_csv[[#This Row],[Nilai2]]=""),"",IF(AF1293&gt;89,"Sangat baik",IF(AF1293&gt;79,"Baik",IF(AF1293&gt;69,"Cukup",IF(AF1293&gt;59,"Kurang","Sangat kurang")))))</f>
        <v/>
      </c>
      <c r="AJ1293" t="str">
        <f t="shared" si="62"/>
        <v>Wk.5</v>
      </c>
      <c r="AK1293" t="str">
        <f>IF(pub_gid_0_single_true_output_csv[[#This Row],[Nilai2]]="","",VLOOKUP(pub_gid_0_single_true_output_csv[[#This Row],[NAMA]],Table7[],3,FALSE))</f>
        <v>Extremely low</v>
      </c>
    </row>
    <row r="1294" spans="1:37" x14ac:dyDescent="0.2">
      <c r="A1294">
        <v>1293</v>
      </c>
      <c r="B1294" t="s">
        <v>288</v>
      </c>
      <c r="C1294" t="s">
        <v>54</v>
      </c>
      <c r="D1294" t="s">
        <v>35</v>
      </c>
      <c r="E1294" t="s">
        <v>140</v>
      </c>
      <c r="F1294" s="25">
        <v>46050</v>
      </c>
      <c r="G1294" t="s">
        <v>308</v>
      </c>
      <c r="H1294" t="s">
        <v>405</v>
      </c>
      <c r="I1294" t="s">
        <v>371</v>
      </c>
      <c r="J1294" t="s">
        <v>31</v>
      </c>
      <c r="K1294" t="s">
        <v>96</v>
      </c>
      <c r="L1294" t="s">
        <v>351</v>
      </c>
      <c r="M1294" t="s">
        <v>141</v>
      </c>
      <c r="N1294" t="s">
        <v>142</v>
      </c>
      <c r="O1294" t="s">
        <v>155</v>
      </c>
      <c r="P1294" t="s">
        <v>281</v>
      </c>
      <c r="Q1294" t="s">
        <v>155</v>
      </c>
      <c r="R1294" t="s">
        <v>302</v>
      </c>
      <c r="S1294" t="s">
        <v>355</v>
      </c>
      <c r="T1294">
        <v>2</v>
      </c>
      <c r="U1294" t="s">
        <v>159</v>
      </c>
      <c r="V1294" t="s">
        <v>303</v>
      </c>
      <c r="W1294" t="s">
        <v>437</v>
      </c>
      <c r="X1294" t="s">
        <v>306</v>
      </c>
      <c r="Y1294" t="s">
        <v>307</v>
      </c>
      <c r="Z1294">
        <v>65</v>
      </c>
      <c r="AA1294">
        <v>65</v>
      </c>
      <c r="AB1294" t="s">
        <v>143</v>
      </c>
      <c r="AC1294" t="s">
        <v>53</v>
      </c>
      <c r="AD1294" t="s">
        <v>404</v>
      </c>
      <c r="AE1294" t="str">
        <f>IF(AF1294="","",VLOOKUP(AC1294,mapel!$A$2:$B$42,2,FALSE))</f>
        <v>Sejarah</v>
      </c>
      <c r="AF1294">
        <f t="shared" si="60"/>
        <v>65</v>
      </c>
      <c r="AG1294" t="str">
        <f>IF(AF1294="","",IF(AF1294&gt;90,"Sangat baik",IF(AF1294&gt;79,"Baik",IF(AF1294&gt;=pub_gid_0_single_true_output_csv[[#This Row],[KKM]],"Cukup","Kurang"))))</f>
        <v>Cukup</v>
      </c>
      <c r="AH1294">
        <f t="shared" si="61"/>
        <v>11</v>
      </c>
      <c r="AI1294" s="30" t="str">
        <f>IF(OR(J1294&lt;&gt;"Karakter",pub_gid_0_single_true_output_csv[[#This Row],[Nilai2]]=""),"",IF(AF1294&gt;89,"Sangat baik",IF(AF1294&gt;79,"Baik",IF(AF1294&gt;69,"Cukup",IF(AF1294&gt;59,"Kurang","Sangat kurang")))))</f>
        <v/>
      </c>
      <c r="AJ1294" t="str">
        <f t="shared" si="62"/>
        <v>Wk.5</v>
      </c>
      <c r="AK1294" t="str">
        <f>IF(pub_gid_0_single_true_output_csv[[#This Row],[Nilai2]]="","",VLOOKUP(pub_gid_0_single_true_output_csv[[#This Row],[NAMA]],Table7[],3,FALSE))</f>
        <v>Extremely low</v>
      </c>
    </row>
    <row r="1295" spans="1:37" x14ac:dyDescent="0.2">
      <c r="A1295">
        <v>1294</v>
      </c>
      <c r="B1295" t="s">
        <v>288</v>
      </c>
      <c r="C1295" t="s">
        <v>54</v>
      </c>
      <c r="D1295" t="s">
        <v>35</v>
      </c>
      <c r="E1295" t="s">
        <v>140</v>
      </c>
      <c r="F1295" s="25">
        <v>46050</v>
      </c>
      <c r="G1295" t="s">
        <v>308</v>
      </c>
      <c r="H1295" t="s">
        <v>405</v>
      </c>
      <c r="I1295" t="s">
        <v>371</v>
      </c>
      <c r="J1295" t="s">
        <v>90</v>
      </c>
      <c r="K1295" t="s">
        <v>92</v>
      </c>
      <c r="L1295" t="s">
        <v>91</v>
      </c>
      <c r="M1295" t="s">
        <v>141</v>
      </c>
      <c r="N1295" t="s">
        <v>142</v>
      </c>
      <c r="O1295" t="s">
        <v>155</v>
      </c>
      <c r="P1295" t="s">
        <v>281</v>
      </c>
      <c r="Q1295" t="s">
        <v>155</v>
      </c>
      <c r="R1295" t="s">
        <v>302</v>
      </c>
      <c r="S1295" t="s">
        <v>355</v>
      </c>
      <c r="T1295">
        <v>2</v>
      </c>
      <c r="U1295" t="s">
        <v>159</v>
      </c>
      <c r="V1295" t="s">
        <v>303</v>
      </c>
      <c r="W1295" t="s">
        <v>437</v>
      </c>
      <c r="X1295" t="s">
        <v>306</v>
      </c>
      <c r="Y1295" t="s">
        <v>307</v>
      </c>
      <c r="Z1295">
        <v>65</v>
      </c>
      <c r="AA1295">
        <v>70</v>
      </c>
      <c r="AB1295" t="s">
        <v>143</v>
      </c>
      <c r="AC1295" t="s">
        <v>53</v>
      </c>
      <c r="AD1295" t="s">
        <v>404</v>
      </c>
      <c r="AE1295" t="str">
        <f>IF(AF1295="","",VLOOKUP(AC1295,mapel!$A$2:$B$42,2,FALSE))</f>
        <v>Sejarah</v>
      </c>
      <c r="AF1295">
        <f t="shared" si="60"/>
        <v>70</v>
      </c>
      <c r="AG1295" t="str">
        <f>IF(AF1295="","",IF(AF1295&gt;90,"Sangat baik",IF(AF1295&gt;79,"Baik",IF(AF1295&gt;=pub_gid_0_single_true_output_csv[[#This Row],[KKM]],"Cukup","Kurang"))))</f>
        <v>Cukup</v>
      </c>
      <c r="AH1295">
        <f t="shared" si="61"/>
        <v>11</v>
      </c>
      <c r="AI1295" s="30" t="str">
        <f>IF(OR(J1295&lt;&gt;"Karakter",pub_gid_0_single_true_output_csv[[#This Row],[Nilai2]]=""),"",IF(AF1295&gt;89,"Sangat baik",IF(AF1295&gt;79,"Baik",IF(AF1295&gt;69,"Cukup",IF(AF1295&gt;59,"Kurang","Sangat kurang")))))</f>
        <v>Cukup</v>
      </c>
      <c r="AJ1295" t="str">
        <f t="shared" si="62"/>
        <v>Wk.5</v>
      </c>
      <c r="AK1295" t="str">
        <f>IF(pub_gid_0_single_true_output_csv[[#This Row],[Nilai2]]="","",VLOOKUP(pub_gid_0_single_true_output_csv[[#This Row],[NAMA]],Table7[],3,FALSE))</f>
        <v>Extremely low</v>
      </c>
    </row>
    <row r="1296" spans="1:37" x14ac:dyDescent="0.2">
      <c r="A1296">
        <v>1295</v>
      </c>
      <c r="B1296" t="s">
        <v>288</v>
      </c>
      <c r="C1296" t="s">
        <v>54</v>
      </c>
      <c r="D1296" t="s">
        <v>35</v>
      </c>
      <c r="E1296" t="s">
        <v>140</v>
      </c>
      <c r="F1296" s="25">
        <v>46050</v>
      </c>
      <c r="G1296" t="s">
        <v>308</v>
      </c>
      <c r="H1296" t="s">
        <v>405</v>
      </c>
      <c r="I1296" t="s">
        <v>371</v>
      </c>
      <c r="J1296" t="s">
        <v>279</v>
      </c>
      <c r="K1296" t="s">
        <v>280</v>
      </c>
      <c r="L1296" t="s">
        <v>322</v>
      </c>
      <c r="M1296" t="s">
        <v>141</v>
      </c>
      <c r="N1296" t="s">
        <v>142</v>
      </c>
      <c r="O1296" t="s">
        <v>155</v>
      </c>
      <c r="P1296" t="s">
        <v>281</v>
      </c>
      <c r="Q1296" t="s">
        <v>155</v>
      </c>
      <c r="R1296" t="s">
        <v>302</v>
      </c>
      <c r="S1296" t="s">
        <v>355</v>
      </c>
      <c r="T1296">
        <v>2</v>
      </c>
      <c r="U1296" t="s">
        <v>159</v>
      </c>
      <c r="V1296" t="s">
        <v>303</v>
      </c>
      <c r="W1296" t="s">
        <v>437</v>
      </c>
      <c r="X1296" t="s">
        <v>306</v>
      </c>
      <c r="Y1296" t="s">
        <v>307</v>
      </c>
      <c r="Z1296">
        <v>65</v>
      </c>
      <c r="AA1296">
        <v>65</v>
      </c>
      <c r="AB1296" t="s">
        <v>143</v>
      </c>
      <c r="AC1296" t="s">
        <v>53</v>
      </c>
      <c r="AD1296" t="s">
        <v>404</v>
      </c>
      <c r="AE1296" t="str">
        <f>IF(AF1296="","",VLOOKUP(AC1296,mapel!$A$2:$B$42,2,FALSE))</f>
        <v>Sejarah</v>
      </c>
      <c r="AF1296">
        <f t="shared" si="60"/>
        <v>65</v>
      </c>
      <c r="AG1296" t="str">
        <f>IF(AF1296="","",IF(AF1296&gt;90,"Sangat baik",IF(AF1296&gt;79,"Baik",IF(AF1296&gt;=pub_gid_0_single_true_output_csv[[#This Row],[KKM]],"Cukup","Kurang"))))</f>
        <v>Cukup</v>
      </c>
      <c r="AH1296">
        <f t="shared" si="61"/>
        <v>11</v>
      </c>
      <c r="AI1296" s="30" t="str">
        <f>IF(OR(J1296&lt;&gt;"Karakter",pub_gid_0_single_true_output_csv[[#This Row],[Nilai2]]=""),"",IF(AF1296&gt;89,"Sangat baik",IF(AF1296&gt;79,"Baik",IF(AF1296&gt;69,"Cukup",IF(AF1296&gt;59,"Kurang","Sangat kurang")))))</f>
        <v/>
      </c>
      <c r="AJ1296" t="str">
        <f t="shared" si="62"/>
        <v>Wk.5</v>
      </c>
      <c r="AK1296" t="str">
        <f>IF(pub_gid_0_single_true_output_csv[[#This Row],[Nilai2]]="","",VLOOKUP(pub_gid_0_single_true_output_csv[[#This Row],[NAMA]],Table7[],3,FALSE))</f>
        <v>Extremely low</v>
      </c>
    </row>
    <row r="1297" spans="1:37" x14ac:dyDescent="0.2">
      <c r="A1297">
        <v>1296</v>
      </c>
      <c r="B1297" t="s">
        <v>288</v>
      </c>
      <c r="C1297" t="s">
        <v>54</v>
      </c>
      <c r="D1297" t="s">
        <v>35</v>
      </c>
      <c r="E1297" t="s">
        <v>140</v>
      </c>
      <c r="F1297" s="25">
        <v>46057</v>
      </c>
      <c r="G1297" t="s">
        <v>348</v>
      </c>
      <c r="H1297" t="s">
        <v>412</v>
      </c>
      <c r="I1297" t="s">
        <v>371</v>
      </c>
      <c r="J1297" t="s">
        <v>36</v>
      </c>
      <c r="K1297" t="s">
        <v>37</v>
      </c>
      <c r="L1297" t="s">
        <v>351</v>
      </c>
      <c r="M1297" t="s">
        <v>141</v>
      </c>
      <c r="N1297" t="s">
        <v>142</v>
      </c>
      <c r="O1297" t="s">
        <v>155</v>
      </c>
      <c r="P1297" t="s">
        <v>281</v>
      </c>
      <c r="Q1297" t="s">
        <v>155</v>
      </c>
      <c r="R1297" t="s">
        <v>302</v>
      </c>
      <c r="S1297" t="s">
        <v>355</v>
      </c>
      <c r="T1297">
        <v>2</v>
      </c>
      <c r="U1297" t="s">
        <v>159</v>
      </c>
      <c r="V1297" t="s">
        <v>303</v>
      </c>
      <c r="W1297" t="s">
        <v>437</v>
      </c>
      <c r="X1297" t="s">
        <v>306</v>
      </c>
      <c r="Y1297" t="s">
        <v>307</v>
      </c>
      <c r="Z1297">
        <v>65</v>
      </c>
      <c r="AA1297">
        <v>68</v>
      </c>
      <c r="AB1297" t="s">
        <v>143</v>
      </c>
      <c r="AC1297" t="s">
        <v>53</v>
      </c>
      <c r="AD1297" t="s">
        <v>404</v>
      </c>
      <c r="AE1297" t="str">
        <f>IF(AF1297="","",VLOOKUP(AC1297,mapel!$A$2:$B$42,2,FALSE))</f>
        <v>Sejarah</v>
      </c>
      <c r="AF1297">
        <f t="shared" si="60"/>
        <v>68</v>
      </c>
      <c r="AG1297" t="str">
        <f>IF(AF1297="","",IF(AF1297&gt;90,"Sangat baik",IF(AF1297&gt;79,"Baik",IF(AF1297&gt;=pub_gid_0_single_true_output_csv[[#This Row],[KKM]],"Cukup","Kurang"))))</f>
        <v>Cukup</v>
      </c>
      <c r="AH1297">
        <f t="shared" si="61"/>
        <v>11</v>
      </c>
      <c r="AI1297" s="30" t="str">
        <f>IF(OR(J1297&lt;&gt;"Karakter",pub_gid_0_single_true_output_csv[[#This Row],[Nilai2]]=""),"",IF(AF1297&gt;89,"Sangat baik",IF(AF1297&gt;79,"Baik",IF(AF1297&gt;69,"Cukup",IF(AF1297&gt;59,"Kurang","Sangat kurang")))))</f>
        <v/>
      </c>
      <c r="AJ1297" t="str">
        <f t="shared" si="62"/>
        <v>Wk.6</v>
      </c>
      <c r="AK1297" t="str">
        <f>IF(pub_gid_0_single_true_output_csv[[#This Row],[Nilai2]]="","",VLOOKUP(pub_gid_0_single_true_output_csv[[#This Row],[NAMA]],Table7[],3,FALSE))</f>
        <v>Extremely low</v>
      </c>
    </row>
    <row r="1298" spans="1:37" x14ac:dyDescent="0.2">
      <c r="A1298">
        <v>1297</v>
      </c>
      <c r="B1298" t="s">
        <v>288</v>
      </c>
      <c r="C1298" t="s">
        <v>54</v>
      </c>
      <c r="D1298" t="s">
        <v>35</v>
      </c>
      <c r="E1298" t="s">
        <v>140</v>
      </c>
      <c r="F1298" s="25">
        <v>46057</v>
      </c>
      <c r="G1298" t="s">
        <v>348</v>
      </c>
      <c r="H1298" t="s">
        <v>412</v>
      </c>
      <c r="I1298" t="s">
        <v>371</v>
      </c>
      <c r="J1298" t="s">
        <v>31</v>
      </c>
      <c r="K1298" t="s">
        <v>96</v>
      </c>
      <c r="L1298" t="s">
        <v>351</v>
      </c>
      <c r="M1298" t="s">
        <v>141</v>
      </c>
      <c r="N1298" t="s">
        <v>142</v>
      </c>
      <c r="O1298" t="s">
        <v>155</v>
      </c>
      <c r="P1298" t="s">
        <v>281</v>
      </c>
      <c r="Q1298" t="s">
        <v>155</v>
      </c>
      <c r="R1298" t="s">
        <v>302</v>
      </c>
      <c r="S1298" t="s">
        <v>355</v>
      </c>
      <c r="T1298">
        <v>2</v>
      </c>
      <c r="U1298" t="s">
        <v>159</v>
      </c>
      <c r="V1298" t="s">
        <v>303</v>
      </c>
      <c r="W1298" t="s">
        <v>437</v>
      </c>
      <c r="X1298" t="s">
        <v>306</v>
      </c>
      <c r="Y1298" t="s">
        <v>307</v>
      </c>
      <c r="Z1298">
        <v>65</v>
      </c>
      <c r="AA1298">
        <v>65</v>
      </c>
      <c r="AB1298" t="s">
        <v>143</v>
      </c>
      <c r="AC1298" t="s">
        <v>53</v>
      </c>
      <c r="AD1298" t="s">
        <v>404</v>
      </c>
      <c r="AE1298" t="str">
        <f>IF(AF1298="","",VLOOKUP(AC1298,mapel!$A$2:$B$42,2,FALSE))</f>
        <v>Sejarah</v>
      </c>
      <c r="AF1298">
        <f t="shared" si="60"/>
        <v>65</v>
      </c>
      <c r="AG1298" t="str">
        <f>IF(AF1298="","",IF(AF1298&gt;90,"Sangat baik",IF(AF1298&gt;79,"Baik",IF(AF1298&gt;=pub_gid_0_single_true_output_csv[[#This Row],[KKM]],"Cukup","Kurang"))))</f>
        <v>Cukup</v>
      </c>
      <c r="AH1298">
        <f t="shared" si="61"/>
        <v>11</v>
      </c>
      <c r="AI1298" s="30" t="str">
        <f>IF(OR(J1298&lt;&gt;"Karakter",pub_gid_0_single_true_output_csv[[#This Row],[Nilai2]]=""),"",IF(AF1298&gt;89,"Sangat baik",IF(AF1298&gt;79,"Baik",IF(AF1298&gt;69,"Cukup",IF(AF1298&gt;59,"Kurang","Sangat kurang")))))</f>
        <v/>
      </c>
      <c r="AJ1298" t="str">
        <f t="shared" si="62"/>
        <v>Wk.6</v>
      </c>
      <c r="AK1298" t="str">
        <f>IF(pub_gid_0_single_true_output_csv[[#This Row],[Nilai2]]="","",VLOOKUP(pub_gid_0_single_true_output_csv[[#This Row],[NAMA]],Table7[],3,FALSE))</f>
        <v>Extremely low</v>
      </c>
    </row>
    <row r="1299" spans="1:37" x14ac:dyDescent="0.2">
      <c r="A1299">
        <v>1298</v>
      </c>
      <c r="B1299" t="s">
        <v>288</v>
      </c>
      <c r="C1299" t="s">
        <v>54</v>
      </c>
      <c r="D1299" t="s">
        <v>35</v>
      </c>
      <c r="E1299" t="s">
        <v>140</v>
      </c>
      <c r="F1299" s="25">
        <v>46057</v>
      </c>
      <c r="G1299" t="s">
        <v>348</v>
      </c>
      <c r="H1299" t="s">
        <v>412</v>
      </c>
      <c r="I1299" t="s">
        <v>371</v>
      </c>
      <c r="J1299" t="s">
        <v>90</v>
      </c>
      <c r="K1299" t="s">
        <v>92</v>
      </c>
      <c r="L1299" t="s">
        <v>93</v>
      </c>
      <c r="M1299" t="s">
        <v>141</v>
      </c>
      <c r="N1299" t="s">
        <v>142</v>
      </c>
      <c r="O1299" t="s">
        <v>155</v>
      </c>
      <c r="P1299" t="s">
        <v>281</v>
      </c>
      <c r="Q1299" t="s">
        <v>155</v>
      </c>
      <c r="R1299" t="s">
        <v>302</v>
      </c>
      <c r="S1299" t="s">
        <v>355</v>
      </c>
      <c r="T1299">
        <v>2</v>
      </c>
      <c r="U1299" t="s">
        <v>159</v>
      </c>
      <c r="V1299" t="s">
        <v>303</v>
      </c>
      <c r="W1299" t="s">
        <v>437</v>
      </c>
      <c r="X1299" t="s">
        <v>306</v>
      </c>
      <c r="Y1299" t="s">
        <v>307</v>
      </c>
      <c r="Z1299">
        <v>65</v>
      </c>
      <c r="AA1299">
        <v>70</v>
      </c>
      <c r="AB1299" t="s">
        <v>143</v>
      </c>
      <c r="AC1299" t="s">
        <v>53</v>
      </c>
      <c r="AD1299" t="s">
        <v>404</v>
      </c>
      <c r="AE1299" t="str">
        <f>IF(AF1299="","",VLOOKUP(AC1299,mapel!$A$2:$B$42,2,FALSE))</f>
        <v>Sejarah</v>
      </c>
      <c r="AF1299">
        <f t="shared" si="60"/>
        <v>70</v>
      </c>
      <c r="AG1299" t="str">
        <f>IF(AF1299="","",IF(AF1299&gt;90,"Sangat baik",IF(AF1299&gt;79,"Baik",IF(AF1299&gt;=pub_gid_0_single_true_output_csv[[#This Row],[KKM]],"Cukup","Kurang"))))</f>
        <v>Cukup</v>
      </c>
      <c r="AH1299">
        <f t="shared" si="61"/>
        <v>11</v>
      </c>
      <c r="AI1299" s="30" t="str">
        <f>IF(OR(J1299&lt;&gt;"Karakter",pub_gid_0_single_true_output_csv[[#This Row],[Nilai2]]=""),"",IF(AF1299&gt;89,"Sangat baik",IF(AF1299&gt;79,"Baik",IF(AF1299&gt;69,"Cukup",IF(AF1299&gt;59,"Kurang","Sangat kurang")))))</f>
        <v>Cukup</v>
      </c>
      <c r="AJ1299" t="str">
        <f t="shared" si="62"/>
        <v>Wk.6</v>
      </c>
      <c r="AK1299" t="str">
        <f>IF(pub_gid_0_single_true_output_csv[[#This Row],[Nilai2]]="","",VLOOKUP(pub_gid_0_single_true_output_csv[[#This Row],[NAMA]],Table7[],3,FALSE))</f>
        <v>Extremely low</v>
      </c>
    </row>
    <row r="1300" spans="1:37" x14ac:dyDescent="0.2">
      <c r="A1300">
        <v>1299</v>
      </c>
      <c r="B1300" t="s">
        <v>288</v>
      </c>
      <c r="C1300" t="s">
        <v>54</v>
      </c>
      <c r="D1300" t="s">
        <v>35</v>
      </c>
      <c r="E1300" t="s">
        <v>140</v>
      </c>
      <c r="F1300" s="25">
        <v>46057</v>
      </c>
      <c r="G1300" t="s">
        <v>348</v>
      </c>
      <c r="H1300" t="s">
        <v>412</v>
      </c>
      <c r="I1300" t="s">
        <v>371</v>
      </c>
      <c r="J1300" t="s">
        <v>279</v>
      </c>
      <c r="K1300" t="s">
        <v>280</v>
      </c>
      <c r="L1300" t="s">
        <v>322</v>
      </c>
      <c r="M1300" t="s">
        <v>141</v>
      </c>
      <c r="N1300" t="s">
        <v>142</v>
      </c>
      <c r="O1300" t="s">
        <v>155</v>
      </c>
      <c r="P1300" t="s">
        <v>281</v>
      </c>
      <c r="Q1300" t="s">
        <v>155</v>
      </c>
      <c r="R1300" t="s">
        <v>302</v>
      </c>
      <c r="S1300" t="s">
        <v>355</v>
      </c>
      <c r="T1300">
        <v>2</v>
      </c>
      <c r="U1300" t="s">
        <v>159</v>
      </c>
      <c r="V1300" t="s">
        <v>303</v>
      </c>
      <c r="W1300" t="s">
        <v>437</v>
      </c>
      <c r="X1300" t="s">
        <v>306</v>
      </c>
      <c r="Y1300" t="s">
        <v>307</v>
      </c>
      <c r="Z1300">
        <v>65</v>
      </c>
      <c r="AA1300">
        <v>65</v>
      </c>
      <c r="AB1300" t="s">
        <v>143</v>
      </c>
      <c r="AC1300" t="s">
        <v>53</v>
      </c>
      <c r="AD1300" t="s">
        <v>404</v>
      </c>
      <c r="AE1300" t="str">
        <f>IF(AF1300="","",VLOOKUP(AC1300,mapel!$A$2:$B$42,2,FALSE))</f>
        <v>Sejarah</v>
      </c>
      <c r="AF1300">
        <f t="shared" si="60"/>
        <v>65</v>
      </c>
      <c r="AG1300" t="str">
        <f>IF(AF1300="","",IF(AF1300&gt;90,"Sangat baik",IF(AF1300&gt;79,"Baik",IF(AF1300&gt;=pub_gid_0_single_true_output_csv[[#This Row],[KKM]],"Cukup","Kurang"))))</f>
        <v>Cukup</v>
      </c>
      <c r="AH1300">
        <f t="shared" si="61"/>
        <v>11</v>
      </c>
      <c r="AI1300" s="30" t="str">
        <f>IF(OR(J1300&lt;&gt;"Karakter",pub_gid_0_single_true_output_csv[[#This Row],[Nilai2]]=""),"",IF(AF1300&gt;89,"Sangat baik",IF(AF1300&gt;79,"Baik",IF(AF1300&gt;69,"Cukup",IF(AF1300&gt;59,"Kurang","Sangat kurang")))))</f>
        <v/>
      </c>
      <c r="AJ1300" t="str">
        <f t="shared" si="62"/>
        <v>Wk.6</v>
      </c>
      <c r="AK1300" t="str">
        <f>IF(pub_gid_0_single_true_output_csv[[#This Row],[Nilai2]]="","",VLOOKUP(pub_gid_0_single_true_output_csv[[#This Row],[NAMA]],Table7[],3,FALSE))</f>
        <v>Extremely low</v>
      </c>
    </row>
    <row r="1301" spans="1:37" x14ac:dyDescent="0.2">
      <c r="A1301">
        <v>1300</v>
      </c>
      <c r="B1301" t="s">
        <v>288</v>
      </c>
      <c r="C1301" t="s">
        <v>54</v>
      </c>
      <c r="D1301" t="s">
        <v>35</v>
      </c>
      <c r="E1301" t="s">
        <v>140</v>
      </c>
      <c r="F1301" s="25">
        <v>46064</v>
      </c>
      <c r="G1301" t="s">
        <v>352</v>
      </c>
      <c r="H1301" t="s">
        <v>412</v>
      </c>
      <c r="I1301" t="s">
        <v>371</v>
      </c>
      <c r="J1301" t="s">
        <v>36</v>
      </c>
      <c r="K1301" t="s">
        <v>37</v>
      </c>
      <c r="L1301" t="s">
        <v>351</v>
      </c>
      <c r="M1301" t="s">
        <v>141</v>
      </c>
      <c r="N1301" t="s">
        <v>142</v>
      </c>
      <c r="O1301" t="s">
        <v>155</v>
      </c>
      <c r="P1301" t="s">
        <v>281</v>
      </c>
      <c r="Q1301" t="s">
        <v>155</v>
      </c>
      <c r="R1301" t="s">
        <v>302</v>
      </c>
      <c r="S1301" t="s">
        <v>380</v>
      </c>
      <c r="T1301">
        <v>3</v>
      </c>
      <c r="U1301" t="s">
        <v>159</v>
      </c>
      <c r="V1301" t="s">
        <v>381</v>
      </c>
      <c r="W1301" t="s">
        <v>438</v>
      </c>
      <c r="X1301" t="s">
        <v>306</v>
      </c>
      <c r="Y1301" t="s">
        <v>307</v>
      </c>
      <c r="Z1301">
        <v>65</v>
      </c>
      <c r="AA1301">
        <v>68</v>
      </c>
      <c r="AB1301" t="s">
        <v>143</v>
      </c>
      <c r="AC1301" t="s">
        <v>53</v>
      </c>
      <c r="AD1301" t="s">
        <v>404</v>
      </c>
      <c r="AE1301" t="str">
        <f>IF(AF1301="","",VLOOKUP(AC1301,mapel!$A$2:$B$42,2,FALSE))</f>
        <v>Sejarah</v>
      </c>
      <c r="AF1301">
        <f t="shared" si="60"/>
        <v>68</v>
      </c>
      <c r="AG1301" t="str">
        <f>IF(AF1301="","",IF(AF1301&gt;90,"Sangat baik",IF(AF1301&gt;79,"Baik",IF(AF1301&gt;=pub_gid_0_single_true_output_csv[[#This Row],[KKM]],"Cukup","Kurang"))))</f>
        <v>Cukup</v>
      </c>
      <c r="AH1301">
        <f t="shared" si="61"/>
        <v>11</v>
      </c>
      <c r="AI1301" s="30" t="str">
        <f>IF(OR(J1301&lt;&gt;"Karakter",pub_gid_0_single_true_output_csv[[#This Row],[Nilai2]]=""),"",IF(AF1301&gt;89,"Sangat baik",IF(AF1301&gt;79,"Baik",IF(AF1301&gt;69,"Cukup",IF(AF1301&gt;59,"Kurang","Sangat kurang")))))</f>
        <v/>
      </c>
      <c r="AJ1301" t="str">
        <f t="shared" si="62"/>
        <v>Wk.7</v>
      </c>
      <c r="AK1301" t="str">
        <f>IF(pub_gid_0_single_true_output_csv[[#This Row],[Nilai2]]="","",VLOOKUP(pub_gid_0_single_true_output_csv[[#This Row],[NAMA]],Table7[],3,FALSE))</f>
        <v>Extremely low</v>
      </c>
    </row>
    <row r="1302" spans="1:37" x14ac:dyDescent="0.2">
      <c r="A1302">
        <v>1301</v>
      </c>
      <c r="B1302" t="s">
        <v>288</v>
      </c>
      <c r="C1302" t="s">
        <v>54</v>
      </c>
      <c r="D1302" t="s">
        <v>35</v>
      </c>
      <c r="E1302" t="s">
        <v>140</v>
      </c>
      <c r="F1302" s="25">
        <v>46064</v>
      </c>
      <c r="G1302" t="s">
        <v>352</v>
      </c>
      <c r="H1302" t="s">
        <v>412</v>
      </c>
      <c r="I1302" t="s">
        <v>371</v>
      </c>
      <c r="J1302" t="s">
        <v>31</v>
      </c>
      <c r="K1302" t="s">
        <v>96</v>
      </c>
      <c r="L1302" t="s">
        <v>351</v>
      </c>
      <c r="M1302" t="s">
        <v>141</v>
      </c>
      <c r="N1302" t="s">
        <v>142</v>
      </c>
      <c r="O1302" t="s">
        <v>155</v>
      </c>
      <c r="P1302" t="s">
        <v>281</v>
      </c>
      <c r="Q1302" t="s">
        <v>155</v>
      </c>
      <c r="R1302" t="s">
        <v>302</v>
      </c>
      <c r="S1302" t="s">
        <v>380</v>
      </c>
      <c r="T1302">
        <v>3</v>
      </c>
      <c r="U1302" t="s">
        <v>159</v>
      </c>
      <c r="V1302" t="s">
        <v>381</v>
      </c>
      <c r="W1302" t="s">
        <v>438</v>
      </c>
      <c r="X1302" t="s">
        <v>306</v>
      </c>
      <c r="Y1302" t="s">
        <v>307</v>
      </c>
      <c r="Z1302">
        <v>65</v>
      </c>
      <c r="AA1302">
        <v>60</v>
      </c>
      <c r="AB1302" t="s">
        <v>151</v>
      </c>
      <c r="AC1302" t="s">
        <v>53</v>
      </c>
      <c r="AD1302" t="s">
        <v>404</v>
      </c>
      <c r="AE1302" t="str">
        <f>IF(AF1302="","",VLOOKUP(AC1302,mapel!$A$2:$B$42,2,FALSE))</f>
        <v>Sejarah</v>
      </c>
      <c r="AF1302">
        <f t="shared" si="60"/>
        <v>60</v>
      </c>
      <c r="AG1302" t="str">
        <f>IF(AF1302="","",IF(AF1302&gt;90,"Sangat baik",IF(AF1302&gt;79,"Baik",IF(AF1302&gt;=pub_gid_0_single_true_output_csv[[#This Row],[KKM]],"Cukup","Kurang"))))</f>
        <v>Kurang</v>
      </c>
      <c r="AH1302">
        <f t="shared" si="61"/>
        <v>11</v>
      </c>
      <c r="AI1302" s="30" t="str">
        <f>IF(OR(J1302&lt;&gt;"Karakter",pub_gid_0_single_true_output_csv[[#This Row],[Nilai2]]=""),"",IF(AF1302&gt;89,"Sangat baik",IF(AF1302&gt;79,"Baik",IF(AF1302&gt;69,"Cukup",IF(AF1302&gt;59,"Kurang","Sangat kurang")))))</f>
        <v/>
      </c>
      <c r="AJ1302" t="str">
        <f t="shared" si="62"/>
        <v>Wk.7</v>
      </c>
      <c r="AK1302" t="str">
        <f>IF(pub_gid_0_single_true_output_csv[[#This Row],[Nilai2]]="","",VLOOKUP(pub_gid_0_single_true_output_csv[[#This Row],[NAMA]],Table7[],3,FALSE))</f>
        <v>Extremely low</v>
      </c>
    </row>
    <row r="1303" spans="1:37" x14ac:dyDescent="0.2">
      <c r="A1303">
        <v>1302</v>
      </c>
      <c r="B1303" t="s">
        <v>288</v>
      </c>
      <c r="C1303" t="s">
        <v>54</v>
      </c>
      <c r="D1303" t="s">
        <v>35</v>
      </c>
      <c r="E1303" t="s">
        <v>140</v>
      </c>
      <c r="F1303" s="25">
        <v>46064</v>
      </c>
      <c r="G1303" t="s">
        <v>352</v>
      </c>
      <c r="H1303" t="s">
        <v>412</v>
      </c>
      <c r="I1303" t="s">
        <v>371</v>
      </c>
      <c r="J1303" t="s">
        <v>90</v>
      </c>
      <c r="K1303" t="s">
        <v>92</v>
      </c>
      <c r="L1303" t="s">
        <v>93</v>
      </c>
      <c r="M1303" t="s">
        <v>141</v>
      </c>
      <c r="N1303" t="s">
        <v>142</v>
      </c>
      <c r="O1303" t="s">
        <v>155</v>
      </c>
      <c r="P1303" t="s">
        <v>281</v>
      </c>
      <c r="Q1303" t="s">
        <v>155</v>
      </c>
      <c r="R1303" t="s">
        <v>302</v>
      </c>
      <c r="S1303" t="s">
        <v>380</v>
      </c>
      <c r="T1303">
        <v>3</v>
      </c>
      <c r="U1303" t="s">
        <v>159</v>
      </c>
      <c r="V1303" t="s">
        <v>381</v>
      </c>
      <c r="W1303" t="s">
        <v>438</v>
      </c>
      <c r="X1303" t="s">
        <v>306</v>
      </c>
      <c r="Y1303" t="s">
        <v>307</v>
      </c>
      <c r="Z1303">
        <v>65</v>
      </c>
      <c r="AA1303">
        <v>69</v>
      </c>
      <c r="AB1303" t="s">
        <v>143</v>
      </c>
      <c r="AC1303" t="s">
        <v>53</v>
      </c>
      <c r="AD1303" t="s">
        <v>404</v>
      </c>
      <c r="AE1303" t="str">
        <f>IF(AF1303="","",VLOOKUP(AC1303,mapel!$A$2:$B$42,2,FALSE))</f>
        <v>Sejarah</v>
      </c>
      <c r="AF1303">
        <f t="shared" si="60"/>
        <v>69</v>
      </c>
      <c r="AG1303" t="str">
        <f>IF(AF1303="","",IF(AF1303&gt;90,"Sangat baik",IF(AF1303&gt;79,"Baik",IF(AF1303&gt;=pub_gid_0_single_true_output_csv[[#This Row],[KKM]],"Cukup","Kurang"))))</f>
        <v>Cukup</v>
      </c>
      <c r="AH1303">
        <f t="shared" si="61"/>
        <v>11</v>
      </c>
      <c r="AI1303" s="30" t="str">
        <f>IF(OR(J1303&lt;&gt;"Karakter",pub_gid_0_single_true_output_csv[[#This Row],[Nilai2]]=""),"",IF(AF1303&gt;89,"Sangat baik",IF(AF1303&gt;79,"Baik",IF(AF1303&gt;69,"Cukup",IF(AF1303&gt;59,"Kurang","Sangat kurang")))))</f>
        <v>Kurang</v>
      </c>
      <c r="AJ1303" t="str">
        <f t="shared" si="62"/>
        <v>Wk.7</v>
      </c>
      <c r="AK1303" t="str">
        <f>IF(pub_gid_0_single_true_output_csv[[#This Row],[Nilai2]]="","",VLOOKUP(pub_gid_0_single_true_output_csv[[#This Row],[NAMA]],Table7[],3,FALSE))</f>
        <v>Extremely low</v>
      </c>
    </row>
    <row r="1304" spans="1:37" x14ac:dyDescent="0.2">
      <c r="A1304">
        <v>1303</v>
      </c>
      <c r="B1304" t="s">
        <v>288</v>
      </c>
      <c r="C1304" t="s">
        <v>54</v>
      </c>
      <c r="D1304" t="s">
        <v>35</v>
      </c>
      <c r="E1304" t="s">
        <v>140</v>
      </c>
      <c r="F1304" s="25">
        <v>46064</v>
      </c>
      <c r="G1304" t="s">
        <v>352</v>
      </c>
      <c r="H1304" t="s">
        <v>412</v>
      </c>
      <c r="I1304" t="s">
        <v>371</v>
      </c>
      <c r="J1304" t="s">
        <v>279</v>
      </c>
      <c r="K1304" t="s">
        <v>280</v>
      </c>
      <c r="L1304" t="s">
        <v>322</v>
      </c>
      <c r="M1304" t="s">
        <v>141</v>
      </c>
      <c r="N1304" t="s">
        <v>142</v>
      </c>
      <c r="O1304" t="s">
        <v>155</v>
      </c>
      <c r="P1304" t="s">
        <v>281</v>
      </c>
      <c r="Q1304" t="s">
        <v>155</v>
      </c>
      <c r="R1304" t="s">
        <v>302</v>
      </c>
      <c r="S1304" t="s">
        <v>380</v>
      </c>
      <c r="T1304">
        <v>3</v>
      </c>
      <c r="U1304" t="s">
        <v>159</v>
      </c>
      <c r="V1304" t="s">
        <v>381</v>
      </c>
      <c r="W1304" t="s">
        <v>438</v>
      </c>
      <c r="X1304" t="s">
        <v>306</v>
      </c>
      <c r="Y1304" t="s">
        <v>307</v>
      </c>
      <c r="Z1304">
        <v>65</v>
      </c>
      <c r="AA1304">
        <v>69</v>
      </c>
      <c r="AB1304" t="s">
        <v>143</v>
      </c>
      <c r="AC1304" t="s">
        <v>53</v>
      </c>
      <c r="AD1304" t="s">
        <v>404</v>
      </c>
      <c r="AE1304" t="str">
        <f>IF(AF1304="","",VLOOKUP(AC1304,mapel!$A$2:$B$42,2,FALSE))</f>
        <v>Sejarah</v>
      </c>
      <c r="AF1304">
        <f t="shared" si="60"/>
        <v>69</v>
      </c>
      <c r="AG1304" t="str">
        <f>IF(AF1304="","",IF(AF1304&gt;90,"Sangat baik",IF(AF1304&gt;79,"Baik",IF(AF1304&gt;=pub_gid_0_single_true_output_csv[[#This Row],[KKM]],"Cukup","Kurang"))))</f>
        <v>Cukup</v>
      </c>
      <c r="AH1304">
        <f t="shared" si="61"/>
        <v>11</v>
      </c>
      <c r="AI1304" s="30" t="str">
        <f>IF(OR(J1304&lt;&gt;"Karakter",pub_gid_0_single_true_output_csv[[#This Row],[Nilai2]]=""),"",IF(AF1304&gt;89,"Sangat baik",IF(AF1304&gt;79,"Baik",IF(AF1304&gt;69,"Cukup",IF(AF1304&gt;59,"Kurang","Sangat kurang")))))</f>
        <v/>
      </c>
      <c r="AJ1304" t="str">
        <f t="shared" si="62"/>
        <v>Wk.7</v>
      </c>
      <c r="AK1304" t="str">
        <f>IF(pub_gid_0_single_true_output_csv[[#This Row],[Nilai2]]="","",VLOOKUP(pub_gid_0_single_true_output_csv[[#This Row],[NAMA]],Table7[],3,FALSE))</f>
        <v>Extremely low</v>
      </c>
    </row>
    <row r="1305" spans="1:37" x14ac:dyDescent="0.2">
      <c r="A1305">
        <v>1304</v>
      </c>
      <c r="B1305" t="s">
        <v>288</v>
      </c>
      <c r="C1305" t="s">
        <v>54</v>
      </c>
      <c r="D1305" t="s">
        <v>35</v>
      </c>
      <c r="E1305" t="s">
        <v>140</v>
      </c>
      <c r="F1305" s="25">
        <v>46071</v>
      </c>
      <c r="G1305" t="s">
        <v>323</v>
      </c>
      <c r="H1305" t="s">
        <v>412</v>
      </c>
      <c r="I1305" t="s">
        <v>371</v>
      </c>
      <c r="J1305" t="s">
        <v>36</v>
      </c>
      <c r="K1305" t="s">
        <v>362</v>
      </c>
      <c r="L1305" t="s">
        <v>363</v>
      </c>
      <c r="M1305" t="s">
        <v>141</v>
      </c>
      <c r="N1305" t="s">
        <v>142</v>
      </c>
      <c r="O1305" t="s">
        <v>155</v>
      </c>
      <c r="P1305" t="s">
        <v>281</v>
      </c>
      <c r="Q1305" t="s">
        <v>155</v>
      </c>
      <c r="R1305" t="s">
        <v>302</v>
      </c>
      <c r="S1305" t="s">
        <v>309</v>
      </c>
      <c r="T1305">
        <v>1</v>
      </c>
      <c r="U1305" t="s">
        <v>435</v>
      </c>
      <c r="V1305" t="s">
        <v>285</v>
      </c>
      <c r="W1305" t="s">
        <v>436</v>
      </c>
      <c r="X1305" t="s">
        <v>306</v>
      </c>
      <c r="Y1305" t="s">
        <v>307</v>
      </c>
      <c r="Z1305">
        <v>65</v>
      </c>
      <c r="AA1305">
        <v>64</v>
      </c>
      <c r="AB1305" t="s">
        <v>151</v>
      </c>
      <c r="AC1305" t="s">
        <v>53</v>
      </c>
      <c r="AD1305" t="s">
        <v>404</v>
      </c>
      <c r="AE1305" t="str">
        <f>IF(AF1305="","",VLOOKUP(AC1305,mapel!$A$2:$B$42,2,FALSE))</f>
        <v>Sejarah</v>
      </c>
      <c r="AF1305">
        <f t="shared" si="60"/>
        <v>64</v>
      </c>
      <c r="AG1305" t="str">
        <f>IF(AF1305="","",IF(AF1305&gt;90,"Sangat baik",IF(AF1305&gt;79,"Baik",IF(AF1305&gt;=pub_gid_0_single_true_output_csv[[#This Row],[KKM]],"Cukup","Kurang"))))</f>
        <v>Kurang</v>
      </c>
      <c r="AH1305">
        <f t="shared" si="61"/>
        <v>11</v>
      </c>
      <c r="AI1305" s="30" t="str">
        <f>IF(OR(J1305&lt;&gt;"Karakter",pub_gid_0_single_true_output_csv[[#This Row],[Nilai2]]=""),"",IF(AF1305&gt;89,"Sangat baik",IF(AF1305&gt;79,"Baik",IF(AF1305&gt;69,"Cukup",IF(AF1305&gt;59,"Kurang","Sangat kurang")))))</f>
        <v/>
      </c>
      <c r="AJ1305" t="str">
        <f t="shared" si="62"/>
        <v>Wk.8</v>
      </c>
      <c r="AK1305" t="str">
        <f>IF(pub_gid_0_single_true_output_csv[[#This Row],[Nilai2]]="","",VLOOKUP(pub_gid_0_single_true_output_csv[[#This Row],[NAMA]],Table7[],3,FALSE))</f>
        <v>Extremely low</v>
      </c>
    </row>
    <row r="1306" spans="1:37" x14ac:dyDescent="0.2">
      <c r="A1306">
        <v>1305</v>
      </c>
      <c r="B1306" t="s">
        <v>288</v>
      </c>
      <c r="C1306" t="s">
        <v>54</v>
      </c>
      <c r="D1306" t="s">
        <v>35</v>
      </c>
      <c r="E1306" t="s">
        <v>140</v>
      </c>
      <c r="F1306" s="25">
        <v>46071</v>
      </c>
      <c r="G1306" t="s">
        <v>323</v>
      </c>
      <c r="H1306" t="s">
        <v>412</v>
      </c>
      <c r="I1306" t="s">
        <v>371</v>
      </c>
      <c r="J1306" t="s">
        <v>90</v>
      </c>
      <c r="K1306" t="s">
        <v>92</v>
      </c>
      <c r="L1306" t="s">
        <v>93</v>
      </c>
      <c r="M1306" t="s">
        <v>141</v>
      </c>
      <c r="N1306" t="s">
        <v>142</v>
      </c>
      <c r="O1306" t="s">
        <v>155</v>
      </c>
      <c r="P1306" t="s">
        <v>281</v>
      </c>
      <c r="Q1306" t="s">
        <v>155</v>
      </c>
      <c r="R1306" t="s">
        <v>302</v>
      </c>
      <c r="S1306" t="s">
        <v>309</v>
      </c>
      <c r="T1306">
        <v>1</v>
      </c>
      <c r="U1306" t="s">
        <v>435</v>
      </c>
      <c r="V1306" t="s">
        <v>285</v>
      </c>
      <c r="W1306" t="s">
        <v>436</v>
      </c>
      <c r="X1306" t="s">
        <v>306</v>
      </c>
      <c r="Y1306" t="s">
        <v>307</v>
      </c>
      <c r="Z1306">
        <v>65</v>
      </c>
      <c r="AA1306">
        <v>70</v>
      </c>
      <c r="AB1306" t="s">
        <v>143</v>
      </c>
      <c r="AC1306" t="s">
        <v>53</v>
      </c>
      <c r="AD1306" t="s">
        <v>404</v>
      </c>
      <c r="AE1306" t="str">
        <f>IF(AF1306="","",VLOOKUP(AC1306,mapel!$A$2:$B$42,2,FALSE))</f>
        <v>Sejarah</v>
      </c>
      <c r="AF1306">
        <f t="shared" si="60"/>
        <v>70</v>
      </c>
      <c r="AG1306" t="str">
        <f>IF(AF1306="","",IF(AF1306&gt;90,"Sangat baik",IF(AF1306&gt;79,"Baik",IF(AF1306&gt;=pub_gid_0_single_true_output_csv[[#This Row],[KKM]],"Cukup","Kurang"))))</f>
        <v>Cukup</v>
      </c>
      <c r="AH1306">
        <f t="shared" si="61"/>
        <v>11</v>
      </c>
      <c r="AI1306" s="30" t="str">
        <f>IF(OR(J1306&lt;&gt;"Karakter",pub_gid_0_single_true_output_csv[[#This Row],[Nilai2]]=""),"",IF(AF1306&gt;89,"Sangat baik",IF(AF1306&gt;79,"Baik",IF(AF1306&gt;69,"Cukup",IF(AF1306&gt;59,"Kurang","Sangat kurang")))))</f>
        <v>Cukup</v>
      </c>
      <c r="AJ1306" t="str">
        <f t="shared" si="62"/>
        <v>Wk.8</v>
      </c>
      <c r="AK1306" t="str">
        <f>IF(pub_gid_0_single_true_output_csv[[#This Row],[Nilai2]]="","",VLOOKUP(pub_gid_0_single_true_output_csv[[#This Row],[NAMA]],Table7[],3,FALSE))</f>
        <v>Extremely low</v>
      </c>
    </row>
    <row r="1307" spans="1:37" x14ac:dyDescent="0.2">
      <c r="A1307">
        <v>1306</v>
      </c>
      <c r="B1307" t="s">
        <v>294</v>
      </c>
      <c r="C1307" t="s">
        <v>54</v>
      </c>
      <c r="D1307" t="s">
        <v>46</v>
      </c>
      <c r="E1307" t="s">
        <v>148</v>
      </c>
      <c r="F1307" s="25">
        <v>46036</v>
      </c>
      <c r="G1307" t="s">
        <v>353</v>
      </c>
      <c r="H1307" t="s">
        <v>405</v>
      </c>
      <c r="I1307" t="s">
        <v>371</v>
      </c>
      <c r="J1307" t="s">
        <v>36</v>
      </c>
      <c r="K1307" t="s">
        <v>37</v>
      </c>
      <c r="L1307" t="s">
        <v>351</v>
      </c>
      <c r="M1307" t="s">
        <v>141</v>
      </c>
      <c r="N1307" t="s">
        <v>142</v>
      </c>
      <c r="O1307" t="s">
        <v>155</v>
      </c>
      <c r="P1307" t="s">
        <v>281</v>
      </c>
      <c r="Q1307" t="s">
        <v>155</v>
      </c>
      <c r="R1307" t="s">
        <v>302</v>
      </c>
      <c r="S1307" t="s">
        <v>309</v>
      </c>
      <c r="T1307">
        <v>1</v>
      </c>
      <c r="U1307" t="s">
        <v>435</v>
      </c>
      <c r="V1307" t="s">
        <v>285</v>
      </c>
      <c r="W1307" t="s">
        <v>436</v>
      </c>
      <c r="X1307" t="s">
        <v>306</v>
      </c>
      <c r="Y1307" t="s">
        <v>307</v>
      </c>
      <c r="Z1307">
        <v>65</v>
      </c>
      <c r="AA1307">
        <v>70</v>
      </c>
      <c r="AB1307" t="s">
        <v>143</v>
      </c>
      <c r="AC1307" t="s">
        <v>53</v>
      </c>
      <c r="AD1307" t="s">
        <v>404</v>
      </c>
      <c r="AE1307" t="str">
        <f>IF(AF1307="","",VLOOKUP(AC1307,mapel!$A$2:$B$42,2,FALSE))</f>
        <v>Sejarah</v>
      </c>
      <c r="AF1307">
        <f t="shared" si="60"/>
        <v>70</v>
      </c>
      <c r="AG1307" t="str">
        <f>IF(AF1307="","",IF(AF1307&gt;90,"Sangat baik",IF(AF1307&gt;79,"Baik",IF(AF1307&gt;=pub_gid_0_single_true_output_csv[[#This Row],[KKM]],"Cukup","Kurang"))))</f>
        <v>Cukup</v>
      </c>
      <c r="AH1307">
        <f t="shared" si="61"/>
        <v>11</v>
      </c>
      <c r="AI1307" s="30" t="str">
        <f>IF(OR(J1307&lt;&gt;"Karakter",pub_gid_0_single_true_output_csv[[#This Row],[Nilai2]]=""),"",IF(AF1307&gt;89,"Sangat baik",IF(AF1307&gt;79,"Baik",IF(AF1307&gt;69,"Cukup",IF(AF1307&gt;59,"Kurang","Sangat kurang")))))</f>
        <v/>
      </c>
      <c r="AJ1307" t="str">
        <f t="shared" si="62"/>
        <v>Wk.3</v>
      </c>
      <c r="AK1307" t="str">
        <f>IF(pub_gid_0_single_true_output_csv[[#This Row],[Nilai2]]="","",VLOOKUP(pub_gid_0_single_true_output_csv[[#This Row],[NAMA]],Table7[],3,FALSE))</f>
        <v>Average</v>
      </c>
    </row>
    <row r="1308" spans="1:37" x14ac:dyDescent="0.2">
      <c r="A1308">
        <v>1307</v>
      </c>
      <c r="B1308" t="s">
        <v>294</v>
      </c>
      <c r="C1308" t="s">
        <v>54</v>
      </c>
      <c r="D1308" t="s">
        <v>46</v>
      </c>
      <c r="E1308" t="s">
        <v>148</v>
      </c>
      <c r="F1308" s="25">
        <v>46036</v>
      </c>
      <c r="G1308" t="s">
        <v>353</v>
      </c>
      <c r="H1308" t="s">
        <v>405</v>
      </c>
      <c r="I1308" t="s">
        <v>371</v>
      </c>
      <c r="J1308" t="s">
        <v>31</v>
      </c>
      <c r="K1308" t="s">
        <v>32</v>
      </c>
      <c r="L1308" t="s">
        <v>351</v>
      </c>
      <c r="M1308" t="s">
        <v>141</v>
      </c>
      <c r="N1308" t="s">
        <v>142</v>
      </c>
      <c r="O1308" t="s">
        <v>155</v>
      </c>
      <c r="P1308" t="s">
        <v>281</v>
      </c>
      <c r="Q1308" t="s">
        <v>155</v>
      </c>
      <c r="R1308" t="s">
        <v>302</v>
      </c>
      <c r="S1308" t="s">
        <v>309</v>
      </c>
      <c r="T1308">
        <v>1</v>
      </c>
      <c r="U1308" t="s">
        <v>435</v>
      </c>
      <c r="V1308" t="s">
        <v>285</v>
      </c>
      <c r="W1308" t="s">
        <v>436</v>
      </c>
      <c r="X1308" t="s">
        <v>306</v>
      </c>
      <c r="Y1308" t="s">
        <v>307</v>
      </c>
      <c r="Z1308">
        <v>65</v>
      </c>
      <c r="AA1308">
        <v>70</v>
      </c>
      <c r="AB1308" t="s">
        <v>143</v>
      </c>
      <c r="AC1308" t="s">
        <v>53</v>
      </c>
      <c r="AD1308" t="s">
        <v>404</v>
      </c>
      <c r="AE1308" t="str">
        <f>IF(AF1308="","",VLOOKUP(AC1308,mapel!$A$2:$B$42,2,FALSE))</f>
        <v>Sejarah</v>
      </c>
      <c r="AF1308">
        <f t="shared" si="60"/>
        <v>70</v>
      </c>
      <c r="AG1308" t="str">
        <f>IF(AF1308="","",IF(AF1308&gt;90,"Sangat baik",IF(AF1308&gt;79,"Baik",IF(AF1308&gt;=pub_gid_0_single_true_output_csv[[#This Row],[KKM]],"Cukup","Kurang"))))</f>
        <v>Cukup</v>
      </c>
      <c r="AH1308">
        <f t="shared" si="61"/>
        <v>11</v>
      </c>
      <c r="AI1308" s="30" t="str">
        <f>IF(OR(J1308&lt;&gt;"Karakter",pub_gid_0_single_true_output_csv[[#This Row],[Nilai2]]=""),"",IF(AF1308&gt;89,"Sangat baik",IF(AF1308&gt;79,"Baik",IF(AF1308&gt;69,"Cukup",IF(AF1308&gt;59,"Kurang","Sangat kurang")))))</f>
        <v/>
      </c>
      <c r="AJ1308" t="str">
        <f t="shared" si="62"/>
        <v>Wk.3</v>
      </c>
      <c r="AK1308" t="str">
        <f>IF(pub_gid_0_single_true_output_csv[[#This Row],[Nilai2]]="","",VLOOKUP(pub_gid_0_single_true_output_csv[[#This Row],[NAMA]],Table7[],3,FALSE))</f>
        <v>Average</v>
      </c>
    </row>
    <row r="1309" spans="1:37" x14ac:dyDescent="0.2">
      <c r="A1309">
        <v>1308</v>
      </c>
      <c r="B1309" t="s">
        <v>294</v>
      </c>
      <c r="C1309" t="s">
        <v>54</v>
      </c>
      <c r="D1309" t="s">
        <v>46</v>
      </c>
      <c r="E1309" t="s">
        <v>148</v>
      </c>
      <c r="F1309" s="25">
        <v>46036</v>
      </c>
      <c r="G1309" t="s">
        <v>353</v>
      </c>
      <c r="H1309" t="s">
        <v>405</v>
      </c>
      <c r="I1309" t="s">
        <v>371</v>
      </c>
      <c r="J1309" t="s">
        <v>90</v>
      </c>
      <c r="K1309" t="s">
        <v>92</v>
      </c>
      <c r="L1309" t="s">
        <v>91</v>
      </c>
      <c r="M1309" t="s">
        <v>141</v>
      </c>
      <c r="N1309" t="s">
        <v>142</v>
      </c>
      <c r="O1309" t="s">
        <v>155</v>
      </c>
      <c r="P1309" t="s">
        <v>281</v>
      </c>
      <c r="Q1309" t="s">
        <v>155</v>
      </c>
      <c r="R1309" t="s">
        <v>302</v>
      </c>
      <c r="S1309" t="s">
        <v>309</v>
      </c>
      <c r="T1309">
        <v>1</v>
      </c>
      <c r="U1309" t="s">
        <v>435</v>
      </c>
      <c r="V1309" t="s">
        <v>285</v>
      </c>
      <c r="W1309" t="s">
        <v>436</v>
      </c>
      <c r="X1309" t="s">
        <v>306</v>
      </c>
      <c r="Y1309" t="s">
        <v>307</v>
      </c>
      <c r="Z1309">
        <v>65</v>
      </c>
      <c r="AA1309">
        <v>80</v>
      </c>
      <c r="AB1309" t="s">
        <v>143</v>
      </c>
      <c r="AC1309" t="s">
        <v>53</v>
      </c>
      <c r="AD1309" t="s">
        <v>404</v>
      </c>
      <c r="AE1309" t="str">
        <f>IF(AF1309="","",VLOOKUP(AC1309,mapel!$A$2:$B$42,2,FALSE))</f>
        <v>Sejarah</v>
      </c>
      <c r="AF1309">
        <f t="shared" si="60"/>
        <v>80</v>
      </c>
      <c r="AG1309" t="str">
        <f>IF(AF1309="","",IF(AF1309&gt;90,"Sangat baik",IF(AF1309&gt;79,"Baik",IF(AF1309&gt;=pub_gid_0_single_true_output_csv[[#This Row],[KKM]],"Cukup","Kurang"))))</f>
        <v>Baik</v>
      </c>
      <c r="AH1309">
        <f t="shared" si="61"/>
        <v>11</v>
      </c>
      <c r="AI1309" s="30" t="str">
        <f>IF(OR(J1309&lt;&gt;"Karakter",pub_gid_0_single_true_output_csv[[#This Row],[Nilai2]]=""),"",IF(AF1309&gt;89,"Sangat baik",IF(AF1309&gt;79,"Baik",IF(AF1309&gt;69,"Cukup",IF(AF1309&gt;59,"Kurang","Sangat kurang")))))</f>
        <v>Baik</v>
      </c>
      <c r="AJ1309" t="str">
        <f t="shared" si="62"/>
        <v>Wk.3</v>
      </c>
      <c r="AK1309" t="str">
        <f>IF(pub_gid_0_single_true_output_csv[[#This Row],[Nilai2]]="","",VLOOKUP(pub_gid_0_single_true_output_csv[[#This Row],[NAMA]],Table7[],3,FALSE))</f>
        <v>Average</v>
      </c>
    </row>
    <row r="1310" spans="1:37" x14ac:dyDescent="0.2">
      <c r="A1310">
        <v>1309</v>
      </c>
      <c r="B1310" t="s">
        <v>294</v>
      </c>
      <c r="C1310" t="s">
        <v>54</v>
      </c>
      <c r="D1310" t="s">
        <v>46</v>
      </c>
      <c r="E1310" t="s">
        <v>148</v>
      </c>
      <c r="F1310" s="25">
        <v>46036</v>
      </c>
      <c r="G1310" t="s">
        <v>353</v>
      </c>
      <c r="H1310" t="s">
        <v>405</v>
      </c>
      <c r="I1310" t="s">
        <v>371</v>
      </c>
      <c r="J1310" t="s">
        <v>279</v>
      </c>
      <c r="K1310" t="s">
        <v>280</v>
      </c>
      <c r="L1310" t="s">
        <v>322</v>
      </c>
      <c r="M1310" t="s">
        <v>141</v>
      </c>
      <c r="N1310" t="s">
        <v>142</v>
      </c>
      <c r="O1310" t="s">
        <v>155</v>
      </c>
      <c r="P1310" t="s">
        <v>281</v>
      </c>
      <c r="Q1310" t="s">
        <v>155</v>
      </c>
      <c r="R1310" t="s">
        <v>302</v>
      </c>
      <c r="S1310" t="s">
        <v>309</v>
      </c>
      <c r="T1310">
        <v>1</v>
      </c>
      <c r="U1310" t="s">
        <v>435</v>
      </c>
      <c r="V1310" t="s">
        <v>285</v>
      </c>
      <c r="W1310" t="s">
        <v>436</v>
      </c>
      <c r="X1310" t="s">
        <v>306</v>
      </c>
      <c r="Y1310" t="s">
        <v>307</v>
      </c>
      <c r="Z1310">
        <v>65</v>
      </c>
      <c r="AA1310">
        <v>70</v>
      </c>
      <c r="AB1310" t="s">
        <v>143</v>
      </c>
      <c r="AC1310" t="s">
        <v>53</v>
      </c>
      <c r="AD1310" t="s">
        <v>404</v>
      </c>
      <c r="AE1310" t="str">
        <f>IF(AF1310="","",VLOOKUP(AC1310,mapel!$A$2:$B$42,2,FALSE))</f>
        <v>Sejarah</v>
      </c>
      <c r="AF1310">
        <f t="shared" si="60"/>
        <v>70</v>
      </c>
      <c r="AG1310" t="str">
        <f>IF(AF1310="","",IF(AF1310&gt;90,"Sangat baik",IF(AF1310&gt;79,"Baik",IF(AF1310&gt;=pub_gid_0_single_true_output_csv[[#This Row],[KKM]],"Cukup","Kurang"))))</f>
        <v>Cukup</v>
      </c>
      <c r="AH1310">
        <f t="shared" si="61"/>
        <v>11</v>
      </c>
      <c r="AI1310" s="30" t="str">
        <f>IF(OR(J1310&lt;&gt;"Karakter",pub_gid_0_single_true_output_csv[[#This Row],[Nilai2]]=""),"",IF(AF1310&gt;89,"Sangat baik",IF(AF1310&gt;79,"Baik",IF(AF1310&gt;69,"Cukup",IF(AF1310&gt;59,"Kurang","Sangat kurang")))))</f>
        <v/>
      </c>
      <c r="AJ1310" t="str">
        <f t="shared" si="62"/>
        <v>Wk.3</v>
      </c>
      <c r="AK1310" t="str">
        <f>IF(pub_gid_0_single_true_output_csv[[#This Row],[Nilai2]]="","",VLOOKUP(pub_gid_0_single_true_output_csv[[#This Row],[NAMA]],Table7[],3,FALSE))</f>
        <v>Average</v>
      </c>
    </row>
    <row r="1311" spans="1:37" x14ac:dyDescent="0.2">
      <c r="A1311">
        <v>1310</v>
      </c>
      <c r="B1311" t="s">
        <v>294</v>
      </c>
      <c r="C1311" t="s">
        <v>54</v>
      </c>
      <c r="D1311" t="s">
        <v>46</v>
      </c>
      <c r="E1311" t="s">
        <v>148</v>
      </c>
      <c r="F1311" s="25">
        <v>46043</v>
      </c>
      <c r="G1311" t="s">
        <v>341</v>
      </c>
      <c r="H1311" t="s">
        <v>405</v>
      </c>
      <c r="I1311" t="s">
        <v>371</v>
      </c>
      <c r="J1311" t="s">
        <v>36</v>
      </c>
      <c r="K1311" t="s">
        <v>37</v>
      </c>
      <c r="L1311" t="s">
        <v>351</v>
      </c>
      <c r="M1311" t="s">
        <v>141</v>
      </c>
      <c r="N1311" t="s">
        <v>142</v>
      </c>
      <c r="O1311" t="s">
        <v>155</v>
      </c>
      <c r="P1311" t="s">
        <v>281</v>
      </c>
      <c r="Q1311" t="s">
        <v>155</v>
      </c>
      <c r="R1311" t="s">
        <v>302</v>
      </c>
      <c r="S1311" t="s">
        <v>309</v>
      </c>
      <c r="T1311">
        <v>1</v>
      </c>
      <c r="U1311" t="s">
        <v>435</v>
      </c>
      <c r="V1311" t="s">
        <v>285</v>
      </c>
      <c r="W1311" t="s">
        <v>436</v>
      </c>
      <c r="X1311" t="s">
        <v>306</v>
      </c>
      <c r="Y1311" t="s">
        <v>307</v>
      </c>
      <c r="Z1311">
        <v>65</v>
      </c>
      <c r="AA1311">
        <v>68</v>
      </c>
      <c r="AB1311" t="s">
        <v>143</v>
      </c>
      <c r="AC1311" t="s">
        <v>53</v>
      </c>
      <c r="AD1311" t="s">
        <v>404</v>
      </c>
      <c r="AE1311" t="str">
        <f>IF(AF1311="","",VLOOKUP(AC1311,mapel!$A$2:$B$42,2,FALSE))</f>
        <v>Sejarah</v>
      </c>
      <c r="AF1311">
        <f t="shared" si="60"/>
        <v>68</v>
      </c>
      <c r="AG1311" t="str">
        <f>IF(AF1311="","",IF(AF1311&gt;90,"Sangat baik",IF(AF1311&gt;79,"Baik",IF(AF1311&gt;=pub_gid_0_single_true_output_csv[[#This Row],[KKM]],"Cukup","Kurang"))))</f>
        <v>Cukup</v>
      </c>
      <c r="AH1311">
        <f t="shared" si="61"/>
        <v>11</v>
      </c>
      <c r="AI1311" s="30" t="str">
        <f>IF(OR(J1311&lt;&gt;"Karakter",pub_gid_0_single_true_output_csv[[#This Row],[Nilai2]]=""),"",IF(AF1311&gt;89,"Sangat baik",IF(AF1311&gt;79,"Baik",IF(AF1311&gt;69,"Cukup",IF(AF1311&gt;59,"Kurang","Sangat kurang")))))</f>
        <v/>
      </c>
      <c r="AJ1311" t="str">
        <f t="shared" si="62"/>
        <v>Wk.4</v>
      </c>
      <c r="AK1311" t="str">
        <f>IF(pub_gid_0_single_true_output_csv[[#This Row],[Nilai2]]="","",VLOOKUP(pub_gid_0_single_true_output_csv[[#This Row],[NAMA]],Table7[],3,FALSE))</f>
        <v>Average</v>
      </c>
    </row>
    <row r="1312" spans="1:37" x14ac:dyDescent="0.2">
      <c r="A1312">
        <v>1311</v>
      </c>
      <c r="B1312" t="s">
        <v>294</v>
      </c>
      <c r="C1312" t="s">
        <v>54</v>
      </c>
      <c r="D1312" t="s">
        <v>46</v>
      </c>
      <c r="E1312" t="s">
        <v>148</v>
      </c>
      <c r="F1312" s="25">
        <v>46043</v>
      </c>
      <c r="G1312" t="s">
        <v>341</v>
      </c>
      <c r="H1312" t="s">
        <v>405</v>
      </c>
      <c r="I1312" t="s">
        <v>371</v>
      </c>
      <c r="J1312" t="s">
        <v>31</v>
      </c>
      <c r="K1312" t="s">
        <v>96</v>
      </c>
      <c r="L1312" t="s">
        <v>322</v>
      </c>
      <c r="M1312" t="s">
        <v>141</v>
      </c>
      <c r="N1312" t="s">
        <v>142</v>
      </c>
      <c r="O1312" t="s">
        <v>155</v>
      </c>
      <c r="P1312" t="s">
        <v>281</v>
      </c>
      <c r="Q1312" t="s">
        <v>155</v>
      </c>
      <c r="R1312" t="s">
        <v>302</v>
      </c>
      <c r="S1312" t="s">
        <v>309</v>
      </c>
      <c r="T1312">
        <v>1</v>
      </c>
      <c r="U1312" t="s">
        <v>435</v>
      </c>
      <c r="V1312" t="s">
        <v>285</v>
      </c>
      <c r="W1312" t="s">
        <v>436</v>
      </c>
      <c r="X1312" t="s">
        <v>306</v>
      </c>
      <c r="Y1312" t="s">
        <v>307</v>
      </c>
      <c r="Z1312">
        <v>65</v>
      </c>
      <c r="AA1312">
        <v>65</v>
      </c>
      <c r="AB1312" t="s">
        <v>143</v>
      </c>
      <c r="AC1312" t="s">
        <v>53</v>
      </c>
      <c r="AD1312" t="s">
        <v>404</v>
      </c>
      <c r="AE1312" t="str">
        <f>IF(AF1312="","",VLOOKUP(AC1312,mapel!$A$2:$B$42,2,FALSE))</f>
        <v>Sejarah</v>
      </c>
      <c r="AF1312">
        <f t="shared" si="60"/>
        <v>65</v>
      </c>
      <c r="AG1312" t="str">
        <f>IF(AF1312="","",IF(AF1312&gt;90,"Sangat baik",IF(AF1312&gt;79,"Baik",IF(AF1312&gt;=pub_gid_0_single_true_output_csv[[#This Row],[KKM]],"Cukup","Kurang"))))</f>
        <v>Cukup</v>
      </c>
      <c r="AH1312">
        <f t="shared" si="61"/>
        <v>11</v>
      </c>
      <c r="AI1312" s="30" t="str">
        <f>IF(OR(J1312&lt;&gt;"Karakter",pub_gid_0_single_true_output_csv[[#This Row],[Nilai2]]=""),"",IF(AF1312&gt;89,"Sangat baik",IF(AF1312&gt;79,"Baik",IF(AF1312&gt;69,"Cukup",IF(AF1312&gt;59,"Kurang","Sangat kurang")))))</f>
        <v/>
      </c>
      <c r="AJ1312" t="str">
        <f t="shared" si="62"/>
        <v>Wk.4</v>
      </c>
      <c r="AK1312" t="str">
        <f>IF(pub_gid_0_single_true_output_csv[[#This Row],[Nilai2]]="","",VLOOKUP(pub_gid_0_single_true_output_csv[[#This Row],[NAMA]],Table7[],3,FALSE))</f>
        <v>Average</v>
      </c>
    </row>
    <row r="1313" spans="1:37" x14ac:dyDescent="0.2">
      <c r="A1313">
        <v>1312</v>
      </c>
      <c r="B1313" t="s">
        <v>294</v>
      </c>
      <c r="C1313" t="s">
        <v>54</v>
      </c>
      <c r="D1313" t="s">
        <v>46</v>
      </c>
      <c r="E1313" t="s">
        <v>148</v>
      </c>
      <c r="F1313" s="25">
        <v>46043</v>
      </c>
      <c r="G1313" t="s">
        <v>341</v>
      </c>
      <c r="H1313" t="s">
        <v>405</v>
      </c>
      <c r="I1313" t="s">
        <v>371</v>
      </c>
      <c r="J1313" t="s">
        <v>90</v>
      </c>
      <c r="K1313" t="s">
        <v>92</v>
      </c>
      <c r="L1313" t="s">
        <v>93</v>
      </c>
      <c r="M1313" t="s">
        <v>141</v>
      </c>
      <c r="N1313" t="s">
        <v>142</v>
      </c>
      <c r="O1313" t="s">
        <v>155</v>
      </c>
      <c r="P1313" t="s">
        <v>281</v>
      </c>
      <c r="Q1313" t="s">
        <v>155</v>
      </c>
      <c r="R1313" t="s">
        <v>302</v>
      </c>
      <c r="S1313" t="s">
        <v>309</v>
      </c>
      <c r="T1313">
        <v>1</v>
      </c>
      <c r="U1313" t="s">
        <v>435</v>
      </c>
      <c r="V1313" t="s">
        <v>285</v>
      </c>
      <c r="W1313" t="s">
        <v>436</v>
      </c>
      <c r="X1313" t="s">
        <v>306</v>
      </c>
      <c r="Y1313" t="s">
        <v>307</v>
      </c>
      <c r="Z1313">
        <v>65</v>
      </c>
      <c r="AA1313">
        <v>80</v>
      </c>
      <c r="AB1313" t="s">
        <v>143</v>
      </c>
      <c r="AC1313" t="s">
        <v>53</v>
      </c>
      <c r="AD1313" t="s">
        <v>404</v>
      </c>
      <c r="AE1313" t="str">
        <f>IF(AF1313="","",VLOOKUP(AC1313,mapel!$A$2:$B$42,2,FALSE))</f>
        <v>Sejarah</v>
      </c>
      <c r="AF1313">
        <f t="shared" si="60"/>
        <v>80</v>
      </c>
      <c r="AG1313" t="str">
        <f>IF(AF1313="","",IF(AF1313&gt;90,"Sangat baik",IF(AF1313&gt;79,"Baik",IF(AF1313&gt;=pub_gid_0_single_true_output_csv[[#This Row],[KKM]],"Cukup","Kurang"))))</f>
        <v>Baik</v>
      </c>
      <c r="AH1313">
        <f t="shared" si="61"/>
        <v>11</v>
      </c>
      <c r="AI1313" s="30" t="str">
        <f>IF(OR(J1313&lt;&gt;"Karakter",pub_gid_0_single_true_output_csv[[#This Row],[Nilai2]]=""),"",IF(AF1313&gt;89,"Sangat baik",IF(AF1313&gt;79,"Baik",IF(AF1313&gt;69,"Cukup",IF(AF1313&gt;59,"Kurang","Sangat kurang")))))</f>
        <v>Baik</v>
      </c>
      <c r="AJ1313" t="str">
        <f t="shared" si="62"/>
        <v>Wk.4</v>
      </c>
      <c r="AK1313" t="str">
        <f>IF(pub_gid_0_single_true_output_csv[[#This Row],[Nilai2]]="","",VLOOKUP(pub_gid_0_single_true_output_csv[[#This Row],[NAMA]],Table7[],3,FALSE))</f>
        <v>Average</v>
      </c>
    </row>
    <row r="1314" spans="1:37" x14ac:dyDescent="0.2">
      <c r="A1314">
        <v>1313</v>
      </c>
      <c r="B1314" t="s">
        <v>294</v>
      </c>
      <c r="C1314" t="s">
        <v>54</v>
      </c>
      <c r="D1314" t="s">
        <v>46</v>
      </c>
      <c r="E1314" t="s">
        <v>148</v>
      </c>
      <c r="F1314" s="25">
        <v>46043</v>
      </c>
      <c r="G1314" t="s">
        <v>341</v>
      </c>
      <c r="H1314" t="s">
        <v>405</v>
      </c>
      <c r="I1314" t="s">
        <v>371</v>
      </c>
      <c r="J1314" t="s">
        <v>279</v>
      </c>
      <c r="K1314" t="s">
        <v>280</v>
      </c>
      <c r="L1314" t="s">
        <v>322</v>
      </c>
      <c r="M1314" t="s">
        <v>141</v>
      </c>
      <c r="N1314" t="s">
        <v>142</v>
      </c>
      <c r="O1314" t="s">
        <v>155</v>
      </c>
      <c r="P1314" t="s">
        <v>281</v>
      </c>
      <c r="Q1314" t="s">
        <v>155</v>
      </c>
      <c r="R1314" t="s">
        <v>302</v>
      </c>
      <c r="S1314" t="s">
        <v>355</v>
      </c>
      <c r="T1314">
        <v>2</v>
      </c>
      <c r="U1314" t="s">
        <v>159</v>
      </c>
      <c r="V1314" t="s">
        <v>303</v>
      </c>
      <c r="W1314" t="s">
        <v>437</v>
      </c>
      <c r="X1314" t="s">
        <v>306</v>
      </c>
      <c r="Y1314" t="s">
        <v>307</v>
      </c>
      <c r="Z1314">
        <v>65</v>
      </c>
      <c r="AA1314">
        <v>65</v>
      </c>
      <c r="AB1314" t="s">
        <v>143</v>
      </c>
      <c r="AC1314" t="s">
        <v>53</v>
      </c>
      <c r="AD1314" t="s">
        <v>404</v>
      </c>
      <c r="AE1314" t="str">
        <f>IF(AF1314="","",VLOOKUP(AC1314,mapel!$A$2:$B$42,2,FALSE))</f>
        <v>Sejarah</v>
      </c>
      <c r="AF1314">
        <f t="shared" si="60"/>
        <v>65</v>
      </c>
      <c r="AG1314" t="str">
        <f>IF(AF1314="","",IF(AF1314&gt;90,"Sangat baik",IF(AF1314&gt;79,"Baik",IF(AF1314&gt;=pub_gid_0_single_true_output_csv[[#This Row],[KKM]],"Cukup","Kurang"))))</f>
        <v>Cukup</v>
      </c>
      <c r="AH1314">
        <f t="shared" si="61"/>
        <v>11</v>
      </c>
      <c r="AI1314" s="30" t="str">
        <f>IF(OR(J1314&lt;&gt;"Karakter",pub_gid_0_single_true_output_csv[[#This Row],[Nilai2]]=""),"",IF(AF1314&gt;89,"Sangat baik",IF(AF1314&gt;79,"Baik",IF(AF1314&gt;69,"Cukup",IF(AF1314&gt;59,"Kurang","Sangat kurang")))))</f>
        <v/>
      </c>
      <c r="AJ1314" t="str">
        <f t="shared" si="62"/>
        <v>Wk.4</v>
      </c>
      <c r="AK1314" t="str">
        <f>IF(pub_gid_0_single_true_output_csv[[#This Row],[Nilai2]]="","",VLOOKUP(pub_gid_0_single_true_output_csv[[#This Row],[NAMA]],Table7[],3,FALSE))</f>
        <v>Average</v>
      </c>
    </row>
    <row r="1315" spans="1:37" x14ac:dyDescent="0.2">
      <c r="A1315">
        <v>1314</v>
      </c>
      <c r="B1315" t="s">
        <v>294</v>
      </c>
      <c r="C1315" t="s">
        <v>54</v>
      </c>
      <c r="D1315" t="s">
        <v>46</v>
      </c>
      <c r="E1315" t="s">
        <v>148</v>
      </c>
      <c r="F1315" s="25">
        <v>46050</v>
      </c>
      <c r="G1315" t="s">
        <v>308</v>
      </c>
      <c r="H1315" t="s">
        <v>405</v>
      </c>
      <c r="I1315" t="s">
        <v>371</v>
      </c>
      <c r="J1315" t="s">
        <v>36</v>
      </c>
      <c r="K1315" t="s">
        <v>37</v>
      </c>
      <c r="L1315" t="s">
        <v>351</v>
      </c>
      <c r="M1315" t="s">
        <v>141</v>
      </c>
      <c r="N1315" t="s">
        <v>142</v>
      </c>
      <c r="O1315" t="s">
        <v>155</v>
      </c>
      <c r="P1315" t="s">
        <v>281</v>
      </c>
      <c r="Q1315" t="s">
        <v>155</v>
      </c>
      <c r="R1315" t="s">
        <v>302</v>
      </c>
      <c r="S1315" t="s">
        <v>355</v>
      </c>
      <c r="T1315">
        <v>2</v>
      </c>
      <c r="U1315" t="s">
        <v>159</v>
      </c>
      <c r="V1315" t="s">
        <v>303</v>
      </c>
      <c r="W1315" t="s">
        <v>437</v>
      </c>
      <c r="X1315" t="s">
        <v>306</v>
      </c>
      <c r="Y1315" t="s">
        <v>307</v>
      </c>
      <c r="Z1315">
        <v>65</v>
      </c>
      <c r="AA1315">
        <v>65</v>
      </c>
      <c r="AB1315" t="s">
        <v>143</v>
      </c>
      <c r="AC1315" t="s">
        <v>53</v>
      </c>
      <c r="AD1315" t="s">
        <v>404</v>
      </c>
      <c r="AE1315" t="str">
        <f>IF(AF1315="","",VLOOKUP(AC1315,mapel!$A$2:$B$42,2,FALSE))</f>
        <v>Sejarah</v>
      </c>
      <c r="AF1315">
        <f t="shared" si="60"/>
        <v>65</v>
      </c>
      <c r="AG1315" t="str">
        <f>IF(AF1315="","",IF(AF1315&gt;90,"Sangat baik",IF(AF1315&gt;79,"Baik",IF(AF1315&gt;=pub_gid_0_single_true_output_csv[[#This Row],[KKM]],"Cukup","Kurang"))))</f>
        <v>Cukup</v>
      </c>
      <c r="AH1315">
        <f t="shared" si="61"/>
        <v>11</v>
      </c>
      <c r="AI1315" s="30" t="str">
        <f>IF(OR(J1315&lt;&gt;"Karakter",pub_gid_0_single_true_output_csv[[#This Row],[Nilai2]]=""),"",IF(AF1315&gt;89,"Sangat baik",IF(AF1315&gt;79,"Baik",IF(AF1315&gt;69,"Cukup",IF(AF1315&gt;59,"Kurang","Sangat kurang")))))</f>
        <v/>
      </c>
      <c r="AJ1315" t="str">
        <f t="shared" si="62"/>
        <v>Wk.5</v>
      </c>
      <c r="AK1315" t="str">
        <f>IF(pub_gid_0_single_true_output_csv[[#This Row],[Nilai2]]="","",VLOOKUP(pub_gid_0_single_true_output_csv[[#This Row],[NAMA]],Table7[],3,FALSE))</f>
        <v>Average</v>
      </c>
    </row>
    <row r="1316" spans="1:37" x14ac:dyDescent="0.2">
      <c r="A1316">
        <v>1315</v>
      </c>
      <c r="B1316" t="s">
        <v>294</v>
      </c>
      <c r="C1316" t="s">
        <v>54</v>
      </c>
      <c r="D1316" t="s">
        <v>46</v>
      </c>
      <c r="E1316" t="s">
        <v>148</v>
      </c>
      <c r="F1316" s="25">
        <v>46050</v>
      </c>
      <c r="G1316" t="s">
        <v>308</v>
      </c>
      <c r="H1316" t="s">
        <v>405</v>
      </c>
      <c r="I1316" t="s">
        <v>371</v>
      </c>
      <c r="J1316" t="s">
        <v>31</v>
      </c>
      <c r="K1316" t="s">
        <v>96</v>
      </c>
      <c r="L1316" t="s">
        <v>351</v>
      </c>
      <c r="M1316" t="s">
        <v>141</v>
      </c>
      <c r="N1316" t="s">
        <v>142</v>
      </c>
      <c r="O1316" t="s">
        <v>155</v>
      </c>
      <c r="P1316" t="s">
        <v>281</v>
      </c>
      <c r="Q1316" t="s">
        <v>155</v>
      </c>
      <c r="R1316" t="s">
        <v>302</v>
      </c>
      <c r="S1316" t="s">
        <v>355</v>
      </c>
      <c r="T1316">
        <v>2</v>
      </c>
      <c r="U1316" t="s">
        <v>159</v>
      </c>
      <c r="V1316" t="s">
        <v>303</v>
      </c>
      <c r="W1316" t="s">
        <v>437</v>
      </c>
      <c r="X1316" t="s">
        <v>306</v>
      </c>
      <c r="Y1316" t="s">
        <v>307</v>
      </c>
      <c r="Z1316">
        <v>65</v>
      </c>
      <c r="AA1316">
        <v>65</v>
      </c>
      <c r="AB1316" t="s">
        <v>143</v>
      </c>
      <c r="AC1316" t="s">
        <v>53</v>
      </c>
      <c r="AD1316" t="s">
        <v>404</v>
      </c>
      <c r="AE1316" t="str">
        <f>IF(AF1316="","",VLOOKUP(AC1316,mapel!$A$2:$B$42,2,FALSE))</f>
        <v>Sejarah</v>
      </c>
      <c r="AF1316">
        <f t="shared" si="60"/>
        <v>65</v>
      </c>
      <c r="AG1316" t="str">
        <f>IF(AF1316="","",IF(AF1316&gt;90,"Sangat baik",IF(AF1316&gt;79,"Baik",IF(AF1316&gt;=pub_gid_0_single_true_output_csv[[#This Row],[KKM]],"Cukup","Kurang"))))</f>
        <v>Cukup</v>
      </c>
      <c r="AH1316">
        <f t="shared" si="61"/>
        <v>11</v>
      </c>
      <c r="AI1316" s="30" t="str">
        <f>IF(OR(J1316&lt;&gt;"Karakter",pub_gid_0_single_true_output_csv[[#This Row],[Nilai2]]=""),"",IF(AF1316&gt;89,"Sangat baik",IF(AF1316&gt;79,"Baik",IF(AF1316&gt;69,"Cukup",IF(AF1316&gt;59,"Kurang","Sangat kurang")))))</f>
        <v/>
      </c>
      <c r="AJ1316" t="str">
        <f t="shared" si="62"/>
        <v>Wk.5</v>
      </c>
      <c r="AK1316" t="str">
        <f>IF(pub_gid_0_single_true_output_csv[[#This Row],[Nilai2]]="","",VLOOKUP(pub_gid_0_single_true_output_csv[[#This Row],[NAMA]],Table7[],3,FALSE))</f>
        <v>Average</v>
      </c>
    </row>
    <row r="1317" spans="1:37" x14ac:dyDescent="0.2">
      <c r="A1317">
        <v>1316</v>
      </c>
      <c r="B1317" t="s">
        <v>294</v>
      </c>
      <c r="C1317" t="s">
        <v>54</v>
      </c>
      <c r="D1317" t="s">
        <v>46</v>
      </c>
      <c r="E1317" t="s">
        <v>148</v>
      </c>
      <c r="F1317" s="25">
        <v>46050</v>
      </c>
      <c r="G1317" t="s">
        <v>308</v>
      </c>
      <c r="H1317" t="s">
        <v>405</v>
      </c>
      <c r="I1317" t="s">
        <v>371</v>
      </c>
      <c r="J1317" t="s">
        <v>90</v>
      </c>
      <c r="K1317" t="s">
        <v>92</v>
      </c>
      <c r="L1317" t="s">
        <v>91</v>
      </c>
      <c r="M1317" t="s">
        <v>141</v>
      </c>
      <c r="N1317" t="s">
        <v>142</v>
      </c>
      <c r="O1317" t="s">
        <v>155</v>
      </c>
      <c r="P1317" t="s">
        <v>281</v>
      </c>
      <c r="Q1317" t="s">
        <v>155</v>
      </c>
      <c r="R1317" t="s">
        <v>302</v>
      </c>
      <c r="S1317" t="s">
        <v>355</v>
      </c>
      <c r="T1317">
        <v>2</v>
      </c>
      <c r="U1317" t="s">
        <v>159</v>
      </c>
      <c r="V1317" t="s">
        <v>303</v>
      </c>
      <c r="W1317" t="s">
        <v>437</v>
      </c>
      <c r="X1317" t="s">
        <v>306</v>
      </c>
      <c r="Y1317" t="s">
        <v>307</v>
      </c>
      <c r="Z1317">
        <v>65</v>
      </c>
      <c r="AA1317">
        <v>70</v>
      </c>
      <c r="AB1317" t="s">
        <v>143</v>
      </c>
      <c r="AC1317" t="s">
        <v>53</v>
      </c>
      <c r="AD1317" t="s">
        <v>404</v>
      </c>
      <c r="AE1317" t="str">
        <f>IF(AF1317="","",VLOOKUP(AC1317,mapel!$A$2:$B$42,2,FALSE))</f>
        <v>Sejarah</v>
      </c>
      <c r="AF1317">
        <f t="shared" si="60"/>
        <v>70</v>
      </c>
      <c r="AG1317" t="str">
        <f>IF(AF1317="","",IF(AF1317&gt;90,"Sangat baik",IF(AF1317&gt;79,"Baik",IF(AF1317&gt;=pub_gid_0_single_true_output_csv[[#This Row],[KKM]],"Cukup","Kurang"))))</f>
        <v>Cukup</v>
      </c>
      <c r="AH1317">
        <f t="shared" si="61"/>
        <v>11</v>
      </c>
      <c r="AI1317" s="30" t="str">
        <f>IF(OR(J1317&lt;&gt;"Karakter",pub_gid_0_single_true_output_csv[[#This Row],[Nilai2]]=""),"",IF(AF1317&gt;89,"Sangat baik",IF(AF1317&gt;79,"Baik",IF(AF1317&gt;69,"Cukup",IF(AF1317&gt;59,"Kurang","Sangat kurang")))))</f>
        <v>Cukup</v>
      </c>
      <c r="AJ1317" t="str">
        <f t="shared" si="62"/>
        <v>Wk.5</v>
      </c>
      <c r="AK1317" t="str">
        <f>IF(pub_gid_0_single_true_output_csv[[#This Row],[Nilai2]]="","",VLOOKUP(pub_gid_0_single_true_output_csv[[#This Row],[NAMA]],Table7[],3,FALSE))</f>
        <v>Average</v>
      </c>
    </row>
    <row r="1318" spans="1:37" x14ac:dyDescent="0.2">
      <c r="A1318">
        <v>1317</v>
      </c>
      <c r="B1318" t="s">
        <v>294</v>
      </c>
      <c r="C1318" t="s">
        <v>54</v>
      </c>
      <c r="D1318" t="s">
        <v>46</v>
      </c>
      <c r="E1318" t="s">
        <v>148</v>
      </c>
      <c r="F1318" s="25">
        <v>46050</v>
      </c>
      <c r="G1318" t="s">
        <v>308</v>
      </c>
      <c r="H1318" t="s">
        <v>405</v>
      </c>
      <c r="I1318" t="s">
        <v>371</v>
      </c>
      <c r="J1318" t="s">
        <v>279</v>
      </c>
      <c r="K1318" t="s">
        <v>280</v>
      </c>
      <c r="L1318" t="s">
        <v>322</v>
      </c>
      <c r="M1318" t="s">
        <v>141</v>
      </c>
      <c r="N1318" t="s">
        <v>142</v>
      </c>
      <c r="O1318" t="s">
        <v>155</v>
      </c>
      <c r="P1318" t="s">
        <v>281</v>
      </c>
      <c r="Q1318" t="s">
        <v>155</v>
      </c>
      <c r="R1318" t="s">
        <v>302</v>
      </c>
      <c r="S1318" t="s">
        <v>355</v>
      </c>
      <c r="T1318">
        <v>2</v>
      </c>
      <c r="U1318" t="s">
        <v>159</v>
      </c>
      <c r="V1318" t="s">
        <v>303</v>
      </c>
      <c r="W1318" t="s">
        <v>437</v>
      </c>
      <c r="X1318" t="s">
        <v>306</v>
      </c>
      <c r="Y1318" t="s">
        <v>307</v>
      </c>
      <c r="Z1318">
        <v>65</v>
      </c>
      <c r="AA1318">
        <v>65</v>
      </c>
      <c r="AB1318" t="s">
        <v>143</v>
      </c>
      <c r="AC1318" t="s">
        <v>53</v>
      </c>
      <c r="AD1318" t="s">
        <v>404</v>
      </c>
      <c r="AE1318" t="str">
        <f>IF(AF1318="","",VLOOKUP(AC1318,mapel!$A$2:$B$42,2,FALSE))</f>
        <v>Sejarah</v>
      </c>
      <c r="AF1318">
        <f t="shared" si="60"/>
        <v>65</v>
      </c>
      <c r="AG1318" t="str">
        <f>IF(AF1318="","",IF(AF1318&gt;90,"Sangat baik",IF(AF1318&gt;79,"Baik",IF(AF1318&gt;=pub_gid_0_single_true_output_csv[[#This Row],[KKM]],"Cukup","Kurang"))))</f>
        <v>Cukup</v>
      </c>
      <c r="AH1318">
        <f t="shared" si="61"/>
        <v>11</v>
      </c>
      <c r="AI1318" s="30" t="str">
        <f>IF(OR(J1318&lt;&gt;"Karakter",pub_gid_0_single_true_output_csv[[#This Row],[Nilai2]]=""),"",IF(AF1318&gt;89,"Sangat baik",IF(AF1318&gt;79,"Baik",IF(AF1318&gt;69,"Cukup",IF(AF1318&gt;59,"Kurang","Sangat kurang")))))</f>
        <v/>
      </c>
      <c r="AJ1318" t="str">
        <f t="shared" si="62"/>
        <v>Wk.5</v>
      </c>
      <c r="AK1318" t="str">
        <f>IF(pub_gid_0_single_true_output_csv[[#This Row],[Nilai2]]="","",VLOOKUP(pub_gid_0_single_true_output_csv[[#This Row],[NAMA]],Table7[],3,FALSE))</f>
        <v>Average</v>
      </c>
    </row>
    <row r="1319" spans="1:37" x14ac:dyDescent="0.2">
      <c r="A1319">
        <v>1318</v>
      </c>
      <c r="B1319" t="s">
        <v>294</v>
      </c>
      <c r="C1319" t="s">
        <v>54</v>
      </c>
      <c r="D1319" t="s">
        <v>46</v>
      </c>
      <c r="E1319" t="s">
        <v>148</v>
      </c>
      <c r="F1319" s="25">
        <v>46057</v>
      </c>
      <c r="G1319" t="s">
        <v>348</v>
      </c>
      <c r="H1319" t="s">
        <v>412</v>
      </c>
      <c r="I1319" t="s">
        <v>371</v>
      </c>
      <c r="J1319" t="s">
        <v>36</v>
      </c>
      <c r="K1319" t="s">
        <v>37</v>
      </c>
      <c r="L1319" t="s">
        <v>351</v>
      </c>
      <c r="M1319" t="s">
        <v>141</v>
      </c>
      <c r="N1319" t="s">
        <v>142</v>
      </c>
      <c r="O1319" t="s">
        <v>155</v>
      </c>
      <c r="P1319" t="s">
        <v>281</v>
      </c>
      <c r="Q1319" t="s">
        <v>155</v>
      </c>
      <c r="R1319" t="s">
        <v>302</v>
      </c>
      <c r="S1319" t="s">
        <v>355</v>
      </c>
      <c r="T1319">
        <v>2</v>
      </c>
      <c r="U1319" t="s">
        <v>159</v>
      </c>
      <c r="V1319" t="s">
        <v>303</v>
      </c>
      <c r="W1319" t="s">
        <v>437</v>
      </c>
      <c r="X1319" t="s">
        <v>306</v>
      </c>
      <c r="Y1319" t="s">
        <v>307</v>
      </c>
      <c r="Z1319">
        <v>65</v>
      </c>
      <c r="AA1319">
        <v>68</v>
      </c>
      <c r="AB1319" t="s">
        <v>143</v>
      </c>
      <c r="AC1319" t="s">
        <v>53</v>
      </c>
      <c r="AD1319" t="s">
        <v>404</v>
      </c>
      <c r="AE1319" t="str">
        <f>IF(AF1319="","",VLOOKUP(AC1319,mapel!$A$2:$B$42,2,FALSE))</f>
        <v>Sejarah</v>
      </c>
      <c r="AF1319">
        <f t="shared" si="60"/>
        <v>68</v>
      </c>
      <c r="AG1319" t="str">
        <f>IF(AF1319="","",IF(AF1319&gt;90,"Sangat baik",IF(AF1319&gt;79,"Baik",IF(AF1319&gt;=pub_gid_0_single_true_output_csv[[#This Row],[KKM]],"Cukup","Kurang"))))</f>
        <v>Cukup</v>
      </c>
      <c r="AH1319">
        <f t="shared" si="61"/>
        <v>11</v>
      </c>
      <c r="AI1319" s="30" t="str">
        <f>IF(OR(J1319&lt;&gt;"Karakter",pub_gid_0_single_true_output_csv[[#This Row],[Nilai2]]=""),"",IF(AF1319&gt;89,"Sangat baik",IF(AF1319&gt;79,"Baik",IF(AF1319&gt;69,"Cukup",IF(AF1319&gt;59,"Kurang","Sangat kurang")))))</f>
        <v/>
      </c>
      <c r="AJ1319" t="str">
        <f t="shared" si="62"/>
        <v>Wk.6</v>
      </c>
      <c r="AK1319" t="str">
        <f>IF(pub_gid_0_single_true_output_csv[[#This Row],[Nilai2]]="","",VLOOKUP(pub_gid_0_single_true_output_csv[[#This Row],[NAMA]],Table7[],3,FALSE))</f>
        <v>Average</v>
      </c>
    </row>
    <row r="1320" spans="1:37" x14ac:dyDescent="0.2">
      <c r="A1320">
        <v>1319</v>
      </c>
      <c r="B1320" t="s">
        <v>294</v>
      </c>
      <c r="C1320" t="s">
        <v>54</v>
      </c>
      <c r="D1320" t="s">
        <v>46</v>
      </c>
      <c r="E1320" t="s">
        <v>148</v>
      </c>
      <c r="F1320" s="25">
        <v>46057</v>
      </c>
      <c r="G1320" t="s">
        <v>348</v>
      </c>
      <c r="H1320" t="s">
        <v>412</v>
      </c>
      <c r="I1320" t="s">
        <v>371</v>
      </c>
      <c r="J1320" t="s">
        <v>31</v>
      </c>
      <c r="K1320" t="s">
        <v>96</v>
      </c>
      <c r="L1320" t="s">
        <v>351</v>
      </c>
      <c r="M1320" t="s">
        <v>141</v>
      </c>
      <c r="N1320" t="s">
        <v>142</v>
      </c>
      <c r="O1320" t="s">
        <v>155</v>
      </c>
      <c r="P1320" t="s">
        <v>281</v>
      </c>
      <c r="Q1320" t="s">
        <v>155</v>
      </c>
      <c r="R1320" t="s">
        <v>302</v>
      </c>
      <c r="S1320" t="s">
        <v>355</v>
      </c>
      <c r="T1320">
        <v>2</v>
      </c>
      <c r="U1320" t="s">
        <v>159</v>
      </c>
      <c r="V1320" t="s">
        <v>303</v>
      </c>
      <c r="W1320" t="s">
        <v>437</v>
      </c>
      <c r="X1320" t="s">
        <v>306</v>
      </c>
      <c r="Y1320" t="s">
        <v>307</v>
      </c>
      <c r="Z1320">
        <v>65</v>
      </c>
      <c r="AA1320">
        <v>70</v>
      </c>
      <c r="AB1320" t="s">
        <v>143</v>
      </c>
      <c r="AC1320" t="s">
        <v>53</v>
      </c>
      <c r="AD1320" t="s">
        <v>404</v>
      </c>
      <c r="AE1320" t="str">
        <f>IF(AF1320="","",VLOOKUP(AC1320,mapel!$A$2:$B$42,2,FALSE))</f>
        <v>Sejarah</v>
      </c>
      <c r="AF1320">
        <f t="shared" si="60"/>
        <v>70</v>
      </c>
      <c r="AG1320" t="str">
        <f>IF(AF1320="","",IF(AF1320&gt;90,"Sangat baik",IF(AF1320&gt;79,"Baik",IF(AF1320&gt;=pub_gid_0_single_true_output_csv[[#This Row],[KKM]],"Cukup","Kurang"))))</f>
        <v>Cukup</v>
      </c>
      <c r="AH1320">
        <f t="shared" si="61"/>
        <v>11</v>
      </c>
      <c r="AI1320" s="30" t="str">
        <f>IF(OR(J1320&lt;&gt;"Karakter",pub_gid_0_single_true_output_csv[[#This Row],[Nilai2]]=""),"",IF(AF1320&gt;89,"Sangat baik",IF(AF1320&gt;79,"Baik",IF(AF1320&gt;69,"Cukup",IF(AF1320&gt;59,"Kurang","Sangat kurang")))))</f>
        <v/>
      </c>
      <c r="AJ1320" t="str">
        <f t="shared" si="62"/>
        <v>Wk.6</v>
      </c>
      <c r="AK1320" t="str">
        <f>IF(pub_gid_0_single_true_output_csv[[#This Row],[Nilai2]]="","",VLOOKUP(pub_gid_0_single_true_output_csv[[#This Row],[NAMA]],Table7[],3,FALSE))</f>
        <v>Average</v>
      </c>
    </row>
    <row r="1321" spans="1:37" x14ac:dyDescent="0.2">
      <c r="A1321">
        <v>1320</v>
      </c>
      <c r="B1321" t="s">
        <v>294</v>
      </c>
      <c r="C1321" t="s">
        <v>54</v>
      </c>
      <c r="D1321" t="s">
        <v>46</v>
      </c>
      <c r="E1321" t="s">
        <v>148</v>
      </c>
      <c r="F1321" s="25">
        <v>46057</v>
      </c>
      <c r="G1321" t="s">
        <v>348</v>
      </c>
      <c r="H1321" t="s">
        <v>412</v>
      </c>
      <c r="I1321" t="s">
        <v>371</v>
      </c>
      <c r="J1321" t="s">
        <v>90</v>
      </c>
      <c r="K1321" t="s">
        <v>92</v>
      </c>
      <c r="L1321" t="s">
        <v>93</v>
      </c>
      <c r="M1321" t="s">
        <v>141</v>
      </c>
      <c r="N1321" t="s">
        <v>142</v>
      </c>
      <c r="O1321" t="s">
        <v>155</v>
      </c>
      <c r="P1321" t="s">
        <v>281</v>
      </c>
      <c r="Q1321" t="s">
        <v>155</v>
      </c>
      <c r="R1321" t="s">
        <v>302</v>
      </c>
      <c r="S1321" t="s">
        <v>355</v>
      </c>
      <c r="T1321">
        <v>2</v>
      </c>
      <c r="U1321" t="s">
        <v>159</v>
      </c>
      <c r="V1321" t="s">
        <v>303</v>
      </c>
      <c r="W1321" t="s">
        <v>437</v>
      </c>
      <c r="X1321" t="s">
        <v>306</v>
      </c>
      <c r="Y1321" t="s">
        <v>307</v>
      </c>
      <c r="Z1321">
        <v>65</v>
      </c>
      <c r="AA1321">
        <v>70</v>
      </c>
      <c r="AB1321" t="s">
        <v>143</v>
      </c>
      <c r="AC1321" t="s">
        <v>53</v>
      </c>
      <c r="AD1321" t="s">
        <v>404</v>
      </c>
      <c r="AE1321" t="str">
        <f>IF(AF1321="","",VLOOKUP(AC1321,mapel!$A$2:$B$42,2,FALSE))</f>
        <v>Sejarah</v>
      </c>
      <c r="AF1321">
        <f t="shared" si="60"/>
        <v>70</v>
      </c>
      <c r="AG1321" t="str">
        <f>IF(AF1321="","",IF(AF1321&gt;90,"Sangat baik",IF(AF1321&gt;79,"Baik",IF(AF1321&gt;=pub_gid_0_single_true_output_csv[[#This Row],[KKM]],"Cukup","Kurang"))))</f>
        <v>Cukup</v>
      </c>
      <c r="AH1321">
        <f t="shared" si="61"/>
        <v>11</v>
      </c>
      <c r="AI1321" s="30" t="str">
        <f>IF(OR(J1321&lt;&gt;"Karakter",pub_gid_0_single_true_output_csv[[#This Row],[Nilai2]]=""),"",IF(AF1321&gt;89,"Sangat baik",IF(AF1321&gt;79,"Baik",IF(AF1321&gt;69,"Cukup",IF(AF1321&gt;59,"Kurang","Sangat kurang")))))</f>
        <v>Cukup</v>
      </c>
      <c r="AJ1321" t="str">
        <f t="shared" si="62"/>
        <v>Wk.6</v>
      </c>
      <c r="AK1321" t="str">
        <f>IF(pub_gid_0_single_true_output_csv[[#This Row],[Nilai2]]="","",VLOOKUP(pub_gid_0_single_true_output_csv[[#This Row],[NAMA]],Table7[],3,FALSE))</f>
        <v>Average</v>
      </c>
    </row>
    <row r="1322" spans="1:37" x14ac:dyDescent="0.2">
      <c r="A1322">
        <v>1321</v>
      </c>
      <c r="B1322" t="s">
        <v>294</v>
      </c>
      <c r="C1322" t="s">
        <v>54</v>
      </c>
      <c r="D1322" t="s">
        <v>46</v>
      </c>
      <c r="E1322" t="s">
        <v>148</v>
      </c>
      <c r="F1322" s="25">
        <v>46057</v>
      </c>
      <c r="G1322" t="s">
        <v>348</v>
      </c>
      <c r="H1322" t="s">
        <v>412</v>
      </c>
      <c r="I1322" t="s">
        <v>371</v>
      </c>
      <c r="J1322" t="s">
        <v>279</v>
      </c>
      <c r="K1322" t="s">
        <v>280</v>
      </c>
      <c r="L1322" t="s">
        <v>322</v>
      </c>
      <c r="M1322" t="s">
        <v>141</v>
      </c>
      <c r="N1322" t="s">
        <v>142</v>
      </c>
      <c r="O1322" t="s">
        <v>155</v>
      </c>
      <c r="P1322" t="s">
        <v>281</v>
      </c>
      <c r="Q1322" t="s">
        <v>155</v>
      </c>
      <c r="R1322" t="s">
        <v>302</v>
      </c>
      <c r="S1322" t="s">
        <v>355</v>
      </c>
      <c r="T1322">
        <v>2</v>
      </c>
      <c r="U1322" t="s">
        <v>159</v>
      </c>
      <c r="V1322" t="s">
        <v>303</v>
      </c>
      <c r="W1322" t="s">
        <v>437</v>
      </c>
      <c r="X1322" t="s">
        <v>306</v>
      </c>
      <c r="Y1322" t="s">
        <v>307</v>
      </c>
      <c r="Z1322">
        <v>65</v>
      </c>
      <c r="AA1322">
        <v>65</v>
      </c>
      <c r="AB1322" t="s">
        <v>143</v>
      </c>
      <c r="AC1322" t="s">
        <v>53</v>
      </c>
      <c r="AD1322" t="s">
        <v>404</v>
      </c>
      <c r="AE1322" t="str">
        <f>IF(AF1322="","",VLOOKUP(AC1322,mapel!$A$2:$B$42,2,FALSE))</f>
        <v>Sejarah</v>
      </c>
      <c r="AF1322">
        <f t="shared" si="60"/>
        <v>65</v>
      </c>
      <c r="AG1322" t="str">
        <f>IF(AF1322="","",IF(AF1322&gt;90,"Sangat baik",IF(AF1322&gt;79,"Baik",IF(AF1322&gt;=pub_gid_0_single_true_output_csv[[#This Row],[KKM]],"Cukup","Kurang"))))</f>
        <v>Cukup</v>
      </c>
      <c r="AH1322">
        <f t="shared" si="61"/>
        <v>11</v>
      </c>
      <c r="AI1322" s="30" t="str">
        <f>IF(OR(J1322&lt;&gt;"Karakter",pub_gid_0_single_true_output_csv[[#This Row],[Nilai2]]=""),"",IF(AF1322&gt;89,"Sangat baik",IF(AF1322&gt;79,"Baik",IF(AF1322&gt;69,"Cukup",IF(AF1322&gt;59,"Kurang","Sangat kurang")))))</f>
        <v/>
      </c>
      <c r="AJ1322" t="str">
        <f t="shared" si="62"/>
        <v>Wk.6</v>
      </c>
      <c r="AK1322" t="str">
        <f>IF(pub_gid_0_single_true_output_csv[[#This Row],[Nilai2]]="","",VLOOKUP(pub_gid_0_single_true_output_csv[[#This Row],[NAMA]],Table7[],3,FALSE))</f>
        <v>Average</v>
      </c>
    </row>
    <row r="1323" spans="1:37" x14ac:dyDescent="0.2">
      <c r="A1323">
        <v>1322</v>
      </c>
      <c r="B1323" t="s">
        <v>294</v>
      </c>
      <c r="C1323" t="s">
        <v>54</v>
      </c>
      <c r="D1323" t="s">
        <v>46</v>
      </c>
      <c r="E1323" t="s">
        <v>148</v>
      </c>
      <c r="F1323" s="25">
        <v>46064</v>
      </c>
      <c r="G1323" t="s">
        <v>352</v>
      </c>
      <c r="H1323" t="s">
        <v>412</v>
      </c>
      <c r="I1323" t="s">
        <v>371</v>
      </c>
      <c r="J1323" t="s">
        <v>36</v>
      </c>
      <c r="K1323" t="s">
        <v>37</v>
      </c>
      <c r="L1323" t="s">
        <v>351</v>
      </c>
      <c r="M1323" t="s">
        <v>141</v>
      </c>
      <c r="N1323" t="s">
        <v>142</v>
      </c>
      <c r="O1323" t="s">
        <v>155</v>
      </c>
      <c r="P1323" t="s">
        <v>281</v>
      </c>
      <c r="Q1323" t="s">
        <v>155</v>
      </c>
      <c r="R1323" t="s">
        <v>302</v>
      </c>
      <c r="S1323" t="s">
        <v>380</v>
      </c>
      <c r="T1323">
        <v>3</v>
      </c>
      <c r="U1323" t="s">
        <v>159</v>
      </c>
      <c r="V1323" t="s">
        <v>381</v>
      </c>
      <c r="W1323" t="s">
        <v>438</v>
      </c>
      <c r="X1323" t="s">
        <v>306</v>
      </c>
      <c r="Y1323" t="s">
        <v>307</v>
      </c>
      <c r="Z1323">
        <v>65</v>
      </c>
      <c r="AA1323">
        <v>68</v>
      </c>
      <c r="AB1323" t="s">
        <v>143</v>
      </c>
      <c r="AC1323" t="s">
        <v>53</v>
      </c>
      <c r="AD1323" t="s">
        <v>404</v>
      </c>
      <c r="AE1323" t="str">
        <f>IF(AF1323="","",VLOOKUP(AC1323,mapel!$A$2:$B$42,2,FALSE))</f>
        <v>Sejarah</v>
      </c>
      <c r="AF1323">
        <f t="shared" si="60"/>
        <v>68</v>
      </c>
      <c r="AG1323" t="str">
        <f>IF(AF1323="","",IF(AF1323&gt;90,"Sangat baik",IF(AF1323&gt;79,"Baik",IF(AF1323&gt;=pub_gid_0_single_true_output_csv[[#This Row],[KKM]],"Cukup","Kurang"))))</f>
        <v>Cukup</v>
      </c>
      <c r="AH1323">
        <f t="shared" si="61"/>
        <v>11</v>
      </c>
      <c r="AI1323" s="30" t="str">
        <f>IF(OR(J1323&lt;&gt;"Karakter",pub_gid_0_single_true_output_csv[[#This Row],[Nilai2]]=""),"",IF(AF1323&gt;89,"Sangat baik",IF(AF1323&gt;79,"Baik",IF(AF1323&gt;69,"Cukup",IF(AF1323&gt;59,"Kurang","Sangat kurang")))))</f>
        <v/>
      </c>
      <c r="AJ1323" t="str">
        <f t="shared" si="62"/>
        <v>Wk.7</v>
      </c>
      <c r="AK1323" t="str">
        <f>IF(pub_gid_0_single_true_output_csv[[#This Row],[Nilai2]]="","",VLOOKUP(pub_gid_0_single_true_output_csv[[#This Row],[NAMA]],Table7[],3,FALSE))</f>
        <v>Average</v>
      </c>
    </row>
    <row r="1324" spans="1:37" x14ac:dyDescent="0.2">
      <c r="A1324">
        <v>1323</v>
      </c>
      <c r="B1324" t="s">
        <v>294</v>
      </c>
      <c r="C1324" t="s">
        <v>54</v>
      </c>
      <c r="D1324" t="s">
        <v>46</v>
      </c>
      <c r="E1324" t="s">
        <v>148</v>
      </c>
      <c r="F1324" s="25">
        <v>46064</v>
      </c>
      <c r="G1324" t="s">
        <v>352</v>
      </c>
      <c r="H1324" t="s">
        <v>412</v>
      </c>
      <c r="I1324" t="s">
        <v>371</v>
      </c>
      <c r="J1324" t="s">
        <v>31</v>
      </c>
      <c r="K1324" t="s">
        <v>96</v>
      </c>
      <c r="L1324" t="s">
        <v>351</v>
      </c>
      <c r="M1324" t="s">
        <v>141</v>
      </c>
      <c r="N1324" t="s">
        <v>142</v>
      </c>
      <c r="O1324" t="s">
        <v>155</v>
      </c>
      <c r="P1324" t="s">
        <v>281</v>
      </c>
      <c r="Q1324" t="s">
        <v>155</v>
      </c>
      <c r="R1324" t="s">
        <v>302</v>
      </c>
      <c r="S1324" t="s">
        <v>380</v>
      </c>
      <c r="T1324">
        <v>3</v>
      </c>
      <c r="U1324" t="s">
        <v>159</v>
      </c>
      <c r="V1324" t="s">
        <v>381</v>
      </c>
      <c r="W1324" t="s">
        <v>438</v>
      </c>
      <c r="X1324" t="s">
        <v>306</v>
      </c>
      <c r="Y1324" t="s">
        <v>307</v>
      </c>
      <c r="Z1324">
        <v>65</v>
      </c>
      <c r="AA1324">
        <v>60</v>
      </c>
      <c r="AB1324" t="s">
        <v>151</v>
      </c>
      <c r="AC1324" t="s">
        <v>53</v>
      </c>
      <c r="AD1324" t="s">
        <v>404</v>
      </c>
      <c r="AE1324" t="str">
        <f>IF(AF1324="","",VLOOKUP(AC1324,mapel!$A$2:$B$42,2,FALSE))</f>
        <v>Sejarah</v>
      </c>
      <c r="AF1324">
        <f t="shared" si="60"/>
        <v>60</v>
      </c>
      <c r="AG1324" t="str">
        <f>IF(AF1324="","",IF(AF1324&gt;90,"Sangat baik",IF(AF1324&gt;79,"Baik",IF(AF1324&gt;=pub_gid_0_single_true_output_csv[[#This Row],[KKM]],"Cukup","Kurang"))))</f>
        <v>Kurang</v>
      </c>
      <c r="AH1324">
        <f t="shared" si="61"/>
        <v>11</v>
      </c>
      <c r="AI1324" s="30" t="str">
        <f>IF(OR(J1324&lt;&gt;"Karakter",pub_gid_0_single_true_output_csv[[#This Row],[Nilai2]]=""),"",IF(AF1324&gt;89,"Sangat baik",IF(AF1324&gt;79,"Baik",IF(AF1324&gt;69,"Cukup",IF(AF1324&gt;59,"Kurang","Sangat kurang")))))</f>
        <v/>
      </c>
      <c r="AJ1324" t="str">
        <f t="shared" si="62"/>
        <v>Wk.7</v>
      </c>
      <c r="AK1324" t="str">
        <f>IF(pub_gid_0_single_true_output_csv[[#This Row],[Nilai2]]="","",VLOOKUP(pub_gid_0_single_true_output_csv[[#This Row],[NAMA]],Table7[],3,FALSE))</f>
        <v>Average</v>
      </c>
    </row>
    <row r="1325" spans="1:37" x14ac:dyDescent="0.2">
      <c r="A1325">
        <v>1324</v>
      </c>
      <c r="B1325" t="s">
        <v>294</v>
      </c>
      <c r="C1325" t="s">
        <v>54</v>
      </c>
      <c r="D1325" t="s">
        <v>46</v>
      </c>
      <c r="E1325" t="s">
        <v>148</v>
      </c>
      <c r="F1325" s="25">
        <v>46064</v>
      </c>
      <c r="G1325" t="s">
        <v>352</v>
      </c>
      <c r="H1325" t="s">
        <v>412</v>
      </c>
      <c r="I1325" t="s">
        <v>371</v>
      </c>
      <c r="J1325" t="s">
        <v>90</v>
      </c>
      <c r="K1325" t="s">
        <v>92</v>
      </c>
      <c r="L1325" t="s">
        <v>93</v>
      </c>
      <c r="M1325" t="s">
        <v>141</v>
      </c>
      <c r="N1325" t="s">
        <v>142</v>
      </c>
      <c r="O1325" t="s">
        <v>155</v>
      </c>
      <c r="P1325" t="s">
        <v>281</v>
      </c>
      <c r="Q1325" t="s">
        <v>155</v>
      </c>
      <c r="R1325" t="s">
        <v>302</v>
      </c>
      <c r="S1325" t="s">
        <v>380</v>
      </c>
      <c r="T1325">
        <v>3</v>
      </c>
      <c r="U1325" t="s">
        <v>159</v>
      </c>
      <c r="V1325" t="s">
        <v>381</v>
      </c>
      <c r="W1325" t="s">
        <v>438</v>
      </c>
      <c r="X1325" t="s">
        <v>306</v>
      </c>
      <c r="Y1325" t="s">
        <v>307</v>
      </c>
      <c r="Z1325">
        <v>65</v>
      </c>
      <c r="AA1325">
        <v>69</v>
      </c>
      <c r="AB1325" t="s">
        <v>143</v>
      </c>
      <c r="AC1325" t="s">
        <v>53</v>
      </c>
      <c r="AD1325" t="s">
        <v>404</v>
      </c>
      <c r="AE1325" t="str">
        <f>IF(AF1325="","",VLOOKUP(AC1325,mapel!$A$2:$B$42,2,FALSE))</f>
        <v>Sejarah</v>
      </c>
      <c r="AF1325">
        <f t="shared" si="60"/>
        <v>69</v>
      </c>
      <c r="AG1325" t="str">
        <f>IF(AF1325="","",IF(AF1325&gt;90,"Sangat baik",IF(AF1325&gt;79,"Baik",IF(AF1325&gt;=pub_gid_0_single_true_output_csv[[#This Row],[KKM]],"Cukup","Kurang"))))</f>
        <v>Cukup</v>
      </c>
      <c r="AH1325">
        <f t="shared" si="61"/>
        <v>11</v>
      </c>
      <c r="AI1325" s="30" t="str">
        <f>IF(OR(J1325&lt;&gt;"Karakter",pub_gid_0_single_true_output_csv[[#This Row],[Nilai2]]=""),"",IF(AF1325&gt;89,"Sangat baik",IF(AF1325&gt;79,"Baik",IF(AF1325&gt;69,"Cukup",IF(AF1325&gt;59,"Kurang","Sangat kurang")))))</f>
        <v>Kurang</v>
      </c>
      <c r="AJ1325" t="str">
        <f t="shared" si="62"/>
        <v>Wk.7</v>
      </c>
      <c r="AK1325" t="str">
        <f>IF(pub_gid_0_single_true_output_csv[[#This Row],[Nilai2]]="","",VLOOKUP(pub_gid_0_single_true_output_csv[[#This Row],[NAMA]],Table7[],3,FALSE))</f>
        <v>Average</v>
      </c>
    </row>
    <row r="1326" spans="1:37" x14ac:dyDescent="0.2">
      <c r="A1326">
        <v>1325</v>
      </c>
      <c r="B1326" t="s">
        <v>294</v>
      </c>
      <c r="C1326" t="s">
        <v>54</v>
      </c>
      <c r="D1326" t="s">
        <v>46</v>
      </c>
      <c r="E1326" t="s">
        <v>148</v>
      </c>
      <c r="F1326" s="25">
        <v>46064</v>
      </c>
      <c r="G1326" t="s">
        <v>352</v>
      </c>
      <c r="H1326" t="s">
        <v>412</v>
      </c>
      <c r="I1326" t="s">
        <v>371</v>
      </c>
      <c r="J1326" t="s">
        <v>279</v>
      </c>
      <c r="K1326" t="s">
        <v>280</v>
      </c>
      <c r="L1326" t="s">
        <v>322</v>
      </c>
      <c r="M1326" t="s">
        <v>141</v>
      </c>
      <c r="N1326" t="s">
        <v>142</v>
      </c>
      <c r="O1326" t="s">
        <v>155</v>
      </c>
      <c r="P1326" t="s">
        <v>281</v>
      </c>
      <c r="Q1326" t="s">
        <v>155</v>
      </c>
      <c r="R1326" t="s">
        <v>302</v>
      </c>
      <c r="S1326" t="s">
        <v>380</v>
      </c>
      <c r="T1326">
        <v>3</v>
      </c>
      <c r="U1326" t="s">
        <v>159</v>
      </c>
      <c r="V1326" t="s">
        <v>381</v>
      </c>
      <c r="W1326" t="s">
        <v>438</v>
      </c>
      <c r="X1326" t="s">
        <v>306</v>
      </c>
      <c r="Y1326" t="s">
        <v>307</v>
      </c>
      <c r="Z1326">
        <v>65</v>
      </c>
      <c r="AA1326">
        <v>65</v>
      </c>
      <c r="AB1326" t="s">
        <v>143</v>
      </c>
      <c r="AC1326" t="s">
        <v>53</v>
      </c>
      <c r="AD1326" t="s">
        <v>404</v>
      </c>
      <c r="AE1326" t="str">
        <f>IF(AF1326="","",VLOOKUP(AC1326,mapel!$A$2:$B$42,2,FALSE))</f>
        <v>Sejarah</v>
      </c>
      <c r="AF1326">
        <f t="shared" si="60"/>
        <v>65</v>
      </c>
      <c r="AG1326" t="str">
        <f>IF(AF1326="","",IF(AF1326&gt;90,"Sangat baik",IF(AF1326&gt;79,"Baik",IF(AF1326&gt;=pub_gid_0_single_true_output_csv[[#This Row],[KKM]],"Cukup","Kurang"))))</f>
        <v>Cukup</v>
      </c>
      <c r="AH1326">
        <f t="shared" si="61"/>
        <v>11</v>
      </c>
      <c r="AI1326" s="30" t="str">
        <f>IF(OR(J1326&lt;&gt;"Karakter",pub_gid_0_single_true_output_csv[[#This Row],[Nilai2]]=""),"",IF(AF1326&gt;89,"Sangat baik",IF(AF1326&gt;79,"Baik",IF(AF1326&gt;69,"Cukup",IF(AF1326&gt;59,"Kurang","Sangat kurang")))))</f>
        <v/>
      </c>
      <c r="AJ1326" t="str">
        <f t="shared" si="62"/>
        <v>Wk.7</v>
      </c>
      <c r="AK1326" t="str">
        <f>IF(pub_gid_0_single_true_output_csv[[#This Row],[Nilai2]]="","",VLOOKUP(pub_gid_0_single_true_output_csv[[#This Row],[NAMA]],Table7[],3,FALSE))</f>
        <v>Average</v>
      </c>
    </row>
    <row r="1327" spans="1:37" x14ac:dyDescent="0.2">
      <c r="A1327">
        <v>1326</v>
      </c>
      <c r="B1327" t="s">
        <v>294</v>
      </c>
      <c r="C1327" t="s">
        <v>54</v>
      </c>
      <c r="D1327" t="s">
        <v>46</v>
      </c>
      <c r="E1327" t="s">
        <v>148</v>
      </c>
      <c r="F1327" s="25">
        <v>46071</v>
      </c>
      <c r="G1327" t="s">
        <v>323</v>
      </c>
      <c r="H1327" t="s">
        <v>412</v>
      </c>
      <c r="I1327" t="s">
        <v>371</v>
      </c>
      <c r="J1327" t="s">
        <v>36</v>
      </c>
      <c r="K1327" t="s">
        <v>362</v>
      </c>
      <c r="L1327" t="s">
        <v>363</v>
      </c>
      <c r="M1327" t="s">
        <v>141</v>
      </c>
      <c r="N1327" t="s">
        <v>142</v>
      </c>
      <c r="O1327" t="s">
        <v>155</v>
      </c>
      <c r="P1327" t="s">
        <v>281</v>
      </c>
      <c r="Q1327" t="s">
        <v>155</v>
      </c>
      <c r="R1327" t="s">
        <v>302</v>
      </c>
      <c r="S1327" t="s">
        <v>309</v>
      </c>
      <c r="T1327">
        <v>1</v>
      </c>
      <c r="U1327" t="s">
        <v>435</v>
      </c>
      <c r="V1327" t="s">
        <v>285</v>
      </c>
      <c r="W1327" t="s">
        <v>436</v>
      </c>
      <c r="X1327" t="s">
        <v>306</v>
      </c>
      <c r="Y1327" t="s">
        <v>307</v>
      </c>
      <c r="Z1327">
        <v>65</v>
      </c>
      <c r="AA1327">
        <v>73</v>
      </c>
      <c r="AB1327" t="s">
        <v>143</v>
      </c>
      <c r="AC1327" t="s">
        <v>53</v>
      </c>
      <c r="AD1327" t="s">
        <v>404</v>
      </c>
      <c r="AE1327" t="str">
        <f>IF(AF1327="","",VLOOKUP(AC1327,mapel!$A$2:$B$42,2,FALSE))</f>
        <v>Sejarah</v>
      </c>
      <c r="AF1327">
        <f t="shared" si="60"/>
        <v>73</v>
      </c>
      <c r="AG1327" t="str">
        <f>IF(AF1327="","",IF(AF1327&gt;90,"Sangat baik",IF(AF1327&gt;79,"Baik",IF(AF1327&gt;=pub_gid_0_single_true_output_csv[[#This Row],[KKM]],"Cukup","Kurang"))))</f>
        <v>Cukup</v>
      </c>
      <c r="AH1327">
        <f t="shared" si="61"/>
        <v>11</v>
      </c>
      <c r="AI1327" s="30" t="str">
        <f>IF(OR(J1327&lt;&gt;"Karakter",pub_gid_0_single_true_output_csv[[#This Row],[Nilai2]]=""),"",IF(AF1327&gt;89,"Sangat baik",IF(AF1327&gt;79,"Baik",IF(AF1327&gt;69,"Cukup",IF(AF1327&gt;59,"Kurang","Sangat kurang")))))</f>
        <v/>
      </c>
      <c r="AJ1327" t="str">
        <f t="shared" si="62"/>
        <v>Wk.8</v>
      </c>
      <c r="AK1327" t="str">
        <f>IF(pub_gid_0_single_true_output_csv[[#This Row],[Nilai2]]="","",VLOOKUP(pub_gid_0_single_true_output_csv[[#This Row],[NAMA]],Table7[],3,FALSE))</f>
        <v>Average</v>
      </c>
    </row>
    <row r="1328" spans="1:37" x14ac:dyDescent="0.2">
      <c r="A1328">
        <v>1327</v>
      </c>
      <c r="B1328" t="s">
        <v>294</v>
      </c>
      <c r="C1328" t="s">
        <v>54</v>
      </c>
      <c r="D1328" t="s">
        <v>46</v>
      </c>
      <c r="E1328" t="s">
        <v>148</v>
      </c>
      <c r="F1328" s="25">
        <v>46071</v>
      </c>
      <c r="G1328" t="s">
        <v>323</v>
      </c>
      <c r="H1328" t="s">
        <v>412</v>
      </c>
      <c r="I1328" t="s">
        <v>371</v>
      </c>
      <c r="J1328" t="s">
        <v>90</v>
      </c>
      <c r="K1328" t="s">
        <v>92</v>
      </c>
      <c r="L1328" t="s">
        <v>93</v>
      </c>
      <c r="M1328" t="s">
        <v>141</v>
      </c>
      <c r="N1328" t="s">
        <v>142</v>
      </c>
      <c r="O1328" t="s">
        <v>155</v>
      </c>
      <c r="P1328" t="s">
        <v>281</v>
      </c>
      <c r="Q1328" t="s">
        <v>155</v>
      </c>
      <c r="R1328" t="s">
        <v>302</v>
      </c>
      <c r="S1328" t="s">
        <v>309</v>
      </c>
      <c r="T1328">
        <v>1</v>
      </c>
      <c r="U1328" t="s">
        <v>435</v>
      </c>
      <c r="V1328" t="s">
        <v>285</v>
      </c>
      <c r="W1328" t="s">
        <v>436</v>
      </c>
      <c r="X1328" t="s">
        <v>306</v>
      </c>
      <c r="Y1328" t="s">
        <v>307</v>
      </c>
      <c r="Z1328">
        <v>65</v>
      </c>
      <c r="AA1328">
        <v>70</v>
      </c>
      <c r="AB1328" t="s">
        <v>143</v>
      </c>
      <c r="AC1328" t="s">
        <v>53</v>
      </c>
      <c r="AD1328" t="s">
        <v>404</v>
      </c>
      <c r="AE1328" t="str">
        <f>IF(AF1328="","",VLOOKUP(AC1328,mapel!$A$2:$B$42,2,FALSE))</f>
        <v>Sejarah</v>
      </c>
      <c r="AF1328">
        <f t="shared" si="60"/>
        <v>70</v>
      </c>
      <c r="AG1328" t="str">
        <f>IF(AF1328="","",IF(AF1328&gt;90,"Sangat baik",IF(AF1328&gt;79,"Baik",IF(AF1328&gt;=pub_gid_0_single_true_output_csv[[#This Row],[KKM]],"Cukup","Kurang"))))</f>
        <v>Cukup</v>
      </c>
      <c r="AH1328">
        <f t="shared" si="61"/>
        <v>11</v>
      </c>
      <c r="AI1328" s="30" t="str">
        <f>IF(OR(J1328&lt;&gt;"Karakter",pub_gid_0_single_true_output_csv[[#This Row],[Nilai2]]=""),"",IF(AF1328&gt;89,"Sangat baik",IF(AF1328&gt;79,"Baik",IF(AF1328&gt;69,"Cukup",IF(AF1328&gt;59,"Kurang","Sangat kurang")))))</f>
        <v>Cukup</v>
      </c>
      <c r="AJ1328" t="str">
        <f t="shared" si="62"/>
        <v>Wk.8</v>
      </c>
      <c r="AK1328" t="str">
        <f>IF(pub_gid_0_single_true_output_csv[[#This Row],[Nilai2]]="","",VLOOKUP(pub_gid_0_single_true_output_csv[[#This Row],[NAMA]],Table7[],3,FALSE))</f>
        <v>Average</v>
      </c>
    </row>
    <row r="1329" spans="1:37" x14ac:dyDescent="0.2">
      <c r="A1329">
        <v>1328</v>
      </c>
      <c r="B1329" t="s">
        <v>295</v>
      </c>
      <c r="C1329" t="s">
        <v>54</v>
      </c>
      <c r="D1329" t="s">
        <v>47</v>
      </c>
      <c r="E1329" t="s">
        <v>148</v>
      </c>
      <c r="F1329" s="25">
        <v>46036</v>
      </c>
      <c r="G1329" t="s">
        <v>353</v>
      </c>
      <c r="H1329" t="s">
        <v>405</v>
      </c>
      <c r="I1329" t="s">
        <v>371</v>
      </c>
      <c r="J1329" t="s">
        <v>36</v>
      </c>
      <c r="K1329" t="s">
        <v>37</v>
      </c>
      <c r="L1329" t="s">
        <v>351</v>
      </c>
      <c r="M1329" t="s">
        <v>141</v>
      </c>
      <c r="N1329" t="s">
        <v>142</v>
      </c>
      <c r="O1329" t="s">
        <v>155</v>
      </c>
      <c r="P1329" t="s">
        <v>281</v>
      </c>
      <c r="Q1329" t="s">
        <v>155</v>
      </c>
      <c r="R1329" t="s">
        <v>302</v>
      </c>
      <c r="S1329" t="s">
        <v>309</v>
      </c>
      <c r="T1329">
        <v>1</v>
      </c>
      <c r="U1329" t="s">
        <v>435</v>
      </c>
      <c r="V1329" t="s">
        <v>285</v>
      </c>
      <c r="W1329" t="s">
        <v>436</v>
      </c>
      <c r="X1329" t="s">
        <v>306</v>
      </c>
      <c r="Y1329" t="s">
        <v>307</v>
      </c>
      <c r="Z1329">
        <v>65</v>
      </c>
      <c r="AA1329">
        <v>60</v>
      </c>
      <c r="AB1329" t="s">
        <v>151</v>
      </c>
      <c r="AC1329" t="s">
        <v>53</v>
      </c>
      <c r="AD1329" t="s">
        <v>404</v>
      </c>
      <c r="AE1329" t="str">
        <f>IF(AF1329="","",VLOOKUP(AC1329,mapel!$A$2:$B$42,2,FALSE))</f>
        <v>Sejarah</v>
      </c>
      <c r="AF1329">
        <f t="shared" si="60"/>
        <v>60</v>
      </c>
      <c r="AG1329" t="str">
        <f>IF(AF1329="","",IF(AF1329&gt;90,"Sangat baik",IF(AF1329&gt;79,"Baik",IF(AF1329&gt;=pub_gid_0_single_true_output_csv[[#This Row],[KKM]],"Cukup","Kurang"))))</f>
        <v>Kurang</v>
      </c>
      <c r="AH1329">
        <f t="shared" si="61"/>
        <v>11</v>
      </c>
      <c r="AI1329" s="30" t="str">
        <f>IF(OR(J1329&lt;&gt;"Karakter",pub_gid_0_single_true_output_csv[[#This Row],[Nilai2]]=""),"",IF(AF1329&gt;89,"Sangat baik",IF(AF1329&gt;79,"Baik",IF(AF1329&gt;69,"Cukup",IF(AF1329&gt;59,"Kurang","Sangat kurang")))))</f>
        <v/>
      </c>
      <c r="AJ1329" t="str">
        <f t="shared" si="62"/>
        <v>Wk.3</v>
      </c>
      <c r="AK1329" t="str">
        <f>IF(pub_gid_0_single_true_output_csv[[#This Row],[Nilai2]]="","",VLOOKUP(pub_gid_0_single_true_output_csv[[#This Row],[NAMA]],Table7[],3,FALSE))</f>
        <v>Low average</v>
      </c>
    </row>
    <row r="1330" spans="1:37" x14ac:dyDescent="0.2">
      <c r="A1330">
        <v>1329</v>
      </c>
      <c r="B1330" t="s">
        <v>295</v>
      </c>
      <c r="C1330" t="s">
        <v>54</v>
      </c>
      <c r="D1330" t="s">
        <v>47</v>
      </c>
      <c r="E1330" t="s">
        <v>148</v>
      </c>
      <c r="F1330" s="25">
        <v>46036</v>
      </c>
      <c r="G1330" t="s">
        <v>353</v>
      </c>
      <c r="H1330" t="s">
        <v>405</v>
      </c>
      <c r="I1330" t="s">
        <v>371</v>
      </c>
      <c r="J1330" t="s">
        <v>31</v>
      </c>
      <c r="K1330" t="s">
        <v>32</v>
      </c>
      <c r="L1330" t="s">
        <v>351</v>
      </c>
      <c r="M1330" t="s">
        <v>141</v>
      </c>
      <c r="N1330" t="s">
        <v>142</v>
      </c>
      <c r="O1330" t="s">
        <v>155</v>
      </c>
      <c r="P1330" t="s">
        <v>281</v>
      </c>
      <c r="Q1330" t="s">
        <v>155</v>
      </c>
      <c r="R1330" t="s">
        <v>302</v>
      </c>
      <c r="S1330" t="s">
        <v>309</v>
      </c>
      <c r="T1330">
        <v>1</v>
      </c>
      <c r="U1330" t="s">
        <v>435</v>
      </c>
      <c r="V1330" t="s">
        <v>285</v>
      </c>
      <c r="W1330" t="s">
        <v>436</v>
      </c>
      <c r="X1330" t="s">
        <v>306</v>
      </c>
      <c r="Y1330" t="s">
        <v>307</v>
      </c>
      <c r="Z1330">
        <v>65</v>
      </c>
      <c r="AA1330">
        <v>65</v>
      </c>
      <c r="AB1330" t="s">
        <v>143</v>
      </c>
      <c r="AC1330" t="s">
        <v>53</v>
      </c>
      <c r="AD1330" t="s">
        <v>404</v>
      </c>
      <c r="AE1330" t="str">
        <f>IF(AF1330="","",VLOOKUP(AC1330,mapel!$A$2:$B$42,2,FALSE))</f>
        <v>Sejarah</v>
      </c>
      <c r="AF1330">
        <f t="shared" si="60"/>
        <v>65</v>
      </c>
      <c r="AG1330" t="str">
        <f>IF(AF1330="","",IF(AF1330&gt;90,"Sangat baik",IF(AF1330&gt;79,"Baik",IF(AF1330&gt;=pub_gid_0_single_true_output_csv[[#This Row],[KKM]],"Cukup","Kurang"))))</f>
        <v>Cukup</v>
      </c>
      <c r="AH1330">
        <f t="shared" si="61"/>
        <v>11</v>
      </c>
      <c r="AI1330" s="30" t="str">
        <f>IF(OR(J1330&lt;&gt;"Karakter",pub_gid_0_single_true_output_csv[[#This Row],[Nilai2]]=""),"",IF(AF1330&gt;89,"Sangat baik",IF(AF1330&gt;79,"Baik",IF(AF1330&gt;69,"Cukup",IF(AF1330&gt;59,"Kurang","Sangat kurang")))))</f>
        <v/>
      </c>
      <c r="AJ1330" t="str">
        <f t="shared" si="62"/>
        <v>Wk.3</v>
      </c>
      <c r="AK1330" t="str">
        <f>IF(pub_gid_0_single_true_output_csv[[#This Row],[Nilai2]]="","",VLOOKUP(pub_gid_0_single_true_output_csv[[#This Row],[NAMA]],Table7[],3,FALSE))</f>
        <v>Low average</v>
      </c>
    </row>
    <row r="1331" spans="1:37" x14ac:dyDescent="0.2">
      <c r="A1331">
        <v>1330</v>
      </c>
      <c r="B1331" t="s">
        <v>295</v>
      </c>
      <c r="C1331" t="s">
        <v>54</v>
      </c>
      <c r="D1331" t="s">
        <v>47</v>
      </c>
      <c r="E1331" t="s">
        <v>148</v>
      </c>
      <c r="F1331" s="25">
        <v>46036</v>
      </c>
      <c r="G1331" t="s">
        <v>353</v>
      </c>
      <c r="H1331" t="s">
        <v>405</v>
      </c>
      <c r="I1331" t="s">
        <v>371</v>
      </c>
      <c r="J1331" t="s">
        <v>90</v>
      </c>
      <c r="K1331" t="s">
        <v>92</v>
      </c>
      <c r="L1331" t="s">
        <v>91</v>
      </c>
      <c r="M1331" t="s">
        <v>141</v>
      </c>
      <c r="N1331" t="s">
        <v>142</v>
      </c>
      <c r="O1331" t="s">
        <v>155</v>
      </c>
      <c r="P1331" t="s">
        <v>281</v>
      </c>
      <c r="Q1331" t="s">
        <v>155</v>
      </c>
      <c r="R1331" t="s">
        <v>302</v>
      </c>
      <c r="S1331" t="s">
        <v>309</v>
      </c>
      <c r="T1331">
        <v>1</v>
      </c>
      <c r="U1331" t="s">
        <v>435</v>
      </c>
      <c r="V1331" t="s">
        <v>285</v>
      </c>
      <c r="W1331" t="s">
        <v>436</v>
      </c>
      <c r="X1331" t="s">
        <v>306</v>
      </c>
      <c r="Y1331" t="s">
        <v>307</v>
      </c>
      <c r="Z1331">
        <v>65</v>
      </c>
      <c r="AA1331">
        <v>70</v>
      </c>
      <c r="AB1331" t="s">
        <v>143</v>
      </c>
      <c r="AC1331" t="s">
        <v>53</v>
      </c>
      <c r="AD1331" t="s">
        <v>404</v>
      </c>
      <c r="AE1331" t="str">
        <f>IF(AF1331="","",VLOOKUP(AC1331,mapel!$A$2:$B$42,2,FALSE))</f>
        <v>Sejarah</v>
      </c>
      <c r="AF1331">
        <f t="shared" si="60"/>
        <v>70</v>
      </c>
      <c r="AG1331" t="str">
        <f>IF(AF1331="","",IF(AF1331&gt;90,"Sangat baik",IF(AF1331&gt;79,"Baik",IF(AF1331&gt;=pub_gid_0_single_true_output_csv[[#This Row],[KKM]],"Cukup","Kurang"))))</f>
        <v>Cukup</v>
      </c>
      <c r="AH1331">
        <f t="shared" si="61"/>
        <v>11</v>
      </c>
      <c r="AI1331" s="30" t="str">
        <f>IF(OR(J1331&lt;&gt;"Karakter",pub_gid_0_single_true_output_csv[[#This Row],[Nilai2]]=""),"",IF(AF1331&gt;89,"Sangat baik",IF(AF1331&gt;79,"Baik",IF(AF1331&gt;69,"Cukup",IF(AF1331&gt;59,"Kurang","Sangat kurang")))))</f>
        <v>Cukup</v>
      </c>
      <c r="AJ1331" t="str">
        <f t="shared" si="62"/>
        <v>Wk.3</v>
      </c>
      <c r="AK1331" t="str">
        <f>IF(pub_gid_0_single_true_output_csv[[#This Row],[Nilai2]]="","",VLOOKUP(pub_gid_0_single_true_output_csv[[#This Row],[NAMA]],Table7[],3,FALSE))</f>
        <v>Low average</v>
      </c>
    </row>
    <row r="1332" spans="1:37" x14ac:dyDescent="0.2">
      <c r="A1332">
        <v>1331</v>
      </c>
      <c r="B1332" t="s">
        <v>295</v>
      </c>
      <c r="C1332" t="s">
        <v>54</v>
      </c>
      <c r="D1332" t="s">
        <v>47</v>
      </c>
      <c r="E1332" t="s">
        <v>148</v>
      </c>
      <c r="F1332" s="25">
        <v>46036</v>
      </c>
      <c r="G1332" t="s">
        <v>353</v>
      </c>
      <c r="H1332" t="s">
        <v>405</v>
      </c>
      <c r="I1332" t="s">
        <v>371</v>
      </c>
      <c r="J1332" t="s">
        <v>279</v>
      </c>
      <c r="K1332" t="s">
        <v>280</v>
      </c>
      <c r="L1332" t="s">
        <v>322</v>
      </c>
      <c r="M1332" t="s">
        <v>141</v>
      </c>
      <c r="N1332" t="s">
        <v>142</v>
      </c>
      <c r="O1332" t="s">
        <v>155</v>
      </c>
      <c r="P1332" t="s">
        <v>281</v>
      </c>
      <c r="Q1332" t="s">
        <v>155</v>
      </c>
      <c r="R1332" t="s">
        <v>302</v>
      </c>
      <c r="S1332" t="s">
        <v>309</v>
      </c>
      <c r="T1332">
        <v>1</v>
      </c>
      <c r="U1332" t="s">
        <v>435</v>
      </c>
      <c r="V1332" t="s">
        <v>285</v>
      </c>
      <c r="W1332" t="s">
        <v>436</v>
      </c>
      <c r="X1332" t="s">
        <v>306</v>
      </c>
      <c r="Y1332" t="s">
        <v>307</v>
      </c>
      <c r="Z1332">
        <v>65</v>
      </c>
      <c r="AA1332">
        <v>70</v>
      </c>
      <c r="AB1332" t="s">
        <v>143</v>
      </c>
      <c r="AC1332" t="s">
        <v>53</v>
      </c>
      <c r="AD1332" t="s">
        <v>404</v>
      </c>
      <c r="AE1332" t="str">
        <f>IF(AF1332="","",VLOOKUP(AC1332,mapel!$A$2:$B$42,2,FALSE))</f>
        <v>Sejarah</v>
      </c>
      <c r="AF1332">
        <f t="shared" si="60"/>
        <v>70</v>
      </c>
      <c r="AG1332" t="str">
        <f>IF(AF1332="","",IF(AF1332&gt;90,"Sangat baik",IF(AF1332&gt;79,"Baik",IF(AF1332&gt;=pub_gid_0_single_true_output_csv[[#This Row],[KKM]],"Cukup","Kurang"))))</f>
        <v>Cukup</v>
      </c>
      <c r="AH1332">
        <f t="shared" si="61"/>
        <v>11</v>
      </c>
      <c r="AI1332" s="30" t="str">
        <f>IF(OR(J1332&lt;&gt;"Karakter",pub_gid_0_single_true_output_csv[[#This Row],[Nilai2]]=""),"",IF(AF1332&gt;89,"Sangat baik",IF(AF1332&gt;79,"Baik",IF(AF1332&gt;69,"Cukup",IF(AF1332&gt;59,"Kurang","Sangat kurang")))))</f>
        <v/>
      </c>
      <c r="AJ1332" t="str">
        <f t="shared" si="62"/>
        <v>Wk.3</v>
      </c>
      <c r="AK1332" t="str">
        <f>IF(pub_gid_0_single_true_output_csv[[#This Row],[Nilai2]]="","",VLOOKUP(pub_gid_0_single_true_output_csv[[#This Row],[NAMA]],Table7[],3,FALSE))</f>
        <v>Low average</v>
      </c>
    </row>
    <row r="1333" spans="1:37" x14ac:dyDescent="0.2">
      <c r="A1333">
        <v>1332</v>
      </c>
      <c r="B1333" t="s">
        <v>295</v>
      </c>
      <c r="C1333" t="s">
        <v>54</v>
      </c>
      <c r="D1333" t="s">
        <v>47</v>
      </c>
      <c r="E1333" t="s">
        <v>148</v>
      </c>
      <c r="F1333" s="25">
        <v>46043</v>
      </c>
      <c r="G1333" t="s">
        <v>341</v>
      </c>
      <c r="H1333" t="s">
        <v>405</v>
      </c>
      <c r="I1333" t="s">
        <v>371</v>
      </c>
      <c r="J1333" t="s">
        <v>36</v>
      </c>
      <c r="K1333" t="s">
        <v>37</v>
      </c>
      <c r="L1333" t="s">
        <v>351</v>
      </c>
      <c r="M1333" t="s">
        <v>141</v>
      </c>
      <c r="N1333" t="s">
        <v>142</v>
      </c>
      <c r="O1333" t="s">
        <v>155</v>
      </c>
      <c r="P1333" t="s">
        <v>281</v>
      </c>
      <c r="Q1333" t="s">
        <v>155</v>
      </c>
      <c r="R1333" t="s">
        <v>302</v>
      </c>
      <c r="S1333" t="s">
        <v>309</v>
      </c>
      <c r="T1333">
        <v>1</v>
      </c>
      <c r="U1333" t="s">
        <v>435</v>
      </c>
      <c r="V1333" t="s">
        <v>285</v>
      </c>
      <c r="W1333" t="s">
        <v>436</v>
      </c>
      <c r="X1333" t="s">
        <v>306</v>
      </c>
      <c r="Y1333" t="s">
        <v>307</v>
      </c>
      <c r="Z1333">
        <v>65</v>
      </c>
      <c r="AA1333">
        <v>45</v>
      </c>
      <c r="AB1333" t="s">
        <v>151</v>
      </c>
      <c r="AC1333" t="s">
        <v>53</v>
      </c>
      <c r="AD1333" t="s">
        <v>404</v>
      </c>
      <c r="AE1333" t="str">
        <f>IF(AF1333="","",VLOOKUP(AC1333,mapel!$A$2:$B$42,2,FALSE))</f>
        <v>Sejarah</v>
      </c>
      <c r="AF1333">
        <f t="shared" si="60"/>
        <v>45</v>
      </c>
      <c r="AG1333" t="str">
        <f>IF(AF1333="","",IF(AF1333&gt;90,"Sangat baik",IF(AF1333&gt;79,"Baik",IF(AF1333&gt;=pub_gid_0_single_true_output_csv[[#This Row],[KKM]],"Cukup","Kurang"))))</f>
        <v>Kurang</v>
      </c>
      <c r="AH1333">
        <f t="shared" si="61"/>
        <v>11</v>
      </c>
      <c r="AI1333" s="30" t="str">
        <f>IF(OR(J1333&lt;&gt;"Karakter",pub_gid_0_single_true_output_csv[[#This Row],[Nilai2]]=""),"",IF(AF1333&gt;89,"Sangat baik",IF(AF1333&gt;79,"Baik",IF(AF1333&gt;69,"Cukup",IF(AF1333&gt;59,"Kurang","Sangat kurang")))))</f>
        <v/>
      </c>
      <c r="AJ1333" t="str">
        <f t="shared" si="62"/>
        <v>Wk.4</v>
      </c>
      <c r="AK1333" t="str">
        <f>IF(pub_gid_0_single_true_output_csv[[#This Row],[Nilai2]]="","",VLOOKUP(pub_gid_0_single_true_output_csv[[#This Row],[NAMA]],Table7[],3,FALSE))</f>
        <v>Low average</v>
      </c>
    </row>
    <row r="1334" spans="1:37" x14ac:dyDescent="0.2">
      <c r="A1334">
        <v>1333</v>
      </c>
      <c r="B1334" t="s">
        <v>295</v>
      </c>
      <c r="C1334" t="s">
        <v>54</v>
      </c>
      <c r="D1334" t="s">
        <v>47</v>
      </c>
      <c r="E1334" t="s">
        <v>148</v>
      </c>
      <c r="F1334" s="25">
        <v>46043</v>
      </c>
      <c r="G1334" t="s">
        <v>341</v>
      </c>
      <c r="H1334" t="s">
        <v>405</v>
      </c>
      <c r="I1334" t="s">
        <v>371</v>
      </c>
      <c r="J1334" t="s">
        <v>31</v>
      </c>
      <c r="K1334" t="s">
        <v>96</v>
      </c>
      <c r="L1334" t="s">
        <v>322</v>
      </c>
      <c r="M1334" t="s">
        <v>141</v>
      </c>
      <c r="N1334" t="s">
        <v>142</v>
      </c>
      <c r="O1334" t="s">
        <v>155</v>
      </c>
      <c r="P1334" t="s">
        <v>281</v>
      </c>
      <c r="Q1334" t="s">
        <v>155</v>
      </c>
      <c r="R1334" t="s">
        <v>302</v>
      </c>
      <c r="S1334" t="s">
        <v>309</v>
      </c>
      <c r="T1334">
        <v>1</v>
      </c>
      <c r="U1334" t="s">
        <v>435</v>
      </c>
      <c r="V1334" t="s">
        <v>285</v>
      </c>
      <c r="W1334" t="s">
        <v>436</v>
      </c>
      <c r="X1334" t="s">
        <v>306</v>
      </c>
      <c r="Y1334" t="s">
        <v>307</v>
      </c>
      <c r="Z1334">
        <v>65</v>
      </c>
      <c r="AA1334">
        <v>50</v>
      </c>
      <c r="AB1334" t="s">
        <v>151</v>
      </c>
      <c r="AC1334" t="s">
        <v>53</v>
      </c>
      <c r="AD1334" t="s">
        <v>404</v>
      </c>
      <c r="AE1334" t="str">
        <f>IF(AF1334="","",VLOOKUP(AC1334,mapel!$A$2:$B$42,2,FALSE))</f>
        <v>Sejarah</v>
      </c>
      <c r="AF1334">
        <f t="shared" si="60"/>
        <v>50</v>
      </c>
      <c r="AG1334" t="str">
        <f>IF(AF1334="","",IF(AF1334&gt;90,"Sangat baik",IF(AF1334&gt;79,"Baik",IF(AF1334&gt;=pub_gid_0_single_true_output_csv[[#This Row],[KKM]],"Cukup","Kurang"))))</f>
        <v>Kurang</v>
      </c>
      <c r="AH1334">
        <f t="shared" si="61"/>
        <v>11</v>
      </c>
      <c r="AI1334" s="30" t="str">
        <f>IF(OR(J1334&lt;&gt;"Karakter",pub_gid_0_single_true_output_csv[[#This Row],[Nilai2]]=""),"",IF(AF1334&gt;89,"Sangat baik",IF(AF1334&gt;79,"Baik",IF(AF1334&gt;69,"Cukup",IF(AF1334&gt;59,"Kurang","Sangat kurang")))))</f>
        <v/>
      </c>
      <c r="AJ1334" t="str">
        <f t="shared" si="62"/>
        <v>Wk.4</v>
      </c>
      <c r="AK1334" t="str">
        <f>IF(pub_gid_0_single_true_output_csv[[#This Row],[Nilai2]]="","",VLOOKUP(pub_gid_0_single_true_output_csv[[#This Row],[NAMA]],Table7[],3,FALSE))</f>
        <v>Low average</v>
      </c>
    </row>
    <row r="1335" spans="1:37" x14ac:dyDescent="0.2">
      <c r="A1335">
        <v>1334</v>
      </c>
      <c r="B1335" t="s">
        <v>295</v>
      </c>
      <c r="C1335" t="s">
        <v>54</v>
      </c>
      <c r="D1335" t="s">
        <v>47</v>
      </c>
      <c r="E1335" t="s">
        <v>148</v>
      </c>
      <c r="F1335" s="25">
        <v>46043</v>
      </c>
      <c r="G1335" t="s">
        <v>341</v>
      </c>
      <c r="H1335" t="s">
        <v>405</v>
      </c>
      <c r="I1335" t="s">
        <v>371</v>
      </c>
      <c r="J1335" t="s">
        <v>90</v>
      </c>
      <c r="K1335" t="s">
        <v>92</v>
      </c>
      <c r="L1335" t="s">
        <v>93</v>
      </c>
      <c r="M1335" t="s">
        <v>141</v>
      </c>
      <c r="N1335" t="s">
        <v>142</v>
      </c>
      <c r="O1335" t="s">
        <v>155</v>
      </c>
      <c r="P1335" t="s">
        <v>281</v>
      </c>
      <c r="Q1335" t="s">
        <v>155</v>
      </c>
      <c r="R1335" t="s">
        <v>302</v>
      </c>
      <c r="S1335" t="s">
        <v>309</v>
      </c>
      <c r="T1335">
        <v>1</v>
      </c>
      <c r="U1335" t="s">
        <v>435</v>
      </c>
      <c r="V1335" t="s">
        <v>285</v>
      </c>
      <c r="W1335" t="s">
        <v>436</v>
      </c>
      <c r="X1335" t="s">
        <v>306</v>
      </c>
      <c r="Y1335" t="s">
        <v>307</v>
      </c>
      <c r="Z1335">
        <v>65</v>
      </c>
      <c r="AA1335">
        <v>80</v>
      </c>
      <c r="AB1335" t="s">
        <v>143</v>
      </c>
      <c r="AC1335" t="s">
        <v>53</v>
      </c>
      <c r="AD1335" t="s">
        <v>404</v>
      </c>
      <c r="AE1335" t="str">
        <f>IF(AF1335="","",VLOOKUP(AC1335,mapel!$A$2:$B$42,2,FALSE))</f>
        <v>Sejarah</v>
      </c>
      <c r="AF1335">
        <f t="shared" si="60"/>
        <v>80</v>
      </c>
      <c r="AG1335" t="str">
        <f>IF(AF1335="","",IF(AF1335&gt;90,"Sangat baik",IF(AF1335&gt;79,"Baik",IF(AF1335&gt;=pub_gid_0_single_true_output_csv[[#This Row],[KKM]],"Cukup","Kurang"))))</f>
        <v>Baik</v>
      </c>
      <c r="AH1335">
        <f t="shared" si="61"/>
        <v>11</v>
      </c>
      <c r="AI1335" s="30" t="str">
        <f>IF(OR(J1335&lt;&gt;"Karakter",pub_gid_0_single_true_output_csv[[#This Row],[Nilai2]]=""),"",IF(AF1335&gt;89,"Sangat baik",IF(AF1335&gt;79,"Baik",IF(AF1335&gt;69,"Cukup",IF(AF1335&gt;59,"Kurang","Sangat kurang")))))</f>
        <v>Baik</v>
      </c>
      <c r="AJ1335" t="str">
        <f t="shared" si="62"/>
        <v>Wk.4</v>
      </c>
      <c r="AK1335" t="str">
        <f>IF(pub_gid_0_single_true_output_csv[[#This Row],[Nilai2]]="","",VLOOKUP(pub_gid_0_single_true_output_csv[[#This Row],[NAMA]],Table7[],3,FALSE))</f>
        <v>Low average</v>
      </c>
    </row>
    <row r="1336" spans="1:37" x14ac:dyDescent="0.2">
      <c r="A1336">
        <v>1335</v>
      </c>
      <c r="B1336" t="s">
        <v>295</v>
      </c>
      <c r="C1336" t="s">
        <v>54</v>
      </c>
      <c r="D1336" t="s">
        <v>47</v>
      </c>
      <c r="E1336" t="s">
        <v>148</v>
      </c>
      <c r="F1336" s="25">
        <v>46043</v>
      </c>
      <c r="G1336" t="s">
        <v>341</v>
      </c>
      <c r="H1336" t="s">
        <v>405</v>
      </c>
      <c r="I1336" t="s">
        <v>371</v>
      </c>
      <c r="J1336" t="s">
        <v>279</v>
      </c>
      <c r="K1336" t="s">
        <v>280</v>
      </c>
      <c r="L1336" t="s">
        <v>322</v>
      </c>
      <c r="M1336" t="s">
        <v>141</v>
      </c>
      <c r="N1336" t="s">
        <v>142</v>
      </c>
      <c r="O1336" t="s">
        <v>155</v>
      </c>
      <c r="P1336" t="s">
        <v>281</v>
      </c>
      <c r="Q1336" t="s">
        <v>155</v>
      </c>
      <c r="R1336" t="s">
        <v>302</v>
      </c>
      <c r="S1336" t="s">
        <v>355</v>
      </c>
      <c r="T1336">
        <v>2</v>
      </c>
      <c r="U1336" t="s">
        <v>159</v>
      </c>
      <c r="V1336" t="s">
        <v>303</v>
      </c>
      <c r="W1336" t="s">
        <v>437</v>
      </c>
      <c r="X1336" t="s">
        <v>306</v>
      </c>
      <c r="Y1336" t="s">
        <v>307</v>
      </c>
      <c r="Z1336">
        <v>65</v>
      </c>
      <c r="AA1336">
        <v>65</v>
      </c>
      <c r="AB1336" t="s">
        <v>143</v>
      </c>
      <c r="AC1336" t="s">
        <v>53</v>
      </c>
      <c r="AD1336" t="s">
        <v>404</v>
      </c>
      <c r="AE1336" t="str">
        <f>IF(AF1336="","",VLOOKUP(AC1336,mapel!$A$2:$B$42,2,FALSE))</f>
        <v>Sejarah</v>
      </c>
      <c r="AF1336">
        <f t="shared" si="60"/>
        <v>65</v>
      </c>
      <c r="AG1336" t="str">
        <f>IF(AF1336="","",IF(AF1336&gt;90,"Sangat baik",IF(AF1336&gt;79,"Baik",IF(AF1336&gt;=pub_gid_0_single_true_output_csv[[#This Row],[KKM]],"Cukup","Kurang"))))</f>
        <v>Cukup</v>
      </c>
      <c r="AH1336">
        <f t="shared" si="61"/>
        <v>11</v>
      </c>
      <c r="AI1336" s="30" t="str">
        <f>IF(OR(J1336&lt;&gt;"Karakter",pub_gid_0_single_true_output_csv[[#This Row],[Nilai2]]=""),"",IF(AF1336&gt;89,"Sangat baik",IF(AF1336&gt;79,"Baik",IF(AF1336&gt;69,"Cukup",IF(AF1336&gt;59,"Kurang","Sangat kurang")))))</f>
        <v/>
      </c>
      <c r="AJ1336" t="str">
        <f t="shared" si="62"/>
        <v>Wk.4</v>
      </c>
      <c r="AK1336" t="str">
        <f>IF(pub_gid_0_single_true_output_csv[[#This Row],[Nilai2]]="","",VLOOKUP(pub_gid_0_single_true_output_csv[[#This Row],[NAMA]],Table7[],3,FALSE))</f>
        <v>Low average</v>
      </c>
    </row>
    <row r="1337" spans="1:37" x14ac:dyDescent="0.2">
      <c r="A1337">
        <v>1336</v>
      </c>
      <c r="B1337" t="s">
        <v>295</v>
      </c>
      <c r="C1337" t="s">
        <v>54</v>
      </c>
      <c r="D1337" t="s">
        <v>47</v>
      </c>
      <c r="E1337" t="s">
        <v>148</v>
      </c>
      <c r="F1337" s="25">
        <v>46050</v>
      </c>
      <c r="G1337" t="s">
        <v>308</v>
      </c>
      <c r="H1337" t="s">
        <v>405</v>
      </c>
      <c r="I1337" t="s">
        <v>371</v>
      </c>
      <c r="J1337" t="s">
        <v>36</v>
      </c>
      <c r="K1337" t="s">
        <v>37</v>
      </c>
      <c r="L1337" t="s">
        <v>351</v>
      </c>
      <c r="M1337" t="s">
        <v>141</v>
      </c>
      <c r="N1337" t="s">
        <v>142</v>
      </c>
      <c r="O1337" t="s">
        <v>155</v>
      </c>
      <c r="P1337" t="s">
        <v>281</v>
      </c>
      <c r="Q1337" t="s">
        <v>155</v>
      </c>
      <c r="R1337" t="s">
        <v>302</v>
      </c>
      <c r="S1337" t="s">
        <v>355</v>
      </c>
      <c r="T1337">
        <v>2</v>
      </c>
      <c r="U1337" t="s">
        <v>159</v>
      </c>
      <c r="V1337" t="s">
        <v>303</v>
      </c>
      <c r="W1337" t="s">
        <v>437</v>
      </c>
      <c r="X1337" t="s">
        <v>306</v>
      </c>
      <c r="Y1337" t="s">
        <v>307</v>
      </c>
      <c r="Z1337">
        <v>65</v>
      </c>
      <c r="AA1337">
        <v>65</v>
      </c>
      <c r="AB1337" t="s">
        <v>143</v>
      </c>
      <c r="AC1337" t="s">
        <v>53</v>
      </c>
      <c r="AD1337" t="s">
        <v>404</v>
      </c>
      <c r="AE1337" t="str">
        <f>IF(AF1337="","",VLOOKUP(AC1337,mapel!$A$2:$B$42,2,FALSE))</f>
        <v>Sejarah</v>
      </c>
      <c r="AF1337">
        <f t="shared" si="60"/>
        <v>65</v>
      </c>
      <c r="AG1337" t="str">
        <f>IF(AF1337="","",IF(AF1337&gt;90,"Sangat baik",IF(AF1337&gt;79,"Baik",IF(AF1337&gt;=pub_gid_0_single_true_output_csv[[#This Row],[KKM]],"Cukup","Kurang"))))</f>
        <v>Cukup</v>
      </c>
      <c r="AH1337">
        <f t="shared" si="61"/>
        <v>11</v>
      </c>
      <c r="AI1337" s="30" t="str">
        <f>IF(OR(J1337&lt;&gt;"Karakter",pub_gid_0_single_true_output_csv[[#This Row],[Nilai2]]=""),"",IF(AF1337&gt;89,"Sangat baik",IF(AF1337&gt;79,"Baik",IF(AF1337&gt;69,"Cukup",IF(AF1337&gt;59,"Kurang","Sangat kurang")))))</f>
        <v/>
      </c>
      <c r="AJ1337" t="str">
        <f t="shared" si="62"/>
        <v>Wk.5</v>
      </c>
      <c r="AK1337" t="str">
        <f>IF(pub_gid_0_single_true_output_csv[[#This Row],[Nilai2]]="","",VLOOKUP(pub_gid_0_single_true_output_csv[[#This Row],[NAMA]],Table7[],3,FALSE))</f>
        <v>Low average</v>
      </c>
    </row>
    <row r="1338" spans="1:37" x14ac:dyDescent="0.2">
      <c r="A1338">
        <v>1337</v>
      </c>
      <c r="B1338" t="s">
        <v>295</v>
      </c>
      <c r="C1338" t="s">
        <v>54</v>
      </c>
      <c r="D1338" t="s">
        <v>47</v>
      </c>
      <c r="E1338" t="s">
        <v>148</v>
      </c>
      <c r="F1338" s="25">
        <v>46050</v>
      </c>
      <c r="G1338" t="s">
        <v>308</v>
      </c>
      <c r="H1338" t="s">
        <v>405</v>
      </c>
      <c r="I1338" t="s">
        <v>371</v>
      </c>
      <c r="J1338" t="s">
        <v>31</v>
      </c>
      <c r="K1338" t="s">
        <v>96</v>
      </c>
      <c r="L1338" t="s">
        <v>351</v>
      </c>
      <c r="M1338" t="s">
        <v>141</v>
      </c>
      <c r="N1338" t="s">
        <v>142</v>
      </c>
      <c r="O1338" t="s">
        <v>155</v>
      </c>
      <c r="P1338" t="s">
        <v>281</v>
      </c>
      <c r="Q1338" t="s">
        <v>155</v>
      </c>
      <c r="R1338" t="s">
        <v>302</v>
      </c>
      <c r="S1338" t="s">
        <v>355</v>
      </c>
      <c r="T1338">
        <v>2</v>
      </c>
      <c r="U1338" t="s">
        <v>159</v>
      </c>
      <c r="V1338" t="s">
        <v>303</v>
      </c>
      <c r="W1338" t="s">
        <v>437</v>
      </c>
      <c r="X1338" t="s">
        <v>306</v>
      </c>
      <c r="Y1338" t="s">
        <v>307</v>
      </c>
      <c r="Z1338">
        <v>65</v>
      </c>
      <c r="AA1338">
        <v>50</v>
      </c>
      <c r="AB1338" t="s">
        <v>151</v>
      </c>
      <c r="AC1338" t="s">
        <v>53</v>
      </c>
      <c r="AD1338" t="s">
        <v>404</v>
      </c>
      <c r="AE1338" t="str">
        <f>IF(AF1338="","",VLOOKUP(AC1338,mapel!$A$2:$B$42,2,FALSE))</f>
        <v>Sejarah</v>
      </c>
      <c r="AF1338">
        <f t="shared" si="60"/>
        <v>50</v>
      </c>
      <c r="AG1338" t="str">
        <f>IF(AF1338="","",IF(AF1338&gt;90,"Sangat baik",IF(AF1338&gt;79,"Baik",IF(AF1338&gt;=pub_gid_0_single_true_output_csv[[#This Row],[KKM]],"Cukup","Kurang"))))</f>
        <v>Kurang</v>
      </c>
      <c r="AH1338">
        <f t="shared" si="61"/>
        <v>11</v>
      </c>
      <c r="AI1338" s="30" t="str">
        <f>IF(OR(J1338&lt;&gt;"Karakter",pub_gid_0_single_true_output_csv[[#This Row],[Nilai2]]=""),"",IF(AF1338&gt;89,"Sangat baik",IF(AF1338&gt;79,"Baik",IF(AF1338&gt;69,"Cukup",IF(AF1338&gt;59,"Kurang","Sangat kurang")))))</f>
        <v/>
      </c>
      <c r="AJ1338" t="str">
        <f t="shared" si="62"/>
        <v>Wk.5</v>
      </c>
      <c r="AK1338" t="str">
        <f>IF(pub_gid_0_single_true_output_csv[[#This Row],[Nilai2]]="","",VLOOKUP(pub_gid_0_single_true_output_csv[[#This Row],[NAMA]],Table7[],3,FALSE))</f>
        <v>Low average</v>
      </c>
    </row>
    <row r="1339" spans="1:37" x14ac:dyDescent="0.2">
      <c r="A1339">
        <v>1338</v>
      </c>
      <c r="B1339" t="s">
        <v>295</v>
      </c>
      <c r="C1339" t="s">
        <v>54</v>
      </c>
      <c r="D1339" t="s">
        <v>47</v>
      </c>
      <c r="E1339" t="s">
        <v>148</v>
      </c>
      <c r="F1339" s="25">
        <v>46050</v>
      </c>
      <c r="G1339" t="s">
        <v>308</v>
      </c>
      <c r="H1339" t="s">
        <v>405</v>
      </c>
      <c r="I1339" t="s">
        <v>371</v>
      </c>
      <c r="J1339" t="s">
        <v>90</v>
      </c>
      <c r="K1339" t="s">
        <v>92</v>
      </c>
      <c r="L1339" t="s">
        <v>91</v>
      </c>
      <c r="M1339" t="s">
        <v>141</v>
      </c>
      <c r="N1339" t="s">
        <v>142</v>
      </c>
      <c r="O1339" t="s">
        <v>155</v>
      </c>
      <c r="P1339" t="s">
        <v>281</v>
      </c>
      <c r="Q1339" t="s">
        <v>155</v>
      </c>
      <c r="R1339" t="s">
        <v>302</v>
      </c>
      <c r="S1339" t="s">
        <v>355</v>
      </c>
      <c r="T1339">
        <v>2</v>
      </c>
      <c r="U1339" t="s">
        <v>159</v>
      </c>
      <c r="V1339" t="s">
        <v>303</v>
      </c>
      <c r="W1339" t="s">
        <v>437</v>
      </c>
      <c r="X1339" t="s">
        <v>306</v>
      </c>
      <c r="Y1339" t="s">
        <v>307</v>
      </c>
      <c r="Z1339">
        <v>65</v>
      </c>
      <c r="AA1339">
        <v>70</v>
      </c>
      <c r="AB1339" t="s">
        <v>143</v>
      </c>
      <c r="AC1339" t="s">
        <v>53</v>
      </c>
      <c r="AD1339" t="s">
        <v>404</v>
      </c>
      <c r="AE1339" t="str">
        <f>IF(AF1339="","",VLOOKUP(AC1339,mapel!$A$2:$B$42,2,FALSE))</f>
        <v>Sejarah</v>
      </c>
      <c r="AF1339">
        <f t="shared" si="60"/>
        <v>70</v>
      </c>
      <c r="AG1339" t="str">
        <f>IF(AF1339="","",IF(AF1339&gt;90,"Sangat baik",IF(AF1339&gt;79,"Baik",IF(AF1339&gt;=pub_gid_0_single_true_output_csv[[#This Row],[KKM]],"Cukup","Kurang"))))</f>
        <v>Cukup</v>
      </c>
      <c r="AH1339">
        <f t="shared" si="61"/>
        <v>11</v>
      </c>
      <c r="AI1339" s="30" t="str">
        <f>IF(OR(J1339&lt;&gt;"Karakter",pub_gid_0_single_true_output_csv[[#This Row],[Nilai2]]=""),"",IF(AF1339&gt;89,"Sangat baik",IF(AF1339&gt;79,"Baik",IF(AF1339&gt;69,"Cukup",IF(AF1339&gt;59,"Kurang","Sangat kurang")))))</f>
        <v>Cukup</v>
      </c>
      <c r="AJ1339" t="str">
        <f t="shared" si="62"/>
        <v>Wk.5</v>
      </c>
      <c r="AK1339" t="str">
        <f>IF(pub_gid_0_single_true_output_csv[[#This Row],[Nilai2]]="","",VLOOKUP(pub_gid_0_single_true_output_csv[[#This Row],[NAMA]],Table7[],3,FALSE))</f>
        <v>Low average</v>
      </c>
    </row>
    <row r="1340" spans="1:37" x14ac:dyDescent="0.2">
      <c r="A1340">
        <v>1339</v>
      </c>
      <c r="B1340" t="s">
        <v>295</v>
      </c>
      <c r="C1340" t="s">
        <v>54</v>
      </c>
      <c r="D1340" t="s">
        <v>47</v>
      </c>
      <c r="E1340" t="s">
        <v>148</v>
      </c>
      <c r="F1340" s="25">
        <v>46050</v>
      </c>
      <c r="G1340" t="s">
        <v>308</v>
      </c>
      <c r="H1340" t="s">
        <v>405</v>
      </c>
      <c r="I1340" t="s">
        <v>371</v>
      </c>
      <c r="J1340" t="s">
        <v>279</v>
      </c>
      <c r="K1340" t="s">
        <v>280</v>
      </c>
      <c r="L1340" t="s">
        <v>322</v>
      </c>
      <c r="M1340" t="s">
        <v>141</v>
      </c>
      <c r="N1340" t="s">
        <v>142</v>
      </c>
      <c r="O1340" t="s">
        <v>155</v>
      </c>
      <c r="P1340" t="s">
        <v>281</v>
      </c>
      <c r="Q1340" t="s">
        <v>155</v>
      </c>
      <c r="R1340" t="s">
        <v>302</v>
      </c>
      <c r="S1340" t="s">
        <v>355</v>
      </c>
      <c r="T1340">
        <v>2</v>
      </c>
      <c r="U1340" t="s">
        <v>159</v>
      </c>
      <c r="V1340" t="s">
        <v>303</v>
      </c>
      <c r="W1340" t="s">
        <v>437</v>
      </c>
      <c r="X1340" t="s">
        <v>306</v>
      </c>
      <c r="Y1340" t="s">
        <v>307</v>
      </c>
      <c r="Z1340">
        <v>65</v>
      </c>
      <c r="AA1340">
        <v>65</v>
      </c>
      <c r="AB1340" t="s">
        <v>143</v>
      </c>
      <c r="AC1340" t="s">
        <v>53</v>
      </c>
      <c r="AD1340" t="s">
        <v>404</v>
      </c>
      <c r="AE1340" t="str">
        <f>IF(AF1340="","",VLOOKUP(AC1340,mapel!$A$2:$B$42,2,FALSE))</f>
        <v>Sejarah</v>
      </c>
      <c r="AF1340">
        <f t="shared" si="60"/>
        <v>65</v>
      </c>
      <c r="AG1340" t="str">
        <f>IF(AF1340="","",IF(AF1340&gt;90,"Sangat baik",IF(AF1340&gt;79,"Baik",IF(AF1340&gt;=pub_gid_0_single_true_output_csv[[#This Row],[KKM]],"Cukup","Kurang"))))</f>
        <v>Cukup</v>
      </c>
      <c r="AH1340">
        <f t="shared" si="61"/>
        <v>11</v>
      </c>
      <c r="AI1340" s="30" t="str">
        <f>IF(OR(J1340&lt;&gt;"Karakter",pub_gid_0_single_true_output_csv[[#This Row],[Nilai2]]=""),"",IF(AF1340&gt;89,"Sangat baik",IF(AF1340&gt;79,"Baik",IF(AF1340&gt;69,"Cukup",IF(AF1340&gt;59,"Kurang","Sangat kurang")))))</f>
        <v/>
      </c>
      <c r="AJ1340" t="str">
        <f t="shared" si="62"/>
        <v>Wk.5</v>
      </c>
      <c r="AK1340" t="str">
        <f>IF(pub_gid_0_single_true_output_csv[[#This Row],[Nilai2]]="","",VLOOKUP(pub_gid_0_single_true_output_csv[[#This Row],[NAMA]],Table7[],3,FALSE))</f>
        <v>Low average</v>
      </c>
    </row>
    <row r="1341" spans="1:37" x14ac:dyDescent="0.2">
      <c r="A1341">
        <v>1340</v>
      </c>
      <c r="B1341" t="s">
        <v>295</v>
      </c>
      <c r="C1341" t="s">
        <v>54</v>
      </c>
      <c r="D1341" t="s">
        <v>47</v>
      </c>
      <c r="E1341" t="s">
        <v>148</v>
      </c>
      <c r="F1341" s="25">
        <v>46057</v>
      </c>
      <c r="G1341" t="s">
        <v>348</v>
      </c>
      <c r="H1341" t="s">
        <v>412</v>
      </c>
      <c r="I1341" t="s">
        <v>371</v>
      </c>
      <c r="J1341" t="s">
        <v>36</v>
      </c>
      <c r="K1341" t="s">
        <v>37</v>
      </c>
      <c r="L1341" t="s">
        <v>351</v>
      </c>
      <c r="M1341" t="s">
        <v>141</v>
      </c>
      <c r="N1341" t="s">
        <v>142</v>
      </c>
      <c r="O1341" t="s">
        <v>155</v>
      </c>
      <c r="P1341" t="s">
        <v>281</v>
      </c>
      <c r="Q1341" t="s">
        <v>155</v>
      </c>
      <c r="R1341" t="s">
        <v>302</v>
      </c>
      <c r="S1341" t="s">
        <v>355</v>
      </c>
      <c r="T1341">
        <v>2</v>
      </c>
      <c r="U1341" t="s">
        <v>159</v>
      </c>
      <c r="V1341" t="s">
        <v>303</v>
      </c>
      <c r="W1341" t="s">
        <v>437</v>
      </c>
      <c r="X1341" t="s">
        <v>306</v>
      </c>
      <c r="Y1341" t="s">
        <v>307</v>
      </c>
      <c r="Z1341">
        <v>65</v>
      </c>
      <c r="AA1341">
        <v>55</v>
      </c>
      <c r="AB1341" t="s">
        <v>151</v>
      </c>
      <c r="AC1341" t="s">
        <v>53</v>
      </c>
      <c r="AD1341" t="s">
        <v>404</v>
      </c>
      <c r="AE1341" t="str">
        <f>IF(AF1341="","",VLOOKUP(AC1341,mapel!$A$2:$B$42,2,FALSE))</f>
        <v>Sejarah</v>
      </c>
      <c r="AF1341">
        <f t="shared" si="60"/>
        <v>55</v>
      </c>
      <c r="AG1341" t="str">
        <f>IF(AF1341="","",IF(AF1341&gt;90,"Sangat baik",IF(AF1341&gt;79,"Baik",IF(AF1341&gt;=pub_gid_0_single_true_output_csv[[#This Row],[KKM]],"Cukup","Kurang"))))</f>
        <v>Kurang</v>
      </c>
      <c r="AH1341">
        <f t="shared" si="61"/>
        <v>11</v>
      </c>
      <c r="AI1341" s="30" t="str">
        <f>IF(OR(J1341&lt;&gt;"Karakter",pub_gid_0_single_true_output_csv[[#This Row],[Nilai2]]=""),"",IF(AF1341&gt;89,"Sangat baik",IF(AF1341&gt;79,"Baik",IF(AF1341&gt;69,"Cukup",IF(AF1341&gt;59,"Kurang","Sangat kurang")))))</f>
        <v/>
      </c>
      <c r="AJ1341" t="str">
        <f t="shared" si="62"/>
        <v>Wk.6</v>
      </c>
      <c r="AK1341" t="str">
        <f>IF(pub_gid_0_single_true_output_csv[[#This Row],[Nilai2]]="","",VLOOKUP(pub_gid_0_single_true_output_csv[[#This Row],[NAMA]],Table7[],3,FALSE))</f>
        <v>Low average</v>
      </c>
    </row>
    <row r="1342" spans="1:37" x14ac:dyDescent="0.2">
      <c r="A1342">
        <v>1341</v>
      </c>
      <c r="B1342" t="s">
        <v>295</v>
      </c>
      <c r="C1342" t="s">
        <v>54</v>
      </c>
      <c r="D1342" t="s">
        <v>47</v>
      </c>
      <c r="E1342" t="s">
        <v>148</v>
      </c>
      <c r="F1342" s="25">
        <v>46057</v>
      </c>
      <c r="G1342" t="s">
        <v>348</v>
      </c>
      <c r="H1342" t="s">
        <v>412</v>
      </c>
      <c r="I1342" t="s">
        <v>371</v>
      </c>
      <c r="J1342" t="s">
        <v>31</v>
      </c>
      <c r="K1342" t="s">
        <v>96</v>
      </c>
      <c r="L1342" t="s">
        <v>351</v>
      </c>
      <c r="M1342" t="s">
        <v>141</v>
      </c>
      <c r="N1342" t="s">
        <v>142</v>
      </c>
      <c r="O1342" t="s">
        <v>155</v>
      </c>
      <c r="P1342" t="s">
        <v>281</v>
      </c>
      <c r="Q1342" t="s">
        <v>155</v>
      </c>
      <c r="R1342" t="s">
        <v>302</v>
      </c>
      <c r="S1342" t="s">
        <v>355</v>
      </c>
      <c r="T1342">
        <v>2</v>
      </c>
      <c r="U1342" t="s">
        <v>159</v>
      </c>
      <c r="V1342" t="s">
        <v>303</v>
      </c>
      <c r="W1342" t="s">
        <v>437</v>
      </c>
      <c r="X1342" t="s">
        <v>306</v>
      </c>
      <c r="Y1342" t="s">
        <v>307</v>
      </c>
      <c r="Z1342">
        <v>65</v>
      </c>
      <c r="AA1342">
        <v>60</v>
      </c>
      <c r="AB1342" t="s">
        <v>151</v>
      </c>
      <c r="AC1342" t="s">
        <v>53</v>
      </c>
      <c r="AD1342" t="s">
        <v>404</v>
      </c>
      <c r="AE1342" t="str">
        <f>IF(AF1342="","",VLOOKUP(AC1342,mapel!$A$2:$B$42,2,FALSE))</f>
        <v>Sejarah</v>
      </c>
      <c r="AF1342">
        <f t="shared" si="60"/>
        <v>60</v>
      </c>
      <c r="AG1342" t="str">
        <f>IF(AF1342="","",IF(AF1342&gt;90,"Sangat baik",IF(AF1342&gt;79,"Baik",IF(AF1342&gt;=pub_gid_0_single_true_output_csv[[#This Row],[KKM]],"Cukup","Kurang"))))</f>
        <v>Kurang</v>
      </c>
      <c r="AH1342">
        <f t="shared" si="61"/>
        <v>11</v>
      </c>
      <c r="AI1342" s="30" t="str">
        <f>IF(OR(J1342&lt;&gt;"Karakter",pub_gid_0_single_true_output_csv[[#This Row],[Nilai2]]=""),"",IF(AF1342&gt;89,"Sangat baik",IF(AF1342&gt;79,"Baik",IF(AF1342&gt;69,"Cukup",IF(AF1342&gt;59,"Kurang","Sangat kurang")))))</f>
        <v/>
      </c>
      <c r="AJ1342" t="str">
        <f t="shared" si="62"/>
        <v>Wk.6</v>
      </c>
      <c r="AK1342" t="str">
        <f>IF(pub_gid_0_single_true_output_csv[[#This Row],[Nilai2]]="","",VLOOKUP(pub_gid_0_single_true_output_csv[[#This Row],[NAMA]],Table7[],3,FALSE))</f>
        <v>Low average</v>
      </c>
    </row>
    <row r="1343" spans="1:37" x14ac:dyDescent="0.2">
      <c r="A1343">
        <v>1342</v>
      </c>
      <c r="B1343" t="s">
        <v>295</v>
      </c>
      <c r="C1343" t="s">
        <v>54</v>
      </c>
      <c r="D1343" t="s">
        <v>47</v>
      </c>
      <c r="E1343" t="s">
        <v>148</v>
      </c>
      <c r="F1343" s="25">
        <v>46057</v>
      </c>
      <c r="G1343" t="s">
        <v>348</v>
      </c>
      <c r="H1343" t="s">
        <v>412</v>
      </c>
      <c r="I1343" t="s">
        <v>371</v>
      </c>
      <c r="J1343" t="s">
        <v>90</v>
      </c>
      <c r="K1343" t="s">
        <v>92</v>
      </c>
      <c r="L1343" t="s">
        <v>93</v>
      </c>
      <c r="M1343" t="s">
        <v>141</v>
      </c>
      <c r="N1343" t="s">
        <v>142</v>
      </c>
      <c r="O1343" t="s">
        <v>155</v>
      </c>
      <c r="P1343" t="s">
        <v>281</v>
      </c>
      <c r="Q1343" t="s">
        <v>155</v>
      </c>
      <c r="R1343" t="s">
        <v>302</v>
      </c>
      <c r="S1343" t="s">
        <v>355</v>
      </c>
      <c r="T1343">
        <v>2</v>
      </c>
      <c r="U1343" t="s">
        <v>159</v>
      </c>
      <c r="V1343" t="s">
        <v>303</v>
      </c>
      <c r="W1343" t="s">
        <v>437</v>
      </c>
      <c r="X1343" t="s">
        <v>306</v>
      </c>
      <c r="Y1343" t="s">
        <v>307</v>
      </c>
      <c r="Z1343">
        <v>65</v>
      </c>
      <c r="AA1343">
        <v>70</v>
      </c>
      <c r="AB1343" t="s">
        <v>143</v>
      </c>
      <c r="AC1343" t="s">
        <v>53</v>
      </c>
      <c r="AD1343" t="s">
        <v>404</v>
      </c>
      <c r="AE1343" t="str">
        <f>IF(AF1343="","",VLOOKUP(AC1343,mapel!$A$2:$B$42,2,FALSE))</f>
        <v>Sejarah</v>
      </c>
      <c r="AF1343">
        <f t="shared" si="60"/>
        <v>70</v>
      </c>
      <c r="AG1343" t="str">
        <f>IF(AF1343="","",IF(AF1343&gt;90,"Sangat baik",IF(AF1343&gt;79,"Baik",IF(AF1343&gt;=pub_gid_0_single_true_output_csv[[#This Row],[KKM]],"Cukup","Kurang"))))</f>
        <v>Cukup</v>
      </c>
      <c r="AH1343">
        <f t="shared" si="61"/>
        <v>11</v>
      </c>
      <c r="AI1343" s="30" t="str">
        <f>IF(OR(J1343&lt;&gt;"Karakter",pub_gid_0_single_true_output_csv[[#This Row],[Nilai2]]=""),"",IF(AF1343&gt;89,"Sangat baik",IF(AF1343&gt;79,"Baik",IF(AF1343&gt;69,"Cukup",IF(AF1343&gt;59,"Kurang","Sangat kurang")))))</f>
        <v>Cukup</v>
      </c>
      <c r="AJ1343" t="str">
        <f t="shared" si="62"/>
        <v>Wk.6</v>
      </c>
      <c r="AK1343" t="str">
        <f>IF(pub_gid_0_single_true_output_csv[[#This Row],[Nilai2]]="","",VLOOKUP(pub_gid_0_single_true_output_csv[[#This Row],[NAMA]],Table7[],3,FALSE))</f>
        <v>Low average</v>
      </c>
    </row>
    <row r="1344" spans="1:37" x14ac:dyDescent="0.2">
      <c r="A1344">
        <v>1343</v>
      </c>
      <c r="B1344" t="s">
        <v>295</v>
      </c>
      <c r="C1344" t="s">
        <v>54</v>
      </c>
      <c r="D1344" t="s">
        <v>47</v>
      </c>
      <c r="E1344" t="s">
        <v>148</v>
      </c>
      <c r="F1344" s="25">
        <v>46057</v>
      </c>
      <c r="G1344" t="s">
        <v>348</v>
      </c>
      <c r="H1344" t="s">
        <v>412</v>
      </c>
      <c r="I1344" t="s">
        <v>371</v>
      </c>
      <c r="J1344" t="s">
        <v>279</v>
      </c>
      <c r="K1344" t="s">
        <v>280</v>
      </c>
      <c r="L1344" t="s">
        <v>322</v>
      </c>
      <c r="M1344" t="s">
        <v>141</v>
      </c>
      <c r="N1344" t="s">
        <v>142</v>
      </c>
      <c r="O1344" t="s">
        <v>155</v>
      </c>
      <c r="P1344" t="s">
        <v>281</v>
      </c>
      <c r="Q1344" t="s">
        <v>155</v>
      </c>
      <c r="R1344" t="s">
        <v>302</v>
      </c>
      <c r="S1344" t="s">
        <v>355</v>
      </c>
      <c r="T1344">
        <v>2</v>
      </c>
      <c r="U1344" t="s">
        <v>159</v>
      </c>
      <c r="V1344" t="s">
        <v>303</v>
      </c>
      <c r="W1344" t="s">
        <v>437</v>
      </c>
      <c r="X1344" t="s">
        <v>306</v>
      </c>
      <c r="Y1344" t="s">
        <v>307</v>
      </c>
      <c r="Z1344">
        <v>65</v>
      </c>
      <c r="AA1344">
        <v>65</v>
      </c>
      <c r="AB1344" t="s">
        <v>143</v>
      </c>
      <c r="AC1344" t="s">
        <v>53</v>
      </c>
      <c r="AD1344" t="s">
        <v>404</v>
      </c>
      <c r="AE1344" t="str">
        <f>IF(AF1344="","",VLOOKUP(AC1344,mapel!$A$2:$B$42,2,FALSE))</f>
        <v>Sejarah</v>
      </c>
      <c r="AF1344">
        <f t="shared" si="60"/>
        <v>65</v>
      </c>
      <c r="AG1344" t="str">
        <f>IF(AF1344="","",IF(AF1344&gt;90,"Sangat baik",IF(AF1344&gt;79,"Baik",IF(AF1344&gt;=pub_gid_0_single_true_output_csv[[#This Row],[KKM]],"Cukup","Kurang"))))</f>
        <v>Cukup</v>
      </c>
      <c r="AH1344">
        <f t="shared" si="61"/>
        <v>11</v>
      </c>
      <c r="AI1344" s="30" t="str">
        <f>IF(OR(J1344&lt;&gt;"Karakter",pub_gid_0_single_true_output_csv[[#This Row],[Nilai2]]=""),"",IF(AF1344&gt;89,"Sangat baik",IF(AF1344&gt;79,"Baik",IF(AF1344&gt;69,"Cukup",IF(AF1344&gt;59,"Kurang","Sangat kurang")))))</f>
        <v/>
      </c>
      <c r="AJ1344" t="str">
        <f t="shared" si="62"/>
        <v>Wk.6</v>
      </c>
      <c r="AK1344" t="str">
        <f>IF(pub_gid_0_single_true_output_csv[[#This Row],[Nilai2]]="","",VLOOKUP(pub_gid_0_single_true_output_csv[[#This Row],[NAMA]],Table7[],3,FALSE))</f>
        <v>Low average</v>
      </c>
    </row>
    <row r="1345" spans="1:37" x14ac:dyDescent="0.2">
      <c r="A1345">
        <v>1344</v>
      </c>
      <c r="B1345" t="s">
        <v>295</v>
      </c>
      <c r="C1345" t="s">
        <v>54</v>
      </c>
      <c r="D1345" t="s">
        <v>47</v>
      </c>
      <c r="E1345" t="s">
        <v>148</v>
      </c>
      <c r="F1345" s="25">
        <v>46064</v>
      </c>
      <c r="G1345" t="s">
        <v>352</v>
      </c>
      <c r="H1345" t="s">
        <v>412</v>
      </c>
      <c r="I1345" t="s">
        <v>371</v>
      </c>
      <c r="J1345" t="s">
        <v>36</v>
      </c>
      <c r="K1345" t="s">
        <v>37</v>
      </c>
      <c r="L1345" t="s">
        <v>351</v>
      </c>
      <c r="M1345" t="s">
        <v>141</v>
      </c>
      <c r="N1345" t="s">
        <v>142</v>
      </c>
      <c r="O1345" t="s">
        <v>155</v>
      </c>
      <c r="P1345" t="s">
        <v>281</v>
      </c>
      <c r="Q1345" t="s">
        <v>155</v>
      </c>
      <c r="R1345" t="s">
        <v>302</v>
      </c>
      <c r="S1345" t="s">
        <v>380</v>
      </c>
      <c r="T1345">
        <v>3</v>
      </c>
      <c r="U1345" t="s">
        <v>159</v>
      </c>
      <c r="V1345" t="s">
        <v>381</v>
      </c>
      <c r="W1345" t="s">
        <v>438</v>
      </c>
      <c r="X1345" t="s">
        <v>306</v>
      </c>
      <c r="Y1345" t="s">
        <v>307</v>
      </c>
      <c r="Z1345">
        <v>65</v>
      </c>
      <c r="AA1345">
        <v>60</v>
      </c>
      <c r="AB1345" t="s">
        <v>151</v>
      </c>
      <c r="AC1345" t="s">
        <v>53</v>
      </c>
      <c r="AD1345" t="s">
        <v>404</v>
      </c>
      <c r="AE1345" t="str">
        <f>IF(AF1345="","",VLOOKUP(AC1345,mapel!$A$2:$B$42,2,FALSE))</f>
        <v>Sejarah</v>
      </c>
      <c r="AF1345">
        <f t="shared" si="60"/>
        <v>60</v>
      </c>
      <c r="AG1345" t="str">
        <f>IF(AF1345="","",IF(AF1345&gt;90,"Sangat baik",IF(AF1345&gt;79,"Baik",IF(AF1345&gt;=pub_gid_0_single_true_output_csv[[#This Row],[KKM]],"Cukup","Kurang"))))</f>
        <v>Kurang</v>
      </c>
      <c r="AH1345">
        <f t="shared" si="61"/>
        <v>11</v>
      </c>
      <c r="AI1345" s="30" t="str">
        <f>IF(OR(J1345&lt;&gt;"Karakter",pub_gid_0_single_true_output_csv[[#This Row],[Nilai2]]=""),"",IF(AF1345&gt;89,"Sangat baik",IF(AF1345&gt;79,"Baik",IF(AF1345&gt;69,"Cukup",IF(AF1345&gt;59,"Kurang","Sangat kurang")))))</f>
        <v/>
      </c>
      <c r="AJ1345" t="str">
        <f t="shared" si="62"/>
        <v>Wk.7</v>
      </c>
      <c r="AK1345" t="str">
        <f>IF(pub_gid_0_single_true_output_csv[[#This Row],[Nilai2]]="","",VLOOKUP(pub_gid_0_single_true_output_csv[[#This Row],[NAMA]],Table7[],3,FALSE))</f>
        <v>Low average</v>
      </c>
    </row>
    <row r="1346" spans="1:37" x14ac:dyDescent="0.2">
      <c r="A1346">
        <v>1345</v>
      </c>
      <c r="B1346" t="s">
        <v>295</v>
      </c>
      <c r="C1346" t="s">
        <v>54</v>
      </c>
      <c r="D1346" t="s">
        <v>47</v>
      </c>
      <c r="E1346" t="s">
        <v>148</v>
      </c>
      <c r="F1346" s="25">
        <v>46064</v>
      </c>
      <c r="G1346" t="s">
        <v>352</v>
      </c>
      <c r="H1346" t="s">
        <v>412</v>
      </c>
      <c r="I1346" t="s">
        <v>371</v>
      </c>
      <c r="J1346" t="s">
        <v>31</v>
      </c>
      <c r="K1346" t="s">
        <v>96</v>
      </c>
      <c r="L1346" t="s">
        <v>351</v>
      </c>
      <c r="M1346" t="s">
        <v>141</v>
      </c>
      <c r="N1346" t="s">
        <v>142</v>
      </c>
      <c r="O1346" t="s">
        <v>155</v>
      </c>
      <c r="P1346" t="s">
        <v>281</v>
      </c>
      <c r="Q1346" t="s">
        <v>155</v>
      </c>
      <c r="R1346" t="s">
        <v>302</v>
      </c>
      <c r="S1346" t="s">
        <v>380</v>
      </c>
      <c r="T1346">
        <v>3</v>
      </c>
      <c r="U1346" t="s">
        <v>159</v>
      </c>
      <c r="V1346" t="s">
        <v>381</v>
      </c>
      <c r="W1346" t="s">
        <v>438</v>
      </c>
      <c r="X1346" t="s">
        <v>306</v>
      </c>
      <c r="Y1346" t="s">
        <v>307</v>
      </c>
      <c r="Z1346">
        <v>65</v>
      </c>
      <c r="AA1346">
        <v>55</v>
      </c>
      <c r="AB1346" t="s">
        <v>151</v>
      </c>
      <c r="AC1346" t="s">
        <v>53</v>
      </c>
      <c r="AD1346" t="s">
        <v>404</v>
      </c>
      <c r="AE1346" t="str">
        <f>IF(AF1346="","",VLOOKUP(AC1346,mapel!$A$2:$B$42,2,FALSE))</f>
        <v>Sejarah</v>
      </c>
      <c r="AF1346">
        <f t="shared" ref="AF1346:AF1409" si="63">IF(AA1346=0, "",IF(AA1346 = 0.1, 0,AA1346))</f>
        <v>55</v>
      </c>
      <c r="AG1346" t="str">
        <f>IF(AF1346="","",IF(AF1346&gt;90,"Sangat baik",IF(AF1346&gt;79,"Baik",IF(AF1346&gt;=pub_gid_0_single_true_output_csv[[#This Row],[KKM]],"Cukup","Kurang"))))</f>
        <v>Kurang</v>
      </c>
      <c r="AH1346">
        <f t="shared" ref="AH1346:AH1409" si="64">IF(AG1346="","",VALUE(RIGHT(X1346,2)))</f>
        <v>11</v>
      </c>
      <c r="AI1346" s="30" t="str">
        <f>IF(OR(J1346&lt;&gt;"Karakter",pub_gid_0_single_true_output_csv[[#This Row],[Nilai2]]=""),"",IF(AF1346&gt;89,"Sangat baik",IF(AF1346&gt;79,"Baik",IF(AF1346&gt;69,"Cukup",IF(AF1346&gt;59,"Kurang","Sangat kurang")))))</f>
        <v/>
      </c>
      <c r="AJ1346" t="str">
        <f t="shared" ref="AJ1346:AJ1409" si="65">IF(AF1346="","",CONCATENATE("Wk.",WEEKNUM(F1346,2)))</f>
        <v>Wk.7</v>
      </c>
      <c r="AK1346" t="str">
        <f>IF(pub_gid_0_single_true_output_csv[[#This Row],[Nilai2]]="","",VLOOKUP(pub_gid_0_single_true_output_csv[[#This Row],[NAMA]],Table7[],3,FALSE))</f>
        <v>Low average</v>
      </c>
    </row>
    <row r="1347" spans="1:37" x14ac:dyDescent="0.2">
      <c r="A1347">
        <v>1346</v>
      </c>
      <c r="B1347" t="s">
        <v>295</v>
      </c>
      <c r="C1347" t="s">
        <v>54</v>
      </c>
      <c r="D1347" t="s">
        <v>47</v>
      </c>
      <c r="E1347" t="s">
        <v>148</v>
      </c>
      <c r="F1347" s="25">
        <v>46064</v>
      </c>
      <c r="G1347" t="s">
        <v>352</v>
      </c>
      <c r="H1347" t="s">
        <v>412</v>
      </c>
      <c r="I1347" t="s">
        <v>371</v>
      </c>
      <c r="J1347" t="s">
        <v>90</v>
      </c>
      <c r="K1347" t="s">
        <v>92</v>
      </c>
      <c r="L1347" t="s">
        <v>93</v>
      </c>
      <c r="M1347" t="s">
        <v>141</v>
      </c>
      <c r="N1347" t="s">
        <v>142</v>
      </c>
      <c r="O1347" t="s">
        <v>155</v>
      </c>
      <c r="P1347" t="s">
        <v>281</v>
      </c>
      <c r="Q1347" t="s">
        <v>155</v>
      </c>
      <c r="R1347" t="s">
        <v>302</v>
      </c>
      <c r="S1347" t="s">
        <v>380</v>
      </c>
      <c r="T1347">
        <v>3</v>
      </c>
      <c r="U1347" t="s">
        <v>159</v>
      </c>
      <c r="V1347" t="s">
        <v>381</v>
      </c>
      <c r="W1347" t="s">
        <v>438</v>
      </c>
      <c r="X1347" t="s">
        <v>306</v>
      </c>
      <c r="Y1347" t="s">
        <v>307</v>
      </c>
      <c r="Z1347">
        <v>65</v>
      </c>
      <c r="AA1347">
        <v>69</v>
      </c>
      <c r="AB1347" t="s">
        <v>143</v>
      </c>
      <c r="AC1347" t="s">
        <v>53</v>
      </c>
      <c r="AD1347" t="s">
        <v>404</v>
      </c>
      <c r="AE1347" t="str">
        <f>IF(AF1347="","",VLOOKUP(AC1347,mapel!$A$2:$B$42,2,FALSE))</f>
        <v>Sejarah</v>
      </c>
      <c r="AF1347">
        <f t="shared" si="63"/>
        <v>69</v>
      </c>
      <c r="AG1347" t="str">
        <f>IF(AF1347="","",IF(AF1347&gt;90,"Sangat baik",IF(AF1347&gt;79,"Baik",IF(AF1347&gt;=pub_gid_0_single_true_output_csv[[#This Row],[KKM]],"Cukup","Kurang"))))</f>
        <v>Cukup</v>
      </c>
      <c r="AH1347">
        <f t="shared" si="64"/>
        <v>11</v>
      </c>
      <c r="AI1347" s="30" t="str">
        <f>IF(OR(J1347&lt;&gt;"Karakter",pub_gid_0_single_true_output_csv[[#This Row],[Nilai2]]=""),"",IF(AF1347&gt;89,"Sangat baik",IF(AF1347&gt;79,"Baik",IF(AF1347&gt;69,"Cukup",IF(AF1347&gt;59,"Kurang","Sangat kurang")))))</f>
        <v>Kurang</v>
      </c>
      <c r="AJ1347" t="str">
        <f t="shared" si="65"/>
        <v>Wk.7</v>
      </c>
      <c r="AK1347" t="str">
        <f>IF(pub_gid_0_single_true_output_csv[[#This Row],[Nilai2]]="","",VLOOKUP(pub_gid_0_single_true_output_csv[[#This Row],[NAMA]],Table7[],3,FALSE))</f>
        <v>Low average</v>
      </c>
    </row>
    <row r="1348" spans="1:37" x14ac:dyDescent="0.2">
      <c r="A1348">
        <v>1347</v>
      </c>
      <c r="B1348" t="s">
        <v>295</v>
      </c>
      <c r="C1348" t="s">
        <v>54</v>
      </c>
      <c r="D1348" t="s">
        <v>47</v>
      </c>
      <c r="E1348" t="s">
        <v>148</v>
      </c>
      <c r="F1348" s="25">
        <v>46064</v>
      </c>
      <c r="G1348" t="s">
        <v>352</v>
      </c>
      <c r="H1348" t="s">
        <v>412</v>
      </c>
      <c r="I1348" t="s">
        <v>371</v>
      </c>
      <c r="J1348" t="s">
        <v>279</v>
      </c>
      <c r="K1348" t="s">
        <v>280</v>
      </c>
      <c r="L1348" t="s">
        <v>322</v>
      </c>
      <c r="M1348" t="s">
        <v>141</v>
      </c>
      <c r="N1348" t="s">
        <v>142</v>
      </c>
      <c r="O1348" t="s">
        <v>155</v>
      </c>
      <c r="P1348" t="s">
        <v>281</v>
      </c>
      <c r="Q1348" t="s">
        <v>155</v>
      </c>
      <c r="R1348" t="s">
        <v>302</v>
      </c>
      <c r="S1348" t="s">
        <v>380</v>
      </c>
      <c r="T1348">
        <v>3</v>
      </c>
      <c r="U1348" t="s">
        <v>159</v>
      </c>
      <c r="V1348" t="s">
        <v>381</v>
      </c>
      <c r="W1348" t="s">
        <v>438</v>
      </c>
      <c r="X1348" t="s">
        <v>306</v>
      </c>
      <c r="Y1348" t="s">
        <v>307</v>
      </c>
      <c r="Z1348">
        <v>65</v>
      </c>
      <c r="AA1348">
        <v>65</v>
      </c>
      <c r="AB1348" t="s">
        <v>143</v>
      </c>
      <c r="AC1348" t="s">
        <v>53</v>
      </c>
      <c r="AD1348" t="s">
        <v>404</v>
      </c>
      <c r="AE1348" t="str">
        <f>IF(AF1348="","",VLOOKUP(AC1348,mapel!$A$2:$B$42,2,FALSE))</f>
        <v>Sejarah</v>
      </c>
      <c r="AF1348">
        <f t="shared" si="63"/>
        <v>65</v>
      </c>
      <c r="AG1348" t="str">
        <f>IF(AF1348="","",IF(AF1348&gt;90,"Sangat baik",IF(AF1348&gt;79,"Baik",IF(AF1348&gt;=pub_gid_0_single_true_output_csv[[#This Row],[KKM]],"Cukup","Kurang"))))</f>
        <v>Cukup</v>
      </c>
      <c r="AH1348">
        <f t="shared" si="64"/>
        <v>11</v>
      </c>
      <c r="AI1348" s="30" t="str">
        <f>IF(OR(J1348&lt;&gt;"Karakter",pub_gid_0_single_true_output_csv[[#This Row],[Nilai2]]=""),"",IF(AF1348&gt;89,"Sangat baik",IF(AF1348&gt;79,"Baik",IF(AF1348&gt;69,"Cukup",IF(AF1348&gt;59,"Kurang","Sangat kurang")))))</f>
        <v/>
      </c>
      <c r="AJ1348" t="str">
        <f t="shared" si="65"/>
        <v>Wk.7</v>
      </c>
      <c r="AK1348" t="str">
        <f>IF(pub_gid_0_single_true_output_csv[[#This Row],[Nilai2]]="","",VLOOKUP(pub_gid_0_single_true_output_csv[[#This Row],[NAMA]],Table7[],3,FALSE))</f>
        <v>Low average</v>
      </c>
    </row>
    <row r="1349" spans="1:37" x14ac:dyDescent="0.2">
      <c r="A1349">
        <v>1348</v>
      </c>
      <c r="B1349" t="s">
        <v>295</v>
      </c>
      <c r="C1349" t="s">
        <v>54</v>
      </c>
      <c r="D1349" t="s">
        <v>47</v>
      </c>
      <c r="E1349" t="s">
        <v>148</v>
      </c>
      <c r="F1349" s="25">
        <v>46071</v>
      </c>
      <c r="G1349" t="s">
        <v>323</v>
      </c>
      <c r="H1349" t="s">
        <v>412</v>
      </c>
      <c r="I1349" t="s">
        <v>371</v>
      </c>
      <c r="J1349" t="s">
        <v>36</v>
      </c>
      <c r="K1349" t="s">
        <v>362</v>
      </c>
      <c r="L1349" t="s">
        <v>363</v>
      </c>
      <c r="M1349" t="s">
        <v>141</v>
      </c>
      <c r="N1349" t="s">
        <v>142</v>
      </c>
      <c r="O1349" t="s">
        <v>155</v>
      </c>
      <c r="P1349" t="s">
        <v>281</v>
      </c>
      <c r="Q1349" t="s">
        <v>155</v>
      </c>
      <c r="R1349" t="s">
        <v>302</v>
      </c>
      <c r="S1349" t="s">
        <v>309</v>
      </c>
      <c r="T1349">
        <v>1</v>
      </c>
      <c r="U1349" t="s">
        <v>435</v>
      </c>
      <c r="V1349" t="s">
        <v>285</v>
      </c>
      <c r="W1349" t="s">
        <v>436</v>
      </c>
      <c r="X1349" t="s">
        <v>306</v>
      </c>
      <c r="Y1349" t="s">
        <v>307</v>
      </c>
      <c r="Z1349">
        <v>65</v>
      </c>
      <c r="AA1349">
        <v>33</v>
      </c>
      <c r="AB1349" t="s">
        <v>151</v>
      </c>
      <c r="AC1349" t="s">
        <v>53</v>
      </c>
      <c r="AD1349" t="s">
        <v>404</v>
      </c>
      <c r="AE1349" t="str">
        <f>IF(AF1349="","",VLOOKUP(AC1349,mapel!$A$2:$B$42,2,FALSE))</f>
        <v>Sejarah</v>
      </c>
      <c r="AF1349">
        <f t="shared" si="63"/>
        <v>33</v>
      </c>
      <c r="AG1349" t="str">
        <f>IF(AF1349="","",IF(AF1349&gt;90,"Sangat baik",IF(AF1349&gt;79,"Baik",IF(AF1349&gt;=pub_gid_0_single_true_output_csv[[#This Row],[KKM]],"Cukup","Kurang"))))</f>
        <v>Kurang</v>
      </c>
      <c r="AH1349">
        <f t="shared" si="64"/>
        <v>11</v>
      </c>
      <c r="AI1349" s="30" t="str">
        <f>IF(OR(J1349&lt;&gt;"Karakter",pub_gid_0_single_true_output_csv[[#This Row],[Nilai2]]=""),"",IF(AF1349&gt;89,"Sangat baik",IF(AF1349&gt;79,"Baik",IF(AF1349&gt;69,"Cukup",IF(AF1349&gt;59,"Kurang","Sangat kurang")))))</f>
        <v/>
      </c>
      <c r="AJ1349" t="str">
        <f t="shared" si="65"/>
        <v>Wk.8</v>
      </c>
      <c r="AK1349" t="str">
        <f>IF(pub_gid_0_single_true_output_csv[[#This Row],[Nilai2]]="","",VLOOKUP(pub_gid_0_single_true_output_csv[[#This Row],[NAMA]],Table7[],3,FALSE))</f>
        <v>Low average</v>
      </c>
    </row>
    <row r="1350" spans="1:37" x14ac:dyDescent="0.2">
      <c r="A1350">
        <v>1349</v>
      </c>
      <c r="B1350" t="s">
        <v>295</v>
      </c>
      <c r="C1350" t="s">
        <v>54</v>
      </c>
      <c r="D1350" t="s">
        <v>47</v>
      </c>
      <c r="E1350" t="s">
        <v>148</v>
      </c>
      <c r="F1350" s="25">
        <v>46071</v>
      </c>
      <c r="G1350" t="s">
        <v>323</v>
      </c>
      <c r="H1350" t="s">
        <v>412</v>
      </c>
      <c r="I1350" t="s">
        <v>371</v>
      </c>
      <c r="J1350" t="s">
        <v>90</v>
      </c>
      <c r="K1350" t="s">
        <v>92</v>
      </c>
      <c r="L1350" t="s">
        <v>93</v>
      </c>
      <c r="M1350" t="s">
        <v>141</v>
      </c>
      <c r="N1350" t="s">
        <v>142</v>
      </c>
      <c r="O1350" t="s">
        <v>155</v>
      </c>
      <c r="P1350" t="s">
        <v>281</v>
      </c>
      <c r="Q1350" t="s">
        <v>155</v>
      </c>
      <c r="R1350" t="s">
        <v>302</v>
      </c>
      <c r="S1350" t="s">
        <v>309</v>
      </c>
      <c r="T1350">
        <v>1</v>
      </c>
      <c r="U1350" t="s">
        <v>435</v>
      </c>
      <c r="V1350" t="s">
        <v>285</v>
      </c>
      <c r="W1350" t="s">
        <v>436</v>
      </c>
      <c r="X1350" t="s">
        <v>306</v>
      </c>
      <c r="Y1350" t="s">
        <v>307</v>
      </c>
      <c r="Z1350">
        <v>65</v>
      </c>
      <c r="AA1350">
        <v>70</v>
      </c>
      <c r="AB1350" t="s">
        <v>143</v>
      </c>
      <c r="AC1350" t="s">
        <v>53</v>
      </c>
      <c r="AD1350" t="s">
        <v>404</v>
      </c>
      <c r="AE1350" t="str">
        <f>IF(AF1350="","",VLOOKUP(AC1350,mapel!$A$2:$B$42,2,FALSE))</f>
        <v>Sejarah</v>
      </c>
      <c r="AF1350">
        <f t="shared" si="63"/>
        <v>70</v>
      </c>
      <c r="AG1350" t="str">
        <f>IF(AF1350="","",IF(AF1350&gt;90,"Sangat baik",IF(AF1350&gt;79,"Baik",IF(AF1350&gt;=pub_gid_0_single_true_output_csv[[#This Row],[KKM]],"Cukup","Kurang"))))</f>
        <v>Cukup</v>
      </c>
      <c r="AH1350">
        <f t="shared" si="64"/>
        <v>11</v>
      </c>
      <c r="AI1350" s="30" t="str">
        <f>IF(OR(J1350&lt;&gt;"Karakter",pub_gid_0_single_true_output_csv[[#This Row],[Nilai2]]=""),"",IF(AF1350&gt;89,"Sangat baik",IF(AF1350&gt;79,"Baik",IF(AF1350&gt;69,"Cukup",IF(AF1350&gt;59,"Kurang","Sangat kurang")))))</f>
        <v>Cukup</v>
      </c>
      <c r="AJ1350" t="str">
        <f t="shared" si="65"/>
        <v>Wk.8</v>
      </c>
      <c r="AK1350" t="str">
        <f>IF(pub_gid_0_single_true_output_csv[[#This Row],[Nilai2]]="","",VLOOKUP(pub_gid_0_single_true_output_csv[[#This Row],[NAMA]],Table7[],3,FALSE))</f>
        <v>Low average</v>
      </c>
    </row>
    <row r="1351" spans="1:37" x14ac:dyDescent="0.2">
      <c r="A1351">
        <v>1350</v>
      </c>
      <c r="B1351" t="s">
        <v>296</v>
      </c>
      <c r="C1351" t="s">
        <v>54</v>
      </c>
      <c r="D1351" t="s">
        <v>48</v>
      </c>
      <c r="E1351" t="s">
        <v>140</v>
      </c>
      <c r="F1351" s="25">
        <v>46036</v>
      </c>
      <c r="G1351" t="s">
        <v>353</v>
      </c>
      <c r="H1351" t="s">
        <v>405</v>
      </c>
      <c r="I1351" t="s">
        <v>371</v>
      </c>
      <c r="J1351" t="s">
        <v>36</v>
      </c>
      <c r="K1351" t="s">
        <v>37</v>
      </c>
      <c r="L1351" t="s">
        <v>351</v>
      </c>
      <c r="M1351" t="s">
        <v>141</v>
      </c>
      <c r="N1351" t="s">
        <v>142</v>
      </c>
      <c r="O1351" t="s">
        <v>155</v>
      </c>
      <c r="P1351" t="s">
        <v>281</v>
      </c>
      <c r="Q1351" t="s">
        <v>155</v>
      </c>
      <c r="R1351" t="s">
        <v>302</v>
      </c>
      <c r="S1351" t="s">
        <v>309</v>
      </c>
      <c r="T1351">
        <v>1</v>
      </c>
      <c r="U1351" t="s">
        <v>435</v>
      </c>
      <c r="V1351" t="s">
        <v>285</v>
      </c>
      <c r="W1351" t="s">
        <v>436</v>
      </c>
      <c r="X1351" t="s">
        <v>306</v>
      </c>
      <c r="Y1351" t="s">
        <v>307</v>
      </c>
      <c r="Z1351">
        <v>65</v>
      </c>
      <c r="AA1351">
        <v>70</v>
      </c>
      <c r="AB1351" t="s">
        <v>143</v>
      </c>
      <c r="AC1351" t="s">
        <v>53</v>
      </c>
      <c r="AD1351" t="s">
        <v>404</v>
      </c>
      <c r="AE1351" t="str">
        <f>IF(AF1351="","",VLOOKUP(AC1351,mapel!$A$2:$B$42,2,FALSE))</f>
        <v>Sejarah</v>
      </c>
      <c r="AF1351">
        <f t="shared" si="63"/>
        <v>70</v>
      </c>
      <c r="AG1351" t="str">
        <f>IF(AF1351="","",IF(AF1351&gt;90,"Sangat baik",IF(AF1351&gt;79,"Baik",IF(AF1351&gt;=pub_gid_0_single_true_output_csv[[#This Row],[KKM]],"Cukup","Kurang"))))</f>
        <v>Cukup</v>
      </c>
      <c r="AH1351">
        <f t="shared" si="64"/>
        <v>11</v>
      </c>
      <c r="AI1351" s="30" t="str">
        <f>IF(OR(J1351&lt;&gt;"Karakter",pub_gid_0_single_true_output_csv[[#This Row],[Nilai2]]=""),"",IF(AF1351&gt;89,"Sangat baik",IF(AF1351&gt;79,"Baik",IF(AF1351&gt;69,"Cukup",IF(AF1351&gt;59,"Kurang","Sangat kurang")))))</f>
        <v/>
      </c>
      <c r="AJ1351" t="str">
        <f t="shared" si="65"/>
        <v>Wk.3</v>
      </c>
      <c r="AK1351" t="str">
        <f>IF(pub_gid_0_single_true_output_csv[[#This Row],[Nilai2]]="","",VLOOKUP(pub_gid_0_single_true_output_csv[[#This Row],[NAMA]],Table7[],3,FALSE))</f>
        <v>Average</v>
      </c>
    </row>
    <row r="1352" spans="1:37" x14ac:dyDescent="0.2">
      <c r="A1352">
        <v>1351</v>
      </c>
      <c r="B1352" t="s">
        <v>296</v>
      </c>
      <c r="C1352" t="s">
        <v>54</v>
      </c>
      <c r="D1352" t="s">
        <v>48</v>
      </c>
      <c r="E1352" t="s">
        <v>140</v>
      </c>
      <c r="F1352" s="25">
        <v>46036</v>
      </c>
      <c r="G1352" t="s">
        <v>353</v>
      </c>
      <c r="H1352" t="s">
        <v>405</v>
      </c>
      <c r="I1352" t="s">
        <v>371</v>
      </c>
      <c r="J1352" t="s">
        <v>31</v>
      </c>
      <c r="K1352" t="s">
        <v>32</v>
      </c>
      <c r="L1352" t="s">
        <v>351</v>
      </c>
      <c r="M1352" t="s">
        <v>141</v>
      </c>
      <c r="N1352" t="s">
        <v>142</v>
      </c>
      <c r="O1352" t="s">
        <v>155</v>
      </c>
      <c r="P1352" t="s">
        <v>281</v>
      </c>
      <c r="Q1352" t="s">
        <v>155</v>
      </c>
      <c r="R1352" t="s">
        <v>302</v>
      </c>
      <c r="S1352" t="s">
        <v>309</v>
      </c>
      <c r="T1352">
        <v>1</v>
      </c>
      <c r="U1352" t="s">
        <v>435</v>
      </c>
      <c r="V1352" t="s">
        <v>285</v>
      </c>
      <c r="W1352" t="s">
        <v>436</v>
      </c>
      <c r="X1352" t="s">
        <v>306</v>
      </c>
      <c r="Y1352" t="s">
        <v>307</v>
      </c>
      <c r="Z1352">
        <v>65</v>
      </c>
      <c r="AA1352">
        <v>70</v>
      </c>
      <c r="AB1352" t="s">
        <v>143</v>
      </c>
      <c r="AC1352" t="s">
        <v>53</v>
      </c>
      <c r="AD1352" t="s">
        <v>404</v>
      </c>
      <c r="AE1352" t="str">
        <f>IF(AF1352="","",VLOOKUP(AC1352,mapel!$A$2:$B$42,2,FALSE))</f>
        <v>Sejarah</v>
      </c>
      <c r="AF1352">
        <f t="shared" si="63"/>
        <v>70</v>
      </c>
      <c r="AG1352" t="str">
        <f>IF(AF1352="","",IF(AF1352&gt;90,"Sangat baik",IF(AF1352&gt;79,"Baik",IF(AF1352&gt;=pub_gid_0_single_true_output_csv[[#This Row],[KKM]],"Cukup","Kurang"))))</f>
        <v>Cukup</v>
      </c>
      <c r="AH1352">
        <f t="shared" si="64"/>
        <v>11</v>
      </c>
      <c r="AI1352" s="30" t="str">
        <f>IF(OR(J1352&lt;&gt;"Karakter",pub_gid_0_single_true_output_csv[[#This Row],[Nilai2]]=""),"",IF(AF1352&gt;89,"Sangat baik",IF(AF1352&gt;79,"Baik",IF(AF1352&gt;69,"Cukup",IF(AF1352&gt;59,"Kurang","Sangat kurang")))))</f>
        <v/>
      </c>
      <c r="AJ1352" t="str">
        <f t="shared" si="65"/>
        <v>Wk.3</v>
      </c>
      <c r="AK1352" t="str">
        <f>IF(pub_gid_0_single_true_output_csv[[#This Row],[Nilai2]]="","",VLOOKUP(pub_gid_0_single_true_output_csv[[#This Row],[NAMA]],Table7[],3,FALSE))</f>
        <v>Average</v>
      </c>
    </row>
    <row r="1353" spans="1:37" x14ac:dyDescent="0.2">
      <c r="A1353">
        <v>1352</v>
      </c>
      <c r="B1353" t="s">
        <v>296</v>
      </c>
      <c r="C1353" t="s">
        <v>54</v>
      </c>
      <c r="D1353" t="s">
        <v>48</v>
      </c>
      <c r="E1353" t="s">
        <v>140</v>
      </c>
      <c r="F1353" s="25">
        <v>46036</v>
      </c>
      <c r="G1353" t="s">
        <v>353</v>
      </c>
      <c r="H1353" t="s">
        <v>405</v>
      </c>
      <c r="I1353" t="s">
        <v>371</v>
      </c>
      <c r="J1353" t="s">
        <v>90</v>
      </c>
      <c r="K1353" t="s">
        <v>92</v>
      </c>
      <c r="L1353" t="s">
        <v>91</v>
      </c>
      <c r="M1353" t="s">
        <v>141</v>
      </c>
      <c r="N1353" t="s">
        <v>142</v>
      </c>
      <c r="O1353" t="s">
        <v>155</v>
      </c>
      <c r="P1353" t="s">
        <v>281</v>
      </c>
      <c r="Q1353" t="s">
        <v>155</v>
      </c>
      <c r="R1353" t="s">
        <v>302</v>
      </c>
      <c r="S1353" t="s">
        <v>309</v>
      </c>
      <c r="T1353">
        <v>1</v>
      </c>
      <c r="U1353" t="s">
        <v>435</v>
      </c>
      <c r="V1353" t="s">
        <v>285</v>
      </c>
      <c r="W1353" t="s">
        <v>436</v>
      </c>
      <c r="X1353" t="s">
        <v>306</v>
      </c>
      <c r="Y1353" t="s">
        <v>307</v>
      </c>
      <c r="Z1353">
        <v>65</v>
      </c>
      <c r="AA1353">
        <v>80</v>
      </c>
      <c r="AB1353" t="s">
        <v>143</v>
      </c>
      <c r="AC1353" t="s">
        <v>53</v>
      </c>
      <c r="AD1353" t="s">
        <v>404</v>
      </c>
      <c r="AE1353" t="str">
        <f>IF(AF1353="","",VLOOKUP(AC1353,mapel!$A$2:$B$42,2,FALSE))</f>
        <v>Sejarah</v>
      </c>
      <c r="AF1353">
        <f t="shared" si="63"/>
        <v>80</v>
      </c>
      <c r="AG1353" t="str">
        <f>IF(AF1353="","",IF(AF1353&gt;90,"Sangat baik",IF(AF1353&gt;79,"Baik",IF(AF1353&gt;=pub_gid_0_single_true_output_csv[[#This Row],[KKM]],"Cukup","Kurang"))))</f>
        <v>Baik</v>
      </c>
      <c r="AH1353">
        <f t="shared" si="64"/>
        <v>11</v>
      </c>
      <c r="AI1353" s="30" t="str">
        <f>IF(OR(J1353&lt;&gt;"Karakter",pub_gid_0_single_true_output_csv[[#This Row],[Nilai2]]=""),"",IF(AF1353&gt;89,"Sangat baik",IF(AF1353&gt;79,"Baik",IF(AF1353&gt;69,"Cukup",IF(AF1353&gt;59,"Kurang","Sangat kurang")))))</f>
        <v>Baik</v>
      </c>
      <c r="AJ1353" t="str">
        <f t="shared" si="65"/>
        <v>Wk.3</v>
      </c>
      <c r="AK1353" t="str">
        <f>IF(pub_gid_0_single_true_output_csv[[#This Row],[Nilai2]]="","",VLOOKUP(pub_gid_0_single_true_output_csv[[#This Row],[NAMA]],Table7[],3,FALSE))</f>
        <v>Average</v>
      </c>
    </row>
    <row r="1354" spans="1:37" x14ac:dyDescent="0.2">
      <c r="A1354">
        <v>1353</v>
      </c>
      <c r="B1354" t="s">
        <v>296</v>
      </c>
      <c r="C1354" t="s">
        <v>54</v>
      </c>
      <c r="D1354" t="s">
        <v>48</v>
      </c>
      <c r="E1354" t="s">
        <v>140</v>
      </c>
      <c r="F1354" s="25">
        <v>46036</v>
      </c>
      <c r="G1354" t="s">
        <v>353</v>
      </c>
      <c r="H1354" t="s">
        <v>405</v>
      </c>
      <c r="I1354" t="s">
        <v>371</v>
      </c>
      <c r="J1354" t="s">
        <v>279</v>
      </c>
      <c r="K1354" t="s">
        <v>280</v>
      </c>
      <c r="L1354" t="s">
        <v>322</v>
      </c>
      <c r="M1354" t="s">
        <v>141</v>
      </c>
      <c r="N1354" t="s">
        <v>142</v>
      </c>
      <c r="O1354" t="s">
        <v>155</v>
      </c>
      <c r="P1354" t="s">
        <v>281</v>
      </c>
      <c r="Q1354" t="s">
        <v>155</v>
      </c>
      <c r="R1354" t="s">
        <v>302</v>
      </c>
      <c r="S1354" t="s">
        <v>309</v>
      </c>
      <c r="T1354">
        <v>1</v>
      </c>
      <c r="U1354" t="s">
        <v>435</v>
      </c>
      <c r="V1354" t="s">
        <v>285</v>
      </c>
      <c r="W1354" t="s">
        <v>436</v>
      </c>
      <c r="X1354" t="s">
        <v>306</v>
      </c>
      <c r="Y1354" t="s">
        <v>307</v>
      </c>
      <c r="Z1354">
        <v>65</v>
      </c>
      <c r="AA1354">
        <v>70</v>
      </c>
      <c r="AB1354" t="s">
        <v>143</v>
      </c>
      <c r="AC1354" t="s">
        <v>53</v>
      </c>
      <c r="AD1354" t="s">
        <v>404</v>
      </c>
      <c r="AE1354" t="str">
        <f>IF(AF1354="","",VLOOKUP(AC1354,mapel!$A$2:$B$42,2,FALSE))</f>
        <v>Sejarah</v>
      </c>
      <c r="AF1354">
        <f t="shared" si="63"/>
        <v>70</v>
      </c>
      <c r="AG1354" t="str">
        <f>IF(AF1354="","",IF(AF1354&gt;90,"Sangat baik",IF(AF1354&gt;79,"Baik",IF(AF1354&gt;=pub_gid_0_single_true_output_csv[[#This Row],[KKM]],"Cukup","Kurang"))))</f>
        <v>Cukup</v>
      </c>
      <c r="AH1354">
        <f t="shared" si="64"/>
        <v>11</v>
      </c>
      <c r="AI1354" s="30" t="str">
        <f>IF(OR(J1354&lt;&gt;"Karakter",pub_gid_0_single_true_output_csv[[#This Row],[Nilai2]]=""),"",IF(AF1354&gt;89,"Sangat baik",IF(AF1354&gt;79,"Baik",IF(AF1354&gt;69,"Cukup",IF(AF1354&gt;59,"Kurang","Sangat kurang")))))</f>
        <v/>
      </c>
      <c r="AJ1354" t="str">
        <f t="shared" si="65"/>
        <v>Wk.3</v>
      </c>
      <c r="AK1354" t="str">
        <f>IF(pub_gid_0_single_true_output_csv[[#This Row],[Nilai2]]="","",VLOOKUP(pub_gid_0_single_true_output_csv[[#This Row],[NAMA]],Table7[],3,FALSE))</f>
        <v>Average</v>
      </c>
    </row>
    <row r="1355" spans="1:37" x14ac:dyDescent="0.2">
      <c r="A1355">
        <v>1354</v>
      </c>
      <c r="B1355" t="s">
        <v>296</v>
      </c>
      <c r="C1355" t="s">
        <v>54</v>
      </c>
      <c r="D1355" t="s">
        <v>48</v>
      </c>
      <c r="E1355" t="s">
        <v>140</v>
      </c>
      <c r="F1355" s="25">
        <v>46043</v>
      </c>
      <c r="G1355" t="s">
        <v>341</v>
      </c>
      <c r="H1355" t="s">
        <v>405</v>
      </c>
      <c r="I1355" t="s">
        <v>371</v>
      </c>
      <c r="J1355" t="s">
        <v>36</v>
      </c>
      <c r="K1355" t="s">
        <v>37</v>
      </c>
      <c r="L1355" t="s">
        <v>351</v>
      </c>
      <c r="M1355" t="s">
        <v>141</v>
      </c>
      <c r="N1355" t="s">
        <v>142</v>
      </c>
      <c r="O1355" t="s">
        <v>155</v>
      </c>
      <c r="P1355" t="s">
        <v>281</v>
      </c>
      <c r="Q1355" t="s">
        <v>155</v>
      </c>
      <c r="R1355" t="s">
        <v>302</v>
      </c>
      <c r="S1355" t="s">
        <v>309</v>
      </c>
      <c r="T1355">
        <v>1</v>
      </c>
      <c r="U1355" t="s">
        <v>435</v>
      </c>
      <c r="V1355" t="s">
        <v>285</v>
      </c>
      <c r="W1355" t="s">
        <v>436</v>
      </c>
      <c r="X1355" t="s">
        <v>306</v>
      </c>
      <c r="Y1355" t="s">
        <v>307</v>
      </c>
      <c r="Z1355">
        <v>65</v>
      </c>
      <c r="AA1355">
        <v>59</v>
      </c>
      <c r="AB1355" t="s">
        <v>151</v>
      </c>
      <c r="AC1355" t="s">
        <v>53</v>
      </c>
      <c r="AD1355" t="s">
        <v>404</v>
      </c>
      <c r="AE1355" t="str">
        <f>IF(AF1355="","",VLOOKUP(AC1355,mapel!$A$2:$B$42,2,FALSE))</f>
        <v>Sejarah</v>
      </c>
      <c r="AF1355">
        <f t="shared" si="63"/>
        <v>59</v>
      </c>
      <c r="AG1355" t="str">
        <f>IF(AF1355="","",IF(AF1355&gt;90,"Sangat baik",IF(AF1355&gt;79,"Baik",IF(AF1355&gt;=pub_gid_0_single_true_output_csv[[#This Row],[KKM]],"Cukup","Kurang"))))</f>
        <v>Kurang</v>
      </c>
      <c r="AH1355">
        <f t="shared" si="64"/>
        <v>11</v>
      </c>
      <c r="AI1355" s="30" t="str">
        <f>IF(OR(J1355&lt;&gt;"Karakter",pub_gid_0_single_true_output_csv[[#This Row],[Nilai2]]=""),"",IF(AF1355&gt;89,"Sangat baik",IF(AF1355&gt;79,"Baik",IF(AF1355&gt;69,"Cukup",IF(AF1355&gt;59,"Kurang","Sangat kurang")))))</f>
        <v/>
      </c>
      <c r="AJ1355" t="str">
        <f t="shared" si="65"/>
        <v>Wk.4</v>
      </c>
      <c r="AK1355" t="str">
        <f>IF(pub_gid_0_single_true_output_csv[[#This Row],[Nilai2]]="","",VLOOKUP(pub_gid_0_single_true_output_csv[[#This Row],[NAMA]],Table7[],3,FALSE))</f>
        <v>Average</v>
      </c>
    </row>
    <row r="1356" spans="1:37" x14ac:dyDescent="0.2">
      <c r="A1356">
        <v>1355</v>
      </c>
      <c r="B1356" t="s">
        <v>296</v>
      </c>
      <c r="C1356" t="s">
        <v>54</v>
      </c>
      <c r="D1356" t="s">
        <v>48</v>
      </c>
      <c r="E1356" t="s">
        <v>140</v>
      </c>
      <c r="F1356" s="25">
        <v>46043</v>
      </c>
      <c r="G1356" t="s">
        <v>341</v>
      </c>
      <c r="H1356" t="s">
        <v>405</v>
      </c>
      <c r="I1356" t="s">
        <v>371</v>
      </c>
      <c r="J1356" t="s">
        <v>31</v>
      </c>
      <c r="K1356" t="s">
        <v>96</v>
      </c>
      <c r="L1356" t="s">
        <v>322</v>
      </c>
      <c r="M1356" t="s">
        <v>141</v>
      </c>
      <c r="N1356" t="s">
        <v>142</v>
      </c>
      <c r="O1356" t="s">
        <v>155</v>
      </c>
      <c r="P1356" t="s">
        <v>281</v>
      </c>
      <c r="Q1356" t="s">
        <v>155</v>
      </c>
      <c r="R1356" t="s">
        <v>302</v>
      </c>
      <c r="S1356" t="s">
        <v>309</v>
      </c>
      <c r="T1356">
        <v>1</v>
      </c>
      <c r="U1356" t="s">
        <v>435</v>
      </c>
      <c r="V1356" t="s">
        <v>285</v>
      </c>
      <c r="W1356" t="s">
        <v>436</v>
      </c>
      <c r="X1356" t="s">
        <v>306</v>
      </c>
      <c r="Y1356" t="s">
        <v>307</v>
      </c>
      <c r="Z1356">
        <v>65</v>
      </c>
      <c r="AA1356">
        <v>65</v>
      </c>
      <c r="AB1356" t="s">
        <v>143</v>
      </c>
      <c r="AC1356" t="s">
        <v>53</v>
      </c>
      <c r="AD1356" t="s">
        <v>404</v>
      </c>
      <c r="AE1356" t="str">
        <f>IF(AF1356="","",VLOOKUP(AC1356,mapel!$A$2:$B$42,2,FALSE))</f>
        <v>Sejarah</v>
      </c>
      <c r="AF1356">
        <f t="shared" si="63"/>
        <v>65</v>
      </c>
      <c r="AG1356" t="str">
        <f>IF(AF1356="","",IF(AF1356&gt;90,"Sangat baik",IF(AF1356&gt;79,"Baik",IF(AF1356&gt;=pub_gid_0_single_true_output_csv[[#This Row],[KKM]],"Cukup","Kurang"))))</f>
        <v>Cukup</v>
      </c>
      <c r="AH1356">
        <f t="shared" si="64"/>
        <v>11</v>
      </c>
      <c r="AI1356" s="30" t="str">
        <f>IF(OR(J1356&lt;&gt;"Karakter",pub_gid_0_single_true_output_csv[[#This Row],[Nilai2]]=""),"",IF(AF1356&gt;89,"Sangat baik",IF(AF1356&gt;79,"Baik",IF(AF1356&gt;69,"Cukup",IF(AF1356&gt;59,"Kurang","Sangat kurang")))))</f>
        <v/>
      </c>
      <c r="AJ1356" t="str">
        <f t="shared" si="65"/>
        <v>Wk.4</v>
      </c>
      <c r="AK1356" t="str">
        <f>IF(pub_gid_0_single_true_output_csv[[#This Row],[Nilai2]]="","",VLOOKUP(pub_gid_0_single_true_output_csv[[#This Row],[NAMA]],Table7[],3,FALSE))</f>
        <v>Average</v>
      </c>
    </row>
    <row r="1357" spans="1:37" x14ac:dyDescent="0.2">
      <c r="A1357">
        <v>1356</v>
      </c>
      <c r="B1357" t="s">
        <v>296</v>
      </c>
      <c r="C1357" t="s">
        <v>54</v>
      </c>
      <c r="D1357" t="s">
        <v>48</v>
      </c>
      <c r="E1357" t="s">
        <v>140</v>
      </c>
      <c r="F1357" s="25">
        <v>46043</v>
      </c>
      <c r="G1357" t="s">
        <v>341</v>
      </c>
      <c r="H1357" t="s">
        <v>405</v>
      </c>
      <c r="I1357" t="s">
        <v>371</v>
      </c>
      <c r="J1357" t="s">
        <v>90</v>
      </c>
      <c r="K1357" t="s">
        <v>92</v>
      </c>
      <c r="L1357" t="s">
        <v>93</v>
      </c>
      <c r="M1357" t="s">
        <v>141</v>
      </c>
      <c r="N1357" t="s">
        <v>142</v>
      </c>
      <c r="O1357" t="s">
        <v>155</v>
      </c>
      <c r="P1357" t="s">
        <v>281</v>
      </c>
      <c r="Q1357" t="s">
        <v>155</v>
      </c>
      <c r="R1357" t="s">
        <v>302</v>
      </c>
      <c r="S1357" t="s">
        <v>309</v>
      </c>
      <c r="T1357">
        <v>1</v>
      </c>
      <c r="U1357" t="s">
        <v>435</v>
      </c>
      <c r="V1357" t="s">
        <v>285</v>
      </c>
      <c r="W1357" t="s">
        <v>436</v>
      </c>
      <c r="X1357" t="s">
        <v>306</v>
      </c>
      <c r="Y1357" t="s">
        <v>307</v>
      </c>
      <c r="Z1357">
        <v>65</v>
      </c>
      <c r="AA1357">
        <v>80</v>
      </c>
      <c r="AB1357" t="s">
        <v>143</v>
      </c>
      <c r="AC1357" t="s">
        <v>53</v>
      </c>
      <c r="AD1357" t="s">
        <v>404</v>
      </c>
      <c r="AE1357" t="str">
        <f>IF(AF1357="","",VLOOKUP(AC1357,mapel!$A$2:$B$42,2,FALSE))</f>
        <v>Sejarah</v>
      </c>
      <c r="AF1357">
        <f t="shared" si="63"/>
        <v>80</v>
      </c>
      <c r="AG1357" t="str">
        <f>IF(AF1357="","",IF(AF1357&gt;90,"Sangat baik",IF(AF1357&gt;79,"Baik",IF(AF1357&gt;=pub_gid_0_single_true_output_csv[[#This Row],[KKM]],"Cukup","Kurang"))))</f>
        <v>Baik</v>
      </c>
      <c r="AH1357">
        <f t="shared" si="64"/>
        <v>11</v>
      </c>
      <c r="AI1357" s="30" t="str">
        <f>IF(OR(J1357&lt;&gt;"Karakter",pub_gid_0_single_true_output_csv[[#This Row],[Nilai2]]=""),"",IF(AF1357&gt;89,"Sangat baik",IF(AF1357&gt;79,"Baik",IF(AF1357&gt;69,"Cukup",IF(AF1357&gt;59,"Kurang","Sangat kurang")))))</f>
        <v>Baik</v>
      </c>
      <c r="AJ1357" t="str">
        <f t="shared" si="65"/>
        <v>Wk.4</v>
      </c>
      <c r="AK1357" t="str">
        <f>IF(pub_gid_0_single_true_output_csv[[#This Row],[Nilai2]]="","",VLOOKUP(pub_gid_0_single_true_output_csv[[#This Row],[NAMA]],Table7[],3,FALSE))</f>
        <v>Average</v>
      </c>
    </row>
    <row r="1358" spans="1:37" x14ac:dyDescent="0.2">
      <c r="A1358">
        <v>1357</v>
      </c>
      <c r="B1358" t="s">
        <v>296</v>
      </c>
      <c r="C1358" t="s">
        <v>54</v>
      </c>
      <c r="D1358" t="s">
        <v>48</v>
      </c>
      <c r="E1358" t="s">
        <v>140</v>
      </c>
      <c r="F1358" s="25">
        <v>46043</v>
      </c>
      <c r="G1358" t="s">
        <v>341</v>
      </c>
      <c r="H1358" t="s">
        <v>405</v>
      </c>
      <c r="I1358" t="s">
        <v>371</v>
      </c>
      <c r="J1358" t="s">
        <v>279</v>
      </c>
      <c r="K1358" t="s">
        <v>280</v>
      </c>
      <c r="L1358" t="s">
        <v>322</v>
      </c>
      <c r="M1358" t="s">
        <v>141</v>
      </c>
      <c r="N1358" t="s">
        <v>142</v>
      </c>
      <c r="O1358" t="s">
        <v>155</v>
      </c>
      <c r="P1358" t="s">
        <v>281</v>
      </c>
      <c r="Q1358" t="s">
        <v>155</v>
      </c>
      <c r="R1358" t="s">
        <v>302</v>
      </c>
      <c r="S1358" t="s">
        <v>355</v>
      </c>
      <c r="T1358">
        <v>2</v>
      </c>
      <c r="U1358" t="s">
        <v>159</v>
      </c>
      <c r="V1358" t="s">
        <v>303</v>
      </c>
      <c r="W1358" t="s">
        <v>437</v>
      </c>
      <c r="X1358" t="s">
        <v>306</v>
      </c>
      <c r="Y1358" t="s">
        <v>307</v>
      </c>
      <c r="Z1358">
        <v>65</v>
      </c>
      <c r="AA1358">
        <v>65</v>
      </c>
      <c r="AB1358" t="s">
        <v>143</v>
      </c>
      <c r="AC1358" t="s">
        <v>53</v>
      </c>
      <c r="AD1358" t="s">
        <v>404</v>
      </c>
      <c r="AE1358" t="str">
        <f>IF(AF1358="","",VLOOKUP(AC1358,mapel!$A$2:$B$42,2,FALSE))</f>
        <v>Sejarah</v>
      </c>
      <c r="AF1358">
        <f t="shared" si="63"/>
        <v>65</v>
      </c>
      <c r="AG1358" t="str">
        <f>IF(AF1358="","",IF(AF1358&gt;90,"Sangat baik",IF(AF1358&gt;79,"Baik",IF(AF1358&gt;=pub_gid_0_single_true_output_csv[[#This Row],[KKM]],"Cukup","Kurang"))))</f>
        <v>Cukup</v>
      </c>
      <c r="AH1358">
        <f t="shared" si="64"/>
        <v>11</v>
      </c>
      <c r="AI1358" s="30" t="str">
        <f>IF(OR(J1358&lt;&gt;"Karakter",pub_gid_0_single_true_output_csv[[#This Row],[Nilai2]]=""),"",IF(AF1358&gt;89,"Sangat baik",IF(AF1358&gt;79,"Baik",IF(AF1358&gt;69,"Cukup",IF(AF1358&gt;59,"Kurang","Sangat kurang")))))</f>
        <v/>
      </c>
      <c r="AJ1358" t="str">
        <f t="shared" si="65"/>
        <v>Wk.4</v>
      </c>
      <c r="AK1358" t="str">
        <f>IF(pub_gid_0_single_true_output_csv[[#This Row],[Nilai2]]="","",VLOOKUP(pub_gid_0_single_true_output_csv[[#This Row],[NAMA]],Table7[],3,FALSE))</f>
        <v>Average</v>
      </c>
    </row>
    <row r="1359" spans="1:37" x14ac:dyDescent="0.2">
      <c r="A1359">
        <v>1358</v>
      </c>
      <c r="B1359" t="s">
        <v>296</v>
      </c>
      <c r="C1359" t="s">
        <v>54</v>
      </c>
      <c r="D1359" t="s">
        <v>48</v>
      </c>
      <c r="E1359" t="s">
        <v>140</v>
      </c>
      <c r="F1359" s="25">
        <v>46050</v>
      </c>
      <c r="G1359" t="s">
        <v>308</v>
      </c>
      <c r="H1359" t="s">
        <v>405</v>
      </c>
      <c r="I1359" t="s">
        <v>371</v>
      </c>
      <c r="J1359" t="s">
        <v>36</v>
      </c>
      <c r="K1359" t="s">
        <v>37</v>
      </c>
      <c r="L1359" t="s">
        <v>351</v>
      </c>
      <c r="M1359" t="s">
        <v>141</v>
      </c>
      <c r="N1359" t="s">
        <v>142</v>
      </c>
      <c r="O1359" t="s">
        <v>155</v>
      </c>
      <c r="P1359" t="s">
        <v>281</v>
      </c>
      <c r="Q1359" t="s">
        <v>155</v>
      </c>
      <c r="R1359" t="s">
        <v>302</v>
      </c>
      <c r="S1359" t="s">
        <v>355</v>
      </c>
      <c r="T1359">
        <v>2</v>
      </c>
      <c r="U1359" t="s">
        <v>159</v>
      </c>
      <c r="V1359" t="s">
        <v>303</v>
      </c>
      <c r="W1359" t="s">
        <v>437</v>
      </c>
      <c r="X1359" t="s">
        <v>306</v>
      </c>
      <c r="Y1359" t="s">
        <v>307</v>
      </c>
      <c r="Z1359">
        <v>65</v>
      </c>
      <c r="AA1359">
        <v>70</v>
      </c>
      <c r="AB1359" t="s">
        <v>143</v>
      </c>
      <c r="AC1359" t="s">
        <v>53</v>
      </c>
      <c r="AD1359" t="s">
        <v>404</v>
      </c>
      <c r="AE1359" t="str">
        <f>IF(AF1359="","",VLOOKUP(AC1359,mapel!$A$2:$B$42,2,FALSE))</f>
        <v>Sejarah</v>
      </c>
      <c r="AF1359">
        <f t="shared" si="63"/>
        <v>70</v>
      </c>
      <c r="AG1359" t="str">
        <f>IF(AF1359="","",IF(AF1359&gt;90,"Sangat baik",IF(AF1359&gt;79,"Baik",IF(AF1359&gt;=pub_gid_0_single_true_output_csv[[#This Row],[KKM]],"Cukup","Kurang"))))</f>
        <v>Cukup</v>
      </c>
      <c r="AH1359">
        <f t="shared" si="64"/>
        <v>11</v>
      </c>
      <c r="AI1359" s="30" t="str">
        <f>IF(OR(J1359&lt;&gt;"Karakter",pub_gid_0_single_true_output_csv[[#This Row],[Nilai2]]=""),"",IF(AF1359&gt;89,"Sangat baik",IF(AF1359&gt;79,"Baik",IF(AF1359&gt;69,"Cukup",IF(AF1359&gt;59,"Kurang","Sangat kurang")))))</f>
        <v/>
      </c>
      <c r="AJ1359" t="str">
        <f t="shared" si="65"/>
        <v>Wk.5</v>
      </c>
      <c r="AK1359" t="str">
        <f>IF(pub_gid_0_single_true_output_csv[[#This Row],[Nilai2]]="","",VLOOKUP(pub_gid_0_single_true_output_csv[[#This Row],[NAMA]],Table7[],3,FALSE))</f>
        <v>Average</v>
      </c>
    </row>
    <row r="1360" spans="1:37" x14ac:dyDescent="0.2">
      <c r="A1360">
        <v>1359</v>
      </c>
      <c r="B1360" t="s">
        <v>296</v>
      </c>
      <c r="C1360" t="s">
        <v>54</v>
      </c>
      <c r="D1360" t="s">
        <v>48</v>
      </c>
      <c r="E1360" t="s">
        <v>140</v>
      </c>
      <c r="F1360" s="25">
        <v>46050</v>
      </c>
      <c r="G1360" t="s">
        <v>308</v>
      </c>
      <c r="H1360" t="s">
        <v>405</v>
      </c>
      <c r="I1360" t="s">
        <v>371</v>
      </c>
      <c r="J1360" t="s">
        <v>31</v>
      </c>
      <c r="K1360" t="s">
        <v>96</v>
      </c>
      <c r="L1360" t="s">
        <v>351</v>
      </c>
      <c r="M1360" t="s">
        <v>141</v>
      </c>
      <c r="N1360" t="s">
        <v>142</v>
      </c>
      <c r="O1360" t="s">
        <v>155</v>
      </c>
      <c r="P1360" t="s">
        <v>281</v>
      </c>
      <c r="Q1360" t="s">
        <v>155</v>
      </c>
      <c r="R1360" t="s">
        <v>302</v>
      </c>
      <c r="S1360" t="s">
        <v>355</v>
      </c>
      <c r="T1360">
        <v>2</v>
      </c>
      <c r="U1360" t="s">
        <v>159</v>
      </c>
      <c r="V1360" t="s">
        <v>303</v>
      </c>
      <c r="W1360" t="s">
        <v>437</v>
      </c>
      <c r="X1360" t="s">
        <v>306</v>
      </c>
      <c r="Y1360" t="s">
        <v>307</v>
      </c>
      <c r="Z1360">
        <v>65</v>
      </c>
      <c r="AA1360">
        <v>65</v>
      </c>
      <c r="AB1360" t="s">
        <v>143</v>
      </c>
      <c r="AC1360" t="s">
        <v>53</v>
      </c>
      <c r="AD1360" t="s">
        <v>404</v>
      </c>
      <c r="AE1360" t="str">
        <f>IF(AF1360="","",VLOOKUP(AC1360,mapel!$A$2:$B$42,2,FALSE))</f>
        <v>Sejarah</v>
      </c>
      <c r="AF1360">
        <f t="shared" si="63"/>
        <v>65</v>
      </c>
      <c r="AG1360" t="str">
        <f>IF(AF1360="","",IF(AF1360&gt;90,"Sangat baik",IF(AF1360&gt;79,"Baik",IF(AF1360&gt;=pub_gid_0_single_true_output_csv[[#This Row],[KKM]],"Cukup","Kurang"))))</f>
        <v>Cukup</v>
      </c>
      <c r="AH1360">
        <f t="shared" si="64"/>
        <v>11</v>
      </c>
      <c r="AI1360" s="30" t="str">
        <f>IF(OR(J1360&lt;&gt;"Karakter",pub_gid_0_single_true_output_csv[[#This Row],[Nilai2]]=""),"",IF(AF1360&gt;89,"Sangat baik",IF(AF1360&gt;79,"Baik",IF(AF1360&gt;69,"Cukup",IF(AF1360&gt;59,"Kurang","Sangat kurang")))))</f>
        <v/>
      </c>
      <c r="AJ1360" t="str">
        <f t="shared" si="65"/>
        <v>Wk.5</v>
      </c>
      <c r="AK1360" t="str">
        <f>IF(pub_gid_0_single_true_output_csv[[#This Row],[Nilai2]]="","",VLOOKUP(pub_gid_0_single_true_output_csv[[#This Row],[NAMA]],Table7[],3,FALSE))</f>
        <v>Average</v>
      </c>
    </row>
    <row r="1361" spans="1:37" x14ac:dyDescent="0.2">
      <c r="A1361">
        <v>1360</v>
      </c>
      <c r="B1361" t="s">
        <v>296</v>
      </c>
      <c r="C1361" t="s">
        <v>54</v>
      </c>
      <c r="D1361" t="s">
        <v>48</v>
      </c>
      <c r="E1361" t="s">
        <v>140</v>
      </c>
      <c r="F1361" s="25">
        <v>46050</v>
      </c>
      <c r="G1361" t="s">
        <v>308</v>
      </c>
      <c r="H1361" t="s">
        <v>405</v>
      </c>
      <c r="I1361" t="s">
        <v>371</v>
      </c>
      <c r="J1361" t="s">
        <v>90</v>
      </c>
      <c r="K1361" t="s">
        <v>92</v>
      </c>
      <c r="L1361" t="s">
        <v>91</v>
      </c>
      <c r="M1361" t="s">
        <v>141</v>
      </c>
      <c r="N1361" t="s">
        <v>142</v>
      </c>
      <c r="O1361" t="s">
        <v>155</v>
      </c>
      <c r="P1361" t="s">
        <v>281</v>
      </c>
      <c r="Q1361" t="s">
        <v>155</v>
      </c>
      <c r="R1361" t="s">
        <v>302</v>
      </c>
      <c r="S1361" t="s">
        <v>355</v>
      </c>
      <c r="T1361">
        <v>2</v>
      </c>
      <c r="U1361" t="s">
        <v>159</v>
      </c>
      <c r="V1361" t="s">
        <v>303</v>
      </c>
      <c r="W1361" t="s">
        <v>437</v>
      </c>
      <c r="X1361" t="s">
        <v>306</v>
      </c>
      <c r="Y1361" t="s">
        <v>307</v>
      </c>
      <c r="Z1361">
        <v>65</v>
      </c>
      <c r="AA1361">
        <v>70</v>
      </c>
      <c r="AB1361" t="s">
        <v>143</v>
      </c>
      <c r="AC1361" t="s">
        <v>53</v>
      </c>
      <c r="AD1361" t="s">
        <v>404</v>
      </c>
      <c r="AE1361" t="str">
        <f>IF(AF1361="","",VLOOKUP(AC1361,mapel!$A$2:$B$42,2,FALSE))</f>
        <v>Sejarah</v>
      </c>
      <c r="AF1361">
        <f t="shared" si="63"/>
        <v>70</v>
      </c>
      <c r="AG1361" t="str">
        <f>IF(AF1361="","",IF(AF1361&gt;90,"Sangat baik",IF(AF1361&gt;79,"Baik",IF(AF1361&gt;=pub_gid_0_single_true_output_csv[[#This Row],[KKM]],"Cukup","Kurang"))))</f>
        <v>Cukup</v>
      </c>
      <c r="AH1361">
        <f t="shared" si="64"/>
        <v>11</v>
      </c>
      <c r="AI1361" s="30" t="str">
        <f>IF(OR(J1361&lt;&gt;"Karakter",pub_gid_0_single_true_output_csv[[#This Row],[Nilai2]]=""),"",IF(AF1361&gt;89,"Sangat baik",IF(AF1361&gt;79,"Baik",IF(AF1361&gt;69,"Cukup",IF(AF1361&gt;59,"Kurang","Sangat kurang")))))</f>
        <v>Cukup</v>
      </c>
      <c r="AJ1361" t="str">
        <f t="shared" si="65"/>
        <v>Wk.5</v>
      </c>
      <c r="AK1361" t="str">
        <f>IF(pub_gid_0_single_true_output_csv[[#This Row],[Nilai2]]="","",VLOOKUP(pub_gid_0_single_true_output_csv[[#This Row],[NAMA]],Table7[],3,FALSE))</f>
        <v>Average</v>
      </c>
    </row>
    <row r="1362" spans="1:37" x14ac:dyDescent="0.2">
      <c r="A1362">
        <v>1361</v>
      </c>
      <c r="B1362" t="s">
        <v>296</v>
      </c>
      <c r="C1362" t="s">
        <v>54</v>
      </c>
      <c r="D1362" t="s">
        <v>48</v>
      </c>
      <c r="E1362" t="s">
        <v>140</v>
      </c>
      <c r="F1362" s="25">
        <v>46050</v>
      </c>
      <c r="G1362" t="s">
        <v>308</v>
      </c>
      <c r="H1362" t="s">
        <v>405</v>
      </c>
      <c r="I1362" t="s">
        <v>371</v>
      </c>
      <c r="J1362" t="s">
        <v>279</v>
      </c>
      <c r="K1362" t="s">
        <v>280</v>
      </c>
      <c r="L1362" t="s">
        <v>322</v>
      </c>
      <c r="M1362" t="s">
        <v>141</v>
      </c>
      <c r="N1362" t="s">
        <v>142</v>
      </c>
      <c r="O1362" t="s">
        <v>155</v>
      </c>
      <c r="P1362" t="s">
        <v>281</v>
      </c>
      <c r="Q1362" t="s">
        <v>155</v>
      </c>
      <c r="R1362" t="s">
        <v>302</v>
      </c>
      <c r="S1362" t="s">
        <v>355</v>
      </c>
      <c r="T1362">
        <v>2</v>
      </c>
      <c r="U1362" t="s">
        <v>159</v>
      </c>
      <c r="V1362" t="s">
        <v>303</v>
      </c>
      <c r="W1362" t="s">
        <v>437</v>
      </c>
      <c r="X1362" t="s">
        <v>306</v>
      </c>
      <c r="Y1362" t="s">
        <v>307</v>
      </c>
      <c r="Z1362">
        <v>65</v>
      </c>
      <c r="AA1362">
        <v>65</v>
      </c>
      <c r="AB1362" t="s">
        <v>143</v>
      </c>
      <c r="AC1362" t="s">
        <v>53</v>
      </c>
      <c r="AD1362" t="s">
        <v>404</v>
      </c>
      <c r="AE1362" t="str">
        <f>IF(AF1362="","",VLOOKUP(AC1362,mapel!$A$2:$B$42,2,FALSE))</f>
        <v>Sejarah</v>
      </c>
      <c r="AF1362">
        <f t="shared" si="63"/>
        <v>65</v>
      </c>
      <c r="AG1362" t="str">
        <f>IF(AF1362="","",IF(AF1362&gt;90,"Sangat baik",IF(AF1362&gt;79,"Baik",IF(AF1362&gt;=pub_gid_0_single_true_output_csv[[#This Row],[KKM]],"Cukup","Kurang"))))</f>
        <v>Cukup</v>
      </c>
      <c r="AH1362">
        <f t="shared" si="64"/>
        <v>11</v>
      </c>
      <c r="AI1362" s="30" t="str">
        <f>IF(OR(J1362&lt;&gt;"Karakter",pub_gid_0_single_true_output_csv[[#This Row],[Nilai2]]=""),"",IF(AF1362&gt;89,"Sangat baik",IF(AF1362&gt;79,"Baik",IF(AF1362&gt;69,"Cukup",IF(AF1362&gt;59,"Kurang","Sangat kurang")))))</f>
        <v/>
      </c>
      <c r="AJ1362" t="str">
        <f t="shared" si="65"/>
        <v>Wk.5</v>
      </c>
      <c r="AK1362" t="str">
        <f>IF(pub_gid_0_single_true_output_csv[[#This Row],[Nilai2]]="","",VLOOKUP(pub_gid_0_single_true_output_csv[[#This Row],[NAMA]],Table7[],3,FALSE))</f>
        <v>Average</v>
      </c>
    </row>
    <row r="1363" spans="1:37" x14ac:dyDescent="0.2">
      <c r="A1363">
        <v>1362</v>
      </c>
      <c r="B1363" t="s">
        <v>296</v>
      </c>
      <c r="C1363" t="s">
        <v>54</v>
      </c>
      <c r="D1363" t="s">
        <v>48</v>
      </c>
      <c r="E1363" t="s">
        <v>140</v>
      </c>
      <c r="F1363" s="25">
        <v>46057</v>
      </c>
      <c r="G1363" t="s">
        <v>348</v>
      </c>
      <c r="H1363" t="s">
        <v>412</v>
      </c>
      <c r="I1363" t="s">
        <v>371</v>
      </c>
      <c r="J1363" t="s">
        <v>36</v>
      </c>
      <c r="K1363" t="s">
        <v>37</v>
      </c>
      <c r="L1363" t="s">
        <v>351</v>
      </c>
      <c r="M1363" t="s">
        <v>141</v>
      </c>
      <c r="N1363" t="s">
        <v>142</v>
      </c>
      <c r="O1363" t="s">
        <v>155</v>
      </c>
      <c r="P1363" t="s">
        <v>281</v>
      </c>
      <c r="Q1363" t="s">
        <v>155</v>
      </c>
      <c r="R1363" t="s">
        <v>302</v>
      </c>
      <c r="S1363" t="s">
        <v>355</v>
      </c>
      <c r="T1363">
        <v>2</v>
      </c>
      <c r="U1363" t="s">
        <v>159</v>
      </c>
      <c r="V1363" t="s">
        <v>303</v>
      </c>
      <c r="W1363" t="s">
        <v>437</v>
      </c>
      <c r="X1363" t="s">
        <v>306</v>
      </c>
      <c r="Y1363" t="s">
        <v>307</v>
      </c>
      <c r="Z1363">
        <v>65</v>
      </c>
      <c r="AA1363">
        <v>55</v>
      </c>
      <c r="AB1363" t="s">
        <v>151</v>
      </c>
      <c r="AC1363" t="s">
        <v>53</v>
      </c>
      <c r="AD1363" t="s">
        <v>404</v>
      </c>
      <c r="AE1363" t="str">
        <f>IF(AF1363="","",VLOOKUP(AC1363,mapel!$A$2:$B$42,2,FALSE))</f>
        <v>Sejarah</v>
      </c>
      <c r="AF1363">
        <f t="shared" si="63"/>
        <v>55</v>
      </c>
      <c r="AG1363" t="str">
        <f>IF(AF1363="","",IF(AF1363&gt;90,"Sangat baik",IF(AF1363&gt;79,"Baik",IF(AF1363&gt;=pub_gid_0_single_true_output_csv[[#This Row],[KKM]],"Cukup","Kurang"))))</f>
        <v>Kurang</v>
      </c>
      <c r="AH1363">
        <f t="shared" si="64"/>
        <v>11</v>
      </c>
      <c r="AI1363" s="30" t="str">
        <f>IF(OR(J1363&lt;&gt;"Karakter",pub_gid_0_single_true_output_csv[[#This Row],[Nilai2]]=""),"",IF(AF1363&gt;89,"Sangat baik",IF(AF1363&gt;79,"Baik",IF(AF1363&gt;69,"Cukup",IF(AF1363&gt;59,"Kurang","Sangat kurang")))))</f>
        <v/>
      </c>
      <c r="AJ1363" t="str">
        <f t="shared" si="65"/>
        <v>Wk.6</v>
      </c>
      <c r="AK1363" t="str">
        <f>IF(pub_gid_0_single_true_output_csv[[#This Row],[Nilai2]]="","",VLOOKUP(pub_gid_0_single_true_output_csv[[#This Row],[NAMA]],Table7[],3,FALSE))</f>
        <v>Average</v>
      </c>
    </row>
    <row r="1364" spans="1:37" x14ac:dyDescent="0.2">
      <c r="A1364">
        <v>1363</v>
      </c>
      <c r="B1364" t="s">
        <v>296</v>
      </c>
      <c r="C1364" t="s">
        <v>54</v>
      </c>
      <c r="D1364" t="s">
        <v>48</v>
      </c>
      <c r="E1364" t="s">
        <v>140</v>
      </c>
      <c r="F1364" s="25">
        <v>46057</v>
      </c>
      <c r="G1364" t="s">
        <v>348</v>
      </c>
      <c r="H1364" t="s">
        <v>412</v>
      </c>
      <c r="I1364" t="s">
        <v>371</v>
      </c>
      <c r="J1364" t="s">
        <v>31</v>
      </c>
      <c r="K1364" t="s">
        <v>96</v>
      </c>
      <c r="L1364" t="s">
        <v>351</v>
      </c>
      <c r="M1364" t="s">
        <v>141</v>
      </c>
      <c r="N1364" t="s">
        <v>142</v>
      </c>
      <c r="O1364" t="s">
        <v>155</v>
      </c>
      <c r="P1364" t="s">
        <v>281</v>
      </c>
      <c r="Q1364" t="s">
        <v>155</v>
      </c>
      <c r="R1364" t="s">
        <v>302</v>
      </c>
      <c r="S1364" t="s">
        <v>355</v>
      </c>
      <c r="T1364">
        <v>2</v>
      </c>
      <c r="U1364" t="s">
        <v>159</v>
      </c>
      <c r="V1364" t="s">
        <v>303</v>
      </c>
      <c r="W1364" t="s">
        <v>437</v>
      </c>
      <c r="X1364" t="s">
        <v>306</v>
      </c>
      <c r="Y1364" t="s">
        <v>307</v>
      </c>
      <c r="Z1364">
        <v>65</v>
      </c>
      <c r="AA1364">
        <v>70</v>
      </c>
      <c r="AB1364" t="s">
        <v>143</v>
      </c>
      <c r="AC1364" t="s">
        <v>53</v>
      </c>
      <c r="AD1364" t="s">
        <v>404</v>
      </c>
      <c r="AE1364" t="str">
        <f>IF(AF1364="","",VLOOKUP(AC1364,mapel!$A$2:$B$42,2,FALSE))</f>
        <v>Sejarah</v>
      </c>
      <c r="AF1364">
        <f t="shared" si="63"/>
        <v>70</v>
      </c>
      <c r="AG1364" t="str">
        <f>IF(AF1364="","",IF(AF1364&gt;90,"Sangat baik",IF(AF1364&gt;79,"Baik",IF(AF1364&gt;=pub_gid_0_single_true_output_csv[[#This Row],[KKM]],"Cukup","Kurang"))))</f>
        <v>Cukup</v>
      </c>
      <c r="AH1364">
        <f t="shared" si="64"/>
        <v>11</v>
      </c>
      <c r="AI1364" s="30" t="str">
        <f>IF(OR(J1364&lt;&gt;"Karakter",pub_gid_0_single_true_output_csv[[#This Row],[Nilai2]]=""),"",IF(AF1364&gt;89,"Sangat baik",IF(AF1364&gt;79,"Baik",IF(AF1364&gt;69,"Cukup",IF(AF1364&gt;59,"Kurang","Sangat kurang")))))</f>
        <v/>
      </c>
      <c r="AJ1364" t="str">
        <f t="shared" si="65"/>
        <v>Wk.6</v>
      </c>
      <c r="AK1364" t="str">
        <f>IF(pub_gid_0_single_true_output_csv[[#This Row],[Nilai2]]="","",VLOOKUP(pub_gid_0_single_true_output_csv[[#This Row],[NAMA]],Table7[],3,FALSE))</f>
        <v>Average</v>
      </c>
    </row>
    <row r="1365" spans="1:37" x14ac:dyDescent="0.2">
      <c r="A1365">
        <v>1364</v>
      </c>
      <c r="B1365" t="s">
        <v>296</v>
      </c>
      <c r="C1365" t="s">
        <v>54</v>
      </c>
      <c r="D1365" t="s">
        <v>48</v>
      </c>
      <c r="E1365" t="s">
        <v>140</v>
      </c>
      <c r="F1365" s="25">
        <v>46057</v>
      </c>
      <c r="G1365" t="s">
        <v>348</v>
      </c>
      <c r="H1365" t="s">
        <v>412</v>
      </c>
      <c r="I1365" t="s">
        <v>371</v>
      </c>
      <c r="J1365" t="s">
        <v>90</v>
      </c>
      <c r="K1365" t="s">
        <v>92</v>
      </c>
      <c r="L1365" t="s">
        <v>93</v>
      </c>
      <c r="M1365" t="s">
        <v>141</v>
      </c>
      <c r="N1365" t="s">
        <v>142</v>
      </c>
      <c r="O1365" t="s">
        <v>155</v>
      </c>
      <c r="P1365" t="s">
        <v>281</v>
      </c>
      <c r="Q1365" t="s">
        <v>155</v>
      </c>
      <c r="R1365" t="s">
        <v>302</v>
      </c>
      <c r="S1365" t="s">
        <v>355</v>
      </c>
      <c r="T1365">
        <v>2</v>
      </c>
      <c r="U1365" t="s">
        <v>159</v>
      </c>
      <c r="V1365" t="s">
        <v>303</v>
      </c>
      <c r="W1365" t="s">
        <v>437</v>
      </c>
      <c r="X1365" t="s">
        <v>306</v>
      </c>
      <c r="Y1365" t="s">
        <v>307</v>
      </c>
      <c r="Z1365">
        <v>65</v>
      </c>
      <c r="AA1365">
        <v>70</v>
      </c>
      <c r="AB1365" t="s">
        <v>143</v>
      </c>
      <c r="AC1365" t="s">
        <v>53</v>
      </c>
      <c r="AD1365" t="s">
        <v>404</v>
      </c>
      <c r="AE1365" t="str">
        <f>IF(AF1365="","",VLOOKUP(AC1365,mapel!$A$2:$B$42,2,FALSE))</f>
        <v>Sejarah</v>
      </c>
      <c r="AF1365">
        <f t="shared" si="63"/>
        <v>70</v>
      </c>
      <c r="AG1365" t="str">
        <f>IF(AF1365="","",IF(AF1365&gt;90,"Sangat baik",IF(AF1365&gt;79,"Baik",IF(AF1365&gt;=pub_gid_0_single_true_output_csv[[#This Row],[KKM]],"Cukup","Kurang"))))</f>
        <v>Cukup</v>
      </c>
      <c r="AH1365">
        <f t="shared" si="64"/>
        <v>11</v>
      </c>
      <c r="AI1365" s="30" t="str">
        <f>IF(OR(J1365&lt;&gt;"Karakter",pub_gid_0_single_true_output_csv[[#This Row],[Nilai2]]=""),"",IF(AF1365&gt;89,"Sangat baik",IF(AF1365&gt;79,"Baik",IF(AF1365&gt;69,"Cukup",IF(AF1365&gt;59,"Kurang","Sangat kurang")))))</f>
        <v>Cukup</v>
      </c>
      <c r="AJ1365" t="str">
        <f t="shared" si="65"/>
        <v>Wk.6</v>
      </c>
      <c r="AK1365" t="str">
        <f>IF(pub_gid_0_single_true_output_csv[[#This Row],[Nilai2]]="","",VLOOKUP(pub_gid_0_single_true_output_csv[[#This Row],[NAMA]],Table7[],3,FALSE))</f>
        <v>Average</v>
      </c>
    </row>
    <row r="1366" spans="1:37" x14ac:dyDescent="0.2">
      <c r="A1366">
        <v>1365</v>
      </c>
      <c r="B1366" t="s">
        <v>296</v>
      </c>
      <c r="C1366" t="s">
        <v>54</v>
      </c>
      <c r="D1366" t="s">
        <v>48</v>
      </c>
      <c r="E1366" t="s">
        <v>140</v>
      </c>
      <c r="F1366" s="25">
        <v>46057</v>
      </c>
      <c r="G1366" t="s">
        <v>348</v>
      </c>
      <c r="H1366" t="s">
        <v>412</v>
      </c>
      <c r="I1366" t="s">
        <v>371</v>
      </c>
      <c r="J1366" t="s">
        <v>279</v>
      </c>
      <c r="K1366" t="s">
        <v>280</v>
      </c>
      <c r="L1366" t="s">
        <v>322</v>
      </c>
      <c r="M1366" t="s">
        <v>141</v>
      </c>
      <c r="N1366" t="s">
        <v>142</v>
      </c>
      <c r="O1366" t="s">
        <v>155</v>
      </c>
      <c r="P1366" t="s">
        <v>281</v>
      </c>
      <c r="Q1366" t="s">
        <v>155</v>
      </c>
      <c r="R1366" t="s">
        <v>302</v>
      </c>
      <c r="S1366" t="s">
        <v>355</v>
      </c>
      <c r="T1366">
        <v>2</v>
      </c>
      <c r="U1366" t="s">
        <v>159</v>
      </c>
      <c r="V1366" t="s">
        <v>303</v>
      </c>
      <c r="W1366" t="s">
        <v>437</v>
      </c>
      <c r="X1366" t="s">
        <v>306</v>
      </c>
      <c r="Y1366" t="s">
        <v>307</v>
      </c>
      <c r="Z1366">
        <v>65</v>
      </c>
      <c r="AA1366">
        <v>65</v>
      </c>
      <c r="AB1366" t="s">
        <v>143</v>
      </c>
      <c r="AC1366" t="s">
        <v>53</v>
      </c>
      <c r="AD1366" t="s">
        <v>404</v>
      </c>
      <c r="AE1366" t="str">
        <f>IF(AF1366="","",VLOOKUP(AC1366,mapel!$A$2:$B$42,2,FALSE))</f>
        <v>Sejarah</v>
      </c>
      <c r="AF1366">
        <f t="shared" si="63"/>
        <v>65</v>
      </c>
      <c r="AG1366" t="str">
        <f>IF(AF1366="","",IF(AF1366&gt;90,"Sangat baik",IF(AF1366&gt;79,"Baik",IF(AF1366&gt;=pub_gid_0_single_true_output_csv[[#This Row],[KKM]],"Cukup","Kurang"))))</f>
        <v>Cukup</v>
      </c>
      <c r="AH1366">
        <f t="shared" si="64"/>
        <v>11</v>
      </c>
      <c r="AI1366" s="30" t="str">
        <f>IF(OR(J1366&lt;&gt;"Karakter",pub_gid_0_single_true_output_csv[[#This Row],[Nilai2]]=""),"",IF(AF1366&gt;89,"Sangat baik",IF(AF1366&gt;79,"Baik",IF(AF1366&gt;69,"Cukup",IF(AF1366&gt;59,"Kurang","Sangat kurang")))))</f>
        <v/>
      </c>
      <c r="AJ1366" t="str">
        <f t="shared" si="65"/>
        <v>Wk.6</v>
      </c>
      <c r="AK1366" t="str">
        <f>IF(pub_gid_0_single_true_output_csv[[#This Row],[Nilai2]]="","",VLOOKUP(pub_gid_0_single_true_output_csv[[#This Row],[NAMA]],Table7[],3,FALSE))</f>
        <v>Average</v>
      </c>
    </row>
    <row r="1367" spans="1:37" x14ac:dyDescent="0.2">
      <c r="A1367">
        <v>1366</v>
      </c>
      <c r="B1367" t="s">
        <v>296</v>
      </c>
      <c r="C1367" t="s">
        <v>54</v>
      </c>
      <c r="D1367" t="s">
        <v>48</v>
      </c>
      <c r="E1367" t="s">
        <v>140</v>
      </c>
      <c r="F1367" s="25">
        <v>46064</v>
      </c>
      <c r="G1367" t="s">
        <v>352</v>
      </c>
      <c r="H1367" t="s">
        <v>412</v>
      </c>
      <c r="I1367" t="s">
        <v>371</v>
      </c>
      <c r="J1367" t="s">
        <v>36</v>
      </c>
      <c r="K1367" t="s">
        <v>37</v>
      </c>
      <c r="L1367" t="s">
        <v>351</v>
      </c>
      <c r="M1367" t="s">
        <v>141</v>
      </c>
      <c r="N1367" t="s">
        <v>142</v>
      </c>
      <c r="O1367" t="s">
        <v>155</v>
      </c>
      <c r="P1367" t="s">
        <v>281</v>
      </c>
      <c r="Q1367" t="s">
        <v>155</v>
      </c>
      <c r="R1367" t="s">
        <v>302</v>
      </c>
      <c r="S1367" t="s">
        <v>380</v>
      </c>
      <c r="T1367">
        <v>3</v>
      </c>
      <c r="U1367" t="s">
        <v>159</v>
      </c>
      <c r="V1367" t="s">
        <v>381</v>
      </c>
      <c r="W1367" t="s">
        <v>438</v>
      </c>
      <c r="X1367" t="s">
        <v>306</v>
      </c>
      <c r="Y1367" t="s">
        <v>307</v>
      </c>
      <c r="Z1367">
        <v>65</v>
      </c>
      <c r="AA1367">
        <v>65</v>
      </c>
      <c r="AB1367" t="s">
        <v>143</v>
      </c>
      <c r="AC1367" t="s">
        <v>53</v>
      </c>
      <c r="AD1367" t="s">
        <v>404</v>
      </c>
      <c r="AE1367" t="str">
        <f>IF(AF1367="","",VLOOKUP(AC1367,mapel!$A$2:$B$42,2,FALSE))</f>
        <v>Sejarah</v>
      </c>
      <c r="AF1367">
        <f t="shared" si="63"/>
        <v>65</v>
      </c>
      <c r="AG1367" t="str">
        <f>IF(AF1367="","",IF(AF1367&gt;90,"Sangat baik",IF(AF1367&gt;79,"Baik",IF(AF1367&gt;=pub_gid_0_single_true_output_csv[[#This Row],[KKM]],"Cukup","Kurang"))))</f>
        <v>Cukup</v>
      </c>
      <c r="AH1367">
        <f t="shared" si="64"/>
        <v>11</v>
      </c>
      <c r="AI1367" s="30" t="str">
        <f>IF(OR(J1367&lt;&gt;"Karakter",pub_gid_0_single_true_output_csv[[#This Row],[Nilai2]]=""),"",IF(AF1367&gt;89,"Sangat baik",IF(AF1367&gt;79,"Baik",IF(AF1367&gt;69,"Cukup",IF(AF1367&gt;59,"Kurang","Sangat kurang")))))</f>
        <v/>
      </c>
      <c r="AJ1367" t="str">
        <f t="shared" si="65"/>
        <v>Wk.7</v>
      </c>
      <c r="AK1367" t="str">
        <f>IF(pub_gid_0_single_true_output_csv[[#This Row],[Nilai2]]="","",VLOOKUP(pub_gid_0_single_true_output_csv[[#This Row],[NAMA]],Table7[],3,FALSE))</f>
        <v>Average</v>
      </c>
    </row>
    <row r="1368" spans="1:37" x14ac:dyDescent="0.2">
      <c r="A1368">
        <v>1367</v>
      </c>
      <c r="B1368" t="s">
        <v>296</v>
      </c>
      <c r="C1368" t="s">
        <v>54</v>
      </c>
      <c r="D1368" t="s">
        <v>48</v>
      </c>
      <c r="E1368" t="s">
        <v>140</v>
      </c>
      <c r="F1368" s="25">
        <v>46064</v>
      </c>
      <c r="G1368" t="s">
        <v>352</v>
      </c>
      <c r="H1368" t="s">
        <v>412</v>
      </c>
      <c r="I1368" t="s">
        <v>371</v>
      </c>
      <c r="J1368" t="s">
        <v>31</v>
      </c>
      <c r="K1368" t="s">
        <v>96</v>
      </c>
      <c r="L1368" t="s">
        <v>351</v>
      </c>
      <c r="M1368" t="s">
        <v>141</v>
      </c>
      <c r="N1368" t="s">
        <v>142</v>
      </c>
      <c r="O1368" t="s">
        <v>155</v>
      </c>
      <c r="P1368" t="s">
        <v>281</v>
      </c>
      <c r="Q1368" t="s">
        <v>155</v>
      </c>
      <c r="R1368" t="s">
        <v>302</v>
      </c>
      <c r="S1368" t="s">
        <v>380</v>
      </c>
      <c r="T1368">
        <v>3</v>
      </c>
      <c r="U1368" t="s">
        <v>159</v>
      </c>
      <c r="V1368" t="s">
        <v>381</v>
      </c>
      <c r="W1368" t="s">
        <v>438</v>
      </c>
      <c r="X1368" t="s">
        <v>306</v>
      </c>
      <c r="Y1368" t="s">
        <v>307</v>
      </c>
      <c r="Z1368">
        <v>65</v>
      </c>
      <c r="AA1368">
        <v>60</v>
      </c>
      <c r="AB1368" t="s">
        <v>151</v>
      </c>
      <c r="AC1368" t="s">
        <v>53</v>
      </c>
      <c r="AD1368" t="s">
        <v>404</v>
      </c>
      <c r="AE1368" t="str">
        <f>IF(AF1368="","",VLOOKUP(AC1368,mapel!$A$2:$B$42,2,FALSE))</f>
        <v>Sejarah</v>
      </c>
      <c r="AF1368">
        <f t="shared" si="63"/>
        <v>60</v>
      </c>
      <c r="AG1368" t="str">
        <f>IF(AF1368="","",IF(AF1368&gt;90,"Sangat baik",IF(AF1368&gt;79,"Baik",IF(AF1368&gt;=pub_gid_0_single_true_output_csv[[#This Row],[KKM]],"Cukup","Kurang"))))</f>
        <v>Kurang</v>
      </c>
      <c r="AH1368">
        <f t="shared" si="64"/>
        <v>11</v>
      </c>
      <c r="AI1368" s="30" t="str">
        <f>IF(OR(J1368&lt;&gt;"Karakter",pub_gid_0_single_true_output_csv[[#This Row],[Nilai2]]=""),"",IF(AF1368&gt;89,"Sangat baik",IF(AF1368&gt;79,"Baik",IF(AF1368&gt;69,"Cukup",IF(AF1368&gt;59,"Kurang","Sangat kurang")))))</f>
        <v/>
      </c>
      <c r="AJ1368" t="str">
        <f t="shared" si="65"/>
        <v>Wk.7</v>
      </c>
      <c r="AK1368" t="str">
        <f>IF(pub_gid_0_single_true_output_csv[[#This Row],[Nilai2]]="","",VLOOKUP(pub_gid_0_single_true_output_csv[[#This Row],[NAMA]],Table7[],3,FALSE))</f>
        <v>Average</v>
      </c>
    </row>
    <row r="1369" spans="1:37" x14ac:dyDescent="0.2">
      <c r="A1369">
        <v>1368</v>
      </c>
      <c r="B1369" t="s">
        <v>296</v>
      </c>
      <c r="C1369" t="s">
        <v>54</v>
      </c>
      <c r="D1369" t="s">
        <v>48</v>
      </c>
      <c r="E1369" t="s">
        <v>140</v>
      </c>
      <c r="F1369" s="25">
        <v>46064</v>
      </c>
      <c r="G1369" t="s">
        <v>352</v>
      </c>
      <c r="H1369" t="s">
        <v>412</v>
      </c>
      <c r="I1369" t="s">
        <v>371</v>
      </c>
      <c r="J1369" t="s">
        <v>90</v>
      </c>
      <c r="K1369" t="s">
        <v>92</v>
      </c>
      <c r="L1369" t="s">
        <v>93</v>
      </c>
      <c r="M1369" t="s">
        <v>141</v>
      </c>
      <c r="N1369" t="s">
        <v>142</v>
      </c>
      <c r="O1369" t="s">
        <v>155</v>
      </c>
      <c r="P1369" t="s">
        <v>281</v>
      </c>
      <c r="Q1369" t="s">
        <v>155</v>
      </c>
      <c r="R1369" t="s">
        <v>302</v>
      </c>
      <c r="S1369" t="s">
        <v>380</v>
      </c>
      <c r="T1369">
        <v>3</v>
      </c>
      <c r="U1369" t="s">
        <v>159</v>
      </c>
      <c r="V1369" t="s">
        <v>381</v>
      </c>
      <c r="W1369" t="s">
        <v>438</v>
      </c>
      <c r="X1369" t="s">
        <v>306</v>
      </c>
      <c r="Y1369" t="s">
        <v>307</v>
      </c>
      <c r="Z1369">
        <v>65</v>
      </c>
      <c r="AA1369">
        <v>69</v>
      </c>
      <c r="AB1369" t="s">
        <v>143</v>
      </c>
      <c r="AC1369" t="s">
        <v>53</v>
      </c>
      <c r="AD1369" t="s">
        <v>404</v>
      </c>
      <c r="AE1369" t="str">
        <f>IF(AF1369="","",VLOOKUP(AC1369,mapel!$A$2:$B$42,2,FALSE))</f>
        <v>Sejarah</v>
      </c>
      <c r="AF1369">
        <f t="shared" si="63"/>
        <v>69</v>
      </c>
      <c r="AG1369" t="str">
        <f>IF(AF1369="","",IF(AF1369&gt;90,"Sangat baik",IF(AF1369&gt;79,"Baik",IF(AF1369&gt;=pub_gid_0_single_true_output_csv[[#This Row],[KKM]],"Cukup","Kurang"))))</f>
        <v>Cukup</v>
      </c>
      <c r="AH1369">
        <f t="shared" si="64"/>
        <v>11</v>
      </c>
      <c r="AI1369" s="30" t="str">
        <f>IF(OR(J1369&lt;&gt;"Karakter",pub_gid_0_single_true_output_csv[[#This Row],[Nilai2]]=""),"",IF(AF1369&gt;89,"Sangat baik",IF(AF1369&gt;79,"Baik",IF(AF1369&gt;69,"Cukup",IF(AF1369&gt;59,"Kurang","Sangat kurang")))))</f>
        <v>Kurang</v>
      </c>
      <c r="AJ1369" t="str">
        <f t="shared" si="65"/>
        <v>Wk.7</v>
      </c>
      <c r="AK1369" t="str">
        <f>IF(pub_gid_0_single_true_output_csv[[#This Row],[Nilai2]]="","",VLOOKUP(pub_gid_0_single_true_output_csv[[#This Row],[NAMA]],Table7[],3,FALSE))</f>
        <v>Average</v>
      </c>
    </row>
    <row r="1370" spans="1:37" x14ac:dyDescent="0.2">
      <c r="A1370">
        <v>1369</v>
      </c>
      <c r="B1370" t="s">
        <v>296</v>
      </c>
      <c r="C1370" t="s">
        <v>54</v>
      </c>
      <c r="D1370" t="s">
        <v>48</v>
      </c>
      <c r="E1370" t="s">
        <v>140</v>
      </c>
      <c r="F1370" s="25">
        <v>46064</v>
      </c>
      <c r="G1370" t="s">
        <v>352</v>
      </c>
      <c r="H1370" t="s">
        <v>412</v>
      </c>
      <c r="I1370" t="s">
        <v>371</v>
      </c>
      <c r="J1370" t="s">
        <v>279</v>
      </c>
      <c r="K1370" t="s">
        <v>280</v>
      </c>
      <c r="L1370" t="s">
        <v>322</v>
      </c>
      <c r="M1370" t="s">
        <v>141</v>
      </c>
      <c r="N1370" t="s">
        <v>142</v>
      </c>
      <c r="O1370" t="s">
        <v>155</v>
      </c>
      <c r="P1370" t="s">
        <v>281</v>
      </c>
      <c r="Q1370" t="s">
        <v>155</v>
      </c>
      <c r="R1370" t="s">
        <v>302</v>
      </c>
      <c r="S1370" t="s">
        <v>380</v>
      </c>
      <c r="T1370">
        <v>3</v>
      </c>
      <c r="U1370" t="s">
        <v>159</v>
      </c>
      <c r="V1370" t="s">
        <v>381</v>
      </c>
      <c r="W1370" t="s">
        <v>438</v>
      </c>
      <c r="X1370" t="s">
        <v>306</v>
      </c>
      <c r="Y1370" t="s">
        <v>307</v>
      </c>
      <c r="Z1370">
        <v>65</v>
      </c>
      <c r="AA1370">
        <v>65</v>
      </c>
      <c r="AB1370" t="s">
        <v>143</v>
      </c>
      <c r="AC1370" t="s">
        <v>53</v>
      </c>
      <c r="AD1370" t="s">
        <v>404</v>
      </c>
      <c r="AE1370" t="str">
        <f>IF(AF1370="","",VLOOKUP(AC1370,mapel!$A$2:$B$42,2,FALSE))</f>
        <v>Sejarah</v>
      </c>
      <c r="AF1370">
        <f t="shared" si="63"/>
        <v>65</v>
      </c>
      <c r="AG1370" t="str">
        <f>IF(AF1370="","",IF(AF1370&gt;90,"Sangat baik",IF(AF1370&gt;79,"Baik",IF(AF1370&gt;=pub_gid_0_single_true_output_csv[[#This Row],[KKM]],"Cukup","Kurang"))))</f>
        <v>Cukup</v>
      </c>
      <c r="AH1370">
        <f t="shared" si="64"/>
        <v>11</v>
      </c>
      <c r="AI1370" s="30" t="str">
        <f>IF(OR(J1370&lt;&gt;"Karakter",pub_gid_0_single_true_output_csv[[#This Row],[Nilai2]]=""),"",IF(AF1370&gt;89,"Sangat baik",IF(AF1370&gt;79,"Baik",IF(AF1370&gt;69,"Cukup",IF(AF1370&gt;59,"Kurang","Sangat kurang")))))</f>
        <v/>
      </c>
      <c r="AJ1370" t="str">
        <f t="shared" si="65"/>
        <v>Wk.7</v>
      </c>
      <c r="AK1370" t="str">
        <f>IF(pub_gid_0_single_true_output_csv[[#This Row],[Nilai2]]="","",VLOOKUP(pub_gid_0_single_true_output_csv[[#This Row],[NAMA]],Table7[],3,FALSE))</f>
        <v>Average</v>
      </c>
    </row>
    <row r="1371" spans="1:37" x14ac:dyDescent="0.2">
      <c r="A1371">
        <v>1370</v>
      </c>
      <c r="B1371" t="s">
        <v>296</v>
      </c>
      <c r="C1371" t="s">
        <v>54</v>
      </c>
      <c r="D1371" t="s">
        <v>48</v>
      </c>
      <c r="E1371" t="s">
        <v>140</v>
      </c>
      <c r="F1371" s="25">
        <v>46071</v>
      </c>
      <c r="G1371" t="s">
        <v>323</v>
      </c>
      <c r="H1371" t="s">
        <v>412</v>
      </c>
      <c r="I1371" t="s">
        <v>371</v>
      </c>
      <c r="J1371" t="s">
        <v>36</v>
      </c>
      <c r="K1371" t="s">
        <v>362</v>
      </c>
      <c r="L1371" t="s">
        <v>363</v>
      </c>
      <c r="M1371" t="s">
        <v>141</v>
      </c>
      <c r="N1371" t="s">
        <v>142</v>
      </c>
      <c r="O1371" t="s">
        <v>155</v>
      </c>
      <c r="P1371" t="s">
        <v>281</v>
      </c>
      <c r="Q1371" t="s">
        <v>155</v>
      </c>
      <c r="R1371" t="s">
        <v>302</v>
      </c>
      <c r="S1371" t="s">
        <v>309</v>
      </c>
      <c r="T1371">
        <v>1</v>
      </c>
      <c r="U1371" t="s">
        <v>435</v>
      </c>
      <c r="V1371" t="s">
        <v>285</v>
      </c>
      <c r="W1371" t="s">
        <v>436</v>
      </c>
      <c r="X1371" t="s">
        <v>306</v>
      </c>
      <c r="Y1371" t="s">
        <v>307</v>
      </c>
      <c r="Z1371">
        <v>65</v>
      </c>
      <c r="AA1371">
        <v>60</v>
      </c>
      <c r="AB1371" t="s">
        <v>151</v>
      </c>
      <c r="AC1371" t="s">
        <v>53</v>
      </c>
      <c r="AD1371" t="s">
        <v>404</v>
      </c>
      <c r="AE1371" t="str">
        <f>IF(AF1371="","",VLOOKUP(AC1371,mapel!$A$2:$B$42,2,FALSE))</f>
        <v>Sejarah</v>
      </c>
      <c r="AF1371">
        <f t="shared" si="63"/>
        <v>60</v>
      </c>
      <c r="AG1371" t="str">
        <f>IF(AF1371="","",IF(AF1371&gt;90,"Sangat baik",IF(AF1371&gt;79,"Baik",IF(AF1371&gt;=pub_gid_0_single_true_output_csv[[#This Row],[KKM]],"Cukup","Kurang"))))</f>
        <v>Kurang</v>
      </c>
      <c r="AH1371">
        <f t="shared" si="64"/>
        <v>11</v>
      </c>
      <c r="AI1371" s="30" t="str">
        <f>IF(OR(J1371&lt;&gt;"Karakter",pub_gid_0_single_true_output_csv[[#This Row],[Nilai2]]=""),"",IF(AF1371&gt;89,"Sangat baik",IF(AF1371&gt;79,"Baik",IF(AF1371&gt;69,"Cukup",IF(AF1371&gt;59,"Kurang","Sangat kurang")))))</f>
        <v/>
      </c>
      <c r="AJ1371" t="str">
        <f t="shared" si="65"/>
        <v>Wk.8</v>
      </c>
      <c r="AK1371" t="str">
        <f>IF(pub_gid_0_single_true_output_csv[[#This Row],[Nilai2]]="","",VLOOKUP(pub_gid_0_single_true_output_csv[[#This Row],[NAMA]],Table7[],3,FALSE))</f>
        <v>Average</v>
      </c>
    </row>
    <row r="1372" spans="1:37" x14ac:dyDescent="0.2">
      <c r="A1372">
        <v>1371</v>
      </c>
      <c r="B1372" t="s">
        <v>296</v>
      </c>
      <c r="C1372" t="s">
        <v>54</v>
      </c>
      <c r="D1372" t="s">
        <v>48</v>
      </c>
      <c r="E1372" t="s">
        <v>140</v>
      </c>
      <c r="F1372" s="25">
        <v>46071</v>
      </c>
      <c r="G1372" t="s">
        <v>323</v>
      </c>
      <c r="H1372" t="s">
        <v>412</v>
      </c>
      <c r="I1372" t="s">
        <v>371</v>
      </c>
      <c r="J1372" t="s">
        <v>90</v>
      </c>
      <c r="K1372" t="s">
        <v>92</v>
      </c>
      <c r="L1372" t="s">
        <v>93</v>
      </c>
      <c r="M1372" t="s">
        <v>141</v>
      </c>
      <c r="N1372" t="s">
        <v>142</v>
      </c>
      <c r="O1372" t="s">
        <v>155</v>
      </c>
      <c r="P1372" t="s">
        <v>281</v>
      </c>
      <c r="Q1372" t="s">
        <v>155</v>
      </c>
      <c r="R1372" t="s">
        <v>302</v>
      </c>
      <c r="S1372" t="s">
        <v>309</v>
      </c>
      <c r="T1372">
        <v>1</v>
      </c>
      <c r="U1372" t="s">
        <v>435</v>
      </c>
      <c r="V1372" t="s">
        <v>285</v>
      </c>
      <c r="W1372" t="s">
        <v>436</v>
      </c>
      <c r="X1372" t="s">
        <v>306</v>
      </c>
      <c r="Y1372" t="s">
        <v>307</v>
      </c>
      <c r="Z1372">
        <v>65</v>
      </c>
      <c r="AA1372">
        <v>70</v>
      </c>
      <c r="AB1372" t="s">
        <v>143</v>
      </c>
      <c r="AC1372" t="s">
        <v>53</v>
      </c>
      <c r="AD1372" t="s">
        <v>404</v>
      </c>
      <c r="AE1372" t="str">
        <f>IF(AF1372="","",VLOOKUP(AC1372,mapel!$A$2:$B$42,2,FALSE))</f>
        <v>Sejarah</v>
      </c>
      <c r="AF1372">
        <f t="shared" si="63"/>
        <v>70</v>
      </c>
      <c r="AG1372" t="str">
        <f>IF(AF1372="","",IF(AF1372&gt;90,"Sangat baik",IF(AF1372&gt;79,"Baik",IF(AF1372&gt;=pub_gid_0_single_true_output_csv[[#This Row],[KKM]],"Cukup","Kurang"))))</f>
        <v>Cukup</v>
      </c>
      <c r="AH1372">
        <f t="shared" si="64"/>
        <v>11</v>
      </c>
      <c r="AI1372" s="30" t="str">
        <f>IF(OR(J1372&lt;&gt;"Karakter",pub_gid_0_single_true_output_csv[[#This Row],[Nilai2]]=""),"",IF(AF1372&gt;89,"Sangat baik",IF(AF1372&gt;79,"Baik",IF(AF1372&gt;69,"Cukup",IF(AF1372&gt;59,"Kurang","Sangat kurang")))))</f>
        <v>Cukup</v>
      </c>
      <c r="AJ1372" t="str">
        <f t="shared" si="65"/>
        <v>Wk.8</v>
      </c>
      <c r="AK1372" t="str">
        <f>IF(pub_gid_0_single_true_output_csv[[#This Row],[Nilai2]]="","",VLOOKUP(pub_gid_0_single_true_output_csv[[#This Row],[NAMA]],Table7[],3,FALSE))</f>
        <v>Average</v>
      </c>
    </row>
    <row r="1373" spans="1:37" x14ac:dyDescent="0.2">
      <c r="A1373">
        <v>1372</v>
      </c>
      <c r="B1373" t="s">
        <v>297</v>
      </c>
      <c r="C1373" t="s">
        <v>298</v>
      </c>
      <c r="D1373" t="s">
        <v>298</v>
      </c>
      <c r="E1373" t="s">
        <v>298</v>
      </c>
      <c r="F1373" s="25"/>
      <c r="G1373" t="s">
        <v>416</v>
      </c>
      <c r="H1373" t="s">
        <v>416</v>
      </c>
      <c r="I1373" t="s">
        <v>416</v>
      </c>
      <c r="J1373" t="s">
        <v>416</v>
      </c>
      <c r="K1373" t="s">
        <v>417</v>
      </c>
      <c r="L1373" t="s">
        <v>417</v>
      </c>
      <c r="M1373" t="s">
        <v>416</v>
      </c>
      <c r="N1373" t="s">
        <v>159</v>
      </c>
      <c r="O1373" t="s">
        <v>159</v>
      </c>
      <c r="P1373" t="s">
        <v>159</v>
      </c>
      <c r="Q1373" t="s">
        <v>300</v>
      </c>
      <c r="R1373" t="s">
        <v>300</v>
      </c>
      <c r="S1373" t="s">
        <v>416</v>
      </c>
      <c r="U1373" t="s">
        <v>159</v>
      </c>
      <c r="V1373" t="s">
        <v>418</v>
      </c>
      <c r="W1373" t="s">
        <v>297</v>
      </c>
      <c r="X1373" t="s">
        <v>416</v>
      </c>
      <c r="Y1373" t="s">
        <v>299</v>
      </c>
      <c r="Z1373">
        <v>65</v>
      </c>
      <c r="AB1373" t="s">
        <v>301</v>
      </c>
      <c r="AC1373" t="s">
        <v>164</v>
      </c>
      <c r="AD1373" t="s">
        <v>278</v>
      </c>
      <c r="AE1373" t="str">
        <f>IF(AF1373="","",VLOOKUP(AC1373,mapel!$A$2:$B$42,2,FALSE))</f>
        <v/>
      </c>
      <c r="AF1373" t="str">
        <f t="shared" si="63"/>
        <v/>
      </c>
      <c r="AG1373" t="str">
        <f>IF(AF1373="","",IF(AF1373&gt;90,"Sangat baik",IF(AF1373&gt;79,"Baik",IF(AF1373&gt;=pub_gid_0_single_true_output_csv[[#This Row],[KKM]],"Cukup","Kurang"))))</f>
        <v/>
      </c>
      <c r="AH1373" t="str">
        <f t="shared" si="64"/>
        <v/>
      </c>
      <c r="AI1373" s="30" t="str">
        <f>IF(OR(J1373&lt;&gt;"Karakter",pub_gid_0_single_true_output_csv[[#This Row],[Nilai2]]=""),"",IF(AF1373&gt;89,"Sangat baik",IF(AF1373&gt;79,"Baik",IF(AF1373&gt;69,"Cukup",IF(AF1373&gt;59,"Kurang","Sangat kurang")))))</f>
        <v/>
      </c>
      <c r="AJ1373" t="str">
        <f t="shared" si="65"/>
        <v/>
      </c>
      <c r="AK1373" t="str">
        <f>IF(pub_gid_0_single_true_output_csv[[#This Row],[Nilai2]]="","",VLOOKUP(pub_gid_0_single_true_output_csv[[#This Row],[NAMA]],Table7[],3,FALSE))</f>
        <v/>
      </c>
    </row>
    <row r="1374" spans="1:37" x14ac:dyDescent="0.2">
      <c r="A1374">
        <v>1373</v>
      </c>
      <c r="B1374" t="s">
        <v>282</v>
      </c>
      <c r="C1374" t="s">
        <v>54</v>
      </c>
      <c r="D1374" t="s">
        <v>283</v>
      </c>
      <c r="E1374" t="s">
        <v>140</v>
      </c>
      <c r="F1374" s="25">
        <v>46028</v>
      </c>
      <c r="G1374" t="s">
        <v>349</v>
      </c>
      <c r="H1374" t="s">
        <v>405</v>
      </c>
      <c r="I1374" t="s">
        <v>371</v>
      </c>
      <c r="J1374" t="s">
        <v>41</v>
      </c>
      <c r="K1374" t="s">
        <v>157</v>
      </c>
      <c r="L1374" t="s">
        <v>324</v>
      </c>
      <c r="M1374" t="s">
        <v>141</v>
      </c>
      <c r="N1374" t="s">
        <v>142</v>
      </c>
      <c r="O1374" t="s">
        <v>155</v>
      </c>
      <c r="P1374" t="s">
        <v>281</v>
      </c>
      <c r="Q1374" t="s">
        <v>155</v>
      </c>
      <c r="R1374" t="s">
        <v>302</v>
      </c>
      <c r="S1374" t="s">
        <v>355</v>
      </c>
      <c r="T1374">
        <v>2</v>
      </c>
      <c r="U1374" t="s">
        <v>384</v>
      </c>
      <c r="V1374" t="s">
        <v>303</v>
      </c>
      <c r="W1374" t="s">
        <v>385</v>
      </c>
      <c r="X1374" t="s">
        <v>306</v>
      </c>
      <c r="Y1374" t="s">
        <v>307</v>
      </c>
      <c r="Z1374">
        <v>65</v>
      </c>
      <c r="AA1374">
        <v>65</v>
      </c>
      <c r="AB1374" t="s">
        <v>143</v>
      </c>
      <c r="AC1374" t="s">
        <v>163</v>
      </c>
      <c r="AD1374" t="s">
        <v>426</v>
      </c>
      <c r="AE1374" t="str">
        <f>IF(AF1374="","",VLOOKUP(AC1374,mapel!$A$2:$B$42,2,FALSE))</f>
        <v>PKWU</v>
      </c>
      <c r="AF1374">
        <f t="shared" si="63"/>
        <v>65</v>
      </c>
      <c r="AG1374" t="str">
        <f>IF(AF1374="","",IF(AF1374&gt;90,"Sangat baik",IF(AF1374&gt;79,"Baik",IF(AF1374&gt;=pub_gid_0_single_true_output_csv[[#This Row],[KKM]],"Cukup","Kurang"))))</f>
        <v>Cukup</v>
      </c>
      <c r="AH1374">
        <f t="shared" si="64"/>
        <v>11</v>
      </c>
      <c r="AI1374" s="30" t="str">
        <f>IF(OR(J1374&lt;&gt;"Karakter",pub_gid_0_single_true_output_csv[[#This Row],[Nilai2]]=""),"",IF(AF1374&gt;89,"Sangat baik",IF(AF1374&gt;79,"Baik",IF(AF1374&gt;69,"Cukup",IF(AF1374&gt;59,"Kurang","Sangat kurang")))))</f>
        <v/>
      </c>
      <c r="AJ1374" t="str">
        <f t="shared" si="65"/>
        <v>Wk.2</v>
      </c>
      <c r="AK1374" t="e">
        <f>IF(pub_gid_0_single_true_output_csv[[#This Row],[Nilai2]]="","",VLOOKUP(pub_gid_0_single_true_output_csv[[#This Row],[NAMA]],Table7[],3,FALSE))</f>
        <v>#N/A</v>
      </c>
    </row>
    <row r="1375" spans="1:37" x14ac:dyDescent="0.2">
      <c r="A1375">
        <v>1374</v>
      </c>
      <c r="B1375" t="s">
        <v>282</v>
      </c>
      <c r="C1375" t="s">
        <v>54</v>
      </c>
      <c r="D1375" t="s">
        <v>283</v>
      </c>
      <c r="E1375" t="s">
        <v>140</v>
      </c>
      <c r="F1375" s="25">
        <v>46042</v>
      </c>
      <c r="G1375" t="s">
        <v>474</v>
      </c>
      <c r="H1375" t="s">
        <v>405</v>
      </c>
      <c r="I1375" t="s">
        <v>371</v>
      </c>
      <c r="J1375" t="s">
        <v>41</v>
      </c>
      <c r="K1375" t="s">
        <v>272</v>
      </c>
      <c r="L1375" t="s">
        <v>322</v>
      </c>
      <c r="M1375" t="s">
        <v>141</v>
      </c>
      <c r="N1375" t="s">
        <v>142</v>
      </c>
      <c r="O1375" t="s">
        <v>155</v>
      </c>
      <c r="P1375" t="s">
        <v>281</v>
      </c>
      <c r="Q1375" t="s">
        <v>155</v>
      </c>
      <c r="R1375" t="s">
        <v>273</v>
      </c>
      <c r="S1375" t="s">
        <v>309</v>
      </c>
      <c r="T1375">
        <v>1</v>
      </c>
      <c r="U1375" t="s">
        <v>325</v>
      </c>
      <c r="V1375" t="s">
        <v>285</v>
      </c>
      <c r="W1375" t="s">
        <v>326</v>
      </c>
      <c r="X1375" t="s">
        <v>306</v>
      </c>
      <c r="Y1375" t="s">
        <v>307</v>
      </c>
      <c r="Z1375">
        <v>65</v>
      </c>
      <c r="AA1375">
        <v>74</v>
      </c>
      <c r="AB1375" t="s">
        <v>143</v>
      </c>
      <c r="AC1375" t="s">
        <v>163</v>
      </c>
      <c r="AD1375" t="s">
        <v>426</v>
      </c>
      <c r="AE1375" t="str">
        <f>IF(AF1375="","",VLOOKUP(AC1375,mapel!$A$2:$B$42,2,FALSE))</f>
        <v>PKWU</v>
      </c>
      <c r="AF1375">
        <f t="shared" si="63"/>
        <v>74</v>
      </c>
      <c r="AG1375" t="str">
        <f>IF(AF1375="","",IF(AF1375&gt;90,"Sangat baik",IF(AF1375&gt;79,"Baik",IF(AF1375&gt;=pub_gid_0_single_true_output_csv[[#This Row],[KKM]],"Cukup","Kurang"))))</f>
        <v>Cukup</v>
      </c>
      <c r="AH1375">
        <f t="shared" si="64"/>
        <v>11</v>
      </c>
      <c r="AI1375" s="30" t="str">
        <f>IF(OR(J1375&lt;&gt;"Karakter",pub_gid_0_single_true_output_csv[[#This Row],[Nilai2]]=""),"",IF(AF1375&gt;89,"Sangat baik",IF(AF1375&gt;79,"Baik",IF(AF1375&gt;69,"Cukup",IF(AF1375&gt;59,"Kurang","Sangat kurang")))))</f>
        <v/>
      </c>
      <c r="AJ1375" t="str">
        <f t="shared" si="65"/>
        <v>Wk.4</v>
      </c>
      <c r="AK1375" t="e">
        <f>IF(pub_gid_0_single_true_output_csv[[#This Row],[Nilai2]]="","",VLOOKUP(pub_gid_0_single_true_output_csv[[#This Row],[NAMA]],Table7[],3,FALSE))</f>
        <v>#N/A</v>
      </c>
    </row>
    <row r="1376" spans="1:37" x14ac:dyDescent="0.2">
      <c r="A1376">
        <v>1375</v>
      </c>
      <c r="B1376" t="s">
        <v>286</v>
      </c>
      <c r="C1376" t="s">
        <v>54</v>
      </c>
      <c r="D1376" t="s">
        <v>33</v>
      </c>
      <c r="E1376" t="s">
        <v>140</v>
      </c>
      <c r="F1376" s="25">
        <v>46028</v>
      </c>
      <c r="G1376" t="s">
        <v>349</v>
      </c>
      <c r="H1376" t="s">
        <v>405</v>
      </c>
      <c r="I1376" t="s">
        <v>371</v>
      </c>
      <c r="J1376" t="s">
        <v>41</v>
      </c>
      <c r="K1376" t="s">
        <v>157</v>
      </c>
      <c r="L1376" t="s">
        <v>324</v>
      </c>
      <c r="M1376" t="s">
        <v>141</v>
      </c>
      <c r="N1376" t="s">
        <v>142</v>
      </c>
      <c r="O1376" t="s">
        <v>155</v>
      </c>
      <c r="P1376" t="s">
        <v>281</v>
      </c>
      <c r="Q1376" t="s">
        <v>155</v>
      </c>
      <c r="R1376" t="s">
        <v>302</v>
      </c>
      <c r="S1376" t="s">
        <v>355</v>
      </c>
      <c r="T1376">
        <v>2</v>
      </c>
      <c r="U1376" t="s">
        <v>384</v>
      </c>
      <c r="V1376" t="s">
        <v>303</v>
      </c>
      <c r="W1376" t="s">
        <v>385</v>
      </c>
      <c r="X1376" t="s">
        <v>306</v>
      </c>
      <c r="Y1376" t="s">
        <v>307</v>
      </c>
      <c r="Z1376">
        <v>65</v>
      </c>
      <c r="AA1376">
        <v>65</v>
      </c>
      <c r="AB1376" t="s">
        <v>143</v>
      </c>
      <c r="AC1376" t="s">
        <v>163</v>
      </c>
      <c r="AD1376" t="s">
        <v>426</v>
      </c>
      <c r="AE1376" t="str">
        <f>IF(AF1376="","",VLOOKUP(AC1376,mapel!$A$2:$B$42,2,FALSE))</f>
        <v>PKWU</v>
      </c>
      <c r="AF1376">
        <f t="shared" si="63"/>
        <v>65</v>
      </c>
      <c r="AG1376" t="str">
        <f>IF(AF1376="","",IF(AF1376&gt;90,"Sangat baik",IF(AF1376&gt;79,"Baik",IF(AF1376&gt;=pub_gid_0_single_true_output_csv[[#This Row],[KKM]],"Cukup","Kurang"))))</f>
        <v>Cukup</v>
      </c>
      <c r="AH1376">
        <f t="shared" si="64"/>
        <v>11</v>
      </c>
      <c r="AI1376" s="30" t="str">
        <f>IF(OR(J1376&lt;&gt;"Karakter",pub_gid_0_single_true_output_csv[[#This Row],[Nilai2]]=""),"",IF(AF1376&gt;89,"Sangat baik",IF(AF1376&gt;79,"Baik",IF(AF1376&gt;69,"Cukup",IF(AF1376&gt;59,"Kurang","Sangat kurang")))))</f>
        <v/>
      </c>
      <c r="AJ1376" t="str">
        <f t="shared" si="65"/>
        <v>Wk.2</v>
      </c>
      <c r="AK1376" t="str">
        <f>IF(pub_gid_0_single_true_output_csv[[#This Row],[Nilai2]]="","",VLOOKUP(pub_gid_0_single_true_output_csv[[#This Row],[NAMA]],Table7[],3,FALSE))</f>
        <v>Extremely low</v>
      </c>
    </row>
    <row r="1377" spans="1:37" x14ac:dyDescent="0.2">
      <c r="A1377">
        <v>1376</v>
      </c>
      <c r="B1377" t="s">
        <v>286</v>
      </c>
      <c r="C1377" t="s">
        <v>54</v>
      </c>
      <c r="D1377" t="s">
        <v>33</v>
      </c>
      <c r="E1377" t="s">
        <v>140</v>
      </c>
      <c r="F1377" s="25">
        <v>46042</v>
      </c>
      <c r="G1377" t="s">
        <v>474</v>
      </c>
      <c r="H1377" t="s">
        <v>405</v>
      </c>
      <c r="I1377" t="s">
        <v>371</v>
      </c>
      <c r="J1377" t="s">
        <v>41</v>
      </c>
      <c r="K1377" t="s">
        <v>272</v>
      </c>
      <c r="L1377" t="s">
        <v>322</v>
      </c>
      <c r="M1377" t="s">
        <v>141</v>
      </c>
      <c r="N1377" t="s">
        <v>142</v>
      </c>
      <c r="O1377" t="s">
        <v>155</v>
      </c>
      <c r="P1377" t="s">
        <v>281</v>
      </c>
      <c r="Q1377" t="s">
        <v>155</v>
      </c>
      <c r="R1377" t="s">
        <v>273</v>
      </c>
      <c r="S1377" t="s">
        <v>309</v>
      </c>
      <c r="T1377">
        <v>1</v>
      </c>
      <c r="U1377" t="s">
        <v>325</v>
      </c>
      <c r="V1377" t="s">
        <v>285</v>
      </c>
      <c r="W1377" t="s">
        <v>326</v>
      </c>
      <c r="X1377" t="s">
        <v>306</v>
      </c>
      <c r="Y1377" t="s">
        <v>307</v>
      </c>
      <c r="Z1377">
        <v>65</v>
      </c>
      <c r="AA1377">
        <v>80</v>
      </c>
      <c r="AB1377" t="s">
        <v>143</v>
      </c>
      <c r="AC1377" t="s">
        <v>163</v>
      </c>
      <c r="AD1377" t="s">
        <v>426</v>
      </c>
      <c r="AE1377" t="str">
        <f>IF(AF1377="","",VLOOKUP(AC1377,mapel!$A$2:$B$42,2,FALSE))</f>
        <v>PKWU</v>
      </c>
      <c r="AF1377">
        <f t="shared" si="63"/>
        <v>80</v>
      </c>
      <c r="AG1377" t="str">
        <f>IF(AF1377="","",IF(AF1377&gt;90,"Sangat baik",IF(AF1377&gt;79,"Baik",IF(AF1377&gt;=pub_gid_0_single_true_output_csv[[#This Row],[KKM]],"Cukup","Kurang"))))</f>
        <v>Baik</v>
      </c>
      <c r="AH1377">
        <f t="shared" si="64"/>
        <v>11</v>
      </c>
      <c r="AI1377" s="30" t="str">
        <f>IF(OR(J1377&lt;&gt;"Karakter",pub_gid_0_single_true_output_csv[[#This Row],[Nilai2]]=""),"",IF(AF1377&gt;89,"Sangat baik",IF(AF1377&gt;79,"Baik",IF(AF1377&gt;69,"Cukup",IF(AF1377&gt;59,"Kurang","Sangat kurang")))))</f>
        <v/>
      </c>
      <c r="AJ1377" t="str">
        <f t="shared" si="65"/>
        <v>Wk.4</v>
      </c>
      <c r="AK1377" t="str">
        <f>IF(pub_gid_0_single_true_output_csv[[#This Row],[Nilai2]]="","",VLOOKUP(pub_gid_0_single_true_output_csv[[#This Row],[NAMA]],Table7[],3,FALSE))</f>
        <v>Extremely low</v>
      </c>
    </row>
    <row r="1378" spans="1:37" x14ac:dyDescent="0.2">
      <c r="A1378">
        <v>1377</v>
      </c>
      <c r="B1378" t="s">
        <v>286</v>
      </c>
      <c r="C1378" t="s">
        <v>54</v>
      </c>
      <c r="D1378" t="s">
        <v>33</v>
      </c>
      <c r="E1378" t="s">
        <v>140</v>
      </c>
      <c r="F1378" s="25">
        <v>46063</v>
      </c>
      <c r="G1378" t="s">
        <v>374</v>
      </c>
      <c r="H1378" t="s">
        <v>412</v>
      </c>
      <c r="I1378" t="s">
        <v>371</v>
      </c>
      <c r="J1378" t="s">
        <v>41</v>
      </c>
      <c r="K1378" t="s">
        <v>157</v>
      </c>
      <c r="L1378" t="s">
        <v>383</v>
      </c>
      <c r="M1378" t="s">
        <v>141</v>
      </c>
      <c r="N1378" t="s">
        <v>142</v>
      </c>
      <c r="O1378" t="s">
        <v>155</v>
      </c>
      <c r="P1378" t="s">
        <v>281</v>
      </c>
      <c r="Q1378" t="s">
        <v>155</v>
      </c>
      <c r="R1378" t="s">
        <v>273</v>
      </c>
      <c r="S1378" t="s">
        <v>309</v>
      </c>
      <c r="T1378">
        <v>1</v>
      </c>
      <c r="U1378" t="s">
        <v>325</v>
      </c>
      <c r="V1378" t="s">
        <v>285</v>
      </c>
      <c r="W1378" t="s">
        <v>326</v>
      </c>
      <c r="X1378" t="s">
        <v>306</v>
      </c>
      <c r="Y1378" t="s">
        <v>307</v>
      </c>
      <c r="Z1378">
        <v>65</v>
      </c>
      <c r="AA1378">
        <v>80</v>
      </c>
      <c r="AB1378" t="s">
        <v>143</v>
      </c>
      <c r="AC1378" t="s">
        <v>163</v>
      </c>
      <c r="AD1378" t="s">
        <v>426</v>
      </c>
      <c r="AE1378" t="str">
        <f>IF(AF1378="","",VLOOKUP(AC1378,mapel!$A$2:$B$42,2,FALSE))</f>
        <v>PKWU</v>
      </c>
      <c r="AF1378">
        <f t="shared" si="63"/>
        <v>80</v>
      </c>
      <c r="AG1378" t="str">
        <f>IF(AF1378="","",IF(AF1378&gt;90,"Sangat baik",IF(AF1378&gt;79,"Baik",IF(AF1378&gt;=pub_gid_0_single_true_output_csv[[#This Row],[KKM]],"Cukup","Kurang"))))</f>
        <v>Baik</v>
      </c>
      <c r="AH1378">
        <f t="shared" si="64"/>
        <v>11</v>
      </c>
      <c r="AI1378" s="30" t="str">
        <f>IF(OR(J1378&lt;&gt;"Karakter",pub_gid_0_single_true_output_csv[[#This Row],[Nilai2]]=""),"",IF(AF1378&gt;89,"Sangat baik",IF(AF1378&gt;79,"Baik",IF(AF1378&gt;69,"Cukup",IF(AF1378&gt;59,"Kurang","Sangat kurang")))))</f>
        <v/>
      </c>
      <c r="AJ1378" t="str">
        <f t="shared" si="65"/>
        <v>Wk.7</v>
      </c>
      <c r="AK1378" t="str">
        <f>IF(pub_gid_0_single_true_output_csv[[#This Row],[Nilai2]]="","",VLOOKUP(pub_gid_0_single_true_output_csv[[#This Row],[NAMA]],Table7[],3,FALSE))</f>
        <v>Extremely low</v>
      </c>
    </row>
    <row r="1379" spans="1:37" x14ac:dyDescent="0.2">
      <c r="A1379">
        <v>1378</v>
      </c>
      <c r="B1379" t="s">
        <v>287</v>
      </c>
      <c r="C1379" t="s">
        <v>54</v>
      </c>
      <c r="D1379" t="s">
        <v>34</v>
      </c>
      <c r="E1379" t="s">
        <v>140</v>
      </c>
      <c r="F1379" s="25">
        <v>46028</v>
      </c>
      <c r="G1379" t="s">
        <v>349</v>
      </c>
      <c r="H1379" t="s">
        <v>405</v>
      </c>
      <c r="I1379" t="s">
        <v>371</v>
      </c>
      <c r="J1379" t="s">
        <v>41</v>
      </c>
      <c r="K1379" t="s">
        <v>157</v>
      </c>
      <c r="L1379" t="s">
        <v>324</v>
      </c>
      <c r="M1379" t="s">
        <v>141</v>
      </c>
      <c r="N1379" t="s">
        <v>142</v>
      </c>
      <c r="O1379" t="s">
        <v>155</v>
      </c>
      <c r="P1379" t="s">
        <v>281</v>
      </c>
      <c r="Q1379" t="s">
        <v>155</v>
      </c>
      <c r="R1379" t="s">
        <v>302</v>
      </c>
      <c r="S1379" t="s">
        <v>355</v>
      </c>
      <c r="T1379">
        <v>2</v>
      </c>
      <c r="U1379" t="s">
        <v>384</v>
      </c>
      <c r="V1379" t="s">
        <v>303</v>
      </c>
      <c r="W1379" t="s">
        <v>385</v>
      </c>
      <c r="X1379" t="s">
        <v>306</v>
      </c>
      <c r="Y1379" t="s">
        <v>307</v>
      </c>
      <c r="Z1379">
        <v>65</v>
      </c>
      <c r="AA1379">
        <v>80</v>
      </c>
      <c r="AB1379" t="s">
        <v>143</v>
      </c>
      <c r="AC1379" t="s">
        <v>163</v>
      </c>
      <c r="AD1379" t="s">
        <v>426</v>
      </c>
      <c r="AE1379" t="str">
        <f>IF(AF1379="","",VLOOKUP(AC1379,mapel!$A$2:$B$42,2,FALSE))</f>
        <v>PKWU</v>
      </c>
      <c r="AF1379">
        <f t="shared" si="63"/>
        <v>80</v>
      </c>
      <c r="AG1379" t="str">
        <f>IF(AF1379="","",IF(AF1379&gt;90,"Sangat baik",IF(AF1379&gt;79,"Baik",IF(AF1379&gt;=pub_gid_0_single_true_output_csv[[#This Row],[KKM]],"Cukup","Kurang"))))</f>
        <v>Baik</v>
      </c>
      <c r="AH1379">
        <f t="shared" si="64"/>
        <v>11</v>
      </c>
      <c r="AI1379" s="30" t="str">
        <f>IF(OR(J1379&lt;&gt;"Karakter",pub_gid_0_single_true_output_csv[[#This Row],[Nilai2]]=""),"",IF(AF1379&gt;89,"Sangat baik",IF(AF1379&gt;79,"Baik",IF(AF1379&gt;69,"Cukup",IF(AF1379&gt;59,"Kurang","Sangat kurang")))))</f>
        <v/>
      </c>
      <c r="AJ1379" t="str">
        <f t="shared" si="65"/>
        <v>Wk.2</v>
      </c>
      <c r="AK1379" t="str">
        <f>IF(pub_gid_0_single_true_output_csv[[#This Row],[Nilai2]]="","",VLOOKUP(pub_gid_0_single_true_output_csv[[#This Row],[NAMA]],Table7[],3,FALSE))</f>
        <v>Average</v>
      </c>
    </row>
    <row r="1380" spans="1:37" x14ac:dyDescent="0.2">
      <c r="A1380">
        <v>1379</v>
      </c>
      <c r="B1380" t="s">
        <v>287</v>
      </c>
      <c r="C1380" t="s">
        <v>54</v>
      </c>
      <c r="D1380" t="s">
        <v>34</v>
      </c>
      <c r="E1380" t="s">
        <v>140</v>
      </c>
      <c r="F1380" s="25">
        <v>46042</v>
      </c>
      <c r="G1380" t="s">
        <v>474</v>
      </c>
      <c r="H1380" t="s">
        <v>405</v>
      </c>
      <c r="I1380" t="s">
        <v>371</v>
      </c>
      <c r="J1380" t="s">
        <v>41</v>
      </c>
      <c r="K1380" t="s">
        <v>272</v>
      </c>
      <c r="L1380" t="s">
        <v>322</v>
      </c>
      <c r="M1380" t="s">
        <v>141</v>
      </c>
      <c r="N1380" t="s">
        <v>142</v>
      </c>
      <c r="O1380" t="s">
        <v>155</v>
      </c>
      <c r="P1380" t="s">
        <v>281</v>
      </c>
      <c r="Q1380" t="s">
        <v>155</v>
      </c>
      <c r="R1380" t="s">
        <v>273</v>
      </c>
      <c r="S1380" t="s">
        <v>309</v>
      </c>
      <c r="T1380">
        <v>1</v>
      </c>
      <c r="U1380" t="s">
        <v>325</v>
      </c>
      <c r="V1380" t="s">
        <v>285</v>
      </c>
      <c r="W1380" t="s">
        <v>326</v>
      </c>
      <c r="X1380" t="s">
        <v>306</v>
      </c>
      <c r="Y1380" t="s">
        <v>307</v>
      </c>
      <c r="Z1380">
        <v>65</v>
      </c>
      <c r="AA1380">
        <v>70</v>
      </c>
      <c r="AB1380" t="s">
        <v>143</v>
      </c>
      <c r="AC1380" t="s">
        <v>163</v>
      </c>
      <c r="AD1380" t="s">
        <v>426</v>
      </c>
      <c r="AE1380" t="str">
        <f>IF(AF1380="","",VLOOKUP(AC1380,mapel!$A$2:$B$42,2,FALSE))</f>
        <v>PKWU</v>
      </c>
      <c r="AF1380">
        <f t="shared" si="63"/>
        <v>70</v>
      </c>
      <c r="AG1380" t="str">
        <f>IF(AF1380="","",IF(AF1380&gt;90,"Sangat baik",IF(AF1380&gt;79,"Baik",IF(AF1380&gt;=pub_gid_0_single_true_output_csv[[#This Row],[KKM]],"Cukup","Kurang"))))</f>
        <v>Cukup</v>
      </c>
      <c r="AH1380">
        <f t="shared" si="64"/>
        <v>11</v>
      </c>
      <c r="AI1380" s="30" t="str">
        <f>IF(OR(J1380&lt;&gt;"Karakter",pub_gid_0_single_true_output_csv[[#This Row],[Nilai2]]=""),"",IF(AF1380&gt;89,"Sangat baik",IF(AF1380&gt;79,"Baik",IF(AF1380&gt;69,"Cukup",IF(AF1380&gt;59,"Kurang","Sangat kurang")))))</f>
        <v/>
      </c>
      <c r="AJ1380" t="str">
        <f t="shared" si="65"/>
        <v>Wk.4</v>
      </c>
      <c r="AK1380" t="str">
        <f>IF(pub_gid_0_single_true_output_csv[[#This Row],[Nilai2]]="","",VLOOKUP(pub_gid_0_single_true_output_csv[[#This Row],[NAMA]],Table7[],3,FALSE))</f>
        <v>Average</v>
      </c>
    </row>
    <row r="1381" spans="1:37" x14ac:dyDescent="0.2">
      <c r="A1381">
        <v>1380</v>
      </c>
      <c r="B1381" t="s">
        <v>287</v>
      </c>
      <c r="C1381" t="s">
        <v>54</v>
      </c>
      <c r="D1381" t="s">
        <v>34</v>
      </c>
      <c r="E1381" t="s">
        <v>140</v>
      </c>
      <c r="F1381" s="25">
        <v>46063</v>
      </c>
      <c r="G1381" t="s">
        <v>374</v>
      </c>
      <c r="H1381" t="s">
        <v>412</v>
      </c>
      <c r="I1381" t="s">
        <v>371</v>
      </c>
      <c r="J1381" t="s">
        <v>41</v>
      </c>
      <c r="K1381" t="s">
        <v>157</v>
      </c>
      <c r="L1381" t="s">
        <v>383</v>
      </c>
      <c r="M1381" t="s">
        <v>141</v>
      </c>
      <c r="N1381" t="s">
        <v>142</v>
      </c>
      <c r="O1381" t="s">
        <v>155</v>
      </c>
      <c r="P1381" t="s">
        <v>281</v>
      </c>
      <c r="Q1381" t="s">
        <v>155</v>
      </c>
      <c r="R1381" t="s">
        <v>273</v>
      </c>
      <c r="S1381" t="s">
        <v>309</v>
      </c>
      <c r="T1381">
        <v>1</v>
      </c>
      <c r="U1381" t="s">
        <v>325</v>
      </c>
      <c r="V1381" t="s">
        <v>285</v>
      </c>
      <c r="W1381" t="s">
        <v>326</v>
      </c>
      <c r="X1381" t="s">
        <v>306</v>
      </c>
      <c r="Y1381" t="s">
        <v>307</v>
      </c>
      <c r="Z1381">
        <v>65</v>
      </c>
      <c r="AA1381">
        <v>80</v>
      </c>
      <c r="AB1381" t="s">
        <v>143</v>
      </c>
      <c r="AC1381" t="s">
        <v>163</v>
      </c>
      <c r="AD1381" t="s">
        <v>426</v>
      </c>
      <c r="AE1381" t="str">
        <f>IF(AF1381="","",VLOOKUP(AC1381,mapel!$A$2:$B$42,2,FALSE))</f>
        <v>PKWU</v>
      </c>
      <c r="AF1381">
        <f t="shared" si="63"/>
        <v>80</v>
      </c>
      <c r="AG1381" t="str">
        <f>IF(AF1381="","",IF(AF1381&gt;90,"Sangat baik",IF(AF1381&gt;79,"Baik",IF(AF1381&gt;=pub_gid_0_single_true_output_csv[[#This Row],[KKM]],"Cukup","Kurang"))))</f>
        <v>Baik</v>
      </c>
      <c r="AH1381">
        <f t="shared" si="64"/>
        <v>11</v>
      </c>
      <c r="AI1381" s="30" t="str">
        <f>IF(OR(J1381&lt;&gt;"Karakter",pub_gid_0_single_true_output_csv[[#This Row],[Nilai2]]=""),"",IF(AF1381&gt;89,"Sangat baik",IF(AF1381&gt;79,"Baik",IF(AF1381&gt;69,"Cukup",IF(AF1381&gt;59,"Kurang","Sangat kurang")))))</f>
        <v/>
      </c>
      <c r="AJ1381" t="str">
        <f t="shared" si="65"/>
        <v>Wk.7</v>
      </c>
      <c r="AK1381" t="str">
        <f>IF(pub_gid_0_single_true_output_csv[[#This Row],[Nilai2]]="","",VLOOKUP(pub_gid_0_single_true_output_csv[[#This Row],[NAMA]],Table7[],3,FALSE))</f>
        <v>Average</v>
      </c>
    </row>
    <row r="1382" spans="1:37" x14ac:dyDescent="0.2">
      <c r="A1382">
        <v>1381</v>
      </c>
      <c r="B1382" t="s">
        <v>288</v>
      </c>
      <c r="C1382" t="s">
        <v>54</v>
      </c>
      <c r="D1382" t="s">
        <v>35</v>
      </c>
      <c r="E1382" t="s">
        <v>140</v>
      </c>
      <c r="F1382" s="25">
        <v>46028</v>
      </c>
      <c r="G1382" t="s">
        <v>349</v>
      </c>
      <c r="H1382" t="s">
        <v>405</v>
      </c>
      <c r="I1382" t="s">
        <v>371</v>
      </c>
      <c r="J1382" t="s">
        <v>41</v>
      </c>
      <c r="K1382" t="s">
        <v>157</v>
      </c>
      <c r="L1382" t="s">
        <v>324</v>
      </c>
      <c r="M1382" t="s">
        <v>141</v>
      </c>
      <c r="N1382" t="s">
        <v>142</v>
      </c>
      <c r="O1382" t="s">
        <v>155</v>
      </c>
      <c r="P1382" t="s">
        <v>281</v>
      </c>
      <c r="Q1382" t="s">
        <v>155</v>
      </c>
      <c r="R1382" t="s">
        <v>302</v>
      </c>
      <c r="S1382" t="s">
        <v>355</v>
      </c>
      <c r="T1382">
        <v>2</v>
      </c>
      <c r="U1382" t="s">
        <v>384</v>
      </c>
      <c r="V1382" t="s">
        <v>303</v>
      </c>
      <c r="W1382" t="s">
        <v>385</v>
      </c>
      <c r="X1382" t="s">
        <v>306</v>
      </c>
      <c r="Y1382" t="s">
        <v>307</v>
      </c>
      <c r="Z1382">
        <v>65</v>
      </c>
      <c r="AA1382">
        <v>65</v>
      </c>
      <c r="AB1382" t="s">
        <v>143</v>
      </c>
      <c r="AC1382" t="s">
        <v>163</v>
      </c>
      <c r="AD1382" t="s">
        <v>426</v>
      </c>
      <c r="AE1382" t="str">
        <f>IF(AF1382="","",VLOOKUP(AC1382,mapel!$A$2:$B$42,2,FALSE))</f>
        <v>PKWU</v>
      </c>
      <c r="AF1382">
        <f t="shared" si="63"/>
        <v>65</v>
      </c>
      <c r="AG1382" t="str">
        <f>IF(AF1382="","",IF(AF1382&gt;90,"Sangat baik",IF(AF1382&gt;79,"Baik",IF(AF1382&gt;=pub_gid_0_single_true_output_csv[[#This Row],[KKM]],"Cukup","Kurang"))))</f>
        <v>Cukup</v>
      </c>
      <c r="AH1382">
        <f t="shared" si="64"/>
        <v>11</v>
      </c>
      <c r="AI1382" s="30" t="str">
        <f>IF(OR(J1382&lt;&gt;"Karakter",pub_gid_0_single_true_output_csv[[#This Row],[Nilai2]]=""),"",IF(AF1382&gt;89,"Sangat baik",IF(AF1382&gt;79,"Baik",IF(AF1382&gt;69,"Cukup",IF(AF1382&gt;59,"Kurang","Sangat kurang")))))</f>
        <v/>
      </c>
      <c r="AJ1382" t="str">
        <f t="shared" si="65"/>
        <v>Wk.2</v>
      </c>
      <c r="AK1382" t="str">
        <f>IF(pub_gid_0_single_true_output_csv[[#This Row],[Nilai2]]="","",VLOOKUP(pub_gid_0_single_true_output_csv[[#This Row],[NAMA]],Table7[],3,FALSE))</f>
        <v>Extremely low</v>
      </c>
    </row>
    <row r="1383" spans="1:37" x14ac:dyDescent="0.2">
      <c r="A1383">
        <v>1382</v>
      </c>
      <c r="B1383" t="s">
        <v>288</v>
      </c>
      <c r="C1383" t="s">
        <v>54</v>
      </c>
      <c r="D1383" t="s">
        <v>35</v>
      </c>
      <c r="E1383" t="s">
        <v>140</v>
      </c>
      <c r="F1383" s="25">
        <v>46042</v>
      </c>
      <c r="G1383" t="s">
        <v>474</v>
      </c>
      <c r="H1383" t="s">
        <v>405</v>
      </c>
      <c r="I1383" t="s">
        <v>371</v>
      </c>
      <c r="J1383" t="s">
        <v>41</v>
      </c>
      <c r="K1383" t="s">
        <v>272</v>
      </c>
      <c r="L1383" t="s">
        <v>322</v>
      </c>
      <c r="M1383" t="s">
        <v>141</v>
      </c>
      <c r="N1383" t="s">
        <v>142</v>
      </c>
      <c r="O1383" t="s">
        <v>155</v>
      </c>
      <c r="P1383" t="s">
        <v>281</v>
      </c>
      <c r="Q1383" t="s">
        <v>155</v>
      </c>
      <c r="R1383" t="s">
        <v>273</v>
      </c>
      <c r="S1383" t="s">
        <v>309</v>
      </c>
      <c r="T1383">
        <v>1</v>
      </c>
      <c r="U1383" t="s">
        <v>325</v>
      </c>
      <c r="V1383" t="s">
        <v>285</v>
      </c>
      <c r="W1383" t="s">
        <v>326</v>
      </c>
      <c r="X1383" t="s">
        <v>306</v>
      </c>
      <c r="Y1383" t="s">
        <v>307</v>
      </c>
      <c r="Z1383">
        <v>65</v>
      </c>
      <c r="AA1383">
        <v>80</v>
      </c>
      <c r="AB1383" t="s">
        <v>143</v>
      </c>
      <c r="AC1383" t="s">
        <v>163</v>
      </c>
      <c r="AD1383" t="s">
        <v>426</v>
      </c>
      <c r="AE1383" t="str">
        <f>IF(AF1383="","",VLOOKUP(AC1383,mapel!$A$2:$B$42,2,FALSE))</f>
        <v>PKWU</v>
      </c>
      <c r="AF1383">
        <f t="shared" si="63"/>
        <v>80</v>
      </c>
      <c r="AG1383" t="str">
        <f>IF(AF1383="","",IF(AF1383&gt;90,"Sangat baik",IF(AF1383&gt;79,"Baik",IF(AF1383&gt;=pub_gid_0_single_true_output_csv[[#This Row],[KKM]],"Cukup","Kurang"))))</f>
        <v>Baik</v>
      </c>
      <c r="AH1383">
        <f t="shared" si="64"/>
        <v>11</v>
      </c>
      <c r="AI1383" s="30" t="str">
        <f>IF(OR(J1383&lt;&gt;"Karakter",pub_gid_0_single_true_output_csv[[#This Row],[Nilai2]]=""),"",IF(AF1383&gt;89,"Sangat baik",IF(AF1383&gt;79,"Baik",IF(AF1383&gt;69,"Cukup",IF(AF1383&gt;59,"Kurang","Sangat kurang")))))</f>
        <v/>
      </c>
      <c r="AJ1383" t="str">
        <f t="shared" si="65"/>
        <v>Wk.4</v>
      </c>
      <c r="AK1383" t="str">
        <f>IF(pub_gid_0_single_true_output_csv[[#This Row],[Nilai2]]="","",VLOOKUP(pub_gid_0_single_true_output_csv[[#This Row],[NAMA]],Table7[],3,FALSE))</f>
        <v>Extremely low</v>
      </c>
    </row>
    <row r="1384" spans="1:37" x14ac:dyDescent="0.2">
      <c r="A1384">
        <v>1383</v>
      </c>
      <c r="B1384" t="s">
        <v>288</v>
      </c>
      <c r="C1384" t="s">
        <v>54</v>
      </c>
      <c r="D1384" t="s">
        <v>35</v>
      </c>
      <c r="E1384" t="s">
        <v>140</v>
      </c>
      <c r="F1384" s="25">
        <v>46063</v>
      </c>
      <c r="G1384" t="s">
        <v>374</v>
      </c>
      <c r="H1384" t="s">
        <v>412</v>
      </c>
      <c r="I1384" t="s">
        <v>371</v>
      </c>
      <c r="J1384" t="s">
        <v>41</v>
      </c>
      <c r="K1384" t="s">
        <v>157</v>
      </c>
      <c r="L1384" t="s">
        <v>383</v>
      </c>
      <c r="M1384" t="s">
        <v>141</v>
      </c>
      <c r="N1384" t="s">
        <v>142</v>
      </c>
      <c r="O1384" t="s">
        <v>155</v>
      </c>
      <c r="P1384" t="s">
        <v>281</v>
      </c>
      <c r="Q1384" t="s">
        <v>155</v>
      </c>
      <c r="R1384" t="s">
        <v>273</v>
      </c>
      <c r="S1384" t="s">
        <v>309</v>
      </c>
      <c r="T1384">
        <v>1</v>
      </c>
      <c r="U1384" t="s">
        <v>325</v>
      </c>
      <c r="V1384" t="s">
        <v>285</v>
      </c>
      <c r="W1384" t="s">
        <v>326</v>
      </c>
      <c r="X1384" t="s">
        <v>306</v>
      </c>
      <c r="Y1384" t="s">
        <v>307</v>
      </c>
      <c r="Z1384">
        <v>65</v>
      </c>
      <c r="AA1384">
        <v>80</v>
      </c>
      <c r="AB1384" t="s">
        <v>143</v>
      </c>
      <c r="AC1384" t="s">
        <v>163</v>
      </c>
      <c r="AD1384" t="s">
        <v>426</v>
      </c>
      <c r="AE1384" t="str">
        <f>IF(AF1384="","",VLOOKUP(AC1384,mapel!$A$2:$B$42,2,FALSE))</f>
        <v>PKWU</v>
      </c>
      <c r="AF1384">
        <f t="shared" si="63"/>
        <v>80</v>
      </c>
      <c r="AG1384" t="str">
        <f>IF(AF1384="","",IF(AF1384&gt;90,"Sangat baik",IF(AF1384&gt;79,"Baik",IF(AF1384&gt;=pub_gid_0_single_true_output_csv[[#This Row],[KKM]],"Cukup","Kurang"))))</f>
        <v>Baik</v>
      </c>
      <c r="AH1384">
        <f t="shared" si="64"/>
        <v>11</v>
      </c>
      <c r="AI1384" s="30" t="str">
        <f>IF(OR(J1384&lt;&gt;"Karakter",pub_gid_0_single_true_output_csv[[#This Row],[Nilai2]]=""),"",IF(AF1384&gt;89,"Sangat baik",IF(AF1384&gt;79,"Baik",IF(AF1384&gt;69,"Cukup",IF(AF1384&gt;59,"Kurang","Sangat kurang")))))</f>
        <v/>
      </c>
      <c r="AJ1384" t="str">
        <f t="shared" si="65"/>
        <v>Wk.7</v>
      </c>
      <c r="AK1384" t="str">
        <f>IF(pub_gid_0_single_true_output_csv[[#This Row],[Nilai2]]="","",VLOOKUP(pub_gid_0_single_true_output_csv[[#This Row],[NAMA]],Table7[],3,FALSE))</f>
        <v>Extremely low</v>
      </c>
    </row>
    <row r="1385" spans="1:37" x14ac:dyDescent="0.2">
      <c r="A1385">
        <v>1384</v>
      </c>
      <c r="B1385" t="s">
        <v>295</v>
      </c>
      <c r="C1385" t="s">
        <v>54</v>
      </c>
      <c r="D1385" t="s">
        <v>47</v>
      </c>
      <c r="E1385" t="s">
        <v>148</v>
      </c>
      <c r="F1385" s="25">
        <v>46028</v>
      </c>
      <c r="G1385" t="s">
        <v>349</v>
      </c>
      <c r="H1385" t="s">
        <v>405</v>
      </c>
      <c r="I1385" t="s">
        <v>371</v>
      </c>
      <c r="J1385" t="s">
        <v>41</v>
      </c>
      <c r="K1385" t="s">
        <v>157</v>
      </c>
      <c r="L1385" t="s">
        <v>324</v>
      </c>
      <c r="M1385" t="s">
        <v>141</v>
      </c>
      <c r="N1385" t="s">
        <v>142</v>
      </c>
      <c r="O1385" t="s">
        <v>155</v>
      </c>
      <c r="P1385" t="s">
        <v>281</v>
      </c>
      <c r="Q1385" t="s">
        <v>155</v>
      </c>
      <c r="R1385" t="s">
        <v>302</v>
      </c>
      <c r="S1385" t="s">
        <v>355</v>
      </c>
      <c r="T1385">
        <v>2</v>
      </c>
      <c r="U1385" t="s">
        <v>384</v>
      </c>
      <c r="V1385" t="s">
        <v>303</v>
      </c>
      <c r="W1385" t="s">
        <v>385</v>
      </c>
      <c r="X1385" t="s">
        <v>306</v>
      </c>
      <c r="Y1385" t="s">
        <v>307</v>
      </c>
      <c r="Z1385">
        <v>65</v>
      </c>
      <c r="AA1385">
        <v>65</v>
      </c>
      <c r="AB1385" t="s">
        <v>143</v>
      </c>
      <c r="AC1385" t="s">
        <v>163</v>
      </c>
      <c r="AD1385" t="s">
        <v>426</v>
      </c>
      <c r="AE1385" t="str">
        <f>IF(AF1385="","",VLOOKUP(AC1385,mapel!$A$2:$B$42,2,FALSE))</f>
        <v>PKWU</v>
      </c>
      <c r="AF1385">
        <f t="shared" si="63"/>
        <v>65</v>
      </c>
      <c r="AG1385" t="str">
        <f>IF(AF1385="","",IF(AF1385&gt;90,"Sangat baik",IF(AF1385&gt;79,"Baik",IF(AF1385&gt;=pub_gid_0_single_true_output_csv[[#This Row],[KKM]],"Cukup","Kurang"))))</f>
        <v>Cukup</v>
      </c>
      <c r="AH1385">
        <f t="shared" si="64"/>
        <v>11</v>
      </c>
      <c r="AI1385" s="30" t="str">
        <f>IF(OR(J1385&lt;&gt;"Karakter",pub_gid_0_single_true_output_csv[[#This Row],[Nilai2]]=""),"",IF(AF1385&gt;89,"Sangat baik",IF(AF1385&gt;79,"Baik",IF(AF1385&gt;69,"Cukup",IF(AF1385&gt;59,"Kurang","Sangat kurang")))))</f>
        <v/>
      </c>
      <c r="AJ1385" t="str">
        <f t="shared" si="65"/>
        <v>Wk.2</v>
      </c>
      <c r="AK1385" t="str">
        <f>IF(pub_gid_0_single_true_output_csv[[#This Row],[Nilai2]]="","",VLOOKUP(pub_gid_0_single_true_output_csv[[#This Row],[NAMA]],Table7[],3,FALSE))</f>
        <v>Low average</v>
      </c>
    </row>
    <row r="1386" spans="1:37" x14ac:dyDescent="0.2">
      <c r="A1386">
        <v>1385</v>
      </c>
      <c r="B1386" t="s">
        <v>295</v>
      </c>
      <c r="C1386" t="s">
        <v>54</v>
      </c>
      <c r="D1386" t="s">
        <v>47</v>
      </c>
      <c r="E1386" t="s">
        <v>148</v>
      </c>
      <c r="F1386" s="25">
        <v>46042</v>
      </c>
      <c r="G1386" t="s">
        <v>474</v>
      </c>
      <c r="H1386" t="s">
        <v>405</v>
      </c>
      <c r="I1386" t="s">
        <v>371</v>
      </c>
      <c r="J1386" t="s">
        <v>41</v>
      </c>
      <c r="K1386" t="s">
        <v>272</v>
      </c>
      <c r="L1386" t="s">
        <v>322</v>
      </c>
      <c r="M1386" t="s">
        <v>141</v>
      </c>
      <c r="N1386" t="s">
        <v>142</v>
      </c>
      <c r="O1386" t="s">
        <v>155</v>
      </c>
      <c r="P1386" t="s">
        <v>281</v>
      </c>
      <c r="Q1386" t="s">
        <v>155</v>
      </c>
      <c r="R1386" t="s">
        <v>273</v>
      </c>
      <c r="S1386" t="s">
        <v>309</v>
      </c>
      <c r="T1386">
        <v>1</v>
      </c>
      <c r="U1386" t="s">
        <v>325</v>
      </c>
      <c r="V1386" t="s">
        <v>285</v>
      </c>
      <c r="W1386" t="s">
        <v>326</v>
      </c>
      <c r="X1386" t="s">
        <v>306</v>
      </c>
      <c r="Y1386" t="s">
        <v>307</v>
      </c>
      <c r="Z1386">
        <v>65</v>
      </c>
      <c r="AA1386">
        <v>70</v>
      </c>
      <c r="AB1386" t="s">
        <v>143</v>
      </c>
      <c r="AC1386" t="s">
        <v>163</v>
      </c>
      <c r="AD1386" t="s">
        <v>426</v>
      </c>
      <c r="AE1386" t="str">
        <f>IF(AF1386="","",VLOOKUP(AC1386,mapel!$A$2:$B$42,2,FALSE))</f>
        <v>PKWU</v>
      </c>
      <c r="AF1386">
        <f t="shared" si="63"/>
        <v>70</v>
      </c>
      <c r="AG1386" t="str">
        <f>IF(AF1386="","",IF(AF1386&gt;90,"Sangat baik",IF(AF1386&gt;79,"Baik",IF(AF1386&gt;=pub_gid_0_single_true_output_csv[[#This Row],[KKM]],"Cukup","Kurang"))))</f>
        <v>Cukup</v>
      </c>
      <c r="AH1386">
        <f t="shared" si="64"/>
        <v>11</v>
      </c>
      <c r="AI1386" s="30" t="str">
        <f>IF(OR(J1386&lt;&gt;"Karakter",pub_gid_0_single_true_output_csv[[#This Row],[Nilai2]]=""),"",IF(AF1386&gt;89,"Sangat baik",IF(AF1386&gt;79,"Baik",IF(AF1386&gt;69,"Cukup",IF(AF1386&gt;59,"Kurang","Sangat kurang")))))</f>
        <v/>
      </c>
      <c r="AJ1386" t="str">
        <f t="shared" si="65"/>
        <v>Wk.4</v>
      </c>
      <c r="AK1386" t="str">
        <f>IF(pub_gid_0_single_true_output_csv[[#This Row],[Nilai2]]="","",VLOOKUP(pub_gid_0_single_true_output_csv[[#This Row],[NAMA]],Table7[],3,FALSE))</f>
        <v>Low average</v>
      </c>
    </row>
    <row r="1387" spans="1:37" x14ac:dyDescent="0.2">
      <c r="A1387">
        <v>1386</v>
      </c>
      <c r="B1387" t="s">
        <v>295</v>
      </c>
      <c r="C1387" t="s">
        <v>54</v>
      </c>
      <c r="D1387" t="s">
        <v>47</v>
      </c>
      <c r="E1387" t="s">
        <v>148</v>
      </c>
      <c r="F1387" s="25">
        <v>46063</v>
      </c>
      <c r="G1387" t="s">
        <v>374</v>
      </c>
      <c r="H1387" t="s">
        <v>412</v>
      </c>
      <c r="I1387" t="s">
        <v>371</v>
      </c>
      <c r="J1387" t="s">
        <v>41</v>
      </c>
      <c r="K1387" t="s">
        <v>157</v>
      </c>
      <c r="L1387" t="s">
        <v>383</v>
      </c>
      <c r="M1387" t="s">
        <v>141</v>
      </c>
      <c r="N1387" t="s">
        <v>142</v>
      </c>
      <c r="O1387" t="s">
        <v>155</v>
      </c>
      <c r="P1387" t="s">
        <v>281</v>
      </c>
      <c r="Q1387" t="s">
        <v>155</v>
      </c>
      <c r="R1387" t="s">
        <v>273</v>
      </c>
      <c r="S1387" t="s">
        <v>309</v>
      </c>
      <c r="T1387">
        <v>1</v>
      </c>
      <c r="U1387" t="s">
        <v>325</v>
      </c>
      <c r="V1387" t="s">
        <v>285</v>
      </c>
      <c r="W1387" t="s">
        <v>326</v>
      </c>
      <c r="X1387" t="s">
        <v>306</v>
      </c>
      <c r="Y1387" t="s">
        <v>307</v>
      </c>
      <c r="Z1387">
        <v>65</v>
      </c>
      <c r="AA1387">
        <v>75</v>
      </c>
      <c r="AB1387" t="s">
        <v>143</v>
      </c>
      <c r="AC1387" t="s">
        <v>163</v>
      </c>
      <c r="AD1387" t="s">
        <v>426</v>
      </c>
      <c r="AE1387" t="str">
        <f>IF(AF1387="","",VLOOKUP(AC1387,mapel!$A$2:$B$42,2,FALSE))</f>
        <v>PKWU</v>
      </c>
      <c r="AF1387">
        <f t="shared" si="63"/>
        <v>75</v>
      </c>
      <c r="AG1387" t="str">
        <f>IF(AF1387="","",IF(AF1387&gt;90,"Sangat baik",IF(AF1387&gt;79,"Baik",IF(AF1387&gt;=pub_gid_0_single_true_output_csv[[#This Row],[KKM]],"Cukup","Kurang"))))</f>
        <v>Cukup</v>
      </c>
      <c r="AH1387">
        <f t="shared" si="64"/>
        <v>11</v>
      </c>
      <c r="AI1387" s="30" t="str">
        <f>IF(OR(J1387&lt;&gt;"Karakter",pub_gid_0_single_true_output_csv[[#This Row],[Nilai2]]=""),"",IF(AF1387&gt;89,"Sangat baik",IF(AF1387&gt;79,"Baik",IF(AF1387&gt;69,"Cukup",IF(AF1387&gt;59,"Kurang","Sangat kurang")))))</f>
        <v/>
      </c>
      <c r="AJ1387" t="str">
        <f t="shared" si="65"/>
        <v>Wk.7</v>
      </c>
      <c r="AK1387" t="str">
        <f>IF(pub_gid_0_single_true_output_csv[[#This Row],[Nilai2]]="","",VLOOKUP(pub_gid_0_single_true_output_csv[[#This Row],[NAMA]],Table7[],3,FALSE))</f>
        <v>Low average</v>
      </c>
    </row>
    <row r="1388" spans="1:37" x14ac:dyDescent="0.2">
      <c r="A1388">
        <v>1387</v>
      </c>
      <c r="B1388" t="s">
        <v>296</v>
      </c>
      <c r="C1388" t="s">
        <v>54</v>
      </c>
      <c r="D1388" t="s">
        <v>48</v>
      </c>
      <c r="E1388" t="s">
        <v>140</v>
      </c>
      <c r="F1388" s="25">
        <v>46028</v>
      </c>
      <c r="G1388" t="s">
        <v>349</v>
      </c>
      <c r="H1388" t="s">
        <v>405</v>
      </c>
      <c r="I1388" t="s">
        <v>371</v>
      </c>
      <c r="J1388" t="s">
        <v>41</v>
      </c>
      <c r="K1388" t="s">
        <v>157</v>
      </c>
      <c r="L1388" t="s">
        <v>324</v>
      </c>
      <c r="M1388" t="s">
        <v>141</v>
      </c>
      <c r="N1388" t="s">
        <v>142</v>
      </c>
      <c r="O1388" t="s">
        <v>155</v>
      </c>
      <c r="P1388" t="s">
        <v>281</v>
      </c>
      <c r="Q1388" t="s">
        <v>155</v>
      </c>
      <c r="R1388" t="s">
        <v>302</v>
      </c>
      <c r="S1388" t="s">
        <v>355</v>
      </c>
      <c r="T1388">
        <v>2</v>
      </c>
      <c r="U1388" t="s">
        <v>384</v>
      </c>
      <c r="V1388" t="s">
        <v>303</v>
      </c>
      <c r="W1388" t="s">
        <v>385</v>
      </c>
      <c r="X1388" t="s">
        <v>306</v>
      </c>
      <c r="Y1388" t="s">
        <v>307</v>
      </c>
      <c r="Z1388">
        <v>65</v>
      </c>
      <c r="AA1388">
        <v>65</v>
      </c>
      <c r="AB1388" t="s">
        <v>143</v>
      </c>
      <c r="AC1388" t="s">
        <v>163</v>
      </c>
      <c r="AD1388" t="s">
        <v>426</v>
      </c>
      <c r="AE1388" t="str">
        <f>IF(AF1388="","",VLOOKUP(AC1388,mapel!$A$2:$B$42,2,FALSE))</f>
        <v>PKWU</v>
      </c>
      <c r="AF1388">
        <f t="shared" si="63"/>
        <v>65</v>
      </c>
      <c r="AG1388" t="str">
        <f>IF(AF1388="","",IF(AF1388&gt;90,"Sangat baik",IF(AF1388&gt;79,"Baik",IF(AF1388&gt;=pub_gid_0_single_true_output_csv[[#This Row],[KKM]],"Cukup","Kurang"))))</f>
        <v>Cukup</v>
      </c>
      <c r="AH1388">
        <f t="shared" si="64"/>
        <v>11</v>
      </c>
      <c r="AI1388" s="30" t="str">
        <f>IF(OR(J1388&lt;&gt;"Karakter",pub_gid_0_single_true_output_csv[[#This Row],[Nilai2]]=""),"",IF(AF1388&gt;89,"Sangat baik",IF(AF1388&gt;79,"Baik",IF(AF1388&gt;69,"Cukup",IF(AF1388&gt;59,"Kurang","Sangat kurang")))))</f>
        <v/>
      </c>
      <c r="AJ1388" t="str">
        <f t="shared" si="65"/>
        <v>Wk.2</v>
      </c>
      <c r="AK1388" t="str">
        <f>IF(pub_gid_0_single_true_output_csv[[#This Row],[Nilai2]]="","",VLOOKUP(pub_gid_0_single_true_output_csv[[#This Row],[NAMA]],Table7[],3,FALSE))</f>
        <v>Average</v>
      </c>
    </row>
    <row r="1389" spans="1:37" x14ac:dyDescent="0.2">
      <c r="A1389">
        <v>1388</v>
      </c>
      <c r="B1389" t="s">
        <v>296</v>
      </c>
      <c r="C1389" t="s">
        <v>54</v>
      </c>
      <c r="D1389" t="s">
        <v>48</v>
      </c>
      <c r="E1389" t="s">
        <v>140</v>
      </c>
      <c r="F1389" s="25">
        <v>46042</v>
      </c>
      <c r="G1389" t="s">
        <v>474</v>
      </c>
      <c r="H1389" t="s">
        <v>405</v>
      </c>
      <c r="I1389" t="s">
        <v>371</v>
      </c>
      <c r="J1389" t="s">
        <v>41</v>
      </c>
      <c r="K1389" t="s">
        <v>272</v>
      </c>
      <c r="L1389" t="s">
        <v>322</v>
      </c>
      <c r="M1389" t="s">
        <v>141</v>
      </c>
      <c r="N1389" t="s">
        <v>142</v>
      </c>
      <c r="O1389" t="s">
        <v>155</v>
      </c>
      <c r="P1389" t="s">
        <v>281</v>
      </c>
      <c r="Q1389" t="s">
        <v>155</v>
      </c>
      <c r="R1389" t="s">
        <v>273</v>
      </c>
      <c r="S1389" t="s">
        <v>309</v>
      </c>
      <c r="T1389">
        <v>1</v>
      </c>
      <c r="U1389" t="s">
        <v>325</v>
      </c>
      <c r="V1389" t="s">
        <v>285</v>
      </c>
      <c r="W1389" t="s">
        <v>326</v>
      </c>
      <c r="X1389" t="s">
        <v>306</v>
      </c>
      <c r="Y1389" t="s">
        <v>307</v>
      </c>
      <c r="Z1389">
        <v>65</v>
      </c>
      <c r="AA1389">
        <v>70</v>
      </c>
      <c r="AB1389" t="s">
        <v>143</v>
      </c>
      <c r="AC1389" t="s">
        <v>163</v>
      </c>
      <c r="AD1389" t="s">
        <v>426</v>
      </c>
      <c r="AE1389" t="str">
        <f>IF(AF1389="","",VLOOKUP(AC1389,mapel!$A$2:$B$42,2,FALSE))</f>
        <v>PKWU</v>
      </c>
      <c r="AF1389">
        <f t="shared" si="63"/>
        <v>70</v>
      </c>
      <c r="AG1389" t="str">
        <f>IF(AF1389="","",IF(AF1389&gt;90,"Sangat baik",IF(AF1389&gt;79,"Baik",IF(AF1389&gt;=pub_gid_0_single_true_output_csv[[#This Row],[KKM]],"Cukup","Kurang"))))</f>
        <v>Cukup</v>
      </c>
      <c r="AH1389">
        <f t="shared" si="64"/>
        <v>11</v>
      </c>
      <c r="AI1389" s="30" t="str">
        <f>IF(OR(J1389&lt;&gt;"Karakter",pub_gid_0_single_true_output_csv[[#This Row],[Nilai2]]=""),"",IF(AF1389&gt;89,"Sangat baik",IF(AF1389&gt;79,"Baik",IF(AF1389&gt;69,"Cukup",IF(AF1389&gt;59,"Kurang","Sangat kurang")))))</f>
        <v/>
      </c>
      <c r="AJ1389" t="str">
        <f t="shared" si="65"/>
        <v>Wk.4</v>
      </c>
      <c r="AK1389" t="str">
        <f>IF(pub_gid_0_single_true_output_csv[[#This Row],[Nilai2]]="","",VLOOKUP(pub_gid_0_single_true_output_csv[[#This Row],[NAMA]],Table7[],3,FALSE))</f>
        <v>Average</v>
      </c>
    </row>
    <row r="1390" spans="1:37" x14ac:dyDescent="0.2">
      <c r="A1390">
        <v>1389</v>
      </c>
      <c r="B1390" t="s">
        <v>296</v>
      </c>
      <c r="C1390" t="s">
        <v>54</v>
      </c>
      <c r="D1390" t="s">
        <v>48</v>
      </c>
      <c r="E1390" t="s">
        <v>140</v>
      </c>
      <c r="F1390" s="25">
        <v>46063</v>
      </c>
      <c r="G1390" t="s">
        <v>374</v>
      </c>
      <c r="H1390" t="s">
        <v>412</v>
      </c>
      <c r="I1390" t="s">
        <v>371</v>
      </c>
      <c r="J1390" t="s">
        <v>41</v>
      </c>
      <c r="K1390" t="s">
        <v>157</v>
      </c>
      <c r="L1390" t="s">
        <v>383</v>
      </c>
      <c r="M1390" t="s">
        <v>141</v>
      </c>
      <c r="N1390" t="s">
        <v>142</v>
      </c>
      <c r="O1390" t="s">
        <v>155</v>
      </c>
      <c r="P1390" t="s">
        <v>281</v>
      </c>
      <c r="Q1390" t="s">
        <v>155</v>
      </c>
      <c r="R1390" t="s">
        <v>273</v>
      </c>
      <c r="S1390" t="s">
        <v>309</v>
      </c>
      <c r="T1390">
        <v>1</v>
      </c>
      <c r="U1390" t="s">
        <v>325</v>
      </c>
      <c r="V1390" t="s">
        <v>285</v>
      </c>
      <c r="W1390" t="s">
        <v>326</v>
      </c>
      <c r="X1390" t="s">
        <v>306</v>
      </c>
      <c r="Y1390" t="s">
        <v>307</v>
      </c>
      <c r="Z1390">
        <v>65</v>
      </c>
      <c r="AA1390">
        <v>75</v>
      </c>
      <c r="AB1390" t="s">
        <v>143</v>
      </c>
      <c r="AC1390" t="s">
        <v>163</v>
      </c>
      <c r="AD1390" t="s">
        <v>426</v>
      </c>
      <c r="AE1390" t="str">
        <f>IF(AF1390="","",VLOOKUP(AC1390,mapel!$A$2:$B$42,2,FALSE))</f>
        <v>PKWU</v>
      </c>
      <c r="AF1390">
        <f t="shared" si="63"/>
        <v>75</v>
      </c>
      <c r="AG1390" t="str">
        <f>IF(AF1390="","",IF(AF1390&gt;90,"Sangat baik",IF(AF1390&gt;79,"Baik",IF(AF1390&gt;=pub_gid_0_single_true_output_csv[[#This Row],[KKM]],"Cukup","Kurang"))))</f>
        <v>Cukup</v>
      </c>
      <c r="AH1390">
        <f t="shared" si="64"/>
        <v>11</v>
      </c>
      <c r="AI1390" s="30" t="str">
        <f>IF(OR(J1390&lt;&gt;"Karakter",pub_gid_0_single_true_output_csv[[#This Row],[Nilai2]]=""),"",IF(AF1390&gt;89,"Sangat baik",IF(AF1390&gt;79,"Baik",IF(AF1390&gt;69,"Cukup",IF(AF1390&gt;59,"Kurang","Sangat kurang")))))</f>
        <v/>
      </c>
      <c r="AJ1390" t="str">
        <f t="shared" si="65"/>
        <v>Wk.7</v>
      </c>
      <c r="AK1390" t="str">
        <f>IF(pub_gid_0_single_true_output_csv[[#This Row],[Nilai2]]="","",VLOOKUP(pub_gid_0_single_true_output_csv[[#This Row],[NAMA]],Table7[],3,FALSE))</f>
        <v>Average</v>
      </c>
    </row>
    <row r="1391" spans="1:37" x14ac:dyDescent="0.2">
      <c r="A1391">
        <v>1390</v>
      </c>
      <c r="B1391" t="s">
        <v>289</v>
      </c>
      <c r="C1391" t="s">
        <v>54</v>
      </c>
      <c r="D1391" t="s">
        <v>39</v>
      </c>
      <c r="E1391" t="s">
        <v>140</v>
      </c>
      <c r="F1391" s="25">
        <v>46035</v>
      </c>
      <c r="G1391" t="s">
        <v>358</v>
      </c>
      <c r="H1391" t="s">
        <v>405</v>
      </c>
      <c r="I1391" t="s">
        <v>371</v>
      </c>
      <c r="J1391" t="s">
        <v>41</v>
      </c>
      <c r="K1391" t="s">
        <v>365</v>
      </c>
      <c r="L1391" t="s">
        <v>322</v>
      </c>
      <c r="M1391" t="s">
        <v>141</v>
      </c>
      <c r="N1391" t="s">
        <v>142</v>
      </c>
      <c r="O1391" t="s">
        <v>155</v>
      </c>
      <c r="P1391" t="s">
        <v>281</v>
      </c>
      <c r="Q1391" t="s">
        <v>155</v>
      </c>
      <c r="R1391" t="s">
        <v>273</v>
      </c>
      <c r="S1391" t="s">
        <v>470</v>
      </c>
      <c r="T1391">
        <v>4</v>
      </c>
      <c r="U1391" t="s">
        <v>471</v>
      </c>
      <c r="V1391" t="s">
        <v>472</v>
      </c>
      <c r="W1391" t="s">
        <v>473</v>
      </c>
      <c r="X1391" t="s">
        <v>306</v>
      </c>
      <c r="Y1391" t="s">
        <v>307</v>
      </c>
      <c r="Z1391">
        <v>65</v>
      </c>
      <c r="AA1391">
        <v>90</v>
      </c>
      <c r="AB1391" t="s">
        <v>143</v>
      </c>
      <c r="AC1391" t="s">
        <v>163</v>
      </c>
      <c r="AD1391" t="s">
        <v>278</v>
      </c>
      <c r="AE1391" t="str">
        <f>IF(AF1391="","",VLOOKUP(AC1391,mapel!$A$2:$B$42,2,FALSE))</f>
        <v>PKWU</v>
      </c>
      <c r="AF1391">
        <f t="shared" si="63"/>
        <v>90</v>
      </c>
      <c r="AG1391" t="str">
        <f>IF(AF1391="","",IF(AF1391&gt;90,"Sangat baik",IF(AF1391&gt;79,"Baik",IF(AF1391&gt;=pub_gid_0_single_true_output_csv[[#This Row],[KKM]],"Cukup","Kurang"))))</f>
        <v>Baik</v>
      </c>
      <c r="AH1391">
        <f t="shared" si="64"/>
        <v>11</v>
      </c>
      <c r="AI1391" s="30" t="str">
        <f>IF(OR(J1391&lt;&gt;"Karakter",pub_gid_0_single_true_output_csv[[#This Row],[Nilai2]]=""),"",IF(AF1391&gt;89,"Sangat baik",IF(AF1391&gt;79,"Baik",IF(AF1391&gt;69,"Cukup",IF(AF1391&gt;59,"Kurang","Sangat kurang")))))</f>
        <v/>
      </c>
      <c r="AJ1391" t="str">
        <f t="shared" si="65"/>
        <v>Wk.3</v>
      </c>
      <c r="AK1391" t="str">
        <f>IF(pub_gid_0_single_true_output_csv[[#This Row],[Nilai2]]="","",VLOOKUP(pub_gid_0_single_true_output_csv[[#This Row],[NAMA]],Table7[],3,FALSE))</f>
        <v>Average</v>
      </c>
    </row>
    <row r="1392" spans="1:37" x14ac:dyDescent="0.2">
      <c r="A1392">
        <v>1391</v>
      </c>
      <c r="B1392" t="s">
        <v>289</v>
      </c>
      <c r="C1392" t="s">
        <v>54</v>
      </c>
      <c r="D1392" t="s">
        <v>39</v>
      </c>
      <c r="E1392" t="s">
        <v>140</v>
      </c>
      <c r="F1392" s="25">
        <v>46036</v>
      </c>
      <c r="G1392" t="s">
        <v>353</v>
      </c>
      <c r="H1392" t="s">
        <v>405</v>
      </c>
      <c r="I1392" t="s">
        <v>371</v>
      </c>
      <c r="J1392" t="s">
        <v>41</v>
      </c>
      <c r="K1392" t="s">
        <v>365</v>
      </c>
      <c r="L1392" t="s">
        <v>319</v>
      </c>
      <c r="M1392" t="s">
        <v>141</v>
      </c>
      <c r="N1392" t="s">
        <v>142</v>
      </c>
      <c r="O1392" t="s">
        <v>155</v>
      </c>
      <c r="P1392" t="s">
        <v>281</v>
      </c>
      <c r="Q1392" t="s">
        <v>155</v>
      </c>
      <c r="R1392" t="s">
        <v>273</v>
      </c>
      <c r="S1392" t="s">
        <v>470</v>
      </c>
      <c r="T1392">
        <v>4</v>
      </c>
      <c r="U1392" t="s">
        <v>471</v>
      </c>
      <c r="V1392" t="s">
        <v>472</v>
      </c>
      <c r="W1392" t="s">
        <v>473</v>
      </c>
      <c r="X1392" t="s">
        <v>306</v>
      </c>
      <c r="Y1392" t="s">
        <v>307</v>
      </c>
      <c r="Z1392">
        <v>65</v>
      </c>
      <c r="AA1392">
        <v>90</v>
      </c>
      <c r="AB1392" t="s">
        <v>143</v>
      </c>
      <c r="AC1392" t="s">
        <v>163</v>
      </c>
      <c r="AD1392" t="s">
        <v>278</v>
      </c>
      <c r="AE1392" t="str">
        <f>IF(AF1392="","",VLOOKUP(AC1392,mapel!$A$2:$B$42,2,FALSE))</f>
        <v>PKWU</v>
      </c>
      <c r="AF1392">
        <f t="shared" si="63"/>
        <v>90</v>
      </c>
      <c r="AG1392" t="str">
        <f>IF(AF1392="","",IF(AF1392&gt;90,"Sangat baik",IF(AF1392&gt;79,"Baik",IF(AF1392&gt;=pub_gid_0_single_true_output_csv[[#This Row],[KKM]],"Cukup","Kurang"))))</f>
        <v>Baik</v>
      </c>
      <c r="AH1392">
        <f t="shared" si="64"/>
        <v>11</v>
      </c>
      <c r="AI1392" s="30" t="str">
        <f>IF(OR(J1392&lt;&gt;"Karakter",pub_gid_0_single_true_output_csv[[#This Row],[Nilai2]]=""),"",IF(AF1392&gt;89,"Sangat baik",IF(AF1392&gt;79,"Baik",IF(AF1392&gt;69,"Cukup",IF(AF1392&gt;59,"Kurang","Sangat kurang")))))</f>
        <v/>
      </c>
      <c r="AJ1392" t="str">
        <f t="shared" si="65"/>
        <v>Wk.3</v>
      </c>
      <c r="AK1392" t="str">
        <f>IF(pub_gid_0_single_true_output_csv[[#This Row],[Nilai2]]="","",VLOOKUP(pub_gid_0_single_true_output_csv[[#This Row],[NAMA]],Table7[],3,FALSE))</f>
        <v>Average</v>
      </c>
    </row>
    <row r="1393" spans="1:37" x14ac:dyDescent="0.2">
      <c r="A1393">
        <v>1392</v>
      </c>
      <c r="B1393" t="s">
        <v>289</v>
      </c>
      <c r="C1393" t="s">
        <v>54</v>
      </c>
      <c r="D1393" t="s">
        <v>39</v>
      </c>
      <c r="E1393" t="s">
        <v>140</v>
      </c>
      <c r="F1393" s="25">
        <v>46037</v>
      </c>
      <c r="G1393" t="s">
        <v>356</v>
      </c>
      <c r="H1393" t="s">
        <v>405</v>
      </c>
      <c r="I1393" t="s">
        <v>371</v>
      </c>
      <c r="J1393" t="s">
        <v>36</v>
      </c>
      <c r="K1393" t="s">
        <v>37</v>
      </c>
      <c r="L1393" t="s">
        <v>383</v>
      </c>
      <c r="M1393" t="s">
        <v>141</v>
      </c>
      <c r="N1393" t="s">
        <v>142</v>
      </c>
      <c r="O1393" t="s">
        <v>155</v>
      </c>
      <c r="P1393" t="s">
        <v>281</v>
      </c>
      <c r="Q1393" t="s">
        <v>155</v>
      </c>
      <c r="R1393" t="s">
        <v>273</v>
      </c>
      <c r="S1393" t="s">
        <v>470</v>
      </c>
      <c r="T1393">
        <v>4</v>
      </c>
      <c r="U1393" t="s">
        <v>471</v>
      </c>
      <c r="V1393" t="s">
        <v>472</v>
      </c>
      <c r="W1393" t="s">
        <v>473</v>
      </c>
      <c r="X1393" t="s">
        <v>306</v>
      </c>
      <c r="Y1393" t="s">
        <v>307</v>
      </c>
      <c r="Z1393">
        <v>65</v>
      </c>
      <c r="AA1393">
        <v>85</v>
      </c>
      <c r="AB1393" t="s">
        <v>143</v>
      </c>
      <c r="AC1393" t="s">
        <v>163</v>
      </c>
      <c r="AD1393" t="s">
        <v>278</v>
      </c>
      <c r="AE1393" t="str">
        <f>IF(AF1393="","",VLOOKUP(AC1393,mapel!$A$2:$B$42,2,FALSE))</f>
        <v>PKWU</v>
      </c>
      <c r="AF1393">
        <f t="shared" si="63"/>
        <v>85</v>
      </c>
      <c r="AG1393" t="str">
        <f>IF(AF1393="","",IF(AF1393&gt;90,"Sangat baik",IF(AF1393&gt;79,"Baik",IF(AF1393&gt;=pub_gid_0_single_true_output_csv[[#This Row],[KKM]],"Cukup","Kurang"))))</f>
        <v>Baik</v>
      </c>
      <c r="AH1393">
        <f t="shared" si="64"/>
        <v>11</v>
      </c>
      <c r="AI1393" s="30" t="str">
        <f>IF(OR(J1393&lt;&gt;"Karakter",pub_gid_0_single_true_output_csv[[#This Row],[Nilai2]]=""),"",IF(AF1393&gt;89,"Sangat baik",IF(AF1393&gt;79,"Baik",IF(AF1393&gt;69,"Cukup",IF(AF1393&gt;59,"Kurang","Sangat kurang")))))</f>
        <v/>
      </c>
      <c r="AJ1393" t="str">
        <f t="shared" si="65"/>
        <v>Wk.3</v>
      </c>
      <c r="AK1393" t="str">
        <f>IF(pub_gid_0_single_true_output_csv[[#This Row],[Nilai2]]="","",VLOOKUP(pub_gid_0_single_true_output_csv[[#This Row],[NAMA]],Table7[],3,FALSE))</f>
        <v>Average</v>
      </c>
    </row>
    <row r="1394" spans="1:37" x14ac:dyDescent="0.2">
      <c r="A1394">
        <v>1393</v>
      </c>
      <c r="B1394" t="s">
        <v>289</v>
      </c>
      <c r="C1394" t="s">
        <v>54</v>
      </c>
      <c r="D1394" t="s">
        <v>39</v>
      </c>
      <c r="E1394" t="s">
        <v>140</v>
      </c>
      <c r="F1394" s="25">
        <v>46042</v>
      </c>
      <c r="G1394" t="s">
        <v>474</v>
      </c>
      <c r="H1394" t="s">
        <v>405</v>
      </c>
      <c r="I1394" t="s">
        <v>371</v>
      </c>
      <c r="J1394" t="s">
        <v>90</v>
      </c>
      <c r="K1394" t="s">
        <v>366</v>
      </c>
      <c r="L1394" t="s">
        <v>475</v>
      </c>
      <c r="M1394" t="s">
        <v>141</v>
      </c>
      <c r="N1394" t="s">
        <v>142</v>
      </c>
      <c r="O1394" t="s">
        <v>155</v>
      </c>
      <c r="P1394" t="s">
        <v>281</v>
      </c>
      <c r="Q1394" t="s">
        <v>155</v>
      </c>
      <c r="R1394" t="s">
        <v>273</v>
      </c>
      <c r="S1394" t="s">
        <v>470</v>
      </c>
      <c r="T1394">
        <v>4</v>
      </c>
      <c r="U1394" t="s">
        <v>471</v>
      </c>
      <c r="V1394" t="s">
        <v>472</v>
      </c>
      <c r="W1394" t="s">
        <v>473</v>
      </c>
      <c r="X1394" t="s">
        <v>306</v>
      </c>
      <c r="Y1394" t="s">
        <v>307</v>
      </c>
      <c r="Z1394">
        <v>65</v>
      </c>
      <c r="AA1394">
        <v>100</v>
      </c>
      <c r="AB1394" t="s">
        <v>143</v>
      </c>
      <c r="AC1394" t="s">
        <v>163</v>
      </c>
      <c r="AD1394" t="s">
        <v>278</v>
      </c>
      <c r="AE1394" t="str">
        <f>IF(AF1394="","",VLOOKUP(AC1394,mapel!$A$2:$B$42,2,FALSE))</f>
        <v>PKWU</v>
      </c>
      <c r="AF1394">
        <f t="shared" si="63"/>
        <v>100</v>
      </c>
      <c r="AG1394" t="str">
        <f>IF(AF1394="","",IF(AF1394&gt;90,"Sangat baik",IF(AF1394&gt;79,"Baik",IF(AF1394&gt;=pub_gid_0_single_true_output_csv[[#This Row],[KKM]],"Cukup","Kurang"))))</f>
        <v>Sangat baik</v>
      </c>
      <c r="AH1394">
        <f t="shared" si="64"/>
        <v>11</v>
      </c>
      <c r="AI1394" s="30" t="str">
        <f>IF(OR(J1394&lt;&gt;"Karakter",pub_gid_0_single_true_output_csv[[#This Row],[Nilai2]]=""),"",IF(AF1394&gt;89,"Sangat baik",IF(AF1394&gt;79,"Baik",IF(AF1394&gt;69,"Cukup",IF(AF1394&gt;59,"Kurang","Sangat kurang")))))</f>
        <v>Sangat baik</v>
      </c>
      <c r="AJ1394" t="str">
        <f t="shared" si="65"/>
        <v>Wk.4</v>
      </c>
      <c r="AK1394" t="str">
        <f>IF(pub_gid_0_single_true_output_csv[[#This Row],[Nilai2]]="","",VLOOKUP(pub_gid_0_single_true_output_csv[[#This Row],[NAMA]],Table7[],3,FALSE))</f>
        <v>Average</v>
      </c>
    </row>
    <row r="1395" spans="1:37" x14ac:dyDescent="0.2">
      <c r="A1395">
        <v>1394</v>
      </c>
      <c r="B1395" t="s">
        <v>289</v>
      </c>
      <c r="C1395" t="s">
        <v>54</v>
      </c>
      <c r="D1395" t="s">
        <v>39</v>
      </c>
      <c r="E1395" t="s">
        <v>140</v>
      </c>
      <c r="F1395" s="25">
        <v>46051</v>
      </c>
      <c r="G1395" t="s">
        <v>320</v>
      </c>
      <c r="H1395" t="s">
        <v>405</v>
      </c>
      <c r="I1395" t="s">
        <v>371</v>
      </c>
      <c r="J1395" t="s">
        <v>41</v>
      </c>
      <c r="K1395" t="s">
        <v>365</v>
      </c>
      <c r="L1395" t="s">
        <v>319</v>
      </c>
      <c r="M1395" t="s">
        <v>141</v>
      </c>
      <c r="N1395" t="s">
        <v>142</v>
      </c>
      <c r="O1395" t="s">
        <v>155</v>
      </c>
      <c r="P1395" t="s">
        <v>281</v>
      </c>
      <c r="Q1395" t="s">
        <v>155</v>
      </c>
      <c r="R1395" t="s">
        <v>273</v>
      </c>
      <c r="S1395" t="s">
        <v>470</v>
      </c>
      <c r="T1395">
        <v>4</v>
      </c>
      <c r="U1395" t="s">
        <v>471</v>
      </c>
      <c r="V1395" t="s">
        <v>472</v>
      </c>
      <c r="W1395" t="s">
        <v>473</v>
      </c>
      <c r="X1395" t="s">
        <v>306</v>
      </c>
      <c r="Y1395" t="s">
        <v>307</v>
      </c>
      <c r="Z1395">
        <v>65</v>
      </c>
      <c r="AA1395">
        <v>80</v>
      </c>
      <c r="AB1395" t="s">
        <v>143</v>
      </c>
      <c r="AC1395" t="s">
        <v>163</v>
      </c>
      <c r="AD1395" t="s">
        <v>278</v>
      </c>
      <c r="AE1395" t="str">
        <f>IF(AF1395="","",VLOOKUP(AC1395,mapel!$A$2:$B$42,2,FALSE))</f>
        <v>PKWU</v>
      </c>
      <c r="AF1395">
        <f t="shared" si="63"/>
        <v>80</v>
      </c>
      <c r="AG1395" t="str">
        <f>IF(AF1395="","",IF(AF1395&gt;90,"Sangat baik",IF(AF1395&gt;79,"Baik",IF(AF1395&gt;=pub_gid_0_single_true_output_csv[[#This Row],[KKM]],"Cukup","Kurang"))))</f>
        <v>Baik</v>
      </c>
      <c r="AH1395">
        <f t="shared" si="64"/>
        <v>11</v>
      </c>
      <c r="AI1395" s="30" t="str">
        <f>IF(OR(J1395&lt;&gt;"Karakter",pub_gid_0_single_true_output_csv[[#This Row],[Nilai2]]=""),"",IF(AF1395&gt;89,"Sangat baik",IF(AF1395&gt;79,"Baik",IF(AF1395&gt;69,"Cukup",IF(AF1395&gt;59,"Kurang","Sangat kurang")))))</f>
        <v/>
      </c>
      <c r="AJ1395" t="str">
        <f t="shared" si="65"/>
        <v>Wk.5</v>
      </c>
      <c r="AK1395" t="str">
        <f>IF(pub_gid_0_single_true_output_csv[[#This Row],[Nilai2]]="","",VLOOKUP(pub_gid_0_single_true_output_csv[[#This Row],[NAMA]],Table7[],3,FALSE))</f>
        <v>Average</v>
      </c>
    </row>
    <row r="1396" spans="1:37" x14ac:dyDescent="0.2">
      <c r="A1396">
        <v>1395</v>
      </c>
      <c r="B1396" t="s">
        <v>289</v>
      </c>
      <c r="C1396" t="s">
        <v>54</v>
      </c>
      <c r="D1396" t="s">
        <v>39</v>
      </c>
      <c r="E1396" t="s">
        <v>140</v>
      </c>
      <c r="F1396" s="25">
        <v>46056</v>
      </c>
      <c r="G1396" t="s">
        <v>372</v>
      </c>
      <c r="H1396" t="s">
        <v>412</v>
      </c>
      <c r="I1396" t="s">
        <v>371</v>
      </c>
      <c r="J1396" t="s">
        <v>41</v>
      </c>
      <c r="K1396" t="s">
        <v>365</v>
      </c>
      <c r="L1396" t="s">
        <v>322</v>
      </c>
      <c r="M1396" t="s">
        <v>141</v>
      </c>
      <c r="N1396" t="s">
        <v>142</v>
      </c>
      <c r="O1396" t="s">
        <v>155</v>
      </c>
      <c r="P1396" t="s">
        <v>281</v>
      </c>
      <c r="Q1396" t="s">
        <v>155</v>
      </c>
      <c r="R1396" t="s">
        <v>273</v>
      </c>
      <c r="S1396" t="s">
        <v>309</v>
      </c>
      <c r="T1396">
        <v>1</v>
      </c>
      <c r="U1396" t="s">
        <v>393</v>
      </c>
      <c r="V1396" t="s">
        <v>285</v>
      </c>
      <c r="W1396" t="s">
        <v>394</v>
      </c>
      <c r="X1396" t="s">
        <v>306</v>
      </c>
      <c r="Y1396" t="s">
        <v>307</v>
      </c>
      <c r="Z1396">
        <v>65</v>
      </c>
      <c r="AA1396">
        <v>78</v>
      </c>
      <c r="AB1396" t="s">
        <v>143</v>
      </c>
      <c r="AC1396" t="s">
        <v>163</v>
      </c>
      <c r="AD1396" t="s">
        <v>278</v>
      </c>
      <c r="AE1396" t="str">
        <f>IF(AF1396="","",VLOOKUP(AC1396,mapel!$A$2:$B$42,2,FALSE))</f>
        <v>PKWU</v>
      </c>
      <c r="AF1396">
        <f t="shared" si="63"/>
        <v>78</v>
      </c>
      <c r="AG1396" t="str">
        <f>IF(AF1396="","",IF(AF1396&gt;90,"Sangat baik",IF(AF1396&gt;79,"Baik",IF(AF1396&gt;=pub_gid_0_single_true_output_csv[[#This Row],[KKM]],"Cukup","Kurang"))))</f>
        <v>Cukup</v>
      </c>
      <c r="AH1396">
        <f t="shared" si="64"/>
        <v>11</v>
      </c>
      <c r="AI1396" s="30" t="str">
        <f>IF(OR(J1396&lt;&gt;"Karakter",pub_gid_0_single_true_output_csv[[#This Row],[Nilai2]]=""),"",IF(AF1396&gt;89,"Sangat baik",IF(AF1396&gt;79,"Baik",IF(AF1396&gt;69,"Cukup",IF(AF1396&gt;59,"Kurang","Sangat kurang")))))</f>
        <v/>
      </c>
      <c r="AJ1396" t="str">
        <f t="shared" si="65"/>
        <v>Wk.6</v>
      </c>
      <c r="AK1396" t="str">
        <f>IF(pub_gid_0_single_true_output_csv[[#This Row],[Nilai2]]="","",VLOOKUP(pub_gid_0_single_true_output_csv[[#This Row],[NAMA]],Table7[],3,FALSE))</f>
        <v>Average</v>
      </c>
    </row>
    <row r="1397" spans="1:37" x14ac:dyDescent="0.2">
      <c r="A1397">
        <v>1396</v>
      </c>
      <c r="B1397" t="s">
        <v>289</v>
      </c>
      <c r="C1397" t="s">
        <v>54</v>
      </c>
      <c r="D1397" t="s">
        <v>39</v>
      </c>
      <c r="E1397" t="s">
        <v>140</v>
      </c>
      <c r="F1397" s="25">
        <v>46057</v>
      </c>
      <c r="G1397" t="s">
        <v>348</v>
      </c>
      <c r="H1397" t="s">
        <v>412</v>
      </c>
      <c r="I1397" t="s">
        <v>371</v>
      </c>
      <c r="J1397" t="s">
        <v>36</v>
      </c>
      <c r="K1397" t="s">
        <v>153</v>
      </c>
      <c r="L1397" t="s">
        <v>395</v>
      </c>
      <c r="M1397" t="s">
        <v>141</v>
      </c>
      <c r="N1397" t="s">
        <v>142</v>
      </c>
      <c r="O1397" t="s">
        <v>155</v>
      </c>
      <c r="P1397" t="s">
        <v>281</v>
      </c>
      <c r="Q1397" t="s">
        <v>155</v>
      </c>
      <c r="R1397" t="s">
        <v>273</v>
      </c>
      <c r="S1397" t="s">
        <v>309</v>
      </c>
      <c r="T1397">
        <v>1</v>
      </c>
      <c r="U1397" t="s">
        <v>393</v>
      </c>
      <c r="V1397" t="s">
        <v>285</v>
      </c>
      <c r="W1397" t="s">
        <v>394</v>
      </c>
      <c r="X1397" t="s">
        <v>306</v>
      </c>
      <c r="Y1397" t="s">
        <v>307</v>
      </c>
      <c r="Z1397">
        <v>65</v>
      </c>
      <c r="AA1397">
        <v>78</v>
      </c>
      <c r="AB1397" t="s">
        <v>143</v>
      </c>
      <c r="AC1397" t="s">
        <v>163</v>
      </c>
      <c r="AD1397" t="s">
        <v>278</v>
      </c>
      <c r="AE1397" t="str">
        <f>IF(AF1397="","",VLOOKUP(AC1397,mapel!$A$2:$B$42,2,FALSE))</f>
        <v>PKWU</v>
      </c>
      <c r="AF1397">
        <f t="shared" si="63"/>
        <v>78</v>
      </c>
      <c r="AG1397" t="str">
        <f>IF(AF1397="","",IF(AF1397&gt;90,"Sangat baik",IF(AF1397&gt;79,"Baik",IF(AF1397&gt;=pub_gid_0_single_true_output_csv[[#This Row],[KKM]],"Cukup","Kurang"))))</f>
        <v>Cukup</v>
      </c>
      <c r="AH1397">
        <f t="shared" si="64"/>
        <v>11</v>
      </c>
      <c r="AI1397" s="30" t="str">
        <f>IF(OR(J1397&lt;&gt;"Karakter",pub_gid_0_single_true_output_csv[[#This Row],[Nilai2]]=""),"",IF(AF1397&gt;89,"Sangat baik",IF(AF1397&gt;79,"Baik",IF(AF1397&gt;69,"Cukup",IF(AF1397&gt;59,"Kurang","Sangat kurang")))))</f>
        <v/>
      </c>
      <c r="AJ1397" t="str">
        <f t="shared" si="65"/>
        <v>Wk.6</v>
      </c>
      <c r="AK1397" t="str">
        <f>IF(pub_gid_0_single_true_output_csv[[#This Row],[Nilai2]]="","",VLOOKUP(pub_gid_0_single_true_output_csv[[#This Row],[NAMA]],Table7[],3,FALSE))</f>
        <v>Average</v>
      </c>
    </row>
    <row r="1398" spans="1:37" x14ac:dyDescent="0.2">
      <c r="A1398">
        <v>1397</v>
      </c>
      <c r="B1398" t="s">
        <v>289</v>
      </c>
      <c r="C1398" t="s">
        <v>54</v>
      </c>
      <c r="D1398" t="s">
        <v>39</v>
      </c>
      <c r="E1398" t="s">
        <v>140</v>
      </c>
      <c r="F1398" s="25">
        <v>46058</v>
      </c>
      <c r="G1398" t="s">
        <v>346</v>
      </c>
      <c r="H1398" t="s">
        <v>412</v>
      </c>
      <c r="I1398" t="s">
        <v>371</v>
      </c>
      <c r="J1398" t="s">
        <v>41</v>
      </c>
      <c r="K1398" t="s">
        <v>365</v>
      </c>
      <c r="L1398" t="s">
        <v>322</v>
      </c>
      <c r="M1398" t="s">
        <v>141</v>
      </c>
      <c r="N1398" t="s">
        <v>142</v>
      </c>
      <c r="O1398" t="s">
        <v>155</v>
      </c>
      <c r="P1398" t="s">
        <v>281</v>
      </c>
      <c r="Q1398" t="s">
        <v>155</v>
      </c>
      <c r="R1398" t="s">
        <v>273</v>
      </c>
      <c r="S1398" t="s">
        <v>309</v>
      </c>
      <c r="T1398">
        <v>1</v>
      </c>
      <c r="U1398" t="s">
        <v>393</v>
      </c>
      <c r="V1398" t="s">
        <v>285</v>
      </c>
      <c r="W1398" t="s">
        <v>394</v>
      </c>
      <c r="X1398" t="s">
        <v>306</v>
      </c>
      <c r="Y1398" t="s">
        <v>307</v>
      </c>
      <c r="Z1398">
        <v>65</v>
      </c>
      <c r="AA1398">
        <v>78</v>
      </c>
      <c r="AB1398" t="s">
        <v>143</v>
      </c>
      <c r="AC1398" t="s">
        <v>163</v>
      </c>
      <c r="AD1398" t="s">
        <v>278</v>
      </c>
      <c r="AE1398" t="str">
        <f>IF(AF1398="","",VLOOKUP(AC1398,mapel!$A$2:$B$42,2,FALSE))</f>
        <v>PKWU</v>
      </c>
      <c r="AF1398">
        <f t="shared" si="63"/>
        <v>78</v>
      </c>
      <c r="AG1398" t="str">
        <f>IF(AF1398="","",IF(AF1398&gt;90,"Sangat baik",IF(AF1398&gt;79,"Baik",IF(AF1398&gt;=pub_gid_0_single_true_output_csv[[#This Row],[KKM]],"Cukup","Kurang"))))</f>
        <v>Cukup</v>
      </c>
      <c r="AH1398">
        <f t="shared" si="64"/>
        <v>11</v>
      </c>
      <c r="AI1398" s="30" t="str">
        <f>IF(OR(J1398&lt;&gt;"Karakter",pub_gid_0_single_true_output_csv[[#This Row],[Nilai2]]=""),"",IF(AF1398&gt;89,"Sangat baik",IF(AF1398&gt;79,"Baik",IF(AF1398&gt;69,"Cukup",IF(AF1398&gt;59,"Kurang","Sangat kurang")))))</f>
        <v/>
      </c>
      <c r="AJ1398" t="str">
        <f t="shared" si="65"/>
        <v>Wk.6</v>
      </c>
      <c r="AK1398" t="str">
        <f>IF(pub_gid_0_single_true_output_csv[[#This Row],[Nilai2]]="","",VLOOKUP(pub_gid_0_single_true_output_csv[[#This Row],[NAMA]],Table7[],3,FALSE))</f>
        <v>Average</v>
      </c>
    </row>
    <row r="1399" spans="1:37" x14ac:dyDescent="0.2">
      <c r="A1399">
        <v>1398</v>
      </c>
      <c r="B1399" t="s">
        <v>289</v>
      </c>
      <c r="C1399" t="s">
        <v>54</v>
      </c>
      <c r="D1399" t="s">
        <v>39</v>
      </c>
      <c r="E1399" t="s">
        <v>140</v>
      </c>
      <c r="F1399" s="25">
        <v>46063</v>
      </c>
      <c r="G1399" t="s">
        <v>374</v>
      </c>
      <c r="H1399" t="s">
        <v>412</v>
      </c>
      <c r="I1399" t="s">
        <v>371</v>
      </c>
      <c r="J1399" t="s">
        <v>36</v>
      </c>
      <c r="K1399" t="s">
        <v>153</v>
      </c>
      <c r="L1399" t="s">
        <v>395</v>
      </c>
      <c r="M1399" t="s">
        <v>141</v>
      </c>
      <c r="N1399" t="s">
        <v>142</v>
      </c>
      <c r="O1399" t="s">
        <v>155</v>
      </c>
      <c r="P1399" t="s">
        <v>281</v>
      </c>
      <c r="Q1399" t="s">
        <v>155</v>
      </c>
      <c r="R1399" t="s">
        <v>273</v>
      </c>
      <c r="S1399" t="s">
        <v>309</v>
      </c>
      <c r="T1399">
        <v>1</v>
      </c>
      <c r="U1399" t="s">
        <v>393</v>
      </c>
      <c r="V1399" t="s">
        <v>285</v>
      </c>
      <c r="W1399" t="s">
        <v>394</v>
      </c>
      <c r="X1399" t="s">
        <v>306</v>
      </c>
      <c r="Y1399" t="s">
        <v>307</v>
      </c>
      <c r="Z1399">
        <v>65</v>
      </c>
      <c r="AA1399">
        <v>78</v>
      </c>
      <c r="AB1399" t="s">
        <v>143</v>
      </c>
      <c r="AC1399" t="s">
        <v>163</v>
      </c>
      <c r="AD1399" t="s">
        <v>278</v>
      </c>
      <c r="AE1399" t="str">
        <f>IF(AF1399="","",VLOOKUP(AC1399,mapel!$A$2:$B$42,2,FALSE))</f>
        <v>PKWU</v>
      </c>
      <c r="AF1399">
        <f t="shared" si="63"/>
        <v>78</v>
      </c>
      <c r="AG1399" t="str">
        <f>IF(AF1399="","",IF(AF1399&gt;90,"Sangat baik",IF(AF1399&gt;79,"Baik",IF(AF1399&gt;=pub_gid_0_single_true_output_csv[[#This Row],[KKM]],"Cukup","Kurang"))))</f>
        <v>Cukup</v>
      </c>
      <c r="AH1399">
        <f t="shared" si="64"/>
        <v>11</v>
      </c>
      <c r="AI1399" s="30" t="str">
        <f>IF(OR(J1399&lt;&gt;"Karakter",pub_gid_0_single_true_output_csv[[#This Row],[Nilai2]]=""),"",IF(AF1399&gt;89,"Sangat baik",IF(AF1399&gt;79,"Baik",IF(AF1399&gt;69,"Cukup",IF(AF1399&gt;59,"Kurang","Sangat kurang")))))</f>
        <v/>
      </c>
      <c r="AJ1399" t="str">
        <f t="shared" si="65"/>
        <v>Wk.7</v>
      </c>
      <c r="AK1399" t="str">
        <f>IF(pub_gid_0_single_true_output_csv[[#This Row],[Nilai2]]="","",VLOOKUP(pub_gid_0_single_true_output_csv[[#This Row],[NAMA]],Table7[],3,FALSE))</f>
        <v>Average</v>
      </c>
    </row>
    <row r="1400" spans="1:37" x14ac:dyDescent="0.2">
      <c r="A1400">
        <v>1399</v>
      </c>
      <c r="B1400" t="s">
        <v>289</v>
      </c>
      <c r="C1400" t="s">
        <v>54</v>
      </c>
      <c r="D1400" t="s">
        <v>39</v>
      </c>
      <c r="E1400" t="s">
        <v>140</v>
      </c>
      <c r="F1400" s="25">
        <v>46064</v>
      </c>
      <c r="G1400" t="s">
        <v>352</v>
      </c>
      <c r="H1400" t="s">
        <v>412</v>
      </c>
      <c r="I1400" t="s">
        <v>371</v>
      </c>
      <c r="J1400" t="s">
        <v>31</v>
      </c>
      <c r="K1400" t="s">
        <v>32</v>
      </c>
      <c r="L1400" t="s">
        <v>395</v>
      </c>
      <c r="M1400" t="s">
        <v>141</v>
      </c>
      <c r="N1400" t="s">
        <v>142</v>
      </c>
      <c r="O1400" t="s">
        <v>155</v>
      </c>
      <c r="P1400" t="s">
        <v>281</v>
      </c>
      <c r="Q1400" t="s">
        <v>155</v>
      </c>
      <c r="R1400" t="s">
        <v>273</v>
      </c>
      <c r="S1400" t="s">
        <v>309</v>
      </c>
      <c r="T1400">
        <v>1</v>
      </c>
      <c r="U1400" t="s">
        <v>393</v>
      </c>
      <c r="V1400" t="s">
        <v>285</v>
      </c>
      <c r="W1400" t="s">
        <v>394</v>
      </c>
      <c r="X1400" t="s">
        <v>306</v>
      </c>
      <c r="Y1400" t="s">
        <v>307</v>
      </c>
      <c r="Z1400">
        <v>65</v>
      </c>
      <c r="AA1400">
        <v>78</v>
      </c>
      <c r="AB1400" t="s">
        <v>143</v>
      </c>
      <c r="AC1400" t="s">
        <v>163</v>
      </c>
      <c r="AD1400" t="s">
        <v>278</v>
      </c>
      <c r="AE1400" t="str">
        <f>IF(AF1400="","",VLOOKUP(AC1400,mapel!$A$2:$B$42,2,FALSE))</f>
        <v>PKWU</v>
      </c>
      <c r="AF1400">
        <f t="shared" si="63"/>
        <v>78</v>
      </c>
      <c r="AG1400" t="str">
        <f>IF(AF1400="","",IF(AF1400&gt;90,"Sangat baik",IF(AF1400&gt;79,"Baik",IF(AF1400&gt;=pub_gid_0_single_true_output_csv[[#This Row],[KKM]],"Cukup","Kurang"))))</f>
        <v>Cukup</v>
      </c>
      <c r="AH1400">
        <f t="shared" si="64"/>
        <v>11</v>
      </c>
      <c r="AI1400" s="30" t="str">
        <f>IF(OR(J1400&lt;&gt;"Karakter",pub_gid_0_single_true_output_csv[[#This Row],[Nilai2]]=""),"",IF(AF1400&gt;89,"Sangat baik",IF(AF1400&gt;79,"Baik",IF(AF1400&gt;69,"Cukup",IF(AF1400&gt;59,"Kurang","Sangat kurang")))))</f>
        <v/>
      </c>
      <c r="AJ1400" t="str">
        <f t="shared" si="65"/>
        <v>Wk.7</v>
      </c>
      <c r="AK1400" t="str">
        <f>IF(pub_gid_0_single_true_output_csv[[#This Row],[Nilai2]]="","",VLOOKUP(pub_gid_0_single_true_output_csv[[#This Row],[NAMA]],Table7[],3,FALSE))</f>
        <v>Average</v>
      </c>
    </row>
    <row r="1401" spans="1:37" x14ac:dyDescent="0.2">
      <c r="A1401">
        <v>1400</v>
      </c>
      <c r="B1401" t="s">
        <v>289</v>
      </c>
      <c r="C1401" t="s">
        <v>54</v>
      </c>
      <c r="D1401" t="s">
        <v>39</v>
      </c>
      <c r="E1401" t="s">
        <v>140</v>
      </c>
      <c r="F1401" s="25">
        <v>46065</v>
      </c>
      <c r="G1401" t="s">
        <v>354</v>
      </c>
      <c r="H1401" t="s">
        <v>412</v>
      </c>
      <c r="I1401" t="s">
        <v>371</v>
      </c>
      <c r="J1401" t="s">
        <v>41</v>
      </c>
      <c r="K1401" t="s">
        <v>365</v>
      </c>
      <c r="L1401" t="s">
        <v>322</v>
      </c>
      <c r="M1401" t="s">
        <v>141</v>
      </c>
      <c r="N1401" t="s">
        <v>142</v>
      </c>
      <c r="O1401" t="s">
        <v>155</v>
      </c>
      <c r="P1401" t="s">
        <v>281</v>
      </c>
      <c r="Q1401" t="s">
        <v>155</v>
      </c>
      <c r="R1401" t="s">
        <v>273</v>
      </c>
      <c r="S1401" t="s">
        <v>309</v>
      </c>
      <c r="T1401">
        <v>1</v>
      </c>
      <c r="U1401" t="s">
        <v>393</v>
      </c>
      <c r="V1401" t="s">
        <v>285</v>
      </c>
      <c r="W1401" t="s">
        <v>394</v>
      </c>
      <c r="X1401" t="s">
        <v>306</v>
      </c>
      <c r="Y1401" t="s">
        <v>307</v>
      </c>
      <c r="Z1401">
        <v>65</v>
      </c>
      <c r="AA1401">
        <v>78</v>
      </c>
      <c r="AB1401" t="s">
        <v>143</v>
      </c>
      <c r="AC1401" t="s">
        <v>163</v>
      </c>
      <c r="AD1401" t="s">
        <v>278</v>
      </c>
      <c r="AE1401" t="str">
        <f>IF(AF1401="","",VLOOKUP(AC1401,mapel!$A$2:$B$42,2,FALSE))</f>
        <v>PKWU</v>
      </c>
      <c r="AF1401">
        <f t="shared" si="63"/>
        <v>78</v>
      </c>
      <c r="AG1401" t="str">
        <f>IF(AF1401="","",IF(AF1401&gt;90,"Sangat baik",IF(AF1401&gt;79,"Baik",IF(AF1401&gt;=pub_gid_0_single_true_output_csv[[#This Row],[KKM]],"Cukup","Kurang"))))</f>
        <v>Cukup</v>
      </c>
      <c r="AH1401">
        <f t="shared" si="64"/>
        <v>11</v>
      </c>
      <c r="AI1401" s="30" t="str">
        <f>IF(OR(J1401&lt;&gt;"Karakter",pub_gid_0_single_true_output_csv[[#This Row],[Nilai2]]=""),"",IF(AF1401&gt;89,"Sangat baik",IF(AF1401&gt;79,"Baik",IF(AF1401&gt;69,"Cukup",IF(AF1401&gt;59,"Kurang","Sangat kurang")))))</f>
        <v/>
      </c>
      <c r="AJ1401" t="str">
        <f t="shared" si="65"/>
        <v>Wk.7</v>
      </c>
      <c r="AK1401" t="str">
        <f>IF(pub_gid_0_single_true_output_csv[[#This Row],[Nilai2]]="","",VLOOKUP(pub_gid_0_single_true_output_csv[[#This Row],[NAMA]],Table7[],3,FALSE))</f>
        <v>Average</v>
      </c>
    </row>
    <row r="1402" spans="1:37" x14ac:dyDescent="0.2">
      <c r="A1402">
        <v>1401</v>
      </c>
      <c r="B1402" t="s">
        <v>289</v>
      </c>
      <c r="C1402" t="s">
        <v>54</v>
      </c>
      <c r="D1402" t="s">
        <v>39</v>
      </c>
      <c r="E1402" t="s">
        <v>140</v>
      </c>
      <c r="F1402" s="25">
        <v>46071</v>
      </c>
      <c r="G1402" t="s">
        <v>323</v>
      </c>
      <c r="H1402" t="s">
        <v>412</v>
      </c>
      <c r="I1402" t="s">
        <v>371</v>
      </c>
      <c r="J1402" t="s">
        <v>41</v>
      </c>
      <c r="K1402" t="s">
        <v>365</v>
      </c>
      <c r="L1402" t="s">
        <v>319</v>
      </c>
      <c r="M1402" t="s">
        <v>141</v>
      </c>
      <c r="N1402" t="s">
        <v>142</v>
      </c>
      <c r="O1402" t="s">
        <v>155</v>
      </c>
      <c r="P1402" t="s">
        <v>281</v>
      </c>
      <c r="Q1402" t="s">
        <v>155</v>
      </c>
      <c r="R1402" t="s">
        <v>273</v>
      </c>
      <c r="S1402" t="s">
        <v>470</v>
      </c>
      <c r="T1402">
        <v>4</v>
      </c>
      <c r="U1402" t="s">
        <v>471</v>
      </c>
      <c r="V1402" t="s">
        <v>472</v>
      </c>
      <c r="W1402" t="s">
        <v>473</v>
      </c>
      <c r="X1402" t="s">
        <v>306</v>
      </c>
      <c r="Y1402" t="s">
        <v>307</v>
      </c>
      <c r="Z1402">
        <v>65</v>
      </c>
      <c r="AA1402">
        <v>80</v>
      </c>
      <c r="AB1402" t="s">
        <v>143</v>
      </c>
      <c r="AC1402" t="s">
        <v>163</v>
      </c>
      <c r="AD1402" t="s">
        <v>278</v>
      </c>
      <c r="AE1402" t="str">
        <f>IF(AF1402="","",VLOOKUP(AC1402,mapel!$A$2:$B$42,2,FALSE))</f>
        <v>PKWU</v>
      </c>
      <c r="AF1402">
        <f t="shared" si="63"/>
        <v>80</v>
      </c>
      <c r="AG1402" t="str">
        <f>IF(AF1402="","",IF(AF1402&gt;90,"Sangat baik",IF(AF1402&gt;79,"Baik",IF(AF1402&gt;=pub_gid_0_single_true_output_csv[[#This Row],[KKM]],"Cukup","Kurang"))))</f>
        <v>Baik</v>
      </c>
      <c r="AH1402">
        <f t="shared" si="64"/>
        <v>11</v>
      </c>
      <c r="AI1402" s="30" t="str">
        <f>IF(OR(J1402&lt;&gt;"Karakter",pub_gid_0_single_true_output_csv[[#This Row],[Nilai2]]=""),"",IF(AF1402&gt;89,"Sangat baik",IF(AF1402&gt;79,"Baik",IF(AF1402&gt;69,"Cukup",IF(AF1402&gt;59,"Kurang","Sangat kurang")))))</f>
        <v/>
      </c>
      <c r="AJ1402" t="str">
        <f t="shared" si="65"/>
        <v>Wk.8</v>
      </c>
      <c r="AK1402" t="str">
        <f>IF(pub_gid_0_single_true_output_csv[[#This Row],[Nilai2]]="","",VLOOKUP(pub_gid_0_single_true_output_csv[[#This Row],[NAMA]],Table7[],3,FALSE))</f>
        <v>Average</v>
      </c>
    </row>
    <row r="1403" spans="1:37" x14ac:dyDescent="0.2">
      <c r="A1403">
        <v>1402</v>
      </c>
      <c r="B1403" t="s">
        <v>289</v>
      </c>
      <c r="C1403" t="s">
        <v>54</v>
      </c>
      <c r="D1403" t="s">
        <v>39</v>
      </c>
      <c r="E1403" t="s">
        <v>140</v>
      </c>
      <c r="F1403" s="25">
        <v>46077</v>
      </c>
      <c r="G1403" t="s">
        <v>476</v>
      </c>
      <c r="H1403" t="s">
        <v>412</v>
      </c>
      <c r="I1403" t="s">
        <v>371</v>
      </c>
      <c r="J1403" t="s">
        <v>41</v>
      </c>
      <c r="K1403" t="s">
        <v>365</v>
      </c>
      <c r="L1403" t="s">
        <v>319</v>
      </c>
      <c r="M1403" t="s">
        <v>141</v>
      </c>
      <c r="N1403" t="s">
        <v>142</v>
      </c>
      <c r="O1403" t="s">
        <v>155</v>
      </c>
      <c r="P1403" t="s">
        <v>281</v>
      </c>
      <c r="Q1403" t="s">
        <v>155</v>
      </c>
      <c r="R1403" t="s">
        <v>273</v>
      </c>
      <c r="S1403" t="s">
        <v>470</v>
      </c>
      <c r="T1403">
        <v>4</v>
      </c>
      <c r="U1403" t="s">
        <v>471</v>
      </c>
      <c r="V1403" t="s">
        <v>472</v>
      </c>
      <c r="W1403" t="s">
        <v>473</v>
      </c>
      <c r="X1403" t="s">
        <v>306</v>
      </c>
      <c r="Y1403" t="s">
        <v>307</v>
      </c>
      <c r="Z1403">
        <v>65</v>
      </c>
      <c r="AA1403">
        <v>80</v>
      </c>
      <c r="AB1403" t="s">
        <v>143</v>
      </c>
      <c r="AC1403" t="s">
        <v>163</v>
      </c>
      <c r="AD1403" t="s">
        <v>278</v>
      </c>
      <c r="AE1403" t="str">
        <f>IF(AF1403="","",VLOOKUP(AC1403,mapel!$A$2:$B$42,2,FALSE))</f>
        <v>PKWU</v>
      </c>
      <c r="AF1403">
        <f t="shared" si="63"/>
        <v>80</v>
      </c>
      <c r="AG1403" t="str">
        <f>IF(AF1403="","",IF(AF1403&gt;90,"Sangat baik",IF(AF1403&gt;79,"Baik",IF(AF1403&gt;=pub_gid_0_single_true_output_csv[[#This Row],[KKM]],"Cukup","Kurang"))))</f>
        <v>Baik</v>
      </c>
      <c r="AH1403">
        <f t="shared" si="64"/>
        <v>11</v>
      </c>
      <c r="AI1403" s="30" t="str">
        <f>IF(OR(J1403&lt;&gt;"Karakter",pub_gid_0_single_true_output_csv[[#This Row],[Nilai2]]=""),"",IF(AF1403&gt;89,"Sangat baik",IF(AF1403&gt;79,"Baik",IF(AF1403&gt;69,"Cukup",IF(AF1403&gt;59,"Kurang","Sangat kurang")))))</f>
        <v/>
      </c>
      <c r="AJ1403" t="str">
        <f t="shared" si="65"/>
        <v>Wk.9</v>
      </c>
      <c r="AK1403" t="str">
        <f>IF(pub_gid_0_single_true_output_csv[[#This Row],[Nilai2]]="","",VLOOKUP(pub_gid_0_single_true_output_csv[[#This Row],[NAMA]],Table7[],3,FALSE))</f>
        <v>Average</v>
      </c>
    </row>
    <row r="1404" spans="1:37" x14ac:dyDescent="0.2">
      <c r="A1404">
        <v>1403</v>
      </c>
      <c r="B1404" t="s">
        <v>289</v>
      </c>
      <c r="C1404" t="s">
        <v>54</v>
      </c>
      <c r="D1404" t="s">
        <v>39</v>
      </c>
      <c r="E1404" t="s">
        <v>140</v>
      </c>
      <c r="F1404" s="25">
        <v>46078</v>
      </c>
      <c r="G1404" t="s">
        <v>284</v>
      </c>
      <c r="H1404" t="s">
        <v>412</v>
      </c>
      <c r="I1404" t="s">
        <v>371</v>
      </c>
      <c r="J1404" t="s">
        <v>36</v>
      </c>
      <c r="K1404" t="s">
        <v>153</v>
      </c>
      <c r="L1404" t="s">
        <v>319</v>
      </c>
      <c r="M1404" t="s">
        <v>141</v>
      </c>
      <c r="N1404" t="s">
        <v>142</v>
      </c>
      <c r="O1404" t="s">
        <v>155</v>
      </c>
      <c r="P1404" t="s">
        <v>281</v>
      </c>
      <c r="Q1404" t="s">
        <v>155</v>
      </c>
      <c r="R1404" t="s">
        <v>273</v>
      </c>
      <c r="S1404" t="s">
        <v>470</v>
      </c>
      <c r="T1404">
        <v>4</v>
      </c>
      <c r="U1404" t="s">
        <v>471</v>
      </c>
      <c r="V1404" t="s">
        <v>472</v>
      </c>
      <c r="W1404" t="s">
        <v>473</v>
      </c>
      <c r="X1404" t="s">
        <v>306</v>
      </c>
      <c r="Y1404" t="s">
        <v>307</v>
      </c>
      <c r="Z1404">
        <v>65</v>
      </c>
      <c r="AA1404">
        <v>80</v>
      </c>
      <c r="AB1404" t="s">
        <v>143</v>
      </c>
      <c r="AC1404" t="s">
        <v>163</v>
      </c>
      <c r="AD1404" t="s">
        <v>278</v>
      </c>
      <c r="AE1404" t="str">
        <f>IF(AF1404="","",VLOOKUP(AC1404,mapel!$A$2:$B$42,2,FALSE))</f>
        <v>PKWU</v>
      </c>
      <c r="AF1404">
        <f t="shared" si="63"/>
        <v>80</v>
      </c>
      <c r="AG1404" t="str">
        <f>IF(AF1404="","",IF(AF1404&gt;90,"Sangat baik",IF(AF1404&gt;79,"Baik",IF(AF1404&gt;=pub_gid_0_single_true_output_csv[[#This Row],[KKM]],"Cukup","Kurang"))))</f>
        <v>Baik</v>
      </c>
      <c r="AH1404">
        <f t="shared" si="64"/>
        <v>11</v>
      </c>
      <c r="AI1404" s="30" t="str">
        <f>IF(OR(J1404&lt;&gt;"Karakter",pub_gid_0_single_true_output_csv[[#This Row],[Nilai2]]=""),"",IF(AF1404&gt;89,"Sangat baik",IF(AF1404&gt;79,"Baik",IF(AF1404&gt;69,"Cukup",IF(AF1404&gt;59,"Kurang","Sangat kurang")))))</f>
        <v/>
      </c>
      <c r="AJ1404" t="str">
        <f t="shared" si="65"/>
        <v>Wk.9</v>
      </c>
      <c r="AK1404" t="str">
        <f>IF(pub_gid_0_single_true_output_csv[[#This Row],[Nilai2]]="","",VLOOKUP(pub_gid_0_single_true_output_csv[[#This Row],[NAMA]],Table7[],3,FALSE))</f>
        <v>Average</v>
      </c>
    </row>
    <row r="1405" spans="1:37" x14ac:dyDescent="0.2">
      <c r="A1405">
        <v>1404</v>
      </c>
      <c r="B1405" t="s">
        <v>290</v>
      </c>
      <c r="C1405" t="s">
        <v>54</v>
      </c>
      <c r="D1405" t="s">
        <v>42</v>
      </c>
      <c r="E1405" t="s">
        <v>140</v>
      </c>
      <c r="F1405" s="25">
        <v>46051</v>
      </c>
      <c r="G1405" t="s">
        <v>320</v>
      </c>
      <c r="H1405" t="s">
        <v>405</v>
      </c>
      <c r="I1405" t="s">
        <v>371</v>
      </c>
      <c r="J1405" t="s">
        <v>41</v>
      </c>
      <c r="K1405" t="s">
        <v>365</v>
      </c>
      <c r="L1405" t="s">
        <v>319</v>
      </c>
      <c r="M1405" t="s">
        <v>141</v>
      </c>
      <c r="N1405" t="s">
        <v>142</v>
      </c>
      <c r="O1405" t="s">
        <v>155</v>
      </c>
      <c r="P1405" t="s">
        <v>281</v>
      </c>
      <c r="Q1405" t="s">
        <v>155</v>
      </c>
      <c r="R1405" t="s">
        <v>273</v>
      </c>
      <c r="S1405" t="s">
        <v>470</v>
      </c>
      <c r="T1405">
        <v>4</v>
      </c>
      <c r="U1405" t="s">
        <v>471</v>
      </c>
      <c r="V1405" t="s">
        <v>472</v>
      </c>
      <c r="W1405" t="s">
        <v>473</v>
      </c>
      <c r="X1405" t="s">
        <v>306</v>
      </c>
      <c r="Y1405" t="s">
        <v>307</v>
      </c>
      <c r="Z1405">
        <v>65</v>
      </c>
      <c r="AA1405">
        <v>80</v>
      </c>
      <c r="AB1405" t="s">
        <v>143</v>
      </c>
      <c r="AC1405" t="s">
        <v>163</v>
      </c>
      <c r="AD1405" t="s">
        <v>278</v>
      </c>
      <c r="AE1405" t="str">
        <f>IF(AF1405="","",VLOOKUP(AC1405,mapel!$A$2:$B$42,2,FALSE))</f>
        <v>PKWU</v>
      </c>
      <c r="AF1405">
        <f t="shared" si="63"/>
        <v>80</v>
      </c>
      <c r="AG1405" t="str">
        <f>IF(AF1405="","",IF(AF1405&gt;90,"Sangat baik",IF(AF1405&gt;79,"Baik",IF(AF1405&gt;=pub_gid_0_single_true_output_csv[[#This Row],[KKM]],"Cukup","Kurang"))))</f>
        <v>Baik</v>
      </c>
      <c r="AH1405">
        <f t="shared" si="64"/>
        <v>11</v>
      </c>
      <c r="AI1405" s="30" t="str">
        <f>IF(OR(J1405&lt;&gt;"Karakter",pub_gid_0_single_true_output_csv[[#This Row],[Nilai2]]=""),"",IF(AF1405&gt;89,"Sangat baik",IF(AF1405&gt;79,"Baik",IF(AF1405&gt;69,"Cukup",IF(AF1405&gt;59,"Kurang","Sangat kurang")))))</f>
        <v/>
      </c>
      <c r="AJ1405" t="str">
        <f t="shared" si="65"/>
        <v>Wk.5</v>
      </c>
      <c r="AK1405" t="str">
        <f>IF(pub_gid_0_single_true_output_csv[[#This Row],[Nilai2]]="","",VLOOKUP(pub_gid_0_single_true_output_csv[[#This Row],[NAMA]],Table7[],3,FALSE))</f>
        <v>Superior</v>
      </c>
    </row>
    <row r="1406" spans="1:37" x14ac:dyDescent="0.2">
      <c r="A1406">
        <v>1405</v>
      </c>
      <c r="B1406" t="s">
        <v>290</v>
      </c>
      <c r="C1406" t="s">
        <v>54</v>
      </c>
      <c r="D1406" t="s">
        <v>42</v>
      </c>
      <c r="E1406" t="s">
        <v>140</v>
      </c>
      <c r="F1406" s="25">
        <v>46056</v>
      </c>
      <c r="G1406" t="s">
        <v>372</v>
      </c>
      <c r="H1406" t="s">
        <v>412</v>
      </c>
      <c r="I1406" t="s">
        <v>371</v>
      </c>
      <c r="J1406" t="s">
        <v>41</v>
      </c>
      <c r="K1406" t="s">
        <v>365</v>
      </c>
      <c r="L1406" t="s">
        <v>322</v>
      </c>
      <c r="M1406" t="s">
        <v>141</v>
      </c>
      <c r="N1406" t="s">
        <v>142</v>
      </c>
      <c r="O1406" t="s">
        <v>155</v>
      </c>
      <c r="P1406" t="s">
        <v>281</v>
      </c>
      <c r="Q1406" t="s">
        <v>155</v>
      </c>
      <c r="R1406" t="s">
        <v>273</v>
      </c>
      <c r="S1406" t="s">
        <v>309</v>
      </c>
      <c r="T1406">
        <v>1</v>
      </c>
      <c r="U1406" t="s">
        <v>393</v>
      </c>
      <c r="V1406" t="s">
        <v>285</v>
      </c>
      <c r="W1406" t="s">
        <v>394</v>
      </c>
      <c r="X1406" t="s">
        <v>306</v>
      </c>
      <c r="Y1406" t="s">
        <v>307</v>
      </c>
      <c r="Z1406">
        <v>65</v>
      </c>
      <c r="AA1406">
        <v>78</v>
      </c>
      <c r="AB1406" t="s">
        <v>143</v>
      </c>
      <c r="AC1406" t="s">
        <v>163</v>
      </c>
      <c r="AD1406" t="s">
        <v>278</v>
      </c>
      <c r="AE1406" t="str">
        <f>IF(AF1406="","",VLOOKUP(AC1406,mapel!$A$2:$B$42,2,FALSE))</f>
        <v>PKWU</v>
      </c>
      <c r="AF1406">
        <f t="shared" si="63"/>
        <v>78</v>
      </c>
      <c r="AG1406" t="str">
        <f>IF(AF1406="","",IF(AF1406&gt;90,"Sangat baik",IF(AF1406&gt;79,"Baik",IF(AF1406&gt;=pub_gid_0_single_true_output_csv[[#This Row],[KKM]],"Cukup","Kurang"))))</f>
        <v>Cukup</v>
      </c>
      <c r="AH1406">
        <f t="shared" si="64"/>
        <v>11</v>
      </c>
      <c r="AI1406" s="30" t="str">
        <f>IF(OR(J1406&lt;&gt;"Karakter",pub_gid_0_single_true_output_csv[[#This Row],[Nilai2]]=""),"",IF(AF1406&gt;89,"Sangat baik",IF(AF1406&gt;79,"Baik",IF(AF1406&gt;69,"Cukup",IF(AF1406&gt;59,"Kurang","Sangat kurang")))))</f>
        <v/>
      </c>
      <c r="AJ1406" t="str">
        <f t="shared" si="65"/>
        <v>Wk.6</v>
      </c>
      <c r="AK1406" t="str">
        <f>IF(pub_gid_0_single_true_output_csv[[#This Row],[Nilai2]]="","",VLOOKUP(pub_gid_0_single_true_output_csv[[#This Row],[NAMA]],Table7[],3,FALSE))</f>
        <v>Superior</v>
      </c>
    </row>
    <row r="1407" spans="1:37" x14ac:dyDescent="0.2">
      <c r="A1407">
        <v>1406</v>
      </c>
      <c r="B1407" t="s">
        <v>290</v>
      </c>
      <c r="C1407" t="s">
        <v>54</v>
      </c>
      <c r="D1407" t="s">
        <v>42</v>
      </c>
      <c r="E1407" t="s">
        <v>140</v>
      </c>
      <c r="F1407" s="25">
        <v>46057</v>
      </c>
      <c r="G1407" t="s">
        <v>348</v>
      </c>
      <c r="H1407" t="s">
        <v>412</v>
      </c>
      <c r="I1407" t="s">
        <v>371</v>
      </c>
      <c r="J1407" t="s">
        <v>36</v>
      </c>
      <c r="K1407" t="s">
        <v>153</v>
      </c>
      <c r="L1407" t="s">
        <v>395</v>
      </c>
      <c r="M1407" t="s">
        <v>141</v>
      </c>
      <c r="N1407" t="s">
        <v>142</v>
      </c>
      <c r="O1407" t="s">
        <v>155</v>
      </c>
      <c r="P1407" t="s">
        <v>281</v>
      </c>
      <c r="Q1407" t="s">
        <v>155</v>
      </c>
      <c r="R1407" t="s">
        <v>273</v>
      </c>
      <c r="S1407" t="s">
        <v>309</v>
      </c>
      <c r="T1407">
        <v>1</v>
      </c>
      <c r="U1407" t="s">
        <v>393</v>
      </c>
      <c r="V1407" t="s">
        <v>285</v>
      </c>
      <c r="W1407" t="s">
        <v>394</v>
      </c>
      <c r="X1407" t="s">
        <v>306</v>
      </c>
      <c r="Y1407" t="s">
        <v>307</v>
      </c>
      <c r="Z1407">
        <v>65</v>
      </c>
      <c r="AA1407">
        <v>78</v>
      </c>
      <c r="AB1407" t="s">
        <v>143</v>
      </c>
      <c r="AC1407" t="s">
        <v>163</v>
      </c>
      <c r="AD1407" t="s">
        <v>278</v>
      </c>
      <c r="AE1407" t="str">
        <f>IF(AF1407="","",VLOOKUP(AC1407,mapel!$A$2:$B$42,2,FALSE))</f>
        <v>PKWU</v>
      </c>
      <c r="AF1407">
        <f t="shared" si="63"/>
        <v>78</v>
      </c>
      <c r="AG1407" t="str">
        <f>IF(AF1407="","",IF(AF1407&gt;90,"Sangat baik",IF(AF1407&gt;79,"Baik",IF(AF1407&gt;=pub_gid_0_single_true_output_csv[[#This Row],[KKM]],"Cukup","Kurang"))))</f>
        <v>Cukup</v>
      </c>
      <c r="AH1407">
        <f t="shared" si="64"/>
        <v>11</v>
      </c>
      <c r="AI1407" s="30" t="str">
        <f>IF(OR(J1407&lt;&gt;"Karakter",pub_gid_0_single_true_output_csv[[#This Row],[Nilai2]]=""),"",IF(AF1407&gt;89,"Sangat baik",IF(AF1407&gt;79,"Baik",IF(AF1407&gt;69,"Cukup",IF(AF1407&gt;59,"Kurang","Sangat kurang")))))</f>
        <v/>
      </c>
      <c r="AJ1407" t="str">
        <f t="shared" si="65"/>
        <v>Wk.6</v>
      </c>
      <c r="AK1407" t="str">
        <f>IF(pub_gid_0_single_true_output_csv[[#This Row],[Nilai2]]="","",VLOOKUP(pub_gid_0_single_true_output_csv[[#This Row],[NAMA]],Table7[],3,FALSE))</f>
        <v>Superior</v>
      </c>
    </row>
    <row r="1408" spans="1:37" x14ac:dyDescent="0.2">
      <c r="A1408">
        <v>1407</v>
      </c>
      <c r="B1408" t="s">
        <v>290</v>
      </c>
      <c r="C1408" t="s">
        <v>54</v>
      </c>
      <c r="D1408" t="s">
        <v>42</v>
      </c>
      <c r="E1408" t="s">
        <v>140</v>
      </c>
      <c r="F1408" s="25">
        <v>46058</v>
      </c>
      <c r="G1408" t="s">
        <v>346</v>
      </c>
      <c r="H1408" t="s">
        <v>412</v>
      </c>
      <c r="I1408" t="s">
        <v>371</v>
      </c>
      <c r="J1408" t="s">
        <v>41</v>
      </c>
      <c r="K1408" t="s">
        <v>365</v>
      </c>
      <c r="L1408" t="s">
        <v>322</v>
      </c>
      <c r="M1408" t="s">
        <v>141</v>
      </c>
      <c r="N1408" t="s">
        <v>142</v>
      </c>
      <c r="O1408" t="s">
        <v>155</v>
      </c>
      <c r="P1408" t="s">
        <v>281</v>
      </c>
      <c r="Q1408" t="s">
        <v>155</v>
      </c>
      <c r="R1408" t="s">
        <v>273</v>
      </c>
      <c r="S1408" t="s">
        <v>309</v>
      </c>
      <c r="T1408">
        <v>1</v>
      </c>
      <c r="U1408" t="s">
        <v>393</v>
      </c>
      <c r="V1408" t="s">
        <v>285</v>
      </c>
      <c r="W1408" t="s">
        <v>394</v>
      </c>
      <c r="X1408" t="s">
        <v>306</v>
      </c>
      <c r="Y1408" t="s">
        <v>307</v>
      </c>
      <c r="Z1408">
        <v>65</v>
      </c>
      <c r="AA1408">
        <v>78</v>
      </c>
      <c r="AB1408" t="s">
        <v>143</v>
      </c>
      <c r="AC1408" t="s">
        <v>163</v>
      </c>
      <c r="AD1408" t="s">
        <v>278</v>
      </c>
      <c r="AE1408" t="str">
        <f>IF(AF1408="","",VLOOKUP(AC1408,mapel!$A$2:$B$42,2,FALSE))</f>
        <v>PKWU</v>
      </c>
      <c r="AF1408">
        <f t="shared" si="63"/>
        <v>78</v>
      </c>
      <c r="AG1408" t="str">
        <f>IF(AF1408="","",IF(AF1408&gt;90,"Sangat baik",IF(AF1408&gt;79,"Baik",IF(AF1408&gt;=pub_gid_0_single_true_output_csv[[#This Row],[KKM]],"Cukup","Kurang"))))</f>
        <v>Cukup</v>
      </c>
      <c r="AH1408">
        <f t="shared" si="64"/>
        <v>11</v>
      </c>
      <c r="AI1408" s="30" t="str">
        <f>IF(OR(J1408&lt;&gt;"Karakter",pub_gid_0_single_true_output_csv[[#This Row],[Nilai2]]=""),"",IF(AF1408&gt;89,"Sangat baik",IF(AF1408&gt;79,"Baik",IF(AF1408&gt;69,"Cukup",IF(AF1408&gt;59,"Kurang","Sangat kurang")))))</f>
        <v/>
      </c>
      <c r="AJ1408" t="str">
        <f t="shared" si="65"/>
        <v>Wk.6</v>
      </c>
      <c r="AK1408" t="str">
        <f>IF(pub_gid_0_single_true_output_csv[[#This Row],[Nilai2]]="","",VLOOKUP(pub_gid_0_single_true_output_csv[[#This Row],[NAMA]],Table7[],3,FALSE))</f>
        <v>Superior</v>
      </c>
    </row>
    <row r="1409" spans="1:37" x14ac:dyDescent="0.2">
      <c r="A1409">
        <v>1408</v>
      </c>
      <c r="B1409" t="s">
        <v>290</v>
      </c>
      <c r="C1409" t="s">
        <v>54</v>
      </c>
      <c r="D1409" t="s">
        <v>42</v>
      </c>
      <c r="E1409" t="s">
        <v>140</v>
      </c>
      <c r="F1409" s="25">
        <v>46063</v>
      </c>
      <c r="G1409" t="s">
        <v>374</v>
      </c>
      <c r="H1409" t="s">
        <v>412</v>
      </c>
      <c r="I1409" t="s">
        <v>371</v>
      </c>
      <c r="J1409" t="s">
        <v>36</v>
      </c>
      <c r="K1409" t="s">
        <v>153</v>
      </c>
      <c r="L1409" t="s">
        <v>395</v>
      </c>
      <c r="M1409" t="s">
        <v>141</v>
      </c>
      <c r="N1409" t="s">
        <v>142</v>
      </c>
      <c r="O1409" t="s">
        <v>155</v>
      </c>
      <c r="P1409" t="s">
        <v>281</v>
      </c>
      <c r="Q1409" t="s">
        <v>155</v>
      </c>
      <c r="R1409" t="s">
        <v>273</v>
      </c>
      <c r="S1409" t="s">
        <v>309</v>
      </c>
      <c r="T1409">
        <v>1</v>
      </c>
      <c r="U1409" t="s">
        <v>393</v>
      </c>
      <c r="V1409" t="s">
        <v>285</v>
      </c>
      <c r="W1409" t="s">
        <v>394</v>
      </c>
      <c r="X1409" t="s">
        <v>306</v>
      </c>
      <c r="Y1409" t="s">
        <v>307</v>
      </c>
      <c r="Z1409">
        <v>65</v>
      </c>
      <c r="AA1409">
        <v>78</v>
      </c>
      <c r="AB1409" t="s">
        <v>143</v>
      </c>
      <c r="AC1409" t="s">
        <v>163</v>
      </c>
      <c r="AD1409" t="s">
        <v>278</v>
      </c>
      <c r="AE1409" t="str">
        <f>IF(AF1409="","",VLOOKUP(AC1409,mapel!$A$2:$B$42,2,FALSE))</f>
        <v>PKWU</v>
      </c>
      <c r="AF1409">
        <f t="shared" si="63"/>
        <v>78</v>
      </c>
      <c r="AG1409" t="str">
        <f>IF(AF1409="","",IF(AF1409&gt;90,"Sangat baik",IF(AF1409&gt;79,"Baik",IF(AF1409&gt;=pub_gid_0_single_true_output_csv[[#This Row],[KKM]],"Cukup","Kurang"))))</f>
        <v>Cukup</v>
      </c>
      <c r="AH1409">
        <f t="shared" si="64"/>
        <v>11</v>
      </c>
      <c r="AI1409" s="30" t="str">
        <f>IF(OR(J1409&lt;&gt;"Karakter",pub_gid_0_single_true_output_csv[[#This Row],[Nilai2]]=""),"",IF(AF1409&gt;89,"Sangat baik",IF(AF1409&gt;79,"Baik",IF(AF1409&gt;69,"Cukup",IF(AF1409&gt;59,"Kurang","Sangat kurang")))))</f>
        <v/>
      </c>
      <c r="AJ1409" t="str">
        <f t="shared" si="65"/>
        <v>Wk.7</v>
      </c>
      <c r="AK1409" t="str">
        <f>IF(pub_gid_0_single_true_output_csv[[#This Row],[Nilai2]]="","",VLOOKUP(pub_gid_0_single_true_output_csv[[#This Row],[NAMA]],Table7[],3,FALSE))</f>
        <v>Superior</v>
      </c>
    </row>
    <row r="1410" spans="1:37" x14ac:dyDescent="0.2">
      <c r="A1410">
        <v>1409</v>
      </c>
      <c r="B1410" t="s">
        <v>290</v>
      </c>
      <c r="C1410" t="s">
        <v>54</v>
      </c>
      <c r="D1410" t="s">
        <v>42</v>
      </c>
      <c r="E1410" t="s">
        <v>140</v>
      </c>
      <c r="F1410" s="25">
        <v>46064</v>
      </c>
      <c r="G1410" t="s">
        <v>352</v>
      </c>
      <c r="H1410" t="s">
        <v>412</v>
      </c>
      <c r="I1410" t="s">
        <v>371</v>
      </c>
      <c r="J1410" t="s">
        <v>31</v>
      </c>
      <c r="K1410" t="s">
        <v>32</v>
      </c>
      <c r="L1410" t="s">
        <v>395</v>
      </c>
      <c r="M1410" t="s">
        <v>141</v>
      </c>
      <c r="N1410" t="s">
        <v>142</v>
      </c>
      <c r="O1410" t="s">
        <v>155</v>
      </c>
      <c r="P1410" t="s">
        <v>281</v>
      </c>
      <c r="Q1410" t="s">
        <v>155</v>
      </c>
      <c r="R1410" t="s">
        <v>273</v>
      </c>
      <c r="S1410" t="s">
        <v>309</v>
      </c>
      <c r="T1410">
        <v>1</v>
      </c>
      <c r="U1410" t="s">
        <v>393</v>
      </c>
      <c r="V1410" t="s">
        <v>285</v>
      </c>
      <c r="W1410" t="s">
        <v>394</v>
      </c>
      <c r="X1410" t="s">
        <v>306</v>
      </c>
      <c r="Y1410" t="s">
        <v>307</v>
      </c>
      <c r="Z1410">
        <v>65</v>
      </c>
      <c r="AA1410">
        <v>78</v>
      </c>
      <c r="AB1410" t="s">
        <v>143</v>
      </c>
      <c r="AC1410" t="s">
        <v>163</v>
      </c>
      <c r="AD1410" t="s">
        <v>278</v>
      </c>
      <c r="AE1410" t="str">
        <f>IF(AF1410="","",VLOOKUP(AC1410,mapel!$A$2:$B$42,2,FALSE))</f>
        <v>PKWU</v>
      </c>
      <c r="AF1410">
        <f t="shared" ref="AF1410:AF1473" si="66">IF(AA1410=0, "",IF(AA1410 = 0.1, 0,AA1410))</f>
        <v>78</v>
      </c>
      <c r="AG1410" t="str">
        <f>IF(AF1410="","",IF(AF1410&gt;90,"Sangat baik",IF(AF1410&gt;79,"Baik",IF(AF1410&gt;=pub_gid_0_single_true_output_csv[[#This Row],[KKM]],"Cukup","Kurang"))))</f>
        <v>Cukup</v>
      </c>
      <c r="AH1410">
        <f t="shared" ref="AH1410:AH1473" si="67">IF(AG1410="","",VALUE(RIGHT(X1410,2)))</f>
        <v>11</v>
      </c>
      <c r="AI1410" s="30" t="str">
        <f>IF(OR(J1410&lt;&gt;"Karakter",pub_gid_0_single_true_output_csv[[#This Row],[Nilai2]]=""),"",IF(AF1410&gt;89,"Sangat baik",IF(AF1410&gt;79,"Baik",IF(AF1410&gt;69,"Cukup",IF(AF1410&gt;59,"Kurang","Sangat kurang")))))</f>
        <v/>
      </c>
      <c r="AJ1410" t="str">
        <f t="shared" ref="AJ1410:AJ1473" si="68">IF(AF1410="","",CONCATENATE("Wk.",WEEKNUM(F1410,2)))</f>
        <v>Wk.7</v>
      </c>
      <c r="AK1410" t="str">
        <f>IF(pub_gid_0_single_true_output_csv[[#This Row],[Nilai2]]="","",VLOOKUP(pub_gid_0_single_true_output_csv[[#This Row],[NAMA]],Table7[],3,FALSE))</f>
        <v>Superior</v>
      </c>
    </row>
    <row r="1411" spans="1:37" x14ac:dyDescent="0.2">
      <c r="A1411">
        <v>1410</v>
      </c>
      <c r="B1411" t="s">
        <v>290</v>
      </c>
      <c r="C1411" t="s">
        <v>54</v>
      </c>
      <c r="D1411" t="s">
        <v>42</v>
      </c>
      <c r="E1411" t="s">
        <v>140</v>
      </c>
      <c r="F1411" s="25">
        <v>46065</v>
      </c>
      <c r="G1411" t="s">
        <v>354</v>
      </c>
      <c r="H1411" t="s">
        <v>412</v>
      </c>
      <c r="I1411" t="s">
        <v>371</v>
      </c>
      <c r="J1411" t="s">
        <v>41</v>
      </c>
      <c r="K1411" t="s">
        <v>365</v>
      </c>
      <c r="L1411" t="s">
        <v>322</v>
      </c>
      <c r="M1411" t="s">
        <v>141</v>
      </c>
      <c r="N1411" t="s">
        <v>142</v>
      </c>
      <c r="O1411" t="s">
        <v>155</v>
      </c>
      <c r="P1411" t="s">
        <v>281</v>
      </c>
      <c r="Q1411" t="s">
        <v>155</v>
      </c>
      <c r="R1411" t="s">
        <v>273</v>
      </c>
      <c r="S1411" t="s">
        <v>309</v>
      </c>
      <c r="T1411">
        <v>1</v>
      </c>
      <c r="U1411" t="s">
        <v>393</v>
      </c>
      <c r="V1411" t="s">
        <v>285</v>
      </c>
      <c r="W1411" t="s">
        <v>394</v>
      </c>
      <c r="X1411" t="s">
        <v>306</v>
      </c>
      <c r="Y1411" t="s">
        <v>307</v>
      </c>
      <c r="Z1411">
        <v>65</v>
      </c>
      <c r="AA1411">
        <v>78</v>
      </c>
      <c r="AB1411" t="s">
        <v>143</v>
      </c>
      <c r="AC1411" t="s">
        <v>163</v>
      </c>
      <c r="AD1411" t="s">
        <v>278</v>
      </c>
      <c r="AE1411" t="str">
        <f>IF(AF1411="","",VLOOKUP(AC1411,mapel!$A$2:$B$42,2,FALSE))</f>
        <v>PKWU</v>
      </c>
      <c r="AF1411">
        <f t="shared" si="66"/>
        <v>78</v>
      </c>
      <c r="AG1411" t="str">
        <f>IF(AF1411="","",IF(AF1411&gt;90,"Sangat baik",IF(AF1411&gt;79,"Baik",IF(AF1411&gt;=pub_gid_0_single_true_output_csv[[#This Row],[KKM]],"Cukup","Kurang"))))</f>
        <v>Cukup</v>
      </c>
      <c r="AH1411">
        <f t="shared" si="67"/>
        <v>11</v>
      </c>
      <c r="AI1411" s="30" t="str">
        <f>IF(OR(J1411&lt;&gt;"Karakter",pub_gid_0_single_true_output_csv[[#This Row],[Nilai2]]=""),"",IF(AF1411&gt;89,"Sangat baik",IF(AF1411&gt;79,"Baik",IF(AF1411&gt;69,"Cukup",IF(AF1411&gt;59,"Kurang","Sangat kurang")))))</f>
        <v/>
      </c>
      <c r="AJ1411" t="str">
        <f t="shared" si="68"/>
        <v>Wk.7</v>
      </c>
      <c r="AK1411" t="str">
        <f>IF(pub_gid_0_single_true_output_csv[[#This Row],[Nilai2]]="","",VLOOKUP(pub_gid_0_single_true_output_csv[[#This Row],[NAMA]],Table7[],3,FALSE))</f>
        <v>Superior</v>
      </c>
    </row>
    <row r="1412" spans="1:37" x14ac:dyDescent="0.2">
      <c r="A1412">
        <v>1411</v>
      </c>
      <c r="B1412" t="s">
        <v>290</v>
      </c>
      <c r="C1412" t="s">
        <v>54</v>
      </c>
      <c r="D1412" t="s">
        <v>42</v>
      </c>
      <c r="E1412" t="s">
        <v>140</v>
      </c>
      <c r="F1412" s="25">
        <v>46071</v>
      </c>
      <c r="G1412" t="s">
        <v>323</v>
      </c>
      <c r="H1412" t="s">
        <v>412</v>
      </c>
      <c r="I1412" t="s">
        <v>371</v>
      </c>
      <c r="J1412" t="s">
        <v>41</v>
      </c>
      <c r="K1412" t="s">
        <v>365</v>
      </c>
      <c r="L1412" t="s">
        <v>319</v>
      </c>
      <c r="M1412" t="s">
        <v>141</v>
      </c>
      <c r="N1412" t="s">
        <v>142</v>
      </c>
      <c r="O1412" t="s">
        <v>155</v>
      </c>
      <c r="P1412" t="s">
        <v>281</v>
      </c>
      <c r="Q1412" t="s">
        <v>155</v>
      </c>
      <c r="R1412" t="s">
        <v>273</v>
      </c>
      <c r="S1412" t="s">
        <v>470</v>
      </c>
      <c r="T1412">
        <v>4</v>
      </c>
      <c r="U1412" t="s">
        <v>471</v>
      </c>
      <c r="V1412" t="s">
        <v>472</v>
      </c>
      <c r="W1412" t="s">
        <v>473</v>
      </c>
      <c r="X1412" t="s">
        <v>306</v>
      </c>
      <c r="Y1412" t="s">
        <v>307</v>
      </c>
      <c r="Z1412">
        <v>65</v>
      </c>
      <c r="AA1412">
        <v>80</v>
      </c>
      <c r="AB1412" t="s">
        <v>143</v>
      </c>
      <c r="AC1412" t="s">
        <v>163</v>
      </c>
      <c r="AD1412" t="s">
        <v>278</v>
      </c>
      <c r="AE1412" t="str">
        <f>IF(AF1412="","",VLOOKUP(AC1412,mapel!$A$2:$B$42,2,FALSE))</f>
        <v>PKWU</v>
      </c>
      <c r="AF1412">
        <f t="shared" si="66"/>
        <v>80</v>
      </c>
      <c r="AG1412" t="str">
        <f>IF(AF1412="","",IF(AF1412&gt;90,"Sangat baik",IF(AF1412&gt;79,"Baik",IF(AF1412&gt;=pub_gid_0_single_true_output_csv[[#This Row],[KKM]],"Cukup","Kurang"))))</f>
        <v>Baik</v>
      </c>
      <c r="AH1412">
        <f t="shared" si="67"/>
        <v>11</v>
      </c>
      <c r="AI1412" s="30" t="str">
        <f>IF(OR(J1412&lt;&gt;"Karakter",pub_gid_0_single_true_output_csv[[#This Row],[Nilai2]]=""),"",IF(AF1412&gt;89,"Sangat baik",IF(AF1412&gt;79,"Baik",IF(AF1412&gt;69,"Cukup",IF(AF1412&gt;59,"Kurang","Sangat kurang")))))</f>
        <v/>
      </c>
      <c r="AJ1412" t="str">
        <f t="shared" si="68"/>
        <v>Wk.8</v>
      </c>
      <c r="AK1412" t="str">
        <f>IF(pub_gid_0_single_true_output_csv[[#This Row],[Nilai2]]="","",VLOOKUP(pub_gid_0_single_true_output_csv[[#This Row],[NAMA]],Table7[],3,FALSE))</f>
        <v>Superior</v>
      </c>
    </row>
    <row r="1413" spans="1:37" x14ac:dyDescent="0.2">
      <c r="A1413">
        <v>1412</v>
      </c>
      <c r="B1413" t="s">
        <v>291</v>
      </c>
      <c r="C1413" t="s">
        <v>54</v>
      </c>
      <c r="D1413" t="s">
        <v>43</v>
      </c>
      <c r="E1413" t="s">
        <v>146</v>
      </c>
      <c r="F1413" s="25">
        <v>46035</v>
      </c>
      <c r="G1413" t="s">
        <v>358</v>
      </c>
      <c r="H1413" t="s">
        <v>405</v>
      </c>
      <c r="I1413" t="s">
        <v>371</v>
      </c>
      <c r="J1413" t="s">
        <v>41</v>
      </c>
      <c r="K1413" t="s">
        <v>365</v>
      </c>
      <c r="L1413" t="s">
        <v>322</v>
      </c>
      <c r="M1413" t="s">
        <v>141</v>
      </c>
      <c r="N1413" t="s">
        <v>142</v>
      </c>
      <c r="O1413" t="s">
        <v>155</v>
      </c>
      <c r="P1413" t="s">
        <v>281</v>
      </c>
      <c r="Q1413" t="s">
        <v>155</v>
      </c>
      <c r="R1413" t="s">
        <v>273</v>
      </c>
      <c r="S1413" t="s">
        <v>470</v>
      </c>
      <c r="T1413">
        <v>4</v>
      </c>
      <c r="U1413" t="s">
        <v>471</v>
      </c>
      <c r="V1413" t="s">
        <v>472</v>
      </c>
      <c r="W1413" t="s">
        <v>473</v>
      </c>
      <c r="X1413" t="s">
        <v>306</v>
      </c>
      <c r="Y1413" t="s">
        <v>307</v>
      </c>
      <c r="Z1413">
        <v>65</v>
      </c>
      <c r="AA1413">
        <v>90</v>
      </c>
      <c r="AB1413" t="s">
        <v>143</v>
      </c>
      <c r="AC1413" t="s">
        <v>163</v>
      </c>
      <c r="AD1413" t="s">
        <v>278</v>
      </c>
      <c r="AE1413" t="str">
        <f>IF(AF1413="","",VLOOKUP(AC1413,mapel!$A$2:$B$42,2,FALSE))</f>
        <v>PKWU</v>
      </c>
      <c r="AF1413">
        <f t="shared" si="66"/>
        <v>90</v>
      </c>
      <c r="AG1413" t="str">
        <f>IF(AF1413="","",IF(AF1413&gt;90,"Sangat baik",IF(AF1413&gt;79,"Baik",IF(AF1413&gt;=pub_gid_0_single_true_output_csv[[#This Row],[KKM]],"Cukup","Kurang"))))</f>
        <v>Baik</v>
      </c>
      <c r="AH1413">
        <f t="shared" si="67"/>
        <v>11</v>
      </c>
      <c r="AI1413" s="30" t="str">
        <f>IF(OR(J1413&lt;&gt;"Karakter",pub_gid_0_single_true_output_csv[[#This Row],[Nilai2]]=""),"",IF(AF1413&gt;89,"Sangat baik",IF(AF1413&gt;79,"Baik",IF(AF1413&gt;69,"Cukup",IF(AF1413&gt;59,"Kurang","Sangat kurang")))))</f>
        <v/>
      </c>
      <c r="AJ1413" t="str">
        <f t="shared" si="68"/>
        <v>Wk.3</v>
      </c>
      <c r="AK1413" t="str">
        <f>IF(pub_gid_0_single_true_output_csv[[#This Row],[Nilai2]]="","",VLOOKUP(pub_gid_0_single_true_output_csv[[#This Row],[NAMA]],Table7[],3,FALSE))</f>
        <v>High average</v>
      </c>
    </row>
    <row r="1414" spans="1:37" x14ac:dyDescent="0.2">
      <c r="A1414">
        <v>1413</v>
      </c>
      <c r="B1414" t="s">
        <v>291</v>
      </c>
      <c r="C1414" t="s">
        <v>54</v>
      </c>
      <c r="D1414" t="s">
        <v>43</v>
      </c>
      <c r="E1414" t="s">
        <v>146</v>
      </c>
      <c r="F1414" s="25">
        <v>46036</v>
      </c>
      <c r="G1414" t="s">
        <v>353</v>
      </c>
      <c r="H1414" t="s">
        <v>405</v>
      </c>
      <c r="I1414" t="s">
        <v>371</v>
      </c>
      <c r="J1414" t="s">
        <v>41</v>
      </c>
      <c r="K1414" t="s">
        <v>365</v>
      </c>
      <c r="L1414" t="s">
        <v>319</v>
      </c>
      <c r="M1414" t="s">
        <v>141</v>
      </c>
      <c r="N1414" t="s">
        <v>142</v>
      </c>
      <c r="O1414" t="s">
        <v>155</v>
      </c>
      <c r="P1414" t="s">
        <v>281</v>
      </c>
      <c r="Q1414" t="s">
        <v>155</v>
      </c>
      <c r="R1414" t="s">
        <v>273</v>
      </c>
      <c r="S1414" t="s">
        <v>470</v>
      </c>
      <c r="T1414">
        <v>4</v>
      </c>
      <c r="U1414" t="s">
        <v>471</v>
      </c>
      <c r="V1414" t="s">
        <v>472</v>
      </c>
      <c r="W1414" t="s">
        <v>473</v>
      </c>
      <c r="X1414" t="s">
        <v>306</v>
      </c>
      <c r="Y1414" t="s">
        <v>307</v>
      </c>
      <c r="Z1414">
        <v>65</v>
      </c>
      <c r="AA1414">
        <v>90</v>
      </c>
      <c r="AB1414" t="s">
        <v>143</v>
      </c>
      <c r="AC1414" t="s">
        <v>163</v>
      </c>
      <c r="AD1414" t="s">
        <v>278</v>
      </c>
      <c r="AE1414" t="str">
        <f>IF(AF1414="","",VLOOKUP(AC1414,mapel!$A$2:$B$42,2,FALSE))</f>
        <v>PKWU</v>
      </c>
      <c r="AF1414">
        <f t="shared" si="66"/>
        <v>90</v>
      </c>
      <c r="AG1414" t="str">
        <f>IF(AF1414="","",IF(AF1414&gt;90,"Sangat baik",IF(AF1414&gt;79,"Baik",IF(AF1414&gt;=pub_gid_0_single_true_output_csv[[#This Row],[KKM]],"Cukup","Kurang"))))</f>
        <v>Baik</v>
      </c>
      <c r="AH1414">
        <f t="shared" si="67"/>
        <v>11</v>
      </c>
      <c r="AI1414" s="30" t="str">
        <f>IF(OR(J1414&lt;&gt;"Karakter",pub_gid_0_single_true_output_csv[[#This Row],[Nilai2]]=""),"",IF(AF1414&gt;89,"Sangat baik",IF(AF1414&gt;79,"Baik",IF(AF1414&gt;69,"Cukup",IF(AF1414&gt;59,"Kurang","Sangat kurang")))))</f>
        <v/>
      </c>
      <c r="AJ1414" t="str">
        <f t="shared" si="68"/>
        <v>Wk.3</v>
      </c>
      <c r="AK1414" t="str">
        <f>IF(pub_gid_0_single_true_output_csv[[#This Row],[Nilai2]]="","",VLOOKUP(pub_gid_0_single_true_output_csv[[#This Row],[NAMA]],Table7[],3,FALSE))</f>
        <v>High average</v>
      </c>
    </row>
    <row r="1415" spans="1:37" x14ac:dyDescent="0.2">
      <c r="A1415">
        <v>1414</v>
      </c>
      <c r="B1415" t="s">
        <v>291</v>
      </c>
      <c r="C1415" t="s">
        <v>54</v>
      </c>
      <c r="D1415" t="s">
        <v>43</v>
      </c>
      <c r="E1415" t="s">
        <v>146</v>
      </c>
      <c r="F1415" s="25">
        <v>46037</v>
      </c>
      <c r="G1415" t="s">
        <v>356</v>
      </c>
      <c r="H1415" t="s">
        <v>405</v>
      </c>
      <c r="I1415" t="s">
        <v>371</v>
      </c>
      <c r="J1415" t="s">
        <v>36</v>
      </c>
      <c r="K1415" t="s">
        <v>37</v>
      </c>
      <c r="L1415" t="s">
        <v>383</v>
      </c>
      <c r="M1415" t="s">
        <v>141</v>
      </c>
      <c r="N1415" t="s">
        <v>142</v>
      </c>
      <c r="O1415" t="s">
        <v>155</v>
      </c>
      <c r="P1415" t="s">
        <v>281</v>
      </c>
      <c r="Q1415" t="s">
        <v>155</v>
      </c>
      <c r="R1415" t="s">
        <v>273</v>
      </c>
      <c r="S1415" t="s">
        <v>470</v>
      </c>
      <c r="T1415">
        <v>4</v>
      </c>
      <c r="U1415" t="s">
        <v>471</v>
      </c>
      <c r="V1415" t="s">
        <v>472</v>
      </c>
      <c r="W1415" t="s">
        <v>473</v>
      </c>
      <c r="X1415" t="s">
        <v>306</v>
      </c>
      <c r="Y1415" t="s">
        <v>307</v>
      </c>
      <c r="Z1415">
        <v>65</v>
      </c>
      <c r="AA1415">
        <v>85</v>
      </c>
      <c r="AB1415" t="s">
        <v>143</v>
      </c>
      <c r="AC1415" t="s">
        <v>163</v>
      </c>
      <c r="AD1415" t="s">
        <v>278</v>
      </c>
      <c r="AE1415" t="str">
        <f>IF(AF1415="","",VLOOKUP(AC1415,mapel!$A$2:$B$42,2,FALSE))</f>
        <v>PKWU</v>
      </c>
      <c r="AF1415">
        <f t="shared" si="66"/>
        <v>85</v>
      </c>
      <c r="AG1415" t="str">
        <f>IF(AF1415="","",IF(AF1415&gt;90,"Sangat baik",IF(AF1415&gt;79,"Baik",IF(AF1415&gt;=pub_gid_0_single_true_output_csv[[#This Row],[KKM]],"Cukup","Kurang"))))</f>
        <v>Baik</v>
      </c>
      <c r="AH1415">
        <f t="shared" si="67"/>
        <v>11</v>
      </c>
      <c r="AI1415" s="30" t="str">
        <f>IF(OR(J1415&lt;&gt;"Karakter",pub_gid_0_single_true_output_csv[[#This Row],[Nilai2]]=""),"",IF(AF1415&gt;89,"Sangat baik",IF(AF1415&gt;79,"Baik",IF(AF1415&gt;69,"Cukup",IF(AF1415&gt;59,"Kurang","Sangat kurang")))))</f>
        <v/>
      </c>
      <c r="AJ1415" t="str">
        <f t="shared" si="68"/>
        <v>Wk.3</v>
      </c>
      <c r="AK1415" t="str">
        <f>IF(pub_gid_0_single_true_output_csv[[#This Row],[Nilai2]]="","",VLOOKUP(pub_gid_0_single_true_output_csv[[#This Row],[NAMA]],Table7[],3,FALSE))</f>
        <v>High average</v>
      </c>
    </row>
    <row r="1416" spans="1:37" x14ac:dyDescent="0.2">
      <c r="A1416">
        <v>1415</v>
      </c>
      <c r="B1416" t="s">
        <v>291</v>
      </c>
      <c r="C1416" t="s">
        <v>54</v>
      </c>
      <c r="D1416" t="s">
        <v>43</v>
      </c>
      <c r="E1416" t="s">
        <v>146</v>
      </c>
      <c r="F1416" s="25">
        <v>46042</v>
      </c>
      <c r="G1416" t="s">
        <v>474</v>
      </c>
      <c r="H1416" t="s">
        <v>405</v>
      </c>
      <c r="I1416" t="s">
        <v>371</v>
      </c>
      <c r="J1416" t="s">
        <v>90</v>
      </c>
      <c r="K1416" t="s">
        <v>366</v>
      </c>
      <c r="L1416" t="s">
        <v>475</v>
      </c>
      <c r="M1416" t="s">
        <v>141</v>
      </c>
      <c r="N1416" t="s">
        <v>142</v>
      </c>
      <c r="O1416" t="s">
        <v>155</v>
      </c>
      <c r="P1416" t="s">
        <v>281</v>
      </c>
      <c r="Q1416" t="s">
        <v>155</v>
      </c>
      <c r="R1416" t="s">
        <v>273</v>
      </c>
      <c r="S1416" t="s">
        <v>470</v>
      </c>
      <c r="T1416">
        <v>4</v>
      </c>
      <c r="U1416" t="s">
        <v>471</v>
      </c>
      <c r="V1416" t="s">
        <v>472</v>
      </c>
      <c r="W1416" t="s">
        <v>473</v>
      </c>
      <c r="X1416" t="s">
        <v>306</v>
      </c>
      <c r="Y1416" t="s">
        <v>307</v>
      </c>
      <c r="Z1416">
        <v>65</v>
      </c>
      <c r="AA1416">
        <v>100</v>
      </c>
      <c r="AB1416" t="s">
        <v>143</v>
      </c>
      <c r="AC1416" t="s">
        <v>163</v>
      </c>
      <c r="AD1416" t="s">
        <v>278</v>
      </c>
      <c r="AE1416" t="str">
        <f>IF(AF1416="","",VLOOKUP(AC1416,mapel!$A$2:$B$42,2,FALSE))</f>
        <v>PKWU</v>
      </c>
      <c r="AF1416">
        <f t="shared" si="66"/>
        <v>100</v>
      </c>
      <c r="AG1416" t="str">
        <f>IF(AF1416="","",IF(AF1416&gt;90,"Sangat baik",IF(AF1416&gt;79,"Baik",IF(AF1416&gt;=pub_gid_0_single_true_output_csv[[#This Row],[KKM]],"Cukup","Kurang"))))</f>
        <v>Sangat baik</v>
      </c>
      <c r="AH1416">
        <f t="shared" si="67"/>
        <v>11</v>
      </c>
      <c r="AI1416" s="30" t="str">
        <f>IF(OR(J1416&lt;&gt;"Karakter",pub_gid_0_single_true_output_csv[[#This Row],[Nilai2]]=""),"",IF(AF1416&gt;89,"Sangat baik",IF(AF1416&gt;79,"Baik",IF(AF1416&gt;69,"Cukup",IF(AF1416&gt;59,"Kurang","Sangat kurang")))))</f>
        <v>Sangat baik</v>
      </c>
      <c r="AJ1416" t="str">
        <f t="shared" si="68"/>
        <v>Wk.4</v>
      </c>
      <c r="AK1416" t="str">
        <f>IF(pub_gid_0_single_true_output_csv[[#This Row],[Nilai2]]="","",VLOOKUP(pub_gid_0_single_true_output_csv[[#This Row],[NAMA]],Table7[],3,FALSE))</f>
        <v>High average</v>
      </c>
    </row>
    <row r="1417" spans="1:37" x14ac:dyDescent="0.2">
      <c r="A1417">
        <v>1416</v>
      </c>
      <c r="B1417" t="s">
        <v>291</v>
      </c>
      <c r="C1417" t="s">
        <v>54</v>
      </c>
      <c r="D1417" t="s">
        <v>43</v>
      </c>
      <c r="E1417" t="s">
        <v>146</v>
      </c>
      <c r="F1417" s="25">
        <v>46051</v>
      </c>
      <c r="G1417" t="s">
        <v>320</v>
      </c>
      <c r="H1417" t="s">
        <v>405</v>
      </c>
      <c r="I1417" t="s">
        <v>371</v>
      </c>
      <c r="J1417" t="s">
        <v>41</v>
      </c>
      <c r="K1417" t="s">
        <v>365</v>
      </c>
      <c r="L1417" t="s">
        <v>319</v>
      </c>
      <c r="M1417" t="s">
        <v>141</v>
      </c>
      <c r="N1417" t="s">
        <v>142</v>
      </c>
      <c r="O1417" t="s">
        <v>155</v>
      </c>
      <c r="P1417" t="s">
        <v>281</v>
      </c>
      <c r="Q1417" t="s">
        <v>155</v>
      </c>
      <c r="R1417" t="s">
        <v>273</v>
      </c>
      <c r="S1417" t="s">
        <v>470</v>
      </c>
      <c r="T1417">
        <v>4</v>
      </c>
      <c r="U1417" t="s">
        <v>471</v>
      </c>
      <c r="V1417" t="s">
        <v>472</v>
      </c>
      <c r="W1417" t="s">
        <v>473</v>
      </c>
      <c r="X1417" t="s">
        <v>306</v>
      </c>
      <c r="Y1417" t="s">
        <v>307</v>
      </c>
      <c r="Z1417">
        <v>65</v>
      </c>
      <c r="AA1417">
        <v>80</v>
      </c>
      <c r="AB1417" t="s">
        <v>143</v>
      </c>
      <c r="AC1417" t="s">
        <v>163</v>
      </c>
      <c r="AD1417" t="s">
        <v>278</v>
      </c>
      <c r="AE1417" t="str">
        <f>IF(AF1417="","",VLOOKUP(AC1417,mapel!$A$2:$B$42,2,FALSE))</f>
        <v>PKWU</v>
      </c>
      <c r="AF1417">
        <f t="shared" si="66"/>
        <v>80</v>
      </c>
      <c r="AG1417" t="str">
        <f>IF(AF1417="","",IF(AF1417&gt;90,"Sangat baik",IF(AF1417&gt;79,"Baik",IF(AF1417&gt;=pub_gid_0_single_true_output_csv[[#This Row],[KKM]],"Cukup","Kurang"))))</f>
        <v>Baik</v>
      </c>
      <c r="AH1417">
        <f t="shared" si="67"/>
        <v>11</v>
      </c>
      <c r="AI1417" s="30" t="str">
        <f>IF(OR(J1417&lt;&gt;"Karakter",pub_gid_0_single_true_output_csv[[#This Row],[Nilai2]]=""),"",IF(AF1417&gt;89,"Sangat baik",IF(AF1417&gt;79,"Baik",IF(AF1417&gt;69,"Cukup",IF(AF1417&gt;59,"Kurang","Sangat kurang")))))</f>
        <v/>
      </c>
      <c r="AJ1417" t="str">
        <f t="shared" si="68"/>
        <v>Wk.5</v>
      </c>
      <c r="AK1417" t="str">
        <f>IF(pub_gid_0_single_true_output_csv[[#This Row],[Nilai2]]="","",VLOOKUP(pub_gid_0_single_true_output_csv[[#This Row],[NAMA]],Table7[],3,FALSE))</f>
        <v>High average</v>
      </c>
    </row>
    <row r="1418" spans="1:37" x14ac:dyDescent="0.2">
      <c r="A1418">
        <v>1417</v>
      </c>
      <c r="B1418" t="s">
        <v>291</v>
      </c>
      <c r="C1418" t="s">
        <v>54</v>
      </c>
      <c r="D1418" t="s">
        <v>43</v>
      </c>
      <c r="E1418" t="s">
        <v>146</v>
      </c>
      <c r="F1418" s="25">
        <v>46056</v>
      </c>
      <c r="G1418" t="s">
        <v>372</v>
      </c>
      <c r="H1418" t="s">
        <v>412</v>
      </c>
      <c r="I1418" t="s">
        <v>371</v>
      </c>
      <c r="J1418" t="s">
        <v>41</v>
      </c>
      <c r="K1418" t="s">
        <v>365</v>
      </c>
      <c r="L1418" t="s">
        <v>322</v>
      </c>
      <c r="M1418" t="s">
        <v>141</v>
      </c>
      <c r="N1418" t="s">
        <v>142</v>
      </c>
      <c r="O1418" t="s">
        <v>155</v>
      </c>
      <c r="P1418" t="s">
        <v>281</v>
      </c>
      <c r="Q1418" t="s">
        <v>155</v>
      </c>
      <c r="R1418" t="s">
        <v>273</v>
      </c>
      <c r="S1418" t="s">
        <v>309</v>
      </c>
      <c r="T1418">
        <v>1</v>
      </c>
      <c r="U1418" t="s">
        <v>393</v>
      </c>
      <c r="V1418" t="s">
        <v>285</v>
      </c>
      <c r="W1418" t="s">
        <v>394</v>
      </c>
      <c r="X1418" t="s">
        <v>306</v>
      </c>
      <c r="Y1418" t="s">
        <v>307</v>
      </c>
      <c r="Z1418">
        <v>65</v>
      </c>
      <c r="AA1418">
        <v>78</v>
      </c>
      <c r="AB1418" t="s">
        <v>143</v>
      </c>
      <c r="AC1418" t="s">
        <v>163</v>
      </c>
      <c r="AD1418" t="s">
        <v>278</v>
      </c>
      <c r="AE1418" t="str">
        <f>IF(AF1418="","",VLOOKUP(AC1418,mapel!$A$2:$B$42,2,FALSE))</f>
        <v>PKWU</v>
      </c>
      <c r="AF1418">
        <f t="shared" si="66"/>
        <v>78</v>
      </c>
      <c r="AG1418" t="str">
        <f>IF(AF1418="","",IF(AF1418&gt;90,"Sangat baik",IF(AF1418&gt;79,"Baik",IF(AF1418&gt;=pub_gid_0_single_true_output_csv[[#This Row],[KKM]],"Cukup","Kurang"))))</f>
        <v>Cukup</v>
      </c>
      <c r="AH1418">
        <f t="shared" si="67"/>
        <v>11</v>
      </c>
      <c r="AI1418" s="30" t="str">
        <f>IF(OR(J1418&lt;&gt;"Karakter",pub_gid_0_single_true_output_csv[[#This Row],[Nilai2]]=""),"",IF(AF1418&gt;89,"Sangat baik",IF(AF1418&gt;79,"Baik",IF(AF1418&gt;69,"Cukup",IF(AF1418&gt;59,"Kurang","Sangat kurang")))))</f>
        <v/>
      </c>
      <c r="AJ1418" t="str">
        <f t="shared" si="68"/>
        <v>Wk.6</v>
      </c>
      <c r="AK1418" t="str">
        <f>IF(pub_gid_0_single_true_output_csv[[#This Row],[Nilai2]]="","",VLOOKUP(pub_gid_0_single_true_output_csv[[#This Row],[NAMA]],Table7[],3,FALSE))</f>
        <v>High average</v>
      </c>
    </row>
    <row r="1419" spans="1:37" x14ac:dyDescent="0.2">
      <c r="A1419">
        <v>1418</v>
      </c>
      <c r="B1419" t="s">
        <v>291</v>
      </c>
      <c r="C1419" t="s">
        <v>54</v>
      </c>
      <c r="D1419" t="s">
        <v>43</v>
      </c>
      <c r="E1419" t="s">
        <v>146</v>
      </c>
      <c r="F1419" s="25">
        <v>46057</v>
      </c>
      <c r="G1419" t="s">
        <v>348</v>
      </c>
      <c r="H1419" t="s">
        <v>412</v>
      </c>
      <c r="I1419" t="s">
        <v>371</v>
      </c>
      <c r="J1419" t="s">
        <v>36</v>
      </c>
      <c r="K1419" t="s">
        <v>153</v>
      </c>
      <c r="L1419" t="s">
        <v>395</v>
      </c>
      <c r="M1419" t="s">
        <v>141</v>
      </c>
      <c r="N1419" t="s">
        <v>142</v>
      </c>
      <c r="O1419" t="s">
        <v>155</v>
      </c>
      <c r="P1419" t="s">
        <v>281</v>
      </c>
      <c r="Q1419" t="s">
        <v>155</v>
      </c>
      <c r="R1419" t="s">
        <v>273</v>
      </c>
      <c r="S1419" t="s">
        <v>309</v>
      </c>
      <c r="T1419">
        <v>1</v>
      </c>
      <c r="U1419" t="s">
        <v>393</v>
      </c>
      <c r="V1419" t="s">
        <v>285</v>
      </c>
      <c r="W1419" t="s">
        <v>394</v>
      </c>
      <c r="X1419" t="s">
        <v>306</v>
      </c>
      <c r="Y1419" t="s">
        <v>307</v>
      </c>
      <c r="Z1419">
        <v>65</v>
      </c>
      <c r="AA1419">
        <v>78</v>
      </c>
      <c r="AB1419" t="s">
        <v>143</v>
      </c>
      <c r="AC1419" t="s">
        <v>163</v>
      </c>
      <c r="AD1419" t="s">
        <v>278</v>
      </c>
      <c r="AE1419" t="str">
        <f>IF(AF1419="","",VLOOKUP(AC1419,mapel!$A$2:$B$42,2,FALSE))</f>
        <v>PKWU</v>
      </c>
      <c r="AF1419">
        <f t="shared" si="66"/>
        <v>78</v>
      </c>
      <c r="AG1419" t="str">
        <f>IF(AF1419="","",IF(AF1419&gt;90,"Sangat baik",IF(AF1419&gt;79,"Baik",IF(AF1419&gt;=pub_gid_0_single_true_output_csv[[#This Row],[KKM]],"Cukup","Kurang"))))</f>
        <v>Cukup</v>
      </c>
      <c r="AH1419">
        <f t="shared" si="67"/>
        <v>11</v>
      </c>
      <c r="AI1419" s="30" t="str">
        <f>IF(OR(J1419&lt;&gt;"Karakter",pub_gid_0_single_true_output_csv[[#This Row],[Nilai2]]=""),"",IF(AF1419&gt;89,"Sangat baik",IF(AF1419&gt;79,"Baik",IF(AF1419&gt;69,"Cukup",IF(AF1419&gt;59,"Kurang","Sangat kurang")))))</f>
        <v/>
      </c>
      <c r="AJ1419" t="str">
        <f t="shared" si="68"/>
        <v>Wk.6</v>
      </c>
      <c r="AK1419" t="str">
        <f>IF(pub_gid_0_single_true_output_csv[[#This Row],[Nilai2]]="","",VLOOKUP(pub_gid_0_single_true_output_csv[[#This Row],[NAMA]],Table7[],3,FALSE))</f>
        <v>High average</v>
      </c>
    </row>
    <row r="1420" spans="1:37" x14ac:dyDescent="0.2">
      <c r="A1420">
        <v>1419</v>
      </c>
      <c r="B1420" t="s">
        <v>291</v>
      </c>
      <c r="C1420" t="s">
        <v>54</v>
      </c>
      <c r="D1420" t="s">
        <v>43</v>
      </c>
      <c r="E1420" t="s">
        <v>146</v>
      </c>
      <c r="F1420" s="25">
        <v>46058</v>
      </c>
      <c r="G1420" t="s">
        <v>346</v>
      </c>
      <c r="H1420" t="s">
        <v>412</v>
      </c>
      <c r="I1420" t="s">
        <v>371</v>
      </c>
      <c r="J1420" t="s">
        <v>41</v>
      </c>
      <c r="K1420" t="s">
        <v>365</v>
      </c>
      <c r="L1420" t="s">
        <v>322</v>
      </c>
      <c r="M1420" t="s">
        <v>141</v>
      </c>
      <c r="N1420" t="s">
        <v>142</v>
      </c>
      <c r="O1420" t="s">
        <v>155</v>
      </c>
      <c r="P1420" t="s">
        <v>281</v>
      </c>
      <c r="Q1420" t="s">
        <v>155</v>
      </c>
      <c r="R1420" t="s">
        <v>273</v>
      </c>
      <c r="S1420" t="s">
        <v>309</v>
      </c>
      <c r="T1420">
        <v>1</v>
      </c>
      <c r="U1420" t="s">
        <v>393</v>
      </c>
      <c r="V1420" t="s">
        <v>285</v>
      </c>
      <c r="W1420" t="s">
        <v>394</v>
      </c>
      <c r="X1420" t="s">
        <v>306</v>
      </c>
      <c r="Y1420" t="s">
        <v>307</v>
      </c>
      <c r="Z1420">
        <v>65</v>
      </c>
      <c r="AA1420">
        <v>78</v>
      </c>
      <c r="AB1420" t="s">
        <v>143</v>
      </c>
      <c r="AC1420" t="s">
        <v>163</v>
      </c>
      <c r="AD1420" t="s">
        <v>278</v>
      </c>
      <c r="AE1420" t="str">
        <f>IF(AF1420="","",VLOOKUP(AC1420,mapel!$A$2:$B$42,2,FALSE))</f>
        <v>PKWU</v>
      </c>
      <c r="AF1420">
        <f t="shared" si="66"/>
        <v>78</v>
      </c>
      <c r="AG1420" t="str">
        <f>IF(AF1420="","",IF(AF1420&gt;90,"Sangat baik",IF(AF1420&gt;79,"Baik",IF(AF1420&gt;=pub_gid_0_single_true_output_csv[[#This Row],[KKM]],"Cukup","Kurang"))))</f>
        <v>Cukup</v>
      </c>
      <c r="AH1420">
        <f t="shared" si="67"/>
        <v>11</v>
      </c>
      <c r="AI1420" s="30" t="str">
        <f>IF(OR(J1420&lt;&gt;"Karakter",pub_gid_0_single_true_output_csv[[#This Row],[Nilai2]]=""),"",IF(AF1420&gt;89,"Sangat baik",IF(AF1420&gt;79,"Baik",IF(AF1420&gt;69,"Cukup",IF(AF1420&gt;59,"Kurang","Sangat kurang")))))</f>
        <v/>
      </c>
      <c r="AJ1420" t="str">
        <f t="shared" si="68"/>
        <v>Wk.6</v>
      </c>
      <c r="AK1420" t="str">
        <f>IF(pub_gid_0_single_true_output_csv[[#This Row],[Nilai2]]="","",VLOOKUP(pub_gid_0_single_true_output_csv[[#This Row],[NAMA]],Table7[],3,FALSE))</f>
        <v>High average</v>
      </c>
    </row>
    <row r="1421" spans="1:37" x14ac:dyDescent="0.2">
      <c r="A1421">
        <v>1420</v>
      </c>
      <c r="B1421" t="s">
        <v>291</v>
      </c>
      <c r="C1421" t="s">
        <v>54</v>
      </c>
      <c r="D1421" t="s">
        <v>43</v>
      </c>
      <c r="E1421" t="s">
        <v>146</v>
      </c>
      <c r="F1421" s="25">
        <v>46063</v>
      </c>
      <c r="G1421" t="s">
        <v>374</v>
      </c>
      <c r="H1421" t="s">
        <v>412</v>
      </c>
      <c r="I1421" t="s">
        <v>371</v>
      </c>
      <c r="J1421" t="s">
        <v>36</v>
      </c>
      <c r="K1421" t="s">
        <v>153</v>
      </c>
      <c r="L1421" t="s">
        <v>395</v>
      </c>
      <c r="M1421" t="s">
        <v>141</v>
      </c>
      <c r="N1421" t="s">
        <v>142</v>
      </c>
      <c r="O1421" t="s">
        <v>155</v>
      </c>
      <c r="P1421" t="s">
        <v>281</v>
      </c>
      <c r="Q1421" t="s">
        <v>155</v>
      </c>
      <c r="R1421" t="s">
        <v>273</v>
      </c>
      <c r="S1421" t="s">
        <v>309</v>
      </c>
      <c r="T1421">
        <v>1</v>
      </c>
      <c r="U1421" t="s">
        <v>393</v>
      </c>
      <c r="V1421" t="s">
        <v>285</v>
      </c>
      <c r="W1421" t="s">
        <v>394</v>
      </c>
      <c r="X1421" t="s">
        <v>306</v>
      </c>
      <c r="Y1421" t="s">
        <v>307</v>
      </c>
      <c r="Z1421">
        <v>65</v>
      </c>
      <c r="AA1421">
        <v>78</v>
      </c>
      <c r="AB1421" t="s">
        <v>143</v>
      </c>
      <c r="AC1421" t="s">
        <v>163</v>
      </c>
      <c r="AD1421" t="s">
        <v>278</v>
      </c>
      <c r="AE1421" t="str">
        <f>IF(AF1421="","",VLOOKUP(AC1421,mapel!$A$2:$B$42,2,FALSE))</f>
        <v>PKWU</v>
      </c>
      <c r="AF1421">
        <f t="shared" si="66"/>
        <v>78</v>
      </c>
      <c r="AG1421" t="str">
        <f>IF(AF1421="","",IF(AF1421&gt;90,"Sangat baik",IF(AF1421&gt;79,"Baik",IF(AF1421&gt;=pub_gid_0_single_true_output_csv[[#This Row],[KKM]],"Cukup","Kurang"))))</f>
        <v>Cukup</v>
      </c>
      <c r="AH1421">
        <f t="shared" si="67"/>
        <v>11</v>
      </c>
      <c r="AI1421" s="30" t="str">
        <f>IF(OR(J1421&lt;&gt;"Karakter",pub_gid_0_single_true_output_csv[[#This Row],[Nilai2]]=""),"",IF(AF1421&gt;89,"Sangat baik",IF(AF1421&gt;79,"Baik",IF(AF1421&gt;69,"Cukup",IF(AF1421&gt;59,"Kurang","Sangat kurang")))))</f>
        <v/>
      </c>
      <c r="AJ1421" t="str">
        <f t="shared" si="68"/>
        <v>Wk.7</v>
      </c>
      <c r="AK1421" t="str">
        <f>IF(pub_gid_0_single_true_output_csv[[#This Row],[Nilai2]]="","",VLOOKUP(pub_gid_0_single_true_output_csv[[#This Row],[NAMA]],Table7[],3,FALSE))</f>
        <v>High average</v>
      </c>
    </row>
    <row r="1422" spans="1:37" x14ac:dyDescent="0.2">
      <c r="A1422">
        <v>1421</v>
      </c>
      <c r="B1422" t="s">
        <v>291</v>
      </c>
      <c r="C1422" t="s">
        <v>54</v>
      </c>
      <c r="D1422" t="s">
        <v>43</v>
      </c>
      <c r="E1422" t="s">
        <v>146</v>
      </c>
      <c r="F1422" s="25">
        <v>46064</v>
      </c>
      <c r="G1422" t="s">
        <v>352</v>
      </c>
      <c r="H1422" t="s">
        <v>412</v>
      </c>
      <c r="I1422" t="s">
        <v>371</v>
      </c>
      <c r="J1422" t="s">
        <v>31</v>
      </c>
      <c r="K1422" t="s">
        <v>32</v>
      </c>
      <c r="L1422" t="s">
        <v>395</v>
      </c>
      <c r="M1422" t="s">
        <v>141</v>
      </c>
      <c r="N1422" t="s">
        <v>142</v>
      </c>
      <c r="O1422" t="s">
        <v>155</v>
      </c>
      <c r="P1422" t="s">
        <v>281</v>
      </c>
      <c r="Q1422" t="s">
        <v>155</v>
      </c>
      <c r="R1422" t="s">
        <v>273</v>
      </c>
      <c r="S1422" t="s">
        <v>309</v>
      </c>
      <c r="T1422">
        <v>1</v>
      </c>
      <c r="U1422" t="s">
        <v>393</v>
      </c>
      <c r="V1422" t="s">
        <v>285</v>
      </c>
      <c r="W1422" t="s">
        <v>394</v>
      </c>
      <c r="X1422" t="s">
        <v>306</v>
      </c>
      <c r="Y1422" t="s">
        <v>307</v>
      </c>
      <c r="Z1422">
        <v>65</v>
      </c>
      <c r="AA1422">
        <v>78</v>
      </c>
      <c r="AB1422" t="s">
        <v>143</v>
      </c>
      <c r="AC1422" t="s">
        <v>163</v>
      </c>
      <c r="AD1422" t="s">
        <v>278</v>
      </c>
      <c r="AE1422" t="str">
        <f>IF(AF1422="","",VLOOKUP(AC1422,mapel!$A$2:$B$42,2,FALSE))</f>
        <v>PKWU</v>
      </c>
      <c r="AF1422">
        <f t="shared" si="66"/>
        <v>78</v>
      </c>
      <c r="AG1422" t="str">
        <f>IF(AF1422="","",IF(AF1422&gt;90,"Sangat baik",IF(AF1422&gt;79,"Baik",IF(AF1422&gt;=pub_gid_0_single_true_output_csv[[#This Row],[KKM]],"Cukup","Kurang"))))</f>
        <v>Cukup</v>
      </c>
      <c r="AH1422">
        <f t="shared" si="67"/>
        <v>11</v>
      </c>
      <c r="AI1422" s="30" t="str">
        <f>IF(OR(J1422&lt;&gt;"Karakter",pub_gid_0_single_true_output_csv[[#This Row],[Nilai2]]=""),"",IF(AF1422&gt;89,"Sangat baik",IF(AF1422&gt;79,"Baik",IF(AF1422&gt;69,"Cukup",IF(AF1422&gt;59,"Kurang","Sangat kurang")))))</f>
        <v/>
      </c>
      <c r="AJ1422" t="str">
        <f t="shared" si="68"/>
        <v>Wk.7</v>
      </c>
      <c r="AK1422" t="str">
        <f>IF(pub_gid_0_single_true_output_csv[[#This Row],[Nilai2]]="","",VLOOKUP(pub_gid_0_single_true_output_csv[[#This Row],[NAMA]],Table7[],3,FALSE))</f>
        <v>High average</v>
      </c>
    </row>
    <row r="1423" spans="1:37" x14ac:dyDescent="0.2">
      <c r="A1423">
        <v>1422</v>
      </c>
      <c r="B1423" t="s">
        <v>291</v>
      </c>
      <c r="C1423" t="s">
        <v>54</v>
      </c>
      <c r="D1423" t="s">
        <v>43</v>
      </c>
      <c r="E1423" t="s">
        <v>146</v>
      </c>
      <c r="F1423" s="25">
        <v>46065</v>
      </c>
      <c r="G1423" t="s">
        <v>354</v>
      </c>
      <c r="H1423" t="s">
        <v>412</v>
      </c>
      <c r="I1423" t="s">
        <v>371</v>
      </c>
      <c r="J1423" t="s">
        <v>41</v>
      </c>
      <c r="K1423" t="s">
        <v>365</v>
      </c>
      <c r="L1423" t="s">
        <v>322</v>
      </c>
      <c r="M1423" t="s">
        <v>141</v>
      </c>
      <c r="N1423" t="s">
        <v>142</v>
      </c>
      <c r="O1423" t="s">
        <v>155</v>
      </c>
      <c r="P1423" t="s">
        <v>281</v>
      </c>
      <c r="Q1423" t="s">
        <v>155</v>
      </c>
      <c r="R1423" t="s">
        <v>273</v>
      </c>
      <c r="S1423" t="s">
        <v>309</v>
      </c>
      <c r="T1423">
        <v>1</v>
      </c>
      <c r="U1423" t="s">
        <v>393</v>
      </c>
      <c r="V1423" t="s">
        <v>285</v>
      </c>
      <c r="W1423" t="s">
        <v>394</v>
      </c>
      <c r="X1423" t="s">
        <v>306</v>
      </c>
      <c r="Y1423" t="s">
        <v>307</v>
      </c>
      <c r="Z1423">
        <v>65</v>
      </c>
      <c r="AA1423">
        <v>78</v>
      </c>
      <c r="AB1423" t="s">
        <v>143</v>
      </c>
      <c r="AC1423" t="s">
        <v>163</v>
      </c>
      <c r="AD1423" t="s">
        <v>278</v>
      </c>
      <c r="AE1423" t="str">
        <f>IF(AF1423="","",VLOOKUP(AC1423,mapel!$A$2:$B$42,2,FALSE))</f>
        <v>PKWU</v>
      </c>
      <c r="AF1423">
        <f t="shared" si="66"/>
        <v>78</v>
      </c>
      <c r="AG1423" t="str">
        <f>IF(AF1423="","",IF(AF1423&gt;90,"Sangat baik",IF(AF1423&gt;79,"Baik",IF(AF1423&gt;=pub_gid_0_single_true_output_csv[[#This Row],[KKM]],"Cukup","Kurang"))))</f>
        <v>Cukup</v>
      </c>
      <c r="AH1423">
        <f t="shared" si="67"/>
        <v>11</v>
      </c>
      <c r="AI1423" s="30" t="str">
        <f>IF(OR(J1423&lt;&gt;"Karakter",pub_gid_0_single_true_output_csv[[#This Row],[Nilai2]]=""),"",IF(AF1423&gt;89,"Sangat baik",IF(AF1423&gt;79,"Baik",IF(AF1423&gt;69,"Cukup",IF(AF1423&gt;59,"Kurang","Sangat kurang")))))</f>
        <v/>
      </c>
      <c r="AJ1423" t="str">
        <f t="shared" si="68"/>
        <v>Wk.7</v>
      </c>
      <c r="AK1423" t="str">
        <f>IF(pub_gid_0_single_true_output_csv[[#This Row],[Nilai2]]="","",VLOOKUP(pub_gid_0_single_true_output_csv[[#This Row],[NAMA]],Table7[],3,FALSE))</f>
        <v>High average</v>
      </c>
    </row>
    <row r="1424" spans="1:37" x14ac:dyDescent="0.2">
      <c r="A1424">
        <v>1423</v>
      </c>
      <c r="B1424" t="s">
        <v>291</v>
      </c>
      <c r="C1424" t="s">
        <v>54</v>
      </c>
      <c r="D1424" t="s">
        <v>43</v>
      </c>
      <c r="E1424" t="s">
        <v>146</v>
      </c>
      <c r="F1424" s="25">
        <v>46071</v>
      </c>
      <c r="G1424" t="s">
        <v>323</v>
      </c>
      <c r="H1424" t="s">
        <v>412</v>
      </c>
      <c r="I1424" t="s">
        <v>371</v>
      </c>
      <c r="J1424" t="s">
        <v>41</v>
      </c>
      <c r="K1424" t="s">
        <v>365</v>
      </c>
      <c r="L1424" t="s">
        <v>319</v>
      </c>
      <c r="M1424" t="s">
        <v>141</v>
      </c>
      <c r="N1424" t="s">
        <v>142</v>
      </c>
      <c r="O1424" t="s">
        <v>155</v>
      </c>
      <c r="P1424" t="s">
        <v>281</v>
      </c>
      <c r="Q1424" t="s">
        <v>155</v>
      </c>
      <c r="R1424" t="s">
        <v>273</v>
      </c>
      <c r="S1424" t="s">
        <v>470</v>
      </c>
      <c r="T1424">
        <v>4</v>
      </c>
      <c r="U1424" t="s">
        <v>471</v>
      </c>
      <c r="V1424" t="s">
        <v>472</v>
      </c>
      <c r="W1424" t="s">
        <v>473</v>
      </c>
      <c r="X1424" t="s">
        <v>306</v>
      </c>
      <c r="Y1424" t="s">
        <v>307</v>
      </c>
      <c r="Z1424">
        <v>65</v>
      </c>
      <c r="AA1424">
        <v>80</v>
      </c>
      <c r="AB1424" t="s">
        <v>143</v>
      </c>
      <c r="AC1424" t="s">
        <v>163</v>
      </c>
      <c r="AD1424" t="s">
        <v>278</v>
      </c>
      <c r="AE1424" t="str">
        <f>IF(AF1424="","",VLOOKUP(AC1424,mapel!$A$2:$B$42,2,FALSE))</f>
        <v>PKWU</v>
      </c>
      <c r="AF1424">
        <f t="shared" si="66"/>
        <v>80</v>
      </c>
      <c r="AG1424" t="str">
        <f>IF(AF1424="","",IF(AF1424&gt;90,"Sangat baik",IF(AF1424&gt;79,"Baik",IF(AF1424&gt;=pub_gid_0_single_true_output_csv[[#This Row],[KKM]],"Cukup","Kurang"))))</f>
        <v>Baik</v>
      </c>
      <c r="AH1424">
        <f t="shared" si="67"/>
        <v>11</v>
      </c>
      <c r="AI1424" s="30" t="str">
        <f>IF(OR(J1424&lt;&gt;"Karakter",pub_gid_0_single_true_output_csv[[#This Row],[Nilai2]]=""),"",IF(AF1424&gt;89,"Sangat baik",IF(AF1424&gt;79,"Baik",IF(AF1424&gt;69,"Cukup",IF(AF1424&gt;59,"Kurang","Sangat kurang")))))</f>
        <v/>
      </c>
      <c r="AJ1424" t="str">
        <f t="shared" si="68"/>
        <v>Wk.8</v>
      </c>
      <c r="AK1424" t="str">
        <f>IF(pub_gid_0_single_true_output_csv[[#This Row],[Nilai2]]="","",VLOOKUP(pub_gid_0_single_true_output_csv[[#This Row],[NAMA]],Table7[],3,FALSE))</f>
        <v>High average</v>
      </c>
    </row>
    <row r="1425" spans="1:37" x14ac:dyDescent="0.2">
      <c r="A1425">
        <v>1424</v>
      </c>
      <c r="B1425" t="s">
        <v>291</v>
      </c>
      <c r="C1425" t="s">
        <v>54</v>
      </c>
      <c r="D1425" t="s">
        <v>43</v>
      </c>
      <c r="E1425" t="s">
        <v>146</v>
      </c>
      <c r="F1425" s="25">
        <v>46077</v>
      </c>
      <c r="G1425" t="s">
        <v>476</v>
      </c>
      <c r="H1425" t="s">
        <v>412</v>
      </c>
      <c r="I1425" t="s">
        <v>371</v>
      </c>
      <c r="J1425" t="s">
        <v>41</v>
      </c>
      <c r="K1425" t="s">
        <v>365</v>
      </c>
      <c r="L1425" t="s">
        <v>319</v>
      </c>
      <c r="M1425" t="s">
        <v>141</v>
      </c>
      <c r="N1425" t="s">
        <v>142</v>
      </c>
      <c r="O1425" t="s">
        <v>155</v>
      </c>
      <c r="P1425" t="s">
        <v>281</v>
      </c>
      <c r="Q1425" t="s">
        <v>155</v>
      </c>
      <c r="R1425" t="s">
        <v>273</v>
      </c>
      <c r="S1425" t="s">
        <v>470</v>
      </c>
      <c r="T1425">
        <v>4</v>
      </c>
      <c r="U1425" t="s">
        <v>471</v>
      </c>
      <c r="V1425" t="s">
        <v>472</v>
      </c>
      <c r="W1425" t="s">
        <v>473</v>
      </c>
      <c r="X1425" t="s">
        <v>306</v>
      </c>
      <c r="Y1425" t="s">
        <v>307</v>
      </c>
      <c r="Z1425">
        <v>65</v>
      </c>
      <c r="AA1425">
        <v>80</v>
      </c>
      <c r="AB1425" t="s">
        <v>143</v>
      </c>
      <c r="AC1425" t="s">
        <v>163</v>
      </c>
      <c r="AD1425" t="s">
        <v>278</v>
      </c>
      <c r="AE1425" t="str">
        <f>IF(AF1425="","",VLOOKUP(AC1425,mapel!$A$2:$B$42,2,FALSE))</f>
        <v>PKWU</v>
      </c>
      <c r="AF1425">
        <f t="shared" si="66"/>
        <v>80</v>
      </c>
      <c r="AG1425" t="str">
        <f>IF(AF1425="","",IF(AF1425&gt;90,"Sangat baik",IF(AF1425&gt;79,"Baik",IF(AF1425&gt;=pub_gid_0_single_true_output_csv[[#This Row],[KKM]],"Cukup","Kurang"))))</f>
        <v>Baik</v>
      </c>
      <c r="AH1425">
        <f t="shared" si="67"/>
        <v>11</v>
      </c>
      <c r="AI1425" s="30" t="str">
        <f>IF(OR(J1425&lt;&gt;"Karakter",pub_gid_0_single_true_output_csv[[#This Row],[Nilai2]]=""),"",IF(AF1425&gt;89,"Sangat baik",IF(AF1425&gt;79,"Baik",IF(AF1425&gt;69,"Cukup",IF(AF1425&gt;59,"Kurang","Sangat kurang")))))</f>
        <v/>
      </c>
      <c r="AJ1425" t="str">
        <f t="shared" si="68"/>
        <v>Wk.9</v>
      </c>
      <c r="AK1425" t="str">
        <f>IF(pub_gid_0_single_true_output_csv[[#This Row],[Nilai2]]="","",VLOOKUP(pub_gid_0_single_true_output_csv[[#This Row],[NAMA]],Table7[],3,FALSE))</f>
        <v>High average</v>
      </c>
    </row>
    <row r="1426" spans="1:37" x14ac:dyDescent="0.2">
      <c r="A1426">
        <v>1425</v>
      </c>
      <c r="B1426" t="s">
        <v>291</v>
      </c>
      <c r="C1426" t="s">
        <v>54</v>
      </c>
      <c r="D1426" t="s">
        <v>43</v>
      </c>
      <c r="E1426" t="s">
        <v>146</v>
      </c>
      <c r="F1426" s="25">
        <v>46078</v>
      </c>
      <c r="G1426" t="s">
        <v>284</v>
      </c>
      <c r="H1426" t="s">
        <v>412</v>
      </c>
      <c r="I1426" t="s">
        <v>371</v>
      </c>
      <c r="J1426" t="s">
        <v>36</v>
      </c>
      <c r="K1426" t="s">
        <v>153</v>
      </c>
      <c r="L1426" t="s">
        <v>319</v>
      </c>
      <c r="M1426" t="s">
        <v>141</v>
      </c>
      <c r="N1426" t="s">
        <v>142</v>
      </c>
      <c r="O1426" t="s">
        <v>155</v>
      </c>
      <c r="P1426" t="s">
        <v>281</v>
      </c>
      <c r="Q1426" t="s">
        <v>155</v>
      </c>
      <c r="R1426" t="s">
        <v>273</v>
      </c>
      <c r="S1426" t="s">
        <v>470</v>
      </c>
      <c r="T1426">
        <v>4</v>
      </c>
      <c r="U1426" t="s">
        <v>471</v>
      </c>
      <c r="V1426" t="s">
        <v>472</v>
      </c>
      <c r="W1426" t="s">
        <v>473</v>
      </c>
      <c r="X1426" t="s">
        <v>306</v>
      </c>
      <c r="Y1426" t="s">
        <v>307</v>
      </c>
      <c r="Z1426">
        <v>65</v>
      </c>
      <c r="AA1426">
        <v>80</v>
      </c>
      <c r="AB1426" t="s">
        <v>143</v>
      </c>
      <c r="AC1426" t="s">
        <v>163</v>
      </c>
      <c r="AD1426" t="s">
        <v>278</v>
      </c>
      <c r="AE1426" t="str">
        <f>IF(AF1426="","",VLOOKUP(AC1426,mapel!$A$2:$B$42,2,FALSE))</f>
        <v>PKWU</v>
      </c>
      <c r="AF1426">
        <f t="shared" si="66"/>
        <v>80</v>
      </c>
      <c r="AG1426" t="str">
        <f>IF(AF1426="","",IF(AF1426&gt;90,"Sangat baik",IF(AF1426&gt;79,"Baik",IF(AF1426&gt;=pub_gid_0_single_true_output_csv[[#This Row],[KKM]],"Cukup","Kurang"))))</f>
        <v>Baik</v>
      </c>
      <c r="AH1426">
        <f t="shared" si="67"/>
        <v>11</v>
      </c>
      <c r="AI1426" s="30" t="str">
        <f>IF(OR(J1426&lt;&gt;"Karakter",pub_gid_0_single_true_output_csv[[#This Row],[Nilai2]]=""),"",IF(AF1426&gt;89,"Sangat baik",IF(AF1426&gt;79,"Baik",IF(AF1426&gt;69,"Cukup",IF(AF1426&gt;59,"Kurang","Sangat kurang")))))</f>
        <v/>
      </c>
      <c r="AJ1426" t="str">
        <f t="shared" si="68"/>
        <v>Wk.9</v>
      </c>
      <c r="AK1426" t="str">
        <f>IF(pub_gid_0_single_true_output_csv[[#This Row],[Nilai2]]="","",VLOOKUP(pub_gid_0_single_true_output_csv[[#This Row],[NAMA]],Table7[],3,FALSE))</f>
        <v>High average</v>
      </c>
    </row>
    <row r="1427" spans="1:37" x14ac:dyDescent="0.2">
      <c r="A1427">
        <v>1426</v>
      </c>
      <c r="B1427" t="s">
        <v>292</v>
      </c>
      <c r="C1427" t="s">
        <v>54</v>
      </c>
      <c r="D1427" t="s">
        <v>94</v>
      </c>
      <c r="E1427" t="s">
        <v>147</v>
      </c>
      <c r="F1427" s="25">
        <v>46051</v>
      </c>
      <c r="G1427" t="s">
        <v>320</v>
      </c>
      <c r="H1427" t="s">
        <v>405</v>
      </c>
      <c r="I1427" t="s">
        <v>371</v>
      </c>
      <c r="J1427" t="s">
        <v>41</v>
      </c>
      <c r="K1427" t="s">
        <v>365</v>
      </c>
      <c r="L1427" t="s">
        <v>319</v>
      </c>
      <c r="M1427" t="s">
        <v>141</v>
      </c>
      <c r="N1427" t="s">
        <v>142</v>
      </c>
      <c r="O1427" t="s">
        <v>155</v>
      </c>
      <c r="P1427" t="s">
        <v>281</v>
      </c>
      <c r="Q1427" t="s">
        <v>155</v>
      </c>
      <c r="R1427" t="s">
        <v>273</v>
      </c>
      <c r="S1427" t="s">
        <v>470</v>
      </c>
      <c r="T1427">
        <v>4</v>
      </c>
      <c r="U1427" t="s">
        <v>471</v>
      </c>
      <c r="V1427" t="s">
        <v>472</v>
      </c>
      <c r="W1427" t="s">
        <v>473</v>
      </c>
      <c r="X1427" t="s">
        <v>306</v>
      </c>
      <c r="Y1427" t="s">
        <v>307</v>
      </c>
      <c r="Z1427">
        <v>65</v>
      </c>
      <c r="AA1427">
        <v>80</v>
      </c>
      <c r="AB1427" t="s">
        <v>143</v>
      </c>
      <c r="AC1427" t="s">
        <v>163</v>
      </c>
      <c r="AD1427" t="s">
        <v>278</v>
      </c>
      <c r="AE1427" t="str">
        <f>IF(AF1427="","",VLOOKUP(AC1427,mapel!$A$2:$B$42,2,FALSE))</f>
        <v>PKWU</v>
      </c>
      <c r="AF1427">
        <f t="shared" si="66"/>
        <v>80</v>
      </c>
      <c r="AG1427" t="str">
        <f>IF(AF1427="","",IF(AF1427&gt;90,"Sangat baik",IF(AF1427&gt;79,"Baik",IF(AF1427&gt;=pub_gid_0_single_true_output_csv[[#This Row],[KKM]],"Cukup","Kurang"))))</f>
        <v>Baik</v>
      </c>
      <c r="AH1427">
        <f t="shared" si="67"/>
        <v>11</v>
      </c>
      <c r="AI1427" s="30" t="str">
        <f>IF(OR(J1427&lt;&gt;"Karakter",pub_gid_0_single_true_output_csv[[#This Row],[Nilai2]]=""),"",IF(AF1427&gt;89,"Sangat baik",IF(AF1427&gt;79,"Baik",IF(AF1427&gt;69,"Cukup",IF(AF1427&gt;59,"Kurang","Sangat kurang")))))</f>
        <v/>
      </c>
      <c r="AJ1427" t="str">
        <f t="shared" si="68"/>
        <v>Wk.5</v>
      </c>
      <c r="AK1427" t="str">
        <f>IF(pub_gid_0_single_true_output_csv[[#This Row],[Nilai2]]="","",VLOOKUP(pub_gid_0_single_true_output_csv[[#This Row],[NAMA]],Table7[],3,FALSE))</f>
        <v>Average</v>
      </c>
    </row>
    <row r="1428" spans="1:37" x14ac:dyDescent="0.2">
      <c r="A1428">
        <v>1427</v>
      </c>
      <c r="B1428" t="s">
        <v>292</v>
      </c>
      <c r="C1428" t="s">
        <v>54</v>
      </c>
      <c r="D1428" t="s">
        <v>94</v>
      </c>
      <c r="E1428" t="s">
        <v>147</v>
      </c>
      <c r="F1428" s="25">
        <v>46056</v>
      </c>
      <c r="G1428" t="s">
        <v>372</v>
      </c>
      <c r="H1428" t="s">
        <v>412</v>
      </c>
      <c r="I1428" t="s">
        <v>371</v>
      </c>
      <c r="J1428" t="s">
        <v>41</v>
      </c>
      <c r="K1428" t="s">
        <v>365</v>
      </c>
      <c r="L1428" t="s">
        <v>322</v>
      </c>
      <c r="M1428" t="s">
        <v>141</v>
      </c>
      <c r="N1428" t="s">
        <v>142</v>
      </c>
      <c r="O1428" t="s">
        <v>155</v>
      </c>
      <c r="P1428" t="s">
        <v>281</v>
      </c>
      <c r="Q1428" t="s">
        <v>155</v>
      </c>
      <c r="R1428" t="s">
        <v>273</v>
      </c>
      <c r="S1428" t="s">
        <v>309</v>
      </c>
      <c r="T1428">
        <v>1</v>
      </c>
      <c r="U1428" t="s">
        <v>393</v>
      </c>
      <c r="V1428" t="s">
        <v>285</v>
      </c>
      <c r="W1428" t="s">
        <v>394</v>
      </c>
      <c r="X1428" t="s">
        <v>306</v>
      </c>
      <c r="Y1428" t="s">
        <v>307</v>
      </c>
      <c r="Z1428">
        <v>65</v>
      </c>
      <c r="AA1428">
        <v>78</v>
      </c>
      <c r="AB1428" t="s">
        <v>143</v>
      </c>
      <c r="AC1428" t="s">
        <v>163</v>
      </c>
      <c r="AD1428" t="s">
        <v>278</v>
      </c>
      <c r="AE1428" t="str">
        <f>IF(AF1428="","",VLOOKUP(AC1428,mapel!$A$2:$B$42,2,FALSE))</f>
        <v>PKWU</v>
      </c>
      <c r="AF1428">
        <f t="shared" si="66"/>
        <v>78</v>
      </c>
      <c r="AG1428" t="str">
        <f>IF(AF1428="","",IF(AF1428&gt;90,"Sangat baik",IF(AF1428&gt;79,"Baik",IF(AF1428&gt;=pub_gid_0_single_true_output_csv[[#This Row],[KKM]],"Cukup","Kurang"))))</f>
        <v>Cukup</v>
      </c>
      <c r="AH1428">
        <f t="shared" si="67"/>
        <v>11</v>
      </c>
      <c r="AI1428" s="30" t="str">
        <f>IF(OR(J1428&lt;&gt;"Karakter",pub_gid_0_single_true_output_csv[[#This Row],[Nilai2]]=""),"",IF(AF1428&gt;89,"Sangat baik",IF(AF1428&gt;79,"Baik",IF(AF1428&gt;69,"Cukup",IF(AF1428&gt;59,"Kurang","Sangat kurang")))))</f>
        <v/>
      </c>
      <c r="AJ1428" t="str">
        <f t="shared" si="68"/>
        <v>Wk.6</v>
      </c>
      <c r="AK1428" t="str">
        <f>IF(pub_gid_0_single_true_output_csv[[#This Row],[Nilai2]]="","",VLOOKUP(pub_gid_0_single_true_output_csv[[#This Row],[NAMA]],Table7[],3,FALSE))</f>
        <v>Average</v>
      </c>
    </row>
    <row r="1429" spans="1:37" x14ac:dyDescent="0.2">
      <c r="A1429">
        <v>1428</v>
      </c>
      <c r="B1429" t="s">
        <v>292</v>
      </c>
      <c r="C1429" t="s">
        <v>54</v>
      </c>
      <c r="D1429" t="s">
        <v>94</v>
      </c>
      <c r="E1429" t="s">
        <v>147</v>
      </c>
      <c r="F1429" s="25">
        <v>46057</v>
      </c>
      <c r="G1429" t="s">
        <v>348</v>
      </c>
      <c r="H1429" t="s">
        <v>412</v>
      </c>
      <c r="I1429" t="s">
        <v>371</v>
      </c>
      <c r="J1429" t="s">
        <v>36</v>
      </c>
      <c r="K1429" t="s">
        <v>153</v>
      </c>
      <c r="L1429" t="s">
        <v>395</v>
      </c>
      <c r="M1429" t="s">
        <v>141</v>
      </c>
      <c r="N1429" t="s">
        <v>142</v>
      </c>
      <c r="O1429" t="s">
        <v>155</v>
      </c>
      <c r="P1429" t="s">
        <v>281</v>
      </c>
      <c r="Q1429" t="s">
        <v>155</v>
      </c>
      <c r="R1429" t="s">
        <v>273</v>
      </c>
      <c r="S1429" t="s">
        <v>309</v>
      </c>
      <c r="T1429">
        <v>1</v>
      </c>
      <c r="U1429" t="s">
        <v>393</v>
      </c>
      <c r="V1429" t="s">
        <v>285</v>
      </c>
      <c r="W1429" t="s">
        <v>394</v>
      </c>
      <c r="X1429" t="s">
        <v>306</v>
      </c>
      <c r="Y1429" t="s">
        <v>307</v>
      </c>
      <c r="Z1429">
        <v>65</v>
      </c>
      <c r="AA1429">
        <v>78</v>
      </c>
      <c r="AB1429" t="s">
        <v>143</v>
      </c>
      <c r="AC1429" t="s">
        <v>163</v>
      </c>
      <c r="AD1429" t="s">
        <v>278</v>
      </c>
      <c r="AE1429" t="str">
        <f>IF(AF1429="","",VLOOKUP(AC1429,mapel!$A$2:$B$42,2,FALSE))</f>
        <v>PKWU</v>
      </c>
      <c r="AF1429">
        <f t="shared" si="66"/>
        <v>78</v>
      </c>
      <c r="AG1429" t="str">
        <f>IF(AF1429="","",IF(AF1429&gt;90,"Sangat baik",IF(AF1429&gt;79,"Baik",IF(AF1429&gt;=pub_gid_0_single_true_output_csv[[#This Row],[KKM]],"Cukup","Kurang"))))</f>
        <v>Cukup</v>
      </c>
      <c r="AH1429">
        <f t="shared" si="67"/>
        <v>11</v>
      </c>
      <c r="AI1429" s="30" t="str">
        <f>IF(OR(J1429&lt;&gt;"Karakter",pub_gid_0_single_true_output_csv[[#This Row],[Nilai2]]=""),"",IF(AF1429&gt;89,"Sangat baik",IF(AF1429&gt;79,"Baik",IF(AF1429&gt;69,"Cukup",IF(AF1429&gt;59,"Kurang","Sangat kurang")))))</f>
        <v/>
      </c>
      <c r="AJ1429" t="str">
        <f t="shared" si="68"/>
        <v>Wk.6</v>
      </c>
      <c r="AK1429" t="str">
        <f>IF(pub_gid_0_single_true_output_csv[[#This Row],[Nilai2]]="","",VLOOKUP(pub_gid_0_single_true_output_csv[[#This Row],[NAMA]],Table7[],3,FALSE))</f>
        <v>Average</v>
      </c>
    </row>
    <row r="1430" spans="1:37" x14ac:dyDescent="0.2">
      <c r="A1430">
        <v>1429</v>
      </c>
      <c r="B1430" t="s">
        <v>292</v>
      </c>
      <c r="C1430" t="s">
        <v>54</v>
      </c>
      <c r="D1430" t="s">
        <v>94</v>
      </c>
      <c r="E1430" t="s">
        <v>147</v>
      </c>
      <c r="F1430" s="25">
        <v>46058</v>
      </c>
      <c r="G1430" t="s">
        <v>346</v>
      </c>
      <c r="H1430" t="s">
        <v>412</v>
      </c>
      <c r="I1430" t="s">
        <v>371</v>
      </c>
      <c r="J1430" t="s">
        <v>41</v>
      </c>
      <c r="K1430" t="s">
        <v>365</v>
      </c>
      <c r="L1430" t="s">
        <v>322</v>
      </c>
      <c r="M1430" t="s">
        <v>141</v>
      </c>
      <c r="N1430" t="s">
        <v>142</v>
      </c>
      <c r="O1430" t="s">
        <v>155</v>
      </c>
      <c r="P1430" t="s">
        <v>281</v>
      </c>
      <c r="Q1430" t="s">
        <v>155</v>
      </c>
      <c r="R1430" t="s">
        <v>273</v>
      </c>
      <c r="S1430" t="s">
        <v>309</v>
      </c>
      <c r="T1430">
        <v>1</v>
      </c>
      <c r="U1430" t="s">
        <v>393</v>
      </c>
      <c r="V1430" t="s">
        <v>285</v>
      </c>
      <c r="W1430" t="s">
        <v>394</v>
      </c>
      <c r="X1430" t="s">
        <v>306</v>
      </c>
      <c r="Y1430" t="s">
        <v>307</v>
      </c>
      <c r="Z1430">
        <v>65</v>
      </c>
      <c r="AA1430">
        <v>78</v>
      </c>
      <c r="AB1430" t="s">
        <v>143</v>
      </c>
      <c r="AC1430" t="s">
        <v>163</v>
      </c>
      <c r="AD1430" t="s">
        <v>278</v>
      </c>
      <c r="AE1430" t="str">
        <f>IF(AF1430="","",VLOOKUP(AC1430,mapel!$A$2:$B$42,2,FALSE))</f>
        <v>PKWU</v>
      </c>
      <c r="AF1430">
        <f t="shared" si="66"/>
        <v>78</v>
      </c>
      <c r="AG1430" t="str">
        <f>IF(AF1430="","",IF(AF1430&gt;90,"Sangat baik",IF(AF1430&gt;79,"Baik",IF(AF1430&gt;=pub_gid_0_single_true_output_csv[[#This Row],[KKM]],"Cukup","Kurang"))))</f>
        <v>Cukup</v>
      </c>
      <c r="AH1430">
        <f t="shared" si="67"/>
        <v>11</v>
      </c>
      <c r="AI1430" s="30" t="str">
        <f>IF(OR(J1430&lt;&gt;"Karakter",pub_gid_0_single_true_output_csv[[#This Row],[Nilai2]]=""),"",IF(AF1430&gt;89,"Sangat baik",IF(AF1430&gt;79,"Baik",IF(AF1430&gt;69,"Cukup",IF(AF1430&gt;59,"Kurang","Sangat kurang")))))</f>
        <v/>
      </c>
      <c r="AJ1430" t="str">
        <f t="shared" si="68"/>
        <v>Wk.6</v>
      </c>
      <c r="AK1430" t="str">
        <f>IF(pub_gid_0_single_true_output_csv[[#This Row],[Nilai2]]="","",VLOOKUP(pub_gid_0_single_true_output_csv[[#This Row],[NAMA]],Table7[],3,FALSE))</f>
        <v>Average</v>
      </c>
    </row>
    <row r="1431" spans="1:37" x14ac:dyDescent="0.2">
      <c r="A1431">
        <v>1430</v>
      </c>
      <c r="B1431" t="s">
        <v>292</v>
      </c>
      <c r="C1431" t="s">
        <v>54</v>
      </c>
      <c r="D1431" t="s">
        <v>94</v>
      </c>
      <c r="E1431" t="s">
        <v>147</v>
      </c>
      <c r="F1431" s="25">
        <v>46063</v>
      </c>
      <c r="G1431" t="s">
        <v>374</v>
      </c>
      <c r="H1431" t="s">
        <v>412</v>
      </c>
      <c r="I1431" t="s">
        <v>371</v>
      </c>
      <c r="J1431" t="s">
        <v>36</v>
      </c>
      <c r="K1431" t="s">
        <v>153</v>
      </c>
      <c r="L1431" t="s">
        <v>395</v>
      </c>
      <c r="M1431" t="s">
        <v>141</v>
      </c>
      <c r="N1431" t="s">
        <v>142</v>
      </c>
      <c r="O1431" t="s">
        <v>155</v>
      </c>
      <c r="P1431" t="s">
        <v>281</v>
      </c>
      <c r="Q1431" t="s">
        <v>155</v>
      </c>
      <c r="R1431" t="s">
        <v>273</v>
      </c>
      <c r="S1431" t="s">
        <v>309</v>
      </c>
      <c r="T1431">
        <v>1</v>
      </c>
      <c r="U1431" t="s">
        <v>393</v>
      </c>
      <c r="V1431" t="s">
        <v>285</v>
      </c>
      <c r="W1431" t="s">
        <v>394</v>
      </c>
      <c r="X1431" t="s">
        <v>306</v>
      </c>
      <c r="Y1431" t="s">
        <v>307</v>
      </c>
      <c r="Z1431">
        <v>65</v>
      </c>
      <c r="AA1431">
        <v>78</v>
      </c>
      <c r="AB1431" t="s">
        <v>143</v>
      </c>
      <c r="AC1431" t="s">
        <v>163</v>
      </c>
      <c r="AD1431" t="s">
        <v>278</v>
      </c>
      <c r="AE1431" t="str">
        <f>IF(AF1431="","",VLOOKUP(AC1431,mapel!$A$2:$B$42,2,FALSE))</f>
        <v>PKWU</v>
      </c>
      <c r="AF1431">
        <f t="shared" si="66"/>
        <v>78</v>
      </c>
      <c r="AG1431" t="str">
        <f>IF(AF1431="","",IF(AF1431&gt;90,"Sangat baik",IF(AF1431&gt;79,"Baik",IF(AF1431&gt;=pub_gid_0_single_true_output_csv[[#This Row],[KKM]],"Cukup","Kurang"))))</f>
        <v>Cukup</v>
      </c>
      <c r="AH1431">
        <f t="shared" si="67"/>
        <v>11</v>
      </c>
      <c r="AI1431" s="30" t="str">
        <f>IF(OR(J1431&lt;&gt;"Karakter",pub_gid_0_single_true_output_csv[[#This Row],[Nilai2]]=""),"",IF(AF1431&gt;89,"Sangat baik",IF(AF1431&gt;79,"Baik",IF(AF1431&gt;69,"Cukup",IF(AF1431&gt;59,"Kurang","Sangat kurang")))))</f>
        <v/>
      </c>
      <c r="AJ1431" t="str">
        <f t="shared" si="68"/>
        <v>Wk.7</v>
      </c>
      <c r="AK1431" t="str">
        <f>IF(pub_gid_0_single_true_output_csv[[#This Row],[Nilai2]]="","",VLOOKUP(pub_gid_0_single_true_output_csv[[#This Row],[NAMA]],Table7[],3,FALSE))</f>
        <v>Average</v>
      </c>
    </row>
    <row r="1432" spans="1:37" x14ac:dyDescent="0.2">
      <c r="A1432">
        <v>1431</v>
      </c>
      <c r="B1432" t="s">
        <v>292</v>
      </c>
      <c r="C1432" t="s">
        <v>54</v>
      </c>
      <c r="D1432" t="s">
        <v>94</v>
      </c>
      <c r="E1432" t="s">
        <v>147</v>
      </c>
      <c r="F1432" s="25">
        <v>46064</v>
      </c>
      <c r="G1432" t="s">
        <v>352</v>
      </c>
      <c r="H1432" t="s">
        <v>412</v>
      </c>
      <c r="I1432" t="s">
        <v>371</v>
      </c>
      <c r="J1432" t="s">
        <v>31</v>
      </c>
      <c r="K1432" t="s">
        <v>32</v>
      </c>
      <c r="L1432" t="s">
        <v>395</v>
      </c>
      <c r="M1432" t="s">
        <v>141</v>
      </c>
      <c r="N1432" t="s">
        <v>142</v>
      </c>
      <c r="O1432" t="s">
        <v>155</v>
      </c>
      <c r="P1432" t="s">
        <v>281</v>
      </c>
      <c r="Q1432" t="s">
        <v>155</v>
      </c>
      <c r="R1432" t="s">
        <v>273</v>
      </c>
      <c r="S1432" t="s">
        <v>309</v>
      </c>
      <c r="T1432">
        <v>1</v>
      </c>
      <c r="U1432" t="s">
        <v>393</v>
      </c>
      <c r="V1432" t="s">
        <v>285</v>
      </c>
      <c r="W1432" t="s">
        <v>394</v>
      </c>
      <c r="X1432" t="s">
        <v>306</v>
      </c>
      <c r="Y1432" t="s">
        <v>307</v>
      </c>
      <c r="Z1432">
        <v>65</v>
      </c>
      <c r="AA1432">
        <v>78</v>
      </c>
      <c r="AB1432" t="s">
        <v>143</v>
      </c>
      <c r="AC1432" t="s">
        <v>163</v>
      </c>
      <c r="AD1432" t="s">
        <v>278</v>
      </c>
      <c r="AE1432" t="str">
        <f>IF(AF1432="","",VLOOKUP(AC1432,mapel!$A$2:$B$42,2,FALSE))</f>
        <v>PKWU</v>
      </c>
      <c r="AF1432">
        <f t="shared" si="66"/>
        <v>78</v>
      </c>
      <c r="AG1432" t="str">
        <f>IF(AF1432="","",IF(AF1432&gt;90,"Sangat baik",IF(AF1432&gt;79,"Baik",IF(AF1432&gt;=pub_gid_0_single_true_output_csv[[#This Row],[KKM]],"Cukup","Kurang"))))</f>
        <v>Cukup</v>
      </c>
      <c r="AH1432">
        <f t="shared" si="67"/>
        <v>11</v>
      </c>
      <c r="AI1432" s="30" t="str">
        <f>IF(OR(J1432&lt;&gt;"Karakter",pub_gid_0_single_true_output_csv[[#This Row],[Nilai2]]=""),"",IF(AF1432&gt;89,"Sangat baik",IF(AF1432&gt;79,"Baik",IF(AF1432&gt;69,"Cukup",IF(AF1432&gt;59,"Kurang","Sangat kurang")))))</f>
        <v/>
      </c>
      <c r="AJ1432" t="str">
        <f t="shared" si="68"/>
        <v>Wk.7</v>
      </c>
      <c r="AK1432" t="str">
        <f>IF(pub_gid_0_single_true_output_csv[[#This Row],[Nilai2]]="","",VLOOKUP(pub_gid_0_single_true_output_csv[[#This Row],[NAMA]],Table7[],3,FALSE))</f>
        <v>Average</v>
      </c>
    </row>
    <row r="1433" spans="1:37" x14ac:dyDescent="0.2">
      <c r="A1433">
        <v>1432</v>
      </c>
      <c r="B1433" t="s">
        <v>292</v>
      </c>
      <c r="C1433" t="s">
        <v>54</v>
      </c>
      <c r="D1433" t="s">
        <v>94</v>
      </c>
      <c r="E1433" t="s">
        <v>147</v>
      </c>
      <c r="F1433" s="25">
        <v>46065</v>
      </c>
      <c r="G1433" t="s">
        <v>354</v>
      </c>
      <c r="H1433" t="s">
        <v>412</v>
      </c>
      <c r="I1433" t="s">
        <v>371</v>
      </c>
      <c r="J1433" t="s">
        <v>41</v>
      </c>
      <c r="K1433" t="s">
        <v>365</v>
      </c>
      <c r="L1433" t="s">
        <v>322</v>
      </c>
      <c r="M1433" t="s">
        <v>141</v>
      </c>
      <c r="N1433" t="s">
        <v>142</v>
      </c>
      <c r="O1433" t="s">
        <v>155</v>
      </c>
      <c r="P1433" t="s">
        <v>281</v>
      </c>
      <c r="Q1433" t="s">
        <v>155</v>
      </c>
      <c r="R1433" t="s">
        <v>273</v>
      </c>
      <c r="S1433" t="s">
        <v>309</v>
      </c>
      <c r="T1433">
        <v>1</v>
      </c>
      <c r="U1433" t="s">
        <v>393</v>
      </c>
      <c r="V1433" t="s">
        <v>285</v>
      </c>
      <c r="W1433" t="s">
        <v>394</v>
      </c>
      <c r="X1433" t="s">
        <v>306</v>
      </c>
      <c r="Y1433" t="s">
        <v>307</v>
      </c>
      <c r="Z1433">
        <v>65</v>
      </c>
      <c r="AA1433">
        <v>78</v>
      </c>
      <c r="AB1433" t="s">
        <v>143</v>
      </c>
      <c r="AC1433" t="s">
        <v>163</v>
      </c>
      <c r="AD1433" t="s">
        <v>278</v>
      </c>
      <c r="AE1433" t="str">
        <f>IF(AF1433="","",VLOOKUP(AC1433,mapel!$A$2:$B$42,2,FALSE))</f>
        <v>PKWU</v>
      </c>
      <c r="AF1433">
        <f t="shared" si="66"/>
        <v>78</v>
      </c>
      <c r="AG1433" t="str">
        <f>IF(AF1433="","",IF(AF1433&gt;90,"Sangat baik",IF(AF1433&gt;79,"Baik",IF(AF1433&gt;=pub_gid_0_single_true_output_csv[[#This Row],[KKM]],"Cukup","Kurang"))))</f>
        <v>Cukup</v>
      </c>
      <c r="AH1433">
        <f t="shared" si="67"/>
        <v>11</v>
      </c>
      <c r="AI1433" s="30" t="str">
        <f>IF(OR(J1433&lt;&gt;"Karakter",pub_gid_0_single_true_output_csv[[#This Row],[Nilai2]]=""),"",IF(AF1433&gt;89,"Sangat baik",IF(AF1433&gt;79,"Baik",IF(AF1433&gt;69,"Cukup",IF(AF1433&gt;59,"Kurang","Sangat kurang")))))</f>
        <v/>
      </c>
      <c r="AJ1433" t="str">
        <f t="shared" si="68"/>
        <v>Wk.7</v>
      </c>
      <c r="AK1433" t="str">
        <f>IF(pub_gid_0_single_true_output_csv[[#This Row],[Nilai2]]="","",VLOOKUP(pub_gid_0_single_true_output_csv[[#This Row],[NAMA]],Table7[],3,FALSE))</f>
        <v>Average</v>
      </c>
    </row>
    <row r="1434" spans="1:37" x14ac:dyDescent="0.2">
      <c r="A1434">
        <v>1433</v>
      </c>
      <c r="B1434" t="s">
        <v>292</v>
      </c>
      <c r="C1434" t="s">
        <v>54</v>
      </c>
      <c r="D1434" t="s">
        <v>94</v>
      </c>
      <c r="E1434" t="s">
        <v>147</v>
      </c>
      <c r="F1434" s="25">
        <v>46071</v>
      </c>
      <c r="G1434" t="s">
        <v>323</v>
      </c>
      <c r="H1434" t="s">
        <v>412</v>
      </c>
      <c r="I1434" t="s">
        <v>371</v>
      </c>
      <c r="J1434" t="s">
        <v>41</v>
      </c>
      <c r="K1434" t="s">
        <v>365</v>
      </c>
      <c r="L1434" t="s">
        <v>319</v>
      </c>
      <c r="M1434" t="s">
        <v>141</v>
      </c>
      <c r="N1434" t="s">
        <v>142</v>
      </c>
      <c r="O1434" t="s">
        <v>155</v>
      </c>
      <c r="P1434" t="s">
        <v>281</v>
      </c>
      <c r="Q1434" t="s">
        <v>155</v>
      </c>
      <c r="R1434" t="s">
        <v>273</v>
      </c>
      <c r="S1434" t="s">
        <v>470</v>
      </c>
      <c r="T1434">
        <v>4</v>
      </c>
      <c r="U1434" t="s">
        <v>471</v>
      </c>
      <c r="V1434" t="s">
        <v>472</v>
      </c>
      <c r="W1434" t="s">
        <v>473</v>
      </c>
      <c r="X1434" t="s">
        <v>306</v>
      </c>
      <c r="Y1434" t="s">
        <v>307</v>
      </c>
      <c r="Z1434">
        <v>65</v>
      </c>
      <c r="AA1434">
        <v>80</v>
      </c>
      <c r="AB1434" t="s">
        <v>143</v>
      </c>
      <c r="AC1434" t="s">
        <v>163</v>
      </c>
      <c r="AD1434" t="s">
        <v>278</v>
      </c>
      <c r="AE1434" t="str">
        <f>IF(AF1434="","",VLOOKUP(AC1434,mapel!$A$2:$B$42,2,FALSE))</f>
        <v>PKWU</v>
      </c>
      <c r="AF1434">
        <f t="shared" si="66"/>
        <v>80</v>
      </c>
      <c r="AG1434" t="str">
        <f>IF(AF1434="","",IF(AF1434&gt;90,"Sangat baik",IF(AF1434&gt;79,"Baik",IF(AF1434&gt;=pub_gid_0_single_true_output_csv[[#This Row],[KKM]],"Cukup","Kurang"))))</f>
        <v>Baik</v>
      </c>
      <c r="AH1434">
        <f t="shared" si="67"/>
        <v>11</v>
      </c>
      <c r="AI1434" s="30" t="str">
        <f>IF(OR(J1434&lt;&gt;"Karakter",pub_gid_0_single_true_output_csv[[#This Row],[Nilai2]]=""),"",IF(AF1434&gt;89,"Sangat baik",IF(AF1434&gt;79,"Baik",IF(AF1434&gt;69,"Cukup",IF(AF1434&gt;59,"Kurang","Sangat kurang")))))</f>
        <v/>
      </c>
      <c r="AJ1434" t="str">
        <f t="shared" si="68"/>
        <v>Wk.8</v>
      </c>
      <c r="AK1434" t="str">
        <f>IF(pub_gid_0_single_true_output_csv[[#This Row],[Nilai2]]="","",VLOOKUP(pub_gid_0_single_true_output_csv[[#This Row],[NAMA]],Table7[],3,FALSE))</f>
        <v>Average</v>
      </c>
    </row>
    <row r="1435" spans="1:37" x14ac:dyDescent="0.2">
      <c r="A1435">
        <v>1434</v>
      </c>
      <c r="B1435" t="s">
        <v>292</v>
      </c>
      <c r="C1435" t="s">
        <v>54</v>
      </c>
      <c r="D1435" t="s">
        <v>94</v>
      </c>
      <c r="E1435" t="s">
        <v>147</v>
      </c>
      <c r="F1435" s="25">
        <v>46077</v>
      </c>
      <c r="G1435" t="s">
        <v>476</v>
      </c>
      <c r="H1435" t="s">
        <v>412</v>
      </c>
      <c r="I1435" t="s">
        <v>371</v>
      </c>
      <c r="J1435" t="s">
        <v>41</v>
      </c>
      <c r="K1435" t="s">
        <v>365</v>
      </c>
      <c r="L1435" t="s">
        <v>319</v>
      </c>
      <c r="M1435" t="s">
        <v>141</v>
      </c>
      <c r="N1435" t="s">
        <v>142</v>
      </c>
      <c r="O1435" t="s">
        <v>155</v>
      </c>
      <c r="P1435" t="s">
        <v>281</v>
      </c>
      <c r="Q1435" t="s">
        <v>155</v>
      </c>
      <c r="R1435" t="s">
        <v>273</v>
      </c>
      <c r="S1435" t="s">
        <v>470</v>
      </c>
      <c r="T1435">
        <v>4</v>
      </c>
      <c r="U1435" t="s">
        <v>471</v>
      </c>
      <c r="V1435" t="s">
        <v>472</v>
      </c>
      <c r="W1435" t="s">
        <v>473</v>
      </c>
      <c r="X1435" t="s">
        <v>306</v>
      </c>
      <c r="Y1435" t="s">
        <v>307</v>
      </c>
      <c r="Z1435">
        <v>65</v>
      </c>
      <c r="AA1435">
        <v>80</v>
      </c>
      <c r="AB1435" t="s">
        <v>143</v>
      </c>
      <c r="AC1435" t="s">
        <v>163</v>
      </c>
      <c r="AD1435" t="s">
        <v>278</v>
      </c>
      <c r="AE1435" t="str">
        <f>IF(AF1435="","",VLOOKUP(AC1435,mapel!$A$2:$B$42,2,FALSE))</f>
        <v>PKWU</v>
      </c>
      <c r="AF1435">
        <f t="shared" si="66"/>
        <v>80</v>
      </c>
      <c r="AG1435" t="str">
        <f>IF(AF1435="","",IF(AF1435&gt;90,"Sangat baik",IF(AF1435&gt;79,"Baik",IF(AF1435&gt;=pub_gid_0_single_true_output_csv[[#This Row],[KKM]],"Cukup","Kurang"))))</f>
        <v>Baik</v>
      </c>
      <c r="AH1435">
        <f t="shared" si="67"/>
        <v>11</v>
      </c>
      <c r="AI1435" s="30" t="str">
        <f>IF(OR(J1435&lt;&gt;"Karakter",pub_gid_0_single_true_output_csv[[#This Row],[Nilai2]]=""),"",IF(AF1435&gt;89,"Sangat baik",IF(AF1435&gt;79,"Baik",IF(AF1435&gt;69,"Cukup",IF(AF1435&gt;59,"Kurang","Sangat kurang")))))</f>
        <v/>
      </c>
      <c r="AJ1435" t="str">
        <f t="shared" si="68"/>
        <v>Wk.9</v>
      </c>
      <c r="AK1435" t="str">
        <f>IF(pub_gid_0_single_true_output_csv[[#This Row],[Nilai2]]="","",VLOOKUP(pub_gid_0_single_true_output_csv[[#This Row],[NAMA]],Table7[],3,FALSE))</f>
        <v>Average</v>
      </c>
    </row>
    <row r="1436" spans="1:37" x14ac:dyDescent="0.2">
      <c r="A1436">
        <v>1435</v>
      </c>
      <c r="B1436" t="s">
        <v>292</v>
      </c>
      <c r="C1436" t="s">
        <v>54</v>
      </c>
      <c r="D1436" t="s">
        <v>94</v>
      </c>
      <c r="E1436" t="s">
        <v>147</v>
      </c>
      <c r="F1436" s="25">
        <v>46078</v>
      </c>
      <c r="G1436" t="s">
        <v>284</v>
      </c>
      <c r="H1436" t="s">
        <v>412</v>
      </c>
      <c r="I1436" t="s">
        <v>371</v>
      </c>
      <c r="J1436" t="s">
        <v>36</v>
      </c>
      <c r="K1436" t="s">
        <v>153</v>
      </c>
      <c r="L1436" t="s">
        <v>319</v>
      </c>
      <c r="M1436" t="s">
        <v>141</v>
      </c>
      <c r="N1436" t="s">
        <v>142</v>
      </c>
      <c r="O1436" t="s">
        <v>155</v>
      </c>
      <c r="P1436" t="s">
        <v>281</v>
      </c>
      <c r="Q1436" t="s">
        <v>155</v>
      </c>
      <c r="R1436" t="s">
        <v>273</v>
      </c>
      <c r="S1436" t="s">
        <v>470</v>
      </c>
      <c r="T1436">
        <v>4</v>
      </c>
      <c r="U1436" t="s">
        <v>471</v>
      </c>
      <c r="V1436" t="s">
        <v>472</v>
      </c>
      <c r="W1436" t="s">
        <v>473</v>
      </c>
      <c r="X1436" t="s">
        <v>306</v>
      </c>
      <c r="Y1436" t="s">
        <v>307</v>
      </c>
      <c r="Z1436">
        <v>65</v>
      </c>
      <c r="AA1436">
        <v>80</v>
      </c>
      <c r="AB1436" t="s">
        <v>143</v>
      </c>
      <c r="AC1436" t="s">
        <v>163</v>
      </c>
      <c r="AD1436" t="s">
        <v>278</v>
      </c>
      <c r="AE1436" t="str">
        <f>IF(AF1436="","",VLOOKUP(AC1436,mapel!$A$2:$B$42,2,FALSE))</f>
        <v>PKWU</v>
      </c>
      <c r="AF1436">
        <f t="shared" si="66"/>
        <v>80</v>
      </c>
      <c r="AG1436" t="str">
        <f>IF(AF1436="","",IF(AF1436&gt;90,"Sangat baik",IF(AF1436&gt;79,"Baik",IF(AF1436&gt;=pub_gid_0_single_true_output_csv[[#This Row],[KKM]],"Cukup","Kurang"))))</f>
        <v>Baik</v>
      </c>
      <c r="AH1436">
        <f t="shared" si="67"/>
        <v>11</v>
      </c>
      <c r="AI1436" s="30" t="str">
        <f>IF(OR(J1436&lt;&gt;"Karakter",pub_gid_0_single_true_output_csv[[#This Row],[Nilai2]]=""),"",IF(AF1436&gt;89,"Sangat baik",IF(AF1436&gt;79,"Baik",IF(AF1436&gt;69,"Cukup",IF(AF1436&gt;59,"Kurang","Sangat kurang")))))</f>
        <v/>
      </c>
      <c r="AJ1436" t="str">
        <f t="shared" si="68"/>
        <v>Wk.9</v>
      </c>
      <c r="AK1436" t="str">
        <f>IF(pub_gid_0_single_true_output_csv[[#This Row],[Nilai2]]="","",VLOOKUP(pub_gid_0_single_true_output_csv[[#This Row],[NAMA]],Table7[],3,FALSE))</f>
        <v>Average</v>
      </c>
    </row>
    <row r="1437" spans="1:37" x14ac:dyDescent="0.2">
      <c r="A1437">
        <v>1436</v>
      </c>
      <c r="B1437" t="s">
        <v>293</v>
      </c>
      <c r="C1437" t="s">
        <v>54</v>
      </c>
      <c r="D1437" t="s">
        <v>45</v>
      </c>
      <c r="E1437" t="s">
        <v>147</v>
      </c>
      <c r="F1437" s="25">
        <v>46035</v>
      </c>
      <c r="G1437" t="s">
        <v>358</v>
      </c>
      <c r="H1437" t="s">
        <v>405</v>
      </c>
      <c r="I1437" t="s">
        <v>371</v>
      </c>
      <c r="J1437" t="s">
        <v>41</v>
      </c>
      <c r="K1437" t="s">
        <v>365</v>
      </c>
      <c r="L1437" t="s">
        <v>322</v>
      </c>
      <c r="M1437" t="s">
        <v>141</v>
      </c>
      <c r="N1437" t="s">
        <v>142</v>
      </c>
      <c r="O1437" t="s">
        <v>155</v>
      </c>
      <c r="P1437" t="s">
        <v>281</v>
      </c>
      <c r="Q1437" t="s">
        <v>155</v>
      </c>
      <c r="R1437" t="s">
        <v>273</v>
      </c>
      <c r="S1437" t="s">
        <v>470</v>
      </c>
      <c r="T1437">
        <v>4</v>
      </c>
      <c r="U1437" t="s">
        <v>471</v>
      </c>
      <c r="V1437" t="s">
        <v>472</v>
      </c>
      <c r="W1437" t="s">
        <v>473</v>
      </c>
      <c r="X1437" t="s">
        <v>306</v>
      </c>
      <c r="Y1437" t="s">
        <v>307</v>
      </c>
      <c r="Z1437">
        <v>65</v>
      </c>
      <c r="AA1437">
        <v>90</v>
      </c>
      <c r="AB1437" t="s">
        <v>143</v>
      </c>
      <c r="AC1437" t="s">
        <v>163</v>
      </c>
      <c r="AD1437" t="s">
        <v>278</v>
      </c>
      <c r="AE1437" t="str">
        <f>IF(AF1437="","",VLOOKUP(AC1437,mapel!$A$2:$B$42,2,FALSE))</f>
        <v>PKWU</v>
      </c>
      <c r="AF1437">
        <f t="shared" si="66"/>
        <v>90</v>
      </c>
      <c r="AG1437" t="str">
        <f>IF(AF1437="","",IF(AF1437&gt;90,"Sangat baik",IF(AF1437&gt;79,"Baik",IF(AF1437&gt;=pub_gid_0_single_true_output_csv[[#This Row],[KKM]],"Cukup","Kurang"))))</f>
        <v>Baik</v>
      </c>
      <c r="AH1437">
        <f t="shared" si="67"/>
        <v>11</v>
      </c>
      <c r="AI1437" s="30" t="str">
        <f>IF(OR(J1437&lt;&gt;"Karakter",pub_gid_0_single_true_output_csv[[#This Row],[Nilai2]]=""),"",IF(AF1437&gt;89,"Sangat baik",IF(AF1437&gt;79,"Baik",IF(AF1437&gt;69,"Cukup",IF(AF1437&gt;59,"Kurang","Sangat kurang")))))</f>
        <v/>
      </c>
      <c r="AJ1437" t="str">
        <f t="shared" si="68"/>
        <v>Wk.3</v>
      </c>
      <c r="AK1437" t="str">
        <f>IF(pub_gid_0_single_true_output_csv[[#This Row],[Nilai2]]="","",VLOOKUP(pub_gid_0_single_true_output_csv[[#This Row],[NAMA]],Table7[],3,FALSE))</f>
        <v>High average</v>
      </c>
    </row>
    <row r="1438" spans="1:37" x14ac:dyDescent="0.2">
      <c r="A1438">
        <v>1437</v>
      </c>
      <c r="B1438" t="s">
        <v>293</v>
      </c>
      <c r="C1438" t="s">
        <v>54</v>
      </c>
      <c r="D1438" t="s">
        <v>45</v>
      </c>
      <c r="E1438" t="s">
        <v>147</v>
      </c>
      <c r="F1438" s="25">
        <v>46036</v>
      </c>
      <c r="G1438" t="s">
        <v>353</v>
      </c>
      <c r="H1438" t="s">
        <v>405</v>
      </c>
      <c r="I1438" t="s">
        <v>371</v>
      </c>
      <c r="J1438" t="s">
        <v>41</v>
      </c>
      <c r="K1438" t="s">
        <v>365</v>
      </c>
      <c r="L1438" t="s">
        <v>319</v>
      </c>
      <c r="M1438" t="s">
        <v>141</v>
      </c>
      <c r="N1438" t="s">
        <v>142</v>
      </c>
      <c r="O1438" t="s">
        <v>155</v>
      </c>
      <c r="P1438" t="s">
        <v>281</v>
      </c>
      <c r="Q1438" t="s">
        <v>155</v>
      </c>
      <c r="R1438" t="s">
        <v>273</v>
      </c>
      <c r="S1438" t="s">
        <v>470</v>
      </c>
      <c r="T1438">
        <v>4</v>
      </c>
      <c r="U1438" t="s">
        <v>471</v>
      </c>
      <c r="V1438" t="s">
        <v>472</v>
      </c>
      <c r="W1438" t="s">
        <v>473</v>
      </c>
      <c r="X1438" t="s">
        <v>306</v>
      </c>
      <c r="Y1438" t="s">
        <v>307</v>
      </c>
      <c r="Z1438">
        <v>65</v>
      </c>
      <c r="AA1438">
        <v>90</v>
      </c>
      <c r="AB1438" t="s">
        <v>143</v>
      </c>
      <c r="AC1438" t="s">
        <v>163</v>
      </c>
      <c r="AD1438" t="s">
        <v>278</v>
      </c>
      <c r="AE1438" t="str">
        <f>IF(AF1438="","",VLOOKUP(AC1438,mapel!$A$2:$B$42,2,FALSE))</f>
        <v>PKWU</v>
      </c>
      <c r="AF1438">
        <f t="shared" si="66"/>
        <v>90</v>
      </c>
      <c r="AG1438" t="str">
        <f>IF(AF1438="","",IF(AF1438&gt;90,"Sangat baik",IF(AF1438&gt;79,"Baik",IF(AF1438&gt;=pub_gid_0_single_true_output_csv[[#This Row],[KKM]],"Cukup","Kurang"))))</f>
        <v>Baik</v>
      </c>
      <c r="AH1438">
        <f t="shared" si="67"/>
        <v>11</v>
      </c>
      <c r="AI1438" s="30" t="str">
        <f>IF(OR(J1438&lt;&gt;"Karakter",pub_gid_0_single_true_output_csv[[#This Row],[Nilai2]]=""),"",IF(AF1438&gt;89,"Sangat baik",IF(AF1438&gt;79,"Baik",IF(AF1438&gt;69,"Cukup",IF(AF1438&gt;59,"Kurang","Sangat kurang")))))</f>
        <v/>
      </c>
      <c r="AJ1438" t="str">
        <f t="shared" si="68"/>
        <v>Wk.3</v>
      </c>
      <c r="AK1438" t="str">
        <f>IF(pub_gid_0_single_true_output_csv[[#This Row],[Nilai2]]="","",VLOOKUP(pub_gid_0_single_true_output_csv[[#This Row],[NAMA]],Table7[],3,FALSE))</f>
        <v>High average</v>
      </c>
    </row>
    <row r="1439" spans="1:37" x14ac:dyDescent="0.2">
      <c r="A1439">
        <v>1438</v>
      </c>
      <c r="B1439" t="s">
        <v>293</v>
      </c>
      <c r="C1439" t="s">
        <v>54</v>
      </c>
      <c r="D1439" t="s">
        <v>45</v>
      </c>
      <c r="E1439" t="s">
        <v>147</v>
      </c>
      <c r="F1439" s="25">
        <v>46037</v>
      </c>
      <c r="G1439" t="s">
        <v>356</v>
      </c>
      <c r="H1439" t="s">
        <v>405</v>
      </c>
      <c r="I1439" t="s">
        <v>371</v>
      </c>
      <c r="J1439" t="s">
        <v>36</v>
      </c>
      <c r="K1439" t="s">
        <v>37</v>
      </c>
      <c r="L1439" t="s">
        <v>383</v>
      </c>
      <c r="M1439" t="s">
        <v>141</v>
      </c>
      <c r="N1439" t="s">
        <v>142</v>
      </c>
      <c r="O1439" t="s">
        <v>155</v>
      </c>
      <c r="P1439" t="s">
        <v>281</v>
      </c>
      <c r="Q1439" t="s">
        <v>155</v>
      </c>
      <c r="R1439" t="s">
        <v>273</v>
      </c>
      <c r="S1439" t="s">
        <v>470</v>
      </c>
      <c r="T1439">
        <v>4</v>
      </c>
      <c r="U1439" t="s">
        <v>471</v>
      </c>
      <c r="V1439" t="s">
        <v>472</v>
      </c>
      <c r="W1439" t="s">
        <v>473</v>
      </c>
      <c r="X1439" t="s">
        <v>306</v>
      </c>
      <c r="Y1439" t="s">
        <v>307</v>
      </c>
      <c r="Z1439">
        <v>65</v>
      </c>
      <c r="AA1439">
        <v>85</v>
      </c>
      <c r="AB1439" t="s">
        <v>143</v>
      </c>
      <c r="AC1439" t="s">
        <v>163</v>
      </c>
      <c r="AD1439" t="s">
        <v>278</v>
      </c>
      <c r="AE1439" t="str">
        <f>IF(AF1439="","",VLOOKUP(AC1439,mapel!$A$2:$B$42,2,FALSE))</f>
        <v>PKWU</v>
      </c>
      <c r="AF1439">
        <f t="shared" si="66"/>
        <v>85</v>
      </c>
      <c r="AG1439" t="str">
        <f>IF(AF1439="","",IF(AF1439&gt;90,"Sangat baik",IF(AF1439&gt;79,"Baik",IF(AF1439&gt;=pub_gid_0_single_true_output_csv[[#This Row],[KKM]],"Cukup","Kurang"))))</f>
        <v>Baik</v>
      </c>
      <c r="AH1439">
        <f t="shared" si="67"/>
        <v>11</v>
      </c>
      <c r="AI1439" s="30" t="str">
        <f>IF(OR(J1439&lt;&gt;"Karakter",pub_gid_0_single_true_output_csv[[#This Row],[Nilai2]]=""),"",IF(AF1439&gt;89,"Sangat baik",IF(AF1439&gt;79,"Baik",IF(AF1439&gt;69,"Cukup",IF(AF1439&gt;59,"Kurang","Sangat kurang")))))</f>
        <v/>
      </c>
      <c r="AJ1439" t="str">
        <f t="shared" si="68"/>
        <v>Wk.3</v>
      </c>
      <c r="AK1439" t="str">
        <f>IF(pub_gid_0_single_true_output_csv[[#This Row],[Nilai2]]="","",VLOOKUP(pub_gid_0_single_true_output_csv[[#This Row],[NAMA]],Table7[],3,FALSE))</f>
        <v>High average</v>
      </c>
    </row>
    <row r="1440" spans="1:37" x14ac:dyDescent="0.2">
      <c r="A1440">
        <v>1439</v>
      </c>
      <c r="B1440" t="s">
        <v>293</v>
      </c>
      <c r="C1440" t="s">
        <v>54</v>
      </c>
      <c r="D1440" t="s">
        <v>45</v>
      </c>
      <c r="E1440" t="s">
        <v>147</v>
      </c>
      <c r="F1440" s="25">
        <v>46042</v>
      </c>
      <c r="G1440" t="s">
        <v>474</v>
      </c>
      <c r="H1440" t="s">
        <v>405</v>
      </c>
      <c r="I1440" t="s">
        <v>371</v>
      </c>
      <c r="J1440" t="s">
        <v>90</v>
      </c>
      <c r="K1440" t="s">
        <v>366</v>
      </c>
      <c r="L1440" t="s">
        <v>475</v>
      </c>
      <c r="M1440" t="s">
        <v>141</v>
      </c>
      <c r="N1440" t="s">
        <v>142</v>
      </c>
      <c r="O1440" t="s">
        <v>155</v>
      </c>
      <c r="P1440" t="s">
        <v>281</v>
      </c>
      <c r="Q1440" t="s">
        <v>155</v>
      </c>
      <c r="R1440" t="s">
        <v>273</v>
      </c>
      <c r="S1440" t="s">
        <v>470</v>
      </c>
      <c r="T1440">
        <v>4</v>
      </c>
      <c r="U1440" t="s">
        <v>471</v>
      </c>
      <c r="V1440" t="s">
        <v>472</v>
      </c>
      <c r="W1440" t="s">
        <v>473</v>
      </c>
      <c r="X1440" t="s">
        <v>306</v>
      </c>
      <c r="Y1440" t="s">
        <v>307</v>
      </c>
      <c r="Z1440">
        <v>65</v>
      </c>
      <c r="AA1440">
        <v>100</v>
      </c>
      <c r="AB1440" t="s">
        <v>143</v>
      </c>
      <c r="AC1440" t="s">
        <v>163</v>
      </c>
      <c r="AD1440" t="s">
        <v>278</v>
      </c>
      <c r="AE1440" t="str">
        <f>IF(AF1440="","",VLOOKUP(AC1440,mapel!$A$2:$B$42,2,FALSE))</f>
        <v>PKWU</v>
      </c>
      <c r="AF1440">
        <f t="shared" si="66"/>
        <v>100</v>
      </c>
      <c r="AG1440" t="str">
        <f>IF(AF1440="","",IF(AF1440&gt;90,"Sangat baik",IF(AF1440&gt;79,"Baik",IF(AF1440&gt;=pub_gid_0_single_true_output_csv[[#This Row],[KKM]],"Cukup","Kurang"))))</f>
        <v>Sangat baik</v>
      </c>
      <c r="AH1440">
        <f t="shared" si="67"/>
        <v>11</v>
      </c>
      <c r="AI1440" s="30" t="str">
        <f>IF(OR(J1440&lt;&gt;"Karakter",pub_gid_0_single_true_output_csv[[#This Row],[Nilai2]]=""),"",IF(AF1440&gt;89,"Sangat baik",IF(AF1440&gt;79,"Baik",IF(AF1440&gt;69,"Cukup",IF(AF1440&gt;59,"Kurang","Sangat kurang")))))</f>
        <v>Sangat baik</v>
      </c>
      <c r="AJ1440" t="str">
        <f t="shared" si="68"/>
        <v>Wk.4</v>
      </c>
      <c r="AK1440" t="str">
        <f>IF(pub_gid_0_single_true_output_csv[[#This Row],[Nilai2]]="","",VLOOKUP(pub_gid_0_single_true_output_csv[[#This Row],[NAMA]],Table7[],3,FALSE))</f>
        <v>High average</v>
      </c>
    </row>
    <row r="1441" spans="1:37" x14ac:dyDescent="0.2">
      <c r="A1441">
        <v>1440</v>
      </c>
      <c r="B1441" t="s">
        <v>293</v>
      </c>
      <c r="C1441" t="s">
        <v>54</v>
      </c>
      <c r="D1441" t="s">
        <v>45</v>
      </c>
      <c r="E1441" t="s">
        <v>147</v>
      </c>
      <c r="F1441" s="25">
        <v>46051</v>
      </c>
      <c r="G1441" t="s">
        <v>320</v>
      </c>
      <c r="H1441" t="s">
        <v>405</v>
      </c>
      <c r="I1441" t="s">
        <v>371</v>
      </c>
      <c r="J1441" t="s">
        <v>41</v>
      </c>
      <c r="K1441" t="s">
        <v>365</v>
      </c>
      <c r="L1441" t="s">
        <v>319</v>
      </c>
      <c r="M1441" t="s">
        <v>141</v>
      </c>
      <c r="N1441" t="s">
        <v>142</v>
      </c>
      <c r="O1441" t="s">
        <v>155</v>
      </c>
      <c r="P1441" t="s">
        <v>281</v>
      </c>
      <c r="Q1441" t="s">
        <v>155</v>
      </c>
      <c r="R1441" t="s">
        <v>273</v>
      </c>
      <c r="S1441" t="s">
        <v>470</v>
      </c>
      <c r="T1441">
        <v>4</v>
      </c>
      <c r="U1441" t="s">
        <v>471</v>
      </c>
      <c r="V1441" t="s">
        <v>472</v>
      </c>
      <c r="W1441" t="s">
        <v>473</v>
      </c>
      <c r="X1441" t="s">
        <v>306</v>
      </c>
      <c r="Y1441" t="s">
        <v>307</v>
      </c>
      <c r="Z1441">
        <v>65</v>
      </c>
      <c r="AA1441">
        <v>80</v>
      </c>
      <c r="AB1441" t="s">
        <v>143</v>
      </c>
      <c r="AC1441" t="s">
        <v>163</v>
      </c>
      <c r="AD1441" t="s">
        <v>278</v>
      </c>
      <c r="AE1441" t="str">
        <f>IF(AF1441="","",VLOOKUP(AC1441,mapel!$A$2:$B$42,2,FALSE))</f>
        <v>PKWU</v>
      </c>
      <c r="AF1441">
        <f t="shared" si="66"/>
        <v>80</v>
      </c>
      <c r="AG1441" t="str">
        <f>IF(AF1441="","",IF(AF1441&gt;90,"Sangat baik",IF(AF1441&gt;79,"Baik",IF(AF1441&gt;=pub_gid_0_single_true_output_csv[[#This Row],[KKM]],"Cukup","Kurang"))))</f>
        <v>Baik</v>
      </c>
      <c r="AH1441">
        <f t="shared" si="67"/>
        <v>11</v>
      </c>
      <c r="AI1441" s="30" t="str">
        <f>IF(OR(J1441&lt;&gt;"Karakter",pub_gid_0_single_true_output_csv[[#This Row],[Nilai2]]=""),"",IF(AF1441&gt;89,"Sangat baik",IF(AF1441&gt;79,"Baik",IF(AF1441&gt;69,"Cukup",IF(AF1441&gt;59,"Kurang","Sangat kurang")))))</f>
        <v/>
      </c>
      <c r="AJ1441" t="str">
        <f t="shared" si="68"/>
        <v>Wk.5</v>
      </c>
      <c r="AK1441" t="str">
        <f>IF(pub_gid_0_single_true_output_csv[[#This Row],[Nilai2]]="","",VLOOKUP(pub_gid_0_single_true_output_csv[[#This Row],[NAMA]],Table7[],3,FALSE))</f>
        <v>High average</v>
      </c>
    </row>
    <row r="1442" spans="1:37" x14ac:dyDescent="0.2">
      <c r="A1442">
        <v>1441</v>
      </c>
      <c r="B1442" t="s">
        <v>293</v>
      </c>
      <c r="C1442" t="s">
        <v>54</v>
      </c>
      <c r="D1442" t="s">
        <v>45</v>
      </c>
      <c r="E1442" t="s">
        <v>147</v>
      </c>
      <c r="F1442" s="25">
        <v>46056</v>
      </c>
      <c r="G1442" t="s">
        <v>372</v>
      </c>
      <c r="H1442" t="s">
        <v>412</v>
      </c>
      <c r="I1442" t="s">
        <v>371</v>
      </c>
      <c r="J1442" t="s">
        <v>41</v>
      </c>
      <c r="K1442" t="s">
        <v>365</v>
      </c>
      <c r="L1442" t="s">
        <v>322</v>
      </c>
      <c r="M1442" t="s">
        <v>141</v>
      </c>
      <c r="N1442" t="s">
        <v>142</v>
      </c>
      <c r="O1442" t="s">
        <v>155</v>
      </c>
      <c r="P1442" t="s">
        <v>281</v>
      </c>
      <c r="Q1442" t="s">
        <v>155</v>
      </c>
      <c r="R1442" t="s">
        <v>273</v>
      </c>
      <c r="S1442" t="s">
        <v>309</v>
      </c>
      <c r="T1442">
        <v>1</v>
      </c>
      <c r="U1442" t="s">
        <v>393</v>
      </c>
      <c r="V1442" t="s">
        <v>285</v>
      </c>
      <c r="W1442" t="s">
        <v>394</v>
      </c>
      <c r="X1442" t="s">
        <v>306</v>
      </c>
      <c r="Y1442" t="s">
        <v>307</v>
      </c>
      <c r="Z1442">
        <v>65</v>
      </c>
      <c r="AA1442">
        <v>78</v>
      </c>
      <c r="AB1442" t="s">
        <v>143</v>
      </c>
      <c r="AC1442" t="s">
        <v>163</v>
      </c>
      <c r="AD1442" t="s">
        <v>278</v>
      </c>
      <c r="AE1442" t="str">
        <f>IF(AF1442="","",VLOOKUP(AC1442,mapel!$A$2:$B$42,2,FALSE))</f>
        <v>PKWU</v>
      </c>
      <c r="AF1442">
        <f t="shared" si="66"/>
        <v>78</v>
      </c>
      <c r="AG1442" t="str">
        <f>IF(AF1442="","",IF(AF1442&gt;90,"Sangat baik",IF(AF1442&gt;79,"Baik",IF(AF1442&gt;=pub_gid_0_single_true_output_csv[[#This Row],[KKM]],"Cukup","Kurang"))))</f>
        <v>Cukup</v>
      </c>
      <c r="AH1442">
        <f t="shared" si="67"/>
        <v>11</v>
      </c>
      <c r="AI1442" s="30" t="str">
        <f>IF(OR(J1442&lt;&gt;"Karakter",pub_gid_0_single_true_output_csv[[#This Row],[Nilai2]]=""),"",IF(AF1442&gt;89,"Sangat baik",IF(AF1442&gt;79,"Baik",IF(AF1442&gt;69,"Cukup",IF(AF1442&gt;59,"Kurang","Sangat kurang")))))</f>
        <v/>
      </c>
      <c r="AJ1442" t="str">
        <f t="shared" si="68"/>
        <v>Wk.6</v>
      </c>
      <c r="AK1442" t="str">
        <f>IF(pub_gid_0_single_true_output_csv[[#This Row],[Nilai2]]="","",VLOOKUP(pub_gid_0_single_true_output_csv[[#This Row],[NAMA]],Table7[],3,FALSE))</f>
        <v>High average</v>
      </c>
    </row>
    <row r="1443" spans="1:37" x14ac:dyDescent="0.2">
      <c r="A1443">
        <v>1442</v>
      </c>
      <c r="B1443" t="s">
        <v>293</v>
      </c>
      <c r="C1443" t="s">
        <v>54</v>
      </c>
      <c r="D1443" t="s">
        <v>45</v>
      </c>
      <c r="E1443" t="s">
        <v>147</v>
      </c>
      <c r="F1443" s="25">
        <v>46057</v>
      </c>
      <c r="G1443" t="s">
        <v>348</v>
      </c>
      <c r="H1443" t="s">
        <v>412</v>
      </c>
      <c r="I1443" t="s">
        <v>371</v>
      </c>
      <c r="J1443" t="s">
        <v>36</v>
      </c>
      <c r="K1443" t="s">
        <v>153</v>
      </c>
      <c r="L1443" t="s">
        <v>395</v>
      </c>
      <c r="M1443" t="s">
        <v>141</v>
      </c>
      <c r="N1443" t="s">
        <v>142</v>
      </c>
      <c r="O1443" t="s">
        <v>155</v>
      </c>
      <c r="P1443" t="s">
        <v>281</v>
      </c>
      <c r="Q1443" t="s">
        <v>155</v>
      </c>
      <c r="R1443" t="s">
        <v>273</v>
      </c>
      <c r="S1443" t="s">
        <v>309</v>
      </c>
      <c r="T1443">
        <v>1</v>
      </c>
      <c r="U1443" t="s">
        <v>393</v>
      </c>
      <c r="V1443" t="s">
        <v>285</v>
      </c>
      <c r="W1443" t="s">
        <v>394</v>
      </c>
      <c r="X1443" t="s">
        <v>306</v>
      </c>
      <c r="Y1443" t="s">
        <v>307</v>
      </c>
      <c r="Z1443">
        <v>65</v>
      </c>
      <c r="AA1443">
        <v>78</v>
      </c>
      <c r="AB1443" t="s">
        <v>143</v>
      </c>
      <c r="AC1443" t="s">
        <v>163</v>
      </c>
      <c r="AD1443" t="s">
        <v>278</v>
      </c>
      <c r="AE1443" t="str">
        <f>IF(AF1443="","",VLOOKUP(AC1443,mapel!$A$2:$B$42,2,FALSE))</f>
        <v>PKWU</v>
      </c>
      <c r="AF1443">
        <f t="shared" si="66"/>
        <v>78</v>
      </c>
      <c r="AG1443" t="str">
        <f>IF(AF1443="","",IF(AF1443&gt;90,"Sangat baik",IF(AF1443&gt;79,"Baik",IF(AF1443&gt;=pub_gid_0_single_true_output_csv[[#This Row],[KKM]],"Cukup","Kurang"))))</f>
        <v>Cukup</v>
      </c>
      <c r="AH1443">
        <f t="shared" si="67"/>
        <v>11</v>
      </c>
      <c r="AI1443" s="30" t="str">
        <f>IF(OR(J1443&lt;&gt;"Karakter",pub_gid_0_single_true_output_csv[[#This Row],[Nilai2]]=""),"",IF(AF1443&gt;89,"Sangat baik",IF(AF1443&gt;79,"Baik",IF(AF1443&gt;69,"Cukup",IF(AF1443&gt;59,"Kurang","Sangat kurang")))))</f>
        <v/>
      </c>
      <c r="AJ1443" t="str">
        <f t="shared" si="68"/>
        <v>Wk.6</v>
      </c>
      <c r="AK1443" t="str">
        <f>IF(pub_gid_0_single_true_output_csv[[#This Row],[Nilai2]]="","",VLOOKUP(pub_gid_0_single_true_output_csv[[#This Row],[NAMA]],Table7[],3,FALSE))</f>
        <v>High average</v>
      </c>
    </row>
    <row r="1444" spans="1:37" x14ac:dyDescent="0.2">
      <c r="A1444">
        <v>1443</v>
      </c>
      <c r="B1444" t="s">
        <v>293</v>
      </c>
      <c r="C1444" t="s">
        <v>54</v>
      </c>
      <c r="D1444" t="s">
        <v>45</v>
      </c>
      <c r="E1444" t="s">
        <v>147</v>
      </c>
      <c r="F1444" s="25">
        <v>46058</v>
      </c>
      <c r="G1444" t="s">
        <v>346</v>
      </c>
      <c r="H1444" t="s">
        <v>412</v>
      </c>
      <c r="I1444" t="s">
        <v>371</v>
      </c>
      <c r="J1444" t="s">
        <v>41</v>
      </c>
      <c r="K1444" t="s">
        <v>365</v>
      </c>
      <c r="L1444" t="s">
        <v>322</v>
      </c>
      <c r="M1444" t="s">
        <v>141</v>
      </c>
      <c r="N1444" t="s">
        <v>142</v>
      </c>
      <c r="O1444" t="s">
        <v>155</v>
      </c>
      <c r="P1444" t="s">
        <v>281</v>
      </c>
      <c r="Q1444" t="s">
        <v>155</v>
      </c>
      <c r="R1444" t="s">
        <v>273</v>
      </c>
      <c r="S1444" t="s">
        <v>309</v>
      </c>
      <c r="T1444">
        <v>1</v>
      </c>
      <c r="U1444" t="s">
        <v>393</v>
      </c>
      <c r="V1444" t="s">
        <v>285</v>
      </c>
      <c r="W1444" t="s">
        <v>394</v>
      </c>
      <c r="X1444" t="s">
        <v>306</v>
      </c>
      <c r="Y1444" t="s">
        <v>307</v>
      </c>
      <c r="Z1444">
        <v>65</v>
      </c>
      <c r="AA1444">
        <v>78</v>
      </c>
      <c r="AB1444" t="s">
        <v>143</v>
      </c>
      <c r="AC1444" t="s">
        <v>163</v>
      </c>
      <c r="AD1444" t="s">
        <v>278</v>
      </c>
      <c r="AE1444" t="str">
        <f>IF(AF1444="","",VLOOKUP(AC1444,mapel!$A$2:$B$42,2,FALSE))</f>
        <v>PKWU</v>
      </c>
      <c r="AF1444">
        <f t="shared" si="66"/>
        <v>78</v>
      </c>
      <c r="AG1444" t="str">
        <f>IF(AF1444="","",IF(AF1444&gt;90,"Sangat baik",IF(AF1444&gt;79,"Baik",IF(AF1444&gt;=pub_gid_0_single_true_output_csv[[#This Row],[KKM]],"Cukup","Kurang"))))</f>
        <v>Cukup</v>
      </c>
      <c r="AH1444">
        <f t="shared" si="67"/>
        <v>11</v>
      </c>
      <c r="AI1444" s="30" t="str">
        <f>IF(OR(J1444&lt;&gt;"Karakter",pub_gid_0_single_true_output_csv[[#This Row],[Nilai2]]=""),"",IF(AF1444&gt;89,"Sangat baik",IF(AF1444&gt;79,"Baik",IF(AF1444&gt;69,"Cukup",IF(AF1444&gt;59,"Kurang","Sangat kurang")))))</f>
        <v/>
      </c>
      <c r="AJ1444" t="str">
        <f t="shared" si="68"/>
        <v>Wk.6</v>
      </c>
      <c r="AK1444" t="str">
        <f>IF(pub_gid_0_single_true_output_csv[[#This Row],[Nilai2]]="","",VLOOKUP(pub_gid_0_single_true_output_csv[[#This Row],[NAMA]],Table7[],3,FALSE))</f>
        <v>High average</v>
      </c>
    </row>
    <row r="1445" spans="1:37" x14ac:dyDescent="0.2">
      <c r="A1445">
        <v>1444</v>
      </c>
      <c r="B1445" t="s">
        <v>293</v>
      </c>
      <c r="C1445" t="s">
        <v>54</v>
      </c>
      <c r="D1445" t="s">
        <v>45</v>
      </c>
      <c r="E1445" t="s">
        <v>147</v>
      </c>
      <c r="F1445" s="25">
        <v>46063</v>
      </c>
      <c r="G1445" t="s">
        <v>374</v>
      </c>
      <c r="H1445" t="s">
        <v>412</v>
      </c>
      <c r="I1445" t="s">
        <v>371</v>
      </c>
      <c r="J1445" t="s">
        <v>36</v>
      </c>
      <c r="K1445" t="s">
        <v>153</v>
      </c>
      <c r="L1445" t="s">
        <v>395</v>
      </c>
      <c r="M1445" t="s">
        <v>141</v>
      </c>
      <c r="N1445" t="s">
        <v>142</v>
      </c>
      <c r="O1445" t="s">
        <v>155</v>
      </c>
      <c r="P1445" t="s">
        <v>281</v>
      </c>
      <c r="Q1445" t="s">
        <v>155</v>
      </c>
      <c r="R1445" t="s">
        <v>273</v>
      </c>
      <c r="S1445" t="s">
        <v>309</v>
      </c>
      <c r="T1445">
        <v>1</v>
      </c>
      <c r="U1445" t="s">
        <v>393</v>
      </c>
      <c r="V1445" t="s">
        <v>285</v>
      </c>
      <c r="W1445" t="s">
        <v>394</v>
      </c>
      <c r="X1445" t="s">
        <v>306</v>
      </c>
      <c r="Y1445" t="s">
        <v>307</v>
      </c>
      <c r="Z1445">
        <v>65</v>
      </c>
      <c r="AA1445">
        <v>78</v>
      </c>
      <c r="AB1445" t="s">
        <v>143</v>
      </c>
      <c r="AC1445" t="s">
        <v>163</v>
      </c>
      <c r="AD1445" t="s">
        <v>278</v>
      </c>
      <c r="AE1445" t="str">
        <f>IF(AF1445="","",VLOOKUP(AC1445,mapel!$A$2:$B$42,2,FALSE))</f>
        <v>PKWU</v>
      </c>
      <c r="AF1445">
        <f t="shared" si="66"/>
        <v>78</v>
      </c>
      <c r="AG1445" t="str">
        <f>IF(AF1445="","",IF(AF1445&gt;90,"Sangat baik",IF(AF1445&gt;79,"Baik",IF(AF1445&gt;=pub_gid_0_single_true_output_csv[[#This Row],[KKM]],"Cukup","Kurang"))))</f>
        <v>Cukup</v>
      </c>
      <c r="AH1445">
        <f t="shared" si="67"/>
        <v>11</v>
      </c>
      <c r="AI1445" s="30" t="str">
        <f>IF(OR(J1445&lt;&gt;"Karakter",pub_gid_0_single_true_output_csv[[#This Row],[Nilai2]]=""),"",IF(AF1445&gt;89,"Sangat baik",IF(AF1445&gt;79,"Baik",IF(AF1445&gt;69,"Cukup",IF(AF1445&gt;59,"Kurang","Sangat kurang")))))</f>
        <v/>
      </c>
      <c r="AJ1445" t="str">
        <f t="shared" si="68"/>
        <v>Wk.7</v>
      </c>
      <c r="AK1445" t="str">
        <f>IF(pub_gid_0_single_true_output_csv[[#This Row],[Nilai2]]="","",VLOOKUP(pub_gid_0_single_true_output_csv[[#This Row],[NAMA]],Table7[],3,FALSE))</f>
        <v>High average</v>
      </c>
    </row>
    <row r="1446" spans="1:37" x14ac:dyDescent="0.2">
      <c r="A1446">
        <v>1445</v>
      </c>
      <c r="B1446" t="s">
        <v>293</v>
      </c>
      <c r="C1446" t="s">
        <v>54</v>
      </c>
      <c r="D1446" t="s">
        <v>45</v>
      </c>
      <c r="E1446" t="s">
        <v>147</v>
      </c>
      <c r="F1446" s="25">
        <v>46064</v>
      </c>
      <c r="G1446" t="s">
        <v>352</v>
      </c>
      <c r="H1446" t="s">
        <v>412</v>
      </c>
      <c r="I1446" t="s">
        <v>371</v>
      </c>
      <c r="J1446" t="s">
        <v>31</v>
      </c>
      <c r="K1446" t="s">
        <v>32</v>
      </c>
      <c r="L1446" t="s">
        <v>395</v>
      </c>
      <c r="M1446" t="s">
        <v>141</v>
      </c>
      <c r="N1446" t="s">
        <v>142</v>
      </c>
      <c r="O1446" t="s">
        <v>155</v>
      </c>
      <c r="P1446" t="s">
        <v>281</v>
      </c>
      <c r="Q1446" t="s">
        <v>155</v>
      </c>
      <c r="R1446" t="s">
        <v>273</v>
      </c>
      <c r="S1446" t="s">
        <v>309</v>
      </c>
      <c r="T1446">
        <v>1</v>
      </c>
      <c r="U1446" t="s">
        <v>393</v>
      </c>
      <c r="V1446" t="s">
        <v>285</v>
      </c>
      <c r="W1446" t="s">
        <v>394</v>
      </c>
      <c r="X1446" t="s">
        <v>306</v>
      </c>
      <c r="Y1446" t="s">
        <v>307</v>
      </c>
      <c r="Z1446">
        <v>65</v>
      </c>
      <c r="AA1446">
        <v>78</v>
      </c>
      <c r="AB1446" t="s">
        <v>143</v>
      </c>
      <c r="AC1446" t="s">
        <v>163</v>
      </c>
      <c r="AD1446" t="s">
        <v>278</v>
      </c>
      <c r="AE1446" t="str">
        <f>IF(AF1446="","",VLOOKUP(AC1446,mapel!$A$2:$B$42,2,FALSE))</f>
        <v>PKWU</v>
      </c>
      <c r="AF1446">
        <f t="shared" si="66"/>
        <v>78</v>
      </c>
      <c r="AG1446" t="str">
        <f>IF(AF1446="","",IF(AF1446&gt;90,"Sangat baik",IF(AF1446&gt;79,"Baik",IF(AF1446&gt;=pub_gid_0_single_true_output_csv[[#This Row],[KKM]],"Cukup","Kurang"))))</f>
        <v>Cukup</v>
      </c>
      <c r="AH1446">
        <f t="shared" si="67"/>
        <v>11</v>
      </c>
      <c r="AI1446" s="30" t="str">
        <f>IF(OR(J1446&lt;&gt;"Karakter",pub_gid_0_single_true_output_csv[[#This Row],[Nilai2]]=""),"",IF(AF1446&gt;89,"Sangat baik",IF(AF1446&gt;79,"Baik",IF(AF1446&gt;69,"Cukup",IF(AF1446&gt;59,"Kurang","Sangat kurang")))))</f>
        <v/>
      </c>
      <c r="AJ1446" t="str">
        <f t="shared" si="68"/>
        <v>Wk.7</v>
      </c>
      <c r="AK1446" t="str">
        <f>IF(pub_gid_0_single_true_output_csv[[#This Row],[Nilai2]]="","",VLOOKUP(pub_gid_0_single_true_output_csv[[#This Row],[NAMA]],Table7[],3,FALSE))</f>
        <v>High average</v>
      </c>
    </row>
    <row r="1447" spans="1:37" x14ac:dyDescent="0.2">
      <c r="A1447">
        <v>1446</v>
      </c>
      <c r="B1447" t="s">
        <v>293</v>
      </c>
      <c r="C1447" t="s">
        <v>54</v>
      </c>
      <c r="D1447" t="s">
        <v>45</v>
      </c>
      <c r="E1447" t="s">
        <v>147</v>
      </c>
      <c r="F1447" s="25">
        <v>46065</v>
      </c>
      <c r="G1447" t="s">
        <v>354</v>
      </c>
      <c r="H1447" t="s">
        <v>412</v>
      </c>
      <c r="I1447" t="s">
        <v>371</v>
      </c>
      <c r="J1447" t="s">
        <v>41</v>
      </c>
      <c r="K1447" t="s">
        <v>365</v>
      </c>
      <c r="L1447" t="s">
        <v>322</v>
      </c>
      <c r="M1447" t="s">
        <v>141</v>
      </c>
      <c r="N1447" t="s">
        <v>142</v>
      </c>
      <c r="O1447" t="s">
        <v>155</v>
      </c>
      <c r="P1447" t="s">
        <v>281</v>
      </c>
      <c r="Q1447" t="s">
        <v>155</v>
      </c>
      <c r="R1447" t="s">
        <v>273</v>
      </c>
      <c r="S1447" t="s">
        <v>309</v>
      </c>
      <c r="T1447">
        <v>1</v>
      </c>
      <c r="U1447" t="s">
        <v>393</v>
      </c>
      <c r="V1447" t="s">
        <v>285</v>
      </c>
      <c r="W1447" t="s">
        <v>394</v>
      </c>
      <c r="X1447" t="s">
        <v>306</v>
      </c>
      <c r="Y1447" t="s">
        <v>307</v>
      </c>
      <c r="Z1447">
        <v>65</v>
      </c>
      <c r="AA1447">
        <v>78</v>
      </c>
      <c r="AB1447" t="s">
        <v>143</v>
      </c>
      <c r="AC1447" t="s">
        <v>163</v>
      </c>
      <c r="AD1447" t="s">
        <v>278</v>
      </c>
      <c r="AE1447" t="str">
        <f>IF(AF1447="","",VLOOKUP(AC1447,mapel!$A$2:$B$42,2,FALSE))</f>
        <v>PKWU</v>
      </c>
      <c r="AF1447">
        <f t="shared" si="66"/>
        <v>78</v>
      </c>
      <c r="AG1447" t="str">
        <f>IF(AF1447="","",IF(AF1447&gt;90,"Sangat baik",IF(AF1447&gt;79,"Baik",IF(AF1447&gt;=pub_gid_0_single_true_output_csv[[#This Row],[KKM]],"Cukup","Kurang"))))</f>
        <v>Cukup</v>
      </c>
      <c r="AH1447">
        <f t="shared" si="67"/>
        <v>11</v>
      </c>
      <c r="AI1447" s="30" t="str">
        <f>IF(OR(J1447&lt;&gt;"Karakter",pub_gid_0_single_true_output_csv[[#This Row],[Nilai2]]=""),"",IF(AF1447&gt;89,"Sangat baik",IF(AF1447&gt;79,"Baik",IF(AF1447&gt;69,"Cukup",IF(AF1447&gt;59,"Kurang","Sangat kurang")))))</f>
        <v/>
      </c>
      <c r="AJ1447" t="str">
        <f t="shared" si="68"/>
        <v>Wk.7</v>
      </c>
      <c r="AK1447" t="str">
        <f>IF(pub_gid_0_single_true_output_csv[[#This Row],[Nilai2]]="","",VLOOKUP(pub_gid_0_single_true_output_csv[[#This Row],[NAMA]],Table7[],3,FALSE))</f>
        <v>High average</v>
      </c>
    </row>
    <row r="1448" spans="1:37" x14ac:dyDescent="0.2">
      <c r="A1448">
        <v>1447</v>
      </c>
      <c r="B1448" t="s">
        <v>293</v>
      </c>
      <c r="C1448" t="s">
        <v>54</v>
      </c>
      <c r="D1448" t="s">
        <v>45</v>
      </c>
      <c r="E1448" t="s">
        <v>147</v>
      </c>
      <c r="F1448" s="25">
        <v>46071</v>
      </c>
      <c r="G1448" t="s">
        <v>323</v>
      </c>
      <c r="H1448" t="s">
        <v>412</v>
      </c>
      <c r="I1448" t="s">
        <v>371</v>
      </c>
      <c r="J1448" t="s">
        <v>41</v>
      </c>
      <c r="K1448" t="s">
        <v>365</v>
      </c>
      <c r="L1448" t="s">
        <v>319</v>
      </c>
      <c r="M1448" t="s">
        <v>141</v>
      </c>
      <c r="N1448" t="s">
        <v>142</v>
      </c>
      <c r="O1448" t="s">
        <v>155</v>
      </c>
      <c r="P1448" t="s">
        <v>281</v>
      </c>
      <c r="Q1448" t="s">
        <v>155</v>
      </c>
      <c r="R1448" t="s">
        <v>273</v>
      </c>
      <c r="S1448" t="s">
        <v>470</v>
      </c>
      <c r="T1448">
        <v>4</v>
      </c>
      <c r="U1448" t="s">
        <v>471</v>
      </c>
      <c r="V1448" t="s">
        <v>472</v>
      </c>
      <c r="W1448" t="s">
        <v>473</v>
      </c>
      <c r="X1448" t="s">
        <v>306</v>
      </c>
      <c r="Y1448" t="s">
        <v>307</v>
      </c>
      <c r="Z1448">
        <v>65</v>
      </c>
      <c r="AA1448">
        <v>80</v>
      </c>
      <c r="AB1448" t="s">
        <v>143</v>
      </c>
      <c r="AC1448" t="s">
        <v>163</v>
      </c>
      <c r="AD1448" t="s">
        <v>278</v>
      </c>
      <c r="AE1448" t="str">
        <f>IF(AF1448="","",VLOOKUP(AC1448,mapel!$A$2:$B$42,2,FALSE))</f>
        <v>PKWU</v>
      </c>
      <c r="AF1448">
        <f t="shared" si="66"/>
        <v>80</v>
      </c>
      <c r="AG1448" t="str">
        <f>IF(AF1448="","",IF(AF1448&gt;90,"Sangat baik",IF(AF1448&gt;79,"Baik",IF(AF1448&gt;=pub_gid_0_single_true_output_csv[[#This Row],[KKM]],"Cukup","Kurang"))))</f>
        <v>Baik</v>
      </c>
      <c r="AH1448">
        <f t="shared" si="67"/>
        <v>11</v>
      </c>
      <c r="AI1448" s="30" t="str">
        <f>IF(OR(J1448&lt;&gt;"Karakter",pub_gid_0_single_true_output_csv[[#This Row],[Nilai2]]=""),"",IF(AF1448&gt;89,"Sangat baik",IF(AF1448&gt;79,"Baik",IF(AF1448&gt;69,"Cukup",IF(AF1448&gt;59,"Kurang","Sangat kurang")))))</f>
        <v/>
      </c>
      <c r="AJ1448" t="str">
        <f t="shared" si="68"/>
        <v>Wk.8</v>
      </c>
      <c r="AK1448" t="str">
        <f>IF(pub_gid_0_single_true_output_csv[[#This Row],[Nilai2]]="","",VLOOKUP(pub_gid_0_single_true_output_csv[[#This Row],[NAMA]],Table7[],3,FALSE))</f>
        <v>High average</v>
      </c>
    </row>
    <row r="1449" spans="1:37" x14ac:dyDescent="0.2">
      <c r="A1449">
        <v>1448</v>
      </c>
      <c r="B1449" t="s">
        <v>293</v>
      </c>
      <c r="C1449" t="s">
        <v>54</v>
      </c>
      <c r="D1449" t="s">
        <v>45</v>
      </c>
      <c r="E1449" t="s">
        <v>147</v>
      </c>
      <c r="F1449" s="25">
        <v>46077</v>
      </c>
      <c r="G1449" t="s">
        <v>476</v>
      </c>
      <c r="H1449" t="s">
        <v>412</v>
      </c>
      <c r="I1449" t="s">
        <v>371</v>
      </c>
      <c r="J1449" t="s">
        <v>41</v>
      </c>
      <c r="K1449" t="s">
        <v>365</v>
      </c>
      <c r="L1449" t="s">
        <v>319</v>
      </c>
      <c r="M1449" t="s">
        <v>141</v>
      </c>
      <c r="N1449" t="s">
        <v>142</v>
      </c>
      <c r="O1449" t="s">
        <v>155</v>
      </c>
      <c r="P1449" t="s">
        <v>281</v>
      </c>
      <c r="Q1449" t="s">
        <v>155</v>
      </c>
      <c r="R1449" t="s">
        <v>273</v>
      </c>
      <c r="S1449" t="s">
        <v>470</v>
      </c>
      <c r="T1449">
        <v>4</v>
      </c>
      <c r="U1449" t="s">
        <v>471</v>
      </c>
      <c r="V1449" t="s">
        <v>472</v>
      </c>
      <c r="W1449" t="s">
        <v>473</v>
      </c>
      <c r="X1449" t="s">
        <v>306</v>
      </c>
      <c r="Y1449" t="s">
        <v>307</v>
      </c>
      <c r="Z1449">
        <v>65</v>
      </c>
      <c r="AA1449">
        <v>80</v>
      </c>
      <c r="AB1449" t="s">
        <v>143</v>
      </c>
      <c r="AC1449" t="s">
        <v>163</v>
      </c>
      <c r="AD1449" t="s">
        <v>278</v>
      </c>
      <c r="AE1449" t="str">
        <f>IF(AF1449="","",VLOOKUP(AC1449,mapel!$A$2:$B$42,2,FALSE))</f>
        <v>PKWU</v>
      </c>
      <c r="AF1449">
        <f t="shared" si="66"/>
        <v>80</v>
      </c>
      <c r="AG1449" t="str">
        <f>IF(AF1449="","",IF(AF1449&gt;90,"Sangat baik",IF(AF1449&gt;79,"Baik",IF(AF1449&gt;=pub_gid_0_single_true_output_csv[[#This Row],[KKM]],"Cukup","Kurang"))))</f>
        <v>Baik</v>
      </c>
      <c r="AH1449">
        <f t="shared" si="67"/>
        <v>11</v>
      </c>
      <c r="AI1449" s="30" t="str">
        <f>IF(OR(J1449&lt;&gt;"Karakter",pub_gid_0_single_true_output_csv[[#This Row],[Nilai2]]=""),"",IF(AF1449&gt;89,"Sangat baik",IF(AF1449&gt;79,"Baik",IF(AF1449&gt;69,"Cukup",IF(AF1449&gt;59,"Kurang","Sangat kurang")))))</f>
        <v/>
      </c>
      <c r="AJ1449" t="str">
        <f t="shared" si="68"/>
        <v>Wk.9</v>
      </c>
      <c r="AK1449" t="str">
        <f>IF(pub_gid_0_single_true_output_csv[[#This Row],[Nilai2]]="","",VLOOKUP(pub_gid_0_single_true_output_csv[[#This Row],[NAMA]],Table7[],3,FALSE))</f>
        <v>High average</v>
      </c>
    </row>
    <row r="1450" spans="1:37" x14ac:dyDescent="0.2">
      <c r="A1450">
        <v>1449</v>
      </c>
      <c r="B1450" t="s">
        <v>293</v>
      </c>
      <c r="C1450" t="s">
        <v>54</v>
      </c>
      <c r="D1450" t="s">
        <v>45</v>
      </c>
      <c r="E1450" t="s">
        <v>147</v>
      </c>
      <c r="F1450" s="25">
        <v>46078</v>
      </c>
      <c r="G1450" t="s">
        <v>284</v>
      </c>
      <c r="H1450" t="s">
        <v>412</v>
      </c>
      <c r="I1450" t="s">
        <v>371</v>
      </c>
      <c r="J1450" t="s">
        <v>36</v>
      </c>
      <c r="K1450" t="s">
        <v>153</v>
      </c>
      <c r="L1450" t="s">
        <v>319</v>
      </c>
      <c r="M1450" t="s">
        <v>141</v>
      </c>
      <c r="N1450" t="s">
        <v>142</v>
      </c>
      <c r="O1450" t="s">
        <v>155</v>
      </c>
      <c r="P1450" t="s">
        <v>281</v>
      </c>
      <c r="Q1450" t="s">
        <v>155</v>
      </c>
      <c r="R1450" t="s">
        <v>273</v>
      </c>
      <c r="S1450" t="s">
        <v>470</v>
      </c>
      <c r="T1450">
        <v>4</v>
      </c>
      <c r="U1450" t="s">
        <v>471</v>
      </c>
      <c r="V1450" t="s">
        <v>472</v>
      </c>
      <c r="W1450" t="s">
        <v>473</v>
      </c>
      <c r="X1450" t="s">
        <v>306</v>
      </c>
      <c r="Y1450" t="s">
        <v>307</v>
      </c>
      <c r="Z1450">
        <v>65</v>
      </c>
      <c r="AA1450">
        <v>80</v>
      </c>
      <c r="AB1450" t="s">
        <v>143</v>
      </c>
      <c r="AC1450" t="s">
        <v>163</v>
      </c>
      <c r="AD1450" t="s">
        <v>278</v>
      </c>
      <c r="AE1450" t="str">
        <f>IF(AF1450="","",VLOOKUP(AC1450,mapel!$A$2:$B$42,2,FALSE))</f>
        <v>PKWU</v>
      </c>
      <c r="AF1450">
        <f t="shared" si="66"/>
        <v>80</v>
      </c>
      <c r="AG1450" t="str">
        <f>IF(AF1450="","",IF(AF1450&gt;90,"Sangat baik",IF(AF1450&gt;79,"Baik",IF(AF1450&gt;=pub_gid_0_single_true_output_csv[[#This Row],[KKM]],"Cukup","Kurang"))))</f>
        <v>Baik</v>
      </c>
      <c r="AH1450">
        <f t="shared" si="67"/>
        <v>11</v>
      </c>
      <c r="AI1450" s="30" t="str">
        <f>IF(OR(J1450&lt;&gt;"Karakter",pub_gid_0_single_true_output_csv[[#This Row],[Nilai2]]=""),"",IF(AF1450&gt;89,"Sangat baik",IF(AF1450&gt;79,"Baik",IF(AF1450&gt;69,"Cukup",IF(AF1450&gt;59,"Kurang","Sangat kurang")))))</f>
        <v/>
      </c>
      <c r="AJ1450" t="str">
        <f t="shared" si="68"/>
        <v>Wk.9</v>
      </c>
      <c r="AK1450" t="str">
        <f>IF(pub_gid_0_single_true_output_csv[[#This Row],[Nilai2]]="","",VLOOKUP(pub_gid_0_single_true_output_csv[[#This Row],[NAMA]],Table7[],3,FALSE))</f>
        <v>High average</v>
      </c>
    </row>
    <row r="1451" spans="1:37" x14ac:dyDescent="0.2">
      <c r="A1451">
        <v>1450</v>
      </c>
      <c r="B1451" t="s">
        <v>294</v>
      </c>
      <c r="C1451" t="s">
        <v>54</v>
      </c>
      <c r="D1451" t="s">
        <v>46</v>
      </c>
      <c r="E1451" t="s">
        <v>148</v>
      </c>
      <c r="F1451" s="25">
        <v>46051</v>
      </c>
      <c r="G1451" t="s">
        <v>320</v>
      </c>
      <c r="H1451" t="s">
        <v>405</v>
      </c>
      <c r="I1451" t="s">
        <v>371</v>
      </c>
      <c r="J1451" t="s">
        <v>41</v>
      </c>
      <c r="K1451" t="s">
        <v>365</v>
      </c>
      <c r="L1451" t="s">
        <v>319</v>
      </c>
      <c r="M1451" t="s">
        <v>141</v>
      </c>
      <c r="N1451" t="s">
        <v>142</v>
      </c>
      <c r="O1451" t="s">
        <v>155</v>
      </c>
      <c r="P1451" t="s">
        <v>281</v>
      </c>
      <c r="Q1451" t="s">
        <v>155</v>
      </c>
      <c r="R1451" t="s">
        <v>273</v>
      </c>
      <c r="S1451" t="s">
        <v>470</v>
      </c>
      <c r="T1451">
        <v>4</v>
      </c>
      <c r="U1451" t="s">
        <v>471</v>
      </c>
      <c r="V1451" t="s">
        <v>472</v>
      </c>
      <c r="W1451" t="s">
        <v>473</v>
      </c>
      <c r="X1451" t="s">
        <v>306</v>
      </c>
      <c r="Y1451" t="s">
        <v>307</v>
      </c>
      <c r="Z1451">
        <v>65</v>
      </c>
      <c r="AA1451">
        <v>80</v>
      </c>
      <c r="AB1451" t="s">
        <v>143</v>
      </c>
      <c r="AC1451" t="s">
        <v>163</v>
      </c>
      <c r="AD1451" t="s">
        <v>278</v>
      </c>
      <c r="AE1451" t="str">
        <f>IF(AF1451="","",VLOOKUP(AC1451,mapel!$A$2:$B$42,2,FALSE))</f>
        <v>PKWU</v>
      </c>
      <c r="AF1451">
        <f t="shared" si="66"/>
        <v>80</v>
      </c>
      <c r="AG1451" t="str">
        <f>IF(AF1451="","",IF(AF1451&gt;90,"Sangat baik",IF(AF1451&gt;79,"Baik",IF(AF1451&gt;=pub_gid_0_single_true_output_csv[[#This Row],[KKM]],"Cukup","Kurang"))))</f>
        <v>Baik</v>
      </c>
      <c r="AH1451">
        <f t="shared" si="67"/>
        <v>11</v>
      </c>
      <c r="AI1451" s="30" t="str">
        <f>IF(OR(J1451&lt;&gt;"Karakter",pub_gid_0_single_true_output_csv[[#This Row],[Nilai2]]=""),"",IF(AF1451&gt;89,"Sangat baik",IF(AF1451&gt;79,"Baik",IF(AF1451&gt;69,"Cukup",IF(AF1451&gt;59,"Kurang","Sangat kurang")))))</f>
        <v/>
      </c>
      <c r="AJ1451" t="str">
        <f t="shared" si="68"/>
        <v>Wk.5</v>
      </c>
      <c r="AK1451" t="str">
        <f>IF(pub_gid_0_single_true_output_csv[[#This Row],[Nilai2]]="","",VLOOKUP(pub_gid_0_single_true_output_csv[[#This Row],[NAMA]],Table7[],3,FALSE))</f>
        <v>Average</v>
      </c>
    </row>
    <row r="1452" spans="1:37" x14ac:dyDescent="0.2">
      <c r="A1452">
        <v>1451</v>
      </c>
      <c r="B1452" t="s">
        <v>294</v>
      </c>
      <c r="C1452" t="s">
        <v>54</v>
      </c>
      <c r="D1452" t="s">
        <v>46</v>
      </c>
      <c r="E1452" t="s">
        <v>148</v>
      </c>
      <c r="F1452" s="25">
        <v>46056</v>
      </c>
      <c r="G1452" t="s">
        <v>372</v>
      </c>
      <c r="H1452" t="s">
        <v>412</v>
      </c>
      <c r="I1452" t="s">
        <v>371</v>
      </c>
      <c r="J1452" t="s">
        <v>41</v>
      </c>
      <c r="K1452" t="s">
        <v>365</v>
      </c>
      <c r="L1452" t="s">
        <v>322</v>
      </c>
      <c r="M1452" t="s">
        <v>141</v>
      </c>
      <c r="N1452" t="s">
        <v>142</v>
      </c>
      <c r="O1452" t="s">
        <v>155</v>
      </c>
      <c r="P1452" t="s">
        <v>281</v>
      </c>
      <c r="Q1452" t="s">
        <v>155</v>
      </c>
      <c r="R1452" t="s">
        <v>273</v>
      </c>
      <c r="S1452" t="s">
        <v>309</v>
      </c>
      <c r="T1452">
        <v>1</v>
      </c>
      <c r="U1452" t="s">
        <v>393</v>
      </c>
      <c r="V1452" t="s">
        <v>285</v>
      </c>
      <c r="W1452" t="s">
        <v>394</v>
      </c>
      <c r="X1452" t="s">
        <v>306</v>
      </c>
      <c r="Y1452" t="s">
        <v>307</v>
      </c>
      <c r="Z1452">
        <v>65</v>
      </c>
      <c r="AA1452">
        <v>78</v>
      </c>
      <c r="AB1452" t="s">
        <v>143</v>
      </c>
      <c r="AC1452" t="s">
        <v>163</v>
      </c>
      <c r="AD1452" t="s">
        <v>278</v>
      </c>
      <c r="AE1452" t="str">
        <f>IF(AF1452="","",VLOOKUP(AC1452,mapel!$A$2:$B$42,2,FALSE))</f>
        <v>PKWU</v>
      </c>
      <c r="AF1452">
        <f t="shared" si="66"/>
        <v>78</v>
      </c>
      <c r="AG1452" t="str">
        <f>IF(AF1452="","",IF(AF1452&gt;90,"Sangat baik",IF(AF1452&gt;79,"Baik",IF(AF1452&gt;=pub_gid_0_single_true_output_csv[[#This Row],[KKM]],"Cukup","Kurang"))))</f>
        <v>Cukup</v>
      </c>
      <c r="AH1452">
        <f t="shared" si="67"/>
        <v>11</v>
      </c>
      <c r="AI1452" s="30" t="str">
        <f>IF(OR(J1452&lt;&gt;"Karakter",pub_gid_0_single_true_output_csv[[#This Row],[Nilai2]]=""),"",IF(AF1452&gt;89,"Sangat baik",IF(AF1452&gt;79,"Baik",IF(AF1452&gt;69,"Cukup",IF(AF1452&gt;59,"Kurang","Sangat kurang")))))</f>
        <v/>
      </c>
      <c r="AJ1452" t="str">
        <f t="shared" si="68"/>
        <v>Wk.6</v>
      </c>
      <c r="AK1452" t="str">
        <f>IF(pub_gid_0_single_true_output_csv[[#This Row],[Nilai2]]="","",VLOOKUP(pub_gid_0_single_true_output_csv[[#This Row],[NAMA]],Table7[],3,FALSE))</f>
        <v>Average</v>
      </c>
    </row>
    <row r="1453" spans="1:37" x14ac:dyDescent="0.2">
      <c r="A1453">
        <v>1452</v>
      </c>
      <c r="B1453" t="s">
        <v>294</v>
      </c>
      <c r="C1453" t="s">
        <v>54</v>
      </c>
      <c r="D1453" t="s">
        <v>46</v>
      </c>
      <c r="E1453" t="s">
        <v>148</v>
      </c>
      <c r="F1453" s="25">
        <v>46057</v>
      </c>
      <c r="G1453" t="s">
        <v>348</v>
      </c>
      <c r="H1453" t="s">
        <v>412</v>
      </c>
      <c r="I1453" t="s">
        <v>371</v>
      </c>
      <c r="J1453" t="s">
        <v>36</v>
      </c>
      <c r="K1453" t="s">
        <v>153</v>
      </c>
      <c r="L1453" t="s">
        <v>395</v>
      </c>
      <c r="M1453" t="s">
        <v>141</v>
      </c>
      <c r="N1453" t="s">
        <v>142</v>
      </c>
      <c r="O1453" t="s">
        <v>155</v>
      </c>
      <c r="P1453" t="s">
        <v>281</v>
      </c>
      <c r="Q1453" t="s">
        <v>155</v>
      </c>
      <c r="R1453" t="s">
        <v>273</v>
      </c>
      <c r="S1453" t="s">
        <v>309</v>
      </c>
      <c r="T1453">
        <v>1</v>
      </c>
      <c r="U1453" t="s">
        <v>393</v>
      </c>
      <c r="V1453" t="s">
        <v>285</v>
      </c>
      <c r="W1453" t="s">
        <v>394</v>
      </c>
      <c r="X1453" t="s">
        <v>306</v>
      </c>
      <c r="Y1453" t="s">
        <v>307</v>
      </c>
      <c r="Z1453">
        <v>65</v>
      </c>
      <c r="AA1453">
        <v>78</v>
      </c>
      <c r="AB1453" t="s">
        <v>143</v>
      </c>
      <c r="AC1453" t="s">
        <v>163</v>
      </c>
      <c r="AD1453" t="s">
        <v>278</v>
      </c>
      <c r="AE1453" t="str">
        <f>IF(AF1453="","",VLOOKUP(AC1453,mapel!$A$2:$B$42,2,FALSE))</f>
        <v>PKWU</v>
      </c>
      <c r="AF1453">
        <f t="shared" si="66"/>
        <v>78</v>
      </c>
      <c r="AG1453" t="str">
        <f>IF(AF1453="","",IF(AF1453&gt;90,"Sangat baik",IF(AF1453&gt;79,"Baik",IF(AF1453&gt;=pub_gid_0_single_true_output_csv[[#This Row],[KKM]],"Cukup","Kurang"))))</f>
        <v>Cukup</v>
      </c>
      <c r="AH1453">
        <f t="shared" si="67"/>
        <v>11</v>
      </c>
      <c r="AI1453" s="30" t="str">
        <f>IF(OR(J1453&lt;&gt;"Karakter",pub_gid_0_single_true_output_csv[[#This Row],[Nilai2]]=""),"",IF(AF1453&gt;89,"Sangat baik",IF(AF1453&gt;79,"Baik",IF(AF1453&gt;69,"Cukup",IF(AF1453&gt;59,"Kurang","Sangat kurang")))))</f>
        <v/>
      </c>
      <c r="AJ1453" t="str">
        <f t="shared" si="68"/>
        <v>Wk.6</v>
      </c>
      <c r="AK1453" t="str">
        <f>IF(pub_gid_0_single_true_output_csv[[#This Row],[Nilai2]]="","",VLOOKUP(pub_gid_0_single_true_output_csv[[#This Row],[NAMA]],Table7[],3,FALSE))</f>
        <v>Average</v>
      </c>
    </row>
    <row r="1454" spans="1:37" x14ac:dyDescent="0.2">
      <c r="A1454">
        <v>1453</v>
      </c>
      <c r="B1454" t="s">
        <v>294</v>
      </c>
      <c r="C1454" t="s">
        <v>54</v>
      </c>
      <c r="D1454" t="s">
        <v>46</v>
      </c>
      <c r="E1454" t="s">
        <v>148</v>
      </c>
      <c r="F1454" s="25">
        <v>46058</v>
      </c>
      <c r="G1454" t="s">
        <v>346</v>
      </c>
      <c r="H1454" t="s">
        <v>412</v>
      </c>
      <c r="I1454" t="s">
        <v>371</v>
      </c>
      <c r="J1454" t="s">
        <v>41</v>
      </c>
      <c r="K1454" t="s">
        <v>365</v>
      </c>
      <c r="L1454" t="s">
        <v>322</v>
      </c>
      <c r="M1454" t="s">
        <v>141</v>
      </c>
      <c r="N1454" t="s">
        <v>142</v>
      </c>
      <c r="O1454" t="s">
        <v>155</v>
      </c>
      <c r="P1454" t="s">
        <v>281</v>
      </c>
      <c r="Q1454" t="s">
        <v>155</v>
      </c>
      <c r="R1454" t="s">
        <v>273</v>
      </c>
      <c r="S1454" t="s">
        <v>309</v>
      </c>
      <c r="T1454">
        <v>1</v>
      </c>
      <c r="U1454" t="s">
        <v>393</v>
      </c>
      <c r="V1454" t="s">
        <v>285</v>
      </c>
      <c r="W1454" t="s">
        <v>394</v>
      </c>
      <c r="X1454" t="s">
        <v>306</v>
      </c>
      <c r="Y1454" t="s">
        <v>307</v>
      </c>
      <c r="Z1454">
        <v>65</v>
      </c>
      <c r="AA1454">
        <v>78</v>
      </c>
      <c r="AB1454" t="s">
        <v>143</v>
      </c>
      <c r="AC1454" t="s">
        <v>163</v>
      </c>
      <c r="AD1454" t="s">
        <v>278</v>
      </c>
      <c r="AE1454" t="str">
        <f>IF(AF1454="","",VLOOKUP(AC1454,mapel!$A$2:$B$42,2,FALSE))</f>
        <v>PKWU</v>
      </c>
      <c r="AF1454">
        <f t="shared" si="66"/>
        <v>78</v>
      </c>
      <c r="AG1454" t="str">
        <f>IF(AF1454="","",IF(AF1454&gt;90,"Sangat baik",IF(AF1454&gt;79,"Baik",IF(AF1454&gt;=pub_gid_0_single_true_output_csv[[#This Row],[KKM]],"Cukup","Kurang"))))</f>
        <v>Cukup</v>
      </c>
      <c r="AH1454">
        <f t="shared" si="67"/>
        <v>11</v>
      </c>
      <c r="AI1454" s="30" t="str">
        <f>IF(OR(J1454&lt;&gt;"Karakter",pub_gid_0_single_true_output_csv[[#This Row],[Nilai2]]=""),"",IF(AF1454&gt;89,"Sangat baik",IF(AF1454&gt;79,"Baik",IF(AF1454&gt;69,"Cukup",IF(AF1454&gt;59,"Kurang","Sangat kurang")))))</f>
        <v/>
      </c>
      <c r="AJ1454" t="str">
        <f t="shared" si="68"/>
        <v>Wk.6</v>
      </c>
      <c r="AK1454" t="str">
        <f>IF(pub_gid_0_single_true_output_csv[[#This Row],[Nilai2]]="","",VLOOKUP(pub_gid_0_single_true_output_csv[[#This Row],[NAMA]],Table7[],3,FALSE))</f>
        <v>Average</v>
      </c>
    </row>
    <row r="1455" spans="1:37" x14ac:dyDescent="0.2">
      <c r="A1455">
        <v>1454</v>
      </c>
      <c r="B1455" t="s">
        <v>294</v>
      </c>
      <c r="C1455" t="s">
        <v>54</v>
      </c>
      <c r="D1455" t="s">
        <v>46</v>
      </c>
      <c r="E1455" t="s">
        <v>148</v>
      </c>
      <c r="F1455" s="25">
        <v>46063</v>
      </c>
      <c r="G1455" t="s">
        <v>374</v>
      </c>
      <c r="H1455" t="s">
        <v>412</v>
      </c>
      <c r="I1455" t="s">
        <v>371</v>
      </c>
      <c r="J1455" t="s">
        <v>36</v>
      </c>
      <c r="K1455" t="s">
        <v>153</v>
      </c>
      <c r="L1455" t="s">
        <v>395</v>
      </c>
      <c r="M1455" t="s">
        <v>141</v>
      </c>
      <c r="N1455" t="s">
        <v>142</v>
      </c>
      <c r="O1455" t="s">
        <v>155</v>
      </c>
      <c r="P1455" t="s">
        <v>281</v>
      </c>
      <c r="Q1455" t="s">
        <v>155</v>
      </c>
      <c r="R1455" t="s">
        <v>273</v>
      </c>
      <c r="S1455" t="s">
        <v>309</v>
      </c>
      <c r="T1455">
        <v>1</v>
      </c>
      <c r="U1455" t="s">
        <v>393</v>
      </c>
      <c r="V1455" t="s">
        <v>285</v>
      </c>
      <c r="W1455" t="s">
        <v>394</v>
      </c>
      <c r="X1455" t="s">
        <v>306</v>
      </c>
      <c r="Y1455" t="s">
        <v>307</v>
      </c>
      <c r="Z1455">
        <v>65</v>
      </c>
      <c r="AA1455">
        <v>78</v>
      </c>
      <c r="AB1455" t="s">
        <v>143</v>
      </c>
      <c r="AC1455" t="s">
        <v>163</v>
      </c>
      <c r="AD1455" t="s">
        <v>278</v>
      </c>
      <c r="AE1455" t="str">
        <f>IF(AF1455="","",VLOOKUP(AC1455,mapel!$A$2:$B$42,2,FALSE))</f>
        <v>PKWU</v>
      </c>
      <c r="AF1455">
        <f t="shared" si="66"/>
        <v>78</v>
      </c>
      <c r="AG1455" t="str">
        <f>IF(AF1455="","",IF(AF1455&gt;90,"Sangat baik",IF(AF1455&gt;79,"Baik",IF(AF1455&gt;=pub_gid_0_single_true_output_csv[[#This Row],[KKM]],"Cukup","Kurang"))))</f>
        <v>Cukup</v>
      </c>
      <c r="AH1455">
        <f t="shared" si="67"/>
        <v>11</v>
      </c>
      <c r="AI1455" s="30" t="str">
        <f>IF(OR(J1455&lt;&gt;"Karakter",pub_gid_0_single_true_output_csv[[#This Row],[Nilai2]]=""),"",IF(AF1455&gt;89,"Sangat baik",IF(AF1455&gt;79,"Baik",IF(AF1455&gt;69,"Cukup",IF(AF1455&gt;59,"Kurang","Sangat kurang")))))</f>
        <v/>
      </c>
      <c r="AJ1455" t="str">
        <f t="shared" si="68"/>
        <v>Wk.7</v>
      </c>
      <c r="AK1455" t="str">
        <f>IF(pub_gid_0_single_true_output_csv[[#This Row],[Nilai2]]="","",VLOOKUP(pub_gid_0_single_true_output_csv[[#This Row],[NAMA]],Table7[],3,FALSE))</f>
        <v>Average</v>
      </c>
    </row>
    <row r="1456" spans="1:37" x14ac:dyDescent="0.2">
      <c r="A1456">
        <v>1455</v>
      </c>
      <c r="B1456" t="s">
        <v>294</v>
      </c>
      <c r="C1456" t="s">
        <v>54</v>
      </c>
      <c r="D1456" t="s">
        <v>46</v>
      </c>
      <c r="E1456" t="s">
        <v>148</v>
      </c>
      <c r="F1456" s="25">
        <v>46064</v>
      </c>
      <c r="G1456" t="s">
        <v>352</v>
      </c>
      <c r="H1456" t="s">
        <v>412</v>
      </c>
      <c r="I1456" t="s">
        <v>371</v>
      </c>
      <c r="J1456" t="s">
        <v>31</v>
      </c>
      <c r="K1456" t="s">
        <v>32</v>
      </c>
      <c r="L1456" t="s">
        <v>395</v>
      </c>
      <c r="M1456" t="s">
        <v>141</v>
      </c>
      <c r="N1456" t="s">
        <v>142</v>
      </c>
      <c r="O1456" t="s">
        <v>155</v>
      </c>
      <c r="P1456" t="s">
        <v>281</v>
      </c>
      <c r="Q1456" t="s">
        <v>155</v>
      </c>
      <c r="R1456" t="s">
        <v>273</v>
      </c>
      <c r="S1456" t="s">
        <v>309</v>
      </c>
      <c r="T1456">
        <v>1</v>
      </c>
      <c r="U1456" t="s">
        <v>393</v>
      </c>
      <c r="V1456" t="s">
        <v>285</v>
      </c>
      <c r="W1456" t="s">
        <v>394</v>
      </c>
      <c r="X1456" t="s">
        <v>306</v>
      </c>
      <c r="Y1456" t="s">
        <v>307</v>
      </c>
      <c r="Z1456">
        <v>65</v>
      </c>
      <c r="AA1456">
        <v>78</v>
      </c>
      <c r="AB1456" t="s">
        <v>143</v>
      </c>
      <c r="AC1456" t="s">
        <v>163</v>
      </c>
      <c r="AD1456" t="s">
        <v>278</v>
      </c>
      <c r="AE1456" t="str">
        <f>IF(AF1456="","",VLOOKUP(AC1456,mapel!$A$2:$B$42,2,FALSE))</f>
        <v>PKWU</v>
      </c>
      <c r="AF1456">
        <f t="shared" si="66"/>
        <v>78</v>
      </c>
      <c r="AG1456" t="str">
        <f>IF(AF1456="","",IF(AF1456&gt;90,"Sangat baik",IF(AF1456&gt;79,"Baik",IF(AF1456&gt;=pub_gid_0_single_true_output_csv[[#This Row],[KKM]],"Cukup","Kurang"))))</f>
        <v>Cukup</v>
      </c>
      <c r="AH1456">
        <f t="shared" si="67"/>
        <v>11</v>
      </c>
      <c r="AI1456" s="30" t="str">
        <f>IF(OR(J1456&lt;&gt;"Karakter",pub_gid_0_single_true_output_csv[[#This Row],[Nilai2]]=""),"",IF(AF1456&gt;89,"Sangat baik",IF(AF1456&gt;79,"Baik",IF(AF1456&gt;69,"Cukup",IF(AF1456&gt;59,"Kurang","Sangat kurang")))))</f>
        <v/>
      </c>
      <c r="AJ1456" t="str">
        <f t="shared" si="68"/>
        <v>Wk.7</v>
      </c>
      <c r="AK1456" t="str">
        <f>IF(pub_gid_0_single_true_output_csv[[#This Row],[Nilai2]]="","",VLOOKUP(pub_gid_0_single_true_output_csv[[#This Row],[NAMA]],Table7[],3,FALSE))</f>
        <v>Average</v>
      </c>
    </row>
    <row r="1457" spans="1:37" x14ac:dyDescent="0.2">
      <c r="A1457">
        <v>1456</v>
      </c>
      <c r="B1457" t="s">
        <v>294</v>
      </c>
      <c r="C1457" t="s">
        <v>54</v>
      </c>
      <c r="D1457" t="s">
        <v>46</v>
      </c>
      <c r="E1457" t="s">
        <v>148</v>
      </c>
      <c r="F1457" s="25">
        <v>46065</v>
      </c>
      <c r="G1457" t="s">
        <v>354</v>
      </c>
      <c r="H1457" t="s">
        <v>412</v>
      </c>
      <c r="I1457" t="s">
        <v>371</v>
      </c>
      <c r="J1457" t="s">
        <v>41</v>
      </c>
      <c r="K1457" t="s">
        <v>365</v>
      </c>
      <c r="L1457" t="s">
        <v>322</v>
      </c>
      <c r="M1457" t="s">
        <v>141</v>
      </c>
      <c r="N1457" t="s">
        <v>142</v>
      </c>
      <c r="O1457" t="s">
        <v>155</v>
      </c>
      <c r="P1457" t="s">
        <v>281</v>
      </c>
      <c r="Q1457" t="s">
        <v>155</v>
      </c>
      <c r="R1457" t="s">
        <v>273</v>
      </c>
      <c r="S1457" t="s">
        <v>309</v>
      </c>
      <c r="T1457">
        <v>1</v>
      </c>
      <c r="U1457" t="s">
        <v>393</v>
      </c>
      <c r="V1457" t="s">
        <v>285</v>
      </c>
      <c r="W1457" t="s">
        <v>394</v>
      </c>
      <c r="X1457" t="s">
        <v>306</v>
      </c>
      <c r="Y1457" t="s">
        <v>307</v>
      </c>
      <c r="Z1457">
        <v>65</v>
      </c>
      <c r="AA1457">
        <v>78</v>
      </c>
      <c r="AB1457" t="s">
        <v>143</v>
      </c>
      <c r="AC1457" t="s">
        <v>163</v>
      </c>
      <c r="AD1457" t="s">
        <v>278</v>
      </c>
      <c r="AE1457" t="str">
        <f>IF(AF1457="","",VLOOKUP(AC1457,mapel!$A$2:$B$42,2,FALSE))</f>
        <v>PKWU</v>
      </c>
      <c r="AF1457">
        <f t="shared" si="66"/>
        <v>78</v>
      </c>
      <c r="AG1457" t="str">
        <f>IF(AF1457="","",IF(AF1457&gt;90,"Sangat baik",IF(AF1457&gt;79,"Baik",IF(AF1457&gt;=pub_gid_0_single_true_output_csv[[#This Row],[KKM]],"Cukup","Kurang"))))</f>
        <v>Cukup</v>
      </c>
      <c r="AH1457">
        <f t="shared" si="67"/>
        <v>11</v>
      </c>
      <c r="AI1457" s="30" t="str">
        <f>IF(OR(J1457&lt;&gt;"Karakter",pub_gid_0_single_true_output_csv[[#This Row],[Nilai2]]=""),"",IF(AF1457&gt;89,"Sangat baik",IF(AF1457&gt;79,"Baik",IF(AF1457&gt;69,"Cukup",IF(AF1457&gt;59,"Kurang","Sangat kurang")))))</f>
        <v/>
      </c>
      <c r="AJ1457" t="str">
        <f t="shared" si="68"/>
        <v>Wk.7</v>
      </c>
      <c r="AK1457" t="str">
        <f>IF(pub_gid_0_single_true_output_csv[[#This Row],[Nilai2]]="","",VLOOKUP(pub_gid_0_single_true_output_csv[[#This Row],[NAMA]],Table7[],3,FALSE))</f>
        <v>Average</v>
      </c>
    </row>
    <row r="1458" spans="1:37" x14ac:dyDescent="0.2">
      <c r="A1458">
        <v>1457</v>
      </c>
      <c r="B1458" t="s">
        <v>294</v>
      </c>
      <c r="C1458" t="s">
        <v>54</v>
      </c>
      <c r="D1458" t="s">
        <v>46</v>
      </c>
      <c r="E1458" t="s">
        <v>148</v>
      </c>
      <c r="F1458" s="25">
        <v>46071</v>
      </c>
      <c r="G1458" t="s">
        <v>323</v>
      </c>
      <c r="H1458" t="s">
        <v>412</v>
      </c>
      <c r="I1458" t="s">
        <v>371</v>
      </c>
      <c r="J1458" t="s">
        <v>41</v>
      </c>
      <c r="K1458" t="s">
        <v>365</v>
      </c>
      <c r="L1458" t="s">
        <v>319</v>
      </c>
      <c r="M1458" t="s">
        <v>141</v>
      </c>
      <c r="N1458" t="s">
        <v>142</v>
      </c>
      <c r="O1458" t="s">
        <v>155</v>
      </c>
      <c r="P1458" t="s">
        <v>281</v>
      </c>
      <c r="Q1458" t="s">
        <v>155</v>
      </c>
      <c r="R1458" t="s">
        <v>273</v>
      </c>
      <c r="S1458" t="s">
        <v>470</v>
      </c>
      <c r="T1458">
        <v>4</v>
      </c>
      <c r="U1458" t="s">
        <v>471</v>
      </c>
      <c r="V1458" t="s">
        <v>472</v>
      </c>
      <c r="W1458" t="s">
        <v>473</v>
      </c>
      <c r="X1458" t="s">
        <v>306</v>
      </c>
      <c r="Y1458" t="s">
        <v>307</v>
      </c>
      <c r="Z1458">
        <v>65</v>
      </c>
      <c r="AA1458">
        <v>80</v>
      </c>
      <c r="AB1458" t="s">
        <v>143</v>
      </c>
      <c r="AC1458" t="s">
        <v>163</v>
      </c>
      <c r="AD1458" t="s">
        <v>278</v>
      </c>
      <c r="AE1458" t="str">
        <f>IF(AF1458="","",VLOOKUP(AC1458,mapel!$A$2:$B$42,2,FALSE))</f>
        <v>PKWU</v>
      </c>
      <c r="AF1458">
        <f t="shared" si="66"/>
        <v>80</v>
      </c>
      <c r="AG1458" t="str">
        <f>IF(AF1458="","",IF(AF1458&gt;90,"Sangat baik",IF(AF1458&gt;79,"Baik",IF(AF1458&gt;=pub_gid_0_single_true_output_csv[[#This Row],[KKM]],"Cukup","Kurang"))))</f>
        <v>Baik</v>
      </c>
      <c r="AH1458">
        <f t="shared" si="67"/>
        <v>11</v>
      </c>
      <c r="AI1458" s="30" t="str">
        <f>IF(OR(J1458&lt;&gt;"Karakter",pub_gid_0_single_true_output_csv[[#This Row],[Nilai2]]=""),"",IF(AF1458&gt;89,"Sangat baik",IF(AF1458&gt;79,"Baik",IF(AF1458&gt;69,"Cukup",IF(AF1458&gt;59,"Kurang","Sangat kurang")))))</f>
        <v/>
      </c>
      <c r="AJ1458" t="str">
        <f t="shared" si="68"/>
        <v>Wk.8</v>
      </c>
      <c r="AK1458" t="str">
        <f>IF(pub_gid_0_single_true_output_csv[[#This Row],[Nilai2]]="","",VLOOKUP(pub_gid_0_single_true_output_csv[[#This Row],[NAMA]],Table7[],3,FALSE))</f>
        <v>Average</v>
      </c>
    </row>
    <row r="1459" spans="1:37" x14ac:dyDescent="0.2">
      <c r="A1459">
        <v>1458</v>
      </c>
      <c r="B1459" t="s">
        <v>294</v>
      </c>
      <c r="C1459" t="s">
        <v>54</v>
      </c>
      <c r="D1459" t="s">
        <v>46</v>
      </c>
      <c r="E1459" t="s">
        <v>148</v>
      </c>
      <c r="F1459" s="25">
        <v>46077</v>
      </c>
      <c r="G1459" t="s">
        <v>476</v>
      </c>
      <c r="H1459" t="s">
        <v>412</v>
      </c>
      <c r="I1459" t="s">
        <v>371</v>
      </c>
      <c r="J1459" t="s">
        <v>41</v>
      </c>
      <c r="K1459" t="s">
        <v>365</v>
      </c>
      <c r="L1459" t="s">
        <v>319</v>
      </c>
      <c r="M1459" t="s">
        <v>141</v>
      </c>
      <c r="N1459" t="s">
        <v>142</v>
      </c>
      <c r="O1459" t="s">
        <v>155</v>
      </c>
      <c r="P1459" t="s">
        <v>281</v>
      </c>
      <c r="Q1459" t="s">
        <v>155</v>
      </c>
      <c r="R1459" t="s">
        <v>273</v>
      </c>
      <c r="S1459" t="s">
        <v>470</v>
      </c>
      <c r="T1459">
        <v>4</v>
      </c>
      <c r="U1459" t="s">
        <v>471</v>
      </c>
      <c r="V1459" t="s">
        <v>472</v>
      </c>
      <c r="W1459" t="s">
        <v>473</v>
      </c>
      <c r="X1459" t="s">
        <v>306</v>
      </c>
      <c r="Y1459" t="s">
        <v>307</v>
      </c>
      <c r="Z1459">
        <v>65</v>
      </c>
      <c r="AA1459">
        <v>80</v>
      </c>
      <c r="AB1459" t="s">
        <v>143</v>
      </c>
      <c r="AC1459" t="s">
        <v>163</v>
      </c>
      <c r="AD1459" t="s">
        <v>278</v>
      </c>
      <c r="AE1459" t="str">
        <f>IF(AF1459="","",VLOOKUP(AC1459,mapel!$A$2:$B$42,2,FALSE))</f>
        <v>PKWU</v>
      </c>
      <c r="AF1459">
        <f t="shared" si="66"/>
        <v>80</v>
      </c>
      <c r="AG1459" t="str">
        <f>IF(AF1459="","",IF(AF1459&gt;90,"Sangat baik",IF(AF1459&gt;79,"Baik",IF(AF1459&gt;=pub_gid_0_single_true_output_csv[[#This Row],[KKM]],"Cukup","Kurang"))))</f>
        <v>Baik</v>
      </c>
      <c r="AH1459">
        <f t="shared" si="67"/>
        <v>11</v>
      </c>
      <c r="AI1459" s="30" t="str">
        <f>IF(OR(J1459&lt;&gt;"Karakter",pub_gid_0_single_true_output_csv[[#This Row],[Nilai2]]=""),"",IF(AF1459&gt;89,"Sangat baik",IF(AF1459&gt;79,"Baik",IF(AF1459&gt;69,"Cukup",IF(AF1459&gt;59,"Kurang","Sangat kurang")))))</f>
        <v/>
      </c>
      <c r="AJ1459" t="str">
        <f t="shared" si="68"/>
        <v>Wk.9</v>
      </c>
      <c r="AK1459" t="str">
        <f>IF(pub_gid_0_single_true_output_csv[[#This Row],[Nilai2]]="","",VLOOKUP(pub_gid_0_single_true_output_csv[[#This Row],[NAMA]],Table7[],3,FALSE))</f>
        <v>Average</v>
      </c>
    </row>
    <row r="1460" spans="1:37" x14ac:dyDescent="0.2">
      <c r="A1460">
        <v>1459</v>
      </c>
      <c r="B1460" t="s">
        <v>294</v>
      </c>
      <c r="C1460" t="s">
        <v>54</v>
      </c>
      <c r="D1460" t="s">
        <v>46</v>
      </c>
      <c r="E1460" t="s">
        <v>148</v>
      </c>
      <c r="F1460" s="25">
        <v>46078</v>
      </c>
      <c r="G1460" t="s">
        <v>284</v>
      </c>
      <c r="H1460" t="s">
        <v>412</v>
      </c>
      <c r="I1460" t="s">
        <v>371</v>
      </c>
      <c r="J1460" t="s">
        <v>36</v>
      </c>
      <c r="K1460" t="s">
        <v>153</v>
      </c>
      <c r="L1460" t="s">
        <v>319</v>
      </c>
      <c r="M1460" t="s">
        <v>141</v>
      </c>
      <c r="N1460" t="s">
        <v>142</v>
      </c>
      <c r="O1460" t="s">
        <v>155</v>
      </c>
      <c r="P1460" t="s">
        <v>281</v>
      </c>
      <c r="Q1460" t="s">
        <v>155</v>
      </c>
      <c r="R1460" t="s">
        <v>273</v>
      </c>
      <c r="S1460" t="s">
        <v>470</v>
      </c>
      <c r="T1460">
        <v>4</v>
      </c>
      <c r="U1460" t="s">
        <v>471</v>
      </c>
      <c r="V1460" t="s">
        <v>472</v>
      </c>
      <c r="W1460" t="s">
        <v>473</v>
      </c>
      <c r="X1460" t="s">
        <v>306</v>
      </c>
      <c r="Y1460" t="s">
        <v>307</v>
      </c>
      <c r="Z1460">
        <v>65</v>
      </c>
      <c r="AA1460">
        <v>80</v>
      </c>
      <c r="AB1460" t="s">
        <v>143</v>
      </c>
      <c r="AC1460" t="s">
        <v>163</v>
      </c>
      <c r="AD1460" t="s">
        <v>278</v>
      </c>
      <c r="AE1460" t="str">
        <f>IF(AF1460="","",VLOOKUP(AC1460,mapel!$A$2:$B$42,2,FALSE))</f>
        <v>PKWU</v>
      </c>
      <c r="AF1460">
        <f t="shared" si="66"/>
        <v>80</v>
      </c>
      <c r="AG1460" t="str">
        <f>IF(AF1460="","",IF(AF1460&gt;90,"Sangat baik",IF(AF1460&gt;79,"Baik",IF(AF1460&gt;=pub_gid_0_single_true_output_csv[[#This Row],[KKM]],"Cukup","Kurang"))))</f>
        <v>Baik</v>
      </c>
      <c r="AH1460">
        <f t="shared" si="67"/>
        <v>11</v>
      </c>
      <c r="AI1460" s="30" t="str">
        <f>IF(OR(J1460&lt;&gt;"Karakter",pub_gid_0_single_true_output_csv[[#This Row],[Nilai2]]=""),"",IF(AF1460&gt;89,"Sangat baik",IF(AF1460&gt;79,"Baik",IF(AF1460&gt;69,"Cukup",IF(AF1460&gt;59,"Kurang","Sangat kurang")))))</f>
        <v/>
      </c>
      <c r="AJ1460" t="str">
        <f t="shared" si="68"/>
        <v>Wk.9</v>
      </c>
      <c r="AK1460" t="str">
        <f>IF(pub_gid_0_single_true_output_csv[[#This Row],[Nilai2]]="","",VLOOKUP(pub_gid_0_single_true_output_csv[[#This Row],[NAMA]],Table7[],3,FALSE))</f>
        <v>Average</v>
      </c>
    </row>
    <row r="1461" spans="1:37" x14ac:dyDescent="0.2">
      <c r="A1461">
        <v>1460</v>
      </c>
      <c r="B1461" t="s">
        <v>289</v>
      </c>
      <c r="C1461" t="s">
        <v>54</v>
      </c>
      <c r="D1461" t="s">
        <v>39</v>
      </c>
      <c r="E1461" t="s">
        <v>140</v>
      </c>
      <c r="F1461" s="25">
        <v>46028</v>
      </c>
      <c r="G1461" t="s">
        <v>349</v>
      </c>
      <c r="H1461" t="s">
        <v>405</v>
      </c>
      <c r="I1461" t="s">
        <v>371</v>
      </c>
      <c r="J1461" t="s">
        <v>41</v>
      </c>
      <c r="K1461" t="s">
        <v>157</v>
      </c>
      <c r="L1461" t="s">
        <v>324</v>
      </c>
      <c r="M1461" t="s">
        <v>141</v>
      </c>
      <c r="N1461" t="s">
        <v>142</v>
      </c>
      <c r="O1461" t="s">
        <v>155</v>
      </c>
      <c r="P1461" t="s">
        <v>281</v>
      </c>
      <c r="Q1461" t="s">
        <v>155</v>
      </c>
      <c r="R1461" t="s">
        <v>302</v>
      </c>
      <c r="S1461" t="s">
        <v>355</v>
      </c>
      <c r="T1461">
        <v>2</v>
      </c>
      <c r="U1461" t="s">
        <v>384</v>
      </c>
      <c r="V1461" t="s">
        <v>303</v>
      </c>
      <c r="W1461" t="s">
        <v>385</v>
      </c>
      <c r="X1461" t="s">
        <v>306</v>
      </c>
      <c r="Y1461" t="s">
        <v>307</v>
      </c>
      <c r="Z1461">
        <v>65</v>
      </c>
      <c r="AA1461">
        <v>0</v>
      </c>
      <c r="AB1461" t="s">
        <v>151</v>
      </c>
      <c r="AC1461" t="s">
        <v>51</v>
      </c>
      <c r="AD1461" t="s">
        <v>426</v>
      </c>
      <c r="AE1461" t="str">
        <f>IF(AF1461="","",VLOOKUP(AC1461,mapel!$A$2:$B$42,2,FALSE))</f>
        <v/>
      </c>
      <c r="AF1461" t="str">
        <f t="shared" si="66"/>
        <v/>
      </c>
      <c r="AG1461" t="str">
        <f>IF(AF1461="","",IF(AF1461&gt;90,"Sangat baik",IF(AF1461&gt;79,"Baik",IF(AF1461&gt;=pub_gid_0_single_true_output_csv[[#This Row],[KKM]],"Cukup","Kurang"))))</f>
        <v/>
      </c>
      <c r="AH1461" t="str">
        <f t="shared" si="67"/>
        <v/>
      </c>
      <c r="AI1461" s="30" t="str">
        <f>IF(OR(J1461&lt;&gt;"Karakter",pub_gid_0_single_true_output_csv[[#This Row],[Nilai2]]=""),"",IF(AF1461&gt;89,"Sangat baik",IF(AF1461&gt;79,"Baik",IF(AF1461&gt;69,"Cukup",IF(AF1461&gt;59,"Kurang","Sangat kurang")))))</f>
        <v/>
      </c>
      <c r="AJ1461" t="str">
        <f t="shared" si="68"/>
        <v/>
      </c>
      <c r="AK1461" t="str">
        <f>IF(pub_gid_0_single_true_output_csv[[#This Row],[Nilai2]]="","",VLOOKUP(pub_gid_0_single_true_output_csv[[#This Row],[NAMA]],Table7[],3,FALSE))</f>
        <v/>
      </c>
    </row>
    <row r="1462" spans="1:37" x14ac:dyDescent="0.2">
      <c r="A1462">
        <v>1461</v>
      </c>
      <c r="B1462" t="s">
        <v>289</v>
      </c>
      <c r="C1462" t="s">
        <v>54</v>
      </c>
      <c r="D1462" t="s">
        <v>39</v>
      </c>
      <c r="E1462" t="s">
        <v>140</v>
      </c>
      <c r="F1462" s="25">
        <v>46042</v>
      </c>
      <c r="G1462" t="s">
        <v>474</v>
      </c>
      <c r="H1462" t="s">
        <v>405</v>
      </c>
      <c r="I1462" t="s">
        <v>371</v>
      </c>
      <c r="J1462" t="s">
        <v>41</v>
      </c>
      <c r="K1462" t="s">
        <v>272</v>
      </c>
      <c r="L1462" t="s">
        <v>322</v>
      </c>
      <c r="M1462" t="s">
        <v>141</v>
      </c>
      <c r="N1462" t="s">
        <v>142</v>
      </c>
      <c r="O1462" t="s">
        <v>155</v>
      </c>
      <c r="P1462" t="s">
        <v>281</v>
      </c>
      <c r="Q1462" t="s">
        <v>155</v>
      </c>
      <c r="R1462" t="s">
        <v>273</v>
      </c>
      <c r="S1462" t="s">
        <v>309</v>
      </c>
      <c r="T1462">
        <v>1</v>
      </c>
      <c r="U1462" t="s">
        <v>325</v>
      </c>
      <c r="V1462" t="s">
        <v>285</v>
      </c>
      <c r="W1462" t="s">
        <v>326</v>
      </c>
      <c r="X1462" t="s">
        <v>306</v>
      </c>
      <c r="Y1462" t="s">
        <v>307</v>
      </c>
      <c r="Z1462">
        <v>65</v>
      </c>
      <c r="AA1462">
        <v>0</v>
      </c>
      <c r="AB1462" t="s">
        <v>151</v>
      </c>
      <c r="AC1462" t="s">
        <v>51</v>
      </c>
      <c r="AD1462" t="s">
        <v>426</v>
      </c>
      <c r="AE1462" t="str">
        <f>IF(AF1462="","",VLOOKUP(AC1462,mapel!$A$2:$B$42,2,FALSE))</f>
        <v/>
      </c>
      <c r="AF1462" t="str">
        <f t="shared" si="66"/>
        <v/>
      </c>
      <c r="AG1462" t="str">
        <f>IF(AF1462="","",IF(AF1462&gt;90,"Sangat baik",IF(AF1462&gt;79,"Baik",IF(AF1462&gt;=pub_gid_0_single_true_output_csv[[#This Row],[KKM]],"Cukup","Kurang"))))</f>
        <v/>
      </c>
      <c r="AH1462" t="str">
        <f t="shared" si="67"/>
        <v/>
      </c>
      <c r="AI1462" s="30" t="str">
        <f>IF(OR(J1462&lt;&gt;"Karakter",pub_gid_0_single_true_output_csv[[#This Row],[Nilai2]]=""),"",IF(AF1462&gt;89,"Sangat baik",IF(AF1462&gt;79,"Baik",IF(AF1462&gt;69,"Cukup",IF(AF1462&gt;59,"Kurang","Sangat kurang")))))</f>
        <v/>
      </c>
      <c r="AJ1462" t="str">
        <f t="shared" si="68"/>
        <v/>
      </c>
      <c r="AK1462" t="str">
        <f>IF(pub_gid_0_single_true_output_csv[[#This Row],[Nilai2]]="","",VLOOKUP(pub_gid_0_single_true_output_csv[[#This Row],[NAMA]],Table7[],3,FALSE))</f>
        <v/>
      </c>
    </row>
    <row r="1463" spans="1:37" x14ac:dyDescent="0.2">
      <c r="A1463">
        <v>1462</v>
      </c>
      <c r="B1463" t="s">
        <v>289</v>
      </c>
      <c r="C1463" t="s">
        <v>54</v>
      </c>
      <c r="D1463" t="s">
        <v>39</v>
      </c>
      <c r="E1463" t="s">
        <v>140</v>
      </c>
      <c r="F1463" s="25">
        <v>46063</v>
      </c>
      <c r="G1463" t="s">
        <v>374</v>
      </c>
      <c r="H1463" t="s">
        <v>412</v>
      </c>
      <c r="I1463" t="s">
        <v>371</v>
      </c>
      <c r="J1463" t="s">
        <v>41</v>
      </c>
      <c r="K1463" t="s">
        <v>157</v>
      </c>
      <c r="L1463" t="s">
        <v>383</v>
      </c>
      <c r="M1463" t="s">
        <v>141</v>
      </c>
      <c r="N1463" t="s">
        <v>142</v>
      </c>
      <c r="O1463" t="s">
        <v>155</v>
      </c>
      <c r="P1463" t="s">
        <v>281</v>
      </c>
      <c r="Q1463" t="s">
        <v>155</v>
      </c>
      <c r="R1463" t="s">
        <v>273</v>
      </c>
      <c r="S1463" t="s">
        <v>309</v>
      </c>
      <c r="T1463">
        <v>1</v>
      </c>
      <c r="U1463" t="s">
        <v>325</v>
      </c>
      <c r="V1463" t="s">
        <v>285</v>
      </c>
      <c r="W1463" t="s">
        <v>326</v>
      </c>
      <c r="X1463" t="s">
        <v>306</v>
      </c>
      <c r="Y1463" t="s">
        <v>307</v>
      </c>
      <c r="Z1463">
        <v>65</v>
      </c>
      <c r="AA1463">
        <v>0</v>
      </c>
      <c r="AB1463" t="s">
        <v>151</v>
      </c>
      <c r="AC1463" t="s">
        <v>51</v>
      </c>
      <c r="AD1463" t="s">
        <v>426</v>
      </c>
      <c r="AE1463" t="str">
        <f>IF(AF1463="","",VLOOKUP(AC1463,mapel!$A$2:$B$42,2,FALSE))</f>
        <v/>
      </c>
      <c r="AF1463" t="str">
        <f t="shared" si="66"/>
        <v/>
      </c>
      <c r="AG1463" t="str">
        <f>IF(AF1463="","",IF(AF1463&gt;90,"Sangat baik",IF(AF1463&gt;79,"Baik",IF(AF1463&gt;=pub_gid_0_single_true_output_csv[[#This Row],[KKM]],"Cukup","Kurang"))))</f>
        <v/>
      </c>
      <c r="AH1463" t="str">
        <f t="shared" si="67"/>
        <v/>
      </c>
      <c r="AI1463" s="30" t="str">
        <f>IF(OR(J1463&lt;&gt;"Karakter",pub_gid_0_single_true_output_csv[[#This Row],[Nilai2]]=""),"",IF(AF1463&gt;89,"Sangat baik",IF(AF1463&gt;79,"Baik",IF(AF1463&gt;69,"Cukup",IF(AF1463&gt;59,"Kurang","Sangat kurang")))))</f>
        <v/>
      </c>
      <c r="AJ1463" t="str">
        <f t="shared" si="68"/>
        <v/>
      </c>
      <c r="AK1463" t="str">
        <f>IF(pub_gid_0_single_true_output_csv[[#This Row],[Nilai2]]="","",VLOOKUP(pub_gid_0_single_true_output_csv[[#This Row],[NAMA]],Table7[],3,FALSE))</f>
        <v/>
      </c>
    </row>
    <row r="1464" spans="1:37" x14ac:dyDescent="0.2">
      <c r="A1464">
        <v>1463</v>
      </c>
      <c r="B1464" t="s">
        <v>290</v>
      </c>
      <c r="C1464" t="s">
        <v>54</v>
      </c>
      <c r="D1464" t="s">
        <v>42</v>
      </c>
      <c r="E1464" t="s">
        <v>140</v>
      </c>
      <c r="F1464" s="25">
        <v>46028</v>
      </c>
      <c r="G1464" t="s">
        <v>349</v>
      </c>
      <c r="H1464" t="s">
        <v>405</v>
      </c>
      <c r="I1464" t="s">
        <v>371</v>
      </c>
      <c r="J1464" t="s">
        <v>41</v>
      </c>
      <c r="K1464" t="s">
        <v>157</v>
      </c>
      <c r="L1464" t="s">
        <v>324</v>
      </c>
      <c r="M1464" t="s">
        <v>141</v>
      </c>
      <c r="N1464" t="s">
        <v>142</v>
      </c>
      <c r="O1464" t="s">
        <v>155</v>
      </c>
      <c r="P1464" t="s">
        <v>281</v>
      </c>
      <c r="Q1464" t="s">
        <v>155</v>
      </c>
      <c r="R1464" t="s">
        <v>302</v>
      </c>
      <c r="S1464" t="s">
        <v>355</v>
      </c>
      <c r="T1464">
        <v>2</v>
      </c>
      <c r="U1464" t="s">
        <v>384</v>
      </c>
      <c r="V1464" t="s">
        <v>303</v>
      </c>
      <c r="W1464" t="s">
        <v>385</v>
      </c>
      <c r="X1464" t="s">
        <v>306</v>
      </c>
      <c r="Y1464" t="s">
        <v>307</v>
      </c>
      <c r="Z1464">
        <v>65</v>
      </c>
      <c r="AA1464">
        <v>0</v>
      </c>
      <c r="AB1464" t="s">
        <v>151</v>
      </c>
      <c r="AC1464" t="s">
        <v>51</v>
      </c>
      <c r="AD1464" t="s">
        <v>426</v>
      </c>
      <c r="AE1464" t="str">
        <f>IF(AF1464="","",VLOOKUP(AC1464,mapel!$A$2:$B$42,2,FALSE))</f>
        <v/>
      </c>
      <c r="AF1464" t="str">
        <f t="shared" si="66"/>
        <v/>
      </c>
      <c r="AG1464" t="str">
        <f>IF(AF1464="","",IF(AF1464&gt;90,"Sangat baik",IF(AF1464&gt;79,"Baik",IF(AF1464&gt;=pub_gid_0_single_true_output_csv[[#This Row],[KKM]],"Cukup","Kurang"))))</f>
        <v/>
      </c>
      <c r="AH1464" t="str">
        <f t="shared" si="67"/>
        <v/>
      </c>
      <c r="AI1464" s="30" t="str">
        <f>IF(OR(J1464&lt;&gt;"Karakter",pub_gid_0_single_true_output_csv[[#This Row],[Nilai2]]=""),"",IF(AF1464&gt;89,"Sangat baik",IF(AF1464&gt;79,"Baik",IF(AF1464&gt;69,"Cukup",IF(AF1464&gt;59,"Kurang","Sangat kurang")))))</f>
        <v/>
      </c>
      <c r="AJ1464" t="str">
        <f t="shared" si="68"/>
        <v/>
      </c>
      <c r="AK1464" t="str">
        <f>IF(pub_gid_0_single_true_output_csv[[#This Row],[Nilai2]]="","",VLOOKUP(pub_gid_0_single_true_output_csv[[#This Row],[NAMA]],Table7[],3,FALSE))</f>
        <v/>
      </c>
    </row>
    <row r="1465" spans="1:37" x14ac:dyDescent="0.2">
      <c r="A1465">
        <v>1464</v>
      </c>
      <c r="B1465" t="s">
        <v>290</v>
      </c>
      <c r="C1465" t="s">
        <v>54</v>
      </c>
      <c r="D1465" t="s">
        <v>42</v>
      </c>
      <c r="E1465" t="s">
        <v>140</v>
      </c>
      <c r="F1465" s="25">
        <v>46042</v>
      </c>
      <c r="G1465" t="s">
        <v>474</v>
      </c>
      <c r="H1465" t="s">
        <v>405</v>
      </c>
      <c r="I1465" t="s">
        <v>371</v>
      </c>
      <c r="J1465" t="s">
        <v>41</v>
      </c>
      <c r="K1465" t="s">
        <v>272</v>
      </c>
      <c r="L1465" t="s">
        <v>322</v>
      </c>
      <c r="M1465" t="s">
        <v>141</v>
      </c>
      <c r="N1465" t="s">
        <v>142</v>
      </c>
      <c r="O1465" t="s">
        <v>155</v>
      </c>
      <c r="P1465" t="s">
        <v>281</v>
      </c>
      <c r="Q1465" t="s">
        <v>155</v>
      </c>
      <c r="R1465" t="s">
        <v>273</v>
      </c>
      <c r="S1465" t="s">
        <v>309</v>
      </c>
      <c r="T1465">
        <v>1</v>
      </c>
      <c r="U1465" t="s">
        <v>325</v>
      </c>
      <c r="V1465" t="s">
        <v>285</v>
      </c>
      <c r="W1465" t="s">
        <v>326</v>
      </c>
      <c r="X1465" t="s">
        <v>306</v>
      </c>
      <c r="Y1465" t="s">
        <v>307</v>
      </c>
      <c r="Z1465">
        <v>65</v>
      </c>
      <c r="AA1465">
        <v>0</v>
      </c>
      <c r="AB1465" t="s">
        <v>151</v>
      </c>
      <c r="AC1465" t="s">
        <v>51</v>
      </c>
      <c r="AD1465" t="s">
        <v>426</v>
      </c>
      <c r="AE1465" t="str">
        <f>IF(AF1465="","",VLOOKUP(AC1465,mapel!$A$2:$B$42,2,FALSE))</f>
        <v/>
      </c>
      <c r="AF1465" t="str">
        <f t="shared" si="66"/>
        <v/>
      </c>
      <c r="AG1465" t="str">
        <f>IF(AF1465="","",IF(AF1465&gt;90,"Sangat baik",IF(AF1465&gt;79,"Baik",IF(AF1465&gt;=pub_gid_0_single_true_output_csv[[#This Row],[KKM]],"Cukup","Kurang"))))</f>
        <v/>
      </c>
      <c r="AH1465" t="str">
        <f t="shared" si="67"/>
        <v/>
      </c>
      <c r="AI1465" s="30" t="str">
        <f>IF(OR(J1465&lt;&gt;"Karakter",pub_gid_0_single_true_output_csv[[#This Row],[Nilai2]]=""),"",IF(AF1465&gt;89,"Sangat baik",IF(AF1465&gt;79,"Baik",IF(AF1465&gt;69,"Cukup",IF(AF1465&gt;59,"Kurang","Sangat kurang")))))</f>
        <v/>
      </c>
      <c r="AJ1465" t="str">
        <f t="shared" si="68"/>
        <v/>
      </c>
      <c r="AK1465" t="str">
        <f>IF(pub_gid_0_single_true_output_csv[[#This Row],[Nilai2]]="","",VLOOKUP(pub_gid_0_single_true_output_csv[[#This Row],[NAMA]],Table7[],3,FALSE))</f>
        <v/>
      </c>
    </row>
    <row r="1466" spans="1:37" x14ac:dyDescent="0.2">
      <c r="A1466">
        <v>1465</v>
      </c>
      <c r="B1466" t="s">
        <v>290</v>
      </c>
      <c r="C1466" t="s">
        <v>54</v>
      </c>
      <c r="D1466" t="s">
        <v>42</v>
      </c>
      <c r="E1466" t="s">
        <v>140</v>
      </c>
      <c r="F1466" s="25">
        <v>46063</v>
      </c>
      <c r="G1466" t="s">
        <v>374</v>
      </c>
      <c r="H1466" t="s">
        <v>412</v>
      </c>
      <c r="I1466" t="s">
        <v>371</v>
      </c>
      <c r="J1466" t="s">
        <v>41</v>
      </c>
      <c r="K1466" t="s">
        <v>157</v>
      </c>
      <c r="L1466" t="s">
        <v>383</v>
      </c>
      <c r="M1466" t="s">
        <v>141</v>
      </c>
      <c r="N1466" t="s">
        <v>142</v>
      </c>
      <c r="O1466" t="s">
        <v>155</v>
      </c>
      <c r="P1466" t="s">
        <v>281</v>
      </c>
      <c r="Q1466" t="s">
        <v>155</v>
      </c>
      <c r="R1466" t="s">
        <v>273</v>
      </c>
      <c r="S1466" t="s">
        <v>309</v>
      </c>
      <c r="T1466">
        <v>1</v>
      </c>
      <c r="U1466" t="s">
        <v>325</v>
      </c>
      <c r="V1466" t="s">
        <v>285</v>
      </c>
      <c r="W1466" t="s">
        <v>326</v>
      </c>
      <c r="X1466" t="s">
        <v>306</v>
      </c>
      <c r="Y1466" t="s">
        <v>307</v>
      </c>
      <c r="Z1466">
        <v>65</v>
      </c>
      <c r="AA1466">
        <v>0</v>
      </c>
      <c r="AB1466" t="s">
        <v>151</v>
      </c>
      <c r="AC1466" t="s">
        <v>51</v>
      </c>
      <c r="AD1466" t="s">
        <v>426</v>
      </c>
      <c r="AE1466" t="str">
        <f>IF(AF1466="","",VLOOKUP(AC1466,mapel!$A$2:$B$42,2,FALSE))</f>
        <v/>
      </c>
      <c r="AF1466" t="str">
        <f t="shared" si="66"/>
        <v/>
      </c>
      <c r="AG1466" t="str">
        <f>IF(AF1466="","",IF(AF1466&gt;90,"Sangat baik",IF(AF1466&gt;79,"Baik",IF(AF1466&gt;=pub_gid_0_single_true_output_csv[[#This Row],[KKM]],"Cukup","Kurang"))))</f>
        <v/>
      </c>
      <c r="AH1466" t="str">
        <f t="shared" si="67"/>
        <v/>
      </c>
      <c r="AI1466" s="30" t="str">
        <f>IF(OR(J1466&lt;&gt;"Karakter",pub_gid_0_single_true_output_csv[[#This Row],[Nilai2]]=""),"",IF(AF1466&gt;89,"Sangat baik",IF(AF1466&gt;79,"Baik",IF(AF1466&gt;69,"Cukup",IF(AF1466&gt;59,"Kurang","Sangat kurang")))))</f>
        <v/>
      </c>
      <c r="AJ1466" t="str">
        <f t="shared" si="68"/>
        <v/>
      </c>
      <c r="AK1466" t="str">
        <f>IF(pub_gid_0_single_true_output_csv[[#This Row],[Nilai2]]="","",VLOOKUP(pub_gid_0_single_true_output_csv[[#This Row],[NAMA]],Table7[],3,FALSE))</f>
        <v/>
      </c>
    </row>
    <row r="1467" spans="1:37" x14ac:dyDescent="0.2">
      <c r="A1467">
        <v>1466</v>
      </c>
      <c r="B1467" t="s">
        <v>291</v>
      </c>
      <c r="C1467" t="s">
        <v>54</v>
      </c>
      <c r="D1467" t="s">
        <v>43</v>
      </c>
      <c r="E1467" t="s">
        <v>146</v>
      </c>
      <c r="F1467" s="25">
        <v>46028</v>
      </c>
      <c r="G1467" t="s">
        <v>349</v>
      </c>
      <c r="H1467" t="s">
        <v>405</v>
      </c>
      <c r="I1467" t="s">
        <v>371</v>
      </c>
      <c r="J1467" t="s">
        <v>41</v>
      </c>
      <c r="K1467" t="s">
        <v>157</v>
      </c>
      <c r="L1467" t="s">
        <v>324</v>
      </c>
      <c r="M1467" t="s">
        <v>141</v>
      </c>
      <c r="N1467" t="s">
        <v>142</v>
      </c>
      <c r="O1467" t="s">
        <v>155</v>
      </c>
      <c r="P1467" t="s">
        <v>281</v>
      </c>
      <c r="Q1467" t="s">
        <v>155</v>
      </c>
      <c r="R1467" t="s">
        <v>302</v>
      </c>
      <c r="S1467" t="s">
        <v>355</v>
      </c>
      <c r="T1467">
        <v>2</v>
      </c>
      <c r="U1467" t="s">
        <v>384</v>
      </c>
      <c r="V1467" t="s">
        <v>303</v>
      </c>
      <c r="W1467" t="s">
        <v>385</v>
      </c>
      <c r="X1467" t="s">
        <v>306</v>
      </c>
      <c r="Y1467" t="s">
        <v>307</v>
      </c>
      <c r="Z1467">
        <v>65</v>
      </c>
      <c r="AA1467">
        <v>0</v>
      </c>
      <c r="AB1467" t="s">
        <v>151</v>
      </c>
      <c r="AC1467" t="s">
        <v>51</v>
      </c>
      <c r="AD1467" t="s">
        <v>426</v>
      </c>
      <c r="AE1467" t="str">
        <f>IF(AF1467="","",VLOOKUP(AC1467,mapel!$A$2:$B$42,2,FALSE))</f>
        <v/>
      </c>
      <c r="AF1467" t="str">
        <f t="shared" si="66"/>
        <v/>
      </c>
      <c r="AG1467" t="str">
        <f>IF(AF1467="","",IF(AF1467&gt;90,"Sangat baik",IF(AF1467&gt;79,"Baik",IF(AF1467&gt;=pub_gid_0_single_true_output_csv[[#This Row],[KKM]],"Cukup","Kurang"))))</f>
        <v/>
      </c>
      <c r="AH1467" t="str">
        <f t="shared" si="67"/>
        <v/>
      </c>
      <c r="AI1467" s="30" t="str">
        <f>IF(OR(J1467&lt;&gt;"Karakter",pub_gid_0_single_true_output_csv[[#This Row],[Nilai2]]=""),"",IF(AF1467&gt;89,"Sangat baik",IF(AF1467&gt;79,"Baik",IF(AF1467&gt;69,"Cukup",IF(AF1467&gt;59,"Kurang","Sangat kurang")))))</f>
        <v/>
      </c>
      <c r="AJ1467" t="str">
        <f t="shared" si="68"/>
        <v/>
      </c>
      <c r="AK1467" t="str">
        <f>IF(pub_gid_0_single_true_output_csv[[#This Row],[Nilai2]]="","",VLOOKUP(pub_gid_0_single_true_output_csv[[#This Row],[NAMA]],Table7[],3,FALSE))</f>
        <v/>
      </c>
    </row>
    <row r="1468" spans="1:37" x14ac:dyDescent="0.2">
      <c r="A1468">
        <v>1467</v>
      </c>
      <c r="B1468" t="s">
        <v>291</v>
      </c>
      <c r="C1468" t="s">
        <v>54</v>
      </c>
      <c r="D1468" t="s">
        <v>43</v>
      </c>
      <c r="E1468" t="s">
        <v>146</v>
      </c>
      <c r="F1468" s="25">
        <v>46042</v>
      </c>
      <c r="G1468" t="s">
        <v>474</v>
      </c>
      <c r="H1468" t="s">
        <v>405</v>
      </c>
      <c r="I1468" t="s">
        <v>371</v>
      </c>
      <c r="J1468" t="s">
        <v>41</v>
      </c>
      <c r="K1468" t="s">
        <v>272</v>
      </c>
      <c r="L1468" t="s">
        <v>322</v>
      </c>
      <c r="M1468" t="s">
        <v>141</v>
      </c>
      <c r="N1468" t="s">
        <v>142</v>
      </c>
      <c r="O1468" t="s">
        <v>155</v>
      </c>
      <c r="P1468" t="s">
        <v>281</v>
      </c>
      <c r="Q1468" t="s">
        <v>155</v>
      </c>
      <c r="R1468" t="s">
        <v>273</v>
      </c>
      <c r="S1468" t="s">
        <v>309</v>
      </c>
      <c r="T1468">
        <v>1</v>
      </c>
      <c r="U1468" t="s">
        <v>325</v>
      </c>
      <c r="V1468" t="s">
        <v>285</v>
      </c>
      <c r="W1468" t="s">
        <v>326</v>
      </c>
      <c r="X1468" t="s">
        <v>306</v>
      </c>
      <c r="Y1468" t="s">
        <v>307</v>
      </c>
      <c r="Z1468">
        <v>65</v>
      </c>
      <c r="AA1468">
        <v>0</v>
      </c>
      <c r="AB1468" t="s">
        <v>151</v>
      </c>
      <c r="AC1468" t="s">
        <v>51</v>
      </c>
      <c r="AD1468" t="s">
        <v>426</v>
      </c>
      <c r="AE1468" t="str">
        <f>IF(AF1468="","",VLOOKUP(AC1468,mapel!$A$2:$B$42,2,FALSE))</f>
        <v/>
      </c>
      <c r="AF1468" t="str">
        <f t="shared" si="66"/>
        <v/>
      </c>
      <c r="AG1468" t="str">
        <f>IF(AF1468="","",IF(AF1468&gt;90,"Sangat baik",IF(AF1468&gt;79,"Baik",IF(AF1468&gt;=pub_gid_0_single_true_output_csv[[#This Row],[KKM]],"Cukup","Kurang"))))</f>
        <v/>
      </c>
      <c r="AH1468" t="str">
        <f t="shared" si="67"/>
        <v/>
      </c>
      <c r="AI1468" s="30" t="str">
        <f>IF(OR(J1468&lt;&gt;"Karakter",pub_gid_0_single_true_output_csv[[#This Row],[Nilai2]]=""),"",IF(AF1468&gt;89,"Sangat baik",IF(AF1468&gt;79,"Baik",IF(AF1468&gt;69,"Cukup",IF(AF1468&gt;59,"Kurang","Sangat kurang")))))</f>
        <v/>
      </c>
      <c r="AJ1468" t="str">
        <f t="shared" si="68"/>
        <v/>
      </c>
      <c r="AK1468" t="str">
        <f>IF(pub_gid_0_single_true_output_csv[[#This Row],[Nilai2]]="","",VLOOKUP(pub_gid_0_single_true_output_csv[[#This Row],[NAMA]],Table7[],3,FALSE))</f>
        <v/>
      </c>
    </row>
    <row r="1469" spans="1:37" x14ac:dyDescent="0.2">
      <c r="A1469">
        <v>1468</v>
      </c>
      <c r="B1469" t="s">
        <v>291</v>
      </c>
      <c r="C1469" t="s">
        <v>54</v>
      </c>
      <c r="D1469" t="s">
        <v>43</v>
      </c>
      <c r="E1469" t="s">
        <v>146</v>
      </c>
      <c r="F1469" s="25">
        <v>46063</v>
      </c>
      <c r="G1469" t="s">
        <v>374</v>
      </c>
      <c r="H1469" t="s">
        <v>412</v>
      </c>
      <c r="I1469" t="s">
        <v>371</v>
      </c>
      <c r="J1469" t="s">
        <v>41</v>
      </c>
      <c r="K1469" t="s">
        <v>157</v>
      </c>
      <c r="L1469" t="s">
        <v>383</v>
      </c>
      <c r="M1469" t="s">
        <v>141</v>
      </c>
      <c r="N1469" t="s">
        <v>142</v>
      </c>
      <c r="O1469" t="s">
        <v>155</v>
      </c>
      <c r="P1469" t="s">
        <v>281</v>
      </c>
      <c r="Q1469" t="s">
        <v>155</v>
      </c>
      <c r="R1469" t="s">
        <v>273</v>
      </c>
      <c r="S1469" t="s">
        <v>309</v>
      </c>
      <c r="T1469">
        <v>1</v>
      </c>
      <c r="U1469" t="s">
        <v>325</v>
      </c>
      <c r="V1469" t="s">
        <v>285</v>
      </c>
      <c r="W1469" t="s">
        <v>326</v>
      </c>
      <c r="X1469" t="s">
        <v>306</v>
      </c>
      <c r="Y1469" t="s">
        <v>307</v>
      </c>
      <c r="Z1469">
        <v>65</v>
      </c>
      <c r="AA1469">
        <v>0</v>
      </c>
      <c r="AB1469" t="s">
        <v>151</v>
      </c>
      <c r="AC1469" t="s">
        <v>51</v>
      </c>
      <c r="AD1469" t="s">
        <v>426</v>
      </c>
      <c r="AE1469" t="str">
        <f>IF(AF1469="","",VLOOKUP(AC1469,mapel!$A$2:$B$42,2,FALSE))</f>
        <v/>
      </c>
      <c r="AF1469" t="str">
        <f t="shared" si="66"/>
        <v/>
      </c>
      <c r="AG1469" t="str">
        <f>IF(AF1469="","",IF(AF1469&gt;90,"Sangat baik",IF(AF1469&gt;79,"Baik",IF(AF1469&gt;=pub_gid_0_single_true_output_csv[[#This Row],[KKM]],"Cukup","Kurang"))))</f>
        <v/>
      </c>
      <c r="AH1469" t="str">
        <f t="shared" si="67"/>
        <v/>
      </c>
      <c r="AI1469" s="30" t="str">
        <f>IF(OR(J1469&lt;&gt;"Karakter",pub_gid_0_single_true_output_csv[[#This Row],[Nilai2]]=""),"",IF(AF1469&gt;89,"Sangat baik",IF(AF1469&gt;79,"Baik",IF(AF1469&gt;69,"Cukup",IF(AF1469&gt;59,"Kurang","Sangat kurang")))))</f>
        <v/>
      </c>
      <c r="AJ1469" t="str">
        <f t="shared" si="68"/>
        <v/>
      </c>
      <c r="AK1469" t="str">
        <f>IF(pub_gid_0_single_true_output_csv[[#This Row],[Nilai2]]="","",VLOOKUP(pub_gid_0_single_true_output_csv[[#This Row],[NAMA]],Table7[],3,FALSE))</f>
        <v/>
      </c>
    </row>
    <row r="1470" spans="1:37" x14ac:dyDescent="0.2">
      <c r="A1470">
        <v>1469</v>
      </c>
      <c r="B1470" t="s">
        <v>282</v>
      </c>
      <c r="C1470" t="s">
        <v>54</v>
      </c>
      <c r="D1470" t="s">
        <v>283</v>
      </c>
      <c r="E1470" t="s">
        <v>140</v>
      </c>
      <c r="F1470" s="25">
        <v>46028</v>
      </c>
      <c r="G1470" t="s">
        <v>349</v>
      </c>
      <c r="H1470" t="s">
        <v>405</v>
      </c>
      <c r="I1470" t="s">
        <v>371</v>
      </c>
      <c r="J1470" t="s">
        <v>41</v>
      </c>
      <c r="K1470" t="s">
        <v>157</v>
      </c>
      <c r="L1470" t="s">
        <v>324</v>
      </c>
      <c r="M1470" t="s">
        <v>141</v>
      </c>
      <c r="N1470" t="s">
        <v>142</v>
      </c>
      <c r="O1470" t="s">
        <v>155</v>
      </c>
      <c r="P1470" t="s">
        <v>281</v>
      </c>
      <c r="Q1470" t="s">
        <v>155</v>
      </c>
      <c r="R1470" t="s">
        <v>302</v>
      </c>
      <c r="S1470" t="s">
        <v>355</v>
      </c>
      <c r="T1470">
        <v>2</v>
      </c>
      <c r="U1470" t="s">
        <v>384</v>
      </c>
      <c r="V1470" t="s">
        <v>303</v>
      </c>
      <c r="W1470" t="s">
        <v>385</v>
      </c>
      <c r="X1470" t="s">
        <v>306</v>
      </c>
      <c r="Y1470" t="s">
        <v>307</v>
      </c>
      <c r="Z1470">
        <v>65</v>
      </c>
      <c r="AA1470">
        <v>65</v>
      </c>
      <c r="AB1470" t="s">
        <v>143</v>
      </c>
      <c r="AC1470" t="s">
        <v>51</v>
      </c>
      <c r="AD1470" t="s">
        <v>426</v>
      </c>
      <c r="AE1470" t="str">
        <f>IF(AF1470="","",VLOOKUP(AC1470,mapel!$A$2:$B$42,2,FALSE))</f>
        <v>Kopi</v>
      </c>
      <c r="AF1470">
        <f t="shared" si="66"/>
        <v>65</v>
      </c>
      <c r="AG1470" t="str">
        <f>IF(AF1470="","",IF(AF1470&gt;90,"Sangat baik",IF(AF1470&gt;79,"Baik",IF(AF1470&gt;=pub_gid_0_single_true_output_csv[[#This Row],[KKM]],"Cukup","Kurang"))))</f>
        <v>Cukup</v>
      </c>
      <c r="AH1470">
        <f t="shared" si="67"/>
        <v>11</v>
      </c>
      <c r="AI1470" s="30" t="str">
        <f>IF(OR(J1470&lt;&gt;"Karakter",pub_gid_0_single_true_output_csv[[#This Row],[Nilai2]]=""),"",IF(AF1470&gt;89,"Sangat baik",IF(AF1470&gt;79,"Baik",IF(AF1470&gt;69,"Cukup",IF(AF1470&gt;59,"Kurang","Sangat kurang")))))</f>
        <v/>
      </c>
      <c r="AJ1470" t="str">
        <f t="shared" si="68"/>
        <v>Wk.2</v>
      </c>
      <c r="AK1470" t="e">
        <f>IF(pub_gid_0_single_true_output_csv[[#This Row],[Nilai2]]="","",VLOOKUP(pub_gid_0_single_true_output_csv[[#This Row],[NAMA]],Table7[],3,FALSE))</f>
        <v>#N/A</v>
      </c>
    </row>
    <row r="1471" spans="1:37" x14ac:dyDescent="0.2">
      <c r="A1471">
        <v>1470</v>
      </c>
      <c r="B1471" t="s">
        <v>282</v>
      </c>
      <c r="C1471" t="s">
        <v>54</v>
      </c>
      <c r="D1471" t="s">
        <v>283</v>
      </c>
      <c r="E1471" t="s">
        <v>140</v>
      </c>
      <c r="F1471" s="25">
        <v>46042</v>
      </c>
      <c r="G1471" t="s">
        <v>474</v>
      </c>
      <c r="H1471" t="s">
        <v>405</v>
      </c>
      <c r="I1471" t="s">
        <v>371</v>
      </c>
      <c r="J1471" t="s">
        <v>41</v>
      </c>
      <c r="K1471" t="s">
        <v>272</v>
      </c>
      <c r="L1471" t="s">
        <v>322</v>
      </c>
      <c r="M1471" t="s">
        <v>141</v>
      </c>
      <c r="N1471" t="s">
        <v>142</v>
      </c>
      <c r="O1471" t="s">
        <v>155</v>
      </c>
      <c r="P1471" t="s">
        <v>281</v>
      </c>
      <c r="Q1471" t="s">
        <v>155</v>
      </c>
      <c r="R1471" t="s">
        <v>273</v>
      </c>
      <c r="S1471" t="s">
        <v>309</v>
      </c>
      <c r="T1471">
        <v>1</v>
      </c>
      <c r="U1471" t="s">
        <v>325</v>
      </c>
      <c r="V1471" t="s">
        <v>285</v>
      </c>
      <c r="W1471" t="s">
        <v>326</v>
      </c>
      <c r="X1471" t="s">
        <v>306</v>
      </c>
      <c r="Y1471" t="s">
        <v>307</v>
      </c>
      <c r="Z1471">
        <v>65</v>
      </c>
      <c r="AA1471">
        <v>74</v>
      </c>
      <c r="AB1471" t="s">
        <v>143</v>
      </c>
      <c r="AC1471" t="s">
        <v>51</v>
      </c>
      <c r="AD1471" t="s">
        <v>426</v>
      </c>
      <c r="AE1471" t="str">
        <f>IF(AF1471="","",VLOOKUP(AC1471,mapel!$A$2:$B$42,2,FALSE))</f>
        <v>Kopi</v>
      </c>
      <c r="AF1471">
        <f t="shared" si="66"/>
        <v>74</v>
      </c>
      <c r="AG1471" t="str">
        <f>IF(AF1471="","",IF(AF1471&gt;90,"Sangat baik",IF(AF1471&gt;79,"Baik",IF(AF1471&gt;=pub_gid_0_single_true_output_csv[[#This Row],[KKM]],"Cukup","Kurang"))))</f>
        <v>Cukup</v>
      </c>
      <c r="AH1471">
        <f t="shared" si="67"/>
        <v>11</v>
      </c>
      <c r="AI1471" s="30" t="str">
        <f>IF(OR(J1471&lt;&gt;"Karakter",pub_gid_0_single_true_output_csv[[#This Row],[Nilai2]]=""),"",IF(AF1471&gt;89,"Sangat baik",IF(AF1471&gt;79,"Baik",IF(AF1471&gt;69,"Cukup",IF(AF1471&gt;59,"Kurang","Sangat kurang")))))</f>
        <v/>
      </c>
      <c r="AJ1471" t="str">
        <f t="shared" si="68"/>
        <v>Wk.4</v>
      </c>
      <c r="AK1471" t="e">
        <f>IF(pub_gid_0_single_true_output_csv[[#This Row],[Nilai2]]="","",VLOOKUP(pub_gid_0_single_true_output_csv[[#This Row],[NAMA]],Table7[],3,FALSE))</f>
        <v>#N/A</v>
      </c>
    </row>
    <row r="1472" spans="1:37" x14ac:dyDescent="0.2">
      <c r="A1472">
        <v>1471</v>
      </c>
      <c r="B1472" t="s">
        <v>282</v>
      </c>
      <c r="C1472" t="s">
        <v>54</v>
      </c>
      <c r="D1472" t="s">
        <v>283</v>
      </c>
      <c r="E1472" t="s">
        <v>140</v>
      </c>
      <c r="F1472" s="25">
        <v>46063</v>
      </c>
      <c r="G1472" t="s">
        <v>374</v>
      </c>
      <c r="H1472" t="s">
        <v>412</v>
      </c>
      <c r="I1472" t="s">
        <v>371</v>
      </c>
      <c r="J1472" t="s">
        <v>41</v>
      </c>
      <c r="K1472" t="s">
        <v>157</v>
      </c>
      <c r="L1472" t="s">
        <v>383</v>
      </c>
      <c r="M1472" t="s">
        <v>141</v>
      </c>
      <c r="N1472" t="s">
        <v>142</v>
      </c>
      <c r="O1472" t="s">
        <v>155</v>
      </c>
      <c r="P1472" t="s">
        <v>281</v>
      </c>
      <c r="Q1472" t="s">
        <v>155</v>
      </c>
      <c r="R1472" t="s">
        <v>273</v>
      </c>
      <c r="S1472" t="s">
        <v>309</v>
      </c>
      <c r="T1472">
        <v>1</v>
      </c>
      <c r="U1472" t="s">
        <v>325</v>
      </c>
      <c r="V1472" t="s">
        <v>285</v>
      </c>
      <c r="W1472" t="s">
        <v>326</v>
      </c>
      <c r="X1472" t="s">
        <v>306</v>
      </c>
      <c r="Y1472" t="s">
        <v>307</v>
      </c>
      <c r="Z1472">
        <v>65</v>
      </c>
      <c r="AA1472">
        <v>0</v>
      </c>
      <c r="AB1472" t="s">
        <v>151</v>
      </c>
      <c r="AC1472" t="s">
        <v>51</v>
      </c>
      <c r="AD1472" t="s">
        <v>426</v>
      </c>
      <c r="AE1472" t="str">
        <f>IF(AF1472="","",VLOOKUP(AC1472,mapel!$A$2:$B$42,2,FALSE))</f>
        <v/>
      </c>
      <c r="AF1472" t="str">
        <f t="shared" si="66"/>
        <v/>
      </c>
      <c r="AG1472" t="str">
        <f>IF(AF1472="","",IF(AF1472&gt;90,"Sangat baik",IF(AF1472&gt;79,"Baik",IF(AF1472&gt;=pub_gid_0_single_true_output_csv[[#This Row],[KKM]],"Cukup","Kurang"))))</f>
        <v/>
      </c>
      <c r="AH1472" t="str">
        <f t="shared" si="67"/>
        <v/>
      </c>
      <c r="AI1472" s="30" t="str">
        <f>IF(OR(J1472&lt;&gt;"Karakter",pub_gid_0_single_true_output_csv[[#This Row],[Nilai2]]=""),"",IF(AF1472&gt;89,"Sangat baik",IF(AF1472&gt;79,"Baik",IF(AF1472&gt;69,"Cukup",IF(AF1472&gt;59,"Kurang","Sangat kurang")))))</f>
        <v/>
      </c>
      <c r="AJ1472" t="str">
        <f t="shared" si="68"/>
        <v/>
      </c>
      <c r="AK1472" t="str">
        <f>IF(pub_gid_0_single_true_output_csv[[#This Row],[Nilai2]]="","",VLOOKUP(pub_gid_0_single_true_output_csv[[#This Row],[NAMA]],Table7[],3,FALSE))</f>
        <v/>
      </c>
    </row>
    <row r="1473" spans="1:37" x14ac:dyDescent="0.2">
      <c r="A1473">
        <v>1472</v>
      </c>
      <c r="B1473" t="s">
        <v>292</v>
      </c>
      <c r="C1473" t="s">
        <v>54</v>
      </c>
      <c r="D1473" t="s">
        <v>94</v>
      </c>
      <c r="E1473" t="s">
        <v>147</v>
      </c>
      <c r="F1473" s="25">
        <v>46028</v>
      </c>
      <c r="G1473" t="s">
        <v>349</v>
      </c>
      <c r="H1473" t="s">
        <v>405</v>
      </c>
      <c r="I1473" t="s">
        <v>371</v>
      </c>
      <c r="J1473" t="s">
        <v>41</v>
      </c>
      <c r="K1473" t="s">
        <v>157</v>
      </c>
      <c r="L1473" t="s">
        <v>324</v>
      </c>
      <c r="M1473" t="s">
        <v>141</v>
      </c>
      <c r="N1473" t="s">
        <v>142</v>
      </c>
      <c r="O1473" t="s">
        <v>155</v>
      </c>
      <c r="P1473" t="s">
        <v>281</v>
      </c>
      <c r="Q1473" t="s">
        <v>155</v>
      </c>
      <c r="R1473" t="s">
        <v>302</v>
      </c>
      <c r="S1473" t="s">
        <v>355</v>
      </c>
      <c r="T1473">
        <v>2</v>
      </c>
      <c r="U1473" t="s">
        <v>384</v>
      </c>
      <c r="V1473" t="s">
        <v>303</v>
      </c>
      <c r="W1473" t="s">
        <v>385</v>
      </c>
      <c r="X1473" t="s">
        <v>306</v>
      </c>
      <c r="Y1473" t="s">
        <v>307</v>
      </c>
      <c r="Z1473">
        <v>65</v>
      </c>
      <c r="AA1473">
        <v>0</v>
      </c>
      <c r="AB1473" t="s">
        <v>151</v>
      </c>
      <c r="AC1473" t="s">
        <v>51</v>
      </c>
      <c r="AD1473" t="s">
        <v>426</v>
      </c>
      <c r="AE1473" t="str">
        <f>IF(AF1473="","",VLOOKUP(AC1473,mapel!$A$2:$B$42,2,FALSE))</f>
        <v/>
      </c>
      <c r="AF1473" t="str">
        <f t="shared" si="66"/>
        <v/>
      </c>
      <c r="AG1473" t="str">
        <f>IF(AF1473="","",IF(AF1473&gt;90,"Sangat baik",IF(AF1473&gt;79,"Baik",IF(AF1473&gt;=pub_gid_0_single_true_output_csv[[#This Row],[KKM]],"Cukup","Kurang"))))</f>
        <v/>
      </c>
      <c r="AH1473" t="str">
        <f t="shared" si="67"/>
        <v/>
      </c>
      <c r="AI1473" s="30" t="str">
        <f>IF(OR(J1473&lt;&gt;"Karakter",pub_gid_0_single_true_output_csv[[#This Row],[Nilai2]]=""),"",IF(AF1473&gt;89,"Sangat baik",IF(AF1473&gt;79,"Baik",IF(AF1473&gt;69,"Cukup",IF(AF1473&gt;59,"Kurang","Sangat kurang")))))</f>
        <v/>
      </c>
      <c r="AJ1473" t="str">
        <f t="shared" si="68"/>
        <v/>
      </c>
      <c r="AK1473" t="str">
        <f>IF(pub_gid_0_single_true_output_csv[[#This Row],[Nilai2]]="","",VLOOKUP(pub_gid_0_single_true_output_csv[[#This Row],[NAMA]],Table7[],3,FALSE))</f>
        <v/>
      </c>
    </row>
    <row r="1474" spans="1:37" x14ac:dyDescent="0.2">
      <c r="A1474">
        <v>1473</v>
      </c>
      <c r="B1474" t="s">
        <v>292</v>
      </c>
      <c r="C1474" t="s">
        <v>54</v>
      </c>
      <c r="D1474" t="s">
        <v>94</v>
      </c>
      <c r="E1474" t="s">
        <v>147</v>
      </c>
      <c r="F1474" s="25">
        <v>46042</v>
      </c>
      <c r="G1474" t="s">
        <v>474</v>
      </c>
      <c r="H1474" t="s">
        <v>405</v>
      </c>
      <c r="I1474" t="s">
        <v>371</v>
      </c>
      <c r="J1474" t="s">
        <v>41</v>
      </c>
      <c r="K1474" t="s">
        <v>272</v>
      </c>
      <c r="L1474" t="s">
        <v>322</v>
      </c>
      <c r="M1474" t="s">
        <v>141</v>
      </c>
      <c r="N1474" t="s">
        <v>142</v>
      </c>
      <c r="O1474" t="s">
        <v>155</v>
      </c>
      <c r="P1474" t="s">
        <v>281</v>
      </c>
      <c r="Q1474" t="s">
        <v>155</v>
      </c>
      <c r="R1474" t="s">
        <v>273</v>
      </c>
      <c r="S1474" t="s">
        <v>309</v>
      </c>
      <c r="T1474">
        <v>1</v>
      </c>
      <c r="U1474" t="s">
        <v>325</v>
      </c>
      <c r="V1474" t="s">
        <v>285</v>
      </c>
      <c r="W1474" t="s">
        <v>326</v>
      </c>
      <c r="X1474" t="s">
        <v>306</v>
      </c>
      <c r="Y1474" t="s">
        <v>307</v>
      </c>
      <c r="Z1474">
        <v>65</v>
      </c>
      <c r="AA1474">
        <v>0</v>
      </c>
      <c r="AB1474" t="s">
        <v>151</v>
      </c>
      <c r="AC1474" t="s">
        <v>51</v>
      </c>
      <c r="AD1474" t="s">
        <v>426</v>
      </c>
      <c r="AE1474" t="str">
        <f>IF(AF1474="","",VLOOKUP(AC1474,mapel!$A$2:$B$42,2,FALSE))</f>
        <v/>
      </c>
      <c r="AF1474" t="str">
        <f t="shared" ref="AF1474:AF1537" si="69">IF(AA1474=0, "",IF(AA1474 = 0.1, 0,AA1474))</f>
        <v/>
      </c>
      <c r="AG1474" t="str">
        <f>IF(AF1474="","",IF(AF1474&gt;90,"Sangat baik",IF(AF1474&gt;79,"Baik",IF(AF1474&gt;=pub_gid_0_single_true_output_csv[[#This Row],[KKM]],"Cukup","Kurang"))))</f>
        <v/>
      </c>
      <c r="AH1474" t="str">
        <f t="shared" ref="AH1474:AH1537" si="70">IF(AG1474="","",VALUE(RIGHT(X1474,2)))</f>
        <v/>
      </c>
      <c r="AI1474" s="30" t="str">
        <f>IF(OR(J1474&lt;&gt;"Karakter",pub_gid_0_single_true_output_csv[[#This Row],[Nilai2]]=""),"",IF(AF1474&gt;89,"Sangat baik",IF(AF1474&gt;79,"Baik",IF(AF1474&gt;69,"Cukup",IF(AF1474&gt;59,"Kurang","Sangat kurang")))))</f>
        <v/>
      </c>
      <c r="AJ1474" t="str">
        <f t="shared" ref="AJ1474:AJ1537" si="71">IF(AF1474="","",CONCATENATE("Wk.",WEEKNUM(F1474,2)))</f>
        <v/>
      </c>
      <c r="AK1474" t="str">
        <f>IF(pub_gid_0_single_true_output_csv[[#This Row],[Nilai2]]="","",VLOOKUP(pub_gid_0_single_true_output_csv[[#This Row],[NAMA]],Table7[],3,FALSE))</f>
        <v/>
      </c>
    </row>
    <row r="1475" spans="1:37" x14ac:dyDescent="0.2">
      <c r="A1475">
        <v>1474</v>
      </c>
      <c r="B1475" t="s">
        <v>292</v>
      </c>
      <c r="C1475" t="s">
        <v>54</v>
      </c>
      <c r="D1475" t="s">
        <v>94</v>
      </c>
      <c r="E1475" t="s">
        <v>147</v>
      </c>
      <c r="F1475" s="25">
        <v>46063</v>
      </c>
      <c r="G1475" t="s">
        <v>374</v>
      </c>
      <c r="H1475" t="s">
        <v>412</v>
      </c>
      <c r="I1475" t="s">
        <v>371</v>
      </c>
      <c r="J1475" t="s">
        <v>41</v>
      </c>
      <c r="K1475" t="s">
        <v>157</v>
      </c>
      <c r="L1475" t="s">
        <v>383</v>
      </c>
      <c r="M1475" t="s">
        <v>141</v>
      </c>
      <c r="N1475" t="s">
        <v>142</v>
      </c>
      <c r="O1475" t="s">
        <v>155</v>
      </c>
      <c r="P1475" t="s">
        <v>281</v>
      </c>
      <c r="Q1475" t="s">
        <v>155</v>
      </c>
      <c r="R1475" t="s">
        <v>273</v>
      </c>
      <c r="S1475" t="s">
        <v>309</v>
      </c>
      <c r="T1475">
        <v>1</v>
      </c>
      <c r="U1475" t="s">
        <v>325</v>
      </c>
      <c r="V1475" t="s">
        <v>285</v>
      </c>
      <c r="W1475" t="s">
        <v>326</v>
      </c>
      <c r="X1475" t="s">
        <v>306</v>
      </c>
      <c r="Y1475" t="s">
        <v>307</v>
      </c>
      <c r="Z1475">
        <v>65</v>
      </c>
      <c r="AA1475">
        <v>0</v>
      </c>
      <c r="AB1475" t="s">
        <v>151</v>
      </c>
      <c r="AC1475" t="s">
        <v>51</v>
      </c>
      <c r="AD1475" t="s">
        <v>426</v>
      </c>
      <c r="AE1475" t="str">
        <f>IF(AF1475="","",VLOOKUP(AC1475,mapel!$A$2:$B$42,2,FALSE))</f>
        <v/>
      </c>
      <c r="AF1475" t="str">
        <f t="shared" si="69"/>
        <v/>
      </c>
      <c r="AG1475" t="str">
        <f>IF(AF1475="","",IF(AF1475&gt;90,"Sangat baik",IF(AF1475&gt;79,"Baik",IF(AF1475&gt;=pub_gid_0_single_true_output_csv[[#This Row],[KKM]],"Cukup","Kurang"))))</f>
        <v/>
      </c>
      <c r="AH1475" t="str">
        <f t="shared" si="70"/>
        <v/>
      </c>
      <c r="AI1475" s="30" t="str">
        <f>IF(OR(J1475&lt;&gt;"Karakter",pub_gid_0_single_true_output_csv[[#This Row],[Nilai2]]=""),"",IF(AF1475&gt;89,"Sangat baik",IF(AF1475&gt;79,"Baik",IF(AF1475&gt;69,"Cukup",IF(AF1475&gt;59,"Kurang","Sangat kurang")))))</f>
        <v/>
      </c>
      <c r="AJ1475" t="str">
        <f t="shared" si="71"/>
        <v/>
      </c>
      <c r="AK1475" t="str">
        <f>IF(pub_gid_0_single_true_output_csv[[#This Row],[Nilai2]]="","",VLOOKUP(pub_gid_0_single_true_output_csv[[#This Row],[NAMA]],Table7[],3,FALSE))</f>
        <v/>
      </c>
    </row>
    <row r="1476" spans="1:37" x14ac:dyDescent="0.2">
      <c r="A1476">
        <v>1475</v>
      </c>
      <c r="B1476" t="s">
        <v>286</v>
      </c>
      <c r="C1476" t="s">
        <v>54</v>
      </c>
      <c r="D1476" t="s">
        <v>33</v>
      </c>
      <c r="E1476" t="s">
        <v>140</v>
      </c>
      <c r="F1476" s="25">
        <v>46028</v>
      </c>
      <c r="G1476" t="s">
        <v>349</v>
      </c>
      <c r="H1476" t="s">
        <v>405</v>
      </c>
      <c r="I1476" t="s">
        <v>371</v>
      </c>
      <c r="J1476" t="s">
        <v>41</v>
      </c>
      <c r="K1476" t="s">
        <v>157</v>
      </c>
      <c r="L1476" t="s">
        <v>324</v>
      </c>
      <c r="M1476" t="s">
        <v>141</v>
      </c>
      <c r="N1476" t="s">
        <v>142</v>
      </c>
      <c r="O1476" t="s">
        <v>155</v>
      </c>
      <c r="P1476" t="s">
        <v>281</v>
      </c>
      <c r="Q1476" t="s">
        <v>155</v>
      </c>
      <c r="R1476" t="s">
        <v>302</v>
      </c>
      <c r="S1476" t="s">
        <v>355</v>
      </c>
      <c r="T1476">
        <v>2</v>
      </c>
      <c r="U1476" t="s">
        <v>384</v>
      </c>
      <c r="V1476" t="s">
        <v>303</v>
      </c>
      <c r="W1476" t="s">
        <v>385</v>
      </c>
      <c r="X1476" t="s">
        <v>306</v>
      </c>
      <c r="Y1476" t="s">
        <v>307</v>
      </c>
      <c r="Z1476">
        <v>65</v>
      </c>
      <c r="AA1476">
        <v>65</v>
      </c>
      <c r="AB1476" t="s">
        <v>143</v>
      </c>
      <c r="AC1476" t="s">
        <v>51</v>
      </c>
      <c r="AD1476" t="s">
        <v>426</v>
      </c>
      <c r="AE1476" t="str">
        <f>IF(AF1476="","",VLOOKUP(AC1476,mapel!$A$2:$B$42,2,FALSE))</f>
        <v>Kopi</v>
      </c>
      <c r="AF1476">
        <f t="shared" si="69"/>
        <v>65</v>
      </c>
      <c r="AG1476" t="str">
        <f>IF(AF1476="","",IF(AF1476&gt;90,"Sangat baik",IF(AF1476&gt;79,"Baik",IF(AF1476&gt;=pub_gid_0_single_true_output_csv[[#This Row],[KKM]],"Cukup","Kurang"))))</f>
        <v>Cukup</v>
      </c>
      <c r="AH1476">
        <f t="shared" si="70"/>
        <v>11</v>
      </c>
      <c r="AI1476" s="30" t="str">
        <f>IF(OR(J1476&lt;&gt;"Karakter",pub_gid_0_single_true_output_csv[[#This Row],[Nilai2]]=""),"",IF(AF1476&gt;89,"Sangat baik",IF(AF1476&gt;79,"Baik",IF(AF1476&gt;69,"Cukup",IF(AF1476&gt;59,"Kurang","Sangat kurang")))))</f>
        <v/>
      </c>
      <c r="AJ1476" t="str">
        <f t="shared" si="71"/>
        <v>Wk.2</v>
      </c>
      <c r="AK1476" t="str">
        <f>IF(pub_gid_0_single_true_output_csv[[#This Row],[Nilai2]]="","",VLOOKUP(pub_gid_0_single_true_output_csv[[#This Row],[NAMA]],Table7[],3,FALSE))</f>
        <v>Extremely low</v>
      </c>
    </row>
    <row r="1477" spans="1:37" x14ac:dyDescent="0.2">
      <c r="A1477">
        <v>1476</v>
      </c>
      <c r="B1477" t="s">
        <v>286</v>
      </c>
      <c r="C1477" t="s">
        <v>54</v>
      </c>
      <c r="D1477" t="s">
        <v>33</v>
      </c>
      <c r="E1477" t="s">
        <v>140</v>
      </c>
      <c r="F1477" s="25">
        <v>46042</v>
      </c>
      <c r="G1477" t="s">
        <v>474</v>
      </c>
      <c r="H1477" t="s">
        <v>405</v>
      </c>
      <c r="I1477" t="s">
        <v>371</v>
      </c>
      <c r="J1477" t="s">
        <v>41</v>
      </c>
      <c r="K1477" t="s">
        <v>272</v>
      </c>
      <c r="L1477" t="s">
        <v>322</v>
      </c>
      <c r="M1477" t="s">
        <v>141</v>
      </c>
      <c r="N1477" t="s">
        <v>142</v>
      </c>
      <c r="O1477" t="s">
        <v>155</v>
      </c>
      <c r="P1477" t="s">
        <v>281</v>
      </c>
      <c r="Q1477" t="s">
        <v>155</v>
      </c>
      <c r="R1477" t="s">
        <v>273</v>
      </c>
      <c r="S1477" t="s">
        <v>309</v>
      </c>
      <c r="T1477">
        <v>1</v>
      </c>
      <c r="U1477" t="s">
        <v>325</v>
      </c>
      <c r="V1477" t="s">
        <v>285</v>
      </c>
      <c r="W1477" t="s">
        <v>326</v>
      </c>
      <c r="X1477" t="s">
        <v>306</v>
      </c>
      <c r="Y1477" t="s">
        <v>307</v>
      </c>
      <c r="Z1477">
        <v>65</v>
      </c>
      <c r="AA1477">
        <v>80</v>
      </c>
      <c r="AB1477" t="s">
        <v>143</v>
      </c>
      <c r="AC1477" t="s">
        <v>51</v>
      </c>
      <c r="AD1477" t="s">
        <v>426</v>
      </c>
      <c r="AE1477" t="str">
        <f>IF(AF1477="","",VLOOKUP(AC1477,mapel!$A$2:$B$42,2,FALSE))</f>
        <v>Kopi</v>
      </c>
      <c r="AF1477">
        <f t="shared" si="69"/>
        <v>80</v>
      </c>
      <c r="AG1477" t="str">
        <f>IF(AF1477="","",IF(AF1477&gt;90,"Sangat baik",IF(AF1477&gt;79,"Baik",IF(AF1477&gt;=pub_gid_0_single_true_output_csv[[#This Row],[KKM]],"Cukup","Kurang"))))</f>
        <v>Baik</v>
      </c>
      <c r="AH1477">
        <f t="shared" si="70"/>
        <v>11</v>
      </c>
      <c r="AI1477" s="30" t="str">
        <f>IF(OR(J1477&lt;&gt;"Karakter",pub_gid_0_single_true_output_csv[[#This Row],[Nilai2]]=""),"",IF(AF1477&gt;89,"Sangat baik",IF(AF1477&gt;79,"Baik",IF(AF1477&gt;69,"Cukup",IF(AF1477&gt;59,"Kurang","Sangat kurang")))))</f>
        <v/>
      </c>
      <c r="AJ1477" t="str">
        <f t="shared" si="71"/>
        <v>Wk.4</v>
      </c>
      <c r="AK1477" t="str">
        <f>IF(pub_gid_0_single_true_output_csv[[#This Row],[Nilai2]]="","",VLOOKUP(pub_gid_0_single_true_output_csv[[#This Row],[NAMA]],Table7[],3,FALSE))</f>
        <v>Extremely low</v>
      </c>
    </row>
    <row r="1478" spans="1:37" x14ac:dyDescent="0.2">
      <c r="A1478">
        <v>1477</v>
      </c>
      <c r="B1478" t="s">
        <v>286</v>
      </c>
      <c r="C1478" t="s">
        <v>54</v>
      </c>
      <c r="D1478" t="s">
        <v>33</v>
      </c>
      <c r="E1478" t="s">
        <v>140</v>
      </c>
      <c r="F1478" s="25">
        <v>46063</v>
      </c>
      <c r="G1478" t="s">
        <v>374</v>
      </c>
      <c r="H1478" t="s">
        <v>412</v>
      </c>
      <c r="I1478" t="s">
        <v>371</v>
      </c>
      <c r="J1478" t="s">
        <v>41</v>
      </c>
      <c r="K1478" t="s">
        <v>157</v>
      </c>
      <c r="L1478" t="s">
        <v>383</v>
      </c>
      <c r="M1478" t="s">
        <v>141</v>
      </c>
      <c r="N1478" t="s">
        <v>142</v>
      </c>
      <c r="O1478" t="s">
        <v>155</v>
      </c>
      <c r="P1478" t="s">
        <v>281</v>
      </c>
      <c r="Q1478" t="s">
        <v>155</v>
      </c>
      <c r="R1478" t="s">
        <v>273</v>
      </c>
      <c r="S1478" t="s">
        <v>309</v>
      </c>
      <c r="T1478">
        <v>1</v>
      </c>
      <c r="U1478" t="s">
        <v>325</v>
      </c>
      <c r="V1478" t="s">
        <v>285</v>
      </c>
      <c r="W1478" t="s">
        <v>326</v>
      </c>
      <c r="X1478" t="s">
        <v>306</v>
      </c>
      <c r="Y1478" t="s">
        <v>307</v>
      </c>
      <c r="Z1478">
        <v>65</v>
      </c>
      <c r="AA1478">
        <v>80</v>
      </c>
      <c r="AB1478" t="s">
        <v>143</v>
      </c>
      <c r="AC1478" t="s">
        <v>51</v>
      </c>
      <c r="AD1478" t="s">
        <v>426</v>
      </c>
      <c r="AE1478" t="str">
        <f>IF(AF1478="","",VLOOKUP(AC1478,mapel!$A$2:$B$42,2,FALSE))</f>
        <v>Kopi</v>
      </c>
      <c r="AF1478">
        <f t="shared" si="69"/>
        <v>80</v>
      </c>
      <c r="AG1478" t="str">
        <f>IF(AF1478="","",IF(AF1478&gt;90,"Sangat baik",IF(AF1478&gt;79,"Baik",IF(AF1478&gt;=pub_gid_0_single_true_output_csv[[#This Row],[KKM]],"Cukup","Kurang"))))</f>
        <v>Baik</v>
      </c>
      <c r="AH1478">
        <f t="shared" si="70"/>
        <v>11</v>
      </c>
      <c r="AI1478" s="30" t="str">
        <f>IF(OR(J1478&lt;&gt;"Karakter",pub_gid_0_single_true_output_csv[[#This Row],[Nilai2]]=""),"",IF(AF1478&gt;89,"Sangat baik",IF(AF1478&gt;79,"Baik",IF(AF1478&gt;69,"Cukup",IF(AF1478&gt;59,"Kurang","Sangat kurang")))))</f>
        <v/>
      </c>
      <c r="AJ1478" t="str">
        <f t="shared" si="71"/>
        <v>Wk.7</v>
      </c>
      <c r="AK1478" t="str">
        <f>IF(pub_gid_0_single_true_output_csv[[#This Row],[Nilai2]]="","",VLOOKUP(pub_gid_0_single_true_output_csv[[#This Row],[NAMA]],Table7[],3,FALSE))</f>
        <v>Extremely low</v>
      </c>
    </row>
    <row r="1479" spans="1:37" x14ac:dyDescent="0.2">
      <c r="A1479">
        <v>1478</v>
      </c>
      <c r="B1479" t="s">
        <v>293</v>
      </c>
      <c r="C1479" t="s">
        <v>54</v>
      </c>
      <c r="D1479" t="s">
        <v>45</v>
      </c>
      <c r="E1479" t="s">
        <v>147</v>
      </c>
      <c r="F1479" s="25">
        <v>46028</v>
      </c>
      <c r="G1479" t="s">
        <v>349</v>
      </c>
      <c r="H1479" t="s">
        <v>405</v>
      </c>
      <c r="I1479" t="s">
        <v>371</v>
      </c>
      <c r="J1479" t="s">
        <v>41</v>
      </c>
      <c r="K1479" t="s">
        <v>157</v>
      </c>
      <c r="L1479" t="s">
        <v>324</v>
      </c>
      <c r="M1479" t="s">
        <v>141</v>
      </c>
      <c r="N1479" t="s">
        <v>142</v>
      </c>
      <c r="O1479" t="s">
        <v>155</v>
      </c>
      <c r="P1479" t="s">
        <v>281</v>
      </c>
      <c r="Q1479" t="s">
        <v>155</v>
      </c>
      <c r="R1479" t="s">
        <v>302</v>
      </c>
      <c r="S1479" t="s">
        <v>355</v>
      </c>
      <c r="T1479">
        <v>2</v>
      </c>
      <c r="U1479" t="s">
        <v>384</v>
      </c>
      <c r="V1479" t="s">
        <v>303</v>
      </c>
      <c r="W1479" t="s">
        <v>385</v>
      </c>
      <c r="X1479" t="s">
        <v>306</v>
      </c>
      <c r="Y1479" t="s">
        <v>307</v>
      </c>
      <c r="Z1479">
        <v>65</v>
      </c>
      <c r="AA1479">
        <v>0</v>
      </c>
      <c r="AB1479" t="s">
        <v>151</v>
      </c>
      <c r="AC1479" t="s">
        <v>51</v>
      </c>
      <c r="AD1479" t="s">
        <v>426</v>
      </c>
      <c r="AE1479" t="str">
        <f>IF(AF1479="","",VLOOKUP(AC1479,mapel!$A$2:$B$42,2,FALSE))</f>
        <v/>
      </c>
      <c r="AF1479" t="str">
        <f t="shared" si="69"/>
        <v/>
      </c>
      <c r="AG1479" t="str">
        <f>IF(AF1479="","",IF(AF1479&gt;90,"Sangat baik",IF(AF1479&gt;79,"Baik",IF(AF1479&gt;=pub_gid_0_single_true_output_csv[[#This Row],[KKM]],"Cukup","Kurang"))))</f>
        <v/>
      </c>
      <c r="AH1479" t="str">
        <f t="shared" si="70"/>
        <v/>
      </c>
      <c r="AI1479" s="30" t="str">
        <f>IF(OR(J1479&lt;&gt;"Karakter",pub_gid_0_single_true_output_csv[[#This Row],[Nilai2]]=""),"",IF(AF1479&gt;89,"Sangat baik",IF(AF1479&gt;79,"Baik",IF(AF1479&gt;69,"Cukup",IF(AF1479&gt;59,"Kurang","Sangat kurang")))))</f>
        <v/>
      </c>
      <c r="AJ1479" t="str">
        <f t="shared" si="71"/>
        <v/>
      </c>
      <c r="AK1479" t="str">
        <f>IF(pub_gid_0_single_true_output_csv[[#This Row],[Nilai2]]="","",VLOOKUP(pub_gid_0_single_true_output_csv[[#This Row],[NAMA]],Table7[],3,FALSE))</f>
        <v/>
      </c>
    </row>
    <row r="1480" spans="1:37" x14ac:dyDescent="0.2">
      <c r="A1480">
        <v>1479</v>
      </c>
      <c r="B1480" t="s">
        <v>293</v>
      </c>
      <c r="C1480" t="s">
        <v>54</v>
      </c>
      <c r="D1480" t="s">
        <v>45</v>
      </c>
      <c r="E1480" t="s">
        <v>147</v>
      </c>
      <c r="F1480" s="25">
        <v>46042</v>
      </c>
      <c r="G1480" t="s">
        <v>474</v>
      </c>
      <c r="H1480" t="s">
        <v>405</v>
      </c>
      <c r="I1480" t="s">
        <v>371</v>
      </c>
      <c r="J1480" t="s">
        <v>41</v>
      </c>
      <c r="K1480" t="s">
        <v>272</v>
      </c>
      <c r="L1480" t="s">
        <v>322</v>
      </c>
      <c r="M1480" t="s">
        <v>141</v>
      </c>
      <c r="N1480" t="s">
        <v>142</v>
      </c>
      <c r="O1480" t="s">
        <v>155</v>
      </c>
      <c r="P1480" t="s">
        <v>281</v>
      </c>
      <c r="Q1480" t="s">
        <v>155</v>
      </c>
      <c r="R1480" t="s">
        <v>273</v>
      </c>
      <c r="S1480" t="s">
        <v>309</v>
      </c>
      <c r="T1480">
        <v>1</v>
      </c>
      <c r="U1480" t="s">
        <v>325</v>
      </c>
      <c r="V1480" t="s">
        <v>285</v>
      </c>
      <c r="W1480" t="s">
        <v>326</v>
      </c>
      <c r="X1480" t="s">
        <v>306</v>
      </c>
      <c r="Y1480" t="s">
        <v>307</v>
      </c>
      <c r="Z1480">
        <v>65</v>
      </c>
      <c r="AA1480">
        <v>0</v>
      </c>
      <c r="AB1480" t="s">
        <v>151</v>
      </c>
      <c r="AC1480" t="s">
        <v>51</v>
      </c>
      <c r="AD1480" t="s">
        <v>426</v>
      </c>
      <c r="AE1480" t="str">
        <f>IF(AF1480="","",VLOOKUP(AC1480,mapel!$A$2:$B$42,2,FALSE))</f>
        <v/>
      </c>
      <c r="AF1480" t="str">
        <f t="shared" si="69"/>
        <v/>
      </c>
      <c r="AG1480" t="str">
        <f>IF(AF1480="","",IF(AF1480&gt;90,"Sangat baik",IF(AF1480&gt;79,"Baik",IF(AF1480&gt;=pub_gid_0_single_true_output_csv[[#This Row],[KKM]],"Cukup","Kurang"))))</f>
        <v/>
      </c>
      <c r="AH1480" t="str">
        <f t="shared" si="70"/>
        <v/>
      </c>
      <c r="AI1480" s="30" t="str">
        <f>IF(OR(J1480&lt;&gt;"Karakter",pub_gid_0_single_true_output_csv[[#This Row],[Nilai2]]=""),"",IF(AF1480&gt;89,"Sangat baik",IF(AF1480&gt;79,"Baik",IF(AF1480&gt;69,"Cukup",IF(AF1480&gt;59,"Kurang","Sangat kurang")))))</f>
        <v/>
      </c>
      <c r="AJ1480" t="str">
        <f t="shared" si="71"/>
        <v/>
      </c>
      <c r="AK1480" t="str">
        <f>IF(pub_gid_0_single_true_output_csv[[#This Row],[Nilai2]]="","",VLOOKUP(pub_gid_0_single_true_output_csv[[#This Row],[NAMA]],Table7[],3,FALSE))</f>
        <v/>
      </c>
    </row>
    <row r="1481" spans="1:37" x14ac:dyDescent="0.2">
      <c r="A1481">
        <v>1480</v>
      </c>
      <c r="B1481" t="s">
        <v>293</v>
      </c>
      <c r="C1481" t="s">
        <v>54</v>
      </c>
      <c r="D1481" t="s">
        <v>45</v>
      </c>
      <c r="E1481" t="s">
        <v>147</v>
      </c>
      <c r="F1481" s="25">
        <v>46063</v>
      </c>
      <c r="G1481" t="s">
        <v>374</v>
      </c>
      <c r="H1481" t="s">
        <v>412</v>
      </c>
      <c r="I1481" t="s">
        <v>371</v>
      </c>
      <c r="J1481" t="s">
        <v>41</v>
      </c>
      <c r="K1481" t="s">
        <v>157</v>
      </c>
      <c r="L1481" t="s">
        <v>383</v>
      </c>
      <c r="M1481" t="s">
        <v>141</v>
      </c>
      <c r="N1481" t="s">
        <v>142</v>
      </c>
      <c r="O1481" t="s">
        <v>155</v>
      </c>
      <c r="P1481" t="s">
        <v>281</v>
      </c>
      <c r="Q1481" t="s">
        <v>155</v>
      </c>
      <c r="R1481" t="s">
        <v>273</v>
      </c>
      <c r="S1481" t="s">
        <v>309</v>
      </c>
      <c r="T1481">
        <v>1</v>
      </c>
      <c r="U1481" t="s">
        <v>325</v>
      </c>
      <c r="V1481" t="s">
        <v>285</v>
      </c>
      <c r="W1481" t="s">
        <v>326</v>
      </c>
      <c r="X1481" t="s">
        <v>306</v>
      </c>
      <c r="Y1481" t="s">
        <v>307</v>
      </c>
      <c r="Z1481">
        <v>65</v>
      </c>
      <c r="AA1481">
        <v>0</v>
      </c>
      <c r="AB1481" t="s">
        <v>151</v>
      </c>
      <c r="AC1481" t="s">
        <v>51</v>
      </c>
      <c r="AD1481" t="s">
        <v>426</v>
      </c>
      <c r="AE1481" t="str">
        <f>IF(AF1481="","",VLOOKUP(AC1481,mapel!$A$2:$B$42,2,FALSE))</f>
        <v/>
      </c>
      <c r="AF1481" t="str">
        <f t="shared" si="69"/>
        <v/>
      </c>
      <c r="AG1481" t="str">
        <f>IF(AF1481="","",IF(AF1481&gt;90,"Sangat baik",IF(AF1481&gt;79,"Baik",IF(AF1481&gt;=pub_gid_0_single_true_output_csv[[#This Row],[KKM]],"Cukup","Kurang"))))</f>
        <v/>
      </c>
      <c r="AH1481" t="str">
        <f t="shared" si="70"/>
        <v/>
      </c>
      <c r="AI1481" s="30" t="str">
        <f>IF(OR(J1481&lt;&gt;"Karakter",pub_gid_0_single_true_output_csv[[#This Row],[Nilai2]]=""),"",IF(AF1481&gt;89,"Sangat baik",IF(AF1481&gt;79,"Baik",IF(AF1481&gt;69,"Cukup",IF(AF1481&gt;59,"Kurang","Sangat kurang")))))</f>
        <v/>
      </c>
      <c r="AJ1481" t="str">
        <f t="shared" si="71"/>
        <v/>
      </c>
      <c r="AK1481" t="str">
        <f>IF(pub_gid_0_single_true_output_csv[[#This Row],[Nilai2]]="","",VLOOKUP(pub_gid_0_single_true_output_csv[[#This Row],[NAMA]],Table7[],3,FALSE))</f>
        <v/>
      </c>
    </row>
    <row r="1482" spans="1:37" x14ac:dyDescent="0.2">
      <c r="A1482">
        <v>1481</v>
      </c>
      <c r="B1482" t="s">
        <v>287</v>
      </c>
      <c r="C1482" t="s">
        <v>54</v>
      </c>
      <c r="D1482" t="s">
        <v>34</v>
      </c>
      <c r="E1482" t="s">
        <v>140</v>
      </c>
      <c r="F1482" s="25">
        <v>46028</v>
      </c>
      <c r="G1482" t="s">
        <v>349</v>
      </c>
      <c r="H1482" t="s">
        <v>405</v>
      </c>
      <c r="I1482" t="s">
        <v>371</v>
      </c>
      <c r="J1482" t="s">
        <v>41</v>
      </c>
      <c r="K1482" t="s">
        <v>157</v>
      </c>
      <c r="L1482" t="s">
        <v>324</v>
      </c>
      <c r="M1482" t="s">
        <v>141</v>
      </c>
      <c r="N1482" t="s">
        <v>142</v>
      </c>
      <c r="O1482" t="s">
        <v>155</v>
      </c>
      <c r="P1482" t="s">
        <v>281</v>
      </c>
      <c r="Q1482" t="s">
        <v>155</v>
      </c>
      <c r="R1482" t="s">
        <v>302</v>
      </c>
      <c r="S1482" t="s">
        <v>355</v>
      </c>
      <c r="T1482">
        <v>2</v>
      </c>
      <c r="U1482" t="s">
        <v>384</v>
      </c>
      <c r="V1482" t="s">
        <v>303</v>
      </c>
      <c r="W1482" t="s">
        <v>385</v>
      </c>
      <c r="X1482" t="s">
        <v>306</v>
      </c>
      <c r="Y1482" t="s">
        <v>307</v>
      </c>
      <c r="Z1482">
        <v>65</v>
      </c>
      <c r="AA1482">
        <v>80</v>
      </c>
      <c r="AB1482" t="s">
        <v>143</v>
      </c>
      <c r="AC1482" t="s">
        <v>51</v>
      </c>
      <c r="AD1482" t="s">
        <v>426</v>
      </c>
      <c r="AE1482" t="str">
        <f>IF(AF1482="","",VLOOKUP(AC1482,mapel!$A$2:$B$42,2,FALSE))</f>
        <v>Kopi</v>
      </c>
      <c r="AF1482">
        <f t="shared" si="69"/>
        <v>80</v>
      </c>
      <c r="AG1482" t="str">
        <f>IF(AF1482="","",IF(AF1482&gt;90,"Sangat baik",IF(AF1482&gt;79,"Baik",IF(AF1482&gt;=pub_gid_0_single_true_output_csv[[#This Row],[KKM]],"Cukup","Kurang"))))</f>
        <v>Baik</v>
      </c>
      <c r="AH1482">
        <f t="shared" si="70"/>
        <v>11</v>
      </c>
      <c r="AI1482" s="30" t="str">
        <f>IF(OR(J1482&lt;&gt;"Karakter",pub_gid_0_single_true_output_csv[[#This Row],[Nilai2]]=""),"",IF(AF1482&gt;89,"Sangat baik",IF(AF1482&gt;79,"Baik",IF(AF1482&gt;69,"Cukup",IF(AF1482&gt;59,"Kurang","Sangat kurang")))))</f>
        <v/>
      </c>
      <c r="AJ1482" t="str">
        <f t="shared" si="71"/>
        <v>Wk.2</v>
      </c>
      <c r="AK1482" t="str">
        <f>IF(pub_gid_0_single_true_output_csv[[#This Row],[Nilai2]]="","",VLOOKUP(pub_gid_0_single_true_output_csv[[#This Row],[NAMA]],Table7[],3,FALSE))</f>
        <v>Average</v>
      </c>
    </row>
    <row r="1483" spans="1:37" x14ac:dyDescent="0.2">
      <c r="A1483">
        <v>1482</v>
      </c>
      <c r="B1483" t="s">
        <v>287</v>
      </c>
      <c r="C1483" t="s">
        <v>54</v>
      </c>
      <c r="D1483" t="s">
        <v>34</v>
      </c>
      <c r="E1483" t="s">
        <v>140</v>
      </c>
      <c r="F1483" s="25">
        <v>46042</v>
      </c>
      <c r="G1483" t="s">
        <v>474</v>
      </c>
      <c r="H1483" t="s">
        <v>405</v>
      </c>
      <c r="I1483" t="s">
        <v>371</v>
      </c>
      <c r="J1483" t="s">
        <v>41</v>
      </c>
      <c r="K1483" t="s">
        <v>272</v>
      </c>
      <c r="L1483" t="s">
        <v>322</v>
      </c>
      <c r="M1483" t="s">
        <v>141</v>
      </c>
      <c r="N1483" t="s">
        <v>142</v>
      </c>
      <c r="O1483" t="s">
        <v>155</v>
      </c>
      <c r="P1483" t="s">
        <v>281</v>
      </c>
      <c r="Q1483" t="s">
        <v>155</v>
      </c>
      <c r="R1483" t="s">
        <v>273</v>
      </c>
      <c r="S1483" t="s">
        <v>309</v>
      </c>
      <c r="T1483">
        <v>1</v>
      </c>
      <c r="U1483" t="s">
        <v>325</v>
      </c>
      <c r="V1483" t="s">
        <v>285</v>
      </c>
      <c r="W1483" t="s">
        <v>326</v>
      </c>
      <c r="X1483" t="s">
        <v>306</v>
      </c>
      <c r="Y1483" t="s">
        <v>307</v>
      </c>
      <c r="Z1483">
        <v>65</v>
      </c>
      <c r="AA1483">
        <v>70</v>
      </c>
      <c r="AB1483" t="s">
        <v>143</v>
      </c>
      <c r="AC1483" t="s">
        <v>51</v>
      </c>
      <c r="AD1483" t="s">
        <v>426</v>
      </c>
      <c r="AE1483" t="str">
        <f>IF(AF1483="","",VLOOKUP(AC1483,mapel!$A$2:$B$42,2,FALSE))</f>
        <v>Kopi</v>
      </c>
      <c r="AF1483">
        <f t="shared" si="69"/>
        <v>70</v>
      </c>
      <c r="AG1483" t="str">
        <f>IF(AF1483="","",IF(AF1483&gt;90,"Sangat baik",IF(AF1483&gt;79,"Baik",IF(AF1483&gt;=pub_gid_0_single_true_output_csv[[#This Row],[KKM]],"Cukup","Kurang"))))</f>
        <v>Cukup</v>
      </c>
      <c r="AH1483">
        <f t="shared" si="70"/>
        <v>11</v>
      </c>
      <c r="AI1483" s="30" t="str">
        <f>IF(OR(J1483&lt;&gt;"Karakter",pub_gid_0_single_true_output_csv[[#This Row],[Nilai2]]=""),"",IF(AF1483&gt;89,"Sangat baik",IF(AF1483&gt;79,"Baik",IF(AF1483&gt;69,"Cukup",IF(AF1483&gt;59,"Kurang","Sangat kurang")))))</f>
        <v/>
      </c>
      <c r="AJ1483" t="str">
        <f t="shared" si="71"/>
        <v>Wk.4</v>
      </c>
      <c r="AK1483" t="str">
        <f>IF(pub_gid_0_single_true_output_csv[[#This Row],[Nilai2]]="","",VLOOKUP(pub_gid_0_single_true_output_csv[[#This Row],[NAMA]],Table7[],3,FALSE))</f>
        <v>Average</v>
      </c>
    </row>
    <row r="1484" spans="1:37" x14ac:dyDescent="0.2">
      <c r="A1484">
        <v>1483</v>
      </c>
      <c r="B1484" t="s">
        <v>287</v>
      </c>
      <c r="C1484" t="s">
        <v>54</v>
      </c>
      <c r="D1484" t="s">
        <v>34</v>
      </c>
      <c r="E1484" t="s">
        <v>140</v>
      </c>
      <c r="F1484" s="25">
        <v>46063</v>
      </c>
      <c r="G1484" t="s">
        <v>374</v>
      </c>
      <c r="H1484" t="s">
        <v>412</v>
      </c>
      <c r="I1484" t="s">
        <v>371</v>
      </c>
      <c r="J1484" t="s">
        <v>41</v>
      </c>
      <c r="K1484" t="s">
        <v>157</v>
      </c>
      <c r="L1484" t="s">
        <v>383</v>
      </c>
      <c r="M1484" t="s">
        <v>141</v>
      </c>
      <c r="N1484" t="s">
        <v>142</v>
      </c>
      <c r="O1484" t="s">
        <v>155</v>
      </c>
      <c r="P1484" t="s">
        <v>281</v>
      </c>
      <c r="Q1484" t="s">
        <v>155</v>
      </c>
      <c r="R1484" t="s">
        <v>273</v>
      </c>
      <c r="S1484" t="s">
        <v>309</v>
      </c>
      <c r="T1484">
        <v>1</v>
      </c>
      <c r="U1484" t="s">
        <v>325</v>
      </c>
      <c r="V1484" t="s">
        <v>285</v>
      </c>
      <c r="W1484" t="s">
        <v>326</v>
      </c>
      <c r="X1484" t="s">
        <v>306</v>
      </c>
      <c r="Y1484" t="s">
        <v>307</v>
      </c>
      <c r="Z1484">
        <v>65</v>
      </c>
      <c r="AA1484">
        <v>80</v>
      </c>
      <c r="AB1484" t="s">
        <v>143</v>
      </c>
      <c r="AC1484" t="s">
        <v>51</v>
      </c>
      <c r="AD1484" t="s">
        <v>426</v>
      </c>
      <c r="AE1484" t="str">
        <f>IF(AF1484="","",VLOOKUP(AC1484,mapel!$A$2:$B$42,2,FALSE))</f>
        <v>Kopi</v>
      </c>
      <c r="AF1484">
        <f t="shared" si="69"/>
        <v>80</v>
      </c>
      <c r="AG1484" t="str">
        <f>IF(AF1484="","",IF(AF1484&gt;90,"Sangat baik",IF(AF1484&gt;79,"Baik",IF(AF1484&gt;=pub_gid_0_single_true_output_csv[[#This Row],[KKM]],"Cukup","Kurang"))))</f>
        <v>Baik</v>
      </c>
      <c r="AH1484">
        <f t="shared" si="70"/>
        <v>11</v>
      </c>
      <c r="AI1484" s="30" t="str">
        <f>IF(OR(J1484&lt;&gt;"Karakter",pub_gid_0_single_true_output_csv[[#This Row],[Nilai2]]=""),"",IF(AF1484&gt;89,"Sangat baik",IF(AF1484&gt;79,"Baik",IF(AF1484&gt;69,"Cukup",IF(AF1484&gt;59,"Kurang","Sangat kurang")))))</f>
        <v/>
      </c>
      <c r="AJ1484" t="str">
        <f t="shared" si="71"/>
        <v>Wk.7</v>
      </c>
      <c r="AK1484" t="str">
        <f>IF(pub_gid_0_single_true_output_csv[[#This Row],[Nilai2]]="","",VLOOKUP(pub_gid_0_single_true_output_csv[[#This Row],[NAMA]],Table7[],3,FALSE))</f>
        <v>Average</v>
      </c>
    </row>
    <row r="1485" spans="1:37" x14ac:dyDescent="0.2">
      <c r="A1485">
        <v>1484</v>
      </c>
      <c r="B1485" t="s">
        <v>288</v>
      </c>
      <c r="C1485" t="s">
        <v>54</v>
      </c>
      <c r="D1485" t="s">
        <v>35</v>
      </c>
      <c r="E1485" t="s">
        <v>140</v>
      </c>
      <c r="F1485" s="25">
        <v>46028</v>
      </c>
      <c r="G1485" t="s">
        <v>349</v>
      </c>
      <c r="H1485" t="s">
        <v>405</v>
      </c>
      <c r="I1485" t="s">
        <v>371</v>
      </c>
      <c r="J1485" t="s">
        <v>41</v>
      </c>
      <c r="K1485" t="s">
        <v>157</v>
      </c>
      <c r="L1485" t="s">
        <v>324</v>
      </c>
      <c r="M1485" t="s">
        <v>141</v>
      </c>
      <c r="N1485" t="s">
        <v>142</v>
      </c>
      <c r="O1485" t="s">
        <v>155</v>
      </c>
      <c r="P1485" t="s">
        <v>281</v>
      </c>
      <c r="Q1485" t="s">
        <v>155</v>
      </c>
      <c r="R1485" t="s">
        <v>302</v>
      </c>
      <c r="S1485" t="s">
        <v>355</v>
      </c>
      <c r="T1485">
        <v>2</v>
      </c>
      <c r="U1485" t="s">
        <v>384</v>
      </c>
      <c r="V1485" t="s">
        <v>303</v>
      </c>
      <c r="W1485" t="s">
        <v>385</v>
      </c>
      <c r="X1485" t="s">
        <v>306</v>
      </c>
      <c r="Y1485" t="s">
        <v>307</v>
      </c>
      <c r="Z1485">
        <v>65</v>
      </c>
      <c r="AA1485">
        <v>65</v>
      </c>
      <c r="AB1485" t="s">
        <v>143</v>
      </c>
      <c r="AC1485" t="s">
        <v>51</v>
      </c>
      <c r="AD1485" t="s">
        <v>426</v>
      </c>
      <c r="AE1485" t="str">
        <f>IF(AF1485="","",VLOOKUP(AC1485,mapel!$A$2:$B$42,2,FALSE))</f>
        <v>Kopi</v>
      </c>
      <c r="AF1485">
        <f t="shared" si="69"/>
        <v>65</v>
      </c>
      <c r="AG1485" t="str">
        <f>IF(AF1485="","",IF(AF1485&gt;90,"Sangat baik",IF(AF1485&gt;79,"Baik",IF(AF1485&gt;=pub_gid_0_single_true_output_csv[[#This Row],[KKM]],"Cukup","Kurang"))))</f>
        <v>Cukup</v>
      </c>
      <c r="AH1485">
        <f t="shared" si="70"/>
        <v>11</v>
      </c>
      <c r="AI1485" s="30" t="str">
        <f>IF(OR(J1485&lt;&gt;"Karakter",pub_gid_0_single_true_output_csv[[#This Row],[Nilai2]]=""),"",IF(AF1485&gt;89,"Sangat baik",IF(AF1485&gt;79,"Baik",IF(AF1485&gt;69,"Cukup",IF(AF1485&gt;59,"Kurang","Sangat kurang")))))</f>
        <v/>
      </c>
      <c r="AJ1485" t="str">
        <f t="shared" si="71"/>
        <v>Wk.2</v>
      </c>
      <c r="AK1485" t="str">
        <f>IF(pub_gid_0_single_true_output_csv[[#This Row],[Nilai2]]="","",VLOOKUP(pub_gid_0_single_true_output_csv[[#This Row],[NAMA]],Table7[],3,FALSE))</f>
        <v>Extremely low</v>
      </c>
    </row>
    <row r="1486" spans="1:37" x14ac:dyDescent="0.2">
      <c r="A1486">
        <v>1485</v>
      </c>
      <c r="B1486" t="s">
        <v>288</v>
      </c>
      <c r="C1486" t="s">
        <v>54</v>
      </c>
      <c r="D1486" t="s">
        <v>35</v>
      </c>
      <c r="E1486" t="s">
        <v>140</v>
      </c>
      <c r="F1486" s="25">
        <v>46042</v>
      </c>
      <c r="G1486" t="s">
        <v>474</v>
      </c>
      <c r="H1486" t="s">
        <v>405</v>
      </c>
      <c r="I1486" t="s">
        <v>371</v>
      </c>
      <c r="J1486" t="s">
        <v>41</v>
      </c>
      <c r="K1486" t="s">
        <v>272</v>
      </c>
      <c r="L1486" t="s">
        <v>322</v>
      </c>
      <c r="M1486" t="s">
        <v>141</v>
      </c>
      <c r="N1486" t="s">
        <v>142</v>
      </c>
      <c r="O1486" t="s">
        <v>155</v>
      </c>
      <c r="P1486" t="s">
        <v>281</v>
      </c>
      <c r="Q1486" t="s">
        <v>155</v>
      </c>
      <c r="R1486" t="s">
        <v>273</v>
      </c>
      <c r="S1486" t="s">
        <v>309</v>
      </c>
      <c r="T1486">
        <v>1</v>
      </c>
      <c r="U1486" t="s">
        <v>325</v>
      </c>
      <c r="V1486" t="s">
        <v>285</v>
      </c>
      <c r="W1486" t="s">
        <v>326</v>
      </c>
      <c r="X1486" t="s">
        <v>306</v>
      </c>
      <c r="Y1486" t="s">
        <v>307</v>
      </c>
      <c r="Z1486">
        <v>65</v>
      </c>
      <c r="AA1486">
        <v>80</v>
      </c>
      <c r="AB1486" t="s">
        <v>143</v>
      </c>
      <c r="AC1486" t="s">
        <v>51</v>
      </c>
      <c r="AD1486" t="s">
        <v>426</v>
      </c>
      <c r="AE1486" t="str">
        <f>IF(AF1486="","",VLOOKUP(AC1486,mapel!$A$2:$B$42,2,FALSE))</f>
        <v>Kopi</v>
      </c>
      <c r="AF1486">
        <f t="shared" si="69"/>
        <v>80</v>
      </c>
      <c r="AG1486" t="str">
        <f>IF(AF1486="","",IF(AF1486&gt;90,"Sangat baik",IF(AF1486&gt;79,"Baik",IF(AF1486&gt;=pub_gid_0_single_true_output_csv[[#This Row],[KKM]],"Cukup","Kurang"))))</f>
        <v>Baik</v>
      </c>
      <c r="AH1486">
        <f t="shared" si="70"/>
        <v>11</v>
      </c>
      <c r="AI1486" s="30" t="str">
        <f>IF(OR(J1486&lt;&gt;"Karakter",pub_gid_0_single_true_output_csv[[#This Row],[Nilai2]]=""),"",IF(AF1486&gt;89,"Sangat baik",IF(AF1486&gt;79,"Baik",IF(AF1486&gt;69,"Cukup",IF(AF1486&gt;59,"Kurang","Sangat kurang")))))</f>
        <v/>
      </c>
      <c r="AJ1486" t="str">
        <f t="shared" si="71"/>
        <v>Wk.4</v>
      </c>
      <c r="AK1486" t="str">
        <f>IF(pub_gid_0_single_true_output_csv[[#This Row],[Nilai2]]="","",VLOOKUP(pub_gid_0_single_true_output_csv[[#This Row],[NAMA]],Table7[],3,FALSE))</f>
        <v>Extremely low</v>
      </c>
    </row>
    <row r="1487" spans="1:37" x14ac:dyDescent="0.2">
      <c r="A1487">
        <v>1486</v>
      </c>
      <c r="B1487" t="s">
        <v>288</v>
      </c>
      <c r="C1487" t="s">
        <v>54</v>
      </c>
      <c r="D1487" t="s">
        <v>35</v>
      </c>
      <c r="E1487" t="s">
        <v>140</v>
      </c>
      <c r="F1487" s="25">
        <v>46063</v>
      </c>
      <c r="G1487" t="s">
        <v>374</v>
      </c>
      <c r="H1487" t="s">
        <v>412</v>
      </c>
      <c r="I1487" t="s">
        <v>371</v>
      </c>
      <c r="J1487" t="s">
        <v>41</v>
      </c>
      <c r="K1487" t="s">
        <v>157</v>
      </c>
      <c r="L1487" t="s">
        <v>383</v>
      </c>
      <c r="M1487" t="s">
        <v>141</v>
      </c>
      <c r="N1487" t="s">
        <v>142</v>
      </c>
      <c r="O1487" t="s">
        <v>155</v>
      </c>
      <c r="P1487" t="s">
        <v>281</v>
      </c>
      <c r="Q1487" t="s">
        <v>155</v>
      </c>
      <c r="R1487" t="s">
        <v>273</v>
      </c>
      <c r="S1487" t="s">
        <v>309</v>
      </c>
      <c r="T1487">
        <v>1</v>
      </c>
      <c r="U1487" t="s">
        <v>325</v>
      </c>
      <c r="V1487" t="s">
        <v>285</v>
      </c>
      <c r="W1487" t="s">
        <v>326</v>
      </c>
      <c r="X1487" t="s">
        <v>306</v>
      </c>
      <c r="Y1487" t="s">
        <v>307</v>
      </c>
      <c r="Z1487">
        <v>65</v>
      </c>
      <c r="AA1487">
        <v>80</v>
      </c>
      <c r="AB1487" t="s">
        <v>143</v>
      </c>
      <c r="AC1487" t="s">
        <v>51</v>
      </c>
      <c r="AD1487" t="s">
        <v>426</v>
      </c>
      <c r="AE1487" t="str">
        <f>IF(AF1487="","",VLOOKUP(AC1487,mapel!$A$2:$B$42,2,FALSE))</f>
        <v>Kopi</v>
      </c>
      <c r="AF1487">
        <f t="shared" si="69"/>
        <v>80</v>
      </c>
      <c r="AG1487" t="str">
        <f>IF(AF1487="","",IF(AF1487&gt;90,"Sangat baik",IF(AF1487&gt;79,"Baik",IF(AF1487&gt;=pub_gid_0_single_true_output_csv[[#This Row],[KKM]],"Cukup","Kurang"))))</f>
        <v>Baik</v>
      </c>
      <c r="AH1487">
        <f t="shared" si="70"/>
        <v>11</v>
      </c>
      <c r="AI1487" s="30" t="str">
        <f>IF(OR(J1487&lt;&gt;"Karakter",pub_gid_0_single_true_output_csv[[#This Row],[Nilai2]]=""),"",IF(AF1487&gt;89,"Sangat baik",IF(AF1487&gt;79,"Baik",IF(AF1487&gt;69,"Cukup",IF(AF1487&gt;59,"Kurang","Sangat kurang")))))</f>
        <v/>
      </c>
      <c r="AJ1487" t="str">
        <f t="shared" si="71"/>
        <v>Wk.7</v>
      </c>
      <c r="AK1487" t="str">
        <f>IF(pub_gid_0_single_true_output_csv[[#This Row],[Nilai2]]="","",VLOOKUP(pub_gid_0_single_true_output_csv[[#This Row],[NAMA]],Table7[],3,FALSE))</f>
        <v>Extremely low</v>
      </c>
    </row>
    <row r="1488" spans="1:37" x14ac:dyDescent="0.2">
      <c r="A1488">
        <v>1487</v>
      </c>
      <c r="B1488" t="s">
        <v>294</v>
      </c>
      <c r="C1488" t="s">
        <v>54</v>
      </c>
      <c r="D1488" t="s">
        <v>46</v>
      </c>
      <c r="E1488" t="s">
        <v>148</v>
      </c>
      <c r="F1488" s="25">
        <v>46028</v>
      </c>
      <c r="G1488" t="s">
        <v>349</v>
      </c>
      <c r="H1488" t="s">
        <v>405</v>
      </c>
      <c r="I1488" t="s">
        <v>371</v>
      </c>
      <c r="J1488" t="s">
        <v>41</v>
      </c>
      <c r="K1488" t="s">
        <v>157</v>
      </c>
      <c r="L1488" t="s">
        <v>324</v>
      </c>
      <c r="M1488" t="s">
        <v>141</v>
      </c>
      <c r="N1488" t="s">
        <v>142</v>
      </c>
      <c r="O1488" t="s">
        <v>155</v>
      </c>
      <c r="P1488" t="s">
        <v>281</v>
      </c>
      <c r="Q1488" t="s">
        <v>155</v>
      </c>
      <c r="R1488" t="s">
        <v>302</v>
      </c>
      <c r="S1488" t="s">
        <v>355</v>
      </c>
      <c r="T1488">
        <v>2</v>
      </c>
      <c r="U1488" t="s">
        <v>384</v>
      </c>
      <c r="V1488" t="s">
        <v>303</v>
      </c>
      <c r="W1488" t="s">
        <v>385</v>
      </c>
      <c r="X1488" t="s">
        <v>306</v>
      </c>
      <c r="Y1488" t="s">
        <v>307</v>
      </c>
      <c r="Z1488">
        <v>65</v>
      </c>
      <c r="AA1488">
        <v>0</v>
      </c>
      <c r="AB1488" t="s">
        <v>151</v>
      </c>
      <c r="AC1488" t="s">
        <v>51</v>
      </c>
      <c r="AD1488" t="s">
        <v>426</v>
      </c>
      <c r="AE1488" t="str">
        <f>IF(AF1488="","",VLOOKUP(AC1488,mapel!$A$2:$B$42,2,FALSE))</f>
        <v/>
      </c>
      <c r="AF1488" t="str">
        <f t="shared" si="69"/>
        <v/>
      </c>
      <c r="AG1488" t="str">
        <f>IF(AF1488="","",IF(AF1488&gt;90,"Sangat baik",IF(AF1488&gt;79,"Baik",IF(AF1488&gt;=pub_gid_0_single_true_output_csv[[#This Row],[KKM]],"Cukup","Kurang"))))</f>
        <v/>
      </c>
      <c r="AH1488" t="str">
        <f t="shared" si="70"/>
        <v/>
      </c>
      <c r="AI1488" s="30" t="str">
        <f>IF(OR(J1488&lt;&gt;"Karakter",pub_gid_0_single_true_output_csv[[#This Row],[Nilai2]]=""),"",IF(AF1488&gt;89,"Sangat baik",IF(AF1488&gt;79,"Baik",IF(AF1488&gt;69,"Cukup",IF(AF1488&gt;59,"Kurang","Sangat kurang")))))</f>
        <v/>
      </c>
      <c r="AJ1488" t="str">
        <f t="shared" si="71"/>
        <v/>
      </c>
      <c r="AK1488" t="str">
        <f>IF(pub_gid_0_single_true_output_csv[[#This Row],[Nilai2]]="","",VLOOKUP(pub_gid_0_single_true_output_csv[[#This Row],[NAMA]],Table7[],3,FALSE))</f>
        <v/>
      </c>
    </row>
    <row r="1489" spans="1:37" x14ac:dyDescent="0.2">
      <c r="A1489">
        <v>1488</v>
      </c>
      <c r="B1489" t="s">
        <v>294</v>
      </c>
      <c r="C1489" t="s">
        <v>54</v>
      </c>
      <c r="D1489" t="s">
        <v>46</v>
      </c>
      <c r="E1489" t="s">
        <v>148</v>
      </c>
      <c r="F1489" s="25">
        <v>46042</v>
      </c>
      <c r="G1489" t="s">
        <v>474</v>
      </c>
      <c r="H1489" t="s">
        <v>405</v>
      </c>
      <c r="I1489" t="s">
        <v>371</v>
      </c>
      <c r="J1489" t="s">
        <v>41</v>
      </c>
      <c r="K1489" t="s">
        <v>272</v>
      </c>
      <c r="L1489" t="s">
        <v>322</v>
      </c>
      <c r="M1489" t="s">
        <v>141</v>
      </c>
      <c r="N1489" t="s">
        <v>142</v>
      </c>
      <c r="O1489" t="s">
        <v>155</v>
      </c>
      <c r="P1489" t="s">
        <v>281</v>
      </c>
      <c r="Q1489" t="s">
        <v>155</v>
      </c>
      <c r="R1489" t="s">
        <v>273</v>
      </c>
      <c r="S1489" t="s">
        <v>309</v>
      </c>
      <c r="T1489">
        <v>1</v>
      </c>
      <c r="U1489" t="s">
        <v>325</v>
      </c>
      <c r="V1489" t="s">
        <v>285</v>
      </c>
      <c r="W1489" t="s">
        <v>326</v>
      </c>
      <c r="X1489" t="s">
        <v>306</v>
      </c>
      <c r="Y1489" t="s">
        <v>307</v>
      </c>
      <c r="Z1489">
        <v>65</v>
      </c>
      <c r="AA1489">
        <v>0</v>
      </c>
      <c r="AB1489" t="s">
        <v>151</v>
      </c>
      <c r="AC1489" t="s">
        <v>51</v>
      </c>
      <c r="AD1489" t="s">
        <v>426</v>
      </c>
      <c r="AE1489" t="str">
        <f>IF(AF1489="","",VLOOKUP(AC1489,mapel!$A$2:$B$42,2,FALSE))</f>
        <v/>
      </c>
      <c r="AF1489" t="str">
        <f t="shared" si="69"/>
        <v/>
      </c>
      <c r="AG1489" t="str">
        <f>IF(AF1489="","",IF(AF1489&gt;90,"Sangat baik",IF(AF1489&gt;79,"Baik",IF(AF1489&gt;=pub_gid_0_single_true_output_csv[[#This Row],[KKM]],"Cukup","Kurang"))))</f>
        <v/>
      </c>
      <c r="AH1489" t="str">
        <f t="shared" si="70"/>
        <v/>
      </c>
      <c r="AI1489" s="30" t="str">
        <f>IF(OR(J1489&lt;&gt;"Karakter",pub_gid_0_single_true_output_csv[[#This Row],[Nilai2]]=""),"",IF(AF1489&gt;89,"Sangat baik",IF(AF1489&gt;79,"Baik",IF(AF1489&gt;69,"Cukup",IF(AF1489&gt;59,"Kurang","Sangat kurang")))))</f>
        <v/>
      </c>
      <c r="AJ1489" t="str">
        <f t="shared" si="71"/>
        <v/>
      </c>
      <c r="AK1489" t="str">
        <f>IF(pub_gid_0_single_true_output_csv[[#This Row],[Nilai2]]="","",VLOOKUP(pub_gid_0_single_true_output_csv[[#This Row],[NAMA]],Table7[],3,FALSE))</f>
        <v/>
      </c>
    </row>
    <row r="1490" spans="1:37" x14ac:dyDescent="0.2">
      <c r="A1490">
        <v>1489</v>
      </c>
      <c r="B1490" t="s">
        <v>294</v>
      </c>
      <c r="C1490" t="s">
        <v>54</v>
      </c>
      <c r="D1490" t="s">
        <v>46</v>
      </c>
      <c r="E1490" t="s">
        <v>148</v>
      </c>
      <c r="F1490" s="25">
        <v>46063</v>
      </c>
      <c r="G1490" t="s">
        <v>374</v>
      </c>
      <c r="H1490" t="s">
        <v>412</v>
      </c>
      <c r="I1490" t="s">
        <v>371</v>
      </c>
      <c r="J1490" t="s">
        <v>41</v>
      </c>
      <c r="K1490" t="s">
        <v>157</v>
      </c>
      <c r="L1490" t="s">
        <v>383</v>
      </c>
      <c r="M1490" t="s">
        <v>141</v>
      </c>
      <c r="N1490" t="s">
        <v>142</v>
      </c>
      <c r="O1490" t="s">
        <v>155</v>
      </c>
      <c r="P1490" t="s">
        <v>281</v>
      </c>
      <c r="Q1490" t="s">
        <v>155</v>
      </c>
      <c r="R1490" t="s">
        <v>273</v>
      </c>
      <c r="S1490" t="s">
        <v>309</v>
      </c>
      <c r="T1490">
        <v>1</v>
      </c>
      <c r="U1490" t="s">
        <v>325</v>
      </c>
      <c r="V1490" t="s">
        <v>285</v>
      </c>
      <c r="W1490" t="s">
        <v>326</v>
      </c>
      <c r="X1490" t="s">
        <v>306</v>
      </c>
      <c r="Y1490" t="s">
        <v>307</v>
      </c>
      <c r="Z1490">
        <v>65</v>
      </c>
      <c r="AA1490">
        <v>0</v>
      </c>
      <c r="AB1490" t="s">
        <v>151</v>
      </c>
      <c r="AC1490" t="s">
        <v>51</v>
      </c>
      <c r="AD1490" t="s">
        <v>426</v>
      </c>
      <c r="AE1490" t="str">
        <f>IF(AF1490="","",VLOOKUP(AC1490,mapel!$A$2:$B$42,2,FALSE))</f>
        <v/>
      </c>
      <c r="AF1490" t="str">
        <f t="shared" si="69"/>
        <v/>
      </c>
      <c r="AG1490" t="str">
        <f>IF(AF1490="","",IF(AF1490&gt;90,"Sangat baik",IF(AF1490&gt;79,"Baik",IF(AF1490&gt;=pub_gid_0_single_true_output_csv[[#This Row],[KKM]],"Cukup","Kurang"))))</f>
        <v/>
      </c>
      <c r="AH1490" t="str">
        <f t="shared" si="70"/>
        <v/>
      </c>
      <c r="AI1490" s="30" t="str">
        <f>IF(OR(J1490&lt;&gt;"Karakter",pub_gid_0_single_true_output_csv[[#This Row],[Nilai2]]=""),"",IF(AF1490&gt;89,"Sangat baik",IF(AF1490&gt;79,"Baik",IF(AF1490&gt;69,"Cukup",IF(AF1490&gt;59,"Kurang","Sangat kurang")))))</f>
        <v/>
      </c>
      <c r="AJ1490" t="str">
        <f t="shared" si="71"/>
        <v/>
      </c>
      <c r="AK1490" t="str">
        <f>IF(pub_gid_0_single_true_output_csv[[#This Row],[Nilai2]]="","",VLOOKUP(pub_gid_0_single_true_output_csv[[#This Row],[NAMA]],Table7[],3,FALSE))</f>
        <v/>
      </c>
    </row>
    <row r="1491" spans="1:37" x14ac:dyDescent="0.2">
      <c r="A1491">
        <v>1490</v>
      </c>
      <c r="B1491" t="s">
        <v>295</v>
      </c>
      <c r="C1491" t="s">
        <v>54</v>
      </c>
      <c r="D1491" t="s">
        <v>47</v>
      </c>
      <c r="E1491" t="s">
        <v>148</v>
      </c>
      <c r="F1491" s="25">
        <v>46028</v>
      </c>
      <c r="G1491" t="s">
        <v>349</v>
      </c>
      <c r="H1491" t="s">
        <v>405</v>
      </c>
      <c r="I1491" t="s">
        <v>371</v>
      </c>
      <c r="J1491" t="s">
        <v>41</v>
      </c>
      <c r="K1491" t="s">
        <v>157</v>
      </c>
      <c r="L1491" t="s">
        <v>324</v>
      </c>
      <c r="M1491" t="s">
        <v>141</v>
      </c>
      <c r="N1491" t="s">
        <v>142</v>
      </c>
      <c r="O1491" t="s">
        <v>155</v>
      </c>
      <c r="P1491" t="s">
        <v>281</v>
      </c>
      <c r="Q1491" t="s">
        <v>155</v>
      </c>
      <c r="R1491" t="s">
        <v>302</v>
      </c>
      <c r="S1491" t="s">
        <v>355</v>
      </c>
      <c r="T1491">
        <v>2</v>
      </c>
      <c r="U1491" t="s">
        <v>384</v>
      </c>
      <c r="V1491" t="s">
        <v>303</v>
      </c>
      <c r="W1491" t="s">
        <v>385</v>
      </c>
      <c r="X1491" t="s">
        <v>306</v>
      </c>
      <c r="Y1491" t="s">
        <v>307</v>
      </c>
      <c r="Z1491">
        <v>65</v>
      </c>
      <c r="AA1491">
        <v>65</v>
      </c>
      <c r="AB1491" t="s">
        <v>143</v>
      </c>
      <c r="AC1491" t="s">
        <v>51</v>
      </c>
      <c r="AD1491" t="s">
        <v>426</v>
      </c>
      <c r="AE1491" t="str">
        <f>IF(AF1491="","",VLOOKUP(AC1491,mapel!$A$2:$B$42,2,FALSE))</f>
        <v>Kopi</v>
      </c>
      <c r="AF1491">
        <f t="shared" si="69"/>
        <v>65</v>
      </c>
      <c r="AG1491" t="str">
        <f>IF(AF1491="","",IF(AF1491&gt;90,"Sangat baik",IF(AF1491&gt;79,"Baik",IF(AF1491&gt;=pub_gid_0_single_true_output_csv[[#This Row],[KKM]],"Cukup","Kurang"))))</f>
        <v>Cukup</v>
      </c>
      <c r="AH1491">
        <f t="shared" si="70"/>
        <v>11</v>
      </c>
      <c r="AI1491" s="30" t="str">
        <f>IF(OR(J1491&lt;&gt;"Karakter",pub_gid_0_single_true_output_csv[[#This Row],[Nilai2]]=""),"",IF(AF1491&gt;89,"Sangat baik",IF(AF1491&gt;79,"Baik",IF(AF1491&gt;69,"Cukup",IF(AF1491&gt;59,"Kurang","Sangat kurang")))))</f>
        <v/>
      </c>
      <c r="AJ1491" t="str">
        <f t="shared" si="71"/>
        <v>Wk.2</v>
      </c>
      <c r="AK1491" t="str">
        <f>IF(pub_gid_0_single_true_output_csv[[#This Row],[Nilai2]]="","",VLOOKUP(pub_gid_0_single_true_output_csv[[#This Row],[NAMA]],Table7[],3,FALSE))</f>
        <v>Low average</v>
      </c>
    </row>
    <row r="1492" spans="1:37" x14ac:dyDescent="0.2">
      <c r="A1492">
        <v>1491</v>
      </c>
      <c r="B1492" t="s">
        <v>295</v>
      </c>
      <c r="C1492" t="s">
        <v>54</v>
      </c>
      <c r="D1492" t="s">
        <v>47</v>
      </c>
      <c r="E1492" t="s">
        <v>148</v>
      </c>
      <c r="F1492" s="25">
        <v>46042</v>
      </c>
      <c r="G1492" t="s">
        <v>474</v>
      </c>
      <c r="H1492" t="s">
        <v>405</v>
      </c>
      <c r="I1492" t="s">
        <v>371</v>
      </c>
      <c r="J1492" t="s">
        <v>41</v>
      </c>
      <c r="K1492" t="s">
        <v>272</v>
      </c>
      <c r="L1492" t="s">
        <v>322</v>
      </c>
      <c r="M1492" t="s">
        <v>141</v>
      </c>
      <c r="N1492" t="s">
        <v>142</v>
      </c>
      <c r="O1492" t="s">
        <v>155</v>
      </c>
      <c r="P1492" t="s">
        <v>281</v>
      </c>
      <c r="Q1492" t="s">
        <v>155</v>
      </c>
      <c r="R1492" t="s">
        <v>273</v>
      </c>
      <c r="S1492" t="s">
        <v>309</v>
      </c>
      <c r="T1492">
        <v>1</v>
      </c>
      <c r="U1492" t="s">
        <v>325</v>
      </c>
      <c r="V1492" t="s">
        <v>285</v>
      </c>
      <c r="W1492" t="s">
        <v>326</v>
      </c>
      <c r="X1492" t="s">
        <v>306</v>
      </c>
      <c r="Y1492" t="s">
        <v>307</v>
      </c>
      <c r="Z1492">
        <v>65</v>
      </c>
      <c r="AA1492">
        <v>70</v>
      </c>
      <c r="AB1492" t="s">
        <v>143</v>
      </c>
      <c r="AC1492" t="s">
        <v>51</v>
      </c>
      <c r="AD1492" t="s">
        <v>426</v>
      </c>
      <c r="AE1492" t="str">
        <f>IF(AF1492="","",VLOOKUP(AC1492,mapel!$A$2:$B$42,2,FALSE))</f>
        <v>Kopi</v>
      </c>
      <c r="AF1492">
        <f t="shared" si="69"/>
        <v>70</v>
      </c>
      <c r="AG1492" t="str">
        <f>IF(AF1492="","",IF(AF1492&gt;90,"Sangat baik",IF(AF1492&gt;79,"Baik",IF(AF1492&gt;=pub_gid_0_single_true_output_csv[[#This Row],[KKM]],"Cukup","Kurang"))))</f>
        <v>Cukup</v>
      </c>
      <c r="AH1492">
        <f t="shared" si="70"/>
        <v>11</v>
      </c>
      <c r="AI1492" s="30" t="str">
        <f>IF(OR(J1492&lt;&gt;"Karakter",pub_gid_0_single_true_output_csv[[#This Row],[Nilai2]]=""),"",IF(AF1492&gt;89,"Sangat baik",IF(AF1492&gt;79,"Baik",IF(AF1492&gt;69,"Cukup",IF(AF1492&gt;59,"Kurang","Sangat kurang")))))</f>
        <v/>
      </c>
      <c r="AJ1492" t="str">
        <f t="shared" si="71"/>
        <v>Wk.4</v>
      </c>
      <c r="AK1492" t="str">
        <f>IF(pub_gid_0_single_true_output_csv[[#This Row],[Nilai2]]="","",VLOOKUP(pub_gid_0_single_true_output_csv[[#This Row],[NAMA]],Table7[],3,FALSE))</f>
        <v>Low average</v>
      </c>
    </row>
    <row r="1493" spans="1:37" x14ac:dyDescent="0.2">
      <c r="A1493">
        <v>1492</v>
      </c>
      <c r="B1493" t="s">
        <v>295</v>
      </c>
      <c r="C1493" t="s">
        <v>54</v>
      </c>
      <c r="D1493" t="s">
        <v>47</v>
      </c>
      <c r="E1493" t="s">
        <v>148</v>
      </c>
      <c r="F1493" s="25">
        <v>46063</v>
      </c>
      <c r="G1493" t="s">
        <v>374</v>
      </c>
      <c r="H1493" t="s">
        <v>412</v>
      </c>
      <c r="I1493" t="s">
        <v>371</v>
      </c>
      <c r="J1493" t="s">
        <v>41</v>
      </c>
      <c r="K1493" t="s">
        <v>157</v>
      </c>
      <c r="L1493" t="s">
        <v>383</v>
      </c>
      <c r="M1493" t="s">
        <v>141</v>
      </c>
      <c r="N1493" t="s">
        <v>142</v>
      </c>
      <c r="O1493" t="s">
        <v>155</v>
      </c>
      <c r="P1493" t="s">
        <v>281</v>
      </c>
      <c r="Q1493" t="s">
        <v>155</v>
      </c>
      <c r="R1493" t="s">
        <v>273</v>
      </c>
      <c r="S1493" t="s">
        <v>309</v>
      </c>
      <c r="T1493">
        <v>1</v>
      </c>
      <c r="U1493" t="s">
        <v>325</v>
      </c>
      <c r="V1493" t="s">
        <v>285</v>
      </c>
      <c r="W1493" t="s">
        <v>326</v>
      </c>
      <c r="X1493" t="s">
        <v>306</v>
      </c>
      <c r="Y1493" t="s">
        <v>307</v>
      </c>
      <c r="Z1493">
        <v>65</v>
      </c>
      <c r="AA1493">
        <v>75</v>
      </c>
      <c r="AB1493" t="s">
        <v>143</v>
      </c>
      <c r="AC1493" t="s">
        <v>51</v>
      </c>
      <c r="AD1493" t="s">
        <v>426</v>
      </c>
      <c r="AE1493" t="str">
        <f>IF(AF1493="","",VLOOKUP(AC1493,mapel!$A$2:$B$42,2,FALSE))</f>
        <v>Kopi</v>
      </c>
      <c r="AF1493">
        <f t="shared" si="69"/>
        <v>75</v>
      </c>
      <c r="AG1493" t="str">
        <f>IF(AF1493="","",IF(AF1493&gt;90,"Sangat baik",IF(AF1493&gt;79,"Baik",IF(AF1493&gt;=pub_gid_0_single_true_output_csv[[#This Row],[KKM]],"Cukup","Kurang"))))</f>
        <v>Cukup</v>
      </c>
      <c r="AH1493">
        <f t="shared" si="70"/>
        <v>11</v>
      </c>
      <c r="AI1493" s="30" t="str">
        <f>IF(OR(J1493&lt;&gt;"Karakter",pub_gid_0_single_true_output_csv[[#This Row],[Nilai2]]=""),"",IF(AF1493&gt;89,"Sangat baik",IF(AF1493&gt;79,"Baik",IF(AF1493&gt;69,"Cukup",IF(AF1493&gt;59,"Kurang","Sangat kurang")))))</f>
        <v/>
      </c>
      <c r="AJ1493" t="str">
        <f t="shared" si="71"/>
        <v>Wk.7</v>
      </c>
      <c r="AK1493" t="str">
        <f>IF(pub_gid_0_single_true_output_csv[[#This Row],[Nilai2]]="","",VLOOKUP(pub_gid_0_single_true_output_csv[[#This Row],[NAMA]],Table7[],3,FALSE))</f>
        <v>Low average</v>
      </c>
    </row>
    <row r="1494" spans="1:37" x14ac:dyDescent="0.2">
      <c r="A1494">
        <v>1493</v>
      </c>
      <c r="B1494" t="s">
        <v>296</v>
      </c>
      <c r="C1494" t="s">
        <v>54</v>
      </c>
      <c r="D1494" t="s">
        <v>48</v>
      </c>
      <c r="E1494" t="s">
        <v>140</v>
      </c>
      <c r="F1494" s="25">
        <v>46028</v>
      </c>
      <c r="G1494" t="s">
        <v>349</v>
      </c>
      <c r="H1494" t="s">
        <v>405</v>
      </c>
      <c r="I1494" t="s">
        <v>371</v>
      </c>
      <c r="J1494" t="s">
        <v>41</v>
      </c>
      <c r="K1494" t="s">
        <v>157</v>
      </c>
      <c r="L1494" t="s">
        <v>324</v>
      </c>
      <c r="M1494" t="s">
        <v>141</v>
      </c>
      <c r="N1494" t="s">
        <v>142</v>
      </c>
      <c r="O1494" t="s">
        <v>155</v>
      </c>
      <c r="P1494" t="s">
        <v>281</v>
      </c>
      <c r="Q1494" t="s">
        <v>155</v>
      </c>
      <c r="R1494" t="s">
        <v>302</v>
      </c>
      <c r="S1494" t="s">
        <v>355</v>
      </c>
      <c r="T1494">
        <v>2</v>
      </c>
      <c r="U1494" t="s">
        <v>384</v>
      </c>
      <c r="V1494" t="s">
        <v>303</v>
      </c>
      <c r="W1494" t="s">
        <v>385</v>
      </c>
      <c r="X1494" t="s">
        <v>306</v>
      </c>
      <c r="Y1494" t="s">
        <v>307</v>
      </c>
      <c r="Z1494">
        <v>65</v>
      </c>
      <c r="AA1494">
        <v>65</v>
      </c>
      <c r="AB1494" t="s">
        <v>143</v>
      </c>
      <c r="AC1494" t="s">
        <v>51</v>
      </c>
      <c r="AD1494" t="s">
        <v>426</v>
      </c>
      <c r="AE1494" t="str">
        <f>IF(AF1494="","",VLOOKUP(AC1494,mapel!$A$2:$B$42,2,FALSE))</f>
        <v>Kopi</v>
      </c>
      <c r="AF1494">
        <f t="shared" si="69"/>
        <v>65</v>
      </c>
      <c r="AG1494" t="str">
        <f>IF(AF1494="","",IF(AF1494&gt;90,"Sangat baik",IF(AF1494&gt;79,"Baik",IF(AF1494&gt;=pub_gid_0_single_true_output_csv[[#This Row],[KKM]],"Cukup","Kurang"))))</f>
        <v>Cukup</v>
      </c>
      <c r="AH1494">
        <f t="shared" si="70"/>
        <v>11</v>
      </c>
      <c r="AI1494" s="30" t="str">
        <f>IF(OR(J1494&lt;&gt;"Karakter",pub_gid_0_single_true_output_csv[[#This Row],[Nilai2]]=""),"",IF(AF1494&gt;89,"Sangat baik",IF(AF1494&gt;79,"Baik",IF(AF1494&gt;69,"Cukup",IF(AF1494&gt;59,"Kurang","Sangat kurang")))))</f>
        <v/>
      </c>
      <c r="AJ1494" t="str">
        <f t="shared" si="71"/>
        <v>Wk.2</v>
      </c>
      <c r="AK1494" t="str">
        <f>IF(pub_gid_0_single_true_output_csv[[#This Row],[Nilai2]]="","",VLOOKUP(pub_gid_0_single_true_output_csv[[#This Row],[NAMA]],Table7[],3,FALSE))</f>
        <v>Average</v>
      </c>
    </row>
    <row r="1495" spans="1:37" x14ac:dyDescent="0.2">
      <c r="A1495">
        <v>1494</v>
      </c>
      <c r="B1495" t="s">
        <v>296</v>
      </c>
      <c r="C1495" t="s">
        <v>54</v>
      </c>
      <c r="D1495" t="s">
        <v>48</v>
      </c>
      <c r="E1495" t="s">
        <v>140</v>
      </c>
      <c r="F1495" s="25">
        <v>46042</v>
      </c>
      <c r="G1495" t="s">
        <v>474</v>
      </c>
      <c r="H1495" t="s">
        <v>405</v>
      </c>
      <c r="I1495" t="s">
        <v>371</v>
      </c>
      <c r="J1495" t="s">
        <v>41</v>
      </c>
      <c r="K1495" t="s">
        <v>272</v>
      </c>
      <c r="L1495" t="s">
        <v>322</v>
      </c>
      <c r="M1495" t="s">
        <v>141</v>
      </c>
      <c r="N1495" t="s">
        <v>142</v>
      </c>
      <c r="O1495" t="s">
        <v>155</v>
      </c>
      <c r="P1495" t="s">
        <v>281</v>
      </c>
      <c r="Q1495" t="s">
        <v>155</v>
      </c>
      <c r="R1495" t="s">
        <v>273</v>
      </c>
      <c r="S1495" t="s">
        <v>309</v>
      </c>
      <c r="T1495">
        <v>1</v>
      </c>
      <c r="U1495" t="s">
        <v>325</v>
      </c>
      <c r="V1495" t="s">
        <v>285</v>
      </c>
      <c r="W1495" t="s">
        <v>326</v>
      </c>
      <c r="X1495" t="s">
        <v>306</v>
      </c>
      <c r="Y1495" t="s">
        <v>307</v>
      </c>
      <c r="Z1495">
        <v>65</v>
      </c>
      <c r="AA1495">
        <v>70</v>
      </c>
      <c r="AB1495" t="s">
        <v>143</v>
      </c>
      <c r="AC1495" t="s">
        <v>51</v>
      </c>
      <c r="AD1495" t="s">
        <v>426</v>
      </c>
      <c r="AE1495" t="str">
        <f>IF(AF1495="","",VLOOKUP(AC1495,mapel!$A$2:$B$42,2,FALSE))</f>
        <v>Kopi</v>
      </c>
      <c r="AF1495">
        <f t="shared" si="69"/>
        <v>70</v>
      </c>
      <c r="AG1495" t="str">
        <f>IF(AF1495="","",IF(AF1495&gt;90,"Sangat baik",IF(AF1495&gt;79,"Baik",IF(AF1495&gt;=pub_gid_0_single_true_output_csv[[#This Row],[KKM]],"Cukup","Kurang"))))</f>
        <v>Cukup</v>
      </c>
      <c r="AH1495">
        <f t="shared" si="70"/>
        <v>11</v>
      </c>
      <c r="AI1495" s="30" t="str">
        <f>IF(OR(J1495&lt;&gt;"Karakter",pub_gid_0_single_true_output_csv[[#This Row],[Nilai2]]=""),"",IF(AF1495&gt;89,"Sangat baik",IF(AF1495&gt;79,"Baik",IF(AF1495&gt;69,"Cukup",IF(AF1495&gt;59,"Kurang","Sangat kurang")))))</f>
        <v/>
      </c>
      <c r="AJ1495" t="str">
        <f t="shared" si="71"/>
        <v>Wk.4</v>
      </c>
      <c r="AK1495" t="str">
        <f>IF(pub_gid_0_single_true_output_csv[[#This Row],[Nilai2]]="","",VLOOKUP(pub_gid_0_single_true_output_csv[[#This Row],[NAMA]],Table7[],3,FALSE))</f>
        <v>Average</v>
      </c>
    </row>
    <row r="1496" spans="1:37" x14ac:dyDescent="0.2">
      <c r="A1496">
        <v>1495</v>
      </c>
      <c r="B1496" t="s">
        <v>296</v>
      </c>
      <c r="C1496" t="s">
        <v>54</v>
      </c>
      <c r="D1496" t="s">
        <v>48</v>
      </c>
      <c r="E1496" t="s">
        <v>140</v>
      </c>
      <c r="F1496" s="25">
        <v>46063</v>
      </c>
      <c r="G1496" t="s">
        <v>374</v>
      </c>
      <c r="H1496" t="s">
        <v>412</v>
      </c>
      <c r="I1496" t="s">
        <v>371</v>
      </c>
      <c r="J1496" t="s">
        <v>41</v>
      </c>
      <c r="K1496" t="s">
        <v>157</v>
      </c>
      <c r="L1496" t="s">
        <v>383</v>
      </c>
      <c r="M1496" t="s">
        <v>141</v>
      </c>
      <c r="N1496" t="s">
        <v>142</v>
      </c>
      <c r="O1496" t="s">
        <v>155</v>
      </c>
      <c r="P1496" t="s">
        <v>281</v>
      </c>
      <c r="Q1496" t="s">
        <v>155</v>
      </c>
      <c r="R1496" t="s">
        <v>273</v>
      </c>
      <c r="S1496" t="s">
        <v>309</v>
      </c>
      <c r="T1496">
        <v>1</v>
      </c>
      <c r="U1496" t="s">
        <v>325</v>
      </c>
      <c r="V1496" t="s">
        <v>285</v>
      </c>
      <c r="W1496" t="s">
        <v>326</v>
      </c>
      <c r="X1496" t="s">
        <v>306</v>
      </c>
      <c r="Y1496" t="s">
        <v>307</v>
      </c>
      <c r="Z1496">
        <v>65</v>
      </c>
      <c r="AA1496">
        <v>75</v>
      </c>
      <c r="AB1496" t="s">
        <v>143</v>
      </c>
      <c r="AC1496" t="s">
        <v>51</v>
      </c>
      <c r="AD1496" t="s">
        <v>426</v>
      </c>
      <c r="AE1496" t="str">
        <f>IF(AF1496="","",VLOOKUP(AC1496,mapel!$A$2:$B$42,2,FALSE))</f>
        <v>Kopi</v>
      </c>
      <c r="AF1496">
        <f t="shared" si="69"/>
        <v>75</v>
      </c>
      <c r="AG1496" t="str">
        <f>IF(AF1496="","",IF(AF1496&gt;90,"Sangat baik",IF(AF1496&gt;79,"Baik",IF(AF1496&gt;=pub_gid_0_single_true_output_csv[[#This Row],[KKM]],"Cukup","Kurang"))))</f>
        <v>Cukup</v>
      </c>
      <c r="AH1496">
        <f t="shared" si="70"/>
        <v>11</v>
      </c>
      <c r="AI1496" s="30" t="str">
        <f>IF(OR(J1496&lt;&gt;"Karakter",pub_gid_0_single_true_output_csv[[#This Row],[Nilai2]]=""),"",IF(AF1496&gt;89,"Sangat baik",IF(AF1496&gt;79,"Baik",IF(AF1496&gt;69,"Cukup",IF(AF1496&gt;59,"Kurang","Sangat kurang")))))</f>
        <v/>
      </c>
      <c r="AJ1496" t="str">
        <f t="shared" si="71"/>
        <v>Wk.7</v>
      </c>
      <c r="AK1496" t="str">
        <f>IF(pub_gid_0_single_true_output_csv[[#This Row],[Nilai2]]="","",VLOOKUP(pub_gid_0_single_true_output_csv[[#This Row],[NAMA]],Table7[],3,FALSE))</f>
        <v>Average</v>
      </c>
    </row>
    <row r="1497" spans="1:37" x14ac:dyDescent="0.2">
      <c r="A1497">
        <v>1496</v>
      </c>
      <c r="B1497" t="s">
        <v>289</v>
      </c>
      <c r="C1497" t="s">
        <v>54</v>
      </c>
      <c r="D1497" t="s">
        <v>39</v>
      </c>
      <c r="E1497" t="s">
        <v>140</v>
      </c>
      <c r="F1497" s="25">
        <v>46035</v>
      </c>
      <c r="G1497" t="s">
        <v>358</v>
      </c>
      <c r="H1497" t="s">
        <v>405</v>
      </c>
      <c r="I1497" t="s">
        <v>371</v>
      </c>
      <c r="J1497" t="s">
        <v>41</v>
      </c>
      <c r="K1497" t="s">
        <v>365</v>
      </c>
      <c r="L1497" t="s">
        <v>322</v>
      </c>
      <c r="M1497" t="s">
        <v>141</v>
      </c>
      <c r="N1497" t="s">
        <v>142</v>
      </c>
      <c r="O1497" t="s">
        <v>155</v>
      </c>
      <c r="P1497" t="s">
        <v>281</v>
      </c>
      <c r="Q1497" t="s">
        <v>155</v>
      </c>
      <c r="R1497" t="s">
        <v>273</v>
      </c>
      <c r="S1497" t="s">
        <v>470</v>
      </c>
      <c r="T1497">
        <v>4</v>
      </c>
      <c r="U1497" t="s">
        <v>471</v>
      </c>
      <c r="V1497" t="s">
        <v>472</v>
      </c>
      <c r="W1497" t="s">
        <v>473</v>
      </c>
      <c r="X1497" t="s">
        <v>306</v>
      </c>
      <c r="Y1497" t="s">
        <v>307</v>
      </c>
      <c r="Z1497">
        <v>65</v>
      </c>
      <c r="AA1497">
        <v>90</v>
      </c>
      <c r="AB1497" t="s">
        <v>143</v>
      </c>
      <c r="AC1497" t="s">
        <v>52</v>
      </c>
      <c r="AD1497" t="s">
        <v>278</v>
      </c>
      <c r="AE1497" t="str">
        <f>IF(AF1497="","",VLOOKUP(AC1497,mapel!$A$2:$B$42,2,FALSE))</f>
        <v>Tepung</v>
      </c>
      <c r="AF1497">
        <f t="shared" si="69"/>
        <v>90</v>
      </c>
      <c r="AG1497" t="str">
        <f>IF(AF1497="","",IF(AF1497&gt;90,"Sangat baik",IF(AF1497&gt;79,"Baik",IF(AF1497&gt;=pub_gid_0_single_true_output_csv[[#This Row],[KKM]],"Cukup","Kurang"))))</f>
        <v>Baik</v>
      </c>
      <c r="AH1497">
        <f t="shared" si="70"/>
        <v>11</v>
      </c>
      <c r="AI1497" s="30" t="str">
        <f>IF(OR(J1497&lt;&gt;"Karakter",pub_gid_0_single_true_output_csv[[#This Row],[Nilai2]]=""),"",IF(AF1497&gt;89,"Sangat baik",IF(AF1497&gt;79,"Baik",IF(AF1497&gt;69,"Cukup",IF(AF1497&gt;59,"Kurang","Sangat kurang")))))</f>
        <v/>
      </c>
      <c r="AJ1497" t="str">
        <f t="shared" si="71"/>
        <v>Wk.3</v>
      </c>
      <c r="AK1497" t="str">
        <f>IF(pub_gid_0_single_true_output_csv[[#This Row],[Nilai2]]="","",VLOOKUP(pub_gid_0_single_true_output_csv[[#This Row],[NAMA]],Table7[],3,FALSE))</f>
        <v>Average</v>
      </c>
    </row>
    <row r="1498" spans="1:37" x14ac:dyDescent="0.2">
      <c r="A1498">
        <v>1497</v>
      </c>
      <c r="B1498" t="s">
        <v>289</v>
      </c>
      <c r="C1498" t="s">
        <v>54</v>
      </c>
      <c r="D1498" t="s">
        <v>39</v>
      </c>
      <c r="E1498" t="s">
        <v>140</v>
      </c>
      <c r="F1498" s="25">
        <v>46036</v>
      </c>
      <c r="G1498" t="s">
        <v>353</v>
      </c>
      <c r="H1498" t="s">
        <v>405</v>
      </c>
      <c r="I1498" t="s">
        <v>371</v>
      </c>
      <c r="J1498" t="s">
        <v>41</v>
      </c>
      <c r="K1498" t="s">
        <v>365</v>
      </c>
      <c r="L1498" t="s">
        <v>319</v>
      </c>
      <c r="M1498" t="s">
        <v>141</v>
      </c>
      <c r="N1498" t="s">
        <v>142</v>
      </c>
      <c r="O1498" t="s">
        <v>155</v>
      </c>
      <c r="P1498" t="s">
        <v>281</v>
      </c>
      <c r="Q1498" t="s">
        <v>155</v>
      </c>
      <c r="R1498" t="s">
        <v>273</v>
      </c>
      <c r="S1498" t="s">
        <v>470</v>
      </c>
      <c r="T1498">
        <v>4</v>
      </c>
      <c r="U1498" t="s">
        <v>471</v>
      </c>
      <c r="V1498" t="s">
        <v>472</v>
      </c>
      <c r="W1498" t="s">
        <v>473</v>
      </c>
      <c r="X1498" t="s">
        <v>306</v>
      </c>
      <c r="Y1498" t="s">
        <v>307</v>
      </c>
      <c r="Z1498">
        <v>65</v>
      </c>
      <c r="AA1498">
        <v>90</v>
      </c>
      <c r="AB1498" t="s">
        <v>143</v>
      </c>
      <c r="AC1498" t="s">
        <v>52</v>
      </c>
      <c r="AD1498" t="s">
        <v>278</v>
      </c>
      <c r="AE1498" t="str">
        <f>IF(AF1498="","",VLOOKUP(AC1498,mapel!$A$2:$B$42,2,FALSE))</f>
        <v>Tepung</v>
      </c>
      <c r="AF1498">
        <f t="shared" si="69"/>
        <v>90</v>
      </c>
      <c r="AG1498" t="str">
        <f>IF(AF1498="","",IF(AF1498&gt;90,"Sangat baik",IF(AF1498&gt;79,"Baik",IF(AF1498&gt;=pub_gid_0_single_true_output_csv[[#This Row],[KKM]],"Cukup","Kurang"))))</f>
        <v>Baik</v>
      </c>
      <c r="AH1498">
        <f t="shared" si="70"/>
        <v>11</v>
      </c>
      <c r="AI1498" s="30" t="str">
        <f>IF(OR(J1498&lt;&gt;"Karakter",pub_gid_0_single_true_output_csv[[#This Row],[Nilai2]]=""),"",IF(AF1498&gt;89,"Sangat baik",IF(AF1498&gt;79,"Baik",IF(AF1498&gt;69,"Cukup",IF(AF1498&gt;59,"Kurang","Sangat kurang")))))</f>
        <v/>
      </c>
      <c r="AJ1498" t="str">
        <f t="shared" si="71"/>
        <v>Wk.3</v>
      </c>
      <c r="AK1498" t="str">
        <f>IF(pub_gid_0_single_true_output_csv[[#This Row],[Nilai2]]="","",VLOOKUP(pub_gid_0_single_true_output_csv[[#This Row],[NAMA]],Table7[],3,FALSE))</f>
        <v>Average</v>
      </c>
    </row>
    <row r="1499" spans="1:37" x14ac:dyDescent="0.2">
      <c r="A1499">
        <v>1498</v>
      </c>
      <c r="B1499" t="s">
        <v>289</v>
      </c>
      <c r="C1499" t="s">
        <v>54</v>
      </c>
      <c r="D1499" t="s">
        <v>39</v>
      </c>
      <c r="E1499" t="s">
        <v>140</v>
      </c>
      <c r="F1499" s="25">
        <v>46037</v>
      </c>
      <c r="G1499" t="s">
        <v>356</v>
      </c>
      <c r="H1499" t="s">
        <v>405</v>
      </c>
      <c r="I1499" t="s">
        <v>371</v>
      </c>
      <c r="J1499" t="s">
        <v>36</v>
      </c>
      <c r="K1499" t="s">
        <v>37</v>
      </c>
      <c r="L1499" t="s">
        <v>383</v>
      </c>
      <c r="M1499" t="s">
        <v>141</v>
      </c>
      <c r="N1499" t="s">
        <v>142</v>
      </c>
      <c r="O1499" t="s">
        <v>155</v>
      </c>
      <c r="P1499" t="s">
        <v>281</v>
      </c>
      <c r="Q1499" t="s">
        <v>155</v>
      </c>
      <c r="R1499" t="s">
        <v>273</v>
      </c>
      <c r="S1499" t="s">
        <v>470</v>
      </c>
      <c r="T1499">
        <v>4</v>
      </c>
      <c r="U1499" t="s">
        <v>471</v>
      </c>
      <c r="V1499" t="s">
        <v>472</v>
      </c>
      <c r="W1499" t="s">
        <v>473</v>
      </c>
      <c r="X1499" t="s">
        <v>306</v>
      </c>
      <c r="Y1499" t="s">
        <v>307</v>
      </c>
      <c r="Z1499">
        <v>65</v>
      </c>
      <c r="AA1499">
        <v>85</v>
      </c>
      <c r="AB1499" t="s">
        <v>143</v>
      </c>
      <c r="AC1499" t="s">
        <v>52</v>
      </c>
      <c r="AD1499" t="s">
        <v>278</v>
      </c>
      <c r="AE1499" t="str">
        <f>IF(AF1499="","",VLOOKUP(AC1499,mapel!$A$2:$B$42,2,FALSE))</f>
        <v>Tepung</v>
      </c>
      <c r="AF1499">
        <f t="shared" si="69"/>
        <v>85</v>
      </c>
      <c r="AG1499" t="str">
        <f>IF(AF1499="","",IF(AF1499&gt;90,"Sangat baik",IF(AF1499&gt;79,"Baik",IF(AF1499&gt;=pub_gid_0_single_true_output_csv[[#This Row],[KKM]],"Cukup","Kurang"))))</f>
        <v>Baik</v>
      </c>
      <c r="AH1499">
        <f t="shared" si="70"/>
        <v>11</v>
      </c>
      <c r="AI1499" s="30" t="str">
        <f>IF(OR(J1499&lt;&gt;"Karakter",pub_gid_0_single_true_output_csv[[#This Row],[Nilai2]]=""),"",IF(AF1499&gt;89,"Sangat baik",IF(AF1499&gt;79,"Baik",IF(AF1499&gt;69,"Cukup",IF(AF1499&gt;59,"Kurang","Sangat kurang")))))</f>
        <v/>
      </c>
      <c r="AJ1499" t="str">
        <f t="shared" si="71"/>
        <v>Wk.3</v>
      </c>
      <c r="AK1499" t="str">
        <f>IF(pub_gid_0_single_true_output_csv[[#This Row],[Nilai2]]="","",VLOOKUP(pub_gid_0_single_true_output_csv[[#This Row],[NAMA]],Table7[],3,FALSE))</f>
        <v>Average</v>
      </c>
    </row>
    <row r="1500" spans="1:37" x14ac:dyDescent="0.2">
      <c r="A1500">
        <v>1499</v>
      </c>
      <c r="B1500" t="s">
        <v>289</v>
      </c>
      <c r="C1500" t="s">
        <v>54</v>
      </c>
      <c r="D1500" t="s">
        <v>39</v>
      </c>
      <c r="E1500" t="s">
        <v>140</v>
      </c>
      <c r="F1500" s="25">
        <v>46042</v>
      </c>
      <c r="G1500" t="s">
        <v>474</v>
      </c>
      <c r="H1500" t="s">
        <v>405</v>
      </c>
      <c r="I1500" t="s">
        <v>371</v>
      </c>
      <c r="J1500" t="s">
        <v>90</v>
      </c>
      <c r="K1500" t="s">
        <v>366</v>
      </c>
      <c r="L1500" t="s">
        <v>475</v>
      </c>
      <c r="M1500" t="s">
        <v>141</v>
      </c>
      <c r="N1500" t="s">
        <v>142</v>
      </c>
      <c r="O1500" t="s">
        <v>155</v>
      </c>
      <c r="P1500" t="s">
        <v>281</v>
      </c>
      <c r="Q1500" t="s">
        <v>155</v>
      </c>
      <c r="R1500" t="s">
        <v>273</v>
      </c>
      <c r="S1500" t="s">
        <v>470</v>
      </c>
      <c r="T1500">
        <v>4</v>
      </c>
      <c r="U1500" t="s">
        <v>471</v>
      </c>
      <c r="V1500" t="s">
        <v>472</v>
      </c>
      <c r="W1500" t="s">
        <v>473</v>
      </c>
      <c r="X1500" t="s">
        <v>306</v>
      </c>
      <c r="Y1500" t="s">
        <v>307</v>
      </c>
      <c r="Z1500">
        <v>65</v>
      </c>
      <c r="AA1500">
        <v>100</v>
      </c>
      <c r="AB1500" t="s">
        <v>143</v>
      </c>
      <c r="AC1500" t="s">
        <v>52</v>
      </c>
      <c r="AD1500" t="s">
        <v>278</v>
      </c>
      <c r="AE1500" t="str">
        <f>IF(AF1500="","",VLOOKUP(AC1500,mapel!$A$2:$B$42,2,FALSE))</f>
        <v>Tepung</v>
      </c>
      <c r="AF1500">
        <f t="shared" si="69"/>
        <v>100</v>
      </c>
      <c r="AG1500" t="str">
        <f>IF(AF1500="","",IF(AF1500&gt;90,"Sangat baik",IF(AF1500&gt;79,"Baik",IF(AF1500&gt;=pub_gid_0_single_true_output_csv[[#This Row],[KKM]],"Cukup","Kurang"))))</f>
        <v>Sangat baik</v>
      </c>
      <c r="AH1500">
        <f t="shared" si="70"/>
        <v>11</v>
      </c>
      <c r="AI1500" s="30" t="str">
        <f>IF(OR(J1500&lt;&gt;"Karakter",pub_gid_0_single_true_output_csv[[#This Row],[Nilai2]]=""),"",IF(AF1500&gt;89,"Sangat baik",IF(AF1500&gt;79,"Baik",IF(AF1500&gt;69,"Cukup",IF(AF1500&gt;59,"Kurang","Sangat kurang")))))</f>
        <v>Sangat baik</v>
      </c>
      <c r="AJ1500" t="str">
        <f t="shared" si="71"/>
        <v>Wk.4</v>
      </c>
      <c r="AK1500" t="str">
        <f>IF(pub_gid_0_single_true_output_csv[[#This Row],[Nilai2]]="","",VLOOKUP(pub_gid_0_single_true_output_csv[[#This Row],[NAMA]],Table7[],3,FALSE))</f>
        <v>Average</v>
      </c>
    </row>
    <row r="1501" spans="1:37" x14ac:dyDescent="0.2">
      <c r="A1501">
        <v>1500</v>
      </c>
      <c r="B1501" t="s">
        <v>289</v>
      </c>
      <c r="C1501" t="s">
        <v>54</v>
      </c>
      <c r="D1501" t="s">
        <v>39</v>
      </c>
      <c r="E1501" t="s">
        <v>140</v>
      </c>
      <c r="F1501" s="25">
        <v>46051</v>
      </c>
      <c r="G1501" t="s">
        <v>320</v>
      </c>
      <c r="H1501" t="s">
        <v>405</v>
      </c>
      <c r="I1501" t="s">
        <v>371</v>
      </c>
      <c r="J1501" t="s">
        <v>41</v>
      </c>
      <c r="K1501" t="s">
        <v>365</v>
      </c>
      <c r="L1501" t="s">
        <v>319</v>
      </c>
      <c r="M1501" t="s">
        <v>141</v>
      </c>
      <c r="N1501" t="s">
        <v>142</v>
      </c>
      <c r="O1501" t="s">
        <v>155</v>
      </c>
      <c r="P1501" t="s">
        <v>281</v>
      </c>
      <c r="Q1501" t="s">
        <v>155</v>
      </c>
      <c r="R1501" t="s">
        <v>273</v>
      </c>
      <c r="S1501" t="s">
        <v>470</v>
      </c>
      <c r="T1501">
        <v>4</v>
      </c>
      <c r="U1501" t="s">
        <v>471</v>
      </c>
      <c r="V1501" t="s">
        <v>472</v>
      </c>
      <c r="W1501" t="s">
        <v>473</v>
      </c>
      <c r="X1501" t="s">
        <v>306</v>
      </c>
      <c r="Y1501" t="s">
        <v>307</v>
      </c>
      <c r="Z1501">
        <v>65</v>
      </c>
      <c r="AA1501">
        <v>80</v>
      </c>
      <c r="AB1501" t="s">
        <v>143</v>
      </c>
      <c r="AC1501" t="s">
        <v>52</v>
      </c>
      <c r="AD1501" t="s">
        <v>278</v>
      </c>
      <c r="AE1501" t="str">
        <f>IF(AF1501="","",VLOOKUP(AC1501,mapel!$A$2:$B$42,2,FALSE))</f>
        <v>Tepung</v>
      </c>
      <c r="AF1501">
        <f t="shared" si="69"/>
        <v>80</v>
      </c>
      <c r="AG1501" t="str">
        <f>IF(AF1501="","",IF(AF1501&gt;90,"Sangat baik",IF(AF1501&gt;79,"Baik",IF(AF1501&gt;=pub_gid_0_single_true_output_csv[[#This Row],[KKM]],"Cukup","Kurang"))))</f>
        <v>Baik</v>
      </c>
      <c r="AH1501">
        <f t="shared" si="70"/>
        <v>11</v>
      </c>
      <c r="AI1501" s="30" t="str">
        <f>IF(OR(J1501&lt;&gt;"Karakter",pub_gid_0_single_true_output_csv[[#This Row],[Nilai2]]=""),"",IF(AF1501&gt;89,"Sangat baik",IF(AF1501&gt;79,"Baik",IF(AF1501&gt;69,"Cukup",IF(AF1501&gt;59,"Kurang","Sangat kurang")))))</f>
        <v/>
      </c>
      <c r="AJ1501" t="str">
        <f t="shared" si="71"/>
        <v>Wk.5</v>
      </c>
      <c r="AK1501" t="str">
        <f>IF(pub_gid_0_single_true_output_csv[[#This Row],[Nilai2]]="","",VLOOKUP(pub_gid_0_single_true_output_csv[[#This Row],[NAMA]],Table7[],3,FALSE))</f>
        <v>Average</v>
      </c>
    </row>
    <row r="1502" spans="1:37" x14ac:dyDescent="0.2">
      <c r="A1502">
        <v>1501</v>
      </c>
      <c r="B1502" t="s">
        <v>289</v>
      </c>
      <c r="C1502" t="s">
        <v>54</v>
      </c>
      <c r="D1502" t="s">
        <v>39</v>
      </c>
      <c r="E1502" t="s">
        <v>140</v>
      </c>
      <c r="F1502" s="25">
        <v>46056</v>
      </c>
      <c r="G1502" t="s">
        <v>372</v>
      </c>
      <c r="H1502" t="s">
        <v>412</v>
      </c>
      <c r="I1502" t="s">
        <v>371</v>
      </c>
      <c r="J1502" t="s">
        <v>41</v>
      </c>
      <c r="K1502" t="s">
        <v>365</v>
      </c>
      <c r="L1502" t="s">
        <v>322</v>
      </c>
      <c r="M1502" t="s">
        <v>141</v>
      </c>
      <c r="N1502" t="s">
        <v>142</v>
      </c>
      <c r="O1502" t="s">
        <v>155</v>
      </c>
      <c r="P1502" t="s">
        <v>281</v>
      </c>
      <c r="Q1502" t="s">
        <v>155</v>
      </c>
      <c r="R1502" t="s">
        <v>273</v>
      </c>
      <c r="S1502" t="s">
        <v>309</v>
      </c>
      <c r="T1502">
        <v>1</v>
      </c>
      <c r="U1502" t="s">
        <v>393</v>
      </c>
      <c r="V1502" t="s">
        <v>285</v>
      </c>
      <c r="W1502" t="s">
        <v>394</v>
      </c>
      <c r="X1502" t="s">
        <v>306</v>
      </c>
      <c r="Y1502" t="s">
        <v>307</v>
      </c>
      <c r="Z1502">
        <v>65</v>
      </c>
      <c r="AA1502">
        <v>78</v>
      </c>
      <c r="AB1502" t="s">
        <v>143</v>
      </c>
      <c r="AC1502" t="s">
        <v>52</v>
      </c>
      <c r="AD1502" t="s">
        <v>278</v>
      </c>
      <c r="AE1502" t="str">
        <f>IF(AF1502="","",VLOOKUP(AC1502,mapel!$A$2:$B$42,2,FALSE))</f>
        <v>Tepung</v>
      </c>
      <c r="AF1502">
        <f t="shared" si="69"/>
        <v>78</v>
      </c>
      <c r="AG1502" t="str">
        <f>IF(AF1502="","",IF(AF1502&gt;90,"Sangat baik",IF(AF1502&gt;79,"Baik",IF(AF1502&gt;=pub_gid_0_single_true_output_csv[[#This Row],[KKM]],"Cukup","Kurang"))))</f>
        <v>Cukup</v>
      </c>
      <c r="AH1502">
        <f t="shared" si="70"/>
        <v>11</v>
      </c>
      <c r="AI1502" s="30" t="str">
        <f>IF(OR(J1502&lt;&gt;"Karakter",pub_gid_0_single_true_output_csv[[#This Row],[Nilai2]]=""),"",IF(AF1502&gt;89,"Sangat baik",IF(AF1502&gt;79,"Baik",IF(AF1502&gt;69,"Cukup",IF(AF1502&gt;59,"Kurang","Sangat kurang")))))</f>
        <v/>
      </c>
      <c r="AJ1502" t="str">
        <f t="shared" si="71"/>
        <v>Wk.6</v>
      </c>
      <c r="AK1502" t="str">
        <f>IF(pub_gid_0_single_true_output_csv[[#This Row],[Nilai2]]="","",VLOOKUP(pub_gid_0_single_true_output_csv[[#This Row],[NAMA]],Table7[],3,FALSE))</f>
        <v>Average</v>
      </c>
    </row>
    <row r="1503" spans="1:37" x14ac:dyDescent="0.2">
      <c r="A1503">
        <v>1502</v>
      </c>
      <c r="B1503" t="s">
        <v>289</v>
      </c>
      <c r="C1503" t="s">
        <v>54</v>
      </c>
      <c r="D1503" t="s">
        <v>39</v>
      </c>
      <c r="E1503" t="s">
        <v>140</v>
      </c>
      <c r="F1503" s="25">
        <v>46057</v>
      </c>
      <c r="G1503" t="s">
        <v>348</v>
      </c>
      <c r="H1503" t="s">
        <v>412</v>
      </c>
      <c r="I1503" t="s">
        <v>371</v>
      </c>
      <c r="J1503" t="s">
        <v>36</v>
      </c>
      <c r="K1503" t="s">
        <v>153</v>
      </c>
      <c r="L1503" t="s">
        <v>395</v>
      </c>
      <c r="M1503" t="s">
        <v>141</v>
      </c>
      <c r="N1503" t="s">
        <v>142</v>
      </c>
      <c r="O1503" t="s">
        <v>155</v>
      </c>
      <c r="P1503" t="s">
        <v>281</v>
      </c>
      <c r="Q1503" t="s">
        <v>155</v>
      </c>
      <c r="R1503" t="s">
        <v>273</v>
      </c>
      <c r="S1503" t="s">
        <v>309</v>
      </c>
      <c r="T1503">
        <v>1</v>
      </c>
      <c r="U1503" t="s">
        <v>393</v>
      </c>
      <c r="V1503" t="s">
        <v>285</v>
      </c>
      <c r="W1503" t="s">
        <v>394</v>
      </c>
      <c r="X1503" t="s">
        <v>306</v>
      </c>
      <c r="Y1503" t="s">
        <v>307</v>
      </c>
      <c r="Z1503">
        <v>65</v>
      </c>
      <c r="AA1503">
        <v>78</v>
      </c>
      <c r="AB1503" t="s">
        <v>143</v>
      </c>
      <c r="AC1503" t="s">
        <v>52</v>
      </c>
      <c r="AD1503" t="s">
        <v>278</v>
      </c>
      <c r="AE1503" t="str">
        <f>IF(AF1503="","",VLOOKUP(AC1503,mapel!$A$2:$B$42,2,FALSE))</f>
        <v>Tepung</v>
      </c>
      <c r="AF1503">
        <f t="shared" si="69"/>
        <v>78</v>
      </c>
      <c r="AG1503" t="str">
        <f>IF(AF1503="","",IF(AF1503&gt;90,"Sangat baik",IF(AF1503&gt;79,"Baik",IF(AF1503&gt;=pub_gid_0_single_true_output_csv[[#This Row],[KKM]],"Cukup","Kurang"))))</f>
        <v>Cukup</v>
      </c>
      <c r="AH1503">
        <f t="shared" si="70"/>
        <v>11</v>
      </c>
      <c r="AI1503" s="30" t="str">
        <f>IF(OR(J1503&lt;&gt;"Karakter",pub_gid_0_single_true_output_csv[[#This Row],[Nilai2]]=""),"",IF(AF1503&gt;89,"Sangat baik",IF(AF1503&gt;79,"Baik",IF(AF1503&gt;69,"Cukup",IF(AF1503&gt;59,"Kurang","Sangat kurang")))))</f>
        <v/>
      </c>
      <c r="AJ1503" t="str">
        <f t="shared" si="71"/>
        <v>Wk.6</v>
      </c>
      <c r="AK1503" t="str">
        <f>IF(pub_gid_0_single_true_output_csv[[#This Row],[Nilai2]]="","",VLOOKUP(pub_gid_0_single_true_output_csv[[#This Row],[NAMA]],Table7[],3,FALSE))</f>
        <v>Average</v>
      </c>
    </row>
    <row r="1504" spans="1:37" x14ac:dyDescent="0.2">
      <c r="A1504">
        <v>1503</v>
      </c>
      <c r="B1504" t="s">
        <v>289</v>
      </c>
      <c r="C1504" t="s">
        <v>54</v>
      </c>
      <c r="D1504" t="s">
        <v>39</v>
      </c>
      <c r="E1504" t="s">
        <v>140</v>
      </c>
      <c r="F1504" s="25">
        <v>46058</v>
      </c>
      <c r="G1504" t="s">
        <v>346</v>
      </c>
      <c r="H1504" t="s">
        <v>412</v>
      </c>
      <c r="I1504" t="s">
        <v>371</v>
      </c>
      <c r="J1504" t="s">
        <v>41</v>
      </c>
      <c r="K1504" t="s">
        <v>365</v>
      </c>
      <c r="L1504" t="s">
        <v>322</v>
      </c>
      <c r="M1504" t="s">
        <v>141</v>
      </c>
      <c r="N1504" t="s">
        <v>142</v>
      </c>
      <c r="O1504" t="s">
        <v>155</v>
      </c>
      <c r="P1504" t="s">
        <v>281</v>
      </c>
      <c r="Q1504" t="s">
        <v>155</v>
      </c>
      <c r="R1504" t="s">
        <v>273</v>
      </c>
      <c r="S1504" t="s">
        <v>309</v>
      </c>
      <c r="T1504">
        <v>1</v>
      </c>
      <c r="U1504" t="s">
        <v>393</v>
      </c>
      <c r="V1504" t="s">
        <v>285</v>
      </c>
      <c r="W1504" t="s">
        <v>394</v>
      </c>
      <c r="X1504" t="s">
        <v>306</v>
      </c>
      <c r="Y1504" t="s">
        <v>307</v>
      </c>
      <c r="Z1504">
        <v>65</v>
      </c>
      <c r="AA1504">
        <v>78</v>
      </c>
      <c r="AB1504" t="s">
        <v>143</v>
      </c>
      <c r="AC1504" t="s">
        <v>52</v>
      </c>
      <c r="AD1504" t="s">
        <v>278</v>
      </c>
      <c r="AE1504" t="str">
        <f>IF(AF1504="","",VLOOKUP(AC1504,mapel!$A$2:$B$42,2,FALSE))</f>
        <v>Tepung</v>
      </c>
      <c r="AF1504">
        <f t="shared" si="69"/>
        <v>78</v>
      </c>
      <c r="AG1504" t="str">
        <f>IF(AF1504="","",IF(AF1504&gt;90,"Sangat baik",IF(AF1504&gt;79,"Baik",IF(AF1504&gt;=pub_gid_0_single_true_output_csv[[#This Row],[KKM]],"Cukup","Kurang"))))</f>
        <v>Cukup</v>
      </c>
      <c r="AH1504">
        <f t="shared" si="70"/>
        <v>11</v>
      </c>
      <c r="AI1504" s="30" t="str">
        <f>IF(OR(J1504&lt;&gt;"Karakter",pub_gid_0_single_true_output_csv[[#This Row],[Nilai2]]=""),"",IF(AF1504&gt;89,"Sangat baik",IF(AF1504&gt;79,"Baik",IF(AF1504&gt;69,"Cukup",IF(AF1504&gt;59,"Kurang","Sangat kurang")))))</f>
        <v/>
      </c>
      <c r="AJ1504" t="str">
        <f t="shared" si="71"/>
        <v>Wk.6</v>
      </c>
      <c r="AK1504" t="str">
        <f>IF(pub_gid_0_single_true_output_csv[[#This Row],[Nilai2]]="","",VLOOKUP(pub_gid_0_single_true_output_csv[[#This Row],[NAMA]],Table7[],3,FALSE))</f>
        <v>Average</v>
      </c>
    </row>
    <row r="1505" spans="1:37" x14ac:dyDescent="0.2">
      <c r="A1505">
        <v>1504</v>
      </c>
      <c r="B1505" t="s">
        <v>289</v>
      </c>
      <c r="C1505" t="s">
        <v>54</v>
      </c>
      <c r="D1505" t="s">
        <v>39</v>
      </c>
      <c r="E1505" t="s">
        <v>140</v>
      </c>
      <c r="F1505" s="25">
        <v>46063</v>
      </c>
      <c r="G1505" t="s">
        <v>374</v>
      </c>
      <c r="H1505" t="s">
        <v>412</v>
      </c>
      <c r="I1505" t="s">
        <v>371</v>
      </c>
      <c r="J1505" t="s">
        <v>36</v>
      </c>
      <c r="K1505" t="s">
        <v>153</v>
      </c>
      <c r="L1505" t="s">
        <v>395</v>
      </c>
      <c r="M1505" t="s">
        <v>141</v>
      </c>
      <c r="N1505" t="s">
        <v>142</v>
      </c>
      <c r="O1505" t="s">
        <v>155</v>
      </c>
      <c r="P1505" t="s">
        <v>281</v>
      </c>
      <c r="Q1505" t="s">
        <v>155</v>
      </c>
      <c r="R1505" t="s">
        <v>273</v>
      </c>
      <c r="S1505" t="s">
        <v>309</v>
      </c>
      <c r="T1505">
        <v>1</v>
      </c>
      <c r="U1505" t="s">
        <v>393</v>
      </c>
      <c r="V1505" t="s">
        <v>285</v>
      </c>
      <c r="W1505" t="s">
        <v>394</v>
      </c>
      <c r="X1505" t="s">
        <v>306</v>
      </c>
      <c r="Y1505" t="s">
        <v>307</v>
      </c>
      <c r="Z1505">
        <v>65</v>
      </c>
      <c r="AA1505">
        <v>78</v>
      </c>
      <c r="AB1505" t="s">
        <v>143</v>
      </c>
      <c r="AC1505" t="s">
        <v>52</v>
      </c>
      <c r="AD1505" t="s">
        <v>278</v>
      </c>
      <c r="AE1505" t="str">
        <f>IF(AF1505="","",VLOOKUP(AC1505,mapel!$A$2:$B$42,2,FALSE))</f>
        <v>Tepung</v>
      </c>
      <c r="AF1505">
        <f t="shared" si="69"/>
        <v>78</v>
      </c>
      <c r="AG1505" t="str">
        <f>IF(AF1505="","",IF(AF1505&gt;90,"Sangat baik",IF(AF1505&gt;79,"Baik",IF(AF1505&gt;=pub_gid_0_single_true_output_csv[[#This Row],[KKM]],"Cukup","Kurang"))))</f>
        <v>Cukup</v>
      </c>
      <c r="AH1505">
        <f t="shared" si="70"/>
        <v>11</v>
      </c>
      <c r="AI1505" s="30" t="str">
        <f>IF(OR(J1505&lt;&gt;"Karakter",pub_gid_0_single_true_output_csv[[#This Row],[Nilai2]]=""),"",IF(AF1505&gt;89,"Sangat baik",IF(AF1505&gt;79,"Baik",IF(AF1505&gt;69,"Cukup",IF(AF1505&gt;59,"Kurang","Sangat kurang")))))</f>
        <v/>
      </c>
      <c r="AJ1505" t="str">
        <f t="shared" si="71"/>
        <v>Wk.7</v>
      </c>
      <c r="AK1505" t="str">
        <f>IF(pub_gid_0_single_true_output_csv[[#This Row],[Nilai2]]="","",VLOOKUP(pub_gid_0_single_true_output_csv[[#This Row],[NAMA]],Table7[],3,FALSE))</f>
        <v>Average</v>
      </c>
    </row>
    <row r="1506" spans="1:37" x14ac:dyDescent="0.2">
      <c r="A1506">
        <v>1505</v>
      </c>
      <c r="B1506" t="s">
        <v>289</v>
      </c>
      <c r="C1506" t="s">
        <v>54</v>
      </c>
      <c r="D1506" t="s">
        <v>39</v>
      </c>
      <c r="E1506" t="s">
        <v>140</v>
      </c>
      <c r="F1506" s="25">
        <v>46064</v>
      </c>
      <c r="G1506" t="s">
        <v>352</v>
      </c>
      <c r="H1506" t="s">
        <v>412</v>
      </c>
      <c r="I1506" t="s">
        <v>371</v>
      </c>
      <c r="J1506" t="s">
        <v>31</v>
      </c>
      <c r="K1506" t="s">
        <v>32</v>
      </c>
      <c r="L1506" t="s">
        <v>395</v>
      </c>
      <c r="M1506" t="s">
        <v>141</v>
      </c>
      <c r="N1506" t="s">
        <v>142</v>
      </c>
      <c r="O1506" t="s">
        <v>155</v>
      </c>
      <c r="P1506" t="s">
        <v>281</v>
      </c>
      <c r="Q1506" t="s">
        <v>155</v>
      </c>
      <c r="R1506" t="s">
        <v>273</v>
      </c>
      <c r="S1506" t="s">
        <v>309</v>
      </c>
      <c r="T1506">
        <v>1</v>
      </c>
      <c r="U1506" t="s">
        <v>393</v>
      </c>
      <c r="V1506" t="s">
        <v>285</v>
      </c>
      <c r="W1506" t="s">
        <v>394</v>
      </c>
      <c r="X1506" t="s">
        <v>306</v>
      </c>
      <c r="Y1506" t="s">
        <v>307</v>
      </c>
      <c r="Z1506">
        <v>65</v>
      </c>
      <c r="AA1506">
        <v>78</v>
      </c>
      <c r="AB1506" t="s">
        <v>143</v>
      </c>
      <c r="AC1506" t="s">
        <v>52</v>
      </c>
      <c r="AD1506" t="s">
        <v>278</v>
      </c>
      <c r="AE1506" t="str">
        <f>IF(AF1506="","",VLOOKUP(AC1506,mapel!$A$2:$B$42,2,FALSE))</f>
        <v>Tepung</v>
      </c>
      <c r="AF1506">
        <f t="shared" si="69"/>
        <v>78</v>
      </c>
      <c r="AG1506" t="str">
        <f>IF(AF1506="","",IF(AF1506&gt;90,"Sangat baik",IF(AF1506&gt;79,"Baik",IF(AF1506&gt;=pub_gid_0_single_true_output_csv[[#This Row],[KKM]],"Cukup","Kurang"))))</f>
        <v>Cukup</v>
      </c>
      <c r="AH1506">
        <f t="shared" si="70"/>
        <v>11</v>
      </c>
      <c r="AI1506" s="30" t="str">
        <f>IF(OR(J1506&lt;&gt;"Karakter",pub_gid_0_single_true_output_csv[[#This Row],[Nilai2]]=""),"",IF(AF1506&gt;89,"Sangat baik",IF(AF1506&gt;79,"Baik",IF(AF1506&gt;69,"Cukup",IF(AF1506&gt;59,"Kurang","Sangat kurang")))))</f>
        <v/>
      </c>
      <c r="AJ1506" t="str">
        <f t="shared" si="71"/>
        <v>Wk.7</v>
      </c>
      <c r="AK1506" t="str">
        <f>IF(pub_gid_0_single_true_output_csv[[#This Row],[Nilai2]]="","",VLOOKUP(pub_gid_0_single_true_output_csv[[#This Row],[NAMA]],Table7[],3,FALSE))</f>
        <v>Average</v>
      </c>
    </row>
    <row r="1507" spans="1:37" x14ac:dyDescent="0.2">
      <c r="A1507">
        <v>1506</v>
      </c>
      <c r="B1507" t="s">
        <v>289</v>
      </c>
      <c r="C1507" t="s">
        <v>54</v>
      </c>
      <c r="D1507" t="s">
        <v>39</v>
      </c>
      <c r="E1507" t="s">
        <v>140</v>
      </c>
      <c r="F1507" s="25">
        <v>46065</v>
      </c>
      <c r="G1507" t="s">
        <v>354</v>
      </c>
      <c r="H1507" t="s">
        <v>412</v>
      </c>
      <c r="I1507" t="s">
        <v>371</v>
      </c>
      <c r="J1507" t="s">
        <v>41</v>
      </c>
      <c r="K1507" t="s">
        <v>365</v>
      </c>
      <c r="L1507" t="s">
        <v>322</v>
      </c>
      <c r="M1507" t="s">
        <v>141</v>
      </c>
      <c r="N1507" t="s">
        <v>142</v>
      </c>
      <c r="O1507" t="s">
        <v>155</v>
      </c>
      <c r="P1507" t="s">
        <v>281</v>
      </c>
      <c r="Q1507" t="s">
        <v>155</v>
      </c>
      <c r="R1507" t="s">
        <v>273</v>
      </c>
      <c r="S1507" t="s">
        <v>309</v>
      </c>
      <c r="T1507">
        <v>1</v>
      </c>
      <c r="U1507" t="s">
        <v>393</v>
      </c>
      <c r="V1507" t="s">
        <v>285</v>
      </c>
      <c r="W1507" t="s">
        <v>394</v>
      </c>
      <c r="X1507" t="s">
        <v>306</v>
      </c>
      <c r="Y1507" t="s">
        <v>307</v>
      </c>
      <c r="Z1507">
        <v>65</v>
      </c>
      <c r="AA1507">
        <v>78</v>
      </c>
      <c r="AB1507" t="s">
        <v>143</v>
      </c>
      <c r="AC1507" t="s">
        <v>52</v>
      </c>
      <c r="AD1507" t="s">
        <v>278</v>
      </c>
      <c r="AE1507" t="str">
        <f>IF(AF1507="","",VLOOKUP(AC1507,mapel!$A$2:$B$42,2,FALSE))</f>
        <v>Tepung</v>
      </c>
      <c r="AF1507">
        <f t="shared" si="69"/>
        <v>78</v>
      </c>
      <c r="AG1507" t="str">
        <f>IF(AF1507="","",IF(AF1507&gt;90,"Sangat baik",IF(AF1507&gt;79,"Baik",IF(AF1507&gt;=pub_gid_0_single_true_output_csv[[#This Row],[KKM]],"Cukup","Kurang"))))</f>
        <v>Cukup</v>
      </c>
      <c r="AH1507">
        <f t="shared" si="70"/>
        <v>11</v>
      </c>
      <c r="AI1507" s="30" t="str">
        <f>IF(OR(J1507&lt;&gt;"Karakter",pub_gid_0_single_true_output_csv[[#This Row],[Nilai2]]=""),"",IF(AF1507&gt;89,"Sangat baik",IF(AF1507&gt;79,"Baik",IF(AF1507&gt;69,"Cukup",IF(AF1507&gt;59,"Kurang","Sangat kurang")))))</f>
        <v/>
      </c>
      <c r="AJ1507" t="str">
        <f t="shared" si="71"/>
        <v>Wk.7</v>
      </c>
      <c r="AK1507" t="str">
        <f>IF(pub_gid_0_single_true_output_csv[[#This Row],[Nilai2]]="","",VLOOKUP(pub_gid_0_single_true_output_csv[[#This Row],[NAMA]],Table7[],3,FALSE))</f>
        <v>Average</v>
      </c>
    </row>
    <row r="1508" spans="1:37" x14ac:dyDescent="0.2">
      <c r="A1508">
        <v>1507</v>
      </c>
      <c r="B1508" t="s">
        <v>289</v>
      </c>
      <c r="C1508" t="s">
        <v>54</v>
      </c>
      <c r="D1508" t="s">
        <v>39</v>
      </c>
      <c r="E1508" t="s">
        <v>140</v>
      </c>
      <c r="F1508" s="25">
        <v>46071</v>
      </c>
      <c r="G1508" t="s">
        <v>323</v>
      </c>
      <c r="H1508" t="s">
        <v>412</v>
      </c>
      <c r="I1508" t="s">
        <v>371</v>
      </c>
      <c r="J1508" t="s">
        <v>41</v>
      </c>
      <c r="K1508" t="s">
        <v>365</v>
      </c>
      <c r="L1508" t="s">
        <v>319</v>
      </c>
      <c r="M1508" t="s">
        <v>141</v>
      </c>
      <c r="N1508" t="s">
        <v>142</v>
      </c>
      <c r="O1508" t="s">
        <v>155</v>
      </c>
      <c r="P1508" t="s">
        <v>281</v>
      </c>
      <c r="Q1508" t="s">
        <v>155</v>
      </c>
      <c r="R1508" t="s">
        <v>273</v>
      </c>
      <c r="S1508" t="s">
        <v>470</v>
      </c>
      <c r="T1508">
        <v>4</v>
      </c>
      <c r="U1508" t="s">
        <v>471</v>
      </c>
      <c r="V1508" t="s">
        <v>472</v>
      </c>
      <c r="W1508" t="s">
        <v>473</v>
      </c>
      <c r="X1508" t="s">
        <v>306</v>
      </c>
      <c r="Y1508" t="s">
        <v>307</v>
      </c>
      <c r="Z1508">
        <v>65</v>
      </c>
      <c r="AA1508">
        <v>80</v>
      </c>
      <c r="AB1508" t="s">
        <v>143</v>
      </c>
      <c r="AC1508" t="s">
        <v>52</v>
      </c>
      <c r="AD1508" t="s">
        <v>278</v>
      </c>
      <c r="AE1508" t="str">
        <f>IF(AF1508="","",VLOOKUP(AC1508,mapel!$A$2:$B$42,2,FALSE))</f>
        <v>Tepung</v>
      </c>
      <c r="AF1508">
        <f t="shared" si="69"/>
        <v>80</v>
      </c>
      <c r="AG1508" t="str">
        <f>IF(AF1508="","",IF(AF1508&gt;90,"Sangat baik",IF(AF1508&gt;79,"Baik",IF(AF1508&gt;=pub_gid_0_single_true_output_csv[[#This Row],[KKM]],"Cukup","Kurang"))))</f>
        <v>Baik</v>
      </c>
      <c r="AH1508">
        <f t="shared" si="70"/>
        <v>11</v>
      </c>
      <c r="AI1508" s="30" t="str">
        <f>IF(OR(J1508&lt;&gt;"Karakter",pub_gid_0_single_true_output_csv[[#This Row],[Nilai2]]=""),"",IF(AF1508&gt;89,"Sangat baik",IF(AF1508&gt;79,"Baik",IF(AF1508&gt;69,"Cukup",IF(AF1508&gt;59,"Kurang","Sangat kurang")))))</f>
        <v/>
      </c>
      <c r="AJ1508" t="str">
        <f t="shared" si="71"/>
        <v>Wk.8</v>
      </c>
      <c r="AK1508" t="str">
        <f>IF(pub_gid_0_single_true_output_csv[[#This Row],[Nilai2]]="","",VLOOKUP(pub_gid_0_single_true_output_csv[[#This Row],[NAMA]],Table7[],3,FALSE))</f>
        <v>Average</v>
      </c>
    </row>
    <row r="1509" spans="1:37" x14ac:dyDescent="0.2">
      <c r="A1509">
        <v>1508</v>
      </c>
      <c r="B1509" t="s">
        <v>289</v>
      </c>
      <c r="C1509" t="s">
        <v>54</v>
      </c>
      <c r="D1509" t="s">
        <v>39</v>
      </c>
      <c r="E1509" t="s">
        <v>140</v>
      </c>
      <c r="F1509" s="25">
        <v>46077</v>
      </c>
      <c r="G1509" t="s">
        <v>476</v>
      </c>
      <c r="H1509" t="s">
        <v>412</v>
      </c>
      <c r="I1509" t="s">
        <v>371</v>
      </c>
      <c r="J1509" t="s">
        <v>41</v>
      </c>
      <c r="K1509" t="s">
        <v>365</v>
      </c>
      <c r="L1509" t="s">
        <v>319</v>
      </c>
      <c r="M1509" t="s">
        <v>141</v>
      </c>
      <c r="N1509" t="s">
        <v>142</v>
      </c>
      <c r="O1509" t="s">
        <v>155</v>
      </c>
      <c r="P1509" t="s">
        <v>281</v>
      </c>
      <c r="Q1509" t="s">
        <v>155</v>
      </c>
      <c r="R1509" t="s">
        <v>273</v>
      </c>
      <c r="S1509" t="s">
        <v>470</v>
      </c>
      <c r="T1509">
        <v>4</v>
      </c>
      <c r="U1509" t="s">
        <v>471</v>
      </c>
      <c r="V1509" t="s">
        <v>472</v>
      </c>
      <c r="W1509" t="s">
        <v>473</v>
      </c>
      <c r="X1509" t="s">
        <v>306</v>
      </c>
      <c r="Y1509" t="s">
        <v>307</v>
      </c>
      <c r="Z1509">
        <v>65</v>
      </c>
      <c r="AA1509">
        <v>80</v>
      </c>
      <c r="AB1509" t="s">
        <v>143</v>
      </c>
      <c r="AC1509" t="s">
        <v>52</v>
      </c>
      <c r="AD1509" t="s">
        <v>278</v>
      </c>
      <c r="AE1509" t="str">
        <f>IF(AF1509="","",VLOOKUP(AC1509,mapel!$A$2:$B$42,2,FALSE))</f>
        <v>Tepung</v>
      </c>
      <c r="AF1509">
        <f t="shared" si="69"/>
        <v>80</v>
      </c>
      <c r="AG1509" t="str">
        <f>IF(AF1509="","",IF(AF1509&gt;90,"Sangat baik",IF(AF1509&gt;79,"Baik",IF(AF1509&gt;=pub_gid_0_single_true_output_csv[[#This Row],[KKM]],"Cukup","Kurang"))))</f>
        <v>Baik</v>
      </c>
      <c r="AH1509">
        <f t="shared" si="70"/>
        <v>11</v>
      </c>
      <c r="AI1509" s="30" t="str">
        <f>IF(OR(J1509&lt;&gt;"Karakter",pub_gid_0_single_true_output_csv[[#This Row],[Nilai2]]=""),"",IF(AF1509&gt;89,"Sangat baik",IF(AF1509&gt;79,"Baik",IF(AF1509&gt;69,"Cukup",IF(AF1509&gt;59,"Kurang","Sangat kurang")))))</f>
        <v/>
      </c>
      <c r="AJ1509" t="str">
        <f t="shared" si="71"/>
        <v>Wk.9</v>
      </c>
      <c r="AK1509" t="str">
        <f>IF(pub_gid_0_single_true_output_csv[[#This Row],[Nilai2]]="","",VLOOKUP(pub_gid_0_single_true_output_csv[[#This Row],[NAMA]],Table7[],3,FALSE))</f>
        <v>Average</v>
      </c>
    </row>
    <row r="1510" spans="1:37" x14ac:dyDescent="0.2">
      <c r="A1510">
        <v>1509</v>
      </c>
      <c r="B1510" t="s">
        <v>289</v>
      </c>
      <c r="C1510" t="s">
        <v>54</v>
      </c>
      <c r="D1510" t="s">
        <v>39</v>
      </c>
      <c r="E1510" t="s">
        <v>140</v>
      </c>
      <c r="F1510" s="25">
        <v>46078</v>
      </c>
      <c r="G1510" t="s">
        <v>284</v>
      </c>
      <c r="H1510" t="s">
        <v>412</v>
      </c>
      <c r="I1510" t="s">
        <v>371</v>
      </c>
      <c r="J1510" t="s">
        <v>36</v>
      </c>
      <c r="K1510" t="s">
        <v>153</v>
      </c>
      <c r="L1510" t="s">
        <v>319</v>
      </c>
      <c r="M1510" t="s">
        <v>141</v>
      </c>
      <c r="N1510" t="s">
        <v>142</v>
      </c>
      <c r="O1510" t="s">
        <v>155</v>
      </c>
      <c r="P1510" t="s">
        <v>281</v>
      </c>
      <c r="Q1510" t="s">
        <v>155</v>
      </c>
      <c r="R1510" t="s">
        <v>273</v>
      </c>
      <c r="S1510" t="s">
        <v>470</v>
      </c>
      <c r="T1510">
        <v>4</v>
      </c>
      <c r="U1510" t="s">
        <v>471</v>
      </c>
      <c r="V1510" t="s">
        <v>472</v>
      </c>
      <c r="W1510" t="s">
        <v>473</v>
      </c>
      <c r="X1510" t="s">
        <v>306</v>
      </c>
      <c r="Y1510" t="s">
        <v>307</v>
      </c>
      <c r="Z1510">
        <v>65</v>
      </c>
      <c r="AA1510">
        <v>80</v>
      </c>
      <c r="AB1510" t="s">
        <v>143</v>
      </c>
      <c r="AC1510" t="s">
        <v>52</v>
      </c>
      <c r="AD1510" t="s">
        <v>278</v>
      </c>
      <c r="AE1510" t="str">
        <f>IF(AF1510="","",VLOOKUP(AC1510,mapel!$A$2:$B$42,2,FALSE))</f>
        <v>Tepung</v>
      </c>
      <c r="AF1510">
        <f t="shared" si="69"/>
        <v>80</v>
      </c>
      <c r="AG1510" t="str">
        <f>IF(AF1510="","",IF(AF1510&gt;90,"Sangat baik",IF(AF1510&gt;79,"Baik",IF(AF1510&gt;=pub_gid_0_single_true_output_csv[[#This Row],[KKM]],"Cukup","Kurang"))))</f>
        <v>Baik</v>
      </c>
      <c r="AH1510">
        <f t="shared" si="70"/>
        <v>11</v>
      </c>
      <c r="AI1510" s="30" t="str">
        <f>IF(OR(J1510&lt;&gt;"Karakter",pub_gid_0_single_true_output_csv[[#This Row],[Nilai2]]=""),"",IF(AF1510&gt;89,"Sangat baik",IF(AF1510&gt;79,"Baik",IF(AF1510&gt;69,"Cukup",IF(AF1510&gt;59,"Kurang","Sangat kurang")))))</f>
        <v/>
      </c>
      <c r="AJ1510" t="str">
        <f t="shared" si="71"/>
        <v>Wk.9</v>
      </c>
      <c r="AK1510" t="str">
        <f>IF(pub_gid_0_single_true_output_csv[[#This Row],[Nilai2]]="","",VLOOKUP(pub_gid_0_single_true_output_csv[[#This Row],[NAMA]],Table7[],3,FALSE))</f>
        <v>Average</v>
      </c>
    </row>
    <row r="1511" spans="1:37" x14ac:dyDescent="0.2">
      <c r="A1511">
        <v>1510</v>
      </c>
      <c r="B1511" t="s">
        <v>290</v>
      </c>
      <c r="C1511" t="s">
        <v>54</v>
      </c>
      <c r="D1511" t="s">
        <v>42</v>
      </c>
      <c r="E1511" t="s">
        <v>140</v>
      </c>
      <c r="F1511" s="25">
        <v>46035</v>
      </c>
      <c r="G1511" t="s">
        <v>358</v>
      </c>
      <c r="H1511" t="s">
        <v>405</v>
      </c>
      <c r="I1511" t="s">
        <v>371</v>
      </c>
      <c r="J1511" t="s">
        <v>41</v>
      </c>
      <c r="K1511" t="s">
        <v>365</v>
      </c>
      <c r="L1511" t="s">
        <v>322</v>
      </c>
      <c r="M1511" t="s">
        <v>141</v>
      </c>
      <c r="N1511" t="s">
        <v>142</v>
      </c>
      <c r="O1511" t="s">
        <v>155</v>
      </c>
      <c r="P1511" t="s">
        <v>281</v>
      </c>
      <c r="Q1511" t="s">
        <v>155</v>
      </c>
      <c r="R1511" t="s">
        <v>273</v>
      </c>
      <c r="S1511" t="s">
        <v>470</v>
      </c>
      <c r="T1511">
        <v>4</v>
      </c>
      <c r="U1511" t="s">
        <v>471</v>
      </c>
      <c r="V1511" t="s">
        <v>472</v>
      </c>
      <c r="W1511" t="s">
        <v>473</v>
      </c>
      <c r="X1511" t="s">
        <v>306</v>
      </c>
      <c r="Y1511" t="s">
        <v>307</v>
      </c>
      <c r="Z1511">
        <v>65</v>
      </c>
      <c r="AA1511">
        <v>0</v>
      </c>
      <c r="AB1511" t="s">
        <v>151</v>
      </c>
      <c r="AC1511" t="s">
        <v>52</v>
      </c>
      <c r="AD1511" t="s">
        <v>278</v>
      </c>
      <c r="AE1511" t="str">
        <f>IF(AF1511="","",VLOOKUP(AC1511,mapel!$A$2:$B$42,2,FALSE))</f>
        <v/>
      </c>
      <c r="AF1511" t="str">
        <f t="shared" si="69"/>
        <v/>
      </c>
      <c r="AG1511" t="str">
        <f>IF(AF1511="","",IF(AF1511&gt;90,"Sangat baik",IF(AF1511&gt;79,"Baik",IF(AF1511&gt;=pub_gid_0_single_true_output_csv[[#This Row],[KKM]],"Cukup","Kurang"))))</f>
        <v/>
      </c>
      <c r="AH1511" t="str">
        <f t="shared" si="70"/>
        <v/>
      </c>
      <c r="AI1511" s="30" t="str">
        <f>IF(OR(J1511&lt;&gt;"Karakter",pub_gid_0_single_true_output_csv[[#This Row],[Nilai2]]=""),"",IF(AF1511&gt;89,"Sangat baik",IF(AF1511&gt;79,"Baik",IF(AF1511&gt;69,"Cukup",IF(AF1511&gt;59,"Kurang","Sangat kurang")))))</f>
        <v/>
      </c>
      <c r="AJ1511" t="str">
        <f t="shared" si="71"/>
        <v/>
      </c>
      <c r="AK1511" t="str">
        <f>IF(pub_gid_0_single_true_output_csv[[#This Row],[Nilai2]]="","",VLOOKUP(pub_gid_0_single_true_output_csv[[#This Row],[NAMA]],Table7[],3,FALSE))</f>
        <v/>
      </c>
    </row>
    <row r="1512" spans="1:37" x14ac:dyDescent="0.2">
      <c r="A1512">
        <v>1511</v>
      </c>
      <c r="B1512" t="s">
        <v>290</v>
      </c>
      <c r="C1512" t="s">
        <v>54</v>
      </c>
      <c r="D1512" t="s">
        <v>42</v>
      </c>
      <c r="E1512" t="s">
        <v>140</v>
      </c>
      <c r="F1512" s="25">
        <v>46036</v>
      </c>
      <c r="G1512" t="s">
        <v>353</v>
      </c>
      <c r="H1512" t="s">
        <v>405</v>
      </c>
      <c r="I1512" t="s">
        <v>371</v>
      </c>
      <c r="J1512" t="s">
        <v>41</v>
      </c>
      <c r="K1512" t="s">
        <v>365</v>
      </c>
      <c r="L1512" t="s">
        <v>319</v>
      </c>
      <c r="M1512" t="s">
        <v>141</v>
      </c>
      <c r="N1512" t="s">
        <v>142</v>
      </c>
      <c r="O1512" t="s">
        <v>155</v>
      </c>
      <c r="P1512" t="s">
        <v>281</v>
      </c>
      <c r="Q1512" t="s">
        <v>155</v>
      </c>
      <c r="R1512" t="s">
        <v>273</v>
      </c>
      <c r="S1512" t="s">
        <v>470</v>
      </c>
      <c r="T1512">
        <v>4</v>
      </c>
      <c r="U1512" t="s">
        <v>471</v>
      </c>
      <c r="V1512" t="s">
        <v>472</v>
      </c>
      <c r="W1512" t="s">
        <v>473</v>
      </c>
      <c r="X1512" t="s">
        <v>306</v>
      </c>
      <c r="Y1512" t="s">
        <v>307</v>
      </c>
      <c r="Z1512">
        <v>65</v>
      </c>
      <c r="AA1512">
        <v>0</v>
      </c>
      <c r="AB1512" t="s">
        <v>151</v>
      </c>
      <c r="AC1512" t="s">
        <v>52</v>
      </c>
      <c r="AD1512" t="s">
        <v>278</v>
      </c>
      <c r="AE1512" t="str">
        <f>IF(AF1512="","",VLOOKUP(AC1512,mapel!$A$2:$B$42,2,FALSE))</f>
        <v/>
      </c>
      <c r="AF1512" t="str">
        <f t="shared" si="69"/>
        <v/>
      </c>
      <c r="AG1512" t="str">
        <f>IF(AF1512="","",IF(AF1512&gt;90,"Sangat baik",IF(AF1512&gt;79,"Baik",IF(AF1512&gt;=pub_gid_0_single_true_output_csv[[#This Row],[KKM]],"Cukup","Kurang"))))</f>
        <v/>
      </c>
      <c r="AH1512" t="str">
        <f t="shared" si="70"/>
        <v/>
      </c>
      <c r="AI1512" s="30" t="str">
        <f>IF(OR(J1512&lt;&gt;"Karakter",pub_gid_0_single_true_output_csv[[#This Row],[Nilai2]]=""),"",IF(AF1512&gt;89,"Sangat baik",IF(AF1512&gt;79,"Baik",IF(AF1512&gt;69,"Cukup",IF(AF1512&gt;59,"Kurang","Sangat kurang")))))</f>
        <v/>
      </c>
      <c r="AJ1512" t="str">
        <f t="shared" si="71"/>
        <v/>
      </c>
      <c r="AK1512" t="str">
        <f>IF(pub_gid_0_single_true_output_csv[[#This Row],[Nilai2]]="","",VLOOKUP(pub_gid_0_single_true_output_csv[[#This Row],[NAMA]],Table7[],3,FALSE))</f>
        <v/>
      </c>
    </row>
    <row r="1513" spans="1:37" x14ac:dyDescent="0.2">
      <c r="A1513">
        <v>1512</v>
      </c>
      <c r="B1513" t="s">
        <v>290</v>
      </c>
      <c r="C1513" t="s">
        <v>54</v>
      </c>
      <c r="D1513" t="s">
        <v>42</v>
      </c>
      <c r="E1513" t="s">
        <v>140</v>
      </c>
      <c r="F1513" s="25">
        <v>46037</v>
      </c>
      <c r="G1513" t="s">
        <v>356</v>
      </c>
      <c r="H1513" t="s">
        <v>405</v>
      </c>
      <c r="I1513" t="s">
        <v>371</v>
      </c>
      <c r="J1513" t="s">
        <v>36</v>
      </c>
      <c r="K1513" t="s">
        <v>37</v>
      </c>
      <c r="L1513" t="s">
        <v>383</v>
      </c>
      <c r="M1513" t="s">
        <v>141</v>
      </c>
      <c r="N1513" t="s">
        <v>142</v>
      </c>
      <c r="O1513" t="s">
        <v>155</v>
      </c>
      <c r="P1513" t="s">
        <v>281</v>
      </c>
      <c r="Q1513" t="s">
        <v>155</v>
      </c>
      <c r="R1513" t="s">
        <v>273</v>
      </c>
      <c r="S1513" t="s">
        <v>470</v>
      </c>
      <c r="T1513">
        <v>4</v>
      </c>
      <c r="U1513" t="s">
        <v>471</v>
      </c>
      <c r="V1513" t="s">
        <v>472</v>
      </c>
      <c r="W1513" t="s">
        <v>473</v>
      </c>
      <c r="X1513" t="s">
        <v>306</v>
      </c>
      <c r="Y1513" t="s">
        <v>307</v>
      </c>
      <c r="Z1513">
        <v>65</v>
      </c>
      <c r="AA1513">
        <v>0</v>
      </c>
      <c r="AB1513" t="s">
        <v>151</v>
      </c>
      <c r="AC1513" t="s">
        <v>52</v>
      </c>
      <c r="AD1513" t="s">
        <v>278</v>
      </c>
      <c r="AE1513" t="str">
        <f>IF(AF1513="","",VLOOKUP(AC1513,mapel!$A$2:$B$42,2,FALSE))</f>
        <v/>
      </c>
      <c r="AF1513" t="str">
        <f t="shared" si="69"/>
        <v/>
      </c>
      <c r="AG1513" t="str">
        <f>IF(AF1513="","",IF(AF1513&gt;90,"Sangat baik",IF(AF1513&gt;79,"Baik",IF(AF1513&gt;=pub_gid_0_single_true_output_csv[[#This Row],[KKM]],"Cukup","Kurang"))))</f>
        <v/>
      </c>
      <c r="AH1513" t="str">
        <f t="shared" si="70"/>
        <v/>
      </c>
      <c r="AI1513" s="30" t="str">
        <f>IF(OR(J1513&lt;&gt;"Karakter",pub_gid_0_single_true_output_csv[[#This Row],[Nilai2]]=""),"",IF(AF1513&gt;89,"Sangat baik",IF(AF1513&gt;79,"Baik",IF(AF1513&gt;69,"Cukup",IF(AF1513&gt;59,"Kurang","Sangat kurang")))))</f>
        <v/>
      </c>
      <c r="AJ1513" t="str">
        <f t="shared" si="71"/>
        <v/>
      </c>
      <c r="AK1513" t="str">
        <f>IF(pub_gid_0_single_true_output_csv[[#This Row],[Nilai2]]="","",VLOOKUP(pub_gid_0_single_true_output_csv[[#This Row],[NAMA]],Table7[],3,FALSE))</f>
        <v/>
      </c>
    </row>
    <row r="1514" spans="1:37" x14ac:dyDescent="0.2">
      <c r="A1514">
        <v>1513</v>
      </c>
      <c r="B1514" t="s">
        <v>290</v>
      </c>
      <c r="C1514" t="s">
        <v>54</v>
      </c>
      <c r="D1514" t="s">
        <v>42</v>
      </c>
      <c r="E1514" t="s">
        <v>140</v>
      </c>
      <c r="F1514" s="25">
        <v>46042</v>
      </c>
      <c r="G1514" t="s">
        <v>474</v>
      </c>
      <c r="H1514" t="s">
        <v>405</v>
      </c>
      <c r="I1514" t="s">
        <v>371</v>
      </c>
      <c r="J1514" t="s">
        <v>90</v>
      </c>
      <c r="K1514" t="s">
        <v>366</v>
      </c>
      <c r="L1514" t="s">
        <v>475</v>
      </c>
      <c r="M1514" t="s">
        <v>141</v>
      </c>
      <c r="N1514" t="s">
        <v>142</v>
      </c>
      <c r="O1514" t="s">
        <v>155</v>
      </c>
      <c r="P1514" t="s">
        <v>281</v>
      </c>
      <c r="Q1514" t="s">
        <v>155</v>
      </c>
      <c r="R1514" t="s">
        <v>273</v>
      </c>
      <c r="S1514" t="s">
        <v>470</v>
      </c>
      <c r="T1514">
        <v>4</v>
      </c>
      <c r="U1514" t="s">
        <v>471</v>
      </c>
      <c r="V1514" t="s">
        <v>472</v>
      </c>
      <c r="W1514" t="s">
        <v>473</v>
      </c>
      <c r="X1514" t="s">
        <v>306</v>
      </c>
      <c r="Y1514" t="s">
        <v>307</v>
      </c>
      <c r="Z1514">
        <v>65</v>
      </c>
      <c r="AA1514">
        <v>0</v>
      </c>
      <c r="AB1514" t="s">
        <v>151</v>
      </c>
      <c r="AC1514" t="s">
        <v>52</v>
      </c>
      <c r="AD1514" t="s">
        <v>278</v>
      </c>
      <c r="AE1514" t="str">
        <f>IF(AF1514="","",VLOOKUP(AC1514,mapel!$A$2:$B$42,2,FALSE))</f>
        <v/>
      </c>
      <c r="AF1514" t="str">
        <f t="shared" si="69"/>
        <v/>
      </c>
      <c r="AG1514" t="str">
        <f>IF(AF1514="","",IF(AF1514&gt;90,"Sangat baik",IF(AF1514&gt;79,"Baik",IF(AF1514&gt;=pub_gid_0_single_true_output_csv[[#This Row],[KKM]],"Cukup","Kurang"))))</f>
        <v/>
      </c>
      <c r="AH1514" t="str">
        <f t="shared" si="70"/>
        <v/>
      </c>
      <c r="AI1514" s="30" t="str">
        <f>IF(OR(J1514&lt;&gt;"Karakter",pub_gid_0_single_true_output_csv[[#This Row],[Nilai2]]=""),"",IF(AF1514&gt;89,"Sangat baik",IF(AF1514&gt;79,"Baik",IF(AF1514&gt;69,"Cukup",IF(AF1514&gt;59,"Kurang","Sangat kurang")))))</f>
        <v/>
      </c>
      <c r="AJ1514" t="str">
        <f t="shared" si="71"/>
        <v/>
      </c>
      <c r="AK1514" t="str">
        <f>IF(pub_gid_0_single_true_output_csv[[#This Row],[Nilai2]]="","",VLOOKUP(pub_gid_0_single_true_output_csv[[#This Row],[NAMA]],Table7[],3,FALSE))</f>
        <v/>
      </c>
    </row>
    <row r="1515" spans="1:37" x14ac:dyDescent="0.2">
      <c r="A1515">
        <v>1514</v>
      </c>
      <c r="B1515" t="s">
        <v>290</v>
      </c>
      <c r="C1515" t="s">
        <v>54</v>
      </c>
      <c r="D1515" t="s">
        <v>42</v>
      </c>
      <c r="E1515" t="s">
        <v>140</v>
      </c>
      <c r="F1515" s="25">
        <v>46051</v>
      </c>
      <c r="G1515" t="s">
        <v>320</v>
      </c>
      <c r="H1515" t="s">
        <v>405</v>
      </c>
      <c r="I1515" t="s">
        <v>371</v>
      </c>
      <c r="J1515" t="s">
        <v>41</v>
      </c>
      <c r="K1515" t="s">
        <v>365</v>
      </c>
      <c r="L1515" t="s">
        <v>319</v>
      </c>
      <c r="M1515" t="s">
        <v>141</v>
      </c>
      <c r="N1515" t="s">
        <v>142</v>
      </c>
      <c r="O1515" t="s">
        <v>155</v>
      </c>
      <c r="P1515" t="s">
        <v>281</v>
      </c>
      <c r="Q1515" t="s">
        <v>155</v>
      </c>
      <c r="R1515" t="s">
        <v>273</v>
      </c>
      <c r="S1515" t="s">
        <v>470</v>
      </c>
      <c r="T1515">
        <v>4</v>
      </c>
      <c r="U1515" t="s">
        <v>471</v>
      </c>
      <c r="V1515" t="s">
        <v>472</v>
      </c>
      <c r="W1515" t="s">
        <v>473</v>
      </c>
      <c r="X1515" t="s">
        <v>306</v>
      </c>
      <c r="Y1515" t="s">
        <v>307</v>
      </c>
      <c r="Z1515">
        <v>65</v>
      </c>
      <c r="AA1515">
        <v>80</v>
      </c>
      <c r="AB1515" t="s">
        <v>143</v>
      </c>
      <c r="AC1515" t="s">
        <v>52</v>
      </c>
      <c r="AD1515" t="s">
        <v>278</v>
      </c>
      <c r="AE1515" t="str">
        <f>IF(AF1515="","",VLOOKUP(AC1515,mapel!$A$2:$B$42,2,FALSE))</f>
        <v>Tepung</v>
      </c>
      <c r="AF1515">
        <f t="shared" si="69"/>
        <v>80</v>
      </c>
      <c r="AG1515" t="str">
        <f>IF(AF1515="","",IF(AF1515&gt;90,"Sangat baik",IF(AF1515&gt;79,"Baik",IF(AF1515&gt;=pub_gid_0_single_true_output_csv[[#This Row],[KKM]],"Cukup","Kurang"))))</f>
        <v>Baik</v>
      </c>
      <c r="AH1515">
        <f t="shared" si="70"/>
        <v>11</v>
      </c>
      <c r="AI1515" s="30" t="str">
        <f>IF(OR(J1515&lt;&gt;"Karakter",pub_gid_0_single_true_output_csv[[#This Row],[Nilai2]]=""),"",IF(AF1515&gt;89,"Sangat baik",IF(AF1515&gt;79,"Baik",IF(AF1515&gt;69,"Cukup",IF(AF1515&gt;59,"Kurang","Sangat kurang")))))</f>
        <v/>
      </c>
      <c r="AJ1515" t="str">
        <f t="shared" si="71"/>
        <v>Wk.5</v>
      </c>
      <c r="AK1515" t="str">
        <f>IF(pub_gid_0_single_true_output_csv[[#This Row],[Nilai2]]="","",VLOOKUP(pub_gid_0_single_true_output_csv[[#This Row],[NAMA]],Table7[],3,FALSE))</f>
        <v>Superior</v>
      </c>
    </row>
    <row r="1516" spans="1:37" x14ac:dyDescent="0.2">
      <c r="A1516">
        <v>1515</v>
      </c>
      <c r="B1516" t="s">
        <v>290</v>
      </c>
      <c r="C1516" t="s">
        <v>54</v>
      </c>
      <c r="D1516" t="s">
        <v>42</v>
      </c>
      <c r="E1516" t="s">
        <v>140</v>
      </c>
      <c r="F1516" s="25">
        <v>46056</v>
      </c>
      <c r="G1516" t="s">
        <v>372</v>
      </c>
      <c r="H1516" t="s">
        <v>412</v>
      </c>
      <c r="I1516" t="s">
        <v>371</v>
      </c>
      <c r="J1516" t="s">
        <v>41</v>
      </c>
      <c r="K1516" t="s">
        <v>365</v>
      </c>
      <c r="L1516" t="s">
        <v>322</v>
      </c>
      <c r="M1516" t="s">
        <v>141</v>
      </c>
      <c r="N1516" t="s">
        <v>142</v>
      </c>
      <c r="O1516" t="s">
        <v>155</v>
      </c>
      <c r="P1516" t="s">
        <v>281</v>
      </c>
      <c r="Q1516" t="s">
        <v>155</v>
      </c>
      <c r="R1516" t="s">
        <v>273</v>
      </c>
      <c r="S1516" t="s">
        <v>309</v>
      </c>
      <c r="T1516">
        <v>1</v>
      </c>
      <c r="U1516" t="s">
        <v>393</v>
      </c>
      <c r="V1516" t="s">
        <v>285</v>
      </c>
      <c r="W1516" t="s">
        <v>394</v>
      </c>
      <c r="X1516" t="s">
        <v>306</v>
      </c>
      <c r="Y1516" t="s">
        <v>307</v>
      </c>
      <c r="Z1516">
        <v>65</v>
      </c>
      <c r="AA1516">
        <v>78</v>
      </c>
      <c r="AB1516" t="s">
        <v>143</v>
      </c>
      <c r="AC1516" t="s">
        <v>52</v>
      </c>
      <c r="AD1516" t="s">
        <v>278</v>
      </c>
      <c r="AE1516" t="str">
        <f>IF(AF1516="","",VLOOKUP(AC1516,mapel!$A$2:$B$42,2,FALSE))</f>
        <v>Tepung</v>
      </c>
      <c r="AF1516">
        <f t="shared" si="69"/>
        <v>78</v>
      </c>
      <c r="AG1516" t="str">
        <f>IF(AF1516="","",IF(AF1516&gt;90,"Sangat baik",IF(AF1516&gt;79,"Baik",IF(AF1516&gt;=pub_gid_0_single_true_output_csv[[#This Row],[KKM]],"Cukup","Kurang"))))</f>
        <v>Cukup</v>
      </c>
      <c r="AH1516">
        <f t="shared" si="70"/>
        <v>11</v>
      </c>
      <c r="AI1516" s="30" t="str">
        <f>IF(OR(J1516&lt;&gt;"Karakter",pub_gid_0_single_true_output_csv[[#This Row],[Nilai2]]=""),"",IF(AF1516&gt;89,"Sangat baik",IF(AF1516&gt;79,"Baik",IF(AF1516&gt;69,"Cukup",IF(AF1516&gt;59,"Kurang","Sangat kurang")))))</f>
        <v/>
      </c>
      <c r="AJ1516" t="str">
        <f t="shared" si="71"/>
        <v>Wk.6</v>
      </c>
      <c r="AK1516" t="str">
        <f>IF(pub_gid_0_single_true_output_csv[[#This Row],[Nilai2]]="","",VLOOKUP(pub_gid_0_single_true_output_csv[[#This Row],[NAMA]],Table7[],3,FALSE))</f>
        <v>Superior</v>
      </c>
    </row>
    <row r="1517" spans="1:37" x14ac:dyDescent="0.2">
      <c r="A1517">
        <v>1516</v>
      </c>
      <c r="B1517" t="s">
        <v>290</v>
      </c>
      <c r="C1517" t="s">
        <v>54</v>
      </c>
      <c r="D1517" t="s">
        <v>42</v>
      </c>
      <c r="E1517" t="s">
        <v>140</v>
      </c>
      <c r="F1517" s="25">
        <v>46057</v>
      </c>
      <c r="G1517" t="s">
        <v>348</v>
      </c>
      <c r="H1517" t="s">
        <v>412</v>
      </c>
      <c r="I1517" t="s">
        <v>371</v>
      </c>
      <c r="J1517" t="s">
        <v>36</v>
      </c>
      <c r="K1517" t="s">
        <v>153</v>
      </c>
      <c r="L1517" t="s">
        <v>395</v>
      </c>
      <c r="M1517" t="s">
        <v>141</v>
      </c>
      <c r="N1517" t="s">
        <v>142</v>
      </c>
      <c r="O1517" t="s">
        <v>155</v>
      </c>
      <c r="P1517" t="s">
        <v>281</v>
      </c>
      <c r="Q1517" t="s">
        <v>155</v>
      </c>
      <c r="R1517" t="s">
        <v>273</v>
      </c>
      <c r="S1517" t="s">
        <v>309</v>
      </c>
      <c r="T1517">
        <v>1</v>
      </c>
      <c r="U1517" t="s">
        <v>393</v>
      </c>
      <c r="V1517" t="s">
        <v>285</v>
      </c>
      <c r="W1517" t="s">
        <v>394</v>
      </c>
      <c r="X1517" t="s">
        <v>306</v>
      </c>
      <c r="Y1517" t="s">
        <v>307</v>
      </c>
      <c r="Z1517">
        <v>65</v>
      </c>
      <c r="AA1517">
        <v>78</v>
      </c>
      <c r="AB1517" t="s">
        <v>143</v>
      </c>
      <c r="AC1517" t="s">
        <v>52</v>
      </c>
      <c r="AD1517" t="s">
        <v>278</v>
      </c>
      <c r="AE1517" t="str">
        <f>IF(AF1517="","",VLOOKUP(AC1517,mapel!$A$2:$B$42,2,FALSE))</f>
        <v>Tepung</v>
      </c>
      <c r="AF1517">
        <f t="shared" si="69"/>
        <v>78</v>
      </c>
      <c r="AG1517" t="str">
        <f>IF(AF1517="","",IF(AF1517&gt;90,"Sangat baik",IF(AF1517&gt;79,"Baik",IF(AF1517&gt;=pub_gid_0_single_true_output_csv[[#This Row],[KKM]],"Cukup","Kurang"))))</f>
        <v>Cukup</v>
      </c>
      <c r="AH1517">
        <f t="shared" si="70"/>
        <v>11</v>
      </c>
      <c r="AI1517" s="30" t="str">
        <f>IF(OR(J1517&lt;&gt;"Karakter",pub_gid_0_single_true_output_csv[[#This Row],[Nilai2]]=""),"",IF(AF1517&gt;89,"Sangat baik",IF(AF1517&gt;79,"Baik",IF(AF1517&gt;69,"Cukup",IF(AF1517&gt;59,"Kurang","Sangat kurang")))))</f>
        <v/>
      </c>
      <c r="AJ1517" t="str">
        <f t="shared" si="71"/>
        <v>Wk.6</v>
      </c>
      <c r="AK1517" t="str">
        <f>IF(pub_gid_0_single_true_output_csv[[#This Row],[Nilai2]]="","",VLOOKUP(pub_gid_0_single_true_output_csv[[#This Row],[NAMA]],Table7[],3,FALSE))</f>
        <v>Superior</v>
      </c>
    </row>
    <row r="1518" spans="1:37" x14ac:dyDescent="0.2">
      <c r="A1518">
        <v>1517</v>
      </c>
      <c r="B1518" t="s">
        <v>290</v>
      </c>
      <c r="C1518" t="s">
        <v>54</v>
      </c>
      <c r="D1518" t="s">
        <v>42</v>
      </c>
      <c r="E1518" t="s">
        <v>140</v>
      </c>
      <c r="F1518" s="25">
        <v>46058</v>
      </c>
      <c r="G1518" t="s">
        <v>346</v>
      </c>
      <c r="H1518" t="s">
        <v>412</v>
      </c>
      <c r="I1518" t="s">
        <v>371</v>
      </c>
      <c r="J1518" t="s">
        <v>41</v>
      </c>
      <c r="K1518" t="s">
        <v>365</v>
      </c>
      <c r="L1518" t="s">
        <v>322</v>
      </c>
      <c r="M1518" t="s">
        <v>141</v>
      </c>
      <c r="N1518" t="s">
        <v>142</v>
      </c>
      <c r="O1518" t="s">
        <v>155</v>
      </c>
      <c r="P1518" t="s">
        <v>281</v>
      </c>
      <c r="Q1518" t="s">
        <v>155</v>
      </c>
      <c r="R1518" t="s">
        <v>273</v>
      </c>
      <c r="S1518" t="s">
        <v>309</v>
      </c>
      <c r="T1518">
        <v>1</v>
      </c>
      <c r="U1518" t="s">
        <v>393</v>
      </c>
      <c r="V1518" t="s">
        <v>285</v>
      </c>
      <c r="W1518" t="s">
        <v>394</v>
      </c>
      <c r="X1518" t="s">
        <v>306</v>
      </c>
      <c r="Y1518" t="s">
        <v>307</v>
      </c>
      <c r="Z1518">
        <v>65</v>
      </c>
      <c r="AA1518">
        <v>78</v>
      </c>
      <c r="AB1518" t="s">
        <v>143</v>
      </c>
      <c r="AC1518" t="s">
        <v>52</v>
      </c>
      <c r="AD1518" t="s">
        <v>278</v>
      </c>
      <c r="AE1518" t="str">
        <f>IF(AF1518="","",VLOOKUP(AC1518,mapel!$A$2:$B$42,2,FALSE))</f>
        <v>Tepung</v>
      </c>
      <c r="AF1518">
        <f t="shared" si="69"/>
        <v>78</v>
      </c>
      <c r="AG1518" t="str">
        <f>IF(AF1518="","",IF(AF1518&gt;90,"Sangat baik",IF(AF1518&gt;79,"Baik",IF(AF1518&gt;=pub_gid_0_single_true_output_csv[[#This Row],[KKM]],"Cukup","Kurang"))))</f>
        <v>Cukup</v>
      </c>
      <c r="AH1518">
        <f t="shared" si="70"/>
        <v>11</v>
      </c>
      <c r="AI1518" s="30" t="str">
        <f>IF(OR(J1518&lt;&gt;"Karakter",pub_gid_0_single_true_output_csv[[#This Row],[Nilai2]]=""),"",IF(AF1518&gt;89,"Sangat baik",IF(AF1518&gt;79,"Baik",IF(AF1518&gt;69,"Cukup",IF(AF1518&gt;59,"Kurang","Sangat kurang")))))</f>
        <v/>
      </c>
      <c r="AJ1518" t="str">
        <f t="shared" si="71"/>
        <v>Wk.6</v>
      </c>
      <c r="AK1518" t="str">
        <f>IF(pub_gid_0_single_true_output_csv[[#This Row],[Nilai2]]="","",VLOOKUP(pub_gid_0_single_true_output_csv[[#This Row],[NAMA]],Table7[],3,FALSE))</f>
        <v>Superior</v>
      </c>
    </row>
    <row r="1519" spans="1:37" x14ac:dyDescent="0.2">
      <c r="A1519">
        <v>1518</v>
      </c>
      <c r="B1519" t="s">
        <v>290</v>
      </c>
      <c r="C1519" t="s">
        <v>54</v>
      </c>
      <c r="D1519" t="s">
        <v>42</v>
      </c>
      <c r="E1519" t="s">
        <v>140</v>
      </c>
      <c r="F1519" s="25">
        <v>46063</v>
      </c>
      <c r="G1519" t="s">
        <v>374</v>
      </c>
      <c r="H1519" t="s">
        <v>412</v>
      </c>
      <c r="I1519" t="s">
        <v>371</v>
      </c>
      <c r="J1519" t="s">
        <v>36</v>
      </c>
      <c r="K1519" t="s">
        <v>153</v>
      </c>
      <c r="L1519" t="s">
        <v>395</v>
      </c>
      <c r="M1519" t="s">
        <v>141</v>
      </c>
      <c r="N1519" t="s">
        <v>142</v>
      </c>
      <c r="O1519" t="s">
        <v>155</v>
      </c>
      <c r="P1519" t="s">
        <v>281</v>
      </c>
      <c r="Q1519" t="s">
        <v>155</v>
      </c>
      <c r="R1519" t="s">
        <v>273</v>
      </c>
      <c r="S1519" t="s">
        <v>309</v>
      </c>
      <c r="T1519">
        <v>1</v>
      </c>
      <c r="U1519" t="s">
        <v>393</v>
      </c>
      <c r="V1519" t="s">
        <v>285</v>
      </c>
      <c r="W1519" t="s">
        <v>394</v>
      </c>
      <c r="X1519" t="s">
        <v>306</v>
      </c>
      <c r="Y1519" t="s">
        <v>307</v>
      </c>
      <c r="Z1519">
        <v>65</v>
      </c>
      <c r="AA1519">
        <v>78</v>
      </c>
      <c r="AB1519" t="s">
        <v>143</v>
      </c>
      <c r="AC1519" t="s">
        <v>52</v>
      </c>
      <c r="AD1519" t="s">
        <v>278</v>
      </c>
      <c r="AE1519" t="str">
        <f>IF(AF1519="","",VLOOKUP(AC1519,mapel!$A$2:$B$42,2,FALSE))</f>
        <v>Tepung</v>
      </c>
      <c r="AF1519">
        <f t="shared" si="69"/>
        <v>78</v>
      </c>
      <c r="AG1519" t="str">
        <f>IF(AF1519="","",IF(AF1519&gt;90,"Sangat baik",IF(AF1519&gt;79,"Baik",IF(AF1519&gt;=pub_gid_0_single_true_output_csv[[#This Row],[KKM]],"Cukup","Kurang"))))</f>
        <v>Cukup</v>
      </c>
      <c r="AH1519">
        <f t="shared" si="70"/>
        <v>11</v>
      </c>
      <c r="AI1519" s="30" t="str">
        <f>IF(OR(J1519&lt;&gt;"Karakter",pub_gid_0_single_true_output_csv[[#This Row],[Nilai2]]=""),"",IF(AF1519&gt;89,"Sangat baik",IF(AF1519&gt;79,"Baik",IF(AF1519&gt;69,"Cukup",IF(AF1519&gt;59,"Kurang","Sangat kurang")))))</f>
        <v/>
      </c>
      <c r="AJ1519" t="str">
        <f t="shared" si="71"/>
        <v>Wk.7</v>
      </c>
      <c r="AK1519" t="str">
        <f>IF(pub_gid_0_single_true_output_csv[[#This Row],[Nilai2]]="","",VLOOKUP(pub_gid_0_single_true_output_csv[[#This Row],[NAMA]],Table7[],3,FALSE))</f>
        <v>Superior</v>
      </c>
    </row>
    <row r="1520" spans="1:37" x14ac:dyDescent="0.2">
      <c r="A1520">
        <v>1519</v>
      </c>
      <c r="B1520" t="s">
        <v>290</v>
      </c>
      <c r="C1520" t="s">
        <v>54</v>
      </c>
      <c r="D1520" t="s">
        <v>42</v>
      </c>
      <c r="E1520" t="s">
        <v>140</v>
      </c>
      <c r="F1520" s="25">
        <v>46064</v>
      </c>
      <c r="G1520" t="s">
        <v>352</v>
      </c>
      <c r="H1520" t="s">
        <v>412</v>
      </c>
      <c r="I1520" t="s">
        <v>371</v>
      </c>
      <c r="J1520" t="s">
        <v>31</v>
      </c>
      <c r="K1520" t="s">
        <v>32</v>
      </c>
      <c r="L1520" t="s">
        <v>395</v>
      </c>
      <c r="M1520" t="s">
        <v>141</v>
      </c>
      <c r="N1520" t="s">
        <v>142</v>
      </c>
      <c r="O1520" t="s">
        <v>155</v>
      </c>
      <c r="P1520" t="s">
        <v>281</v>
      </c>
      <c r="Q1520" t="s">
        <v>155</v>
      </c>
      <c r="R1520" t="s">
        <v>273</v>
      </c>
      <c r="S1520" t="s">
        <v>309</v>
      </c>
      <c r="T1520">
        <v>1</v>
      </c>
      <c r="U1520" t="s">
        <v>393</v>
      </c>
      <c r="V1520" t="s">
        <v>285</v>
      </c>
      <c r="W1520" t="s">
        <v>394</v>
      </c>
      <c r="X1520" t="s">
        <v>306</v>
      </c>
      <c r="Y1520" t="s">
        <v>307</v>
      </c>
      <c r="Z1520">
        <v>65</v>
      </c>
      <c r="AA1520">
        <v>78</v>
      </c>
      <c r="AB1520" t="s">
        <v>143</v>
      </c>
      <c r="AC1520" t="s">
        <v>52</v>
      </c>
      <c r="AD1520" t="s">
        <v>278</v>
      </c>
      <c r="AE1520" t="str">
        <f>IF(AF1520="","",VLOOKUP(AC1520,mapel!$A$2:$B$42,2,FALSE))</f>
        <v>Tepung</v>
      </c>
      <c r="AF1520">
        <f t="shared" si="69"/>
        <v>78</v>
      </c>
      <c r="AG1520" t="str">
        <f>IF(AF1520="","",IF(AF1520&gt;90,"Sangat baik",IF(AF1520&gt;79,"Baik",IF(AF1520&gt;=pub_gid_0_single_true_output_csv[[#This Row],[KKM]],"Cukup","Kurang"))))</f>
        <v>Cukup</v>
      </c>
      <c r="AH1520">
        <f t="shared" si="70"/>
        <v>11</v>
      </c>
      <c r="AI1520" s="30" t="str">
        <f>IF(OR(J1520&lt;&gt;"Karakter",pub_gid_0_single_true_output_csv[[#This Row],[Nilai2]]=""),"",IF(AF1520&gt;89,"Sangat baik",IF(AF1520&gt;79,"Baik",IF(AF1520&gt;69,"Cukup",IF(AF1520&gt;59,"Kurang","Sangat kurang")))))</f>
        <v/>
      </c>
      <c r="AJ1520" t="str">
        <f t="shared" si="71"/>
        <v>Wk.7</v>
      </c>
      <c r="AK1520" t="str">
        <f>IF(pub_gid_0_single_true_output_csv[[#This Row],[Nilai2]]="","",VLOOKUP(pub_gid_0_single_true_output_csv[[#This Row],[NAMA]],Table7[],3,FALSE))</f>
        <v>Superior</v>
      </c>
    </row>
    <row r="1521" spans="1:37" x14ac:dyDescent="0.2">
      <c r="A1521">
        <v>1520</v>
      </c>
      <c r="B1521" t="s">
        <v>290</v>
      </c>
      <c r="C1521" t="s">
        <v>54</v>
      </c>
      <c r="D1521" t="s">
        <v>42</v>
      </c>
      <c r="E1521" t="s">
        <v>140</v>
      </c>
      <c r="F1521" s="25">
        <v>46065</v>
      </c>
      <c r="G1521" t="s">
        <v>354</v>
      </c>
      <c r="H1521" t="s">
        <v>412</v>
      </c>
      <c r="I1521" t="s">
        <v>371</v>
      </c>
      <c r="J1521" t="s">
        <v>41</v>
      </c>
      <c r="K1521" t="s">
        <v>365</v>
      </c>
      <c r="L1521" t="s">
        <v>322</v>
      </c>
      <c r="M1521" t="s">
        <v>141</v>
      </c>
      <c r="N1521" t="s">
        <v>142</v>
      </c>
      <c r="O1521" t="s">
        <v>155</v>
      </c>
      <c r="P1521" t="s">
        <v>281</v>
      </c>
      <c r="Q1521" t="s">
        <v>155</v>
      </c>
      <c r="R1521" t="s">
        <v>273</v>
      </c>
      <c r="S1521" t="s">
        <v>309</v>
      </c>
      <c r="T1521">
        <v>1</v>
      </c>
      <c r="U1521" t="s">
        <v>393</v>
      </c>
      <c r="V1521" t="s">
        <v>285</v>
      </c>
      <c r="W1521" t="s">
        <v>394</v>
      </c>
      <c r="X1521" t="s">
        <v>306</v>
      </c>
      <c r="Y1521" t="s">
        <v>307</v>
      </c>
      <c r="Z1521">
        <v>65</v>
      </c>
      <c r="AA1521">
        <v>78</v>
      </c>
      <c r="AB1521" t="s">
        <v>143</v>
      </c>
      <c r="AC1521" t="s">
        <v>52</v>
      </c>
      <c r="AD1521" t="s">
        <v>278</v>
      </c>
      <c r="AE1521" t="str">
        <f>IF(AF1521="","",VLOOKUP(AC1521,mapel!$A$2:$B$42,2,FALSE))</f>
        <v>Tepung</v>
      </c>
      <c r="AF1521">
        <f t="shared" si="69"/>
        <v>78</v>
      </c>
      <c r="AG1521" t="str">
        <f>IF(AF1521="","",IF(AF1521&gt;90,"Sangat baik",IF(AF1521&gt;79,"Baik",IF(AF1521&gt;=pub_gid_0_single_true_output_csv[[#This Row],[KKM]],"Cukup","Kurang"))))</f>
        <v>Cukup</v>
      </c>
      <c r="AH1521">
        <f t="shared" si="70"/>
        <v>11</v>
      </c>
      <c r="AI1521" s="30" t="str">
        <f>IF(OR(J1521&lt;&gt;"Karakter",pub_gid_0_single_true_output_csv[[#This Row],[Nilai2]]=""),"",IF(AF1521&gt;89,"Sangat baik",IF(AF1521&gt;79,"Baik",IF(AF1521&gt;69,"Cukup",IF(AF1521&gt;59,"Kurang","Sangat kurang")))))</f>
        <v/>
      </c>
      <c r="AJ1521" t="str">
        <f t="shared" si="71"/>
        <v>Wk.7</v>
      </c>
      <c r="AK1521" t="str">
        <f>IF(pub_gid_0_single_true_output_csv[[#This Row],[Nilai2]]="","",VLOOKUP(pub_gid_0_single_true_output_csv[[#This Row],[NAMA]],Table7[],3,FALSE))</f>
        <v>Superior</v>
      </c>
    </row>
    <row r="1522" spans="1:37" x14ac:dyDescent="0.2">
      <c r="A1522">
        <v>1521</v>
      </c>
      <c r="B1522" t="s">
        <v>290</v>
      </c>
      <c r="C1522" t="s">
        <v>54</v>
      </c>
      <c r="D1522" t="s">
        <v>42</v>
      </c>
      <c r="E1522" t="s">
        <v>140</v>
      </c>
      <c r="F1522" s="25">
        <v>46071</v>
      </c>
      <c r="G1522" t="s">
        <v>323</v>
      </c>
      <c r="H1522" t="s">
        <v>412</v>
      </c>
      <c r="I1522" t="s">
        <v>371</v>
      </c>
      <c r="J1522" t="s">
        <v>41</v>
      </c>
      <c r="K1522" t="s">
        <v>365</v>
      </c>
      <c r="L1522" t="s">
        <v>319</v>
      </c>
      <c r="M1522" t="s">
        <v>141</v>
      </c>
      <c r="N1522" t="s">
        <v>142</v>
      </c>
      <c r="O1522" t="s">
        <v>155</v>
      </c>
      <c r="P1522" t="s">
        <v>281</v>
      </c>
      <c r="Q1522" t="s">
        <v>155</v>
      </c>
      <c r="R1522" t="s">
        <v>273</v>
      </c>
      <c r="S1522" t="s">
        <v>470</v>
      </c>
      <c r="T1522">
        <v>4</v>
      </c>
      <c r="U1522" t="s">
        <v>471</v>
      </c>
      <c r="V1522" t="s">
        <v>472</v>
      </c>
      <c r="W1522" t="s">
        <v>473</v>
      </c>
      <c r="X1522" t="s">
        <v>306</v>
      </c>
      <c r="Y1522" t="s">
        <v>307</v>
      </c>
      <c r="Z1522">
        <v>65</v>
      </c>
      <c r="AA1522">
        <v>80</v>
      </c>
      <c r="AB1522" t="s">
        <v>143</v>
      </c>
      <c r="AC1522" t="s">
        <v>52</v>
      </c>
      <c r="AD1522" t="s">
        <v>278</v>
      </c>
      <c r="AE1522" t="str">
        <f>IF(AF1522="","",VLOOKUP(AC1522,mapel!$A$2:$B$42,2,FALSE))</f>
        <v>Tepung</v>
      </c>
      <c r="AF1522">
        <f t="shared" si="69"/>
        <v>80</v>
      </c>
      <c r="AG1522" t="str">
        <f>IF(AF1522="","",IF(AF1522&gt;90,"Sangat baik",IF(AF1522&gt;79,"Baik",IF(AF1522&gt;=pub_gid_0_single_true_output_csv[[#This Row],[KKM]],"Cukup","Kurang"))))</f>
        <v>Baik</v>
      </c>
      <c r="AH1522">
        <f t="shared" si="70"/>
        <v>11</v>
      </c>
      <c r="AI1522" s="30" t="str">
        <f>IF(OR(J1522&lt;&gt;"Karakter",pub_gid_0_single_true_output_csv[[#This Row],[Nilai2]]=""),"",IF(AF1522&gt;89,"Sangat baik",IF(AF1522&gt;79,"Baik",IF(AF1522&gt;69,"Cukup",IF(AF1522&gt;59,"Kurang","Sangat kurang")))))</f>
        <v/>
      </c>
      <c r="AJ1522" t="str">
        <f t="shared" si="71"/>
        <v>Wk.8</v>
      </c>
      <c r="AK1522" t="str">
        <f>IF(pub_gid_0_single_true_output_csv[[#This Row],[Nilai2]]="","",VLOOKUP(pub_gid_0_single_true_output_csv[[#This Row],[NAMA]],Table7[],3,FALSE))</f>
        <v>Superior</v>
      </c>
    </row>
    <row r="1523" spans="1:37" x14ac:dyDescent="0.2">
      <c r="A1523">
        <v>1522</v>
      </c>
      <c r="B1523" t="s">
        <v>290</v>
      </c>
      <c r="C1523" t="s">
        <v>54</v>
      </c>
      <c r="D1523" t="s">
        <v>42</v>
      </c>
      <c r="E1523" t="s">
        <v>140</v>
      </c>
      <c r="F1523" s="25">
        <v>46077</v>
      </c>
      <c r="G1523" t="s">
        <v>476</v>
      </c>
      <c r="H1523" t="s">
        <v>412</v>
      </c>
      <c r="I1523" t="s">
        <v>371</v>
      </c>
      <c r="J1523" t="s">
        <v>41</v>
      </c>
      <c r="K1523" t="s">
        <v>365</v>
      </c>
      <c r="L1523" t="s">
        <v>319</v>
      </c>
      <c r="M1523" t="s">
        <v>141</v>
      </c>
      <c r="N1523" t="s">
        <v>142</v>
      </c>
      <c r="O1523" t="s">
        <v>155</v>
      </c>
      <c r="P1523" t="s">
        <v>281</v>
      </c>
      <c r="Q1523" t="s">
        <v>155</v>
      </c>
      <c r="R1523" t="s">
        <v>273</v>
      </c>
      <c r="S1523" t="s">
        <v>470</v>
      </c>
      <c r="T1523">
        <v>4</v>
      </c>
      <c r="U1523" t="s">
        <v>471</v>
      </c>
      <c r="V1523" t="s">
        <v>472</v>
      </c>
      <c r="W1523" t="s">
        <v>473</v>
      </c>
      <c r="X1523" t="s">
        <v>306</v>
      </c>
      <c r="Y1523" t="s">
        <v>307</v>
      </c>
      <c r="Z1523">
        <v>65</v>
      </c>
      <c r="AA1523">
        <v>0</v>
      </c>
      <c r="AB1523" t="s">
        <v>151</v>
      </c>
      <c r="AC1523" t="s">
        <v>52</v>
      </c>
      <c r="AD1523" t="s">
        <v>278</v>
      </c>
      <c r="AE1523" t="str">
        <f>IF(AF1523="","",VLOOKUP(AC1523,mapel!$A$2:$B$42,2,FALSE))</f>
        <v/>
      </c>
      <c r="AF1523" t="str">
        <f t="shared" si="69"/>
        <v/>
      </c>
      <c r="AG1523" t="str">
        <f>IF(AF1523="","",IF(AF1523&gt;90,"Sangat baik",IF(AF1523&gt;79,"Baik",IF(AF1523&gt;=pub_gid_0_single_true_output_csv[[#This Row],[KKM]],"Cukup","Kurang"))))</f>
        <v/>
      </c>
      <c r="AH1523" t="str">
        <f t="shared" si="70"/>
        <v/>
      </c>
      <c r="AI1523" s="30" t="str">
        <f>IF(OR(J1523&lt;&gt;"Karakter",pub_gid_0_single_true_output_csv[[#This Row],[Nilai2]]=""),"",IF(AF1523&gt;89,"Sangat baik",IF(AF1523&gt;79,"Baik",IF(AF1523&gt;69,"Cukup",IF(AF1523&gt;59,"Kurang","Sangat kurang")))))</f>
        <v/>
      </c>
      <c r="AJ1523" t="str">
        <f t="shared" si="71"/>
        <v/>
      </c>
      <c r="AK1523" t="str">
        <f>IF(pub_gid_0_single_true_output_csv[[#This Row],[Nilai2]]="","",VLOOKUP(pub_gid_0_single_true_output_csv[[#This Row],[NAMA]],Table7[],3,FALSE))</f>
        <v/>
      </c>
    </row>
    <row r="1524" spans="1:37" x14ac:dyDescent="0.2">
      <c r="A1524">
        <v>1523</v>
      </c>
      <c r="B1524" t="s">
        <v>290</v>
      </c>
      <c r="C1524" t="s">
        <v>54</v>
      </c>
      <c r="D1524" t="s">
        <v>42</v>
      </c>
      <c r="E1524" t="s">
        <v>140</v>
      </c>
      <c r="F1524" s="25">
        <v>46078</v>
      </c>
      <c r="G1524" t="s">
        <v>284</v>
      </c>
      <c r="H1524" t="s">
        <v>412</v>
      </c>
      <c r="I1524" t="s">
        <v>371</v>
      </c>
      <c r="J1524" t="s">
        <v>36</v>
      </c>
      <c r="K1524" t="s">
        <v>153</v>
      </c>
      <c r="L1524" t="s">
        <v>319</v>
      </c>
      <c r="M1524" t="s">
        <v>141</v>
      </c>
      <c r="N1524" t="s">
        <v>142</v>
      </c>
      <c r="O1524" t="s">
        <v>155</v>
      </c>
      <c r="P1524" t="s">
        <v>281</v>
      </c>
      <c r="Q1524" t="s">
        <v>155</v>
      </c>
      <c r="R1524" t="s">
        <v>273</v>
      </c>
      <c r="S1524" t="s">
        <v>470</v>
      </c>
      <c r="T1524">
        <v>4</v>
      </c>
      <c r="U1524" t="s">
        <v>471</v>
      </c>
      <c r="V1524" t="s">
        <v>472</v>
      </c>
      <c r="W1524" t="s">
        <v>473</v>
      </c>
      <c r="X1524" t="s">
        <v>306</v>
      </c>
      <c r="Y1524" t="s">
        <v>307</v>
      </c>
      <c r="Z1524">
        <v>65</v>
      </c>
      <c r="AA1524">
        <v>0</v>
      </c>
      <c r="AB1524" t="s">
        <v>151</v>
      </c>
      <c r="AC1524" t="s">
        <v>52</v>
      </c>
      <c r="AD1524" t="s">
        <v>278</v>
      </c>
      <c r="AE1524" t="str">
        <f>IF(AF1524="","",VLOOKUP(AC1524,mapel!$A$2:$B$42,2,FALSE))</f>
        <v/>
      </c>
      <c r="AF1524" t="str">
        <f t="shared" si="69"/>
        <v/>
      </c>
      <c r="AG1524" t="str">
        <f>IF(AF1524="","",IF(AF1524&gt;90,"Sangat baik",IF(AF1524&gt;79,"Baik",IF(AF1524&gt;=pub_gid_0_single_true_output_csv[[#This Row],[KKM]],"Cukup","Kurang"))))</f>
        <v/>
      </c>
      <c r="AH1524" t="str">
        <f t="shared" si="70"/>
        <v/>
      </c>
      <c r="AI1524" s="30" t="str">
        <f>IF(OR(J1524&lt;&gt;"Karakter",pub_gid_0_single_true_output_csv[[#This Row],[Nilai2]]=""),"",IF(AF1524&gt;89,"Sangat baik",IF(AF1524&gt;79,"Baik",IF(AF1524&gt;69,"Cukup",IF(AF1524&gt;59,"Kurang","Sangat kurang")))))</f>
        <v/>
      </c>
      <c r="AJ1524" t="str">
        <f t="shared" si="71"/>
        <v/>
      </c>
      <c r="AK1524" t="str">
        <f>IF(pub_gid_0_single_true_output_csv[[#This Row],[Nilai2]]="","",VLOOKUP(pub_gid_0_single_true_output_csv[[#This Row],[NAMA]],Table7[],3,FALSE))</f>
        <v/>
      </c>
    </row>
    <row r="1525" spans="1:37" x14ac:dyDescent="0.2">
      <c r="A1525">
        <v>1524</v>
      </c>
      <c r="B1525" t="s">
        <v>291</v>
      </c>
      <c r="C1525" t="s">
        <v>54</v>
      </c>
      <c r="D1525" t="s">
        <v>43</v>
      </c>
      <c r="E1525" t="s">
        <v>146</v>
      </c>
      <c r="F1525" s="25">
        <v>46035</v>
      </c>
      <c r="G1525" t="s">
        <v>358</v>
      </c>
      <c r="H1525" t="s">
        <v>405</v>
      </c>
      <c r="I1525" t="s">
        <v>371</v>
      </c>
      <c r="J1525" t="s">
        <v>41</v>
      </c>
      <c r="K1525" t="s">
        <v>365</v>
      </c>
      <c r="L1525" t="s">
        <v>322</v>
      </c>
      <c r="M1525" t="s">
        <v>141</v>
      </c>
      <c r="N1525" t="s">
        <v>142</v>
      </c>
      <c r="O1525" t="s">
        <v>155</v>
      </c>
      <c r="P1525" t="s">
        <v>281</v>
      </c>
      <c r="Q1525" t="s">
        <v>155</v>
      </c>
      <c r="R1525" t="s">
        <v>273</v>
      </c>
      <c r="S1525" t="s">
        <v>470</v>
      </c>
      <c r="T1525">
        <v>4</v>
      </c>
      <c r="U1525" t="s">
        <v>471</v>
      </c>
      <c r="V1525" t="s">
        <v>472</v>
      </c>
      <c r="W1525" t="s">
        <v>473</v>
      </c>
      <c r="X1525" t="s">
        <v>306</v>
      </c>
      <c r="Y1525" t="s">
        <v>307</v>
      </c>
      <c r="Z1525">
        <v>65</v>
      </c>
      <c r="AA1525">
        <v>90</v>
      </c>
      <c r="AB1525" t="s">
        <v>143</v>
      </c>
      <c r="AC1525" t="s">
        <v>52</v>
      </c>
      <c r="AD1525" t="s">
        <v>278</v>
      </c>
      <c r="AE1525" t="str">
        <f>IF(AF1525="","",VLOOKUP(AC1525,mapel!$A$2:$B$42,2,FALSE))</f>
        <v>Tepung</v>
      </c>
      <c r="AF1525">
        <f t="shared" si="69"/>
        <v>90</v>
      </c>
      <c r="AG1525" t="str">
        <f>IF(AF1525="","",IF(AF1525&gt;90,"Sangat baik",IF(AF1525&gt;79,"Baik",IF(AF1525&gt;=pub_gid_0_single_true_output_csv[[#This Row],[KKM]],"Cukup","Kurang"))))</f>
        <v>Baik</v>
      </c>
      <c r="AH1525">
        <f t="shared" si="70"/>
        <v>11</v>
      </c>
      <c r="AI1525" s="30" t="str">
        <f>IF(OR(J1525&lt;&gt;"Karakter",pub_gid_0_single_true_output_csv[[#This Row],[Nilai2]]=""),"",IF(AF1525&gt;89,"Sangat baik",IF(AF1525&gt;79,"Baik",IF(AF1525&gt;69,"Cukup",IF(AF1525&gt;59,"Kurang","Sangat kurang")))))</f>
        <v/>
      </c>
      <c r="AJ1525" t="str">
        <f t="shared" si="71"/>
        <v>Wk.3</v>
      </c>
      <c r="AK1525" t="str">
        <f>IF(pub_gid_0_single_true_output_csv[[#This Row],[Nilai2]]="","",VLOOKUP(pub_gid_0_single_true_output_csv[[#This Row],[NAMA]],Table7[],3,FALSE))</f>
        <v>High average</v>
      </c>
    </row>
    <row r="1526" spans="1:37" x14ac:dyDescent="0.2">
      <c r="A1526">
        <v>1525</v>
      </c>
      <c r="B1526" t="s">
        <v>291</v>
      </c>
      <c r="C1526" t="s">
        <v>54</v>
      </c>
      <c r="D1526" t="s">
        <v>43</v>
      </c>
      <c r="E1526" t="s">
        <v>146</v>
      </c>
      <c r="F1526" s="25">
        <v>46036</v>
      </c>
      <c r="G1526" t="s">
        <v>353</v>
      </c>
      <c r="H1526" t="s">
        <v>405</v>
      </c>
      <c r="I1526" t="s">
        <v>371</v>
      </c>
      <c r="J1526" t="s">
        <v>41</v>
      </c>
      <c r="K1526" t="s">
        <v>365</v>
      </c>
      <c r="L1526" t="s">
        <v>319</v>
      </c>
      <c r="M1526" t="s">
        <v>141</v>
      </c>
      <c r="N1526" t="s">
        <v>142</v>
      </c>
      <c r="O1526" t="s">
        <v>155</v>
      </c>
      <c r="P1526" t="s">
        <v>281</v>
      </c>
      <c r="Q1526" t="s">
        <v>155</v>
      </c>
      <c r="R1526" t="s">
        <v>273</v>
      </c>
      <c r="S1526" t="s">
        <v>470</v>
      </c>
      <c r="T1526">
        <v>4</v>
      </c>
      <c r="U1526" t="s">
        <v>471</v>
      </c>
      <c r="V1526" t="s">
        <v>472</v>
      </c>
      <c r="W1526" t="s">
        <v>473</v>
      </c>
      <c r="X1526" t="s">
        <v>306</v>
      </c>
      <c r="Y1526" t="s">
        <v>307</v>
      </c>
      <c r="Z1526">
        <v>65</v>
      </c>
      <c r="AA1526">
        <v>90</v>
      </c>
      <c r="AB1526" t="s">
        <v>143</v>
      </c>
      <c r="AC1526" t="s">
        <v>52</v>
      </c>
      <c r="AD1526" t="s">
        <v>278</v>
      </c>
      <c r="AE1526" t="str">
        <f>IF(AF1526="","",VLOOKUP(AC1526,mapel!$A$2:$B$42,2,FALSE))</f>
        <v>Tepung</v>
      </c>
      <c r="AF1526">
        <f t="shared" si="69"/>
        <v>90</v>
      </c>
      <c r="AG1526" t="str">
        <f>IF(AF1526="","",IF(AF1526&gt;90,"Sangat baik",IF(AF1526&gt;79,"Baik",IF(AF1526&gt;=pub_gid_0_single_true_output_csv[[#This Row],[KKM]],"Cukup","Kurang"))))</f>
        <v>Baik</v>
      </c>
      <c r="AH1526">
        <f t="shared" si="70"/>
        <v>11</v>
      </c>
      <c r="AI1526" s="30" t="str">
        <f>IF(OR(J1526&lt;&gt;"Karakter",pub_gid_0_single_true_output_csv[[#This Row],[Nilai2]]=""),"",IF(AF1526&gt;89,"Sangat baik",IF(AF1526&gt;79,"Baik",IF(AF1526&gt;69,"Cukup",IF(AF1526&gt;59,"Kurang","Sangat kurang")))))</f>
        <v/>
      </c>
      <c r="AJ1526" t="str">
        <f t="shared" si="71"/>
        <v>Wk.3</v>
      </c>
      <c r="AK1526" t="str">
        <f>IF(pub_gid_0_single_true_output_csv[[#This Row],[Nilai2]]="","",VLOOKUP(pub_gid_0_single_true_output_csv[[#This Row],[NAMA]],Table7[],3,FALSE))</f>
        <v>High average</v>
      </c>
    </row>
    <row r="1527" spans="1:37" x14ac:dyDescent="0.2">
      <c r="A1527">
        <v>1526</v>
      </c>
      <c r="B1527" t="s">
        <v>291</v>
      </c>
      <c r="C1527" t="s">
        <v>54</v>
      </c>
      <c r="D1527" t="s">
        <v>43</v>
      </c>
      <c r="E1527" t="s">
        <v>146</v>
      </c>
      <c r="F1527" s="25">
        <v>46037</v>
      </c>
      <c r="G1527" t="s">
        <v>356</v>
      </c>
      <c r="H1527" t="s">
        <v>405</v>
      </c>
      <c r="I1527" t="s">
        <v>371</v>
      </c>
      <c r="J1527" t="s">
        <v>36</v>
      </c>
      <c r="K1527" t="s">
        <v>37</v>
      </c>
      <c r="L1527" t="s">
        <v>383</v>
      </c>
      <c r="M1527" t="s">
        <v>141</v>
      </c>
      <c r="N1527" t="s">
        <v>142</v>
      </c>
      <c r="O1527" t="s">
        <v>155</v>
      </c>
      <c r="P1527" t="s">
        <v>281</v>
      </c>
      <c r="Q1527" t="s">
        <v>155</v>
      </c>
      <c r="R1527" t="s">
        <v>273</v>
      </c>
      <c r="S1527" t="s">
        <v>470</v>
      </c>
      <c r="T1527">
        <v>4</v>
      </c>
      <c r="U1527" t="s">
        <v>471</v>
      </c>
      <c r="V1527" t="s">
        <v>472</v>
      </c>
      <c r="W1527" t="s">
        <v>473</v>
      </c>
      <c r="X1527" t="s">
        <v>306</v>
      </c>
      <c r="Y1527" t="s">
        <v>307</v>
      </c>
      <c r="Z1527">
        <v>65</v>
      </c>
      <c r="AA1527">
        <v>85</v>
      </c>
      <c r="AB1527" t="s">
        <v>143</v>
      </c>
      <c r="AC1527" t="s">
        <v>52</v>
      </c>
      <c r="AD1527" t="s">
        <v>278</v>
      </c>
      <c r="AE1527" t="str">
        <f>IF(AF1527="","",VLOOKUP(AC1527,mapel!$A$2:$B$42,2,FALSE))</f>
        <v>Tepung</v>
      </c>
      <c r="AF1527">
        <f t="shared" si="69"/>
        <v>85</v>
      </c>
      <c r="AG1527" t="str">
        <f>IF(AF1527="","",IF(AF1527&gt;90,"Sangat baik",IF(AF1527&gt;79,"Baik",IF(AF1527&gt;=pub_gid_0_single_true_output_csv[[#This Row],[KKM]],"Cukup","Kurang"))))</f>
        <v>Baik</v>
      </c>
      <c r="AH1527">
        <f t="shared" si="70"/>
        <v>11</v>
      </c>
      <c r="AI1527" s="30" t="str">
        <f>IF(OR(J1527&lt;&gt;"Karakter",pub_gid_0_single_true_output_csv[[#This Row],[Nilai2]]=""),"",IF(AF1527&gt;89,"Sangat baik",IF(AF1527&gt;79,"Baik",IF(AF1527&gt;69,"Cukup",IF(AF1527&gt;59,"Kurang","Sangat kurang")))))</f>
        <v/>
      </c>
      <c r="AJ1527" t="str">
        <f t="shared" si="71"/>
        <v>Wk.3</v>
      </c>
      <c r="AK1527" t="str">
        <f>IF(pub_gid_0_single_true_output_csv[[#This Row],[Nilai2]]="","",VLOOKUP(pub_gid_0_single_true_output_csv[[#This Row],[NAMA]],Table7[],3,FALSE))</f>
        <v>High average</v>
      </c>
    </row>
    <row r="1528" spans="1:37" x14ac:dyDescent="0.2">
      <c r="A1528">
        <v>1527</v>
      </c>
      <c r="B1528" t="s">
        <v>291</v>
      </c>
      <c r="C1528" t="s">
        <v>54</v>
      </c>
      <c r="D1528" t="s">
        <v>43</v>
      </c>
      <c r="E1528" t="s">
        <v>146</v>
      </c>
      <c r="F1528" s="25">
        <v>46042</v>
      </c>
      <c r="G1528" t="s">
        <v>474</v>
      </c>
      <c r="H1528" t="s">
        <v>405</v>
      </c>
      <c r="I1528" t="s">
        <v>371</v>
      </c>
      <c r="J1528" t="s">
        <v>90</v>
      </c>
      <c r="K1528" t="s">
        <v>366</v>
      </c>
      <c r="L1528" t="s">
        <v>475</v>
      </c>
      <c r="M1528" t="s">
        <v>141</v>
      </c>
      <c r="N1528" t="s">
        <v>142</v>
      </c>
      <c r="O1528" t="s">
        <v>155</v>
      </c>
      <c r="P1528" t="s">
        <v>281</v>
      </c>
      <c r="Q1528" t="s">
        <v>155</v>
      </c>
      <c r="R1528" t="s">
        <v>273</v>
      </c>
      <c r="S1528" t="s">
        <v>470</v>
      </c>
      <c r="T1528">
        <v>4</v>
      </c>
      <c r="U1528" t="s">
        <v>471</v>
      </c>
      <c r="V1528" t="s">
        <v>472</v>
      </c>
      <c r="W1528" t="s">
        <v>473</v>
      </c>
      <c r="X1528" t="s">
        <v>306</v>
      </c>
      <c r="Y1528" t="s">
        <v>307</v>
      </c>
      <c r="Z1528">
        <v>65</v>
      </c>
      <c r="AA1528">
        <v>100</v>
      </c>
      <c r="AB1528" t="s">
        <v>143</v>
      </c>
      <c r="AC1528" t="s">
        <v>52</v>
      </c>
      <c r="AD1528" t="s">
        <v>278</v>
      </c>
      <c r="AE1528" t="str">
        <f>IF(AF1528="","",VLOOKUP(AC1528,mapel!$A$2:$B$42,2,FALSE))</f>
        <v>Tepung</v>
      </c>
      <c r="AF1528">
        <f t="shared" si="69"/>
        <v>100</v>
      </c>
      <c r="AG1528" t="str">
        <f>IF(AF1528="","",IF(AF1528&gt;90,"Sangat baik",IF(AF1528&gt;79,"Baik",IF(AF1528&gt;=pub_gid_0_single_true_output_csv[[#This Row],[KKM]],"Cukup","Kurang"))))</f>
        <v>Sangat baik</v>
      </c>
      <c r="AH1528">
        <f t="shared" si="70"/>
        <v>11</v>
      </c>
      <c r="AI1528" s="30" t="str">
        <f>IF(OR(J1528&lt;&gt;"Karakter",pub_gid_0_single_true_output_csv[[#This Row],[Nilai2]]=""),"",IF(AF1528&gt;89,"Sangat baik",IF(AF1528&gt;79,"Baik",IF(AF1528&gt;69,"Cukup",IF(AF1528&gt;59,"Kurang","Sangat kurang")))))</f>
        <v>Sangat baik</v>
      </c>
      <c r="AJ1528" t="str">
        <f t="shared" si="71"/>
        <v>Wk.4</v>
      </c>
      <c r="AK1528" t="str">
        <f>IF(pub_gid_0_single_true_output_csv[[#This Row],[Nilai2]]="","",VLOOKUP(pub_gid_0_single_true_output_csv[[#This Row],[NAMA]],Table7[],3,FALSE))</f>
        <v>High average</v>
      </c>
    </row>
    <row r="1529" spans="1:37" x14ac:dyDescent="0.2">
      <c r="A1529">
        <v>1528</v>
      </c>
      <c r="B1529" t="s">
        <v>291</v>
      </c>
      <c r="C1529" t="s">
        <v>54</v>
      </c>
      <c r="D1529" t="s">
        <v>43</v>
      </c>
      <c r="E1529" t="s">
        <v>146</v>
      </c>
      <c r="F1529" s="25">
        <v>46051</v>
      </c>
      <c r="G1529" t="s">
        <v>320</v>
      </c>
      <c r="H1529" t="s">
        <v>405</v>
      </c>
      <c r="I1529" t="s">
        <v>371</v>
      </c>
      <c r="J1529" t="s">
        <v>41</v>
      </c>
      <c r="K1529" t="s">
        <v>365</v>
      </c>
      <c r="L1529" t="s">
        <v>319</v>
      </c>
      <c r="M1529" t="s">
        <v>141</v>
      </c>
      <c r="N1529" t="s">
        <v>142</v>
      </c>
      <c r="O1529" t="s">
        <v>155</v>
      </c>
      <c r="P1529" t="s">
        <v>281</v>
      </c>
      <c r="Q1529" t="s">
        <v>155</v>
      </c>
      <c r="R1529" t="s">
        <v>273</v>
      </c>
      <c r="S1529" t="s">
        <v>470</v>
      </c>
      <c r="T1529">
        <v>4</v>
      </c>
      <c r="U1529" t="s">
        <v>471</v>
      </c>
      <c r="V1529" t="s">
        <v>472</v>
      </c>
      <c r="W1529" t="s">
        <v>473</v>
      </c>
      <c r="X1529" t="s">
        <v>306</v>
      </c>
      <c r="Y1529" t="s">
        <v>307</v>
      </c>
      <c r="Z1529">
        <v>65</v>
      </c>
      <c r="AA1529">
        <v>80</v>
      </c>
      <c r="AB1529" t="s">
        <v>143</v>
      </c>
      <c r="AC1529" t="s">
        <v>52</v>
      </c>
      <c r="AD1529" t="s">
        <v>278</v>
      </c>
      <c r="AE1529" t="str">
        <f>IF(AF1529="","",VLOOKUP(AC1529,mapel!$A$2:$B$42,2,FALSE))</f>
        <v>Tepung</v>
      </c>
      <c r="AF1529">
        <f t="shared" si="69"/>
        <v>80</v>
      </c>
      <c r="AG1529" t="str">
        <f>IF(AF1529="","",IF(AF1529&gt;90,"Sangat baik",IF(AF1529&gt;79,"Baik",IF(AF1529&gt;=pub_gid_0_single_true_output_csv[[#This Row],[KKM]],"Cukup","Kurang"))))</f>
        <v>Baik</v>
      </c>
      <c r="AH1529">
        <f t="shared" si="70"/>
        <v>11</v>
      </c>
      <c r="AI1529" s="30" t="str">
        <f>IF(OR(J1529&lt;&gt;"Karakter",pub_gid_0_single_true_output_csv[[#This Row],[Nilai2]]=""),"",IF(AF1529&gt;89,"Sangat baik",IF(AF1529&gt;79,"Baik",IF(AF1529&gt;69,"Cukup",IF(AF1529&gt;59,"Kurang","Sangat kurang")))))</f>
        <v/>
      </c>
      <c r="AJ1529" t="str">
        <f t="shared" si="71"/>
        <v>Wk.5</v>
      </c>
      <c r="AK1529" t="str">
        <f>IF(pub_gid_0_single_true_output_csv[[#This Row],[Nilai2]]="","",VLOOKUP(pub_gid_0_single_true_output_csv[[#This Row],[NAMA]],Table7[],3,FALSE))</f>
        <v>High average</v>
      </c>
    </row>
    <row r="1530" spans="1:37" x14ac:dyDescent="0.2">
      <c r="A1530">
        <v>1529</v>
      </c>
      <c r="B1530" t="s">
        <v>291</v>
      </c>
      <c r="C1530" t="s">
        <v>54</v>
      </c>
      <c r="D1530" t="s">
        <v>43</v>
      </c>
      <c r="E1530" t="s">
        <v>146</v>
      </c>
      <c r="F1530" s="25">
        <v>46056</v>
      </c>
      <c r="G1530" t="s">
        <v>372</v>
      </c>
      <c r="H1530" t="s">
        <v>412</v>
      </c>
      <c r="I1530" t="s">
        <v>371</v>
      </c>
      <c r="J1530" t="s">
        <v>41</v>
      </c>
      <c r="K1530" t="s">
        <v>365</v>
      </c>
      <c r="L1530" t="s">
        <v>322</v>
      </c>
      <c r="M1530" t="s">
        <v>141</v>
      </c>
      <c r="N1530" t="s">
        <v>142</v>
      </c>
      <c r="O1530" t="s">
        <v>155</v>
      </c>
      <c r="P1530" t="s">
        <v>281</v>
      </c>
      <c r="Q1530" t="s">
        <v>155</v>
      </c>
      <c r="R1530" t="s">
        <v>273</v>
      </c>
      <c r="S1530" t="s">
        <v>309</v>
      </c>
      <c r="T1530">
        <v>1</v>
      </c>
      <c r="U1530" t="s">
        <v>393</v>
      </c>
      <c r="V1530" t="s">
        <v>285</v>
      </c>
      <c r="W1530" t="s">
        <v>394</v>
      </c>
      <c r="X1530" t="s">
        <v>306</v>
      </c>
      <c r="Y1530" t="s">
        <v>307</v>
      </c>
      <c r="Z1530">
        <v>65</v>
      </c>
      <c r="AA1530">
        <v>78</v>
      </c>
      <c r="AB1530" t="s">
        <v>143</v>
      </c>
      <c r="AC1530" t="s">
        <v>52</v>
      </c>
      <c r="AD1530" t="s">
        <v>278</v>
      </c>
      <c r="AE1530" t="str">
        <f>IF(AF1530="","",VLOOKUP(AC1530,mapel!$A$2:$B$42,2,FALSE))</f>
        <v>Tepung</v>
      </c>
      <c r="AF1530">
        <f t="shared" si="69"/>
        <v>78</v>
      </c>
      <c r="AG1530" t="str">
        <f>IF(AF1530="","",IF(AF1530&gt;90,"Sangat baik",IF(AF1530&gt;79,"Baik",IF(AF1530&gt;=pub_gid_0_single_true_output_csv[[#This Row],[KKM]],"Cukup","Kurang"))))</f>
        <v>Cukup</v>
      </c>
      <c r="AH1530">
        <f t="shared" si="70"/>
        <v>11</v>
      </c>
      <c r="AI1530" s="30" t="str">
        <f>IF(OR(J1530&lt;&gt;"Karakter",pub_gid_0_single_true_output_csv[[#This Row],[Nilai2]]=""),"",IF(AF1530&gt;89,"Sangat baik",IF(AF1530&gt;79,"Baik",IF(AF1530&gt;69,"Cukup",IF(AF1530&gt;59,"Kurang","Sangat kurang")))))</f>
        <v/>
      </c>
      <c r="AJ1530" t="str">
        <f t="shared" si="71"/>
        <v>Wk.6</v>
      </c>
      <c r="AK1530" t="str">
        <f>IF(pub_gid_0_single_true_output_csv[[#This Row],[Nilai2]]="","",VLOOKUP(pub_gid_0_single_true_output_csv[[#This Row],[NAMA]],Table7[],3,FALSE))</f>
        <v>High average</v>
      </c>
    </row>
    <row r="1531" spans="1:37" x14ac:dyDescent="0.2">
      <c r="A1531">
        <v>1530</v>
      </c>
      <c r="B1531" t="s">
        <v>291</v>
      </c>
      <c r="C1531" t="s">
        <v>54</v>
      </c>
      <c r="D1531" t="s">
        <v>43</v>
      </c>
      <c r="E1531" t="s">
        <v>146</v>
      </c>
      <c r="F1531" s="25">
        <v>46057</v>
      </c>
      <c r="G1531" t="s">
        <v>348</v>
      </c>
      <c r="H1531" t="s">
        <v>412</v>
      </c>
      <c r="I1531" t="s">
        <v>371</v>
      </c>
      <c r="J1531" t="s">
        <v>36</v>
      </c>
      <c r="K1531" t="s">
        <v>153</v>
      </c>
      <c r="L1531" t="s">
        <v>395</v>
      </c>
      <c r="M1531" t="s">
        <v>141</v>
      </c>
      <c r="N1531" t="s">
        <v>142</v>
      </c>
      <c r="O1531" t="s">
        <v>155</v>
      </c>
      <c r="P1531" t="s">
        <v>281</v>
      </c>
      <c r="Q1531" t="s">
        <v>155</v>
      </c>
      <c r="R1531" t="s">
        <v>273</v>
      </c>
      <c r="S1531" t="s">
        <v>309</v>
      </c>
      <c r="T1531">
        <v>1</v>
      </c>
      <c r="U1531" t="s">
        <v>393</v>
      </c>
      <c r="V1531" t="s">
        <v>285</v>
      </c>
      <c r="W1531" t="s">
        <v>394</v>
      </c>
      <c r="X1531" t="s">
        <v>306</v>
      </c>
      <c r="Y1531" t="s">
        <v>307</v>
      </c>
      <c r="Z1531">
        <v>65</v>
      </c>
      <c r="AA1531">
        <v>78</v>
      </c>
      <c r="AB1531" t="s">
        <v>143</v>
      </c>
      <c r="AC1531" t="s">
        <v>52</v>
      </c>
      <c r="AD1531" t="s">
        <v>278</v>
      </c>
      <c r="AE1531" t="str">
        <f>IF(AF1531="","",VLOOKUP(AC1531,mapel!$A$2:$B$42,2,FALSE))</f>
        <v>Tepung</v>
      </c>
      <c r="AF1531">
        <f t="shared" si="69"/>
        <v>78</v>
      </c>
      <c r="AG1531" t="str">
        <f>IF(AF1531="","",IF(AF1531&gt;90,"Sangat baik",IF(AF1531&gt;79,"Baik",IF(AF1531&gt;=pub_gid_0_single_true_output_csv[[#This Row],[KKM]],"Cukup","Kurang"))))</f>
        <v>Cukup</v>
      </c>
      <c r="AH1531">
        <f t="shared" si="70"/>
        <v>11</v>
      </c>
      <c r="AI1531" s="30" t="str">
        <f>IF(OR(J1531&lt;&gt;"Karakter",pub_gid_0_single_true_output_csv[[#This Row],[Nilai2]]=""),"",IF(AF1531&gt;89,"Sangat baik",IF(AF1531&gt;79,"Baik",IF(AF1531&gt;69,"Cukup",IF(AF1531&gt;59,"Kurang","Sangat kurang")))))</f>
        <v/>
      </c>
      <c r="AJ1531" t="str">
        <f t="shared" si="71"/>
        <v>Wk.6</v>
      </c>
      <c r="AK1531" t="str">
        <f>IF(pub_gid_0_single_true_output_csv[[#This Row],[Nilai2]]="","",VLOOKUP(pub_gid_0_single_true_output_csv[[#This Row],[NAMA]],Table7[],3,FALSE))</f>
        <v>High average</v>
      </c>
    </row>
    <row r="1532" spans="1:37" x14ac:dyDescent="0.2">
      <c r="A1532">
        <v>1531</v>
      </c>
      <c r="B1532" t="s">
        <v>291</v>
      </c>
      <c r="C1532" t="s">
        <v>54</v>
      </c>
      <c r="D1532" t="s">
        <v>43</v>
      </c>
      <c r="E1532" t="s">
        <v>146</v>
      </c>
      <c r="F1532" s="25">
        <v>46058</v>
      </c>
      <c r="G1532" t="s">
        <v>346</v>
      </c>
      <c r="H1532" t="s">
        <v>412</v>
      </c>
      <c r="I1532" t="s">
        <v>371</v>
      </c>
      <c r="J1532" t="s">
        <v>41</v>
      </c>
      <c r="K1532" t="s">
        <v>365</v>
      </c>
      <c r="L1532" t="s">
        <v>322</v>
      </c>
      <c r="M1532" t="s">
        <v>141</v>
      </c>
      <c r="N1532" t="s">
        <v>142</v>
      </c>
      <c r="O1532" t="s">
        <v>155</v>
      </c>
      <c r="P1532" t="s">
        <v>281</v>
      </c>
      <c r="Q1532" t="s">
        <v>155</v>
      </c>
      <c r="R1532" t="s">
        <v>273</v>
      </c>
      <c r="S1532" t="s">
        <v>309</v>
      </c>
      <c r="T1532">
        <v>1</v>
      </c>
      <c r="U1532" t="s">
        <v>393</v>
      </c>
      <c r="V1532" t="s">
        <v>285</v>
      </c>
      <c r="W1532" t="s">
        <v>394</v>
      </c>
      <c r="X1532" t="s">
        <v>306</v>
      </c>
      <c r="Y1532" t="s">
        <v>307</v>
      </c>
      <c r="Z1532">
        <v>65</v>
      </c>
      <c r="AA1532">
        <v>78</v>
      </c>
      <c r="AB1532" t="s">
        <v>143</v>
      </c>
      <c r="AC1532" t="s">
        <v>52</v>
      </c>
      <c r="AD1532" t="s">
        <v>278</v>
      </c>
      <c r="AE1532" t="str">
        <f>IF(AF1532="","",VLOOKUP(AC1532,mapel!$A$2:$B$42,2,FALSE))</f>
        <v>Tepung</v>
      </c>
      <c r="AF1532">
        <f t="shared" si="69"/>
        <v>78</v>
      </c>
      <c r="AG1532" t="str">
        <f>IF(AF1532="","",IF(AF1532&gt;90,"Sangat baik",IF(AF1532&gt;79,"Baik",IF(AF1532&gt;=pub_gid_0_single_true_output_csv[[#This Row],[KKM]],"Cukup","Kurang"))))</f>
        <v>Cukup</v>
      </c>
      <c r="AH1532">
        <f t="shared" si="70"/>
        <v>11</v>
      </c>
      <c r="AI1532" s="30" t="str">
        <f>IF(OR(J1532&lt;&gt;"Karakter",pub_gid_0_single_true_output_csv[[#This Row],[Nilai2]]=""),"",IF(AF1532&gt;89,"Sangat baik",IF(AF1532&gt;79,"Baik",IF(AF1532&gt;69,"Cukup",IF(AF1532&gt;59,"Kurang","Sangat kurang")))))</f>
        <v/>
      </c>
      <c r="AJ1532" t="str">
        <f t="shared" si="71"/>
        <v>Wk.6</v>
      </c>
      <c r="AK1532" t="str">
        <f>IF(pub_gid_0_single_true_output_csv[[#This Row],[Nilai2]]="","",VLOOKUP(pub_gid_0_single_true_output_csv[[#This Row],[NAMA]],Table7[],3,FALSE))</f>
        <v>High average</v>
      </c>
    </row>
    <row r="1533" spans="1:37" x14ac:dyDescent="0.2">
      <c r="A1533">
        <v>1532</v>
      </c>
      <c r="B1533" t="s">
        <v>291</v>
      </c>
      <c r="C1533" t="s">
        <v>54</v>
      </c>
      <c r="D1533" t="s">
        <v>43</v>
      </c>
      <c r="E1533" t="s">
        <v>146</v>
      </c>
      <c r="F1533" s="25">
        <v>46063</v>
      </c>
      <c r="G1533" t="s">
        <v>374</v>
      </c>
      <c r="H1533" t="s">
        <v>412</v>
      </c>
      <c r="I1533" t="s">
        <v>371</v>
      </c>
      <c r="J1533" t="s">
        <v>36</v>
      </c>
      <c r="K1533" t="s">
        <v>153</v>
      </c>
      <c r="L1533" t="s">
        <v>395</v>
      </c>
      <c r="M1533" t="s">
        <v>141</v>
      </c>
      <c r="N1533" t="s">
        <v>142</v>
      </c>
      <c r="O1533" t="s">
        <v>155</v>
      </c>
      <c r="P1533" t="s">
        <v>281</v>
      </c>
      <c r="Q1533" t="s">
        <v>155</v>
      </c>
      <c r="R1533" t="s">
        <v>273</v>
      </c>
      <c r="S1533" t="s">
        <v>309</v>
      </c>
      <c r="T1533">
        <v>1</v>
      </c>
      <c r="U1533" t="s">
        <v>393</v>
      </c>
      <c r="V1533" t="s">
        <v>285</v>
      </c>
      <c r="W1533" t="s">
        <v>394</v>
      </c>
      <c r="X1533" t="s">
        <v>306</v>
      </c>
      <c r="Y1533" t="s">
        <v>307</v>
      </c>
      <c r="Z1533">
        <v>65</v>
      </c>
      <c r="AA1533">
        <v>78</v>
      </c>
      <c r="AB1533" t="s">
        <v>143</v>
      </c>
      <c r="AC1533" t="s">
        <v>52</v>
      </c>
      <c r="AD1533" t="s">
        <v>278</v>
      </c>
      <c r="AE1533" t="str">
        <f>IF(AF1533="","",VLOOKUP(AC1533,mapel!$A$2:$B$42,2,FALSE))</f>
        <v>Tepung</v>
      </c>
      <c r="AF1533">
        <f t="shared" si="69"/>
        <v>78</v>
      </c>
      <c r="AG1533" t="str">
        <f>IF(AF1533="","",IF(AF1533&gt;90,"Sangat baik",IF(AF1533&gt;79,"Baik",IF(AF1533&gt;=pub_gid_0_single_true_output_csv[[#This Row],[KKM]],"Cukup","Kurang"))))</f>
        <v>Cukup</v>
      </c>
      <c r="AH1533">
        <f t="shared" si="70"/>
        <v>11</v>
      </c>
      <c r="AI1533" s="30" t="str">
        <f>IF(OR(J1533&lt;&gt;"Karakter",pub_gid_0_single_true_output_csv[[#This Row],[Nilai2]]=""),"",IF(AF1533&gt;89,"Sangat baik",IF(AF1533&gt;79,"Baik",IF(AF1533&gt;69,"Cukup",IF(AF1533&gt;59,"Kurang","Sangat kurang")))))</f>
        <v/>
      </c>
      <c r="AJ1533" t="str">
        <f t="shared" si="71"/>
        <v>Wk.7</v>
      </c>
      <c r="AK1533" t="str">
        <f>IF(pub_gid_0_single_true_output_csv[[#This Row],[Nilai2]]="","",VLOOKUP(pub_gid_0_single_true_output_csv[[#This Row],[NAMA]],Table7[],3,FALSE))</f>
        <v>High average</v>
      </c>
    </row>
    <row r="1534" spans="1:37" x14ac:dyDescent="0.2">
      <c r="A1534">
        <v>1533</v>
      </c>
      <c r="B1534" t="s">
        <v>291</v>
      </c>
      <c r="C1534" t="s">
        <v>54</v>
      </c>
      <c r="D1534" t="s">
        <v>43</v>
      </c>
      <c r="E1534" t="s">
        <v>146</v>
      </c>
      <c r="F1534" s="25">
        <v>46064</v>
      </c>
      <c r="G1534" t="s">
        <v>352</v>
      </c>
      <c r="H1534" t="s">
        <v>412</v>
      </c>
      <c r="I1534" t="s">
        <v>371</v>
      </c>
      <c r="J1534" t="s">
        <v>31</v>
      </c>
      <c r="K1534" t="s">
        <v>32</v>
      </c>
      <c r="L1534" t="s">
        <v>395</v>
      </c>
      <c r="M1534" t="s">
        <v>141</v>
      </c>
      <c r="N1534" t="s">
        <v>142</v>
      </c>
      <c r="O1534" t="s">
        <v>155</v>
      </c>
      <c r="P1534" t="s">
        <v>281</v>
      </c>
      <c r="Q1534" t="s">
        <v>155</v>
      </c>
      <c r="R1534" t="s">
        <v>273</v>
      </c>
      <c r="S1534" t="s">
        <v>309</v>
      </c>
      <c r="T1534">
        <v>1</v>
      </c>
      <c r="U1534" t="s">
        <v>393</v>
      </c>
      <c r="V1534" t="s">
        <v>285</v>
      </c>
      <c r="W1534" t="s">
        <v>394</v>
      </c>
      <c r="X1534" t="s">
        <v>306</v>
      </c>
      <c r="Y1534" t="s">
        <v>307</v>
      </c>
      <c r="Z1534">
        <v>65</v>
      </c>
      <c r="AA1534">
        <v>78</v>
      </c>
      <c r="AB1534" t="s">
        <v>143</v>
      </c>
      <c r="AC1534" t="s">
        <v>52</v>
      </c>
      <c r="AD1534" t="s">
        <v>278</v>
      </c>
      <c r="AE1534" t="str">
        <f>IF(AF1534="","",VLOOKUP(AC1534,mapel!$A$2:$B$42,2,FALSE))</f>
        <v>Tepung</v>
      </c>
      <c r="AF1534">
        <f t="shared" si="69"/>
        <v>78</v>
      </c>
      <c r="AG1534" t="str">
        <f>IF(AF1534="","",IF(AF1534&gt;90,"Sangat baik",IF(AF1534&gt;79,"Baik",IF(AF1534&gt;=pub_gid_0_single_true_output_csv[[#This Row],[KKM]],"Cukup","Kurang"))))</f>
        <v>Cukup</v>
      </c>
      <c r="AH1534">
        <f t="shared" si="70"/>
        <v>11</v>
      </c>
      <c r="AI1534" s="30" t="str">
        <f>IF(OR(J1534&lt;&gt;"Karakter",pub_gid_0_single_true_output_csv[[#This Row],[Nilai2]]=""),"",IF(AF1534&gt;89,"Sangat baik",IF(AF1534&gt;79,"Baik",IF(AF1534&gt;69,"Cukup",IF(AF1534&gt;59,"Kurang","Sangat kurang")))))</f>
        <v/>
      </c>
      <c r="AJ1534" t="str">
        <f t="shared" si="71"/>
        <v>Wk.7</v>
      </c>
      <c r="AK1534" t="str">
        <f>IF(pub_gid_0_single_true_output_csv[[#This Row],[Nilai2]]="","",VLOOKUP(pub_gid_0_single_true_output_csv[[#This Row],[NAMA]],Table7[],3,FALSE))</f>
        <v>High average</v>
      </c>
    </row>
    <row r="1535" spans="1:37" x14ac:dyDescent="0.2">
      <c r="A1535">
        <v>1534</v>
      </c>
      <c r="B1535" t="s">
        <v>291</v>
      </c>
      <c r="C1535" t="s">
        <v>54</v>
      </c>
      <c r="D1535" t="s">
        <v>43</v>
      </c>
      <c r="E1535" t="s">
        <v>146</v>
      </c>
      <c r="F1535" s="25">
        <v>46065</v>
      </c>
      <c r="G1535" t="s">
        <v>354</v>
      </c>
      <c r="H1535" t="s">
        <v>412</v>
      </c>
      <c r="I1535" t="s">
        <v>371</v>
      </c>
      <c r="J1535" t="s">
        <v>41</v>
      </c>
      <c r="K1535" t="s">
        <v>365</v>
      </c>
      <c r="L1535" t="s">
        <v>322</v>
      </c>
      <c r="M1535" t="s">
        <v>141</v>
      </c>
      <c r="N1535" t="s">
        <v>142</v>
      </c>
      <c r="O1535" t="s">
        <v>155</v>
      </c>
      <c r="P1535" t="s">
        <v>281</v>
      </c>
      <c r="Q1535" t="s">
        <v>155</v>
      </c>
      <c r="R1535" t="s">
        <v>273</v>
      </c>
      <c r="S1535" t="s">
        <v>309</v>
      </c>
      <c r="T1535">
        <v>1</v>
      </c>
      <c r="U1535" t="s">
        <v>393</v>
      </c>
      <c r="V1535" t="s">
        <v>285</v>
      </c>
      <c r="W1535" t="s">
        <v>394</v>
      </c>
      <c r="X1535" t="s">
        <v>306</v>
      </c>
      <c r="Y1535" t="s">
        <v>307</v>
      </c>
      <c r="Z1535">
        <v>65</v>
      </c>
      <c r="AA1535">
        <v>78</v>
      </c>
      <c r="AB1535" t="s">
        <v>143</v>
      </c>
      <c r="AC1535" t="s">
        <v>52</v>
      </c>
      <c r="AD1535" t="s">
        <v>278</v>
      </c>
      <c r="AE1535" t="str">
        <f>IF(AF1535="","",VLOOKUP(AC1535,mapel!$A$2:$B$42,2,FALSE))</f>
        <v>Tepung</v>
      </c>
      <c r="AF1535">
        <f t="shared" si="69"/>
        <v>78</v>
      </c>
      <c r="AG1535" t="str">
        <f>IF(AF1535="","",IF(AF1535&gt;90,"Sangat baik",IF(AF1535&gt;79,"Baik",IF(AF1535&gt;=pub_gid_0_single_true_output_csv[[#This Row],[KKM]],"Cukup","Kurang"))))</f>
        <v>Cukup</v>
      </c>
      <c r="AH1535">
        <f t="shared" si="70"/>
        <v>11</v>
      </c>
      <c r="AI1535" s="30" t="str">
        <f>IF(OR(J1535&lt;&gt;"Karakter",pub_gid_0_single_true_output_csv[[#This Row],[Nilai2]]=""),"",IF(AF1535&gt;89,"Sangat baik",IF(AF1535&gt;79,"Baik",IF(AF1535&gt;69,"Cukup",IF(AF1535&gt;59,"Kurang","Sangat kurang")))))</f>
        <v/>
      </c>
      <c r="AJ1535" t="str">
        <f t="shared" si="71"/>
        <v>Wk.7</v>
      </c>
      <c r="AK1535" t="str">
        <f>IF(pub_gid_0_single_true_output_csv[[#This Row],[Nilai2]]="","",VLOOKUP(pub_gid_0_single_true_output_csv[[#This Row],[NAMA]],Table7[],3,FALSE))</f>
        <v>High average</v>
      </c>
    </row>
    <row r="1536" spans="1:37" x14ac:dyDescent="0.2">
      <c r="A1536">
        <v>1535</v>
      </c>
      <c r="B1536" t="s">
        <v>291</v>
      </c>
      <c r="C1536" t="s">
        <v>54</v>
      </c>
      <c r="D1536" t="s">
        <v>43</v>
      </c>
      <c r="E1536" t="s">
        <v>146</v>
      </c>
      <c r="F1536" s="25">
        <v>46071</v>
      </c>
      <c r="G1536" t="s">
        <v>323</v>
      </c>
      <c r="H1536" t="s">
        <v>412</v>
      </c>
      <c r="I1536" t="s">
        <v>371</v>
      </c>
      <c r="J1536" t="s">
        <v>41</v>
      </c>
      <c r="K1536" t="s">
        <v>365</v>
      </c>
      <c r="L1536" t="s">
        <v>319</v>
      </c>
      <c r="M1536" t="s">
        <v>141</v>
      </c>
      <c r="N1536" t="s">
        <v>142</v>
      </c>
      <c r="O1536" t="s">
        <v>155</v>
      </c>
      <c r="P1536" t="s">
        <v>281</v>
      </c>
      <c r="Q1536" t="s">
        <v>155</v>
      </c>
      <c r="R1536" t="s">
        <v>273</v>
      </c>
      <c r="S1536" t="s">
        <v>470</v>
      </c>
      <c r="T1536">
        <v>4</v>
      </c>
      <c r="U1536" t="s">
        <v>471</v>
      </c>
      <c r="V1536" t="s">
        <v>472</v>
      </c>
      <c r="W1536" t="s">
        <v>473</v>
      </c>
      <c r="X1536" t="s">
        <v>306</v>
      </c>
      <c r="Y1536" t="s">
        <v>307</v>
      </c>
      <c r="Z1536">
        <v>65</v>
      </c>
      <c r="AA1536">
        <v>80</v>
      </c>
      <c r="AB1536" t="s">
        <v>143</v>
      </c>
      <c r="AC1536" t="s">
        <v>52</v>
      </c>
      <c r="AD1536" t="s">
        <v>278</v>
      </c>
      <c r="AE1536" t="str">
        <f>IF(AF1536="","",VLOOKUP(AC1536,mapel!$A$2:$B$42,2,FALSE))</f>
        <v>Tepung</v>
      </c>
      <c r="AF1536">
        <f t="shared" si="69"/>
        <v>80</v>
      </c>
      <c r="AG1536" t="str">
        <f>IF(AF1536="","",IF(AF1536&gt;90,"Sangat baik",IF(AF1536&gt;79,"Baik",IF(AF1536&gt;=pub_gid_0_single_true_output_csv[[#This Row],[KKM]],"Cukup","Kurang"))))</f>
        <v>Baik</v>
      </c>
      <c r="AH1536">
        <f t="shared" si="70"/>
        <v>11</v>
      </c>
      <c r="AI1536" s="30" t="str">
        <f>IF(OR(J1536&lt;&gt;"Karakter",pub_gid_0_single_true_output_csv[[#This Row],[Nilai2]]=""),"",IF(AF1536&gt;89,"Sangat baik",IF(AF1536&gt;79,"Baik",IF(AF1536&gt;69,"Cukup",IF(AF1536&gt;59,"Kurang","Sangat kurang")))))</f>
        <v/>
      </c>
      <c r="AJ1536" t="str">
        <f t="shared" si="71"/>
        <v>Wk.8</v>
      </c>
      <c r="AK1536" t="str">
        <f>IF(pub_gid_0_single_true_output_csv[[#This Row],[Nilai2]]="","",VLOOKUP(pub_gid_0_single_true_output_csv[[#This Row],[NAMA]],Table7[],3,FALSE))</f>
        <v>High average</v>
      </c>
    </row>
    <row r="1537" spans="1:37" x14ac:dyDescent="0.2">
      <c r="A1537">
        <v>1536</v>
      </c>
      <c r="B1537" t="s">
        <v>291</v>
      </c>
      <c r="C1537" t="s">
        <v>54</v>
      </c>
      <c r="D1537" t="s">
        <v>43</v>
      </c>
      <c r="E1537" t="s">
        <v>146</v>
      </c>
      <c r="F1537" s="25">
        <v>46077</v>
      </c>
      <c r="G1537" t="s">
        <v>476</v>
      </c>
      <c r="H1537" t="s">
        <v>412</v>
      </c>
      <c r="I1537" t="s">
        <v>371</v>
      </c>
      <c r="J1537" t="s">
        <v>41</v>
      </c>
      <c r="K1537" t="s">
        <v>365</v>
      </c>
      <c r="L1537" t="s">
        <v>319</v>
      </c>
      <c r="M1537" t="s">
        <v>141</v>
      </c>
      <c r="N1537" t="s">
        <v>142</v>
      </c>
      <c r="O1537" t="s">
        <v>155</v>
      </c>
      <c r="P1537" t="s">
        <v>281</v>
      </c>
      <c r="Q1537" t="s">
        <v>155</v>
      </c>
      <c r="R1537" t="s">
        <v>273</v>
      </c>
      <c r="S1537" t="s">
        <v>470</v>
      </c>
      <c r="T1537">
        <v>4</v>
      </c>
      <c r="U1537" t="s">
        <v>471</v>
      </c>
      <c r="V1537" t="s">
        <v>472</v>
      </c>
      <c r="W1537" t="s">
        <v>473</v>
      </c>
      <c r="X1537" t="s">
        <v>306</v>
      </c>
      <c r="Y1537" t="s">
        <v>307</v>
      </c>
      <c r="Z1537">
        <v>65</v>
      </c>
      <c r="AA1537">
        <v>80</v>
      </c>
      <c r="AB1537" t="s">
        <v>143</v>
      </c>
      <c r="AC1537" t="s">
        <v>52</v>
      </c>
      <c r="AD1537" t="s">
        <v>278</v>
      </c>
      <c r="AE1537" t="str">
        <f>IF(AF1537="","",VLOOKUP(AC1537,mapel!$A$2:$B$42,2,FALSE))</f>
        <v>Tepung</v>
      </c>
      <c r="AF1537">
        <f t="shared" si="69"/>
        <v>80</v>
      </c>
      <c r="AG1537" t="str">
        <f>IF(AF1537="","",IF(AF1537&gt;90,"Sangat baik",IF(AF1537&gt;79,"Baik",IF(AF1537&gt;=pub_gid_0_single_true_output_csv[[#This Row],[KKM]],"Cukup","Kurang"))))</f>
        <v>Baik</v>
      </c>
      <c r="AH1537">
        <f t="shared" si="70"/>
        <v>11</v>
      </c>
      <c r="AI1537" s="30" t="str">
        <f>IF(OR(J1537&lt;&gt;"Karakter",pub_gid_0_single_true_output_csv[[#This Row],[Nilai2]]=""),"",IF(AF1537&gt;89,"Sangat baik",IF(AF1537&gt;79,"Baik",IF(AF1537&gt;69,"Cukup",IF(AF1537&gt;59,"Kurang","Sangat kurang")))))</f>
        <v/>
      </c>
      <c r="AJ1537" t="str">
        <f t="shared" si="71"/>
        <v>Wk.9</v>
      </c>
      <c r="AK1537" t="str">
        <f>IF(pub_gid_0_single_true_output_csv[[#This Row],[Nilai2]]="","",VLOOKUP(pub_gid_0_single_true_output_csv[[#This Row],[NAMA]],Table7[],3,FALSE))</f>
        <v>High average</v>
      </c>
    </row>
    <row r="1538" spans="1:37" x14ac:dyDescent="0.2">
      <c r="A1538">
        <v>1537</v>
      </c>
      <c r="B1538" t="s">
        <v>291</v>
      </c>
      <c r="C1538" t="s">
        <v>54</v>
      </c>
      <c r="D1538" t="s">
        <v>43</v>
      </c>
      <c r="E1538" t="s">
        <v>146</v>
      </c>
      <c r="F1538" s="25">
        <v>46078</v>
      </c>
      <c r="G1538" t="s">
        <v>284</v>
      </c>
      <c r="H1538" t="s">
        <v>412</v>
      </c>
      <c r="I1538" t="s">
        <v>371</v>
      </c>
      <c r="J1538" t="s">
        <v>36</v>
      </c>
      <c r="K1538" t="s">
        <v>153</v>
      </c>
      <c r="L1538" t="s">
        <v>319</v>
      </c>
      <c r="M1538" t="s">
        <v>141</v>
      </c>
      <c r="N1538" t="s">
        <v>142</v>
      </c>
      <c r="O1538" t="s">
        <v>155</v>
      </c>
      <c r="P1538" t="s">
        <v>281</v>
      </c>
      <c r="Q1538" t="s">
        <v>155</v>
      </c>
      <c r="R1538" t="s">
        <v>273</v>
      </c>
      <c r="S1538" t="s">
        <v>470</v>
      </c>
      <c r="T1538">
        <v>4</v>
      </c>
      <c r="U1538" t="s">
        <v>471</v>
      </c>
      <c r="V1538" t="s">
        <v>472</v>
      </c>
      <c r="W1538" t="s">
        <v>473</v>
      </c>
      <c r="X1538" t="s">
        <v>306</v>
      </c>
      <c r="Y1538" t="s">
        <v>307</v>
      </c>
      <c r="Z1538">
        <v>65</v>
      </c>
      <c r="AA1538">
        <v>80</v>
      </c>
      <c r="AB1538" t="s">
        <v>143</v>
      </c>
      <c r="AC1538" t="s">
        <v>52</v>
      </c>
      <c r="AD1538" t="s">
        <v>278</v>
      </c>
      <c r="AE1538" t="str">
        <f>IF(AF1538="","",VLOOKUP(AC1538,mapel!$A$2:$B$42,2,FALSE))</f>
        <v>Tepung</v>
      </c>
      <c r="AF1538">
        <f t="shared" ref="AF1538:AF1601" si="72">IF(AA1538=0, "",IF(AA1538 = 0.1, 0,AA1538))</f>
        <v>80</v>
      </c>
      <c r="AG1538" t="str">
        <f>IF(AF1538="","",IF(AF1538&gt;90,"Sangat baik",IF(AF1538&gt;79,"Baik",IF(AF1538&gt;=pub_gid_0_single_true_output_csv[[#This Row],[KKM]],"Cukup","Kurang"))))</f>
        <v>Baik</v>
      </c>
      <c r="AH1538">
        <f t="shared" ref="AH1538:AH1601" si="73">IF(AG1538="","",VALUE(RIGHT(X1538,2)))</f>
        <v>11</v>
      </c>
      <c r="AI1538" s="30" t="str">
        <f>IF(OR(J1538&lt;&gt;"Karakter",pub_gid_0_single_true_output_csv[[#This Row],[Nilai2]]=""),"",IF(AF1538&gt;89,"Sangat baik",IF(AF1538&gt;79,"Baik",IF(AF1538&gt;69,"Cukup",IF(AF1538&gt;59,"Kurang","Sangat kurang")))))</f>
        <v/>
      </c>
      <c r="AJ1538" t="str">
        <f t="shared" ref="AJ1538:AJ1601" si="74">IF(AF1538="","",CONCATENATE("Wk.",WEEKNUM(F1538,2)))</f>
        <v>Wk.9</v>
      </c>
      <c r="AK1538" t="str">
        <f>IF(pub_gid_0_single_true_output_csv[[#This Row],[Nilai2]]="","",VLOOKUP(pub_gid_0_single_true_output_csv[[#This Row],[NAMA]],Table7[],3,FALSE))</f>
        <v>High average</v>
      </c>
    </row>
    <row r="1539" spans="1:37" x14ac:dyDescent="0.2">
      <c r="A1539">
        <v>1538</v>
      </c>
      <c r="B1539" t="s">
        <v>282</v>
      </c>
      <c r="C1539" t="s">
        <v>54</v>
      </c>
      <c r="D1539" t="s">
        <v>283</v>
      </c>
      <c r="E1539" t="s">
        <v>140</v>
      </c>
      <c r="F1539" s="25">
        <v>46035</v>
      </c>
      <c r="G1539" t="s">
        <v>358</v>
      </c>
      <c r="H1539" t="s">
        <v>405</v>
      </c>
      <c r="I1539" t="s">
        <v>371</v>
      </c>
      <c r="J1539" t="s">
        <v>41</v>
      </c>
      <c r="K1539" t="s">
        <v>365</v>
      </c>
      <c r="L1539" t="s">
        <v>322</v>
      </c>
      <c r="M1539" t="s">
        <v>141</v>
      </c>
      <c r="N1539" t="s">
        <v>142</v>
      </c>
      <c r="O1539" t="s">
        <v>155</v>
      </c>
      <c r="P1539" t="s">
        <v>281</v>
      </c>
      <c r="Q1539" t="s">
        <v>155</v>
      </c>
      <c r="R1539" t="s">
        <v>273</v>
      </c>
      <c r="S1539" t="s">
        <v>470</v>
      </c>
      <c r="T1539">
        <v>4</v>
      </c>
      <c r="U1539" t="s">
        <v>471</v>
      </c>
      <c r="V1539" t="s">
        <v>472</v>
      </c>
      <c r="W1539" t="s">
        <v>473</v>
      </c>
      <c r="X1539" t="s">
        <v>306</v>
      </c>
      <c r="Y1539" t="s">
        <v>307</v>
      </c>
      <c r="Z1539">
        <v>65</v>
      </c>
      <c r="AA1539">
        <v>0</v>
      </c>
      <c r="AB1539" t="s">
        <v>151</v>
      </c>
      <c r="AC1539" t="s">
        <v>52</v>
      </c>
      <c r="AD1539" t="s">
        <v>278</v>
      </c>
      <c r="AE1539" t="str">
        <f>IF(AF1539="","",VLOOKUP(AC1539,mapel!$A$2:$B$42,2,FALSE))</f>
        <v/>
      </c>
      <c r="AF1539" t="str">
        <f t="shared" si="72"/>
        <v/>
      </c>
      <c r="AG1539" t="str">
        <f>IF(AF1539="","",IF(AF1539&gt;90,"Sangat baik",IF(AF1539&gt;79,"Baik",IF(AF1539&gt;=pub_gid_0_single_true_output_csv[[#This Row],[KKM]],"Cukup","Kurang"))))</f>
        <v/>
      </c>
      <c r="AH1539" t="str">
        <f t="shared" si="73"/>
        <v/>
      </c>
      <c r="AI1539" s="30" t="str">
        <f>IF(OR(J1539&lt;&gt;"Karakter",pub_gid_0_single_true_output_csv[[#This Row],[Nilai2]]=""),"",IF(AF1539&gt;89,"Sangat baik",IF(AF1539&gt;79,"Baik",IF(AF1539&gt;69,"Cukup",IF(AF1539&gt;59,"Kurang","Sangat kurang")))))</f>
        <v/>
      </c>
      <c r="AJ1539" t="str">
        <f t="shared" si="74"/>
        <v/>
      </c>
      <c r="AK1539" t="str">
        <f>IF(pub_gid_0_single_true_output_csv[[#This Row],[Nilai2]]="","",VLOOKUP(pub_gid_0_single_true_output_csv[[#This Row],[NAMA]],Table7[],3,FALSE))</f>
        <v/>
      </c>
    </row>
    <row r="1540" spans="1:37" x14ac:dyDescent="0.2">
      <c r="A1540">
        <v>1539</v>
      </c>
      <c r="B1540" t="s">
        <v>282</v>
      </c>
      <c r="C1540" t="s">
        <v>54</v>
      </c>
      <c r="D1540" t="s">
        <v>283</v>
      </c>
      <c r="E1540" t="s">
        <v>140</v>
      </c>
      <c r="F1540" s="25">
        <v>46036</v>
      </c>
      <c r="G1540" t="s">
        <v>353</v>
      </c>
      <c r="H1540" t="s">
        <v>405</v>
      </c>
      <c r="I1540" t="s">
        <v>371</v>
      </c>
      <c r="J1540" t="s">
        <v>41</v>
      </c>
      <c r="K1540" t="s">
        <v>365</v>
      </c>
      <c r="L1540" t="s">
        <v>319</v>
      </c>
      <c r="M1540" t="s">
        <v>141</v>
      </c>
      <c r="N1540" t="s">
        <v>142</v>
      </c>
      <c r="O1540" t="s">
        <v>155</v>
      </c>
      <c r="P1540" t="s">
        <v>281</v>
      </c>
      <c r="Q1540" t="s">
        <v>155</v>
      </c>
      <c r="R1540" t="s">
        <v>273</v>
      </c>
      <c r="S1540" t="s">
        <v>470</v>
      </c>
      <c r="T1540">
        <v>4</v>
      </c>
      <c r="U1540" t="s">
        <v>471</v>
      </c>
      <c r="V1540" t="s">
        <v>472</v>
      </c>
      <c r="W1540" t="s">
        <v>473</v>
      </c>
      <c r="X1540" t="s">
        <v>306</v>
      </c>
      <c r="Y1540" t="s">
        <v>307</v>
      </c>
      <c r="Z1540">
        <v>65</v>
      </c>
      <c r="AA1540">
        <v>0</v>
      </c>
      <c r="AB1540" t="s">
        <v>151</v>
      </c>
      <c r="AC1540" t="s">
        <v>52</v>
      </c>
      <c r="AD1540" t="s">
        <v>278</v>
      </c>
      <c r="AE1540" t="str">
        <f>IF(AF1540="","",VLOOKUP(AC1540,mapel!$A$2:$B$42,2,FALSE))</f>
        <v/>
      </c>
      <c r="AF1540" t="str">
        <f t="shared" si="72"/>
        <v/>
      </c>
      <c r="AG1540" t="str">
        <f>IF(AF1540="","",IF(AF1540&gt;90,"Sangat baik",IF(AF1540&gt;79,"Baik",IF(AF1540&gt;=pub_gid_0_single_true_output_csv[[#This Row],[KKM]],"Cukup","Kurang"))))</f>
        <v/>
      </c>
      <c r="AH1540" t="str">
        <f t="shared" si="73"/>
        <v/>
      </c>
      <c r="AI1540" s="30" t="str">
        <f>IF(OR(J1540&lt;&gt;"Karakter",pub_gid_0_single_true_output_csv[[#This Row],[Nilai2]]=""),"",IF(AF1540&gt;89,"Sangat baik",IF(AF1540&gt;79,"Baik",IF(AF1540&gt;69,"Cukup",IF(AF1540&gt;59,"Kurang","Sangat kurang")))))</f>
        <v/>
      </c>
      <c r="AJ1540" t="str">
        <f t="shared" si="74"/>
        <v/>
      </c>
      <c r="AK1540" t="str">
        <f>IF(pub_gid_0_single_true_output_csv[[#This Row],[Nilai2]]="","",VLOOKUP(pub_gid_0_single_true_output_csv[[#This Row],[NAMA]],Table7[],3,FALSE))</f>
        <v/>
      </c>
    </row>
    <row r="1541" spans="1:37" x14ac:dyDescent="0.2">
      <c r="A1541">
        <v>1540</v>
      </c>
      <c r="B1541" t="s">
        <v>282</v>
      </c>
      <c r="C1541" t="s">
        <v>54</v>
      </c>
      <c r="D1541" t="s">
        <v>283</v>
      </c>
      <c r="E1541" t="s">
        <v>140</v>
      </c>
      <c r="F1541" s="25">
        <v>46037</v>
      </c>
      <c r="G1541" t="s">
        <v>356</v>
      </c>
      <c r="H1541" t="s">
        <v>405</v>
      </c>
      <c r="I1541" t="s">
        <v>371</v>
      </c>
      <c r="J1541" t="s">
        <v>36</v>
      </c>
      <c r="K1541" t="s">
        <v>37</v>
      </c>
      <c r="L1541" t="s">
        <v>383</v>
      </c>
      <c r="M1541" t="s">
        <v>141</v>
      </c>
      <c r="N1541" t="s">
        <v>142</v>
      </c>
      <c r="O1541" t="s">
        <v>155</v>
      </c>
      <c r="P1541" t="s">
        <v>281</v>
      </c>
      <c r="Q1541" t="s">
        <v>155</v>
      </c>
      <c r="R1541" t="s">
        <v>273</v>
      </c>
      <c r="S1541" t="s">
        <v>470</v>
      </c>
      <c r="T1541">
        <v>4</v>
      </c>
      <c r="U1541" t="s">
        <v>471</v>
      </c>
      <c r="V1541" t="s">
        <v>472</v>
      </c>
      <c r="W1541" t="s">
        <v>473</v>
      </c>
      <c r="X1541" t="s">
        <v>306</v>
      </c>
      <c r="Y1541" t="s">
        <v>307</v>
      </c>
      <c r="Z1541">
        <v>65</v>
      </c>
      <c r="AA1541">
        <v>0</v>
      </c>
      <c r="AB1541" t="s">
        <v>151</v>
      </c>
      <c r="AC1541" t="s">
        <v>52</v>
      </c>
      <c r="AD1541" t="s">
        <v>278</v>
      </c>
      <c r="AE1541" t="str">
        <f>IF(AF1541="","",VLOOKUP(AC1541,mapel!$A$2:$B$42,2,FALSE))</f>
        <v/>
      </c>
      <c r="AF1541" t="str">
        <f t="shared" si="72"/>
        <v/>
      </c>
      <c r="AG1541" t="str">
        <f>IF(AF1541="","",IF(AF1541&gt;90,"Sangat baik",IF(AF1541&gt;79,"Baik",IF(AF1541&gt;=pub_gid_0_single_true_output_csv[[#This Row],[KKM]],"Cukup","Kurang"))))</f>
        <v/>
      </c>
      <c r="AH1541" t="str">
        <f t="shared" si="73"/>
        <v/>
      </c>
      <c r="AI1541" s="30" t="str">
        <f>IF(OR(J1541&lt;&gt;"Karakter",pub_gid_0_single_true_output_csv[[#This Row],[Nilai2]]=""),"",IF(AF1541&gt;89,"Sangat baik",IF(AF1541&gt;79,"Baik",IF(AF1541&gt;69,"Cukup",IF(AF1541&gt;59,"Kurang","Sangat kurang")))))</f>
        <v/>
      </c>
      <c r="AJ1541" t="str">
        <f t="shared" si="74"/>
        <v/>
      </c>
      <c r="AK1541" t="str">
        <f>IF(pub_gid_0_single_true_output_csv[[#This Row],[Nilai2]]="","",VLOOKUP(pub_gid_0_single_true_output_csv[[#This Row],[NAMA]],Table7[],3,FALSE))</f>
        <v/>
      </c>
    </row>
    <row r="1542" spans="1:37" x14ac:dyDescent="0.2">
      <c r="A1542">
        <v>1541</v>
      </c>
      <c r="B1542" t="s">
        <v>282</v>
      </c>
      <c r="C1542" t="s">
        <v>54</v>
      </c>
      <c r="D1542" t="s">
        <v>283</v>
      </c>
      <c r="E1542" t="s">
        <v>140</v>
      </c>
      <c r="F1542" s="25">
        <v>46042</v>
      </c>
      <c r="G1542" t="s">
        <v>474</v>
      </c>
      <c r="H1542" t="s">
        <v>405</v>
      </c>
      <c r="I1542" t="s">
        <v>371</v>
      </c>
      <c r="J1542" t="s">
        <v>90</v>
      </c>
      <c r="K1542" t="s">
        <v>366</v>
      </c>
      <c r="L1542" t="s">
        <v>475</v>
      </c>
      <c r="M1542" t="s">
        <v>141</v>
      </c>
      <c r="N1542" t="s">
        <v>142</v>
      </c>
      <c r="O1542" t="s">
        <v>155</v>
      </c>
      <c r="P1542" t="s">
        <v>281</v>
      </c>
      <c r="Q1542" t="s">
        <v>155</v>
      </c>
      <c r="R1542" t="s">
        <v>273</v>
      </c>
      <c r="S1542" t="s">
        <v>470</v>
      </c>
      <c r="T1542">
        <v>4</v>
      </c>
      <c r="U1542" t="s">
        <v>471</v>
      </c>
      <c r="V1542" t="s">
        <v>472</v>
      </c>
      <c r="W1542" t="s">
        <v>473</v>
      </c>
      <c r="X1542" t="s">
        <v>306</v>
      </c>
      <c r="Y1542" t="s">
        <v>307</v>
      </c>
      <c r="Z1542">
        <v>65</v>
      </c>
      <c r="AA1542">
        <v>0</v>
      </c>
      <c r="AB1542" t="s">
        <v>151</v>
      </c>
      <c r="AC1542" t="s">
        <v>52</v>
      </c>
      <c r="AD1542" t="s">
        <v>278</v>
      </c>
      <c r="AE1542" t="str">
        <f>IF(AF1542="","",VLOOKUP(AC1542,mapel!$A$2:$B$42,2,FALSE))</f>
        <v/>
      </c>
      <c r="AF1542" t="str">
        <f t="shared" si="72"/>
        <v/>
      </c>
      <c r="AG1542" t="str">
        <f>IF(AF1542="","",IF(AF1542&gt;90,"Sangat baik",IF(AF1542&gt;79,"Baik",IF(AF1542&gt;=pub_gid_0_single_true_output_csv[[#This Row],[KKM]],"Cukup","Kurang"))))</f>
        <v/>
      </c>
      <c r="AH1542" t="str">
        <f t="shared" si="73"/>
        <v/>
      </c>
      <c r="AI1542" s="30" t="str">
        <f>IF(OR(J1542&lt;&gt;"Karakter",pub_gid_0_single_true_output_csv[[#This Row],[Nilai2]]=""),"",IF(AF1542&gt;89,"Sangat baik",IF(AF1542&gt;79,"Baik",IF(AF1542&gt;69,"Cukup",IF(AF1542&gt;59,"Kurang","Sangat kurang")))))</f>
        <v/>
      </c>
      <c r="AJ1542" t="str">
        <f t="shared" si="74"/>
        <v/>
      </c>
      <c r="AK1542" t="str">
        <f>IF(pub_gid_0_single_true_output_csv[[#This Row],[Nilai2]]="","",VLOOKUP(pub_gid_0_single_true_output_csv[[#This Row],[NAMA]],Table7[],3,FALSE))</f>
        <v/>
      </c>
    </row>
    <row r="1543" spans="1:37" x14ac:dyDescent="0.2">
      <c r="A1543">
        <v>1542</v>
      </c>
      <c r="B1543" t="s">
        <v>282</v>
      </c>
      <c r="C1543" t="s">
        <v>54</v>
      </c>
      <c r="D1543" t="s">
        <v>283</v>
      </c>
      <c r="E1543" t="s">
        <v>140</v>
      </c>
      <c r="F1543" s="25">
        <v>46051</v>
      </c>
      <c r="G1543" t="s">
        <v>320</v>
      </c>
      <c r="H1543" t="s">
        <v>405</v>
      </c>
      <c r="I1543" t="s">
        <v>371</v>
      </c>
      <c r="J1543" t="s">
        <v>41</v>
      </c>
      <c r="K1543" t="s">
        <v>365</v>
      </c>
      <c r="L1543" t="s">
        <v>319</v>
      </c>
      <c r="M1543" t="s">
        <v>141</v>
      </c>
      <c r="N1543" t="s">
        <v>142</v>
      </c>
      <c r="O1543" t="s">
        <v>155</v>
      </c>
      <c r="P1543" t="s">
        <v>281</v>
      </c>
      <c r="Q1543" t="s">
        <v>155</v>
      </c>
      <c r="R1543" t="s">
        <v>273</v>
      </c>
      <c r="S1543" t="s">
        <v>470</v>
      </c>
      <c r="T1543">
        <v>4</v>
      </c>
      <c r="U1543" t="s">
        <v>471</v>
      </c>
      <c r="V1543" t="s">
        <v>472</v>
      </c>
      <c r="W1543" t="s">
        <v>473</v>
      </c>
      <c r="X1543" t="s">
        <v>306</v>
      </c>
      <c r="Y1543" t="s">
        <v>307</v>
      </c>
      <c r="Z1543">
        <v>65</v>
      </c>
      <c r="AA1543">
        <v>0</v>
      </c>
      <c r="AB1543" t="s">
        <v>151</v>
      </c>
      <c r="AC1543" t="s">
        <v>52</v>
      </c>
      <c r="AD1543" t="s">
        <v>278</v>
      </c>
      <c r="AE1543" t="str">
        <f>IF(AF1543="","",VLOOKUP(AC1543,mapel!$A$2:$B$42,2,FALSE))</f>
        <v/>
      </c>
      <c r="AF1543" t="str">
        <f t="shared" si="72"/>
        <v/>
      </c>
      <c r="AG1543" t="str">
        <f>IF(AF1543="","",IF(AF1543&gt;90,"Sangat baik",IF(AF1543&gt;79,"Baik",IF(AF1543&gt;=pub_gid_0_single_true_output_csv[[#This Row],[KKM]],"Cukup","Kurang"))))</f>
        <v/>
      </c>
      <c r="AH1543" t="str">
        <f t="shared" si="73"/>
        <v/>
      </c>
      <c r="AI1543" s="30" t="str">
        <f>IF(OR(J1543&lt;&gt;"Karakter",pub_gid_0_single_true_output_csv[[#This Row],[Nilai2]]=""),"",IF(AF1543&gt;89,"Sangat baik",IF(AF1543&gt;79,"Baik",IF(AF1543&gt;69,"Cukup",IF(AF1543&gt;59,"Kurang","Sangat kurang")))))</f>
        <v/>
      </c>
      <c r="AJ1543" t="str">
        <f t="shared" si="74"/>
        <v/>
      </c>
      <c r="AK1543" t="str">
        <f>IF(pub_gid_0_single_true_output_csv[[#This Row],[Nilai2]]="","",VLOOKUP(pub_gid_0_single_true_output_csv[[#This Row],[NAMA]],Table7[],3,FALSE))</f>
        <v/>
      </c>
    </row>
    <row r="1544" spans="1:37" x14ac:dyDescent="0.2">
      <c r="A1544">
        <v>1543</v>
      </c>
      <c r="B1544" t="s">
        <v>282</v>
      </c>
      <c r="C1544" t="s">
        <v>54</v>
      </c>
      <c r="D1544" t="s">
        <v>283</v>
      </c>
      <c r="E1544" t="s">
        <v>140</v>
      </c>
      <c r="F1544" s="25">
        <v>46056</v>
      </c>
      <c r="G1544" t="s">
        <v>372</v>
      </c>
      <c r="H1544" t="s">
        <v>412</v>
      </c>
      <c r="I1544" t="s">
        <v>371</v>
      </c>
      <c r="J1544" t="s">
        <v>41</v>
      </c>
      <c r="K1544" t="s">
        <v>365</v>
      </c>
      <c r="L1544" t="s">
        <v>322</v>
      </c>
      <c r="M1544" t="s">
        <v>141</v>
      </c>
      <c r="N1544" t="s">
        <v>142</v>
      </c>
      <c r="O1544" t="s">
        <v>155</v>
      </c>
      <c r="P1544" t="s">
        <v>281</v>
      </c>
      <c r="Q1544" t="s">
        <v>155</v>
      </c>
      <c r="R1544" t="s">
        <v>273</v>
      </c>
      <c r="S1544" t="s">
        <v>309</v>
      </c>
      <c r="T1544">
        <v>1</v>
      </c>
      <c r="U1544" t="s">
        <v>393</v>
      </c>
      <c r="V1544" t="s">
        <v>285</v>
      </c>
      <c r="W1544" t="s">
        <v>394</v>
      </c>
      <c r="X1544" t="s">
        <v>306</v>
      </c>
      <c r="Y1544" t="s">
        <v>307</v>
      </c>
      <c r="Z1544">
        <v>65</v>
      </c>
      <c r="AA1544">
        <v>0</v>
      </c>
      <c r="AB1544" t="s">
        <v>151</v>
      </c>
      <c r="AC1544" t="s">
        <v>52</v>
      </c>
      <c r="AD1544" t="s">
        <v>278</v>
      </c>
      <c r="AE1544" t="str">
        <f>IF(AF1544="","",VLOOKUP(AC1544,mapel!$A$2:$B$42,2,FALSE))</f>
        <v/>
      </c>
      <c r="AF1544" t="str">
        <f t="shared" si="72"/>
        <v/>
      </c>
      <c r="AG1544" t="str">
        <f>IF(AF1544="","",IF(AF1544&gt;90,"Sangat baik",IF(AF1544&gt;79,"Baik",IF(AF1544&gt;=pub_gid_0_single_true_output_csv[[#This Row],[KKM]],"Cukup","Kurang"))))</f>
        <v/>
      </c>
      <c r="AH1544" t="str">
        <f t="shared" si="73"/>
        <v/>
      </c>
      <c r="AI1544" s="30" t="str">
        <f>IF(OR(J1544&lt;&gt;"Karakter",pub_gid_0_single_true_output_csv[[#This Row],[Nilai2]]=""),"",IF(AF1544&gt;89,"Sangat baik",IF(AF1544&gt;79,"Baik",IF(AF1544&gt;69,"Cukup",IF(AF1544&gt;59,"Kurang","Sangat kurang")))))</f>
        <v/>
      </c>
      <c r="AJ1544" t="str">
        <f t="shared" si="74"/>
        <v/>
      </c>
      <c r="AK1544" t="str">
        <f>IF(pub_gid_0_single_true_output_csv[[#This Row],[Nilai2]]="","",VLOOKUP(pub_gid_0_single_true_output_csv[[#This Row],[NAMA]],Table7[],3,FALSE))</f>
        <v/>
      </c>
    </row>
    <row r="1545" spans="1:37" x14ac:dyDescent="0.2">
      <c r="A1545">
        <v>1544</v>
      </c>
      <c r="B1545" t="s">
        <v>282</v>
      </c>
      <c r="C1545" t="s">
        <v>54</v>
      </c>
      <c r="D1545" t="s">
        <v>283</v>
      </c>
      <c r="E1545" t="s">
        <v>140</v>
      </c>
      <c r="F1545" s="25">
        <v>46057</v>
      </c>
      <c r="G1545" t="s">
        <v>348</v>
      </c>
      <c r="H1545" t="s">
        <v>412</v>
      </c>
      <c r="I1545" t="s">
        <v>371</v>
      </c>
      <c r="J1545" t="s">
        <v>36</v>
      </c>
      <c r="K1545" t="s">
        <v>153</v>
      </c>
      <c r="L1545" t="s">
        <v>395</v>
      </c>
      <c r="M1545" t="s">
        <v>141</v>
      </c>
      <c r="N1545" t="s">
        <v>142</v>
      </c>
      <c r="O1545" t="s">
        <v>155</v>
      </c>
      <c r="P1545" t="s">
        <v>281</v>
      </c>
      <c r="Q1545" t="s">
        <v>155</v>
      </c>
      <c r="R1545" t="s">
        <v>273</v>
      </c>
      <c r="S1545" t="s">
        <v>309</v>
      </c>
      <c r="T1545">
        <v>1</v>
      </c>
      <c r="U1545" t="s">
        <v>393</v>
      </c>
      <c r="V1545" t="s">
        <v>285</v>
      </c>
      <c r="W1545" t="s">
        <v>394</v>
      </c>
      <c r="X1545" t="s">
        <v>306</v>
      </c>
      <c r="Y1545" t="s">
        <v>307</v>
      </c>
      <c r="Z1545">
        <v>65</v>
      </c>
      <c r="AA1545">
        <v>0</v>
      </c>
      <c r="AB1545" t="s">
        <v>151</v>
      </c>
      <c r="AC1545" t="s">
        <v>52</v>
      </c>
      <c r="AD1545" t="s">
        <v>278</v>
      </c>
      <c r="AE1545" t="str">
        <f>IF(AF1545="","",VLOOKUP(AC1545,mapel!$A$2:$B$42,2,FALSE))</f>
        <v/>
      </c>
      <c r="AF1545" t="str">
        <f t="shared" si="72"/>
        <v/>
      </c>
      <c r="AG1545" t="str">
        <f>IF(AF1545="","",IF(AF1545&gt;90,"Sangat baik",IF(AF1545&gt;79,"Baik",IF(AF1545&gt;=pub_gid_0_single_true_output_csv[[#This Row],[KKM]],"Cukup","Kurang"))))</f>
        <v/>
      </c>
      <c r="AH1545" t="str">
        <f t="shared" si="73"/>
        <v/>
      </c>
      <c r="AI1545" s="30" t="str">
        <f>IF(OR(J1545&lt;&gt;"Karakter",pub_gid_0_single_true_output_csv[[#This Row],[Nilai2]]=""),"",IF(AF1545&gt;89,"Sangat baik",IF(AF1545&gt;79,"Baik",IF(AF1545&gt;69,"Cukup",IF(AF1545&gt;59,"Kurang","Sangat kurang")))))</f>
        <v/>
      </c>
      <c r="AJ1545" t="str">
        <f t="shared" si="74"/>
        <v/>
      </c>
      <c r="AK1545" t="str">
        <f>IF(pub_gid_0_single_true_output_csv[[#This Row],[Nilai2]]="","",VLOOKUP(pub_gid_0_single_true_output_csv[[#This Row],[NAMA]],Table7[],3,FALSE))</f>
        <v/>
      </c>
    </row>
    <row r="1546" spans="1:37" x14ac:dyDescent="0.2">
      <c r="A1546">
        <v>1545</v>
      </c>
      <c r="B1546" t="s">
        <v>282</v>
      </c>
      <c r="C1546" t="s">
        <v>54</v>
      </c>
      <c r="D1546" t="s">
        <v>283</v>
      </c>
      <c r="E1546" t="s">
        <v>140</v>
      </c>
      <c r="F1546" s="25">
        <v>46058</v>
      </c>
      <c r="G1546" t="s">
        <v>346</v>
      </c>
      <c r="H1546" t="s">
        <v>412</v>
      </c>
      <c r="I1546" t="s">
        <v>371</v>
      </c>
      <c r="J1546" t="s">
        <v>41</v>
      </c>
      <c r="K1546" t="s">
        <v>365</v>
      </c>
      <c r="L1546" t="s">
        <v>322</v>
      </c>
      <c r="M1546" t="s">
        <v>141</v>
      </c>
      <c r="N1546" t="s">
        <v>142</v>
      </c>
      <c r="O1546" t="s">
        <v>155</v>
      </c>
      <c r="P1546" t="s">
        <v>281</v>
      </c>
      <c r="Q1546" t="s">
        <v>155</v>
      </c>
      <c r="R1546" t="s">
        <v>273</v>
      </c>
      <c r="S1546" t="s">
        <v>309</v>
      </c>
      <c r="T1546">
        <v>1</v>
      </c>
      <c r="U1546" t="s">
        <v>393</v>
      </c>
      <c r="V1546" t="s">
        <v>285</v>
      </c>
      <c r="W1546" t="s">
        <v>394</v>
      </c>
      <c r="X1546" t="s">
        <v>306</v>
      </c>
      <c r="Y1546" t="s">
        <v>307</v>
      </c>
      <c r="Z1546">
        <v>65</v>
      </c>
      <c r="AA1546">
        <v>0</v>
      </c>
      <c r="AB1546" t="s">
        <v>151</v>
      </c>
      <c r="AC1546" t="s">
        <v>52</v>
      </c>
      <c r="AD1546" t="s">
        <v>278</v>
      </c>
      <c r="AE1546" t="str">
        <f>IF(AF1546="","",VLOOKUP(AC1546,mapel!$A$2:$B$42,2,FALSE))</f>
        <v/>
      </c>
      <c r="AF1546" t="str">
        <f t="shared" si="72"/>
        <v/>
      </c>
      <c r="AG1546" t="str">
        <f>IF(AF1546="","",IF(AF1546&gt;90,"Sangat baik",IF(AF1546&gt;79,"Baik",IF(AF1546&gt;=pub_gid_0_single_true_output_csv[[#This Row],[KKM]],"Cukup","Kurang"))))</f>
        <v/>
      </c>
      <c r="AH1546" t="str">
        <f t="shared" si="73"/>
        <v/>
      </c>
      <c r="AI1546" s="30" t="str">
        <f>IF(OR(J1546&lt;&gt;"Karakter",pub_gid_0_single_true_output_csv[[#This Row],[Nilai2]]=""),"",IF(AF1546&gt;89,"Sangat baik",IF(AF1546&gt;79,"Baik",IF(AF1546&gt;69,"Cukup",IF(AF1546&gt;59,"Kurang","Sangat kurang")))))</f>
        <v/>
      </c>
      <c r="AJ1546" t="str">
        <f t="shared" si="74"/>
        <v/>
      </c>
      <c r="AK1546" t="str">
        <f>IF(pub_gid_0_single_true_output_csv[[#This Row],[Nilai2]]="","",VLOOKUP(pub_gid_0_single_true_output_csv[[#This Row],[NAMA]],Table7[],3,FALSE))</f>
        <v/>
      </c>
    </row>
    <row r="1547" spans="1:37" x14ac:dyDescent="0.2">
      <c r="A1547">
        <v>1546</v>
      </c>
      <c r="B1547" t="s">
        <v>282</v>
      </c>
      <c r="C1547" t="s">
        <v>54</v>
      </c>
      <c r="D1547" t="s">
        <v>283</v>
      </c>
      <c r="E1547" t="s">
        <v>140</v>
      </c>
      <c r="F1547" s="25">
        <v>46063</v>
      </c>
      <c r="G1547" t="s">
        <v>374</v>
      </c>
      <c r="H1547" t="s">
        <v>412</v>
      </c>
      <c r="I1547" t="s">
        <v>371</v>
      </c>
      <c r="J1547" t="s">
        <v>36</v>
      </c>
      <c r="K1547" t="s">
        <v>153</v>
      </c>
      <c r="L1547" t="s">
        <v>395</v>
      </c>
      <c r="M1547" t="s">
        <v>141</v>
      </c>
      <c r="N1547" t="s">
        <v>142</v>
      </c>
      <c r="O1547" t="s">
        <v>155</v>
      </c>
      <c r="P1547" t="s">
        <v>281</v>
      </c>
      <c r="Q1547" t="s">
        <v>155</v>
      </c>
      <c r="R1547" t="s">
        <v>273</v>
      </c>
      <c r="S1547" t="s">
        <v>309</v>
      </c>
      <c r="T1547">
        <v>1</v>
      </c>
      <c r="U1547" t="s">
        <v>393</v>
      </c>
      <c r="V1547" t="s">
        <v>285</v>
      </c>
      <c r="W1547" t="s">
        <v>394</v>
      </c>
      <c r="X1547" t="s">
        <v>306</v>
      </c>
      <c r="Y1547" t="s">
        <v>307</v>
      </c>
      <c r="Z1547">
        <v>65</v>
      </c>
      <c r="AA1547">
        <v>0</v>
      </c>
      <c r="AB1547" t="s">
        <v>151</v>
      </c>
      <c r="AC1547" t="s">
        <v>52</v>
      </c>
      <c r="AD1547" t="s">
        <v>278</v>
      </c>
      <c r="AE1547" t="str">
        <f>IF(AF1547="","",VLOOKUP(AC1547,mapel!$A$2:$B$42,2,FALSE))</f>
        <v/>
      </c>
      <c r="AF1547" t="str">
        <f t="shared" si="72"/>
        <v/>
      </c>
      <c r="AG1547" t="str">
        <f>IF(AF1547="","",IF(AF1547&gt;90,"Sangat baik",IF(AF1547&gt;79,"Baik",IF(AF1547&gt;=pub_gid_0_single_true_output_csv[[#This Row],[KKM]],"Cukup","Kurang"))))</f>
        <v/>
      </c>
      <c r="AH1547" t="str">
        <f t="shared" si="73"/>
        <v/>
      </c>
      <c r="AI1547" s="30" t="str">
        <f>IF(OR(J1547&lt;&gt;"Karakter",pub_gid_0_single_true_output_csv[[#This Row],[Nilai2]]=""),"",IF(AF1547&gt;89,"Sangat baik",IF(AF1547&gt;79,"Baik",IF(AF1547&gt;69,"Cukup",IF(AF1547&gt;59,"Kurang","Sangat kurang")))))</f>
        <v/>
      </c>
      <c r="AJ1547" t="str">
        <f t="shared" si="74"/>
        <v/>
      </c>
      <c r="AK1547" t="str">
        <f>IF(pub_gid_0_single_true_output_csv[[#This Row],[Nilai2]]="","",VLOOKUP(pub_gid_0_single_true_output_csv[[#This Row],[NAMA]],Table7[],3,FALSE))</f>
        <v/>
      </c>
    </row>
    <row r="1548" spans="1:37" x14ac:dyDescent="0.2">
      <c r="A1548">
        <v>1547</v>
      </c>
      <c r="B1548" t="s">
        <v>282</v>
      </c>
      <c r="C1548" t="s">
        <v>54</v>
      </c>
      <c r="D1548" t="s">
        <v>283</v>
      </c>
      <c r="E1548" t="s">
        <v>140</v>
      </c>
      <c r="F1548" s="25">
        <v>46064</v>
      </c>
      <c r="G1548" t="s">
        <v>352</v>
      </c>
      <c r="H1548" t="s">
        <v>412</v>
      </c>
      <c r="I1548" t="s">
        <v>371</v>
      </c>
      <c r="J1548" t="s">
        <v>31</v>
      </c>
      <c r="K1548" t="s">
        <v>32</v>
      </c>
      <c r="L1548" t="s">
        <v>395</v>
      </c>
      <c r="M1548" t="s">
        <v>141</v>
      </c>
      <c r="N1548" t="s">
        <v>142</v>
      </c>
      <c r="O1548" t="s">
        <v>155</v>
      </c>
      <c r="P1548" t="s">
        <v>281</v>
      </c>
      <c r="Q1548" t="s">
        <v>155</v>
      </c>
      <c r="R1548" t="s">
        <v>273</v>
      </c>
      <c r="S1548" t="s">
        <v>309</v>
      </c>
      <c r="T1548">
        <v>1</v>
      </c>
      <c r="U1548" t="s">
        <v>393</v>
      </c>
      <c r="V1548" t="s">
        <v>285</v>
      </c>
      <c r="W1548" t="s">
        <v>394</v>
      </c>
      <c r="X1548" t="s">
        <v>306</v>
      </c>
      <c r="Y1548" t="s">
        <v>307</v>
      </c>
      <c r="Z1548">
        <v>65</v>
      </c>
      <c r="AA1548">
        <v>0</v>
      </c>
      <c r="AB1548" t="s">
        <v>151</v>
      </c>
      <c r="AC1548" t="s">
        <v>52</v>
      </c>
      <c r="AD1548" t="s">
        <v>278</v>
      </c>
      <c r="AE1548" t="str">
        <f>IF(AF1548="","",VLOOKUP(AC1548,mapel!$A$2:$B$42,2,FALSE))</f>
        <v/>
      </c>
      <c r="AF1548" t="str">
        <f t="shared" si="72"/>
        <v/>
      </c>
      <c r="AG1548" t="str">
        <f>IF(AF1548="","",IF(AF1548&gt;90,"Sangat baik",IF(AF1548&gt;79,"Baik",IF(AF1548&gt;=pub_gid_0_single_true_output_csv[[#This Row],[KKM]],"Cukup","Kurang"))))</f>
        <v/>
      </c>
      <c r="AH1548" t="str">
        <f t="shared" si="73"/>
        <v/>
      </c>
      <c r="AI1548" s="30" t="str">
        <f>IF(OR(J1548&lt;&gt;"Karakter",pub_gid_0_single_true_output_csv[[#This Row],[Nilai2]]=""),"",IF(AF1548&gt;89,"Sangat baik",IF(AF1548&gt;79,"Baik",IF(AF1548&gt;69,"Cukup",IF(AF1548&gt;59,"Kurang","Sangat kurang")))))</f>
        <v/>
      </c>
      <c r="AJ1548" t="str">
        <f t="shared" si="74"/>
        <v/>
      </c>
      <c r="AK1548" t="str">
        <f>IF(pub_gid_0_single_true_output_csv[[#This Row],[Nilai2]]="","",VLOOKUP(pub_gid_0_single_true_output_csv[[#This Row],[NAMA]],Table7[],3,FALSE))</f>
        <v/>
      </c>
    </row>
    <row r="1549" spans="1:37" x14ac:dyDescent="0.2">
      <c r="A1549">
        <v>1548</v>
      </c>
      <c r="B1549" t="s">
        <v>282</v>
      </c>
      <c r="C1549" t="s">
        <v>54</v>
      </c>
      <c r="D1549" t="s">
        <v>283</v>
      </c>
      <c r="E1549" t="s">
        <v>140</v>
      </c>
      <c r="F1549" s="25">
        <v>46065</v>
      </c>
      <c r="G1549" t="s">
        <v>354</v>
      </c>
      <c r="H1549" t="s">
        <v>412</v>
      </c>
      <c r="I1549" t="s">
        <v>371</v>
      </c>
      <c r="J1549" t="s">
        <v>41</v>
      </c>
      <c r="K1549" t="s">
        <v>365</v>
      </c>
      <c r="L1549" t="s">
        <v>322</v>
      </c>
      <c r="M1549" t="s">
        <v>141</v>
      </c>
      <c r="N1549" t="s">
        <v>142</v>
      </c>
      <c r="O1549" t="s">
        <v>155</v>
      </c>
      <c r="P1549" t="s">
        <v>281</v>
      </c>
      <c r="Q1549" t="s">
        <v>155</v>
      </c>
      <c r="R1549" t="s">
        <v>273</v>
      </c>
      <c r="S1549" t="s">
        <v>309</v>
      </c>
      <c r="T1549">
        <v>1</v>
      </c>
      <c r="U1549" t="s">
        <v>393</v>
      </c>
      <c r="V1549" t="s">
        <v>285</v>
      </c>
      <c r="W1549" t="s">
        <v>394</v>
      </c>
      <c r="X1549" t="s">
        <v>306</v>
      </c>
      <c r="Y1549" t="s">
        <v>307</v>
      </c>
      <c r="Z1549">
        <v>65</v>
      </c>
      <c r="AA1549">
        <v>0</v>
      </c>
      <c r="AB1549" t="s">
        <v>151</v>
      </c>
      <c r="AC1549" t="s">
        <v>52</v>
      </c>
      <c r="AD1549" t="s">
        <v>278</v>
      </c>
      <c r="AE1549" t="str">
        <f>IF(AF1549="","",VLOOKUP(AC1549,mapel!$A$2:$B$42,2,FALSE))</f>
        <v/>
      </c>
      <c r="AF1549" t="str">
        <f t="shared" si="72"/>
        <v/>
      </c>
      <c r="AG1549" t="str">
        <f>IF(AF1549="","",IF(AF1549&gt;90,"Sangat baik",IF(AF1549&gt;79,"Baik",IF(AF1549&gt;=pub_gid_0_single_true_output_csv[[#This Row],[KKM]],"Cukup","Kurang"))))</f>
        <v/>
      </c>
      <c r="AH1549" t="str">
        <f t="shared" si="73"/>
        <v/>
      </c>
      <c r="AI1549" s="30" t="str">
        <f>IF(OR(J1549&lt;&gt;"Karakter",pub_gid_0_single_true_output_csv[[#This Row],[Nilai2]]=""),"",IF(AF1549&gt;89,"Sangat baik",IF(AF1549&gt;79,"Baik",IF(AF1549&gt;69,"Cukup",IF(AF1549&gt;59,"Kurang","Sangat kurang")))))</f>
        <v/>
      </c>
      <c r="AJ1549" t="str">
        <f t="shared" si="74"/>
        <v/>
      </c>
      <c r="AK1549" t="str">
        <f>IF(pub_gid_0_single_true_output_csv[[#This Row],[Nilai2]]="","",VLOOKUP(pub_gid_0_single_true_output_csv[[#This Row],[NAMA]],Table7[],3,FALSE))</f>
        <v/>
      </c>
    </row>
    <row r="1550" spans="1:37" x14ac:dyDescent="0.2">
      <c r="A1550">
        <v>1549</v>
      </c>
      <c r="B1550" t="s">
        <v>282</v>
      </c>
      <c r="C1550" t="s">
        <v>54</v>
      </c>
      <c r="D1550" t="s">
        <v>283</v>
      </c>
      <c r="E1550" t="s">
        <v>140</v>
      </c>
      <c r="F1550" s="25">
        <v>46071</v>
      </c>
      <c r="G1550" t="s">
        <v>323</v>
      </c>
      <c r="H1550" t="s">
        <v>412</v>
      </c>
      <c r="I1550" t="s">
        <v>371</v>
      </c>
      <c r="J1550" t="s">
        <v>41</v>
      </c>
      <c r="K1550" t="s">
        <v>365</v>
      </c>
      <c r="L1550" t="s">
        <v>319</v>
      </c>
      <c r="M1550" t="s">
        <v>141</v>
      </c>
      <c r="N1550" t="s">
        <v>142</v>
      </c>
      <c r="O1550" t="s">
        <v>155</v>
      </c>
      <c r="P1550" t="s">
        <v>281</v>
      </c>
      <c r="Q1550" t="s">
        <v>155</v>
      </c>
      <c r="R1550" t="s">
        <v>273</v>
      </c>
      <c r="S1550" t="s">
        <v>470</v>
      </c>
      <c r="T1550">
        <v>4</v>
      </c>
      <c r="U1550" t="s">
        <v>471</v>
      </c>
      <c r="V1550" t="s">
        <v>472</v>
      </c>
      <c r="W1550" t="s">
        <v>473</v>
      </c>
      <c r="X1550" t="s">
        <v>306</v>
      </c>
      <c r="Y1550" t="s">
        <v>307</v>
      </c>
      <c r="Z1550">
        <v>65</v>
      </c>
      <c r="AA1550">
        <v>0</v>
      </c>
      <c r="AB1550" t="s">
        <v>151</v>
      </c>
      <c r="AC1550" t="s">
        <v>52</v>
      </c>
      <c r="AD1550" t="s">
        <v>278</v>
      </c>
      <c r="AE1550" t="str">
        <f>IF(AF1550="","",VLOOKUP(AC1550,mapel!$A$2:$B$42,2,FALSE))</f>
        <v/>
      </c>
      <c r="AF1550" t="str">
        <f t="shared" si="72"/>
        <v/>
      </c>
      <c r="AG1550" t="str">
        <f>IF(AF1550="","",IF(AF1550&gt;90,"Sangat baik",IF(AF1550&gt;79,"Baik",IF(AF1550&gt;=pub_gid_0_single_true_output_csv[[#This Row],[KKM]],"Cukup","Kurang"))))</f>
        <v/>
      </c>
      <c r="AH1550" t="str">
        <f t="shared" si="73"/>
        <v/>
      </c>
      <c r="AI1550" s="30" t="str">
        <f>IF(OR(J1550&lt;&gt;"Karakter",pub_gid_0_single_true_output_csv[[#This Row],[Nilai2]]=""),"",IF(AF1550&gt;89,"Sangat baik",IF(AF1550&gt;79,"Baik",IF(AF1550&gt;69,"Cukup",IF(AF1550&gt;59,"Kurang","Sangat kurang")))))</f>
        <v/>
      </c>
      <c r="AJ1550" t="str">
        <f t="shared" si="74"/>
        <v/>
      </c>
      <c r="AK1550" t="str">
        <f>IF(pub_gid_0_single_true_output_csv[[#This Row],[Nilai2]]="","",VLOOKUP(pub_gid_0_single_true_output_csv[[#This Row],[NAMA]],Table7[],3,FALSE))</f>
        <v/>
      </c>
    </row>
    <row r="1551" spans="1:37" x14ac:dyDescent="0.2">
      <c r="A1551">
        <v>1550</v>
      </c>
      <c r="B1551" t="s">
        <v>282</v>
      </c>
      <c r="C1551" t="s">
        <v>54</v>
      </c>
      <c r="D1551" t="s">
        <v>283</v>
      </c>
      <c r="E1551" t="s">
        <v>140</v>
      </c>
      <c r="F1551" s="25">
        <v>46077</v>
      </c>
      <c r="G1551" t="s">
        <v>476</v>
      </c>
      <c r="H1551" t="s">
        <v>412</v>
      </c>
      <c r="I1551" t="s">
        <v>371</v>
      </c>
      <c r="J1551" t="s">
        <v>41</v>
      </c>
      <c r="K1551" t="s">
        <v>365</v>
      </c>
      <c r="L1551" t="s">
        <v>319</v>
      </c>
      <c r="M1551" t="s">
        <v>141</v>
      </c>
      <c r="N1551" t="s">
        <v>142</v>
      </c>
      <c r="O1551" t="s">
        <v>155</v>
      </c>
      <c r="P1551" t="s">
        <v>281</v>
      </c>
      <c r="Q1551" t="s">
        <v>155</v>
      </c>
      <c r="R1551" t="s">
        <v>273</v>
      </c>
      <c r="S1551" t="s">
        <v>470</v>
      </c>
      <c r="T1551">
        <v>4</v>
      </c>
      <c r="U1551" t="s">
        <v>471</v>
      </c>
      <c r="V1551" t="s">
        <v>472</v>
      </c>
      <c r="W1551" t="s">
        <v>473</v>
      </c>
      <c r="X1551" t="s">
        <v>306</v>
      </c>
      <c r="Y1551" t="s">
        <v>307</v>
      </c>
      <c r="Z1551">
        <v>65</v>
      </c>
      <c r="AA1551">
        <v>0</v>
      </c>
      <c r="AB1551" t="s">
        <v>151</v>
      </c>
      <c r="AC1551" t="s">
        <v>52</v>
      </c>
      <c r="AD1551" t="s">
        <v>278</v>
      </c>
      <c r="AE1551" t="str">
        <f>IF(AF1551="","",VLOOKUP(AC1551,mapel!$A$2:$B$42,2,FALSE))</f>
        <v/>
      </c>
      <c r="AF1551" t="str">
        <f t="shared" si="72"/>
        <v/>
      </c>
      <c r="AG1551" t="str">
        <f>IF(AF1551="","",IF(AF1551&gt;90,"Sangat baik",IF(AF1551&gt;79,"Baik",IF(AF1551&gt;=pub_gid_0_single_true_output_csv[[#This Row],[KKM]],"Cukup","Kurang"))))</f>
        <v/>
      </c>
      <c r="AH1551" t="str">
        <f t="shared" si="73"/>
        <v/>
      </c>
      <c r="AI1551" s="30" t="str">
        <f>IF(OR(J1551&lt;&gt;"Karakter",pub_gid_0_single_true_output_csv[[#This Row],[Nilai2]]=""),"",IF(AF1551&gt;89,"Sangat baik",IF(AF1551&gt;79,"Baik",IF(AF1551&gt;69,"Cukup",IF(AF1551&gt;59,"Kurang","Sangat kurang")))))</f>
        <v/>
      </c>
      <c r="AJ1551" t="str">
        <f t="shared" si="74"/>
        <v/>
      </c>
      <c r="AK1551" t="str">
        <f>IF(pub_gid_0_single_true_output_csv[[#This Row],[Nilai2]]="","",VLOOKUP(pub_gid_0_single_true_output_csv[[#This Row],[NAMA]],Table7[],3,FALSE))</f>
        <v/>
      </c>
    </row>
    <row r="1552" spans="1:37" x14ac:dyDescent="0.2">
      <c r="A1552">
        <v>1551</v>
      </c>
      <c r="B1552" t="s">
        <v>282</v>
      </c>
      <c r="C1552" t="s">
        <v>54</v>
      </c>
      <c r="D1552" t="s">
        <v>283</v>
      </c>
      <c r="E1552" t="s">
        <v>140</v>
      </c>
      <c r="F1552" s="25">
        <v>46078</v>
      </c>
      <c r="G1552" t="s">
        <v>284</v>
      </c>
      <c r="H1552" t="s">
        <v>412</v>
      </c>
      <c r="I1552" t="s">
        <v>371</v>
      </c>
      <c r="J1552" t="s">
        <v>36</v>
      </c>
      <c r="K1552" t="s">
        <v>153</v>
      </c>
      <c r="L1552" t="s">
        <v>319</v>
      </c>
      <c r="M1552" t="s">
        <v>141</v>
      </c>
      <c r="N1552" t="s">
        <v>142</v>
      </c>
      <c r="O1552" t="s">
        <v>155</v>
      </c>
      <c r="P1552" t="s">
        <v>281</v>
      </c>
      <c r="Q1552" t="s">
        <v>155</v>
      </c>
      <c r="R1552" t="s">
        <v>273</v>
      </c>
      <c r="S1552" t="s">
        <v>470</v>
      </c>
      <c r="T1552">
        <v>4</v>
      </c>
      <c r="U1552" t="s">
        <v>471</v>
      </c>
      <c r="V1552" t="s">
        <v>472</v>
      </c>
      <c r="W1552" t="s">
        <v>473</v>
      </c>
      <c r="X1552" t="s">
        <v>306</v>
      </c>
      <c r="Y1552" t="s">
        <v>307</v>
      </c>
      <c r="Z1552">
        <v>65</v>
      </c>
      <c r="AA1552">
        <v>0</v>
      </c>
      <c r="AB1552" t="s">
        <v>151</v>
      </c>
      <c r="AC1552" t="s">
        <v>52</v>
      </c>
      <c r="AD1552" t="s">
        <v>278</v>
      </c>
      <c r="AE1552" t="str">
        <f>IF(AF1552="","",VLOOKUP(AC1552,mapel!$A$2:$B$42,2,FALSE))</f>
        <v/>
      </c>
      <c r="AF1552" t="str">
        <f t="shared" si="72"/>
        <v/>
      </c>
      <c r="AG1552" t="str">
        <f>IF(AF1552="","",IF(AF1552&gt;90,"Sangat baik",IF(AF1552&gt;79,"Baik",IF(AF1552&gt;=pub_gid_0_single_true_output_csv[[#This Row],[KKM]],"Cukup","Kurang"))))</f>
        <v/>
      </c>
      <c r="AH1552" t="str">
        <f t="shared" si="73"/>
        <v/>
      </c>
      <c r="AI1552" s="30" t="str">
        <f>IF(OR(J1552&lt;&gt;"Karakter",pub_gid_0_single_true_output_csv[[#This Row],[Nilai2]]=""),"",IF(AF1552&gt;89,"Sangat baik",IF(AF1552&gt;79,"Baik",IF(AF1552&gt;69,"Cukup",IF(AF1552&gt;59,"Kurang","Sangat kurang")))))</f>
        <v/>
      </c>
      <c r="AJ1552" t="str">
        <f t="shared" si="74"/>
        <v/>
      </c>
      <c r="AK1552" t="str">
        <f>IF(pub_gid_0_single_true_output_csv[[#This Row],[Nilai2]]="","",VLOOKUP(pub_gid_0_single_true_output_csv[[#This Row],[NAMA]],Table7[],3,FALSE))</f>
        <v/>
      </c>
    </row>
    <row r="1553" spans="1:37" x14ac:dyDescent="0.2">
      <c r="A1553">
        <v>1552</v>
      </c>
      <c r="B1553" t="s">
        <v>292</v>
      </c>
      <c r="C1553" t="s">
        <v>54</v>
      </c>
      <c r="D1553" t="s">
        <v>94</v>
      </c>
      <c r="E1553" t="s">
        <v>147</v>
      </c>
      <c r="F1553" s="25">
        <v>46035</v>
      </c>
      <c r="G1553" t="s">
        <v>358</v>
      </c>
      <c r="H1553" t="s">
        <v>405</v>
      </c>
      <c r="I1553" t="s">
        <v>371</v>
      </c>
      <c r="J1553" t="s">
        <v>41</v>
      </c>
      <c r="K1553" t="s">
        <v>365</v>
      </c>
      <c r="L1553" t="s">
        <v>322</v>
      </c>
      <c r="M1553" t="s">
        <v>141</v>
      </c>
      <c r="N1553" t="s">
        <v>142</v>
      </c>
      <c r="O1553" t="s">
        <v>155</v>
      </c>
      <c r="P1553" t="s">
        <v>281</v>
      </c>
      <c r="Q1553" t="s">
        <v>155</v>
      </c>
      <c r="R1553" t="s">
        <v>273</v>
      </c>
      <c r="S1553" t="s">
        <v>470</v>
      </c>
      <c r="T1553">
        <v>4</v>
      </c>
      <c r="U1553" t="s">
        <v>471</v>
      </c>
      <c r="V1553" t="s">
        <v>472</v>
      </c>
      <c r="W1553" t="s">
        <v>473</v>
      </c>
      <c r="X1553" t="s">
        <v>306</v>
      </c>
      <c r="Y1553" t="s">
        <v>307</v>
      </c>
      <c r="Z1553">
        <v>65</v>
      </c>
      <c r="AA1553">
        <v>0</v>
      </c>
      <c r="AB1553" t="s">
        <v>151</v>
      </c>
      <c r="AC1553" t="s">
        <v>52</v>
      </c>
      <c r="AD1553" t="s">
        <v>278</v>
      </c>
      <c r="AE1553" t="str">
        <f>IF(AF1553="","",VLOOKUP(AC1553,mapel!$A$2:$B$42,2,FALSE))</f>
        <v/>
      </c>
      <c r="AF1553" t="str">
        <f t="shared" si="72"/>
        <v/>
      </c>
      <c r="AG1553" t="str">
        <f>IF(AF1553="","",IF(AF1553&gt;90,"Sangat baik",IF(AF1553&gt;79,"Baik",IF(AF1553&gt;=pub_gid_0_single_true_output_csv[[#This Row],[KKM]],"Cukup","Kurang"))))</f>
        <v/>
      </c>
      <c r="AH1553" t="str">
        <f t="shared" si="73"/>
        <v/>
      </c>
      <c r="AI1553" s="30" t="str">
        <f>IF(OR(J1553&lt;&gt;"Karakter",pub_gid_0_single_true_output_csv[[#This Row],[Nilai2]]=""),"",IF(AF1553&gt;89,"Sangat baik",IF(AF1553&gt;79,"Baik",IF(AF1553&gt;69,"Cukup",IF(AF1553&gt;59,"Kurang","Sangat kurang")))))</f>
        <v/>
      </c>
      <c r="AJ1553" t="str">
        <f t="shared" si="74"/>
        <v/>
      </c>
      <c r="AK1553" t="str">
        <f>IF(pub_gid_0_single_true_output_csv[[#This Row],[Nilai2]]="","",VLOOKUP(pub_gid_0_single_true_output_csv[[#This Row],[NAMA]],Table7[],3,FALSE))</f>
        <v/>
      </c>
    </row>
    <row r="1554" spans="1:37" x14ac:dyDescent="0.2">
      <c r="A1554">
        <v>1553</v>
      </c>
      <c r="B1554" t="s">
        <v>292</v>
      </c>
      <c r="C1554" t="s">
        <v>54</v>
      </c>
      <c r="D1554" t="s">
        <v>94</v>
      </c>
      <c r="E1554" t="s">
        <v>147</v>
      </c>
      <c r="F1554" s="25">
        <v>46036</v>
      </c>
      <c r="G1554" t="s">
        <v>353</v>
      </c>
      <c r="H1554" t="s">
        <v>405</v>
      </c>
      <c r="I1554" t="s">
        <v>371</v>
      </c>
      <c r="J1554" t="s">
        <v>41</v>
      </c>
      <c r="K1554" t="s">
        <v>365</v>
      </c>
      <c r="L1554" t="s">
        <v>319</v>
      </c>
      <c r="M1554" t="s">
        <v>141</v>
      </c>
      <c r="N1554" t="s">
        <v>142</v>
      </c>
      <c r="O1554" t="s">
        <v>155</v>
      </c>
      <c r="P1554" t="s">
        <v>281</v>
      </c>
      <c r="Q1554" t="s">
        <v>155</v>
      </c>
      <c r="R1554" t="s">
        <v>273</v>
      </c>
      <c r="S1554" t="s">
        <v>470</v>
      </c>
      <c r="T1554">
        <v>4</v>
      </c>
      <c r="U1554" t="s">
        <v>471</v>
      </c>
      <c r="V1554" t="s">
        <v>472</v>
      </c>
      <c r="W1554" t="s">
        <v>473</v>
      </c>
      <c r="X1554" t="s">
        <v>306</v>
      </c>
      <c r="Y1554" t="s">
        <v>307</v>
      </c>
      <c r="Z1554">
        <v>65</v>
      </c>
      <c r="AA1554">
        <v>0</v>
      </c>
      <c r="AB1554" t="s">
        <v>151</v>
      </c>
      <c r="AC1554" t="s">
        <v>52</v>
      </c>
      <c r="AD1554" t="s">
        <v>278</v>
      </c>
      <c r="AE1554" t="str">
        <f>IF(AF1554="","",VLOOKUP(AC1554,mapel!$A$2:$B$42,2,FALSE))</f>
        <v/>
      </c>
      <c r="AF1554" t="str">
        <f t="shared" si="72"/>
        <v/>
      </c>
      <c r="AG1554" t="str">
        <f>IF(AF1554="","",IF(AF1554&gt;90,"Sangat baik",IF(AF1554&gt;79,"Baik",IF(AF1554&gt;=pub_gid_0_single_true_output_csv[[#This Row],[KKM]],"Cukup","Kurang"))))</f>
        <v/>
      </c>
      <c r="AH1554" t="str">
        <f t="shared" si="73"/>
        <v/>
      </c>
      <c r="AI1554" s="30" t="str">
        <f>IF(OR(J1554&lt;&gt;"Karakter",pub_gid_0_single_true_output_csv[[#This Row],[Nilai2]]=""),"",IF(AF1554&gt;89,"Sangat baik",IF(AF1554&gt;79,"Baik",IF(AF1554&gt;69,"Cukup",IF(AF1554&gt;59,"Kurang","Sangat kurang")))))</f>
        <v/>
      </c>
      <c r="AJ1554" t="str">
        <f t="shared" si="74"/>
        <v/>
      </c>
      <c r="AK1554" t="str">
        <f>IF(pub_gid_0_single_true_output_csv[[#This Row],[Nilai2]]="","",VLOOKUP(pub_gid_0_single_true_output_csv[[#This Row],[NAMA]],Table7[],3,FALSE))</f>
        <v/>
      </c>
    </row>
    <row r="1555" spans="1:37" x14ac:dyDescent="0.2">
      <c r="A1555">
        <v>1554</v>
      </c>
      <c r="B1555" t="s">
        <v>292</v>
      </c>
      <c r="C1555" t="s">
        <v>54</v>
      </c>
      <c r="D1555" t="s">
        <v>94</v>
      </c>
      <c r="E1555" t="s">
        <v>147</v>
      </c>
      <c r="F1555" s="25">
        <v>46037</v>
      </c>
      <c r="G1555" t="s">
        <v>356</v>
      </c>
      <c r="H1555" t="s">
        <v>405</v>
      </c>
      <c r="I1555" t="s">
        <v>371</v>
      </c>
      <c r="J1555" t="s">
        <v>36</v>
      </c>
      <c r="K1555" t="s">
        <v>37</v>
      </c>
      <c r="L1555" t="s">
        <v>383</v>
      </c>
      <c r="M1555" t="s">
        <v>141</v>
      </c>
      <c r="N1555" t="s">
        <v>142</v>
      </c>
      <c r="O1555" t="s">
        <v>155</v>
      </c>
      <c r="P1555" t="s">
        <v>281</v>
      </c>
      <c r="Q1555" t="s">
        <v>155</v>
      </c>
      <c r="R1555" t="s">
        <v>273</v>
      </c>
      <c r="S1555" t="s">
        <v>470</v>
      </c>
      <c r="T1555">
        <v>4</v>
      </c>
      <c r="U1555" t="s">
        <v>471</v>
      </c>
      <c r="V1555" t="s">
        <v>472</v>
      </c>
      <c r="W1555" t="s">
        <v>473</v>
      </c>
      <c r="X1555" t="s">
        <v>306</v>
      </c>
      <c r="Y1555" t="s">
        <v>307</v>
      </c>
      <c r="Z1555">
        <v>65</v>
      </c>
      <c r="AA1555">
        <v>0</v>
      </c>
      <c r="AB1555" t="s">
        <v>151</v>
      </c>
      <c r="AC1555" t="s">
        <v>52</v>
      </c>
      <c r="AD1555" t="s">
        <v>278</v>
      </c>
      <c r="AE1555" t="str">
        <f>IF(AF1555="","",VLOOKUP(AC1555,mapel!$A$2:$B$42,2,FALSE))</f>
        <v/>
      </c>
      <c r="AF1555" t="str">
        <f t="shared" si="72"/>
        <v/>
      </c>
      <c r="AG1555" t="str">
        <f>IF(AF1555="","",IF(AF1555&gt;90,"Sangat baik",IF(AF1555&gt;79,"Baik",IF(AF1555&gt;=pub_gid_0_single_true_output_csv[[#This Row],[KKM]],"Cukup","Kurang"))))</f>
        <v/>
      </c>
      <c r="AH1555" t="str">
        <f t="shared" si="73"/>
        <v/>
      </c>
      <c r="AI1555" s="30" t="str">
        <f>IF(OR(J1555&lt;&gt;"Karakter",pub_gid_0_single_true_output_csv[[#This Row],[Nilai2]]=""),"",IF(AF1555&gt;89,"Sangat baik",IF(AF1555&gt;79,"Baik",IF(AF1555&gt;69,"Cukup",IF(AF1555&gt;59,"Kurang","Sangat kurang")))))</f>
        <v/>
      </c>
      <c r="AJ1555" t="str">
        <f t="shared" si="74"/>
        <v/>
      </c>
      <c r="AK1555" t="str">
        <f>IF(pub_gid_0_single_true_output_csv[[#This Row],[Nilai2]]="","",VLOOKUP(pub_gid_0_single_true_output_csv[[#This Row],[NAMA]],Table7[],3,FALSE))</f>
        <v/>
      </c>
    </row>
    <row r="1556" spans="1:37" x14ac:dyDescent="0.2">
      <c r="A1556">
        <v>1555</v>
      </c>
      <c r="B1556" t="s">
        <v>292</v>
      </c>
      <c r="C1556" t="s">
        <v>54</v>
      </c>
      <c r="D1556" t="s">
        <v>94</v>
      </c>
      <c r="E1556" t="s">
        <v>147</v>
      </c>
      <c r="F1556" s="25">
        <v>46042</v>
      </c>
      <c r="G1556" t="s">
        <v>474</v>
      </c>
      <c r="H1556" t="s">
        <v>405</v>
      </c>
      <c r="I1556" t="s">
        <v>371</v>
      </c>
      <c r="J1556" t="s">
        <v>90</v>
      </c>
      <c r="K1556" t="s">
        <v>366</v>
      </c>
      <c r="L1556" t="s">
        <v>475</v>
      </c>
      <c r="M1556" t="s">
        <v>141</v>
      </c>
      <c r="N1556" t="s">
        <v>142</v>
      </c>
      <c r="O1556" t="s">
        <v>155</v>
      </c>
      <c r="P1556" t="s">
        <v>281</v>
      </c>
      <c r="Q1556" t="s">
        <v>155</v>
      </c>
      <c r="R1556" t="s">
        <v>273</v>
      </c>
      <c r="S1556" t="s">
        <v>470</v>
      </c>
      <c r="T1556">
        <v>4</v>
      </c>
      <c r="U1556" t="s">
        <v>471</v>
      </c>
      <c r="V1556" t="s">
        <v>472</v>
      </c>
      <c r="W1556" t="s">
        <v>473</v>
      </c>
      <c r="X1556" t="s">
        <v>306</v>
      </c>
      <c r="Y1556" t="s">
        <v>307</v>
      </c>
      <c r="Z1556">
        <v>65</v>
      </c>
      <c r="AA1556">
        <v>0</v>
      </c>
      <c r="AB1556" t="s">
        <v>151</v>
      </c>
      <c r="AC1556" t="s">
        <v>52</v>
      </c>
      <c r="AD1556" t="s">
        <v>278</v>
      </c>
      <c r="AE1556" t="str">
        <f>IF(AF1556="","",VLOOKUP(AC1556,mapel!$A$2:$B$42,2,FALSE))</f>
        <v/>
      </c>
      <c r="AF1556" t="str">
        <f t="shared" si="72"/>
        <v/>
      </c>
      <c r="AG1556" t="str">
        <f>IF(AF1556="","",IF(AF1556&gt;90,"Sangat baik",IF(AF1556&gt;79,"Baik",IF(AF1556&gt;=pub_gid_0_single_true_output_csv[[#This Row],[KKM]],"Cukup","Kurang"))))</f>
        <v/>
      </c>
      <c r="AH1556" t="str">
        <f t="shared" si="73"/>
        <v/>
      </c>
      <c r="AI1556" s="30" t="str">
        <f>IF(OR(J1556&lt;&gt;"Karakter",pub_gid_0_single_true_output_csv[[#This Row],[Nilai2]]=""),"",IF(AF1556&gt;89,"Sangat baik",IF(AF1556&gt;79,"Baik",IF(AF1556&gt;69,"Cukup",IF(AF1556&gt;59,"Kurang","Sangat kurang")))))</f>
        <v/>
      </c>
      <c r="AJ1556" t="str">
        <f t="shared" si="74"/>
        <v/>
      </c>
      <c r="AK1556" t="str">
        <f>IF(pub_gid_0_single_true_output_csv[[#This Row],[Nilai2]]="","",VLOOKUP(pub_gid_0_single_true_output_csv[[#This Row],[NAMA]],Table7[],3,FALSE))</f>
        <v/>
      </c>
    </row>
    <row r="1557" spans="1:37" x14ac:dyDescent="0.2">
      <c r="A1557">
        <v>1556</v>
      </c>
      <c r="B1557" t="s">
        <v>292</v>
      </c>
      <c r="C1557" t="s">
        <v>54</v>
      </c>
      <c r="D1557" t="s">
        <v>94</v>
      </c>
      <c r="E1557" t="s">
        <v>147</v>
      </c>
      <c r="F1557" s="25">
        <v>46051</v>
      </c>
      <c r="G1557" t="s">
        <v>320</v>
      </c>
      <c r="H1557" t="s">
        <v>405</v>
      </c>
      <c r="I1557" t="s">
        <v>371</v>
      </c>
      <c r="J1557" t="s">
        <v>41</v>
      </c>
      <c r="K1557" t="s">
        <v>365</v>
      </c>
      <c r="L1557" t="s">
        <v>319</v>
      </c>
      <c r="M1557" t="s">
        <v>141</v>
      </c>
      <c r="N1557" t="s">
        <v>142</v>
      </c>
      <c r="O1557" t="s">
        <v>155</v>
      </c>
      <c r="P1557" t="s">
        <v>281</v>
      </c>
      <c r="Q1557" t="s">
        <v>155</v>
      </c>
      <c r="R1557" t="s">
        <v>273</v>
      </c>
      <c r="S1557" t="s">
        <v>470</v>
      </c>
      <c r="T1557">
        <v>4</v>
      </c>
      <c r="U1557" t="s">
        <v>471</v>
      </c>
      <c r="V1557" t="s">
        <v>472</v>
      </c>
      <c r="W1557" t="s">
        <v>473</v>
      </c>
      <c r="X1557" t="s">
        <v>306</v>
      </c>
      <c r="Y1557" t="s">
        <v>307</v>
      </c>
      <c r="Z1557">
        <v>65</v>
      </c>
      <c r="AA1557">
        <v>80</v>
      </c>
      <c r="AB1557" t="s">
        <v>143</v>
      </c>
      <c r="AC1557" t="s">
        <v>52</v>
      </c>
      <c r="AD1557" t="s">
        <v>278</v>
      </c>
      <c r="AE1557" t="str">
        <f>IF(AF1557="","",VLOOKUP(AC1557,mapel!$A$2:$B$42,2,FALSE))</f>
        <v>Tepung</v>
      </c>
      <c r="AF1557">
        <f t="shared" si="72"/>
        <v>80</v>
      </c>
      <c r="AG1557" t="str">
        <f>IF(AF1557="","",IF(AF1557&gt;90,"Sangat baik",IF(AF1557&gt;79,"Baik",IF(AF1557&gt;=pub_gid_0_single_true_output_csv[[#This Row],[KKM]],"Cukup","Kurang"))))</f>
        <v>Baik</v>
      </c>
      <c r="AH1557">
        <f t="shared" si="73"/>
        <v>11</v>
      </c>
      <c r="AI1557" s="30" t="str">
        <f>IF(OR(J1557&lt;&gt;"Karakter",pub_gid_0_single_true_output_csv[[#This Row],[Nilai2]]=""),"",IF(AF1557&gt;89,"Sangat baik",IF(AF1557&gt;79,"Baik",IF(AF1557&gt;69,"Cukup",IF(AF1557&gt;59,"Kurang","Sangat kurang")))))</f>
        <v/>
      </c>
      <c r="AJ1557" t="str">
        <f t="shared" si="74"/>
        <v>Wk.5</v>
      </c>
      <c r="AK1557" t="str">
        <f>IF(pub_gid_0_single_true_output_csv[[#This Row],[Nilai2]]="","",VLOOKUP(pub_gid_0_single_true_output_csv[[#This Row],[NAMA]],Table7[],3,FALSE))</f>
        <v>Average</v>
      </c>
    </row>
    <row r="1558" spans="1:37" x14ac:dyDescent="0.2">
      <c r="A1558">
        <v>1557</v>
      </c>
      <c r="B1558" t="s">
        <v>292</v>
      </c>
      <c r="C1558" t="s">
        <v>54</v>
      </c>
      <c r="D1558" t="s">
        <v>94</v>
      </c>
      <c r="E1558" t="s">
        <v>147</v>
      </c>
      <c r="F1558" s="25">
        <v>46056</v>
      </c>
      <c r="G1558" t="s">
        <v>372</v>
      </c>
      <c r="H1558" t="s">
        <v>412</v>
      </c>
      <c r="I1558" t="s">
        <v>371</v>
      </c>
      <c r="J1558" t="s">
        <v>41</v>
      </c>
      <c r="K1558" t="s">
        <v>365</v>
      </c>
      <c r="L1558" t="s">
        <v>322</v>
      </c>
      <c r="M1558" t="s">
        <v>141</v>
      </c>
      <c r="N1558" t="s">
        <v>142</v>
      </c>
      <c r="O1558" t="s">
        <v>155</v>
      </c>
      <c r="P1558" t="s">
        <v>281</v>
      </c>
      <c r="Q1558" t="s">
        <v>155</v>
      </c>
      <c r="R1558" t="s">
        <v>273</v>
      </c>
      <c r="S1558" t="s">
        <v>309</v>
      </c>
      <c r="T1558">
        <v>1</v>
      </c>
      <c r="U1558" t="s">
        <v>393</v>
      </c>
      <c r="V1558" t="s">
        <v>285</v>
      </c>
      <c r="W1558" t="s">
        <v>394</v>
      </c>
      <c r="X1558" t="s">
        <v>306</v>
      </c>
      <c r="Y1558" t="s">
        <v>307</v>
      </c>
      <c r="Z1558">
        <v>65</v>
      </c>
      <c r="AA1558">
        <v>78</v>
      </c>
      <c r="AB1558" t="s">
        <v>143</v>
      </c>
      <c r="AC1558" t="s">
        <v>52</v>
      </c>
      <c r="AD1558" t="s">
        <v>278</v>
      </c>
      <c r="AE1558" t="str">
        <f>IF(AF1558="","",VLOOKUP(AC1558,mapel!$A$2:$B$42,2,FALSE))</f>
        <v>Tepung</v>
      </c>
      <c r="AF1558">
        <f t="shared" si="72"/>
        <v>78</v>
      </c>
      <c r="AG1558" t="str">
        <f>IF(AF1558="","",IF(AF1558&gt;90,"Sangat baik",IF(AF1558&gt;79,"Baik",IF(AF1558&gt;=pub_gid_0_single_true_output_csv[[#This Row],[KKM]],"Cukup","Kurang"))))</f>
        <v>Cukup</v>
      </c>
      <c r="AH1558">
        <f t="shared" si="73"/>
        <v>11</v>
      </c>
      <c r="AI1558" s="30" t="str">
        <f>IF(OR(J1558&lt;&gt;"Karakter",pub_gid_0_single_true_output_csv[[#This Row],[Nilai2]]=""),"",IF(AF1558&gt;89,"Sangat baik",IF(AF1558&gt;79,"Baik",IF(AF1558&gt;69,"Cukup",IF(AF1558&gt;59,"Kurang","Sangat kurang")))))</f>
        <v/>
      </c>
      <c r="AJ1558" t="str">
        <f t="shared" si="74"/>
        <v>Wk.6</v>
      </c>
      <c r="AK1558" t="str">
        <f>IF(pub_gid_0_single_true_output_csv[[#This Row],[Nilai2]]="","",VLOOKUP(pub_gid_0_single_true_output_csv[[#This Row],[NAMA]],Table7[],3,FALSE))</f>
        <v>Average</v>
      </c>
    </row>
    <row r="1559" spans="1:37" x14ac:dyDescent="0.2">
      <c r="A1559">
        <v>1558</v>
      </c>
      <c r="B1559" t="s">
        <v>292</v>
      </c>
      <c r="C1559" t="s">
        <v>54</v>
      </c>
      <c r="D1559" t="s">
        <v>94</v>
      </c>
      <c r="E1559" t="s">
        <v>147</v>
      </c>
      <c r="F1559" s="25">
        <v>46057</v>
      </c>
      <c r="G1559" t="s">
        <v>348</v>
      </c>
      <c r="H1559" t="s">
        <v>412</v>
      </c>
      <c r="I1559" t="s">
        <v>371</v>
      </c>
      <c r="J1559" t="s">
        <v>36</v>
      </c>
      <c r="K1559" t="s">
        <v>153</v>
      </c>
      <c r="L1559" t="s">
        <v>395</v>
      </c>
      <c r="M1559" t="s">
        <v>141</v>
      </c>
      <c r="N1559" t="s">
        <v>142</v>
      </c>
      <c r="O1559" t="s">
        <v>155</v>
      </c>
      <c r="P1559" t="s">
        <v>281</v>
      </c>
      <c r="Q1559" t="s">
        <v>155</v>
      </c>
      <c r="R1559" t="s">
        <v>273</v>
      </c>
      <c r="S1559" t="s">
        <v>309</v>
      </c>
      <c r="T1559">
        <v>1</v>
      </c>
      <c r="U1559" t="s">
        <v>393</v>
      </c>
      <c r="V1559" t="s">
        <v>285</v>
      </c>
      <c r="W1559" t="s">
        <v>394</v>
      </c>
      <c r="X1559" t="s">
        <v>306</v>
      </c>
      <c r="Y1559" t="s">
        <v>307</v>
      </c>
      <c r="Z1559">
        <v>65</v>
      </c>
      <c r="AA1559">
        <v>78</v>
      </c>
      <c r="AB1559" t="s">
        <v>143</v>
      </c>
      <c r="AC1559" t="s">
        <v>52</v>
      </c>
      <c r="AD1559" t="s">
        <v>278</v>
      </c>
      <c r="AE1559" t="str">
        <f>IF(AF1559="","",VLOOKUP(AC1559,mapel!$A$2:$B$42,2,FALSE))</f>
        <v>Tepung</v>
      </c>
      <c r="AF1559">
        <f t="shared" si="72"/>
        <v>78</v>
      </c>
      <c r="AG1559" t="str">
        <f>IF(AF1559="","",IF(AF1559&gt;90,"Sangat baik",IF(AF1559&gt;79,"Baik",IF(AF1559&gt;=pub_gid_0_single_true_output_csv[[#This Row],[KKM]],"Cukup","Kurang"))))</f>
        <v>Cukup</v>
      </c>
      <c r="AH1559">
        <f t="shared" si="73"/>
        <v>11</v>
      </c>
      <c r="AI1559" s="30" t="str">
        <f>IF(OR(J1559&lt;&gt;"Karakter",pub_gid_0_single_true_output_csv[[#This Row],[Nilai2]]=""),"",IF(AF1559&gt;89,"Sangat baik",IF(AF1559&gt;79,"Baik",IF(AF1559&gt;69,"Cukup",IF(AF1559&gt;59,"Kurang","Sangat kurang")))))</f>
        <v/>
      </c>
      <c r="AJ1559" t="str">
        <f t="shared" si="74"/>
        <v>Wk.6</v>
      </c>
      <c r="AK1559" t="str">
        <f>IF(pub_gid_0_single_true_output_csv[[#This Row],[Nilai2]]="","",VLOOKUP(pub_gid_0_single_true_output_csv[[#This Row],[NAMA]],Table7[],3,FALSE))</f>
        <v>Average</v>
      </c>
    </row>
    <row r="1560" spans="1:37" x14ac:dyDescent="0.2">
      <c r="A1560">
        <v>1559</v>
      </c>
      <c r="B1560" t="s">
        <v>292</v>
      </c>
      <c r="C1560" t="s">
        <v>54</v>
      </c>
      <c r="D1560" t="s">
        <v>94</v>
      </c>
      <c r="E1560" t="s">
        <v>147</v>
      </c>
      <c r="F1560" s="25">
        <v>46058</v>
      </c>
      <c r="G1560" t="s">
        <v>346</v>
      </c>
      <c r="H1560" t="s">
        <v>412</v>
      </c>
      <c r="I1560" t="s">
        <v>371</v>
      </c>
      <c r="J1560" t="s">
        <v>41</v>
      </c>
      <c r="K1560" t="s">
        <v>365</v>
      </c>
      <c r="L1560" t="s">
        <v>322</v>
      </c>
      <c r="M1560" t="s">
        <v>141</v>
      </c>
      <c r="N1560" t="s">
        <v>142</v>
      </c>
      <c r="O1560" t="s">
        <v>155</v>
      </c>
      <c r="P1560" t="s">
        <v>281</v>
      </c>
      <c r="Q1560" t="s">
        <v>155</v>
      </c>
      <c r="R1560" t="s">
        <v>273</v>
      </c>
      <c r="S1560" t="s">
        <v>309</v>
      </c>
      <c r="T1560">
        <v>1</v>
      </c>
      <c r="U1560" t="s">
        <v>393</v>
      </c>
      <c r="V1560" t="s">
        <v>285</v>
      </c>
      <c r="W1560" t="s">
        <v>394</v>
      </c>
      <c r="X1560" t="s">
        <v>306</v>
      </c>
      <c r="Y1560" t="s">
        <v>307</v>
      </c>
      <c r="Z1560">
        <v>65</v>
      </c>
      <c r="AA1560">
        <v>78</v>
      </c>
      <c r="AB1560" t="s">
        <v>143</v>
      </c>
      <c r="AC1560" t="s">
        <v>52</v>
      </c>
      <c r="AD1560" t="s">
        <v>278</v>
      </c>
      <c r="AE1560" t="str">
        <f>IF(AF1560="","",VLOOKUP(AC1560,mapel!$A$2:$B$42,2,FALSE))</f>
        <v>Tepung</v>
      </c>
      <c r="AF1560">
        <f t="shared" si="72"/>
        <v>78</v>
      </c>
      <c r="AG1560" t="str">
        <f>IF(AF1560="","",IF(AF1560&gt;90,"Sangat baik",IF(AF1560&gt;79,"Baik",IF(AF1560&gt;=pub_gid_0_single_true_output_csv[[#This Row],[KKM]],"Cukup","Kurang"))))</f>
        <v>Cukup</v>
      </c>
      <c r="AH1560">
        <f t="shared" si="73"/>
        <v>11</v>
      </c>
      <c r="AI1560" s="30" t="str">
        <f>IF(OR(J1560&lt;&gt;"Karakter",pub_gid_0_single_true_output_csv[[#This Row],[Nilai2]]=""),"",IF(AF1560&gt;89,"Sangat baik",IF(AF1560&gt;79,"Baik",IF(AF1560&gt;69,"Cukup",IF(AF1560&gt;59,"Kurang","Sangat kurang")))))</f>
        <v/>
      </c>
      <c r="AJ1560" t="str">
        <f t="shared" si="74"/>
        <v>Wk.6</v>
      </c>
      <c r="AK1560" t="str">
        <f>IF(pub_gid_0_single_true_output_csv[[#This Row],[Nilai2]]="","",VLOOKUP(pub_gid_0_single_true_output_csv[[#This Row],[NAMA]],Table7[],3,FALSE))</f>
        <v>Average</v>
      </c>
    </row>
    <row r="1561" spans="1:37" x14ac:dyDescent="0.2">
      <c r="A1561">
        <v>1560</v>
      </c>
      <c r="B1561" t="s">
        <v>292</v>
      </c>
      <c r="C1561" t="s">
        <v>54</v>
      </c>
      <c r="D1561" t="s">
        <v>94</v>
      </c>
      <c r="E1561" t="s">
        <v>147</v>
      </c>
      <c r="F1561" s="25">
        <v>46063</v>
      </c>
      <c r="G1561" t="s">
        <v>374</v>
      </c>
      <c r="H1561" t="s">
        <v>412</v>
      </c>
      <c r="I1561" t="s">
        <v>371</v>
      </c>
      <c r="J1561" t="s">
        <v>36</v>
      </c>
      <c r="K1561" t="s">
        <v>153</v>
      </c>
      <c r="L1561" t="s">
        <v>395</v>
      </c>
      <c r="M1561" t="s">
        <v>141</v>
      </c>
      <c r="N1561" t="s">
        <v>142</v>
      </c>
      <c r="O1561" t="s">
        <v>155</v>
      </c>
      <c r="P1561" t="s">
        <v>281</v>
      </c>
      <c r="Q1561" t="s">
        <v>155</v>
      </c>
      <c r="R1561" t="s">
        <v>273</v>
      </c>
      <c r="S1561" t="s">
        <v>309</v>
      </c>
      <c r="T1561">
        <v>1</v>
      </c>
      <c r="U1561" t="s">
        <v>393</v>
      </c>
      <c r="V1561" t="s">
        <v>285</v>
      </c>
      <c r="W1561" t="s">
        <v>394</v>
      </c>
      <c r="X1561" t="s">
        <v>306</v>
      </c>
      <c r="Y1561" t="s">
        <v>307</v>
      </c>
      <c r="Z1561">
        <v>65</v>
      </c>
      <c r="AA1561">
        <v>78</v>
      </c>
      <c r="AB1561" t="s">
        <v>143</v>
      </c>
      <c r="AC1561" t="s">
        <v>52</v>
      </c>
      <c r="AD1561" t="s">
        <v>278</v>
      </c>
      <c r="AE1561" t="str">
        <f>IF(AF1561="","",VLOOKUP(AC1561,mapel!$A$2:$B$42,2,FALSE))</f>
        <v>Tepung</v>
      </c>
      <c r="AF1561">
        <f t="shared" si="72"/>
        <v>78</v>
      </c>
      <c r="AG1561" t="str">
        <f>IF(AF1561="","",IF(AF1561&gt;90,"Sangat baik",IF(AF1561&gt;79,"Baik",IF(AF1561&gt;=pub_gid_0_single_true_output_csv[[#This Row],[KKM]],"Cukup","Kurang"))))</f>
        <v>Cukup</v>
      </c>
      <c r="AH1561">
        <f t="shared" si="73"/>
        <v>11</v>
      </c>
      <c r="AI1561" s="30" t="str">
        <f>IF(OR(J1561&lt;&gt;"Karakter",pub_gid_0_single_true_output_csv[[#This Row],[Nilai2]]=""),"",IF(AF1561&gt;89,"Sangat baik",IF(AF1561&gt;79,"Baik",IF(AF1561&gt;69,"Cukup",IF(AF1561&gt;59,"Kurang","Sangat kurang")))))</f>
        <v/>
      </c>
      <c r="AJ1561" t="str">
        <f t="shared" si="74"/>
        <v>Wk.7</v>
      </c>
      <c r="AK1561" t="str">
        <f>IF(pub_gid_0_single_true_output_csv[[#This Row],[Nilai2]]="","",VLOOKUP(pub_gid_0_single_true_output_csv[[#This Row],[NAMA]],Table7[],3,FALSE))</f>
        <v>Average</v>
      </c>
    </row>
    <row r="1562" spans="1:37" x14ac:dyDescent="0.2">
      <c r="A1562">
        <v>1561</v>
      </c>
      <c r="B1562" t="s">
        <v>292</v>
      </c>
      <c r="C1562" t="s">
        <v>54</v>
      </c>
      <c r="D1562" t="s">
        <v>94</v>
      </c>
      <c r="E1562" t="s">
        <v>147</v>
      </c>
      <c r="F1562" s="25">
        <v>46064</v>
      </c>
      <c r="G1562" t="s">
        <v>352</v>
      </c>
      <c r="H1562" t="s">
        <v>412</v>
      </c>
      <c r="I1562" t="s">
        <v>371</v>
      </c>
      <c r="J1562" t="s">
        <v>31</v>
      </c>
      <c r="K1562" t="s">
        <v>32</v>
      </c>
      <c r="L1562" t="s">
        <v>395</v>
      </c>
      <c r="M1562" t="s">
        <v>141</v>
      </c>
      <c r="N1562" t="s">
        <v>142</v>
      </c>
      <c r="O1562" t="s">
        <v>155</v>
      </c>
      <c r="P1562" t="s">
        <v>281</v>
      </c>
      <c r="Q1562" t="s">
        <v>155</v>
      </c>
      <c r="R1562" t="s">
        <v>273</v>
      </c>
      <c r="S1562" t="s">
        <v>309</v>
      </c>
      <c r="T1562">
        <v>1</v>
      </c>
      <c r="U1562" t="s">
        <v>393</v>
      </c>
      <c r="V1562" t="s">
        <v>285</v>
      </c>
      <c r="W1562" t="s">
        <v>394</v>
      </c>
      <c r="X1562" t="s">
        <v>306</v>
      </c>
      <c r="Y1562" t="s">
        <v>307</v>
      </c>
      <c r="Z1562">
        <v>65</v>
      </c>
      <c r="AA1562">
        <v>78</v>
      </c>
      <c r="AB1562" t="s">
        <v>143</v>
      </c>
      <c r="AC1562" t="s">
        <v>52</v>
      </c>
      <c r="AD1562" t="s">
        <v>278</v>
      </c>
      <c r="AE1562" t="str">
        <f>IF(AF1562="","",VLOOKUP(AC1562,mapel!$A$2:$B$42,2,FALSE))</f>
        <v>Tepung</v>
      </c>
      <c r="AF1562">
        <f t="shared" si="72"/>
        <v>78</v>
      </c>
      <c r="AG1562" t="str">
        <f>IF(AF1562="","",IF(AF1562&gt;90,"Sangat baik",IF(AF1562&gt;79,"Baik",IF(AF1562&gt;=pub_gid_0_single_true_output_csv[[#This Row],[KKM]],"Cukup","Kurang"))))</f>
        <v>Cukup</v>
      </c>
      <c r="AH1562">
        <f t="shared" si="73"/>
        <v>11</v>
      </c>
      <c r="AI1562" s="30" t="str">
        <f>IF(OR(J1562&lt;&gt;"Karakter",pub_gid_0_single_true_output_csv[[#This Row],[Nilai2]]=""),"",IF(AF1562&gt;89,"Sangat baik",IF(AF1562&gt;79,"Baik",IF(AF1562&gt;69,"Cukup",IF(AF1562&gt;59,"Kurang","Sangat kurang")))))</f>
        <v/>
      </c>
      <c r="AJ1562" t="str">
        <f t="shared" si="74"/>
        <v>Wk.7</v>
      </c>
      <c r="AK1562" t="str">
        <f>IF(pub_gid_0_single_true_output_csv[[#This Row],[Nilai2]]="","",VLOOKUP(pub_gid_0_single_true_output_csv[[#This Row],[NAMA]],Table7[],3,FALSE))</f>
        <v>Average</v>
      </c>
    </row>
    <row r="1563" spans="1:37" x14ac:dyDescent="0.2">
      <c r="A1563">
        <v>1562</v>
      </c>
      <c r="B1563" t="s">
        <v>292</v>
      </c>
      <c r="C1563" t="s">
        <v>54</v>
      </c>
      <c r="D1563" t="s">
        <v>94</v>
      </c>
      <c r="E1563" t="s">
        <v>147</v>
      </c>
      <c r="F1563" s="25">
        <v>46065</v>
      </c>
      <c r="G1563" t="s">
        <v>354</v>
      </c>
      <c r="H1563" t="s">
        <v>412</v>
      </c>
      <c r="I1563" t="s">
        <v>371</v>
      </c>
      <c r="J1563" t="s">
        <v>41</v>
      </c>
      <c r="K1563" t="s">
        <v>365</v>
      </c>
      <c r="L1563" t="s">
        <v>322</v>
      </c>
      <c r="M1563" t="s">
        <v>141</v>
      </c>
      <c r="N1563" t="s">
        <v>142</v>
      </c>
      <c r="O1563" t="s">
        <v>155</v>
      </c>
      <c r="P1563" t="s">
        <v>281</v>
      </c>
      <c r="Q1563" t="s">
        <v>155</v>
      </c>
      <c r="R1563" t="s">
        <v>273</v>
      </c>
      <c r="S1563" t="s">
        <v>309</v>
      </c>
      <c r="T1563">
        <v>1</v>
      </c>
      <c r="U1563" t="s">
        <v>393</v>
      </c>
      <c r="V1563" t="s">
        <v>285</v>
      </c>
      <c r="W1563" t="s">
        <v>394</v>
      </c>
      <c r="X1563" t="s">
        <v>306</v>
      </c>
      <c r="Y1563" t="s">
        <v>307</v>
      </c>
      <c r="Z1563">
        <v>65</v>
      </c>
      <c r="AA1563">
        <v>78</v>
      </c>
      <c r="AB1563" t="s">
        <v>143</v>
      </c>
      <c r="AC1563" t="s">
        <v>52</v>
      </c>
      <c r="AD1563" t="s">
        <v>278</v>
      </c>
      <c r="AE1563" t="str">
        <f>IF(AF1563="","",VLOOKUP(AC1563,mapel!$A$2:$B$42,2,FALSE))</f>
        <v>Tepung</v>
      </c>
      <c r="AF1563">
        <f t="shared" si="72"/>
        <v>78</v>
      </c>
      <c r="AG1563" t="str">
        <f>IF(AF1563="","",IF(AF1563&gt;90,"Sangat baik",IF(AF1563&gt;79,"Baik",IF(AF1563&gt;=pub_gid_0_single_true_output_csv[[#This Row],[KKM]],"Cukup","Kurang"))))</f>
        <v>Cukup</v>
      </c>
      <c r="AH1563">
        <f t="shared" si="73"/>
        <v>11</v>
      </c>
      <c r="AI1563" s="30" t="str">
        <f>IF(OR(J1563&lt;&gt;"Karakter",pub_gid_0_single_true_output_csv[[#This Row],[Nilai2]]=""),"",IF(AF1563&gt;89,"Sangat baik",IF(AF1563&gt;79,"Baik",IF(AF1563&gt;69,"Cukup",IF(AF1563&gt;59,"Kurang","Sangat kurang")))))</f>
        <v/>
      </c>
      <c r="AJ1563" t="str">
        <f t="shared" si="74"/>
        <v>Wk.7</v>
      </c>
      <c r="AK1563" t="str">
        <f>IF(pub_gid_0_single_true_output_csv[[#This Row],[Nilai2]]="","",VLOOKUP(pub_gid_0_single_true_output_csv[[#This Row],[NAMA]],Table7[],3,FALSE))</f>
        <v>Average</v>
      </c>
    </row>
    <row r="1564" spans="1:37" x14ac:dyDescent="0.2">
      <c r="A1564">
        <v>1563</v>
      </c>
      <c r="B1564" t="s">
        <v>292</v>
      </c>
      <c r="C1564" t="s">
        <v>54</v>
      </c>
      <c r="D1564" t="s">
        <v>94</v>
      </c>
      <c r="E1564" t="s">
        <v>147</v>
      </c>
      <c r="F1564" s="25">
        <v>46071</v>
      </c>
      <c r="G1564" t="s">
        <v>323</v>
      </c>
      <c r="H1564" t="s">
        <v>412</v>
      </c>
      <c r="I1564" t="s">
        <v>371</v>
      </c>
      <c r="J1564" t="s">
        <v>41</v>
      </c>
      <c r="K1564" t="s">
        <v>365</v>
      </c>
      <c r="L1564" t="s">
        <v>319</v>
      </c>
      <c r="M1564" t="s">
        <v>141</v>
      </c>
      <c r="N1564" t="s">
        <v>142</v>
      </c>
      <c r="O1564" t="s">
        <v>155</v>
      </c>
      <c r="P1564" t="s">
        <v>281</v>
      </c>
      <c r="Q1564" t="s">
        <v>155</v>
      </c>
      <c r="R1564" t="s">
        <v>273</v>
      </c>
      <c r="S1564" t="s">
        <v>470</v>
      </c>
      <c r="T1564">
        <v>4</v>
      </c>
      <c r="U1564" t="s">
        <v>471</v>
      </c>
      <c r="V1564" t="s">
        <v>472</v>
      </c>
      <c r="W1564" t="s">
        <v>473</v>
      </c>
      <c r="X1564" t="s">
        <v>306</v>
      </c>
      <c r="Y1564" t="s">
        <v>307</v>
      </c>
      <c r="Z1564">
        <v>65</v>
      </c>
      <c r="AA1564">
        <v>80</v>
      </c>
      <c r="AB1564" t="s">
        <v>143</v>
      </c>
      <c r="AC1564" t="s">
        <v>52</v>
      </c>
      <c r="AD1564" t="s">
        <v>278</v>
      </c>
      <c r="AE1564" t="str">
        <f>IF(AF1564="","",VLOOKUP(AC1564,mapel!$A$2:$B$42,2,FALSE))</f>
        <v>Tepung</v>
      </c>
      <c r="AF1564">
        <f t="shared" si="72"/>
        <v>80</v>
      </c>
      <c r="AG1564" t="str">
        <f>IF(AF1564="","",IF(AF1564&gt;90,"Sangat baik",IF(AF1564&gt;79,"Baik",IF(AF1564&gt;=pub_gid_0_single_true_output_csv[[#This Row],[KKM]],"Cukup","Kurang"))))</f>
        <v>Baik</v>
      </c>
      <c r="AH1564">
        <f t="shared" si="73"/>
        <v>11</v>
      </c>
      <c r="AI1564" s="30" t="str">
        <f>IF(OR(J1564&lt;&gt;"Karakter",pub_gid_0_single_true_output_csv[[#This Row],[Nilai2]]=""),"",IF(AF1564&gt;89,"Sangat baik",IF(AF1564&gt;79,"Baik",IF(AF1564&gt;69,"Cukup",IF(AF1564&gt;59,"Kurang","Sangat kurang")))))</f>
        <v/>
      </c>
      <c r="AJ1564" t="str">
        <f t="shared" si="74"/>
        <v>Wk.8</v>
      </c>
      <c r="AK1564" t="str">
        <f>IF(pub_gid_0_single_true_output_csv[[#This Row],[Nilai2]]="","",VLOOKUP(pub_gid_0_single_true_output_csv[[#This Row],[NAMA]],Table7[],3,FALSE))</f>
        <v>Average</v>
      </c>
    </row>
    <row r="1565" spans="1:37" x14ac:dyDescent="0.2">
      <c r="A1565">
        <v>1564</v>
      </c>
      <c r="B1565" t="s">
        <v>292</v>
      </c>
      <c r="C1565" t="s">
        <v>54</v>
      </c>
      <c r="D1565" t="s">
        <v>94</v>
      </c>
      <c r="E1565" t="s">
        <v>147</v>
      </c>
      <c r="F1565" s="25">
        <v>46077</v>
      </c>
      <c r="G1565" t="s">
        <v>476</v>
      </c>
      <c r="H1565" t="s">
        <v>412</v>
      </c>
      <c r="I1565" t="s">
        <v>371</v>
      </c>
      <c r="J1565" t="s">
        <v>41</v>
      </c>
      <c r="K1565" t="s">
        <v>365</v>
      </c>
      <c r="L1565" t="s">
        <v>319</v>
      </c>
      <c r="M1565" t="s">
        <v>141</v>
      </c>
      <c r="N1565" t="s">
        <v>142</v>
      </c>
      <c r="O1565" t="s">
        <v>155</v>
      </c>
      <c r="P1565" t="s">
        <v>281</v>
      </c>
      <c r="Q1565" t="s">
        <v>155</v>
      </c>
      <c r="R1565" t="s">
        <v>273</v>
      </c>
      <c r="S1565" t="s">
        <v>470</v>
      </c>
      <c r="T1565">
        <v>4</v>
      </c>
      <c r="U1565" t="s">
        <v>471</v>
      </c>
      <c r="V1565" t="s">
        <v>472</v>
      </c>
      <c r="W1565" t="s">
        <v>473</v>
      </c>
      <c r="X1565" t="s">
        <v>306</v>
      </c>
      <c r="Y1565" t="s">
        <v>307</v>
      </c>
      <c r="Z1565">
        <v>65</v>
      </c>
      <c r="AA1565">
        <v>80</v>
      </c>
      <c r="AB1565" t="s">
        <v>143</v>
      </c>
      <c r="AC1565" t="s">
        <v>52</v>
      </c>
      <c r="AD1565" t="s">
        <v>278</v>
      </c>
      <c r="AE1565" t="str">
        <f>IF(AF1565="","",VLOOKUP(AC1565,mapel!$A$2:$B$42,2,FALSE))</f>
        <v>Tepung</v>
      </c>
      <c r="AF1565">
        <f t="shared" si="72"/>
        <v>80</v>
      </c>
      <c r="AG1565" t="str">
        <f>IF(AF1565="","",IF(AF1565&gt;90,"Sangat baik",IF(AF1565&gt;79,"Baik",IF(AF1565&gt;=pub_gid_0_single_true_output_csv[[#This Row],[KKM]],"Cukup","Kurang"))))</f>
        <v>Baik</v>
      </c>
      <c r="AH1565">
        <f t="shared" si="73"/>
        <v>11</v>
      </c>
      <c r="AI1565" s="30" t="str">
        <f>IF(OR(J1565&lt;&gt;"Karakter",pub_gid_0_single_true_output_csv[[#This Row],[Nilai2]]=""),"",IF(AF1565&gt;89,"Sangat baik",IF(AF1565&gt;79,"Baik",IF(AF1565&gt;69,"Cukup",IF(AF1565&gt;59,"Kurang","Sangat kurang")))))</f>
        <v/>
      </c>
      <c r="AJ1565" t="str">
        <f t="shared" si="74"/>
        <v>Wk.9</v>
      </c>
      <c r="AK1565" t="str">
        <f>IF(pub_gid_0_single_true_output_csv[[#This Row],[Nilai2]]="","",VLOOKUP(pub_gid_0_single_true_output_csv[[#This Row],[NAMA]],Table7[],3,FALSE))</f>
        <v>Average</v>
      </c>
    </row>
    <row r="1566" spans="1:37" x14ac:dyDescent="0.2">
      <c r="A1566">
        <v>1565</v>
      </c>
      <c r="B1566" t="s">
        <v>292</v>
      </c>
      <c r="C1566" t="s">
        <v>54</v>
      </c>
      <c r="D1566" t="s">
        <v>94</v>
      </c>
      <c r="E1566" t="s">
        <v>147</v>
      </c>
      <c r="F1566" s="25">
        <v>46078</v>
      </c>
      <c r="G1566" t="s">
        <v>284</v>
      </c>
      <c r="H1566" t="s">
        <v>412</v>
      </c>
      <c r="I1566" t="s">
        <v>371</v>
      </c>
      <c r="J1566" t="s">
        <v>36</v>
      </c>
      <c r="K1566" t="s">
        <v>153</v>
      </c>
      <c r="L1566" t="s">
        <v>319</v>
      </c>
      <c r="M1566" t="s">
        <v>141</v>
      </c>
      <c r="N1566" t="s">
        <v>142</v>
      </c>
      <c r="O1566" t="s">
        <v>155</v>
      </c>
      <c r="P1566" t="s">
        <v>281</v>
      </c>
      <c r="Q1566" t="s">
        <v>155</v>
      </c>
      <c r="R1566" t="s">
        <v>273</v>
      </c>
      <c r="S1566" t="s">
        <v>470</v>
      </c>
      <c r="T1566">
        <v>4</v>
      </c>
      <c r="U1566" t="s">
        <v>471</v>
      </c>
      <c r="V1566" t="s">
        <v>472</v>
      </c>
      <c r="W1566" t="s">
        <v>473</v>
      </c>
      <c r="X1566" t="s">
        <v>306</v>
      </c>
      <c r="Y1566" t="s">
        <v>307</v>
      </c>
      <c r="Z1566">
        <v>65</v>
      </c>
      <c r="AA1566">
        <v>80</v>
      </c>
      <c r="AB1566" t="s">
        <v>143</v>
      </c>
      <c r="AC1566" t="s">
        <v>52</v>
      </c>
      <c r="AD1566" t="s">
        <v>278</v>
      </c>
      <c r="AE1566" t="str">
        <f>IF(AF1566="","",VLOOKUP(AC1566,mapel!$A$2:$B$42,2,FALSE))</f>
        <v>Tepung</v>
      </c>
      <c r="AF1566">
        <f t="shared" si="72"/>
        <v>80</v>
      </c>
      <c r="AG1566" t="str">
        <f>IF(AF1566="","",IF(AF1566&gt;90,"Sangat baik",IF(AF1566&gt;79,"Baik",IF(AF1566&gt;=pub_gid_0_single_true_output_csv[[#This Row],[KKM]],"Cukup","Kurang"))))</f>
        <v>Baik</v>
      </c>
      <c r="AH1566">
        <f t="shared" si="73"/>
        <v>11</v>
      </c>
      <c r="AI1566" s="30" t="str">
        <f>IF(OR(J1566&lt;&gt;"Karakter",pub_gid_0_single_true_output_csv[[#This Row],[Nilai2]]=""),"",IF(AF1566&gt;89,"Sangat baik",IF(AF1566&gt;79,"Baik",IF(AF1566&gt;69,"Cukup",IF(AF1566&gt;59,"Kurang","Sangat kurang")))))</f>
        <v/>
      </c>
      <c r="AJ1566" t="str">
        <f t="shared" si="74"/>
        <v>Wk.9</v>
      </c>
      <c r="AK1566" t="str">
        <f>IF(pub_gid_0_single_true_output_csv[[#This Row],[Nilai2]]="","",VLOOKUP(pub_gid_0_single_true_output_csv[[#This Row],[NAMA]],Table7[],3,FALSE))</f>
        <v>Average</v>
      </c>
    </row>
    <row r="1567" spans="1:37" x14ac:dyDescent="0.2">
      <c r="A1567">
        <v>1566</v>
      </c>
      <c r="B1567" t="s">
        <v>286</v>
      </c>
      <c r="C1567" t="s">
        <v>54</v>
      </c>
      <c r="D1567" t="s">
        <v>33</v>
      </c>
      <c r="E1567" t="s">
        <v>140</v>
      </c>
      <c r="F1567" s="25">
        <v>46035</v>
      </c>
      <c r="G1567" t="s">
        <v>358</v>
      </c>
      <c r="H1567" t="s">
        <v>405</v>
      </c>
      <c r="I1567" t="s">
        <v>371</v>
      </c>
      <c r="J1567" t="s">
        <v>41</v>
      </c>
      <c r="K1567" t="s">
        <v>365</v>
      </c>
      <c r="L1567" t="s">
        <v>322</v>
      </c>
      <c r="M1567" t="s">
        <v>141</v>
      </c>
      <c r="N1567" t="s">
        <v>142</v>
      </c>
      <c r="O1567" t="s">
        <v>155</v>
      </c>
      <c r="P1567" t="s">
        <v>281</v>
      </c>
      <c r="Q1567" t="s">
        <v>155</v>
      </c>
      <c r="R1567" t="s">
        <v>273</v>
      </c>
      <c r="S1567" t="s">
        <v>470</v>
      </c>
      <c r="T1567">
        <v>4</v>
      </c>
      <c r="U1567" t="s">
        <v>471</v>
      </c>
      <c r="V1567" t="s">
        <v>472</v>
      </c>
      <c r="W1567" t="s">
        <v>473</v>
      </c>
      <c r="X1567" t="s">
        <v>306</v>
      </c>
      <c r="Y1567" t="s">
        <v>307</v>
      </c>
      <c r="Z1567">
        <v>65</v>
      </c>
      <c r="AA1567">
        <v>0</v>
      </c>
      <c r="AB1567" t="s">
        <v>151</v>
      </c>
      <c r="AC1567" t="s">
        <v>52</v>
      </c>
      <c r="AD1567" t="s">
        <v>278</v>
      </c>
      <c r="AE1567" t="str">
        <f>IF(AF1567="","",VLOOKUP(AC1567,mapel!$A$2:$B$42,2,FALSE))</f>
        <v/>
      </c>
      <c r="AF1567" t="str">
        <f t="shared" si="72"/>
        <v/>
      </c>
      <c r="AG1567" t="str">
        <f>IF(AF1567="","",IF(AF1567&gt;90,"Sangat baik",IF(AF1567&gt;79,"Baik",IF(AF1567&gt;=pub_gid_0_single_true_output_csv[[#This Row],[KKM]],"Cukup","Kurang"))))</f>
        <v/>
      </c>
      <c r="AH1567" t="str">
        <f t="shared" si="73"/>
        <v/>
      </c>
      <c r="AI1567" s="30" t="str">
        <f>IF(OR(J1567&lt;&gt;"Karakter",pub_gid_0_single_true_output_csv[[#This Row],[Nilai2]]=""),"",IF(AF1567&gt;89,"Sangat baik",IF(AF1567&gt;79,"Baik",IF(AF1567&gt;69,"Cukup",IF(AF1567&gt;59,"Kurang","Sangat kurang")))))</f>
        <v/>
      </c>
      <c r="AJ1567" t="str">
        <f t="shared" si="74"/>
        <v/>
      </c>
      <c r="AK1567" t="str">
        <f>IF(pub_gid_0_single_true_output_csv[[#This Row],[Nilai2]]="","",VLOOKUP(pub_gid_0_single_true_output_csv[[#This Row],[NAMA]],Table7[],3,FALSE))</f>
        <v/>
      </c>
    </row>
    <row r="1568" spans="1:37" x14ac:dyDescent="0.2">
      <c r="A1568">
        <v>1567</v>
      </c>
      <c r="B1568" t="s">
        <v>286</v>
      </c>
      <c r="C1568" t="s">
        <v>54</v>
      </c>
      <c r="D1568" t="s">
        <v>33</v>
      </c>
      <c r="E1568" t="s">
        <v>140</v>
      </c>
      <c r="F1568" s="25">
        <v>46036</v>
      </c>
      <c r="G1568" t="s">
        <v>353</v>
      </c>
      <c r="H1568" t="s">
        <v>405</v>
      </c>
      <c r="I1568" t="s">
        <v>371</v>
      </c>
      <c r="J1568" t="s">
        <v>41</v>
      </c>
      <c r="K1568" t="s">
        <v>365</v>
      </c>
      <c r="L1568" t="s">
        <v>319</v>
      </c>
      <c r="M1568" t="s">
        <v>141</v>
      </c>
      <c r="N1568" t="s">
        <v>142</v>
      </c>
      <c r="O1568" t="s">
        <v>155</v>
      </c>
      <c r="P1568" t="s">
        <v>281</v>
      </c>
      <c r="Q1568" t="s">
        <v>155</v>
      </c>
      <c r="R1568" t="s">
        <v>273</v>
      </c>
      <c r="S1568" t="s">
        <v>470</v>
      </c>
      <c r="T1568">
        <v>4</v>
      </c>
      <c r="U1568" t="s">
        <v>471</v>
      </c>
      <c r="V1568" t="s">
        <v>472</v>
      </c>
      <c r="W1568" t="s">
        <v>473</v>
      </c>
      <c r="X1568" t="s">
        <v>306</v>
      </c>
      <c r="Y1568" t="s">
        <v>307</v>
      </c>
      <c r="Z1568">
        <v>65</v>
      </c>
      <c r="AA1568">
        <v>0</v>
      </c>
      <c r="AB1568" t="s">
        <v>151</v>
      </c>
      <c r="AC1568" t="s">
        <v>52</v>
      </c>
      <c r="AD1568" t="s">
        <v>278</v>
      </c>
      <c r="AE1568" t="str">
        <f>IF(AF1568="","",VLOOKUP(AC1568,mapel!$A$2:$B$42,2,FALSE))</f>
        <v/>
      </c>
      <c r="AF1568" t="str">
        <f t="shared" si="72"/>
        <v/>
      </c>
      <c r="AG1568" t="str">
        <f>IF(AF1568="","",IF(AF1568&gt;90,"Sangat baik",IF(AF1568&gt;79,"Baik",IF(AF1568&gt;=pub_gid_0_single_true_output_csv[[#This Row],[KKM]],"Cukup","Kurang"))))</f>
        <v/>
      </c>
      <c r="AH1568" t="str">
        <f t="shared" si="73"/>
        <v/>
      </c>
      <c r="AI1568" s="30" t="str">
        <f>IF(OR(J1568&lt;&gt;"Karakter",pub_gid_0_single_true_output_csv[[#This Row],[Nilai2]]=""),"",IF(AF1568&gt;89,"Sangat baik",IF(AF1568&gt;79,"Baik",IF(AF1568&gt;69,"Cukup",IF(AF1568&gt;59,"Kurang","Sangat kurang")))))</f>
        <v/>
      </c>
      <c r="AJ1568" t="str">
        <f t="shared" si="74"/>
        <v/>
      </c>
      <c r="AK1568" t="str">
        <f>IF(pub_gid_0_single_true_output_csv[[#This Row],[Nilai2]]="","",VLOOKUP(pub_gid_0_single_true_output_csv[[#This Row],[NAMA]],Table7[],3,FALSE))</f>
        <v/>
      </c>
    </row>
    <row r="1569" spans="1:37" x14ac:dyDescent="0.2">
      <c r="A1569">
        <v>1568</v>
      </c>
      <c r="B1569" t="s">
        <v>286</v>
      </c>
      <c r="C1569" t="s">
        <v>54</v>
      </c>
      <c r="D1569" t="s">
        <v>33</v>
      </c>
      <c r="E1569" t="s">
        <v>140</v>
      </c>
      <c r="F1569" s="25">
        <v>46037</v>
      </c>
      <c r="G1569" t="s">
        <v>356</v>
      </c>
      <c r="H1569" t="s">
        <v>405</v>
      </c>
      <c r="I1569" t="s">
        <v>371</v>
      </c>
      <c r="J1569" t="s">
        <v>36</v>
      </c>
      <c r="K1569" t="s">
        <v>37</v>
      </c>
      <c r="L1569" t="s">
        <v>383</v>
      </c>
      <c r="M1569" t="s">
        <v>141</v>
      </c>
      <c r="N1569" t="s">
        <v>142</v>
      </c>
      <c r="O1569" t="s">
        <v>155</v>
      </c>
      <c r="P1569" t="s">
        <v>281</v>
      </c>
      <c r="Q1569" t="s">
        <v>155</v>
      </c>
      <c r="R1569" t="s">
        <v>273</v>
      </c>
      <c r="S1569" t="s">
        <v>470</v>
      </c>
      <c r="T1569">
        <v>4</v>
      </c>
      <c r="U1569" t="s">
        <v>471</v>
      </c>
      <c r="V1569" t="s">
        <v>472</v>
      </c>
      <c r="W1569" t="s">
        <v>473</v>
      </c>
      <c r="X1569" t="s">
        <v>306</v>
      </c>
      <c r="Y1569" t="s">
        <v>307</v>
      </c>
      <c r="Z1569">
        <v>65</v>
      </c>
      <c r="AA1569">
        <v>0</v>
      </c>
      <c r="AB1569" t="s">
        <v>151</v>
      </c>
      <c r="AC1569" t="s">
        <v>52</v>
      </c>
      <c r="AD1569" t="s">
        <v>278</v>
      </c>
      <c r="AE1569" t="str">
        <f>IF(AF1569="","",VLOOKUP(AC1569,mapel!$A$2:$B$42,2,FALSE))</f>
        <v/>
      </c>
      <c r="AF1569" t="str">
        <f t="shared" si="72"/>
        <v/>
      </c>
      <c r="AG1569" t="str">
        <f>IF(AF1569="","",IF(AF1569&gt;90,"Sangat baik",IF(AF1569&gt;79,"Baik",IF(AF1569&gt;=pub_gid_0_single_true_output_csv[[#This Row],[KKM]],"Cukup","Kurang"))))</f>
        <v/>
      </c>
      <c r="AH1569" t="str">
        <f t="shared" si="73"/>
        <v/>
      </c>
      <c r="AI1569" s="30" t="str">
        <f>IF(OR(J1569&lt;&gt;"Karakter",pub_gid_0_single_true_output_csv[[#This Row],[Nilai2]]=""),"",IF(AF1569&gt;89,"Sangat baik",IF(AF1569&gt;79,"Baik",IF(AF1569&gt;69,"Cukup",IF(AF1569&gt;59,"Kurang","Sangat kurang")))))</f>
        <v/>
      </c>
      <c r="AJ1569" t="str">
        <f t="shared" si="74"/>
        <v/>
      </c>
      <c r="AK1569" t="str">
        <f>IF(pub_gid_0_single_true_output_csv[[#This Row],[Nilai2]]="","",VLOOKUP(pub_gid_0_single_true_output_csv[[#This Row],[NAMA]],Table7[],3,FALSE))</f>
        <v/>
      </c>
    </row>
    <row r="1570" spans="1:37" x14ac:dyDescent="0.2">
      <c r="A1570">
        <v>1569</v>
      </c>
      <c r="B1570" t="s">
        <v>286</v>
      </c>
      <c r="C1570" t="s">
        <v>54</v>
      </c>
      <c r="D1570" t="s">
        <v>33</v>
      </c>
      <c r="E1570" t="s">
        <v>140</v>
      </c>
      <c r="F1570" s="25">
        <v>46042</v>
      </c>
      <c r="G1570" t="s">
        <v>474</v>
      </c>
      <c r="H1570" t="s">
        <v>405</v>
      </c>
      <c r="I1570" t="s">
        <v>371</v>
      </c>
      <c r="J1570" t="s">
        <v>90</v>
      </c>
      <c r="K1570" t="s">
        <v>366</v>
      </c>
      <c r="L1570" t="s">
        <v>475</v>
      </c>
      <c r="M1570" t="s">
        <v>141</v>
      </c>
      <c r="N1570" t="s">
        <v>142</v>
      </c>
      <c r="O1570" t="s">
        <v>155</v>
      </c>
      <c r="P1570" t="s">
        <v>281</v>
      </c>
      <c r="Q1570" t="s">
        <v>155</v>
      </c>
      <c r="R1570" t="s">
        <v>273</v>
      </c>
      <c r="S1570" t="s">
        <v>470</v>
      </c>
      <c r="T1570">
        <v>4</v>
      </c>
      <c r="U1570" t="s">
        <v>471</v>
      </c>
      <c r="V1570" t="s">
        <v>472</v>
      </c>
      <c r="W1570" t="s">
        <v>473</v>
      </c>
      <c r="X1570" t="s">
        <v>306</v>
      </c>
      <c r="Y1570" t="s">
        <v>307</v>
      </c>
      <c r="Z1570">
        <v>65</v>
      </c>
      <c r="AA1570">
        <v>0</v>
      </c>
      <c r="AB1570" t="s">
        <v>151</v>
      </c>
      <c r="AC1570" t="s">
        <v>52</v>
      </c>
      <c r="AD1570" t="s">
        <v>278</v>
      </c>
      <c r="AE1570" t="str">
        <f>IF(AF1570="","",VLOOKUP(AC1570,mapel!$A$2:$B$42,2,FALSE))</f>
        <v/>
      </c>
      <c r="AF1570" t="str">
        <f t="shared" si="72"/>
        <v/>
      </c>
      <c r="AG1570" t="str">
        <f>IF(AF1570="","",IF(AF1570&gt;90,"Sangat baik",IF(AF1570&gt;79,"Baik",IF(AF1570&gt;=pub_gid_0_single_true_output_csv[[#This Row],[KKM]],"Cukup","Kurang"))))</f>
        <v/>
      </c>
      <c r="AH1570" t="str">
        <f t="shared" si="73"/>
        <v/>
      </c>
      <c r="AI1570" s="30" t="str">
        <f>IF(OR(J1570&lt;&gt;"Karakter",pub_gid_0_single_true_output_csv[[#This Row],[Nilai2]]=""),"",IF(AF1570&gt;89,"Sangat baik",IF(AF1570&gt;79,"Baik",IF(AF1570&gt;69,"Cukup",IF(AF1570&gt;59,"Kurang","Sangat kurang")))))</f>
        <v/>
      </c>
      <c r="AJ1570" t="str">
        <f t="shared" si="74"/>
        <v/>
      </c>
      <c r="AK1570" t="str">
        <f>IF(pub_gid_0_single_true_output_csv[[#This Row],[Nilai2]]="","",VLOOKUP(pub_gid_0_single_true_output_csv[[#This Row],[NAMA]],Table7[],3,FALSE))</f>
        <v/>
      </c>
    </row>
    <row r="1571" spans="1:37" x14ac:dyDescent="0.2">
      <c r="A1571">
        <v>1570</v>
      </c>
      <c r="B1571" t="s">
        <v>286</v>
      </c>
      <c r="C1571" t="s">
        <v>54</v>
      </c>
      <c r="D1571" t="s">
        <v>33</v>
      </c>
      <c r="E1571" t="s">
        <v>140</v>
      </c>
      <c r="F1571" s="25">
        <v>46051</v>
      </c>
      <c r="G1571" t="s">
        <v>320</v>
      </c>
      <c r="H1571" t="s">
        <v>405</v>
      </c>
      <c r="I1571" t="s">
        <v>371</v>
      </c>
      <c r="J1571" t="s">
        <v>41</v>
      </c>
      <c r="K1571" t="s">
        <v>365</v>
      </c>
      <c r="L1571" t="s">
        <v>319</v>
      </c>
      <c r="M1571" t="s">
        <v>141</v>
      </c>
      <c r="N1571" t="s">
        <v>142</v>
      </c>
      <c r="O1571" t="s">
        <v>155</v>
      </c>
      <c r="P1571" t="s">
        <v>281</v>
      </c>
      <c r="Q1571" t="s">
        <v>155</v>
      </c>
      <c r="R1571" t="s">
        <v>273</v>
      </c>
      <c r="S1571" t="s">
        <v>470</v>
      </c>
      <c r="T1571">
        <v>4</v>
      </c>
      <c r="U1571" t="s">
        <v>471</v>
      </c>
      <c r="V1571" t="s">
        <v>472</v>
      </c>
      <c r="W1571" t="s">
        <v>473</v>
      </c>
      <c r="X1571" t="s">
        <v>306</v>
      </c>
      <c r="Y1571" t="s">
        <v>307</v>
      </c>
      <c r="Z1571">
        <v>65</v>
      </c>
      <c r="AA1571">
        <v>0</v>
      </c>
      <c r="AB1571" t="s">
        <v>151</v>
      </c>
      <c r="AC1571" t="s">
        <v>52</v>
      </c>
      <c r="AD1571" t="s">
        <v>278</v>
      </c>
      <c r="AE1571" t="str">
        <f>IF(AF1571="","",VLOOKUP(AC1571,mapel!$A$2:$B$42,2,FALSE))</f>
        <v/>
      </c>
      <c r="AF1571" t="str">
        <f t="shared" si="72"/>
        <v/>
      </c>
      <c r="AG1571" t="str">
        <f>IF(AF1571="","",IF(AF1571&gt;90,"Sangat baik",IF(AF1571&gt;79,"Baik",IF(AF1571&gt;=pub_gid_0_single_true_output_csv[[#This Row],[KKM]],"Cukup","Kurang"))))</f>
        <v/>
      </c>
      <c r="AH1571" t="str">
        <f t="shared" si="73"/>
        <v/>
      </c>
      <c r="AI1571" s="30" t="str">
        <f>IF(OR(J1571&lt;&gt;"Karakter",pub_gid_0_single_true_output_csv[[#This Row],[Nilai2]]=""),"",IF(AF1571&gt;89,"Sangat baik",IF(AF1571&gt;79,"Baik",IF(AF1571&gt;69,"Cukup",IF(AF1571&gt;59,"Kurang","Sangat kurang")))))</f>
        <v/>
      </c>
      <c r="AJ1571" t="str">
        <f t="shared" si="74"/>
        <v/>
      </c>
      <c r="AK1571" t="str">
        <f>IF(pub_gid_0_single_true_output_csv[[#This Row],[Nilai2]]="","",VLOOKUP(pub_gid_0_single_true_output_csv[[#This Row],[NAMA]],Table7[],3,FALSE))</f>
        <v/>
      </c>
    </row>
    <row r="1572" spans="1:37" x14ac:dyDescent="0.2">
      <c r="A1572">
        <v>1571</v>
      </c>
      <c r="B1572" t="s">
        <v>286</v>
      </c>
      <c r="C1572" t="s">
        <v>54</v>
      </c>
      <c r="D1572" t="s">
        <v>33</v>
      </c>
      <c r="E1572" t="s">
        <v>140</v>
      </c>
      <c r="F1572" s="25">
        <v>46056</v>
      </c>
      <c r="G1572" t="s">
        <v>372</v>
      </c>
      <c r="H1572" t="s">
        <v>412</v>
      </c>
      <c r="I1572" t="s">
        <v>371</v>
      </c>
      <c r="J1572" t="s">
        <v>41</v>
      </c>
      <c r="K1572" t="s">
        <v>365</v>
      </c>
      <c r="L1572" t="s">
        <v>322</v>
      </c>
      <c r="M1572" t="s">
        <v>141</v>
      </c>
      <c r="N1572" t="s">
        <v>142</v>
      </c>
      <c r="O1572" t="s">
        <v>155</v>
      </c>
      <c r="P1572" t="s">
        <v>281</v>
      </c>
      <c r="Q1572" t="s">
        <v>155</v>
      </c>
      <c r="R1572" t="s">
        <v>273</v>
      </c>
      <c r="S1572" t="s">
        <v>309</v>
      </c>
      <c r="T1572">
        <v>1</v>
      </c>
      <c r="U1572" t="s">
        <v>393</v>
      </c>
      <c r="V1572" t="s">
        <v>285</v>
      </c>
      <c r="W1572" t="s">
        <v>394</v>
      </c>
      <c r="X1572" t="s">
        <v>306</v>
      </c>
      <c r="Y1572" t="s">
        <v>307</v>
      </c>
      <c r="Z1572">
        <v>65</v>
      </c>
      <c r="AA1572">
        <v>0</v>
      </c>
      <c r="AB1572" t="s">
        <v>151</v>
      </c>
      <c r="AC1572" t="s">
        <v>52</v>
      </c>
      <c r="AD1572" t="s">
        <v>278</v>
      </c>
      <c r="AE1572" t="str">
        <f>IF(AF1572="","",VLOOKUP(AC1572,mapel!$A$2:$B$42,2,FALSE))</f>
        <v/>
      </c>
      <c r="AF1572" t="str">
        <f t="shared" si="72"/>
        <v/>
      </c>
      <c r="AG1572" t="str">
        <f>IF(AF1572="","",IF(AF1572&gt;90,"Sangat baik",IF(AF1572&gt;79,"Baik",IF(AF1572&gt;=pub_gid_0_single_true_output_csv[[#This Row],[KKM]],"Cukup","Kurang"))))</f>
        <v/>
      </c>
      <c r="AH1572" t="str">
        <f t="shared" si="73"/>
        <v/>
      </c>
      <c r="AI1572" s="30" t="str">
        <f>IF(OR(J1572&lt;&gt;"Karakter",pub_gid_0_single_true_output_csv[[#This Row],[Nilai2]]=""),"",IF(AF1572&gt;89,"Sangat baik",IF(AF1572&gt;79,"Baik",IF(AF1572&gt;69,"Cukup",IF(AF1572&gt;59,"Kurang","Sangat kurang")))))</f>
        <v/>
      </c>
      <c r="AJ1572" t="str">
        <f t="shared" si="74"/>
        <v/>
      </c>
      <c r="AK1572" t="str">
        <f>IF(pub_gid_0_single_true_output_csv[[#This Row],[Nilai2]]="","",VLOOKUP(pub_gid_0_single_true_output_csv[[#This Row],[NAMA]],Table7[],3,FALSE))</f>
        <v/>
      </c>
    </row>
    <row r="1573" spans="1:37" x14ac:dyDescent="0.2">
      <c r="A1573">
        <v>1572</v>
      </c>
      <c r="B1573" t="s">
        <v>286</v>
      </c>
      <c r="C1573" t="s">
        <v>54</v>
      </c>
      <c r="D1573" t="s">
        <v>33</v>
      </c>
      <c r="E1573" t="s">
        <v>140</v>
      </c>
      <c r="F1573" s="25">
        <v>46057</v>
      </c>
      <c r="G1573" t="s">
        <v>348</v>
      </c>
      <c r="H1573" t="s">
        <v>412</v>
      </c>
      <c r="I1573" t="s">
        <v>371</v>
      </c>
      <c r="J1573" t="s">
        <v>36</v>
      </c>
      <c r="K1573" t="s">
        <v>153</v>
      </c>
      <c r="L1573" t="s">
        <v>395</v>
      </c>
      <c r="M1573" t="s">
        <v>141</v>
      </c>
      <c r="N1573" t="s">
        <v>142</v>
      </c>
      <c r="O1573" t="s">
        <v>155</v>
      </c>
      <c r="P1573" t="s">
        <v>281</v>
      </c>
      <c r="Q1573" t="s">
        <v>155</v>
      </c>
      <c r="R1573" t="s">
        <v>273</v>
      </c>
      <c r="S1573" t="s">
        <v>309</v>
      </c>
      <c r="T1573">
        <v>1</v>
      </c>
      <c r="U1573" t="s">
        <v>393</v>
      </c>
      <c r="V1573" t="s">
        <v>285</v>
      </c>
      <c r="W1573" t="s">
        <v>394</v>
      </c>
      <c r="X1573" t="s">
        <v>306</v>
      </c>
      <c r="Y1573" t="s">
        <v>307</v>
      </c>
      <c r="Z1573">
        <v>65</v>
      </c>
      <c r="AA1573">
        <v>0</v>
      </c>
      <c r="AB1573" t="s">
        <v>151</v>
      </c>
      <c r="AC1573" t="s">
        <v>52</v>
      </c>
      <c r="AD1573" t="s">
        <v>278</v>
      </c>
      <c r="AE1573" t="str">
        <f>IF(AF1573="","",VLOOKUP(AC1573,mapel!$A$2:$B$42,2,FALSE))</f>
        <v/>
      </c>
      <c r="AF1573" t="str">
        <f t="shared" si="72"/>
        <v/>
      </c>
      <c r="AG1573" t="str">
        <f>IF(AF1573="","",IF(AF1573&gt;90,"Sangat baik",IF(AF1573&gt;79,"Baik",IF(AF1573&gt;=pub_gid_0_single_true_output_csv[[#This Row],[KKM]],"Cukup","Kurang"))))</f>
        <v/>
      </c>
      <c r="AH1573" t="str">
        <f t="shared" si="73"/>
        <v/>
      </c>
      <c r="AI1573" s="30" t="str">
        <f>IF(OR(J1573&lt;&gt;"Karakter",pub_gid_0_single_true_output_csv[[#This Row],[Nilai2]]=""),"",IF(AF1573&gt;89,"Sangat baik",IF(AF1573&gt;79,"Baik",IF(AF1573&gt;69,"Cukup",IF(AF1573&gt;59,"Kurang","Sangat kurang")))))</f>
        <v/>
      </c>
      <c r="AJ1573" t="str">
        <f t="shared" si="74"/>
        <v/>
      </c>
      <c r="AK1573" t="str">
        <f>IF(pub_gid_0_single_true_output_csv[[#This Row],[Nilai2]]="","",VLOOKUP(pub_gid_0_single_true_output_csv[[#This Row],[NAMA]],Table7[],3,FALSE))</f>
        <v/>
      </c>
    </row>
    <row r="1574" spans="1:37" x14ac:dyDescent="0.2">
      <c r="A1574">
        <v>1573</v>
      </c>
      <c r="B1574" t="s">
        <v>286</v>
      </c>
      <c r="C1574" t="s">
        <v>54</v>
      </c>
      <c r="D1574" t="s">
        <v>33</v>
      </c>
      <c r="E1574" t="s">
        <v>140</v>
      </c>
      <c r="F1574" s="25">
        <v>46058</v>
      </c>
      <c r="G1574" t="s">
        <v>346</v>
      </c>
      <c r="H1574" t="s">
        <v>412</v>
      </c>
      <c r="I1574" t="s">
        <v>371</v>
      </c>
      <c r="J1574" t="s">
        <v>41</v>
      </c>
      <c r="K1574" t="s">
        <v>365</v>
      </c>
      <c r="L1574" t="s">
        <v>322</v>
      </c>
      <c r="M1574" t="s">
        <v>141</v>
      </c>
      <c r="N1574" t="s">
        <v>142</v>
      </c>
      <c r="O1574" t="s">
        <v>155</v>
      </c>
      <c r="P1574" t="s">
        <v>281</v>
      </c>
      <c r="Q1574" t="s">
        <v>155</v>
      </c>
      <c r="R1574" t="s">
        <v>273</v>
      </c>
      <c r="S1574" t="s">
        <v>309</v>
      </c>
      <c r="T1574">
        <v>1</v>
      </c>
      <c r="U1574" t="s">
        <v>393</v>
      </c>
      <c r="V1574" t="s">
        <v>285</v>
      </c>
      <c r="W1574" t="s">
        <v>394</v>
      </c>
      <c r="X1574" t="s">
        <v>306</v>
      </c>
      <c r="Y1574" t="s">
        <v>307</v>
      </c>
      <c r="Z1574">
        <v>65</v>
      </c>
      <c r="AA1574">
        <v>0</v>
      </c>
      <c r="AB1574" t="s">
        <v>151</v>
      </c>
      <c r="AC1574" t="s">
        <v>52</v>
      </c>
      <c r="AD1574" t="s">
        <v>278</v>
      </c>
      <c r="AE1574" t="str">
        <f>IF(AF1574="","",VLOOKUP(AC1574,mapel!$A$2:$B$42,2,FALSE))</f>
        <v/>
      </c>
      <c r="AF1574" t="str">
        <f t="shared" si="72"/>
        <v/>
      </c>
      <c r="AG1574" t="str">
        <f>IF(AF1574="","",IF(AF1574&gt;90,"Sangat baik",IF(AF1574&gt;79,"Baik",IF(AF1574&gt;=pub_gid_0_single_true_output_csv[[#This Row],[KKM]],"Cukup","Kurang"))))</f>
        <v/>
      </c>
      <c r="AH1574" t="str">
        <f t="shared" si="73"/>
        <v/>
      </c>
      <c r="AI1574" s="30" t="str">
        <f>IF(OR(J1574&lt;&gt;"Karakter",pub_gid_0_single_true_output_csv[[#This Row],[Nilai2]]=""),"",IF(AF1574&gt;89,"Sangat baik",IF(AF1574&gt;79,"Baik",IF(AF1574&gt;69,"Cukup",IF(AF1574&gt;59,"Kurang","Sangat kurang")))))</f>
        <v/>
      </c>
      <c r="AJ1574" t="str">
        <f t="shared" si="74"/>
        <v/>
      </c>
      <c r="AK1574" t="str">
        <f>IF(pub_gid_0_single_true_output_csv[[#This Row],[Nilai2]]="","",VLOOKUP(pub_gid_0_single_true_output_csv[[#This Row],[NAMA]],Table7[],3,FALSE))</f>
        <v/>
      </c>
    </row>
    <row r="1575" spans="1:37" x14ac:dyDescent="0.2">
      <c r="A1575">
        <v>1574</v>
      </c>
      <c r="B1575" t="s">
        <v>286</v>
      </c>
      <c r="C1575" t="s">
        <v>54</v>
      </c>
      <c r="D1575" t="s">
        <v>33</v>
      </c>
      <c r="E1575" t="s">
        <v>140</v>
      </c>
      <c r="F1575" s="25">
        <v>46063</v>
      </c>
      <c r="G1575" t="s">
        <v>374</v>
      </c>
      <c r="H1575" t="s">
        <v>412</v>
      </c>
      <c r="I1575" t="s">
        <v>371</v>
      </c>
      <c r="J1575" t="s">
        <v>36</v>
      </c>
      <c r="K1575" t="s">
        <v>153</v>
      </c>
      <c r="L1575" t="s">
        <v>395</v>
      </c>
      <c r="M1575" t="s">
        <v>141</v>
      </c>
      <c r="N1575" t="s">
        <v>142</v>
      </c>
      <c r="O1575" t="s">
        <v>155</v>
      </c>
      <c r="P1575" t="s">
        <v>281</v>
      </c>
      <c r="Q1575" t="s">
        <v>155</v>
      </c>
      <c r="R1575" t="s">
        <v>273</v>
      </c>
      <c r="S1575" t="s">
        <v>309</v>
      </c>
      <c r="T1575">
        <v>1</v>
      </c>
      <c r="U1575" t="s">
        <v>393</v>
      </c>
      <c r="V1575" t="s">
        <v>285</v>
      </c>
      <c r="W1575" t="s">
        <v>394</v>
      </c>
      <c r="X1575" t="s">
        <v>306</v>
      </c>
      <c r="Y1575" t="s">
        <v>307</v>
      </c>
      <c r="Z1575">
        <v>65</v>
      </c>
      <c r="AA1575">
        <v>0</v>
      </c>
      <c r="AB1575" t="s">
        <v>151</v>
      </c>
      <c r="AC1575" t="s">
        <v>52</v>
      </c>
      <c r="AD1575" t="s">
        <v>278</v>
      </c>
      <c r="AE1575" t="str">
        <f>IF(AF1575="","",VLOOKUP(AC1575,mapel!$A$2:$B$42,2,FALSE))</f>
        <v/>
      </c>
      <c r="AF1575" t="str">
        <f t="shared" si="72"/>
        <v/>
      </c>
      <c r="AG1575" t="str">
        <f>IF(AF1575="","",IF(AF1575&gt;90,"Sangat baik",IF(AF1575&gt;79,"Baik",IF(AF1575&gt;=pub_gid_0_single_true_output_csv[[#This Row],[KKM]],"Cukup","Kurang"))))</f>
        <v/>
      </c>
      <c r="AH1575" t="str">
        <f t="shared" si="73"/>
        <v/>
      </c>
      <c r="AI1575" s="30" t="str">
        <f>IF(OR(J1575&lt;&gt;"Karakter",pub_gid_0_single_true_output_csv[[#This Row],[Nilai2]]=""),"",IF(AF1575&gt;89,"Sangat baik",IF(AF1575&gt;79,"Baik",IF(AF1575&gt;69,"Cukup",IF(AF1575&gt;59,"Kurang","Sangat kurang")))))</f>
        <v/>
      </c>
      <c r="AJ1575" t="str">
        <f t="shared" si="74"/>
        <v/>
      </c>
      <c r="AK1575" t="str">
        <f>IF(pub_gid_0_single_true_output_csv[[#This Row],[Nilai2]]="","",VLOOKUP(pub_gid_0_single_true_output_csv[[#This Row],[NAMA]],Table7[],3,FALSE))</f>
        <v/>
      </c>
    </row>
    <row r="1576" spans="1:37" x14ac:dyDescent="0.2">
      <c r="A1576">
        <v>1575</v>
      </c>
      <c r="B1576" t="s">
        <v>286</v>
      </c>
      <c r="C1576" t="s">
        <v>54</v>
      </c>
      <c r="D1576" t="s">
        <v>33</v>
      </c>
      <c r="E1576" t="s">
        <v>140</v>
      </c>
      <c r="F1576" s="25">
        <v>46064</v>
      </c>
      <c r="G1576" t="s">
        <v>352</v>
      </c>
      <c r="H1576" t="s">
        <v>412</v>
      </c>
      <c r="I1576" t="s">
        <v>371</v>
      </c>
      <c r="J1576" t="s">
        <v>31</v>
      </c>
      <c r="K1576" t="s">
        <v>32</v>
      </c>
      <c r="L1576" t="s">
        <v>395</v>
      </c>
      <c r="M1576" t="s">
        <v>141</v>
      </c>
      <c r="N1576" t="s">
        <v>142</v>
      </c>
      <c r="O1576" t="s">
        <v>155</v>
      </c>
      <c r="P1576" t="s">
        <v>281</v>
      </c>
      <c r="Q1576" t="s">
        <v>155</v>
      </c>
      <c r="R1576" t="s">
        <v>273</v>
      </c>
      <c r="S1576" t="s">
        <v>309</v>
      </c>
      <c r="T1576">
        <v>1</v>
      </c>
      <c r="U1576" t="s">
        <v>393</v>
      </c>
      <c r="V1576" t="s">
        <v>285</v>
      </c>
      <c r="W1576" t="s">
        <v>394</v>
      </c>
      <c r="X1576" t="s">
        <v>306</v>
      </c>
      <c r="Y1576" t="s">
        <v>307</v>
      </c>
      <c r="Z1576">
        <v>65</v>
      </c>
      <c r="AA1576">
        <v>0</v>
      </c>
      <c r="AB1576" t="s">
        <v>151</v>
      </c>
      <c r="AC1576" t="s">
        <v>52</v>
      </c>
      <c r="AD1576" t="s">
        <v>278</v>
      </c>
      <c r="AE1576" t="str">
        <f>IF(AF1576="","",VLOOKUP(AC1576,mapel!$A$2:$B$42,2,FALSE))</f>
        <v/>
      </c>
      <c r="AF1576" t="str">
        <f t="shared" si="72"/>
        <v/>
      </c>
      <c r="AG1576" t="str">
        <f>IF(AF1576="","",IF(AF1576&gt;90,"Sangat baik",IF(AF1576&gt;79,"Baik",IF(AF1576&gt;=pub_gid_0_single_true_output_csv[[#This Row],[KKM]],"Cukup","Kurang"))))</f>
        <v/>
      </c>
      <c r="AH1576" t="str">
        <f t="shared" si="73"/>
        <v/>
      </c>
      <c r="AI1576" s="30" t="str">
        <f>IF(OR(J1576&lt;&gt;"Karakter",pub_gid_0_single_true_output_csv[[#This Row],[Nilai2]]=""),"",IF(AF1576&gt;89,"Sangat baik",IF(AF1576&gt;79,"Baik",IF(AF1576&gt;69,"Cukup",IF(AF1576&gt;59,"Kurang","Sangat kurang")))))</f>
        <v/>
      </c>
      <c r="AJ1576" t="str">
        <f t="shared" si="74"/>
        <v/>
      </c>
      <c r="AK1576" t="str">
        <f>IF(pub_gid_0_single_true_output_csv[[#This Row],[Nilai2]]="","",VLOOKUP(pub_gid_0_single_true_output_csv[[#This Row],[NAMA]],Table7[],3,FALSE))</f>
        <v/>
      </c>
    </row>
    <row r="1577" spans="1:37" x14ac:dyDescent="0.2">
      <c r="A1577">
        <v>1576</v>
      </c>
      <c r="B1577" t="s">
        <v>286</v>
      </c>
      <c r="C1577" t="s">
        <v>54</v>
      </c>
      <c r="D1577" t="s">
        <v>33</v>
      </c>
      <c r="E1577" t="s">
        <v>140</v>
      </c>
      <c r="F1577" s="25">
        <v>46065</v>
      </c>
      <c r="G1577" t="s">
        <v>354</v>
      </c>
      <c r="H1577" t="s">
        <v>412</v>
      </c>
      <c r="I1577" t="s">
        <v>371</v>
      </c>
      <c r="J1577" t="s">
        <v>41</v>
      </c>
      <c r="K1577" t="s">
        <v>365</v>
      </c>
      <c r="L1577" t="s">
        <v>322</v>
      </c>
      <c r="M1577" t="s">
        <v>141</v>
      </c>
      <c r="N1577" t="s">
        <v>142</v>
      </c>
      <c r="O1577" t="s">
        <v>155</v>
      </c>
      <c r="P1577" t="s">
        <v>281</v>
      </c>
      <c r="Q1577" t="s">
        <v>155</v>
      </c>
      <c r="R1577" t="s">
        <v>273</v>
      </c>
      <c r="S1577" t="s">
        <v>309</v>
      </c>
      <c r="T1577">
        <v>1</v>
      </c>
      <c r="U1577" t="s">
        <v>393</v>
      </c>
      <c r="V1577" t="s">
        <v>285</v>
      </c>
      <c r="W1577" t="s">
        <v>394</v>
      </c>
      <c r="X1577" t="s">
        <v>306</v>
      </c>
      <c r="Y1577" t="s">
        <v>307</v>
      </c>
      <c r="Z1577">
        <v>65</v>
      </c>
      <c r="AA1577">
        <v>0</v>
      </c>
      <c r="AB1577" t="s">
        <v>151</v>
      </c>
      <c r="AC1577" t="s">
        <v>52</v>
      </c>
      <c r="AD1577" t="s">
        <v>278</v>
      </c>
      <c r="AE1577" t="str">
        <f>IF(AF1577="","",VLOOKUP(AC1577,mapel!$A$2:$B$42,2,FALSE))</f>
        <v/>
      </c>
      <c r="AF1577" t="str">
        <f t="shared" si="72"/>
        <v/>
      </c>
      <c r="AG1577" t="str">
        <f>IF(AF1577="","",IF(AF1577&gt;90,"Sangat baik",IF(AF1577&gt;79,"Baik",IF(AF1577&gt;=pub_gid_0_single_true_output_csv[[#This Row],[KKM]],"Cukup","Kurang"))))</f>
        <v/>
      </c>
      <c r="AH1577" t="str">
        <f t="shared" si="73"/>
        <v/>
      </c>
      <c r="AI1577" s="30" t="str">
        <f>IF(OR(J1577&lt;&gt;"Karakter",pub_gid_0_single_true_output_csv[[#This Row],[Nilai2]]=""),"",IF(AF1577&gt;89,"Sangat baik",IF(AF1577&gt;79,"Baik",IF(AF1577&gt;69,"Cukup",IF(AF1577&gt;59,"Kurang","Sangat kurang")))))</f>
        <v/>
      </c>
      <c r="AJ1577" t="str">
        <f t="shared" si="74"/>
        <v/>
      </c>
      <c r="AK1577" t="str">
        <f>IF(pub_gid_0_single_true_output_csv[[#This Row],[Nilai2]]="","",VLOOKUP(pub_gid_0_single_true_output_csv[[#This Row],[NAMA]],Table7[],3,FALSE))</f>
        <v/>
      </c>
    </row>
    <row r="1578" spans="1:37" x14ac:dyDescent="0.2">
      <c r="A1578">
        <v>1577</v>
      </c>
      <c r="B1578" t="s">
        <v>286</v>
      </c>
      <c r="C1578" t="s">
        <v>54</v>
      </c>
      <c r="D1578" t="s">
        <v>33</v>
      </c>
      <c r="E1578" t="s">
        <v>140</v>
      </c>
      <c r="F1578" s="25">
        <v>46071</v>
      </c>
      <c r="G1578" t="s">
        <v>323</v>
      </c>
      <c r="H1578" t="s">
        <v>412</v>
      </c>
      <c r="I1578" t="s">
        <v>371</v>
      </c>
      <c r="J1578" t="s">
        <v>41</v>
      </c>
      <c r="K1578" t="s">
        <v>365</v>
      </c>
      <c r="L1578" t="s">
        <v>319</v>
      </c>
      <c r="M1578" t="s">
        <v>141</v>
      </c>
      <c r="N1578" t="s">
        <v>142</v>
      </c>
      <c r="O1578" t="s">
        <v>155</v>
      </c>
      <c r="P1578" t="s">
        <v>281</v>
      </c>
      <c r="Q1578" t="s">
        <v>155</v>
      </c>
      <c r="R1578" t="s">
        <v>273</v>
      </c>
      <c r="S1578" t="s">
        <v>470</v>
      </c>
      <c r="T1578">
        <v>4</v>
      </c>
      <c r="U1578" t="s">
        <v>471</v>
      </c>
      <c r="V1578" t="s">
        <v>472</v>
      </c>
      <c r="W1578" t="s">
        <v>473</v>
      </c>
      <c r="X1578" t="s">
        <v>306</v>
      </c>
      <c r="Y1578" t="s">
        <v>307</v>
      </c>
      <c r="Z1578">
        <v>65</v>
      </c>
      <c r="AA1578">
        <v>0</v>
      </c>
      <c r="AB1578" t="s">
        <v>151</v>
      </c>
      <c r="AC1578" t="s">
        <v>52</v>
      </c>
      <c r="AD1578" t="s">
        <v>278</v>
      </c>
      <c r="AE1578" t="str">
        <f>IF(AF1578="","",VLOOKUP(AC1578,mapel!$A$2:$B$42,2,FALSE))</f>
        <v/>
      </c>
      <c r="AF1578" t="str">
        <f t="shared" si="72"/>
        <v/>
      </c>
      <c r="AG1578" t="str">
        <f>IF(AF1578="","",IF(AF1578&gt;90,"Sangat baik",IF(AF1578&gt;79,"Baik",IF(AF1578&gt;=pub_gid_0_single_true_output_csv[[#This Row],[KKM]],"Cukup","Kurang"))))</f>
        <v/>
      </c>
      <c r="AH1578" t="str">
        <f t="shared" si="73"/>
        <v/>
      </c>
      <c r="AI1578" s="30" t="str">
        <f>IF(OR(J1578&lt;&gt;"Karakter",pub_gid_0_single_true_output_csv[[#This Row],[Nilai2]]=""),"",IF(AF1578&gt;89,"Sangat baik",IF(AF1578&gt;79,"Baik",IF(AF1578&gt;69,"Cukup",IF(AF1578&gt;59,"Kurang","Sangat kurang")))))</f>
        <v/>
      </c>
      <c r="AJ1578" t="str">
        <f t="shared" si="74"/>
        <v/>
      </c>
      <c r="AK1578" t="str">
        <f>IF(pub_gid_0_single_true_output_csv[[#This Row],[Nilai2]]="","",VLOOKUP(pub_gid_0_single_true_output_csv[[#This Row],[NAMA]],Table7[],3,FALSE))</f>
        <v/>
      </c>
    </row>
    <row r="1579" spans="1:37" x14ac:dyDescent="0.2">
      <c r="A1579">
        <v>1578</v>
      </c>
      <c r="B1579" t="s">
        <v>286</v>
      </c>
      <c r="C1579" t="s">
        <v>54</v>
      </c>
      <c r="D1579" t="s">
        <v>33</v>
      </c>
      <c r="E1579" t="s">
        <v>140</v>
      </c>
      <c r="F1579" s="25">
        <v>46077</v>
      </c>
      <c r="G1579" t="s">
        <v>476</v>
      </c>
      <c r="H1579" t="s">
        <v>412</v>
      </c>
      <c r="I1579" t="s">
        <v>371</v>
      </c>
      <c r="J1579" t="s">
        <v>41</v>
      </c>
      <c r="K1579" t="s">
        <v>365</v>
      </c>
      <c r="L1579" t="s">
        <v>319</v>
      </c>
      <c r="M1579" t="s">
        <v>141</v>
      </c>
      <c r="N1579" t="s">
        <v>142</v>
      </c>
      <c r="O1579" t="s">
        <v>155</v>
      </c>
      <c r="P1579" t="s">
        <v>281</v>
      </c>
      <c r="Q1579" t="s">
        <v>155</v>
      </c>
      <c r="R1579" t="s">
        <v>273</v>
      </c>
      <c r="S1579" t="s">
        <v>470</v>
      </c>
      <c r="T1579">
        <v>4</v>
      </c>
      <c r="U1579" t="s">
        <v>471</v>
      </c>
      <c r="V1579" t="s">
        <v>472</v>
      </c>
      <c r="W1579" t="s">
        <v>473</v>
      </c>
      <c r="X1579" t="s">
        <v>306</v>
      </c>
      <c r="Y1579" t="s">
        <v>307</v>
      </c>
      <c r="Z1579">
        <v>65</v>
      </c>
      <c r="AA1579">
        <v>0</v>
      </c>
      <c r="AB1579" t="s">
        <v>151</v>
      </c>
      <c r="AC1579" t="s">
        <v>52</v>
      </c>
      <c r="AD1579" t="s">
        <v>278</v>
      </c>
      <c r="AE1579" t="str">
        <f>IF(AF1579="","",VLOOKUP(AC1579,mapel!$A$2:$B$42,2,FALSE))</f>
        <v/>
      </c>
      <c r="AF1579" t="str">
        <f t="shared" si="72"/>
        <v/>
      </c>
      <c r="AG1579" t="str">
        <f>IF(AF1579="","",IF(AF1579&gt;90,"Sangat baik",IF(AF1579&gt;79,"Baik",IF(AF1579&gt;=pub_gid_0_single_true_output_csv[[#This Row],[KKM]],"Cukup","Kurang"))))</f>
        <v/>
      </c>
      <c r="AH1579" t="str">
        <f t="shared" si="73"/>
        <v/>
      </c>
      <c r="AI1579" s="30" t="str">
        <f>IF(OR(J1579&lt;&gt;"Karakter",pub_gid_0_single_true_output_csv[[#This Row],[Nilai2]]=""),"",IF(AF1579&gt;89,"Sangat baik",IF(AF1579&gt;79,"Baik",IF(AF1579&gt;69,"Cukup",IF(AF1579&gt;59,"Kurang","Sangat kurang")))))</f>
        <v/>
      </c>
      <c r="AJ1579" t="str">
        <f t="shared" si="74"/>
        <v/>
      </c>
      <c r="AK1579" t="str">
        <f>IF(pub_gid_0_single_true_output_csv[[#This Row],[Nilai2]]="","",VLOOKUP(pub_gid_0_single_true_output_csv[[#This Row],[NAMA]],Table7[],3,FALSE))</f>
        <v/>
      </c>
    </row>
    <row r="1580" spans="1:37" x14ac:dyDescent="0.2">
      <c r="A1580">
        <v>1579</v>
      </c>
      <c r="B1580" t="s">
        <v>286</v>
      </c>
      <c r="C1580" t="s">
        <v>54</v>
      </c>
      <c r="D1580" t="s">
        <v>33</v>
      </c>
      <c r="E1580" t="s">
        <v>140</v>
      </c>
      <c r="F1580" s="25">
        <v>46078</v>
      </c>
      <c r="G1580" t="s">
        <v>284</v>
      </c>
      <c r="H1580" t="s">
        <v>412</v>
      </c>
      <c r="I1580" t="s">
        <v>371</v>
      </c>
      <c r="J1580" t="s">
        <v>36</v>
      </c>
      <c r="K1580" t="s">
        <v>153</v>
      </c>
      <c r="L1580" t="s">
        <v>319</v>
      </c>
      <c r="M1580" t="s">
        <v>141</v>
      </c>
      <c r="N1580" t="s">
        <v>142</v>
      </c>
      <c r="O1580" t="s">
        <v>155</v>
      </c>
      <c r="P1580" t="s">
        <v>281</v>
      </c>
      <c r="Q1580" t="s">
        <v>155</v>
      </c>
      <c r="R1580" t="s">
        <v>273</v>
      </c>
      <c r="S1580" t="s">
        <v>470</v>
      </c>
      <c r="T1580">
        <v>4</v>
      </c>
      <c r="U1580" t="s">
        <v>471</v>
      </c>
      <c r="V1580" t="s">
        <v>472</v>
      </c>
      <c r="W1580" t="s">
        <v>473</v>
      </c>
      <c r="X1580" t="s">
        <v>306</v>
      </c>
      <c r="Y1580" t="s">
        <v>307</v>
      </c>
      <c r="Z1580">
        <v>65</v>
      </c>
      <c r="AA1580">
        <v>0</v>
      </c>
      <c r="AB1580" t="s">
        <v>151</v>
      </c>
      <c r="AC1580" t="s">
        <v>52</v>
      </c>
      <c r="AD1580" t="s">
        <v>278</v>
      </c>
      <c r="AE1580" t="str">
        <f>IF(AF1580="","",VLOOKUP(AC1580,mapel!$A$2:$B$42,2,FALSE))</f>
        <v/>
      </c>
      <c r="AF1580" t="str">
        <f t="shared" si="72"/>
        <v/>
      </c>
      <c r="AG1580" t="str">
        <f>IF(AF1580="","",IF(AF1580&gt;90,"Sangat baik",IF(AF1580&gt;79,"Baik",IF(AF1580&gt;=pub_gid_0_single_true_output_csv[[#This Row],[KKM]],"Cukup","Kurang"))))</f>
        <v/>
      </c>
      <c r="AH1580" t="str">
        <f t="shared" si="73"/>
        <v/>
      </c>
      <c r="AI1580" s="30" t="str">
        <f>IF(OR(J1580&lt;&gt;"Karakter",pub_gid_0_single_true_output_csv[[#This Row],[Nilai2]]=""),"",IF(AF1580&gt;89,"Sangat baik",IF(AF1580&gt;79,"Baik",IF(AF1580&gt;69,"Cukup",IF(AF1580&gt;59,"Kurang","Sangat kurang")))))</f>
        <v/>
      </c>
      <c r="AJ1580" t="str">
        <f t="shared" si="74"/>
        <v/>
      </c>
      <c r="AK1580" t="str">
        <f>IF(pub_gid_0_single_true_output_csv[[#This Row],[Nilai2]]="","",VLOOKUP(pub_gid_0_single_true_output_csv[[#This Row],[NAMA]],Table7[],3,FALSE))</f>
        <v/>
      </c>
    </row>
    <row r="1581" spans="1:37" x14ac:dyDescent="0.2">
      <c r="A1581">
        <v>1580</v>
      </c>
      <c r="B1581" t="s">
        <v>293</v>
      </c>
      <c r="C1581" t="s">
        <v>54</v>
      </c>
      <c r="D1581" t="s">
        <v>45</v>
      </c>
      <c r="E1581" t="s">
        <v>147</v>
      </c>
      <c r="F1581" s="25">
        <v>46035</v>
      </c>
      <c r="G1581" t="s">
        <v>358</v>
      </c>
      <c r="H1581" t="s">
        <v>405</v>
      </c>
      <c r="I1581" t="s">
        <v>371</v>
      </c>
      <c r="J1581" t="s">
        <v>41</v>
      </c>
      <c r="K1581" t="s">
        <v>365</v>
      </c>
      <c r="L1581" t="s">
        <v>322</v>
      </c>
      <c r="M1581" t="s">
        <v>141</v>
      </c>
      <c r="N1581" t="s">
        <v>142</v>
      </c>
      <c r="O1581" t="s">
        <v>155</v>
      </c>
      <c r="P1581" t="s">
        <v>281</v>
      </c>
      <c r="Q1581" t="s">
        <v>155</v>
      </c>
      <c r="R1581" t="s">
        <v>273</v>
      </c>
      <c r="S1581" t="s">
        <v>470</v>
      </c>
      <c r="T1581">
        <v>4</v>
      </c>
      <c r="U1581" t="s">
        <v>471</v>
      </c>
      <c r="V1581" t="s">
        <v>472</v>
      </c>
      <c r="W1581" t="s">
        <v>473</v>
      </c>
      <c r="X1581" t="s">
        <v>306</v>
      </c>
      <c r="Y1581" t="s">
        <v>307</v>
      </c>
      <c r="Z1581">
        <v>65</v>
      </c>
      <c r="AA1581">
        <v>90</v>
      </c>
      <c r="AB1581" t="s">
        <v>143</v>
      </c>
      <c r="AC1581" t="s">
        <v>52</v>
      </c>
      <c r="AD1581" t="s">
        <v>278</v>
      </c>
      <c r="AE1581" t="str">
        <f>IF(AF1581="","",VLOOKUP(AC1581,mapel!$A$2:$B$42,2,FALSE))</f>
        <v>Tepung</v>
      </c>
      <c r="AF1581">
        <f t="shared" si="72"/>
        <v>90</v>
      </c>
      <c r="AG1581" t="str">
        <f>IF(AF1581="","",IF(AF1581&gt;90,"Sangat baik",IF(AF1581&gt;79,"Baik",IF(AF1581&gt;=pub_gid_0_single_true_output_csv[[#This Row],[KKM]],"Cukup","Kurang"))))</f>
        <v>Baik</v>
      </c>
      <c r="AH1581">
        <f t="shared" si="73"/>
        <v>11</v>
      </c>
      <c r="AI1581" s="30" t="str">
        <f>IF(OR(J1581&lt;&gt;"Karakter",pub_gid_0_single_true_output_csv[[#This Row],[Nilai2]]=""),"",IF(AF1581&gt;89,"Sangat baik",IF(AF1581&gt;79,"Baik",IF(AF1581&gt;69,"Cukup",IF(AF1581&gt;59,"Kurang","Sangat kurang")))))</f>
        <v/>
      </c>
      <c r="AJ1581" t="str">
        <f t="shared" si="74"/>
        <v>Wk.3</v>
      </c>
      <c r="AK1581" t="str">
        <f>IF(pub_gid_0_single_true_output_csv[[#This Row],[Nilai2]]="","",VLOOKUP(pub_gid_0_single_true_output_csv[[#This Row],[NAMA]],Table7[],3,FALSE))</f>
        <v>High average</v>
      </c>
    </row>
    <row r="1582" spans="1:37" x14ac:dyDescent="0.2">
      <c r="A1582">
        <v>1581</v>
      </c>
      <c r="B1582" t="s">
        <v>293</v>
      </c>
      <c r="C1582" t="s">
        <v>54</v>
      </c>
      <c r="D1582" t="s">
        <v>45</v>
      </c>
      <c r="E1582" t="s">
        <v>147</v>
      </c>
      <c r="F1582" s="25">
        <v>46036</v>
      </c>
      <c r="G1582" t="s">
        <v>353</v>
      </c>
      <c r="H1582" t="s">
        <v>405</v>
      </c>
      <c r="I1582" t="s">
        <v>371</v>
      </c>
      <c r="J1582" t="s">
        <v>41</v>
      </c>
      <c r="K1582" t="s">
        <v>365</v>
      </c>
      <c r="L1582" t="s">
        <v>319</v>
      </c>
      <c r="M1582" t="s">
        <v>141</v>
      </c>
      <c r="N1582" t="s">
        <v>142</v>
      </c>
      <c r="O1582" t="s">
        <v>155</v>
      </c>
      <c r="P1582" t="s">
        <v>281</v>
      </c>
      <c r="Q1582" t="s">
        <v>155</v>
      </c>
      <c r="R1582" t="s">
        <v>273</v>
      </c>
      <c r="S1582" t="s">
        <v>470</v>
      </c>
      <c r="T1582">
        <v>4</v>
      </c>
      <c r="U1582" t="s">
        <v>471</v>
      </c>
      <c r="V1582" t="s">
        <v>472</v>
      </c>
      <c r="W1582" t="s">
        <v>473</v>
      </c>
      <c r="X1582" t="s">
        <v>306</v>
      </c>
      <c r="Y1582" t="s">
        <v>307</v>
      </c>
      <c r="Z1582">
        <v>65</v>
      </c>
      <c r="AA1582">
        <v>90</v>
      </c>
      <c r="AB1582" t="s">
        <v>143</v>
      </c>
      <c r="AC1582" t="s">
        <v>52</v>
      </c>
      <c r="AD1582" t="s">
        <v>278</v>
      </c>
      <c r="AE1582" t="str">
        <f>IF(AF1582="","",VLOOKUP(AC1582,mapel!$A$2:$B$42,2,FALSE))</f>
        <v>Tepung</v>
      </c>
      <c r="AF1582">
        <f t="shared" si="72"/>
        <v>90</v>
      </c>
      <c r="AG1582" t="str">
        <f>IF(AF1582="","",IF(AF1582&gt;90,"Sangat baik",IF(AF1582&gt;79,"Baik",IF(AF1582&gt;=pub_gid_0_single_true_output_csv[[#This Row],[KKM]],"Cukup","Kurang"))))</f>
        <v>Baik</v>
      </c>
      <c r="AH1582">
        <f t="shared" si="73"/>
        <v>11</v>
      </c>
      <c r="AI1582" s="30" t="str">
        <f>IF(OR(J1582&lt;&gt;"Karakter",pub_gid_0_single_true_output_csv[[#This Row],[Nilai2]]=""),"",IF(AF1582&gt;89,"Sangat baik",IF(AF1582&gt;79,"Baik",IF(AF1582&gt;69,"Cukup",IF(AF1582&gt;59,"Kurang","Sangat kurang")))))</f>
        <v/>
      </c>
      <c r="AJ1582" t="str">
        <f t="shared" si="74"/>
        <v>Wk.3</v>
      </c>
      <c r="AK1582" t="str">
        <f>IF(pub_gid_0_single_true_output_csv[[#This Row],[Nilai2]]="","",VLOOKUP(pub_gid_0_single_true_output_csv[[#This Row],[NAMA]],Table7[],3,FALSE))</f>
        <v>High average</v>
      </c>
    </row>
    <row r="1583" spans="1:37" x14ac:dyDescent="0.2">
      <c r="A1583">
        <v>1582</v>
      </c>
      <c r="B1583" t="s">
        <v>293</v>
      </c>
      <c r="C1583" t="s">
        <v>54</v>
      </c>
      <c r="D1583" t="s">
        <v>45</v>
      </c>
      <c r="E1583" t="s">
        <v>147</v>
      </c>
      <c r="F1583" s="25">
        <v>46037</v>
      </c>
      <c r="G1583" t="s">
        <v>356</v>
      </c>
      <c r="H1583" t="s">
        <v>405</v>
      </c>
      <c r="I1583" t="s">
        <v>371</v>
      </c>
      <c r="J1583" t="s">
        <v>36</v>
      </c>
      <c r="K1583" t="s">
        <v>37</v>
      </c>
      <c r="L1583" t="s">
        <v>383</v>
      </c>
      <c r="M1583" t="s">
        <v>141</v>
      </c>
      <c r="N1583" t="s">
        <v>142</v>
      </c>
      <c r="O1583" t="s">
        <v>155</v>
      </c>
      <c r="P1583" t="s">
        <v>281</v>
      </c>
      <c r="Q1583" t="s">
        <v>155</v>
      </c>
      <c r="R1583" t="s">
        <v>273</v>
      </c>
      <c r="S1583" t="s">
        <v>470</v>
      </c>
      <c r="T1583">
        <v>4</v>
      </c>
      <c r="U1583" t="s">
        <v>471</v>
      </c>
      <c r="V1583" t="s">
        <v>472</v>
      </c>
      <c r="W1583" t="s">
        <v>473</v>
      </c>
      <c r="X1583" t="s">
        <v>306</v>
      </c>
      <c r="Y1583" t="s">
        <v>307</v>
      </c>
      <c r="Z1583">
        <v>65</v>
      </c>
      <c r="AA1583">
        <v>85</v>
      </c>
      <c r="AB1583" t="s">
        <v>143</v>
      </c>
      <c r="AC1583" t="s">
        <v>52</v>
      </c>
      <c r="AD1583" t="s">
        <v>278</v>
      </c>
      <c r="AE1583" t="str">
        <f>IF(AF1583="","",VLOOKUP(AC1583,mapel!$A$2:$B$42,2,FALSE))</f>
        <v>Tepung</v>
      </c>
      <c r="AF1583">
        <f t="shared" si="72"/>
        <v>85</v>
      </c>
      <c r="AG1583" t="str">
        <f>IF(AF1583="","",IF(AF1583&gt;90,"Sangat baik",IF(AF1583&gt;79,"Baik",IF(AF1583&gt;=pub_gid_0_single_true_output_csv[[#This Row],[KKM]],"Cukup","Kurang"))))</f>
        <v>Baik</v>
      </c>
      <c r="AH1583">
        <f t="shared" si="73"/>
        <v>11</v>
      </c>
      <c r="AI1583" s="30" t="str">
        <f>IF(OR(J1583&lt;&gt;"Karakter",pub_gid_0_single_true_output_csv[[#This Row],[Nilai2]]=""),"",IF(AF1583&gt;89,"Sangat baik",IF(AF1583&gt;79,"Baik",IF(AF1583&gt;69,"Cukup",IF(AF1583&gt;59,"Kurang","Sangat kurang")))))</f>
        <v/>
      </c>
      <c r="AJ1583" t="str">
        <f t="shared" si="74"/>
        <v>Wk.3</v>
      </c>
      <c r="AK1583" t="str">
        <f>IF(pub_gid_0_single_true_output_csv[[#This Row],[Nilai2]]="","",VLOOKUP(pub_gid_0_single_true_output_csv[[#This Row],[NAMA]],Table7[],3,FALSE))</f>
        <v>High average</v>
      </c>
    </row>
    <row r="1584" spans="1:37" x14ac:dyDescent="0.2">
      <c r="A1584">
        <v>1583</v>
      </c>
      <c r="B1584" t="s">
        <v>293</v>
      </c>
      <c r="C1584" t="s">
        <v>54</v>
      </c>
      <c r="D1584" t="s">
        <v>45</v>
      </c>
      <c r="E1584" t="s">
        <v>147</v>
      </c>
      <c r="F1584" s="25">
        <v>46042</v>
      </c>
      <c r="G1584" t="s">
        <v>474</v>
      </c>
      <c r="H1584" t="s">
        <v>405</v>
      </c>
      <c r="I1584" t="s">
        <v>371</v>
      </c>
      <c r="J1584" t="s">
        <v>90</v>
      </c>
      <c r="K1584" t="s">
        <v>366</v>
      </c>
      <c r="L1584" t="s">
        <v>475</v>
      </c>
      <c r="M1584" t="s">
        <v>141</v>
      </c>
      <c r="N1584" t="s">
        <v>142</v>
      </c>
      <c r="O1584" t="s">
        <v>155</v>
      </c>
      <c r="P1584" t="s">
        <v>281</v>
      </c>
      <c r="Q1584" t="s">
        <v>155</v>
      </c>
      <c r="R1584" t="s">
        <v>273</v>
      </c>
      <c r="S1584" t="s">
        <v>470</v>
      </c>
      <c r="T1584">
        <v>4</v>
      </c>
      <c r="U1584" t="s">
        <v>471</v>
      </c>
      <c r="V1584" t="s">
        <v>472</v>
      </c>
      <c r="W1584" t="s">
        <v>473</v>
      </c>
      <c r="X1584" t="s">
        <v>306</v>
      </c>
      <c r="Y1584" t="s">
        <v>307</v>
      </c>
      <c r="Z1584">
        <v>65</v>
      </c>
      <c r="AA1584">
        <v>100</v>
      </c>
      <c r="AB1584" t="s">
        <v>143</v>
      </c>
      <c r="AC1584" t="s">
        <v>52</v>
      </c>
      <c r="AD1584" t="s">
        <v>278</v>
      </c>
      <c r="AE1584" t="str">
        <f>IF(AF1584="","",VLOOKUP(AC1584,mapel!$A$2:$B$42,2,FALSE))</f>
        <v>Tepung</v>
      </c>
      <c r="AF1584">
        <f t="shared" si="72"/>
        <v>100</v>
      </c>
      <c r="AG1584" t="str">
        <f>IF(AF1584="","",IF(AF1584&gt;90,"Sangat baik",IF(AF1584&gt;79,"Baik",IF(AF1584&gt;=pub_gid_0_single_true_output_csv[[#This Row],[KKM]],"Cukup","Kurang"))))</f>
        <v>Sangat baik</v>
      </c>
      <c r="AH1584">
        <f t="shared" si="73"/>
        <v>11</v>
      </c>
      <c r="AI1584" s="30" t="str">
        <f>IF(OR(J1584&lt;&gt;"Karakter",pub_gid_0_single_true_output_csv[[#This Row],[Nilai2]]=""),"",IF(AF1584&gt;89,"Sangat baik",IF(AF1584&gt;79,"Baik",IF(AF1584&gt;69,"Cukup",IF(AF1584&gt;59,"Kurang","Sangat kurang")))))</f>
        <v>Sangat baik</v>
      </c>
      <c r="AJ1584" t="str">
        <f t="shared" si="74"/>
        <v>Wk.4</v>
      </c>
      <c r="AK1584" t="str">
        <f>IF(pub_gid_0_single_true_output_csv[[#This Row],[Nilai2]]="","",VLOOKUP(pub_gid_0_single_true_output_csv[[#This Row],[NAMA]],Table7[],3,FALSE))</f>
        <v>High average</v>
      </c>
    </row>
    <row r="1585" spans="1:37" x14ac:dyDescent="0.2">
      <c r="A1585">
        <v>1584</v>
      </c>
      <c r="B1585" t="s">
        <v>293</v>
      </c>
      <c r="C1585" t="s">
        <v>54</v>
      </c>
      <c r="D1585" t="s">
        <v>45</v>
      </c>
      <c r="E1585" t="s">
        <v>147</v>
      </c>
      <c r="F1585" s="25">
        <v>46051</v>
      </c>
      <c r="G1585" t="s">
        <v>320</v>
      </c>
      <c r="H1585" t="s">
        <v>405</v>
      </c>
      <c r="I1585" t="s">
        <v>371</v>
      </c>
      <c r="J1585" t="s">
        <v>41</v>
      </c>
      <c r="K1585" t="s">
        <v>365</v>
      </c>
      <c r="L1585" t="s">
        <v>319</v>
      </c>
      <c r="M1585" t="s">
        <v>141</v>
      </c>
      <c r="N1585" t="s">
        <v>142</v>
      </c>
      <c r="O1585" t="s">
        <v>155</v>
      </c>
      <c r="P1585" t="s">
        <v>281</v>
      </c>
      <c r="Q1585" t="s">
        <v>155</v>
      </c>
      <c r="R1585" t="s">
        <v>273</v>
      </c>
      <c r="S1585" t="s">
        <v>470</v>
      </c>
      <c r="T1585">
        <v>4</v>
      </c>
      <c r="U1585" t="s">
        <v>471</v>
      </c>
      <c r="V1585" t="s">
        <v>472</v>
      </c>
      <c r="W1585" t="s">
        <v>473</v>
      </c>
      <c r="X1585" t="s">
        <v>306</v>
      </c>
      <c r="Y1585" t="s">
        <v>307</v>
      </c>
      <c r="Z1585">
        <v>65</v>
      </c>
      <c r="AA1585">
        <v>80</v>
      </c>
      <c r="AB1585" t="s">
        <v>143</v>
      </c>
      <c r="AC1585" t="s">
        <v>52</v>
      </c>
      <c r="AD1585" t="s">
        <v>278</v>
      </c>
      <c r="AE1585" t="str">
        <f>IF(AF1585="","",VLOOKUP(AC1585,mapel!$A$2:$B$42,2,FALSE))</f>
        <v>Tepung</v>
      </c>
      <c r="AF1585">
        <f t="shared" si="72"/>
        <v>80</v>
      </c>
      <c r="AG1585" t="str">
        <f>IF(AF1585="","",IF(AF1585&gt;90,"Sangat baik",IF(AF1585&gt;79,"Baik",IF(AF1585&gt;=pub_gid_0_single_true_output_csv[[#This Row],[KKM]],"Cukup","Kurang"))))</f>
        <v>Baik</v>
      </c>
      <c r="AH1585">
        <f t="shared" si="73"/>
        <v>11</v>
      </c>
      <c r="AI1585" s="30" t="str">
        <f>IF(OR(J1585&lt;&gt;"Karakter",pub_gid_0_single_true_output_csv[[#This Row],[Nilai2]]=""),"",IF(AF1585&gt;89,"Sangat baik",IF(AF1585&gt;79,"Baik",IF(AF1585&gt;69,"Cukup",IF(AF1585&gt;59,"Kurang","Sangat kurang")))))</f>
        <v/>
      </c>
      <c r="AJ1585" t="str">
        <f t="shared" si="74"/>
        <v>Wk.5</v>
      </c>
      <c r="AK1585" t="str">
        <f>IF(pub_gid_0_single_true_output_csv[[#This Row],[Nilai2]]="","",VLOOKUP(pub_gid_0_single_true_output_csv[[#This Row],[NAMA]],Table7[],3,FALSE))</f>
        <v>High average</v>
      </c>
    </row>
    <row r="1586" spans="1:37" x14ac:dyDescent="0.2">
      <c r="A1586">
        <v>1585</v>
      </c>
      <c r="B1586" t="s">
        <v>293</v>
      </c>
      <c r="C1586" t="s">
        <v>54</v>
      </c>
      <c r="D1586" t="s">
        <v>45</v>
      </c>
      <c r="E1586" t="s">
        <v>147</v>
      </c>
      <c r="F1586" s="25">
        <v>46056</v>
      </c>
      <c r="G1586" t="s">
        <v>372</v>
      </c>
      <c r="H1586" t="s">
        <v>412</v>
      </c>
      <c r="I1586" t="s">
        <v>371</v>
      </c>
      <c r="J1586" t="s">
        <v>41</v>
      </c>
      <c r="K1586" t="s">
        <v>365</v>
      </c>
      <c r="L1586" t="s">
        <v>322</v>
      </c>
      <c r="M1586" t="s">
        <v>141</v>
      </c>
      <c r="N1586" t="s">
        <v>142</v>
      </c>
      <c r="O1586" t="s">
        <v>155</v>
      </c>
      <c r="P1586" t="s">
        <v>281</v>
      </c>
      <c r="Q1586" t="s">
        <v>155</v>
      </c>
      <c r="R1586" t="s">
        <v>273</v>
      </c>
      <c r="S1586" t="s">
        <v>309</v>
      </c>
      <c r="T1586">
        <v>1</v>
      </c>
      <c r="U1586" t="s">
        <v>393</v>
      </c>
      <c r="V1586" t="s">
        <v>285</v>
      </c>
      <c r="W1586" t="s">
        <v>394</v>
      </c>
      <c r="X1586" t="s">
        <v>306</v>
      </c>
      <c r="Y1586" t="s">
        <v>307</v>
      </c>
      <c r="Z1586">
        <v>65</v>
      </c>
      <c r="AA1586">
        <v>78</v>
      </c>
      <c r="AB1586" t="s">
        <v>143</v>
      </c>
      <c r="AC1586" t="s">
        <v>52</v>
      </c>
      <c r="AD1586" t="s">
        <v>278</v>
      </c>
      <c r="AE1586" t="str">
        <f>IF(AF1586="","",VLOOKUP(AC1586,mapel!$A$2:$B$42,2,FALSE))</f>
        <v>Tepung</v>
      </c>
      <c r="AF1586">
        <f t="shared" si="72"/>
        <v>78</v>
      </c>
      <c r="AG1586" t="str">
        <f>IF(AF1586="","",IF(AF1586&gt;90,"Sangat baik",IF(AF1586&gt;79,"Baik",IF(AF1586&gt;=pub_gid_0_single_true_output_csv[[#This Row],[KKM]],"Cukup","Kurang"))))</f>
        <v>Cukup</v>
      </c>
      <c r="AH1586">
        <f t="shared" si="73"/>
        <v>11</v>
      </c>
      <c r="AI1586" s="30" t="str">
        <f>IF(OR(J1586&lt;&gt;"Karakter",pub_gid_0_single_true_output_csv[[#This Row],[Nilai2]]=""),"",IF(AF1586&gt;89,"Sangat baik",IF(AF1586&gt;79,"Baik",IF(AF1586&gt;69,"Cukup",IF(AF1586&gt;59,"Kurang","Sangat kurang")))))</f>
        <v/>
      </c>
      <c r="AJ1586" t="str">
        <f t="shared" si="74"/>
        <v>Wk.6</v>
      </c>
      <c r="AK1586" t="str">
        <f>IF(pub_gid_0_single_true_output_csv[[#This Row],[Nilai2]]="","",VLOOKUP(pub_gid_0_single_true_output_csv[[#This Row],[NAMA]],Table7[],3,FALSE))</f>
        <v>High average</v>
      </c>
    </row>
    <row r="1587" spans="1:37" x14ac:dyDescent="0.2">
      <c r="A1587">
        <v>1586</v>
      </c>
      <c r="B1587" t="s">
        <v>293</v>
      </c>
      <c r="C1587" t="s">
        <v>54</v>
      </c>
      <c r="D1587" t="s">
        <v>45</v>
      </c>
      <c r="E1587" t="s">
        <v>147</v>
      </c>
      <c r="F1587" s="25">
        <v>46057</v>
      </c>
      <c r="G1587" t="s">
        <v>348</v>
      </c>
      <c r="H1587" t="s">
        <v>412</v>
      </c>
      <c r="I1587" t="s">
        <v>371</v>
      </c>
      <c r="J1587" t="s">
        <v>36</v>
      </c>
      <c r="K1587" t="s">
        <v>153</v>
      </c>
      <c r="L1587" t="s">
        <v>395</v>
      </c>
      <c r="M1587" t="s">
        <v>141</v>
      </c>
      <c r="N1587" t="s">
        <v>142</v>
      </c>
      <c r="O1587" t="s">
        <v>155</v>
      </c>
      <c r="P1587" t="s">
        <v>281</v>
      </c>
      <c r="Q1587" t="s">
        <v>155</v>
      </c>
      <c r="R1587" t="s">
        <v>273</v>
      </c>
      <c r="S1587" t="s">
        <v>309</v>
      </c>
      <c r="T1587">
        <v>1</v>
      </c>
      <c r="U1587" t="s">
        <v>393</v>
      </c>
      <c r="V1587" t="s">
        <v>285</v>
      </c>
      <c r="W1587" t="s">
        <v>394</v>
      </c>
      <c r="X1587" t="s">
        <v>306</v>
      </c>
      <c r="Y1587" t="s">
        <v>307</v>
      </c>
      <c r="Z1587">
        <v>65</v>
      </c>
      <c r="AA1587">
        <v>78</v>
      </c>
      <c r="AB1587" t="s">
        <v>143</v>
      </c>
      <c r="AC1587" t="s">
        <v>52</v>
      </c>
      <c r="AD1587" t="s">
        <v>278</v>
      </c>
      <c r="AE1587" t="str">
        <f>IF(AF1587="","",VLOOKUP(AC1587,mapel!$A$2:$B$42,2,FALSE))</f>
        <v>Tepung</v>
      </c>
      <c r="AF1587">
        <f t="shared" si="72"/>
        <v>78</v>
      </c>
      <c r="AG1587" t="str">
        <f>IF(AF1587="","",IF(AF1587&gt;90,"Sangat baik",IF(AF1587&gt;79,"Baik",IF(AF1587&gt;=pub_gid_0_single_true_output_csv[[#This Row],[KKM]],"Cukup","Kurang"))))</f>
        <v>Cukup</v>
      </c>
      <c r="AH1587">
        <f t="shared" si="73"/>
        <v>11</v>
      </c>
      <c r="AI1587" s="30" t="str">
        <f>IF(OR(J1587&lt;&gt;"Karakter",pub_gid_0_single_true_output_csv[[#This Row],[Nilai2]]=""),"",IF(AF1587&gt;89,"Sangat baik",IF(AF1587&gt;79,"Baik",IF(AF1587&gt;69,"Cukup",IF(AF1587&gt;59,"Kurang","Sangat kurang")))))</f>
        <v/>
      </c>
      <c r="AJ1587" t="str">
        <f t="shared" si="74"/>
        <v>Wk.6</v>
      </c>
      <c r="AK1587" t="str">
        <f>IF(pub_gid_0_single_true_output_csv[[#This Row],[Nilai2]]="","",VLOOKUP(pub_gid_0_single_true_output_csv[[#This Row],[NAMA]],Table7[],3,FALSE))</f>
        <v>High average</v>
      </c>
    </row>
    <row r="1588" spans="1:37" x14ac:dyDescent="0.2">
      <c r="A1588">
        <v>1587</v>
      </c>
      <c r="B1588" t="s">
        <v>293</v>
      </c>
      <c r="C1588" t="s">
        <v>54</v>
      </c>
      <c r="D1588" t="s">
        <v>45</v>
      </c>
      <c r="E1588" t="s">
        <v>147</v>
      </c>
      <c r="F1588" s="25">
        <v>46058</v>
      </c>
      <c r="G1588" t="s">
        <v>346</v>
      </c>
      <c r="H1588" t="s">
        <v>412</v>
      </c>
      <c r="I1588" t="s">
        <v>371</v>
      </c>
      <c r="J1588" t="s">
        <v>41</v>
      </c>
      <c r="K1588" t="s">
        <v>365</v>
      </c>
      <c r="L1588" t="s">
        <v>322</v>
      </c>
      <c r="M1588" t="s">
        <v>141</v>
      </c>
      <c r="N1588" t="s">
        <v>142</v>
      </c>
      <c r="O1588" t="s">
        <v>155</v>
      </c>
      <c r="P1588" t="s">
        <v>281</v>
      </c>
      <c r="Q1588" t="s">
        <v>155</v>
      </c>
      <c r="R1588" t="s">
        <v>273</v>
      </c>
      <c r="S1588" t="s">
        <v>309</v>
      </c>
      <c r="T1588">
        <v>1</v>
      </c>
      <c r="U1588" t="s">
        <v>393</v>
      </c>
      <c r="V1588" t="s">
        <v>285</v>
      </c>
      <c r="W1588" t="s">
        <v>394</v>
      </c>
      <c r="X1588" t="s">
        <v>306</v>
      </c>
      <c r="Y1588" t="s">
        <v>307</v>
      </c>
      <c r="Z1588">
        <v>65</v>
      </c>
      <c r="AA1588">
        <v>78</v>
      </c>
      <c r="AB1588" t="s">
        <v>143</v>
      </c>
      <c r="AC1588" t="s">
        <v>52</v>
      </c>
      <c r="AD1588" t="s">
        <v>278</v>
      </c>
      <c r="AE1588" t="str">
        <f>IF(AF1588="","",VLOOKUP(AC1588,mapel!$A$2:$B$42,2,FALSE))</f>
        <v>Tepung</v>
      </c>
      <c r="AF1588">
        <f t="shared" si="72"/>
        <v>78</v>
      </c>
      <c r="AG1588" t="str">
        <f>IF(AF1588="","",IF(AF1588&gt;90,"Sangat baik",IF(AF1588&gt;79,"Baik",IF(AF1588&gt;=pub_gid_0_single_true_output_csv[[#This Row],[KKM]],"Cukup","Kurang"))))</f>
        <v>Cukup</v>
      </c>
      <c r="AH1588">
        <f t="shared" si="73"/>
        <v>11</v>
      </c>
      <c r="AI1588" s="30" t="str">
        <f>IF(OR(J1588&lt;&gt;"Karakter",pub_gid_0_single_true_output_csv[[#This Row],[Nilai2]]=""),"",IF(AF1588&gt;89,"Sangat baik",IF(AF1588&gt;79,"Baik",IF(AF1588&gt;69,"Cukup",IF(AF1588&gt;59,"Kurang","Sangat kurang")))))</f>
        <v/>
      </c>
      <c r="AJ1588" t="str">
        <f t="shared" si="74"/>
        <v>Wk.6</v>
      </c>
      <c r="AK1588" t="str">
        <f>IF(pub_gid_0_single_true_output_csv[[#This Row],[Nilai2]]="","",VLOOKUP(pub_gid_0_single_true_output_csv[[#This Row],[NAMA]],Table7[],3,FALSE))</f>
        <v>High average</v>
      </c>
    </row>
    <row r="1589" spans="1:37" x14ac:dyDescent="0.2">
      <c r="A1589">
        <v>1588</v>
      </c>
      <c r="B1589" t="s">
        <v>293</v>
      </c>
      <c r="C1589" t="s">
        <v>54</v>
      </c>
      <c r="D1589" t="s">
        <v>45</v>
      </c>
      <c r="E1589" t="s">
        <v>147</v>
      </c>
      <c r="F1589" s="25">
        <v>46063</v>
      </c>
      <c r="G1589" t="s">
        <v>374</v>
      </c>
      <c r="H1589" t="s">
        <v>412</v>
      </c>
      <c r="I1589" t="s">
        <v>371</v>
      </c>
      <c r="J1589" t="s">
        <v>36</v>
      </c>
      <c r="K1589" t="s">
        <v>153</v>
      </c>
      <c r="L1589" t="s">
        <v>395</v>
      </c>
      <c r="M1589" t="s">
        <v>141</v>
      </c>
      <c r="N1589" t="s">
        <v>142</v>
      </c>
      <c r="O1589" t="s">
        <v>155</v>
      </c>
      <c r="P1589" t="s">
        <v>281</v>
      </c>
      <c r="Q1589" t="s">
        <v>155</v>
      </c>
      <c r="R1589" t="s">
        <v>273</v>
      </c>
      <c r="S1589" t="s">
        <v>309</v>
      </c>
      <c r="T1589">
        <v>1</v>
      </c>
      <c r="U1589" t="s">
        <v>393</v>
      </c>
      <c r="V1589" t="s">
        <v>285</v>
      </c>
      <c r="W1589" t="s">
        <v>394</v>
      </c>
      <c r="X1589" t="s">
        <v>306</v>
      </c>
      <c r="Y1589" t="s">
        <v>307</v>
      </c>
      <c r="Z1589">
        <v>65</v>
      </c>
      <c r="AA1589">
        <v>78</v>
      </c>
      <c r="AB1589" t="s">
        <v>143</v>
      </c>
      <c r="AC1589" t="s">
        <v>52</v>
      </c>
      <c r="AD1589" t="s">
        <v>278</v>
      </c>
      <c r="AE1589" t="str">
        <f>IF(AF1589="","",VLOOKUP(AC1589,mapel!$A$2:$B$42,2,FALSE))</f>
        <v>Tepung</v>
      </c>
      <c r="AF1589">
        <f t="shared" si="72"/>
        <v>78</v>
      </c>
      <c r="AG1589" t="str">
        <f>IF(AF1589="","",IF(AF1589&gt;90,"Sangat baik",IF(AF1589&gt;79,"Baik",IF(AF1589&gt;=pub_gid_0_single_true_output_csv[[#This Row],[KKM]],"Cukup","Kurang"))))</f>
        <v>Cukup</v>
      </c>
      <c r="AH1589">
        <f t="shared" si="73"/>
        <v>11</v>
      </c>
      <c r="AI1589" s="30" t="str">
        <f>IF(OR(J1589&lt;&gt;"Karakter",pub_gid_0_single_true_output_csv[[#This Row],[Nilai2]]=""),"",IF(AF1589&gt;89,"Sangat baik",IF(AF1589&gt;79,"Baik",IF(AF1589&gt;69,"Cukup",IF(AF1589&gt;59,"Kurang","Sangat kurang")))))</f>
        <v/>
      </c>
      <c r="AJ1589" t="str">
        <f t="shared" si="74"/>
        <v>Wk.7</v>
      </c>
      <c r="AK1589" t="str">
        <f>IF(pub_gid_0_single_true_output_csv[[#This Row],[Nilai2]]="","",VLOOKUP(pub_gid_0_single_true_output_csv[[#This Row],[NAMA]],Table7[],3,FALSE))</f>
        <v>High average</v>
      </c>
    </row>
    <row r="1590" spans="1:37" x14ac:dyDescent="0.2">
      <c r="A1590">
        <v>1589</v>
      </c>
      <c r="B1590" t="s">
        <v>293</v>
      </c>
      <c r="C1590" t="s">
        <v>54</v>
      </c>
      <c r="D1590" t="s">
        <v>45</v>
      </c>
      <c r="E1590" t="s">
        <v>147</v>
      </c>
      <c r="F1590" s="25">
        <v>46064</v>
      </c>
      <c r="G1590" t="s">
        <v>352</v>
      </c>
      <c r="H1590" t="s">
        <v>412</v>
      </c>
      <c r="I1590" t="s">
        <v>371</v>
      </c>
      <c r="J1590" t="s">
        <v>31</v>
      </c>
      <c r="K1590" t="s">
        <v>32</v>
      </c>
      <c r="L1590" t="s">
        <v>395</v>
      </c>
      <c r="M1590" t="s">
        <v>141</v>
      </c>
      <c r="N1590" t="s">
        <v>142</v>
      </c>
      <c r="O1590" t="s">
        <v>155</v>
      </c>
      <c r="P1590" t="s">
        <v>281</v>
      </c>
      <c r="Q1590" t="s">
        <v>155</v>
      </c>
      <c r="R1590" t="s">
        <v>273</v>
      </c>
      <c r="S1590" t="s">
        <v>309</v>
      </c>
      <c r="T1590">
        <v>1</v>
      </c>
      <c r="U1590" t="s">
        <v>393</v>
      </c>
      <c r="V1590" t="s">
        <v>285</v>
      </c>
      <c r="W1590" t="s">
        <v>394</v>
      </c>
      <c r="X1590" t="s">
        <v>306</v>
      </c>
      <c r="Y1590" t="s">
        <v>307</v>
      </c>
      <c r="Z1590">
        <v>65</v>
      </c>
      <c r="AA1590">
        <v>78</v>
      </c>
      <c r="AB1590" t="s">
        <v>143</v>
      </c>
      <c r="AC1590" t="s">
        <v>52</v>
      </c>
      <c r="AD1590" t="s">
        <v>278</v>
      </c>
      <c r="AE1590" t="str">
        <f>IF(AF1590="","",VLOOKUP(AC1590,mapel!$A$2:$B$42,2,FALSE))</f>
        <v>Tepung</v>
      </c>
      <c r="AF1590">
        <f t="shared" si="72"/>
        <v>78</v>
      </c>
      <c r="AG1590" t="str">
        <f>IF(AF1590="","",IF(AF1590&gt;90,"Sangat baik",IF(AF1590&gt;79,"Baik",IF(AF1590&gt;=pub_gid_0_single_true_output_csv[[#This Row],[KKM]],"Cukup","Kurang"))))</f>
        <v>Cukup</v>
      </c>
      <c r="AH1590">
        <f t="shared" si="73"/>
        <v>11</v>
      </c>
      <c r="AI1590" s="30" t="str">
        <f>IF(OR(J1590&lt;&gt;"Karakter",pub_gid_0_single_true_output_csv[[#This Row],[Nilai2]]=""),"",IF(AF1590&gt;89,"Sangat baik",IF(AF1590&gt;79,"Baik",IF(AF1590&gt;69,"Cukup",IF(AF1590&gt;59,"Kurang","Sangat kurang")))))</f>
        <v/>
      </c>
      <c r="AJ1590" t="str">
        <f t="shared" si="74"/>
        <v>Wk.7</v>
      </c>
      <c r="AK1590" t="str">
        <f>IF(pub_gid_0_single_true_output_csv[[#This Row],[Nilai2]]="","",VLOOKUP(pub_gid_0_single_true_output_csv[[#This Row],[NAMA]],Table7[],3,FALSE))</f>
        <v>High average</v>
      </c>
    </row>
    <row r="1591" spans="1:37" x14ac:dyDescent="0.2">
      <c r="A1591">
        <v>1590</v>
      </c>
      <c r="B1591" t="s">
        <v>293</v>
      </c>
      <c r="C1591" t="s">
        <v>54</v>
      </c>
      <c r="D1591" t="s">
        <v>45</v>
      </c>
      <c r="E1591" t="s">
        <v>147</v>
      </c>
      <c r="F1591" s="25">
        <v>46065</v>
      </c>
      <c r="G1591" t="s">
        <v>354</v>
      </c>
      <c r="H1591" t="s">
        <v>412</v>
      </c>
      <c r="I1591" t="s">
        <v>371</v>
      </c>
      <c r="J1591" t="s">
        <v>41</v>
      </c>
      <c r="K1591" t="s">
        <v>365</v>
      </c>
      <c r="L1591" t="s">
        <v>322</v>
      </c>
      <c r="M1591" t="s">
        <v>141</v>
      </c>
      <c r="N1591" t="s">
        <v>142</v>
      </c>
      <c r="O1591" t="s">
        <v>155</v>
      </c>
      <c r="P1591" t="s">
        <v>281</v>
      </c>
      <c r="Q1591" t="s">
        <v>155</v>
      </c>
      <c r="R1591" t="s">
        <v>273</v>
      </c>
      <c r="S1591" t="s">
        <v>309</v>
      </c>
      <c r="T1591">
        <v>1</v>
      </c>
      <c r="U1591" t="s">
        <v>393</v>
      </c>
      <c r="V1591" t="s">
        <v>285</v>
      </c>
      <c r="W1591" t="s">
        <v>394</v>
      </c>
      <c r="X1591" t="s">
        <v>306</v>
      </c>
      <c r="Y1591" t="s">
        <v>307</v>
      </c>
      <c r="Z1591">
        <v>65</v>
      </c>
      <c r="AA1591">
        <v>78</v>
      </c>
      <c r="AB1591" t="s">
        <v>143</v>
      </c>
      <c r="AC1591" t="s">
        <v>52</v>
      </c>
      <c r="AD1591" t="s">
        <v>278</v>
      </c>
      <c r="AE1591" t="str">
        <f>IF(AF1591="","",VLOOKUP(AC1591,mapel!$A$2:$B$42,2,FALSE))</f>
        <v>Tepung</v>
      </c>
      <c r="AF1591">
        <f t="shared" si="72"/>
        <v>78</v>
      </c>
      <c r="AG1591" t="str">
        <f>IF(AF1591="","",IF(AF1591&gt;90,"Sangat baik",IF(AF1591&gt;79,"Baik",IF(AF1591&gt;=pub_gid_0_single_true_output_csv[[#This Row],[KKM]],"Cukup","Kurang"))))</f>
        <v>Cukup</v>
      </c>
      <c r="AH1591">
        <f t="shared" si="73"/>
        <v>11</v>
      </c>
      <c r="AI1591" s="30" t="str">
        <f>IF(OR(J1591&lt;&gt;"Karakter",pub_gid_0_single_true_output_csv[[#This Row],[Nilai2]]=""),"",IF(AF1591&gt;89,"Sangat baik",IF(AF1591&gt;79,"Baik",IF(AF1591&gt;69,"Cukup",IF(AF1591&gt;59,"Kurang","Sangat kurang")))))</f>
        <v/>
      </c>
      <c r="AJ1591" t="str">
        <f t="shared" si="74"/>
        <v>Wk.7</v>
      </c>
      <c r="AK1591" t="str">
        <f>IF(pub_gid_0_single_true_output_csv[[#This Row],[Nilai2]]="","",VLOOKUP(pub_gid_0_single_true_output_csv[[#This Row],[NAMA]],Table7[],3,FALSE))</f>
        <v>High average</v>
      </c>
    </row>
    <row r="1592" spans="1:37" x14ac:dyDescent="0.2">
      <c r="A1592">
        <v>1591</v>
      </c>
      <c r="B1592" t="s">
        <v>293</v>
      </c>
      <c r="C1592" t="s">
        <v>54</v>
      </c>
      <c r="D1592" t="s">
        <v>45</v>
      </c>
      <c r="E1592" t="s">
        <v>147</v>
      </c>
      <c r="F1592" s="25">
        <v>46071</v>
      </c>
      <c r="G1592" t="s">
        <v>323</v>
      </c>
      <c r="H1592" t="s">
        <v>412</v>
      </c>
      <c r="I1592" t="s">
        <v>371</v>
      </c>
      <c r="J1592" t="s">
        <v>41</v>
      </c>
      <c r="K1592" t="s">
        <v>365</v>
      </c>
      <c r="L1592" t="s">
        <v>319</v>
      </c>
      <c r="M1592" t="s">
        <v>141</v>
      </c>
      <c r="N1592" t="s">
        <v>142</v>
      </c>
      <c r="O1592" t="s">
        <v>155</v>
      </c>
      <c r="P1592" t="s">
        <v>281</v>
      </c>
      <c r="Q1592" t="s">
        <v>155</v>
      </c>
      <c r="R1592" t="s">
        <v>273</v>
      </c>
      <c r="S1592" t="s">
        <v>470</v>
      </c>
      <c r="T1592">
        <v>4</v>
      </c>
      <c r="U1592" t="s">
        <v>471</v>
      </c>
      <c r="V1592" t="s">
        <v>472</v>
      </c>
      <c r="W1592" t="s">
        <v>473</v>
      </c>
      <c r="X1592" t="s">
        <v>306</v>
      </c>
      <c r="Y1592" t="s">
        <v>307</v>
      </c>
      <c r="Z1592">
        <v>65</v>
      </c>
      <c r="AA1592">
        <v>80</v>
      </c>
      <c r="AB1592" t="s">
        <v>143</v>
      </c>
      <c r="AC1592" t="s">
        <v>52</v>
      </c>
      <c r="AD1592" t="s">
        <v>278</v>
      </c>
      <c r="AE1592" t="str">
        <f>IF(AF1592="","",VLOOKUP(AC1592,mapel!$A$2:$B$42,2,FALSE))</f>
        <v>Tepung</v>
      </c>
      <c r="AF1592">
        <f t="shared" si="72"/>
        <v>80</v>
      </c>
      <c r="AG1592" t="str">
        <f>IF(AF1592="","",IF(AF1592&gt;90,"Sangat baik",IF(AF1592&gt;79,"Baik",IF(AF1592&gt;=pub_gid_0_single_true_output_csv[[#This Row],[KKM]],"Cukup","Kurang"))))</f>
        <v>Baik</v>
      </c>
      <c r="AH1592">
        <f t="shared" si="73"/>
        <v>11</v>
      </c>
      <c r="AI1592" s="30" t="str">
        <f>IF(OR(J1592&lt;&gt;"Karakter",pub_gid_0_single_true_output_csv[[#This Row],[Nilai2]]=""),"",IF(AF1592&gt;89,"Sangat baik",IF(AF1592&gt;79,"Baik",IF(AF1592&gt;69,"Cukup",IF(AF1592&gt;59,"Kurang","Sangat kurang")))))</f>
        <v/>
      </c>
      <c r="AJ1592" t="str">
        <f t="shared" si="74"/>
        <v>Wk.8</v>
      </c>
      <c r="AK1592" t="str">
        <f>IF(pub_gid_0_single_true_output_csv[[#This Row],[Nilai2]]="","",VLOOKUP(pub_gid_0_single_true_output_csv[[#This Row],[NAMA]],Table7[],3,FALSE))</f>
        <v>High average</v>
      </c>
    </row>
    <row r="1593" spans="1:37" x14ac:dyDescent="0.2">
      <c r="A1593">
        <v>1592</v>
      </c>
      <c r="B1593" t="s">
        <v>293</v>
      </c>
      <c r="C1593" t="s">
        <v>54</v>
      </c>
      <c r="D1593" t="s">
        <v>45</v>
      </c>
      <c r="E1593" t="s">
        <v>147</v>
      </c>
      <c r="F1593" s="25">
        <v>46077</v>
      </c>
      <c r="G1593" t="s">
        <v>476</v>
      </c>
      <c r="H1593" t="s">
        <v>412</v>
      </c>
      <c r="I1593" t="s">
        <v>371</v>
      </c>
      <c r="J1593" t="s">
        <v>41</v>
      </c>
      <c r="K1593" t="s">
        <v>365</v>
      </c>
      <c r="L1593" t="s">
        <v>319</v>
      </c>
      <c r="M1593" t="s">
        <v>141</v>
      </c>
      <c r="N1593" t="s">
        <v>142</v>
      </c>
      <c r="O1593" t="s">
        <v>155</v>
      </c>
      <c r="P1593" t="s">
        <v>281</v>
      </c>
      <c r="Q1593" t="s">
        <v>155</v>
      </c>
      <c r="R1593" t="s">
        <v>273</v>
      </c>
      <c r="S1593" t="s">
        <v>470</v>
      </c>
      <c r="T1593">
        <v>4</v>
      </c>
      <c r="U1593" t="s">
        <v>471</v>
      </c>
      <c r="V1593" t="s">
        <v>472</v>
      </c>
      <c r="W1593" t="s">
        <v>473</v>
      </c>
      <c r="X1593" t="s">
        <v>306</v>
      </c>
      <c r="Y1593" t="s">
        <v>307</v>
      </c>
      <c r="Z1593">
        <v>65</v>
      </c>
      <c r="AA1593">
        <v>80</v>
      </c>
      <c r="AB1593" t="s">
        <v>143</v>
      </c>
      <c r="AC1593" t="s">
        <v>52</v>
      </c>
      <c r="AD1593" t="s">
        <v>278</v>
      </c>
      <c r="AE1593" t="str">
        <f>IF(AF1593="","",VLOOKUP(AC1593,mapel!$A$2:$B$42,2,FALSE))</f>
        <v>Tepung</v>
      </c>
      <c r="AF1593">
        <f t="shared" si="72"/>
        <v>80</v>
      </c>
      <c r="AG1593" t="str">
        <f>IF(AF1593="","",IF(AF1593&gt;90,"Sangat baik",IF(AF1593&gt;79,"Baik",IF(AF1593&gt;=pub_gid_0_single_true_output_csv[[#This Row],[KKM]],"Cukup","Kurang"))))</f>
        <v>Baik</v>
      </c>
      <c r="AH1593">
        <f t="shared" si="73"/>
        <v>11</v>
      </c>
      <c r="AI1593" s="30" t="str">
        <f>IF(OR(J1593&lt;&gt;"Karakter",pub_gid_0_single_true_output_csv[[#This Row],[Nilai2]]=""),"",IF(AF1593&gt;89,"Sangat baik",IF(AF1593&gt;79,"Baik",IF(AF1593&gt;69,"Cukup",IF(AF1593&gt;59,"Kurang","Sangat kurang")))))</f>
        <v/>
      </c>
      <c r="AJ1593" t="str">
        <f t="shared" si="74"/>
        <v>Wk.9</v>
      </c>
      <c r="AK1593" t="str">
        <f>IF(pub_gid_0_single_true_output_csv[[#This Row],[Nilai2]]="","",VLOOKUP(pub_gid_0_single_true_output_csv[[#This Row],[NAMA]],Table7[],3,FALSE))</f>
        <v>High average</v>
      </c>
    </row>
    <row r="1594" spans="1:37" x14ac:dyDescent="0.2">
      <c r="A1594">
        <v>1593</v>
      </c>
      <c r="B1594" t="s">
        <v>293</v>
      </c>
      <c r="C1594" t="s">
        <v>54</v>
      </c>
      <c r="D1594" t="s">
        <v>45</v>
      </c>
      <c r="E1594" t="s">
        <v>147</v>
      </c>
      <c r="F1594" s="25">
        <v>46078</v>
      </c>
      <c r="G1594" t="s">
        <v>284</v>
      </c>
      <c r="H1594" t="s">
        <v>412</v>
      </c>
      <c r="I1594" t="s">
        <v>371</v>
      </c>
      <c r="J1594" t="s">
        <v>36</v>
      </c>
      <c r="K1594" t="s">
        <v>153</v>
      </c>
      <c r="L1594" t="s">
        <v>319</v>
      </c>
      <c r="M1594" t="s">
        <v>141</v>
      </c>
      <c r="N1594" t="s">
        <v>142</v>
      </c>
      <c r="O1594" t="s">
        <v>155</v>
      </c>
      <c r="P1594" t="s">
        <v>281</v>
      </c>
      <c r="Q1594" t="s">
        <v>155</v>
      </c>
      <c r="R1594" t="s">
        <v>273</v>
      </c>
      <c r="S1594" t="s">
        <v>470</v>
      </c>
      <c r="T1594">
        <v>4</v>
      </c>
      <c r="U1594" t="s">
        <v>471</v>
      </c>
      <c r="V1594" t="s">
        <v>472</v>
      </c>
      <c r="W1594" t="s">
        <v>473</v>
      </c>
      <c r="X1594" t="s">
        <v>306</v>
      </c>
      <c r="Y1594" t="s">
        <v>307</v>
      </c>
      <c r="Z1594">
        <v>65</v>
      </c>
      <c r="AA1594">
        <v>80</v>
      </c>
      <c r="AB1594" t="s">
        <v>143</v>
      </c>
      <c r="AC1594" t="s">
        <v>52</v>
      </c>
      <c r="AD1594" t="s">
        <v>278</v>
      </c>
      <c r="AE1594" t="str">
        <f>IF(AF1594="","",VLOOKUP(AC1594,mapel!$A$2:$B$42,2,FALSE))</f>
        <v>Tepung</v>
      </c>
      <c r="AF1594">
        <f t="shared" si="72"/>
        <v>80</v>
      </c>
      <c r="AG1594" t="str">
        <f>IF(AF1594="","",IF(AF1594&gt;90,"Sangat baik",IF(AF1594&gt;79,"Baik",IF(AF1594&gt;=pub_gid_0_single_true_output_csv[[#This Row],[KKM]],"Cukup","Kurang"))))</f>
        <v>Baik</v>
      </c>
      <c r="AH1594">
        <f t="shared" si="73"/>
        <v>11</v>
      </c>
      <c r="AI1594" s="30" t="str">
        <f>IF(OR(J1594&lt;&gt;"Karakter",pub_gid_0_single_true_output_csv[[#This Row],[Nilai2]]=""),"",IF(AF1594&gt;89,"Sangat baik",IF(AF1594&gt;79,"Baik",IF(AF1594&gt;69,"Cukup",IF(AF1594&gt;59,"Kurang","Sangat kurang")))))</f>
        <v/>
      </c>
      <c r="AJ1594" t="str">
        <f t="shared" si="74"/>
        <v>Wk.9</v>
      </c>
      <c r="AK1594" t="str">
        <f>IF(pub_gid_0_single_true_output_csv[[#This Row],[Nilai2]]="","",VLOOKUP(pub_gid_0_single_true_output_csv[[#This Row],[NAMA]],Table7[],3,FALSE))</f>
        <v>High average</v>
      </c>
    </row>
    <row r="1595" spans="1:37" x14ac:dyDescent="0.2">
      <c r="A1595">
        <v>1594</v>
      </c>
      <c r="B1595" t="s">
        <v>287</v>
      </c>
      <c r="C1595" t="s">
        <v>54</v>
      </c>
      <c r="D1595" t="s">
        <v>34</v>
      </c>
      <c r="E1595" t="s">
        <v>140</v>
      </c>
      <c r="F1595" s="25">
        <v>46035</v>
      </c>
      <c r="G1595" t="s">
        <v>358</v>
      </c>
      <c r="H1595" t="s">
        <v>405</v>
      </c>
      <c r="I1595" t="s">
        <v>371</v>
      </c>
      <c r="J1595" t="s">
        <v>41</v>
      </c>
      <c r="K1595" t="s">
        <v>365</v>
      </c>
      <c r="L1595" t="s">
        <v>322</v>
      </c>
      <c r="M1595" t="s">
        <v>141</v>
      </c>
      <c r="N1595" t="s">
        <v>142</v>
      </c>
      <c r="O1595" t="s">
        <v>155</v>
      </c>
      <c r="P1595" t="s">
        <v>281</v>
      </c>
      <c r="Q1595" t="s">
        <v>155</v>
      </c>
      <c r="R1595" t="s">
        <v>273</v>
      </c>
      <c r="S1595" t="s">
        <v>470</v>
      </c>
      <c r="T1595">
        <v>4</v>
      </c>
      <c r="U1595" t="s">
        <v>471</v>
      </c>
      <c r="V1595" t="s">
        <v>472</v>
      </c>
      <c r="W1595" t="s">
        <v>473</v>
      </c>
      <c r="X1595" t="s">
        <v>306</v>
      </c>
      <c r="Y1595" t="s">
        <v>307</v>
      </c>
      <c r="Z1595">
        <v>65</v>
      </c>
      <c r="AA1595">
        <v>0</v>
      </c>
      <c r="AB1595" t="s">
        <v>151</v>
      </c>
      <c r="AC1595" t="s">
        <v>52</v>
      </c>
      <c r="AD1595" t="s">
        <v>278</v>
      </c>
      <c r="AE1595" t="str">
        <f>IF(AF1595="","",VLOOKUP(AC1595,mapel!$A$2:$B$42,2,FALSE))</f>
        <v/>
      </c>
      <c r="AF1595" t="str">
        <f t="shared" si="72"/>
        <v/>
      </c>
      <c r="AG1595" t="str">
        <f>IF(AF1595="","",IF(AF1595&gt;90,"Sangat baik",IF(AF1595&gt;79,"Baik",IF(AF1595&gt;=pub_gid_0_single_true_output_csv[[#This Row],[KKM]],"Cukup","Kurang"))))</f>
        <v/>
      </c>
      <c r="AH1595" t="str">
        <f t="shared" si="73"/>
        <v/>
      </c>
      <c r="AI1595" s="30" t="str">
        <f>IF(OR(J1595&lt;&gt;"Karakter",pub_gid_0_single_true_output_csv[[#This Row],[Nilai2]]=""),"",IF(AF1595&gt;89,"Sangat baik",IF(AF1595&gt;79,"Baik",IF(AF1595&gt;69,"Cukup",IF(AF1595&gt;59,"Kurang","Sangat kurang")))))</f>
        <v/>
      </c>
      <c r="AJ1595" t="str">
        <f t="shared" si="74"/>
        <v/>
      </c>
      <c r="AK1595" t="str">
        <f>IF(pub_gid_0_single_true_output_csv[[#This Row],[Nilai2]]="","",VLOOKUP(pub_gid_0_single_true_output_csv[[#This Row],[NAMA]],Table7[],3,FALSE))</f>
        <v/>
      </c>
    </row>
    <row r="1596" spans="1:37" x14ac:dyDescent="0.2">
      <c r="A1596">
        <v>1595</v>
      </c>
      <c r="B1596" t="s">
        <v>287</v>
      </c>
      <c r="C1596" t="s">
        <v>54</v>
      </c>
      <c r="D1596" t="s">
        <v>34</v>
      </c>
      <c r="E1596" t="s">
        <v>140</v>
      </c>
      <c r="F1596" s="25">
        <v>46036</v>
      </c>
      <c r="G1596" t="s">
        <v>353</v>
      </c>
      <c r="H1596" t="s">
        <v>405</v>
      </c>
      <c r="I1596" t="s">
        <v>371</v>
      </c>
      <c r="J1596" t="s">
        <v>41</v>
      </c>
      <c r="K1596" t="s">
        <v>365</v>
      </c>
      <c r="L1596" t="s">
        <v>319</v>
      </c>
      <c r="M1596" t="s">
        <v>141</v>
      </c>
      <c r="N1596" t="s">
        <v>142</v>
      </c>
      <c r="O1596" t="s">
        <v>155</v>
      </c>
      <c r="P1596" t="s">
        <v>281</v>
      </c>
      <c r="Q1596" t="s">
        <v>155</v>
      </c>
      <c r="R1596" t="s">
        <v>273</v>
      </c>
      <c r="S1596" t="s">
        <v>470</v>
      </c>
      <c r="T1596">
        <v>4</v>
      </c>
      <c r="U1596" t="s">
        <v>471</v>
      </c>
      <c r="V1596" t="s">
        <v>472</v>
      </c>
      <c r="W1596" t="s">
        <v>473</v>
      </c>
      <c r="X1596" t="s">
        <v>306</v>
      </c>
      <c r="Y1596" t="s">
        <v>307</v>
      </c>
      <c r="Z1596">
        <v>65</v>
      </c>
      <c r="AA1596">
        <v>0</v>
      </c>
      <c r="AB1596" t="s">
        <v>151</v>
      </c>
      <c r="AC1596" t="s">
        <v>52</v>
      </c>
      <c r="AD1596" t="s">
        <v>278</v>
      </c>
      <c r="AE1596" t="str">
        <f>IF(AF1596="","",VLOOKUP(AC1596,mapel!$A$2:$B$42,2,FALSE))</f>
        <v/>
      </c>
      <c r="AF1596" t="str">
        <f t="shared" si="72"/>
        <v/>
      </c>
      <c r="AG1596" t="str">
        <f>IF(AF1596="","",IF(AF1596&gt;90,"Sangat baik",IF(AF1596&gt;79,"Baik",IF(AF1596&gt;=pub_gid_0_single_true_output_csv[[#This Row],[KKM]],"Cukup","Kurang"))))</f>
        <v/>
      </c>
      <c r="AH1596" t="str">
        <f t="shared" si="73"/>
        <v/>
      </c>
      <c r="AI1596" s="30" t="str">
        <f>IF(OR(J1596&lt;&gt;"Karakter",pub_gid_0_single_true_output_csv[[#This Row],[Nilai2]]=""),"",IF(AF1596&gt;89,"Sangat baik",IF(AF1596&gt;79,"Baik",IF(AF1596&gt;69,"Cukup",IF(AF1596&gt;59,"Kurang","Sangat kurang")))))</f>
        <v/>
      </c>
      <c r="AJ1596" t="str">
        <f t="shared" si="74"/>
        <v/>
      </c>
      <c r="AK1596" t="str">
        <f>IF(pub_gid_0_single_true_output_csv[[#This Row],[Nilai2]]="","",VLOOKUP(pub_gid_0_single_true_output_csv[[#This Row],[NAMA]],Table7[],3,FALSE))</f>
        <v/>
      </c>
    </row>
    <row r="1597" spans="1:37" x14ac:dyDescent="0.2">
      <c r="A1597">
        <v>1596</v>
      </c>
      <c r="B1597" t="s">
        <v>287</v>
      </c>
      <c r="C1597" t="s">
        <v>54</v>
      </c>
      <c r="D1597" t="s">
        <v>34</v>
      </c>
      <c r="E1597" t="s">
        <v>140</v>
      </c>
      <c r="F1597" s="25">
        <v>46037</v>
      </c>
      <c r="G1597" t="s">
        <v>356</v>
      </c>
      <c r="H1597" t="s">
        <v>405</v>
      </c>
      <c r="I1597" t="s">
        <v>371</v>
      </c>
      <c r="J1597" t="s">
        <v>36</v>
      </c>
      <c r="K1597" t="s">
        <v>37</v>
      </c>
      <c r="L1597" t="s">
        <v>383</v>
      </c>
      <c r="M1597" t="s">
        <v>141</v>
      </c>
      <c r="N1597" t="s">
        <v>142</v>
      </c>
      <c r="O1597" t="s">
        <v>155</v>
      </c>
      <c r="P1597" t="s">
        <v>281</v>
      </c>
      <c r="Q1597" t="s">
        <v>155</v>
      </c>
      <c r="R1597" t="s">
        <v>273</v>
      </c>
      <c r="S1597" t="s">
        <v>470</v>
      </c>
      <c r="T1597">
        <v>4</v>
      </c>
      <c r="U1597" t="s">
        <v>471</v>
      </c>
      <c r="V1597" t="s">
        <v>472</v>
      </c>
      <c r="W1597" t="s">
        <v>473</v>
      </c>
      <c r="X1597" t="s">
        <v>306</v>
      </c>
      <c r="Y1597" t="s">
        <v>307</v>
      </c>
      <c r="Z1597">
        <v>65</v>
      </c>
      <c r="AA1597">
        <v>0</v>
      </c>
      <c r="AB1597" t="s">
        <v>151</v>
      </c>
      <c r="AC1597" t="s">
        <v>52</v>
      </c>
      <c r="AD1597" t="s">
        <v>278</v>
      </c>
      <c r="AE1597" t="str">
        <f>IF(AF1597="","",VLOOKUP(AC1597,mapel!$A$2:$B$42,2,FALSE))</f>
        <v/>
      </c>
      <c r="AF1597" t="str">
        <f t="shared" si="72"/>
        <v/>
      </c>
      <c r="AG1597" t="str">
        <f>IF(AF1597="","",IF(AF1597&gt;90,"Sangat baik",IF(AF1597&gt;79,"Baik",IF(AF1597&gt;=pub_gid_0_single_true_output_csv[[#This Row],[KKM]],"Cukup","Kurang"))))</f>
        <v/>
      </c>
      <c r="AH1597" t="str">
        <f t="shared" si="73"/>
        <v/>
      </c>
      <c r="AI1597" s="30" t="str">
        <f>IF(OR(J1597&lt;&gt;"Karakter",pub_gid_0_single_true_output_csv[[#This Row],[Nilai2]]=""),"",IF(AF1597&gt;89,"Sangat baik",IF(AF1597&gt;79,"Baik",IF(AF1597&gt;69,"Cukup",IF(AF1597&gt;59,"Kurang","Sangat kurang")))))</f>
        <v/>
      </c>
      <c r="AJ1597" t="str">
        <f t="shared" si="74"/>
        <v/>
      </c>
      <c r="AK1597" t="str">
        <f>IF(pub_gid_0_single_true_output_csv[[#This Row],[Nilai2]]="","",VLOOKUP(pub_gid_0_single_true_output_csv[[#This Row],[NAMA]],Table7[],3,FALSE))</f>
        <v/>
      </c>
    </row>
    <row r="1598" spans="1:37" x14ac:dyDescent="0.2">
      <c r="A1598">
        <v>1597</v>
      </c>
      <c r="B1598" t="s">
        <v>287</v>
      </c>
      <c r="C1598" t="s">
        <v>54</v>
      </c>
      <c r="D1598" t="s">
        <v>34</v>
      </c>
      <c r="E1598" t="s">
        <v>140</v>
      </c>
      <c r="F1598" s="25">
        <v>46042</v>
      </c>
      <c r="G1598" t="s">
        <v>474</v>
      </c>
      <c r="H1598" t="s">
        <v>405</v>
      </c>
      <c r="I1598" t="s">
        <v>371</v>
      </c>
      <c r="J1598" t="s">
        <v>90</v>
      </c>
      <c r="K1598" t="s">
        <v>366</v>
      </c>
      <c r="L1598" t="s">
        <v>475</v>
      </c>
      <c r="M1598" t="s">
        <v>141</v>
      </c>
      <c r="N1598" t="s">
        <v>142</v>
      </c>
      <c r="O1598" t="s">
        <v>155</v>
      </c>
      <c r="P1598" t="s">
        <v>281</v>
      </c>
      <c r="Q1598" t="s">
        <v>155</v>
      </c>
      <c r="R1598" t="s">
        <v>273</v>
      </c>
      <c r="S1598" t="s">
        <v>470</v>
      </c>
      <c r="T1598">
        <v>4</v>
      </c>
      <c r="U1598" t="s">
        <v>471</v>
      </c>
      <c r="V1598" t="s">
        <v>472</v>
      </c>
      <c r="W1598" t="s">
        <v>473</v>
      </c>
      <c r="X1598" t="s">
        <v>306</v>
      </c>
      <c r="Y1598" t="s">
        <v>307</v>
      </c>
      <c r="Z1598">
        <v>65</v>
      </c>
      <c r="AA1598">
        <v>0</v>
      </c>
      <c r="AB1598" t="s">
        <v>151</v>
      </c>
      <c r="AC1598" t="s">
        <v>52</v>
      </c>
      <c r="AD1598" t="s">
        <v>278</v>
      </c>
      <c r="AE1598" t="str">
        <f>IF(AF1598="","",VLOOKUP(AC1598,mapel!$A$2:$B$42,2,FALSE))</f>
        <v/>
      </c>
      <c r="AF1598" t="str">
        <f t="shared" si="72"/>
        <v/>
      </c>
      <c r="AG1598" t="str">
        <f>IF(AF1598="","",IF(AF1598&gt;90,"Sangat baik",IF(AF1598&gt;79,"Baik",IF(AF1598&gt;=pub_gid_0_single_true_output_csv[[#This Row],[KKM]],"Cukup","Kurang"))))</f>
        <v/>
      </c>
      <c r="AH1598" t="str">
        <f t="shared" si="73"/>
        <v/>
      </c>
      <c r="AI1598" s="30" t="str">
        <f>IF(OR(J1598&lt;&gt;"Karakter",pub_gid_0_single_true_output_csv[[#This Row],[Nilai2]]=""),"",IF(AF1598&gt;89,"Sangat baik",IF(AF1598&gt;79,"Baik",IF(AF1598&gt;69,"Cukup",IF(AF1598&gt;59,"Kurang","Sangat kurang")))))</f>
        <v/>
      </c>
      <c r="AJ1598" t="str">
        <f t="shared" si="74"/>
        <v/>
      </c>
      <c r="AK1598" t="str">
        <f>IF(pub_gid_0_single_true_output_csv[[#This Row],[Nilai2]]="","",VLOOKUP(pub_gid_0_single_true_output_csv[[#This Row],[NAMA]],Table7[],3,FALSE))</f>
        <v/>
      </c>
    </row>
    <row r="1599" spans="1:37" x14ac:dyDescent="0.2">
      <c r="A1599">
        <v>1598</v>
      </c>
      <c r="B1599" t="s">
        <v>287</v>
      </c>
      <c r="C1599" t="s">
        <v>54</v>
      </c>
      <c r="D1599" t="s">
        <v>34</v>
      </c>
      <c r="E1599" t="s">
        <v>140</v>
      </c>
      <c r="F1599" s="25">
        <v>46051</v>
      </c>
      <c r="G1599" t="s">
        <v>320</v>
      </c>
      <c r="H1599" t="s">
        <v>405</v>
      </c>
      <c r="I1599" t="s">
        <v>371</v>
      </c>
      <c r="J1599" t="s">
        <v>41</v>
      </c>
      <c r="K1599" t="s">
        <v>365</v>
      </c>
      <c r="L1599" t="s">
        <v>319</v>
      </c>
      <c r="M1599" t="s">
        <v>141</v>
      </c>
      <c r="N1599" t="s">
        <v>142</v>
      </c>
      <c r="O1599" t="s">
        <v>155</v>
      </c>
      <c r="P1599" t="s">
        <v>281</v>
      </c>
      <c r="Q1599" t="s">
        <v>155</v>
      </c>
      <c r="R1599" t="s">
        <v>273</v>
      </c>
      <c r="S1599" t="s">
        <v>470</v>
      </c>
      <c r="T1599">
        <v>4</v>
      </c>
      <c r="U1599" t="s">
        <v>471</v>
      </c>
      <c r="V1599" t="s">
        <v>472</v>
      </c>
      <c r="W1599" t="s">
        <v>473</v>
      </c>
      <c r="X1599" t="s">
        <v>306</v>
      </c>
      <c r="Y1599" t="s">
        <v>307</v>
      </c>
      <c r="Z1599">
        <v>65</v>
      </c>
      <c r="AA1599">
        <v>0</v>
      </c>
      <c r="AB1599" t="s">
        <v>151</v>
      </c>
      <c r="AC1599" t="s">
        <v>52</v>
      </c>
      <c r="AD1599" t="s">
        <v>278</v>
      </c>
      <c r="AE1599" t="str">
        <f>IF(AF1599="","",VLOOKUP(AC1599,mapel!$A$2:$B$42,2,FALSE))</f>
        <v/>
      </c>
      <c r="AF1599" t="str">
        <f t="shared" si="72"/>
        <v/>
      </c>
      <c r="AG1599" t="str">
        <f>IF(AF1599="","",IF(AF1599&gt;90,"Sangat baik",IF(AF1599&gt;79,"Baik",IF(AF1599&gt;=pub_gid_0_single_true_output_csv[[#This Row],[KKM]],"Cukup","Kurang"))))</f>
        <v/>
      </c>
      <c r="AH1599" t="str">
        <f t="shared" si="73"/>
        <v/>
      </c>
      <c r="AI1599" s="30" t="str">
        <f>IF(OR(J1599&lt;&gt;"Karakter",pub_gid_0_single_true_output_csv[[#This Row],[Nilai2]]=""),"",IF(AF1599&gt;89,"Sangat baik",IF(AF1599&gt;79,"Baik",IF(AF1599&gt;69,"Cukup",IF(AF1599&gt;59,"Kurang","Sangat kurang")))))</f>
        <v/>
      </c>
      <c r="AJ1599" t="str">
        <f t="shared" si="74"/>
        <v/>
      </c>
      <c r="AK1599" t="str">
        <f>IF(pub_gid_0_single_true_output_csv[[#This Row],[Nilai2]]="","",VLOOKUP(pub_gid_0_single_true_output_csv[[#This Row],[NAMA]],Table7[],3,FALSE))</f>
        <v/>
      </c>
    </row>
    <row r="1600" spans="1:37" x14ac:dyDescent="0.2">
      <c r="A1600">
        <v>1599</v>
      </c>
      <c r="B1600" t="s">
        <v>287</v>
      </c>
      <c r="C1600" t="s">
        <v>54</v>
      </c>
      <c r="D1600" t="s">
        <v>34</v>
      </c>
      <c r="E1600" t="s">
        <v>140</v>
      </c>
      <c r="F1600" s="25">
        <v>46056</v>
      </c>
      <c r="G1600" t="s">
        <v>372</v>
      </c>
      <c r="H1600" t="s">
        <v>412</v>
      </c>
      <c r="I1600" t="s">
        <v>371</v>
      </c>
      <c r="J1600" t="s">
        <v>41</v>
      </c>
      <c r="K1600" t="s">
        <v>365</v>
      </c>
      <c r="L1600" t="s">
        <v>322</v>
      </c>
      <c r="M1600" t="s">
        <v>141</v>
      </c>
      <c r="N1600" t="s">
        <v>142</v>
      </c>
      <c r="O1600" t="s">
        <v>155</v>
      </c>
      <c r="P1600" t="s">
        <v>281</v>
      </c>
      <c r="Q1600" t="s">
        <v>155</v>
      </c>
      <c r="R1600" t="s">
        <v>273</v>
      </c>
      <c r="S1600" t="s">
        <v>309</v>
      </c>
      <c r="T1600">
        <v>1</v>
      </c>
      <c r="U1600" t="s">
        <v>393</v>
      </c>
      <c r="V1600" t="s">
        <v>285</v>
      </c>
      <c r="W1600" t="s">
        <v>394</v>
      </c>
      <c r="X1600" t="s">
        <v>306</v>
      </c>
      <c r="Y1600" t="s">
        <v>307</v>
      </c>
      <c r="Z1600">
        <v>65</v>
      </c>
      <c r="AA1600">
        <v>0</v>
      </c>
      <c r="AB1600" t="s">
        <v>151</v>
      </c>
      <c r="AC1600" t="s">
        <v>52</v>
      </c>
      <c r="AD1600" t="s">
        <v>278</v>
      </c>
      <c r="AE1600" t="str">
        <f>IF(AF1600="","",VLOOKUP(AC1600,mapel!$A$2:$B$42,2,FALSE))</f>
        <v/>
      </c>
      <c r="AF1600" t="str">
        <f t="shared" si="72"/>
        <v/>
      </c>
      <c r="AG1600" t="str">
        <f>IF(AF1600="","",IF(AF1600&gt;90,"Sangat baik",IF(AF1600&gt;79,"Baik",IF(AF1600&gt;=pub_gid_0_single_true_output_csv[[#This Row],[KKM]],"Cukup","Kurang"))))</f>
        <v/>
      </c>
      <c r="AH1600" t="str">
        <f t="shared" si="73"/>
        <v/>
      </c>
      <c r="AI1600" s="30" t="str">
        <f>IF(OR(J1600&lt;&gt;"Karakter",pub_gid_0_single_true_output_csv[[#This Row],[Nilai2]]=""),"",IF(AF1600&gt;89,"Sangat baik",IF(AF1600&gt;79,"Baik",IF(AF1600&gt;69,"Cukup",IF(AF1600&gt;59,"Kurang","Sangat kurang")))))</f>
        <v/>
      </c>
      <c r="AJ1600" t="str">
        <f t="shared" si="74"/>
        <v/>
      </c>
      <c r="AK1600" t="str">
        <f>IF(pub_gid_0_single_true_output_csv[[#This Row],[Nilai2]]="","",VLOOKUP(pub_gid_0_single_true_output_csv[[#This Row],[NAMA]],Table7[],3,FALSE))</f>
        <v/>
      </c>
    </row>
    <row r="1601" spans="1:37" x14ac:dyDescent="0.2">
      <c r="A1601">
        <v>1600</v>
      </c>
      <c r="B1601" t="s">
        <v>287</v>
      </c>
      <c r="C1601" t="s">
        <v>54</v>
      </c>
      <c r="D1601" t="s">
        <v>34</v>
      </c>
      <c r="E1601" t="s">
        <v>140</v>
      </c>
      <c r="F1601" s="25">
        <v>46057</v>
      </c>
      <c r="G1601" t="s">
        <v>348</v>
      </c>
      <c r="H1601" t="s">
        <v>412</v>
      </c>
      <c r="I1601" t="s">
        <v>371</v>
      </c>
      <c r="J1601" t="s">
        <v>36</v>
      </c>
      <c r="K1601" t="s">
        <v>153</v>
      </c>
      <c r="L1601" t="s">
        <v>395</v>
      </c>
      <c r="M1601" t="s">
        <v>141</v>
      </c>
      <c r="N1601" t="s">
        <v>142</v>
      </c>
      <c r="O1601" t="s">
        <v>155</v>
      </c>
      <c r="P1601" t="s">
        <v>281</v>
      </c>
      <c r="Q1601" t="s">
        <v>155</v>
      </c>
      <c r="R1601" t="s">
        <v>273</v>
      </c>
      <c r="S1601" t="s">
        <v>309</v>
      </c>
      <c r="T1601">
        <v>1</v>
      </c>
      <c r="U1601" t="s">
        <v>393</v>
      </c>
      <c r="V1601" t="s">
        <v>285</v>
      </c>
      <c r="W1601" t="s">
        <v>394</v>
      </c>
      <c r="X1601" t="s">
        <v>306</v>
      </c>
      <c r="Y1601" t="s">
        <v>307</v>
      </c>
      <c r="Z1601">
        <v>65</v>
      </c>
      <c r="AA1601">
        <v>0</v>
      </c>
      <c r="AB1601" t="s">
        <v>151</v>
      </c>
      <c r="AC1601" t="s">
        <v>52</v>
      </c>
      <c r="AD1601" t="s">
        <v>278</v>
      </c>
      <c r="AE1601" t="str">
        <f>IF(AF1601="","",VLOOKUP(AC1601,mapel!$A$2:$B$42,2,FALSE))</f>
        <v/>
      </c>
      <c r="AF1601" t="str">
        <f t="shared" si="72"/>
        <v/>
      </c>
      <c r="AG1601" t="str">
        <f>IF(AF1601="","",IF(AF1601&gt;90,"Sangat baik",IF(AF1601&gt;79,"Baik",IF(AF1601&gt;=pub_gid_0_single_true_output_csv[[#This Row],[KKM]],"Cukup","Kurang"))))</f>
        <v/>
      </c>
      <c r="AH1601" t="str">
        <f t="shared" si="73"/>
        <v/>
      </c>
      <c r="AI1601" s="30" t="str">
        <f>IF(OR(J1601&lt;&gt;"Karakter",pub_gid_0_single_true_output_csv[[#This Row],[Nilai2]]=""),"",IF(AF1601&gt;89,"Sangat baik",IF(AF1601&gt;79,"Baik",IF(AF1601&gt;69,"Cukup",IF(AF1601&gt;59,"Kurang","Sangat kurang")))))</f>
        <v/>
      </c>
      <c r="AJ1601" t="str">
        <f t="shared" si="74"/>
        <v/>
      </c>
      <c r="AK1601" t="str">
        <f>IF(pub_gid_0_single_true_output_csv[[#This Row],[Nilai2]]="","",VLOOKUP(pub_gid_0_single_true_output_csv[[#This Row],[NAMA]],Table7[],3,FALSE))</f>
        <v/>
      </c>
    </row>
    <row r="1602" spans="1:37" x14ac:dyDescent="0.2">
      <c r="A1602">
        <v>1601</v>
      </c>
      <c r="B1602" t="s">
        <v>287</v>
      </c>
      <c r="C1602" t="s">
        <v>54</v>
      </c>
      <c r="D1602" t="s">
        <v>34</v>
      </c>
      <c r="E1602" t="s">
        <v>140</v>
      </c>
      <c r="F1602" s="25">
        <v>46058</v>
      </c>
      <c r="G1602" t="s">
        <v>346</v>
      </c>
      <c r="H1602" t="s">
        <v>412</v>
      </c>
      <c r="I1602" t="s">
        <v>371</v>
      </c>
      <c r="J1602" t="s">
        <v>41</v>
      </c>
      <c r="K1602" t="s">
        <v>365</v>
      </c>
      <c r="L1602" t="s">
        <v>322</v>
      </c>
      <c r="M1602" t="s">
        <v>141</v>
      </c>
      <c r="N1602" t="s">
        <v>142</v>
      </c>
      <c r="O1602" t="s">
        <v>155</v>
      </c>
      <c r="P1602" t="s">
        <v>281</v>
      </c>
      <c r="Q1602" t="s">
        <v>155</v>
      </c>
      <c r="R1602" t="s">
        <v>273</v>
      </c>
      <c r="S1602" t="s">
        <v>309</v>
      </c>
      <c r="T1602">
        <v>1</v>
      </c>
      <c r="U1602" t="s">
        <v>393</v>
      </c>
      <c r="V1602" t="s">
        <v>285</v>
      </c>
      <c r="W1602" t="s">
        <v>394</v>
      </c>
      <c r="X1602" t="s">
        <v>306</v>
      </c>
      <c r="Y1602" t="s">
        <v>307</v>
      </c>
      <c r="Z1602">
        <v>65</v>
      </c>
      <c r="AA1602">
        <v>0</v>
      </c>
      <c r="AB1602" t="s">
        <v>151</v>
      </c>
      <c r="AC1602" t="s">
        <v>52</v>
      </c>
      <c r="AD1602" t="s">
        <v>278</v>
      </c>
      <c r="AE1602" t="str">
        <f>IF(AF1602="","",VLOOKUP(AC1602,mapel!$A$2:$B$42,2,FALSE))</f>
        <v/>
      </c>
      <c r="AF1602" t="str">
        <f t="shared" ref="AF1602:AF1665" si="75">IF(AA1602=0, "",IF(AA1602 = 0.1, 0,AA1602))</f>
        <v/>
      </c>
      <c r="AG1602" t="str">
        <f>IF(AF1602="","",IF(AF1602&gt;90,"Sangat baik",IF(AF1602&gt;79,"Baik",IF(AF1602&gt;=pub_gid_0_single_true_output_csv[[#This Row],[KKM]],"Cukup","Kurang"))))</f>
        <v/>
      </c>
      <c r="AH1602" t="str">
        <f t="shared" ref="AH1602:AH1665" si="76">IF(AG1602="","",VALUE(RIGHT(X1602,2)))</f>
        <v/>
      </c>
      <c r="AI1602" s="30" t="str">
        <f>IF(OR(J1602&lt;&gt;"Karakter",pub_gid_0_single_true_output_csv[[#This Row],[Nilai2]]=""),"",IF(AF1602&gt;89,"Sangat baik",IF(AF1602&gt;79,"Baik",IF(AF1602&gt;69,"Cukup",IF(AF1602&gt;59,"Kurang","Sangat kurang")))))</f>
        <v/>
      </c>
      <c r="AJ1602" t="str">
        <f t="shared" ref="AJ1602:AJ1665" si="77">IF(AF1602="","",CONCATENATE("Wk.",WEEKNUM(F1602,2)))</f>
        <v/>
      </c>
      <c r="AK1602" t="str">
        <f>IF(pub_gid_0_single_true_output_csv[[#This Row],[Nilai2]]="","",VLOOKUP(pub_gid_0_single_true_output_csv[[#This Row],[NAMA]],Table7[],3,FALSE))</f>
        <v/>
      </c>
    </row>
    <row r="1603" spans="1:37" x14ac:dyDescent="0.2">
      <c r="A1603">
        <v>1602</v>
      </c>
      <c r="B1603" t="s">
        <v>287</v>
      </c>
      <c r="C1603" t="s">
        <v>54</v>
      </c>
      <c r="D1603" t="s">
        <v>34</v>
      </c>
      <c r="E1603" t="s">
        <v>140</v>
      </c>
      <c r="F1603" s="25">
        <v>46063</v>
      </c>
      <c r="G1603" t="s">
        <v>374</v>
      </c>
      <c r="H1603" t="s">
        <v>412</v>
      </c>
      <c r="I1603" t="s">
        <v>371</v>
      </c>
      <c r="J1603" t="s">
        <v>36</v>
      </c>
      <c r="K1603" t="s">
        <v>153</v>
      </c>
      <c r="L1603" t="s">
        <v>395</v>
      </c>
      <c r="M1603" t="s">
        <v>141</v>
      </c>
      <c r="N1603" t="s">
        <v>142</v>
      </c>
      <c r="O1603" t="s">
        <v>155</v>
      </c>
      <c r="P1603" t="s">
        <v>281</v>
      </c>
      <c r="Q1603" t="s">
        <v>155</v>
      </c>
      <c r="R1603" t="s">
        <v>273</v>
      </c>
      <c r="S1603" t="s">
        <v>309</v>
      </c>
      <c r="T1603">
        <v>1</v>
      </c>
      <c r="U1603" t="s">
        <v>393</v>
      </c>
      <c r="V1603" t="s">
        <v>285</v>
      </c>
      <c r="W1603" t="s">
        <v>394</v>
      </c>
      <c r="X1603" t="s">
        <v>306</v>
      </c>
      <c r="Y1603" t="s">
        <v>307</v>
      </c>
      <c r="Z1603">
        <v>65</v>
      </c>
      <c r="AA1603">
        <v>0</v>
      </c>
      <c r="AB1603" t="s">
        <v>151</v>
      </c>
      <c r="AC1603" t="s">
        <v>52</v>
      </c>
      <c r="AD1603" t="s">
        <v>278</v>
      </c>
      <c r="AE1603" t="str">
        <f>IF(AF1603="","",VLOOKUP(AC1603,mapel!$A$2:$B$42,2,FALSE))</f>
        <v/>
      </c>
      <c r="AF1603" t="str">
        <f t="shared" si="75"/>
        <v/>
      </c>
      <c r="AG1603" t="str">
        <f>IF(AF1603="","",IF(AF1603&gt;90,"Sangat baik",IF(AF1603&gt;79,"Baik",IF(AF1603&gt;=pub_gid_0_single_true_output_csv[[#This Row],[KKM]],"Cukup","Kurang"))))</f>
        <v/>
      </c>
      <c r="AH1603" t="str">
        <f t="shared" si="76"/>
        <v/>
      </c>
      <c r="AI1603" s="30" t="str">
        <f>IF(OR(J1603&lt;&gt;"Karakter",pub_gid_0_single_true_output_csv[[#This Row],[Nilai2]]=""),"",IF(AF1603&gt;89,"Sangat baik",IF(AF1603&gt;79,"Baik",IF(AF1603&gt;69,"Cukup",IF(AF1603&gt;59,"Kurang","Sangat kurang")))))</f>
        <v/>
      </c>
      <c r="AJ1603" t="str">
        <f t="shared" si="77"/>
        <v/>
      </c>
      <c r="AK1603" t="str">
        <f>IF(pub_gid_0_single_true_output_csv[[#This Row],[Nilai2]]="","",VLOOKUP(pub_gid_0_single_true_output_csv[[#This Row],[NAMA]],Table7[],3,FALSE))</f>
        <v/>
      </c>
    </row>
    <row r="1604" spans="1:37" x14ac:dyDescent="0.2">
      <c r="A1604">
        <v>1603</v>
      </c>
      <c r="B1604" t="s">
        <v>287</v>
      </c>
      <c r="C1604" t="s">
        <v>54</v>
      </c>
      <c r="D1604" t="s">
        <v>34</v>
      </c>
      <c r="E1604" t="s">
        <v>140</v>
      </c>
      <c r="F1604" s="25">
        <v>46064</v>
      </c>
      <c r="G1604" t="s">
        <v>352</v>
      </c>
      <c r="H1604" t="s">
        <v>412</v>
      </c>
      <c r="I1604" t="s">
        <v>371</v>
      </c>
      <c r="J1604" t="s">
        <v>31</v>
      </c>
      <c r="K1604" t="s">
        <v>32</v>
      </c>
      <c r="L1604" t="s">
        <v>395</v>
      </c>
      <c r="M1604" t="s">
        <v>141</v>
      </c>
      <c r="N1604" t="s">
        <v>142</v>
      </c>
      <c r="O1604" t="s">
        <v>155</v>
      </c>
      <c r="P1604" t="s">
        <v>281</v>
      </c>
      <c r="Q1604" t="s">
        <v>155</v>
      </c>
      <c r="R1604" t="s">
        <v>273</v>
      </c>
      <c r="S1604" t="s">
        <v>309</v>
      </c>
      <c r="T1604">
        <v>1</v>
      </c>
      <c r="U1604" t="s">
        <v>393</v>
      </c>
      <c r="V1604" t="s">
        <v>285</v>
      </c>
      <c r="W1604" t="s">
        <v>394</v>
      </c>
      <c r="X1604" t="s">
        <v>306</v>
      </c>
      <c r="Y1604" t="s">
        <v>307</v>
      </c>
      <c r="Z1604">
        <v>65</v>
      </c>
      <c r="AA1604">
        <v>0</v>
      </c>
      <c r="AB1604" t="s">
        <v>151</v>
      </c>
      <c r="AC1604" t="s">
        <v>52</v>
      </c>
      <c r="AD1604" t="s">
        <v>278</v>
      </c>
      <c r="AE1604" t="str">
        <f>IF(AF1604="","",VLOOKUP(AC1604,mapel!$A$2:$B$42,2,FALSE))</f>
        <v/>
      </c>
      <c r="AF1604" t="str">
        <f t="shared" si="75"/>
        <v/>
      </c>
      <c r="AG1604" t="str">
        <f>IF(AF1604="","",IF(AF1604&gt;90,"Sangat baik",IF(AF1604&gt;79,"Baik",IF(AF1604&gt;=pub_gid_0_single_true_output_csv[[#This Row],[KKM]],"Cukup","Kurang"))))</f>
        <v/>
      </c>
      <c r="AH1604" t="str">
        <f t="shared" si="76"/>
        <v/>
      </c>
      <c r="AI1604" s="30" t="str">
        <f>IF(OR(J1604&lt;&gt;"Karakter",pub_gid_0_single_true_output_csv[[#This Row],[Nilai2]]=""),"",IF(AF1604&gt;89,"Sangat baik",IF(AF1604&gt;79,"Baik",IF(AF1604&gt;69,"Cukup",IF(AF1604&gt;59,"Kurang","Sangat kurang")))))</f>
        <v/>
      </c>
      <c r="AJ1604" t="str">
        <f t="shared" si="77"/>
        <v/>
      </c>
      <c r="AK1604" t="str">
        <f>IF(pub_gid_0_single_true_output_csv[[#This Row],[Nilai2]]="","",VLOOKUP(pub_gid_0_single_true_output_csv[[#This Row],[NAMA]],Table7[],3,FALSE))</f>
        <v/>
      </c>
    </row>
    <row r="1605" spans="1:37" x14ac:dyDescent="0.2">
      <c r="A1605">
        <v>1604</v>
      </c>
      <c r="B1605" t="s">
        <v>287</v>
      </c>
      <c r="C1605" t="s">
        <v>54</v>
      </c>
      <c r="D1605" t="s">
        <v>34</v>
      </c>
      <c r="E1605" t="s">
        <v>140</v>
      </c>
      <c r="F1605" s="25">
        <v>46065</v>
      </c>
      <c r="G1605" t="s">
        <v>354</v>
      </c>
      <c r="H1605" t="s">
        <v>412</v>
      </c>
      <c r="I1605" t="s">
        <v>371</v>
      </c>
      <c r="J1605" t="s">
        <v>41</v>
      </c>
      <c r="K1605" t="s">
        <v>365</v>
      </c>
      <c r="L1605" t="s">
        <v>322</v>
      </c>
      <c r="M1605" t="s">
        <v>141</v>
      </c>
      <c r="N1605" t="s">
        <v>142</v>
      </c>
      <c r="O1605" t="s">
        <v>155</v>
      </c>
      <c r="P1605" t="s">
        <v>281</v>
      </c>
      <c r="Q1605" t="s">
        <v>155</v>
      </c>
      <c r="R1605" t="s">
        <v>273</v>
      </c>
      <c r="S1605" t="s">
        <v>309</v>
      </c>
      <c r="T1605">
        <v>1</v>
      </c>
      <c r="U1605" t="s">
        <v>393</v>
      </c>
      <c r="V1605" t="s">
        <v>285</v>
      </c>
      <c r="W1605" t="s">
        <v>394</v>
      </c>
      <c r="X1605" t="s">
        <v>306</v>
      </c>
      <c r="Y1605" t="s">
        <v>307</v>
      </c>
      <c r="Z1605">
        <v>65</v>
      </c>
      <c r="AA1605">
        <v>0</v>
      </c>
      <c r="AB1605" t="s">
        <v>151</v>
      </c>
      <c r="AC1605" t="s">
        <v>52</v>
      </c>
      <c r="AD1605" t="s">
        <v>278</v>
      </c>
      <c r="AE1605" t="str">
        <f>IF(AF1605="","",VLOOKUP(AC1605,mapel!$A$2:$B$42,2,FALSE))</f>
        <v/>
      </c>
      <c r="AF1605" t="str">
        <f t="shared" si="75"/>
        <v/>
      </c>
      <c r="AG1605" t="str">
        <f>IF(AF1605="","",IF(AF1605&gt;90,"Sangat baik",IF(AF1605&gt;79,"Baik",IF(AF1605&gt;=pub_gid_0_single_true_output_csv[[#This Row],[KKM]],"Cukup","Kurang"))))</f>
        <v/>
      </c>
      <c r="AH1605" t="str">
        <f t="shared" si="76"/>
        <v/>
      </c>
      <c r="AI1605" s="30" t="str">
        <f>IF(OR(J1605&lt;&gt;"Karakter",pub_gid_0_single_true_output_csv[[#This Row],[Nilai2]]=""),"",IF(AF1605&gt;89,"Sangat baik",IF(AF1605&gt;79,"Baik",IF(AF1605&gt;69,"Cukup",IF(AF1605&gt;59,"Kurang","Sangat kurang")))))</f>
        <v/>
      </c>
      <c r="AJ1605" t="str">
        <f t="shared" si="77"/>
        <v/>
      </c>
      <c r="AK1605" t="str">
        <f>IF(pub_gid_0_single_true_output_csv[[#This Row],[Nilai2]]="","",VLOOKUP(pub_gid_0_single_true_output_csv[[#This Row],[NAMA]],Table7[],3,FALSE))</f>
        <v/>
      </c>
    </row>
    <row r="1606" spans="1:37" x14ac:dyDescent="0.2">
      <c r="A1606">
        <v>1605</v>
      </c>
      <c r="B1606" t="s">
        <v>287</v>
      </c>
      <c r="C1606" t="s">
        <v>54</v>
      </c>
      <c r="D1606" t="s">
        <v>34</v>
      </c>
      <c r="E1606" t="s">
        <v>140</v>
      </c>
      <c r="F1606" s="25">
        <v>46071</v>
      </c>
      <c r="G1606" t="s">
        <v>323</v>
      </c>
      <c r="H1606" t="s">
        <v>412</v>
      </c>
      <c r="I1606" t="s">
        <v>371</v>
      </c>
      <c r="J1606" t="s">
        <v>41</v>
      </c>
      <c r="K1606" t="s">
        <v>365</v>
      </c>
      <c r="L1606" t="s">
        <v>319</v>
      </c>
      <c r="M1606" t="s">
        <v>141</v>
      </c>
      <c r="N1606" t="s">
        <v>142</v>
      </c>
      <c r="O1606" t="s">
        <v>155</v>
      </c>
      <c r="P1606" t="s">
        <v>281</v>
      </c>
      <c r="Q1606" t="s">
        <v>155</v>
      </c>
      <c r="R1606" t="s">
        <v>273</v>
      </c>
      <c r="S1606" t="s">
        <v>470</v>
      </c>
      <c r="T1606">
        <v>4</v>
      </c>
      <c r="U1606" t="s">
        <v>471</v>
      </c>
      <c r="V1606" t="s">
        <v>472</v>
      </c>
      <c r="W1606" t="s">
        <v>473</v>
      </c>
      <c r="X1606" t="s">
        <v>306</v>
      </c>
      <c r="Y1606" t="s">
        <v>307</v>
      </c>
      <c r="Z1606">
        <v>65</v>
      </c>
      <c r="AA1606">
        <v>0</v>
      </c>
      <c r="AB1606" t="s">
        <v>151</v>
      </c>
      <c r="AC1606" t="s">
        <v>52</v>
      </c>
      <c r="AD1606" t="s">
        <v>278</v>
      </c>
      <c r="AE1606" t="str">
        <f>IF(AF1606="","",VLOOKUP(AC1606,mapel!$A$2:$B$42,2,FALSE))</f>
        <v/>
      </c>
      <c r="AF1606" t="str">
        <f t="shared" si="75"/>
        <v/>
      </c>
      <c r="AG1606" t="str">
        <f>IF(AF1606="","",IF(AF1606&gt;90,"Sangat baik",IF(AF1606&gt;79,"Baik",IF(AF1606&gt;=pub_gid_0_single_true_output_csv[[#This Row],[KKM]],"Cukup","Kurang"))))</f>
        <v/>
      </c>
      <c r="AH1606" t="str">
        <f t="shared" si="76"/>
        <v/>
      </c>
      <c r="AI1606" s="30" t="str">
        <f>IF(OR(J1606&lt;&gt;"Karakter",pub_gid_0_single_true_output_csv[[#This Row],[Nilai2]]=""),"",IF(AF1606&gt;89,"Sangat baik",IF(AF1606&gt;79,"Baik",IF(AF1606&gt;69,"Cukup",IF(AF1606&gt;59,"Kurang","Sangat kurang")))))</f>
        <v/>
      </c>
      <c r="AJ1606" t="str">
        <f t="shared" si="77"/>
        <v/>
      </c>
      <c r="AK1606" t="str">
        <f>IF(pub_gid_0_single_true_output_csv[[#This Row],[Nilai2]]="","",VLOOKUP(pub_gid_0_single_true_output_csv[[#This Row],[NAMA]],Table7[],3,FALSE))</f>
        <v/>
      </c>
    </row>
    <row r="1607" spans="1:37" x14ac:dyDescent="0.2">
      <c r="A1607">
        <v>1606</v>
      </c>
      <c r="B1607" t="s">
        <v>287</v>
      </c>
      <c r="C1607" t="s">
        <v>54</v>
      </c>
      <c r="D1607" t="s">
        <v>34</v>
      </c>
      <c r="E1607" t="s">
        <v>140</v>
      </c>
      <c r="F1607" s="25">
        <v>46077</v>
      </c>
      <c r="G1607" t="s">
        <v>476</v>
      </c>
      <c r="H1607" t="s">
        <v>412</v>
      </c>
      <c r="I1607" t="s">
        <v>371</v>
      </c>
      <c r="J1607" t="s">
        <v>41</v>
      </c>
      <c r="K1607" t="s">
        <v>365</v>
      </c>
      <c r="L1607" t="s">
        <v>319</v>
      </c>
      <c r="M1607" t="s">
        <v>141</v>
      </c>
      <c r="N1607" t="s">
        <v>142</v>
      </c>
      <c r="O1607" t="s">
        <v>155</v>
      </c>
      <c r="P1607" t="s">
        <v>281</v>
      </c>
      <c r="Q1607" t="s">
        <v>155</v>
      </c>
      <c r="R1607" t="s">
        <v>273</v>
      </c>
      <c r="S1607" t="s">
        <v>470</v>
      </c>
      <c r="T1607">
        <v>4</v>
      </c>
      <c r="U1607" t="s">
        <v>471</v>
      </c>
      <c r="V1607" t="s">
        <v>472</v>
      </c>
      <c r="W1607" t="s">
        <v>473</v>
      </c>
      <c r="X1607" t="s">
        <v>306</v>
      </c>
      <c r="Y1607" t="s">
        <v>307</v>
      </c>
      <c r="Z1607">
        <v>65</v>
      </c>
      <c r="AA1607">
        <v>0</v>
      </c>
      <c r="AB1607" t="s">
        <v>151</v>
      </c>
      <c r="AC1607" t="s">
        <v>52</v>
      </c>
      <c r="AD1607" t="s">
        <v>278</v>
      </c>
      <c r="AE1607" t="str">
        <f>IF(AF1607="","",VLOOKUP(AC1607,mapel!$A$2:$B$42,2,FALSE))</f>
        <v/>
      </c>
      <c r="AF1607" t="str">
        <f t="shared" si="75"/>
        <v/>
      </c>
      <c r="AG1607" t="str">
        <f>IF(AF1607="","",IF(AF1607&gt;90,"Sangat baik",IF(AF1607&gt;79,"Baik",IF(AF1607&gt;=pub_gid_0_single_true_output_csv[[#This Row],[KKM]],"Cukup","Kurang"))))</f>
        <v/>
      </c>
      <c r="AH1607" t="str">
        <f t="shared" si="76"/>
        <v/>
      </c>
      <c r="AI1607" s="30" t="str">
        <f>IF(OR(J1607&lt;&gt;"Karakter",pub_gid_0_single_true_output_csv[[#This Row],[Nilai2]]=""),"",IF(AF1607&gt;89,"Sangat baik",IF(AF1607&gt;79,"Baik",IF(AF1607&gt;69,"Cukup",IF(AF1607&gt;59,"Kurang","Sangat kurang")))))</f>
        <v/>
      </c>
      <c r="AJ1607" t="str">
        <f t="shared" si="77"/>
        <v/>
      </c>
      <c r="AK1607" t="str">
        <f>IF(pub_gid_0_single_true_output_csv[[#This Row],[Nilai2]]="","",VLOOKUP(pub_gid_0_single_true_output_csv[[#This Row],[NAMA]],Table7[],3,FALSE))</f>
        <v/>
      </c>
    </row>
    <row r="1608" spans="1:37" x14ac:dyDescent="0.2">
      <c r="A1608">
        <v>1607</v>
      </c>
      <c r="B1608" t="s">
        <v>287</v>
      </c>
      <c r="C1608" t="s">
        <v>54</v>
      </c>
      <c r="D1608" t="s">
        <v>34</v>
      </c>
      <c r="E1608" t="s">
        <v>140</v>
      </c>
      <c r="F1608" s="25">
        <v>46078</v>
      </c>
      <c r="G1608" t="s">
        <v>284</v>
      </c>
      <c r="H1608" t="s">
        <v>412</v>
      </c>
      <c r="I1608" t="s">
        <v>371</v>
      </c>
      <c r="J1608" t="s">
        <v>36</v>
      </c>
      <c r="K1608" t="s">
        <v>153</v>
      </c>
      <c r="L1608" t="s">
        <v>319</v>
      </c>
      <c r="M1608" t="s">
        <v>141</v>
      </c>
      <c r="N1608" t="s">
        <v>142</v>
      </c>
      <c r="O1608" t="s">
        <v>155</v>
      </c>
      <c r="P1608" t="s">
        <v>281</v>
      </c>
      <c r="Q1608" t="s">
        <v>155</v>
      </c>
      <c r="R1608" t="s">
        <v>273</v>
      </c>
      <c r="S1608" t="s">
        <v>470</v>
      </c>
      <c r="T1608">
        <v>4</v>
      </c>
      <c r="U1608" t="s">
        <v>471</v>
      </c>
      <c r="V1608" t="s">
        <v>472</v>
      </c>
      <c r="W1608" t="s">
        <v>473</v>
      </c>
      <c r="X1608" t="s">
        <v>306</v>
      </c>
      <c r="Y1608" t="s">
        <v>307</v>
      </c>
      <c r="Z1608">
        <v>65</v>
      </c>
      <c r="AA1608">
        <v>0</v>
      </c>
      <c r="AB1608" t="s">
        <v>151</v>
      </c>
      <c r="AC1608" t="s">
        <v>52</v>
      </c>
      <c r="AD1608" t="s">
        <v>278</v>
      </c>
      <c r="AE1608" t="str">
        <f>IF(AF1608="","",VLOOKUP(AC1608,mapel!$A$2:$B$42,2,FALSE))</f>
        <v/>
      </c>
      <c r="AF1608" t="str">
        <f t="shared" si="75"/>
        <v/>
      </c>
      <c r="AG1608" t="str">
        <f>IF(AF1608="","",IF(AF1608&gt;90,"Sangat baik",IF(AF1608&gt;79,"Baik",IF(AF1608&gt;=pub_gid_0_single_true_output_csv[[#This Row],[KKM]],"Cukup","Kurang"))))</f>
        <v/>
      </c>
      <c r="AH1608" t="str">
        <f t="shared" si="76"/>
        <v/>
      </c>
      <c r="AI1608" s="30" t="str">
        <f>IF(OR(J1608&lt;&gt;"Karakter",pub_gid_0_single_true_output_csv[[#This Row],[Nilai2]]=""),"",IF(AF1608&gt;89,"Sangat baik",IF(AF1608&gt;79,"Baik",IF(AF1608&gt;69,"Cukup",IF(AF1608&gt;59,"Kurang","Sangat kurang")))))</f>
        <v/>
      </c>
      <c r="AJ1608" t="str">
        <f t="shared" si="77"/>
        <v/>
      </c>
      <c r="AK1608" t="str">
        <f>IF(pub_gid_0_single_true_output_csv[[#This Row],[Nilai2]]="","",VLOOKUP(pub_gid_0_single_true_output_csv[[#This Row],[NAMA]],Table7[],3,FALSE))</f>
        <v/>
      </c>
    </row>
    <row r="1609" spans="1:37" x14ac:dyDescent="0.2">
      <c r="A1609">
        <v>1608</v>
      </c>
      <c r="B1609" t="s">
        <v>288</v>
      </c>
      <c r="C1609" t="s">
        <v>54</v>
      </c>
      <c r="D1609" t="s">
        <v>35</v>
      </c>
      <c r="E1609" t="s">
        <v>140</v>
      </c>
      <c r="F1609" s="25">
        <v>46035</v>
      </c>
      <c r="G1609" t="s">
        <v>358</v>
      </c>
      <c r="H1609" t="s">
        <v>405</v>
      </c>
      <c r="I1609" t="s">
        <v>371</v>
      </c>
      <c r="J1609" t="s">
        <v>41</v>
      </c>
      <c r="K1609" t="s">
        <v>365</v>
      </c>
      <c r="L1609" t="s">
        <v>322</v>
      </c>
      <c r="M1609" t="s">
        <v>141</v>
      </c>
      <c r="N1609" t="s">
        <v>142</v>
      </c>
      <c r="O1609" t="s">
        <v>155</v>
      </c>
      <c r="P1609" t="s">
        <v>281</v>
      </c>
      <c r="Q1609" t="s">
        <v>155</v>
      </c>
      <c r="R1609" t="s">
        <v>273</v>
      </c>
      <c r="S1609" t="s">
        <v>470</v>
      </c>
      <c r="T1609">
        <v>4</v>
      </c>
      <c r="U1609" t="s">
        <v>471</v>
      </c>
      <c r="V1609" t="s">
        <v>472</v>
      </c>
      <c r="W1609" t="s">
        <v>473</v>
      </c>
      <c r="X1609" t="s">
        <v>306</v>
      </c>
      <c r="Y1609" t="s">
        <v>307</v>
      </c>
      <c r="Z1609">
        <v>65</v>
      </c>
      <c r="AA1609">
        <v>0</v>
      </c>
      <c r="AB1609" t="s">
        <v>151</v>
      </c>
      <c r="AC1609" t="s">
        <v>52</v>
      </c>
      <c r="AD1609" t="s">
        <v>278</v>
      </c>
      <c r="AE1609" t="str">
        <f>IF(AF1609="","",VLOOKUP(AC1609,mapel!$A$2:$B$42,2,FALSE))</f>
        <v/>
      </c>
      <c r="AF1609" t="str">
        <f t="shared" si="75"/>
        <v/>
      </c>
      <c r="AG1609" t="str">
        <f>IF(AF1609="","",IF(AF1609&gt;90,"Sangat baik",IF(AF1609&gt;79,"Baik",IF(AF1609&gt;=pub_gid_0_single_true_output_csv[[#This Row],[KKM]],"Cukup","Kurang"))))</f>
        <v/>
      </c>
      <c r="AH1609" t="str">
        <f t="shared" si="76"/>
        <v/>
      </c>
      <c r="AI1609" s="30" t="str">
        <f>IF(OR(J1609&lt;&gt;"Karakter",pub_gid_0_single_true_output_csv[[#This Row],[Nilai2]]=""),"",IF(AF1609&gt;89,"Sangat baik",IF(AF1609&gt;79,"Baik",IF(AF1609&gt;69,"Cukup",IF(AF1609&gt;59,"Kurang","Sangat kurang")))))</f>
        <v/>
      </c>
      <c r="AJ1609" t="str">
        <f t="shared" si="77"/>
        <v/>
      </c>
      <c r="AK1609" t="str">
        <f>IF(pub_gid_0_single_true_output_csv[[#This Row],[Nilai2]]="","",VLOOKUP(pub_gid_0_single_true_output_csv[[#This Row],[NAMA]],Table7[],3,FALSE))</f>
        <v/>
      </c>
    </row>
    <row r="1610" spans="1:37" x14ac:dyDescent="0.2">
      <c r="A1610">
        <v>1609</v>
      </c>
      <c r="B1610" t="s">
        <v>288</v>
      </c>
      <c r="C1610" t="s">
        <v>54</v>
      </c>
      <c r="D1610" t="s">
        <v>35</v>
      </c>
      <c r="E1610" t="s">
        <v>140</v>
      </c>
      <c r="F1610" s="25">
        <v>46036</v>
      </c>
      <c r="G1610" t="s">
        <v>353</v>
      </c>
      <c r="H1610" t="s">
        <v>405</v>
      </c>
      <c r="I1610" t="s">
        <v>371</v>
      </c>
      <c r="J1610" t="s">
        <v>41</v>
      </c>
      <c r="K1610" t="s">
        <v>365</v>
      </c>
      <c r="L1610" t="s">
        <v>319</v>
      </c>
      <c r="M1610" t="s">
        <v>141</v>
      </c>
      <c r="N1610" t="s">
        <v>142</v>
      </c>
      <c r="O1610" t="s">
        <v>155</v>
      </c>
      <c r="P1610" t="s">
        <v>281</v>
      </c>
      <c r="Q1610" t="s">
        <v>155</v>
      </c>
      <c r="R1610" t="s">
        <v>273</v>
      </c>
      <c r="S1610" t="s">
        <v>470</v>
      </c>
      <c r="T1610">
        <v>4</v>
      </c>
      <c r="U1610" t="s">
        <v>471</v>
      </c>
      <c r="V1610" t="s">
        <v>472</v>
      </c>
      <c r="W1610" t="s">
        <v>473</v>
      </c>
      <c r="X1610" t="s">
        <v>306</v>
      </c>
      <c r="Y1610" t="s">
        <v>307</v>
      </c>
      <c r="Z1610">
        <v>65</v>
      </c>
      <c r="AA1610">
        <v>0</v>
      </c>
      <c r="AB1610" t="s">
        <v>151</v>
      </c>
      <c r="AC1610" t="s">
        <v>52</v>
      </c>
      <c r="AD1610" t="s">
        <v>278</v>
      </c>
      <c r="AE1610" t="str">
        <f>IF(AF1610="","",VLOOKUP(AC1610,mapel!$A$2:$B$42,2,FALSE))</f>
        <v/>
      </c>
      <c r="AF1610" t="str">
        <f t="shared" si="75"/>
        <v/>
      </c>
      <c r="AG1610" t="str">
        <f>IF(AF1610="","",IF(AF1610&gt;90,"Sangat baik",IF(AF1610&gt;79,"Baik",IF(AF1610&gt;=pub_gid_0_single_true_output_csv[[#This Row],[KKM]],"Cukup","Kurang"))))</f>
        <v/>
      </c>
      <c r="AH1610" t="str">
        <f t="shared" si="76"/>
        <v/>
      </c>
      <c r="AI1610" s="30" t="str">
        <f>IF(OR(J1610&lt;&gt;"Karakter",pub_gid_0_single_true_output_csv[[#This Row],[Nilai2]]=""),"",IF(AF1610&gt;89,"Sangat baik",IF(AF1610&gt;79,"Baik",IF(AF1610&gt;69,"Cukup",IF(AF1610&gt;59,"Kurang","Sangat kurang")))))</f>
        <v/>
      </c>
      <c r="AJ1610" t="str">
        <f t="shared" si="77"/>
        <v/>
      </c>
      <c r="AK1610" t="str">
        <f>IF(pub_gid_0_single_true_output_csv[[#This Row],[Nilai2]]="","",VLOOKUP(pub_gid_0_single_true_output_csv[[#This Row],[NAMA]],Table7[],3,FALSE))</f>
        <v/>
      </c>
    </row>
    <row r="1611" spans="1:37" x14ac:dyDescent="0.2">
      <c r="A1611">
        <v>1610</v>
      </c>
      <c r="B1611" t="s">
        <v>288</v>
      </c>
      <c r="C1611" t="s">
        <v>54</v>
      </c>
      <c r="D1611" t="s">
        <v>35</v>
      </c>
      <c r="E1611" t="s">
        <v>140</v>
      </c>
      <c r="F1611" s="25">
        <v>46037</v>
      </c>
      <c r="G1611" t="s">
        <v>356</v>
      </c>
      <c r="H1611" t="s">
        <v>405</v>
      </c>
      <c r="I1611" t="s">
        <v>371</v>
      </c>
      <c r="J1611" t="s">
        <v>36</v>
      </c>
      <c r="K1611" t="s">
        <v>37</v>
      </c>
      <c r="L1611" t="s">
        <v>383</v>
      </c>
      <c r="M1611" t="s">
        <v>141</v>
      </c>
      <c r="N1611" t="s">
        <v>142</v>
      </c>
      <c r="O1611" t="s">
        <v>155</v>
      </c>
      <c r="P1611" t="s">
        <v>281</v>
      </c>
      <c r="Q1611" t="s">
        <v>155</v>
      </c>
      <c r="R1611" t="s">
        <v>273</v>
      </c>
      <c r="S1611" t="s">
        <v>470</v>
      </c>
      <c r="T1611">
        <v>4</v>
      </c>
      <c r="U1611" t="s">
        <v>471</v>
      </c>
      <c r="V1611" t="s">
        <v>472</v>
      </c>
      <c r="W1611" t="s">
        <v>473</v>
      </c>
      <c r="X1611" t="s">
        <v>306</v>
      </c>
      <c r="Y1611" t="s">
        <v>307</v>
      </c>
      <c r="Z1611">
        <v>65</v>
      </c>
      <c r="AA1611">
        <v>0</v>
      </c>
      <c r="AB1611" t="s">
        <v>151</v>
      </c>
      <c r="AC1611" t="s">
        <v>52</v>
      </c>
      <c r="AD1611" t="s">
        <v>278</v>
      </c>
      <c r="AE1611" t="str">
        <f>IF(AF1611="","",VLOOKUP(AC1611,mapel!$A$2:$B$42,2,FALSE))</f>
        <v/>
      </c>
      <c r="AF1611" t="str">
        <f t="shared" si="75"/>
        <v/>
      </c>
      <c r="AG1611" t="str">
        <f>IF(AF1611="","",IF(AF1611&gt;90,"Sangat baik",IF(AF1611&gt;79,"Baik",IF(AF1611&gt;=pub_gid_0_single_true_output_csv[[#This Row],[KKM]],"Cukup","Kurang"))))</f>
        <v/>
      </c>
      <c r="AH1611" t="str">
        <f t="shared" si="76"/>
        <v/>
      </c>
      <c r="AI1611" s="30" t="str">
        <f>IF(OR(J1611&lt;&gt;"Karakter",pub_gid_0_single_true_output_csv[[#This Row],[Nilai2]]=""),"",IF(AF1611&gt;89,"Sangat baik",IF(AF1611&gt;79,"Baik",IF(AF1611&gt;69,"Cukup",IF(AF1611&gt;59,"Kurang","Sangat kurang")))))</f>
        <v/>
      </c>
      <c r="AJ1611" t="str">
        <f t="shared" si="77"/>
        <v/>
      </c>
      <c r="AK1611" t="str">
        <f>IF(pub_gid_0_single_true_output_csv[[#This Row],[Nilai2]]="","",VLOOKUP(pub_gid_0_single_true_output_csv[[#This Row],[NAMA]],Table7[],3,FALSE))</f>
        <v/>
      </c>
    </row>
    <row r="1612" spans="1:37" x14ac:dyDescent="0.2">
      <c r="A1612">
        <v>1611</v>
      </c>
      <c r="B1612" t="s">
        <v>288</v>
      </c>
      <c r="C1612" t="s">
        <v>54</v>
      </c>
      <c r="D1612" t="s">
        <v>35</v>
      </c>
      <c r="E1612" t="s">
        <v>140</v>
      </c>
      <c r="F1612" s="25">
        <v>46042</v>
      </c>
      <c r="G1612" t="s">
        <v>474</v>
      </c>
      <c r="H1612" t="s">
        <v>405</v>
      </c>
      <c r="I1612" t="s">
        <v>371</v>
      </c>
      <c r="J1612" t="s">
        <v>90</v>
      </c>
      <c r="K1612" t="s">
        <v>366</v>
      </c>
      <c r="L1612" t="s">
        <v>475</v>
      </c>
      <c r="M1612" t="s">
        <v>141</v>
      </c>
      <c r="N1612" t="s">
        <v>142</v>
      </c>
      <c r="O1612" t="s">
        <v>155</v>
      </c>
      <c r="P1612" t="s">
        <v>281</v>
      </c>
      <c r="Q1612" t="s">
        <v>155</v>
      </c>
      <c r="R1612" t="s">
        <v>273</v>
      </c>
      <c r="S1612" t="s">
        <v>470</v>
      </c>
      <c r="T1612">
        <v>4</v>
      </c>
      <c r="U1612" t="s">
        <v>471</v>
      </c>
      <c r="V1612" t="s">
        <v>472</v>
      </c>
      <c r="W1612" t="s">
        <v>473</v>
      </c>
      <c r="X1612" t="s">
        <v>306</v>
      </c>
      <c r="Y1612" t="s">
        <v>307</v>
      </c>
      <c r="Z1612">
        <v>65</v>
      </c>
      <c r="AA1612">
        <v>0</v>
      </c>
      <c r="AB1612" t="s">
        <v>151</v>
      </c>
      <c r="AC1612" t="s">
        <v>52</v>
      </c>
      <c r="AD1612" t="s">
        <v>278</v>
      </c>
      <c r="AE1612" t="str">
        <f>IF(AF1612="","",VLOOKUP(AC1612,mapel!$A$2:$B$42,2,FALSE))</f>
        <v/>
      </c>
      <c r="AF1612" t="str">
        <f t="shared" si="75"/>
        <v/>
      </c>
      <c r="AG1612" t="str">
        <f>IF(AF1612="","",IF(AF1612&gt;90,"Sangat baik",IF(AF1612&gt;79,"Baik",IF(AF1612&gt;=pub_gid_0_single_true_output_csv[[#This Row],[KKM]],"Cukup","Kurang"))))</f>
        <v/>
      </c>
      <c r="AH1612" t="str">
        <f t="shared" si="76"/>
        <v/>
      </c>
      <c r="AI1612" s="30" t="str">
        <f>IF(OR(J1612&lt;&gt;"Karakter",pub_gid_0_single_true_output_csv[[#This Row],[Nilai2]]=""),"",IF(AF1612&gt;89,"Sangat baik",IF(AF1612&gt;79,"Baik",IF(AF1612&gt;69,"Cukup",IF(AF1612&gt;59,"Kurang","Sangat kurang")))))</f>
        <v/>
      </c>
      <c r="AJ1612" t="str">
        <f t="shared" si="77"/>
        <v/>
      </c>
      <c r="AK1612" t="str">
        <f>IF(pub_gid_0_single_true_output_csv[[#This Row],[Nilai2]]="","",VLOOKUP(pub_gid_0_single_true_output_csv[[#This Row],[NAMA]],Table7[],3,FALSE))</f>
        <v/>
      </c>
    </row>
    <row r="1613" spans="1:37" x14ac:dyDescent="0.2">
      <c r="A1613">
        <v>1612</v>
      </c>
      <c r="B1613" t="s">
        <v>288</v>
      </c>
      <c r="C1613" t="s">
        <v>54</v>
      </c>
      <c r="D1613" t="s">
        <v>35</v>
      </c>
      <c r="E1613" t="s">
        <v>140</v>
      </c>
      <c r="F1613" s="25">
        <v>46051</v>
      </c>
      <c r="G1613" t="s">
        <v>320</v>
      </c>
      <c r="H1613" t="s">
        <v>405</v>
      </c>
      <c r="I1613" t="s">
        <v>371</v>
      </c>
      <c r="J1613" t="s">
        <v>41</v>
      </c>
      <c r="K1613" t="s">
        <v>365</v>
      </c>
      <c r="L1613" t="s">
        <v>319</v>
      </c>
      <c r="M1613" t="s">
        <v>141</v>
      </c>
      <c r="N1613" t="s">
        <v>142</v>
      </c>
      <c r="O1613" t="s">
        <v>155</v>
      </c>
      <c r="P1613" t="s">
        <v>281</v>
      </c>
      <c r="Q1613" t="s">
        <v>155</v>
      </c>
      <c r="R1613" t="s">
        <v>273</v>
      </c>
      <c r="S1613" t="s">
        <v>470</v>
      </c>
      <c r="T1613">
        <v>4</v>
      </c>
      <c r="U1613" t="s">
        <v>471</v>
      </c>
      <c r="V1613" t="s">
        <v>472</v>
      </c>
      <c r="W1613" t="s">
        <v>473</v>
      </c>
      <c r="X1613" t="s">
        <v>306</v>
      </c>
      <c r="Y1613" t="s">
        <v>307</v>
      </c>
      <c r="Z1613">
        <v>65</v>
      </c>
      <c r="AA1613">
        <v>0</v>
      </c>
      <c r="AB1613" t="s">
        <v>151</v>
      </c>
      <c r="AC1613" t="s">
        <v>52</v>
      </c>
      <c r="AD1613" t="s">
        <v>278</v>
      </c>
      <c r="AE1613" t="str">
        <f>IF(AF1613="","",VLOOKUP(AC1613,mapel!$A$2:$B$42,2,FALSE))</f>
        <v/>
      </c>
      <c r="AF1613" t="str">
        <f t="shared" si="75"/>
        <v/>
      </c>
      <c r="AG1613" t="str">
        <f>IF(AF1613="","",IF(AF1613&gt;90,"Sangat baik",IF(AF1613&gt;79,"Baik",IF(AF1613&gt;=pub_gid_0_single_true_output_csv[[#This Row],[KKM]],"Cukup","Kurang"))))</f>
        <v/>
      </c>
      <c r="AH1613" t="str">
        <f t="shared" si="76"/>
        <v/>
      </c>
      <c r="AI1613" s="30" t="str">
        <f>IF(OR(J1613&lt;&gt;"Karakter",pub_gid_0_single_true_output_csv[[#This Row],[Nilai2]]=""),"",IF(AF1613&gt;89,"Sangat baik",IF(AF1613&gt;79,"Baik",IF(AF1613&gt;69,"Cukup",IF(AF1613&gt;59,"Kurang","Sangat kurang")))))</f>
        <v/>
      </c>
      <c r="AJ1613" t="str">
        <f t="shared" si="77"/>
        <v/>
      </c>
      <c r="AK1613" t="str">
        <f>IF(pub_gid_0_single_true_output_csv[[#This Row],[Nilai2]]="","",VLOOKUP(pub_gid_0_single_true_output_csv[[#This Row],[NAMA]],Table7[],3,FALSE))</f>
        <v/>
      </c>
    </row>
    <row r="1614" spans="1:37" x14ac:dyDescent="0.2">
      <c r="A1614">
        <v>1613</v>
      </c>
      <c r="B1614" t="s">
        <v>288</v>
      </c>
      <c r="C1614" t="s">
        <v>54</v>
      </c>
      <c r="D1614" t="s">
        <v>35</v>
      </c>
      <c r="E1614" t="s">
        <v>140</v>
      </c>
      <c r="F1614" s="25">
        <v>46056</v>
      </c>
      <c r="G1614" t="s">
        <v>372</v>
      </c>
      <c r="H1614" t="s">
        <v>412</v>
      </c>
      <c r="I1614" t="s">
        <v>371</v>
      </c>
      <c r="J1614" t="s">
        <v>41</v>
      </c>
      <c r="K1614" t="s">
        <v>365</v>
      </c>
      <c r="L1614" t="s">
        <v>322</v>
      </c>
      <c r="M1614" t="s">
        <v>141</v>
      </c>
      <c r="N1614" t="s">
        <v>142</v>
      </c>
      <c r="O1614" t="s">
        <v>155</v>
      </c>
      <c r="P1614" t="s">
        <v>281</v>
      </c>
      <c r="Q1614" t="s">
        <v>155</v>
      </c>
      <c r="R1614" t="s">
        <v>273</v>
      </c>
      <c r="S1614" t="s">
        <v>309</v>
      </c>
      <c r="T1614">
        <v>1</v>
      </c>
      <c r="U1614" t="s">
        <v>393</v>
      </c>
      <c r="V1614" t="s">
        <v>285</v>
      </c>
      <c r="W1614" t="s">
        <v>394</v>
      </c>
      <c r="X1614" t="s">
        <v>306</v>
      </c>
      <c r="Y1614" t="s">
        <v>307</v>
      </c>
      <c r="Z1614">
        <v>65</v>
      </c>
      <c r="AA1614">
        <v>0</v>
      </c>
      <c r="AB1614" t="s">
        <v>151</v>
      </c>
      <c r="AC1614" t="s">
        <v>52</v>
      </c>
      <c r="AD1614" t="s">
        <v>278</v>
      </c>
      <c r="AE1614" t="str">
        <f>IF(AF1614="","",VLOOKUP(AC1614,mapel!$A$2:$B$42,2,FALSE))</f>
        <v/>
      </c>
      <c r="AF1614" t="str">
        <f t="shared" si="75"/>
        <v/>
      </c>
      <c r="AG1614" t="str">
        <f>IF(AF1614="","",IF(AF1614&gt;90,"Sangat baik",IF(AF1614&gt;79,"Baik",IF(AF1614&gt;=pub_gid_0_single_true_output_csv[[#This Row],[KKM]],"Cukup","Kurang"))))</f>
        <v/>
      </c>
      <c r="AH1614" t="str">
        <f t="shared" si="76"/>
        <v/>
      </c>
      <c r="AI1614" s="30" t="str">
        <f>IF(OR(J1614&lt;&gt;"Karakter",pub_gid_0_single_true_output_csv[[#This Row],[Nilai2]]=""),"",IF(AF1614&gt;89,"Sangat baik",IF(AF1614&gt;79,"Baik",IF(AF1614&gt;69,"Cukup",IF(AF1614&gt;59,"Kurang","Sangat kurang")))))</f>
        <v/>
      </c>
      <c r="AJ1614" t="str">
        <f t="shared" si="77"/>
        <v/>
      </c>
      <c r="AK1614" t="str">
        <f>IF(pub_gid_0_single_true_output_csv[[#This Row],[Nilai2]]="","",VLOOKUP(pub_gid_0_single_true_output_csv[[#This Row],[NAMA]],Table7[],3,FALSE))</f>
        <v/>
      </c>
    </row>
    <row r="1615" spans="1:37" x14ac:dyDescent="0.2">
      <c r="A1615">
        <v>1614</v>
      </c>
      <c r="B1615" t="s">
        <v>288</v>
      </c>
      <c r="C1615" t="s">
        <v>54</v>
      </c>
      <c r="D1615" t="s">
        <v>35</v>
      </c>
      <c r="E1615" t="s">
        <v>140</v>
      </c>
      <c r="F1615" s="25">
        <v>46057</v>
      </c>
      <c r="G1615" t="s">
        <v>348</v>
      </c>
      <c r="H1615" t="s">
        <v>412</v>
      </c>
      <c r="I1615" t="s">
        <v>371</v>
      </c>
      <c r="J1615" t="s">
        <v>36</v>
      </c>
      <c r="K1615" t="s">
        <v>153</v>
      </c>
      <c r="L1615" t="s">
        <v>395</v>
      </c>
      <c r="M1615" t="s">
        <v>141</v>
      </c>
      <c r="N1615" t="s">
        <v>142</v>
      </c>
      <c r="O1615" t="s">
        <v>155</v>
      </c>
      <c r="P1615" t="s">
        <v>281</v>
      </c>
      <c r="Q1615" t="s">
        <v>155</v>
      </c>
      <c r="R1615" t="s">
        <v>273</v>
      </c>
      <c r="S1615" t="s">
        <v>309</v>
      </c>
      <c r="T1615">
        <v>1</v>
      </c>
      <c r="U1615" t="s">
        <v>393</v>
      </c>
      <c r="V1615" t="s">
        <v>285</v>
      </c>
      <c r="W1615" t="s">
        <v>394</v>
      </c>
      <c r="X1615" t="s">
        <v>306</v>
      </c>
      <c r="Y1615" t="s">
        <v>307</v>
      </c>
      <c r="Z1615">
        <v>65</v>
      </c>
      <c r="AA1615">
        <v>0</v>
      </c>
      <c r="AB1615" t="s">
        <v>151</v>
      </c>
      <c r="AC1615" t="s">
        <v>52</v>
      </c>
      <c r="AD1615" t="s">
        <v>278</v>
      </c>
      <c r="AE1615" t="str">
        <f>IF(AF1615="","",VLOOKUP(AC1615,mapel!$A$2:$B$42,2,FALSE))</f>
        <v/>
      </c>
      <c r="AF1615" t="str">
        <f t="shared" si="75"/>
        <v/>
      </c>
      <c r="AG1615" t="str">
        <f>IF(AF1615="","",IF(AF1615&gt;90,"Sangat baik",IF(AF1615&gt;79,"Baik",IF(AF1615&gt;=pub_gid_0_single_true_output_csv[[#This Row],[KKM]],"Cukup","Kurang"))))</f>
        <v/>
      </c>
      <c r="AH1615" t="str">
        <f t="shared" si="76"/>
        <v/>
      </c>
      <c r="AI1615" s="30" t="str">
        <f>IF(OR(J1615&lt;&gt;"Karakter",pub_gid_0_single_true_output_csv[[#This Row],[Nilai2]]=""),"",IF(AF1615&gt;89,"Sangat baik",IF(AF1615&gt;79,"Baik",IF(AF1615&gt;69,"Cukup",IF(AF1615&gt;59,"Kurang","Sangat kurang")))))</f>
        <v/>
      </c>
      <c r="AJ1615" t="str">
        <f t="shared" si="77"/>
        <v/>
      </c>
      <c r="AK1615" t="str">
        <f>IF(pub_gid_0_single_true_output_csv[[#This Row],[Nilai2]]="","",VLOOKUP(pub_gid_0_single_true_output_csv[[#This Row],[NAMA]],Table7[],3,FALSE))</f>
        <v/>
      </c>
    </row>
    <row r="1616" spans="1:37" x14ac:dyDescent="0.2">
      <c r="A1616">
        <v>1615</v>
      </c>
      <c r="B1616" t="s">
        <v>288</v>
      </c>
      <c r="C1616" t="s">
        <v>54</v>
      </c>
      <c r="D1616" t="s">
        <v>35</v>
      </c>
      <c r="E1616" t="s">
        <v>140</v>
      </c>
      <c r="F1616" s="25">
        <v>46058</v>
      </c>
      <c r="G1616" t="s">
        <v>346</v>
      </c>
      <c r="H1616" t="s">
        <v>412</v>
      </c>
      <c r="I1616" t="s">
        <v>371</v>
      </c>
      <c r="J1616" t="s">
        <v>41</v>
      </c>
      <c r="K1616" t="s">
        <v>365</v>
      </c>
      <c r="L1616" t="s">
        <v>322</v>
      </c>
      <c r="M1616" t="s">
        <v>141</v>
      </c>
      <c r="N1616" t="s">
        <v>142</v>
      </c>
      <c r="O1616" t="s">
        <v>155</v>
      </c>
      <c r="P1616" t="s">
        <v>281</v>
      </c>
      <c r="Q1616" t="s">
        <v>155</v>
      </c>
      <c r="R1616" t="s">
        <v>273</v>
      </c>
      <c r="S1616" t="s">
        <v>309</v>
      </c>
      <c r="T1616">
        <v>1</v>
      </c>
      <c r="U1616" t="s">
        <v>393</v>
      </c>
      <c r="V1616" t="s">
        <v>285</v>
      </c>
      <c r="W1616" t="s">
        <v>394</v>
      </c>
      <c r="X1616" t="s">
        <v>306</v>
      </c>
      <c r="Y1616" t="s">
        <v>307</v>
      </c>
      <c r="Z1616">
        <v>65</v>
      </c>
      <c r="AA1616">
        <v>0</v>
      </c>
      <c r="AB1616" t="s">
        <v>151</v>
      </c>
      <c r="AC1616" t="s">
        <v>52</v>
      </c>
      <c r="AD1616" t="s">
        <v>278</v>
      </c>
      <c r="AE1616" t="str">
        <f>IF(AF1616="","",VLOOKUP(AC1616,mapel!$A$2:$B$42,2,FALSE))</f>
        <v/>
      </c>
      <c r="AF1616" t="str">
        <f t="shared" si="75"/>
        <v/>
      </c>
      <c r="AG1616" t="str">
        <f>IF(AF1616="","",IF(AF1616&gt;90,"Sangat baik",IF(AF1616&gt;79,"Baik",IF(AF1616&gt;=pub_gid_0_single_true_output_csv[[#This Row],[KKM]],"Cukup","Kurang"))))</f>
        <v/>
      </c>
      <c r="AH1616" t="str">
        <f t="shared" si="76"/>
        <v/>
      </c>
      <c r="AI1616" s="30" t="str">
        <f>IF(OR(J1616&lt;&gt;"Karakter",pub_gid_0_single_true_output_csv[[#This Row],[Nilai2]]=""),"",IF(AF1616&gt;89,"Sangat baik",IF(AF1616&gt;79,"Baik",IF(AF1616&gt;69,"Cukup",IF(AF1616&gt;59,"Kurang","Sangat kurang")))))</f>
        <v/>
      </c>
      <c r="AJ1616" t="str">
        <f t="shared" si="77"/>
        <v/>
      </c>
      <c r="AK1616" t="str">
        <f>IF(pub_gid_0_single_true_output_csv[[#This Row],[Nilai2]]="","",VLOOKUP(pub_gid_0_single_true_output_csv[[#This Row],[NAMA]],Table7[],3,FALSE))</f>
        <v/>
      </c>
    </row>
    <row r="1617" spans="1:37" x14ac:dyDescent="0.2">
      <c r="A1617">
        <v>1616</v>
      </c>
      <c r="B1617" t="s">
        <v>288</v>
      </c>
      <c r="C1617" t="s">
        <v>54</v>
      </c>
      <c r="D1617" t="s">
        <v>35</v>
      </c>
      <c r="E1617" t="s">
        <v>140</v>
      </c>
      <c r="F1617" s="25">
        <v>46063</v>
      </c>
      <c r="G1617" t="s">
        <v>374</v>
      </c>
      <c r="H1617" t="s">
        <v>412</v>
      </c>
      <c r="I1617" t="s">
        <v>371</v>
      </c>
      <c r="J1617" t="s">
        <v>36</v>
      </c>
      <c r="K1617" t="s">
        <v>153</v>
      </c>
      <c r="L1617" t="s">
        <v>395</v>
      </c>
      <c r="M1617" t="s">
        <v>141</v>
      </c>
      <c r="N1617" t="s">
        <v>142</v>
      </c>
      <c r="O1617" t="s">
        <v>155</v>
      </c>
      <c r="P1617" t="s">
        <v>281</v>
      </c>
      <c r="Q1617" t="s">
        <v>155</v>
      </c>
      <c r="R1617" t="s">
        <v>273</v>
      </c>
      <c r="S1617" t="s">
        <v>309</v>
      </c>
      <c r="T1617">
        <v>1</v>
      </c>
      <c r="U1617" t="s">
        <v>393</v>
      </c>
      <c r="V1617" t="s">
        <v>285</v>
      </c>
      <c r="W1617" t="s">
        <v>394</v>
      </c>
      <c r="X1617" t="s">
        <v>306</v>
      </c>
      <c r="Y1617" t="s">
        <v>307</v>
      </c>
      <c r="Z1617">
        <v>65</v>
      </c>
      <c r="AA1617">
        <v>0</v>
      </c>
      <c r="AB1617" t="s">
        <v>151</v>
      </c>
      <c r="AC1617" t="s">
        <v>52</v>
      </c>
      <c r="AD1617" t="s">
        <v>278</v>
      </c>
      <c r="AE1617" t="str">
        <f>IF(AF1617="","",VLOOKUP(AC1617,mapel!$A$2:$B$42,2,FALSE))</f>
        <v/>
      </c>
      <c r="AF1617" t="str">
        <f t="shared" si="75"/>
        <v/>
      </c>
      <c r="AG1617" t="str">
        <f>IF(AF1617="","",IF(AF1617&gt;90,"Sangat baik",IF(AF1617&gt;79,"Baik",IF(AF1617&gt;=pub_gid_0_single_true_output_csv[[#This Row],[KKM]],"Cukup","Kurang"))))</f>
        <v/>
      </c>
      <c r="AH1617" t="str">
        <f t="shared" si="76"/>
        <v/>
      </c>
      <c r="AI1617" s="30" t="str">
        <f>IF(OR(J1617&lt;&gt;"Karakter",pub_gid_0_single_true_output_csv[[#This Row],[Nilai2]]=""),"",IF(AF1617&gt;89,"Sangat baik",IF(AF1617&gt;79,"Baik",IF(AF1617&gt;69,"Cukup",IF(AF1617&gt;59,"Kurang","Sangat kurang")))))</f>
        <v/>
      </c>
      <c r="AJ1617" t="str">
        <f t="shared" si="77"/>
        <v/>
      </c>
      <c r="AK1617" t="str">
        <f>IF(pub_gid_0_single_true_output_csv[[#This Row],[Nilai2]]="","",VLOOKUP(pub_gid_0_single_true_output_csv[[#This Row],[NAMA]],Table7[],3,FALSE))</f>
        <v/>
      </c>
    </row>
    <row r="1618" spans="1:37" x14ac:dyDescent="0.2">
      <c r="A1618">
        <v>1617</v>
      </c>
      <c r="B1618" t="s">
        <v>288</v>
      </c>
      <c r="C1618" t="s">
        <v>54</v>
      </c>
      <c r="D1618" t="s">
        <v>35</v>
      </c>
      <c r="E1618" t="s">
        <v>140</v>
      </c>
      <c r="F1618" s="25">
        <v>46064</v>
      </c>
      <c r="G1618" t="s">
        <v>352</v>
      </c>
      <c r="H1618" t="s">
        <v>412</v>
      </c>
      <c r="I1618" t="s">
        <v>371</v>
      </c>
      <c r="J1618" t="s">
        <v>31</v>
      </c>
      <c r="K1618" t="s">
        <v>32</v>
      </c>
      <c r="L1618" t="s">
        <v>395</v>
      </c>
      <c r="M1618" t="s">
        <v>141</v>
      </c>
      <c r="N1618" t="s">
        <v>142</v>
      </c>
      <c r="O1618" t="s">
        <v>155</v>
      </c>
      <c r="P1618" t="s">
        <v>281</v>
      </c>
      <c r="Q1618" t="s">
        <v>155</v>
      </c>
      <c r="R1618" t="s">
        <v>273</v>
      </c>
      <c r="S1618" t="s">
        <v>309</v>
      </c>
      <c r="T1618">
        <v>1</v>
      </c>
      <c r="U1618" t="s">
        <v>393</v>
      </c>
      <c r="V1618" t="s">
        <v>285</v>
      </c>
      <c r="W1618" t="s">
        <v>394</v>
      </c>
      <c r="X1618" t="s">
        <v>306</v>
      </c>
      <c r="Y1618" t="s">
        <v>307</v>
      </c>
      <c r="Z1618">
        <v>65</v>
      </c>
      <c r="AA1618">
        <v>0</v>
      </c>
      <c r="AB1618" t="s">
        <v>151</v>
      </c>
      <c r="AC1618" t="s">
        <v>52</v>
      </c>
      <c r="AD1618" t="s">
        <v>278</v>
      </c>
      <c r="AE1618" t="str">
        <f>IF(AF1618="","",VLOOKUP(AC1618,mapel!$A$2:$B$42,2,FALSE))</f>
        <v/>
      </c>
      <c r="AF1618" t="str">
        <f t="shared" si="75"/>
        <v/>
      </c>
      <c r="AG1618" t="str">
        <f>IF(AF1618="","",IF(AF1618&gt;90,"Sangat baik",IF(AF1618&gt;79,"Baik",IF(AF1618&gt;=pub_gid_0_single_true_output_csv[[#This Row],[KKM]],"Cukup","Kurang"))))</f>
        <v/>
      </c>
      <c r="AH1618" t="str">
        <f t="shared" si="76"/>
        <v/>
      </c>
      <c r="AI1618" s="30" t="str">
        <f>IF(OR(J1618&lt;&gt;"Karakter",pub_gid_0_single_true_output_csv[[#This Row],[Nilai2]]=""),"",IF(AF1618&gt;89,"Sangat baik",IF(AF1618&gt;79,"Baik",IF(AF1618&gt;69,"Cukup",IF(AF1618&gt;59,"Kurang","Sangat kurang")))))</f>
        <v/>
      </c>
      <c r="AJ1618" t="str">
        <f t="shared" si="77"/>
        <v/>
      </c>
      <c r="AK1618" t="str">
        <f>IF(pub_gid_0_single_true_output_csv[[#This Row],[Nilai2]]="","",VLOOKUP(pub_gid_0_single_true_output_csv[[#This Row],[NAMA]],Table7[],3,FALSE))</f>
        <v/>
      </c>
    </row>
    <row r="1619" spans="1:37" x14ac:dyDescent="0.2">
      <c r="A1619">
        <v>1618</v>
      </c>
      <c r="B1619" t="s">
        <v>288</v>
      </c>
      <c r="C1619" t="s">
        <v>54</v>
      </c>
      <c r="D1619" t="s">
        <v>35</v>
      </c>
      <c r="E1619" t="s">
        <v>140</v>
      </c>
      <c r="F1619" s="25">
        <v>46065</v>
      </c>
      <c r="G1619" t="s">
        <v>354</v>
      </c>
      <c r="H1619" t="s">
        <v>412</v>
      </c>
      <c r="I1619" t="s">
        <v>371</v>
      </c>
      <c r="J1619" t="s">
        <v>41</v>
      </c>
      <c r="K1619" t="s">
        <v>365</v>
      </c>
      <c r="L1619" t="s">
        <v>322</v>
      </c>
      <c r="M1619" t="s">
        <v>141</v>
      </c>
      <c r="N1619" t="s">
        <v>142</v>
      </c>
      <c r="O1619" t="s">
        <v>155</v>
      </c>
      <c r="P1619" t="s">
        <v>281</v>
      </c>
      <c r="Q1619" t="s">
        <v>155</v>
      </c>
      <c r="R1619" t="s">
        <v>273</v>
      </c>
      <c r="S1619" t="s">
        <v>309</v>
      </c>
      <c r="T1619">
        <v>1</v>
      </c>
      <c r="U1619" t="s">
        <v>393</v>
      </c>
      <c r="V1619" t="s">
        <v>285</v>
      </c>
      <c r="W1619" t="s">
        <v>394</v>
      </c>
      <c r="X1619" t="s">
        <v>306</v>
      </c>
      <c r="Y1619" t="s">
        <v>307</v>
      </c>
      <c r="Z1619">
        <v>65</v>
      </c>
      <c r="AA1619">
        <v>0</v>
      </c>
      <c r="AB1619" t="s">
        <v>151</v>
      </c>
      <c r="AC1619" t="s">
        <v>52</v>
      </c>
      <c r="AD1619" t="s">
        <v>278</v>
      </c>
      <c r="AE1619" t="str">
        <f>IF(AF1619="","",VLOOKUP(AC1619,mapel!$A$2:$B$42,2,FALSE))</f>
        <v/>
      </c>
      <c r="AF1619" t="str">
        <f t="shared" si="75"/>
        <v/>
      </c>
      <c r="AG1619" t="str">
        <f>IF(AF1619="","",IF(AF1619&gt;90,"Sangat baik",IF(AF1619&gt;79,"Baik",IF(AF1619&gt;=pub_gid_0_single_true_output_csv[[#This Row],[KKM]],"Cukup","Kurang"))))</f>
        <v/>
      </c>
      <c r="AH1619" t="str">
        <f t="shared" si="76"/>
        <v/>
      </c>
      <c r="AI1619" s="30" t="str">
        <f>IF(OR(J1619&lt;&gt;"Karakter",pub_gid_0_single_true_output_csv[[#This Row],[Nilai2]]=""),"",IF(AF1619&gt;89,"Sangat baik",IF(AF1619&gt;79,"Baik",IF(AF1619&gt;69,"Cukup",IF(AF1619&gt;59,"Kurang","Sangat kurang")))))</f>
        <v/>
      </c>
      <c r="AJ1619" t="str">
        <f t="shared" si="77"/>
        <v/>
      </c>
      <c r="AK1619" t="str">
        <f>IF(pub_gid_0_single_true_output_csv[[#This Row],[Nilai2]]="","",VLOOKUP(pub_gid_0_single_true_output_csv[[#This Row],[NAMA]],Table7[],3,FALSE))</f>
        <v/>
      </c>
    </row>
    <row r="1620" spans="1:37" x14ac:dyDescent="0.2">
      <c r="A1620">
        <v>1619</v>
      </c>
      <c r="B1620" t="s">
        <v>288</v>
      </c>
      <c r="C1620" t="s">
        <v>54</v>
      </c>
      <c r="D1620" t="s">
        <v>35</v>
      </c>
      <c r="E1620" t="s">
        <v>140</v>
      </c>
      <c r="F1620" s="25">
        <v>46071</v>
      </c>
      <c r="G1620" t="s">
        <v>323</v>
      </c>
      <c r="H1620" t="s">
        <v>412</v>
      </c>
      <c r="I1620" t="s">
        <v>371</v>
      </c>
      <c r="J1620" t="s">
        <v>41</v>
      </c>
      <c r="K1620" t="s">
        <v>365</v>
      </c>
      <c r="L1620" t="s">
        <v>319</v>
      </c>
      <c r="M1620" t="s">
        <v>141</v>
      </c>
      <c r="N1620" t="s">
        <v>142</v>
      </c>
      <c r="O1620" t="s">
        <v>155</v>
      </c>
      <c r="P1620" t="s">
        <v>281</v>
      </c>
      <c r="Q1620" t="s">
        <v>155</v>
      </c>
      <c r="R1620" t="s">
        <v>273</v>
      </c>
      <c r="S1620" t="s">
        <v>470</v>
      </c>
      <c r="T1620">
        <v>4</v>
      </c>
      <c r="U1620" t="s">
        <v>471</v>
      </c>
      <c r="V1620" t="s">
        <v>472</v>
      </c>
      <c r="W1620" t="s">
        <v>473</v>
      </c>
      <c r="X1620" t="s">
        <v>306</v>
      </c>
      <c r="Y1620" t="s">
        <v>307</v>
      </c>
      <c r="Z1620">
        <v>65</v>
      </c>
      <c r="AA1620">
        <v>0</v>
      </c>
      <c r="AB1620" t="s">
        <v>151</v>
      </c>
      <c r="AC1620" t="s">
        <v>52</v>
      </c>
      <c r="AD1620" t="s">
        <v>278</v>
      </c>
      <c r="AE1620" t="str">
        <f>IF(AF1620="","",VLOOKUP(AC1620,mapel!$A$2:$B$42,2,FALSE))</f>
        <v/>
      </c>
      <c r="AF1620" t="str">
        <f t="shared" si="75"/>
        <v/>
      </c>
      <c r="AG1620" t="str">
        <f>IF(AF1620="","",IF(AF1620&gt;90,"Sangat baik",IF(AF1620&gt;79,"Baik",IF(AF1620&gt;=pub_gid_0_single_true_output_csv[[#This Row],[KKM]],"Cukup","Kurang"))))</f>
        <v/>
      </c>
      <c r="AH1620" t="str">
        <f t="shared" si="76"/>
        <v/>
      </c>
      <c r="AI1620" s="30" t="str">
        <f>IF(OR(J1620&lt;&gt;"Karakter",pub_gid_0_single_true_output_csv[[#This Row],[Nilai2]]=""),"",IF(AF1620&gt;89,"Sangat baik",IF(AF1620&gt;79,"Baik",IF(AF1620&gt;69,"Cukup",IF(AF1620&gt;59,"Kurang","Sangat kurang")))))</f>
        <v/>
      </c>
      <c r="AJ1620" t="str">
        <f t="shared" si="77"/>
        <v/>
      </c>
      <c r="AK1620" t="str">
        <f>IF(pub_gid_0_single_true_output_csv[[#This Row],[Nilai2]]="","",VLOOKUP(pub_gid_0_single_true_output_csv[[#This Row],[NAMA]],Table7[],3,FALSE))</f>
        <v/>
      </c>
    </row>
    <row r="1621" spans="1:37" x14ac:dyDescent="0.2">
      <c r="A1621">
        <v>1620</v>
      </c>
      <c r="B1621" t="s">
        <v>288</v>
      </c>
      <c r="C1621" t="s">
        <v>54</v>
      </c>
      <c r="D1621" t="s">
        <v>35</v>
      </c>
      <c r="E1621" t="s">
        <v>140</v>
      </c>
      <c r="F1621" s="25">
        <v>46077</v>
      </c>
      <c r="G1621" t="s">
        <v>476</v>
      </c>
      <c r="H1621" t="s">
        <v>412</v>
      </c>
      <c r="I1621" t="s">
        <v>371</v>
      </c>
      <c r="J1621" t="s">
        <v>41</v>
      </c>
      <c r="K1621" t="s">
        <v>365</v>
      </c>
      <c r="L1621" t="s">
        <v>319</v>
      </c>
      <c r="M1621" t="s">
        <v>141</v>
      </c>
      <c r="N1621" t="s">
        <v>142</v>
      </c>
      <c r="O1621" t="s">
        <v>155</v>
      </c>
      <c r="P1621" t="s">
        <v>281</v>
      </c>
      <c r="Q1621" t="s">
        <v>155</v>
      </c>
      <c r="R1621" t="s">
        <v>273</v>
      </c>
      <c r="S1621" t="s">
        <v>470</v>
      </c>
      <c r="T1621">
        <v>4</v>
      </c>
      <c r="U1621" t="s">
        <v>471</v>
      </c>
      <c r="V1621" t="s">
        <v>472</v>
      </c>
      <c r="W1621" t="s">
        <v>473</v>
      </c>
      <c r="X1621" t="s">
        <v>306</v>
      </c>
      <c r="Y1621" t="s">
        <v>307</v>
      </c>
      <c r="Z1621">
        <v>65</v>
      </c>
      <c r="AA1621">
        <v>0</v>
      </c>
      <c r="AB1621" t="s">
        <v>151</v>
      </c>
      <c r="AC1621" t="s">
        <v>52</v>
      </c>
      <c r="AD1621" t="s">
        <v>278</v>
      </c>
      <c r="AE1621" t="str">
        <f>IF(AF1621="","",VLOOKUP(AC1621,mapel!$A$2:$B$42,2,FALSE))</f>
        <v/>
      </c>
      <c r="AF1621" t="str">
        <f t="shared" si="75"/>
        <v/>
      </c>
      <c r="AG1621" t="str">
        <f>IF(AF1621="","",IF(AF1621&gt;90,"Sangat baik",IF(AF1621&gt;79,"Baik",IF(AF1621&gt;=pub_gid_0_single_true_output_csv[[#This Row],[KKM]],"Cukup","Kurang"))))</f>
        <v/>
      </c>
      <c r="AH1621" t="str">
        <f t="shared" si="76"/>
        <v/>
      </c>
      <c r="AI1621" s="30" t="str">
        <f>IF(OR(J1621&lt;&gt;"Karakter",pub_gid_0_single_true_output_csv[[#This Row],[Nilai2]]=""),"",IF(AF1621&gt;89,"Sangat baik",IF(AF1621&gt;79,"Baik",IF(AF1621&gt;69,"Cukup",IF(AF1621&gt;59,"Kurang","Sangat kurang")))))</f>
        <v/>
      </c>
      <c r="AJ1621" t="str">
        <f t="shared" si="77"/>
        <v/>
      </c>
      <c r="AK1621" t="str">
        <f>IF(pub_gid_0_single_true_output_csv[[#This Row],[Nilai2]]="","",VLOOKUP(pub_gid_0_single_true_output_csv[[#This Row],[NAMA]],Table7[],3,FALSE))</f>
        <v/>
      </c>
    </row>
    <row r="1622" spans="1:37" x14ac:dyDescent="0.2">
      <c r="A1622">
        <v>1621</v>
      </c>
      <c r="B1622" t="s">
        <v>288</v>
      </c>
      <c r="C1622" t="s">
        <v>54</v>
      </c>
      <c r="D1622" t="s">
        <v>35</v>
      </c>
      <c r="E1622" t="s">
        <v>140</v>
      </c>
      <c r="F1622" s="25">
        <v>46078</v>
      </c>
      <c r="G1622" t="s">
        <v>284</v>
      </c>
      <c r="H1622" t="s">
        <v>412</v>
      </c>
      <c r="I1622" t="s">
        <v>371</v>
      </c>
      <c r="J1622" t="s">
        <v>36</v>
      </c>
      <c r="K1622" t="s">
        <v>153</v>
      </c>
      <c r="L1622" t="s">
        <v>319</v>
      </c>
      <c r="M1622" t="s">
        <v>141</v>
      </c>
      <c r="N1622" t="s">
        <v>142</v>
      </c>
      <c r="O1622" t="s">
        <v>155</v>
      </c>
      <c r="P1622" t="s">
        <v>281</v>
      </c>
      <c r="Q1622" t="s">
        <v>155</v>
      </c>
      <c r="R1622" t="s">
        <v>273</v>
      </c>
      <c r="S1622" t="s">
        <v>470</v>
      </c>
      <c r="T1622">
        <v>4</v>
      </c>
      <c r="U1622" t="s">
        <v>471</v>
      </c>
      <c r="V1622" t="s">
        <v>472</v>
      </c>
      <c r="W1622" t="s">
        <v>473</v>
      </c>
      <c r="X1622" t="s">
        <v>306</v>
      </c>
      <c r="Y1622" t="s">
        <v>307</v>
      </c>
      <c r="Z1622">
        <v>65</v>
      </c>
      <c r="AA1622">
        <v>0</v>
      </c>
      <c r="AB1622" t="s">
        <v>151</v>
      </c>
      <c r="AC1622" t="s">
        <v>52</v>
      </c>
      <c r="AD1622" t="s">
        <v>278</v>
      </c>
      <c r="AE1622" t="str">
        <f>IF(AF1622="","",VLOOKUP(AC1622,mapel!$A$2:$B$42,2,FALSE))</f>
        <v/>
      </c>
      <c r="AF1622" t="str">
        <f t="shared" si="75"/>
        <v/>
      </c>
      <c r="AG1622" t="str">
        <f>IF(AF1622="","",IF(AF1622&gt;90,"Sangat baik",IF(AF1622&gt;79,"Baik",IF(AF1622&gt;=pub_gid_0_single_true_output_csv[[#This Row],[KKM]],"Cukup","Kurang"))))</f>
        <v/>
      </c>
      <c r="AH1622" t="str">
        <f t="shared" si="76"/>
        <v/>
      </c>
      <c r="AI1622" s="30" t="str">
        <f>IF(OR(J1622&lt;&gt;"Karakter",pub_gid_0_single_true_output_csv[[#This Row],[Nilai2]]=""),"",IF(AF1622&gt;89,"Sangat baik",IF(AF1622&gt;79,"Baik",IF(AF1622&gt;69,"Cukup",IF(AF1622&gt;59,"Kurang","Sangat kurang")))))</f>
        <v/>
      </c>
      <c r="AJ1622" t="str">
        <f t="shared" si="77"/>
        <v/>
      </c>
      <c r="AK1622" t="str">
        <f>IF(pub_gid_0_single_true_output_csv[[#This Row],[Nilai2]]="","",VLOOKUP(pub_gid_0_single_true_output_csv[[#This Row],[NAMA]],Table7[],3,FALSE))</f>
        <v/>
      </c>
    </row>
    <row r="1623" spans="1:37" x14ac:dyDescent="0.2">
      <c r="A1623">
        <v>1622</v>
      </c>
      <c r="B1623" t="s">
        <v>294</v>
      </c>
      <c r="C1623" t="s">
        <v>54</v>
      </c>
      <c r="D1623" t="s">
        <v>46</v>
      </c>
      <c r="E1623" t="s">
        <v>148</v>
      </c>
      <c r="F1623" s="25">
        <v>46035</v>
      </c>
      <c r="G1623" t="s">
        <v>358</v>
      </c>
      <c r="H1623" t="s">
        <v>405</v>
      </c>
      <c r="I1623" t="s">
        <v>371</v>
      </c>
      <c r="J1623" t="s">
        <v>41</v>
      </c>
      <c r="K1623" t="s">
        <v>365</v>
      </c>
      <c r="L1623" t="s">
        <v>322</v>
      </c>
      <c r="M1623" t="s">
        <v>141</v>
      </c>
      <c r="N1623" t="s">
        <v>142</v>
      </c>
      <c r="O1623" t="s">
        <v>155</v>
      </c>
      <c r="P1623" t="s">
        <v>281</v>
      </c>
      <c r="Q1623" t="s">
        <v>155</v>
      </c>
      <c r="R1623" t="s">
        <v>273</v>
      </c>
      <c r="S1623" t="s">
        <v>470</v>
      </c>
      <c r="T1623">
        <v>4</v>
      </c>
      <c r="U1623" t="s">
        <v>471</v>
      </c>
      <c r="V1623" t="s">
        <v>472</v>
      </c>
      <c r="W1623" t="s">
        <v>473</v>
      </c>
      <c r="X1623" t="s">
        <v>306</v>
      </c>
      <c r="Y1623" t="s">
        <v>307</v>
      </c>
      <c r="Z1623">
        <v>65</v>
      </c>
      <c r="AA1623">
        <v>0</v>
      </c>
      <c r="AB1623" t="s">
        <v>151</v>
      </c>
      <c r="AC1623" t="s">
        <v>52</v>
      </c>
      <c r="AD1623" t="s">
        <v>278</v>
      </c>
      <c r="AE1623" t="str">
        <f>IF(AF1623="","",VLOOKUP(AC1623,mapel!$A$2:$B$42,2,FALSE))</f>
        <v/>
      </c>
      <c r="AF1623" t="str">
        <f t="shared" si="75"/>
        <v/>
      </c>
      <c r="AG1623" t="str">
        <f>IF(AF1623="","",IF(AF1623&gt;90,"Sangat baik",IF(AF1623&gt;79,"Baik",IF(AF1623&gt;=pub_gid_0_single_true_output_csv[[#This Row],[KKM]],"Cukup","Kurang"))))</f>
        <v/>
      </c>
      <c r="AH1623" t="str">
        <f t="shared" si="76"/>
        <v/>
      </c>
      <c r="AI1623" s="30" t="str">
        <f>IF(OR(J1623&lt;&gt;"Karakter",pub_gid_0_single_true_output_csv[[#This Row],[Nilai2]]=""),"",IF(AF1623&gt;89,"Sangat baik",IF(AF1623&gt;79,"Baik",IF(AF1623&gt;69,"Cukup",IF(AF1623&gt;59,"Kurang","Sangat kurang")))))</f>
        <v/>
      </c>
      <c r="AJ1623" t="str">
        <f t="shared" si="77"/>
        <v/>
      </c>
      <c r="AK1623" t="str">
        <f>IF(pub_gid_0_single_true_output_csv[[#This Row],[Nilai2]]="","",VLOOKUP(pub_gid_0_single_true_output_csv[[#This Row],[NAMA]],Table7[],3,FALSE))</f>
        <v/>
      </c>
    </row>
    <row r="1624" spans="1:37" x14ac:dyDescent="0.2">
      <c r="A1624">
        <v>1623</v>
      </c>
      <c r="B1624" t="s">
        <v>294</v>
      </c>
      <c r="C1624" t="s">
        <v>54</v>
      </c>
      <c r="D1624" t="s">
        <v>46</v>
      </c>
      <c r="E1624" t="s">
        <v>148</v>
      </c>
      <c r="F1624" s="25">
        <v>46036</v>
      </c>
      <c r="G1624" t="s">
        <v>353</v>
      </c>
      <c r="H1624" t="s">
        <v>405</v>
      </c>
      <c r="I1624" t="s">
        <v>371</v>
      </c>
      <c r="J1624" t="s">
        <v>41</v>
      </c>
      <c r="K1624" t="s">
        <v>365</v>
      </c>
      <c r="L1624" t="s">
        <v>319</v>
      </c>
      <c r="M1624" t="s">
        <v>141</v>
      </c>
      <c r="N1624" t="s">
        <v>142</v>
      </c>
      <c r="O1624" t="s">
        <v>155</v>
      </c>
      <c r="P1624" t="s">
        <v>281</v>
      </c>
      <c r="Q1624" t="s">
        <v>155</v>
      </c>
      <c r="R1624" t="s">
        <v>273</v>
      </c>
      <c r="S1624" t="s">
        <v>470</v>
      </c>
      <c r="T1624">
        <v>4</v>
      </c>
      <c r="U1624" t="s">
        <v>471</v>
      </c>
      <c r="V1624" t="s">
        <v>472</v>
      </c>
      <c r="W1624" t="s">
        <v>473</v>
      </c>
      <c r="X1624" t="s">
        <v>306</v>
      </c>
      <c r="Y1624" t="s">
        <v>307</v>
      </c>
      <c r="Z1624">
        <v>65</v>
      </c>
      <c r="AA1624">
        <v>0</v>
      </c>
      <c r="AB1624" t="s">
        <v>151</v>
      </c>
      <c r="AC1624" t="s">
        <v>52</v>
      </c>
      <c r="AD1624" t="s">
        <v>278</v>
      </c>
      <c r="AE1624" t="str">
        <f>IF(AF1624="","",VLOOKUP(AC1624,mapel!$A$2:$B$42,2,FALSE))</f>
        <v/>
      </c>
      <c r="AF1624" t="str">
        <f t="shared" si="75"/>
        <v/>
      </c>
      <c r="AG1624" t="str">
        <f>IF(AF1624="","",IF(AF1624&gt;90,"Sangat baik",IF(AF1624&gt;79,"Baik",IF(AF1624&gt;=pub_gid_0_single_true_output_csv[[#This Row],[KKM]],"Cukup","Kurang"))))</f>
        <v/>
      </c>
      <c r="AH1624" t="str">
        <f t="shared" si="76"/>
        <v/>
      </c>
      <c r="AI1624" s="30" t="str">
        <f>IF(OR(J1624&lt;&gt;"Karakter",pub_gid_0_single_true_output_csv[[#This Row],[Nilai2]]=""),"",IF(AF1624&gt;89,"Sangat baik",IF(AF1624&gt;79,"Baik",IF(AF1624&gt;69,"Cukup",IF(AF1624&gt;59,"Kurang","Sangat kurang")))))</f>
        <v/>
      </c>
      <c r="AJ1624" t="str">
        <f t="shared" si="77"/>
        <v/>
      </c>
      <c r="AK1624" t="str">
        <f>IF(pub_gid_0_single_true_output_csv[[#This Row],[Nilai2]]="","",VLOOKUP(pub_gid_0_single_true_output_csv[[#This Row],[NAMA]],Table7[],3,FALSE))</f>
        <v/>
      </c>
    </row>
    <row r="1625" spans="1:37" x14ac:dyDescent="0.2">
      <c r="A1625">
        <v>1624</v>
      </c>
      <c r="B1625" t="s">
        <v>294</v>
      </c>
      <c r="C1625" t="s">
        <v>54</v>
      </c>
      <c r="D1625" t="s">
        <v>46</v>
      </c>
      <c r="E1625" t="s">
        <v>148</v>
      </c>
      <c r="F1625" s="25">
        <v>46037</v>
      </c>
      <c r="G1625" t="s">
        <v>356</v>
      </c>
      <c r="H1625" t="s">
        <v>405</v>
      </c>
      <c r="I1625" t="s">
        <v>371</v>
      </c>
      <c r="J1625" t="s">
        <v>36</v>
      </c>
      <c r="K1625" t="s">
        <v>37</v>
      </c>
      <c r="L1625" t="s">
        <v>383</v>
      </c>
      <c r="M1625" t="s">
        <v>141</v>
      </c>
      <c r="N1625" t="s">
        <v>142</v>
      </c>
      <c r="O1625" t="s">
        <v>155</v>
      </c>
      <c r="P1625" t="s">
        <v>281</v>
      </c>
      <c r="Q1625" t="s">
        <v>155</v>
      </c>
      <c r="R1625" t="s">
        <v>273</v>
      </c>
      <c r="S1625" t="s">
        <v>470</v>
      </c>
      <c r="T1625">
        <v>4</v>
      </c>
      <c r="U1625" t="s">
        <v>471</v>
      </c>
      <c r="V1625" t="s">
        <v>472</v>
      </c>
      <c r="W1625" t="s">
        <v>473</v>
      </c>
      <c r="X1625" t="s">
        <v>306</v>
      </c>
      <c r="Y1625" t="s">
        <v>307</v>
      </c>
      <c r="Z1625">
        <v>65</v>
      </c>
      <c r="AA1625">
        <v>0</v>
      </c>
      <c r="AB1625" t="s">
        <v>151</v>
      </c>
      <c r="AC1625" t="s">
        <v>52</v>
      </c>
      <c r="AD1625" t="s">
        <v>278</v>
      </c>
      <c r="AE1625" t="str">
        <f>IF(AF1625="","",VLOOKUP(AC1625,mapel!$A$2:$B$42,2,FALSE))</f>
        <v/>
      </c>
      <c r="AF1625" t="str">
        <f t="shared" si="75"/>
        <v/>
      </c>
      <c r="AG1625" t="str">
        <f>IF(AF1625="","",IF(AF1625&gt;90,"Sangat baik",IF(AF1625&gt;79,"Baik",IF(AF1625&gt;=pub_gid_0_single_true_output_csv[[#This Row],[KKM]],"Cukup","Kurang"))))</f>
        <v/>
      </c>
      <c r="AH1625" t="str">
        <f t="shared" si="76"/>
        <v/>
      </c>
      <c r="AI1625" s="30" t="str">
        <f>IF(OR(J1625&lt;&gt;"Karakter",pub_gid_0_single_true_output_csv[[#This Row],[Nilai2]]=""),"",IF(AF1625&gt;89,"Sangat baik",IF(AF1625&gt;79,"Baik",IF(AF1625&gt;69,"Cukup",IF(AF1625&gt;59,"Kurang","Sangat kurang")))))</f>
        <v/>
      </c>
      <c r="AJ1625" t="str">
        <f t="shared" si="77"/>
        <v/>
      </c>
      <c r="AK1625" t="str">
        <f>IF(pub_gid_0_single_true_output_csv[[#This Row],[Nilai2]]="","",VLOOKUP(pub_gid_0_single_true_output_csv[[#This Row],[NAMA]],Table7[],3,FALSE))</f>
        <v/>
      </c>
    </row>
    <row r="1626" spans="1:37" x14ac:dyDescent="0.2">
      <c r="A1626">
        <v>1625</v>
      </c>
      <c r="B1626" t="s">
        <v>294</v>
      </c>
      <c r="C1626" t="s">
        <v>54</v>
      </c>
      <c r="D1626" t="s">
        <v>46</v>
      </c>
      <c r="E1626" t="s">
        <v>148</v>
      </c>
      <c r="F1626" s="25">
        <v>46042</v>
      </c>
      <c r="G1626" t="s">
        <v>474</v>
      </c>
      <c r="H1626" t="s">
        <v>405</v>
      </c>
      <c r="I1626" t="s">
        <v>371</v>
      </c>
      <c r="J1626" t="s">
        <v>90</v>
      </c>
      <c r="K1626" t="s">
        <v>366</v>
      </c>
      <c r="L1626" t="s">
        <v>475</v>
      </c>
      <c r="M1626" t="s">
        <v>141</v>
      </c>
      <c r="N1626" t="s">
        <v>142</v>
      </c>
      <c r="O1626" t="s">
        <v>155</v>
      </c>
      <c r="P1626" t="s">
        <v>281</v>
      </c>
      <c r="Q1626" t="s">
        <v>155</v>
      </c>
      <c r="R1626" t="s">
        <v>273</v>
      </c>
      <c r="S1626" t="s">
        <v>470</v>
      </c>
      <c r="T1626">
        <v>4</v>
      </c>
      <c r="U1626" t="s">
        <v>471</v>
      </c>
      <c r="V1626" t="s">
        <v>472</v>
      </c>
      <c r="W1626" t="s">
        <v>473</v>
      </c>
      <c r="X1626" t="s">
        <v>306</v>
      </c>
      <c r="Y1626" t="s">
        <v>307</v>
      </c>
      <c r="Z1626">
        <v>65</v>
      </c>
      <c r="AA1626">
        <v>0</v>
      </c>
      <c r="AB1626" t="s">
        <v>151</v>
      </c>
      <c r="AC1626" t="s">
        <v>52</v>
      </c>
      <c r="AD1626" t="s">
        <v>278</v>
      </c>
      <c r="AE1626" t="str">
        <f>IF(AF1626="","",VLOOKUP(AC1626,mapel!$A$2:$B$42,2,FALSE))</f>
        <v/>
      </c>
      <c r="AF1626" t="str">
        <f t="shared" si="75"/>
        <v/>
      </c>
      <c r="AG1626" t="str">
        <f>IF(AF1626="","",IF(AF1626&gt;90,"Sangat baik",IF(AF1626&gt;79,"Baik",IF(AF1626&gt;=pub_gid_0_single_true_output_csv[[#This Row],[KKM]],"Cukup","Kurang"))))</f>
        <v/>
      </c>
      <c r="AH1626" t="str">
        <f t="shared" si="76"/>
        <v/>
      </c>
      <c r="AI1626" s="30" t="str">
        <f>IF(OR(J1626&lt;&gt;"Karakter",pub_gid_0_single_true_output_csv[[#This Row],[Nilai2]]=""),"",IF(AF1626&gt;89,"Sangat baik",IF(AF1626&gt;79,"Baik",IF(AF1626&gt;69,"Cukup",IF(AF1626&gt;59,"Kurang","Sangat kurang")))))</f>
        <v/>
      </c>
      <c r="AJ1626" t="str">
        <f t="shared" si="77"/>
        <v/>
      </c>
      <c r="AK1626" t="str">
        <f>IF(pub_gid_0_single_true_output_csv[[#This Row],[Nilai2]]="","",VLOOKUP(pub_gid_0_single_true_output_csv[[#This Row],[NAMA]],Table7[],3,FALSE))</f>
        <v/>
      </c>
    </row>
    <row r="1627" spans="1:37" x14ac:dyDescent="0.2">
      <c r="A1627">
        <v>1626</v>
      </c>
      <c r="B1627" t="s">
        <v>294</v>
      </c>
      <c r="C1627" t="s">
        <v>54</v>
      </c>
      <c r="D1627" t="s">
        <v>46</v>
      </c>
      <c r="E1627" t="s">
        <v>148</v>
      </c>
      <c r="F1627" s="25">
        <v>46051</v>
      </c>
      <c r="G1627" t="s">
        <v>320</v>
      </c>
      <c r="H1627" t="s">
        <v>405</v>
      </c>
      <c r="I1627" t="s">
        <v>371</v>
      </c>
      <c r="J1627" t="s">
        <v>41</v>
      </c>
      <c r="K1627" t="s">
        <v>365</v>
      </c>
      <c r="L1627" t="s">
        <v>319</v>
      </c>
      <c r="M1627" t="s">
        <v>141</v>
      </c>
      <c r="N1627" t="s">
        <v>142</v>
      </c>
      <c r="O1627" t="s">
        <v>155</v>
      </c>
      <c r="P1627" t="s">
        <v>281</v>
      </c>
      <c r="Q1627" t="s">
        <v>155</v>
      </c>
      <c r="R1627" t="s">
        <v>273</v>
      </c>
      <c r="S1627" t="s">
        <v>470</v>
      </c>
      <c r="T1627">
        <v>4</v>
      </c>
      <c r="U1627" t="s">
        <v>471</v>
      </c>
      <c r="V1627" t="s">
        <v>472</v>
      </c>
      <c r="W1627" t="s">
        <v>473</v>
      </c>
      <c r="X1627" t="s">
        <v>306</v>
      </c>
      <c r="Y1627" t="s">
        <v>307</v>
      </c>
      <c r="Z1627">
        <v>65</v>
      </c>
      <c r="AA1627">
        <v>80</v>
      </c>
      <c r="AB1627" t="s">
        <v>143</v>
      </c>
      <c r="AC1627" t="s">
        <v>52</v>
      </c>
      <c r="AD1627" t="s">
        <v>278</v>
      </c>
      <c r="AE1627" t="str">
        <f>IF(AF1627="","",VLOOKUP(AC1627,mapel!$A$2:$B$42,2,FALSE))</f>
        <v>Tepung</v>
      </c>
      <c r="AF1627">
        <f t="shared" si="75"/>
        <v>80</v>
      </c>
      <c r="AG1627" t="str">
        <f>IF(AF1627="","",IF(AF1627&gt;90,"Sangat baik",IF(AF1627&gt;79,"Baik",IF(AF1627&gt;=pub_gid_0_single_true_output_csv[[#This Row],[KKM]],"Cukup","Kurang"))))</f>
        <v>Baik</v>
      </c>
      <c r="AH1627">
        <f t="shared" si="76"/>
        <v>11</v>
      </c>
      <c r="AI1627" s="30" t="str">
        <f>IF(OR(J1627&lt;&gt;"Karakter",pub_gid_0_single_true_output_csv[[#This Row],[Nilai2]]=""),"",IF(AF1627&gt;89,"Sangat baik",IF(AF1627&gt;79,"Baik",IF(AF1627&gt;69,"Cukup",IF(AF1627&gt;59,"Kurang","Sangat kurang")))))</f>
        <v/>
      </c>
      <c r="AJ1627" t="str">
        <f t="shared" si="77"/>
        <v>Wk.5</v>
      </c>
      <c r="AK1627" t="str">
        <f>IF(pub_gid_0_single_true_output_csv[[#This Row],[Nilai2]]="","",VLOOKUP(pub_gid_0_single_true_output_csv[[#This Row],[NAMA]],Table7[],3,FALSE))</f>
        <v>Average</v>
      </c>
    </row>
    <row r="1628" spans="1:37" x14ac:dyDescent="0.2">
      <c r="A1628">
        <v>1627</v>
      </c>
      <c r="B1628" t="s">
        <v>294</v>
      </c>
      <c r="C1628" t="s">
        <v>54</v>
      </c>
      <c r="D1628" t="s">
        <v>46</v>
      </c>
      <c r="E1628" t="s">
        <v>148</v>
      </c>
      <c r="F1628" s="25">
        <v>46056</v>
      </c>
      <c r="G1628" t="s">
        <v>372</v>
      </c>
      <c r="H1628" t="s">
        <v>412</v>
      </c>
      <c r="I1628" t="s">
        <v>371</v>
      </c>
      <c r="J1628" t="s">
        <v>41</v>
      </c>
      <c r="K1628" t="s">
        <v>365</v>
      </c>
      <c r="L1628" t="s">
        <v>322</v>
      </c>
      <c r="M1628" t="s">
        <v>141</v>
      </c>
      <c r="N1628" t="s">
        <v>142</v>
      </c>
      <c r="O1628" t="s">
        <v>155</v>
      </c>
      <c r="P1628" t="s">
        <v>281</v>
      </c>
      <c r="Q1628" t="s">
        <v>155</v>
      </c>
      <c r="R1628" t="s">
        <v>273</v>
      </c>
      <c r="S1628" t="s">
        <v>309</v>
      </c>
      <c r="T1628">
        <v>1</v>
      </c>
      <c r="U1628" t="s">
        <v>393</v>
      </c>
      <c r="V1628" t="s">
        <v>285</v>
      </c>
      <c r="W1628" t="s">
        <v>394</v>
      </c>
      <c r="X1628" t="s">
        <v>306</v>
      </c>
      <c r="Y1628" t="s">
        <v>307</v>
      </c>
      <c r="Z1628">
        <v>65</v>
      </c>
      <c r="AA1628">
        <v>78</v>
      </c>
      <c r="AB1628" t="s">
        <v>143</v>
      </c>
      <c r="AC1628" t="s">
        <v>52</v>
      </c>
      <c r="AD1628" t="s">
        <v>278</v>
      </c>
      <c r="AE1628" t="str">
        <f>IF(AF1628="","",VLOOKUP(AC1628,mapel!$A$2:$B$42,2,FALSE))</f>
        <v>Tepung</v>
      </c>
      <c r="AF1628">
        <f t="shared" si="75"/>
        <v>78</v>
      </c>
      <c r="AG1628" t="str">
        <f>IF(AF1628="","",IF(AF1628&gt;90,"Sangat baik",IF(AF1628&gt;79,"Baik",IF(AF1628&gt;=pub_gid_0_single_true_output_csv[[#This Row],[KKM]],"Cukup","Kurang"))))</f>
        <v>Cukup</v>
      </c>
      <c r="AH1628">
        <f t="shared" si="76"/>
        <v>11</v>
      </c>
      <c r="AI1628" s="30" t="str">
        <f>IF(OR(J1628&lt;&gt;"Karakter",pub_gid_0_single_true_output_csv[[#This Row],[Nilai2]]=""),"",IF(AF1628&gt;89,"Sangat baik",IF(AF1628&gt;79,"Baik",IF(AF1628&gt;69,"Cukup",IF(AF1628&gt;59,"Kurang","Sangat kurang")))))</f>
        <v/>
      </c>
      <c r="AJ1628" t="str">
        <f t="shared" si="77"/>
        <v>Wk.6</v>
      </c>
      <c r="AK1628" t="str">
        <f>IF(pub_gid_0_single_true_output_csv[[#This Row],[Nilai2]]="","",VLOOKUP(pub_gid_0_single_true_output_csv[[#This Row],[NAMA]],Table7[],3,FALSE))</f>
        <v>Average</v>
      </c>
    </row>
    <row r="1629" spans="1:37" x14ac:dyDescent="0.2">
      <c r="A1629">
        <v>1628</v>
      </c>
      <c r="B1629" t="s">
        <v>294</v>
      </c>
      <c r="C1629" t="s">
        <v>54</v>
      </c>
      <c r="D1629" t="s">
        <v>46</v>
      </c>
      <c r="E1629" t="s">
        <v>148</v>
      </c>
      <c r="F1629" s="25">
        <v>46057</v>
      </c>
      <c r="G1629" t="s">
        <v>348</v>
      </c>
      <c r="H1629" t="s">
        <v>412</v>
      </c>
      <c r="I1629" t="s">
        <v>371</v>
      </c>
      <c r="J1629" t="s">
        <v>36</v>
      </c>
      <c r="K1629" t="s">
        <v>153</v>
      </c>
      <c r="L1629" t="s">
        <v>395</v>
      </c>
      <c r="M1629" t="s">
        <v>141</v>
      </c>
      <c r="N1629" t="s">
        <v>142</v>
      </c>
      <c r="O1629" t="s">
        <v>155</v>
      </c>
      <c r="P1629" t="s">
        <v>281</v>
      </c>
      <c r="Q1629" t="s">
        <v>155</v>
      </c>
      <c r="R1629" t="s">
        <v>273</v>
      </c>
      <c r="S1629" t="s">
        <v>309</v>
      </c>
      <c r="T1629">
        <v>1</v>
      </c>
      <c r="U1629" t="s">
        <v>393</v>
      </c>
      <c r="V1629" t="s">
        <v>285</v>
      </c>
      <c r="W1629" t="s">
        <v>394</v>
      </c>
      <c r="X1629" t="s">
        <v>306</v>
      </c>
      <c r="Y1629" t="s">
        <v>307</v>
      </c>
      <c r="Z1629">
        <v>65</v>
      </c>
      <c r="AA1629">
        <v>78</v>
      </c>
      <c r="AB1629" t="s">
        <v>143</v>
      </c>
      <c r="AC1629" t="s">
        <v>52</v>
      </c>
      <c r="AD1629" t="s">
        <v>278</v>
      </c>
      <c r="AE1629" t="str">
        <f>IF(AF1629="","",VLOOKUP(AC1629,mapel!$A$2:$B$42,2,FALSE))</f>
        <v>Tepung</v>
      </c>
      <c r="AF1629">
        <f t="shared" si="75"/>
        <v>78</v>
      </c>
      <c r="AG1629" t="str">
        <f>IF(AF1629="","",IF(AF1629&gt;90,"Sangat baik",IF(AF1629&gt;79,"Baik",IF(AF1629&gt;=pub_gid_0_single_true_output_csv[[#This Row],[KKM]],"Cukup","Kurang"))))</f>
        <v>Cukup</v>
      </c>
      <c r="AH1629">
        <f t="shared" si="76"/>
        <v>11</v>
      </c>
      <c r="AI1629" s="30" t="str">
        <f>IF(OR(J1629&lt;&gt;"Karakter",pub_gid_0_single_true_output_csv[[#This Row],[Nilai2]]=""),"",IF(AF1629&gt;89,"Sangat baik",IF(AF1629&gt;79,"Baik",IF(AF1629&gt;69,"Cukup",IF(AF1629&gt;59,"Kurang","Sangat kurang")))))</f>
        <v/>
      </c>
      <c r="AJ1629" t="str">
        <f t="shared" si="77"/>
        <v>Wk.6</v>
      </c>
      <c r="AK1629" t="str">
        <f>IF(pub_gid_0_single_true_output_csv[[#This Row],[Nilai2]]="","",VLOOKUP(pub_gid_0_single_true_output_csv[[#This Row],[NAMA]],Table7[],3,FALSE))</f>
        <v>Average</v>
      </c>
    </row>
    <row r="1630" spans="1:37" x14ac:dyDescent="0.2">
      <c r="A1630">
        <v>1629</v>
      </c>
      <c r="B1630" t="s">
        <v>294</v>
      </c>
      <c r="C1630" t="s">
        <v>54</v>
      </c>
      <c r="D1630" t="s">
        <v>46</v>
      </c>
      <c r="E1630" t="s">
        <v>148</v>
      </c>
      <c r="F1630" s="25">
        <v>46058</v>
      </c>
      <c r="G1630" t="s">
        <v>346</v>
      </c>
      <c r="H1630" t="s">
        <v>412</v>
      </c>
      <c r="I1630" t="s">
        <v>371</v>
      </c>
      <c r="J1630" t="s">
        <v>41</v>
      </c>
      <c r="K1630" t="s">
        <v>365</v>
      </c>
      <c r="L1630" t="s">
        <v>322</v>
      </c>
      <c r="M1630" t="s">
        <v>141</v>
      </c>
      <c r="N1630" t="s">
        <v>142</v>
      </c>
      <c r="O1630" t="s">
        <v>155</v>
      </c>
      <c r="P1630" t="s">
        <v>281</v>
      </c>
      <c r="Q1630" t="s">
        <v>155</v>
      </c>
      <c r="R1630" t="s">
        <v>273</v>
      </c>
      <c r="S1630" t="s">
        <v>309</v>
      </c>
      <c r="T1630">
        <v>1</v>
      </c>
      <c r="U1630" t="s">
        <v>393</v>
      </c>
      <c r="V1630" t="s">
        <v>285</v>
      </c>
      <c r="W1630" t="s">
        <v>394</v>
      </c>
      <c r="X1630" t="s">
        <v>306</v>
      </c>
      <c r="Y1630" t="s">
        <v>307</v>
      </c>
      <c r="Z1630">
        <v>65</v>
      </c>
      <c r="AA1630">
        <v>78</v>
      </c>
      <c r="AB1630" t="s">
        <v>143</v>
      </c>
      <c r="AC1630" t="s">
        <v>52</v>
      </c>
      <c r="AD1630" t="s">
        <v>278</v>
      </c>
      <c r="AE1630" t="str">
        <f>IF(AF1630="","",VLOOKUP(AC1630,mapel!$A$2:$B$42,2,FALSE))</f>
        <v>Tepung</v>
      </c>
      <c r="AF1630">
        <f t="shared" si="75"/>
        <v>78</v>
      </c>
      <c r="AG1630" t="str">
        <f>IF(AF1630="","",IF(AF1630&gt;90,"Sangat baik",IF(AF1630&gt;79,"Baik",IF(AF1630&gt;=pub_gid_0_single_true_output_csv[[#This Row],[KKM]],"Cukup","Kurang"))))</f>
        <v>Cukup</v>
      </c>
      <c r="AH1630">
        <f t="shared" si="76"/>
        <v>11</v>
      </c>
      <c r="AI1630" s="30" t="str">
        <f>IF(OR(J1630&lt;&gt;"Karakter",pub_gid_0_single_true_output_csv[[#This Row],[Nilai2]]=""),"",IF(AF1630&gt;89,"Sangat baik",IF(AF1630&gt;79,"Baik",IF(AF1630&gt;69,"Cukup",IF(AF1630&gt;59,"Kurang","Sangat kurang")))))</f>
        <v/>
      </c>
      <c r="AJ1630" t="str">
        <f t="shared" si="77"/>
        <v>Wk.6</v>
      </c>
      <c r="AK1630" t="str">
        <f>IF(pub_gid_0_single_true_output_csv[[#This Row],[Nilai2]]="","",VLOOKUP(pub_gid_0_single_true_output_csv[[#This Row],[NAMA]],Table7[],3,FALSE))</f>
        <v>Average</v>
      </c>
    </row>
    <row r="1631" spans="1:37" x14ac:dyDescent="0.2">
      <c r="A1631">
        <v>1630</v>
      </c>
      <c r="B1631" t="s">
        <v>294</v>
      </c>
      <c r="C1631" t="s">
        <v>54</v>
      </c>
      <c r="D1631" t="s">
        <v>46</v>
      </c>
      <c r="E1631" t="s">
        <v>148</v>
      </c>
      <c r="F1631" s="25">
        <v>46063</v>
      </c>
      <c r="G1631" t="s">
        <v>374</v>
      </c>
      <c r="H1631" t="s">
        <v>412</v>
      </c>
      <c r="I1631" t="s">
        <v>371</v>
      </c>
      <c r="J1631" t="s">
        <v>36</v>
      </c>
      <c r="K1631" t="s">
        <v>153</v>
      </c>
      <c r="L1631" t="s">
        <v>395</v>
      </c>
      <c r="M1631" t="s">
        <v>141</v>
      </c>
      <c r="N1631" t="s">
        <v>142</v>
      </c>
      <c r="O1631" t="s">
        <v>155</v>
      </c>
      <c r="P1631" t="s">
        <v>281</v>
      </c>
      <c r="Q1631" t="s">
        <v>155</v>
      </c>
      <c r="R1631" t="s">
        <v>273</v>
      </c>
      <c r="S1631" t="s">
        <v>309</v>
      </c>
      <c r="T1631">
        <v>1</v>
      </c>
      <c r="U1631" t="s">
        <v>393</v>
      </c>
      <c r="V1631" t="s">
        <v>285</v>
      </c>
      <c r="W1631" t="s">
        <v>394</v>
      </c>
      <c r="X1631" t="s">
        <v>306</v>
      </c>
      <c r="Y1631" t="s">
        <v>307</v>
      </c>
      <c r="Z1631">
        <v>65</v>
      </c>
      <c r="AA1631">
        <v>78</v>
      </c>
      <c r="AB1631" t="s">
        <v>143</v>
      </c>
      <c r="AC1631" t="s">
        <v>52</v>
      </c>
      <c r="AD1631" t="s">
        <v>278</v>
      </c>
      <c r="AE1631" t="str">
        <f>IF(AF1631="","",VLOOKUP(AC1631,mapel!$A$2:$B$42,2,FALSE))</f>
        <v>Tepung</v>
      </c>
      <c r="AF1631">
        <f t="shared" si="75"/>
        <v>78</v>
      </c>
      <c r="AG1631" t="str">
        <f>IF(AF1631="","",IF(AF1631&gt;90,"Sangat baik",IF(AF1631&gt;79,"Baik",IF(AF1631&gt;=pub_gid_0_single_true_output_csv[[#This Row],[KKM]],"Cukup","Kurang"))))</f>
        <v>Cukup</v>
      </c>
      <c r="AH1631">
        <f t="shared" si="76"/>
        <v>11</v>
      </c>
      <c r="AI1631" s="30" t="str">
        <f>IF(OR(J1631&lt;&gt;"Karakter",pub_gid_0_single_true_output_csv[[#This Row],[Nilai2]]=""),"",IF(AF1631&gt;89,"Sangat baik",IF(AF1631&gt;79,"Baik",IF(AF1631&gt;69,"Cukup",IF(AF1631&gt;59,"Kurang","Sangat kurang")))))</f>
        <v/>
      </c>
      <c r="AJ1631" t="str">
        <f t="shared" si="77"/>
        <v>Wk.7</v>
      </c>
      <c r="AK1631" t="str">
        <f>IF(pub_gid_0_single_true_output_csv[[#This Row],[Nilai2]]="","",VLOOKUP(pub_gid_0_single_true_output_csv[[#This Row],[NAMA]],Table7[],3,FALSE))</f>
        <v>Average</v>
      </c>
    </row>
    <row r="1632" spans="1:37" x14ac:dyDescent="0.2">
      <c r="A1632">
        <v>1631</v>
      </c>
      <c r="B1632" t="s">
        <v>294</v>
      </c>
      <c r="C1632" t="s">
        <v>54</v>
      </c>
      <c r="D1632" t="s">
        <v>46</v>
      </c>
      <c r="E1632" t="s">
        <v>148</v>
      </c>
      <c r="F1632" s="25">
        <v>46064</v>
      </c>
      <c r="G1632" t="s">
        <v>352</v>
      </c>
      <c r="H1632" t="s">
        <v>412</v>
      </c>
      <c r="I1632" t="s">
        <v>371</v>
      </c>
      <c r="J1632" t="s">
        <v>31</v>
      </c>
      <c r="K1632" t="s">
        <v>32</v>
      </c>
      <c r="L1632" t="s">
        <v>395</v>
      </c>
      <c r="M1632" t="s">
        <v>141</v>
      </c>
      <c r="N1632" t="s">
        <v>142</v>
      </c>
      <c r="O1632" t="s">
        <v>155</v>
      </c>
      <c r="P1632" t="s">
        <v>281</v>
      </c>
      <c r="Q1632" t="s">
        <v>155</v>
      </c>
      <c r="R1632" t="s">
        <v>273</v>
      </c>
      <c r="S1632" t="s">
        <v>309</v>
      </c>
      <c r="T1632">
        <v>1</v>
      </c>
      <c r="U1632" t="s">
        <v>393</v>
      </c>
      <c r="V1632" t="s">
        <v>285</v>
      </c>
      <c r="W1632" t="s">
        <v>394</v>
      </c>
      <c r="X1632" t="s">
        <v>306</v>
      </c>
      <c r="Y1632" t="s">
        <v>307</v>
      </c>
      <c r="Z1632">
        <v>65</v>
      </c>
      <c r="AA1632">
        <v>78</v>
      </c>
      <c r="AB1632" t="s">
        <v>143</v>
      </c>
      <c r="AC1632" t="s">
        <v>52</v>
      </c>
      <c r="AD1632" t="s">
        <v>278</v>
      </c>
      <c r="AE1632" t="str">
        <f>IF(AF1632="","",VLOOKUP(AC1632,mapel!$A$2:$B$42,2,FALSE))</f>
        <v>Tepung</v>
      </c>
      <c r="AF1632">
        <f t="shared" si="75"/>
        <v>78</v>
      </c>
      <c r="AG1632" t="str">
        <f>IF(AF1632="","",IF(AF1632&gt;90,"Sangat baik",IF(AF1632&gt;79,"Baik",IF(AF1632&gt;=pub_gid_0_single_true_output_csv[[#This Row],[KKM]],"Cukup","Kurang"))))</f>
        <v>Cukup</v>
      </c>
      <c r="AH1632">
        <f t="shared" si="76"/>
        <v>11</v>
      </c>
      <c r="AI1632" s="30" t="str">
        <f>IF(OR(J1632&lt;&gt;"Karakter",pub_gid_0_single_true_output_csv[[#This Row],[Nilai2]]=""),"",IF(AF1632&gt;89,"Sangat baik",IF(AF1632&gt;79,"Baik",IF(AF1632&gt;69,"Cukup",IF(AF1632&gt;59,"Kurang","Sangat kurang")))))</f>
        <v/>
      </c>
      <c r="AJ1632" t="str">
        <f t="shared" si="77"/>
        <v>Wk.7</v>
      </c>
      <c r="AK1632" t="str">
        <f>IF(pub_gid_0_single_true_output_csv[[#This Row],[Nilai2]]="","",VLOOKUP(pub_gid_0_single_true_output_csv[[#This Row],[NAMA]],Table7[],3,FALSE))</f>
        <v>Average</v>
      </c>
    </row>
    <row r="1633" spans="1:37" x14ac:dyDescent="0.2">
      <c r="A1633">
        <v>1632</v>
      </c>
      <c r="B1633" t="s">
        <v>294</v>
      </c>
      <c r="C1633" t="s">
        <v>54</v>
      </c>
      <c r="D1633" t="s">
        <v>46</v>
      </c>
      <c r="E1633" t="s">
        <v>148</v>
      </c>
      <c r="F1633" s="25">
        <v>46065</v>
      </c>
      <c r="G1633" t="s">
        <v>354</v>
      </c>
      <c r="H1633" t="s">
        <v>412</v>
      </c>
      <c r="I1633" t="s">
        <v>371</v>
      </c>
      <c r="J1633" t="s">
        <v>41</v>
      </c>
      <c r="K1633" t="s">
        <v>365</v>
      </c>
      <c r="L1633" t="s">
        <v>322</v>
      </c>
      <c r="M1633" t="s">
        <v>141</v>
      </c>
      <c r="N1633" t="s">
        <v>142</v>
      </c>
      <c r="O1633" t="s">
        <v>155</v>
      </c>
      <c r="P1633" t="s">
        <v>281</v>
      </c>
      <c r="Q1633" t="s">
        <v>155</v>
      </c>
      <c r="R1633" t="s">
        <v>273</v>
      </c>
      <c r="S1633" t="s">
        <v>309</v>
      </c>
      <c r="T1633">
        <v>1</v>
      </c>
      <c r="U1633" t="s">
        <v>393</v>
      </c>
      <c r="V1633" t="s">
        <v>285</v>
      </c>
      <c r="W1633" t="s">
        <v>394</v>
      </c>
      <c r="X1633" t="s">
        <v>306</v>
      </c>
      <c r="Y1633" t="s">
        <v>307</v>
      </c>
      <c r="Z1633">
        <v>65</v>
      </c>
      <c r="AA1633">
        <v>78</v>
      </c>
      <c r="AB1633" t="s">
        <v>143</v>
      </c>
      <c r="AC1633" t="s">
        <v>52</v>
      </c>
      <c r="AD1633" t="s">
        <v>278</v>
      </c>
      <c r="AE1633" t="str">
        <f>IF(AF1633="","",VLOOKUP(AC1633,mapel!$A$2:$B$42,2,FALSE))</f>
        <v>Tepung</v>
      </c>
      <c r="AF1633">
        <f t="shared" si="75"/>
        <v>78</v>
      </c>
      <c r="AG1633" t="str">
        <f>IF(AF1633="","",IF(AF1633&gt;90,"Sangat baik",IF(AF1633&gt;79,"Baik",IF(AF1633&gt;=pub_gid_0_single_true_output_csv[[#This Row],[KKM]],"Cukup","Kurang"))))</f>
        <v>Cukup</v>
      </c>
      <c r="AH1633">
        <f t="shared" si="76"/>
        <v>11</v>
      </c>
      <c r="AI1633" s="30" t="str">
        <f>IF(OR(J1633&lt;&gt;"Karakter",pub_gid_0_single_true_output_csv[[#This Row],[Nilai2]]=""),"",IF(AF1633&gt;89,"Sangat baik",IF(AF1633&gt;79,"Baik",IF(AF1633&gt;69,"Cukup",IF(AF1633&gt;59,"Kurang","Sangat kurang")))))</f>
        <v/>
      </c>
      <c r="AJ1633" t="str">
        <f t="shared" si="77"/>
        <v>Wk.7</v>
      </c>
      <c r="AK1633" t="str">
        <f>IF(pub_gid_0_single_true_output_csv[[#This Row],[Nilai2]]="","",VLOOKUP(pub_gid_0_single_true_output_csv[[#This Row],[NAMA]],Table7[],3,FALSE))</f>
        <v>Average</v>
      </c>
    </row>
    <row r="1634" spans="1:37" x14ac:dyDescent="0.2">
      <c r="A1634">
        <v>1633</v>
      </c>
      <c r="B1634" t="s">
        <v>294</v>
      </c>
      <c r="C1634" t="s">
        <v>54</v>
      </c>
      <c r="D1634" t="s">
        <v>46</v>
      </c>
      <c r="E1634" t="s">
        <v>148</v>
      </c>
      <c r="F1634" s="25">
        <v>46071</v>
      </c>
      <c r="G1634" t="s">
        <v>323</v>
      </c>
      <c r="H1634" t="s">
        <v>412</v>
      </c>
      <c r="I1634" t="s">
        <v>371</v>
      </c>
      <c r="J1634" t="s">
        <v>41</v>
      </c>
      <c r="K1634" t="s">
        <v>365</v>
      </c>
      <c r="L1634" t="s">
        <v>319</v>
      </c>
      <c r="M1634" t="s">
        <v>141</v>
      </c>
      <c r="N1634" t="s">
        <v>142</v>
      </c>
      <c r="O1634" t="s">
        <v>155</v>
      </c>
      <c r="P1634" t="s">
        <v>281</v>
      </c>
      <c r="Q1634" t="s">
        <v>155</v>
      </c>
      <c r="R1634" t="s">
        <v>273</v>
      </c>
      <c r="S1634" t="s">
        <v>470</v>
      </c>
      <c r="T1634">
        <v>4</v>
      </c>
      <c r="U1634" t="s">
        <v>471</v>
      </c>
      <c r="V1634" t="s">
        <v>472</v>
      </c>
      <c r="W1634" t="s">
        <v>473</v>
      </c>
      <c r="X1634" t="s">
        <v>306</v>
      </c>
      <c r="Y1634" t="s">
        <v>307</v>
      </c>
      <c r="Z1634">
        <v>65</v>
      </c>
      <c r="AA1634">
        <v>80</v>
      </c>
      <c r="AB1634" t="s">
        <v>143</v>
      </c>
      <c r="AC1634" t="s">
        <v>52</v>
      </c>
      <c r="AD1634" t="s">
        <v>278</v>
      </c>
      <c r="AE1634" t="str">
        <f>IF(AF1634="","",VLOOKUP(AC1634,mapel!$A$2:$B$42,2,FALSE))</f>
        <v>Tepung</v>
      </c>
      <c r="AF1634">
        <f t="shared" si="75"/>
        <v>80</v>
      </c>
      <c r="AG1634" t="str">
        <f>IF(AF1634="","",IF(AF1634&gt;90,"Sangat baik",IF(AF1634&gt;79,"Baik",IF(AF1634&gt;=pub_gid_0_single_true_output_csv[[#This Row],[KKM]],"Cukup","Kurang"))))</f>
        <v>Baik</v>
      </c>
      <c r="AH1634">
        <f t="shared" si="76"/>
        <v>11</v>
      </c>
      <c r="AI1634" s="30" t="str">
        <f>IF(OR(J1634&lt;&gt;"Karakter",pub_gid_0_single_true_output_csv[[#This Row],[Nilai2]]=""),"",IF(AF1634&gt;89,"Sangat baik",IF(AF1634&gt;79,"Baik",IF(AF1634&gt;69,"Cukup",IF(AF1634&gt;59,"Kurang","Sangat kurang")))))</f>
        <v/>
      </c>
      <c r="AJ1634" t="str">
        <f t="shared" si="77"/>
        <v>Wk.8</v>
      </c>
      <c r="AK1634" t="str">
        <f>IF(pub_gid_0_single_true_output_csv[[#This Row],[Nilai2]]="","",VLOOKUP(pub_gid_0_single_true_output_csv[[#This Row],[NAMA]],Table7[],3,FALSE))</f>
        <v>Average</v>
      </c>
    </row>
    <row r="1635" spans="1:37" x14ac:dyDescent="0.2">
      <c r="A1635">
        <v>1634</v>
      </c>
      <c r="B1635" t="s">
        <v>294</v>
      </c>
      <c r="C1635" t="s">
        <v>54</v>
      </c>
      <c r="D1635" t="s">
        <v>46</v>
      </c>
      <c r="E1635" t="s">
        <v>148</v>
      </c>
      <c r="F1635" s="25">
        <v>46077</v>
      </c>
      <c r="G1635" t="s">
        <v>476</v>
      </c>
      <c r="H1635" t="s">
        <v>412</v>
      </c>
      <c r="I1635" t="s">
        <v>371</v>
      </c>
      <c r="J1635" t="s">
        <v>41</v>
      </c>
      <c r="K1635" t="s">
        <v>365</v>
      </c>
      <c r="L1635" t="s">
        <v>319</v>
      </c>
      <c r="M1635" t="s">
        <v>141</v>
      </c>
      <c r="N1635" t="s">
        <v>142</v>
      </c>
      <c r="O1635" t="s">
        <v>155</v>
      </c>
      <c r="P1635" t="s">
        <v>281</v>
      </c>
      <c r="Q1635" t="s">
        <v>155</v>
      </c>
      <c r="R1635" t="s">
        <v>273</v>
      </c>
      <c r="S1635" t="s">
        <v>470</v>
      </c>
      <c r="T1635">
        <v>4</v>
      </c>
      <c r="U1635" t="s">
        <v>471</v>
      </c>
      <c r="V1635" t="s">
        <v>472</v>
      </c>
      <c r="W1635" t="s">
        <v>473</v>
      </c>
      <c r="X1635" t="s">
        <v>306</v>
      </c>
      <c r="Y1635" t="s">
        <v>307</v>
      </c>
      <c r="Z1635">
        <v>65</v>
      </c>
      <c r="AA1635">
        <v>80</v>
      </c>
      <c r="AB1635" t="s">
        <v>143</v>
      </c>
      <c r="AC1635" t="s">
        <v>52</v>
      </c>
      <c r="AD1635" t="s">
        <v>278</v>
      </c>
      <c r="AE1635" t="str">
        <f>IF(AF1635="","",VLOOKUP(AC1635,mapel!$A$2:$B$42,2,FALSE))</f>
        <v>Tepung</v>
      </c>
      <c r="AF1635">
        <f t="shared" si="75"/>
        <v>80</v>
      </c>
      <c r="AG1635" t="str">
        <f>IF(AF1635="","",IF(AF1635&gt;90,"Sangat baik",IF(AF1635&gt;79,"Baik",IF(AF1635&gt;=pub_gid_0_single_true_output_csv[[#This Row],[KKM]],"Cukup","Kurang"))))</f>
        <v>Baik</v>
      </c>
      <c r="AH1635">
        <f t="shared" si="76"/>
        <v>11</v>
      </c>
      <c r="AI1635" s="30" t="str">
        <f>IF(OR(J1635&lt;&gt;"Karakter",pub_gid_0_single_true_output_csv[[#This Row],[Nilai2]]=""),"",IF(AF1635&gt;89,"Sangat baik",IF(AF1635&gt;79,"Baik",IF(AF1635&gt;69,"Cukup",IF(AF1635&gt;59,"Kurang","Sangat kurang")))))</f>
        <v/>
      </c>
      <c r="AJ1635" t="str">
        <f t="shared" si="77"/>
        <v>Wk.9</v>
      </c>
      <c r="AK1635" t="str">
        <f>IF(pub_gid_0_single_true_output_csv[[#This Row],[Nilai2]]="","",VLOOKUP(pub_gid_0_single_true_output_csv[[#This Row],[NAMA]],Table7[],3,FALSE))</f>
        <v>Average</v>
      </c>
    </row>
    <row r="1636" spans="1:37" x14ac:dyDescent="0.2">
      <c r="A1636">
        <v>1635</v>
      </c>
      <c r="B1636" t="s">
        <v>294</v>
      </c>
      <c r="C1636" t="s">
        <v>54</v>
      </c>
      <c r="D1636" t="s">
        <v>46</v>
      </c>
      <c r="E1636" t="s">
        <v>148</v>
      </c>
      <c r="F1636" s="25">
        <v>46078</v>
      </c>
      <c r="G1636" t="s">
        <v>284</v>
      </c>
      <c r="H1636" t="s">
        <v>412</v>
      </c>
      <c r="I1636" t="s">
        <v>371</v>
      </c>
      <c r="J1636" t="s">
        <v>36</v>
      </c>
      <c r="K1636" t="s">
        <v>153</v>
      </c>
      <c r="L1636" t="s">
        <v>319</v>
      </c>
      <c r="M1636" t="s">
        <v>141</v>
      </c>
      <c r="N1636" t="s">
        <v>142</v>
      </c>
      <c r="O1636" t="s">
        <v>155</v>
      </c>
      <c r="P1636" t="s">
        <v>281</v>
      </c>
      <c r="Q1636" t="s">
        <v>155</v>
      </c>
      <c r="R1636" t="s">
        <v>273</v>
      </c>
      <c r="S1636" t="s">
        <v>470</v>
      </c>
      <c r="T1636">
        <v>4</v>
      </c>
      <c r="U1636" t="s">
        <v>471</v>
      </c>
      <c r="V1636" t="s">
        <v>472</v>
      </c>
      <c r="W1636" t="s">
        <v>473</v>
      </c>
      <c r="X1636" t="s">
        <v>306</v>
      </c>
      <c r="Y1636" t="s">
        <v>307</v>
      </c>
      <c r="Z1636">
        <v>65</v>
      </c>
      <c r="AA1636">
        <v>80</v>
      </c>
      <c r="AB1636" t="s">
        <v>143</v>
      </c>
      <c r="AC1636" t="s">
        <v>52</v>
      </c>
      <c r="AD1636" t="s">
        <v>278</v>
      </c>
      <c r="AE1636" t="str">
        <f>IF(AF1636="","",VLOOKUP(AC1636,mapel!$A$2:$B$42,2,FALSE))</f>
        <v>Tepung</v>
      </c>
      <c r="AF1636">
        <f t="shared" si="75"/>
        <v>80</v>
      </c>
      <c r="AG1636" t="str">
        <f>IF(AF1636="","",IF(AF1636&gt;90,"Sangat baik",IF(AF1636&gt;79,"Baik",IF(AF1636&gt;=pub_gid_0_single_true_output_csv[[#This Row],[KKM]],"Cukup","Kurang"))))</f>
        <v>Baik</v>
      </c>
      <c r="AH1636">
        <f t="shared" si="76"/>
        <v>11</v>
      </c>
      <c r="AI1636" s="30" t="str">
        <f>IF(OR(J1636&lt;&gt;"Karakter",pub_gid_0_single_true_output_csv[[#This Row],[Nilai2]]=""),"",IF(AF1636&gt;89,"Sangat baik",IF(AF1636&gt;79,"Baik",IF(AF1636&gt;69,"Cukup",IF(AF1636&gt;59,"Kurang","Sangat kurang")))))</f>
        <v/>
      </c>
      <c r="AJ1636" t="str">
        <f t="shared" si="77"/>
        <v>Wk.9</v>
      </c>
      <c r="AK1636" t="str">
        <f>IF(pub_gid_0_single_true_output_csv[[#This Row],[Nilai2]]="","",VLOOKUP(pub_gid_0_single_true_output_csv[[#This Row],[NAMA]],Table7[],3,FALSE))</f>
        <v>Average</v>
      </c>
    </row>
    <row r="1637" spans="1:37" x14ac:dyDescent="0.2">
      <c r="A1637">
        <v>1636</v>
      </c>
      <c r="B1637" t="s">
        <v>295</v>
      </c>
      <c r="C1637" t="s">
        <v>54</v>
      </c>
      <c r="D1637" t="s">
        <v>47</v>
      </c>
      <c r="E1637" t="s">
        <v>148</v>
      </c>
      <c r="F1637" s="25">
        <v>46035</v>
      </c>
      <c r="G1637" t="s">
        <v>358</v>
      </c>
      <c r="H1637" t="s">
        <v>405</v>
      </c>
      <c r="I1637" t="s">
        <v>371</v>
      </c>
      <c r="J1637" t="s">
        <v>41</v>
      </c>
      <c r="K1637" t="s">
        <v>365</v>
      </c>
      <c r="L1637" t="s">
        <v>322</v>
      </c>
      <c r="M1637" t="s">
        <v>141</v>
      </c>
      <c r="N1637" t="s">
        <v>142</v>
      </c>
      <c r="O1637" t="s">
        <v>155</v>
      </c>
      <c r="P1637" t="s">
        <v>281</v>
      </c>
      <c r="Q1637" t="s">
        <v>155</v>
      </c>
      <c r="R1637" t="s">
        <v>273</v>
      </c>
      <c r="S1637" t="s">
        <v>470</v>
      </c>
      <c r="T1637">
        <v>4</v>
      </c>
      <c r="U1637" t="s">
        <v>471</v>
      </c>
      <c r="V1637" t="s">
        <v>472</v>
      </c>
      <c r="W1637" t="s">
        <v>473</v>
      </c>
      <c r="X1637" t="s">
        <v>306</v>
      </c>
      <c r="Y1637" t="s">
        <v>307</v>
      </c>
      <c r="Z1637">
        <v>65</v>
      </c>
      <c r="AA1637">
        <v>0</v>
      </c>
      <c r="AB1637" t="s">
        <v>151</v>
      </c>
      <c r="AC1637" t="s">
        <v>52</v>
      </c>
      <c r="AD1637" t="s">
        <v>278</v>
      </c>
      <c r="AE1637" t="str">
        <f>IF(AF1637="","",VLOOKUP(AC1637,mapel!$A$2:$B$42,2,FALSE))</f>
        <v/>
      </c>
      <c r="AF1637" t="str">
        <f t="shared" si="75"/>
        <v/>
      </c>
      <c r="AG1637" t="str">
        <f>IF(AF1637="","",IF(AF1637&gt;90,"Sangat baik",IF(AF1637&gt;79,"Baik",IF(AF1637&gt;=pub_gid_0_single_true_output_csv[[#This Row],[KKM]],"Cukup","Kurang"))))</f>
        <v/>
      </c>
      <c r="AH1637" t="str">
        <f t="shared" si="76"/>
        <v/>
      </c>
      <c r="AI1637" s="30" t="str">
        <f>IF(OR(J1637&lt;&gt;"Karakter",pub_gid_0_single_true_output_csv[[#This Row],[Nilai2]]=""),"",IF(AF1637&gt;89,"Sangat baik",IF(AF1637&gt;79,"Baik",IF(AF1637&gt;69,"Cukup",IF(AF1637&gt;59,"Kurang","Sangat kurang")))))</f>
        <v/>
      </c>
      <c r="AJ1637" t="str">
        <f t="shared" si="77"/>
        <v/>
      </c>
      <c r="AK1637" t="str">
        <f>IF(pub_gid_0_single_true_output_csv[[#This Row],[Nilai2]]="","",VLOOKUP(pub_gid_0_single_true_output_csv[[#This Row],[NAMA]],Table7[],3,FALSE))</f>
        <v/>
      </c>
    </row>
    <row r="1638" spans="1:37" x14ac:dyDescent="0.2">
      <c r="A1638">
        <v>1637</v>
      </c>
      <c r="B1638" t="s">
        <v>295</v>
      </c>
      <c r="C1638" t="s">
        <v>54</v>
      </c>
      <c r="D1638" t="s">
        <v>47</v>
      </c>
      <c r="E1638" t="s">
        <v>148</v>
      </c>
      <c r="F1638" s="25">
        <v>46036</v>
      </c>
      <c r="G1638" t="s">
        <v>353</v>
      </c>
      <c r="H1638" t="s">
        <v>405</v>
      </c>
      <c r="I1638" t="s">
        <v>371</v>
      </c>
      <c r="J1638" t="s">
        <v>41</v>
      </c>
      <c r="K1638" t="s">
        <v>365</v>
      </c>
      <c r="L1638" t="s">
        <v>319</v>
      </c>
      <c r="M1638" t="s">
        <v>141</v>
      </c>
      <c r="N1638" t="s">
        <v>142</v>
      </c>
      <c r="O1638" t="s">
        <v>155</v>
      </c>
      <c r="P1638" t="s">
        <v>281</v>
      </c>
      <c r="Q1638" t="s">
        <v>155</v>
      </c>
      <c r="R1638" t="s">
        <v>273</v>
      </c>
      <c r="S1638" t="s">
        <v>470</v>
      </c>
      <c r="T1638">
        <v>4</v>
      </c>
      <c r="U1638" t="s">
        <v>471</v>
      </c>
      <c r="V1638" t="s">
        <v>472</v>
      </c>
      <c r="W1638" t="s">
        <v>473</v>
      </c>
      <c r="X1638" t="s">
        <v>306</v>
      </c>
      <c r="Y1638" t="s">
        <v>307</v>
      </c>
      <c r="Z1638">
        <v>65</v>
      </c>
      <c r="AA1638">
        <v>0</v>
      </c>
      <c r="AB1638" t="s">
        <v>151</v>
      </c>
      <c r="AC1638" t="s">
        <v>52</v>
      </c>
      <c r="AD1638" t="s">
        <v>278</v>
      </c>
      <c r="AE1638" t="str">
        <f>IF(AF1638="","",VLOOKUP(AC1638,mapel!$A$2:$B$42,2,FALSE))</f>
        <v/>
      </c>
      <c r="AF1638" t="str">
        <f t="shared" si="75"/>
        <v/>
      </c>
      <c r="AG1638" t="str">
        <f>IF(AF1638="","",IF(AF1638&gt;90,"Sangat baik",IF(AF1638&gt;79,"Baik",IF(AF1638&gt;=pub_gid_0_single_true_output_csv[[#This Row],[KKM]],"Cukup","Kurang"))))</f>
        <v/>
      </c>
      <c r="AH1638" t="str">
        <f t="shared" si="76"/>
        <v/>
      </c>
      <c r="AI1638" s="30" t="str">
        <f>IF(OR(J1638&lt;&gt;"Karakter",pub_gid_0_single_true_output_csv[[#This Row],[Nilai2]]=""),"",IF(AF1638&gt;89,"Sangat baik",IF(AF1638&gt;79,"Baik",IF(AF1638&gt;69,"Cukup",IF(AF1638&gt;59,"Kurang","Sangat kurang")))))</f>
        <v/>
      </c>
      <c r="AJ1638" t="str">
        <f t="shared" si="77"/>
        <v/>
      </c>
      <c r="AK1638" t="str">
        <f>IF(pub_gid_0_single_true_output_csv[[#This Row],[Nilai2]]="","",VLOOKUP(pub_gid_0_single_true_output_csv[[#This Row],[NAMA]],Table7[],3,FALSE))</f>
        <v/>
      </c>
    </row>
    <row r="1639" spans="1:37" x14ac:dyDescent="0.2">
      <c r="A1639">
        <v>1638</v>
      </c>
      <c r="B1639" t="s">
        <v>295</v>
      </c>
      <c r="C1639" t="s">
        <v>54</v>
      </c>
      <c r="D1639" t="s">
        <v>47</v>
      </c>
      <c r="E1639" t="s">
        <v>148</v>
      </c>
      <c r="F1639" s="25">
        <v>46037</v>
      </c>
      <c r="G1639" t="s">
        <v>356</v>
      </c>
      <c r="H1639" t="s">
        <v>405</v>
      </c>
      <c r="I1639" t="s">
        <v>371</v>
      </c>
      <c r="J1639" t="s">
        <v>36</v>
      </c>
      <c r="K1639" t="s">
        <v>37</v>
      </c>
      <c r="L1639" t="s">
        <v>383</v>
      </c>
      <c r="M1639" t="s">
        <v>141</v>
      </c>
      <c r="N1639" t="s">
        <v>142</v>
      </c>
      <c r="O1639" t="s">
        <v>155</v>
      </c>
      <c r="P1639" t="s">
        <v>281</v>
      </c>
      <c r="Q1639" t="s">
        <v>155</v>
      </c>
      <c r="R1639" t="s">
        <v>273</v>
      </c>
      <c r="S1639" t="s">
        <v>470</v>
      </c>
      <c r="T1639">
        <v>4</v>
      </c>
      <c r="U1639" t="s">
        <v>471</v>
      </c>
      <c r="V1639" t="s">
        <v>472</v>
      </c>
      <c r="W1639" t="s">
        <v>473</v>
      </c>
      <c r="X1639" t="s">
        <v>306</v>
      </c>
      <c r="Y1639" t="s">
        <v>307</v>
      </c>
      <c r="Z1639">
        <v>65</v>
      </c>
      <c r="AA1639">
        <v>0</v>
      </c>
      <c r="AB1639" t="s">
        <v>151</v>
      </c>
      <c r="AC1639" t="s">
        <v>52</v>
      </c>
      <c r="AD1639" t="s">
        <v>278</v>
      </c>
      <c r="AE1639" t="str">
        <f>IF(AF1639="","",VLOOKUP(AC1639,mapel!$A$2:$B$42,2,FALSE))</f>
        <v/>
      </c>
      <c r="AF1639" t="str">
        <f t="shared" si="75"/>
        <v/>
      </c>
      <c r="AG1639" t="str">
        <f>IF(AF1639="","",IF(AF1639&gt;90,"Sangat baik",IF(AF1639&gt;79,"Baik",IF(AF1639&gt;=pub_gid_0_single_true_output_csv[[#This Row],[KKM]],"Cukup","Kurang"))))</f>
        <v/>
      </c>
      <c r="AH1639" t="str">
        <f t="shared" si="76"/>
        <v/>
      </c>
      <c r="AI1639" s="30" t="str">
        <f>IF(OR(J1639&lt;&gt;"Karakter",pub_gid_0_single_true_output_csv[[#This Row],[Nilai2]]=""),"",IF(AF1639&gt;89,"Sangat baik",IF(AF1639&gt;79,"Baik",IF(AF1639&gt;69,"Cukup",IF(AF1639&gt;59,"Kurang","Sangat kurang")))))</f>
        <v/>
      </c>
      <c r="AJ1639" t="str">
        <f t="shared" si="77"/>
        <v/>
      </c>
      <c r="AK1639" t="str">
        <f>IF(pub_gid_0_single_true_output_csv[[#This Row],[Nilai2]]="","",VLOOKUP(pub_gid_0_single_true_output_csv[[#This Row],[NAMA]],Table7[],3,FALSE))</f>
        <v/>
      </c>
    </row>
    <row r="1640" spans="1:37" x14ac:dyDescent="0.2">
      <c r="A1640">
        <v>1639</v>
      </c>
      <c r="B1640" t="s">
        <v>295</v>
      </c>
      <c r="C1640" t="s">
        <v>54</v>
      </c>
      <c r="D1640" t="s">
        <v>47</v>
      </c>
      <c r="E1640" t="s">
        <v>148</v>
      </c>
      <c r="F1640" s="25">
        <v>46042</v>
      </c>
      <c r="G1640" t="s">
        <v>474</v>
      </c>
      <c r="H1640" t="s">
        <v>405</v>
      </c>
      <c r="I1640" t="s">
        <v>371</v>
      </c>
      <c r="J1640" t="s">
        <v>90</v>
      </c>
      <c r="K1640" t="s">
        <v>366</v>
      </c>
      <c r="L1640" t="s">
        <v>475</v>
      </c>
      <c r="M1640" t="s">
        <v>141</v>
      </c>
      <c r="N1640" t="s">
        <v>142</v>
      </c>
      <c r="O1640" t="s">
        <v>155</v>
      </c>
      <c r="P1640" t="s">
        <v>281</v>
      </c>
      <c r="Q1640" t="s">
        <v>155</v>
      </c>
      <c r="R1640" t="s">
        <v>273</v>
      </c>
      <c r="S1640" t="s">
        <v>470</v>
      </c>
      <c r="T1640">
        <v>4</v>
      </c>
      <c r="U1640" t="s">
        <v>471</v>
      </c>
      <c r="V1640" t="s">
        <v>472</v>
      </c>
      <c r="W1640" t="s">
        <v>473</v>
      </c>
      <c r="X1640" t="s">
        <v>306</v>
      </c>
      <c r="Y1640" t="s">
        <v>307</v>
      </c>
      <c r="Z1640">
        <v>65</v>
      </c>
      <c r="AA1640">
        <v>0</v>
      </c>
      <c r="AB1640" t="s">
        <v>151</v>
      </c>
      <c r="AC1640" t="s">
        <v>52</v>
      </c>
      <c r="AD1640" t="s">
        <v>278</v>
      </c>
      <c r="AE1640" t="str">
        <f>IF(AF1640="","",VLOOKUP(AC1640,mapel!$A$2:$B$42,2,FALSE))</f>
        <v/>
      </c>
      <c r="AF1640" t="str">
        <f t="shared" si="75"/>
        <v/>
      </c>
      <c r="AG1640" t="str">
        <f>IF(AF1640="","",IF(AF1640&gt;90,"Sangat baik",IF(AF1640&gt;79,"Baik",IF(AF1640&gt;=pub_gid_0_single_true_output_csv[[#This Row],[KKM]],"Cukup","Kurang"))))</f>
        <v/>
      </c>
      <c r="AH1640" t="str">
        <f t="shared" si="76"/>
        <v/>
      </c>
      <c r="AI1640" s="30" t="str">
        <f>IF(OR(J1640&lt;&gt;"Karakter",pub_gid_0_single_true_output_csv[[#This Row],[Nilai2]]=""),"",IF(AF1640&gt;89,"Sangat baik",IF(AF1640&gt;79,"Baik",IF(AF1640&gt;69,"Cukup",IF(AF1640&gt;59,"Kurang","Sangat kurang")))))</f>
        <v/>
      </c>
      <c r="AJ1640" t="str">
        <f t="shared" si="77"/>
        <v/>
      </c>
      <c r="AK1640" t="str">
        <f>IF(pub_gid_0_single_true_output_csv[[#This Row],[Nilai2]]="","",VLOOKUP(pub_gid_0_single_true_output_csv[[#This Row],[NAMA]],Table7[],3,FALSE))</f>
        <v/>
      </c>
    </row>
    <row r="1641" spans="1:37" x14ac:dyDescent="0.2">
      <c r="A1641">
        <v>1640</v>
      </c>
      <c r="B1641" t="s">
        <v>295</v>
      </c>
      <c r="C1641" t="s">
        <v>54</v>
      </c>
      <c r="D1641" t="s">
        <v>47</v>
      </c>
      <c r="E1641" t="s">
        <v>148</v>
      </c>
      <c r="F1641" s="25">
        <v>46051</v>
      </c>
      <c r="G1641" t="s">
        <v>320</v>
      </c>
      <c r="H1641" t="s">
        <v>405</v>
      </c>
      <c r="I1641" t="s">
        <v>371</v>
      </c>
      <c r="J1641" t="s">
        <v>41</v>
      </c>
      <c r="K1641" t="s">
        <v>365</v>
      </c>
      <c r="L1641" t="s">
        <v>319</v>
      </c>
      <c r="M1641" t="s">
        <v>141</v>
      </c>
      <c r="N1641" t="s">
        <v>142</v>
      </c>
      <c r="O1641" t="s">
        <v>155</v>
      </c>
      <c r="P1641" t="s">
        <v>281</v>
      </c>
      <c r="Q1641" t="s">
        <v>155</v>
      </c>
      <c r="R1641" t="s">
        <v>273</v>
      </c>
      <c r="S1641" t="s">
        <v>470</v>
      </c>
      <c r="T1641">
        <v>4</v>
      </c>
      <c r="U1641" t="s">
        <v>471</v>
      </c>
      <c r="V1641" t="s">
        <v>472</v>
      </c>
      <c r="W1641" t="s">
        <v>473</v>
      </c>
      <c r="X1641" t="s">
        <v>306</v>
      </c>
      <c r="Y1641" t="s">
        <v>307</v>
      </c>
      <c r="Z1641">
        <v>65</v>
      </c>
      <c r="AA1641">
        <v>0</v>
      </c>
      <c r="AB1641" t="s">
        <v>151</v>
      </c>
      <c r="AC1641" t="s">
        <v>52</v>
      </c>
      <c r="AD1641" t="s">
        <v>278</v>
      </c>
      <c r="AE1641" t="str">
        <f>IF(AF1641="","",VLOOKUP(AC1641,mapel!$A$2:$B$42,2,FALSE))</f>
        <v/>
      </c>
      <c r="AF1641" t="str">
        <f t="shared" si="75"/>
        <v/>
      </c>
      <c r="AG1641" t="str">
        <f>IF(AF1641="","",IF(AF1641&gt;90,"Sangat baik",IF(AF1641&gt;79,"Baik",IF(AF1641&gt;=pub_gid_0_single_true_output_csv[[#This Row],[KKM]],"Cukup","Kurang"))))</f>
        <v/>
      </c>
      <c r="AH1641" t="str">
        <f t="shared" si="76"/>
        <v/>
      </c>
      <c r="AI1641" s="30" t="str">
        <f>IF(OR(J1641&lt;&gt;"Karakter",pub_gid_0_single_true_output_csv[[#This Row],[Nilai2]]=""),"",IF(AF1641&gt;89,"Sangat baik",IF(AF1641&gt;79,"Baik",IF(AF1641&gt;69,"Cukup",IF(AF1641&gt;59,"Kurang","Sangat kurang")))))</f>
        <v/>
      </c>
      <c r="AJ1641" t="str">
        <f t="shared" si="77"/>
        <v/>
      </c>
      <c r="AK1641" t="str">
        <f>IF(pub_gid_0_single_true_output_csv[[#This Row],[Nilai2]]="","",VLOOKUP(pub_gid_0_single_true_output_csv[[#This Row],[NAMA]],Table7[],3,FALSE))</f>
        <v/>
      </c>
    </row>
    <row r="1642" spans="1:37" x14ac:dyDescent="0.2">
      <c r="A1642">
        <v>1641</v>
      </c>
      <c r="B1642" t="s">
        <v>295</v>
      </c>
      <c r="C1642" t="s">
        <v>54</v>
      </c>
      <c r="D1642" t="s">
        <v>47</v>
      </c>
      <c r="E1642" t="s">
        <v>148</v>
      </c>
      <c r="F1642" s="25">
        <v>46056</v>
      </c>
      <c r="G1642" t="s">
        <v>372</v>
      </c>
      <c r="H1642" t="s">
        <v>412</v>
      </c>
      <c r="I1642" t="s">
        <v>371</v>
      </c>
      <c r="J1642" t="s">
        <v>41</v>
      </c>
      <c r="K1642" t="s">
        <v>365</v>
      </c>
      <c r="L1642" t="s">
        <v>322</v>
      </c>
      <c r="M1642" t="s">
        <v>141</v>
      </c>
      <c r="N1642" t="s">
        <v>142</v>
      </c>
      <c r="O1642" t="s">
        <v>155</v>
      </c>
      <c r="P1642" t="s">
        <v>281</v>
      </c>
      <c r="Q1642" t="s">
        <v>155</v>
      </c>
      <c r="R1642" t="s">
        <v>273</v>
      </c>
      <c r="S1642" t="s">
        <v>309</v>
      </c>
      <c r="T1642">
        <v>1</v>
      </c>
      <c r="U1642" t="s">
        <v>393</v>
      </c>
      <c r="V1642" t="s">
        <v>285</v>
      </c>
      <c r="W1642" t="s">
        <v>394</v>
      </c>
      <c r="X1642" t="s">
        <v>306</v>
      </c>
      <c r="Y1642" t="s">
        <v>307</v>
      </c>
      <c r="Z1642">
        <v>65</v>
      </c>
      <c r="AA1642">
        <v>0</v>
      </c>
      <c r="AB1642" t="s">
        <v>151</v>
      </c>
      <c r="AC1642" t="s">
        <v>52</v>
      </c>
      <c r="AD1642" t="s">
        <v>278</v>
      </c>
      <c r="AE1642" t="str">
        <f>IF(AF1642="","",VLOOKUP(AC1642,mapel!$A$2:$B$42,2,FALSE))</f>
        <v/>
      </c>
      <c r="AF1642" t="str">
        <f t="shared" si="75"/>
        <v/>
      </c>
      <c r="AG1642" t="str">
        <f>IF(AF1642="","",IF(AF1642&gt;90,"Sangat baik",IF(AF1642&gt;79,"Baik",IF(AF1642&gt;=pub_gid_0_single_true_output_csv[[#This Row],[KKM]],"Cukup","Kurang"))))</f>
        <v/>
      </c>
      <c r="AH1642" t="str">
        <f t="shared" si="76"/>
        <v/>
      </c>
      <c r="AI1642" s="30" t="str">
        <f>IF(OR(J1642&lt;&gt;"Karakter",pub_gid_0_single_true_output_csv[[#This Row],[Nilai2]]=""),"",IF(AF1642&gt;89,"Sangat baik",IF(AF1642&gt;79,"Baik",IF(AF1642&gt;69,"Cukup",IF(AF1642&gt;59,"Kurang","Sangat kurang")))))</f>
        <v/>
      </c>
      <c r="AJ1642" t="str">
        <f t="shared" si="77"/>
        <v/>
      </c>
      <c r="AK1642" t="str">
        <f>IF(pub_gid_0_single_true_output_csv[[#This Row],[Nilai2]]="","",VLOOKUP(pub_gid_0_single_true_output_csv[[#This Row],[NAMA]],Table7[],3,FALSE))</f>
        <v/>
      </c>
    </row>
    <row r="1643" spans="1:37" x14ac:dyDescent="0.2">
      <c r="A1643">
        <v>1642</v>
      </c>
      <c r="B1643" t="s">
        <v>295</v>
      </c>
      <c r="C1643" t="s">
        <v>54</v>
      </c>
      <c r="D1643" t="s">
        <v>47</v>
      </c>
      <c r="E1643" t="s">
        <v>148</v>
      </c>
      <c r="F1643" s="25">
        <v>46057</v>
      </c>
      <c r="G1643" t="s">
        <v>348</v>
      </c>
      <c r="H1643" t="s">
        <v>412</v>
      </c>
      <c r="I1643" t="s">
        <v>371</v>
      </c>
      <c r="J1643" t="s">
        <v>36</v>
      </c>
      <c r="K1643" t="s">
        <v>153</v>
      </c>
      <c r="L1643" t="s">
        <v>395</v>
      </c>
      <c r="M1643" t="s">
        <v>141</v>
      </c>
      <c r="N1643" t="s">
        <v>142</v>
      </c>
      <c r="O1643" t="s">
        <v>155</v>
      </c>
      <c r="P1643" t="s">
        <v>281</v>
      </c>
      <c r="Q1643" t="s">
        <v>155</v>
      </c>
      <c r="R1643" t="s">
        <v>273</v>
      </c>
      <c r="S1643" t="s">
        <v>309</v>
      </c>
      <c r="T1643">
        <v>1</v>
      </c>
      <c r="U1643" t="s">
        <v>393</v>
      </c>
      <c r="V1643" t="s">
        <v>285</v>
      </c>
      <c r="W1643" t="s">
        <v>394</v>
      </c>
      <c r="X1643" t="s">
        <v>306</v>
      </c>
      <c r="Y1643" t="s">
        <v>307</v>
      </c>
      <c r="Z1643">
        <v>65</v>
      </c>
      <c r="AA1643">
        <v>0</v>
      </c>
      <c r="AB1643" t="s">
        <v>151</v>
      </c>
      <c r="AC1643" t="s">
        <v>52</v>
      </c>
      <c r="AD1643" t="s">
        <v>278</v>
      </c>
      <c r="AE1643" t="str">
        <f>IF(AF1643="","",VLOOKUP(AC1643,mapel!$A$2:$B$42,2,FALSE))</f>
        <v/>
      </c>
      <c r="AF1643" t="str">
        <f t="shared" si="75"/>
        <v/>
      </c>
      <c r="AG1643" t="str">
        <f>IF(AF1643="","",IF(AF1643&gt;90,"Sangat baik",IF(AF1643&gt;79,"Baik",IF(AF1643&gt;=pub_gid_0_single_true_output_csv[[#This Row],[KKM]],"Cukup","Kurang"))))</f>
        <v/>
      </c>
      <c r="AH1643" t="str">
        <f t="shared" si="76"/>
        <v/>
      </c>
      <c r="AI1643" s="30" t="str">
        <f>IF(OR(J1643&lt;&gt;"Karakter",pub_gid_0_single_true_output_csv[[#This Row],[Nilai2]]=""),"",IF(AF1643&gt;89,"Sangat baik",IF(AF1643&gt;79,"Baik",IF(AF1643&gt;69,"Cukup",IF(AF1643&gt;59,"Kurang","Sangat kurang")))))</f>
        <v/>
      </c>
      <c r="AJ1643" t="str">
        <f t="shared" si="77"/>
        <v/>
      </c>
      <c r="AK1643" t="str">
        <f>IF(pub_gid_0_single_true_output_csv[[#This Row],[Nilai2]]="","",VLOOKUP(pub_gid_0_single_true_output_csv[[#This Row],[NAMA]],Table7[],3,FALSE))</f>
        <v/>
      </c>
    </row>
    <row r="1644" spans="1:37" x14ac:dyDescent="0.2">
      <c r="A1644">
        <v>1643</v>
      </c>
      <c r="B1644" t="s">
        <v>295</v>
      </c>
      <c r="C1644" t="s">
        <v>54</v>
      </c>
      <c r="D1644" t="s">
        <v>47</v>
      </c>
      <c r="E1644" t="s">
        <v>148</v>
      </c>
      <c r="F1644" s="25">
        <v>46058</v>
      </c>
      <c r="G1644" t="s">
        <v>346</v>
      </c>
      <c r="H1644" t="s">
        <v>412</v>
      </c>
      <c r="I1644" t="s">
        <v>371</v>
      </c>
      <c r="J1644" t="s">
        <v>41</v>
      </c>
      <c r="K1644" t="s">
        <v>365</v>
      </c>
      <c r="L1644" t="s">
        <v>322</v>
      </c>
      <c r="M1644" t="s">
        <v>141</v>
      </c>
      <c r="N1644" t="s">
        <v>142</v>
      </c>
      <c r="O1644" t="s">
        <v>155</v>
      </c>
      <c r="P1644" t="s">
        <v>281</v>
      </c>
      <c r="Q1644" t="s">
        <v>155</v>
      </c>
      <c r="R1644" t="s">
        <v>273</v>
      </c>
      <c r="S1644" t="s">
        <v>309</v>
      </c>
      <c r="T1644">
        <v>1</v>
      </c>
      <c r="U1644" t="s">
        <v>393</v>
      </c>
      <c r="V1644" t="s">
        <v>285</v>
      </c>
      <c r="W1644" t="s">
        <v>394</v>
      </c>
      <c r="X1644" t="s">
        <v>306</v>
      </c>
      <c r="Y1644" t="s">
        <v>307</v>
      </c>
      <c r="Z1644">
        <v>65</v>
      </c>
      <c r="AA1644">
        <v>0</v>
      </c>
      <c r="AB1644" t="s">
        <v>151</v>
      </c>
      <c r="AC1644" t="s">
        <v>52</v>
      </c>
      <c r="AD1644" t="s">
        <v>278</v>
      </c>
      <c r="AE1644" t="str">
        <f>IF(AF1644="","",VLOOKUP(AC1644,mapel!$A$2:$B$42,2,FALSE))</f>
        <v/>
      </c>
      <c r="AF1644" t="str">
        <f t="shared" si="75"/>
        <v/>
      </c>
      <c r="AG1644" t="str">
        <f>IF(AF1644="","",IF(AF1644&gt;90,"Sangat baik",IF(AF1644&gt;79,"Baik",IF(AF1644&gt;=pub_gid_0_single_true_output_csv[[#This Row],[KKM]],"Cukup","Kurang"))))</f>
        <v/>
      </c>
      <c r="AH1644" t="str">
        <f t="shared" si="76"/>
        <v/>
      </c>
      <c r="AI1644" s="30" t="str">
        <f>IF(OR(J1644&lt;&gt;"Karakter",pub_gid_0_single_true_output_csv[[#This Row],[Nilai2]]=""),"",IF(AF1644&gt;89,"Sangat baik",IF(AF1644&gt;79,"Baik",IF(AF1644&gt;69,"Cukup",IF(AF1644&gt;59,"Kurang","Sangat kurang")))))</f>
        <v/>
      </c>
      <c r="AJ1644" t="str">
        <f t="shared" si="77"/>
        <v/>
      </c>
      <c r="AK1644" t="str">
        <f>IF(pub_gid_0_single_true_output_csv[[#This Row],[Nilai2]]="","",VLOOKUP(pub_gid_0_single_true_output_csv[[#This Row],[NAMA]],Table7[],3,FALSE))</f>
        <v/>
      </c>
    </row>
    <row r="1645" spans="1:37" x14ac:dyDescent="0.2">
      <c r="A1645">
        <v>1644</v>
      </c>
      <c r="B1645" t="s">
        <v>295</v>
      </c>
      <c r="C1645" t="s">
        <v>54</v>
      </c>
      <c r="D1645" t="s">
        <v>47</v>
      </c>
      <c r="E1645" t="s">
        <v>148</v>
      </c>
      <c r="F1645" s="25">
        <v>46063</v>
      </c>
      <c r="G1645" t="s">
        <v>374</v>
      </c>
      <c r="H1645" t="s">
        <v>412</v>
      </c>
      <c r="I1645" t="s">
        <v>371</v>
      </c>
      <c r="J1645" t="s">
        <v>36</v>
      </c>
      <c r="K1645" t="s">
        <v>153</v>
      </c>
      <c r="L1645" t="s">
        <v>395</v>
      </c>
      <c r="M1645" t="s">
        <v>141</v>
      </c>
      <c r="N1645" t="s">
        <v>142</v>
      </c>
      <c r="O1645" t="s">
        <v>155</v>
      </c>
      <c r="P1645" t="s">
        <v>281</v>
      </c>
      <c r="Q1645" t="s">
        <v>155</v>
      </c>
      <c r="R1645" t="s">
        <v>273</v>
      </c>
      <c r="S1645" t="s">
        <v>309</v>
      </c>
      <c r="T1645">
        <v>1</v>
      </c>
      <c r="U1645" t="s">
        <v>393</v>
      </c>
      <c r="V1645" t="s">
        <v>285</v>
      </c>
      <c r="W1645" t="s">
        <v>394</v>
      </c>
      <c r="X1645" t="s">
        <v>306</v>
      </c>
      <c r="Y1645" t="s">
        <v>307</v>
      </c>
      <c r="Z1645">
        <v>65</v>
      </c>
      <c r="AA1645">
        <v>0</v>
      </c>
      <c r="AB1645" t="s">
        <v>151</v>
      </c>
      <c r="AC1645" t="s">
        <v>52</v>
      </c>
      <c r="AD1645" t="s">
        <v>278</v>
      </c>
      <c r="AE1645" t="str">
        <f>IF(AF1645="","",VLOOKUP(AC1645,mapel!$A$2:$B$42,2,FALSE))</f>
        <v/>
      </c>
      <c r="AF1645" t="str">
        <f t="shared" si="75"/>
        <v/>
      </c>
      <c r="AG1645" t="str">
        <f>IF(AF1645="","",IF(AF1645&gt;90,"Sangat baik",IF(AF1645&gt;79,"Baik",IF(AF1645&gt;=pub_gid_0_single_true_output_csv[[#This Row],[KKM]],"Cukup","Kurang"))))</f>
        <v/>
      </c>
      <c r="AH1645" t="str">
        <f t="shared" si="76"/>
        <v/>
      </c>
      <c r="AI1645" s="30" t="str">
        <f>IF(OR(J1645&lt;&gt;"Karakter",pub_gid_0_single_true_output_csv[[#This Row],[Nilai2]]=""),"",IF(AF1645&gt;89,"Sangat baik",IF(AF1645&gt;79,"Baik",IF(AF1645&gt;69,"Cukup",IF(AF1645&gt;59,"Kurang","Sangat kurang")))))</f>
        <v/>
      </c>
      <c r="AJ1645" t="str">
        <f t="shared" si="77"/>
        <v/>
      </c>
      <c r="AK1645" t="str">
        <f>IF(pub_gid_0_single_true_output_csv[[#This Row],[Nilai2]]="","",VLOOKUP(pub_gid_0_single_true_output_csv[[#This Row],[NAMA]],Table7[],3,FALSE))</f>
        <v/>
      </c>
    </row>
    <row r="1646" spans="1:37" x14ac:dyDescent="0.2">
      <c r="A1646">
        <v>1645</v>
      </c>
      <c r="B1646" t="s">
        <v>295</v>
      </c>
      <c r="C1646" t="s">
        <v>54</v>
      </c>
      <c r="D1646" t="s">
        <v>47</v>
      </c>
      <c r="E1646" t="s">
        <v>148</v>
      </c>
      <c r="F1646" s="25">
        <v>46064</v>
      </c>
      <c r="G1646" t="s">
        <v>352</v>
      </c>
      <c r="H1646" t="s">
        <v>412</v>
      </c>
      <c r="I1646" t="s">
        <v>371</v>
      </c>
      <c r="J1646" t="s">
        <v>31</v>
      </c>
      <c r="K1646" t="s">
        <v>32</v>
      </c>
      <c r="L1646" t="s">
        <v>395</v>
      </c>
      <c r="M1646" t="s">
        <v>141</v>
      </c>
      <c r="N1646" t="s">
        <v>142</v>
      </c>
      <c r="O1646" t="s">
        <v>155</v>
      </c>
      <c r="P1646" t="s">
        <v>281</v>
      </c>
      <c r="Q1646" t="s">
        <v>155</v>
      </c>
      <c r="R1646" t="s">
        <v>273</v>
      </c>
      <c r="S1646" t="s">
        <v>309</v>
      </c>
      <c r="T1646">
        <v>1</v>
      </c>
      <c r="U1646" t="s">
        <v>393</v>
      </c>
      <c r="V1646" t="s">
        <v>285</v>
      </c>
      <c r="W1646" t="s">
        <v>394</v>
      </c>
      <c r="X1646" t="s">
        <v>306</v>
      </c>
      <c r="Y1646" t="s">
        <v>307</v>
      </c>
      <c r="Z1646">
        <v>65</v>
      </c>
      <c r="AA1646">
        <v>0</v>
      </c>
      <c r="AB1646" t="s">
        <v>151</v>
      </c>
      <c r="AC1646" t="s">
        <v>52</v>
      </c>
      <c r="AD1646" t="s">
        <v>278</v>
      </c>
      <c r="AE1646" t="str">
        <f>IF(AF1646="","",VLOOKUP(AC1646,mapel!$A$2:$B$42,2,FALSE))</f>
        <v/>
      </c>
      <c r="AF1646" t="str">
        <f t="shared" si="75"/>
        <v/>
      </c>
      <c r="AG1646" t="str">
        <f>IF(AF1646="","",IF(AF1646&gt;90,"Sangat baik",IF(AF1646&gt;79,"Baik",IF(AF1646&gt;=pub_gid_0_single_true_output_csv[[#This Row],[KKM]],"Cukup","Kurang"))))</f>
        <v/>
      </c>
      <c r="AH1646" t="str">
        <f t="shared" si="76"/>
        <v/>
      </c>
      <c r="AI1646" s="30" t="str">
        <f>IF(OR(J1646&lt;&gt;"Karakter",pub_gid_0_single_true_output_csv[[#This Row],[Nilai2]]=""),"",IF(AF1646&gt;89,"Sangat baik",IF(AF1646&gt;79,"Baik",IF(AF1646&gt;69,"Cukup",IF(AF1646&gt;59,"Kurang","Sangat kurang")))))</f>
        <v/>
      </c>
      <c r="AJ1646" t="str">
        <f t="shared" si="77"/>
        <v/>
      </c>
      <c r="AK1646" t="str">
        <f>IF(pub_gid_0_single_true_output_csv[[#This Row],[Nilai2]]="","",VLOOKUP(pub_gid_0_single_true_output_csv[[#This Row],[NAMA]],Table7[],3,FALSE))</f>
        <v/>
      </c>
    </row>
    <row r="1647" spans="1:37" x14ac:dyDescent="0.2">
      <c r="A1647">
        <v>1646</v>
      </c>
      <c r="B1647" t="s">
        <v>295</v>
      </c>
      <c r="C1647" t="s">
        <v>54</v>
      </c>
      <c r="D1647" t="s">
        <v>47</v>
      </c>
      <c r="E1647" t="s">
        <v>148</v>
      </c>
      <c r="F1647" s="25">
        <v>46065</v>
      </c>
      <c r="G1647" t="s">
        <v>354</v>
      </c>
      <c r="H1647" t="s">
        <v>412</v>
      </c>
      <c r="I1647" t="s">
        <v>371</v>
      </c>
      <c r="J1647" t="s">
        <v>41</v>
      </c>
      <c r="K1647" t="s">
        <v>365</v>
      </c>
      <c r="L1647" t="s">
        <v>322</v>
      </c>
      <c r="M1647" t="s">
        <v>141</v>
      </c>
      <c r="N1647" t="s">
        <v>142</v>
      </c>
      <c r="O1647" t="s">
        <v>155</v>
      </c>
      <c r="P1647" t="s">
        <v>281</v>
      </c>
      <c r="Q1647" t="s">
        <v>155</v>
      </c>
      <c r="R1647" t="s">
        <v>273</v>
      </c>
      <c r="S1647" t="s">
        <v>309</v>
      </c>
      <c r="T1647">
        <v>1</v>
      </c>
      <c r="U1647" t="s">
        <v>393</v>
      </c>
      <c r="V1647" t="s">
        <v>285</v>
      </c>
      <c r="W1647" t="s">
        <v>394</v>
      </c>
      <c r="X1647" t="s">
        <v>306</v>
      </c>
      <c r="Y1647" t="s">
        <v>307</v>
      </c>
      <c r="Z1647">
        <v>65</v>
      </c>
      <c r="AA1647">
        <v>0</v>
      </c>
      <c r="AB1647" t="s">
        <v>151</v>
      </c>
      <c r="AC1647" t="s">
        <v>52</v>
      </c>
      <c r="AD1647" t="s">
        <v>278</v>
      </c>
      <c r="AE1647" t="str">
        <f>IF(AF1647="","",VLOOKUP(AC1647,mapel!$A$2:$B$42,2,FALSE))</f>
        <v/>
      </c>
      <c r="AF1647" t="str">
        <f t="shared" si="75"/>
        <v/>
      </c>
      <c r="AG1647" t="str">
        <f>IF(AF1647="","",IF(AF1647&gt;90,"Sangat baik",IF(AF1647&gt;79,"Baik",IF(AF1647&gt;=pub_gid_0_single_true_output_csv[[#This Row],[KKM]],"Cukup","Kurang"))))</f>
        <v/>
      </c>
      <c r="AH1647" t="str">
        <f t="shared" si="76"/>
        <v/>
      </c>
      <c r="AI1647" s="30" t="str">
        <f>IF(OR(J1647&lt;&gt;"Karakter",pub_gid_0_single_true_output_csv[[#This Row],[Nilai2]]=""),"",IF(AF1647&gt;89,"Sangat baik",IF(AF1647&gt;79,"Baik",IF(AF1647&gt;69,"Cukup",IF(AF1647&gt;59,"Kurang","Sangat kurang")))))</f>
        <v/>
      </c>
      <c r="AJ1647" t="str">
        <f t="shared" si="77"/>
        <v/>
      </c>
      <c r="AK1647" t="str">
        <f>IF(pub_gid_0_single_true_output_csv[[#This Row],[Nilai2]]="","",VLOOKUP(pub_gid_0_single_true_output_csv[[#This Row],[NAMA]],Table7[],3,FALSE))</f>
        <v/>
      </c>
    </row>
    <row r="1648" spans="1:37" x14ac:dyDescent="0.2">
      <c r="A1648">
        <v>1647</v>
      </c>
      <c r="B1648" t="s">
        <v>295</v>
      </c>
      <c r="C1648" t="s">
        <v>54</v>
      </c>
      <c r="D1648" t="s">
        <v>47</v>
      </c>
      <c r="E1648" t="s">
        <v>148</v>
      </c>
      <c r="F1648" s="25">
        <v>46071</v>
      </c>
      <c r="G1648" t="s">
        <v>323</v>
      </c>
      <c r="H1648" t="s">
        <v>412</v>
      </c>
      <c r="I1648" t="s">
        <v>371</v>
      </c>
      <c r="J1648" t="s">
        <v>41</v>
      </c>
      <c r="K1648" t="s">
        <v>365</v>
      </c>
      <c r="L1648" t="s">
        <v>319</v>
      </c>
      <c r="M1648" t="s">
        <v>141</v>
      </c>
      <c r="N1648" t="s">
        <v>142</v>
      </c>
      <c r="O1648" t="s">
        <v>155</v>
      </c>
      <c r="P1648" t="s">
        <v>281</v>
      </c>
      <c r="Q1648" t="s">
        <v>155</v>
      </c>
      <c r="R1648" t="s">
        <v>273</v>
      </c>
      <c r="S1648" t="s">
        <v>470</v>
      </c>
      <c r="T1648">
        <v>4</v>
      </c>
      <c r="U1648" t="s">
        <v>471</v>
      </c>
      <c r="V1648" t="s">
        <v>472</v>
      </c>
      <c r="W1648" t="s">
        <v>473</v>
      </c>
      <c r="X1648" t="s">
        <v>306</v>
      </c>
      <c r="Y1648" t="s">
        <v>307</v>
      </c>
      <c r="Z1648">
        <v>65</v>
      </c>
      <c r="AA1648">
        <v>0</v>
      </c>
      <c r="AB1648" t="s">
        <v>151</v>
      </c>
      <c r="AC1648" t="s">
        <v>52</v>
      </c>
      <c r="AD1648" t="s">
        <v>278</v>
      </c>
      <c r="AE1648" t="str">
        <f>IF(AF1648="","",VLOOKUP(AC1648,mapel!$A$2:$B$42,2,FALSE))</f>
        <v/>
      </c>
      <c r="AF1648" t="str">
        <f t="shared" si="75"/>
        <v/>
      </c>
      <c r="AG1648" t="str">
        <f>IF(AF1648="","",IF(AF1648&gt;90,"Sangat baik",IF(AF1648&gt;79,"Baik",IF(AF1648&gt;=pub_gid_0_single_true_output_csv[[#This Row],[KKM]],"Cukup","Kurang"))))</f>
        <v/>
      </c>
      <c r="AH1648" t="str">
        <f t="shared" si="76"/>
        <v/>
      </c>
      <c r="AI1648" s="30" t="str">
        <f>IF(OR(J1648&lt;&gt;"Karakter",pub_gid_0_single_true_output_csv[[#This Row],[Nilai2]]=""),"",IF(AF1648&gt;89,"Sangat baik",IF(AF1648&gt;79,"Baik",IF(AF1648&gt;69,"Cukup",IF(AF1648&gt;59,"Kurang","Sangat kurang")))))</f>
        <v/>
      </c>
      <c r="AJ1648" t="str">
        <f t="shared" si="77"/>
        <v/>
      </c>
      <c r="AK1648" t="str">
        <f>IF(pub_gid_0_single_true_output_csv[[#This Row],[Nilai2]]="","",VLOOKUP(pub_gid_0_single_true_output_csv[[#This Row],[NAMA]],Table7[],3,FALSE))</f>
        <v/>
      </c>
    </row>
    <row r="1649" spans="1:37" x14ac:dyDescent="0.2">
      <c r="A1649">
        <v>1648</v>
      </c>
      <c r="B1649" t="s">
        <v>295</v>
      </c>
      <c r="C1649" t="s">
        <v>54</v>
      </c>
      <c r="D1649" t="s">
        <v>47</v>
      </c>
      <c r="E1649" t="s">
        <v>148</v>
      </c>
      <c r="F1649" s="25">
        <v>46077</v>
      </c>
      <c r="G1649" t="s">
        <v>476</v>
      </c>
      <c r="H1649" t="s">
        <v>412</v>
      </c>
      <c r="I1649" t="s">
        <v>371</v>
      </c>
      <c r="J1649" t="s">
        <v>41</v>
      </c>
      <c r="K1649" t="s">
        <v>365</v>
      </c>
      <c r="L1649" t="s">
        <v>319</v>
      </c>
      <c r="M1649" t="s">
        <v>141</v>
      </c>
      <c r="N1649" t="s">
        <v>142</v>
      </c>
      <c r="O1649" t="s">
        <v>155</v>
      </c>
      <c r="P1649" t="s">
        <v>281</v>
      </c>
      <c r="Q1649" t="s">
        <v>155</v>
      </c>
      <c r="R1649" t="s">
        <v>273</v>
      </c>
      <c r="S1649" t="s">
        <v>470</v>
      </c>
      <c r="T1649">
        <v>4</v>
      </c>
      <c r="U1649" t="s">
        <v>471</v>
      </c>
      <c r="V1649" t="s">
        <v>472</v>
      </c>
      <c r="W1649" t="s">
        <v>473</v>
      </c>
      <c r="X1649" t="s">
        <v>306</v>
      </c>
      <c r="Y1649" t="s">
        <v>307</v>
      </c>
      <c r="Z1649">
        <v>65</v>
      </c>
      <c r="AA1649">
        <v>0</v>
      </c>
      <c r="AB1649" t="s">
        <v>151</v>
      </c>
      <c r="AC1649" t="s">
        <v>52</v>
      </c>
      <c r="AD1649" t="s">
        <v>278</v>
      </c>
      <c r="AE1649" t="str">
        <f>IF(AF1649="","",VLOOKUP(AC1649,mapel!$A$2:$B$42,2,FALSE))</f>
        <v/>
      </c>
      <c r="AF1649" t="str">
        <f t="shared" si="75"/>
        <v/>
      </c>
      <c r="AG1649" t="str">
        <f>IF(AF1649="","",IF(AF1649&gt;90,"Sangat baik",IF(AF1649&gt;79,"Baik",IF(AF1649&gt;=pub_gid_0_single_true_output_csv[[#This Row],[KKM]],"Cukup","Kurang"))))</f>
        <v/>
      </c>
      <c r="AH1649" t="str">
        <f t="shared" si="76"/>
        <v/>
      </c>
      <c r="AI1649" s="30" t="str">
        <f>IF(OR(J1649&lt;&gt;"Karakter",pub_gid_0_single_true_output_csv[[#This Row],[Nilai2]]=""),"",IF(AF1649&gt;89,"Sangat baik",IF(AF1649&gt;79,"Baik",IF(AF1649&gt;69,"Cukup",IF(AF1649&gt;59,"Kurang","Sangat kurang")))))</f>
        <v/>
      </c>
      <c r="AJ1649" t="str">
        <f t="shared" si="77"/>
        <v/>
      </c>
      <c r="AK1649" t="str">
        <f>IF(pub_gid_0_single_true_output_csv[[#This Row],[Nilai2]]="","",VLOOKUP(pub_gid_0_single_true_output_csv[[#This Row],[NAMA]],Table7[],3,FALSE))</f>
        <v/>
      </c>
    </row>
    <row r="1650" spans="1:37" x14ac:dyDescent="0.2">
      <c r="A1650">
        <v>1649</v>
      </c>
      <c r="B1650" t="s">
        <v>295</v>
      </c>
      <c r="C1650" t="s">
        <v>54</v>
      </c>
      <c r="D1650" t="s">
        <v>47</v>
      </c>
      <c r="E1650" t="s">
        <v>148</v>
      </c>
      <c r="F1650" s="25">
        <v>46078</v>
      </c>
      <c r="G1650" t="s">
        <v>284</v>
      </c>
      <c r="H1650" t="s">
        <v>412</v>
      </c>
      <c r="I1650" t="s">
        <v>371</v>
      </c>
      <c r="J1650" t="s">
        <v>36</v>
      </c>
      <c r="K1650" t="s">
        <v>153</v>
      </c>
      <c r="L1650" t="s">
        <v>319</v>
      </c>
      <c r="M1650" t="s">
        <v>141</v>
      </c>
      <c r="N1650" t="s">
        <v>142</v>
      </c>
      <c r="O1650" t="s">
        <v>155</v>
      </c>
      <c r="P1650" t="s">
        <v>281</v>
      </c>
      <c r="Q1650" t="s">
        <v>155</v>
      </c>
      <c r="R1650" t="s">
        <v>273</v>
      </c>
      <c r="S1650" t="s">
        <v>470</v>
      </c>
      <c r="T1650">
        <v>4</v>
      </c>
      <c r="U1650" t="s">
        <v>471</v>
      </c>
      <c r="V1650" t="s">
        <v>472</v>
      </c>
      <c r="W1650" t="s">
        <v>473</v>
      </c>
      <c r="X1650" t="s">
        <v>306</v>
      </c>
      <c r="Y1650" t="s">
        <v>307</v>
      </c>
      <c r="Z1650">
        <v>65</v>
      </c>
      <c r="AA1650">
        <v>0</v>
      </c>
      <c r="AB1650" t="s">
        <v>151</v>
      </c>
      <c r="AC1650" t="s">
        <v>52</v>
      </c>
      <c r="AD1650" t="s">
        <v>278</v>
      </c>
      <c r="AE1650" t="str">
        <f>IF(AF1650="","",VLOOKUP(AC1650,mapel!$A$2:$B$42,2,FALSE))</f>
        <v/>
      </c>
      <c r="AF1650" t="str">
        <f t="shared" si="75"/>
        <v/>
      </c>
      <c r="AG1650" t="str">
        <f>IF(AF1650="","",IF(AF1650&gt;90,"Sangat baik",IF(AF1650&gt;79,"Baik",IF(AF1650&gt;=pub_gid_0_single_true_output_csv[[#This Row],[KKM]],"Cukup","Kurang"))))</f>
        <v/>
      </c>
      <c r="AH1650" t="str">
        <f t="shared" si="76"/>
        <v/>
      </c>
      <c r="AI1650" s="30" t="str">
        <f>IF(OR(J1650&lt;&gt;"Karakter",pub_gid_0_single_true_output_csv[[#This Row],[Nilai2]]=""),"",IF(AF1650&gt;89,"Sangat baik",IF(AF1650&gt;79,"Baik",IF(AF1650&gt;69,"Cukup",IF(AF1650&gt;59,"Kurang","Sangat kurang")))))</f>
        <v/>
      </c>
      <c r="AJ1650" t="str">
        <f t="shared" si="77"/>
        <v/>
      </c>
      <c r="AK1650" t="str">
        <f>IF(pub_gid_0_single_true_output_csv[[#This Row],[Nilai2]]="","",VLOOKUP(pub_gid_0_single_true_output_csv[[#This Row],[NAMA]],Table7[],3,FALSE))</f>
        <v/>
      </c>
    </row>
    <row r="1651" spans="1:37" x14ac:dyDescent="0.2">
      <c r="A1651">
        <v>1650</v>
      </c>
      <c r="B1651" t="s">
        <v>296</v>
      </c>
      <c r="C1651" t="s">
        <v>54</v>
      </c>
      <c r="D1651" t="s">
        <v>48</v>
      </c>
      <c r="E1651" t="s">
        <v>140</v>
      </c>
      <c r="F1651" s="25">
        <v>46035</v>
      </c>
      <c r="G1651" t="s">
        <v>358</v>
      </c>
      <c r="H1651" t="s">
        <v>405</v>
      </c>
      <c r="I1651" t="s">
        <v>371</v>
      </c>
      <c r="J1651" t="s">
        <v>41</v>
      </c>
      <c r="K1651" t="s">
        <v>365</v>
      </c>
      <c r="L1651" t="s">
        <v>322</v>
      </c>
      <c r="M1651" t="s">
        <v>141</v>
      </c>
      <c r="N1651" t="s">
        <v>142</v>
      </c>
      <c r="O1651" t="s">
        <v>155</v>
      </c>
      <c r="P1651" t="s">
        <v>281</v>
      </c>
      <c r="Q1651" t="s">
        <v>155</v>
      </c>
      <c r="R1651" t="s">
        <v>273</v>
      </c>
      <c r="S1651" t="s">
        <v>470</v>
      </c>
      <c r="T1651">
        <v>4</v>
      </c>
      <c r="U1651" t="s">
        <v>471</v>
      </c>
      <c r="V1651" t="s">
        <v>472</v>
      </c>
      <c r="W1651" t="s">
        <v>473</v>
      </c>
      <c r="X1651" t="s">
        <v>306</v>
      </c>
      <c r="Y1651" t="s">
        <v>307</v>
      </c>
      <c r="Z1651">
        <v>65</v>
      </c>
      <c r="AA1651">
        <v>0</v>
      </c>
      <c r="AB1651" t="s">
        <v>151</v>
      </c>
      <c r="AC1651" t="s">
        <v>52</v>
      </c>
      <c r="AD1651" t="s">
        <v>278</v>
      </c>
      <c r="AE1651" t="str">
        <f>IF(AF1651="","",VLOOKUP(AC1651,mapel!$A$2:$B$42,2,FALSE))</f>
        <v/>
      </c>
      <c r="AF1651" t="str">
        <f t="shared" si="75"/>
        <v/>
      </c>
      <c r="AG1651" t="str">
        <f>IF(AF1651="","",IF(AF1651&gt;90,"Sangat baik",IF(AF1651&gt;79,"Baik",IF(AF1651&gt;=pub_gid_0_single_true_output_csv[[#This Row],[KKM]],"Cukup","Kurang"))))</f>
        <v/>
      </c>
      <c r="AH1651" t="str">
        <f t="shared" si="76"/>
        <v/>
      </c>
      <c r="AI1651" s="30" t="str">
        <f>IF(OR(J1651&lt;&gt;"Karakter",pub_gid_0_single_true_output_csv[[#This Row],[Nilai2]]=""),"",IF(AF1651&gt;89,"Sangat baik",IF(AF1651&gt;79,"Baik",IF(AF1651&gt;69,"Cukup",IF(AF1651&gt;59,"Kurang","Sangat kurang")))))</f>
        <v/>
      </c>
      <c r="AJ1651" t="str">
        <f t="shared" si="77"/>
        <v/>
      </c>
      <c r="AK1651" t="str">
        <f>IF(pub_gid_0_single_true_output_csv[[#This Row],[Nilai2]]="","",VLOOKUP(pub_gid_0_single_true_output_csv[[#This Row],[NAMA]],Table7[],3,FALSE))</f>
        <v/>
      </c>
    </row>
    <row r="1652" spans="1:37" x14ac:dyDescent="0.2">
      <c r="A1652">
        <v>1651</v>
      </c>
      <c r="B1652" t="s">
        <v>296</v>
      </c>
      <c r="C1652" t="s">
        <v>54</v>
      </c>
      <c r="D1652" t="s">
        <v>48</v>
      </c>
      <c r="E1652" t="s">
        <v>140</v>
      </c>
      <c r="F1652" s="25">
        <v>46036</v>
      </c>
      <c r="G1652" t="s">
        <v>353</v>
      </c>
      <c r="H1652" t="s">
        <v>405</v>
      </c>
      <c r="I1652" t="s">
        <v>371</v>
      </c>
      <c r="J1652" t="s">
        <v>41</v>
      </c>
      <c r="K1652" t="s">
        <v>365</v>
      </c>
      <c r="L1652" t="s">
        <v>319</v>
      </c>
      <c r="M1652" t="s">
        <v>141</v>
      </c>
      <c r="N1652" t="s">
        <v>142</v>
      </c>
      <c r="O1652" t="s">
        <v>155</v>
      </c>
      <c r="P1652" t="s">
        <v>281</v>
      </c>
      <c r="Q1652" t="s">
        <v>155</v>
      </c>
      <c r="R1652" t="s">
        <v>273</v>
      </c>
      <c r="S1652" t="s">
        <v>470</v>
      </c>
      <c r="T1652">
        <v>4</v>
      </c>
      <c r="U1652" t="s">
        <v>471</v>
      </c>
      <c r="V1652" t="s">
        <v>472</v>
      </c>
      <c r="W1652" t="s">
        <v>473</v>
      </c>
      <c r="X1652" t="s">
        <v>306</v>
      </c>
      <c r="Y1652" t="s">
        <v>307</v>
      </c>
      <c r="Z1652">
        <v>65</v>
      </c>
      <c r="AA1652">
        <v>0</v>
      </c>
      <c r="AB1652" t="s">
        <v>151</v>
      </c>
      <c r="AC1652" t="s">
        <v>52</v>
      </c>
      <c r="AD1652" t="s">
        <v>278</v>
      </c>
      <c r="AE1652" t="str">
        <f>IF(AF1652="","",VLOOKUP(AC1652,mapel!$A$2:$B$42,2,FALSE))</f>
        <v/>
      </c>
      <c r="AF1652" t="str">
        <f t="shared" si="75"/>
        <v/>
      </c>
      <c r="AG1652" t="str">
        <f>IF(AF1652="","",IF(AF1652&gt;90,"Sangat baik",IF(AF1652&gt;79,"Baik",IF(AF1652&gt;=pub_gid_0_single_true_output_csv[[#This Row],[KKM]],"Cukup","Kurang"))))</f>
        <v/>
      </c>
      <c r="AH1652" t="str">
        <f t="shared" si="76"/>
        <v/>
      </c>
      <c r="AI1652" s="30" t="str">
        <f>IF(OR(J1652&lt;&gt;"Karakter",pub_gid_0_single_true_output_csv[[#This Row],[Nilai2]]=""),"",IF(AF1652&gt;89,"Sangat baik",IF(AF1652&gt;79,"Baik",IF(AF1652&gt;69,"Cukup",IF(AF1652&gt;59,"Kurang","Sangat kurang")))))</f>
        <v/>
      </c>
      <c r="AJ1652" t="str">
        <f t="shared" si="77"/>
        <v/>
      </c>
      <c r="AK1652" t="str">
        <f>IF(pub_gid_0_single_true_output_csv[[#This Row],[Nilai2]]="","",VLOOKUP(pub_gid_0_single_true_output_csv[[#This Row],[NAMA]],Table7[],3,FALSE))</f>
        <v/>
      </c>
    </row>
    <row r="1653" spans="1:37" x14ac:dyDescent="0.2">
      <c r="A1653">
        <v>1652</v>
      </c>
      <c r="B1653" t="s">
        <v>296</v>
      </c>
      <c r="C1653" t="s">
        <v>54</v>
      </c>
      <c r="D1653" t="s">
        <v>48</v>
      </c>
      <c r="E1653" t="s">
        <v>140</v>
      </c>
      <c r="F1653" s="25">
        <v>46037</v>
      </c>
      <c r="G1653" t="s">
        <v>356</v>
      </c>
      <c r="H1653" t="s">
        <v>405</v>
      </c>
      <c r="I1653" t="s">
        <v>371</v>
      </c>
      <c r="J1653" t="s">
        <v>36</v>
      </c>
      <c r="K1653" t="s">
        <v>37</v>
      </c>
      <c r="L1653" t="s">
        <v>383</v>
      </c>
      <c r="M1653" t="s">
        <v>141</v>
      </c>
      <c r="N1653" t="s">
        <v>142</v>
      </c>
      <c r="O1653" t="s">
        <v>155</v>
      </c>
      <c r="P1653" t="s">
        <v>281</v>
      </c>
      <c r="Q1653" t="s">
        <v>155</v>
      </c>
      <c r="R1653" t="s">
        <v>273</v>
      </c>
      <c r="S1653" t="s">
        <v>470</v>
      </c>
      <c r="T1653">
        <v>4</v>
      </c>
      <c r="U1653" t="s">
        <v>471</v>
      </c>
      <c r="V1653" t="s">
        <v>472</v>
      </c>
      <c r="W1653" t="s">
        <v>473</v>
      </c>
      <c r="X1653" t="s">
        <v>306</v>
      </c>
      <c r="Y1653" t="s">
        <v>307</v>
      </c>
      <c r="Z1653">
        <v>65</v>
      </c>
      <c r="AA1653">
        <v>0</v>
      </c>
      <c r="AB1653" t="s">
        <v>151</v>
      </c>
      <c r="AC1653" t="s">
        <v>52</v>
      </c>
      <c r="AD1653" t="s">
        <v>278</v>
      </c>
      <c r="AE1653" t="str">
        <f>IF(AF1653="","",VLOOKUP(AC1653,mapel!$A$2:$B$42,2,FALSE))</f>
        <v/>
      </c>
      <c r="AF1653" t="str">
        <f t="shared" si="75"/>
        <v/>
      </c>
      <c r="AG1653" t="str">
        <f>IF(AF1653="","",IF(AF1653&gt;90,"Sangat baik",IF(AF1653&gt;79,"Baik",IF(AF1653&gt;=pub_gid_0_single_true_output_csv[[#This Row],[KKM]],"Cukup","Kurang"))))</f>
        <v/>
      </c>
      <c r="AH1653" t="str">
        <f t="shared" si="76"/>
        <v/>
      </c>
      <c r="AI1653" s="30" t="str">
        <f>IF(OR(J1653&lt;&gt;"Karakter",pub_gid_0_single_true_output_csv[[#This Row],[Nilai2]]=""),"",IF(AF1653&gt;89,"Sangat baik",IF(AF1653&gt;79,"Baik",IF(AF1653&gt;69,"Cukup",IF(AF1653&gt;59,"Kurang","Sangat kurang")))))</f>
        <v/>
      </c>
      <c r="AJ1653" t="str">
        <f t="shared" si="77"/>
        <v/>
      </c>
      <c r="AK1653" t="str">
        <f>IF(pub_gid_0_single_true_output_csv[[#This Row],[Nilai2]]="","",VLOOKUP(pub_gid_0_single_true_output_csv[[#This Row],[NAMA]],Table7[],3,FALSE))</f>
        <v/>
      </c>
    </row>
    <row r="1654" spans="1:37" x14ac:dyDescent="0.2">
      <c r="A1654">
        <v>1653</v>
      </c>
      <c r="B1654" t="s">
        <v>296</v>
      </c>
      <c r="C1654" t="s">
        <v>54</v>
      </c>
      <c r="D1654" t="s">
        <v>48</v>
      </c>
      <c r="E1654" t="s">
        <v>140</v>
      </c>
      <c r="F1654" s="25">
        <v>46042</v>
      </c>
      <c r="G1654" t="s">
        <v>474</v>
      </c>
      <c r="H1654" t="s">
        <v>405</v>
      </c>
      <c r="I1654" t="s">
        <v>371</v>
      </c>
      <c r="J1654" t="s">
        <v>90</v>
      </c>
      <c r="K1654" t="s">
        <v>366</v>
      </c>
      <c r="L1654" t="s">
        <v>475</v>
      </c>
      <c r="M1654" t="s">
        <v>141</v>
      </c>
      <c r="N1654" t="s">
        <v>142</v>
      </c>
      <c r="O1654" t="s">
        <v>155</v>
      </c>
      <c r="P1654" t="s">
        <v>281</v>
      </c>
      <c r="Q1654" t="s">
        <v>155</v>
      </c>
      <c r="R1654" t="s">
        <v>273</v>
      </c>
      <c r="S1654" t="s">
        <v>470</v>
      </c>
      <c r="T1654">
        <v>4</v>
      </c>
      <c r="U1654" t="s">
        <v>471</v>
      </c>
      <c r="V1654" t="s">
        <v>472</v>
      </c>
      <c r="W1654" t="s">
        <v>473</v>
      </c>
      <c r="X1654" t="s">
        <v>306</v>
      </c>
      <c r="Y1654" t="s">
        <v>307</v>
      </c>
      <c r="Z1654">
        <v>65</v>
      </c>
      <c r="AA1654">
        <v>0</v>
      </c>
      <c r="AB1654" t="s">
        <v>151</v>
      </c>
      <c r="AC1654" t="s">
        <v>52</v>
      </c>
      <c r="AD1654" t="s">
        <v>278</v>
      </c>
      <c r="AE1654" t="str">
        <f>IF(AF1654="","",VLOOKUP(AC1654,mapel!$A$2:$B$42,2,FALSE))</f>
        <v/>
      </c>
      <c r="AF1654" t="str">
        <f t="shared" si="75"/>
        <v/>
      </c>
      <c r="AG1654" t="str">
        <f>IF(AF1654="","",IF(AF1654&gt;90,"Sangat baik",IF(AF1654&gt;79,"Baik",IF(AF1654&gt;=pub_gid_0_single_true_output_csv[[#This Row],[KKM]],"Cukup","Kurang"))))</f>
        <v/>
      </c>
      <c r="AH1654" t="str">
        <f t="shared" si="76"/>
        <v/>
      </c>
      <c r="AI1654" s="30" t="str">
        <f>IF(OR(J1654&lt;&gt;"Karakter",pub_gid_0_single_true_output_csv[[#This Row],[Nilai2]]=""),"",IF(AF1654&gt;89,"Sangat baik",IF(AF1654&gt;79,"Baik",IF(AF1654&gt;69,"Cukup",IF(AF1654&gt;59,"Kurang","Sangat kurang")))))</f>
        <v/>
      </c>
      <c r="AJ1654" t="str">
        <f t="shared" si="77"/>
        <v/>
      </c>
      <c r="AK1654" t="str">
        <f>IF(pub_gid_0_single_true_output_csv[[#This Row],[Nilai2]]="","",VLOOKUP(pub_gid_0_single_true_output_csv[[#This Row],[NAMA]],Table7[],3,FALSE))</f>
        <v/>
      </c>
    </row>
    <row r="1655" spans="1:37" x14ac:dyDescent="0.2">
      <c r="A1655">
        <v>1654</v>
      </c>
      <c r="B1655" t="s">
        <v>296</v>
      </c>
      <c r="C1655" t="s">
        <v>54</v>
      </c>
      <c r="D1655" t="s">
        <v>48</v>
      </c>
      <c r="E1655" t="s">
        <v>140</v>
      </c>
      <c r="F1655" s="25">
        <v>46051</v>
      </c>
      <c r="G1655" t="s">
        <v>320</v>
      </c>
      <c r="H1655" t="s">
        <v>405</v>
      </c>
      <c r="I1655" t="s">
        <v>371</v>
      </c>
      <c r="J1655" t="s">
        <v>41</v>
      </c>
      <c r="K1655" t="s">
        <v>365</v>
      </c>
      <c r="L1655" t="s">
        <v>319</v>
      </c>
      <c r="M1655" t="s">
        <v>141</v>
      </c>
      <c r="N1655" t="s">
        <v>142</v>
      </c>
      <c r="O1655" t="s">
        <v>155</v>
      </c>
      <c r="P1655" t="s">
        <v>281</v>
      </c>
      <c r="Q1655" t="s">
        <v>155</v>
      </c>
      <c r="R1655" t="s">
        <v>273</v>
      </c>
      <c r="S1655" t="s">
        <v>470</v>
      </c>
      <c r="T1655">
        <v>4</v>
      </c>
      <c r="U1655" t="s">
        <v>471</v>
      </c>
      <c r="V1655" t="s">
        <v>472</v>
      </c>
      <c r="W1655" t="s">
        <v>473</v>
      </c>
      <c r="X1655" t="s">
        <v>306</v>
      </c>
      <c r="Y1655" t="s">
        <v>307</v>
      </c>
      <c r="Z1655">
        <v>65</v>
      </c>
      <c r="AA1655">
        <v>0</v>
      </c>
      <c r="AB1655" t="s">
        <v>151</v>
      </c>
      <c r="AC1655" t="s">
        <v>52</v>
      </c>
      <c r="AD1655" t="s">
        <v>278</v>
      </c>
      <c r="AE1655" t="str">
        <f>IF(AF1655="","",VLOOKUP(AC1655,mapel!$A$2:$B$42,2,FALSE))</f>
        <v/>
      </c>
      <c r="AF1655" t="str">
        <f t="shared" si="75"/>
        <v/>
      </c>
      <c r="AG1655" t="str">
        <f>IF(AF1655="","",IF(AF1655&gt;90,"Sangat baik",IF(AF1655&gt;79,"Baik",IF(AF1655&gt;=pub_gid_0_single_true_output_csv[[#This Row],[KKM]],"Cukup","Kurang"))))</f>
        <v/>
      </c>
      <c r="AH1655" t="str">
        <f t="shared" si="76"/>
        <v/>
      </c>
      <c r="AI1655" s="30" t="str">
        <f>IF(OR(J1655&lt;&gt;"Karakter",pub_gid_0_single_true_output_csv[[#This Row],[Nilai2]]=""),"",IF(AF1655&gt;89,"Sangat baik",IF(AF1655&gt;79,"Baik",IF(AF1655&gt;69,"Cukup",IF(AF1655&gt;59,"Kurang","Sangat kurang")))))</f>
        <v/>
      </c>
      <c r="AJ1655" t="str">
        <f t="shared" si="77"/>
        <v/>
      </c>
      <c r="AK1655" t="str">
        <f>IF(pub_gid_0_single_true_output_csv[[#This Row],[Nilai2]]="","",VLOOKUP(pub_gid_0_single_true_output_csv[[#This Row],[NAMA]],Table7[],3,FALSE))</f>
        <v/>
      </c>
    </row>
    <row r="1656" spans="1:37" x14ac:dyDescent="0.2">
      <c r="A1656">
        <v>1655</v>
      </c>
      <c r="B1656" t="s">
        <v>296</v>
      </c>
      <c r="C1656" t="s">
        <v>54</v>
      </c>
      <c r="D1656" t="s">
        <v>48</v>
      </c>
      <c r="E1656" t="s">
        <v>140</v>
      </c>
      <c r="F1656" s="25">
        <v>46056</v>
      </c>
      <c r="G1656" t="s">
        <v>372</v>
      </c>
      <c r="H1656" t="s">
        <v>412</v>
      </c>
      <c r="I1656" t="s">
        <v>371</v>
      </c>
      <c r="J1656" t="s">
        <v>41</v>
      </c>
      <c r="K1656" t="s">
        <v>365</v>
      </c>
      <c r="L1656" t="s">
        <v>322</v>
      </c>
      <c r="M1656" t="s">
        <v>141</v>
      </c>
      <c r="N1656" t="s">
        <v>142</v>
      </c>
      <c r="O1656" t="s">
        <v>155</v>
      </c>
      <c r="P1656" t="s">
        <v>281</v>
      </c>
      <c r="Q1656" t="s">
        <v>155</v>
      </c>
      <c r="R1656" t="s">
        <v>273</v>
      </c>
      <c r="S1656" t="s">
        <v>309</v>
      </c>
      <c r="T1656">
        <v>1</v>
      </c>
      <c r="U1656" t="s">
        <v>393</v>
      </c>
      <c r="V1656" t="s">
        <v>285</v>
      </c>
      <c r="W1656" t="s">
        <v>394</v>
      </c>
      <c r="X1656" t="s">
        <v>306</v>
      </c>
      <c r="Y1656" t="s">
        <v>307</v>
      </c>
      <c r="Z1656">
        <v>65</v>
      </c>
      <c r="AA1656">
        <v>0</v>
      </c>
      <c r="AB1656" t="s">
        <v>151</v>
      </c>
      <c r="AC1656" t="s">
        <v>52</v>
      </c>
      <c r="AD1656" t="s">
        <v>278</v>
      </c>
      <c r="AE1656" t="str">
        <f>IF(AF1656="","",VLOOKUP(AC1656,mapel!$A$2:$B$42,2,FALSE))</f>
        <v/>
      </c>
      <c r="AF1656" t="str">
        <f t="shared" si="75"/>
        <v/>
      </c>
      <c r="AG1656" t="str">
        <f>IF(AF1656="","",IF(AF1656&gt;90,"Sangat baik",IF(AF1656&gt;79,"Baik",IF(AF1656&gt;=pub_gid_0_single_true_output_csv[[#This Row],[KKM]],"Cukup","Kurang"))))</f>
        <v/>
      </c>
      <c r="AH1656" t="str">
        <f t="shared" si="76"/>
        <v/>
      </c>
      <c r="AI1656" s="30" t="str">
        <f>IF(OR(J1656&lt;&gt;"Karakter",pub_gid_0_single_true_output_csv[[#This Row],[Nilai2]]=""),"",IF(AF1656&gt;89,"Sangat baik",IF(AF1656&gt;79,"Baik",IF(AF1656&gt;69,"Cukup",IF(AF1656&gt;59,"Kurang","Sangat kurang")))))</f>
        <v/>
      </c>
      <c r="AJ1656" t="str">
        <f t="shared" si="77"/>
        <v/>
      </c>
      <c r="AK1656" t="str">
        <f>IF(pub_gid_0_single_true_output_csv[[#This Row],[Nilai2]]="","",VLOOKUP(pub_gid_0_single_true_output_csv[[#This Row],[NAMA]],Table7[],3,FALSE))</f>
        <v/>
      </c>
    </row>
    <row r="1657" spans="1:37" x14ac:dyDescent="0.2">
      <c r="A1657">
        <v>1656</v>
      </c>
      <c r="B1657" t="s">
        <v>296</v>
      </c>
      <c r="C1657" t="s">
        <v>54</v>
      </c>
      <c r="D1657" t="s">
        <v>48</v>
      </c>
      <c r="E1657" t="s">
        <v>140</v>
      </c>
      <c r="F1657" s="25">
        <v>46057</v>
      </c>
      <c r="G1657" t="s">
        <v>348</v>
      </c>
      <c r="H1657" t="s">
        <v>412</v>
      </c>
      <c r="I1657" t="s">
        <v>371</v>
      </c>
      <c r="J1657" t="s">
        <v>36</v>
      </c>
      <c r="K1657" t="s">
        <v>153</v>
      </c>
      <c r="L1657" t="s">
        <v>395</v>
      </c>
      <c r="M1657" t="s">
        <v>141</v>
      </c>
      <c r="N1657" t="s">
        <v>142</v>
      </c>
      <c r="O1657" t="s">
        <v>155</v>
      </c>
      <c r="P1657" t="s">
        <v>281</v>
      </c>
      <c r="Q1657" t="s">
        <v>155</v>
      </c>
      <c r="R1657" t="s">
        <v>273</v>
      </c>
      <c r="S1657" t="s">
        <v>309</v>
      </c>
      <c r="T1657">
        <v>1</v>
      </c>
      <c r="U1657" t="s">
        <v>393</v>
      </c>
      <c r="V1657" t="s">
        <v>285</v>
      </c>
      <c r="W1657" t="s">
        <v>394</v>
      </c>
      <c r="X1657" t="s">
        <v>306</v>
      </c>
      <c r="Y1657" t="s">
        <v>307</v>
      </c>
      <c r="Z1657">
        <v>65</v>
      </c>
      <c r="AA1657">
        <v>0</v>
      </c>
      <c r="AB1657" t="s">
        <v>151</v>
      </c>
      <c r="AC1657" t="s">
        <v>52</v>
      </c>
      <c r="AD1657" t="s">
        <v>278</v>
      </c>
      <c r="AE1657" t="str">
        <f>IF(AF1657="","",VLOOKUP(AC1657,mapel!$A$2:$B$42,2,FALSE))</f>
        <v/>
      </c>
      <c r="AF1657" t="str">
        <f t="shared" si="75"/>
        <v/>
      </c>
      <c r="AG1657" t="str">
        <f>IF(AF1657="","",IF(AF1657&gt;90,"Sangat baik",IF(AF1657&gt;79,"Baik",IF(AF1657&gt;=pub_gid_0_single_true_output_csv[[#This Row],[KKM]],"Cukup","Kurang"))))</f>
        <v/>
      </c>
      <c r="AH1657" t="str">
        <f t="shared" si="76"/>
        <v/>
      </c>
      <c r="AI1657" s="30" t="str">
        <f>IF(OR(J1657&lt;&gt;"Karakter",pub_gid_0_single_true_output_csv[[#This Row],[Nilai2]]=""),"",IF(AF1657&gt;89,"Sangat baik",IF(AF1657&gt;79,"Baik",IF(AF1657&gt;69,"Cukup",IF(AF1657&gt;59,"Kurang","Sangat kurang")))))</f>
        <v/>
      </c>
      <c r="AJ1657" t="str">
        <f t="shared" si="77"/>
        <v/>
      </c>
      <c r="AK1657" t="str">
        <f>IF(pub_gid_0_single_true_output_csv[[#This Row],[Nilai2]]="","",VLOOKUP(pub_gid_0_single_true_output_csv[[#This Row],[NAMA]],Table7[],3,FALSE))</f>
        <v/>
      </c>
    </row>
    <row r="1658" spans="1:37" x14ac:dyDescent="0.2">
      <c r="A1658">
        <v>1657</v>
      </c>
      <c r="B1658" t="s">
        <v>296</v>
      </c>
      <c r="C1658" t="s">
        <v>54</v>
      </c>
      <c r="D1658" t="s">
        <v>48</v>
      </c>
      <c r="E1658" t="s">
        <v>140</v>
      </c>
      <c r="F1658" s="25">
        <v>46058</v>
      </c>
      <c r="G1658" t="s">
        <v>346</v>
      </c>
      <c r="H1658" t="s">
        <v>412</v>
      </c>
      <c r="I1658" t="s">
        <v>371</v>
      </c>
      <c r="J1658" t="s">
        <v>41</v>
      </c>
      <c r="K1658" t="s">
        <v>365</v>
      </c>
      <c r="L1658" t="s">
        <v>322</v>
      </c>
      <c r="M1658" t="s">
        <v>141</v>
      </c>
      <c r="N1658" t="s">
        <v>142</v>
      </c>
      <c r="O1658" t="s">
        <v>155</v>
      </c>
      <c r="P1658" t="s">
        <v>281</v>
      </c>
      <c r="Q1658" t="s">
        <v>155</v>
      </c>
      <c r="R1658" t="s">
        <v>273</v>
      </c>
      <c r="S1658" t="s">
        <v>309</v>
      </c>
      <c r="T1658">
        <v>1</v>
      </c>
      <c r="U1658" t="s">
        <v>393</v>
      </c>
      <c r="V1658" t="s">
        <v>285</v>
      </c>
      <c r="W1658" t="s">
        <v>394</v>
      </c>
      <c r="X1658" t="s">
        <v>306</v>
      </c>
      <c r="Y1658" t="s">
        <v>307</v>
      </c>
      <c r="Z1658">
        <v>65</v>
      </c>
      <c r="AA1658">
        <v>0</v>
      </c>
      <c r="AB1658" t="s">
        <v>151</v>
      </c>
      <c r="AC1658" t="s">
        <v>52</v>
      </c>
      <c r="AD1658" t="s">
        <v>278</v>
      </c>
      <c r="AE1658" t="str">
        <f>IF(AF1658="","",VLOOKUP(AC1658,mapel!$A$2:$B$42,2,FALSE))</f>
        <v/>
      </c>
      <c r="AF1658" t="str">
        <f t="shared" si="75"/>
        <v/>
      </c>
      <c r="AG1658" t="str">
        <f>IF(AF1658="","",IF(AF1658&gt;90,"Sangat baik",IF(AF1658&gt;79,"Baik",IF(AF1658&gt;=pub_gid_0_single_true_output_csv[[#This Row],[KKM]],"Cukup","Kurang"))))</f>
        <v/>
      </c>
      <c r="AH1658" t="str">
        <f t="shared" si="76"/>
        <v/>
      </c>
      <c r="AI1658" s="30" t="str">
        <f>IF(OR(J1658&lt;&gt;"Karakter",pub_gid_0_single_true_output_csv[[#This Row],[Nilai2]]=""),"",IF(AF1658&gt;89,"Sangat baik",IF(AF1658&gt;79,"Baik",IF(AF1658&gt;69,"Cukup",IF(AF1658&gt;59,"Kurang","Sangat kurang")))))</f>
        <v/>
      </c>
      <c r="AJ1658" t="str">
        <f t="shared" si="77"/>
        <v/>
      </c>
      <c r="AK1658" t="str">
        <f>IF(pub_gid_0_single_true_output_csv[[#This Row],[Nilai2]]="","",VLOOKUP(pub_gid_0_single_true_output_csv[[#This Row],[NAMA]],Table7[],3,FALSE))</f>
        <v/>
      </c>
    </row>
    <row r="1659" spans="1:37" x14ac:dyDescent="0.2">
      <c r="A1659">
        <v>1658</v>
      </c>
      <c r="B1659" t="s">
        <v>296</v>
      </c>
      <c r="C1659" t="s">
        <v>54</v>
      </c>
      <c r="D1659" t="s">
        <v>48</v>
      </c>
      <c r="E1659" t="s">
        <v>140</v>
      </c>
      <c r="F1659" s="25">
        <v>46063</v>
      </c>
      <c r="G1659" t="s">
        <v>374</v>
      </c>
      <c r="H1659" t="s">
        <v>412</v>
      </c>
      <c r="I1659" t="s">
        <v>371</v>
      </c>
      <c r="J1659" t="s">
        <v>36</v>
      </c>
      <c r="K1659" t="s">
        <v>153</v>
      </c>
      <c r="L1659" t="s">
        <v>395</v>
      </c>
      <c r="M1659" t="s">
        <v>141</v>
      </c>
      <c r="N1659" t="s">
        <v>142</v>
      </c>
      <c r="O1659" t="s">
        <v>155</v>
      </c>
      <c r="P1659" t="s">
        <v>281</v>
      </c>
      <c r="Q1659" t="s">
        <v>155</v>
      </c>
      <c r="R1659" t="s">
        <v>273</v>
      </c>
      <c r="S1659" t="s">
        <v>309</v>
      </c>
      <c r="T1659">
        <v>1</v>
      </c>
      <c r="U1659" t="s">
        <v>393</v>
      </c>
      <c r="V1659" t="s">
        <v>285</v>
      </c>
      <c r="W1659" t="s">
        <v>394</v>
      </c>
      <c r="X1659" t="s">
        <v>306</v>
      </c>
      <c r="Y1659" t="s">
        <v>307</v>
      </c>
      <c r="Z1659">
        <v>65</v>
      </c>
      <c r="AA1659">
        <v>0</v>
      </c>
      <c r="AB1659" t="s">
        <v>151</v>
      </c>
      <c r="AC1659" t="s">
        <v>52</v>
      </c>
      <c r="AD1659" t="s">
        <v>278</v>
      </c>
      <c r="AE1659" t="str">
        <f>IF(AF1659="","",VLOOKUP(AC1659,mapel!$A$2:$B$42,2,FALSE))</f>
        <v/>
      </c>
      <c r="AF1659" t="str">
        <f t="shared" si="75"/>
        <v/>
      </c>
      <c r="AG1659" t="str">
        <f>IF(AF1659="","",IF(AF1659&gt;90,"Sangat baik",IF(AF1659&gt;79,"Baik",IF(AF1659&gt;=pub_gid_0_single_true_output_csv[[#This Row],[KKM]],"Cukup","Kurang"))))</f>
        <v/>
      </c>
      <c r="AH1659" t="str">
        <f t="shared" si="76"/>
        <v/>
      </c>
      <c r="AI1659" s="30" t="str">
        <f>IF(OR(J1659&lt;&gt;"Karakter",pub_gid_0_single_true_output_csv[[#This Row],[Nilai2]]=""),"",IF(AF1659&gt;89,"Sangat baik",IF(AF1659&gt;79,"Baik",IF(AF1659&gt;69,"Cukup",IF(AF1659&gt;59,"Kurang","Sangat kurang")))))</f>
        <v/>
      </c>
      <c r="AJ1659" t="str">
        <f t="shared" si="77"/>
        <v/>
      </c>
      <c r="AK1659" t="str">
        <f>IF(pub_gid_0_single_true_output_csv[[#This Row],[Nilai2]]="","",VLOOKUP(pub_gid_0_single_true_output_csv[[#This Row],[NAMA]],Table7[],3,FALSE))</f>
        <v/>
      </c>
    </row>
    <row r="1660" spans="1:37" x14ac:dyDescent="0.2">
      <c r="A1660">
        <v>1659</v>
      </c>
      <c r="B1660" t="s">
        <v>296</v>
      </c>
      <c r="C1660" t="s">
        <v>54</v>
      </c>
      <c r="D1660" t="s">
        <v>48</v>
      </c>
      <c r="E1660" t="s">
        <v>140</v>
      </c>
      <c r="F1660" s="25">
        <v>46064</v>
      </c>
      <c r="G1660" t="s">
        <v>352</v>
      </c>
      <c r="H1660" t="s">
        <v>412</v>
      </c>
      <c r="I1660" t="s">
        <v>371</v>
      </c>
      <c r="J1660" t="s">
        <v>31</v>
      </c>
      <c r="K1660" t="s">
        <v>32</v>
      </c>
      <c r="L1660" t="s">
        <v>395</v>
      </c>
      <c r="M1660" t="s">
        <v>141</v>
      </c>
      <c r="N1660" t="s">
        <v>142</v>
      </c>
      <c r="O1660" t="s">
        <v>155</v>
      </c>
      <c r="P1660" t="s">
        <v>281</v>
      </c>
      <c r="Q1660" t="s">
        <v>155</v>
      </c>
      <c r="R1660" t="s">
        <v>273</v>
      </c>
      <c r="S1660" t="s">
        <v>309</v>
      </c>
      <c r="T1660">
        <v>1</v>
      </c>
      <c r="U1660" t="s">
        <v>393</v>
      </c>
      <c r="V1660" t="s">
        <v>285</v>
      </c>
      <c r="W1660" t="s">
        <v>394</v>
      </c>
      <c r="X1660" t="s">
        <v>306</v>
      </c>
      <c r="Y1660" t="s">
        <v>307</v>
      </c>
      <c r="Z1660">
        <v>65</v>
      </c>
      <c r="AA1660">
        <v>0</v>
      </c>
      <c r="AB1660" t="s">
        <v>151</v>
      </c>
      <c r="AC1660" t="s">
        <v>52</v>
      </c>
      <c r="AD1660" t="s">
        <v>278</v>
      </c>
      <c r="AE1660" t="str">
        <f>IF(AF1660="","",VLOOKUP(AC1660,mapel!$A$2:$B$42,2,FALSE))</f>
        <v/>
      </c>
      <c r="AF1660" t="str">
        <f t="shared" si="75"/>
        <v/>
      </c>
      <c r="AG1660" t="str">
        <f>IF(AF1660="","",IF(AF1660&gt;90,"Sangat baik",IF(AF1660&gt;79,"Baik",IF(AF1660&gt;=pub_gid_0_single_true_output_csv[[#This Row],[KKM]],"Cukup","Kurang"))))</f>
        <v/>
      </c>
      <c r="AH1660" t="str">
        <f t="shared" si="76"/>
        <v/>
      </c>
      <c r="AI1660" s="30" t="str">
        <f>IF(OR(J1660&lt;&gt;"Karakter",pub_gid_0_single_true_output_csv[[#This Row],[Nilai2]]=""),"",IF(AF1660&gt;89,"Sangat baik",IF(AF1660&gt;79,"Baik",IF(AF1660&gt;69,"Cukup",IF(AF1660&gt;59,"Kurang","Sangat kurang")))))</f>
        <v/>
      </c>
      <c r="AJ1660" t="str">
        <f t="shared" si="77"/>
        <v/>
      </c>
      <c r="AK1660" t="str">
        <f>IF(pub_gid_0_single_true_output_csv[[#This Row],[Nilai2]]="","",VLOOKUP(pub_gid_0_single_true_output_csv[[#This Row],[NAMA]],Table7[],3,FALSE))</f>
        <v/>
      </c>
    </row>
    <row r="1661" spans="1:37" x14ac:dyDescent="0.2">
      <c r="A1661">
        <v>1660</v>
      </c>
      <c r="B1661" t="s">
        <v>296</v>
      </c>
      <c r="C1661" t="s">
        <v>54</v>
      </c>
      <c r="D1661" t="s">
        <v>48</v>
      </c>
      <c r="E1661" t="s">
        <v>140</v>
      </c>
      <c r="F1661" s="25">
        <v>46065</v>
      </c>
      <c r="G1661" t="s">
        <v>354</v>
      </c>
      <c r="H1661" t="s">
        <v>412</v>
      </c>
      <c r="I1661" t="s">
        <v>371</v>
      </c>
      <c r="J1661" t="s">
        <v>41</v>
      </c>
      <c r="K1661" t="s">
        <v>365</v>
      </c>
      <c r="L1661" t="s">
        <v>322</v>
      </c>
      <c r="M1661" t="s">
        <v>141</v>
      </c>
      <c r="N1661" t="s">
        <v>142</v>
      </c>
      <c r="O1661" t="s">
        <v>155</v>
      </c>
      <c r="P1661" t="s">
        <v>281</v>
      </c>
      <c r="Q1661" t="s">
        <v>155</v>
      </c>
      <c r="R1661" t="s">
        <v>273</v>
      </c>
      <c r="S1661" t="s">
        <v>309</v>
      </c>
      <c r="T1661">
        <v>1</v>
      </c>
      <c r="U1661" t="s">
        <v>393</v>
      </c>
      <c r="V1661" t="s">
        <v>285</v>
      </c>
      <c r="W1661" t="s">
        <v>394</v>
      </c>
      <c r="X1661" t="s">
        <v>306</v>
      </c>
      <c r="Y1661" t="s">
        <v>307</v>
      </c>
      <c r="Z1661">
        <v>65</v>
      </c>
      <c r="AA1661">
        <v>0</v>
      </c>
      <c r="AB1661" t="s">
        <v>151</v>
      </c>
      <c r="AC1661" t="s">
        <v>52</v>
      </c>
      <c r="AD1661" t="s">
        <v>278</v>
      </c>
      <c r="AE1661" t="str">
        <f>IF(AF1661="","",VLOOKUP(AC1661,mapel!$A$2:$B$42,2,FALSE))</f>
        <v/>
      </c>
      <c r="AF1661" t="str">
        <f t="shared" si="75"/>
        <v/>
      </c>
      <c r="AG1661" t="str">
        <f>IF(AF1661="","",IF(AF1661&gt;90,"Sangat baik",IF(AF1661&gt;79,"Baik",IF(AF1661&gt;=pub_gid_0_single_true_output_csv[[#This Row],[KKM]],"Cukup","Kurang"))))</f>
        <v/>
      </c>
      <c r="AH1661" t="str">
        <f t="shared" si="76"/>
        <v/>
      </c>
      <c r="AI1661" s="30" t="str">
        <f>IF(OR(J1661&lt;&gt;"Karakter",pub_gid_0_single_true_output_csv[[#This Row],[Nilai2]]=""),"",IF(AF1661&gt;89,"Sangat baik",IF(AF1661&gt;79,"Baik",IF(AF1661&gt;69,"Cukup",IF(AF1661&gt;59,"Kurang","Sangat kurang")))))</f>
        <v/>
      </c>
      <c r="AJ1661" t="str">
        <f t="shared" si="77"/>
        <v/>
      </c>
      <c r="AK1661" t="str">
        <f>IF(pub_gid_0_single_true_output_csv[[#This Row],[Nilai2]]="","",VLOOKUP(pub_gid_0_single_true_output_csv[[#This Row],[NAMA]],Table7[],3,FALSE))</f>
        <v/>
      </c>
    </row>
    <row r="1662" spans="1:37" x14ac:dyDescent="0.2">
      <c r="A1662">
        <v>1661</v>
      </c>
      <c r="B1662" t="s">
        <v>296</v>
      </c>
      <c r="C1662" t="s">
        <v>54</v>
      </c>
      <c r="D1662" t="s">
        <v>48</v>
      </c>
      <c r="E1662" t="s">
        <v>140</v>
      </c>
      <c r="F1662" s="25">
        <v>46071</v>
      </c>
      <c r="G1662" t="s">
        <v>323</v>
      </c>
      <c r="H1662" t="s">
        <v>412</v>
      </c>
      <c r="I1662" t="s">
        <v>371</v>
      </c>
      <c r="J1662" t="s">
        <v>41</v>
      </c>
      <c r="K1662" t="s">
        <v>365</v>
      </c>
      <c r="L1662" t="s">
        <v>319</v>
      </c>
      <c r="M1662" t="s">
        <v>141</v>
      </c>
      <c r="N1662" t="s">
        <v>142</v>
      </c>
      <c r="O1662" t="s">
        <v>155</v>
      </c>
      <c r="P1662" t="s">
        <v>281</v>
      </c>
      <c r="Q1662" t="s">
        <v>155</v>
      </c>
      <c r="R1662" t="s">
        <v>273</v>
      </c>
      <c r="S1662" t="s">
        <v>470</v>
      </c>
      <c r="T1662">
        <v>4</v>
      </c>
      <c r="U1662" t="s">
        <v>471</v>
      </c>
      <c r="V1662" t="s">
        <v>472</v>
      </c>
      <c r="W1662" t="s">
        <v>473</v>
      </c>
      <c r="X1662" t="s">
        <v>306</v>
      </c>
      <c r="Y1662" t="s">
        <v>307</v>
      </c>
      <c r="Z1662">
        <v>65</v>
      </c>
      <c r="AA1662">
        <v>0</v>
      </c>
      <c r="AB1662" t="s">
        <v>151</v>
      </c>
      <c r="AC1662" t="s">
        <v>52</v>
      </c>
      <c r="AD1662" t="s">
        <v>278</v>
      </c>
      <c r="AE1662" t="str">
        <f>IF(AF1662="","",VLOOKUP(AC1662,mapel!$A$2:$B$42,2,FALSE))</f>
        <v/>
      </c>
      <c r="AF1662" t="str">
        <f t="shared" si="75"/>
        <v/>
      </c>
      <c r="AG1662" t="str">
        <f>IF(AF1662="","",IF(AF1662&gt;90,"Sangat baik",IF(AF1662&gt;79,"Baik",IF(AF1662&gt;=pub_gid_0_single_true_output_csv[[#This Row],[KKM]],"Cukup","Kurang"))))</f>
        <v/>
      </c>
      <c r="AH1662" t="str">
        <f t="shared" si="76"/>
        <v/>
      </c>
      <c r="AI1662" s="30" t="str">
        <f>IF(OR(J1662&lt;&gt;"Karakter",pub_gid_0_single_true_output_csv[[#This Row],[Nilai2]]=""),"",IF(AF1662&gt;89,"Sangat baik",IF(AF1662&gt;79,"Baik",IF(AF1662&gt;69,"Cukup",IF(AF1662&gt;59,"Kurang","Sangat kurang")))))</f>
        <v/>
      </c>
      <c r="AJ1662" t="str">
        <f t="shared" si="77"/>
        <v/>
      </c>
      <c r="AK1662" t="str">
        <f>IF(pub_gid_0_single_true_output_csv[[#This Row],[Nilai2]]="","",VLOOKUP(pub_gid_0_single_true_output_csv[[#This Row],[NAMA]],Table7[],3,FALSE))</f>
        <v/>
      </c>
    </row>
    <row r="1663" spans="1:37" x14ac:dyDescent="0.2">
      <c r="A1663">
        <v>1662</v>
      </c>
      <c r="B1663" t="s">
        <v>296</v>
      </c>
      <c r="C1663" t="s">
        <v>54</v>
      </c>
      <c r="D1663" t="s">
        <v>48</v>
      </c>
      <c r="E1663" t="s">
        <v>140</v>
      </c>
      <c r="F1663" s="25">
        <v>46077</v>
      </c>
      <c r="G1663" t="s">
        <v>476</v>
      </c>
      <c r="H1663" t="s">
        <v>412</v>
      </c>
      <c r="I1663" t="s">
        <v>371</v>
      </c>
      <c r="J1663" t="s">
        <v>41</v>
      </c>
      <c r="K1663" t="s">
        <v>365</v>
      </c>
      <c r="L1663" t="s">
        <v>319</v>
      </c>
      <c r="M1663" t="s">
        <v>141</v>
      </c>
      <c r="N1663" t="s">
        <v>142</v>
      </c>
      <c r="O1663" t="s">
        <v>155</v>
      </c>
      <c r="P1663" t="s">
        <v>281</v>
      </c>
      <c r="Q1663" t="s">
        <v>155</v>
      </c>
      <c r="R1663" t="s">
        <v>273</v>
      </c>
      <c r="S1663" t="s">
        <v>470</v>
      </c>
      <c r="T1663">
        <v>4</v>
      </c>
      <c r="U1663" t="s">
        <v>471</v>
      </c>
      <c r="V1663" t="s">
        <v>472</v>
      </c>
      <c r="W1663" t="s">
        <v>473</v>
      </c>
      <c r="X1663" t="s">
        <v>306</v>
      </c>
      <c r="Y1663" t="s">
        <v>307</v>
      </c>
      <c r="Z1663">
        <v>65</v>
      </c>
      <c r="AA1663">
        <v>0</v>
      </c>
      <c r="AB1663" t="s">
        <v>151</v>
      </c>
      <c r="AC1663" t="s">
        <v>52</v>
      </c>
      <c r="AD1663" t="s">
        <v>278</v>
      </c>
      <c r="AE1663" t="str">
        <f>IF(AF1663="","",VLOOKUP(AC1663,mapel!$A$2:$B$42,2,FALSE))</f>
        <v/>
      </c>
      <c r="AF1663" t="str">
        <f t="shared" si="75"/>
        <v/>
      </c>
      <c r="AG1663" t="str">
        <f>IF(AF1663="","",IF(AF1663&gt;90,"Sangat baik",IF(AF1663&gt;79,"Baik",IF(AF1663&gt;=pub_gid_0_single_true_output_csv[[#This Row],[KKM]],"Cukup","Kurang"))))</f>
        <v/>
      </c>
      <c r="AH1663" t="str">
        <f t="shared" si="76"/>
        <v/>
      </c>
      <c r="AI1663" s="30" t="str">
        <f>IF(OR(J1663&lt;&gt;"Karakter",pub_gid_0_single_true_output_csv[[#This Row],[Nilai2]]=""),"",IF(AF1663&gt;89,"Sangat baik",IF(AF1663&gt;79,"Baik",IF(AF1663&gt;69,"Cukup",IF(AF1663&gt;59,"Kurang","Sangat kurang")))))</f>
        <v/>
      </c>
      <c r="AJ1663" t="str">
        <f t="shared" si="77"/>
        <v/>
      </c>
      <c r="AK1663" t="str">
        <f>IF(pub_gid_0_single_true_output_csv[[#This Row],[Nilai2]]="","",VLOOKUP(pub_gid_0_single_true_output_csv[[#This Row],[NAMA]],Table7[],3,FALSE))</f>
        <v/>
      </c>
    </row>
    <row r="1664" spans="1:37" x14ac:dyDescent="0.2">
      <c r="A1664">
        <v>1663</v>
      </c>
      <c r="B1664" t="s">
        <v>296</v>
      </c>
      <c r="C1664" t="s">
        <v>54</v>
      </c>
      <c r="D1664" t="s">
        <v>48</v>
      </c>
      <c r="E1664" t="s">
        <v>140</v>
      </c>
      <c r="F1664" s="25">
        <v>46078</v>
      </c>
      <c r="G1664" t="s">
        <v>284</v>
      </c>
      <c r="H1664" t="s">
        <v>412</v>
      </c>
      <c r="I1664" t="s">
        <v>371</v>
      </c>
      <c r="J1664" t="s">
        <v>36</v>
      </c>
      <c r="K1664" t="s">
        <v>153</v>
      </c>
      <c r="L1664" t="s">
        <v>319</v>
      </c>
      <c r="M1664" t="s">
        <v>141</v>
      </c>
      <c r="N1664" t="s">
        <v>142</v>
      </c>
      <c r="O1664" t="s">
        <v>155</v>
      </c>
      <c r="P1664" t="s">
        <v>281</v>
      </c>
      <c r="Q1664" t="s">
        <v>155</v>
      </c>
      <c r="R1664" t="s">
        <v>273</v>
      </c>
      <c r="S1664" t="s">
        <v>470</v>
      </c>
      <c r="T1664">
        <v>4</v>
      </c>
      <c r="U1664" t="s">
        <v>471</v>
      </c>
      <c r="V1664" t="s">
        <v>472</v>
      </c>
      <c r="W1664" t="s">
        <v>473</v>
      </c>
      <c r="X1664" t="s">
        <v>306</v>
      </c>
      <c r="Y1664" t="s">
        <v>307</v>
      </c>
      <c r="Z1664">
        <v>65</v>
      </c>
      <c r="AA1664">
        <v>0</v>
      </c>
      <c r="AB1664" t="s">
        <v>151</v>
      </c>
      <c r="AC1664" t="s">
        <v>52</v>
      </c>
      <c r="AD1664" t="s">
        <v>278</v>
      </c>
      <c r="AE1664" t="str">
        <f>IF(AF1664="","",VLOOKUP(AC1664,mapel!$A$2:$B$42,2,FALSE))</f>
        <v/>
      </c>
      <c r="AF1664" t="str">
        <f t="shared" si="75"/>
        <v/>
      </c>
      <c r="AG1664" t="str">
        <f>IF(AF1664="","",IF(AF1664&gt;90,"Sangat baik",IF(AF1664&gt;79,"Baik",IF(AF1664&gt;=pub_gid_0_single_true_output_csv[[#This Row],[KKM]],"Cukup","Kurang"))))</f>
        <v/>
      </c>
      <c r="AH1664" t="str">
        <f t="shared" si="76"/>
        <v/>
      </c>
      <c r="AI1664" s="30" t="str">
        <f>IF(OR(J1664&lt;&gt;"Karakter",pub_gid_0_single_true_output_csv[[#This Row],[Nilai2]]=""),"",IF(AF1664&gt;89,"Sangat baik",IF(AF1664&gt;79,"Baik",IF(AF1664&gt;69,"Cukup",IF(AF1664&gt;59,"Kurang","Sangat kurang")))))</f>
        <v/>
      </c>
      <c r="AJ1664" t="str">
        <f t="shared" si="77"/>
        <v/>
      </c>
      <c r="AK1664" t="str">
        <f>IF(pub_gid_0_single_true_output_csv[[#This Row],[Nilai2]]="","",VLOOKUP(pub_gid_0_single_true_output_csv[[#This Row],[NAMA]],Table7[],3,FALSE))</f>
        <v/>
      </c>
    </row>
    <row r="1665" spans="1:37" x14ac:dyDescent="0.2">
      <c r="A1665">
        <v>1664</v>
      </c>
      <c r="B1665" t="s">
        <v>332</v>
      </c>
      <c r="C1665" t="s">
        <v>65</v>
      </c>
      <c r="D1665" t="s">
        <v>59</v>
      </c>
      <c r="E1665" t="s">
        <v>333</v>
      </c>
      <c r="F1665" s="25">
        <v>46036</v>
      </c>
      <c r="G1665" t="s">
        <v>353</v>
      </c>
      <c r="H1665" t="s">
        <v>405</v>
      </c>
      <c r="I1665" t="s">
        <v>371</v>
      </c>
      <c r="J1665" t="s">
        <v>36</v>
      </c>
      <c r="K1665" t="s">
        <v>37</v>
      </c>
      <c r="L1665" t="s">
        <v>322</v>
      </c>
      <c r="M1665" t="s">
        <v>141</v>
      </c>
      <c r="N1665" t="s">
        <v>142</v>
      </c>
      <c r="O1665" t="s">
        <v>327</v>
      </c>
      <c r="P1665" t="s">
        <v>281</v>
      </c>
      <c r="Q1665" t="s">
        <v>328</v>
      </c>
      <c r="R1665" t="s">
        <v>360</v>
      </c>
      <c r="S1665" t="s">
        <v>330</v>
      </c>
      <c r="T1665">
        <v>1</v>
      </c>
      <c r="U1665" t="s">
        <v>406</v>
      </c>
      <c r="V1665" t="s">
        <v>285</v>
      </c>
      <c r="W1665" t="s">
        <v>407</v>
      </c>
      <c r="X1665" t="s">
        <v>331</v>
      </c>
      <c r="Y1665" t="s">
        <v>307</v>
      </c>
      <c r="Z1665">
        <v>70</v>
      </c>
      <c r="AA1665">
        <v>85</v>
      </c>
      <c r="AB1665" t="s">
        <v>143</v>
      </c>
      <c r="AC1665" t="s">
        <v>144</v>
      </c>
      <c r="AD1665" t="s">
        <v>404</v>
      </c>
      <c r="AE1665" t="str">
        <f>IF(AF1665="","",VLOOKUP(AC1665,mapel!$A$2:$B$42,2,FALSE))</f>
        <v>A.Katolik</v>
      </c>
      <c r="AF1665">
        <f t="shared" si="75"/>
        <v>85</v>
      </c>
      <c r="AG1665" t="str">
        <f>IF(AF1665="","",IF(AF1665&gt;90,"Sangat baik",IF(AF1665&gt;79,"Baik",IF(AF1665&gt;=pub_gid_0_single_true_output_csv[[#This Row],[KKM]],"Cukup","Kurang"))))</f>
        <v>Baik</v>
      </c>
      <c r="AH1665">
        <f t="shared" si="76"/>
        <v>12</v>
      </c>
      <c r="AI1665" s="30" t="str">
        <f>IF(OR(J1665&lt;&gt;"Karakter",pub_gid_0_single_true_output_csv[[#This Row],[Nilai2]]=""),"",IF(AF1665&gt;89,"Sangat baik",IF(AF1665&gt;79,"Baik",IF(AF1665&gt;69,"Cukup",IF(AF1665&gt;59,"Kurang","Sangat kurang")))))</f>
        <v/>
      </c>
      <c r="AJ1665" t="str">
        <f t="shared" si="77"/>
        <v>Wk.3</v>
      </c>
      <c r="AK1665" t="str">
        <f>IF(pub_gid_0_single_true_output_csv[[#This Row],[Nilai2]]="","",VLOOKUP(pub_gid_0_single_true_output_csv[[#This Row],[NAMA]],Table7[],3,FALSE))</f>
        <v>Superior</v>
      </c>
    </row>
    <row r="1666" spans="1:37" x14ac:dyDescent="0.2">
      <c r="A1666">
        <v>1665</v>
      </c>
      <c r="B1666" t="s">
        <v>332</v>
      </c>
      <c r="C1666" t="s">
        <v>65</v>
      </c>
      <c r="D1666" t="s">
        <v>59</v>
      </c>
      <c r="E1666" t="s">
        <v>333</v>
      </c>
      <c r="F1666" s="25">
        <v>46043</v>
      </c>
      <c r="G1666" t="s">
        <v>341</v>
      </c>
      <c r="H1666" t="s">
        <v>405</v>
      </c>
      <c r="I1666" t="s">
        <v>371</v>
      </c>
      <c r="J1666" t="s">
        <v>36</v>
      </c>
      <c r="K1666" t="s">
        <v>37</v>
      </c>
      <c r="L1666" t="s">
        <v>322</v>
      </c>
      <c r="M1666" t="s">
        <v>141</v>
      </c>
      <c r="N1666" t="s">
        <v>142</v>
      </c>
      <c r="O1666" t="s">
        <v>327</v>
      </c>
      <c r="P1666" t="s">
        <v>281</v>
      </c>
      <c r="Q1666" t="s">
        <v>328</v>
      </c>
      <c r="R1666" t="s">
        <v>360</v>
      </c>
      <c r="S1666" t="s">
        <v>375</v>
      </c>
      <c r="T1666">
        <v>1</v>
      </c>
      <c r="U1666" t="s">
        <v>406</v>
      </c>
      <c r="V1666" t="s">
        <v>342</v>
      </c>
      <c r="W1666" t="s">
        <v>510</v>
      </c>
      <c r="X1666" t="s">
        <v>331</v>
      </c>
      <c r="Y1666" t="s">
        <v>307</v>
      </c>
      <c r="Z1666">
        <v>70</v>
      </c>
      <c r="AA1666">
        <v>85</v>
      </c>
      <c r="AB1666" t="s">
        <v>143</v>
      </c>
      <c r="AC1666" t="s">
        <v>144</v>
      </c>
      <c r="AD1666" t="s">
        <v>404</v>
      </c>
      <c r="AE1666" t="str">
        <f>IF(AF1666="","",VLOOKUP(AC1666,mapel!$A$2:$B$42,2,FALSE))</f>
        <v>A.Katolik</v>
      </c>
      <c r="AF1666">
        <f t="shared" ref="AF1666:AF1729" si="78">IF(AA1666=0, "",IF(AA1666 = 0.1, 0,AA1666))</f>
        <v>85</v>
      </c>
      <c r="AG1666" t="str">
        <f>IF(AF1666="","",IF(AF1666&gt;90,"Sangat baik",IF(AF1666&gt;79,"Baik",IF(AF1666&gt;=pub_gid_0_single_true_output_csv[[#This Row],[KKM]],"Cukup","Kurang"))))</f>
        <v>Baik</v>
      </c>
      <c r="AH1666">
        <f t="shared" ref="AH1666:AH1729" si="79">IF(AG1666="","",VALUE(RIGHT(X1666,2)))</f>
        <v>12</v>
      </c>
      <c r="AI1666" s="30" t="str">
        <f>IF(OR(J1666&lt;&gt;"Karakter",pub_gid_0_single_true_output_csv[[#This Row],[Nilai2]]=""),"",IF(AF1666&gt;89,"Sangat baik",IF(AF1666&gt;79,"Baik",IF(AF1666&gt;69,"Cukup",IF(AF1666&gt;59,"Kurang","Sangat kurang")))))</f>
        <v/>
      </c>
      <c r="AJ1666" t="str">
        <f t="shared" ref="AJ1666:AJ1729" si="80">IF(AF1666="","",CONCATENATE("Wk.",WEEKNUM(F1666,2)))</f>
        <v>Wk.4</v>
      </c>
      <c r="AK1666" t="str">
        <f>IF(pub_gid_0_single_true_output_csv[[#This Row],[Nilai2]]="","",VLOOKUP(pub_gid_0_single_true_output_csv[[#This Row],[NAMA]],Table7[],3,FALSE))</f>
        <v>Superior</v>
      </c>
    </row>
    <row r="1667" spans="1:37" x14ac:dyDescent="0.2">
      <c r="A1667">
        <v>1666</v>
      </c>
      <c r="B1667" t="s">
        <v>332</v>
      </c>
      <c r="C1667" t="s">
        <v>65</v>
      </c>
      <c r="D1667" t="s">
        <v>59</v>
      </c>
      <c r="E1667" t="s">
        <v>333</v>
      </c>
      <c r="F1667" s="25">
        <v>46050</v>
      </c>
      <c r="G1667" t="s">
        <v>308</v>
      </c>
      <c r="H1667" t="s">
        <v>405</v>
      </c>
      <c r="I1667" t="s">
        <v>371</v>
      </c>
      <c r="J1667" t="s">
        <v>41</v>
      </c>
      <c r="K1667" t="s">
        <v>511</v>
      </c>
      <c r="L1667" t="s">
        <v>322</v>
      </c>
      <c r="M1667" t="s">
        <v>141</v>
      </c>
      <c r="N1667" t="s">
        <v>142</v>
      </c>
      <c r="O1667" t="s">
        <v>327</v>
      </c>
      <c r="P1667" t="s">
        <v>281</v>
      </c>
      <c r="Q1667" t="s">
        <v>328</v>
      </c>
      <c r="R1667" t="s">
        <v>360</v>
      </c>
      <c r="S1667" t="s">
        <v>392</v>
      </c>
      <c r="T1667">
        <v>1</v>
      </c>
      <c r="U1667" t="s">
        <v>406</v>
      </c>
      <c r="V1667" t="s">
        <v>343</v>
      </c>
      <c r="W1667" t="s">
        <v>512</v>
      </c>
      <c r="X1667" t="s">
        <v>331</v>
      </c>
      <c r="Y1667" t="s">
        <v>307</v>
      </c>
      <c r="Z1667">
        <v>70</v>
      </c>
      <c r="AA1667">
        <v>89</v>
      </c>
      <c r="AB1667" t="s">
        <v>143</v>
      </c>
      <c r="AC1667" t="s">
        <v>144</v>
      </c>
      <c r="AD1667" t="s">
        <v>404</v>
      </c>
      <c r="AE1667" t="str">
        <f>IF(AF1667="","",VLOOKUP(AC1667,mapel!$A$2:$B$42,2,FALSE))</f>
        <v>A.Katolik</v>
      </c>
      <c r="AF1667">
        <f t="shared" si="78"/>
        <v>89</v>
      </c>
      <c r="AG1667" t="str">
        <f>IF(AF1667="","",IF(AF1667&gt;90,"Sangat baik",IF(AF1667&gt;79,"Baik",IF(AF1667&gt;=pub_gid_0_single_true_output_csv[[#This Row],[KKM]],"Cukup","Kurang"))))</f>
        <v>Baik</v>
      </c>
      <c r="AH1667">
        <f t="shared" si="79"/>
        <v>12</v>
      </c>
      <c r="AI1667" s="30" t="str">
        <f>IF(OR(J1667&lt;&gt;"Karakter",pub_gid_0_single_true_output_csv[[#This Row],[Nilai2]]=""),"",IF(AF1667&gt;89,"Sangat baik",IF(AF1667&gt;79,"Baik",IF(AF1667&gt;69,"Cukup",IF(AF1667&gt;59,"Kurang","Sangat kurang")))))</f>
        <v/>
      </c>
      <c r="AJ1667" t="str">
        <f t="shared" si="80"/>
        <v>Wk.5</v>
      </c>
      <c r="AK1667" t="str">
        <f>IF(pub_gid_0_single_true_output_csv[[#This Row],[Nilai2]]="","",VLOOKUP(pub_gid_0_single_true_output_csv[[#This Row],[NAMA]],Table7[],3,FALSE))</f>
        <v>Superior</v>
      </c>
    </row>
    <row r="1668" spans="1:37" x14ac:dyDescent="0.2">
      <c r="A1668">
        <v>1667</v>
      </c>
      <c r="B1668" t="s">
        <v>332</v>
      </c>
      <c r="C1668" t="s">
        <v>65</v>
      </c>
      <c r="D1668" t="s">
        <v>59</v>
      </c>
      <c r="E1668" t="s">
        <v>333</v>
      </c>
      <c r="F1668" s="25">
        <v>46057</v>
      </c>
      <c r="G1668" t="s">
        <v>348</v>
      </c>
      <c r="H1668" t="s">
        <v>412</v>
      </c>
      <c r="I1668" t="s">
        <v>371</v>
      </c>
      <c r="J1668" t="s">
        <v>36</v>
      </c>
      <c r="K1668" t="s">
        <v>37</v>
      </c>
      <c r="L1668" t="s">
        <v>322</v>
      </c>
      <c r="M1668" t="s">
        <v>141</v>
      </c>
      <c r="N1668" t="s">
        <v>142</v>
      </c>
      <c r="O1668" t="s">
        <v>327</v>
      </c>
      <c r="P1668" t="s">
        <v>281</v>
      </c>
      <c r="Q1668" t="s">
        <v>328</v>
      </c>
      <c r="R1668" t="s">
        <v>360</v>
      </c>
      <c r="S1668" t="s">
        <v>454</v>
      </c>
      <c r="T1668">
        <v>1</v>
      </c>
      <c r="U1668" t="s">
        <v>406</v>
      </c>
      <c r="V1668" t="s">
        <v>344</v>
      </c>
      <c r="W1668" t="s">
        <v>514</v>
      </c>
      <c r="X1668" t="s">
        <v>331</v>
      </c>
      <c r="Y1668" t="s">
        <v>307</v>
      </c>
      <c r="Z1668">
        <v>70</v>
      </c>
      <c r="AA1668">
        <v>90</v>
      </c>
      <c r="AB1668" t="s">
        <v>143</v>
      </c>
      <c r="AC1668" t="s">
        <v>144</v>
      </c>
      <c r="AD1668" t="s">
        <v>404</v>
      </c>
      <c r="AE1668" t="str">
        <f>IF(AF1668="","",VLOOKUP(AC1668,mapel!$A$2:$B$42,2,FALSE))</f>
        <v>A.Katolik</v>
      </c>
      <c r="AF1668">
        <f t="shared" si="78"/>
        <v>90</v>
      </c>
      <c r="AG1668" t="str">
        <f>IF(AF1668="","",IF(AF1668&gt;90,"Sangat baik",IF(AF1668&gt;79,"Baik",IF(AF1668&gt;=pub_gid_0_single_true_output_csv[[#This Row],[KKM]],"Cukup","Kurang"))))</f>
        <v>Baik</v>
      </c>
      <c r="AH1668">
        <f t="shared" si="79"/>
        <v>12</v>
      </c>
      <c r="AI1668" s="30" t="str">
        <f>IF(OR(J1668&lt;&gt;"Karakter",pub_gid_0_single_true_output_csv[[#This Row],[Nilai2]]=""),"",IF(AF1668&gt;89,"Sangat baik",IF(AF1668&gt;79,"Baik",IF(AF1668&gt;69,"Cukup",IF(AF1668&gt;59,"Kurang","Sangat kurang")))))</f>
        <v/>
      </c>
      <c r="AJ1668" t="str">
        <f t="shared" si="80"/>
        <v>Wk.6</v>
      </c>
      <c r="AK1668" t="str">
        <f>IF(pub_gid_0_single_true_output_csv[[#This Row],[Nilai2]]="","",VLOOKUP(pub_gid_0_single_true_output_csv[[#This Row],[NAMA]],Table7[],3,FALSE))</f>
        <v>Superior</v>
      </c>
    </row>
    <row r="1669" spans="1:37" x14ac:dyDescent="0.2">
      <c r="A1669">
        <v>1668</v>
      </c>
      <c r="B1669" t="s">
        <v>311</v>
      </c>
      <c r="C1669" t="s">
        <v>65</v>
      </c>
      <c r="D1669" t="s">
        <v>55</v>
      </c>
      <c r="E1669" t="s">
        <v>146</v>
      </c>
      <c r="F1669" s="25">
        <v>46036</v>
      </c>
      <c r="G1669" t="s">
        <v>353</v>
      </c>
      <c r="H1669" t="s">
        <v>405</v>
      </c>
      <c r="I1669" t="s">
        <v>371</v>
      </c>
      <c r="J1669" t="s">
        <v>36</v>
      </c>
      <c r="K1669" t="s">
        <v>37</v>
      </c>
      <c r="L1669" t="s">
        <v>322</v>
      </c>
      <c r="M1669" t="s">
        <v>141</v>
      </c>
      <c r="N1669" t="s">
        <v>142</v>
      </c>
      <c r="O1669" t="s">
        <v>327</v>
      </c>
      <c r="P1669" t="s">
        <v>281</v>
      </c>
      <c r="Q1669" t="s">
        <v>328</v>
      </c>
      <c r="R1669" t="s">
        <v>360</v>
      </c>
      <c r="S1669" t="s">
        <v>330</v>
      </c>
      <c r="T1669">
        <v>1</v>
      </c>
      <c r="U1669" t="s">
        <v>406</v>
      </c>
      <c r="V1669" t="s">
        <v>285</v>
      </c>
      <c r="W1669" t="s">
        <v>407</v>
      </c>
      <c r="X1669" t="s">
        <v>331</v>
      </c>
      <c r="Y1669" t="s">
        <v>307</v>
      </c>
      <c r="Z1669">
        <v>70</v>
      </c>
      <c r="AA1669">
        <v>75</v>
      </c>
      <c r="AB1669" t="s">
        <v>143</v>
      </c>
      <c r="AC1669" t="s">
        <v>145</v>
      </c>
      <c r="AD1669" t="s">
        <v>404</v>
      </c>
      <c r="AE1669" t="str">
        <f>IF(AF1669="","",VLOOKUP(AC1669,mapel!$A$2:$B$42,2,FALSE))</f>
        <v>A.Kristen</v>
      </c>
      <c r="AF1669">
        <f t="shared" si="78"/>
        <v>75</v>
      </c>
      <c r="AG1669" t="str">
        <f>IF(AF1669="","",IF(AF1669&gt;90,"Sangat baik",IF(AF1669&gt;79,"Baik",IF(AF1669&gt;=pub_gid_0_single_true_output_csv[[#This Row],[KKM]],"Cukup","Kurang"))))</f>
        <v>Cukup</v>
      </c>
      <c r="AH1669">
        <f t="shared" si="79"/>
        <v>12</v>
      </c>
      <c r="AI1669" s="30" t="str">
        <f>IF(OR(J1669&lt;&gt;"Karakter",pub_gid_0_single_true_output_csv[[#This Row],[Nilai2]]=""),"",IF(AF1669&gt;89,"Sangat baik",IF(AF1669&gt;79,"Baik",IF(AF1669&gt;69,"Cukup",IF(AF1669&gt;59,"Kurang","Sangat kurang")))))</f>
        <v/>
      </c>
      <c r="AJ1669" t="str">
        <f t="shared" si="80"/>
        <v>Wk.3</v>
      </c>
      <c r="AK1669" t="str">
        <f>IF(pub_gid_0_single_true_output_csv[[#This Row],[Nilai2]]="","",VLOOKUP(pub_gid_0_single_true_output_csv[[#This Row],[NAMA]],Table7[],3,FALSE))</f>
        <v>Average</v>
      </c>
    </row>
    <row r="1670" spans="1:37" x14ac:dyDescent="0.2">
      <c r="A1670">
        <v>1669</v>
      </c>
      <c r="B1670" t="s">
        <v>311</v>
      </c>
      <c r="C1670" t="s">
        <v>65</v>
      </c>
      <c r="D1670" t="s">
        <v>55</v>
      </c>
      <c r="E1670" t="s">
        <v>146</v>
      </c>
      <c r="F1670" s="25">
        <v>46043</v>
      </c>
      <c r="G1670" t="s">
        <v>341</v>
      </c>
      <c r="H1670" t="s">
        <v>405</v>
      </c>
      <c r="I1670" t="s">
        <v>371</v>
      </c>
      <c r="J1670" t="s">
        <v>36</v>
      </c>
      <c r="K1670" t="s">
        <v>37</v>
      </c>
      <c r="L1670" t="s">
        <v>322</v>
      </c>
      <c r="M1670" t="s">
        <v>141</v>
      </c>
      <c r="N1670" t="s">
        <v>142</v>
      </c>
      <c r="O1670" t="s">
        <v>327</v>
      </c>
      <c r="P1670" t="s">
        <v>281</v>
      </c>
      <c r="Q1670" t="s">
        <v>328</v>
      </c>
      <c r="R1670" t="s">
        <v>360</v>
      </c>
      <c r="S1670" t="s">
        <v>375</v>
      </c>
      <c r="T1670">
        <v>1</v>
      </c>
      <c r="U1670" t="s">
        <v>406</v>
      </c>
      <c r="V1670" t="s">
        <v>342</v>
      </c>
      <c r="W1670" t="s">
        <v>510</v>
      </c>
      <c r="X1670" t="s">
        <v>331</v>
      </c>
      <c r="Y1670" t="s">
        <v>307</v>
      </c>
      <c r="Z1670">
        <v>70</v>
      </c>
      <c r="AA1670">
        <v>75</v>
      </c>
      <c r="AB1670" t="s">
        <v>143</v>
      </c>
      <c r="AC1670" t="s">
        <v>145</v>
      </c>
      <c r="AD1670" t="s">
        <v>404</v>
      </c>
      <c r="AE1670" t="str">
        <f>IF(AF1670="","",VLOOKUP(AC1670,mapel!$A$2:$B$42,2,FALSE))</f>
        <v>A.Kristen</v>
      </c>
      <c r="AF1670">
        <f t="shared" si="78"/>
        <v>75</v>
      </c>
      <c r="AG1670" t="str">
        <f>IF(AF1670="","",IF(AF1670&gt;90,"Sangat baik",IF(AF1670&gt;79,"Baik",IF(AF1670&gt;=pub_gid_0_single_true_output_csv[[#This Row],[KKM]],"Cukup","Kurang"))))</f>
        <v>Cukup</v>
      </c>
      <c r="AH1670">
        <f t="shared" si="79"/>
        <v>12</v>
      </c>
      <c r="AI1670" s="30" t="str">
        <f>IF(OR(J1670&lt;&gt;"Karakter",pub_gid_0_single_true_output_csv[[#This Row],[Nilai2]]=""),"",IF(AF1670&gt;89,"Sangat baik",IF(AF1670&gt;79,"Baik",IF(AF1670&gt;69,"Cukup",IF(AF1670&gt;59,"Kurang","Sangat kurang")))))</f>
        <v/>
      </c>
      <c r="AJ1670" t="str">
        <f t="shared" si="80"/>
        <v>Wk.4</v>
      </c>
      <c r="AK1670" t="str">
        <f>IF(pub_gid_0_single_true_output_csv[[#This Row],[Nilai2]]="","",VLOOKUP(pub_gid_0_single_true_output_csv[[#This Row],[NAMA]],Table7[],3,FALSE))</f>
        <v>Average</v>
      </c>
    </row>
    <row r="1671" spans="1:37" x14ac:dyDescent="0.2">
      <c r="A1671">
        <v>1670</v>
      </c>
      <c r="B1671" t="s">
        <v>311</v>
      </c>
      <c r="C1671" t="s">
        <v>65</v>
      </c>
      <c r="D1671" t="s">
        <v>55</v>
      </c>
      <c r="E1671" t="s">
        <v>146</v>
      </c>
      <c r="F1671" s="25">
        <v>46050</v>
      </c>
      <c r="G1671" t="s">
        <v>308</v>
      </c>
      <c r="H1671" t="s">
        <v>405</v>
      </c>
      <c r="I1671" t="s">
        <v>371</v>
      </c>
      <c r="J1671" t="s">
        <v>41</v>
      </c>
      <c r="K1671" t="s">
        <v>511</v>
      </c>
      <c r="L1671" t="s">
        <v>322</v>
      </c>
      <c r="M1671" t="s">
        <v>141</v>
      </c>
      <c r="N1671" t="s">
        <v>142</v>
      </c>
      <c r="O1671" t="s">
        <v>327</v>
      </c>
      <c r="P1671" t="s">
        <v>281</v>
      </c>
      <c r="Q1671" t="s">
        <v>328</v>
      </c>
      <c r="R1671" t="s">
        <v>360</v>
      </c>
      <c r="S1671" t="s">
        <v>392</v>
      </c>
      <c r="T1671">
        <v>1</v>
      </c>
      <c r="U1671" t="s">
        <v>406</v>
      </c>
      <c r="V1671" t="s">
        <v>343</v>
      </c>
      <c r="W1671" t="s">
        <v>512</v>
      </c>
      <c r="X1671" t="s">
        <v>331</v>
      </c>
      <c r="Y1671" t="s">
        <v>307</v>
      </c>
      <c r="Z1671">
        <v>70</v>
      </c>
      <c r="AA1671">
        <v>80</v>
      </c>
      <c r="AB1671" t="s">
        <v>143</v>
      </c>
      <c r="AC1671" t="s">
        <v>145</v>
      </c>
      <c r="AD1671" t="s">
        <v>404</v>
      </c>
      <c r="AE1671" t="str">
        <f>IF(AF1671="","",VLOOKUP(AC1671,mapel!$A$2:$B$42,2,FALSE))</f>
        <v>A.Kristen</v>
      </c>
      <c r="AF1671">
        <f t="shared" si="78"/>
        <v>80</v>
      </c>
      <c r="AG1671" t="str">
        <f>IF(AF1671="","",IF(AF1671&gt;90,"Sangat baik",IF(AF1671&gt;79,"Baik",IF(AF1671&gt;=pub_gid_0_single_true_output_csv[[#This Row],[KKM]],"Cukup","Kurang"))))</f>
        <v>Baik</v>
      </c>
      <c r="AH1671">
        <f t="shared" si="79"/>
        <v>12</v>
      </c>
      <c r="AI1671" s="30" t="str">
        <f>IF(OR(J1671&lt;&gt;"Karakter",pub_gid_0_single_true_output_csv[[#This Row],[Nilai2]]=""),"",IF(AF1671&gt;89,"Sangat baik",IF(AF1671&gt;79,"Baik",IF(AF1671&gt;69,"Cukup",IF(AF1671&gt;59,"Kurang","Sangat kurang")))))</f>
        <v/>
      </c>
      <c r="AJ1671" t="str">
        <f t="shared" si="80"/>
        <v>Wk.5</v>
      </c>
      <c r="AK1671" t="str">
        <f>IF(pub_gid_0_single_true_output_csv[[#This Row],[Nilai2]]="","",VLOOKUP(pub_gid_0_single_true_output_csv[[#This Row],[NAMA]],Table7[],3,FALSE))</f>
        <v>Average</v>
      </c>
    </row>
    <row r="1672" spans="1:37" x14ac:dyDescent="0.2">
      <c r="A1672">
        <v>1671</v>
      </c>
      <c r="B1672" t="s">
        <v>311</v>
      </c>
      <c r="C1672" t="s">
        <v>65</v>
      </c>
      <c r="D1672" t="s">
        <v>55</v>
      </c>
      <c r="E1672" t="s">
        <v>146</v>
      </c>
      <c r="F1672" s="25">
        <v>46057</v>
      </c>
      <c r="G1672" t="s">
        <v>348</v>
      </c>
      <c r="H1672" t="s">
        <v>412</v>
      </c>
      <c r="I1672" t="s">
        <v>371</v>
      </c>
      <c r="J1672" t="s">
        <v>36</v>
      </c>
      <c r="K1672" t="s">
        <v>37</v>
      </c>
      <c r="L1672" t="s">
        <v>322</v>
      </c>
      <c r="M1672" t="s">
        <v>141</v>
      </c>
      <c r="N1672" t="s">
        <v>142</v>
      </c>
      <c r="O1672" t="s">
        <v>327</v>
      </c>
      <c r="P1672" t="s">
        <v>281</v>
      </c>
      <c r="Q1672" t="s">
        <v>328</v>
      </c>
      <c r="R1672" t="s">
        <v>360</v>
      </c>
      <c r="S1672" t="s">
        <v>454</v>
      </c>
      <c r="T1672">
        <v>1</v>
      </c>
      <c r="U1672" t="s">
        <v>406</v>
      </c>
      <c r="V1672" t="s">
        <v>344</v>
      </c>
      <c r="W1672" t="s">
        <v>514</v>
      </c>
      <c r="X1672" t="s">
        <v>331</v>
      </c>
      <c r="Y1672" t="s">
        <v>307</v>
      </c>
      <c r="Z1672">
        <v>70</v>
      </c>
      <c r="AA1672">
        <v>80</v>
      </c>
      <c r="AB1672" t="s">
        <v>143</v>
      </c>
      <c r="AC1672" t="s">
        <v>145</v>
      </c>
      <c r="AD1672" t="s">
        <v>404</v>
      </c>
      <c r="AE1672" t="str">
        <f>IF(AF1672="","",VLOOKUP(AC1672,mapel!$A$2:$B$42,2,FALSE))</f>
        <v>A.Kristen</v>
      </c>
      <c r="AF1672">
        <f t="shared" si="78"/>
        <v>80</v>
      </c>
      <c r="AG1672" t="str">
        <f>IF(AF1672="","",IF(AF1672&gt;90,"Sangat baik",IF(AF1672&gt;79,"Baik",IF(AF1672&gt;=pub_gid_0_single_true_output_csv[[#This Row],[KKM]],"Cukup","Kurang"))))</f>
        <v>Baik</v>
      </c>
      <c r="AH1672">
        <f t="shared" si="79"/>
        <v>12</v>
      </c>
      <c r="AI1672" s="30" t="str">
        <f>IF(OR(J1672&lt;&gt;"Karakter",pub_gid_0_single_true_output_csv[[#This Row],[Nilai2]]=""),"",IF(AF1672&gt;89,"Sangat baik",IF(AF1672&gt;79,"Baik",IF(AF1672&gt;69,"Cukup",IF(AF1672&gt;59,"Kurang","Sangat kurang")))))</f>
        <v/>
      </c>
      <c r="AJ1672" t="str">
        <f t="shared" si="80"/>
        <v>Wk.6</v>
      </c>
      <c r="AK1672" t="str">
        <f>IF(pub_gid_0_single_true_output_csv[[#This Row],[Nilai2]]="","",VLOOKUP(pub_gid_0_single_true_output_csv[[#This Row],[NAMA]],Table7[],3,FALSE))</f>
        <v>Average</v>
      </c>
    </row>
    <row r="1673" spans="1:37" x14ac:dyDescent="0.2">
      <c r="A1673">
        <v>1672</v>
      </c>
      <c r="B1673" t="s">
        <v>312</v>
      </c>
      <c r="C1673" t="s">
        <v>65</v>
      </c>
      <c r="D1673" t="s">
        <v>56</v>
      </c>
      <c r="E1673" t="s">
        <v>156</v>
      </c>
      <c r="F1673" s="25">
        <v>46036</v>
      </c>
      <c r="G1673" t="s">
        <v>353</v>
      </c>
      <c r="H1673" t="s">
        <v>405</v>
      </c>
      <c r="I1673" t="s">
        <v>371</v>
      </c>
      <c r="J1673" t="s">
        <v>36</v>
      </c>
      <c r="K1673" t="s">
        <v>37</v>
      </c>
      <c r="L1673" t="s">
        <v>322</v>
      </c>
      <c r="M1673" t="s">
        <v>141</v>
      </c>
      <c r="N1673" t="s">
        <v>142</v>
      </c>
      <c r="O1673" t="s">
        <v>327</v>
      </c>
      <c r="P1673" t="s">
        <v>281</v>
      </c>
      <c r="Q1673" t="s">
        <v>328</v>
      </c>
      <c r="R1673" t="s">
        <v>360</v>
      </c>
      <c r="S1673" t="s">
        <v>330</v>
      </c>
      <c r="T1673">
        <v>1</v>
      </c>
      <c r="U1673" t="s">
        <v>406</v>
      </c>
      <c r="V1673" t="s">
        <v>285</v>
      </c>
      <c r="W1673" t="s">
        <v>407</v>
      </c>
      <c r="X1673" t="s">
        <v>331</v>
      </c>
      <c r="Y1673" t="s">
        <v>307</v>
      </c>
      <c r="Z1673">
        <v>70</v>
      </c>
      <c r="AA1673">
        <v>89</v>
      </c>
      <c r="AB1673" t="s">
        <v>143</v>
      </c>
      <c r="AC1673" t="s">
        <v>145</v>
      </c>
      <c r="AD1673" t="s">
        <v>404</v>
      </c>
      <c r="AE1673" t="str">
        <f>IF(AF1673="","",VLOOKUP(AC1673,mapel!$A$2:$B$42,2,FALSE))</f>
        <v>A.Kristen</v>
      </c>
      <c r="AF1673">
        <f t="shared" si="78"/>
        <v>89</v>
      </c>
      <c r="AG1673" t="str">
        <f>IF(AF1673="","",IF(AF1673&gt;90,"Sangat baik",IF(AF1673&gt;79,"Baik",IF(AF1673&gt;=pub_gid_0_single_true_output_csv[[#This Row],[KKM]],"Cukup","Kurang"))))</f>
        <v>Baik</v>
      </c>
      <c r="AH1673">
        <f t="shared" si="79"/>
        <v>12</v>
      </c>
      <c r="AI1673" s="30" t="str">
        <f>IF(OR(J1673&lt;&gt;"Karakter",pub_gid_0_single_true_output_csv[[#This Row],[Nilai2]]=""),"",IF(AF1673&gt;89,"Sangat baik",IF(AF1673&gt;79,"Baik",IF(AF1673&gt;69,"Cukup",IF(AF1673&gt;59,"Kurang","Sangat kurang")))))</f>
        <v/>
      </c>
      <c r="AJ1673" t="str">
        <f t="shared" si="80"/>
        <v>Wk.3</v>
      </c>
      <c r="AK1673" t="str">
        <f>IF(pub_gid_0_single_true_output_csv[[#This Row],[Nilai2]]="","",VLOOKUP(pub_gid_0_single_true_output_csv[[#This Row],[NAMA]],Table7[],3,FALSE))</f>
        <v>Superior</v>
      </c>
    </row>
    <row r="1674" spans="1:37" x14ac:dyDescent="0.2">
      <c r="A1674">
        <v>1673</v>
      </c>
      <c r="B1674" t="s">
        <v>312</v>
      </c>
      <c r="C1674" t="s">
        <v>65</v>
      </c>
      <c r="D1674" t="s">
        <v>56</v>
      </c>
      <c r="E1674" t="s">
        <v>156</v>
      </c>
      <c r="F1674" s="25">
        <v>46043</v>
      </c>
      <c r="G1674" t="s">
        <v>341</v>
      </c>
      <c r="H1674" t="s">
        <v>405</v>
      </c>
      <c r="I1674" t="s">
        <v>371</v>
      </c>
      <c r="J1674" t="s">
        <v>36</v>
      </c>
      <c r="K1674" t="s">
        <v>37</v>
      </c>
      <c r="L1674" t="s">
        <v>322</v>
      </c>
      <c r="M1674" t="s">
        <v>141</v>
      </c>
      <c r="N1674" t="s">
        <v>142</v>
      </c>
      <c r="O1674" t="s">
        <v>327</v>
      </c>
      <c r="P1674" t="s">
        <v>281</v>
      </c>
      <c r="Q1674" t="s">
        <v>328</v>
      </c>
      <c r="R1674" t="s">
        <v>360</v>
      </c>
      <c r="S1674" t="s">
        <v>375</v>
      </c>
      <c r="T1674">
        <v>1</v>
      </c>
      <c r="U1674" t="s">
        <v>406</v>
      </c>
      <c r="V1674" t="s">
        <v>342</v>
      </c>
      <c r="W1674" t="s">
        <v>510</v>
      </c>
      <c r="X1674" t="s">
        <v>331</v>
      </c>
      <c r="Y1674" t="s">
        <v>307</v>
      </c>
      <c r="Z1674">
        <v>70</v>
      </c>
      <c r="AA1674">
        <v>90</v>
      </c>
      <c r="AB1674" t="s">
        <v>143</v>
      </c>
      <c r="AC1674" t="s">
        <v>145</v>
      </c>
      <c r="AD1674" t="s">
        <v>404</v>
      </c>
      <c r="AE1674" t="str">
        <f>IF(AF1674="","",VLOOKUP(AC1674,mapel!$A$2:$B$42,2,FALSE))</f>
        <v>A.Kristen</v>
      </c>
      <c r="AF1674">
        <f t="shared" si="78"/>
        <v>90</v>
      </c>
      <c r="AG1674" t="str">
        <f>IF(AF1674="","",IF(AF1674&gt;90,"Sangat baik",IF(AF1674&gt;79,"Baik",IF(AF1674&gt;=pub_gid_0_single_true_output_csv[[#This Row],[KKM]],"Cukup","Kurang"))))</f>
        <v>Baik</v>
      </c>
      <c r="AH1674">
        <f t="shared" si="79"/>
        <v>12</v>
      </c>
      <c r="AI1674" s="30" t="str">
        <f>IF(OR(J1674&lt;&gt;"Karakter",pub_gid_0_single_true_output_csv[[#This Row],[Nilai2]]=""),"",IF(AF1674&gt;89,"Sangat baik",IF(AF1674&gt;79,"Baik",IF(AF1674&gt;69,"Cukup",IF(AF1674&gt;59,"Kurang","Sangat kurang")))))</f>
        <v/>
      </c>
      <c r="AJ1674" t="str">
        <f t="shared" si="80"/>
        <v>Wk.4</v>
      </c>
      <c r="AK1674" t="str">
        <f>IF(pub_gid_0_single_true_output_csv[[#This Row],[Nilai2]]="","",VLOOKUP(pub_gid_0_single_true_output_csv[[#This Row],[NAMA]],Table7[],3,FALSE))</f>
        <v>Superior</v>
      </c>
    </row>
    <row r="1675" spans="1:37" x14ac:dyDescent="0.2">
      <c r="A1675">
        <v>1674</v>
      </c>
      <c r="B1675" t="s">
        <v>312</v>
      </c>
      <c r="C1675" t="s">
        <v>65</v>
      </c>
      <c r="D1675" t="s">
        <v>56</v>
      </c>
      <c r="E1675" t="s">
        <v>156</v>
      </c>
      <c r="F1675" s="25">
        <v>46050</v>
      </c>
      <c r="G1675" t="s">
        <v>308</v>
      </c>
      <c r="H1675" t="s">
        <v>405</v>
      </c>
      <c r="I1675" t="s">
        <v>371</v>
      </c>
      <c r="J1675" t="s">
        <v>41</v>
      </c>
      <c r="K1675" t="s">
        <v>511</v>
      </c>
      <c r="L1675" t="s">
        <v>322</v>
      </c>
      <c r="M1675" t="s">
        <v>141</v>
      </c>
      <c r="N1675" t="s">
        <v>142</v>
      </c>
      <c r="O1675" t="s">
        <v>327</v>
      </c>
      <c r="P1675" t="s">
        <v>281</v>
      </c>
      <c r="Q1675" t="s">
        <v>328</v>
      </c>
      <c r="R1675" t="s">
        <v>360</v>
      </c>
      <c r="S1675" t="s">
        <v>392</v>
      </c>
      <c r="T1675">
        <v>1</v>
      </c>
      <c r="U1675" t="s">
        <v>406</v>
      </c>
      <c r="V1675" t="s">
        <v>343</v>
      </c>
      <c r="W1675" t="s">
        <v>512</v>
      </c>
      <c r="X1675" t="s">
        <v>331</v>
      </c>
      <c r="Y1675" t="s">
        <v>307</v>
      </c>
      <c r="Z1675">
        <v>70</v>
      </c>
      <c r="AA1675">
        <v>91</v>
      </c>
      <c r="AB1675" t="s">
        <v>143</v>
      </c>
      <c r="AC1675" t="s">
        <v>145</v>
      </c>
      <c r="AD1675" t="s">
        <v>404</v>
      </c>
      <c r="AE1675" t="str">
        <f>IF(AF1675="","",VLOOKUP(AC1675,mapel!$A$2:$B$42,2,FALSE))</f>
        <v>A.Kristen</v>
      </c>
      <c r="AF1675">
        <f t="shared" si="78"/>
        <v>91</v>
      </c>
      <c r="AG1675" t="str">
        <f>IF(AF1675="","",IF(AF1675&gt;90,"Sangat baik",IF(AF1675&gt;79,"Baik",IF(AF1675&gt;=pub_gid_0_single_true_output_csv[[#This Row],[KKM]],"Cukup","Kurang"))))</f>
        <v>Sangat baik</v>
      </c>
      <c r="AH1675">
        <f t="shared" si="79"/>
        <v>12</v>
      </c>
      <c r="AI1675" s="30" t="str">
        <f>IF(OR(J1675&lt;&gt;"Karakter",pub_gid_0_single_true_output_csv[[#This Row],[Nilai2]]=""),"",IF(AF1675&gt;89,"Sangat baik",IF(AF1675&gt;79,"Baik",IF(AF1675&gt;69,"Cukup",IF(AF1675&gt;59,"Kurang","Sangat kurang")))))</f>
        <v/>
      </c>
      <c r="AJ1675" t="str">
        <f t="shared" si="80"/>
        <v>Wk.5</v>
      </c>
      <c r="AK1675" t="str">
        <f>IF(pub_gid_0_single_true_output_csv[[#This Row],[Nilai2]]="","",VLOOKUP(pub_gid_0_single_true_output_csv[[#This Row],[NAMA]],Table7[],3,FALSE))</f>
        <v>Superior</v>
      </c>
    </row>
    <row r="1676" spans="1:37" x14ac:dyDescent="0.2">
      <c r="A1676">
        <v>1675</v>
      </c>
      <c r="B1676" t="s">
        <v>312</v>
      </c>
      <c r="C1676" t="s">
        <v>65</v>
      </c>
      <c r="D1676" t="s">
        <v>56</v>
      </c>
      <c r="E1676" t="s">
        <v>156</v>
      </c>
      <c r="F1676" s="25">
        <v>46057</v>
      </c>
      <c r="G1676" t="s">
        <v>348</v>
      </c>
      <c r="H1676" t="s">
        <v>412</v>
      </c>
      <c r="I1676" t="s">
        <v>371</v>
      </c>
      <c r="J1676" t="s">
        <v>36</v>
      </c>
      <c r="K1676" t="s">
        <v>37</v>
      </c>
      <c r="L1676" t="s">
        <v>322</v>
      </c>
      <c r="M1676" t="s">
        <v>141</v>
      </c>
      <c r="N1676" t="s">
        <v>142</v>
      </c>
      <c r="O1676" t="s">
        <v>327</v>
      </c>
      <c r="P1676" t="s">
        <v>281</v>
      </c>
      <c r="Q1676" t="s">
        <v>328</v>
      </c>
      <c r="R1676" t="s">
        <v>360</v>
      </c>
      <c r="S1676" t="s">
        <v>454</v>
      </c>
      <c r="T1676">
        <v>1</v>
      </c>
      <c r="U1676" t="s">
        <v>406</v>
      </c>
      <c r="V1676" t="s">
        <v>344</v>
      </c>
      <c r="W1676" t="s">
        <v>514</v>
      </c>
      <c r="X1676" t="s">
        <v>331</v>
      </c>
      <c r="Y1676" t="s">
        <v>307</v>
      </c>
      <c r="Z1676">
        <v>70</v>
      </c>
      <c r="AA1676">
        <v>90</v>
      </c>
      <c r="AB1676" t="s">
        <v>143</v>
      </c>
      <c r="AC1676" t="s">
        <v>145</v>
      </c>
      <c r="AD1676" t="s">
        <v>404</v>
      </c>
      <c r="AE1676" t="str">
        <f>IF(AF1676="","",VLOOKUP(AC1676,mapel!$A$2:$B$42,2,FALSE))</f>
        <v>A.Kristen</v>
      </c>
      <c r="AF1676">
        <f t="shared" si="78"/>
        <v>90</v>
      </c>
      <c r="AG1676" t="str">
        <f>IF(AF1676="","",IF(AF1676&gt;90,"Sangat baik",IF(AF1676&gt;79,"Baik",IF(AF1676&gt;=pub_gid_0_single_true_output_csv[[#This Row],[KKM]],"Cukup","Kurang"))))</f>
        <v>Baik</v>
      </c>
      <c r="AH1676">
        <f t="shared" si="79"/>
        <v>12</v>
      </c>
      <c r="AI1676" s="30" t="str">
        <f>IF(OR(J1676&lt;&gt;"Karakter",pub_gid_0_single_true_output_csv[[#This Row],[Nilai2]]=""),"",IF(AF1676&gt;89,"Sangat baik",IF(AF1676&gt;79,"Baik",IF(AF1676&gt;69,"Cukup",IF(AF1676&gt;59,"Kurang","Sangat kurang")))))</f>
        <v/>
      </c>
      <c r="AJ1676" t="str">
        <f t="shared" si="80"/>
        <v>Wk.6</v>
      </c>
      <c r="AK1676" t="str">
        <f>IF(pub_gid_0_single_true_output_csv[[#This Row],[Nilai2]]="","",VLOOKUP(pub_gid_0_single_true_output_csv[[#This Row],[NAMA]],Table7[],3,FALSE))</f>
        <v>Superior</v>
      </c>
    </row>
    <row r="1677" spans="1:37" x14ac:dyDescent="0.2">
      <c r="A1677">
        <v>1676</v>
      </c>
      <c r="B1677" t="s">
        <v>313</v>
      </c>
      <c r="C1677" t="s">
        <v>65</v>
      </c>
      <c r="D1677" t="s">
        <v>57</v>
      </c>
      <c r="E1677" t="s">
        <v>146</v>
      </c>
      <c r="F1677" s="25">
        <v>46036</v>
      </c>
      <c r="G1677" t="s">
        <v>353</v>
      </c>
      <c r="H1677" t="s">
        <v>405</v>
      </c>
      <c r="I1677" t="s">
        <v>371</v>
      </c>
      <c r="J1677" t="s">
        <v>36</v>
      </c>
      <c r="K1677" t="s">
        <v>37</v>
      </c>
      <c r="L1677" t="s">
        <v>322</v>
      </c>
      <c r="M1677" t="s">
        <v>141</v>
      </c>
      <c r="N1677" t="s">
        <v>142</v>
      </c>
      <c r="O1677" t="s">
        <v>327</v>
      </c>
      <c r="P1677" t="s">
        <v>281</v>
      </c>
      <c r="Q1677" t="s">
        <v>328</v>
      </c>
      <c r="R1677" t="s">
        <v>360</v>
      </c>
      <c r="S1677" t="s">
        <v>330</v>
      </c>
      <c r="T1677">
        <v>1</v>
      </c>
      <c r="U1677" t="s">
        <v>406</v>
      </c>
      <c r="V1677" t="s">
        <v>285</v>
      </c>
      <c r="W1677" t="s">
        <v>407</v>
      </c>
      <c r="X1677" t="s">
        <v>331</v>
      </c>
      <c r="Y1677" t="s">
        <v>307</v>
      </c>
      <c r="Z1677">
        <v>70</v>
      </c>
      <c r="AA1677">
        <v>89</v>
      </c>
      <c r="AB1677" t="s">
        <v>143</v>
      </c>
      <c r="AC1677" t="s">
        <v>145</v>
      </c>
      <c r="AD1677" t="s">
        <v>404</v>
      </c>
      <c r="AE1677" t="str">
        <f>IF(AF1677="","",VLOOKUP(AC1677,mapel!$A$2:$B$42,2,FALSE))</f>
        <v>A.Kristen</v>
      </c>
      <c r="AF1677">
        <f t="shared" si="78"/>
        <v>89</v>
      </c>
      <c r="AG1677" t="str">
        <f>IF(AF1677="","",IF(AF1677&gt;90,"Sangat baik",IF(AF1677&gt;79,"Baik",IF(AF1677&gt;=pub_gid_0_single_true_output_csv[[#This Row],[KKM]],"Cukup","Kurang"))))</f>
        <v>Baik</v>
      </c>
      <c r="AH1677">
        <f t="shared" si="79"/>
        <v>12</v>
      </c>
      <c r="AI1677" s="30" t="str">
        <f>IF(OR(J1677&lt;&gt;"Karakter",pub_gid_0_single_true_output_csv[[#This Row],[Nilai2]]=""),"",IF(AF1677&gt;89,"Sangat baik",IF(AF1677&gt;79,"Baik",IF(AF1677&gt;69,"Cukup",IF(AF1677&gt;59,"Kurang","Sangat kurang")))))</f>
        <v/>
      </c>
      <c r="AJ1677" t="str">
        <f t="shared" si="80"/>
        <v>Wk.3</v>
      </c>
      <c r="AK1677" t="str">
        <f>IF(pub_gid_0_single_true_output_csv[[#This Row],[Nilai2]]="","",VLOOKUP(pub_gid_0_single_true_output_csv[[#This Row],[NAMA]],Table7[],3,FALSE))</f>
        <v>High average</v>
      </c>
    </row>
    <row r="1678" spans="1:37" x14ac:dyDescent="0.2">
      <c r="A1678">
        <v>1677</v>
      </c>
      <c r="B1678" t="s">
        <v>313</v>
      </c>
      <c r="C1678" t="s">
        <v>65</v>
      </c>
      <c r="D1678" t="s">
        <v>57</v>
      </c>
      <c r="E1678" t="s">
        <v>146</v>
      </c>
      <c r="F1678" s="25">
        <v>46043</v>
      </c>
      <c r="G1678" t="s">
        <v>341</v>
      </c>
      <c r="H1678" t="s">
        <v>405</v>
      </c>
      <c r="I1678" t="s">
        <v>371</v>
      </c>
      <c r="J1678" t="s">
        <v>36</v>
      </c>
      <c r="K1678" t="s">
        <v>37</v>
      </c>
      <c r="L1678" t="s">
        <v>322</v>
      </c>
      <c r="M1678" t="s">
        <v>141</v>
      </c>
      <c r="N1678" t="s">
        <v>142</v>
      </c>
      <c r="O1678" t="s">
        <v>327</v>
      </c>
      <c r="P1678" t="s">
        <v>281</v>
      </c>
      <c r="Q1678" t="s">
        <v>328</v>
      </c>
      <c r="R1678" t="s">
        <v>360</v>
      </c>
      <c r="S1678" t="s">
        <v>375</v>
      </c>
      <c r="T1678">
        <v>1</v>
      </c>
      <c r="U1678" t="s">
        <v>406</v>
      </c>
      <c r="V1678" t="s">
        <v>342</v>
      </c>
      <c r="W1678" t="s">
        <v>510</v>
      </c>
      <c r="X1678" t="s">
        <v>331</v>
      </c>
      <c r="Y1678" t="s">
        <v>307</v>
      </c>
      <c r="Z1678">
        <v>70</v>
      </c>
      <c r="AA1678">
        <v>89</v>
      </c>
      <c r="AB1678" t="s">
        <v>143</v>
      </c>
      <c r="AC1678" t="s">
        <v>145</v>
      </c>
      <c r="AD1678" t="s">
        <v>404</v>
      </c>
      <c r="AE1678" t="str">
        <f>IF(AF1678="","",VLOOKUP(AC1678,mapel!$A$2:$B$42,2,FALSE))</f>
        <v>A.Kristen</v>
      </c>
      <c r="AF1678">
        <f t="shared" si="78"/>
        <v>89</v>
      </c>
      <c r="AG1678" t="str">
        <f>IF(AF1678="","",IF(AF1678&gt;90,"Sangat baik",IF(AF1678&gt;79,"Baik",IF(AF1678&gt;=pub_gid_0_single_true_output_csv[[#This Row],[KKM]],"Cukup","Kurang"))))</f>
        <v>Baik</v>
      </c>
      <c r="AH1678">
        <f t="shared" si="79"/>
        <v>12</v>
      </c>
      <c r="AI1678" s="30" t="str">
        <f>IF(OR(J1678&lt;&gt;"Karakter",pub_gid_0_single_true_output_csv[[#This Row],[Nilai2]]=""),"",IF(AF1678&gt;89,"Sangat baik",IF(AF1678&gt;79,"Baik",IF(AF1678&gt;69,"Cukup",IF(AF1678&gt;59,"Kurang","Sangat kurang")))))</f>
        <v/>
      </c>
      <c r="AJ1678" t="str">
        <f t="shared" si="80"/>
        <v>Wk.4</v>
      </c>
      <c r="AK1678" t="str">
        <f>IF(pub_gid_0_single_true_output_csv[[#This Row],[Nilai2]]="","",VLOOKUP(pub_gid_0_single_true_output_csv[[#This Row],[NAMA]],Table7[],3,FALSE))</f>
        <v>High average</v>
      </c>
    </row>
    <row r="1679" spans="1:37" x14ac:dyDescent="0.2">
      <c r="A1679">
        <v>1678</v>
      </c>
      <c r="B1679" t="s">
        <v>313</v>
      </c>
      <c r="C1679" t="s">
        <v>65</v>
      </c>
      <c r="D1679" t="s">
        <v>57</v>
      </c>
      <c r="E1679" t="s">
        <v>146</v>
      </c>
      <c r="F1679" s="25">
        <v>46050</v>
      </c>
      <c r="G1679" t="s">
        <v>308</v>
      </c>
      <c r="H1679" t="s">
        <v>405</v>
      </c>
      <c r="I1679" t="s">
        <v>371</v>
      </c>
      <c r="J1679" t="s">
        <v>41</v>
      </c>
      <c r="K1679" t="s">
        <v>511</v>
      </c>
      <c r="L1679" t="s">
        <v>322</v>
      </c>
      <c r="M1679" t="s">
        <v>141</v>
      </c>
      <c r="N1679" t="s">
        <v>142</v>
      </c>
      <c r="O1679" t="s">
        <v>327</v>
      </c>
      <c r="P1679" t="s">
        <v>281</v>
      </c>
      <c r="Q1679" t="s">
        <v>328</v>
      </c>
      <c r="R1679" t="s">
        <v>360</v>
      </c>
      <c r="S1679" t="s">
        <v>392</v>
      </c>
      <c r="T1679">
        <v>1</v>
      </c>
      <c r="U1679" t="s">
        <v>406</v>
      </c>
      <c r="V1679" t="s">
        <v>343</v>
      </c>
      <c r="W1679" t="s">
        <v>512</v>
      </c>
      <c r="X1679" t="s">
        <v>331</v>
      </c>
      <c r="Y1679" t="s">
        <v>307</v>
      </c>
      <c r="Z1679">
        <v>70</v>
      </c>
      <c r="AA1679">
        <v>90</v>
      </c>
      <c r="AB1679" t="s">
        <v>143</v>
      </c>
      <c r="AC1679" t="s">
        <v>145</v>
      </c>
      <c r="AD1679" t="s">
        <v>404</v>
      </c>
      <c r="AE1679" t="str">
        <f>IF(AF1679="","",VLOOKUP(AC1679,mapel!$A$2:$B$42,2,FALSE))</f>
        <v>A.Kristen</v>
      </c>
      <c r="AF1679">
        <f t="shared" si="78"/>
        <v>90</v>
      </c>
      <c r="AG1679" t="str">
        <f>IF(AF1679="","",IF(AF1679&gt;90,"Sangat baik",IF(AF1679&gt;79,"Baik",IF(AF1679&gt;=pub_gid_0_single_true_output_csv[[#This Row],[KKM]],"Cukup","Kurang"))))</f>
        <v>Baik</v>
      </c>
      <c r="AH1679">
        <f t="shared" si="79"/>
        <v>12</v>
      </c>
      <c r="AI1679" s="30" t="str">
        <f>IF(OR(J1679&lt;&gt;"Karakter",pub_gid_0_single_true_output_csv[[#This Row],[Nilai2]]=""),"",IF(AF1679&gt;89,"Sangat baik",IF(AF1679&gt;79,"Baik",IF(AF1679&gt;69,"Cukup",IF(AF1679&gt;59,"Kurang","Sangat kurang")))))</f>
        <v/>
      </c>
      <c r="AJ1679" t="str">
        <f t="shared" si="80"/>
        <v>Wk.5</v>
      </c>
      <c r="AK1679" t="str">
        <f>IF(pub_gid_0_single_true_output_csv[[#This Row],[Nilai2]]="","",VLOOKUP(pub_gid_0_single_true_output_csv[[#This Row],[NAMA]],Table7[],3,FALSE))</f>
        <v>High average</v>
      </c>
    </row>
    <row r="1680" spans="1:37" x14ac:dyDescent="0.2">
      <c r="A1680">
        <v>1679</v>
      </c>
      <c r="B1680" t="s">
        <v>313</v>
      </c>
      <c r="C1680" t="s">
        <v>65</v>
      </c>
      <c r="D1680" t="s">
        <v>57</v>
      </c>
      <c r="E1680" t="s">
        <v>146</v>
      </c>
      <c r="F1680" s="25">
        <v>46057</v>
      </c>
      <c r="G1680" t="s">
        <v>348</v>
      </c>
      <c r="H1680" t="s">
        <v>412</v>
      </c>
      <c r="I1680" t="s">
        <v>371</v>
      </c>
      <c r="J1680" t="s">
        <v>36</v>
      </c>
      <c r="K1680" t="s">
        <v>37</v>
      </c>
      <c r="L1680" t="s">
        <v>322</v>
      </c>
      <c r="M1680" t="s">
        <v>141</v>
      </c>
      <c r="N1680" t="s">
        <v>142</v>
      </c>
      <c r="O1680" t="s">
        <v>327</v>
      </c>
      <c r="P1680" t="s">
        <v>281</v>
      </c>
      <c r="Q1680" t="s">
        <v>328</v>
      </c>
      <c r="R1680" t="s">
        <v>360</v>
      </c>
      <c r="S1680" t="s">
        <v>454</v>
      </c>
      <c r="T1680">
        <v>1</v>
      </c>
      <c r="U1680" t="s">
        <v>406</v>
      </c>
      <c r="V1680" t="s">
        <v>344</v>
      </c>
      <c r="W1680" t="s">
        <v>514</v>
      </c>
      <c r="X1680" t="s">
        <v>331</v>
      </c>
      <c r="Y1680" t="s">
        <v>307</v>
      </c>
      <c r="Z1680">
        <v>70</v>
      </c>
      <c r="AA1680">
        <v>90</v>
      </c>
      <c r="AB1680" t="s">
        <v>143</v>
      </c>
      <c r="AC1680" t="s">
        <v>145</v>
      </c>
      <c r="AD1680" t="s">
        <v>404</v>
      </c>
      <c r="AE1680" t="str">
        <f>IF(AF1680="","",VLOOKUP(AC1680,mapel!$A$2:$B$42,2,FALSE))</f>
        <v>A.Kristen</v>
      </c>
      <c r="AF1680">
        <f t="shared" si="78"/>
        <v>90</v>
      </c>
      <c r="AG1680" t="str">
        <f>IF(AF1680="","",IF(AF1680&gt;90,"Sangat baik",IF(AF1680&gt;79,"Baik",IF(AF1680&gt;=pub_gid_0_single_true_output_csv[[#This Row],[KKM]],"Cukup","Kurang"))))</f>
        <v>Baik</v>
      </c>
      <c r="AH1680">
        <f t="shared" si="79"/>
        <v>12</v>
      </c>
      <c r="AI1680" s="30" t="str">
        <f>IF(OR(J1680&lt;&gt;"Karakter",pub_gid_0_single_true_output_csv[[#This Row],[Nilai2]]=""),"",IF(AF1680&gt;89,"Sangat baik",IF(AF1680&gt;79,"Baik",IF(AF1680&gt;69,"Cukup",IF(AF1680&gt;59,"Kurang","Sangat kurang")))))</f>
        <v/>
      </c>
      <c r="AJ1680" t="str">
        <f t="shared" si="80"/>
        <v>Wk.6</v>
      </c>
      <c r="AK1680" t="str">
        <f>IF(pub_gid_0_single_true_output_csv[[#This Row],[Nilai2]]="","",VLOOKUP(pub_gid_0_single_true_output_csv[[#This Row],[NAMA]],Table7[],3,FALSE))</f>
        <v>High average</v>
      </c>
    </row>
    <row r="1681" spans="1:37" x14ac:dyDescent="0.2">
      <c r="A1681">
        <v>1680</v>
      </c>
      <c r="B1681" t="s">
        <v>314</v>
      </c>
      <c r="C1681" t="s">
        <v>65</v>
      </c>
      <c r="D1681" t="s">
        <v>58</v>
      </c>
      <c r="E1681" t="s">
        <v>140</v>
      </c>
      <c r="F1681" s="25">
        <v>46036</v>
      </c>
      <c r="G1681" t="s">
        <v>353</v>
      </c>
      <c r="H1681" t="s">
        <v>405</v>
      </c>
      <c r="I1681" t="s">
        <v>371</v>
      </c>
      <c r="J1681" t="s">
        <v>36</v>
      </c>
      <c r="K1681" t="s">
        <v>37</v>
      </c>
      <c r="L1681" t="s">
        <v>322</v>
      </c>
      <c r="M1681" t="s">
        <v>141</v>
      </c>
      <c r="N1681" t="s">
        <v>142</v>
      </c>
      <c r="O1681" t="s">
        <v>327</v>
      </c>
      <c r="P1681" t="s">
        <v>281</v>
      </c>
      <c r="Q1681" t="s">
        <v>328</v>
      </c>
      <c r="R1681" t="s">
        <v>360</v>
      </c>
      <c r="S1681" t="s">
        <v>330</v>
      </c>
      <c r="T1681">
        <v>1</v>
      </c>
      <c r="U1681" t="s">
        <v>406</v>
      </c>
      <c r="V1681" t="s">
        <v>285</v>
      </c>
      <c r="W1681" t="s">
        <v>407</v>
      </c>
      <c r="X1681" t="s">
        <v>331</v>
      </c>
      <c r="Y1681" t="s">
        <v>307</v>
      </c>
      <c r="Z1681">
        <v>70</v>
      </c>
      <c r="AA1681">
        <v>70</v>
      </c>
      <c r="AB1681" t="s">
        <v>143</v>
      </c>
      <c r="AC1681" t="s">
        <v>145</v>
      </c>
      <c r="AD1681" t="s">
        <v>404</v>
      </c>
      <c r="AE1681" t="str">
        <f>IF(AF1681="","",VLOOKUP(AC1681,mapel!$A$2:$B$42,2,FALSE))</f>
        <v>A.Kristen</v>
      </c>
      <c r="AF1681">
        <f t="shared" si="78"/>
        <v>70</v>
      </c>
      <c r="AG1681" t="str">
        <f>IF(AF1681="","",IF(AF1681&gt;90,"Sangat baik",IF(AF1681&gt;79,"Baik",IF(AF1681&gt;=pub_gid_0_single_true_output_csv[[#This Row],[KKM]],"Cukup","Kurang"))))</f>
        <v>Cukup</v>
      </c>
      <c r="AH1681">
        <f t="shared" si="79"/>
        <v>12</v>
      </c>
      <c r="AI1681" s="30" t="str">
        <f>IF(OR(J1681&lt;&gt;"Karakter",pub_gid_0_single_true_output_csv[[#This Row],[Nilai2]]=""),"",IF(AF1681&gt;89,"Sangat baik",IF(AF1681&gt;79,"Baik",IF(AF1681&gt;69,"Cukup",IF(AF1681&gt;59,"Kurang","Sangat kurang")))))</f>
        <v/>
      </c>
      <c r="AJ1681" t="str">
        <f t="shared" si="80"/>
        <v>Wk.3</v>
      </c>
      <c r="AK1681" t="str">
        <f>IF(pub_gid_0_single_true_output_csv[[#This Row],[Nilai2]]="","",VLOOKUP(pub_gid_0_single_true_output_csv[[#This Row],[NAMA]],Table7[],3,FALSE))</f>
        <v>Average</v>
      </c>
    </row>
    <row r="1682" spans="1:37" x14ac:dyDescent="0.2">
      <c r="A1682">
        <v>1681</v>
      </c>
      <c r="B1682" t="s">
        <v>314</v>
      </c>
      <c r="C1682" t="s">
        <v>65</v>
      </c>
      <c r="D1682" t="s">
        <v>58</v>
      </c>
      <c r="E1682" t="s">
        <v>140</v>
      </c>
      <c r="F1682" s="25">
        <v>46043</v>
      </c>
      <c r="G1682" t="s">
        <v>341</v>
      </c>
      <c r="H1682" t="s">
        <v>405</v>
      </c>
      <c r="I1682" t="s">
        <v>371</v>
      </c>
      <c r="J1682" t="s">
        <v>36</v>
      </c>
      <c r="K1682" t="s">
        <v>37</v>
      </c>
      <c r="L1682" t="s">
        <v>322</v>
      </c>
      <c r="M1682" t="s">
        <v>141</v>
      </c>
      <c r="N1682" t="s">
        <v>142</v>
      </c>
      <c r="O1682" t="s">
        <v>327</v>
      </c>
      <c r="P1682" t="s">
        <v>281</v>
      </c>
      <c r="Q1682" t="s">
        <v>328</v>
      </c>
      <c r="R1682" t="s">
        <v>360</v>
      </c>
      <c r="S1682" t="s">
        <v>375</v>
      </c>
      <c r="T1682">
        <v>1</v>
      </c>
      <c r="U1682" t="s">
        <v>406</v>
      </c>
      <c r="V1682" t="s">
        <v>342</v>
      </c>
      <c r="W1682" t="s">
        <v>510</v>
      </c>
      <c r="X1682" t="s">
        <v>331</v>
      </c>
      <c r="Y1682" t="s">
        <v>307</v>
      </c>
      <c r="Z1682">
        <v>70</v>
      </c>
      <c r="AA1682">
        <v>70</v>
      </c>
      <c r="AB1682" t="s">
        <v>143</v>
      </c>
      <c r="AC1682" t="s">
        <v>145</v>
      </c>
      <c r="AD1682" t="s">
        <v>404</v>
      </c>
      <c r="AE1682" t="str">
        <f>IF(AF1682="","",VLOOKUP(AC1682,mapel!$A$2:$B$42,2,FALSE))</f>
        <v>A.Kristen</v>
      </c>
      <c r="AF1682">
        <f t="shared" si="78"/>
        <v>70</v>
      </c>
      <c r="AG1682" t="str">
        <f>IF(AF1682="","",IF(AF1682&gt;90,"Sangat baik",IF(AF1682&gt;79,"Baik",IF(AF1682&gt;=pub_gid_0_single_true_output_csv[[#This Row],[KKM]],"Cukup","Kurang"))))</f>
        <v>Cukup</v>
      </c>
      <c r="AH1682">
        <f t="shared" si="79"/>
        <v>12</v>
      </c>
      <c r="AI1682" s="30" t="str">
        <f>IF(OR(J1682&lt;&gt;"Karakter",pub_gid_0_single_true_output_csv[[#This Row],[Nilai2]]=""),"",IF(AF1682&gt;89,"Sangat baik",IF(AF1682&gt;79,"Baik",IF(AF1682&gt;69,"Cukup",IF(AF1682&gt;59,"Kurang","Sangat kurang")))))</f>
        <v/>
      </c>
      <c r="AJ1682" t="str">
        <f t="shared" si="80"/>
        <v>Wk.4</v>
      </c>
      <c r="AK1682" t="str">
        <f>IF(pub_gid_0_single_true_output_csv[[#This Row],[Nilai2]]="","",VLOOKUP(pub_gid_0_single_true_output_csv[[#This Row],[NAMA]],Table7[],3,FALSE))</f>
        <v>Average</v>
      </c>
    </row>
    <row r="1683" spans="1:37" x14ac:dyDescent="0.2">
      <c r="A1683">
        <v>1682</v>
      </c>
      <c r="B1683" t="s">
        <v>314</v>
      </c>
      <c r="C1683" t="s">
        <v>65</v>
      </c>
      <c r="D1683" t="s">
        <v>58</v>
      </c>
      <c r="E1683" t="s">
        <v>140</v>
      </c>
      <c r="F1683" s="25">
        <v>46050</v>
      </c>
      <c r="G1683" t="s">
        <v>308</v>
      </c>
      <c r="H1683" t="s">
        <v>405</v>
      </c>
      <c r="I1683" t="s">
        <v>371</v>
      </c>
      <c r="J1683" t="s">
        <v>41</v>
      </c>
      <c r="K1683" t="s">
        <v>511</v>
      </c>
      <c r="L1683" t="s">
        <v>322</v>
      </c>
      <c r="M1683" t="s">
        <v>141</v>
      </c>
      <c r="N1683" t="s">
        <v>142</v>
      </c>
      <c r="O1683" t="s">
        <v>327</v>
      </c>
      <c r="P1683" t="s">
        <v>281</v>
      </c>
      <c r="Q1683" t="s">
        <v>328</v>
      </c>
      <c r="R1683" t="s">
        <v>360</v>
      </c>
      <c r="S1683" t="s">
        <v>392</v>
      </c>
      <c r="T1683">
        <v>1</v>
      </c>
      <c r="U1683" t="s">
        <v>406</v>
      </c>
      <c r="V1683" t="s">
        <v>343</v>
      </c>
      <c r="W1683" t="s">
        <v>512</v>
      </c>
      <c r="X1683" t="s">
        <v>331</v>
      </c>
      <c r="Y1683" t="s">
        <v>307</v>
      </c>
      <c r="Z1683">
        <v>70</v>
      </c>
      <c r="AA1683">
        <v>70</v>
      </c>
      <c r="AB1683" t="s">
        <v>143</v>
      </c>
      <c r="AC1683" t="s">
        <v>145</v>
      </c>
      <c r="AD1683" t="s">
        <v>404</v>
      </c>
      <c r="AE1683" t="str">
        <f>IF(AF1683="","",VLOOKUP(AC1683,mapel!$A$2:$B$42,2,FALSE))</f>
        <v>A.Kristen</v>
      </c>
      <c r="AF1683">
        <f t="shared" si="78"/>
        <v>70</v>
      </c>
      <c r="AG1683" t="str">
        <f>IF(AF1683="","",IF(AF1683&gt;90,"Sangat baik",IF(AF1683&gt;79,"Baik",IF(AF1683&gt;=pub_gid_0_single_true_output_csv[[#This Row],[KKM]],"Cukup","Kurang"))))</f>
        <v>Cukup</v>
      </c>
      <c r="AH1683">
        <f t="shared" si="79"/>
        <v>12</v>
      </c>
      <c r="AI1683" s="30" t="str">
        <f>IF(OR(J1683&lt;&gt;"Karakter",pub_gid_0_single_true_output_csv[[#This Row],[Nilai2]]=""),"",IF(AF1683&gt;89,"Sangat baik",IF(AF1683&gt;79,"Baik",IF(AF1683&gt;69,"Cukup",IF(AF1683&gt;59,"Kurang","Sangat kurang")))))</f>
        <v/>
      </c>
      <c r="AJ1683" t="str">
        <f t="shared" si="80"/>
        <v>Wk.5</v>
      </c>
      <c r="AK1683" t="str">
        <f>IF(pub_gid_0_single_true_output_csv[[#This Row],[Nilai2]]="","",VLOOKUP(pub_gid_0_single_true_output_csv[[#This Row],[NAMA]],Table7[],3,FALSE))</f>
        <v>Average</v>
      </c>
    </row>
    <row r="1684" spans="1:37" x14ac:dyDescent="0.2">
      <c r="A1684">
        <v>1683</v>
      </c>
      <c r="B1684" t="s">
        <v>314</v>
      </c>
      <c r="C1684" t="s">
        <v>65</v>
      </c>
      <c r="D1684" t="s">
        <v>58</v>
      </c>
      <c r="E1684" t="s">
        <v>140</v>
      </c>
      <c r="F1684" s="25">
        <v>46057</v>
      </c>
      <c r="G1684" t="s">
        <v>348</v>
      </c>
      <c r="H1684" t="s">
        <v>412</v>
      </c>
      <c r="I1684" t="s">
        <v>371</v>
      </c>
      <c r="J1684" t="s">
        <v>36</v>
      </c>
      <c r="K1684" t="s">
        <v>37</v>
      </c>
      <c r="L1684" t="s">
        <v>322</v>
      </c>
      <c r="M1684" t="s">
        <v>141</v>
      </c>
      <c r="N1684" t="s">
        <v>142</v>
      </c>
      <c r="O1684" t="s">
        <v>327</v>
      </c>
      <c r="P1684" t="s">
        <v>281</v>
      </c>
      <c r="Q1684" t="s">
        <v>328</v>
      </c>
      <c r="R1684" t="s">
        <v>360</v>
      </c>
      <c r="S1684" t="s">
        <v>454</v>
      </c>
      <c r="T1684">
        <v>1</v>
      </c>
      <c r="U1684" t="s">
        <v>406</v>
      </c>
      <c r="V1684" t="s">
        <v>344</v>
      </c>
      <c r="W1684" t="s">
        <v>514</v>
      </c>
      <c r="X1684" t="s">
        <v>331</v>
      </c>
      <c r="Y1684" t="s">
        <v>307</v>
      </c>
      <c r="Z1684">
        <v>70</v>
      </c>
      <c r="AA1684">
        <v>70</v>
      </c>
      <c r="AB1684" t="s">
        <v>143</v>
      </c>
      <c r="AC1684" t="s">
        <v>145</v>
      </c>
      <c r="AD1684" t="s">
        <v>404</v>
      </c>
      <c r="AE1684" t="str">
        <f>IF(AF1684="","",VLOOKUP(AC1684,mapel!$A$2:$B$42,2,FALSE))</f>
        <v>A.Kristen</v>
      </c>
      <c r="AF1684">
        <f t="shared" si="78"/>
        <v>70</v>
      </c>
      <c r="AG1684" t="str">
        <f>IF(AF1684="","",IF(AF1684&gt;90,"Sangat baik",IF(AF1684&gt;79,"Baik",IF(AF1684&gt;=pub_gid_0_single_true_output_csv[[#This Row],[KKM]],"Cukup","Kurang"))))</f>
        <v>Cukup</v>
      </c>
      <c r="AH1684">
        <f t="shared" si="79"/>
        <v>12</v>
      </c>
      <c r="AI1684" s="30" t="str">
        <f>IF(OR(J1684&lt;&gt;"Karakter",pub_gid_0_single_true_output_csv[[#This Row],[Nilai2]]=""),"",IF(AF1684&gt;89,"Sangat baik",IF(AF1684&gt;79,"Baik",IF(AF1684&gt;69,"Cukup",IF(AF1684&gt;59,"Kurang","Sangat kurang")))))</f>
        <v/>
      </c>
      <c r="AJ1684" t="str">
        <f t="shared" si="80"/>
        <v>Wk.6</v>
      </c>
      <c r="AK1684" t="str">
        <f>IF(pub_gid_0_single_true_output_csv[[#This Row],[Nilai2]]="","",VLOOKUP(pub_gid_0_single_true_output_csv[[#This Row],[NAMA]],Table7[],3,FALSE))</f>
        <v>Average</v>
      </c>
    </row>
    <row r="1685" spans="1:37" x14ac:dyDescent="0.2">
      <c r="A1685">
        <v>1684</v>
      </c>
      <c r="B1685" t="s">
        <v>315</v>
      </c>
      <c r="C1685" t="s">
        <v>65</v>
      </c>
      <c r="D1685" t="s">
        <v>60</v>
      </c>
      <c r="E1685" t="s">
        <v>140</v>
      </c>
      <c r="F1685" s="25">
        <v>46036</v>
      </c>
      <c r="G1685" t="s">
        <v>353</v>
      </c>
      <c r="H1685" t="s">
        <v>405</v>
      </c>
      <c r="I1685" t="s">
        <v>371</v>
      </c>
      <c r="J1685" t="s">
        <v>36</v>
      </c>
      <c r="K1685" t="s">
        <v>37</v>
      </c>
      <c r="L1685" t="s">
        <v>322</v>
      </c>
      <c r="M1685" t="s">
        <v>141</v>
      </c>
      <c r="N1685" t="s">
        <v>142</v>
      </c>
      <c r="O1685" t="s">
        <v>327</v>
      </c>
      <c r="P1685" t="s">
        <v>281</v>
      </c>
      <c r="Q1685" t="s">
        <v>328</v>
      </c>
      <c r="R1685" t="s">
        <v>360</v>
      </c>
      <c r="S1685" t="s">
        <v>330</v>
      </c>
      <c r="T1685">
        <v>1</v>
      </c>
      <c r="U1685" t="s">
        <v>406</v>
      </c>
      <c r="V1685" t="s">
        <v>285</v>
      </c>
      <c r="W1685" t="s">
        <v>407</v>
      </c>
      <c r="X1685" t="s">
        <v>331</v>
      </c>
      <c r="Y1685" t="s">
        <v>307</v>
      </c>
      <c r="Z1685">
        <v>70</v>
      </c>
      <c r="AA1685">
        <v>70</v>
      </c>
      <c r="AB1685" t="s">
        <v>143</v>
      </c>
      <c r="AC1685" t="s">
        <v>145</v>
      </c>
      <c r="AD1685" t="s">
        <v>404</v>
      </c>
      <c r="AE1685" t="str">
        <f>IF(AF1685="","",VLOOKUP(AC1685,mapel!$A$2:$B$42,2,FALSE))</f>
        <v>A.Kristen</v>
      </c>
      <c r="AF1685">
        <f t="shared" si="78"/>
        <v>70</v>
      </c>
      <c r="AG1685" t="str">
        <f>IF(AF1685="","",IF(AF1685&gt;90,"Sangat baik",IF(AF1685&gt;79,"Baik",IF(AF1685&gt;=pub_gid_0_single_true_output_csv[[#This Row],[KKM]],"Cukup","Kurang"))))</f>
        <v>Cukup</v>
      </c>
      <c r="AH1685">
        <f t="shared" si="79"/>
        <v>12</v>
      </c>
      <c r="AI1685" s="30" t="str">
        <f>IF(OR(J1685&lt;&gt;"Karakter",pub_gid_0_single_true_output_csv[[#This Row],[Nilai2]]=""),"",IF(AF1685&gt;89,"Sangat baik",IF(AF1685&gt;79,"Baik",IF(AF1685&gt;69,"Cukup",IF(AF1685&gt;59,"Kurang","Sangat kurang")))))</f>
        <v/>
      </c>
      <c r="AJ1685" t="str">
        <f t="shared" si="80"/>
        <v>Wk.3</v>
      </c>
      <c r="AK1685" t="str">
        <f>IF(pub_gid_0_single_true_output_csv[[#This Row],[Nilai2]]="","",VLOOKUP(pub_gid_0_single_true_output_csv[[#This Row],[NAMA]],Table7[],3,FALSE))</f>
        <v>High average</v>
      </c>
    </row>
    <row r="1686" spans="1:37" x14ac:dyDescent="0.2">
      <c r="A1686">
        <v>1685</v>
      </c>
      <c r="B1686" t="s">
        <v>315</v>
      </c>
      <c r="C1686" t="s">
        <v>65</v>
      </c>
      <c r="D1686" t="s">
        <v>60</v>
      </c>
      <c r="E1686" t="s">
        <v>140</v>
      </c>
      <c r="F1686" s="25">
        <v>46043</v>
      </c>
      <c r="G1686" t="s">
        <v>341</v>
      </c>
      <c r="H1686" t="s">
        <v>405</v>
      </c>
      <c r="I1686" t="s">
        <v>371</v>
      </c>
      <c r="J1686" t="s">
        <v>36</v>
      </c>
      <c r="K1686" t="s">
        <v>37</v>
      </c>
      <c r="L1686" t="s">
        <v>322</v>
      </c>
      <c r="M1686" t="s">
        <v>141</v>
      </c>
      <c r="N1686" t="s">
        <v>142</v>
      </c>
      <c r="O1686" t="s">
        <v>327</v>
      </c>
      <c r="P1686" t="s">
        <v>281</v>
      </c>
      <c r="Q1686" t="s">
        <v>328</v>
      </c>
      <c r="R1686" t="s">
        <v>360</v>
      </c>
      <c r="S1686" t="s">
        <v>375</v>
      </c>
      <c r="T1686">
        <v>1</v>
      </c>
      <c r="U1686" t="s">
        <v>406</v>
      </c>
      <c r="V1686" t="s">
        <v>342</v>
      </c>
      <c r="W1686" t="s">
        <v>510</v>
      </c>
      <c r="X1686" t="s">
        <v>331</v>
      </c>
      <c r="Y1686" t="s">
        <v>307</v>
      </c>
      <c r="Z1686">
        <v>70</v>
      </c>
      <c r="AA1686">
        <v>72</v>
      </c>
      <c r="AB1686" t="s">
        <v>143</v>
      </c>
      <c r="AC1686" t="s">
        <v>145</v>
      </c>
      <c r="AD1686" t="s">
        <v>404</v>
      </c>
      <c r="AE1686" t="str">
        <f>IF(AF1686="","",VLOOKUP(AC1686,mapel!$A$2:$B$42,2,FALSE))</f>
        <v>A.Kristen</v>
      </c>
      <c r="AF1686">
        <f t="shared" si="78"/>
        <v>72</v>
      </c>
      <c r="AG1686" t="str">
        <f>IF(AF1686="","",IF(AF1686&gt;90,"Sangat baik",IF(AF1686&gt;79,"Baik",IF(AF1686&gt;=pub_gid_0_single_true_output_csv[[#This Row],[KKM]],"Cukup","Kurang"))))</f>
        <v>Cukup</v>
      </c>
      <c r="AH1686">
        <f t="shared" si="79"/>
        <v>12</v>
      </c>
      <c r="AI1686" s="30" t="str">
        <f>IF(OR(J1686&lt;&gt;"Karakter",pub_gid_0_single_true_output_csv[[#This Row],[Nilai2]]=""),"",IF(AF1686&gt;89,"Sangat baik",IF(AF1686&gt;79,"Baik",IF(AF1686&gt;69,"Cukup",IF(AF1686&gt;59,"Kurang","Sangat kurang")))))</f>
        <v/>
      </c>
      <c r="AJ1686" t="str">
        <f t="shared" si="80"/>
        <v>Wk.4</v>
      </c>
      <c r="AK1686" t="str">
        <f>IF(pub_gid_0_single_true_output_csv[[#This Row],[Nilai2]]="","",VLOOKUP(pub_gid_0_single_true_output_csv[[#This Row],[NAMA]],Table7[],3,FALSE))</f>
        <v>High average</v>
      </c>
    </row>
    <row r="1687" spans="1:37" x14ac:dyDescent="0.2">
      <c r="A1687">
        <v>1686</v>
      </c>
      <c r="B1687" t="s">
        <v>315</v>
      </c>
      <c r="C1687" t="s">
        <v>65</v>
      </c>
      <c r="D1687" t="s">
        <v>60</v>
      </c>
      <c r="E1687" t="s">
        <v>140</v>
      </c>
      <c r="F1687" s="25">
        <v>46050</v>
      </c>
      <c r="G1687" t="s">
        <v>308</v>
      </c>
      <c r="H1687" t="s">
        <v>405</v>
      </c>
      <c r="I1687" t="s">
        <v>371</v>
      </c>
      <c r="J1687" t="s">
        <v>41</v>
      </c>
      <c r="K1687" t="s">
        <v>511</v>
      </c>
      <c r="L1687" t="s">
        <v>322</v>
      </c>
      <c r="M1687" t="s">
        <v>141</v>
      </c>
      <c r="N1687" t="s">
        <v>142</v>
      </c>
      <c r="O1687" t="s">
        <v>327</v>
      </c>
      <c r="P1687" t="s">
        <v>281</v>
      </c>
      <c r="Q1687" t="s">
        <v>328</v>
      </c>
      <c r="R1687" t="s">
        <v>360</v>
      </c>
      <c r="S1687" t="s">
        <v>392</v>
      </c>
      <c r="T1687">
        <v>1</v>
      </c>
      <c r="U1687" t="s">
        <v>406</v>
      </c>
      <c r="V1687" t="s">
        <v>343</v>
      </c>
      <c r="W1687" t="s">
        <v>512</v>
      </c>
      <c r="X1687" t="s">
        <v>331</v>
      </c>
      <c r="Y1687" t="s">
        <v>307</v>
      </c>
      <c r="Z1687">
        <v>70</v>
      </c>
      <c r="AA1687">
        <v>70</v>
      </c>
      <c r="AB1687" t="s">
        <v>143</v>
      </c>
      <c r="AC1687" t="s">
        <v>145</v>
      </c>
      <c r="AD1687" t="s">
        <v>404</v>
      </c>
      <c r="AE1687" t="str">
        <f>IF(AF1687="","",VLOOKUP(AC1687,mapel!$A$2:$B$42,2,FALSE))</f>
        <v>A.Kristen</v>
      </c>
      <c r="AF1687">
        <f t="shared" si="78"/>
        <v>70</v>
      </c>
      <c r="AG1687" t="str">
        <f>IF(AF1687="","",IF(AF1687&gt;90,"Sangat baik",IF(AF1687&gt;79,"Baik",IF(AF1687&gt;=pub_gid_0_single_true_output_csv[[#This Row],[KKM]],"Cukup","Kurang"))))</f>
        <v>Cukup</v>
      </c>
      <c r="AH1687">
        <f t="shared" si="79"/>
        <v>12</v>
      </c>
      <c r="AI1687" s="30" t="str">
        <f>IF(OR(J1687&lt;&gt;"Karakter",pub_gid_0_single_true_output_csv[[#This Row],[Nilai2]]=""),"",IF(AF1687&gt;89,"Sangat baik",IF(AF1687&gt;79,"Baik",IF(AF1687&gt;69,"Cukup",IF(AF1687&gt;59,"Kurang","Sangat kurang")))))</f>
        <v/>
      </c>
      <c r="AJ1687" t="str">
        <f t="shared" si="80"/>
        <v>Wk.5</v>
      </c>
      <c r="AK1687" t="str">
        <f>IF(pub_gid_0_single_true_output_csv[[#This Row],[Nilai2]]="","",VLOOKUP(pub_gid_0_single_true_output_csv[[#This Row],[NAMA]],Table7[],3,FALSE))</f>
        <v>High average</v>
      </c>
    </row>
    <row r="1688" spans="1:37" x14ac:dyDescent="0.2">
      <c r="A1688">
        <v>1687</v>
      </c>
      <c r="B1688" t="s">
        <v>315</v>
      </c>
      <c r="C1688" t="s">
        <v>65</v>
      </c>
      <c r="D1688" t="s">
        <v>60</v>
      </c>
      <c r="E1688" t="s">
        <v>140</v>
      </c>
      <c r="F1688" s="25">
        <v>46057</v>
      </c>
      <c r="G1688" t="s">
        <v>348</v>
      </c>
      <c r="H1688" t="s">
        <v>412</v>
      </c>
      <c r="I1688" t="s">
        <v>371</v>
      </c>
      <c r="J1688" t="s">
        <v>36</v>
      </c>
      <c r="K1688" t="s">
        <v>37</v>
      </c>
      <c r="L1688" t="s">
        <v>322</v>
      </c>
      <c r="M1688" t="s">
        <v>141</v>
      </c>
      <c r="N1688" t="s">
        <v>142</v>
      </c>
      <c r="O1688" t="s">
        <v>327</v>
      </c>
      <c r="P1688" t="s">
        <v>281</v>
      </c>
      <c r="Q1688" t="s">
        <v>328</v>
      </c>
      <c r="R1688" t="s">
        <v>360</v>
      </c>
      <c r="S1688" t="s">
        <v>454</v>
      </c>
      <c r="T1688">
        <v>1</v>
      </c>
      <c r="U1688" t="s">
        <v>406</v>
      </c>
      <c r="V1688" t="s">
        <v>344</v>
      </c>
      <c r="W1688" t="s">
        <v>514</v>
      </c>
      <c r="X1688" t="s">
        <v>331</v>
      </c>
      <c r="Y1688" t="s">
        <v>307</v>
      </c>
      <c r="Z1688">
        <v>70</v>
      </c>
      <c r="AA1688">
        <v>70</v>
      </c>
      <c r="AB1688" t="s">
        <v>143</v>
      </c>
      <c r="AC1688" t="s">
        <v>145</v>
      </c>
      <c r="AD1688" t="s">
        <v>404</v>
      </c>
      <c r="AE1688" t="str">
        <f>IF(AF1688="","",VLOOKUP(AC1688,mapel!$A$2:$B$42,2,FALSE))</f>
        <v>A.Kristen</v>
      </c>
      <c r="AF1688">
        <f t="shared" si="78"/>
        <v>70</v>
      </c>
      <c r="AG1688" t="str">
        <f>IF(AF1688="","",IF(AF1688&gt;90,"Sangat baik",IF(AF1688&gt;79,"Baik",IF(AF1688&gt;=pub_gid_0_single_true_output_csv[[#This Row],[KKM]],"Cukup","Kurang"))))</f>
        <v>Cukup</v>
      </c>
      <c r="AH1688">
        <f t="shared" si="79"/>
        <v>12</v>
      </c>
      <c r="AI1688" s="30" t="str">
        <f>IF(OR(J1688&lt;&gt;"Karakter",pub_gid_0_single_true_output_csv[[#This Row],[Nilai2]]=""),"",IF(AF1688&gt;89,"Sangat baik",IF(AF1688&gt;79,"Baik",IF(AF1688&gt;69,"Cukup",IF(AF1688&gt;59,"Kurang","Sangat kurang")))))</f>
        <v/>
      </c>
      <c r="AJ1688" t="str">
        <f t="shared" si="80"/>
        <v>Wk.6</v>
      </c>
      <c r="AK1688" t="str">
        <f>IF(pub_gid_0_single_true_output_csv[[#This Row],[Nilai2]]="","",VLOOKUP(pub_gid_0_single_true_output_csv[[#This Row],[NAMA]],Table7[],3,FALSE))</f>
        <v>High average</v>
      </c>
    </row>
    <row r="1689" spans="1:37" x14ac:dyDescent="0.2">
      <c r="A1689">
        <v>1688</v>
      </c>
      <c r="B1689" t="s">
        <v>316</v>
      </c>
      <c r="C1689" t="s">
        <v>65</v>
      </c>
      <c r="D1689" t="s">
        <v>61</v>
      </c>
      <c r="E1689" t="s">
        <v>140</v>
      </c>
      <c r="F1689" s="25">
        <v>46036</v>
      </c>
      <c r="G1689" t="s">
        <v>353</v>
      </c>
      <c r="H1689" t="s">
        <v>405</v>
      </c>
      <c r="I1689" t="s">
        <v>371</v>
      </c>
      <c r="J1689" t="s">
        <v>36</v>
      </c>
      <c r="K1689" t="s">
        <v>37</v>
      </c>
      <c r="L1689" t="s">
        <v>322</v>
      </c>
      <c r="M1689" t="s">
        <v>141</v>
      </c>
      <c r="N1689" t="s">
        <v>142</v>
      </c>
      <c r="O1689" t="s">
        <v>327</v>
      </c>
      <c r="P1689" t="s">
        <v>281</v>
      </c>
      <c r="Q1689" t="s">
        <v>328</v>
      </c>
      <c r="R1689" t="s">
        <v>360</v>
      </c>
      <c r="S1689" t="s">
        <v>330</v>
      </c>
      <c r="T1689">
        <v>1</v>
      </c>
      <c r="U1689" t="s">
        <v>406</v>
      </c>
      <c r="V1689" t="s">
        <v>285</v>
      </c>
      <c r="W1689" t="s">
        <v>407</v>
      </c>
      <c r="X1689" t="s">
        <v>331</v>
      </c>
      <c r="Y1689" t="s">
        <v>307</v>
      </c>
      <c r="Z1689">
        <v>70</v>
      </c>
      <c r="AA1689">
        <v>70</v>
      </c>
      <c r="AB1689" t="s">
        <v>143</v>
      </c>
      <c r="AC1689" t="s">
        <v>145</v>
      </c>
      <c r="AD1689" t="s">
        <v>404</v>
      </c>
      <c r="AE1689" t="str">
        <f>IF(AF1689="","",VLOOKUP(AC1689,mapel!$A$2:$B$42,2,FALSE))</f>
        <v>A.Kristen</v>
      </c>
      <c r="AF1689">
        <f t="shared" si="78"/>
        <v>70</v>
      </c>
      <c r="AG1689" t="str">
        <f>IF(AF1689="","",IF(AF1689&gt;90,"Sangat baik",IF(AF1689&gt;79,"Baik",IF(AF1689&gt;=pub_gid_0_single_true_output_csv[[#This Row],[KKM]],"Cukup","Kurang"))))</f>
        <v>Cukup</v>
      </c>
      <c r="AH1689">
        <f t="shared" si="79"/>
        <v>12</v>
      </c>
      <c r="AI1689" s="30" t="str">
        <f>IF(OR(J1689&lt;&gt;"Karakter",pub_gid_0_single_true_output_csv[[#This Row],[Nilai2]]=""),"",IF(AF1689&gt;89,"Sangat baik",IF(AF1689&gt;79,"Baik",IF(AF1689&gt;69,"Cukup",IF(AF1689&gt;59,"Kurang","Sangat kurang")))))</f>
        <v/>
      </c>
      <c r="AJ1689" t="str">
        <f t="shared" si="80"/>
        <v>Wk.3</v>
      </c>
      <c r="AK1689" t="str">
        <f>IF(pub_gid_0_single_true_output_csv[[#This Row],[Nilai2]]="","",VLOOKUP(pub_gid_0_single_true_output_csv[[#This Row],[NAMA]],Table7[],3,FALSE))</f>
        <v>Average</v>
      </c>
    </row>
    <row r="1690" spans="1:37" x14ac:dyDescent="0.2">
      <c r="A1690">
        <v>1689</v>
      </c>
      <c r="B1690" t="s">
        <v>316</v>
      </c>
      <c r="C1690" t="s">
        <v>65</v>
      </c>
      <c r="D1690" t="s">
        <v>61</v>
      </c>
      <c r="E1690" t="s">
        <v>140</v>
      </c>
      <c r="F1690" s="25">
        <v>46043</v>
      </c>
      <c r="G1690" t="s">
        <v>341</v>
      </c>
      <c r="H1690" t="s">
        <v>405</v>
      </c>
      <c r="I1690" t="s">
        <v>371</v>
      </c>
      <c r="J1690" t="s">
        <v>36</v>
      </c>
      <c r="K1690" t="s">
        <v>37</v>
      </c>
      <c r="L1690" t="s">
        <v>322</v>
      </c>
      <c r="M1690" t="s">
        <v>141</v>
      </c>
      <c r="N1690" t="s">
        <v>142</v>
      </c>
      <c r="O1690" t="s">
        <v>327</v>
      </c>
      <c r="P1690" t="s">
        <v>281</v>
      </c>
      <c r="Q1690" t="s">
        <v>328</v>
      </c>
      <c r="R1690" t="s">
        <v>360</v>
      </c>
      <c r="S1690" t="s">
        <v>375</v>
      </c>
      <c r="T1690">
        <v>1</v>
      </c>
      <c r="U1690" t="s">
        <v>406</v>
      </c>
      <c r="V1690" t="s">
        <v>342</v>
      </c>
      <c r="W1690" t="s">
        <v>510</v>
      </c>
      <c r="X1690" t="s">
        <v>331</v>
      </c>
      <c r="Y1690" t="s">
        <v>307</v>
      </c>
      <c r="Z1690">
        <v>70</v>
      </c>
      <c r="AA1690">
        <v>70</v>
      </c>
      <c r="AB1690" t="s">
        <v>143</v>
      </c>
      <c r="AC1690" t="s">
        <v>145</v>
      </c>
      <c r="AD1690" t="s">
        <v>404</v>
      </c>
      <c r="AE1690" t="str">
        <f>IF(AF1690="","",VLOOKUP(AC1690,mapel!$A$2:$B$42,2,FALSE))</f>
        <v>A.Kristen</v>
      </c>
      <c r="AF1690">
        <f t="shared" si="78"/>
        <v>70</v>
      </c>
      <c r="AG1690" t="str">
        <f>IF(AF1690="","",IF(AF1690&gt;90,"Sangat baik",IF(AF1690&gt;79,"Baik",IF(AF1690&gt;=pub_gid_0_single_true_output_csv[[#This Row],[KKM]],"Cukup","Kurang"))))</f>
        <v>Cukup</v>
      </c>
      <c r="AH1690">
        <f t="shared" si="79"/>
        <v>12</v>
      </c>
      <c r="AI1690" s="30" t="str">
        <f>IF(OR(J1690&lt;&gt;"Karakter",pub_gid_0_single_true_output_csv[[#This Row],[Nilai2]]=""),"",IF(AF1690&gt;89,"Sangat baik",IF(AF1690&gt;79,"Baik",IF(AF1690&gt;69,"Cukup",IF(AF1690&gt;59,"Kurang","Sangat kurang")))))</f>
        <v/>
      </c>
      <c r="AJ1690" t="str">
        <f t="shared" si="80"/>
        <v>Wk.4</v>
      </c>
      <c r="AK1690" t="str">
        <f>IF(pub_gid_0_single_true_output_csv[[#This Row],[Nilai2]]="","",VLOOKUP(pub_gid_0_single_true_output_csv[[#This Row],[NAMA]],Table7[],3,FALSE))</f>
        <v>Average</v>
      </c>
    </row>
    <row r="1691" spans="1:37" x14ac:dyDescent="0.2">
      <c r="A1691">
        <v>1690</v>
      </c>
      <c r="B1691" t="s">
        <v>316</v>
      </c>
      <c r="C1691" t="s">
        <v>65</v>
      </c>
      <c r="D1691" t="s">
        <v>61</v>
      </c>
      <c r="E1691" t="s">
        <v>140</v>
      </c>
      <c r="F1691" s="25">
        <v>46050</v>
      </c>
      <c r="G1691" t="s">
        <v>308</v>
      </c>
      <c r="H1691" t="s">
        <v>405</v>
      </c>
      <c r="I1691" t="s">
        <v>371</v>
      </c>
      <c r="J1691" t="s">
        <v>41</v>
      </c>
      <c r="K1691" t="s">
        <v>511</v>
      </c>
      <c r="L1691" t="s">
        <v>322</v>
      </c>
      <c r="M1691" t="s">
        <v>141</v>
      </c>
      <c r="N1691" t="s">
        <v>142</v>
      </c>
      <c r="O1691" t="s">
        <v>327</v>
      </c>
      <c r="P1691" t="s">
        <v>281</v>
      </c>
      <c r="Q1691" t="s">
        <v>328</v>
      </c>
      <c r="R1691" t="s">
        <v>360</v>
      </c>
      <c r="S1691" t="s">
        <v>392</v>
      </c>
      <c r="T1691">
        <v>1</v>
      </c>
      <c r="U1691" t="s">
        <v>406</v>
      </c>
      <c r="V1691" t="s">
        <v>343</v>
      </c>
      <c r="W1691" t="s">
        <v>512</v>
      </c>
      <c r="X1691" t="s">
        <v>331</v>
      </c>
      <c r="Y1691" t="s">
        <v>307</v>
      </c>
      <c r="Z1691">
        <v>70</v>
      </c>
      <c r="AA1691">
        <v>70</v>
      </c>
      <c r="AB1691" t="s">
        <v>143</v>
      </c>
      <c r="AC1691" t="s">
        <v>145</v>
      </c>
      <c r="AD1691" t="s">
        <v>404</v>
      </c>
      <c r="AE1691" t="str">
        <f>IF(AF1691="","",VLOOKUP(AC1691,mapel!$A$2:$B$42,2,FALSE))</f>
        <v>A.Kristen</v>
      </c>
      <c r="AF1691">
        <f t="shared" si="78"/>
        <v>70</v>
      </c>
      <c r="AG1691" t="str">
        <f>IF(AF1691="","",IF(AF1691&gt;90,"Sangat baik",IF(AF1691&gt;79,"Baik",IF(AF1691&gt;=pub_gid_0_single_true_output_csv[[#This Row],[KKM]],"Cukup","Kurang"))))</f>
        <v>Cukup</v>
      </c>
      <c r="AH1691">
        <f t="shared" si="79"/>
        <v>12</v>
      </c>
      <c r="AI1691" s="30" t="str">
        <f>IF(OR(J1691&lt;&gt;"Karakter",pub_gid_0_single_true_output_csv[[#This Row],[Nilai2]]=""),"",IF(AF1691&gt;89,"Sangat baik",IF(AF1691&gt;79,"Baik",IF(AF1691&gt;69,"Cukup",IF(AF1691&gt;59,"Kurang","Sangat kurang")))))</f>
        <v/>
      </c>
      <c r="AJ1691" t="str">
        <f t="shared" si="80"/>
        <v>Wk.5</v>
      </c>
      <c r="AK1691" t="str">
        <f>IF(pub_gid_0_single_true_output_csv[[#This Row],[Nilai2]]="","",VLOOKUP(pub_gid_0_single_true_output_csv[[#This Row],[NAMA]],Table7[],3,FALSE))</f>
        <v>Average</v>
      </c>
    </row>
    <row r="1692" spans="1:37" x14ac:dyDescent="0.2">
      <c r="A1692">
        <v>1691</v>
      </c>
      <c r="B1692" t="s">
        <v>316</v>
      </c>
      <c r="C1692" t="s">
        <v>65</v>
      </c>
      <c r="D1692" t="s">
        <v>61</v>
      </c>
      <c r="E1692" t="s">
        <v>140</v>
      </c>
      <c r="F1692" s="25">
        <v>46057</v>
      </c>
      <c r="G1692" t="s">
        <v>348</v>
      </c>
      <c r="H1692" t="s">
        <v>412</v>
      </c>
      <c r="I1692" t="s">
        <v>371</v>
      </c>
      <c r="J1692" t="s">
        <v>36</v>
      </c>
      <c r="K1692" t="s">
        <v>37</v>
      </c>
      <c r="L1692" t="s">
        <v>322</v>
      </c>
      <c r="M1692" t="s">
        <v>141</v>
      </c>
      <c r="N1692" t="s">
        <v>142</v>
      </c>
      <c r="O1692" t="s">
        <v>327</v>
      </c>
      <c r="P1692" t="s">
        <v>281</v>
      </c>
      <c r="Q1692" t="s">
        <v>328</v>
      </c>
      <c r="R1692" t="s">
        <v>360</v>
      </c>
      <c r="S1692" t="s">
        <v>454</v>
      </c>
      <c r="T1692">
        <v>1</v>
      </c>
      <c r="U1692" t="s">
        <v>406</v>
      </c>
      <c r="V1692" t="s">
        <v>344</v>
      </c>
      <c r="W1692" t="s">
        <v>514</v>
      </c>
      <c r="X1692" t="s">
        <v>331</v>
      </c>
      <c r="Y1692" t="s">
        <v>307</v>
      </c>
      <c r="Z1692">
        <v>70</v>
      </c>
      <c r="AA1692">
        <v>70</v>
      </c>
      <c r="AB1692" t="s">
        <v>143</v>
      </c>
      <c r="AC1692" t="s">
        <v>145</v>
      </c>
      <c r="AD1692" t="s">
        <v>404</v>
      </c>
      <c r="AE1692" t="str">
        <f>IF(AF1692="","",VLOOKUP(AC1692,mapel!$A$2:$B$42,2,FALSE))</f>
        <v>A.Kristen</v>
      </c>
      <c r="AF1692">
        <f t="shared" si="78"/>
        <v>70</v>
      </c>
      <c r="AG1692" t="str">
        <f>IF(AF1692="","",IF(AF1692&gt;90,"Sangat baik",IF(AF1692&gt;79,"Baik",IF(AF1692&gt;=pub_gid_0_single_true_output_csv[[#This Row],[KKM]],"Cukup","Kurang"))))</f>
        <v>Cukup</v>
      </c>
      <c r="AH1692">
        <f t="shared" si="79"/>
        <v>12</v>
      </c>
      <c r="AI1692" s="30" t="str">
        <f>IF(OR(J1692&lt;&gt;"Karakter",pub_gid_0_single_true_output_csv[[#This Row],[Nilai2]]=""),"",IF(AF1692&gt;89,"Sangat baik",IF(AF1692&gt;79,"Baik",IF(AF1692&gt;69,"Cukup",IF(AF1692&gt;59,"Kurang","Sangat kurang")))))</f>
        <v/>
      </c>
      <c r="AJ1692" t="str">
        <f t="shared" si="80"/>
        <v>Wk.6</v>
      </c>
      <c r="AK1692" t="str">
        <f>IF(pub_gid_0_single_true_output_csv[[#This Row],[Nilai2]]="","",VLOOKUP(pub_gid_0_single_true_output_csv[[#This Row],[NAMA]],Table7[],3,FALSE))</f>
        <v>Average</v>
      </c>
    </row>
    <row r="1693" spans="1:37" x14ac:dyDescent="0.2">
      <c r="A1693">
        <v>1692</v>
      </c>
      <c r="B1693" t="s">
        <v>317</v>
      </c>
      <c r="C1693" t="s">
        <v>65</v>
      </c>
      <c r="D1693" t="s">
        <v>62</v>
      </c>
      <c r="E1693" t="s">
        <v>140</v>
      </c>
      <c r="F1693" s="25">
        <v>46036</v>
      </c>
      <c r="G1693" t="s">
        <v>353</v>
      </c>
      <c r="H1693" t="s">
        <v>405</v>
      </c>
      <c r="I1693" t="s">
        <v>371</v>
      </c>
      <c r="J1693" t="s">
        <v>36</v>
      </c>
      <c r="K1693" t="s">
        <v>37</v>
      </c>
      <c r="L1693" t="s">
        <v>322</v>
      </c>
      <c r="M1693" t="s">
        <v>141</v>
      </c>
      <c r="N1693" t="s">
        <v>142</v>
      </c>
      <c r="O1693" t="s">
        <v>327</v>
      </c>
      <c r="P1693" t="s">
        <v>281</v>
      </c>
      <c r="Q1693" t="s">
        <v>328</v>
      </c>
      <c r="R1693" t="s">
        <v>360</v>
      </c>
      <c r="S1693" t="s">
        <v>330</v>
      </c>
      <c r="T1693">
        <v>1</v>
      </c>
      <c r="U1693" t="s">
        <v>406</v>
      </c>
      <c r="V1693" t="s">
        <v>285</v>
      </c>
      <c r="W1693" t="s">
        <v>407</v>
      </c>
      <c r="X1693" t="s">
        <v>331</v>
      </c>
      <c r="Y1693" t="s">
        <v>307</v>
      </c>
      <c r="Z1693">
        <v>70</v>
      </c>
      <c r="AA1693">
        <v>70</v>
      </c>
      <c r="AB1693" t="s">
        <v>143</v>
      </c>
      <c r="AC1693" t="s">
        <v>145</v>
      </c>
      <c r="AD1693" t="s">
        <v>404</v>
      </c>
      <c r="AE1693" t="str">
        <f>IF(AF1693="","",VLOOKUP(AC1693,mapel!$A$2:$B$42,2,FALSE))</f>
        <v>A.Kristen</v>
      </c>
      <c r="AF1693">
        <f t="shared" si="78"/>
        <v>70</v>
      </c>
      <c r="AG1693" t="str">
        <f>IF(AF1693="","",IF(AF1693&gt;90,"Sangat baik",IF(AF1693&gt;79,"Baik",IF(AF1693&gt;=pub_gid_0_single_true_output_csv[[#This Row],[KKM]],"Cukup","Kurang"))))</f>
        <v>Cukup</v>
      </c>
      <c r="AH1693">
        <f t="shared" si="79"/>
        <v>12</v>
      </c>
      <c r="AI1693" s="30" t="str">
        <f>IF(OR(J1693&lt;&gt;"Karakter",pub_gid_0_single_true_output_csv[[#This Row],[Nilai2]]=""),"",IF(AF1693&gt;89,"Sangat baik",IF(AF1693&gt;79,"Baik",IF(AF1693&gt;69,"Cukup",IF(AF1693&gt;59,"Kurang","Sangat kurang")))))</f>
        <v/>
      </c>
      <c r="AJ1693" t="str">
        <f t="shared" si="80"/>
        <v>Wk.3</v>
      </c>
      <c r="AK1693" t="str">
        <f>IF(pub_gid_0_single_true_output_csv[[#This Row],[Nilai2]]="","",VLOOKUP(pub_gid_0_single_true_output_csv[[#This Row],[NAMA]],Table7[],3,FALSE))</f>
        <v>Borderline</v>
      </c>
    </row>
    <row r="1694" spans="1:37" x14ac:dyDescent="0.2">
      <c r="A1694">
        <v>1693</v>
      </c>
      <c r="B1694" t="s">
        <v>317</v>
      </c>
      <c r="C1694" t="s">
        <v>65</v>
      </c>
      <c r="D1694" t="s">
        <v>62</v>
      </c>
      <c r="E1694" t="s">
        <v>140</v>
      </c>
      <c r="F1694" s="25">
        <v>46043</v>
      </c>
      <c r="G1694" t="s">
        <v>341</v>
      </c>
      <c r="H1694" t="s">
        <v>405</v>
      </c>
      <c r="I1694" t="s">
        <v>371</v>
      </c>
      <c r="J1694" t="s">
        <v>36</v>
      </c>
      <c r="K1694" t="s">
        <v>37</v>
      </c>
      <c r="L1694" t="s">
        <v>322</v>
      </c>
      <c r="M1694" t="s">
        <v>141</v>
      </c>
      <c r="N1694" t="s">
        <v>142</v>
      </c>
      <c r="O1694" t="s">
        <v>327</v>
      </c>
      <c r="P1694" t="s">
        <v>281</v>
      </c>
      <c r="Q1694" t="s">
        <v>328</v>
      </c>
      <c r="R1694" t="s">
        <v>360</v>
      </c>
      <c r="S1694" t="s">
        <v>375</v>
      </c>
      <c r="T1694">
        <v>1</v>
      </c>
      <c r="U1694" t="s">
        <v>406</v>
      </c>
      <c r="V1694" t="s">
        <v>342</v>
      </c>
      <c r="W1694" t="s">
        <v>510</v>
      </c>
      <c r="X1694" t="s">
        <v>331</v>
      </c>
      <c r="Y1694" t="s">
        <v>307</v>
      </c>
      <c r="Z1694">
        <v>70</v>
      </c>
      <c r="AA1694">
        <v>70</v>
      </c>
      <c r="AB1694" t="s">
        <v>143</v>
      </c>
      <c r="AC1694" t="s">
        <v>145</v>
      </c>
      <c r="AD1694" t="s">
        <v>404</v>
      </c>
      <c r="AE1694" t="str">
        <f>IF(AF1694="","",VLOOKUP(AC1694,mapel!$A$2:$B$42,2,FALSE))</f>
        <v>A.Kristen</v>
      </c>
      <c r="AF1694">
        <f t="shared" si="78"/>
        <v>70</v>
      </c>
      <c r="AG1694" t="str">
        <f>IF(AF1694="","",IF(AF1694&gt;90,"Sangat baik",IF(AF1694&gt;79,"Baik",IF(AF1694&gt;=pub_gid_0_single_true_output_csv[[#This Row],[KKM]],"Cukup","Kurang"))))</f>
        <v>Cukup</v>
      </c>
      <c r="AH1694">
        <f t="shared" si="79"/>
        <v>12</v>
      </c>
      <c r="AI1694" s="30" t="str">
        <f>IF(OR(J1694&lt;&gt;"Karakter",pub_gid_0_single_true_output_csv[[#This Row],[Nilai2]]=""),"",IF(AF1694&gt;89,"Sangat baik",IF(AF1694&gt;79,"Baik",IF(AF1694&gt;69,"Cukup",IF(AF1694&gt;59,"Kurang","Sangat kurang")))))</f>
        <v/>
      </c>
      <c r="AJ1694" t="str">
        <f t="shared" si="80"/>
        <v>Wk.4</v>
      </c>
      <c r="AK1694" t="str">
        <f>IF(pub_gid_0_single_true_output_csv[[#This Row],[Nilai2]]="","",VLOOKUP(pub_gid_0_single_true_output_csv[[#This Row],[NAMA]],Table7[],3,FALSE))</f>
        <v>Borderline</v>
      </c>
    </row>
    <row r="1695" spans="1:37" x14ac:dyDescent="0.2">
      <c r="A1695">
        <v>1694</v>
      </c>
      <c r="B1695" t="s">
        <v>317</v>
      </c>
      <c r="C1695" t="s">
        <v>65</v>
      </c>
      <c r="D1695" t="s">
        <v>62</v>
      </c>
      <c r="E1695" t="s">
        <v>140</v>
      </c>
      <c r="F1695" s="25">
        <v>46050</v>
      </c>
      <c r="G1695" t="s">
        <v>308</v>
      </c>
      <c r="H1695" t="s">
        <v>405</v>
      </c>
      <c r="I1695" t="s">
        <v>371</v>
      </c>
      <c r="J1695" t="s">
        <v>41</v>
      </c>
      <c r="K1695" t="s">
        <v>511</v>
      </c>
      <c r="L1695" t="s">
        <v>322</v>
      </c>
      <c r="M1695" t="s">
        <v>141</v>
      </c>
      <c r="N1695" t="s">
        <v>142</v>
      </c>
      <c r="O1695" t="s">
        <v>327</v>
      </c>
      <c r="P1695" t="s">
        <v>281</v>
      </c>
      <c r="Q1695" t="s">
        <v>328</v>
      </c>
      <c r="R1695" t="s">
        <v>360</v>
      </c>
      <c r="S1695" t="s">
        <v>392</v>
      </c>
      <c r="T1695">
        <v>1</v>
      </c>
      <c r="U1695" t="s">
        <v>406</v>
      </c>
      <c r="V1695" t="s">
        <v>343</v>
      </c>
      <c r="W1695" t="s">
        <v>512</v>
      </c>
      <c r="X1695" t="s">
        <v>331</v>
      </c>
      <c r="Y1695" t="s">
        <v>307</v>
      </c>
      <c r="Z1695">
        <v>70</v>
      </c>
      <c r="AA1695">
        <v>70</v>
      </c>
      <c r="AB1695" t="s">
        <v>143</v>
      </c>
      <c r="AC1695" t="s">
        <v>145</v>
      </c>
      <c r="AD1695" t="s">
        <v>404</v>
      </c>
      <c r="AE1695" t="str">
        <f>IF(AF1695="","",VLOOKUP(AC1695,mapel!$A$2:$B$42,2,FALSE))</f>
        <v>A.Kristen</v>
      </c>
      <c r="AF1695">
        <f t="shared" si="78"/>
        <v>70</v>
      </c>
      <c r="AG1695" t="str">
        <f>IF(AF1695="","",IF(AF1695&gt;90,"Sangat baik",IF(AF1695&gt;79,"Baik",IF(AF1695&gt;=pub_gid_0_single_true_output_csv[[#This Row],[KKM]],"Cukup","Kurang"))))</f>
        <v>Cukup</v>
      </c>
      <c r="AH1695">
        <f t="shared" si="79"/>
        <v>12</v>
      </c>
      <c r="AI1695" s="30" t="str">
        <f>IF(OR(J1695&lt;&gt;"Karakter",pub_gid_0_single_true_output_csv[[#This Row],[Nilai2]]=""),"",IF(AF1695&gt;89,"Sangat baik",IF(AF1695&gt;79,"Baik",IF(AF1695&gt;69,"Cukup",IF(AF1695&gt;59,"Kurang","Sangat kurang")))))</f>
        <v/>
      </c>
      <c r="AJ1695" t="str">
        <f t="shared" si="80"/>
        <v>Wk.5</v>
      </c>
      <c r="AK1695" t="str">
        <f>IF(pub_gid_0_single_true_output_csv[[#This Row],[Nilai2]]="","",VLOOKUP(pub_gid_0_single_true_output_csv[[#This Row],[NAMA]],Table7[],3,FALSE))</f>
        <v>Borderline</v>
      </c>
    </row>
    <row r="1696" spans="1:37" x14ac:dyDescent="0.2">
      <c r="A1696">
        <v>1695</v>
      </c>
      <c r="B1696" t="s">
        <v>317</v>
      </c>
      <c r="C1696" t="s">
        <v>65</v>
      </c>
      <c r="D1696" t="s">
        <v>62</v>
      </c>
      <c r="E1696" t="s">
        <v>140</v>
      </c>
      <c r="F1696" s="25">
        <v>46057</v>
      </c>
      <c r="G1696" t="s">
        <v>348</v>
      </c>
      <c r="H1696" t="s">
        <v>412</v>
      </c>
      <c r="I1696" t="s">
        <v>371</v>
      </c>
      <c r="J1696" t="s">
        <v>36</v>
      </c>
      <c r="K1696" t="s">
        <v>37</v>
      </c>
      <c r="L1696" t="s">
        <v>322</v>
      </c>
      <c r="M1696" t="s">
        <v>141</v>
      </c>
      <c r="N1696" t="s">
        <v>142</v>
      </c>
      <c r="O1696" t="s">
        <v>327</v>
      </c>
      <c r="P1696" t="s">
        <v>281</v>
      </c>
      <c r="Q1696" t="s">
        <v>328</v>
      </c>
      <c r="R1696" t="s">
        <v>360</v>
      </c>
      <c r="S1696" t="s">
        <v>454</v>
      </c>
      <c r="T1696">
        <v>1</v>
      </c>
      <c r="U1696" t="s">
        <v>406</v>
      </c>
      <c r="V1696" t="s">
        <v>344</v>
      </c>
      <c r="W1696" t="s">
        <v>514</v>
      </c>
      <c r="X1696" t="s">
        <v>331</v>
      </c>
      <c r="Y1696" t="s">
        <v>307</v>
      </c>
      <c r="Z1696">
        <v>70</v>
      </c>
      <c r="AA1696">
        <v>70</v>
      </c>
      <c r="AB1696" t="s">
        <v>143</v>
      </c>
      <c r="AC1696" t="s">
        <v>145</v>
      </c>
      <c r="AD1696" t="s">
        <v>404</v>
      </c>
      <c r="AE1696" t="str">
        <f>IF(AF1696="","",VLOOKUP(AC1696,mapel!$A$2:$B$42,2,FALSE))</f>
        <v>A.Kristen</v>
      </c>
      <c r="AF1696">
        <f t="shared" si="78"/>
        <v>70</v>
      </c>
      <c r="AG1696" t="str">
        <f>IF(AF1696="","",IF(AF1696&gt;90,"Sangat baik",IF(AF1696&gt;79,"Baik",IF(AF1696&gt;=pub_gid_0_single_true_output_csv[[#This Row],[KKM]],"Cukup","Kurang"))))</f>
        <v>Cukup</v>
      </c>
      <c r="AH1696">
        <f t="shared" si="79"/>
        <v>12</v>
      </c>
      <c r="AI1696" s="30" t="str">
        <f>IF(OR(J1696&lt;&gt;"Karakter",pub_gid_0_single_true_output_csv[[#This Row],[Nilai2]]=""),"",IF(AF1696&gt;89,"Sangat baik",IF(AF1696&gt;79,"Baik",IF(AF1696&gt;69,"Cukup",IF(AF1696&gt;59,"Kurang","Sangat kurang")))))</f>
        <v/>
      </c>
      <c r="AJ1696" t="str">
        <f t="shared" si="80"/>
        <v>Wk.6</v>
      </c>
      <c r="AK1696" t="str">
        <f>IF(pub_gid_0_single_true_output_csv[[#This Row],[Nilai2]]="","",VLOOKUP(pub_gid_0_single_true_output_csv[[#This Row],[NAMA]],Table7[],3,FALSE))</f>
        <v>Borderline</v>
      </c>
    </row>
    <row r="1697" spans="1:37" x14ac:dyDescent="0.2">
      <c r="A1697">
        <v>1696</v>
      </c>
      <c r="B1697" t="s">
        <v>318</v>
      </c>
      <c r="C1697" t="s">
        <v>65</v>
      </c>
      <c r="D1697" t="s">
        <v>63</v>
      </c>
      <c r="E1697" t="s">
        <v>140</v>
      </c>
      <c r="F1697" s="25">
        <v>46036</v>
      </c>
      <c r="G1697" t="s">
        <v>353</v>
      </c>
      <c r="H1697" t="s">
        <v>405</v>
      </c>
      <c r="I1697" t="s">
        <v>371</v>
      </c>
      <c r="J1697" t="s">
        <v>36</v>
      </c>
      <c r="K1697" t="s">
        <v>37</v>
      </c>
      <c r="L1697" t="s">
        <v>322</v>
      </c>
      <c r="M1697" t="s">
        <v>141</v>
      </c>
      <c r="N1697" t="s">
        <v>142</v>
      </c>
      <c r="O1697" t="s">
        <v>327</v>
      </c>
      <c r="P1697" t="s">
        <v>281</v>
      </c>
      <c r="Q1697" t="s">
        <v>328</v>
      </c>
      <c r="R1697" t="s">
        <v>360</v>
      </c>
      <c r="S1697" t="s">
        <v>330</v>
      </c>
      <c r="T1697">
        <v>1</v>
      </c>
      <c r="U1697" t="s">
        <v>406</v>
      </c>
      <c r="V1697" t="s">
        <v>285</v>
      </c>
      <c r="W1697" t="s">
        <v>407</v>
      </c>
      <c r="X1697" t="s">
        <v>331</v>
      </c>
      <c r="Y1697" t="s">
        <v>307</v>
      </c>
      <c r="Z1697">
        <v>70</v>
      </c>
      <c r="AA1697">
        <v>72</v>
      </c>
      <c r="AB1697" t="s">
        <v>143</v>
      </c>
      <c r="AC1697" t="s">
        <v>145</v>
      </c>
      <c r="AD1697" t="s">
        <v>404</v>
      </c>
      <c r="AE1697" t="str">
        <f>IF(AF1697="","",VLOOKUP(AC1697,mapel!$A$2:$B$42,2,FALSE))</f>
        <v>A.Kristen</v>
      </c>
      <c r="AF1697">
        <f t="shared" si="78"/>
        <v>72</v>
      </c>
      <c r="AG1697" t="str">
        <f>IF(AF1697="","",IF(AF1697&gt;90,"Sangat baik",IF(AF1697&gt;79,"Baik",IF(AF1697&gt;=pub_gid_0_single_true_output_csv[[#This Row],[KKM]],"Cukup","Kurang"))))</f>
        <v>Cukup</v>
      </c>
      <c r="AH1697">
        <f t="shared" si="79"/>
        <v>12</v>
      </c>
      <c r="AI1697" s="30" t="str">
        <f>IF(OR(J1697&lt;&gt;"Karakter",pub_gid_0_single_true_output_csv[[#This Row],[Nilai2]]=""),"",IF(AF1697&gt;89,"Sangat baik",IF(AF1697&gt;79,"Baik",IF(AF1697&gt;69,"Cukup",IF(AF1697&gt;59,"Kurang","Sangat kurang")))))</f>
        <v/>
      </c>
      <c r="AJ1697" t="str">
        <f t="shared" si="80"/>
        <v>Wk.3</v>
      </c>
      <c r="AK1697" t="str">
        <f>IF(pub_gid_0_single_true_output_csv[[#This Row],[Nilai2]]="","",VLOOKUP(pub_gid_0_single_true_output_csv[[#This Row],[NAMA]],Table7[],3,FALSE))</f>
        <v>Average</v>
      </c>
    </row>
    <row r="1698" spans="1:37" x14ac:dyDescent="0.2">
      <c r="A1698">
        <v>1697</v>
      </c>
      <c r="B1698" t="s">
        <v>318</v>
      </c>
      <c r="C1698" t="s">
        <v>65</v>
      </c>
      <c r="D1698" t="s">
        <v>63</v>
      </c>
      <c r="E1698" t="s">
        <v>140</v>
      </c>
      <c r="F1698" s="25">
        <v>46043</v>
      </c>
      <c r="G1698" t="s">
        <v>341</v>
      </c>
      <c r="H1698" t="s">
        <v>405</v>
      </c>
      <c r="I1698" t="s">
        <v>371</v>
      </c>
      <c r="J1698" t="s">
        <v>36</v>
      </c>
      <c r="K1698" t="s">
        <v>37</v>
      </c>
      <c r="L1698" t="s">
        <v>322</v>
      </c>
      <c r="M1698" t="s">
        <v>141</v>
      </c>
      <c r="N1698" t="s">
        <v>142</v>
      </c>
      <c r="O1698" t="s">
        <v>327</v>
      </c>
      <c r="P1698" t="s">
        <v>281</v>
      </c>
      <c r="Q1698" t="s">
        <v>328</v>
      </c>
      <c r="R1698" t="s">
        <v>360</v>
      </c>
      <c r="S1698" t="s">
        <v>375</v>
      </c>
      <c r="T1698">
        <v>1</v>
      </c>
      <c r="U1698" t="s">
        <v>406</v>
      </c>
      <c r="V1698" t="s">
        <v>342</v>
      </c>
      <c r="W1698" t="s">
        <v>510</v>
      </c>
      <c r="X1698" t="s">
        <v>331</v>
      </c>
      <c r="Y1698" t="s">
        <v>307</v>
      </c>
      <c r="Z1698">
        <v>70</v>
      </c>
      <c r="AA1698">
        <v>71</v>
      </c>
      <c r="AB1698" t="s">
        <v>143</v>
      </c>
      <c r="AC1698" t="s">
        <v>145</v>
      </c>
      <c r="AD1698" t="s">
        <v>404</v>
      </c>
      <c r="AE1698" t="str">
        <f>IF(AF1698="","",VLOOKUP(AC1698,mapel!$A$2:$B$42,2,FALSE))</f>
        <v>A.Kristen</v>
      </c>
      <c r="AF1698">
        <f t="shared" si="78"/>
        <v>71</v>
      </c>
      <c r="AG1698" t="str">
        <f>IF(AF1698="","",IF(AF1698&gt;90,"Sangat baik",IF(AF1698&gt;79,"Baik",IF(AF1698&gt;=pub_gid_0_single_true_output_csv[[#This Row],[KKM]],"Cukup","Kurang"))))</f>
        <v>Cukup</v>
      </c>
      <c r="AH1698">
        <f t="shared" si="79"/>
        <v>12</v>
      </c>
      <c r="AI1698" s="30" t="str">
        <f>IF(OR(J1698&lt;&gt;"Karakter",pub_gid_0_single_true_output_csv[[#This Row],[Nilai2]]=""),"",IF(AF1698&gt;89,"Sangat baik",IF(AF1698&gt;79,"Baik",IF(AF1698&gt;69,"Cukup",IF(AF1698&gt;59,"Kurang","Sangat kurang")))))</f>
        <v/>
      </c>
      <c r="AJ1698" t="str">
        <f t="shared" si="80"/>
        <v>Wk.4</v>
      </c>
      <c r="AK1698" t="str">
        <f>IF(pub_gid_0_single_true_output_csv[[#This Row],[Nilai2]]="","",VLOOKUP(pub_gid_0_single_true_output_csv[[#This Row],[NAMA]],Table7[],3,FALSE))</f>
        <v>Average</v>
      </c>
    </row>
    <row r="1699" spans="1:37" x14ac:dyDescent="0.2">
      <c r="A1699">
        <v>1698</v>
      </c>
      <c r="B1699" t="s">
        <v>318</v>
      </c>
      <c r="C1699" t="s">
        <v>65</v>
      </c>
      <c r="D1699" t="s">
        <v>63</v>
      </c>
      <c r="E1699" t="s">
        <v>140</v>
      </c>
      <c r="F1699" s="25">
        <v>46050</v>
      </c>
      <c r="G1699" t="s">
        <v>308</v>
      </c>
      <c r="H1699" t="s">
        <v>405</v>
      </c>
      <c r="I1699" t="s">
        <v>371</v>
      </c>
      <c r="J1699" t="s">
        <v>41</v>
      </c>
      <c r="K1699" t="s">
        <v>511</v>
      </c>
      <c r="L1699" t="s">
        <v>322</v>
      </c>
      <c r="M1699" t="s">
        <v>141</v>
      </c>
      <c r="N1699" t="s">
        <v>142</v>
      </c>
      <c r="O1699" t="s">
        <v>327</v>
      </c>
      <c r="P1699" t="s">
        <v>281</v>
      </c>
      <c r="Q1699" t="s">
        <v>328</v>
      </c>
      <c r="R1699" t="s">
        <v>360</v>
      </c>
      <c r="S1699" t="s">
        <v>392</v>
      </c>
      <c r="T1699">
        <v>1</v>
      </c>
      <c r="U1699" t="s">
        <v>406</v>
      </c>
      <c r="V1699" t="s">
        <v>343</v>
      </c>
      <c r="W1699" t="s">
        <v>512</v>
      </c>
      <c r="X1699" t="s">
        <v>331</v>
      </c>
      <c r="Y1699" t="s">
        <v>307</v>
      </c>
      <c r="Z1699">
        <v>70</v>
      </c>
      <c r="AA1699">
        <v>71</v>
      </c>
      <c r="AB1699" t="s">
        <v>143</v>
      </c>
      <c r="AC1699" t="s">
        <v>145</v>
      </c>
      <c r="AD1699" t="s">
        <v>404</v>
      </c>
      <c r="AE1699" t="str">
        <f>IF(AF1699="","",VLOOKUP(AC1699,mapel!$A$2:$B$42,2,FALSE))</f>
        <v>A.Kristen</v>
      </c>
      <c r="AF1699">
        <f t="shared" si="78"/>
        <v>71</v>
      </c>
      <c r="AG1699" t="str">
        <f>IF(AF1699="","",IF(AF1699&gt;90,"Sangat baik",IF(AF1699&gt;79,"Baik",IF(AF1699&gt;=pub_gid_0_single_true_output_csv[[#This Row],[KKM]],"Cukup","Kurang"))))</f>
        <v>Cukup</v>
      </c>
      <c r="AH1699">
        <f t="shared" si="79"/>
        <v>12</v>
      </c>
      <c r="AI1699" s="30" t="str">
        <f>IF(OR(J1699&lt;&gt;"Karakter",pub_gid_0_single_true_output_csv[[#This Row],[Nilai2]]=""),"",IF(AF1699&gt;89,"Sangat baik",IF(AF1699&gt;79,"Baik",IF(AF1699&gt;69,"Cukup",IF(AF1699&gt;59,"Kurang","Sangat kurang")))))</f>
        <v/>
      </c>
      <c r="AJ1699" t="str">
        <f t="shared" si="80"/>
        <v>Wk.5</v>
      </c>
      <c r="AK1699" t="str">
        <f>IF(pub_gid_0_single_true_output_csv[[#This Row],[Nilai2]]="","",VLOOKUP(pub_gid_0_single_true_output_csv[[#This Row],[NAMA]],Table7[],3,FALSE))</f>
        <v>Average</v>
      </c>
    </row>
    <row r="1700" spans="1:37" x14ac:dyDescent="0.2">
      <c r="A1700">
        <v>1699</v>
      </c>
      <c r="B1700" t="s">
        <v>318</v>
      </c>
      <c r="C1700" t="s">
        <v>65</v>
      </c>
      <c r="D1700" t="s">
        <v>63</v>
      </c>
      <c r="E1700" t="s">
        <v>140</v>
      </c>
      <c r="F1700" s="25">
        <v>46057</v>
      </c>
      <c r="G1700" t="s">
        <v>348</v>
      </c>
      <c r="H1700" t="s">
        <v>412</v>
      </c>
      <c r="I1700" t="s">
        <v>371</v>
      </c>
      <c r="J1700" t="s">
        <v>36</v>
      </c>
      <c r="K1700" t="s">
        <v>37</v>
      </c>
      <c r="L1700" t="s">
        <v>322</v>
      </c>
      <c r="M1700" t="s">
        <v>141</v>
      </c>
      <c r="N1700" t="s">
        <v>142</v>
      </c>
      <c r="O1700" t="s">
        <v>327</v>
      </c>
      <c r="P1700" t="s">
        <v>281</v>
      </c>
      <c r="Q1700" t="s">
        <v>328</v>
      </c>
      <c r="R1700" t="s">
        <v>360</v>
      </c>
      <c r="S1700" t="s">
        <v>454</v>
      </c>
      <c r="T1700">
        <v>1</v>
      </c>
      <c r="U1700" t="s">
        <v>406</v>
      </c>
      <c r="V1700" t="s">
        <v>344</v>
      </c>
      <c r="W1700" t="s">
        <v>514</v>
      </c>
      <c r="X1700" t="s">
        <v>331</v>
      </c>
      <c r="Y1700" t="s">
        <v>307</v>
      </c>
      <c r="Z1700">
        <v>70</v>
      </c>
      <c r="AA1700">
        <v>70</v>
      </c>
      <c r="AB1700" t="s">
        <v>143</v>
      </c>
      <c r="AC1700" t="s">
        <v>145</v>
      </c>
      <c r="AD1700" t="s">
        <v>404</v>
      </c>
      <c r="AE1700" t="str">
        <f>IF(AF1700="","",VLOOKUP(AC1700,mapel!$A$2:$B$42,2,FALSE))</f>
        <v>A.Kristen</v>
      </c>
      <c r="AF1700">
        <f t="shared" si="78"/>
        <v>70</v>
      </c>
      <c r="AG1700" t="str">
        <f>IF(AF1700="","",IF(AF1700&gt;90,"Sangat baik",IF(AF1700&gt;79,"Baik",IF(AF1700&gt;=pub_gid_0_single_true_output_csv[[#This Row],[KKM]],"Cukup","Kurang"))))</f>
        <v>Cukup</v>
      </c>
      <c r="AH1700">
        <f t="shared" si="79"/>
        <v>12</v>
      </c>
      <c r="AI1700" s="30" t="str">
        <f>IF(OR(J1700&lt;&gt;"Karakter",pub_gid_0_single_true_output_csv[[#This Row],[Nilai2]]=""),"",IF(AF1700&gt;89,"Sangat baik",IF(AF1700&gt;79,"Baik",IF(AF1700&gt;69,"Cukup",IF(AF1700&gt;59,"Kurang","Sangat kurang")))))</f>
        <v/>
      </c>
      <c r="AJ1700" t="str">
        <f t="shared" si="80"/>
        <v>Wk.6</v>
      </c>
      <c r="AK1700" t="str">
        <f>IF(pub_gid_0_single_true_output_csv[[#This Row],[Nilai2]]="","",VLOOKUP(pub_gid_0_single_true_output_csv[[#This Row],[NAMA]],Table7[],3,FALSE))</f>
        <v>Average</v>
      </c>
    </row>
    <row r="1701" spans="1:37" x14ac:dyDescent="0.2">
      <c r="A1701">
        <v>1700</v>
      </c>
      <c r="B1701" t="s">
        <v>311</v>
      </c>
      <c r="C1701" t="s">
        <v>65</v>
      </c>
      <c r="D1701" t="s">
        <v>55</v>
      </c>
      <c r="E1701" t="s">
        <v>146</v>
      </c>
      <c r="F1701" s="25">
        <v>46048</v>
      </c>
      <c r="G1701" t="s">
        <v>371</v>
      </c>
      <c r="H1701" t="s">
        <v>405</v>
      </c>
      <c r="I1701" t="s">
        <v>371</v>
      </c>
      <c r="J1701" t="s">
        <v>36</v>
      </c>
      <c r="K1701" t="s">
        <v>361</v>
      </c>
      <c r="L1701" t="s">
        <v>319</v>
      </c>
      <c r="M1701" t="s">
        <v>141</v>
      </c>
      <c r="N1701" t="s">
        <v>142</v>
      </c>
      <c r="O1701" t="s">
        <v>327</v>
      </c>
      <c r="P1701" t="s">
        <v>281</v>
      </c>
      <c r="Q1701" t="s">
        <v>328</v>
      </c>
      <c r="R1701" t="s">
        <v>350</v>
      </c>
      <c r="S1701" t="s">
        <v>477</v>
      </c>
      <c r="T1701">
        <v>5</v>
      </c>
      <c r="U1701" t="s">
        <v>478</v>
      </c>
      <c r="V1701" t="s">
        <v>479</v>
      </c>
      <c r="W1701" t="s">
        <v>480</v>
      </c>
      <c r="X1701" t="s">
        <v>331</v>
      </c>
      <c r="Y1701" t="s">
        <v>307</v>
      </c>
      <c r="Z1701">
        <v>70</v>
      </c>
      <c r="AA1701">
        <v>80</v>
      </c>
      <c r="AB1701" t="s">
        <v>143</v>
      </c>
      <c r="AC1701" t="s">
        <v>149</v>
      </c>
      <c r="AD1701" t="s">
        <v>509</v>
      </c>
      <c r="AE1701" t="str">
        <f>IF(AF1701="","",VLOOKUP(AC1701,mapel!$A$2:$B$42,2,FALSE))</f>
        <v>B.Indo</v>
      </c>
      <c r="AF1701">
        <f t="shared" si="78"/>
        <v>80</v>
      </c>
      <c r="AG1701" t="str">
        <f>IF(AF1701="","",IF(AF1701&gt;90,"Sangat baik",IF(AF1701&gt;79,"Baik",IF(AF1701&gt;=pub_gid_0_single_true_output_csv[[#This Row],[KKM]],"Cukup","Kurang"))))</f>
        <v>Baik</v>
      </c>
      <c r="AH1701">
        <f t="shared" si="79"/>
        <v>12</v>
      </c>
      <c r="AI1701" s="30" t="str">
        <f>IF(OR(J1701&lt;&gt;"Karakter",pub_gid_0_single_true_output_csv[[#This Row],[Nilai2]]=""),"",IF(AF1701&gt;89,"Sangat baik",IF(AF1701&gt;79,"Baik",IF(AF1701&gt;69,"Cukup",IF(AF1701&gt;59,"Kurang","Sangat kurang")))))</f>
        <v/>
      </c>
      <c r="AJ1701" t="str">
        <f t="shared" si="80"/>
        <v>Wk.5</v>
      </c>
      <c r="AK1701" t="str">
        <f>IF(pub_gid_0_single_true_output_csv[[#This Row],[Nilai2]]="","",VLOOKUP(pub_gid_0_single_true_output_csv[[#This Row],[NAMA]],Table7[],3,FALSE))</f>
        <v>Average</v>
      </c>
    </row>
    <row r="1702" spans="1:37" x14ac:dyDescent="0.2">
      <c r="A1702">
        <v>1701</v>
      </c>
      <c r="B1702" t="s">
        <v>311</v>
      </c>
      <c r="C1702" t="s">
        <v>65</v>
      </c>
      <c r="D1702" t="s">
        <v>55</v>
      </c>
      <c r="E1702" t="s">
        <v>146</v>
      </c>
      <c r="F1702" s="25">
        <v>46052</v>
      </c>
      <c r="G1702" t="s">
        <v>304</v>
      </c>
      <c r="H1702" t="s">
        <v>405</v>
      </c>
      <c r="I1702" t="s">
        <v>371</v>
      </c>
      <c r="J1702" t="s">
        <v>31</v>
      </c>
      <c r="K1702" t="s">
        <v>32</v>
      </c>
      <c r="L1702" t="s">
        <v>351</v>
      </c>
      <c r="M1702" t="s">
        <v>141</v>
      </c>
      <c r="N1702" t="s">
        <v>142</v>
      </c>
      <c r="O1702" t="s">
        <v>327</v>
      </c>
      <c r="P1702" t="s">
        <v>281</v>
      </c>
      <c r="Q1702" t="s">
        <v>328</v>
      </c>
      <c r="R1702" t="s">
        <v>350</v>
      </c>
      <c r="S1702" t="s">
        <v>477</v>
      </c>
      <c r="T1702">
        <v>5</v>
      </c>
      <c r="U1702" t="s">
        <v>478</v>
      </c>
      <c r="V1702" t="s">
        <v>479</v>
      </c>
      <c r="W1702" t="s">
        <v>480</v>
      </c>
      <c r="X1702" t="s">
        <v>331</v>
      </c>
      <c r="Y1702" t="s">
        <v>307</v>
      </c>
      <c r="Z1702">
        <v>70</v>
      </c>
      <c r="AA1702">
        <v>75</v>
      </c>
      <c r="AB1702" t="s">
        <v>143</v>
      </c>
      <c r="AC1702" t="s">
        <v>149</v>
      </c>
      <c r="AD1702" t="s">
        <v>509</v>
      </c>
      <c r="AE1702" t="str">
        <f>IF(AF1702="","",VLOOKUP(AC1702,mapel!$A$2:$B$42,2,FALSE))</f>
        <v>B.Indo</v>
      </c>
      <c r="AF1702">
        <f t="shared" si="78"/>
        <v>75</v>
      </c>
      <c r="AG1702" t="str">
        <f>IF(AF1702="","",IF(AF1702&gt;90,"Sangat baik",IF(AF1702&gt;79,"Baik",IF(AF1702&gt;=pub_gid_0_single_true_output_csv[[#This Row],[KKM]],"Cukup","Kurang"))))</f>
        <v>Cukup</v>
      </c>
      <c r="AH1702">
        <f t="shared" si="79"/>
        <v>12</v>
      </c>
      <c r="AI1702" s="30" t="str">
        <f>IF(OR(J1702&lt;&gt;"Karakter",pub_gid_0_single_true_output_csv[[#This Row],[Nilai2]]=""),"",IF(AF1702&gt;89,"Sangat baik",IF(AF1702&gt;79,"Baik",IF(AF1702&gt;69,"Cukup",IF(AF1702&gt;59,"Kurang","Sangat kurang")))))</f>
        <v/>
      </c>
      <c r="AJ1702" t="str">
        <f t="shared" si="80"/>
        <v>Wk.5</v>
      </c>
      <c r="AK1702" t="str">
        <f>IF(pub_gid_0_single_true_output_csv[[#This Row],[Nilai2]]="","",VLOOKUP(pub_gid_0_single_true_output_csv[[#This Row],[NAMA]],Table7[],3,FALSE))</f>
        <v>Average</v>
      </c>
    </row>
    <row r="1703" spans="1:37" x14ac:dyDescent="0.2">
      <c r="A1703">
        <v>1702</v>
      </c>
      <c r="B1703" t="s">
        <v>311</v>
      </c>
      <c r="C1703" t="s">
        <v>65</v>
      </c>
      <c r="D1703" t="s">
        <v>55</v>
      </c>
      <c r="E1703" t="s">
        <v>146</v>
      </c>
      <c r="F1703" s="25">
        <v>46055</v>
      </c>
      <c r="G1703" t="s">
        <v>379</v>
      </c>
      <c r="H1703" t="s">
        <v>412</v>
      </c>
      <c r="I1703" t="s">
        <v>371</v>
      </c>
      <c r="J1703" t="s">
        <v>90</v>
      </c>
      <c r="K1703" t="s">
        <v>92</v>
      </c>
      <c r="L1703" t="s">
        <v>93</v>
      </c>
      <c r="M1703" t="s">
        <v>141</v>
      </c>
      <c r="N1703" t="s">
        <v>142</v>
      </c>
      <c r="O1703" t="s">
        <v>327</v>
      </c>
      <c r="P1703" t="s">
        <v>281</v>
      </c>
      <c r="Q1703" t="s">
        <v>328</v>
      </c>
      <c r="R1703" t="s">
        <v>350</v>
      </c>
      <c r="S1703" t="s">
        <v>477</v>
      </c>
      <c r="T1703">
        <v>5</v>
      </c>
      <c r="U1703" t="s">
        <v>478</v>
      </c>
      <c r="V1703" t="s">
        <v>479</v>
      </c>
      <c r="W1703" t="s">
        <v>480</v>
      </c>
      <c r="X1703" t="s">
        <v>331</v>
      </c>
      <c r="Y1703" t="s">
        <v>307</v>
      </c>
      <c r="Z1703">
        <v>70</v>
      </c>
      <c r="AA1703">
        <v>80</v>
      </c>
      <c r="AB1703" t="s">
        <v>143</v>
      </c>
      <c r="AC1703" t="s">
        <v>149</v>
      </c>
      <c r="AD1703" t="s">
        <v>509</v>
      </c>
      <c r="AE1703" t="str">
        <f>IF(AF1703="","",VLOOKUP(AC1703,mapel!$A$2:$B$42,2,FALSE))</f>
        <v>B.Indo</v>
      </c>
      <c r="AF1703">
        <f t="shared" si="78"/>
        <v>80</v>
      </c>
      <c r="AG1703" t="str">
        <f>IF(AF1703="","",IF(AF1703&gt;90,"Sangat baik",IF(AF1703&gt;79,"Baik",IF(AF1703&gt;=pub_gid_0_single_true_output_csv[[#This Row],[KKM]],"Cukup","Kurang"))))</f>
        <v>Baik</v>
      </c>
      <c r="AH1703">
        <f t="shared" si="79"/>
        <v>12</v>
      </c>
      <c r="AI1703" s="30" t="str">
        <f>IF(OR(J1703&lt;&gt;"Karakter",pub_gid_0_single_true_output_csv[[#This Row],[Nilai2]]=""),"",IF(AF1703&gt;89,"Sangat baik",IF(AF1703&gt;79,"Baik",IF(AF1703&gt;69,"Cukup",IF(AF1703&gt;59,"Kurang","Sangat kurang")))))</f>
        <v>Baik</v>
      </c>
      <c r="AJ1703" t="str">
        <f t="shared" si="80"/>
        <v>Wk.6</v>
      </c>
      <c r="AK1703" t="str">
        <f>IF(pub_gid_0_single_true_output_csv[[#This Row],[Nilai2]]="","",VLOOKUP(pub_gid_0_single_true_output_csv[[#This Row],[NAMA]],Table7[],3,FALSE))</f>
        <v>Average</v>
      </c>
    </row>
    <row r="1704" spans="1:37" x14ac:dyDescent="0.2">
      <c r="A1704">
        <v>1703</v>
      </c>
      <c r="B1704" t="s">
        <v>311</v>
      </c>
      <c r="C1704" t="s">
        <v>65</v>
      </c>
      <c r="D1704" t="s">
        <v>55</v>
      </c>
      <c r="E1704" t="s">
        <v>146</v>
      </c>
      <c r="F1704" s="25">
        <v>46062</v>
      </c>
      <c r="G1704" t="s">
        <v>376</v>
      </c>
      <c r="H1704" t="s">
        <v>412</v>
      </c>
      <c r="I1704" t="s">
        <v>371</v>
      </c>
      <c r="J1704" t="s">
        <v>36</v>
      </c>
      <c r="K1704" t="s">
        <v>362</v>
      </c>
      <c r="L1704" t="s">
        <v>363</v>
      </c>
      <c r="M1704" t="s">
        <v>141</v>
      </c>
      <c r="N1704" t="s">
        <v>142</v>
      </c>
      <c r="O1704" t="s">
        <v>327</v>
      </c>
      <c r="P1704" t="s">
        <v>281</v>
      </c>
      <c r="Q1704" t="s">
        <v>328</v>
      </c>
      <c r="R1704" t="s">
        <v>350</v>
      </c>
      <c r="S1704" t="s">
        <v>477</v>
      </c>
      <c r="T1704">
        <v>5</v>
      </c>
      <c r="U1704" t="s">
        <v>478</v>
      </c>
      <c r="V1704" t="s">
        <v>479</v>
      </c>
      <c r="W1704" t="s">
        <v>480</v>
      </c>
      <c r="X1704" t="s">
        <v>331</v>
      </c>
      <c r="Y1704" t="s">
        <v>307</v>
      </c>
      <c r="Z1704">
        <v>70</v>
      </c>
      <c r="AA1704">
        <v>80</v>
      </c>
      <c r="AB1704" t="s">
        <v>143</v>
      </c>
      <c r="AC1704" t="s">
        <v>149</v>
      </c>
      <c r="AD1704" t="s">
        <v>509</v>
      </c>
      <c r="AE1704" t="str">
        <f>IF(AF1704="","",VLOOKUP(AC1704,mapel!$A$2:$B$42,2,FALSE))</f>
        <v>B.Indo</v>
      </c>
      <c r="AF1704">
        <f t="shared" si="78"/>
        <v>80</v>
      </c>
      <c r="AG1704" t="str">
        <f>IF(AF1704="","",IF(AF1704&gt;90,"Sangat baik",IF(AF1704&gt;79,"Baik",IF(AF1704&gt;=pub_gid_0_single_true_output_csv[[#This Row],[KKM]],"Cukup","Kurang"))))</f>
        <v>Baik</v>
      </c>
      <c r="AH1704">
        <f t="shared" si="79"/>
        <v>12</v>
      </c>
      <c r="AI1704" s="30" t="str">
        <f>IF(OR(J1704&lt;&gt;"Karakter",pub_gid_0_single_true_output_csv[[#This Row],[Nilai2]]=""),"",IF(AF1704&gt;89,"Sangat baik",IF(AF1704&gt;79,"Baik",IF(AF1704&gt;69,"Cukup",IF(AF1704&gt;59,"Kurang","Sangat kurang")))))</f>
        <v/>
      </c>
      <c r="AJ1704" t="str">
        <f t="shared" si="80"/>
        <v>Wk.7</v>
      </c>
      <c r="AK1704" t="str">
        <f>IF(pub_gid_0_single_true_output_csv[[#This Row],[Nilai2]]="","",VLOOKUP(pub_gid_0_single_true_output_csv[[#This Row],[NAMA]],Table7[],3,FALSE))</f>
        <v>Average</v>
      </c>
    </row>
    <row r="1705" spans="1:37" x14ac:dyDescent="0.2">
      <c r="A1705">
        <v>1704</v>
      </c>
      <c r="B1705" t="s">
        <v>311</v>
      </c>
      <c r="C1705" t="s">
        <v>65</v>
      </c>
      <c r="D1705" t="s">
        <v>55</v>
      </c>
      <c r="E1705" t="s">
        <v>146</v>
      </c>
      <c r="F1705" s="25">
        <v>46066</v>
      </c>
      <c r="G1705" t="s">
        <v>358</v>
      </c>
      <c r="H1705" t="s">
        <v>412</v>
      </c>
      <c r="I1705" t="s">
        <v>371</v>
      </c>
      <c r="J1705" t="s">
        <v>279</v>
      </c>
      <c r="K1705" t="s">
        <v>280</v>
      </c>
      <c r="L1705" t="s">
        <v>351</v>
      </c>
      <c r="M1705" t="s">
        <v>141</v>
      </c>
      <c r="N1705" t="s">
        <v>142</v>
      </c>
      <c r="O1705" t="s">
        <v>327</v>
      </c>
      <c r="P1705" t="s">
        <v>281</v>
      </c>
      <c r="Q1705" t="s">
        <v>328</v>
      </c>
      <c r="R1705" t="s">
        <v>350</v>
      </c>
      <c r="S1705" t="s">
        <v>477</v>
      </c>
      <c r="T1705">
        <v>5</v>
      </c>
      <c r="U1705" t="s">
        <v>478</v>
      </c>
      <c r="V1705" t="s">
        <v>479</v>
      </c>
      <c r="W1705" t="s">
        <v>480</v>
      </c>
      <c r="X1705" t="s">
        <v>331</v>
      </c>
      <c r="Y1705" t="s">
        <v>307</v>
      </c>
      <c r="Z1705">
        <v>70</v>
      </c>
      <c r="AA1705">
        <v>80</v>
      </c>
      <c r="AB1705" t="s">
        <v>143</v>
      </c>
      <c r="AC1705" t="s">
        <v>149</v>
      </c>
      <c r="AD1705" t="s">
        <v>509</v>
      </c>
      <c r="AE1705" t="str">
        <f>IF(AF1705="","",VLOOKUP(AC1705,mapel!$A$2:$B$42,2,FALSE))</f>
        <v>B.Indo</v>
      </c>
      <c r="AF1705">
        <f t="shared" si="78"/>
        <v>80</v>
      </c>
      <c r="AG1705" t="str">
        <f>IF(AF1705="","",IF(AF1705&gt;90,"Sangat baik",IF(AF1705&gt;79,"Baik",IF(AF1705&gt;=pub_gid_0_single_true_output_csv[[#This Row],[KKM]],"Cukup","Kurang"))))</f>
        <v>Baik</v>
      </c>
      <c r="AH1705">
        <f t="shared" si="79"/>
        <v>12</v>
      </c>
      <c r="AI1705" s="30" t="str">
        <f>IF(OR(J1705&lt;&gt;"Karakter",pub_gid_0_single_true_output_csv[[#This Row],[Nilai2]]=""),"",IF(AF1705&gt;89,"Sangat baik",IF(AF1705&gt;79,"Baik",IF(AF1705&gt;69,"Cukup",IF(AF1705&gt;59,"Kurang","Sangat kurang")))))</f>
        <v/>
      </c>
      <c r="AJ1705" t="str">
        <f t="shared" si="80"/>
        <v>Wk.7</v>
      </c>
      <c r="AK1705" t="str">
        <f>IF(pub_gid_0_single_true_output_csv[[#This Row],[Nilai2]]="","",VLOOKUP(pub_gid_0_single_true_output_csv[[#This Row],[NAMA]],Table7[],3,FALSE))</f>
        <v>Average</v>
      </c>
    </row>
    <row r="1706" spans="1:37" x14ac:dyDescent="0.2">
      <c r="A1706">
        <v>1705</v>
      </c>
      <c r="B1706" t="s">
        <v>311</v>
      </c>
      <c r="C1706" t="s">
        <v>65</v>
      </c>
      <c r="D1706" t="s">
        <v>55</v>
      </c>
      <c r="E1706" t="s">
        <v>146</v>
      </c>
      <c r="F1706" s="25">
        <v>46069</v>
      </c>
      <c r="G1706" t="s">
        <v>382</v>
      </c>
      <c r="H1706" t="s">
        <v>412</v>
      </c>
      <c r="I1706" t="s">
        <v>371</v>
      </c>
      <c r="J1706" t="s">
        <v>90</v>
      </c>
      <c r="K1706" t="s">
        <v>92</v>
      </c>
      <c r="L1706" t="s">
        <v>95</v>
      </c>
      <c r="M1706" t="s">
        <v>141</v>
      </c>
      <c r="N1706" t="s">
        <v>142</v>
      </c>
      <c r="O1706" t="s">
        <v>327</v>
      </c>
      <c r="P1706" t="s">
        <v>281</v>
      </c>
      <c r="Q1706" t="s">
        <v>328</v>
      </c>
      <c r="R1706" t="s">
        <v>350</v>
      </c>
      <c r="S1706" t="s">
        <v>481</v>
      </c>
      <c r="T1706">
        <v>7</v>
      </c>
      <c r="U1706" t="s">
        <v>482</v>
      </c>
      <c r="V1706" t="s">
        <v>483</v>
      </c>
      <c r="W1706" t="s">
        <v>484</v>
      </c>
      <c r="X1706" t="s">
        <v>331</v>
      </c>
      <c r="Y1706" t="s">
        <v>307</v>
      </c>
      <c r="Z1706">
        <v>70</v>
      </c>
      <c r="AA1706">
        <v>85</v>
      </c>
      <c r="AB1706" t="s">
        <v>143</v>
      </c>
      <c r="AC1706" t="s">
        <v>149</v>
      </c>
      <c r="AD1706" t="s">
        <v>509</v>
      </c>
      <c r="AE1706" t="str">
        <f>IF(AF1706="","",VLOOKUP(AC1706,mapel!$A$2:$B$42,2,FALSE))</f>
        <v>B.Indo</v>
      </c>
      <c r="AF1706">
        <f t="shared" si="78"/>
        <v>85</v>
      </c>
      <c r="AG1706" t="str">
        <f>IF(AF1706="","",IF(AF1706&gt;90,"Sangat baik",IF(AF1706&gt;79,"Baik",IF(AF1706&gt;=pub_gid_0_single_true_output_csv[[#This Row],[KKM]],"Cukup","Kurang"))))</f>
        <v>Baik</v>
      </c>
      <c r="AH1706">
        <f t="shared" si="79"/>
        <v>12</v>
      </c>
      <c r="AI1706" s="30" t="str">
        <f>IF(OR(J1706&lt;&gt;"Karakter",pub_gid_0_single_true_output_csv[[#This Row],[Nilai2]]=""),"",IF(AF1706&gt;89,"Sangat baik",IF(AF1706&gt;79,"Baik",IF(AF1706&gt;69,"Cukup",IF(AF1706&gt;59,"Kurang","Sangat kurang")))))</f>
        <v>Baik</v>
      </c>
      <c r="AJ1706" t="str">
        <f t="shared" si="80"/>
        <v>Wk.8</v>
      </c>
      <c r="AK1706" t="str">
        <f>IF(pub_gid_0_single_true_output_csv[[#This Row],[Nilai2]]="","",VLOOKUP(pub_gid_0_single_true_output_csv[[#This Row],[NAMA]],Table7[],3,FALSE))</f>
        <v>Average</v>
      </c>
    </row>
    <row r="1707" spans="1:37" x14ac:dyDescent="0.2">
      <c r="A1707">
        <v>1706</v>
      </c>
      <c r="B1707" t="s">
        <v>311</v>
      </c>
      <c r="C1707" t="s">
        <v>65</v>
      </c>
      <c r="D1707" t="s">
        <v>55</v>
      </c>
      <c r="E1707" t="s">
        <v>146</v>
      </c>
      <c r="F1707" s="25">
        <v>46073</v>
      </c>
      <c r="G1707" t="s">
        <v>474</v>
      </c>
      <c r="H1707" t="s">
        <v>412</v>
      </c>
      <c r="I1707" t="s">
        <v>371</v>
      </c>
      <c r="J1707" t="s">
        <v>36</v>
      </c>
      <c r="K1707" t="s">
        <v>361</v>
      </c>
      <c r="L1707" t="s">
        <v>319</v>
      </c>
      <c r="M1707" t="s">
        <v>141</v>
      </c>
      <c r="N1707" t="s">
        <v>142</v>
      </c>
      <c r="O1707" t="s">
        <v>327</v>
      </c>
      <c r="P1707" t="s">
        <v>281</v>
      </c>
      <c r="Q1707" t="s">
        <v>328</v>
      </c>
      <c r="R1707" t="s">
        <v>350</v>
      </c>
      <c r="S1707" t="s">
        <v>481</v>
      </c>
      <c r="T1707">
        <v>7</v>
      </c>
      <c r="U1707" t="s">
        <v>482</v>
      </c>
      <c r="V1707" t="s">
        <v>483</v>
      </c>
      <c r="W1707" t="s">
        <v>484</v>
      </c>
      <c r="X1707" t="s">
        <v>331</v>
      </c>
      <c r="Y1707" t="s">
        <v>307</v>
      </c>
      <c r="Z1707">
        <v>70</v>
      </c>
      <c r="AA1707">
        <v>80</v>
      </c>
      <c r="AB1707" t="s">
        <v>143</v>
      </c>
      <c r="AC1707" t="s">
        <v>149</v>
      </c>
      <c r="AD1707" t="s">
        <v>509</v>
      </c>
      <c r="AE1707" t="str">
        <f>IF(AF1707="","",VLOOKUP(AC1707,mapel!$A$2:$B$42,2,FALSE))</f>
        <v>B.Indo</v>
      </c>
      <c r="AF1707">
        <f t="shared" si="78"/>
        <v>80</v>
      </c>
      <c r="AG1707" t="str">
        <f>IF(AF1707="","",IF(AF1707&gt;90,"Sangat baik",IF(AF1707&gt;79,"Baik",IF(AF1707&gt;=pub_gid_0_single_true_output_csv[[#This Row],[KKM]],"Cukup","Kurang"))))</f>
        <v>Baik</v>
      </c>
      <c r="AH1707">
        <f t="shared" si="79"/>
        <v>12</v>
      </c>
      <c r="AI1707" s="30" t="str">
        <f>IF(OR(J1707&lt;&gt;"Karakter",pub_gid_0_single_true_output_csv[[#This Row],[Nilai2]]=""),"",IF(AF1707&gt;89,"Sangat baik",IF(AF1707&gt;79,"Baik",IF(AF1707&gt;69,"Cukup",IF(AF1707&gt;59,"Kurang","Sangat kurang")))))</f>
        <v/>
      </c>
      <c r="AJ1707" t="str">
        <f t="shared" si="80"/>
        <v>Wk.8</v>
      </c>
      <c r="AK1707" t="str">
        <f>IF(pub_gid_0_single_true_output_csv[[#This Row],[Nilai2]]="","",VLOOKUP(pub_gid_0_single_true_output_csv[[#This Row],[NAMA]],Table7[],3,FALSE))</f>
        <v>Average</v>
      </c>
    </row>
    <row r="1708" spans="1:37" x14ac:dyDescent="0.2">
      <c r="A1708">
        <v>1707</v>
      </c>
      <c r="B1708" t="s">
        <v>311</v>
      </c>
      <c r="C1708" t="s">
        <v>65</v>
      </c>
      <c r="D1708" t="s">
        <v>55</v>
      </c>
      <c r="E1708" t="s">
        <v>146</v>
      </c>
      <c r="F1708" s="25">
        <v>46076</v>
      </c>
      <c r="G1708" t="s">
        <v>468</v>
      </c>
      <c r="H1708" t="s">
        <v>412</v>
      </c>
      <c r="I1708" t="s">
        <v>371</v>
      </c>
      <c r="J1708" t="s">
        <v>31</v>
      </c>
      <c r="K1708" t="s">
        <v>96</v>
      </c>
      <c r="L1708" t="s">
        <v>319</v>
      </c>
      <c r="M1708" t="s">
        <v>141</v>
      </c>
      <c r="N1708" t="s">
        <v>142</v>
      </c>
      <c r="O1708" t="s">
        <v>327</v>
      </c>
      <c r="P1708" t="s">
        <v>281</v>
      </c>
      <c r="Q1708" t="s">
        <v>328</v>
      </c>
      <c r="R1708" t="s">
        <v>350</v>
      </c>
      <c r="S1708" t="s">
        <v>481</v>
      </c>
      <c r="T1708">
        <v>7</v>
      </c>
      <c r="U1708" t="s">
        <v>482</v>
      </c>
      <c r="V1708" t="s">
        <v>483</v>
      </c>
      <c r="W1708" t="s">
        <v>484</v>
      </c>
      <c r="X1708" t="s">
        <v>331</v>
      </c>
      <c r="Y1708" t="s">
        <v>307</v>
      </c>
      <c r="Z1708">
        <v>70</v>
      </c>
      <c r="AA1708">
        <v>80</v>
      </c>
      <c r="AB1708" t="s">
        <v>143</v>
      </c>
      <c r="AC1708" t="s">
        <v>149</v>
      </c>
      <c r="AD1708" t="s">
        <v>509</v>
      </c>
      <c r="AE1708" t="str">
        <f>IF(AF1708="","",VLOOKUP(AC1708,mapel!$A$2:$B$42,2,FALSE))</f>
        <v>B.Indo</v>
      </c>
      <c r="AF1708">
        <f t="shared" si="78"/>
        <v>80</v>
      </c>
      <c r="AG1708" t="str">
        <f>IF(AF1708="","",IF(AF1708&gt;90,"Sangat baik",IF(AF1708&gt;79,"Baik",IF(AF1708&gt;=pub_gid_0_single_true_output_csv[[#This Row],[KKM]],"Cukup","Kurang"))))</f>
        <v>Baik</v>
      </c>
      <c r="AH1708">
        <f t="shared" si="79"/>
        <v>12</v>
      </c>
      <c r="AI1708" s="30" t="str">
        <f>IF(OR(J1708&lt;&gt;"Karakter",pub_gid_0_single_true_output_csv[[#This Row],[Nilai2]]=""),"",IF(AF1708&gt;89,"Sangat baik",IF(AF1708&gt;79,"Baik",IF(AF1708&gt;69,"Cukup",IF(AF1708&gt;59,"Kurang","Sangat kurang")))))</f>
        <v/>
      </c>
      <c r="AJ1708" t="str">
        <f t="shared" si="80"/>
        <v>Wk.9</v>
      </c>
      <c r="AK1708" t="str">
        <f>IF(pub_gid_0_single_true_output_csv[[#This Row],[Nilai2]]="","",VLOOKUP(pub_gid_0_single_true_output_csv[[#This Row],[NAMA]],Table7[],3,FALSE))</f>
        <v>Average</v>
      </c>
    </row>
    <row r="1709" spans="1:37" x14ac:dyDescent="0.2">
      <c r="A1709">
        <v>1708</v>
      </c>
      <c r="B1709" t="s">
        <v>312</v>
      </c>
      <c r="C1709" t="s">
        <v>65</v>
      </c>
      <c r="D1709" t="s">
        <v>56</v>
      </c>
      <c r="E1709" t="s">
        <v>156</v>
      </c>
      <c r="F1709" s="25">
        <v>46048</v>
      </c>
      <c r="G1709" t="s">
        <v>371</v>
      </c>
      <c r="H1709" t="s">
        <v>405</v>
      </c>
      <c r="I1709" t="s">
        <v>371</v>
      </c>
      <c r="J1709" t="s">
        <v>36</v>
      </c>
      <c r="K1709" t="s">
        <v>361</v>
      </c>
      <c r="L1709" t="s">
        <v>319</v>
      </c>
      <c r="M1709" t="s">
        <v>141</v>
      </c>
      <c r="N1709" t="s">
        <v>142</v>
      </c>
      <c r="O1709" t="s">
        <v>327</v>
      </c>
      <c r="P1709" t="s">
        <v>281</v>
      </c>
      <c r="Q1709" t="s">
        <v>328</v>
      </c>
      <c r="R1709" t="s">
        <v>350</v>
      </c>
      <c r="S1709" t="s">
        <v>477</v>
      </c>
      <c r="T1709">
        <v>5</v>
      </c>
      <c r="U1709" t="s">
        <v>478</v>
      </c>
      <c r="V1709" t="s">
        <v>479</v>
      </c>
      <c r="W1709" t="s">
        <v>480</v>
      </c>
      <c r="X1709" t="s">
        <v>331</v>
      </c>
      <c r="Y1709" t="s">
        <v>307</v>
      </c>
      <c r="Z1709">
        <v>70</v>
      </c>
      <c r="AA1709">
        <v>95</v>
      </c>
      <c r="AB1709" t="s">
        <v>143</v>
      </c>
      <c r="AC1709" t="s">
        <v>149</v>
      </c>
      <c r="AD1709" t="s">
        <v>509</v>
      </c>
      <c r="AE1709" t="str">
        <f>IF(AF1709="","",VLOOKUP(AC1709,mapel!$A$2:$B$42,2,FALSE))</f>
        <v>B.Indo</v>
      </c>
      <c r="AF1709">
        <f t="shared" si="78"/>
        <v>95</v>
      </c>
      <c r="AG1709" t="str">
        <f>IF(AF1709="","",IF(AF1709&gt;90,"Sangat baik",IF(AF1709&gt;79,"Baik",IF(AF1709&gt;=pub_gid_0_single_true_output_csv[[#This Row],[KKM]],"Cukup","Kurang"))))</f>
        <v>Sangat baik</v>
      </c>
      <c r="AH1709">
        <f t="shared" si="79"/>
        <v>12</v>
      </c>
      <c r="AI1709" s="30" t="str">
        <f>IF(OR(J1709&lt;&gt;"Karakter",pub_gid_0_single_true_output_csv[[#This Row],[Nilai2]]=""),"",IF(AF1709&gt;89,"Sangat baik",IF(AF1709&gt;79,"Baik",IF(AF1709&gt;69,"Cukup",IF(AF1709&gt;59,"Kurang","Sangat kurang")))))</f>
        <v/>
      </c>
      <c r="AJ1709" t="str">
        <f t="shared" si="80"/>
        <v>Wk.5</v>
      </c>
      <c r="AK1709" t="str">
        <f>IF(pub_gid_0_single_true_output_csv[[#This Row],[Nilai2]]="","",VLOOKUP(pub_gid_0_single_true_output_csv[[#This Row],[NAMA]],Table7[],3,FALSE))</f>
        <v>Superior</v>
      </c>
    </row>
    <row r="1710" spans="1:37" x14ac:dyDescent="0.2">
      <c r="A1710">
        <v>1709</v>
      </c>
      <c r="B1710" t="s">
        <v>312</v>
      </c>
      <c r="C1710" t="s">
        <v>65</v>
      </c>
      <c r="D1710" t="s">
        <v>56</v>
      </c>
      <c r="E1710" t="s">
        <v>156</v>
      </c>
      <c r="F1710" s="25">
        <v>46052</v>
      </c>
      <c r="G1710" t="s">
        <v>304</v>
      </c>
      <c r="H1710" t="s">
        <v>405</v>
      </c>
      <c r="I1710" t="s">
        <v>371</v>
      </c>
      <c r="J1710" t="s">
        <v>31</v>
      </c>
      <c r="K1710" t="s">
        <v>32</v>
      </c>
      <c r="L1710" t="s">
        <v>351</v>
      </c>
      <c r="M1710" t="s">
        <v>141</v>
      </c>
      <c r="N1710" t="s">
        <v>142</v>
      </c>
      <c r="O1710" t="s">
        <v>327</v>
      </c>
      <c r="P1710" t="s">
        <v>281</v>
      </c>
      <c r="Q1710" t="s">
        <v>328</v>
      </c>
      <c r="R1710" t="s">
        <v>350</v>
      </c>
      <c r="S1710" t="s">
        <v>477</v>
      </c>
      <c r="T1710">
        <v>5</v>
      </c>
      <c r="U1710" t="s">
        <v>478</v>
      </c>
      <c r="V1710" t="s">
        <v>479</v>
      </c>
      <c r="W1710" t="s">
        <v>480</v>
      </c>
      <c r="X1710" t="s">
        <v>331</v>
      </c>
      <c r="Y1710" t="s">
        <v>307</v>
      </c>
      <c r="Z1710">
        <v>70</v>
      </c>
      <c r="AA1710">
        <v>85</v>
      </c>
      <c r="AB1710" t="s">
        <v>143</v>
      </c>
      <c r="AC1710" t="s">
        <v>149</v>
      </c>
      <c r="AD1710" t="s">
        <v>509</v>
      </c>
      <c r="AE1710" t="str">
        <f>IF(AF1710="","",VLOOKUP(AC1710,mapel!$A$2:$B$42,2,FALSE))</f>
        <v>B.Indo</v>
      </c>
      <c r="AF1710">
        <f t="shared" si="78"/>
        <v>85</v>
      </c>
      <c r="AG1710" t="str">
        <f>IF(AF1710="","",IF(AF1710&gt;90,"Sangat baik",IF(AF1710&gt;79,"Baik",IF(AF1710&gt;=pub_gid_0_single_true_output_csv[[#This Row],[KKM]],"Cukup","Kurang"))))</f>
        <v>Baik</v>
      </c>
      <c r="AH1710">
        <f t="shared" si="79"/>
        <v>12</v>
      </c>
      <c r="AI1710" s="30" t="str">
        <f>IF(OR(J1710&lt;&gt;"Karakter",pub_gid_0_single_true_output_csv[[#This Row],[Nilai2]]=""),"",IF(AF1710&gt;89,"Sangat baik",IF(AF1710&gt;79,"Baik",IF(AF1710&gt;69,"Cukup",IF(AF1710&gt;59,"Kurang","Sangat kurang")))))</f>
        <v/>
      </c>
      <c r="AJ1710" t="str">
        <f t="shared" si="80"/>
        <v>Wk.5</v>
      </c>
      <c r="AK1710" t="str">
        <f>IF(pub_gid_0_single_true_output_csv[[#This Row],[Nilai2]]="","",VLOOKUP(pub_gid_0_single_true_output_csv[[#This Row],[NAMA]],Table7[],3,FALSE))</f>
        <v>Superior</v>
      </c>
    </row>
    <row r="1711" spans="1:37" x14ac:dyDescent="0.2">
      <c r="A1711">
        <v>1710</v>
      </c>
      <c r="B1711" t="s">
        <v>312</v>
      </c>
      <c r="C1711" t="s">
        <v>65</v>
      </c>
      <c r="D1711" t="s">
        <v>56</v>
      </c>
      <c r="E1711" t="s">
        <v>156</v>
      </c>
      <c r="F1711" s="25">
        <v>46055</v>
      </c>
      <c r="G1711" t="s">
        <v>379</v>
      </c>
      <c r="H1711" t="s">
        <v>412</v>
      </c>
      <c r="I1711" t="s">
        <v>371</v>
      </c>
      <c r="J1711" t="s">
        <v>90</v>
      </c>
      <c r="K1711" t="s">
        <v>92</v>
      </c>
      <c r="L1711" t="s">
        <v>93</v>
      </c>
      <c r="M1711" t="s">
        <v>141</v>
      </c>
      <c r="N1711" t="s">
        <v>142</v>
      </c>
      <c r="O1711" t="s">
        <v>327</v>
      </c>
      <c r="P1711" t="s">
        <v>281</v>
      </c>
      <c r="Q1711" t="s">
        <v>328</v>
      </c>
      <c r="R1711" t="s">
        <v>350</v>
      </c>
      <c r="S1711" t="s">
        <v>477</v>
      </c>
      <c r="T1711">
        <v>5</v>
      </c>
      <c r="U1711" t="s">
        <v>478</v>
      </c>
      <c r="V1711" t="s">
        <v>479</v>
      </c>
      <c r="W1711" t="s">
        <v>480</v>
      </c>
      <c r="X1711" t="s">
        <v>331</v>
      </c>
      <c r="Y1711" t="s">
        <v>307</v>
      </c>
      <c r="Z1711">
        <v>70</v>
      </c>
      <c r="AA1711">
        <v>85</v>
      </c>
      <c r="AB1711" t="s">
        <v>143</v>
      </c>
      <c r="AC1711" t="s">
        <v>149</v>
      </c>
      <c r="AD1711" t="s">
        <v>509</v>
      </c>
      <c r="AE1711" t="str">
        <f>IF(AF1711="","",VLOOKUP(AC1711,mapel!$A$2:$B$42,2,FALSE))</f>
        <v>B.Indo</v>
      </c>
      <c r="AF1711">
        <f t="shared" si="78"/>
        <v>85</v>
      </c>
      <c r="AG1711" t="str">
        <f>IF(AF1711="","",IF(AF1711&gt;90,"Sangat baik",IF(AF1711&gt;79,"Baik",IF(AF1711&gt;=pub_gid_0_single_true_output_csv[[#This Row],[KKM]],"Cukup","Kurang"))))</f>
        <v>Baik</v>
      </c>
      <c r="AH1711">
        <f t="shared" si="79"/>
        <v>12</v>
      </c>
      <c r="AI1711" s="30" t="str">
        <f>IF(OR(J1711&lt;&gt;"Karakter",pub_gid_0_single_true_output_csv[[#This Row],[Nilai2]]=""),"",IF(AF1711&gt;89,"Sangat baik",IF(AF1711&gt;79,"Baik",IF(AF1711&gt;69,"Cukup",IF(AF1711&gt;59,"Kurang","Sangat kurang")))))</f>
        <v>Baik</v>
      </c>
      <c r="AJ1711" t="str">
        <f t="shared" si="80"/>
        <v>Wk.6</v>
      </c>
      <c r="AK1711" t="str">
        <f>IF(pub_gid_0_single_true_output_csv[[#This Row],[Nilai2]]="","",VLOOKUP(pub_gid_0_single_true_output_csv[[#This Row],[NAMA]],Table7[],3,FALSE))</f>
        <v>Superior</v>
      </c>
    </row>
    <row r="1712" spans="1:37" x14ac:dyDescent="0.2">
      <c r="A1712">
        <v>1711</v>
      </c>
      <c r="B1712" t="s">
        <v>312</v>
      </c>
      <c r="C1712" t="s">
        <v>65</v>
      </c>
      <c r="D1712" t="s">
        <v>56</v>
      </c>
      <c r="E1712" t="s">
        <v>156</v>
      </c>
      <c r="F1712" s="25">
        <v>46062</v>
      </c>
      <c r="G1712" t="s">
        <v>376</v>
      </c>
      <c r="H1712" t="s">
        <v>412</v>
      </c>
      <c r="I1712" t="s">
        <v>371</v>
      </c>
      <c r="J1712" t="s">
        <v>36</v>
      </c>
      <c r="K1712" t="s">
        <v>362</v>
      </c>
      <c r="L1712" t="s">
        <v>363</v>
      </c>
      <c r="M1712" t="s">
        <v>141</v>
      </c>
      <c r="N1712" t="s">
        <v>142</v>
      </c>
      <c r="O1712" t="s">
        <v>327</v>
      </c>
      <c r="P1712" t="s">
        <v>281</v>
      </c>
      <c r="Q1712" t="s">
        <v>328</v>
      </c>
      <c r="R1712" t="s">
        <v>350</v>
      </c>
      <c r="S1712" t="s">
        <v>477</v>
      </c>
      <c r="T1712">
        <v>5</v>
      </c>
      <c r="U1712" t="s">
        <v>478</v>
      </c>
      <c r="V1712" t="s">
        <v>479</v>
      </c>
      <c r="W1712" t="s">
        <v>480</v>
      </c>
      <c r="X1712" t="s">
        <v>331</v>
      </c>
      <c r="Y1712" t="s">
        <v>307</v>
      </c>
      <c r="Z1712">
        <v>70</v>
      </c>
      <c r="AA1712">
        <v>90</v>
      </c>
      <c r="AB1712" t="s">
        <v>143</v>
      </c>
      <c r="AC1712" t="s">
        <v>149</v>
      </c>
      <c r="AD1712" t="s">
        <v>509</v>
      </c>
      <c r="AE1712" t="str">
        <f>IF(AF1712="","",VLOOKUP(AC1712,mapel!$A$2:$B$42,2,FALSE))</f>
        <v>B.Indo</v>
      </c>
      <c r="AF1712">
        <f t="shared" si="78"/>
        <v>90</v>
      </c>
      <c r="AG1712" t="str">
        <f>IF(AF1712="","",IF(AF1712&gt;90,"Sangat baik",IF(AF1712&gt;79,"Baik",IF(AF1712&gt;=pub_gid_0_single_true_output_csv[[#This Row],[KKM]],"Cukup","Kurang"))))</f>
        <v>Baik</v>
      </c>
      <c r="AH1712">
        <f t="shared" si="79"/>
        <v>12</v>
      </c>
      <c r="AI1712" s="30" t="str">
        <f>IF(OR(J1712&lt;&gt;"Karakter",pub_gid_0_single_true_output_csv[[#This Row],[Nilai2]]=""),"",IF(AF1712&gt;89,"Sangat baik",IF(AF1712&gt;79,"Baik",IF(AF1712&gt;69,"Cukup",IF(AF1712&gt;59,"Kurang","Sangat kurang")))))</f>
        <v/>
      </c>
      <c r="AJ1712" t="str">
        <f t="shared" si="80"/>
        <v>Wk.7</v>
      </c>
      <c r="AK1712" t="str">
        <f>IF(pub_gid_0_single_true_output_csv[[#This Row],[Nilai2]]="","",VLOOKUP(pub_gid_0_single_true_output_csv[[#This Row],[NAMA]],Table7[],3,FALSE))</f>
        <v>Superior</v>
      </c>
    </row>
    <row r="1713" spans="1:37" x14ac:dyDescent="0.2">
      <c r="A1713">
        <v>1712</v>
      </c>
      <c r="B1713" t="s">
        <v>312</v>
      </c>
      <c r="C1713" t="s">
        <v>65</v>
      </c>
      <c r="D1713" t="s">
        <v>56</v>
      </c>
      <c r="E1713" t="s">
        <v>156</v>
      </c>
      <c r="F1713" s="25">
        <v>46066</v>
      </c>
      <c r="G1713" t="s">
        <v>358</v>
      </c>
      <c r="H1713" t="s">
        <v>412</v>
      </c>
      <c r="I1713" t="s">
        <v>371</v>
      </c>
      <c r="J1713" t="s">
        <v>279</v>
      </c>
      <c r="K1713" t="s">
        <v>280</v>
      </c>
      <c r="L1713" t="s">
        <v>351</v>
      </c>
      <c r="M1713" t="s">
        <v>141</v>
      </c>
      <c r="N1713" t="s">
        <v>142</v>
      </c>
      <c r="O1713" t="s">
        <v>327</v>
      </c>
      <c r="P1713" t="s">
        <v>281</v>
      </c>
      <c r="Q1713" t="s">
        <v>328</v>
      </c>
      <c r="R1713" t="s">
        <v>350</v>
      </c>
      <c r="S1713" t="s">
        <v>477</v>
      </c>
      <c r="T1713">
        <v>5</v>
      </c>
      <c r="U1713" t="s">
        <v>478</v>
      </c>
      <c r="V1713" t="s">
        <v>479</v>
      </c>
      <c r="W1713" t="s">
        <v>480</v>
      </c>
      <c r="X1713" t="s">
        <v>331</v>
      </c>
      <c r="Y1713" t="s">
        <v>307</v>
      </c>
      <c r="Z1713">
        <v>70</v>
      </c>
      <c r="AA1713">
        <v>90</v>
      </c>
      <c r="AB1713" t="s">
        <v>143</v>
      </c>
      <c r="AC1713" t="s">
        <v>149</v>
      </c>
      <c r="AD1713" t="s">
        <v>509</v>
      </c>
      <c r="AE1713" t="str">
        <f>IF(AF1713="","",VLOOKUP(AC1713,mapel!$A$2:$B$42,2,FALSE))</f>
        <v>B.Indo</v>
      </c>
      <c r="AF1713">
        <f t="shared" si="78"/>
        <v>90</v>
      </c>
      <c r="AG1713" t="str">
        <f>IF(AF1713="","",IF(AF1713&gt;90,"Sangat baik",IF(AF1713&gt;79,"Baik",IF(AF1713&gt;=pub_gid_0_single_true_output_csv[[#This Row],[KKM]],"Cukup","Kurang"))))</f>
        <v>Baik</v>
      </c>
      <c r="AH1713">
        <f t="shared" si="79"/>
        <v>12</v>
      </c>
      <c r="AI1713" s="30" t="str">
        <f>IF(OR(J1713&lt;&gt;"Karakter",pub_gid_0_single_true_output_csv[[#This Row],[Nilai2]]=""),"",IF(AF1713&gt;89,"Sangat baik",IF(AF1713&gt;79,"Baik",IF(AF1713&gt;69,"Cukup",IF(AF1713&gt;59,"Kurang","Sangat kurang")))))</f>
        <v/>
      </c>
      <c r="AJ1713" t="str">
        <f t="shared" si="80"/>
        <v>Wk.7</v>
      </c>
      <c r="AK1713" t="str">
        <f>IF(pub_gid_0_single_true_output_csv[[#This Row],[Nilai2]]="","",VLOOKUP(pub_gid_0_single_true_output_csv[[#This Row],[NAMA]],Table7[],3,FALSE))</f>
        <v>Superior</v>
      </c>
    </row>
    <row r="1714" spans="1:37" x14ac:dyDescent="0.2">
      <c r="A1714">
        <v>1713</v>
      </c>
      <c r="B1714" t="s">
        <v>312</v>
      </c>
      <c r="C1714" t="s">
        <v>65</v>
      </c>
      <c r="D1714" t="s">
        <v>56</v>
      </c>
      <c r="E1714" t="s">
        <v>156</v>
      </c>
      <c r="F1714" s="25">
        <v>46069</v>
      </c>
      <c r="G1714" t="s">
        <v>382</v>
      </c>
      <c r="H1714" t="s">
        <v>412</v>
      </c>
      <c r="I1714" t="s">
        <v>371</v>
      </c>
      <c r="J1714" t="s">
        <v>90</v>
      </c>
      <c r="K1714" t="s">
        <v>92</v>
      </c>
      <c r="L1714" t="s">
        <v>95</v>
      </c>
      <c r="M1714" t="s">
        <v>141</v>
      </c>
      <c r="N1714" t="s">
        <v>142</v>
      </c>
      <c r="O1714" t="s">
        <v>327</v>
      </c>
      <c r="P1714" t="s">
        <v>281</v>
      </c>
      <c r="Q1714" t="s">
        <v>328</v>
      </c>
      <c r="R1714" t="s">
        <v>350</v>
      </c>
      <c r="S1714" t="s">
        <v>481</v>
      </c>
      <c r="T1714">
        <v>7</v>
      </c>
      <c r="U1714" t="s">
        <v>482</v>
      </c>
      <c r="V1714" t="s">
        <v>483</v>
      </c>
      <c r="W1714" t="s">
        <v>484</v>
      </c>
      <c r="X1714" t="s">
        <v>331</v>
      </c>
      <c r="Y1714" t="s">
        <v>307</v>
      </c>
      <c r="Z1714">
        <v>70</v>
      </c>
      <c r="AA1714">
        <v>85</v>
      </c>
      <c r="AB1714" t="s">
        <v>143</v>
      </c>
      <c r="AC1714" t="s">
        <v>149</v>
      </c>
      <c r="AD1714" t="s">
        <v>509</v>
      </c>
      <c r="AE1714" t="str">
        <f>IF(AF1714="","",VLOOKUP(AC1714,mapel!$A$2:$B$42,2,FALSE))</f>
        <v>B.Indo</v>
      </c>
      <c r="AF1714">
        <f t="shared" si="78"/>
        <v>85</v>
      </c>
      <c r="AG1714" t="str">
        <f>IF(AF1714="","",IF(AF1714&gt;90,"Sangat baik",IF(AF1714&gt;79,"Baik",IF(AF1714&gt;=pub_gid_0_single_true_output_csv[[#This Row],[KKM]],"Cukup","Kurang"))))</f>
        <v>Baik</v>
      </c>
      <c r="AH1714">
        <f t="shared" si="79"/>
        <v>12</v>
      </c>
      <c r="AI1714" s="30" t="str">
        <f>IF(OR(J1714&lt;&gt;"Karakter",pub_gid_0_single_true_output_csv[[#This Row],[Nilai2]]=""),"",IF(AF1714&gt;89,"Sangat baik",IF(AF1714&gt;79,"Baik",IF(AF1714&gt;69,"Cukup",IF(AF1714&gt;59,"Kurang","Sangat kurang")))))</f>
        <v>Baik</v>
      </c>
      <c r="AJ1714" t="str">
        <f t="shared" si="80"/>
        <v>Wk.8</v>
      </c>
      <c r="AK1714" t="str">
        <f>IF(pub_gid_0_single_true_output_csv[[#This Row],[Nilai2]]="","",VLOOKUP(pub_gid_0_single_true_output_csv[[#This Row],[NAMA]],Table7[],3,FALSE))</f>
        <v>Superior</v>
      </c>
    </row>
    <row r="1715" spans="1:37" x14ac:dyDescent="0.2">
      <c r="A1715">
        <v>1714</v>
      </c>
      <c r="B1715" t="s">
        <v>312</v>
      </c>
      <c r="C1715" t="s">
        <v>65</v>
      </c>
      <c r="D1715" t="s">
        <v>56</v>
      </c>
      <c r="E1715" t="s">
        <v>156</v>
      </c>
      <c r="F1715" s="25">
        <v>46073</v>
      </c>
      <c r="G1715" t="s">
        <v>474</v>
      </c>
      <c r="H1715" t="s">
        <v>412</v>
      </c>
      <c r="I1715" t="s">
        <v>371</v>
      </c>
      <c r="J1715" t="s">
        <v>36</v>
      </c>
      <c r="K1715" t="s">
        <v>361</v>
      </c>
      <c r="L1715" t="s">
        <v>319</v>
      </c>
      <c r="M1715" t="s">
        <v>141</v>
      </c>
      <c r="N1715" t="s">
        <v>142</v>
      </c>
      <c r="O1715" t="s">
        <v>327</v>
      </c>
      <c r="P1715" t="s">
        <v>281</v>
      </c>
      <c r="Q1715" t="s">
        <v>328</v>
      </c>
      <c r="R1715" t="s">
        <v>350</v>
      </c>
      <c r="S1715" t="s">
        <v>481</v>
      </c>
      <c r="T1715">
        <v>7</v>
      </c>
      <c r="U1715" t="s">
        <v>482</v>
      </c>
      <c r="V1715" t="s">
        <v>483</v>
      </c>
      <c r="W1715" t="s">
        <v>484</v>
      </c>
      <c r="X1715" t="s">
        <v>331</v>
      </c>
      <c r="Y1715" t="s">
        <v>307</v>
      </c>
      <c r="Z1715">
        <v>70</v>
      </c>
      <c r="AA1715">
        <v>90</v>
      </c>
      <c r="AB1715" t="s">
        <v>143</v>
      </c>
      <c r="AC1715" t="s">
        <v>149</v>
      </c>
      <c r="AD1715" t="s">
        <v>509</v>
      </c>
      <c r="AE1715" t="str">
        <f>IF(AF1715="","",VLOOKUP(AC1715,mapel!$A$2:$B$42,2,FALSE))</f>
        <v>B.Indo</v>
      </c>
      <c r="AF1715">
        <f t="shared" si="78"/>
        <v>90</v>
      </c>
      <c r="AG1715" t="str">
        <f>IF(AF1715="","",IF(AF1715&gt;90,"Sangat baik",IF(AF1715&gt;79,"Baik",IF(AF1715&gt;=pub_gid_0_single_true_output_csv[[#This Row],[KKM]],"Cukup","Kurang"))))</f>
        <v>Baik</v>
      </c>
      <c r="AH1715">
        <f t="shared" si="79"/>
        <v>12</v>
      </c>
      <c r="AI1715" s="30" t="str">
        <f>IF(OR(J1715&lt;&gt;"Karakter",pub_gid_0_single_true_output_csv[[#This Row],[Nilai2]]=""),"",IF(AF1715&gt;89,"Sangat baik",IF(AF1715&gt;79,"Baik",IF(AF1715&gt;69,"Cukup",IF(AF1715&gt;59,"Kurang","Sangat kurang")))))</f>
        <v/>
      </c>
      <c r="AJ1715" t="str">
        <f t="shared" si="80"/>
        <v>Wk.8</v>
      </c>
      <c r="AK1715" t="str">
        <f>IF(pub_gid_0_single_true_output_csv[[#This Row],[Nilai2]]="","",VLOOKUP(pub_gid_0_single_true_output_csv[[#This Row],[NAMA]],Table7[],3,FALSE))</f>
        <v>Superior</v>
      </c>
    </row>
    <row r="1716" spans="1:37" x14ac:dyDescent="0.2">
      <c r="A1716">
        <v>1715</v>
      </c>
      <c r="B1716" t="s">
        <v>312</v>
      </c>
      <c r="C1716" t="s">
        <v>65</v>
      </c>
      <c r="D1716" t="s">
        <v>56</v>
      </c>
      <c r="E1716" t="s">
        <v>156</v>
      </c>
      <c r="F1716" s="25">
        <v>46076</v>
      </c>
      <c r="G1716" t="s">
        <v>468</v>
      </c>
      <c r="H1716" t="s">
        <v>412</v>
      </c>
      <c r="I1716" t="s">
        <v>371</v>
      </c>
      <c r="J1716" t="s">
        <v>31</v>
      </c>
      <c r="K1716" t="s">
        <v>96</v>
      </c>
      <c r="L1716" t="s">
        <v>319</v>
      </c>
      <c r="M1716" t="s">
        <v>141</v>
      </c>
      <c r="N1716" t="s">
        <v>142</v>
      </c>
      <c r="O1716" t="s">
        <v>327</v>
      </c>
      <c r="P1716" t="s">
        <v>281</v>
      </c>
      <c r="Q1716" t="s">
        <v>328</v>
      </c>
      <c r="R1716" t="s">
        <v>350</v>
      </c>
      <c r="S1716" t="s">
        <v>481</v>
      </c>
      <c r="T1716">
        <v>7</v>
      </c>
      <c r="U1716" t="s">
        <v>482</v>
      </c>
      <c r="V1716" t="s">
        <v>483</v>
      </c>
      <c r="W1716" t="s">
        <v>484</v>
      </c>
      <c r="X1716" t="s">
        <v>331</v>
      </c>
      <c r="Y1716" t="s">
        <v>307</v>
      </c>
      <c r="Z1716">
        <v>70</v>
      </c>
      <c r="AA1716">
        <v>90</v>
      </c>
      <c r="AB1716" t="s">
        <v>143</v>
      </c>
      <c r="AC1716" t="s">
        <v>149</v>
      </c>
      <c r="AD1716" t="s">
        <v>509</v>
      </c>
      <c r="AE1716" t="str">
        <f>IF(AF1716="","",VLOOKUP(AC1716,mapel!$A$2:$B$42,2,FALSE))</f>
        <v>B.Indo</v>
      </c>
      <c r="AF1716">
        <f t="shared" si="78"/>
        <v>90</v>
      </c>
      <c r="AG1716" t="str">
        <f>IF(AF1716="","",IF(AF1716&gt;90,"Sangat baik",IF(AF1716&gt;79,"Baik",IF(AF1716&gt;=pub_gid_0_single_true_output_csv[[#This Row],[KKM]],"Cukup","Kurang"))))</f>
        <v>Baik</v>
      </c>
      <c r="AH1716">
        <f t="shared" si="79"/>
        <v>12</v>
      </c>
      <c r="AI1716" s="30" t="str">
        <f>IF(OR(J1716&lt;&gt;"Karakter",pub_gid_0_single_true_output_csv[[#This Row],[Nilai2]]=""),"",IF(AF1716&gt;89,"Sangat baik",IF(AF1716&gt;79,"Baik",IF(AF1716&gt;69,"Cukup",IF(AF1716&gt;59,"Kurang","Sangat kurang")))))</f>
        <v/>
      </c>
      <c r="AJ1716" t="str">
        <f t="shared" si="80"/>
        <v>Wk.9</v>
      </c>
      <c r="AK1716" t="str">
        <f>IF(pub_gid_0_single_true_output_csv[[#This Row],[Nilai2]]="","",VLOOKUP(pub_gid_0_single_true_output_csv[[#This Row],[NAMA]],Table7[],3,FALSE))</f>
        <v>Superior</v>
      </c>
    </row>
    <row r="1717" spans="1:37" x14ac:dyDescent="0.2">
      <c r="A1717">
        <v>1716</v>
      </c>
      <c r="B1717" t="s">
        <v>313</v>
      </c>
      <c r="C1717" t="s">
        <v>65</v>
      </c>
      <c r="D1717" t="s">
        <v>57</v>
      </c>
      <c r="E1717" t="s">
        <v>146</v>
      </c>
      <c r="F1717" s="25">
        <v>46048</v>
      </c>
      <c r="G1717" t="s">
        <v>371</v>
      </c>
      <c r="H1717" t="s">
        <v>405</v>
      </c>
      <c r="I1717" t="s">
        <v>371</v>
      </c>
      <c r="J1717" t="s">
        <v>36</v>
      </c>
      <c r="K1717" t="s">
        <v>361</v>
      </c>
      <c r="L1717" t="s">
        <v>319</v>
      </c>
      <c r="M1717" t="s">
        <v>141</v>
      </c>
      <c r="N1717" t="s">
        <v>142</v>
      </c>
      <c r="O1717" t="s">
        <v>327</v>
      </c>
      <c r="P1717" t="s">
        <v>281</v>
      </c>
      <c r="Q1717" t="s">
        <v>328</v>
      </c>
      <c r="R1717" t="s">
        <v>350</v>
      </c>
      <c r="S1717" t="s">
        <v>477</v>
      </c>
      <c r="T1717">
        <v>5</v>
      </c>
      <c r="U1717" t="s">
        <v>478</v>
      </c>
      <c r="V1717" t="s">
        <v>479</v>
      </c>
      <c r="W1717" t="s">
        <v>480</v>
      </c>
      <c r="X1717" t="s">
        <v>331</v>
      </c>
      <c r="Y1717" t="s">
        <v>307</v>
      </c>
      <c r="Z1717">
        <v>70</v>
      </c>
      <c r="AA1717">
        <v>85</v>
      </c>
      <c r="AB1717" t="s">
        <v>143</v>
      </c>
      <c r="AC1717" t="s">
        <v>149</v>
      </c>
      <c r="AD1717" t="s">
        <v>509</v>
      </c>
      <c r="AE1717" t="str">
        <f>IF(AF1717="","",VLOOKUP(AC1717,mapel!$A$2:$B$42,2,FALSE))</f>
        <v>B.Indo</v>
      </c>
      <c r="AF1717">
        <f t="shared" si="78"/>
        <v>85</v>
      </c>
      <c r="AG1717" t="str">
        <f>IF(AF1717="","",IF(AF1717&gt;90,"Sangat baik",IF(AF1717&gt;79,"Baik",IF(AF1717&gt;=pub_gid_0_single_true_output_csv[[#This Row],[KKM]],"Cukup","Kurang"))))</f>
        <v>Baik</v>
      </c>
      <c r="AH1717">
        <f t="shared" si="79"/>
        <v>12</v>
      </c>
      <c r="AI1717" s="30" t="str">
        <f>IF(OR(J1717&lt;&gt;"Karakter",pub_gid_0_single_true_output_csv[[#This Row],[Nilai2]]=""),"",IF(AF1717&gt;89,"Sangat baik",IF(AF1717&gt;79,"Baik",IF(AF1717&gt;69,"Cukup",IF(AF1717&gt;59,"Kurang","Sangat kurang")))))</f>
        <v/>
      </c>
      <c r="AJ1717" t="str">
        <f t="shared" si="80"/>
        <v>Wk.5</v>
      </c>
      <c r="AK1717" t="str">
        <f>IF(pub_gid_0_single_true_output_csv[[#This Row],[Nilai2]]="","",VLOOKUP(pub_gid_0_single_true_output_csv[[#This Row],[NAMA]],Table7[],3,FALSE))</f>
        <v>High average</v>
      </c>
    </row>
    <row r="1718" spans="1:37" x14ac:dyDescent="0.2">
      <c r="A1718">
        <v>1717</v>
      </c>
      <c r="B1718" t="s">
        <v>313</v>
      </c>
      <c r="C1718" t="s">
        <v>65</v>
      </c>
      <c r="D1718" t="s">
        <v>57</v>
      </c>
      <c r="E1718" t="s">
        <v>146</v>
      </c>
      <c r="F1718" s="25">
        <v>46052</v>
      </c>
      <c r="G1718" t="s">
        <v>304</v>
      </c>
      <c r="H1718" t="s">
        <v>405</v>
      </c>
      <c r="I1718" t="s">
        <v>371</v>
      </c>
      <c r="J1718" t="s">
        <v>31</v>
      </c>
      <c r="K1718" t="s">
        <v>32</v>
      </c>
      <c r="L1718" t="s">
        <v>351</v>
      </c>
      <c r="M1718" t="s">
        <v>141</v>
      </c>
      <c r="N1718" t="s">
        <v>142</v>
      </c>
      <c r="O1718" t="s">
        <v>327</v>
      </c>
      <c r="P1718" t="s">
        <v>281</v>
      </c>
      <c r="Q1718" t="s">
        <v>328</v>
      </c>
      <c r="R1718" t="s">
        <v>350</v>
      </c>
      <c r="S1718" t="s">
        <v>477</v>
      </c>
      <c r="T1718">
        <v>5</v>
      </c>
      <c r="U1718" t="s">
        <v>478</v>
      </c>
      <c r="V1718" t="s">
        <v>479</v>
      </c>
      <c r="W1718" t="s">
        <v>480</v>
      </c>
      <c r="X1718" t="s">
        <v>331</v>
      </c>
      <c r="Y1718" t="s">
        <v>307</v>
      </c>
      <c r="Z1718">
        <v>70</v>
      </c>
      <c r="AA1718">
        <v>75</v>
      </c>
      <c r="AB1718" t="s">
        <v>143</v>
      </c>
      <c r="AC1718" t="s">
        <v>149</v>
      </c>
      <c r="AD1718" t="s">
        <v>509</v>
      </c>
      <c r="AE1718" t="str">
        <f>IF(AF1718="","",VLOOKUP(AC1718,mapel!$A$2:$B$42,2,FALSE))</f>
        <v>B.Indo</v>
      </c>
      <c r="AF1718">
        <f t="shared" si="78"/>
        <v>75</v>
      </c>
      <c r="AG1718" t="str">
        <f>IF(AF1718="","",IF(AF1718&gt;90,"Sangat baik",IF(AF1718&gt;79,"Baik",IF(AF1718&gt;=pub_gid_0_single_true_output_csv[[#This Row],[KKM]],"Cukup","Kurang"))))</f>
        <v>Cukup</v>
      </c>
      <c r="AH1718">
        <f t="shared" si="79"/>
        <v>12</v>
      </c>
      <c r="AI1718" s="30" t="str">
        <f>IF(OR(J1718&lt;&gt;"Karakter",pub_gid_0_single_true_output_csv[[#This Row],[Nilai2]]=""),"",IF(AF1718&gt;89,"Sangat baik",IF(AF1718&gt;79,"Baik",IF(AF1718&gt;69,"Cukup",IF(AF1718&gt;59,"Kurang","Sangat kurang")))))</f>
        <v/>
      </c>
      <c r="AJ1718" t="str">
        <f t="shared" si="80"/>
        <v>Wk.5</v>
      </c>
      <c r="AK1718" t="str">
        <f>IF(pub_gid_0_single_true_output_csv[[#This Row],[Nilai2]]="","",VLOOKUP(pub_gid_0_single_true_output_csv[[#This Row],[NAMA]],Table7[],3,FALSE))</f>
        <v>High average</v>
      </c>
    </row>
    <row r="1719" spans="1:37" x14ac:dyDescent="0.2">
      <c r="A1719">
        <v>1718</v>
      </c>
      <c r="B1719" t="s">
        <v>313</v>
      </c>
      <c r="C1719" t="s">
        <v>65</v>
      </c>
      <c r="D1719" t="s">
        <v>57</v>
      </c>
      <c r="E1719" t="s">
        <v>146</v>
      </c>
      <c r="F1719" s="25">
        <v>46055</v>
      </c>
      <c r="G1719" t="s">
        <v>379</v>
      </c>
      <c r="H1719" t="s">
        <v>412</v>
      </c>
      <c r="I1719" t="s">
        <v>371</v>
      </c>
      <c r="J1719" t="s">
        <v>90</v>
      </c>
      <c r="K1719" t="s">
        <v>92</v>
      </c>
      <c r="L1719" t="s">
        <v>93</v>
      </c>
      <c r="M1719" t="s">
        <v>141</v>
      </c>
      <c r="N1719" t="s">
        <v>142</v>
      </c>
      <c r="O1719" t="s">
        <v>327</v>
      </c>
      <c r="P1719" t="s">
        <v>281</v>
      </c>
      <c r="Q1719" t="s">
        <v>328</v>
      </c>
      <c r="R1719" t="s">
        <v>350</v>
      </c>
      <c r="S1719" t="s">
        <v>477</v>
      </c>
      <c r="T1719">
        <v>5</v>
      </c>
      <c r="U1719" t="s">
        <v>478</v>
      </c>
      <c r="V1719" t="s">
        <v>479</v>
      </c>
      <c r="W1719" t="s">
        <v>480</v>
      </c>
      <c r="X1719" t="s">
        <v>331</v>
      </c>
      <c r="Y1719" t="s">
        <v>307</v>
      </c>
      <c r="Z1719">
        <v>70</v>
      </c>
      <c r="AA1719">
        <v>80</v>
      </c>
      <c r="AB1719" t="s">
        <v>143</v>
      </c>
      <c r="AC1719" t="s">
        <v>149</v>
      </c>
      <c r="AD1719" t="s">
        <v>509</v>
      </c>
      <c r="AE1719" t="str">
        <f>IF(AF1719="","",VLOOKUP(AC1719,mapel!$A$2:$B$42,2,FALSE))</f>
        <v>B.Indo</v>
      </c>
      <c r="AF1719">
        <f t="shared" si="78"/>
        <v>80</v>
      </c>
      <c r="AG1719" t="str">
        <f>IF(AF1719="","",IF(AF1719&gt;90,"Sangat baik",IF(AF1719&gt;79,"Baik",IF(AF1719&gt;=pub_gid_0_single_true_output_csv[[#This Row],[KKM]],"Cukup","Kurang"))))</f>
        <v>Baik</v>
      </c>
      <c r="AH1719">
        <f t="shared" si="79"/>
        <v>12</v>
      </c>
      <c r="AI1719" s="30" t="str">
        <f>IF(OR(J1719&lt;&gt;"Karakter",pub_gid_0_single_true_output_csv[[#This Row],[Nilai2]]=""),"",IF(AF1719&gt;89,"Sangat baik",IF(AF1719&gt;79,"Baik",IF(AF1719&gt;69,"Cukup",IF(AF1719&gt;59,"Kurang","Sangat kurang")))))</f>
        <v>Baik</v>
      </c>
      <c r="AJ1719" t="str">
        <f t="shared" si="80"/>
        <v>Wk.6</v>
      </c>
      <c r="AK1719" t="str">
        <f>IF(pub_gid_0_single_true_output_csv[[#This Row],[Nilai2]]="","",VLOOKUP(pub_gid_0_single_true_output_csv[[#This Row],[NAMA]],Table7[],3,FALSE))</f>
        <v>High average</v>
      </c>
    </row>
    <row r="1720" spans="1:37" x14ac:dyDescent="0.2">
      <c r="A1720">
        <v>1719</v>
      </c>
      <c r="B1720" t="s">
        <v>313</v>
      </c>
      <c r="C1720" t="s">
        <v>65</v>
      </c>
      <c r="D1720" t="s">
        <v>57</v>
      </c>
      <c r="E1720" t="s">
        <v>146</v>
      </c>
      <c r="F1720" s="25">
        <v>46062</v>
      </c>
      <c r="G1720" t="s">
        <v>376</v>
      </c>
      <c r="H1720" t="s">
        <v>412</v>
      </c>
      <c r="I1720" t="s">
        <v>371</v>
      </c>
      <c r="J1720" t="s">
        <v>36</v>
      </c>
      <c r="K1720" t="s">
        <v>362</v>
      </c>
      <c r="L1720" t="s">
        <v>363</v>
      </c>
      <c r="M1720" t="s">
        <v>141</v>
      </c>
      <c r="N1720" t="s">
        <v>142</v>
      </c>
      <c r="O1720" t="s">
        <v>327</v>
      </c>
      <c r="P1720" t="s">
        <v>281</v>
      </c>
      <c r="Q1720" t="s">
        <v>328</v>
      </c>
      <c r="R1720" t="s">
        <v>350</v>
      </c>
      <c r="S1720" t="s">
        <v>477</v>
      </c>
      <c r="T1720">
        <v>5</v>
      </c>
      <c r="U1720" t="s">
        <v>478</v>
      </c>
      <c r="V1720" t="s">
        <v>479</v>
      </c>
      <c r="W1720" t="s">
        <v>480</v>
      </c>
      <c r="X1720" t="s">
        <v>331</v>
      </c>
      <c r="Y1720" t="s">
        <v>307</v>
      </c>
      <c r="Z1720">
        <v>70</v>
      </c>
      <c r="AA1720">
        <v>80</v>
      </c>
      <c r="AB1720" t="s">
        <v>143</v>
      </c>
      <c r="AC1720" t="s">
        <v>149</v>
      </c>
      <c r="AD1720" t="s">
        <v>509</v>
      </c>
      <c r="AE1720" t="str">
        <f>IF(AF1720="","",VLOOKUP(AC1720,mapel!$A$2:$B$42,2,FALSE))</f>
        <v>B.Indo</v>
      </c>
      <c r="AF1720">
        <f t="shared" si="78"/>
        <v>80</v>
      </c>
      <c r="AG1720" t="str">
        <f>IF(AF1720="","",IF(AF1720&gt;90,"Sangat baik",IF(AF1720&gt;79,"Baik",IF(AF1720&gt;=pub_gid_0_single_true_output_csv[[#This Row],[KKM]],"Cukup","Kurang"))))</f>
        <v>Baik</v>
      </c>
      <c r="AH1720">
        <f t="shared" si="79"/>
        <v>12</v>
      </c>
      <c r="AI1720" s="30" t="str">
        <f>IF(OR(J1720&lt;&gt;"Karakter",pub_gid_0_single_true_output_csv[[#This Row],[Nilai2]]=""),"",IF(AF1720&gt;89,"Sangat baik",IF(AF1720&gt;79,"Baik",IF(AF1720&gt;69,"Cukup",IF(AF1720&gt;59,"Kurang","Sangat kurang")))))</f>
        <v/>
      </c>
      <c r="AJ1720" t="str">
        <f t="shared" si="80"/>
        <v>Wk.7</v>
      </c>
      <c r="AK1720" t="str">
        <f>IF(pub_gid_0_single_true_output_csv[[#This Row],[Nilai2]]="","",VLOOKUP(pub_gid_0_single_true_output_csv[[#This Row],[NAMA]],Table7[],3,FALSE))</f>
        <v>High average</v>
      </c>
    </row>
    <row r="1721" spans="1:37" x14ac:dyDescent="0.2">
      <c r="A1721">
        <v>1720</v>
      </c>
      <c r="B1721" t="s">
        <v>313</v>
      </c>
      <c r="C1721" t="s">
        <v>65</v>
      </c>
      <c r="D1721" t="s">
        <v>57</v>
      </c>
      <c r="E1721" t="s">
        <v>146</v>
      </c>
      <c r="F1721" s="25">
        <v>46066</v>
      </c>
      <c r="G1721" t="s">
        <v>358</v>
      </c>
      <c r="H1721" t="s">
        <v>412</v>
      </c>
      <c r="I1721" t="s">
        <v>371</v>
      </c>
      <c r="J1721" t="s">
        <v>279</v>
      </c>
      <c r="K1721" t="s">
        <v>280</v>
      </c>
      <c r="L1721" t="s">
        <v>351</v>
      </c>
      <c r="M1721" t="s">
        <v>141</v>
      </c>
      <c r="N1721" t="s">
        <v>142</v>
      </c>
      <c r="O1721" t="s">
        <v>327</v>
      </c>
      <c r="P1721" t="s">
        <v>281</v>
      </c>
      <c r="Q1721" t="s">
        <v>328</v>
      </c>
      <c r="R1721" t="s">
        <v>350</v>
      </c>
      <c r="S1721" t="s">
        <v>477</v>
      </c>
      <c r="T1721">
        <v>5</v>
      </c>
      <c r="U1721" t="s">
        <v>478</v>
      </c>
      <c r="V1721" t="s">
        <v>479</v>
      </c>
      <c r="W1721" t="s">
        <v>480</v>
      </c>
      <c r="X1721" t="s">
        <v>331</v>
      </c>
      <c r="Y1721" t="s">
        <v>307</v>
      </c>
      <c r="Z1721">
        <v>70</v>
      </c>
      <c r="AA1721">
        <v>80</v>
      </c>
      <c r="AB1721" t="s">
        <v>143</v>
      </c>
      <c r="AC1721" t="s">
        <v>149</v>
      </c>
      <c r="AD1721" t="s">
        <v>509</v>
      </c>
      <c r="AE1721" t="str">
        <f>IF(AF1721="","",VLOOKUP(AC1721,mapel!$A$2:$B$42,2,FALSE))</f>
        <v>B.Indo</v>
      </c>
      <c r="AF1721">
        <f t="shared" si="78"/>
        <v>80</v>
      </c>
      <c r="AG1721" t="str">
        <f>IF(AF1721="","",IF(AF1721&gt;90,"Sangat baik",IF(AF1721&gt;79,"Baik",IF(AF1721&gt;=pub_gid_0_single_true_output_csv[[#This Row],[KKM]],"Cukup","Kurang"))))</f>
        <v>Baik</v>
      </c>
      <c r="AH1721">
        <f t="shared" si="79"/>
        <v>12</v>
      </c>
      <c r="AI1721" s="30" t="str">
        <f>IF(OR(J1721&lt;&gt;"Karakter",pub_gid_0_single_true_output_csv[[#This Row],[Nilai2]]=""),"",IF(AF1721&gt;89,"Sangat baik",IF(AF1721&gt;79,"Baik",IF(AF1721&gt;69,"Cukup",IF(AF1721&gt;59,"Kurang","Sangat kurang")))))</f>
        <v/>
      </c>
      <c r="AJ1721" t="str">
        <f t="shared" si="80"/>
        <v>Wk.7</v>
      </c>
      <c r="AK1721" t="str">
        <f>IF(pub_gid_0_single_true_output_csv[[#This Row],[Nilai2]]="","",VLOOKUP(pub_gid_0_single_true_output_csv[[#This Row],[NAMA]],Table7[],3,FALSE))</f>
        <v>High average</v>
      </c>
    </row>
    <row r="1722" spans="1:37" x14ac:dyDescent="0.2">
      <c r="A1722">
        <v>1721</v>
      </c>
      <c r="B1722" t="s">
        <v>313</v>
      </c>
      <c r="C1722" t="s">
        <v>65</v>
      </c>
      <c r="D1722" t="s">
        <v>57</v>
      </c>
      <c r="E1722" t="s">
        <v>146</v>
      </c>
      <c r="F1722" s="25">
        <v>46069</v>
      </c>
      <c r="G1722" t="s">
        <v>382</v>
      </c>
      <c r="H1722" t="s">
        <v>412</v>
      </c>
      <c r="I1722" t="s">
        <v>371</v>
      </c>
      <c r="J1722" t="s">
        <v>90</v>
      </c>
      <c r="K1722" t="s">
        <v>92</v>
      </c>
      <c r="L1722" t="s">
        <v>95</v>
      </c>
      <c r="M1722" t="s">
        <v>141</v>
      </c>
      <c r="N1722" t="s">
        <v>142</v>
      </c>
      <c r="O1722" t="s">
        <v>327</v>
      </c>
      <c r="P1722" t="s">
        <v>281</v>
      </c>
      <c r="Q1722" t="s">
        <v>328</v>
      </c>
      <c r="R1722" t="s">
        <v>350</v>
      </c>
      <c r="S1722" t="s">
        <v>481</v>
      </c>
      <c r="T1722">
        <v>7</v>
      </c>
      <c r="U1722" t="s">
        <v>482</v>
      </c>
      <c r="V1722" t="s">
        <v>483</v>
      </c>
      <c r="W1722" t="s">
        <v>484</v>
      </c>
      <c r="X1722" t="s">
        <v>331</v>
      </c>
      <c r="Y1722" t="s">
        <v>307</v>
      </c>
      <c r="Z1722">
        <v>70</v>
      </c>
      <c r="AA1722">
        <v>85</v>
      </c>
      <c r="AB1722" t="s">
        <v>143</v>
      </c>
      <c r="AC1722" t="s">
        <v>149</v>
      </c>
      <c r="AD1722" t="s">
        <v>509</v>
      </c>
      <c r="AE1722" t="str">
        <f>IF(AF1722="","",VLOOKUP(AC1722,mapel!$A$2:$B$42,2,FALSE))</f>
        <v>B.Indo</v>
      </c>
      <c r="AF1722">
        <f t="shared" si="78"/>
        <v>85</v>
      </c>
      <c r="AG1722" t="str">
        <f>IF(AF1722="","",IF(AF1722&gt;90,"Sangat baik",IF(AF1722&gt;79,"Baik",IF(AF1722&gt;=pub_gid_0_single_true_output_csv[[#This Row],[KKM]],"Cukup","Kurang"))))</f>
        <v>Baik</v>
      </c>
      <c r="AH1722">
        <f t="shared" si="79"/>
        <v>12</v>
      </c>
      <c r="AI1722" s="30" t="str">
        <f>IF(OR(J1722&lt;&gt;"Karakter",pub_gid_0_single_true_output_csv[[#This Row],[Nilai2]]=""),"",IF(AF1722&gt;89,"Sangat baik",IF(AF1722&gt;79,"Baik",IF(AF1722&gt;69,"Cukup",IF(AF1722&gt;59,"Kurang","Sangat kurang")))))</f>
        <v>Baik</v>
      </c>
      <c r="AJ1722" t="str">
        <f t="shared" si="80"/>
        <v>Wk.8</v>
      </c>
      <c r="AK1722" t="str">
        <f>IF(pub_gid_0_single_true_output_csv[[#This Row],[Nilai2]]="","",VLOOKUP(pub_gid_0_single_true_output_csv[[#This Row],[NAMA]],Table7[],3,FALSE))</f>
        <v>High average</v>
      </c>
    </row>
    <row r="1723" spans="1:37" x14ac:dyDescent="0.2">
      <c r="A1723">
        <v>1722</v>
      </c>
      <c r="B1723" t="s">
        <v>313</v>
      </c>
      <c r="C1723" t="s">
        <v>65</v>
      </c>
      <c r="D1723" t="s">
        <v>57</v>
      </c>
      <c r="E1723" t="s">
        <v>146</v>
      </c>
      <c r="F1723" s="25">
        <v>46073</v>
      </c>
      <c r="G1723" t="s">
        <v>474</v>
      </c>
      <c r="H1723" t="s">
        <v>412</v>
      </c>
      <c r="I1723" t="s">
        <v>371</v>
      </c>
      <c r="J1723" t="s">
        <v>36</v>
      </c>
      <c r="K1723" t="s">
        <v>361</v>
      </c>
      <c r="L1723" t="s">
        <v>319</v>
      </c>
      <c r="M1723" t="s">
        <v>141</v>
      </c>
      <c r="N1723" t="s">
        <v>142</v>
      </c>
      <c r="O1723" t="s">
        <v>327</v>
      </c>
      <c r="P1723" t="s">
        <v>281</v>
      </c>
      <c r="Q1723" t="s">
        <v>328</v>
      </c>
      <c r="R1723" t="s">
        <v>350</v>
      </c>
      <c r="S1723" t="s">
        <v>481</v>
      </c>
      <c r="T1723">
        <v>7</v>
      </c>
      <c r="U1723" t="s">
        <v>482</v>
      </c>
      <c r="V1723" t="s">
        <v>483</v>
      </c>
      <c r="W1723" t="s">
        <v>484</v>
      </c>
      <c r="X1723" t="s">
        <v>331</v>
      </c>
      <c r="Y1723" t="s">
        <v>307</v>
      </c>
      <c r="Z1723">
        <v>70</v>
      </c>
      <c r="AA1723">
        <v>80</v>
      </c>
      <c r="AB1723" t="s">
        <v>143</v>
      </c>
      <c r="AC1723" t="s">
        <v>149</v>
      </c>
      <c r="AD1723" t="s">
        <v>509</v>
      </c>
      <c r="AE1723" t="str">
        <f>IF(AF1723="","",VLOOKUP(AC1723,mapel!$A$2:$B$42,2,FALSE))</f>
        <v>B.Indo</v>
      </c>
      <c r="AF1723">
        <f t="shared" si="78"/>
        <v>80</v>
      </c>
      <c r="AG1723" t="str">
        <f>IF(AF1723="","",IF(AF1723&gt;90,"Sangat baik",IF(AF1723&gt;79,"Baik",IF(AF1723&gt;=pub_gid_0_single_true_output_csv[[#This Row],[KKM]],"Cukup","Kurang"))))</f>
        <v>Baik</v>
      </c>
      <c r="AH1723">
        <f t="shared" si="79"/>
        <v>12</v>
      </c>
      <c r="AI1723" s="30" t="str">
        <f>IF(OR(J1723&lt;&gt;"Karakter",pub_gid_0_single_true_output_csv[[#This Row],[Nilai2]]=""),"",IF(AF1723&gt;89,"Sangat baik",IF(AF1723&gt;79,"Baik",IF(AF1723&gt;69,"Cukup",IF(AF1723&gt;59,"Kurang","Sangat kurang")))))</f>
        <v/>
      </c>
      <c r="AJ1723" t="str">
        <f t="shared" si="80"/>
        <v>Wk.8</v>
      </c>
      <c r="AK1723" t="str">
        <f>IF(pub_gid_0_single_true_output_csv[[#This Row],[Nilai2]]="","",VLOOKUP(pub_gid_0_single_true_output_csv[[#This Row],[NAMA]],Table7[],3,FALSE))</f>
        <v>High average</v>
      </c>
    </row>
    <row r="1724" spans="1:37" x14ac:dyDescent="0.2">
      <c r="A1724">
        <v>1723</v>
      </c>
      <c r="B1724" t="s">
        <v>313</v>
      </c>
      <c r="C1724" t="s">
        <v>65</v>
      </c>
      <c r="D1724" t="s">
        <v>57</v>
      </c>
      <c r="E1724" t="s">
        <v>146</v>
      </c>
      <c r="F1724" s="25">
        <v>46076</v>
      </c>
      <c r="G1724" t="s">
        <v>468</v>
      </c>
      <c r="H1724" t="s">
        <v>412</v>
      </c>
      <c r="I1724" t="s">
        <v>371</v>
      </c>
      <c r="J1724" t="s">
        <v>31</v>
      </c>
      <c r="K1724" t="s">
        <v>96</v>
      </c>
      <c r="L1724" t="s">
        <v>319</v>
      </c>
      <c r="M1724" t="s">
        <v>141</v>
      </c>
      <c r="N1724" t="s">
        <v>142</v>
      </c>
      <c r="O1724" t="s">
        <v>327</v>
      </c>
      <c r="P1724" t="s">
        <v>281</v>
      </c>
      <c r="Q1724" t="s">
        <v>328</v>
      </c>
      <c r="R1724" t="s">
        <v>350</v>
      </c>
      <c r="S1724" t="s">
        <v>481</v>
      </c>
      <c r="T1724">
        <v>7</v>
      </c>
      <c r="U1724" t="s">
        <v>482</v>
      </c>
      <c r="V1724" t="s">
        <v>483</v>
      </c>
      <c r="W1724" t="s">
        <v>484</v>
      </c>
      <c r="X1724" t="s">
        <v>331</v>
      </c>
      <c r="Y1724" t="s">
        <v>307</v>
      </c>
      <c r="Z1724">
        <v>70</v>
      </c>
      <c r="AA1724">
        <v>80</v>
      </c>
      <c r="AB1724" t="s">
        <v>143</v>
      </c>
      <c r="AC1724" t="s">
        <v>149</v>
      </c>
      <c r="AD1724" t="s">
        <v>509</v>
      </c>
      <c r="AE1724" t="str">
        <f>IF(AF1724="","",VLOOKUP(AC1724,mapel!$A$2:$B$42,2,FALSE))</f>
        <v>B.Indo</v>
      </c>
      <c r="AF1724">
        <f t="shared" si="78"/>
        <v>80</v>
      </c>
      <c r="AG1724" t="str">
        <f>IF(AF1724="","",IF(AF1724&gt;90,"Sangat baik",IF(AF1724&gt;79,"Baik",IF(AF1724&gt;=pub_gid_0_single_true_output_csv[[#This Row],[KKM]],"Cukup","Kurang"))))</f>
        <v>Baik</v>
      </c>
      <c r="AH1724">
        <f t="shared" si="79"/>
        <v>12</v>
      </c>
      <c r="AI1724" s="30" t="str">
        <f>IF(OR(J1724&lt;&gt;"Karakter",pub_gid_0_single_true_output_csv[[#This Row],[Nilai2]]=""),"",IF(AF1724&gt;89,"Sangat baik",IF(AF1724&gt;79,"Baik",IF(AF1724&gt;69,"Cukup",IF(AF1724&gt;59,"Kurang","Sangat kurang")))))</f>
        <v/>
      </c>
      <c r="AJ1724" t="str">
        <f t="shared" si="80"/>
        <v>Wk.9</v>
      </c>
      <c r="AK1724" t="str">
        <f>IF(pub_gid_0_single_true_output_csv[[#This Row],[Nilai2]]="","",VLOOKUP(pub_gid_0_single_true_output_csv[[#This Row],[NAMA]],Table7[],3,FALSE))</f>
        <v>High average</v>
      </c>
    </row>
    <row r="1725" spans="1:37" x14ac:dyDescent="0.2">
      <c r="A1725">
        <v>1724</v>
      </c>
      <c r="B1725" t="s">
        <v>314</v>
      </c>
      <c r="C1725" t="s">
        <v>65</v>
      </c>
      <c r="D1725" t="s">
        <v>58</v>
      </c>
      <c r="E1725" t="s">
        <v>140</v>
      </c>
      <c r="F1725" s="25">
        <v>46048</v>
      </c>
      <c r="G1725" t="s">
        <v>371</v>
      </c>
      <c r="H1725" t="s">
        <v>405</v>
      </c>
      <c r="I1725" t="s">
        <v>371</v>
      </c>
      <c r="J1725" t="s">
        <v>36</v>
      </c>
      <c r="K1725" t="s">
        <v>361</v>
      </c>
      <c r="L1725" t="s">
        <v>319</v>
      </c>
      <c r="M1725" t="s">
        <v>141</v>
      </c>
      <c r="N1725" t="s">
        <v>142</v>
      </c>
      <c r="O1725" t="s">
        <v>327</v>
      </c>
      <c r="P1725" t="s">
        <v>281</v>
      </c>
      <c r="Q1725" t="s">
        <v>328</v>
      </c>
      <c r="R1725" t="s">
        <v>350</v>
      </c>
      <c r="S1725" t="s">
        <v>477</v>
      </c>
      <c r="T1725">
        <v>5</v>
      </c>
      <c r="U1725" t="s">
        <v>478</v>
      </c>
      <c r="V1725" t="s">
        <v>479</v>
      </c>
      <c r="W1725" t="s">
        <v>480</v>
      </c>
      <c r="X1725" t="s">
        <v>331</v>
      </c>
      <c r="Y1725" t="s">
        <v>307</v>
      </c>
      <c r="Z1725">
        <v>70</v>
      </c>
      <c r="AA1725">
        <v>80</v>
      </c>
      <c r="AB1725" t="s">
        <v>143</v>
      </c>
      <c r="AC1725" t="s">
        <v>149</v>
      </c>
      <c r="AD1725" t="s">
        <v>509</v>
      </c>
      <c r="AE1725" t="str">
        <f>IF(AF1725="","",VLOOKUP(AC1725,mapel!$A$2:$B$42,2,FALSE))</f>
        <v>B.Indo</v>
      </c>
      <c r="AF1725">
        <f t="shared" si="78"/>
        <v>80</v>
      </c>
      <c r="AG1725" t="str">
        <f>IF(AF1725="","",IF(AF1725&gt;90,"Sangat baik",IF(AF1725&gt;79,"Baik",IF(AF1725&gt;=pub_gid_0_single_true_output_csv[[#This Row],[KKM]],"Cukup","Kurang"))))</f>
        <v>Baik</v>
      </c>
      <c r="AH1725">
        <f t="shared" si="79"/>
        <v>12</v>
      </c>
      <c r="AI1725" s="30" t="str">
        <f>IF(OR(J1725&lt;&gt;"Karakter",pub_gid_0_single_true_output_csv[[#This Row],[Nilai2]]=""),"",IF(AF1725&gt;89,"Sangat baik",IF(AF1725&gt;79,"Baik",IF(AF1725&gt;69,"Cukup",IF(AF1725&gt;59,"Kurang","Sangat kurang")))))</f>
        <v/>
      </c>
      <c r="AJ1725" t="str">
        <f t="shared" si="80"/>
        <v>Wk.5</v>
      </c>
      <c r="AK1725" t="str">
        <f>IF(pub_gid_0_single_true_output_csv[[#This Row],[Nilai2]]="","",VLOOKUP(pub_gid_0_single_true_output_csv[[#This Row],[NAMA]],Table7[],3,FALSE))</f>
        <v>Average</v>
      </c>
    </row>
    <row r="1726" spans="1:37" x14ac:dyDescent="0.2">
      <c r="A1726">
        <v>1725</v>
      </c>
      <c r="B1726" t="s">
        <v>314</v>
      </c>
      <c r="C1726" t="s">
        <v>65</v>
      </c>
      <c r="D1726" t="s">
        <v>58</v>
      </c>
      <c r="E1726" t="s">
        <v>140</v>
      </c>
      <c r="F1726" s="25">
        <v>46052</v>
      </c>
      <c r="G1726" t="s">
        <v>304</v>
      </c>
      <c r="H1726" t="s">
        <v>405</v>
      </c>
      <c r="I1726" t="s">
        <v>371</v>
      </c>
      <c r="J1726" t="s">
        <v>31</v>
      </c>
      <c r="K1726" t="s">
        <v>32</v>
      </c>
      <c r="L1726" t="s">
        <v>351</v>
      </c>
      <c r="M1726" t="s">
        <v>141</v>
      </c>
      <c r="N1726" t="s">
        <v>142</v>
      </c>
      <c r="O1726" t="s">
        <v>327</v>
      </c>
      <c r="P1726" t="s">
        <v>281</v>
      </c>
      <c r="Q1726" t="s">
        <v>328</v>
      </c>
      <c r="R1726" t="s">
        <v>350</v>
      </c>
      <c r="S1726" t="s">
        <v>477</v>
      </c>
      <c r="T1726">
        <v>5</v>
      </c>
      <c r="U1726" t="s">
        <v>478</v>
      </c>
      <c r="V1726" t="s">
        <v>479</v>
      </c>
      <c r="W1726" t="s">
        <v>480</v>
      </c>
      <c r="X1726" t="s">
        <v>331</v>
      </c>
      <c r="Y1726" t="s">
        <v>307</v>
      </c>
      <c r="Z1726">
        <v>70</v>
      </c>
      <c r="AA1726">
        <v>75</v>
      </c>
      <c r="AB1726" t="s">
        <v>143</v>
      </c>
      <c r="AC1726" t="s">
        <v>149</v>
      </c>
      <c r="AD1726" t="s">
        <v>509</v>
      </c>
      <c r="AE1726" t="str">
        <f>IF(AF1726="","",VLOOKUP(AC1726,mapel!$A$2:$B$42,2,FALSE))</f>
        <v>B.Indo</v>
      </c>
      <c r="AF1726">
        <f t="shared" si="78"/>
        <v>75</v>
      </c>
      <c r="AG1726" t="str">
        <f>IF(AF1726="","",IF(AF1726&gt;90,"Sangat baik",IF(AF1726&gt;79,"Baik",IF(AF1726&gt;=pub_gid_0_single_true_output_csv[[#This Row],[KKM]],"Cukup","Kurang"))))</f>
        <v>Cukup</v>
      </c>
      <c r="AH1726">
        <f t="shared" si="79"/>
        <v>12</v>
      </c>
      <c r="AI1726" s="30" t="str">
        <f>IF(OR(J1726&lt;&gt;"Karakter",pub_gid_0_single_true_output_csv[[#This Row],[Nilai2]]=""),"",IF(AF1726&gt;89,"Sangat baik",IF(AF1726&gt;79,"Baik",IF(AF1726&gt;69,"Cukup",IF(AF1726&gt;59,"Kurang","Sangat kurang")))))</f>
        <v/>
      </c>
      <c r="AJ1726" t="str">
        <f t="shared" si="80"/>
        <v>Wk.5</v>
      </c>
      <c r="AK1726" t="str">
        <f>IF(pub_gid_0_single_true_output_csv[[#This Row],[Nilai2]]="","",VLOOKUP(pub_gid_0_single_true_output_csv[[#This Row],[NAMA]],Table7[],3,FALSE))</f>
        <v>Average</v>
      </c>
    </row>
    <row r="1727" spans="1:37" x14ac:dyDescent="0.2">
      <c r="A1727">
        <v>1726</v>
      </c>
      <c r="B1727" t="s">
        <v>314</v>
      </c>
      <c r="C1727" t="s">
        <v>65</v>
      </c>
      <c r="D1727" t="s">
        <v>58</v>
      </c>
      <c r="E1727" t="s">
        <v>140</v>
      </c>
      <c r="F1727" s="25">
        <v>46055</v>
      </c>
      <c r="G1727" t="s">
        <v>379</v>
      </c>
      <c r="H1727" t="s">
        <v>412</v>
      </c>
      <c r="I1727" t="s">
        <v>371</v>
      </c>
      <c r="J1727" t="s">
        <v>90</v>
      </c>
      <c r="K1727" t="s">
        <v>92</v>
      </c>
      <c r="L1727" t="s">
        <v>93</v>
      </c>
      <c r="M1727" t="s">
        <v>141</v>
      </c>
      <c r="N1727" t="s">
        <v>142</v>
      </c>
      <c r="O1727" t="s">
        <v>327</v>
      </c>
      <c r="P1727" t="s">
        <v>281</v>
      </c>
      <c r="Q1727" t="s">
        <v>328</v>
      </c>
      <c r="R1727" t="s">
        <v>350</v>
      </c>
      <c r="S1727" t="s">
        <v>477</v>
      </c>
      <c r="T1727">
        <v>5</v>
      </c>
      <c r="U1727" t="s">
        <v>478</v>
      </c>
      <c r="V1727" t="s">
        <v>479</v>
      </c>
      <c r="W1727" t="s">
        <v>480</v>
      </c>
      <c r="X1727" t="s">
        <v>331</v>
      </c>
      <c r="Y1727" t="s">
        <v>307</v>
      </c>
      <c r="Z1727">
        <v>70</v>
      </c>
      <c r="AA1727">
        <v>80</v>
      </c>
      <c r="AB1727" t="s">
        <v>143</v>
      </c>
      <c r="AC1727" t="s">
        <v>149</v>
      </c>
      <c r="AD1727" t="s">
        <v>509</v>
      </c>
      <c r="AE1727" t="str">
        <f>IF(AF1727="","",VLOOKUP(AC1727,mapel!$A$2:$B$42,2,FALSE))</f>
        <v>B.Indo</v>
      </c>
      <c r="AF1727">
        <f t="shared" si="78"/>
        <v>80</v>
      </c>
      <c r="AG1727" t="str">
        <f>IF(AF1727="","",IF(AF1727&gt;90,"Sangat baik",IF(AF1727&gt;79,"Baik",IF(AF1727&gt;=pub_gid_0_single_true_output_csv[[#This Row],[KKM]],"Cukup","Kurang"))))</f>
        <v>Baik</v>
      </c>
      <c r="AH1727">
        <f t="shared" si="79"/>
        <v>12</v>
      </c>
      <c r="AI1727" s="30" t="str">
        <f>IF(OR(J1727&lt;&gt;"Karakter",pub_gid_0_single_true_output_csv[[#This Row],[Nilai2]]=""),"",IF(AF1727&gt;89,"Sangat baik",IF(AF1727&gt;79,"Baik",IF(AF1727&gt;69,"Cukup",IF(AF1727&gt;59,"Kurang","Sangat kurang")))))</f>
        <v>Baik</v>
      </c>
      <c r="AJ1727" t="str">
        <f t="shared" si="80"/>
        <v>Wk.6</v>
      </c>
      <c r="AK1727" t="str">
        <f>IF(pub_gid_0_single_true_output_csv[[#This Row],[Nilai2]]="","",VLOOKUP(pub_gid_0_single_true_output_csv[[#This Row],[NAMA]],Table7[],3,FALSE))</f>
        <v>Average</v>
      </c>
    </row>
    <row r="1728" spans="1:37" x14ac:dyDescent="0.2">
      <c r="A1728">
        <v>1727</v>
      </c>
      <c r="B1728" t="s">
        <v>314</v>
      </c>
      <c r="C1728" t="s">
        <v>65</v>
      </c>
      <c r="D1728" t="s">
        <v>58</v>
      </c>
      <c r="E1728" t="s">
        <v>140</v>
      </c>
      <c r="F1728" s="25">
        <v>46062</v>
      </c>
      <c r="G1728" t="s">
        <v>376</v>
      </c>
      <c r="H1728" t="s">
        <v>412</v>
      </c>
      <c r="I1728" t="s">
        <v>371</v>
      </c>
      <c r="J1728" t="s">
        <v>36</v>
      </c>
      <c r="K1728" t="s">
        <v>362</v>
      </c>
      <c r="L1728" t="s">
        <v>363</v>
      </c>
      <c r="M1728" t="s">
        <v>141</v>
      </c>
      <c r="N1728" t="s">
        <v>142</v>
      </c>
      <c r="O1728" t="s">
        <v>327</v>
      </c>
      <c r="P1728" t="s">
        <v>281</v>
      </c>
      <c r="Q1728" t="s">
        <v>328</v>
      </c>
      <c r="R1728" t="s">
        <v>350</v>
      </c>
      <c r="S1728" t="s">
        <v>477</v>
      </c>
      <c r="T1728">
        <v>5</v>
      </c>
      <c r="U1728" t="s">
        <v>478</v>
      </c>
      <c r="V1728" t="s">
        <v>479</v>
      </c>
      <c r="W1728" t="s">
        <v>480</v>
      </c>
      <c r="X1728" t="s">
        <v>331</v>
      </c>
      <c r="Y1728" t="s">
        <v>307</v>
      </c>
      <c r="Z1728">
        <v>70</v>
      </c>
      <c r="AA1728">
        <v>80</v>
      </c>
      <c r="AB1728" t="s">
        <v>143</v>
      </c>
      <c r="AC1728" t="s">
        <v>149</v>
      </c>
      <c r="AD1728" t="s">
        <v>509</v>
      </c>
      <c r="AE1728" t="str">
        <f>IF(AF1728="","",VLOOKUP(AC1728,mapel!$A$2:$B$42,2,FALSE))</f>
        <v>B.Indo</v>
      </c>
      <c r="AF1728">
        <f t="shared" si="78"/>
        <v>80</v>
      </c>
      <c r="AG1728" t="str">
        <f>IF(AF1728="","",IF(AF1728&gt;90,"Sangat baik",IF(AF1728&gt;79,"Baik",IF(AF1728&gt;=pub_gid_0_single_true_output_csv[[#This Row],[KKM]],"Cukup","Kurang"))))</f>
        <v>Baik</v>
      </c>
      <c r="AH1728">
        <f t="shared" si="79"/>
        <v>12</v>
      </c>
      <c r="AI1728" s="30" t="str">
        <f>IF(OR(J1728&lt;&gt;"Karakter",pub_gid_0_single_true_output_csv[[#This Row],[Nilai2]]=""),"",IF(AF1728&gt;89,"Sangat baik",IF(AF1728&gt;79,"Baik",IF(AF1728&gt;69,"Cukup",IF(AF1728&gt;59,"Kurang","Sangat kurang")))))</f>
        <v/>
      </c>
      <c r="AJ1728" t="str">
        <f t="shared" si="80"/>
        <v>Wk.7</v>
      </c>
      <c r="AK1728" t="str">
        <f>IF(pub_gid_0_single_true_output_csv[[#This Row],[Nilai2]]="","",VLOOKUP(pub_gid_0_single_true_output_csv[[#This Row],[NAMA]],Table7[],3,FALSE))</f>
        <v>Average</v>
      </c>
    </row>
    <row r="1729" spans="1:37" x14ac:dyDescent="0.2">
      <c r="A1729">
        <v>1728</v>
      </c>
      <c r="B1729" t="s">
        <v>314</v>
      </c>
      <c r="C1729" t="s">
        <v>65</v>
      </c>
      <c r="D1729" t="s">
        <v>58</v>
      </c>
      <c r="E1729" t="s">
        <v>140</v>
      </c>
      <c r="F1729" s="25">
        <v>46066</v>
      </c>
      <c r="G1729" t="s">
        <v>358</v>
      </c>
      <c r="H1729" t="s">
        <v>412</v>
      </c>
      <c r="I1729" t="s">
        <v>371</v>
      </c>
      <c r="J1729" t="s">
        <v>279</v>
      </c>
      <c r="K1729" t="s">
        <v>280</v>
      </c>
      <c r="L1729" t="s">
        <v>351</v>
      </c>
      <c r="M1729" t="s">
        <v>141</v>
      </c>
      <c r="N1729" t="s">
        <v>142</v>
      </c>
      <c r="O1729" t="s">
        <v>327</v>
      </c>
      <c r="P1729" t="s">
        <v>281</v>
      </c>
      <c r="Q1729" t="s">
        <v>328</v>
      </c>
      <c r="R1729" t="s">
        <v>350</v>
      </c>
      <c r="S1729" t="s">
        <v>477</v>
      </c>
      <c r="T1729">
        <v>5</v>
      </c>
      <c r="U1729" t="s">
        <v>478</v>
      </c>
      <c r="V1729" t="s">
        <v>479</v>
      </c>
      <c r="W1729" t="s">
        <v>480</v>
      </c>
      <c r="X1729" t="s">
        <v>331</v>
      </c>
      <c r="Y1729" t="s">
        <v>307</v>
      </c>
      <c r="Z1729">
        <v>70</v>
      </c>
      <c r="AA1729">
        <v>80</v>
      </c>
      <c r="AB1729" t="s">
        <v>143</v>
      </c>
      <c r="AC1729" t="s">
        <v>149</v>
      </c>
      <c r="AD1729" t="s">
        <v>509</v>
      </c>
      <c r="AE1729" t="str">
        <f>IF(AF1729="","",VLOOKUP(AC1729,mapel!$A$2:$B$42,2,FALSE))</f>
        <v>B.Indo</v>
      </c>
      <c r="AF1729">
        <f t="shared" si="78"/>
        <v>80</v>
      </c>
      <c r="AG1729" t="str">
        <f>IF(AF1729="","",IF(AF1729&gt;90,"Sangat baik",IF(AF1729&gt;79,"Baik",IF(AF1729&gt;=pub_gid_0_single_true_output_csv[[#This Row],[KKM]],"Cukup","Kurang"))))</f>
        <v>Baik</v>
      </c>
      <c r="AH1729">
        <f t="shared" si="79"/>
        <v>12</v>
      </c>
      <c r="AI1729" s="30" t="str">
        <f>IF(OR(J1729&lt;&gt;"Karakter",pub_gid_0_single_true_output_csv[[#This Row],[Nilai2]]=""),"",IF(AF1729&gt;89,"Sangat baik",IF(AF1729&gt;79,"Baik",IF(AF1729&gt;69,"Cukup",IF(AF1729&gt;59,"Kurang","Sangat kurang")))))</f>
        <v/>
      </c>
      <c r="AJ1729" t="str">
        <f t="shared" si="80"/>
        <v>Wk.7</v>
      </c>
      <c r="AK1729" t="str">
        <f>IF(pub_gid_0_single_true_output_csv[[#This Row],[Nilai2]]="","",VLOOKUP(pub_gid_0_single_true_output_csv[[#This Row],[NAMA]],Table7[],3,FALSE))</f>
        <v>Average</v>
      </c>
    </row>
    <row r="1730" spans="1:37" x14ac:dyDescent="0.2">
      <c r="A1730">
        <v>1729</v>
      </c>
      <c r="B1730" t="s">
        <v>314</v>
      </c>
      <c r="C1730" t="s">
        <v>65</v>
      </c>
      <c r="D1730" t="s">
        <v>58</v>
      </c>
      <c r="E1730" t="s">
        <v>140</v>
      </c>
      <c r="F1730" s="25">
        <v>46069</v>
      </c>
      <c r="G1730" t="s">
        <v>382</v>
      </c>
      <c r="H1730" t="s">
        <v>412</v>
      </c>
      <c r="I1730" t="s">
        <v>371</v>
      </c>
      <c r="J1730" t="s">
        <v>90</v>
      </c>
      <c r="K1730" t="s">
        <v>92</v>
      </c>
      <c r="L1730" t="s">
        <v>95</v>
      </c>
      <c r="M1730" t="s">
        <v>141</v>
      </c>
      <c r="N1730" t="s">
        <v>142</v>
      </c>
      <c r="O1730" t="s">
        <v>327</v>
      </c>
      <c r="P1730" t="s">
        <v>281</v>
      </c>
      <c r="Q1730" t="s">
        <v>328</v>
      </c>
      <c r="R1730" t="s">
        <v>350</v>
      </c>
      <c r="S1730" t="s">
        <v>481</v>
      </c>
      <c r="T1730">
        <v>7</v>
      </c>
      <c r="U1730" t="s">
        <v>482</v>
      </c>
      <c r="V1730" t="s">
        <v>483</v>
      </c>
      <c r="W1730" t="s">
        <v>484</v>
      </c>
      <c r="X1730" t="s">
        <v>331</v>
      </c>
      <c r="Y1730" t="s">
        <v>307</v>
      </c>
      <c r="Z1730">
        <v>70</v>
      </c>
      <c r="AA1730">
        <v>85</v>
      </c>
      <c r="AB1730" t="s">
        <v>143</v>
      </c>
      <c r="AC1730" t="s">
        <v>149</v>
      </c>
      <c r="AD1730" t="s">
        <v>509</v>
      </c>
      <c r="AE1730" t="str">
        <f>IF(AF1730="","",VLOOKUP(AC1730,mapel!$A$2:$B$42,2,FALSE))</f>
        <v>B.Indo</v>
      </c>
      <c r="AF1730">
        <f t="shared" ref="AF1730:AF1793" si="81">IF(AA1730=0, "",IF(AA1730 = 0.1, 0,AA1730))</f>
        <v>85</v>
      </c>
      <c r="AG1730" t="str">
        <f>IF(AF1730="","",IF(AF1730&gt;90,"Sangat baik",IF(AF1730&gt;79,"Baik",IF(AF1730&gt;=pub_gid_0_single_true_output_csv[[#This Row],[KKM]],"Cukup","Kurang"))))</f>
        <v>Baik</v>
      </c>
      <c r="AH1730">
        <f t="shared" ref="AH1730:AH1793" si="82">IF(AG1730="","",VALUE(RIGHT(X1730,2)))</f>
        <v>12</v>
      </c>
      <c r="AI1730" s="30" t="str">
        <f>IF(OR(J1730&lt;&gt;"Karakter",pub_gid_0_single_true_output_csv[[#This Row],[Nilai2]]=""),"",IF(AF1730&gt;89,"Sangat baik",IF(AF1730&gt;79,"Baik",IF(AF1730&gt;69,"Cukup",IF(AF1730&gt;59,"Kurang","Sangat kurang")))))</f>
        <v>Baik</v>
      </c>
      <c r="AJ1730" t="str">
        <f t="shared" ref="AJ1730:AJ1793" si="83">IF(AF1730="","",CONCATENATE("Wk.",WEEKNUM(F1730,2)))</f>
        <v>Wk.8</v>
      </c>
      <c r="AK1730" t="str">
        <f>IF(pub_gid_0_single_true_output_csv[[#This Row],[Nilai2]]="","",VLOOKUP(pub_gid_0_single_true_output_csv[[#This Row],[NAMA]],Table7[],3,FALSE))</f>
        <v>Average</v>
      </c>
    </row>
    <row r="1731" spans="1:37" x14ac:dyDescent="0.2">
      <c r="A1731">
        <v>1730</v>
      </c>
      <c r="B1731" t="s">
        <v>314</v>
      </c>
      <c r="C1731" t="s">
        <v>65</v>
      </c>
      <c r="D1731" t="s">
        <v>58</v>
      </c>
      <c r="E1731" t="s">
        <v>140</v>
      </c>
      <c r="F1731" s="25">
        <v>46073</v>
      </c>
      <c r="G1731" t="s">
        <v>474</v>
      </c>
      <c r="H1731" t="s">
        <v>412</v>
      </c>
      <c r="I1731" t="s">
        <v>371</v>
      </c>
      <c r="J1731" t="s">
        <v>36</v>
      </c>
      <c r="K1731" t="s">
        <v>361</v>
      </c>
      <c r="L1731" t="s">
        <v>319</v>
      </c>
      <c r="M1731" t="s">
        <v>141</v>
      </c>
      <c r="N1731" t="s">
        <v>142</v>
      </c>
      <c r="O1731" t="s">
        <v>327</v>
      </c>
      <c r="P1731" t="s">
        <v>281</v>
      </c>
      <c r="Q1731" t="s">
        <v>328</v>
      </c>
      <c r="R1731" t="s">
        <v>350</v>
      </c>
      <c r="S1731" t="s">
        <v>481</v>
      </c>
      <c r="T1731">
        <v>7</v>
      </c>
      <c r="U1731" t="s">
        <v>482</v>
      </c>
      <c r="V1731" t="s">
        <v>483</v>
      </c>
      <c r="W1731" t="s">
        <v>484</v>
      </c>
      <c r="X1731" t="s">
        <v>331</v>
      </c>
      <c r="Y1731" t="s">
        <v>307</v>
      </c>
      <c r="Z1731">
        <v>70</v>
      </c>
      <c r="AA1731">
        <v>80</v>
      </c>
      <c r="AB1731" t="s">
        <v>143</v>
      </c>
      <c r="AC1731" t="s">
        <v>149</v>
      </c>
      <c r="AD1731" t="s">
        <v>509</v>
      </c>
      <c r="AE1731" t="str">
        <f>IF(AF1731="","",VLOOKUP(AC1731,mapel!$A$2:$B$42,2,FALSE))</f>
        <v>B.Indo</v>
      </c>
      <c r="AF1731">
        <f t="shared" si="81"/>
        <v>80</v>
      </c>
      <c r="AG1731" t="str">
        <f>IF(AF1731="","",IF(AF1731&gt;90,"Sangat baik",IF(AF1731&gt;79,"Baik",IF(AF1731&gt;=pub_gid_0_single_true_output_csv[[#This Row],[KKM]],"Cukup","Kurang"))))</f>
        <v>Baik</v>
      </c>
      <c r="AH1731">
        <f t="shared" si="82"/>
        <v>12</v>
      </c>
      <c r="AI1731" s="30" t="str">
        <f>IF(OR(J1731&lt;&gt;"Karakter",pub_gid_0_single_true_output_csv[[#This Row],[Nilai2]]=""),"",IF(AF1731&gt;89,"Sangat baik",IF(AF1731&gt;79,"Baik",IF(AF1731&gt;69,"Cukup",IF(AF1731&gt;59,"Kurang","Sangat kurang")))))</f>
        <v/>
      </c>
      <c r="AJ1731" t="str">
        <f t="shared" si="83"/>
        <v>Wk.8</v>
      </c>
      <c r="AK1731" t="str">
        <f>IF(pub_gid_0_single_true_output_csv[[#This Row],[Nilai2]]="","",VLOOKUP(pub_gid_0_single_true_output_csv[[#This Row],[NAMA]],Table7[],3,FALSE))</f>
        <v>Average</v>
      </c>
    </row>
    <row r="1732" spans="1:37" x14ac:dyDescent="0.2">
      <c r="A1732">
        <v>1731</v>
      </c>
      <c r="B1732" t="s">
        <v>314</v>
      </c>
      <c r="C1732" t="s">
        <v>65</v>
      </c>
      <c r="D1732" t="s">
        <v>58</v>
      </c>
      <c r="E1732" t="s">
        <v>140</v>
      </c>
      <c r="F1732" s="25">
        <v>46076</v>
      </c>
      <c r="G1732" t="s">
        <v>468</v>
      </c>
      <c r="H1732" t="s">
        <v>412</v>
      </c>
      <c r="I1732" t="s">
        <v>371</v>
      </c>
      <c r="J1732" t="s">
        <v>31</v>
      </c>
      <c r="K1732" t="s">
        <v>96</v>
      </c>
      <c r="L1732" t="s">
        <v>319</v>
      </c>
      <c r="M1732" t="s">
        <v>141</v>
      </c>
      <c r="N1732" t="s">
        <v>142</v>
      </c>
      <c r="O1732" t="s">
        <v>327</v>
      </c>
      <c r="P1732" t="s">
        <v>281</v>
      </c>
      <c r="Q1732" t="s">
        <v>328</v>
      </c>
      <c r="R1732" t="s">
        <v>350</v>
      </c>
      <c r="S1732" t="s">
        <v>481</v>
      </c>
      <c r="T1732">
        <v>7</v>
      </c>
      <c r="U1732" t="s">
        <v>482</v>
      </c>
      <c r="V1732" t="s">
        <v>483</v>
      </c>
      <c r="W1732" t="s">
        <v>484</v>
      </c>
      <c r="X1732" t="s">
        <v>331</v>
      </c>
      <c r="Y1732" t="s">
        <v>307</v>
      </c>
      <c r="Z1732">
        <v>70</v>
      </c>
      <c r="AA1732">
        <v>80</v>
      </c>
      <c r="AB1732" t="s">
        <v>143</v>
      </c>
      <c r="AC1732" t="s">
        <v>149</v>
      </c>
      <c r="AD1732" t="s">
        <v>509</v>
      </c>
      <c r="AE1732" t="str">
        <f>IF(AF1732="","",VLOOKUP(AC1732,mapel!$A$2:$B$42,2,FALSE))</f>
        <v>B.Indo</v>
      </c>
      <c r="AF1732">
        <f t="shared" si="81"/>
        <v>80</v>
      </c>
      <c r="AG1732" t="str">
        <f>IF(AF1732="","",IF(AF1732&gt;90,"Sangat baik",IF(AF1732&gt;79,"Baik",IF(AF1732&gt;=pub_gid_0_single_true_output_csv[[#This Row],[KKM]],"Cukup","Kurang"))))</f>
        <v>Baik</v>
      </c>
      <c r="AH1732">
        <f t="shared" si="82"/>
        <v>12</v>
      </c>
      <c r="AI1732" s="30" t="str">
        <f>IF(OR(J1732&lt;&gt;"Karakter",pub_gid_0_single_true_output_csv[[#This Row],[Nilai2]]=""),"",IF(AF1732&gt;89,"Sangat baik",IF(AF1732&gt;79,"Baik",IF(AF1732&gt;69,"Cukup",IF(AF1732&gt;59,"Kurang","Sangat kurang")))))</f>
        <v/>
      </c>
      <c r="AJ1732" t="str">
        <f t="shared" si="83"/>
        <v>Wk.9</v>
      </c>
      <c r="AK1732" t="str">
        <f>IF(pub_gid_0_single_true_output_csv[[#This Row],[Nilai2]]="","",VLOOKUP(pub_gid_0_single_true_output_csv[[#This Row],[NAMA]],Table7[],3,FALSE))</f>
        <v>Average</v>
      </c>
    </row>
    <row r="1733" spans="1:37" x14ac:dyDescent="0.2">
      <c r="A1733">
        <v>1732</v>
      </c>
      <c r="B1733" t="s">
        <v>332</v>
      </c>
      <c r="C1733" t="s">
        <v>65</v>
      </c>
      <c r="D1733" t="s">
        <v>59</v>
      </c>
      <c r="E1733" t="s">
        <v>333</v>
      </c>
      <c r="F1733" s="25">
        <v>46048</v>
      </c>
      <c r="G1733" t="s">
        <v>371</v>
      </c>
      <c r="H1733" t="s">
        <v>405</v>
      </c>
      <c r="I1733" t="s">
        <v>371</v>
      </c>
      <c r="J1733" t="s">
        <v>36</v>
      </c>
      <c r="K1733" t="s">
        <v>361</v>
      </c>
      <c r="L1733" t="s">
        <v>319</v>
      </c>
      <c r="M1733" t="s">
        <v>141</v>
      </c>
      <c r="N1733" t="s">
        <v>142</v>
      </c>
      <c r="O1733" t="s">
        <v>327</v>
      </c>
      <c r="P1733" t="s">
        <v>281</v>
      </c>
      <c r="Q1733" t="s">
        <v>328</v>
      </c>
      <c r="R1733" t="s">
        <v>350</v>
      </c>
      <c r="S1733" t="s">
        <v>477</v>
      </c>
      <c r="T1733">
        <v>5</v>
      </c>
      <c r="U1733" t="s">
        <v>478</v>
      </c>
      <c r="V1733" t="s">
        <v>479</v>
      </c>
      <c r="W1733" t="s">
        <v>480</v>
      </c>
      <c r="X1733" t="s">
        <v>331</v>
      </c>
      <c r="Y1733" t="s">
        <v>307</v>
      </c>
      <c r="Z1733">
        <v>70</v>
      </c>
      <c r="AA1733">
        <v>90</v>
      </c>
      <c r="AB1733" t="s">
        <v>143</v>
      </c>
      <c r="AC1733" t="s">
        <v>149</v>
      </c>
      <c r="AD1733" t="s">
        <v>509</v>
      </c>
      <c r="AE1733" t="str">
        <f>IF(AF1733="","",VLOOKUP(AC1733,mapel!$A$2:$B$42,2,FALSE))</f>
        <v>B.Indo</v>
      </c>
      <c r="AF1733">
        <f t="shared" si="81"/>
        <v>90</v>
      </c>
      <c r="AG1733" t="str">
        <f>IF(AF1733="","",IF(AF1733&gt;90,"Sangat baik",IF(AF1733&gt;79,"Baik",IF(AF1733&gt;=pub_gid_0_single_true_output_csv[[#This Row],[KKM]],"Cukup","Kurang"))))</f>
        <v>Baik</v>
      </c>
      <c r="AH1733">
        <f t="shared" si="82"/>
        <v>12</v>
      </c>
      <c r="AI1733" s="30" t="str">
        <f>IF(OR(J1733&lt;&gt;"Karakter",pub_gid_0_single_true_output_csv[[#This Row],[Nilai2]]=""),"",IF(AF1733&gt;89,"Sangat baik",IF(AF1733&gt;79,"Baik",IF(AF1733&gt;69,"Cukup",IF(AF1733&gt;59,"Kurang","Sangat kurang")))))</f>
        <v/>
      </c>
      <c r="AJ1733" t="str">
        <f t="shared" si="83"/>
        <v>Wk.5</v>
      </c>
      <c r="AK1733" t="str">
        <f>IF(pub_gid_0_single_true_output_csv[[#This Row],[Nilai2]]="","",VLOOKUP(pub_gid_0_single_true_output_csv[[#This Row],[NAMA]],Table7[],3,FALSE))</f>
        <v>Superior</v>
      </c>
    </row>
    <row r="1734" spans="1:37" x14ac:dyDescent="0.2">
      <c r="A1734">
        <v>1733</v>
      </c>
      <c r="B1734" t="s">
        <v>332</v>
      </c>
      <c r="C1734" t="s">
        <v>65</v>
      </c>
      <c r="D1734" t="s">
        <v>59</v>
      </c>
      <c r="E1734" t="s">
        <v>333</v>
      </c>
      <c r="F1734" s="25">
        <v>46052</v>
      </c>
      <c r="G1734" t="s">
        <v>304</v>
      </c>
      <c r="H1734" t="s">
        <v>405</v>
      </c>
      <c r="I1734" t="s">
        <v>371</v>
      </c>
      <c r="J1734" t="s">
        <v>31</v>
      </c>
      <c r="K1734" t="s">
        <v>32</v>
      </c>
      <c r="L1734" t="s">
        <v>351</v>
      </c>
      <c r="M1734" t="s">
        <v>141</v>
      </c>
      <c r="N1734" t="s">
        <v>142</v>
      </c>
      <c r="O1734" t="s">
        <v>327</v>
      </c>
      <c r="P1734" t="s">
        <v>281</v>
      </c>
      <c r="Q1734" t="s">
        <v>328</v>
      </c>
      <c r="R1734" t="s">
        <v>350</v>
      </c>
      <c r="S1734" t="s">
        <v>477</v>
      </c>
      <c r="T1734">
        <v>5</v>
      </c>
      <c r="U1734" t="s">
        <v>478</v>
      </c>
      <c r="V1734" t="s">
        <v>479</v>
      </c>
      <c r="W1734" t="s">
        <v>480</v>
      </c>
      <c r="X1734" t="s">
        <v>331</v>
      </c>
      <c r="Y1734" t="s">
        <v>307</v>
      </c>
      <c r="Z1734">
        <v>70</v>
      </c>
      <c r="AA1734">
        <v>80</v>
      </c>
      <c r="AB1734" t="s">
        <v>143</v>
      </c>
      <c r="AC1734" t="s">
        <v>149</v>
      </c>
      <c r="AD1734" t="s">
        <v>509</v>
      </c>
      <c r="AE1734" t="str">
        <f>IF(AF1734="","",VLOOKUP(AC1734,mapel!$A$2:$B$42,2,FALSE))</f>
        <v>B.Indo</v>
      </c>
      <c r="AF1734">
        <f t="shared" si="81"/>
        <v>80</v>
      </c>
      <c r="AG1734" t="str">
        <f>IF(AF1734="","",IF(AF1734&gt;90,"Sangat baik",IF(AF1734&gt;79,"Baik",IF(AF1734&gt;=pub_gid_0_single_true_output_csv[[#This Row],[KKM]],"Cukup","Kurang"))))</f>
        <v>Baik</v>
      </c>
      <c r="AH1734">
        <f t="shared" si="82"/>
        <v>12</v>
      </c>
      <c r="AI1734" s="30" t="str">
        <f>IF(OR(J1734&lt;&gt;"Karakter",pub_gid_0_single_true_output_csv[[#This Row],[Nilai2]]=""),"",IF(AF1734&gt;89,"Sangat baik",IF(AF1734&gt;79,"Baik",IF(AF1734&gt;69,"Cukup",IF(AF1734&gt;59,"Kurang","Sangat kurang")))))</f>
        <v/>
      </c>
      <c r="AJ1734" t="str">
        <f t="shared" si="83"/>
        <v>Wk.5</v>
      </c>
      <c r="AK1734" t="str">
        <f>IF(pub_gid_0_single_true_output_csv[[#This Row],[Nilai2]]="","",VLOOKUP(pub_gid_0_single_true_output_csv[[#This Row],[NAMA]],Table7[],3,FALSE))</f>
        <v>Superior</v>
      </c>
    </row>
    <row r="1735" spans="1:37" x14ac:dyDescent="0.2">
      <c r="A1735">
        <v>1734</v>
      </c>
      <c r="B1735" t="s">
        <v>332</v>
      </c>
      <c r="C1735" t="s">
        <v>65</v>
      </c>
      <c r="D1735" t="s">
        <v>59</v>
      </c>
      <c r="E1735" t="s">
        <v>333</v>
      </c>
      <c r="F1735" s="25">
        <v>46055</v>
      </c>
      <c r="G1735" t="s">
        <v>379</v>
      </c>
      <c r="H1735" t="s">
        <v>412</v>
      </c>
      <c r="I1735" t="s">
        <v>371</v>
      </c>
      <c r="J1735" t="s">
        <v>90</v>
      </c>
      <c r="K1735" t="s">
        <v>92</v>
      </c>
      <c r="L1735" t="s">
        <v>93</v>
      </c>
      <c r="M1735" t="s">
        <v>141</v>
      </c>
      <c r="N1735" t="s">
        <v>142</v>
      </c>
      <c r="O1735" t="s">
        <v>327</v>
      </c>
      <c r="P1735" t="s">
        <v>281</v>
      </c>
      <c r="Q1735" t="s">
        <v>328</v>
      </c>
      <c r="R1735" t="s">
        <v>350</v>
      </c>
      <c r="S1735" t="s">
        <v>477</v>
      </c>
      <c r="T1735">
        <v>5</v>
      </c>
      <c r="U1735" t="s">
        <v>478</v>
      </c>
      <c r="V1735" t="s">
        <v>479</v>
      </c>
      <c r="W1735" t="s">
        <v>480</v>
      </c>
      <c r="X1735" t="s">
        <v>331</v>
      </c>
      <c r="Y1735" t="s">
        <v>307</v>
      </c>
      <c r="Z1735">
        <v>70</v>
      </c>
      <c r="AA1735">
        <v>80</v>
      </c>
      <c r="AB1735" t="s">
        <v>143</v>
      </c>
      <c r="AC1735" t="s">
        <v>149</v>
      </c>
      <c r="AD1735" t="s">
        <v>509</v>
      </c>
      <c r="AE1735" t="str">
        <f>IF(AF1735="","",VLOOKUP(AC1735,mapel!$A$2:$B$42,2,FALSE))</f>
        <v>B.Indo</v>
      </c>
      <c r="AF1735">
        <f t="shared" si="81"/>
        <v>80</v>
      </c>
      <c r="AG1735" t="str">
        <f>IF(AF1735="","",IF(AF1735&gt;90,"Sangat baik",IF(AF1735&gt;79,"Baik",IF(AF1735&gt;=pub_gid_0_single_true_output_csv[[#This Row],[KKM]],"Cukup","Kurang"))))</f>
        <v>Baik</v>
      </c>
      <c r="AH1735">
        <f t="shared" si="82"/>
        <v>12</v>
      </c>
      <c r="AI1735" s="30" t="str">
        <f>IF(OR(J1735&lt;&gt;"Karakter",pub_gid_0_single_true_output_csv[[#This Row],[Nilai2]]=""),"",IF(AF1735&gt;89,"Sangat baik",IF(AF1735&gt;79,"Baik",IF(AF1735&gt;69,"Cukup",IF(AF1735&gt;59,"Kurang","Sangat kurang")))))</f>
        <v>Baik</v>
      </c>
      <c r="AJ1735" t="str">
        <f t="shared" si="83"/>
        <v>Wk.6</v>
      </c>
      <c r="AK1735" t="str">
        <f>IF(pub_gid_0_single_true_output_csv[[#This Row],[Nilai2]]="","",VLOOKUP(pub_gid_0_single_true_output_csv[[#This Row],[NAMA]],Table7[],3,FALSE))</f>
        <v>Superior</v>
      </c>
    </row>
    <row r="1736" spans="1:37" x14ac:dyDescent="0.2">
      <c r="A1736">
        <v>1735</v>
      </c>
      <c r="B1736" t="s">
        <v>332</v>
      </c>
      <c r="C1736" t="s">
        <v>65</v>
      </c>
      <c r="D1736" t="s">
        <v>59</v>
      </c>
      <c r="E1736" t="s">
        <v>333</v>
      </c>
      <c r="F1736" s="25">
        <v>46062</v>
      </c>
      <c r="G1736" t="s">
        <v>376</v>
      </c>
      <c r="H1736" t="s">
        <v>412</v>
      </c>
      <c r="I1736" t="s">
        <v>371</v>
      </c>
      <c r="J1736" t="s">
        <v>36</v>
      </c>
      <c r="K1736" t="s">
        <v>362</v>
      </c>
      <c r="L1736" t="s">
        <v>363</v>
      </c>
      <c r="M1736" t="s">
        <v>141</v>
      </c>
      <c r="N1736" t="s">
        <v>142</v>
      </c>
      <c r="O1736" t="s">
        <v>327</v>
      </c>
      <c r="P1736" t="s">
        <v>281</v>
      </c>
      <c r="Q1736" t="s">
        <v>328</v>
      </c>
      <c r="R1736" t="s">
        <v>350</v>
      </c>
      <c r="S1736" t="s">
        <v>477</v>
      </c>
      <c r="T1736">
        <v>5</v>
      </c>
      <c r="U1736" t="s">
        <v>478</v>
      </c>
      <c r="V1736" t="s">
        <v>479</v>
      </c>
      <c r="W1736" t="s">
        <v>480</v>
      </c>
      <c r="X1736" t="s">
        <v>331</v>
      </c>
      <c r="Y1736" t="s">
        <v>307</v>
      </c>
      <c r="Z1736">
        <v>70</v>
      </c>
      <c r="AA1736">
        <v>85</v>
      </c>
      <c r="AB1736" t="s">
        <v>143</v>
      </c>
      <c r="AC1736" t="s">
        <v>149</v>
      </c>
      <c r="AD1736" t="s">
        <v>509</v>
      </c>
      <c r="AE1736" t="str">
        <f>IF(AF1736="","",VLOOKUP(AC1736,mapel!$A$2:$B$42,2,FALSE))</f>
        <v>B.Indo</v>
      </c>
      <c r="AF1736">
        <f t="shared" si="81"/>
        <v>85</v>
      </c>
      <c r="AG1736" t="str">
        <f>IF(AF1736="","",IF(AF1736&gt;90,"Sangat baik",IF(AF1736&gt;79,"Baik",IF(AF1736&gt;=pub_gid_0_single_true_output_csv[[#This Row],[KKM]],"Cukup","Kurang"))))</f>
        <v>Baik</v>
      </c>
      <c r="AH1736">
        <f t="shared" si="82"/>
        <v>12</v>
      </c>
      <c r="AI1736" s="30" t="str">
        <f>IF(OR(J1736&lt;&gt;"Karakter",pub_gid_0_single_true_output_csv[[#This Row],[Nilai2]]=""),"",IF(AF1736&gt;89,"Sangat baik",IF(AF1736&gt;79,"Baik",IF(AF1736&gt;69,"Cukup",IF(AF1736&gt;59,"Kurang","Sangat kurang")))))</f>
        <v/>
      </c>
      <c r="AJ1736" t="str">
        <f t="shared" si="83"/>
        <v>Wk.7</v>
      </c>
      <c r="AK1736" t="str">
        <f>IF(pub_gid_0_single_true_output_csv[[#This Row],[Nilai2]]="","",VLOOKUP(pub_gid_0_single_true_output_csv[[#This Row],[NAMA]],Table7[],3,FALSE))</f>
        <v>Superior</v>
      </c>
    </row>
    <row r="1737" spans="1:37" x14ac:dyDescent="0.2">
      <c r="A1737">
        <v>1736</v>
      </c>
      <c r="B1737" t="s">
        <v>332</v>
      </c>
      <c r="C1737" t="s">
        <v>65</v>
      </c>
      <c r="D1737" t="s">
        <v>59</v>
      </c>
      <c r="E1737" t="s">
        <v>333</v>
      </c>
      <c r="F1737" s="25">
        <v>46066</v>
      </c>
      <c r="G1737" t="s">
        <v>358</v>
      </c>
      <c r="H1737" t="s">
        <v>412</v>
      </c>
      <c r="I1737" t="s">
        <v>371</v>
      </c>
      <c r="J1737" t="s">
        <v>279</v>
      </c>
      <c r="K1737" t="s">
        <v>280</v>
      </c>
      <c r="L1737" t="s">
        <v>351</v>
      </c>
      <c r="M1737" t="s">
        <v>141</v>
      </c>
      <c r="N1737" t="s">
        <v>142</v>
      </c>
      <c r="O1737" t="s">
        <v>327</v>
      </c>
      <c r="P1737" t="s">
        <v>281</v>
      </c>
      <c r="Q1737" t="s">
        <v>328</v>
      </c>
      <c r="R1737" t="s">
        <v>350</v>
      </c>
      <c r="S1737" t="s">
        <v>477</v>
      </c>
      <c r="T1737">
        <v>5</v>
      </c>
      <c r="U1737" t="s">
        <v>478</v>
      </c>
      <c r="V1737" t="s">
        <v>479</v>
      </c>
      <c r="W1737" t="s">
        <v>480</v>
      </c>
      <c r="X1737" t="s">
        <v>331</v>
      </c>
      <c r="Y1737" t="s">
        <v>307</v>
      </c>
      <c r="Z1737">
        <v>70</v>
      </c>
      <c r="AA1737">
        <v>85</v>
      </c>
      <c r="AB1737" t="s">
        <v>143</v>
      </c>
      <c r="AC1737" t="s">
        <v>149</v>
      </c>
      <c r="AD1737" t="s">
        <v>509</v>
      </c>
      <c r="AE1737" t="str">
        <f>IF(AF1737="","",VLOOKUP(AC1737,mapel!$A$2:$B$42,2,FALSE))</f>
        <v>B.Indo</v>
      </c>
      <c r="AF1737">
        <f t="shared" si="81"/>
        <v>85</v>
      </c>
      <c r="AG1737" t="str">
        <f>IF(AF1737="","",IF(AF1737&gt;90,"Sangat baik",IF(AF1737&gt;79,"Baik",IF(AF1737&gt;=pub_gid_0_single_true_output_csv[[#This Row],[KKM]],"Cukup","Kurang"))))</f>
        <v>Baik</v>
      </c>
      <c r="AH1737">
        <f t="shared" si="82"/>
        <v>12</v>
      </c>
      <c r="AI1737" s="30" t="str">
        <f>IF(OR(J1737&lt;&gt;"Karakter",pub_gid_0_single_true_output_csv[[#This Row],[Nilai2]]=""),"",IF(AF1737&gt;89,"Sangat baik",IF(AF1737&gt;79,"Baik",IF(AF1737&gt;69,"Cukup",IF(AF1737&gt;59,"Kurang","Sangat kurang")))))</f>
        <v/>
      </c>
      <c r="AJ1737" t="str">
        <f t="shared" si="83"/>
        <v>Wk.7</v>
      </c>
      <c r="AK1737" t="str">
        <f>IF(pub_gid_0_single_true_output_csv[[#This Row],[Nilai2]]="","",VLOOKUP(pub_gid_0_single_true_output_csv[[#This Row],[NAMA]],Table7[],3,FALSE))</f>
        <v>Superior</v>
      </c>
    </row>
    <row r="1738" spans="1:37" x14ac:dyDescent="0.2">
      <c r="A1738">
        <v>1737</v>
      </c>
      <c r="B1738" t="s">
        <v>332</v>
      </c>
      <c r="C1738" t="s">
        <v>65</v>
      </c>
      <c r="D1738" t="s">
        <v>59</v>
      </c>
      <c r="E1738" t="s">
        <v>333</v>
      </c>
      <c r="F1738" s="25">
        <v>46069</v>
      </c>
      <c r="G1738" t="s">
        <v>382</v>
      </c>
      <c r="H1738" t="s">
        <v>412</v>
      </c>
      <c r="I1738" t="s">
        <v>371</v>
      </c>
      <c r="J1738" t="s">
        <v>90</v>
      </c>
      <c r="K1738" t="s">
        <v>92</v>
      </c>
      <c r="L1738" t="s">
        <v>95</v>
      </c>
      <c r="M1738" t="s">
        <v>141</v>
      </c>
      <c r="N1738" t="s">
        <v>142</v>
      </c>
      <c r="O1738" t="s">
        <v>327</v>
      </c>
      <c r="P1738" t="s">
        <v>281</v>
      </c>
      <c r="Q1738" t="s">
        <v>328</v>
      </c>
      <c r="R1738" t="s">
        <v>350</v>
      </c>
      <c r="S1738" t="s">
        <v>481</v>
      </c>
      <c r="T1738">
        <v>7</v>
      </c>
      <c r="U1738" t="s">
        <v>482</v>
      </c>
      <c r="V1738" t="s">
        <v>483</v>
      </c>
      <c r="W1738" t="s">
        <v>484</v>
      </c>
      <c r="X1738" t="s">
        <v>331</v>
      </c>
      <c r="Y1738" t="s">
        <v>307</v>
      </c>
      <c r="Z1738">
        <v>70</v>
      </c>
      <c r="AA1738">
        <v>85</v>
      </c>
      <c r="AB1738" t="s">
        <v>143</v>
      </c>
      <c r="AC1738" t="s">
        <v>149</v>
      </c>
      <c r="AD1738" t="s">
        <v>509</v>
      </c>
      <c r="AE1738" t="str">
        <f>IF(AF1738="","",VLOOKUP(AC1738,mapel!$A$2:$B$42,2,FALSE))</f>
        <v>B.Indo</v>
      </c>
      <c r="AF1738">
        <f t="shared" si="81"/>
        <v>85</v>
      </c>
      <c r="AG1738" t="str">
        <f>IF(AF1738="","",IF(AF1738&gt;90,"Sangat baik",IF(AF1738&gt;79,"Baik",IF(AF1738&gt;=pub_gid_0_single_true_output_csv[[#This Row],[KKM]],"Cukup","Kurang"))))</f>
        <v>Baik</v>
      </c>
      <c r="AH1738">
        <f t="shared" si="82"/>
        <v>12</v>
      </c>
      <c r="AI1738" s="30" t="str">
        <f>IF(OR(J1738&lt;&gt;"Karakter",pub_gid_0_single_true_output_csv[[#This Row],[Nilai2]]=""),"",IF(AF1738&gt;89,"Sangat baik",IF(AF1738&gt;79,"Baik",IF(AF1738&gt;69,"Cukup",IF(AF1738&gt;59,"Kurang","Sangat kurang")))))</f>
        <v>Baik</v>
      </c>
      <c r="AJ1738" t="str">
        <f t="shared" si="83"/>
        <v>Wk.8</v>
      </c>
      <c r="AK1738" t="str">
        <f>IF(pub_gid_0_single_true_output_csv[[#This Row],[Nilai2]]="","",VLOOKUP(pub_gid_0_single_true_output_csv[[#This Row],[NAMA]],Table7[],3,FALSE))</f>
        <v>Superior</v>
      </c>
    </row>
    <row r="1739" spans="1:37" x14ac:dyDescent="0.2">
      <c r="A1739">
        <v>1738</v>
      </c>
      <c r="B1739" t="s">
        <v>332</v>
      </c>
      <c r="C1739" t="s">
        <v>65</v>
      </c>
      <c r="D1739" t="s">
        <v>59</v>
      </c>
      <c r="E1739" t="s">
        <v>333</v>
      </c>
      <c r="F1739" s="25">
        <v>46073</v>
      </c>
      <c r="G1739" t="s">
        <v>474</v>
      </c>
      <c r="H1739" t="s">
        <v>412</v>
      </c>
      <c r="I1739" t="s">
        <v>371</v>
      </c>
      <c r="J1739" t="s">
        <v>36</v>
      </c>
      <c r="K1739" t="s">
        <v>361</v>
      </c>
      <c r="L1739" t="s">
        <v>319</v>
      </c>
      <c r="M1739" t="s">
        <v>141</v>
      </c>
      <c r="N1739" t="s">
        <v>142</v>
      </c>
      <c r="O1739" t="s">
        <v>327</v>
      </c>
      <c r="P1739" t="s">
        <v>281</v>
      </c>
      <c r="Q1739" t="s">
        <v>328</v>
      </c>
      <c r="R1739" t="s">
        <v>350</v>
      </c>
      <c r="S1739" t="s">
        <v>481</v>
      </c>
      <c r="T1739">
        <v>7</v>
      </c>
      <c r="U1739" t="s">
        <v>482</v>
      </c>
      <c r="V1739" t="s">
        <v>483</v>
      </c>
      <c r="W1739" t="s">
        <v>484</v>
      </c>
      <c r="X1739" t="s">
        <v>331</v>
      </c>
      <c r="Y1739" t="s">
        <v>307</v>
      </c>
      <c r="Z1739">
        <v>70</v>
      </c>
      <c r="AA1739">
        <v>85</v>
      </c>
      <c r="AB1739" t="s">
        <v>143</v>
      </c>
      <c r="AC1739" t="s">
        <v>149</v>
      </c>
      <c r="AD1739" t="s">
        <v>509</v>
      </c>
      <c r="AE1739" t="str">
        <f>IF(AF1739="","",VLOOKUP(AC1739,mapel!$A$2:$B$42,2,FALSE))</f>
        <v>B.Indo</v>
      </c>
      <c r="AF1739">
        <f t="shared" si="81"/>
        <v>85</v>
      </c>
      <c r="AG1739" t="str">
        <f>IF(AF1739="","",IF(AF1739&gt;90,"Sangat baik",IF(AF1739&gt;79,"Baik",IF(AF1739&gt;=pub_gid_0_single_true_output_csv[[#This Row],[KKM]],"Cukup","Kurang"))))</f>
        <v>Baik</v>
      </c>
      <c r="AH1739">
        <f t="shared" si="82"/>
        <v>12</v>
      </c>
      <c r="AI1739" s="30" t="str">
        <f>IF(OR(J1739&lt;&gt;"Karakter",pub_gid_0_single_true_output_csv[[#This Row],[Nilai2]]=""),"",IF(AF1739&gt;89,"Sangat baik",IF(AF1739&gt;79,"Baik",IF(AF1739&gt;69,"Cukup",IF(AF1739&gt;59,"Kurang","Sangat kurang")))))</f>
        <v/>
      </c>
      <c r="AJ1739" t="str">
        <f t="shared" si="83"/>
        <v>Wk.8</v>
      </c>
      <c r="AK1739" t="str">
        <f>IF(pub_gid_0_single_true_output_csv[[#This Row],[Nilai2]]="","",VLOOKUP(pub_gid_0_single_true_output_csv[[#This Row],[NAMA]],Table7[],3,FALSE))</f>
        <v>Superior</v>
      </c>
    </row>
    <row r="1740" spans="1:37" x14ac:dyDescent="0.2">
      <c r="A1740">
        <v>1739</v>
      </c>
      <c r="B1740" t="s">
        <v>332</v>
      </c>
      <c r="C1740" t="s">
        <v>65</v>
      </c>
      <c r="D1740" t="s">
        <v>59</v>
      </c>
      <c r="E1740" t="s">
        <v>333</v>
      </c>
      <c r="F1740" s="25">
        <v>46076</v>
      </c>
      <c r="G1740" t="s">
        <v>468</v>
      </c>
      <c r="H1740" t="s">
        <v>412</v>
      </c>
      <c r="I1740" t="s">
        <v>371</v>
      </c>
      <c r="J1740" t="s">
        <v>31</v>
      </c>
      <c r="K1740" t="s">
        <v>96</v>
      </c>
      <c r="L1740" t="s">
        <v>319</v>
      </c>
      <c r="M1740" t="s">
        <v>141</v>
      </c>
      <c r="N1740" t="s">
        <v>142</v>
      </c>
      <c r="O1740" t="s">
        <v>327</v>
      </c>
      <c r="P1740" t="s">
        <v>281</v>
      </c>
      <c r="Q1740" t="s">
        <v>328</v>
      </c>
      <c r="R1740" t="s">
        <v>350</v>
      </c>
      <c r="S1740" t="s">
        <v>481</v>
      </c>
      <c r="T1740">
        <v>7</v>
      </c>
      <c r="U1740" t="s">
        <v>482</v>
      </c>
      <c r="V1740" t="s">
        <v>483</v>
      </c>
      <c r="W1740" t="s">
        <v>484</v>
      </c>
      <c r="X1740" t="s">
        <v>331</v>
      </c>
      <c r="Y1740" t="s">
        <v>307</v>
      </c>
      <c r="Z1740">
        <v>70</v>
      </c>
      <c r="AA1740">
        <v>80</v>
      </c>
      <c r="AB1740" t="s">
        <v>143</v>
      </c>
      <c r="AC1740" t="s">
        <v>149</v>
      </c>
      <c r="AD1740" t="s">
        <v>509</v>
      </c>
      <c r="AE1740" t="str">
        <f>IF(AF1740="","",VLOOKUP(AC1740,mapel!$A$2:$B$42,2,FALSE))</f>
        <v>B.Indo</v>
      </c>
      <c r="AF1740">
        <f t="shared" si="81"/>
        <v>80</v>
      </c>
      <c r="AG1740" t="str">
        <f>IF(AF1740="","",IF(AF1740&gt;90,"Sangat baik",IF(AF1740&gt;79,"Baik",IF(AF1740&gt;=pub_gid_0_single_true_output_csv[[#This Row],[KKM]],"Cukup","Kurang"))))</f>
        <v>Baik</v>
      </c>
      <c r="AH1740">
        <f t="shared" si="82"/>
        <v>12</v>
      </c>
      <c r="AI1740" s="30" t="str">
        <f>IF(OR(J1740&lt;&gt;"Karakter",pub_gid_0_single_true_output_csv[[#This Row],[Nilai2]]=""),"",IF(AF1740&gt;89,"Sangat baik",IF(AF1740&gt;79,"Baik",IF(AF1740&gt;69,"Cukup",IF(AF1740&gt;59,"Kurang","Sangat kurang")))))</f>
        <v/>
      </c>
      <c r="AJ1740" t="str">
        <f t="shared" si="83"/>
        <v>Wk.9</v>
      </c>
      <c r="AK1740" t="str">
        <f>IF(pub_gid_0_single_true_output_csv[[#This Row],[Nilai2]]="","",VLOOKUP(pub_gid_0_single_true_output_csv[[#This Row],[NAMA]],Table7[],3,FALSE))</f>
        <v>Superior</v>
      </c>
    </row>
    <row r="1741" spans="1:37" x14ac:dyDescent="0.2">
      <c r="A1741">
        <v>1740</v>
      </c>
      <c r="B1741" t="s">
        <v>315</v>
      </c>
      <c r="C1741" t="s">
        <v>65</v>
      </c>
      <c r="D1741" t="s">
        <v>60</v>
      </c>
      <c r="E1741" t="s">
        <v>140</v>
      </c>
      <c r="F1741" s="25">
        <v>46048</v>
      </c>
      <c r="G1741" t="s">
        <v>371</v>
      </c>
      <c r="H1741" t="s">
        <v>405</v>
      </c>
      <c r="I1741" t="s">
        <v>371</v>
      </c>
      <c r="J1741" t="s">
        <v>36</v>
      </c>
      <c r="K1741" t="s">
        <v>361</v>
      </c>
      <c r="L1741" t="s">
        <v>319</v>
      </c>
      <c r="M1741" t="s">
        <v>141</v>
      </c>
      <c r="N1741" t="s">
        <v>142</v>
      </c>
      <c r="O1741" t="s">
        <v>327</v>
      </c>
      <c r="P1741" t="s">
        <v>281</v>
      </c>
      <c r="Q1741" t="s">
        <v>328</v>
      </c>
      <c r="R1741" t="s">
        <v>350</v>
      </c>
      <c r="S1741" t="s">
        <v>477</v>
      </c>
      <c r="T1741">
        <v>5</v>
      </c>
      <c r="U1741" t="s">
        <v>478</v>
      </c>
      <c r="V1741" t="s">
        <v>479</v>
      </c>
      <c r="W1741" t="s">
        <v>480</v>
      </c>
      <c r="X1741" t="s">
        <v>331</v>
      </c>
      <c r="Y1741" t="s">
        <v>307</v>
      </c>
      <c r="Z1741">
        <v>70</v>
      </c>
      <c r="AA1741">
        <v>85</v>
      </c>
      <c r="AB1741" t="s">
        <v>143</v>
      </c>
      <c r="AC1741" t="s">
        <v>149</v>
      </c>
      <c r="AD1741" t="s">
        <v>509</v>
      </c>
      <c r="AE1741" t="str">
        <f>IF(AF1741="","",VLOOKUP(AC1741,mapel!$A$2:$B$42,2,FALSE))</f>
        <v>B.Indo</v>
      </c>
      <c r="AF1741">
        <f t="shared" si="81"/>
        <v>85</v>
      </c>
      <c r="AG1741" t="str">
        <f>IF(AF1741="","",IF(AF1741&gt;90,"Sangat baik",IF(AF1741&gt;79,"Baik",IF(AF1741&gt;=pub_gid_0_single_true_output_csv[[#This Row],[KKM]],"Cukup","Kurang"))))</f>
        <v>Baik</v>
      </c>
      <c r="AH1741">
        <f t="shared" si="82"/>
        <v>12</v>
      </c>
      <c r="AI1741" s="30" t="str">
        <f>IF(OR(J1741&lt;&gt;"Karakter",pub_gid_0_single_true_output_csv[[#This Row],[Nilai2]]=""),"",IF(AF1741&gt;89,"Sangat baik",IF(AF1741&gt;79,"Baik",IF(AF1741&gt;69,"Cukup",IF(AF1741&gt;59,"Kurang","Sangat kurang")))))</f>
        <v/>
      </c>
      <c r="AJ1741" t="str">
        <f t="shared" si="83"/>
        <v>Wk.5</v>
      </c>
      <c r="AK1741" t="str">
        <f>IF(pub_gid_0_single_true_output_csv[[#This Row],[Nilai2]]="","",VLOOKUP(pub_gid_0_single_true_output_csv[[#This Row],[NAMA]],Table7[],3,FALSE))</f>
        <v>High average</v>
      </c>
    </row>
    <row r="1742" spans="1:37" x14ac:dyDescent="0.2">
      <c r="A1742">
        <v>1741</v>
      </c>
      <c r="B1742" t="s">
        <v>315</v>
      </c>
      <c r="C1742" t="s">
        <v>65</v>
      </c>
      <c r="D1742" t="s">
        <v>60</v>
      </c>
      <c r="E1742" t="s">
        <v>140</v>
      </c>
      <c r="F1742" s="25">
        <v>46052</v>
      </c>
      <c r="G1742" t="s">
        <v>304</v>
      </c>
      <c r="H1742" t="s">
        <v>405</v>
      </c>
      <c r="I1742" t="s">
        <v>371</v>
      </c>
      <c r="J1742" t="s">
        <v>31</v>
      </c>
      <c r="K1742" t="s">
        <v>32</v>
      </c>
      <c r="L1742" t="s">
        <v>351</v>
      </c>
      <c r="M1742" t="s">
        <v>141</v>
      </c>
      <c r="N1742" t="s">
        <v>142</v>
      </c>
      <c r="O1742" t="s">
        <v>327</v>
      </c>
      <c r="P1742" t="s">
        <v>281</v>
      </c>
      <c r="Q1742" t="s">
        <v>328</v>
      </c>
      <c r="R1742" t="s">
        <v>350</v>
      </c>
      <c r="S1742" t="s">
        <v>477</v>
      </c>
      <c r="T1742">
        <v>5</v>
      </c>
      <c r="U1742" t="s">
        <v>478</v>
      </c>
      <c r="V1742" t="s">
        <v>479</v>
      </c>
      <c r="W1742" t="s">
        <v>480</v>
      </c>
      <c r="X1742" t="s">
        <v>331</v>
      </c>
      <c r="Y1742" t="s">
        <v>307</v>
      </c>
      <c r="Z1742">
        <v>70</v>
      </c>
      <c r="AA1742">
        <v>75</v>
      </c>
      <c r="AB1742" t="s">
        <v>143</v>
      </c>
      <c r="AC1742" t="s">
        <v>149</v>
      </c>
      <c r="AD1742" t="s">
        <v>509</v>
      </c>
      <c r="AE1742" t="str">
        <f>IF(AF1742="","",VLOOKUP(AC1742,mapel!$A$2:$B$42,2,FALSE))</f>
        <v>B.Indo</v>
      </c>
      <c r="AF1742">
        <f t="shared" si="81"/>
        <v>75</v>
      </c>
      <c r="AG1742" t="str">
        <f>IF(AF1742="","",IF(AF1742&gt;90,"Sangat baik",IF(AF1742&gt;79,"Baik",IF(AF1742&gt;=pub_gid_0_single_true_output_csv[[#This Row],[KKM]],"Cukup","Kurang"))))</f>
        <v>Cukup</v>
      </c>
      <c r="AH1742">
        <f t="shared" si="82"/>
        <v>12</v>
      </c>
      <c r="AI1742" s="30" t="str">
        <f>IF(OR(J1742&lt;&gt;"Karakter",pub_gid_0_single_true_output_csv[[#This Row],[Nilai2]]=""),"",IF(AF1742&gt;89,"Sangat baik",IF(AF1742&gt;79,"Baik",IF(AF1742&gt;69,"Cukup",IF(AF1742&gt;59,"Kurang","Sangat kurang")))))</f>
        <v/>
      </c>
      <c r="AJ1742" t="str">
        <f t="shared" si="83"/>
        <v>Wk.5</v>
      </c>
      <c r="AK1742" t="str">
        <f>IF(pub_gid_0_single_true_output_csv[[#This Row],[Nilai2]]="","",VLOOKUP(pub_gid_0_single_true_output_csv[[#This Row],[NAMA]],Table7[],3,FALSE))</f>
        <v>High average</v>
      </c>
    </row>
    <row r="1743" spans="1:37" x14ac:dyDescent="0.2">
      <c r="A1743">
        <v>1742</v>
      </c>
      <c r="B1743" t="s">
        <v>315</v>
      </c>
      <c r="C1743" t="s">
        <v>65</v>
      </c>
      <c r="D1743" t="s">
        <v>60</v>
      </c>
      <c r="E1743" t="s">
        <v>140</v>
      </c>
      <c r="F1743" s="25">
        <v>46055</v>
      </c>
      <c r="G1743" t="s">
        <v>379</v>
      </c>
      <c r="H1743" t="s">
        <v>412</v>
      </c>
      <c r="I1743" t="s">
        <v>371</v>
      </c>
      <c r="J1743" t="s">
        <v>90</v>
      </c>
      <c r="K1743" t="s">
        <v>92</v>
      </c>
      <c r="L1743" t="s">
        <v>93</v>
      </c>
      <c r="M1743" t="s">
        <v>141</v>
      </c>
      <c r="N1743" t="s">
        <v>142</v>
      </c>
      <c r="O1743" t="s">
        <v>327</v>
      </c>
      <c r="P1743" t="s">
        <v>281</v>
      </c>
      <c r="Q1743" t="s">
        <v>328</v>
      </c>
      <c r="R1743" t="s">
        <v>350</v>
      </c>
      <c r="S1743" t="s">
        <v>477</v>
      </c>
      <c r="T1743">
        <v>5</v>
      </c>
      <c r="U1743" t="s">
        <v>478</v>
      </c>
      <c r="V1743" t="s">
        <v>479</v>
      </c>
      <c r="W1743" t="s">
        <v>480</v>
      </c>
      <c r="X1743" t="s">
        <v>331</v>
      </c>
      <c r="Y1743" t="s">
        <v>307</v>
      </c>
      <c r="Z1743">
        <v>70</v>
      </c>
      <c r="AA1743">
        <v>80</v>
      </c>
      <c r="AB1743" t="s">
        <v>143</v>
      </c>
      <c r="AC1743" t="s">
        <v>149</v>
      </c>
      <c r="AD1743" t="s">
        <v>509</v>
      </c>
      <c r="AE1743" t="str">
        <f>IF(AF1743="","",VLOOKUP(AC1743,mapel!$A$2:$B$42,2,FALSE))</f>
        <v>B.Indo</v>
      </c>
      <c r="AF1743">
        <f t="shared" si="81"/>
        <v>80</v>
      </c>
      <c r="AG1743" t="str">
        <f>IF(AF1743="","",IF(AF1743&gt;90,"Sangat baik",IF(AF1743&gt;79,"Baik",IF(AF1743&gt;=pub_gid_0_single_true_output_csv[[#This Row],[KKM]],"Cukup","Kurang"))))</f>
        <v>Baik</v>
      </c>
      <c r="AH1743">
        <f t="shared" si="82"/>
        <v>12</v>
      </c>
      <c r="AI1743" s="30" t="str">
        <f>IF(OR(J1743&lt;&gt;"Karakter",pub_gid_0_single_true_output_csv[[#This Row],[Nilai2]]=""),"",IF(AF1743&gt;89,"Sangat baik",IF(AF1743&gt;79,"Baik",IF(AF1743&gt;69,"Cukup",IF(AF1743&gt;59,"Kurang","Sangat kurang")))))</f>
        <v>Baik</v>
      </c>
      <c r="AJ1743" t="str">
        <f t="shared" si="83"/>
        <v>Wk.6</v>
      </c>
      <c r="AK1743" t="str">
        <f>IF(pub_gid_0_single_true_output_csv[[#This Row],[Nilai2]]="","",VLOOKUP(pub_gid_0_single_true_output_csv[[#This Row],[NAMA]],Table7[],3,FALSE))</f>
        <v>High average</v>
      </c>
    </row>
    <row r="1744" spans="1:37" x14ac:dyDescent="0.2">
      <c r="A1744">
        <v>1743</v>
      </c>
      <c r="B1744" t="s">
        <v>315</v>
      </c>
      <c r="C1744" t="s">
        <v>65</v>
      </c>
      <c r="D1744" t="s">
        <v>60</v>
      </c>
      <c r="E1744" t="s">
        <v>140</v>
      </c>
      <c r="F1744" s="25">
        <v>46062</v>
      </c>
      <c r="G1744" t="s">
        <v>376</v>
      </c>
      <c r="H1744" t="s">
        <v>412</v>
      </c>
      <c r="I1744" t="s">
        <v>371</v>
      </c>
      <c r="J1744" t="s">
        <v>36</v>
      </c>
      <c r="K1744" t="s">
        <v>362</v>
      </c>
      <c r="L1744" t="s">
        <v>363</v>
      </c>
      <c r="M1744" t="s">
        <v>141</v>
      </c>
      <c r="N1744" t="s">
        <v>142</v>
      </c>
      <c r="O1744" t="s">
        <v>327</v>
      </c>
      <c r="P1744" t="s">
        <v>281</v>
      </c>
      <c r="Q1744" t="s">
        <v>328</v>
      </c>
      <c r="R1744" t="s">
        <v>350</v>
      </c>
      <c r="S1744" t="s">
        <v>477</v>
      </c>
      <c r="T1744">
        <v>5</v>
      </c>
      <c r="U1744" t="s">
        <v>478</v>
      </c>
      <c r="V1744" t="s">
        <v>479</v>
      </c>
      <c r="W1744" t="s">
        <v>480</v>
      </c>
      <c r="X1744" t="s">
        <v>331</v>
      </c>
      <c r="Y1744" t="s">
        <v>307</v>
      </c>
      <c r="Z1744">
        <v>70</v>
      </c>
      <c r="AA1744">
        <v>85</v>
      </c>
      <c r="AB1744" t="s">
        <v>143</v>
      </c>
      <c r="AC1744" t="s">
        <v>149</v>
      </c>
      <c r="AD1744" t="s">
        <v>509</v>
      </c>
      <c r="AE1744" t="str">
        <f>IF(AF1744="","",VLOOKUP(AC1744,mapel!$A$2:$B$42,2,FALSE))</f>
        <v>B.Indo</v>
      </c>
      <c r="AF1744">
        <f t="shared" si="81"/>
        <v>85</v>
      </c>
      <c r="AG1744" t="str">
        <f>IF(AF1744="","",IF(AF1744&gt;90,"Sangat baik",IF(AF1744&gt;79,"Baik",IF(AF1744&gt;=pub_gid_0_single_true_output_csv[[#This Row],[KKM]],"Cukup","Kurang"))))</f>
        <v>Baik</v>
      </c>
      <c r="AH1744">
        <f t="shared" si="82"/>
        <v>12</v>
      </c>
      <c r="AI1744" s="30" t="str">
        <f>IF(OR(J1744&lt;&gt;"Karakter",pub_gid_0_single_true_output_csv[[#This Row],[Nilai2]]=""),"",IF(AF1744&gt;89,"Sangat baik",IF(AF1744&gt;79,"Baik",IF(AF1744&gt;69,"Cukup",IF(AF1744&gt;59,"Kurang","Sangat kurang")))))</f>
        <v/>
      </c>
      <c r="AJ1744" t="str">
        <f t="shared" si="83"/>
        <v>Wk.7</v>
      </c>
      <c r="AK1744" t="str">
        <f>IF(pub_gid_0_single_true_output_csv[[#This Row],[Nilai2]]="","",VLOOKUP(pub_gid_0_single_true_output_csv[[#This Row],[NAMA]],Table7[],3,FALSE))</f>
        <v>High average</v>
      </c>
    </row>
    <row r="1745" spans="1:37" x14ac:dyDescent="0.2">
      <c r="A1745">
        <v>1744</v>
      </c>
      <c r="B1745" t="s">
        <v>315</v>
      </c>
      <c r="C1745" t="s">
        <v>65</v>
      </c>
      <c r="D1745" t="s">
        <v>60</v>
      </c>
      <c r="E1745" t="s">
        <v>140</v>
      </c>
      <c r="F1745" s="25">
        <v>46066</v>
      </c>
      <c r="G1745" t="s">
        <v>358</v>
      </c>
      <c r="H1745" t="s">
        <v>412</v>
      </c>
      <c r="I1745" t="s">
        <v>371</v>
      </c>
      <c r="J1745" t="s">
        <v>279</v>
      </c>
      <c r="K1745" t="s">
        <v>280</v>
      </c>
      <c r="L1745" t="s">
        <v>351</v>
      </c>
      <c r="M1745" t="s">
        <v>141</v>
      </c>
      <c r="N1745" t="s">
        <v>142</v>
      </c>
      <c r="O1745" t="s">
        <v>327</v>
      </c>
      <c r="P1745" t="s">
        <v>281</v>
      </c>
      <c r="Q1745" t="s">
        <v>328</v>
      </c>
      <c r="R1745" t="s">
        <v>350</v>
      </c>
      <c r="S1745" t="s">
        <v>477</v>
      </c>
      <c r="T1745">
        <v>5</v>
      </c>
      <c r="U1745" t="s">
        <v>478</v>
      </c>
      <c r="V1745" t="s">
        <v>479</v>
      </c>
      <c r="W1745" t="s">
        <v>480</v>
      </c>
      <c r="X1745" t="s">
        <v>331</v>
      </c>
      <c r="Y1745" t="s">
        <v>307</v>
      </c>
      <c r="Z1745">
        <v>70</v>
      </c>
      <c r="AA1745">
        <v>85</v>
      </c>
      <c r="AB1745" t="s">
        <v>143</v>
      </c>
      <c r="AC1745" t="s">
        <v>149</v>
      </c>
      <c r="AD1745" t="s">
        <v>509</v>
      </c>
      <c r="AE1745" t="str">
        <f>IF(AF1745="","",VLOOKUP(AC1745,mapel!$A$2:$B$42,2,FALSE))</f>
        <v>B.Indo</v>
      </c>
      <c r="AF1745">
        <f t="shared" si="81"/>
        <v>85</v>
      </c>
      <c r="AG1745" t="str">
        <f>IF(AF1745="","",IF(AF1745&gt;90,"Sangat baik",IF(AF1745&gt;79,"Baik",IF(AF1745&gt;=pub_gid_0_single_true_output_csv[[#This Row],[KKM]],"Cukup","Kurang"))))</f>
        <v>Baik</v>
      </c>
      <c r="AH1745">
        <f t="shared" si="82"/>
        <v>12</v>
      </c>
      <c r="AI1745" s="30" t="str">
        <f>IF(OR(J1745&lt;&gt;"Karakter",pub_gid_0_single_true_output_csv[[#This Row],[Nilai2]]=""),"",IF(AF1745&gt;89,"Sangat baik",IF(AF1745&gt;79,"Baik",IF(AF1745&gt;69,"Cukup",IF(AF1745&gt;59,"Kurang","Sangat kurang")))))</f>
        <v/>
      </c>
      <c r="AJ1745" t="str">
        <f t="shared" si="83"/>
        <v>Wk.7</v>
      </c>
      <c r="AK1745" t="str">
        <f>IF(pub_gid_0_single_true_output_csv[[#This Row],[Nilai2]]="","",VLOOKUP(pub_gid_0_single_true_output_csv[[#This Row],[NAMA]],Table7[],3,FALSE))</f>
        <v>High average</v>
      </c>
    </row>
    <row r="1746" spans="1:37" x14ac:dyDescent="0.2">
      <c r="A1746">
        <v>1745</v>
      </c>
      <c r="B1746" t="s">
        <v>315</v>
      </c>
      <c r="C1746" t="s">
        <v>65</v>
      </c>
      <c r="D1746" t="s">
        <v>60</v>
      </c>
      <c r="E1746" t="s">
        <v>140</v>
      </c>
      <c r="F1746" s="25">
        <v>46069</v>
      </c>
      <c r="G1746" t="s">
        <v>382</v>
      </c>
      <c r="H1746" t="s">
        <v>412</v>
      </c>
      <c r="I1746" t="s">
        <v>371</v>
      </c>
      <c r="J1746" t="s">
        <v>90</v>
      </c>
      <c r="K1746" t="s">
        <v>92</v>
      </c>
      <c r="L1746" t="s">
        <v>95</v>
      </c>
      <c r="M1746" t="s">
        <v>141</v>
      </c>
      <c r="N1746" t="s">
        <v>142</v>
      </c>
      <c r="O1746" t="s">
        <v>327</v>
      </c>
      <c r="P1746" t="s">
        <v>281</v>
      </c>
      <c r="Q1746" t="s">
        <v>328</v>
      </c>
      <c r="R1746" t="s">
        <v>350</v>
      </c>
      <c r="S1746" t="s">
        <v>481</v>
      </c>
      <c r="T1746">
        <v>7</v>
      </c>
      <c r="U1746" t="s">
        <v>482</v>
      </c>
      <c r="V1746" t="s">
        <v>483</v>
      </c>
      <c r="W1746" t="s">
        <v>484</v>
      </c>
      <c r="X1746" t="s">
        <v>331</v>
      </c>
      <c r="Y1746" t="s">
        <v>307</v>
      </c>
      <c r="Z1746">
        <v>70</v>
      </c>
      <c r="AA1746">
        <v>85</v>
      </c>
      <c r="AB1746" t="s">
        <v>143</v>
      </c>
      <c r="AC1746" t="s">
        <v>149</v>
      </c>
      <c r="AD1746" t="s">
        <v>509</v>
      </c>
      <c r="AE1746" t="str">
        <f>IF(AF1746="","",VLOOKUP(AC1746,mapel!$A$2:$B$42,2,FALSE))</f>
        <v>B.Indo</v>
      </c>
      <c r="AF1746">
        <f t="shared" si="81"/>
        <v>85</v>
      </c>
      <c r="AG1746" t="str">
        <f>IF(AF1746="","",IF(AF1746&gt;90,"Sangat baik",IF(AF1746&gt;79,"Baik",IF(AF1746&gt;=pub_gid_0_single_true_output_csv[[#This Row],[KKM]],"Cukup","Kurang"))))</f>
        <v>Baik</v>
      </c>
      <c r="AH1746">
        <f t="shared" si="82"/>
        <v>12</v>
      </c>
      <c r="AI1746" s="30" t="str">
        <f>IF(OR(J1746&lt;&gt;"Karakter",pub_gid_0_single_true_output_csv[[#This Row],[Nilai2]]=""),"",IF(AF1746&gt;89,"Sangat baik",IF(AF1746&gt;79,"Baik",IF(AF1746&gt;69,"Cukup",IF(AF1746&gt;59,"Kurang","Sangat kurang")))))</f>
        <v>Baik</v>
      </c>
      <c r="AJ1746" t="str">
        <f t="shared" si="83"/>
        <v>Wk.8</v>
      </c>
      <c r="AK1746" t="str">
        <f>IF(pub_gid_0_single_true_output_csv[[#This Row],[Nilai2]]="","",VLOOKUP(pub_gid_0_single_true_output_csv[[#This Row],[NAMA]],Table7[],3,FALSE))</f>
        <v>High average</v>
      </c>
    </row>
    <row r="1747" spans="1:37" x14ac:dyDescent="0.2">
      <c r="A1747">
        <v>1746</v>
      </c>
      <c r="B1747" t="s">
        <v>315</v>
      </c>
      <c r="C1747" t="s">
        <v>65</v>
      </c>
      <c r="D1747" t="s">
        <v>60</v>
      </c>
      <c r="E1747" t="s">
        <v>140</v>
      </c>
      <c r="F1747" s="25">
        <v>46073</v>
      </c>
      <c r="G1747" t="s">
        <v>474</v>
      </c>
      <c r="H1747" t="s">
        <v>412</v>
      </c>
      <c r="I1747" t="s">
        <v>371</v>
      </c>
      <c r="J1747" t="s">
        <v>36</v>
      </c>
      <c r="K1747" t="s">
        <v>361</v>
      </c>
      <c r="L1747" t="s">
        <v>319</v>
      </c>
      <c r="M1747" t="s">
        <v>141</v>
      </c>
      <c r="N1747" t="s">
        <v>142</v>
      </c>
      <c r="O1747" t="s">
        <v>327</v>
      </c>
      <c r="P1747" t="s">
        <v>281</v>
      </c>
      <c r="Q1747" t="s">
        <v>328</v>
      </c>
      <c r="R1747" t="s">
        <v>350</v>
      </c>
      <c r="S1747" t="s">
        <v>481</v>
      </c>
      <c r="T1747">
        <v>7</v>
      </c>
      <c r="U1747" t="s">
        <v>482</v>
      </c>
      <c r="V1747" t="s">
        <v>483</v>
      </c>
      <c r="W1747" t="s">
        <v>484</v>
      </c>
      <c r="X1747" t="s">
        <v>331</v>
      </c>
      <c r="Y1747" t="s">
        <v>307</v>
      </c>
      <c r="Z1747">
        <v>70</v>
      </c>
      <c r="AA1747">
        <v>85</v>
      </c>
      <c r="AB1747" t="s">
        <v>143</v>
      </c>
      <c r="AC1747" t="s">
        <v>149</v>
      </c>
      <c r="AD1747" t="s">
        <v>509</v>
      </c>
      <c r="AE1747" t="str">
        <f>IF(AF1747="","",VLOOKUP(AC1747,mapel!$A$2:$B$42,2,FALSE))</f>
        <v>B.Indo</v>
      </c>
      <c r="AF1747">
        <f t="shared" si="81"/>
        <v>85</v>
      </c>
      <c r="AG1747" t="str">
        <f>IF(AF1747="","",IF(AF1747&gt;90,"Sangat baik",IF(AF1747&gt;79,"Baik",IF(AF1747&gt;=pub_gid_0_single_true_output_csv[[#This Row],[KKM]],"Cukup","Kurang"))))</f>
        <v>Baik</v>
      </c>
      <c r="AH1747">
        <f t="shared" si="82"/>
        <v>12</v>
      </c>
      <c r="AI1747" s="30" t="str">
        <f>IF(OR(J1747&lt;&gt;"Karakter",pub_gid_0_single_true_output_csv[[#This Row],[Nilai2]]=""),"",IF(AF1747&gt;89,"Sangat baik",IF(AF1747&gt;79,"Baik",IF(AF1747&gt;69,"Cukup",IF(AF1747&gt;59,"Kurang","Sangat kurang")))))</f>
        <v/>
      </c>
      <c r="AJ1747" t="str">
        <f t="shared" si="83"/>
        <v>Wk.8</v>
      </c>
      <c r="AK1747" t="str">
        <f>IF(pub_gid_0_single_true_output_csv[[#This Row],[Nilai2]]="","",VLOOKUP(pub_gid_0_single_true_output_csv[[#This Row],[NAMA]],Table7[],3,FALSE))</f>
        <v>High average</v>
      </c>
    </row>
    <row r="1748" spans="1:37" x14ac:dyDescent="0.2">
      <c r="A1748">
        <v>1747</v>
      </c>
      <c r="B1748" t="s">
        <v>315</v>
      </c>
      <c r="C1748" t="s">
        <v>65</v>
      </c>
      <c r="D1748" t="s">
        <v>60</v>
      </c>
      <c r="E1748" t="s">
        <v>140</v>
      </c>
      <c r="F1748" s="25">
        <v>46076</v>
      </c>
      <c r="G1748" t="s">
        <v>468</v>
      </c>
      <c r="H1748" t="s">
        <v>412</v>
      </c>
      <c r="I1748" t="s">
        <v>371</v>
      </c>
      <c r="J1748" t="s">
        <v>31</v>
      </c>
      <c r="K1748" t="s">
        <v>96</v>
      </c>
      <c r="L1748" t="s">
        <v>319</v>
      </c>
      <c r="M1748" t="s">
        <v>141</v>
      </c>
      <c r="N1748" t="s">
        <v>142</v>
      </c>
      <c r="O1748" t="s">
        <v>327</v>
      </c>
      <c r="P1748" t="s">
        <v>281</v>
      </c>
      <c r="Q1748" t="s">
        <v>328</v>
      </c>
      <c r="R1748" t="s">
        <v>350</v>
      </c>
      <c r="S1748" t="s">
        <v>481</v>
      </c>
      <c r="T1748">
        <v>7</v>
      </c>
      <c r="U1748" t="s">
        <v>482</v>
      </c>
      <c r="V1748" t="s">
        <v>483</v>
      </c>
      <c r="W1748" t="s">
        <v>484</v>
      </c>
      <c r="X1748" t="s">
        <v>331</v>
      </c>
      <c r="Y1748" t="s">
        <v>307</v>
      </c>
      <c r="Z1748">
        <v>70</v>
      </c>
      <c r="AA1748">
        <v>90</v>
      </c>
      <c r="AB1748" t="s">
        <v>143</v>
      </c>
      <c r="AC1748" t="s">
        <v>149</v>
      </c>
      <c r="AD1748" t="s">
        <v>509</v>
      </c>
      <c r="AE1748" t="str">
        <f>IF(AF1748="","",VLOOKUP(AC1748,mapel!$A$2:$B$42,2,FALSE))</f>
        <v>B.Indo</v>
      </c>
      <c r="AF1748">
        <f t="shared" si="81"/>
        <v>90</v>
      </c>
      <c r="AG1748" t="str">
        <f>IF(AF1748="","",IF(AF1748&gt;90,"Sangat baik",IF(AF1748&gt;79,"Baik",IF(AF1748&gt;=pub_gid_0_single_true_output_csv[[#This Row],[KKM]],"Cukup","Kurang"))))</f>
        <v>Baik</v>
      </c>
      <c r="AH1748">
        <f t="shared" si="82"/>
        <v>12</v>
      </c>
      <c r="AI1748" s="30" t="str">
        <f>IF(OR(J1748&lt;&gt;"Karakter",pub_gid_0_single_true_output_csv[[#This Row],[Nilai2]]=""),"",IF(AF1748&gt;89,"Sangat baik",IF(AF1748&gt;79,"Baik",IF(AF1748&gt;69,"Cukup",IF(AF1748&gt;59,"Kurang","Sangat kurang")))))</f>
        <v/>
      </c>
      <c r="AJ1748" t="str">
        <f t="shared" si="83"/>
        <v>Wk.9</v>
      </c>
      <c r="AK1748" t="str">
        <f>IF(pub_gid_0_single_true_output_csv[[#This Row],[Nilai2]]="","",VLOOKUP(pub_gid_0_single_true_output_csv[[#This Row],[NAMA]],Table7[],3,FALSE))</f>
        <v>High average</v>
      </c>
    </row>
    <row r="1749" spans="1:37" x14ac:dyDescent="0.2">
      <c r="A1749">
        <v>1748</v>
      </c>
      <c r="B1749" t="s">
        <v>316</v>
      </c>
      <c r="C1749" t="s">
        <v>65</v>
      </c>
      <c r="D1749" t="s">
        <v>61</v>
      </c>
      <c r="E1749" t="s">
        <v>140</v>
      </c>
      <c r="F1749" s="25">
        <v>46048</v>
      </c>
      <c r="G1749" t="s">
        <v>371</v>
      </c>
      <c r="H1749" t="s">
        <v>405</v>
      </c>
      <c r="I1749" t="s">
        <v>371</v>
      </c>
      <c r="J1749" t="s">
        <v>36</v>
      </c>
      <c r="K1749" t="s">
        <v>361</v>
      </c>
      <c r="L1749" t="s">
        <v>319</v>
      </c>
      <c r="M1749" t="s">
        <v>141</v>
      </c>
      <c r="N1749" t="s">
        <v>142</v>
      </c>
      <c r="O1749" t="s">
        <v>327</v>
      </c>
      <c r="P1749" t="s">
        <v>281</v>
      </c>
      <c r="Q1749" t="s">
        <v>328</v>
      </c>
      <c r="R1749" t="s">
        <v>350</v>
      </c>
      <c r="S1749" t="s">
        <v>477</v>
      </c>
      <c r="T1749">
        <v>5</v>
      </c>
      <c r="U1749" t="s">
        <v>478</v>
      </c>
      <c r="V1749" t="s">
        <v>479</v>
      </c>
      <c r="W1749" t="s">
        <v>480</v>
      </c>
      <c r="X1749" t="s">
        <v>331</v>
      </c>
      <c r="Y1749" t="s">
        <v>307</v>
      </c>
      <c r="Z1749">
        <v>70</v>
      </c>
      <c r="AA1749">
        <v>80</v>
      </c>
      <c r="AB1749" t="s">
        <v>143</v>
      </c>
      <c r="AC1749" t="s">
        <v>149</v>
      </c>
      <c r="AD1749" t="s">
        <v>509</v>
      </c>
      <c r="AE1749" t="str">
        <f>IF(AF1749="","",VLOOKUP(AC1749,mapel!$A$2:$B$42,2,FALSE))</f>
        <v>B.Indo</v>
      </c>
      <c r="AF1749">
        <f t="shared" si="81"/>
        <v>80</v>
      </c>
      <c r="AG1749" t="str">
        <f>IF(AF1749="","",IF(AF1749&gt;90,"Sangat baik",IF(AF1749&gt;79,"Baik",IF(AF1749&gt;=pub_gid_0_single_true_output_csv[[#This Row],[KKM]],"Cukup","Kurang"))))</f>
        <v>Baik</v>
      </c>
      <c r="AH1749">
        <f t="shared" si="82"/>
        <v>12</v>
      </c>
      <c r="AI1749" s="30" t="str">
        <f>IF(OR(J1749&lt;&gt;"Karakter",pub_gid_0_single_true_output_csv[[#This Row],[Nilai2]]=""),"",IF(AF1749&gt;89,"Sangat baik",IF(AF1749&gt;79,"Baik",IF(AF1749&gt;69,"Cukup",IF(AF1749&gt;59,"Kurang","Sangat kurang")))))</f>
        <v/>
      </c>
      <c r="AJ1749" t="str">
        <f t="shared" si="83"/>
        <v>Wk.5</v>
      </c>
      <c r="AK1749" t="str">
        <f>IF(pub_gid_0_single_true_output_csv[[#This Row],[Nilai2]]="","",VLOOKUP(pub_gid_0_single_true_output_csv[[#This Row],[NAMA]],Table7[],3,FALSE))</f>
        <v>Average</v>
      </c>
    </row>
    <row r="1750" spans="1:37" x14ac:dyDescent="0.2">
      <c r="A1750">
        <v>1749</v>
      </c>
      <c r="B1750" t="s">
        <v>316</v>
      </c>
      <c r="C1750" t="s">
        <v>65</v>
      </c>
      <c r="D1750" t="s">
        <v>61</v>
      </c>
      <c r="E1750" t="s">
        <v>140</v>
      </c>
      <c r="F1750" s="25">
        <v>46052</v>
      </c>
      <c r="G1750" t="s">
        <v>304</v>
      </c>
      <c r="H1750" t="s">
        <v>405</v>
      </c>
      <c r="I1750" t="s">
        <v>371</v>
      </c>
      <c r="J1750" t="s">
        <v>31</v>
      </c>
      <c r="K1750" t="s">
        <v>32</v>
      </c>
      <c r="L1750" t="s">
        <v>351</v>
      </c>
      <c r="M1750" t="s">
        <v>141</v>
      </c>
      <c r="N1750" t="s">
        <v>142</v>
      </c>
      <c r="O1750" t="s">
        <v>327</v>
      </c>
      <c r="P1750" t="s">
        <v>281</v>
      </c>
      <c r="Q1750" t="s">
        <v>328</v>
      </c>
      <c r="R1750" t="s">
        <v>350</v>
      </c>
      <c r="S1750" t="s">
        <v>477</v>
      </c>
      <c r="T1750">
        <v>5</v>
      </c>
      <c r="U1750" t="s">
        <v>478</v>
      </c>
      <c r="V1750" t="s">
        <v>479</v>
      </c>
      <c r="W1750" t="s">
        <v>480</v>
      </c>
      <c r="X1750" t="s">
        <v>331</v>
      </c>
      <c r="Y1750" t="s">
        <v>307</v>
      </c>
      <c r="Z1750">
        <v>70</v>
      </c>
      <c r="AA1750">
        <v>75</v>
      </c>
      <c r="AB1750" t="s">
        <v>143</v>
      </c>
      <c r="AC1750" t="s">
        <v>149</v>
      </c>
      <c r="AD1750" t="s">
        <v>509</v>
      </c>
      <c r="AE1750" t="str">
        <f>IF(AF1750="","",VLOOKUP(AC1750,mapel!$A$2:$B$42,2,FALSE))</f>
        <v>B.Indo</v>
      </c>
      <c r="AF1750">
        <f t="shared" si="81"/>
        <v>75</v>
      </c>
      <c r="AG1750" t="str">
        <f>IF(AF1750="","",IF(AF1750&gt;90,"Sangat baik",IF(AF1750&gt;79,"Baik",IF(AF1750&gt;=pub_gid_0_single_true_output_csv[[#This Row],[KKM]],"Cukup","Kurang"))))</f>
        <v>Cukup</v>
      </c>
      <c r="AH1750">
        <f t="shared" si="82"/>
        <v>12</v>
      </c>
      <c r="AI1750" s="30" t="str">
        <f>IF(OR(J1750&lt;&gt;"Karakter",pub_gid_0_single_true_output_csv[[#This Row],[Nilai2]]=""),"",IF(AF1750&gt;89,"Sangat baik",IF(AF1750&gt;79,"Baik",IF(AF1750&gt;69,"Cukup",IF(AF1750&gt;59,"Kurang","Sangat kurang")))))</f>
        <v/>
      </c>
      <c r="AJ1750" t="str">
        <f t="shared" si="83"/>
        <v>Wk.5</v>
      </c>
      <c r="AK1750" t="str">
        <f>IF(pub_gid_0_single_true_output_csv[[#This Row],[Nilai2]]="","",VLOOKUP(pub_gid_0_single_true_output_csv[[#This Row],[NAMA]],Table7[],3,FALSE))</f>
        <v>Average</v>
      </c>
    </row>
    <row r="1751" spans="1:37" x14ac:dyDescent="0.2">
      <c r="A1751">
        <v>1750</v>
      </c>
      <c r="B1751" t="s">
        <v>316</v>
      </c>
      <c r="C1751" t="s">
        <v>65</v>
      </c>
      <c r="D1751" t="s">
        <v>61</v>
      </c>
      <c r="E1751" t="s">
        <v>140</v>
      </c>
      <c r="F1751" s="25">
        <v>46055</v>
      </c>
      <c r="G1751" t="s">
        <v>379</v>
      </c>
      <c r="H1751" t="s">
        <v>412</v>
      </c>
      <c r="I1751" t="s">
        <v>371</v>
      </c>
      <c r="J1751" t="s">
        <v>90</v>
      </c>
      <c r="K1751" t="s">
        <v>92</v>
      </c>
      <c r="L1751" t="s">
        <v>93</v>
      </c>
      <c r="M1751" t="s">
        <v>141</v>
      </c>
      <c r="N1751" t="s">
        <v>142</v>
      </c>
      <c r="O1751" t="s">
        <v>327</v>
      </c>
      <c r="P1751" t="s">
        <v>281</v>
      </c>
      <c r="Q1751" t="s">
        <v>328</v>
      </c>
      <c r="R1751" t="s">
        <v>350</v>
      </c>
      <c r="S1751" t="s">
        <v>477</v>
      </c>
      <c r="T1751">
        <v>5</v>
      </c>
      <c r="U1751" t="s">
        <v>478</v>
      </c>
      <c r="V1751" t="s">
        <v>479</v>
      </c>
      <c r="W1751" t="s">
        <v>480</v>
      </c>
      <c r="X1751" t="s">
        <v>331</v>
      </c>
      <c r="Y1751" t="s">
        <v>307</v>
      </c>
      <c r="Z1751">
        <v>70</v>
      </c>
      <c r="AA1751">
        <v>80</v>
      </c>
      <c r="AB1751" t="s">
        <v>143</v>
      </c>
      <c r="AC1751" t="s">
        <v>149</v>
      </c>
      <c r="AD1751" t="s">
        <v>509</v>
      </c>
      <c r="AE1751" t="str">
        <f>IF(AF1751="","",VLOOKUP(AC1751,mapel!$A$2:$B$42,2,FALSE))</f>
        <v>B.Indo</v>
      </c>
      <c r="AF1751">
        <f t="shared" si="81"/>
        <v>80</v>
      </c>
      <c r="AG1751" t="str">
        <f>IF(AF1751="","",IF(AF1751&gt;90,"Sangat baik",IF(AF1751&gt;79,"Baik",IF(AF1751&gt;=pub_gid_0_single_true_output_csv[[#This Row],[KKM]],"Cukup","Kurang"))))</f>
        <v>Baik</v>
      </c>
      <c r="AH1751">
        <f t="shared" si="82"/>
        <v>12</v>
      </c>
      <c r="AI1751" s="30" t="str">
        <f>IF(OR(J1751&lt;&gt;"Karakter",pub_gid_0_single_true_output_csv[[#This Row],[Nilai2]]=""),"",IF(AF1751&gt;89,"Sangat baik",IF(AF1751&gt;79,"Baik",IF(AF1751&gt;69,"Cukup",IF(AF1751&gt;59,"Kurang","Sangat kurang")))))</f>
        <v>Baik</v>
      </c>
      <c r="AJ1751" t="str">
        <f t="shared" si="83"/>
        <v>Wk.6</v>
      </c>
      <c r="AK1751" t="str">
        <f>IF(pub_gid_0_single_true_output_csv[[#This Row],[Nilai2]]="","",VLOOKUP(pub_gid_0_single_true_output_csv[[#This Row],[NAMA]],Table7[],3,FALSE))</f>
        <v>Average</v>
      </c>
    </row>
    <row r="1752" spans="1:37" x14ac:dyDescent="0.2">
      <c r="A1752">
        <v>1751</v>
      </c>
      <c r="B1752" t="s">
        <v>316</v>
      </c>
      <c r="C1752" t="s">
        <v>65</v>
      </c>
      <c r="D1752" t="s">
        <v>61</v>
      </c>
      <c r="E1752" t="s">
        <v>140</v>
      </c>
      <c r="F1752" s="25">
        <v>46062</v>
      </c>
      <c r="G1752" t="s">
        <v>376</v>
      </c>
      <c r="H1752" t="s">
        <v>412</v>
      </c>
      <c r="I1752" t="s">
        <v>371</v>
      </c>
      <c r="J1752" t="s">
        <v>36</v>
      </c>
      <c r="K1752" t="s">
        <v>362</v>
      </c>
      <c r="L1752" t="s">
        <v>363</v>
      </c>
      <c r="M1752" t="s">
        <v>141</v>
      </c>
      <c r="N1752" t="s">
        <v>142</v>
      </c>
      <c r="O1752" t="s">
        <v>327</v>
      </c>
      <c r="P1752" t="s">
        <v>281</v>
      </c>
      <c r="Q1752" t="s">
        <v>328</v>
      </c>
      <c r="R1752" t="s">
        <v>350</v>
      </c>
      <c r="S1752" t="s">
        <v>477</v>
      </c>
      <c r="T1752">
        <v>5</v>
      </c>
      <c r="U1752" t="s">
        <v>478</v>
      </c>
      <c r="V1752" t="s">
        <v>479</v>
      </c>
      <c r="W1752" t="s">
        <v>480</v>
      </c>
      <c r="X1752" t="s">
        <v>331</v>
      </c>
      <c r="Y1752" t="s">
        <v>307</v>
      </c>
      <c r="Z1752">
        <v>70</v>
      </c>
      <c r="AA1752">
        <v>80</v>
      </c>
      <c r="AB1752" t="s">
        <v>143</v>
      </c>
      <c r="AC1752" t="s">
        <v>149</v>
      </c>
      <c r="AD1752" t="s">
        <v>509</v>
      </c>
      <c r="AE1752" t="str">
        <f>IF(AF1752="","",VLOOKUP(AC1752,mapel!$A$2:$B$42,2,FALSE))</f>
        <v>B.Indo</v>
      </c>
      <c r="AF1752">
        <f t="shared" si="81"/>
        <v>80</v>
      </c>
      <c r="AG1752" t="str">
        <f>IF(AF1752="","",IF(AF1752&gt;90,"Sangat baik",IF(AF1752&gt;79,"Baik",IF(AF1752&gt;=pub_gid_0_single_true_output_csv[[#This Row],[KKM]],"Cukup","Kurang"))))</f>
        <v>Baik</v>
      </c>
      <c r="AH1752">
        <f t="shared" si="82"/>
        <v>12</v>
      </c>
      <c r="AI1752" s="30" t="str">
        <f>IF(OR(J1752&lt;&gt;"Karakter",pub_gid_0_single_true_output_csv[[#This Row],[Nilai2]]=""),"",IF(AF1752&gt;89,"Sangat baik",IF(AF1752&gt;79,"Baik",IF(AF1752&gt;69,"Cukup",IF(AF1752&gt;59,"Kurang","Sangat kurang")))))</f>
        <v/>
      </c>
      <c r="AJ1752" t="str">
        <f t="shared" si="83"/>
        <v>Wk.7</v>
      </c>
      <c r="AK1752" t="str">
        <f>IF(pub_gid_0_single_true_output_csv[[#This Row],[Nilai2]]="","",VLOOKUP(pub_gid_0_single_true_output_csv[[#This Row],[NAMA]],Table7[],3,FALSE))</f>
        <v>Average</v>
      </c>
    </row>
    <row r="1753" spans="1:37" x14ac:dyDescent="0.2">
      <c r="A1753">
        <v>1752</v>
      </c>
      <c r="B1753" t="s">
        <v>316</v>
      </c>
      <c r="C1753" t="s">
        <v>65</v>
      </c>
      <c r="D1753" t="s">
        <v>61</v>
      </c>
      <c r="E1753" t="s">
        <v>140</v>
      </c>
      <c r="F1753" s="25">
        <v>46066</v>
      </c>
      <c r="G1753" t="s">
        <v>358</v>
      </c>
      <c r="H1753" t="s">
        <v>412</v>
      </c>
      <c r="I1753" t="s">
        <v>371</v>
      </c>
      <c r="J1753" t="s">
        <v>279</v>
      </c>
      <c r="K1753" t="s">
        <v>280</v>
      </c>
      <c r="L1753" t="s">
        <v>351</v>
      </c>
      <c r="M1753" t="s">
        <v>141</v>
      </c>
      <c r="N1753" t="s">
        <v>142</v>
      </c>
      <c r="O1753" t="s">
        <v>327</v>
      </c>
      <c r="P1753" t="s">
        <v>281</v>
      </c>
      <c r="Q1753" t="s">
        <v>328</v>
      </c>
      <c r="R1753" t="s">
        <v>350</v>
      </c>
      <c r="S1753" t="s">
        <v>477</v>
      </c>
      <c r="T1753">
        <v>5</v>
      </c>
      <c r="U1753" t="s">
        <v>478</v>
      </c>
      <c r="V1753" t="s">
        <v>479</v>
      </c>
      <c r="W1753" t="s">
        <v>480</v>
      </c>
      <c r="X1753" t="s">
        <v>331</v>
      </c>
      <c r="Y1753" t="s">
        <v>307</v>
      </c>
      <c r="Z1753">
        <v>70</v>
      </c>
      <c r="AA1753">
        <v>80</v>
      </c>
      <c r="AB1753" t="s">
        <v>143</v>
      </c>
      <c r="AC1753" t="s">
        <v>149</v>
      </c>
      <c r="AD1753" t="s">
        <v>509</v>
      </c>
      <c r="AE1753" t="str">
        <f>IF(AF1753="","",VLOOKUP(AC1753,mapel!$A$2:$B$42,2,FALSE))</f>
        <v>B.Indo</v>
      </c>
      <c r="AF1753">
        <f t="shared" si="81"/>
        <v>80</v>
      </c>
      <c r="AG1753" t="str">
        <f>IF(AF1753="","",IF(AF1753&gt;90,"Sangat baik",IF(AF1753&gt;79,"Baik",IF(AF1753&gt;=pub_gid_0_single_true_output_csv[[#This Row],[KKM]],"Cukup","Kurang"))))</f>
        <v>Baik</v>
      </c>
      <c r="AH1753">
        <f t="shared" si="82"/>
        <v>12</v>
      </c>
      <c r="AI1753" s="30" t="str">
        <f>IF(OR(J1753&lt;&gt;"Karakter",pub_gid_0_single_true_output_csv[[#This Row],[Nilai2]]=""),"",IF(AF1753&gt;89,"Sangat baik",IF(AF1753&gt;79,"Baik",IF(AF1753&gt;69,"Cukup",IF(AF1753&gt;59,"Kurang","Sangat kurang")))))</f>
        <v/>
      </c>
      <c r="AJ1753" t="str">
        <f t="shared" si="83"/>
        <v>Wk.7</v>
      </c>
      <c r="AK1753" t="str">
        <f>IF(pub_gid_0_single_true_output_csv[[#This Row],[Nilai2]]="","",VLOOKUP(pub_gid_0_single_true_output_csv[[#This Row],[NAMA]],Table7[],3,FALSE))</f>
        <v>Average</v>
      </c>
    </row>
    <row r="1754" spans="1:37" x14ac:dyDescent="0.2">
      <c r="A1754">
        <v>1753</v>
      </c>
      <c r="B1754" t="s">
        <v>316</v>
      </c>
      <c r="C1754" t="s">
        <v>65</v>
      </c>
      <c r="D1754" t="s">
        <v>61</v>
      </c>
      <c r="E1754" t="s">
        <v>140</v>
      </c>
      <c r="F1754" s="25">
        <v>46069</v>
      </c>
      <c r="G1754" t="s">
        <v>382</v>
      </c>
      <c r="H1754" t="s">
        <v>412</v>
      </c>
      <c r="I1754" t="s">
        <v>371</v>
      </c>
      <c r="J1754" t="s">
        <v>90</v>
      </c>
      <c r="K1754" t="s">
        <v>92</v>
      </c>
      <c r="L1754" t="s">
        <v>95</v>
      </c>
      <c r="M1754" t="s">
        <v>141</v>
      </c>
      <c r="N1754" t="s">
        <v>142</v>
      </c>
      <c r="O1754" t="s">
        <v>327</v>
      </c>
      <c r="P1754" t="s">
        <v>281</v>
      </c>
      <c r="Q1754" t="s">
        <v>328</v>
      </c>
      <c r="R1754" t="s">
        <v>350</v>
      </c>
      <c r="S1754" t="s">
        <v>481</v>
      </c>
      <c r="T1754">
        <v>7</v>
      </c>
      <c r="U1754" t="s">
        <v>482</v>
      </c>
      <c r="V1754" t="s">
        <v>483</v>
      </c>
      <c r="W1754" t="s">
        <v>484</v>
      </c>
      <c r="X1754" t="s">
        <v>331</v>
      </c>
      <c r="Y1754" t="s">
        <v>307</v>
      </c>
      <c r="Z1754">
        <v>70</v>
      </c>
      <c r="AA1754">
        <v>85</v>
      </c>
      <c r="AB1754" t="s">
        <v>143</v>
      </c>
      <c r="AC1754" t="s">
        <v>149</v>
      </c>
      <c r="AD1754" t="s">
        <v>509</v>
      </c>
      <c r="AE1754" t="str">
        <f>IF(AF1754="","",VLOOKUP(AC1754,mapel!$A$2:$B$42,2,FALSE))</f>
        <v>B.Indo</v>
      </c>
      <c r="AF1754">
        <f t="shared" si="81"/>
        <v>85</v>
      </c>
      <c r="AG1754" t="str">
        <f>IF(AF1754="","",IF(AF1754&gt;90,"Sangat baik",IF(AF1754&gt;79,"Baik",IF(AF1754&gt;=pub_gid_0_single_true_output_csv[[#This Row],[KKM]],"Cukup","Kurang"))))</f>
        <v>Baik</v>
      </c>
      <c r="AH1754">
        <f t="shared" si="82"/>
        <v>12</v>
      </c>
      <c r="AI1754" s="30" t="str">
        <f>IF(OR(J1754&lt;&gt;"Karakter",pub_gid_0_single_true_output_csv[[#This Row],[Nilai2]]=""),"",IF(AF1754&gt;89,"Sangat baik",IF(AF1754&gt;79,"Baik",IF(AF1754&gt;69,"Cukup",IF(AF1754&gt;59,"Kurang","Sangat kurang")))))</f>
        <v>Baik</v>
      </c>
      <c r="AJ1754" t="str">
        <f t="shared" si="83"/>
        <v>Wk.8</v>
      </c>
      <c r="AK1754" t="str">
        <f>IF(pub_gid_0_single_true_output_csv[[#This Row],[Nilai2]]="","",VLOOKUP(pub_gid_0_single_true_output_csv[[#This Row],[NAMA]],Table7[],3,FALSE))</f>
        <v>Average</v>
      </c>
    </row>
    <row r="1755" spans="1:37" x14ac:dyDescent="0.2">
      <c r="A1755">
        <v>1754</v>
      </c>
      <c r="B1755" t="s">
        <v>316</v>
      </c>
      <c r="C1755" t="s">
        <v>65</v>
      </c>
      <c r="D1755" t="s">
        <v>61</v>
      </c>
      <c r="E1755" t="s">
        <v>140</v>
      </c>
      <c r="F1755" s="25">
        <v>46073</v>
      </c>
      <c r="G1755" t="s">
        <v>474</v>
      </c>
      <c r="H1755" t="s">
        <v>412</v>
      </c>
      <c r="I1755" t="s">
        <v>371</v>
      </c>
      <c r="J1755" t="s">
        <v>36</v>
      </c>
      <c r="K1755" t="s">
        <v>361</v>
      </c>
      <c r="L1755" t="s">
        <v>319</v>
      </c>
      <c r="M1755" t="s">
        <v>141</v>
      </c>
      <c r="N1755" t="s">
        <v>142</v>
      </c>
      <c r="O1755" t="s">
        <v>327</v>
      </c>
      <c r="P1755" t="s">
        <v>281</v>
      </c>
      <c r="Q1755" t="s">
        <v>328</v>
      </c>
      <c r="R1755" t="s">
        <v>350</v>
      </c>
      <c r="S1755" t="s">
        <v>481</v>
      </c>
      <c r="T1755">
        <v>7</v>
      </c>
      <c r="U1755" t="s">
        <v>482</v>
      </c>
      <c r="V1755" t="s">
        <v>483</v>
      </c>
      <c r="W1755" t="s">
        <v>484</v>
      </c>
      <c r="X1755" t="s">
        <v>331</v>
      </c>
      <c r="Y1755" t="s">
        <v>307</v>
      </c>
      <c r="Z1755">
        <v>70</v>
      </c>
      <c r="AA1755">
        <v>80</v>
      </c>
      <c r="AB1755" t="s">
        <v>143</v>
      </c>
      <c r="AC1755" t="s">
        <v>149</v>
      </c>
      <c r="AD1755" t="s">
        <v>509</v>
      </c>
      <c r="AE1755" t="str">
        <f>IF(AF1755="","",VLOOKUP(AC1755,mapel!$A$2:$B$42,2,FALSE))</f>
        <v>B.Indo</v>
      </c>
      <c r="AF1755">
        <f t="shared" si="81"/>
        <v>80</v>
      </c>
      <c r="AG1755" t="str">
        <f>IF(AF1755="","",IF(AF1755&gt;90,"Sangat baik",IF(AF1755&gt;79,"Baik",IF(AF1755&gt;=pub_gid_0_single_true_output_csv[[#This Row],[KKM]],"Cukup","Kurang"))))</f>
        <v>Baik</v>
      </c>
      <c r="AH1755">
        <f t="shared" si="82"/>
        <v>12</v>
      </c>
      <c r="AI1755" s="30" t="str">
        <f>IF(OR(J1755&lt;&gt;"Karakter",pub_gid_0_single_true_output_csv[[#This Row],[Nilai2]]=""),"",IF(AF1755&gt;89,"Sangat baik",IF(AF1755&gt;79,"Baik",IF(AF1755&gt;69,"Cukup",IF(AF1755&gt;59,"Kurang","Sangat kurang")))))</f>
        <v/>
      </c>
      <c r="AJ1755" t="str">
        <f t="shared" si="83"/>
        <v>Wk.8</v>
      </c>
      <c r="AK1755" t="str">
        <f>IF(pub_gid_0_single_true_output_csv[[#This Row],[Nilai2]]="","",VLOOKUP(pub_gid_0_single_true_output_csv[[#This Row],[NAMA]],Table7[],3,FALSE))</f>
        <v>Average</v>
      </c>
    </row>
    <row r="1756" spans="1:37" x14ac:dyDescent="0.2">
      <c r="A1756">
        <v>1755</v>
      </c>
      <c r="B1756" t="s">
        <v>316</v>
      </c>
      <c r="C1756" t="s">
        <v>65</v>
      </c>
      <c r="D1756" t="s">
        <v>61</v>
      </c>
      <c r="E1756" t="s">
        <v>140</v>
      </c>
      <c r="F1756" s="25">
        <v>46076</v>
      </c>
      <c r="G1756" t="s">
        <v>468</v>
      </c>
      <c r="H1756" t="s">
        <v>412</v>
      </c>
      <c r="I1756" t="s">
        <v>371</v>
      </c>
      <c r="J1756" t="s">
        <v>31</v>
      </c>
      <c r="K1756" t="s">
        <v>96</v>
      </c>
      <c r="L1756" t="s">
        <v>319</v>
      </c>
      <c r="M1756" t="s">
        <v>141</v>
      </c>
      <c r="N1756" t="s">
        <v>142</v>
      </c>
      <c r="O1756" t="s">
        <v>327</v>
      </c>
      <c r="P1756" t="s">
        <v>281</v>
      </c>
      <c r="Q1756" t="s">
        <v>328</v>
      </c>
      <c r="R1756" t="s">
        <v>350</v>
      </c>
      <c r="S1756" t="s">
        <v>481</v>
      </c>
      <c r="T1756">
        <v>7</v>
      </c>
      <c r="U1756" t="s">
        <v>482</v>
      </c>
      <c r="V1756" t="s">
        <v>483</v>
      </c>
      <c r="W1756" t="s">
        <v>484</v>
      </c>
      <c r="X1756" t="s">
        <v>331</v>
      </c>
      <c r="Y1756" t="s">
        <v>307</v>
      </c>
      <c r="Z1756">
        <v>70</v>
      </c>
      <c r="AA1756">
        <v>80</v>
      </c>
      <c r="AB1756" t="s">
        <v>143</v>
      </c>
      <c r="AC1756" t="s">
        <v>149</v>
      </c>
      <c r="AD1756" t="s">
        <v>509</v>
      </c>
      <c r="AE1756" t="str">
        <f>IF(AF1756="","",VLOOKUP(AC1756,mapel!$A$2:$B$42,2,FALSE))</f>
        <v>B.Indo</v>
      </c>
      <c r="AF1756">
        <f t="shared" si="81"/>
        <v>80</v>
      </c>
      <c r="AG1756" t="str">
        <f>IF(AF1756="","",IF(AF1756&gt;90,"Sangat baik",IF(AF1756&gt;79,"Baik",IF(AF1756&gt;=pub_gid_0_single_true_output_csv[[#This Row],[KKM]],"Cukup","Kurang"))))</f>
        <v>Baik</v>
      </c>
      <c r="AH1756">
        <f t="shared" si="82"/>
        <v>12</v>
      </c>
      <c r="AI1756" s="30" t="str">
        <f>IF(OR(J1756&lt;&gt;"Karakter",pub_gid_0_single_true_output_csv[[#This Row],[Nilai2]]=""),"",IF(AF1756&gt;89,"Sangat baik",IF(AF1756&gt;79,"Baik",IF(AF1756&gt;69,"Cukup",IF(AF1756&gt;59,"Kurang","Sangat kurang")))))</f>
        <v/>
      </c>
      <c r="AJ1756" t="str">
        <f t="shared" si="83"/>
        <v>Wk.9</v>
      </c>
      <c r="AK1756" t="str">
        <f>IF(pub_gid_0_single_true_output_csv[[#This Row],[Nilai2]]="","",VLOOKUP(pub_gid_0_single_true_output_csv[[#This Row],[NAMA]],Table7[],3,FALSE))</f>
        <v>Average</v>
      </c>
    </row>
    <row r="1757" spans="1:37" x14ac:dyDescent="0.2">
      <c r="A1757">
        <v>1756</v>
      </c>
      <c r="B1757" t="s">
        <v>317</v>
      </c>
      <c r="C1757" t="s">
        <v>65</v>
      </c>
      <c r="D1757" t="s">
        <v>62</v>
      </c>
      <c r="E1757" t="s">
        <v>140</v>
      </c>
      <c r="F1757" s="25">
        <v>46048</v>
      </c>
      <c r="G1757" t="s">
        <v>371</v>
      </c>
      <c r="H1757" t="s">
        <v>405</v>
      </c>
      <c r="I1757" t="s">
        <v>371</v>
      </c>
      <c r="J1757" t="s">
        <v>36</v>
      </c>
      <c r="K1757" t="s">
        <v>361</v>
      </c>
      <c r="L1757" t="s">
        <v>319</v>
      </c>
      <c r="M1757" t="s">
        <v>141</v>
      </c>
      <c r="N1757" t="s">
        <v>142</v>
      </c>
      <c r="O1757" t="s">
        <v>327</v>
      </c>
      <c r="P1757" t="s">
        <v>281</v>
      </c>
      <c r="Q1757" t="s">
        <v>328</v>
      </c>
      <c r="R1757" t="s">
        <v>350</v>
      </c>
      <c r="S1757" t="s">
        <v>477</v>
      </c>
      <c r="T1757">
        <v>5</v>
      </c>
      <c r="U1757" t="s">
        <v>478</v>
      </c>
      <c r="V1757" t="s">
        <v>479</v>
      </c>
      <c r="W1757" t="s">
        <v>480</v>
      </c>
      <c r="X1757" t="s">
        <v>331</v>
      </c>
      <c r="Y1757" t="s">
        <v>307</v>
      </c>
      <c r="Z1757">
        <v>70</v>
      </c>
      <c r="AA1757">
        <v>80</v>
      </c>
      <c r="AB1757" t="s">
        <v>143</v>
      </c>
      <c r="AC1757" t="s">
        <v>149</v>
      </c>
      <c r="AD1757" t="s">
        <v>509</v>
      </c>
      <c r="AE1757" t="str">
        <f>IF(AF1757="","",VLOOKUP(AC1757,mapel!$A$2:$B$42,2,FALSE))</f>
        <v>B.Indo</v>
      </c>
      <c r="AF1757">
        <f t="shared" si="81"/>
        <v>80</v>
      </c>
      <c r="AG1757" t="str">
        <f>IF(AF1757="","",IF(AF1757&gt;90,"Sangat baik",IF(AF1757&gt;79,"Baik",IF(AF1757&gt;=pub_gid_0_single_true_output_csv[[#This Row],[KKM]],"Cukup","Kurang"))))</f>
        <v>Baik</v>
      </c>
      <c r="AH1757">
        <f t="shared" si="82"/>
        <v>12</v>
      </c>
      <c r="AI1757" s="30" t="str">
        <f>IF(OR(J1757&lt;&gt;"Karakter",pub_gid_0_single_true_output_csv[[#This Row],[Nilai2]]=""),"",IF(AF1757&gt;89,"Sangat baik",IF(AF1757&gt;79,"Baik",IF(AF1757&gt;69,"Cukup",IF(AF1757&gt;59,"Kurang","Sangat kurang")))))</f>
        <v/>
      </c>
      <c r="AJ1757" t="str">
        <f t="shared" si="83"/>
        <v>Wk.5</v>
      </c>
      <c r="AK1757" t="str">
        <f>IF(pub_gid_0_single_true_output_csv[[#This Row],[Nilai2]]="","",VLOOKUP(pub_gid_0_single_true_output_csv[[#This Row],[NAMA]],Table7[],3,FALSE))</f>
        <v>Borderline</v>
      </c>
    </row>
    <row r="1758" spans="1:37" x14ac:dyDescent="0.2">
      <c r="A1758">
        <v>1757</v>
      </c>
      <c r="B1758" t="s">
        <v>317</v>
      </c>
      <c r="C1758" t="s">
        <v>65</v>
      </c>
      <c r="D1758" t="s">
        <v>62</v>
      </c>
      <c r="E1758" t="s">
        <v>140</v>
      </c>
      <c r="F1758" s="25">
        <v>46052</v>
      </c>
      <c r="G1758" t="s">
        <v>304</v>
      </c>
      <c r="H1758" t="s">
        <v>405</v>
      </c>
      <c r="I1758" t="s">
        <v>371</v>
      </c>
      <c r="J1758" t="s">
        <v>31</v>
      </c>
      <c r="K1758" t="s">
        <v>32</v>
      </c>
      <c r="L1758" t="s">
        <v>351</v>
      </c>
      <c r="M1758" t="s">
        <v>141</v>
      </c>
      <c r="N1758" t="s">
        <v>142</v>
      </c>
      <c r="O1758" t="s">
        <v>327</v>
      </c>
      <c r="P1758" t="s">
        <v>281</v>
      </c>
      <c r="Q1758" t="s">
        <v>328</v>
      </c>
      <c r="R1758" t="s">
        <v>350</v>
      </c>
      <c r="S1758" t="s">
        <v>477</v>
      </c>
      <c r="T1758">
        <v>5</v>
      </c>
      <c r="U1758" t="s">
        <v>478</v>
      </c>
      <c r="V1758" t="s">
        <v>479</v>
      </c>
      <c r="W1758" t="s">
        <v>480</v>
      </c>
      <c r="X1758" t="s">
        <v>331</v>
      </c>
      <c r="Y1758" t="s">
        <v>307</v>
      </c>
      <c r="Z1758">
        <v>70</v>
      </c>
      <c r="AA1758">
        <v>75</v>
      </c>
      <c r="AB1758" t="s">
        <v>143</v>
      </c>
      <c r="AC1758" t="s">
        <v>149</v>
      </c>
      <c r="AD1758" t="s">
        <v>509</v>
      </c>
      <c r="AE1758" t="str">
        <f>IF(AF1758="","",VLOOKUP(AC1758,mapel!$A$2:$B$42,2,FALSE))</f>
        <v>B.Indo</v>
      </c>
      <c r="AF1758">
        <f t="shared" si="81"/>
        <v>75</v>
      </c>
      <c r="AG1758" t="str">
        <f>IF(AF1758="","",IF(AF1758&gt;90,"Sangat baik",IF(AF1758&gt;79,"Baik",IF(AF1758&gt;=pub_gid_0_single_true_output_csv[[#This Row],[KKM]],"Cukup","Kurang"))))</f>
        <v>Cukup</v>
      </c>
      <c r="AH1758">
        <f t="shared" si="82"/>
        <v>12</v>
      </c>
      <c r="AI1758" s="30" t="str">
        <f>IF(OR(J1758&lt;&gt;"Karakter",pub_gid_0_single_true_output_csv[[#This Row],[Nilai2]]=""),"",IF(AF1758&gt;89,"Sangat baik",IF(AF1758&gt;79,"Baik",IF(AF1758&gt;69,"Cukup",IF(AF1758&gt;59,"Kurang","Sangat kurang")))))</f>
        <v/>
      </c>
      <c r="AJ1758" t="str">
        <f t="shared" si="83"/>
        <v>Wk.5</v>
      </c>
      <c r="AK1758" t="str">
        <f>IF(pub_gid_0_single_true_output_csv[[#This Row],[Nilai2]]="","",VLOOKUP(pub_gid_0_single_true_output_csv[[#This Row],[NAMA]],Table7[],3,FALSE))</f>
        <v>Borderline</v>
      </c>
    </row>
    <row r="1759" spans="1:37" x14ac:dyDescent="0.2">
      <c r="A1759">
        <v>1758</v>
      </c>
      <c r="B1759" t="s">
        <v>317</v>
      </c>
      <c r="C1759" t="s">
        <v>65</v>
      </c>
      <c r="D1759" t="s">
        <v>62</v>
      </c>
      <c r="E1759" t="s">
        <v>140</v>
      </c>
      <c r="F1759" s="25">
        <v>46055</v>
      </c>
      <c r="G1759" t="s">
        <v>379</v>
      </c>
      <c r="H1759" t="s">
        <v>412</v>
      </c>
      <c r="I1759" t="s">
        <v>371</v>
      </c>
      <c r="J1759" t="s">
        <v>90</v>
      </c>
      <c r="K1759" t="s">
        <v>92</v>
      </c>
      <c r="L1759" t="s">
        <v>93</v>
      </c>
      <c r="M1759" t="s">
        <v>141</v>
      </c>
      <c r="N1759" t="s">
        <v>142</v>
      </c>
      <c r="O1759" t="s">
        <v>327</v>
      </c>
      <c r="P1759" t="s">
        <v>281</v>
      </c>
      <c r="Q1759" t="s">
        <v>328</v>
      </c>
      <c r="R1759" t="s">
        <v>350</v>
      </c>
      <c r="S1759" t="s">
        <v>477</v>
      </c>
      <c r="T1759">
        <v>5</v>
      </c>
      <c r="U1759" t="s">
        <v>478</v>
      </c>
      <c r="V1759" t="s">
        <v>479</v>
      </c>
      <c r="W1759" t="s">
        <v>480</v>
      </c>
      <c r="X1759" t="s">
        <v>331</v>
      </c>
      <c r="Y1759" t="s">
        <v>307</v>
      </c>
      <c r="Z1759">
        <v>70</v>
      </c>
      <c r="AA1759">
        <v>80</v>
      </c>
      <c r="AB1759" t="s">
        <v>143</v>
      </c>
      <c r="AC1759" t="s">
        <v>149</v>
      </c>
      <c r="AD1759" t="s">
        <v>509</v>
      </c>
      <c r="AE1759" t="str">
        <f>IF(AF1759="","",VLOOKUP(AC1759,mapel!$A$2:$B$42,2,FALSE))</f>
        <v>B.Indo</v>
      </c>
      <c r="AF1759">
        <f t="shared" si="81"/>
        <v>80</v>
      </c>
      <c r="AG1759" t="str">
        <f>IF(AF1759="","",IF(AF1759&gt;90,"Sangat baik",IF(AF1759&gt;79,"Baik",IF(AF1759&gt;=pub_gid_0_single_true_output_csv[[#This Row],[KKM]],"Cukup","Kurang"))))</f>
        <v>Baik</v>
      </c>
      <c r="AH1759">
        <f t="shared" si="82"/>
        <v>12</v>
      </c>
      <c r="AI1759" s="30" t="str">
        <f>IF(OR(J1759&lt;&gt;"Karakter",pub_gid_0_single_true_output_csv[[#This Row],[Nilai2]]=""),"",IF(AF1759&gt;89,"Sangat baik",IF(AF1759&gt;79,"Baik",IF(AF1759&gt;69,"Cukup",IF(AF1759&gt;59,"Kurang","Sangat kurang")))))</f>
        <v>Baik</v>
      </c>
      <c r="AJ1759" t="str">
        <f t="shared" si="83"/>
        <v>Wk.6</v>
      </c>
      <c r="AK1759" t="str">
        <f>IF(pub_gid_0_single_true_output_csv[[#This Row],[Nilai2]]="","",VLOOKUP(pub_gid_0_single_true_output_csv[[#This Row],[NAMA]],Table7[],3,FALSE))</f>
        <v>Borderline</v>
      </c>
    </row>
    <row r="1760" spans="1:37" x14ac:dyDescent="0.2">
      <c r="A1760">
        <v>1759</v>
      </c>
      <c r="B1760" t="s">
        <v>317</v>
      </c>
      <c r="C1760" t="s">
        <v>65</v>
      </c>
      <c r="D1760" t="s">
        <v>62</v>
      </c>
      <c r="E1760" t="s">
        <v>140</v>
      </c>
      <c r="F1760" s="25">
        <v>46062</v>
      </c>
      <c r="G1760" t="s">
        <v>376</v>
      </c>
      <c r="H1760" t="s">
        <v>412</v>
      </c>
      <c r="I1760" t="s">
        <v>371</v>
      </c>
      <c r="J1760" t="s">
        <v>36</v>
      </c>
      <c r="K1760" t="s">
        <v>362</v>
      </c>
      <c r="L1760" t="s">
        <v>363</v>
      </c>
      <c r="M1760" t="s">
        <v>141</v>
      </c>
      <c r="N1760" t="s">
        <v>142</v>
      </c>
      <c r="O1760" t="s">
        <v>327</v>
      </c>
      <c r="P1760" t="s">
        <v>281</v>
      </c>
      <c r="Q1760" t="s">
        <v>328</v>
      </c>
      <c r="R1760" t="s">
        <v>350</v>
      </c>
      <c r="S1760" t="s">
        <v>477</v>
      </c>
      <c r="T1760">
        <v>5</v>
      </c>
      <c r="U1760" t="s">
        <v>478</v>
      </c>
      <c r="V1760" t="s">
        <v>479</v>
      </c>
      <c r="W1760" t="s">
        <v>480</v>
      </c>
      <c r="X1760" t="s">
        <v>331</v>
      </c>
      <c r="Y1760" t="s">
        <v>307</v>
      </c>
      <c r="Z1760">
        <v>70</v>
      </c>
      <c r="AA1760">
        <v>80</v>
      </c>
      <c r="AB1760" t="s">
        <v>143</v>
      </c>
      <c r="AC1760" t="s">
        <v>149</v>
      </c>
      <c r="AD1760" t="s">
        <v>509</v>
      </c>
      <c r="AE1760" t="str">
        <f>IF(AF1760="","",VLOOKUP(AC1760,mapel!$A$2:$B$42,2,FALSE))</f>
        <v>B.Indo</v>
      </c>
      <c r="AF1760">
        <f t="shared" si="81"/>
        <v>80</v>
      </c>
      <c r="AG1760" t="str">
        <f>IF(AF1760="","",IF(AF1760&gt;90,"Sangat baik",IF(AF1760&gt;79,"Baik",IF(AF1760&gt;=pub_gid_0_single_true_output_csv[[#This Row],[KKM]],"Cukup","Kurang"))))</f>
        <v>Baik</v>
      </c>
      <c r="AH1760">
        <f t="shared" si="82"/>
        <v>12</v>
      </c>
      <c r="AI1760" s="30" t="str">
        <f>IF(OR(J1760&lt;&gt;"Karakter",pub_gid_0_single_true_output_csv[[#This Row],[Nilai2]]=""),"",IF(AF1760&gt;89,"Sangat baik",IF(AF1760&gt;79,"Baik",IF(AF1760&gt;69,"Cukup",IF(AF1760&gt;59,"Kurang","Sangat kurang")))))</f>
        <v/>
      </c>
      <c r="AJ1760" t="str">
        <f t="shared" si="83"/>
        <v>Wk.7</v>
      </c>
      <c r="AK1760" t="str">
        <f>IF(pub_gid_0_single_true_output_csv[[#This Row],[Nilai2]]="","",VLOOKUP(pub_gid_0_single_true_output_csv[[#This Row],[NAMA]],Table7[],3,FALSE))</f>
        <v>Borderline</v>
      </c>
    </row>
    <row r="1761" spans="1:37" x14ac:dyDescent="0.2">
      <c r="A1761">
        <v>1760</v>
      </c>
      <c r="B1761" t="s">
        <v>317</v>
      </c>
      <c r="C1761" t="s">
        <v>65</v>
      </c>
      <c r="D1761" t="s">
        <v>62</v>
      </c>
      <c r="E1761" t="s">
        <v>140</v>
      </c>
      <c r="F1761" s="25">
        <v>46066</v>
      </c>
      <c r="G1761" t="s">
        <v>358</v>
      </c>
      <c r="H1761" t="s">
        <v>412</v>
      </c>
      <c r="I1761" t="s">
        <v>371</v>
      </c>
      <c r="J1761" t="s">
        <v>279</v>
      </c>
      <c r="K1761" t="s">
        <v>280</v>
      </c>
      <c r="L1761" t="s">
        <v>351</v>
      </c>
      <c r="M1761" t="s">
        <v>141</v>
      </c>
      <c r="N1761" t="s">
        <v>142</v>
      </c>
      <c r="O1761" t="s">
        <v>327</v>
      </c>
      <c r="P1761" t="s">
        <v>281</v>
      </c>
      <c r="Q1761" t="s">
        <v>328</v>
      </c>
      <c r="R1761" t="s">
        <v>350</v>
      </c>
      <c r="S1761" t="s">
        <v>477</v>
      </c>
      <c r="T1761">
        <v>5</v>
      </c>
      <c r="U1761" t="s">
        <v>478</v>
      </c>
      <c r="V1761" t="s">
        <v>479</v>
      </c>
      <c r="W1761" t="s">
        <v>480</v>
      </c>
      <c r="X1761" t="s">
        <v>331</v>
      </c>
      <c r="Y1761" t="s">
        <v>307</v>
      </c>
      <c r="Z1761">
        <v>70</v>
      </c>
      <c r="AA1761">
        <v>80</v>
      </c>
      <c r="AB1761" t="s">
        <v>143</v>
      </c>
      <c r="AC1761" t="s">
        <v>149</v>
      </c>
      <c r="AD1761" t="s">
        <v>509</v>
      </c>
      <c r="AE1761" t="str">
        <f>IF(AF1761="","",VLOOKUP(AC1761,mapel!$A$2:$B$42,2,FALSE))</f>
        <v>B.Indo</v>
      </c>
      <c r="AF1761">
        <f t="shared" si="81"/>
        <v>80</v>
      </c>
      <c r="AG1761" t="str">
        <f>IF(AF1761="","",IF(AF1761&gt;90,"Sangat baik",IF(AF1761&gt;79,"Baik",IF(AF1761&gt;=pub_gid_0_single_true_output_csv[[#This Row],[KKM]],"Cukup","Kurang"))))</f>
        <v>Baik</v>
      </c>
      <c r="AH1761">
        <f t="shared" si="82"/>
        <v>12</v>
      </c>
      <c r="AI1761" s="30" t="str">
        <f>IF(OR(J1761&lt;&gt;"Karakter",pub_gid_0_single_true_output_csv[[#This Row],[Nilai2]]=""),"",IF(AF1761&gt;89,"Sangat baik",IF(AF1761&gt;79,"Baik",IF(AF1761&gt;69,"Cukup",IF(AF1761&gt;59,"Kurang","Sangat kurang")))))</f>
        <v/>
      </c>
      <c r="AJ1761" t="str">
        <f t="shared" si="83"/>
        <v>Wk.7</v>
      </c>
      <c r="AK1761" t="str">
        <f>IF(pub_gid_0_single_true_output_csv[[#This Row],[Nilai2]]="","",VLOOKUP(pub_gid_0_single_true_output_csv[[#This Row],[NAMA]],Table7[],3,FALSE))</f>
        <v>Borderline</v>
      </c>
    </row>
    <row r="1762" spans="1:37" x14ac:dyDescent="0.2">
      <c r="A1762">
        <v>1761</v>
      </c>
      <c r="B1762" t="s">
        <v>317</v>
      </c>
      <c r="C1762" t="s">
        <v>65</v>
      </c>
      <c r="D1762" t="s">
        <v>62</v>
      </c>
      <c r="E1762" t="s">
        <v>140</v>
      </c>
      <c r="F1762" s="25">
        <v>46069</v>
      </c>
      <c r="G1762" t="s">
        <v>382</v>
      </c>
      <c r="H1762" t="s">
        <v>412</v>
      </c>
      <c r="I1762" t="s">
        <v>371</v>
      </c>
      <c r="J1762" t="s">
        <v>90</v>
      </c>
      <c r="K1762" t="s">
        <v>92</v>
      </c>
      <c r="L1762" t="s">
        <v>95</v>
      </c>
      <c r="M1762" t="s">
        <v>141</v>
      </c>
      <c r="N1762" t="s">
        <v>142</v>
      </c>
      <c r="O1762" t="s">
        <v>327</v>
      </c>
      <c r="P1762" t="s">
        <v>281</v>
      </c>
      <c r="Q1762" t="s">
        <v>328</v>
      </c>
      <c r="R1762" t="s">
        <v>350</v>
      </c>
      <c r="S1762" t="s">
        <v>481</v>
      </c>
      <c r="T1762">
        <v>7</v>
      </c>
      <c r="U1762" t="s">
        <v>482</v>
      </c>
      <c r="V1762" t="s">
        <v>483</v>
      </c>
      <c r="W1762" t="s">
        <v>484</v>
      </c>
      <c r="X1762" t="s">
        <v>331</v>
      </c>
      <c r="Y1762" t="s">
        <v>307</v>
      </c>
      <c r="Z1762">
        <v>70</v>
      </c>
      <c r="AA1762">
        <v>85</v>
      </c>
      <c r="AB1762" t="s">
        <v>143</v>
      </c>
      <c r="AC1762" t="s">
        <v>149</v>
      </c>
      <c r="AD1762" t="s">
        <v>509</v>
      </c>
      <c r="AE1762" t="str">
        <f>IF(AF1762="","",VLOOKUP(AC1762,mapel!$A$2:$B$42,2,FALSE))</f>
        <v>B.Indo</v>
      </c>
      <c r="AF1762">
        <f t="shared" si="81"/>
        <v>85</v>
      </c>
      <c r="AG1762" t="str">
        <f>IF(AF1762="","",IF(AF1762&gt;90,"Sangat baik",IF(AF1762&gt;79,"Baik",IF(AF1762&gt;=pub_gid_0_single_true_output_csv[[#This Row],[KKM]],"Cukup","Kurang"))))</f>
        <v>Baik</v>
      </c>
      <c r="AH1762">
        <f t="shared" si="82"/>
        <v>12</v>
      </c>
      <c r="AI1762" s="30" t="str">
        <f>IF(OR(J1762&lt;&gt;"Karakter",pub_gid_0_single_true_output_csv[[#This Row],[Nilai2]]=""),"",IF(AF1762&gt;89,"Sangat baik",IF(AF1762&gt;79,"Baik",IF(AF1762&gt;69,"Cukup",IF(AF1762&gt;59,"Kurang","Sangat kurang")))))</f>
        <v>Baik</v>
      </c>
      <c r="AJ1762" t="str">
        <f t="shared" si="83"/>
        <v>Wk.8</v>
      </c>
      <c r="AK1762" t="str">
        <f>IF(pub_gid_0_single_true_output_csv[[#This Row],[Nilai2]]="","",VLOOKUP(pub_gid_0_single_true_output_csv[[#This Row],[NAMA]],Table7[],3,FALSE))</f>
        <v>Borderline</v>
      </c>
    </row>
    <row r="1763" spans="1:37" x14ac:dyDescent="0.2">
      <c r="A1763">
        <v>1762</v>
      </c>
      <c r="B1763" t="s">
        <v>317</v>
      </c>
      <c r="C1763" t="s">
        <v>65</v>
      </c>
      <c r="D1763" t="s">
        <v>62</v>
      </c>
      <c r="E1763" t="s">
        <v>140</v>
      </c>
      <c r="F1763" s="25">
        <v>46073</v>
      </c>
      <c r="G1763" t="s">
        <v>474</v>
      </c>
      <c r="H1763" t="s">
        <v>412</v>
      </c>
      <c r="I1763" t="s">
        <v>371</v>
      </c>
      <c r="J1763" t="s">
        <v>36</v>
      </c>
      <c r="K1763" t="s">
        <v>361</v>
      </c>
      <c r="L1763" t="s">
        <v>319</v>
      </c>
      <c r="M1763" t="s">
        <v>141</v>
      </c>
      <c r="N1763" t="s">
        <v>142</v>
      </c>
      <c r="O1763" t="s">
        <v>327</v>
      </c>
      <c r="P1763" t="s">
        <v>281</v>
      </c>
      <c r="Q1763" t="s">
        <v>328</v>
      </c>
      <c r="R1763" t="s">
        <v>350</v>
      </c>
      <c r="S1763" t="s">
        <v>481</v>
      </c>
      <c r="T1763">
        <v>7</v>
      </c>
      <c r="U1763" t="s">
        <v>482</v>
      </c>
      <c r="V1763" t="s">
        <v>483</v>
      </c>
      <c r="W1763" t="s">
        <v>484</v>
      </c>
      <c r="X1763" t="s">
        <v>331</v>
      </c>
      <c r="Y1763" t="s">
        <v>307</v>
      </c>
      <c r="Z1763">
        <v>70</v>
      </c>
      <c r="AA1763">
        <v>80</v>
      </c>
      <c r="AB1763" t="s">
        <v>143</v>
      </c>
      <c r="AC1763" t="s">
        <v>149</v>
      </c>
      <c r="AD1763" t="s">
        <v>509</v>
      </c>
      <c r="AE1763" t="str">
        <f>IF(AF1763="","",VLOOKUP(AC1763,mapel!$A$2:$B$42,2,FALSE))</f>
        <v>B.Indo</v>
      </c>
      <c r="AF1763">
        <f t="shared" si="81"/>
        <v>80</v>
      </c>
      <c r="AG1763" t="str">
        <f>IF(AF1763="","",IF(AF1763&gt;90,"Sangat baik",IF(AF1763&gt;79,"Baik",IF(AF1763&gt;=pub_gid_0_single_true_output_csv[[#This Row],[KKM]],"Cukup","Kurang"))))</f>
        <v>Baik</v>
      </c>
      <c r="AH1763">
        <f t="shared" si="82"/>
        <v>12</v>
      </c>
      <c r="AI1763" s="30" t="str">
        <f>IF(OR(J1763&lt;&gt;"Karakter",pub_gid_0_single_true_output_csv[[#This Row],[Nilai2]]=""),"",IF(AF1763&gt;89,"Sangat baik",IF(AF1763&gt;79,"Baik",IF(AF1763&gt;69,"Cukup",IF(AF1763&gt;59,"Kurang","Sangat kurang")))))</f>
        <v/>
      </c>
      <c r="AJ1763" t="str">
        <f t="shared" si="83"/>
        <v>Wk.8</v>
      </c>
      <c r="AK1763" t="str">
        <f>IF(pub_gid_0_single_true_output_csv[[#This Row],[Nilai2]]="","",VLOOKUP(pub_gid_0_single_true_output_csv[[#This Row],[NAMA]],Table7[],3,FALSE))</f>
        <v>Borderline</v>
      </c>
    </row>
    <row r="1764" spans="1:37" x14ac:dyDescent="0.2">
      <c r="A1764">
        <v>1763</v>
      </c>
      <c r="B1764" t="s">
        <v>317</v>
      </c>
      <c r="C1764" t="s">
        <v>65</v>
      </c>
      <c r="D1764" t="s">
        <v>62</v>
      </c>
      <c r="E1764" t="s">
        <v>140</v>
      </c>
      <c r="F1764" s="25">
        <v>46076</v>
      </c>
      <c r="G1764" t="s">
        <v>468</v>
      </c>
      <c r="H1764" t="s">
        <v>412</v>
      </c>
      <c r="I1764" t="s">
        <v>371</v>
      </c>
      <c r="J1764" t="s">
        <v>31</v>
      </c>
      <c r="K1764" t="s">
        <v>96</v>
      </c>
      <c r="L1764" t="s">
        <v>319</v>
      </c>
      <c r="M1764" t="s">
        <v>141</v>
      </c>
      <c r="N1764" t="s">
        <v>142</v>
      </c>
      <c r="O1764" t="s">
        <v>327</v>
      </c>
      <c r="P1764" t="s">
        <v>281</v>
      </c>
      <c r="Q1764" t="s">
        <v>328</v>
      </c>
      <c r="R1764" t="s">
        <v>350</v>
      </c>
      <c r="S1764" t="s">
        <v>481</v>
      </c>
      <c r="T1764">
        <v>7</v>
      </c>
      <c r="U1764" t="s">
        <v>482</v>
      </c>
      <c r="V1764" t="s">
        <v>483</v>
      </c>
      <c r="W1764" t="s">
        <v>484</v>
      </c>
      <c r="X1764" t="s">
        <v>331</v>
      </c>
      <c r="Y1764" t="s">
        <v>307</v>
      </c>
      <c r="Z1764">
        <v>70</v>
      </c>
      <c r="AA1764">
        <v>80</v>
      </c>
      <c r="AB1764" t="s">
        <v>143</v>
      </c>
      <c r="AC1764" t="s">
        <v>149</v>
      </c>
      <c r="AD1764" t="s">
        <v>509</v>
      </c>
      <c r="AE1764" t="str">
        <f>IF(AF1764="","",VLOOKUP(AC1764,mapel!$A$2:$B$42,2,FALSE))</f>
        <v>B.Indo</v>
      </c>
      <c r="AF1764">
        <f t="shared" si="81"/>
        <v>80</v>
      </c>
      <c r="AG1764" t="str">
        <f>IF(AF1764="","",IF(AF1764&gt;90,"Sangat baik",IF(AF1764&gt;79,"Baik",IF(AF1764&gt;=pub_gid_0_single_true_output_csv[[#This Row],[KKM]],"Cukup","Kurang"))))</f>
        <v>Baik</v>
      </c>
      <c r="AH1764">
        <f t="shared" si="82"/>
        <v>12</v>
      </c>
      <c r="AI1764" s="30" t="str">
        <f>IF(OR(J1764&lt;&gt;"Karakter",pub_gid_0_single_true_output_csv[[#This Row],[Nilai2]]=""),"",IF(AF1764&gt;89,"Sangat baik",IF(AF1764&gt;79,"Baik",IF(AF1764&gt;69,"Cukup",IF(AF1764&gt;59,"Kurang","Sangat kurang")))))</f>
        <v/>
      </c>
      <c r="AJ1764" t="str">
        <f t="shared" si="83"/>
        <v>Wk.9</v>
      </c>
      <c r="AK1764" t="str">
        <f>IF(pub_gid_0_single_true_output_csv[[#This Row],[Nilai2]]="","",VLOOKUP(pub_gid_0_single_true_output_csv[[#This Row],[NAMA]],Table7[],3,FALSE))</f>
        <v>Borderline</v>
      </c>
    </row>
    <row r="1765" spans="1:37" x14ac:dyDescent="0.2">
      <c r="A1765">
        <v>1764</v>
      </c>
      <c r="B1765" t="s">
        <v>318</v>
      </c>
      <c r="C1765" t="s">
        <v>65</v>
      </c>
      <c r="D1765" t="s">
        <v>63</v>
      </c>
      <c r="E1765" t="s">
        <v>140</v>
      </c>
      <c r="F1765" s="25">
        <v>46048</v>
      </c>
      <c r="G1765" t="s">
        <v>371</v>
      </c>
      <c r="H1765" t="s">
        <v>405</v>
      </c>
      <c r="I1765" t="s">
        <v>371</v>
      </c>
      <c r="J1765" t="s">
        <v>36</v>
      </c>
      <c r="K1765" t="s">
        <v>361</v>
      </c>
      <c r="L1765" t="s">
        <v>319</v>
      </c>
      <c r="M1765" t="s">
        <v>141</v>
      </c>
      <c r="N1765" t="s">
        <v>142</v>
      </c>
      <c r="O1765" t="s">
        <v>327</v>
      </c>
      <c r="P1765" t="s">
        <v>281</v>
      </c>
      <c r="Q1765" t="s">
        <v>328</v>
      </c>
      <c r="R1765" t="s">
        <v>350</v>
      </c>
      <c r="S1765" t="s">
        <v>477</v>
      </c>
      <c r="T1765">
        <v>5</v>
      </c>
      <c r="U1765" t="s">
        <v>478</v>
      </c>
      <c r="V1765" t="s">
        <v>479</v>
      </c>
      <c r="W1765" t="s">
        <v>480</v>
      </c>
      <c r="X1765" t="s">
        <v>331</v>
      </c>
      <c r="Y1765" t="s">
        <v>307</v>
      </c>
      <c r="Z1765">
        <v>70</v>
      </c>
      <c r="AA1765">
        <v>80</v>
      </c>
      <c r="AB1765" t="s">
        <v>143</v>
      </c>
      <c r="AC1765" t="s">
        <v>149</v>
      </c>
      <c r="AD1765" t="s">
        <v>509</v>
      </c>
      <c r="AE1765" t="str">
        <f>IF(AF1765="","",VLOOKUP(AC1765,mapel!$A$2:$B$42,2,FALSE))</f>
        <v>B.Indo</v>
      </c>
      <c r="AF1765">
        <f t="shared" si="81"/>
        <v>80</v>
      </c>
      <c r="AG1765" t="str">
        <f>IF(AF1765="","",IF(AF1765&gt;90,"Sangat baik",IF(AF1765&gt;79,"Baik",IF(AF1765&gt;=pub_gid_0_single_true_output_csv[[#This Row],[KKM]],"Cukup","Kurang"))))</f>
        <v>Baik</v>
      </c>
      <c r="AH1765">
        <f t="shared" si="82"/>
        <v>12</v>
      </c>
      <c r="AI1765" s="30" t="str">
        <f>IF(OR(J1765&lt;&gt;"Karakter",pub_gid_0_single_true_output_csv[[#This Row],[Nilai2]]=""),"",IF(AF1765&gt;89,"Sangat baik",IF(AF1765&gt;79,"Baik",IF(AF1765&gt;69,"Cukup",IF(AF1765&gt;59,"Kurang","Sangat kurang")))))</f>
        <v/>
      </c>
      <c r="AJ1765" t="str">
        <f t="shared" si="83"/>
        <v>Wk.5</v>
      </c>
      <c r="AK1765" t="str">
        <f>IF(pub_gid_0_single_true_output_csv[[#This Row],[Nilai2]]="","",VLOOKUP(pub_gid_0_single_true_output_csv[[#This Row],[NAMA]],Table7[],3,FALSE))</f>
        <v>Average</v>
      </c>
    </row>
    <row r="1766" spans="1:37" x14ac:dyDescent="0.2">
      <c r="A1766">
        <v>1765</v>
      </c>
      <c r="B1766" t="s">
        <v>318</v>
      </c>
      <c r="C1766" t="s">
        <v>65</v>
      </c>
      <c r="D1766" t="s">
        <v>63</v>
      </c>
      <c r="E1766" t="s">
        <v>140</v>
      </c>
      <c r="F1766" s="25">
        <v>46052</v>
      </c>
      <c r="G1766" t="s">
        <v>304</v>
      </c>
      <c r="H1766" t="s">
        <v>405</v>
      </c>
      <c r="I1766" t="s">
        <v>371</v>
      </c>
      <c r="J1766" t="s">
        <v>31</v>
      </c>
      <c r="K1766" t="s">
        <v>32</v>
      </c>
      <c r="L1766" t="s">
        <v>351</v>
      </c>
      <c r="M1766" t="s">
        <v>141</v>
      </c>
      <c r="N1766" t="s">
        <v>142</v>
      </c>
      <c r="O1766" t="s">
        <v>327</v>
      </c>
      <c r="P1766" t="s">
        <v>281</v>
      </c>
      <c r="Q1766" t="s">
        <v>328</v>
      </c>
      <c r="R1766" t="s">
        <v>350</v>
      </c>
      <c r="S1766" t="s">
        <v>477</v>
      </c>
      <c r="T1766">
        <v>5</v>
      </c>
      <c r="U1766" t="s">
        <v>478</v>
      </c>
      <c r="V1766" t="s">
        <v>479</v>
      </c>
      <c r="W1766" t="s">
        <v>480</v>
      </c>
      <c r="X1766" t="s">
        <v>331</v>
      </c>
      <c r="Y1766" t="s">
        <v>307</v>
      </c>
      <c r="Z1766">
        <v>70</v>
      </c>
      <c r="AA1766">
        <v>75</v>
      </c>
      <c r="AB1766" t="s">
        <v>143</v>
      </c>
      <c r="AC1766" t="s">
        <v>149</v>
      </c>
      <c r="AD1766" t="s">
        <v>509</v>
      </c>
      <c r="AE1766" t="str">
        <f>IF(AF1766="","",VLOOKUP(AC1766,mapel!$A$2:$B$42,2,FALSE))</f>
        <v>B.Indo</v>
      </c>
      <c r="AF1766">
        <f t="shared" si="81"/>
        <v>75</v>
      </c>
      <c r="AG1766" t="str">
        <f>IF(AF1766="","",IF(AF1766&gt;90,"Sangat baik",IF(AF1766&gt;79,"Baik",IF(AF1766&gt;=pub_gid_0_single_true_output_csv[[#This Row],[KKM]],"Cukup","Kurang"))))</f>
        <v>Cukup</v>
      </c>
      <c r="AH1766">
        <f t="shared" si="82"/>
        <v>12</v>
      </c>
      <c r="AI1766" s="30" t="str">
        <f>IF(OR(J1766&lt;&gt;"Karakter",pub_gid_0_single_true_output_csv[[#This Row],[Nilai2]]=""),"",IF(AF1766&gt;89,"Sangat baik",IF(AF1766&gt;79,"Baik",IF(AF1766&gt;69,"Cukup",IF(AF1766&gt;59,"Kurang","Sangat kurang")))))</f>
        <v/>
      </c>
      <c r="AJ1766" t="str">
        <f t="shared" si="83"/>
        <v>Wk.5</v>
      </c>
      <c r="AK1766" t="str">
        <f>IF(pub_gid_0_single_true_output_csv[[#This Row],[Nilai2]]="","",VLOOKUP(pub_gid_0_single_true_output_csv[[#This Row],[NAMA]],Table7[],3,FALSE))</f>
        <v>Average</v>
      </c>
    </row>
    <row r="1767" spans="1:37" x14ac:dyDescent="0.2">
      <c r="A1767">
        <v>1766</v>
      </c>
      <c r="B1767" t="s">
        <v>318</v>
      </c>
      <c r="C1767" t="s">
        <v>65</v>
      </c>
      <c r="D1767" t="s">
        <v>63</v>
      </c>
      <c r="E1767" t="s">
        <v>140</v>
      </c>
      <c r="F1767" s="25">
        <v>46055</v>
      </c>
      <c r="G1767" t="s">
        <v>379</v>
      </c>
      <c r="H1767" t="s">
        <v>412</v>
      </c>
      <c r="I1767" t="s">
        <v>371</v>
      </c>
      <c r="J1767" t="s">
        <v>90</v>
      </c>
      <c r="K1767" t="s">
        <v>92</v>
      </c>
      <c r="L1767" t="s">
        <v>93</v>
      </c>
      <c r="M1767" t="s">
        <v>141</v>
      </c>
      <c r="N1767" t="s">
        <v>142</v>
      </c>
      <c r="O1767" t="s">
        <v>327</v>
      </c>
      <c r="P1767" t="s">
        <v>281</v>
      </c>
      <c r="Q1767" t="s">
        <v>328</v>
      </c>
      <c r="R1767" t="s">
        <v>350</v>
      </c>
      <c r="S1767" t="s">
        <v>477</v>
      </c>
      <c r="T1767">
        <v>5</v>
      </c>
      <c r="U1767" t="s">
        <v>478</v>
      </c>
      <c r="V1767" t="s">
        <v>479</v>
      </c>
      <c r="W1767" t="s">
        <v>480</v>
      </c>
      <c r="X1767" t="s">
        <v>331</v>
      </c>
      <c r="Y1767" t="s">
        <v>307</v>
      </c>
      <c r="Z1767">
        <v>70</v>
      </c>
      <c r="AA1767">
        <v>80</v>
      </c>
      <c r="AB1767" t="s">
        <v>143</v>
      </c>
      <c r="AC1767" t="s">
        <v>149</v>
      </c>
      <c r="AD1767" t="s">
        <v>509</v>
      </c>
      <c r="AE1767" t="str">
        <f>IF(AF1767="","",VLOOKUP(AC1767,mapel!$A$2:$B$42,2,FALSE))</f>
        <v>B.Indo</v>
      </c>
      <c r="AF1767">
        <f t="shared" si="81"/>
        <v>80</v>
      </c>
      <c r="AG1767" t="str">
        <f>IF(AF1767="","",IF(AF1767&gt;90,"Sangat baik",IF(AF1767&gt;79,"Baik",IF(AF1767&gt;=pub_gid_0_single_true_output_csv[[#This Row],[KKM]],"Cukup","Kurang"))))</f>
        <v>Baik</v>
      </c>
      <c r="AH1767">
        <f t="shared" si="82"/>
        <v>12</v>
      </c>
      <c r="AI1767" s="30" t="str">
        <f>IF(OR(J1767&lt;&gt;"Karakter",pub_gid_0_single_true_output_csv[[#This Row],[Nilai2]]=""),"",IF(AF1767&gt;89,"Sangat baik",IF(AF1767&gt;79,"Baik",IF(AF1767&gt;69,"Cukup",IF(AF1767&gt;59,"Kurang","Sangat kurang")))))</f>
        <v>Baik</v>
      </c>
      <c r="AJ1767" t="str">
        <f t="shared" si="83"/>
        <v>Wk.6</v>
      </c>
      <c r="AK1767" t="str">
        <f>IF(pub_gid_0_single_true_output_csv[[#This Row],[Nilai2]]="","",VLOOKUP(pub_gid_0_single_true_output_csv[[#This Row],[NAMA]],Table7[],3,FALSE))</f>
        <v>Average</v>
      </c>
    </row>
    <row r="1768" spans="1:37" x14ac:dyDescent="0.2">
      <c r="A1768">
        <v>1767</v>
      </c>
      <c r="B1768" t="s">
        <v>318</v>
      </c>
      <c r="C1768" t="s">
        <v>65</v>
      </c>
      <c r="D1768" t="s">
        <v>63</v>
      </c>
      <c r="E1768" t="s">
        <v>140</v>
      </c>
      <c r="F1768" s="25">
        <v>46062</v>
      </c>
      <c r="G1768" t="s">
        <v>376</v>
      </c>
      <c r="H1768" t="s">
        <v>412</v>
      </c>
      <c r="I1768" t="s">
        <v>371</v>
      </c>
      <c r="J1768" t="s">
        <v>36</v>
      </c>
      <c r="K1768" t="s">
        <v>362</v>
      </c>
      <c r="L1768" t="s">
        <v>363</v>
      </c>
      <c r="M1768" t="s">
        <v>141</v>
      </c>
      <c r="N1768" t="s">
        <v>142</v>
      </c>
      <c r="O1768" t="s">
        <v>327</v>
      </c>
      <c r="P1768" t="s">
        <v>281</v>
      </c>
      <c r="Q1768" t="s">
        <v>328</v>
      </c>
      <c r="R1768" t="s">
        <v>350</v>
      </c>
      <c r="S1768" t="s">
        <v>477</v>
      </c>
      <c r="T1768">
        <v>5</v>
      </c>
      <c r="U1768" t="s">
        <v>478</v>
      </c>
      <c r="V1768" t="s">
        <v>479</v>
      </c>
      <c r="W1768" t="s">
        <v>480</v>
      </c>
      <c r="X1768" t="s">
        <v>331</v>
      </c>
      <c r="Y1768" t="s">
        <v>307</v>
      </c>
      <c r="Z1768">
        <v>70</v>
      </c>
      <c r="AA1768">
        <v>80</v>
      </c>
      <c r="AB1768" t="s">
        <v>143</v>
      </c>
      <c r="AC1768" t="s">
        <v>149</v>
      </c>
      <c r="AD1768" t="s">
        <v>509</v>
      </c>
      <c r="AE1768" t="str">
        <f>IF(AF1768="","",VLOOKUP(AC1768,mapel!$A$2:$B$42,2,FALSE))</f>
        <v>B.Indo</v>
      </c>
      <c r="AF1768">
        <f t="shared" si="81"/>
        <v>80</v>
      </c>
      <c r="AG1768" t="str">
        <f>IF(AF1768="","",IF(AF1768&gt;90,"Sangat baik",IF(AF1768&gt;79,"Baik",IF(AF1768&gt;=pub_gid_0_single_true_output_csv[[#This Row],[KKM]],"Cukup","Kurang"))))</f>
        <v>Baik</v>
      </c>
      <c r="AH1768">
        <f t="shared" si="82"/>
        <v>12</v>
      </c>
      <c r="AI1768" s="30" t="str">
        <f>IF(OR(J1768&lt;&gt;"Karakter",pub_gid_0_single_true_output_csv[[#This Row],[Nilai2]]=""),"",IF(AF1768&gt;89,"Sangat baik",IF(AF1768&gt;79,"Baik",IF(AF1768&gt;69,"Cukup",IF(AF1768&gt;59,"Kurang","Sangat kurang")))))</f>
        <v/>
      </c>
      <c r="AJ1768" t="str">
        <f t="shared" si="83"/>
        <v>Wk.7</v>
      </c>
      <c r="AK1768" t="str">
        <f>IF(pub_gid_0_single_true_output_csv[[#This Row],[Nilai2]]="","",VLOOKUP(pub_gid_0_single_true_output_csv[[#This Row],[NAMA]],Table7[],3,FALSE))</f>
        <v>Average</v>
      </c>
    </row>
    <row r="1769" spans="1:37" x14ac:dyDescent="0.2">
      <c r="A1769">
        <v>1768</v>
      </c>
      <c r="B1769" t="s">
        <v>318</v>
      </c>
      <c r="C1769" t="s">
        <v>65</v>
      </c>
      <c r="D1769" t="s">
        <v>63</v>
      </c>
      <c r="E1769" t="s">
        <v>140</v>
      </c>
      <c r="F1769" s="25">
        <v>46066</v>
      </c>
      <c r="G1769" t="s">
        <v>358</v>
      </c>
      <c r="H1769" t="s">
        <v>412</v>
      </c>
      <c r="I1769" t="s">
        <v>371</v>
      </c>
      <c r="J1769" t="s">
        <v>279</v>
      </c>
      <c r="K1769" t="s">
        <v>280</v>
      </c>
      <c r="L1769" t="s">
        <v>351</v>
      </c>
      <c r="M1769" t="s">
        <v>141</v>
      </c>
      <c r="N1769" t="s">
        <v>142</v>
      </c>
      <c r="O1769" t="s">
        <v>327</v>
      </c>
      <c r="P1769" t="s">
        <v>281</v>
      </c>
      <c r="Q1769" t="s">
        <v>328</v>
      </c>
      <c r="R1769" t="s">
        <v>350</v>
      </c>
      <c r="S1769" t="s">
        <v>477</v>
      </c>
      <c r="T1769">
        <v>5</v>
      </c>
      <c r="U1769" t="s">
        <v>478</v>
      </c>
      <c r="V1769" t="s">
        <v>479</v>
      </c>
      <c r="W1769" t="s">
        <v>480</v>
      </c>
      <c r="X1769" t="s">
        <v>331</v>
      </c>
      <c r="Y1769" t="s">
        <v>307</v>
      </c>
      <c r="Z1769">
        <v>70</v>
      </c>
      <c r="AA1769">
        <v>80</v>
      </c>
      <c r="AB1769" t="s">
        <v>143</v>
      </c>
      <c r="AC1769" t="s">
        <v>149</v>
      </c>
      <c r="AD1769" t="s">
        <v>509</v>
      </c>
      <c r="AE1769" t="str">
        <f>IF(AF1769="","",VLOOKUP(AC1769,mapel!$A$2:$B$42,2,FALSE))</f>
        <v>B.Indo</v>
      </c>
      <c r="AF1769">
        <f t="shared" si="81"/>
        <v>80</v>
      </c>
      <c r="AG1769" t="str">
        <f>IF(AF1769="","",IF(AF1769&gt;90,"Sangat baik",IF(AF1769&gt;79,"Baik",IF(AF1769&gt;=pub_gid_0_single_true_output_csv[[#This Row],[KKM]],"Cukup","Kurang"))))</f>
        <v>Baik</v>
      </c>
      <c r="AH1769">
        <f t="shared" si="82"/>
        <v>12</v>
      </c>
      <c r="AI1769" s="30" t="str">
        <f>IF(OR(J1769&lt;&gt;"Karakter",pub_gid_0_single_true_output_csv[[#This Row],[Nilai2]]=""),"",IF(AF1769&gt;89,"Sangat baik",IF(AF1769&gt;79,"Baik",IF(AF1769&gt;69,"Cukup",IF(AF1769&gt;59,"Kurang","Sangat kurang")))))</f>
        <v/>
      </c>
      <c r="AJ1769" t="str">
        <f t="shared" si="83"/>
        <v>Wk.7</v>
      </c>
      <c r="AK1769" t="str">
        <f>IF(pub_gid_0_single_true_output_csv[[#This Row],[Nilai2]]="","",VLOOKUP(pub_gid_0_single_true_output_csv[[#This Row],[NAMA]],Table7[],3,FALSE))</f>
        <v>Average</v>
      </c>
    </row>
    <row r="1770" spans="1:37" x14ac:dyDescent="0.2">
      <c r="A1770">
        <v>1769</v>
      </c>
      <c r="B1770" t="s">
        <v>318</v>
      </c>
      <c r="C1770" t="s">
        <v>65</v>
      </c>
      <c r="D1770" t="s">
        <v>63</v>
      </c>
      <c r="E1770" t="s">
        <v>140</v>
      </c>
      <c r="F1770" s="25">
        <v>46069</v>
      </c>
      <c r="G1770" t="s">
        <v>382</v>
      </c>
      <c r="H1770" t="s">
        <v>412</v>
      </c>
      <c r="I1770" t="s">
        <v>371</v>
      </c>
      <c r="J1770" t="s">
        <v>90</v>
      </c>
      <c r="K1770" t="s">
        <v>92</v>
      </c>
      <c r="L1770" t="s">
        <v>95</v>
      </c>
      <c r="M1770" t="s">
        <v>141</v>
      </c>
      <c r="N1770" t="s">
        <v>142</v>
      </c>
      <c r="O1770" t="s">
        <v>327</v>
      </c>
      <c r="P1770" t="s">
        <v>281</v>
      </c>
      <c r="Q1770" t="s">
        <v>328</v>
      </c>
      <c r="R1770" t="s">
        <v>350</v>
      </c>
      <c r="S1770" t="s">
        <v>481</v>
      </c>
      <c r="T1770">
        <v>7</v>
      </c>
      <c r="U1770" t="s">
        <v>482</v>
      </c>
      <c r="V1770" t="s">
        <v>483</v>
      </c>
      <c r="W1770" t="s">
        <v>484</v>
      </c>
      <c r="X1770" t="s">
        <v>331</v>
      </c>
      <c r="Y1770" t="s">
        <v>307</v>
      </c>
      <c r="Z1770">
        <v>70</v>
      </c>
      <c r="AA1770">
        <v>85</v>
      </c>
      <c r="AB1770" t="s">
        <v>143</v>
      </c>
      <c r="AC1770" t="s">
        <v>149</v>
      </c>
      <c r="AD1770" t="s">
        <v>509</v>
      </c>
      <c r="AE1770" t="str">
        <f>IF(AF1770="","",VLOOKUP(AC1770,mapel!$A$2:$B$42,2,FALSE))</f>
        <v>B.Indo</v>
      </c>
      <c r="AF1770">
        <f t="shared" si="81"/>
        <v>85</v>
      </c>
      <c r="AG1770" t="str">
        <f>IF(AF1770="","",IF(AF1770&gt;90,"Sangat baik",IF(AF1770&gt;79,"Baik",IF(AF1770&gt;=pub_gid_0_single_true_output_csv[[#This Row],[KKM]],"Cukup","Kurang"))))</f>
        <v>Baik</v>
      </c>
      <c r="AH1770">
        <f t="shared" si="82"/>
        <v>12</v>
      </c>
      <c r="AI1770" s="30" t="str">
        <f>IF(OR(J1770&lt;&gt;"Karakter",pub_gid_0_single_true_output_csv[[#This Row],[Nilai2]]=""),"",IF(AF1770&gt;89,"Sangat baik",IF(AF1770&gt;79,"Baik",IF(AF1770&gt;69,"Cukup",IF(AF1770&gt;59,"Kurang","Sangat kurang")))))</f>
        <v>Baik</v>
      </c>
      <c r="AJ1770" t="str">
        <f t="shared" si="83"/>
        <v>Wk.8</v>
      </c>
      <c r="AK1770" t="str">
        <f>IF(pub_gid_0_single_true_output_csv[[#This Row],[Nilai2]]="","",VLOOKUP(pub_gid_0_single_true_output_csv[[#This Row],[NAMA]],Table7[],3,FALSE))</f>
        <v>Average</v>
      </c>
    </row>
    <row r="1771" spans="1:37" x14ac:dyDescent="0.2">
      <c r="A1771">
        <v>1770</v>
      </c>
      <c r="B1771" t="s">
        <v>318</v>
      </c>
      <c r="C1771" t="s">
        <v>65</v>
      </c>
      <c r="D1771" t="s">
        <v>63</v>
      </c>
      <c r="E1771" t="s">
        <v>140</v>
      </c>
      <c r="F1771" s="25">
        <v>46073</v>
      </c>
      <c r="G1771" t="s">
        <v>474</v>
      </c>
      <c r="H1771" t="s">
        <v>412</v>
      </c>
      <c r="I1771" t="s">
        <v>371</v>
      </c>
      <c r="J1771" t="s">
        <v>36</v>
      </c>
      <c r="K1771" t="s">
        <v>361</v>
      </c>
      <c r="L1771" t="s">
        <v>319</v>
      </c>
      <c r="M1771" t="s">
        <v>141</v>
      </c>
      <c r="N1771" t="s">
        <v>142</v>
      </c>
      <c r="O1771" t="s">
        <v>327</v>
      </c>
      <c r="P1771" t="s">
        <v>281</v>
      </c>
      <c r="Q1771" t="s">
        <v>328</v>
      </c>
      <c r="R1771" t="s">
        <v>350</v>
      </c>
      <c r="S1771" t="s">
        <v>481</v>
      </c>
      <c r="T1771">
        <v>7</v>
      </c>
      <c r="U1771" t="s">
        <v>482</v>
      </c>
      <c r="V1771" t="s">
        <v>483</v>
      </c>
      <c r="W1771" t="s">
        <v>484</v>
      </c>
      <c r="X1771" t="s">
        <v>331</v>
      </c>
      <c r="Y1771" t="s">
        <v>307</v>
      </c>
      <c r="Z1771">
        <v>70</v>
      </c>
      <c r="AA1771">
        <v>80</v>
      </c>
      <c r="AB1771" t="s">
        <v>143</v>
      </c>
      <c r="AC1771" t="s">
        <v>149</v>
      </c>
      <c r="AD1771" t="s">
        <v>509</v>
      </c>
      <c r="AE1771" t="str">
        <f>IF(AF1771="","",VLOOKUP(AC1771,mapel!$A$2:$B$42,2,FALSE))</f>
        <v>B.Indo</v>
      </c>
      <c r="AF1771">
        <f t="shared" si="81"/>
        <v>80</v>
      </c>
      <c r="AG1771" t="str">
        <f>IF(AF1771="","",IF(AF1771&gt;90,"Sangat baik",IF(AF1771&gt;79,"Baik",IF(AF1771&gt;=pub_gid_0_single_true_output_csv[[#This Row],[KKM]],"Cukup","Kurang"))))</f>
        <v>Baik</v>
      </c>
      <c r="AH1771">
        <f t="shared" si="82"/>
        <v>12</v>
      </c>
      <c r="AI1771" s="30" t="str">
        <f>IF(OR(J1771&lt;&gt;"Karakter",pub_gid_0_single_true_output_csv[[#This Row],[Nilai2]]=""),"",IF(AF1771&gt;89,"Sangat baik",IF(AF1771&gt;79,"Baik",IF(AF1771&gt;69,"Cukup",IF(AF1771&gt;59,"Kurang","Sangat kurang")))))</f>
        <v/>
      </c>
      <c r="AJ1771" t="str">
        <f t="shared" si="83"/>
        <v>Wk.8</v>
      </c>
      <c r="AK1771" t="str">
        <f>IF(pub_gid_0_single_true_output_csv[[#This Row],[Nilai2]]="","",VLOOKUP(pub_gid_0_single_true_output_csv[[#This Row],[NAMA]],Table7[],3,FALSE))</f>
        <v>Average</v>
      </c>
    </row>
    <row r="1772" spans="1:37" x14ac:dyDescent="0.2">
      <c r="A1772">
        <v>1771</v>
      </c>
      <c r="B1772" t="s">
        <v>318</v>
      </c>
      <c r="C1772" t="s">
        <v>65</v>
      </c>
      <c r="D1772" t="s">
        <v>63</v>
      </c>
      <c r="E1772" t="s">
        <v>140</v>
      </c>
      <c r="F1772" s="25">
        <v>46076</v>
      </c>
      <c r="G1772" t="s">
        <v>468</v>
      </c>
      <c r="H1772" t="s">
        <v>412</v>
      </c>
      <c r="I1772" t="s">
        <v>371</v>
      </c>
      <c r="J1772" t="s">
        <v>31</v>
      </c>
      <c r="K1772" t="s">
        <v>96</v>
      </c>
      <c r="L1772" t="s">
        <v>319</v>
      </c>
      <c r="M1772" t="s">
        <v>141</v>
      </c>
      <c r="N1772" t="s">
        <v>142</v>
      </c>
      <c r="O1772" t="s">
        <v>327</v>
      </c>
      <c r="P1772" t="s">
        <v>281</v>
      </c>
      <c r="Q1772" t="s">
        <v>328</v>
      </c>
      <c r="R1772" t="s">
        <v>350</v>
      </c>
      <c r="S1772" t="s">
        <v>481</v>
      </c>
      <c r="T1772">
        <v>7</v>
      </c>
      <c r="U1772" t="s">
        <v>482</v>
      </c>
      <c r="V1772" t="s">
        <v>483</v>
      </c>
      <c r="W1772" t="s">
        <v>484</v>
      </c>
      <c r="X1772" t="s">
        <v>331</v>
      </c>
      <c r="Y1772" t="s">
        <v>307</v>
      </c>
      <c r="Z1772">
        <v>70</v>
      </c>
      <c r="AA1772">
        <v>80</v>
      </c>
      <c r="AB1772" t="s">
        <v>143</v>
      </c>
      <c r="AC1772" t="s">
        <v>149</v>
      </c>
      <c r="AD1772" t="s">
        <v>509</v>
      </c>
      <c r="AE1772" t="str">
        <f>IF(AF1772="","",VLOOKUP(AC1772,mapel!$A$2:$B$42,2,FALSE))</f>
        <v>B.Indo</v>
      </c>
      <c r="AF1772">
        <f t="shared" si="81"/>
        <v>80</v>
      </c>
      <c r="AG1772" t="str">
        <f>IF(AF1772="","",IF(AF1772&gt;90,"Sangat baik",IF(AF1772&gt;79,"Baik",IF(AF1772&gt;=pub_gid_0_single_true_output_csv[[#This Row],[KKM]],"Cukup","Kurang"))))</f>
        <v>Baik</v>
      </c>
      <c r="AH1772">
        <f t="shared" si="82"/>
        <v>12</v>
      </c>
      <c r="AI1772" s="30" t="str">
        <f>IF(OR(J1772&lt;&gt;"Karakter",pub_gid_0_single_true_output_csv[[#This Row],[Nilai2]]=""),"",IF(AF1772&gt;89,"Sangat baik",IF(AF1772&gt;79,"Baik",IF(AF1772&gt;69,"Cukup",IF(AF1772&gt;59,"Kurang","Sangat kurang")))))</f>
        <v/>
      </c>
      <c r="AJ1772" t="str">
        <f t="shared" si="83"/>
        <v>Wk.9</v>
      </c>
      <c r="AK1772" t="str">
        <f>IF(pub_gid_0_single_true_output_csv[[#This Row],[Nilai2]]="","",VLOOKUP(pub_gid_0_single_true_output_csv[[#This Row],[NAMA]],Table7[],3,FALSE))</f>
        <v>Average</v>
      </c>
    </row>
    <row r="1773" spans="1:37" x14ac:dyDescent="0.2">
      <c r="A1773">
        <v>1772</v>
      </c>
      <c r="B1773" t="s">
        <v>311</v>
      </c>
      <c r="C1773" t="s">
        <v>65</v>
      </c>
      <c r="D1773" t="s">
        <v>55</v>
      </c>
      <c r="E1773" t="s">
        <v>146</v>
      </c>
      <c r="F1773" s="25">
        <v>46034</v>
      </c>
      <c r="G1773" t="s">
        <v>354</v>
      </c>
      <c r="H1773" t="s">
        <v>405</v>
      </c>
      <c r="I1773" t="s">
        <v>371</v>
      </c>
      <c r="J1773" t="s">
        <v>36</v>
      </c>
      <c r="K1773" t="s">
        <v>37</v>
      </c>
      <c r="L1773" t="s">
        <v>383</v>
      </c>
      <c r="M1773" t="s">
        <v>141</v>
      </c>
      <c r="N1773" t="s">
        <v>142</v>
      </c>
      <c r="O1773" t="s">
        <v>327</v>
      </c>
      <c r="P1773" t="s">
        <v>281</v>
      </c>
      <c r="Q1773" t="s">
        <v>328</v>
      </c>
      <c r="R1773" t="s">
        <v>329</v>
      </c>
      <c r="S1773" t="s">
        <v>388</v>
      </c>
      <c r="T1773">
        <v>3</v>
      </c>
      <c r="U1773" t="s">
        <v>389</v>
      </c>
      <c r="V1773" t="s">
        <v>381</v>
      </c>
      <c r="W1773" t="s">
        <v>390</v>
      </c>
      <c r="X1773" t="s">
        <v>331</v>
      </c>
      <c r="Y1773" t="s">
        <v>307</v>
      </c>
      <c r="Z1773">
        <v>70</v>
      </c>
      <c r="AA1773">
        <v>70</v>
      </c>
      <c r="AB1773" t="s">
        <v>143</v>
      </c>
      <c r="AC1773" t="s">
        <v>160</v>
      </c>
      <c r="AD1773" t="s">
        <v>278</v>
      </c>
      <c r="AE1773" t="str">
        <f>IF(AF1773="","",VLOOKUP(AC1773,mapel!$A$2:$B$42,2,FALSE))</f>
        <v>B.Ing</v>
      </c>
      <c r="AF1773">
        <f t="shared" si="81"/>
        <v>70</v>
      </c>
      <c r="AG1773" t="str">
        <f>IF(AF1773="","",IF(AF1773&gt;90,"Sangat baik",IF(AF1773&gt;79,"Baik",IF(AF1773&gt;=pub_gid_0_single_true_output_csv[[#This Row],[KKM]],"Cukup","Kurang"))))</f>
        <v>Cukup</v>
      </c>
      <c r="AH1773">
        <f t="shared" si="82"/>
        <v>12</v>
      </c>
      <c r="AI1773" s="30" t="str">
        <f>IF(OR(J1773&lt;&gt;"Karakter",pub_gid_0_single_true_output_csv[[#This Row],[Nilai2]]=""),"",IF(AF1773&gt;89,"Sangat baik",IF(AF1773&gt;79,"Baik",IF(AF1773&gt;69,"Cukup",IF(AF1773&gt;59,"Kurang","Sangat kurang")))))</f>
        <v/>
      </c>
      <c r="AJ1773" t="str">
        <f t="shared" si="83"/>
        <v>Wk.3</v>
      </c>
      <c r="AK1773" t="str">
        <f>IF(pub_gid_0_single_true_output_csv[[#This Row],[Nilai2]]="","",VLOOKUP(pub_gid_0_single_true_output_csv[[#This Row],[NAMA]],Table7[],3,FALSE))</f>
        <v>Average</v>
      </c>
    </row>
    <row r="1774" spans="1:37" x14ac:dyDescent="0.2">
      <c r="A1774">
        <v>1773</v>
      </c>
      <c r="B1774" t="s">
        <v>311</v>
      </c>
      <c r="C1774" t="s">
        <v>65</v>
      </c>
      <c r="D1774" t="s">
        <v>55</v>
      </c>
      <c r="E1774" t="s">
        <v>146</v>
      </c>
      <c r="F1774" s="25">
        <v>46034</v>
      </c>
      <c r="G1774" t="s">
        <v>354</v>
      </c>
      <c r="H1774" t="s">
        <v>405</v>
      </c>
      <c r="I1774" t="s">
        <v>371</v>
      </c>
      <c r="J1774" t="s">
        <v>41</v>
      </c>
      <c r="K1774" t="s">
        <v>365</v>
      </c>
      <c r="L1774" t="s">
        <v>383</v>
      </c>
      <c r="M1774" t="s">
        <v>141</v>
      </c>
      <c r="N1774" t="s">
        <v>142</v>
      </c>
      <c r="O1774" t="s">
        <v>327</v>
      </c>
      <c r="P1774" t="s">
        <v>281</v>
      </c>
      <c r="Q1774" t="s">
        <v>328</v>
      </c>
      <c r="R1774" t="s">
        <v>329</v>
      </c>
      <c r="S1774" t="s">
        <v>388</v>
      </c>
      <c r="T1774">
        <v>3</v>
      </c>
      <c r="U1774" t="s">
        <v>389</v>
      </c>
      <c r="V1774" t="s">
        <v>381</v>
      </c>
      <c r="W1774" t="s">
        <v>390</v>
      </c>
      <c r="X1774" t="s">
        <v>331</v>
      </c>
      <c r="Y1774" t="s">
        <v>307</v>
      </c>
      <c r="Z1774">
        <v>70</v>
      </c>
      <c r="AA1774">
        <v>70</v>
      </c>
      <c r="AB1774" t="s">
        <v>143</v>
      </c>
      <c r="AC1774" t="s">
        <v>160</v>
      </c>
      <c r="AD1774" t="s">
        <v>278</v>
      </c>
      <c r="AE1774" t="str">
        <f>IF(AF1774="","",VLOOKUP(AC1774,mapel!$A$2:$B$42,2,FALSE))</f>
        <v>B.Ing</v>
      </c>
      <c r="AF1774">
        <f t="shared" si="81"/>
        <v>70</v>
      </c>
      <c r="AG1774" t="str">
        <f>IF(AF1774="","",IF(AF1774&gt;90,"Sangat baik",IF(AF1774&gt;79,"Baik",IF(AF1774&gt;=pub_gid_0_single_true_output_csv[[#This Row],[KKM]],"Cukup","Kurang"))))</f>
        <v>Cukup</v>
      </c>
      <c r="AH1774">
        <f t="shared" si="82"/>
        <v>12</v>
      </c>
      <c r="AI1774" s="30" t="str">
        <f>IF(OR(J1774&lt;&gt;"Karakter",pub_gid_0_single_true_output_csv[[#This Row],[Nilai2]]=""),"",IF(AF1774&gt;89,"Sangat baik",IF(AF1774&gt;79,"Baik",IF(AF1774&gt;69,"Cukup",IF(AF1774&gt;59,"Kurang","Sangat kurang")))))</f>
        <v/>
      </c>
      <c r="AJ1774" t="str">
        <f t="shared" si="83"/>
        <v>Wk.3</v>
      </c>
      <c r="AK1774" t="str">
        <f>IF(pub_gid_0_single_true_output_csv[[#This Row],[Nilai2]]="","",VLOOKUP(pub_gid_0_single_true_output_csv[[#This Row],[NAMA]],Table7[],3,FALSE))</f>
        <v>Average</v>
      </c>
    </row>
    <row r="1775" spans="1:37" x14ac:dyDescent="0.2">
      <c r="A1775">
        <v>1774</v>
      </c>
      <c r="B1775" t="s">
        <v>311</v>
      </c>
      <c r="C1775" t="s">
        <v>65</v>
      </c>
      <c r="D1775" t="s">
        <v>55</v>
      </c>
      <c r="E1775" t="s">
        <v>146</v>
      </c>
      <c r="F1775" s="25">
        <v>46034</v>
      </c>
      <c r="G1775" t="s">
        <v>354</v>
      </c>
      <c r="H1775" t="s">
        <v>405</v>
      </c>
      <c r="I1775" t="s">
        <v>371</v>
      </c>
      <c r="J1775" t="s">
        <v>31</v>
      </c>
      <c r="K1775" t="s">
        <v>32</v>
      </c>
      <c r="L1775" t="s">
        <v>322</v>
      </c>
      <c r="M1775" t="s">
        <v>141</v>
      </c>
      <c r="N1775" t="s">
        <v>142</v>
      </c>
      <c r="O1775" t="s">
        <v>327</v>
      </c>
      <c r="P1775" t="s">
        <v>281</v>
      </c>
      <c r="Q1775" t="s">
        <v>328</v>
      </c>
      <c r="R1775" t="s">
        <v>329</v>
      </c>
      <c r="S1775" t="s">
        <v>388</v>
      </c>
      <c r="T1775">
        <v>3</v>
      </c>
      <c r="U1775" t="s">
        <v>389</v>
      </c>
      <c r="V1775" t="s">
        <v>381</v>
      </c>
      <c r="W1775" t="s">
        <v>390</v>
      </c>
      <c r="X1775" t="s">
        <v>331</v>
      </c>
      <c r="Y1775" t="s">
        <v>307</v>
      </c>
      <c r="Z1775">
        <v>70</v>
      </c>
      <c r="AA1775">
        <v>65</v>
      </c>
      <c r="AB1775" t="s">
        <v>151</v>
      </c>
      <c r="AC1775" t="s">
        <v>160</v>
      </c>
      <c r="AD1775" t="s">
        <v>278</v>
      </c>
      <c r="AE1775" t="str">
        <f>IF(AF1775="","",VLOOKUP(AC1775,mapel!$A$2:$B$42,2,FALSE))</f>
        <v>B.Ing</v>
      </c>
      <c r="AF1775">
        <f t="shared" si="81"/>
        <v>65</v>
      </c>
      <c r="AG1775" t="str">
        <f>IF(AF1775="","",IF(AF1775&gt;90,"Sangat baik",IF(AF1775&gt;79,"Baik",IF(AF1775&gt;=pub_gid_0_single_true_output_csv[[#This Row],[KKM]],"Cukup","Kurang"))))</f>
        <v>Kurang</v>
      </c>
      <c r="AH1775">
        <f t="shared" si="82"/>
        <v>12</v>
      </c>
      <c r="AI1775" s="30" t="str">
        <f>IF(OR(J1775&lt;&gt;"Karakter",pub_gid_0_single_true_output_csv[[#This Row],[Nilai2]]=""),"",IF(AF1775&gt;89,"Sangat baik",IF(AF1775&gt;79,"Baik",IF(AF1775&gt;69,"Cukup",IF(AF1775&gt;59,"Kurang","Sangat kurang")))))</f>
        <v/>
      </c>
      <c r="AJ1775" t="str">
        <f t="shared" si="83"/>
        <v>Wk.3</v>
      </c>
      <c r="AK1775" t="str">
        <f>IF(pub_gid_0_single_true_output_csv[[#This Row],[Nilai2]]="","",VLOOKUP(pub_gid_0_single_true_output_csv[[#This Row],[NAMA]],Table7[],3,FALSE))</f>
        <v>Average</v>
      </c>
    </row>
    <row r="1776" spans="1:37" x14ac:dyDescent="0.2">
      <c r="A1776">
        <v>1775</v>
      </c>
      <c r="B1776" t="s">
        <v>311</v>
      </c>
      <c r="C1776" t="s">
        <v>65</v>
      </c>
      <c r="D1776" t="s">
        <v>55</v>
      </c>
      <c r="E1776" t="s">
        <v>146</v>
      </c>
      <c r="F1776" s="25">
        <v>46034</v>
      </c>
      <c r="G1776" t="s">
        <v>354</v>
      </c>
      <c r="H1776" t="s">
        <v>405</v>
      </c>
      <c r="I1776" t="s">
        <v>371</v>
      </c>
      <c r="J1776" t="s">
        <v>90</v>
      </c>
      <c r="K1776" t="s">
        <v>92</v>
      </c>
      <c r="L1776" t="s">
        <v>93</v>
      </c>
      <c r="M1776" t="s">
        <v>141</v>
      </c>
      <c r="N1776" t="s">
        <v>142</v>
      </c>
      <c r="O1776" t="s">
        <v>327</v>
      </c>
      <c r="P1776" t="s">
        <v>281</v>
      </c>
      <c r="Q1776" t="s">
        <v>328</v>
      </c>
      <c r="R1776" t="s">
        <v>329</v>
      </c>
      <c r="S1776" t="s">
        <v>388</v>
      </c>
      <c r="T1776">
        <v>3</v>
      </c>
      <c r="U1776" t="s">
        <v>389</v>
      </c>
      <c r="V1776" t="s">
        <v>381</v>
      </c>
      <c r="W1776" t="s">
        <v>390</v>
      </c>
      <c r="X1776" t="s">
        <v>331</v>
      </c>
      <c r="Y1776" t="s">
        <v>307</v>
      </c>
      <c r="Z1776">
        <v>70</v>
      </c>
      <c r="AA1776">
        <v>90</v>
      </c>
      <c r="AB1776" t="s">
        <v>143</v>
      </c>
      <c r="AC1776" t="s">
        <v>160</v>
      </c>
      <c r="AD1776" t="s">
        <v>278</v>
      </c>
      <c r="AE1776" t="str">
        <f>IF(AF1776="","",VLOOKUP(AC1776,mapel!$A$2:$B$42,2,FALSE))</f>
        <v>B.Ing</v>
      </c>
      <c r="AF1776">
        <f t="shared" si="81"/>
        <v>90</v>
      </c>
      <c r="AG1776" t="str">
        <f>IF(AF1776="","",IF(AF1776&gt;90,"Sangat baik",IF(AF1776&gt;79,"Baik",IF(AF1776&gt;=pub_gid_0_single_true_output_csv[[#This Row],[KKM]],"Cukup","Kurang"))))</f>
        <v>Baik</v>
      </c>
      <c r="AH1776">
        <f t="shared" si="82"/>
        <v>12</v>
      </c>
      <c r="AI1776" s="30" t="str">
        <f>IF(OR(J1776&lt;&gt;"Karakter",pub_gid_0_single_true_output_csv[[#This Row],[Nilai2]]=""),"",IF(AF1776&gt;89,"Sangat baik",IF(AF1776&gt;79,"Baik",IF(AF1776&gt;69,"Cukup",IF(AF1776&gt;59,"Kurang","Sangat kurang")))))</f>
        <v>Sangat baik</v>
      </c>
      <c r="AJ1776" t="str">
        <f t="shared" si="83"/>
        <v>Wk.3</v>
      </c>
      <c r="AK1776" t="str">
        <f>IF(pub_gid_0_single_true_output_csv[[#This Row],[Nilai2]]="","",VLOOKUP(pub_gid_0_single_true_output_csv[[#This Row],[NAMA]],Table7[],3,FALSE))</f>
        <v>Average</v>
      </c>
    </row>
    <row r="1777" spans="1:37" x14ac:dyDescent="0.2">
      <c r="A1777">
        <v>1776</v>
      </c>
      <c r="B1777" t="s">
        <v>311</v>
      </c>
      <c r="C1777" t="s">
        <v>65</v>
      </c>
      <c r="D1777" t="s">
        <v>55</v>
      </c>
      <c r="E1777" t="s">
        <v>146</v>
      </c>
      <c r="F1777" s="25">
        <v>46048</v>
      </c>
      <c r="G1777" t="s">
        <v>371</v>
      </c>
      <c r="H1777" t="s">
        <v>405</v>
      </c>
      <c r="I1777" t="s">
        <v>371</v>
      </c>
      <c r="J1777" t="s">
        <v>36</v>
      </c>
      <c r="K1777" t="s">
        <v>37</v>
      </c>
      <c r="L1777" t="s">
        <v>383</v>
      </c>
      <c r="M1777" t="s">
        <v>141</v>
      </c>
      <c r="N1777" t="s">
        <v>142</v>
      </c>
      <c r="O1777" t="s">
        <v>327</v>
      </c>
      <c r="P1777" t="s">
        <v>281</v>
      </c>
      <c r="Q1777" t="s">
        <v>328</v>
      </c>
      <c r="R1777" t="s">
        <v>329</v>
      </c>
      <c r="S1777" t="s">
        <v>388</v>
      </c>
      <c r="T1777">
        <v>3</v>
      </c>
      <c r="U1777" t="s">
        <v>389</v>
      </c>
      <c r="V1777" t="s">
        <v>381</v>
      </c>
      <c r="W1777" t="s">
        <v>390</v>
      </c>
      <c r="X1777" t="s">
        <v>331</v>
      </c>
      <c r="Y1777" t="s">
        <v>307</v>
      </c>
      <c r="Z1777">
        <v>70</v>
      </c>
      <c r="AA1777">
        <v>75</v>
      </c>
      <c r="AB1777" t="s">
        <v>143</v>
      </c>
      <c r="AC1777" t="s">
        <v>160</v>
      </c>
      <c r="AD1777" t="s">
        <v>278</v>
      </c>
      <c r="AE1777" t="str">
        <f>IF(AF1777="","",VLOOKUP(AC1777,mapel!$A$2:$B$42,2,FALSE))</f>
        <v>B.Ing</v>
      </c>
      <c r="AF1777">
        <f t="shared" si="81"/>
        <v>75</v>
      </c>
      <c r="AG1777" t="str">
        <f>IF(AF1777="","",IF(AF1777&gt;90,"Sangat baik",IF(AF1777&gt;79,"Baik",IF(AF1777&gt;=pub_gid_0_single_true_output_csv[[#This Row],[KKM]],"Cukup","Kurang"))))</f>
        <v>Cukup</v>
      </c>
      <c r="AH1777">
        <f t="shared" si="82"/>
        <v>12</v>
      </c>
      <c r="AI1777" s="30" t="str">
        <f>IF(OR(J1777&lt;&gt;"Karakter",pub_gid_0_single_true_output_csv[[#This Row],[Nilai2]]=""),"",IF(AF1777&gt;89,"Sangat baik",IF(AF1777&gt;79,"Baik",IF(AF1777&gt;69,"Cukup",IF(AF1777&gt;59,"Kurang","Sangat kurang")))))</f>
        <v/>
      </c>
      <c r="AJ1777" t="str">
        <f t="shared" si="83"/>
        <v>Wk.5</v>
      </c>
      <c r="AK1777" t="str">
        <f>IF(pub_gid_0_single_true_output_csv[[#This Row],[Nilai2]]="","",VLOOKUP(pub_gid_0_single_true_output_csv[[#This Row],[NAMA]],Table7[],3,FALSE))</f>
        <v>Average</v>
      </c>
    </row>
    <row r="1778" spans="1:37" x14ac:dyDescent="0.2">
      <c r="A1778">
        <v>1777</v>
      </c>
      <c r="B1778" t="s">
        <v>311</v>
      </c>
      <c r="C1778" t="s">
        <v>65</v>
      </c>
      <c r="D1778" t="s">
        <v>55</v>
      </c>
      <c r="E1778" t="s">
        <v>146</v>
      </c>
      <c r="F1778" s="25">
        <v>46048</v>
      </c>
      <c r="G1778" t="s">
        <v>371</v>
      </c>
      <c r="H1778" t="s">
        <v>405</v>
      </c>
      <c r="I1778" t="s">
        <v>371</v>
      </c>
      <c r="J1778" t="s">
        <v>41</v>
      </c>
      <c r="K1778" t="s">
        <v>365</v>
      </c>
      <c r="L1778" t="s">
        <v>383</v>
      </c>
      <c r="M1778" t="s">
        <v>141</v>
      </c>
      <c r="N1778" t="s">
        <v>142</v>
      </c>
      <c r="O1778" t="s">
        <v>327</v>
      </c>
      <c r="P1778" t="s">
        <v>281</v>
      </c>
      <c r="Q1778" t="s">
        <v>328</v>
      </c>
      <c r="R1778" t="s">
        <v>329</v>
      </c>
      <c r="S1778" t="s">
        <v>388</v>
      </c>
      <c r="T1778">
        <v>3</v>
      </c>
      <c r="U1778" t="s">
        <v>389</v>
      </c>
      <c r="V1778" t="s">
        <v>381</v>
      </c>
      <c r="W1778" t="s">
        <v>390</v>
      </c>
      <c r="X1778" t="s">
        <v>331</v>
      </c>
      <c r="Y1778" t="s">
        <v>307</v>
      </c>
      <c r="Z1778">
        <v>70</v>
      </c>
      <c r="AA1778">
        <v>75</v>
      </c>
      <c r="AB1778" t="s">
        <v>143</v>
      </c>
      <c r="AC1778" t="s">
        <v>160</v>
      </c>
      <c r="AD1778" t="s">
        <v>278</v>
      </c>
      <c r="AE1778" t="str">
        <f>IF(AF1778="","",VLOOKUP(AC1778,mapel!$A$2:$B$42,2,FALSE))</f>
        <v>B.Ing</v>
      </c>
      <c r="AF1778">
        <f t="shared" si="81"/>
        <v>75</v>
      </c>
      <c r="AG1778" t="str">
        <f>IF(AF1778="","",IF(AF1778&gt;90,"Sangat baik",IF(AF1778&gt;79,"Baik",IF(AF1778&gt;=pub_gid_0_single_true_output_csv[[#This Row],[KKM]],"Cukup","Kurang"))))</f>
        <v>Cukup</v>
      </c>
      <c r="AH1778">
        <f t="shared" si="82"/>
        <v>12</v>
      </c>
      <c r="AI1778" s="30" t="str">
        <f>IF(OR(J1778&lt;&gt;"Karakter",pub_gid_0_single_true_output_csv[[#This Row],[Nilai2]]=""),"",IF(AF1778&gt;89,"Sangat baik",IF(AF1778&gt;79,"Baik",IF(AF1778&gt;69,"Cukup",IF(AF1778&gt;59,"Kurang","Sangat kurang")))))</f>
        <v/>
      </c>
      <c r="AJ1778" t="str">
        <f t="shared" si="83"/>
        <v>Wk.5</v>
      </c>
      <c r="AK1778" t="str">
        <f>IF(pub_gid_0_single_true_output_csv[[#This Row],[Nilai2]]="","",VLOOKUP(pub_gid_0_single_true_output_csv[[#This Row],[NAMA]],Table7[],3,FALSE))</f>
        <v>Average</v>
      </c>
    </row>
    <row r="1779" spans="1:37" x14ac:dyDescent="0.2">
      <c r="A1779">
        <v>1778</v>
      </c>
      <c r="B1779" t="s">
        <v>311</v>
      </c>
      <c r="C1779" t="s">
        <v>65</v>
      </c>
      <c r="D1779" t="s">
        <v>55</v>
      </c>
      <c r="E1779" t="s">
        <v>146</v>
      </c>
      <c r="F1779" s="25">
        <v>46055</v>
      </c>
      <c r="G1779" t="s">
        <v>379</v>
      </c>
      <c r="H1779" t="s">
        <v>412</v>
      </c>
      <c r="I1779" t="s">
        <v>371</v>
      </c>
      <c r="J1779" t="s">
        <v>36</v>
      </c>
      <c r="K1779" t="s">
        <v>37</v>
      </c>
      <c r="L1779" t="s">
        <v>351</v>
      </c>
      <c r="M1779" t="s">
        <v>141</v>
      </c>
      <c r="N1779" t="s">
        <v>142</v>
      </c>
      <c r="O1779" t="s">
        <v>327</v>
      </c>
      <c r="P1779" t="s">
        <v>281</v>
      </c>
      <c r="Q1779" t="s">
        <v>328</v>
      </c>
      <c r="R1779" t="s">
        <v>329</v>
      </c>
      <c r="S1779" t="s">
        <v>388</v>
      </c>
      <c r="T1779">
        <v>3</v>
      </c>
      <c r="U1779" t="s">
        <v>389</v>
      </c>
      <c r="V1779" t="s">
        <v>381</v>
      </c>
      <c r="W1779" t="s">
        <v>390</v>
      </c>
      <c r="X1779" t="s">
        <v>331</v>
      </c>
      <c r="Y1779" t="s">
        <v>307</v>
      </c>
      <c r="Z1779">
        <v>70</v>
      </c>
      <c r="AA1779">
        <v>60</v>
      </c>
      <c r="AB1779" t="s">
        <v>151</v>
      </c>
      <c r="AC1779" t="s">
        <v>160</v>
      </c>
      <c r="AD1779" t="s">
        <v>278</v>
      </c>
      <c r="AE1779" t="str">
        <f>IF(AF1779="","",VLOOKUP(AC1779,mapel!$A$2:$B$42,2,FALSE))</f>
        <v>B.Ing</v>
      </c>
      <c r="AF1779">
        <f t="shared" si="81"/>
        <v>60</v>
      </c>
      <c r="AG1779" t="str">
        <f>IF(AF1779="","",IF(AF1779&gt;90,"Sangat baik",IF(AF1779&gt;79,"Baik",IF(AF1779&gt;=pub_gid_0_single_true_output_csv[[#This Row],[KKM]],"Cukup","Kurang"))))</f>
        <v>Kurang</v>
      </c>
      <c r="AH1779">
        <f t="shared" si="82"/>
        <v>12</v>
      </c>
      <c r="AI1779" s="30" t="str">
        <f>IF(OR(J1779&lt;&gt;"Karakter",pub_gid_0_single_true_output_csv[[#This Row],[Nilai2]]=""),"",IF(AF1779&gt;89,"Sangat baik",IF(AF1779&gt;79,"Baik",IF(AF1779&gt;69,"Cukup",IF(AF1779&gt;59,"Kurang","Sangat kurang")))))</f>
        <v/>
      </c>
      <c r="AJ1779" t="str">
        <f t="shared" si="83"/>
        <v>Wk.6</v>
      </c>
      <c r="AK1779" t="str">
        <f>IF(pub_gid_0_single_true_output_csv[[#This Row],[Nilai2]]="","",VLOOKUP(pub_gid_0_single_true_output_csv[[#This Row],[NAMA]],Table7[],3,FALSE))</f>
        <v>Average</v>
      </c>
    </row>
    <row r="1780" spans="1:37" x14ac:dyDescent="0.2">
      <c r="A1780">
        <v>1779</v>
      </c>
      <c r="B1780" t="s">
        <v>311</v>
      </c>
      <c r="C1780" t="s">
        <v>65</v>
      </c>
      <c r="D1780" t="s">
        <v>55</v>
      </c>
      <c r="E1780" t="s">
        <v>146</v>
      </c>
      <c r="F1780" s="25">
        <v>46055</v>
      </c>
      <c r="G1780" t="s">
        <v>379</v>
      </c>
      <c r="H1780" t="s">
        <v>412</v>
      </c>
      <c r="I1780" t="s">
        <v>371</v>
      </c>
      <c r="J1780" t="s">
        <v>41</v>
      </c>
      <c r="K1780" t="s">
        <v>365</v>
      </c>
      <c r="L1780" t="s">
        <v>319</v>
      </c>
      <c r="M1780" t="s">
        <v>141</v>
      </c>
      <c r="N1780" t="s">
        <v>142</v>
      </c>
      <c r="O1780" t="s">
        <v>327</v>
      </c>
      <c r="P1780" t="s">
        <v>281</v>
      </c>
      <c r="Q1780" t="s">
        <v>328</v>
      </c>
      <c r="R1780" t="s">
        <v>329</v>
      </c>
      <c r="S1780" t="s">
        <v>388</v>
      </c>
      <c r="T1780">
        <v>3</v>
      </c>
      <c r="U1780" t="s">
        <v>389</v>
      </c>
      <c r="V1780" t="s">
        <v>381</v>
      </c>
      <c r="W1780" t="s">
        <v>390</v>
      </c>
      <c r="X1780" t="s">
        <v>331</v>
      </c>
      <c r="Y1780" t="s">
        <v>307</v>
      </c>
      <c r="Z1780">
        <v>70</v>
      </c>
      <c r="AA1780">
        <v>60</v>
      </c>
      <c r="AB1780" t="s">
        <v>151</v>
      </c>
      <c r="AC1780" t="s">
        <v>160</v>
      </c>
      <c r="AD1780" t="s">
        <v>278</v>
      </c>
      <c r="AE1780" t="str">
        <f>IF(AF1780="","",VLOOKUP(AC1780,mapel!$A$2:$B$42,2,FALSE))</f>
        <v>B.Ing</v>
      </c>
      <c r="AF1780">
        <f t="shared" si="81"/>
        <v>60</v>
      </c>
      <c r="AG1780" t="str">
        <f>IF(AF1780="","",IF(AF1780&gt;90,"Sangat baik",IF(AF1780&gt;79,"Baik",IF(AF1780&gt;=pub_gid_0_single_true_output_csv[[#This Row],[KKM]],"Cukup","Kurang"))))</f>
        <v>Kurang</v>
      </c>
      <c r="AH1780">
        <f t="shared" si="82"/>
        <v>12</v>
      </c>
      <c r="AI1780" s="30" t="str">
        <f>IF(OR(J1780&lt;&gt;"Karakter",pub_gid_0_single_true_output_csv[[#This Row],[Nilai2]]=""),"",IF(AF1780&gt;89,"Sangat baik",IF(AF1780&gt;79,"Baik",IF(AF1780&gt;69,"Cukup",IF(AF1780&gt;59,"Kurang","Sangat kurang")))))</f>
        <v/>
      </c>
      <c r="AJ1780" t="str">
        <f t="shared" si="83"/>
        <v>Wk.6</v>
      </c>
      <c r="AK1780" t="str">
        <f>IF(pub_gid_0_single_true_output_csv[[#This Row],[Nilai2]]="","",VLOOKUP(pub_gid_0_single_true_output_csv[[#This Row],[NAMA]],Table7[],3,FALSE))</f>
        <v>Average</v>
      </c>
    </row>
    <row r="1781" spans="1:37" x14ac:dyDescent="0.2">
      <c r="A1781">
        <v>1780</v>
      </c>
      <c r="B1781" t="s">
        <v>311</v>
      </c>
      <c r="C1781" t="s">
        <v>65</v>
      </c>
      <c r="D1781" t="s">
        <v>55</v>
      </c>
      <c r="E1781" t="s">
        <v>146</v>
      </c>
      <c r="F1781" s="25">
        <v>46055</v>
      </c>
      <c r="G1781" t="s">
        <v>379</v>
      </c>
      <c r="H1781" t="s">
        <v>412</v>
      </c>
      <c r="I1781" t="s">
        <v>371</v>
      </c>
      <c r="J1781" t="s">
        <v>90</v>
      </c>
      <c r="K1781" t="s">
        <v>92</v>
      </c>
      <c r="L1781" t="s">
        <v>91</v>
      </c>
      <c r="M1781" t="s">
        <v>141</v>
      </c>
      <c r="N1781" t="s">
        <v>142</v>
      </c>
      <c r="O1781" t="s">
        <v>327</v>
      </c>
      <c r="P1781" t="s">
        <v>281</v>
      </c>
      <c r="Q1781" t="s">
        <v>328</v>
      </c>
      <c r="R1781" t="s">
        <v>329</v>
      </c>
      <c r="S1781" t="s">
        <v>388</v>
      </c>
      <c r="T1781">
        <v>3</v>
      </c>
      <c r="U1781" t="s">
        <v>389</v>
      </c>
      <c r="V1781" t="s">
        <v>381</v>
      </c>
      <c r="W1781" t="s">
        <v>390</v>
      </c>
      <c r="X1781" t="s">
        <v>331</v>
      </c>
      <c r="Y1781" t="s">
        <v>307</v>
      </c>
      <c r="Z1781">
        <v>70</v>
      </c>
      <c r="AA1781">
        <v>50</v>
      </c>
      <c r="AB1781" t="s">
        <v>151</v>
      </c>
      <c r="AC1781" t="s">
        <v>160</v>
      </c>
      <c r="AD1781" t="s">
        <v>278</v>
      </c>
      <c r="AE1781" t="str">
        <f>IF(AF1781="","",VLOOKUP(AC1781,mapel!$A$2:$B$42,2,FALSE))</f>
        <v>B.Ing</v>
      </c>
      <c r="AF1781">
        <f t="shared" si="81"/>
        <v>50</v>
      </c>
      <c r="AG1781" t="str">
        <f>IF(AF1781="","",IF(AF1781&gt;90,"Sangat baik",IF(AF1781&gt;79,"Baik",IF(AF1781&gt;=pub_gid_0_single_true_output_csv[[#This Row],[KKM]],"Cukup","Kurang"))))</f>
        <v>Kurang</v>
      </c>
      <c r="AH1781">
        <f t="shared" si="82"/>
        <v>12</v>
      </c>
      <c r="AI1781" s="30" t="str">
        <f>IF(OR(J1781&lt;&gt;"Karakter",pub_gid_0_single_true_output_csv[[#This Row],[Nilai2]]=""),"",IF(AF1781&gt;89,"Sangat baik",IF(AF1781&gt;79,"Baik",IF(AF1781&gt;69,"Cukup",IF(AF1781&gt;59,"Kurang","Sangat kurang")))))</f>
        <v>Sangat kurang</v>
      </c>
      <c r="AJ1781" t="str">
        <f t="shared" si="83"/>
        <v>Wk.6</v>
      </c>
      <c r="AK1781" t="str">
        <f>IF(pub_gid_0_single_true_output_csv[[#This Row],[Nilai2]]="","",VLOOKUP(pub_gid_0_single_true_output_csv[[#This Row],[NAMA]],Table7[],3,FALSE))</f>
        <v>Average</v>
      </c>
    </row>
    <row r="1782" spans="1:37" x14ac:dyDescent="0.2">
      <c r="A1782">
        <v>1781</v>
      </c>
      <c r="B1782" t="s">
        <v>311</v>
      </c>
      <c r="C1782" t="s">
        <v>65</v>
      </c>
      <c r="D1782" t="s">
        <v>55</v>
      </c>
      <c r="E1782" t="s">
        <v>146</v>
      </c>
      <c r="F1782" s="25">
        <v>46055</v>
      </c>
      <c r="G1782" t="s">
        <v>379</v>
      </c>
      <c r="H1782" t="s">
        <v>412</v>
      </c>
      <c r="I1782" t="s">
        <v>371</v>
      </c>
      <c r="J1782" t="s">
        <v>279</v>
      </c>
      <c r="K1782" t="s">
        <v>280</v>
      </c>
      <c r="L1782" t="s">
        <v>351</v>
      </c>
      <c r="M1782" t="s">
        <v>141</v>
      </c>
      <c r="N1782" t="s">
        <v>142</v>
      </c>
      <c r="O1782" t="s">
        <v>327</v>
      </c>
      <c r="P1782" t="s">
        <v>281</v>
      </c>
      <c r="Q1782" t="s">
        <v>328</v>
      </c>
      <c r="R1782" t="s">
        <v>329</v>
      </c>
      <c r="S1782" t="s">
        <v>388</v>
      </c>
      <c r="T1782">
        <v>3</v>
      </c>
      <c r="U1782" t="s">
        <v>389</v>
      </c>
      <c r="V1782" t="s">
        <v>381</v>
      </c>
      <c r="W1782" t="s">
        <v>390</v>
      </c>
      <c r="X1782" t="s">
        <v>331</v>
      </c>
      <c r="Y1782" t="s">
        <v>307</v>
      </c>
      <c r="Z1782">
        <v>70</v>
      </c>
      <c r="AA1782">
        <v>50</v>
      </c>
      <c r="AB1782" t="s">
        <v>151</v>
      </c>
      <c r="AC1782" t="s">
        <v>160</v>
      </c>
      <c r="AD1782" t="s">
        <v>278</v>
      </c>
      <c r="AE1782" t="str">
        <f>IF(AF1782="","",VLOOKUP(AC1782,mapel!$A$2:$B$42,2,FALSE))</f>
        <v>B.Ing</v>
      </c>
      <c r="AF1782">
        <f t="shared" si="81"/>
        <v>50</v>
      </c>
      <c r="AG1782" t="str">
        <f>IF(AF1782="","",IF(AF1782&gt;90,"Sangat baik",IF(AF1782&gt;79,"Baik",IF(AF1782&gt;=pub_gid_0_single_true_output_csv[[#This Row],[KKM]],"Cukup","Kurang"))))</f>
        <v>Kurang</v>
      </c>
      <c r="AH1782">
        <f t="shared" si="82"/>
        <v>12</v>
      </c>
      <c r="AI1782" s="30" t="str">
        <f>IF(OR(J1782&lt;&gt;"Karakter",pub_gid_0_single_true_output_csv[[#This Row],[Nilai2]]=""),"",IF(AF1782&gt;89,"Sangat baik",IF(AF1782&gt;79,"Baik",IF(AF1782&gt;69,"Cukup",IF(AF1782&gt;59,"Kurang","Sangat kurang")))))</f>
        <v/>
      </c>
      <c r="AJ1782" t="str">
        <f t="shared" si="83"/>
        <v>Wk.6</v>
      </c>
      <c r="AK1782" t="str">
        <f>IF(pub_gid_0_single_true_output_csv[[#This Row],[Nilai2]]="","",VLOOKUP(pub_gid_0_single_true_output_csv[[#This Row],[NAMA]],Table7[],3,FALSE))</f>
        <v>Average</v>
      </c>
    </row>
    <row r="1783" spans="1:37" x14ac:dyDescent="0.2">
      <c r="A1783">
        <v>1782</v>
      </c>
      <c r="B1783" t="s">
        <v>312</v>
      </c>
      <c r="C1783" t="s">
        <v>65</v>
      </c>
      <c r="D1783" t="s">
        <v>56</v>
      </c>
      <c r="E1783" t="s">
        <v>156</v>
      </c>
      <c r="F1783" s="25">
        <v>46034</v>
      </c>
      <c r="G1783" t="s">
        <v>354</v>
      </c>
      <c r="H1783" t="s">
        <v>405</v>
      </c>
      <c r="I1783" t="s">
        <v>371</v>
      </c>
      <c r="J1783" t="s">
        <v>36</v>
      </c>
      <c r="K1783" t="s">
        <v>37</v>
      </c>
      <c r="L1783" t="s">
        <v>383</v>
      </c>
      <c r="M1783" t="s">
        <v>141</v>
      </c>
      <c r="N1783" t="s">
        <v>142</v>
      </c>
      <c r="O1783" t="s">
        <v>327</v>
      </c>
      <c r="P1783" t="s">
        <v>281</v>
      </c>
      <c r="Q1783" t="s">
        <v>328</v>
      </c>
      <c r="R1783" t="s">
        <v>329</v>
      </c>
      <c r="S1783" t="s">
        <v>388</v>
      </c>
      <c r="T1783">
        <v>3</v>
      </c>
      <c r="U1783" t="s">
        <v>389</v>
      </c>
      <c r="V1783" t="s">
        <v>381</v>
      </c>
      <c r="W1783" t="s">
        <v>390</v>
      </c>
      <c r="X1783" t="s">
        <v>331</v>
      </c>
      <c r="Y1783" t="s">
        <v>307</v>
      </c>
      <c r="Z1783">
        <v>70</v>
      </c>
      <c r="AA1783">
        <v>75</v>
      </c>
      <c r="AB1783" t="s">
        <v>143</v>
      </c>
      <c r="AC1783" t="s">
        <v>160</v>
      </c>
      <c r="AD1783" t="s">
        <v>278</v>
      </c>
      <c r="AE1783" t="str">
        <f>IF(AF1783="","",VLOOKUP(AC1783,mapel!$A$2:$B$42,2,FALSE))</f>
        <v>B.Ing</v>
      </c>
      <c r="AF1783">
        <f t="shared" si="81"/>
        <v>75</v>
      </c>
      <c r="AG1783" t="str">
        <f>IF(AF1783="","",IF(AF1783&gt;90,"Sangat baik",IF(AF1783&gt;79,"Baik",IF(AF1783&gt;=pub_gid_0_single_true_output_csv[[#This Row],[KKM]],"Cukup","Kurang"))))</f>
        <v>Cukup</v>
      </c>
      <c r="AH1783">
        <f t="shared" si="82"/>
        <v>12</v>
      </c>
      <c r="AI1783" s="30" t="str">
        <f>IF(OR(J1783&lt;&gt;"Karakter",pub_gid_0_single_true_output_csv[[#This Row],[Nilai2]]=""),"",IF(AF1783&gt;89,"Sangat baik",IF(AF1783&gt;79,"Baik",IF(AF1783&gt;69,"Cukup",IF(AF1783&gt;59,"Kurang","Sangat kurang")))))</f>
        <v/>
      </c>
      <c r="AJ1783" t="str">
        <f t="shared" si="83"/>
        <v>Wk.3</v>
      </c>
      <c r="AK1783" t="str">
        <f>IF(pub_gid_0_single_true_output_csv[[#This Row],[Nilai2]]="","",VLOOKUP(pub_gid_0_single_true_output_csv[[#This Row],[NAMA]],Table7[],3,FALSE))</f>
        <v>Superior</v>
      </c>
    </row>
    <row r="1784" spans="1:37" x14ac:dyDescent="0.2">
      <c r="A1784">
        <v>1783</v>
      </c>
      <c r="B1784" t="s">
        <v>312</v>
      </c>
      <c r="C1784" t="s">
        <v>65</v>
      </c>
      <c r="D1784" t="s">
        <v>56</v>
      </c>
      <c r="E1784" t="s">
        <v>156</v>
      </c>
      <c r="F1784" s="25">
        <v>46034</v>
      </c>
      <c r="G1784" t="s">
        <v>354</v>
      </c>
      <c r="H1784" t="s">
        <v>405</v>
      </c>
      <c r="I1784" t="s">
        <v>371</v>
      </c>
      <c r="J1784" t="s">
        <v>41</v>
      </c>
      <c r="K1784" t="s">
        <v>365</v>
      </c>
      <c r="L1784" t="s">
        <v>383</v>
      </c>
      <c r="M1784" t="s">
        <v>141</v>
      </c>
      <c r="N1784" t="s">
        <v>142</v>
      </c>
      <c r="O1784" t="s">
        <v>327</v>
      </c>
      <c r="P1784" t="s">
        <v>281</v>
      </c>
      <c r="Q1784" t="s">
        <v>328</v>
      </c>
      <c r="R1784" t="s">
        <v>329</v>
      </c>
      <c r="S1784" t="s">
        <v>388</v>
      </c>
      <c r="T1784">
        <v>3</v>
      </c>
      <c r="U1784" t="s">
        <v>389</v>
      </c>
      <c r="V1784" t="s">
        <v>381</v>
      </c>
      <c r="W1784" t="s">
        <v>390</v>
      </c>
      <c r="X1784" t="s">
        <v>331</v>
      </c>
      <c r="Y1784" t="s">
        <v>307</v>
      </c>
      <c r="Z1784">
        <v>70</v>
      </c>
      <c r="AA1784">
        <v>75</v>
      </c>
      <c r="AB1784" t="s">
        <v>143</v>
      </c>
      <c r="AC1784" t="s">
        <v>160</v>
      </c>
      <c r="AD1784" t="s">
        <v>278</v>
      </c>
      <c r="AE1784" t="str">
        <f>IF(AF1784="","",VLOOKUP(AC1784,mapel!$A$2:$B$42,2,FALSE))</f>
        <v>B.Ing</v>
      </c>
      <c r="AF1784">
        <f t="shared" si="81"/>
        <v>75</v>
      </c>
      <c r="AG1784" t="str">
        <f>IF(AF1784="","",IF(AF1784&gt;90,"Sangat baik",IF(AF1784&gt;79,"Baik",IF(AF1784&gt;=pub_gid_0_single_true_output_csv[[#This Row],[KKM]],"Cukup","Kurang"))))</f>
        <v>Cukup</v>
      </c>
      <c r="AH1784">
        <f t="shared" si="82"/>
        <v>12</v>
      </c>
      <c r="AI1784" s="30" t="str">
        <f>IF(OR(J1784&lt;&gt;"Karakter",pub_gid_0_single_true_output_csv[[#This Row],[Nilai2]]=""),"",IF(AF1784&gt;89,"Sangat baik",IF(AF1784&gt;79,"Baik",IF(AF1784&gt;69,"Cukup",IF(AF1784&gt;59,"Kurang","Sangat kurang")))))</f>
        <v/>
      </c>
      <c r="AJ1784" t="str">
        <f t="shared" si="83"/>
        <v>Wk.3</v>
      </c>
      <c r="AK1784" t="str">
        <f>IF(pub_gid_0_single_true_output_csv[[#This Row],[Nilai2]]="","",VLOOKUP(pub_gid_0_single_true_output_csv[[#This Row],[NAMA]],Table7[],3,FALSE))</f>
        <v>Superior</v>
      </c>
    </row>
    <row r="1785" spans="1:37" x14ac:dyDescent="0.2">
      <c r="A1785">
        <v>1784</v>
      </c>
      <c r="B1785" t="s">
        <v>312</v>
      </c>
      <c r="C1785" t="s">
        <v>65</v>
      </c>
      <c r="D1785" t="s">
        <v>56</v>
      </c>
      <c r="E1785" t="s">
        <v>156</v>
      </c>
      <c r="F1785" s="25">
        <v>46034</v>
      </c>
      <c r="G1785" t="s">
        <v>354</v>
      </c>
      <c r="H1785" t="s">
        <v>405</v>
      </c>
      <c r="I1785" t="s">
        <v>371</v>
      </c>
      <c r="J1785" t="s">
        <v>31</v>
      </c>
      <c r="K1785" t="s">
        <v>32</v>
      </c>
      <c r="L1785" t="s">
        <v>322</v>
      </c>
      <c r="M1785" t="s">
        <v>141</v>
      </c>
      <c r="N1785" t="s">
        <v>142</v>
      </c>
      <c r="O1785" t="s">
        <v>327</v>
      </c>
      <c r="P1785" t="s">
        <v>281</v>
      </c>
      <c r="Q1785" t="s">
        <v>328</v>
      </c>
      <c r="R1785" t="s">
        <v>329</v>
      </c>
      <c r="S1785" t="s">
        <v>388</v>
      </c>
      <c r="T1785">
        <v>3</v>
      </c>
      <c r="U1785" t="s">
        <v>389</v>
      </c>
      <c r="V1785" t="s">
        <v>381</v>
      </c>
      <c r="W1785" t="s">
        <v>390</v>
      </c>
      <c r="X1785" t="s">
        <v>331</v>
      </c>
      <c r="Y1785" t="s">
        <v>307</v>
      </c>
      <c r="Z1785">
        <v>70</v>
      </c>
      <c r="AA1785">
        <v>75</v>
      </c>
      <c r="AB1785" t="s">
        <v>143</v>
      </c>
      <c r="AC1785" t="s">
        <v>160</v>
      </c>
      <c r="AD1785" t="s">
        <v>278</v>
      </c>
      <c r="AE1785" t="str">
        <f>IF(AF1785="","",VLOOKUP(AC1785,mapel!$A$2:$B$42,2,FALSE))</f>
        <v>B.Ing</v>
      </c>
      <c r="AF1785">
        <f t="shared" si="81"/>
        <v>75</v>
      </c>
      <c r="AG1785" t="str">
        <f>IF(AF1785="","",IF(AF1785&gt;90,"Sangat baik",IF(AF1785&gt;79,"Baik",IF(AF1785&gt;=pub_gid_0_single_true_output_csv[[#This Row],[KKM]],"Cukup","Kurang"))))</f>
        <v>Cukup</v>
      </c>
      <c r="AH1785">
        <f t="shared" si="82"/>
        <v>12</v>
      </c>
      <c r="AI1785" s="30" t="str">
        <f>IF(OR(J1785&lt;&gt;"Karakter",pub_gid_0_single_true_output_csv[[#This Row],[Nilai2]]=""),"",IF(AF1785&gt;89,"Sangat baik",IF(AF1785&gt;79,"Baik",IF(AF1785&gt;69,"Cukup",IF(AF1785&gt;59,"Kurang","Sangat kurang")))))</f>
        <v/>
      </c>
      <c r="AJ1785" t="str">
        <f t="shared" si="83"/>
        <v>Wk.3</v>
      </c>
      <c r="AK1785" t="str">
        <f>IF(pub_gid_0_single_true_output_csv[[#This Row],[Nilai2]]="","",VLOOKUP(pub_gid_0_single_true_output_csv[[#This Row],[NAMA]],Table7[],3,FALSE))</f>
        <v>Superior</v>
      </c>
    </row>
    <row r="1786" spans="1:37" x14ac:dyDescent="0.2">
      <c r="A1786">
        <v>1785</v>
      </c>
      <c r="B1786" t="s">
        <v>312</v>
      </c>
      <c r="C1786" t="s">
        <v>65</v>
      </c>
      <c r="D1786" t="s">
        <v>56</v>
      </c>
      <c r="E1786" t="s">
        <v>156</v>
      </c>
      <c r="F1786" s="25">
        <v>46034</v>
      </c>
      <c r="G1786" t="s">
        <v>354</v>
      </c>
      <c r="H1786" t="s">
        <v>405</v>
      </c>
      <c r="I1786" t="s">
        <v>371</v>
      </c>
      <c r="J1786" t="s">
        <v>90</v>
      </c>
      <c r="K1786" t="s">
        <v>92</v>
      </c>
      <c r="L1786" t="s">
        <v>93</v>
      </c>
      <c r="M1786" t="s">
        <v>141</v>
      </c>
      <c r="N1786" t="s">
        <v>142</v>
      </c>
      <c r="O1786" t="s">
        <v>327</v>
      </c>
      <c r="P1786" t="s">
        <v>281</v>
      </c>
      <c r="Q1786" t="s">
        <v>328</v>
      </c>
      <c r="R1786" t="s">
        <v>329</v>
      </c>
      <c r="S1786" t="s">
        <v>388</v>
      </c>
      <c r="T1786">
        <v>3</v>
      </c>
      <c r="U1786" t="s">
        <v>389</v>
      </c>
      <c r="V1786" t="s">
        <v>381</v>
      </c>
      <c r="W1786" t="s">
        <v>390</v>
      </c>
      <c r="X1786" t="s">
        <v>331</v>
      </c>
      <c r="Y1786" t="s">
        <v>307</v>
      </c>
      <c r="Z1786">
        <v>70</v>
      </c>
      <c r="AA1786">
        <v>90</v>
      </c>
      <c r="AB1786" t="s">
        <v>143</v>
      </c>
      <c r="AC1786" t="s">
        <v>160</v>
      </c>
      <c r="AD1786" t="s">
        <v>278</v>
      </c>
      <c r="AE1786" t="str">
        <f>IF(AF1786="","",VLOOKUP(AC1786,mapel!$A$2:$B$42,2,FALSE))</f>
        <v>B.Ing</v>
      </c>
      <c r="AF1786">
        <f t="shared" si="81"/>
        <v>90</v>
      </c>
      <c r="AG1786" t="str">
        <f>IF(AF1786="","",IF(AF1786&gt;90,"Sangat baik",IF(AF1786&gt;79,"Baik",IF(AF1786&gt;=pub_gid_0_single_true_output_csv[[#This Row],[KKM]],"Cukup","Kurang"))))</f>
        <v>Baik</v>
      </c>
      <c r="AH1786">
        <f t="shared" si="82"/>
        <v>12</v>
      </c>
      <c r="AI1786" s="30" t="str">
        <f>IF(OR(J1786&lt;&gt;"Karakter",pub_gid_0_single_true_output_csv[[#This Row],[Nilai2]]=""),"",IF(AF1786&gt;89,"Sangat baik",IF(AF1786&gt;79,"Baik",IF(AF1786&gt;69,"Cukup",IF(AF1786&gt;59,"Kurang","Sangat kurang")))))</f>
        <v>Sangat baik</v>
      </c>
      <c r="AJ1786" t="str">
        <f t="shared" si="83"/>
        <v>Wk.3</v>
      </c>
      <c r="AK1786" t="str">
        <f>IF(pub_gid_0_single_true_output_csv[[#This Row],[Nilai2]]="","",VLOOKUP(pub_gid_0_single_true_output_csv[[#This Row],[NAMA]],Table7[],3,FALSE))</f>
        <v>Superior</v>
      </c>
    </row>
    <row r="1787" spans="1:37" x14ac:dyDescent="0.2">
      <c r="A1787">
        <v>1786</v>
      </c>
      <c r="B1787" t="s">
        <v>312</v>
      </c>
      <c r="C1787" t="s">
        <v>65</v>
      </c>
      <c r="D1787" t="s">
        <v>56</v>
      </c>
      <c r="E1787" t="s">
        <v>156</v>
      </c>
      <c r="F1787" s="25">
        <v>46048</v>
      </c>
      <c r="G1787" t="s">
        <v>371</v>
      </c>
      <c r="H1787" t="s">
        <v>405</v>
      </c>
      <c r="I1787" t="s">
        <v>371</v>
      </c>
      <c r="J1787" t="s">
        <v>36</v>
      </c>
      <c r="K1787" t="s">
        <v>37</v>
      </c>
      <c r="L1787" t="s">
        <v>383</v>
      </c>
      <c r="M1787" t="s">
        <v>141</v>
      </c>
      <c r="N1787" t="s">
        <v>142</v>
      </c>
      <c r="O1787" t="s">
        <v>327</v>
      </c>
      <c r="P1787" t="s">
        <v>281</v>
      </c>
      <c r="Q1787" t="s">
        <v>328</v>
      </c>
      <c r="R1787" t="s">
        <v>329</v>
      </c>
      <c r="S1787" t="s">
        <v>388</v>
      </c>
      <c r="T1787">
        <v>3</v>
      </c>
      <c r="U1787" t="s">
        <v>389</v>
      </c>
      <c r="V1787" t="s">
        <v>381</v>
      </c>
      <c r="W1787" t="s">
        <v>390</v>
      </c>
      <c r="X1787" t="s">
        <v>331</v>
      </c>
      <c r="Y1787" t="s">
        <v>307</v>
      </c>
      <c r="Z1787">
        <v>70</v>
      </c>
      <c r="AA1787">
        <v>89</v>
      </c>
      <c r="AB1787" t="s">
        <v>143</v>
      </c>
      <c r="AC1787" t="s">
        <v>160</v>
      </c>
      <c r="AD1787" t="s">
        <v>278</v>
      </c>
      <c r="AE1787" t="str">
        <f>IF(AF1787="","",VLOOKUP(AC1787,mapel!$A$2:$B$42,2,FALSE))</f>
        <v>B.Ing</v>
      </c>
      <c r="AF1787">
        <f t="shared" si="81"/>
        <v>89</v>
      </c>
      <c r="AG1787" t="str">
        <f>IF(AF1787="","",IF(AF1787&gt;90,"Sangat baik",IF(AF1787&gt;79,"Baik",IF(AF1787&gt;=pub_gid_0_single_true_output_csv[[#This Row],[KKM]],"Cukup","Kurang"))))</f>
        <v>Baik</v>
      </c>
      <c r="AH1787">
        <f t="shared" si="82"/>
        <v>12</v>
      </c>
      <c r="AI1787" s="30" t="str">
        <f>IF(OR(J1787&lt;&gt;"Karakter",pub_gid_0_single_true_output_csv[[#This Row],[Nilai2]]=""),"",IF(AF1787&gt;89,"Sangat baik",IF(AF1787&gt;79,"Baik",IF(AF1787&gt;69,"Cukup",IF(AF1787&gt;59,"Kurang","Sangat kurang")))))</f>
        <v/>
      </c>
      <c r="AJ1787" t="str">
        <f t="shared" si="83"/>
        <v>Wk.5</v>
      </c>
      <c r="AK1787" t="str">
        <f>IF(pub_gid_0_single_true_output_csv[[#This Row],[Nilai2]]="","",VLOOKUP(pub_gid_0_single_true_output_csv[[#This Row],[NAMA]],Table7[],3,FALSE))</f>
        <v>Superior</v>
      </c>
    </row>
    <row r="1788" spans="1:37" x14ac:dyDescent="0.2">
      <c r="A1788">
        <v>1787</v>
      </c>
      <c r="B1788" t="s">
        <v>312</v>
      </c>
      <c r="C1788" t="s">
        <v>65</v>
      </c>
      <c r="D1788" t="s">
        <v>56</v>
      </c>
      <c r="E1788" t="s">
        <v>156</v>
      </c>
      <c r="F1788" s="25">
        <v>46048</v>
      </c>
      <c r="G1788" t="s">
        <v>371</v>
      </c>
      <c r="H1788" t="s">
        <v>405</v>
      </c>
      <c r="I1788" t="s">
        <v>371</v>
      </c>
      <c r="J1788" t="s">
        <v>41</v>
      </c>
      <c r="K1788" t="s">
        <v>365</v>
      </c>
      <c r="L1788" t="s">
        <v>383</v>
      </c>
      <c r="M1788" t="s">
        <v>141</v>
      </c>
      <c r="N1788" t="s">
        <v>142</v>
      </c>
      <c r="O1788" t="s">
        <v>327</v>
      </c>
      <c r="P1788" t="s">
        <v>281</v>
      </c>
      <c r="Q1788" t="s">
        <v>328</v>
      </c>
      <c r="R1788" t="s">
        <v>329</v>
      </c>
      <c r="S1788" t="s">
        <v>388</v>
      </c>
      <c r="T1788">
        <v>3</v>
      </c>
      <c r="U1788" t="s">
        <v>389</v>
      </c>
      <c r="V1788" t="s">
        <v>381</v>
      </c>
      <c r="W1788" t="s">
        <v>390</v>
      </c>
      <c r="X1788" t="s">
        <v>331</v>
      </c>
      <c r="Y1788" t="s">
        <v>307</v>
      </c>
      <c r="Z1788">
        <v>70</v>
      </c>
      <c r="AA1788">
        <v>89</v>
      </c>
      <c r="AB1788" t="s">
        <v>143</v>
      </c>
      <c r="AC1788" t="s">
        <v>160</v>
      </c>
      <c r="AD1788" t="s">
        <v>278</v>
      </c>
      <c r="AE1788" t="str">
        <f>IF(AF1788="","",VLOOKUP(AC1788,mapel!$A$2:$B$42,2,FALSE))</f>
        <v>B.Ing</v>
      </c>
      <c r="AF1788">
        <f t="shared" si="81"/>
        <v>89</v>
      </c>
      <c r="AG1788" t="str">
        <f>IF(AF1788="","",IF(AF1788&gt;90,"Sangat baik",IF(AF1788&gt;79,"Baik",IF(AF1788&gt;=pub_gid_0_single_true_output_csv[[#This Row],[KKM]],"Cukup","Kurang"))))</f>
        <v>Baik</v>
      </c>
      <c r="AH1788">
        <f t="shared" si="82"/>
        <v>12</v>
      </c>
      <c r="AI1788" s="30" t="str">
        <f>IF(OR(J1788&lt;&gt;"Karakter",pub_gid_0_single_true_output_csv[[#This Row],[Nilai2]]=""),"",IF(AF1788&gt;89,"Sangat baik",IF(AF1788&gt;79,"Baik",IF(AF1788&gt;69,"Cukup",IF(AF1788&gt;59,"Kurang","Sangat kurang")))))</f>
        <v/>
      </c>
      <c r="AJ1788" t="str">
        <f t="shared" si="83"/>
        <v>Wk.5</v>
      </c>
      <c r="AK1788" t="str">
        <f>IF(pub_gid_0_single_true_output_csv[[#This Row],[Nilai2]]="","",VLOOKUP(pub_gid_0_single_true_output_csv[[#This Row],[NAMA]],Table7[],3,FALSE))</f>
        <v>Superior</v>
      </c>
    </row>
    <row r="1789" spans="1:37" x14ac:dyDescent="0.2">
      <c r="A1789">
        <v>1788</v>
      </c>
      <c r="B1789" t="s">
        <v>312</v>
      </c>
      <c r="C1789" t="s">
        <v>65</v>
      </c>
      <c r="D1789" t="s">
        <v>56</v>
      </c>
      <c r="E1789" t="s">
        <v>156</v>
      </c>
      <c r="F1789" s="25">
        <v>46055</v>
      </c>
      <c r="G1789" t="s">
        <v>379</v>
      </c>
      <c r="H1789" t="s">
        <v>412</v>
      </c>
      <c r="I1789" t="s">
        <v>371</v>
      </c>
      <c r="J1789" t="s">
        <v>36</v>
      </c>
      <c r="K1789" t="s">
        <v>37</v>
      </c>
      <c r="L1789" t="s">
        <v>351</v>
      </c>
      <c r="M1789" t="s">
        <v>141</v>
      </c>
      <c r="N1789" t="s">
        <v>142</v>
      </c>
      <c r="O1789" t="s">
        <v>327</v>
      </c>
      <c r="P1789" t="s">
        <v>281</v>
      </c>
      <c r="Q1789" t="s">
        <v>328</v>
      </c>
      <c r="R1789" t="s">
        <v>329</v>
      </c>
      <c r="S1789" t="s">
        <v>388</v>
      </c>
      <c r="T1789">
        <v>3</v>
      </c>
      <c r="U1789" t="s">
        <v>389</v>
      </c>
      <c r="V1789" t="s">
        <v>381</v>
      </c>
      <c r="W1789" t="s">
        <v>390</v>
      </c>
      <c r="X1789" t="s">
        <v>331</v>
      </c>
      <c r="Y1789" t="s">
        <v>307</v>
      </c>
      <c r="Z1789">
        <v>70</v>
      </c>
      <c r="AA1789">
        <v>90</v>
      </c>
      <c r="AB1789" t="s">
        <v>143</v>
      </c>
      <c r="AC1789" t="s">
        <v>160</v>
      </c>
      <c r="AD1789" t="s">
        <v>278</v>
      </c>
      <c r="AE1789" t="str">
        <f>IF(AF1789="","",VLOOKUP(AC1789,mapel!$A$2:$B$42,2,FALSE))</f>
        <v>B.Ing</v>
      </c>
      <c r="AF1789">
        <f t="shared" si="81"/>
        <v>90</v>
      </c>
      <c r="AG1789" t="str">
        <f>IF(AF1789="","",IF(AF1789&gt;90,"Sangat baik",IF(AF1789&gt;79,"Baik",IF(AF1789&gt;=pub_gid_0_single_true_output_csv[[#This Row],[KKM]],"Cukup","Kurang"))))</f>
        <v>Baik</v>
      </c>
      <c r="AH1789">
        <f t="shared" si="82"/>
        <v>12</v>
      </c>
      <c r="AI1789" s="30" t="str">
        <f>IF(OR(J1789&lt;&gt;"Karakter",pub_gid_0_single_true_output_csv[[#This Row],[Nilai2]]=""),"",IF(AF1789&gt;89,"Sangat baik",IF(AF1789&gt;79,"Baik",IF(AF1789&gt;69,"Cukup",IF(AF1789&gt;59,"Kurang","Sangat kurang")))))</f>
        <v/>
      </c>
      <c r="AJ1789" t="str">
        <f t="shared" si="83"/>
        <v>Wk.6</v>
      </c>
      <c r="AK1789" t="str">
        <f>IF(pub_gid_0_single_true_output_csv[[#This Row],[Nilai2]]="","",VLOOKUP(pub_gid_0_single_true_output_csv[[#This Row],[NAMA]],Table7[],3,FALSE))</f>
        <v>Superior</v>
      </c>
    </row>
    <row r="1790" spans="1:37" x14ac:dyDescent="0.2">
      <c r="A1790">
        <v>1789</v>
      </c>
      <c r="B1790" t="s">
        <v>312</v>
      </c>
      <c r="C1790" t="s">
        <v>65</v>
      </c>
      <c r="D1790" t="s">
        <v>56</v>
      </c>
      <c r="E1790" t="s">
        <v>156</v>
      </c>
      <c r="F1790" s="25">
        <v>46055</v>
      </c>
      <c r="G1790" t="s">
        <v>379</v>
      </c>
      <c r="H1790" t="s">
        <v>412</v>
      </c>
      <c r="I1790" t="s">
        <v>371</v>
      </c>
      <c r="J1790" t="s">
        <v>41</v>
      </c>
      <c r="K1790" t="s">
        <v>365</v>
      </c>
      <c r="L1790" t="s">
        <v>319</v>
      </c>
      <c r="M1790" t="s">
        <v>141</v>
      </c>
      <c r="N1790" t="s">
        <v>142</v>
      </c>
      <c r="O1790" t="s">
        <v>327</v>
      </c>
      <c r="P1790" t="s">
        <v>281</v>
      </c>
      <c r="Q1790" t="s">
        <v>328</v>
      </c>
      <c r="R1790" t="s">
        <v>329</v>
      </c>
      <c r="S1790" t="s">
        <v>388</v>
      </c>
      <c r="T1790">
        <v>3</v>
      </c>
      <c r="U1790" t="s">
        <v>389</v>
      </c>
      <c r="V1790" t="s">
        <v>381</v>
      </c>
      <c r="W1790" t="s">
        <v>390</v>
      </c>
      <c r="X1790" t="s">
        <v>331</v>
      </c>
      <c r="Y1790" t="s">
        <v>307</v>
      </c>
      <c r="Z1790">
        <v>70</v>
      </c>
      <c r="AA1790">
        <v>90</v>
      </c>
      <c r="AB1790" t="s">
        <v>143</v>
      </c>
      <c r="AC1790" t="s">
        <v>160</v>
      </c>
      <c r="AD1790" t="s">
        <v>278</v>
      </c>
      <c r="AE1790" t="str">
        <f>IF(AF1790="","",VLOOKUP(AC1790,mapel!$A$2:$B$42,2,FALSE))</f>
        <v>B.Ing</v>
      </c>
      <c r="AF1790">
        <f t="shared" si="81"/>
        <v>90</v>
      </c>
      <c r="AG1790" t="str">
        <f>IF(AF1790="","",IF(AF1790&gt;90,"Sangat baik",IF(AF1790&gt;79,"Baik",IF(AF1790&gt;=pub_gid_0_single_true_output_csv[[#This Row],[KKM]],"Cukup","Kurang"))))</f>
        <v>Baik</v>
      </c>
      <c r="AH1790">
        <f t="shared" si="82"/>
        <v>12</v>
      </c>
      <c r="AI1790" s="30" t="str">
        <f>IF(OR(J1790&lt;&gt;"Karakter",pub_gid_0_single_true_output_csv[[#This Row],[Nilai2]]=""),"",IF(AF1790&gt;89,"Sangat baik",IF(AF1790&gt;79,"Baik",IF(AF1790&gt;69,"Cukup",IF(AF1790&gt;59,"Kurang","Sangat kurang")))))</f>
        <v/>
      </c>
      <c r="AJ1790" t="str">
        <f t="shared" si="83"/>
        <v>Wk.6</v>
      </c>
      <c r="AK1790" t="str">
        <f>IF(pub_gid_0_single_true_output_csv[[#This Row],[Nilai2]]="","",VLOOKUP(pub_gid_0_single_true_output_csv[[#This Row],[NAMA]],Table7[],3,FALSE))</f>
        <v>Superior</v>
      </c>
    </row>
    <row r="1791" spans="1:37" x14ac:dyDescent="0.2">
      <c r="A1791">
        <v>1790</v>
      </c>
      <c r="B1791" t="s">
        <v>312</v>
      </c>
      <c r="C1791" t="s">
        <v>65</v>
      </c>
      <c r="D1791" t="s">
        <v>56</v>
      </c>
      <c r="E1791" t="s">
        <v>156</v>
      </c>
      <c r="F1791" s="25">
        <v>46055</v>
      </c>
      <c r="G1791" t="s">
        <v>379</v>
      </c>
      <c r="H1791" t="s">
        <v>412</v>
      </c>
      <c r="I1791" t="s">
        <v>371</v>
      </c>
      <c r="J1791" t="s">
        <v>90</v>
      </c>
      <c r="K1791" t="s">
        <v>92</v>
      </c>
      <c r="L1791" t="s">
        <v>91</v>
      </c>
      <c r="M1791" t="s">
        <v>141</v>
      </c>
      <c r="N1791" t="s">
        <v>142</v>
      </c>
      <c r="O1791" t="s">
        <v>327</v>
      </c>
      <c r="P1791" t="s">
        <v>281</v>
      </c>
      <c r="Q1791" t="s">
        <v>328</v>
      </c>
      <c r="R1791" t="s">
        <v>329</v>
      </c>
      <c r="S1791" t="s">
        <v>388</v>
      </c>
      <c r="T1791">
        <v>3</v>
      </c>
      <c r="U1791" t="s">
        <v>389</v>
      </c>
      <c r="V1791" t="s">
        <v>381</v>
      </c>
      <c r="W1791" t="s">
        <v>390</v>
      </c>
      <c r="X1791" t="s">
        <v>331</v>
      </c>
      <c r="Y1791" t="s">
        <v>307</v>
      </c>
      <c r="Z1791">
        <v>70</v>
      </c>
      <c r="AA1791">
        <v>90</v>
      </c>
      <c r="AB1791" t="s">
        <v>143</v>
      </c>
      <c r="AC1791" t="s">
        <v>160</v>
      </c>
      <c r="AD1791" t="s">
        <v>278</v>
      </c>
      <c r="AE1791" t="str">
        <f>IF(AF1791="","",VLOOKUP(AC1791,mapel!$A$2:$B$42,2,FALSE))</f>
        <v>B.Ing</v>
      </c>
      <c r="AF1791">
        <f t="shared" si="81"/>
        <v>90</v>
      </c>
      <c r="AG1791" t="str">
        <f>IF(AF1791="","",IF(AF1791&gt;90,"Sangat baik",IF(AF1791&gt;79,"Baik",IF(AF1791&gt;=pub_gid_0_single_true_output_csv[[#This Row],[KKM]],"Cukup","Kurang"))))</f>
        <v>Baik</v>
      </c>
      <c r="AH1791">
        <f t="shared" si="82"/>
        <v>12</v>
      </c>
      <c r="AI1791" s="30" t="str">
        <f>IF(OR(J1791&lt;&gt;"Karakter",pub_gid_0_single_true_output_csv[[#This Row],[Nilai2]]=""),"",IF(AF1791&gt;89,"Sangat baik",IF(AF1791&gt;79,"Baik",IF(AF1791&gt;69,"Cukup",IF(AF1791&gt;59,"Kurang","Sangat kurang")))))</f>
        <v>Sangat baik</v>
      </c>
      <c r="AJ1791" t="str">
        <f t="shared" si="83"/>
        <v>Wk.6</v>
      </c>
      <c r="AK1791" t="str">
        <f>IF(pub_gid_0_single_true_output_csv[[#This Row],[Nilai2]]="","",VLOOKUP(pub_gid_0_single_true_output_csv[[#This Row],[NAMA]],Table7[],3,FALSE))</f>
        <v>Superior</v>
      </c>
    </row>
    <row r="1792" spans="1:37" x14ac:dyDescent="0.2">
      <c r="A1792">
        <v>1791</v>
      </c>
      <c r="B1792" t="s">
        <v>312</v>
      </c>
      <c r="C1792" t="s">
        <v>65</v>
      </c>
      <c r="D1792" t="s">
        <v>56</v>
      </c>
      <c r="E1792" t="s">
        <v>156</v>
      </c>
      <c r="F1792" s="25">
        <v>46055</v>
      </c>
      <c r="G1792" t="s">
        <v>379</v>
      </c>
      <c r="H1792" t="s">
        <v>412</v>
      </c>
      <c r="I1792" t="s">
        <v>371</v>
      </c>
      <c r="J1792" t="s">
        <v>279</v>
      </c>
      <c r="K1792" t="s">
        <v>280</v>
      </c>
      <c r="L1792" t="s">
        <v>351</v>
      </c>
      <c r="M1792" t="s">
        <v>141</v>
      </c>
      <c r="N1792" t="s">
        <v>142</v>
      </c>
      <c r="O1792" t="s">
        <v>327</v>
      </c>
      <c r="P1792" t="s">
        <v>281</v>
      </c>
      <c r="Q1792" t="s">
        <v>328</v>
      </c>
      <c r="R1792" t="s">
        <v>329</v>
      </c>
      <c r="S1792" t="s">
        <v>388</v>
      </c>
      <c r="T1792">
        <v>3</v>
      </c>
      <c r="U1792" t="s">
        <v>389</v>
      </c>
      <c r="V1792" t="s">
        <v>381</v>
      </c>
      <c r="W1792" t="s">
        <v>390</v>
      </c>
      <c r="X1792" t="s">
        <v>331</v>
      </c>
      <c r="Y1792" t="s">
        <v>307</v>
      </c>
      <c r="Z1792">
        <v>70</v>
      </c>
      <c r="AA1792">
        <v>75</v>
      </c>
      <c r="AB1792" t="s">
        <v>143</v>
      </c>
      <c r="AC1792" t="s">
        <v>160</v>
      </c>
      <c r="AD1792" t="s">
        <v>278</v>
      </c>
      <c r="AE1792" t="str">
        <f>IF(AF1792="","",VLOOKUP(AC1792,mapel!$A$2:$B$42,2,FALSE))</f>
        <v>B.Ing</v>
      </c>
      <c r="AF1792">
        <f t="shared" si="81"/>
        <v>75</v>
      </c>
      <c r="AG1792" t="str">
        <f>IF(AF1792="","",IF(AF1792&gt;90,"Sangat baik",IF(AF1792&gt;79,"Baik",IF(AF1792&gt;=pub_gid_0_single_true_output_csv[[#This Row],[KKM]],"Cukup","Kurang"))))</f>
        <v>Cukup</v>
      </c>
      <c r="AH1792">
        <f t="shared" si="82"/>
        <v>12</v>
      </c>
      <c r="AI1792" s="30" t="str">
        <f>IF(OR(J1792&lt;&gt;"Karakter",pub_gid_0_single_true_output_csv[[#This Row],[Nilai2]]=""),"",IF(AF1792&gt;89,"Sangat baik",IF(AF1792&gt;79,"Baik",IF(AF1792&gt;69,"Cukup",IF(AF1792&gt;59,"Kurang","Sangat kurang")))))</f>
        <v/>
      </c>
      <c r="AJ1792" t="str">
        <f t="shared" si="83"/>
        <v>Wk.6</v>
      </c>
      <c r="AK1792" t="str">
        <f>IF(pub_gid_0_single_true_output_csv[[#This Row],[Nilai2]]="","",VLOOKUP(pub_gid_0_single_true_output_csv[[#This Row],[NAMA]],Table7[],3,FALSE))</f>
        <v>Superior</v>
      </c>
    </row>
    <row r="1793" spans="1:37" x14ac:dyDescent="0.2">
      <c r="A1793">
        <v>1792</v>
      </c>
      <c r="B1793" t="s">
        <v>313</v>
      </c>
      <c r="C1793" t="s">
        <v>65</v>
      </c>
      <c r="D1793" t="s">
        <v>57</v>
      </c>
      <c r="E1793" t="s">
        <v>146</v>
      </c>
      <c r="F1793" s="25">
        <v>46034</v>
      </c>
      <c r="G1793" t="s">
        <v>354</v>
      </c>
      <c r="H1793" t="s">
        <v>405</v>
      </c>
      <c r="I1793" t="s">
        <v>371</v>
      </c>
      <c r="J1793" t="s">
        <v>36</v>
      </c>
      <c r="K1793" t="s">
        <v>37</v>
      </c>
      <c r="L1793" t="s">
        <v>383</v>
      </c>
      <c r="M1793" t="s">
        <v>141</v>
      </c>
      <c r="N1793" t="s">
        <v>142</v>
      </c>
      <c r="O1793" t="s">
        <v>327</v>
      </c>
      <c r="P1793" t="s">
        <v>281</v>
      </c>
      <c r="Q1793" t="s">
        <v>328</v>
      </c>
      <c r="R1793" t="s">
        <v>329</v>
      </c>
      <c r="S1793" t="s">
        <v>388</v>
      </c>
      <c r="T1793">
        <v>3</v>
      </c>
      <c r="U1793" t="s">
        <v>389</v>
      </c>
      <c r="V1793" t="s">
        <v>381</v>
      </c>
      <c r="W1793" t="s">
        <v>390</v>
      </c>
      <c r="X1793" t="s">
        <v>331</v>
      </c>
      <c r="Y1793" t="s">
        <v>307</v>
      </c>
      <c r="Z1793">
        <v>70</v>
      </c>
      <c r="AA1793">
        <v>70</v>
      </c>
      <c r="AB1793" t="s">
        <v>143</v>
      </c>
      <c r="AC1793" t="s">
        <v>160</v>
      </c>
      <c r="AD1793" t="s">
        <v>278</v>
      </c>
      <c r="AE1793" t="str">
        <f>IF(AF1793="","",VLOOKUP(AC1793,mapel!$A$2:$B$42,2,FALSE))</f>
        <v>B.Ing</v>
      </c>
      <c r="AF1793">
        <f t="shared" si="81"/>
        <v>70</v>
      </c>
      <c r="AG1793" t="str">
        <f>IF(AF1793="","",IF(AF1793&gt;90,"Sangat baik",IF(AF1793&gt;79,"Baik",IF(AF1793&gt;=pub_gid_0_single_true_output_csv[[#This Row],[KKM]],"Cukup","Kurang"))))</f>
        <v>Cukup</v>
      </c>
      <c r="AH1793">
        <f t="shared" si="82"/>
        <v>12</v>
      </c>
      <c r="AI1793" s="30" t="str">
        <f>IF(OR(J1793&lt;&gt;"Karakter",pub_gid_0_single_true_output_csv[[#This Row],[Nilai2]]=""),"",IF(AF1793&gt;89,"Sangat baik",IF(AF1793&gt;79,"Baik",IF(AF1793&gt;69,"Cukup",IF(AF1793&gt;59,"Kurang","Sangat kurang")))))</f>
        <v/>
      </c>
      <c r="AJ1793" t="str">
        <f t="shared" si="83"/>
        <v>Wk.3</v>
      </c>
      <c r="AK1793" t="str">
        <f>IF(pub_gid_0_single_true_output_csv[[#This Row],[Nilai2]]="","",VLOOKUP(pub_gid_0_single_true_output_csv[[#This Row],[NAMA]],Table7[],3,FALSE))</f>
        <v>High average</v>
      </c>
    </row>
    <row r="1794" spans="1:37" x14ac:dyDescent="0.2">
      <c r="A1794">
        <v>1793</v>
      </c>
      <c r="B1794" t="s">
        <v>313</v>
      </c>
      <c r="C1794" t="s">
        <v>65</v>
      </c>
      <c r="D1794" t="s">
        <v>57</v>
      </c>
      <c r="E1794" t="s">
        <v>146</v>
      </c>
      <c r="F1794" s="25">
        <v>46034</v>
      </c>
      <c r="G1794" t="s">
        <v>354</v>
      </c>
      <c r="H1794" t="s">
        <v>405</v>
      </c>
      <c r="I1794" t="s">
        <v>371</v>
      </c>
      <c r="J1794" t="s">
        <v>41</v>
      </c>
      <c r="K1794" t="s">
        <v>365</v>
      </c>
      <c r="L1794" t="s">
        <v>383</v>
      </c>
      <c r="M1794" t="s">
        <v>141</v>
      </c>
      <c r="N1794" t="s">
        <v>142</v>
      </c>
      <c r="O1794" t="s">
        <v>327</v>
      </c>
      <c r="P1794" t="s">
        <v>281</v>
      </c>
      <c r="Q1794" t="s">
        <v>328</v>
      </c>
      <c r="R1794" t="s">
        <v>329</v>
      </c>
      <c r="S1794" t="s">
        <v>388</v>
      </c>
      <c r="T1794">
        <v>3</v>
      </c>
      <c r="U1794" t="s">
        <v>389</v>
      </c>
      <c r="V1794" t="s">
        <v>381</v>
      </c>
      <c r="W1794" t="s">
        <v>390</v>
      </c>
      <c r="X1794" t="s">
        <v>331</v>
      </c>
      <c r="Y1794" t="s">
        <v>307</v>
      </c>
      <c r="Z1794">
        <v>70</v>
      </c>
      <c r="AA1794">
        <v>70</v>
      </c>
      <c r="AB1794" t="s">
        <v>143</v>
      </c>
      <c r="AC1794" t="s">
        <v>160</v>
      </c>
      <c r="AD1794" t="s">
        <v>278</v>
      </c>
      <c r="AE1794" t="str">
        <f>IF(AF1794="","",VLOOKUP(AC1794,mapel!$A$2:$B$42,2,FALSE))</f>
        <v>B.Ing</v>
      </c>
      <c r="AF1794">
        <f t="shared" ref="AF1794:AF1857" si="84">IF(AA1794=0, "",IF(AA1794 = 0.1, 0,AA1794))</f>
        <v>70</v>
      </c>
      <c r="AG1794" t="str">
        <f>IF(AF1794="","",IF(AF1794&gt;90,"Sangat baik",IF(AF1794&gt;79,"Baik",IF(AF1794&gt;=pub_gid_0_single_true_output_csv[[#This Row],[KKM]],"Cukup","Kurang"))))</f>
        <v>Cukup</v>
      </c>
      <c r="AH1794">
        <f t="shared" ref="AH1794:AH1857" si="85">IF(AG1794="","",VALUE(RIGHT(X1794,2)))</f>
        <v>12</v>
      </c>
      <c r="AI1794" s="30" t="str">
        <f>IF(OR(J1794&lt;&gt;"Karakter",pub_gid_0_single_true_output_csv[[#This Row],[Nilai2]]=""),"",IF(AF1794&gt;89,"Sangat baik",IF(AF1794&gt;79,"Baik",IF(AF1794&gt;69,"Cukup",IF(AF1794&gt;59,"Kurang","Sangat kurang")))))</f>
        <v/>
      </c>
      <c r="AJ1794" t="str">
        <f t="shared" ref="AJ1794:AJ1857" si="86">IF(AF1794="","",CONCATENATE("Wk.",WEEKNUM(F1794,2)))</f>
        <v>Wk.3</v>
      </c>
      <c r="AK1794" t="str">
        <f>IF(pub_gid_0_single_true_output_csv[[#This Row],[Nilai2]]="","",VLOOKUP(pub_gid_0_single_true_output_csv[[#This Row],[NAMA]],Table7[],3,FALSE))</f>
        <v>High average</v>
      </c>
    </row>
    <row r="1795" spans="1:37" x14ac:dyDescent="0.2">
      <c r="A1795">
        <v>1794</v>
      </c>
      <c r="B1795" t="s">
        <v>313</v>
      </c>
      <c r="C1795" t="s">
        <v>65</v>
      </c>
      <c r="D1795" t="s">
        <v>57</v>
      </c>
      <c r="E1795" t="s">
        <v>146</v>
      </c>
      <c r="F1795" s="25">
        <v>46034</v>
      </c>
      <c r="G1795" t="s">
        <v>354</v>
      </c>
      <c r="H1795" t="s">
        <v>405</v>
      </c>
      <c r="I1795" t="s">
        <v>371</v>
      </c>
      <c r="J1795" t="s">
        <v>31</v>
      </c>
      <c r="K1795" t="s">
        <v>32</v>
      </c>
      <c r="L1795" t="s">
        <v>322</v>
      </c>
      <c r="M1795" t="s">
        <v>141</v>
      </c>
      <c r="N1795" t="s">
        <v>142</v>
      </c>
      <c r="O1795" t="s">
        <v>327</v>
      </c>
      <c r="P1795" t="s">
        <v>281</v>
      </c>
      <c r="Q1795" t="s">
        <v>328</v>
      </c>
      <c r="R1795" t="s">
        <v>329</v>
      </c>
      <c r="S1795" t="s">
        <v>388</v>
      </c>
      <c r="T1795">
        <v>3</v>
      </c>
      <c r="U1795" t="s">
        <v>389</v>
      </c>
      <c r="V1795" t="s">
        <v>381</v>
      </c>
      <c r="W1795" t="s">
        <v>390</v>
      </c>
      <c r="X1795" t="s">
        <v>331</v>
      </c>
      <c r="Y1795" t="s">
        <v>307</v>
      </c>
      <c r="Z1795">
        <v>70</v>
      </c>
      <c r="AA1795">
        <v>65</v>
      </c>
      <c r="AB1795" t="s">
        <v>151</v>
      </c>
      <c r="AC1795" t="s">
        <v>160</v>
      </c>
      <c r="AD1795" t="s">
        <v>278</v>
      </c>
      <c r="AE1795" t="str">
        <f>IF(AF1795="","",VLOOKUP(AC1795,mapel!$A$2:$B$42,2,FALSE))</f>
        <v>B.Ing</v>
      </c>
      <c r="AF1795">
        <f t="shared" si="84"/>
        <v>65</v>
      </c>
      <c r="AG1795" t="str">
        <f>IF(AF1795="","",IF(AF1795&gt;90,"Sangat baik",IF(AF1795&gt;79,"Baik",IF(AF1795&gt;=pub_gid_0_single_true_output_csv[[#This Row],[KKM]],"Cukup","Kurang"))))</f>
        <v>Kurang</v>
      </c>
      <c r="AH1795">
        <f t="shared" si="85"/>
        <v>12</v>
      </c>
      <c r="AI1795" s="30" t="str">
        <f>IF(OR(J1795&lt;&gt;"Karakter",pub_gid_0_single_true_output_csv[[#This Row],[Nilai2]]=""),"",IF(AF1795&gt;89,"Sangat baik",IF(AF1795&gt;79,"Baik",IF(AF1795&gt;69,"Cukup",IF(AF1795&gt;59,"Kurang","Sangat kurang")))))</f>
        <v/>
      </c>
      <c r="AJ1795" t="str">
        <f t="shared" si="86"/>
        <v>Wk.3</v>
      </c>
      <c r="AK1795" t="str">
        <f>IF(pub_gid_0_single_true_output_csv[[#This Row],[Nilai2]]="","",VLOOKUP(pub_gid_0_single_true_output_csv[[#This Row],[NAMA]],Table7[],3,FALSE))</f>
        <v>High average</v>
      </c>
    </row>
    <row r="1796" spans="1:37" x14ac:dyDescent="0.2">
      <c r="A1796">
        <v>1795</v>
      </c>
      <c r="B1796" t="s">
        <v>313</v>
      </c>
      <c r="C1796" t="s">
        <v>65</v>
      </c>
      <c r="D1796" t="s">
        <v>57</v>
      </c>
      <c r="E1796" t="s">
        <v>146</v>
      </c>
      <c r="F1796" s="25">
        <v>46034</v>
      </c>
      <c r="G1796" t="s">
        <v>354</v>
      </c>
      <c r="H1796" t="s">
        <v>405</v>
      </c>
      <c r="I1796" t="s">
        <v>371</v>
      </c>
      <c r="J1796" t="s">
        <v>90</v>
      </c>
      <c r="K1796" t="s">
        <v>92</v>
      </c>
      <c r="L1796" t="s">
        <v>93</v>
      </c>
      <c r="M1796" t="s">
        <v>141</v>
      </c>
      <c r="N1796" t="s">
        <v>142</v>
      </c>
      <c r="O1796" t="s">
        <v>327</v>
      </c>
      <c r="P1796" t="s">
        <v>281</v>
      </c>
      <c r="Q1796" t="s">
        <v>328</v>
      </c>
      <c r="R1796" t="s">
        <v>329</v>
      </c>
      <c r="S1796" t="s">
        <v>388</v>
      </c>
      <c r="T1796">
        <v>3</v>
      </c>
      <c r="U1796" t="s">
        <v>389</v>
      </c>
      <c r="V1796" t="s">
        <v>381</v>
      </c>
      <c r="W1796" t="s">
        <v>390</v>
      </c>
      <c r="X1796" t="s">
        <v>331</v>
      </c>
      <c r="Y1796" t="s">
        <v>307</v>
      </c>
      <c r="Z1796">
        <v>70</v>
      </c>
      <c r="AA1796">
        <v>90</v>
      </c>
      <c r="AB1796" t="s">
        <v>143</v>
      </c>
      <c r="AC1796" t="s">
        <v>160</v>
      </c>
      <c r="AD1796" t="s">
        <v>278</v>
      </c>
      <c r="AE1796" t="str">
        <f>IF(AF1796="","",VLOOKUP(AC1796,mapel!$A$2:$B$42,2,FALSE))</f>
        <v>B.Ing</v>
      </c>
      <c r="AF1796">
        <f t="shared" si="84"/>
        <v>90</v>
      </c>
      <c r="AG1796" t="str">
        <f>IF(AF1796="","",IF(AF1796&gt;90,"Sangat baik",IF(AF1796&gt;79,"Baik",IF(AF1796&gt;=pub_gid_0_single_true_output_csv[[#This Row],[KKM]],"Cukup","Kurang"))))</f>
        <v>Baik</v>
      </c>
      <c r="AH1796">
        <f t="shared" si="85"/>
        <v>12</v>
      </c>
      <c r="AI1796" s="30" t="str">
        <f>IF(OR(J1796&lt;&gt;"Karakter",pub_gid_0_single_true_output_csv[[#This Row],[Nilai2]]=""),"",IF(AF1796&gt;89,"Sangat baik",IF(AF1796&gt;79,"Baik",IF(AF1796&gt;69,"Cukup",IF(AF1796&gt;59,"Kurang","Sangat kurang")))))</f>
        <v>Sangat baik</v>
      </c>
      <c r="AJ1796" t="str">
        <f t="shared" si="86"/>
        <v>Wk.3</v>
      </c>
      <c r="AK1796" t="str">
        <f>IF(pub_gid_0_single_true_output_csv[[#This Row],[Nilai2]]="","",VLOOKUP(pub_gid_0_single_true_output_csv[[#This Row],[NAMA]],Table7[],3,FALSE))</f>
        <v>High average</v>
      </c>
    </row>
    <row r="1797" spans="1:37" x14ac:dyDescent="0.2">
      <c r="A1797">
        <v>1796</v>
      </c>
      <c r="B1797" t="s">
        <v>313</v>
      </c>
      <c r="C1797" t="s">
        <v>65</v>
      </c>
      <c r="D1797" t="s">
        <v>57</v>
      </c>
      <c r="E1797" t="s">
        <v>146</v>
      </c>
      <c r="F1797" s="25">
        <v>46048</v>
      </c>
      <c r="G1797" t="s">
        <v>371</v>
      </c>
      <c r="H1797" t="s">
        <v>405</v>
      </c>
      <c r="I1797" t="s">
        <v>371</v>
      </c>
      <c r="J1797" t="s">
        <v>36</v>
      </c>
      <c r="K1797" t="s">
        <v>37</v>
      </c>
      <c r="L1797" t="s">
        <v>383</v>
      </c>
      <c r="M1797" t="s">
        <v>141</v>
      </c>
      <c r="N1797" t="s">
        <v>142</v>
      </c>
      <c r="O1797" t="s">
        <v>327</v>
      </c>
      <c r="P1797" t="s">
        <v>281</v>
      </c>
      <c r="Q1797" t="s">
        <v>328</v>
      </c>
      <c r="R1797" t="s">
        <v>329</v>
      </c>
      <c r="S1797" t="s">
        <v>388</v>
      </c>
      <c r="T1797">
        <v>3</v>
      </c>
      <c r="U1797" t="s">
        <v>389</v>
      </c>
      <c r="V1797" t="s">
        <v>381</v>
      </c>
      <c r="W1797" t="s">
        <v>390</v>
      </c>
      <c r="X1797" t="s">
        <v>331</v>
      </c>
      <c r="Y1797" t="s">
        <v>307</v>
      </c>
      <c r="Z1797">
        <v>70</v>
      </c>
      <c r="AA1797">
        <v>75</v>
      </c>
      <c r="AB1797" t="s">
        <v>143</v>
      </c>
      <c r="AC1797" t="s">
        <v>160</v>
      </c>
      <c r="AD1797" t="s">
        <v>278</v>
      </c>
      <c r="AE1797" t="str">
        <f>IF(AF1797="","",VLOOKUP(AC1797,mapel!$A$2:$B$42,2,FALSE))</f>
        <v>B.Ing</v>
      </c>
      <c r="AF1797">
        <f t="shared" si="84"/>
        <v>75</v>
      </c>
      <c r="AG1797" t="str">
        <f>IF(AF1797="","",IF(AF1797&gt;90,"Sangat baik",IF(AF1797&gt;79,"Baik",IF(AF1797&gt;=pub_gid_0_single_true_output_csv[[#This Row],[KKM]],"Cukup","Kurang"))))</f>
        <v>Cukup</v>
      </c>
      <c r="AH1797">
        <f t="shared" si="85"/>
        <v>12</v>
      </c>
      <c r="AI1797" s="30" t="str">
        <f>IF(OR(J1797&lt;&gt;"Karakter",pub_gid_0_single_true_output_csv[[#This Row],[Nilai2]]=""),"",IF(AF1797&gt;89,"Sangat baik",IF(AF1797&gt;79,"Baik",IF(AF1797&gt;69,"Cukup",IF(AF1797&gt;59,"Kurang","Sangat kurang")))))</f>
        <v/>
      </c>
      <c r="AJ1797" t="str">
        <f t="shared" si="86"/>
        <v>Wk.5</v>
      </c>
      <c r="AK1797" t="str">
        <f>IF(pub_gid_0_single_true_output_csv[[#This Row],[Nilai2]]="","",VLOOKUP(pub_gid_0_single_true_output_csv[[#This Row],[NAMA]],Table7[],3,FALSE))</f>
        <v>High average</v>
      </c>
    </row>
    <row r="1798" spans="1:37" x14ac:dyDescent="0.2">
      <c r="A1798">
        <v>1797</v>
      </c>
      <c r="B1798" t="s">
        <v>313</v>
      </c>
      <c r="C1798" t="s">
        <v>65</v>
      </c>
      <c r="D1798" t="s">
        <v>57</v>
      </c>
      <c r="E1798" t="s">
        <v>146</v>
      </c>
      <c r="F1798" s="25">
        <v>46048</v>
      </c>
      <c r="G1798" t="s">
        <v>371</v>
      </c>
      <c r="H1798" t="s">
        <v>405</v>
      </c>
      <c r="I1798" t="s">
        <v>371</v>
      </c>
      <c r="J1798" t="s">
        <v>41</v>
      </c>
      <c r="K1798" t="s">
        <v>365</v>
      </c>
      <c r="L1798" t="s">
        <v>383</v>
      </c>
      <c r="M1798" t="s">
        <v>141</v>
      </c>
      <c r="N1798" t="s">
        <v>142</v>
      </c>
      <c r="O1798" t="s">
        <v>327</v>
      </c>
      <c r="P1798" t="s">
        <v>281</v>
      </c>
      <c r="Q1798" t="s">
        <v>328</v>
      </c>
      <c r="R1798" t="s">
        <v>329</v>
      </c>
      <c r="S1798" t="s">
        <v>388</v>
      </c>
      <c r="T1798">
        <v>3</v>
      </c>
      <c r="U1798" t="s">
        <v>389</v>
      </c>
      <c r="V1798" t="s">
        <v>381</v>
      </c>
      <c r="W1798" t="s">
        <v>390</v>
      </c>
      <c r="X1798" t="s">
        <v>331</v>
      </c>
      <c r="Y1798" t="s">
        <v>307</v>
      </c>
      <c r="Z1798">
        <v>70</v>
      </c>
      <c r="AA1798">
        <v>75</v>
      </c>
      <c r="AB1798" t="s">
        <v>143</v>
      </c>
      <c r="AC1798" t="s">
        <v>160</v>
      </c>
      <c r="AD1798" t="s">
        <v>278</v>
      </c>
      <c r="AE1798" t="str">
        <f>IF(AF1798="","",VLOOKUP(AC1798,mapel!$A$2:$B$42,2,FALSE))</f>
        <v>B.Ing</v>
      </c>
      <c r="AF1798">
        <f t="shared" si="84"/>
        <v>75</v>
      </c>
      <c r="AG1798" t="str">
        <f>IF(AF1798="","",IF(AF1798&gt;90,"Sangat baik",IF(AF1798&gt;79,"Baik",IF(AF1798&gt;=pub_gid_0_single_true_output_csv[[#This Row],[KKM]],"Cukup","Kurang"))))</f>
        <v>Cukup</v>
      </c>
      <c r="AH1798">
        <f t="shared" si="85"/>
        <v>12</v>
      </c>
      <c r="AI1798" s="30" t="str">
        <f>IF(OR(J1798&lt;&gt;"Karakter",pub_gid_0_single_true_output_csv[[#This Row],[Nilai2]]=""),"",IF(AF1798&gt;89,"Sangat baik",IF(AF1798&gt;79,"Baik",IF(AF1798&gt;69,"Cukup",IF(AF1798&gt;59,"Kurang","Sangat kurang")))))</f>
        <v/>
      </c>
      <c r="AJ1798" t="str">
        <f t="shared" si="86"/>
        <v>Wk.5</v>
      </c>
      <c r="AK1798" t="str">
        <f>IF(pub_gid_0_single_true_output_csv[[#This Row],[Nilai2]]="","",VLOOKUP(pub_gid_0_single_true_output_csv[[#This Row],[NAMA]],Table7[],3,FALSE))</f>
        <v>High average</v>
      </c>
    </row>
    <row r="1799" spans="1:37" x14ac:dyDescent="0.2">
      <c r="A1799">
        <v>1798</v>
      </c>
      <c r="B1799" t="s">
        <v>313</v>
      </c>
      <c r="C1799" t="s">
        <v>65</v>
      </c>
      <c r="D1799" t="s">
        <v>57</v>
      </c>
      <c r="E1799" t="s">
        <v>146</v>
      </c>
      <c r="F1799" s="25">
        <v>46055</v>
      </c>
      <c r="G1799" t="s">
        <v>379</v>
      </c>
      <c r="H1799" t="s">
        <v>412</v>
      </c>
      <c r="I1799" t="s">
        <v>371</v>
      </c>
      <c r="J1799" t="s">
        <v>36</v>
      </c>
      <c r="K1799" t="s">
        <v>37</v>
      </c>
      <c r="L1799" t="s">
        <v>351</v>
      </c>
      <c r="M1799" t="s">
        <v>141</v>
      </c>
      <c r="N1799" t="s">
        <v>142</v>
      </c>
      <c r="O1799" t="s">
        <v>327</v>
      </c>
      <c r="P1799" t="s">
        <v>281</v>
      </c>
      <c r="Q1799" t="s">
        <v>328</v>
      </c>
      <c r="R1799" t="s">
        <v>329</v>
      </c>
      <c r="S1799" t="s">
        <v>388</v>
      </c>
      <c r="T1799">
        <v>3</v>
      </c>
      <c r="U1799" t="s">
        <v>389</v>
      </c>
      <c r="V1799" t="s">
        <v>381</v>
      </c>
      <c r="W1799" t="s">
        <v>390</v>
      </c>
      <c r="X1799" t="s">
        <v>331</v>
      </c>
      <c r="Y1799" t="s">
        <v>307</v>
      </c>
      <c r="Z1799">
        <v>70</v>
      </c>
      <c r="AA1799">
        <v>78</v>
      </c>
      <c r="AB1799" t="s">
        <v>143</v>
      </c>
      <c r="AC1799" t="s">
        <v>160</v>
      </c>
      <c r="AD1799" t="s">
        <v>278</v>
      </c>
      <c r="AE1799" t="str">
        <f>IF(AF1799="","",VLOOKUP(AC1799,mapel!$A$2:$B$42,2,FALSE))</f>
        <v>B.Ing</v>
      </c>
      <c r="AF1799">
        <f t="shared" si="84"/>
        <v>78</v>
      </c>
      <c r="AG1799" t="str">
        <f>IF(AF1799="","",IF(AF1799&gt;90,"Sangat baik",IF(AF1799&gt;79,"Baik",IF(AF1799&gt;=pub_gid_0_single_true_output_csv[[#This Row],[KKM]],"Cukup","Kurang"))))</f>
        <v>Cukup</v>
      </c>
      <c r="AH1799">
        <f t="shared" si="85"/>
        <v>12</v>
      </c>
      <c r="AI1799" s="30" t="str">
        <f>IF(OR(J1799&lt;&gt;"Karakter",pub_gid_0_single_true_output_csv[[#This Row],[Nilai2]]=""),"",IF(AF1799&gt;89,"Sangat baik",IF(AF1799&gt;79,"Baik",IF(AF1799&gt;69,"Cukup",IF(AF1799&gt;59,"Kurang","Sangat kurang")))))</f>
        <v/>
      </c>
      <c r="AJ1799" t="str">
        <f t="shared" si="86"/>
        <v>Wk.6</v>
      </c>
      <c r="AK1799" t="str">
        <f>IF(pub_gid_0_single_true_output_csv[[#This Row],[Nilai2]]="","",VLOOKUP(pub_gid_0_single_true_output_csv[[#This Row],[NAMA]],Table7[],3,FALSE))</f>
        <v>High average</v>
      </c>
    </row>
    <row r="1800" spans="1:37" x14ac:dyDescent="0.2">
      <c r="A1800">
        <v>1799</v>
      </c>
      <c r="B1800" t="s">
        <v>313</v>
      </c>
      <c r="C1800" t="s">
        <v>65</v>
      </c>
      <c r="D1800" t="s">
        <v>57</v>
      </c>
      <c r="E1800" t="s">
        <v>146</v>
      </c>
      <c r="F1800" s="25">
        <v>46055</v>
      </c>
      <c r="G1800" t="s">
        <v>379</v>
      </c>
      <c r="H1800" t="s">
        <v>412</v>
      </c>
      <c r="I1800" t="s">
        <v>371</v>
      </c>
      <c r="J1800" t="s">
        <v>41</v>
      </c>
      <c r="K1800" t="s">
        <v>365</v>
      </c>
      <c r="L1800" t="s">
        <v>319</v>
      </c>
      <c r="M1800" t="s">
        <v>141</v>
      </c>
      <c r="N1800" t="s">
        <v>142</v>
      </c>
      <c r="O1800" t="s">
        <v>327</v>
      </c>
      <c r="P1800" t="s">
        <v>281</v>
      </c>
      <c r="Q1800" t="s">
        <v>328</v>
      </c>
      <c r="R1800" t="s">
        <v>329</v>
      </c>
      <c r="S1800" t="s">
        <v>388</v>
      </c>
      <c r="T1800">
        <v>3</v>
      </c>
      <c r="U1800" t="s">
        <v>389</v>
      </c>
      <c r="V1800" t="s">
        <v>381</v>
      </c>
      <c r="W1800" t="s">
        <v>390</v>
      </c>
      <c r="X1800" t="s">
        <v>331</v>
      </c>
      <c r="Y1800" t="s">
        <v>307</v>
      </c>
      <c r="Z1800">
        <v>70</v>
      </c>
      <c r="AA1800">
        <v>78</v>
      </c>
      <c r="AB1800" t="s">
        <v>143</v>
      </c>
      <c r="AC1800" t="s">
        <v>160</v>
      </c>
      <c r="AD1800" t="s">
        <v>278</v>
      </c>
      <c r="AE1800" t="str">
        <f>IF(AF1800="","",VLOOKUP(AC1800,mapel!$A$2:$B$42,2,FALSE))</f>
        <v>B.Ing</v>
      </c>
      <c r="AF1800">
        <f t="shared" si="84"/>
        <v>78</v>
      </c>
      <c r="AG1800" t="str">
        <f>IF(AF1800="","",IF(AF1800&gt;90,"Sangat baik",IF(AF1800&gt;79,"Baik",IF(AF1800&gt;=pub_gid_0_single_true_output_csv[[#This Row],[KKM]],"Cukup","Kurang"))))</f>
        <v>Cukup</v>
      </c>
      <c r="AH1800">
        <f t="shared" si="85"/>
        <v>12</v>
      </c>
      <c r="AI1800" s="30" t="str">
        <f>IF(OR(J1800&lt;&gt;"Karakter",pub_gid_0_single_true_output_csv[[#This Row],[Nilai2]]=""),"",IF(AF1800&gt;89,"Sangat baik",IF(AF1800&gt;79,"Baik",IF(AF1800&gt;69,"Cukup",IF(AF1800&gt;59,"Kurang","Sangat kurang")))))</f>
        <v/>
      </c>
      <c r="AJ1800" t="str">
        <f t="shared" si="86"/>
        <v>Wk.6</v>
      </c>
      <c r="AK1800" t="str">
        <f>IF(pub_gid_0_single_true_output_csv[[#This Row],[Nilai2]]="","",VLOOKUP(pub_gid_0_single_true_output_csv[[#This Row],[NAMA]],Table7[],3,FALSE))</f>
        <v>High average</v>
      </c>
    </row>
    <row r="1801" spans="1:37" x14ac:dyDescent="0.2">
      <c r="A1801">
        <v>1800</v>
      </c>
      <c r="B1801" t="s">
        <v>313</v>
      </c>
      <c r="C1801" t="s">
        <v>65</v>
      </c>
      <c r="D1801" t="s">
        <v>57</v>
      </c>
      <c r="E1801" t="s">
        <v>146</v>
      </c>
      <c r="F1801" s="25">
        <v>46055</v>
      </c>
      <c r="G1801" t="s">
        <v>379</v>
      </c>
      <c r="H1801" t="s">
        <v>412</v>
      </c>
      <c r="I1801" t="s">
        <v>371</v>
      </c>
      <c r="J1801" t="s">
        <v>90</v>
      </c>
      <c r="K1801" t="s">
        <v>92</v>
      </c>
      <c r="L1801" t="s">
        <v>91</v>
      </c>
      <c r="M1801" t="s">
        <v>141</v>
      </c>
      <c r="N1801" t="s">
        <v>142</v>
      </c>
      <c r="O1801" t="s">
        <v>327</v>
      </c>
      <c r="P1801" t="s">
        <v>281</v>
      </c>
      <c r="Q1801" t="s">
        <v>328</v>
      </c>
      <c r="R1801" t="s">
        <v>329</v>
      </c>
      <c r="S1801" t="s">
        <v>388</v>
      </c>
      <c r="T1801">
        <v>3</v>
      </c>
      <c r="U1801" t="s">
        <v>389</v>
      </c>
      <c r="V1801" t="s">
        <v>381</v>
      </c>
      <c r="W1801" t="s">
        <v>390</v>
      </c>
      <c r="X1801" t="s">
        <v>331</v>
      </c>
      <c r="Y1801" t="s">
        <v>307</v>
      </c>
      <c r="Z1801">
        <v>70</v>
      </c>
      <c r="AA1801">
        <v>80</v>
      </c>
      <c r="AB1801" t="s">
        <v>143</v>
      </c>
      <c r="AC1801" t="s">
        <v>160</v>
      </c>
      <c r="AD1801" t="s">
        <v>278</v>
      </c>
      <c r="AE1801" t="str">
        <f>IF(AF1801="","",VLOOKUP(AC1801,mapel!$A$2:$B$42,2,FALSE))</f>
        <v>B.Ing</v>
      </c>
      <c r="AF1801">
        <f t="shared" si="84"/>
        <v>80</v>
      </c>
      <c r="AG1801" t="str">
        <f>IF(AF1801="","",IF(AF1801&gt;90,"Sangat baik",IF(AF1801&gt;79,"Baik",IF(AF1801&gt;=pub_gid_0_single_true_output_csv[[#This Row],[KKM]],"Cukup","Kurang"))))</f>
        <v>Baik</v>
      </c>
      <c r="AH1801">
        <f t="shared" si="85"/>
        <v>12</v>
      </c>
      <c r="AI1801" s="30" t="str">
        <f>IF(OR(J1801&lt;&gt;"Karakter",pub_gid_0_single_true_output_csv[[#This Row],[Nilai2]]=""),"",IF(AF1801&gt;89,"Sangat baik",IF(AF1801&gt;79,"Baik",IF(AF1801&gt;69,"Cukup",IF(AF1801&gt;59,"Kurang","Sangat kurang")))))</f>
        <v>Baik</v>
      </c>
      <c r="AJ1801" t="str">
        <f t="shared" si="86"/>
        <v>Wk.6</v>
      </c>
      <c r="AK1801" t="str">
        <f>IF(pub_gid_0_single_true_output_csv[[#This Row],[Nilai2]]="","",VLOOKUP(pub_gid_0_single_true_output_csv[[#This Row],[NAMA]],Table7[],3,FALSE))</f>
        <v>High average</v>
      </c>
    </row>
    <row r="1802" spans="1:37" x14ac:dyDescent="0.2">
      <c r="A1802">
        <v>1801</v>
      </c>
      <c r="B1802" t="s">
        <v>313</v>
      </c>
      <c r="C1802" t="s">
        <v>65</v>
      </c>
      <c r="D1802" t="s">
        <v>57</v>
      </c>
      <c r="E1802" t="s">
        <v>146</v>
      </c>
      <c r="F1802" s="25">
        <v>46055</v>
      </c>
      <c r="G1802" t="s">
        <v>379</v>
      </c>
      <c r="H1802" t="s">
        <v>412</v>
      </c>
      <c r="I1802" t="s">
        <v>371</v>
      </c>
      <c r="J1802" t="s">
        <v>279</v>
      </c>
      <c r="K1802" t="s">
        <v>280</v>
      </c>
      <c r="L1802" t="s">
        <v>351</v>
      </c>
      <c r="M1802" t="s">
        <v>141</v>
      </c>
      <c r="N1802" t="s">
        <v>142</v>
      </c>
      <c r="O1802" t="s">
        <v>327</v>
      </c>
      <c r="P1802" t="s">
        <v>281</v>
      </c>
      <c r="Q1802" t="s">
        <v>328</v>
      </c>
      <c r="R1802" t="s">
        <v>329</v>
      </c>
      <c r="S1802" t="s">
        <v>388</v>
      </c>
      <c r="T1802">
        <v>3</v>
      </c>
      <c r="U1802" t="s">
        <v>389</v>
      </c>
      <c r="V1802" t="s">
        <v>381</v>
      </c>
      <c r="W1802" t="s">
        <v>390</v>
      </c>
      <c r="X1802" t="s">
        <v>331</v>
      </c>
      <c r="Y1802" t="s">
        <v>307</v>
      </c>
      <c r="Z1802">
        <v>70</v>
      </c>
      <c r="AA1802">
        <v>75</v>
      </c>
      <c r="AB1802" t="s">
        <v>143</v>
      </c>
      <c r="AC1802" t="s">
        <v>160</v>
      </c>
      <c r="AD1802" t="s">
        <v>278</v>
      </c>
      <c r="AE1802" t="str">
        <f>IF(AF1802="","",VLOOKUP(AC1802,mapel!$A$2:$B$42,2,FALSE))</f>
        <v>B.Ing</v>
      </c>
      <c r="AF1802">
        <f t="shared" si="84"/>
        <v>75</v>
      </c>
      <c r="AG1802" t="str">
        <f>IF(AF1802="","",IF(AF1802&gt;90,"Sangat baik",IF(AF1802&gt;79,"Baik",IF(AF1802&gt;=pub_gid_0_single_true_output_csv[[#This Row],[KKM]],"Cukup","Kurang"))))</f>
        <v>Cukup</v>
      </c>
      <c r="AH1802">
        <f t="shared" si="85"/>
        <v>12</v>
      </c>
      <c r="AI1802" s="30" t="str">
        <f>IF(OR(J1802&lt;&gt;"Karakter",pub_gid_0_single_true_output_csv[[#This Row],[Nilai2]]=""),"",IF(AF1802&gt;89,"Sangat baik",IF(AF1802&gt;79,"Baik",IF(AF1802&gt;69,"Cukup",IF(AF1802&gt;59,"Kurang","Sangat kurang")))))</f>
        <v/>
      </c>
      <c r="AJ1802" t="str">
        <f t="shared" si="86"/>
        <v>Wk.6</v>
      </c>
      <c r="AK1802" t="str">
        <f>IF(pub_gid_0_single_true_output_csv[[#This Row],[Nilai2]]="","",VLOOKUP(pub_gid_0_single_true_output_csv[[#This Row],[NAMA]],Table7[],3,FALSE))</f>
        <v>High average</v>
      </c>
    </row>
    <row r="1803" spans="1:37" x14ac:dyDescent="0.2">
      <c r="A1803">
        <v>1802</v>
      </c>
      <c r="B1803" t="s">
        <v>314</v>
      </c>
      <c r="C1803" t="s">
        <v>65</v>
      </c>
      <c r="D1803" t="s">
        <v>58</v>
      </c>
      <c r="E1803" t="s">
        <v>140</v>
      </c>
      <c r="F1803" s="25">
        <v>46034</v>
      </c>
      <c r="G1803" t="s">
        <v>354</v>
      </c>
      <c r="H1803" t="s">
        <v>405</v>
      </c>
      <c r="I1803" t="s">
        <v>371</v>
      </c>
      <c r="J1803" t="s">
        <v>36</v>
      </c>
      <c r="K1803" t="s">
        <v>37</v>
      </c>
      <c r="L1803" t="s">
        <v>383</v>
      </c>
      <c r="M1803" t="s">
        <v>141</v>
      </c>
      <c r="N1803" t="s">
        <v>142</v>
      </c>
      <c r="O1803" t="s">
        <v>327</v>
      </c>
      <c r="P1803" t="s">
        <v>281</v>
      </c>
      <c r="Q1803" t="s">
        <v>328</v>
      </c>
      <c r="R1803" t="s">
        <v>329</v>
      </c>
      <c r="S1803" t="s">
        <v>388</v>
      </c>
      <c r="T1803">
        <v>3</v>
      </c>
      <c r="U1803" t="s">
        <v>389</v>
      </c>
      <c r="V1803" t="s">
        <v>381</v>
      </c>
      <c r="W1803" t="s">
        <v>390</v>
      </c>
      <c r="X1803" t="s">
        <v>331</v>
      </c>
      <c r="Y1803" t="s">
        <v>307</v>
      </c>
      <c r="Z1803">
        <v>70</v>
      </c>
      <c r="AA1803">
        <v>65</v>
      </c>
      <c r="AB1803" t="s">
        <v>151</v>
      </c>
      <c r="AC1803" t="s">
        <v>160</v>
      </c>
      <c r="AD1803" t="s">
        <v>278</v>
      </c>
      <c r="AE1803" t="str">
        <f>IF(AF1803="","",VLOOKUP(AC1803,mapel!$A$2:$B$42,2,FALSE))</f>
        <v>B.Ing</v>
      </c>
      <c r="AF1803">
        <f t="shared" si="84"/>
        <v>65</v>
      </c>
      <c r="AG1803" t="str">
        <f>IF(AF1803="","",IF(AF1803&gt;90,"Sangat baik",IF(AF1803&gt;79,"Baik",IF(AF1803&gt;=pub_gid_0_single_true_output_csv[[#This Row],[KKM]],"Cukup","Kurang"))))</f>
        <v>Kurang</v>
      </c>
      <c r="AH1803">
        <f t="shared" si="85"/>
        <v>12</v>
      </c>
      <c r="AI1803" s="30" t="str">
        <f>IF(OR(J1803&lt;&gt;"Karakter",pub_gid_0_single_true_output_csv[[#This Row],[Nilai2]]=""),"",IF(AF1803&gt;89,"Sangat baik",IF(AF1803&gt;79,"Baik",IF(AF1803&gt;69,"Cukup",IF(AF1803&gt;59,"Kurang","Sangat kurang")))))</f>
        <v/>
      </c>
      <c r="AJ1803" t="str">
        <f t="shared" si="86"/>
        <v>Wk.3</v>
      </c>
      <c r="AK1803" t="str">
        <f>IF(pub_gid_0_single_true_output_csv[[#This Row],[Nilai2]]="","",VLOOKUP(pub_gid_0_single_true_output_csv[[#This Row],[NAMA]],Table7[],3,FALSE))</f>
        <v>Average</v>
      </c>
    </row>
    <row r="1804" spans="1:37" x14ac:dyDescent="0.2">
      <c r="A1804">
        <v>1803</v>
      </c>
      <c r="B1804" t="s">
        <v>314</v>
      </c>
      <c r="C1804" t="s">
        <v>65</v>
      </c>
      <c r="D1804" t="s">
        <v>58</v>
      </c>
      <c r="E1804" t="s">
        <v>140</v>
      </c>
      <c r="F1804" s="25">
        <v>46034</v>
      </c>
      <c r="G1804" t="s">
        <v>354</v>
      </c>
      <c r="H1804" t="s">
        <v>405</v>
      </c>
      <c r="I1804" t="s">
        <v>371</v>
      </c>
      <c r="J1804" t="s">
        <v>41</v>
      </c>
      <c r="K1804" t="s">
        <v>365</v>
      </c>
      <c r="L1804" t="s">
        <v>383</v>
      </c>
      <c r="M1804" t="s">
        <v>141</v>
      </c>
      <c r="N1804" t="s">
        <v>142</v>
      </c>
      <c r="O1804" t="s">
        <v>327</v>
      </c>
      <c r="P1804" t="s">
        <v>281</v>
      </c>
      <c r="Q1804" t="s">
        <v>328</v>
      </c>
      <c r="R1804" t="s">
        <v>329</v>
      </c>
      <c r="S1804" t="s">
        <v>388</v>
      </c>
      <c r="T1804">
        <v>3</v>
      </c>
      <c r="U1804" t="s">
        <v>389</v>
      </c>
      <c r="V1804" t="s">
        <v>381</v>
      </c>
      <c r="W1804" t="s">
        <v>390</v>
      </c>
      <c r="X1804" t="s">
        <v>331</v>
      </c>
      <c r="Y1804" t="s">
        <v>307</v>
      </c>
      <c r="Z1804">
        <v>70</v>
      </c>
      <c r="AA1804">
        <v>65</v>
      </c>
      <c r="AB1804" t="s">
        <v>151</v>
      </c>
      <c r="AC1804" t="s">
        <v>160</v>
      </c>
      <c r="AD1804" t="s">
        <v>278</v>
      </c>
      <c r="AE1804" t="str">
        <f>IF(AF1804="","",VLOOKUP(AC1804,mapel!$A$2:$B$42,2,FALSE))</f>
        <v>B.Ing</v>
      </c>
      <c r="AF1804">
        <f t="shared" si="84"/>
        <v>65</v>
      </c>
      <c r="AG1804" t="str">
        <f>IF(AF1804="","",IF(AF1804&gt;90,"Sangat baik",IF(AF1804&gt;79,"Baik",IF(AF1804&gt;=pub_gid_0_single_true_output_csv[[#This Row],[KKM]],"Cukup","Kurang"))))</f>
        <v>Kurang</v>
      </c>
      <c r="AH1804">
        <f t="shared" si="85"/>
        <v>12</v>
      </c>
      <c r="AI1804" s="30" t="str">
        <f>IF(OR(J1804&lt;&gt;"Karakter",pub_gid_0_single_true_output_csv[[#This Row],[Nilai2]]=""),"",IF(AF1804&gt;89,"Sangat baik",IF(AF1804&gt;79,"Baik",IF(AF1804&gt;69,"Cukup",IF(AF1804&gt;59,"Kurang","Sangat kurang")))))</f>
        <v/>
      </c>
      <c r="AJ1804" t="str">
        <f t="shared" si="86"/>
        <v>Wk.3</v>
      </c>
      <c r="AK1804" t="str">
        <f>IF(pub_gid_0_single_true_output_csv[[#This Row],[Nilai2]]="","",VLOOKUP(pub_gid_0_single_true_output_csv[[#This Row],[NAMA]],Table7[],3,FALSE))</f>
        <v>Average</v>
      </c>
    </row>
    <row r="1805" spans="1:37" x14ac:dyDescent="0.2">
      <c r="A1805">
        <v>1804</v>
      </c>
      <c r="B1805" t="s">
        <v>314</v>
      </c>
      <c r="C1805" t="s">
        <v>65</v>
      </c>
      <c r="D1805" t="s">
        <v>58</v>
      </c>
      <c r="E1805" t="s">
        <v>140</v>
      </c>
      <c r="F1805" s="25">
        <v>46034</v>
      </c>
      <c r="G1805" t="s">
        <v>354</v>
      </c>
      <c r="H1805" t="s">
        <v>405</v>
      </c>
      <c r="I1805" t="s">
        <v>371</v>
      </c>
      <c r="J1805" t="s">
        <v>31</v>
      </c>
      <c r="K1805" t="s">
        <v>32</v>
      </c>
      <c r="L1805" t="s">
        <v>322</v>
      </c>
      <c r="M1805" t="s">
        <v>141</v>
      </c>
      <c r="N1805" t="s">
        <v>142</v>
      </c>
      <c r="O1805" t="s">
        <v>327</v>
      </c>
      <c r="P1805" t="s">
        <v>281</v>
      </c>
      <c r="Q1805" t="s">
        <v>328</v>
      </c>
      <c r="R1805" t="s">
        <v>329</v>
      </c>
      <c r="S1805" t="s">
        <v>388</v>
      </c>
      <c r="T1805">
        <v>3</v>
      </c>
      <c r="U1805" t="s">
        <v>389</v>
      </c>
      <c r="V1805" t="s">
        <v>381</v>
      </c>
      <c r="W1805" t="s">
        <v>390</v>
      </c>
      <c r="X1805" t="s">
        <v>331</v>
      </c>
      <c r="Y1805" t="s">
        <v>307</v>
      </c>
      <c r="Z1805">
        <v>70</v>
      </c>
      <c r="AA1805">
        <v>60</v>
      </c>
      <c r="AB1805" t="s">
        <v>151</v>
      </c>
      <c r="AC1805" t="s">
        <v>160</v>
      </c>
      <c r="AD1805" t="s">
        <v>278</v>
      </c>
      <c r="AE1805" t="str">
        <f>IF(AF1805="","",VLOOKUP(AC1805,mapel!$A$2:$B$42,2,FALSE))</f>
        <v>B.Ing</v>
      </c>
      <c r="AF1805">
        <f t="shared" si="84"/>
        <v>60</v>
      </c>
      <c r="AG1805" t="str">
        <f>IF(AF1805="","",IF(AF1805&gt;90,"Sangat baik",IF(AF1805&gt;79,"Baik",IF(AF1805&gt;=pub_gid_0_single_true_output_csv[[#This Row],[KKM]],"Cukup","Kurang"))))</f>
        <v>Kurang</v>
      </c>
      <c r="AH1805">
        <f t="shared" si="85"/>
        <v>12</v>
      </c>
      <c r="AI1805" s="30" t="str">
        <f>IF(OR(J1805&lt;&gt;"Karakter",pub_gid_0_single_true_output_csv[[#This Row],[Nilai2]]=""),"",IF(AF1805&gt;89,"Sangat baik",IF(AF1805&gt;79,"Baik",IF(AF1805&gt;69,"Cukup",IF(AF1805&gt;59,"Kurang","Sangat kurang")))))</f>
        <v/>
      </c>
      <c r="AJ1805" t="str">
        <f t="shared" si="86"/>
        <v>Wk.3</v>
      </c>
      <c r="AK1805" t="str">
        <f>IF(pub_gid_0_single_true_output_csv[[#This Row],[Nilai2]]="","",VLOOKUP(pub_gid_0_single_true_output_csv[[#This Row],[NAMA]],Table7[],3,FALSE))</f>
        <v>Average</v>
      </c>
    </row>
    <row r="1806" spans="1:37" x14ac:dyDescent="0.2">
      <c r="A1806">
        <v>1805</v>
      </c>
      <c r="B1806" t="s">
        <v>314</v>
      </c>
      <c r="C1806" t="s">
        <v>65</v>
      </c>
      <c r="D1806" t="s">
        <v>58</v>
      </c>
      <c r="E1806" t="s">
        <v>140</v>
      </c>
      <c r="F1806" s="25">
        <v>46034</v>
      </c>
      <c r="G1806" t="s">
        <v>354</v>
      </c>
      <c r="H1806" t="s">
        <v>405</v>
      </c>
      <c r="I1806" t="s">
        <v>371</v>
      </c>
      <c r="J1806" t="s">
        <v>90</v>
      </c>
      <c r="K1806" t="s">
        <v>92</v>
      </c>
      <c r="L1806" t="s">
        <v>93</v>
      </c>
      <c r="M1806" t="s">
        <v>141</v>
      </c>
      <c r="N1806" t="s">
        <v>142</v>
      </c>
      <c r="O1806" t="s">
        <v>327</v>
      </c>
      <c r="P1806" t="s">
        <v>281</v>
      </c>
      <c r="Q1806" t="s">
        <v>328</v>
      </c>
      <c r="R1806" t="s">
        <v>329</v>
      </c>
      <c r="S1806" t="s">
        <v>388</v>
      </c>
      <c r="T1806">
        <v>3</v>
      </c>
      <c r="U1806" t="s">
        <v>389</v>
      </c>
      <c r="V1806" t="s">
        <v>381</v>
      </c>
      <c r="W1806" t="s">
        <v>390</v>
      </c>
      <c r="X1806" t="s">
        <v>331</v>
      </c>
      <c r="Y1806" t="s">
        <v>307</v>
      </c>
      <c r="Z1806">
        <v>70</v>
      </c>
      <c r="AA1806">
        <v>60</v>
      </c>
      <c r="AB1806" t="s">
        <v>151</v>
      </c>
      <c r="AC1806" t="s">
        <v>160</v>
      </c>
      <c r="AD1806" t="s">
        <v>278</v>
      </c>
      <c r="AE1806" t="str">
        <f>IF(AF1806="","",VLOOKUP(AC1806,mapel!$A$2:$B$42,2,FALSE))</f>
        <v>B.Ing</v>
      </c>
      <c r="AF1806">
        <f t="shared" si="84"/>
        <v>60</v>
      </c>
      <c r="AG1806" t="str">
        <f>IF(AF1806="","",IF(AF1806&gt;90,"Sangat baik",IF(AF1806&gt;79,"Baik",IF(AF1806&gt;=pub_gid_0_single_true_output_csv[[#This Row],[KKM]],"Cukup","Kurang"))))</f>
        <v>Kurang</v>
      </c>
      <c r="AH1806">
        <f t="shared" si="85"/>
        <v>12</v>
      </c>
      <c r="AI1806" s="30" t="str">
        <f>IF(OR(J1806&lt;&gt;"Karakter",pub_gid_0_single_true_output_csv[[#This Row],[Nilai2]]=""),"",IF(AF1806&gt;89,"Sangat baik",IF(AF1806&gt;79,"Baik",IF(AF1806&gt;69,"Cukup",IF(AF1806&gt;59,"Kurang","Sangat kurang")))))</f>
        <v>Kurang</v>
      </c>
      <c r="AJ1806" t="str">
        <f t="shared" si="86"/>
        <v>Wk.3</v>
      </c>
      <c r="AK1806" t="str">
        <f>IF(pub_gid_0_single_true_output_csv[[#This Row],[Nilai2]]="","",VLOOKUP(pub_gid_0_single_true_output_csv[[#This Row],[NAMA]],Table7[],3,FALSE))</f>
        <v>Average</v>
      </c>
    </row>
    <row r="1807" spans="1:37" x14ac:dyDescent="0.2">
      <c r="A1807">
        <v>1806</v>
      </c>
      <c r="B1807" t="s">
        <v>314</v>
      </c>
      <c r="C1807" t="s">
        <v>65</v>
      </c>
      <c r="D1807" t="s">
        <v>58</v>
      </c>
      <c r="E1807" t="s">
        <v>140</v>
      </c>
      <c r="F1807" s="25">
        <v>46048</v>
      </c>
      <c r="G1807" t="s">
        <v>371</v>
      </c>
      <c r="H1807" t="s">
        <v>405</v>
      </c>
      <c r="I1807" t="s">
        <v>371</v>
      </c>
      <c r="J1807" t="s">
        <v>36</v>
      </c>
      <c r="K1807" t="s">
        <v>37</v>
      </c>
      <c r="L1807" t="s">
        <v>383</v>
      </c>
      <c r="M1807" t="s">
        <v>141</v>
      </c>
      <c r="N1807" t="s">
        <v>142</v>
      </c>
      <c r="O1807" t="s">
        <v>327</v>
      </c>
      <c r="P1807" t="s">
        <v>281</v>
      </c>
      <c r="Q1807" t="s">
        <v>328</v>
      </c>
      <c r="R1807" t="s">
        <v>329</v>
      </c>
      <c r="S1807" t="s">
        <v>388</v>
      </c>
      <c r="T1807">
        <v>3</v>
      </c>
      <c r="U1807" t="s">
        <v>389</v>
      </c>
      <c r="V1807" t="s">
        <v>381</v>
      </c>
      <c r="W1807" t="s">
        <v>390</v>
      </c>
      <c r="X1807" t="s">
        <v>331</v>
      </c>
      <c r="Y1807" t="s">
        <v>307</v>
      </c>
      <c r="Z1807">
        <v>70</v>
      </c>
      <c r="AA1807">
        <v>60</v>
      </c>
      <c r="AB1807" t="s">
        <v>151</v>
      </c>
      <c r="AC1807" t="s">
        <v>160</v>
      </c>
      <c r="AD1807" t="s">
        <v>278</v>
      </c>
      <c r="AE1807" t="str">
        <f>IF(AF1807="","",VLOOKUP(AC1807,mapel!$A$2:$B$42,2,FALSE))</f>
        <v>B.Ing</v>
      </c>
      <c r="AF1807">
        <f t="shared" si="84"/>
        <v>60</v>
      </c>
      <c r="AG1807" t="str">
        <f>IF(AF1807="","",IF(AF1807&gt;90,"Sangat baik",IF(AF1807&gt;79,"Baik",IF(AF1807&gt;=pub_gid_0_single_true_output_csv[[#This Row],[KKM]],"Cukup","Kurang"))))</f>
        <v>Kurang</v>
      </c>
      <c r="AH1807">
        <f t="shared" si="85"/>
        <v>12</v>
      </c>
      <c r="AI1807" s="30" t="str">
        <f>IF(OR(J1807&lt;&gt;"Karakter",pub_gid_0_single_true_output_csv[[#This Row],[Nilai2]]=""),"",IF(AF1807&gt;89,"Sangat baik",IF(AF1807&gt;79,"Baik",IF(AF1807&gt;69,"Cukup",IF(AF1807&gt;59,"Kurang","Sangat kurang")))))</f>
        <v/>
      </c>
      <c r="AJ1807" t="str">
        <f t="shared" si="86"/>
        <v>Wk.5</v>
      </c>
      <c r="AK1807" t="str">
        <f>IF(pub_gid_0_single_true_output_csv[[#This Row],[Nilai2]]="","",VLOOKUP(pub_gid_0_single_true_output_csv[[#This Row],[NAMA]],Table7[],3,FALSE))</f>
        <v>Average</v>
      </c>
    </row>
    <row r="1808" spans="1:37" x14ac:dyDescent="0.2">
      <c r="A1808">
        <v>1807</v>
      </c>
      <c r="B1808" t="s">
        <v>314</v>
      </c>
      <c r="C1808" t="s">
        <v>65</v>
      </c>
      <c r="D1808" t="s">
        <v>58</v>
      </c>
      <c r="E1808" t="s">
        <v>140</v>
      </c>
      <c r="F1808" s="25">
        <v>46048</v>
      </c>
      <c r="G1808" t="s">
        <v>371</v>
      </c>
      <c r="H1808" t="s">
        <v>405</v>
      </c>
      <c r="I1808" t="s">
        <v>371</v>
      </c>
      <c r="J1808" t="s">
        <v>41</v>
      </c>
      <c r="K1808" t="s">
        <v>365</v>
      </c>
      <c r="L1808" t="s">
        <v>383</v>
      </c>
      <c r="M1808" t="s">
        <v>141</v>
      </c>
      <c r="N1808" t="s">
        <v>142</v>
      </c>
      <c r="O1808" t="s">
        <v>327</v>
      </c>
      <c r="P1808" t="s">
        <v>281</v>
      </c>
      <c r="Q1808" t="s">
        <v>328</v>
      </c>
      <c r="R1808" t="s">
        <v>329</v>
      </c>
      <c r="S1808" t="s">
        <v>388</v>
      </c>
      <c r="T1808">
        <v>3</v>
      </c>
      <c r="U1808" t="s">
        <v>389</v>
      </c>
      <c r="V1808" t="s">
        <v>381</v>
      </c>
      <c r="W1808" t="s">
        <v>390</v>
      </c>
      <c r="X1808" t="s">
        <v>331</v>
      </c>
      <c r="Y1808" t="s">
        <v>307</v>
      </c>
      <c r="Z1808">
        <v>70</v>
      </c>
      <c r="AA1808">
        <v>60</v>
      </c>
      <c r="AB1808" t="s">
        <v>151</v>
      </c>
      <c r="AC1808" t="s">
        <v>160</v>
      </c>
      <c r="AD1808" t="s">
        <v>278</v>
      </c>
      <c r="AE1808" t="str">
        <f>IF(AF1808="","",VLOOKUP(AC1808,mapel!$A$2:$B$42,2,FALSE))</f>
        <v>B.Ing</v>
      </c>
      <c r="AF1808">
        <f t="shared" si="84"/>
        <v>60</v>
      </c>
      <c r="AG1808" t="str">
        <f>IF(AF1808="","",IF(AF1808&gt;90,"Sangat baik",IF(AF1808&gt;79,"Baik",IF(AF1808&gt;=pub_gid_0_single_true_output_csv[[#This Row],[KKM]],"Cukup","Kurang"))))</f>
        <v>Kurang</v>
      </c>
      <c r="AH1808">
        <f t="shared" si="85"/>
        <v>12</v>
      </c>
      <c r="AI1808" s="30" t="str">
        <f>IF(OR(J1808&lt;&gt;"Karakter",pub_gid_0_single_true_output_csv[[#This Row],[Nilai2]]=""),"",IF(AF1808&gt;89,"Sangat baik",IF(AF1808&gt;79,"Baik",IF(AF1808&gt;69,"Cukup",IF(AF1808&gt;59,"Kurang","Sangat kurang")))))</f>
        <v/>
      </c>
      <c r="AJ1808" t="str">
        <f t="shared" si="86"/>
        <v>Wk.5</v>
      </c>
      <c r="AK1808" t="str">
        <f>IF(pub_gid_0_single_true_output_csv[[#This Row],[Nilai2]]="","",VLOOKUP(pub_gid_0_single_true_output_csv[[#This Row],[NAMA]],Table7[],3,FALSE))</f>
        <v>Average</v>
      </c>
    </row>
    <row r="1809" spans="1:37" x14ac:dyDescent="0.2">
      <c r="A1809">
        <v>1808</v>
      </c>
      <c r="B1809" t="s">
        <v>314</v>
      </c>
      <c r="C1809" t="s">
        <v>65</v>
      </c>
      <c r="D1809" t="s">
        <v>58</v>
      </c>
      <c r="E1809" t="s">
        <v>140</v>
      </c>
      <c r="F1809" s="25">
        <v>46055</v>
      </c>
      <c r="G1809" t="s">
        <v>379</v>
      </c>
      <c r="H1809" t="s">
        <v>412</v>
      </c>
      <c r="I1809" t="s">
        <v>371</v>
      </c>
      <c r="J1809" t="s">
        <v>36</v>
      </c>
      <c r="K1809" t="s">
        <v>37</v>
      </c>
      <c r="L1809" t="s">
        <v>351</v>
      </c>
      <c r="M1809" t="s">
        <v>141</v>
      </c>
      <c r="N1809" t="s">
        <v>142</v>
      </c>
      <c r="O1809" t="s">
        <v>327</v>
      </c>
      <c r="P1809" t="s">
        <v>281</v>
      </c>
      <c r="Q1809" t="s">
        <v>328</v>
      </c>
      <c r="R1809" t="s">
        <v>329</v>
      </c>
      <c r="S1809" t="s">
        <v>388</v>
      </c>
      <c r="T1809">
        <v>3</v>
      </c>
      <c r="U1809" t="s">
        <v>389</v>
      </c>
      <c r="V1809" t="s">
        <v>381</v>
      </c>
      <c r="W1809" t="s">
        <v>390</v>
      </c>
      <c r="X1809" t="s">
        <v>331</v>
      </c>
      <c r="Y1809" t="s">
        <v>307</v>
      </c>
      <c r="Z1809">
        <v>70</v>
      </c>
      <c r="AA1809">
        <v>70</v>
      </c>
      <c r="AB1809" t="s">
        <v>143</v>
      </c>
      <c r="AC1809" t="s">
        <v>160</v>
      </c>
      <c r="AD1809" t="s">
        <v>278</v>
      </c>
      <c r="AE1809" t="str">
        <f>IF(AF1809="","",VLOOKUP(AC1809,mapel!$A$2:$B$42,2,FALSE))</f>
        <v>B.Ing</v>
      </c>
      <c r="AF1809">
        <f t="shared" si="84"/>
        <v>70</v>
      </c>
      <c r="AG1809" t="str">
        <f>IF(AF1809="","",IF(AF1809&gt;90,"Sangat baik",IF(AF1809&gt;79,"Baik",IF(AF1809&gt;=pub_gid_0_single_true_output_csv[[#This Row],[KKM]],"Cukup","Kurang"))))</f>
        <v>Cukup</v>
      </c>
      <c r="AH1809">
        <f t="shared" si="85"/>
        <v>12</v>
      </c>
      <c r="AI1809" s="30" t="str">
        <f>IF(OR(J1809&lt;&gt;"Karakter",pub_gid_0_single_true_output_csv[[#This Row],[Nilai2]]=""),"",IF(AF1809&gt;89,"Sangat baik",IF(AF1809&gt;79,"Baik",IF(AF1809&gt;69,"Cukup",IF(AF1809&gt;59,"Kurang","Sangat kurang")))))</f>
        <v/>
      </c>
      <c r="AJ1809" t="str">
        <f t="shared" si="86"/>
        <v>Wk.6</v>
      </c>
      <c r="AK1809" t="str">
        <f>IF(pub_gid_0_single_true_output_csv[[#This Row],[Nilai2]]="","",VLOOKUP(pub_gid_0_single_true_output_csv[[#This Row],[NAMA]],Table7[],3,FALSE))</f>
        <v>Average</v>
      </c>
    </row>
    <row r="1810" spans="1:37" x14ac:dyDescent="0.2">
      <c r="A1810">
        <v>1809</v>
      </c>
      <c r="B1810" t="s">
        <v>314</v>
      </c>
      <c r="C1810" t="s">
        <v>65</v>
      </c>
      <c r="D1810" t="s">
        <v>58</v>
      </c>
      <c r="E1810" t="s">
        <v>140</v>
      </c>
      <c r="F1810" s="25">
        <v>46055</v>
      </c>
      <c r="G1810" t="s">
        <v>379</v>
      </c>
      <c r="H1810" t="s">
        <v>412</v>
      </c>
      <c r="I1810" t="s">
        <v>371</v>
      </c>
      <c r="J1810" t="s">
        <v>41</v>
      </c>
      <c r="K1810" t="s">
        <v>365</v>
      </c>
      <c r="L1810" t="s">
        <v>319</v>
      </c>
      <c r="M1810" t="s">
        <v>141</v>
      </c>
      <c r="N1810" t="s">
        <v>142</v>
      </c>
      <c r="O1810" t="s">
        <v>327</v>
      </c>
      <c r="P1810" t="s">
        <v>281</v>
      </c>
      <c r="Q1810" t="s">
        <v>328</v>
      </c>
      <c r="R1810" t="s">
        <v>329</v>
      </c>
      <c r="S1810" t="s">
        <v>388</v>
      </c>
      <c r="T1810">
        <v>3</v>
      </c>
      <c r="U1810" t="s">
        <v>389</v>
      </c>
      <c r="V1810" t="s">
        <v>381</v>
      </c>
      <c r="W1810" t="s">
        <v>390</v>
      </c>
      <c r="X1810" t="s">
        <v>331</v>
      </c>
      <c r="Y1810" t="s">
        <v>307</v>
      </c>
      <c r="Z1810">
        <v>70</v>
      </c>
      <c r="AA1810">
        <v>70</v>
      </c>
      <c r="AB1810" t="s">
        <v>143</v>
      </c>
      <c r="AC1810" t="s">
        <v>160</v>
      </c>
      <c r="AD1810" t="s">
        <v>278</v>
      </c>
      <c r="AE1810" t="str">
        <f>IF(AF1810="","",VLOOKUP(AC1810,mapel!$A$2:$B$42,2,FALSE))</f>
        <v>B.Ing</v>
      </c>
      <c r="AF1810">
        <f t="shared" si="84"/>
        <v>70</v>
      </c>
      <c r="AG1810" t="str">
        <f>IF(AF1810="","",IF(AF1810&gt;90,"Sangat baik",IF(AF1810&gt;79,"Baik",IF(AF1810&gt;=pub_gid_0_single_true_output_csv[[#This Row],[KKM]],"Cukup","Kurang"))))</f>
        <v>Cukup</v>
      </c>
      <c r="AH1810">
        <f t="shared" si="85"/>
        <v>12</v>
      </c>
      <c r="AI1810" s="30" t="str">
        <f>IF(OR(J1810&lt;&gt;"Karakter",pub_gid_0_single_true_output_csv[[#This Row],[Nilai2]]=""),"",IF(AF1810&gt;89,"Sangat baik",IF(AF1810&gt;79,"Baik",IF(AF1810&gt;69,"Cukup",IF(AF1810&gt;59,"Kurang","Sangat kurang")))))</f>
        <v/>
      </c>
      <c r="AJ1810" t="str">
        <f t="shared" si="86"/>
        <v>Wk.6</v>
      </c>
      <c r="AK1810" t="str">
        <f>IF(pub_gid_0_single_true_output_csv[[#This Row],[Nilai2]]="","",VLOOKUP(pub_gid_0_single_true_output_csv[[#This Row],[NAMA]],Table7[],3,FALSE))</f>
        <v>Average</v>
      </c>
    </row>
    <row r="1811" spans="1:37" x14ac:dyDescent="0.2">
      <c r="A1811">
        <v>1810</v>
      </c>
      <c r="B1811" t="s">
        <v>314</v>
      </c>
      <c r="C1811" t="s">
        <v>65</v>
      </c>
      <c r="D1811" t="s">
        <v>58</v>
      </c>
      <c r="E1811" t="s">
        <v>140</v>
      </c>
      <c r="F1811" s="25">
        <v>46055</v>
      </c>
      <c r="G1811" t="s">
        <v>379</v>
      </c>
      <c r="H1811" t="s">
        <v>412</v>
      </c>
      <c r="I1811" t="s">
        <v>371</v>
      </c>
      <c r="J1811" t="s">
        <v>90</v>
      </c>
      <c r="K1811" t="s">
        <v>92</v>
      </c>
      <c r="L1811" t="s">
        <v>91</v>
      </c>
      <c r="M1811" t="s">
        <v>141</v>
      </c>
      <c r="N1811" t="s">
        <v>142</v>
      </c>
      <c r="O1811" t="s">
        <v>327</v>
      </c>
      <c r="P1811" t="s">
        <v>281</v>
      </c>
      <c r="Q1811" t="s">
        <v>328</v>
      </c>
      <c r="R1811" t="s">
        <v>329</v>
      </c>
      <c r="S1811" t="s">
        <v>388</v>
      </c>
      <c r="T1811">
        <v>3</v>
      </c>
      <c r="U1811" t="s">
        <v>389</v>
      </c>
      <c r="V1811" t="s">
        <v>381</v>
      </c>
      <c r="W1811" t="s">
        <v>390</v>
      </c>
      <c r="X1811" t="s">
        <v>331</v>
      </c>
      <c r="Y1811" t="s">
        <v>307</v>
      </c>
      <c r="Z1811">
        <v>70</v>
      </c>
      <c r="AA1811">
        <v>80</v>
      </c>
      <c r="AB1811" t="s">
        <v>143</v>
      </c>
      <c r="AC1811" t="s">
        <v>160</v>
      </c>
      <c r="AD1811" t="s">
        <v>278</v>
      </c>
      <c r="AE1811" t="str">
        <f>IF(AF1811="","",VLOOKUP(AC1811,mapel!$A$2:$B$42,2,FALSE))</f>
        <v>B.Ing</v>
      </c>
      <c r="AF1811">
        <f t="shared" si="84"/>
        <v>80</v>
      </c>
      <c r="AG1811" t="str">
        <f>IF(AF1811="","",IF(AF1811&gt;90,"Sangat baik",IF(AF1811&gt;79,"Baik",IF(AF1811&gt;=pub_gid_0_single_true_output_csv[[#This Row],[KKM]],"Cukup","Kurang"))))</f>
        <v>Baik</v>
      </c>
      <c r="AH1811">
        <f t="shared" si="85"/>
        <v>12</v>
      </c>
      <c r="AI1811" s="30" t="str">
        <f>IF(OR(J1811&lt;&gt;"Karakter",pub_gid_0_single_true_output_csv[[#This Row],[Nilai2]]=""),"",IF(AF1811&gt;89,"Sangat baik",IF(AF1811&gt;79,"Baik",IF(AF1811&gt;69,"Cukup",IF(AF1811&gt;59,"Kurang","Sangat kurang")))))</f>
        <v>Baik</v>
      </c>
      <c r="AJ1811" t="str">
        <f t="shared" si="86"/>
        <v>Wk.6</v>
      </c>
      <c r="AK1811" t="str">
        <f>IF(pub_gid_0_single_true_output_csv[[#This Row],[Nilai2]]="","",VLOOKUP(pub_gid_0_single_true_output_csv[[#This Row],[NAMA]],Table7[],3,FALSE))</f>
        <v>Average</v>
      </c>
    </row>
    <row r="1812" spans="1:37" x14ac:dyDescent="0.2">
      <c r="A1812">
        <v>1811</v>
      </c>
      <c r="B1812" t="s">
        <v>314</v>
      </c>
      <c r="C1812" t="s">
        <v>65</v>
      </c>
      <c r="D1812" t="s">
        <v>58</v>
      </c>
      <c r="E1812" t="s">
        <v>140</v>
      </c>
      <c r="F1812" s="25">
        <v>46055</v>
      </c>
      <c r="G1812" t="s">
        <v>379</v>
      </c>
      <c r="H1812" t="s">
        <v>412</v>
      </c>
      <c r="I1812" t="s">
        <v>371</v>
      </c>
      <c r="J1812" t="s">
        <v>279</v>
      </c>
      <c r="K1812" t="s">
        <v>280</v>
      </c>
      <c r="L1812" t="s">
        <v>351</v>
      </c>
      <c r="M1812" t="s">
        <v>141</v>
      </c>
      <c r="N1812" t="s">
        <v>142</v>
      </c>
      <c r="O1812" t="s">
        <v>327</v>
      </c>
      <c r="P1812" t="s">
        <v>281</v>
      </c>
      <c r="Q1812" t="s">
        <v>328</v>
      </c>
      <c r="R1812" t="s">
        <v>329</v>
      </c>
      <c r="S1812" t="s">
        <v>388</v>
      </c>
      <c r="T1812">
        <v>3</v>
      </c>
      <c r="U1812" t="s">
        <v>389</v>
      </c>
      <c r="V1812" t="s">
        <v>381</v>
      </c>
      <c r="W1812" t="s">
        <v>390</v>
      </c>
      <c r="X1812" t="s">
        <v>331</v>
      </c>
      <c r="Y1812" t="s">
        <v>307</v>
      </c>
      <c r="Z1812">
        <v>70</v>
      </c>
      <c r="AA1812">
        <v>75</v>
      </c>
      <c r="AB1812" t="s">
        <v>143</v>
      </c>
      <c r="AC1812" t="s">
        <v>160</v>
      </c>
      <c r="AD1812" t="s">
        <v>278</v>
      </c>
      <c r="AE1812" t="str">
        <f>IF(AF1812="","",VLOOKUP(AC1812,mapel!$A$2:$B$42,2,FALSE))</f>
        <v>B.Ing</v>
      </c>
      <c r="AF1812">
        <f t="shared" si="84"/>
        <v>75</v>
      </c>
      <c r="AG1812" t="str">
        <f>IF(AF1812="","",IF(AF1812&gt;90,"Sangat baik",IF(AF1812&gt;79,"Baik",IF(AF1812&gt;=pub_gid_0_single_true_output_csv[[#This Row],[KKM]],"Cukup","Kurang"))))</f>
        <v>Cukup</v>
      </c>
      <c r="AH1812">
        <f t="shared" si="85"/>
        <v>12</v>
      </c>
      <c r="AI1812" s="30" t="str">
        <f>IF(OR(J1812&lt;&gt;"Karakter",pub_gid_0_single_true_output_csv[[#This Row],[Nilai2]]=""),"",IF(AF1812&gt;89,"Sangat baik",IF(AF1812&gt;79,"Baik",IF(AF1812&gt;69,"Cukup",IF(AF1812&gt;59,"Kurang","Sangat kurang")))))</f>
        <v/>
      </c>
      <c r="AJ1812" t="str">
        <f t="shared" si="86"/>
        <v>Wk.6</v>
      </c>
      <c r="AK1812" t="str">
        <f>IF(pub_gid_0_single_true_output_csv[[#This Row],[Nilai2]]="","",VLOOKUP(pub_gid_0_single_true_output_csv[[#This Row],[NAMA]],Table7[],3,FALSE))</f>
        <v>Average</v>
      </c>
    </row>
    <row r="1813" spans="1:37" x14ac:dyDescent="0.2">
      <c r="A1813">
        <v>1812</v>
      </c>
      <c r="B1813" t="s">
        <v>332</v>
      </c>
      <c r="C1813" t="s">
        <v>65</v>
      </c>
      <c r="D1813" t="s">
        <v>59</v>
      </c>
      <c r="E1813" t="s">
        <v>333</v>
      </c>
      <c r="F1813" s="25">
        <v>46034</v>
      </c>
      <c r="G1813" t="s">
        <v>354</v>
      </c>
      <c r="H1813" t="s">
        <v>405</v>
      </c>
      <c r="I1813" t="s">
        <v>371</v>
      </c>
      <c r="J1813" t="s">
        <v>36</v>
      </c>
      <c r="K1813" t="s">
        <v>37</v>
      </c>
      <c r="L1813" t="s">
        <v>383</v>
      </c>
      <c r="M1813" t="s">
        <v>141</v>
      </c>
      <c r="N1813" t="s">
        <v>142</v>
      </c>
      <c r="O1813" t="s">
        <v>327</v>
      </c>
      <c r="P1813" t="s">
        <v>281</v>
      </c>
      <c r="Q1813" t="s">
        <v>328</v>
      </c>
      <c r="R1813" t="s">
        <v>329</v>
      </c>
      <c r="S1813" t="s">
        <v>388</v>
      </c>
      <c r="T1813">
        <v>3</v>
      </c>
      <c r="U1813" t="s">
        <v>389</v>
      </c>
      <c r="V1813" t="s">
        <v>381</v>
      </c>
      <c r="W1813" t="s">
        <v>390</v>
      </c>
      <c r="X1813" t="s">
        <v>331</v>
      </c>
      <c r="Y1813" t="s">
        <v>307</v>
      </c>
      <c r="Z1813">
        <v>70</v>
      </c>
      <c r="AA1813">
        <v>65</v>
      </c>
      <c r="AB1813" t="s">
        <v>151</v>
      </c>
      <c r="AC1813" t="s">
        <v>160</v>
      </c>
      <c r="AD1813" t="s">
        <v>278</v>
      </c>
      <c r="AE1813" t="str">
        <f>IF(AF1813="","",VLOOKUP(AC1813,mapel!$A$2:$B$42,2,FALSE))</f>
        <v>B.Ing</v>
      </c>
      <c r="AF1813">
        <f t="shared" si="84"/>
        <v>65</v>
      </c>
      <c r="AG1813" t="str">
        <f>IF(AF1813="","",IF(AF1813&gt;90,"Sangat baik",IF(AF1813&gt;79,"Baik",IF(AF1813&gt;=pub_gid_0_single_true_output_csv[[#This Row],[KKM]],"Cukup","Kurang"))))</f>
        <v>Kurang</v>
      </c>
      <c r="AH1813">
        <f t="shared" si="85"/>
        <v>12</v>
      </c>
      <c r="AI1813" s="30" t="str">
        <f>IF(OR(J1813&lt;&gt;"Karakter",pub_gid_0_single_true_output_csv[[#This Row],[Nilai2]]=""),"",IF(AF1813&gt;89,"Sangat baik",IF(AF1813&gt;79,"Baik",IF(AF1813&gt;69,"Cukup",IF(AF1813&gt;59,"Kurang","Sangat kurang")))))</f>
        <v/>
      </c>
      <c r="AJ1813" t="str">
        <f t="shared" si="86"/>
        <v>Wk.3</v>
      </c>
      <c r="AK1813" t="str">
        <f>IF(pub_gid_0_single_true_output_csv[[#This Row],[Nilai2]]="","",VLOOKUP(pub_gid_0_single_true_output_csv[[#This Row],[NAMA]],Table7[],3,FALSE))</f>
        <v>Superior</v>
      </c>
    </row>
    <row r="1814" spans="1:37" x14ac:dyDescent="0.2">
      <c r="A1814">
        <v>1813</v>
      </c>
      <c r="B1814" t="s">
        <v>332</v>
      </c>
      <c r="C1814" t="s">
        <v>65</v>
      </c>
      <c r="D1814" t="s">
        <v>59</v>
      </c>
      <c r="E1814" t="s">
        <v>333</v>
      </c>
      <c r="F1814" s="25">
        <v>46034</v>
      </c>
      <c r="G1814" t="s">
        <v>354</v>
      </c>
      <c r="H1814" t="s">
        <v>405</v>
      </c>
      <c r="I1814" t="s">
        <v>371</v>
      </c>
      <c r="J1814" t="s">
        <v>41</v>
      </c>
      <c r="K1814" t="s">
        <v>365</v>
      </c>
      <c r="L1814" t="s">
        <v>383</v>
      </c>
      <c r="M1814" t="s">
        <v>141</v>
      </c>
      <c r="N1814" t="s">
        <v>142</v>
      </c>
      <c r="O1814" t="s">
        <v>327</v>
      </c>
      <c r="P1814" t="s">
        <v>281</v>
      </c>
      <c r="Q1814" t="s">
        <v>328</v>
      </c>
      <c r="R1814" t="s">
        <v>329</v>
      </c>
      <c r="S1814" t="s">
        <v>388</v>
      </c>
      <c r="T1814">
        <v>3</v>
      </c>
      <c r="U1814" t="s">
        <v>389</v>
      </c>
      <c r="V1814" t="s">
        <v>381</v>
      </c>
      <c r="W1814" t="s">
        <v>390</v>
      </c>
      <c r="X1814" t="s">
        <v>331</v>
      </c>
      <c r="Y1814" t="s">
        <v>307</v>
      </c>
      <c r="Z1814">
        <v>70</v>
      </c>
      <c r="AA1814">
        <v>65</v>
      </c>
      <c r="AB1814" t="s">
        <v>151</v>
      </c>
      <c r="AC1814" t="s">
        <v>160</v>
      </c>
      <c r="AD1814" t="s">
        <v>278</v>
      </c>
      <c r="AE1814" t="str">
        <f>IF(AF1814="","",VLOOKUP(AC1814,mapel!$A$2:$B$42,2,FALSE))</f>
        <v>B.Ing</v>
      </c>
      <c r="AF1814">
        <f t="shared" si="84"/>
        <v>65</v>
      </c>
      <c r="AG1814" t="str">
        <f>IF(AF1814="","",IF(AF1814&gt;90,"Sangat baik",IF(AF1814&gt;79,"Baik",IF(AF1814&gt;=pub_gid_0_single_true_output_csv[[#This Row],[KKM]],"Cukup","Kurang"))))</f>
        <v>Kurang</v>
      </c>
      <c r="AH1814">
        <f t="shared" si="85"/>
        <v>12</v>
      </c>
      <c r="AI1814" s="30" t="str">
        <f>IF(OR(J1814&lt;&gt;"Karakter",pub_gid_0_single_true_output_csv[[#This Row],[Nilai2]]=""),"",IF(AF1814&gt;89,"Sangat baik",IF(AF1814&gt;79,"Baik",IF(AF1814&gt;69,"Cukup",IF(AF1814&gt;59,"Kurang","Sangat kurang")))))</f>
        <v/>
      </c>
      <c r="AJ1814" t="str">
        <f t="shared" si="86"/>
        <v>Wk.3</v>
      </c>
      <c r="AK1814" t="str">
        <f>IF(pub_gid_0_single_true_output_csv[[#This Row],[Nilai2]]="","",VLOOKUP(pub_gid_0_single_true_output_csv[[#This Row],[NAMA]],Table7[],3,FALSE))</f>
        <v>Superior</v>
      </c>
    </row>
    <row r="1815" spans="1:37" x14ac:dyDescent="0.2">
      <c r="A1815">
        <v>1814</v>
      </c>
      <c r="B1815" t="s">
        <v>332</v>
      </c>
      <c r="C1815" t="s">
        <v>65</v>
      </c>
      <c r="D1815" t="s">
        <v>59</v>
      </c>
      <c r="E1815" t="s">
        <v>333</v>
      </c>
      <c r="F1815" s="25">
        <v>46034</v>
      </c>
      <c r="G1815" t="s">
        <v>354</v>
      </c>
      <c r="H1815" t="s">
        <v>405</v>
      </c>
      <c r="I1815" t="s">
        <v>371</v>
      </c>
      <c r="J1815" t="s">
        <v>31</v>
      </c>
      <c r="K1815" t="s">
        <v>32</v>
      </c>
      <c r="L1815" t="s">
        <v>322</v>
      </c>
      <c r="M1815" t="s">
        <v>141</v>
      </c>
      <c r="N1815" t="s">
        <v>142</v>
      </c>
      <c r="O1815" t="s">
        <v>327</v>
      </c>
      <c r="P1815" t="s">
        <v>281</v>
      </c>
      <c r="Q1815" t="s">
        <v>328</v>
      </c>
      <c r="R1815" t="s">
        <v>329</v>
      </c>
      <c r="S1815" t="s">
        <v>388</v>
      </c>
      <c r="T1815">
        <v>3</v>
      </c>
      <c r="U1815" t="s">
        <v>389</v>
      </c>
      <c r="V1815" t="s">
        <v>381</v>
      </c>
      <c r="W1815" t="s">
        <v>390</v>
      </c>
      <c r="X1815" t="s">
        <v>331</v>
      </c>
      <c r="Y1815" t="s">
        <v>307</v>
      </c>
      <c r="Z1815">
        <v>70</v>
      </c>
      <c r="AA1815">
        <v>60</v>
      </c>
      <c r="AB1815" t="s">
        <v>151</v>
      </c>
      <c r="AC1815" t="s">
        <v>160</v>
      </c>
      <c r="AD1815" t="s">
        <v>278</v>
      </c>
      <c r="AE1815" t="str">
        <f>IF(AF1815="","",VLOOKUP(AC1815,mapel!$A$2:$B$42,2,FALSE))</f>
        <v>B.Ing</v>
      </c>
      <c r="AF1815">
        <f t="shared" si="84"/>
        <v>60</v>
      </c>
      <c r="AG1815" t="str">
        <f>IF(AF1815="","",IF(AF1815&gt;90,"Sangat baik",IF(AF1815&gt;79,"Baik",IF(AF1815&gt;=pub_gid_0_single_true_output_csv[[#This Row],[KKM]],"Cukup","Kurang"))))</f>
        <v>Kurang</v>
      </c>
      <c r="AH1815">
        <f t="shared" si="85"/>
        <v>12</v>
      </c>
      <c r="AI1815" s="30" t="str">
        <f>IF(OR(J1815&lt;&gt;"Karakter",pub_gid_0_single_true_output_csv[[#This Row],[Nilai2]]=""),"",IF(AF1815&gt;89,"Sangat baik",IF(AF1815&gt;79,"Baik",IF(AF1815&gt;69,"Cukup",IF(AF1815&gt;59,"Kurang","Sangat kurang")))))</f>
        <v/>
      </c>
      <c r="AJ1815" t="str">
        <f t="shared" si="86"/>
        <v>Wk.3</v>
      </c>
      <c r="AK1815" t="str">
        <f>IF(pub_gid_0_single_true_output_csv[[#This Row],[Nilai2]]="","",VLOOKUP(pub_gid_0_single_true_output_csv[[#This Row],[NAMA]],Table7[],3,FALSE))</f>
        <v>Superior</v>
      </c>
    </row>
    <row r="1816" spans="1:37" x14ac:dyDescent="0.2">
      <c r="A1816">
        <v>1815</v>
      </c>
      <c r="B1816" t="s">
        <v>332</v>
      </c>
      <c r="C1816" t="s">
        <v>65</v>
      </c>
      <c r="D1816" t="s">
        <v>59</v>
      </c>
      <c r="E1816" t="s">
        <v>333</v>
      </c>
      <c r="F1816" s="25">
        <v>46034</v>
      </c>
      <c r="G1816" t="s">
        <v>354</v>
      </c>
      <c r="H1816" t="s">
        <v>405</v>
      </c>
      <c r="I1816" t="s">
        <v>371</v>
      </c>
      <c r="J1816" t="s">
        <v>90</v>
      </c>
      <c r="K1816" t="s">
        <v>92</v>
      </c>
      <c r="L1816" t="s">
        <v>93</v>
      </c>
      <c r="M1816" t="s">
        <v>141</v>
      </c>
      <c r="N1816" t="s">
        <v>142</v>
      </c>
      <c r="O1816" t="s">
        <v>327</v>
      </c>
      <c r="P1816" t="s">
        <v>281</v>
      </c>
      <c r="Q1816" t="s">
        <v>328</v>
      </c>
      <c r="R1816" t="s">
        <v>329</v>
      </c>
      <c r="S1816" t="s">
        <v>388</v>
      </c>
      <c r="T1816">
        <v>3</v>
      </c>
      <c r="U1816" t="s">
        <v>389</v>
      </c>
      <c r="V1816" t="s">
        <v>381</v>
      </c>
      <c r="W1816" t="s">
        <v>390</v>
      </c>
      <c r="X1816" t="s">
        <v>331</v>
      </c>
      <c r="Y1816" t="s">
        <v>307</v>
      </c>
      <c r="Z1816">
        <v>70</v>
      </c>
      <c r="AA1816">
        <v>60</v>
      </c>
      <c r="AB1816" t="s">
        <v>151</v>
      </c>
      <c r="AC1816" t="s">
        <v>160</v>
      </c>
      <c r="AD1816" t="s">
        <v>278</v>
      </c>
      <c r="AE1816" t="str">
        <f>IF(AF1816="","",VLOOKUP(AC1816,mapel!$A$2:$B$42,2,FALSE))</f>
        <v>B.Ing</v>
      </c>
      <c r="AF1816">
        <f t="shared" si="84"/>
        <v>60</v>
      </c>
      <c r="AG1816" t="str">
        <f>IF(AF1816="","",IF(AF1816&gt;90,"Sangat baik",IF(AF1816&gt;79,"Baik",IF(AF1816&gt;=pub_gid_0_single_true_output_csv[[#This Row],[KKM]],"Cukup","Kurang"))))</f>
        <v>Kurang</v>
      </c>
      <c r="AH1816">
        <f t="shared" si="85"/>
        <v>12</v>
      </c>
      <c r="AI1816" s="30" t="str">
        <f>IF(OR(J1816&lt;&gt;"Karakter",pub_gid_0_single_true_output_csv[[#This Row],[Nilai2]]=""),"",IF(AF1816&gt;89,"Sangat baik",IF(AF1816&gt;79,"Baik",IF(AF1816&gt;69,"Cukup",IF(AF1816&gt;59,"Kurang","Sangat kurang")))))</f>
        <v>Kurang</v>
      </c>
      <c r="AJ1816" t="str">
        <f t="shared" si="86"/>
        <v>Wk.3</v>
      </c>
      <c r="AK1816" t="str">
        <f>IF(pub_gid_0_single_true_output_csv[[#This Row],[Nilai2]]="","",VLOOKUP(pub_gid_0_single_true_output_csv[[#This Row],[NAMA]],Table7[],3,FALSE))</f>
        <v>Superior</v>
      </c>
    </row>
    <row r="1817" spans="1:37" x14ac:dyDescent="0.2">
      <c r="A1817">
        <v>1816</v>
      </c>
      <c r="B1817" t="s">
        <v>332</v>
      </c>
      <c r="C1817" t="s">
        <v>65</v>
      </c>
      <c r="D1817" t="s">
        <v>59</v>
      </c>
      <c r="E1817" t="s">
        <v>333</v>
      </c>
      <c r="F1817" s="25">
        <v>46048</v>
      </c>
      <c r="G1817" t="s">
        <v>371</v>
      </c>
      <c r="H1817" t="s">
        <v>405</v>
      </c>
      <c r="I1817" t="s">
        <v>371</v>
      </c>
      <c r="J1817" t="s">
        <v>36</v>
      </c>
      <c r="K1817" t="s">
        <v>37</v>
      </c>
      <c r="L1817" t="s">
        <v>383</v>
      </c>
      <c r="M1817" t="s">
        <v>141</v>
      </c>
      <c r="N1817" t="s">
        <v>142</v>
      </c>
      <c r="O1817" t="s">
        <v>327</v>
      </c>
      <c r="P1817" t="s">
        <v>281</v>
      </c>
      <c r="Q1817" t="s">
        <v>328</v>
      </c>
      <c r="R1817" t="s">
        <v>329</v>
      </c>
      <c r="S1817" t="s">
        <v>388</v>
      </c>
      <c r="T1817">
        <v>3</v>
      </c>
      <c r="U1817" t="s">
        <v>389</v>
      </c>
      <c r="V1817" t="s">
        <v>381</v>
      </c>
      <c r="W1817" t="s">
        <v>390</v>
      </c>
      <c r="X1817" t="s">
        <v>331</v>
      </c>
      <c r="Y1817" t="s">
        <v>307</v>
      </c>
      <c r="Z1817">
        <v>70</v>
      </c>
      <c r="AA1817">
        <v>75</v>
      </c>
      <c r="AB1817" t="s">
        <v>143</v>
      </c>
      <c r="AC1817" t="s">
        <v>160</v>
      </c>
      <c r="AD1817" t="s">
        <v>278</v>
      </c>
      <c r="AE1817" t="str">
        <f>IF(AF1817="","",VLOOKUP(AC1817,mapel!$A$2:$B$42,2,FALSE))</f>
        <v>B.Ing</v>
      </c>
      <c r="AF1817">
        <f t="shared" si="84"/>
        <v>75</v>
      </c>
      <c r="AG1817" t="str">
        <f>IF(AF1817="","",IF(AF1817&gt;90,"Sangat baik",IF(AF1817&gt;79,"Baik",IF(AF1817&gt;=pub_gid_0_single_true_output_csv[[#This Row],[KKM]],"Cukup","Kurang"))))</f>
        <v>Cukup</v>
      </c>
      <c r="AH1817">
        <f t="shared" si="85"/>
        <v>12</v>
      </c>
      <c r="AI1817" s="30" t="str">
        <f>IF(OR(J1817&lt;&gt;"Karakter",pub_gid_0_single_true_output_csv[[#This Row],[Nilai2]]=""),"",IF(AF1817&gt;89,"Sangat baik",IF(AF1817&gt;79,"Baik",IF(AF1817&gt;69,"Cukup",IF(AF1817&gt;59,"Kurang","Sangat kurang")))))</f>
        <v/>
      </c>
      <c r="AJ1817" t="str">
        <f t="shared" si="86"/>
        <v>Wk.5</v>
      </c>
      <c r="AK1817" t="str">
        <f>IF(pub_gid_0_single_true_output_csv[[#This Row],[Nilai2]]="","",VLOOKUP(pub_gid_0_single_true_output_csv[[#This Row],[NAMA]],Table7[],3,FALSE))</f>
        <v>Superior</v>
      </c>
    </row>
    <row r="1818" spans="1:37" x14ac:dyDescent="0.2">
      <c r="A1818">
        <v>1817</v>
      </c>
      <c r="B1818" t="s">
        <v>332</v>
      </c>
      <c r="C1818" t="s">
        <v>65</v>
      </c>
      <c r="D1818" t="s">
        <v>59</v>
      </c>
      <c r="E1818" t="s">
        <v>333</v>
      </c>
      <c r="F1818" s="25">
        <v>46048</v>
      </c>
      <c r="G1818" t="s">
        <v>371</v>
      </c>
      <c r="H1818" t="s">
        <v>405</v>
      </c>
      <c r="I1818" t="s">
        <v>371</v>
      </c>
      <c r="J1818" t="s">
        <v>41</v>
      </c>
      <c r="K1818" t="s">
        <v>365</v>
      </c>
      <c r="L1818" t="s">
        <v>383</v>
      </c>
      <c r="M1818" t="s">
        <v>141</v>
      </c>
      <c r="N1818" t="s">
        <v>142</v>
      </c>
      <c r="O1818" t="s">
        <v>327</v>
      </c>
      <c r="P1818" t="s">
        <v>281</v>
      </c>
      <c r="Q1818" t="s">
        <v>328</v>
      </c>
      <c r="R1818" t="s">
        <v>329</v>
      </c>
      <c r="S1818" t="s">
        <v>388</v>
      </c>
      <c r="T1818">
        <v>3</v>
      </c>
      <c r="U1818" t="s">
        <v>389</v>
      </c>
      <c r="V1818" t="s">
        <v>381</v>
      </c>
      <c r="W1818" t="s">
        <v>390</v>
      </c>
      <c r="X1818" t="s">
        <v>331</v>
      </c>
      <c r="Y1818" t="s">
        <v>307</v>
      </c>
      <c r="Z1818">
        <v>70</v>
      </c>
      <c r="AA1818">
        <v>75</v>
      </c>
      <c r="AB1818" t="s">
        <v>143</v>
      </c>
      <c r="AC1818" t="s">
        <v>160</v>
      </c>
      <c r="AD1818" t="s">
        <v>278</v>
      </c>
      <c r="AE1818" t="str">
        <f>IF(AF1818="","",VLOOKUP(AC1818,mapel!$A$2:$B$42,2,FALSE))</f>
        <v>B.Ing</v>
      </c>
      <c r="AF1818">
        <f t="shared" si="84"/>
        <v>75</v>
      </c>
      <c r="AG1818" t="str">
        <f>IF(AF1818="","",IF(AF1818&gt;90,"Sangat baik",IF(AF1818&gt;79,"Baik",IF(AF1818&gt;=pub_gid_0_single_true_output_csv[[#This Row],[KKM]],"Cukup","Kurang"))))</f>
        <v>Cukup</v>
      </c>
      <c r="AH1818">
        <f t="shared" si="85"/>
        <v>12</v>
      </c>
      <c r="AI1818" s="30" t="str">
        <f>IF(OR(J1818&lt;&gt;"Karakter",pub_gid_0_single_true_output_csv[[#This Row],[Nilai2]]=""),"",IF(AF1818&gt;89,"Sangat baik",IF(AF1818&gt;79,"Baik",IF(AF1818&gt;69,"Cukup",IF(AF1818&gt;59,"Kurang","Sangat kurang")))))</f>
        <v/>
      </c>
      <c r="AJ1818" t="str">
        <f t="shared" si="86"/>
        <v>Wk.5</v>
      </c>
      <c r="AK1818" t="str">
        <f>IF(pub_gid_0_single_true_output_csv[[#This Row],[Nilai2]]="","",VLOOKUP(pub_gid_0_single_true_output_csv[[#This Row],[NAMA]],Table7[],3,FALSE))</f>
        <v>Superior</v>
      </c>
    </row>
    <row r="1819" spans="1:37" x14ac:dyDescent="0.2">
      <c r="A1819">
        <v>1818</v>
      </c>
      <c r="B1819" t="s">
        <v>332</v>
      </c>
      <c r="C1819" t="s">
        <v>65</v>
      </c>
      <c r="D1819" t="s">
        <v>59</v>
      </c>
      <c r="E1819" t="s">
        <v>333</v>
      </c>
      <c r="F1819" s="25">
        <v>46055</v>
      </c>
      <c r="G1819" t="s">
        <v>379</v>
      </c>
      <c r="H1819" t="s">
        <v>412</v>
      </c>
      <c r="I1819" t="s">
        <v>371</v>
      </c>
      <c r="J1819" t="s">
        <v>36</v>
      </c>
      <c r="K1819" t="s">
        <v>37</v>
      </c>
      <c r="L1819" t="s">
        <v>351</v>
      </c>
      <c r="M1819" t="s">
        <v>141</v>
      </c>
      <c r="N1819" t="s">
        <v>142</v>
      </c>
      <c r="O1819" t="s">
        <v>327</v>
      </c>
      <c r="P1819" t="s">
        <v>281</v>
      </c>
      <c r="Q1819" t="s">
        <v>328</v>
      </c>
      <c r="R1819" t="s">
        <v>329</v>
      </c>
      <c r="S1819" t="s">
        <v>388</v>
      </c>
      <c r="T1819">
        <v>3</v>
      </c>
      <c r="U1819" t="s">
        <v>389</v>
      </c>
      <c r="V1819" t="s">
        <v>381</v>
      </c>
      <c r="W1819" t="s">
        <v>390</v>
      </c>
      <c r="X1819" t="s">
        <v>331</v>
      </c>
      <c r="Y1819" t="s">
        <v>307</v>
      </c>
      <c r="Z1819">
        <v>70</v>
      </c>
      <c r="AA1819">
        <v>78</v>
      </c>
      <c r="AB1819" t="s">
        <v>143</v>
      </c>
      <c r="AC1819" t="s">
        <v>160</v>
      </c>
      <c r="AD1819" t="s">
        <v>278</v>
      </c>
      <c r="AE1819" t="str">
        <f>IF(AF1819="","",VLOOKUP(AC1819,mapel!$A$2:$B$42,2,FALSE))</f>
        <v>B.Ing</v>
      </c>
      <c r="AF1819">
        <f t="shared" si="84"/>
        <v>78</v>
      </c>
      <c r="AG1819" t="str">
        <f>IF(AF1819="","",IF(AF1819&gt;90,"Sangat baik",IF(AF1819&gt;79,"Baik",IF(AF1819&gt;=pub_gid_0_single_true_output_csv[[#This Row],[KKM]],"Cukup","Kurang"))))</f>
        <v>Cukup</v>
      </c>
      <c r="AH1819">
        <f t="shared" si="85"/>
        <v>12</v>
      </c>
      <c r="AI1819" s="30" t="str">
        <f>IF(OR(J1819&lt;&gt;"Karakter",pub_gid_0_single_true_output_csv[[#This Row],[Nilai2]]=""),"",IF(AF1819&gt;89,"Sangat baik",IF(AF1819&gt;79,"Baik",IF(AF1819&gt;69,"Cukup",IF(AF1819&gt;59,"Kurang","Sangat kurang")))))</f>
        <v/>
      </c>
      <c r="AJ1819" t="str">
        <f t="shared" si="86"/>
        <v>Wk.6</v>
      </c>
      <c r="AK1819" t="str">
        <f>IF(pub_gid_0_single_true_output_csv[[#This Row],[Nilai2]]="","",VLOOKUP(pub_gid_0_single_true_output_csv[[#This Row],[NAMA]],Table7[],3,FALSE))</f>
        <v>Superior</v>
      </c>
    </row>
    <row r="1820" spans="1:37" x14ac:dyDescent="0.2">
      <c r="A1820">
        <v>1819</v>
      </c>
      <c r="B1820" t="s">
        <v>332</v>
      </c>
      <c r="C1820" t="s">
        <v>65</v>
      </c>
      <c r="D1820" t="s">
        <v>59</v>
      </c>
      <c r="E1820" t="s">
        <v>333</v>
      </c>
      <c r="F1820" s="25">
        <v>46055</v>
      </c>
      <c r="G1820" t="s">
        <v>379</v>
      </c>
      <c r="H1820" t="s">
        <v>412</v>
      </c>
      <c r="I1820" t="s">
        <v>371</v>
      </c>
      <c r="J1820" t="s">
        <v>41</v>
      </c>
      <c r="K1820" t="s">
        <v>365</v>
      </c>
      <c r="L1820" t="s">
        <v>319</v>
      </c>
      <c r="M1820" t="s">
        <v>141</v>
      </c>
      <c r="N1820" t="s">
        <v>142</v>
      </c>
      <c r="O1820" t="s">
        <v>327</v>
      </c>
      <c r="P1820" t="s">
        <v>281</v>
      </c>
      <c r="Q1820" t="s">
        <v>328</v>
      </c>
      <c r="R1820" t="s">
        <v>329</v>
      </c>
      <c r="S1820" t="s">
        <v>388</v>
      </c>
      <c r="T1820">
        <v>3</v>
      </c>
      <c r="U1820" t="s">
        <v>389</v>
      </c>
      <c r="V1820" t="s">
        <v>381</v>
      </c>
      <c r="W1820" t="s">
        <v>390</v>
      </c>
      <c r="X1820" t="s">
        <v>331</v>
      </c>
      <c r="Y1820" t="s">
        <v>307</v>
      </c>
      <c r="Z1820">
        <v>70</v>
      </c>
      <c r="AA1820">
        <v>78</v>
      </c>
      <c r="AB1820" t="s">
        <v>143</v>
      </c>
      <c r="AC1820" t="s">
        <v>160</v>
      </c>
      <c r="AD1820" t="s">
        <v>278</v>
      </c>
      <c r="AE1820" t="str">
        <f>IF(AF1820="","",VLOOKUP(AC1820,mapel!$A$2:$B$42,2,FALSE))</f>
        <v>B.Ing</v>
      </c>
      <c r="AF1820">
        <f t="shared" si="84"/>
        <v>78</v>
      </c>
      <c r="AG1820" t="str">
        <f>IF(AF1820="","",IF(AF1820&gt;90,"Sangat baik",IF(AF1820&gt;79,"Baik",IF(AF1820&gt;=pub_gid_0_single_true_output_csv[[#This Row],[KKM]],"Cukup","Kurang"))))</f>
        <v>Cukup</v>
      </c>
      <c r="AH1820">
        <f t="shared" si="85"/>
        <v>12</v>
      </c>
      <c r="AI1820" s="30" t="str">
        <f>IF(OR(J1820&lt;&gt;"Karakter",pub_gid_0_single_true_output_csv[[#This Row],[Nilai2]]=""),"",IF(AF1820&gt;89,"Sangat baik",IF(AF1820&gt;79,"Baik",IF(AF1820&gt;69,"Cukup",IF(AF1820&gt;59,"Kurang","Sangat kurang")))))</f>
        <v/>
      </c>
      <c r="AJ1820" t="str">
        <f t="shared" si="86"/>
        <v>Wk.6</v>
      </c>
      <c r="AK1820" t="str">
        <f>IF(pub_gid_0_single_true_output_csv[[#This Row],[Nilai2]]="","",VLOOKUP(pub_gid_0_single_true_output_csv[[#This Row],[NAMA]],Table7[],3,FALSE))</f>
        <v>Superior</v>
      </c>
    </row>
    <row r="1821" spans="1:37" x14ac:dyDescent="0.2">
      <c r="A1821">
        <v>1820</v>
      </c>
      <c r="B1821" t="s">
        <v>332</v>
      </c>
      <c r="C1821" t="s">
        <v>65</v>
      </c>
      <c r="D1821" t="s">
        <v>59</v>
      </c>
      <c r="E1821" t="s">
        <v>333</v>
      </c>
      <c r="F1821" s="25">
        <v>46055</v>
      </c>
      <c r="G1821" t="s">
        <v>379</v>
      </c>
      <c r="H1821" t="s">
        <v>412</v>
      </c>
      <c r="I1821" t="s">
        <v>371</v>
      </c>
      <c r="J1821" t="s">
        <v>90</v>
      </c>
      <c r="K1821" t="s">
        <v>92</v>
      </c>
      <c r="L1821" t="s">
        <v>91</v>
      </c>
      <c r="M1821" t="s">
        <v>141</v>
      </c>
      <c r="N1821" t="s">
        <v>142</v>
      </c>
      <c r="O1821" t="s">
        <v>327</v>
      </c>
      <c r="P1821" t="s">
        <v>281</v>
      </c>
      <c r="Q1821" t="s">
        <v>328</v>
      </c>
      <c r="R1821" t="s">
        <v>329</v>
      </c>
      <c r="S1821" t="s">
        <v>388</v>
      </c>
      <c r="T1821">
        <v>3</v>
      </c>
      <c r="U1821" t="s">
        <v>389</v>
      </c>
      <c r="V1821" t="s">
        <v>381</v>
      </c>
      <c r="W1821" t="s">
        <v>390</v>
      </c>
      <c r="X1821" t="s">
        <v>331</v>
      </c>
      <c r="Y1821" t="s">
        <v>307</v>
      </c>
      <c r="Z1821">
        <v>70</v>
      </c>
      <c r="AA1821">
        <v>80</v>
      </c>
      <c r="AB1821" t="s">
        <v>143</v>
      </c>
      <c r="AC1821" t="s">
        <v>160</v>
      </c>
      <c r="AD1821" t="s">
        <v>278</v>
      </c>
      <c r="AE1821" t="str">
        <f>IF(AF1821="","",VLOOKUP(AC1821,mapel!$A$2:$B$42,2,FALSE))</f>
        <v>B.Ing</v>
      </c>
      <c r="AF1821">
        <f t="shared" si="84"/>
        <v>80</v>
      </c>
      <c r="AG1821" t="str">
        <f>IF(AF1821="","",IF(AF1821&gt;90,"Sangat baik",IF(AF1821&gt;79,"Baik",IF(AF1821&gt;=pub_gid_0_single_true_output_csv[[#This Row],[KKM]],"Cukup","Kurang"))))</f>
        <v>Baik</v>
      </c>
      <c r="AH1821">
        <f t="shared" si="85"/>
        <v>12</v>
      </c>
      <c r="AI1821" s="30" t="str">
        <f>IF(OR(J1821&lt;&gt;"Karakter",pub_gid_0_single_true_output_csv[[#This Row],[Nilai2]]=""),"",IF(AF1821&gt;89,"Sangat baik",IF(AF1821&gt;79,"Baik",IF(AF1821&gt;69,"Cukup",IF(AF1821&gt;59,"Kurang","Sangat kurang")))))</f>
        <v>Baik</v>
      </c>
      <c r="AJ1821" t="str">
        <f t="shared" si="86"/>
        <v>Wk.6</v>
      </c>
      <c r="AK1821" t="str">
        <f>IF(pub_gid_0_single_true_output_csv[[#This Row],[Nilai2]]="","",VLOOKUP(pub_gid_0_single_true_output_csv[[#This Row],[NAMA]],Table7[],3,FALSE))</f>
        <v>Superior</v>
      </c>
    </row>
    <row r="1822" spans="1:37" x14ac:dyDescent="0.2">
      <c r="A1822">
        <v>1821</v>
      </c>
      <c r="B1822" t="s">
        <v>332</v>
      </c>
      <c r="C1822" t="s">
        <v>65</v>
      </c>
      <c r="D1822" t="s">
        <v>59</v>
      </c>
      <c r="E1822" t="s">
        <v>333</v>
      </c>
      <c r="F1822" s="25">
        <v>46055</v>
      </c>
      <c r="G1822" t="s">
        <v>379</v>
      </c>
      <c r="H1822" t="s">
        <v>412</v>
      </c>
      <c r="I1822" t="s">
        <v>371</v>
      </c>
      <c r="J1822" t="s">
        <v>279</v>
      </c>
      <c r="K1822" t="s">
        <v>280</v>
      </c>
      <c r="L1822" t="s">
        <v>351</v>
      </c>
      <c r="M1822" t="s">
        <v>141</v>
      </c>
      <c r="N1822" t="s">
        <v>142</v>
      </c>
      <c r="O1822" t="s">
        <v>327</v>
      </c>
      <c r="P1822" t="s">
        <v>281</v>
      </c>
      <c r="Q1822" t="s">
        <v>328</v>
      </c>
      <c r="R1822" t="s">
        <v>329</v>
      </c>
      <c r="S1822" t="s">
        <v>388</v>
      </c>
      <c r="T1822">
        <v>3</v>
      </c>
      <c r="U1822" t="s">
        <v>389</v>
      </c>
      <c r="V1822" t="s">
        <v>381</v>
      </c>
      <c r="W1822" t="s">
        <v>390</v>
      </c>
      <c r="X1822" t="s">
        <v>331</v>
      </c>
      <c r="Y1822" t="s">
        <v>307</v>
      </c>
      <c r="Z1822">
        <v>70</v>
      </c>
      <c r="AA1822">
        <v>75</v>
      </c>
      <c r="AB1822" t="s">
        <v>143</v>
      </c>
      <c r="AC1822" t="s">
        <v>160</v>
      </c>
      <c r="AD1822" t="s">
        <v>278</v>
      </c>
      <c r="AE1822" t="str">
        <f>IF(AF1822="","",VLOOKUP(AC1822,mapel!$A$2:$B$42,2,FALSE))</f>
        <v>B.Ing</v>
      </c>
      <c r="AF1822">
        <f t="shared" si="84"/>
        <v>75</v>
      </c>
      <c r="AG1822" t="str">
        <f>IF(AF1822="","",IF(AF1822&gt;90,"Sangat baik",IF(AF1822&gt;79,"Baik",IF(AF1822&gt;=pub_gid_0_single_true_output_csv[[#This Row],[KKM]],"Cukup","Kurang"))))</f>
        <v>Cukup</v>
      </c>
      <c r="AH1822">
        <f t="shared" si="85"/>
        <v>12</v>
      </c>
      <c r="AI1822" s="30" t="str">
        <f>IF(OR(J1822&lt;&gt;"Karakter",pub_gid_0_single_true_output_csv[[#This Row],[Nilai2]]=""),"",IF(AF1822&gt;89,"Sangat baik",IF(AF1822&gt;79,"Baik",IF(AF1822&gt;69,"Cukup",IF(AF1822&gt;59,"Kurang","Sangat kurang")))))</f>
        <v/>
      </c>
      <c r="AJ1822" t="str">
        <f t="shared" si="86"/>
        <v>Wk.6</v>
      </c>
      <c r="AK1822" t="str">
        <f>IF(pub_gid_0_single_true_output_csv[[#This Row],[Nilai2]]="","",VLOOKUP(pub_gid_0_single_true_output_csv[[#This Row],[NAMA]],Table7[],3,FALSE))</f>
        <v>Superior</v>
      </c>
    </row>
    <row r="1823" spans="1:37" x14ac:dyDescent="0.2">
      <c r="A1823">
        <v>1822</v>
      </c>
      <c r="B1823" t="s">
        <v>315</v>
      </c>
      <c r="C1823" t="s">
        <v>65</v>
      </c>
      <c r="D1823" t="s">
        <v>60</v>
      </c>
      <c r="E1823" t="s">
        <v>140</v>
      </c>
      <c r="F1823" s="25">
        <v>46034</v>
      </c>
      <c r="G1823" t="s">
        <v>354</v>
      </c>
      <c r="H1823" t="s">
        <v>405</v>
      </c>
      <c r="I1823" t="s">
        <v>371</v>
      </c>
      <c r="J1823" t="s">
        <v>36</v>
      </c>
      <c r="K1823" t="s">
        <v>37</v>
      </c>
      <c r="L1823" t="s">
        <v>383</v>
      </c>
      <c r="M1823" t="s">
        <v>141</v>
      </c>
      <c r="N1823" t="s">
        <v>142</v>
      </c>
      <c r="O1823" t="s">
        <v>327</v>
      </c>
      <c r="P1823" t="s">
        <v>281</v>
      </c>
      <c r="Q1823" t="s">
        <v>328</v>
      </c>
      <c r="R1823" t="s">
        <v>329</v>
      </c>
      <c r="S1823" t="s">
        <v>388</v>
      </c>
      <c r="T1823">
        <v>3</v>
      </c>
      <c r="U1823" t="s">
        <v>389</v>
      </c>
      <c r="V1823" t="s">
        <v>381</v>
      </c>
      <c r="W1823" t="s">
        <v>390</v>
      </c>
      <c r="X1823" t="s">
        <v>331</v>
      </c>
      <c r="Y1823" t="s">
        <v>307</v>
      </c>
      <c r="Z1823">
        <v>70</v>
      </c>
      <c r="AA1823">
        <v>65</v>
      </c>
      <c r="AB1823" t="s">
        <v>151</v>
      </c>
      <c r="AC1823" t="s">
        <v>160</v>
      </c>
      <c r="AD1823" t="s">
        <v>278</v>
      </c>
      <c r="AE1823" t="str">
        <f>IF(AF1823="","",VLOOKUP(AC1823,mapel!$A$2:$B$42,2,FALSE))</f>
        <v>B.Ing</v>
      </c>
      <c r="AF1823">
        <f t="shared" si="84"/>
        <v>65</v>
      </c>
      <c r="AG1823" t="str">
        <f>IF(AF1823="","",IF(AF1823&gt;90,"Sangat baik",IF(AF1823&gt;79,"Baik",IF(AF1823&gt;=pub_gid_0_single_true_output_csv[[#This Row],[KKM]],"Cukup","Kurang"))))</f>
        <v>Kurang</v>
      </c>
      <c r="AH1823">
        <f t="shared" si="85"/>
        <v>12</v>
      </c>
      <c r="AI1823" s="30" t="str">
        <f>IF(OR(J1823&lt;&gt;"Karakter",pub_gid_0_single_true_output_csv[[#This Row],[Nilai2]]=""),"",IF(AF1823&gt;89,"Sangat baik",IF(AF1823&gt;79,"Baik",IF(AF1823&gt;69,"Cukup",IF(AF1823&gt;59,"Kurang","Sangat kurang")))))</f>
        <v/>
      </c>
      <c r="AJ1823" t="str">
        <f t="shared" si="86"/>
        <v>Wk.3</v>
      </c>
      <c r="AK1823" t="str">
        <f>IF(pub_gid_0_single_true_output_csv[[#This Row],[Nilai2]]="","",VLOOKUP(pub_gid_0_single_true_output_csv[[#This Row],[NAMA]],Table7[],3,FALSE))</f>
        <v>High average</v>
      </c>
    </row>
    <row r="1824" spans="1:37" x14ac:dyDescent="0.2">
      <c r="A1824">
        <v>1823</v>
      </c>
      <c r="B1824" t="s">
        <v>315</v>
      </c>
      <c r="C1824" t="s">
        <v>65</v>
      </c>
      <c r="D1824" t="s">
        <v>60</v>
      </c>
      <c r="E1824" t="s">
        <v>140</v>
      </c>
      <c r="F1824" s="25">
        <v>46034</v>
      </c>
      <c r="G1824" t="s">
        <v>354</v>
      </c>
      <c r="H1824" t="s">
        <v>405</v>
      </c>
      <c r="I1824" t="s">
        <v>371</v>
      </c>
      <c r="J1824" t="s">
        <v>41</v>
      </c>
      <c r="K1824" t="s">
        <v>365</v>
      </c>
      <c r="L1824" t="s">
        <v>383</v>
      </c>
      <c r="M1824" t="s">
        <v>141</v>
      </c>
      <c r="N1824" t="s">
        <v>142</v>
      </c>
      <c r="O1824" t="s">
        <v>327</v>
      </c>
      <c r="P1824" t="s">
        <v>281</v>
      </c>
      <c r="Q1824" t="s">
        <v>328</v>
      </c>
      <c r="R1824" t="s">
        <v>329</v>
      </c>
      <c r="S1824" t="s">
        <v>388</v>
      </c>
      <c r="T1824">
        <v>3</v>
      </c>
      <c r="U1824" t="s">
        <v>389</v>
      </c>
      <c r="V1824" t="s">
        <v>381</v>
      </c>
      <c r="W1824" t="s">
        <v>390</v>
      </c>
      <c r="X1824" t="s">
        <v>331</v>
      </c>
      <c r="Y1824" t="s">
        <v>307</v>
      </c>
      <c r="Z1824">
        <v>70</v>
      </c>
      <c r="AA1824">
        <v>65</v>
      </c>
      <c r="AB1824" t="s">
        <v>151</v>
      </c>
      <c r="AC1824" t="s">
        <v>160</v>
      </c>
      <c r="AD1824" t="s">
        <v>278</v>
      </c>
      <c r="AE1824" t="str">
        <f>IF(AF1824="","",VLOOKUP(AC1824,mapel!$A$2:$B$42,2,FALSE))</f>
        <v>B.Ing</v>
      </c>
      <c r="AF1824">
        <f t="shared" si="84"/>
        <v>65</v>
      </c>
      <c r="AG1824" t="str">
        <f>IF(AF1824="","",IF(AF1824&gt;90,"Sangat baik",IF(AF1824&gt;79,"Baik",IF(AF1824&gt;=pub_gid_0_single_true_output_csv[[#This Row],[KKM]],"Cukup","Kurang"))))</f>
        <v>Kurang</v>
      </c>
      <c r="AH1824">
        <f t="shared" si="85"/>
        <v>12</v>
      </c>
      <c r="AI1824" s="30" t="str">
        <f>IF(OR(J1824&lt;&gt;"Karakter",pub_gid_0_single_true_output_csv[[#This Row],[Nilai2]]=""),"",IF(AF1824&gt;89,"Sangat baik",IF(AF1824&gt;79,"Baik",IF(AF1824&gt;69,"Cukup",IF(AF1824&gt;59,"Kurang","Sangat kurang")))))</f>
        <v/>
      </c>
      <c r="AJ1824" t="str">
        <f t="shared" si="86"/>
        <v>Wk.3</v>
      </c>
      <c r="AK1824" t="str">
        <f>IF(pub_gid_0_single_true_output_csv[[#This Row],[Nilai2]]="","",VLOOKUP(pub_gid_0_single_true_output_csv[[#This Row],[NAMA]],Table7[],3,FALSE))</f>
        <v>High average</v>
      </c>
    </row>
    <row r="1825" spans="1:37" x14ac:dyDescent="0.2">
      <c r="A1825">
        <v>1824</v>
      </c>
      <c r="B1825" t="s">
        <v>315</v>
      </c>
      <c r="C1825" t="s">
        <v>65</v>
      </c>
      <c r="D1825" t="s">
        <v>60</v>
      </c>
      <c r="E1825" t="s">
        <v>140</v>
      </c>
      <c r="F1825" s="25">
        <v>46034</v>
      </c>
      <c r="G1825" t="s">
        <v>354</v>
      </c>
      <c r="H1825" t="s">
        <v>405</v>
      </c>
      <c r="I1825" t="s">
        <v>371</v>
      </c>
      <c r="J1825" t="s">
        <v>31</v>
      </c>
      <c r="K1825" t="s">
        <v>32</v>
      </c>
      <c r="L1825" t="s">
        <v>322</v>
      </c>
      <c r="M1825" t="s">
        <v>141</v>
      </c>
      <c r="N1825" t="s">
        <v>142</v>
      </c>
      <c r="O1825" t="s">
        <v>327</v>
      </c>
      <c r="P1825" t="s">
        <v>281</v>
      </c>
      <c r="Q1825" t="s">
        <v>328</v>
      </c>
      <c r="R1825" t="s">
        <v>329</v>
      </c>
      <c r="S1825" t="s">
        <v>388</v>
      </c>
      <c r="T1825">
        <v>3</v>
      </c>
      <c r="U1825" t="s">
        <v>389</v>
      </c>
      <c r="V1825" t="s">
        <v>381</v>
      </c>
      <c r="W1825" t="s">
        <v>390</v>
      </c>
      <c r="X1825" t="s">
        <v>331</v>
      </c>
      <c r="Y1825" t="s">
        <v>307</v>
      </c>
      <c r="Z1825">
        <v>70</v>
      </c>
      <c r="AA1825">
        <v>60</v>
      </c>
      <c r="AB1825" t="s">
        <v>151</v>
      </c>
      <c r="AC1825" t="s">
        <v>160</v>
      </c>
      <c r="AD1825" t="s">
        <v>278</v>
      </c>
      <c r="AE1825" t="str">
        <f>IF(AF1825="","",VLOOKUP(AC1825,mapel!$A$2:$B$42,2,FALSE))</f>
        <v>B.Ing</v>
      </c>
      <c r="AF1825">
        <f t="shared" si="84"/>
        <v>60</v>
      </c>
      <c r="AG1825" t="str">
        <f>IF(AF1825="","",IF(AF1825&gt;90,"Sangat baik",IF(AF1825&gt;79,"Baik",IF(AF1825&gt;=pub_gid_0_single_true_output_csv[[#This Row],[KKM]],"Cukup","Kurang"))))</f>
        <v>Kurang</v>
      </c>
      <c r="AH1825">
        <f t="shared" si="85"/>
        <v>12</v>
      </c>
      <c r="AI1825" s="30" t="str">
        <f>IF(OR(J1825&lt;&gt;"Karakter",pub_gid_0_single_true_output_csv[[#This Row],[Nilai2]]=""),"",IF(AF1825&gt;89,"Sangat baik",IF(AF1825&gt;79,"Baik",IF(AF1825&gt;69,"Cukup",IF(AF1825&gt;59,"Kurang","Sangat kurang")))))</f>
        <v/>
      </c>
      <c r="AJ1825" t="str">
        <f t="shared" si="86"/>
        <v>Wk.3</v>
      </c>
      <c r="AK1825" t="str">
        <f>IF(pub_gid_0_single_true_output_csv[[#This Row],[Nilai2]]="","",VLOOKUP(pub_gid_0_single_true_output_csv[[#This Row],[NAMA]],Table7[],3,FALSE))</f>
        <v>High average</v>
      </c>
    </row>
    <row r="1826" spans="1:37" x14ac:dyDescent="0.2">
      <c r="A1826">
        <v>1825</v>
      </c>
      <c r="B1826" t="s">
        <v>315</v>
      </c>
      <c r="C1826" t="s">
        <v>65</v>
      </c>
      <c r="D1826" t="s">
        <v>60</v>
      </c>
      <c r="E1826" t="s">
        <v>140</v>
      </c>
      <c r="F1826" s="25">
        <v>46034</v>
      </c>
      <c r="G1826" t="s">
        <v>354</v>
      </c>
      <c r="H1826" t="s">
        <v>405</v>
      </c>
      <c r="I1826" t="s">
        <v>371</v>
      </c>
      <c r="J1826" t="s">
        <v>90</v>
      </c>
      <c r="K1826" t="s">
        <v>92</v>
      </c>
      <c r="L1826" t="s">
        <v>93</v>
      </c>
      <c r="M1826" t="s">
        <v>141</v>
      </c>
      <c r="N1826" t="s">
        <v>142</v>
      </c>
      <c r="O1826" t="s">
        <v>327</v>
      </c>
      <c r="P1826" t="s">
        <v>281</v>
      </c>
      <c r="Q1826" t="s">
        <v>328</v>
      </c>
      <c r="R1826" t="s">
        <v>329</v>
      </c>
      <c r="S1826" t="s">
        <v>388</v>
      </c>
      <c r="T1826">
        <v>3</v>
      </c>
      <c r="U1826" t="s">
        <v>389</v>
      </c>
      <c r="V1826" t="s">
        <v>381</v>
      </c>
      <c r="W1826" t="s">
        <v>390</v>
      </c>
      <c r="X1826" t="s">
        <v>331</v>
      </c>
      <c r="Y1826" t="s">
        <v>307</v>
      </c>
      <c r="Z1826">
        <v>70</v>
      </c>
      <c r="AA1826">
        <v>60</v>
      </c>
      <c r="AB1826" t="s">
        <v>151</v>
      </c>
      <c r="AC1826" t="s">
        <v>160</v>
      </c>
      <c r="AD1826" t="s">
        <v>278</v>
      </c>
      <c r="AE1826" t="str">
        <f>IF(AF1826="","",VLOOKUP(AC1826,mapel!$A$2:$B$42,2,FALSE))</f>
        <v>B.Ing</v>
      </c>
      <c r="AF1826">
        <f t="shared" si="84"/>
        <v>60</v>
      </c>
      <c r="AG1826" t="str">
        <f>IF(AF1826="","",IF(AF1826&gt;90,"Sangat baik",IF(AF1826&gt;79,"Baik",IF(AF1826&gt;=pub_gid_0_single_true_output_csv[[#This Row],[KKM]],"Cukup","Kurang"))))</f>
        <v>Kurang</v>
      </c>
      <c r="AH1826">
        <f t="shared" si="85"/>
        <v>12</v>
      </c>
      <c r="AI1826" s="30" t="str">
        <f>IF(OR(J1826&lt;&gt;"Karakter",pub_gid_0_single_true_output_csv[[#This Row],[Nilai2]]=""),"",IF(AF1826&gt;89,"Sangat baik",IF(AF1826&gt;79,"Baik",IF(AF1826&gt;69,"Cukup",IF(AF1826&gt;59,"Kurang","Sangat kurang")))))</f>
        <v>Kurang</v>
      </c>
      <c r="AJ1826" t="str">
        <f t="shared" si="86"/>
        <v>Wk.3</v>
      </c>
      <c r="AK1826" t="str">
        <f>IF(pub_gid_0_single_true_output_csv[[#This Row],[Nilai2]]="","",VLOOKUP(pub_gid_0_single_true_output_csv[[#This Row],[NAMA]],Table7[],3,FALSE))</f>
        <v>High average</v>
      </c>
    </row>
    <row r="1827" spans="1:37" x14ac:dyDescent="0.2">
      <c r="A1827">
        <v>1826</v>
      </c>
      <c r="B1827" t="s">
        <v>315</v>
      </c>
      <c r="C1827" t="s">
        <v>65</v>
      </c>
      <c r="D1827" t="s">
        <v>60</v>
      </c>
      <c r="E1827" t="s">
        <v>140</v>
      </c>
      <c r="F1827" s="25">
        <v>46048</v>
      </c>
      <c r="G1827" t="s">
        <v>371</v>
      </c>
      <c r="H1827" t="s">
        <v>405</v>
      </c>
      <c r="I1827" t="s">
        <v>371</v>
      </c>
      <c r="J1827" t="s">
        <v>36</v>
      </c>
      <c r="K1827" t="s">
        <v>37</v>
      </c>
      <c r="L1827" t="s">
        <v>383</v>
      </c>
      <c r="M1827" t="s">
        <v>141</v>
      </c>
      <c r="N1827" t="s">
        <v>142</v>
      </c>
      <c r="O1827" t="s">
        <v>327</v>
      </c>
      <c r="P1827" t="s">
        <v>281</v>
      </c>
      <c r="Q1827" t="s">
        <v>328</v>
      </c>
      <c r="R1827" t="s">
        <v>329</v>
      </c>
      <c r="S1827" t="s">
        <v>388</v>
      </c>
      <c r="T1827">
        <v>3</v>
      </c>
      <c r="U1827" t="s">
        <v>389</v>
      </c>
      <c r="V1827" t="s">
        <v>381</v>
      </c>
      <c r="W1827" t="s">
        <v>390</v>
      </c>
      <c r="X1827" t="s">
        <v>331</v>
      </c>
      <c r="Y1827" t="s">
        <v>307</v>
      </c>
      <c r="Z1827">
        <v>70</v>
      </c>
      <c r="AA1827">
        <v>70</v>
      </c>
      <c r="AB1827" t="s">
        <v>143</v>
      </c>
      <c r="AC1827" t="s">
        <v>160</v>
      </c>
      <c r="AD1827" t="s">
        <v>278</v>
      </c>
      <c r="AE1827" t="str">
        <f>IF(AF1827="","",VLOOKUP(AC1827,mapel!$A$2:$B$42,2,FALSE))</f>
        <v>B.Ing</v>
      </c>
      <c r="AF1827">
        <f t="shared" si="84"/>
        <v>70</v>
      </c>
      <c r="AG1827" t="str">
        <f>IF(AF1827="","",IF(AF1827&gt;90,"Sangat baik",IF(AF1827&gt;79,"Baik",IF(AF1827&gt;=pub_gid_0_single_true_output_csv[[#This Row],[KKM]],"Cukup","Kurang"))))</f>
        <v>Cukup</v>
      </c>
      <c r="AH1827">
        <f t="shared" si="85"/>
        <v>12</v>
      </c>
      <c r="AI1827" s="30" t="str">
        <f>IF(OR(J1827&lt;&gt;"Karakter",pub_gid_0_single_true_output_csv[[#This Row],[Nilai2]]=""),"",IF(AF1827&gt;89,"Sangat baik",IF(AF1827&gt;79,"Baik",IF(AF1827&gt;69,"Cukup",IF(AF1827&gt;59,"Kurang","Sangat kurang")))))</f>
        <v/>
      </c>
      <c r="AJ1827" t="str">
        <f t="shared" si="86"/>
        <v>Wk.5</v>
      </c>
      <c r="AK1827" t="str">
        <f>IF(pub_gid_0_single_true_output_csv[[#This Row],[Nilai2]]="","",VLOOKUP(pub_gid_0_single_true_output_csv[[#This Row],[NAMA]],Table7[],3,FALSE))</f>
        <v>High average</v>
      </c>
    </row>
    <row r="1828" spans="1:37" x14ac:dyDescent="0.2">
      <c r="A1828">
        <v>1827</v>
      </c>
      <c r="B1828" t="s">
        <v>315</v>
      </c>
      <c r="C1828" t="s">
        <v>65</v>
      </c>
      <c r="D1828" t="s">
        <v>60</v>
      </c>
      <c r="E1828" t="s">
        <v>140</v>
      </c>
      <c r="F1828" s="25">
        <v>46048</v>
      </c>
      <c r="G1828" t="s">
        <v>371</v>
      </c>
      <c r="H1828" t="s">
        <v>405</v>
      </c>
      <c r="I1828" t="s">
        <v>371</v>
      </c>
      <c r="J1828" t="s">
        <v>41</v>
      </c>
      <c r="K1828" t="s">
        <v>365</v>
      </c>
      <c r="L1828" t="s">
        <v>383</v>
      </c>
      <c r="M1828" t="s">
        <v>141</v>
      </c>
      <c r="N1828" t="s">
        <v>142</v>
      </c>
      <c r="O1828" t="s">
        <v>327</v>
      </c>
      <c r="P1828" t="s">
        <v>281</v>
      </c>
      <c r="Q1828" t="s">
        <v>328</v>
      </c>
      <c r="R1828" t="s">
        <v>329</v>
      </c>
      <c r="S1828" t="s">
        <v>388</v>
      </c>
      <c r="T1828">
        <v>3</v>
      </c>
      <c r="U1828" t="s">
        <v>389</v>
      </c>
      <c r="V1828" t="s">
        <v>381</v>
      </c>
      <c r="W1828" t="s">
        <v>390</v>
      </c>
      <c r="X1828" t="s">
        <v>331</v>
      </c>
      <c r="Y1828" t="s">
        <v>307</v>
      </c>
      <c r="Z1828">
        <v>70</v>
      </c>
      <c r="AA1828">
        <v>70</v>
      </c>
      <c r="AB1828" t="s">
        <v>143</v>
      </c>
      <c r="AC1828" t="s">
        <v>160</v>
      </c>
      <c r="AD1828" t="s">
        <v>278</v>
      </c>
      <c r="AE1828" t="str">
        <f>IF(AF1828="","",VLOOKUP(AC1828,mapel!$A$2:$B$42,2,FALSE))</f>
        <v>B.Ing</v>
      </c>
      <c r="AF1828">
        <f t="shared" si="84"/>
        <v>70</v>
      </c>
      <c r="AG1828" t="str">
        <f>IF(AF1828="","",IF(AF1828&gt;90,"Sangat baik",IF(AF1828&gt;79,"Baik",IF(AF1828&gt;=pub_gid_0_single_true_output_csv[[#This Row],[KKM]],"Cukup","Kurang"))))</f>
        <v>Cukup</v>
      </c>
      <c r="AH1828">
        <f t="shared" si="85"/>
        <v>12</v>
      </c>
      <c r="AI1828" s="30" t="str">
        <f>IF(OR(J1828&lt;&gt;"Karakter",pub_gid_0_single_true_output_csv[[#This Row],[Nilai2]]=""),"",IF(AF1828&gt;89,"Sangat baik",IF(AF1828&gt;79,"Baik",IF(AF1828&gt;69,"Cukup",IF(AF1828&gt;59,"Kurang","Sangat kurang")))))</f>
        <v/>
      </c>
      <c r="AJ1828" t="str">
        <f t="shared" si="86"/>
        <v>Wk.5</v>
      </c>
      <c r="AK1828" t="str">
        <f>IF(pub_gid_0_single_true_output_csv[[#This Row],[Nilai2]]="","",VLOOKUP(pub_gid_0_single_true_output_csv[[#This Row],[NAMA]],Table7[],3,FALSE))</f>
        <v>High average</v>
      </c>
    </row>
    <row r="1829" spans="1:37" x14ac:dyDescent="0.2">
      <c r="A1829">
        <v>1828</v>
      </c>
      <c r="B1829" t="s">
        <v>315</v>
      </c>
      <c r="C1829" t="s">
        <v>65</v>
      </c>
      <c r="D1829" t="s">
        <v>60</v>
      </c>
      <c r="E1829" t="s">
        <v>140</v>
      </c>
      <c r="F1829" s="25">
        <v>46055</v>
      </c>
      <c r="G1829" t="s">
        <v>379</v>
      </c>
      <c r="H1829" t="s">
        <v>412</v>
      </c>
      <c r="I1829" t="s">
        <v>371</v>
      </c>
      <c r="J1829" t="s">
        <v>36</v>
      </c>
      <c r="K1829" t="s">
        <v>37</v>
      </c>
      <c r="L1829" t="s">
        <v>351</v>
      </c>
      <c r="M1829" t="s">
        <v>141</v>
      </c>
      <c r="N1829" t="s">
        <v>142</v>
      </c>
      <c r="O1829" t="s">
        <v>327</v>
      </c>
      <c r="P1829" t="s">
        <v>281</v>
      </c>
      <c r="Q1829" t="s">
        <v>328</v>
      </c>
      <c r="R1829" t="s">
        <v>329</v>
      </c>
      <c r="S1829" t="s">
        <v>388</v>
      </c>
      <c r="T1829">
        <v>3</v>
      </c>
      <c r="U1829" t="s">
        <v>389</v>
      </c>
      <c r="V1829" t="s">
        <v>381</v>
      </c>
      <c r="W1829" t="s">
        <v>390</v>
      </c>
      <c r="X1829" t="s">
        <v>331</v>
      </c>
      <c r="Y1829" t="s">
        <v>307</v>
      </c>
      <c r="Z1829">
        <v>70</v>
      </c>
      <c r="AA1829">
        <v>75</v>
      </c>
      <c r="AB1829" t="s">
        <v>143</v>
      </c>
      <c r="AC1829" t="s">
        <v>160</v>
      </c>
      <c r="AD1829" t="s">
        <v>278</v>
      </c>
      <c r="AE1829" t="str">
        <f>IF(AF1829="","",VLOOKUP(AC1829,mapel!$A$2:$B$42,2,FALSE))</f>
        <v>B.Ing</v>
      </c>
      <c r="AF1829">
        <f t="shared" si="84"/>
        <v>75</v>
      </c>
      <c r="AG1829" t="str">
        <f>IF(AF1829="","",IF(AF1829&gt;90,"Sangat baik",IF(AF1829&gt;79,"Baik",IF(AF1829&gt;=pub_gid_0_single_true_output_csv[[#This Row],[KKM]],"Cukup","Kurang"))))</f>
        <v>Cukup</v>
      </c>
      <c r="AH1829">
        <f t="shared" si="85"/>
        <v>12</v>
      </c>
      <c r="AI1829" s="30" t="str">
        <f>IF(OR(J1829&lt;&gt;"Karakter",pub_gid_0_single_true_output_csv[[#This Row],[Nilai2]]=""),"",IF(AF1829&gt;89,"Sangat baik",IF(AF1829&gt;79,"Baik",IF(AF1829&gt;69,"Cukup",IF(AF1829&gt;59,"Kurang","Sangat kurang")))))</f>
        <v/>
      </c>
      <c r="AJ1829" t="str">
        <f t="shared" si="86"/>
        <v>Wk.6</v>
      </c>
      <c r="AK1829" t="str">
        <f>IF(pub_gid_0_single_true_output_csv[[#This Row],[Nilai2]]="","",VLOOKUP(pub_gid_0_single_true_output_csv[[#This Row],[NAMA]],Table7[],3,FALSE))</f>
        <v>High average</v>
      </c>
    </row>
    <row r="1830" spans="1:37" x14ac:dyDescent="0.2">
      <c r="A1830">
        <v>1829</v>
      </c>
      <c r="B1830" t="s">
        <v>315</v>
      </c>
      <c r="C1830" t="s">
        <v>65</v>
      </c>
      <c r="D1830" t="s">
        <v>60</v>
      </c>
      <c r="E1830" t="s">
        <v>140</v>
      </c>
      <c r="F1830" s="25">
        <v>46055</v>
      </c>
      <c r="G1830" t="s">
        <v>379</v>
      </c>
      <c r="H1830" t="s">
        <v>412</v>
      </c>
      <c r="I1830" t="s">
        <v>371</v>
      </c>
      <c r="J1830" t="s">
        <v>41</v>
      </c>
      <c r="K1830" t="s">
        <v>365</v>
      </c>
      <c r="L1830" t="s">
        <v>319</v>
      </c>
      <c r="M1830" t="s">
        <v>141</v>
      </c>
      <c r="N1830" t="s">
        <v>142</v>
      </c>
      <c r="O1830" t="s">
        <v>327</v>
      </c>
      <c r="P1830" t="s">
        <v>281</v>
      </c>
      <c r="Q1830" t="s">
        <v>328</v>
      </c>
      <c r="R1830" t="s">
        <v>329</v>
      </c>
      <c r="S1830" t="s">
        <v>388</v>
      </c>
      <c r="T1830">
        <v>3</v>
      </c>
      <c r="U1830" t="s">
        <v>389</v>
      </c>
      <c r="V1830" t="s">
        <v>381</v>
      </c>
      <c r="W1830" t="s">
        <v>390</v>
      </c>
      <c r="X1830" t="s">
        <v>331</v>
      </c>
      <c r="Y1830" t="s">
        <v>307</v>
      </c>
      <c r="Z1830">
        <v>70</v>
      </c>
      <c r="AA1830">
        <v>75</v>
      </c>
      <c r="AB1830" t="s">
        <v>143</v>
      </c>
      <c r="AC1830" t="s">
        <v>160</v>
      </c>
      <c r="AD1830" t="s">
        <v>278</v>
      </c>
      <c r="AE1830" t="str">
        <f>IF(AF1830="","",VLOOKUP(AC1830,mapel!$A$2:$B$42,2,FALSE))</f>
        <v>B.Ing</v>
      </c>
      <c r="AF1830">
        <f t="shared" si="84"/>
        <v>75</v>
      </c>
      <c r="AG1830" t="str">
        <f>IF(AF1830="","",IF(AF1830&gt;90,"Sangat baik",IF(AF1830&gt;79,"Baik",IF(AF1830&gt;=pub_gid_0_single_true_output_csv[[#This Row],[KKM]],"Cukup","Kurang"))))</f>
        <v>Cukup</v>
      </c>
      <c r="AH1830">
        <f t="shared" si="85"/>
        <v>12</v>
      </c>
      <c r="AI1830" s="30" t="str">
        <f>IF(OR(J1830&lt;&gt;"Karakter",pub_gid_0_single_true_output_csv[[#This Row],[Nilai2]]=""),"",IF(AF1830&gt;89,"Sangat baik",IF(AF1830&gt;79,"Baik",IF(AF1830&gt;69,"Cukup",IF(AF1830&gt;59,"Kurang","Sangat kurang")))))</f>
        <v/>
      </c>
      <c r="AJ1830" t="str">
        <f t="shared" si="86"/>
        <v>Wk.6</v>
      </c>
      <c r="AK1830" t="str">
        <f>IF(pub_gid_0_single_true_output_csv[[#This Row],[Nilai2]]="","",VLOOKUP(pub_gid_0_single_true_output_csv[[#This Row],[NAMA]],Table7[],3,FALSE))</f>
        <v>High average</v>
      </c>
    </row>
    <row r="1831" spans="1:37" x14ac:dyDescent="0.2">
      <c r="A1831">
        <v>1830</v>
      </c>
      <c r="B1831" t="s">
        <v>315</v>
      </c>
      <c r="C1831" t="s">
        <v>65</v>
      </c>
      <c r="D1831" t="s">
        <v>60</v>
      </c>
      <c r="E1831" t="s">
        <v>140</v>
      </c>
      <c r="F1831" s="25">
        <v>46055</v>
      </c>
      <c r="G1831" t="s">
        <v>379</v>
      </c>
      <c r="H1831" t="s">
        <v>412</v>
      </c>
      <c r="I1831" t="s">
        <v>371</v>
      </c>
      <c r="J1831" t="s">
        <v>90</v>
      </c>
      <c r="K1831" t="s">
        <v>92</v>
      </c>
      <c r="L1831" t="s">
        <v>91</v>
      </c>
      <c r="M1831" t="s">
        <v>141</v>
      </c>
      <c r="N1831" t="s">
        <v>142</v>
      </c>
      <c r="O1831" t="s">
        <v>327</v>
      </c>
      <c r="P1831" t="s">
        <v>281</v>
      </c>
      <c r="Q1831" t="s">
        <v>328</v>
      </c>
      <c r="R1831" t="s">
        <v>329</v>
      </c>
      <c r="S1831" t="s">
        <v>388</v>
      </c>
      <c r="T1831">
        <v>3</v>
      </c>
      <c r="U1831" t="s">
        <v>389</v>
      </c>
      <c r="V1831" t="s">
        <v>381</v>
      </c>
      <c r="W1831" t="s">
        <v>390</v>
      </c>
      <c r="X1831" t="s">
        <v>331</v>
      </c>
      <c r="Y1831" t="s">
        <v>307</v>
      </c>
      <c r="Z1831">
        <v>70</v>
      </c>
      <c r="AA1831">
        <v>50</v>
      </c>
      <c r="AB1831" t="s">
        <v>151</v>
      </c>
      <c r="AC1831" t="s">
        <v>160</v>
      </c>
      <c r="AD1831" t="s">
        <v>278</v>
      </c>
      <c r="AE1831" t="str">
        <f>IF(AF1831="","",VLOOKUP(AC1831,mapel!$A$2:$B$42,2,FALSE))</f>
        <v>B.Ing</v>
      </c>
      <c r="AF1831">
        <f t="shared" si="84"/>
        <v>50</v>
      </c>
      <c r="AG1831" t="str">
        <f>IF(AF1831="","",IF(AF1831&gt;90,"Sangat baik",IF(AF1831&gt;79,"Baik",IF(AF1831&gt;=pub_gid_0_single_true_output_csv[[#This Row],[KKM]],"Cukup","Kurang"))))</f>
        <v>Kurang</v>
      </c>
      <c r="AH1831">
        <f t="shared" si="85"/>
        <v>12</v>
      </c>
      <c r="AI1831" s="30" t="str">
        <f>IF(OR(J1831&lt;&gt;"Karakter",pub_gid_0_single_true_output_csv[[#This Row],[Nilai2]]=""),"",IF(AF1831&gt;89,"Sangat baik",IF(AF1831&gt;79,"Baik",IF(AF1831&gt;69,"Cukup",IF(AF1831&gt;59,"Kurang","Sangat kurang")))))</f>
        <v>Sangat kurang</v>
      </c>
      <c r="AJ1831" t="str">
        <f t="shared" si="86"/>
        <v>Wk.6</v>
      </c>
      <c r="AK1831" t="str">
        <f>IF(pub_gid_0_single_true_output_csv[[#This Row],[Nilai2]]="","",VLOOKUP(pub_gid_0_single_true_output_csv[[#This Row],[NAMA]],Table7[],3,FALSE))</f>
        <v>High average</v>
      </c>
    </row>
    <row r="1832" spans="1:37" x14ac:dyDescent="0.2">
      <c r="A1832">
        <v>1831</v>
      </c>
      <c r="B1832" t="s">
        <v>315</v>
      </c>
      <c r="C1832" t="s">
        <v>65</v>
      </c>
      <c r="D1832" t="s">
        <v>60</v>
      </c>
      <c r="E1832" t="s">
        <v>140</v>
      </c>
      <c r="F1832" s="25">
        <v>46055</v>
      </c>
      <c r="G1832" t="s">
        <v>379</v>
      </c>
      <c r="H1832" t="s">
        <v>412</v>
      </c>
      <c r="I1832" t="s">
        <v>371</v>
      </c>
      <c r="J1832" t="s">
        <v>279</v>
      </c>
      <c r="K1832" t="s">
        <v>280</v>
      </c>
      <c r="L1832" t="s">
        <v>351</v>
      </c>
      <c r="M1832" t="s">
        <v>141</v>
      </c>
      <c r="N1832" t="s">
        <v>142</v>
      </c>
      <c r="O1832" t="s">
        <v>327</v>
      </c>
      <c r="P1832" t="s">
        <v>281</v>
      </c>
      <c r="Q1832" t="s">
        <v>328</v>
      </c>
      <c r="R1832" t="s">
        <v>329</v>
      </c>
      <c r="S1832" t="s">
        <v>388</v>
      </c>
      <c r="T1832">
        <v>3</v>
      </c>
      <c r="U1832" t="s">
        <v>389</v>
      </c>
      <c r="V1832" t="s">
        <v>381</v>
      </c>
      <c r="W1832" t="s">
        <v>390</v>
      </c>
      <c r="X1832" t="s">
        <v>331</v>
      </c>
      <c r="Y1832" t="s">
        <v>307</v>
      </c>
      <c r="Z1832">
        <v>70</v>
      </c>
      <c r="AA1832">
        <v>60</v>
      </c>
      <c r="AB1832" t="s">
        <v>151</v>
      </c>
      <c r="AC1832" t="s">
        <v>160</v>
      </c>
      <c r="AD1832" t="s">
        <v>278</v>
      </c>
      <c r="AE1832" t="str">
        <f>IF(AF1832="","",VLOOKUP(AC1832,mapel!$A$2:$B$42,2,FALSE))</f>
        <v>B.Ing</v>
      </c>
      <c r="AF1832">
        <f t="shared" si="84"/>
        <v>60</v>
      </c>
      <c r="AG1832" t="str">
        <f>IF(AF1832="","",IF(AF1832&gt;90,"Sangat baik",IF(AF1832&gt;79,"Baik",IF(AF1832&gt;=pub_gid_0_single_true_output_csv[[#This Row],[KKM]],"Cukup","Kurang"))))</f>
        <v>Kurang</v>
      </c>
      <c r="AH1832">
        <f t="shared" si="85"/>
        <v>12</v>
      </c>
      <c r="AI1832" s="30" t="str">
        <f>IF(OR(J1832&lt;&gt;"Karakter",pub_gid_0_single_true_output_csv[[#This Row],[Nilai2]]=""),"",IF(AF1832&gt;89,"Sangat baik",IF(AF1832&gt;79,"Baik",IF(AF1832&gt;69,"Cukup",IF(AF1832&gt;59,"Kurang","Sangat kurang")))))</f>
        <v/>
      </c>
      <c r="AJ1832" t="str">
        <f t="shared" si="86"/>
        <v>Wk.6</v>
      </c>
      <c r="AK1832" t="str">
        <f>IF(pub_gid_0_single_true_output_csv[[#This Row],[Nilai2]]="","",VLOOKUP(pub_gid_0_single_true_output_csv[[#This Row],[NAMA]],Table7[],3,FALSE))</f>
        <v>High average</v>
      </c>
    </row>
    <row r="1833" spans="1:37" x14ac:dyDescent="0.2">
      <c r="A1833">
        <v>1832</v>
      </c>
      <c r="B1833" t="s">
        <v>316</v>
      </c>
      <c r="C1833" t="s">
        <v>65</v>
      </c>
      <c r="D1833" t="s">
        <v>61</v>
      </c>
      <c r="E1833" t="s">
        <v>140</v>
      </c>
      <c r="F1833" s="25">
        <v>46034</v>
      </c>
      <c r="G1833" t="s">
        <v>354</v>
      </c>
      <c r="H1833" t="s">
        <v>405</v>
      </c>
      <c r="I1833" t="s">
        <v>371</v>
      </c>
      <c r="J1833" t="s">
        <v>36</v>
      </c>
      <c r="K1833" t="s">
        <v>37</v>
      </c>
      <c r="L1833" t="s">
        <v>383</v>
      </c>
      <c r="M1833" t="s">
        <v>141</v>
      </c>
      <c r="N1833" t="s">
        <v>142</v>
      </c>
      <c r="O1833" t="s">
        <v>327</v>
      </c>
      <c r="P1833" t="s">
        <v>281</v>
      </c>
      <c r="Q1833" t="s">
        <v>328</v>
      </c>
      <c r="R1833" t="s">
        <v>329</v>
      </c>
      <c r="S1833" t="s">
        <v>388</v>
      </c>
      <c r="T1833">
        <v>3</v>
      </c>
      <c r="U1833" t="s">
        <v>389</v>
      </c>
      <c r="V1833" t="s">
        <v>381</v>
      </c>
      <c r="W1833" t="s">
        <v>390</v>
      </c>
      <c r="X1833" t="s">
        <v>331</v>
      </c>
      <c r="Y1833" t="s">
        <v>307</v>
      </c>
      <c r="Z1833">
        <v>70</v>
      </c>
      <c r="AA1833">
        <v>70</v>
      </c>
      <c r="AB1833" t="s">
        <v>143</v>
      </c>
      <c r="AC1833" t="s">
        <v>160</v>
      </c>
      <c r="AD1833" t="s">
        <v>278</v>
      </c>
      <c r="AE1833" t="str">
        <f>IF(AF1833="","",VLOOKUP(AC1833,mapel!$A$2:$B$42,2,FALSE))</f>
        <v>B.Ing</v>
      </c>
      <c r="AF1833">
        <f t="shared" si="84"/>
        <v>70</v>
      </c>
      <c r="AG1833" t="str">
        <f>IF(AF1833="","",IF(AF1833&gt;90,"Sangat baik",IF(AF1833&gt;79,"Baik",IF(AF1833&gt;=pub_gid_0_single_true_output_csv[[#This Row],[KKM]],"Cukup","Kurang"))))</f>
        <v>Cukup</v>
      </c>
      <c r="AH1833">
        <f t="shared" si="85"/>
        <v>12</v>
      </c>
      <c r="AI1833" s="30" t="str">
        <f>IF(OR(J1833&lt;&gt;"Karakter",pub_gid_0_single_true_output_csv[[#This Row],[Nilai2]]=""),"",IF(AF1833&gt;89,"Sangat baik",IF(AF1833&gt;79,"Baik",IF(AF1833&gt;69,"Cukup",IF(AF1833&gt;59,"Kurang","Sangat kurang")))))</f>
        <v/>
      </c>
      <c r="AJ1833" t="str">
        <f t="shared" si="86"/>
        <v>Wk.3</v>
      </c>
      <c r="AK1833" t="str">
        <f>IF(pub_gid_0_single_true_output_csv[[#This Row],[Nilai2]]="","",VLOOKUP(pub_gid_0_single_true_output_csv[[#This Row],[NAMA]],Table7[],3,FALSE))</f>
        <v>Average</v>
      </c>
    </row>
    <row r="1834" spans="1:37" x14ac:dyDescent="0.2">
      <c r="A1834">
        <v>1833</v>
      </c>
      <c r="B1834" t="s">
        <v>316</v>
      </c>
      <c r="C1834" t="s">
        <v>65</v>
      </c>
      <c r="D1834" t="s">
        <v>61</v>
      </c>
      <c r="E1834" t="s">
        <v>140</v>
      </c>
      <c r="F1834" s="25">
        <v>46034</v>
      </c>
      <c r="G1834" t="s">
        <v>354</v>
      </c>
      <c r="H1834" t="s">
        <v>405</v>
      </c>
      <c r="I1834" t="s">
        <v>371</v>
      </c>
      <c r="J1834" t="s">
        <v>41</v>
      </c>
      <c r="K1834" t="s">
        <v>365</v>
      </c>
      <c r="L1834" t="s">
        <v>383</v>
      </c>
      <c r="M1834" t="s">
        <v>141</v>
      </c>
      <c r="N1834" t="s">
        <v>142</v>
      </c>
      <c r="O1834" t="s">
        <v>327</v>
      </c>
      <c r="P1834" t="s">
        <v>281</v>
      </c>
      <c r="Q1834" t="s">
        <v>328</v>
      </c>
      <c r="R1834" t="s">
        <v>329</v>
      </c>
      <c r="S1834" t="s">
        <v>388</v>
      </c>
      <c r="T1834">
        <v>3</v>
      </c>
      <c r="U1834" t="s">
        <v>389</v>
      </c>
      <c r="V1834" t="s">
        <v>381</v>
      </c>
      <c r="W1834" t="s">
        <v>390</v>
      </c>
      <c r="X1834" t="s">
        <v>331</v>
      </c>
      <c r="Y1834" t="s">
        <v>307</v>
      </c>
      <c r="Z1834">
        <v>70</v>
      </c>
      <c r="AA1834">
        <v>70</v>
      </c>
      <c r="AB1834" t="s">
        <v>143</v>
      </c>
      <c r="AC1834" t="s">
        <v>160</v>
      </c>
      <c r="AD1834" t="s">
        <v>278</v>
      </c>
      <c r="AE1834" t="str">
        <f>IF(AF1834="","",VLOOKUP(AC1834,mapel!$A$2:$B$42,2,FALSE))</f>
        <v>B.Ing</v>
      </c>
      <c r="AF1834">
        <f t="shared" si="84"/>
        <v>70</v>
      </c>
      <c r="AG1834" t="str">
        <f>IF(AF1834="","",IF(AF1834&gt;90,"Sangat baik",IF(AF1834&gt;79,"Baik",IF(AF1834&gt;=pub_gid_0_single_true_output_csv[[#This Row],[KKM]],"Cukup","Kurang"))))</f>
        <v>Cukup</v>
      </c>
      <c r="AH1834">
        <f t="shared" si="85"/>
        <v>12</v>
      </c>
      <c r="AI1834" s="30" t="str">
        <f>IF(OR(J1834&lt;&gt;"Karakter",pub_gid_0_single_true_output_csv[[#This Row],[Nilai2]]=""),"",IF(AF1834&gt;89,"Sangat baik",IF(AF1834&gt;79,"Baik",IF(AF1834&gt;69,"Cukup",IF(AF1834&gt;59,"Kurang","Sangat kurang")))))</f>
        <v/>
      </c>
      <c r="AJ1834" t="str">
        <f t="shared" si="86"/>
        <v>Wk.3</v>
      </c>
      <c r="AK1834" t="str">
        <f>IF(pub_gid_0_single_true_output_csv[[#This Row],[Nilai2]]="","",VLOOKUP(pub_gid_0_single_true_output_csv[[#This Row],[NAMA]],Table7[],3,FALSE))</f>
        <v>Average</v>
      </c>
    </row>
    <row r="1835" spans="1:37" x14ac:dyDescent="0.2">
      <c r="A1835">
        <v>1834</v>
      </c>
      <c r="B1835" t="s">
        <v>316</v>
      </c>
      <c r="C1835" t="s">
        <v>65</v>
      </c>
      <c r="D1835" t="s">
        <v>61</v>
      </c>
      <c r="E1835" t="s">
        <v>140</v>
      </c>
      <c r="F1835" s="25">
        <v>46034</v>
      </c>
      <c r="G1835" t="s">
        <v>354</v>
      </c>
      <c r="H1835" t="s">
        <v>405</v>
      </c>
      <c r="I1835" t="s">
        <v>371</v>
      </c>
      <c r="J1835" t="s">
        <v>31</v>
      </c>
      <c r="K1835" t="s">
        <v>32</v>
      </c>
      <c r="L1835" t="s">
        <v>322</v>
      </c>
      <c r="M1835" t="s">
        <v>141</v>
      </c>
      <c r="N1835" t="s">
        <v>142</v>
      </c>
      <c r="O1835" t="s">
        <v>327</v>
      </c>
      <c r="P1835" t="s">
        <v>281</v>
      </c>
      <c r="Q1835" t="s">
        <v>328</v>
      </c>
      <c r="R1835" t="s">
        <v>329</v>
      </c>
      <c r="S1835" t="s">
        <v>388</v>
      </c>
      <c r="T1835">
        <v>3</v>
      </c>
      <c r="U1835" t="s">
        <v>389</v>
      </c>
      <c r="V1835" t="s">
        <v>381</v>
      </c>
      <c r="W1835" t="s">
        <v>390</v>
      </c>
      <c r="X1835" t="s">
        <v>331</v>
      </c>
      <c r="Y1835" t="s">
        <v>307</v>
      </c>
      <c r="Z1835">
        <v>70</v>
      </c>
      <c r="AA1835">
        <v>65</v>
      </c>
      <c r="AB1835" t="s">
        <v>151</v>
      </c>
      <c r="AC1835" t="s">
        <v>160</v>
      </c>
      <c r="AD1835" t="s">
        <v>278</v>
      </c>
      <c r="AE1835" t="str">
        <f>IF(AF1835="","",VLOOKUP(AC1835,mapel!$A$2:$B$42,2,FALSE))</f>
        <v>B.Ing</v>
      </c>
      <c r="AF1835">
        <f t="shared" si="84"/>
        <v>65</v>
      </c>
      <c r="AG1835" t="str">
        <f>IF(AF1835="","",IF(AF1835&gt;90,"Sangat baik",IF(AF1835&gt;79,"Baik",IF(AF1835&gt;=pub_gid_0_single_true_output_csv[[#This Row],[KKM]],"Cukup","Kurang"))))</f>
        <v>Kurang</v>
      </c>
      <c r="AH1835">
        <f t="shared" si="85"/>
        <v>12</v>
      </c>
      <c r="AI1835" s="30" t="str">
        <f>IF(OR(J1835&lt;&gt;"Karakter",pub_gid_0_single_true_output_csv[[#This Row],[Nilai2]]=""),"",IF(AF1835&gt;89,"Sangat baik",IF(AF1835&gt;79,"Baik",IF(AF1835&gt;69,"Cukup",IF(AF1835&gt;59,"Kurang","Sangat kurang")))))</f>
        <v/>
      </c>
      <c r="AJ1835" t="str">
        <f t="shared" si="86"/>
        <v>Wk.3</v>
      </c>
      <c r="AK1835" t="str">
        <f>IF(pub_gid_0_single_true_output_csv[[#This Row],[Nilai2]]="","",VLOOKUP(pub_gid_0_single_true_output_csv[[#This Row],[NAMA]],Table7[],3,FALSE))</f>
        <v>Average</v>
      </c>
    </row>
    <row r="1836" spans="1:37" x14ac:dyDescent="0.2">
      <c r="A1836">
        <v>1835</v>
      </c>
      <c r="B1836" t="s">
        <v>316</v>
      </c>
      <c r="C1836" t="s">
        <v>65</v>
      </c>
      <c r="D1836" t="s">
        <v>61</v>
      </c>
      <c r="E1836" t="s">
        <v>140</v>
      </c>
      <c r="F1836" s="25">
        <v>46034</v>
      </c>
      <c r="G1836" t="s">
        <v>354</v>
      </c>
      <c r="H1836" t="s">
        <v>405</v>
      </c>
      <c r="I1836" t="s">
        <v>371</v>
      </c>
      <c r="J1836" t="s">
        <v>90</v>
      </c>
      <c r="K1836" t="s">
        <v>92</v>
      </c>
      <c r="L1836" t="s">
        <v>93</v>
      </c>
      <c r="M1836" t="s">
        <v>141</v>
      </c>
      <c r="N1836" t="s">
        <v>142</v>
      </c>
      <c r="O1836" t="s">
        <v>327</v>
      </c>
      <c r="P1836" t="s">
        <v>281</v>
      </c>
      <c r="Q1836" t="s">
        <v>328</v>
      </c>
      <c r="R1836" t="s">
        <v>329</v>
      </c>
      <c r="S1836" t="s">
        <v>388</v>
      </c>
      <c r="T1836">
        <v>3</v>
      </c>
      <c r="U1836" t="s">
        <v>389</v>
      </c>
      <c r="V1836" t="s">
        <v>381</v>
      </c>
      <c r="W1836" t="s">
        <v>390</v>
      </c>
      <c r="X1836" t="s">
        <v>331</v>
      </c>
      <c r="Y1836" t="s">
        <v>307</v>
      </c>
      <c r="Z1836">
        <v>70</v>
      </c>
      <c r="AA1836">
        <v>90</v>
      </c>
      <c r="AB1836" t="s">
        <v>143</v>
      </c>
      <c r="AC1836" t="s">
        <v>160</v>
      </c>
      <c r="AD1836" t="s">
        <v>278</v>
      </c>
      <c r="AE1836" t="str">
        <f>IF(AF1836="","",VLOOKUP(AC1836,mapel!$A$2:$B$42,2,FALSE))</f>
        <v>B.Ing</v>
      </c>
      <c r="AF1836">
        <f t="shared" si="84"/>
        <v>90</v>
      </c>
      <c r="AG1836" t="str">
        <f>IF(AF1836="","",IF(AF1836&gt;90,"Sangat baik",IF(AF1836&gt;79,"Baik",IF(AF1836&gt;=pub_gid_0_single_true_output_csv[[#This Row],[KKM]],"Cukup","Kurang"))))</f>
        <v>Baik</v>
      </c>
      <c r="AH1836">
        <f t="shared" si="85"/>
        <v>12</v>
      </c>
      <c r="AI1836" s="30" t="str">
        <f>IF(OR(J1836&lt;&gt;"Karakter",pub_gid_0_single_true_output_csv[[#This Row],[Nilai2]]=""),"",IF(AF1836&gt;89,"Sangat baik",IF(AF1836&gt;79,"Baik",IF(AF1836&gt;69,"Cukup",IF(AF1836&gt;59,"Kurang","Sangat kurang")))))</f>
        <v>Sangat baik</v>
      </c>
      <c r="AJ1836" t="str">
        <f t="shared" si="86"/>
        <v>Wk.3</v>
      </c>
      <c r="AK1836" t="str">
        <f>IF(pub_gid_0_single_true_output_csv[[#This Row],[Nilai2]]="","",VLOOKUP(pub_gid_0_single_true_output_csv[[#This Row],[NAMA]],Table7[],3,FALSE))</f>
        <v>Average</v>
      </c>
    </row>
    <row r="1837" spans="1:37" x14ac:dyDescent="0.2">
      <c r="A1837">
        <v>1836</v>
      </c>
      <c r="B1837" t="s">
        <v>316</v>
      </c>
      <c r="C1837" t="s">
        <v>65</v>
      </c>
      <c r="D1837" t="s">
        <v>61</v>
      </c>
      <c r="E1837" t="s">
        <v>140</v>
      </c>
      <c r="F1837" s="25">
        <v>46048</v>
      </c>
      <c r="G1837" t="s">
        <v>371</v>
      </c>
      <c r="H1837" t="s">
        <v>405</v>
      </c>
      <c r="I1837" t="s">
        <v>371</v>
      </c>
      <c r="J1837" t="s">
        <v>36</v>
      </c>
      <c r="K1837" t="s">
        <v>37</v>
      </c>
      <c r="L1837" t="s">
        <v>383</v>
      </c>
      <c r="M1837" t="s">
        <v>141</v>
      </c>
      <c r="N1837" t="s">
        <v>142</v>
      </c>
      <c r="O1837" t="s">
        <v>327</v>
      </c>
      <c r="P1837" t="s">
        <v>281</v>
      </c>
      <c r="Q1837" t="s">
        <v>328</v>
      </c>
      <c r="R1837" t="s">
        <v>329</v>
      </c>
      <c r="S1837" t="s">
        <v>388</v>
      </c>
      <c r="T1837">
        <v>3</v>
      </c>
      <c r="U1837" t="s">
        <v>389</v>
      </c>
      <c r="V1837" t="s">
        <v>381</v>
      </c>
      <c r="W1837" t="s">
        <v>390</v>
      </c>
      <c r="X1837" t="s">
        <v>331</v>
      </c>
      <c r="Y1837" t="s">
        <v>307</v>
      </c>
      <c r="Z1837">
        <v>70</v>
      </c>
      <c r="AA1837">
        <v>75</v>
      </c>
      <c r="AB1837" t="s">
        <v>143</v>
      </c>
      <c r="AC1837" t="s">
        <v>160</v>
      </c>
      <c r="AD1837" t="s">
        <v>278</v>
      </c>
      <c r="AE1837" t="str">
        <f>IF(AF1837="","",VLOOKUP(AC1837,mapel!$A$2:$B$42,2,FALSE))</f>
        <v>B.Ing</v>
      </c>
      <c r="AF1837">
        <f t="shared" si="84"/>
        <v>75</v>
      </c>
      <c r="AG1837" t="str">
        <f>IF(AF1837="","",IF(AF1837&gt;90,"Sangat baik",IF(AF1837&gt;79,"Baik",IF(AF1837&gt;=pub_gid_0_single_true_output_csv[[#This Row],[KKM]],"Cukup","Kurang"))))</f>
        <v>Cukup</v>
      </c>
      <c r="AH1837">
        <f t="shared" si="85"/>
        <v>12</v>
      </c>
      <c r="AI1837" s="30" t="str">
        <f>IF(OR(J1837&lt;&gt;"Karakter",pub_gid_0_single_true_output_csv[[#This Row],[Nilai2]]=""),"",IF(AF1837&gt;89,"Sangat baik",IF(AF1837&gt;79,"Baik",IF(AF1837&gt;69,"Cukup",IF(AF1837&gt;59,"Kurang","Sangat kurang")))))</f>
        <v/>
      </c>
      <c r="AJ1837" t="str">
        <f t="shared" si="86"/>
        <v>Wk.5</v>
      </c>
      <c r="AK1837" t="str">
        <f>IF(pub_gid_0_single_true_output_csv[[#This Row],[Nilai2]]="","",VLOOKUP(pub_gid_0_single_true_output_csv[[#This Row],[NAMA]],Table7[],3,FALSE))</f>
        <v>Average</v>
      </c>
    </row>
    <row r="1838" spans="1:37" x14ac:dyDescent="0.2">
      <c r="A1838">
        <v>1837</v>
      </c>
      <c r="B1838" t="s">
        <v>316</v>
      </c>
      <c r="C1838" t="s">
        <v>65</v>
      </c>
      <c r="D1838" t="s">
        <v>61</v>
      </c>
      <c r="E1838" t="s">
        <v>140</v>
      </c>
      <c r="F1838" s="25">
        <v>46048</v>
      </c>
      <c r="G1838" t="s">
        <v>371</v>
      </c>
      <c r="H1838" t="s">
        <v>405</v>
      </c>
      <c r="I1838" t="s">
        <v>371</v>
      </c>
      <c r="J1838" t="s">
        <v>41</v>
      </c>
      <c r="K1838" t="s">
        <v>365</v>
      </c>
      <c r="L1838" t="s">
        <v>383</v>
      </c>
      <c r="M1838" t="s">
        <v>141</v>
      </c>
      <c r="N1838" t="s">
        <v>142</v>
      </c>
      <c r="O1838" t="s">
        <v>327</v>
      </c>
      <c r="P1838" t="s">
        <v>281</v>
      </c>
      <c r="Q1838" t="s">
        <v>328</v>
      </c>
      <c r="R1838" t="s">
        <v>329</v>
      </c>
      <c r="S1838" t="s">
        <v>388</v>
      </c>
      <c r="T1838">
        <v>3</v>
      </c>
      <c r="U1838" t="s">
        <v>389</v>
      </c>
      <c r="V1838" t="s">
        <v>381</v>
      </c>
      <c r="W1838" t="s">
        <v>390</v>
      </c>
      <c r="X1838" t="s">
        <v>331</v>
      </c>
      <c r="Y1838" t="s">
        <v>307</v>
      </c>
      <c r="Z1838">
        <v>70</v>
      </c>
      <c r="AA1838">
        <v>75</v>
      </c>
      <c r="AB1838" t="s">
        <v>143</v>
      </c>
      <c r="AC1838" t="s">
        <v>160</v>
      </c>
      <c r="AD1838" t="s">
        <v>278</v>
      </c>
      <c r="AE1838" t="str">
        <f>IF(AF1838="","",VLOOKUP(AC1838,mapel!$A$2:$B$42,2,FALSE))</f>
        <v>B.Ing</v>
      </c>
      <c r="AF1838">
        <f t="shared" si="84"/>
        <v>75</v>
      </c>
      <c r="AG1838" t="str">
        <f>IF(AF1838="","",IF(AF1838&gt;90,"Sangat baik",IF(AF1838&gt;79,"Baik",IF(AF1838&gt;=pub_gid_0_single_true_output_csv[[#This Row],[KKM]],"Cukup","Kurang"))))</f>
        <v>Cukup</v>
      </c>
      <c r="AH1838">
        <f t="shared" si="85"/>
        <v>12</v>
      </c>
      <c r="AI1838" s="30" t="str">
        <f>IF(OR(J1838&lt;&gt;"Karakter",pub_gid_0_single_true_output_csv[[#This Row],[Nilai2]]=""),"",IF(AF1838&gt;89,"Sangat baik",IF(AF1838&gt;79,"Baik",IF(AF1838&gt;69,"Cukup",IF(AF1838&gt;59,"Kurang","Sangat kurang")))))</f>
        <v/>
      </c>
      <c r="AJ1838" t="str">
        <f t="shared" si="86"/>
        <v>Wk.5</v>
      </c>
      <c r="AK1838" t="str">
        <f>IF(pub_gid_0_single_true_output_csv[[#This Row],[Nilai2]]="","",VLOOKUP(pub_gid_0_single_true_output_csv[[#This Row],[NAMA]],Table7[],3,FALSE))</f>
        <v>Average</v>
      </c>
    </row>
    <row r="1839" spans="1:37" x14ac:dyDescent="0.2">
      <c r="A1839">
        <v>1838</v>
      </c>
      <c r="B1839" t="s">
        <v>316</v>
      </c>
      <c r="C1839" t="s">
        <v>65</v>
      </c>
      <c r="D1839" t="s">
        <v>61</v>
      </c>
      <c r="E1839" t="s">
        <v>140</v>
      </c>
      <c r="F1839" s="25">
        <v>46055</v>
      </c>
      <c r="G1839" t="s">
        <v>379</v>
      </c>
      <c r="H1839" t="s">
        <v>412</v>
      </c>
      <c r="I1839" t="s">
        <v>371</v>
      </c>
      <c r="J1839" t="s">
        <v>36</v>
      </c>
      <c r="K1839" t="s">
        <v>37</v>
      </c>
      <c r="L1839" t="s">
        <v>351</v>
      </c>
      <c r="M1839" t="s">
        <v>141</v>
      </c>
      <c r="N1839" t="s">
        <v>142</v>
      </c>
      <c r="O1839" t="s">
        <v>327</v>
      </c>
      <c r="P1839" t="s">
        <v>281</v>
      </c>
      <c r="Q1839" t="s">
        <v>328</v>
      </c>
      <c r="R1839" t="s">
        <v>329</v>
      </c>
      <c r="S1839" t="s">
        <v>388</v>
      </c>
      <c r="T1839">
        <v>3</v>
      </c>
      <c r="U1839" t="s">
        <v>389</v>
      </c>
      <c r="V1839" t="s">
        <v>381</v>
      </c>
      <c r="W1839" t="s">
        <v>390</v>
      </c>
      <c r="X1839" t="s">
        <v>331</v>
      </c>
      <c r="Y1839" t="s">
        <v>307</v>
      </c>
      <c r="Z1839">
        <v>70</v>
      </c>
      <c r="AA1839">
        <v>60</v>
      </c>
      <c r="AB1839" t="s">
        <v>151</v>
      </c>
      <c r="AC1839" t="s">
        <v>160</v>
      </c>
      <c r="AD1839" t="s">
        <v>278</v>
      </c>
      <c r="AE1839" t="str">
        <f>IF(AF1839="","",VLOOKUP(AC1839,mapel!$A$2:$B$42,2,FALSE))</f>
        <v>B.Ing</v>
      </c>
      <c r="AF1839">
        <f t="shared" si="84"/>
        <v>60</v>
      </c>
      <c r="AG1839" t="str">
        <f>IF(AF1839="","",IF(AF1839&gt;90,"Sangat baik",IF(AF1839&gt;79,"Baik",IF(AF1839&gt;=pub_gid_0_single_true_output_csv[[#This Row],[KKM]],"Cukup","Kurang"))))</f>
        <v>Kurang</v>
      </c>
      <c r="AH1839">
        <f t="shared" si="85"/>
        <v>12</v>
      </c>
      <c r="AI1839" s="30" t="str">
        <f>IF(OR(J1839&lt;&gt;"Karakter",pub_gid_0_single_true_output_csv[[#This Row],[Nilai2]]=""),"",IF(AF1839&gt;89,"Sangat baik",IF(AF1839&gt;79,"Baik",IF(AF1839&gt;69,"Cukup",IF(AF1839&gt;59,"Kurang","Sangat kurang")))))</f>
        <v/>
      </c>
      <c r="AJ1839" t="str">
        <f t="shared" si="86"/>
        <v>Wk.6</v>
      </c>
      <c r="AK1839" t="str">
        <f>IF(pub_gid_0_single_true_output_csv[[#This Row],[Nilai2]]="","",VLOOKUP(pub_gid_0_single_true_output_csv[[#This Row],[NAMA]],Table7[],3,FALSE))</f>
        <v>Average</v>
      </c>
    </row>
    <row r="1840" spans="1:37" x14ac:dyDescent="0.2">
      <c r="A1840">
        <v>1839</v>
      </c>
      <c r="B1840" t="s">
        <v>316</v>
      </c>
      <c r="C1840" t="s">
        <v>65</v>
      </c>
      <c r="D1840" t="s">
        <v>61</v>
      </c>
      <c r="E1840" t="s">
        <v>140</v>
      </c>
      <c r="F1840" s="25">
        <v>46055</v>
      </c>
      <c r="G1840" t="s">
        <v>379</v>
      </c>
      <c r="H1840" t="s">
        <v>412</v>
      </c>
      <c r="I1840" t="s">
        <v>371</v>
      </c>
      <c r="J1840" t="s">
        <v>41</v>
      </c>
      <c r="K1840" t="s">
        <v>365</v>
      </c>
      <c r="L1840" t="s">
        <v>319</v>
      </c>
      <c r="M1840" t="s">
        <v>141</v>
      </c>
      <c r="N1840" t="s">
        <v>142</v>
      </c>
      <c r="O1840" t="s">
        <v>327</v>
      </c>
      <c r="P1840" t="s">
        <v>281</v>
      </c>
      <c r="Q1840" t="s">
        <v>328</v>
      </c>
      <c r="R1840" t="s">
        <v>329</v>
      </c>
      <c r="S1840" t="s">
        <v>388</v>
      </c>
      <c r="T1840">
        <v>3</v>
      </c>
      <c r="U1840" t="s">
        <v>389</v>
      </c>
      <c r="V1840" t="s">
        <v>381</v>
      </c>
      <c r="W1840" t="s">
        <v>390</v>
      </c>
      <c r="X1840" t="s">
        <v>331</v>
      </c>
      <c r="Y1840" t="s">
        <v>307</v>
      </c>
      <c r="Z1840">
        <v>70</v>
      </c>
      <c r="AA1840">
        <v>60</v>
      </c>
      <c r="AB1840" t="s">
        <v>151</v>
      </c>
      <c r="AC1840" t="s">
        <v>160</v>
      </c>
      <c r="AD1840" t="s">
        <v>278</v>
      </c>
      <c r="AE1840" t="str">
        <f>IF(AF1840="","",VLOOKUP(AC1840,mapel!$A$2:$B$42,2,FALSE))</f>
        <v>B.Ing</v>
      </c>
      <c r="AF1840">
        <f t="shared" si="84"/>
        <v>60</v>
      </c>
      <c r="AG1840" t="str">
        <f>IF(AF1840="","",IF(AF1840&gt;90,"Sangat baik",IF(AF1840&gt;79,"Baik",IF(AF1840&gt;=pub_gid_0_single_true_output_csv[[#This Row],[KKM]],"Cukup","Kurang"))))</f>
        <v>Kurang</v>
      </c>
      <c r="AH1840">
        <f t="shared" si="85"/>
        <v>12</v>
      </c>
      <c r="AI1840" s="30" t="str">
        <f>IF(OR(J1840&lt;&gt;"Karakter",pub_gid_0_single_true_output_csv[[#This Row],[Nilai2]]=""),"",IF(AF1840&gt;89,"Sangat baik",IF(AF1840&gt;79,"Baik",IF(AF1840&gt;69,"Cukup",IF(AF1840&gt;59,"Kurang","Sangat kurang")))))</f>
        <v/>
      </c>
      <c r="AJ1840" t="str">
        <f t="shared" si="86"/>
        <v>Wk.6</v>
      </c>
      <c r="AK1840" t="str">
        <f>IF(pub_gid_0_single_true_output_csv[[#This Row],[Nilai2]]="","",VLOOKUP(pub_gid_0_single_true_output_csv[[#This Row],[NAMA]],Table7[],3,FALSE))</f>
        <v>Average</v>
      </c>
    </row>
    <row r="1841" spans="1:37" x14ac:dyDescent="0.2">
      <c r="A1841">
        <v>1840</v>
      </c>
      <c r="B1841" t="s">
        <v>316</v>
      </c>
      <c r="C1841" t="s">
        <v>65</v>
      </c>
      <c r="D1841" t="s">
        <v>61</v>
      </c>
      <c r="E1841" t="s">
        <v>140</v>
      </c>
      <c r="F1841" s="25">
        <v>46055</v>
      </c>
      <c r="G1841" t="s">
        <v>379</v>
      </c>
      <c r="H1841" t="s">
        <v>412</v>
      </c>
      <c r="I1841" t="s">
        <v>371</v>
      </c>
      <c r="J1841" t="s">
        <v>90</v>
      </c>
      <c r="K1841" t="s">
        <v>92</v>
      </c>
      <c r="L1841" t="s">
        <v>91</v>
      </c>
      <c r="M1841" t="s">
        <v>141</v>
      </c>
      <c r="N1841" t="s">
        <v>142</v>
      </c>
      <c r="O1841" t="s">
        <v>327</v>
      </c>
      <c r="P1841" t="s">
        <v>281</v>
      </c>
      <c r="Q1841" t="s">
        <v>328</v>
      </c>
      <c r="R1841" t="s">
        <v>329</v>
      </c>
      <c r="S1841" t="s">
        <v>388</v>
      </c>
      <c r="T1841">
        <v>3</v>
      </c>
      <c r="U1841" t="s">
        <v>389</v>
      </c>
      <c r="V1841" t="s">
        <v>381</v>
      </c>
      <c r="W1841" t="s">
        <v>390</v>
      </c>
      <c r="X1841" t="s">
        <v>331</v>
      </c>
      <c r="Y1841" t="s">
        <v>307</v>
      </c>
      <c r="Z1841">
        <v>70</v>
      </c>
      <c r="AA1841">
        <v>50</v>
      </c>
      <c r="AB1841" t="s">
        <v>151</v>
      </c>
      <c r="AC1841" t="s">
        <v>160</v>
      </c>
      <c r="AD1841" t="s">
        <v>278</v>
      </c>
      <c r="AE1841" t="str">
        <f>IF(AF1841="","",VLOOKUP(AC1841,mapel!$A$2:$B$42,2,FALSE))</f>
        <v>B.Ing</v>
      </c>
      <c r="AF1841">
        <f t="shared" si="84"/>
        <v>50</v>
      </c>
      <c r="AG1841" t="str">
        <f>IF(AF1841="","",IF(AF1841&gt;90,"Sangat baik",IF(AF1841&gt;79,"Baik",IF(AF1841&gt;=pub_gid_0_single_true_output_csv[[#This Row],[KKM]],"Cukup","Kurang"))))</f>
        <v>Kurang</v>
      </c>
      <c r="AH1841">
        <f t="shared" si="85"/>
        <v>12</v>
      </c>
      <c r="AI1841" s="30" t="str">
        <f>IF(OR(J1841&lt;&gt;"Karakter",pub_gid_0_single_true_output_csv[[#This Row],[Nilai2]]=""),"",IF(AF1841&gt;89,"Sangat baik",IF(AF1841&gt;79,"Baik",IF(AF1841&gt;69,"Cukup",IF(AF1841&gt;59,"Kurang","Sangat kurang")))))</f>
        <v>Sangat kurang</v>
      </c>
      <c r="AJ1841" t="str">
        <f t="shared" si="86"/>
        <v>Wk.6</v>
      </c>
      <c r="AK1841" t="str">
        <f>IF(pub_gid_0_single_true_output_csv[[#This Row],[Nilai2]]="","",VLOOKUP(pub_gid_0_single_true_output_csv[[#This Row],[NAMA]],Table7[],3,FALSE))</f>
        <v>Average</v>
      </c>
    </row>
    <row r="1842" spans="1:37" x14ac:dyDescent="0.2">
      <c r="A1842">
        <v>1841</v>
      </c>
      <c r="B1842" t="s">
        <v>316</v>
      </c>
      <c r="C1842" t="s">
        <v>65</v>
      </c>
      <c r="D1842" t="s">
        <v>61</v>
      </c>
      <c r="E1842" t="s">
        <v>140</v>
      </c>
      <c r="F1842" s="25">
        <v>46055</v>
      </c>
      <c r="G1842" t="s">
        <v>379</v>
      </c>
      <c r="H1842" t="s">
        <v>412</v>
      </c>
      <c r="I1842" t="s">
        <v>371</v>
      </c>
      <c r="J1842" t="s">
        <v>279</v>
      </c>
      <c r="K1842" t="s">
        <v>280</v>
      </c>
      <c r="L1842" t="s">
        <v>351</v>
      </c>
      <c r="M1842" t="s">
        <v>141</v>
      </c>
      <c r="N1842" t="s">
        <v>142</v>
      </c>
      <c r="O1842" t="s">
        <v>327</v>
      </c>
      <c r="P1842" t="s">
        <v>281</v>
      </c>
      <c r="Q1842" t="s">
        <v>328</v>
      </c>
      <c r="R1842" t="s">
        <v>329</v>
      </c>
      <c r="S1842" t="s">
        <v>388</v>
      </c>
      <c r="T1842">
        <v>3</v>
      </c>
      <c r="U1842" t="s">
        <v>389</v>
      </c>
      <c r="V1842" t="s">
        <v>381</v>
      </c>
      <c r="W1842" t="s">
        <v>390</v>
      </c>
      <c r="X1842" t="s">
        <v>331</v>
      </c>
      <c r="Y1842" t="s">
        <v>307</v>
      </c>
      <c r="Z1842">
        <v>70</v>
      </c>
      <c r="AA1842">
        <v>55</v>
      </c>
      <c r="AB1842" t="s">
        <v>151</v>
      </c>
      <c r="AC1842" t="s">
        <v>160</v>
      </c>
      <c r="AD1842" t="s">
        <v>278</v>
      </c>
      <c r="AE1842" t="str">
        <f>IF(AF1842="","",VLOOKUP(AC1842,mapel!$A$2:$B$42,2,FALSE))</f>
        <v>B.Ing</v>
      </c>
      <c r="AF1842">
        <f t="shared" si="84"/>
        <v>55</v>
      </c>
      <c r="AG1842" t="str">
        <f>IF(AF1842="","",IF(AF1842&gt;90,"Sangat baik",IF(AF1842&gt;79,"Baik",IF(AF1842&gt;=pub_gid_0_single_true_output_csv[[#This Row],[KKM]],"Cukup","Kurang"))))</f>
        <v>Kurang</v>
      </c>
      <c r="AH1842">
        <f t="shared" si="85"/>
        <v>12</v>
      </c>
      <c r="AI1842" s="30" t="str">
        <f>IF(OR(J1842&lt;&gt;"Karakter",pub_gid_0_single_true_output_csv[[#This Row],[Nilai2]]=""),"",IF(AF1842&gt;89,"Sangat baik",IF(AF1842&gt;79,"Baik",IF(AF1842&gt;69,"Cukup",IF(AF1842&gt;59,"Kurang","Sangat kurang")))))</f>
        <v/>
      </c>
      <c r="AJ1842" t="str">
        <f t="shared" si="86"/>
        <v>Wk.6</v>
      </c>
      <c r="AK1842" t="str">
        <f>IF(pub_gid_0_single_true_output_csv[[#This Row],[Nilai2]]="","",VLOOKUP(pub_gid_0_single_true_output_csv[[#This Row],[NAMA]],Table7[],3,FALSE))</f>
        <v>Average</v>
      </c>
    </row>
    <row r="1843" spans="1:37" x14ac:dyDescent="0.2">
      <c r="A1843">
        <v>1842</v>
      </c>
      <c r="B1843" t="s">
        <v>317</v>
      </c>
      <c r="C1843" t="s">
        <v>65</v>
      </c>
      <c r="D1843" t="s">
        <v>62</v>
      </c>
      <c r="E1843" t="s">
        <v>140</v>
      </c>
      <c r="F1843" s="25">
        <v>46034</v>
      </c>
      <c r="G1843" t="s">
        <v>354</v>
      </c>
      <c r="H1843" t="s">
        <v>405</v>
      </c>
      <c r="I1843" t="s">
        <v>371</v>
      </c>
      <c r="J1843" t="s">
        <v>36</v>
      </c>
      <c r="K1843" t="s">
        <v>37</v>
      </c>
      <c r="L1843" t="s">
        <v>383</v>
      </c>
      <c r="M1843" t="s">
        <v>141</v>
      </c>
      <c r="N1843" t="s">
        <v>142</v>
      </c>
      <c r="O1843" t="s">
        <v>327</v>
      </c>
      <c r="P1843" t="s">
        <v>281</v>
      </c>
      <c r="Q1843" t="s">
        <v>328</v>
      </c>
      <c r="R1843" t="s">
        <v>329</v>
      </c>
      <c r="S1843" t="s">
        <v>388</v>
      </c>
      <c r="T1843">
        <v>3</v>
      </c>
      <c r="U1843" t="s">
        <v>389</v>
      </c>
      <c r="V1843" t="s">
        <v>381</v>
      </c>
      <c r="W1843" t="s">
        <v>390</v>
      </c>
      <c r="X1843" t="s">
        <v>331</v>
      </c>
      <c r="Y1843" t="s">
        <v>307</v>
      </c>
      <c r="Z1843">
        <v>70</v>
      </c>
      <c r="AA1843">
        <v>70</v>
      </c>
      <c r="AB1843" t="s">
        <v>143</v>
      </c>
      <c r="AC1843" t="s">
        <v>160</v>
      </c>
      <c r="AD1843" t="s">
        <v>278</v>
      </c>
      <c r="AE1843" t="str">
        <f>IF(AF1843="","",VLOOKUP(AC1843,mapel!$A$2:$B$42,2,FALSE))</f>
        <v>B.Ing</v>
      </c>
      <c r="AF1843">
        <f t="shared" si="84"/>
        <v>70</v>
      </c>
      <c r="AG1843" t="str">
        <f>IF(AF1843="","",IF(AF1843&gt;90,"Sangat baik",IF(AF1843&gt;79,"Baik",IF(AF1843&gt;=pub_gid_0_single_true_output_csv[[#This Row],[KKM]],"Cukup","Kurang"))))</f>
        <v>Cukup</v>
      </c>
      <c r="AH1843">
        <f t="shared" si="85"/>
        <v>12</v>
      </c>
      <c r="AI1843" s="30" t="str">
        <f>IF(OR(J1843&lt;&gt;"Karakter",pub_gid_0_single_true_output_csv[[#This Row],[Nilai2]]=""),"",IF(AF1843&gt;89,"Sangat baik",IF(AF1843&gt;79,"Baik",IF(AF1843&gt;69,"Cukup",IF(AF1843&gt;59,"Kurang","Sangat kurang")))))</f>
        <v/>
      </c>
      <c r="AJ1843" t="str">
        <f t="shared" si="86"/>
        <v>Wk.3</v>
      </c>
      <c r="AK1843" t="str">
        <f>IF(pub_gid_0_single_true_output_csv[[#This Row],[Nilai2]]="","",VLOOKUP(pub_gid_0_single_true_output_csv[[#This Row],[NAMA]],Table7[],3,FALSE))</f>
        <v>Borderline</v>
      </c>
    </row>
    <row r="1844" spans="1:37" x14ac:dyDescent="0.2">
      <c r="A1844">
        <v>1843</v>
      </c>
      <c r="B1844" t="s">
        <v>317</v>
      </c>
      <c r="C1844" t="s">
        <v>65</v>
      </c>
      <c r="D1844" t="s">
        <v>62</v>
      </c>
      <c r="E1844" t="s">
        <v>140</v>
      </c>
      <c r="F1844" s="25">
        <v>46034</v>
      </c>
      <c r="G1844" t="s">
        <v>354</v>
      </c>
      <c r="H1844" t="s">
        <v>405</v>
      </c>
      <c r="I1844" t="s">
        <v>371</v>
      </c>
      <c r="J1844" t="s">
        <v>41</v>
      </c>
      <c r="K1844" t="s">
        <v>365</v>
      </c>
      <c r="L1844" t="s">
        <v>383</v>
      </c>
      <c r="M1844" t="s">
        <v>141</v>
      </c>
      <c r="N1844" t="s">
        <v>142</v>
      </c>
      <c r="O1844" t="s">
        <v>327</v>
      </c>
      <c r="P1844" t="s">
        <v>281</v>
      </c>
      <c r="Q1844" t="s">
        <v>328</v>
      </c>
      <c r="R1844" t="s">
        <v>329</v>
      </c>
      <c r="S1844" t="s">
        <v>388</v>
      </c>
      <c r="T1844">
        <v>3</v>
      </c>
      <c r="U1844" t="s">
        <v>389</v>
      </c>
      <c r="V1844" t="s">
        <v>381</v>
      </c>
      <c r="W1844" t="s">
        <v>390</v>
      </c>
      <c r="X1844" t="s">
        <v>331</v>
      </c>
      <c r="Y1844" t="s">
        <v>307</v>
      </c>
      <c r="Z1844">
        <v>70</v>
      </c>
      <c r="AA1844">
        <v>70</v>
      </c>
      <c r="AB1844" t="s">
        <v>143</v>
      </c>
      <c r="AC1844" t="s">
        <v>160</v>
      </c>
      <c r="AD1844" t="s">
        <v>278</v>
      </c>
      <c r="AE1844" t="str">
        <f>IF(AF1844="","",VLOOKUP(AC1844,mapel!$A$2:$B$42,2,FALSE))</f>
        <v>B.Ing</v>
      </c>
      <c r="AF1844">
        <f t="shared" si="84"/>
        <v>70</v>
      </c>
      <c r="AG1844" t="str">
        <f>IF(AF1844="","",IF(AF1844&gt;90,"Sangat baik",IF(AF1844&gt;79,"Baik",IF(AF1844&gt;=pub_gid_0_single_true_output_csv[[#This Row],[KKM]],"Cukup","Kurang"))))</f>
        <v>Cukup</v>
      </c>
      <c r="AH1844">
        <f t="shared" si="85"/>
        <v>12</v>
      </c>
      <c r="AI1844" s="30" t="str">
        <f>IF(OR(J1844&lt;&gt;"Karakter",pub_gid_0_single_true_output_csv[[#This Row],[Nilai2]]=""),"",IF(AF1844&gt;89,"Sangat baik",IF(AF1844&gt;79,"Baik",IF(AF1844&gt;69,"Cukup",IF(AF1844&gt;59,"Kurang","Sangat kurang")))))</f>
        <v/>
      </c>
      <c r="AJ1844" t="str">
        <f t="shared" si="86"/>
        <v>Wk.3</v>
      </c>
      <c r="AK1844" t="str">
        <f>IF(pub_gid_0_single_true_output_csv[[#This Row],[Nilai2]]="","",VLOOKUP(pub_gid_0_single_true_output_csv[[#This Row],[NAMA]],Table7[],3,FALSE))</f>
        <v>Borderline</v>
      </c>
    </row>
    <row r="1845" spans="1:37" x14ac:dyDescent="0.2">
      <c r="A1845">
        <v>1844</v>
      </c>
      <c r="B1845" t="s">
        <v>317</v>
      </c>
      <c r="C1845" t="s">
        <v>65</v>
      </c>
      <c r="D1845" t="s">
        <v>62</v>
      </c>
      <c r="E1845" t="s">
        <v>140</v>
      </c>
      <c r="F1845" s="25">
        <v>46034</v>
      </c>
      <c r="G1845" t="s">
        <v>354</v>
      </c>
      <c r="H1845" t="s">
        <v>405</v>
      </c>
      <c r="I1845" t="s">
        <v>371</v>
      </c>
      <c r="J1845" t="s">
        <v>31</v>
      </c>
      <c r="K1845" t="s">
        <v>32</v>
      </c>
      <c r="L1845" t="s">
        <v>322</v>
      </c>
      <c r="M1845" t="s">
        <v>141</v>
      </c>
      <c r="N1845" t="s">
        <v>142</v>
      </c>
      <c r="O1845" t="s">
        <v>327</v>
      </c>
      <c r="P1845" t="s">
        <v>281</v>
      </c>
      <c r="Q1845" t="s">
        <v>328</v>
      </c>
      <c r="R1845" t="s">
        <v>329</v>
      </c>
      <c r="S1845" t="s">
        <v>388</v>
      </c>
      <c r="T1845">
        <v>3</v>
      </c>
      <c r="U1845" t="s">
        <v>389</v>
      </c>
      <c r="V1845" t="s">
        <v>381</v>
      </c>
      <c r="W1845" t="s">
        <v>390</v>
      </c>
      <c r="X1845" t="s">
        <v>331</v>
      </c>
      <c r="Y1845" t="s">
        <v>307</v>
      </c>
      <c r="Z1845">
        <v>70</v>
      </c>
      <c r="AA1845">
        <v>65</v>
      </c>
      <c r="AB1845" t="s">
        <v>151</v>
      </c>
      <c r="AC1845" t="s">
        <v>160</v>
      </c>
      <c r="AD1845" t="s">
        <v>278</v>
      </c>
      <c r="AE1845" t="str">
        <f>IF(AF1845="","",VLOOKUP(AC1845,mapel!$A$2:$B$42,2,FALSE))</f>
        <v>B.Ing</v>
      </c>
      <c r="AF1845">
        <f t="shared" si="84"/>
        <v>65</v>
      </c>
      <c r="AG1845" t="str">
        <f>IF(AF1845="","",IF(AF1845&gt;90,"Sangat baik",IF(AF1845&gt;79,"Baik",IF(AF1845&gt;=pub_gid_0_single_true_output_csv[[#This Row],[KKM]],"Cukup","Kurang"))))</f>
        <v>Kurang</v>
      </c>
      <c r="AH1845">
        <f t="shared" si="85"/>
        <v>12</v>
      </c>
      <c r="AI1845" s="30" t="str">
        <f>IF(OR(J1845&lt;&gt;"Karakter",pub_gid_0_single_true_output_csv[[#This Row],[Nilai2]]=""),"",IF(AF1845&gt;89,"Sangat baik",IF(AF1845&gt;79,"Baik",IF(AF1845&gt;69,"Cukup",IF(AF1845&gt;59,"Kurang","Sangat kurang")))))</f>
        <v/>
      </c>
      <c r="AJ1845" t="str">
        <f t="shared" si="86"/>
        <v>Wk.3</v>
      </c>
      <c r="AK1845" t="str">
        <f>IF(pub_gid_0_single_true_output_csv[[#This Row],[Nilai2]]="","",VLOOKUP(pub_gid_0_single_true_output_csv[[#This Row],[NAMA]],Table7[],3,FALSE))</f>
        <v>Borderline</v>
      </c>
    </row>
    <row r="1846" spans="1:37" x14ac:dyDescent="0.2">
      <c r="A1846">
        <v>1845</v>
      </c>
      <c r="B1846" t="s">
        <v>317</v>
      </c>
      <c r="C1846" t="s">
        <v>65</v>
      </c>
      <c r="D1846" t="s">
        <v>62</v>
      </c>
      <c r="E1846" t="s">
        <v>140</v>
      </c>
      <c r="F1846" s="25">
        <v>46034</v>
      </c>
      <c r="G1846" t="s">
        <v>354</v>
      </c>
      <c r="H1846" t="s">
        <v>405</v>
      </c>
      <c r="I1846" t="s">
        <v>371</v>
      </c>
      <c r="J1846" t="s">
        <v>90</v>
      </c>
      <c r="K1846" t="s">
        <v>92</v>
      </c>
      <c r="L1846" t="s">
        <v>93</v>
      </c>
      <c r="M1846" t="s">
        <v>141</v>
      </c>
      <c r="N1846" t="s">
        <v>142</v>
      </c>
      <c r="O1846" t="s">
        <v>327</v>
      </c>
      <c r="P1846" t="s">
        <v>281</v>
      </c>
      <c r="Q1846" t="s">
        <v>328</v>
      </c>
      <c r="R1846" t="s">
        <v>329</v>
      </c>
      <c r="S1846" t="s">
        <v>388</v>
      </c>
      <c r="T1846">
        <v>3</v>
      </c>
      <c r="U1846" t="s">
        <v>389</v>
      </c>
      <c r="V1846" t="s">
        <v>381</v>
      </c>
      <c r="W1846" t="s">
        <v>390</v>
      </c>
      <c r="X1846" t="s">
        <v>331</v>
      </c>
      <c r="Y1846" t="s">
        <v>307</v>
      </c>
      <c r="Z1846">
        <v>70</v>
      </c>
      <c r="AA1846">
        <v>90</v>
      </c>
      <c r="AB1846" t="s">
        <v>143</v>
      </c>
      <c r="AC1846" t="s">
        <v>160</v>
      </c>
      <c r="AD1846" t="s">
        <v>278</v>
      </c>
      <c r="AE1846" t="str">
        <f>IF(AF1846="","",VLOOKUP(AC1846,mapel!$A$2:$B$42,2,FALSE))</f>
        <v>B.Ing</v>
      </c>
      <c r="AF1846">
        <f t="shared" si="84"/>
        <v>90</v>
      </c>
      <c r="AG1846" t="str">
        <f>IF(AF1846="","",IF(AF1846&gt;90,"Sangat baik",IF(AF1846&gt;79,"Baik",IF(AF1846&gt;=pub_gid_0_single_true_output_csv[[#This Row],[KKM]],"Cukup","Kurang"))))</f>
        <v>Baik</v>
      </c>
      <c r="AH1846">
        <f t="shared" si="85"/>
        <v>12</v>
      </c>
      <c r="AI1846" s="30" t="str">
        <f>IF(OR(J1846&lt;&gt;"Karakter",pub_gid_0_single_true_output_csv[[#This Row],[Nilai2]]=""),"",IF(AF1846&gt;89,"Sangat baik",IF(AF1846&gt;79,"Baik",IF(AF1846&gt;69,"Cukup",IF(AF1846&gt;59,"Kurang","Sangat kurang")))))</f>
        <v>Sangat baik</v>
      </c>
      <c r="AJ1846" t="str">
        <f t="shared" si="86"/>
        <v>Wk.3</v>
      </c>
      <c r="AK1846" t="str">
        <f>IF(pub_gid_0_single_true_output_csv[[#This Row],[Nilai2]]="","",VLOOKUP(pub_gid_0_single_true_output_csv[[#This Row],[NAMA]],Table7[],3,FALSE))</f>
        <v>Borderline</v>
      </c>
    </row>
    <row r="1847" spans="1:37" x14ac:dyDescent="0.2">
      <c r="A1847">
        <v>1846</v>
      </c>
      <c r="B1847" t="s">
        <v>317</v>
      </c>
      <c r="C1847" t="s">
        <v>65</v>
      </c>
      <c r="D1847" t="s">
        <v>62</v>
      </c>
      <c r="E1847" t="s">
        <v>140</v>
      </c>
      <c r="F1847" s="25">
        <v>46048</v>
      </c>
      <c r="G1847" t="s">
        <v>371</v>
      </c>
      <c r="H1847" t="s">
        <v>405</v>
      </c>
      <c r="I1847" t="s">
        <v>371</v>
      </c>
      <c r="J1847" t="s">
        <v>36</v>
      </c>
      <c r="K1847" t="s">
        <v>37</v>
      </c>
      <c r="L1847" t="s">
        <v>383</v>
      </c>
      <c r="M1847" t="s">
        <v>141</v>
      </c>
      <c r="N1847" t="s">
        <v>142</v>
      </c>
      <c r="O1847" t="s">
        <v>327</v>
      </c>
      <c r="P1847" t="s">
        <v>281</v>
      </c>
      <c r="Q1847" t="s">
        <v>328</v>
      </c>
      <c r="R1847" t="s">
        <v>329</v>
      </c>
      <c r="S1847" t="s">
        <v>388</v>
      </c>
      <c r="T1847">
        <v>3</v>
      </c>
      <c r="U1847" t="s">
        <v>389</v>
      </c>
      <c r="V1847" t="s">
        <v>381</v>
      </c>
      <c r="W1847" t="s">
        <v>390</v>
      </c>
      <c r="X1847" t="s">
        <v>331</v>
      </c>
      <c r="Y1847" t="s">
        <v>307</v>
      </c>
      <c r="Z1847">
        <v>70</v>
      </c>
      <c r="AA1847">
        <v>75</v>
      </c>
      <c r="AB1847" t="s">
        <v>143</v>
      </c>
      <c r="AC1847" t="s">
        <v>160</v>
      </c>
      <c r="AD1847" t="s">
        <v>278</v>
      </c>
      <c r="AE1847" t="str">
        <f>IF(AF1847="","",VLOOKUP(AC1847,mapel!$A$2:$B$42,2,FALSE))</f>
        <v>B.Ing</v>
      </c>
      <c r="AF1847">
        <f t="shared" si="84"/>
        <v>75</v>
      </c>
      <c r="AG1847" t="str">
        <f>IF(AF1847="","",IF(AF1847&gt;90,"Sangat baik",IF(AF1847&gt;79,"Baik",IF(AF1847&gt;=pub_gid_0_single_true_output_csv[[#This Row],[KKM]],"Cukup","Kurang"))))</f>
        <v>Cukup</v>
      </c>
      <c r="AH1847">
        <f t="shared" si="85"/>
        <v>12</v>
      </c>
      <c r="AI1847" s="30" t="str">
        <f>IF(OR(J1847&lt;&gt;"Karakter",pub_gid_0_single_true_output_csv[[#This Row],[Nilai2]]=""),"",IF(AF1847&gt;89,"Sangat baik",IF(AF1847&gt;79,"Baik",IF(AF1847&gt;69,"Cukup",IF(AF1847&gt;59,"Kurang","Sangat kurang")))))</f>
        <v/>
      </c>
      <c r="AJ1847" t="str">
        <f t="shared" si="86"/>
        <v>Wk.5</v>
      </c>
      <c r="AK1847" t="str">
        <f>IF(pub_gid_0_single_true_output_csv[[#This Row],[Nilai2]]="","",VLOOKUP(pub_gid_0_single_true_output_csv[[#This Row],[NAMA]],Table7[],3,FALSE))</f>
        <v>Borderline</v>
      </c>
    </row>
    <row r="1848" spans="1:37" x14ac:dyDescent="0.2">
      <c r="A1848">
        <v>1847</v>
      </c>
      <c r="B1848" t="s">
        <v>317</v>
      </c>
      <c r="C1848" t="s">
        <v>65</v>
      </c>
      <c r="D1848" t="s">
        <v>62</v>
      </c>
      <c r="E1848" t="s">
        <v>140</v>
      </c>
      <c r="F1848" s="25">
        <v>46048</v>
      </c>
      <c r="G1848" t="s">
        <v>371</v>
      </c>
      <c r="H1848" t="s">
        <v>405</v>
      </c>
      <c r="I1848" t="s">
        <v>371</v>
      </c>
      <c r="J1848" t="s">
        <v>41</v>
      </c>
      <c r="K1848" t="s">
        <v>365</v>
      </c>
      <c r="L1848" t="s">
        <v>383</v>
      </c>
      <c r="M1848" t="s">
        <v>141</v>
      </c>
      <c r="N1848" t="s">
        <v>142</v>
      </c>
      <c r="O1848" t="s">
        <v>327</v>
      </c>
      <c r="P1848" t="s">
        <v>281</v>
      </c>
      <c r="Q1848" t="s">
        <v>328</v>
      </c>
      <c r="R1848" t="s">
        <v>329</v>
      </c>
      <c r="S1848" t="s">
        <v>388</v>
      </c>
      <c r="T1848">
        <v>3</v>
      </c>
      <c r="U1848" t="s">
        <v>389</v>
      </c>
      <c r="V1848" t="s">
        <v>381</v>
      </c>
      <c r="W1848" t="s">
        <v>390</v>
      </c>
      <c r="X1848" t="s">
        <v>331</v>
      </c>
      <c r="Y1848" t="s">
        <v>307</v>
      </c>
      <c r="Z1848">
        <v>70</v>
      </c>
      <c r="AA1848">
        <v>75</v>
      </c>
      <c r="AB1848" t="s">
        <v>143</v>
      </c>
      <c r="AC1848" t="s">
        <v>160</v>
      </c>
      <c r="AD1848" t="s">
        <v>278</v>
      </c>
      <c r="AE1848" t="str">
        <f>IF(AF1848="","",VLOOKUP(AC1848,mapel!$A$2:$B$42,2,FALSE))</f>
        <v>B.Ing</v>
      </c>
      <c r="AF1848">
        <f t="shared" si="84"/>
        <v>75</v>
      </c>
      <c r="AG1848" t="str">
        <f>IF(AF1848="","",IF(AF1848&gt;90,"Sangat baik",IF(AF1848&gt;79,"Baik",IF(AF1848&gt;=pub_gid_0_single_true_output_csv[[#This Row],[KKM]],"Cukup","Kurang"))))</f>
        <v>Cukup</v>
      </c>
      <c r="AH1848">
        <f t="shared" si="85"/>
        <v>12</v>
      </c>
      <c r="AI1848" s="30" t="str">
        <f>IF(OR(J1848&lt;&gt;"Karakter",pub_gid_0_single_true_output_csv[[#This Row],[Nilai2]]=""),"",IF(AF1848&gt;89,"Sangat baik",IF(AF1848&gt;79,"Baik",IF(AF1848&gt;69,"Cukup",IF(AF1848&gt;59,"Kurang","Sangat kurang")))))</f>
        <v/>
      </c>
      <c r="AJ1848" t="str">
        <f t="shared" si="86"/>
        <v>Wk.5</v>
      </c>
      <c r="AK1848" t="str">
        <f>IF(pub_gid_0_single_true_output_csv[[#This Row],[Nilai2]]="","",VLOOKUP(pub_gid_0_single_true_output_csv[[#This Row],[NAMA]],Table7[],3,FALSE))</f>
        <v>Borderline</v>
      </c>
    </row>
    <row r="1849" spans="1:37" x14ac:dyDescent="0.2">
      <c r="A1849">
        <v>1848</v>
      </c>
      <c r="B1849" t="s">
        <v>317</v>
      </c>
      <c r="C1849" t="s">
        <v>65</v>
      </c>
      <c r="D1849" t="s">
        <v>62</v>
      </c>
      <c r="E1849" t="s">
        <v>140</v>
      </c>
      <c r="F1849" s="25">
        <v>46055</v>
      </c>
      <c r="G1849" t="s">
        <v>379</v>
      </c>
      <c r="H1849" t="s">
        <v>412</v>
      </c>
      <c r="I1849" t="s">
        <v>371</v>
      </c>
      <c r="J1849" t="s">
        <v>36</v>
      </c>
      <c r="K1849" t="s">
        <v>37</v>
      </c>
      <c r="L1849" t="s">
        <v>351</v>
      </c>
      <c r="M1849" t="s">
        <v>141</v>
      </c>
      <c r="N1849" t="s">
        <v>142</v>
      </c>
      <c r="O1849" t="s">
        <v>327</v>
      </c>
      <c r="P1849" t="s">
        <v>281</v>
      </c>
      <c r="Q1849" t="s">
        <v>328</v>
      </c>
      <c r="R1849" t="s">
        <v>329</v>
      </c>
      <c r="S1849" t="s">
        <v>388</v>
      </c>
      <c r="T1849">
        <v>3</v>
      </c>
      <c r="U1849" t="s">
        <v>389</v>
      </c>
      <c r="V1849" t="s">
        <v>381</v>
      </c>
      <c r="W1849" t="s">
        <v>390</v>
      </c>
      <c r="X1849" t="s">
        <v>331</v>
      </c>
      <c r="Y1849" t="s">
        <v>307</v>
      </c>
      <c r="Z1849">
        <v>70</v>
      </c>
      <c r="AA1849">
        <v>60</v>
      </c>
      <c r="AB1849" t="s">
        <v>151</v>
      </c>
      <c r="AC1849" t="s">
        <v>160</v>
      </c>
      <c r="AD1849" t="s">
        <v>278</v>
      </c>
      <c r="AE1849" t="str">
        <f>IF(AF1849="","",VLOOKUP(AC1849,mapel!$A$2:$B$42,2,FALSE))</f>
        <v>B.Ing</v>
      </c>
      <c r="AF1849">
        <f t="shared" si="84"/>
        <v>60</v>
      </c>
      <c r="AG1849" t="str">
        <f>IF(AF1849="","",IF(AF1849&gt;90,"Sangat baik",IF(AF1849&gt;79,"Baik",IF(AF1849&gt;=pub_gid_0_single_true_output_csv[[#This Row],[KKM]],"Cukup","Kurang"))))</f>
        <v>Kurang</v>
      </c>
      <c r="AH1849">
        <f t="shared" si="85"/>
        <v>12</v>
      </c>
      <c r="AI1849" s="30" t="str">
        <f>IF(OR(J1849&lt;&gt;"Karakter",pub_gid_0_single_true_output_csv[[#This Row],[Nilai2]]=""),"",IF(AF1849&gt;89,"Sangat baik",IF(AF1849&gt;79,"Baik",IF(AF1849&gt;69,"Cukup",IF(AF1849&gt;59,"Kurang","Sangat kurang")))))</f>
        <v/>
      </c>
      <c r="AJ1849" t="str">
        <f t="shared" si="86"/>
        <v>Wk.6</v>
      </c>
      <c r="AK1849" t="str">
        <f>IF(pub_gid_0_single_true_output_csv[[#This Row],[Nilai2]]="","",VLOOKUP(pub_gid_0_single_true_output_csv[[#This Row],[NAMA]],Table7[],3,FALSE))</f>
        <v>Borderline</v>
      </c>
    </row>
    <row r="1850" spans="1:37" x14ac:dyDescent="0.2">
      <c r="A1850">
        <v>1849</v>
      </c>
      <c r="B1850" t="s">
        <v>317</v>
      </c>
      <c r="C1850" t="s">
        <v>65</v>
      </c>
      <c r="D1850" t="s">
        <v>62</v>
      </c>
      <c r="E1850" t="s">
        <v>140</v>
      </c>
      <c r="F1850" s="25">
        <v>46055</v>
      </c>
      <c r="G1850" t="s">
        <v>379</v>
      </c>
      <c r="H1850" t="s">
        <v>412</v>
      </c>
      <c r="I1850" t="s">
        <v>371</v>
      </c>
      <c r="J1850" t="s">
        <v>41</v>
      </c>
      <c r="K1850" t="s">
        <v>365</v>
      </c>
      <c r="L1850" t="s">
        <v>319</v>
      </c>
      <c r="M1850" t="s">
        <v>141</v>
      </c>
      <c r="N1850" t="s">
        <v>142</v>
      </c>
      <c r="O1850" t="s">
        <v>327</v>
      </c>
      <c r="P1850" t="s">
        <v>281</v>
      </c>
      <c r="Q1850" t="s">
        <v>328</v>
      </c>
      <c r="R1850" t="s">
        <v>329</v>
      </c>
      <c r="S1850" t="s">
        <v>388</v>
      </c>
      <c r="T1850">
        <v>3</v>
      </c>
      <c r="U1850" t="s">
        <v>389</v>
      </c>
      <c r="V1850" t="s">
        <v>381</v>
      </c>
      <c r="W1850" t="s">
        <v>390</v>
      </c>
      <c r="X1850" t="s">
        <v>331</v>
      </c>
      <c r="Y1850" t="s">
        <v>307</v>
      </c>
      <c r="Z1850">
        <v>70</v>
      </c>
      <c r="AA1850">
        <v>60</v>
      </c>
      <c r="AB1850" t="s">
        <v>151</v>
      </c>
      <c r="AC1850" t="s">
        <v>160</v>
      </c>
      <c r="AD1850" t="s">
        <v>278</v>
      </c>
      <c r="AE1850" t="str">
        <f>IF(AF1850="","",VLOOKUP(AC1850,mapel!$A$2:$B$42,2,FALSE))</f>
        <v>B.Ing</v>
      </c>
      <c r="AF1850">
        <f t="shared" si="84"/>
        <v>60</v>
      </c>
      <c r="AG1850" t="str">
        <f>IF(AF1850="","",IF(AF1850&gt;90,"Sangat baik",IF(AF1850&gt;79,"Baik",IF(AF1850&gt;=pub_gid_0_single_true_output_csv[[#This Row],[KKM]],"Cukup","Kurang"))))</f>
        <v>Kurang</v>
      </c>
      <c r="AH1850">
        <f t="shared" si="85"/>
        <v>12</v>
      </c>
      <c r="AI1850" s="30" t="str">
        <f>IF(OR(J1850&lt;&gt;"Karakter",pub_gid_0_single_true_output_csv[[#This Row],[Nilai2]]=""),"",IF(AF1850&gt;89,"Sangat baik",IF(AF1850&gt;79,"Baik",IF(AF1850&gt;69,"Cukup",IF(AF1850&gt;59,"Kurang","Sangat kurang")))))</f>
        <v/>
      </c>
      <c r="AJ1850" t="str">
        <f t="shared" si="86"/>
        <v>Wk.6</v>
      </c>
      <c r="AK1850" t="str">
        <f>IF(pub_gid_0_single_true_output_csv[[#This Row],[Nilai2]]="","",VLOOKUP(pub_gid_0_single_true_output_csv[[#This Row],[NAMA]],Table7[],3,FALSE))</f>
        <v>Borderline</v>
      </c>
    </row>
    <row r="1851" spans="1:37" x14ac:dyDescent="0.2">
      <c r="A1851">
        <v>1850</v>
      </c>
      <c r="B1851" t="s">
        <v>317</v>
      </c>
      <c r="C1851" t="s">
        <v>65</v>
      </c>
      <c r="D1851" t="s">
        <v>62</v>
      </c>
      <c r="E1851" t="s">
        <v>140</v>
      </c>
      <c r="F1851" s="25">
        <v>46055</v>
      </c>
      <c r="G1851" t="s">
        <v>379</v>
      </c>
      <c r="H1851" t="s">
        <v>412</v>
      </c>
      <c r="I1851" t="s">
        <v>371</v>
      </c>
      <c r="J1851" t="s">
        <v>90</v>
      </c>
      <c r="K1851" t="s">
        <v>92</v>
      </c>
      <c r="L1851" t="s">
        <v>91</v>
      </c>
      <c r="M1851" t="s">
        <v>141</v>
      </c>
      <c r="N1851" t="s">
        <v>142</v>
      </c>
      <c r="O1851" t="s">
        <v>327</v>
      </c>
      <c r="P1851" t="s">
        <v>281</v>
      </c>
      <c r="Q1851" t="s">
        <v>328</v>
      </c>
      <c r="R1851" t="s">
        <v>329</v>
      </c>
      <c r="S1851" t="s">
        <v>388</v>
      </c>
      <c r="T1851">
        <v>3</v>
      </c>
      <c r="U1851" t="s">
        <v>389</v>
      </c>
      <c r="V1851" t="s">
        <v>381</v>
      </c>
      <c r="W1851" t="s">
        <v>390</v>
      </c>
      <c r="X1851" t="s">
        <v>331</v>
      </c>
      <c r="Y1851" t="s">
        <v>307</v>
      </c>
      <c r="Z1851">
        <v>70</v>
      </c>
      <c r="AA1851">
        <v>50</v>
      </c>
      <c r="AB1851" t="s">
        <v>151</v>
      </c>
      <c r="AC1851" t="s">
        <v>160</v>
      </c>
      <c r="AD1851" t="s">
        <v>278</v>
      </c>
      <c r="AE1851" t="str">
        <f>IF(AF1851="","",VLOOKUP(AC1851,mapel!$A$2:$B$42,2,FALSE))</f>
        <v>B.Ing</v>
      </c>
      <c r="AF1851">
        <f t="shared" si="84"/>
        <v>50</v>
      </c>
      <c r="AG1851" t="str">
        <f>IF(AF1851="","",IF(AF1851&gt;90,"Sangat baik",IF(AF1851&gt;79,"Baik",IF(AF1851&gt;=pub_gid_0_single_true_output_csv[[#This Row],[KKM]],"Cukup","Kurang"))))</f>
        <v>Kurang</v>
      </c>
      <c r="AH1851">
        <f t="shared" si="85"/>
        <v>12</v>
      </c>
      <c r="AI1851" s="30" t="str">
        <f>IF(OR(J1851&lt;&gt;"Karakter",pub_gid_0_single_true_output_csv[[#This Row],[Nilai2]]=""),"",IF(AF1851&gt;89,"Sangat baik",IF(AF1851&gt;79,"Baik",IF(AF1851&gt;69,"Cukup",IF(AF1851&gt;59,"Kurang","Sangat kurang")))))</f>
        <v>Sangat kurang</v>
      </c>
      <c r="AJ1851" t="str">
        <f t="shared" si="86"/>
        <v>Wk.6</v>
      </c>
      <c r="AK1851" t="str">
        <f>IF(pub_gid_0_single_true_output_csv[[#This Row],[Nilai2]]="","",VLOOKUP(pub_gid_0_single_true_output_csv[[#This Row],[NAMA]],Table7[],3,FALSE))</f>
        <v>Borderline</v>
      </c>
    </row>
    <row r="1852" spans="1:37" x14ac:dyDescent="0.2">
      <c r="A1852">
        <v>1851</v>
      </c>
      <c r="B1852" t="s">
        <v>317</v>
      </c>
      <c r="C1852" t="s">
        <v>65</v>
      </c>
      <c r="D1852" t="s">
        <v>62</v>
      </c>
      <c r="E1852" t="s">
        <v>140</v>
      </c>
      <c r="F1852" s="25">
        <v>46055</v>
      </c>
      <c r="G1852" t="s">
        <v>379</v>
      </c>
      <c r="H1852" t="s">
        <v>412</v>
      </c>
      <c r="I1852" t="s">
        <v>371</v>
      </c>
      <c r="J1852" t="s">
        <v>279</v>
      </c>
      <c r="K1852" t="s">
        <v>280</v>
      </c>
      <c r="L1852" t="s">
        <v>351</v>
      </c>
      <c r="M1852" t="s">
        <v>141</v>
      </c>
      <c r="N1852" t="s">
        <v>142</v>
      </c>
      <c r="O1852" t="s">
        <v>327</v>
      </c>
      <c r="P1852" t="s">
        <v>281</v>
      </c>
      <c r="Q1852" t="s">
        <v>328</v>
      </c>
      <c r="R1852" t="s">
        <v>329</v>
      </c>
      <c r="S1852" t="s">
        <v>388</v>
      </c>
      <c r="T1852">
        <v>3</v>
      </c>
      <c r="U1852" t="s">
        <v>389</v>
      </c>
      <c r="V1852" t="s">
        <v>381</v>
      </c>
      <c r="W1852" t="s">
        <v>390</v>
      </c>
      <c r="X1852" t="s">
        <v>331</v>
      </c>
      <c r="Y1852" t="s">
        <v>307</v>
      </c>
      <c r="Z1852">
        <v>70</v>
      </c>
      <c r="AA1852">
        <v>55</v>
      </c>
      <c r="AB1852" t="s">
        <v>151</v>
      </c>
      <c r="AC1852" t="s">
        <v>160</v>
      </c>
      <c r="AD1852" t="s">
        <v>278</v>
      </c>
      <c r="AE1852" t="str">
        <f>IF(AF1852="","",VLOOKUP(AC1852,mapel!$A$2:$B$42,2,FALSE))</f>
        <v>B.Ing</v>
      </c>
      <c r="AF1852">
        <f t="shared" si="84"/>
        <v>55</v>
      </c>
      <c r="AG1852" t="str">
        <f>IF(AF1852="","",IF(AF1852&gt;90,"Sangat baik",IF(AF1852&gt;79,"Baik",IF(AF1852&gt;=pub_gid_0_single_true_output_csv[[#This Row],[KKM]],"Cukup","Kurang"))))</f>
        <v>Kurang</v>
      </c>
      <c r="AH1852">
        <f t="shared" si="85"/>
        <v>12</v>
      </c>
      <c r="AI1852" s="30" t="str">
        <f>IF(OR(J1852&lt;&gt;"Karakter",pub_gid_0_single_true_output_csv[[#This Row],[Nilai2]]=""),"",IF(AF1852&gt;89,"Sangat baik",IF(AF1852&gt;79,"Baik",IF(AF1852&gt;69,"Cukup",IF(AF1852&gt;59,"Kurang","Sangat kurang")))))</f>
        <v/>
      </c>
      <c r="AJ1852" t="str">
        <f t="shared" si="86"/>
        <v>Wk.6</v>
      </c>
      <c r="AK1852" t="str">
        <f>IF(pub_gid_0_single_true_output_csv[[#This Row],[Nilai2]]="","",VLOOKUP(pub_gid_0_single_true_output_csv[[#This Row],[NAMA]],Table7[],3,FALSE))</f>
        <v>Borderline</v>
      </c>
    </row>
    <row r="1853" spans="1:37" x14ac:dyDescent="0.2">
      <c r="A1853">
        <v>1852</v>
      </c>
      <c r="B1853" t="s">
        <v>318</v>
      </c>
      <c r="C1853" t="s">
        <v>65</v>
      </c>
      <c r="D1853" t="s">
        <v>63</v>
      </c>
      <c r="E1853" t="s">
        <v>140</v>
      </c>
      <c r="F1853" s="25">
        <v>46034</v>
      </c>
      <c r="G1853" t="s">
        <v>354</v>
      </c>
      <c r="H1853" t="s">
        <v>405</v>
      </c>
      <c r="I1853" t="s">
        <v>371</v>
      </c>
      <c r="J1853" t="s">
        <v>36</v>
      </c>
      <c r="K1853" t="s">
        <v>37</v>
      </c>
      <c r="L1853" t="s">
        <v>383</v>
      </c>
      <c r="M1853" t="s">
        <v>141</v>
      </c>
      <c r="N1853" t="s">
        <v>142</v>
      </c>
      <c r="O1853" t="s">
        <v>327</v>
      </c>
      <c r="P1853" t="s">
        <v>281</v>
      </c>
      <c r="Q1853" t="s">
        <v>328</v>
      </c>
      <c r="R1853" t="s">
        <v>329</v>
      </c>
      <c r="S1853" t="s">
        <v>388</v>
      </c>
      <c r="T1853">
        <v>3</v>
      </c>
      <c r="U1853" t="s">
        <v>389</v>
      </c>
      <c r="V1853" t="s">
        <v>381</v>
      </c>
      <c r="W1853" t="s">
        <v>390</v>
      </c>
      <c r="X1853" t="s">
        <v>331</v>
      </c>
      <c r="Y1853" t="s">
        <v>307</v>
      </c>
      <c r="Z1853">
        <v>70</v>
      </c>
      <c r="AA1853">
        <v>65</v>
      </c>
      <c r="AB1853" t="s">
        <v>151</v>
      </c>
      <c r="AC1853" t="s">
        <v>160</v>
      </c>
      <c r="AD1853" t="s">
        <v>278</v>
      </c>
      <c r="AE1853" t="str">
        <f>IF(AF1853="","",VLOOKUP(AC1853,mapel!$A$2:$B$42,2,FALSE))</f>
        <v>B.Ing</v>
      </c>
      <c r="AF1853">
        <f t="shared" si="84"/>
        <v>65</v>
      </c>
      <c r="AG1853" t="str">
        <f>IF(AF1853="","",IF(AF1853&gt;90,"Sangat baik",IF(AF1853&gt;79,"Baik",IF(AF1853&gt;=pub_gid_0_single_true_output_csv[[#This Row],[KKM]],"Cukup","Kurang"))))</f>
        <v>Kurang</v>
      </c>
      <c r="AH1853">
        <f t="shared" si="85"/>
        <v>12</v>
      </c>
      <c r="AI1853" s="30" t="str">
        <f>IF(OR(J1853&lt;&gt;"Karakter",pub_gid_0_single_true_output_csv[[#This Row],[Nilai2]]=""),"",IF(AF1853&gt;89,"Sangat baik",IF(AF1853&gt;79,"Baik",IF(AF1853&gt;69,"Cukup",IF(AF1853&gt;59,"Kurang","Sangat kurang")))))</f>
        <v/>
      </c>
      <c r="AJ1853" t="str">
        <f t="shared" si="86"/>
        <v>Wk.3</v>
      </c>
      <c r="AK1853" t="str">
        <f>IF(pub_gid_0_single_true_output_csv[[#This Row],[Nilai2]]="","",VLOOKUP(pub_gid_0_single_true_output_csv[[#This Row],[NAMA]],Table7[],3,FALSE))</f>
        <v>Average</v>
      </c>
    </row>
    <row r="1854" spans="1:37" x14ac:dyDescent="0.2">
      <c r="A1854">
        <v>1853</v>
      </c>
      <c r="B1854" t="s">
        <v>318</v>
      </c>
      <c r="C1854" t="s">
        <v>65</v>
      </c>
      <c r="D1854" t="s">
        <v>63</v>
      </c>
      <c r="E1854" t="s">
        <v>140</v>
      </c>
      <c r="F1854" s="25">
        <v>46034</v>
      </c>
      <c r="G1854" t="s">
        <v>354</v>
      </c>
      <c r="H1854" t="s">
        <v>405</v>
      </c>
      <c r="I1854" t="s">
        <v>371</v>
      </c>
      <c r="J1854" t="s">
        <v>41</v>
      </c>
      <c r="K1854" t="s">
        <v>365</v>
      </c>
      <c r="L1854" t="s">
        <v>383</v>
      </c>
      <c r="M1854" t="s">
        <v>141</v>
      </c>
      <c r="N1854" t="s">
        <v>142</v>
      </c>
      <c r="O1854" t="s">
        <v>327</v>
      </c>
      <c r="P1854" t="s">
        <v>281</v>
      </c>
      <c r="Q1854" t="s">
        <v>328</v>
      </c>
      <c r="R1854" t="s">
        <v>329</v>
      </c>
      <c r="S1854" t="s">
        <v>388</v>
      </c>
      <c r="T1854">
        <v>3</v>
      </c>
      <c r="U1854" t="s">
        <v>389</v>
      </c>
      <c r="V1854" t="s">
        <v>381</v>
      </c>
      <c r="W1854" t="s">
        <v>390</v>
      </c>
      <c r="X1854" t="s">
        <v>331</v>
      </c>
      <c r="Y1854" t="s">
        <v>307</v>
      </c>
      <c r="Z1854">
        <v>70</v>
      </c>
      <c r="AA1854">
        <v>65</v>
      </c>
      <c r="AB1854" t="s">
        <v>151</v>
      </c>
      <c r="AC1854" t="s">
        <v>160</v>
      </c>
      <c r="AD1854" t="s">
        <v>278</v>
      </c>
      <c r="AE1854" t="str">
        <f>IF(AF1854="","",VLOOKUP(AC1854,mapel!$A$2:$B$42,2,FALSE))</f>
        <v>B.Ing</v>
      </c>
      <c r="AF1854">
        <f t="shared" si="84"/>
        <v>65</v>
      </c>
      <c r="AG1854" t="str">
        <f>IF(AF1854="","",IF(AF1854&gt;90,"Sangat baik",IF(AF1854&gt;79,"Baik",IF(AF1854&gt;=pub_gid_0_single_true_output_csv[[#This Row],[KKM]],"Cukup","Kurang"))))</f>
        <v>Kurang</v>
      </c>
      <c r="AH1854">
        <f t="shared" si="85"/>
        <v>12</v>
      </c>
      <c r="AI1854" s="30" t="str">
        <f>IF(OR(J1854&lt;&gt;"Karakter",pub_gid_0_single_true_output_csv[[#This Row],[Nilai2]]=""),"",IF(AF1854&gt;89,"Sangat baik",IF(AF1854&gt;79,"Baik",IF(AF1854&gt;69,"Cukup",IF(AF1854&gt;59,"Kurang","Sangat kurang")))))</f>
        <v/>
      </c>
      <c r="AJ1854" t="str">
        <f t="shared" si="86"/>
        <v>Wk.3</v>
      </c>
      <c r="AK1854" t="str">
        <f>IF(pub_gid_0_single_true_output_csv[[#This Row],[Nilai2]]="","",VLOOKUP(pub_gid_0_single_true_output_csv[[#This Row],[NAMA]],Table7[],3,FALSE))</f>
        <v>Average</v>
      </c>
    </row>
    <row r="1855" spans="1:37" x14ac:dyDescent="0.2">
      <c r="A1855">
        <v>1854</v>
      </c>
      <c r="B1855" t="s">
        <v>318</v>
      </c>
      <c r="C1855" t="s">
        <v>65</v>
      </c>
      <c r="D1855" t="s">
        <v>63</v>
      </c>
      <c r="E1855" t="s">
        <v>140</v>
      </c>
      <c r="F1855" s="25">
        <v>46034</v>
      </c>
      <c r="G1855" t="s">
        <v>354</v>
      </c>
      <c r="H1855" t="s">
        <v>405</v>
      </c>
      <c r="I1855" t="s">
        <v>371</v>
      </c>
      <c r="J1855" t="s">
        <v>31</v>
      </c>
      <c r="K1855" t="s">
        <v>32</v>
      </c>
      <c r="L1855" t="s">
        <v>322</v>
      </c>
      <c r="M1855" t="s">
        <v>141</v>
      </c>
      <c r="N1855" t="s">
        <v>142</v>
      </c>
      <c r="O1855" t="s">
        <v>327</v>
      </c>
      <c r="P1855" t="s">
        <v>281</v>
      </c>
      <c r="Q1855" t="s">
        <v>328</v>
      </c>
      <c r="R1855" t="s">
        <v>329</v>
      </c>
      <c r="S1855" t="s">
        <v>388</v>
      </c>
      <c r="T1855">
        <v>3</v>
      </c>
      <c r="U1855" t="s">
        <v>389</v>
      </c>
      <c r="V1855" t="s">
        <v>381</v>
      </c>
      <c r="W1855" t="s">
        <v>390</v>
      </c>
      <c r="X1855" t="s">
        <v>331</v>
      </c>
      <c r="Y1855" t="s">
        <v>307</v>
      </c>
      <c r="Z1855">
        <v>70</v>
      </c>
      <c r="AA1855">
        <v>60</v>
      </c>
      <c r="AB1855" t="s">
        <v>151</v>
      </c>
      <c r="AC1855" t="s">
        <v>160</v>
      </c>
      <c r="AD1855" t="s">
        <v>278</v>
      </c>
      <c r="AE1855" t="str">
        <f>IF(AF1855="","",VLOOKUP(AC1855,mapel!$A$2:$B$42,2,FALSE))</f>
        <v>B.Ing</v>
      </c>
      <c r="AF1855">
        <f t="shared" si="84"/>
        <v>60</v>
      </c>
      <c r="AG1855" t="str">
        <f>IF(AF1855="","",IF(AF1855&gt;90,"Sangat baik",IF(AF1855&gt;79,"Baik",IF(AF1855&gt;=pub_gid_0_single_true_output_csv[[#This Row],[KKM]],"Cukup","Kurang"))))</f>
        <v>Kurang</v>
      </c>
      <c r="AH1855">
        <f t="shared" si="85"/>
        <v>12</v>
      </c>
      <c r="AI1855" s="30" t="str">
        <f>IF(OR(J1855&lt;&gt;"Karakter",pub_gid_0_single_true_output_csv[[#This Row],[Nilai2]]=""),"",IF(AF1855&gt;89,"Sangat baik",IF(AF1855&gt;79,"Baik",IF(AF1855&gt;69,"Cukup",IF(AF1855&gt;59,"Kurang","Sangat kurang")))))</f>
        <v/>
      </c>
      <c r="AJ1855" t="str">
        <f t="shared" si="86"/>
        <v>Wk.3</v>
      </c>
      <c r="AK1855" t="str">
        <f>IF(pub_gid_0_single_true_output_csv[[#This Row],[Nilai2]]="","",VLOOKUP(pub_gid_0_single_true_output_csv[[#This Row],[NAMA]],Table7[],3,FALSE))</f>
        <v>Average</v>
      </c>
    </row>
    <row r="1856" spans="1:37" x14ac:dyDescent="0.2">
      <c r="A1856">
        <v>1855</v>
      </c>
      <c r="B1856" t="s">
        <v>318</v>
      </c>
      <c r="C1856" t="s">
        <v>65</v>
      </c>
      <c r="D1856" t="s">
        <v>63</v>
      </c>
      <c r="E1856" t="s">
        <v>140</v>
      </c>
      <c r="F1856" s="25">
        <v>46034</v>
      </c>
      <c r="G1856" t="s">
        <v>354</v>
      </c>
      <c r="H1856" t="s">
        <v>405</v>
      </c>
      <c r="I1856" t="s">
        <v>371</v>
      </c>
      <c r="J1856" t="s">
        <v>90</v>
      </c>
      <c r="K1856" t="s">
        <v>92</v>
      </c>
      <c r="L1856" t="s">
        <v>93</v>
      </c>
      <c r="M1856" t="s">
        <v>141</v>
      </c>
      <c r="N1856" t="s">
        <v>142</v>
      </c>
      <c r="O1856" t="s">
        <v>327</v>
      </c>
      <c r="P1856" t="s">
        <v>281</v>
      </c>
      <c r="Q1856" t="s">
        <v>328</v>
      </c>
      <c r="R1856" t="s">
        <v>329</v>
      </c>
      <c r="S1856" t="s">
        <v>388</v>
      </c>
      <c r="T1856">
        <v>3</v>
      </c>
      <c r="U1856" t="s">
        <v>389</v>
      </c>
      <c r="V1856" t="s">
        <v>381</v>
      </c>
      <c r="W1856" t="s">
        <v>390</v>
      </c>
      <c r="X1856" t="s">
        <v>331</v>
      </c>
      <c r="Y1856" t="s">
        <v>307</v>
      </c>
      <c r="Z1856">
        <v>70</v>
      </c>
      <c r="AA1856">
        <v>60</v>
      </c>
      <c r="AB1856" t="s">
        <v>151</v>
      </c>
      <c r="AC1856" t="s">
        <v>160</v>
      </c>
      <c r="AD1856" t="s">
        <v>278</v>
      </c>
      <c r="AE1856" t="str">
        <f>IF(AF1856="","",VLOOKUP(AC1856,mapel!$A$2:$B$42,2,FALSE))</f>
        <v>B.Ing</v>
      </c>
      <c r="AF1856">
        <f t="shared" si="84"/>
        <v>60</v>
      </c>
      <c r="AG1856" t="str">
        <f>IF(AF1856="","",IF(AF1856&gt;90,"Sangat baik",IF(AF1856&gt;79,"Baik",IF(AF1856&gt;=pub_gid_0_single_true_output_csv[[#This Row],[KKM]],"Cukup","Kurang"))))</f>
        <v>Kurang</v>
      </c>
      <c r="AH1856">
        <f t="shared" si="85"/>
        <v>12</v>
      </c>
      <c r="AI1856" s="30" t="str">
        <f>IF(OR(J1856&lt;&gt;"Karakter",pub_gid_0_single_true_output_csv[[#This Row],[Nilai2]]=""),"",IF(AF1856&gt;89,"Sangat baik",IF(AF1856&gt;79,"Baik",IF(AF1856&gt;69,"Cukup",IF(AF1856&gt;59,"Kurang","Sangat kurang")))))</f>
        <v>Kurang</v>
      </c>
      <c r="AJ1856" t="str">
        <f t="shared" si="86"/>
        <v>Wk.3</v>
      </c>
      <c r="AK1856" t="str">
        <f>IF(pub_gid_0_single_true_output_csv[[#This Row],[Nilai2]]="","",VLOOKUP(pub_gid_0_single_true_output_csv[[#This Row],[NAMA]],Table7[],3,FALSE))</f>
        <v>Average</v>
      </c>
    </row>
    <row r="1857" spans="1:37" x14ac:dyDescent="0.2">
      <c r="A1857">
        <v>1856</v>
      </c>
      <c r="B1857" t="s">
        <v>318</v>
      </c>
      <c r="C1857" t="s">
        <v>65</v>
      </c>
      <c r="D1857" t="s">
        <v>63</v>
      </c>
      <c r="E1857" t="s">
        <v>140</v>
      </c>
      <c r="F1857" s="25">
        <v>46048</v>
      </c>
      <c r="G1857" t="s">
        <v>371</v>
      </c>
      <c r="H1857" t="s">
        <v>405</v>
      </c>
      <c r="I1857" t="s">
        <v>371</v>
      </c>
      <c r="J1857" t="s">
        <v>36</v>
      </c>
      <c r="K1857" t="s">
        <v>37</v>
      </c>
      <c r="L1857" t="s">
        <v>383</v>
      </c>
      <c r="M1857" t="s">
        <v>141</v>
      </c>
      <c r="N1857" t="s">
        <v>142</v>
      </c>
      <c r="O1857" t="s">
        <v>327</v>
      </c>
      <c r="P1857" t="s">
        <v>281</v>
      </c>
      <c r="Q1857" t="s">
        <v>328</v>
      </c>
      <c r="R1857" t="s">
        <v>329</v>
      </c>
      <c r="S1857" t="s">
        <v>388</v>
      </c>
      <c r="T1857">
        <v>3</v>
      </c>
      <c r="U1857" t="s">
        <v>389</v>
      </c>
      <c r="V1857" t="s">
        <v>381</v>
      </c>
      <c r="W1857" t="s">
        <v>390</v>
      </c>
      <c r="X1857" t="s">
        <v>331</v>
      </c>
      <c r="Y1857" t="s">
        <v>307</v>
      </c>
      <c r="Z1857">
        <v>70</v>
      </c>
      <c r="AA1857">
        <v>70</v>
      </c>
      <c r="AB1857" t="s">
        <v>143</v>
      </c>
      <c r="AC1857" t="s">
        <v>160</v>
      </c>
      <c r="AD1857" t="s">
        <v>278</v>
      </c>
      <c r="AE1857" t="str">
        <f>IF(AF1857="","",VLOOKUP(AC1857,mapel!$A$2:$B$42,2,FALSE))</f>
        <v>B.Ing</v>
      </c>
      <c r="AF1857">
        <f t="shared" si="84"/>
        <v>70</v>
      </c>
      <c r="AG1857" t="str">
        <f>IF(AF1857="","",IF(AF1857&gt;90,"Sangat baik",IF(AF1857&gt;79,"Baik",IF(AF1857&gt;=pub_gid_0_single_true_output_csv[[#This Row],[KKM]],"Cukup","Kurang"))))</f>
        <v>Cukup</v>
      </c>
      <c r="AH1857">
        <f t="shared" si="85"/>
        <v>12</v>
      </c>
      <c r="AI1857" s="30" t="str">
        <f>IF(OR(J1857&lt;&gt;"Karakter",pub_gid_0_single_true_output_csv[[#This Row],[Nilai2]]=""),"",IF(AF1857&gt;89,"Sangat baik",IF(AF1857&gt;79,"Baik",IF(AF1857&gt;69,"Cukup",IF(AF1857&gt;59,"Kurang","Sangat kurang")))))</f>
        <v/>
      </c>
      <c r="AJ1857" t="str">
        <f t="shared" si="86"/>
        <v>Wk.5</v>
      </c>
      <c r="AK1857" t="str">
        <f>IF(pub_gid_0_single_true_output_csv[[#This Row],[Nilai2]]="","",VLOOKUP(pub_gid_0_single_true_output_csv[[#This Row],[NAMA]],Table7[],3,FALSE))</f>
        <v>Average</v>
      </c>
    </row>
    <row r="1858" spans="1:37" x14ac:dyDescent="0.2">
      <c r="A1858">
        <v>1857</v>
      </c>
      <c r="B1858" t="s">
        <v>318</v>
      </c>
      <c r="C1858" t="s">
        <v>65</v>
      </c>
      <c r="D1858" t="s">
        <v>63</v>
      </c>
      <c r="E1858" t="s">
        <v>140</v>
      </c>
      <c r="F1858" s="25">
        <v>46048</v>
      </c>
      <c r="G1858" t="s">
        <v>371</v>
      </c>
      <c r="H1858" t="s">
        <v>405</v>
      </c>
      <c r="I1858" t="s">
        <v>371</v>
      </c>
      <c r="J1858" t="s">
        <v>41</v>
      </c>
      <c r="K1858" t="s">
        <v>365</v>
      </c>
      <c r="L1858" t="s">
        <v>383</v>
      </c>
      <c r="M1858" t="s">
        <v>141</v>
      </c>
      <c r="N1858" t="s">
        <v>142</v>
      </c>
      <c r="O1858" t="s">
        <v>327</v>
      </c>
      <c r="P1858" t="s">
        <v>281</v>
      </c>
      <c r="Q1858" t="s">
        <v>328</v>
      </c>
      <c r="R1858" t="s">
        <v>329</v>
      </c>
      <c r="S1858" t="s">
        <v>388</v>
      </c>
      <c r="T1858">
        <v>3</v>
      </c>
      <c r="U1858" t="s">
        <v>389</v>
      </c>
      <c r="V1858" t="s">
        <v>381</v>
      </c>
      <c r="W1858" t="s">
        <v>390</v>
      </c>
      <c r="X1858" t="s">
        <v>331</v>
      </c>
      <c r="Y1858" t="s">
        <v>307</v>
      </c>
      <c r="Z1858">
        <v>70</v>
      </c>
      <c r="AA1858">
        <v>70</v>
      </c>
      <c r="AB1858" t="s">
        <v>143</v>
      </c>
      <c r="AC1858" t="s">
        <v>160</v>
      </c>
      <c r="AD1858" t="s">
        <v>278</v>
      </c>
      <c r="AE1858" t="str">
        <f>IF(AF1858="","",VLOOKUP(AC1858,mapel!$A$2:$B$42,2,FALSE))</f>
        <v>B.Ing</v>
      </c>
      <c r="AF1858">
        <f t="shared" ref="AF1858:AF1921" si="87">IF(AA1858=0, "",IF(AA1858 = 0.1, 0,AA1858))</f>
        <v>70</v>
      </c>
      <c r="AG1858" t="str">
        <f>IF(AF1858="","",IF(AF1858&gt;90,"Sangat baik",IF(AF1858&gt;79,"Baik",IF(AF1858&gt;=pub_gid_0_single_true_output_csv[[#This Row],[KKM]],"Cukup","Kurang"))))</f>
        <v>Cukup</v>
      </c>
      <c r="AH1858">
        <f t="shared" ref="AH1858:AH1921" si="88">IF(AG1858="","",VALUE(RIGHT(X1858,2)))</f>
        <v>12</v>
      </c>
      <c r="AI1858" s="30" t="str">
        <f>IF(OR(J1858&lt;&gt;"Karakter",pub_gid_0_single_true_output_csv[[#This Row],[Nilai2]]=""),"",IF(AF1858&gt;89,"Sangat baik",IF(AF1858&gt;79,"Baik",IF(AF1858&gt;69,"Cukup",IF(AF1858&gt;59,"Kurang","Sangat kurang")))))</f>
        <v/>
      </c>
      <c r="AJ1858" t="str">
        <f t="shared" ref="AJ1858:AJ1921" si="89">IF(AF1858="","",CONCATENATE("Wk.",WEEKNUM(F1858,2)))</f>
        <v>Wk.5</v>
      </c>
      <c r="AK1858" t="str">
        <f>IF(pub_gid_0_single_true_output_csv[[#This Row],[Nilai2]]="","",VLOOKUP(pub_gid_0_single_true_output_csv[[#This Row],[NAMA]],Table7[],3,FALSE))</f>
        <v>Average</v>
      </c>
    </row>
    <row r="1859" spans="1:37" x14ac:dyDescent="0.2">
      <c r="A1859">
        <v>1858</v>
      </c>
      <c r="B1859" t="s">
        <v>318</v>
      </c>
      <c r="C1859" t="s">
        <v>65</v>
      </c>
      <c r="D1859" t="s">
        <v>63</v>
      </c>
      <c r="E1859" t="s">
        <v>140</v>
      </c>
      <c r="F1859" s="25">
        <v>46055</v>
      </c>
      <c r="G1859" t="s">
        <v>379</v>
      </c>
      <c r="H1859" t="s">
        <v>412</v>
      </c>
      <c r="I1859" t="s">
        <v>371</v>
      </c>
      <c r="J1859" t="s">
        <v>36</v>
      </c>
      <c r="K1859" t="s">
        <v>37</v>
      </c>
      <c r="L1859" t="s">
        <v>351</v>
      </c>
      <c r="M1859" t="s">
        <v>141</v>
      </c>
      <c r="N1859" t="s">
        <v>142</v>
      </c>
      <c r="O1859" t="s">
        <v>327</v>
      </c>
      <c r="P1859" t="s">
        <v>281</v>
      </c>
      <c r="Q1859" t="s">
        <v>328</v>
      </c>
      <c r="R1859" t="s">
        <v>329</v>
      </c>
      <c r="S1859" t="s">
        <v>388</v>
      </c>
      <c r="T1859">
        <v>3</v>
      </c>
      <c r="U1859" t="s">
        <v>389</v>
      </c>
      <c r="V1859" t="s">
        <v>381</v>
      </c>
      <c r="W1859" t="s">
        <v>390</v>
      </c>
      <c r="X1859" t="s">
        <v>331</v>
      </c>
      <c r="Y1859" t="s">
        <v>307</v>
      </c>
      <c r="Z1859">
        <v>70</v>
      </c>
      <c r="AA1859">
        <v>70</v>
      </c>
      <c r="AB1859" t="s">
        <v>143</v>
      </c>
      <c r="AC1859" t="s">
        <v>160</v>
      </c>
      <c r="AD1859" t="s">
        <v>278</v>
      </c>
      <c r="AE1859" t="str">
        <f>IF(AF1859="","",VLOOKUP(AC1859,mapel!$A$2:$B$42,2,FALSE))</f>
        <v>B.Ing</v>
      </c>
      <c r="AF1859">
        <f t="shared" si="87"/>
        <v>70</v>
      </c>
      <c r="AG1859" t="str">
        <f>IF(AF1859="","",IF(AF1859&gt;90,"Sangat baik",IF(AF1859&gt;79,"Baik",IF(AF1859&gt;=pub_gid_0_single_true_output_csv[[#This Row],[KKM]],"Cukup","Kurang"))))</f>
        <v>Cukup</v>
      </c>
      <c r="AH1859">
        <f t="shared" si="88"/>
        <v>12</v>
      </c>
      <c r="AI1859" s="30" t="str">
        <f>IF(OR(J1859&lt;&gt;"Karakter",pub_gid_0_single_true_output_csv[[#This Row],[Nilai2]]=""),"",IF(AF1859&gt;89,"Sangat baik",IF(AF1859&gt;79,"Baik",IF(AF1859&gt;69,"Cukup",IF(AF1859&gt;59,"Kurang","Sangat kurang")))))</f>
        <v/>
      </c>
      <c r="AJ1859" t="str">
        <f t="shared" si="89"/>
        <v>Wk.6</v>
      </c>
      <c r="AK1859" t="str">
        <f>IF(pub_gid_0_single_true_output_csv[[#This Row],[Nilai2]]="","",VLOOKUP(pub_gid_0_single_true_output_csv[[#This Row],[NAMA]],Table7[],3,FALSE))</f>
        <v>Average</v>
      </c>
    </row>
    <row r="1860" spans="1:37" x14ac:dyDescent="0.2">
      <c r="A1860">
        <v>1859</v>
      </c>
      <c r="B1860" t="s">
        <v>318</v>
      </c>
      <c r="C1860" t="s">
        <v>65</v>
      </c>
      <c r="D1860" t="s">
        <v>63</v>
      </c>
      <c r="E1860" t="s">
        <v>140</v>
      </c>
      <c r="F1860" s="25">
        <v>46055</v>
      </c>
      <c r="G1860" t="s">
        <v>379</v>
      </c>
      <c r="H1860" t="s">
        <v>412</v>
      </c>
      <c r="I1860" t="s">
        <v>371</v>
      </c>
      <c r="J1860" t="s">
        <v>41</v>
      </c>
      <c r="K1860" t="s">
        <v>365</v>
      </c>
      <c r="L1860" t="s">
        <v>319</v>
      </c>
      <c r="M1860" t="s">
        <v>141</v>
      </c>
      <c r="N1860" t="s">
        <v>142</v>
      </c>
      <c r="O1860" t="s">
        <v>327</v>
      </c>
      <c r="P1860" t="s">
        <v>281</v>
      </c>
      <c r="Q1860" t="s">
        <v>328</v>
      </c>
      <c r="R1860" t="s">
        <v>329</v>
      </c>
      <c r="S1860" t="s">
        <v>388</v>
      </c>
      <c r="T1860">
        <v>3</v>
      </c>
      <c r="U1860" t="s">
        <v>389</v>
      </c>
      <c r="V1860" t="s">
        <v>381</v>
      </c>
      <c r="W1860" t="s">
        <v>390</v>
      </c>
      <c r="X1860" t="s">
        <v>331</v>
      </c>
      <c r="Y1860" t="s">
        <v>307</v>
      </c>
      <c r="Z1860">
        <v>70</v>
      </c>
      <c r="AA1860">
        <v>70</v>
      </c>
      <c r="AB1860" t="s">
        <v>143</v>
      </c>
      <c r="AC1860" t="s">
        <v>160</v>
      </c>
      <c r="AD1860" t="s">
        <v>278</v>
      </c>
      <c r="AE1860" t="str">
        <f>IF(AF1860="","",VLOOKUP(AC1860,mapel!$A$2:$B$42,2,FALSE))</f>
        <v>B.Ing</v>
      </c>
      <c r="AF1860">
        <f t="shared" si="87"/>
        <v>70</v>
      </c>
      <c r="AG1860" t="str">
        <f>IF(AF1860="","",IF(AF1860&gt;90,"Sangat baik",IF(AF1860&gt;79,"Baik",IF(AF1860&gt;=pub_gid_0_single_true_output_csv[[#This Row],[KKM]],"Cukup","Kurang"))))</f>
        <v>Cukup</v>
      </c>
      <c r="AH1860">
        <f t="shared" si="88"/>
        <v>12</v>
      </c>
      <c r="AI1860" s="30" t="str">
        <f>IF(OR(J1860&lt;&gt;"Karakter",pub_gid_0_single_true_output_csv[[#This Row],[Nilai2]]=""),"",IF(AF1860&gt;89,"Sangat baik",IF(AF1860&gt;79,"Baik",IF(AF1860&gt;69,"Cukup",IF(AF1860&gt;59,"Kurang","Sangat kurang")))))</f>
        <v/>
      </c>
      <c r="AJ1860" t="str">
        <f t="shared" si="89"/>
        <v>Wk.6</v>
      </c>
      <c r="AK1860" t="str">
        <f>IF(pub_gid_0_single_true_output_csv[[#This Row],[Nilai2]]="","",VLOOKUP(pub_gid_0_single_true_output_csv[[#This Row],[NAMA]],Table7[],3,FALSE))</f>
        <v>Average</v>
      </c>
    </row>
    <row r="1861" spans="1:37" x14ac:dyDescent="0.2">
      <c r="A1861">
        <v>1860</v>
      </c>
      <c r="B1861" t="s">
        <v>318</v>
      </c>
      <c r="C1861" t="s">
        <v>65</v>
      </c>
      <c r="D1861" t="s">
        <v>63</v>
      </c>
      <c r="E1861" t="s">
        <v>140</v>
      </c>
      <c r="F1861" s="25">
        <v>46055</v>
      </c>
      <c r="G1861" t="s">
        <v>379</v>
      </c>
      <c r="H1861" t="s">
        <v>412</v>
      </c>
      <c r="I1861" t="s">
        <v>371</v>
      </c>
      <c r="J1861" t="s">
        <v>90</v>
      </c>
      <c r="K1861" t="s">
        <v>92</v>
      </c>
      <c r="L1861" t="s">
        <v>91</v>
      </c>
      <c r="M1861" t="s">
        <v>141</v>
      </c>
      <c r="N1861" t="s">
        <v>142</v>
      </c>
      <c r="O1861" t="s">
        <v>327</v>
      </c>
      <c r="P1861" t="s">
        <v>281</v>
      </c>
      <c r="Q1861" t="s">
        <v>328</v>
      </c>
      <c r="R1861" t="s">
        <v>329</v>
      </c>
      <c r="S1861" t="s">
        <v>388</v>
      </c>
      <c r="T1861">
        <v>3</v>
      </c>
      <c r="U1861" t="s">
        <v>389</v>
      </c>
      <c r="V1861" t="s">
        <v>381</v>
      </c>
      <c r="W1861" t="s">
        <v>390</v>
      </c>
      <c r="X1861" t="s">
        <v>331</v>
      </c>
      <c r="Y1861" t="s">
        <v>307</v>
      </c>
      <c r="Z1861">
        <v>70</v>
      </c>
      <c r="AA1861">
        <v>70</v>
      </c>
      <c r="AB1861" t="s">
        <v>143</v>
      </c>
      <c r="AC1861" t="s">
        <v>160</v>
      </c>
      <c r="AD1861" t="s">
        <v>278</v>
      </c>
      <c r="AE1861" t="str">
        <f>IF(AF1861="","",VLOOKUP(AC1861,mapel!$A$2:$B$42,2,FALSE))</f>
        <v>B.Ing</v>
      </c>
      <c r="AF1861">
        <f t="shared" si="87"/>
        <v>70</v>
      </c>
      <c r="AG1861" t="str">
        <f>IF(AF1861="","",IF(AF1861&gt;90,"Sangat baik",IF(AF1861&gt;79,"Baik",IF(AF1861&gt;=pub_gid_0_single_true_output_csv[[#This Row],[KKM]],"Cukup","Kurang"))))</f>
        <v>Cukup</v>
      </c>
      <c r="AH1861">
        <f t="shared" si="88"/>
        <v>12</v>
      </c>
      <c r="AI1861" s="30" t="str">
        <f>IF(OR(J1861&lt;&gt;"Karakter",pub_gid_0_single_true_output_csv[[#This Row],[Nilai2]]=""),"",IF(AF1861&gt;89,"Sangat baik",IF(AF1861&gt;79,"Baik",IF(AF1861&gt;69,"Cukup",IF(AF1861&gt;59,"Kurang","Sangat kurang")))))</f>
        <v>Cukup</v>
      </c>
      <c r="AJ1861" t="str">
        <f t="shared" si="89"/>
        <v>Wk.6</v>
      </c>
      <c r="AK1861" t="str">
        <f>IF(pub_gid_0_single_true_output_csv[[#This Row],[Nilai2]]="","",VLOOKUP(pub_gid_0_single_true_output_csv[[#This Row],[NAMA]],Table7[],3,FALSE))</f>
        <v>Average</v>
      </c>
    </row>
    <row r="1862" spans="1:37" x14ac:dyDescent="0.2">
      <c r="A1862">
        <v>1861</v>
      </c>
      <c r="B1862" t="s">
        <v>318</v>
      </c>
      <c r="C1862" t="s">
        <v>65</v>
      </c>
      <c r="D1862" t="s">
        <v>63</v>
      </c>
      <c r="E1862" t="s">
        <v>140</v>
      </c>
      <c r="F1862" s="25">
        <v>46055</v>
      </c>
      <c r="G1862" t="s">
        <v>379</v>
      </c>
      <c r="H1862" t="s">
        <v>412</v>
      </c>
      <c r="I1862" t="s">
        <v>371</v>
      </c>
      <c r="J1862" t="s">
        <v>279</v>
      </c>
      <c r="K1862" t="s">
        <v>280</v>
      </c>
      <c r="L1862" t="s">
        <v>351</v>
      </c>
      <c r="M1862" t="s">
        <v>141</v>
      </c>
      <c r="N1862" t="s">
        <v>142</v>
      </c>
      <c r="O1862" t="s">
        <v>327</v>
      </c>
      <c r="P1862" t="s">
        <v>281</v>
      </c>
      <c r="Q1862" t="s">
        <v>328</v>
      </c>
      <c r="R1862" t="s">
        <v>329</v>
      </c>
      <c r="S1862" t="s">
        <v>388</v>
      </c>
      <c r="T1862">
        <v>3</v>
      </c>
      <c r="U1862" t="s">
        <v>389</v>
      </c>
      <c r="V1862" t="s">
        <v>381</v>
      </c>
      <c r="W1862" t="s">
        <v>390</v>
      </c>
      <c r="X1862" t="s">
        <v>331</v>
      </c>
      <c r="Y1862" t="s">
        <v>307</v>
      </c>
      <c r="Z1862">
        <v>70</v>
      </c>
      <c r="AA1862">
        <v>55</v>
      </c>
      <c r="AB1862" t="s">
        <v>151</v>
      </c>
      <c r="AC1862" t="s">
        <v>160</v>
      </c>
      <c r="AD1862" t="s">
        <v>278</v>
      </c>
      <c r="AE1862" t="str">
        <f>IF(AF1862="","",VLOOKUP(AC1862,mapel!$A$2:$B$42,2,FALSE))</f>
        <v>B.Ing</v>
      </c>
      <c r="AF1862">
        <f t="shared" si="87"/>
        <v>55</v>
      </c>
      <c r="AG1862" t="str">
        <f>IF(AF1862="","",IF(AF1862&gt;90,"Sangat baik",IF(AF1862&gt;79,"Baik",IF(AF1862&gt;=pub_gid_0_single_true_output_csv[[#This Row],[KKM]],"Cukup","Kurang"))))</f>
        <v>Kurang</v>
      </c>
      <c r="AH1862">
        <f t="shared" si="88"/>
        <v>12</v>
      </c>
      <c r="AI1862" s="30" t="str">
        <f>IF(OR(J1862&lt;&gt;"Karakter",pub_gid_0_single_true_output_csv[[#This Row],[Nilai2]]=""),"",IF(AF1862&gt;89,"Sangat baik",IF(AF1862&gt;79,"Baik",IF(AF1862&gt;69,"Cukup",IF(AF1862&gt;59,"Kurang","Sangat kurang")))))</f>
        <v/>
      </c>
      <c r="AJ1862" t="str">
        <f t="shared" si="89"/>
        <v>Wk.6</v>
      </c>
      <c r="AK1862" t="str">
        <f>IF(pub_gid_0_single_true_output_csv[[#This Row],[Nilai2]]="","",VLOOKUP(pub_gid_0_single_true_output_csv[[#This Row],[NAMA]],Table7[],3,FALSE))</f>
        <v>Average</v>
      </c>
    </row>
    <row r="1863" spans="1:37" x14ac:dyDescent="0.2">
      <c r="A1863">
        <v>1862</v>
      </c>
      <c r="B1863" t="s">
        <v>297</v>
      </c>
      <c r="C1863" t="s">
        <v>298</v>
      </c>
      <c r="D1863" t="s">
        <v>298</v>
      </c>
      <c r="E1863" t="s">
        <v>298</v>
      </c>
      <c r="F1863" s="25"/>
      <c r="G1863" t="s">
        <v>439</v>
      </c>
      <c r="H1863" t="s">
        <v>439</v>
      </c>
      <c r="I1863" t="s">
        <v>439</v>
      </c>
      <c r="J1863" t="s">
        <v>439</v>
      </c>
      <c r="K1863" t="s">
        <v>440</v>
      </c>
      <c r="L1863" t="s">
        <v>440</v>
      </c>
      <c r="M1863" t="s">
        <v>439</v>
      </c>
      <c r="N1863" t="s">
        <v>159</v>
      </c>
      <c r="O1863" t="s">
        <v>159</v>
      </c>
      <c r="P1863" t="s">
        <v>159</v>
      </c>
      <c r="Q1863" t="s">
        <v>300</v>
      </c>
      <c r="R1863" t="s">
        <v>300</v>
      </c>
      <c r="S1863" t="s">
        <v>439</v>
      </c>
      <c r="U1863" t="s">
        <v>159</v>
      </c>
      <c r="V1863" t="s">
        <v>418</v>
      </c>
      <c r="W1863" t="s">
        <v>297</v>
      </c>
      <c r="X1863" t="s">
        <v>439</v>
      </c>
      <c r="Y1863" t="s">
        <v>299</v>
      </c>
      <c r="Z1863">
        <v>65</v>
      </c>
      <c r="AB1863" t="s">
        <v>301</v>
      </c>
      <c r="AC1863" t="s">
        <v>152</v>
      </c>
      <c r="AD1863" t="s">
        <v>278</v>
      </c>
      <c r="AE1863" t="str">
        <f>IF(AF1863="","",VLOOKUP(AC1863,mapel!$A$2:$B$42,2,FALSE))</f>
        <v/>
      </c>
      <c r="AF1863" t="str">
        <f t="shared" si="87"/>
        <v/>
      </c>
      <c r="AG1863" t="str">
        <f>IF(AF1863="","",IF(AF1863&gt;90,"Sangat baik",IF(AF1863&gt;79,"Baik",IF(AF1863&gt;=pub_gid_0_single_true_output_csv[[#This Row],[KKM]],"Cukup","Kurang"))))</f>
        <v/>
      </c>
      <c r="AH1863" t="str">
        <f t="shared" si="88"/>
        <v/>
      </c>
      <c r="AI1863" s="30" t="str">
        <f>IF(OR(J1863&lt;&gt;"Karakter",pub_gid_0_single_true_output_csv[[#This Row],[Nilai2]]=""),"",IF(AF1863&gt;89,"Sangat baik",IF(AF1863&gt;79,"Baik",IF(AF1863&gt;69,"Cukup",IF(AF1863&gt;59,"Kurang","Sangat kurang")))))</f>
        <v/>
      </c>
      <c r="AJ1863" t="str">
        <f t="shared" si="89"/>
        <v/>
      </c>
      <c r="AK1863" t="str">
        <f>IF(pub_gid_0_single_true_output_csv[[#This Row],[Nilai2]]="","",VLOOKUP(pub_gid_0_single_true_output_csv[[#This Row],[NAMA]],Table7[],3,FALSE))</f>
        <v/>
      </c>
    </row>
    <row r="1864" spans="1:37" x14ac:dyDescent="0.2">
      <c r="A1864">
        <v>1863</v>
      </c>
      <c r="B1864" t="s">
        <v>311</v>
      </c>
      <c r="C1864" t="s">
        <v>65</v>
      </c>
      <c r="D1864" t="s">
        <v>55</v>
      </c>
      <c r="E1864" t="s">
        <v>146</v>
      </c>
      <c r="F1864" s="25">
        <v>46037</v>
      </c>
      <c r="G1864" t="s">
        <v>356</v>
      </c>
      <c r="H1864" t="s">
        <v>405</v>
      </c>
      <c r="I1864" t="s">
        <v>371</v>
      </c>
      <c r="J1864" t="s">
        <v>36</v>
      </c>
      <c r="K1864" t="s">
        <v>37</v>
      </c>
      <c r="L1864" t="s">
        <v>150</v>
      </c>
      <c r="M1864" t="s">
        <v>141</v>
      </c>
      <c r="N1864" t="s">
        <v>142</v>
      </c>
      <c r="O1864" t="s">
        <v>327</v>
      </c>
      <c r="P1864" t="s">
        <v>281</v>
      </c>
      <c r="Q1864" t="s">
        <v>328</v>
      </c>
      <c r="R1864" t="s">
        <v>360</v>
      </c>
      <c r="S1864" t="s">
        <v>388</v>
      </c>
      <c r="T1864">
        <v>3</v>
      </c>
      <c r="U1864" t="s">
        <v>441</v>
      </c>
      <c r="V1864" t="s">
        <v>381</v>
      </c>
      <c r="W1864" t="s">
        <v>442</v>
      </c>
      <c r="X1864" t="s">
        <v>331</v>
      </c>
      <c r="Y1864" t="s">
        <v>307</v>
      </c>
      <c r="Z1864">
        <v>65</v>
      </c>
      <c r="AA1864">
        <v>80</v>
      </c>
      <c r="AB1864" t="s">
        <v>143</v>
      </c>
      <c r="AC1864" t="s">
        <v>38</v>
      </c>
      <c r="AD1864" t="s">
        <v>310</v>
      </c>
      <c r="AE1864" t="str">
        <f>IF(AF1864="","",VLOOKUP(AC1864,mapel!$A$2:$B$42,2,FALSE))</f>
        <v>Biologi</v>
      </c>
      <c r="AF1864">
        <f t="shared" si="87"/>
        <v>80</v>
      </c>
      <c r="AG1864" t="str">
        <f>IF(AF1864="","",IF(AF1864&gt;90,"Sangat baik",IF(AF1864&gt;79,"Baik",IF(AF1864&gt;=pub_gid_0_single_true_output_csv[[#This Row],[KKM]],"Cukup","Kurang"))))</f>
        <v>Baik</v>
      </c>
      <c r="AH1864">
        <f t="shared" si="88"/>
        <v>12</v>
      </c>
      <c r="AI1864" s="30" t="str">
        <f>IF(OR(J1864&lt;&gt;"Karakter",pub_gid_0_single_true_output_csv[[#This Row],[Nilai2]]=""),"",IF(AF1864&gt;89,"Sangat baik",IF(AF1864&gt;79,"Baik",IF(AF1864&gt;69,"Cukup",IF(AF1864&gt;59,"Kurang","Sangat kurang")))))</f>
        <v/>
      </c>
      <c r="AJ1864" t="str">
        <f t="shared" si="89"/>
        <v>Wk.3</v>
      </c>
      <c r="AK1864" t="str">
        <f>IF(pub_gid_0_single_true_output_csv[[#This Row],[Nilai2]]="","",VLOOKUP(pub_gid_0_single_true_output_csv[[#This Row],[NAMA]],Table7[],3,FALSE))</f>
        <v>Average</v>
      </c>
    </row>
    <row r="1865" spans="1:37" x14ac:dyDescent="0.2">
      <c r="A1865">
        <v>1864</v>
      </c>
      <c r="B1865" t="s">
        <v>312</v>
      </c>
      <c r="C1865" t="s">
        <v>65</v>
      </c>
      <c r="D1865" t="s">
        <v>56</v>
      </c>
      <c r="E1865" t="s">
        <v>156</v>
      </c>
      <c r="F1865" s="25">
        <v>46037</v>
      </c>
      <c r="G1865" t="s">
        <v>356</v>
      </c>
      <c r="H1865" t="s">
        <v>405</v>
      </c>
      <c r="I1865" t="s">
        <v>371</v>
      </c>
      <c r="J1865" t="s">
        <v>36</v>
      </c>
      <c r="K1865" t="s">
        <v>37</v>
      </c>
      <c r="L1865" t="s">
        <v>150</v>
      </c>
      <c r="M1865" t="s">
        <v>141</v>
      </c>
      <c r="N1865" t="s">
        <v>142</v>
      </c>
      <c r="O1865" t="s">
        <v>327</v>
      </c>
      <c r="P1865" t="s">
        <v>281</v>
      </c>
      <c r="Q1865" t="s">
        <v>328</v>
      </c>
      <c r="R1865" t="s">
        <v>360</v>
      </c>
      <c r="S1865" t="s">
        <v>388</v>
      </c>
      <c r="T1865">
        <v>3</v>
      </c>
      <c r="U1865" t="s">
        <v>441</v>
      </c>
      <c r="V1865" t="s">
        <v>381</v>
      </c>
      <c r="W1865" t="s">
        <v>442</v>
      </c>
      <c r="X1865" t="s">
        <v>331</v>
      </c>
      <c r="Y1865" t="s">
        <v>307</v>
      </c>
      <c r="Z1865">
        <v>65</v>
      </c>
      <c r="AA1865">
        <v>92</v>
      </c>
      <c r="AB1865" t="s">
        <v>143</v>
      </c>
      <c r="AC1865" t="s">
        <v>38</v>
      </c>
      <c r="AD1865" t="s">
        <v>310</v>
      </c>
      <c r="AE1865" t="str">
        <f>IF(AF1865="","",VLOOKUP(AC1865,mapel!$A$2:$B$42,2,FALSE))</f>
        <v>Biologi</v>
      </c>
      <c r="AF1865">
        <f t="shared" si="87"/>
        <v>92</v>
      </c>
      <c r="AG1865" t="str">
        <f>IF(AF1865="","",IF(AF1865&gt;90,"Sangat baik",IF(AF1865&gt;79,"Baik",IF(AF1865&gt;=pub_gid_0_single_true_output_csv[[#This Row],[KKM]],"Cukup","Kurang"))))</f>
        <v>Sangat baik</v>
      </c>
      <c r="AH1865">
        <f t="shared" si="88"/>
        <v>12</v>
      </c>
      <c r="AI1865" s="30" t="str">
        <f>IF(OR(J1865&lt;&gt;"Karakter",pub_gid_0_single_true_output_csv[[#This Row],[Nilai2]]=""),"",IF(AF1865&gt;89,"Sangat baik",IF(AF1865&gt;79,"Baik",IF(AF1865&gt;69,"Cukup",IF(AF1865&gt;59,"Kurang","Sangat kurang")))))</f>
        <v/>
      </c>
      <c r="AJ1865" t="str">
        <f t="shared" si="89"/>
        <v>Wk.3</v>
      </c>
      <c r="AK1865" t="str">
        <f>IF(pub_gid_0_single_true_output_csv[[#This Row],[Nilai2]]="","",VLOOKUP(pub_gid_0_single_true_output_csv[[#This Row],[NAMA]],Table7[],3,FALSE))</f>
        <v>Superior</v>
      </c>
    </row>
    <row r="1866" spans="1:37" x14ac:dyDescent="0.2">
      <c r="A1866">
        <v>1865</v>
      </c>
      <c r="B1866" t="s">
        <v>313</v>
      </c>
      <c r="C1866" t="s">
        <v>65</v>
      </c>
      <c r="D1866" t="s">
        <v>57</v>
      </c>
      <c r="E1866" t="s">
        <v>146</v>
      </c>
      <c r="F1866" s="25">
        <v>46037</v>
      </c>
      <c r="G1866" t="s">
        <v>356</v>
      </c>
      <c r="H1866" t="s">
        <v>405</v>
      </c>
      <c r="I1866" t="s">
        <v>371</v>
      </c>
      <c r="J1866" t="s">
        <v>36</v>
      </c>
      <c r="K1866" t="s">
        <v>37</v>
      </c>
      <c r="L1866" t="s">
        <v>150</v>
      </c>
      <c r="M1866" t="s">
        <v>141</v>
      </c>
      <c r="N1866" t="s">
        <v>142</v>
      </c>
      <c r="O1866" t="s">
        <v>327</v>
      </c>
      <c r="P1866" t="s">
        <v>281</v>
      </c>
      <c r="Q1866" t="s">
        <v>328</v>
      </c>
      <c r="R1866" t="s">
        <v>360</v>
      </c>
      <c r="S1866" t="s">
        <v>388</v>
      </c>
      <c r="T1866">
        <v>3</v>
      </c>
      <c r="U1866" t="s">
        <v>441</v>
      </c>
      <c r="V1866" t="s">
        <v>381</v>
      </c>
      <c r="W1866" t="s">
        <v>442</v>
      </c>
      <c r="X1866" t="s">
        <v>331</v>
      </c>
      <c r="Y1866" t="s">
        <v>307</v>
      </c>
      <c r="Z1866">
        <v>65</v>
      </c>
      <c r="AA1866">
        <v>85</v>
      </c>
      <c r="AB1866" t="s">
        <v>143</v>
      </c>
      <c r="AC1866" t="s">
        <v>38</v>
      </c>
      <c r="AD1866" t="s">
        <v>310</v>
      </c>
      <c r="AE1866" t="str">
        <f>IF(AF1866="","",VLOOKUP(AC1866,mapel!$A$2:$B$42,2,FALSE))</f>
        <v>Biologi</v>
      </c>
      <c r="AF1866">
        <f t="shared" si="87"/>
        <v>85</v>
      </c>
      <c r="AG1866" t="str">
        <f>IF(AF1866="","",IF(AF1866&gt;90,"Sangat baik",IF(AF1866&gt;79,"Baik",IF(AF1866&gt;=pub_gid_0_single_true_output_csv[[#This Row],[KKM]],"Cukup","Kurang"))))</f>
        <v>Baik</v>
      </c>
      <c r="AH1866">
        <f t="shared" si="88"/>
        <v>12</v>
      </c>
      <c r="AI1866" s="30" t="str">
        <f>IF(OR(J1866&lt;&gt;"Karakter",pub_gid_0_single_true_output_csv[[#This Row],[Nilai2]]=""),"",IF(AF1866&gt;89,"Sangat baik",IF(AF1866&gt;79,"Baik",IF(AF1866&gt;69,"Cukup",IF(AF1866&gt;59,"Kurang","Sangat kurang")))))</f>
        <v/>
      </c>
      <c r="AJ1866" t="str">
        <f t="shared" si="89"/>
        <v>Wk.3</v>
      </c>
      <c r="AK1866" t="str">
        <f>IF(pub_gid_0_single_true_output_csv[[#This Row],[Nilai2]]="","",VLOOKUP(pub_gid_0_single_true_output_csv[[#This Row],[NAMA]],Table7[],3,FALSE))</f>
        <v>High average</v>
      </c>
    </row>
    <row r="1867" spans="1:37" x14ac:dyDescent="0.2">
      <c r="A1867">
        <v>1866</v>
      </c>
      <c r="B1867" t="s">
        <v>314</v>
      </c>
      <c r="C1867" t="s">
        <v>65</v>
      </c>
      <c r="D1867" t="s">
        <v>58</v>
      </c>
      <c r="E1867" t="s">
        <v>140</v>
      </c>
      <c r="F1867" s="25">
        <v>46037</v>
      </c>
      <c r="G1867" t="s">
        <v>356</v>
      </c>
      <c r="H1867" t="s">
        <v>405</v>
      </c>
      <c r="I1867" t="s">
        <v>371</v>
      </c>
      <c r="J1867" t="s">
        <v>36</v>
      </c>
      <c r="K1867" t="s">
        <v>37</v>
      </c>
      <c r="L1867" t="s">
        <v>150</v>
      </c>
      <c r="M1867" t="s">
        <v>141</v>
      </c>
      <c r="N1867" t="s">
        <v>142</v>
      </c>
      <c r="O1867" t="s">
        <v>327</v>
      </c>
      <c r="P1867" t="s">
        <v>281</v>
      </c>
      <c r="Q1867" t="s">
        <v>328</v>
      </c>
      <c r="R1867" t="s">
        <v>360</v>
      </c>
      <c r="S1867" t="s">
        <v>388</v>
      </c>
      <c r="T1867">
        <v>3</v>
      </c>
      <c r="U1867" t="s">
        <v>441</v>
      </c>
      <c r="V1867" t="s">
        <v>381</v>
      </c>
      <c r="W1867" t="s">
        <v>442</v>
      </c>
      <c r="X1867" t="s">
        <v>331</v>
      </c>
      <c r="Y1867" t="s">
        <v>307</v>
      </c>
      <c r="Z1867">
        <v>65</v>
      </c>
      <c r="AA1867">
        <v>75</v>
      </c>
      <c r="AB1867" t="s">
        <v>143</v>
      </c>
      <c r="AC1867" t="s">
        <v>38</v>
      </c>
      <c r="AD1867" t="s">
        <v>310</v>
      </c>
      <c r="AE1867" t="str">
        <f>IF(AF1867="","",VLOOKUP(AC1867,mapel!$A$2:$B$42,2,FALSE))</f>
        <v>Biologi</v>
      </c>
      <c r="AF1867">
        <f t="shared" si="87"/>
        <v>75</v>
      </c>
      <c r="AG1867" t="str">
        <f>IF(AF1867="","",IF(AF1867&gt;90,"Sangat baik",IF(AF1867&gt;79,"Baik",IF(AF1867&gt;=pub_gid_0_single_true_output_csv[[#This Row],[KKM]],"Cukup","Kurang"))))</f>
        <v>Cukup</v>
      </c>
      <c r="AH1867">
        <f t="shared" si="88"/>
        <v>12</v>
      </c>
      <c r="AI1867" s="30" t="str">
        <f>IF(OR(J1867&lt;&gt;"Karakter",pub_gid_0_single_true_output_csv[[#This Row],[Nilai2]]=""),"",IF(AF1867&gt;89,"Sangat baik",IF(AF1867&gt;79,"Baik",IF(AF1867&gt;69,"Cukup",IF(AF1867&gt;59,"Kurang","Sangat kurang")))))</f>
        <v/>
      </c>
      <c r="AJ1867" t="str">
        <f t="shared" si="89"/>
        <v>Wk.3</v>
      </c>
      <c r="AK1867" t="str">
        <f>IF(pub_gid_0_single_true_output_csv[[#This Row],[Nilai2]]="","",VLOOKUP(pub_gid_0_single_true_output_csv[[#This Row],[NAMA]],Table7[],3,FALSE))</f>
        <v>Average</v>
      </c>
    </row>
    <row r="1868" spans="1:37" x14ac:dyDescent="0.2">
      <c r="A1868">
        <v>1867</v>
      </c>
      <c r="B1868" t="s">
        <v>332</v>
      </c>
      <c r="C1868" t="s">
        <v>65</v>
      </c>
      <c r="D1868" t="s">
        <v>59</v>
      </c>
      <c r="E1868" t="s">
        <v>333</v>
      </c>
      <c r="F1868" s="25">
        <v>46037</v>
      </c>
      <c r="G1868" t="s">
        <v>356</v>
      </c>
      <c r="H1868" t="s">
        <v>405</v>
      </c>
      <c r="I1868" t="s">
        <v>371</v>
      </c>
      <c r="J1868" t="s">
        <v>36</v>
      </c>
      <c r="K1868" t="s">
        <v>37</v>
      </c>
      <c r="L1868" t="s">
        <v>150</v>
      </c>
      <c r="M1868" t="s">
        <v>141</v>
      </c>
      <c r="N1868" t="s">
        <v>142</v>
      </c>
      <c r="O1868" t="s">
        <v>327</v>
      </c>
      <c r="P1868" t="s">
        <v>281</v>
      </c>
      <c r="Q1868" t="s">
        <v>328</v>
      </c>
      <c r="R1868" t="s">
        <v>360</v>
      </c>
      <c r="S1868" t="s">
        <v>388</v>
      </c>
      <c r="T1868">
        <v>3</v>
      </c>
      <c r="U1868" t="s">
        <v>441</v>
      </c>
      <c r="V1868" t="s">
        <v>381</v>
      </c>
      <c r="W1868" t="s">
        <v>442</v>
      </c>
      <c r="X1868" t="s">
        <v>331</v>
      </c>
      <c r="Y1868" t="s">
        <v>307</v>
      </c>
      <c r="Z1868">
        <v>65</v>
      </c>
      <c r="AA1868">
        <v>90</v>
      </c>
      <c r="AB1868" t="s">
        <v>143</v>
      </c>
      <c r="AC1868" t="s">
        <v>38</v>
      </c>
      <c r="AD1868" t="s">
        <v>310</v>
      </c>
      <c r="AE1868" t="str">
        <f>IF(AF1868="","",VLOOKUP(AC1868,mapel!$A$2:$B$42,2,FALSE))</f>
        <v>Biologi</v>
      </c>
      <c r="AF1868">
        <f t="shared" si="87"/>
        <v>90</v>
      </c>
      <c r="AG1868" t="str">
        <f>IF(AF1868="","",IF(AF1868&gt;90,"Sangat baik",IF(AF1868&gt;79,"Baik",IF(AF1868&gt;=pub_gid_0_single_true_output_csv[[#This Row],[KKM]],"Cukup","Kurang"))))</f>
        <v>Baik</v>
      </c>
      <c r="AH1868">
        <f t="shared" si="88"/>
        <v>12</v>
      </c>
      <c r="AI1868" s="30" t="str">
        <f>IF(OR(J1868&lt;&gt;"Karakter",pub_gid_0_single_true_output_csv[[#This Row],[Nilai2]]=""),"",IF(AF1868&gt;89,"Sangat baik",IF(AF1868&gt;79,"Baik",IF(AF1868&gt;69,"Cukup",IF(AF1868&gt;59,"Kurang","Sangat kurang")))))</f>
        <v/>
      </c>
      <c r="AJ1868" t="str">
        <f t="shared" si="89"/>
        <v>Wk.3</v>
      </c>
      <c r="AK1868" t="str">
        <f>IF(pub_gid_0_single_true_output_csv[[#This Row],[Nilai2]]="","",VLOOKUP(pub_gid_0_single_true_output_csv[[#This Row],[NAMA]],Table7[],3,FALSE))</f>
        <v>Superior</v>
      </c>
    </row>
    <row r="1869" spans="1:37" x14ac:dyDescent="0.2">
      <c r="A1869">
        <v>1868</v>
      </c>
      <c r="B1869" t="s">
        <v>315</v>
      </c>
      <c r="C1869" t="s">
        <v>65</v>
      </c>
      <c r="D1869" t="s">
        <v>60</v>
      </c>
      <c r="E1869" t="s">
        <v>140</v>
      </c>
      <c r="F1869" s="25">
        <v>46037</v>
      </c>
      <c r="G1869" t="s">
        <v>356</v>
      </c>
      <c r="H1869" t="s">
        <v>405</v>
      </c>
      <c r="I1869" t="s">
        <v>371</v>
      </c>
      <c r="J1869" t="s">
        <v>36</v>
      </c>
      <c r="K1869" t="s">
        <v>37</v>
      </c>
      <c r="L1869" t="s">
        <v>150</v>
      </c>
      <c r="M1869" t="s">
        <v>141</v>
      </c>
      <c r="N1869" t="s">
        <v>142</v>
      </c>
      <c r="O1869" t="s">
        <v>327</v>
      </c>
      <c r="P1869" t="s">
        <v>281</v>
      </c>
      <c r="Q1869" t="s">
        <v>328</v>
      </c>
      <c r="R1869" t="s">
        <v>360</v>
      </c>
      <c r="S1869" t="s">
        <v>388</v>
      </c>
      <c r="T1869">
        <v>3</v>
      </c>
      <c r="U1869" t="s">
        <v>441</v>
      </c>
      <c r="V1869" t="s">
        <v>381</v>
      </c>
      <c r="W1869" t="s">
        <v>442</v>
      </c>
      <c r="X1869" t="s">
        <v>331</v>
      </c>
      <c r="Y1869" t="s">
        <v>307</v>
      </c>
      <c r="Z1869">
        <v>65</v>
      </c>
      <c r="AA1869">
        <v>30</v>
      </c>
      <c r="AB1869" t="s">
        <v>151</v>
      </c>
      <c r="AC1869" t="s">
        <v>38</v>
      </c>
      <c r="AD1869" t="s">
        <v>310</v>
      </c>
      <c r="AE1869" t="str">
        <f>IF(AF1869="","",VLOOKUP(AC1869,mapel!$A$2:$B$42,2,FALSE))</f>
        <v>Biologi</v>
      </c>
      <c r="AF1869">
        <f t="shared" si="87"/>
        <v>30</v>
      </c>
      <c r="AG1869" t="str">
        <f>IF(AF1869="","",IF(AF1869&gt;90,"Sangat baik",IF(AF1869&gt;79,"Baik",IF(AF1869&gt;=pub_gid_0_single_true_output_csv[[#This Row],[KKM]],"Cukup","Kurang"))))</f>
        <v>Kurang</v>
      </c>
      <c r="AH1869">
        <f t="shared" si="88"/>
        <v>12</v>
      </c>
      <c r="AI1869" s="30" t="str">
        <f>IF(OR(J1869&lt;&gt;"Karakter",pub_gid_0_single_true_output_csv[[#This Row],[Nilai2]]=""),"",IF(AF1869&gt;89,"Sangat baik",IF(AF1869&gt;79,"Baik",IF(AF1869&gt;69,"Cukup",IF(AF1869&gt;59,"Kurang","Sangat kurang")))))</f>
        <v/>
      </c>
      <c r="AJ1869" t="str">
        <f t="shared" si="89"/>
        <v>Wk.3</v>
      </c>
      <c r="AK1869" t="str">
        <f>IF(pub_gid_0_single_true_output_csv[[#This Row],[Nilai2]]="","",VLOOKUP(pub_gid_0_single_true_output_csv[[#This Row],[NAMA]],Table7[],3,FALSE))</f>
        <v>High average</v>
      </c>
    </row>
    <row r="1870" spans="1:37" x14ac:dyDescent="0.2">
      <c r="A1870">
        <v>1869</v>
      </c>
      <c r="B1870" t="s">
        <v>316</v>
      </c>
      <c r="C1870" t="s">
        <v>65</v>
      </c>
      <c r="D1870" t="s">
        <v>61</v>
      </c>
      <c r="E1870" t="s">
        <v>140</v>
      </c>
      <c r="F1870" s="25">
        <v>46037</v>
      </c>
      <c r="G1870" t="s">
        <v>356</v>
      </c>
      <c r="H1870" t="s">
        <v>405</v>
      </c>
      <c r="I1870" t="s">
        <v>371</v>
      </c>
      <c r="J1870" t="s">
        <v>36</v>
      </c>
      <c r="K1870" t="s">
        <v>37</v>
      </c>
      <c r="L1870" t="s">
        <v>150</v>
      </c>
      <c r="M1870" t="s">
        <v>141</v>
      </c>
      <c r="N1870" t="s">
        <v>142</v>
      </c>
      <c r="O1870" t="s">
        <v>327</v>
      </c>
      <c r="P1870" t="s">
        <v>281</v>
      </c>
      <c r="Q1870" t="s">
        <v>328</v>
      </c>
      <c r="R1870" t="s">
        <v>360</v>
      </c>
      <c r="S1870" t="s">
        <v>388</v>
      </c>
      <c r="T1870">
        <v>3</v>
      </c>
      <c r="U1870" t="s">
        <v>441</v>
      </c>
      <c r="V1870" t="s">
        <v>381</v>
      </c>
      <c r="W1870" t="s">
        <v>442</v>
      </c>
      <c r="X1870" t="s">
        <v>331</v>
      </c>
      <c r="Y1870" t="s">
        <v>307</v>
      </c>
      <c r="Z1870">
        <v>65</v>
      </c>
      <c r="AA1870">
        <v>50</v>
      </c>
      <c r="AB1870" t="s">
        <v>151</v>
      </c>
      <c r="AC1870" t="s">
        <v>38</v>
      </c>
      <c r="AD1870" t="s">
        <v>310</v>
      </c>
      <c r="AE1870" t="str">
        <f>IF(AF1870="","",VLOOKUP(AC1870,mapel!$A$2:$B$42,2,FALSE))</f>
        <v>Biologi</v>
      </c>
      <c r="AF1870">
        <f t="shared" si="87"/>
        <v>50</v>
      </c>
      <c r="AG1870" t="str">
        <f>IF(AF1870="","",IF(AF1870&gt;90,"Sangat baik",IF(AF1870&gt;79,"Baik",IF(AF1870&gt;=pub_gid_0_single_true_output_csv[[#This Row],[KKM]],"Cukup","Kurang"))))</f>
        <v>Kurang</v>
      </c>
      <c r="AH1870">
        <f t="shared" si="88"/>
        <v>12</v>
      </c>
      <c r="AI1870" s="30" t="str">
        <f>IF(OR(J1870&lt;&gt;"Karakter",pub_gid_0_single_true_output_csv[[#This Row],[Nilai2]]=""),"",IF(AF1870&gt;89,"Sangat baik",IF(AF1870&gt;79,"Baik",IF(AF1870&gt;69,"Cukup",IF(AF1870&gt;59,"Kurang","Sangat kurang")))))</f>
        <v/>
      </c>
      <c r="AJ1870" t="str">
        <f t="shared" si="89"/>
        <v>Wk.3</v>
      </c>
      <c r="AK1870" t="str">
        <f>IF(pub_gid_0_single_true_output_csv[[#This Row],[Nilai2]]="","",VLOOKUP(pub_gid_0_single_true_output_csv[[#This Row],[NAMA]],Table7[],3,FALSE))</f>
        <v>Average</v>
      </c>
    </row>
    <row r="1871" spans="1:37" x14ac:dyDescent="0.2">
      <c r="A1871">
        <v>1870</v>
      </c>
      <c r="B1871" t="s">
        <v>317</v>
      </c>
      <c r="C1871" t="s">
        <v>65</v>
      </c>
      <c r="D1871" t="s">
        <v>62</v>
      </c>
      <c r="E1871" t="s">
        <v>140</v>
      </c>
      <c r="F1871" s="25">
        <v>46037</v>
      </c>
      <c r="G1871" t="s">
        <v>356</v>
      </c>
      <c r="H1871" t="s">
        <v>405</v>
      </c>
      <c r="I1871" t="s">
        <v>371</v>
      </c>
      <c r="J1871" t="s">
        <v>36</v>
      </c>
      <c r="K1871" t="s">
        <v>37</v>
      </c>
      <c r="L1871" t="s">
        <v>150</v>
      </c>
      <c r="M1871" t="s">
        <v>141</v>
      </c>
      <c r="N1871" t="s">
        <v>142</v>
      </c>
      <c r="O1871" t="s">
        <v>327</v>
      </c>
      <c r="P1871" t="s">
        <v>281</v>
      </c>
      <c r="Q1871" t="s">
        <v>328</v>
      </c>
      <c r="R1871" t="s">
        <v>360</v>
      </c>
      <c r="S1871" t="s">
        <v>388</v>
      </c>
      <c r="T1871">
        <v>3</v>
      </c>
      <c r="U1871" t="s">
        <v>441</v>
      </c>
      <c r="V1871" t="s">
        <v>381</v>
      </c>
      <c r="W1871" t="s">
        <v>442</v>
      </c>
      <c r="X1871" t="s">
        <v>331</v>
      </c>
      <c r="Y1871" t="s">
        <v>307</v>
      </c>
      <c r="Z1871">
        <v>65</v>
      </c>
      <c r="AA1871">
        <v>75</v>
      </c>
      <c r="AB1871" t="s">
        <v>143</v>
      </c>
      <c r="AC1871" t="s">
        <v>38</v>
      </c>
      <c r="AD1871" t="s">
        <v>310</v>
      </c>
      <c r="AE1871" t="str">
        <f>IF(AF1871="","",VLOOKUP(AC1871,mapel!$A$2:$B$42,2,FALSE))</f>
        <v>Biologi</v>
      </c>
      <c r="AF1871">
        <f t="shared" si="87"/>
        <v>75</v>
      </c>
      <c r="AG1871" t="str">
        <f>IF(AF1871="","",IF(AF1871&gt;90,"Sangat baik",IF(AF1871&gt;79,"Baik",IF(AF1871&gt;=pub_gid_0_single_true_output_csv[[#This Row],[KKM]],"Cukup","Kurang"))))</f>
        <v>Cukup</v>
      </c>
      <c r="AH1871">
        <f t="shared" si="88"/>
        <v>12</v>
      </c>
      <c r="AI1871" s="30" t="str">
        <f>IF(OR(J1871&lt;&gt;"Karakter",pub_gid_0_single_true_output_csv[[#This Row],[Nilai2]]=""),"",IF(AF1871&gt;89,"Sangat baik",IF(AF1871&gt;79,"Baik",IF(AF1871&gt;69,"Cukup",IF(AF1871&gt;59,"Kurang","Sangat kurang")))))</f>
        <v/>
      </c>
      <c r="AJ1871" t="str">
        <f t="shared" si="89"/>
        <v>Wk.3</v>
      </c>
      <c r="AK1871" t="str">
        <f>IF(pub_gid_0_single_true_output_csv[[#This Row],[Nilai2]]="","",VLOOKUP(pub_gid_0_single_true_output_csv[[#This Row],[NAMA]],Table7[],3,FALSE))</f>
        <v>Borderline</v>
      </c>
    </row>
    <row r="1872" spans="1:37" x14ac:dyDescent="0.2">
      <c r="A1872">
        <v>1871</v>
      </c>
      <c r="B1872" t="s">
        <v>318</v>
      </c>
      <c r="C1872" t="s">
        <v>65</v>
      </c>
      <c r="D1872" t="s">
        <v>63</v>
      </c>
      <c r="E1872" t="s">
        <v>140</v>
      </c>
      <c r="F1872" s="25">
        <v>46037</v>
      </c>
      <c r="G1872" t="s">
        <v>356</v>
      </c>
      <c r="H1872" t="s">
        <v>405</v>
      </c>
      <c r="I1872" t="s">
        <v>371</v>
      </c>
      <c r="J1872" t="s">
        <v>36</v>
      </c>
      <c r="K1872" t="s">
        <v>37</v>
      </c>
      <c r="L1872" t="s">
        <v>150</v>
      </c>
      <c r="M1872" t="s">
        <v>141</v>
      </c>
      <c r="N1872" t="s">
        <v>142</v>
      </c>
      <c r="O1872" t="s">
        <v>327</v>
      </c>
      <c r="P1872" t="s">
        <v>281</v>
      </c>
      <c r="Q1872" t="s">
        <v>328</v>
      </c>
      <c r="R1872" t="s">
        <v>360</v>
      </c>
      <c r="S1872" t="s">
        <v>388</v>
      </c>
      <c r="T1872">
        <v>3</v>
      </c>
      <c r="U1872" t="s">
        <v>441</v>
      </c>
      <c r="V1872" t="s">
        <v>381</v>
      </c>
      <c r="W1872" t="s">
        <v>442</v>
      </c>
      <c r="X1872" t="s">
        <v>331</v>
      </c>
      <c r="Y1872" t="s">
        <v>307</v>
      </c>
      <c r="Z1872">
        <v>65</v>
      </c>
      <c r="AA1872">
        <v>70</v>
      </c>
      <c r="AB1872" t="s">
        <v>143</v>
      </c>
      <c r="AC1872" t="s">
        <v>38</v>
      </c>
      <c r="AD1872" t="s">
        <v>310</v>
      </c>
      <c r="AE1872" t="str">
        <f>IF(AF1872="","",VLOOKUP(AC1872,mapel!$A$2:$B$42,2,FALSE))</f>
        <v>Biologi</v>
      </c>
      <c r="AF1872">
        <f t="shared" si="87"/>
        <v>70</v>
      </c>
      <c r="AG1872" t="str">
        <f>IF(AF1872="","",IF(AF1872&gt;90,"Sangat baik",IF(AF1872&gt;79,"Baik",IF(AF1872&gt;=pub_gid_0_single_true_output_csv[[#This Row],[KKM]],"Cukup","Kurang"))))</f>
        <v>Cukup</v>
      </c>
      <c r="AH1872">
        <f t="shared" si="88"/>
        <v>12</v>
      </c>
      <c r="AI1872" s="30" t="str">
        <f>IF(OR(J1872&lt;&gt;"Karakter",pub_gid_0_single_true_output_csv[[#This Row],[Nilai2]]=""),"",IF(AF1872&gt;89,"Sangat baik",IF(AF1872&gt;79,"Baik",IF(AF1872&gt;69,"Cukup",IF(AF1872&gt;59,"Kurang","Sangat kurang")))))</f>
        <v/>
      </c>
      <c r="AJ1872" t="str">
        <f t="shared" si="89"/>
        <v>Wk.3</v>
      </c>
      <c r="AK1872" t="str">
        <f>IF(pub_gid_0_single_true_output_csv[[#This Row],[Nilai2]]="","",VLOOKUP(pub_gid_0_single_true_output_csv[[#This Row],[NAMA]],Table7[],3,FALSE))</f>
        <v>Average</v>
      </c>
    </row>
    <row r="1873" spans="1:37" x14ac:dyDescent="0.2">
      <c r="A1873">
        <v>1872</v>
      </c>
      <c r="B1873" t="s">
        <v>311</v>
      </c>
      <c r="C1873" t="s">
        <v>65</v>
      </c>
      <c r="D1873" t="s">
        <v>55</v>
      </c>
      <c r="E1873" t="s">
        <v>146</v>
      </c>
      <c r="F1873" s="25">
        <v>46063</v>
      </c>
      <c r="G1873" t="s">
        <v>374</v>
      </c>
      <c r="H1873" t="s">
        <v>412</v>
      </c>
      <c r="I1873" t="s">
        <v>371</v>
      </c>
      <c r="J1873" t="s">
        <v>41</v>
      </c>
      <c r="K1873" t="s">
        <v>157</v>
      </c>
      <c r="L1873" t="s">
        <v>150</v>
      </c>
      <c r="M1873" t="s">
        <v>141</v>
      </c>
      <c r="N1873" t="s">
        <v>142</v>
      </c>
      <c r="O1873" t="s">
        <v>327</v>
      </c>
      <c r="P1873" t="s">
        <v>281</v>
      </c>
      <c r="Q1873" t="s">
        <v>328</v>
      </c>
      <c r="R1873" t="s">
        <v>329</v>
      </c>
      <c r="S1873" t="s">
        <v>515</v>
      </c>
      <c r="T1873">
        <v>1</v>
      </c>
      <c r="U1873" t="s">
        <v>359</v>
      </c>
      <c r="V1873" t="s">
        <v>342</v>
      </c>
      <c r="W1873" t="s">
        <v>516</v>
      </c>
      <c r="X1873" t="s">
        <v>517</v>
      </c>
      <c r="Y1873" t="s">
        <v>335</v>
      </c>
      <c r="Z1873">
        <v>70</v>
      </c>
      <c r="AA1873">
        <v>60</v>
      </c>
      <c r="AB1873" t="s">
        <v>151</v>
      </c>
      <c r="AC1873" t="s">
        <v>40</v>
      </c>
      <c r="AD1873" t="s">
        <v>278</v>
      </c>
      <c r="AE1873" t="str">
        <f>IF(AF1873="","",VLOOKUP(AC1873,mapel!$A$2:$B$42,2,FALSE))</f>
        <v>Fisika</v>
      </c>
      <c r="AF1873">
        <f t="shared" si="87"/>
        <v>60</v>
      </c>
      <c r="AG1873" t="str">
        <f>IF(AF1873="","",IF(AF1873&gt;90,"Sangat baik",IF(AF1873&gt;79,"Baik",IF(AF1873&gt;=pub_gid_0_single_true_output_csv[[#This Row],[KKM]],"Cukup","Kurang"))))</f>
        <v>Kurang</v>
      </c>
      <c r="AH1873">
        <f t="shared" si="88"/>
        <v>8</v>
      </c>
      <c r="AI1873" s="30" t="str">
        <f>IF(OR(J1873&lt;&gt;"Karakter",pub_gid_0_single_true_output_csv[[#This Row],[Nilai2]]=""),"",IF(AF1873&gt;89,"Sangat baik",IF(AF1873&gt;79,"Baik",IF(AF1873&gt;69,"Cukup",IF(AF1873&gt;59,"Kurang","Sangat kurang")))))</f>
        <v/>
      </c>
      <c r="AJ1873" t="str">
        <f t="shared" si="89"/>
        <v>Wk.7</v>
      </c>
      <c r="AK1873" t="str">
        <f>IF(pub_gid_0_single_true_output_csv[[#This Row],[Nilai2]]="","",VLOOKUP(pub_gid_0_single_true_output_csv[[#This Row],[NAMA]],Table7[],3,FALSE))</f>
        <v>Average</v>
      </c>
    </row>
    <row r="1874" spans="1:37" x14ac:dyDescent="0.2">
      <c r="A1874">
        <v>1873</v>
      </c>
      <c r="B1874" t="s">
        <v>312</v>
      </c>
      <c r="C1874" t="s">
        <v>65</v>
      </c>
      <c r="D1874" t="s">
        <v>56</v>
      </c>
      <c r="E1874" t="s">
        <v>156</v>
      </c>
      <c r="F1874" s="25">
        <v>46063</v>
      </c>
      <c r="G1874" t="s">
        <v>374</v>
      </c>
      <c r="H1874" t="s">
        <v>412</v>
      </c>
      <c r="I1874" t="s">
        <v>371</v>
      </c>
      <c r="J1874" t="s">
        <v>41</v>
      </c>
      <c r="K1874" t="s">
        <v>157</v>
      </c>
      <c r="L1874" t="s">
        <v>150</v>
      </c>
      <c r="M1874" t="s">
        <v>141</v>
      </c>
      <c r="N1874" t="s">
        <v>142</v>
      </c>
      <c r="O1874" t="s">
        <v>327</v>
      </c>
      <c r="P1874" t="s">
        <v>281</v>
      </c>
      <c r="Q1874" t="s">
        <v>328</v>
      </c>
      <c r="R1874" t="s">
        <v>329</v>
      </c>
      <c r="S1874" t="s">
        <v>515</v>
      </c>
      <c r="T1874">
        <v>1</v>
      </c>
      <c r="U1874" t="s">
        <v>359</v>
      </c>
      <c r="V1874" t="s">
        <v>342</v>
      </c>
      <c r="W1874" t="s">
        <v>516</v>
      </c>
      <c r="X1874" t="s">
        <v>517</v>
      </c>
      <c r="Y1874" t="s">
        <v>335</v>
      </c>
      <c r="Z1874">
        <v>70</v>
      </c>
      <c r="AA1874">
        <v>80</v>
      </c>
      <c r="AB1874" t="s">
        <v>143</v>
      </c>
      <c r="AC1874" t="s">
        <v>40</v>
      </c>
      <c r="AD1874" t="s">
        <v>278</v>
      </c>
      <c r="AE1874" t="str">
        <f>IF(AF1874="","",VLOOKUP(AC1874,mapel!$A$2:$B$42,2,FALSE))</f>
        <v>Fisika</v>
      </c>
      <c r="AF1874">
        <f t="shared" si="87"/>
        <v>80</v>
      </c>
      <c r="AG1874" t="str">
        <f>IF(AF1874="","",IF(AF1874&gt;90,"Sangat baik",IF(AF1874&gt;79,"Baik",IF(AF1874&gt;=pub_gid_0_single_true_output_csv[[#This Row],[KKM]],"Cukup","Kurang"))))</f>
        <v>Baik</v>
      </c>
      <c r="AH1874">
        <f t="shared" si="88"/>
        <v>8</v>
      </c>
      <c r="AI1874" s="30" t="str">
        <f>IF(OR(J1874&lt;&gt;"Karakter",pub_gid_0_single_true_output_csv[[#This Row],[Nilai2]]=""),"",IF(AF1874&gt;89,"Sangat baik",IF(AF1874&gt;79,"Baik",IF(AF1874&gt;69,"Cukup",IF(AF1874&gt;59,"Kurang","Sangat kurang")))))</f>
        <v/>
      </c>
      <c r="AJ1874" t="str">
        <f t="shared" si="89"/>
        <v>Wk.7</v>
      </c>
      <c r="AK1874" t="str">
        <f>IF(pub_gid_0_single_true_output_csv[[#This Row],[Nilai2]]="","",VLOOKUP(pub_gid_0_single_true_output_csv[[#This Row],[NAMA]],Table7[],3,FALSE))</f>
        <v>Superior</v>
      </c>
    </row>
    <row r="1875" spans="1:37" x14ac:dyDescent="0.2">
      <c r="A1875">
        <v>1874</v>
      </c>
      <c r="B1875" t="s">
        <v>313</v>
      </c>
      <c r="C1875" t="s">
        <v>65</v>
      </c>
      <c r="D1875" t="s">
        <v>57</v>
      </c>
      <c r="E1875" t="s">
        <v>146</v>
      </c>
      <c r="F1875" s="25">
        <v>46063</v>
      </c>
      <c r="G1875" t="s">
        <v>374</v>
      </c>
      <c r="H1875" t="s">
        <v>412</v>
      </c>
      <c r="I1875" t="s">
        <v>371</v>
      </c>
      <c r="J1875" t="s">
        <v>41</v>
      </c>
      <c r="K1875" t="s">
        <v>157</v>
      </c>
      <c r="L1875" t="s">
        <v>150</v>
      </c>
      <c r="M1875" t="s">
        <v>141</v>
      </c>
      <c r="N1875" t="s">
        <v>142</v>
      </c>
      <c r="O1875" t="s">
        <v>327</v>
      </c>
      <c r="P1875" t="s">
        <v>281</v>
      </c>
      <c r="Q1875" t="s">
        <v>328</v>
      </c>
      <c r="R1875" t="s">
        <v>329</v>
      </c>
      <c r="S1875" t="s">
        <v>515</v>
      </c>
      <c r="T1875">
        <v>1</v>
      </c>
      <c r="U1875" t="s">
        <v>359</v>
      </c>
      <c r="V1875" t="s">
        <v>342</v>
      </c>
      <c r="W1875" t="s">
        <v>516</v>
      </c>
      <c r="X1875" t="s">
        <v>517</v>
      </c>
      <c r="Y1875" t="s">
        <v>335</v>
      </c>
      <c r="Z1875">
        <v>70</v>
      </c>
      <c r="AA1875">
        <v>70</v>
      </c>
      <c r="AB1875" t="s">
        <v>143</v>
      </c>
      <c r="AC1875" t="s">
        <v>40</v>
      </c>
      <c r="AD1875" t="s">
        <v>278</v>
      </c>
      <c r="AE1875" t="str">
        <f>IF(AF1875="","",VLOOKUP(AC1875,mapel!$A$2:$B$42,2,FALSE))</f>
        <v>Fisika</v>
      </c>
      <c r="AF1875">
        <f t="shared" si="87"/>
        <v>70</v>
      </c>
      <c r="AG1875" t="str">
        <f>IF(AF1875="","",IF(AF1875&gt;90,"Sangat baik",IF(AF1875&gt;79,"Baik",IF(AF1875&gt;=pub_gid_0_single_true_output_csv[[#This Row],[KKM]],"Cukup","Kurang"))))</f>
        <v>Cukup</v>
      </c>
      <c r="AH1875">
        <f t="shared" si="88"/>
        <v>8</v>
      </c>
      <c r="AI1875" s="30" t="str">
        <f>IF(OR(J1875&lt;&gt;"Karakter",pub_gid_0_single_true_output_csv[[#This Row],[Nilai2]]=""),"",IF(AF1875&gt;89,"Sangat baik",IF(AF1875&gt;79,"Baik",IF(AF1875&gt;69,"Cukup",IF(AF1875&gt;59,"Kurang","Sangat kurang")))))</f>
        <v/>
      </c>
      <c r="AJ1875" t="str">
        <f t="shared" si="89"/>
        <v>Wk.7</v>
      </c>
      <c r="AK1875" t="str">
        <f>IF(pub_gid_0_single_true_output_csv[[#This Row],[Nilai2]]="","",VLOOKUP(pub_gid_0_single_true_output_csv[[#This Row],[NAMA]],Table7[],3,FALSE))</f>
        <v>High average</v>
      </c>
    </row>
    <row r="1876" spans="1:37" x14ac:dyDescent="0.2">
      <c r="A1876">
        <v>1875</v>
      </c>
      <c r="B1876" t="s">
        <v>314</v>
      </c>
      <c r="C1876" t="s">
        <v>65</v>
      </c>
      <c r="D1876" t="s">
        <v>58</v>
      </c>
      <c r="E1876" t="s">
        <v>140</v>
      </c>
      <c r="F1876" s="25">
        <v>46063</v>
      </c>
      <c r="G1876" t="s">
        <v>374</v>
      </c>
      <c r="H1876" t="s">
        <v>412</v>
      </c>
      <c r="I1876" t="s">
        <v>371</v>
      </c>
      <c r="J1876" t="s">
        <v>41</v>
      </c>
      <c r="K1876" t="s">
        <v>157</v>
      </c>
      <c r="L1876" t="s">
        <v>150</v>
      </c>
      <c r="M1876" t="s">
        <v>141</v>
      </c>
      <c r="N1876" t="s">
        <v>142</v>
      </c>
      <c r="O1876" t="s">
        <v>327</v>
      </c>
      <c r="P1876" t="s">
        <v>281</v>
      </c>
      <c r="Q1876" t="s">
        <v>328</v>
      </c>
      <c r="R1876" t="s">
        <v>329</v>
      </c>
      <c r="S1876" t="s">
        <v>515</v>
      </c>
      <c r="T1876">
        <v>1</v>
      </c>
      <c r="U1876" t="s">
        <v>359</v>
      </c>
      <c r="V1876" t="s">
        <v>342</v>
      </c>
      <c r="W1876" t="s">
        <v>516</v>
      </c>
      <c r="X1876" t="s">
        <v>517</v>
      </c>
      <c r="Y1876" t="s">
        <v>335</v>
      </c>
      <c r="Z1876">
        <v>70</v>
      </c>
      <c r="AA1876">
        <v>40</v>
      </c>
      <c r="AB1876" t="s">
        <v>151</v>
      </c>
      <c r="AC1876" t="s">
        <v>40</v>
      </c>
      <c r="AD1876" t="s">
        <v>278</v>
      </c>
      <c r="AE1876" t="str">
        <f>IF(AF1876="","",VLOOKUP(AC1876,mapel!$A$2:$B$42,2,FALSE))</f>
        <v>Fisika</v>
      </c>
      <c r="AF1876">
        <f t="shared" si="87"/>
        <v>40</v>
      </c>
      <c r="AG1876" t="str">
        <f>IF(AF1876="","",IF(AF1876&gt;90,"Sangat baik",IF(AF1876&gt;79,"Baik",IF(AF1876&gt;=pub_gid_0_single_true_output_csv[[#This Row],[KKM]],"Cukup","Kurang"))))</f>
        <v>Kurang</v>
      </c>
      <c r="AH1876">
        <f t="shared" si="88"/>
        <v>8</v>
      </c>
      <c r="AI1876" s="30" t="str">
        <f>IF(OR(J1876&lt;&gt;"Karakter",pub_gid_0_single_true_output_csv[[#This Row],[Nilai2]]=""),"",IF(AF1876&gt;89,"Sangat baik",IF(AF1876&gt;79,"Baik",IF(AF1876&gt;69,"Cukup",IF(AF1876&gt;59,"Kurang","Sangat kurang")))))</f>
        <v/>
      </c>
      <c r="AJ1876" t="str">
        <f t="shared" si="89"/>
        <v>Wk.7</v>
      </c>
      <c r="AK1876" t="str">
        <f>IF(pub_gid_0_single_true_output_csv[[#This Row],[Nilai2]]="","",VLOOKUP(pub_gid_0_single_true_output_csv[[#This Row],[NAMA]],Table7[],3,FALSE))</f>
        <v>Average</v>
      </c>
    </row>
    <row r="1877" spans="1:37" x14ac:dyDescent="0.2">
      <c r="A1877">
        <v>1876</v>
      </c>
      <c r="B1877" t="s">
        <v>332</v>
      </c>
      <c r="C1877" t="s">
        <v>65</v>
      </c>
      <c r="D1877" t="s">
        <v>59</v>
      </c>
      <c r="E1877" t="s">
        <v>333</v>
      </c>
      <c r="F1877" s="25">
        <v>46063</v>
      </c>
      <c r="G1877" t="s">
        <v>374</v>
      </c>
      <c r="H1877" t="s">
        <v>412</v>
      </c>
      <c r="I1877" t="s">
        <v>371</v>
      </c>
      <c r="J1877" t="s">
        <v>41</v>
      </c>
      <c r="K1877" t="s">
        <v>157</v>
      </c>
      <c r="L1877" t="s">
        <v>150</v>
      </c>
      <c r="M1877" t="s">
        <v>141</v>
      </c>
      <c r="N1877" t="s">
        <v>142</v>
      </c>
      <c r="O1877" t="s">
        <v>327</v>
      </c>
      <c r="P1877" t="s">
        <v>281</v>
      </c>
      <c r="Q1877" t="s">
        <v>328</v>
      </c>
      <c r="R1877" t="s">
        <v>329</v>
      </c>
      <c r="S1877" t="s">
        <v>515</v>
      </c>
      <c r="T1877">
        <v>1</v>
      </c>
      <c r="U1877" t="s">
        <v>359</v>
      </c>
      <c r="V1877" t="s">
        <v>342</v>
      </c>
      <c r="W1877" t="s">
        <v>516</v>
      </c>
      <c r="X1877" t="s">
        <v>517</v>
      </c>
      <c r="Y1877" t="s">
        <v>335</v>
      </c>
      <c r="Z1877">
        <v>70</v>
      </c>
      <c r="AA1877">
        <v>75</v>
      </c>
      <c r="AB1877" t="s">
        <v>143</v>
      </c>
      <c r="AC1877" t="s">
        <v>40</v>
      </c>
      <c r="AD1877" t="s">
        <v>278</v>
      </c>
      <c r="AE1877" t="str">
        <f>IF(AF1877="","",VLOOKUP(AC1877,mapel!$A$2:$B$42,2,FALSE))</f>
        <v>Fisika</v>
      </c>
      <c r="AF1877">
        <f t="shared" si="87"/>
        <v>75</v>
      </c>
      <c r="AG1877" t="str">
        <f>IF(AF1877="","",IF(AF1877&gt;90,"Sangat baik",IF(AF1877&gt;79,"Baik",IF(AF1877&gt;=pub_gid_0_single_true_output_csv[[#This Row],[KKM]],"Cukup","Kurang"))))</f>
        <v>Cukup</v>
      </c>
      <c r="AH1877">
        <f t="shared" si="88"/>
        <v>8</v>
      </c>
      <c r="AI1877" s="30" t="str">
        <f>IF(OR(J1877&lt;&gt;"Karakter",pub_gid_0_single_true_output_csv[[#This Row],[Nilai2]]=""),"",IF(AF1877&gt;89,"Sangat baik",IF(AF1877&gt;79,"Baik",IF(AF1877&gt;69,"Cukup",IF(AF1877&gt;59,"Kurang","Sangat kurang")))))</f>
        <v/>
      </c>
      <c r="AJ1877" t="str">
        <f t="shared" si="89"/>
        <v>Wk.7</v>
      </c>
      <c r="AK1877" t="str">
        <f>IF(pub_gid_0_single_true_output_csv[[#This Row],[Nilai2]]="","",VLOOKUP(pub_gid_0_single_true_output_csv[[#This Row],[NAMA]],Table7[],3,FALSE))</f>
        <v>Superior</v>
      </c>
    </row>
    <row r="1878" spans="1:37" x14ac:dyDescent="0.2">
      <c r="A1878">
        <v>1877</v>
      </c>
      <c r="B1878" t="s">
        <v>315</v>
      </c>
      <c r="C1878" t="s">
        <v>65</v>
      </c>
      <c r="D1878" t="s">
        <v>60</v>
      </c>
      <c r="E1878" t="s">
        <v>140</v>
      </c>
      <c r="F1878" s="25">
        <v>46063</v>
      </c>
      <c r="G1878" t="s">
        <v>374</v>
      </c>
      <c r="H1878" t="s">
        <v>412</v>
      </c>
      <c r="I1878" t="s">
        <v>371</v>
      </c>
      <c r="J1878" t="s">
        <v>41</v>
      </c>
      <c r="K1878" t="s">
        <v>157</v>
      </c>
      <c r="L1878" t="s">
        <v>150</v>
      </c>
      <c r="M1878" t="s">
        <v>141</v>
      </c>
      <c r="N1878" t="s">
        <v>142</v>
      </c>
      <c r="O1878" t="s">
        <v>327</v>
      </c>
      <c r="P1878" t="s">
        <v>281</v>
      </c>
      <c r="Q1878" t="s">
        <v>328</v>
      </c>
      <c r="R1878" t="s">
        <v>329</v>
      </c>
      <c r="S1878" t="s">
        <v>515</v>
      </c>
      <c r="T1878">
        <v>1</v>
      </c>
      <c r="U1878" t="s">
        <v>359</v>
      </c>
      <c r="V1878" t="s">
        <v>342</v>
      </c>
      <c r="W1878" t="s">
        <v>516</v>
      </c>
      <c r="X1878" t="s">
        <v>517</v>
      </c>
      <c r="Y1878" t="s">
        <v>335</v>
      </c>
      <c r="Z1878">
        <v>70</v>
      </c>
      <c r="AA1878">
        <v>70</v>
      </c>
      <c r="AB1878" t="s">
        <v>143</v>
      </c>
      <c r="AC1878" t="s">
        <v>40</v>
      </c>
      <c r="AD1878" t="s">
        <v>278</v>
      </c>
      <c r="AE1878" t="str">
        <f>IF(AF1878="","",VLOOKUP(AC1878,mapel!$A$2:$B$42,2,FALSE))</f>
        <v>Fisika</v>
      </c>
      <c r="AF1878">
        <f t="shared" si="87"/>
        <v>70</v>
      </c>
      <c r="AG1878" t="str">
        <f>IF(AF1878="","",IF(AF1878&gt;90,"Sangat baik",IF(AF1878&gt;79,"Baik",IF(AF1878&gt;=pub_gid_0_single_true_output_csv[[#This Row],[KKM]],"Cukup","Kurang"))))</f>
        <v>Cukup</v>
      </c>
      <c r="AH1878">
        <f t="shared" si="88"/>
        <v>8</v>
      </c>
      <c r="AI1878" s="30" t="str">
        <f>IF(OR(J1878&lt;&gt;"Karakter",pub_gid_0_single_true_output_csv[[#This Row],[Nilai2]]=""),"",IF(AF1878&gt;89,"Sangat baik",IF(AF1878&gt;79,"Baik",IF(AF1878&gt;69,"Cukup",IF(AF1878&gt;59,"Kurang","Sangat kurang")))))</f>
        <v/>
      </c>
      <c r="AJ1878" t="str">
        <f t="shared" si="89"/>
        <v>Wk.7</v>
      </c>
      <c r="AK1878" t="str">
        <f>IF(pub_gid_0_single_true_output_csv[[#This Row],[Nilai2]]="","",VLOOKUP(pub_gid_0_single_true_output_csv[[#This Row],[NAMA]],Table7[],3,FALSE))</f>
        <v>High average</v>
      </c>
    </row>
    <row r="1879" spans="1:37" x14ac:dyDescent="0.2">
      <c r="A1879">
        <v>1878</v>
      </c>
      <c r="B1879" t="s">
        <v>316</v>
      </c>
      <c r="C1879" t="s">
        <v>65</v>
      </c>
      <c r="D1879" t="s">
        <v>61</v>
      </c>
      <c r="E1879" t="s">
        <v>140</v>
      </c>
      <c r="F1879" s="25">
        <v>46063</v>
      </c>
      <c r="G1879" t="s">
        <v>374</v>
      </c>
      <c r="H1879" t="s">
        <v>412</v>
      </c>
      <c r="I1879" t="s">
        <v>371</v>
      </c>
      <c r="J1879" t="s">
        <v>41</v>
      </c>
      <c r="K1879" t="s">
        <v>157</v>
      </c>
      <c r="L1879" t="s">
        <v>150</v>
      </c>
      <c r="M1879" t="s">
        <v>141</v>
      </c>
      <c r="N1879" t="s">
        <v>142</v>
      </c>
      <c r="O1879" t="s">
        <v>327</v>
      </c>
      <c r="P1879" t="s">
        <v>281</v>
      </c>
      <c r="Q1879" t="s">
        <v>328</v>
      </c>
      <c r="R1879" t="s">
        <v>329</v>
      </c>
      <c r="S1879" t="s">
        <v>515</v>
      </c>
      <c r="T1879">
        <v>1</v>
      </c>
      <c r="U1879" t="s">
        <v>359</v>
      </c>
      <c r="V1879" t="s">
        <v>342</v>
      </c>
      <c r="W1879" t="s">
        <v>516</v>
      </c>
      <c r="X1879" t="s">
        <v>517</v>
      </c>
      <c r="Y1879" t="s">
        <v>335</v>
      </c>
      <c r="Z1879">
        <v>70</v>
      </c>
      <c r="AA1879">
        <v>60</v>
      </c>
      <c r="AB1879" t="s">
        <v>151</v>
      </c>
      <c r="AC1879" t="s">
        <v>40</v>
      </c>
      <c r="AD1879" t="s">
        <v>278</v>
      </c>
      <c r="AE1879" t="str">
        <f>IF(AF1879="","",VLOOKUP(AC1879,mapel!$A$2:$B$42,2,FALSE))</f>
        <v>Fisika</v>
      </c>
      <c r="AF1879">
        <f t="shared" si="87"/>
        <v>60</v>
      </c>
      <c r="AG1879" t="str">
        <f>IF(AF1879="","",IF(AF1879&gt;90,"Sangat baik",IF(AF1879&gt;79,"Baik",IF(AF1879&gt;=pub_gid_0_single_true_output_csv[[#This Row],[KKM]],"Cukup","Kurang"))))</f>
        <v>Kurang</v>
      </c>
      <c r="AH1879">
        <f t="shared" si="88"/>
        <v>8</v>
      </c>
      <c r="AI1879" s="30" t="str">
        <f>IF(OR(J1879&lt;&gt;"Karakter",pub_gid_0_single_true_output_csv[[#This Row],[Nilai2]]=""),"",IF(AF1879&gt;89,"Sangat baik",IF(AF1879&gt;79,"Baik",IF(AF1879&gt;69,"Cukup",IF(AF1879&gt;59,"Kurang","Sangat kurang")))))</f>
        <v/>
      </c>
      <c r="AJ1879" t="str">
        <f t="shared" si="89"/>
        <v>Wk.7</v>
      </c>
      <c r="AK1879" t="str">
        <f>IF(pub_gid_0_single_true_output_csv[[#This Row],[Nilai2]]="","",VLOOKUP(pub_gid_0_single_true_output_csv[[#This Row],[NAMA]],Table7[],3,FALSE))</f>
        <v>Average</v>
      </c>
    </row>
    <row r="1880" spans="1:37" x14ac:dyDescent="0.2">
      <c r="A1880">
        <v>1879</v>
      </c>
      <c r="B1880" t="s">
        <v>317</v>
      </c>
      <c r="C1880" t="s">
        <v>65</v>
      </c>
      <c r="D1880" t="s">
        <v>62</v>
      </c>
      <c r="E1880" t="s">
        <v>140</v>
      </c>
      <c r="F1880" s="25">
        <v>46063</v>
      </c>
      <c r="G1880" t="s">
        <v>374</v>
      </c>
      <c r="H1880" t="s">
        <v>412</v>
      </c>
      <c r="I1880" t="s">
        <v>371</v>
      </c>
      <c r="J1880" t="s">
        <v>41</v>
      </c>
      <c r="K1880" t="s">
        <v>157</v>
      </c>
      <c r="L1880" t="s">
        <v>150</v>
      </c>
      <c r="M1880" t="s">
        <v>141</v>
      </c>
      <c r="N1880" t="s">
        <v>142</v>
      </c>
      <c r="O1880" t="s">
        <v>327</v>
      </c>
      <c r="P1880" t="s">
        <v>281</v>
      </c>
      <c r="Q1880" t="s">
        <v>328</v>
      </c>
      <c r="R1880" t="s">
        <v>329</v>
      </c>
      <c r="S1880" t="s">
        <v>515</v>
      </c>
      <c r="T1880">
        <v>1</v>
      </c>
      <c r="U1880" t="s">
        <v>359</v>
      </c>
      <c r="V1880" t="s">
        <v>342</v>
      </c>
      <c r="W1880" t="s">
        <v>516</v>
      </c>
      <c r="X1880" t="s">
        <v>517</v>
      </c>
      <c r="Y1880" t="s">
        <v>335</v>
      </c>
      <c r="Z1880">
        <v>70</v>
      </c>
      <c r="AA1880">
        <v>60</v>
      </c>
      <c r="AB1880" t="s">
        <v>151</v>
      </c>
      <c r="AC1880" t="s">
        <v>40</v>
      </c>
      <c r="AD1880" t="s">
        <v>278</v>
      </c>
      <c r="AE1880" t="str">
        <f>IF(AF1880="","",VLOOKUP(AC1880,mapel!$A$2:$B$42,2,FALSE))</f>
        <v>Fisika</v>
      </c>
      <c r="AF1880">
        <f t="shared" si="87"/>
        <v>60</v>
      </c>
      <c r="AG1880" t="str">
        <f>IF(AF1880="","",IF(AF1880&gt;90,"Sangat baik",IF(AF1880&gt;79,"Baik",IF(AF1880&gt;=pub_gid_0_single_true_output_csv[[#This Row],[KKM]],"Cukup","Kurang"))))</f>
        <v>Kurang</v>
      </c>
      <c r="AH1880">
        <f t="shared" si="88"/>
        <v>8</v>
      </c>
      <c r="AI1880" s="30" t="str">
        <f>IF(OR(J1880&lt;&gt;"Karakter",pub_gid_0_single_true_output_csv[[#This Row],[Nilai2]]=""),"",IF(AF1880&gt;89,"Sangat baik",IF(AF1880&gt;79,"Baik",IF(AF1880&gt;69,"Cukup",IF(AF1880&gt;59,"Kurang","Sangat kurang")))))</f>
        <v/>
      </c>
      <c r="AJ1880" t="str">
        <f t="shared" si="89"/>
        <v>Wk.7</v>
      </c>
      <c r="AK1880" t="str">
        <f>IF(pub_gid_0_single_true_output_csv[[#This Row],[Nilai2]]="","",VLOOKUP(pub_gid_0_single_true_output_csv[[#This Row],[NAMA]],Table7[],3,FALSE))</f>
        <v>Borderline</v>
      </c>
    </row>
    <row r="1881" spans="1:37" x14ac:dyDescent="0.2">
      <c r="A1881">
        <v>1880</v>
      </c>
      <c r="B1881" t="s">
        <v>318</v>
      </c>
      <c r="C1881" t="s">
        <v>65</v>
      </c>
      <c r="D1881" t="s">
        <v>63</v>
      </c>
      <c r="E1881" t="s">
        <v>140</v>
      </c>
      <c r="F1881" s="25">
        <v>46063</v>
      </c>
      <c r="G1881" t="s">
        <v>374</v>
      </c>
      <c r="H1881" t="s">
        <v>412</v>
      </c>
      <c r="I1881" t="s">
        <v>371</v>
      </c>
      <c r="J1881" t="s">
        <v>41</v>
      </c>
      <c r="K1881" t="s">
        <v>157</v>
      </c>
      <c r="L1881" t="s">
        <v>150</v>
      </c>
      <c r="M1881" t="s">
        <v>141</v>
      </c>
      <c r="N1881" t="s">
        <v>142</v>
      </c>
      <c r="O1881" t="s">
        <v>327</v>
      </c>
      <c r="P1881" t="s">
        <v>281</v>
      </c>
      <c r="Q1881" t="s">
        <v>328</v>
      </c>
      <c r="R1881" t="s">
        <v>329</v>
      </c>
      <c r="S1881" t="s">
        <v>515</v>
      </c>
      <c r="T1881">
        <v>1</v>
      </c>
      <c r="U1881" t="s">
        <v>359</v>
      </c>
      <c r="V1881" t="s">
        <v>342</v>
      </c>
      <c r="W1881" t="s">
        <v>516</v>
      </c>
      <c r="X1881" t="s">
        <v>517</v>
      </c>
      <c r="Y1881" t="s">
        <v>335</v>
      </c>
      <c r="Z1881">
        <v>70</v>
      </c>
      <c r="AA1881">
        <v>70</v>
      </c>
      <c r="AB1881" t="s">
        <v>143</v>
      </c>
      <c r="AC1881" t="s">
        <v>40</v>
      </c>
      <c r="AD1881" t="s">
        <v>278</v>
      </c>
      <c r="AE1881" t="str">
        <f>IF(AF1881="","",VLOOKUP(AC1881,mapel!$A$2:$B$42,2,FALSE))</f>
        <v>Fisika</v>
      </c>
      <c r="AF1881">
        <f t="shared" si="87"/>
        <v>70</v>
      </c>
      <c r="AG1881" t="str">
        <f>IF(AF1881="","",IF(AF1881&gt;90,"Sangat baik",IF(AF1881&gt;79,"Baik",IF(AF1881&gt;=pub_gid_0_single_true_output_csv[[#This Row],[KKM]],"Cukup","Kurang"))))</f>
        <v>Cukup</v>
      </c>
      <c r="AH1881">
        <f t="shared" si="88"/>
        <v>8</v>
      </c>
      <c r="AI1881" s="30" t="str">
        <f>IF(OR(J1881&lt;&gt;"Karakter",pub_gid_0_single_true_output_csv[[#This Row],[Nilai2]]=""),"",IF(AF1881&gt;89,"Sangat baik",IF(AF1881&gt;79,"Baik",IF(AF1881&gt;69,"Cukup",IF(AF1881&gt;59,"Kurang","Sangat kurang")))))</f>
        <v/>
      </c>
      <c r="AJ1881" t="str">
        <f t="shared" si="89"/>
        <v>Wk.7</v>
      </c>
      <c r="AK1881" t="str">
        <f>IF(pub_gid_0_single_true_output_csv[[#This Row],[Nilai2]]="","",VLOOKUP(pub_gid_0_single_true_output_csv[[#This Row],[NAMA]],Table7[],3,FALSE))</f>
        <v>Average</v>
      </c>
    </row>
    <row r="1882" spans="1:37" x14ac:dyDescent="0.2">
      <c r="A1882">
        <v>1881</v>
      </c>
      <c r="B1882" t="s">
        <v>311</v>
      </c>
      <c r="C1882" t="s">
        <v>65</v>
      </c>
      <c r="D1882" t="s">
        <v>55</v>
      </c>
      <c r="E1882" t="s">
        <v>146</v>
      </c>
      <c r="F1882" s="25">
        <v>46037</v>
      </c>
      <c r="G1882" t="s">
        <v>356</v>
      </c>
      <c r="H1882" t="s">
        <v>405</v>
      </c>
      <c r="I1882" t="s">
        <v>371</v>
      </c>
      <c r="J1882" t="s">
        <v>41</v>
      </c>
      <c r="K1882" t="s">
        <v>157</v>
      </c>
      <c r="L1882" t="s">
        <v>319</v>
      </c>
      <c r="M1882" t="s">
        <v>141</v>
      </c>
      <c r="N1882" t="s">
        <v>142</v>
      </c>
      <c r="O1882" t="s">
        <v>327</v>
      </c>
      <c r="P1882" t="s">
        <v>281</v>
      </c>
      <c r="Q1882" t="s">
        <v>328</v>
      </c>
      <c r="R1882" t="s">
        <v>329</v>
      </c>
      <c r="S1882" t="s">
        <v>330</v>
      </c>
      <c r="T1882">
        <v>1</v>
      </c>
      <c r="U1882" t="s">
        <v>364</v>
      </c>
      <c r="V1882" t="s">
        <v>285</v>
      </c>
      <c r="W1882" t="s">
        <v>334</v>
      </c>
      <c r="X1882" t="s">
        <v>331</v>
      </c>
      <c r="Y1882" t="s">
        <v>307</v>
      </c>
      <c r="Z1882">
        <v>70</v>
      </c>
      <c r="AA1882">
        <v>70</v>
      </c>
      <c r="AB1882" t="s">
        <v>143</v>
      </c>
      <c r="AC1882" t="s">
        <v>161</v>
      </c>
      <c r="AD1882" t="s">
        <v>278</v>
      </c>
      <c r="AE1882" t="str">
        <f>IF(AF1882="","",VLOOKUP(AC1882,mapel!$A$2:$B$42,2,FALSE))</f>
        <v>TIK</v>
      </c>
      <c r="AF1882">
        <f t="shared" si="87"/>
        <v>70</v>
      </c>
      <c r="AG1882" t="str">
        <f>IF(AF1882="","",IF(AF1882&gt;90,"Sangat baik",IF(AF1882&gt;79,"Baik",IF(AF1882&gt;=pub_gid_0_single_true_output_csv[[#This Row],[KKM]],"Cukup","Kurang"))))</f>
        <v>Cukup</v>
      </c>
      <c r="AH1882">
        <f t="shared" si="88"/>
        <v>12</v>
      </c>
      <c r="AI1882" s="30" t="str">
        <f>IF(OR(J1882&lt;&gt;"Karakter",pub_gid_0_single_true_output_csv[[#This Row],[Nilai2]]=""),"",IF(AF1882&gt;89,"Sangat baik",IF(AF1882&gt;79,"Baik",IF(AF1882&gt;69,"Cukup",IF(AF1882&gt;59,"Kurang","Sangat kurang")))))</f>
        <v/>
      </c>
      <c r="AJ1882" t="str">
        <f t="shared" si="89"/>
        <v>Wk.3</v>
      </c>
      <c r="AK1882" t="str">
        <f>IF(pub_gid_0_single_true_output_csv[[#This Row],[Nilai2]]="","",VLOOKUP(pub_gid_0_single_true_output_csv[[#This Row],[NAMA]],Table7[],3,FALSE))</f>
        <v>Average</v>
      </c>
    </row>
    <row r="1883" spans="1:37" x14ac:dyDescent="0.2">
      <c r="A1883">
        <v>1882</v>
      </c>
      <c r="B1883" t="s">
        <v>311</v>
      </c>
      <c r="C1883" t="s">
        <v>65</v>
      </c>
      <c r="D1883" t="s">
        <v>55</v>
      </c>
      <c r="E1883" t="s">
        <v>146</v>
      </c>
      <c r="F1883" s="25">
        <v>46037</v>
      </c>
      <c r="G1883" t="s">
        <v>356</v>
      </c>
      <c r="H1883" t="s">
        <v>405</v>
      </c>
      <c r="I1883" t="s">
        <v>371</v>
      </c>
      <c r="J1883" t="s">
        <v>36</v>
      </c>
      <c r="K1883" t="s">
        <v>153</v>
      </c>
      <c r="L1883" t="s">
        <v>319</v>
      </c>
      <c r="M1883" t="s">
        <v>141</v>
      </c>
      <c r="N1883" t="s">
        <v>142</v>
      </c>
      <c r="O1883" t="s">
        <v>327</v>
      </c>
      <c r="P1883" t="s">
        <v>281</v>
      </c>
      <c r="Q1883" t="s">
        <v>328</v>
      </c>
      <c r="R1883" t="s">
        <v>329</v>
      </c>
      <c r="S1883" t="s">
        <v>330</v>
      </c>
      <c r="T1883">
        <v>1</v>
      </c>
      <c r="U1883" t="s">
        <v>364</v>
      </c>
      <c r="V1883" t="s">
        <v>285</v>
      </c>
      <c r="W1883" t="s">
        <v>334</v>
      </c>
      <c r="X1883" t="s">
        <v>331</v>
      </c>
      <c r="Y1883" t="s">
        <v>307</v>
      </c>
      <c r="Z1883">
        <v>70</v>
      </c>
      <c r="AA1883">
        <v>70</v>
      </c>
      <c r="AB1883" t="s">
        <v>143</v>
      </c>
      <c r="AC1883" t="s">
        <v>161</v>
      </c>
      <c r="AD1883" t="s">
        <v>278</v>
      </c>
      <c r="AE1883" t="str">
        <f>IF(AF1883="","",VLOOKUP(AC1883,mapel!$A$2:$B$42,2,FALSE))</f>
        <v>TIK</v>
      </c>
      <c r="AF1883">
        <f t="shared" si="87"/>
        <v>70</v>
      </c>
      <c r="AG1883" t="str">
        <f>IF(AF1883="","",IF(AF1883&gt;90,"Sangat baik",IF(AF1883&gt;79,"Baik",IF(AF1883&gt;=pub_gid_0_single_true_output_csv[[#This Row],[KKM]],"Cukup","Kurang"))))</f>
        <v>Cukup</v>
      </c>
      <c r="AH1883">
        <f t="shared" si="88"/>
        <v>12</v>
      </c>
      <c r="AI1883" s="30" t="str">
        <f>IF(OR(J1883&lt;&gt;"Karakter",pub_gid_0_single_true_output_csv[[#This Row],[Nilai2]]=""),"",IF(AF1883&gt;89,"Sangat baik",IF(AF1883&gt;79,"Baik",IF(AF1883&gt;69,"Cukup",IF(AF1883&gt;59,"Kurang","Sangat kurang")))))</f>
        <v/>
      </c>
      <c r="AJ1883" t="str">
        <f t="shared" si="89"/>
        <v>Wk.3</v>
      </c>
      <c r="AK1883" t="str">
        <f>IF(pub_gid_0_single_true_output_csv[[#This Row],[Nilai2]]="","",VLOOKUP(pub_gid_0_single_true_output_csv[[#This Row],[NAMA]],Table7[],3,FALSE))</f>
        <v>Average</v>
      </c>
    </row>
    <row r="1884" spans="1:37" x14ac:dyDescent="0.2">
      <c r="A1884">
        <v>1883</v>
      </c>
      <c r="B1884" t="s">
        <v>311</v>
      </c>
      <c r="C1884" t="s">
        <v>65</v>
      </c>
      <c r="D1884" t="s">
        <v>55</v>
      </c>
      <c r="E1884" t="s">
        <v>146</v>
      </c>
      <c r="F1884" s="25">
        <v>46044</v>
      </c>
      <c r="G1884" t="s">
        <v>305</v>
      </c>
      <c r="H1884" t="s">
        <v>405</v>
      </c>
      <c r="I1884" t="s">
        <v>371</v>
      </c>
      <c r="J1884" t="s">
        <v>31</v>
      </c>
      <c r="K1884" t="s">
        <v>158</v>
      </c>
      <c r="L1884" t="s">
        <v>319</v>
      </c>
      <c r="M1884" t="s">
        <v>141</v>
      </c>
      <c r="N1884" t="s">
        <v>142</v>
      </c>
      <c r="O1884" t="s">
        <v>327</v>
      </c>
      <c r="P1884" t="s">
        <v>281</v>
      </c>
      <c r="Q1884" t="s">
        <v>328</v>
      </c>
      <c r="R1884" t="s">
        <v>329</v>
      </c>
      <c r="S1884" t="s">
        <v>330</v>
      </c>
      <c r="T1884">
        <v>1</v>
      </c>
      <c r="U1884" t="s">
        <v>364</v>
      </c>
      <c r="V1884" t="s">
        <v>285</v>
      </c>
      <c r="W1884" t="s">
        <v>334</v>
      </c>
      <c r="X1884" t="s">
        <v>331</v>
      </c>
      <c r="Y1884" t="s">
        <v>307</v>
      </c>
      <c r="Z1884">
        <v>70</v>
      </c>
      <c r="AA1884">
        <v>65</v>
      </c>
      <c r="AB1884" t="s">
        <v>151</v>
      </c>
      <c r="AC1884" t="s">
        <v>161</v>
      </c>
      <c r="AD1884" t="s">
        <v>278</v>
      </c>
      <c r="AE1884" t="str">
        <f>IF(AF1884="","",VLOOKUP(AC1884,mapel!$A$2:$B$42,2,FALSE))</f>
        <v>TIK</v>
      </c>
      <c r="AF1884">
        <f t="shared" si="87"/>
        <v>65</v>
      </c>
      <c r="AG1884" t="str">
        <f>IF(AF1884="","",IF(AF1884&gt;90,"Sangat baik",IF(AF1884&gt;79,"Baik",IF(AF1884&gt;=pub_gid_0_single_true_output_csv[[#This Row],[KKM]],"Cukup","Kurang"))))</f>
        <v>Kurang</v>
      </c>
      <c r="AH1884">
        <f t="shared" si="88"/>
        <v>12</v>
      </c>
      <c r="AI1884" s="30" t="str">
        <f>IF(OR(J1884&lt;&gt;"Karakter",pub_gid_0_single_true_output_csv[[#This Row],[Nilai2]]=""),"",IF(AF1884&gt;89,"Sangat baik",IF(AF1884&gt;79,"Baik",IF(AF1884&gt;69,"Cukup",IF(AF1884&gt;59,"Kurang","Sangat kurang")))))</f>
        <v/>
      </c>
      <c r="AJ1884" t="str">
        <f t="shared" si="89"/>
        <v>Wk.4</v>
      </c>
      <c r="AK1884" t="str">
        <f>IF(pub_gid_0_single_true_output_csv[[#This Row],[Nilai2]]="","",VLOOKUP(pub_gid_0_single_true_output_csv[[#This Row],[NAMA]],Table7[],3,FALSE))</f>
        <v>Average</v>
      </c>
    </row>
    <row r="1885" spans="1:37" x14ac:dyDescent="0.2">
      <c r="A1885">
        <v>1884</v>
      </c>
      <c r="B1885" t="s">
        <v>311</v>
      </c>
      <c r="C1885" t="s">
        <v>65</v>
      </c>
      <c r="D1885" t="s">
        <v>55</v>
      </c>
      <c r="E1885" t="s">
        <v>146</v>
      </c>
      <c r="F1885" s="25">
        <v>46044</v>
      </c>
      <c r="G1885" t="s">
        <v>305</v>
      </c>
      <c r="H1885" t="s">
        <v>405</v>
      </c>
      <c r="I1885" t="s">
        <v>371</v>
      </c>
      <c r="J1885" t="s">
        <v>90</v>
      </c>
      <c r="K1885" t="s">
        <v>92</v>
      </c>
      <c r="L1885" t="s">
        <v>91</v>
      </c>
      <c r="M1885" t="s">
        <v>141</v>
      </c>
      <c r="N1885" t="s">
        <v>142</v>
      </c>
      <c r="O1885" t="s">
        <v>327</v>
      </c>
      <c r="P1885" t="s">
        <v>281</v>
      </c>
      <c r="Q1885" t="s">
        <v>328</v>
      </c>
      <c r="R1885" t="s">
        <v>329</v>
      </c>
      <c r="S1885" t="s">
        <v>330</v>
      </c>
      <c r="T1885">
        <v>1</v>
      </c>
      <c r="U1885" t="s">
        <v>364</v>
      </c>
      <c r="V1885" t="s">
        <v>285</v>
      </c>
      <c r="W1885" t="s">
        <v>334</v>
      </c>
      <c r="X1885" t="s">
        <v>331</v>
      </c>
      <c r="Y1885" t="s">
        <v>307</v>
      </c>
      <c r="Z1885">
        <v>70</v>
      </c>
      <c r="AA1885">
        <v>80</v>
      </c>
      <c r="AB1885" t="s">
        <v>143</v>
      </c>
      <c r="AC1885" t="s">
        <v>161</v>
      </c>
      <c r="AD1885" t="s">
        <v>278</v>
      </c>
      <c r="AE1885" t="str">
        <f>IF(AF1885="","",VLOOKUP(AC1885,mapel!$A$2:$B$42,2,FALSE))</f>
        <v>TIK</v>
      </c>
      <c r="AF1885">
        <f t="shared" si="87"/>
        <v>80</v>
      </c>
      <c r="AG1885" t="str">
        <f>IF(AF1885="","",IF(AF1885&gt;90,"Sangat baik",IF(AF1885&gt;79,"Baik",IF(AF1885&gt;=pub_gid_0_single_true_output_csv[[#This Row],[KKM]],"Cukup","Kurang"))))</f>
        <v>Baik</v>
      </c>
      <c r="AH1885">
        <f t="shared" si="88"/>
        <v>12</v>
      </c>
      <c r="AI1885" s="30" t="str">
        <f>IF(OR(J1885&lt;&gt;"Karakter",pub_gid_0_single_true_output_csv[[#This Row],[Nilai2]]=""),"",IF(AF1885&gt;89,"Sangat baik",IF(AF1885&gt;79,"Baik",IF(AF1885&gt;69,"Cukup",IF(AF1885&gt;59,"Kurang","Sangat kurang")))))</f>
        <v>Baik</v>
      </c>
      <c r="AJ1885" t="str">
        <f t="shared" si="89"/>
        <v>Wk.4</v>
      </c>
      <c r="AK1885" t="str">
        <f>IF(pub_gid_0_single_true_output_csv[[#This Row],[Nilai2]]="","",VLOOKUP(pub_gid_0_single_true_output_csv[[#This Row],[NAMA]],Table7[],3,FALSE))</f>
        <v>Average</v>
      </c>
    </row>
    <row r="1886" spans="1:37" x14ac:dyDescent="0.2">
      <c r="A1886">
        <v>1885</v>
      </c>
      <c r="B1886" t="s">
        <v>311</v>
      </c>
      <c r="C1886" t="s">
        <v>65</v>
      </c>
      <c r="D1886" t="s">
        <v>55</v>
      </c>
      <c r="E1886" t="s">
        <v>146</v>
      </c>
      <c r="F1886" s="25">
        <v>46044</v>
      </c>
      <c r="G1886" t="s">
        <v>305</v>
      </c>
      <c r="H1886" t="s">
        <v>405</v>
      </c>
      <c r="I1886" t="s">
        <v>371</v>
      </c>
      <c r="J1886" t="s">
        <v>279</v>
      </c>
      <c r="K1886" t="s">
        <v>280</v>
      </c>
      <c r="L1886" t="s">
        <v>319</v>
      </c>
      <c r="M1886" t="s">
        <v>141</v>
      </c>
      <c r="N1886" t="s">
        <v>142</v>
      </c>
      <c r="O1886" t="s">
        <v>327</v>
      </c>
      <c r="P1886" t="s">
        <v>281</v>
      </c>
      <c r="Q1886" t="s">
        <v>328</v>
      </c>
      <c r="R1886" t="s">
        <v>329</v>
      </c>
      <c r="S1886" t="s">
        <v>330</v>
      </c>
      <c r="T1886">
        <v>1</v>
      </c>
      <c r="U1886" t="s">
        <v>364</v>
      </c>
      <c r="V1886" t="s">
        <v>285</v>
      </c>
      <c r="W1886" t="s">
        <v>334</v>
      </c>
      <c r="X1886" t="s">
        <v>331</v>
      </c>
      <c r="Y1886" t="s">
        <v>307</v>
      </c>
      <c r="Z1886">
        <v>70</v>
      </c>
      <c r="AA1886">
        <v>70</v>
      </c>
      <c r="AB1886" t="s">
        <v>143</v>
      </c>
      <c r="AC1886" t="s">
        <v>161</v>
      </c>
      <c r="AD1886" t="s">
        <v>278</v>
      </c>
      <c r="AE1886" t="str">
        <f>IF(AF1886="","",VLOOKUP(AC1886,mapel!$A$2:$B$42,2,FALSE))</f>
        <v>TIK</v>
      </c>
      <c r="AF1886">
        <f t="shared" si="87"/>
        <v>70</v>
      </c>
      <c r="AG1886" t="str">
        <f>IF(AF1886="","",IF(AF1886&gt;90,"Sangat baik",IF(AF1886&gt;79,"Baik",IF(AF1886&gt;=pub_gid_0_single_true_output_csv[[#This Row],[KKM]],"Cukup","Kurang"))))</f>
        <v>Cukup</v>
      </c>
      <c r="AH1886">
        <f t="shared" si="88"/>
        <v>12</v>
      </c>
      <c r="AI1886" s="30" t="str">
        <f>IF(OR(J1886&lt;&gt;"Karakter",pub_gid_0_single_true_output_csv[[#This Row],[Nilai2]]=""),"",IF(AF1886&gt;89,"Sangat baik",IF(AF1886&gt;79,"Baik",IF(AF1886&gt;69,"Cukup",IF(AF1886&gt;59,"Kurang","Sangat kurang")))))</f>
        <v/>
      </c>
      <c r="AJ1886" t="str">
        <f t="shared" si="89"/>
        <v>Wk.4</v>
      </c>
      <c r="AK1886" t="str">
        <f>IF(pub_gid_0_single_true_output_csv[[#This Row],[Nilai2]]="","",VLOOKUP(pub_gid_0_single_true_output_csv[[#This Row],[NAMA]],Table7[],3,FALSE))</f>
        <v>Average</v>
      </c>
    </row>
    <row r="1887" spans="1:37" x14ac:dyDescent="0.2">
      <c r="A1887">
        <v>1886</v>
      </c>
      <c r="B1887" t="s">
        <v>311</v>
      </c>
      <c r="C1887" t="s">
        <v>65</v>
      </c>
      <c r="D1887" t="s">
        <v>55</v>
      </c>
      <c r="E1887" t="s">
        <v>146</v>
      </c>
      <c r="F1887" s="25">
        <v>46051</v>
      </c>
      <c r="G1887" t="s">
        <v>320</v>
      </c>
      <c r="H1887" t="s">
        <v>405</v>
      </c>
      <c r="I1887" t="s">
        <v>371</v>
      </c>
      <c r="J1887" t="s">
        <v>41</v>
      </c>
      <c r="K1887" t="s">
        <v>157</v>
      </c>
      <c r="L1887" t="s">
        <v>319</v>
      </c>
      <c r="M1887" t="s">
        <v>141</v>
      </c>
      <c r="N1887" t="s">
        <v>142</v>
      </c>
      <c r="O1887" t="s">
        <v>327</v>
      </c>
      <c r="P1887" t="s">
        <v>281</v>
      </c>
      <c r="Q1887" t="s">
        <v>328</v>
      </c>
      <c r="R1887" t="s">
        <v>329</v>
      </c>
      <c r="S1887" t="s">
        <v>330</v>
      </c>
      <c r="T1887">
        <v>1</v>
      </c>
      <c r="U1887" t="s">
        <v>364</v>
      </c>
      <c r="V1887" t="s">
        <v>285</v>
      </c>
      <c r="W1887" t="s">
        <v>334</v>
      </c>
      <c r="X1887" t="s">
        <v>331</v>
      </c>
      <c r="Y1887" t="s">
        <v>307</v>
      </c>
      <c r="Z1887">
        <v>70</v>
      </c>
      <c r="AA1887">
        <v>70</v>
      </c>
      <c r="AB1887" t="s">
        <v>143</v>
      </c>
      <c r="AC1887" t="s">
        <v>161</v>
      </c>
      <c r="AD1887" t="s">
        <v>278</v>
      </c>
      <c r="AE1887" t="str">
        <f>IF(AF1887="","",VLOOKUP(AC1887,mapel!$A$2:$B$42,2,FALSE))</f>
        <v>TIK</v>
      </c>
      <c r="AF1887">
        <f t="shared" si="87"/>
        <v>70</v>
      </c>
      <c r="AG1887" t="str">
        <f>IF(AF1887="","",IF(AF1887&gt;90,"Sangat baik",IF(AF1887&gt;79,"Baik",IF(AF1887&gt;=pub_gid_0_single_true_output_csv[[#This Row],[KKM]],"Cukup","Kurang"))))</f>
        <v>Cukup</v>
      </c>
      <c r="AH1887">
        <f t="shared" si="88"/>
        <v>12</v>
      </c>
      <c r="AI1887" s="30" t="str">
        <f>IF(OR(J1887&lt;&gt;"Karakter",pub_gid_0_single_true_output_csv[[#This Row],[Nilai2]]=""),"",IF(AF1887&gt;89,"Sangat baik",IF(AF1887&gt;79,"Baik",IF(AF1887&gt;69,"Cukup",IF(AF1887&gt;59,"Kurang","Sangat kurang")))))</f>
        <v/>
      </c>
      <c r="AJ1887" t="str">
        <f t="shared" si="89"/>
        <v>Wk.5</v>
      </c>
      <c r="AK1887" t="str">
        <f>IF(pub_gid_0_single_true_output_csv[[#This Row],[Nilai2]]="","",VLOOKUP(pub_gid_0_single_true_output_csv[[#This Row],[NAMA]],Table7[],3,FALSE))</f>
        <v>Average</v>
      </c>
    </row>
    <row r="1888" spans="1:37" x14ac:dyDescent="0.2">
      <c r="A1888">
        <v>1887</v>
      </c>
      <c r="B1888" t="s">
        <v>311</v>
      </c>
      <c r="C1888" t="s">
        <v>65</v>
      </c>
      <c r="D1888" t="s">
        <v>55</v>
      </c>
      <c r="E1888" t="s">
        <v>146</v>
      </c>
      <c r="F1888" s="25">
        <v>46051</v>
      </c>
      <c r="G1888" t="s">
        <v>320</v>
      </c>
      <c r="H1888" t="s">
        <v>405</v>
      </c>
      <c r="I1888" t="s">
        <v>371</v>
      </c>
      <c r="J1888" t="s">
        <v>36</v>
      </c>
      <c r="K1888" t="s">
        <v>153</v>
      </c>
      <c r="L1888" t="s">
        <v>319</v>
      </c>
      <c r="M1888" t="s">
        <v>141</v>
      </c>
      <c r="N1888" t="s">
        <v>142</v>
      </c>
      <c r="O1888" t="s">
        <v>327</v>
      </c>
      <c r="P1888" t="s">
        <v>281</v>
      </c>
      <c r="Q1888" t="s">
        <v>328</v>
      </c>
      <c r="R1888" t="s">
        <v>329</v>
      </c>
      <c r="S1888" t="s">
        <v>330</v>
      </c>
      <c r="T1888">
        <v>1</v>
      </c>
      <c r="U1888" t="s">
        <v>364</v>
      </c>
      <c r="V1888" t="s">
        <v>285</v>
      </c>
      <c r="W1888" t="s">
        <v>334</v>
      </c>
      <c r="X1888" t="s">
        <v>331</v>
      </c>
      <c r="Y1888" t="s">
        <v>307</v>
      </c>
      <c r="Z1888">
        <v>70</v>
      </c>
      <c r="AA1888">
        <v>70</v>
      </c>
      <c r="AB1888" t="s">
        <v>143</v>
      </c>
      <c r="AC1888" t="s">
        <v>161</v>
      </c>
      <c r="AD1888" t="s">
        <v>278</v>
      </c>
      <c r="AE1888" t="str">
        <f>IF(AF1888="","",VLOOKUP(AC1888,mapel!$A$2:$B$42,2,FALSE))</f>
        <v>TIK</v>
      </c>
      <c r="AF1888">
        <f t="shared" si="87"/>
        <v>70</v>
      </c>
      <c r="AG1888" t="str">
        <f>IF(AF1888="","",IF(AF1888&gt;90,"Sangat baik",IF(AF1888&gt;79,"Baik",IF(AF1888&gt;=pub_gid_0_single_true_output_csv[[#This Row],[KKM]],"Cukup","Kurang"))))</f>
        <v>Cukup</v>
      </c>
      <c r="AH1888">
        <f t="shared" si="88"/>
        <v>12</v>
      </c>
      <c r="AI1888" s="30" t="str">
        <f>IF(OR(J1888&lt;&gt;"Karakter",pub_gid_0_single_true_output_csv[[#This Row],[Nilai2]]=""),"",IF(AF1888&gt;89,"Sangat baik",IF(AF1888&gt;79,"Baik",IF(AF1888&gt;69,"Cukup",IF(AF1888&gt;59,"Kurang","Sangat kurang")))))</f>
        <v/>
      </c>
      <c r="AJ1888" t="str">
        <f t="shared" si="89"/>
        <v>Wk.5</v>
      </c>
      <c r="AK1888" t="str">
        <f>IF(pub_gid_0_single_true_output_csv[[#This Row],[Nilai2]]="","",VLOOKUP(pub_gid_0_single_true_output_csv[[#This Row],[NAMA]],Table7[],3,FALSE))</f>
        <v>Average</v>
      </c>
    </row>
    <row r="1889" spans="1:37" x14ac:dyDescent="0.2">
      <c r="A1889">
        <v>1888</v>
      </c>
      <c r="B1889" t="s">
        <v>311</v>
      </c>
      <c r="C1889" t="s">
        <v>65</v>
      </c>
      <c r="D1889" t="s">
        <v>55</v>
      </c>
      <c r="E1889" t="s">
        <v>146</v>
      </c>
      <c r="F1889" s="25">
        <v>46065</v>
      </c>
      <c r="G1889" t="s">
        <v>354</v>
      </c>
      <c r="H1889" t="s">
        <v>412</v>
      </c>
      <c r="I1889" t="s">
        <v>371</v>
      </c>
      <c r="J1889" t="s">
        <v>41</v>
      </c>
      <c r="K1889" t="s">
        <v>157</v>
      </c>
      <c r="L1889" t="s">
        <v>319</v>
      </c>
      <c r="M1889" t="s">
        <v>141</v>
      </c>
      <c r="N1889" t="s">
        <v>142</v>
      </c>
      <c r="O1889" t="s">
        <v>327</v>
      </c>
      <c r="P1889" t="s">
        <v>281</v>
      </c>
      <c r="Q1889" t="s">
        <v>328</v>
      </c>
      <c r="R1889" t="s">
        <v>329</v>
      </c>
      <c r="S1889" t="s">
        <v>330</v>
      </c>
      <c r="T1889">
        <v>1</v>
      </c>
      <c r="U1889" t="s">
        <v>364</v>
      </c>
      <c r="V1889" t="s">
        <v>285</v>
      </c>
      <c r="W1889" t="s">
        <v>334</v>
      </c>
      <c r="X1889" t="s">
        <v>331</v>
      </c>
      <c r="Y1889" t="s">
        <v>307</v>
      </c>
      <c r="Z1889">
        <v>70</v>
      </c>
      <c r="AA1889">
        <v>68</v>
      </c>
      <c r="AB1889" t="s">
        <v>151</v>
      </c>
      <c r="AC1889" t="s">
        <v>161</v>
      </c>
      <c r="AD1889" t="s">
        <v>278</v>
      </c>
      <c r="AE1889" t="str">
        <f>IF(AF1889="","",VLOOKUP(AC1889,mapel!$A$2:$B$42,2,FALSE))</f>
        <v>TIK</v>
      </c>
      <c r="AF1889">
        <f t="shared" si="87"/>
        <v>68</v>
      </c>
      <c r="AG1889" t="str">
        <f>IF(AF1889="","",IF(AF1889&gt;90,"Sangat baik",IF(AF1889&gt;79,"Baik",IF(AF1889&gt;=pub_gid_0_single_true_output_csv[[#This Row],[KKM]],"Cukup","Kurang"))))</f>
        <v>Kurang</v>
      </c>
      <c r="AH1889">
        <f t="shared" si="88"/>
        <v>12</v>
      </c>
      <c r="AI1889" s="30" t="str">
        <f>IF(OR(J1889&lt;&gt;"Karakter",pub_gid_0_single_true_output_csv[[#This Row],[Nilai2]]=""),"",IF(AF1889&gt;89,"Sangat baik",IF(AF1889&gt;79,"Baik",IF(AF1889&gt;69,"Cukup",IF(AF1889&gt;59,"Kurang","Sangat kurang")))))</f>
        <v/>
      </c>
      <c r="AJ1889" t="str">
        <f t="shared" si="89"/>
        <v>Wk.7</v>
      </c>
      <c r="AK1889" t="str">
        <f>IF(pub_gid_0_single_true_output_csv[[#This Row],[Nilai2]]="","",VLOOKUP(pub_gid_0_single_true_output_csv[[#This Row],[NAMA]],Table7[],3,FALSE))</f>
        <v>Average</v>
      </c>
    </row>
    <row r="1890" spans="1:37" x14ac:dyDescent="0.2">
      <c r="A1890">
        <v>1889</v>
      </c>
      <c r="B1890" t="s">
        <v>311</v>
      </c>
      <c r="C1890" t="s">
        <v>65</v>
      </c>
      <c r="D1890" t="s">
        <v>55</v>
      </c>
      <c r="E1890" t="s">
        <v>146</v>
      </c>
      <c r="F1890" s="25">
        <v>46065</v>
      </c>
      <c r="G1890" t="s">
        <v>354</v>
      </c>
      <c r="H1890" t="s">
        <v>412</v>
      </c>
      <c r="I1890" t="s">
        <v>371</v>
      </c>
      <c r="J1890" t="s">
        <v>36</v>
      </c>
      <c r="K1890" t="s">
        <v>153</v>
      </c>
      <c r="L1890" t="s">
        <v>319</v>
      </c>
      <c r="M1890" t="s">
        <v>141</v>
      </c>
      <c r="N1890" t="s">
        <v>142</v>
      </c>
      <c r="O1890" t="s">
        <v>327</v>
      </c>
      <c r="P1890" t="s">
        <v>281</v>
      </c>
      <c r="Q1890" t="s">
        <v>328</v>
      </c>
      <c r="R1890" t="s">
        <v>329</v>
      </c>
      <c r="S1890" t="s">
        <v>330</v>
      </c>
      <c r="T1890">
        <v>1</v>
      </c>
      <c r="U1890" t="s">
        <v>364</v>
      </c>
      <c r="V1890" t="s">
        <v>285</v>
      </c>
      <c r="W1890" t="s">
        <v>334</v>
      </c>
      <c r="X1890" t="s">
        <v>331</v>
      </c>
      <c r="Y1890" t="s">
        <v>307</v>
      </c>
      <c r="Z1890">
        <v>70</v>
      </c>
      <c r="AA1890">
        <v>68</v>
      </c>
      <c r="AB1890" t="s">
        <v>151</v>
      </c>
      <c r="AC1890" t="s">
        <v>161</v>
      </c>
      <c r="AD1890" t="s">
        <v>278</v>
      </c>
      <c r="AE1890" t="str">
        <f>IF(AF1890="","",VLOOKUP(AC1890,mapel!$A$2:$B$42,2,FALSE))</f>
        <v>TIK</v>
      </c>
      <c r="AF1890">
        <f t="shared" si="87"/>
        <v>68</v>
      </c>
      <c r="AG1890" t="str">
        <f>IF(AF1890="","",IF(AF1890&gt;90,"Sangat baik",IF(AF1890&gt;79,"Baik",IF(AF1890&gt;=pub_gid_0_single_true_output_csv[[#This Row],[KKM]],"Cukup","Kurang"))))</f>
        <v>Kurang</v>
      </c>
      <c r="AH1890">
        <f t="shared" si="88"/>
        <v>12</v>
      </c>
      <c r="AI1890" s="30" t="str">
        <f>IF(OR(J1890&lt;&gt;"Karakter",pub_gid_0_single_true_output_csv[[#This Row],[Nilai2]]=""),"",IF(AF1890&gt;89,"Sangat baik",IF(AF1890&gt;79,"Baik",IF(AF1890&gt;69,"Cukup",IF(AF1890&gt;59,"Kurang","Sangat kurang")))))</f>
        <v/>
      </c>
      <c r="AJ1890" t="str">
        <f t="shared" si="89"/>
        <v>Wk.7</v>
      </c>
      <c r="AK1890" t="str">
        <f>IF(pub_gid_0_single_true_output_csv[[#This Row],[Nilai2]]="","",VLOOKUP(pub_gid_0_single_true_output_csv[[#This Row],[NAMA]],Table7[],3,FALSE))</f>
        <v>Average</v>
      </c>
    </row>
    <row r="1891" spans="1:37" x14ac:dyDescent="0.2">
      <c r="A1891">
        <v>1890</v>
      </c>
      <c r="B1891" t="s">
        <v>311</v>
      </c>
      <c r="C1891" t="s">
        <v>65</v>
      </c>
      <c r="D1891" t="s">
        <v>55</v>
      </c>
      <c r="E1891" t="s">
        <v>146</v>
      </c>
      <c r="F1891" s="25">
        <v>46065</v>
      </c>
      <c r="G1891" t="s">
        <v>354</v>
      </c>
      <c r="H1891" t="s">
        <v>412</v>
      </c>
      <c r="I1891" t="s">
        <v>371</v>
      </c>
      <c r="J1891" t="s">
        <v>90</v>
      </c>
      <c r="K1891" t="s">
        <v>92</v>
      </c>
      <c r="L1891" t="s">
        <v>91</v>
      </c>
      <c r="M1891" t="s">
        <v>141</v>
      </c>
      <c r="N1891" t="s">
        <v>142</v>
      </c>
      <c r="O1891" t="s">
        <v>327</v>
      </c>
      <c r="P1891" t="s">
        <v>281</v>
      </c>
      <c r="Q1891" t="s">
        <v>328</v>
      </c>
      <c r="R1891" t="s">
        <v>329</v>
      </c>
      <c r="S1891" t="s">
        <v>330</v>
      </c>
      <c r="T1891">
        <v>1</v>
      </c>
      <c r="U1891" t="s">
        <v>364</v>
      </c>
      <c r="V1891" t="s">
        <v>285</v>
      </c>
      <c r="W1891" t="s">
        <v>334</v>
      </c>
      <c r="X1891" t="s">
        <v>331</v>
      </c>
      <c r="Y1891" t="s">
        <v>307</v>
      </c>
      <c r="Z1891">
        <v>70</v>
      </c>
      <c r="AA1891">
        <v>80</v>
      </c>
      <c r="AB1891" t="s">
        <v>143</v>
      </c>
      <c r="AC1891" t="s">
        <v>161</v>
      </c>
      <c r="AD1891" t="s">
        <v>278</v>
      </c>
      <c r="AE1891" t="str">
        <f>IF(AF1891="","",VLOOKUP(AC1891,mapel!$A$2:$B$42,2,FALSE))</f>
        <v>TIK</v>
      </c>
      <c r="AF1891">
        <f t="shared" si="87"/>
        <v>80</v>
      </c>
      <c r="AG1891" t="str">
        <f>IF(AF1891="","",IF(AF1891&gt;90,"Sangat baik",IF(AF1891&gt;79,"Baik",IF(AF1891&gt;=pub_gid_0_single_true_output_csv[[#This Row],[KKM]],"Cukup","Kurang"))))</f>
        <v>Baik</v>
      </c>
      <c r="AH1891">
        <f t="shared" si="88"/>
        <v>12</v>
      </c>
      <c r="AI1891" s="30" t="str">
        <f>IF(OR(J1891&lt;&gt;"Karakter",pub_gid_0_single_true_output_csv[[#This Row],[Nilai2]]=""),"",IF(AF1891&gt;89,"Sangat baik",IF(AF1891&gt;79,"Baik",IF(AF1891&gt;69,"Cukup",IF(AF1891&gt;59,"Kurang","Sangat kurang")))))</f>
        <v>Baik</v>
      </c>
      <c r="AJ1891" t="str">
        <f t="shared" si="89"/>
        <v>Wk.7</v>
      </c>
      <c r="AK1891" t="str">
        <f>IF(pub_gid_0_single_true_output_csv[[#This Row],[Nilai2]]="","",VLOOKUP(pub_gid_0_single_true_output_csv[[#This Row],[NAMA]],Table7[],3,FALSE))</f>
        <v>Average</v>
      </c>
    </row>
    <row r="1892" spans="1:37" x14ac:dyDescent="0.2">
      <c r="A1892">
        <v>1891</v>
      </c>
      <c r="B1892" t="s">
        <v>312</v>
      </c>
      <c r="C1892" t="s">
        <v>65</v>
      </c>
      <c r="D1892" t="s">
        <v>56</v>
      </c>
      <c r="E1892" t="s">
        <v>156</v>
      </c>
      <c r="F1892" s="25">
        <v>46037</v>
      </c>
      <c r="G1892" t="s">
        <v>356</v>
      </c>
      <c r="H1892" t="s">
        <v>405</v>
      </c>
      <c r="I1892" t="s">
        <v>371</v>
      </c>
      <c r="J1892" t="s">
        <v>41</v>
      </c>
      <c r="K1892" t="s">
        <v>157</v>
      </c>
      <c r="L1892" t="s">
        <v>319</v>
      </c>
      <c r="M1892" t="s">
        <v>141</v>
      </c>
      <c r="N1892" t="s">
        <v>142</v>
      </c>
      <c r="O1892" t="s">
        <v>327</v>
      </c>
      <c r="P1892" t="s">
        <v>281</v>
      </c>
      <c r="Q1892" t="s">
        <v>328</v>
      </c>
      <c r="R1892" t="s">
        <v>329</v>
      </c>
      <c r="S1892" t="s">
        <v>330</v>
      </c>
      <c r="T1892">
        <v>1</v>
      </c>
      <c r="U1892" t="s">
        <v>364</v>
      </c>
      <c r="V1892" t="s">
        <v>285</v>
      </c>
      <c r="W1892" t="s">
        <v>334</v>
      </c>
      <c r="X1892" t="s">
        <v>331</v>
      </c>
      <c r="Y1892" t="s">
        <v>307</v>
      </c>
      <c r="Z1892">
        <v>70</v>
      </c>
      <c r="AA1892">
        <v>70</v>
      </c>
      <c r="AB1892" t="s">
        <v>143</v>
      </c>
      <c r="AC1892" t="s">
        <v>161</v>
      </c>
      <c r="AD1892" t="s">
        <v>278</v>
      </c>
      <c r="AE1892" t="str">
        <f>IF(AF1892="","",VLOOKUP(AC1892,mapel!$A$2:$B$42,2,FALSE))</f>
        <v>TIK</v>
      </c>
      <c r="AF1892">
        <f t="shared" si="87"/>
        <v>70</v>
      </c>
      <c r="AG1892" t="str">
        <f>IF(AF1892="","",IF(AF1892&gt;90,"Sangat baik",IF(AF1892&gt;79,"Baik",IF(AF1892&gt;=pub_gid_0_single_true_output_csv[[#This Row],[KKM]],"Cukup","Kurang"))))</f>
        <v>Cukup</v>
      </c>
      <c r="AH1892">
        <f t="shared" si="88"/>
        <v>12</v>
      </c>
      <c r="AI1892" s="30" t="str">
        <f>IF(OR(J1892&lt;&gt;"Karakter",pub_gid_0_single_true_output_csv[[#This Row],[Nilai2]]=""),"",IF(AF1892&gt;89,"Sangat baik",IF(AF1892&gt;79,"Baik",IF(AF1892&gt;69,"Cukup",IF(AF1892&gt;59,"Kurang","Sangat kurang")))))</f>
        <v/>
      </c>
      <c r="AJ1892" t="str">
        <f t="shared" si="89"/>
        <v>Wk.3</v>
      </c>
      <c r="AK1892" t="str">
        <f>IF(pub_gid_0_single_true_output_csv[[#This Row],[Nilai2]]="","",VLOOKUP(pub_gid_0_single_true_output_csv[[#This Row],[NAMA]],Table7[],3,FALSE))</f>
        <v>Superior</v>
      </c>
    </row>
    <row r="1893" spans="1:37" x14ac:dyDescent="0.2">
      <c r="A1893">
        <v>1892</v>
      </c>
      <c r="B1893" t="s">
        <v>312</v>
      </c>
      <c r="C1893" t="s">
        <v>65</v>
      </c>
      <c r="D1893" t="s">
        <v>56</v>
      </c>
      <c r="E1893" t="s">
        <v>156</v>
      </c>
      <c r="F1893" s="25">
        <v>46037</v>
      </c>
      <c r="G1893" t="s">
        <v>356</v>
      </c>
      <c r="H1893" t="s">
        <v>405</v>
      </c>
      <c r="I1893" t="s">
        <v>371</v>
      </c>
      <c r="J1893" t="s">
        <v>36</v>
      </c>
      <c r="K1893" t="s">
        <v>153</v>
      </c>
      <c r="L1893" t="s">
        <v>319</v>
      </c>
      <c r="M1893" t="s">
        <v>141</v>
      </c>
      <c r="N1893" t="s">
        <v>142</v>
      </c>
      <c r="O1893" t="s">
        <v>327</v>
      </c>
      <c r="P1893" t="s">
        <v>281</v>
      </c>
      <c r="Q1893" t="s">
        <v>328</v>
      </c>
      <c r="R1893" t="s">
        <v>329</v>
      </c>
      <c r="S1893" t="s">
        <v>330</v>
      </c>
      <c r="T1893">
        <v>1</v>
      </c>
      <c r="U1893" t="s">
        <v>364</v>
      </c>
      <c r="V1893" t="s">
        <v>285</v>
      </c>
      <c r="W1893" t="s">
        <v>334</v>
      </c>
      <c r="X1893" t="s">
        <v>331</v>
      </c>
      <c r="Y1893" t="s">
        <v>307</v>
      </c>
      <c r="Z1893">
        <v>70</v>
      </c>
      <c r="AA1893">
        <v>70</v>
      </c>
      <c r="AB1893" t="s">
        <v>143</v>
      </c>
      <c r="AC1893" t="s">
        <v>161</v>
      </c>
      <c r="AD1893" t="s">
        <v>278</v>
      </c>
      <c r="AE1893" t="str">
        <f>IF(AF1893="","",VLOOKUP(AC1893,mapel!$A$2:$B$42,2,FALSE))</f>
        <v>TIK</v>
      </c>
      <c r="AF1893">
        <f t="shared" si="87"/>
        <v>70</v>
      </c>
      <c r="AG1893" t="str">
        <f>IF(AF1893="","",IF(AF1893&gt;90,"Sangat baik",IF(AF1893&gt;79,"Baik",IF(AF1893&gt;=pub_gid_0_single_true_output_csv[[#This Row],[KKM]],"Cukup","Kurang"))))</f>
        <v>Cukup</v>
      </c>
      <c r="AH1893">
        <f t="shared" si="88"/>
        <v>12</v>
      </c>
      <c r="AI1893" s="30" t="str">
        <f>IF(OR(J1893&lt;&gt;"Karakter",pub_gid_0_single_true_output_csv[[#This Row],[Nilai2]]=""),"",IF(AF1893&gt;89,"Sangat baik",IF(AF1893&gt;79,"Baik",IF(AF1893&gt;69,"Cukup",IF(AF1893&gt;59,"Kurang","Sangat kurang")))))</f>
        <v/>
      </c>
      <c r="AJ1893" t="str">
        <f t="shared" si="89"/>
        <v>Wk.3</v>
      </c>
      <c r="AK1893" t="str">
        <f>IF(pub_gid_0_single_true_output_csv[[#This Row],[Nilai2]]="","",VLOOKUP(pub_gid_0_single_true_output_csv[[#This Row],[NAMA]],Table7[],3,FALSE))</f>
        <v>Superior</v>
      </c>
    </row>
    <row r="1894" spans="1:37" x14ac:dyDescent="0.2">
      <c r="A1894">
        <v>1893</v>
      </c>
      <c r="B1894" t="s">
        <v>312</v>
      </c>
      <c r="C1894" t="s">
        <v>65</v>
      </c>
      <c r="D1894" t="s">
        <v>56</v>
      </c>
      <c r="E1894" t="s">
        <v>156</v>
      </c>
      <c r="F1894" s="25">
        <v>46044</v>
      </c>
      <c r="G1894" t="s">
        <v>305</v>
      </c>
      <c r="H1894" t="s">
        <v>405</v>
      </c>
      <c r="I1894" t="s">
        <v>371</v>
      </c>
      <c r="J1894" t="s">
        <v>31</v>
      </c>
      <c r="K1894" t="s">
        <v>158</v>
      </c>
      <c r="L1894" t="s">
        <v>319</v>
      </c>
      <c r="M1894" t="s">
        <v>141</v>
      </c>
      <c r="N1894" t="s">
        <v>142</v>
      </c>
      <c r="O1894" t="s">
        <v>327</v>
      </c>
      <c r="P1894" t="s">
        <v>281</v>
      </c>
      <c r="Q1894" t="s">
        <v>328</v>
      </c>
      <c r="R1894" t="s">
        <v>329</v>
      </c>
      <c r="S1894" t="s">
        <v>330</v>
      </c>
      <c r="T1894">
        <v>1</v>
      </c>
      <c r="U1894" t="s">
        <v>364</v>
      </c>
      <c r="V1894" t="s">
        <v>285</v>
      </c>
      <c r="W1894" t="s">
        <v>334</v>
      </c>
      <c r="X1894" t="s">
        <v>331</v>
      </c>
      <c r="Y1894" t="s">
        <v>307</v>
      </c>
      <c r="Z1894">
        <v>70</v>
      </c>
      <c r="AA1894">
        <v>70</v>
      </c>
      <c r="AB1894" t="s">
        <v>143</v>
      </c>
      <c r="AC1894" t="s">
        <v>161</v>
      </c>
      <c r="AD1894" t="s">
        <v>278</v>
      </c>
      <c r="AE1894" t="str">
        <f>IF(AF1894="","",VLOOKUP(AC1894,mapel!$A$2:$B$42,2,FALSE))</f>
        <v>TIK</v>
      </c>
      <c r="AF1894">
        <f t="shared" si="87"/>
        <v>70</v>
      </c>
      <c r="AG1894" t="str">
        <f>IF(AF1894="","",IF(AF1894&gt;90,"Sangat baik",IF(AF1894&gt;79,"Baik",IF(AF1894&gt;=pub_gid_0_single_true_output_csv[[#This Row],[KKM]],"Cukup","Kurang"))))</f>
        <v>Cukup</v>
      </c>
      <c r="AH1894">
        <f t="shared" si="88"/>
        <v>12</v>
      </c>
      <c r="AI1894" s="30" t="str">
        <f>IF(OR(J1894&lt;&gt;"Karakter",pub_gid_0_single_true_output_csv[[#This Row],[Nilai2]]=""),"",IF(AF1894&gt;89,"Sangat baik",IF(AF1894&gt;79,"Baik",IF(AF1894&gt;69,"Cukup",IF(AF1894&gt;59,"Kurang","Sangat kurang")))))</f>
        <v/>
      </c>
      <c r="AJ1894" t="str">
        <f t="shared" si="89"/>
        <v>Wk.4</v>
      </c>
      <c r="AK1894" t="str">
        <f>IF(pub_gid_0_single_true_output_csv[[#This Row],[Nilai2]]="","",VLOOKUP(pub_gid_0_single_true_output_csv[[#This Row],[NAMA]],Table7[],3,FALSE))</f>
        <v>Superior</v>
      </c>
    </row>
    <row r="1895" spans="1:37" x14ac:dyDescent="0.2">
      <c r="A1895">
        <v>1894</v>
      </c>
      <c r="B1895" t="s">
        <v>312</v>
      </c>
      <c r="C1895" t="s">
        <v>65</v>
      </c>
      <c r="D1895" t="s">
        <v>56</v>
      </c>
      <c r="E1895" t="s">
        <v>156</v>
      </c>
      <c r="F1895" s="25">
        <v>46044</v>
      </c>
      <c r="G1895" t="s">
        <v>305</v>
      </c>
      <c r="H1895" t="s">
        <v>405</v>
      </c>
      <c r="I1895" t="s">
        <v>371</v>
      </c>
      <c r="J1895" t="s">
        <v>90</v>
      </c>
      <c r="K1895" t="s">
        <v>92</v>
      </c>
      <c r="L1895" t="s">
        <v>91</v>
      </c>
      <c r="M1895" t="s">
        <v>141</v>
      </c>
      <c r="N1895" t="s">
        <v>142</v>
      </c>
      <c r="O1895" t="s">
        <v>327</v>
      </c>
      <c r="P1895" t="s">
        <v>281</v>
      </c>
      <c r="Q1895" t="s">
        <v>328</v>
      </c>
      <c r="R1895" t="s">
        <v>329</v>
      </c>
      <c r="S1895" t="s">
        <v>330</v>
      </c>
      <c r="T1895">
        <v>1</v>
      </c>
      <c r="U1895" t="s">
        <v>364</v>
      </c>
      <c r="V1895" t="s">
        <v>285</v>
      </c>
      <c r="W1895" t="s">
        <v>334</v>
      </c>
      <c r="X1895" t="s">
        <v>331</v>
      </c>
      <c r="Y1895" t="s">
        <v>307</v>
      </c>
      <c r="Z1895">
        <v>70</v>
      </c>
      <c r="AA1895">
        <v>80</v>
      </c>
      <c r="AB1895" t="s">
        <v>143</v>
      </c>
      <c r="AC1895" t="s">
        <v>161</v>
      </c>
      <c r="AD1895" t="s">
        <v>278</v>
      </c>
      <c r="AE1895" t="str">
        <f>IF(AF1895="","",VLOOKUP(AC1895,mapel!$A$2:$B$42,2,FALSE))</f>
        <v>TIK</v>
      </c>
      <c r="AF1895">
        <f t="shared" si="87"/>
        <v>80</v>
      </c>
      <c r="AG1895" t="str">
        <f>IF(AF1895="","",IF(AF1895&gt;90,"Sangat baik",IF(AF1895&gt;79,"Baik",IF(AF1895&gt;=pub_gid_0_single_true_output_csv[[#This Row],[KKM]],"Cukup","Kurang"))))</f>
        <v>Baik</v>
      </c>
      <c r="AH1895">
        <f t="shared" si="88"/>
        <v>12</v>
      </c>
      <c r="AI1895" s="30" t="str">
        <f>IF(OR(J1895&lt;&gt;"Karakter",pub_gid_0_single_true_output_csv[[#This Row],[Nilai2]]=""),"",IF(AF1895&gt;89,"Sangat baik",IF(AF1895&gt;79,"Baik",IF(AF1895&gt;69,"Cukup",IF(AF1895&gt;59,"Kurang","Sangat kurang")))))</f>
        <v>Baik</v>
      </c>
      <c r="AJ1895" t="str">
        <f t="shared" si="89"/>
        <v>Wk.4</v>
      </c>
      <c r="AK1895" t="str">
        <f>IF(pub_gid_0_single_true_output_csv[[#This Row],[Nilai2]]="","",VLOOKUP(pub_gid_0_single_true_output_csv[[#This Row],[NAMA]],Table7[],3,FALSE))</f>
        <v>Superior</v>
      </c>
    </row>
    <row r="1896" spans="1:37" x14ac:dyDescent="0.2">
      <c r="A1896">
        <v>1895</v>
      </c>
      <c r="B1896" t="s">
        <v>312</v>
      </c>
      <c r="C1896" t="s">
        <v>65</v>
      </c>
      <c r="D1896" t="s">
        <v>56</v>
      </c>
      <c r="E1896" t="s">
        <v>156</v>
      </c>
      <c r="F1896" s="25">
        <v>46044</v>
      </c>
      <c r="G1896" t="s">
        <v>305</v>
      </c>
      <c r="H1896" t="s">
        <v>405</v>
      </c>
      <c r="I1896" t="s">
        <v>371</v>
      </c>
      <c r="J1896" t="s">
        <v>279</v>
      </c>
      <c r="K1896" t="s">
        <v>280</v>
      </c>
      <c r="L1896" t="s">
        <v>319</v>
      </c>
      <c r="M1896" t="s">
        <v>141</v>
      </c>
      <c r="N1896" t="s">
        <v>142</v>
      </c>
      <c r="O1896" t="s">
        <v>327</v>
      </c>
      <c r="P1896" t="s">
        <v>281</v>
      </c>
      <c r="Q1896" t="s">
        <v>328</v>
      </c>
      <c r="R1896" t="s">
        <v>329</v>
      </c>
      <c r="S1896" t="s">
        <v>330</v>
      </c>
      <c r="T1896">
        <v>1</v>
      </c>
      <c r="U1896" t="s">
        <v>364</v>
      </c>
      <c r="V1896" t="s">
        <v>285</v>
      </c>
      <c r="W1896" t="s">
        <v>334</v>
      </c>
      <c r="X1896" t="s">
        <v>331</v>
      </c>
      <c r="Y1896" t="s">
        <v>307</v>
      </c>
      <c r="Z1896">
        <v>70</v>
      </c>
      <c r="AA1896">
        <v>75</v>
      </c>
      <c r="AB1896" t="s">
        <v>143</v>
      </c>
      <c r="AC1896" t="s">
        <v>161</v>
      </c>
      <c r="AD1896" t="s">
        <v>278</v>
      </c>
      <c r="AE1896" t="str">
        <f>IF(AF1896="","",VLOOKUP(AC1896,mapel!$A$2:$B$42,2,FALSE))</f>
        <v>TIK</v>
      </c>
      <c r="AF1896">
        <f t="shared" si="87"/>
        <v>75</v>
      </c>
      <c r="AG1896" t="str">
        <f>IF(AF1896="","",IF(AF1896&gt;90,"Sangat baik",IF(AF1896&gt;79,"Baik",IF(AF1896&gt;=pub_gid_0_single_true_output_csv[[#This Row],[KKM]],"Cukup","Kurang"))))</f>
        <v>Cukup</v>
      </c>
      <c r="AH1896">
        <f t="shared" si="88"/>
        <v>12</v>
      </c>
      <c r="AI1896" s="30" t="str">
        <f>IF(OR(J1896&lt;&gt;"Karakter",pub_gid_0_single_true_output_csv[[#This Row],[Nilai2]]=""),"",IF(AF1896&gt;89,"Sangat baik",IF(AF1896&gt;79,"Baik",IF(AF1896&gt;69,"Cukup",IF(AF1896&gt;59,"Kurang","Sangat kurang")))))</f>
        <v/>
      </c>
      <c r="AJ1896" t="str">
        <f t="shared" si="89"/>
        <v>Wk.4</v>
      </c>
      <c r="AK1896" t="str">
        <f>IF(pub_gid_0_single_true_output_csv[[#This Row],[Nilai2]]="","",VLOOKUP(pub_gid_0_single_true_output_csv[[#This Row],[NAMA]],Table7[],3,FALSE))</f>
        <v>Superior</v>
      </c>
    </row>
    <row r="1897" spans="1:37" x14ac:dyDescent="0.2">
      <c r="A1897">
        <v>1896</v>
      </c>
      <c r="B1897" t="s">
        <v>312</v>
      </c>
      <c r="C1897" t="s">
        <v>65</v>
      </c>
      <c r="D1897" t="s">
        <v>56</v>
      </c>
      <c r="E1897" t="s">
        <v>156</v>
      </c>
      <c r="F1897" s="25">
        <v>46051</v>
      </c>
      <c r="G1897" t="s">
        <v>320</v>
      </c>
      <c r="H1897" t="s">
        <v>405</v>
      </c>
      <c r="I1897" t="s">
        <v>371</v>
      </c>
      <c r="J1897" t="s">
        <v>41</v>
      </c>
      <c r="K1897" t="s">
        <v>157</v>
      </c>
      <c r="L1897" t="s">
        <v>319</v>
      </c>
      <c r="M1897" t="s">
        <v>141</v>
      </c>
      <c r="N1897" t="s">
        <v>142</v>
      </c>
      <c r="O1897" t="s">
        <v>327</v>
      </c>
      <c r="P1897" t="s">
        <v>281</v>
      </c>
      <c r="Q1897" t="s">
        <v>328</v>
      </c>
      <c r="R1897" t="s">
        <v>329</v>
      </c>
      <c r="S1897" t="s">
        <v>330</v>
      </c>
      <c r="T1897">
        <v>1</v>
      </c>
      <c r="U1897" t="s">
        <v>364</v>
      </c>
      <c r="V1897" t="s">
        <v>285</v>
      </c>
      <c r="W1897" t="s">
        <v>334</v>
      </c>
      <c r="X1897" t="s">
        <v>331</v>
      </c>
      <c r="Y1897" t="s">
        <v>307</v>
      </c>
      <c r="Z1897">
        <v>70</v>
      </c>
      <c r="AA1897">
        <v>70</v>
      </c>
      <c r="AB1897" t="s">
        <v>143</v>
      </c>
      <c r="AC1897" t="s">
        <v>161</v>
      </c>
      <c r="AD1897" t="s">
        <v>278</v>
      </c>
      <c r="AE1897" t="str">
        <f>IF(AF1897="","",VLOOKUP(AC1897,mapel!$A$2:$B$42,2,FALSE))</f>
        <v>TIK</v>
      </c>
      <c r="AF1897">
        <f t="shared" si="87"/>
        <v>70</v>
      </c>
      <c r="AG1897" t="str">
        <f>IF(AF1897="","",IF(AF1897&gt;90,"Sangat baik",IF(AF1897&gt;79,"Baik",IF(AF1897&gt;=pub_gid_0_single_true_output_csv[[#This Row],[KKM]],"Cukup","Kurang"))))</f>
        <v>Cukup</v>
      </c>
      <c r="AH1897">
        <f t="shared" si="88"/>
        <v>12</v>
      </c>
      <c r="AI1897" s="30" t="str">
        <f>IF(OR(J1897&lt;&gt;"Karakter",pub_gid_0_single_true_output_csv[[#This Row],[Nilai2]]=""),"",IF(AF1897&gt;89,"Sangat baik",IF(AF1897&gt;79,"Baik",IF(AF1897&gt;69,"Cukup",IF(AF1897&gt;59,"Kurang","Sangat kurang")))))</f>
        <v/>
      </c>
      <c r="AJ1897" t="str">
        <f t="shared" si="89"/>
        <v>Wk.5</v>
      </c>
      <c r="AK1897" t="str">
        <f>IF(pub_gid_0_single_true_output_csv[[#This Row],[Nilai2]]="","",VLOOKUP(pub_gid_0_single_true_output_csv[[#This Row],[NAMA]],Table7[],3,FALSE))</f>
        <v>Superior</v>
      </c>
    </row>
    <row r="1898" spans="1:37" x14ac:dyDescent="0.2">
      <c r="A1898">
        <v>1897</v>
      </c>
      <c r="B1898" t="s">
        <v>312</v>
      </c>
      <c r="C1898" t="s">
        <v>65</v>
      </c>
      <c r="D1898" t="s">
        <v>56</v>
      </c>
      <c r="E1898" t="s">
        <v>156</v>
      </c>
      <c r="F1898" s="25">
        <v>46051</v>
      </c>
      <c r="G1898" t="s">
        <v>320</v>
      </c>
      <c r="H1898" t="s">
        <v>405</v>
      </c>
      <c r="I1898" t="s">
        <v>371</v>
      </c>
      <c r="J1898" t="s">
        <v>36</v>
      </c>
      <c r="K1898" t="s">
        <v>153</v>
      </c>
      <c r="L1898" t="s">
        <v>319</v>
      </c>
      <c r="M1898" t="s">
        <v>141</v>
      </c>
      <c r="N1898" t="s">
        <v>142</v>
      </c>
      <c r="O1898" t="s">
        <v>327</v>
      </c>
      <c r="P1898" t="s">
        <v>281</v>
      </c>
      <c r="Q1898" t="s">
        <v>328</v>
      </c>
      <c r="R1898" t="s">
        <v>329</v>
      </c>
      <c r="S1898" t="s">
        <v>330</v>
      </c>
      <c r="T1898">
        <v>1</v>
      </c>
      <c r="U1898" t="s">
        <v>364</v>
      </c>
      <c r="V1898" t="s">
        <v>285</v>
      </c>
      <c r="W1898" t="s">
        <v>334</v>
      </c>
      <c r="X1898" t="s">
        <v>331</v>
      </c>
      <c r="Y1898" t="s">
        <v>307</v>
      </c>
      <c r="Z1898">
        <v>70</v>
      </c>
      <c r="AA1898">
        <v>70</v>
      </c>
      <c r="AB1898" t="s">
        <v>143</v>
      </c>
      <c r="AC1898" t="s">
        <v>161</v>
      </c>
      <c r="AD1898" t="s">
        <v>278</v>
      </c>
      <c r="AE1898" t="str">
        <f>IF(AF1898="","",VLOOKUP(AC1898,mapel!$A$2:$B$42,2,FALSE))</f>
        <v>TIK</v>
      </c>
      <c r="AF1898">
        <f t="shared" si="87"/>
        <v>70</v>
      </c>
      <c r="AG1898" t="str">
        <f>IF(AF1898="","",IF(AF1898&gt;90,"Sangat baik",IF(AF1898&gt;79,"Baik",IF(AF1898&gt;=pub_gid_0_single_true_output_csv[[#This Row],[KKM]],"Cukup","Kurang"))))</f>
        <v>Cukup</v>
      </c>
      <c r="AH1898">
        <f t="shared" si="88"/>
        <v>12</v>
      </c>
      <c r="AI1898" s="30" t="str">
        <f>IF(OR(J1898&lt;&gt;"Karakter",pub_gid_0_single_true_output_csv[[#This Row],[Nilai2]]=""),"",IF(AF1898&gt;89,"Sangat baik",IF(AF1898&gt;79,"Baik",IF(AF1898&gt;69,"Cukup",IF(AF1898&gt;59,"Kurang","Sangat kurang")))))</f>
        <v/>
      </c>
      <c r="AJ1898" t="str">
        <f t="shared" si="89"/>
        <v>Wk.5</v>
      </c>
      <c r="AK1898" t="str">
        <f>IF(pub_gid_0_single_true_output_csv[[#This Row],[Nilai2]]="","",VLOOKUP(pub_gid_0_single_true_output_csv[[#This Row],[NAMA]],Table7[],3,FALSE))</f>
        <v>Superior</v>
      </c>
    </row>
    <row r="1899" spans="1:37" x14ac:dyDescent="0.2">
      <c r="A1899">
        <v>1898</v>
      </c>
      <c r="B1899" t="s">
        <v>312</v>
      </c>
      <c r="C1899" t="s">
        <v>65</v>
      </c>
      <c r="D1899" t="s">
        <v>56</v>
      </c>
      <c r="E1899" t="s">
        <v>156</v>
      </c>
      <c r="F1899" s="25">
        <v>46065</v>
      </c>
      <c r="G1899" t="s">
        <v>354</v>
      </c>
      <c r="H1899" t="s">
        <v>412</v>
      </c>
      <c r="I1899" t="s">
        <v>371</v>
      </c>
      <c r="J1899" t="s">
        <v>41</v>
      </c>
      <c r="K1899" t="s">
        <v>157</v>
      </c>
      <c r="L1899" t="s">
        <v>319</v>
      </c>
      <c r="M1899" t="s">
        <v>141</v>
      </c>
      <c r="N1899" t="s">
        <v>142</v>
      </c>
      <c r="O1899" t="s">
        <v>327</v>
      </c>
      <c r="P1899" t="s">
        <v>281</v>
      </c>
      <c r="Q1899" t="s">
        <v>328</v>
      </c>
      <c r="R1899" t="s">
        <v>329</v>
      </c>
      <c r="S1899" t="s">
        <v>330</v>
      </c>
      <c r="T1899">
        <v>1</v>
      </c>
      <c r="U1899" t="s">
        <v>364</v>
      </c>
      <c r="V1899" t="s">
        <v>285</v>
      </c>
      <c r="W1899" t="s">
        <v>334</v>
      </c>
      <c r="X1899" t="s">
        <v>331</v>
      </c>
      <c r="Y1899" t="s">
        <v>307</v>
      </c>
      <c r="Z1899">
        <v>70</v>
      </c>
      <c r="AA1899">
        <v>68</v>
      </c>
      <c r="AB1899" t="s">
        <v>151</v>
      </c>
      <c r="AC1899" t="s">
        <v>161</v>
      </c>
      <c r="AD1899" t="s">
        <v>278</v>
      </c>
      <c r="AE1899" t="str">
        <f>IF(AF1899="","",VLOOKUP(AC1899,mapel!$A$2:$B$42,2,FALSE))</f>
        <v>TIK</v>
      </c>
      <c r="AF1899">
        <f t="shared" si="87"/>
        <v>68</v>
      </c>
      <c r="AG1899" t="str">
        <f>IF(AF1899="","",IF(AF1899&gt;90,"Sangat baik",IF(AF1899&gt;79,"Baik",IF(AF1899&gt;=pub_gid_0_single_true_output_csv[[#This Row],[KKM]],"Cukup","Kurang"))))</f>
        <v>Kurang</v>
      </c>
      <c r="AH1899">
        <f t="shared" si="88"/>
        <v>12</v>
      </c>
      <c r="AI1899" s="30" t="str">
        <f>IF(OR(J1899&lt;&gt;"Karakter",pub_gid_0_single_true_output_csv[[#This Row],[Nilai2]]=""),"",IF(AF1899&gt;89,"Sangat baik",IF(AF1899&gt;79,"Baik",IF(AF1899&gt;69,"Cukup",IF(AF1899&gt;59,"Kurang","Sangat kurang")))))</f>
        <v/>
      </c>
      <c r="AJ1899" t="str">
        <f t="shared" si="89"/>
        <v>Wk.7</v>
      </c>
      <c r="AK1899" t="str">
        <f>IF(pub_gid_0_single_true_output_csv[[#This Row],[Nilai2]]="","",VLOOKUP(pub_gid_0_single_true_output_csv[[#This Row],[NAMA]],Table7[],3,FALSE))</f>
        <v>Superior</v>
      </c>
    </row>
    <row r="1900" spans="1:37" x14ac:dyDescent="0.2">
      <c r="A1900">
        <v>1899</v>
      </c>
      <c r="B1900" t="s">
        <v>312</v>
      </c>
      <c r="C1900" t="s">
        <v>65</v>
      </c>
      <c r="D1900" t="s">
        <v>56</v>
      </c>
      <c r="E1900" t="s">
        <v>156</v>
      </c>
      <c r="F1900" s="25">
        <v>46065</v>
      </c>
      <c r="G1900" t="s">
        <v>354</v>
      </c>
      <c r="H1900" t="s">
        <v>412</v>
      </c>
      <c r="I1900" t="s">
        <v>371</v>
      </c>
      <c r="J1900" t="s">
        <v>36</v>
      </c>
      <c r="K1900" t="s">
        <v>153</v>
      </c>
      <c r="L1900" t="s">
        <v>319</v>
      </c>
      <c r="M1900" t="s">
        <v>141</v>
      </c>
      <c r="N1900" t="s">
        <v>142</v>
      </c>
      <c r="O1900" t="s">
        <v>327</v>
      </c>
      <c r="P1900" t="s">
        <v>281</v>
      </c>
      <c r="Q1900" t="s">
        <v>328</v>
      </c>
      <c r="R1900" t="s">
        <v>329</v>
      </c>
      <c r="S1900" t="s">
        <v>330</v>
      </c>
      <c r="T1900">
        <v>1</v>
      </c>
      <c r="U1900" t="s">
        <v>364</v>
      </c>
      <c r="V1900" t="s">
        <v>285</v>
      </c>
      <c r="W1900" t="s">
        <v>334</v>
      </c>
      <c r="X1900" t="s">
        <v>331</v>
      </c>
      <c r="Y1900" t="s">
        <v>307</v>
      </c>
      <c r="Z1900">
        <v>70</v>
      </c>
      <c r="AA1900">
        <v>68</v>
      </c>
      <c r="AB1900" t="s">
        <v>151</v>
      </c>
      <c r="AC1900" t="s">
        <v>161</v>
      </c>
      <c r="AD1900" t="s">
        <v>278</v>
      </c>
      <c r="AE1900" t="str">
        <f>IF(AF1900="","",VLOOKUP(AC1900,mapel!$A$2:$B$42,2,FALSE))</f>
        <v>TIK</v>
      </c>
      <c r="AF1900">
        <f t="shared" si="87"/>
        <v>68</v>
      </c>
      <c r="AG1900" t="str">
        <f>IF(AF1900="","",IF(AF1900&gt;90,"Sangat baik",IF(AF1900&gt;79,"Baik",IF(AF1900&gt;=pub_gid_0_single_true_output_csv[[#This Row],[KKM]],"Cukup","Kurang"))))</f>
        <v>Kurang</v>
      </c>
      <c r="AH1900">
        <f t="shared" si="88"/>
        <v>12</v>
      </c>
      <c r="AI1900" s="30" t="str">
        <f>IF(OR(J1900&lt;&gt;"Karakter",pub_gid_0_single_true_output_csv[[#This Row],[Nilai2]]=""),"",IF(AF1900&gt;89,"Sangat baik",IF(AF1900&gt;79,"Baik",IF(AF1900&gt;69,"Cukup",IF(AF1900&gt;59,"Kurang","Sangat kurang")))))</f>
        <v/>
      </c>
      <c r="AJ1900" t="str">
        <f t="shared" si="89"/>
        <v>Wk.7</v>
      </c>
      <c r="AK1900" t="str">
        <f>IF(pub_gid_0_single_true_output_csv[[#This Row],[Nilai2]]="","",VLOOKUP(pub_gid_0_single_true_output_csv[[#This Row],[NAMA]],Table7[],3,FALSE))</f>
        <v>Superior</v>
      </c>
    </row>
    <row r="1901" spans="1:37" x14ac:dyDescent="0.2">
      <c r="A1901">
        <v>1900</v>
      </c>
      <c r="B1901" t="s">
        <v>312</v>
      </c>
      <c r="C1901" t="s">
        <v>65</v>
      </c>
      <c r="D1901" t="s">
        <v>56</v>
      </c>
      <c r="E1901" t="s">
        <v>156</v>
      </c>
      <c r="F1901" s="25">
        <v>46065</v>
      </c>
      <c r="G1901" t="s">
        <v>354</v>
      </c>
      <c r="H1901" t="s">
        <v>412</v>
      </c>
      <c r="I1901" t="s">
        <v>371</v>
      </c>
      <c r="J1901" t="s">
        <v>90</v>
      </c>
      <c r="K1901" t="s">
        <v>92</v>
      </c>
      <c r="L1901" t="s">
        <v>91</v>
      </c>
      <c r="M1901" t="s">
        <v>141</v>
      </c>
      <c r="N1901" t="s">
        <v>142</v>
      </c>
      <c r="O1901" t="s">
        <v>327</v>
      </c>
      <c r="P1901" t="s">
        <v>281</v>
      </c>
      <c r="Q1901" t="s">
        <v>328</v>
      </c>
      <c r="R1901" t="s">
        <v>329</v>
      </c>
      <c r="S1901" t="s">
        <v>330</v>
      </c>
      <c r="T1901">
        <v>1</v>
      </c>
      <c r="U1901" t="s">
        <v>364</v>
      </c>
      <c r="V1901" t="s">
        <v>285</v>
      </c>
      <c r="W1901" t="s">
        <v>334</v>
      </c>
      <c r="X1901" t="s">
        <v>331</v>
      </c>
      <c r="Y1901" t="s">
        <v>307</v>
      </c>
      <c r="Z1901">
        <v>70</v>
      </c>
      <c r="AA1901">
        <v>80</v>
      </c>
      <c r="AB1901" t="s">
        <v>143</v>
      </c>
      <c r="AC1901" t="s">
        <v>161</v>
      </c>
      <c r="AD1901" t="s">
        <v>278</v>
      </c>
      <c r="AE1901" t="str">
        <f>IF(AF1901="","",VLOOKUP(AC1901,mapel!$A$2:$B$42,2,FALSE))</f>
        <v>TIK</v>
      </c>
      <c r="AF1901">
        <f t="shared" si="87"/>
        <v>80</v>
      </c>
      <c r="AG1901" t="str">
        <f>IF(AF1901="","",IF(AF1901&gt;90,"Sangat baik",IF(AF1901&gt;79,"Baik",IF(AF1901&gt;=pub_gid_0_single_true_output_csv[[#This Row],[KKM]],"Cukup","Kurang"))))</f>
        <v>Baik</v>
      </c>
      <c r="AH1901">
        <f t="shared" si="88"/>
        <v>12</v>
      </c>
      <c r="AI1901" s="30" t="str">
        <f>IF(OR(J1901&lt;&gt;"Karakter",pub_gid_0_single_true_output_csv[[#This Row],[Nilai2]]=""),"",IF(AF1901&gt;89,"Sangat baik",IF(AF1901&gt;79,"Baik",IF(AF1901&gt;69,"Cukup",IF(AF1901&gt;59,"Kurang","Sangat kurang")))))</f>
        <v>Baik</v>
      </c>
      <c r="AJ1901" t="str">
        <f t="shared" si="89"/>
        <v>Wk.7</v>
      </c>
      <c r="AK1901" t="str">
        <f>IF(pub_gid_0_single_true_output_csv[[#This Row],[Nilai2]]="","",VLOOKUP(pub_gid_0_single_true_output_csv[[#This Row],[NAMA]],Table7[],3,FALSE))</f>
        <v>Superior</v>
      </c>
    </row>
    <row r="1902" spans="1:37" x14ac:dyDescent="0.2">
      <c r="A1902">
        <v>1901</v>
      </c>
      <c r="B1902" t="s">
        <v>313</v>
      </c>
      <c r="C1902" t="s">
        <v>65</v>
      </c>
      <c r="D1902" t="s">
        <v>57</v>
      </c>
      <c r="E1902" t="s">
        <v>146</v>
      </c>
      <c r="F1902" s="25">
        <v>46037</v>
      </c>
      <c r="G1902" t="s">
        <v>356</v>
      </c>
      <c r="H1902" t="s">
        <v>405</v>
      </c>
      <c r="I1902" t="s">
        <v>371</v>
      </c>
      <c r="J1902" t="s">
        <v>41</v>
      </c>
      <c r="K1902" t="s">
        <v>157</v>
      </c>
      <c r="L1902" t="s">
        <v>319</v>
      </c>
      <c r="M1902" t="s">
        <v>141</v>
      </c>
      <c r="N1902" t="s">
        <v>142</v>
      </c>
      <c r="O1902" t="s">
        <v>327</v>
      </c>
      <c r="P1902" t="s">
        <v>281</v>
      </c>
      <c r="Q1902" t="s">
        <v>328</v>
      </c>
      <c r="R1902" t="s">
        <v>329</v>
      </c>
      <c r="S1902" t="s">
        <v>330</v>
      </c>
      <c r="T1902">
        <v>1</v>
      </c>
      <c r="U1902" t="s">
        <v>364</v>
      </c>
      <c r="V1902" t="s">
        <v>285</v>
      </c>
      <c r="W1902" t="s">
        <v>334</v>
      </c>
      <c r="X1902" t="s">
        <v>331</v>
      </c>
      <c r="Y1902" t="s">
        <v>307</v>
      </c>
      <c r="Z1902">
        <v>70</v>
      </c>
      <c r="AA1902">
        <v>60</v>
      </c>
      <c r="AB1902" t="s">
        <v>151</v>
      </c>
      <c r="AC1902" t="s">
        <v>161</v>
      </c>
      <c r="AD1902" t="s">
        <v>278</v>
      </c>
      <c r="AE1902" t="str">
        <f>IF(AF1902="","",VLOOKUP(AC1902,mapel!$A$2:$B$42,2,FALSE))</f>
        <v>TIK</v>
      </c>
      <c r="AF1902">
        <f t="shared" si="87"/>
        <v>60</v>
      </c>
      <c r="AG1902" t="str">
        <f>IF(AF1902="","",IF(AF1902&gt;90,"Sangat baik",IF(AF1902&gt;79,"Baik",IF(AF1902&gt;=pub_gid_0_single_true_output_csv[[#This Row],[KKM]],"Cukup","Kurang"))))</f>
        <v>Kurang</v>
      </c>
      <c r="AH1902">
        <f t="shared" si="88"/>
        <v>12</v>
      </c>
      <c r="AI1902" s="30" t="str">
        <f>IF(OR(J1902&lt;&gt;"Karakter",pub_gid_0_single_true_output_csv[[#This Row],[Nilai2]]=""),"",IF(AF1902&gt;89,"Sangat baik",IF(AF1902&gt;79,"Baik",IF(AF1902&gt;69,"Cukup",IF(AF1902&gt;59,"Kurang","Sangat kurang")))))</f>
        <v/>
      </c>
      <c r="AJ1902" t="str">
        <f t="shared" si="89"/>
        <v>Wk.3</v>
      </c>
      <c r="AK1902" t="str">
        <f>IF(pub_gid_0_single_true_output_csv[[#This Row],[Nilai2]]="","",VLOOKUP(pub_gid_0_single_true_output_csv[[#This Row],[NAMA]],Table7[],3,FALSE))</f>
        <v>High average</v>
      </c>
    </row>
    <row r="1903" spans="1:37" x14ac:dyDescent="0.2">
      <c r="A1903">
        <v>1902</v>
      </c>
      <c r="B1903" t="s">
        <v>313</v>
      </c>
      <c r="C1903" t="s">
        <v>65</v>
      </c>
      <c r="D1903" t="s">
        <v>57</v>
      </c>
      <c r="E1903" t="s">
        <v>146</v>
      </c>
      <c r="F1903" s="25">
        <v>46037</v>
      </c>
      <c r="G1903" t="s">
        <v>356</v>
      </c>
      <c r="H1903" t="s">
        <v>405</v>
      </c>
      <c r="I1903" t="s">
        <v>371</v>
      </c>
      <c r="J1903" t="s">
        <v>36</v>
      </c>
      <c r="K1903" t="s">
        <v>153</v>
      </c>
      <c r="L1903" t="s">
        <v>319</v>
      </c>
      <c r="M1903" t="s">
        <v>141</v>
      </c>
      <c r="N1903" t="s">
        <v>142</v>
      </c>
      <c r="O1903" t="s">
        <v>327</v>
      </c>
      <c r="P1903" t="s">
        <v>281</v>
      </c>
      <c r="Q1903" t="s">
        <v>328</v>
      </c>
      <c r="R1903" t="s">
        <v>329</v>
      </c>
      <c r="S1903" t="s">
        <v>330</v>
      </c>
      <c r="T1903">
        <v>1</v>
      </c>
      <c r="U1903" t="s">
        <v>364</v>
      </c>
      <c r="V1903" t="s">
        <v>285</v>
      </c>
      <c r="W1903" t="s">
        <v>334</v>
      </c>
      <c r="X1903" t="s">
        <v>331</v>
      </c>
      <c r="Y1903" t="s">
        <v>307</v>
      </c>
      <c r="Z1903">
        <v>70</v>
      </c>
      <c r="AA1903">
        <v>60</v>
      </c>
      <c r="AB1903" t="s">
        <v>151</v>
      </c>
      <c r="AC1903" t="s">
        <v>161</v>
      </c>
      <c r="AD1903" t="s">
        <v>278</v>
      </c>
      <c r="AE1903" t="str">
        <f>IF(AF1903="","",VLOOKUP(AC1903,mapel!$A$2:$B$42,2,FALSE))</f>
        <v>TIK</v>
      </c>
      <c r="AF1903">
        <f t="shared" si="87"/>
        <v>60</v>
      </c>
      <c r="AG1903" t="str">
        <f>IF(AF1903="","",IF(AF1903&gt;90,"Sangat baik",IF(AF1903&gt;79,"Baik",IF(AF1903&gt;=pub_gid_0_single_true_output_csv[[#This Row],[KKM]],"Cukup","Kurang"))))</f>
        <v>Kurang</v>
      </c>
      <c r="AH1903">
        <f t="shared" si="88"/>
        <v>12</v>
      </c>
      <c r="AI1903" s="30" t="str">
        <f>IF(OR(J1903&lt;&gt;"Karakter",pub_gid_0_single_true_output_csv[[#This Row],[Nilai2]]=""),"",IF(AF1903&gt;89,"Sangat baik",IF(AF1903&gt;79,"Baik",IF(AF1903&gt;69,"Cukup",IF(AF1903&gt;59,"Kurang","Sangat kurang")))))</f>
        <v/>
      </c>
      <c r="AJ1903" t="str">
        <f t="shared" si="89"/>
        <v>Wk.3</v>
      </c>
      <c r="AK1903" t="str">
        <f>IF(pub_gid_0_single_true_output_csv[[#This Row],[Nilai2]]="","",VLOOKUP(pub_gid_0_single_true_output_csv[[#This Row],[NAMA]],Table7[],3,FALSE))</f>
        <v>High average</v>
      </c>
    </row>
    <row r="1904" spans="1:37" x14ac:dyDescent="0.2">
      <c r="A1904">
        <v>1903</v>
      </c>
      <c r="B1904" t="s">
        <v>313</v>
      </c>
      <c r="C1904" t="s">
        <v>65</v>
      </c>
      <c r="D1904" t="s">
        <v>57</v>
      </c>
      <c r="E1904" t="s">
        <v>146</v>
      </c>
      <c r="F1904" s="25">
        <v>46044</v>
      </c>
      <c r="G1904" t="s">
        <v>305</v>
      </c>
      <c r="H1904" t="s">
        <v>405</v>
      </c>
      <c r="I1904" t="s">
        <v>371</v>
      </c>
      <c r="J1904" t="s">
        <v>31</v>
      </c>
      <c r="K1904" t="s">
        <v>158</v>
      </c>
      <c r="L1904" t="s">
        <v>319</v>
      </c>
      <c r="M1904" t="s">
        <v>141</v>
      </c>
      <c r="N1904" t="s">
        <v>142</v>
      </c>
      <c r="O1904" t="s">
        <v>327</v>
      </c>
      <c r="P1904" t="s">
        <v>281</v>
      </c>
      <c r="Q1904" t="s">
        <v>328</v>
      </c>
      <c r="R1904" t="s">
        <v>329</v>
      </c>
      <c r="S1904" t="s">
        <v>330</v>
      </c>
      <c r="T1904">
        <v>1</v>
      </c>
      <c r="U1904" t="s">
        <v>364</v>
      </c>
      <c r="V1904" t="s">
        <v>285</v>
      </c>
      <c r="W1904" t="s">
        <v>334</v>
      </c>
      <c r="X1904" t="s">
        <v>331</v>
      </c>
      <c r="Y1904" t="s">
        <v>307</v>
      </c>
      <c r="Z1904">
        <v>70</v>
      </c>
      <c r="AA1904">
        <v>60</v>
      </c>
      <c r="AB1904" t="s">
        <v>151</v>
      </c>
      <c r="AC1904" t="s">
        <v>161</v>
      </c>
      <c r="AD1904" t="s">
        <v>278</v>
      </c>
      <c r="AE1904" t="str">
        <f>IF(AF1904="","",VLOOKUP(AC1904,mapel!$A$2:$B$42,2,FALSE))</f>
        <v>TIK</v>
      </c>
      <c r="AF1904">
        <f t="shared" si="87"/>
        <v>60</v>
      </c>
      <c r="AG1904" t="str">
        <f>IF(AF1904="","",IF(AF1904&gt;90,"Sangat baik",IF(AF1904&gt;79,"Baik",IF(AF1904&gt;=pub_gid_0_single_true_output_csv[[#This Row],[KKM]],"Cukup","Kurang"))))</f>
        <v>Kurang</v>
      </c>
      <c r="AH1904">
        <f t="shared" si="88"/>
        <v>12</v>
      </c>
      <c r="AI1904" s="30" t="str">
        <f>IF(OR(J1904&lt;&gt;"Karakter",pub_gid_0_single_true_output_csv[[#This Row],[Nilai2]]=""),"",IF(AF1904&gt;89,"Sangat baik",IF(AF1904&gt;79,"Baik",IF(AF1904&gt;69,"Cukup",IF(AF1904&gt;59,"Kurang","Sangat kurang")))))</f>
        <v/>
      </c>
      <c r="AJ1904" t="str">
        <f t="shared" si="89"/>
        <v>Wk.4</v>
      </c>
      <c r="AK1904" t="str">
        <f>IF(pub_gid_0_single_true_output_csv[[#This Row],[Nilai2]]="","",VLOOKUP(pub_gid_0_single_true_output_csv[[#This Row],[NAMA]],Table7[],3,FALSE))</f>
        <v>High average</v>
      </c>
    </row>
    <row r="1905" spans="1:37" x14ac:dyDescent="0.2">
      <c r="A1905">
        <v>1904</v>
      </c>
      <c r="B1905" t="s">
        <v>313</v>
      </c>
      <c r="C1905" t="s">
        <v>65</v>
      </c>
      <c r="D1905" t="s">
        <v>57</v>
      </c>
      <c r="E1905" t="s">
        <v>146</v>
      </c>
      <c r="F1905" s="25">
        <v>46044</v>
      </c>
      <c r="G1905" t="s">
        <v>305</v>
      </c>
      <c r="H1905" t="s">
        <v>405</v>
      </c>
      <c r="I1905" t="s">
        <v>371</v>
      </c>
      <c r="J1905" t="s">
        <v>90</v>
      </c>
      <c r="K1905" t="s">
        <v>92</v>
      </c>
      <c r="L1905" t="s">
        <v>91</v>
      </c>
      <c r="M1905" t="s">
        <v>141</v>
      </c>
      <c r="N1905" t="s">
        <v>142</v>
      </c>
      <c r="O1905" t="s">
        <v>327</v>
      </c>
      <c r="P1905" t="s">
        <v>281</v>
      </c>
      <c r="Q1905" t="s">
        <v>328</v>
      </c>
      <c r="R1905" t="s">
        <v>329</v>
      </c>
      <c r="S1905" t="s">
        <v>330</v>
      </c>
      <c r="T1905">
        <v>1</v>
      </c>
      <c r="U1905" t="s">
        <v>364</v>
      </c>
      <c r="V1905" t="s">
        <v>285</v>
      </c>
      <c r="W1905" t="s">
        <v>334</v>
      </c>
      <c r="X1905" t="s">
        <v>331</v>
      </c>
      <c r="Y1905" t="s">
        <v>307</v>
      </c>
      <c r="Z1905">
        <v>70</v>
      </c>
      <c r="AA1905">
        <v>80</v>
      </c>
      <c r="AB1905" t="s">
        <v>143</v>
      </c>
      <c r="AC1905" t="s">
        <v>161</v>
      </c>
      <c r="AD1905" t="s">
        <v>278</v>
      </c>
      <c r="AE1905" t="str">
        <f>IF(AF1905="","",VLOOKUP(AC1905,mapel!$A$2:$B$42,2,FALSE))</f>
        <v>TIK</v>
      </c>
      <c r="AF1905">
        <f t="shared" si="87"/>
        <v>80</v>
      </c>
      <c r="AG1905" t="str">
        <f>IF(AF1905="","",IF(AF1905&gt;90,"Sangat baik",IF(AF1905&gt;79,"Baik",IF(AF1905&gt;=pub_gid_0_single_true_output_csv[[#This Row],[KKM]],"Cukup","Kurang"))))</f>
        <v>Baik</v>
      </c>
      <c r="AH1905">
        <f t="shared" si="88"/>
        <v>12</v>
      </c>
      <c r="AI1905" s="30" t="str">
        <f>IF(OR(J1905&lt;&gt;"Karakter",pub_gid_0_single_true_output_csv[[#This Row],[Nilai2]]=""),"",IF(AF1905&gt;89,"Sangat baik",IF(AF1905&gt;79,"Baik",IF(AF1905&gt;69,"Cukup",IF(AF1905&gt;59,"Kurang","Sangat kurang")))))</f>
        <v>Baik</v>
      </c>
      <c r="AJ1905" t="str">
        <f t="shared" si="89"/>
        <v>Wk.4</v>
      </c>
      <c r="AK1905" t="str">
        <f>IF(pub_gid_0_single_true_output_csv[[#This Row],[Nilai2]]="","",VLOOKUP(pub_gid_0_single_true_output_csv[[#This Row],[NAMA]],Table7[],3,FALSE))</f>
        <v>High average</v>
      </c>
    </row>
    <row r="1906" spans="1:37" x14ac:dyDescent="0.2">
      <c r="A1906">
        <v>1905</v>
      </c>
      <c r="B1906" t="s">
        <v>313</v>
      </c>
      <c r="C1906" t="s">
        <v>65</v>
      </c>
      <c r="D1906" t="s">
        <v>57</v>
      </c>
      <c r="E1906" t="s">
        <v>146</v>
      </c>
      <c r="F1906" s="25">
        <v>46044</v>
      </c>
      <c r="G1906" t="s">
        <v>305</v>
      </c>
      <c r="H1906" t="s">
        <v>405</v>
      </c>
      <c r="I1906" t="s">
        <v>371</v>
      </c>
      <c r="J1906" t="s">
        <v>279</v>
      </c>
      <c r="K1906" t="s">
        <v>280</v>
      </c>
      <c r="L1906" t="s">
        <v>319</v>
      </c>
      <c r="M1906" t="s">
        <v>141</v>
      </c>
      <c r="N1906" t="s">
        <v>142</v>
      </c>
      <c r="O1906" t="s">
        <v>327</v>
      </c>
      <c r="P1906" t="s">
        <v>281</v>
      </c>
      <c r="Q1906" t="s">
        <v>328</v>
      </c>
      <c r="R1906" t="s">
        <v>329</v>
      </c>
      <c r="S1906" t="s">
        <v>330</v>
      </c>
      <c r="T1906">
        <v>1</v>
      </c>
      <c r="U1906" t="s">
        <v>364</v>
      </c>
      <c r="V1906" t="s">
        <v>285</v>
      </c>
      <c r="W1906" t="s">
        <v>334</v>
      </c>
      <c r="X1906" t="s">
        <v>331</v>
      </c>
      <c r="Y1906" t="s">
        <v>307</v>
      </c>
      <c r="Z1906">
        <v>70</v>
      </c>
      <c r="AA1906">
        <v>80</v>
      </c>
      <c r="AB1906" t="s">
        <v>143</v>
      </c>
      <c r="AC1906" t="s">
        <v>161</v>
      </c>
      <c r="AD1906" t="s">
        <v>278</v>
      </c>
      <c r="AE1906" t="str">
        <f>IF(AF1906="","",VLOOKUP(AC1906,mapel!$A$2:$B$42,2,FALSE))</f>
        <v>TIK</v>
      </c>
      <c r="AF1906">
        <f t="shared" si="87"/>
        <v>80</v>
      </c>
      <c r="AG1906" t="str">
        <f>IF(AF1906="","",IF(AF1906&gt;90,"Sangat baik",IF(AF1906&gt;79,"Baik",IF(AF1906&gt;=pub_gid_0_single_true_output_csv[[#This Row],[KKM]],"Cukup","Kurang"))))</f>
        <v>Baik</v>
      </c>
      <c r="AH1906">
        <f t="shared" si="88"/>
        <v>12</v>
      </c>
      <c r="AI1906" s="30" t="str">
        <f>IF(OR(J1906&lt;&gt;"Karakter",pub_gid_0_single_true_output_csv[[#This Row],[Nilai2]]=""),"",IF(AF1906&gt;89,"Sangat baik",IF(AF1906&gt;79,"Baik",IF(AF1906&gt;69,"Cukup",IF(AF1906&gt;59,"Kurang","Sangat kurang")))))</f>
        <v/>
      </c>
      <c r="AJ1906" t="str">
        <f t="shared" si="89"/>
        <v>Wk.4</v>
      </c>
      <c r="AK1906" t="str">
        <f>IF(pub_gid_0_single_true_output_csv[[#This Row],[Nilai2]]="","",VLOOKUP(pub_gid_0_single_true_output_csv[[#This Row],[NAMA]],Table7[],3,FALSE))</f>
        <v>High average</v>
      </c>
    </row>
    <row r="1907" spans="1:37" x14ac:dyDescent="0.2">
      <c r="A1907">
        <v>1906</v>
      </c>
      <c r="B1907" t="s">
        <v>313</v>
      </c>
      <c r="C1907" t="s">
        <v>65</v>
      </c>
      <c r="D1907" t="s">
        <v>57</v>
      </c>
      <c r="E1907" t="s">
        <v>146</v>
      </c>
      <c r="F1907" s="25">
        <v>46051</v>
      </c>
      <c r="G1907" t="s">
        <v>320</v>
      </c>
      <c r="H1907" t="s">
        <v>405</v>
      </c>
      <c r="I1907" t="s">
        <v>371</v>
      </c>
      <c r="J1907" t="s">
        <v>41</v>
      </c>
      <c r="K1907" t="s">
        <v>157</v>
      </c>
      <c r="L1907" t="s">
        <v>319</v>
      </c>
      <c r="M1907" t="s">
        <v>141</v>
      </c>
      <c r="N1907" t="s">
        <v>142</v>
      </c>
      <c r="O1907" t="s">
        <v>327</v>
      </c>
      <c r="P1907" t="s">
        <v>281</v>
      </c>
      <c r="Q1907" t="s">
        <v>328</v>
      </c>
      <c r="R1907" t="s">
        <v>329</v>
      </c>
      <c r="S1907" t="s">
        <v>330</v>
      </c>
      <c r="T1907">
        <v>1</v>
      </c>
      <c r="U1907" t="s">
        <v>364</v>
      </c>
      <c r="V1907" t="s">
        <v>285</v>
      </c>
      <c r="W1907" t="s">
        <v>334</v>
      </c>
      <c r="X1907" t="s">
        <v>331</v>
      </c>
      <c r="Y1907" t="s">
        <v>307</v>
      </c>
      <c r="Z1907">
        <v>70</v>
      </c>
      <c r="AA1907">
        <v>65</v>
      </c>
      <c r="AB1907" t="s">
        <v>151</v>
      </c>
      <c r="AC1907" t="s">
        <v>161</v>
      </c>
      <c r="AD1907" t="s">
        <v>278</v>
      </c>
      <c r="AE1907" t="str">
        <f>IF(AF1907="","",VLOOKUP(AC1907,mapel!$A$2:$B$42,2,FALSE))</f>
        <v>TIK</v>
      </c>
      <c r="AF1907">
        <f t="shared" si="87"/>
        <v>65</v>
      </c>
      <c r="AG1907" t="str">
        <f>IF(AF1907="","",IF(AF1907&gt;90,"Sangat baik",IF(AF1907&gt;79,"Baik",IF(AF1907&gt;=pub_gid_0_single_true_output_csv[[#This Row],[KKM]],"Cukup","Kurang"))))</f>
        <v>Kurang</v>
      </c>
      <c r="AH1907">
        <f t="shared" si="88"/>
        <v>12</v>
      </c>
      <c r="AI1907" s="30" t="str">
        <f>IF(OR(J1907&lt;&gt;"Karakter",pub_gid_0_single_true_output_csv[[#This Row],[Nilai2]]=""),"",IF(AF1907&gt;89,"Sangat baik",IF(AF1907&gt;79,"Baik",IF(AF1907&gt;69,"Cukup",IF(AF1907&gt;59,"Kurang","Sangat kurang")))))</f>
        <v/>
      </c>
      <c r="AJ1907" t="str">
        <f t="shared" si="89"/>
        <v>Wk.5</v>
      </c>
      <c r="AK1907" t="str">
        <f>IF(pub_gid_0_single_true_output_csv[[#This Row],[Nilai2]]="","",VLOOKUP(pub_gid_0_single_true_output_csv[[#This Row],[NAMA]],Table7[],3,FALSE))</f>
        <v>High average</v>
      </c>
    </row>
    <row r="1908" spans="1:37" x14ac:dyDescent="0.2">
      <c r="A1908">
        <v>1907</v>
      </c>
      <c r="B1908" t="s">
        <v>313</v>
      </c>
      <c r="C1908" t="s">
        <v>65</v>
      </c>
      <c r="D1908" t="s">
        <v>57</v>
      </c>
      <c r="E1908" t="s">
        <v>146</v>
      </c>
      <c r="F1908" s="25">
        <v>46051</v>
      </c>
      <c r="G1908" t="s">
        <v>320</v>
      </c>
      <c r="H1908" t="s">
        <v>405</v>
      </c>
      <c r="I1908" t="s">
        <v>371</v>
      </c>
      <c r="J1908" t="s">
        <v>36</v>
      </c>
      <c r="K1908" t="s">
        <v>153</v>
      </c>
      <c r="L1908" t="s">
        <v>319</v>
      </c>
      <c r="M1908" t="s">
        <v>141</v>
      </c>
      <c r="N1908" t="s">
        <v>142</v>
      </c>
      <c r="O1908" t="s">
        <v>327</v>
      </c>
      <c r="P1908" t="s">
        <v>281</v>
      </c>
      <c r="Q1908" t="s">
        <v>328</v>
      </c>
      <c r="R1908" t="s">
        <v>329</v>
      </c>
      <c r="S1908" t="s">
        <v>330</v>
      </c>
      <c r="T1908">
        <v>1</v>
      </c>
      <c r="U1908" t="s">
        <v>364</v>
      </c>
      <c r="V1908" t="s">
        <v>285</v>
      </c>
      <c r="W1908" t="s">
        <v>334</v>
      </c>
      <c r="X1908" t="s">
        <v>331</v>
      </c>
      <c r="Y1908" t="s">
        <v>307</v>
      </c>
      <c r="Z1908">
        <v>70</v>
      </c>
      <c r="AA1908">
        <v>65</v>
      </c>
      <c r="AB1908" t="s">
        <v>151</v>
      </c>
      <c r="AC1908" t="s">
        <v>161</v>
      </c>
      <c r="AD1908" t="s">
        <v>278</v>
      </c>
      <c r="AE1908" t="str">
        <f>IF(AF1908="","",VLOOKUP(AC1908,mapel!$A$2:$B$42,2,FALSE))</f>
        <v>TIK</v>
      </c>
      <c r="AF1908">
        <f t="shared" si="87"/>
        <v>65</v>
      </c>
      <c r="AG1908" t="str">
        <f>IF(AF1908="","",IF(AF1908&gt;90,"Sangat baik",IF(AF1908&gt;79,"Baik",IF(AF1908&gt;=pub_gid_0_single_true_output_csv[[#This Row],[KKM]],"Cukup","Kurang"))))</f>
        <v>Kurang</v>
      </c>
      <c r="AH1908">
        <f t="shared" si="88"/>
        <v>12</v>
      </c>
      <c r="AI1908" s="30" t="str">
        <f>IF(OR(J1908&lt;&gt;"Karakter",pub_gid_0_single_true_output_csv[[#This Row],[Nilai2]]=""),"",IF(AF1908&gt;89,"Sangat baik",IF(AF1908&gt;79,"Baik",IF(AF1908&gt;69,"Cukup",IF(AF1908&gt;59,"Kurang","Sangat kurang")))))</f>
        <v/>
      </c>
      <c r="AJ1908" t="str">
        <f t="shared" si="89"/>
        <v>Wk.5</v>
      </c>
      <c r="AK1908" t="str">
        <f>IF(pub_gid_0_single_true_output_csv[[#This Row],[Nilai2]]="","",VLOOKUP(pub_gid_0_single_true_output_csv[[#This Row],[NAMA]],Table7[],3,FALSE))</f>
        <v>High average</v>
      </c>
    </row>
    <row r="1909" spans="1:37" x14ac:dyDescent="0.2">
      <c r="A1909">
        <v>1908</v>
      </c>
      <c r="B1909" t="s">
        <v>313</v>
      </c>
      <c r="C1909" t="s">
        <v>65</v>
      </c>
      <c r="D1909" t="s">
        <v>57</v>
      </c>
      <c r="E1909" t="s">
        <v>146</v>
      </c>
      <c r="F1909" s="25">
        <v>46065</v>
      </c>
      <c r="G1909" t="s">
        <v>354</v>
      </c>
      <c r="H1909" t="s">
        <v>412</v>
      </c>
      <c r="I1909" t="s">
        <v>371</v>
      </c>
      <c r="J1909" t="s">
        <v>41</v>
      </c>
      <c r="K1909" t="s">
        <v>157</v>
      </c>
      <c r="L1909" t="s">
        <v>319</v>
      </c>
      <c r="M1909" t="s">
        <v>141</v>
      </c>
      <c r="N1909" t="s">
        <v>142</v>
      </c>
      <c r="O1909" t="s">
        <v>327</v>
      </c>
      <c r="P1909" t="s">
        <v>281</v>
      </c>
      <c r="Q1909" t="s">
        <v>328</v>
      </c>
      <c r="R1909" t="s">
        <v>329</v>
      </c>
      <c r="S1909" t="s">
        <v>330</v>
      </c>
      <c r="T1909">
        <v>1</v>
      </c>
      <c r="U1909" t="s">
        <v>364</v>
      </c>
      <c r="V1909" t="s">
        <v>285</v>
      </c>
      <c r="W1909" t="s">
        <v>334</v>
      </c>
      <c r="X1909" t="s">
        <v>331</v>
      </c>
      <c r="Y1909" t="s">
        <v>307</v>
      </c>
      <c r="Z1909">
        <v>70</v>
      </c>
      <c r="AA1909">
        <v>68</v>
      </c>
      <c r="AB1909" t="s">
        <v>151</v>
      </c>
      <c r="AC1909" t="s">
        <v>161</v>
      </c>
      <c r="AD1909" t="s">
        <v>278</v>
      </c>
      <c r="AE1909" t="str">
        <f>IF(AF1909="","",VLOOKUP(AC1909,mapel!$A$2:$B$42,2,FALSE))</f>
        <v>TIK</v>
      </c>
      <c r="AF1909">
        <f t="shared" si="87"/>
        <v>68</v>
      </c>
      <c r="AG1909" t="str">
        <f>IF(AF1909="","",IF(AF1909&gt;90,"Sangat baik",IF(AF1909&gt;79,"Baik",IF(AF1909&gt;=pub_gid_0_single_true_output_csv[[#This Row],[KKM]],"Cukup","Kurang"))))</f>
        <v>Kurang</v>
      </c>
      <c r="AH1909">
        <f t="shared" si="88"/>
        <v>12</v>
      </c>
      <c r="AI1909" s="30" t="str">
        <f>IF(OR(J1909&lt;&gt;"Karakter",pub_gid_0_single_true_output_csv[[#This Row],[Nilai2]]=""),"",IF(AF1909&gt;89,"Sangat baik",IF(AF1909&gt;79,"Baik",IF(AF1909&gt;69,"Cukup",IF(AF1909&gt;59,"Kurang","Sangat kurang")))))</f>
        <v/>
      </c>
      <c r="AJ1909" t="str">
        <f t="shared" si="89"/>
        <v>Wk.7</v>
      </c>
      <c r="AK1909" t="str">
        <f>IF(pub_gid_0_single_true_output_csv[[#This Row],[Nilai2]]="","",VLOOKUP(pub_gid_0_single_true_output_csv[[#This Row],[NAMA]],Table7[],3,FALSE))</f>
        <v>High average</v>
      </c>
    </row>
    <row r="1910" spans="1:37" x14ac:dyDescent="0.2">
      <c r="A1910">
        <v>1909</v>
      </c>
      <c r="B1910" t="s">
        <v>313</v>
      </c>
      <c r="C1910" t="s">
        <v>65</v>
      </c>
      <c r="D1910" t="s">
        <v>57</v>
      </c>
      <c r="E1910" t="s">
        <v>146</v>
      </c>
      <c r="F1910" s="25">
        <v>46065</v>
      </c>
      <c r="G1910" t="s">
        <v>354</v>
      </c>
      <c r="H1910" t="s">
        <v>412</v>
      </c>
      <c r="I1910" t="s">
        <v>371</v>
      </c>
      <c r="J1910" t="s">
        <v>36</v>
      </c>
      <c r="K1910" t="s">
        <v>153</v>
      </c>
      <c r="L1910" t="s">
        <v>319</v>
      </c>
      <c r="M1910" t="s">
        <v>141</v>
      </c>
      <c r="N1910" t="s">
        <v>142</v>
      </c>
      <c r="O1910" t="s">
        <v>327</v>
      </c>
      <c r="P1910" t="s">
        <v>281</v>
      </c>
      <c r="Q1910" t="s">
        <v>328</v>
      </c>
      <c r="R1910" t="s">
        <v>329</v>
      </c>
      <c r="S1910" t="s">
        <v>330</v>
      </c>
      <c r="T1910">
        <v>1</v>
      </c>
      <c r="U1910" t="s">
        <v>364</v>
      </c>
      <c r="V1910" t="s">
        <v>285</v>
      </c>
      <c r="W1910" t="s">
        <v>334</v>
      </c>
      <c r="X1910" t="s">
        <v>331</v>
      </c>
      <c r="Y1910" t="s">
        <v>307</v>
      </c>
      <c r="Z1910">
        <v>70</v>
      </c>
      <c r="AA1910">
        <v>65</v>
      </c>
      <c r="AB1910" t="s">
        <v>151</v>
      </c>
      <c r="AC1910" t="s">
        <v>161</v>
      </c>
      <c r="AD1910" t="s">
        <v>278</v>
      </c>
      <c r="AE1910" t="str">
        <f>IF(AF1910="","",VLOOKUP(AC1910,mapel!$A$2:$B$42,2,FALSE))</f>
        <v>TIK</v>
      </c>
      <c r="AF1910">
        <f t="shared" si="87"/>
        <v>65</v>
      </c>
      <c r="AG1910" t="str">
        <f>IF(AF1910="","",IF(AF1910&gt;90,"Sangat baik",IF(AF1910&gt;79,"Baik",IF(AF1910&gt;=pub_gid_0_single_true_output_csv[[#This Row],[KKM]],"Cukup","Kurang"))))</f>
        <v>Kurang</v>
      </c>
      <c r="AH1910">
        <f t="shared" si="88"/>
        <v>12</v>
      </c>
      <c r="AI1910" s="30" t="str">
        <f>IF(OR(J1910&lt;&gt;"Karakter",pub_gid_0_single_true_output_csv[[#This Row],[Nilai2]]=""),"",IF(AF1910&gt;89,"Sangat baik",IF(AF1910&gt;79,"Baik",IF(AF1910&gt;69,"Cukup",IF(AF1910&gt;59,"Kurang","Sangat kurang")))))</f>
        <v/>
      </c>
      <c r="AJ1910" t="str">
        <f t="shared" si="89"/>
        <v>Wk.7</v>
      </c>
      <c r="AK1910" t="str">
        <f>IF(pub_gid_0_single_true_output_csv[[#This Row],[Nilai2]]="","",VLOOKUP(pub_gid_0_single_true_output_csv[[#This Row],[NAMA]],Table7[],3,FALSE))</f>
        <v>High average</v>
      </c>
    </row>
    <row r="1911" spans="1:37" x14ac:dyDescent="0.2">
      <c r="A1911">
        <v>1910</v>
      </c>
      <c r="B1911" t="s">
        <v>313</v>
      </c>
      <c r="C1911" t="s">
        <v>65</v>
      </c>
      <c r="D1911" t="s">
        <v>57</v>
      </c>
      <c r="E1911" t="s">
        <v>146</v>
      </c>
      <c r="F1911" s="25">
        <v>46065</v>
      </c>
      <c r="G1911" t="s">
        <v>354</v>
      </c>
      <c r="H1911" t="s">
        <v>412</v>
      </c>
      <c r="I1911" t="s">
        <v>371</v>
      </c>
      <c r="J1911" t="s">
        <v>90</v>
      </c>
      <c r="K1911" t="s">
        <v>92</v>
      </c>
      <c r="L1911" t="s">
        <v>91</v>
      </c>
      <c r="M1911" t="s">
        <v>141</v>
      </c>
      <c r="N1911" t="s">
        <v>142</v>
      </c>
      <c r="O1911" t="s">
        <v>327</v>
      </c>
      <c r="P1911" t="s">
        <v>281</v>
      </c>
      <c r="Q1911" t="s">
        <v>328</v>
      </c>
      <c r="R1911" t="s">
        <v>329</v>
      </c>
      <c r="S1911" t="s">
        <v>330</v>
      </c>
      <c r="T1911">
        <v>1</v>
      </c>
      <c r="U1911" t="s">
        <v>364</v>
      </c>
      <c r="V1911" t="s">
        <v>285</v>
      </c>
      <c r="W1911" t="s">
        <v>334</v>
      </c>
      <c r="X1911" t="s">
        <v>331</v>
      </c>
      <c r="Y1911" t="s">
        <v>307</v>
      </c>
      <c r="Z1911">
        <v>70</v>
      </c>
      <c r="AA1911">
        <v>80</v>
      </c>
      <c r="AB1911" t="s">
        <v>143</v>
      </c>
      <c r="AC1911" t="s">
        <v>161</v>
      </c>
      <c r="AD1911" t="s">
        <v>278</v>
      </c>
      <c r="AE1911" t="str">
        <f>IF(AF1911="","",VLOOKUP(AC1911,mapel!$A$2:$B$42,2,FALSE))</f>
        <v>TIK</v>
      </c>
      <c r="AF1911">
        <f t="shared" si="87"/>
        <v>80</v>
      </c>
      <c r="AG1911" t="str">
        <f>IF(AF1911="","",IF(AF1911&gt;90,"Sangat baik",IF(AF1911&gt;79,"Baik",IF(AF1911&gt;=pub_gid_0_single_true_output_csv[[#This Row],[KKM]],"Cukup","Kurang"))))</f>
        <v>Baik</v>
      </c>
      <c r="AH1911">
        <f t="shared" si="88"/>
        <v>12</v>
      </c>
      <c r="AI1911" s="30" t="str">
        <f>IF(OR(J1911&lt;&gt;"Karakter",pub_gid_0_single_true_output_csv[[#This Row],[Nilai2]]=""),"",IF(AF1911&gt;89,"Sangat baik",IF(AF1911&gt;79,"Baik",IF(AF1911&gt;69,"Cukup",IF(AF1911&gt;59,"Kurang","Sangat kurang")))))</f>
        <v>Baik</v>
      </c>
      <c r="AJ1911" t="str">
        <f t="shared" si="89"/>
        <v>Wk.7</v>
      </c>
      <c r="AK1911" t="str">
        <f>IF(pub_gid_0_single_true_output_csv[[#This Row],[Nilai2]]="","",VLOOKUP(pub_gid_0_single_true_output_csv[[#This Row],[NAMA]],Table7[],3,FALSE))</f>
        <v>High average</v>
      </c>
    </row>
    <row r="1912" spans="1:37" x14ac:dyDescent="0.2">
      <c r="A1912">
        <v>1911</v>
      </c>
      <c r="B1912" t="s">
        <v>314</v>
      </c>
      <c r="C1912" t="s">
        <v>65</v>
      </c>
      <c r="D1912" t="s">
        <v>58</v>
      </c>
      <c r="E1912" t="s">
        <v>140</v>
      </c>
      <c r="F1912" s="25">
        <v>46037</v>
      </c>
      <c r="G1912" t="s">
        <v>356</v>
      </c>
      <c r="H1912" t="s">
        <v>405</v>
      </c>
      <c r="I1912" t="s">
        <v>371</v>
      </c>
      <c r="J1912" t="s">
        <v>41</v>
      </c>
      <c r="K1912" t="s">
        <v>157</v>
      </c>
      <c r="L1912" t="s">
        <v>319</v>
      </c>
      <c r="M1912" t="s">
        <v>141</v>
      </c>
      <c r="N1912" t="s">
        <v>142</v>
      </c>
      <c r="O1912" t="s">
        <v>327</v>
      </c>
      <c r="P1912" t="s">
        <v>281</v>
      </c>
      <c r="Q1912" t="s">
        <v>328</v>
      </c>
      <c r="R1912" t="s">
        <v>329</v>
      </c>
      <c r="S1912" t="s">
        <v>330</v>
      </c>
      <c r="T1912">
        <v>1</v>
      </c>
      <c r="U1912" t="s">
        <v>364</v>
      </c>
      <c r="V1912" t="s">
        <v>285</v>
      </c>
      <c r="W1912" t="s">
        <v>334</v>
      </c>
      <c r="X1912" t="s">
        <v>331</v>
      </c>
      <c r="Y1912" t="s">
        <v>307</v>
      </c>
      <c r="Z1912">
        <v>70</v>
      </c>
      <c r="AA1912">
        <v>50</v>
      </c>
      <c r="AB1912" t="s">
        <v>151</v>
      </c>
      <c r="AC1912" t="s">
        <v>161</v>
      </c>
      <c r="AD1912" t="s">
        <v>278</v>
      </c>
      <c r="AE1912" t="str">
        <f>IF(AF1912="","",VLOOKUP(AC1912,mapel!$A$2:$B$42,2,FALSE))</f>
        <v>TIK</v>
      </c>
      <c r="AF1912">
        <f t="shared" si="87"/>
        <v>50</v>
      </c>
      <c r="AG1912" t="str">
        <f>IF(AF1912="","",IF(AF1912&gt;90,"Sangat baik",IF(AF1912&gt;79,"Baik",IF(AF1912&gt;=pub_gid_0_single_true_output_csv[[#This Row],[KKM]],"Cukup","Kurang"))))</f>
        <v>Kurang</v>
      </c>
      <c r="AH1912">
        <f t="shared" si="88"/>
        <v>12</v>
      </c>
      <c r="AI1912" s="30" t="str">
        <f>IF(OR(J1912&lt;&gt;"Karakter",pub_gid_0_single_true_output_csv[[#This Row],[Nilai2]]=""),"",IF(AF1912&gt;89,"Sangat baik",IF(AF1912&gt;79,"Baik",IF(AF1912&gt;69,"Cukup",IF(AF1912&gt;59,"Kurang","Sangat kurang")))))</f>
        <v/>
      </c>
      <c r="AJ1912" t="str">
        <f t="shared" si="89"/>
        <v>Wk.3</v>
      </c>
      <c r="AK1912" t="str">
        <f>IF(pub_gid_0_single_true_output_csv[[#This Row],[Nilai2]]="","",VLOOKUP(pub_gid_0_single_true_output_csv[[#This Row],[NAMA]],Table7[],3,FALSE))</f>
        <v>Average</v>
      </c>
    </row>
    <row r="1913" spans="1:37" x14ac:dyDescent="0.2">
      <c r="A1913">
        <v>1912</v>
      </c>
      <c r="B1913" t="s">
        <v>314</v>
      </c>
      <c r="C1913" t="s">
        <v>65</v>
      </c>
      <c r="D1913" t="s">
        <v>58</v>
      </c>
      <c r="E1913" t="s">
        <v>140</v>
      </c>
      <c r="F1913" s="25">
        <v>46037</v>
      </c>
      <c r="G1913" t="s">
        <v>356</v>
      </c>
      <c r="H1913" t="s">
        <v>405</v>
      </c>
      <c r="I1913" t="s">
        <v>371</v>
      </c>
      <c r="J1913" t="s">
        <v>36</v>
      </c>
      <c r="K1913" t="s">
        <v>153</v>
      </c>
      <c r="L1913" t="s">
        <v>319</v>
      </c>
      <c r="M1913" t="s">
        <v>141</v>
      </c>
      <c r="N1913" t="s">
        <v>142</v>
      </c>
      <c r="O1913" t="s">
        <v>327</v>
      </c>
      <c r="P1913" t="s">
        <v>281</v>
      </c>
      <c r="Q1913" t="s">
        <v>328</v>
      </c>
      <c r="R1913" t="s">
        <v>329</v>
      </c>
      <c r="S1913" t="s">
        <v>330</v>
      </c>
      <c r="T1913">
        <v>1</v>
      </c>
      <c r="U1913" t="s">
        <v>364</v>
      </c>
      <c r="V1913" t="s">
        <v>285</v>
      </c>
      <c r="W1913" t="s">
        <v>334</v>
      </c>
      <c r="X1913" t="s">
        <v>331</v>
      </c>
      <c r="Y1913" t="s">
        <v>307</v>
      </c>
      <c r="Z1913">
        <v>70</v>
      </c>
      <c r="AA1913">
        <v>50</v>
      </c>
      <c r="AB1913" t="s">
        <v>151</v>
      </c>
      <c r="AC1913" t="s">
        <v>161</v>
      </c>
      <c r="AD1913" t="s">
        <v>278</v>
      </c>
      <c r="AE1913" t="str">
        <f>IF(AF1913="","",VLOOKUP(AC1913,mapel!$A$2:$B$42,2,FALSE))</f>
        <v>TIK</v>
      </c>
      <c r="AF1913">
        <f t="shared" si="87"/>
        <v>50</v>
      </c>
      <c r="AG1913" t="str">
        <f>IF(AF1913="","",IF(AF1913&gt;90,"Sangat baik",IF(AF1913&gt;79,"Baik",IF(AF1913&gt;=pub_gid_0_single_true_output_csv[[#This Row],[KKM]],"Cukup","Kurang"))))</f>
        <v>Kurang</v>
      </c>
      <c r="AH1913">
        <f t="shared" si="88"/>
        <v>12</v>
      </c>
      <c r="AI1913" s="30" t="str">
        <f>IF(OR(J1913&lt;&gt;"Karakter",pub_gid_0_single_true_output_csv[[#This Row],[Nilai2]]=""),"",IF(AF1913&gt;89,"Sangat baik",IF(AF1913&gt;79,"Baik",IF(AF1913&gt;69,"Cukup",IF(AF1913&gt;59,"Kurang","Sangat kurang")))))</f>
        <v/>
      </c>
      <c r="AJ1913" t="str">
        <f t="shared" si="89"/>
        <v>Wk.3</v>
      </c>
      <c r="AK1913" t="str">
        <f>IF(pub_gid_0_single_true_output_csv[[#This Row],[Nilai2]]="","",VLOOKUP(pub_gid_0_single_true_output_csv[[#This Row],[NAMA]],Table7[],3,FALSE))</f>
        <v>Average</v>
      </c>
    </row>
    <row r="1914" spans="1:37" x14ac:dyDescent="0.2">
      <c r="A1914">
        <v>1913</v>
      </c>
      <c r="B1914" t="s">
        <v>314</v>
      </c>
      <c r="C1914" t="s">
        <v>65</v>
      </c>
      <c r="D1914" t="s">
        <v>58</v>
      </c>
      <c r="E1914" t="s">
        <v>140</v>
      </c>
      <c r="F1914" s="25">
        <v>46044</v>
      </c>
      <c r="G1914" t="s">
        <v>305</v>
      </c>
      <c r="H1914" t="s">
        <v>405</v>
      </c>
      <c r="I1914" t="s">
        <v>371</v>
      </c>
      <c r="J1914" t="s">
        <v>31</v>
      </c>
      <c r="K1914" t="s">
        <v>158</v>
      </c>
      <c r="L1914" t="s">
        <v>319</v>
      </c>
      <c r="M1914" t="s">
        <v>141</v>
      </c>
      <c r="N1914" t="s">
        <v>142</v>
      </c>
      <c r="O1914" t="s">
        <v>327</v>
      </c>
      <c r="P1914" t="s">
        <v>281</v>
      </c>
      <c r="Q1914" t="s">
        <v>328</v>
      </c>
      <c r="R1914" t="s">
        <v>329</v>
      </c>
      <c r="S1914" t="s">
        <v>330</v>
      </c>
      <c r="T1914">
        <v>1</v>
      </c>
      <c r="U1914" t="s">
        <v>364</v>
      </c>
      <c r="V1914" t="s">
        <v>285</v>
      </c>
      <c r="W1914" t="s">
        <v>334</v>
      </c>
      <c r="X1914" t="s">
        <v>331</v>
      </c>
      <c r="Y1914" t="s">
        <v>307</v>
      </c>
      <c r="Z1914">
        <v>70</v>
      </c>
      <c r="AA1914">
        <v>50</v>
      </c>
      <c r="AB1914" t="s">
        <v>151</v>
      </c>
      <c r="AC1914" t="s">
        <v>161</v>
      </c>
      <c r="AD1914" t="s">
        <v>278</v>
      </c>
      <c r="AE1914" t="str">
        <f>IF(AF1914="","",VLOOKUP(AC1914,mapel!$A$2:$B$42,2,FALSE))</f>
        <v>TIK</v>
      </c>
      <c r="AF1914">
        <f t="shared" si="87"/>
        <v>50</v>
      </c>
      <c r="AG1914" t="str">
        <f>IF(AF1914="","",IF(AF1914&gt;90,"Sangat baik",IF(AF1914&gt;79,"Baik",IF(AF1914&gt;=pub_gid_0_single_true_output_csv[[#This Row],[KKM]],"Cukup","Kurang"))))</f>
        <v>Kurang</v>
      </c>
      <c r="AH1914">
        <f t="shared" si="88"/>
        <v>12</v>
      </c>
      <c r="AI1914" s="30" t="str">
        <f>IF(OR(J1914&lt;&gt;"Karakter",pub_gid_0_single_true_output_csv[[#This Row],[Nilai2]]=""),"",IF(AF1914&gt;89,"Sangat baik",IF(AF1914&gt;79,"Baik",IF(AF1914&gt;69,"Cukup",IF(AF1914&gt;59,"Kurang","Sangat kurang")))))</f>
        <v/>
      </c>
      <c r="AJ1914" t="str">
        <f t="shared" si="89"/>
        <v>Wk.4</v>
      </c>
      <c r="AK1914" t="str">
        <f>IF(pub_gid_0_single_true_output_csv[[#This Row],[Nilai2]]="","",VLOOKUP(pub_gid_0_single_true_output_csv[[#This Row],[NAMA]],Table7[],3,FALSE))</f>
        <v>Average</v>
      </c>
    </row>
    <row r="1915" spans="1:37" x14ac:dyDescent="0.2">
      <c r="A1915">
        <v>1914</v>
      </c>
      <c r="B1915" t="s">
        <v>314</v>
      </c>
      <c r="C1915" t="s">
        <v>65</v>
      </c>
      <c r="D1915" t="s">
        <v>58</v>
      </c>
      <c r="E1915" t="s">
        <v>140</v>
      </c>
      <c r="F1915" s="25">
        <v>46044</v>
      </c>
      <c r="G1915" t="s">
        <v>305</v>
      </c>
      <c r="H1915" t="s">
        <v>405</v>
      </c>
      <c r="I1915" t="s">
        <v>371</v>
      </c>
      <c r="J1915" t="s">
        <v>90</v>
      </c>
      <c r="K1915" t="s">
        <v>92</v>
      </c>
      <c r="L1915" t="s">
        <v>91</v>
      </c>
      <c r="M1915" t="s">
        <v>141</v>
      </c>
      <c r="N1915" t="s">
        <v>142</v>
      </c>
      <c r="O1915" t="s">
        <v>327</v>
      </c>
      <c r="P1915" t="s">
        <v>281</v>
      </c>
      <c r="Q1915" t="s">
        <v>328</v>
      </c>
      <c r="R1915" t="s">
        <v>329</v>
      </c>
      <c r="S1915" t="s">
        <v>330</v>
      </c>
      <c r="T1915">
        <v>1</v>
      </c>
      <c r="U1915" t="s">
        <v>364</v>
      </c>
      <c r="V1915" t="s">
        <v>285</v>
      </c>
      <c r="W1915" t="s">
        <v>334</v>
      </c>
      <c r="X1915" t="s">
        <v>331</v>
      </c>
      <c r="Y1915" t="s">
        <v>307</v>
      </c>
      <c r="Z1915">
        <v>70</v>
      </c>
      <c r="AA1915">
        <v>80</v>
      </c>
      <c r="AB1915" t="s">
        <v>143</v>
      </c>
      <c r="AC1915" t="s">
        <v>161</v>
      </c>
      <c r="AD1915" t="s">
        <v>278</v>
      </c>
      <c r="AE1915" t="str">
        <f>IF(AF1915="","",VLOOKUP(AC1915,mapel!$A$2:$B$42,2,FALSE))</f>
        <v>TIK</v>
      </c>
      <c r="AF1915">
        <f t="shared" si="87"/>
        <v>80</v>
      </c>
      <c r="AG1915" t="str">
        <f>IF(AF1915="","",IF(AF1915&gt;90,"Sangat baik",IF(AF1915&gt;79,"Baik",IF(AF1915&gt;=pub_gid_0_single_true_output_csv[[#This Row],[KKM]],"Cukup","Kurang"))))</f>
        <v>Baik</v>
      </c>
      <c r="AH1915">
        <f t="shared" si="88"/>
        <v>12</v>
      </c>
      <c r="AI1915" s="30" t="str">
        <f>IF(OR(J1915&lt;&gt;"Karakter",pub_gid_0_single_true_output_csv[[#This Row],[Nilai2]]=""),"",IF(AF1915&gt;89,"Sangat baik",IF(AF1915&gt;79,"Baik",IF(AF1915&gt;69,"Cukup",IF(AF1915&gt;59,"Kurang","Sangat kurang")))))</f>
        <v>Baik</v>
      </c>
      <c r="AJ1915" t="str">
        <f t="shared" si="89"/>
        <v>Wk.4</v>
      </c>
      <c r="AK1915" t="str">
        <f>IF(pub_gid_0_single_true_output_csv[[#This Row],[Nilai2]]="","",VLOOKUP(pub_gid_0_single_true_output_csv[[#This Row],[NAMA]],Table7[],3,FALSE))</f>
        <v>Average</v>
      </c>
    </row>
    <row r="1916" spans="1:37" x14ac:dyDescent="0.2">
      <c r="A1916">
        <v>1915</v>
      </c>
      <c r="B1916" t="s">
        <v>314</v>
      </c>
      <c r="C1916" t="s">
        <v>65</v>
      </c>
      <c r="D1916" t="s">
        <v>58</v>
      </c>
      <c r="E1916" t="s">
        <v>140</v>
      </c>
      <c r="F1916" s="25">
        <v>46044</v>
      </c>
      <c r="G1916" t="s">
        <v>305</v>
      </c>
      <c r="H1916" t="s">
        <v>405</v>
      </c>
      <c r="I1916" t="s">
        <v>371</v>
      </c>
      <c r="J1916" t="s">
        <v>279</v>
      </c>
      <c r="K1916" t="s">
        <v>280</v>
      </c>
      <c r="L1916" t="s">
        <v>319</v>
      </c>
      <c r="M1916" t="s">
        <v>141</v>
      </c>
      <c r="N1916" t="s">
        <v>142</v>
      </c>
      <c r="O1916" t="s">
        <v>327</v>
      </c>
      <c r="P1916" t="s">
        <v>281</v>
      </c>
      <c r="Q1916" t="s">
        <v>328</v>
      </c>
      <c r="R1916" t="s">
        <v>329</v>
      </c>
      <c r="S1916" t="s">
        <v>330</v>
      </c>
      <c r="T1916">
        <v>1</v>
      </c>
      <c r="U1916" t="s">
        <v>364</v>
      </c>
      <c r="V1916" t="s">
        <v>285</v>
      </c>
      <c r="W1916" t="s">
        <v>334</v>
      </c>
      <c r="X1916" t="s">
        <v>331</v>
      </c>
      <c r="Y1916" t="s">
        <v>307</v>
      </c>
      <c r="Z1916">
        <v>70</v>
      </c>
      <c r="AA1916">
        <v>70</v>
      </c>
      <c r="AB1916" t="s">
        <v>143</v>
      </c>
      <c r="AC1916" t="s">
        <v>161</v>
      </c>
      <c r="AD1916" t="s">
        <v>278</v>
      </c>
      <c r="AE1916" t="str">
        <f>IF(AF1916="","",VLOOKUP(AC1916,mapel!$A$2:$B$42,2,FALSE))</f>
        <v>TIK</v>
      </c>
      <c r="AF1916">
        <f t="shared" si="87"/>
        <v>70</v>
      </c>
      <c r="AG1916" t="str">
        <f>IF(AF1916="","",IF(AF1916&gt;90,"Sangat baik",IF(AF1916&gt;79,"Baik",IF(AF1916&gt;=pub_gid_0_single_true_output_csv[[#This Row],[KKM]],"Cukup","Kurang"))))</f>
        <v>Cukup</v>
      </c>
      <c r="AH1916">
        <f t="shared" si="88"/>
        <v>12</v>
      </c>
      <c r="AI1916" s="30" t="str">
        <f>IF(OR(J1916&lt;&gt;"Karakter",pub_gid_0_single_true_output_csv[[#This Row],[Nilai2]]=""),"",IF(AF1916&gt;89,"Sangat baik",IF(AF1916&gt;79,"Baik",IF(AF1916&gt;69,"Cukup",IF(AF1916&gt;59,"Kurang","Sangat kurang")))))</f>
        <v/>
      </c>
      <c r="AJ1916" t="str">
        <f t="shared" si="89"/>
        <v>Wk.4</v>
      </c>
      <c r="AK1916" t="str">
        <f>IF(pub_gid_0_single_true_output_csv[[#This Row],[Nilai2]]="","",VLOOKUP(pub_gid_0_single_true_output_csv[[#This Row],[NAMA]],Table7[],3,FALSE))</f>
        <v>Average</v>
      </c>
    </row>
    <row r="1917" spans="1:37" x14ac:dyDescent="0.2">
      <c r="A1917">
        <v>1916</v>
      </c>
      <c r="B1917" t="s">
        <v>314</v>
      </c>
      <c r="C1917" t="s">
        <v>65</v>
      </c>
      <c r="D1917" t="s">
        <v>58</v>
      </c>
      <c r="E1917" t="s">
        <v>140</v>
      </c>
      <c r="F1917" s="25">
        <v>46051</v>
      </c>
      <c r="G1917" t="s">
        <v>320</v>
      </c>
      <c r="H1917" t="s">
        <v>405</v>
      </c>
      <c r="I1917" t="s">
        <v>371</v>
      </c>
      <c r="J1917" t="s">
        <v>41</v>
      </c>
      <c r="K1917" t="s">
        <v>157</v>
      </c>
      <c r="L1917" t="s">
        <v>319</v>
      </c>
      <c r="M1917" t="s">
        <v>141</v>
      </c>
      <c r="N1917" t="s">
        <v>142</v>
      </c>
      <c r="O1917" t="s">
        <v>327</v>
      </c>
      <c r="P1917" t="s">
        <v>281</v>
      </c>
      <c r="Q1917" t="s">
        <v>328</v>
      </c>
      <c r="R1917" t="s">
        <v>329</v>
      </c>
      <c r="S1917" t="s">
        <v>330</v>
      </c>
      <c r="T1917">
        <v>1</v>
      </c>
      <c r="U1917" t="s">
        <v>364</v>
      </c>
      <c r="V1917" t="s">
        <v>285</v>
      </c>
      <c r="W1917" t="s">
        <v>334</v>
      </c>
      <c r="X1917" t="s">
        <v>331</v>
      </c>
      <c r="Y1917" t="s">
        <v>307</v>
      </c>
      <c r="Z1917">
        <v>70</v>
      </c>
      <c r="AA1917">
        <v>65</v>
      </c>
      <c r="AB1917" t="s">
        <v>151</v>
      </c>
      <c r="AC1917" t="s">
        <v>161</v>
      </c>
      <c r="AD1917" t="s">
        <v>278</v>
      </c>
      <c r="AE1917" t="str">
        <f>IF(AF1917="","",VLOOKUP(AC1917,mapel!$A$2:$B$42,2,FALSE))</f>
        <v>TIK</v>
      </c>
      <c r="AF1917">
        <f t="shared" si="87"/>
        <v>65</v>
      </c>
      <c r="AG1917" t="str">
        <f>IF(AF1917="","",IF(AF1917&gt;90,"Sangat baik",IF(AF1917&gt;79,"Baik",IF(AF1917&gt;=pub_gid_0_single_true_output_csv[[#This Row],[KKM]],"Cukup","Kurang"))))</f>
        <v>Kurang</v>
      </c>
      <c r="AH1917">
        <f t="shared" si="88"/>
        <v>12</v>
      </c>
      <c r="AI1917" s="30" t="str">
        <f>IF(OR(J1917&lt;&gt;"Karakter",pub_gid_0_single_true_output_csv[[#This Row],[Nilai2]]=""),"",IF(AF1917&gt;89,"Sangat baik",IF(AF1917&gt;79,"Baik",IF(AF1917&gt;69,"Cukup",IF(AF1917&gt;59,"Kurang","Sangat kurang")))))</f>
        <v/>
      </c>
      <c r="AJ1917" t="str">
        <f t="shared" si="89"/>
        <v>Wk.5</v>
      </c>
      <c r="AK1917" t="str">
        <f>IF(pub_gid_0_single_true_output_csv[[#This Row],[Nilai2]]="","",VLOOKUP(pub_gid_0_single_true_output_csv[[#This Row],[NAMA]],Table7[],3,FALSE))</f>
        <v>Average</v>
      </c>
    </row>
    <row r="1918" spans="1:37" x14ac:dyDescent="0.2">
      <c r="A1918">
        <v>1917</v>
      </c>
      <c r="B1918" t="s">
        <v>314</v>
      </c>
      <c r="C1918" t="s">
        <v>65</v>
      </c>
      <c r="D1918" t="s">
        <v>58</v>
      </c>
      <c r="E1918" t="s">
        <v>140</v>
      </c>
      <c r="F1918" s="25">
        <v>46051</v>
      </c>
      <c r="G1918" t="s">
        <v>320</v>
      </c>
      <c r="H1918" t="s">
        <v>405</v>
      </c>
      <c r="I1918" t="s">
        <v>371</v>
      </c>
      <c r="J1918" t="s">
        <v>36</v>
      </c>
      <c r="K1918" t="s">
        <v>153</v>
      </c>
      <c r="L1918" t="s">
        <v>319</v>
      </c>
      <c r="M1918" t="s">
        <v>141</v>
      </c>
      <c r="N1918" t="s">
        <v>142</v>
      </c>
      <c r="O1918" t="s">
        <v>327</v>
      </c>
      <c r="P1918" t="s">
        <v>281</v>
      </c>
      <c r="Q1918" t="s">
        <v>328</v>
      </c>
      <c r="R1918" t="s">
        <v>329</v>
      </c>
      <c r="S1918" t="s">
        <v>330</v>
      </c>
      <c r="T1918">
        <v>1</v>
      </c>
      <c r="U1918" t="s">
        <v>364</v>
      </c>
      <c r="V1918" t="s">
        <v>285</v>
      </c>
      <c r="W1918" t="s">
        <v>334</v>
      </c>
      <c r="X1918" t="s">
        <v>331</v>
      </c>
      <c r="Y1918" t="s">
        <v>307</v>
      </c>
      <c r="Z1918">
        <v>70</v>
      </c>
      <c r="AA1918">
        <v>65</v>
      </c>
      <c r="AB1918" t="s">
        <v>151</v>
      </c>
      <c r="AC1918" t="s">
        <v>161</v>
      </c>
      <c r="AD1918" t="s">
        <v>278</v>
      </c>
      <c r="AE1918" t="str">
        <f>IF(AF1918="","",VLOOKUP(AC1918,mapel!$A$2:$B$42,2,FALSE))</f>
        <v>TIK</v>
      </c>
      <c r="AF1918">
        <f t="shared" si="87"/>
        <v>65</v>
      </c>
      <c r="AG1918" t="str">
        <f>IF(AF1918="","",IF(AF1918&gt;90,"Sangat baik",IF(AF1918&gt;79,"Baik",IF(AF1918&gt;=pub_gid_0_single_true_output_csv[[#This Row],[KKM]],"Cukup","Kurang"))))</f>
        <v>Kurang</v>
      </c>
      <c r="AH1918">
        <f t="shared" si="88"/>
        <v>12</v>
      </c>
      <c r="AI1918" s="30" t="str">
        <f>IF(OR(J1918&lt;&gt;"Karakter",pub_gid_0_single_true_output_csv[[#This Row],[Nilai2]]=""),"",IF(AF1918&gt;89,"Sangat baik",IF(AF1918&gt;79,"Baik",IF(AF1918&gt;69,"Cukup",IF(AF1918&gt;59,"Kurang","Sangat kurang")))))</f>
        <v/>
      </c>
      <c r="AJ1918" t="str">
        <f t="shared" si="89"/>
        <v>Wk.5</v>
      </c>
      <c r="AK1918" t="str">
        <f>IF(pub_gid_0_single_true_output_csv[[#This Row],[Nilai2]]="","",VLOOKUP(pub_gid_0_single_true_output_csv[[#This Row],[NAMA]],Table7[],3,FALSE))</f>
        <v>Average</v>
      </c>
    </row>
    <row r="1919" spans="1:37" x14ac:dyDescent="0.2">
      <c r="A1919">
        <v>1918</v>
      </c>
      <c r="B1919" t="s">
        <v>314</v>
      </c>
      <c r="C1919" t="s">
        <v>65</v>
      </c>
      <c r="D1919" t="s">
        <v>58</v>
      </c>
      <c r="E1919" t="s">
        <v>140</v>
      </c>
      <c r="F1919" s="25">
        <v>46065</v>
      </c>
      <c r="G1919" t="s">
        <v>354</v>
      </c>
      <c r="H1919" t="s">
        <v>412</v>
      </c>
      <c r="I1919" t="s">
        <v>371</v>
      </c>
      <c r="J1919" t="s">
        <v>41</v>
      </c>
      <c r="K1919" t="s">
        <v>157</v>
      </c>
      <c r="L1919" t="s">
        <v>319</v>
      </c>
      <c r="M1919" t="s">
        <v>141</v>
      </c>
      <c r="N1919" t="s">
        <v>142</v>
      </c>
      <c r="O1919" t="s">
        <v>327</v>
      </c>
      <c r="P1919" t="s">
        <v>281</v>
      </c>
      <c r="Q1919" t="s">
        <v>328</v>
      </c>
      <c r="R1919" t="s">
        <v>329</v>
      </c>
      <c r="S1919" t="s">
        <v>330</v>
      </c>
      <c r="T1919">
        <v>1</v>
      </c>
      <c r="U1919" t="s">
        <v>364</v>
      </c>
      <c r="V1919" t="s">
        <v>285</v>
      </c>
      <c r="W1919" t="s">
        <v>334</v>
      </c>
      <c r="X1919" t="s">
        <v>331</v>
      </c>
      <c r="Y1919" t="s">
        <v>307</v>
      </c>
      <c r="Z1919">
        <v>70</v>
      </c>
      <c r="AA1919">
        <v>55</v>
      </c>
      <c r="AB1919" t="s">
        <v>151</v>
      </c>
      <c r="AC1919" t="s">
        <v>161</v>
      </c>
      <c r="AD1919" t="s">
        <v>278</v>
      </c>
      <c r="AE1919" t="str">
        <f>IF(AF1919="","",VLOOKUP(AC1919,mapel!$A$2:$B$42,2,FALSE))</f>
        <v>TIK</v>
      </c>
      <c r="AF1919">
        <f t="shared" si="87"/>
        <v>55</v>
      </c>
      <c r="AG1919" t="str">
        <f>IF(AF1919="","",IF(AF1919&gt;90,"Sangat baik",IF(AF1919&gt;79,"Baik",IF(AF1919&gt;=pub_gid_0_single_true_output_csv[[#This Row],[KKM]],"Cukup","Kurang"))))</f>
        <v>Kurang</v>
      </c>
      <c r="AH1919">
        <f t="shared" si="88"/>
        <v>12</v>
      </c>
      <c r="AI1919" s="30" t="str">
        <f>IF(OR(J1919&lt;&gt;"Karakter",pub_gid_0_single_true_output_csv[[#This Row],[Nilai2]]=""),"",IF(AF1919&gt;89,"Sangat baik",IF(AF1919&gt;79,"Baik",IF(AF1919&gt;69,"Cukup",IF(AF1919&gt;59,"Kurang","Sangat kurang")))))</f>
        <v/>
      </c>
      <c r="AJ1919" t="str">
        <f t="shared" si="89"/>
        <v>Wk.7</v>
      </c>
      <c r="AK1919" t="str">
        <f>IF(pub_gid_0_single_true_output_csv[[#This Row],[Nilai2]]="","",VLOOKUP(pub_gid_0_single_true_output_csv[[#This Row],[NAMA]],Table7[],3,FALSE))</f>
        <v>Average</v>
      </c>
    </row>
    <row r="1920" spans="1:37" x14ac:dyDescent="0.2">
      <c r="A1920">
        <v>1919</v>
      </c>
      <c r="B1920" t="s">
        <v>314</v>
      </c>
      <c r="C1920" t="s">
        <v>65</v>
      </c>
      <c r="D1920" t="s">
        <v>58</v>
      </c>
      <c r="E1920" t="s">
        <v>140</v>
      </c>
      <c r="F1920" s="25">
        <v>46065</v>
      </c>
      <c r="G1920" t="s">
        <v>354</v>
      </c>
      <c r="H1920" t="s">
        <v>412</v>
      </c>
      <c r="I1920" t="s">
        <v>371</v>
      </c>
      <c r="J1920" t="s">
        <v>36</v>
      </c>
      <c r="K1920" t="s">
        <v>153</v>
      </c>
      <c r="L1920" t="s">
        <v>319</v>
      </c>
      <c r="M1920" t="s">
        <v>141</v>
      </c>
      <c r="N1920" t="s">
        <v>142</v>
      </c>
      <c r="O1920" t="s">
        <v>327</v>
      </c>
      <c r="P1920" t="s">
        <v>281</v>
      </c>
      <c r="Q1920" t="s">
        <v>328</v>
      </c>
      <c r="R1920" t="s">
        <v>329</v>
      </c>
      <c r="S1920" t="s">
        <v>330</v>
      </c>
      <c r="T1920">
        <v>1</v>
      </c>
      <c r="U1920" t="s">
        <v>364</v>
      </c>
      <c r="V1920" t="s">
        <v>285</v>
      </c>
      <c r="W1920" t="s">
        <v>334</v>
      </c>
      <c r="X1920" t="s">
        <v>331</v>
      </c>
      <c r="Y1920" t="s">
        <v>307</v>
      </c>
      <c r="Z1920">
        <v>70</v>
      </c>
      <c r="AA1920">
        <v>55</v>
      </c>
      <c r="AB1920" t="s">
        <v>151</v>
      </c>
      <c r="AC1920" t="s">
        <v>161</v>
      </c>
      <c r="AD1920" t="s">
        <v>278</v>
      </c>
      <c r="AE1920" t="str">
        <f>IF(AF1920="","",VLOOKUP(AC1920,mapel!$A$2:$B$42,2,FALSE))</f>
        <v>TIK</v>
      </c>
      <c r="AF1920">
        <f t="shared" si="87"/>
        <v>55</v>
      </c>
      <c r="AG1920" t="str">
        <f>IF(AF1920="","",IF(AF1920&gt;90,"Sangat baik",IF(AF1920&gt;79,"Baik",IF(AF1920&gt;=pub_gid_0_single_true_output_csv[[#This Row],[KKM]],"Cukup","Kurang"))))</f>
        <v>Kurang</v>
      </c>
      <c r="AH1920">
        <f t="shared" si="88"/>
        <v>12</v>
      </c>
      <c r="AI1920" s="30" t="str">
        <f>IF(OR(J1920&lt;&gt;"Karakter",pub_gid_0_single_true_output_csv[[#This Row],[Nilai2]]=""),"",IF(AF1920&gt;89,"Sangat baik",IF(AF1920&gt;79,"Baik",IF(AF1920&gt;69,"Cukup",IF(AF1920&gt;59,"Kurang","Sangat kurang")))))</f>
        <v/>
      </c>
      <c r="AJ1920" t="str">
        <f t="shared" si="89"/>
        <v>Wk.7</v>
      </c>
      <c r="AK1920" t="str">
        <f>IF(pub_gid_0_single_true_output_csv[[#This Row],[Nilai2]]="","",VLOOKUP(pub_gid_0_single_true_output_csv[[#This Row],[NAMA]],Table7[],3,FALSE))</f>
        <v>Average</v>
      </c>
    </row>
    <row r="1921" spans="1:37" x14ac:dyDescent="0.2">
      <c r="A1921">
        <v>1920</v>
      </c>
      <c r="B1921" t="s">
        <v>314</v>
      </c>
      <c r="C1921" t="s">
        <v>65</v>
      </c>
      <c r="D1921" t="s">
        <v>58</v>
      </c>
      <c r="E1921" t="s">
        <v>140</v>
      </c>
      <c r="F1921" s="25">
        <v>46065</v>
      </c>
      <c r="G1921" t="s">
        <v>354</v>
      </c>
      <c r="H1921" t="s">
        <v>412</v>
      </c>
      <c r="I1921" t="s">
        <v>371</v>
      </c>
      <c r="J1921" t="s">
        <v>90</v>
      </c>
      <c r="K1921" t="s">
        <v>92</v>
      </c>
      <c r="L1921" t="s">
        <v>91</v>
      </c>
      <c r="M1921" t="s">
        <v>141</v>
      </c>
      <c r="N1921" t="s">
        <v>142</v>
      </c>
      <c r="O1921" t="s">
        <v>327</v>
      </c>
      <c r="P1921" t="s">
        <v>281</v>
      </c>
      <c r="Q1921" t="s">
        <v>328</v>
      </c>
      <c r="R1921" t="s">
        <v>329</v>
      </c>
      <c r="S1921" t="s">
        <v>330</v>
      </c>
      <c r="T1921">
        <v>1</v>
      </c>
      <c r="U1921" t="s">
        <v>364</v>
      </c>
      <c r="V1921" t="s">
        <v>285</v>
      </c>
      <c r="W1921" t="s">
        <v>334</v>
      </c>
      <c r="X1921" t="s">
        <v>331</v>
      </c>
      <c r="Y1921" t="s">
        <v>307</v>
      </c>
      <c r="Z1921">
        <v>70</v>
      </c>
      <c r="AA1921">
        <v>80</v>
      </c>
      <c r="AB1921" t="s">
        <v>143</v>
      </c>
      <c r="AC1921" t="s">
        <v>161</v>
      </c>
      <c r="AD1921" t="s">
        <v>278</v>
      </c>
      <c r="AE1921" t="str">
        <f>IF(AF1921="","",VLOOKUP(AC1921,mapel!$A$2:$B$42,2,FALSE))</f>
        <v>TIK</v>
      </c>
      <c r="AF1921">
        <f t="shared" si="87"/>
        <v>80</v>
      </c>
      <c r="AG1921" t="str">
        <f>IF(AF1921="","",IF(AF1921&gt;90,"Sangat baik",IF(AF1921&gt;79,"Baik",IF(AF1921&gt;=pub_gid_0_single_true_output_csv[[#This Row],[KKM]],"Cukup","Kurang"))))</f>
        <v>Baik</v>
      </c>
      <c r="AH1921">
        <f t="shared" si="88"/>
        <v>12</v>
      </c>
      <c r="AI1921" s="30" t="str">
        <f>IF(OR(J1921&lt;&gt;"Karakter",pub_gid_0_single_true_output_csv[[#This Row],[Nilai2]]=""),"",IF(AF1921&gt;89,"Sangat baik",IF(AF1921&gt;79,"Baik",IF(AF1921&gt;69,"Cukup",IF(AF1921&gt;59,"Kurang","Sangat kurang")))))</f>
        <v>Baik</v>
      </c>
      <c r="AJ1921" t="str">
        <f t="shared" si="89"/>
        <v>Wk.7</v>
      </c>
      <c r="AK1921" t="str">
        <f>IF(pub_gid_0_single_true_output_csv[[#This Row],[Nilai2]]="","",VLOOKUP(pub_gid_0_single_true_output_csv[[#This Row],[NAMA]],Table7[],3,FALSE))</f>
        <v>Average</v>
      </c>
    </row>
    <row r="1922" spans="1:37" x14ac:dyDescent="0.2">
      <c r="A1922">
        <v>1921</v>
      </c>
      <c r="B1922" t="s">
        <v>332</v>
      </c>
      <c r="C1922" t="s">
        <v>65</v>
      </c>
      <c r="D1922" t="s">
        <v>59</v>
      </c>
      <c r="E1922" t="s">
        <v>333</v>
      </c>
      <c r="F1922" s="25">
        <v>46037</v>
      </c>
      <c r="G1922" t="s">
        <v>356</v>
      </c>
      <c r="H1922" t="s">
        <v>405</v>
      </c>
      <c r="I1922" t="s">
        <v>371</v>
      </c>
      <c r="J1922" t="s">
        <v>41</v>
      </c>
      <c r="K1922" t="s">
        <v>157</v>
      </c>
      <c r="L1922" t="s">
        <v>319</v>
      </c>
      <c r="M1922" t="s">
        <v>141</v>
      </c>
      <c r="N1922" t="s">
        <v>142</v>
      </c>
      <c r="O1922" t="s">
        <v>327</v>
      </c>
      <c r="P1922" t="s">
        <v>281</v>
      </c>
      <c r="Q1922" t="s">
        <v>328</v>
      </c>
      <c r="R1922" t="s">
        <v>329</v>
      </c>
      <c r="S1922" t="s">
        <v>330</v>
      </c>
      <c r="T1922">
        <v>1</v>
      </c>
      <c r="U1922" t="s">
        <v>364</v>
      </c>
      <c r="V1922" t="s">
        <v>285</v>
      </c>
      <c r="W1922" t="s">
        <v>334</v>
      </c>
      <c r="X1922" t="s">
        <v>331</v>
      </c>
      <c r="Y1922" t="s">
        <v>307</v>
      </c>
      <c r="Z1922">
        <v>70</v>
      </c>
      <c r="AA1922">
        <v>70</v>
      </c>
      <c r="AB1922" t="s">
        <v>143</v>
      </c>
      <c r="AC1922" t="s">
        <v>161</v>
      </c>
      <c r="AD1922" t="s">
        <v>278</v>
      </c>
      <c r="AE1922" t="str">
        <f>IF(AF1922="","",VLOOKUP(AC1922,mapel!$A$2:$B$42,2,FALSE))</f>
        <v>TIK</v>
      </c>
      <c r="AF1922">
        <f t="shared" ref="AF1922:AF1985" si="90">IF(AA1922=0, "",IF(AA1922 = 0.1, 0,AA1922))</f>
        <v>70</v>
      </c>
      <c r="AG1922" t="str">
        <f>IF(AF1922="","",IF(AF1922&gt;90,"Sangat baik",IF(AF1922&gt;79,"Baik",IF(AF1922&gt;=pub_gid_0_single_true_output_csv[[#This Row],[KKM]],"Cukup","Kurang"))))</f>
        <v>Cukup</v>
      </c>
      <c r="AH1922">
        <f t="shared" ref="AH1922:AH1985" si="91">IF(AG1922="","",VALUE(RIGHT(X1922,2)))</f>
        <v>12</v>
      </c>
      <c r="AI1922" s="30" t="str">
        <f>IF(OR(J1922&lt;&gt;"Karakter",pub_gid_0_single_true_output_csv[[#This Row],[Nilai2]]=""),"",IF(AF1922&gt;89,"Sangat baik",IF(AF1922&gt;79,"Baik",IF(AF1922&gt;69,"Cukup",IF(AF1922&gt;59,"Kurang","Sangat kurang")))))</f>
        <v/>
      </c>
      <c r="AJ1922" t="str">
        <f t="shared" ref="AJ1922:AJ1985" si="92">IF(AF1922="","",CONCATENATE("Wk.",WEEKNUM(F1922,2)))</f>
        <v>Wk.3</v>
      </c>
      <c r="AK1922" t="str">
        <f>IF(pub_gid_0_single_true_output_csv[[#This Row],[Nilai2]]="","",VLOOKUP(pub_gid_0_single_true_output_csv[[#This Row],[NAMA]],Table7[],3,FALSE))</f>
        <v>Superior</v>
      </c>
    </row>
    <row r="1923" spans="1:37" x14ac:dyDescent="0.2">
      <c r="A1923">
        <v>1922</v>
      </c>
      <c r="B1923" t="s">
        <v>332</v>
      </c>
      <c r="C1923" t="s">
        <v>65</v>
      </c>
      <c r="D1923" t="s">
        <v>59</v>
      </c>
      <c r="E1923" t="s">
        <v>333</v>
      </c>
      <c r="F1923" s="25">
        <v>46037</v>
      </c>
      <c r="G1923" t="s">
        <v>356</v>
      </c>
      <c r="H1923" t="s">
        <v>405</v>
      </c>
      <c r="I1923" t="s">
        <v>371</v>
      </c>
      <c r="J1923" t="s">
        <v>36</v>
      </c>
      <c r="K1923" t="s">
        <v>153</v>
      </c>
      <c r="L1923" t="s">
        <v>319</v>
      </c>
      <c r="M1923" t="s">
        <v>141</v>
      </c>
      <c r="N1923" t="s">
        <v>142</v>
      </c>
      <c r="O1923" t="s">
        <v>327</v>
      </c>
      <c r="P1923" t="s">
        <v>281</v>
      </c>
      <c r="Q1923" t="s">
        <v>328</v>
      </c>
      <c r="R1923" t="s">
        <v>329</v>
      </c>
      <c r="S1923" t="s">
        <v>330</v>
      </c>
      <c r="T1923">
        <v>1</v>
      </c>
      <c r="U1923" t="s">
        <v>364</v>
      </c>
      <c r="V1923" t="s">
        <v>285</v>
      </c>
      <c r="W1923" t="s">
        <v>334</v>
      </c>
      <c r="X1923" t="s">
        <v>331</v>
      </c>
      <c r="Y1923" t="s">
        <v>307</v>
      </c>
      <c r="Z1923">
        <v>70</v>
      </c>
      <c r="AA1923">
        <v>70</v>
      </c>
      <c r="AB1923" t="s">
        <v>143</v>
      </c>
      <c r="AC1923" t="s">
        <v>161</v>
      </c>
      <c r="AD1923" t="s">
        <v>278</v>
      </c>
      <c r="AE1923" t="str">
        <f>IF(AF1923="","",VLOOKUP(AC1923,mapel!$A$2:$B$42,2,FALSE))</f>
        <v>TIK</v>
      </c>
      <c r="AF1923">
        <f t="shared" si="90"/>
        <v>70</v>
      </c>
      <c r="AG1923" t="str">
        <f>IF(AF1923="","",IF(AF1923&gt;90,"Sangat baik",IF(AF1923&gt;79,"Baik",IF(AF1923&gt;=pub_gid_0_single_true_output_csv[[#This Row],[KKM]],"Cukup","Kurang"))))</f>
        <v>Cukup</v>
      </c>
      <c r="AH1923">
        <f t="shared" si="91"/>
        <v>12</v>
      </c>
      <c r="AI1923" s="30" t="str">
        <f>IF(OR(J1923&lt;&gt;"Karakter",pub_gid_0_single_true_output_csv[[#This Row],[Nilai2]]=""),"",IF(AF1923&gt;89,"Sangat baik",IF(AF1923&gt;79,"Baik",IF(AF1923&gt;69,"Cukup",IF(AF1923&gt;59,"Kurang","Sangat kurang")))))</f>
        <v/>
      </c>
      <c r="AJ1923" t="str">
        <f t="shared" si="92"/>
        <v>Wk.3</v>
      </c>
      <c r="AK1923" t="str">
        <f>IF(pub_gid_0_single_true_output_csv[[#This Row],[Nilai2]]="","",VLOOKUP(pub_gid_0_single_true_output_csv[[#This Row],[NAMA]],Table7[],3,FALSE))</f>
        <v>Superior</v>
      </c>
    </row>
    <row r="1924" spans="1:37" x14ac:dyDescent="0.2">
      <c r="A1924">
        <v>1923</v>
      </c>
      <c r="B1924" t="s">
        <v>332</v>
      </c>
      <c r="C1924" t="s">
        <v>65</v>
      </c>
      <c r="D1924" t="s">
        <v>59</v>
      </c>
      <c r="E1924" t="s">
        <v>333</v>
      </c>
      <c r="F1924" s="25">
        <v>46044</v>
      </c>
      <c r="G1924" t="s">
        <v>305</v>
      </c>
      <c r="H1924" t="s">
        <v>405</v>
      </c>
      <c r="I1924" t="s">
        <v>371</v>
      </c>
      <c r="J1924" t="s">
        <v>31</v>
      </c>
      <c r="K1924" t="s">
        <v>158</v>
      </c>
      <c r="L1924" t="s">
        <v>319</v>
      </c>
      <c r="M1924" t="s">
        <v>141</v>
      </c>
      <c r="N1924" t="s">
        <v>142</v>
      </c>
      <c r="O1924" t="s">
        <v>327</v>
      </c>
      <c r="P1924" t="s">
        <v>281</v>
      </c>
      <c r="Q1924" t="s">
        <v>328</v>
      </c>
      <c r="R1924" t="s">
        <v>329</v>
      </c>
      <c r="S1924" t="s">
        <v>330</v>
      </c>
      <c r="T1924">
        <v>1</v>
      </c>
      <c r="U1924" t="s">
        <v>364</v>
      </c>
      <c r="V1924" t="s">
        <v>285</v>
      </c>
      <c r="W1924" t="s">
        <v>334</v>
      </c>
      <c r="X1924" t="s">
        <v>331</v>
      </c>
      <c r="Y1924" t="s">
        <v>307</v>
      </c>
      <c r="Z1924">
        <v>70</v>
      </c>
      <c r="AA1924">
        <v>70</v>
      </c>
      <c r="AB1924" t="s">
        <v>143</v>
      </c>
      <c r="AC1924" t="s">
        <v>161</v>
      </c>
      <c r="AD1924" t="s">
        <v>278</v>
      </c>
      <c r="AE1924" t="str">
        <f>IF(AF1924="","",VLOOKUP(AC1924,mapel!$A$2:$B$42,2,FALSE))</f>
        <v>TIK</v>
      </c>
      <c r="AF1924">
        <f t="shared" si="90"/>
        <v>70</v>
      </c>
      <c r="AG1924" t="str">
        <f>IF(AF1924="","",IF(AF1924&gt;90,"Sangat baik",IF(AF1924&gt;79,"Baik",IF(AF1924&gt;=pub_gid_0_single_true_output_csv[[#This Row],[KKM]],"Cukup","Kurang"))))</f>
        <v>Cukup</v>
      </c>
      <c r="AH1924">
        <f t="shared" si="91"/>
        <v>12</v>
      </c>
      <c r="AI1924" s="30" t="str">
        <f>IF(OR(J1924&lt;&gt;"Karakter",pub_gid_0_single_true_output_csv[[#This Row],[Nilai2]]=""),"",IF(AF1924&gt;89,"Sangat baik",IF(AF1924&gt;79,"Baik",IF(AF1924&gt;69,"Cukup",IF(AF1924&gt;59,"Kurang","Sangat kurang")))))</f>
        <v/>
      </c>
      <c r="AJ1924" t="str">
        <f t="shared" si="92"/>
        <v>Wk.4</v>
      </c>
      <c r="AK1924" t="str">
        <f>IF(pub_gid_0_single_true_output_csv[[#This Row],[Nilai2]]="","",VLOOKUP(pub_gid_0_single_true_output_csv[[#This Row],[NAMA]],Table7[],3,FALSE))</f>
        <v>Superior</v>
      </c>
    </row>
    <row r="1925" spans="1:37" x14ac:dyDescent="0.2">
      <c r="A1925">
        <v>1924</v>
      </c>
      <c r="B1925" t="s">
        <v>332</v>
      </c>
      <c r="C1925" t="s">
        <v>65</v>
      </c>
      <c r="D1925" t="s">
        <v>59</v>
      </c>
      <c r="E1925" t="s">
        <v>333</v>
      </c>
      <c r="F1925" s="25">
        <v>46044</v>
      </c>
      <c r="G1925" t="s">
        <v>305</v>
      </c>
      <c r="H1925" t="s">
        <v>405</v>
      </c>
      <c r="I1925" t="s">
        <v>371</v>
      </c>
      <c r="J1925" t="s">
        <v>90</v>
      </c>
      <c r="K1925" t="s">
        <v>92</v>
      </c>
      <c r="L1925" t="s">
        <v>91</v>
      </c>
      <c r="M1925" t="s">
        <v>141</v>
      </c>
      <c r="N1925" t="s">
        <v>142</v>
      </c>
      <c r="O1925" t="s">
        <v>327</v>
      </c>
      <c r="P1925" t="s">
        <v>281</v>
      </c>
      <c r="Q1925" t="s">
        <v>328</v>
      </c>
      <c r="R1925" t="s">
        <v>329</v>
      </c>
      <c r="S1925" t="s">
        <v>330</v>
      </c>
      <c r="T1925">
        <v>1</v>
      </c>
      <c r="U1925" t="s">
        <v>364</v>
      </c>
      <c r="V1925" t="s">
        <v>285</v>
      </c>
      <c r="W1925" t="s">
        <v>334</v>
      </c>
      <c r="X1925" t="s">
        <v>331</v>
      </c>
      <c r="Y1925" t="s">
        <v>307</v>
      </c>
      <c r="Z1925">
        <v>70</v>
      </c>
      <c r="AA1925">
        <v>80</v>
      </c>
      <c r="AB1925" t="s">
        <v>143</v>
      </c>
      <c r="AC1925" t="s">
        <v>161</v>
      </c>
      <c r="AD1925" t="s">
        <v>278</v>
      </c>
      <c r="AE1925" t="str">
        <f>IF(AF1925="","",VLOOKUP(AC1925,mapel!$A$2:$B$42,2,FALSE))</f>
        <v>TIK</v>
      </c>
      <c r="AF1925">
        <f t="shared" si="90"/>
        <v>80</v>
      </c>
      <c r="AG1925" t="str">
        <f>IF(AF1925="","",IF(AF1925&gt;90,"Sangat baik",IF(AF1925&gt;79,"Baik",IF(AF1925&gt;=pub_gid_0_single_true_output_csv[[#This Row],[KKM]],"Cukup","Kurang"))))</f>
        <v>Baik</v>
      </c>
      <c r="AH1925">
        <f t="shared" si="91"/>
        <v>12</v>
      </c>
      <c r="AI1925" s="30" t="str">
        <f>IF(OR(J1925&lt;&gt;"Karakter",pub_gid_0_single_true_output_csv[[#This Row],[Nilai2]]=""),"",IF(AF1925&gt;89,"Sangat baik",IF(AF1925&gt;79,"Baik",IF(AF1925&gt;69,"Cukup",IF(AF1925&gt;59,"Kurang","Sangat kurang")))))</f>
        <v>Baik</v>
      </c>
      <c r="AJ1925" t="str">
        <f t="shared" si="92"/>
        <v>Wk.4</v>
      </c>
      <c r="AK1925" t="str">
        <f>IF(pub_gid_0_single_true_output_csv[[#This Row],[Nilai2]]="","",VLOOKUP(pub_gid_0_single_true_output_csv[[#This Row],[NAMA]],Table7[],3,FALSE))</f>
        <v>Superior</v>
      </c>
    </row>
    <row r="1926" spans="1:37" x14ac:dyDescent="0.2">
      <c r="A1926">
        <v>1925</v>
      </c>
      <c r="B1926" t="s">
        <v>332</v>
      </c>
      <c r="C1926" t="s">
        <v>65</v>
      </c>
      <c r="D1926" t="s">
        <v>59</v>
      </c>
      <c r="E1926" t="s">
        <v>333</v>
      </c>
      <c r="F1926" s="25">
        <v>46044</v>
      </c>
      <c r="G1926" t="s">
        <v>305</v>
      </c>
      <c r="H1926" t="s">
        <v>405</v>
      </c>
      <c r="I1926" t="s">
        <v>371</v>
      </c>
      <c r="J1926" t="s">
        <v>279</v>
      </c>
      <c r="K1926" t="s">
        <v>280</v>
      </c>
      <c r="L1926" t="s">
        <v>319</v>
      </c>
      <c r="M1926" t="s">
        <v>141</v>
      </c>
      <c r="N1926" t="s">
        <v>142</v>
      </c>
      <c r="O1926" t="s">
        <v>327</v>
      </c>
      <c r="P1926" t="s">
        <v>281</v>
      </c>
      <c r="Q1926" t="s">
        <v>328</v>
      </c>
      <c r="R1926" t="s">
        <v>329</v>
      </c>
      <c r="S1926" t="s">
        <v>330</v>
      </c>
      <c r="T1926">
        <v>1</v>
      </c>
      <c r="U1926" t="s">
        <v>364</v>
      </c>
      <c r="V1926" t="s">
        <v>285</v>
      </c>
      <c r="W1926" t="s">
        <v>334</v>
      </c>
      <c r="X1926" t="s">
        <v>331</v>
      </c>
      <c r="Y1926" t="s">
        <v>307</v>
      </c>
      <c r="Z1926">
        <v>70</v>
      </c>
      <c r="AA1926">
        <v>80</v>
      </c>
      <c r="AB1926" t="s">
        <v>143</v>
      </c>
      <c r="AC1926" t="s">
        <v>161</v>
      </c>
      <c r="AD1926" t="s">
        <v>278</v>
      </c>
      <c r="AE1926" t="str">
        <f>IF(AF1926="","",VLOOKUP(AC1926,mapel!$A$2:$B$42,2,FALSE))</f>
        <v>TIK</v>
      </c>
      <c r="AF1926">
        <f t="shared" si="90"/>
        <v>80</v>
      </c>
      <c r="AG1926" t="str">
        <f>IF(AF1926="","",IF(AF1926&gt;90,"Sangat baik",IF(AF1926&gt;79,"Baik",IF(AF1926&gt;=pub_gid_0_single_true_output_csv[[#This Row],[KKM]],"Cukup","Kurang"))))</f>
        <v>Baik</v>
      </c>
      <c r="AH1926">
        <f t="shared" si="91"/>
        <v>12</v>
      </c>
      <c r="AI1926" s="30" t="str">
        <f>IF(OR(J1926&lt;&gt;"Karakter",pub_gid_0_single_true_output_csv[[#This Row],[Nilai2]]=""),"",IF(AF1926&gt;89,"Sangat baik",IF(AF1926&gt;79,"Baik",IF(AF1926&gt;69,"Cukup",IF(AF1926&gt;59,"Kurang","Sangat kurang")))))</f>
        <v/>
      </c>
      <c r="AJ1926" t="str">
        <f t="shared" si="92"/>
        <v>Wk.4</v>
      </c>
      <c r="AK1926" t="str">
        <f>IF(pub_gid_0_single_true_output_csv[[#This Row],[Nilai2]]="","",VLOOKUP(pub_gid_0_single_true_output_csv[[#This Row],[NAMA]],Table7[],3,FALSE))</f>
        <v>Superior</v>
      </c>
    </row>
    <row r="1927" spans="1:37" x14ac:dyDescent="0.2">
      <c r="A1927">
        <v>1926</v>
      </c>
      <c r="B1927" t="s">
        <v>332</v>
      </c>
      <c r="C1927" t="s">
        <v>65</v>
      </c>
      <c r="D1927" t="s">
        <v>59</v>
      </c>
      <c r="E1927" t="s">
        <v>333</v>
      </c>
      <c r="F1927" s="25">
        <v>46051</v>
      </c>
      <c r="G1927" t="s">
        <v>320</v>
      </c>
      <c r="H1927" t="s">
        <v>405</v>
      </c>
      <c r="I1927" t="s">
        <v>371</v>
      </c>
      <c r="J1927" t="s">
        <v>41</v>
      </c>
      <c r="K1927" t="s">
        <v>157</v>
      </c>
      <c r="L1927" t="s">
        <v>319</v>
      </c>
      <c r="M1927" t="s">
        <v>141</v>
      </c>
      <c r="N1927" t="s">
        <v>142</v>
      </c>
      <c r="O1927" t="s">
        <v>327</v>
      </c>
      <c r="P1927" t="s">
        <v>281</v>
      </c>
      <c r="Q1927" t="s">
        <v>328</v>
      </c>
      <c r="R1927" t="s">
        <v>329</v>
      </c>
      <c r="S1927" t="s">
        <v>330</v>
      </c>
      <c r="T1927">
        <v>1</v>
      </c>
      <c r="U1927" t="s">
        <v>364</v>
      </c>
      <c r="V1927" t="s">
        <v>285</v>
      </c>
      <c r="W1927" t="s">
        <v>334</v>
      </c>
      <c r="X1927" t="s">
        <v>331</v>
      </c>
      <c r="Y1927" t="s">
        <v>307</v>
      </c>
      <c r="Z1927">
        <v>70</v>
      </c>
      <c r="AA1927">
        <v>70</v>
      </c>
      <c r="AB1927" t="s">
        <v>143</v>
      </c>
      <c r="AC1927" t="s">
        <v>161</v>
      </c>
      <c r="AD1927" t="s">
        <v>278</v>
      </c>
      <c r="AE1927" t="str">
        <f>IF(AF1927="","",VLOOKUP(AC1927,mapel!$A$2:$B$42,2,FALSE))</f>
        <v>TIK</v>
      </c>
      <c r="AF1927">
        <f t="shared" si="90"/>
        <v>70</v>
      </c>
      <c r="AG1927" t="str">
        <f>IF(AF1927="","",IF(AF1927&gt;90,"Sangat baik",IF(AF1927&gt;79,"Baik",IF(AF1927&gt;=pub_gid_0_single_true_output_csv[[#This Row],[KKM]],"Cukup","Kurang"))))</f>
        <v>Cukup</v>
      </c>
      <c r="AH1927">
        <f t="shared" si="91"/>
        <v>12</v>
      </c>
      <c r="AI1927" s="30" t="str">
        <f>IF(OR(J1927&lt;&gt;"Karakter",pub_gid_0_single_true_output_csv[[#This Row],[Nilai2]]=""),"",IF(AF1927&gt;89,"Sangat baik",IF(AF1927&gt;79,"Baik",IF(AF1927&gt;69,"Cukup",IF(AF1927&gt;59,"Kurang","Sangat kurang")))))</f>
        <v/>
      </c>
      <c r="AJ1927" t="str">
        <f t="shared" si="92"/>
        <v>Wk.5</v>
      </c>
      <c r="AK1927" t="str">
        <f>IF(pub_gid_0_single_true_output_csv[[#This Row],[Nilai2]]="","",VLOOKUP(pub_gid_0_single_true_output_csv[[#This Row],[NAMA]],Table7[],3,FALSE))</f>
        <v>Superior</v>
      </c>
    </row>
    <row r="1928" spans="1:37" x14ac:dyDescent="0.2">
      <c r="A1928">
        <v>1927</v>
      </c>
      <c r="B1928" t="s">
        <v>332</v>
      </c>
      <c r="C1928" t="s">
        <v>65</v>
      </c>
      <c r="D1928" t="s">
        <v>59</v>
      </c>
      <c r="E1928" t="s">
        <v>333</v>
      </c>
      <c r="F1928" s="25">
        <v>46051</v>
      </c>
      <c r="G1928" t="s">
        <v>320</v>
      </c>
      <c r="H1928" t="s">
        <v>405</v>
      </c>
      <c r="I1928" t="s">
        <v>371</v>
      </c>
      <c r="J1928" t="s">
        <v>36</v>
      </c>
      <c r="K1928" t="s">
        <v>153</v>
      </c>
      <c r="L1928" t="s">
        <v>319</v>
      </c>
      <c r="M1928" t="s">
        <v>141</v>
      </c>
      <c r="N1928" t="s">
        <v>142</v>
      </c>
      <c r="O1928" t="s">
        <v>327</v>
      </c>
      <c r="P1928" t="s">
        <v>281</v>
      </c>
      <c r="Q1928" t="s">
        <v>328</v>
      </c>
      <c r="R1928" t="s">
        <v>329</v>
      </c>
      <c r="S1928" t="s">
        <v>330</v>
      </c>
      <c r="T1928">
        <v>1</v>
      </c>
      <c r="U1928" t="s">
        <v>364</v>
      </c>
      <c r="V1928" t="s">
        <v>285</v>
      </c>
      <c r="W1928" t="s">
        <v>334</v>
      </c>
      <c r="X1928" t="s">
        <v>331</v>
      </c>
      <c r="Y1928" t="s">
        <v>307</v>
      </c>
      <c r="Z1928">
        <v>70</v>
      </c>
      <c r="AA1928">
        <v>70</v>
      </c>
      <c r="AB1928" t="s">
        <v>143</v>
      </c>
      <c r="AC1928" t="s">
        <v>161</v>
      </c>
      <c r="AD1928" t="s">
        <v>278</v>
      </c>
      <c r="AE1928" t="str">
        <f>IF(AF1928="","",VLOOKUP(AC1928,mapel!$A$2:$B$42,2,FALSE))</f>
        <v>TIK</v>
      </c>
      <c r="AF1928">
        <f t="shared" si="90"/>
        <v>70</v>
      </c>
      <c r="AG1928" t="str">
        <f>IF(AF1928="","",IF(AF1928&gt;90,"Sangat baik",IF(AF1928&gt;79,"Baik",IF(AF1928&gt;=pub_gid_0_single_true_output_csv[[#This Row],[KKM]],"Cukup","Kurang"))))</f>
        <v>Cukup</v>
      </c>
      <c r="AH1928">
        <f t="shared" si="91"/>
        <v>12</v>
      </c>
      <c r="AI1928" s="30" t="str">
        <f>IF(OR(J1928&lt;&gt;"Karakter",pub_gid_0_single_true_output_csv[[#This Row],[Nilai2]]=""),"",IF(AF1928&gt;89,"Sangat baik",IF(AF1928&gt;79,"Baik",IF(AF1928&gt;69,"Cukup",IF(AF1928&gt;59,"Kurang","Sangat kurang")))))</f>
        <v/>
      </c>
      <c r="AJ1928" t="str">
        <f t="shared" si="92"/>
        <v>Wk.5</v>
      </c>
      <c r="AK1928" t="str">
        <f>IF(pub_gid_0_single_true_output_csv[[#This Row],[Nilai2]]="","",VLOOKUP(pub_gid_0_single_true_output_csv[[#This Row],[NAMA]],Table7[],3,FALSE))</f>
        <v>Superior</v>
      </c>
    </row>
    <row r="1929" spans="1:37" x14ac:dyDescent="0.2">
      <c r="A1929">
        <v>1928</v>
      </c>
      <c r="B1929" t="s">
        <v>332</v>
      </c>
      <c r="C1929" t="s">
        <v>65</v>
      </c>
      <c r="D1929" t="s">
        <v>59</v>
      </c>
      <c r="E1929" t="s">
        <v>333</v>
      </c>
      <c r="F1929" s="25">
        <v>46065</v>
      </c>
      <c r="G1929" t="s">
        <v>354</v>
      </c>
      <c r="H1929" t="s">
        <v>412</v>
      </c>
      <c r="I1929" t="s">
        <v>371</v>
      </c>
      <c r="J1929" t="s">
        <v>41</v>
      </c>
      <c r="K1929" t="s">
        <v>157</v>
      </c>
      <c r="L1929" t="s">
        <v>319</v>
      </c>
      <c r="M1929" t="s">
        <v>141</v>
      </c>
      <c r="N1929" t="s">
        <v>142</v>
      </c>
      <c r="O1929" t="s">
        <v>327</v>
      </c>
      <c r="P1929" t="s">
        <v>281</v>
      </c>
      <c r="Q1929" t="s">
        <v>328</v>
      </c>
      <c r="R1929" t="s">
        <v>329</v>
      </c>
      <c r="S1929" t="s">
        <v>330</v>
      </c>
      <c r="T1929">
        <v>1</v>
      </c>
      <c r="U1929" t="s">
        <v>364</v>
      </c>
      <c r="V1929" t="s">
        <v>285</v>
      </c>
      <c r="W1929" t="s">
        <v>334</v>
      </c>
      <c r="X1929" t="s">
        <v>331</v>
      </c>
      <c r="Y1929" t="s">
        <v>307</v>
      </c>
      <c r="Z1929">
        <v>70</v>
      </c>
      <c r="AA1929">
        <v>68</v>
      </c>
      <c r="AB1929" t="s">
        <v>151</v>
      </c>
      <c r="AC1929" t="s">
        <v>161</v>
      </c>
      <c r="AD1929" t="s">
        <v>278</v>
      </c>
      <c r="AE1929" t="str">
        <f>IF(AF1929="","",VLOOKUP(AC1929,mapel!$A$2:$B$42,2,FALSE))</f>
        <v>TIK</v>
      </c>
      <c r="AF1929">
        <f t="shared" si="90"/>
        <v>68</v>
      </c>
      <c r="AG1929" t="str">
        <f>IF(AF1929="","",IF(AF1929&gt;90,"Sangat baik",IF(AF1929&gt;79,"Baik",IF(AF1929&gt;=pub_gid_0_single_true_output_csv[[#This Row],[KKM]],"Cukup","Kurang"))))</f>
        <v>Kurang</v>
      </c>
      <c r="AH1929">
        <f t="shared" si="91"/>
        <v>12</v>
      </c>
      <c r="AI1929" s="30" t="str">
        <f>IF(OR(J1929&lt;&gt;"Karakter",pub_gid_0_single_true_output_csv[[#This Row],[Nilai2]]=""),"",IF(AF1929&gt;89,"Sangat baik",IF(AF1929&gt;79,"Baik",IF(AF1929&gt;69,"Cukup",IF(AF1929&gt;59,"Kurang","Sangat kurang")))))</f>
        <v/>
      </c>
      <c r="AJ1929" t="str">
        <f t="shared" si="92"/>
        <v>Wk.7</v>
      </c>
      <c r="AK1929" t="str">
        <f>IF(pub_gid_0_single_true_output_csv[[#This Row],[Nilai2]]="","",VLOOKUP(pub_gid_0_single_true_output_csv[[#This Row],[NAMA]],Table7[],3,FALSE))</f>
        <v>Superior</v>
      </c>
    </row>
    <row r="1930" spans="1:37" x14ac:dyDescent="0.2">
      <c r="A1930">
        <v>1929</v>
      </c>
      <c r="B1930" t="s">
        <v>332</v>
      </c>
      <c r="C1930" t="s">
        <v>65</v>
      </c>
      <c r="D1930" t="s">
        <v>59</v>
      </c>
      <c r="E1930" t="s">
        <v>333</v>
      </c>
      <c r="F1930" s="25">
        <v>46065</v>
      </c>
      <c r="G1930" t="s">
        <v>354</v>
      </c>
      <c r="H1930" t="s">
        <v>412</v>
      </c>
      <c r="I1930" t="s">
        <v>371</v>
      </c>
      <c r="J1930" t="s">
        <v>36</v>
      </c>
      <c r="K1930" t="s">
        <v>153</v>
      </c>
      <c r="L1930" t="s">
        <v>319</v>
      </c>
      <c r="M1930" t="s">
        <v>141</v>
      </c>
      <c r="N1930" t="s">
        <v>142</v>
      </c>
      <c r="O1930" t="s">
        <v>327</v>
      </c>
      <c r="P1930" t="s">
        <v>281</v>
      </c>
      <c r="Q1930" t="s">
        <v>328</v>
      </c>
      <c r="R1930" t="s">
        <v>329</v>
      </c>
      <c r="S1930" t="s">
        <v>330</v>
      </c>
      <c r="T1930">
        <v>1</v>
      </c>
      <c r="U1930" t="s">
        <v>364</v>
      </c>
      <c r="V1930" t="s">
        <v>285</v>
      </c>
      <c r="W1930" t="s">
        <v>334</v>
      </c>
      <c r="X1930" t="s">
        <v>331</v>
      </c>
      <c r="Y1930" t="s">
        <v>307</v>
      </c>
      <c r="Z1930">
        <v>70</v>
      </c>
      <c r="AA1930">
        <v>68</v>
      </c>
      <c r="AB1930" t="s">
        <v>151</v>
      </c>
      <c r="AC1930" t="s">
        <v>161</v>
      </c>
      <c r="AD1930" t="s">
        <v>278</v>
      </c>
      <c r="AE1930" t="str">
        <f>IF(AF1930="","",VLOOKUP(AC1930,mapel!$A$2:$B$42,2,FALSE))</f>
        <v>TIK</v>
      </c>
      <c r="AF1930">
        <f t="shared" si="90"/>
        <v>68</v>
      </c>
      <c r="AG1930" t="str">
        <f>IF(AF1930="","",IF(AF1930&gt;90,"Sangat baik",IF(AF1930&gt;79,"Baik",IF(AF1930&gt;=pub_gid_0_single_true_output_csv[[#This Row],[KKM]],"Cukup","Kurang"))))</f>
        <v>Kurang</v>
      </c>
      <c r="AH1930">
        <f t="shared" si="91"/>
        <v>12</v>
      </c>
      <c r="AI1930" s="30" t="str">
        <f>IF(OR(J1930&lt;&gt;"Karakter",pub_gid_0_single_true_output_csv[[#This Row],[Nilai2]]=""),"",IF(AF1930&gt;89,"Sangat baik",IF(AF1930&gt;79,"Baik",IF(AF1930&gt;69,"Cukup",IF(AF1930&gt;59,"Kurang","Sangat kurang")))))</f>
        <v/>
      </c>
      <c r="AJ1930" t="str">
        <f t="shared" si="92"/>
        <v>Wk.7</v>
      </c>
      <c r="AK1930" t="str">
        <f>IF(pub_gid_0_single_true_output_csv[[#This Row],[Nilai2]]="","",VLOOKUP(pub_gid_0_single_true_output_csv[[#This Row],[NAMA]],Table7[],3,FALSE))</f>
        <v>Superior</v>
      </c>
    </row>
    <row r="1931" spans="1:37" x14ac:dyDescent="0.2">
      <c r="A1931">
        <v>1930</v>
      </c>
      <c r="B1931" t="s">
        <v>332</v>
      </c>
      <c r="C1931" t="s">
        <v>65</v>
      </c>
      <c r="D1931" t="s">
        <v>59</v>
      </c>
      <c r="E1931" t="s">
        <v>333</v>
      </c>
      <c r="F1931" s="25">
        <v>46065</v>
      </c>
      <c r="G1931" t="s">
        <v>354</v>
      </c>
      <c r="H1931" t="s">
        <v>412</v>
      </c>
      <c r="I1931" t="s">
        <v>371</v>
      </c>
      <c r="J1931" t="s">
        <v>90</v>
      </c>
      <c r="K1931" t="s">
        <v>92</v>
      </c>
      <c r="L1931" t="s">
        <v>91</v>
      </c>
      <c r="M1931" t="s">
        <v>141</v>
      </c>
      <c r="N1931" t="s">
        <v>142</v>
      </c>
      <c r="O1931" t="s">
        <v>327</v>
      </c>
      <c r="P1931" t="s">
        <v>281</v>
      </c>
      <c r="Q1931" t="s">
        <v>328</v>
      </c>
      <c r="R1931" t="s">
        <v>329</v>
      </c>
      <c r="S1931" t="s">
        <v>330</v>
      </c>
      <c r="T1931">
        <v>1</v>
      </c>
      <c r="U1931" t="s">
        <v>364</v>
      </c>
      <c r="V1931" t="s">
        <v>285</v>
      </c>
      <c r="W1931" t="s">
        <v>334</v>
      </c>
      <c r="X1931" t="s">
        <v>331</v>
      </c>
      <c r="Y1931" t="s">
        <v>307</v>
      </c>
      <c r="Z1931">
        <v>70</v>
      </c>
      <c r="AA1931">
        <v>80</v>
      </c>
      <c r="AB1931" t="s">
        <v>143</v>
      </c>
      <c r="AC1931" t="s">
        <v>161</v>
      </c>
      <c r="AD1931" t="s">
        <v>278</v>
      </c>
      <c r="AE1931" t="str">
        <f>IF(AF1931="","",VLOOKUP(AC1931,mapel!$A$2:$B$42,2,FALSE))</f>
        <v>TIK</v>
      </c>
      <c r="AF1931">
        <f t="shared" si="90"/>
        <v>80</v>
      </c>
      <c r="AG1931" t="str">
        <f>IF(AF1931="","",IF(AF1931&gt;90,"Sangat baik",IF(AF1931&gt;79,"Baik",IF(AF1931&gt;=pub_gid_0_single_true_output_csv[[#This Row],[KKM]],"Cukup","Kurang"))))</f>
        <v>Baik</v>
      </c>
      <c r="AH1931">
        <f t="shared" si="91"/>
        <v>12</v>
      </c>
      <c r="AI1931" s="30" t="str">
        <f>IF(OR(J1931&lt;&gt;"Karakter",pub_gid_0_single_true_output_csv[[#This Row],[Nilai2]]=""),"",IF(AF1931&gt;89,"Sangat baik",IF(AF1931&gt;79,"Baik",IF(AF1931&gt;69,"Cukup",IF(AF1931&gt;59,"Kurang","Sangat kurang")))))</f>
        <v>Baik</v>
      </c>
      <c r="AJ1931" t="str">
        <f t="shared" si="92"/>
        <v>Wk.7</v>
      </c>
      <c r="AK1931" t="str">
        <f>IF(pub_gid_0_single_true_output_csv[[#This Row],[Nilai2]]="","",VLOOKUP(pub_gid_0_single_true_output_csv[[#This Row],[NAMA]],Table7[],3,FALSE))</f>
        <v>Superior</v>
      </c>
    </row>
    <row r="1932" spans="1:37" x14ac:dyDescent="0.2">
      <c r="A1932">
        <v>1931</v>
      </c>
      <c r="B1932" t="s">
        <v>315</v>
      </c>
      <c r="C1932" t="s">
        <v>65</v>
      </c>
      <c r="D1932" t="s">
        <v>60</v>
      </c>
      <c r="E1932" t="s">
        <v>140</v>
      </c>
      <c r="F1932" s="25">
        <v>46037</v>
      </c>
      <c r="G1932" t="s">
        <v>356</v>
      </c>
      <c r="H1932" t="s">
        <v>405</v>
      </c>
      <c r="I1932" t="s">
        <v>371</v>
      </c>
      <c r="J1932" t="s">
        <v>41</v>
      </c>
      <c r="K1932" t="s">
        <v>157</v>
      </c>
      <c r="L1932" t="s">
        <v>319</v>
      </c>
      <c r="M1932" t="s">
        <v>141</v>
      </c>
      <c r="N1932" t="s">
        <v>142</v>
      </c>
      <c r="O1932" t="s">
        <v>327</v>
      </c>
      <c r="P1932" t="s">
        <v>281</v>
      </c>
      <c r="Q1932" t="s">
        <v>328</v>
      </c>
      <c r="R1932" t="s">
        <v>329</v>
      </c>
      <c r="S1932" t="s">
        <v>330</v>
      </c>
      <c r="T1932">
        <v>1</v>
      </c>
      <c r="U1932" t="s">
        <v>364</v>
      </c>
      <c r="V1932" t="s">
        <v>285</v>
      </c>
      <c r="W1932" t="s">
        <v>334</v>
      </c>
      <c r="X1932" t="s">
        <v>331</v>
      </c>
      <c r="Y1932" t="s">
        <v>307</v>
      </c>
      <c r="Z1932">
        <v>70</v>
      </c>
      <c r="AA1932">
        <v>65</v>
      </c>
      <c r="AB1932" t="s">
        <v>151</v>
      </c>
      <c r="AC1932" t="s">
        <v>161</v>
      </c>
      <c r="AD1932" t="s">
        <v>278</v>
      </c>
      <c r="AE1932" t="str">
        <f>IF(AF1932="","",VLOOKUP(AC1932,mapel!$A$2:$B$42,2,FALSE))</f>
        <v>TIK</v>
      </c>
      <c r="AF1932">
        <f t="shared" si="90"/>
        <v>65</v>
      </c>
      <c r="AG1932" t="str">
        <f>IF(AF1932="","",IF(AF1932&gt;90,"Sangat baik",IF(AF1932&gt;79,"Baik",IF(AF1932&gt;=pub_gid_0_single_true_output_csv[[#This Row],[KKM]],"Cukup","Kurang"))))</f>
        <v>Kurang</v>
      </c>
      <c r="AH1932">
        <f t="shared" si="91"/>
        <v>12</v>
      </c>
      <c r="AI1932" s="30" t="str">
        <f>IF(OR(J1932&lt;&gt;"Karakter",pub_gid_0_single_true_output_csv[[#This Row],[Nilai2]]=""),"",IF(AF1932&gt;89,"Sangat baik",IF(AF1932&gt;79,"Baik",IF(AF1932&gt;69,"Cukup",IF(AF1932&gt;59,"Kurang","Sangat kurang")))))</f>
        <v/>
      </c>
      <c r="AJ1932" t="str">
        <f t="shared" si="92"/>
        <v>Wk.3</v>
      </c>
      <c r="AK1932" t="str">
        <f>IF(pub_gid_0_single_true_output_csv[[#This Row],[Nilai2]]="","",VLOOKUP(pub_gid_0_single_true_output_csv[[#This Row],[NAMA]],Table7[],3,FALSE))</f>
        <v>High average</v>
      </c>
    </row>
    <row r="1933" spans="1:37" x14ac:dyDescent="0.2">
      <c r="A1933">
        <v>1932</v>
      </c>
      <c r="B1933" t="s">
        <v>315</v>
      </c>
      <c r="C1933" t="s">
        <v>65</v>
      </c>
      <c r="D1933" t="s">
        <v>60</v>
      </c>
      <c r="E1933" t="s">
        <v>140</v>
      </c>
      <c r="F1933" s="25">
        <v>46037</v>
      </c>
      <c r="G1933" t="s">
        <v>356</v>
      </c>
      <c r="H1933" t="s">
        <v>405</v>
      </c>
      <c r="I1933" t="s">
        <v>371</v>
      </c>
      <c r="J1933" t="s">
        <v>36</v>
      </c>
      <c r="K1933" t="s">
        <v>153</v>
      </c>
      <c r="L1933" t="s">
        <v>319</v>
      </c>
      <c r="M1933" t="s">
        <v>141</v>
      </c>
      <c r="N1933" t="s">
        <v>142</v>
      </c>
      <c r="O1933" t="s">
        <v>327</v>
      </c>
      <c r="P1933" t="s">
        <v>281</v>
      </c>
      <c r="Q1933" t="s">
        <v>328</v>
      </c>
      <c r="R1933" t="s">
        <v>329</v>
      </c>
      <c r="S1933" t="s">
        <v>330</v>
      </c>
      <c r="T1933">
        <v>1</v>
      </c>
      <c r="U1933" t="s">
        <v>364</v>
      </c>
      <c r="V1933" t="s">
        <v>285</v>
      </c>
      <c r="W1933" t="s">
        <v>334</v>
      </c>
      <c r="X1933" t="s">
        <v>331</v>
      </c>
      <c r="Y1933" t="s">
        <v>307</v>
      </c>
      <c r="Z1933">
        <v>70</v>
      </c>
      <c r="AA1933">
        <v>65</v>
      </c>
      <c r="AB1933" t="s">
        <v>151</v>
      </c>
      <c r="AC1933" t="s">
        <v>161</v>
      </c>
      <c r="AD1933" t="s">
        <v>278</v>
      </c>
      <c r="AE1933" t="str">
        <f>IF(AF1933="","",VLOOKUP(AC1933,mapel!$A$2:$B$42,2,FALSE))</f>
        <v>TIK</v>
      </c>
      <c r="AF1933">
        <f t="shared" si="90"/>
        <v>65</v>
      </c>
      <c r="AG1933" t="str">
        <f>IF(AF1933="","",IF(AF1933&gt;90,"Sangat baik",IF(AF1933&gt;79,"Baik",IF(AF1933&gt;=pub_gid_0_single_true_output_csv[[#This Row],[KKM]],"Cukup","Kurang"))))</f>
        <v>Kurang</v>
      </c>
      <c r="AH1933">
        <f t="shared" si="91"/>
        <v>12</v>
      </c>
      <c r="AI1933" s="30" t="str">
        <f>IF(OR(J1933&lt;&gt;"Karakter",pub_gid_0_single_true_output_csv[[#This Row],[Nilai2]]=""),"",IF(AF1933&gt;89,"Sangat baik",IF(AF1933&gt;79,"Baik",IF(AF1933&gt;69,"Cukup",IF(AF1933&gt;59,"Kurang","Sangat kurang")))))</f>
        <v/>
      </c>
      <c r="AJ1933" t="str">
        <f t="shared" si="92"/>
        <v>Wk.3</v>
      </c>
      <c r="AK1933" t="str">
        <f>IF(pub_gid_0_single_true_output_csv[[#This Row],[Nilai2]]="","",VLOOKUP(pub_gid_0_single_true_output_csv[[#This Row],[NAMA]],Table7[],3,FALSE))</f>
        <v>High average</v>
      </c>
    </row>
    <row r="1934" spans="1:37" x14ac:dyDescent="0.2">
      <c r="A1934">
        <v>1933</v>
      </c>
      <c r="B1934" t="s">
        <v>315</v>
      </c>
      <c r="C1934" t="s">
        <v>65</v>
      </c>
      <c r="D1934" t="s">
        <v>60</v>
      </c>
      <c r="E1934" t="s">
        <v>140</v>
      </c>
      <c r="F1934" s="25">
        <v>46044</v>
      </c>
      <c r="G1934" t="s">
        <v>305</v>
      </c>
      <c r="H1934" t="s">
        <v>405</v>
      </c>
      <c r="I1934" t="s">
        <v>371</v>
      </c>
      <c r="J1934" t="s">
        <v>31</v>
      </c>
      <c r="K1934" t="s">
        <v>158</v>
      </c>
      <c r="L1934" t="s">
        <v>319</v>
      </c>
      <c r="M1934" t="s">
        <v>141</v>
      </c>
      <c r="N1934" t="s">
        <v>142</v>
      </c>
      <c r="O1934" t="s">
        <v>327</v>
      </c>
      <c r="P1934" t="s">
        <v>281</v>
      </c>
      <c r="Q1934" t="s">
        <v>328</v>
      </c>
      <c r="R1934" t="s">
        <v>329</v>
      </c>
      <c r="S1934" t="s">
        <v>330</v>
      </c>
      <c r="T1934">
        <v>1</v>
      </c>
      <c r="U1934" t="s">
        <v>364</v>
      </c>
      <c r="V1934" t="s">
        <v>285</v>
      </c>
      <c r="W1934" t="s">
        <v>334</v>
      </c>
      <c r="X1934" t="s">
        <v>331</v>
      </c>
      <c r="Y1934" t="s">
        <v>307</v>
      </c>
      <c r="Z1934">
        <v>70</v>
      </c>
      <c r="AA1934">
        <v>65</v>
      </c>
      <c r="AB1934" t="s">
        <v>151</v>
      </c>
      <c r="AC1934" t="s">
        <v>161</v>
      </c>
      <c r="AD1934" t="s">
        <v>278</v>
      </c>
      <c r="AE1934" t="str">
        <f>IF(AF1934="","",VLOOKUP(AC1934,mapel!$A$2:$B$42,2,FALSE))</f>
        <v>TIK</v>
      </c>
      <c r="AF1934">
        <f t="shared" si="90"/>
        <v>65</v>
      </c>
      <c r="AG1934" t="str">
        <f>IF(AF1934="","",IF(AF1934&gt;90,"Sangat baik",IF(AF1934&gt;79,"Baik",IF(AF1934&gt;=pub_gid_0_single_true_output_csv[[#This Row],[KKM]],"Cukup","Kurang"))))</f>
        <v>Kurang</v>
      </c>
      <c r="AH1934">
        <f t="shared" si="91"/>
        <v>12</v>
      </c>
      <c r="AI1934" s="30" t="str">
        <f>IF(OR(J1934&lt;&gt;"Karakter",pub_gid_0_single_true_output_csv[[#This Row],[Nilai2]]=""),"",IF(AF1934&gt;89,"Sangat baik",IF(AF1934&gt;79,"Baik",IF(AF1934&gt;69,"Cukup",IF(AF1934&gt;59,"Kurang","Sangat kurang")))))</f>
        <v/>
      </c>
      <c r="AJ1934" t="str">
        <f t="shared" si="92"/>
        <v>Wk.4</v>
      </c>
      <c r="AK1934" t="str">
        <f>IF(pub_gid_0_single_true_output_csv[[#This Row],[Nilai2]]="","",VLOOKUP(pub_gid_0_single_true_output_csv[[#This Row],[NAMA]],Table7[],3,FALSE))</f>
        <v>High average</v>
      </c>
    </row>
    <row r="1935" spans="1:37" x14ac:dyDescent="0.2">
      <c r="A1935">
        <v>1934</v>
      </c>
      <c r="B1935" t="s">
        <v>315</v>
      </c>
      <c r="C1935" t="s">
        <v>65</v>
      </c>
      <c r="D1935" t="s">
        <v>60</v>
      </c>
      <c r="E1935" t="s">
        <v>140</v>
      </c>
      <c r="F1935" s="25">
        <v>46044</v>
      </c>
      <c r="G1935" t="s">
        <v>305</v>
      </c>
      <c r="H1935" t="s">
        <v>405</v>
      </c>
      <c r="I1935" t="s">
        <v>371</v>
      </c>
      <c r="J1935" t="s">
        <v>90</v>
      </c>
      <c r="K1935" t="s">
        <v>92</v>
      </c>
      <c r="L1935" t="s">
        <v>91</v>
      </c>
      <c r="M1935" t="s">
        <v>141</v>
      </c>
      <c r="N1935" t="s">
        <v>142</v>
      </c>
      <c r="O1935" t="s">
        <v>327</v>
      </c>
      <c r="P1935" t="s">
        <v>281</v>
      </c>
      <c r="Q1935" t="s">
        <v>328</v>
      </c>
      <c r="R1935" t="s">
        <v>329</v>
      </c>
      <c r="S1935" t="s">
        <v>330</v>
      </c>
      <c r="T1935">
        <v>1</v>
      </c>
      <c r="U1935" t="s">
        <v>364</v>
      </c>
      <c r="V1935" t="s">
        <v>285</v>
      </c>
      <c r="W1935" t="s">
        <v>334</v>
      </c>
      <c r="X1935" t="s">
        <v>331</v>
      </c>
      <c r="Y1935" t="s">
        <v>307</v>
      </c>
      <c r="Z1935">
        <v>70</v>
      </c>
      <c r="AA1935">
        <v>70</v>
      </c>
      <c r="AB1935" t="s">
        <v>143</v>
      </c>
      <c r="AC1935" t="s">
        <v>161</v>
      </c>
      <c r="AD1935" t="s">
        <v>278</v>
      </c>
      <c r="AE1935" t="str">
        <f>IF(AF1935="","",VLOOKUP(AC1935,mapel!$A$2:$B$42,2,FALSE))</f>
        <v>TIK</v>
      </c>
      <c r="AF1935">
        <f t="shared" si="90"/>
        <v>70</v>
      </c>
      <c r="AG1935" t="str">
        <f>IF(AF1935="","",IF(AF1935&gt;90,"Sangat baik",IF(AF1935&gt;79,"Baik",IF(AF1935&gt;=pub_gid_0_single_true_output_csv[[#This Row],[KKM]],"Cukup","Kurang"))))</f>
        <v>Cukup</v>
      </c>
      <c r="AH1935">
        <f t="shared" si="91"/>
        <v>12</v>
      </c>
      <c r="AI1935" s="30" t="str">
        <f>IF(OR(J1935&lt;&gt;"Karakter",pub_gid_0_single_true_output_csv[[#This Row],[Nilai2]]=""),"",IF(AF1935&gt;89,"Sangat baik",IF(AF1935&gt;79,"Baik",IF(AF1935&gt;69,"Cukup",IF(AF1935&gt;59,"Kurang","Sangat kurang")))))</f>
        <v>Cukup</v>
      </c>
      <c r="AJ1935" t="str">
        <f t="shared" si="92"/>
        <v>Wk.4</v>
      </c>
      <c r="AK1935" t="str">
        <f>IF(pub_gid_0_single_true_output_csv[[#This Row],[Nilai2]]="","",VLOOKUP(pub_gid_0_single_true_output_csv[[#This Row],[NAMA]],Table7[],3,FALSE))</f>
        <v>High average</v>
      </c>
    </row>
    <row r="1936" spans="1:37" x14ac:dyDescent="0.2">
      <c r="A1936">
        <v>1935</v>
      </c>
      <c r="B1936" t="s">
        <v>315</v>
      </c>
      <c r="C1936" t="s">
        <v>65</v>
      </c>
      <c r="D1936" t="s">
        <v>60</v>
      </c>
      <c r="E1936" t="s">
        <v>140</v>
      </c>
      <c r="F1936" s="25">
        <v>46044</v>
      </c>
      <c r="G1936" t="s">
        <v>305</v>
      </c>
      <c r="H1936" t="s">
        <v>405</v>
      </c>
      <c r="I1936" t="s">
        <v>371</v>
      </c>
      <c r="J1936" t="s">
        <v>279</v>
      </c>
      <c r="K1936" t="s">
        <v>280</v>
      </c>
      <c r="L1936" t="s">
        <v>319</v>
      </c>
      <c r="M1936" t="s">
        <v>141</v>
      </c>
      <c r="N1936" t="s">
        <v>142</v>
      </c>
      <c r="O1936" t="s">
        <v>327</v>
      </c>
      <c r="P1936" t="s">
        <v>281</v>
      </c>
      <c r="Q1936" t="s">
        <v>328</v>
      </c>
      <c r="R1936" t="s">
        <v>329</v>
      </c>
      <c r="S1936" t="s">
        <v>330</v>
      </c>
      <c r="T1936">
        <v>1</v>
      </c>
      <c r="U1936" t="s">
        <v>364</v>
      </c>
      <c r="V1936" t="s">
        <v>285</v>
      </c>
      <c r="W1936" t="s">
        <v>334</v>
      </c>
      <c r="X1936" t="s">
        <v>331</v>
      </c>
      <c r="Y1936" t="s">
        <v>307</v>
      </c>
      <c r="Z1936">
        <v>70</v>
      </c>
      <c r="AA1936">
        <v>75</v>
      </c>
      <c r="AB1936" t="s">
        <v>143</v>
      </c>
      <c r="AC1936" t="s">
        <v>161</v>
      </c>
      <c r="AD1936" t="s">
        <v>278</v>
      </c>
      <c r="AE1936" t="str">
        <f>IF(AF1936="","",VLOOKUP(AC1936,mapel!$A$2:$B$42,2,FALSE))</f>
        <v>TIK</v>
      </c>
      <c r="AF1936">
        <f t="shared" si="90"/>
        <v>75</v>
      </c>
      <c r="AG1936" t="str">
        <f>IF(AF1936="","",IF(AF1936&gt;90,"Sangat baik",IF(AF1936&gt;79,"Baik",IF(AF1936&gt;=pub_gid_0_single_true_output_csv[[#This Row],[KKM]],"Cukup","Kurang"))))</f>
        <v>Cukup</v>
      </c>
      <c r="AH1936">
        <f t="shared" si="91"/>
        <v>12</v>
      </c>
      <c r="AI1936" s="30" t="str">
        <f>IF(OR(J1936&lt;&gt;"Karakter",pub_gid_0_single_true_output_csv[[#This Row],[Nilai2]]=""),"",IF(AF1936&gt;89,"Sangat baik",IF(AF1936&gt;79,"Baik",IF(AF1936&gt;69,"Cukup",IF(AF1936&gt;59,"Kurang","Sangat kurang")))))</f>
        <v/>
      </c>
      <c r="AJ1936" t="str">
        <f t="shared" si="92"/>
        <v>Wk.4</v>
      </c>
      <c r="AK1936" t="str">
        <f>IF(pub_gid_0_single_true_output_csv[[#This Row],[Nilai2]]="","",VLOOKUP(pub_gid_0_single_true_output_csv[[#This Row],[NAMA]],Table7[],3,FALSE))</f>
        <v>High average</v>
      </c>
    </row>
    <row r="1937" spans="1:37" x14ac:dyDescent="0.2">
      <c r="A1937">
        <v>1936</v>
      </c>
      <c r="B1937" t="s">
        <v>315</v>
      </c>
      <c r="C1937" t="s">
        <v>65</v>
      </c>
      <c r="D1937" t="s">
        <v>60</v>
      </c>
      <c r="E1937" t="s">
        <v>140</v>
      </c>
      <c r="F1937" s="25">
        <v>46051</v>
      </c>
      <c r="G1937" t="s">
        <v>320</v>
      </c>
      <c r="H1937" t="s">
        <v>405</v>
      </c>
      <c r="I1937" t="s">
        <v>371</v>
      </c>
      <c r="J1937" t="s">
        <v>41</v>
      </c>
      <c r="K1937" t="s">
        <v>157</v>
      </c>
      <c r="L1937" t="s">
        <v>319</v>
      </c>
      <c r="M1937" t="s">
        <v>141</v>
      </c>
      <c r="N1937" t="s">
        <v>142</v>
      </c>
      <c r="O1937" t="s">
        <v>327</v>
      </c>
      <c r="P1937" t="s">
        <v>281</v>
      </c>
      <c r="Q1937" t="s">
        <v>328</v>
      </c>
      <c r="R1937" t="s">
        <v>329</v>
      </c>
      <c r="S1937" t="s">
        <v>330</v>
      </c>
      <c r="T1937">
        <v>1</v>
      </c>
      <c r="U1937" t="s">
        <v>364</v>
      </c>
      <c r="V1937" t="s">
        <v>285</v>
      </c>
      <c r="W1937" t="s">
        <v>334</v>
      </c>
      <c r="X1937" t="s">
        <v>331</v>
      </c>
      <c r="Y1937" t="s">
        <v>307</v>
      </c>
      <c r="Z1937">
        <v>70</v>
      </c>
      <c r="AA1937">
        <v>65</v>
      </c>
      <c r="AB1937" t="s">
        <v>151</v>
      </c>
      <c r="AC1937" t="s">
        <v>161</v>
      </c>
      <c r="AD1937" t="s">
        <v>278</v>
      </c>
      <c r="AE1937" t="str">
        <f>IF(AF1937="","",VLOOKUP(AC1937,mapel!$A$2:$B$42,2,FALSE))</f>
        <v>TIK</v>
      </c>
      <c r="AF1937">
        <f t="shared" si="90"/>
        <v>65</v>
      </c>
      <c r="AG1937" t="str">
        <f>IF(AF1937="","",IF(AF1937&gt;90,"Sangat baik",IF(AF1937&gt;79,"Baik",IF(AF1937&gt;=pub_gid_0_single_true_output_csv[[#This Row],[KKM]],"Cukup","Kurang"))))</f>
        <v>Kurang</v>
      </c>
      <c r="AH1937">
        <f t="shared" si="91"/>
        <v>12</v>
      </c>
      <c r="AI1937" s="30" t="str">
        <f>IF(OR(J1937&lt;&gt;"Karakter",pub_gid_0_single_true_output_csv[[#This Row],[Nilai2]]=""),"",IF(AF1937&gt;89,"Sangat baik",IF(AF1937&gt;79,"Baik",IF(AF1937&gt;69,"Cukup",IF(AF1937&gt;59,"Kurang","Sangat kurang")))))</f>
        <v/>
      </c>
      <c r="AJ1937" t="str">
        <f t="shared" si="92"/>
        <v>Wk.5</v>
      </c>
      <c r="AK1937" t="str">
        <f>IF(pub_gid_0_single_true_output_csv[[#This Row],[Nilai2]]="","",VLOOKUP(pub_gid_0_single_true_output_csv[[#This Row],[NAMA]],Table7[],3,FALSE))</f>
        <v>High average</v>
      </c>
    </row>
    <row r="1938" spans="1:37" x14ac:dyDescent="0.2">
      <c r="A1938">
        <v>1937</v>
      </c>
      <c r="B1938" t="s">
        <v>315</v>
      </c>
      <c r="C1938" t="s">
        <v>65</v>
      </c>
      <c r="D1938" t="s">
        <v>60</v>
      </c>
      <c r="E1938" t="s">
        <v>140</v>
      </c>
      <c r="F1938" s="25">
        <v>46051</v>
      </c>
      <c r="G1938" t="s">
        <v>320</v>
      </c>
      <c r="H1938" t="s">
        <v>405</v>
      </c>
      <c r="I1938" t="s">
        <v>371</v>
      </c>
      <c r="J1938" t="s">
        <v>36</v>
      </c>
      <c r="K1938" t="s">
        <v>153</v>
      </c>
      <c r="L1938" t="s">
        <v>319</v>
      </c>
      <c r="M1938" t="s">
        <v>141</v>
      </c>
      <c r="N1938" t="s">
        <v>142</v>
      </c>
      <c r="O1938" t="s">
        <v>327</v>
      </c>
      <c r="P1938" t="s">
        <v>281</v>
      </c>
      <c r="Q1938" t="s">
        <v>328</v>
      </c>
      <c r="R1938" t="s">
        <v>329</v>
      </c>
      <c r="S1938" t="s">
        <v>330</v>
      </c>
      <c r="T1938">
        <v>1</v>
      </c>
      <c r="U1938" t="s">
        <v>364</v>
      </c>
      <c r="V1938" t="s">
        <v>285</v>
      </c>
      <c r="W1938" t="s">
        <v>334</v>
      </c>
      <c r="X1938" t="s">
        <v>331</v>
      </c>
      <c r="Y1938" t="s">
        <v>307</v>
      </c>
      <c r="Z1938">
        <v>70</v>
      </c>
      <c r="AA1938">
        <v>65</v>
      </c>
      <c r="AB1938" t="s">
        <v>151</v>
      </c>
      <c r="AC1938" t="s">
        <v>161</v>
      </c>
      <c r="AD1938" t="s">
        <v>278</v>
      </c>
      <c r="AE1938" t="str">
        <f>IF(AF1938="","",VLOOKUP(AC1938,mapel!$A$2:$B$42,2,FALSE))</f>
        <v>TIK</v>
      </c>
      <c r="AF1938">
        <f t="shared" si="90"/>
        <v>65</v>
      </c>
      <c r="AG1938" t="str">
        <f>IF(AF1938="","",IF(AF1938&gt;90,"Sangat baik",IF(AF1938&gt;79,"Baik",IF(AF1938&gt;=pub_gid_0_single_true_output_csv[[#This Row],[KKM]],"Cukup","Kurang"))))</f>
        <v>Kurang</v>
      </c>
      <c r="AH1938">
        <f t="shared" si="91"/>
        <v>12</v>
      </c>
      <c r="AI1938" s="30" t="str">
        <f>IF(OR(J1938&lt;&gt;"Karakter",pub_gid_0_single_true_output_csv[[#This Row],[Nilai2]]=""),"",IF(AF1938&gt;89,"Sangat baik",IF(AF1938&gt;79,"Baik",IF(AF1938&gt;69,"Cukup",IF(AF1938&gt;59,"Kurang","Sangat kurang")))))</f>
        <v/>
      </c>
      <c r="AJ1938" t="str">
        <f t="shared" si="92"/>
        <v>Wk.5</v>
      </c>
      <c r="AK1938" t="str">
        <f>IF(pub_gid_0_single_true_output_csv[[#This Row],[Nilai2]]="","",VLOOKUP(pub_gid_0_single_true_output_csv[[#This Row],[NAMA]],Table7[],3,FALSE))</f>
        <v>High average</v>
      </c>
    </row>
    <row r="1939" spans="1:37" x14ac:dyDescent="0.2">
      <c r="A1939">
        <v>1938</v>
      </c>
      <c r="B1939" t="s">
        <v>315</v>
      </c>
      <c r="C1939" t="s">
        <v>65</v>
      </c>
      <c r="D1939" t="s">
        <v>60</v>
      </c>
      <c r="E1939" t="s">
        <v>140</v>
      </c>
      <c r="F1939" s="25">
        <v>46065</v>
      </c>
      <c r="G1939" t="s">
        <v>354</v>
      </c>
      <c r="H1939" t="s">
        <v>412</v>
      </c>
      <c r="I1939" t="s">
        <v>371</v>
      </c>
      <c r="J1939" t="s">
        <v>41</v>
      </c>
      <c r="K1939" t="s">
        <v>157</v>
      </c>
      <c r="L1939" t="s">
        <v>319</v>
      </c>
      <c r="M1939" t="s">
        <v>141</v>
      </c>
      <c r="N1939" t="s">
        <v>142</v>
      </c>
      <c r="O1939" t="s">
        <v>327</v>
      </c>
      <c r="P1939" t="s">
        <v>281</v>
      </c>
      <c r="Q1939" t="s">
        <v>328</v>
      </c>
      <c r="R1939" t="s">
        <v>329</v>
      </c>
      <c r="S1939" t="s">
        <v>330</v>
      </c>
      <c r="T1939">
        <v>1</v>
      </c>
      <c r="U1939" t="s">
        <v>364</v>
      </c>
      <c r="V1939" t="s">
        <v>285</v>
      </c>
      <c r="W1939" t="s">
        <v>334</v>
      </c>
      <c r="X1939" t="s">
        <v>331</v>
      </c>
      <c r="Y1939" t="s">
        <v>307</v>
      </c>
      <c r="Z1939">
        <v>70</v>
      </c>
      <c r="AA1939">
        <v>65</v>
      </c>
      <c r="AB1939" t="s">
        <v>151</v>
      </c>
      <c r="AC1939" t="s">
        <v>161</v>
      </c>
      <c r="AD1939" t="s">
        <v>278</v>
      </c>
      <c r="AE1939" t="str">
        <f>IF(AF1939="","",VLOOKUP(AC1939,mapel!$A$2:$B$42,2,FALSE))</f>
        <v>TIK</v>
      </c>
      <c r="AF1939">
        <f t="shared" si="90"/>
        <v>65</v>
      </c>
      <c r="AG1939" t="str">
        <f>IF(AF1939="","",IF(AF1939&gt;90,"Sangat baik",IF(AF1939&gt;79,"Baik",IF(AF1939&gt;=pub_gid_0_single_true_output_csv[[#This Row],[KKM]],"Cukup","Kurang"))))</f>
        <v>Kurang</v>
      </c>
      <c r="AH1939">
        <f t="shared" si="91"/>
        <v>12</v>
      </c>
      <c r="AI1939" s="30" t="str">
        <f>IF(OR(J1939&lt;&gt;"Karakter",pub_gid_0_single_true_output_csv[[#This Row],[Nilai2]]=""),"",IF(AF1939&gt;89,"Sangat baik",IF(AF1939&gt;79,"Baik",IF(AF1939&gt;69,"Cukup",IF(AF1939&gt;59,"Kurang","Sangat kurang")))))</f>
        <v/>
      </c>
      <c r="AJ1939" t="str">
        <f t="shared" si="92"/>
        <v>Wk.7</v>
      </c>
      <c r="AK1939" t="str">
        <f>IF(pub_gid_0_single_true_output_csv[[#This Row],[Nilai2]]="","",VLOOKUP(pub_gid_0_single_true_output_csv[[#This Row],[NAMA]],Table7[],3,FALSE))</f>
        <v>High average</v>
      </c>
    </row>
    <row r="1940" spans="1:37" x14ac:dyDescent="0.2">
      <c r="A1940">
        <v>1939</v>
      </c>
      <c r="B1940" t="s">
        <v>315</v>
      </c>
      <c r="C1940" t="s">
        <v>65</v>
      </c>
      <c r="D1940" t="s">
        <v>60</v>
      </c>
      <c r="E1940" t="s">
        <v>140</v>
      </c>
      <c r="F1940" s="25">
        <v>46065</v>
      </c>
      <c r="G1940" t="s">
        <v>354</v>
      </c>
      <c r="H1940" t="s">
        <v>412</v>
      </c>
      <c r="I1940" t="s">
        <v>371</v>
      </c>
      <c r="J1940" t="s">
        <v>36</v>
      </c>
      <c r="K1940" t="s">
        <v>153</v>
      </c>
      <c r="L1940" t="s">
        <v>319</v>
      </c>
      <c r="M1940" t="s">
        <v>141</v>
      </c>
      <c r="N1940" t="s">
        <v>142</v>
      </c>
      <c r="O1940" t="s">
        <v>327</v>
      </c>
      <c r="P1940" t="s">
        <v>281</v>
      </c>
      <c r="Q1940" t="s">
        <v>328</v>
      </c>
      <c r="R1940" t="s">
        <v>329</v>
      </c>
      <c r="S1940" t="s">
        <v>330</v>
      </c>
      <c r="T1940">
        <v>1</v>
      </c>
      <c r="U1940" t="s">
        <v>364</v>
      </c>
      <c r="V1940" t="s">
        <v>285</v>
      </c>
      <c r="W1940" t="s">
        <v>334</v>
      </c>
      <c r="X1940" t="s">
        <v>331</v>
      </c>
      <c r="Y1940" t="s">
        <v>307</v>
      </c>
      <c r="Z1940">
        <v>70</v>
      </c>
      <c r="AA1940">
        <v>65</v>
      </c>
      <c r="AB1940" t="s">
        <v>151</v>
      </c>
      <c r="AC1940" t="s">
        <v>161</v>
      </c>
      <c r="AD1940" t="s">
        <v>278</v>
      </c>
      <c r="AE1940" t="str">
        <f>IF(AF1940="","",VLOOKUP(AC1940,mapel!$A$2:$B$42,2,FALSE))</f>
        <v>TIK</v>
      </c>
      <c r="AF1940">
        <f t="shared" si="90"/>
        <v>65</v>
      </c>
      <c r="AG1940" t="str">
        <f>IF(AF1940="","",IF(AF1940&gt;90,"Sangat baik",IF(AF1940&gt;79,"Baik",IF(AF1940&gt;=pub_gid_0_single_true_output_csv[[#This Row],[KKM]],"Cukup","Kurang"))))</f>
        <v>Kurang</v>
      </c>
      <c r="AH1940">
        <f t="shared" si="91"/>
        <v>12</v>
      </c>
      <c r="AI1940" s="30" t="str">
        <f>IF(OR(J1940&lt;&gt;"Karakter",pub_gid_0_single_true_output_csv[[#This Row],[Nilai2]]=""),"",IF(AF1940&gt;89,"Sangat baik",IF(AF1940&gt;79,"Baik",IF(AF1940&gt;69,"Cukup",IF(AF1940&gt;59,"Kurang","Sangat kurang")))))</f>
        <v/>
      </c>
      <c r="AJ1940" t="str">
        <f t="shared" si="92"/>
        <v>Wk.7</v>
      </c>
      <c r="AK1940" t="str">
        <f>IF(pub_gid_0_single_true_output_csv[[#This Row],[Nilai2]]="","",VLOOKUP(pub_gid_0_single_true_output_csv[[#This Row],[NAMA]],Table7[],3,FALSE))</f>
        <v>High average</v>
      </c>
    </row>
    <row r="1941" spans="1:37" x14ac:dyDescent="0.2">
      <c r="A1941">
        <v>1940</v>
      </c>
      <c r="B1941" t="s">
        <v>315</v>
      </c>
      <c r="C1941" t="s">
        <v>65</v>
      </c>
      <c r="D1941" t="s">
        <v>60</v>
      </c>
      <c r="E1941" t="s">
        <v>140</v>
      </c>
      <c r="F1941" s="25">
        <v>46065</v>
      </c>
      <c r="G1941" t="s">
        <v>354</v>
      </c>
      <c r="H1941" t="s">
        <v>412</v>
      </c>
      <c r="I1941" t="s">
        <v>371</v>
      </c>
      <c r="J1941" t="s">
        <v>90</v>
      </c>
      <c r="K1941" t="s">
        <v>92</v>
      </c>
      <c r="L1941" t="s">
        <v>91</v>
      </c>
      <c r="M1941" t="s">
        <v>141</v>
      </c>
      <c r="N1941" t="s">
        <v>142</v>
      </c>
      <c r="O1941" t="s">
        <v>327</v>
      </c>
      <c r="P1941" t="s">
        <v>281</v>
      </c>
      <c r="Q1941" t="s">
        <v>328</v>
      </c>
      <c r="R1941" t="s">
        <v>329</v>
      </c>
      <c r="S1941" t="s">
        <v>330</v>
      </c>
      <c r="T1941">
        <v>1</v>
      </c>
      <c r="U1941" t="s">
        <v>364</v>
      </c>
      <c r="V1941" t="s">
        <v>285</v>
      </c>
      <c r="W1941" t="s">
        <v>334</v>
      </c>
      <c r="X1941" t="s">
        <v>331</v>
      </c>
      <c r="Y1941" t="s">
        <v>307</v>
      </c>
      <c r="Z1941">
        <v>70</v>
      </c>
      <c r="AA1941">
        <v>70</v>
      </c>
      <c r="AB1941" t="s">
        <v>143</v>
      </c>
      <c r="AC1941" t="s">
        <v>161</v>
      </c>
      <c r="AD1941" t="s">
        <v>278</v>
      </c>
      <c r="AE1941" t="str">
        <f>IF(AF1941="","",VLOOKUP(AC1941,mapel!$A$2:$B$42,2,FALSE))</f>
        <v>TIK</v>
      </c>
      <c r="AF1941">
        <f t="shared" si="90"/>
        <v>70</v>
      </c>
      <c r="AG1941" t="str">
        <f>IF(AF1941="","",IF(AF1941&gt;90,"Sangat baik",IF(AF1941&gt;79,"Baik",IF(AF1941&gt;=pub_gid_0_single_true_output_csv[[#This Row],[KKM]],"Cukup","Kurang"))))</f>
        <v>Cukup</v>
      </c>
      <c r="AH1941">
        <f t="shared" si="91"/>
        <v>12</v>
      </c>
      <c r="AI1941" s="30" t="str">
        <f>IF(OR(J1941&lt;&gt;"Karakter",pub_gid_0_single_true_output_csv[[#This Row],[Nilai2]]=""),"",IF(AF1941&gt;89,"Sangat baik",IF(AF1941&gt;79,"Baik",IF(AF1941&gt;69,"Cukup",IF(AF1941&gt;59,"Kurang","Sangat kurang")))))</f>
        <v>Cukup</v>
      </c>
      <c r="AJ1941" t="str">
        <f t="shared" si="92"/>
        <v>Wk.7</v>
      </c>
      <c r="AK1941" t="str">
        <f>IF(pub_gid_0_single_true_output_csv[[#This Row],[Nilai2]]="","",VLOOKUP(pub_gid_0_single_true_output_csv[[#This Row],[NAMA]],Table7[],3,FALSE))</f>
        <v>High average</v>
      </c>
    </row>
    <row r="1942" spans="1:37" x14ac:dyDescent="0.2">
      <c r="A1942">
        <v>1941</v>
      </c>
      <c r="B1942" t="s">
        <v>316</v>
      </c>
      <c r="C1942" t="s">
        <v>65</v>
      </c>
      <c r="D1942" t="s">
        <v>61</v>
      </c>
      <c r="E1942" t="s">
        <v>140</v>
      </c>
      <c r="F1942" s="25">
        <v>46037</v>
      </c>
      <c r="G1942" t="s">
        <v>356</v>
      </c>
      <c r="H1942" t="s">
        <v>405</v>
      </c>
      <c r="I1942" t="s">
        <v>371</v>
      </c>
      <c r="J1942" t="s">
        <v>41</v>
      </c>
      <c r="K1942" t="s">
        <v>157</v>
      </c>
      <c r="L1942" t="s">
        <v>319</v>
      </c>
      <c r="M1942" t="s">
        <v>141</v>
      </c>
      <c r="N1942" t="s">
        <v>142</v>
      </c>
      <c r="O1942" t="s">
        <v>327</v>
      </c>
      <c r="P1942" t="s">
        <v>281</v>
      </c>
      <c r="Q1942" t="s">
        <v>328</v>
      </c>
      <c r="R1942" t="s">
        <v>329</v>
      </c>
      <c r="S1942" t="s">
        <v>330</v>
      </c>
      <c r="T1942">
        <v>1</v>
      </c>
      <c r="U1942" t="s">
        <v>364</v>
      </c>
      <c r="V1942" t="s">
        <v>285</v>
      </c>
      <c r="W1942" t="s">
        <v>334</v>
      </c>
      <c r="X1942" t="s">
        <v>331</v>
      </c>
      <c r="Y1942" t="s">
        <v>307</v>
      </c>
      <c r="Z1942">
        <v>70</v>
      </c>
      <c r="AA1942">
        <v>30</v>
      </c>
      <c r="AB1942" t="s">
        <v>151</v>
      </c>
      <c r="AC1942" t="s">
        <v>161</v>
      </c>
      <c r="AD1942" t="s">
        <v>278</v>
      </c>
      <c r="AE1942" t="str">
        <f>IF(AF1942="","",VLOOKUP(AC1942,mapel!$A$2:$B$42,2,FALSE))</f>
        <v>TIK</v>
      </c>
      <c r="AF1942">
        <f t="shared" si="90"/>
        <v>30</v>
      </c>
      <c r="AG1942" t="str">
        <f>IF(AF1942="","",IF(AF1942&gt;90,"Sangat baik",IF(AF1942&gt;79,"Baik",IF(AF1942&gt;=pub_gid_0_single_true_output_csv[[#This Row],[KKM]],"Cukup","Kurang"))))</f>
        <v>Kurang</v>
      </c>
      <c r="AH1942">
        <f t="shared" si="91"/>
        <v>12</v>
      </c>
      <c r="AI1942" s="30" t="str">
        <f>IF(OR(J1942&lt;&gt;"Karakter",pub_gid_0_single_true_output_csv[[#This Row],[Nilai2]]=""),"",IF(AF1942&gt;89,"Sangat baik",IF(AF1942&gt;79,"Baik",IF(AF1942&gt;69,"Cukup",IF(AF1942&gt;59,"Kurang","Sangat kurang")))))</f>
        <v/>
      </c>
      <c r="AJ1942" t="str">
        <f t="shared" si="92"/>
        <v>Wk.3</v>
      </c>
      <c r="AK1942" t="str">
        <f>IF(pub_gid_0_single_true_output_csv[[#This Row],[Nilai2]]="","",VLOOKUP(pub_gid_0_single_true_output_csv[[#This Row],[NAMA]],Table7[],3,FALSE))</f>
        <v>Average</v>
      </c>
    </row>
    <row r="1943" spans="1:37" x14ac:dyDescent="0.2">
      <c r="A1943">
        <v>1942</v>
      </c>
      <c r="B1943" t="s">
        <v>316</v>
      </c>
      <c r="C1943" t="s">
        <v>65</v>
      </c>
      <c r="D1943" t="s">
        <v>61</v>
      </c>
      <c r="E1943" t="s">
        <v>140</v>
      </c>
      <c r="F1943" s="25">
        <v>46037</v>
      </c>
      <c r="G1943" t="s">
        <v>356</v>
      </c>
      <c r="H1943" t="s">
        <v>405</v>
      </c>
      <c r="I1943" t="s">
        <v>371</v>
      </c>
      <c r="J1943" t="s">
        <v>36</v>
      </c>
      <c r="K1943" t="s">
        <v>153</v>
      </c>
      <c r="L1943" t="s">
        <v>319</v>
      </c>
      <c r="M1943" t="s">
        <v>141</v>
      </c>
      <c r="N1943" t="s">
        <v>142</v>
      </c>
      <c r="O1943" t="s">
        <v>327</v>
      </c>
      <c r="P1943" t="s">
        <v>281</v>
      </c>
      <c r="Q1943" t="s">
        <v>328</v>
      </c>
      <c r="R1943" t="s">
        <v>329</v>
      </c>
      <c r="S1943" t="s">
        <v>330</v>
      </c>
      <c r="T1943">
        <v>1</v>
      </c>
      <c r="U1943" t="s">
        <v>364</v>
      </c>
      <c r="V1943" t="s">
        <v>285</v>
      </c>
      <c r="W1943" t="s">
        <v>334</v>
      </c>
      <c r="X1943" t="s">
        <v>331</v>
      </c>
      <c r="Y1943" t="s">
        <v>307</v>
      </c>
      <c r="Z1943">
        <v>70</v>
      </c>
      <c r="AA1943">
        <v>30</v>
      </c>
      <c r="AB1943" t="s">
        <v>151</v>
      </c>
      <c r="AC1943" t="s">
        <v>161</v>
      </c>
      <c r="AD1943" t="s">
        <v>278</v>
      </c>
      <c r="AE1943" t="str">
        <f>IF(AF1943="","",VLOOKUP(AC1943,mapel!$A$2:$B$42,2,FALSE))</f>
        <v>TIK</v>
      </c>
      <c r="AF1943">
        <f t="shared" si="90"/>
        <v>30</v>
      </c>
      <c r="AG1943" t="str">
        <f>IF(AF1943="","",IF(AF1943&gt;90,"Sangat baik",IF(AF1943&gt;79,"Baik",IF(AF1943&gt;=pub_gid_0_single_true_output_csv[[#This Row],[KKM]],"Cukup","Kurang"))))</f>
        <v>Kurang</v>
      </c>
      <c r="AH1943">
        <f t="shared" si="91"/>
        <v>12</v>
      </c>
      <c r="AI1943" s="30" t="str">
        <f>IF(OR(J1943&lt;&gt;"Karakter",pub_gid_0_single_true_output_csv[[#This Row],[Nilai2]]=""),"",IF(AF1943&gt;89,"Sangat baik",IF(AF1943&gt;79,"Baik",IF(AF1943&gt;69,"Cukup",IF(AF1943&gt;59,"Kurang","Sangat kurang")))))</f>
        <v/>
      </c>
      <c r="AJ1943" t="str">
        <f t="shared" si="92"/>
        <v>Wk.3</v>
      </c>
      <c r="AK1943" t="str">
        <f>IF(pub_gid_0_single_true_output_csv[[#This Row],[Nilai2]]="","",VLOOKUP(pub_gid_0_single_true_output_csv[[#This Row],[NAMA]],Table7[],3,FALSE))</f>
        <v>Average</v>
      </c>
    </row>
    <row r="1944" spans="1:37" x14ac:dyDescent="0.2">
      <c r="A1944">
        <v>1943</v>
      </c>
      <c r="B1944" t="s">
        <v>316</v>
      </c>
      <c r="C1944" t="s">
        <v>65</v>
      </c>
      <c r="D1944" t="s">
        <v>61</v>
      </c>
      <c r="E1944" t="s">
        <v>140</v>
      </c>
      <c r="F1944" s="25">
        <v>46044</v>
      </c>
      <c r="G1944" t="s">
        <v>305</v>
      </c>
      <c r="H1944" t="s">
        <v>405</v>
      </c>
      <c r="I1944" t="s">
        <v>371</v>
      </c>
      <c r="J1944" t="s">
        <v>31</v>
      </c>
      <c r="K1944" t="s">
        <v>158</v>
      </c>
      <c r="L1944" t="s">
        <v>319</v>
      </c>
      <c r="M1944" t="s">
        <v>141</v>
      </c>
      <c r="N1944" t="s">
        <v>142</v>
      </c>
      <c r="O1944" t="s">
        <v>327</v>
      </c>
      <c r="P1944" t="s">
        <v>281</v>
      </c>
      <c r="Q1944" t="s">
        <v>328</v>
      </c>
      <c r="R1944" t="s">
        <v>329</v>
      </c>
      <c r="S1944" t="s">
        <v>330</v>
      </c>
      <c r="T1944">
        <v>1</v>
      </c>
      <c r="U1944" t="s">
        <v>364</v>
      </c>
      <c r="V1944" t="s">
        <v>285</v>
      </c>
      <c r="W1944" t="s">
        <v>334</v>
      </c>
      <c r="X1944" t="s">
        <v>331</v>
      </c>
      <c r="Y1944" t="s">
        <v>307</v>
      </c>
      <c r="Z1944">
        <v>70</v>
      </c>
      <c r="AA1944">
        <v>30</v>
      </c>
      <c r="AB1944" t="s">
        <v>151</v>
      </c>
      <c r="AC1944" t="s">
        <v>161</v>
      </c>
      <c r="AD1944" t="s">
        <v>278</v>
      </c>
      <c r="AE1944" t="str">
        <f>IF(AF1944="","",VLOOKUP(AC1944,mapel!$A$2:$B$42,2,FALSE))</f>
        <v>TIK</v>
      </c>
      <c r="AF1944">
        <f t="shared" si="90"/>
        <v>30</v>
      </c>
      <c r="AG1944" t="str">
        <f>IF(AF1944="","",IF(AF1944&gt;90,"Sangat baik",IF(AF1944&gt;79,"Baik",IF(AF1944&gt;=pub_gid_0_single_true_output_csv[[#This Row],[KKM]],"Cukup","Kurang"))))</f>
        <v>Kurang</v>
      </c>
      <c r="AH1944">
        <f t="shared" si="91"/>
        <v>12</v>
      </c>
      <c r="AI1944" s="30" t="str">
        <f>IF(OR(J1944&lt;&gt;"Karakter",pub_gid_0_single_true_output_csv[[#This Row],[Nilai2]]=""),"",IF(AF1944&gt;89,"Sangat baik",IF(AF1944&gt;79,"Baik",IF(AF1944&gt;69,"Cukup",IF(AF1944&gt;59,"Kurang","Sangat kurang")))))</f>
        <v/>
      </c>
      <c r="AJ1944" t="str">
        <f t="shared" si="92"/>
        <v>Wk.4</v>
      </c>
      <c r="AK1944" t="str">
        <f>IF(pub_gid_0_single_true_output_csv[[#This Row],[Nilai2]]="","",VLOOKUP(pub_gid_0_single_true_output_csv[[#This Row],[NAMA]],Table7[],3,FALSE))</f>
        <v>Average</v>
      </c>
    </row>
    <row r="1945" spans="1:37" x14ac:dyDescent="0.2">
      <c r="A1945">
        <v>1944</v>
      </c>
      <c r="B1945" t="s">
        <v>316</v>
      </c>
      <c r="C1945" t="s">
        <v>65</v>
      </c>
      <c r="D1945" t="s">
        <v>61</v>
      </c>
      <c r="E1945" t="s">
        <v>140</v>
      </c>
      <c r="F1945" s="25">
        <v>46044</v>
      </c>
      <c r="G1945" t="s">
        <v>305</v>
      </c>
      <c r="H1945" t="s">
        <v>405</v>
      </c>
      <c r="I1945" t="s">
        <v>371</v>
      </c>
      <c r="J1945" t="s">
        <v>90</v>
      </c>
      <c r="K1945" t="s">
        <v>92</v>
      </c>
      <c r="L1945" t="s">
        <v>91</v>
      </c>
      <c r="M1945" t="s">
        <v>141</v>
      </c>
      <c r="N1945" t="s">
        <v>142</v>
      </c>
      <c r="O1945" t="s">
        <v>327</v>
      </c>
      <c r="P1945" t="s">
        <v>281</v>
      </c>
      <c r="Q1945" t="s">
        <v>328</v>
      </c>
      <c r="R1945" t="s">
        <v>329</v>
      </c>
      <c r="S1945" t="s">
        <v>330</v>
      </c>
      <c r="T1945">
        <v>1</v>
      </c>
      <c r="U1945" t="s">
        <v>364</v>
      </c>
      <c r="V1945" t="s">
        <v>285</v>
      </c>
      <c r="W1945" t="s">
        <v>334</v>
      </c>
      <c r="X1945" t="s">
        <v>331</v>
      </c>
      <c r="Y1945" t="s">
        <v>307</v>
      </c>
      <c r="Z1945">
        <v>70</v>
      </c>
      <c r="AA1945">
        <v>70</v>
      </c>
      <c r="AB1945" t="s">
        <v>143</v>
      </c>
      <c r="AC1945" t="s">
        <v>161</v>
      </c>
      <c r="AD1945" t="s">
        <v>278</v>
      </c>
      <c r="AE1945" t="str">
        <f>IF(AF1945="","",VLOOKUP(AC1945,mapel!$A$2:$B$42,2,FALSE))</f>
        <v>TIK</v>
      </c>
      <c r="AF1945">
        <f t="shared" si="90"/>
        <v>70</v>
      </c>
      <c r="AG1945" t="str">
        <f>IF(AF1945="","",IF(AF1945&gt;90,"Sangat baik",IF(AF1945&gt;79,"Baik",IF(AF1945&gt;=pub_gid_0_single_true_output_csv[[#This Row],[KKM]],"Cukup","Kurang"))))</f>
        <v>Cukup</v>
      </c>
      <c r="AH1945">
        <f t="shared" si="91"/>
        <v>12</v>
      </c>
      <c r="AI1945" s="30" t="str">
        <f>IF(OR(J1945&lt;&gt;"Karakter",pub_gid_0_single_true_output_csv[[#This Row],[Nilai2]]=""),"",IF(AF1945&gt;89,"Sangat baik",IF(AF1945&gt;79,"Baik",IF(AF1945&gt;69,"Cukup",IF(AF1945&gt;59,"Kurang","Sangat kurang")))))</f>
        <v>Cukup</v>
      </c>
      <c r="AJ1945" t="str">
        <f t="shared" si="92"/>
        <v>Wk.4</v>
      </c>
      <c r="AK1945" t="str">
        <f>IF(pub_gid_0_single_true_output_csv[[#This Row],[Nilai2]]="","",VLOOKUP(pub_gid_0_single_true_output_csv[[#This Row],[NAMA]],Table7[],3,FALSE))</f>
        <v>Average</v>
      </c>
    </row>
    <row r="1946" spans="1:37" x14ac:dyDescent="0.2">
      <c r="A1946">
        <v>1945</v>
      </c>
      <c r="B1946" t="s">
        <v>316</v>
      </c>
      <c r="C1946" t="s">
        <v>65</v>
      </c>
      <c r="D1946" t="s">
        <v>61</v>
      </c>
      <c r="E1946" t="s">
        <v>140</v>
      </c>
      <c r="F1946" s="25">
        <v>46044</v>
      </c>
      <c r="G1946" t="s">
        <v>305</v>
      </c>
      <c r="H1946" t="s">
        <v>405</v>
      </c>
      <c r="I1946" t="s">
        <v>371</v>
      </c>
      <c r="J1946" t="s">
        <v>279</v>
      </c>
      <c r="K1946" t="s">
        <v>280</v>
      </c>
      <c r="L1946" t="s">
        <v>319</v>
      </c>
      <c r="M1946" t="s">
        <v>141</v>
      </c>
      <c r="N1946" t="s">
        <v>142</v>
      </c>
      <c r="O1946" t="s">
        <v>327</v>
      </c>
      <c r="P1946" t="s">
        <v>281</v>
      </c>
      <c r="Q1946" t="s">
        <v>328</v>
      </c>
      <c r="R1946" t="s">
        <v>329</v>
      </c>
      <c r="S1946" t="s">
        <v>330</v>
      </c>
      <c r="T1946">
        <v>1</v>
      </c>
      <c r="U1946" t="s">
        <v>364</v>
      </c>
      <c r="V1946" t="s">
        <v>285</v>
      </c>
      <c r="W1946" t="s">
        <v>334</v>
      </c>
      <c r="X1946" t="s">
        <v>331</v>
      </c>
      <c r="Y1946" t="s">
        <v>307</v>
      </c>
      <c r="Z1946">
        <v>70</v>
      </c>
      <c r="AA1946">
        <v>65</v>
      </c>
      <c r="AB1946" t="s">
        <v>151</v>
      </c>
      <c r="AC1946" t="s">
        <v>161</v>
      </c>
      <c r="AD1946" t="s">
        <v>278</v>
      </c>
      <c r="AE1946" t="str">
        <f>IF(AF1946="","",VLOOKUP(AC1946,mapel!$A$2:$B$42,2,FALSE))</f>
        <v>TIK</v>
      </c>
      <c r="AF1946">
        <f t="shared" si="90"/>
        <v>65</v>
      </c>
      <c r="AG1946" t="str">
        <f>IF(AF1946="","",IF(AF1946&gt;90,"Sangat baik",IF(AF1946&gt;79,"Baik",IF(AF1946&gt;=pub_gid_0_single_true_output_csv[[#This Row],[KKM]],"Cukup","Kurang"))))</f>
        <v>Kurang</v>
      </c>
      <c r="AH1946">
        <f t="shared" si="91"/>
        <v>12</v>
      </c>
      <c r="AI1946" s="30" t="str">
        <f>IF(OR(J1946&lt;&gt;"Karakter",pub_gid_0_single_true_output_csv[[#This Row],[Nilai2]]=""),"",IF(AF1946&gt;89,"Sangat baik",IF(AF1946&gt;79,"Baik",IF(AF1946&gt;69,"Cukup",IF(AF1946&gt;59,"Kurang","Sangat kurang")))))</f>
        <v/>
      </c>
      <c r="AJ1946" t="str">
        <f t="shared" si="92"/>
        <v>Wk.4</v>
      </c>
      <c r="AK1946" t="str">
        <f>IF(pub_gid_0_single_true_output_csv[[#This Row],[Nilai2]]="","",VLOOKUP(pub_gid_0_single_true_output_csv[[#This Row],[NAMA]],Table7[],3,FALSE))</f>
        <v>Average</v>
      </c>
    </row>
    <row r="1947" spans="1:37" x14ac:dyDescent="0.2">
      <c r="A1947">
        <v>1946</v>
      </c>
      <c r="B1947" t="s">
        <v>316</v>
      </c>
      <c r="C1947" t="s">
        <v>65</v>
      </c>
      <c r="D1947" t="s">
        <v>61</v>
      </c>
      <c r="E1947" t="s">
        <v>140</v>
      </c>
      <c r="F1947" s="25">
        <v>46051</v>
      </c>
      <c r="G1947" t="s">
        <v>320</v>
      </c>
      <c r="H1947" t="s">
        <v>405</v>
      </c>
      <c r="I1947" t="s">
        <v>371</v>
      </c>
      <c r="J1947" t="s">
        <v>41</v>
      </c>
      <c r="K1947" t="s">
        <v>157</v>
      </c>
      <c r="L1947" t="s">
        <v>319</v>
      </c>
      <c r="M1947" t="s">
        <v>141</v>
      </c>
      <c r="N1947" t="s">
        <v>142</v>
      </c>
      <c r="O1947" t="s">
        <v>327</v>
      </c>
      <c r="P1947" t="s">
        <v>281</v>
      </c>
      <c r="Q1947" t="s">
        <v>328</v>
      </c>
      <c r="R1947" t="s">
        <v>329</v>
      </c>
      <c r="S1947" t="s">
        <v>330</v>
      </c>
      <c r="T1947">
        <v>1</v>
      </c>
      <c r="U1947" t="s">
        <v>364</v>
      </c>
      <c r="V1947" t="s">
        <v>285</v>
      </c>
      <c r="W1947" t="s">
        <v>334</v>
      </c>
      <c r="X1947" t="s">
        <v>331</v>
      </c>
      <c r="Y1947" t="s">
        <v>307</v>
      </c>
      <c r="Z1947">
        <v>70</v>
      </c>
      <c r="AA1947">
        <v>40</v>
      </c>
      <c r="AB1947" t="s">
        <v>151</v>
      </c>
      <c r="AC1947" t="s">
        <v>161</v>
      </c>
      <c r="AD1947" t="s">
        <v>278</v>
      </c>
      <c r="AE1947" t="str">
        <f>IF(AF1947="","",VLOOKUP(AC1947,mapel!$A$2:$B$42,2,FALSE))</f>
        <v>TIK</v>
      </c>
      <c r="AF1947">
        <f t="shared" si="90"/>
        <v>40</v>
      </c>
      <c r="AG1947" t="str">
        <f>IF(AF1947="","",IF(AF1947&gt;90,"Sangat baik",IF(AF1947&gt;79,"Baik",IF(AF1947&gt;=pub_gid_0_single_true_output_csv[[#This Row],[KKM]],"Cukup","Kurang"))))</f>
        <v>Kurang</v>
      </c>
      <c r="AH1947">
        <f t="shared" si="91"/>
        <v>12</v>
      </c>
      <c r="AI1947" s="30" t="str">
        <f>IF(OR(J1947&lt;&gt;"Karakter",pub_gid_0_single_true_output_csv[[#This Row],[Nilai2]]=""),"",IF(AF1947&gt;89,"Sangat baik",IF(AF1947&gt;79,"Baik",IF(AF1947&gt;69,"Cukup",IF(AF1947&gt;59,"Kurang","Sangat kurang")))))</f>
        <v/>
      </c>
      <c r="AJ1947" t="str">
        <f t="shared" si="92"/>
        <v>Wk.5</v>
      </c>
      <c r="AK1947" t="str">
        <f>IF(pub_gid_0_single_true_output_csv[[#This Row],[Nilai2]]="","",VLOOKUP(pub_gid_0_single_true_output_csv[[#This Row],[NAMA]],Table7[],3,FALSE))</f>
        <v>Average</v>
      </c>
    </row>
    <row r="1948" spans="1:37" x14ac:dyDescent="0.2">
      <c r="A1948">
        <v>1947</v>
      </c>
      <c r="B1948" t="s">
        <v>316</v>
      </c>
      <c r="C1948" t="s">
        <v>65</v>
      </c>
      <c r="D1948" t="s">
        <v>61</v>
      </c>
      <c r="E1948" t="s">
        <v>140</v>
      </c>
      <c r="F1948" s="25">
        <v>46051</v>
      </c>
      <c r="G1948" t="s">
        <v>320</v>
      </c>
      <c r="H1948" t="s">
        <v>405</v>
      </c>
      <c r="I1948" t="s">
        <v>371</v>
      </c>
      <c r="J1948" t="s">
        <v>36</v>
      </c>
      <c r="K1948" t="s">
        <v>153</v>
      </c>
      <c r="L1948" t="s">
        <v>319</v>
      </c>
      <c r="M1948" t="s">
        <v>141</v>
      </c>
      <c r="N1948" t="s">
        <v>142</v>
      </c>
      <c r="O1948" t="s">
        <v>327</v>
      </c>
      <c r="P1948" t="s">
        <v>281</v>
      </c>
      <c r="Q1948" t="s">
        <v>328</v>
      </c>
      <c r="R1948" t="s">
        <v>329</v>
      </c>
      <c r="S1948" t="s">
        <v>330</v>
      </c>
      <c r="T1948">
        <v>1</v>
      </c>
      <c r="U1948" t="s">
        <v>364</v>
      </c>
      <c r="V1948" t="s">
        <v>285</v>
      </c>
      <c r="W1948" t="s">
        <v>334</v>
      </c>
      <c r="X1948" t="s">
        <v>331</v>
      </c>
      <c r="Y1948" t="s">
        <v>307</v>
      </c>
      <c r="Z1948">
        <v>70</v>
      </c>
      <c r="AA1948">
        <v>40</v>
      </c>
      <c r="AB1948" t="s">
        <v>151</v>
      </c>
      <c r="AC1948" t="s">
        <v>161</v>
      </c>
      <c r="AD1948" t="s">
        <v>278</v>
      </c>
      <c r="AE1948" t="str">
        <f>IF(AF1948="","",VLOOKUP(AC1948,mapel!$A$2:$B$42,2,FALSE))</f>
        <v>TIK</v>
      </c>
      <c r="AF1948">
        <f t="shared" si="90"/>
        <v>40</v>
      </c>
      <c r="AG1948" t="str">
        <f>IF(AF1948="","",IF(AF1948&gt;90,"Sangat baik",IF(AF1948&gt;79,"Baik",IF(AF1948&gt;=pub_gid_0_single_true_output_csv[[#This Row],[KKM]],"Cukup","Kurang"))))</f>
        <v>Kurang</v>
      </c>
      <c r="AH1948">
        <f t="shared" si="91"/>
        <v>12</v>
      </c>
      <c r="AI1948" s="30" t="str">
        <f>IF(OR(J1948&lt;&gt;"Karakter",pub_gid_0_single_true_output_csv[[#This Row],[Nilai2]]=""),"",IF(AF1948&gt;89,"Sangat baik",IF(AF1948&gt;79,"Baik",IF(AF1948&gt;69,"Cukup",IF(AF1948&gt;59,"Kurang","Sangat kurang")))))</f>
        <v/>
      </c>
      <c r="AJ1948" t="str">
        <f t="shared" si="92"/>
        <v>Wk.5</v>
      </c>
      <c r="AK1948" t="str">
        <f>IF(pub_gid_0_single_true_output_csv[[#This Row],[Nilai2]]="","",VLOOKUP(pub_gid_0_single_true_output_csv[[#This Row],[NAMA]],Table7[],3,FALSE))</f>
        <v>Average</v>
      </c>
    </row>
    <row r="1949" spans="1:37" x14ac:dyDescent="0.2">
      <c r="A1949">
        <v>1948</v>
      </c>
      <c r="B1949" t="s">
        <v>316</v>
      </c>
      <c r="C1949" t="s">
        <v>65</v>
      </c>
      <c r="D1949" t="s">
        <v>61</v>
      </c>
      <c r="E1949" t="s">
        <v>140</v>
      </c>
      <c r="F1949" s="25">
        <v>46065</v>
      </c>
      <c r="G1949" t="s">
        <v>354</v>
      </c>
      <c r="H1949" t="s">
        <v>412</v>
      </c>
      <c r="I1949" t="s">
        <v>371</v>
      </c>
      <c r="J1949" t="s">
        <v>41</v>
      </c>
      <c r="K1949" t="s">
        <v>157</v>
      </c>
      <c r="L1949" t="s">
        <v>319</v>
      </c>
      <c r="M1949" t="s">
        <v>141</v>
      </c>
      <c r="N1949" t="s">
        <v>142</v>
      </c>
      <c r="O1949" t="s">
        <v>327</v>
      </c>
      <c r="P1949" t="s">
        <v>281</v>
      </c>
      <c r="Q1949" t="s">
        <v>328</v>
      </c>
      <c r="R1949" t="s">
        <v>329</v>
      </c>
      <c r="S1949" t="s">
        <v>330</v>
      </c>
      <c r="T1949">
        <v>1</v>
      </c>
      <c r="U1949" t="s">
        <v>364</v>
      </c>
      <c r="V1949" t="s">
        <v>285</v>
      </c>
      <c r="W1949" t="s">
        <v>334</v>
      </c>
      <c r="X1949" t="s">
        <v>331</v>
      </c>
      <c r="Y1949" t="s">
        <v>307</v>
      </c>
      <c r="Z1949">
        <v>70</v>
      </c>
      <c r="AA1949">
        <v>40</v>
      </c>
      <c r="AB1949" t="s">
        <v>151</v>
      </c>
      <c r="AC1949" t="s">
        <v>161</v>
      </c>
      <c r="AD1949" t="s">
        <v>278</v>
      </c>
      <c r="AE1949" t="str">
        <f>IF(AF1949="","",VLOOKUP(AC1949,mapel!$A$2:$B$42,2,FALSE))</f>
        <v>TIK</v>
      </c>
      <c r="AF1949">
        <f t="shared" si="90"/>
        <v>40</v>
      </c>
      <c r="AG1949" t="str">
        <f>IF(AF1949="","",IF(AF1949&gt;90,"Sangat baik",IF(AF1949&gt;79,"Baik",IF(AF1949&gt;=pub_gid_0_single_true_output_csv[[#This Row],[KKM]],"Cukup","Kurang"))))</f>
        <v>Kurang</v>
      </c>
      <c r="AH1949">
        <f t="shared" si="91"/>
        <v>12</v>
      </c>
      <c r="AI1949" s="30" t="str">
        <f>IF(OR(J1949&lt;&gt;"Karakter",pub_gid_0_single_true_output_csv[[#This Row],[Nilai2]]=""),"",IF(AF1949&gt;89,"Sangat baik",IF(AF1949&gt;79,"Baik",IF(AF1949&gt;69,"Cukup",IF(AF1949&gt;59,"Kurang","Sangat kurang")))))</f>
        <v/>
      </c>
      <c r="AJ1949" t="str">
        <f t="shared" si="92"/>
        <v>Wk.7</v>
      </c>
      <c r="AK1949" t="str">
        <f>IF(pub_gid_0_single_true_output_csv[[#This Row],[Nilai2]]="","",VLOOKUP(pub_gid_0_single_true_output_csv[[#This Row],[NAMA]],Table7[],3,FALSE))</f>
        <v>Average</v>
      </c>
    </row>
    <row r="1950" spans="1:37" x14ac:dyDescent="0.2">
      <c r="A1950">
        <v>1949</v>
      </c>
      <c r="B1950" t="s">
        <v>316</v>
      </c>
      <c r="C1950" t="s">
        <v>65</v>
      </c>
      <c r="D1950" t="s">
        <v>61</v>
      </c>
      <c r="E1950" t="s">
        <v>140</v>
      </c>
      <c r="F1950" s="25">
        <v>46065</v>
      </c>
      <c r="G1950" t="s">
        <v>354</v>
      </c>
      <c r="H1950" t="s">
        <v>412</v>
      </c>
      <c r="I1950" t="s">
        <v>371</v>
      </c>
      <c r="J1950" t="s">
        <v>36</v>
      </c>
      <c r="K1950" t="s">
        <v>153</v>
      </c>
      <c r="L1950" t="s">
        <v>319</v>
      </c>
      <c r="M1950" t="s">
        <v>141</v>
      </c>
      <c r="N1950" t="s">
        <v>142</v>
      </c>
      <c r="O1950" t="s">
        <v>327</v>
      </c>
      <c r="P1950" t="s">
        <v>281</v>
      </c>
      <c r="Q1950" t="s">
        <v>328</v>
      </c>
      <c r="R1950" t="s">
        <v>329</v>
      </c>
      <c r="S1950" t="s">
        <v>330</v>
      </c>
      <c r="T1950">
        <v>1</v>
      </c>
      <c r="U1950" t="s">
        <v>364</v>
      </c>
      <c r="V1950" t="s">
        <v>285</v>
      </c>
      <c r="W1950" t="s">
        <v>334</v>
      </c>
      <c r="X1950" t="s">
        <v>331</v>
      </c>
      <c r="Y1950" t="s">
        <v>307</v>
      </c>
      <c r="Z1950">
        <v>70</v>
      </c>
      <c r="AA1950">
        <v>40</v>
      </c>
      <c r="AB1950" t="s">
        <v>151</v>
      </c>
      <c r="AC1950" t="s">
        <v>161</v>
      </c>
      <c r="AD1950" t="s">
        <v>278</v>
      </c>
      <c r="AE1950" t="str">
        <f>IF(AF1950="","",VLOOKUP(AC1950,mapel!$A$2:$B$42,2,FALSE))</f>
        <v>TIK</v>
      </c>
      <c r="AF1950">
        <f t="shared" si="90"/>
        <v>40</v>
      </c>
      <c r="AG1950" t="str">
        <f>IF(AF1950="","",IF(AF1950&gt;90,"Sangat baik",IF(AF1950&gt;79,"Baik",IF(AF1950&gt;=pub_gid_0_single_true_output_csv[[#This Row],[KKM]],"Cukup","Kurang"))))</f>
        <v>Kurang</v>
      </c>
      <c r="AH1950">
        <f t="shared" si="91"/>
        <v>12</v>
      </c>
      <c r="AI1950" s="30" t="str">
        <f>IF(OR(J1950&lt;&gt;"Karakter",pub_gid_0_single_true_output_csv[[#This Row],[Nilai2]]=""),"",IF(AF1950&gt;89,"Sangat baik",IF(AF1950&gt;79,"Baik",IF(AF1950&gt;69,"Cukup",IF(AF1950&gt;59,"Kurang","Sangat kurang")))))</f>
        <v/>
      </c>
      <c r="AJ1950" t="str">
        <f t="shared" si="92"/>
        <v>Wk.7</v>
      </c>
      <c r="AK1950" t="str">
        <f>IF(pub_gid_0_single_true_output_csv[[#This Row],[Nilai2]]="","",VLOOKUP(pub_gid_0_single_true_output_csv[[#This Row],[NAMA]],Table7[],3,FALSE))</f>
        <v>Average</v>
      </c>
    </row>
    <row r="1951" spans="1:37" x14ac:dyDescent="0.2">
      <c r="A1951">
        <v>1950</v>
      </c>
      <c r="B1951" t="s">
        <v>316</v>
      </c>
      <c r="C1951" t="s">
        <v>65</v>
      </c>
      <c r="D1951" t="s">
        <v>61</v>
      </c>
      <c r="E1951" t="s">
        <v>140</v>
      </c>
      <c r="F1951" s="25">
        <v>46065</v>
      </c>
      <c r="G1951" t="s">
        <v>354</v>
      </c>
      <c r="H1951" t="s">
        <v>412</v>
      </c>
      <c r="I1951" t="s">
        <v>371</v>
      </c>
      <c r="J1951" t="s">
        <v>90</v>
      </c>
      <c r="K1951" t="s">
        <v>92</v>
      </c>
      <c r="L1951" t="s">
        <v>91</v>
      </c>
      <c r="M1951" t="s">
        <v>141</v>
      </c>
      <c r="N1951" t="s">
        <v>142</v>
      </c>
      <c r="O1951" t="s">
        <v>327</v>
      </c>
      <c r="P1951" t="s">
        <v>281</v>
      </c>
      <c r="Q1951" t="s">
        <v>328</v>
      </c>
      <c r="R1951" t="s">
        <v>329</v>
      </c>
      <c r="S1951" t="s">
        <v>330</v>
      </c>
      <c r="T1951">
        <v>1</v>
      </c>
      <c r="U1951" t="s">
        <v>364</v>
      </c>
      <c r="V1951" t="s">
        <v>285</v>
      </c>
      <c r="W1951" t="s">
        <v>334</v>
      </c>
      <c r="X1951" t="s">
        <v>331</v>
      </c>
      <c r="Y1951" t="s">
        <v>307</v>
      </c>
      <c r="Z1951">
        <v>70</v>
      </c>
      <c r="AA1951">
        <v>70</v>
      </c>
      <c r="AB1951" t="s">
        <v>143</v>
      </c>
      <c r="AC1951" t="s">
        <v>161</v>
      </c>
      <c r="AD1951" t="s">
        <v>278</v>
      </c>
      <c r="AE1951" t="str">
        <f>IF(AF1951="","",VLOOKUP(AC1951,mapel!$A$2:$B$42,2,FALSE))</f>
        <v>TIK</v>
      </c>
      <c r="AF1951">
        <f t="shared" si="90"/>
        <v>70</v>
      </c>
      <c r="AG1951" t="str">
        <f>IF(AF1951="","",IF(AF1951&gt;90,"Sangat baik",IF(AF1951&gt;79,"Baik",IF(AF1951&gt;=pub_gid_0_single_true_output_csv[[#This Row],[KKM]],"Cukup","Kurang"))))</f>
        <v>Cukup</v>
      </c>
      <c r="AH1951">
        <f t="shared" si="91"/>
        <v>12</v>
      </c>
      <c r="AI1951" s="30" t="str">
        <f>IF(OR(J1951&lt;&gt;"Karakter",pub_gid_0_single_true_output_csv[[#This Row],[Nilai2]]=""),"",IF(AF1951&gt;89,"Sangat baik",IF(AF1951&gt;79,"Baik",IF(AF1951&gt;69,"Cukup",IF(AF1951&gt;59,"Kurang","Sangat kurang")))))</f>
        <v>Cukup</v>
      </c>
      <c r="AJ1951" t="str">
        <f t="shared" si="92"/>
        <v>Wk.7</v>
      </c>
      <c r="AK1951" t="str">
        <f>IF(pub_gid_0_single_true_output_csv[[#This Row],[Nilai2]]="","",VLOOKUP(pub_gid_0_single_true_output_csv[[#This Row],[NAMA]],Table7[],3,FALSE))</f>
        <v>Average</v>
      </c>
    </row>
    <row r="1952" spans="1:37" x14ac:dyDescent="0.2">
      <c r="A1952">
        <v>1951</v>
      </c>
      <c r="B1952" t="s">
        <v>317</v>
      </c>
      <c r="C1952" t="s">
        <v>65</v>
      </c>
      <c r="D1952" t="s">
        <v>62</v>
      </c>
      <c r="E1952" t="s">
        <v>140</v>
      </c>
      <c r="F1952" s="25">
        <v>46037</v>
      </c>
      <c r="G1952" t="s">
        <v>356</v>
      </c>
      <c r="H1952" t="s">
        <v>405</v>
      </c>
      <c r="I1952" t="s">
        <v>371</v>
      </c>
      <c r="J1952" t="s">
        <v>41</v>
      </c>
      <c r="K1952" t="s">
        <v>157</v>
      </c>
      <c r="L1952" t="s">
        <v>319</v>
      </c>
      <c r="M1952" t="s">
        <v>141</v>
      </c>
      <c r="N1952" t="s">
        <v>142</v>
      </c>
      <c r="O1952" t="s">
        <v>327</v>
      </c>
      <c r="P1952" t="s">
        <v>281</v>
      </c>
      <c r="Q1952" t="s">
        <v>328</v>
      </c>
      <c r="R1952" t="s">
        <v>329</v>
      </c>
      <c r="S1952" t="s">
        <v>330</v>
      </c>
      <c r="T1952">
        <v>1</v>
      </c>
      <c r="U1952" t="s">
        <v>364</v>
      </c>
      <c r="V1952" t="s">
        <v>285</v>
      </c>
      <c r="W1952" t="s">
        <v>334</v>
      </c>
      <c r="X1952" t="s">
        <v>331</v>
      </c>
      <c r="Y1952" t="s">
        <v>307</v>
      </c>
      <c r="Z1952">
        <v>70</v>
      </c>
      <c r="AA1952">
        <v>40</v>
      </c>
      <c r="AB1952" t="s">
        <v>151</v>
      </c>
      <c r="AC1952" t="s">
        <v>161</v>
      </c>
      <c r="AD1952" t="s">
        <v>278</v>
      </c>
      <c r="AE1952" t="str">
        <f>IF(AF1952="","",VLOOKUP(AC1952,mapel!$A$2:$B$42,2,FALSE))</f>
        <v>TIK</v>
      </c>
      <c r="AF1952">
        <f t="shared" si="90"/>
        <v>40</v>
      </c>
      <c r="AG1952" t="str">
        <f>IF(AF1952="","",IF(AF1952&gt;90,"Sangat baik",IF(AF1952&gt;79,"Baik",IF(AF1952&gt;=pub_gid_0_single_true_output_csv[[#This Row],[KKM]],"Cukup","Kurang"))))</f>
        <v>Kurang</v>
      </c>
      <c r="AH1952">
        <f t="shared" si="91"/>
        <v>12</v>
      </c>
      <c r="AI1952" s="30" t="str">
        <f>IF(OR(J1952&lt;&gt;"Karakter",pub_gid_0_single_true_output_csv[[#This Row],[Nilai2]]=""),"",IF(AF1952&gt;89,"Sangat baik",IF(AF1952&gt;79,"Baik",IF(AF1952&gt;69,"Cukup",IF(AF1952&gt;59,"Kurang","Sangat kurang")))))</f>
        <v/>
      </c>
      <c r="AJ1952" t="str">
        <f t="shared" si="92"/>
        <v>Wk.3</v>
      </c>
      <c r="AK1952" t="str">
        <f>IF(pub_gid_0_single_true_output_csv[[#This Row],[Nilai2]]="","",VLOOKUP(pub_gid_0_single_true_output_csv[[#This Row],[NAMA]],Table7[],3,FALSE))</f>
        <v>Borderline</v>
      </c>
    </row>
    <row r="1953" spans="1:37" x14ac:dyDescent="0.2">
      <c r="A1953">
        <v>1952</v>
      </c>
      <c r="B1953" t="s">
        <v>317</v>
      </c>
      <c r="C1953" t="s">
        <v>65</v>
      </c>
      <c r="D1953" t="s">
        <v>62</v>
      </c>
      <c r="E1953" t="s">
        <v>140</v>
      </c>
      <c r="F1953" s="25">
        <v>46037</v>
      </c>
      <c r="G1953" t="s">
        <v>356</v>
      </c>
      <c r="H1953" t="s">
        <v>405</v>
      </c>
      <c r="I1953" t="s">
        <v>371</v>
      </c>
      <c r="J1953" t="s">
        <v>36</v>
      </c>
      <c r="K1953" t="s">
        <v>153</v>
      </c>
      <c r="L1953" t="s">
        <v>319</v>
      </c>
      <c r="M1953" t="s">
        <v>141</v>
      </c>
      <c r="N1953" t="s">
        <v>142</v>
      </c>
      <c r="O1953" t="s">
        <v>327</v>
      </c>
      <c r="P1953" t="s">
        <v>281</v>
      </c>
      <c r="Q1953" t="s">
        <v>328</v>
      </c>
      <c r="R1953" t="s">
        <v>329</v>
      </c>
      <c r="S1953" t="s">
        <v>330</v>
      </c>
      <c r="T1953">
        <v>1</v>
      </c>
      <c r="U1953" t="s">
        <v>364</v>
      </c>
      <c r="V1953" t="s">
        <v>285</v>
      </c>
      <c r="W1953" t="s">
        <v>334</v>
      </c>
      <c r="X1953" t="s">
        <v>331</v>
      </c>
      <c r="Y1953" t="s">
        <v>307</v>
      </c>
      <c r="Z1953">
        <v>70</v>
      </c>
      <c r="AA1953">
        <v>40</v>
      </c>
      <c r="AB1953" t="s">
        <v>151</v>
      </c>
      <c r="AC1953" t="s">
        <v>161</v>
      </c>
      <c r="AD1953" t="s">
        <v>278</v>
      </c>
      <c r="AE1953" t="str">
        <f>IF(AF1953="","",VLOOKUP(AC1953,mapel!$A$2:$B$42,2,FALSE))</f>
        <v>TIK</v>
      </c>
      <c r="AF1953">
        <f t="shared" si="90"/>
        <v>40</v>
      </c>
      <c r="AG1953" t="str">
        <f>IF(AF1953="","",IF(AF1953&gt;90,"Sangat baik",IF(AF1953&gt;79,"Baik",IF(AF1953&gt;=pub_gid_0_single_true_output_csv[[#This Row],[KKM]],"Cukup","Kurang"))))</f>
        <v>Kurang</v>
      </c>
      <c r="AH1953">
        <f t="shared" si="91"/>
        <v>12</v>
      </c>
      <c r="AI1953" s="30" t="str">
        <f>IF(OR(J1953&lt;&gt;"Karakter",pub_gid_0_single_true_output_csv[[#This Row],[Nilai2]]=""),"",IF(AF1953&gt;89,"Sangat baik",IF(AF1953&gt;79,"Baik",IF(AF1953&gt;69,"Cukup",IF(AF1953&gt;59,"Kurang","Sangat kurang")))))</f>
        <v/>
      </c>
      <c r="AJ1953" t="str">
        <f t="shared" si="92"/>
        <v>Wk.3</v>
      </c>
      <c r="AK1953" t="str">
        <f>IF(pub_gid_0_single_true_output_csv[[#This Row],[Nilai2]]="","",VLOOKUP(pub_gid_0_single_true_output_csv[[#This Row],[NAMA]],Table7[],3,FALSE))</f>
        <v>Borderline</v>
      </c>
    </row>
    <row r="1954" spans="1:37" x14ac:dyDescent="0.2">
      <c r="A1954">
        <v>1953</v>
      </c>
      <c r="B1954" t="s">
        <v>317</v>
      </c>
      <c r="C1954" t="s">
        <v>65</v>
      </c>
      <c r="D1954" t="s">
        <v>62</v>
      </c>
      <c r="E1954" t="s">
        <v>140</v>
      </c>
      <c r="F1954" s="25">
        <v>46044</v>
      </c>
      <c r="G1954" t="s">
        <v>305</v>
      </c>
      <c r="H1954" t="s">
        <v>405</v>
      </c>
      <c r="I1954" t="s">
        <v>371</v>
      </c>
      <c r="J1954" t="s">
        <v>31</v>
      </c>
      <c r="K1954" t="s">
        <v>158</v>
      </c>
      <c r="L1954" t="s">
        <v>319</v>
      </c>
      <c r="M1954" t="s">
        <v>141</v>
      </c>
      <c r="N1954" t="s">
        <v>142</v>
      </c>
      <c r="O1954" t="s">
        <v>327</v>
      </c>
      <c r="P1954" t="s">
        <v>281</v>
      </c>
      <c r="Q1954" t="s">
        <v>328</v>
      </c>
      <c r="R1954" t="s">
        <v>329</v>
      </c>
      <c r="S1954" t="s">
        <v>330</v>
      </c>
      <c r="T1954">
        <v>1</v>
      </c>
      <c r="U1954" t="s">
        <v>364</v>
      </c>
      <c r="V1954" t="s">
        <v>285</v>
      </c>
      <c r="W1954" t="s">
        <v>334</v>
      </c>
      <c r="X1954" t="s">
        <v>331</v>
      </c>
      <c r="Y1954" t="s">
        <v>307</v>
      </c>
      <c r="Z1954">
        <v>70</v>
      </c>
      <c r="AA1954">
        <v>40</v>
      </c>
      <c r="AB1954" t="s">
        <v>151</v>
      </c>
      <c r="AC1954" t="s">
        <v>161</v>
      </c>
      <c r="AD1954" t="s">
        <v>278</v>
      </c>
      <c r="AE1954" t="str">
        <f>IF(AF1954="","",VLOOKUP(AC1954,mapel!$A$2:$B$42,2,FALSE))</f>
        <v>TIK</v>
      </c>
      <c r="AF1954">
        <f t="shared" si="90"/>
        <v>40</v>
      </c>
      <c r="AG1954" t="str">
        <f>IF(AF1954="","",IF(AF1954&gt;90,"Sangat baik",IF(AF1954&gt;79,"Baik",IF(AF1954&gt;=pub_gid_0_single_true_output_csv[[#This Row],[KKM]],"Cukup","Kurang"))))</f>
        <v>Kurang</v>
      </c>
      <c r="AH1954">
        <f t="shared" si="91"/>
        <v>12</v>
      </c>
      <c r="AI1954" s="30" t="str">
        <f>IF(OR(J1954&lt;&gt;"Karakter",pub_gid_0_single_true_output_csv[[#This Row],[Nilai2]]=""),"",IF(AF1954&gt;89,"Sangat baik",IF(AF1954&gt;79,"Baik",IF(AF1954&gt;69,"Cukup",IF(AF1954&gt;59,"Kurang","Sangat kurang")))))</f>
        <v/>
      </c>
      <c r="AJ1954" t="str">
        <f t="shared" si="92"/>
        <v>Wk.4</v>
      </c>
      <c r="AK1954" t="str">
        <f>IF(pub_gid_0_single_true_output_csv[[#This Row],[Nilai2]]="","",VLOOKUP(pub_gid_0_single_true_output_csv[[#This Row],[NAMA]],Table7[],3,FALSE))</f>
        <v>Borderline</v>
      </c>
    </row>
    <row r="1955" spans="1:37" x14ac:dyDescent="0.2">
      <c r="A1955">
        <v>1954</v>
      </c>
      <c r="B1955" t="s">
        <v>317</v>
      </c>
      <c r="C1955" t="s">
        <v>65</v>
      </c>
      <c r="D1955" t="s">
        <v>62</v>
      </c>
      <c r="E1955" t="s">
        <v>140</v>
      </c>
      <c r="F1955" s="25">
        <v>46044</v>
      </c>
      <c r="G1955" t="s">
        <v>305</v>
      </c>
      <c r="H1955" t="s">
        <v>405</v>
      </c>
      <c r="I1955" t="s">
        <v>371</v>
      </c>
      <c r="J1955" t="s">
        <v>90</v>
      </c>
      <c r="K1955" t="s">
        <v>92</v>
      </c>
      <c r="L1955" t="s">
        <v>91</v>
      </c>
      <c r="M1955" t="s">
        <v>141</v>
      </c>
      <c r="N1955" t="s">
        <v>142</v>
      </c>
      <c r="O1955" t="s">
        <v>327</v>
      </c>
      <c r="P1955" t="s">
        <v>281</v>
      </c>
      <c r="Q1955" t="s">
        <v>328</v>
      </c>
      <c r="R1955" t="s">
        <v>329</v>
      </c>
      <c r="S1955" t="s">
        <v>330</v>
      </c>
      <c r="T1955">
        <v>1</v>
      </c>
      <c r="U1955" t="s">
        <v>364</v>
      </c>
      <c r="V1955" t="s">
        <v>285</v>
      </c>
      <c r="W1955" t="s">
        <v>334</v>
      </c>
      <c r="X1955" t="s">
        <v>331</v>
      </c>
      <c r="Y1955" t="s">
        <v>307</v>
      </c>
      <c r="Z1955">
        <v>70</v>
      </c>
      <c r="AA1955">
        <v>80</v>
      </c>
      <c r="AB1955" t="s">
        <v>143</v>
      </c>
      <c r="AC1955" t="s">
        <v>161</v>
      </c>
      <c r="AD1955" t="s">
        <v>278</v>
      </c>
      <c r="AE1955" t="str">
        <f>IF(AF1955="","",VLOOKUP(AC1955,mapel!$A$2:$B$42,2,FALSE))</f>
        <v>TIK</v>
      </c>
      <c r="AF1955">
        <f t="shared" si="90"/>
        <v>80</v>
      </c>
      <c r="AG1955" t="str">
        <f>IF(AF1955="","",IF(AF1955&gt;90,"Sangat baik",IF(AF1955&gt;79,"Baik",IF(AF1955&gt;=pub_gid_0_single_true_output_csv[[#This Row],[KKM]],"Cukup","Kurang"))))</f>
        <v>Baik</v>
      </c>
      <c r="AH1955">
        <f t="shared" si="91"/>
        <v>12</v>
      </c>
      <c r="AI1955" s="30" t="str">
        <f>IF(OR(J1955&lt;&gt;"Karakter",pub_gid_0_single_true_output_csv[[#This Row],[Nilai2]]=""),"",IF(AF1955&gt;89,"Sangat baik",IF(AF1955&gt;79,"Baik",IF(AF1955&gt;69,"Cukup",IF(AF1955&gt;59,"Kurang","Sangat kurang")))))</f>
        <v>Baik</v>
      </c>
      <c r="AJ1955" t="str">
        <f t="shared" si="92"/>
        <v>Wk.4</v>
      </c>
      <c r="AK1955" t="str">
        <f>IF(pub_gid_0_single_true_output_csv[[#This Row],[Nilai2]]="","",VLOOKUP(pub_gid_0_single_true_output_csv[[#This Row],[NAMA]],Table7[],3,FALSE))</f>
        <v>Borderline</v>
      </c>
    </row>
    <row r="1956" spans="1:37" x14ac:dyDescent="0.2">
      <c r="A1956">
        <v>1955</v>
      </c>
      <c r="B1956" t="s">
        <v>317</v>
      </c>
      <c r="C1956" t="s">
        <v>65</v>
      </c>
      <c r="D1956" t="s">
        <v>62</v>
      </c>
      <c r="E1956" t="s">
        <v>140</v>
      </c>
      <c r="F1956" s="25">
        <v>46044</v>
      </c>
      <c r="G1956" t="s">
        <v>305</v>
      </c>
      <c r="H1956" t="s">
        <v>405</v>
      </c>
      <c r="I1956" t="s">
        <v>371</v>
      </c>
      <c r="J1956" t="s">
        <v>279</v>
      </c>
      <c r="K1956" t="s">
        <v>280</v>
      </c>
      <c r="L1956" t="s">
        <v>319</v>
      </c>
      <c r="M1956" t="s">
        <v>141</v>
      </c>
      <c r="N1956" t="s">
        <v>142</v>
      </c>
      <c r="O1956" t="s">
        <v>327</v>
      </c>
      <c r="P1956" t="s">
        <v>281</v>
      </c>
      <c r="Q1956" t="s">
        <v>328</v>
      </c>
      <c r="R1956" t="s">
        <v>329</v>
      </c>
      <c r="S1956" t="s">
        <v>330</v>
      </c>
      <c r="T1956">
        <v>1</v>
      </c>
      <c r="U1956" t="s">
        <v>364</v>
      </c>
      <c r="V1956" t="s">
        <v>285</v>
      </c>
      <c r="W1956" t="s">
        <v>334</v>
      </c>
      <c r="X1956" t="s">
        <v>331</v>
      </c>
      <c r="Y1956" t="s">
        <v>307</v>
      </c>
      <c r="Z1956">
        <v>70</v>
      </c>
      <c r="AA1956">
        <v>65</v>
      </c>
      <c r="AB1956" t="s">
        <v>151</v>
      </c>
      <c r="AC1956" t="s">
        <v>161</v>
      </c>
      <c r="AD1956" t="s">
        <v>278</v>
      </c>
      <c r="AE1956" t="str">
        <f>IF(AF1956="","",VLOOKUP(AC1956,mapel!$A$2:$B$42,2,FALSE))</f>
        <v>TIK</v>
      </c>
      <c r="AF1956">
        <f t="shared" si="90"/>
        <v>65</v>
      </c>
      <c r="AG1956" t="str">
        <f>IF(AF1956="","",IF(AF1956&gt;90,"Sangat baik",IF(AF1956&gt;79,"Baik",IF(AF1956&gt;=pub_gid_0_single_true_output_csv[[#This Row],[KKM]],"Cukup","Kurang"))))</f>
        <v>Kurang</v>
      </c>
      <c r="AH1956">
        <f t="shared" si="91"/>
        <v>12</v>
      </c>
      <c r="AI1956" s="30" t="str">
        <f>IF(OR(J1956&lt;&gt;"Karakter",pub_gid_0_single_true_output_csv[[#This Row],[Nilai2]]=""),"",IF(AF1956&gt;89,"Sangat baik",IF(AF1956&gt;79,"Baik",IF(AF1956&gt;69,"Cukup",IF(AF1956&gt;59,"Kurang","Sangat kurang")))))</f>
        <v/>
      </c>
      <c r="AJ1956" t="str">
        <f t="shared" si="92"/>
        <v>Wk.4</v>
      </c>
      <c r="AK1956" t="str">
        <f>IF(pub_gid_0_single_true_output_csv[[#This Row],[Nilai2]]="","",VLOOKUP(pub_gid_0_single_true_output_csv[[#This Row],[NAMA]],Table7[],3,FALSE))</f>
        <v>Borderline</v>
      </c>
    </row>
    <row r="1957" spans="1:37" x14ac:dyDescent="0.2">
      <c r="A1957">
        <v>1956</v>
      </c>
      <c r="B1957" t="s">
        <v>317</v>
      </c>
      <c r="C1957" t="s">
        <v>65</v>
      </c>
      <c r="D1957" t="s">
        <v>62</v>
      </c>
      <c r="E1957" t="s">
        <v>140</v>
      </c>
      <c r="F1957" s="25">
        <v>46051</v>
      </c>
      <c r="G1957" t="s">
        <v>320</v>
      </c>
      <c r="H1957" t="s">
        <v>405</v>
      </c>
      <c r="I1957" t="s">
        <v>371</v>
      </c>
      <c r="J1957" t="s">
        <v>41</v>
      </c>
      <c r="K1957" t="s">
        <v>157</v>
      </c>
      <c r="L1957" t="s">
        <v>319</v>
      </c>
      <c r="M1957" t="s">
        <v>141</v>
      </c>
      <c r="N1957" t="s">
        <v>142</v>
      </c>
      <c r="O1957" t="s">
        <v>327</v>
      </c>
      <c r="P1957" t="s">
        <v>281</v>
      </c>
      <c r="Q1957" t="s">
        <v>328</v>
      </c>
      <c r="R1957" t="s">
        <v>329</v>
      </c>
      <c r="S1957" t="s">
        <v>330</v>
      </c>
      <c r="T1957">
        <v>1</v>
      </c>
      <c r="U1957" t="s">
        <v>364</v>
      </c>
      <c r="V1957" t="s">
        <v>285</v>
      </c>
      <c r="W1957" t="s">
        <v>334</v>
      </c>
      <c r="X1957" t="s">
        <v>331</v>
      </c>
      <c r="Y1957" t="s">
        <v>307</v>
      </c>
      <c r="Z1957">
        <v>70</v>
      </c>
      <c r="AA1957">
        <v>50</v>
      </c>
      <c r="AB1957" t="s">
        <v>151</v>
      </c>
      <c r="AC1957" t="s">
        <v>161</v>
      </c>
      <c r="AD1957" t="s">
        <v>278</v>
      </c>
      <c r="AE1957" t="str">
        <f>IF(AF1957="","",VLOOKUP(AC1957,mapel!$A$2:$B$42,2,FALSE))</f>
        <v>TIK</v>
      </c>
      <c r="AF1957">
        <f t="shared" si="90"/>
        <v>50</v>
      </c>
      <c r="AG1957" t="str">
        <f>IF(AF1957="","",IF(AF1957&gt;90,"Sangat baik",IF(AF1957&gt;79,"Baik",IF(AF1957&gt;=pub_gid_0_single_true_output_csv[[#This Row],[KKM]],"Cukup","Kurang"))))</f>
        <v>Kurang</v>
      </c>
      <c r="AH1957">
        <f t="shared" si="91"/>
        <v>12</v>
      </c>
      <c r="AI1957" s="30" t="str">
        <f>IF(OR(J1957&lt;&gt;"Karakter",pub_gid_0_single_true_output_csv[[#This Row],[Nilai2]]=""),"",IF(AF1957&gt;89,"Sangat baik",IF(AF1957&gt;79,"Baik",IF(AF1957&gt;69,"Cukup",IF(AF1957&gt;59,"Kurang","Sangat kurang")))))</f>
        <v/>
      </c>
      <c r="AJ1957" t="str">
        <f t="shared" si="92"/>
        <v>Wk.5</v>
      </c>
      <c r="AK1957" t="str">
        <f>IF(pub_gid_0_single_true_output_csv[[#This Row],[Nilai2]]="","",VLOOKUP(pub_gid_0_single_true_output_csv[[#This Row],[NAMA]],Table7[],3,FALSE))</f>
        <v>Borderline</v>
      </c>
    </row>
    <row r="1958" spans="1:37" x14ac:dyDescent="0.2">
      <c r="A1958">
        <v>1957</v>
      </c>
      <c r="B1958" t="s">
        <v>317</v>
      </c>
      <c r="C1958" t="s">
        <v>65</v>
      </c>
      <c r="D1958" t="s">
        <v>62</v>
      </c>
      <c r="E1958" t="s">
        <v>140</v>
      </c>
      <c r="F1958" s="25">
        <v>46051</v>
      </c>
      <c r="G1958" t="s">
        <v>320</v>
      </c>
      <c r="H1958" t="s">
        <v>405</v>
      </c>
      <c r="I1958" t="s">
        <v>371</v>
      </c>
      <c r="J1958" t="s">
        <v>36</v>
      </c>
      <c r="K1958" t="s">
        <v>153</v>
      </c>
      <c r="L1958" t="s">
        <v>319</v>
      </c>
      <c r="M1958" t="s">
        <v>141</v>
      </c>
      <c r="N1958" t="s">
        <v>142</v>
      </c>
      <c r="O1958" t="s">
        <v>327</v>
      </c>
      <c r="P1958" t="s">
        <v>281</v>
      </c>
      <c r="Q1958" t="s">
        <v>328</v>
      </c>
      <c r="R1958" t="s">
        <v>329</v>
      </c>
      <c r="S1958" t="s">
        <v>330</v>
      </c>
      <c r="T1958">
        <v>1</v>
      </c>
      <c r="U1958" t="s">
        <v>364</v>
      </c>
      <c r="V1958" t="s">
        <v>285</v>
      </c>
      <c r="W1958" t="s">
        <v>334</v>
      </c>
      <c r="X1958" t="s">
        <v>331</v>
      </c>
      <c r="Y1958" t="s">
        <v>307</v>
      </c>
      <c r="Z1958">
        <v>70</v>
      </c>
      <c r="AA1958">
        <v>50</v>
      </c>
      <c r="AB1958" t="s">
        <v>151</v>
      </c>
      <c r="AC1958" t="s">
        <v>161</v>
      </c>
      <c r="AD1958" t="s">
        <v>278</v>
      </c>
      <c r="AE1958" t="str">
        <f>IF(AF1958="","",VLOOKUP(AC1958,mapel!$A$2:$B$42,2,FALSE))</f>
        <v>TIK</v>
      </c>
      <c r="AF1958">
        <f t="shared" si="90"/>
        <v>50</v>
      </c>
      <c r="AG1958" t="str">
        <f>IF(AF1958="","",IF(AF1958&gt;90,"Sangat baik",IF(AF1958&gt;79,"Baik",IF(AF1958&gt;=pub_gid_0_single_true_output_csv[[#This Row],[KKM]],"Cukup","Kurang"))))</f>
        <v>Kurang</v>
      </c>
      <c r="AH1958">
        <f t="shared" si="91"/>
        <v>12</v>
      </c>
      <c r="AI1958" s="30" t="str">
        <f>IF(OR(J1958&lt;&gt;"Karakter",pub_gid_0_single_true_output_csv[[#This Row],[Nilai2]]=""),"",IF(AF1958&gt;89,"Sangat baik",IF(AF1958&gt;79,"Baik",IF(AF1958&gt;69,"Cukup",IF(AF1958&gt;59,"Kurang","Sangat kurang")))))</f>
        <v/>
      </c>
      <c r="AJ1958" t="str">
        <f t="shared" si="92"/>
        <v>Wk.5</v>
      </c>
      <c r="AK1958" t="str">
        <f>IF(pub_gid_0_single_true_output_csv[[#This Row],[Nilai2]]="","",VLOOKUP(pub_gid_0_single_true_output_csv[[#This Row],[NAMA]],Table7[],3,FALSE))</f>
        <v>Borderline</v>
      </c>
    </row>
    <row r="1959" spans="1:37" x14ac:dyDescent="0.2">
      <c r="A1959">
        <v>1958</v>
      </c>
      <c r="B1959" t="s">
        <v>317</v>
      </c>
      <c r="C1959" t="s">
        <v>65</v>
      </c>
      <c r="D1959" t="s">
        <v>62</v>
      </c>
      <c r="E1959" t="s">
        <v>140</v>
      </c>
      <c r="F1959" s="25">
        <v>46065</v>
      </c>
      <c r="G1959" t="s">
        <v>354</v>
      </c>
      <c r="H1959" t="s">
        <v>412</v>
      </c>
      <c r="I1959" t="s">
        <v>371</v>
      </c>
      <c r="J1959" t="s">
        <v>41</v>
      </c>
      <c r="K1959" t="s">
        <v>157</v>
      </c>
      <c r="L1959" t="s">
        <v>319</v>
      </c>
      <c r="M1959" t="s">
        <v>141</v>
      </c>
      <c r="N1959" t="s">
        <v>142</v>
      </c>
      <c r="O1959" t="s">
        <v>327</v>
      </c>
      <c r="P1959" t="s">
        <v>281</v>
      </c>
      <c r="Q1959" t="s">
        <v>328</v>
      </c>
      <c r="R1959" t="s">
        <v>329</v>
      </c>
      <c r="S1959" t="s">
        <v>330</v>
      </c>
      <c r="T1959">
        <v>1</v>
      </c>
      <c r="U1959" t="s">
        <v>364</v>
      </c>
      <c r="V1959" t="s">
        <v>285</v>
      </c>
      <c r="W1959" t="s">
        <v>334</v>
      </c>
      <c r="X1959" t="s">
        <v>331</v>
      </c>
      <c r="Y1959" t="s">
        <v>307</v>
      </c>
      <c r="Z1959">
        <v>70</v>
      </c>
      <c r="AA1959">
        <v>50</v>
      </c>
      <c r="AB1959" t="s">
        <v>151</v>
      </c>
      <c r="AC1959" t="s">
        <v>161</v>
      </c>
      <c r="AD1959" t="s">
        <v>278</v>
      </c>
      <c r="AE1959" t="str">
        <f>IF(AF1959="","",VLOOKUP(AC1959,mapel!$A$2:$B$42,2,FALSE))</f>
        <v>TIK</v>
      </c>
      <c r="AF1959">
        <f t="shared" si="90"/>
        <v>50</v>
      </c>
      <c r="AG1959" t="str">
        <f>IF(AF1959="","",IF(AF1959&gt;90,"Sangat baik",IF(AF1959&gt;79,"Baik",IF(AF1959&gt;=pub_gid_0_single_true_output_csv[[#This Row],[KKM]],"Cukup","Kurang"))))</f>
        <v>Kurang</v>
      </c>
      <c r="AH1959">
        <f t="shared" si="91"/>
        <v>12</v>
      </c>
      <c r="AI1959" s="30" t="str">
        <f>IF(OR(J1959&lt;&gt;"Karakter",pub_gid_0_single_true_output_csv[[#This Row],[Nilai2]]=""),"",IF(AF1959&gt;89,"Sangat baik",IF(AF1959&gt;79,"Baik",IF(AF1959&gt;69,"Cukup",IF(AF1959&gt;59,"Kurang","Sangat kurang")))))</f>
        <v/>
      </c>
      <c r="AJ1959" t="str">
        <f t="shared" si="92"/>
        <v>Wk.7</v>
      </c>
      <c r="AK1959" t="str">
        <f>IF(pub_gid_0_single_true_output_csv[[#This Row],[Nilai2]]="","",VLOOKUP(pub_gid_0_single_true_output_csv[[#This Row],[NAMA]],Table7[],3,FALSE))</f>
        <v>Borderline</v>
      </c>
    </row>
    <row r="1960" spans="1:37" x14ac:dyDescent="0.2">
      <c r="A1960">
        <v>1959</v>
      </c>
      <c r="B1960" t="s">
        <v>317</v>
      </c>
      <c r="C1960" t="s">
        <v>65</v>
      </c>
      <c r="D1960" t="s">
        <v>62</v>
      </c>
      <c r="E1960" t="s">
        <v>140</v>
      </c>
      <c r="F1960" s="25">
        <v>46065</v>
      </c>
      <c r="G1960" t="s">
        <v>354</v>
      </c>
      <c r="H1960" t="s">
        <v>412</v>
      </c>
      <c r="I1960" t="s">
        <v>371</v>
      </c>
      <c r="J1960" t="s">
        <v>36</v>
      </c>
      <c r="K1960" t="s">
        <v>153</v>
      </c>
      <c r="L1960" t="s">
        <v>319</v>
      </c>
      <c r="M1960" t="s">
        <v>141</v>
      </c>
      <c r="N1960" t="s">
        <v>142</v>
      </c>
      <c r="O1960" t="s">
        <v>327</v>
      </c>
      <c r="P1960" t="s">
        <v>281</v>
      </c>
      <c r="Q1960" t="s">
        <v>328</v>
      </c>
      <c r="R1960" t="s">
        <v>329</v>
      </c>
      <c r="S1960" t="s">
        <v>330</v>
      </c>
      <c r="T1960">
        <v>1</v>
      </c>
      <c r="U1960" t="s">
        <v>364</v>
      </c>
      <c r="V1960" t="s">
        <v>285</v>
      </c>
      <c r="W1960" t="s">
        <v>334</v>
      </c>
      <c r="X1960" t="s">
        <v>331</v>
      </c>
      <c r="Y1960" t="s">
        <v>307</v>
      </c>
      <c r="Z1960">
        <v>70</v>
      </c>
      <c r="AA1960">
        <v>50</v>
      </c>
      <c r="AB1960" t="s">
        <v>151</v>
      </c>
      <c r="AC1960" t="s">
        <v>161</v>
      </c>
      <c r="AD1960" t="s">
        <v>278</v>
      </c>
      <c r="AE1960" t="str">
        <f>IF(AF1960="","",VLOOKUP(AC1960,mapel!$A$2:$B$42,2,FALSE))</f>
        <v>TIK</v>
      </c>
      <c r="AF1960">
        <f t="shared" si="90"/>
        <v>50</v>
      </c>
      <c r="AG1960" t="str">
        <f>IF(AF1960="","",IF(AF1960&gt;90,"Sangat baik",IF(AF1960&gt;79,"Baik",IF(AF1960&gt;=pub_gid_0_single_true_output_csv[[#This Row],[KKM]],"Cukup","Kurang"))))</f>
        <v>Kurang</v>
      </c>
      <c r="AH1960">
        <f t="shared" si="91"/>
        <v>12</v>
      </c>
      <c r="AI1960" s="30" t="str">
        <f>IF(OR(J1960&lt;&gt;"Karakter",pub_gid_0_single_true_output_csv[[#This Row],[Nilai2]]=""),"",IF(AF1960&gt;89,"Sangat baik",IF(AF1960&gt;79,"Baik",IF(AF1960&gt;69,"Cukup",IF(AF1960&gt;59,"Kurang","Sangat kurang")))))</f>
        <v/>
      </c>
      <c r="AJ1960" t="str">
        <f t="shared" si="92"/>
        <v>Wk.7</v>
      </c>
      <c r="AK1960" t="str">
        <f>IF(pub_gid_0_single_true_output_csv[[#This Row],[Nilai2]]="","",VLOOKUP(pub_gid_0_single_true_output_csv[[#This Row],[NAMA]],Table7[],3,FALSE))</f>
        <v>Borderline</v>
      </c>
    </row>
    <row r="1961" spans="1:37" x14ac:dyDescent="0.2">
      <c r="A1961">
        <v>1960</v>
      </c>
      <c r="B1961" t="s">
        <v>317</v>
      </c>
      <c r="C1961" t="s">
        <v>65</v>
      </c>
      <c r="D1961" t="s">
        <v>62</v>
      </c>
      <c r="E1961" t="s">
        <v>140</v>
      </c>
      <c r="F1961" s="25">
        <v>46065</v>
      </c>
      <c r="G1961" t="s">
        <v>354</v>
      </c>
      <c r="H1961" t="s">
        <v>412</v>
      </c>
      <c r="I1961" t="s">
        <v>371</v>
      </c>
      <c r="J1961" t="s">
        <v>90</v>
      </c>
      <c r="K1961" t="s">
        <v>92</v>
      </c>
      <c r="L1961" t="s">
        <v>91</v>
      </c>
      <c r="M1961" t="s">
        <v>141</v>
      </c>
      <c r="N1961" t="s">
        <v>142</v>
      </c>
      <c r="O1961" t="s">
        <v>327</v>
      </c>
      <c r="P1961" t="s">
        <v>281</v>
      </c>
      <c r="Q1961" t="s">
        <v>328</v>
      </c>
      <c r="R1961" t="s">
        <v>329</v>
      </c>
      <c r="S1961" t="s">
        <v>330</v>
      </c>
      <c r="T1961">
        <v>1</v>
      </c>
      <c r="U1961" t="s">
        <v>364</v>
      </c>
      <c r="V1961" t="s">
        <v>285</v>
      </c>
      <c r="W1961" t="s">
        <v>334</v>
      </c>
      <c r="X1961" t="s">
        <v>331</v>
      </c>
      <c r="Y1961" t="s">
        <v>307</v>
      </c>
      <c r="Z1961">
        <v>70</v>
      </c>
      <c r="AA1961">
        <v>80</v>
      </c>
      <c r="AB1961" t="s">
        <v>143</v>
      </c>
      <c r="AC1961" t="s">
        <v>161</v>
      </c>
      <c r="AD1961" t="s">
        <v>278</v>
      </c>
      <c r="AE1961" t="str">
        <f>IF(AF1961="","",VLOOKUP(AC1961,mapel!$A$2:$B$42,2,FALSE))</f>
        <v>TIK</v>
      </c>
      <c r="AF1961">
        <f t="shared" si="90"/>
        <v>80</v>
      </c>
      <c r="AG1961" t="str">
        <f>IF(AF1961="","",IF(AF1961&gt;90,"Sangat baik",IF(AF1961&gt;79,"Baik",IF(AF1961&gt;=pub_gid_0_single_true_output_csv[[#This Row],[KKM]],"Cukup","Kurang"))))</f>
        <v>Baik</v>
      </c>
      <c r="AH1961">
        <f t="shared" si="91"/>
        <v>12</v>
      </c>
      <c r="AI1961" s="30" t="str">
        <f>IF(OR(J1961&lt;&gt;"Karakter",pub_gid_0_single_true_output_csv[[#This Row],[Nilai2]]=""),"",IF(AF1961&gt;89,"Sangat baik",IF(AF1961&gt;79,"Baik",IF(AF1961&gt;69,"Cukup",IF(AF1961&gt;59,"Kurang","Sangat kurang")))))</f>
        <v>Baik</v>
      </c>
      <c r="AJ1961" t="str">
        <f t="shared" si="92"/>
        <v>Wk.7</v>
      </c>
      <c r="AK1961" t="str">
        <f>IF(pub_gid_0_single_true_output_csv[[#This Row],[Nilai2]]="","",VLOOKUP(pub_gid_0_single_true_output_csv[[#This Row],[NAMA]],Table7[],3,FALSE))</f>
        <v>Borderline</v>
      </c>
    </row>
    <row r="1962" spans="1:37" x14ac:dyDescent="0.2">
      <c r="A1962">
        <v>1961</v>
      </c>
      <c r="B1962" t="s">
        <v>318</v>
      </c>
      <c r="C1962" t="s">
        <v>65</v>
      </c>
      <c r="D1962" t="s">
        <v>63</v>
      </c>
      <c r="E1962" t="s">
        <v>140</v>
      </c>
      <c r="F1962" s="25">
        <v>46037</v>
      </c>
      <c r="G1962" t="s">
        <v>356</v>
      </c>
      <c r="H1962" t="s">
        <v>405</v>
      </c>
      <c r="I1962" t="s">
        <v>371</v>
      </c>
      <c r="J1962" t="s">
        <v>41</v>
      </c>
      <c r="K1962" t="s">
        <v>157</v>
      </c>
      <c r="L1962" t="s">
        <v>319</v>
      </c>
      <c r="M1962" t="s">
        <v>141</v>
      </c>
      <c r="N1962" t="s">
        <v>142</v>
      </c>
      <c r="O1962" t="s">
        <v>327</v>
      </c>
      <c r="P1962" t="s">
        <v>281</v>
      </c>
      <c r="Q1962" t="s">
        <v>328</v>
      </c>
      <c r="R1962" t="s">
        <v>329</v>
      </c>
      <c r="S1962" t="s">
        <v>330</v>
      </c>
      <c r="T1962">
        <v>1</v>
      </c>
      <c r="U1962" t="s">
        <v>364</v>
      </c>
      <c r="V1962" t="s">
        <v>285</v>
      </c>
      <c r="W1962" t="s">
        <v>334</v>
      </c>
      <c r="X1962" t="s">
        <v>331</v>
      </c>
      <c r="Y1962" t="s">
        <v>307</v>
      </c>
      <c r="Z1962">
        <v>70</v>
      </c>
      <c r="AA1962">
        <v>60</v>
      </c>
      <c r="AB1962" t="s">
        <v>151</v>
      </c>
      <c r="AC1962" t="s">
        <v>161</v>
      </c>
      <c r="AD1962" t="s">
        <v>278</v>
      </c>
      <c r="AE1962" t="str">
        <f>IF(AF1962="","",VLOOKUP(AC1962,mapel!$A$2:$B$42,2,FALSE))</f>
        <v>TIK</v>
      </c>
      <c r="AF1962">
        <f t="shared" si="90"/>
        <v>60</v>
      </c>
      <c r="AG1962" t="str">
        <f>IF(AF1962="","",IF(AF1962&gt;90,"Sangat baik",IF(AF1962&gt;79,"Baik",IF(AF1962&gt;=pub_gid_0_single_true_output_csv[[#This Row],[KKM]],"Cukup","Kurang"))))</f>
        <v>Kurang</v>
      </c>
      <c r="AH1962">
        <f t="shared" si="91"/>
        <v>12</v>
      </c>
      <c r="AI1962" s="30" t="str">
        <f>IF(OR(J1962&lt;&gt;"Karakter",pub_gid_0_single_true_output_csv[[#This Row],[Nilai2]]=""),"",IF(AF1962&gt;89,"Sangat baik",IF(AF1962&gt;79,"Baik",IF(AF1962&gt;69,"Cukup",IF(AF1962&gt;59,"Kurang","Sangat kurang")))))</f>
        <v/>
      </c>
      <c r="AJ1962" t="str">
        <f t="shared" si="92"/>
        <v>Wk.3</v>
      </c>
      <c r="AK1962" t="str">
        <f>IF(pub_gid_0_single_true_output_csv[[#This Row],[Nilai2]]="","",VLOOKUP(pub_gid_0_single_true_output_csv[[#This Row],[NAMA]],Table7[],3,FALSE))</f>
        <v>Average</v>
      </c>
    </row>
    <row r="1963" spans="1:37" x14ac:dyDescent="0.2">
      <c r="A1963">
        <v>1962</v>
      </c>
      <c r="B1963" t="s">
        <v>318</v>
      </c>
      <c r="C1963" t="s">
        <v>65</v>
      </c>
      <c r="D1963" t="s">
        <v>63</v>
      </c>
      <c r="E1963" t="s">
        <v>140</v>
      </c>
      <c r="F1963" s="25">
        <v>46037</v>
      </c>
      <c r="G1963" t="s">
        <v>356</v>
      </c>
      <c r="H1963" t="s">
        <v>405</v>
      </c>
      <c r="I1963" t="s">
        <v>371</v>
      </c>
      <c r="J1963" t="s">
        <v>36</v>
      </c>
      <c r="K1963" t="s">
        <v>153</v>
      </c>
      <c r="L1963" t="s">
        <v>319</v>
      </c>
      <c r="M1963" t="s">
        <v>141</v>
      </c>
      <c r="N1963" t="s">
        <v>142</v>
      </c>
      <c r="O1963" t="s">
        <v>327</v>
      </c>
      <c r="P1963" t="s">
        <v>281</v>
      </c>
      <c r="Q1963" t="s">
        <v>328</v>
      </c>
      <c r="R1963" t="s">
        <v>329</v>
      </c>
      <c r="S1963" t="s">
        <v>330</v>
      </c>
      <c r="T1963">
        <v>1</v>
      </c>
      <c r="U1963" t="s">
        <v>364</v>
      </c>
      <c r="V1963" t="s">
        <v>285</v>
      </c>
      <c r="W1963" t="s">
        <v>334</v>
      </c>
      <c r="X1963" t="s">
        <v>331</v>
      </c>
      <c r="Y1963" t="s">
        <v>307</v>
      </c>
      <c r="Z1963">
        <v>70</v>
      </c>
      <c r="AA1963">
        <v>60</v>
      </c>
      <c r="AB1963" t="s">
        <v>151</v>
      </c>
      <c r="AC1963" t="s">
        <v>161</v>
      </c>
      <c r="AD1963" t="s">
        <v>278</v>
      </c>
      <c r="AE1963" t="str">
        <f>IF(AF1963="","",VLOOKUP(AC1963,mapel!$A$2:$B$42,2,FALSE))</f>
        <v>TIK</v>
      </c>
      <c r="AF1963">
        <f t="shared" si="90"/>
        <v>60</v>
      </c>
      <c r="AG1963" t="str">
        <f>IF(AF1963="","",IF(AF1963&gt;90,"Sangat baik",IF(AF1963&gt;79,"Baik",IF(AF1963&gt;=pub_gid_0_single_true_output_csv[[#This Row],[KKM]],"Cukup","Kurang"))))</f>
        <v>Kurang</v>
      </c>
      <c r="AH1963">
        <f t="shared" si="91"/>
        <v>12</v>
      </c>
      <c r="AI1963" s="30" t="str">
        <f>IF(OR(J1963&lt;&gt;"Karakter",pub_gid_0_single_true_output_csv[[#This Row],[Nilai2]]=""),"",IF(AF1963&gt;89,"Sangat baik",IF(AF1963&gt;79,"Baik",IF(AF1963&gt;69,"Cukup",IF(AF1963&gt;59,"Kurang","Sangat kurang")))))</f>
        <v/>
      </c>
      <c r="AJ1963" t="str">
        <f t="shared" si="92"/>
        <v>Wk.3</v>
      </c>
      <c r="AK1963" t="str">
        <f>IF(pub_gid_0_single_true_output_csv[[#This Row],[Nilai2]]="","",VLOOKUP(pub_gid_0_single_true_output_csv[[#This Row],[NAMA]],Table7[],3,FALSE))</f>
        <v>Average</v>
      </c>
    </row>
    <row r="1964" spans="1:37" x14ac:dyDescent="0.2">
      <c r="A1964">
        <v>1963</v>
      </c>
      <c r="B1964" t="s">
        <v>318</v>
      </c>
      <c r="C1964" t="s">
        <v>65</v>
      </c>
      <c r="D1964" t="s">
        <v>63</v>
      </c>
      <c r="E1964" t="s">
        <v>140</v>
      </c>
      <c r="F1964" s="25">
        <v>46044</v>
      </c>
      <c r="G1964" t="s">
        <v>305</v>
      </c>
      <c r="H1964" t="s">
        <v>405</v>
      </c>
      <c r="I1964" t="s">
        <v>371</v>
      </c>
      <c r="J1964" t="s">
        <v>31</v>
      </c>
      <c r="K1964" t="s">
        <v>158</v>
      </c>
      <c r="L1964" t="s">
        <v>319</v>
      </c>
      <c r="M1964" t="s">
        <v>141</v>
      </c>
      <c r="N1964" t="s">
        <v>142</v>
      </c>
      <c r="O1964" t="s">
        <v>327</v>
      </c>
      <c r="P1964" t="s">
        <v>281</v>
      </c>
      <c r="Q1964" t="s">
        <v>328</v>
      </c>
      <c r="R1964" t="s">
        <v>329</v>
      </c>
      <c r="S1964" t="s">
        <v>330</v>
      </c>
      <c r="T1964">
        <v>1</v>
      </c>
      <c r="U1964" t="s">
        <v>364</v>
      </c>
      <c r="V1964" t="s">
        <v>285</v>
      </c>
      <c r="W1964" t="s">
        <v>334</v>
      </c>
      <c r="X1964" t="s">
        <v>331</v>
      </c>
      <c r="Y1964" t="s">
        <v>307</v>
      </c>
      <c r="Z1964">
        <v>70</v>
      </c>
      <c r="AA1964">
        <v>60</v>
      </c>
      <c r="AB1964" t="s">
        <v>151</v>
      </c>
      <c r="AC1964" t="s">
        <v>161</v>
      </c>
      <c r="AD1964" t="s">
        <v>278</v>
      </c>
      <c r="AE1964" t="str">
        <f>IF(AF1964="","",VLOOKUP(AC1964,mapel!$A$2:$B$42,2,FALSE))</f>
        <v>TIK</v>
      </c>
      <c r="AF1964">
        <f t="shared" si="90"/>
        <v>60</v>
      </c>
      <c r="AG1964" t="str">
        <f>IF(AF1964="","",IF(AF1964&gt;90,"Sangat baik",IF(AF1964&gt;79,"Baik",IF(AF1964&gt;=pub_gid_0_single_true_output_csv[[#This Row],[KKM]],"Cukup","Kurang"))))</f>
        <v>Kurang</v>
      </c>
      <c r="AH1964">
        <f t="shared" si="91"/>
        <v>12</v>
      </c>
      <c r="AI1964" s="30" t="str">
        <f>IF(OR(J1964&lt;&gt;"Karakter",pub_gid_0_single_true_output_csv[[#This Row],[Nilai2]]=""),"",IF(AF1964&gt;89,"Sangat baik",IF(AF1964&gt;79,"Baik",IF(AF1964&gt;69,"Cukup",IF(AF1964&gt;59,"Kurang","Sangat kurang")))))</f>
        <v/>
      </c>
      <c r="AJ1964" t="str">
        <f t="shared" si="92"/>
        <v>Wk.4</v>
      </c>
      <c r="AK1964" t="str">
        <f>IF(pub_gid_0_single_true_output_csv[[#This Row],[Nilai2]]="","",VLOOKUP(pub_gid_0_single_true_output_csv[[#This Row],[NAMA]],Table7[],3,FALSE))</f>
        <v>Average</v>
      </c>
    </row>
    <row r="1965" spans="1:37" x14ac:dyDescent="0.2">
      <c r="A1965">
        <v>1964</v>
      </c>
      <c r="B1965" t="s">
        <v>318</v>
      </c>
      <c r="C1965" t="s">
        <v>65</v>
      </c>
      <c r="D1965" t="s">
        <v>63</v>
      </c>
      <c r="E1965" t="s">
        <v>140</v>
      </c>
      <c r="F1965" s="25">
        <v>46044</v>
      </c>
      <c r="G1965" t="s">
        <v>305</v>
      </c>
      <c r="H1965" t="s">
        <v>405</v>
      </c>
      <c r="I1965" t="s">
        <v>371</v>
      </c>
      <c r="J1965" t="s">
        <v>90</v>
      </c>
      <c r="K1965" t="s">
        <v>92</v>
      </c>
      <c r="L1965" t="s">
        <v>91</v>
      </c>
      <c r="M1965" t="s">
        <v>141</v>
      </c>
      <c r="N1965" t="s">
        <v>142</v>
      </c>
      <c r="O1965" t="s">
        <v>327</v>
      </c>
      <c r="P1965" t="s">
        <v>281</v>
      </c>
      <c r="Q1965" t="s">
        <v>328</v>
      </c>
      <c r="R1965" t="s">
        <v>329</v>
      </c>
      <c r="S1965" t="s">
        <v>330</v>
      </c>
      <c r="T1965">
        <v>1</v>
      </c>
      <c r="U1965" t="s">
        <v>364</v>
      </c>
      <c r="V1965" t="s">
        <v>285</v>
      </c>
      <c r="W1965" t="s">
        <v>334</v>
      </c>
      <c r="X1965" t="s">
        <v>331</v>
      </c>
      <c r="Y1965" t="s">
        <v>307</v>
      </c>
      <c r="Z1965">
        <v>70</v>
      </c>
      <c r="AA1965">
        <v>80</v>
      </c>
      <c r="AB1965" t="s">
        <v>143</v>
      </c>
      <c r="AC1965" t="s">
        <v>161</v>
      </c>
      <c r="AD1965" t="s">
        <v>278</v>
      </c>
      <c r="AE1965" t="str">
        <f>IF(AF1965="","",VLOOKUP(AC1965,mapel!$A$2:$B$42,2,FALSE))</f>
        <v>TIK</v>
      </c>
      <c r="AF1965">
        <f t="shared" si="90"/>
        <v>80</v>
      </c>
      <c r="AG1965" t="str">
        <f>IF(AF1965="","",IF(AF1965&gt;90,"Sangat baik",IF(AF1965&gt;79,"Baik",IF(AF1965&gt;=pub_gid_0_single_true_output_csv[[#This Row],[KKM]],"Cukup","Kurang"))))</f>
        <v>Baik</v>
      </c>
      <c r="AH1965">
        <f t="shared" si="91"/>
        <v>12</v>
      </c>
      <c r="AI1965" s="30" t="str">
        <f>IF(OR(J1965&lt;&gt;"Karakter",pub_gid_0_single_true_output_csv[[#This Row],[Nilai2]]=""),"",IF(AF1965&gt;89,"Sangat baik",IF(AF1965&gt;79,"Baik",IF(AF1965&gt;69,"Cukup",IF(AF1965&gt;59,"Kurang","Sangat kurang")))))</f>
        <v>Baik</v>
      </c>
      <c r="AJ1965" t="str">
        <f t="shared" si="92"/>
        <v>Wk.4</v>
      </c>
      <c r="AK1965" t="str">
        <f>IF(pub_gid_0_single_true_output_csv[[#This Row],[Nilai2]]="","",VLOOKUP(pub_gid_0_single_true_output_csv[[#This Row],[NAMA]],Table7[],3,FALSE))</f>
        <v>Average</v>
      </c>
    </row>
    <row r="1966" spans="1:37" x14ac:dyDescent="0.2">
      <c r="A1966">
        <v>1965</v>
      </c>
      <c r="B1966" t="s">
        <v>318</v>
      </c>
      <c r="C1966" t="s">
        <v>65</v>
      </c>
      <c r="D1966" t="s">
        <v>63</v>
      </c>
      <c r="E1966" t="s">
        <v>140</v>
      </c>
      <c r="F1966" s="25">
        <v>46044</v>
      </c>
      <c r="G1966" t="s">
        <v>305</v>
      </c>
      <c r="H1966" t="s">
        <v>405</v>
      </c>
      <c r="I1966" t="s">
        <v>371</v>
      </c>
      <c r="J1966" t="s">
        <v>279</v>
      </c>
      <c r="K1966" t="s">
        <v>280</v>
      </c>
      <c r="L1966" t="s">
        <v>319</v>
      </c>
      <c r="M1966" t="s">
        <v>141</v>
      </c>
      <c r="N1966" t="s">
        <v>142</v>
      </c>
      <c r="O1966" t="s">
        <v>327</v>
      </c>
      <c r="P1966" t="s">
        <v>281</v>
      </c>
      <c r="Q1966" t="s">
        <v>328</v>
      </c>
      <c r="R1966" t="s">
        <v>329</v>
      </c>
      <c r="S1966" t="s">
        <v>330</v>
      </c>
      <c r="T1966">
        <v>1</v>
      </c>
      <c r="U1966" t="s">
        <v>364</v>
      </c>
      <c r="V1966" t="s">
        <v>285</v>
      </c>
      <c r="W1966" t="s">
        <v>334</v>
      </c>
      <c r="X1966" t="s">
        <v>331</v>
      </c>
      <c r="Y1966" t="s">
        <v>307</v>
      </c>
      <c r="Z1966">
        <v>70</v>
      </c>
      <c r="AA1966">
        <v>65</v>
      </c>
      <c r="AB1966" t="s">
        <v>151</v>
      </c>
      <c r="AC1966" t="s">
        <v>161</v>
      </c>
      <c r="AD1966" t="s">
        <v>278</v>
      </c>
      <c r="AE1966" t="str">
        <f>IF(AF1966="","",VLOOKUP(AC1966,mapel!$A$2:$B$42,2,FALSE))</f>
        <v>TIK</v>
      </c>
      <c r="AF1966">
        <f t="shared" si="90"/>
        <v>65</v>
      </c>
      <c r="AG1966" t="str">
        <f>IF(AF1966="","",IF(AF1966&gt;90,"Sangat baik",IF(AF1966&gt;79,"Baik",IF(AF1966&gt;=pub_gid_0_single_true_output_csv[[#This Row],[KKM]],"Cukup","Kurang"))))</f>
        <v>Kurang</v>
      </c>
      <c r="AH1966">
        <f t="shared" si="91"/>
        <v>12</v>
      </c>
      <c r="AI1966" s="30" t="str">
        <f>IF(OR(J1966&lt;&gt;"Karakter",pub_gid_0_single_true_output_csv[[#This Row],[Nilai2]]=""),"",IF(AF1966&gt;89,"Sangat baik",IF(AF1966&gt;79,"Baik",IF(AF1966&gt;69,"Cukup",IF(AF1966&gt;59,"Kurang","Sangat kurang")))))</f>
        <v/>
      </c>
      <c r="AJ1966" t="str">
        <f t="shared" si="92"/>
        <v>Wk.4</v>
      </c>
      <c r="AK1966" t="str">
        <f>IF(pub_gid_0_single_true_output_csv[[#This Row],[Nilai2]]="","",VLOOKUP(pub_gid_0_single_true_output_csv[[#This Row],[NAMA]],Table7[],3,FALSE))</f>
        <v>Average</v>
      </c>
    </row>
    <row r="1967" spans="1:37" x14ac:dyDescent="0.2">
      <c r="A1967">
        <v>1966</v>
      </c>
      <c r="B1967" t="s">
        <v>318</v>
      </c>
      <c r="C1967" t="s">
        <v>65</v>
      </c>
      <c r="D1967" t="s">
        <v>63</v>
      </c>
      <c r="E1967" t="s">
        <v>140</v>
      </c>
      <c r="F1967" s="25">
        <v>46051</v>
      </c>
      <c r="G1967" t="s">
        <v>320</v>
      </c>
      <c r="H1967" t="s">
        <v>405</v>
      </c>
      <c r="I1967" t="s">
        <v>371</v>
      </c>
      <c r="J1967" t="s">
        <v>41</v>
      </c>
      <c r="K1967" t="s">
        <v>157</v>
      </c>
      <c r="L1967" t="s">
        <v>319</v>
      </c>
      <c r="M1967" t="s">
        <v>141</v>
      </c>
      <c r="N1967" t="s">
        <v>142</v>
      </c>
      <c r="O1967" t="s">
        <v>327</v>
      </c>
      <c r="P1967" t="s">
        <v>281</v>
      </c>
      <c r="Q1967" t="s">
        <v>328</v>
      </c>
      <c r="R1967" t="s">
        <v>329</v>
      </c>
      <c r="S1967" t="s">
        <v>330</v>
      </c>
      <c r="T1967">
        <v>1</v>
      </c>
      <c r="U1967" t="s">
        <v>364</v>
      </c>
      <c r="V1967" t="s">
        <v>285</v>
      </c>
      <c r="W1967" t="s">
        <v>334</v>
      </c>
      <c r="X1967" t="s">
        <v>331</v>
      </c>
      <c r="Y1967" t="s">
        <v>307</v>
      </c>
      <c r="Z1967">
        <v>70</v>
      </c>
      <c r="AA1967">
        <v>60</v>
      </c>
      <c r="AB1967" t="s">
        <v>151</v>
      </c>
      <c r="AC1967" t="s">
        <v>161</v>
      </c>
      <c r="AD1967" t="s">
        <v>278</v>
      </c>
      <c r="AE1967" t="str">
        <f>IF(AF1967="","",VLOOKUP(AC1967,mapel!$A$2:$B$42,2,FALSE))</f>
        <v>TIK</v>
      </c>
      <c r="AF1967">
        <f t="shared" si="90"/>
        <v>60</v>
      </c>
      <c r="AG1967" t="str">
        <f>IF(AF1967="","",IF(AF1967&gt;90,"Sangat baik",IF(AF1967&gt;79,"Baik",IF(AF1967&gt;=pub_gid_0_single_true_output_csv[[#This Row],[KKM]],"Cukup","Kurang"))))</f>
        <v>Kurang</v>
      </c>
      <c r="AH1967">
        <f t="shared" si="91"/>
        <v>12</v>
      </c>
      <c r="AI1967" s="30" t="str">
        <f>IF(OR(J1967&lt;&gt;"Karakter",pub_gid_0_single_true_output_csv[[#This Row],[Nilai2]]=""),"",IF(AF1967&gt;89,"Sangat baik",IF(AF1967&gt;79,"Baik",IF(AF1967&gt;69,"Cukup",IF(AF1967&gt;59,"Kurang","Sangat kurang")))))</f>
        <v/>
      </c>
      <c r="AJ1967" t="str">
        <f t="shared" si="92"/>
        <v>Wk.5</v>
      </c>
      <c r="AK1967" t="str">
        <f>IF(pub_gid_0_single_true_output_csv[[#This Row],[Nilai2]]="","",VLOOKUP(pub_gid_0_single_true_output_csv[[#This Row],[NAMA]],Table7[],3,FALSE))</f>
        <v>Average</v>
      </c>
    </row>
    <row r="1968" spans="1:37" x14ac:dyDescent="0.2">
      <c r="A1968">
        <v>1967</v>
      </c>
      <c r="B1968" t="s">
        <v>318</v>
      </c>
      <c r="C1968" t="s">
        <v>65</v>
      </c>
      <c r="D1968" t="s">
        <v>63</v>
      </c>
      <c r="E1968" t="s">
        <v>140</v>
      </c>
      <c r="F1968" s="25">
        <v>46051</v>
      </c>
      <c r="G1968" t="s">
        <v>320</v>
      </c>
      <c r="H1968" t="s">
        <v>405</v>
      </c>
      <c r="I1968" t="s">
        <v>371</v>
      </c>
      <c r="J1968" t="s">
        <v>36</v>
      </c>
      <c r="K1968" t="s">
        <v>153</v>
      </c>
      <c r="L1968" t="s">
        <v>319</v>
      </c>
      <c r="M1968" t="s">
        <v>141</v>
      </c>
      <c r="N1968" t="s">
        <v>142</v>
      </c>
      <c r="O1968" t="s">
        <v>327</v>
      </c>
      <c r="P1968" t="s">
        <v>281</v>
      </c>
      <c r="Q1968" t="s">
        <v>328</v>
      </c>
      <c r="R1968" t="s">
        <v>329</v>
      </c>
      <c r="S1968" t="s">
        <v>330</v>
      </c>
      <c r="T1968">
        <v>1</v>
      </c>
      <c r="U1968" t="s">
        <v>364</v>
      </c>
      <c r="V1968" t="s">
        <v>285</v>
      </c>
      <c r="W1968" t="s">
        <v>334</v>
      </c>
      <c r="X1968" t="s">
        <v>331</v>
      </c>
      <c r="Y1968" t="s">
        <v>307</v>
      </c>
      <c r="Z1968">
        <v>70</v>
      </c>
      <c r="AA1968">
        <v>60</v>
      </c>
      <c r="AB1968" t="s">
        <v>151</v>
      </c>
      <c r="AC1968" t="s">
        <v>161</v>
      </c>
      <c r="AD1968" t="s">
        <v>278</v>
      </c>
      <c r="AE1968" t="str">
        <f>IF(AF1968="","",VLOOKUP(AC1968,mapel!$A$2:$B$42,2,FALSE))</f>
        <v>TIK</v>
      </c>
      <c r="AF1968">
        <f t="shared" si="90"/>
        <v>60</v>
      </c>
      <c r="AG1968" t="str">
        <f>IF(AF1968="","",IF(AF1968&gt;90,"Sangat baik",IF(AF1968&gt;79,"Baik",IF(AF1968&gt;=pub_gid_0_single_true_output_csv[[#This Row],[KKM]],"Cukup","Kurang"))))</f>
        <v>Kurang</v>
      </c>
      <c r="AH1968">
        <f t="shared" si="91"/>
        <v>12</v>
      </c>
      <c r="AI1968" s="30" t="str">
        <f>IF(OR(J1968&lt;&gt;"Karakter",pub_gid_0_single_true_output_csv[[#This Row],[Nilai2]]=""),"",IF(AF1968&gt;89,"Sangat baik",IF(AF1968&gt;79,"Baik",IF(AF1968&gt;69,"Cukup",IF(AF1968&gt;59,"Kurang","Sangat kurang")))))</f>
        <v/>
      </c>
      <c r="AJ1968" t="str">
        <f t="shared" si="92"/>
        <v>Wk.5</v>
      </c>
      <c r="AK1968" t="str">
        <f>IF(pub_gid_0_single_true_output_csv[[#This Row],[Nilai2]]="","",VLOOKUP(pub_gid_0_single_true_output_csv[[#This Row],[NAMA]],Table7[],3,FALSE))</f>
        <v>Average</v>
      </c>
    </row>
    <row r="1969" spans="1:37" x14ac:dyDescent="0.2">
      <c r="A1969">
        <v>1968</v>
      </c>
      <c r="B1969" t="s">
        <v>318</v>
      </c>
      <c r="C1969" t="s">
        <v>65</v>
      </c>
      <c r="D1969" t="s">
        <v>63</v>
      </c>
      <c r="E1969" t="s">
        <v>140</v>
      </c>
      <c r="F1969" s="25">
        <v>46065</v>
      </c>
      <c r="G1969" t="s">
        <v>354</v>
      </c>
      <c r="H1969" t="s">
        <v>412</v>
      </c>
      <c r="I1969" t="s">
        <v>371</v>
      </c>
      <c r="J1969" t="s">
        <v>41</v>
      </c>
      <c r="K1969" t="s">
        <v>157</v>
      </c>
      <c r="L1969" t="s">
        <v>319</v>
      </c>
      <c r="M1969" t="s">
        <v>141</v>
      </c>
      <c r="N1969" t="s">
        <v>142</v>
      </c>
      <c r="O1969" t="s">
        <v>327</v>
      </c>
      <c r="P1969" t="s">
        <v>281</v>
      </c>
      <c r="Q1969" t="s">
        <v>328</v>
      </c>
      <c r="R1969" t="s">
        <v>329</v>
      </c>
      <c r="S1969" t="s">
        <v>330</v>
      </c>
      <c r="T1969">
        <v>1</v>
      </c>
      <c r="U1969" t="s">
        <v>364</v>
      </c>
      <c r="V1969" t="s">
        <v>285</v>
      </c>
      <c r="W1969" t="s">
        <v>334</v>
      </c>
      <c r="X1969" t="s">
        <v>331</v>
      </c>
      <c r="Y1969" t="s">
        <v>307</v>
      </c>
      <c r="Z1969">
        <v>70</v>
      </c>
      <c r="AA1969">
        <v>63</v>
      </c>
      <c r="AB1969" t="s">
        <v>151</v>
      </c>
      <c r="AC1969" t="s">
        <v>161</v>
      </c>
      <c r="AD1969" t="s">
        <v>278</v>
      </c>
      <c r="AE1969" t="str">
        <f>IF(AF1969="","",VLOOKUP(AC1969,mapel!$A$2:$B$42,2,FALSE))</f>
        <v>TIK</v>
      </c>
      <c r="AF1969">
        <f t="shared" si="90"/>
        <v>63</v>
      </c>
      <c r="AG1969" t="str">
        <f>IF(AF1969="","",IF(AF1969&gt;90,"Sangat baik",IF(AF1969&gt;79,"Baik",IF(AF1969&gt;=pub_gid_0_single_true_output_csv[[#This Row],[KKM]],"Cukup","Kurang"))))</f>
        <v>Kurang</v>
      </c>
      <c r="AH1969">
        <f t="shared" si="91"/>
        <v>12</v>
      </c>
      <c r="AI1969" s="30" t="str">
        <f>IF(OR(J1969&lt;&gt;"Karakter",pub_gid_0_single_true_output_csv[[#This Row],[Nilai2]]=""),"",IF(AF1969&gt;89,"Sangat baik",IF(AF1969&gt;79,"Baik",IF(AF1969&gt;69,"Cukup",IF(AF1969&gt;59,"Kurang","Sangat kurang")))))</f>
        <v/>
      </c>
      <c r="AJ1969" t="str">
        <f t="shared" si="92"/>
        <v>Wk.7</v>
      </c>
      <c r="AK1969" t="str">
        <f>IF(pub_gid_0_single_true_output_csv[[#This Row],[Nilai2]]="","",VLOOKUP(pub_gid_0_single_true_output_csv[[#This Row],[NAMA]],Table7[],3,FALSE))</f>
        <v>Average</v>
      </c>
    </row>
    <row r="1970" spans="1:37" x14ac:dyDescent="0.2">
      <c r="A1970">
        <v>1969</v>
      </c>
      <c r="B1970" t="s">
        <v>318</v>
      </c>
      <c r="C1970" t="s">
        <v>65</v>
      </c>
      <c r="D1970" t="s">
        <v>63</v>
      </c>
      <c r="E1970" t="s">
        <v>140</v>
      </c>
      <c r="F1970" s="25">
        <v>46065</v>
      </c>
      <c r="G1970" t="s">
        <v>354</v>
      </c>
      <c r="H1970" t="s">
        <v>412</v>
      </c>
      <c r="I1970" t="s">
        <v>371</v>
      </c>
      <c r="J1970" t="s">
        <v>36</v>
      </c>
      <c r="K1970" t="s">
        <v>153</v>
      </c>
      <c r="L1970" t="s">
        <v>319</v>
      </c>
      <c r="M1970" t="s">
        <v>141</v>
      </c>
      <c r="N1970" t="s">
        <v>142</v>
      </c>
      <c r="O1970" t="s">
        <v>327</v>
      </c>
      <c r="P1970" t="s">
        <v>281</v>
      </c>
      <c r="Q1970" t="s">
        <v>328</v>
      </c>
      <c r="R1970" t="s">
        <v>329</v>
      </c>
      <c r="S1970" t="s">
        <v>330</v>
      </c>
      <c r="T1970">
        <v>1</v>
      </c>
      <c r="U1970" t="s">
        <v>364</v>
      </c>
      <c r="V1970" t="s">
        <v>285</v>
      </c>
      <c r="W1970" t="s">
        <v>334</v>
      </c>
      <c r="X1970" t="s">
        <v>331</v>
      </c>
      <c r="Y1970" t="s">
        <v>307</v>
      </c>
      <c r="Z1970">
        <v>70</v>
      </c>
      <c r="AA1970">
        <v>60</v>
      </c>
      <c r="AB1970" t="s">
        <v>151</v>
      </c>
      <c r="AC1970" t="s">
        <v>161</v>
      </c>
      <c r="AD1970" t="s">
        <v>278</v>
      </c>
      <c r="AE1970" t="str">
        <f>IF(AF1970="","",VLOOKUP(AC1970,mapel!$A$2:$B$42,2,FALSE))</f>
        <v>TIK</v>
      </c>
      <c r="AF1970">
        <f t="shared" si="90"/>
        <v>60</v>
      </c>
      <c r="AG1970" t="str">
        <f>IF(AF1970="","",IF(AF1970&gt;90,"Sangat baik",IF(AF1970&gt;79,"Baik",IF(AF1970&gt;=pub_gid_0_single_true_output_csv[[#This Row],[KKM]],"Cukup","Kurang"))))</f>
        <v>Kurang</v>
      </c>
      <c r="AH1970">
        <f t="shared" si="91"/>
        <v>12</v>
      </c>
      <c r="AI1970" s="30" t="str">
        <f>IF(OR(J1970&lt;&gt;"Karakter",pub_gid_0_single_true_output_csv[[#This Row],[Nilai2]]=""),"",IF(AF1970&gt;89,"Sangat baik",IF(AF1970&gt;79,"Baik",IF(AF1970&gt;69,"Cukup",IF(AF1970&gt;59,"Kurang","Sangat kurang")))))</f>
        <v/>
      </c>
      <c r="AJ1970" t="str">
        <f t="shared" si="92"/>
        <v>Wk.7</v>
      </c>
      <c r="AK1970" t="str">
        <f>IF(pub_gid_0_single_true_output_csv[[#This Row],[Nilai2]]="","",VLOOKUP(pub_gid_0_single_true_output_csv[[#This Row],[NAMA]],Table7[],3,FALSE))</f>
        <v>Average</v>
      </c>
    </row>
    <row r="1971" spans="1:37" x14ac:dyDescent="0.2">
      <c r="A1971">
        <v>1970</v>
      </c>
      <c r="B1971" t="s">
        <v>318</v>
      </c>
      <c r="C1971" t="s">
        <v>65</v>
      </c>
      <c r="D1971" t="s">
        <v>63</v>
      </c>
      <c r="E1971" t="s">
        <v>140</v>
      </c>
      <c r="F1971" s="25">
        <v>46065</v>
      </c>
      <c r="G1971" t="s">
        <v>354</v>
      </c>
      <c r="H1971" t="s">
        <v>412</v>
      </c>
      <c r="I1971" t="s">
        <v>371</v>
      </c>
      <c r="J1971" t="s">
        <v>90</v>
      </c>
      <c r="K1971" t="s">
        <v>92</v>
      </c>
      <c r="L1971" t="s">
        <v>91</v>
      </c>
      <c r="M1971" t="s">
        <v>141</v>
      </c>
      <c r="N1971" t="s">
        <v>142</v>
      </c>
      <c r="O1971" t="s">
        <v>327</v>
      </c>
      <c r="P1971" t="s">
        <v>281</v>
      </c>
      <c r="Q1971" t="s">
        <v>328</v>
      </c>
      <c r="R1971" t="s">
        <v>329</v>
      </c>
      <c r="S1971" t="s">
        <v>330</v>
      </c>
      <c r="T1971">
        <v>1</v>
      </c>
      <c r="U1971" t="s">
        <v>364</v>
      </c>
      <c r="V1971" t="s">
        <v>285</v>
      </c>
      <c r="W1971" t="s">
        <v>334</v>
      </c>
      <c r="X1971" t="s">
        <v>331</v>
      </c>
      <c r="Y1971" t="s">
        <v>307</v>
      </c>
      <c r="Z1971">
        <v>70</v>
      </c>
      <c r="AA1971">
        <v>80</v>
      </c>
      <c r="AB1971" t="s">
        <v>143</v>
      </c>
      <c r="AC1971" t="s">
        <v>161</v>
      </c>
      <c r="AD1971" t="s">
        <v>278</v>
      </c>
      <c r="AE1971" t="str">
        <f>IF(AF1971="","",VLOOKUP(AC1971,mapel!$A$2:$B$42,2,FALSE))</f>
        <v>TIK</v>
      </c>
      <c r="AF1971">
        <f t="shared" si="90"/>
        <v>80</v>
      </c>
      <c r="AG1971" t="str">
        <f>IF(AF1971="","",IF(AF1971&gt;90,"Sangat baik",IF(AF1971&gt;79,"Baik",IF(AF1971&gt;=pub_gid_0_single_true_output_csv[[#This Row],[KKM]],"Cukup","Kurang"))))</f>
        <v>Baik</v>
      </c>
      <c r="AH1971">
        <f t="shared" si="91"/>
        <v>12</v>
      </c>
      <c r="AI1971" s="30" t="str">
        <f>IF(OR(J1971&lt;&gt;"Karakter",pub_gid_0_single_true_output_csv[[#This Row],[Nilai2]]=""),"",IF(AF1971&gt;89,"Sangat baik",IF(AF1971&gt;79,"Baik",IF(AF1971&gt;69,"Cukup",IF(AF1971&gt;59,"Kurang","Sangat kurang")))))</f>
        <v>Baik</v>
      </c>
      <c r="AJ1971" t="str">
        <f t="shared" si="92"/>
        <v>Wk.7</v>
      </c>
      <c r="AK1971" t="str">
        <f>IF(pub_gid_0_single_true_output_csv[[#This Row],[Nilai2]]="","",VLOOKUP(pub_gid_0_single_true_output_csv[[#This Row],[NAMA]],Table7[],3,FALSE))</f>
        <v>Average</v>
      </c>
    </row>
    <row r="1972" spans="1:37" x14ac:dyDescent="0.2">
      <c r="A1972">
        <v>1971</v>
      </c>
      <c r="B1972" t="s">
        <v>311</v>
      </c>
      <c r="C1972" t="s">
        <v>65</v>
      </c>
      <c r="D1972" t="s">
        <v>55</v>
      </c>
      <c r="E1972" t="s">
        <v>146</v>
      </c>
      <c r="F1972" s="25">
        <v>46028</v>
      </c>
      <c r="G1972" t="s">
        <v>349</v>
      </c>
      <c r="H1972" t="s">
        <v>405</v>
      </c>
      <c r="I1972" t="s">
        <v>371</v>
      </c>
      <c r="J1972" t="s">
        <v>31</v>
      </c>
      <c r="K1972" t="s">
        <v>32</v>
      </c>
      <c r="L1972" t="s">
        <v>150</v>
      </c>
      <c r="M1972" t="s">
        <v>141</v>
      </c>
      <c r="N1972" t="s">
        <v>142</v>
      </c>
      <c r="O1972" t="s">
        <v>327</v>
      </c>
      <c r="P1972" t="s">
        <v>281</v>
      </c>
      <c r="Q1972" t="s">
        <v>328</v>
      </c>
      <c r="R1972" t="s">
        <v>329</v>
      </c>
      <c r="S1972" t="s">
        <v>330</v>
      </c>
      <c r="T1972">
        <v>1</v>
      </c>
      <c r="U1972" t="s">
        <v>443</v>
      </c>
      <c r="V1972" t="s">
        <v>285</v>
      </c>
      <c r="W1972" t="s">
        <v>444</v>
      </c>
      <c r="X1972" t="s">
        <v>331</v>
      </c>
      <c r="Y1972" t="s">
        <v>307</v>
      </c>
      <c r="Z1972">
        <v>70</v>
      </c>
      <c r="AA1972">
        <v>75</v>
      </c>
      <c r="AB1972" t="s">
        <v>143</v>
      </c>
      <c r="AC1972" t="s">
        <v>49</v>
      </c>
      <c r="AD1972" t="s">
        <v>426</v>
      </c>
      <c r="AE1972" t="str">
        <f>IF(AF1972="","",VLOOKUP(AC1972,mapel!$A$2:$B$42,2,FALSE))</f>
        <v>Kimia</v>
      </c>
      <c r="AF1972">
        <f t="shared" si="90"/>
        <v>75</v>
      </c>
      <c r="AG1972" t="str">
        <f>IF(AF1972="","",IF(AF1972&gt;90,"Sangat baik",IF(AF1972&gt;79,"Baik",IF(AF1972&gt;=pub_gid_0_single_true_output_csv[[#This Row],[KKM]],"Cukup","Kurang"))))</f>
        <v>Cukup</v>
      </c>
      <c r="AH1972">
        <f t="shared" si="91"/>
        <v>12</v>
      </c>
      <c r="AI1972" s="30" t="str">
        <f>IF(OR(J1972&lt;&gt;"Karakter",pub_gid_0_single_true_output_csv[[#This Row],[Nilai2]]=""),"",IF(AF1972&gt;89,"Sangat baik",IF(AF1972&gt;79,"Baik",IF(AF1972&gt;69,"Cukup",IF(AF1972&gt;59,"Kurang","Sangat kurang")))))</f>
        <v/>
      </c>
      <c r="AJ1972" t="str">
        <f t="shared" si="92"/>
        <v>Wk.2</v>
      </c>
      <c r="AK1972" t="str">
        <f>IF(pub_gid_0_single_true_output_csv[[#This Row],[Nilai2]]="","",VLOOKUP(pub_gid_0_single_true_output_csv[[#This Row],[NAMA]],Table7[],3,FALSE))</f>
        <v>Average</v>
      </c>
    </row>
    <row r="1973" spans="1:37" x14ac:dyDescent="0.2">
      <c r="A1973">
        <v>1972</v>
      </c>
      <c r="B1973" t="s">
        <v>311</v>
      </c>
      <c r="C1973" t="s">
        <v>65</v>
      </c>
      <c r="D1973" t="s">
        <v>55</v>
      </c>
      <c r="E1973" t="s">
        <v>146</v>
      </c>
      <c r="F1973" s="25">
        <v>46035</v>
      </c>
      <c r="G1973" t="s">
        <v>358</v>
      </c>
      <c r="H1973" t="s">
        <v>405</v>
      </c>
      <c r="I1973" t="s">
        <v>371</v>
      </c>
      <c r="J1973" t="s">
        <v>41</v>
      </c>
      <c r="K1973" t="s">
        <v>157</v>
      </c>
      <c r="L1973" t="s">
        <v>321</v>
      </c>
      <c r="M1973" t="s">
        <v>141</v>
      </c>
      <c r="N1973" t="s">
        <v>142</v>
      </c>
      <c r="O1973" t="s">
        <v>327</v>
      </c>
      <c r="P1973" t="s">
        <v>281</v>
      </c>
      <c r="Q1973" t="s">
        <v>328</v>
      </c>
      <c r="R1973" t="s">
        <v>329</v>
      </c>
      <c r="S1973" t="s">
        <v>330</v>
      </c>
      <c r="T1973">
        <v>1</v>
      </c>
      <c r="U1973" t="s">
        <v>443</v>
      </c>
      <c r="V1973" t="s">
        <v>285</v>
      </c>
      <c r="W1973" t="s">
        <v>444</v>
      </c>
      <c r="X1973" t="s">
        <v>331</v>
      </c>
      <c r="Y1973" t="s">
        <v>307</v>
      </c>
      <c r="Z1973">
        <v>70</v>
      </c>
      <c r="AA1973">
        <v>70</v>
      </c>
      <c r="AB1973" t="s">
        <v>143</v>
      </c>
      <c r="AC1973" t="s">
        <v>49</v>
      </c>
      <c r="AD1973" t="s">
        <v>426</v>
      </c>
      <c r="AE1973" t="str">
        <f>IF(AF1973="","",VLOOKUP(AC1973,mapel!$A$2:$B$42,2,FALSE))</f>
        <v>Kimia</v>
      </c>
      <c r="AF1973">
        <f t="shared" si="90"/>
        <v>70</v>
      </c>
      <c r="AG1973" t="str">
        <f>IF(AF1973="","",IF(AF1973&gt;90,"Sangat baik",IF(AF1973&gt;79,"Baik",IF(AF1973&gt;=pub_gid_0_single_true_output_csv[[#This Row],[KKM]],"Cukup","Kurang"))))</f>
        <v>Cukup</v>
      </c>
      <c r="AH1973">
        <f t="shared" si="91"/>
        <v>12</v>
      </c>
      <c r="AI1973" s="30" t="str">
        <f>IF(OR(J1973&lt;&gt;"Karakter",pub_gid_0_single_true_output_csv[[#This Row],[Nilai2]]=""),"",IF(AF1973&gt;89,"Sangat baik",IF(AF1973&gt;79,"Baik",IF(AF1973&gt;69,"Cukup",IF(AF1973&gt;59,"Kurang","Sangat kurang")))))</f>
        <v/>
      </c>
      <c r="AJ1973" t="str">
        <f t="shared" si="92"/>
        <v>Wk.3</v>
      </c>
      <c r="AK1973" t="str">
        <f>IF(pub_gid_0_single_true_output_csv[[#This Row],[Nilai2]]="","",VLOOKUP(pub_gid_0_single_true_output_csv[[#This Row],[NAMA]],Table7[],3,FALSE))</f>
        <v>Average</v>
      </c>
    </row>
    <row r="1974" spans="1:37" x14ac:dyDescent="0.2">
      <c r="A1974">
        <v>1973</v>
      </c>
      <c r="B1974" t="s">
        <v>311</v>
      </c>
      <c r="C1974" t="s">
        <v>65</v>
      </c>
      <c r="D1974" t="s">
        <v>55</v>
      </c>
      <c r="E1974" t="s">
        <v>146</v>
      </c>
      <c r="F1974" s="25">
        <v>46049</v>
      </c>
      <c r="G1974" t="s">
        <v>373</v>
      </c>
      <c r="H1974" t="s">
        <v>405</v>
      </c>
      <c r="I1974" t="s">
        <v>371</v>
      </c>
      <c r="J1974" t="s">
        <v>36</v>
      </c>
      <c r="K1974" t="s">
        <v>37</v>
      </c>
      <c r="L1974" t="s">
        <v>150</v>
      </c>
      <c r="M1974" t="s">
        <v>141</v>
      </c>
      <c r="N1974" t="s">
        <v>142</v>
      </c>
      <c r="O1974" t="s">
        <v>327</v>
      </c>
      <c r="P1974" t="s">
        <v>281</v>
      </c>
      <c r="Q1974" t="s">
        <v>328</v>
      </c>
      <c r="R1974" t="s">
        <v>329</v>
      </c>
      <c r="S1974" t="s">
        <v>330</v>
      </c>
      <c r="T1974">
        <v>1</v>
      </c>
      <c r="U1974" t="s">
        <v>443</v>
      </c>
      <c r="V1974" t="s">
        <v>285</v>
      </c>
      <c r="W1974" t="s">
        <v>444</v>
      </c>
      <c r="X1974" t="s">
        <v>331</v>
      </c>
      <c r="Y1974" t="s">
        <v>307</v>
      </c>
      <c r="Z1974">
        <v>70</v>
      </c>
      <c r="AA1974">
        <v>70</v>
      </c>
      <c r="AB1974" t="s">
        <v>143</v>
      </c>
      <c r="AC1974" t="s">
        <v>49</v>
      </c>
      <c r="AD1974" t="s">
        <v>426</v>
      </c>
      <c r="AE1974" t="str">
        <f>IF(AF1974="","",VLOOKUP(AC1974,mapel!$A$2:$B$42,2,FALSE))</f>
        <v>Kimia</v>
      </c>
      <c r="AF1974">
        <f t="shared" si="90"/>
        <v>70</v>
      </c>
      <c r="AG1974" t="str">
        <f>IF(AF1974="","",IF(AF1974&gt;90,"Sangat baik",IF(AF1974&gt;79,"Baik",IF(AF1974&gt;=pub_gid_0_single_true_output_csv[[#This Row],[KKM]],"Cukup","Kurang"))))</f>
        <v>Cukup</v>
      </c>
      <c r="AH1974">
        <f t="shared" si="91"/>
        <v>12</v>
      </c>
      <c r="AI1974" s="30" t="str">
        <f>IF(OR(J1974&lt;&gt;"Karakter",pub_gid_0_single_true_output_csv[[#This Row],[Nilai2]]=""),"",IF(AF1974&gt;89,"Sangat baik",IF(AF1974&gt;79,"Baik",IF(AF1974&gt;69,"Cukup",IF(AF1974&gt;59,"Kurang","Sangat kurang")))))</f>
        <v/>
      </c>
      <c r="AJ1974" t="str">
        <f t="shared" si="92"/>
        <v>Wk.5</v>
      </c>
      <c r="AK1974" t="str">
        <f>IF(pub_gid_0_single_true_output_csv[[#This Row],[Nilai2]]="","",VLOOKUP(pub_gid_0_single_true_output_csv[[#This Row],[NAMA]],Table7[],3,FALSE))</f>
        <v>Average</v>
      </c>
    </row>
    <row r="1975" spans="1:37" x14ac:dyDescent="0.2">
      <c r="A1975">
        <v>1974</v>
      </c>
      <c r="B1975" t="s">
        <v>311</v>
      </c>
      <c r="C1975" t="s">
        <v>65</v>
      </c>
      <c r="D1975" t="s">
        <v>55</v>
      </c>
      <c r="E1975" t="s">
        <v>146</v>
      </c>
      <c r="F1975" s="25">
        <v>46063</v>
      </c>
      <c r="G1975" t="s">
        <v>374</v>
      </c>
      <c r="H1975" t="s">
        <v>412</v>
      </c>
      <c r="I1975" t="s">
        <v>371</v>
      </c>
      <c r="J1975" t="s">
        <v>36</v>
      </c>
      <c r="K1975" t="s">
        <v>362</v>
      </c>
      <c r="L1975" t="s">
        <v>363</v>
      </c>
      <c r="M1975" t="s">
        <v>141</v>
      </c>
      <c r="N1975" t="s">
        <v>142</v>
      </c>
      <c r="O1975" t="s">
        <v>327</v>
      </c>
      <c r="P1975" t="s">
        <v>281</v>
      </c>
      <c r="Q1975" t="s">
        <v>328</v>
      </c>
      <c r="R1975" t="s">
        <v>329</v>
      </c>
      <c r="S1975" t="s">
        <v>330</v>
      </c>
      <c r="T1975">
        <v>1</v>
      </c>
      <c r="U1975" t="s">
        <v>443</v>
      </c>
      <c r="V1975" t="s">
        <v>285</v>
      </c>
      <c r="W1975" t="s">
        <v>444</v>
      </c>
      <c r="X1975" t="s">
        <v>331</v>
      </c>
      <c r="Y1975" t="s">
        <v>307</v>
      </c>
      <c r="Z1975">
        <v>70</v>
      </c>
      <c r="AA1975">
        <v>10</v>
      </c>
      <c r="AB1975" t="s">
        <v>151</v>
      </c>
      <c r="AC1975" t="s">
        <v>49</v>
      </c>
      <c r="AD1975" t="s">
        <v>426</v>
      </c>
      <c r="AE1975" t="str">
        <f>IF(AF1975="","",VLOOKUP(AC1975,mapel!$A$2:$B$42,2,FALSE))</f>
        <v>Kimia</v>
      </c>
      <c r="AF1975">
        <f t="shared" si="90"/>
        <v>10</v>
      </c>
      <c r="AG1975" t="str">
        <f>IF(AF1975="","",IF(AF1975&gt;90,"Sangat baik",IF(AF1975&gt;79,"Baik",IF(AF1975&gt;=pub_gid_0_single_true_output_csv[[#This Row],[KKM]],"Cukup","Kurang"))))</f>
        <v>Kurang</v>
      </c>
      <c r="AH1975">
        <f t="shared" si="91"/>
        <v>12</v>
      </c>
      <c r="AI1975" s="30" t="str">
        <f>IF(OR(J1975&lt;&gt;"Karakter",pub_gid_0_single_true_output_csv[[#This Row],[Nilai2]]=""),"",IF(AF1975&gt;89,"Sangat baik",IF(AF1975&gt;79,"Baik",IF(AF1975&gt;69,"Cukup",IF(AF1975&gt;59,"Kurang","Sangat kurang")))))</f>
        <v/>
      </c>
      <c r="AJ1975" t="str">
        <f t="shared" si="92"/>
        <v>Wk.7</v>
      </c>
      <c r="AK1975" t="str">
        <f>IF(pub_gid_0_single_true_output_csv[[#This Row],[Nilai2]]="","",VLOOKUP(pub_gid_0_single_true_output_csv[[#This Row],[NAMA]],Table7[],3,FALSE))</f>
        <v>Average</v>
      </c>
    </row>
    <row r="1976" spans="1:37" x14ac:dyDescent="0.2">
      <c r="A1976">
        <v>1975</v>
      </c>
      <c r="B1976" t="s">
        <v>312</v>
      </c>
      <c r="C1976" t="s">
        <v>65</v>
      </c>
      <c r="D1976" t="s">
        <v>56</v>
      </c>
      <c r="E1976" t="s">
        <v>156</v>
      </c>
      <c r="F1976" s="25">
        <v>46028</v>
      </c>
      <c r="G1976" t="s">
        <v>349</v>
      </c>
      <c r="H1976" t="s">
        <v>405</v>
      </c>
      <c r="I1976" t="s">
        <v>371</v>
      </c>
      <c r="J1976" t="s">
        <v>31</v>
      </c>
      <c r="K1976" t="s">
        <v>32</v>
      </c>
      <c r="L1976" t="s">
        <v>150</v>
      </c>
      <c r="M1976" t="s">
        <v>141</v>
      </c>
      <c r="N1976" t="s">
        <v>142</v>
      </c>
      <c r="O1976" t="s">
        <v>327</v>
      </c>
      <c r="P1976" t="s">
        <v>281</v>
      </c>
      <c r="Q1976" t="s">
        <v>328</v>
      </c>
      <c r="R1976" t="s">
        <v>329</v>
      </c>
      <c r="S1976" t="s">
        <v>330</v>
      </c>
      <c r="T1976">
        <v>1</v>
      </c>
      <c r="U1976" t="s">
        <v>443</v>
      </c>
      <c r="V1976" t="s">
        <v>285</v>
      </c>
      <c r="W1976" t="s">
        <v>444</v>
      </c>
      <c r="X1976" t="s">
        <v>331</v>
      </c>
      <c r="Y1976" t="s">
        <v>307</v>
      </c>
      <c r="Z1976">
        <v>70</v>
      </c>
      <c r="AA1976">
        <v>80</v>
      </c>
      <c r="AB1976" t="s">
        <v>143</v>
      </c>
      <c r="AC1976" t="s">
        <v>49</v>
      </c>
      <c r="AD1976" t="s">
        <v>426</v>
      </c>
      <c r="AE1976" t="str">
        <f>IF(AF1976="","",VLOOKUP(AC1976,mapel!$A$2:$B$42,2,FALSE))</f>
        <v>Kimia</v>
      </c>
      <c r="AF1976">
        <f t="shared" si="90"/>
        <v>80</v>
      </c>
      <c r="AG1976" t="str">
        <f>IF(AF1976="","",IF(AF1976&gt;90,"Sangat baik",IF(AF1976&gt;79,"Baik",IF(AF1976&gt;=pub_gid_0_single_true_output_csv[[#This Row],[KKM]],"Cukup","Kurang"))))</f>
        <v>Baik</v>
      </c>
      <c r="AH1976">
        <f t="shared" si="91"/>
        <v>12</v>
      </c>
      <c r="AI1976" s="30" t="str">
        <f>IF(OR(J1976&lt;&gt;"Karakter",pub_gid_0_single_true_output_csv[[#This Row],[Nilai2]]=""),"",IF(AF1976&gt;89,"Sangat baik",IF(AF1976&gt;79,"Baik",IF(AF1976&gt;69,"Cukup",IF(AF1976&gt;59,"Kurang","Sangat kurang")))))</f>
        <v/>
      </c>
      <c r="AJ1976" t="str">
        <f t="shared" si="92"/>
        <v>Wk.2</v>
      </c>
      <c r="AK1976" t="str">
        <f>IF(pub_gid_0_single_true_output_csv[[#This Row],[Nilai2]]="","",VLOOKUP(pub_gid_0_single_true_output_csv[[#This Row],[NAMA]],Table7[],3,FALSE))</f>
        <v>Superior</v>
      </c>
    </row>
    <row r="1977" spans="1:37" x14ac:dyDescent="0.2">
      <c r="A1977">
        <v>1976</v>
      </c>
      <c r="B1977" t="s">
        <v>312</v>
      </c>
      <c r="C1977" t="s">
        <v>65</v>
      </c>
      <c r="D1977" t="s">
        <v>56</v>
      </c>
      <c r="E1977" t="s">
        <v>156</v>
      </c>
      <c r="F1977" s="25">
        <v>46035</v>
      </c>
      <c r="G1977" t="s">
        <v>358</v>
      </c>
      <c r="H1977" t="s">
        <v>405</v>
      </c>
      <c r="I1977" t="s">
        <v>371</v>
      </c>
      <c r="J1977" t="s">
        <v>41</v>
      </c>
      <c r="K1977" t="s">
        <v>157</v>
      </c>
      <c r="L1977" t="s">
        <v>321</v>
      </c>
      <c r="M1977" t="s">
        <v>141</v>
      </c>
      <c r="N1977" t="s">
        <v>142</v>
      </c>
      <c r="O1977" t="s">
        <v>327</v>
      </c>
      <c r="P1977" t="s">
        <v>281</v>
      </c>
      <c r="Q1977" t="s">
        <v>328</v>
      </c>
      <c r="R1977" t="s">
        <v>329</v>
      </c>
      <c r="S1977" t="s">
        <v>330</v>
      </c>
      <c r="T1977">
        <v>1</v>
      </c>
      <c r="U1977" t="s">
        <v>443</v>
      </c>
      <c r="V1977" t="s">
        <v>285</v>
      </c>
      <c r="W1977" t="s">
        <v>444</v>
      </c>
      <c r="X1977" t="s">
        <v>331</v>
      </c>
      <c r="Y1977" t="s">
        <v>307</v>
      </c>
      <c r="Z1977">
        <v>70</v>
      </c>
      <c r="AA1977">
        <v>80</v>
      </c>
      <c r="AB1977" t="s">
        <v>143</v>
      </c>
      <c r="AC1977" t="s">
        <v>49</v>
      </c>
      <c r="AD1977" t="s">
        <v>426</v>
      </c>
      <c r="AE1977" t="str">
        <f>IF(AF1977="","",VLOOKUP(AC1977,mapel!$A$2:$B$42,2,FALSE))</f>
        <v>Kimia</v>
      </c>
      <c r="AF1977">
        <f t="shared" si="90"/>
        <v>80</v>
      </c>
      <c r="AG1977" t="str">
        <f>IF(AF1977="","",IF(AF1977&gt;90,"Sangat baik",IF(AF1977&gt;79,"Baik",IF(AF1977&gt;=pub_gid_0_single_true_output_csv[[#This Row],[KKM]],"Cukup","Kurang"))))</f>
        <v>Baik</v>
      </c>
      <c r="AH1977">
        <f t="shared" si="91"/>
        <v>12</v>
      </c>
      <c r="AI1977" s="30" t="str">
        <f>IF(OR(J1977&lt;&gt;"Karakter",pub_gid_0_single_true_output_csv[[#This Row],[Nilai2]]=""),"",IF(AF1977&gt;89,"Sangat baik",IF(AF1977&gt;79,"Baik",IF(AF1977&gt;69,"Cukup",IF(AF1977&gt;59,"Kurang","Sangat kurang")))))</f>
        <v/>
      </c>
      <c r="AJ1977" t="str">
        <f t="shared" si="92"/>
        <v>Wk.3</v>
      </c>
      <c r="AK1977" t="str">
        <f>IF(pub_gid_0_single_true_output_csv[[#This Row],[Nilai2]]="","",VLOOKUP(pub_gid_0_single_true_output_csv[[#This Row],[NAMA]],Table7[],3,FALSE))</f>
        <v>Superior</v>
      </c>
    </row>
    <row r="1978" spans="1:37" x14ac:dyDescent="0.2">
      <c r="A1978">
        <v>1977</v>
      </c>
      <c r="B1978" t="s">
        <v>312</v>
      </c>
      <c r="C1978" t="s">
        <v>65</v>
      </c>
      <c r="D1978" t="s">
        <v>56</v>
      </c>
      <c r="E1978" t="s">
        <v>156</v>
      </c>
      <c r="F1978" s="25">
        <v>46049</v>
      </c>
      <c r="G1978" t="s">
        <v>373</v>
      </c>
      <c r="H1978" t="s">
        <v>405</v>
      </c>
      <c r="I1978" t="s">
        <v>371</v>
      </c>
      <c r="J1978" t="s">
        <v>36</v>
      </c>
      <c r="K1978" t="s">
        <v>37</v>
      </c>
      <c r="L1978" t="s">
        <v>150</v>
      </c>
      <c r="M1978" t="s">
        <v>141</v>
      </c>
      <c r="N1978" t="s">
        <v>142</v>
      </c>
      <c r="O1978" t="s">
        <v>327</v>
      </c>
      <c r="P1978" t="s">
        <v>281</v>
      </c>
      <c r="Q1978" t="s">
        <v>328</v>
      </c>
      <c r="R1978" t="s">
        <v>329</v>
      </c>
      <c r="S1978" t="s">
        <v>330</v>
      </c>
      <c r="T1978">
        <v>1</v>
      </c>
      <c r="U1978" t="s">
        <v>443</v>
      </c>
      <c r="V1978" t="s">
        <v>285</v>
      </c>
      <c r="W1978" t="s">
        <v>444</v>
      </c>
      <c r="X1978" t="s">
        <v>331</v>
      </c>
      <c r="Y1978" t="s">
        <v>307</v>
      </c>
      <c r="Z1978">
        <v>70</v>
      </c>
      <c r="AA1978">
        <v>80</v>
      </c>
      <c r="AB1978" t="s">
        <v>143</v>
      </c>
      <c r="AC1978" t="s">
        <v>49</v>
      </c>
      <c r="AD1978" t="s">
        <v>426</v>
      </c>
      <c r="AE1978" t="str">
        <f>IF(AF1978="","",VLOOKUP(AC1978,mapel!$A$2:$B$42,2,FALSE))</f>
        <v>Kimia</v>
      </c>
      <c r="AF1978">
        <f t="shared" si="90"/>
        <v>80</v>
      </c>
      <c r="AG1978" t="str">
        <f>IF(AF1978="","",IF(AF1978&gt;90,"Sangat baik",IF(AF1978&gt;79,"Baik",IF(AF1978&gt;=pub_gid_0_single_true_output_csv[[#This Row],[KKM]],"Cukup","Kurang"))))</f>
        <v>Baik</v>
      </c>
      <c r="AH1978">
        <f t="shared" si="91"/>
        <v>12</v>
      </c>
      <c r="AI1978" s="30" t="str">
        <f>IF(OR(J1978&lt;&gt;"Karakter",pub_gid_0_single_true_output_csv[[#This Row],[Nilai2]]=""),"",IF(AF1978&gt;89,"Sangat baik",IF(AF1978&gt;79,"Baik",IF(AF1978&gt;69,"Cukup",IF(AF1978&gt;59,"Kurang","Sangat kurang")))))</f>
        <v/>
      </c>
      <c r="AJ1978" t="str">
        <f t="shared" si="92"/>
        <v>Wk.5</v>
      </c>
      <c r="AK1978" t="str">
        <f>IF(pub_gid_0_single_true_output_csv[[#This Row],[Nilai2]]="","",VLOOKUP(pub_gid_0_single_true_output_csv[[#This Row],[NAMA]],Table7[],3,FALSE))</f>
        <v>Superior</v>
      </c>
    </row>
    <row r="1979" spans="1:37" x14ac:dyDescent="0.2">
      <c r="A1979">
        <v>1978</v>
      </c>
      <c r="B1979" t="s">
        <v>312</v>
      </c>
      <c r="C1979" t="s">
        <v>65</v>
      </c>
      <c r="D1979" t="s">
        <v>56</v>
      </c>
      <c r="E1979" t="s">
        <v>156</v>
      </c>
      <c r="F1979" s="25">
        <v>46063</v>
      </c>
      <c r="G1979" t="s">
        <v>374</v>
      </c>
      <c r="H1979" t="s">
        <v>412</v>
      </c>
      <c r="I1979" t="s">
        <v>371</v>
      </c>
      <c r="J1979" t="s">
        <v>36</v>
      </c>
      <c r="K1979" t="s">
        <v>362</v>
      </c>
      <c r="L1979" t="s">
        <v>363</v>
      </c>
      <c r="M1979" t="s">
        <v>141</v>
      </c>
      <c r="N1979" t="s">
        <v>142</v>
      </c>
      <c r="O1979" t="s">
        <v>327</v>
      </c>
      <c r="P1979" t="s">
        <v>281</v>
      </c>
      <c r="Q1979" t="s">
        <v>328</v>
      </c>
      <c r="R1979" t="s">
        <v>329</v>
      </c>
      <c r="S1979" t="s">
        <v>330</v>
      </c>
      <c r="T1979">
        <v>1</v>
      </c>
      <c r="U1979" t="s">
        <v>443</v>
      </c>
      <c r="V1979" t="s">
        <v>285</v>
      </c>
      <c r="W1979" t="s">
        <v>444</v>
      </c>
      <c r="X1979" t="s">
        <v>331</v>
      </c>
      <c r="Y1979" t="s">
        <v>307</v>
      </c>
      <c r="Z1979">
        <v>70</v>
      </c>
      <c r="AA1979">
        <v>75</v>
      </c>
      <c r="AB1979" t="s">
        <v>143</v>
      </c>
      <c r="AC1979" t="s">
        <v>49</v>
      </c>
      <c r="AD1979" t="s">
        <v>426</v>
      </c>
      <c r="AE1979" t="str">
        <f>IF(AF1979="","",VLOOKUP(AC1979,mapel!$A$2:$B$42,2,FALSE))</f>
        <v>Kimia</v>
      </c>
      <c r="AF1979">
        <f t="shared" si="90"/>
        <v>75</v>
      </c>
      <c r="AG1979" t="str">
        <f>IF(AF1979="","",IF(AF1979&gt;90,"Sangat baik",IF(AF1979&gt;79,"Baik",IF(AF1979&gt;=pub_gid_0_single_true_output_csv[[#This Row],[KKM]],"Cukup","Kurang"))))</f>
        <v>Cukup</v>
      </c>
      <c r="AH1979">
        <f t="shared" si="91"/>
        <v>12</v>
      </c>
      <c r="AI1979" s="30" t="str">
        <f>IF(OR(J1979&lt;&gt;"Karakter",pub_gid_0_single_true_output_csv[[#This Row],[Nilai2]]=""),"",IF(AF1979&gt;89,"Sangat baik",IF(AF1979&gt;79,"Baik",IF(AF1979&gt;69,"Cukup",IF(AF1979&gt;59,"Kurang","Sangat kurang")))))</f>
        <v/>
      </c>
      <c r="AJ1979" t="str">
        <f t="shared" si="92"/>
        <v>Wk.7</v>
      </c>
      <c r="AK1979" t="str">
        <f>IF(pub_gid_0_single_true_output_csv[[#This Row],[Nilai2]]="","",VLOOKUP(pub_gid_0_single_true_output_csv[[#This Row],[NAMA]],Table7[],3,FALSE))</f>
        <v>Superior</v>
      </c>
    </row>
    <row r="1980" spans="1:37" x14ac:dyDescent="0.2">
      <c r="A1980">
        <v>1979</v>
      </c>
      <c r="B1980" t="s">
        <v>313</v>
      </c>
      <c r="C1980" t="s">
        <v>65</v>
      </c>
      <c r="D1980" t="s">
        <v>57</v>
      </c>
      <c r="E1980" t="s">
        <v>146</v>
      </c>
      <c r="F1980" s="25">
        <v>46028</v>
      </c>
      <c r="G1980" t="s">
        <v>349</v>
      </c>
      <c r="H1980" t="s">
        <v>405</v>
      </c>
      <c r="I1980" t="s">
        <v>371</v>
      </c>
      <c r="J1980" t="s">
        <v>31</v>
      </c>
      <c r="K1980" t="s">
        <v>32</v>
      </c>
      <c r="L1980" t="s">
        <v>150</v>
      </c>
      <c r="M1980" t="s">
        <v>141</v>
      </c>
      <c r="N1980" t="s">
        <v>142</v>
      </c>
      <c r="O1980" t="s">
        <v>327</v>
      </c>
      <c r="P1980" t="s">
        <v>281</v>
      </c>
      <c r="Q1980" t="s">
        <v>328</v>
      </c>
      <c r="R1980" t="s">
        <v>329</v>
      </c>
      <c r="S1980" t="s">
        <v>330</v>
      </c>
      <c r="T1980">
        <v>1</v>
      </c>
      <c r="U1980" t="s">
        <v>443</v>
      </c>
      <c r="V1980" t="s">
        <v>285</v>
      </c>
      <c r="W1980" t="s">
        <v>444</v>
      </c>
      <c r="X1980" t="s">
        <v>331</v>
      </c>
      <c r="Y1980" t="s">
        <v>307</v>
      </c>
      <c r="Z1980">
        <v>70</v>
      </c>
      <c r="AA1980">
        <v>70</v>
      </c>
      <c r="AB1980" t="s">
        <v>143</v>
      </c>
      <c r="AC1980" t="s">
        <v>49</v>
      </c>
      <c r="AD1980" t="s">
        <v>426</v>
      </c>
      <c r="AE1980" t="str">
        <f>IF(AF1980="","",VLOOKUP(AC1980,mapel!$A$2:$B$42,2,FALSE))</f>
        <v>Kimia</v>
      </c>
      <c r="AF1980">
        <f t="shared" si="90"/>
        <v>70</v>
      </c>
      <c r="AG1980" t="str">
        <f>IF(AF1980="","",IF(AF1980&gt;90,"Sangat baik",IF(AF1980&gt;79,"Baik",IF(AF1980&gt;=pub_gid_0_single_true_output_csv[[#This Row],[KKM]],"Cukup","Kurang"))))</f>
        <v>Cukup</v>
      </c>
      <c r="AH1980">
        <f t="shared" si="91"/>
        <v>12</v>
      </c>
      <c r="AI1980" s="30" t="str">
        <f>IF(OR(J1980&lt;&gt;"Karakter",pub_gid_0_single_true_output_csv[[#This Row],[Nilai2]]=""),"",IF(AF1980&gt;89,"Sangat baik",IF(AF1980&gt;79,"Baik",IF(AF1980&gt;69,"Cukup",IF(AF1980&gt;59,"Kurang","Sangat kurang")))))</f>
        <v/>
      </c>
      <c r="AJ1980" t="str">
        <f t="shared" si="92"/>
        <v>Wk.2</v>
      </c>
      <c r="AK1980" t="str">
        <f>IF(pub_gid_0_single_true_output_csv[[#This Row],[Nilai2]]="","",VLOOKUP(pub_gid_0_single_true_output_csv[[#This Row],[NAMA]],Table7[],3,FALSE))</f>
        <v>High average</v>
      </c>
    </row>
    <row r="1981" spans="1:37" x14ac:dyDescent="0.2">
      <c r="A1981">
        <v>1980</v>
      </c>
      <c r="B1981" t="s">
        <v>313</v>
      </c>
      <c r="C1981" t="s">
        <v>65</v>
      </c>
      <c r="D1981" t="s">
        <v>57</v>
      </c>
      <c r="E1981" t="s">
        <v>146</v>
      </c>
      <c r="F1981" s="25">
        <v>46035</v>
      </c>
      <c r="G1981" t="s">
        <v>358</v>
      </c>
      <c r="H1981" t="s">
        <v>405</v>
      </c>
      <c r="I1981" t="s">
        <v>371</v>
      </c>
      <c r="J1981" t="s">
        <v>41</v>
      </c>
      <c r="K1981" t="s">
        <v>157</v>
      </c>
      <c r="L1981" t="s">
        <v>321</v>
      </c>
      <c r="M1981" t="s">
        <v>141</v>
      </c>
      <c r="N1981" t="s">
        <v>142</v>
      </c>
      <c r="O1981" t="s">
        <v>327</v>
      </c>
      <c r="P1981" t="s">
        <v>281</v>
      </c>
      <c r="Q1981" t="s">
        <v>328</v>
      </c>
      <c r="R1981" t="s">
        <v>329</v>
      </c>
      <c r="S1981" t="s">
        <v>330</v>
      </c>
      <c r="T1981">
        <v>1</v>
      </c>
      <c r="U1981" t="s">
        <v>443</v>
      </c>
      <c r="V1981" t="s">
        <v>285</v>
      </c>
      <c r="W1981" t="s">
        <v>444</v>
      </c>
      <c r="X1981" t="s">
        <v>331</v>
      </c>
      <c r="Y1981" t="s">
        <v>307</v>
      </c>
      <c r="Z1981">
        <v>70</v>
      </c>
      <c r="AA1981">
        <v>70</v>
      </c>
      <c r="AB1981" t="s">
        <v>143</v>
      </c>
      <c r="AC1981" t="s">
        <v>49</v>
      </c>
      <c r="AD1981" t="s">
        <v>426</v>
      </c>
      <c r="AE1981" t="str">
        <f>IF(AF1981="","",VLOOKUP(AC1981,mapel!$A$2:$B$42,2,FALSE))</f>
        <v>Kimia</v>
      </c>
      <c r="AF1981">
        <f t="shared" si="90"/>
        <v>70</v>
      </c>
      <c r="AG1981" t="str">
        <f>IF(AF1981="","",IF(AF1981&gt;90,"Sangat baik",IF(AF1981&gt;79,"Baik",IF(AF1981&gt;=pub_gid_0_single_true_output_csv[[#This Row],[KKM]],"Cukup","Kurang"))))</f>
        <v>Cukup</v>
      </c>
      <c r="AH1981">
        <f t="shared" si="91"/>
        <v>12</v>
      </c>
      <c r="AI1981" s="30" t="str">
        <f>IF(OR(J1981&lt;&gt;"Karakter",pub_gid_0_single_true_output_csv[[#This Row],[Nilai2]]=""),"",IF(AF1981&gt;89,"Sangat baik",IF(AF1981&gt;79,"Baik",IF(AF1981&gt;69,"Cukup",IF(AF1981&gt;59,"Kurang","Sangat kurang")))))</f>
        <v/>
      </c>
      <c r="AJ1981" t="str">
        <f t="shared" si="92"/>
        <v>Wk.3</v>
      </c>
      <c r="AK1981" t="str">
        <f>IF(pub_gid_0_single_true_output_csv[[#This Row],[Nilai2]]="","",VLOOKUP(pub_gid_0_single_true_output_csv[[#This Row],[NAMA]],Table7[],3,FALSE))</f>
        <v>High average</v>
      </c>
    </row>
    <row r="1982" spans="1:37" x14ac:dyDescent="0.2">
      <c r="A1982">
        <v>1981</v>
      </c>
      <c r="B1982" t="s">
        <v>313</v>
      </c>
      <c r="C1982" t="s">
        <v>65</v>
      </c>
      <c r="D1982" t="s">
        <v>57</v>
      </c>
      <c r="E1982" t="s">
        <v>146</v>
      </c>
      <c r="F1982" s="25">
        <v>46049</v>
      </c>
      <c r="G1982" t="s">
        <v>373</v>
      </c>
      <c r="H1982" t="s">
        <v>405</v>
      </c>
      <c r="I1982" t="s">
        <v>371</v>
      </c>
      <c r="J1982" t="s">
        <v>36</v>
      </c>
      <c r="K1982" t="s">
        <v>37</v>
      </c>
      <c r="L1982" t="s">
        <v>150</v>
      </c>
      <c r="M1982" t="s">
        <v>141</v>
      </c>
      <c r="N1982" t="s">
        <v>142</v>
      </c>
      <c r="O1982" t="s">
        <v>327</v>
      </c>
      <c r="P1982" t="s">
        <v>281</v>
      </c>
      <c r="Q1982" t="s">
        <v>328</v>
      </c>
      <c r="R1982" t="s">
        <v>329</v>
      </c>
      <c r="S1982" t="s">
        <v>330</v>
      </c>
      <c r="T1982">
        <v>1</v>
      </c>
      <c r="U1982" t="s">
        <v>443</v>
      </c>
      <c r="V1982" t="s">
        <v>285</v>
      </c>
      <c r="W1982" t="s">
        <v>444</v>
      </c>
      <c r="X1982" t="s">
        <v>331</v>
      </c>
      <c r="Y1982" t="s">
        <v>307</v>
      </c>
      <c r="Z1982">
        <v>70</v>
      </c>
      <c r="AA1982">
        <v>85</v>
      </c>
      <c r="AB1982" t="s">
        <v>143</v>
      </c>
      <c r="AC1982" t="s">
        <v>49</v>
      </c>
      <c r="AD1982" t="s">
        <v>426</v>
      </c>
      <c r="AE1982" t="str">
        <f>IF(AF1982="","",VLOOKUP(AC1982,mapel!$A$2:$B$42,2,FALSE))</f>
        <v>Kimia</v>
      </c>
      <c r="AF1982">
        <f t="shared" si="90"/>
        <v>85</v>
      </c>
      <c r="AG1982" t="str">
        <f>IF(AF1982="","",IF(AF1982&gt;90,"Sangat baik",IF(AF1982&gt;79,"Baik",IF(AF1982&gt;=pub_gid_0_single_true_output_csv[[#This Row],[KKM]],"Cukup","Kurang"))))</f>
        <v>Baik</v>
      </c>
      <c r="AH1982">
        <f t="shared" si="91"/>
        <v>12</v>
      </c>
      <c r="AI1982" s="30" t="str">
        <f>IF(OR(J1982&lt;&gt;"Karakter",pub_gid_0_single_true_output_csv[[#This Row],[Nilai2]]=""),"",IF(AF1982&gt;89,"Sangat baik",IF(AF1982&gt;79,"Baik",IF(AF1982&gt;69,"Cukup",IF(AF1982&gt;59,"Kurang","Sangat kurang")))))</f>
        <v/>
      </c>
      <c r="AJ1982" t="str">
        <f t="shared" si="92"/>
        <v>Wk.5</v>
      </c>
      <c r="AK1982" t="str">
        <f>IF(pub_gid_0_single_true_output_csv[[#This Row],[Nilai2]]="","",VLOOKUP(pub_gid_0_single_true_output_csv[[#This Row],[NAMA]],Table7[],3,FALSE))</f>
        <v>High average</v>
      </c>
    </row>
    <row r="1983" spans="1:37" x14ac:dyDescent="0.2">
      <c r="A1983">
        <v>1982</v>
      </c>
      <c r="B1983" t="s">
        <v>313</v>
      </c>
      <c r="C1983" t="s">
        <v>65</v>
      </c>
      <c r="D1983" t="s">
        <v>57</v>
      </c>
      <c r="E1983" t="s">
        <v>146</v>
      </c>
      <c r="F1983" s="25">
        <v>46063</v>
      </c>
      <c r="G1983" t="s">
        <v>374</v>
      </c>
      <c r="H1983" t="s">
        <v>412</v>
      </c>
      <c r="I1983" t="s">
        <v>371</v>
      </c>
      <c r="J1983" t="s">
        <v>36</v>
      </c>
      <c r="K1983" t="s">
        <v>362</v>
      </c>
      <c r="L1983" t="s">
        <v>363</v>
      </c>
      <c r="M1983" t="s">
        <v>141</v>
      </c>
      <c r="N1983" t="s">
        <v>142</v>
      </c>
      <c r="O1983" t="s">
        <v>327</v>
      </c>
      <c r="P1983" t="s">
        <v>281</v>
      </c>
      <c r="Q1983" t="s">
        <v>328</v>
      </c>
      <c r="R1983" t="s">
        <v>329</v>
      </c>
      <c r="S1983" t="s">
        <v>330</v>
      </c>
      <c r="T1983">
        <v>1</v>
      </c>
      <c r="U1983" t="s">
        <v>443</v>
      </c>
      <c r="V1983" t="s">
        <v>285</v>
      </c>
      <c r="W1983" t="s">
        <v>444</v>
      </c>
      <c r="X1983" t="s">
        <v>331</v>
      </c>
      <c r="Y1983" t="s">
        <v>307</v>
      </c>
      <c r="Z1983">
        <v>70</v>
      </c>
      <c r="AA1983">
        <v>50</v>
      </c>
      <c r="AB1983" t="s">
        <v>151</v>
      </c>
      <c r="AC1983" t="s">
        <v>49</v>
      </c>
      <c r="AD1983" t="s">
        <v>426</v>
      </c>
      <c r="AE1983" t="str">
        <f>IF(AF1983="","",VLOOKUP(AC1983,mapel!$A$2:$B$42,2,FALSE))</f>
        <v>Kimia</v>
      </c>
      <c r="AF1983">
        <f t="shared" si="90"/>
        <v>50</v>
      </c>
      <c r="AG1983" t="str">
        <f>IF(AF1983="","",IF(AF1983&gt;90,"Sangat baik",IF(AF1983&gt;79,"Baik",IF(AF1983&gt;=pub_gid_0_single_true_output_csv[[#This Row],[KKM]],"Cukup","Kurang"))))</f>
        <v>Kurang</v>
      </c>
      <c r="AH1983">
        <f t="shared" si="91"/>
        <v>12</v>
      </c>
      <c r="AI1983" s="30" t="str">
        <f>IF(OR(J1983&lt;&gt;"Karakter",pub_gid_0_single_true_output_csv[[#This Row],[Nilai2]]=""),"",IF(AF1983&gt;89,"Sangat baik",IF(AF1983&gt;79,"Baik",IF(AF1983&gt;69,"Cukup",IF(AF1983&gt;59,"Kurang","Sangat kurang")))))</f>
        <v/>
      </c>
      <c r="AJ1983" t="str">
        <f t="shared" si="92"/>
        <v>Wk.7</v>
      </c>
      <c r="AK1983" t="str">
        <f>IF(pub_gid_0_single_true_output_csv[[#This Row],[Nilai2]]="","",VLOOKUP(pub_gid_0_single_true_output_csv[[#This Row],[NAMA]],Table7[],3,FALSE))</f>
        <v>High average</v>
      </c>
    </row>
    <row r="1984" spans="1:37" x14ac:dyDescent="0.2">
      <c r="A1984">
        <v>1983</v>
      </c>
      <c r="B1984" t="s">
        <v>314</v>
      </c>
      <c r="C1984" t="s">
        <v>65</v>
      </c>
      <c r="D1984" t="s">
        <v>58</v>
      </c>
      <c r="E1984" t="s">
        <v>140</v>
      </c>
      <c r="F1984" s="25">
        <v>46028</v>
      </c>
      <c r="G1984" t="s">
        <v>349</v>
      </c>
      <c r="H1984" t="s">
        <v>405</v>
      </c>
      <c r="I1984" t="s">
        <v>371</v>
      </c>
      <c r="J1984" t="s">
        <v>31</v>
      </c>
      <c r="K1984" t="s">
        <v>32</v>
      </c>
      <c r="L1984" t="s">
        <v>150</v>
      </c>
      <c r="M1984" t="s">
        <v>141</v>
      </c>
      <c r="N1984" t="s">
        <v>142</v>
      </c>
      <c r="O1984" t="s">
        <v>327</v>
      </c>
      <c r="P1984" t="s">
        <v>281</v>
      </c>
      <c r="Q1984" t="s">
        <v>328</v>
      </c>
      <c r="R1984" t="s">
        <v>329</v>
      </c>
      <c r="S1984" t="s">
        <v>330</v>
      </c>
      <c r="T1984">
        <v>1</v>
      </c>
      <c r="U1984" t="s">
        <v>443</v>
      </c>
      <c r="V1984" t="s">
        <v>285</v>
      </c>
      <c r="W1984" t="s">
        <v>444</v>
      </c>
      <c r="X1984" t="s">
        <v>331</v>
      </c>
      <c r="Y1984" t="s">
        <v>307</v>
      </c>
      <c r="Z1984">
        <v>70</v>
      </c>
      <c r="AA1984">
        <v>60</v>
      </c>
      <c r="AB1984" t="s">
        <v>151</v>
      </c>
      <c r="AC1984" t="s">
        <v>49</v>
      </c>
      <c r="AD1984" t="s">
        <v>426</v>
      </c>
      <c r="AE1984" t="str">
        <f>IF(AF1984="","",VLOOKUP(AC1984,mapel!$A$2:$B$42,2,FALSE))</f>
        <v>Kimia</v>
      </c>
      <c r="AF1984">
        <f t="shared" si="90"/>
        <v>60</v>
      </c>
      <c r="AG1984" t="str">
        <f>IF(AF1984="","",IF(AF1984&gt;90,"Sangat baik",IF(AF1984&gt;79,"Baik",IF(AF1984&gt;=pub_gid_0_single_true_output_csv[[#This Row],[KKM]],"Cukup","Kurang"))))</f>
        <v>Kurang</v>
      </c>
      <c r="AH1984">
        <f t="shared" si="91"/>
        <v>12</v>
      </c>
      <c r="AI1984" s="30" t="str">
        <f>IF(OR(J1984&lt;&gt;"Karakter",pub_gid_0_single_true_output_csv[[#This Row],[Nilai2]]=""),"",IF(AF1984&gt;89,"Sangat baik",IF(AF1984&gt;79,"Baik",IF(AF1984&gt;69,"Cukup",IF(AF1984&gt;59,"Kurang","Sangat kurang")))))</f>
        <v/>
      </c>
      <c r="AJ1984" t="str">
        <f t="shared" si="92"/>
        <v>Wk.2</v>
      </c>
      <c r="AK1984" t="str">
        <f>IF(pub_gid_0_single_true_output_csv[[#This Row],[Nilai2]]="","",VLOOKUP(pub_gid_0_single_true_output_csv[[#This Row],[NAMA]],Table7[],3,FALSE))</f>
        <v>Average</v>
      </c>
    </row>
    <row r="1985" spans="1:37" x14ac:dyDescent="0.2">
      <c r="A1985">
        <v>1984</v>
      </c>
      <c r="B1985" t="s">
        <v>314</v>
      </c>
      <c r="C1985" t="s">
        <v>65</v>
      </c>
      <c r="D1985" t="s">
        <v>58</v>
      </c>
      <c r="E1985" t="s">
        <v>140</v>
      </c>
      <c r="F1985" s="25">
        <v>46035</v>
      </c>
      <c r="G1985" t="s">
        <v>358</v>
      </c>
      <c r="H1985" t="s">
        <v>405</v>
      </c>
      <c r="I1985" t="s">
        <v>371</v>
      </c>
      <c r="J1985" t="s">
        <v>41</v>
      </c>
      <c r="K1985" t="s">
        <v>157</v>
      </c>
      <c r="L1985" t="s">
        <v>321</v>
      </c>
      <c r="M1985" t="s">
        <v>141</v>
      </c>
      <c r="N1985" t="s">
        <v>142</v>
      </c>
      <c r="O1985" t="s">
        <v>327</v>
      </c>
      <c r="P1985" t="s">
        <v>281</v>
      </c>
      <c r="Q1985" t="s">
        <v>328</v>
      </c>
      <c r="R1985" t="s">
        <v>329</v>
      </c>
      <c r="S1985" t="s">
        <v>330</v>
      </c>
      <c r="T1985">
        <v>1</v>
      </c>
      <c r="U1985" t="s">
        <v>443</v>
      </c>
      <c r="V1985" t="s">
        <v>285</v>
      </c>
      <c r="W1985" t="s">
        <v>444</v>
      </c>
      <c r="X1985" t="s">
        <v>331</v>
      </c>
      <c r="Y1985" t="s">
        <v>307</v>
      </c>
      <c r="Z1985">
        <v>70</v>
      </c>
      <c r="AA1985">
        <v>60</v>
      </c>
      <c r="AB1985" t="s">
        <v>151</v>
      </c>
      <c r="AC1985" t="s">
        <v>49</v>
      </c>
      <c r="AD1985" t="s">
        <v>426</v>
      </c>
      <c r="AE1985" t="str">
        <f>IF(AF1985="","",VLOOKUP(AC1985,mapel!$A$2:$B$42,2,FALSE))</f>
        <v>Kimia</v>
      </c>
      <c r="AF1985">
        <f t="shared" si="90"/>
        <v>60</v>
      </c>
      <c r="AG1985" t="str">
        <f>IF(AF1985="","",IF(AF1985&gt;90,"Sangat baik",IF(AF1985&gt;79,"Baik",IF(AF1985&gt;=pub_gid_0_single_true_output_csv[[#This Row],[KKM]],"Cukup","Kurang"))))</f>
        <v>Kurang</v>
      </c>
      <c r="AH1985">
        <f t="shared" si="91"/>
        <v>12</v>
      </c>
      <c r="AI1985" s="30" t="str">
        <f>IF(OR(J1985&lt;&gt;"Karakter",pub_gid_0_single_true_output_csv[[#This Row],[Nilai2]]=""),"",IF(AF1985&gt;89,"Sangat baik",IF(AF1985&gt;79,"Baik",IF(AF1985&gt;69,"Cukup",IF(AF1985&gt;59,"Kurang","Sangat kurang")))))</f>
        <v/>
      </c>
      <c r="AJ1985" t="str">
        <f t="shared" si="92"/>
        <v>Wk.3</v>
      </c>
      <c r="AK1985" t="str">
        <f>IF(pub_gid_0_single_true_output_csv[[#This Row],[Nilai2]]="","",VLOOKUP(pub_gid_0_single_true_output_csv[[#This Row],[NAMA]],Table7[],3,FALSE))</f>
        <v>Average</v>
      </c>
    </row>
    <row r="1986" spans="1:37" x14ac:dyDescent="0.2">
      <c r="A1986">
        <v>1985</v>
      </c>
      <c r="B1986" t="s">
        <v>314</v>
      </c>
      <c r="C1986" t="s">
        <v>65</v>
      </c>
      <c r="D1986" t="s">
        <v>58</v>
      </c>
      <c r="E1986" t="s">
        <v>140</v>
      </c>
      <c r="F1986" s="25">
        <v>46049</v>
      </c>
      <c r="G1986" t="s">
        <v>373</v>
      </c>
      <c r="H1986" t="s">
        <v>405</v>
      </c>
      <c r="I1986" t="s">
        <v>371</v>
      </c>
      <c r="J1986" t="s">
        <v>36</v>
      </c>
      <c r="K1986" t="s">
        <v>37</v>
      </c>
      <c r="L1986" t="s">
        <v>150</v>
      </c>
      <c r="M1986" t="s">
        <v>141</v>
      </c>
      <c r="N1986" t="s">
        <v>142</v>
      </c>
      <c r="O1986" t="s">
        <v>327</v>
      </c>
      <c r="P1986" t="s">
        <v>281</v>
      </c>
      <c r="Q1986" t="s">
        <v>328</v>
      </c>
      <c r="R1986" t="s">
        <v>329</v>
      </c>
      <c r="S1986" t="s">
        <v>330</v>
      </c>
      <c r="T1986">
        <v>1</v>
      </c>
      <c r="U1986" t="s">
        <v>443</v>
      </c>
      <c r="V1986" t="s">
        <v>285</v>
      </c>
      <c r="W1986" t="s">
        <v>444</v>
      </c>
      <c r="X1986" t="s">
        <v>331</v>
      </c>
      <c r="Y1986" t="s">
        <v>307</v>
      </c>
      <c r="Z1986">
        <v>70</v>
      </c>
      <c r="AA1986">
        <v>60</v>
      </c>
      <c r="AB1986" t="s">
        <v>151</v>
      </c>
      <c r="AC1986" t="s">
        <v>49</v>
      </c>
      <c r="AD1986" t="s">
        <v>426</v>
      </c>
      <c r="AE1986" t="str">
        <f>IF(AF1986="","",VLOOKUP(AC1986,mapel!$A$2:$B$42,2,FALSE))</f>
        <v>Kimia</v>
      </c>
      <c r="AF1986">
        <f t="shared" ref="AF1986:AF2049" si="93">IF(AA1986=0, "",IF(AA1986 = 0.1, 0,AA1986))</f>
        <v>60</v>
      </c>
      <c r="AG1986" t="str">
        <f>IF(AF1986="","",IF(AF1986&gt;90,"Sangat baik",IF(AF1986&gt;79,"Baik",IF(AF1986&gt;=pub_gid_0_single_true_output_csv[[#This Row],[KKM]],"Cukup","Kurang"))))</f>
        <v>Kurang</v>
      </c>
      <c r="AH1986">
        <f t="shared" ref="AH1986:AH2049" si="94">IF(AG1986="","",VALUE(RIGHT(X1986,2)))</f>
        <v>12</v>
      </c>
      <c r="AI1986" s="30" t="str">
        <f>IF(OR(J1986&lt;&gt;"Karakter",pub_gid_0_single_true_output_csv[[#This Row],[Nilai2]]=""),"",IF(AF1986&gt;89,"Sangat baik",IF(AF1986&gt;79,"Baik",IF(AF1986&gt;69,"Cukup",IF(AF1986&gt;59,"Kurang","Sangat kurang")))))</f>
        <v/>
      </c>
      <c r="AJ1986" t="str">
        <f t="shared" ref="AJ1986:AJ2049" si="95">IF(AF1986="","",CONCATENATE("Wk.",WEEKNUM(F1986,2)))</f>
        <v>Wk.5</v>
      </c>
      <c r="AK1986" t="str">
        <f>IF(pub_gid_0_single_true_output_csv[[#This Row],[Nilai2]]="","",VLOOKUP(pub_gid_0_single_true_output_csv[[#This Row],[NAMA]],Table7[],3,FALSE))</f>
        <v>Average</v>
      </c>
    </row>
    <row r="1987" spans="1:37" x14ac:dyDescent="0.2">
      <c r="A1987">
        <v>1986</v>
      </c>
      <c r="B1987" t="s">
        <v>314</v>
      </c>
      <c r="C1987" t="s">
        <v>65</v>
      </c>
      <c r="D1987" t="s">
        <v>58</v>
      </c>
      <c r="E1987" t="s">
        <v>140</v>
      </c>
      <c r="F1987" s="25">
        <v>46063</v>
      </c>
      <c r="G1987" t="s">
        <v>374</v>
      </c>
      <c r="H1987" t="s">
        <v>412</v>
      </c>
      <c r="I1987" t="s">
        <v>371</v>
      </c>
      <c r="J1987" t="s">
        <v>36</v>
      </c>
      <c r="K1987" t="s">
        <v>362</v>
      </c>
      <c r="L1987" t="s">
        <v>363</v>
      </c>
      <c r="M1987" t="s">
        <v>141</v>
      </c>
      <c r="N1987" t="s">
        <v>142</v>
      </c>
      <c r="O1987" t="s">
        <v>327</v>
      </c>
      <c r="P1987" t="s">
        <v>281</v>
      </c>
      <c r="Q1987" t="s">
        <v>328</v>
      </c>
      <c r="R1987" t="s">
        <v>329</v>
      </c>
      <c r="S1987" t="s">
        <v>330</v>
      </c>
      <c r="T1987">
        <v>1</v>
      </c>
      <c r="U1987" t="s">
        <v>443</v>
      </c>
      <c r="V1987" t="s">
        <v>285</v>
      </c>
      <c r="W1987" t="s">
        <v>444</v>
      </c>
      <c r="X1987" t="s">
        <v>331</v>
      </c>
      <c r="Y1987" t="s">
        <v>307</v>
      </c>
      <c r="Z1987">
        <v>70</v>
      </c>
      <c r="AA1987">
        <v>10</v>
      </c>
      <c r="AB1987" t="s">
        <v>151</v>
      </c>
      <c r="AC1987" t="s">
        <v>49</v>
      </c>
      <c r="AD1987" t="s">
        <v>426</v>
      </c>
      <c r="AE1987" t="str">
        <f>IF(AF1987="","",VLOOKUP(AC1987,mapel!$A$2:$B$42,2,FALSE))</f>
        <v>Kimia</v>
      </c>
      <c r="AF1987">
        <f t="shared" si="93"/>
        <v>10</v>
      </c>
      <c r="AG1987" t="str">
        <f>IF(AF1987="","",IF(AF1987&gt;90,"Sangat baik",IF(AF1987&gt;79,"Baik",IF(AF1987&gt;=pub_gid_0_single_true_output_csv[[#This Row],[KKM]],"Cukup","Kurang"))))</f>
        <v>Kurang</v>
      </c>
      <c r="AH1987">
        <f t="shared" si="94"/>
        <v>12</v>
      </c>
      <c r="AI1987" s="30" t="str">
        <f>IF(OR(J1987&lt;&gt;"Karakter",pub_gid_0_single_true_output_csv[[#This Row],[Nilai2]]=""),"",IF(AF1987&gt;89,"Sangat baik",IF(AF1987&gt;79,"Baik",IF(AF1987&gt;69,"Cukup",IF(AF1987&gt;59,"Kurang","Sangat kurang")))))</f>
        <v/>
      </c>
      <c r="AJ1987" t="str">
        <f t="shared" si="95"/>
        <v>Wk.7</v>
      </c>
      <c r="AK1987" t="str">
        <f>IF(pub_gid_0_single_true_output_csv[[#This Row],[Nilai2]]="","",VLOOKUP(pub_gid_0_single_true_output_csv[[#This Row],[NAMA]],Table7[],3,FALSE))</f>
        <v>Average</v>
      </c>
    </row>
    <row r="1988" spans="1:37" x14ac:dyDescent="0.2">
      <c r="A1988">
        <v>1987</v>
      </c>
      <c r="B1988" t="s">
        <v>332</v>
      </c>
      <c r="C1988" t="s">
        <v>65</v>
      </c>
      <c r="D1988" t="s">
        <v>59</v>
      </c>
      <c r="E1988" t="s">
        <v>333</v>
      </c>
      <c r="F1988" s="25">
        <v>46028</v>
      </c>
      <c r="G1988" t="s">
        <v>349</v>
      </c>
      <c r="H1988" t="s">
        <v>405</v>
      </c>
      <c r="I1988" t="s">
        <v>371</v>
      </c>
      <c r="J1988" t="s">
        <v>31</v>
      </c>
      <c r="K1988" t="s">
        <v>32</v>
      </c>
      <c r="L1988" t="s">
        <v>150</v>
      </c>
      <c r="M1988" t="s">
        <v>141</v>
      </c>
      <c r="N1988" t="s">
        <v>142</v>
      </c>
      <c r="O1988" t="s">
        <v>327</v>
      </c>
      <c r="P1988" t="s">
        <v>281</v>
      </c>
      <c r="Q1988" t="s">
        <v>328</v>
      </c>
      <c r="R1988" t="s">
        <v>329</v>
      </c>
      <c r="S1988" t="s">
        <v>330</v>
      </c>
      <c r="T1988">
        <v>1</v>
      </c>
      <c r="U1988" t="s">
        <v>443</v>
      </c>
      <c r="V1988" t="s">
        <v>285</v>
      </c>
      <c r="W1988" t="s">
        <v>444</v>
      </c>
      <c r="X1988" t="s">
        <v>331</v>
      </c>
      <c r="Y1988" t="s">
        <v>307</v>
      </c>
      <c r="Z1988">
        <v>70</v>
      </c>
      <c r="AA1988">
        <v>80</v>
      </c>
      <c r="AB1988" t="s">
        <v>143</v>
      </c>
      <c r="AC1988" t="s">
        <v>49</v>
      </c>
      <c r="AD1988" t="s">
        <v>426</v>
      </c>
      <c r="AE1988" t="str">
        <f>IF(AF1988="","",VLOOKUP(AC1988,mapel!$A$2:$B$42,2,FALSE))</f>
        <v>Kimia</v>
      </c>
      <c r="AF1988">
        <f t="shared" si="93"/>
        <v>80</v>
      </c>
      <c r="AG1988" t="str">
        <f>IF(AF1988="","",IF(AF1988&gt;90,"Sangat baik",IF(AF1988&gt;79,"Baik",IF(AF1988&gt;=pub_gid_0_single_true_output_csv[[#This Row],[KKM]],"Cukup","Kurang"))))</f>
        <v>Baik</v>
      </c>
      <c r="AH1988">
        <f t="shared" si="94"/>
        <v>12</v>
      </c>
      <c r="AI1988" s="30" t="str">
        <f>IF(OR(J1988&lt;&gt;"Karakter",pub_gid_0_single_true_output_csv[[#This Row],[Nilai2]]=""),"",IF(AF1988&gt;89,"Sangat baik",IF(AF1988&gt;79,"Baik",IF(AF1988&gt;69,"Cukup",IF(AF1988&gt;59,"Kurang","Sangat kurang")))))</f>
        <v/>
      </c>
      <c r="AJ1988" t="str">
        <f t="shared" si="95"/>
        <v>Wk.2</v>
      </c>
      <c r="AK1988" t="str">
        <f>IF(pub_gid_0_single_true_output_csv[[#This Row],[Nilai2]]="","",VLOOKUP(pub_gid_0_single_true_output_csv[[#This Row],[NAMA]],Table7[],3,FALSE))</f>
        <v>Superior</v>
      </c>
    </row>
    <row r="1989" spans="1:37" x14ac:dyDescent="0.2">
      <c r="A1989">
        <v>1988</v>
      </c>
      <c r="B1989" t="s">
        <v>332</v>
      </c>
      <c r="C1989" t="s">
        <v>65</v>
      </c>
      <c r="D1989" t="s">
        <v>59</v>
      </c>
      <c r="E1989" t="s">
        <v>333</v>
      </c>
      <c r="F1989" s="25">
        <v>46035</v>
      </c>
      <c r="G1989" t="s">
        <v>358</v>
      </c>
      <c r="H1989" t="s">
        <v>405</v>
      </c>
      <c r="I1989" t="s">
        <v>371</v>
      </c>
      <c r="J1989" t="s">
        <v>41</v>
      </c>
      <c r="K1989" t="s">
        <v>157</v>
      </c>
      <c r="L1989" t="s">
        <v>321</v>
      </c>
      <c r="M1989" t="s">
        <v>141</v>
      </c>
      <c r="N1989" t="s">
        <v>142</v>
      </c>
      <c r="O1989" t="s">
        <v>327</v>
      </c>
      <c r="P1989" t="s">
        <v>281</v>
      </c>
      <c r="Q1989" t="s">
        <v>328</v>
      </c>
      <c r="R1989" t="s">
        <v>329</v>
      </c>
      <c r="S1989" t="s">
        <v>330</v>
      </c>
      <c r="T1989">
        <v>1</v>
      </c>
      <c r="U1989" t="s">
        <v>443</v>
      </c>
      <c r="V1989" t="s">
        <v>285</v>
      </c>
      <c r="W1989" t="s">
        <v>444</v>
      </c>
      <c r="X1989" t="s">
        <v>331</v>
      </c>
      <c r="Y1989" t="s">
        <v>307</v>
      </c>
      <c r="Z1989">
        <v>70</v>
      </c>
      <c r="AA1989">
        <v>75</v>
      </c>
      <c r="AB1989" t="s">
        <v>143</v>
      </c>
      <c r="AC1989" t="s">
        <v>49</v>
      </c>
      <c r="AD1989" t="s">
        <v>426</v>
      </c>
      <c r="AE1989" t="str">
        <f>IF(AF1989="","",VLOOKUP(AC1989,mapel!$A$2:$B$42,2,FALSE))</f>
        <v>Kimia</v>
      </c>
      <c r="AF1989">
        <f t="shared" si="93"/>
        <v>75</v>
      </c>
      <c r="AG1989" t="str">
        <f>IF(AF1989="","",IF(AF1989&gt;90,"Sangat baik",IF(AF1989&gt;79,"Baik",IF(AF1989&gt;=pub_gid_0_single_true_output_csv[[#This Row],[KKM]],"Cukup","Kurang"))))</f>
        <v>Cukup</v>
      </c>
      <c r="AH1989">
        <f t="shared" si="94"/>
        <v>12</v>
      </c>
      <c r="AI1989" s="30" t="str">
        <f>IF(OR(J1989&lt;&gt;"Karakter",pub_gid_0_single_true_output_csv[[#This Row],[Nilai2]]=""),"",IF(AF1989&gt;89,"Sangat baik",IF(AF1989&gt;79,"Baik",IF(AF1989&gt;69,"Cukup",IF(AF1989&gt;59,"Kurang","Sangat kurang")))))</f>
        <v/>
      </c>
      <c r="AJ1989" t="str">
        <f t="shared" si="95"/>
        <v>Wk.3</v>
      </c>
      <c r="AK1989" t="str">
        <f>IF(pub_gid_0_single_true_output_csv[[#This Row],[Nilai2]]="","",VLOOKUP(pub_gid_0_single_true_output_csv[[#This Row],[NAMA]],Table7[],3,FALSE))</f>
        <v>Superior</v>
      </c>
    </row>
    <row r="1990" spans="1:37" x14ac:dyDescent="0.2">
      <c r="A1990">
        <v>1989</v>
      </c>
      <c r="B1990" t="s">
        <v>332</v>
      </c>
      <c r="C1990" t="s">
        <v>65</v>
      </c>
      <c r="D1990" t="s">
        <v>59</v>
      </c>
      <c r="E1990" t="s">
        <v>333</v>
      </c>
      <c r="F1990" s="25">
        <v>46049</v>
      </c>
      <c r="G1990" t="s">
        <v>373</v>
      </c>
      <c r="H1990" t="s">
        <v>405</v>
      </c>
      <c r="I1990" t="s">
        <v>371</v>
      </c>
      <c r="J1990" t="s">
        <v>36</v>
      </c>
      <c r="K1990" t="s">
        <v>37</v>
      </c>
      <c r="L1990" t="s">
        <v>150</v>
      </c>
      <c r="M1990" t="s">
        <v>141</v>
      </c>
      <c r="N1990" t="s">
        <v>142</v>
      </c>
      <c r="O1990" t="s">
        <v>327</v>
      </c>
      <c r="P1990" t="s">
        <v>281</v>
      </c>
      <c r="Q1990" t="s">
        <v>328</v>
      </c>
      <c r="R1990" t="s">
        <v>329</v>
      </c>
      <c r="S1990" t="s">
        <v>330</v>
      </c>
      <c r="T1990">
        <v>1</v>
      </c>
      <c r="U1990" t="s">
        <v>443</v>
      </c>
      <c r="V1990" t="s">
        <v>285</v>
      </c>
      <c r="W1990" t="s">
        <v>444</v>
      </c>
      <c r="X1990" t="s">
        <v>331</v>
      </c>
      <c r="Y1990" t="s">
        <v>307</v>
      </c>
      <c r="Z1990">
        <v>70</v>
      </c>
      <c r="AA1990">
        <v>100</v>
      </c>
      <c r="AB1990" t="s">
        <v>143</v>
      </c>
      <c r="AC1990" t="s">
        <v>49</v>
      </c>
      <c r="AD1990" t="s">
        <v>426</v>
      </c>
      <c r="AE1990" t="str">
        <f>IF(AF1990="","",VLOOKUP(AC1990,mapel!$A$2:$B$42,2,FALSE))</f>
        <v>Kimia</v>
      </c>
      <c r="AF1990">
        <f t="shared" si="93"/>
        <v>100</v>
      </c>
      <c r="AG1990" t="str">
        <f>IF(AF1990="","",IF(AF1990&gt;90,"Sangat baik",IF(AF1990&gt;79,"Baik",IF(AF1990&gt;=pub_gid_0_single_true_output_csv[[#This Row],[KKM]],"Cukup","Kurang"))))</f>
        <v>Sangat baik</v>
      </c>
      <c r="AH1990">
        <f t="shared" si="94"/>
        <v>12</v>
      </c>
      <c r="AI1990" s="30" t="str">
        <f>IF(OR(J1990&lt;&gt;"Karakter",pub_gid_0_single_true_output_csv[[#This Row],[Nilai2]]=""),"",IF(AF1990&gt;89,"Sangat baik",IF(AF1990&gt;79,"Baik",IF(AF1990&gt;69,"Cukup",IF(AF1990&gt;59,"Kurang","Sangat kurang")))))</f>
        <v/>
      </c>
      <c r="AJ1990" t="str">
        <f t="shared" si="95"/>
        <v>Wk.5</v>
      </c>
      <c r="AK1990" t="str">
        <f>IF(pub_gid_0_single_true_output_csv[[#This Row],[Nilai2]]="","",VLOOKUP(pub_gid_0_single_true_output_csv[[#This Row],[NAMA]],Table7[],3,FALSE))</f>
        <v>Superior</v>
      </c>
    </row>
    <row r="1991" spans="1:37" x14ac:dyDescent="0.2">
      <c r="A1991">
        <v>1990</v>
      </c>
      <c r="B1991" t="s">
        <v>332</v>
      </c>
      <c r="C1991" t="s">
        <v>65</v>
      </c>
      <c r="D1991" t="s">
        <v>59</v>
      </c>
      <c r="E1991" t="s">
        <v>333</v>
      </c>
      <c r="F1991" s="25">
        <v>46063</v>
      </c>
      <c r="G1991" t="s">
        <v>374</v>
      </c>
      <c r="H1991" t="s">
        <v>412</v>
      </c>
      <c r="I1991" t="s">
        <v>371</v>
      </c>
      <c r="J1991" t="s">
        <v>36</v>
      </c>
      <c r="K1991" t="s">
        <v>362</v>
      </c>
      <c r="L1991" t="s">
        <v>363</v>
      </c>
      <c r="M1991" t="s">
        <v>141</v>
      </c>
      <c r="N1991" t="s">
        <v>142</v>
      </c>
      <c r="O1991" t="s">
        <v>327</v>
      </c>
      <c r="P1991" t="s">
        <v>281</v>
      </c>
      <c r="Q1991" t="s">
        <v>328</v>
      </c>
      <c r="R1991" t="s">
        <v>329</v>
      </c>
      <c r="S1991" t="s">
        <v>330</v>
      </c>
      <c r="T1991">
        <v>1</v>
      </c>
      <c r="U1991" t="s">
        <v>443</v>
      </c>
      <c r="V1991" t="s">
        <v>285</v>
      </c>
      <c r="W1991" t="s">
        <v>444</v>
      </c>
      <c r="X1991" t="s">
        <v>331</v>
      </c>
      <c r="Y1991" t="s">
        <v>307</v>
      </c>
      <c r="Z1991">
        <v>70</v>
      </c>
      <c r="AA1991">
        <v>25</v>
      </c>
      <c r="AB1991" t="s">
        <v>151</v>
      </c>
      <c r="AC1991" t="s">
        <v>49</v>
      </c>
      <c r="AD1991" t="s">
        <v>426</v>
      </c>
      <c r="AE1991" t="str">
        <f>IF(AF1991="","",VLOOKUP(AC1991,mapel!$A$2:$B$42,2,FALSE))</f>
        <v>Kimia</v>
      </c>
      <c r="AF1991">
        <f t="shared" si="93"/>
        <v>25</v>
      </c>
      <c r="AG1991" t="str">
        <f>IF(AF1991="","",IF(AF1991&gt;90,"Sangat baik",IF(AF1991&gt;79,"Baik",IF(AF1991&gt;=pub_gid_0_single_true_output_csv[[#This Row],[KKM]],"Cukup","Kurang"))))</f>
        <v>Kurang</v>
      </c>
      <c r="AH1991">
        <f t="shared" si="94"/>
        <v>12</v>
      </c>
      <c r="AI1991" s="30" t="str">
        <f>IF(OR(J1991&lt;&gt;"Karakter",pub_gid_0_single_true_output_csv[[#This Row],[Nilai2]]=""),"",IF(AF1991&gt;89,"Sangat baik",IF(AF1991&gt;79,"Baik",IF(AF1991&gt;69,"Cukup",IF(AF1991&gt;59,"Kurang","Sangat kurang")))))</f>
        <v/>
      </c>
      <c r="AJ1991" t="str">
        <f t="shared" si="95"/>
        <v>Wk.7</v>
      </c>
      <c r="AK1991" t="str">
        <f>IF(pub_gid_0_single_true_output_csv[[#This Row],[Nilai2]]="","",VLOOKUP(pub_gid_0_single_true_output_csv[[#This Row],[NAMA]],Table7[],3,FALSE))</f>
        <v>Superior</v>
      </c>
    </row>
    <row r="1992" spans="1:37" x14ac:dyDescent="0.2">
      <c r="A1992">
        <v>1991</v>
      </c>
      <c r="B1992" t="s">
        <v>315</v>
      </c>
      <c r="C1992" t="s">
        <v>65</v>
      </c>
      <c r="D1992" t="s">
        <v>60</v>
      </c>
      <c r="E1992" t="s">
        <v>140</v>
      </c>
      <c r="F1992" s="25">
        <v>46028</v>
      </c>
      <c r="G1992" t="s">
        <v>349</v>
      </c>
      <c r="H1992" t="s">
        <v>405</v>
      </c>
      <c r="I1992" t="s">
        <v>371</v>
      </c>
      <c r="J1992" t="s">
        <v>31</v>
      </c>
      <c r="K1992" t="s">
        <v>32</v>
      </c>
      <c r="L1992" t="s">
        <v>150</v>
      </c>
      <c r="M1992" t="s">
        <v>141</v>
      </c>
      <c r="N1992" t="s">
        <v>142</v>
      </c>
      <c r="O1992" t="s">
        <v>327</v>
      </c>
      <c r="P1992" t="s">
        <v>281</v>
      </c>
      <c r="Q1992" t="s">
        <v>328</v>
      </c>
      <c r="R1992" t="s">
        <v>329</v>
      </c>
      <c r="S1992" t="s">
        <v>330</v>
      </c>
      <c r="T1992">
        <v>1</v>
      </c>
      <c r="U1992" t="s">
        <v>443</v>
      </c>
      <c r="V1992" t="s">
        <v>285</v>
      </c>
      <c r="W1992" t="s">
        <v>444</v>
      </c>
      <c r="X1992" t="s">
        <v>331</v>
      </c>
      <c r="Y1992" t="s">
        <v>307</v>
      </c>
      <c r="Z1992">
        <v>70</v>
      </c>
      <c r="AA1992">
        <v>60</v>
      </c>
      <c r="AB1992" t="s">
        <v>151</v>
      </c>
      <c r="AC1992" t="s">
        <v>49</v>
      </c>
      <c r="AD1992" t="s">
        <v>426</v>
      </c>
      <c r="AE1992" t="str">
        <f>IF(AF1992="","",VLOOKUP(AC1992,mapel!$A$2:$B$42,2,FALSE))</f>
        <v>Kimia</v>
      </c>
      <c r="AF1992">
        <f t="shared" si="93"/>
        <v>60</v>
      </c>
      <c r="AG1992" t="str">
        <f>IF(AF1992="","",IF(AF1992&gt;90,"Sangat baik",IF(AF1992&gt;79,"Baik",IF(AF1992&gt;=pub_gid_0_single_true_output_csv[[#This Row],[KKM]],"Cukup","Kurang"))))</f>
        <v>Kurang</v>
      </c>
      <c r="AH1992">
        <f t="shared" si="94"/>
        <v>12</v>
      </c>
      <c r="AI1992" s="30" t="str">
        <f>IF(OR(J1992&lt;&gt;"Karakter",pub_gid_0_single_true_output_csv[[#This Row],[Nilai2]]=""),"",IF(AF1992&gt;89,"Sangat baik",IF(AF1992&gt;79,"Baik",IF(AF1992&gt;69,"Cukup",IF(AF1992&gt;59,"Kurang","Sangat kurang")))))</f>
        <v/>
      </c>
      <c r="AJ1992" t="str">
        <f t="shared" si="95"/>
        <v>Wk.2</v>
      </c>
      <c r="AK1992" t="str">
        <f>IF(pub_gid_0_single_true_output_csv[[#This Row],[Nilai2]]="","",VLOOKUP(pub_gid_0_single_true_output_csv[[#This Row],[NAMA]],Table7[],3,FALSE))</f>
        <v>High average</v>
      </c>
    </row>
    <row r="1993" spans="1:37" x14ac:dyDescent="0.2">
      <c r="A1993">
        <v>1992</v>
      </c>
      <c r="B1993" t="s">
        <v>315</v>
      </c>
      <c r="C1993" t="s">
        <v>65</v>
      </c>
      <c r="D1993" t="s">
        <v>60</v>
      </c>
      <c r="E1993" t="s">
        <v>140</v>
      </c>
      <c r="F1993" s="25">
        <v>46035</v>
      </c>
      <c r="G1993" t="s">
        <v>358</v>
      </c>
      <c r="H1993" t="s">
        <v>405</v>
      </c>
      <c r="I1993" t="s">
        <v>371</v>
      </c>
      <c r="J1993" t="s">
        <v>41</v>
      </c>
      <c r="K1993" t="s">
        <v>157</v>
      </c>
      <c r="L1993" t="s">
        <v>321</v>
      </c>
      <c r="M1993" t="s">
        <v>141</v>
      </c>
      <c r="N1993" t="s">
        <v>142</v>
      </c>
      <c r="O1993" t="s">
        <v>327</v>
      </c>
      <c r="P1993" t="s">
        <v>281</v>
      </c>
      <c r="Q1993" t="s">
        <v>328</v>
      </c>
      <c r="R1993" t="s">
        <v>329</v>
      </c>
      <c r="S1993" t="s">
        <v>330</v>
      </c>
      <c r="T1993">
        <v>1</v>
      </c>
      <c r="U1993" t="s">
        <v>443</v>
      </c>
      <c r="V1993" t="s">
        <v>285</v>
      </c>
      <c r="W1993" t="s">
        <v>444</v>
      </c>
      <c r="X1993" t="s">
        <v>331</v>
      </c>
      <c r="Y1993" t="s">
        <v>307</v>
      </c>
      <c r="Z1993">
        <v>70</v>
      </c>
      <c r="AA1993">
        <v>60</v>
      </c>
      <c r="AB1993" t="s">
        <v>151</v>
      </c>
      <c r="AC1993" t="s">
        <v>49</v>
      </c>
      <c r="AD1993" t="s">
        <v>426</v>
      </c>
      <c r="AE1993" t="str">
        <f>IF(AF1993="","",VLOOKUP(AC1993,mapel!$A$2:$B$42,2,FALSE))</f>
        <v>Kimia</v>
      </c>
      <c r="AF1993">
        <f t="shared" si="93"/>
        <v>60</v>
      </c>
      <c r="AG1993" t="str">
        <f>IF(AF1993="","",IF(AF1993&gt;90,"Sangat baik",IF(AF1993&gt;79,"Baik",IF(AF1993&gt;=pub_gid_0_single_true_output_csv[[#This Row],[KKM]],"Cukup","Kurang"))))</f>
        <v>Kurang</v>
      </c>
      <c r="AH1993">
        <f t="shared" si="94"/>
        <v>12</v>
      </c>
      <c r="AI1993" s="30" t="str">
        <f>IF(OR(J1993&lt;&gt;"Karakter",pub_gid_0_single_true_output_csv[[#This Row],[Nilai2]]=""),"",IF(AF1993&gt;89,"Sangat baik",IF(AF1993&gt;79,"Baik",IF(AF1993&gt;69,"Cukup",IF(AF1993&gt;59,"Kurang","Sangat kurang")))))</f>
        <v/>
      </c>
      <c r="AJ1993" t="str">
        <f t="shared" si="95"/>
        <v>Wk.3</v>
      </c>
      <c r="AK1993" t="str">
        <f>IF(pub_gid_0_single_true_output_csv[[#This Row],[Nilai2]]="","",VLOOKUP(pub_gid_0_single_true_output_csv[[#This Row],[NAMA]],Table7[],3,FALSE))</f>
        <v>High average</v>
      </c>
    </row>
    <row r="1994" spans="1:37" x14ac:dyDescent="0.2">
      <c r="A1994">
        <v>1993</v>
      </c>
      <c r="B1994" t="s">
        <v>315</v>
      </c>
      <c r="C1994" t="s">
        <v>65</v>
      </c>
      <c r="D1994" t="s">
        <v>60</v>
      </c>
      <c r="E1994" t="s">
        <v>140</v>
      </c>
      <c r="F1994" s="25">
        <v>46049</v>
      </c>
      <c r="G1994" t="s">
        <v>373</v>
      </c>
      <c r="H1994" t="s">
        <v>405</v>
      </c>
      <c r="I1994" t="s">
        <v>371</v>
      </c>
      <c r="J1994" t="s">
        <v>36</v>
      </c>
      <c r="K1994" t="s">
        <v>37</v>
      </c>
      <c r="L1994" t="s">
        <v>150</v>
      </c>
      <c r="M1994" t="s">
        <v>141</v>
      </c>
      <c r="N1994" t="s">
        <v>142</v>
      </c>
      <c r="O1994" t="s">
        <v>327</v>
      </c>
      <c r="P1994" t="s">
        <v>281</v>
      </c>
      <c r="Q1994" t="s">
        <v>328</v>
      </c>
      <c r="R1994" t="s">
        <v>329</v>
      </c>
      <c r="S1994" t="s">
        <v>330</v>
      </c>
      <c r="T1994">
        <v>1</v>
      </c>
      <c r="U1994" t="s">
        <v>443</v>
      </c>
      <c r="V1994" t="s">
        <v>285</v>
      </c>
      <c r="W1994" t="s">
        <v>444</v>
      </c>
      <c r="X1994" t="s">
        <v>331</v>
      </c>
      <c r="Y1994" t="s">
        <v>307</v>
      </c>
      <c r="Z1994">
        <v>70</v>
      </c>
      <c r="AA1994">
        <v>80</v>
      </c>
      <c r="AB1994" t="s">
        <v>143</v>
      </c>
      <c r="AC1994" t="s">
        <v>49</v>
      </c>
      <c r="AD1994" t="s">
        <v>426</v>
      </c>
      <c r="AE1994" t="str">
        <f>IF(AF1994="","",VLOOKUP(AC1994,mapel!$A$2:$B$42,2,FALSE))</f>
        <v>Kimia</v>
      </c>
      <c r="AF1994">
        <f t="shared" si="93"/>
        <v>80</v>
      </c>
      <c r="AG1994" t="str">
        <f>IF(AF1994="","",IF(AF1994&gt;90,"Sangat baik",IF(AF1994&gt;79,"Baik",IF(AF1994&gt;=pub_gid_0_single_true_output_csv[[#This Row],[KKM]],"Cukup","Kurang"))))</f>
        <v>Baik</v>
      </c>
      <c r="AH1994">
        <f t="shared" si="94"/>
        <v>12</v>
      </c>
      <c r="AI1994" s="30" t="str">
        <f>IF(OR(J1994&lt;&gt;"Karakter",pub_gid_0_single_true_output_csv[[#This Row],[Nilai2]]=""),"",IF(AF1994&gt;89,"Sangat baik",IF(AF1994&gt;79,"Baik",IF(AF1994&gt;69,"Cukup",IF(AF1994&gt;59,"Kurang","Sangat kurang")))))</f>
        <v/>
      </c>
      <c r="AJ1994" t="str">
        <f t="shared" si="95"/>
        <v>Wk.5</v>
      </c>
      <c r="AK1994" t="str">
        <f>IF(pub_gid_0_single_true_output_csv[[#This Row],[Nilai2]]="","",VLOOKUP(pub_gid_0_single_true_output_csv[[#This Row],[NAMA]],Table7[],3,FALSE))</f>
        <v>High average</v>
      </c>
    </row>
    <row r="1995" spans="1:37" x14ac:dyDescent="0.2">
      <c r="A1995">
        <v>1994</v>
      </c>
      <c r="B1995" t="s">
        <v>315</v>
      </c>
      <c r="C1995" t="s">
        <v>65</v>
      </c>
      <c r="D1995" t="s">
        <v>60</v>
      </c>
      <c r="E1995" t="s">
        <v>140</v>
      </c>
      <c r="F1995" s="25">
        <v>46063</v>
      </c>
      <c r="G1995" t="s">
        <v>374</v>
      </c>
      <c r="H1995" t="s">
        <v>412</v>
      </c>
      <c r="I1995" t="s">
        <v>371</v>
      </c>
      <c r="J1995" t="s">
        <v>36</v>
      </c>
      <c r="K1995" t="s">
        <v>362</v>
      </c>
      <c r="L1995" t="s">
        <v>363</v>
      </c>
      <c r="M1995" t="s">
        <v>141</v>
      </c>
      <c r="N1995" t="s">
        <v>142</v>
      </c>
      <c r="O1995" t="s">
        <v>327</v>
      </c>
      <c r="P1995" t="s">
        <v>281</v>
      </c>
      <c r="Q1995" t="s">
        <v>328</v>
      </c>
      <c r="R1995" t="s">
        <v>329</v>
      </c>
      <c r="S1995" t="s">
        <v>330</v>
      </c>
      <c r="T1995">
        <v>1</v>
      </c>
      <c r="U1995" t="s">
        <v>443</v>
      </c>
      <c r="V1995" t="s">
        <v>285</v>
      </c>
      <c r="W1995" t="s">
        <v>444</v>
      </c>
      <c r="X1995" t="s">
        <v>331</v>
      </c>
      <c r="Y1995" t="s">
        <v>307</v>
      </c>
      <c r="Z1995">
        <v>70</v>
      </c>
      <c r="AA1995">
        <v>30</v>
      </c>
      <c r="AB1995" t="s">
        <v>151</v>
      </c>
      <c r="AC1995" t="s">
        <v>49</v>
      </c>
      <c r="AD1995" t="s">
        <v>426</v>
      </c>
      <c r="AE1995" t="str">
        <f>IF(AF1995="","",VLOOKUP(AC1995,mapel!$A$2:$B$42,2,FALSE))</f>
        <v>Kimia</v>
      </c>
      <c r="AF1995">
        <f t="shared" si="93"/>
        <v>30</v>
      </c>
      <c r="AG1995" t="str">
        <f>IF(AF1995="","",IF(AF1995&gt;90,"Sangat baik",IF(AF1995&gt;79,"Baik",IF(AF1995&gt;=pub_gid_0_single_true_output_csv[[#This Row],[KKM]],"Cukup","Kurang"))))</f>
        <v>Kurang</v>
      </c>
      <c r="AH1995">
        <f t="shared" si="94"/>
        <v>12</v>
      </c>
      <c r="AI1995" s="30" t="str">
        <f>IF(OR(J1995&lt;&gt;"Karakter",pub_gid_0_single_true_output_csv[[#This Row],[Nilai2]]=""),"",IF(AF1995&gt;89,"Sangat baik",IF(AF1995&gt;79,"Baik",IF(AF1995&gt;69,"Cukup",IF(AF1995&gt;59,"Kurang","Sangat kurang")))))</f>
        <v/>
      </c>
      <c r="AJ1995" t="str">
        <f t="shared" si="95"/>
        <v>Wk.7</v>
      </c>
      <c r="AK1995" t="str">
        <f>IF(pub_gid_0_single_true_output_csv[[#This Row],[Nilai2]]="","",VLOOKUP(pub_gid_0_single_true_output_csv[[#This Row],[NAMA]],Table7[],3,FALSE))</f>
        <v>High average</v>
      </c>
    </row>
    <row r="1996" spans="1:37" x14ac:dyDescent="0.2">
      <c r="A1996">
        <v>1995</v>
      </c>
      <c r="B1996" t="s">
        <v>316</v>
      </c>
      <c r="C1996" t="s">
        <v>65</v>
      </c>
      <c r="D1996" t="s">
        <v>61</v>
      </c>
      <c r="E1996" t="s">
        <v>140</v>
      </c>
      <c r="F1996" s="25">
        <v>46028</v>
      </c>
      <c r="G1996" t="s">
        <v>349</v>
      </c>
      <c r="H1996" t="s">
        <v>405</v>
      </c>
      <c r="I1996" t="s">
        <v>371</v>
      </c>
      <c r="J1996" t="s">
        <v>31</v>
      </c>
      <c r="K1996" t="s">
        <v>32</v>
      </c>
      <c r="L1996" t="s">
        <v>150</v>
      </c>
      <c r="M1996" t="s">
        <v>141</v>
      </c>
      <c r="N1996" t="s">
        <v>142</v>
      </c>
      <c r="O1996" t="s">
        <v>327</v>
      </c>
      <c r="P1996" t="s">
        <v>281</v>
      </c>
      <c r="Q1996" t="s">
        <v>328</v>
      </c>
      <c r="R1996" t="s">
        <v>329</v>
      </c>
      <c r="S1996" t="s">
        <v>330</v>
      </c>
      <c r="T1996">
        <v>1</v>
      </c>
      <c r="U1996" t="s">
        <v>443</v>
      </c>
      <c r="V1996" t="s">
        <v>285</v>
      </c>
      <c r="W1996" t="s">
        <v>444</v>
      </c>
      <c r="X1996" t="s">
        <v>331</v>
      </c>
      <c r="Y1996" t="s">
        <v>307</v>
      </c>
      <c r="Z1996">
        <v>70</v>
      </c>
      <c r="AA1996">
        <v>70</v>
      </c>
      <c r="AB1996" t="s">
        <v>143</v>
      </c>
      <c r="AC1996" t="s">
        <v>49</v>
      </c>
      <c r="AD1996" t="s">
        <v>426</v>
      </c>
      <c r="AE1996" t="str">
        <f>IF(AF1996="","",VLOOKUP(AC1996,mapel!$A$2:$B$42,2,FALSE))</f>
        <v>Kimia</v>
      </c>
      <c r="AF1996">
        <f t="shared" si="93"/>
        <v>70</v>
      </c>
      <c r="AG1996" t="str">
        <f>IF(AF1996="","",IF(AF1996&gt;90,"Sangat baik",IF(AF1996&gt;79,"Baik",IF(AF1996&gt;=pub_gid_0_single_true_output_csv[[#This Row],[KKM]],"Cukup","Kurang"))))</f>
        <v>Cukup</v>
      </c>
      <c r="AH1996">
        <f t="shared" si="94"/>
        <v>12</v>
      </c>
      <c r="AI1996" s="30" t="str">
        <f>IF(OR(J1996&lt;&gt;"Karakter",pub_gid_0_single_true_output_csv[[#This Row],[Nilai2]]=""),"",IF(AF1996&gt;89,"Sangat baik",IF(AF1996&gt;79,"Baik",IF(AF1996&gt;69,"Cukup",IF(AF1996&gt;59,"Kurang","Sangat kurang")))))</f>
        <v/>
      </c>
      <c r="AJ1996" t="str">
        <f t="shared" si="95"/>
        <v>Wk.2</v>
      </c>
      <c r="AK1996" t="str">
        <f>IF(pub_gid_0_single_true_output_csv[[#This Row],[Nilai2]]="","",VLOOKUP(pub_gid_0_single_true_output_csv[[#This Row],[NAMA]],Table7[],3,FALSE))</f>
        <v>Average</v>
      </c>
    </row>
    <row r="1997" spans="1:37" x14ac:dyDescent="0.2">
      <c r="A1997">
        <v>1996</v>
      </c>
      <c r="B1997" t="s">
        <v>316</v>
      </c>
      <c r="C1997" t="s">
        <v>65</v>
      </c>
      <c r="D1997" t="s">
        <v>61</v>
      </c>
      <c r="E1997" t="s">
        <v>140</v>
      </c>
      <c r="F1997" s="25">
        <v>46035</v>
      </c>
      <c r="G1997" t="s">
        <v>358</v>
      </c>
      <c r="H1997" t="s">
        <v>405</v>
      </c>
      <c r="I1997" t="s">
        <v>371</v>
      </c>
      <c r="J1997" t="s">
        <v>41</v>
      </c>
      <c r="K1997" t="s">
        <v>157</v>
      </c>
      <c r="L1997" t="s">
        <v>321</v>
      </c>
      <c r="M1997" t="s">
        <v>141</v>
      </c>
      <c r="N1997" t="s">
        <v>142</v>
      </c>
      <c r="O1997" t="s">
        <v>327</v>
      </c>
      <c r="P1997" t="s">
        <v>281</v>
      </c>
      <c r="Q1997" t="s">
        <v>328</v>
      </c>
      <c r="R1997" t="s">
        <v>329</v>
      </c>
      <c r="S1997" t="s">
        <v>330</v>
      </c>
      <c r="T1997">
        <v>1</v>
      </c>
      <c r="U1997" t="s">
        <v>443</v>
      </c>
      <c r="V1997" t="s">
        <v>285</v>
      </c>
      <c r="W1997" t="s">
        <v>444</v>
      </c>
      <c r="X1997" t="s">
        <v>331</v>
      </c>
      <c r="Y1997" t="s">
        <v>307</v>
      </c>
      <c r="Z1997">
        <v>70</v>
      </c>
      <c r="AA1997">
        <v>70</v>
      </c>
      <c r="AB1997" t="s">
        <v>143</v>
      </c>
      <c r="AC1997" t="s">
        <v>49</v>
      </c>
      <c r="AD1997" t="s">
        <v>426</v>
      </c>
      <c r="AE1997" t="str">
        <f>IF(AF1997="","",VLOOKUP(AC1997,mapel!$A$2:$B$42,2,FALSE))</f>
        <v>Kimia</v>
      </c>
      <c r="AF1997">
        <f t="shared" si="93"/>
        <v>70</v>
      </c>
      <c r="AG1997" t="str">
        <f>IF(AF1997="","",IF(AF1997&gt;90,"Sangat baik",IF(AF1997&gt;79,"Baik",IF(AF1997&gt;=pub_gid_0_single_true_output_csv[[#This Row],[KKM]],"Cukup","Kurang"))))</f>
        <v>Cukup</v>
      </c>
      <c r="AH1997">
        <f t="shared" si="94"/>
        <v>12</v>
      </c>
      <c r="AI1997" s="30" t="str">
        <f>IF(OR(J1997&lt;&gt;"Karakter",pub_gid_0_single_true_output_csv[[#This Row],[Nilai2]]=""),"",IF(AF1997&gt;89,"Sangat baik",IF(AF1997&gt;79,"Baik",IF(AF1997&gt;69,"Cukup",IF(AF1997&gt;59,"Kurang","Sangat kurang")))))</f>
        <v/>
      </c>
      <c r="AJ1997" t="str">
        <f t="shared" si="95"/>
        <v>Wk.3</v>
      </c>
      <c r="AK1997" t="str">
        <f>IF(pub_gid_0_single_true_output_csv[[#This Row],[Nilai2]]="","",VLOOKUP(pub_gid_0_single_true_output_csv[[#This Row],[NAMA]],Table7[],3,FALSE))</f>
        <v>Average</v>
      </c>
    </row>
    <row r="1998" spans="1:37" x14ac:dyDescent="0.2">
      <c r="A1998">
        <v>1997</v>
      </c>
      <c r="B1998" t="s">
        <v>316</v>
      </c>
      <c r="C1998" t="s">
        <v>65</v>
      </c>
      <c r="D1998" t="s">
        <v>61</v>
      </c>
      <c r="E1998" t="s">
        <v>140</v>
      </c>
      <c r="F1998" s="25">
        <v>46049</v>
      </c>
      <c r="G1998" t="s">
        <v>373</v>
      </c>
      <c r="H1998" t="s">
        <v>405</v>
      </c>
      <c r="I1998" t="s">
        <v>371</v>
      </c>
      <c r="J1998" t="s">
        <v>36</v>
      </c>
      <c r="K1998" t="s">
        <v>37</v>
      </c>
      <c r="L1998" t="s">
        <v>150</v>
      </c>
      <c r="M1998" t="s">
        <v>141</v>
      </c>
      <c r="N1998" t="s">
        <v>142</v>
      </c>
      <c r="O1998" t="s">
        <v>327</v>
      </c>
      <c r="P1998" t="s">
        <v>281</v>
      </c>
      <c r="Q1998" t="s">
        <v>328</v>
      </c>
      <c r="R1998" t="s">
        <v>329</v>
      </c>
      <c r="S1998" t="s">
        <v>330</v>
      </c>
      <c r="T1998">
        <v>1</v>
      </c>
      <c r="U1998" t="s">
        <v>443</v>
      </c>
      <c r="V1998" t="s">
        <v>285</v>
      </c>
      <c r="W1998" t="s">
        <v>444</v>
      </c>
      <c r="X1998" t="s">
        <v>331</v>
      </c>
      <c r="Y1998" t="s">
        <v>307</v>
      </c>
      <c r="Z1998">
        <v>70</v>
      </c>
      <c r="AA1998">
        <v>65</v>
      </c>
      <c r="AB1998" t="s">
        <v>151</v>
      </c>
      <c r="AC1998" t="s">
        <v>49</v>
      </c>
      <c r="AD1998" t="s">
        <v>426</v>
      </c>
      <c r="AE1998" t="str">
        <f>IF(AF1998="","",VLOOKUP(AC1998,mapel!$A$2:$B$42,2,FALSE))</f>
        <v>Kimia</v>
      </c>
      <c r="AF1998">
        <f t="shared" si="93"/>
        <v>65</v>
      </c>
      <c r="AG1998" t="str">
        <f>IF(AF1998="","",IF(AF1998&gt;90,"Sangat baik",IF(AF1998&gt;79,"Baik",IF(AF1998&gt;=pub_gid_0_single_true_output_csv[[#This Row],[KKM]],"Cukup","Kurang"))))</f>
        <v>Kurang</v>
      </c>
      <c r="AH1998">
        <f t="shared" si="94"/>
        <v>12</v>
      </c>
      <c r="AI1998" s="30" t="str">
        <f>IF(OR(J1998&lt;&gt;"Karakter",pub_gid_0_single_true_output_csv[[#This Row],[Nilai2]]=""),"",IF(AF1998&gt;89,"Sangat baik",IF(AF1998&gt;79,"Baik",IF(AF1998&gt;69,"Cukup",IF(AF1998&gt;59,"Kurang","Sangat kurang")))))</f>
        <v/>
      </c>
      <c r="AJ1998" t="str">
        <f t="shared" si="95"/>
        <v>Wk.5</v>
      </c>
      <c r="AK1998" t="str">
        <f>IF(pub_gid_0_single_true_output_csv[[#This Row],[Nilai2]]="","",VLOOKUP(pub_gid_0_single_true_output_csv[[#This Row],[NAMA]],Table7[],3,FALSE))</f>
        <v>Average</v>
      </c>
    </row>
    <row r="1999" spans="1:37" x14ac:dyDescent="0.2">
      <c r="A1999">
        <v>1998</v>
      </c>
      <c r="B1999" t="s">
        <v>316</v>
      </c>
      <c r="C1999" t="s">
        <v>65</v>
      </c>
      <c r="D1999" t="s">
        <v>61</v>
      </c>
      <c r="E1999" t="s">
        <v>140</v>
      </c>
      <c r="F1999" s="25">
        <v>46063</v>
      </c>
      <c r="G1999" t="s">
        <v>374</v>
      </c>
      <c r="H1999" t="s">
        <v>412</v>
      </c>
      <c r="I1999" t="s">
        <v>371</v>
      </c>
      <c r="J1999" t="s">
        <v>36</v>
      </c>
      <c r="K1999" t="s">
        <v>362</v>
      </c>
      <c r="L1999" t="s">
        <v>363</v>
      </c>
      <c r="M1999" t="s">
        <v>141</v>
      </c>
      <c r="N1999" t="s">
        <v>142</v>
      </c>
      <c r="O1999" t="s">
        <v>327</v>
      </c>
      <c r="P1999" t="s">
        <v>281</v>
      </c>
      <c r="Q1999" t="s">
        <v>328</v>
      </c>
      <c r="R1999" t="s">
        <v>329</v>
      </c>
      <c r="S1999" t="s">
        <v>330</v>
      </c>
      <c r="T1999">
        <v>1</v>
      </c>
      <c r="U1999" t="s">
        <v>443</v>
      </c>
      <c r="V1999" t="s">
        <v>285</v>
      </c>
      <c r="W1999" t="s">
        <v>444</v>
      </c>
      <c r="X1999" t="s">
        <v>331</v>
      </c>
      <c r="Y1999" t="s">
        <v>307</v>
      </c>
      <c r="Z1999">
        <v>70</v>
      </c>
      <c r="AA1999">
        <v>15</v>
      </c>
      <c r="AB1999" t="s">
        <v>151</v>
      </c>
      <c r="AC1999" t="s">
        <v>49</v>
      </c>
      <c r="AD1999" t="s">
        <v>426</v>
      </c>
      <c r="AE1999" t="str">
        <f>IF(AF1999="","",VLOOKUP(AC1999,mapel!$A$2:$B$42,2,FALSE))</f>
        <v>Kimia</v>
      </c>
      <c r="AF1999">
        <f t="shared" si="93"/>
        <v>15</v>
      </c>
      <c r="AG1999" t="str">
        <f>IF(AF1999="","",IF(AF1999&gt;90,"Sangat baik",IF(AF1999&gt;79,"Baik",IF(AF1999&gt;=pub_gid_0_single_true_output_csv[[#This Row],[KKM]],"Cukup","Kurang"))))</f>
        <v>Kurang</v>
      </c>
      <c r="AH1999">
        <f t="shared" si="94"/>
        <v>12</v>
      </c>
      <c r="AI1999" s="30" t="str">
        <f>IF(OR(J1999&lt;&gt;"Karakter",pub_gid_0_single_true_output_csv[[#This Row],[Nilai2]]=""),"",IF(AF1999&gt;89,"Sangat baik",IF(AF1999&gt;79,"Baik",IF(AF1999&gt;69,"Cukup",IF(AF1999&gt;59,"Kurang","Sangat kurang")))))</f>
        <v/>
      </c>
      <c r="AJ1999" t="str">
        <f t="shared" si="95"/>
        <v>Wk.7</v>
      </c>
      <c r="AK1999" t="str">
        <f>IF(pub_gid_0_single_true_output_csv[[#This Row],[Nilai2]]="","",VLOOKUP(pub_gid_0_single_true_output_csv[[#This Row],[NAMA]],Table7[],3,FALSE))</f>
        <v>Average</v>
      </c>
    </row>
    <row r="2000" spans="1:37" x14ac:dyDescent="0.2">
      <c r="A2000">
        <v>1999</v>
      </c>
      <c r="B2000" t="s">
        <v>317</v>
      </c>
      <c r="C2000" t="s">
        <v>65</v>
      </c>
      <c r="D2000" t="s">
        <v>62</v>
      </c>
      <c r="E2000" t="s">
        <v>140</v>
      </c>
      <c r="F2000" s="25">
        <v>46028</v>
      </c>
      <c r="G2000" t="s">
        <v>349</v>
      </c>
      <c r="H2000" t="s">
        <v>405</v>
      </c>
      <c r="I2000" t="s">
        <v>371</v>
      </c>
      <c r="J2000" t="s">
        <v>31</v>
      </c>
      <c r="K2000" t="s">
        <v>32</v>
      </c>
      <c r="L2000" t="s">
        <v>150</v>
      </c>
      <c r="M2000" t="s">
        <v>141</v>
      </c>
      <c r="N2000" t="s">
        <v>142</v>
      </c>
      <c r="O2000" t="s">
        <v>327</v>
      </c>
      <c r="P2000" t="s">
        <v>281</v>
      </c>
      <c r="Q2000" t="s">
        <v>328</v>
      </c>
      <c r="R2000" t="s">
        <v>329</v>
      </c>
      <c r="S2000" t="s">
        <v>330</v>
      </c>
      <c r="T2000">
        <v>1</v>
      </c>
      <c r="U2000" t="s">
        <v>443</v>
      </c>
      <c r="V2000" t="s">
        <v>285</v>
      </c>
      <c r="W2000" t="s">
        <v>444</v>
      </c>
      <c r="X2000" t="s">
        <v>331</v>
      </c>
      <c r="Y2000" t="s">
        <v>307</v>
      </c>
      <c r="Z2000">
        <v>70</v>
      </c>
      <c r="AA2000">
        <v>70</v>
      </c>
      <c r="AB2000" t="s">
        <v>143</v>
      </c>
      <c r="AC2000" t="s">
        <v>49</v>
      </c>
      <c r="AD2000" t="s">
        <v>426</v>
      </c>
      <c r="AE2000" t="str">
        <f>IF(AF2000="","",VLOOKUP(AC2000,mapel!$A$2:$B$42,2,FALSE))</f>
        <v>Kimia</v>
      </c>
      <c r="AF2000">
        <f t="shared" si="93"/>
        <v>70</v>
      </c>
      <c r="AG2000" t="str">
        <f>IF(AF2000="","",IF(AF2000&gt;90,"Sangat baik",IF(AF2000&gt;79,"Baik",IF(AF2000&gt;=pub_gid_0_single_true_output_csv[[#This Row],[KKM]],"Cukup","Kurang"))))</f>
        <v>Cukup</v>
      </c>
      <c r="AH2000">
        <f t="shared" si="94"/>
        <v>12</v>
      </c>
      <c r="AI2000" s="30" t="str">
        <f>IF(OR(J2000&lt;&gt;"Karakter",pub_gid_0_single_true_output_csv[[#This Row],[Nilai2]]=""),"",IF(AF2000&gt;89,"Sangat baik",IF(AF2000&gt;79,"Baik",IF(AF2000&gt;69,"Cukup",IF(AF2000&gt;59,"Kurang","Sangat kurang")))))</f>
        <v/>
      </c>
      <c r="AJ2000" t="str">
        <f t="shared" si="95"/>
        <v>Wk.2</v>
      </c>
      <c r="AK2000" t="str">
        <f>IF(pub_gid_0_single_true_output_csv[[#This Row],[Nilai2]]="","",VLOOKUP(pub_gid_0_single_true_output_csv[[#This Row],[NAMA]],Table7[],3,FALSE))</f>
        <v>Borderline</v>
      </c>
    </row>
    <row r="2001" spans="1:37" x14ac:dyDescent="0.2">
      <c r="A2001">
        <v>2000</v>
      </c>
      <c r="B2001" t="s">
        <v>317</v>
      </c>
      <c r="C2001" t="s">
        <v>65</v>
      </c>
      <c r="D2001" t="s">
        <v>62</v>
      </c>
      <c r="E2001" t="s">
        <v>140</v>
      </c>
      <c r="F2001" s="25">
        <v>46035</v>
      </c>
      <c r="G2001" t="s">
        <v>358</v>
      </c>
      <c r="H2001" t="s">
        <v>405</v>
      </c>
      <c r="I2001" t="s">
        <v>371</v>
      </c>
      <c r="J2001" t="s">
        <v>41</v>
      </c>
      <c r="K2001" t="s">
        <v>157</v>
      </c>
      <c r="L2001" t="s">
        <v>321</v>
      </c>
      <c r="M2001" t="s">
        <v>141</v>
      </c>
      <c r="N2001" t="s">
        <v>142</v>
      </c>
      <c r="O2001" t="s">
        <v>327</v>
      </c>
      <c r="P2001" t="s">
        <v>281</v>
      </c>
      <c r="Q2001" t="s">
        <v>328</v>
      </c>
      <c r="R2001" t="s">
        <v>329</v>
      </c>
      <c r="S2001" t="s">
        <v>330</v>
      </c>
      <c r="T2001">
        <v>1</v>
      </c>
      <c r="U2001" t="s">
        <v>443</v>
      </c>
      <c r="V2001" t="s">
        <v>285</v>
      </c>
      <c r="W2001" t="s">
        <v>444</v>
      </c>
      <c r="X2001" t="s">
        <v>331</v>
      </c>
      <c r="Y2001" t="s">
        <v>307</v>
      </c>
      <c r="Z2001">
        <v>70</v>
      </c>
      <c r="AA2001">
        <v>70</v>
      </c>
      <c r="AB2001" t="s">
        <v>143</v>
      </c>
      <c r="AC2001" t="s">
        <v>49</v>
      </c>
      <c r="AD2001" t="s">
        <v>426</v>
      </c>
      <c r="AE2001" t="str">
        <f>IF(AF2001="","",VLOOKUP(AC2001,mapel!$A$2:$B$42,2,FALSE))</f>
        <v>Kimia</v>
      </c>
      <c r="AF2001">
        <f t="shared" si="93"/>
        <v>70</v>
      </c>
      <c r="AG2001" t="str">
        <f>IF(AF2001="","",IF(AF2001&gt;90,"Sangat baik",IF(AF2001&gt;79,"Baik",IF(AF2001&gt;=pub_gid_0_single_true_output_csv[[#This Row],[KKM]],"Cukup","Kurang"))))</f>
        <v>Cukup</v>
      </c>
      <c r="AH2001">
        <f t="shared" si="94"/>
        <v>12</v>
      </c>
      <c r="AI2001" s="30" t="str">
        <f>IF(OR(J2001&lt;&gt;"Karakter",pub_gid_0_single_true_output_csv[[#This Row],[Nilai2]]=""),"",IF(AF2001&gt;89,"Sangat baik",IF(AF2001&gt;79,"Baik",IF(AF2001&gt;69,"Cukup",IF(AF2001&gt;59,"Kurang","Sangat kurang")))))</f>
        <v/>
      </c>
      <c r="AJ2001" t="str">
        <f t="shared" si="95"/>
        <v>Wk.3</v>
      </c>
      <c r="AK2001" t="str">
        <f>IF(pub_gid_0_single_true_output_csv[[#This Row],[Nilai2]]="","",VLOOKUP(pub_gid_0_single_true_output_csv[[#This Row],[NAMA]],Table7[],3,FALSE))</f>
        <v>Borderline</v>
      </c>
    </row>
    <row r="2002" spans="1:37" x14ac:dyDescent="0.2">
      <c r="A2002">
        <v>2001</v>
      </c>
      <c r="B2002" t="s">
        <v>317</v>
      </c>
      <c r="C2002" t="s">
        <v>65</v>
      </c>
      <c r="D2002" t="s">
        <v>62</v>
      </c>
      <c r="E2002" t="s">
        <v>140</v>
      </c>
      <c r="F2002" s="25">
        <v>46049</v>
      </c>
      <c r="G2002" t="s">
        <v>373</v>
      </c>
      <c r="H2002" t="s">
        <v>405</v>
      </c>
      <c r="I2002" t="s">
        <v>371</v>
      </c>
      <c r="J2002" t="s">
        <v>36</v>
      </c>
      <c r="K2002" t="s">
        <v>37</v>
      </c>
      <c r="L2002" t="s">
        <v>150</v>
      </c>
      <c r="M2002" t="s">
        <v>141</v>
      </c>
      <c r="N2002" t="s">
        <v>142</v>
      </c>
      <c r="O2002" t="s">
        <v>327</v>
      </c>
      <c r="P2002" t="s">
        <v>281</v>
      </c>
      <c r="Q2002" t="s">
        <v>328</v>
      </c>
      <c r="R2002" t="s">
        <v>329</v>
      </c>
      <c r="S2002" t="s">
        <v>330</v>
      </c>
      <c r="T2002">
        <v>1</v>
      </c>
      <c r="U2002" t="s">
        <v>443</v>
      </c>
      <c r="V2002" t="s">
        <v>285</v>
      </c>
      <c r="W2002" t="s">
        <v>444</v>
      </c>
      <c r="X2002" t="s">
        <v>331</v>
      </c>
      <c r="Y2002" t="s">
        <v>307</v>
      </c>
      <c r="Z2002">
        <v>70</v>
      </c>
      <c r="AA2002">
        <v>70</v>
      </c>
      <c r="AB2002" t="s">
        <v>143</v>
      </c>
      <c r="AC2002" t="s">
        <v>49</v>
      </c>
      <c r="AD2002" t="s">
        <v>426</v>
      </c>
      <c r="AE2002" t="str">
        <f>IF(AF2002="","",VLOOKUP(AC2002,mapel!$A$2:$B$42,2,FALSE))</f>
        <v>Kimia</v>
      </c>
      <c r="AF2002">
        <f t="shared" si="93"/>
        <v>70</v>
      </c>
      <c r="AG2002" t="str">
        <f>IF(AF2002="","",IF(AF2002&gt;90,"Sangat baik",IF(AF2002&gt;79,"Baik",IF(AF2002&gt;=pub_gid_0_single_true_output_csv[[#This Row],[KKM]],"Cukup","Kurang"))))</f>
        <v>Cukup</v>
      </c>
      <c r="AH2002">
        <f t="shared" si="94"/>
        <v>12</v>
      </c>
      <c r="AI2002" s="30" t="str">
        <f>IF(OR(J2002&lt;&gt;"Karakter",pub_gid_0_single_true_output_csv[[#This Row],[Nilai2]]=""),"",IF(AF2002&gt;89,"Sangat baik",IF(AF2002&gt;79,"Baik",IF(AF2002&gt;69,"Cukup",IF(AF2002&gt;59,"Kurang","Sangat kurang")))))</f>
        <v/>
      </c>
      <c r="AJ2002" t="str">
        <f t="shared" si="95"/>
        <v>Wk.5</v>
      </c>
      <c r="AK2002" t="str">
        <f>IF(pub_gid_0_single_true_output_csv[[#This Row],[Nilai2]]="","",VLOOKUP(pub_gid_0_single_true_output_csv[[#This Row],[NAMA]],Table7[],3,FALSE))</f>
        <v>Borderline</v>
      </c>
    </row>
    <row r="2003" spans="1:37" x14ac:dyDescent="0.2">
      <c r="A2003">
        <v>2002</v>
      </c>
      <c r="B2003" t="s">
        <v>317</v>
      </c>
      <c r="C2003" t="s">
        <v>65</v>
      </c>
      <c r="D2003" t="s">
        <v>62</v>
      </c>
      <c r="E2003" t="s">
        <v>140</v>
      </c>
      <c r="F2003" s="25">
        <v>46063</v>
      </c>
      <c r="G2003" t="s">
        <v>374</v>
      </c>
      <c r="H2003" t="s">
        <v>412</v>
      </c>
      <c r="I2003" t="s">
        <v>371</v>
      </c>
      <c r="J2003" t="s">
        <v>36</v>
      </c>
      <c r="K2003" t="s">
        <v>362</v>
      </c>
      <c r="L2003" t="s">
        <v>363</v>
      </c>
      <c r="M2003" t="s">
        <v>141</v>
      </c>
      <c r="N2003" t="s">
        <v>142</v>
      </c>
      <c r="O2003" t="s">
        <v>327</v>
      </c>
      <c r="P2003" t="s">
        <v>281</v>
      </c>
      <c r="Q2003" t="s">
        <v>328</v>
      </c>
      <c r="R2003" t="s">
        <v>329</v>
      </c>
      <c r="S2003" t="s">
        <v>330</v>
      </c>
      <c r="T2003">
        <v>1</v>
      </c>
      <c r="U2003" t="s">
        <v>443</v>
      </c>
      <c r="V2003" t="s">
        <v>285</v>
      </c>
      <c r="W2003" t="s">
        <v>444</v>
      </c>
      <c r="X2003" t="s">
        <v>331</v>
      </c>
      <c r="Y2003" t="s">
        <v>307</v>
      </c>
      <c r="Z2003">
        <v>70</v>
      </c>
      <c r="AA2003">
        <v>15</v>
      </c>
      <c r="AB2003" t="s">
        <v>151</v>
      </c>
      <c r="AC2003" t="s">
        <v>49</v>
      </c>
      <c r="AD2003" t="s">
        <v>426</v>
      </c>
      <c r="AE2003" t="str">
        <f>IF(AF2003="","",VLOOKUP(AC2003,mapel!$A$2:$B$42,2,FALSE))</f>
        <v>Kimia</v>
      </c>
      <c r="AF2003">
        <f t="shared" si="93"/>
        <v>15</v>
      </c>
      <c r="AG2003" t="str">
        <f>IF(AF2003="","",IF(AF2003&gt;90,"Sangat baik",IF(AF2003&gt;79,"Baik",IF(AF2003&gt;=pub_gid_0_single_true_output_csv[[#This Row],[KKM]],"Cukup","Kurang"))))</f>
        <v>Kurang</v>
      </c>
      <c r="AH2003">
        <f t="shared" si="94"/>
        <v>12</v>
      </c>
      <c r="AI2003" s="30" t="str">
        <f>IF(OR(J2003&lt;&gt;"Karakter",pub_gid_0_single_true_output_csv[[#This Row],[Nilai2]]=""),"",IF(AF2003&gt;89,"Sangat baik",IF(AF2003&gt;79,"Baik",IF(AF2003&gt;69,"Cukup",IF(AF2003&gt;59,"Kurang","Sangat kurang")))))</f>
        <v/>
      </c>
      <c r="AJ2003" t="str">
        <f t="shared" si="95"/>
        <v>Wk.7</v>
      </c>
      <c r="AK2003" t="str">
        <f>IF(pub_gid_0_single_true_output_csv[[#This Row],[Nilai2]]="","",VLOOKUP(pub_gid_0_single_true_output_csv[[#This Row],[NAMA]],Table7[],3,FALSE))</f>
        <v>Borderline</v>
      </c>
    </row>
    <row r="2004" spans="1:37" x14ac:dyDescent="0.2">
      <c r="A2004">
        <v>2003</v>
      </c>
      <c r="B2004" t="s">
        <v>318</v>
      </c>
      <c r="C2004" t="s">
        <v>65</v>
      </c>
      <c r="D2004" t="s">
        <v>63</v>
      </c>
      <c r="E2004" t="s">
        <v>140</v>
      </c>
      <c r="F2004" s="25">
        <v>46028</v>
      </c>
      <c r="G2004" t="s">
        <v>349</v>
      </c>
      <c r="H2004" t="s">
        <v>405</v>
      </c>
      <c r="I2004" t="s">
        <v>371</v>
      </c>
      <c r="J2004" t="s">
        <v>31</v>
      </c>
      <c r="K2004" t="s">
        <v>32</v>
      </c>
      <c r="L2004" t="s">
        <v>150</v>
      </c>
      <c r="M2004" t="s">
        <v>141</v>
      </c>
      <c r="N2004" t="s">
        <v>142</v>
      </c>
      <c r="O2004" t="s">
        <v>327</v>
      </c>
      <c r="P2004" t="s">
        <v>281</v>
      </c>
      <c r="Q2004" t="s">
        <v>328</v>
      </c>
      <c r="R2004" t="s">
        <v>329</v>
      </c>
      <c r="S2004" t="s">
        <v>330</v>
      </c>
      <c r="T2004">
        <v>1</v>
      </c>
      <c r="U2004" t="s">
        <v>443</v>
      </c>
      <c r="V2004" t="s">
        <v>285</v>
      </c>
      <c r="W2004" t="s">
        <v>444</v>
      </c>
      <c r="X2004" t="s">
        <v>331</v>
      </c>
      <c r="Y2004" t="s">
        <v>307</v>
      </c>
      <c r="Z2004">
        <v>70</v>
      </c>
      <c r="AA2004">
        <v>75</v>
      </c>
      <c r="AB2004" t="s">
        <v>143</v>
      </c>
      <c r="AC2004" t="s">
        <v>49</v>
      </c>
      <c r="AD2004" t="s">
        <v>426</v>
      </c>
      <c r="AE2004" t="str">
        <f>IF(AF2004="","",VLOOKUP(AC2004,mapel!$A$2:$B$42,2,FALSE))</f>
        <v>Kimia</v>
      </c>
      <c r="AF2004">
        <f t="shared" si="93"/>
        <v>75</v>
      </c>
      <c r="AG2004" t="str">
        <f>IF(AF2004="","",IF(AF2004&gt;90,"Sangat baik",IF(AF2004&gt;79,"Baik",IF(AF2004&gt;=pub_gid_0_single_true_output_csv[[#This Row],[KKM]],"Cukup","Kurang"))))</f>
        <v>Cukup</v>
      </c>
      <c r="AH2004">
        <f t="shared" si="94"/>
        <v>12</v>
      </c>
      <c r="AI2004" s="30" t="str">
        <f>IF(OR(J2004&lt;&gt;"Karakter",pub_gid_0_single_true_output_csv[[#This Row],[Nilai2]]=""),"",IF(AF2004&gt;89,"Sangat baik",IF(AF2004&gt;79,"Baik",IF(AF2004&gt;69,"Cukup",IF(AF2004&gt;59,"Kurang","Sangat kurang")))))</f>
        <v/>
      </c>
      <c r="AJ2004" t="str">
        <f t="shared" si="95"/>
        <v>Wk.2</v>
      </c>
      <c r="AK2004" t="str">
        <f>IF(pub_gid_0_single_true_output_csv[[#This Row],[Nilai2]]="","",VLOOKUP(pub_gid_0_single_true_output_csv[[#This Row],[NAMA]],Table7[],3,FALSE))</f>
        <v>Average</v>
      </c>
    </row>
    <row r="2005" spans="1:37" x14ac:dyDescent="0.2">
      <c r="A2005">
        <v>2004</v>
      </c>
      <c r="B2005" t="s">
        <v>318</v>
      </c>
      <c r="C2005" t="s">
        <v>65</v>
      </c>
      <c r="D2005" t="s">
        <v>63</v>
      </c>
      <c r="E2005" t="s">
        <v>140</v>
      </c>
      <c r="F2005" s="25">
        <v>46035</v>
      </c>
      <c r="G2005" t="s">
        <v>358</v>
      </c>
      <c r="H2005" t="s">
        <v>405</v>
      </c>
      <c r="I2005" t="s">
        <v>371</v>
      </c>
      <c r="J2005" t="s">
        <v>41</v>
      </c>
      <c r="K2005" t="s">
        <v>157</v>
      </c>
      <c r="L2005" t="s">
        <v>321</v>
      </c>
      <c r="M2005" t="s">
        <v>141</v>
      </c>
      <c r="N2005" t="s">
        <v>142</v>
      </c>
      <c r="O2005" t="s">
        <v>327</v>
      </c>
      <c r="P2005" t="s">
        <v>281</v>
      </c>
      <c r="Q2005" t="s">
        <v>328</v>
      </c>
      <c r="R2005" t="s">
        <v>329</v>
      </c>
      <c r="S2005" t="s">
        <v>330</v>
      </c>
      <c r="T2005">
        <v>1</v>
      </c>
      <c r="U2005" t="s">
        <v>443</v>
      </c>
      <c r="V2005" t="s">
        <v>285</v>
      </c>
      <c r="W2005" t="s">
        <v>444</v>
      </c>
      <c r="X2005" t="s">
        <v>331</v>
      </c>
      <c r="Y2005" t="s">
        <v>307</v>
      </c>
      <c r="Z2005">
        <v>70</v>
      </c>
      <c r="AA2005">
        <v>90</v>
      </c>
      <c r="AB2005" t="s">
        <v>143</v>
      </c>
      <c r="AC2005" t="s">
        <v>49</v>
      </c>
      <c r="AD2005" t="s">
        <v>426</v>
      </c>
      <c r="AE2005" t="str">
        <f>IF(AF2005="","",VLOOKUP(AC2005,mapel!$A$2:$B$42,2,FALSE))</f>
        <v>Kimia</v>
      </c>
      <c r="AF2005">
        <f t="shared" si="93"/>
        <v>90</v>
      </c>
      <c r="AG2005" t="str">
        <f>IF(AF2005="","",IF(AF2005&gt;90,"Sangat baik",IF(AF2005&gt;79,"Baik",IF(AF2005&gt;=pub_gid_0_single_true_output_csv[[#This Row],[KKM]],"Cukup","Kurang"))))</f>
        <v>Baik</v>
      </c>
      <c r="AH2005">
        <f t="shared" si="94"/>
        <v>12</v>
      </c>
      <c r="AI2005" s="30" t="str">
        <f>IF(OR(J2005&lt;&gt;"Karakter",pub_gid_0_single_true_output_csv[[#This Row],[Nilai2]]=""),"",IF(AF2005&gt;89,"Sangat baik",IF(AF2005&gt;79,"Baik",IF(AF2005&gt;69,"Cukup",IF(AF2005&gt;59,"Kurang","Sangat kurang")))))</f>
        <v/>
      </c>
      <c r="AJ2005" t="str">
        <f t="shared" si="95"/>
        <v>Wk.3</v>
      </c>
      <c r="AK2005" t="str">
        <f>IF(pub_gid_0_single_true_output_csv[[#This Row],[Nilai2]]="","",VLOOKUP(pub_gid_0_single_true_output_csv[[#This Row],[NAMA]],Table7[],3,FALSE))</f>
        <v>Average</v>
      </c>
    </row>
    <row r="2006" spans="1:37" x14ac:dyDescent="0.2">
      <c r="A2006">
        <v>2005</v>
      </c>
      <c r="B2006" t="s">
        <v>318</v>
      </c>
      <c r="C2006" t="s">
        <v>65</v>
      </c>
      <c r="D2006" t="s">
        <v>63</v>
      </c>
      <c r="E2006" t="s">
        <v>140</v>
      </c>
      <c r="F2006" s="25">
        <v>46049</v>
      </c>
      <c r="G2006" t="s">
        <v>373</v>
      </c>
      <c r="H2006" t="s">
        <v>405</v>
      </c>
      <c r="I2006" t="s">
        <v>371</v>
      </c>
      <c r="J2006" t="s">
        <v>36</v>
      </c>
      <c r="K2006" t="s">
        <v>37</v>
      </c>
      <c r="L2006" t="s">
        <v>150</v>
      </c>
      <c r="M2006" t="s">
        <v>141</v>
      </c>
      <c r="N2006" t="s">
        <v>142</v>
      </c>
      <c r="O2006" t="s">
        <v>327</v>
      </c>
      <c r="P2006" t="s">
        <v>281</v>
      </c>
      <c r="Q2006" t="s">
        <v>328</v>
      </c>
      <c r="R2006" t="s">
        <v>329</v>
      </c>
      <c r="S2006" t="s">
        <v>330</v>
      </c>
      <c r="T2006">
        <v>1</v>
      </c>
      <c r="U2006" t="s">
        <v>443</v>
      </c>
      <c r="V2006" t="s">
        <v>285</v>
      </c>
      <c r="W2006" t="s">
        <v>444</v>
      </c>
      <c r="X2006" t="s">
        <v>331</v>
      </c>
      <c r="Y2006" t="s">
        <v>307</v>
      </c>
      <c r="Z2006">
        <v>70</v>
      </c>
      <c r="AA2006">
        <v>75</v>
      </c>
      <c r="AB2006" t="s">
        <v>143</v>
      </c>
      <c r="AC2006" t="s">
        <v>49</v>
      </c>
      <c r="AD2006" t="s">
        <v>426</v>
      </c>
      <c r="AE2006" t="str">
        <f>IF(AF2006="","",VLOOKUP(AC2006,mapel!$A$2:$B$42,2,FALSE))</f>
        <v>Kimia</v>
      </c>
      <c r="AF2006">
        <f t="shared" si="93"/>
        <v>75</v>
      </c>
      <c r="AG2006" t="str">
        <f>IF(AF2006="","",IF(AF2006&gt;90,"Sangat baik",IF(AF2006&gt;79,"Baik",IF(AF2006&gt;=pub_gid_0_single_true_output_csv[[#This Row],[KKM]],"Cukup","Kurang"))))</f>
        <v>Cukup</v>
      </c>
      <c r="AH2006">
        <f t="shared" si="94"/>
        <v>12</v>
      </c>
      <c r="AI2006" s="30" t="str">
        <f>IF(OR(J2006&lt;&gt;"Karakter",pub_gid_0_single_true_output_csv[[#This Row],[Nilai2]]=""),"",IF(AF2006&gt;89,"Sangat baik",IF(AF2006&gt;79,"Baik",IF(AF2006&gt;69,"Cukup",IF(AF2006&gt;59,"Kurang","Sangat kurang")))))</f>
        <v/>
      </c>
      <c r="AJ2006" t="str">
        <f t="shared" si="95"/>
        <v>Wk.5</v>
      </c>
      <c r="AK2006" t="str">
        <f>IF(pub_gid_0_single_true_output_csv[[#This Row],[Nilai2]]="","",VLOOKUP(pub_gid_0_single_true_output_csv[[#This Row],[NAMA]],Table7[],3,FALSE))</f>
        <v>Average</v>
      </c>
    </row>
    <row r="2007" spans="1:37" x14ac:dyDescent="0.2">
      <c r="A2007">
        <v>2006</v>
      </c>
      <c r="B2007" t="s">
        <v>318</v>
      </c>
      <c r="C2007" t="s">
        <v>65</v>
      </c>
      <c r="D2007" t="s">
        <v>63</v>
      </c>
      <c r="E2007" t="s">
        <v>140</v>
      </c>
      <c r="F2007" s="25">
        <v>46063</v>
      </c>
      <c r="G2007" t="s">
        <v>374</v>
      </c>
      <c r="H2007" t="s">
        <v>412</v>
      </c>
      <c r="I2007" t="s">
        <v>371</v>
      </c>
      <c r="J2007" t="s">
        <v>36</v>
      </c>
      <c r="K2007" t="s">
        <v>362</v>
      </c>
      <c r="L2007" t="s">
        <v>363</v>
      </c>
      <c r="M2007" t="s">
        <v>141</v>
      </c>
      <c r="N2007" t="s">
        <v>142</v>
      </c>
      <c r="O2007" t="s">
        <v>327</v>
      </c>
      <c r="P2007" t="s">
        <v>281</v>
      </c>
      <c r="Q2007" t="s">
        <v>328</v>
      </c>
      <c r="R2007" t="s">
        <v>329</v>
      </c>
      <c r="S2007" t="s">
        <v>330</v>
      </c>
      <c r="T2007">
        <v>1</v>
      </c>
      <c r="U2007" t="s">
        <v>443</v>
      </c>
      <c r="V2007" t="s">
        <v>285</v>
      </c>
      <c r="W2007" t="s">
        <v>444</v>
      </c>
      <c r="X2007" t="s">
        <v>331</v>
      </c>
      <c r="Y2007" t="s">
        <v>307</v>
      </c>
      <c r="Z2007">
        <v>70</v>
      </c>
      <c r="AA2007">
        <v>30</v>
      </c>
      <c r="AB2007" t="s">
        <v>151</v>
      </c>
      <c r="AC2007" t="s">
        <v>49</v>
      </c>
      <c r="AD2007" t="s">
        <v>426</v>
      </c>
      <c r="AE2007" t="str">
        <f>IF(AF2007="","",VLOOKUP(AC2007,mapel!$A$2:$B$42,2,FALSE))</f>
        <v>Kimia</v>
      </c>
      <c r="AF2007">
        <f t="shared" si="93"/>
        <v>30</v>
      </c>
      <c r="AG2007" t="str">
        <f>IF(AF2007="","",IF(AF2007&gt;90,"Sangat baik",IF(AF2007&gt;79,"Baik",IF(AF2007&gt;=pub_gid_0_single_true_output_csv[[#This Row],[KKM]],"Cukup","Kurang"))))</f>
        <v>Kurang</v>
      </c>
      <c r="AH2007">
        <f t="shared" si="94"/>
        <v>12</v>
      </c>
      <c r="AI2007" s="30" t="str">
        <f>IF(OR(J2007&lt;&gt;"Karakter",pub_gid_0_single_true_output_csv[[#This Row],[Nilai2]]=""),"",IF(AF2007&gt;89,"Sangat baik",IF(AF2007&gt;79,"Baik",IF(AF2007&gt;69,"Cukup",IF(AF2007&gt;59,"Kurang","Sangat kurang")))))</f>
        <v/>
      </c>
      <c r="AJ2007" t="str">
        <f t="shared" si="95"/>
        <v>Wk.7</v>
      </c>
      <c r="AK2007" t="str">
        <f>IF(pub_gid_0_single_true_output_csv[[#This Row],[Nilai2]]="","",VLOOKUP(pub_gid_0_single_true_output_csv[[#This Row],[NAMA]],Table7[],3,FALSE))</f>
        <v>Average</v>
      </c>
    </row>
    <row r="2008" spans="1:37" x14ac:dyDescent="0.2">
      <c r="A2008">
        <v>2007</v>
      </c>
      <c r="B2008" t="s">
        <v>297</v>
      </c>
      <c r="C2008" t="s">
        <v>298</v>
      </c>
      <c r="D2008" t="s">
        <v>298</v>
      </c>
      <c r="E2008" t="s">
        <v>298</v>
      </c>
      <c r="F2008" s="25"/>
      <c r="G2008" t="s">
        <v>439</v>
      </c>
      <c r="H2008" t="s">
        <v>439</v>
      </c>
      <c r="I2008" t="s">
        <v>439</v>
      </c>
      <c r="J2008" t="s">
        <v>439</v>
      </c>
      <c r="K2008" t="s">
        <v>440</v>
      </c>
      <c r="L2008" t="s">
        <v>440</v>
      </c>
      <c r="M2008" t="s">
        <v>439</v>
      </c>
      <c r="N2008" t="s">
        <v>159</v>
      </c>
      <c r="O2008" t="s">
        <v>159</v>
      </c>
      <c r="P2008" t="s">
        <v>159</v>
      </c>
      <c r="Q2008" t="s">
        <v>300</v>
      </c>
      <c r="R2008" t="s">
        <v>300</v>
      </c>
      <c r="S2008" t="s">
        <v>439</v>
      </c>
      <c r="U2008" t="s">
        <v>159</v>
      </c>
      <c r="V2008" t="s">
        <v>418</v>
      </c>
      <c r="W2008" t="s">
        <v>297</v>
      </c>
      <c r="X2008" t="s">
        <v>439</v>
      </c>
      <c r="Y2008" t="s">
        <v>299</v>
      </c>
      <c r="Z2008">
        <v>65</v>
      </c>
      <c r="AB2008" t="s">
        <v>301</v>
      </c>
      <c r="AC2008" t="s">
        <v>154</v>
      </c>
      <c r="AD2008" t="s">
        <v>278</v>
      </c>
      <c r="AE2008" t="str">
        <f>IF(AF2008="","",VLOOKUP(AC2008,mapel!$A$2:$B$42,2,FALSE))</f>
        <v/>
      </c>
      <c r="AF2008" t="str">
        <f t="shared" si="93"/>
        <v/>
      </c>
      <c r="AG2008" t="str">
        <f>IF(AF2008="","",IF(AF2008&gt;90,"Sangat baik",IF(AF2008&gt;79,"Baik",IF(AF2008&gt;=pub_gid_0_single_true_output_csv[[#This Row],[KKM]],"Cukup","Kurang"))))</f>
        <v/>
      </c>
      <c r="AH2008" t="str">
        <f t="shared" si="94"/>
        <v/>
      </c>
      <c r="AI2008" s="30" t="str">
        <f>IF(OR(J2008&lt;&gt;"Karakter",pub_gid_0_single_true_output_csv[[#This Row],[Nilai2]]=""),"",IF(AF2008&gt;89,"Sangat baik",IF(AF2008&gt;79,"Baik",IF(AF2008&gt;69,"Cukup",IF(AF2008&gt;59,"Kurang","Sangat kurang")))))</f>
        <v/>
      </c>
      <c r="AJ2008" t="str">
        <f t="shared" si="95"/>
        <v/>
      </c>
      <c r="AK2008" t="str">
        <f>IF(pub_gid_0_single_true_output_csv[[#This Row],[Nilai2]]="","",VLOOKUP(pub_gid_0_single_true_output_csv[[#This Row],[NAMA]],Table7[],3,FALSE))</f>
        <v/>
      </c>
    </row>
    <row r="2009" spans="1:37" x14ac:dyDescent="0.2">
      <c r="A2009">
        <v>2008</v>
      </c>
      <c r="B2009" t="s">
        <v>311</v>
      </c>
      <c r="C2009" t="s">
        <v>65</v>
      </c>
      <c r="D2009" t="s">
        <v>55</v>
      </c>
      <c r="E2009" t="s">
        <v>146</v>
      </c>
      <c r="F2009" s="25">
        <v>46036</v>
      </c>
      <c r="G2009" t="s">
        <v>353</v>
      </c>
      <c r="H2009" t="s">
        <v>405</v>
      </c>
      <c r="I2009" t="s">
        <v>371</v>
      </c>
      <c r="J2009" t="s">
        <v>36</v>
      </c>
      <c r="K2009" t="s">
        <v>37</v>
      </c>
      <c r="L2009" t="s">
        <v>321</v>
      </c>
      <c r="M2009" t="s">
        <v>141</v>
      </c>
      <c r="N2009" t="s">
        <v>142</v>
      </c>
      <c r="O2009" t="s">
        <v>327</v>
      </c>
      <c r="P2009" t="s">
        <v>281</v>
      </c>
      <c r="Q2009" t="s">
        <v>328</v>
      </c>
      <c r="R2009" t="s">
        <v>329</v>
      </c>
      <c r="S2009" t="s">
        <v>330</v>
      </c>
      <c r="T2009">
        <v>1</v>
      </c>
      <c r="U2009" t="s">
        <v>445</v>
      </c>
      <c r="V2009" t="s">
        <v>285</v>
      </c>
      <c r="W2009" t="s">
        <v>446</v>
      </c>
      <c r="X2009" t="s">
        <v>331</v>
      </c>
      <c r="Y2009" t="s">
        <v>307</v>
      </c>
      <c r="Z2009">
        <v>70</v>
      </c>
      <c r="AA2009">
        <v>63</v>
      </c>
      <c r="AB2009" t="s">
        <v>151</v>
      </c>
      <c r="AC2009" t="s">
        <v>64</v>
      </c>
      <c r="AD2009" t="s">
        <v>50</v>
      </c>
      <c r="AE2009" t="str">
        <f>IF(AF2009="","",VLOOKUP(AC2009,mapel!$A$2:$B$42,2,FALSE))</f>
        <v>Math</v>
      </c>
      <c r="AF2009">
        <f t="shared" si="93"/>
        <v>63</v>
      </c>
      <c r="AG2009" t="str">
        <f>IF(AF2009="","",IF(AF2009&gt;90,"Sangat baik",IF(AF2009&gt;79,"Baik",IF(AF2009&gt;=pub_gid_0_single_true_output_csv[[#This Row],[KKM]],"Cukup","Kurang"))))</f>
        <v>Kurang</v>
      </c>
      <c r="AH2009">
        <f t="shared" si="94"/>
        <v>12</v>
      </c>
      <c r="AI2009" s="30" t="str">
        <f>IF(OR(J2009&lt;&gt;"Karakter",pub_gid_0_single_true_output_csv[[#This Row],[Nilai2]]=""),"",IF(AF2009&gt;89,"Sangat baik",IF(AF2009&gt;79,"Baik",IF(AF2009&gt;69,"Cukup",IF(AF2009&gt;59,"Kurang","Sangat kurang")))))</f>
        <v/>
      </c>
      <c r="AJ2009" t="str">
        <f t="shared" si="95"/>
        <v>Wk.3</v>
      </c>
      <c r="AK2009" t="str">
        <f>IF(pub_gid_0_single_true_output_csv[[#This Row],[Nilai2]]="","",VLOOKUP(pub_gid_0_single_true_output_csv[[#This Row],[NAMA]],Table7[],3,FALSE))</f>
        <v>Average</v>
      </c>
    </row>
    <row r="2010" spans="1:37" x14ac:dyDescent="0.2">
      <c r="A2010">
        <v>2009</v>
      </c>
      <c r="B2010" t="s">
        <v>311</v>
      </c>
      <c r="C2010" t="s">
        <v>65</v>
      </c>
      <c r="D2010" t="s">
        <v>55</v>
      </c>
      <c r="E2010" t="s">
        <v>146</v>
      </c>
      <c r="F2010" s="25">
        <v>46041</v>
      </c>
      <c r="G2010" t="s">
        <v>370</v>
      </c>
      <c r="H2010" t="s">
        <v>405</v>
      </c>
      <c r="I2010" t="s">
        <v>371</v>
      </c>
      <c r="J2010" t="s">
        <v>36</v>
      </c>
      <c r="K2010" t="s">
        <v>37</v>
      </c>
      <c r="L2010" t="s">
        <v>321</v>
      </c>
      <c r="M2010" t="s">
        <v>141</v>
      </c>
      <c r="N2010" t="s">
        <v>142</v>
      </c>
      <c r="O2010" t="s">
        <v>327</v>
      </c>
      <c r="P2010" t="s">
        <v>281</v>
      </c>
      <c r="Q2010" t="s">
        <v>328</v>
      </c>
      <c r="R2010" t="s">
        <v>329</v>
      </c>
      <c r="S2010" t="s">
        <v>330</v>
      </c>
      <c r="T2010">
        <v>1</v>
      </c>
      <c r="U2010" t="s">
        <v>445</v>
      </c>
      <c r="V2010" t="s">
        <v>285</v>
      </c>
      <c r="W2010" t="s">
        <v>446</v>
      </c>
      <c r="X2010" t="s">
        <v>331</v>
      </c>
      <c r="Y2010" t="s">
        <v>307</v>
      </c>
      <c r="Z2010">
        <v>70</v>
      </c>
      <c r="AA2010">
        <v>70</v>
      </c>
      <c r="AB2010" t="s">
        <v>143</v>
      </c>
      <c r="AC2010" t="s">
        <v>64</v>
      </c>
      <c r="AD2010" t="s">
        <v>50</v>
      </c>
      <c r="AE2010" t="str">
        <f>IF(AF2010="","",VLOOKUP(AC2010,mapel!$A$2:$B$42,2,FALSE))</f>
        <v>Math</v>
      </c>
      <c r="AF2010">
        <f t="shared" si="93"/>
        <v>70</v>
      </c>
      <c r="AG2010" t="str">
        <f>IF(AF2010="","",IF(AF2010&gt;90,"Sangat baik",IF(AF2010&gt;79,"Baik",IF(AF2010&gt;=pub_gid_0_single_true_output_csv[[#This Row],[KKM]],"Cukup","Kurang"))))</f>
        <v>Cukup</v>
      </c>
      <c r="AH2010">
        <f t="shared" si="94"/>
        <v>12</v>
      </c>
      <c r="AI2010" s="30" t="str">
        <f>IF(OR(J2010&lt;&gt;"Karakter",pub_gid_0_single_true_output_csv[[#This Row],[Nilai2]]=""),"",IF(AF2010&gt;89,"Sangat baik",IF(AF2010&gt;79,"Baik",IF(AF2010&gt;69,"Cukup",IF(AF2010&gt;59,"Kurang","Sangat kurang")))))</f>
        <v/>
      </c>
      <c r="AJ2010" t="str">
        <f t="shared" si="95"/>
        <v>Wk.4</v>
      </c>
      <c r="AK2010" t="str">
        <f>IF(pub_gid_0_single_true_output_csv[[#This Row],[Nilai2]]="","",VLOOKUP(pub_gid_0_single_true_output_csv[[#This Row],[NAMA]],Table7[],3,FALSE))</f>
        <v>Average</v>
      </c>
    </row>
    <row r="2011" spans="1:37" x14ac:dyDescent="0.2">
      <c r="A2011">
        <v>2010</v>
      </c>
      <c r="B2011" t="s">
        <v>311</v>
      </c>
      <c r="C2011" t="s">
        <v>65</v>
      </c>
      <c r="D2011" t="s">
        <v>55</v>
      </c>
      <c r="E2011" t="s">
        <v>146</v>
      </c>
      <c r="F2011" s="25">
        <v>46041</v>
      </c>
      <c r="G2011" t="s">
        <v>370</v>
      </c>
      <c r="H2011" t="s">
        <v>405</v>
      </c>
      <c r="I2011" t="s">
        <v>371</v>
      </c>
      <c r="J2011" t="s">
        <v>36</v>
      </c>
      <c r="K2011" t="s">
        <v>37</v>
      </c>
      <c r="L2011" t="s">
        <v>321</v>
      </c>
      <c r="M2011" t="s">
        <v>141</v>
      </c>
      <c r="N2011" t="s">
        <v>142</v>
      </c>
      <c r="O2011" t="s">
        <v>327</v>
      </c>
      <c r="P2011" t="s">
        <v>281</v>
      </c>
      <c r="Q2011" t="s">
        <v>328</v>
      </c>
      <c r="R2011" t="s">
        <v>329</v>
      </c>
      <c r="S2011" t="s">
        <v>330</v>
      </c>
      <c r="T2011">
        <v>1</v>
      </c>
      <c r="U2011" t="s">
        <v>445</v>
      </c>
      <c r="V2011" t="s">
        <v>285</v>
      </c>
      <c r="W2011" t="s">
        <v>446</v>
      </c>
      <c r="X2011" t="s">
        <v>331</v>
      </c>
      <c r="Y2011" t="s">
        <v>307</v>
      </c>
      <c r="Z2011">
        <v>70</v>
      </c>
      <c r="AA2011">
        <v>86</v>
      </c>
      <c r="AB2011" t="s">
        <v>143</v>
      </c>
      <c r="AC2011" t="s">
        <v>64</v>
      </c>
      <c r="AD2011" t="s">
        <v>50</v>
      </c>
      <c r="AE2011" t="str">
        <f>IF(AF2011="","",VLOOKUP(AC2011,mapel!$A$2:$B$42,2,FALSE))</f>
        <v>Math</v>
      </c>
      <c r="AF2011">
        <f t="shared" si="93"/>
        <v>86</v>
      </c>
      <c r="AG2011" t="str">
        <f>IF(AF2011="","",IF(AF2011&gt;90,"Sangat baik",IF(AF2011&gt;79,"Baik",IF(AF2011&gt;=pub_gid_0_single_true_output_csv[[#This Row],[KKM]],"Cukup","Kurang"))))</f>
        <v>Baik</v>
      </c>
      <c r="AH2011">
        <f t="shared" si="94"/>
        <v>12</v>
      </c>
      <c r="AI2011" s="30" t="str">
        <f>IF(OR(J2011&lt;&gt;"Karakter",pub_gid_0_single_true_output_csv[[#This Row],[Nilai2]]=""),"",IF(AF2011&gt;89,"Sangat baik",IF(AF2011&gt;79,"Baik",IF(AF2011&gt;69,"Cukup",IF(AF2011&gt;59,"Kurang","Sangat kurang")))))</f>
        <v/>
      </c>
      <c r="AJ2011" t="str">
        <f t="shared" si="95"/>
        <v>Wk.4</v>
      </c>
      <c r="AK2011" t="str">
        <f>IF(pub_gid_0_single_true_output_csv[[#This Row],[Nilai2]]="","",VLOOKUP(pub_gid_0_single_true_output_csv[[#This Row],[NAMA]],Table7[],3,FALSE))</f>
        <v>Average</v>
      </c>
    </row>
    <row r="2012" spans="1:37" x14ac:dyDescent="0.2">
      <c r="A2012">
        <v>2011</v>
      </c>
      <c r="B2012" t="s">
        <v>311</v>
      </c>
      <c r="C2012" t="s">
        <v>65</v>
      </c>
      <c r="D2012" t="s">
        <v>55</v>
      </c>
      <c r="E2012" t="s">
        <v>146</v>
      </c>
      <c r="F2012" s="25">
        <v>46043</v>
      </c>
      <c r="G2012" t="s">
        <v>341</v>
      </c>
      <c r="H2012" t="s">
        <v>405</v>
      </c>
      <c r="I2012" t="s">
        <v>371</v>
      </c>
      <c r="J2012" t="s">
        <v>36</v>
      </c>
      <c r="K2012" t="s">
        <v>37</v>
      </c>
      <c r="L2012" t="s">
        <v>321</v>
      </c>
      <c r="M2012" t="s">
        <v>141</v>
      </c>
      <c r="N2012" t="s">
        <v>142</v>
      </c>
      <c r="O2012" t="s">
        <v>327</v>
      </c>
      <c r="P2012" t="s">
        <v>281</v>
      </c>
      <c r="Q2012" t="s">
        <v>328</v>
      </c>
      <c r="R2012" t="s">
        <v>329</v>
      </c>
      <c r="S2012" t="s">
        <v>330</v>
      </c>
      <c r="T2012">
        <v>1</v>
      </c>
      <c r="U2012" t="s">
        <v>445</v>
      </c>
      <c r="V2012" t="s">
        <v>285</v>
      </c>
      <c r="W2012" t="s">
        <v>446</v>
      </c>
      <c r="X2012" t="s">
        <v>331</v>
      </c>
      <c r="Y2012" t="s">
        <v>307</v>
      </c>
      <c r="Z2012">
        <v>70</v>
      </c>
      <c r="AA2012">
        <v>55</v>
      </c>
      <c r="AB2012" t="s">
        <v>151</v>
      </c>
      <c r="AC2012" t="s">
        <v>64</v>
      </c>
      <c r="AD2012" t="s">
        <v>50</v>
      </c>
      <c r="AE2012" t="str">
        <f>IF(AF2012="","",VLOOKUP(AC2012,mapel!$A$2:$B$42,2,FALSE))</f>
        <v>Math</v>
      </c>
      <c r="AF2012">
        <f t="shared" si="93"/>
        <v>55</v>
      </c>
      <c r="AG2012" t="str">
        <f>IF(AF2012="","",IF(AF2012&gt;90,"Sangat baik",IF(AF2012&gt;79,"Baik",IF(AF2012&gt;=pub_gid_0_single_true_output_csv[[#This Row],[KKM]],"Cukup","Kurang"))))</f>
        <v>Kurang</v>
      </c>
      <c r="AH2012">
        <f t="shared" si="94"/>
        <v>12</v>
      </c>
      <c r="AI2012" s="30" t="str">
        <f>IF(OR(J2012&lt;&gt;"Karakter",pub_gid_0_single_true_output_csv[[#This Row],[Nilai2]]=""),"",IF(AF2012&gt;89,"Sangat baik",IF(AF2012&gt;79,"Baik",IF(AF2012&gt;69,"Cukup",IF(AF2012&gt;59,"Kurang","Sangat kurang")))))</f>
        <v/>
      </c>
      <c r="AJ2012" t="str">
        <f t="shared" si="95"/>
        <v>Wk.4</v>
      </c>
      <c r="AK2012" t="str">
        <f>IF(pub_gid_0_single_true_output_csv[[#This Row],[Nilai2]]="","",VLOOKUP(pub_gid_0_single_true_output_csv[[#This Row],[NAMA]],Table7[],3,FALSE))</f>
        <v>Average</v>
      </c>
    </row>
    <row r="2013" spans="1:37" x14ac:dyDescent="0.2">
      <c r="A2013">
        <v>2012</v>
      </c>
      <c r="B2013" t="s">
        <v>311</v>
      </c>
      <c r="C2013" t="s">
        <v>65</v>
      </c>
      <c r="D2013" t="s">
        <v>55</v>
      </c>
      <c r="E2013" t="s">
        <v>146</v>
      </c>
      <c r="F2013" s="25">
        <v>46041</v>
      </c>
      <c r="G2013" t="s">
        <v>370</v>
      </c>
      <c r="H2013" t="s">
        <v>405</v>
      </c>
      <c r="I2013" t="s">
        <v>371</v>
      </c>
      <c r="J2013" t="s">
        <v>36</v>
      </c>
      <c r="K2013" t="s">
        <v>37</v>
      </c>
      <c r="L2013" t="s">
        <v>321</v>
      </c>
      <c r="M2013" t="s">
        <v>141</v>
      </c>
      <c r="N2013" t="s">
        <v>142</v>
      </c>
      <c r="O2013" t="s">
        <v>327</v>
      </c>
      <c r="P2013" t="s">
        <v>281</v>
      </c>
      <c r="Q2013" t="s">
        <v>328</v>
      </c>
      <c r="R2013" t="s">
        <v>329</v>
      </c>
      <c r="S2013" t="s">
        <v>330</v>
      </c>
      <c r="T2013">
        <v>1</v>
      </c>
      <c r="U2013" t="s">
        <v>445</v>
      </c>
      <c r="V2013" t="s">
        <v>285</v>
      </c>
      <c r="W2013" t="s">
        <v>446</v>
      </c>
      <c r="X2013" t="s">
        <v>331</v>
      </c>
      <c r="Y2013" t="s">
        <v>307</v>
      </c>
      <c r="Z2013">
        <v>70</v>
      </c>
      <c r="AA2013">
        <v>59</v>
      </c>
      <c r="AB2013" t="s">
        <v>151</v>
      </c>
      <c r="AC2013" t="s">
        <v>64</v>
      </c>
      <c r="AD2013" t="s">
        <v>50</v>
      </c>
      <c r="AE2013" t="str">
        <f>IF(AF2013="","",VLOOKUP(AC2013,mapel!$A$2:$B$42,2,FALSE))</f>
        <v>Math</v>
      </c>
      <c r="AF2013">
        <f t="shared" si="93"/>
        <v>59</v>
      </c>
      <c r="AG2013" t="str">
        <f>IF(AF2013="","",IF(AF2013&gt;90,"Sangat baik",IF(AF2013&gt;79,"Baik",IF(AF2013&gt;=pub_gid_0_single_true_output_csv[[#This Row],[KKM]],"Cukup","Kurang"))))</f>
        <v>Kurang</v>
      </c>
      <c r="AH2013">
        <f t="shared" si="94"/>
        <v>12</v>
      </c>
      <c r="AI2013" s="30" t="str">
        <f>IF(OR(J2013&lt;&gt;"Karakter",pub_gid_0_single_true_output_csv[[#This Row],[Nilai2]]=""),"",IF(AF2013&gt;89,"Sangat baik",IF(AF2013&gt;79,"Baik",IF(AF2013&gt;69,"Cukup",IF(AF2013&gt;59,"Kurang","Sangat kurang")))))</f>
        <v/>
      </c>
      <c r="AJ2013" t="str">
        <f t="shared" si="95"/>
        <v>Wk.4</v>
      </c>
      <c r="AK2013" t="str">
        <f>IF(pub_gid_0_single_true_output_csv[[#This Row],[Nilai2]]="","",VLOOKUP(pub_gid_0_single_true_output_csv[[#This Row],[NAMA]],Table7[],3,FALSE))</f>
        <v>Average</v>
      </c>
    </row>
    <row r="2014" spans="1:37" x14ac:dyDescent="0.2">
      <c r="A2014">
        <v>2013</v>
      </c>
      <c r="B2014" t="s">
        <v>311</v>
      </c>
      <c r="C2014" t="s">
        <v>65</v>
      </c>
      <c r="D2014" t="s">
        <v>55</v>
      </c>
      <c r="E2014" t="s">
        <v>146</v>
      </c>
      <c r="F2014" s="25">
        <v>46063</v>
      </c>
      <c r="G2014" t="s">
        <v>374</v>
      </c>
      <c r="H2014" t="s">
        <v>412</v>
      </c>
      <c r="I2014" t="s">
        <v>371</v>
      </c>
      <c r="J2014" t="s">
        <v>36</v>
      </c>
      <c r="K2014" t="s">
        <v>37</v>
      </c>
      <c r="L2014" t="s">
        <v>321</v>
      </c>
      <c r="M2014" t="s">
        <v>141</v>
      </c>
      <c r="N2014" t="s">
        <v>142</v>
      </c>
      <c r="O2014" t="s">
        <v>327</v>
      </c>
      <c r="P2014" t="s">
        <v>281</v>
      </c>
      <c r="Q2014" t="s">
        <v>328</v>
      </c>
      <c r="R2014" t="s">
        <v>329</v>
      </c>
      <c r="S2014" t="s">
        <v>392</v>
      </c>
      <c r="T2014">
        <v>1</v>
      </c>
      <c r="U2014" t="s">
        <v>445</v>
      </c>
      <c r="V2014" t="s">
        <v>343</v>
      </c>
      <c r="W2014" t="s">
        <v>447</v>
      </c>
      <c r="X2014" t="s">
        <v>331</v>
      </c>
      <c r="Y2014" t="s">
        <v>307</v>
      </c>
      <c r="Z2014">
        <v>70</v>
      </c>
      <c r="AA2014">
        <v>36</v>
      </c>
      <c r="AB2014" t="s">
        <v>151</v>
      </c>
      <c r="AC2014" t="s">
        <v>64</v>
      </c>
      <c r="AD2014" t="s">
        <v>50</v>
      </c>
      <c r="AE2014" t="str">
        <f>IF(AF2014="","",VLOOKUP(AC2014,mapel!$A$2:$B$42,2,FALSE))</f>
        <v>Math</v>
      </c>
      <c r="AF2014">
        <f t="shared" si="93"/>
        <v>36</v>
      </c>
      <c r="AG2014" t="str">
        <f>IF(AF2014="","",IF(AF2014&gt;90,"Sangat baik",IF(AF2014&gt;79,"Baik",IF(AF2014&gt;=pub_gid_0_single_true_output_csv[[#This Row],[KKM]],"Cukup","Kurang"))))</f>
        <v>Kurang</v>
      </c>
      <c r="AH2014">
        <f t="shared" si="94"/>
        <v>12</v>
      </c>
      <c r="AI2014" s="30" t="str">
        <f>IF(OR(J2014&lt;&gt;"Karakter",pub_gid_0_single_true_output_csv[[#This Row],[Nilai2]]=""),"",IF(AF2014&gt;89,"Sangat baik",IF(AF2014&gt;79,"Baik",IF(AF2014&gt;69,"Cukup",IF(AF2014&gt;59,"Kurang","Sangat kurang")))))</f>
        <v/>
      </c>
      <c r="AJ2014" t="str">
        <f t="shared" si="95"/>
        <v>Wk.7</v>
      </c>
      <c r="AK2014" t="str">
        <f>IF(pub_gid_0_single_true_output_csv[[#This Row],[Nilai2]]="","",VLOOKUP(pub_gid_0_single_true_output_csv[[#This Row],[NAMA]],Table7[],3,FALSE))</f>
        <v>Average</v>
      </c>
    </row>
    <row r="2015" spans="1:37" x14ac:dyDescent="0.2">
      <c r="A2015">
        <v>2014</v>
      </c>
      <c r="B2015" t="s">
        <v>311</v>
      </c>
      <c r="C2015" t="s">
        <v>65</v>
      </c>
      <c r="D2015" t="s">
        <v>55</v>
      </c>
      <c r="E2015" t="s">
        <v>146</v>
      </c>
      <c r="F2015" s="25">
        <v>46064</v>
      </c>
      <c r="G2015" t="s">
        <v>352</v>
      </c>
      <c r="H2015" t="s">
        <v>412</v>
      </c>
      <c r="I2015" t="s">
        <v>371</v>
      </c>
      <c r="J2015" t="s">
        <v>36</v>
      </c>
      <c r="K2015" t="s">
        <v>37</v>
      </c>
      <c r="L2015" t="s">
        <v>321</v>
      </c>
      <c r="M2015" t="s">
        <v>141</v>
      </c>
      <c r="N2015" t="s">
        <v>142</v>
      </c>
      <c r="O2015" t="s">
        <v>327</v>
      </c>
      <c r="P2015" t="s">
        <v>281</v>
      </c>
      <c r="Q2015" t="s">
        <v>328</v>
      </c>
      <c r="R2015" t="s">
        <v>329</v>
      </c>
      <c r="S2015" t="s">
        <v>392</v>
      </c>
      <c r="T2015">
        <v>1</v>
      </c>
      <c r="U2015" t="s">
        <v>445</v>
      </c>
      <c r="V2015" t="s">
        <v>343</v>
      </c>
      <c r="W2015" t="s">
        <v>447</v>
      </c>
      <c r="X2015" t="s">
        <v>331</v>
      </c>
      <c r="Y2015" t="s">
        <v>307</v>
      </c>
      <c r="Z2015">
        <v>70</v>
      </c>
      <c r="AA2015">
        <v>70</v>
      </c>
      <c r="AB2015" t="s">
        <v>143</v>
      </c>
      <c r="AC2015" t="s">
        <v>64</v>
      </c>
      <c r="AD2015" t="s">
        <v>50</v>
      </c>
      <c r="AE2015" t="str">
        <f>IF(AF2015="","",VLOOKUP(AC2015,mapel!$A$2:$B$42,2,FALSE))</f>
        <v>Math</v>
      </c>
      <c r="AF2015">
        <f t="shared" si="93"/>
        <v>70</v>
      </c>
      <c r="AG2015" t="str">
        <f>IF(AF2015="","",IF(AF2015&gt;90,"Sangat baik",IF(AF2015&gt;79,"Baik",IF(AF2015&gt;=pub_gid_0_single_true_output_csv[[#This Row],[KKM]],"Cukup","Kurang"))))</f>
        <v>Cukup</v>
      </c>
      <c r="AH2015">
        <f t="shared" si="94"/>
        <v>12</v>
      </c>
      <c r="AI2015" s="30" t="str">
        <f>IF(OR(J2015&lt;&gt;"Karakter",pub_gid_0_single_true_output_csv[[#This Row],[Nilai2]]=""),"",IF(AF2015&gt;89,"Sangat baik",IF(AF2015&gt;79,"Baik",IF(AF2015&gt;69,"Cukup",IF(AF2015&gt;59,"Kurang","Sangat kurang")))))</f>
        <v/>
      </c>
      <c r="AJ2015" t="str">
        <f t="shared" si="95"/>
        <v>Wk.7</v>
      </c>
      <c r="AK2015" t="str">
        <f>IF(pub_gid_0_single_true_output_csv[[#This Row],[Nilai2]]="","",VLOOKUP(pub_gid_0_single_true_output_csv[[#This Row],[NAMA]],Table7[],3,FALSE))</f>
        <v>Average</v>
      </c>
    </row>
    <row r="2016" spans="1:37" x14ac:dyDescent="0.2">
      <c r="A2016">
        <v>2015</v>
      </c>
      <c r="B2016" t="s">
        <v>311</v>
      </c>
      <c r="C2016" t="s">
        <v>65</v>
      </c>
      <c r="D2016" t="s">
        <v>55</v>
      </c>
      <c r="E2016" t="s">
        <v>146</v>
      </c>
      <c r="F2016" s="25">
        <v>46056</v>
      </c>
      <c r="G2016" t="s">
        <v>372</v>
      </c>
      <c r="H2016" t="s">
        <v>412</v>
      </c>
      <c r="I2016" t="s">
        <v>371</v>
      </c>
      <c r="J2016" t="s">
        <v>36</v>
      </c>
      <c r="K2016" t="s">
        <v>37</v>
      </c>
      <c r="L2016" t="s">
        <v>321</v>
      </c>
      <c r="M2016" t="s">
        <v>141</v>
      </c>
      <c r="N2016" t="s">
        <v>142</v>
      </c>
      <c r="O2016" t="s">
        <v>327</v>
      </c>
      <c r="P2016" t="s">
        <v>281</v>
      </c>
      <c r="Q2016" t="s">
        <v>328</v>
      </c>
      <c r="R2016" t="s">
        <v>329</v>
      </c>
      <c r="S2016" t="s">
        <v>375</v>
      </c>
      <c r="T2016">
        <v>1</v>
      </c>
      <c r="U2016" t="s">
        <v>445</v>
      </c>
      <c r="V2016" t="s">
        <v>342</v>
      </c>
      <c r="W2016" t="s">
        <v>448</v>
      </c>
      <c r="X2016" t="s">
        <v>331</v>
      </c>
      <c r="Y2016" t="s">
        <v>307</v>
      </c>
      <c r="Z2016">
        <v>70</v>
      </c>
      <c r="AA2016">
        <v>30</v>
      </c>
      <c r="AB2016" t="s">
        <v>151</v>
      </c>
      <c r="AC2016" t="s">
        <v>64</v>
      </c>
      <c r="AD2016" t="s">
        <v>50</v>
      </c>
      <c r="AE2016" t="str">
        <f>IF(AF2016="","",VLOOKUP(AC2016,mapel!$A$2:$B$42,2,FALSE))</f>
        <v>Math</v>
      </c>
      <c r="AF2016">
        <f t="shared" si="93"/>
        <v>30</v>
      </c>
      <c r="AG2016" t="str">
        <f>IF(AF2016="","",IF(AF2016&gt;90,"Sangat baik",IF(AF2016&gt;79,"Baik",IF(AF2016&gt;=pub_gid_0_single_true_output_csv[[#This Row],[KKM]],"Cukup","Kurang"))))</f>
        <v>Kurang</v>
      </c>
      <c r="AH2016">
        <f t="shared" si="94"/>
        <v>12</v>
      </c>
      <c r="AI2016" s="30" t="str">
        <f>IF(OR(J2016&lt;&gt;"Karakter",pub_gid_0_single_true_output_csv[[#This Row],[Nilai2]]=""),"",IF(AF2016&gt;89,"Sangat baik",IF(AF2016&gt;79,"Baik",IF(AF2016&gt;69,"Cukup",IF(AF2016&gt;59,"Kurang","Sangat kurang")))))</f>
        <v/>
      </c>
      <c r="AJ2016" t="str">
        <f t="shared" si="95"/>
        <v>Wk.6</v>
      </c>
      <c r="AK2016" t="str">
        <f>IF(pub_gid_0_single_true_output_csv[[#This Row],[Nilai2]]="","",VLOOKUP(pub_gid_0_single_true_output_csv[[#This Row],[NAMA]],Table7[],3,FALSE))</f>
        <v>Average</v>
      </c>
    </row>
    <row r="2017" spans="1:37" x14ac:dyDescent="0.2">
      <c r="A2017">
        <v>2016</v>
      </c>
      <c r="B2017" t="s">
        <v>311</v>
      </c>
      <c r="C2017" t="s">
        <v>65</v>
      </c>
      <c r="D2017" t="s">
        <v>55</v>
      </c>
      <c r="E2017" t="s">
        <v>146</v>
      </c>
      <c r="F2017" s="25">
        <v>46064</v>
      </c>
      <c r="G2017" t="s">
        <v>352</v>
      </c>
      <c r="H2017" t="s">
        <v>412</v>
      </c>
      <c r="I2017" t="s">
        <v>371</v>
      </c>
      <c r="J2017" t="s">
        <v>36</v>
      </c>
      <c r="K2017" t="s">
        <v>37</v>
      </c>
      <c r="L2017" t="s">
        <v>150</v>
      </c>
      <c r="M2017" t="s">
        <v>141</v>
      </c>
      <c r="N2017" t="s">
        <v>142</v>
      </c>
      <c r="O2017" t="s">
        <v>327</v>
      </c>
      <c r="P2017" t="s">
        <v>281</v>
      </c>
      <c r="Q2017" t="s">
        <v>328</v>
      </c>
      <c r="R2017" t="s">
        <v>329</v>
      </c>
      <c r="S2017" t="s">
        <v>392</v>
      </c>
      <c r="T2017">
        <v>1</v>
      </c>
      <c r="U2017" t="s">
        <v>445</v>
      </c>
      <c r="V2017" t="s">
        <v>343</v>
      </c>
      <c r="W2017" t="s">
        <v>447</v>
      </c>
      <c r="X2017" t="s">
        <v>331</v>
      </c>
      <c r="Y2017" t="s">
        <v>307</v>
      </c>
      <c r="Z2017">
        <v>70</v>
      </c>
      <c r="AA2017">
        <v>83</v>
      </c>
      <c r="AB2017" t="s">
        <v>143</v>
      </c>
      <c r="AC2017" t="s">
        <v>64</v>
      </c>
      <c r="AD2017" t="s">
        <v>50</v>
      </c>
      <c r="AE2017" t="str">
        <f>IF(AF2017="","",VLOOKUP(AC2017,mapel!$A$2:$B$42,2,FALSE))</f>
        <v>Math</v>
      </c>
      <c r="AF2017">
        <f t="shared" si="93"/>
        <v>83</v>
      </c>
      <c r="AG2017" t="str">
        <f>IF(AF2017="","",IF(AF2017&gt;90,"Sangat baik",IF(AF2017&gt;79,"Baik",IF(AF2017&gt;=pub_gid_0_single_true_output_csv[[#This Row],[KKM]],"Cukup","Kurang"))))</f>
        <v>Baik</v>
      </c>
      <c r="AH2017">
        <f t="shared" si="94"/>
        <v>12</v>
      </c>
      <c r="AI2017" s="30" t="str">
        <f>IF(OR(J2017&lt;&gt;"Karakter",pub_gid_0_single_true_output_csv[[#This Row],[Nilai2]]=""),"",IF(AF2017&gt;89,"Sangat baik",IF(AF2017&gt;79,"Baik",IF(AF2017&gt;69,"Cukup",IF(AF2017&gt;59,"Kurang","Sangat kurang")))))</f>
        <v/>
      </c>
      <c r="AJ2017" t="str">
        <f t="shared" si="95"/>
        <v>Wk.7</v>
      </c>
      <c r="AK2017" t="str">
        <f>IF(pub_gid_0_single_true_output_csv[[#This Row],[Nilai2]]="","",VLOOKUP(pub_gid_0_single_true_output_csv[[#This Row],[NAMA]],Table7[],3,FALSE))</f>
        <v>Average</v>
      </c>
    </row>
    <row r="2018" spans="1:37" x14ac:dyDescent="0.2">
      <c r="A2018">
        <v>2017</v>
      </c>
      <c r="B2018" t="s">
        <v>311</v>
      </c>
      <c r="C2018" t="s">
        <v>65</v>
      </c>
      <c r="D2018" t="s">
        <v>55</v>
      </c>
      <c r="E2018" t="s">
        <v>146</v>
      </c>
      <c r="F2018" s="25">
        <v>46078</v>
      </c>
      <c r="G2018" t="s">
        <v>284</v>
      </c>
      <c r="H2018" t="s">
        <v>412</v>
      </c>
      <c r="I2018" t="s">
        <v>371</v>
      </c>
      <c r="J2018" t="s">
        <v>36</v>
      </c>
      <c r="K2018" t="s">
        <v>37</v>
      </c>
      <c r="L2018" t="s">
        <v>150</v>
      </c>
      <c r="M2018" t="s">
        <v>141</v>
      </c>
      <c r="N2018" t="s">
        <v>142</v>
      </c>
      <c r="O2018" t="s">
        <v>327</v>
      </c>
      <c r="P2018" t="s">
        <v>281</v>
      </c>
      <c r="Q2018" t="s">
        <v>328</v>
      </c>
      <c r="R2018" t="s">
        <v>329</v>
      </c>
      <c r="S2018" t="s">
        <v>392</v>
      </c>
      <c r="T2018">
        <v>1</v>
      </c>
      <c r="U2018" t="s">
        <v>445</v>
      </c>
      <c r="V2018" t="s">
        <v>343</v>
      </c>
      <c r="W2018" t="s">
        <v>447</v>
      </c>
      <c r="X2018" t="s">
        <v>331</v>
      </c>
      <c r="Y2018" t="s">
        <v>307</v>
      </c>
      <c r="Z2018">
        <v>70</v>
      </c>
      <c r="AA2018">
        <v>90</v>
      </c>
      <c r="AB2018" t="s">
        <v>143</v>
      </c>
      <c r="AC2018" t="s">
        <v>64</v>
      </c>
      <c r="AD2018" t="s">
        <v>50</v>
      </c>
      <c r="AE2018" t="str">
        <f>IF(AF2018="","",VLOOKUP(AC2018,mapel!$A$2:$B$42,2,FALSE))</f>
        <v>Math</v>
      </c>
      <c r="AF2018">
        <f t="shared" si="93"/>
        <v>90</v>
      </c>
      <c r="AG2018" t="str">
        <f>IF(AF2018="","",IF(AF2018&gt;90,"Sangat baik",IF(AF2018&gt;79,"Baik",IF(AF2018&gt;=pub_gid_0_single_true_output_csv[[#This Row],[KKM]],"Cukup","Kurang"))))</f>
        <v>Baik</v>
      </c>
      <c r="AH2018">
        <f t="shared" si="94"/>
        <v>12</v>
      </c>
      <c r="AI2018" s="30" t="str">
        <f>IF(OR(J2018&lt;&gt;"Karakter",pub_gid_0_single_true_output_csv[[#This Row],[Nilai2]]=""),"",IF(AF2018&gt;89,"Sangat baik",IF(AF2018&gt;79,"Baik",IF(AF2018&gt;69,"Cukup",IF(AF2018&gt;59,"Kurang","Sangat kurang")))))</f>
        <v/>
      </c>
      <c r="AJ2018" t="str">
        <f t="shared" si="95"/>
        <v>Wk.9</v>
      </c>
      <c r="AK2018" t="str">
        <f>IF(pub_gid_0_single_true_output_csv[[#This Row],[Nilai2]]="","",VLOOKUP(pub_gid_0_single_true_output_csv[[#This Row],[NAMA]],Table7[],3,FALSE))</f>
        <v>Average</v>
      </c>
    </row>
    <row r="2019" spans="1:37" x14ac:dyDescent="0.2">
      <c r="A2019">
        <v>2018</v>
      </c>
      <c r="B2019" t="s">
        <v>312</v>
      </c>
      <c r="C2019" t="s">
        <v>65</v>
      </c>
      <c r="D2019" t="s">
        <v>56</v>
      </c>
      <c r="E2019" t="s">
        <v>156</v>
      </c>
      <c r="F2019" s="25">
        <v>46036</v>
      </c>
      <c r="G2019" t="s">
        <v>353</v>
      </c>
      <c r="H2019" t="s">
        <v>405</v>
      </c>
      <c r="I2019" t="s">
        <v>371</v>
      </c>
      <c r="J2019" t="s">
        <v>36</v>
      </c>
      <c r="K2019" t="s">
        <v>37</v>
      </c>
      <c r="L2019" t="s">
        <v>321</v>
      </c>
      <c r="M2019" t="s">
        <v>141</v>
      </c>
      <c r="N2019" t="s">
        <v>142</v>
      </c>
      <c r="O2019" t="s">
        <v>327</v>
      </c>
      <c r="P2019" t="s">
        <v>281</v>
      </c>
      <c r="Q2019" t="s">
        <v>328</v>
      </c>
      <c r="R2019" t="s">
        <v>329</v>
      </c>
      <c r="S2019" t="s">
        <v>330</v>
      </c>
      <c r="T2019">
        <v>1</v>
      </c>
      <c r="U2019" t="s">
        <v>445</v>
      </c>
      <c r="V2019" t="s">
        <v>285</v>
      </c>
      <c r="W2019" t="s">
        <v>446</v>
      </c>
      <c r="X2019" t="s">
        <v>331</v>
      </c>
      <c r="Y2019" t="s">
        <v>307</v>
      </c>
      <c r="Z2019">
        <v>70</v>
      </c>
      <c r="AA2019">
        <v>63</v>
      </c>
      <c r="AB2019" t="s">
        <v>151</v>
      </c>
      <c r="AC2019" t="s">
        <v>64</v>
      </c>
      <c r="AD2019" t="s">
        <v>50</v>
      </c>
      <c r="AE2019" t="str">
        <f>IF(AF2019="","",VLOOKUP(AC2019,mapel!$A$2:$B$42,2,FALSE))</f>
        <v>Math</v>
      </c>
      <c r="AF2019">
        <f t="shared" si="93"/>
        <v>63</v>
      </c>
      <c r="AG2019" t="str">
        <f>IF(AF2019="","",IF(AF2019&gt;90,"Sangat baik",IF(AF2019&gt;79,"Baik",IF(AF2019&gt;=pub_gid_0_single_true_output_csv[[#This Row],[KKM]],"Cukup","Kurang"))))</f>
        <v>Kurang</v>
      </c>
      <c r="AH2019">
        <f t="shared" si="94"/>
        <v>12</v>
      </c>
      <c r="AI2019" s="30" t="str">
        <f>IF(OR(J2019&lt;&gt;"Karakter",pub_gid_0_single_true_output_csv[[#This Row],[Nilai2]]=""),"",IF(AF2019&gt;89,"Sangat baik",IF(AF2019&gt;79,"Baik",IF(AF2019&gt;69,"Cukup",IF(AF2019&gt;59,"Kurang","Sangat kurang")))))</f>
        <v/>
      </c>
      <c r="AJ2019" t="str">
        <f t="shared" si="95"/>
        <v>Wk.3</v>
      </c>
      <c r="AK2019" t="str">
        <f>IF(pub_gid_0_single_true_output_csv[[#This Row],[Nilai2]]="","",VLOOKUP(pub_gid_0_single_true_output_csv[[#This Row],[NAMA]],Table7[],3,FALSE))</f>
        <v>Superior</v>
      </c>
    </row>
    <row r="2020" spans="1:37" x14ac:dyDescent="0.2">
      <c r="A2020">
        <v>2019</v>
      </c>
      <c r="B2020" t="s">
        <v>312</v>
      </c>
      <c r="C2020" t="s">
        <v>65</v>
      </c>
      <c r="D2020" t="s">
        <v>56</v>
      </c>
      <c r="E2020" t="s">
        <v>156</v>
      </c>
      <c r="F2020" s="25">
        <v>46041</v>
      </c>
      <c r="G2020" t="s">
        <v>370</v>
      </c>
      <c r="H2020" t="s">
        <v>405</v>
      </c>
      <c r="I2020" t="s">
        <v>371</v>
      </c>
      <c r="J2020" t="s">
        <v>36</v>
      </c>
      <c r="K2020" t="s">
        <v>37</v>
      </c>
      <c r="L2020" t="s">
        <v>321</v>
      </c>
      <c r="M2020" t="s">
        <v>141</v>
      </c>
      <c r="N2020" t="s">
        <v>142</v>
      </c>
      <c r="O2020" t="s">
        <v>327</v>
      </c>
      <c r="P2020" t="s">
        <v>281</v>
      </c>
      <c r="Q2020" t="s">
        <v>328</v>
      </c>
      <c r="R2020" t="s">
        <v>329</v>
      </c>
      <c r="S2020" t="s">
        <v>330</v>
      </c>
      <c r="T2020">
        <v>1</v>
      </c>
      <c r="U2020" t="s">
        <v>445</v>
      </c>
      <c r="V2020" t="s">
        <v>285</v>
      </c>
      <c r="W2020" t="s">
        <v>446</v>
      </c>
      <c r="X2020" t="s">
        <v>331</v>
      </c>
      <c r="Y2020" t="s">
        <v>307</v>
      </c>
      <c r="Z2020">
        <v>70</v>
      </c>
      <c r="AA2020">
        <v>100</v>
      </c>
      <c r="AB2020" t="s">
        <v>143</v>
      </c>
      <c r="AC2020" t="s">
        <v>64</v>
      </c>
      <c r="AD2020" t="s">
        <v>50</v>
      </c>
      <c r="AE2020" t="str">
        <f>IF(AF2020="","",VLOOKUP(AC2020,mapel!$A$2:$B$42,2,FALSE))</f>
        <v>Math</v>
      </c>
      <c r="AF2020">
        <f t="shared" si="93"/>
        <v>100</v>
      </c>
      <c r="AG2020" t="str">
        <f>IF(AF2020="","",IF(AF2020&gt;90,"Sangat baik",IF(AF2020&gt;79,"Baik",IF(AF2020&gt;=pub_gid_0_single_true_output_csv[[#This Row],[KKM]],"Cukup","Kurang"))))</f>
        <v>Sangat baik</v>
      </c>
      <c r="AH2020">
        <f t="shared" si="94"/>
        <v>12</v>
      </c>
      <c r="AI2020" s="30" t="str">
        <f>IF(OR(J2020&lt;&gt;"Karakter",pub_gid_0_single_true_output_csv[[#This Row],[Nilai2]]=""),"",IF(AF2020&gt;89,"Sangat baik",IF(AF2020&gt;79,"Baik",IF(AF2020&gt;69,"Cukup",IF(AF2020&gt;59,"Kurang","Sangat kurang")))))</f>
        <v/>
      </c>
      <c r="AJ2020" t="str">
        <f t="shared" si="95"/>
        <v>Wk.4</v>
      </c>
      <c r="AK2020" t="str">
        <f>IF(pub_gid_0_single_true_output_csv[[#This Row],[Nilai2]]="","",VLOOKUP(pub_gid_0_single_true_output_csv[[#This Row],[NAMA]],Table7[],3,FALSE))</f>
        <v>Superior</v>
      </c>
    </row>
    <row r="2021" spans="1:37" x14ac:dyDescent="0.2">
      <c r="A2021">
        <v>2020</v>
      </c>
      <c r="B2021" t="s">
        <v>312</v>
      </c>
      <c r="C2021" t="s">
        <v>65</v>
      </c>
      <c r="D2021" t="s">
        <v>56</v>
      </c>
      <c r="E2021" t="s">
        <v>156</v>
      </c>
      <c r="F2021" s="25">
        <v>46041</v>
      </c>
      <c r="G2021" t="s">
        <v>370</v>
      </c>
      <c r="H2021" t="s">
        <v>405</v>
      </c>
      <c r="I2021" t="s">
        <v>371</v>
      </c>
      <c r="J2021" t="s">
        <v>36</v>
      </c>
      <c r="K2021" t="s">
        <v>37</v>
      </c>
      <c r="L2021" t="s">
        <v>321</v>
      </c>
      <c r="M2021" t="s">
        <v>141</v>
      </c>
      <c r="N2021" t="s">
        <v>142</v>
      </c>
      <c r="O2021" t="s">
        <v>327</v>
      </c>
      <c r="P2021" t="s">
        <v>281</v>
      </c>
      <c r="Q2021" t="s">
        <v>328</v>
      </c>
      <c r="R2021" t="s">
        <v>329</v>
      </c>
      <c r="S2021" t="s">
        <v>330</v>
      </c>
      <c r="T2021">
        <v>1</v>
      </c>
      <c r="U2021" t="s">
        <v>445</v>
      </c>
      <c r="V2021" t="s">
        <v>285</v>
      </c>
      <c r="W2021" t="s">
        <v>446</v>
      </c>
      <c r="X2021" t="s">
        <v>331</v>
      </c>
      <c r="Y2021" t="s">
        <v>307</v>
      </c>
      <c r="Z2021">
        <v>70</v>
      </c>
      <c r="AA2021">
        <v>98</v>
      </c>
      <c r="AB2021" t="s">
        <v>143</v>
      </c>
      <c r="AC2021" t="s">
        <v>64</v>
      </c>
      <c r="AD2021" t="s">
        <v>50</v>
      </c>
      <c r="AE2021" t="str">
        <f>IF(AF2021="","",VLOOKUP(AC2021,mapel!$A$2:$B$42,2,FALSE))</f>
        <v>Math</v>
      </c>
      <c r="AF2021">
        <f t="shared" si="93"/>
        <v>98</v>
      </c>
      <c r="AG2021" t="str">
        <f>IF(AF2021="","",IF(AF2021&gt;90,"Sangat baik",IF(AF2021&gt;79,"Baik",IF(AF2021&gt;=pub_gid_0_single_true_output_csv[[#This Row],[KKM]],"Cukup","Kurang"))))</f>
        <v>Sangat baik</v>
      </c>
      <c r="AH2021">
        <f t="shared" si="94"/>
        <v>12</v>
      </c>
      <c r="AI2021" s="30" t="str">
        <f>IF(OR(J2021&lt;&gt;"Karakter",pub_gid_0_single_true_output_csv[[#This Row],[Nilai2]]=""),"",IF(AF2021&gt;89,"Sangat baik",IF(AF2021&gt;79,"Baik",IF(AF2021&gt;69,"Cukup",IF(AF2021&gt;59,"Kurang","Sangat kurang")))))</f>
        <v/>
      </c>
      <c r="AJ2021" t="str">
        <f t="shared" si="95"/>
        <v>Wk.4</v>
      </c>
      <c r="AK2021" t="str">
        <f>IF(pub_gid_0_single_true_output_csv[[#This Row],[Nilai2]]="","",VLOOKUP(pub_gid_0_single_true_output_csv[[#This Row],[NAMA]],Table7[],3,FALSE))</f>
        <v>Superior</v>
      </c>
    </row>
    <row r="2022" spans="1:37" x14ac:dyDescent="0.2">
      <c r="A2022">
        <v>2021</v>
      </c>
      <c r="B2022" t="s">
        <v>312</v>
      </c>
      <c r="C2022" t="s">
        <v>65</v>
      </c>
      <c r="D2022" t="s">
        <v>56</v>
      </c>
      <c r="E2022" t="s">
        <v>156</v>
      </c>
      <c r="F2022" s="25">
        <v>46043</v>
      </c>
      <c r="G2022" t="s">
        <v>341</v>
      </c>
      <c r="H2022" t="s">
        <v>405</v>
      </c>
      <c r="I2022" t="s">
        <v>371</v>
      </c>
      <c r="J2022" t="s">
        <v>36</v>
      </c>
      <c r="K2022" t="s">
        <v>37</v>
      </c>
      <c r="L2022" t="s">
        <v>321</v>
      </c>
      <c r="M2022" t="s">
        <v>141</v>
      </c>
      <c r="N2022" t="s">
        <v>142</v>
      </c>
      <c r="O2022" t="s">
        <v>327</v>
      </c>
      <c r="P2022" t="s">
        <v>281</v>
      </c>
      <c r="Q2022" t="s">
        <v>328</v>
      </c>
      <c r="R2022" t="s">
        <v>329</v>
      </c>
      <c r="S2022" t="s">
        <v>330</v>
      </c>
      <c r="T2022">
        <v>1</v>
      </c>
      <c r="U2022" t="s">
        <v>445</v>
      </c>
      <c r="V2022" t="s">
        <v>285</v>
      </c>
      <c r="W2022" t="s">
        <v>446</v>
      </c>
      <c r="X2022" t="s">
        <v>331</v>
      </c>
      <c r="Y2022" t="s">
        <v>307</v>
      </c>
      <c r="Z2022">
        <v>70</v>
      </c>
      <c r="AA2022">
        <v>95</v>
      </c>
      <c r="AB2022" t="s">
        <v>143</v>
      </c>
      <c r="AC2022" t="s">
        <v>64</v>
      </c>
      <c r="AD2022" t="s">
        <v>50</v>
      </c>
      <c r="AE2022" t="str">
        <f>IF(AF2022="","",VLOOKUP(AC2022,mapel!$A$2:$B$42,2,FALSE))</f>
        <v>Math</v>
      </c>
      <c r="AF2022">
        <f t="shared" si="93"/>
        <v>95</v>
      </c>
      <c r="AG2022" t="str">
        <f>IF(AF2022="","",IF(AF2022&gt;90,"Sangat baik",IF(AF2022&gt;79,"Baik",IF(AF2022&gt;=pub_gid_0_single_true_output_csv[[#This Row],[KKM]],"Cukup","Kurang"))))</f>
        <v>Sangat baik</v>
      </c>
      <c r="AH2022">
        <f t="shared" si="94"/>
        <v>12</v>
      </c>
      <c r="AI2022" s="30" t="str">
        <f>IF(OR(J2022&lt;&gt;"Karakter",pub_gid_0_single_true_output_csv[[#This Row],[Nilai2]]=""),"",IF(AF2022&gt;89,"Sangat baik",IF(AF2022&gt;79,"Baik",IF(AF2022&gt;69,"Cukup",IF(AF2022&gt;59,"Kurang","Sangat kurang")))))</f>
        <v/>
      </c>
      <c r="AJ2022" t="str">
        <f t="shared" si="95"/>
        <v>Wk.4</v>
      </c>
      <c r="AK2022" t="str">
        <f>IF(pub_gid_0_single_true_output_csv[[#This Row],[Nilai2]]="","",VLOOKUP(pub_gid_0_single_true_output_csv[[#This Row],[NAMA]],Table7[],3,FALSE))</f>
        <v>Superior</v>
      </c>
    </row>
    <row r="2023" spans="1:37" x14ac:dyDescent="0.2">
      <c r="A2023">
        <v>2022</v>
      </c>
      <c r="B2023" t="s">
        <v>312</v>
      </c>
      <c r="C2023" t="s">
        <v>65</v>
      </c>
      <c r="D2023" t="s">
        <v>56</v>
      </c>
      <c r="E2023" t="s">
        <v>156</v>
      </c>
      <c r="F2023" s="25">
        <v>46041</v>
      </c>
      <c r="G2023" t="s">
        <v>370</v>
      </c>
      <c r="H2023" t="s">
        <v>405</v>
      </c>
      <c r="I2023" t="s">
        <v>371</v>
      </c>
      <c r="J2023" t="s">
        <v>36</v>
      </c>
      <c r="K2023" t="s">
        <v>37</v>
      </c>
      <c r="L2023" t="s">
        <v>321</v>
      </c>
      <c r="M2023" t="s">
        <v>141</v>
      </c>
      <c r="N2023" t="s">
        <v>142</v>
      </c>
      <c r="O2023" t="s">
        <v>327</v>
      </c>
      <c r="P2023" t="s">
        <v>281</v>
      </c>
      <c r="Q2023" t="s">
        <v>328</v>
      </c>
      <c r="R2023" t="s">
        <v>329</v>
      </c>
      <c r="S2023" t="s">
        <v>330</v>
      </c>
      <c r="T2023">
        <v>1</v>
      </c>
      <c r="U2023" t="s">
        <v>445</v>
      </c>
      <c r="V2023" t="s">
        <v>285</v>
      </c>
      <c r="W2023" t="s">
        <v>446</v>
      </c>
      <c r="X2023" t="s">
        <v>331</v>
      </c>
      <c r="Y2023" t="s">
        <v>307</v>
      </c>
      <c r="Z2023">
        <v>70</v>
      </c>
      <c r="AA2023">
        <v>95</v>
      </c>
      <c r="AB2023" t="s">
        <v>143</v>
      </c>
      <c r="AC2023" t="s">
        <v>64</v>
      </c>
      <c r="AD2023" t="s">
        <v>50</v>
      </c>
      <c r="AE2023" t="str">
        <f>IF(AF2023="","",VLOOKUP(AC2023,mapel!$A$2:$B$42,2,FALSE))</f>
        <v>Math</v>
      </c>
      <c r="AF2023">
        <f t="shared" si="93"/>
        <v>95</v>
      </c>
      <c r="AG2023" t="str">
        <f>IF(AF2023="","",IF(AF2023&gt;90,"Sangat baik",IF(AF2023&gt;79,"Baik",IF(AF2023&gt;=pub_gid_0_single_true_output_csv[[#This Row],[KKM]],"Cukup","Kurang"))))</f>
        <v>Sangat baik</v>
      </c>
      <c r="AH2023">
        <f t="shared" si="94"/>
        <v>12</v>
      </c>
      <c r="AI2023" s="30" t="str">
        <f>IF(OR(J2023&lt;&gt;"Karakter",pub_gid_0_single_true_output_csv[[#This Row],[Nilai2]]=""),"",IF(AF2023&gt;89,"Sangat baik",IF(AF2023&gt;79,"Baik",IF(AF2023&gt;69,"Cukup",IF(AF2023&gt;59,"Kurang","Sangat kurang")))))</f>
        <v/>
      </c>
      <c r="AJ2023" t="str">
        <f t="shared" si="95"/>
        <v>Wk.4</v>
      </c>
      <c r="AK2023" t="str">
        <f>IF(pub_gid_0_single_true_output_csv[[#This Row],[Nilai2]]="","",VLOOKUP(pub_gid_0_single_true_output_csv[[#This Row],[NAMA]],Table7[],3,FALSE))</f>
        <v>Superior</v>
      </c>
    </row>
    <row r="2024" spans="1:37" x14ac:dyDescent="0.2">
      <c r="A2024">
        <v>2023</v>
      </c>
      <c r="B2024" t="s">
        <v>312</v>
      </c>
      <c r="C2024" t="s">
        <v>65</v>
      </c>
      <c r="D2024" t="s">
        <v>56</v>
      </c>
      <c r="E2024" t="s">
        <v>156</v>
      </c>
      <c r="F2024" s="25">
        <v>46063</v>
      </c>
      <c r="G2024" t="s">
        <v>374</v>
      </c>
      <c r="H2024" t="s">
        <v>412</v>
      </c>
      <c r="I2024" t="s">
        <v>371</v>
      </c>
      <c r="J2024" t="s">
        <v>36</v>
      </c>
      <c r="K2024" t="s">
        <v>37</v>
      </c>
      <c r="L2024" t="s">
        <v>321</v>
      </c>
      <c r="M2024" t="s">
        <v>141</v>
      </c>
      <c r="N2024" t="s">
        <v>142</v>
      </c>
      <c r="O2024" t="s">
        <v>327</v>
      </c>
      <c r="P2024" t="s">
        <v>281</v>
      </c>
      <c r="Q2024" t="s">
        <v>328</v>
      </c>
      <c r="R2024" t="s">
        <v>329</v>
      </c>
      <c r="S2024" t="s">
        <v>392</v>
      </c>
      <c r="T2024">
        <v>1</v>
      </c>
      <c r="U2024" t="s">
        <v>445</v>
      </c>
      <c r="V2024" t="s">
        <v>343</v>
      </c>
      <c r="W2024" t="s">
        <v>447</v>
      </c>
      <c r="X2024" t="s">
        <v>331</v>
      </c>
      <c r="Y2024" t="s">
        <v>307</v>
      </c>
      <c r="Z2024">
        <v>70</v>
      </c>
      <c r="AA2024">
        <v>90</v>
      </c>
      <c r="AB2024" t="s">
        <v>143</v>
      </c>
      <c r="AC2024" t="s">
        <v>64</v>
      </c>
      <c r="AD2024" t="s">
        <v>50</v>
      </c>
      <c r="AE2024" t="str">
        <f>IF(AF2024="","",VLOOKUP(AC2024,mapel!$A$2:$B$42,2,FALSE))</f>
        <v>Math</v>
      </c>
      <c r="AF2024">
        <f t="shared" si="93"/>
        <v>90</v>
      </c>
      <c r="AG2024" t="str">
        <f>IF(AF2024="","",IF(AF2024&gt;90,"Sangat baik",IF(AF2024&gt;79,"Baik",IF(AF2024&gt;=pub_gid_0_single_true_output_csv[[#This Row],[KKM]],"Cukup","Kurang"))))</f>
        <v>Baik</v>
      </c>
      <c r="AH2024">
        <f t="shared" si="94"/>
        <v>12</v>
      </c>
      <c r="AI2024" s="30" t="str">
        <f>IF(OR(J2024&lt;&gt;"Karakter",pub_gid_0_single_true_output_csv[[#This Row],[Nilai2]]=""),"",IF(AF2024&gt;89,"Sangat baik",IF(AF2024&gt;79,"Baik",IF(AF2024&gt;69,"Cukup",IF(AF2024&gt;59,"Kurang","Sangat kurang")))))</f>
        <v/>
      </c>
      <c r="AJ2024" t="str">
        <f t="shared" si="95"/>
        <v>Wk.7</v>
      </c>
      <c r="AK2024" t="str">
        <f>IF(pub_gid_0_single_true_output_csv[[#This Row],[Nilai2]]="","",VLOOKUP(pub_gid_0_single_true_output_csv[[#This Row],[NAMA]],Table7[],3,FALSE))</f>
        <v>Superior</v>
      </c>
    </row>
    <row r="2025" spans="1:37" x14ac:dyDescent="0.2">
      <c r="A2025">
        <v>2024</v>
      </c>
      <c r="B2025" t="s">
        <v>312</v>
      </c>
      <c r="C2025" t="s">
        <v>65</v>
      </c>
      <c r="D2025" t="s">
        <v>56</v>
      </c>
      <c r="E2025" t="s">
        <v>156</v>
      </c>
      <c r="F2025" s="25">
        <v>46064</v>
      </c>
      <c r="G2025" t="s">
        <v>352</v>
      </c>
      <c r="H2025" t="s">
        <v>412</v>
      </c>
      <c r="I2025" t="s">
        <v>371</v>
      </c>
      <c r="J2025" t="s">
        <v>36</v>
      </c>
      <c r="K2025" t="s">
        <v>37</v>
      </c>
      <c r="L2025" t="s">
        <v>321</v>
      </c>
      <c r="M2025" t="s">
        <v>141</v>
      </c>
      <c r="N2025" t="s">
        <v>142</v>
      </c>
      <c r="O2025" t="s">
        <v>327</v>
      </c>
      <c r="P2025" t="s">
        <v>281</v>
      </c>
      <c r="Q2025" t="s">
        <v>328</v>
      </c>
      <c r="R2025" t="s">
        <v>329</v>
      </c>
      <c r="S2025" t="s">
        <v>392</v>
      </c>
      <c r="T2025">
        <v>1</v>
      </c>
      <c r="U2025" t="s">
        <v>445</v>
      </c>
      <c r="V2025" t="s">
        <v>343</v>
      </c>
      <c r="W2025" t="s">
        <v>447</v>
      </c>
      <c r="X2025" t="s">
        <v>331</v>
      </c>
      <c r="Y2025" t="s">
        <v>307</v>
      </c>
      <c r="Z2025">
        <v>70</v>
      </c>
      <c r="AA2025">
        <v>97</v>
      </c>
      <c r="AB2025" t="s">
        <v>143</v>
      </c>
      <c r="AC2025" t="s">
        <v>64</v>
      </c>
      <c r="AD2025" t="s">
        <v>50</v>
      </c>
      <c r="AE2025" t="str">
        <f>IF(AF2025="","",VLOOKUP(AC2025,mapel!$A$2:$B$42,2,FALSE))</f>
        <v>Math</v>
      </c>
      <c r="AF2025">
        <f t="shared" si="93"/>
        <v>97</v>
      </c>
      <c r="AG2025" t="str">
        <f>IF(AF2025="","",IF(AF2025&gt;90,"Sangat baik",IF(AF2025&gt;79,"Baik",IF(AF2025&gt;=pub_gid_0_single_true_output_csv[[#This Row],[KKM]],"Cukup","Kurang"))))</f>
        <v>Sangat baik</v>
      </c>
      <c r="AH2025">
        <f t="shared" si="94"/>
        <v>12</v>
      </c>
      <c r="AI2025" s="30" t="str">
        <f>IF(OR(J2025&lt;&gt;"Karakter",pub_gid_0_single_true_output_csv[[#This Row],[Nilai2]]=""),"",IF(AF2025&gt;89,"Sangat baik",IF(AF2025&gt;79,"Baik",IF(AF2025&gt;69,"Cukup",IF(AF2025&gt;59,"Kurang","Sangat kurang")))))</f>
        <v/>
      </c>
      <c r="AJ2025" t="str">
        <f t="shared" si="95"/>
        <v>Wk.7</v>
      </c>
      <c r="AK2025" t="str">
        <f>IF(pub_gid_0_single_true_output_csv[[#This Row],[Nilai2]]="","",VLOOKUP(pub_gid_0_single_true_output_csv[[#This Row],[NAMA]],Table7[],3,FALSE))</f>
        <v>Superior</v>
      </c>
    </row>
    <row r="2026" spans="1:37" x14ac:dyDescent="0.2">
      <c r="A2026">
        <v>2025</v>
      </c>
      <c r="B2026" t="s">
        <v>312</v>
      </c>
      <c r="C2026" t="s">
        <v>65</v>
      </c>
      <c r="D2026" t="s">
        <v>56</v>
      </c>
      <c r="E2026" t="s">
        <v>156</v>
      </c>
      <c r="F2026" s="25">
        <v>46056</v>
      </c>
      <c r="G2026" t="s">
        <v>372</v>
      </c>
      <c r="H2026" t="s">
        <v>412</v>
      </c>
      <c r="I2026" t="s">
        <v>371</v>
      </c>
      <c r="J2026" t="s">
        <v>36</v>
      </c>
      <c r="K2026" t="s">
        <v>37</v>
      </c>
      <c r="L2026" t="s">
        <v>321</v>
      </c>
      <c r="M2026" t="s">
        <v>141</v>
      </c>
      <c r="N2026" t="s">
        <v>142</v>
      </c>
      <c r="O2026" t="s">
        <v>327</v>
      </c>
      <c r="P2026" t="s">
        <v>281</v>
      </c>
      <c r="Q2026" t="s">
        <v>328</v>
      </c>
      <c r="R2026" t="s">
        <v>329</v>
      </c>
      <c r="S2026" t="s">
        <v>375</v>
      </c>
      <c r="T2026">
        <v>1</v>
      </c>
      <c r="U2026" t="s">
        <v>445</v>
      </c>
      <c r="V2026" t="s">
        <v>342</v>
      </c>
      <c r="W2026" t="s">
        <v>448</v>
      </c>
      <c r="X2026" t="s">
        <v>331</v>
      </c>
      <c r="Y2026" t="s">
        <v>307</v>
      </c>
      <c r="Z2026">
        <v>70</v>
      </c>
      <c r="AA2026">
        <v>100</v>
      </c>
      <c r="AB2026" t="s">
        <v>143</v>
      </c>
      <c r="AC2026" t="s">
        <v>64</v>
      </c>
      <c r="AD2026" t="s">
        <v>50</v>
      </c>
      <c r="AE2026" t="str">
        <f>IF(AF2026="","",VLOOKUP(AC2026,mapel!$A$2:$B$42,2,FALSE))</f>
        <v>Math</v>
      </c>
      <c r="AF2026">
        <f t="shared" si="93"/>
        <v>100</v>
      </c>
      <c r="AG2026" t="str">
        <f>IF(AF2026="","",IF(AF2026&gt;90,"Sangat baik",IF(AF2026&gt;79,"Baik",IF(AF2026&gt;=pub_gid_0_single_true_output_csv[[#This Row],[KKM]],"Cukup","Kurang"))))</f>
        <v>Sangat baik</v>
      </c>
      <c r="AH2026">
        <f t="shared" si="94"/>
        <v>12</v>
      </c>
      <c r="AI2026" s="30" t="str">
        <f>IF(OR(J2026&lt;&gt;"Karakter",pub_gid_0_single_true_output_csv[[#This Row],[Nilai2]]=""),"",IF(AF2026&gt;89,"Sangat baik",IF(AF2026&gt;79,"Baik",IF(AF2026&gt;69,"Cukup",IF(AF2026&gt;59,"Kurang","Sangat kurang")))))</f>
        <v/>
      </c>
      <c r="AJ2026" t="str">
        <f t="shared" si="95"/>
        <v>Wk.6</v>
      </c>
      <c r="AK2026" t="str">
        <f>IF(pub_gid_0_single_true_output_csv[[#This Row],[Nilai2]]="","",VLOOKUP(pub_gid_0_single_true_output_csv[[#This Row],[NAMA]],Table7[],3,FALSE))</f>
        <v>Superior</v>
      </c>
    </row>
    <row r="2027" spans="1:37" x14ac:dyDescent="0.2">
      <c r="A2027">
        <v>2026</v>
      </c>
      <c r="B2027" t="s">
        <v>312</v>
      </c>
      <c r="C2027" t="s">
        <v>65</v>
      </c>
      <c r="D2027" t="s">
        <v>56</v>
      </c>
      <c r="E2027" t="s">
        <v>156</v>
      </c>
      <c r="F2027" s="25">
        <v>46064</v>
      </c>
      <c r="G2027" t="s">
        <v>352</v>
      </c>
      <c r="H2027" t="s">
        <v>412</v>
      </c>
      <c r="I2027" t="s">
        <v>371</v>
      </c>
      <c r="J2027" t="s">
        <v>36</v>
      </c>
      <c r="K2027" t="s">
        <v>37</v>
      </c>
      <c r="L2027" t="s">
        <v>150</v>
      </c>
      <c r="M2027" t="s">
        <v>141</v>
      </c>
      <c r="N2027" t="s">
        <v>142</v>
      </c>
      <c r="O2027" t="s">
        <v>327</v>
      </c>
      <c r="P2027" t="s">
        <v>281</v>
      </c>
      <c r="Q2027" t="s">
        <v>328</v>
      </c>
      <c r="R2027" t="s">
        <v>329</v>
      </c>
      <c r="S2027" t="s">
        <v>392</v>
      </c>
      <c r="T2027">
        <v>1</v>
      </c>
      <c r="U2027" t="s">
        <v>445</v>
      </c>
      <c r="V2027" t="s">
        <v>343</v>
      </c>
      <c r="W2027" t="s">
        <v>447</v>
      </c>
      <c r="X2027" t="s">
        <v>331</v>
      </c>
      <c r="Y2027" t="s">
        <v>307</v>
      </c>
      <c r="Z2027">
        <v>70</v>
      </c>
      <c r="AA2027">
        <v>100</v>
      </c>
      <c r="AB2027" t="s">
        <v>143</v>
      </c>
      <c r="AC2027" t="s">
        <v>64</v>
      </c>
      <c r="AD2027" t="s">
        <v>50</v>
      </c>
      <c r="AE2027" t="str">
        <f>IF(AF2027="","",VLOOKUP(AC2027,mapel!$A$2:$B$42,2,FALSE))</f>
        <v>Math</v>
      </c>
      <c r="AF2027">
        <f t="shared" si="93"/>
        <v>100</v>
      </c>
      <c r="AG2027" t="str">
        <f>IF(AF2027="","",IF(AF2027&gt;90,"Sangat baik",IF(AF2027&gt;79,"Baik",IF(AF2027&gt;=pub_gid_0_single_true_output_csv[[#This Row],[KKM]],"Cukup","Kurang"))))</f>
        <v>Sangat baik</v>
      </c>
      <c r="AH2027">
        <f t="shared" si="94"/>
        <v>12</v>
      </c>
      <c r="AI2027" s="30" t="str">
        <f>IF(OR(J2027&lt;&gt;"Karakter",pub_gid_0_single_true_output_csv[[#This Row],[Nilai2]]=""),"",IF(AF2027&gt;89,"Sangat baik",IF(AF2027&gt;79,"Baik",IF(AF2027&gt;69,"Cukup",IF(AF2027&gt;59,"Kurang","Sangat kurang")))))</f>
        <v/>
      </c>
      <c r="AJ2027" t="str">
        <f t="shared" si="95"/>
        <v>Wk.7</v>
      </c>
      <c r="AK2027" t="str">
        <f>IF(pub_gid_0_single_true_output_csv[[#This Row],[Nilai2]]="","",VLOOKUP(pub_gid_0_single_true_output_csv[[#This Row],[NAMA]],Table7[],3,FALSE))</f>
        <v>Superior</v>
      </c>
    </row>
    <row r="2028" spans="1:37" x14ac:dyDescent="0.2">
      <c r="A2028">
        <v>2027</v>
      </c>
      <c r="B2028" t="s">
        <v>312</v>
      </c>
      <c r="C2028" t="s">
        <v>65</v>
      </c>
      <c r="D2028" t="s">
        <v>56</v>
      </c>
      <c r="E2028" t="s">
        <v>156</v>
      </c>
      <c r="F2028" s="25">
        <v>46078</v>
      </c>
      <c r="G2028" t="s">
        <v>284</v>
      </c>
      <c r="H2028" t="s">
        <v>412</v>
      </c>
      <c r="I2028" t="s">
        <v>371</v>
      </c>
      <c r="J2028" t="s">
        <v>36</v>
      </c>
      <c r="K2028" t="s">
        <v>37</v>
      </c>
      <c r="L2028" t="s">
        <v>150</v>
      </c>
      <c r="M2028" t="s">
        <v>141</v>
      </c>
      <c r="N2028" t="s">
        <v>142</v>
      </c>
      <c r="O2028" t="s">
        <v>327</v>
      </c>
      <c r="P2028" t="s">
        <v>281</v>
      </c>
      <c r="Q2028" t="s">
        <v>328</v>
      </c>
      <c r="R2028" t="s">
        <v>329</v>
      </c>
      <c r="S2028" t="s">
        <v>392</v>
      </c>
      <c r="T2028">
        <v>1</v>
      </c>
      <c r="U2028" t="s">
        <v>445</v>
      </c>
      <c r="V2028" t="s">
        <v>343</v>
      </c>
      <c r="W2028" t="s">
        <v>447</v>
      </c>
      <c r="X2028" t="s">
        <v>331</v>
      </c>
      <c r="Y2028" t="s">
        <v>307</v>
      </c>
      <c r="Z2028">
        <v>70</v>
      </c>
      <c r="AA2028">
        <v>97</v>
      </c>
      <c r="AB2028" t="s">
        <v>143</v>
      </c>
      <c r="AC2028" t="s">
        <v>64</v>
      </c>
      <c r="AD2028" t="s">
        <v>50</v>
      </c>
      <c r="AE2028" t="str">
        <f>IF(AF2028="","",VLOOKUP(AC2028,mapel!$A$2:$B$42,2,FALSE))</f>
        <v>Math</v>
      </c>
      <c r="AF2028">
        <f t="shared" si="93"/>
        <v>97</v>
      </c>
      <c r="AG2028" t="str">
        <f>IF(AF2028="","",IF(AF2028&gt;90,"Sangat baik",IF(AF2028&gt;79,"Baik",IF(AF2028&gt;=pub_gid_0_single_true_output_csv[[#This Row],[KKM]],"Cukup","Kurang"))))</f>
        <v>Sangat baik</v>
      </c>
      <c r="AH2028">
        <f t="shared" si="94"/>
        <v>12</v>
      </c>
      <c r="AI2028" s="30" t="str">
        <f>IF(OR(J2028&lt;&gt;"Karakter",pub_gid_0_single_true_output_csv[[#This Row],[Nilai2]]=""),"",IF(AF2028&gt;89,"Sangat baik",IF(AF2028&gt;79,"Baik",IF(AF2028&gt;69,"Cukup",IF(AF2028&gt;59,"Kurang","Sangat kurang")))))</f>
        <v/>
      </c>
      <c r="AJ2028" t="str">
        <f t="shared" si="95"/>
        <v>Wk.9</v>
      </c>
      <c r="AK2028" t="str">
        <f>IF(pub_gid_0_single_true_output_csv[[#This Row],[Nilai2]]="","",VLOOKUP(pub_gid_0_single_true_output_csv[[#This Row],[NAMA]],Table7[],3,FALSE))</f>
        <v>Superior</v>
      </c>
    </row>
    <row r="2029" spans="1:37" x14ac:dyDescent="0.2">
      <c r="A2029">
        <v>2028</v>
      </c>
      <c r="B2029" t="s">
        <v>313</v>
      </c>
      <c r="C2029" t="s">
        <v>65</v>
      </c>
      <c r="D2029" t="s">
        <v>57</v>
      </c>
      <c r="E2029" t="s">
        <v>146</v>
      </c>
      <c r="F2029" s="25">
        <v>46036</v>
      </c>
      <c r="G2029" t="s">
        <v>353</v>
      </c>
      <c r="H2029" t="s">
        <v>405</v>
      </c>
      <c r="I2029" t="s">
        <v>371</v>
      </c>
      <c r="J2029" t="s">
        <v>36</v>
      </c>
      <c r="K2029" t="s">
        <v>37</v>
      </c>
      <c r="L2029" t="s">
        <v>321</v>
      </c>
      <c r="M2029" t="s">
        <v>141</v>
      </c>
      <c r="N2029" t="s">
        <v>142</v>
      </c>
      <c r="O2029" t="s">
        <v>327</v>
      </c>
      <c r="P2029" t="s">
        <v>281</v>
      </c>
      <c r="Q2029" t="s">
        <v>328</v>
      </c>
      <c r="R2029" t="s">
        <v>329</v>
      </c>
      <c r="S2029" t="s">
        <v>330</v>
      </c>
      <c r="T2029">
        <v>1</v>
      </c>
      <c r="U2029" t="s">
        <v>445</v>
      </c>
      <c r="V2029" t="s">
        <v>285</v>
      </c>
      <c r="W2029" t="s">
        <v>446</v>
      </c>
      <c r="X2029" t="s">
        <v>331</v>
      </c>
      <c r="Y2029" t="s">
        <v>307</v>
      </c>
      <c r="Z2029">
        <v>70</v>
      </c>
      <c r="AA2029">
        <v>100</v>
      </c>
      <c r="AB2029" t="s">
        <v>143</v>
      </c>
      <c r="AC2029" t="s">
        <v>64</v>
      </c>
      <c r="AD2029" t="s">
        <v>50</v>
      </c>
      <c r="AE2029" t="str">
        <f>IF(AF2029="","",VLOOKUP(AC2029,mapel!$A$2:$B$42,2,FALSE))</f>
        <v>Math</v>
      </c>
      <c r="AF2029">
        <f t="shared" si="93"/>
        <v>100</v>
      </c>
      <c r="AG2029" t="str">
        <f>IF(AF2029="","",IF(AF2029&gt;90,"Sangat baik",IF(AF2029&gt;79,"Baik",IF(AF2029&gt;=pub_gid_0_single_true_output_csv[[#This Row],[KKM]],"Cukup","Kurang"))))</f>
        <v>Sangat baik</v>
      </c>
      <c r="AH2029">
        <f t="shared" si="94"/>
        <v>12</v>
      </c>
      <c r="AI2029" s="30" t="str">
        <f>IF(OR(J2029&lt;&gt;"Karakter",pub_gid_0_single_true_output_csv[[#This Row],[Nilai2]]=""),"",IF(AF2029&gt;89,"Sangat baik",IF(AF2029&gt;79,"Baik",IF(AF2029&gt;69,"Cukup",IF(AF2029&gt;59,"Kurang","Sangat kurang")))))</f>
        <v/>
      </c>
      <c r="AJ2029" t="str">
        <f t="shared" si="95"/>
        <v>Wk.3</v>
      </c>
      <c r="AK2029" t="str">
        <f>IF(pub_gid_0_single_true_output_csv[[#This Row],[Nilai2]]="","",VLOOKUP(pub_gid_0_single_true_output_csv[[#This Row],[NAMA]],Table7[],3,FALSE))</f>
        <v>High average</v>
      </c>
    </row>
    <row r="2030" spans="1:37" x14ac:dyDescent="0.2">
      <c r="A2030">
        <v>2029</v>
      </c>
      <c r="B2030" t="s">
        <v>313</v>
      </c>
      <c r="C2030" t="s">
        <v>65</v>
      </c>
      <c r="D2030" t="s">
        <v>57</v>
      </c>
      <c r="E2030" t="s">
        <v>146</v>
      </c>
      <c r="F2030" s="25">
        <v>46041</v>
      </c>
      <c r="G2030" t="s">
        <v>370</v>
      </c>
      <c r="H2030" t="s">
        <v>405</v>
      </c>
      <c r="I2030" t="s">
        <v>371</v>
      </c>
      <c r="J2030" t="s">
        <v>36</v>
      </c>
      <c r="K2030" t="s">
        <v>37</v>
      </c>
      <c r="L2030" t="s">
        <v>321</v>
      </c>
      <c r="M2030" t="s">
        <v>141</v>
      </c>
      <c r="N2030" t="s">
        <v>142</v>
      </c>
      <c r="O2030" t="s">
        <v>327</v>
      </c>
      <c r="P2030" t="s">
        <v>281</v>
      </c>
      <c r="Q2030" t="s">
        <v>328</v>
      </c>
      <c r="R2030" t="s">
        <v>329</v>
      </c>
      <c r="S2030" t="s">
        <v>330</v>
      </c>
      <c r="T2030">
        <v>1</v>
      </c>
      <c r="U2030" t="s">
        <v>445</v>
      </c>
      <c r="V2030" t="s">
        <v>285</v>
      </c>
      <c r="W2030" t="s">
        <v>446</v>
      </c>
      <c r="X2030" t="s">
        <v>331</v>
      </c>
      <c r="Y2030" t="s">
        <v>307</v>
      </c>
      <c r="Z2030">
        <v>70</v>
      </c>
      <c r="AA2030">
        <v>99</v>
      </c>
      <c r="AB2030" t="s">
        <v>143</v>
      </c>
      <c r="AC2030" t="s">
        <v>64</v>
      </c>
      <c r="AD2030" t="s">
        <v>50</v>
      </c>
      <c r="AE2030" t="str">
        <f>IF(AF2030="","",VLOOKUP(AC2030,mapel!$A$2:$B$42,2,FALSE))</f>
        <v>Math</v>
      </c>
      <c r="AF2030">
        <f t="shared" si="93"/>
        <v>99</v>
      </c>
      <c r="AG2030" t="str">
        <f>IF(AF2030="","",IF(AF2030&gt;90,"Sangat baik",IF(AF2030&gt;79,"Baik",IF(AF2030&gt;=pub_gid_0_single_true_output_csv[[#This Row],[KKM]],"Cukup","Kurang"))))</f>
        <v>Sangat baik</v>
      </c>
      <c r="AH2030">
        <f t="shared" si="94"/>
        <v>12</v>
      </c>
      <c r="AI2030" s="30" t="str">
        <f>IF(OR(J2030&lt;&gt;"Karakter",pub_gid_0_single_true_output_csv[[#This Row],[Nilai2]]=""),"",IF(AF2030&gt;89,"Sangat baik",IF(AF2030&gt;79,"Baik",IF(AF2030&gt;69,"Cukup",IF(AF2030&gt;59,"Kurang","Sangat kurang")))))</f>
        <v/>
      </c>
      <c r="AJ2030" t="str">
        <f t="shared" si="95"/>
        <v>Wk.4</v>
      </c>
      <c r="AK2030" t="str">
        <f>IF(pub_gid_0_single_true_output_csv[[#This Row],[Nilai2]]="","",VLOOKUP(pub_gid_0_single_true_output_csv[[#This Row],[NAMA]],Table7[],3,FALSE))</f>
        <v>High average</v>
      </c>
    </row>
    <row r="2031" spans="1:37" x14ac:dyDescent="0.2">
      <c r="A2031">
        <v>2030</v>
      </c>
      <c r="B2031" t="s">
        <v>313</v>
      </c>
      <c r="C2031" t="s">
        <v>65</v>
      </c>
      <c r="D2031" t="s">
        <v>57</v>
      </c>
      <c r="E2031" t="s">
        <v>146</v>
      </c>
      <c r="F2031" s="25">
        <v>46041</v>
      </c>
      <c r="G2031" t="s">
        <v>370</v>
      </c>
      <c r="H2031" t="s">
        <v>405</v>
      </c>
      <c r="I2031" t="s">
        <v>371</v>
      </c>
      <c r="J2031" t="s">
        <v>36</v>
      </c>
      <c r="K2031" t="s">
        <v>37</v>
      </c>
      <c r="L2031" t="s">
        <v>321</v>
      </c>
      <c r="M2031" t="s">
        <v>141</v>
      </c>
      <c r="N2031" t="s">
        <v>142</v>
      </c>
      <c r="O2031" t="s">
        <v>327</v>
      </c>
      <c r="P2031" t="s">
        <v>281</v>
      </c>
      <c r="Q2031" t="s">
        <v>328</v>
      </c>
      <c r="R2031" t="s">
        <v>329</v>
      </c>
      <c r="S2031" t="s">
        <v>330</v>
      </c>
      <c r="T2031">
        <v>1</v>
      </c>
      <c r="U2031" t="s">
        <v>445</v>
      </c>
      <c r="V2031" t="s">
        <v>285</v>
      </c>
      <c r="W2031" t="s">
        <v>446</v>
      </c>
      <c r="X2031" t="s">
        <v>331</v>
      </c>
      <c r="Y2031" t="s">
        <v>307</v>
      </c>
      <c r="Z2031">
        <v>70</v>
      </c>
      <c r="AA2031">
        <v>98</v>
      </c>
      <c r="AB2031" t="s">
        <v>143</v>
      </c>
      <c r="AC2031" t="s">
        <v>64</v>
      </c>
      <c r="AD2031" t="s">
        <v>50</v>
      </c>
      <c r="AE2031" t="str">
        <f>IF(AF2031="","",VLOOKUP(AC2031,mapel!$A$2:$B$42,2,FALSE))</f>
        <v>Math</v>
      </c>
      <c r="AF2031">
        <f t="shared" si="93"/>
        <v>98</v>
      </c>
      <c r="AG2031" t="str">
        <f>IF(AF2031="","",IF(AF2031&gt;90,"Sangat baik",IF(AF2031&gt;79,"Baik",IF(AF2031&gt;=pub_gid_0_single_true_output_csv[[#This Row],[KKM]],"Cukup","Kurang"))))</f>
        <v>Sangat baik</v>
      </c>
      <c r="AH2031">
        <f t="shared" si="94"/>
        <v>12</v>
      </c>
      <c r="AI2031" s="30" t="str">
        <f>IF(OR(J2031&lt;&gt;"Karakter",pub_gid_0_single_true_output_csv[[#This Row],[Nilai2]]=""),"",IF(AF2031&gt;89,"Sangat baik",IF(AF2031&gt;79,"Baik",IF(AF2031&gt;69,"Cukup",IF(AF2031&gt;59,"Kurang","Sangat kurang")))))</f>
        <v/>
      </c>
      <c r="AJ2031" t="str">
        <f t="shared" si="95"/>
        <v>Wk.4</v>
      </c>
      <c r="AK2031" t="str">
        <f>IF(pub_gid_0_single_true_output_csv[[#This Row],[Nilai2]]="","",VLOOKUP(pub_gid_0_single_true_output_csv[[#This Row],[NAMA]],Table7[],3,FALSE))</f>
        <v>High average</v>
      </c>
    </row>
    <row r="2032" spans="1:37" x14ac:dyDescent="0.2">
      <c r="A2032">
        <v>2031</v>
      </c>
      <c r="B2032" t="s">
        <v>313</v>
      </c>
      <c r="C2032" t="s">
        <v>65</v>
      </c>
      <c r="D2032" t="s">
        <v>57</v>
      </c>
      <c r="E2032" t="s">
        <v>146</v>
      </c>
      <c r="F2032" s="25">
        <v>46043</v>
      </c>
      <c r="G2032" t="s">
        <v>341</v>
      </c>
      <c r="H2032" t="s">
        <v>405</v>
      </c>
      <c r="I2032" t="s">
        <v>371</v>
      </c>
      <c r="J2032" t="s">
        <v>36</v>
      </c>
      <c r="K2032" t="s">
        <v>37</v>
      </c>
      <c r="L2032" t="s">
        <v>321</v>
      </c>
      <c r="M2032" t="s">
        <v>141</v>
      </c>
      <c r="N2032" t="s">
        <v>142</v>
      </c>
      <c r="O2032" t="s">
        <v>327</v>
      </c>
      <c r="P2032" t="s">
        <v>281</v>
      </c>
      <c r="Q2032" t="s">
        <v>328</v>
      </c>
      <c r="R2032" t="s">
        <v>329</v>
      </c>
      <c r="S2032" t="s">
        <v>330</v>
      </c>
      <c r="T2032">
        <v>1</v>
      </c>
      <c r="U2032" t="s">
        <v>445</v>
      </c>
      <c r="V2032" t="s">
        <v>285</v>
      </c>
      <c r="W2032" t="s">
        <v>446</v>
      </c>
      <c r="X2032" t="s">
        <v>331</v>
      </c>
      <c r="Y2032" t="s">
        <v>307</v>
      </c>
      <c r="Z2032">
        <v>70</v>
      </c>
      <c r="AA2032">
        <v>92</v>
      </c>
      <c r="AB2032" t="s">
        <v>143</v>
      </c>
      <c r="AC2032" t="s">
        <v>64</v>
      </c>
      <c r="AD2032" t="s">
        <v>50</v>
      </c>
      <c r="AE2032" t="str">
        <f>IF(AF2032="","",VLOOKUP(AC2032,mapel!$A$2:$B$42,2,FALSE))</f>
        <v>Math</v>
      </c>
      <c r="AF2032">
        <f t="shared" si="93"/>
        <v>92</v>
      </c>
      <c r="AG2032" t="str">
        <f>IF(AF2032="","",IF(AF2032&gt;90,"Sangat baik",IF(AF2032&gt;79,"Baik",IF(AF2032&gt;=pub_gid_0_single_true_output_csv[[#This Row],[KKM]],"Cukup","Kurang"))))</f>
        <v>Sangat baik</v>
      </c>
      <c r="AH2032">
        <f t="shared" si="94"/>
        <v>12</v>
      </c>
      <c r="AI2032" s="30" t="str">
        <f>IF(OR(J2032&lt;&gt;"Karakter",pub_gid_0_single_true_output_csv[[#This Row],[Nilai2]]=""),"",IF(AF2032&gt;89,"Sangat baik",IF(AF2032&gt;79,"Baik",IF(AF2032&gt;69,"Cukup",IF(AF2032&gt;59,"Kurang","Sangat kurang")))))</f>
        <v/>
      </c>
      <c r="AJ2032" t="str">
        <f t="shared" si="95"/>
        <v>Wk.4</v>
      </c>
      <c r="AK2032" t="str">
        <f>IF(pub_gid_0_single_true_output_csv[[#This Row],[Nilai2]]="","",VLOOKUP(pub_gid_0_single_true_output_csv[[#This Row],[NAMA]],Table7[],3,FALSE))</f>
        <v>High average</v>
      </c>
    </row>
    <row r="2033" spans="1:37" x14ac:dyDescent="0.2">
      <c r="A2033">
        <v>2032</v>
      </c>
      <c r="B2033" t="s">
        <v>313</v>
      </c>
      <c r="C2033" t="s">
        <v>65</v>
      </c>
      <c r="D2033" t="s">
        <v>57</v>
      </c>
      <c r="E2033" t="s">
        <v>146</v>
      </c>
      <c r="F2033" s="25">
        <v>46041</v>
      </c>
      <c r="G2033" t="s">
        <v>370</v>
      </c>
      <c r="H2033" t="s">
        <v>405</v>
      </c>
      <c r="I2033" t="s">
        <v>371</v>
      </c>
      <c r="J2033" t="s">
        <v>36</v>
      </c>
      <c r="K2033" t="s">
        <v>37</v>
      </c>
      <c r="L2033" t="s">
        <v>321</v>
      </c>
      <c r="M2033" t="s">
        <v>141</v>
      </c>
      <c r="N2033" t="s">
        <v>142</v>
      </c>
      <c r="O2033" t="s">
        <v>327</v>
      </c>
      <c r="P2033" t="s">
        <v>281</v>
      </c>
      <c r="Q2033" t="s">
        <v>328</v>
      </c>
      <c r="R2033" t="s">
        <v>329</v>
      </c>
      <c r="S2033" t="s">
        <v>330</v>
      </c>
      <c r="T2033">
        <v>1</v>
      </c>
      <c r="U2033" t="s">
        <v>445</v>
      </c>
      <c r="V2033" t="s">
        <v>285</v>
      </c>
      <c r="W2033" t="s">
        <v>446</v>
      </c>
      <c r="X2033" t="s">
        <v>331</v>
      </c>
      <c r="Y2033" t="s">
        <v>307</v>
      </c>
      <c r="Z2033">
        <v>70</v>
      </c>
      <c r="AA2033">
        <v>82</v>
      </c>
      <c r="AB2033" t="s">
        <v>143</v>
      </c>
      <c r="AC2033" t="s">
        <v>64</v>
      </c>
      <c r="AD2033" t="s">
        <v>50</v>
      </c>
      <c r="AE2033" t="str">
        <f>IF(AF2033="","",VLOOKUP(AC2033,mapel!$A$2:$B$42,2,FALSE))</f>
        <v>Math</v>
      </c>
      <c r="AF2033">
        <f t="shared" si="93"/>
        <v>82</v>
      </c>
      <c r="AG2033" t="str">
        <f>IF(AF2033="","",IF(AF2033&gt;90,"Sangat baik",IF(AF2033&gt;79,"Baik",IF(AF2033&gt;=pub_gid_0_single_true_output_csv[[#This Row],[KKM]],"Cukup","Kurang"))))</f>
        <v>Baik</v>
      </c>
      <c r="AH2033">
        <f t="shared" si="94"/>
        <v>12</v>
      </c>
      <c r="AI2033" s="30" t="str">
        <f>IF(OR(J2033&lt;&gt;"Karakter",pub_gid_0_single_true_output_csv[[#This Row],[Nilai2]]=""),"",IF(AF2033&gt;89,"Sangat baik",IF(AF2033&gt;79,"Baik",IF(AF2033&gt;69,"Cukup",IF(AF2033&gt;59,"Kurang","Sangat kurang")))))</f>
        <v/>
      </c>
      <c r="AJ2033" t="str">
        <f t="shared" si="95"/>
        <v>Wk.4</v>
      </c>
      <c r="AK2033" t="str">
        <f>IF(pub_gid_0_single_true_output_csv[[#This Row],[Nilai2]]="","",VLOOKUP(pub_gid_0_single_true_output_csv[[#This Row],[NAMA]],Table7[],3,FALSE))</f>
        <v>High average</v>
      </c>
    </row>
    <row r="2034" spans="1:37" x14ac:dyDescent="0.2">
      <c r="A2034">
        <v>2033</v>
      </c>
      <c r="B2034" t="s">
        <v>313</v>
      </c>
      <c r="C2034" t="s">
        <v>65</v>
      </c>
      <c r="D2034" t="s">
        <v>57</v>
      </c>
      <c r="E2034" t="s">
        <v>146</v>
      </c>
      <c r="F2034" s="25">
        <v>46063</v>
      </c>
      <c r="G2034" t="s">
        <v>374</v>
      </c>
      <c r="H2034" t="s">
        <v>412</v>
      </c>
      <c r="I2034" t="s">
        <v>371</v>
      </c>
      <c r="J2034" t="s">
        <v>36</v>
      </c>
      <c r="K2034" t="s">
        <v>37</v>
      </c>
      <c r="L2034" t="s">
        <v>321</v>
      </c>
      <c r="M2034" t="s">
        <v>141</v>
      </c>
      <c r="N2034" t="s">
        <v>142</v>
      </c>
      <c r="O2034" t="s">
        <v>327</v>
      </c>
      <c r="P2034" t="s">
        <v>281</v>
      </c>
      <c r="Q2034" t="s">
        <v>328</v>
      </c>
      <c r="R2034" t="s">
        <v>329</v>
      </c>
      <c r="S2034" t="s">
        <v>392</v>
      </c>
      <c r="T2034">
        <v>1</v>
      </c>
      <c r="U2034" t="s">
        <v>445</v>
      </c>
      <c r="V2034" t="s">
        <v>343</v>
      </c>
      <c r="W2034" t="s">
        <v>447</v>
      </c>
      <c r="X2034" t="s">
        <v>331</v>
      </c>
      <c r="Y2034" t="s">
        <v>307</v>
      </c>
      <c r="Z2034">
        <v>70</v>
      </c>
      <c r="AA2034">
        <v>90</v>
      </c>
      <c r="AB2034" t="s">
        <v>143</v>
      </c>
      <c r="AC2034" t="s">
        <v>64</v>
      </c>
      <c r="AD2034" t="s">
        <v>50</v>
      </c>
      <c r="AE2034" t="str">
        <f>IF(AF2034="","",VLOOKUP(AC2034,mapel!$A$2:$B$42,2,FALSE))</f>
        <v>Math</v>
      </c>
      <c r="AF2034">
        <f t="shared" si="93"/>
        <v>90</v>
      </c>
      <c r="AG2034" t="str">
        <f>IF(AF2034="","",IF(AF2034&gt;90,"Sangat baik",IF(AF2034&gt;79,"Baik",IF(AF2034&gt;=pub_gid_0_single_true_output_csv[[#This Row],[KKM]],"Cukup","Kurang"))))</f>
        <v>Baik</v>
      </c>
      <c r="AH2034">
        <f t="shared" si="94"/>
        <v>12</v>
      </c>
      <c r="AI2034" s="30" t="str">
        <f>IF(OR(J2034&lt;&gt;"Karakter",pub_gid_0_single_true_output_csv[[#This Row],[Nilai2]]=""),"",IF(AF2034&gt;89,"Sangat baik",IF(AF2034&gt;79,"Baik",IF(AF2034&gt;69,"Cukup",IF(AF2034&gt;59,"Kurang","Sangat kurang")))))</f>
        <v/>
      </c>
      <c r="AJ2034" t="str">
        <f t="shared" si="95"/>
        <v>Wk.7</v>
      </c>
      <c r="AK2034" t="str">
        <f>IF(pub_gid_0_single_true_output_csv[[#This Row],[Nilai2]]="","",VLOOKUP(pub_gid_0_single_true_output_csv[[#This Row],[NAMA]],Table7[],3,FALSE))</f>
        <v>High average</v>
      </c>
    </row>
    <row r="2035" spans="1:37" x14ac:dyDescent="0.2">
      <c r="A2035">
        <v>2034</v>
      </c>
      <c r="B2035" t="s">
        <v>313</v>
      </c>
      <c r="C2035" t="s">
        <v>65</v>
      </c>
      <c r="D2035" t="s">
        <v>57</v>
      </c>
      <c r="E2035" t="s">
        <v>146</v>
      </c>
      <c r="F2035" s="25">
        <v>46064</v>
      </c>
      <c r="G2035" t="s">
        <v>352</v>
      </c>
      <c r="H2035" t="s">
        <v>412</v>
      </c>
      <c r="I2035" t="s">
        <v>371</v>
      </c>
      <c r="J2035" t="s">
        <v>36</v>
      </c>
      <c r="K2035" t="s">
        <v>37</v>
      </c>
      <c r="L2035" t="s">
        <v>321</v>
      </c>
      <c r="M2035" t="s">
        <v>141</v>
      </c>
      <c r="N2035" t="s">
        <v>142</v>
      </c>
      <c r="O2035" t="s">
        <v>327</v>
      </c>
      <c r="P2035" t="s">
        <v>281</v>
      </c>
      <c r="Q2035" t="s">
        <v>328</v>
      </c>
      <c r="R2035" t="s">
        <v>329</v>
      </c>
      <c r="S2035" t="s">
        <v>392</v>
      </c>
      <c r="T2035">
        <v>1</v>
      </c>
      <c r="U2035" t="s">
        <v>445</v>
      </c>
      <c r="V2035" t="s">
        <v>343</v>
      </c>
      <c r="W2035" t="s">
        <v>447</v>
      </c>
      <c r="X2035" t="s">
        <v>331</v>
      </c>
      <c r="Y2035" t="s">
        <v>307</v>
      </c>
      <c r="Z2035">
        <v>70</v>
      </c>
      <c r="AA2035">
        <v>98</v>
      </c>
      <c r="AB2035" t="s">
        <v>143</v>
      </c>
      <c r="AC2035" t="s">
        <v>64</v>
      </c>
      <c r="AD2035" t="s">
        <v>50</v>
      </c>
      <c r="AE2035" t="str">
        <f>IF(AF2035="","",VLOOKUP(AC2035,mapel!$A$2:$B$42,2,FALSE))</f>
        <v>Math</v>
      </c>
      <c r="AF2035">
        <f t="shared" si="93"/>
        <v>98</v>
      </c>
      <c r="AG2035" t="str">
        <f>IF(AF2035="","",IF(AF2035&gt;90,"Sangat baik",IF(AF2035&gt;79,"Baik",IF(AF2035&gt;=pub_gid_0_single_true_output_csv[[#This Row],[KKM]],"Cukup","Kurang"))))</f>
        <v>Sangat baik</v>
      </c>
      <c r="AH2035">
        <f t="shared" si="94"/>
        <v>12</v>
      </c>
      <c r="AI2035" s="30" t="str">
        <f>IF(OR(J2035&lt;&gt;"Karakter",pub_gid_0_single_true_output_csv[[#This Row],[Nilai2]]=""),"",IF(AF2035&gt;89,"Sangat baik",IF(AF2035&gt;79,"Baik",IF(AF2035&gt;69,"Cukup",IF(AF2035&gt;59,"Kurang","Sangat kurang")))))</f>
        <v/>
      </c>
      <c r="AJ2035" t="str">
        <f t="shared" si="95"/>
        <v>Wk.7</v>
      </c>
      <c r="AK2035" t="str">
        <f>IF(pub_gid_0_single_true_output_csv[[#This Row],[Nilai2]]="","",VLOOKUP(pub_gid_0_single_true_output_csv[[#This Row],[NAMA]],Table7[],3,FALSE))</f>
        <v>High average</v>
      </c>
    </row>
    <row r="2036" spans="1:37" x14ac:dyDescent="0.2">
      <c r="A2036">
        <v>2035</v>
      </c>
      <c r="B2036" t="s">
        <v>313</v>
      </c>
      <c r="C2036" t="s">
        <v>65</v>
      </c>
      <c r="D2036" t="s">
        <v>57</v>
      </c>
      <c r="E2036" t="s">
        <v>146</v>
      </c>
      <c r="F2036" s="25">
        <v>46056</v>
      </c>
      <c r="G2036" t="s">
        <v>372</v>
      </c>
      <c r="H2036" t="s">
        <v>412</v>
      </c>
      <c r="I2036" t="s">
        <v>371</v>
      </c>
      <c r="J2036" t="s">
        <v>36</v>
      </c>
      <c r="K2036" t="s">
        <v>37</v>
      </c>
      <c r="L2036" t="s">
        <v>321</v>
      </c>
      <c r="M2036" t="s">
        <v>141</v>
      </c>
      <c r="N2036" t="s">
        <v>142</v>
      </c>
      <c r="O2036" t="s">
        <v>327</v>
      </c>
      <c r="P2036" t="s">
        <v>281</v>
      </c>
      <c r="Q2036" t="s">
        <v>328</v>
      </c>
      <c r="R2036" t="s">
        <v>329</v>
      </c>
      <c r="S2036" t="s">
        <v>375</v>
      </c>
      <c r="T2036">
        <v>1</v>
      </c>
      <c r="U2036" t="s">
        <v>445</v>
      </c>
      <c r="V2036" t="s">
        <v>342</v>
      </c>
      <c r="W2036" t="s">
        <v>448</v>
      </c>
      <c r="X2036" t="s">
        <v>331</v>
      </c>
      <c r="Y2036" t="s">
        <v>307</v>
      </c>
      <c r="Z2036">
        <v>70</v>
      </c>
      <c r="AA2036">
        <v>100</v>
      </c>
      <c r="AB2036" t="s">
        <v>143</v>
      </c>
      <c r="AC2036" t="s">
        <v>64</v>
      </c>
      <c r="AD2036" t="s">
        <v>50</v>
      </c>
      <c r="AE2036" t="str">
        <f>IF(AF2036="","",VLOOKUP(AC2036,mapel!$A$2:$B$42,2,FALSE))</f>
        <v>Math</v>
      </c>
      <c r="AF2036">
        <f t="shared" si="93"/>
        <v>100</v>
      </c>
      <c r="AG2036" t="str">
        <f>IF(AF2036="","",IF(AF2036&gt;90,"Sangat baik",IF(AF2036&gt;79,"Baik",IF(AF2036&gt;=pub_gid_0_single_true_output_csv[[#This Row],[KKM]],"Cukup","Kurang"))))</f>
        <v>Sangat baik</v>
      </c>
      <c r="AH2036">
        <f t="shared" si="94"/>
        <v>12</v>
      </c>
      <c r="AI2036" s="30" t="str">
        <f>IF(OR(J2036&lt;&gt;"Karakter",pub_gid_0_single_true_output_csv[[#This Row],[Nilai2]]=""),"",IF(AF2036&gt;89,"Sangat baik",IF(AF2036&gt;79,"Baik",IF(AF2036&gt;69,"Cukup",IF(AF2036&gt;59,"Kurang","Sangat kurang")))))</f>
        <v/>
      </c>
      <c r="AJ2036" t="str">
        <f t="shared" si="95"/>
        <v>Wk.6</v>
      </c>
      <c r="AK2036" t="str">
        <f>IF(pub_gid_0_single_true_output_csv[[#This Row],[Nilai2]]="","",VLOOKUP(pub_gid_0_single_true_output_csv[[#This Row],[NAMA]],Table7[],3,FALSE))</f>
        <v>High average</v>
      </c>
    </row>
    <row r="2037" spans="1:37" x14ac:dyDescent="0.2">
      <c r="A2037">
        <v>2036</v>
      </c>
      <c r="B2037" t="s">
        <v>313</v>
      </c>
      <c r="C2037" t="s">
        <v>65</v>
      </c>
      <c r="D2037" t="s">
        <v>57</v>
      </c>
      <c r="E2037" t="s">
        <v>146</v>
      </c>
      <c r="F2037" s="25">
        <v>46064</v>
      </c>
      <c r="G2037" t="s">
        <v>352</v>
      </c>
      <c r="H2037" t="s">
        <v>412</v>
      </c>
      <c r="I2037" t="s">
        <v>371</v>
      </c>
      <c r="J2037" t="s">
        <v>36</v>
      </c>
      <c r="K2037" t="s">
        <v>37</v>
      </c>
      <c r="L2037" t="s">
        <v>150</v>
      </c>
      <c r="M2037" t="s">
        <v>141</v>
      </c>
      <c r="N2037" t="s">
        <v>142</v>
      </c>
      <c r="O2037" t="s">
        <v>327</v>
      </c>
      <c r="P2037" t="s">
        <v>281</v>
      </c>
      <c r="Q2037" t="s">
        <v>328</v>
      </c>
      <c r="R2037" t="s">
        <v>329</v>
      </c>
      <c r="S2037" t="s">
        <v>392</v>
      </c>
      <c r="T2037">
        <v>1</v>
      </c>
      <c r="U2037" t="s">
        <v>445</v>
      </c>
      <c r="V2037" t="s">
        <v>343</v>
      </c>
      <c r="W2037" t="s">
        <v>447</v>
      </c>
      <c r="X2037" t="s">
        <v>331</v>
      </c>
      <c r="Y2037" t="s">
        <v>307</v>
      </c>
      <c r="Z2037">
        <v>70</v>
      </c>
      <c r="AA2037">
        <v>100</v>
      </c>
      <c r="AB2037" t="s">
        <v>143</v>
      </c>
      <c r="AC2037" t="s">
        <v>64</v>
      </c>
      <c r="AD2037" t="s">
        <v>50</v>
      </c>
      <c r="AE2037" t="str">
        <f>IF(AF2037="","",VLOOKUP(AC2037,mapel!$A$2:$B$42,2,FALSE))</f>
        <v>Math</v>
      </c>
      <c r="AF2037">
        <f t="shared" si="93"/>
        <v>100</v>
      </c>
      <c r="AG2037" t="str">
        <f>IF(AF2037="","",IF(AF2037&gt;90,"Sangat baik",IF(AF2037&gt;79,"Baik",IF(AF2037&gt;=pub_gid_0_single_true_output_csv[[#This Row],[KKM]],"Cukup","Kurang"))))</f>
        <v>Sangat baik</v>
      </c>
      <c r="AH2037">
        <f t="shared" si="94"/>
        <v>12</v>
      </c>
      <c r="AI2037" s="30" t="str">
        <f>IF(OR(J2037&lt;&gt;"Karakter",pub_gid_0_single_true_output_csv[[#This Row],[Nilai2]]=""),"",IF(AF2037&gt;89,"Sangat baik",IF(AF2037&gt;79,"Baik",IF(AF2037&gt;69,"Cukup",IF(AF2037&gt;59,"Kurang","Sangat kurang")))))</f>
        <v/>
      </c>
      <c r="AJ2037" t="str">
        <f t="shared" si="95"/>
        <v>Wk.7</v>
      </c>
      <c r="AK2037" t="str">
        <f>IF(pub_gid_0_single_true_output_csv[[#This Row],[Nilai2]]="","",VLOOKUP(pub_gid_0_single_true_output_csv[[#This Row],[NAMA]],Table7[],3,FALSE))</f>
        <v>High average</v>
      </c>
    </row>
    <row r="2038" spans="1:37" x14ac:dyDescent="0.2">
      <c r="A2038">
        <v>2037</v>
      </c>
      <c r="B2038" t="s">
        <v>313</v>
      </c>
      <c r="C2038" t="s">
        <v>65</v>
      </c>
      <c r="D2038" t="s">
        <v>57</v>
      </c>
      <c r="E2038" t="s">
        <v>146</v>
      </c>
      <c r="F2038" s="25">
        <v>46078</v>
      </c>
      <c r="G2038" t="s">
        <v>284</v>
      </c>
      <c r="H2038" t="s">
        <v>412</v>
      </c>
      <c r="I2038" t="s">
        <v>371</v>
      </c>
      <c r="J2038" t="s">
        <v>36</v>
      </c>
      <c r="K2038" t="s">
        <v>37</v>
      </c>
      <c r="L2038" t="s">
        <v>150</v>
      </c>
      <c r="M2038" t="s">
        <v>141</v>
      </c>
      <c r="N2038" t="s">
        <v>142</v>
      </c>
      <c r="O2038" t="s">
        <v>327</v>
      </c>
      <c r="P2038" t="s">
        <v>281</v>
      </c>
      <c r="Q2038" t="s">
        <v>328</v>
      </c>
      <c r="R2038" t="s">
        <v>329</v>
      </c>
      <c r="S2038" t="s">
        <v>392</v>
      </c>
      <c r="T2038">
        <v>1</v>
      </c>
      <c r="U2038" t="s">
        <v>445</v>
      </c>
      <c r="V2038" t="s">
        <v>343</v>
      </c>
      <c r="W2038" t="s">
        <v>447</v>
      </c>
      <c r="X2038" t="s">
        <v>331</v>
      </c>
      <c r="Y2038" t="s">
        <v>307</v>
      </c>
      <c r="Z2038">
        <v>70</v>
      </c>
      <c r="AA2038">
        <v>100</v>
      </c>
      <c r="AB2038" t="s">
        <v>143</v>
      </c>
      <c r="AC2038" t="s">
        <v>64</v>
      </c>
      <c r="AD2038" t="s">
        <v>50</v>
      </c>
      <c r="AE2038" t="str">
        <f>IF(AF2038="","",VLOOKUP(AC2038,mapel!$A$2:$B$42,2,FALSE))</f>
        <v>Math</v>
      </c>
      <c r="AF2038">
        <f t="shared" si="93"/>
        <v>100</v>
      </c>
      <c r="AG2038" t="str">
        <f>IF(AF2038="","",IF(AF2038&gt;90,"Sangat baik",IF(AF2038&gt;79,"Baik",IF(AF2038&gt;=pub_gid_0_single_true_output_csv[[#This Row],[KKM]],"Cukup","Kurang"))))</f>
        <v>Sangat baik</v>
      </c>
      <c r="AH2038">
        <f t="shared" si="94"/>
        <v>12</v>
      </c>
      <c r="AI2038" s="30" t="str">
        <f>IF(OR(J2038&lt;&gt;"Karakter",pub_gid_0_single_true_output_csv[[#This Row],[Nilai2]]=""),"",IF(AF2038&gt;89,"Sangat baik",IF(AF2038&gt;79,"Baik",IF(AF2038&gt;69,"Cukup",IF(AF2038&gt;59,"Kurang","Sangat kurang")))))</f>
        <v/>
      </c>
      <c r="AJ2038" t="str">
        <f t="shared" si="95"/>
        <v>Wk.9</v>
      </c>
      <c r="AK2038" t="str">
        <f>IF(pub_gid_0_single_true_output_csv[[#This Row],[Nilai2]]="","",VLOOKUP(pub_gid_0_single_true_output_csv[[#This Row],[NAMA]],Table7[],3,FALSE))</f>
        <v>High average</v>
      </c>
    </row>
    <row r="2039" spans="1:37" x14ac:dyDescent="0.2">
      <c r="A2039">
        <v>2038</v>
      </c>
      <c r="B2039" t="s">
        <v>314</v>
      </c>
      <c r="C2039" t="s">
        <v>65</v>
      </c>
      <c r="D2039" t="s">
        <v>58</v>
      </c>
      <c r="E2039" t="s">
        <v>140</v>
      </c>
      <c r="F2039" s="25">
        <v>46036</v>
      </c>
      <c r="G2039" t="s">
        <v>353</v>
      </c>
      <c r="H2039" t="s">
        <v>405</v>
      </c>
      <c r="I2039" t="s">
        <v>371</v>
      </c>
      <c r="J2039" t="s">
        <v>36</v>
      </c>
      <c r="K2039" t="s">
        <v>37</v>
      </c>
      <c r="L2039" t="s">
        <v>321</v>
      </c>
      <c r="M2039" t="s">
        <v>141</v>
      </c>
      <c r="N2039" t="s">
        <v>142</v>
      </c>
      <c r="O2039" t="s">
        <v>327</v>
      </c>
      <c r="P2039" t="s">
        <v>281</v>
      </c>
      <c r="Q2039" t="s">
        <v>328</v>
      </c>
      <c r="R2039" t="s">
        <v>329</v>
      </c>
      <c r="S2039" t="s">
        <v>330</v>
      </c>
      <c r="T2039">
        <v>1</v>
      </c>
      <c r="U2039" t="s">
        <v>445</v>
      </c>
      <c r="V2039" t="s">
        <v>285</v>
      </c>
      <c r="W2039" t="s">
        <v>446</v>
      </c>
      <c r="X2039" t="s">
        <v>331</v>
      </c>
      <c r="Y2039" t="s">
        <v>307</v>
      </c>
      <c r="Z2039">
        <v>70</v>
      </c>
      <c r="AA2039">
        <v>85</v>
      </c>
      <c r="AB2039" t="s">
        <v>143</v>
      </c>
      <c r="AC2039" t="s">
        <v>64</v>
      </c>
      <c r="AD2039" t="s">
        <v>50</v>
      </c>
      <c r="AE2039" t="str">
        <f>IF(AF2039="","",VLOOKUP(AC2039,mapel!$A$2:$B$42,2,FALSE))</f>
        <v>Math</v>
      </c>
      <c r="AF2039">
        <f t="shared" si="93"/>
        <v>85</v>
      </c>
      <c r="AG2039" t="str">
        <f>IF(AF2039="","",IF(AF2039&gt;90,"Sangat baik",IF(AF2039&gt;79,"Baik",IF(AF2039&gt;=pub_gid_0_single_true_output_csv[[#This Row],[KKM]],"Cukup","Kurang"))))</f>
        <v>Baik</v>
      </c>
      <c r="AH2039">
        <f t="shared" si="94"/>
        <v>12</v>
      </c>
      <c r="AI2039" s="30" t="str">
        <f>IF(OR(J2039&lt;&gt;"Karakter",pub_gid_0_single_true_output_csv[[#This Row],[Nilai2]]=""),"",IF(AF2039&gt;89,"Sangat baik",IF(AF2039&gt;79,"Baik",IF(AF2039&gt;69,"Cukup",IF(AF2039&gt;59,"Kurang","Sangat kurang")))))</f>
        <v/>
      </c>
      <c r="AJ2039" t="str">
        <f t="shared" si="95"/>
        <v>Wk.3</v>
      </c>
      <c r="AK2039" t="str">
        <f>IF(pub_gid_0_single_true_output_csv[[#This Row],[Nilai2]]="","",VLOOKUP(pub_gid_0_single_true_output_csv[[#This Row],[NAMA]],Table7[],3,FALSE))</f>
        <v>Average</v>
      </c>
    </row>
    <row r="2040" spans="1:37" x14ac:dyDescent="0.2">
      <c r="A2040">
        <v>2039</v>
      </c>
      <c r="B2040" t="s">
        <v>314</v>
      </c>
      <c r="C2040" t="s">
        <v>65</v>
      </c>
      <c r="D2040" t="s">
        <v>58</v>
      </c>
      <c r="E2040" t="s">
        <v>140</v>
      </c>
      <c r="F2040" s="25">
        <v>46041</v>
      </c>
      <c r="G2040" t="s">
        <v>370</v>
      </c>
      <c r="H2040" t="s">
        <v>405</v>
      </c>
      <c r="I2040" t="s">
        <v>371</v>
      </c>
      <c r="J2040" t="s">
        <v>36</v>
      </c>
      <c r="K2040" t="s">
        <v>37</v>
      </c>
      <c r="L2040" t="s">
        <v>321</v>
      </c>
      <c r="M2040" t="s">
        <v>141</v>
      </c>
      <c r="N2040" t="s">
        <v>142</v>
      </c>
      <c r="O2040" t="s">
        <v>327</v>
      </c>
      <c r="P2040" t="s">
        <v>281</v>
      </c>
      <c r="Q2040" t="s">
        <v>328</v>
      </c>
      <c r="R2040" t="s">
        <v>329</v>
      </c>
      <c r="S2040" t="s">
        <v>330</v>
      </c>
      <c r="T2040">
        <v>1</v>
      </c>
      <c r="U2040" t="s">
        <v>445</v>
      </c>
      <c r="V2040" t="s">
        <v>285</v>
      </c>
      <c r="W2040" t="s">
        <v>446</v>
      </c>
      <c r="X2040" t="s">
        <v>331</v>
      </c>
      <c r="Y2040" t="s">
        <v>307</v>
      </c>
      <c r="Z2040">
        <v>70</v>
      </c>
      <c r="AA2040">
        <v>91</v>
      </c>
      <c r="AB2040" t="s">
        <v>143</v>
      </c>
      <c r="AC2040" t="s">
        <v>64</v>
      </c>
      <c r="AD2040" t="s">
        <v>50</v>
      </c>
      <c r="AE2040" t="str">
        <f>IF(AF2040="","",VLOOKUP(AC2040,mapel!$A$2:$B$42,2,FALSE))</f>
        <v>Math</v>
      </c>
      <c r="AF2040">
        <f t="shared" si="93"/>
        <v>91</v>
      </c>
      <c r="AG2040" t="str">
        <f>IF(AF2040="","",IF(AF2040&gt;90,"Sangat baik",IF(AF2040&gt;79,"Baik",IF(AF2040&gt;=pub_gid_0_single_true_output_csv[[#This Row],[KKM]],"Cukup","Kurang"))))</f>
        <v>Sangat baik</v>
      </c>
      <c r="AH2040">
        <f t="shared" si="94"/>
        <v>12</v>
      </c>
      <c r="AI2040" s="30" t="str">
        <f>IF(OR(J2040&lt;&gt;"Karakter",pub_gid_0_single_true_output_csv[[#This Row],[Nilai2]]=""),"",IF(AF2040&gt;89,"Sangat baik",IF(AF2040&gt;79,"Baik",IF(AF2040&gt;69,"Cukup",IF(AF2040&gt;59,"Kurang","Sangat kurang")))))</f>
        <v/>
      </c>
      <c r="AJ2040" t="str">
        <f t="shared" si="95"/>
        <v>Wk.4</v>
      </c>
      <c r="AK2040" t="str">
        <f>IF(pub_gid_0_single_true_output_csv[[#This Row],[Nilai2]]="","",VLOOKUP(pub_gid_0_single_true_output_csv[[#This Row],[NAMA]],Table7[],3,FALSE))</f>
        <v>Average</v>
      </c>
    </row>
    <row r="2041" spans="1:37" x14ac:dyDescent="0.2">
      <c r="A2041">
        <v>2040</v>
      </c>
      <c r="B2041" t="s">
        <v>314</v>
      </c>
      <c r="C2041" t="s">
        <v>65</v>
      </c>
      <c r="D2041" t="s">
        <v>58</v>
      </c>
      <c r="E2041" t="s">
        <v>140</v>
      </c>
      <c r="F2041" s="25">
        <v>46041</v>
      </c>
      <c r="G2041" t="s">
        <v>370</v>
      </c>
      <c r="H2041" t="s">
        <v>405</v>
      </c>
      <c r="I2041" t="s">
        <v>371</v>
      </c>
      <c r="J2041" t="s">
        <v>36</v>
      </c>
      <c r="K2041" t="s">
        <v>37</v>
      </c>
      <c r="L2041" t="s">
        <v>321</v>
      </c>
      <c r="M2041" t="s">
        <v>141</v>
      </c>
      <c r="N2041" t="s">
        <v>142</v>
      </c>
      <c r="O2041" t="s">
        <v>327</v>
      </c>
      <c r="P2041" t="s">
        <v>281</v>
      </c>
      <c r="Q2041" t="s">
        <v>328</v>
      </c>
      <c r="R2041" t="s">
        <v>329</v>
      </c>
      <c r="S2041" t="s">
        <v>330</v>
      </c>
      <c r="T2041">
        <v>1</v>
      </c>
      <c r="U2041" t="s">
        <v>445</v>
      </c>
      <c r="V2041" t="s">
        <v>285</v>
      </c>
      <c r="W2041" t="s">
        <v>446</v>
      </c>
      <c r="X2041" t="s">
        <v>331</v>
      </c>
      <c r="Y2041" t="s">
        <v>307</v>
      </c>
      <c r="Z2041">
        <v>70</v>
      </c>
      <c r="AA2041">
        <v>68</v>
      </c>
      <c r="AB2041" t="s">
        <v>151</v>
      </c>
      <c r="AC2041" t="s">
        <v>64</v>
      </c>
      <c r="AD2041" t="s">
        <v>50</v>
      </c>
      <c r="AE2041" t="str">
        <f>IF(AF2041="","",VLOOKUP(AC2041,mapel!$A$2:$B$42,2,FALSE))</f>
        <v>Math</v>
      </c>
      <c r="AF2041">
        <f t="shared" si="93"/>
        <v>68</v>
      </c>
      <c r="AG2041" t="str">
        <f>IF(AF2041="","",IF(AF2041&gt;90,"Sangat baik",IF(AF2041&gt;79,"Baik",IF(AF2041&gt;=pub_gid_0_single_true_output_csv[[#This Row],[KKM]],"Cukup","Kurang"))))</f>
        <v>Kurang</v>
      </c>
      <c r="AH2041">
        <f t="shared" si="94"/>
        <v>12</v>
      </c>
      <c r="AI2041" s="30" t="str">
        <f>IF(OR(J2041&lt;&gt;"Karakter",pub_gid_0_single_true_output_csv[[#This Row],[Nilai2]]=""),"",IF(AF2041&gt;89,"Sangat baik",IF(AF2041&gt;79,"Baik",IF(AF2041&gt;69,"Cukup",IF(AF2041&gt;59,"Kurang","Sangat kurang")))))</f>
        <v/>
      </c>
      <c r="AJ2041" t="str">
        <f t="shared" si="95"/>
        <v>Wk.4</v>
      </c>
      <c r="AK2041" t="str">
        <f>IF(pub_gid_0_single_true_output_csv[[#This Row],[Nilai2]]="","",VLOOKUP(pub_gid_0_single_true_output_csv[[#This Row],[NAMA]],Table7[],3,FALSE))</f>
        <v>Average</v>
      </c>
    </row>
    <row r="2042" spans="1:37" x14ac:dyDescent="0.2">
      <c r="A2042">
        <v>2041</v>
      </c>
      <c r="B2042" t="s">
        <v>314</v>
      </c>
      <c r="C2042" t="s">
        <v>65</v>
      </c>
      <c r="D2042" t="s">
        <v>58</v>
      </c>
      <c r="E2042" t="s">
        <v>140</v>
      </c>
      <c r="F2042" s="25">
        <v>46043</v>
      </c>
      <c r="G2042" t="s">
        <v>341</v>
      </c>
      <c r="H2042" t="s">
        <v>405</v>
      </c>
      <c r="I2042" t="s">
        <v>371</v>
      </c>
      <c r="J2042" t="s">
        <v>36</v>
      </c>
      <c r="K2042" t="s">
        <v>37</v>
      </c>
      <c r="L2042" t="s">
        <v>321</v>
      </c>
      <c r="M2042" t="s">
        <v>141</v>
      </c>
      <c r="N2042" t="s">
        <v>142</v>
      </c>
      <c r="O2042" t="s">
        <v>327</v>
      </c>
      <c r="P2042" t="s">
        <v>281</v>
      </c>
      <c r="Q2042" t="s">
        <v>328</v>
      </c>
      <c r="R2042" t="s">
        <v>329</v>
      </c>
      <c r="S2042" t="s">
        <v>330</v>
      </c>
      <c r="T2042">
        <v>1</v>
      </c>
      <c r="U2042" t="s">
        <v>445</v>
      </c>
      <c r="V2042" t="s">
        <v>285</v>
      </c>
      <c r="W2042" t="s">
        <v>446</v>
      </c>
      <c r="X2042" t="s">
        <v>331</v>
      </c>
      <c r="Y2042" t="s">
        <v>307</v>
      </c>
      <c r="Z2042">
        <v>70</v>
      </c>
      <c r="AA2042">
        <v>0</v>
      </c>
      <c r="AB2042" t="s">
        <v>151</v>
      </c>
      <c r="AC2042" t="s">
        <v>64</v>
      </c>
      <c r="AD2042" t="s">
        <v>50</v>
      </c>
      <c r="AE2042" t="str">
        <f>IF(AF2042="","",VLOOKUP(AC2042,mapel!$A$2:$B$42,2,FALSE))</f>
        <v/>
      </c>
      <c r="AF2042" t="str">
        <f t="shared" si="93"/>
        <v/>
      </c>
      <c r="AG2042" t="str">
        <f>IF(AF2042="","",IF(AF2042&gt;90,"Sangat baik",IF(AF2042&gt;79,"Baik",IF(AF2042&gt;=pub_gid_0_single_true_output_csv[[#This Row],[KKM]],"Cukup","Kurang"))))</f>
        <v/>
      </c>
      <c r="AH2042" t="str">
        <f t="shared" si="94"/>
        <v/>
      </c>
      <c r="AI2042" s="30" t="str">
        <f>IF(OR(J2042&lt;&gt;"Karakter",pub_gid_0_single_true_output_csv[[#This Row],[Nilai2]]=""),"",IF(AF2042&gt;89,"Sangat baik",IF(AF2042&gt;79,"Baik",IF(AF2042&gt;69,"Cukup",IF(AF2042&gt;59,"Kurang","Sangat kurang")))))</f>
        <v/>
      </c>
      <c r="AJ2042" t="str">
        <f t="shared" si="95"/>
        <v/>
      </c>
      <c r="AK2042" t="str">
        <f>IF(pub_gid_0_single_true_output_csv[[#This Row],[Nilai2]]="","",VLOOKUP(pub_gid_0_single_true_output_csv[[#This Row],[NAMA]],Table7[],3,FALSE))</f>
        <v/>
      </c>
    </row>
    <row r="2043" spans="1:37" x14ac:dyDescent="0.2">
      <c r="A2043">
        <v>2042</v>
      </c>
      <c r="B2043" t="s">
        <v>314</v>
      </c>
      <c r="C2043" t="s">
        <v>65</v>
      </c>
      <c r="D2043" t="s">
        <v>58</v>
      </c>
      <c r="E2043" t="s">
        <v>140</v>
      </c>
      <c r="F2043" s="25">
        <v>46041</v>
      </c>
      <c r="G2043" t="s">
        <v>370</v>
      </c>
      <c r="H2043" t="s">
        <v>405</v>
      </c>
      <c r="I2043" t="s">
        <v>371</v>
      </c>
      <c r="J2043" t="s">
        <v>36</v>
      </c>
      <c r="K2043" t="s">
        <v>37</v>
      </c>
      <c r="L2043" t="s">
        <v>321</v>
      </c>
      <c r="M2043" t="s">
        <v>141</v>
      </c>
      <c r="N2043" t="s">
        <v>142</v>
      </c>
      <c r="O2043" t="s">
        <v>327</v>
      </c>
      <c r="P2043" t="s">
        <v>281</v>
      </c>
      <c r="Q2043" t="s">
        <v>328</v>
      </c>
      <c r="R2043" t="s">
        <v>329</v>
      </c>
      <c r="S2043" t="s">
        <v>330</v>
      </c>
      <c r="T2043">
        <v>1</v>
      </c>
      <c r="U2043" t="s">
        <v>445</v>
      </c>
      <c r="V2043" t="s">
        <v>285</v>
      </c>
      <c r="W2043" t="s">
        <v>446</v>
      </c>
      <c r="X2043" t="s">
        <v>331</v>
      </c>
      <c r="Y2043" t="s">
        <v>307</v>
      </c>
      <c r="Z2043">
        <v>70</v>
      </c>
      <c r="AA2043">
        <v>46</v>
      </c>
      <c r="AB2043" t="s">
        <v>151</v>
      </c>
      <c r="AC2043" t="s">
        <v>64</v>
      </c>
      <c r="AD2043" t="s">
        <v>50</v>
      </c>
      <c r="AE2043" t="str">
        <f>IF(AF2043="","",VLOOKUP(AC2043,mapel!$A$2:$B$42,2,FALSE))</f>
        <v>Math</v>
      </c>
      <c r="AF2043">
        <f t="shared" si="93"/>
        <v>46</v>
      </c>
      <c r="AG2043" t="str">
        <f>IF(AF2043="","",IF(AF2043&gt;90,"Sangat baik",IF(AF2043&gt;79,"Baik",IF(AF2043&gt;=pub_gid_0_single_true_output_csv[[#This Row],[KKM]],"Cukup","Kurang"))))</f>
        <v>Kurang</v>
      </c>
      <c r="AH2043">
        <f t="shared" si="94"/>
        <v>12</v>
      </c>
      <c r="AI2043" s="30" t="str">
        <f>IF(OR(J2043&lt;&gt;"Karakter",pub_gid_0_single_true_output_csv[[#This Row],[Nilai2]]=""),"",IF(AF2043&gt;89,"Sangat baik",IF(AF2043&gt;79,"Baik",IF(AF2043&gt;69,"Cukup",IF(AF2043&gt;59,"Kurang","Sangat kurang")))))</f>
        <v/>
      </c>
      <c r="AJ2043" t="str">
        <f t="shared" si="95"/>
        <v>Wk.4</v>
      </c>
      <c r="AK2043" t="str">
        <f>IF(pub_gid_0_single_true_output_csv[[#This Row],[Nilai2]]="","",VLOOKUP(pub_gid_0_single_true_output_csv[[#This Row],[NAMA]],Table7[],3,FALSE))</f>
        <v>Average</v>
      </c>
    </row>
    <row r="2044" spans="1:37" x14ac:dyDescent="0.2">
      <c r="A2044">
        <v>2043</v>
      </c>
      <c r="B2044" t="s">
        <v>314</v>
      </c>
      <c r="C2044" t="s">
        <v>65</v>
      </c>
      <c r="D2044" t="s">
        <v>58</v>
      </c>
      <c r="E2044" t="s">
        <v>140</v>
      </c>
      <c r="F2044" s="25">
        <v>46063</v>
      </c>
      <c r="G2044" t="s">
        <v>374</v>
      </c>
      <c r="H2044" t="s">
        <v>412</v>
      </c>
      <c r="I2044" t="s">
        <v>371</v>
      </c>
      <c r="J2044" t="s">
        <v>36</v>
      </c>
      <c r="K2044" t="s">
        <v>37</v>
      </c>
      <c r="L2044" t="s">
        <v>321</v>
      </c>
      <c r="M2044" t="s">
        <v>141</v>
      </c>
      <c r="N2044" t="s">
        <v>142</v>
      </c>
      <c r="O2044" t="s">
        <v>327</v>
      </c>
      <c r="P2044" t="s">
        <v>281</v>
      </c>
      <c r="Q2044" t="s">
        <v>328</v>
      </c>
      <c r="R2044" t="s">
        <v>329</v>
      </c>
      <c r="S2044" t="s">
        <v>392</v>
      </c>
      <c r="T2044">
        <v>1</v>
      </c>
      <c r="U2044" t="s">
        <v>445</v>
      </c>
      <c r="V2044" t="s">
        <v>343</v>
      </c>
      <c r="W2044" t="s">
        <v>447</v>
      </c>
      <c r="X2044" t="s">
        <v>331</v>
      </c>
      <c r="Y2044" t="s">
        <v>307</v>
      </c>
      <c r="Z2044">
        <v>70</v>
      </c>
      <c r="AA2044">
        <v>0</v>
      </c>
      <c r="AB2044" t="s">
        <v>151</v>
      </c>
      <c r="AC2044" t="s">
        <v>64</v>
      </c>
      <c r="AD2044" t="s">
        <v>50</v>
      </c>
      <c r="AE2044" t="str">
        <f>IF(AF2044="","",VLOOKUP(AC2044,mapel!$A$2:$B$42,2,FALSE))</f>
        <v/>
      </c>
      <c r="AF2044" t="str">
        <f t="shared" si="93"/>
        <v/>
      </c>
      <c r="AG2044" t="str">
        <f>IF(AF2044="","",IF(AF2044&gt;90,"Sangat baik",IF(AF2044&gt;79,"Baik",IF(AF2044&gt;=pub_gid_0_single_true_output_csv[[#This Row],[KKM]],"Cukup","Kurang"))))</f>
        <v/>
      </c>
      <c r="AH2044" t="str">
        <f t="shared" si="94"/>
        <v/>
      </c>
      <c r="AI2044" s="30" t="str">
        <f>IF(OR(J2044&lt;&gt;"Karakter",pub_gid_0_single_true_output_csv[[#This Row],[Nilai2]]=""),"",IF(AF2044&gt;89,"Sangat baik",IF(AF2044&gt;79,"Baik",IF(AF2044&gt;69,"Cukup",IF(AF2044&gt;59,"Kurang","Sangat kurang")))))</f>
        <v/>
      </c>
      <c r="AJ2044" t="str">
        <f t="shared" si="95"/>
        <v/>
      </c>
      <c r="AK2044" t="str">
        <f>IF(pub_gid_0_single_true_output_csv[[#This Row],[Nilai2]]="","",VLOOKUP(pub_gid_0_single_true_output_csv[[#This Row],[NAMA]],Table7[],3,FALSE))</f>
        <v/>
      </c>
    </row>
    <row r="2045" spans="1:37" x14ac:dyDescent="0.2">
      <c r="A2045">
        <v>2044</v>
      </c>
      <c r="B2045" t="s">
        <v>314</v>
      </c>
      <c r="C2045" t="s">
        <v>65</v>
      </c>
      <c r="D2045" t="s">
        <v>58</v>
      </c>
      <c r="E2045" t="s">
        <v>140</v>
      </c>
      <c r="F2045" s="25">
        <v>46064</v>
      </c>
      <c r="G2045" t="s">
        <v>352</v>
      </c>
      <c r="H2045" t="s">
        <v>412</v>
      </c>
      <c r="I2045" t="s">
        <v>371</v>
      </c>
      <c r="J2045" t="s">
        <v>36</v>
      </c>
      <c r="K2045" t="s">
        <v>37</v>
      </c>
      <c r="L2045" t="s">
        <v>321</v>
      </c>
      <c r="M2045" t="s">
        <v>141</v>
      </c>
      <c r="N2045" t="s">
        <v>142</v>
      </c>
      <c r="O2045" t="s">
        <v>327</v>
      </c>
      <c r="P2045" t="s">
        <v>281</v>
      </c>
      <c r="Q2045" t="s">
        <v>328</v>
      </c>
      <c r="R2045" t="s">
        <v>329</v>
      </c>
      <c r="S2045" t="s">
        <v>392</v>
      </c>
      <c r="T2045">
        <v>1</v>
      </c>
      <c r="U2045" t="s">
        <v>445</v>
      </c>
      <c r="V2045" t="s">
        <v>343</v>
      </c>
      <c r="W2045" t="s">
        <v>447</v>
      </c>
      <c r="X2045" t="s">
        <v>331</v>
      </c>
      <c r="Y2045" t="s">
        <v>307</v>
      </c>
      <c r="Z2045">
        <v>70</v>
      </c>
      <c r="AA2045">
        <v>0</v>
      </c>
      <c r="AB2045" t="s">
        <v>151</v>
      </c>
      <c r="AC2045" t="s">
        <v>64</v>
      </c>
      <c r="AD2045" t="s">
        <v>50</v>
      </c>
      <c r="AE2045" t="str">
        <f>IF(AF2045="","",VLOOKUP(AC2045,mapel!$A$2:$B$42,2,FALSE))</f>
        <v/>
      </c>
      <c r="AF2045" t="str">
        <f t="shared" si="93"/>
        <v/>
      </c>
      <c r="AG2045" t="str">
        <f>IF(AF2045="","",IF(AF2045&gt;90,"Sangat baik",IF(AF2045&gt;79,"Baik",IF(AF2045&gt;=pub_gid_0_single_true_output_csv[[#This Row],[KKM]],"Cukup","Kurang"))))</f>
        <v/>
      </c>
      <c r="AH2045" t="str">
        <f t="shared" si="94"/>
        <v/>
      </c>
      <c r="AI2045" s="30" t="str">
        <f>IF(OR(J2045&lt;&gt;"Karakter",pub_gid_0_single_true_output_csv[[#This Row],[Nilai2]]=""),"",IF(AF2045&gt;89,"Sangat baik",IF(AF2045&gt;79,"Baik",IF(AF2045&gt;69,"Cukup",IF(AF2045&gt;59,"Kurang","Sangat kurang")))))</f>
        <v/>
      </c>
      <c r="AJ2045" t="str">
        <f t="shared" si="95"/>
        <v/>
      </c>
      <c r="AK2045" t="str">
        <f>IF(pub_gid_0_single_true_output_csv[[#This Row],[Nilai2]]="","",VLOOKUP(pub_gid_0_single_true_output_csv[[#This Row],[NAMA]],Table7[],3,FALSE))</f>
        <v/>
      </c>
    </row>
    <row r="2046" spans="1:37" x14ac:dyDescent="0.2">
      <c r="A2046">
        <v>2045</v>
      </c>
      <c r="B2046" t="s">
        <v>314</v>
      </c>
      <c r="C2046" t="s">
        <v>65</v>
      </c>
      <c r="D2046" t="s">
        <v>58</v>
      </c>
      <c r="E2046" t="s">
        <v>140</v>
      </c>
      <c r="F2046" s="25">
        <v>46056</v>
      </c>
      <c r="G2046" t="s">
        <v>372</v>
      </c>
      <c r="H2046" t="s">
        <v>412</v>
      </c>
      <c r="I2046" t="s">
        <v>371</v>
      </c>
      <c r="J2046" t="s">
        <v>36</v>
      </c>
      <c r="K2046" t="s">
        <v>37</v>
      </c>
      <c r="L2046" t="s">
        <v>321</v>
      </c>
      <c r="M2046" t="s">
        <v>141</v>
      </c>
      <c r="N2046" t="s">
        <v>142</v>
      </c>
      <c r="O2046" t="s">
        <v>327</v>
      </c>
      <c r="P2046" t="s">
        <v>281</v>
      </c>
      <c r="Q2046" t="s">
        <v>328</v>
      </c>
      <c r="R2046" t="s">
        <v>329</v>
      </c>
      <c r="S2046" t="s">
        <v>375</v>
      </c>
      <c r="T2046">
        <v>1</v>
      </c>
      <c r="U2046" t="s">
        <v>445</v>
      </c>
      <c r="V2046" t="s">
        <v>342</v>
      </c>
      <c r="W2046" t="s">
        <v>448</v>
      </c>
      <c r="X2046" t="s">
        <v>331</v>
      </c>
      <c r="Y2046" t="s">
        <v>307</v>
      </c>
      <c r="Z2046">
        <v>70</v>
      </c>
      <c r="AA2046">
        <v>81</v>
      </c>
      <c r="AB2046" t="s">
        <v>143</v>
      </c>
      <c r="AC2046" t="s">
        <v>64</v>
      </c>
      <c r="AD2046" t="s">
        <v>50</v>
      </c>
      <c r="AE2046" t="str">
        <f>IF(AF2046="","",VLOOKUP(AC2046,mapel!$A$2:$B$42,2,FALSE))</f>
        <v>Math</v>
      </c>
      <c r="AF2046">
        <f t="shared" si="93"/>
        <v>81</v>
      </c>
      <c r="AG2046" t="str">
        <f>IF(AF2046="","",IF(AF2046&gt;90,"Sangat baik",IF(AF2046&gt;79,"Baik",IF(AF2046&gt;=pub_gid_0_single_true_output_csv[[#This Row],[KKM]],"Cukup","Kurang"))))</f>
        <v>Baik</v>
      </c>
      <c r="AH2046">
        <f t="shared" si="94"/>
        <v>12</v>
      </c>
      <c r="AI2046" s="30" t="str">
        <f>IF(OR(J2046&lt;&gt;"Karakter",pub_gid_0_single_true_output_csv[[#This Row],[Nilai2]]=""),"",IF(AF2046&gt;89,"Sangat baik",IF(AF2046&gt;79,"Baik",IF(AF2046&gt;69,"Cukup",IF(AF2046&gt;59,"Kurang","Sangat kurang")))))</f>
        <v/>
      </c>
      <c r="AJ2046" t="str">
        <f t="shared" si="95"/>
        <v>Wk.6</v>
      </c>
      <c r="AK2046" t="str">
        <f>IF(pub_gid_0_single_true_output_csv[[#This Row],[Nilai2]]="","",VLOOKUP(pub_gid_0_single_true_output_csv[[#This Row],[NAMA]],Table7[],3,FALSE))</f>
        <v>Average</v>
      </c>
    </row>
    <row r="2047" spans="1:37" x14ac:dyDescent="0.2">
      <c r="A2047">
        <v>2046</v>
      </c>
      <c r="B2047" t="s">
        <v>314</v>
      </c>
      <c r="C2047" t="s">
        <v>65</v>
      </c>
      <c r="D2047" t="s">
        <v>58</v>
      </c>
      <c r="E2047" t="s">
        <v>140</v>
      </c>
      <c r="F2047" s="25">
        <v>46064</v>
      </c>
      <c r="G2047" t="s">
        <v>352</v>
      </c>
      <c r="H2047" t="s">
        <v>412</v>
      </c>
      <c r="I2047" t="s">
        <v>371</v>
      </c>
      <c r="J2047" t="s">
        <v>36</v>
      </c>
      <c r="K2047" t="s">
        <v>37</v>
      </c>
      <c r="L2047" t="s">
        <v>150</v>
      </c>
      <c r="M2047" t="s">
        <v>141</v>
      </c>
      <c r="N2047" t="s">
        <v>142</v>
      </c>
      <c r="O2047" t="s">
        <v>327</v>
      </c>
      <c r="P2047" t="s">
        <v>281</v>
      </c>
      <c r="Q2047" t="s">
        <v>328</v>
      </c>
      <c r="R2047" t="s">
        <v>329</v>
      </c>
      <c r="S2047" t="s">
        <v>392</v>
      </c>
      <c r="T2047">
        <v>1</v>
      </c>
      <c r="U2047" t="s">
        <v>445</v>
      </c>
      <c r="V2047" t="s">
        <v>343</v>
      </c>
      <c r="W2047" t="s">
        <v>447</v>
      </c>
      <c r="X2047" t="s">
        <v>331</v>
      </c>
      <c r="Y2047" t="s">
        <v>307</v>
      </c>
      <c r="Z2047">
        <v>70</v>
      </c>
      <c r="AA2047">
        <v>0</v>
      </c>
      <c r="AB2047" t="s">
        <v>151</v>
      </c>
      <c r="AC2047" t="s">
        <v>64</v>
      </c>
      <c r="AD2047" t="s">
        <v>50</v>
      </c>
      <c r="AE2047" t="str">
        <f>IF(AF2047="","",VLOOKUP(AC2047,mapel!$A$2:$B$42,2,FALSE))</f>
        <v/>
      </c>
      <c r="AF2047" t="str">
        <f t="shared" si="93"/>
        <v/>
      </c>
      <c r="AG2047" t="str">
        <f>IF(AF2047="","",IF(AF2047&gt;90,"Sangat baik",IF(AF2047&gt;79,"Baik",IF(AF2047&gt;=pub_gid_0_single_true_output_csv[[#This Row],[KKM]],"Cukup","Kurang"))))</f>
        <v/>
      </c>
      <c r="AH2047" t="str">
        <f t="shared" si="94"/>
        <v/>
      </c>
      <c r="AI2047" s="30" t="str">
        <f>IF(OR(J2047&lt;&gt;"Karakter",pub_gid_0_single_true_output_csv[[#This Row],[Nilai2]]=""),"",IF(AF2047&gt;89,"Sangat baik",IF(AF2047&gt;79,"Baik",IF(AF2047&gt;69,"Cukup",IF(AF2047&gt;59,"Kurang","Sangat kurang")))))</f>
        <v/>
      </c>
      <c r="AJ2047" t="str">
        <f t="shared" si="95"/>
        <v/>
      </c>
      <c r="AK2047" t="str">
        <f>IF(pub_gid_0_single_true_output_csv[[#This Row],[Nilai2]]="","",VLOOKUP(pub_gid_0_single_true_output_csv[[#This Row],[NAMA]],Table7[],3,FALSE))</f>
        <v/>
      </c>
    </row>
    <row r="2048" spans="1:37" x14ac:dyDescent="0.2">
      <c r="A2048">
        <v>2047</v>
      </c>
      <c r="B2048" t="s">
        <v>314</v>
      </c>
      <c r="C2048" t="s">
        <v>65</v>
      </c>
      <c r="D2048" t="s">
        <v>58</v>
      </c>
      <c r="E2048" t="s">
        <v>140</v>
      </c>
      <c r="F2048" s="25">
        <v>46078</v>
      </c>
      <c r="G2048" t="s">
        <v>284</v>
      </c>
      <c r="H2048" t="s">
        <v>412</v>
      </c>
      <c r="I2048" t="s">
        <v>371</v>
      </c>
      <c r="J2048" t="s">
        <v>36</v>
      </c>
      <c r="K2048" t="s">
        <v>37</v>
      </c>
      <c r="L2048" t="s">
        <v>150</v>
      </c>
      <c r="M2048" t="s">
        <v>141</v>
      </c>
      <c r="N2048" t="s">
        <v>142</v>
      </c>
      <c r="O2048" t="s">
        <v>327</v>
      </c>
      <c r="P2048" t="s">
        <v>281</v>
      </c>
      <c r="Q2048" t="s">
        <v>328</v>
      </c>
      <c r="R2048" t="s">
        <v>329</v>
      </c>
      <c r="S2048" t="s">
        <v>392</v>
      </c>
      <c r="T2048">
        <v>1</v>
      </c>
      <c r="U2048" t="s">
        <v>445</v>
      </c>
      <c r="V2048" t="s">
        <v>343</v>
      </c>
      <c r="W2048" t="s">
        <v>447</v>
      </c>
      <c r="X2048" t="s">
        <v>331</v>
      </c>
      <c r="Y2048" t="s">
        <v>307</v>
      </c>
      <c r="Z2048">
        <v>70</v>
      </c>
      <c r="AA2048">
        <v>66</v>
      </c>
      <c r="AB2048" t="s">
        <v>151</v>
      </c>
      <c r="AC2048" t="s">
        <v>64</v>
      </c>
      <c r="AD2048" t="s">
        <v>50</v>
      </c>
      <c r="AE2048" t="str">
        <f>IF(AF2048="","",VLOOKUP(AC2048,mapel!$A$2:$B$42,2,FALSE))</f>
        <v>Math</v>
      </c>
      <c r="AF2048">
        <f t="shared" si="93"/>
        <v>66</v>
      </c>
      <c r="AG2048" t="str">
        <f>IF(AF2048="","",IF(AF2048&gt;90,"Sangat baik",IF(AF2048&gt;79,"Baik",IF(AF2048&gt;=pub_gid_0_single_true_output_csv[[#This Row],[KKM]],"Cukup","Kurang"))))</f>
        <v>Kurang</v>
      </c>
      <c r="AH2048">
        <f t="shared" si="94"/>
        <v>12</v>
      </c>
      <c r="AI2048" s="30" t="str">
        <f>IF(OR(J2048&lt;&gt;"Karakter",pub_gid_0_single_true_output_csv[[#This Row],[Nilai2]]=""),"",IF(AF2048&gt;89,"Sangat baik",IF(AF2048&gt;79,"Baik",IF(AF2048&gt;69,"Cukup",IF(AF2048&gt;59,"Kurang","Sangat kurang")))))</f>
        <v/>
      </c>
      <c r="AJ2048" t="str">
        <f t="shared" si="95"/>
        <v>Wk.9</v>
      </c>
      <c r="AK2048" t="str">
        <f>IF(pub_gid_0_single_true_output_csv[[#This Row],[Nilai2]]="","",VLOOKUP(pub_gid_0_single_true_output_csv[[#This Row],[NAMA]],Table7[],3,FALSE))</f>
        <v>Average</v>
      </c>
    </row>
    <row r="2049" spans="1:37" x14ac:dyDescent="0.2">
      <c r="A2049">
        <v>2048</v>
      </c>
      <c r="B2049" t="s">
        <v>332</v>
      </c>
      <c r="C2049" t="s">
        <v>65</v>
      </c>
      <c r="D2049" t="s">
        <v>59</v>
      </c>
      <c r="E2049" t="s">
        <v>333</v>
      </c>
      <c r="F2049" s="25">
        <v>46036</v>
      </c>
      <c r="G2049" t="s">
        <v>353</v>
      </c>
      <c r="H2049" t="s">
        <v>405</v>
      </c>
      <c r="I2049" t="s">
        <v>371</v>
      </c>
      <c r="J2049" t="s">
        <v>36</v>
      </c>
      <c r="K2049" t="s">
        <v>37</v>
      </c>
      <c r="L2049" t="s">
        <v>321</v>
      </c>
      <c r="M2049" t="s">
        <v>141</v>
      </c>
      <c r="N2049" t="s">
        <v>142</v>
      </c>
      <c r="O2049" t="s">
        <v>327</v>
      </c>
      <c r="P2049" t="s">
        <v>281</v>
      </c>
      <c r="Q2049" t="s">
        <v>328</v>
      </c>
      <c r="R2049" t="s">
        <v>329</v>
      </c>
      <c r="S2049" t="s">
        <v>330</v>
      </c>
      <c r="T2049">
        <v>1</v>
      </c>
      <c r="U2049" t="s">
        <v>445</v>
      </c>
      <c r="V2049" t="s">
        <v>285</v>
      </c>
      <c r="W2049" t="s">
        <v>446</v>
      </c>
      <c r="X2049" t="s">
        <v>331</v>
      </c>
      <c r="Y2049" t="s">
        <v>307</v>
      </c>
      <c r="Z2049">
        <v>70</v>
      </c>
      <c r="AA2049">
        <v>58</v>
      </c>
      <c r="AB2049" t="s">
        <v>151</v>
      </c>
      <c r="AC2049" t="s">
        <v>64</v>
      </c>
      <c r="AD2049" t="s">
        <v>50</v>
      </c>
      <c r="AE2049" t="str">
        <f>IF(AF2049="","",VLOOKUP(AC2049,mapel!$A$2:$B$42,2,FALSE))</f>
        <v>Math</v>
      </c>
      <c r="AF2049">
        <f t="shared" si="93"/>
        <v>58</v>
      </c>
      <c r="AG2049" t="str">
        <f>IF(AF2049="","",IF(AF2049&gt;90,"Sangat baik",IF(AF2049&gt;79,"Baik",IF(AF2049&gt;=pub_gid_0_single_true_output_csv[[#This Row],[KKM]],"Cukup","Kurang"))))</f>
        <v>Kurang</v>
      </c>
      <c r="AH2049">
        <f t="shared" si="94"/>
        <v>12</v>
      </c>
      <c r="AI2049" s="30" t="str">
        <f>IF(OR(J2049&lt;&gt;"Karakter",pub_gid_0_single_true_output_csv[[#This Row],[Nilai2]]=""),"",IF(AF2049&gt;89,"Sangat baik",IF(AF2049&gt;79,"Baik",IF(AF2049&gt;69,"Cukup",IF(AF2049&gt;59,"Kurang","Sangat kurang")))))</f>
        <v/>
      </c>
      <c r="AJ2049" t="str">
        <f t="shared" si="95"/>
        <v>Wk.3</v>
      </c>
      <c r="AK2049" t="str">
        <f>IF(pub_gid_0_single_true_output_csv[[#This Row],[Nilai2]]="","",VLOOKUP(pub_gid_0_single_true_output_csv[[#This Row],[NAMA]],Table7[],3,FALSE))</f>
        <v>Superior</v>
      </c>
    </row>
    <row r="2050" spans="1:37" x14ac:dyDescent="0.2">
      <c r="A2050">
        <v>2049</v>
      </c>
      <c r="B2050" t="s">
        <v>332</v>
      </c>
      <c r="C2050" t="s">
        <v>65</v>
      </c>
      <c r="D2050" t="s">
        <v>59</v>
      </c>
      <c r="E2050" t="s">
        <v>333</v>
      </c>
      <c r="F2050" s="25">
        <v>46041</v>
      </c>
      <c r="G2050" t="s">
        <v>370</v>
      </c>
      <c r="H2050" t="s">
        <v>405</v>
      </c>
      <c r="I2050" t="s">
        <v>371</v>
      </c>
      <c r="J2050" t="s">
        <v>36</v>
      </c>
      <c r="K2050" t="s">
        <v>37</v>
      </c>
      <c r="L2050" t="s">
        <v>321</v>
      </c>
      <c r="M2050" t="s">
        <v>141</v>
      </c>
      <c r="N2050" t="s">
        <v>142</v>
      </c>
      <c r="O2050" t="s">
        <v>327</v>
      </c>
      <c r="P2050" t="s">
        <v>281</v>
      </c>
      <c r="Q2050" t="s">
        <v>328</v>
      </c>
      <c r="R2050" t="s">
        <v>329</v>
      </c>
      <c r="S2050" t="s">
        <v>330</v>
      </c>
      <c r="T2050">
        <v>1</v>
      </c>
      <c r="U2050" t="s">
        <v>445</v>
      </c>
      <c r="V2050" t="s">
        <v>285</v>
      </c>
      <c r="W2050" t="s">
        <v>446</v>
      </c>
      <c r="X2050" t="s">
        <v>331</v>
      </c>
      <c r="Y2050" t="s">
        <v>307</v>
      </c>
      <c r="Z2050">
        <v>70</v>
      </c>
      <c r="AA2050">
        <v>100</v>
      </c>
      <c r="AB2050" t="s">
        <v>143</v>
      </c>
      <c r="AC2050" t="s">
        <v>64</v>
      </c>
      <c r="AD2050" t="s">
        <v>50</v>
      </c>
      <c r="AE2050" t="str">
        <f>IF(AF2050="","",VLOOKUP(AC2050,mapel!$A$2:$B$42,2,FALSE))</f>
        <v>Math</v>
      </c>
      <c r="AF2050">
        <f t="shared" ref="AF2050:AF2113" si="96">IF(AA2050=0, "",IF(AA2050 = 0.1, 0,AA2050))</f>
        <v>100</v>
      </c>
      <c r="AG2050" t="str">
        <f>IF(AF2050="","",IF(AF2050&gt;90,"Sangat baik",IF(AF2050&gt;79,"Baik",IF(AF2050&gt;=pub_gid_0_single_true_output_csv[[#This Row],[KKM]],"Cukup","Kurang"))))</f>
        <v>Sangat baik</v>
      </c>
      <c r="AH2050">
        <f t="shared" ref="AH2050:AH2113" si="97">IF(AG2050="","",VALUE(RIGHT(X2050,2)))</f>
        <v>12</v>
      </c>
      <c r="AI2050" s="30" t="str">
        <f>IF(OR(J2050&lt;&gt;"Karakter",pub_gid_0_single_true_output_csv[[#This Row],[Nilai2]]=""),"",IF(AF2050&gt;89,"Sangat baik",IF(AF2050&gt;79,"Baik",IF(AF2050&gt;69,"Cukup",IF(AF2050&gt;59,"Kurang","Sangat kurang")))))</f>
        <v/>
      </c>
      <c r="AJ2050" t="str">
        <f t="shared" ref="AJ2050:AJ2113" si="98">IF(AF2050="","",CONCATENATE("Wk.",WEEKNUM(F2050,2)))</f>
        <v>Wk.4</v>
      </c>
      <c r="AK2050" t="str">
        <f>IF(pub_gid_0_single_true_output_csv[[#This Row],[Nilai2]]="","",VLOOKUP(pub_gid_0_single_true_output_csv[[#This Row],[NAMA]],Table7[],3,FALSE))</f>
        <v>Superior</v>
      </c>
    </row>
    <row r="2051" spans="1:37" x14ac:dyDescent="0.2">
      <c r="A2051">
        <v>2050</v>
      </c>
      <c r="B2051" t="s">
        <v>332</v>
      </c>
      <c r="C2051" t="s">
        <v>65</v>
      </c>
      <c r="D2051" t="s">
        <v>59</v>
      </c>
      <c r="E2051" t="s">
        <v>333</v>
      </c>
      <c r="F2051" s="25">
        <v>46041</v>
      </c>
      <c r="G2051" t="s">
        <v>370</v>
      </c>
      <c r="H2051" t="s">
        <v>405</v>
      </c>
      <c r="I2051" t="s">
        <v>371</v>
      </c>
      <c r="J2051" t="s">
        <v>36</v>
      </c>
      <c r="K2051" t="s">
        <v>37</v>
      </c>
      <c r="L2051" t="s">
        <v>321</v>
      </c>
      <c r="M2051" t="s">
        <v>141</v>
      </c>
      <c r="N2051" t="s">
        <v>142</v>
      </c>
      <c r="O2051" t="s">
        <v>327</v>
      </c>
      <c r="P2051" t="s">
        <v>281</v>
      </c>
      <c r="Q2051" t="s">
        <v>328</v>
      </c>
      <c r="R2051" t="s">
        <v>329</v>
      </c>
      <c r="S2051" t="s">
        <v>330</v>
      </c>
      <c r="T2051">
        <v>1</v>
      </c>
      <c r="U2051" t="s">
        <v>445</v>
      </c>
      <c r="V2051" t="s">
        <v>285</v>
      </c>
      <c r="W2051" t="s">
        <v>446</v>
      </c>
      <c r="X2051" t="s">
        <v>331</v>
      </c>
      <c r="Y2051" t="s">
        <v>307</v>
      </c>
      <c r="Z2051">
        <v>70</v>
      </c>
      <c r="AA2051">
        <v>93</v>
      </c>
      <c r="AB2051" t="s">
        <v>143</v>
      </c>
      <c r="AC2051" t="s">
        <v>64</v>
      </c>
      <c r="AD2051" t="s">
        <v>50</v>
      </c>
      <c r="AE2051" t="str">
        <f>IF(AF2051="","",VLOOKUP(AC2051,mapel!$A$2:$B$42,2,FALSE))</f>
        <v>Math</v>
      </c>
      <c r="AF2051">
        <f t="shared" si="96"/>
        <v>93</v>
      </c>
      <c r="AG2051" t="str">
        <f>IF(AF2051="","",IF(AF2051&gt;90,"Sangat baik",IF(AF2051&gt;79,"Baik",IF(AF2051&gt;=pub_gid_0_single_true_output_csv[[#This Row],[KKM]],"Cukup","Kurang"))))</f>
        <v>Sangat baik</v>
      </c>
      <c r="AH2051">
        <f t="shared" si="97"/>
        <v>12</v>
      </c>
      <c r="AI2051" s="30" t="str">
        <f>IF(OR(J2051&lt;&gt;"Karakter",pub_gid_0_single_true_output_csv[[#This Row],[Nilai2]]=""),"",IF(AF2051&gt;89,"Sangat baik",IF(AF2051&gt;79,"Baik",IF(AF2051&gt;69,"Cukup",IF(AF2051&gt;59,"Kurang","Sangat kurang")))))</f>
        <v/>
      </c>
      <c r="AJ2051" t="str">
        <f t="shared" si="98"/>
        <v>Wk.4</v>
      </c>
      <c r="AK2051" t="str">
        <f>IF(pub_gid_0_single_true_output_csv[[#This Row],[Nilai2]]="","",VLOOKUP(pub_gid_0_single_true_output_csv[[#This Row],[NAMA]],Table7[],3,FALSE))</f>
        <v>Superior</v>
      </c>
    </row>
    <row r="2052" spans="1:37" x14ac:dyDescent="0.2">
      <c r="A2052">
        <v>2051</v>
      </c>
      <c r="B2052" t="s">
        <v>332</v>
      </c>
      <c r="C2052" t="s">
        <v>65</v>
      </c>
      <c r="D2052" t="s">
        <v>59</v>
      </c>
      <c r="E2052" t="s">
        <v>333</v>
      </c>
      <c r="F2052" s="25">
        <v>46043</v>
      </c>
      <c r="G2052" t="s">
        <v>341</v>
      </c>
      <c r="H2052" t="s">
        <v>405</v>
      </c>
      <c r="I2052" t="s">
        <v>371</v>
      </c>
      <c r="J2052" t="s">
        <v>36</v>
      </c>
      <c r="K2052" t="s">
        <v>37</v>
      </c>
      <c r="L2052" t="s">
        <v>321</v>
      </c>
      <c r="M2052" t="s">
        <v>141</v>
      </c>
      <c r="N2052" t="s">
        <v>142</v>
      </c>
      <c r="O2052" t="s">
        <v>327</v>
      </c>
      <c r="P2052" t="s">
        <v>281</v>
      </c>
      <c r="Q2052" t="s">
        <v>328</v>
      </c>
      <c r="R2052" t="s">
        <v>329</v>
      </c>
      <c r="S2052" t="s">
        <v>330</v>
      </c>
      <c r="T2052">
        <v>1</v>
      </c>
      <c r="U2052" t="s">
        <v>445</v>
      </c>
      <c r="V2052" t="s">
        <v>285</v>
      </c>
      <c r="W2052" t="s">
        <v>446</v>
      </c>
      <c r="X2052" t="s">
        <v>331</v>
      </c>
      <c r="Y2052" t="s">
        <v>307</v>
      </c>
      <c r="Z2052">
        <v>70</v>
      </c>
      <c r="AA2052">
        <v>43</v>
      </c>
      <c r="AB2052" t="s">
        <v>151</v>
      </c>
      <c r="AC2052" t="s">
        <v>64</v>
      </c>
      <c r="AD2052" t="s">
        <v>50</v>
      </c>
      <c r="AE2052" t="str">
        <f>IF(AF2052="","",VLOOKUP(AC2052,mapel!$A$2:$B$42,2,FALSE))</f>
        <v>Math</v>
      </c>
      <c r="AF2052">
        <f t="shared" si="96"/>
        <v>43</v>
      </c>
      <c r="AG2052" t="str">
        <f>IF(AF2052="","",IF(AF2052&gt;90,"Sangat baik",IF(AF2052&gt;79,"Baik",IF(AF2052&gt;=pub_gid_0_single_true_output_csv[[#This Row],[KKM]],"Cukup","Kurang"))))</f>
        <v>Kurang</v>
      </c>
      <c r="AH2052">
        <f t="shared" si="97"/>
        <v>12</v>
      </c>
      <c r="AI2052" s="30" t="str">
        <f>IF(OR(J2052&lt;&gt;"Karakter",pub_gid_0_single_true_output_csv[[#This Row],[Nilai2]]=""),"",IF(AF2052&gt;89,"Sangat baik",IF(AF2052&gt;79,"Baik",IF(AF2052&gt;69,"Cukup",IF(AF2052&gt;59,"Kurang","Sangat kurang")))))</f>
        <v/>
      </c>
      <c r="AJ2052" t="str">
        <f t="shared" si="98"/>
        <v>Wk.4</v>
      </c>
      <c r="AK2052" t="str">
        <f>IF(pub_gid_0_single_true_output_csv[[#This Row],[Nilai2]]="","",VLOOKUP(pub_gid_0_single_true_output_csv[[#This Row],[NAMA]],Table7[],3,FALSE))</f>
        <v>Superior</v>
      </c>
    </row>
    <row r="2053" spans="1:37" x14ac:dyDescent="0.2">
      <c r="A2053">
        <v>2052</v>
      </c>
      <c r="B2053" t="s">
        <v>332</v>
      </c>
      <c r="C2053" t="s">
        <v>65</v>
      </c>
      <c r="D2053" t="s">
        <v>59</v>
      </c>
      <c r="E2053" t="s">
        <v>333</v>
      </c>
      <c r="F2053" s="25">
        <v>46041</v>
      </c>
      <c r="G2053" t="s">
        <v>370</v>
      </c>
      <c r="H2053" t="s">
        <v>405</v>
      </c>
      <c r="I2053" t="s">
        <v>371</v>
      </c>
      <c r="J2053" t="s">
        <v>36</v>
      </c>
      <c r="K2053" t="s">
        <v>37</v>
      </c>
      <c r="L2053" t="s">
        <v>321</v>
      </c>
      <c r="M2053" t="s">
        <v>141</v>
      </c>
      <c r="N2053" t="s">
        <v>142</v>
      </c>
      <c r="O2053" t="s">
        <v>327</v>
      </c>
      <c r="P2053" t="s">
        <v>281</v>
      </c>
      <c r="Q2053" t="s">
        <v>328</v>
      </c>
      <c r="R2053" t="s">
        <v>329</v>
      </c>
      <c r="S2053" t="s">
        <v>330</v>
      </c>
      <c r="T2053">
        <v>1</v>
      </c>
      <c r="U2053" t="s">
        <v>445</v>
      </c>
      <c r="V2053" t="s">
        <v>285</v>
      </c>
      <c r="W2053" t="s">
        <v>446</v>
      </c>
      <c r="X2053" t="s">
        <v>331</v>
      </c>
      <c r="Y2053" t="s">
        <v>307</v>
      </c>
      <c r="Z2053">
        <v>70</v>
      </c>
      <c r="AA2053">
        <v>99</v>
      </c>
      <c r="AB2053" t="s">
        <v>143</v>
      </c>
      <c r="AC2053" t="s">
        <v>64</v>
      </c>
      <c r="AD2053" t="s">
        <v>50</v>
      </c>
      <c r="AE2053" t="str">
        <f>IF(AF2053="","",VLOOKUP(AC2053,mapel!$A$2:$B$42,2,FALSE))</f>
        <v>Math</v>
      </c>
      <c r="AF2053">
        <f t="shared" si="96"/>
        <v>99</v>
      </c>
      <c r="AG2053" t="str">
        <f>IF(AF2053="","",IF(AF2053&gt;90,"Sangat baik",IF(AF2053&gt;79,"Baik",IF(AF2053&gt;=pub_gid_0_single_true_output_csv[[#This Row],[KKM]],"Cukup","Kurang"))))</f>
        <v>Sangat baik</v>
      </c>
      <c r="AH2053">
        <f t="shared" si="97"/>
        <v>12</v>
      </c>
      <c r="AI2053" s="30" t="str">
        <f>IF(OR(J2053&lt;&gt;"Karakter",pub_gid_0_single_true_output_csv[[#This Row],[Nilai2]]=""),"",IF(AF2053&gt;89,"Sangat baik",IF(AF2053&gt;79,"Baik",IF(AF2053&gt;69,"Cukup",IF(AF2053&gt;59,"Kurang","Sangat kurang")))))</f>
        <v/>
      </c>
      <c r="AJ2053" t="str">
        <f t="shared" si="98"/>
        <v>Wk.4</v>
      </c>
      <c r="AK2053" t="str">
        <f>IF(pub_gid_0_single_true_output_csv[[#This Row],[Nilai2]]="","",VLOOKUP(pub_gid_0_single_true_output_csv[[#This Row],[NAMA]],Table7[],3,FALSE))</f>
        <v>Superior</v>
      </c>
    </row>
    <row r="2054" spans="1:37" x14ac:dyDescent="0.2">
      <c r="A2054">
        <v>2053</v>
      </c>
      <c r="B2054" t="s">
        <v>332</v>
      </c>
      <c r="C2054" t="s">
        <v>65</v>
      </c>
      <c r="D2054" t="s">
        <v>59</v>
      </c>
      <c r="E2054" t="s">
        <v>333</v>
      </c>
      <c r="F2054" s="25">
        <v>46063</v>
      </c>
      <c r="G2054" t="s">
        <v>374</v>
      </c>
      <c r="H2054" t="s">
        <v>412</v>
      </c>
      <c r="I2054" t="s">
        <v>371</v>
      </c>
      <c r="J2054" t="s">
        <v>36</v>
      </c>
      <c r="K2054" t="s">
        <v>37</v>
      </c>
      <c r="L2054" t="s">
        <v>321</v>
      </c>
      <c r="M2054" t="s">
        <v>141</v>
      </c>
      <c r="N2054" t="s">
        <v>142</v>
      </c>
      <c r="O2054" t="s">
        <v>327</v>
      </c>
      <c r="P2054" t="s">
        <v>281</v>
      </c>
      <c r="Q2054" t="s">
        <v>328</v>
      </c>
      <c r="R2054" t="s">
        <v>329</v>
      </c>
      <c r="S2054" t="s">
        <v>392</v>
      </c>
      <c r="T2054">
        <v>1</v>
      </c>
      <c r="U2054" t="s">
        <v>445</v>
      </c>
      <c r="V2054" t="s">
        <v>343</v>
      </c>
      <c r="W2054" t="s">
        <v>447</v>
      </c>
      <c r="X2054" t="s">
        <v>331</v>
      </c>
      <c r="Y2054" t="s">
        <v>307</v>
      </c>
      <c r="Z2054">
        <v>70</v>
      </c>
      <c r="AA2054">
        <v>98</v>
      </c>
      <c r="AB2054" t="s">
        <v>143</v>
      </c>
      <c r="AC2054" t="s">
        <v>64</v>
      </c>
      <c r="AD2054" t="s">
        <v>50</v>
      </c>
      <c r="AE2054" t="str">
        <f>IF(AF2054="","",VLOOKUP(AC2054,mapel!$A$2:$B$42,2,FALSE))</f>
        <v>Math</v>
      </c>
      <c r="AF2054">
        <f t="shared" si="96"/>
        <v>98</v>
      </c>
      <c r="AG2054" t="str">
        <f>IF(AF2054="","",IF(AF2054&gt;90,"Sangat baik",IF(AF2054&gt;79,"Baik",IF(AF2054&gt;=pub_gid_0_single_true_output_csv[[#This Row],[KKM]],"Cukup","Kurang"))))</f>
        <v>Sangat baik</v>
      </c>
      <c r="AH2054">
        <f t="shared" si="97"/>
        <v>12</v>
      </c>
      <c r="AI2054" s="30" t="str">
        <f>IF(OR(J2054&lt;&gt;"Karakter",pub_gid_0_single_true_output_csv[[#This Row],[Nilai2]]=""),"",IF(AF2054&gt;89,"Sangat baik",IF(AF2054&gt;79,"Baik",IF(AF2054&gt;69,"Cukup",IF(AF2054&gt;59,"Kurang","Sangat kurang")))))</f>
        <v/>
      </c>
      <c r="AJ2054" t="str">
        <f t="shared" si="98"/>
        <v>Wk.7</v>
      </c>
      <c r="AK2054" t="str">
        <f>IF(pub_gid_0_single_true_output_csv[[#This Row],[Nilai2]]="","",VLOOKUP(pub_gid_0_single_true_output_csv[[#This Row],[NAMA]],Table7[],3,FALSE))</f>
        <v>Superior</v>
      </c>
    </row>
    <row r="2055" spans="1:37" x14ac:dyDescent="0.2">
      <c r="A2055">
        <v>2054</v>
      </c>
      <c r="B2055" t="s">
        <v>332</v>
      </c>
      <c r="C2055" t="s">
        <v>65</v>
      </c>
      <c r="D2055" t="s">
        <v>59</v>
      </c>
      <c r="E2055" t="s">
        <v>333</v>
      </c>
      <c r="F2055" s="25">
        <v>46064</v>
      </c>
      <c r="G2055" t="s">
        <v>352</v>
      </c>
      <c r="H2055" t="s">
        <v>412</v>
      </c>
      <c r="I2055" t="s">
        <v>371</v>
      </c>
      <c r="J2055" t="s">
        <v>36</v>
      </c>
      <c r="K2055" t="s">
        <v>37</v>
      </c>
      <c r="L2055" t="s">
        <v>321</v>
      </c>
      <c r="M2055" t="s">
        <v>141</v>
      </c>
      <c r="N2055" t="s">
        <v>142</v>
      </c>
      <c r="O2055" t="s">
        <v>327</v>
      </c>
      <c r="P2055" t="s">
        <v>281</v>
      </c>
      <c r="Q2055" t="s">
        <v>328</v>
      </c>
      <c r="R2055" t="s">
        <v>329</v>
      </c>
      <c r="S2055" t="s">
        <v>392</v>
      </c>
      <c r="T2055">
        <v>1</v>
      </c>
      <c r="U2055" t="s">
        <v>445</v>
      </c>
      <c r="V2055" t="s">
        <v>343</v>
      </c>
      <c r="W2055" t="s">
        <v>447</v>
      </c>
      <c r="X2055" t="s">
        <v>331</v>
      </c>
      <c r="Y2055" t="s">
        <v>307</v>
      </c>
      <c r="Z2055">
        <v>70</v>
      </c>
      <c r="AA2055">
        <v>75</v>
      </c>
      <c r="AB2055" t="s">
        <v>143</v>
      </c>
      <c r="AC2055" t="s">
        <v>64</v>
      </c>
      <c r="AD2055" t="s">
        <v>50</v>
      </c>
      <c r="AE2055" t="str">
        <f>IF(AF2055="","",VLOOKUP(AC2055,mapel!$A$2:$B$42,2,FALSE))</f>
        <v>Math</v>
      </c>
      <c r="AF2055">
        <f t="shared" si="96"/>
        <v>75</v>
      </c>
      <c r="AG2055" t="str">
        <f>IF(AF2055="","",IF(AF2055&gt;90,"Sangat baik",IF(AF2055&gt;79,"Baik",IF(AF2055&gt;=pub_gid_0_single_true_output_csv[[#This Row],[KKM]],"Cukup","Kurang"))))</f>
        <v>Cukup</v>
      </c>
      <c r="AH2055">
        <f t="shared" si="97"/>
        <v>12</v>
      </c>
      <c r="AI2055" s="30" t="str">
        <f>IF(OR(J2055&lt;&gt;"Karakter",pub_gid_0_single_true_output_csv[[#This Row],[Nilai2]]=""),"",IF(AF2055&gt;89,"Sangat baik",IF(AF2055&gt;79,"Baik",IF(AF2055&gt;69,"Cukup",IF(AF2055&gt;59,"Kurang","Sangat kurang")))))</f>
        <v/>
      </c>
      <c r="AJ2055" t="str">
        <f t="shared" si="98"/>
        <v>Wk.7</v>
      </c>
      <c r="AK2055" t="str">
        <f>IF(pub_gid_0_single_true_output_csv[[#This Row],[Nilai2]]="","",VLOOKUP(pub_gid_0_single_true_output_csv[[#This Row],[NAMA]],Table7[],3,FALSE))</f>
        <v>Superior</v>
      </c>
    </row>
    <row r="2056" spans="1:37" x14ac:dyDescent="0.2">
      <c r="A2056">
        <v>2055</v>
      </c>
      <c r="B2056" t="s">
        <v>332</v>
      </c>
      <c r="C2056" t="s">
        <v>65</v>
      </c>
      <c r="D2056" t="s">
        <v>59</v>
      </c>
      <c r="E2056" t="s">
        <v>333</v>
      </c>
      <c r="F2056" s="25">
        <v>46056</v>
      </c>
      <c r="G2056" t="s">
        <v>372</v>
      </c>
      <c r="H2056" t="s">
        <v>412</v>
      </c>
      <c r="I2056" t="s">
        <v>371</v>
      </c>
      <c r="J2056" t="s">
        <v>36</v>
      </c>
      <c r="K2056" t="s">
        <v>37</v>
      </c>
      <c r="L2056" t="s">
        <v>321</v>
      </c>
      <c r="M2056" t="s">
        <v>141</v>
      </c>
      <c r="N2056" t="s">
        <v>142</v>
      </c>
      <c r="O2056" t="s">
        <v>327</v>
      </c>
      <c r="P2056" t="s">
        <v>281</v>
      </c>
      <c r="Q2056" t="s">
        <v>328</v>
      </c>
      <c r="R2056" t="s">
        <v>329</v>
      </c>
      <c r="S2056" t="s">
        <v>375</v>
      </c>
      <c r="T2056">
        <v>1</v>
      </c>
      <c r="U2056" t="s">
        <v>445</v>
      </c>
      <c r="V2056" t="s">
        <v>342</v>
      </c>
      <c r="W2056" t="s">
        <v>448</v>
      </c>
      <c r="X2056" t="s">
        <v>331</v>
      </c>
      <c r="Y2056" t="s">
        <v>307</v>
      </c>
      <c r="Z2056">
        <v>70</v>
      </c>
      <c r="AA2056">
        <v>100</v>
      </c>
      <c r="AB2056" t="s">
        <v>143</v>
      </c>
      <c r="AC2056" t="s">
        <v>64</v>
      </c>
      <c r="AD2056" t="s">
        <v>50</v>
      </c>
      <c r="AE2056" t="str">
        <f>IF(AF2056="","",VLOOKUP(AC2056,mapel!$A$2:$B$42,2,FALSE))</f>
        <v>Math</v>
      </c>
      <c r="AF2056">
        <f t="shared" si="96"/>
        <v>100</v>
      </c>
      <c r="AG2056" t="str">
        <f>IF(AF2056="","",IF(AF2056&gt;90,"Sangat baik",IF(AF2056&gt;79,"Baik",IF(AF2056&gt;=pub_gid_0_single_true_output_csv[[#This Row],[KKM]],"Cukup","Kurang"))))</f>
        <v>Sangat baik</v>
      </c>
      <c r="AH2056">
        <f t="shared" si="97"/>
        <v>12</v>
      </c>
      <c r="AI2056" s="30" t="str">
        <f>IF(OR(J2056&lt;&gt;"Karakter",pub_gid_0_single_true_output_csv[[#This Row],[Nilai2]]=""),"",IF(AF2056&gt;89,"Sangat baik",IF(AF2056&gt;79,"Baik",IF(AF2056&gt;69,"Cukup",IF(AF2056&gt;59,"Kurang","Sangat kurang")))))</f>
        <v/>
      </c>
      <c r="AJ2056" t="str">
        <f t="shared" si="98"/>
        <v>Wk.6</v>
      </c>
      <c r="AK2056" t="str">
        <f>IF(pub_gid_0_single_true_output_csv[[#This Row],[Nilai2]]="","",VLOOKUP(pub_gid_0_single_true_output_csv[[#This Row],[NAMA]],Table7[],3,FALSE))</f>
        <v>Superior</v>
      </c>
    </row>
    <row r="2057" spans="1:37" x14ac:dyDescent="0.2">
      <c r="A2057">
        <v>2056</v>
      </c>
      <c r="B2057" t="s">
        <v>332</v>
      </c>
      <c r="C2057" t="s">
        <v>65</v>
      </c>
      <c r="D2057" t="s">
        <v>59</v>
      </c>
      <c r="E2057" t="s">
        <v>333</v>
      </c>
      <c r="F2057" s="25">
        <v>46064</v>
      </c>
      <c r="G2057" t="s">
        <v>352</v>
      </c>
      <c r="H2057" t="s">
        <v>412</v>
      </c>
      <c r="I2057" t="s">
        <v>371</v>
      </c>
      <c r="J2057" t="s">
        <v>36</v>
      </c>
      <c r="K2057" t="s">
        <v>37</v>
      </c>
      <c r="L2057" t="s">
        <v>150</v>
      </c>
      <c r="M2057" t="s">
        <v>141</v>
      </c>
      <c r="N2057" t="s">
        <v>142</v>
      </c>
      <c r="O2057" t="s">
        <v>327</v>
      </c>
      <c r="P2057" t="s">
        <v>281</v>
      </c>
      <c r="Q2057" t="s">
        <v>328</v>
      </c>
      <c r="R2057" t="s">
        <v>329</v>
      </c>
      <c r="S2057" t="s">
        <v>392</v>
      </c>
      <c r="T2057">
        <v>1</v>
      </c>
      <c r="U2057" t="s">
        <v>445</v>
      </c>
      <c r="V2057" t="s">
        <v>343</v>
      </c>
      <c r="W2057" t="s">
        <v>447</v>
      </c>
      <c r="X2057" t="s">
        <v>331</v>
      </c>
      <c r="Y2057" t="s">
        <v>307</v>
      </c>
      <c r="Z2057">
        <v>70</v>
      </c>
      <c r="AA2057">
        <v>82</v>
      </c>
      <c r="AB2057" t="s">
        <v>143</v>
      </c>
      <c r="AC2057" t="s">
        <v>64</v>
      </c>
      <c r="AD2057" t="s">
        <v>50</v>
      </c>
      <c r="AE2057" t="str">
        <f>IF(AF2057="","",VLOOKUP(AC2057,mapel!$A$2:$B$42,2,FALSE))</f>
        <v>Math</v>
      </c>
      <c r="AF2057">
        <f t="shared" si="96"/>
        <v>82</v>
      </c>
      <c r="AG2057" t="str">
        <f>IF(AF2057="","",IF(AF2057&gt;90,"Sangat baik",IF(AF2057&gt;79,"Baik",IF(AF2057&gt;=pub_gid_0_single_true_output_csv[[#This Row],[KKM]],"Cukup","Kurang"))))</f>
        <v>Baik</v>
      </c>
      <c r="AH2057">
        <f t="shared" si="97"/>
        <v>12</v>
      </c>
      <c r="AI2057" s="30" t="str">
        <f>IF(OR(J2057&lt;&gt;"Karakter",pub_gid_0_single_true_output_csv[[#This Row],[Nilai2]]=""),"",IF(AF2057&gt;89,"Sangat baik",IF(AF2057&gt;79,"Baik",IF(AF2057&gt;69,"Cukup",IF(AF2057&gt;59,"Kurang","Sangat kurang")))))</f>
        <v/>
      </c>
      <c r="AJ2057" t="str">
        <f t="shared" si="98"/>
        <v>Wk.7</v>
      </c>
      <c r="AK2057" t="str">
        <f>IF(pub_gid_0_single_true_output_csv[[#This Row],[Nilai2]]="","",VLOOKUP(pub_gid_0_single_true_output_csv[[#This Row],[NAMA]],Table7[],3,FALSE))</f>
        <v>Superior</v>
      </c>
    </row>
    <row r="2058" spans="1:37" x14ac:dyDescent="0.2">
      <c r="A2058">
        <v>2057</v>
      </c>
      <c r="B2058" t="s">
        <v>332</v>
      </c>
      <c r="C2058" t="s">
        <v>65</v>
      </c>
      <c r="D2058" t="s">
        <v>59</v>
      </c>
      <c r="E2058" t="s">
        <v>333</v>
      </c>
      <c r="F2058" s="25">
        <v>46078</v>
      </c>
      <c r="G2058" t="s">
        <v>284</v>
      </c>
      <c r="H2058" t="s">
        <v>412</v>
      </c>
      <c r="I2058" t="s">
        <v>371</v>
      </c>
      <c r="J2058" t="s">
        <v>36</v>
      </c>
      <c r="K2058" t="s">
        <v>37</v>
      </c>
      <c r="L2058" t="s">
        <v>150</v>
      </c>
      <c r="M2058" t="s">
        <v>141</v>
      </c>
      <c r="N2058" t="s">
        <v>142</v>
      </c>
      <c r="O2058" t="s">
        <v>327</v>
      </c>
      <c r="P2058" t="s">
        <v>281</v>
      </c>
      <c r="Q2058" t="s">
        <v>328</v>
      </c>
      <c r="R2058" t="s">
        <v>329</v>
      </c>
      <c r="S2058" t="s">
        <v>392</v>
      </c>
      <c r="T2058">
        <v>1</v>
      </c>
      <c r="U2058" t="s">
        <v>445</v>
      </c>
      <c r="V2058" t="s">
        <v>343</v>
      </c>
      <c r="W2058" t="s">
        <v>447</v>
      </c>
      <c r="X2058" t="s">
        <v>331</v>
      </c>
      <c r="Y2058" t="s">
        <v>307</v>
      </c>
      <c r="Z2058">
        <v>70</v>
      </c>
      <c r="AA2058">
        <v>96</v>
      </c>
      <c r="AB2058" t="s">
        <v>143</v>
      </c>
      <c r="AC2058" t="s">
        <v>64</v>
      </c>
      <c r="AD2058" t="s">
        <v>50</v>
      </c>
      <c r="AE2058" t="str">
        <f>IF(AF2058="","",VLOOKUP(AC2058,mapel!$A$2:$B$42,2,FALSE))</f>
        <v>Math</v>
      </c>
      <c r="AF2058">
        <f t="shared" si="96"/>
        <v>96</v>
      </c>
      <c r="AG2058" t="str">
        <f>IF(AF2058="","",IF(AF2058&gt;90,"Sangat baik",IF(AF2058&gt;79,"Baik",IF(AF2058&gt;=pub_gid_0_single_true_output_csv[[#This Row],[KKM]],"Cukup","Kurang"))))</f>
        <v>Sangat baik</v>
      </c>
      <c r="AH2058">
        <f t="shared" si="97"/>
        <v>12</v>
      </c>
      <c r="AI2058" s="30" t="str">
        <f>IF(OR(J2058&lt;&gt;"Karakter",pub_gid_0_single_true_output_csv[[#This Row],[Nilai2]]=""),"",IF(AF2058&gt;89,"Sangat baik",IF(AF2058&gt;79,"Baik",IF(AF2058&gt;69,"Cukup",IF(AF2058&gt;59,"Kurang","Sangat kurang")))))</f>
        <v/>
      </c>
      <c r="AJ2058" t="str">
        <f t="shared" si="98"/>
        <v>Wk.9</v>
      </c>
      <c r="AK2058" t="str">
        <f>IF(pub_gid_0_single_true_output_csv[[#This Row],[Nilai2]]="","",VLOOKUP(pub_gid_0_single_true_output_csv[[#This Row],[NAMA]],Table7[],3,FALSE))</f>
        <v>Superior</v>
      </c>
    </row>
    <row r="2059" spans="1:37" x14ac:dyDescent="0.2">
      <c r="A2059">
        <v>2058</v>
      </c>
      <c r="B2059" t="s">
        <v>315</v>
      </c>
      <c r="C2059" t="s">
        <v>65</v>
      </c>
      <c r="D2059" t="s">
        <v>60</v>
      </c>
      <c r="E2059" t="s">
        <v>140</v>
      </c>
      <c r="F2059" s="25">
        <v>46036</v>
      </c>
      <c r="G2059" t="s">
        <v>353</v>
      </c>
      <c r="H2059" t="s">
        <v>405</v>
      </c>
      <c r="I2059" t="s">
        <v>371</v>
      </c>
      <c r="J2059" t="s">
        <v>36</v>
      </c>
      <c r="K2059" t="s">
        <v>37</v>
      </c>
      <c r="L2059" t="s">
        <v>321</v>
      </c>
      <c r="M2059" t="s">
        <v>141</v>
      </c>
      <c r="N2059" t="s">
        <v>142</v>
      </c>
      <c r="O2059" t="s">
        <v>327</v>
      </c>
      <c r="P2059" t="s">
        <v>281</v>
      </c>
      <c r="Q2059" t="s">
        <v>328</v>
      </c>
      <c r="R2059" t="s">
        <v>329</v>
      </c>
      <c r="S2059" t="s">
        <v>330</v>
      </c>
      <c r="T2059">
        <v>1</v>
      </c>
      <c r="U2059" t="s">
        <v>445</v>
      </c>
      <c r="V2059" t="s">
        <v>285</v>
      </c>
      <c r="W2059" t="s">
        <v>446</v>
      </c>
      <c r="X2059" t="s">
        <v>331</v>
      </c>
      <c r="Y2059" t="s">
        <v>307</v>
      </c>
      <c r="Z2059">
        <v>70</v>
      </c>
      <c r="AA2059">
        <v>100</v>
      </c>
      <c r="AB2059" t="s">
        <v>143</v>
      </c>
      <c r="AC2059" t="s">
        <v>64</v>
      </c>
      <c r="AD2059" t="s">
        <v>50</v>
      </c>
      <c r="AE2059" t="str">
        <f>IF(AF2059="","",VLOOKUP(AC2059,mapel!$A$2:$B$42,2,FALSE))</f>
        <v>Math</v>
      </c>
      <c r="AF2059">
        <f t="shared" si="96"/>
        <v>100</v>
      </c>
      <c r="AG2059" t="str">
        <f>IF(AF2059="","",IF(AF2059&gt;90,"Sangat baik",IF(AF2059&gt;79,"Baik",IF(AF2059&gt;=pub_gid_0_single_true_output_csv[[#This Row],[KKM]],"Cukup","Kurang"))))</f>
        <v>Sangat baik</v>
      </c>
      <c r="AH2059">
        <f t="shared" si="97"/>
        <v>12</v>
      </c>
      <c r="AI2059" s="30" t="str">
        <f>IF(OR(J2059&lt;&gt;"Karakter",pub_gid_0_single_true_output_csv[[#This Row],[Nilai2]]=""),"",IF(AF2059&gt;89,"Sangat baik",IF(AF2059&gt;79,"Baik",IF(AF2059&gt;69,"Cukup",IF(AF2059&gt;59,"Kurang","Sangat kurang")))))</f>
        <v/>
      </c>
      <c r="AJ2059" t="str">
        <f t="shared" si="98"/>
        <v>Wk.3</v>
      </c>
      <c r="AK2059" t="str">
        <f>IF(pub_gid_0_single_true_output_csv[[#This Row],[Nilai2]]="","",VLOOKUP(pub_gid_0_single_true_output_csv[[#This Row],[NAMA]],Table7[],3,FALSE))</f>
        <v>High average</v>
      </c>
    </row>
    <row r="2060" spans="1:37" x14ac:dyDescent="0.2">
      <c r="A2060">
        <v>2059</v>
      </c>
      <c r="B2060" t="s">
        <v>315</v>
      </c>
      <c r="C2060" t="s">
        <v>65</v>
      </c>
      <c r="D2060" t="s">
        <v>60</v>
      </c>
      <c r="E2060" t="s">
        <v>140</v>
      </c>
      <c r="F2060" s="25">
        <v>46041</v>
      </c>
      <c r="G2060" t="s">
        <v>370</v>
      </c>
      <c r="H2060" t="s">
        <v>405</v>
      </c>
      <c r="I2060" t="s">
        <v>371</v>
      </c>
      <c r="J2060" t="s">
        <v>36</v>
      </c>
      <c r="K2060" t="s">
        <v>37</v>
      </c>
      <c r="L2060" t="s">
        <v>321</v>
      </c>
      <c r="M2060" t="s">
        <v>141</v>
      </c>
      <c r="N2060" t="s">
        <v>142</v>
      </c>
      <c r="O2060" t="s">
        <v>327</v>
      </c>
      <c r="P2060" t="s">
        <v>281</v>
      </c>
      <c r="Q2060" t="s">
        <v>328</v>
      </c>
      <c r="R2060" t="s">
        <v>329</v>
      </c>
      <c r="S2060" t="s">
        <v>330</v>
      </c>
      <c r="T2060">
        <v>1</v>
      </c>
      <c r="U2060" t="s">
        <v>445</v>
      </c>
      <c r="V2060" t="s">
        <v>285</v>
      </c>
      <c r="W2060" t="s">
        <v>446</v>
      </c>
      <c r="X2060" t="s">
        <v>331</v>
      </c>
      <c r="Y2060" t="s">
        <v>307</v>
      </c>
      <c r="Z2060">
        <v>70</v>
      </c>
      <c r="AA2060">
        <v>94</v>
      </c>
      <c r="AB2060" t="s">
        <v>143</v>
      </c>
      <c r="AC2060" t="s">
        <v>64</v>
      </c>
      <c r="AD2060" t="s">
        <v>50</v>
      </c>
      <c r="AE2060" t="str">
        <f>IF(AF2060="","",VLOOKUP(AC2060,mapel!$A$2:$B$42,2,FALSE))</f>
        <v>Math</v>
      </c>
      <c r="AF2060">
        <f t="shared" si="96"/>
        <v>94</v>
      </c>
      <c r="AG2060" t="str">
        <f>IF(AF2060="","",IF(AF2060&gt;90,"Sangat baik",IF(AF2060&gt;79,"Baik",IF(AF2060&gt;=pub_gid_0_single_true_output_csv[[#This Row],[KKM]],"Cukup","Kurang"))))</f>
        <v>Sangat baik</v>
      </c>
      <c r="AH2060">
        <f t="shared" si="97"/>
        <v>12</v>
      </c>
      <c r="AI2060" s="30" t="str">
        <f>IF(OR(J2060&lt;&gt;"Karakter",pub_gid_0_single_true_output_csv[[#This Row],[Nilai2]]=""),"",IF(AF2060&gt;89,"Sangat baik",IF(AF2060&gt;79,"Baik",IF(AF2060&gt;69,"Cukup",IF(AF2060&gt;59,"Kurang","Sangat kurang")))))</f>
        <v/>
      </c>
      <c r="AJ2060" t="str">
        <f t="shared" si="98"/>
        <v>Wk.4</v>
      </c>
      <c r="AK2060" t="str">
        <f>IF(pub_gid_0_single_true_output_csv[[#This Row],[Nilai2]]="","",VLOOKUP(pub_gid_0_single_true_output_csv[[#This Row],[NAMA]],Table7[],3,FALSE))</f>
        <v>High average</v>
      </c>
    </row>
    <row r="2061" spans="1:37" x14ac:dyDescent="0.2">
      <c r="A2061">
        <v>2060</v>
      </c>
      <c r="B2061" t="s">
        <v>315</v>
      </c>
      <c r="C2061" t="s">
        <v>65</v>
      </c>
      <c r="D2061" t="s">
        <v>60</v>
      </c>
      <c r="E2061" t="s">
        <v>140</v>
      </c>
      <c r="F2061" s="25">
        <v>46041</v>
      </c>
      <c r="G2061" t="s">
        <v>370</v>
      </c>
      <c r="H2061" t="s">
        <v>405</v>
      </c>
      <c r="I2061" t="s">
        <v>371</v>
      </c>
      <c r="J2061" t="s">
        <v>36</v>
      </c>
      <c r="K2061" t="s">
        <v>37</v>
      </c>
      <c r="L2061" t="s">
        <v>321</v>
      </c>
      <c r="M2061" t="s">
        <v>141</v>
      </c>
      <c r="N2061" t="s">
        <v>142</v>
      </c>
      <c r="O2061" t="s">
        <v>327</v>
      </c>
      <c r="P2061" t="s">
        <v>281</v>
      </c>
      <c r="Q2061" t="s">
        <v>328</v>
      </c>
      <c r="R2061" t="s">
        <v>329</v>
      </c>
      <c r="S2061" t="s">
        <v>330</v>
      </c>
      <c r="T2061">
        <v>1</v>
      </c>
      <c r="U2061" t="s">
        <v>445</v>
      </c>
      <c r="V2061" t="s">
        <v>285</v>
      </c>
      <c r="W2061" t="s">
        <v>446</v>
      </c>
      <c r="X2061" t="s">
        <v>331</v>
      </c>
      <c r="Y2061" t="s">
        <v>307</v>
      </c>
      <c r="Z2061">
        <v>70</v>
      </c>
      <c r="AA2061">
        <v>39</v>
      </c>
      <c r="AB2061" t="s">
        <v>151</v>
      </c>
      <c r="AC2061" t="s">
        <v>64</v>
      </c>
      <c r="AD2061" t="s">
        <v>50</v>
      </c>
      <c r="AE2061" t="str">
        <f>IF(AF2061="","",VLOOKUP(AC2061,mapel!$A$2:$B$42,2,FALSE))</f>
        <v>Math</v>
      </c>
      <c r="AF2061">
        <f t="shared" si="96"/>
        <v>39</v>
      </c>
      <c r="AG2061" t="str">
        <f>IF(AF2061="","",IF(AF2061&gt;90,"Sangat baik",IF(AF2061&gt;79,"Baik",IF(AF2061&gt;=pub_gid_0_single_true_output_csv[[#This Row],[KKM]],"Cukup","Kurang"))))</f>
        <v>Kurang</v>
      </c>
      <c r="AH2061">
        <f t="shared" si="97"/>
        <v>12</v>
      </c>
      <c r="AI2061" s="30" t="str">
        <f>IF(OR(J2061&lt;&gt;"Karakter",pub_gid_0_single_true_output_csv[[#This Row],[Nilai2]]=""),"",IF(AF2061&gt;89,"Sangat baik",IF(AF2061&gt;79,"Baik",IF(AF2061&gt;69,"Cukup",IF(AF2061&gt;59,"Kurang","Sangat kurang")))))</f>
        <v/>
      </c>
      <c r="AJ2061" t="str">
        <f t="shared" si="98"/>
        <v>Wk.4</v>
      </c>
      <c r="AK2061" t="str">
        <f>IF(pub_gid_0_single_true_output_csv[[#This Row],[Nilai2]]="","",VLOOKUP(pub_gid_0_single_true_output_csv[[#This Row],[NAMA]],Table7[],3,FALSE))</f>
        <v>High average</v>
      </c>
    </row>
    <row r="2062" spans="1:37" x14ac:dyDescent="0.2">
      <c r="A2062">
        <v>2061</v>
      </c>
      <c r="B2062" t="s">
        <v>315</v>
      </c>
      <c r="C2062" t="s">
        <v>65</v>
      </c>
      <c r="D2062" t="s">
        <v>60</v>
      </c>
      <c r="E2062" t="s">
        <v>140</v>
      </c>
      <c r="F2062" s="25">
        <v>46043</v>
      </c>
      <c r="G2062" t="s">
        <v>341</v>
      </c>
      <c r="H2062" t="s">
        <v>405</v>
      </c>
      <c r="I2062" t="s">
        <v>371</v>
      </c>
      <c r="J2062" t="s">
        <v>36</v>
      </c>
      <c r="K2062" t="s">
        <v>37</v>
      </c>
      <c r="L2062" t="s">
        <v>321</v>
      </c>
      <c r="M2062" t="s">
        <v>141</v>
      </c>
      <c r="N2062" t="s">
        <v>142</v>
      </c>
      <c r="O2062" t="s">
        <v>327</v>
      </c>
      <c r="P2062" t="s">
        <v>281</v>
      </c>
      <c r="Q2062" t="s">
        <v>328</v>
      </c>
      <c r="R2062" t="s">
        <v>329</v>
      </c>
      <c r="S2062" t="s">
        <v>330</v>
      </c>
      <c r="T2062">
        <v>1</v>
      </c>
      <c r="U2062" t="s">
        <v>445</v>
      </c>
      <c r="V2062" t="s">
        <v>285</v>
      </c>
      <c r="W2062" t="s">
        <v>446</v>
      </c>
      <c r="X2062" t="s">
        <v>331</v>
      </c>
      <c r="Y2062" t="s">
        <v>307</v>
      </c>
      <c r="Z2062">
        <v>70</v>
      </c>
      <c r="AA2062">
        <v>100</v>
      </c>
      <c r="AB2062" t="s">
        <v>143</v>
      </c>
      <c r="AC2062" t="s">
        <v>64</v>
      </c>
      <c r="AD2062" t="s">
        <v>50</v>
      </c>
      <c r="AE2062" t="str">
        <f>IF(AF2062="","",VLOOKUP(AC2062,mapel!$A$2:$B$42,2,FALSE))</f>
        <v>Math</v>
      </c>
      <c r="AF2062">
        <f t="shared" si="96"/>
        <v>100</v>
      </c>
      <c r="AG2062" t="str">
        <f>IF(AF2062="","",IF(AF2062&gt;90,"Sangat baik",IF(AF2062&gt;79,"Baik",IF(AF2062&gt;=pub_gid_0_single_true_output_csv[[#This Row],[KKM]],"Cukup","Kurang"))))</f>
        <v>Sangat baik</v>
      </c>
      <c r="AH2062">
        <f t="shared" si="97"/>
        <v>12</v>
      </c>
      <c r="AI2062" s="30" t="str">
        <f>IF(OR(J2062&lt;&gt;"Karakter",pub_gid_0_single_true_output_csv[[#This Row],[Nilai2]]=""),"",IF(AF2062&gt;89,"Sangat baik",IF(AF2062&gt;79,"Baik",IF(AF2062&gt;69,"Cukup",IF(AF2062&gt;59,"Kurang","Sangat kurang")))))</f>
        <v/>
      </c>
      <c r="AJ2062" t="str">
        <f t="shared" si="98"/>
        <v>Wk.4</v>
      </c>
      <c r="AK2062" t="str">
        <f>IF(pub_gid_0_single_true_output_csv[[#This Row],[Nilai2]]="","",VLOOKUP(pub_gid_0_single_true_output_csv[[#This Row],[NAMA]],Table7[],3,FALSE))</f>
        <v>High average</v>
      </c>
    </row>
    <row r="2063" spans="1:37" x14ac:dyDescent="0.2">
      <c r="A2063">
        <v>2062</v>
      </c>
      <c r="B2063" t="s">
        <v>315</v>
      </c>
      <c r="C2063" t="s">
        <v>65</v>
      </c>
      <c r="D2063" t="s">
        <v>60</v>
      </c>
      <c r="E2063" t="s">
        <v>140</v>
      </c>
      <c r="F2063" s="25">
        <v>46041</v>
      </c>
      <c r="G2063" t="s">
        <v>370</v>
      </c>
      <c r="H2063" t="s">
        <v>405</v>
      </c>
      <c r="I2063" t="s">
        <v>371</v>
      </c>
      <c r="J2063" t="s">
        <v>36</v>
      </c>
      <c r="K2063" t="s">
        <v>37</v>
      </c>
      <c r="L2063" t="s">
        <v>321</v>
      </c>
      <c r="M2063" t="s">
        <v>141</v>
      </c>
      <c r="N2063" t="s">
        <v>142</v>
      </c>
      <c r="O2063" t="s">
        <v>327</v>
      </c>
      <c r="P2063" t="s">
        <v>281</v>
      </c>
      <c r="Q2063" t="s">
        <v>328</v>
      </c>
      <c r="R2063" t="s">
        <v>329</v>
      </c>
      <c r="S2063" t="s">
        <v>330</v>
      </c>
      <c r="T2063">
        <v>1</v>
      </c>
      <c r="U2063" t="s">
        <v>445</v>
      </c>
      <c r="V2063" t="s">
        <v>285</v>
      </c>
      <c r="W2063" t="s">
        <v>446</v>
      </c>
      <c r="X2063" t="s">
        <v>331</v>
      </c>
      <c r="Y2063" t="s">
        <v>307</v>
      </c>
      <c r="Z2063">
        <v>70</v>
      </c>
      <c r="AA2063">
        <v>76</v>
      </c>
      <c r="AB2063" t="s">
        <v>143</v>
      </c>
      <c r="AC2063" t="s">
        <v>64</v>
      </c>
      <c r="AD2063" t="s">
        <v>50</v>
      </c>
      <c r="AE2063" t="str">
        <f>IF(AF2063="","",VLOOKUP(AC2063,mapel!$A$2:$B$42,2,FALSE))</f>
        <v>Math</v>
      </c>
      <c r="AF2063">
        <f t="shared" si="96"/>
        <v>76</v>
      </c>
      <c r="AG2063" t="str">
        <f>IF(AF2063="","",IF(AF2063&gt;90,"Sangat baik",IF(AF2063&gt;79,"Baik",IF(AF2063&gt;=pub_gid_0_single_true_output_csv[[#This Row],[KKM]],"Cukup","Kurang"))))</f>
        <v>Cukup</v>
      </c>
      <c r="AH2063">
        <f t="shared" si="97"/>
        <v>12</v>
      </c>
      <c r="AI2063" s="30" t="str">
        <f>IF(OR(J2063&lt;&gt;"Karakter",pub_gid_0_single_true_output_csv[[#This Row],[Nilai2]]=""),"",IF(AF2063&gt;89,"Sangat baik",IF(AF2063&gt;79,"Baik",IF(AF2063&gt;69,"Cukup",IF(AF2063&gt;59,"Kurang","Sangat kurang")))))</f>
        <v/>
      </c>
      <c r="AJ2063" t="str">
        <f t="shared" si="98"/>
        <v>Wk.4</v>
      </c>
      <c r="AK2063" t="str">
        <f>IF(pub_gid_0_single_true_output_csv[[#This Row],[Nilai2]]="","",VLOOKUP(pub_gid_0_single_true_output_csv[[#This Row],[NAMA]],Table7[],3,FALSE))</f>
        <v>High average</v>
      </c>
    </row>
    <row r="2064" spans="1:37" x14ac:dyDescent="0.2">
      <c r="A2064">
        <v>2063</v>
      </c>
      <c r="B2064" t="s">
        <v>315</v>
      </c>
      <c r="C2064" t="s">
        <v>65</v>
      </c>
      <c r="D2064" t="s">
        <v>60</v>
      </c>
      <c r="E2064" t="s">
        <v>140</v>
      </c>
      <c r="F2064" s="25">
        <v>46063</v>
      </c>
      <c r="G2064" t="s">
        <v>374</v>
      </c>
      <c r="H2064" t="s">
        <v>412</v>
      </c>
      <c r="I2064" t="s">
        <v>371</v>
      </c>
      <c r="J2064" t="s">
        <v>36</v>
      </c>
      <c r="K2064" t="s">
        <v>37</v>
      </c>
      <c r="L2064" t="s">
        <v>321</v>
      </c>
      <c r="M2064" t="s">
        <v>141</v>
      </c>
      <c r="N2064" t="s">
        <v>142</v>
      </c>
      <c r="O2064" t="s">
        <v>327</v>
      </c>
      <c r="P2064" t="s">
        <v>281</v>
      </c>
      <c r="Q2064" t="s">
        <v>328</v>
      </c>
      <c r="R2064" t="s">
        <v>329</v>
      </c>
      <c r="S2064" t="s">
        <v>392</v>
      </c>
      <c r="T2064">
        <v>1</v>
      </c>
      <c r="U2064" t="s">
        <v>445</v>
      </c>
      <c r="V2064" t="s">
        <v>343</v>
      </c>
      <c r="W2064" t="s">
        <v>447</v>
      </c>
      <c r="X2064" t="s">
        <v>331</v>
      </c>
      <c r="Y2064" t="s">
        <v>307</v>
      </c>
      <c r="Z2064">
        <v>70</v>
      </c>
      <c r="AA2064">
        <v>50</v>
      </c>
      <c r="AB2064" t="s">
        <v>151</v>
      </c>
      <c r="AC2064" t="s">
        <v>64</v>
      </c>
      <c r="AD2064" t="s">
        <v>50</v>
      </c>
      <c r="AE2064" t="str">
        <f>IF(AF2064="","",VLOOKUP(AC2064,mapel!$A$2:$B$42,2,FALSE))</f>
        <v>Math</v>
      </c>
      <c r="AF2064">
        <f t="shared" si="96"/>
        <v>50</v>
      </c>
      <c r="AG2064" t="str">
        <f>IF(AF2064="","",IF(AF2064&gt;90,"Sangat baik",IF(AF2064&gt;79,"Baik",IF(AF2064&gt;=pub_gid_0_single_true_output_csv[[#This Row],[KKM]],"Cukup","Kurang"))))</f>
        <v>Kurang</v>
      </c>
      <c r="AH2064">
        <f t="shared" si="97"/>
        <v>12</v>
      </c>
      <c r="AI2064" s="30" t="str">
        <f>IF(OR(J2064&lt;&gt;"Karakter",pub_gid_0_single_true_output_csv[[#This Row],[Nilai2]]=""),"",IF(AF2064&gt;89,"Sangat baik",IF(AF2064&gt;79,"Baik",IF(AF2064&gt;69,"Cukup",IF(AF2064&gt;59,"Kurang","Sangat kurang")))))</f>
        <v/>
      </c>
      <c r="AJ2064" t="str">
        <f t="shared" si="98"/>
        <v>Wk.7</v>
      </c>
      <c r="AK2064" t="str">
        <f>IF(pub_gid_0_single_true_output_csv[[#This Row],[Nilai2]]="","",VLOOKUP(pub_gid_0_single_true_output_csv[[#This Row],[NAMA]],Table7[],3,FALSE))</f>
        <v>High average</v>
      </c>
    </row>
    <row r="2065" spans="1:37" x14ac:dyDescent="0.2">
      <c r="A2065">
        <v>2064</v>
      </c>
      <c r="B2065" t="s">
        <v>315</v>
      </c>
      <c r="C2065" t="s">
        <v>65</v>
      </c>
      <c r="D2065" t="s">
        <v>60</v>
      </c>
      <c r="E2065" t="s">
        <v>140</v>
      </c>
      <c r="F2065" s="25">
        <v>46064</v>
      </c>
      <c r="G2065" t="s">
        <v>352</v>
      </c>
      <c r="H2065" t="s">
        <v>412</v>
      </c>
      <c r="I2065" t="s">
        <v>371</v>
      </c>
      <c r="J2065" t="s">
        <v>36</v>
      </c>
      <c r="K2065" t="s">
        <v>37</v>
      </c>
      <c r="L2065" t="s">
        <v>321</v>
      </c>
      <c r="M2065" t="s">
        <v>141</v>
      </c>
      <c r="N2065" t="s">
        <v>142</v>
      </c>
      <c r="O2065" t="s">
        <v>327</v>
      </c>
      <c r="P2065" t="s">
        <v>281</v>
      </c>
      <c r="Q2065" t="s">
        <v>328</v>
      </c>
      <c r="R2065" t="s">
        <v>329</v>
      </c>
      <c r="S2065" t="s">
        <v>392</v>
      </c>
      <c r="T2065">
        <v>1</v>
      </c>
      <c r="U2065" t="s">
        <v>445</v>
      </c>
      <c r="V2065" t="s">
        <v>343</v>
      </c>
      <c r="W2065" t="s">
        <v>447</v>
      </c>
      <c r="X2065" t="s">
        <v>331</v>
      </c>
      <c r="Y2065" t="s">
        <v>307</v>
      </c>
      <c r="Z2065">
        <v>70</v>
      </c>
      <c r="AA2065">
        <v>100</v>
      </c>
      <c r="AB2065" t="s">
        <v>143</v>
      </c>
      <c r="AC2065" t="s">
        <v>64</v>
      </c>
      <c r="AD2065" t="s">
        <v>50</v>
      </c>
      <c r="AE2065" t="str">
        <f>IF(AF2065="","",VLOOKUP(AC2065,mapel!$A$2:$B$42,2,FALSE))</f>
        <v>Math</v>
      </c>
      <c r="AF2065">
        <f t="shared" si="96"/>
        <v>100</v>
      </c>
      <c r="AG2065" t="str">
        <f>IF(AF2065="","",IF(AF2065&gt;90,"Sangat baik",IF(AF2065&gt;79,"Baik",IF(AF2065&gt;=pub_gid_0_single_true_output_csv[[#This Row],[KKM]],"Cukup","Kurang"))))</f>
        <v>Sangat baik</v>
      </c>
      <c r="AH2065">
        <f t="shared" si="97"/>
        <v>12</v>
      </c>
      <c r="AI2065" s="30" t="str">
        <f>IF(OR(J2065&lt;&gt;"Karakter",pub_gid_0_single_true_output_csv[[#This Row],[Nilai2]]=""),"",IF(AF2065&gt;89,"Sangat baik",IF(AF2065&gt;79,"Baik",IF(AF2065&gt;69,"Cukup",IF(AF2065&gt;59,"Kurang","Sangat kurang")))))</f>
        <v/>
      </c>
      <c r="AJ2065" t="str">
        <f t="shared" si="98"/>
        <v>Wk.7</v>
      </c>
      <c r="AK2065" t="str">
        <f>IF(pub_gid_0_single_true_output_csv[[#This Row],[Nilai2]]="","",VLOOKUP(pub_gid_0_single_true_output_csv[[#This Row],[NAMA]],Table7[],3,FALSE))</f>
        <v>High average</v>
      </c>
    </row>
    <row r="2066" spans="1:37" x14ac:dyDescent="0.2">
      <c r="A2066">
        <v>2065</v>
      </c>
      <c r="B2066" t="s">
        <v>315</v>
      </c>
      <c r="C2066" t="s">
        <v>65</v>
      </c>
      <c r="D2066" t="s">
        <v>60</v>
      </c>
      <c r="E2066" t="s">
        <v>140</v>
      </c>
      <c r="F2066" s="25">
        <v>46056</v>
      </c>
      <c r="G2066" t="s">
        <v>372</v>
      </c>
      <c r="H2066" t="s">
        <v>412</v>
      </c>
      <c r="I2066" t="s">
        <v>371</v>
      </c>
      <c r="J2066" t="s">
        <v>36</v>
      </c>
      <c r="K2066" t="s">
        <v>37</v>
      </c>
      <c r="L2066" t="s">
        <v>321</v>
      </c>
      <c r="M2066" t="s">
        <v>141</v>
      </c>
      <c r="N2066" t="s">
        <v>142</v>
      </c>
      <c r="O2066" t="s">
        <v>327</v>
      </c>
      <c r="P2066" t="s">
        <v>281</v>
      </c>
      <c r="Q2066" t="s">
        <v>328</v>
      </c>
      <c r="R2066" t="s">
        <v>329</v>
      </c>
      <c r="S2066" t="s">
        <v>375</v>
      </c>
      <c r="T2066">
        <v>1</v>
      </c>
      <c r="U2066" t="s">
        <v>445</v>
      </c>
      <c r="V2066" t="s">
        <v>342</v>
      </c>
      <c r="W2066" t="s">
        <v>448</v>
      </c>
      <c r="X2066" t="s">
        <v>331</v>
      </c>
      <c r="Y2066" t="s">
        <v>307</v>
      </c>
      <c r="Z2066">
        <v>70</v>
      </c>
      <c r="AA2066">
        <v>92</v>
      </c>
      <c r="AB2066" t="s">
        <v>143</v>
      </c>
      <c r="AC2066" t="s">
        <v>64</v>
      </c>
      <c r="AD2066" t="s">
        <v>50</v>
      </c>
      <c r="AE2066" t="str">
        <f>IF(AF2066="","",VLOOKUP(AC2066,mapel!$A$2:$B$42,2,FALSE))</f>
        <v>Math</v>
      </c>
      <c r="AF2066">
        <f t="shared" si="96"/>
        <v>92</v>
      </c>
      <c r="AG2066" t="str">
        <f>IF(AF2066="","",IF(AF2066&gt;90,"Sangat baik",IF(AF2066&gt;79,"Baik",IF(AF2066&gt;=pub_gid_0_single_true_output_csv[[#This Row],[KKM]],"Cukup","Kurang"))))</f>
        <v>Sangat baik</v>
      </c>
      <c r="AH2066">
        <f t="shared" si="97"/>
        <v>12</v>
      </c>
      <c r="AI2066" s="30" t="str">
        <f>IF(OR(J2066&lt;&gt;"Karakter",pub_gid_0_single_true_output_csv[[#This Row],[Nilai2]]=""),"",IF(AF2066&gt;89,"Sangat baik",IF(AF2066&gt;79,"Baik",IF(AF2066&gt;69,"Cukup",IF(AF2066&gt;59,"Kurang","Sangat kurang")))))</f>
        <v/>
      </c>
      <c r="AJ2066" t="str">
        <f t="shared" si="98"/>
        <v>Wk.6</v>
      </c>
      <c r="AK2066" t="str">
        <f>IF(pub_gid_0_single_true_output_csv[[#This Row],[Nilai2]]="","",VLOOKUP(pub_gid_0_single_true_output_csv[[#This Row],[NAMA]],Table7[],3,FALSE))</f>
        <v>High average</v>
      </c>
    </row>
    <row r="2067" spans="1:37" x14ac:dyDescent="0.2">
      <c r="A2067">
        <v>2066</v>
      </c>
      <c r="B2067" t="s">
        <v>315</v>
      </c>
      <c r="C2067" t="s">
        <v>65</v>
      </c>
      <c r="D2067" t="s">
        <v>60</v>
      </c>
      <c r="E2067" t="s">
        <v>140</v>
      </c>
      <c r="F2067" s="25">
        <v>46064</v>
      </c>
      <c r="G2067" t="s">
        <v>352</v>
      </c>
      <c r="H2067" t="s">
        <v>412</v>
      </c>
      <c r="I2067" t="s">
        <v>371</v>
      </c>
      <c r="J2067" t="s">
        <v>36</v>
      </c>
      <c r="K2067" t="s">
        <v>37</v>
      </c>
      <c r="L2067" t="s">
        <v>150</v>
      </c>
      <c r="M2067" t="s">
        <v>141</v>
      </c>
      <c r="N2067" t="s">
        <v>142</v>
      </c>
      <c r="O2067" t="s">
        <v>327</v>
      </c>
      <c r="P2067" t="s">
        <v>281</v>
      </c>
      <c r="Q2067" t="s">
        <v>328</v>
      </c>
      <c r="R2067" t="s">
        <v>329</v>
      </c>
      <c r="S2067" t="s">
        <v>392</v>
      </c>
      <c r="T2067">
        <v>1</v>
      </c>
      <c r="U2067" t="s">
        <v>445</v>
      </c>
      <c r="V2067" t="s">
        <v>343</v>
      </c>
      <c r="W2067" t="s">
        <v>447</v>
      </c>
      <c r="X2067" t="s">
        <v>331</v>
      </c>
      <c r="Y2067" t="s">
        <v>307</v>
      </c>
      <c r="Z2067">
        <v>70</v>
      </c>
      <c r="AA2067">
        <v>100</v>
      </c>
      <c r="AB2067" t="s">
        <v>143</v>
      </c>
      <c r="AC2067" t="s">
        <v>64</v>
      </c>
      <c r="AD2067" t="s">
        <v>50</v>
      </c>
      <c r="AE2067" t="str">
        <f>IF(AF2067="","",VLOOKUP(AC2067,mapel!$A$2:$B$42,2,FALSE))</f>
        <v>Math</v>
      </c>
      <c r="AF2067">
        <f t="shared" si="96"/>
        <v>100</v>
      </c>
      <c r="AG2067" t="str">
        <f>IF(AF2067="","",IF(AF2067&gt;90,"Sangat baik",IF(AF2067&gt;79,"Baik",IF(AF2067&gt;=pub_gid_0_single_true_output_csv[[#This Row],[KKM]],"Cukup","Kurang"))))</f>
        <v>Sangat baik</v>
      </c>
      <c r="AH2067">
        <f t="shared" si="97"/>
        <v>12</v>
      </c>
      <c r="AI2067" s="30" t="str">
        <f>IF(OR(J2067&lt;&gt;"Karakter",pub_gid_0_single_true_output_csv[[#This Row],[Nilai2]]=""),"",IF(AF2067&gt;89,"Sangat baik",IF(AF2067&gt;79,"Baik",IF(AF2067&gt;69,"Cukup",IF(AF2067&gt;59,"Kurang","Sangat kurang")))))</f>
        <v/>
      </c>
      <c r="AJ2067" t="str">
        <f t="shared" si="98"/>
        <v>Wk.7</v>
      </c>
      <c r="AK2067" t="str">
        <f>IF(pub_gid_0_single_true_output_csv[[#This Row],[Nilai2]]="","",VLOOKUP(pub_gid_0_single_true_output_csv[[#This Row],[NAMA]],Table7[],3,FALSE))</f>
        <v>High average</v>
      </c>
    </row>
    <row r="2068" spans="1:37" x14ac:dyDescent="0.2">
      <c r="A2068">
        <v>2067</v>
      </c>
      <c r="B2068" t="s">
        <v>315</v>
      </c>
      <c r="C2068" t="s">
        <v>65</v>
      </c>
      <c r="D2068" t="s">
        <v>60</v>
      </c>
      <c r="E2068" t="s">
        <v>140</v>
      </c>
      <c r="F2068" s="25">
        <v>46078</v>
      </c>
      <c r="G2068" t="s">
        <v>284</v>
      </c>
      <c r="H2068" t="s">
        <v>412</v>
      </c>
      <c r="I2068" t="s">
        <v>371</v>
      </c>
      <c r="J2068" t="s">
        <v>36</v>
      </c>
      <c r="K2068" t="s">
        <v>37</v>
      </c>
      <c r="L2068" t="s">
        <v>150</v>
      </c>
      <c r="M2068" t="s">
        <v>141</v>
      </c>
      <c r="N2068" t="s">
        <v>142</v>
      </c>
      <c r="O2068" t="s">
        <v>327</v>
      </c>
      <c r="P2068" t="s">
        <v>281</v>
      </c>
      <c r="Q2068" t="s">
        <v>328</v>
      </c>
      <c r="R2068" t="s">
        <v>329</v>
      </c>
      <c r="S2068" t="s">
        <v>392</v>
      </c>
      <c r="T2068">
        <v>1</v>
      </c>
      <c r="U2068" t="s">
        <v>445</v>
      </c>
      <c r="V2068" t="s">
        <v>343</v>
      </c>
      <c r="W2068" t="s">
        <v>447</v>
      </c>
      <c r="X2068" t="s">
        <v>331</v>
      </c>
      <c r="Y2068" t="s">
        <v>307</v>
      </c>
      <c r="Z2068">
        <v>70</v>
      </c>
      <c r="AA2068">
        <v>100</v>
      </c>
      <c r="AB2068" t="s">
        <v>143</v>
      </c>
      <c r="AC2068" t="s">
        <v>64</v>
      </c>
      <c r="AD2068" t="s">
        <v>50</v>
      </c>
      <c r="AE2068" t="str">
        <f>IF(AF2068="","",VLOOKUP(AC2068,mapel!$A$2:$B$42,2,FALSE))</f>
        <v>Math</v>
      </c>
      <c r="AF2068">
        <f t="shared" si="96"/>
        <v>100</v>
      </c>
      <c r="AG2068" t="str">
        <f>IF(AF2068="","",IF(AF2068&gt;90,"Sangat baik",IF(AF2068&gt;79,"Baik",IF(AF2068&gt;=pub_gid_0_single_true_output_csv[[#This Row],[KKM]],"Cukup","Kurang"))))</f>
        <v>Sangat baik</v>
      </c>
      <c r="AH2068">
        <f t="shared" si="97"/>
        <v>12</v>
      </c>
      <c r="AI2068" s="30" t="str">
        <f>IF(OR(J2068&lt;&gt;"Karakter",pub_gid_0_single_true_output_csv[[#This Row],[Nilai2]]=""),"",IF(AF2068&gt;89,"Sangat baik",IF(AF2068&gt;79,"Baik",IF(AF2068&gt;69,"Cukup",IF(AF2068&gt;59,"Kurang","Sangat kurang")))))</f>
        <v/>
      </c>
      <c r="AJ2068" t="str">
        <f t="shared" si="98"/>
        <v>Wk.9</v>
      </c>
      <c r="AK2068" t="str">
        <f>IF(pub_gid_0_single_true_output_csv[[#This Row],[Nilai2]]="","",VLOOKUP(pub_gid_0_single_true_output_csv[[#This Row],[NAMA]],Table7[],3,FALSE))</f>
        <v>High average</v>
      </c>
    </row>
    <row r="2069" spans="1:37" x14ac:dyDescent="0.2">
      <c r="A2069">
        <v>2068</v>
      </c>
      <c r="B2069" t="s">
        <v>316</v>
      </c>
      <c r="C2069" t="s">
        <v>65</v>
      </c>
      <c r="D2069" t="s">
        <v>61</v>
      </c>
      <c r="E2069" t="s">
        <v>140</v>
      </c>
      <c r="F2069" s="25">
        <v>46036</v>
      </c>
      <c r="G2069" t="s">
        <v>353</v>
      </c>
      <c r="H2069" t="s">
        <v>405</v>
      </c>
      <c r="I2069" t="s">
        <v>371</v>
      </c>
      <c r="J2069" t="s">
        <v>36</v>
      </c>
      <c r="K2069" t="s">
        <v>37</v>
      </c>
      <c r="L2069" t="s">
        <v>321</v>
      </c>
      <c r="M2069" t="s">
        <v>141</v>
      </c>
      <c r="N2069" t="s">
        <v>142</v>
      </c>
      <c r="O2069" t="s">
        <v>327</v>
      </c>
      <c r="P2069" t="s">
        <v>281</v>
      </c>
      <c r="Q2069" t="s">
        <v>328</v>
      </c>
      <c r="R2069" t="s">
        <v>329</v>
      </c>
      <c r="S2069" t="s">
        <v>330</v>
      </c>
      <c r="T2069">
        <v>1</v>
      </c>
      <c r="U2069" t="s">
        <v>445</v>
      </c>
      <c r="V2069" t="s">
        <v>285</v>
      </c>
      <c r="W2069" t="s">
        <v>446</v>
      </c>
      <c r="X2069" t="s">
        <v>331</v>
      </c>
      <c r="Y2069" t="s">
        <v>307</v>
      </c>
      <c r="Z2069">
        <v>70</v>
      </c>
      <c r="AA2069">
        <v>10</v>
      </c>
      <c r="AB2069" t="s">
        <v>151</v>
      </c>
      <c r="AC2069" t="s">
        <v>64</v>
      </c>
      <c r="AD2069" t="s">
        <v>50</v>
      </c>
      <c r="AE2069" t="str">
        <f>IF(AF2069="","",VLOOKUP(AC2069,mapel!$A$2:$B$42,2,FALSE))</f>
        <v>Math</v>
      </c>
      <c r="AF2069">
        <f t="shared" si="96"/>
        <v>10</v>
      </c>
      <c r="AG2069" t="str">
        <f>IF(AF2069="","",IF(AF2069&gt;90,"Sangat baik",IF(AF2069&gt;79,"Baik",IF(AF2069&gt;=pub_gid_0_single_true_output_csv[[#This Row],[KKM]],"Cukup","Kurang"))))</f>
        <v>Kurang</v>
      </c>
      <c r="AH2069">
        <f t="shared" si="97"/>
        <v>12</v>
      </c>
      <c r="AI2069" s="30" t="str">
        <f>IF(OR(J2069&lt;&gt;"Karakter",pub_gid_0_single_true_output_csv[[#This Row],[Nilai2]]=""),"",IF(AF2069&gt;89,"Sangat baik",IF(AF2069&gt;79,"Baik",IF(AF2069&gt;69,"Cukup",IF(AF2069&gt;59,"Kurang","Sangat kurang")))))</f>
        <v/>
      </c>
      <c r="AJ2069" t="str">
        <f t="shared" si="98"/>
        <v>Wk.3</v>
      </c>
      <c r="AK2069" t="str">
        <f>IF(pub_gid_0_single_true_output_csv[[#This Row],[Nilai2]]="","",VLOOKUP(pub_gid_0_single_true_output_csv[[#This Row],[NAMA]],Table7[],3,FALSE))</f>
        <v>Average</v>
      </c>
    </row>
    <row r="2070" spans="1:37" x14ac:dyDescent="0.2">
      <c r="A2070">
        <v>2069</v>
      </c>
      <c r="B2070" t="s">
        <v>316</v>
      </c>
      <c r="C2070" t="s">
        <v>65</v>
      </c>
      <c r="D2070" t="s">
        <v>61</v>
      </c>
      <c r="E2070" t="s">
        <v>140</v>
      </c>
      <c r="F2070" s="25">
        <v>46041</v>
      </c>
      <c r="G2070" t="s">
        <v>370</v>
      </c>
      <c r="H2070" t="s">
        <v>405</v>
      </c>
      <c r="I2070" t="s">
        <v>371</v>
      </c>
      <c r="J2070" t="s">
        <v>36</v>
      </c>
      <c r="K2070" t="s">
        <v>37</v>
      </c>
      <c r="L2070" t="s">
        <v>321</v>
      </c>
      <c r="M2070" t="s">
        <v>141</v>
      </c>
      <c r="N2070" t="s">
        <v>142</v>
      </c>
      <c r="O2070" t="s">
        <v>327</v>
      </c>
      <c r="P2070" t="s">
        <v>281</v>
      </c>
      <c r="Q2070" t="s">
        <v>328</v>
      </c>
      <c r="R2070" t="s">
        <v>329</v>
      </c>
      <c r="S2070" t="s">
        <v>330</v>
      </c>
      <c r="T2070">
        <v>1</v>
      </c>
      <c r="U2070" t="s">
        <v>445</v>
      </c>
      <c r="V2070" t="s">
        <v>285</v>
      </c>
      <c r="W2070" t="s">
        <v>446</v>
      </c>
      <c r="X2070" t="s">
        <v>331</v>
      </c>
      <c r="Y2070" t="s">
        <v>307</v>
      </c>
      <c r="Z2070">
        <v>70</v>
      </c>
      <c r="AA2070">
        <v>100</v>
      </c>
      <c r="AB2070" t="s">
        <v>143</v>
      </c>
      <c r="AC2070" t="s">
        <v>64</v>
      </c>
      <c r="AD2070" t="s">
        <v>50</v>
      </c>
      <c r="AE2070" t="str">
        <f>IF(AF2070="","",VLOOKUP(AC2070,mapel!$A$2:$B$42,2,FALSE))</f>
        <v>Math</v>
      </c>
      <c r="AF2070">
        <f t="shared" si="96"/>
        <v>100</v>
      </c>
      <c r="AG2070" t="str">
        <f>IF(AF2070="","",IF(AF2070&gt;90,"Sangat baik",IF(AF2070&gt;79,"Baik",IF(AF2070&gt;=pub_gid_0_single_true_output_csv[[#This Row],[KKM]],"Cukup","Kurang"))))</f>
        <v>Sangat baik</v>
      </c>
      <c r="AH2070">
        <f t="shared" si="97"/>
        <v>12</v>
      </c>
      <c r="AI2070" s="30" t="str">
        <f>IF(OR(J2070&lt;&gt;"Karakter",pub_gid_0_single_true_output_csv[[#This Row],[Nilai2]]=""),"",IF(AF2070&gt;89,"Sangat baik",IF(AF2070&gt;79,"Baik",IF(AF2070&gt;69,"Cukup",IF(AF2070&gt;59,"Kurang","Sangat kurang")))))</f>
        <v/>
      </c>
      <c r="AJ2070" t="str">
        <f t="shared" si="98"/>
        <v>Wk.4</v>
      </c>
      <c r="AK2070" t="str">
        <f>IF(pub_gid_0_single_true_output_csv[[#This Row],[Nilai2]]="","",VLOOKUP(pub_gid_0_single_true_output_csv[[#This Row],[NAMA]],Table7[],3,FALSE))</f>
        <v>Average</v>
      </c>
    </row>
    <row r="2071" spans="1:37" x14ac:dyDescent="0.2">
      <c r="A2071">
        <v>2070</v>
      </c>
      <c r="B2071" t="s">
        <v>316</v>
      </c>
      <c r="C2071" t="s">
        <v>65</v>
      </c>
      <c r="D2071" t="s">
        <v>61</v>
      </c>
      <c r="E2071" t="s">
        <v>140</v>
      </c>
      <c r="F2071" s="25">
        <v>46041</v>
      </c>
      <c r="G2071" t="s">
        <v>370</v>
      </c>
      <c r="H2071" t="s">
        <v>405</v>
      </c>
      <c r="I2071" t="s">
        <v>371</v>
      </c>
      <c r="J2071" t="s">
        <v>36</v>
      </c>
      <c r="K2071" t="s">
        <v>37</v>
      </c>
      <c r="L2071" t="s">
        <v>321</v>
      </c>
      <c r="M2071" t="s">
        <v>141</v>
      </c>
      <c r="N2071" t="s">
        <v>142</v>
      </c>
      <c r="O2071" t="s">
        <v>327</v>
      </c>
      <c r="P2071" t="s">
        <v>281</v>
      </c>
      <c r="Q2071" t="s">
        <v>328</v>
      </c>
      <c r="R2071" t="s">
        <v>329</v>
      </c>
      <c r="S2071" t="s">
        <v>330</v>
      </c>
      <c r="T2071">
        <v>1</v>
      </c>
      <c r="U2071" t="s">
        <v>445</v>
      </c>
      <c r="V2071" t="s">
        <v>285</v>
      </c>
      <c r="W2071" t="s">
        <v>446</v>
      </c>
      <c r="X2071" t="s">
        <v>331</v>
      </c>
      <c r="Y2071" t="s">
        <v>307</v>
      </c>
      <c r="Z2071">
        <v>70</v>
      </c>
      <c r="AA2071">
        <v>40</v>
      </c>
      <c r="AB2071" t="s">
        <v>151</v>
      </c>
      <c r="AC2071" t="s">
        <v>64</v>
      </c>
      <c r="AD2071" t="s">
        <v>50</v>
      </c>
      <c r="AE2071" t="str">
        <f>IF(AF2071="","",VLOOKUP(AC2071,mapel!$A$2:$B$42,2,FALSE))</f>
        <v>Math</v>
      </c>
      <c r="AF2071">
        <f t="shared" si="96"/>
        <v>40</v>
      </c>
      <c r="AG2071" t="str">
        <f>IF(AF2071="","",IF(AF2071&gt;90,"Sangat baik",IF(AF2071&gt;79,"Baik",IF(AF2071&gt;=pub_gid_0_single_true_output_csv[[#This Row],[KKM]],"Cukup","Kurang"))))</f>
        <v>Kurang</v>
      </c>
      <c r="AH2071">
        <f t="shared" si="97"/>
        <v>12</v>
      </c>
      <c r="AI2071" s="30" t="str">
        <f>IF(OR(J2071&lt;&gt;"Karakter",pub_gid_0_single_true_output_csv[[#This Row],[Nilai2]]=""),"",IF(AF2071&gt;89,"Sangat baik",IF(AF2071&gt;79,"Baik",IF(AF2071&gt;69,"Cukup",IF(AF2071&gt;59,"Kurang","Sangat kurang")))))</f>
        <v/>
      </c>
      <c r="AJ2071" t="str">
        <f t="shared" si="98"/>
        <v>Wk.4</v>
      </c>
      <c r="AK2071" t="str">
        <f>IF(pub_gid_0_single_true_output_csv[[#This Row],[Nilai2]]="","",VLOOKUP(pub_gid_0_single_true_output_csv[[#This Row],[NAMA]],Table7[],3,FALSE))</f>
        <v>Average</v>
      </c>
    </row>
    <row r="2072" spans="1:37" x14ac:dyDescent="0.2">
      <c r="A2072">
        <v>2071</v>
      </c>
      <c r="B2072" t="s">
        <v>316</v>
      </c>
      <c r="C2072" t="s">
        <v>65</v>
      </c>
      <c r="D2072" t="s">
        <v>61</v>
      </c>
      <c r="E2072" t="s">
        <v>140</v>
      </c>
      <c r="F2072" s="25">
        <v>46043</v>
      </c>
      <c r="G2072" t="s">
        <v>341</v>
      </c>
      <c r="H2072" t="s">
        <v>405</v>
      </c>
      <c r="I2072" t="s">
        <v>371</v>
      </c>
      <c r="J2072" t="s">
        <v>36</v>
      </c>
      <c r="K2072" t="s">
        <v>37</v>
      </c>
      <c r="L2072" t="s">
        <v>321</v>
      </c>
      <c r="M2072" t="s">
        <v>141</v>
      </c>
      <c r="N2072" t="s">
        <v>142</v>
      </c>
      <c r="O2072" t="s">
        <v>327</v>
      </c>
      <c r="P2072" t="s">
        <v>281</v>
      </c>
      <c r="Q2072" t="s">
        <v>328</v>
      </c>
      <c r="R2072" t="s">
        <v>329</v>
      </c>
      <c r="S2072" t="s">
        <v>330</v>
      </c>
      <c r="T2072">
        <v>1</v>
      </c>
      <c r="U2072" t="s">
        <v>445</v>
      </c>
      <c r="V2072" t="s">
        <v>285</v>
      </c>
      <c r="W2072" t="s">
        <v>446</v>
      </c>
      <c r="X2072" t="s">
        <v>331</v>
      </c>
      <c r="Y2072" t="s">
        <v>307</v>
      </c>
      <c r="Z2072">
        <v>70</v>
      </c>
      <c r="AA2072">
        <v>56</v>
      </c>
      <c r="AB2072" t="s">
        <v>151</v>
      </c>
      <c r="AC2072" t="s">
        <v>64</v>
      </c>
      <c r="AD2072" t="s">
        <v>50</v>
      </c>
      <c r="AE2072" t="str">
        <f>IF(AF2072="","",VLOOKUP(AC2072,mapel!$A$2:$B$42,2,FALSE))</f>
        <v>Math</v>
      </c>
      <c r="AF2072">
        <f t="shared" si="96"/>
        <v>56</v>
      </c>
      <c r="AG2072" t="str">
        <f>IF(AF2072="","",IF(AF2072&gt;90,"Sangat baik",IF(AF2072&gt;79,"Baik",IF(AF2072&gt;=pub_gid_0_single_true_output_csv[[#This Row],[KKM]],"Cukup","Kurang"))))</f>
        <v>Kurang</v>
      </c>
      <c r="AH2072">
        <f t="shared" si="97"/>
        <v>12</v>
      </c>
      <c r="AI2072" s="30" t="str">
        <f>IF(OR(J2072&lt;&gt;"Karakter",pub_gid_0_single_true_output_csv[[#This Row],[Nilai2]]=""),"",IF(AF2072&gt;89,"Sangat baik",IF(AF2072&gt;79,"Baik",IF(AF2072&gt;69,"Cukup",IF(AF2072&gt;59,"Kurang","Sangat kurang")))))</f>
        <v/>
      </c>
      <c r="AJ2072" t="str">
        <f t="shared" si="98"/>
        <v>Wk.4</v>
      </c>
      <c r="AK2072" t="str">
        <f>IF(pub_gid_0_single_true_output_csv[[#This Row],[Nilai2]]="","",VLOOKUP(pub_gid_0_single_true_output_csv[[#This Row],[NAMA]],Table7[],3,FALSE))</f>
        <v>Average</v>
      </c>
    </row>
    <row r="2073" spans="1:37" x14ac:dyDescent="0.2">
      <c r="A2073">
        <v>2072</v>
      </c>
      <c r="B2073" t="s">
        <v>316</v>
      </c>
      <c r="C2073" t="s">
        <v>65</v>
      </c>
      <c r="D2073" t="s">
        <v>61</v>
      </c>
      <c r="E2073" t="s">
        <v>140</v>
      </c>
      <c r="F2073" s="25">
        <v>46041</v>
      </c>
      <c r="G2073" t="s">
        <v>370</v>
      </c>
      <c r="H2073" t="s">
        <v>405</v>
      </c>
      <c r="I2073" t="s">
        <v>371</v>
      </c>
      <c r="J2073" t="s">
        <v>36</v>
      </c>
      <c r="K2073" t="s">
        <v>37</v>
      </c>
      <c r="L2073" t="s">
        <v>321</v>
      </c>
      <c r="M2073" t="s">
        <v>141</v>
      </c>
      <c r="N2073" t="s">
        <v>142</v>
      </c>
      <c r="O2073" t="s">
        <v>327</v>
      </c>
      <c r="P2073" t="s">
        <v>281</v>
      </c>
      <c r="Q2073" t="s">
        <v>328</v>
      </c>
      <c r="R2073" t="s">
        <v>329</v>
      </c>
      <c r="S2073" t="s">
        <v>330</v>
      </c>
      <c r="T2073">
        <v>1</v>
      </c>
      <c r="U2073" t="s">
        <v>445</v>
      </c>
      <c r="V2073" t="s">
        <v>285</v>
      </c>
      <c r="W2073" t="s">
        <v>446</v>
      </c>
      <c r="X2073" t="s">
        <v>331</v>
      </c>
      <c r="Y2073" t="s">
        <v>307</v>
      </c>
      <c r="Z2073">
        <v>70</v>
      </c>
      <c r="AA2073">
        <v>37</v>
      </c>
      <c r="AB2073" t="s">
        <v>151</v>
      </c>
      <c r="AC2073" t="s">
        <v>64</v>
      </c>
      <c r="AD2073" t="s">
        <v>50</v>
      </c>
      <c r="AE2073" t="str">
        <f>IF(AF2073="","",VLOOKUP(AC2073,mapel!$A$2:$B$42,2,FALSE))</f>
        <v>Math</v>
      </c>
      <c r="AF2073">
        <f t="shared" si="96"/>
        <v>37</v>
      </c>
      <c r="AG2073" t="str">
        <f>IF(AF2073="","",IF(AF2073&gt;90,"Sangat baik",IF(AF2073&gt;79,"Baik",IF(AF2073&gt;=pub_gid_0_single_true_output_csv[[#This Row],[KKM]],"Cukup","Kurang"))))</f>
        <v>Kurang</v>
      </c>
      <c r="AH2073">
        <f t="shared" si="97"/>
        <v>12</v>
      </c>
      <c r="AI2073" s="30" t="str">
        <f>IF(OR(J2073&lt;&gt;"Karakter",pub_gid_0_single_true_output_csv[[#This Row],[Nilai2]]=""),"",IF(AF2073&gt;89,"Sangat baik",IF(AF2073&gt;79,"Baik",IF(AF2073&gt;69,"Cukup",IF(AF2073&gt;59,"Kurang","Sangat kurang")))))</f>
        <v/>
      </c>
      <c r="AJ2073" t="str">
        <f t="shared" si="98"/>
        <v>Wk.4</v>
      </c>
      <c r="AK2073" t="str">
        <f>IF(pub_gid_0_single_true_output_csv[[#This Row],[Nilai2]]="","",VLOOKUP(pub_gid_0_single_true_output_csv[[#This Row],[NAMA]],Table7[],3,FALSE))</f>
        <v>Average</v>
      </c>
    </row>
    <row r="2074" spans="1:37" x14ac:dyDescent="0.2">
      <c r="A2074">
        <v>2073</v>
      </c>
      <c r="B2074" t="s">
        <v>316</v>
      </c>
      <c r="C2074" t="s">
        <v>65</v>
      </c>
      <c r="D2074" t="s">
        <v>61</v>
      </c>
      <c r="E2074" t="s">
        <v>140</v>
      </c>
      <c r="F2074" s="25">
        <v>46063</v>
      </c>
      <c r="G2074" t="s">
        <v>374</v>
      </c>
      <c r="H2074" t="s">
        <v>412</v>
      </c>
      <c r="I2074" t="s">
        <v>371</v>
      </c>
      <c r="J2074" t="s">
        <v>36</v>
      </c>
      <c r="K2074" t="s">
        <v>37</v>
      </c>
      <c r="L2074" t="s">
        <v>321</v>
      </c>
      <c r="M2074" t="s">
        <v>141</v>
      </c>
      <c r="N2074" t="s">
        <v>142</v>
      </c>
      <c r="O2074" t="s">
        <v>327</v>
      </c>
      <c r="P2074" t="s">
        <v>281</v>
      </c>
      <c r="Q2074" t="s">
        <v>328</v>
      </c>
      <c r="R2074" t="s">
        <v>329</v>
      </c>
      <c r="S2074" t="s">
        <v>392</v>
      </c>
      <c r="T2074">
        <v>1</v>
      </c>
      <c r="U2074" t="s">
        <v>445</v>
      </c>
      <c r="V2074" t="s">
        <v>343</v>
      </c>
      <c r="W2074" t="s">
        <v>447</v>
      </c>
      <c r="X2074" t="s">
        <v>331</v>
      </c>
      <c r="Y2074" t="s">
        <v>307</v>
      </c>
      <c r="Z2074">
        <v>70</v>
      </c>
      <c r="AA2074">
        <v>78</v>
      </c>
      <c r="AB2074" t="s">
        <v>143</v>
      </c>
      <c r="AC2074" t="s">
        <v>64</v>
      </c>
      <c r="AD2074" t="s">
        <v>50</v>
      </c>
      <c r="AE2074" t="str">
        <f>IF(AF2074="","",VLOOKUP(AC2074,mapel!$A$2:$B$42,2,FALSE))</f>
        <v>Math</v>
      </c>
      <c r="AF2074">
        <f t="shared" si="96"/>
        <v>78</v>
      </c>
      <c r="AG2074" t="str">
        <f>IF(AF2074="","",IF(AF2074&gt;90,"Sangat baik",IF(AF2074&gt;79,"Baik",IF(AF2074&gt;=pub_gid_0_single_true_output_csv[[#This Row],[KKM]],"Cukup","Kurang"))))</f>
        <v>Cukup</v>
      </c>
      <c r="AH2074">
        <f t="shared" si="97"/>
        <v>12</v>
      </c>
      <c r="AI2074" s="30" t="str">
        <f>IF(OR(J2074&lt;&gt;"Karakter",pub_gid_0_single_true_output_csv[[#This Row],[Nilai2]]=""),"",IF(AF2074&gt;89,"Sangat baik",IF(AF2074&gt;79,"Baik",IF(AF2074&gt;69,"Cukup",IF(AF2074&gt;59,"Kurang","Sangat kurang")))))</f>
        <v/>
      </c>
      <c r="AJ2074" t="str">
        <f t="shared" si="98"/>
        <v>Wk.7</v>
      </c>
      <c r="AK2074" t="str">
        <f>IF(pub_gid_0_single_true_output_csv[[#This Row],[Nilai2]]="","",VLOOKUP(pub_gid_0_single_true_output_csv[[#This Row],[NAMA]],Table7[],3,FALSE))</f>
        <v>Average</v>
      </c>
    </row>
    <row r="2075" spans="1:37" x14ac:dyDescent="0.2">
      <c r="A2075">
        <v>2074</v>
      </c>
      <c r="B2075" t="s">
        <v>316</v>
      </c>
      <c r="C2075" t="s">
        <v>65</v>
      </c>
      <c r="D2075" t="s">
        <v>61</v>
      </c>
      <c r="E2075" t="s">
        <v>140</v>
      </c>
      <c r="F2075" s="25">
        <v>46064</v>
      </c>
      <c r="G2075" t="s">
        <v>352</v>
      </c>
      <c r="H2075" t="s">
        <v>412</v>
      </c>
      <c r="I2075" t="s">
        <v>371</v>
      </c>
      <c r="J2075" t="s">
        <v>36</v>
      </c>
      <c r="K2075" t="s">
        <v>37</v>
      </c>
      <c r="L2075" t="s">
        <v>321</v>
      </c>
      <c r="M2075" t="s">
        <v>141</v>
      </c>
      <c r="N2075" t="s">
        <v>142</v>
      </c>
      <c r="O2075" t="s">
        <v>327</v>
      </c>
      <c r="P2075" t="s">
        <v>281</v>
      </c>
      <c r="Q2075" t="s">
        <v>328</v>
      </c>
      <c r="R2075" t="s">
        <v>329</v>
      </c>
      <c r="S2075" t="s">
        <v>392</v>
      </c>
      <c r="T2075">
        <v>1</v>
      </c>
      <c r="U2075" t="s">
        <v>445</v>
      </c>
      <c r="V2075" t="s">
        <v>343</v>
      </c>
      <c r="W2075" t="s">
        <v>447</v>
      </c>
      <c r="X2075" t="s">
        <v>331</v>
      </c>
      <c r="Y2075" t="s">
        <v>307</v>
      </c>
      <c r="Z2075">
        <v>70</v>
      </c>
      <c r="AA2075">
        <v>94</v>
      </c>
      <c r="AB2075" t="s">
        <v>143</v>
      </c>
      <c r="AC2075" t="s">
        <v>64</v>
      </c>
      <c r="AD2075" t="s">
        <v>50</v>
      </c>
      <c r="AE2075" t="str">
        <f>IF(AF2075="","",VLOOKUP(AC2075,mapel!$A$2:$B$42,2,FALSE))</f>
        <v>Math</v>
      </c>
      <c r="AF2075">
        <f t="shared" si="96"/>
        <v>94</v>
      </c>
      <c r="AG2075" t="str">
        <f>IF(AF2075="","",IF(AF2075&gt;90,"Sangat baik",IF(AF2075&gt;79,"Baik",IF(AF2075&gt;=pub_gid_0_single_true_output_csv[[#This Row],[KKM]],"Cukup","Kurang"))))</f>
        <v>Sangat baik</v>
      </c>
      <c r="AH2075">
        <f t="shared" si="97"/>
        <v>12</v>
      </c>
      <c r="AI2075" s="30" t="str">
        <f>IF(OR(J2075&lt;&gt;"Karakter",pub_gid_0_single_true_output_csv[[#This Row],[Nilai2]]=""),"",IF(AF2075&gt;89,"Sangat baik",IF(AF2075&gt;79,"Baik",IF(AF2075&gt;69,"Cukup",IF(AF2075&gt;59,"Kurang","Sangat kurang")))))</f>
        <v/>
      </c>
      <c r="AJ2075" t="str">
        <f t="shared" si="98"/>
        <v>Wk.7</v>
      </c>
      <c r="AK2075" t="str">
        <f>IF(pub_gid_0_single_true_output_csv[[#This Row],[Nilai2]]="","",VLOOKUP(pub_gid_0_single_true_output_csv[[#This Row],[NAMA]],Table7[],3,FALSE))</f>
        <v>Average</v>
      </c>
    </row>
    <row r="2076" spans="1:37" x14ac:dyDescent="0.2">
      <c r="A2076">
        <v>2075</v>
      </c>
      <c r="B2076" t="s">
        <v>316</v>
      </c>
      <c r="C2076" t="s">
        <v>65</v>
      </c>
      <c r="D2076" t="s">
        <v>61</v>
      </c>
      <c r="E2076" t="s">
        <v>140</v>
      </c>
      <c r="F2076" s="25">
        <v>46056</v>
      </c>
      <c r="G2076" t="s">
        <v>372</v>
      </c>
      <c r="H2076" t="s">
        <v>412</v>
      </c>
      <c r="I2076" t="s">
        <v>371</v>
      </c>
      <c r="J2076" t="s">
        <v>36</v>
      </c>
      <c r="K2076" t="s">
        <v>37</v>
      </c>
      <c r="L2076" t="s">
        <v>321</v>
      </c>
      <c r="M2076" t="s">
        <v>141</v>
      </c>
      <c r="N2076" t="s">
        <v>142</v>
      </c>
      <c r="O2076" t="s">
        <v>327</v>
      </c>
      <c r="P2076" t="s">
        <v>281</v>
      </c>
      <c r="Q2076" t="s">
        <v>328</v>
      </c>
      <c r="R2076" t="s">
        <v>329</v>
      </c>
      <c r="S2076" t="s">
        <v>375</v>
      </c>
      <c r="T2076">
        <v>1</v>
      </c>
      <c r="U2076" t="s">
        <v>445</v>
      </c>
      <c r="V2076" t="s">
        <v>342</v>
      </c>
      <c r="W2076" t="s">
        <v>448</v>
      </c>
      <c r="X2076" t="s">
        <v>331</v>
      </c>
      <c r="Y2076" t="s">
        <v>307</v>
      </c>
      <c r="Z2076">
        <v>70</v>
      </c>
      <c r="AA2076">
        <v>46</v>
      </c>
      <c r="AB2076" t="s">
        <v>151</v>
      </c>
      <c r="AC2076" t="s">
        <v>64</v>
      </c>
      <c r="AD2076" t="s">
        <v>50</v>
      </c>
      <c r="AE2076" t="str">
        <f>IF(AF2076="","",VLOOKUP(AC2076,mapel!$A$2:$B$42,2,FALSE))</f>
        <v>Math</v>
      </c>
      <c r="AF2076">
        <f t="shared" si="96"/>
        <v>46</v>
      </c>
      <c r="AG2076" t="str">
        <f>IF(AF2076="","",IF(AF2076&gt;90,"Sangat baik",IF(AF2076&gt;79,"Baik",IF(AF2076&gt;=pub_gid_0_single_true_output_csv[[#This Row],[KKM]],"Cukup","Kurang"))))</f>
        <v>Kurang</v>
      </c>
      <c r="AH2076">
        <f t="shared" si="97"/>
        <v>12</v>
      </c>
      <c r="AI2076" s="30" t="str">
        <f>IF(OR(J2076&lt;&gt;"Karakter",pub_gid_0_single_true_output_csv[[#This Row],[Nilai2]]=""),"",IF(AF2076&gt;89,"Sangat baik",IF(AF2076&gt;79,"Baik",IF(AF2076&gt;69,"Cukup",IF(AF2076&gt;59,"Kurang","Sangat kurang")))))</f>
        <v/>
      </c>
      <c r="AJ2076" t="str">
        <f t="shared" si="98"/>
        <v>Wk.6</v>
      </c>
      <c r="AK2076" t="str">
        <f>IF(pub_gid_0_single_true_output_csv[[#This Row],[Nilai2]]="","",VLOOKUP(pub_gid_0_single_true_output_csv[[#This Row],[NAMA]],Table7[],3,FALSE))</f>
        <v>Average</v>
      </c>
    </row>
    <row r="2077" spans="1:37" x14ac:dyDescent="0.2">
      <c r="A2077">
        <v>2076</v>
      </c>
      <c r="B2077" t="s">
        <v>316</v>
      </c>
      <c r="C2077" t="s">
        <v>65</v>
      </c>
      <c r="D2077" t="s">
        <v>61</v>
      </c>
      <c r="E2077" t="s">
        <v>140</v>
      </c>
      <c r="F2077" s="25">
        <v>46064</v>
      </c>
      <c r="G2077" t="s">
        <v>352</v>
      </c>
      <c r="H2077" t="s">
        <v>412</v>
      </c>
      <c r="I2077" t="s">
        <v>371</v>
      </c>
      <c r="J2077" t="s">
        <v>36</v>
      </c>
      <c r="K2077" t="s">
        <v>37</v>
      </c>
      <c r="L2077" t="s">
        <v>150</v>
      </c>
      <c r="M2077" t="s">
        <v>141</v>
      </c>
      <c r="N2077" t="s">
        <v>142</v>
      </c>
      <c r="O2077" t="s">
        <v>327</v>
      </c>
      <c r="P2077" t="s">
        <v>281</v>
      </c>
      <c r="Q2077" t="s">
        <v>328</v>
      </c>
      <c r="R2077" t="s">
        <v>329</v>
      </c>
      <c r="S2077" t="s">
        <v>392</v>
      </c>
      <c r="T2077">
        <v>1</v>
      </c>
      <c r="U2077" t="s">
        <v>445</v>
      </c>
      <c r="V2077" t="s">
        <v>343</v>
      </c>
      <c r="W2077" t="s">
        <v>447</v>
      </c>
      <c r="X2077" t="s">
        <v>331</v>
      </c>
      <c r="Y2077" t="s">
        <v>307</v>
      </c>
      <c r="Z2077">
        <v>70</v>
      </c>
      <c r="AA2077">
        <v>62</v>
      </c>
      <c r="AB2077" t="s">
        <v>151</v>
      </c>
      <c r="AC2077" t="s">
        <v>64</v>
      </c>
      <c r="AD2077" t="s">
        <v>50</v>
      </c>
      <c r="AE2077" t="str">
        <f>IF(AF2077="","",VLOOKUP(AC2077,mapel!$A$2:$B$42,2,FALSE))</f>
        <v>Math</v>
      </c>
      <c r="AF2077">
        <f t="shared" si="96"/>
        <v>62</v>
      </c>
      <c r="AG2077" t="str">
        <f>IF(AF2077="","",IF(AF2077&gt;90,"Sangat baik",IF(AF2077&gt;79,"Baik",IF(AF2077&gt;=pub_gid_0_single_true_output_csv[[#This Row],[KKM]],"Cukup","Kurang"))))</f>
        <v>Kurang</v>
      </c>
      <c r="AH2077">
        <f t="shared" si="97"/>
        <v>12</v>
      </c>
      <c r="AI2077" s="30" t="str">
        <f>IF(OR(J2077&lt;&gt;"Karakter",pub_gid_0_single_true_output_csv[[#This Row],[Nilai2]]=""),"",IF(AF2077&gt;89,"Sangat baik",IF(AF2077&gt;79,"Baik",IF(AF2077&gt;69,"Cukup",IF(AF2077&gt;59,"Kurang","Sangat kurang")))))</f>
        <v/>
      </c>
      <c r="AJ2077" t="str">
        <f t="shared" si="98"/>
        <v>Wk.7</v>
      </c>
      <c r="AK2077" t="str">
        <f>IF(pub_gid_0_single_true_output_csv[[#This Row],[Nilai2]]="","",VLOOKUP(pub_gid_0_single_true_output_csv[[#This Row],[NAMA]],Table7[],3,FALSE))</f>
        <v>Average</v>
      </c>
    </row>
    <row r="2078" spans="1:37" x14ac:dyDescent="0.2">
      <c r="A2078">
        <v>2077</v>
      </c>
      <c r="B2078" t="s">
        <v>316</v>
      </c>
      <c r="C2078" t="s">
        <v>65</v>
      </c>
      <c r="D2078" t="s">
        <v>61</v>
      </c>
      <c r="E2078" t="s">
        <v>140</v>
      </c>
      <c r="F2078" s="25">
        <v>46078</v>
      </c>
      <c r="G2078" t="s">
        <v>284</v>
      </c>
      <c r="H2078" t="s">
        <v>412</v>
      </c>
      <c r="I2078" t="s">
        <v>371</v>
      </c>
      <c r="J2078" t="s">
        <v>36</v>
      </c>
      <c r="K2078" t="s">
        <v>37</v>
      </c>
      <c r="L2078" t="s">
        <v>150</v>
      </c>
      <c r="M2078" t="s">
        <v>141</v>
      </c>
      <c r="N2078" t="s">
        <v>142</v>
      </c>
      <c r="O2078" t="s">
        <v>327</v>
      </c>
      <c r="P2078" t="s">
        <v>281</v>
      </c>
      <c r="Q2078" t="s">
        <v>328</v>
      </c>
      <c r="R2078" t="s">
        <v>329</v>
      </c>
      <c r="S2078" t="s">
        <v>392</v>
      </c>
      <c r="T2078">
        <v>1</v>
      </c>
      <c r="U2078" t="s">
        <v>445</v>
      </c>
      <c r="V2078" t="s">
        <v>343</v>
      </c>
      <c r="W2078" t="s">
        <v>447</v>
      </c>
      <c r="X2078" t="s">
        <v>331</v>
      </c>
      <c r="Y2078" t="s">
        <v>307</v>
      </c>
      <c r="Z2078">
        <v>70</v>
      </c>
      <c r="AA2078">
        <v>67</v>
      </c>
      <c r="AB2078" t="s">
        <v>151</v>
      </c>
      <c r="AC2078" t="s">
        <v>64</v>
      </c>
      <c r="AD2078" t="s">
        <v>50</v>
      </c>
      <c r="AE2078" t="str">
        <f>IF(AF2078="","",VLOOKUP(AC2078,mapel!$A$2:$B$42,2,FALSE))</f>
        <v>Math</v>
      </c>
      <c r="AF2078">
        <f t="shared" si="96"/>
        <v>67</v>
      </c>
      <c r="AG2078" t="str">
        <f>IF(AF2078="","",IF(AF2078&gt;90,"Sangat baik",IF(AF2078&gt;79,"Baik",IF(AF2078&gt;=pub_gid_0_single_true_output_csv[[#This Row],[KKM]],"Cukup","Kurang"))))</f>
        <v>Kurang</v>
      </c>
      <c r="AH2078">
        <f t="shared" si="97"/>
        <v>12</v>
      </c>
      <c r="AI2078" s="30" t="str">
        <f>IF(OR(J2078&lt;&gt;"Karakter",pub_gid_0_single_true_output_csv[[#This Row],[Nilai2]]=""),"",IF(AF2078&gt;89,"Sangat baik",IF(AF2078&gt;79,"Baik",IF(AF2078&gt;69,"Cukup",IF(AF2078&gt;59,"Kurang","Sangat kurang")))))</f>
        <v/>
      </c>
      <c r="AJ2078" t="str">
        <f t="shared" si="98"/>
        <v>Wk.9</v>
      </c>
      <c r="AK2078" t="str">
        <f>IF(pub_gid_0_single_true_output_csv[[#This Row],[Nilai2]]="","",VLOOKUP(pub_gid_0_single_true_output_csv[[#This Row],[NAMA]],Table7[],3,FALSE))</f>
        <v>Average</v>
      </c>
    </row>
    <row r="2079" spans="1:37" x14ac:dyDescent="0.2">
      <c r="A2079">
        <v>2078</v>
      </c>
      <c r="B2079" t="s">
        <v>317</v>
      </c>
      <c r="C2079" t="s">
        <v>65</v>
      </c>
      <c r="D2079" t="s">
        <v>62</v>
      </c>
      <c r="E2079" t="s">
        <v>140</v>
      </c>
      <c r="F2079" s="25">
        <v>46036</v>
      </c>
      <c r="G2079" t="s">
        <v>353</v>
      </c>
      <c r="H2079" t="s">
        <v>405</v>
      </c>
      <c r="I2079" t="s">
        <v>371</v>
      </c>
      <c r="J2079" t="s">
        <v>36</v>
      </c>
      <c r="K2079" t="s">
        <v>37</v>
      </c>
      <c r="L2079" t="s">
        <v>321</v>
      </c>
      <c r="M2079" t="s">
        <v>141</v>
      </c>
      <c r="N2079" t="s">
        <v>142</v>
      </c>
      <c r="O2079" t="s">
        <v>327</v>
      </c>
      <c r="P2079" t="s">
        <v>281</v>
      </c>
      <c r="Q2079" t="s">
        <v>328</v>
      </c>
      <c r="R2079" t="s">
        <v>329</v>
      </c>
      <c r="S2079" t="s">
        <v>330</v>
      </c>
      <c r="T2079">
        <v>1</v>
      </c>
      <c r="U2079" t="s">
        <v>445</v>
      </c>
      <c r="V2079" t="s">
        <v>285</v>
      </c>
      <c r="W2079" t="s">
        <v>446</v>
      </c>
      <c r="X2079" t="s">
        <v>331</v>
      </c>
      <c r="Y2079" t="s">
        <v>307</v>
      </c>
      <c r="Z2079">
        <v>70</v>
      </c>
      <c r="AA2079">
        <v>100</v>
      </c>
      <c r="AB2079" t="s">
        <v>143</v>
      </c>
      <c r="AC2079" t="s">
        <v>64</v>
      </c>
      <c r="AD2079" t="s">
        <v>50</v>
      </c>
      <c r="AE2079" t="str">
        <f>IF(AF2079="","",VLOOKUP(AC2079,mapel!$A$2:$B$42,2,FALSE))</f>
        <v>Math</v>
      </c>
      <c r="AF2079">
        <f t="shared" si="96"/>
        <v>100</v>
      </c>
      <c r="AG2079" t="str">
        <f>IF(AF2079="","",IF(AF2079&gt;90,"Sangat baik",IF(AF2079&gt;79,"Baik",IF(AF2079&gt;=pub_gid_0_single_true_output_csv[[#This Row],[KKM]],"Cukup","Kurang"))))</f>
        <v>Sangat baik</v>
      </c>
      <c r="AH2079">
        <f t="shared" si="97"/>
        <v>12</v>
      </c>
      <c r="AI2079" s="30" t="str">
        <f>IF(OR(J2079&lt;&gt;"Karakter",pub_gid_0_single_true_output_csv[[#This Row],[Nilai2]]=""),"",IF(AF2079&gt;89,"Sangat baik",IF(AF2079&gt;79,"Baik",IF(AF2079&gt;69,"Cukup",IF(AF2079&gt;59,"Kurang","Sangat kurang")))))</f>
        <v/>
      </c>
      <c r="AJ2079" t="str">
        <f t="shared" si="98"/>
        <v>Wk.3</v>
      </c>
      <c r="AK2079" t="str">
        <f>IF(pub_gid_0_single_true_output_csv[[#This Row],[Nilai2]]="","",VLOOKUP(pub_gid_0_single_true_output_csv[[#This Row],[NAMA]],Table7[],3,FALSE))</f>
        <v>Borderline</v>
      </c>
    </row>
    <row r="2080" spans="1:37" x14ac:dyDescent="0.2">
      <c r="A2080">
        <v>2079</v>
      </c>
      <c r="B2080" t="s">
        <v>317</v>
      </c>
      <c r="C2080" t="s">
        <v>65</v>
      </c>
      <c r="D2080" t="s">
        <v>62</v>
      </c>
      <c r="E2080" t="s">
        <v>140</v>
      </c>
      <c r="F2080" s="25">
        <v>46041</v>
      </c>
      <c r="G2080" t="s">
        <v>370</v>
      </c>
      <c r="H2080" t="s">
        <v>405</v>
      </c>
      <c r="I2080" t="s">
        <v>371</v>
      </c>
      <c r="J2080" t="s">
        <v>36</v>
      </c>
      <c r="K2080" t="s">
        <v>37</v>
      </c>
      <c r="L2080" t="s">
        <v>321</v>
      </c>
      <c r="M2080" t="s">
        <v>141</v>
      </c>
      <c r="N2080" t="s">
        <v>142</v>
      </c>
      <c r="O2080" t="s">
        <v>327</v>
      </c>
      <c r="P2080" t="s">
        <v>281</v>
      </c>
      <c r="Q2080" t="s">
        <v>328</v>
      </c>
      <c r="R2080" t="s">
        <v>329</v>
      </c>
      <c r="S2080" t="s">
        <v>330</v>
      </c>
      <c r="T2080">
        <v>1</v>
      </c>
      <c r="U2080" t="s">
        <v>445</v>
      </c>
      <c r="V2080" t="s">
        <v>285</v>
      </c>
      <c r="W2080" t="s">
        <v>446</v>
      </c>
      <c r="X2080" t="s">
        <v>331</v>
      </c>
      <c r="Y2080" t="s">
        <v>307</v>
      </c>
      <c r="Z2080">
        <v>70</v>
      </c>
      <c r="AA2080">
        <v>100</v>
      </c>
      <c r="AB2080" t="s">
        <v>143</v>
      </c>
      <c r="AC2080" t="s">
        <v>64</v>
      </c>
      <c r="AD2080" t="s">
        <v>50</v>
      </c>
      <c r="AE2080" t="str">
        <f>IF(AF2080="","",VLOOKUP(AC2080,mapel!$A$2:$B$42,2,FALSE))</f>
        <v>Math</v>
      </c>
      <c r="AF2080">
        <f t="shared" si="96"/>
        <v>100</v>
      </c>
      <c r="AG2080" t="str">
        <f>IF(AF2080="","",IF(AF2080&gt;90,"Sangat baik",IF(AF2080&gt;79,"Baik",IF(AF2080&gt;=pub_gid_0_single_true_output_csv[[#This Row],[KKM]],"Cukup","Kurang"))))</f>
        <v>Sangat baik</v>
      </c>
      <c r="AH2080">
        <f t="shared" si="97"/>
        <v>12</v>
      </c>
      <c r="AI2080" s="30" t="str">
        <f>IF(OR(J2080&lt;&gt;"Karakter",pub_gid_0_single_true_output_csv[[#This Row],[Nilai2]]=""),"",IF(AF2080&gt;89,"Sangat baik",IF(AF2080&gt;79,"Baik",IF(AF2080&gt;69,"Cukup",IF(AF2080&gt;59,"Kurang","Sangat kurang")))))</f>
        <v/>
      </c>
      <c r="AJ2080" t="str">
        <f t="shared" si="98"/>
        <v>Wk.4</v>
      </c>
      <c r="AK2080" t="str">
        <f>IF(pub_gid_0_single_true_output_csv[[#This Row],[Nilai2]]="","",VLOOKUP(pub_gid_0_single_true_output_csv[[#This Row],[NAMA]],Table7[],3,FALSE))</f>
        <v>Borderline</v>
      </c>
    </row>
    <row r="2081" spans="1:37" x14ac:dyDescent="0.2">
      <c r="A2081">
        <v>2080</v>
      </c>
      <c r="B2081" t="s">
        <v>317</v>
      </c>
      <c r="C2081" t="s">
        <v>65</v>
      </c>
      <c r="D2081" t="s">
        <v>62</v>
      </c>
      <c r="E2081" t="s">
        <v>140</v>
      </c>
      <c r="F2081" s="25">
        <v>46041</v>
      </c>
      <c r="G2081" t="s">
        <v>370</v>
      </c>
      <c r="H2081" t="s">
        <v>405</v>
      </c>
      <c r="I2081" t="s">
        <v>371</v>
      </c>
      <c r="J2081" t="s">
        <v>36</v>
      </c>
      <c r="K2081" t="s">
        <v>37</v>
      </c>
      <c r="L2081" t="s">
        <v>321</v>
      </c>
      <c r="M2081" t="s">
        <v>141</v>
      </c>
      <c r="N2081" t="s">
        <v>142</v>
      </c>
      <c r="O2081" t="s">
        <v>327</v>
      </c>
      <c r="P2081" t="s">
        <v>281</v>
      </c>
      <c r="Q2081" t="s">
        <v>328</v>
      </c>
      <c r="R2081" t="s">
        <v>329</v>
      </c>
      <c r="S2081" t="s">
        <v>330</v>
      </c>
      <c r="T2081">
        <v>1</v>
      </c>
      <c r="U2081" t="s">
        <v>445</v>
      </c>
      <c r="V2081" t="s">
        <v>285</v>
      </c>
      <c r="W2081" t="s">
        <v>446</v>
      </c>
      <c r="X2081" t="s">
        <v>331</v>
      </c>
      <c r="Y2081" t="s">
        <v>307</v>
      </c>
      <c r="Z2081">
        <v>70</v>
      </c>
      <c r="AA2081">
        <v>55</v>
      </c>
      <c r="AB2081" t="s">
        <v>151</v>
      </c>
      <c r="AC2081" t="s">
        <v>64</v>
      </c>
      <c r="AD2081" t="s">
        <v>50</v>
      </c>
      <c r="AE2081" t="str">
        <f>IF(AF2081="","",VLOOKUP(AC2081,mapel!$A$2:$B$42,2,FALSE))</f>
        <v>Math</v>
      </c>
      <c r="AF2081">
        <f t="shared" si="96"/>
        <v>55</v>
      </c>
      <c r="AG2081" t="str">
        <f>IF(AF2081="","",IF(AF2081&gt;90,"Sangat baik",IF(AF2081&gt;79,"Baik",IF(AF2081&gt;=pub_gid_0_single_true_output_csv[[#This Row],[KKM]],"Cukup","Kurang"))))</f>
        <v>Kurang</v>
      </c>
      <c r="AH2081">
        <f t="shared" si="97"/>
        <v>12</v>
      </c>
      <c r="AI2081" s="30" t="str">
        <f>IF(OR(J2081&lt;&gt;"Karakter",pub_gid_0_single_true_output_csv[[#This Row],[Nilai2]]=""),"",IF(AF2081&gt;89,"Sangat baik",IF(AF2081&gt;79,"Baik",IF(AF2081&gt;69,"Cukup",IF(AF2081&gt;59,"Kurang","Sangat kurang")))))</f>
        <v/>
      </c>
      <c r="AJ2081" t="str">
        <f t="shared" si="98"/>
        <v>Wk.4</v>
      </c>
      <c r="AK2081" t="str">
        <f>IF(pub_gid_0_single_true_output_csv[[#This Row],[Nilai2]]="","",VLOOKUP(pub_gid_0_single_true_output_csv[[#This Row],[NAMA]],Table7[],3,FALSE))</f>
        <v>Borderline</v>
      </c>
    </row>
    <row r="2082" spans="1:37" x14ac:dyDescent="0.2">
      <c r="A2082">
        <v>2081</v>
      </c>
      <c r="B2082" t="s">
        <v>317</v>
      </c>
      <c r="C2082" t="s">
        <v>65</v>
      </c>
      <c r="D2082" t="s">
        <v>62</v>
      </c>
      <c r="E2082" t="s">
        <v>140</v>
      </c>
      <c r="F2082" s="25">
        <v>46043</v>
      </c>
      <c r="G2082" t="s">
        <v>341</v>
      </c>
      <c r="H2082" t="s">
        <v>405</v>
      </c>
      <c r="I2082" t="s">
        <v>371</v>
      </c>
      <c r="J2082" t="s">
        <v>36</v>
      </c>
      <c r="K2082" t="s">
        <v>37</v>
      </c>
      <c r="L2082" t="s">
        <v>321</v>
      </c>
      <c r="M2082" t="s">
        <v>141</v>
      </c>
      <c r="N2082" t="s">
        <v>142</v>
      </c>
      <c r="O2082" t="s">
        <v>327</v>
      </c>
      <c r="P2082" t="s">
        <v>281</v>
      </c>
      <c r="Q2082" t="s">
        <v>328</v>
      </c>
      <c r="R2082" t="s">
        <v>329</v>
      </c>
      <c r="S2082" t="s">
        <v>330</v>
      </c>
      <c r="T2082">
        <v>1</v>
      </c>
      <c r="U2082" t="s">
        <v>445</v>
      </c>
      <c r="V2082" t="s">
        <v>285</v>
      </c>
      <c r="W2082" t="s">
        <v>446</v>
      </c>
      <c r="X2082" t="s">
        <v>331</v>
      </c>
      <c r="Y2082" t="s">
        <v>307</v>
      </c>
      <c r="Z2082">
        <v>70</v>
      </c>
      <c r="AA2082">
        <v>59</v>
      </c>
      <c r="AB2082" t="s">
        <v>151</v>
      </c>
      <c r="AC2082" t="s">
        <v>64</v>
      </c>
      <c r="AD2082" t="s">
        <v>50</v>
      </c>
      <c r="AE2082" t="str">
        <f>IF(AF2082="","",VLOOKUP(AC2082,mapel!$A$2:$B$42,2,FALSE))</f>
        <v>Math</v>
      </c>
      <c r="AF2082">
        <f t="shared" si="96"/>
        <v>59</v>
      </c>
      <c r="AG2082" t="str">
        <f>IF(AF2082="","",IF(AF2082&gt;90,"Sangat baik",IF(AF2082&gt;79,"Baik",IF(AF2082&gt;=pub_gid_0_single_true_output_csv[[#This Row],[KKM]],"Cukup","Kurang"))))</f>
        <v>Kurang</v>
      </c>
      <c r="AH2082">
        <f t="shared" si="97"/>
        <v>12</v>
      </c>
      <c r="AI2082" s="30" t="str">
        <f>IF(OR(J2082&lt;&gt;"Karakter",pub_gid_0_single_true_output_csv[[#This Row],[Nilai2]]=""),"",IF(AF2082&gt;89,"Sangat baik",IF(AF2082&gt;79,"Baik",IF(AF2082&gt;69,"Cukup",IF(AF2082&gt;59,"Kurang","Sangat kurang")))))</f>
        <v/>
      </c>
      <c r="AJ2082" t="str">
        <f t="shared" si="98"/>
        <v>Wk.4</v>
      </c>
      <c r="AK2082" t="str">
        <f>IF(pub_gid_0_single_true_output_csv[[#This Row],[Nilai2]]="","",VLOOKUP(pub_gid_0_single_true_output_csv[[#This Row],[NAMA]],Table7[],3,FALSE))</f>
        <v>Borderline</v>
      </c>
    </row>
    <row r="2083" spans="1:37" x14ac:dyDescent="0.2">
      <c r="A2083">
        <v>2082</v>
      </c>
      <c r="B2083" t="s">
        <v>317</v>
      </c>
      <c r="C2083" t="s">
        <v>65</v>
      </c>
      <c r="D2083" t="s">
        <v>62</v>
      </c>
      <c r="E2083" t="s">
        <v>140</v>
      </c>
      <c r="F2083" s="25">
        <v>46041</v>
      </c>
      <c r="G2083" t="s">
        <v>370</v>
      </c>
      <c r="H2083" t="s">
        <v>405</v>
      </c>
      <c r="I2083" t="s">
        <v>371</v>
      </c>
      <c r="J2083" t="s">
        <v>36</v>
      </c>
      <c r="K2083" t="s">
        <v>37</v>
      </c>
      <c r="L2083" t="s">
        <v>321</v>
      </c>
      <c r="M2083" t="s">
        <v>141</v>
      </c>
      <c r="N2083" t="s">
        <v>142</v>
      </c>
      <c r="O2083" t="s">
        <v>327</v>
      </c>
      <c r="P2083" t="s">
        <v>281</v>
      </c>
      <c r="Q2083" t="s">
        <v>328</v>
      </c>
      <c r="R2083" t="s">
        <v>329</v>
      </c>
      <c r="S2083" t="s">
        <v>330</v>
      </c>
      <c r="T2083">
        <v>1</v>
      </c>
      <c r="U2083" t="s">
        <v>445</v>
      </c>
      <c r="V2083" t="s">
        <v>285</v>
      </c>
      <c r="W2083" t="s">
        <v>446</v>
      </c>
      <c r="X2083" t="s">
        <v>331</v>
      </c>
      <c r="Y2083" t="s">
        <v>307</v>
      </c>
      <c r="Z2083">
        <v>70</v>
      </c>
      <c r="AA2083">
        <v>0</v>
      </c>
      <c r="AB2083" t="s">
        <v>151</v>
      </c>
      <c r="AC2083" t="s">
        <v>64</v>
      </c>
      <c r="AD2083" t="s">
        <v>50</v>
      </c>
      <c r="AE2083" t="str">
        <f>IF(AF2083="","",VLOOKUP(AC2083,mapel!$A$2:$B$42,2,FALSE))</f>
        <v/>
      </c>
      <c r="AF2083" t="str">
        <f t="shared" si="96"/>
        <v/>
      </c>
      <c r="AG2083" t="str">
        <f>IF(AF2083="","",IF(AF2083&gt;90,"Sangat baik",IF(AF2083&gt;79,"Baik",IF(AF2083&gt;=pub_gid_0_single_true_output_csv[[#This Row],[KKM]],"Cukup","Kurang"))))</f>
        <v/>
      </c>
      <c r="AH2083" t="str">
        <f t="shared" si="97"/>
        <v/>
      </c>
      <c r="AI2083" s="30" t="str">
        <f>IF(OR(J2083&lt;&gt;"Karakter",pub_gid_0_single_true_output_csv[[#This Row],[Nilai2]]=""),"",IF(AF2083&gt;89,"Sangat baik",IF(AF2083&gt;79,"Baik",IF(AF2083&gt;69,"Cukup",IF(AF2083&gt;59,"Kurang","Sangat kurang")))))</f>
        <v/>
      </c>
      <c r="AJ2083" t="str">
        <f t="shared" si="98"/>
        <v/>
      </c>
      <c r="AK2083" t="str">
        <f>IF(pub_gid_0_single_true_output_csv[[#This Row],[Nilai2]]="","",VLOOKUP(pub_gid_0_single_true_output_csv[[#This Row],[NAMA]],Table7[],3,FALSE))</f>
        <v/>
      </c>
    </row>
    <row r="2084" spans="1:37" x14ac:dyDescent="0.2">
      <c r="A2084">
        <v>2083</v>
      </c>
      <c r="B2084" t="s">
        <v>317</v>
      </c>
      <c r="C2084" t="s">
        <v>65</v>
      </c>
      <c r="D2084" t="s">
        <v>62</v>
      </c>
      <c r="E2084" t="s">
        <v>140</v>
      </c>
      <c r="F2084" s="25">
        <v>46063</v>
      </c>
      <c r="G2084" t="s">
        <v>374</v>
      </c>
      <c r="H2084" t="s">
        <v>412</v>
      </c>
      <c r="I2084" t="s">
        <v>371</v>
      </c>
      <c r="J2084" t="s">
        <v>36</v>
      </c>
      <c r="K2084" t="s">
        <v>37</v>
      </c>
      <c r="L2084" t="s">
        <v>321</v>
      </c>
      <c r="M2084" t="s">
        <v>141</v>
      </c>
      <c r="N2084" t="s">
        <v>142</v>
      </c>
      <c r="O2084" t="s">
        <v>327</v>
      </c>
      <c r="P2084" t="s">
        <v>281</v>
      </c>
      <c r="Q2084" t="s">
        <v>328</v>
      </c>
      <c r="R2084" t="s">
        <v>329</v>
      </c>
      <c r="S2084" t="s">
        <v>392</v>
      </c>
      <c r="T2084">
        <v>1</v>
      </c>
      <c r="U2084" t="s">
        <v>445</v>
      </c>
      <c r="V2084" t="s">
        <v>343</v>
      </c>
      <c r="W2084" t="s">
        <v>447</v>
      </c>
      <c r="X2084" t="s">
        <v>331</v>
      </c>
      <c r="Y2084" t="s">
        <v>307</v>
      </c>
      <c r="Z2084">
        <v>70</v>
      </c>
      <c r="AA2084">
        <v>66</v>
      </c>
      <c r="AB2084" t="s">
        <v>151</v>
      </c>
      <c r="AC2084" t="s">
        <v>64</v>
      </c>
      <c r="AD2084" t="s">
        <v>50</v>
      </c>
      <c r="AE2084" t="str">
        <f>IF(AF2084="","",VLOOKUP(AC2084,mapel!$A$2:$B$42,2,FALSE))</f>
        <v>Math</v>
      </c>
      <c r="AF2084">
        <f t="shared" si="96"/>
        <v>66</v>
      </c>
      <c r="AG2084" t="str">
        <f>IF(AF2084="","",IF(AF2084&gt;90,"Sangat baik",IF(AF2084&gt;79,"Baik",IF(AF2084&gt;=pub_gid_0_single_true_output_csv[[#This Row],[KKM]],"Cukup","Kurang"))))</f>
        <v>Kurang</v>
      </c>
      <c r="AH2084">
        <f t="shared" si="97"/>
        <v>12</v>
      </c>
      <c r="AI2084" s="30" t="str">
        <f>IF(OR(J2084&lt;&gt;"Karakter",pub_gid_0_single_true_output_csv[[#This Row],[Nilai2]]=""),"",IF(AF2084&gt;89,"Sangat baik",IF(AF2084&gt;79,"Baik",IF(AF2084&gt;69,"Cukup",IF(AF2084&gt;59,"Kurang","Sangat kurang")))))</f>
        <v/>
      </c>
      <c r="AJ2084" t="str">
        <f t="shared" si="98"/>
        <v>Wk.7</v>
      </c>
      <c r="AK2084" t="str">
        <f>IF(pub_gid_0_single_true_output_csv[[#This Row],[Nilai2]]="","",VLOOKUP(pub_gid_0_single_true_output_csv[[#This Row],[NAMA]],Table7[],3,FALSE))</f>
        <v>Borderline</v>
      </c>
    </row>
    <row r="2085" spans="1:37" x14ac:dyDescent="0.2">
      <c r="A2085">
        <v>2084</v>
      </c>
      <c r="B2085" t="s">
        <v>317</v>
      </c>
      <c r="C2085" t="s">
        <v>65</v>
      </c>
      <c r="D2085" t="s">
        <v>62</v>
      </c>
      <c r="E2085" t="s">
        <v>140</v>
      </c>
      <c r="F2085" s="25">
        <v>46064</v>
      </c>
      <c r="G2085" t="s">
        <v>352</v>
      </c>
      <c r="H2085" t="s">
        <v>412</v>
      </c>
      <c r="I2085" t="s">
        <v>371</v>
      </c>
      <c r="J2085" t="s">
        <v>36</v>
      </c>
      <c r="K2085" t="s">
        <v>37</v>
      </c>
      <c r="L2085" t="s">
        <v>321</v>
      </c>
      <c r="M2085" t="s">
        <v>141</v>
      </c>
      <c r="N2085" t="s">
        <v>142</v>
      </c>
      <c r="O2085" t="s">
        <v>327</v>
      </c>
      <c r="P2085" t="s">
        <v>281</v>
      </c>
      <c r="Q2085" t="s">
        <v>328</v>
      </c>
      <c r="R2085" t="s">
        <v>329</v>
      </c>
      <c r="S2085" t="s">
        <v>392</v>
      </c>
      <c r="T2085">
        <v>1</v>
      </c>
      <c r="U2085" t="s">
        <v>445</v>
      </c>
      <c r="V2085" t="s">
        <v>343</v>
      </c>
      <c r="W2085" t="s">
        <v>447</v>
      </c>
      <c r="X2085" t="s">
        <v>331</v>
      </c>
      <c r="Y2085" t="s">
        <v>307</v>
      </c>
      <c r="Z2085">
        <v>70</v>
      </c>
      <c r="AA2085">
        <v>98</v>
      </c>
      <c r="AB2085" t="s">
        <v>143</v>
      </c>
      <c r="AC2085" t="s">
        <v>64</v>
      </c>
      <c r="AD2085" t="s">
        <v>50</v>
      </c>
      <c r="AE2085" t="str">
        <f>IF(AF2085="","",VLOOKUP(AC2085,mapel!$A$2:$B$42,2,FALSE))</f>
        <v>Math</v>
      </c>
      <c r="AF2085">
        <f t="shared" si="96"/>
        <v>98</v>
      </c>
      <c r="AG2085" t="str">
        <f>IF(AF2085="","",IF(AF2085&gt;90,"Sangat baik",IF(AF2085&gt;79,"Baik",IF(AF2085&gt;=pub_gid_0_single_true_output_csv[[#This Row],[KKM]],"Cukup","Kurang"))))</f>
        <v>Sangat baik</v>
      </c>
      <c r="AH2085">
        <f t="shared" si="97"/>
        <v>12</v>
      </c>
      <c r="AI2085" s="30" t="str">
        <f>IF(OR(J2085&lt;&gt;"Karakter",pub_gid_0_single_true_output_csv[[#This Row],[Nilai2]]=""),"",IF(AF2085&gt;89,"Sangat baik",IF(AF2085&gt;79,"Baik",IF(AF2085&gt;69,"Cukup",IF(AF2085&gt;59,"Kurang","Sangat kurang")))))</f>
        <v/>
      </c>
      <c r="AJ2085" t="str">
        <f t="shared" si="98"/>
        <v>Wk.7</v>
      </c>
      <c r="AK2085" t="str">
        <f>IF(pub_gid_0_single_true_output_csv[[#This Row],[Nilai2]]="","",VLOOKUP(pub_gid_0_single_true_output_csv[[#This Row],[NAMA]],Table7[],3,FALSE))</f>
        <v>Borderline</v>
      </c>
    </row>
    <row r="2086" spans="1:37" x14ac:dyDescent="0.2">
      <c r="A2086">
        <v>2085</v>
      </c>
      <c r="B2086" t="s">
        <v>317</v>
      </c>
      <c r="C2086" t="s">
        <v>65</v>
      </c>
      <c r="D2086" t="s">
        <v>62</v>
      </c>
      <c r="E2086" t="s">
        <v>140</v>
      </c>
      <c r="F2086" s="25">
        <v>46056</v>
      </c>
      <c r="G2086" t="s">
        <v>372</v>
      </c>
      <c r="H2086" t="s">
        <v>412</v>
      </c>
      <c r="I2086" t="s">
        <v>371</v>
      </c>
      <c r="J2086" t="s">
        <v>36</v>
      </c>
      <c r="K2086" t="s">
        <v>37</v>
      </c>
      <c r="L2086" t="s">
        <v>321</v>
      </c>
      <c r="M2086" t="s">
        <v>141</v>
      </c>
      <c r="N2086" t="s">
        <v>142</v>
      </c>
      <c r="O2086" t="s">
        <v>327</v>
      </c>
      <c r="P2086" t="s">
        <v>281</v>
      </c>
      <c r="Q2086" t="s">
        <v>328</v>
      </c>
      <c r="R2086" t="s">
        <v>329</v>
      </c>
      <c r="S2086" t="s">
        <v>375</v>
      </c>
      <c r="T2086">
        <v>1</v>
      </c>
      <c r="U2086" t="s">
        <v>445</v>
      </c>
      <c r="V2086" t="s">
        <v>342</v>
      </c>
      <c r="W2086" t="s">
        <v>448</v>
      </c>
      <c r="X2086" t="s">
        <v>331</v>
      </c>
      <c r="Y2086" t="s">
        <v>307</v>
      </c>
      <c r="Z2086">
        <v>70</v>
      </c>
      <c r="AA2086">
        <v>74</v>
      </c>
      <c r="AB2086" t="s">
        <v>143</v>
      </c>
      <c r="AC2086" t="s">
        <v>64</v>
      </c>
      <c r="AD2086" t="s">
        <v>50</v>
      </c>
      <c r="AE2086" t="str">
        <f>IF(AF2086="","",VLOOKUP(AC2086,mapel!$A$2:$B$42,2,FALSE))</f>
        <v>Math</v>
      </c>
      <c r="AF2086">
        <f t="shared" si="96"/>
        <v>74</v>
      </c>
      <c r="AG2086" t="str">
        <f>IF(AF2086="","",IF(AF2086&gt;90,"Sangat baik",IF(AF2086&gt;79,"Baik",IF(AF2086&gt;=pub_gid_0_single_true_output_csv[[#This Row],[KKM]],"Cukup","Kurang"))))</f>
        <v>Cukup</v>
      </c>
      <c r="AH2086">
        <f t="shared" si="97"/>
        <v>12</v>
      </c>
      <c r="AI2086" s="30" t="str">
        <f>IF(OR(J2086&lt;&gt;"Karakter",pub_gid_0_single_true_output_csv[[#This Row],[Nilai2]]=""),"",IF(AF2086&gt;89,"Sangat baik",IF(AF2086&gt;79,"Baik",IF(AF2086&gt;69,"Cukup",IF(AF2086&gt;59,"Kurang","Sangat kurang")))))</f>
        <v/>
      </c>
      <c r="AJ2086" t="str">
        <f t="shared" si="98"/>
        <v>Wk.6</v>
      </c>
      <c r="AK2086" t="str">
        <f>IF(pub_gid_0_single_true_output_csv[[#This Row],[Nilai2]]="","",VLOOKUP(pub_gid_0_single_true_output_csv[[#This Row],[NAMA]],Table7[],3,FALSE))</f>
        <v>Borderline</v>
      </c>
    </row>
    <row r="2087" spans="1:37" x14ac:dyDescent="0.2">
      <c r="A2087">
        <v>2086</v>
      </c>
      <c r="B2087" t="s">
        <v>317</v>
      </c>
      <c r="C2087" t="s">
        <v>65</v>
      </c>
      <c r="D2087" t="s">
        <v>62</v>
      </c>
      <c r="E2087" t="s">
        <v>140</v>
      </c>
      <c r="F2087" s="25">
        <v>46064</v>
      </c>
      <c r="G2087" t="s">
        <v>352</v>
      </c>
      <c r="H2087" t="s">
        <v>412</v>
      </c>
      <c r="I2087" t="s">
        <v>371</v>
      </c>
      <c r="J2087" t="s">
        <v>36</v>
      </c>
      <c r="K2087" t="s">
        <v>37</v>
      </c>
      <c r="L2087" t="s">
        <v>150</v>
      </c>
      <c r="M2087" t="s">
        <v>141</v>
      </c>
      <c r="N2087" t="s">
        <v>142</v>
      </c>
      <c r="O2087" t="s">
        <v>327</v>
      </c>
      <c r="P2087" t="s">
        <v>281</v>
      </c>
      <c r="Q2087" t="s">
        <v>328</v>
      </c>
      <c r="R2087" t="s">
        <v>329</v>
      </c>
      <c r="S2087" t="s">
        <v>392</v>
      </c>
      <c r="T2087">
        <v>1</v>
      </c>
      <c r="U2087" t="s">
        <v>445</v>
      </c>
      <c r="V2087" t="s">
        <v>343</v>
      </c>
      <c r="W2087" t="s">
        <v>447</v>
      </c>
      <c r="X2087" t="s">
        <v>331</v>
      </c>
      <c r="Y2087" t="s">
        <v>307</v>
      </c>
      <c r="Z2087">
        <v>70</v>
      </c>
      <c r="AA2087">
        <v>64</v>
      </c>
      <c r="AB2087" t="s">
        <v>151</v>
      </c>
      <c r="AC2087" t="s">
        <v>64</v>
      </c>
      <c r="AD2087" t="s">
        <v>50</v>
      </c>
      <c r="AE2087" t="str">
        <f>IF(AF2087="","",VLOOKUP(AC2087,mapel!$A$2:$B$42,2,FALSE))</f>
        <v>Math</v>
      </c>
      <c r="AF2087">
        <f t="shared" si="96"/>
        <v>64</v>
      </c>
      <c r="AG2087" t="str">
        <f>IF(AF2087="","",IF(AF2087&gt;90,"Sangat baik",IF(AF2087&gt;79,"Baik",IF(AF2087&gt;=pub_gid_0_single_true_output_csv[[#This Row],[KKM]],"Cukup","Kurang"))))</f>
        <v>Kurang</v>
      </c>
      <c r="AH2087">
        <f t="shared" si="97"/>
        <v>12</v>
      </c>
      <c r="AI2087" s="30" t="str">
        <f>IF(OR(J2087&lt;&gt;"Karakter",pub_gid_0_single_true_output_csv[[#This Row],[Nilai2]]=""),"",IF(AF2087&gt;89,"Sangat baik",IF(AF2087&gt;79,"Baik",IF(AF2087&gt;69,"Cukup",IF(AF2087&gt;59,"Kurang","Sangat kurang")))))</f>
        <v/>
      </c>
      <c r="AJ2087" t="str">
        <f t="shared" si="98"/>
        <v>Wk.7</v>
      </c>
      <c r="AK2087" t="str">
        <f>IF(pub_gid_0_single_true_output_csv[[#This Row],[Nilai2]]="","",VLOOKUP(pub_gid_0_single_true_output_csv[[#This Row],[NAMA]],Table7[],3,FALSE))</f>
        <v>Borderline</v>
      </c>
    </row>
    <row r="2088" spans="1:37" x14ac:dyDescent="0.2">
      <c r="A2088">
        <v>2087</v>
      </c>
      <c r="B2088" t="s">
        <v>317</v>
      </c>
      <c r="C2088" t="s">
        <v>65</v>
      </c>
      <c r="D2088" t="s">
        <v>62</v>
      </c>
      <c r="E2088" t="s">
        <v>140</v>
      </c>
      <c r="F2088" s="25">
        <v>46078</v>
      </c>
      <c r="G2088" t="s">
        <v>284</v>
      </c>
      <c r="H2088" t="s">
        <v>412</v>
      </c>
      <c r="I2088" t="s">
        <v>371</v>
      </c>
      <c r="J2088" t="s">
        <v>36</v>
      </c>
      <c r="K2088" t="s">
        <v>37</v>
      </c>
      <c r="L2088" t="s">
        <v>150</v>
      </c>
      <c r="M2088" t="s">
        <v>141</v>
      </c>
      <c r="N2088" t="s">
        <v>142</v>
      </c>
      <c r="O2088" t="s">
        <v>327</v>
      </c>
      <c r="P2088" t="s">
        <v>281</v>
      </c>
      <c r="Q2088" t="s">
        <v>328</v>
      </c>
      <c r="R2088" t="s">
        <v>329</v>
      </c>
      <c r="S2088" t="s">
        <v>392</v>
      </c>
      <c r="T2088">
        <v>1</v>
      </c>
      <c r="U2088" t="s">
        <v>445</v>
      </c>
      <c r="V2088" t="s">
        <v>343</v>
      </c>
      <c r="W2088" t="s">
        <v>447</v>
      </c>
      <c r="X2088" t="s">
        <v>331</v>
      </c>
      <c r="Y2088" t="s">
        <v>307</v>
      </c>
      <c r="Z2088">
        <v>70</v>
      </c>
      <c r="AA2088">
        <v>99</v>
      </c>
      <c r="AB2088" t="s">
        <v>143</v>
      </c>
      <c r="AC2088" t="s">
        <v>64</v>
      </c>
      <c r="AD2088" t="s">
        <v>50</v>
      </c>
      <c r="AE2088" t="str">
        <f>IF(AF2088="","",VLOOKUP(AC2088,mapel!$A$2:$B$42,2,FALSE))</f>
        <v>Math</v>
      </c>
      <c r="AF2088">
        <f t="shared" si="96"/>
        <v>99</v>
      </c>
      <c r="AG2088" t="str">
        <f>IF(AF2088="","",IF(AF2088&gt;90,"Sangat baik",IF(AF2088&gt;79,"Baik",IF(AF2088&gt;=pub_gid_0_single_true_output_csv[[#This Row],[KKM]],"Cukup","Kurang"))))</f>
        <v>Sangat baik</v>
      </c>
      <c r="AH2088">
        <f t="shared" si="97"/>
        <v>12</v>
      </c>
      <c r="AI2088" s="30" t="str">
        <f>IF(OR(J2088&lt;&gt;"Karakter",pub_gid_0_single_true_output_csv[[#This Row],[Nilai2]]=""),"",IF(AF2088&gt;89,"Sangat baik",IF(AF2088&gt;79,"Baik",IF(AF2088&gt;69,"Cukup",IF(AF2088&gt;59,"Kurang","Sangat kurang")))))</f>
        <v/>
      </c>
      <c r="AJ2088" t="str">
        <f t="shared" si="98"/>
        <v>Wk.9</v>
      </c>
      <c r="AK2088" t="str">
        <f>IF(pub_gid_0_single_true_output_csv[[#This Row],[Nilai2]]="","",VLOOKUP(pub_gid_0_single_true_output_csv[[#This Row],[NAMA]],Table7[],3,FALSE))</f>
        <v>Borderline</v>
      </c>
    </row>
    <row r="2089" spans="1:37" x14ac:dyDescent="0.2">
      <c r="A2089">
        <v>2088</v>
      </c>
      <c r="B2089" t="s">
        <v>318</v>
      </c>
      <c r="C2089" t="s">
        <v>65</v>
      </c>
      <c r="D2089" t="s">
        <v>63</v>
      </c>
      <c r="E2089" t="s">
        <v>140</v>
      </c>
      <c r="F2089" s="25">
        <v>46036</v>
      </c>
      <c r="G2089" t="s">
        <v>353</v>
      </c>
      <c r="H2089" t="s">
        <v>405</v>
      </c>
      <c r="I2089" t="s">
        <v>371</v>
      </c>
      <c r="J2089" t="s">
        <v>36</v>
      </c>
      <c r="K2089" t="s">
        <v>37</v>
      </c>
      <c r="L2089" t="s">
        <v>321</v>
      </c>
      <c r="M2089" t="s">
        <v>141</v>
      </c>
      <c r="N2089" t="s">
        <v>142</v>
      </c>
      <c r="O2089" t="s">
        <v>327</v>
      </c>
      <c r="P2089" t="s">
        <v>281</v>
      </c>
      <c r="Q2089" t="s">
        <v>328</v>
      </c>
      <c r="R2089" t="s">
        <v>329</v>
      </c>
      <c r="S2089" t="s">
        <v>330</v>
      </c>
      <c r="T2089">
        <v>1</v>
      </c>
      <c r="U2089" t="s">
        <v>445</v>
      </c>
      <c r="V2089" t="s">
        <v>285</v>
      </c>
      <c r="W2089" t="s">
        <v>446</v>
      </c>
      <c r="X2089" t="s">
        <v>331</v>
      </c>
      <c r="Y2089" t="s">
        <v>307</v>
      </c>
      <c r="Z2089">
        <v>70</v>
      </c>
      <c r="AA2089">
        <v>88</v>
      </c>
      <c r="AB2089" t="s">
        <v>143</v>
      </c>
      <c r="AC2089" t="s">
        <v>64</v>
      </c>
      <c r="AD2089" t="s">
        <v>50</v>
      </c>
      <c r="AE2089" t="str">
        <f>IF(AF2089="","",VLOOKUP(AC2089,mapel!$A$2:$B$42,2,FALSE))</f>
        <v>Math</v>
      </c>
      <c r="AF2089">
        <f t="shared" si="96"/>
        <v>88</v>
      </c>
      <c r="AG2089" t="str">
        <f>IF(AF2089="","",IF(AF2089&gt;90,"Sangat baik",IF(AF2089&gt;79,"Baik",IF(AF2089&gt;=pub_gid_0_single_true_output_csv[[#This Row],[KKM]],"Cukup","Kurang"))))</f>
        <v>Baik</v>
      </c>
      <c r="AH2089">
        <f t="shared" si="97"/>
        <v>12</v>
      </c>
      <c r="AI2089" s="30" t="str">
        <f>IF(OR(J2089&lt;&gt;"Karakter",pub_gid_0_single_true_output_csv[[#This Row],[Nilai2]]=""),"",IF(AF2089&gt;89,"Sangat baik",IF(AF2089&gt;79,"Baik",IF(AF2089&gt;69,"Cukup",IF(AF2089&gt;59,"Kurang","Sangat kurang")))))</f>
        <v/>
      </c>
      <c r="AJ2089" t="str">
        <f t="shared" si="98"/>
        <v>Wk.3</v>
      </c>
      <c r="AK2089" t="str">
        <f>IF(pub_gid_0_single_true_output_csv[[#This Row],[Nilai2]]="","",VLOOKUP(pub_gid_0_single_true_output_csv[[#This Row],[NAMA]],Table7[],3,FALSE))</f>
        <v>Average</v>
      </c>
    </row>
    <row r="2090" spans="1:37" x14ac:dyDescent="0.2">
      <c r="A2090">
        <v>2089</v>
      </c>
      <c r="B2090" t="s">
        <v>318</v>
      </c>
      <c r="C2090" t="s">
        <v>65</v>
      </c>
      <c r="D2090" t="s">
        <v>63</v>
      </c>
      <c r="E2090" t="s">
        <v>140</v>
      </c>
      <c r="F2090" s="25">
        <v>46041</v>
      </c>
      <c r="G2090" t="s">
        <v>370</v>
      </c>
      <c r="H2090" t="s">
        <v>405</v>
      </c>
      <c r="I2090" t="s">
        <v>371</v>
      </c>
      <c r="J2090" t="s">
        <v>36</v>
      </c>
      <c r="K2090" t="s">
        <v>37</v>
      </c>
      <c r="L2090" t="s">
        <v>321</v>
      </c>
      <c r="M2090" t="s">
        <v>141</v>
      </c>
      <c r="N2090" t="s">
        <v>142</v>
      </c>
      <c r="O2090" t="s">
        <v>327</v>
      </c>
      <c r="P2090" t="s">
        <v>281</v>
      </c>
      <c r="Q2090" t="s">
        <v>328</v>
      </c>
      <c r="R2090" t="s">
        <v>329</v>
      </c>
      <c r="S2090" t="s">
        <v>330</v>
      </c>
      <c r="T2090">
        <v>1</v>
      </c>
      <c r="U2090" t="s">
        <v>445</v>
      </c>
      <c r="V2090" t="s">
        <v>285</v>
      </c>
      <c r="W2090" t="s">
        <v>446</v>
      </c>
      <c r="X2090" t="s">
        <v>331</v>
      </c>
      <c r="Y2090" t="s">
        <v>307</v>
      </c>
      <c r="Z2090">
        <v>70</v>
      </c>
      <c r="AA2090">
        <v>58</v>
      </c>
      <c r="AB2090" t="s">
        <v>151</v>
      </c>
      <c r="AC2090" t="s">
        <v>64</v>
      </c>
      <c r="AD2090" t="s">
        <v>50</v>
      </c>
      <c r="AE2090" t="str">
        <f>IF(AF2090="","",VLOOKUP(AC2090,mapel!$A$2:$B$42,2,FALSE))</f>
        <v>Math</v>
      </c>
      <c r="AF2090">
        <f t="shared" si="96"/>
        <v>58</v>
      </c>
      <c r="AG2090" t="str">
        <f>IF(AF2090="","",IF(AF2090&gt;90,"Sangat baik",IF(AF2090&gt;79,"Baik",IF(AF2090&gt;=pub_gid_0_single_true_output_csv[[#This Row],[KKM]],"Cukup","Kurang"))))</f>
        <v>Kurang</v>
      </c>
      <c r="AH2090">
        <f t="shared" si="97"/>
        <v>12</v>
      </c>
      <c r="AI2090" s="30" t="str">
        <f>IF(OR(J2090&lt;&gt;"Karakter",pub_gid_0_single_true_output_csv[[#This Row],[Nilai2]]=""),"",IF(AF2090&gt;89,"Sangat baik",IF(AF2090&gt;79,"Baik",IF(AF2090&gt;69,"Cukup",IF(AF2090&gt;59,"Kurang","Sangat kurang")))))</f>
        <v/>
      </c>
      <c r="AJ2090" t="str">
        <f t="shared" si="98"/>
        <v>Wk.4</v>
      </c>
      <c r="AK2090" t="str">
        <f>IF(pub_gid_0_single_true_output_csv[[#This Row],[Nilai2]]="","",VLOOKUP(pub_gid_0_single_true_output_csv[[#This Row],[NAMA]],Table7[],3,FALSE))</f>
        <v>Average</v>
      </c>
    </row>
    <row r="2091" spans="1:37" x14ac:dyDescent="0.2">
      <c r="A2091">
        <v>2090</v>
      </c>
      <c r="B2091" t="s">
        <v>318</v>
      </c>
      <c r="C2091" t="s">
        <v>65</v>
      </c>
      <c r="D2091" t="s">
        <v>63</v>
      </c>
      <c r="E2091" t="s">
        <v>140</v>
      </c>
      <c r="F2091" s="25">
        <v>46041</v>
      </c>
      <c r="G2091" t="s">
        <v>370</v>
      </c>
      <c r="H2091" t="s">
        <v>405</v>
      </c>
      <c r="I2091" t="s">
        <v>371</v>
      </c>
      <c r="J2091" t="s">
        <v>36</v>
      </c>
      <c r="K2091" t="s">
        <v>37</v>
      </c>
      <c r="L2091" t="s">
        <v>321</v>
      </c>
      <c r="M2091" t="s">
        <v>141</v>
      </c>
      <c r="N2091" t="s">
        <v>142</v>
      </c>
      <c r="O2091" t="s">
        <v>327</v>
      </c>
      <c r="P2091" t="s">
        <v>281</v>
      </c>
      <c r="Q2091" t="s">
        <v>328</v>
      </c>
      <c r="R2091" t="s">
        <v>329</v>
      </c>
      <c r="S2091" t="s">
        <v>330</v>
      </c>
      <c r="T2091">
        <v>1</v>
      </c>
      <c r="U2091" t="s">
        <v>445</v>
      </c>
      <c r="V2091" t="s">
        <v>285</v>
      </c>
      <c r="W2091" t="s">
        <v>446</v>
      </c>
      <c r="X2091" t="s">
        <v>331</v>
      </c>
      <c r="Y2091" t="s">
        <v>307</v>
      </c>
      <c r="Z2091">
        <v>70</v>
      </c>
      <c r="AA2091">
        <v>81</v>
      </c>
      <c r="AB2091" t="s">
        <v>143</v>
      </c>
      <c r="AC2091" t="s">
        <v>64</v>
      </c>
      <c r="AD2091" t="s">
        <v>50</v>
      </c>
      <c r="AE2091" t="str">
        <f>IF(AF2091="","",VLOOKUP(AC2091,mapel!$A$2:$B$42,2,FALSE))</f>
        <v>Math</v>
      </c>
      <c r="AF2091">
        <f t="shared" si="96"/>
        <v>81</v>
      </c>
      <c r="AG2091" t="str">
        <f>IF(AF2091="","",IF(AF2091&gt;90,"Sangat baik",IF(AF2091&gt;79,"Baik",IF(AF2091&gt;=pub_gid_0_single_true_output_csv[[#This Row],[KKM]],"Cukup","Kurang"))))</f>
        <v>Baik</v>
      </c>
      <c r="AH2091">
        <f t="shared" si="97"/>
        <v>12</v>
      </c>
      <c r="AI2091" s="30" t="str">
        <f>IF(OR(J2091&lt;&gt;"Karakter",pub_gid_0_single_true_output_csv[[#This Row],[Nilai2]]=""),"",IF(AF2091&gt;89,"Sangat baik",IF(AF2091&gt;79,"Baik",IF(AF2091&gt;69,"Cukup",IF(AF2091&gt;59,"Kurang","Sangat kurang")))))</f>
        <v/>
      </c>
      <c r="AJ2091" t="str">
        <f t="shared" si="98"/>
        <v>Wk.4</v>
      </c>
      <c r="AK2091" t="str">
        <f>IF(pub_gid_0_single_true_output_csv[[#This Row],[Nilai2]]="","",VLOOKUP(pub_gid_0_single_true_output_csv[[#This Row],[NAMA]],Table7[],3,FALSE))</f>
        <v>Average</v>
      </c>
    </row>
    <row r="2092" spans="1:37" x14ac:dyDescent="0.2">
      <c r="A2092">
        <v>2091</v>
      </c>
      <c r="B2092" t="s">
        <v>318</v>
      </c>
      <c r="C2092" t="s">
        <v>65</v>
      </c>
      <c r="D2092" t="s">
        <v>63</v>
      </c>
      <c r="E2092" t="s">
        <v>140</v>
      </c>
      <c r="F2092" s="25">
        <v>46043</v>
      </c>
      <c r="G2092" t="s">
        <v>341</v>
      </c>
      <c r="H2092" t="s">
        <v>405</v>
      </c>
      <c r="I2092" t="s">
        <v>371</v>
      </c>
      <c r="J2092" t="s">
        <v>36</v>
      </c>
      <c r="K2092" t="s">
        <v>37</v>
      </c>
      <c r="L2092" t="s">
        <v>321</v>
      </c>
      <c r="M2092" t="s">
        <v>141</v>
      </c>
      <c r="N2092" t="s">
        <v>142</v>
      </c>
      <c r="O2092" t="s">
        <v>327</v>
      </c>
      <c r="P2092" t="s">
        <v>281</v>
      </c>
      <c r="Q2092" t="s">
        <v>328</v>
      </c>
      <c r="R2092" t="s">
        <v>329</v>
      </c>
      <c r="S2092" t="s">
        <v>330</v>
      </c>
      <c r="T2092">
        <v>1</v>
      </c>
      <c r="U2092" t="s">
        <v>445</v>
      </c>
      <c r="V2092" t="s">
        <v>285</v>
      </c>
      <c r="W2092" t="s">
        <v>446</v>
      </c>
      <c r="X2092" t="s">
        <v>331</v>
      </c>
      <c r="Y2092" t="s">
        <v>307</v>
      </c>
      <c r="Z2092">
        <v>70</v>
      </c>
      <c r="AA2092">
        <v>40</v>
      </c>
      <c r="AB2092" t="s">
        <v>151</v>
      </c>
      <c r="AC2092" t="s">
        <v>64</v>
      </c>
      <c r="AD2092" t="s">
        <v>50</v>
      </c>
      <c r="AE2092" t="str">
        <f>IF(AF2092="","",VLOOKUP(AC2092,mapel!$A$2:$B$42,2,FALSE))</f>
        <v>Math</v>
      </c>
      <c r="AF2092">
        <f t="shared" si="96"/>
        <v>40</v>
      </c>
      <c r="AG2092" t="str">
        <f>IF(AF2092="","",IF(AF2092&gt;90,"Sangat baik",IF(AF2092&gt;79,"Baik",IF(AF2092&gt;=pub_gid_0_single_true_output_csv[[#This Row],[KKM]],"Cukup","Kurang"))))</f>
        <v>Kurang</v>
      </c>
      <c r="AH2092">
        <f t="shared" si="97"/>
        <v>12</v>
      </c>
      <c r="AI2092" s="30" t="str">
        <f>IF(OR(J2092&lt;&gt;"Karakter",pub_gid_0_single_true_output_csv[[#This Row],[Nilai2]]=""),"",IF(AF2092&gt;89,"Sangat baik",IF(AF2092&gt;79,"Baik",IF(AF2092&gt;69,"Cukup",IF(AF2092&gt;59,"Kurang","Sangat kurang")))))</f>
        <v/>
      </c>
      <c r="AJ2092" t="str">
        <f t="shared" si="98"/>
        <v>Wk.4</v>
      </c>
      <c r="AK2092" t="str">
        <f>IF(pub_gid_0_single_true_output_csv[[#This Row],[Nilai2]]="","",VLOOKUP(pub_gid_0_single_true_output_csv[[#This Row],[NAMA]],Table7[],3,FALSE))</f>
        <v>Average</v>
      </c>
    </row>
    <row r="2093" spans="1:37" x14ac:dyDescent="0.2">
      <c r="A2093">
        <v>2092</v>
      </c>
      <c r="B2093" t="s">
        <v>318</v>
      </c>
      <c r="C2093" t="s">
        <v>65</v>
      </c>
      <c r="D2093" t="s">
        <v>63</v>
      </c>
      <c r="E2093" t="s">
        <v>140</v>
      </c>
      <c r="F2093" s="25">
        <v>46041</v>
      </c>
      <c r="G2093" t="s">
        <v>370</v>
      </c>
      <c r="H2093" t="s">
        <v>405</v>
      </c>
      <c r="I2093" t="s">
        <v>371</v>
      </c>
      <c r="J2093" t="s">
        <v>36</v>
      </c>
      <c r="K2093" t="s">
        <v>37</v>
      </c>
      <c r="L2093" t="s">
        <v>321</v>
      </c>
      <c r="M2093" t="s">
        <v>141</v>
      </c>
      <c r="N2093" t="s">
        <v>142</v>
      </c>
      <c r="O2093" t="s">
        <v>327</v>
      </c>
      <c r="P2093" t="s">
        <v>281</v>
      </c>
      <c r="Q2093" t="s">
        <v>328</v>
      </c>
      <c r="R2093" t="s">
        <v>329</v>
      </c>
      <c r="S2093" t="s">
        <v>330</v>
      </c>
      <c r="T2093">
        <v>1</v>
      </c>
      <c r="U2093" t="s">
        <v>445</v>
      </c>
      <c r="V2093" t="s">
        <v>285</v>
      </c>
      <c r="W2093" t="s">
        <v>446</v>
      </c>
      <c r="X2093" t="s">
        <v>331</v>
      </c>
      <c r="Y2093" t="s">
        <v>307</v>
      </c>
      <c r="Z2093">
        <v>70</v>
      </c>
      <c r="AA2093">
        <v>50</v>
      </c>
      <c r="AB2093" t="s">
        <v>151</v>
      </c>
      <c r="AC2093" t="s">
        <v>64</v>
      </c>
      <c r="AD2093" t="s">
        <v>50</v>
      </c>
      <c r="AE2093" t="str">
        <f>IF(AF2093="","",VLOOKUP(AC2093,mapel!$A$2:$B$42,2,FALSE))</f>
        <v>Math</v>
      </c>
      <c r="AF2093">
        <f t="shared" si="96"/>
        <v>50</v>
      </c>
      <c r="AG2093" t="str">
        <f>IF(AF2093="","",IF(AF2093&gt;90,"Sangat baik",IF(AF2093&gt;79,"Baik",IF(AF2093&gt;=pub_gid_0_single_true_output_csv[[#This Row],[KKM]],"Cukup","Kurang"))))</f>
        <v>Kurang</v>
      </c>
      <c r="AH2093">
        <f t="shared" si="97"/>
        <v>12</v>
      </c>
      <c r="AI2093" s="30" t="str">
        <f>IF(OR(J2093&lt;&gt;"Karakter",pub_gid_0_single_true_output_csv[[#This Row],[Nilai2]]=""),"",IF(AF2093&gt;89,"Sangat baik",IF(AF2093&gt;79,"Baik",IF(AF2093&gt;69,"Cukup",IF(AF2093&gt;59,"Kurang","Sangat kurang")))))</f>
        <v/>
      </c>
      <c r="AJ2093" t="str">
        <f t="shared" si="98"/>
        <v>Wk.4</v>
      </c>
      <c r="AK2093" t="str">
        <f>IF(pub_gid_0_single_true_output_csv[[#This Row],[Nilai2]]="","",VLOOKUP(pub_gid_0_single_true_output_csv[[#This Row],[NAMA]],Table7[],3,FALSE))</f>
        <v>Average</v>
      </c>
    </row>
    <row r="2094" spans="1:37" x14ac:dyDescent="0.2">
      <c r="A2094">
        <v>2093</v>
      </c>
      <c r="B2094" t="s">
        <v>318</v>
      </c>
      <c r="C2094" t="s">
        <v>65</v>
      </c>
      <c r="D2094" t="s">
        <v>63</v>
      </c>
      <c r="E2094" t="s">
        <v>140</v>
      </c>
      <c r="F2094" s="25">
        <v>46063</v>
      </c>
      <c r="G2094" t="s">
        <v>374</v>
      </c>
      <c r="H2094" t="s">
        <v>412</v>
      </c>
      <c r="I2094" t="s">
        <v>371</v>
      </c>
      <c r="J2094" t="s">
        <v>36</v>
      </c>
      <c r="K2094" t="s">
        <v>37</v>
      </c>
      <c r="L2094" t="s">
        <v>321</v>
      </c>
      <c r="M2094" t="s">
        <v>141</v>
      </c>
      <c r="N2094" t="s">
        <v>142</v>
      </c>
      <c r="O2094" t="s">
        <v>327</v>
      </c>
      <c r="P2094" t="s">
        <v>281</v>
      </c>
      <c r="Q2094" t="s">
        <v>328</v>
      </c>
      <c r="R2094" t="s">
        <v>329</v>
      </c>
      <c r="S2094" t="s">
        <v>392</v>
      </c>
      <c r="T2094">
        <v>1</v>
      </c>
      <c r="U2094" t="s">
        <v>445</v>
      </c>
      <c r="V2094" t="s">
        <v>343</v>
      </c>
      <c r="W2094" t="s">
        <v>447</v>
      </c>
      <c r="X2094" t="s">
        <v>331</v>
      </c>
      <c r="Y2094" t="s">
        <v>307</v>
      </c>
      <c r="Z2094">
        <v>70</v>
      </c>
      <c r="AA2094">
        <v>26</v>
      </c>
      <c r="AB2094" t="s">
        <v>151</v>
      </c>
      <c r="AC2094" t="s">
        <v>64</v>
      </c>
      <c r="AD2094" t="s">
        <v>50</v>
      </c>
      <c r="AE2094" t="str">
        <f>IF(AF2094="","",VLOOKUP(AC2094,mapel!$A$2:$B$42,2,FALSE))</f>
        <v>Math</v>
      </c>
      <c r="AF2094">
        <f t="shared" si="96"/>
        <v>26</v>
      </c>
      <c r="AG2094" t="str">
        <f>IF(AF2094="","",IF(AF2094&gt;90,"Sangat baik",IF(AF2094&gt;79,"Baik",IF(AF2094&gt;=pub_gid_0_single_true_output_csv[[#This Row],[KKM]],"Cukup","Kurang"))))</f>
        <v>Kurang</v>
      </c>
      <c r="AH2094">
        <f t="shared" si="97"/>
        <v>12</v>
      </c>
      <c r="AI2094" s="30" t="str">
        <f>IF(OR(J2094&lt;&gt;"Karakter",pub_gid_0_single_true_output_csv[[#This Row],[Nilai2]]=""),"",IF(AF2094&gt;89,"Sangat baik",IF(AF2094&gt;79,"Baik",IF(AF2094&gt;69,"Cukup",IF(AF2094&gt;59,"Kurang","Sangat kurang")))))</f>
        <v/>
      </c>
      <c r="AJ2094" t="str">
        <f t="shared" si="98"/>
        <v>Wk.7</v>
      </c>
      <c r="AK2094" t="str">
        <f>IF(pub_gid_0_single_true_output_csv[[#This Row],[Nilai2]]="","",VLOOKUP(pub_gid_0_single_true_output_csv[[#This Row],[NAMA]],Table7[],3,FALSE))</f>
        <v>Average</v>
      </c>
    </row>
    <row r="2095" spans="1:37" x14ac:dyDescent="0.2">
      <c r="A2095">
        <v>2094</v>
      </c>
      <c r="B2095" t="s">
        <v>318</v>
      </c>
      <c r="C2095" t="s">
        <v>65</v>
      </c>
      <c r="D2095" t="s">
        <v>63</v>
      </c>
      <c r="E2095" t="s">
        <v>140</v>
      </c>
      <c r="F2095" s="25">
        <v>46064</v>
      </c>
      <c r="G2095" t="s">
        <v>352</v>
      </c>
      <c r="H2095" t="s">
        <v>412</v>
      </c>
      <c r="I2095" t="s">
        <v>371</v>
      </c>
      <c r="J2095" t="s">
        <v>36</v>
      </c>
      <c r="K2095" t="s">
        <v>37</v>
      </c>
      <c r="L2095" t="s">
        <v>321</v>
      </c>
      <c r="M2095" t="s">
        <v>141</v>
      </c>
      <c r="N2095" t="s">
        <v>142</v>
      </c>
      <c r="O2095" t="s">
        <v>327</v>
      </c>
      <c r="P2095" t="s">
        <v>281</v>
      </c>
      <c r="Q2095" t="s">
        <v>328</v>
      </c>
      <c r="R2095" t="s">
        <v>329</v>
      </c>
      <c r="S2095" t="s">
        <v>392</v>
      </c>
      <c r="T2095">
        <v>1</v>
      </c>
      <c r="U2095" t="s">
        <v>445</v>
      </c>
      <c r="V2095" t="s">
        <v>343</v>
      </c>
      <c r="W2095" t="s">
        <v>447</v>
      </c>
      <c r="X2095" t="s">
        <v>331</v>
      </c>
      <c r="Y2095" t="s">
        <v>307</v>
      </c>
      <c r="Z2095">
        <v>70</v>
      </c>
      <c r="AA2095">
        <v>98</v>
      </c>
      <c r="AB2095" t="s">
        <v>143</v>
      </c>
      <c r="AC2095" t="s">
        <v>64</v>
      </c>
      <c r="AD2095" t="s">
        <v>50</v>
      </c>
      <c r="AE2095" t="str">
        <f>IF(AF2095="","",VLOOKUP(AC2095,mapel!$A$2:$B$42,2,FALSE))</f>
        <v>Math</v>
      </c>
      <c r="AF2095">
        <f t="shared" si="96"/>
        <v>98</v>
      </c>
      <c r="AG2095" t="str">
        <f>IF(AF2095="","",IF(AF2095&gt;90,"Sangat baik",IF(AF2095&gt;79,"Baik",IF(AF2095&gt;=pub_gid_0_single_true_output_csv[[#This Row],[KKM]],"Cukup","Kurang"))))</f>
        <v>Sangat baik</v>
      </c>
      <c r="AH2095">
        <f t="shared" si="97"/>
        <v>12</v>
      </c>
      <c r="AI2095" s="30" t="str">
        <f>IF(OR(J2095&lt;&gt;"Karakter",pub_gid_0_single_true_output_csv[[#This Row],[Nilai2]]=""),"",IF(AF2095&gt;89,"Sangat baik",IF(AF2095&gt;79,"Baik",IF(AF2095&gt;69,"Cukup",IF(AF2095&gt;59,"Kurang","Sangat kurang")))))</f>
        <v/>
      </c>
      <c r="AJ2095" t="str">
        <f t="shared" si="98"/>
        <v>Wk.7</v>
      </c>
      <c r="AK2095" t="str">
        <f>IF(pub_gid_0_single_true_output_csv[[#This Row],[Nilai2]]="","",VLOOKUP(pub_gid_0_single_true_output_csv[[#This Row],[NAMA]],Table7[],3,FALSE))</f>
        <v>Average</v>
      </c>
    </row>
    <row r="2096" spans="1:37" x14ac:dyDescent="0.2">
      <c r="A2096">
        <v>2095</v>
      </c>
      <c r="B2096" t="s">
        <v>318</v>
      </c>
      <c r="C2096" t="s">
        <v>65</v>
      </c>
      <c r="D2096" t="s">
        <v>63</v>
      </c>
      <c r="E2096" t="s">
        <v>140</v>
      </c>
      <c r="F2096" s="25">
        <v>46056</v>
      </c>
      <c r="G2096" t="s">
        <v>372</v>
      </c>
      <c r="H2096" t="s">
        <v>412</v>
      </c>
      <c r="I2096" t="s">
        <v>371</v>
      </c>
      <c r="J2096" t="s">
        <v>36</v>
      </c>
      <c r="K2096" t="s">
        <v>37</v>
      </c>
      <c r="L2096" t="s">
        <v>321</v>
      </c>
      <c r="M2096" t="s">
        <v>141</v>
      </c>
      <c r="N2096" t="s">
        <v>142</v>
      </c>
      <c r="O2096" t="s">
        <v>327</v>
      </c>
      <c r="P2096" t="s">
        <v>281</v>
      </c>
      <c r="Q2096" t="s">
        <v>328</v>
      </c>
      <c r="R2096" t="s">
        <v>329</v>
      </c>
      <c r="S2096" t="s">
        <v>375</v>
      </c>
      <c r="T2096">
        <v>1</v>
      </c>
      <c r="U2096" t="s">
        <v>445</v>
      </c>
      <c r="V2096" t="s">
        <v>342</v>
      </c>
      <c r="W2096" t="s">
        <v>448</v>
      </c>
      <c r="X2096" t="s">
        <v>331</v>
      </c>
      <c r="Y2096" t="s">
        <v>307</v>
      </c>
      <c r="Z2096">
        <v>70</v>
      </c>
      <c r="AA2096">
        <v>100</v>
      </c>
      <c r="AB2096" t="s">
        <v>143</v>
      </c>
      <c r="AC2096" t="s">
        <v>64</v>
      </c>
      <c r="AD2096" t="s">
        <v>50</v>
      </c>
      <c r="AE2096" t="str">
        <f>IF(AF2096="","",VLOOKUP(AC2096,mapel!$A$2:$B$42,2,FALSE))</f>
        <v>Math</v>
      </c>
      <c r="AF2096">
        <f t="shared" si="96"/>
        <v>100</v>
      </c>
      <c r="AG2096" t="str">
        <f>IF(AF2096="","",IF(AF2096&gt;90,"Sangat baik",IF(AF2096&gt;79,"Baik",IF(AF2096&gt;=pub_gid_0_single_true_output_csv[[#This Row],[KKM]],"Cukup","Kurang"))))</f>
        <v>Sangat baik</v>
      </c>
      <c r="AH2096">
        <f t="shared" si="97"/>
        <v>12</v>
      </c>
      <c r="AI2096" s="30" t="str">
        <f>IF(OR(J2096&lt;&gt;"Karakter",pub_gid_0_single_true_output_csv[[#This Row],[Nilai2]]=""),"",IF(AF2096&gt;89,"Sangat baik",IF(AF2096&gt;79,"Baik",IF(AF2096&gt;69,"Cukup",IF(AF2096&gt;59,"Kurang","Sangat kurang")))))</f>
        <v/>
      </c>
      <c r="AJ2096" t="str">
        <f t="shared" si="98"/>
        <v>Wk.6</v>
      </c>
      <c r="AK2096" t="str">
        <f>IF(pub_gid_0_single_true_output_csv[[#This Row],[Nilai2]]="","",VLOOKUP(pub_gid_0_single_true_output_csv[[#This Row],[NAMA]],Table7[],3,FALSE))</f>
        <v>Average</v>
      </c>
    </row>
    <row r="2097" spans="1:37" x14ac:dyDescent="0.2">
      <c r="A2097">
        <v>2096</v>
      </c>
      <c r="B2097" t="s">
        <v>318</v>
      </c>
      <c r="C2097" t="s">
        <v>65</v>
      </c>
      <c r="D2097" t="s">
        <v>63</v>
      </c>
      <c r="E2097" t="s">
        <v>140</v>
      </c>
      <c r="F2097" s="25">
        <v>46064</v>
      </c>
      <c r="G2097" t="s">
        <v>352</v>
      </c>
      <c r="H2097" t="s">
        <v>412</v>
      </c>
      <c r="I2097" t="s">
        <v>371</v>
      </c>
      <c r="J2097" t="s">
        <v>36</v>
      </c>
      <c r="K2097" t="s">
        <v>37</v>
      </c>
      <c r="L2097" t="s">
        <v>150</v>
      </c>
      <c r="M2097" t="s">
        <v>141</v>
      </c>
      <c r="N2097" t="s">
        <v>142</v>
      </c>
      <c r="O2097" t="s">
        <v>327</v>
      </c>
      <c r="P2097" t="s">
        <v>281</v>
      </c>
      <c r="Q2097" t="s">
        <v>328</v>
      </c>
      <c r="R2097" t="s">
        <v>329</v>
      </c>
      <c r="S2097" t="s">
        <v>392</v>
      </c>
      <c r="T2097">
        <v>1</v>
      </c>
      <c r="U2097" t="s">
        <v>445</v>
      </c>
      <c r="V2097" t="s">
        <v>343</v>
      </c>
      <c r="W2097" t="s">
        <v>447</v>
      </c>
      <c r="X2097" t="s">
        <v>331</v>
      </c>
      <c r="Y2097" t="s">
        <v>307</v>
      </c>
      <c r="Z2097">
        <v>70</v>
      </c>
      <c r="AA2097">
        <v>58</v>
      </c>
      <c r="AB2097" t="s">
        <v>151</v>
      </c>
      <c r="AC2097" t="s">
        <v>64</v>
      </c>
      <c r="AD2097" t="s">
        <v>50</v>
      </c>
      <c r="AE2097" t="str">
        <f>IF(AF2097="","",VLOOKUP(AC2097,mapel!$A$2:$B$42,2,FALSE))</f>
        <v>Math</v>
      </c>
      <c r="AF2097">
        <f t="shared" si="96"/>
        <v>58</v>
      </c>
      <c r="AG2097" t="str">
        <f>IF(AF2097="","",IF(AF2097&gt;90,"Sangat baik",IF(AF2097&gt;79,"Baik",IF(AF2097&gt;=pub_gid_0_single_true_output_csv[[#This Row],[KKM]],"Cukup","Kurang"))))</f>
        <v>Kurang</v>
      </c>
      <c r="AH2097">
        <f t="shared" si="97"/>
        <v>12</v>
      </c>
      <c r="AI2097" s="30" t="str">
        <f>IF(OR(J2097&lt;&gt;"Karakter",pub_gid_0_single_true_output_csv[[#This Row],[Nilai2]]=""),"",IF(AF2097&gt;89,"Sangat baik",IF(AF2097&gt;79,"Baik",IF(AF2097&gt;69,"Cukup",IF(AF2097&gt;59,"Kurang","Sangat kurang")))))</f>
        <v/>
      </c>
      <c r="AJ2097" t="str">
        <f t="shared" si="98"/>
        <v>Wk.7</v>
      </c>
      <c r="AK2097" t="str">
        <f>IF(pub_gid_0_single_true_output_csv[[#This Row],[Nilai2]]="","",VLOOKUP(pub_gid_0_single_true_output_csv[[#This Row],[NAMA]],Table7[],3,FALSE))</f>
        <v>Average</v>
      </c>
    </row>
    <row r="2098" spans="1:37" x14ac:dyDescent="0.2">
      <c r="A2098">
        <v>2097</v>
      </c>
      <c r="B2098" t="s">
        <v>318</v>
      </c>
      <c r="C2098" t="s">
        <v>65</v>
      </c>
      <c r="D2098" t="s">
        <v>63</v>
      </c>
      <c r="E2098" t="s">
        <v>140</v>
      </c>
      <c r="F2098" s="25">
        <v>46078</v>
      </c>
      <c r="G2098" t="s">
        <v>284</v>
      </c>
      <c r="H2098" t="s">
        <v>412</v>
      </c>
      <c r="I2098" t="s">
        <v>371</v>
      </c>
      <c r="J2098" t="s">
        <v>36</v>
      </c>
      <c r="K2098" t="s">
        <v>37</v>
      </c>
      <c r="L2098" t="s">
        <v>150</v>
      </c>
      <c r="M2098" t="s">
        <v>141</v>
      </c>
      <c r="N2098" t="s">
        <v>142</v>
      </c>
      <c r="O2098" t="s">
        <v>327</v>
      </c>
      <c r="P2098" t="s">
        <v>281</v>
      </c>
      <c r="Q2098" t="s">
        <v>328</v>
      </c>
      <c r="R2098" t="s">
        <v>329</v>
      </c>
      <c r="S2098" t="s">
        <v>392</v>
      </c>
      <c r="T2098">
        <v>1</v>
      </c>
      <c r="U2098" t="s">
        <v>445</v>
      </c>
      <c r="V2098" t="s">
        <v>343</v>
      </c>
      <c r="W2098" t="s">
        <v>447</v>
      </c>
      <c r="X2098" t="s">
        <v>331</v>
      </c>
      <c r="Y2098" t="s">
        <v>307</v>
      </c>
      <c r="Z2098">
        <v>70</v>
      </c>
      <c r="AA2098">
        <v>98</v>
      </c>
      <c r="AB2098" t="s">
        <v>143</v>
      </c>
      <c r="AC2098" t="s">
        <v>64</v>
      </c>
      <c r="AD2098" t="s">
        <v>50</v>
      </c>
      <c r="AE2098" t="str">
        <f>IF(AF2098="","",VLOOKUP(AC2098,mapel!$A$2:$B$42,2,FALSE))</f>
        <v>Math</v>
      </c>
      <c r="AF2098">
        <f t="shared" si="96"/>
        <v>98</v>
      </c>
      <c r="AG2098" t="str">
        <f>IF(AF2098="","",IF(AF2098&gt;90,"Sangat baik",IF(AF2098&gt;79,"Baik",IF(AF2098&gt;=pub_gid_0_single_true_output_csv[[#This Row],[KKM]],"Cukup","Kurang"))))</f>
        <v>Sangat baik</v>
      </c>
      <c r="AH2098">
        <f t="shared" si="97"/>
        <v>12</v>
      </c>
      <c r="AI2098" s="30" t="str">
        <f>IF(OR(J2098&lt;&gt;"Karakter",pub_gid_0_single_true_output_csv[[#This Row],[Nilai2]]=""),"",IF(AF2098&gt;89,"Sangat baik",IF(AF2098&gt;79,"Baik",IF(AF2098&gt;69,"Cukup",IF(AF2098&gt;59,"Kurang","Sangat kurang")))))</f>
        <v/>
      </c>
      <c r="AJ2098" t="str">
        <f t="shared" si="98"/>
        <v>Wk.9</v>
      </c>
      <c r="AK2098" t="str">
        <f>IF(pub_gid_0_single_true_output_csv[[#This Row],[Nilai2]]="","",VLOOKUP(pub_gid_0_single_true_output_csv[[#This Row],[NAMA]],Table7[],3,FALSE))</f>
        <v>Average</v>
      </c>
    </row>
    <row r="2099" spans="1:37" x14ac:dyDescent="0.2">
      <c r="A2099">
        <v>2098</v>
      </c>
      <c r="B2099" t="s">
        <v>311</v>
      </c>
      <c r="C2099" t="s">
        <v>65</v>
      </c>
      <c r="D2099" t="s">
        <v>55</v>
      </c>
      <c r="E2099" t="s">
        <v>146</v>
      </c>
      <c r="F2099" s="25">
        <v>46034</v>
      </c>
      <c r="G2099" t="s">
        <v>354</v>
      </c>
      <c r="H2099" t="s">
        <v>405</v>
      </c>
      <c r="I2099" t="s">
        <v>371</v>
      </c>
      <c r="J2099" t="s">
        <v>90</v>
      </c>
      <c r="K2099" t="s">
        <v>92</v>
      </c>
      <c r="L2099" t="s">
        <v>91</v>
      </c>
      <c r="M2099" t="s">
        <v>141</v>
      </c>
      <c r="N2099" t="s">
        <v>142</v>
      </c>
      <c r="O2099" t="s">
        <v>327</v>
      </c>
      <c r="P2099" t="s">
        <v>281</v>
      </c>
      <c r="Q2099" t="s">
        <v>328</v>
      </c>
      <c r="R2099" t="s">
        <v>360</v>
      </c>
      <c r="S2099" t="s">
        <v>330</v>
      </c>
      <c r="T2099">
        <v>1</v>
      </c>
      <c r="U2099" t="s">
        <v>449</v>
      </c>
      <c r="V2099" t="s">
        <v>285</v>
      </c>
      <c r="W2099" t="s">
        <v>450</v>
      </c>
      <c r="X2099" t="s">
        <v>331</v>
      </c>
      <c r="Y2099" t="s">
        <v>307</v>
      </c>
      <c r="Z2099">
        <v>70</v>
      </c>
      <c r="AA2099">
        <v>78</v>
      </c>
      <c r="AB2099" t="s">
        <v>143</v>
      </c>
      <c r="AC2099" t="s">
        <v>336</v>
      </c>
      <c r="AD2099" t="s">
        <v>401</v>
      </c>
      <c r="AE2099" t="str">
        <f>IF(AF2099="","",VLOOKUP(AC2099,mapel!$A$2:$B$42,2,FALSE))</f>
        <v>Pancasila</v>
      </c>
      <c r="AF2099">
        <f t="shared" si="96"/>
        <v>78</v>
      </c>
      <c r="AG2099" t="str">
        <f>IF(AF2099="","",IF(AF2099&gt;90,"Sangat baik",IF(AF2099&gt;79,"Baik",IF(AF2099&gt;=pub_gid_0_single_true_output_csv[[#This Row],[KKM]],"Cukup","Kurang"))))</f>
        <v>Cukup</v>
      </c>
      <c r="AH2099">
        <f t="shared" si="97"/>
        <v>12</v>
      </c>
      <c r="AI2099" s="30" t="str">
        <f>IF(OR(J2099&lt;&gt;"Karakter",pub_gid_0_single_true_output_csv[[#This Row],[Nilai2]]=""),"",IF(AF2099&gt;89,"Sangat baik",IF(AF2099&gt;79,"Baik",IF(AF2099&gt;69,"Cukup",IF(AF2099&gt;59,"Kurang","Sangat kurang")))))</f>
        <v>Cukup</v>
      </c>
      <c r="AJ2099" t="str">
        <f t="shared" si="98"/>
        <v>Wk.3</v>
      </c>
      <c r="AK2099" t="str">
        <f>IF(pub_gid_0_single_true_output_csv[[#This Row],[Nilai2]]="","",VLOOKUP(pub_gid_0_single_true_output_csv[[#This Row],[NAMA]],Table7[],3,FALSE))</f>
        <v>Average</v>
      </c>
    </row>
    <row r="2100" spans="1:37" x14ac:dyDescent="0.2">
      <c r="A2100">
        <v>2099</v>
      </c>
      <c r="B2100" t="s">
        <v>311</v>
      </c>
      <c r="C2100" t="s">
        <v>65</v>
      </c>
      <c r="D2100" t="s">
        <v>55</v>
      </c>
      <c r="E2100" t="s">
        <v>146</v>
      </c>
      <c r="F2100" s="25">
        <v>46034</v>
      </c>
      <c r="G2100" t="s">
        <v>354</v>
      </c>
      <c r="H2100" t="s">
        <v>405</v>
      </c>
      <c r="I2100" t="s">
        <v>371</v>
      </c>
      <c r="J2100" t="s">
        <v>279</v>
      </c>
      <c r="K2100" t="s">
        <v>280</v>
      </c>
      <c r="L2100" t="s">
        <v>322</v>
      </c>
      <c r="M2100" t="s">
        <v>141</v>
      </c>
      <c r="N2100" t="s">
        <v>142</v>
      </c>
      <c r="O2100" t="s">
        <v>327</v>
      </c>
      <c r="P2100" t="s">
        <v>281</v>
      </c>
      <c r="Q2100" t="s">
        <v>328</v>
      </c>
      <c r="R2100" t="s">
        <v>360</v>
      </c>
      <c r="S2100" t="s">
        <v>330</v>
      </c>
      <c r="T2100">
        <v>1</v>
      </c>
      <c r="U2100" t="s">
        <v>449</v>
      </c>
      <c r="V2100" t="s">
        <v>285</v>
      </c>
      <c r="W2100" t="s">
        <v>450</v>
      </c>
      <c r="X2100" t="s">
        <v>331</v>
      </c>
      <c r="Y2100" t="s">
        <v>307</v>
      </c>
      <c r="Z2100">
        <v>70</v>
      </c>
      <c r="AA2100">
        <v>78</v>
      </c>
      <c r="AB2100" t="s">
        <v>143</v>
      </c>
      <c r="AC2100" t="s">
        <v>336</v>
      </c>
      <c r="AD2100" t="s">
        <v>401</v>
      </c>
      <c r="AE2100" t="str">
        <f>IF(AF2100="","",VLOOKUP(AC2100,mapel!$A$2:$B$42,2,FALSE))</f>
        <v>Pancasila</v>
      </c>
      <c r="AF2100">
        <f t="shared" si="96"/>
        <v>78</v>
      </c>
      <c r="AG2100" t="str">
        <f>IF(AF2100="","",IF(AF2100&gt;90,"Sangat baik",IF(AF2100&gt;79,"Baik",IF(AF2100&gt;=pub_gid_0_single_true_output_csv[[#This Row],[KKM]],"Cukup","Kurang"))))</f>
        <v>Cukup</v>
      </c>
      <c r="AH2100">
        <f t="shared" si="97"/>
        <v>12</v>
      </c>
      <c r="AI2100" s="30" t="str">
        <f>IF(OR(J2100&lt;&gt;"Karakter",pub_gid_0_single_true_output_csv[[#This Row],[Nilai2]]=""),"",IF(AF2100&gt;89,"Sangat baik",IF(AF2100&gt;79,"Baik",IF(AF2100&gt;69,"Cukup",IF(AF2100&gt;59,"Kurang","Sangat kurang")))))</f>
        <v/>
      </c>
      <c r="AJ2100" t="str">
        <f t="shared" si="98"/>
        <v>Wk.3</v>
      </c>
      <c r="AK2100" t="str">
        <f>IF(pub_gid_0_single_true_output_csv[[#This Row],[Nilai2]]="","",VLOOKUP(pub_gid_0_single_true_output_csv[[#This Row],[NAMA]],Table7[],3,FALSE))</f>
        <v>Average</v>
      </c>
    </row>
    <row r="2101" spans="1:37" x14ac:dyDescent="0.2">
      <c r="A2101">
        <v>2100</v>
      </c>
      <c r="B2101" t="s">
        <v>311</v>
      </c>
      <c r="C2101" t="s">
        <v>65</v>
      </c>
      <c r="D2101" t="s">
        <v>55</v>
      </c>
      <c r="E2101" t="s">
        <v>146</v>
      </c>
      <c r="F2101" s="25">
        <v>46034</v>
      </c>
      <c r="G2101" t="s">
        <v>354</v>
      </c>
      <c r="H2101" t="s">
        <v>405</v>
      </c>
      <c r="I2101" t="s">
        <v>371</v>
      </c>
      <c r="J2101" t="s">
        <v>31</v>
      </c>
      <c r="K2101" t="s">
        <v>96</v>
      </c>
      <c r="L2101" t="s">
        <v>351</v>
      </c>
      <c r="M2101" t="s">
        <v>141</v>
      </c>
      <c r="N2101" t="s">
        <v>142</v>
      </c>
      <c r="O2101" t="s">
        <v>327</v>
      </c>
      <c r="P2101" t="s">
        <v>281</v>
      </c>
      <c r="Q2101" t="s">
        <v>328</v>
      </c>
      <c r="R2101" t="s">
        <v>360</v>
      </c>
      <c r="S2101" t="s">
        <v>330</v>
      </c>
      <c r="T2101">
        <v>1</v>
      </c>
      <c r="U2101" t="s">
        <v>449</v>
      </c>
      <c r="V2101" t="s">
        <v>285</v>
      </c>
      <c r="W2101" t="s">
        <v>450</v>
      </c>
      <c r="X2101" t="s">
        <v>331</v>
      </c>
      <c r="Y2101" t="s">
        <v>307</v>
      </c>
      <c r="Z2101">
        <v>70</v>
      </c>
      <c r="AA2101">
        <v>76</v>
      </c>
      <c r="AB2101" t="s">
        <v>143</v>
      </c>
      <c r="AC2101" t="s">
        <v>336</v>
      </c>
      <c r="AD2101" t="s">
        <v>401</v>
      </c>
      <c r="AE2101" t="str">
        <f>IF(AF2101="","",VLOOKUP(AC2101,mapel!$A$2:$B$42,2,FALSE))</f>
        <v>Pancasila</v>
      </c>
      <c r="AF2101">
        <f t="shared" si="96"/>
        <v>76</v>
      </c>
      <c r="AG2101" t="str">
        <f>IF(AF2101="","",IF(AF2101&gt;90,"Sangat baik",IF(AF2101&gt;79,"Baik",IF(AF2101&gt;=pub_gid_0_single_true_output_csv[[#This Row],[KKM]],"Cukup","Kurang"))))</f>
        <v>Cukup</v>
      </c>
      <c r="AH2101">
        <f t="shared" si="97"/>
        <v>12</v>
      </c>
      <c r="AI2101" s="30" t="str">
        <f>IF(OR(J2101&lt;&gt;"Karakter",pub_gid_0_single_true_output_csv[[#This Row],[Nilai2]]=""),"",IF(AF2101&gt;89,"Sangat baik",IF(AF2101&gt;79,"Baik",IF(AF2101&gt;69,"Cukup",IF(AF2101&gt;59,"Kurang","Sangat kurang")))))</f>
        <v/>
      </c>
      <c r="AJ2101" t="str">
        <f t="shared" si="98"/>
        <v>Wk.3</v>
      </c>
      <c r="AK2101" t="str">
        <f>IF(pub_gid_0_single_true_output_csv[[#This Row],[Nilai2]]="","",VLOOKUP(pub_gid_0_single_true_output_csv[[#This Row],[NAMA]],Table7[],3,FALSE))</f>
        <v>Average</v>
      </c>
    </row>
    <row r="2102" spans="1:37" x14ac:dyDescent="0.2">
      <c r="A2102">
        <v>2101</v>
      </c>
      <c r="B2102" t="s">
        <v>311</v>
      </c>
      <c r="C2102" t="s">
        <v>65</v>
      </c>
      <c r="D2102" t="s">
        <v>55</v>
      </c>
      <c r="E2102" t="s">
        <v>146</v>
      </c>
      <c r="F2102" s="25">
        <v>46034</v>
      </c>
      <c r="G2102" t="s">
        <v>354</v>
      </c>
      <c r="H2102" t="s">
        <v>405</v>
      </c>
      <c r="I2102" t="s">
        <v>371</v>
      </c>
      <c r="J2102" t="s">
        <v>36</v>
      </c>
      <c r="K2102" t="s">
        <v>37</v>
      </c>
      <c r="L2102" t="s">
        <v>351</v>
      </c>
      <c r="M2102" t="s">
        <v>141</v>
      </c>
      <c r="N2102" t="s">
        <v>142</v>
      </c>
      <c r="O2102" t="s">
        <v>327</v>
      </c>
      <c r="P2102" t="s">
        <v>281</v>
      </c>
      <c r="Q2102" t="s">
        <v>328</v>
      </c>
      <c r="R2102" t="s">
        <v>360</v>
      </c>
      <c r="S2102" t="s">
        <v>330</v>
      </c>
      <c r="T2102">
        <v>1</v>
      </c>
      <c r="U2102" t="s">
        <v>449</v>
      </c>
      <c r="V2102" t="s">
        <v>285</v>
      </c>
      <c r="W2102" t="s">
        <v>450</v>
      </c>
      <c r="X2102" t="s">
        <v>331</v>
      </c>
      <c r="Y2102" t="s">
        <v>307</v>
      </c>
      <c r="Z2102">
        <v>70</v>
      </c>
      <c r="AA2102">
        <v>80</v>
      </c>
      <c r="AB2102" t="s">
        <v>143</v>
      </c>
      <c r="AC2102" t="s">
        <v>336</v>
      </c>
      <c r="AD2102" t="s">
        <v>401</v>
      </c>
      <c r="AE2102" t="str">
        <f>IF(AF2102="","",VLOOKUP(AC2102,mapel!$A$2:$B$42,2,FALSE))</f>
        <v>Pancasila</v>
      </c>
      <c r="AF2102">
        <f t="shared" si="96"/>
        <v>80</v>
      </c>
      <c r="AG2102" t="str">
        <f>IF(AF2102="","",IF(AF2102&gt;90,"Sangat baik",IF(AF2102&gt;79,"Baik",IF(AF2102&gt;=pub_gid_0_single_true_output_csv[[#This Row],[KKM]],"Cukup","Kurang"))))</f>
        <v>Baik</v>
      </c>
      <c r="AH2102">
        <f t="shared" si="97"/>
        <v>12</v>
      </c>
      <c r="AI2102" s="30" t="str">
        <f>IF(OR(J2102&lt;&gt;"Karakter",pub_gid_0_single_true_output_csv[[#This Row],[Nilai2]]=""),"",IF(AF2102&gt;89,"Sangat baik",IF(AF2102&gt;79,"Baik",IF(AF2102&gt;69,"Cukup",IF(AF2102&gt;59,"Kurang","Sangat kurang")))))</f>
        <v/>
      </c>
      <c r="AJ2102" t="str">
        <f t="shared" si="98"/>
        <v>Wk.3</v>
      </c>
      <c r="AK2102" t="str">
        <f>IF(pub_gid_0_single_true_output_csv[[#This Row],[Nilai2]]="","",VLOOKUP(pub_gid_0_single_true_output_csv[[#This Row],[NAMA]],Table7[],3,FALSE))</f>
        <v>Average</v>
      </c>
    </row>
    <row r="2103" spans="1:37" x14ac:dyDescent="0.2">
      <c r="A2103">
        <v>2102</v>
      </c>
      <c r="B2103" t="s">
        <v>311</v>
      </c>
      <c r="C2103" t="s">
        <v>65</v>
      </c>
      <c r="D2103" t="s">
        <v>55</v>
      </c>
      <c r="E2103" t="s">
        <v>146</v>
      </c>
      <c r="F2103" s="25">
        <v>46038</v>
      </c>
      <c r="G2103" t="s">
        <v>382</v>
      </c>
      <c r="H2103" t="s">
        <v>405</v>
      </c>
      <c r="I2103" t="s">
        <v>371</v>
      </c>
      <c r="J2103" t="s">
        <v>36</v>
      </c>
      <c r="K2103" t="s">
        <v>37</v>
      </c>
      <c r="L2103" t="s">
        <v>351</v>
      </c>
      <c r="M2103" t="s">
        <v>397</v>
      </c>
      <c r="N2103" t="s">
        <v>142</v>
      </c>
      <c r="O2103" t="s">
        <v>327</v>
      </c>
      <c r="P2103" t="s">
        <v>281</v>
      </c>
      <c r="Q2103" t="s">
        <v>328</v>
      </c>
      <c r="R2103" t="s">
        <v>360</v>
      </c>
      <c r="S2103" t="s">
        <v>330</v>
      </c>
      <c r="T2103">
        <v>1</v>
      </c>
      <c r="U2103" t="s">
        <v>449</v>
      </c>
      <c r="V2103" t="s">
        <v>285</v>
      </c>
      <c r="W2103" t="s">
        <v>450</v>
      </c>
      <c r="X2103" t="s">
        <v>331</v>
      </c>
      <c r="Y2103" t="s">
        <v>307</v>
      </c>
      <c r="Z2103">
        <v>70</v>
      </c>
      <c r="AA2103">
        <v>0</v>
      </c>
      <c r="AB2103" t="s">
        <v>151</v>
      </c>
      <c r="AC2103" t="s">
        <v>336</v>
      </c>
      <c r="AD2103" t="s">
        <v>401</v>
      </c>
      <c r="AE2103" t="str">
        <f>IF(AF2103="","",VLOOKUP(AC2103,mapel!$A$2:$B$42,2,FALSE))</f>
        <v/>
      </c>
      <c r="AF2103" t="str">
        <f t="shared" si="96"/>
        <v/>
      </c>
      <c r="AG2103" t="str">
        <f>IF(AF2103="","",IF(AF2103&gt;90,"Sangat baik",IF(AF2103&gt;79,"Baik",IF(AF2103&gt;=pub_gid_0_single_true_output_csv[[#This Row],[KKM]],"Cukup","Kurang"))))</f>
        <v/>
      </c>
      <c r="AH2103" t="str">
        <f t="shared" si="97"/>
        <v/>
      </c>
      <c r="AI2103" s="30" t="str">
        <f>IF(OR(J2103&lt;&gt;"Karakter",pub_gid_0_single_true_output_csv[[#This Row],[Nilai2]]=""),"",IF(AF2103&gt;89,"Sangat baik",IF(AF2103&gt;79,"Baik",IF(AF2103&gt;69,"Cukup",IF(AF2103&gt;59,"Kurang","Sangat kurang")))))</f>
        <v/>
      </c>
      <c r="AJ2103" t="str">
        <f t="shared" si="98"/>
        <v/>
      </c>
      <c r="AK2103" t="str">
        <f>IF(pub_gid_0_single_true_output_csv[[#This Row],[Nilai2]]="","",VLOOKUP(pub_gid_0_single_true_output_csv[[#This Row],[NAMA]],Table7[],3,FALSE))</f>
        <v/>
      </c>
    </row>
    <row r="2104" spans="1:37" x14ac:dyDescent="0.2">
      <c r="A2104">
        <v>2103</v>
      </c>
      <c r="B2104" t="s">
        <v>311</v>
      </c>
      <c r="C2104" t="s">
        <v>65</v>
      </c>
      <c r="D2104" t="s">
        <v>55</v>
      </c>
      <c r="E2104" t="s">
        <v>146</v>
      </c>
      <c r="F2104" s="25">
        <v>46041</v>
      </c>
      <c r="G2104" t="s">
        <v>370</v>
      </c>
      <c r="H2104" t="s">
        <v>405</v>
      </c>
      <c r="I2104" t="s">
        <v>371</v>
      </c>
      <c r="J2104" t="s">
        <v>36</v>
      </c>
      <c r="K2104" t="s">
        <v>37</v>
      </c>
      <c r="L2104" t="s">
        <v>351</v>
      </c>
      <c r="M2104" t="s">
        <v>141</v>
      </c>
      <c r="N2104" t="s">
        <v>142</v>
      </c>
      <c r="O2104" t="s">
        <v>327</v>
      </c>
      <c r="P2104" t="s">
        <v>281</v>
      </c>
      <c r="Q2104" t="s">
        <v>328</v>
      </c>
      <c r="R2104" t="s">
        <v>360</v>
      </c>
      <c r="S2104" t="s">
        <v>387</v>
      </c>
      <c r="T2104">
        <v>2</v>
      </c>
      <c r="U2104" t="s">
        <v>451</v>
      </c>
      <c r="V2104" t="s">
        <v>303</v>
      </c>
      <c r="W2104" t="s">
        <v>452</v>
      </c>
      <c r="X2104" t="s">
        <v>331</v>
      </c>
      <c r="Y2104" t="s">
        <v>307</v>
      </c>
      <c r="Z2104">
        <v>70</v>
      </c>
      <c r="AA2104">
        <v>75</v>
      </c>
      <c r="AB2104" t="s">
        <v>143</v>
      </c>
      <c r="AC2104" t="s">
        <v>336</v>
      </c>
      <c r="AD2104" t="s">
        <v>401</v>
      </c>
      <c r="AE2104" t="str">
        <f>IF(AF2104="","",VLOOKUP(AC2104,mapel!$A$2:$B$42,2,FALSE))</f>
        <v>Pancasila</v>
      </c>
      <c r="AF2104">
        <f t="shared" si="96"/>
        <v>75</v>
      </c>
      <c r="AG2104" t="str">
        <f>IF(AF2104="","",IF(AF2104&gt;90,"Sangat baik",IF(AF2104&gt;79,"Baik",IF(AF2104&gt;=pub_gid_0_single_true_output_csv[[#This Row],[KKM]],"Cukup","Kurang"))))</f>
        <v>Cukup</v>
      </c>
      <c r="AH2104">
        <f t="shared" si="97"/>
        <v>12</v>
      </c>
      <c r="AI2104" s="30" t="str">
        <f>IF(OR(J2104&lt;&gt;"Karakter",pub_gid_0_single_true_output_csv[[#This Row],[Nilai2]]=""),"",IF(AF2104&gt;89,"Sangat baik",IF(AF2104&gt;79,"Baik",IF(AF2104&gt;69,"Cukup",IF(AF2104&gt;59,"Kurang","Sangat kurang")))))</f>
        <v/>
      </c>
      <c r="AJ2104" t="str">
        <f t="shared" si="98"/>
        <v>Wk.4</v>
      </c>
      <c r="AK2104" t="str">
        <f>IF(pub_gid_0_single_true_output_csv[[#This Row],[Nilai2]]="","",VLOOKUP(pub_gid_0_single_true_output_csv[[#This Row],[NAMA]],Table7[],3,FALSE))</f>
        <v>Average</v>
      </c>
    </row>
    <row r="2105" spans="1:37" x14ac:dyDescent="0.2">
      <c r="A2105">
        <v>2104</v>
      </c>
      <c r="B2105" t="s">
        <v>311</v>
      </c>
      <c r="C2105" t="s">
        <v>65</v>
      </c>
      <c r="D2105" t="s">
        <v>55</v>
      </c>
      <c r="E2105" t="s">
        <v>146</v>
      </c>
      <c r="F2105" s="25">
        <v>46041</v>
      </c>
      <c r="G2105" t="s">
        <v>370</v>
      </c>
      <c r="H2105" t="s">
        <v>405</v>
      </c>
      <c r="I2105" t="s">
        <v>371</v>
      </c>
      <c r="J2105" t="s">
        <v>31</v>
      </c>
      <c r="K2105" t="s">
        <v>96</v>
      </c>
      <c r="L2105" t="s">
        <v>351</v>
      </c>
      <c r="M2105" t="s">
        <v>141</v>
      </c>
      <c r="N2105" t="s">
        <v>142</v>
      </c>
      <c r="O2105" t="s">
        <v>327</v>
      </c>
      <c r="P2105" t="s">
        <v>281</v>
      </c>
      <c r="Q2105" t="s">
        <v>328</v>
      </c>
      <c r="R2105" t="s">
        <v>360</v>
      </c>
      <c r="S2105" t="s">
        <v>387</v>
      </c>
      <c r="T2105">
        <v>2</v>
      </c>
      <c r="U2105" t="s">
        <v>451</v>
      </c>
      <c r="V2105" t="s">
        <v>303</v>
      </c>
      <c r="W2105" t="s">
        <v>452</v>
      </c>
      <c r="X2105" t="s">
        <v>331</v>
      </c>
      <c r="Y2105" t="s">
        <v>307</v>
      </c>
      <c r="Z2105">
        <v>70</v>
      </c>
      <c r="AA2105">
        <v>73</v>
      </c>
      <c r="AB2105" t="s">
        <v>143</v>
      </c>
      <c r="AC2105" t="s">
        <v>336</v>
      </c>
      <c r="AD2105" t="s">
        <v>401</v>
      </c>
      <c r="AE2105" t="str">
        <f>IF(AF2105="","",VLOOKUP(AC2105,mapel!$A$2:$B$42,2,FALSE))</f>
        <v>Pancasila</v>
      </c>
      <c r="AF2105">
        <f t="shared" si="96"/>
        <v>73</v>
      </c>
      <c r="AG2105" t="str">
        <f>IF(AF2105="","",IF(AF2105&gt;90,"Sangat baik",IF(AF2105&gt;79,"Baik",IF(AF2105&gt;=pub_gid_0_single_true_output_csv[[#This Row],[KKM]],"Cukup","Kurang"))))</f>
        <v>Cukup</v>
      </c>
      <c r="AH2105">
        <f t="shared" si="97"/>
        <v>12</v>
      </c>
      <c r="AI2105" s="30" t="str">
        <f>IF(OR(J2105&lt;&gt;"Karakter",pub_gid_0_single_true_output_csv[[#This Row],[Nilai2]]=""),"",IF(AF2105&gt;89,"Sangat baik",IF(AF2105&gt;79,"Baik",IF(AF2105&gt;69,"Cukup",IF(AF2105&gt;59,"Kurang","Sangat kurang")))))</f>
        <v/>
      </c>
      <c r="AJ2105" t="str">
        <f t="shared" si="98"/>
        <v>Wk.4</v>
      </c>
      <c r="AK2105" t="str">
        <f>IF(pub_gid_0_single_true_output_csv[[#This Row],[Nilai2]]="","",VLOOKUP(pub_gid_0_single_true_output_csv[[#This Row],[NAMA]],Table7[],3,FALSE))</f>
        <v>Average</v>
      </c>
    </row>
    <row r="2106" spans="1:37" x14ac:dyDescent="0.2">
      <c r="A2106">
        <v>2105</v>
      </c>
      <c r="B2106" t="s">
        <v>311</v>
      </c>
      <c r="C2106" t="s">
        <v>65</v>
      </c>
      <c r="D2106" t="s">
        <v>55</v>
      </c>
      <c r="E2106" t="s">
        <v>146</v>
      </c>
      <c r="F2106" s="25">
        <v>46041</v>
      </c>
      <c r="G2106" t="s">
        <v>370</v>
      </c>
      <c r="H2106" t="s">
        <v>405</v>
      </c>
      <c r="I2106" t="s">
        <v>371</v>
      </c>
      <c r="J2106" t="s">
        <v>90</v>
      </c>
      <c r="K2106" t="s">
        <v>92</v>
      </c>
      <c r="L2106" t="s">
        <v>398</v>
      </c>
      <c r="M2106" t="s">
        <v>141</v>
      </c>
      <c r="N2106" t="s">
        <v>142</v>
      </c>
      <c r="O2106" t="s">
        <v>327</v>
      </c>
      <c r="P2106" t="s">
        <v>281</v>
      </c>
      <c r="Q2106" t="s">
        <v>328</v>
      </c>
      <c r="R2106" t="s">
        <v>360</v>
      </c>
      <c r="S2106" t="s">
        <v>387</v>
      </c>
      <c r="T2106">
        <v>2</v>
      </c>
      <c r="U2106" t="s">
        <v>451</v>
      </c>
      <c r="V2106" t="s">
        <v>303</v>
      </c>
      <c r="W2106" t="s">
        <v>452</v>
      </c>
      <c r="X2106" t="s">
        <v>331</v>
      </c>
      <c r="Y2106" t="s">
        <v>307</v>
      </c>
      <c r="Z2106">
        <v>70</v>
      </c>
      <c r="AA2106">
        <v>75</v>
      </c>
      <c r="AB2106" t="s">
        <v>143</v>
      </c>
      <c r="AC2106" t="s">
        <v>336</v>
      </c>
      <c r="AD2106" t="s">
        <v>401</v>
      </c>
      <c r="AE2106" t="str">
        <f>IF(AF2106="","",VLOOKUP(AC2106,mapel!$A$2:$B$42,2,FALSE))</f>
        <v>Pancasila</v>
      </c>
      <c r="AF2106">
        <f t="shared" si="96"/>
        <v>75</v>
      </c>
      <c r="AG2106" t="str">
        <f>IF(AF2106="","",IF(AF2106&gt;90,"Sangat baik",IF(AF2106&gt;79,"Baik",IF(AF2106&gt;=pub_gid_0_single_true_output_csv[[#This Row],[KKM]],"Cukup","Kurang"))))</f>
        <v>Cukup</v>
      </c>
      <c r="AH2106">
        <f t="shared" si="97"/>
        <v>12</v>
      </c>
      <c r="AI2106" s="30" t="str">
        <f>IF(OR(J2106&lt;&gt;"Karakter",pub_gid_0_single_true_output_csv[[#This Row],[Nilai2]]=""),"",IF(AF2106&gt;89,"Sangat baik",IF(AF2106&gt;79,"Baik",IF(AF2106&gt;69,"Cukup",IF(AF2106&gt;59,"Kurang","Sangat kurang")))))</f>
        <v>Cukup</v>
      </c>
      <c r="AJ2106" t="str">
        <f t="shared" si="98"/>
        <v>Wk.4</v>
      </c>
      <c r="AK2106" t="str">
        <f>IF(pub_gid_0_single_true_output_csv[[#This Row],[Nilai2]]="","",VLOOKUP(pub_gid_0_single_true_output_csv[[#This Row],[NAMA]],Table7[],3,FALSE))</f>
        <v>Average</v>
      </c>
    </row>
    <row r="2107" spans="1:37" x14ac:dyDescent="0.2">
      <c r="A2107">
        <v>2106</v>
      </c>
      <c r="B2107" t="s">
        <v>311</v>
      </c>
      <c r="C2107" t="s">
        <v>65</v>
      </c>
      <c r="D2107" t="s">
        <v>55</v>
      </c>
      <c r="E2107" t="s">
        <v>146</v>
      </c>
      <c r="F2107" s="25">
        <v>46041</v>
      </c>
      <c r="G2107" t="s">
        <v>370</v>
      </c>
      <c r="H2107" t="s">
        <v>405</v>
      </c>
      <c r="I2107" t="s">
        <v>371</v>
      </c>
      <c r="J2107" t="s">
        <v>279</v>
      </c>
      <c r="K2107" t="s">
        <v>280</v>
      </c>
      <c r="L2107" t="s">
        <v>322</v>
      </c>
      <c r="M2107" t="s">
        <v>141</v>
      </c>
      <c r="N2107" t="s">
        <v>142</v>
      </c>
      <c r="O2107" t="s">
        <v>327</v>
      </c>
      <c r="P2107" t="s">
        <v>281</v>
      </c>
      <c r="Q2107" t="s">
        <v>328</v>
      </c>
      <c r="R2107" t="s">
        <v>360</v>
      </c>
      <c r="S2107" t="s">
        <v>387</v>
      </c>
      <c r="T2107">
        <v>2</v>
      </c>
      <c r="U2107" t="s">
        <v>451</v>
      </c>
      <c r="V2107" t="s">
        <v>303</v>
      </c>
      <c r="W2107" t="s">
        <v>452</v>
      </c>
      <c r="X2107" t="s">
        <v>331</v>
      </c>
      <c r="Y2107" t="s">
        <v>307</v>
      </c>
      <c r="Z2107">
        <v>70</v>
      </c>
      <c r="AA2107">
        <v>73</v>
      </c>
      <c r="AB2107" t="s">
        <v>143</v>
      </c>
      <c r="AC2107" t="s">
        <v>336</v>
      </c>
      <c r="AD2107" t="s">
        <v>401</v>
      </c>
      <c r="AE2107" t="str">
        <f>IF(AF2107="","",VLOOKUP(AC2107,mapel!$A$2:$B$42,2,FALSE))</f>
        <v>Pancasila</v>
      </c>
      <c r="AF2107">
        <f t="shared" si="96"/>
        <v>73</v>
      </c>
      <c r="AG2107" t="str">
        <f>IF(AF2107="","",IF(AF2107&gt;90,"Sangat baik",IF(AF2107&gt;79,"Baik",IF(AF2107&gt;=pub_gid_0_single_true_output_csv[[#This Row],[KKM]],"Cukup","Kurang"))))</f>
        <v>Cukup</v>
      </c>
      <c r="AH2107">
        <f t="shared" si="97"/>
        <v>12</v>
      </c>
      <c r="AI2107" s="30" t="str">
        <f>IF(OR(J2107&lt;&gt;"Karakter",pub_gid_0_single_true_output_csv[[#This Row],[Nilai2]]=""),"",IF(AF2107&gt;89,"Sangat baik",IF(AF2107&gt;79,"Baik",IF(AF2107&gt;69,"Cukup",IF(AF2107&gt;59,"Kurang","Sangat kurang")))))</f>
        <v/>
      </c>
      <c r="AJ2107" t="str">
        <f t="shared" si="98"/>
        <v>Wk.4</v>
      </c>
      <c r="AK2107" t="str">
        <f>IF(pub_gid_0_single_true_output_csv[[#This Row],[Nilai2]]="","",VLOOKUP(pub_gid_0_single_true_output_csv[[#This Row],[NAMA]],Table7[],3,FALSE))</f>
        <v>Average</v>
      </c>
    </row>
    <row r="2108" spans="1:37" x14ac:dyDescent="0.2">
      <c r="A2108">
        <v>2107</v>
      </c>
      <c r="B2108" t="s">
        <v>311</v>
      </c>
      <c r="C2108" t="s">
        <v>65</v>
      </c>
      <c r="D2108" t="s">
        <v>55</v>
      </c>
      <c r="E2108" t="s">
        <v>146</v>
      </c>
      <c r="F2108" s="25">
        <v>46055</v>
      </c>
      <c r="G2108" t="s">
        <v>379</v>
      </c>
      <c r="H2108" t="s">
        <v>412</v>
      </c>
      <c r="I2108" t="s">
        <v>371</v>
      </c>
      <c r="J2108" t="s">
        <v>90</v>
      </c>
      <c r="K2108" t="s">
        <v>377</v>
      </c>
      <c r="L2108" t="s">
        <v>400</v>
      </c>
      <c r="M2108" t="s">
        <v>141</v>
      </c>
      <c r="N2108" t="s">
        <v>142</v>
      </c>
      <c r="O2108" t="s">
        <v>327</v>
      </c>
      <c r="P2108" t="s">
        <v>281</v>
      </c>
      <c r="Q2108" t="s">
        <v>328</v>
      </c>
      <c r="R2108" t="s">
        <v>360</v>
      </c>
      <c r="S2108" t="s">
        <v>392</v>
      </c>
      <c r="T2108">
        <v>1</v>
      </c>
      <c r="U2108" t="s">
        <v>449</v>
      </c>
      <c r="V2108" t="s">
        <v>343</v>
      </c>
      <c r="W2108" t="s">
        <v>453</v>
      </c>
      <c r="X2108" t="s">
        <v>331</v>
      </c>
      <c r="Y2108" t="s">
        <v>307</v>
      </c>
      <c r="Z2108">
        <v>70</v>
      </c>
      <c r="AA2108">
        <v>80</v>
      </c>
      <c r="AB2108" t="s">
        <v>143</v>
      </c>
      <c r="AC2108" t="s">
        <v>336</v>
      </c>
      <c r="AD2108" t="s">
        <v>401</v>
      </c>
      <c r="AE2108" t="str">
        <f>IF(AF2108="","",VLOOKUP(AC2108,mapel!$A$2:$B$42,2,FALSE))</f>
        <v>Pancasila</v>
      </c>
      <c r="AF2108">
        <f t="shared" si="96"/>
        <v>80</v>
      </c>
      <c r="AG2108" t="str">
        <f>IF(AF2108="","",IF(AF2108&gt;90,"Sangat baik",IF(AF2108&gt;79,"Baik",IF(AF2108&gt;=pub_gid_0_single_true_output_csv[[#This Row],[KKM]],"Cukup","Kurang"))))</f>
        <v>Baik</v>
      </c>
      <c r="AH2108">
        <f t="shared" si="97"/>
        <v>12</v>
      </c>
      <c r="AI2108" s="30" t="str">
        <f>IF(OR(J2108&lt;&gt;"Karakter",pub_gid_0_single_true_output_csv[[#This Row],[Nilai2]]=""),"",IF(AF2108&gt;89,"Sangat baik",IF(AF2108&gt;79,"Baik",IF(AF2108&gt;69,"Cukup",IF(AF2108&gt;59,"Kurang","Sangat kurang")))))</f>
        <v>Baik</v>
      </c>
      <c r="AJ2108" t="str">
        <f t="shared" si="98"/>
        <v>Wk.6</v>
      </c>
      <c r="AK2108" t="str">
        <f>IF(pub_gid_0_single_true_output_csv[[#This Row],[Nilai2]]="","",VLOOKUP(pub_gid_0_single_true_output_csv[[#This Row],[NAMA]],Table7[],3,FALSE))</f>
        <v>Average</v>
      </c>
    </row>
    <row r="2109" spans="1:37" x14ac:dyDescent="0.2">
      <c r="A2109">
        <v>2108</v>
      </c>
      <c r="B2109" t="s">
        <v>311</v>
      </c>
      <c r="C2109" t="s">
        <v>65</v>
      </c>
      <c r="D2109" t="s">
        <v>55</v>
      </c>
      <c r="E2109" t="s">
        <v>146</v>
      </c>
      <c r="F2109" s="25">
        <v>46055</v>
      </c>
      <c r="G2109" t="s">
        <v>379</v>
      </c>
      <c r="H2109" t="s">
        <v>412</v>
      </c>
      <c r="I2109" t="s">
        <v>371</v>
      </c>
      <c r="J2109" t="s">
        <v>41</v>
      </c>
      <c r="K2109" t="s">
        <v>272</v>
      </c>
      <c r="L2109" t="s">
        <v>351</v>
      </c>
      <c r="M2109" t="s">
        <v>141</v>
      </c>
      <c r="N2109" t="s">
        <v>142</v>
      </c>
      <c r="O2109" t="s">
        <v>327</v>
      </c>
      <c r="P2109" t="s">
        <v>281</v>
      </c>
      <c r="Q2109" t="s">
        <v>328</v>
      </c>
      <c r="R2109" t="s">
        <v>360</v>
      </c>
      <c r="S2109" t="s">
        <v>392</v>
      </c>
      <c r="T2109">
        <v>1</v>
      </c>
      <c r="U2109" t="s">
        <v>449</v>
      </c>
      <c r="V2109" t="s">
        <v>343</v>
      </c>
      <c r="W2109" t="s">
        <v>453</v>
      </c>
      <c r="X2109" t="s">
        <v>331</v>
      </c>
      <c r="Y2109" t="s">
        <v>307</v>
      </c>
      <c r="Z2109">
        <v>70</v>
      </c>
      <c r="AA2109">
        <v>78</v>
      </c>
      <c r="AB2109" t="s">
        <v>143</v>
      </c>
      <c r="AC2109" t="s">
        <v>336</v>
      </c>
      <c r="AD2109" t="s">
        <v>401</v>
      </c>
      <c r="AE2109" t="str">
        <f>IF(AF2109="","",VLOOKUP(AC2109,mapel!$A$2:$B$42,2,FALSE))</f>
        <v>Pancasila</v>
      </c>
      <c r="AF2109">
        <f t="shared" si="96"/>
        <v>78</v>
      </c>
      <c r="AG2109" t="str">
        <f>IF(AF2109="","",IF(AF2109&gt;90,"Sangat baik",IF(AF2109&gt;79,"Baik",IF(AF2109&gt;=pub_gid_0_single_true_output_csv[[#This Row],[KKM]],"Cukup","Kurang"))))</f>
        <v>Cukup</v>
      </c>
      <c r="AH2109">
        <f t="shared" si="97"/>
        <v>12</v>
      </c>
      <c r="AI2109" s="30" t="str">
        <f>IF(OR(J2109&lt;&gt;"Karakter",pub_gid_0_single_true_output_csv[[#This Row],[Nilai2]]=""),"",IF(AF2109&gt;89,"Sangat baik",IF(AF2109&gt;79,"Baik",IF(AF2109&gt;69,"Cukup",IF(AF2109&gt;59,"Kurang","Sangat kurang")))))</f>
        <v/>
      </c>
      <c r="AJ2109" t="str">
        <f t="shared" si="98"/>
        <v>Wk.6</v>
      </c>
      <c r="AK2109" t="str">
        <f>IF(pub_gid_0_single_true_output_csv[[#This Row],[Nilai2]]="","",VLOOKUP(pub_gid_0_single_true_output_csv[[#This Row],[NAMA]],Table7[],3,FALSE))</f>
        <v>Average</v>
      </c>
    </row>
    <row r="2110" spans="1:37" x14ac:dyDescent="0.2">
      <c r="A2110">
        <v>2109</v>
      </c>
      <c r="B2110" t="s">
        <v>311</v>
      </c>
      <c r="C2110" t="s">
        <v>65</v>
      </c>
      <c r="D2110" t="s">
        <v>55</v>
      </c>
      <c r="E2110" t="s">
        <v>146</v>
      </c>
      <c r="F2110" s="25">
        <v>46055</v>
      </c>
      <c r="G2110" t="s">
        <v>379</v>
      </c>
      <c r="H2110" t="s">
        <v>412</v>
      </c>
      <c r="I2110" t="s">
        <v>371</v>
      </c>
      <c r="J2110" t="s">
        <v>279</v>
      </c>
      <c r="K2110" t="s">
        <v>280</v>
      </c>
      <c r="L2110" t="s">
        <v>322</v>
      </c>
      <c r="M2110" t="s">
        <v>141</v>
      </c>
      <c r="N2110" t="s">
        <v>142</v>
      </c>
      <c r="O2110" t="s">
        <v>327</v>
      </c>
      <c r="P2110" t="s">
        <v>281</v>
      </c>
      <c r="Q2110" t="s">
        <v>328</v>
      </c>
      <c r="R2110" t="s">
        <v>360</v>
      </c>
      <c r="S2110" t="s">
        <v>392</v>
      </c>
      <c r="T2110">
        <v>1</v>
      </c>
      <c r="U2110" t="s">
        <v>449</v>
      </c>
      <c r="V2110" t="s">
        <v>343</v>
      </c>
      <c r="W2110" t="s">
        <v>453</v>
      </c>
      <c r="X2110" t="s">
        <v>331</v>
      </c>
      <c r="Y2110" t="s">
        <v>307</v>
      </c>
      <c r="Z2110">
        <v>70</v>
      </c>
      <c r="AA2110">
        <v>77</v>
      </c>
      <c r="AB2110" t="s">
        <v>143</v>
      </c>
      <c r="AC2110" t="s">
        <v>336</v>
      </c>
      <c r="AD2110" t="s">
        <v>401</v>
      </c>
      <c r="AE2110" t="str">
        <f>IF(AF2110="","",VLOOKUP(AC2110,mapel!$A$2:$B$42,2,FALSE))</f>
        <v>Pancasila</v>
      </c>
      <c r="AF2110">
        <f t="shared" si="96"/>
        <v>77</v>
      </c>
      <c r="AG2110" t="str">
        <f>IF(AF2110="","",IF(AF2110&gt;90,"Sangat baik",IF(AF2110&gt;79,"Baik",IF(AF2110&gt;=pub_gid_0_single_true_output_csv[[#This Row],[KKM]],"Cukup","Kurang"))))</f>
        <v>Cukup</v>
      </c>
      <c r="AH2110">
        <f t="shared" si="97"/>
        <v>12</v>
      </c>
      <c r="AI2110" s="30" t="str">
        <f>IF(OR(J2110&lt;&gt;"Karakter",pub_gid_0_single_true_output_csv[[#This Row],[Nilai2]]=""),"",IF(AF2110&gt;89,"Sangat baik",IF(AF2110&gt;79,"Baik",IF(AF2110&gt;69,"Cukup",IF(AF2110&gt;59,"Kurang","Sangat kurang")))))</f>
        <v/>
      </c>
      <c r="AJ2110" t="str">
        <f t="shared" si="98"/>
        <v>Wk.6</v>
      </c>
      <c r="AK2110" t="str">
        <f>IF(pub_gid_0_single_true_output_csv[[#This Row],[Nilai2]]="","",VLOOKUP(pub_gid_0_single_true_output_csv[[#This Row],[NAMA]],Table7[],3,FALSE))</f>
        <v>Average</v>
      </c>
    </row>
    <row r="2111" spans="1:37" x14ac:dyDescent="0.2">
      <c r="A2111">
        <v>2110</v>
      </c>
      <c r="B2111" t="s">
        <v>311</v>
      </c>
      <c r="C2111" t="s">
        <v>65</v>
      </c>
      <c r="D2111" t="s">
        <v>55</v>
      </c>
      <c r="E2111" t="s">
        <v>146</v>
      </c>
      <c r="F2111" s="25">
        <v>46055</v>
      </c>
      <c r="G2111" t="s">
        <v>379</v>
      </c>
      <c r="H2111" t="s">
        <v>412</v>
      </c>
      <c r="I2111" t="s">
        <v>371</v>
      </c>
      <c r="J2111" t="s">
        <v>31</v>
      </c>
      <c r="K2111" t="s">
        <v>96</v>
      </c>
      <c r="L2111" t="s">
        <v>351</v>
      </c>
      <c r="M2111" t="s">
        <v>141</v>
      </c>
      <c r="N2111" t="s">
        <v>142</v>
      </c>
      <c r="O2111" t="s">
        <v>327</v>
      </c>
      <c r="P2111" t="s">
        <v>281</v>
      </c>
      <c r="Q2111" t="s">
        <v>328</v>
      </c>
      <c r="R2111" t="s">
        <v>360</v>
      </c>
      <c r="S2111" t="s">
        <v>392</v>
      </c>
      <c r="T2111">
        <v>1</v>
      </c>
      <c r="U2111" t="s">
        <v>449</v>
      </c>
      <c r="V2111" t="s">
        <v>343</v>
      </c>
      <c r="W2111" t="s">
        <v>453</v>
      </c>
      <c r="X2111" t="s">
        <v>331</v>
      </c>
      <c r="Y2111" t="s">
        <v>307</v>
      </c>
      <c r="Z2111">
        <v>70</v>
      </c>
      <c r="AA2111">
        <v>72</v>
      </c>
      <c r="AB2111" t="s">
        <v>143</v>
      </c>
      <c r="AC2111" t="s">
        <v>336</v>
      </c>
      <c r="AD2111" t="s">
        <v>401</v>
      </c>
      <c r="AE2111" t="str">
        <f>IF(AF2111="","",VLOOKUP(AC2111,mapel!$A$2:$B$42,2,FALSE))</f>
        <v>Pancasila</v>
      </c>
      <c r="AF2111">
        <f t="shared" si="96"/>
        <v>72</v>
      </c>
      <c r="AG2111" t="str">
        <f>IF(AF2111="","",IF(AF2111&gt;90,"Sangat baik",IF(AF2111&gt;79,"Baik",IF(AF2111&gt;=pub_gid_0_single_true_output_csv[[#This Row],[KKM]],"Cukup","Kurang"))))</f>
        <v>Cukup</v>
      </c>
      <c r="AH2111">
        <f t="shared" si="97"/>
        <v>12</v>
      </c>
      <c r="AI2111" s="30" t="str">
        <f>IF(OR(J2111&lt;&gt;"Karakter",pub_gid_0_single_true_output_csv[[#This Row],[Nilai2]]=""),"",IF(AF2111&gt;89,"Sangat baik",IF(AF2111&gt;79,"Baik",IF(AF2111&gt;69,"Cukup",IF(AF2111&gt;59,"Kurang","Sangat kurang")))))</f>
        <v/>
      </c>
      <c r="AJ2111" t="str">
        <f t="shared" si="98"/>
        <v>Wk.6</v>
      </c>
      <c r="AK2111" t="str">
        <f>IF(pub_gid_0_single_true_output_csv[[#This Row],[Nilai2]]="","",VLOOKUP(pub_gid_0_single_true_output_csv[[#This Row],[NAMA]],Table7[],3,FALSE))</f>
        <v>Average</v>
      </c>
    </row>
    <row r="2112" spans="1:37" x14ac:dyDescent="0.2">
      <c r="A2112">
        <v>2111</v>
      </c>
      <c r="B2112" t="s">
        <v>311</v>
      </c>
      <c r="C2112" t="s">
        <v>65</v>
      </c>
      <c r="D2112" t="s">
        <v>55</v>
      </c>
      <c r="E2112" t="s">
        <v>146</v>
      </c>
      <c r="F2112" s="25">
        <v>46055</v>
      </c>
      <c r="G2112" t="s">
        <v>379</v>
      </c>
      <c r="H2112" t="s">
        <v>412</v>
      </c>
      <c r="I2112" t="s">
        <v>371</v>
      </c>
      <c r="J2112" t="s">
        <v>36</v>
      </c>
      <c r="K2112" t="s">
        <v>37</v>
      </c>
      <c r="L2112" t="s">
        <v>150</v>
      </c>
      <c r="M2112" t="s">
        <v>141</v>
      </c>
      <c r="N2112" t="s">
        <v>142</v>
      </c>
      <c r="O2112" t="s">
        <v>327</v>
      </c>
      <c r="P2112" t="s">
        <v>281</v>
      </c>
      <c r="Q2112" t="s">
        <v>328</v>
      </c>
      <c r="R2112" t="s">
        <v>360</v>
      </c>
      <c r="S2112" t="s">
        <v>392</v>
      </c>
      <c r="T2112">
        <v>1</v>
      </c>
      <c r="U2112" t="s">
        <v>449</v>
      </c>
      <c r="V2112" t="s">
        <v>343</v>
      </c>
      <c r="W2112" t="s">
        <v>453</v>
      </c>
      <c r="X2112" t="s">
        <v>331</v>
      </c>
      <c r="Y2112" t="s">
        <v>307</v>
      </c>
      <c r="Z2112">
        <v>70</v>
      </c>
      <c r="AA2112">
        <v>70</v>
      </c>
      <c r="AB2112" t="s">
        <v>143</v>
      </c>
      <c r="AC2112" t="s">
        <v>336</v>
      </c>
      <c r="AD2112" t="s">
        <v>401</v>
      </c>
      <c r="AE2112" t="str">
        <f>IF(AF2112="","",VLOOKUP(AC2112,mapel!$A$2:$B$42,2,FALSE))</f>
        <v>Pancasila</v>
      </c>
      <c r="AF2112">
        <f t="shared" si="96"/>
        <v>70</v>
      </c>
      <c r="AG2112" t="str">
        <f>IF(AF2112="","",IF(AF2112&gt;90,"Sangat baik",IF(AF2112&gt;79,"Baik",IF(AF2112&gt;=pub_gid_0_single_true_output_csv[[#This Row],[KKM]],"Cukup","Kurang"))))</f>
        <v>Cukup</v>
      </c>
      <c r="AH2112">
        <f t="shared" si="97"/>
        <v>12</v>
      </c>
      <c r="AI2112" s="30" t="str">
        <f>IF(OR(J2112&lt;&gt;"Karakter",pub_gid_0_single_true_output_csv[[#This Row],[Nilai2]]=""),"",IF(AF2112&gt;89,"Sangat baik",IF(AF2112&gt;79,"Baik",IF(AF2112&gt;69,"Cukup",IF(AF2112&gt;59,"Kurang","Sangat kurang")))))</f>
        <v/>
      </c>
      <c r="AJ2112" t="str">
        <f t="shared" si="98"/>
        <v>Wk.6</v>
      </c>
      <c r="AK2112" t="str">
        <f>IF(pub_gid_0_single_true_output_csv[[#This Row],[Nilai2]]="","",VLOOKUP(pub_gid_0_single_true_output_csv[[#This Row],[NAMA]],Table7[],3,FALSE))</f>
        <v>Average</v>
      </c>
    </row>
    <row r="2113" spans="1:37" x14ac:dyDescent="0.2">
      <c r="A2113">
        <v>2112</v>
      </c>
      <c r="B2113" t="s">
        <v>311</v>
      </c>
      <c r="C2113" t="s">
        <v>65</v>
      </c>
      <c r="D2113" t="s">
        <v>55</v>
      </c>
      <c r="E2113" t="s">
        <v>146</v>
      </c>
      <c r="F2113" s="25">
        <v>46059</v>
      </c>
      <c r="G2113" t="s">
        <v>349</v>
      </c>
      <c r="H2113" t="s">
        <v>412</v>
      </c>
      <c r="I2113" t="s">
        <v>371</v>
      </c>
      <c r="J2113" t="s">
        <v>41</v>
      </c>
      <c r="K2113" t="s">
        <v>357</v>
      </c>
      <c r="L2113" t="s">
        <v>351</v>
      </c>
      <c r="M2113" t="s">
        <v>141</v>
      </c>
      <c r="N2113" t="s">
        <v>142</v>
      </c>
      <c r="O2113" t="s">
        <v>327</v>
      </c>
      <c r="P2113" t="s">
        <v>281</v>
      </c>
      <c r="Q2113" t="s">
        <v>328</v>
      </c>
      <c r="R2113" t="s">
        <v>360</v>
      </c>
      <c r="S2113" t="s">
        <v>454</v>
      </c>
      <c r="T2113">
        <v>1</v>
      </c>
      <c r="U2113" t="s">
        <v>449</v>
      </c>
      <c r="V2113" t="s">
        <v>344</v>
      </c>
      <c r="W2113" t="s">
        <v>455</v>
      </c>
      <c r="X2113" t="s">
        <v>331</v>
      </c>
      <c r="Y2113" t="s">
        <v>307</v>
      </c>
      <c r="Z2113">
        <v>70</v>
      </c>
      <c r="AA2113">
        <v>78</v>
      </c>
      <c r="AB2113" t="s">
        <v>143</v>
      </c>
      <c r="AC2113" t="s">
        <v>336</v>
      </c>
      <c r="AD2113" t="s">
        <v>401</v>
      </c>
      <c r="AE2113" t="str">
        <f>IF(AF2113="","",VLOOKUP(AC2113,mapel!$A$2:$B$42,2,FALSE))</f>
        <v>Pancasila</v>
      </c>
      <c r="AF2113">
        <f t="shared" si="96"/>
        <v>78</v>
      </c>
      <c r="AG2113" t="str">
        <f>IF(AF2113="","",IF(AF2113&gt;90,"Sangat baik",IF(AF2113&gt;79,"Baik",IF(AF2113&gt;=pub_gid_0_single_true_output_csv[[#This Row],[KKM]],"Cukup","Kurang"))))</f>
        <v>Cukup</v>
      </c>
      <c r="AH2113">
        <f t="shared" si="97"/>
        <v>12</v>
      </c>
      <c r="AI2113" s="30" t="str">
        <f>IF(OR(J2113&lt;&gt;"Karakter",pub_gid_0_single_true_output_csv[[#This Row],[Nilai2]]=""),"",IF(AF2113&gt;89,"Sangat baik",IF(AF2113&gt;79,"Baik",IF(AF2113&gt;69,"Cukup",IF(AF2113&gt;59,"Kurang","Sangat kurang")))))</f>
        <v/>
      </c>
      <c r="AJ2113" t="str">
        <f t="shared" si="98"/>
        <v>Wk.6</v>
      </c>
      <c r="AK2113" t="str">
        <f>IF(pub_gid_0_single_true_output_csv[[#This Row],[Nilai2]]="","",VLOOKUP(pub_gid_0_single_true_output_csv[[#This Row],[NAMA]],Table7[],3,FALSE))</f>
        <v>Average</v>
      </c>
    </row>
    <row r="2114" spans="1:37" x14ac:dyDescent="0.2">
      <c r="A2114">
        <v>2113</v>
      </c>
      <c r="B2114" t="s">
        <v>311</v>
      </c>
      <c r="C2114" t="s">
        <v>65</v>
      </c>
      <c r="D2114" t="s">
        <v>55</v>
      </c>
      <c r="E2114" t="s">
        <v>146</v>
      </c>
      <c r="F2114" s="25">
        <v>46059</v>
      </c>
      <c r="G2114" t="s">
        <v>349</v>
      </c>
      <c r="H2114" t="s">
        <v>412</v>
      </c>
      <c r="I2114" t="s">
        <v>371</v>
      </c>
      <c r="J2114" t="s">
        <v>36</v>
      </c>
      <c r="K2114" t="s">
        <v>37</v>
      </c>
      <c r="L2114" t="s">
        <v>351</v>
      </c>
      <c r="M2114" t="s">
        <v>141</v>
      </c>
      <c r="N2114" t="s">
        <v>142</v>
      </c>
      <c r="O2114" t="s">
        <v>327</v>
      </c>
      <c r="P2114" t="s">
        <v>281</v>
      </c>
      <c r="Q2114" t="s">
        <v>328</v>
      </c>
      <c r="R2114" t="s">
        <v>360</v>
      </c>
      <c r="S2114" t="s">
        <v>392</v>
      </c>
      <c r="T2114">
        <v>1</v>
      </c>
      <c r="U2114" t="s">
        <v>449</v>
      </c>
      <c r="V2114" t="s">
        <v>343</v>
      </c>
      <c r="W2114" t="s">
        <v>453</v>
      </c>
      <c r="X2114" t="s">
        <v>331</v>
      </c>
      <c r="Y2114" t="s">
        <v>307</v>
      </c>
      <c r="Z2114">
        <v>70</v>
      </c>
      <c r="AA2114">
        <v>79</v>
      </c>
      <c r="AB2114" t="s">
        <v>143</v>
      </c>
      <c r="AC2114" t="s">
        <v>336</v>
      </c>
      <c r="AD2114" t="s">
        <v>401</v>
      </c>
      <c r="AE2114" t="str">
        <f>IF(AF2114="","",VLOOKUP(AC2114,mapel!$A$2:$B$42,2,FALSE))</f>
        <v>Pancasila</v>
      </c>
      <c r="AF2114">
        <f t="shared" ref="AF2114:AF2177" si="99">IF(AA2114=0, "",IF(AA2114 = 0.1, 0,AA2114))</f>
        <v>79</v>
      </c>
      <c r="AG2114" t="str">
        <f>IF(AF2114="","",IF(AF2114&gt;90,"Sangat baik",IF(AF2114&gt;79,"Baik",IF(AF2114&gt;=pub_gid_0_single_true_output_csv[[#This Row],[KKM]],"Cukup","Kurang"))))</f>
        <v>Cukup</v>
      </c>
      <c r="AH2114">
        <f t="shared" ref="AH2114:AH2177" si="100">IF(AG2114="","",VALUE(RIGHT(X2114,2)))</f>
        <v>12</v>
      </c>
      <c r="AI2114" s="30" t="str">
        <f>IF(OR(J2114&lt;&gt;"Karakter",pub_gid_0_single_true_output_csv[[#This Row],[Nilai2]]=""),"",IF(AF2114&gt;89,"Sangat baik",IF(AF2114&gt;79,"Baik",IF(AF2114&gt;69,"Cukup",IF(AF2114&gt;59,"Kurang","Sangat kurang")))))</f>
        <v/>
      </c>
      <c r="AJ2114" t="str">
        <f t="shared" ref="AJ2114:AJ2177" si="101">IF(AF2114="","",CONCATENATE("Wk.",WEEKNUM(F2114,2)))</f>
        <v>Wk.6</v>
      </c>
      <c r="AK2114" t="str">
        <f>IF(pub_gid_0_single_true_output_csv[[#This Row],[Nilai2]]="","",VLOOKUP(pub_gid_0_single_true_output_csv[[#This Row],[NAMA]],Table7[],3,FALSE))</f>
        <v>Average</v>
      </c>
    </row>
    <row r="2115" spans="1:37" x14ac:dyDescent="0.2">
      <c r="A2115">
        <v>2114</v>
      </c>
      <c r="B2115" t="s">
        <v>312</v>
      </c>
      <c r="C2115" t="s">
        <v>65</v>
      </c>
      <c r="D2115" t="s">
        <v>56</v>
      </c>
      <c r="E2115" t="s">
        <v>156</v>
      </c>
      <c r="F2115" s="25">
        <v>46034</v>
      </c>
      <c r="G2115" t="s">
        <v>354</v>
      </c>
      <c r="H2115" t="s">
        <v>405</v>
      </c>
      <c r="I2115" t="s">
        <v>371</v>
      </c>
      <c r="J2115" t="s">
        <v>90</v>
      </c>
      <c r="K2115" t="s">
        <v>92</v>
      </c>
      <c r="L2115" t="s">
        <v>91</v>
      </c>
      <c r="M2115" t="s">
        <v>141</v>
      </c>
      <c r="N2115" t="s">
        <v>142</v>
      </c>
      <c r="O2115" t="s">
        <v>327</v>
      </c>
      <c r="P2115" t="s">
        <v>281</v>
      </c>
      <c r="Q2115" t="s">
        <v>328</v>
      </c>
      <c r="R2115" t="s">
        <v>360</v>
      </c>
      <c r="S2115" t="s">
        <v>330</v>
      </c>
      <c r="T2115">
        <v>1</v>
      </c>
      <c r="U2115" t="s">
        <v>449</v>
      </c>
      <c r="V2115" t="s">
        <v>285</v>
      </c>
      <c r="W2115" t="s">
        <v>450</v>
      </c>
      <c r="X2115" t="s">
        <v>331</v>
      </c>
      <c r="Y2115" t="s">
        <v>307</v>
      </c>
      <c r="Z2115">
        <v>70</v>
      </c>
      <c r="AA2115">
        <v>78</v>
      </c>
      <c r="AB2115" t="s">
        <v>143</v>
      </c>
      <c r="AC2115" t="s">
        <v>336</v>
      </c>
      <c r="AD2115" t="s">
        <v>401</v>
      </c>
      <c r="AE2115" t="str">
        <f>IF(AF2115="","",VLOOKUP(AC2115,mapel!$A$2:$B$42,2,FALSE))</f>
        <v>Pancasila</v>
      </c>
      <c r="AF2115">
        <f t="shared" si="99"/>
        <v>78</v>
      </c>
      <c r="AG2115" t="str">
        <f>IF(AF2115="","",IF(AF2115&gt;90,"Sangat baik",IF(AF2115&gt;79,"Baik",IF(AF2115&gt;=pub_gid_0_single_true_output_csv[[#This Row],[KKM]],"Cukup","Kurang"))))</f>
        <v>Cukup</v>
      </c>
      <c r="AH2115">
        <f t="shared" si="100"/>
        <v>12</v>
      </c>
      <c r="AI2115" s="30" t="str">
        <f>IF(OR(J2115&lt;&gt;"Karakter",pub_gid_0_single_true_output_csv[[#This Row],[Nilai2]]=""),"",IF(AF2115&gt;89,"Sangat baik",IF(AF2115&gt;79,"Baik",IF(AF2115&gt;69,"Cukup",IF(AF2115&gt;59,"Kurang","Sangat kurang")))))</f>
        <v>Cukup</v>
      </c>
      <c r="AJ2115" t="str">
        <f t="shared" si="101"/>
        <v>Wk.3</v>
      </c>
      <c r="AK2115" t="str">
        <f>IF(pub_gid_0_single_true_output_csv[[#This Row],[Nilai2]]="","",VLOOKUP(pub_gid_0_single_true_output_csv[[#This Row],[NAMA]],Table7[],3,FALSE))</f>
        <v>Superior</v>
      </c>
    </row>
    <row r="2116" spans="1:37" x14ac:dyDescent="0.2">
      <c r="A2116">
        <v>2115</v>
      </c>
      <c r="B2116" t="s">
        <v>312</v>
      </c>
      <c r="C2116" t="s">
        <v>65</v>
      </c>
      <c r="D2116" t="s">
        <v>56</v>
      </c>
      <c r="E2116" t="s">
        <v>156</v>
      </c>
      <c r="F2116" s="25">
        <v>46034</v>
      </c>
      <c r="G2116" t="s">
        <v>354</v>
      </c>
      <c r="H2116" t="s">
        <v>405</v>
      </c>
      <c r="I2116" t="s">
        <v>371</v>
      </c>
      <c r="J2116" t="s">
        <v>279</v>
      </c>
      <c r="K2116" t="s">
        <v>280</v>
      </c>
      <c r="L2116" t="s">
        <v>322</v>
      </c>
      <c r="M2116" t="s">
        <v>141</v>
      </c>
      <c r="N2116" t="s">
        <v>142</v>
      </c>
      <c r="O2116" t="s">
        <v>327</v>
      </c>
      <c r="P2116" t="s">
        <v>281</v>
      </c>
      <c r="Q2116" t="s">
        <v>328</v>
      </c>
      <c r="R2116" t="s">
        <v>360</v>
      </c>
      <c r="S2116" t="s">
        <v>330</v>
      </c>
      <c r="T2116">
        <v>1</v>
      </c>
      <c r="U2116" t="s">
        <v>449</v>
      </c>
      <c r="V2116" t="s">
        <v>285</v>
      </c>
      <c r="W2116" t="s">
        <v>450</v>
      </c>
      <c r="X2116" t="s">
        <v>331</v>
      </c>
      <c r="Y2116" t="s">
        <v>307</v>
      </c>
      <c r="Z2116">
        <v>70</v>
      </c>
      <c r="AA2116">
        <v>80</v>
      </c>
      <c r="AB2116" t="s">
        <v>143</v>
      </c>
      <c r="AC2116" t="s">
        <v>336</v>
      </c>
      <c r="AD2116" t="s">
        <v>401</v>
      </c>
      <c r="AE2116" t="str">
        <f>IF(AF2116="","",VLOOKUP(AC2116,mapel!$A$2:$B$42,2,FALSE))</f>
        <v>Pancasila</v>
      </c>
      <c r="AF2116">
        <f t="shared" si="99"/>
        <v>80</v>
      </c>
      <c r="AG2116" t="str">
        <f>IF(AF2116="","",IF(AF2116&gt;90,"Sangat baik",IF(AF2116&gt;79,"Baik",IF(AF2116&gt;=pub_gid_0_single_true_output_csv[[#This Row],[KKM]],"Cukup","Kurang"))))</f>
        <v>Baik</v>
      </c>
      <c r="AH2116">
        <f t="shared" si="100"/>
        <v>12</v>
      </c>
      <c r="AI2116" s="30" t="str">
        <f>IF(OR(J2116&lt;&gt;"Karakter",pub_gid_0_single_true_output_csv[[#This Row],[Nilai2]]=""),"",IF(AF2116&gt;89,"Sangat baik",IF(AF2116&gt;79,"Baik",IF(AF2116&gt;69,"Cukup",IF(AF2116&gt;59,"Kurang","Sangat kurang")))))</f>
        <v/>
      </c>
      <c r="AJ2116" t="str">
        <f t="shared" si="101"/>
        <v>Wk.3</v>
      </c>
      <c r="AK2116" t="str">
        <f>IF(pub_gid_0_single_true_output_csv[[#This Row],[Nilai2]]="","",VLOOKUP(pub_gid_0_single_true_output_csv[[#This Row],[NAMA]],Table7[],3,FALSE))</f>
        <v>Superior</v>
      </c>
    </row>
    <row r="2117" spans="1:37" x14ac:dyDescent="0.2">
      <c r="A2117">
        <v>2116</v>
      </c>
      <c r="B2117" t="s">
        <v>312</v>
      </c>
      <c r="C2117" t="s">
        <v>65</v>
      </c>
      <c r="D2117" t="s">
        <v>56</v>
      </c>
      <c r="E2117" t="s">
        <v>156</v>
      </c>
      <c r="F2117" s="25">
        <v>46034</v>
      </c>
      <c r="G2117" t="s">
        <v>354</v>
      </c>
      <c r="H2117" t="s">
        <v>405</v>
      </c>
      <c r="I2117" t="s">
        <v>371</v>
      </c>
      <c r="J2117" t="s">
        <v>31</v>
      </c>
      <c r="K2117" t="s">
        <v>96</v>
      </c>
      <c r="L2117" t="s">
        <v>351</v>
      </c>
      <c r="M2117" t="s">
        <v>141</v>
      </c>
      <c r="N2117" t="s">
        <v>142</v>
      </c>
      <c r="O2117" t="s">
        <v>327</v>
      </c>
      <c r="P2117" t="s">
        <v>281</v>
      </c>
      <c r="Q2117" t="s">
        <v>328</v>
      </c>
      <c r="R2117" t="s">
        <v>360</v>
      </c>
      <c r="S2117" t="s">
        <v>330</v>
      </c>
      <c r="T2117">
        <v>1</v>
      </c>
      <c r="U2117" t="s">
        <v>449</v>
      </c>
      <c r="V2117" t="s">
        <v>285</v>
      </c>
      <c r="W2117" t="s">
        <v>450</v>
      </c>
      <c r="X2117" t="s">
        <v>331</v>
      </c>
      <c r="Y2117" t="s">
        <v>307</v>
      </c>
      <c r="Z2117">
        <v>70</v>
      </c>
      <c r="AA2117">
        <v>74</v>
      </c>
      <c r="AB2117" t="s">
        <v>143</v>
      </c>
      <c r="AC2117" t="s">
        <v>336</v>
      </c>
      <c r="AD2117" t="s">
        <v>401</v>
      </c>
      <c r="AE2117" t="str">
        <f>IF(AF2117="","",VLOOKUP(AC2117,mapel!$A$2:$B$42,2,FALSE))</f>
        <v>Pancasila</v>
      </c>
      <c r="AF2117">
        <f t="shared" si="99"/>
        <v>74</v>
      </c>
      <c r="AG2117" t="str">
        <f>IF(AF2117="","",IF(AF2117&gt;90,"Sangat baik",IF(AF2117&gt;79,"Baik",IF(AF2117&gt;=pub_gid_0_single_true_output_csv[[#This Row],[KKM]],"Cukup","Kurang"))))</f>
        <v>Cukup</v>
      </c>
      <c r="AH2117">
        <f t="shared" si="100"/>
        <v>12</v>
      </c>
      <c r="AI2117" s="30" t="str">
        <f>IF(OR(J2117&lt;&gt;"Karakter",pub_gid_0_single_true_output_csv[[#This Row],[Nilai2]]=""),"",IF(AF2117&gt;89,"Sangat baik",IF(AF2117&gt;79,"Baik",IF(AF2117&gt;69,"Cukup",IF(AF2117&gt;59,"Kurang","Sangat kurang")))))</f>
        <v/>
      </c>
      <c r="AJ2117" t="str">
        <f t="shared" si="101"/>
        <v>Wk.3</v>
      </c>
      <c r="AK2117" t="str">
        <f>IF(pub_gid_0_single_true_output_csv[[#This Row],[Nilai2]]="","",VLOOKUP(pub_gid_0_single_true_output_csv[[#This Row],[NAMA]],Table7[],3,FALSE))</f>
        <v>Superior</v>
      </c>
    </row>
    <row r="2118" spans="1:37" x14ac:dyDescent="0.2">
      <c r="A2118">
        <v>2117</v>
      </c>
      <c r="B2118" t="s">
        <v>312</v>
      </c>
      <c r="C2118" t="s">
        <v>65</v>
      </c>
      <c r="D2118" t="s">
        <v>56</v>
      </c>
      <c r="E2118" t="s">
        <v>156</v>
      </c>
      <c r="F2118" s="25">
        <v>46034</v>
      </c>
      <c r="G2118" t="s">
        <v>354</v>
      </c>
      <c r="H2118" t="s">
        <v>405</v>
      </c>
      <c r="I2118" t="s">
        <v>371</v>
      </c>
      <c r="J2118" t="s">
        <v>36</v>
      </c>
      <c r="K2118" t="s">
        <v>37</v>
      </c>
      <c r="L2118" t="s">
        <v>351</v>
      </c>
      <c r="M2118" t="s">
        <v>141</v>
      </c>
      <c r="N2118" t="s">
        <v>142</v>
      </c>
      <c r="O2118" t="s">
        <v>327</v>
      </c>
      <c r="P2118" t="s">
        <v>281</v>
      </c>
      <c r="Q2118" t="s">
        <v>328</v>
      </c>
      <c r="R2118" t="s">
        <v>360</v>
      </c>
      <c r="S2118" t="s">
        <v>330</v>
      </c>
      <c r="T2118">
        <v>1</v>
      </c>
      <c r="U2118" t="s">
        <v>449</v>
      </c>
      <c r="V2118" t="s">
        <v>285</v>
      </c>
      <c r="W2118" t="s">
        <v>450</v>
      </c>
      <c r="X2118" t="s">
        <v>331</v>
      </c>
      <c r="Y2118" t="s">
        <v>307</v>
      </c>
      <c r="Z2118">
        <v>70</v>
      </c>
      <c r="AA2118">
        <v>75</v>
      </c>
      <c r="AB2118" t="s">
        <v>143</v>
      </c>
      <c r="AC2118" t="s">
        <v>336</v>
      </c>
      <c r="AD2118" t="s">
        <v>401</v>
      </c>
      <c r="AE2118" t="str">
        <f>IF(AF2118="","",VLOOKUP(AC2118,mapel!$A$2:$B$42,2,FALSE))</f>
        <v>Pancasila</v>
      </c>
      <c r="AF2118">
        <f t="shared" si="99"/>
        <v>75</v>
      </c>
      <c r="AG2118" t="str">
        <f>IF(AF2118="","",IF(AF2118&gt;90,"Sangat baik",IF(AF2118&gt;79,"Baik",IF(AF2118&gt;=pub_gid_0_single_true_output_csv[[#This Row],[KKM]],"Cukup","Kurang"))))</f>
        <v>Cukup</v>
      </c>
      <c r="AH2118">
        <f t="shared" si="100"/>
        <v>12</v>
      </c>
      <c r="AI2118" s="30" t="str">
        <f>IF(OR(J2118&lt;&gt;"Karakter",pub_gid_0_single_true_output_csv[[#This Row],[Nilai2]]=""),"",IF(AF2118&gt;89,"Sangat baik",IF(AF2118&gt;79,"Baik",IF(AF2118&gt;69,"Cukup",IF(AF2118&gt;59,"Kurang","Sangat kurang")))))</f>
        <v/>
      </c>
      <c r="AJ2118" t="str">
        <f t="shared" si="101"/>
        <v>Wk.3</v>
      </c>
      <c r="AK2118" t="str">
        <f>IF(pub_gid_0_single_true_output_csv[[#This Row],[Nilai2]]="","",VLOOKUP(pub_gid_0_single_true_output_csv[[#This Row],[NAMA]],Table7[],3,FALSE))</f>
        <v>Superior</v>
      </c>
    </row>
    <row r="2119" spans="1:37" x14ac:dyDescent="0.2">
      <c r="A2119">
        <v>2118</v>
      </c>
      <c r="B2119" t="s">
        <v>312</v>
      </c>
      <c r="C2119" t="s">
        <v>65</v>
      </c>
      <c r="D2119" t="s">
        <v>56</v>
      </c>
      <c r="E2119" t="s">
        <v>156</v>
      </c>
      <c r="F2119" s="25">
        <v>46038</v>
      </c>
      <c r="G2119" t="s">
        <v>382</v>
      </c>
      <c r="H2119" t="s">
        <v>405</v>
      </c>
      <c r="I2119" t="s">
        <v>371</v>
      </c>
      <c r="J2119" t="s">
        <v>36</v>
      </c>
      <c r="K2119" t="s">
        <v>37</v>
      </c>
      <c r="L2119" t="s">
        <v>351</v>
      </c>
      <c r="M2119" t="s">
        <v>397</v>
      </c>
      <c r="N2119" t="s">
        <v>142</v>
      </c>
      <c r="O2119" t="s">
        <v>327</v>
      </c>
      <c r="P2119" t="s">
        <v>281</v>
      </c>
      <c r="Q2119" t="s">
        <v>328</v>
      </c>
      <c r="R2119" t="s">
        <v>360</v>
      </c>
      <c r="S2119" t="s">
        <v>330</v>
      </c>
      <c r="T2119">
        <v>1</v>
      </c>
      <c r="U2119" t="s">
        <v>449</v>
      </c>
      <c r="V2119" t="s">
        <v>285</v>
      </c>
      <c r="W2119" t="s">
        <v>450</v>
      </c>
      <c r="X2119" t="s">
        <v>331</v>
      </c>
      <c r="Y2119" t="s">
        <v>307</v>
      </c>
      <c r="Z2119">
        <v>70</v>
      </c>
      <c r="AA2119">
        <v>0</v>
      </c>
      <c r="AB2119" t="s">
        <v>151</v>
      </c>
      <c r="AC2119" t="s">
        <v>336</v>
      </c>
      <c r="AD2119" t="s">
        <v>401</v>
      </c>
      <c r="AE2119" t="str">
        <f>IF(AF2119="","",VLOOKUP(AC2119,mapel!$A$2:$B$42,2,FALSE))</f>
        <v/>
      </c>
      <c r="AF2119" t="str">
        <f t="shared" si="99"/>
        <v/>
      </c>
      <c r="AG2119" t="str">
        <f>IF(AF2119="","",IF(AF2119&gt;90,"Sangat baik",IF(AF2119&gt;79,"Baik",IF(AF2119&gt;=pub_gid_0_single_true_output_csv[[#This Row],[KKM]],"Cukup","Kurang"))))</f>
        <v/>
      </c>
      <c r="AH2119" t="str">
        <f t="shared" si="100"/>
        <v/>
      </c>
      <c r="AI2119" s="30" t="str">
        <f>IF(OR(J2119&lt;&gt;"Karakter",pub_gid_0_single_true_output_csv[[#This Row],[Nilai2]]=""),"",IF(AF2119&gt;89,"Sangat baik",IF(AF2119&gt;79,"Baik",IF(AF2119&gt;69,"Cukup",IF(AF2119&gt;59,"Kurang","Sangat kurang")))))</f>
        <v/>
      </c>
      <c r="AJ2119" t="str">
        <f t="shared" si="101"/>
        <v/>
      </c>
      <c r="AK2119" t="str">
        <f>IF(pub_gid_0_single_true_output_csv[[#This Row],[Nilai2]]="","",VLOOKUP(pub_gid_0_single_true_output_csv[[#This Row],[NAMA]],Table7[],3,FALSE))</f>
        <v/>
      </c>
    </row>
    <row r="2120" spans="1:37" x14ac:dyDescent="0.2">
      <c r="A2120">
        <v>2119</v>
      </c>
      <c r="B2120" t="s">
        <v>312</v>
      </c>
      <c r="C2120" t="s">
        <v>65</v>
      </c>
      <c r="D2120" t="s">
        <v>56</v>
      </c>
      <c r="E2120" t="s">
        <v>156</v>
      </c>
      <c r="F2120" s="25">
        <v>46041</v>
      </c>
      <c r="G2120" t="s">
        <v>370</v>
      </c>
      <c r="H2120" t="s">
        <v>405</v>
      </c>
      <c r="I2120" t="s">
        <v>371</v>
      </c>
      <c r="J2120" t="s">
        <v>36</v>
      </c>
      <c r="K2120" t="s">
        <v>37</v>
      </c>
      <c r="L2120" t="s">
        <v>351</v>
      </c>
      <c r="M2120" t="s">
        <v>141</v>
      </c>
      <c r="N2120" t="s">
        <v>142</v>
      </c>
      <c r="O2120" t="s">
        <v>327</v>
      </c>
      <c r="P2120" t="s">
        <v>281</v>
      </c>
      <c r="Q2120" t="s">
        <v>328</v>
      </c>
      <c r="R2120" t="s">
        <v>360</v>
      </c>
      <c r="S2120" t="s">
        <v>387</v>
      </c>
      <c r="T2120">
        <v>2</v>
      </c>
      <c r="U2120" t="s">
        <v>451</v>
      </c>
      <c r="V2120" t="s">
        <v>303</v>
      </c>
      <c r="W2120" t="s">
        <v>452</v>
      </c>
      <c r="X2120" t="s">
        <v>331</v>
      </c>
      <c r="Y2120" t="s">
        <v>307</v>
      </c>
      <c r="Z2120">
        <v>70</v>
      </c>
      <c r="AA2120">
        <v>85</v>
      </c>
      <c r="AB2120" t="s">
        <v>143</v>
      </c>
      <c r="AC2120" t="s">
        <v>336</v>
      </c>
      <c r="AD2120" t="s">
        <v>401</v>
      </c>
      <c r="AE2120" t="str">
        <f>IF(AF2120="","",VLOOKUP(AC2120,mapel!$A$2:$B$42,2,FALSE))</f>
        <v>Pancasila</v>
      </c>
      <c r="AF2120">
        <f t="shared" si="99"/>
        <v>85</v>
      </c>
      <c r="AG2120" t="str">
        <f>IF(AF2120="","",IF(AF2120&gt;90,"Sangat baik",IF(AF2120&gt;79,"Baik",IF(AF2120&gt;=pub_gid_0_single_true_output_csv[[#This Row],[KKM]],"Cukup","Kurang"))))</f>
        <v>Baik</v>
      </c>
      <c r="AH2120">
        <f t="shared" si="100"/>
        <v>12</v>
      </c>
      <c r="AI2120" s="30" t="str">
        <f>IF(OR(J2120&lt;&gt;"Karakter",pub_gid_0_single_true_output_csv[[#This Row],[Nilai2]]=""),"",IF(AF2120&gt;89,"Sangat baik",IF(AF2120&gt;79,"Baik",IF(AF2120&gt;69,"Cukup",IF(AF2120&gt;59,"Kurang","Sangat kurang")))))</f>
        <v/>
      </c>
      <c r="AJ2120" t="str">
        <f t="shared" si="101"/>
        <v>Wk.4</v>
      </c>
      <c r="AK2120" t="str">
        <f>IF(pub_gid_0_single_true_output_csv[[#This Row],[Nilai2]]="","",VLOOKUP(pub_gid_0_single_true_output_csv[[#This Row],[NAMA]],Table7[],3,FALSE))</f>
        <v>Superior</v>
      </c>
    </row>
    <row r="2121" spans="1:37" x14ac:dyDescent="0.2">
      <c r="A2121">
        <v>2120</v>
      </c>
      <c r="B2121" t="s">
        <v>312</v>
      </c>
      <c r="C2121" t="s">
        <v>65</v>
      </c>
      <c r="D2121" t="s">
        <v>56</v>
      </c>
      <c r="E2121" t="s">
        <v>156</v>
      </c>
      <c r="F2121" s="25">
        <v>46041</v>
      </c>
      <c r="G2121" t="s">
        <v>370</v>
      </c>
      <c r="H2121" t="s">
        <v>405</v>
      </c>
      <c r="I2121" t="s">
        <v>371</v>
      </c>
      <c r="J2121" t="s">
        <v>31</v>
      </c>
      <c r="K2121" t="s">
        <v>96</v>
      </c>
      <c r="L2121" t="s">
        <v>351</v>
      </c>
      <c r="M2121" t="s">
        <v>141</v>
      </c>
      <c r="N2121" t="s">
        <v>142</v>
      </c>
      <c r="O2121" t="s">
        <v>327</v>
      </c>
      <c r="P2121" t="s">
        <v>281</v>
      </c>
      <c r="Q2121" t="s">
        <v>328</v>
      </c>
      <c r="R2121" t="s">
        <v>360</v>
      </c>
      <c r="S2121" t="s">
        <v>387</v>
      </c>
      <c r="T2121">
        <v>2</v>
      </c>
      <c r="U2121" t="s">
        <v>451</v>
      </c>
      <c r="V2121" t="s">
        <v>303</v>
      </c>
      <c r="W2121" t="s">
        <v>452</v>
      </c>
      <c r="X2121" t="s">
        <v>331</v>
      </c>
      <c r="Y2121" t="s">
        <v>307</v>
      </c>
      <c r="Z2121">
        <v>70</v>
      </c>
      <c r="AA2121">
        <v>87</v>
      </c>
      <c r="AB2121" t="s">
        <v>143</v>
      </c>
      <c r="AC2121" t="s">
        <v>336</v>
      </c>
      <c r="AD2121" t="s">
        <v>401</v>
      </c>
      <c r="AE2121" t="str">
        <f>IF(AF2121="","",VLOOKUP(AC2121,mapel!$A$2:$B$42,2,FALSE))</f>
        <v>Pancasila</v>
      </c>
      <c r="AF2121">
        <f t="shared" si="99"/>
        <v>87</v>
      </c>
      <c r="AG2121" t="str">
        <f>IF(AF2121="","",IF(AF2121&gt;90,"Sangat baik",IF(AF2121&gt;79,"Baik",IF(AF2121&gt;=pub_gid_0_single_true_output_csv[[#This Row],[KKM]],"Cukup","Kurang"))))</f>
        <v>Baik</v>
      </c>
      <c r="AH2121">
        <f t="shared" si="100"/>
        <v>12</v>
      </c>
      <c r="AI2121" s="30" t="str">
        <f>IF(OR(J2121&lt;&gt;"Karakter",pub_gid_0_single_true_output_csv[[#This Row],[Nilai2]]=""),"",IF(AF2121&gt;89,"Sangat baik",IF(AF2121&gt;79,"Baik",IF(AF2121&gt;69,"Cukup",IF(AF2121&gt;59,"Kurang","Sangat kurang")))))</f>
        <v/>
      </c>
      <c r="AJ2121" t="str">
        <f t="shared" si="101"/>
        <v>Wk.4</v>
      </c>
      <c r="AK2121" t="str">
        <f>IF(pub_gid_0_single_true_output_csv[[#This Row],[Nilai2]]="","",VLOOKUP(pub_gid_0_single_true_output_csv[[#This Row],[NAMA]],Table7[],3,FALSE))</f>
        <v>Superior</v>
      </c>
    </row>
    <row r="2122" spans="1:37" x14ac:dyDescent="0.2">
      <c r="A2122">
        <v>2121</v>
      </c>
      <c r="B2122" t="s">
        <v>312</v>
      </c>
      <c r="C2122" t="s">
        <v>65</v>
      </c>
      <c r="D2122" t="s">
        <v>56</v>
      </c>
      <c r="E2122" t="s">
        <v>156</v>
      </c>
      <c r="F2122" s="25">
        <v>46041</v>
      </c>
      <c r="G2122" t="s">
        <v>370</v>
      </c>
      <c r="H2122" t="s">
        <v>405</v>
      </c>
      <c r="I2122" t="s">
        <v>371</v>
      </c>
      <c r="J2122" t="s">
        <v>90</v>
      </c>
      <c r="K2122" t="s">
        <v>92</v>
      </c>
      <c r="L2122" t="s">
        <v>398</v>
      </c>
      <c r="M2122" t="s">
        <v>141</v>
      </c>
      <c r="N2122" t="s">
        <v>142</v>
      </c>
      <c r="O2122" t="s">
        <v>327</v>
      </c>
      <c r="P2122" t="s">
        <v>281</v>
      </c>
      <c r="Q2122" t="s">
        <v>328</v>
      </c>
      <c r="R2122" t="s">
        <v>360</v>
      </c>
      <c r="S2122" t="s">
        <v>387</v>
      </c>
      <c r="T2122">
        <v>2</v>
      </c>
      <c r="U2122" t="s">
        <v>451</v>
      </c>
      <c r="V2122" t="s">
        <v>303</v>
      </c>
      <c r="W2122" t="s">
        <v>452</v>
      </c>
      <c r="X2122" t="s">
        <v>331</v>
      </c>
      <c r="Y2122" t="s">
        <v>307</v>
      </c>
      <c r="Z2122">
        <v>70</v>
      </c>
      <c r="AA2122">
        <v>75</v>
      </c>
      <c r="AB2122" t="s">
        <v>143</v>
      </c>
      <c r="AC2122" t="s">
        <v>336</v>
      </c>
      <c r="AD2122" t="s">
        <v>401</v>
      </c>
      <c r="AE2122" t="str">
        <f>IF(AF2122="","",VLOOKUP(AC2122,mapel!$A$2:$B$42,2,FALSE))</f>
        <v>Pancasila</v>
      </c>
      <c r="AF2122">
        <f t="shared" si="99"/>
        <v>75</v>
      </c>
      <c r="AG2122" t="str">
        <f>IF(AF2122="","",IF(AF2122&gt;90,"Sangat baik",IF(AF2122&gt;79,"Baik",IF(AF2122&gt;=pub_gid_0_single_true_output_csv[[#This Row],[KKM]],"Cukup","Kurang"))))</f>
        <v>Cukup</v>
      </c>
      <c r="AH2122">
        <f t="shared" si="100"/>
        <v>12</v>
      </c>
      <c r="AI2122" s="30" t="str">
        <f>IF(OR(J2122&lt;&gt;"Karakter",pub_gid_0_single_true_output_csv[[#This Row],[Nilai2]]=""),"",IF(AF2122&gt;89,"Sangat baik",IF(AF2122&gt;79,"Baik",IF(AF2122&gt;69,"Cukup",IF(AF2122&gt;59,"Kurang","Sangat kurang")))))</f>
        <v>Cukup</v>
      </c>
      <c r="AJ2122" t="str">
        <f t="shared" si="101"/>
        <v>Wk.4</v>
      </c>
      <c r="AK2122" t="str">
        <f>IF(pub_gid_0_single_true_output_csv[[#This Row],[Nilai2]]="","",VLOOKUP(pub_gid_0_single_true_output_csv[[#This Row],[NAMA]],Table7[],3,FALSE))</f>
        <v>Superior</v>
      </c>
    </row>
    <row r="2123" spans="1:37" x14ac:dyDescent="0.2">
      <c r="A2123">
        <v>2122</v>
      </c>
      <c r="B2123" t="s">
        <v>312</v>
      </c>
      <c r="C2123" t="s">
        <v>65</v>
      </c>
      <c r="D2123" t="s">
        <v>56</v>
      </c>
      <c r="E2123" t="s">
        <v>156</v>
      </c>
      <c r="F2123" s="25">
        <v>46041</v>
      </c>
      <c r="G2123" t="s">
        <v>370</v>
      </c>
      <c r="H2123" t="s">
        <v>405</v>
      </c>
      <c r="I2123" t="s">
        <v>371</v>
      </c>
      <c r="J2123" t="s">
        <v>279</v>
      </c>
      <c r="K2123" t="s">
        <v>280</v>
      </c>
      <c r="L2123" t="s">
        <v>322</v>
      </c>
      <c r="M2123" t="s">
        <v>141</v>
      </c>
      <c r="N2123" t="s">
        <v>142</v>
      </c>
      <c r="O2123" t="s">
        <v>327</v>
      </c>
      <c r="P2123" t="s">
        <v>281</v>
      </c>
      <c r="Q2123" t="s">
        <v>328</v>
      </c>
      <c r="R2123" t="s">
        <v>360</v>
      </c>
      <c r="S2123" t="s">
        <v>387</v>
      </c>
      <c r="T2123">
        <v>2</v>
      </c>
      <c r="U2123" t="s">
        <v>451</v>
      </c>
      <c r="V2123" t="s">
        <v>303</v>
      </c>
      <c r="W2123" t="s">
        <v>452</v>
      </c>
      <c r="X2123" t="s">
        <v>331</v>
      </c>
      <c r="Y2123" t="s">
        <v>307</v>
      </c>
      <c r="Z2123">
        <v>70</v>
      </c>
      <c r="AA2123">
        <v>83</v>
      </c>
      <c r="AB2123" t="s">
        <v>143</v>
      </c>
      <c r="AC2123" t="s">
        <v>336</v>
      </c>
      <c r="AD2123" t="s">
        <v>401</v>
      </c>
      <c r="AE2123" t="str">
        <f>IF(AF2123="","",VLOOKUP(AC2123,mapel!$A$2:$B$42,2,FALSE))</f>
        <v>Pancasila</v>
      </c>
      <c r="AF2123">
        <f t="shared" si="99"/>
        <v>83</v>
      </c>
      <c r="AG2123" t="str">
        <f>IF(AF2123="","",IF(AF2123&gt;90,"Sangat baik",IF(AF2123&gt;79,"Baik",IF(AF2123&gt;=pub_gid_0_single_true_output_csv[[#This Row],[KKM]],"Cukup","Kurang"))))</f>
        <v>Baik</v>
      </c>
      <c r="AH2123">
        <f t="shared" si="100"/>
        <v>12</v>
      </c>
      <c r="AI2123" s="30" t="str">
        <f>IF(OR(J2123&lt;&gt;"Karakter",pub_gid_0_single_true_output_csv[[#This Row],[Nilai2]]=""),"",IF(AF2123&gt;89,"Sangat baik",IF(AF2123&gt;79,"Baik",IF(AF2123&gt;69,"Cukup",IF(AF2123&gt;59,"Kurang","Sangat kurang")))))</f>
        <v/>
      </c>
      <c r="AJ2123" t="str">
        <f t="shared" si="101"/>
        <v>Wk.4</v>
      </c>
      <c r="AK2123" t="str">
        <f>IF(pub_gid_0_single_true_output_csv[[#This Row],[Nilai2]]="","",VLOOKUP(pub_gid_0_single_true_output_csv[[#This Row],[NAMA]],Table7[],3,FALSE))</f>
        <v>Superior</v>
      </c>
    </row>
    <row r="2124" spans="1:37" x14ac:dyDescent="0.2">
      <c r="A2124">
        <v>2123</v>
      </c>
      <c r="B2124" t="s">
        <v>312</v>
      </c>
      <c r="C2124" t="s">
        <v>65</v>
      </c>
      <c r="D2124" t="s">
        <v>56</v>
      </c>
      <c r="E2124" t="s">
        <v>156</v>
      </c>
      <c r="F2124" s="25">
        <v>46055</v>
      </c>
      <c r="G2124" t="s">
        <v>379</v>
      </c>
      <c r="H2124" t="s">
        <v>412</v>
      </c>
      <c r="I2124" t="s">
        <v>371</v>
      </c>
      <c r="J2124" t="s">
        <v>90</v>
      </c>
      <c r="K2124" t="s">
        <v>377</v>
      </c>
      <c r="L2124" t="s">
        <v>400</v>
      </c>
      <c r="M2124" t="s">
        <v>141</v>
      </c>
      <c r="N2124" t="s">
        <v>142</v>
      </c>
      <c r="O2124" t="s">
        <v>327</v>
      </c>
      <c r="P2124" t="s">
        <v>281</v>
      </c>
      <c r="Q2124" t="s">
        <v>328</v>
      </c>
      <c r="R2124" t="s">
        <v>360</v>
      </c>
      <c r="S2124" t="s">
        <v>392</v>
      </c>
      <c r="T2124">
        <v>1</v>
      </c>
      <c r="U2124" t="s">
        <v>449</v>
      </c>
      <c r="V2124" t="s">
        <v>343</v>
      </c>
      <c r="W2124" t="s">
        <v>453</v>
      </c>
      <c r="X2124" t="s">
        <v>331</v>
      </c>
      <c r="Y2124" t="s">
        <v>307</v>
      </c>
      <c r="Z2124">
        <v>70</v>
      </c>
      <c r="AA2124">
        <v>80</v>
      </c>
      <c r="AB2124" t="s">
        <v>143</v>
      </c>
      <c r="AC2124" t="s">
        <v>336</v>
      </c>
      <c r="AD2124" t="s">
        <v>401</v>
      </c>
      <c r="AE2124" t="str">
        <f>IF(AF2124="","",VLOOKUP(AC2124,mapel!$A$2:$B$42,2,FALSE))</f>
        <v>Pancasila</v>
      </c>
      <c r="AF2124">
        <f t="shared" si="99"/>
        <v>80</v>
      </c>
      <c r="AG2124" t="str">
        <f>IF(AF2124="","",IF(AF2124&gt;90,"Sangat baik",IF(AF2124&gt;79,"Baik",IF(AF2124&gt;=pub_gid_0_single_true_output_csv[[#This Row],[KKM]],"Cukup","Kurang"))))</f>
        <v>Baik</v>
      </c>
      <c r="AH2124">
        <f t="shared" si="100"/>
        <v>12</v>
      </c>
      <c r="AI2124" s="30" t="str">
        <f>IF(OR(J2124&lt;&gt;"Karakter",pub_gid_0_single_true_output_csv[[#This Row],[Nilai2]]=""),"",IF(AF2124&gt;89,"Sangat baik",IF(AF2124&gt;79,"Baik",IF(AF2124&gt;69,"Cukup",IF(AF2124&gt;59,"Kurang","Sangat kurang")))))</f>
        <v>Baik</v>
      </c>
      <c r="AJ2124" t="str">
        <f t="shared" si="101"/>
        <v>Wk.6</v>
      </c>
      <c r="AK2124" t="str">
        <f>IF(pub_gid_0_single_true_output_csv[[#This Row],[Nilai2]]="","",VLOOKUP(pub_gid_0_single_true_output_csv[[#This Row],[NAMA]],Table7[],3,FALSE))</f>
        <v>Superior</v>
      </c>
    </row>
    <row r="2125" spans="1:37" x14ac:dyDescent="0.2">
      <c r="A2125">
        <v>2124</v>
      </c>
      <c r="B2125" t="s">
        <v>312</v>
      </c>
      <c r="C2125" t="s">
        <v>65</v>
      </c>
      <c r="D2125" t="s">
        <v>56</v>
      </c>
      <c r="E2125" t="s">
        <v>156</v>
      </c>
      <c r="F2125" s="25">
        <v>46055</v>
      </c>
      <c r="G2125" t="s">
        <v>379</v>
      </c>
      <c r="H2125" t="s">
        <v>412</v>
      </c>
      <c r="I2125" t="s">
        <v>371</v>
      </c>
      <c r="J2125" t="s">
        <v>41</v>
      </c>
      <c r="K2125" t="s">
        <v>272</v>
      </c>
      <c r="L2125" t="s">
        <v>351</v>
      </c>
      <c r="M2125" t="s">
        <v>141</v>
      </c>
      <c r="N2125" t="s">
        <v>142</v>
      </c>
      <c r="O2125" t="s">
        <v>327</v>
      </c>
      <c r="P2125" t="s">
        <v>281</v>
      </c>
      <c r="Q2125" t="s">
        <v>328</v>
      </c>
      <c r="R2125" t="s">
        <v>360</v>
      </c>
      <c r="S2125" t="s">
        <v>392</v>
      </c>
      <c r="T2125">
        <v>1</v>
      </c>
      <c r="U2125" t="s">
        <v>449</v>
      </c>
      <c r="V2125" t="s">
        <v>343</v>
      </c>
      <c r="W2125" t="s">
        <v>453</v>
      </c>
      <c r="X2125" t="s">
        <v>331</v>
      </c>
      <c r="Y2125" t="s">
        <v>307</v>
      </c>
      <c r="Z2125">
        <v>70</v>
      </c>
      <c r="AA2125">
        <v>78</v>
      </c>
      <c r="AB2125" t="s">
        <v>143</v>
      </c>
      <c r="AC2125" t="s">
        <v>336</v>
      </c>
      <c r="AD2125" t="s">
        <v>401</v>
      </c>
      <c r="AE2125" t="str">
        <f>IF(AF2125="","",VLOOKUP(AC2125,mapel!$A$2:$B$42,2,FALSE))</f>
        <v>Pancasila</v>
      </c>
      <c r="AF2125">
        <f t="shared" si="99"/>
        <v>78</v>
      </c>
      <c r="AG2125" t="str">
        <f>IF(AF2125="","",IF(AF2125&gt;90,"Sangat baik",IF(AF2125&gt;79,"Baik",IF(AF2125&gt;=pub_gid_0_single_true_output_csv[[#This Row],[KKM]],"Cukup","Kurang"))))</f>
        <v>Cukup</v>
      </c>
      <c r="AH2125">
        <f t="shared" si="100"/>
        <v>12</v>
      </c>
      <c r="AI2125" s="30" t="str">
        <f>IF(OR(J2125&lt;&gt;"Karakter",pub_gid_0_single_true_output_csv[[#This Row],[Nilai2]]=""),"",IF(AF2125&gt;89,"Sangat baik",IF(AF2125&gt;79,"Baik",IF(AF2125&gt;69,"Cukup",IF(AF2125&gt;59,"Kurang","Sangat kurang")))))</f>
        <v/>
      </c>
      <c r="AJ2125" t="str">
        <f t="shared" si="101"/>
        <v>Wk.6</v>
      </c>
      <c r="AK2125" t="str">
        <f>IF(pub_gid_0_single_true_output_csv[[#This Row],[Nilai2]]="","",VLOOKUP(pub_gid_0_single_true_output_csv[[#This Row],[NAMA]],Table7[],3,FALSE))</f>
        <v>Superior</v>
      </c>
    </row>
    <row r="2126" spans="1:37" x14ac:dyDescent="0.2">
      <c r="A2126">
        <v>2125</v>
      </c>
      <c r="B2126" t="s">
        <v>312</v>
      </c>
      <c r="C2126" t="s">
        <v>65</v>
      </c>
      <c r="D2126" t="s">
        <v>56</v>
      </c>
      <c r="E2126" t="s">
        <v>156</v>
      </c>
      <c r="F2126" s="25">
        <v>46055</v>
      </c>
      <c r="G2126" t="s">
        <v>379</v>
      </c>
      <c r="H2126" t="s">
        <v>412</v>
      </c>
      <c r="I2126" t="s">
        <v>371</v>
      </c>
      <c r="J2126" t="s">
        <v>279</v>
      </c>
      <c r="K2126" t="s">
        <v>280</v>
      </c>
      <c r="L2126" t="s">
        <v>322</v>
      </c>
      <c r="M2126" t="s">
        <v>141</v>
      </c>
      <c r="N2126" t="s">
        <v>142</v>
      </c>
      <c r="O2126" t="s">
        <v>327</v>
      </c>
      <c r="P2126" t="s">
        <v>281</v>
      </c>
      <c r="Q2126" t="s">
        <v>328</v>
      </c>
      <c r="R2126" t="s">
        <v>360</v>
      </c>
      <c r="S2126" t="s">
        <v>392</v>
      </c>
      <c r="T2126">
        <v>1</v>
      </c>
      <c r="U2126" t="s">
        <v>449</v>
      </c>
      <c r="V2126" t="s">
        <v>343</v>
      </c>
      <c r="W2126" t="s">
        <v>453</v>
      </c>
      <c r="X2126" t="s">
        <v>331</v>
      </c>
      <c r="Y2126" t="s">
        <v>307</v>
      </c>
      <c r="Z2126">
        <v>70</v>
      </c>
      <c r="AA2126">
        <v>76</v>
      </c>
      <c r="AB2126" t="s">
        <v>143</v>
      </c>
      <c r="AC2126" t="s">
        <v>336</v>
      </c>
      <c r="AD2126" t="s">
        <v>401</v>
      </c>
      <c r="AE2126" t="str">
        <f>IF(AF2126="","",VLOOKUP(AC2126,mapel!$A$2:$B$42,2,FALSE))</f>
        <v>Pancasila</v>
      </c>
      <c r="AF2126">
        <f t="shared" si="99"/>
        <v>76</v>
      </c>
      <c r="AG2126" t="str">
        <f>IF(AF2126="","",IF(AF2126&gt;90,"Sangat baik",IF(AF2126&gt;79,"Baik",IF(AF2126&gt;=pub_gid_0_single_true_output_csv[[#This Row],[KKM]],"Cukup","Kurang"))))</f>
        <v>Cukup</v>
      </c>
      <c r="AH2126">
        <f t="shared" si="100"/>
        <v>12</v>
      </c>
      <c r="AI2126" s="30" t="str">
        <f>IF(OR(J2126&lt;&gt;"Karakter",pub_gid_0_single_true_output_csv[[#This Row],[Nilai2]]=""),"",IF(AF2126&gt;89,"Sangat baik",IF(AF2126&gt;79,"Baik",IF(AF2126&gt;69,"Cukup",IF(AF2126&gt;59,"Kurang","Sangat kurang")))))</f>
        <v/>
      </c>
      <c r="AJ2126" t="str">
        <f t="shared" si="101"/>
        <v>Wk.6</v>
      </c>
      <c r="AK2126" t="str">
        <f>IF(pub_gid_0_single_true_output_csv[[#This Row],[Nilai2]]="","",VLOOKUP(pub_gid_0_single_true_output_csv[[#This Row],[NAMA]],Table7[],3,FALSE))</f>
        <v>Superior</v>
      </c>
    </row>
    <row r="2127" spans="1:37" x14ac:dyDescent="0.2">
      <c r="A2127">
        <v>2126</v>
      </c>
      <c r="B2127" t="s">
        <v>312</v>
      </c>
      <c r="C2127" t="s">
        <v>65</v>
      </c>
      <c r="D2127" t="s">
        <v>56</v>
      </c>
      <c r="E2127" t="s">
        <v>156</v>
      </c>
      <c r="F2127" s="25">
        <v>46055</v>
      </c>
      <c r="G2127" t="s">
        <v>379</v>
      </c>
      <c r="H2127" t="s">
        <v>412</v>
      </c>
      <c r="I2127" t="s">
        <v>371</v>
      </c>
      <c r="J2127" t="s">
        <v>31</v>
      </c>
      <c r="K2127" t="s">
        <v>96</v>
      </c>
      <c r="L2127" t="s">
        <v>351</v>
      </c>
      <c r="M2127" t="s">
        <v>141</v>
      </c>
      <c r="N2127" t="s">
        <v>142</v>
      </c>
      <c r="O2127" t="s">
        <v>327</v>
      </c>
      <c r="P2127" t="s">
        <v>281</v>
      </c>
      <c r="Q2127" t="s">
        <v>328</v>
      </c>
      <c r="R2127" t="s">
        <v>360</v>
      </c>
      <c r="S2127" t="s">
        <v>392</v>
      </c>
      <c r="T2127">
        <v>1</v>
      </c>
      <c r="U2127" t="s">
        <v>449</v>
      </c>
      <c r="V2127" t="s">
        <v>343</v>
      </c>
      <c r="W2127" t="s">
        <v>453</v>
      </c>
      <c r="X2127" t="s">
        <v>331</v>
      </c>
      <c r="Y2127" t="s">
        <v>307</v>
      </c>
      <c r="Z2127">
        <v>70</v>
      </c>
      <c r="AA2127">
        <v>80</v>
      </c>
      <c r="AB2127" t="s">
        <v>143</v>
      </c>
      <c r="AC2127" t="s">
        <v>336</v>
      </c>
      <c r="AD2127" t="s">
        <v>401</v>
      </c>
      <c r="AE2127" t="str">
        <f>IF(AF2127="","",VLOOKUP(AC2127,mapel!$A$2:$B$42,2,FALSE))</f>
        <v>Pancasila</v>
      </c>
      <c r="AF2127">
        <f t="shared" si="99"/>
        <v>80</v>
      </c>
      <c r="AG2127" t="str">
        <f>IF(AF2127="","",IF(AF2127&gt;90,"Sangat baik",IF(AF2127&gt;79,"Baik",IF(AF2127&gt;=pub_gid_0_single_true_output_csv[[#This Row],[KKM]],"Cukup","Kurang"))))</f>
        <v>Baik</v>
      </c>
      <c r="AH2127">
        <f t="shared" si="100"/>
        <v>12</v>
      </c>
      <c r="AI2127" s="30" t="str">
        <f>IF(OR(J2127&lt;&gt;"Karakter",pub_gid_0_single_true_output_csv[[#This Row],[Nilai2]]=""),"",IF(AF2127&gt;89,"Sangat baik",IF(AF2127&gt;79,"Baik",IF(AF2127&gt;69,"Cukup",IF(AF2127&gt;59,"Kurang","Sangat kurang")))))</f>
        <v/>
      </c>
      <c r="AJ2127" t="str">
        <f t="shared" si="101"/>
        <v>Wk.6</v>
      </c>
      <c r="AK2127" t="str">
        <f>IF(pub_gid_0_single_true_output_csv[[#This Row],[Nilai2]]="","",VLOOKUP(pub_gid_0_single_true_output_csv[[#This Row],[NAMA]],Table7[],3,FALSE))</f>
        <v>Superior</v>
      </c>
    </row>
    <row r="2128" spans="1:37" x14ac:dyDescent="0.2">
      <c r="A2128">
        <v>2127</v>
      </c>
      <c r="B2128" t="s">
        <v>312</v>
      </c>
      <c r="C2128" t="s">
        <v>65</v>
      </c>
      <c r="D2128" t="s">
        <v>56</v>
      </c>
      <c r="E2128" t="s">
        <v>156</v>
      </c>
      <c r="F2128" s="25">
        <v>46055</v>
      </c>
      <c r="G2128" t="s">
        <v>379</v>
      </c>
      <c r="H2128" t="s">
        <v>412</v>
      </c>
      <c r="I2128" t="s">
        <v>371</v>
      </c>
      <c r="J2128" t="s">
        <v>36</v>
      </c>
      <c r="K2128" t="s">
        <v>37</v>
      </c>
      <c r="L2128" t="s">
        <v>150</v>
      </c>
      <c r="M2128" t="s">
        <v>141</v>
      </c>
      <c r="N2128" t="s">
        <v>142</v>
      </c>
      <c r="O2128" t="s">
        <v>327</v>
      </c>
      <c r="P2128" t="s">
        <v>281</v>
      </c>
      <c r="Q2128" t="s">
        <v>328</v>
      </c>
      <c r="R2128" t="s">
        <v>360</v>
      </c>
      <c r="S2128" t="s">
        <v>392</v>
      </c>
      <c r="T2128">
        <v>1</v>
      </c>
      <c r="U2128" t="s">
        <v>449</v>
      </c>
      <c r="V2128" t="s">
        <v>343</v>
      </c>
      <c r="W2128" t="s">
        <v>453</v>
      </c>
      <c r="X2128" t="s">
        <v>331</v>
      </c>
      <c r="Y2128" t="s">
        <v>307</v>
      </c>
      <c r="Z2128">
        <v>70</v>
      </c>
      <c r="AA2128">
        <v>83</v>
      </c>
      <c r="AB2128" t="s">
        <v>143</v>
      </c>
      <c r="AC2128" t="s">
        <v>336</v>
      </c>
      <c r="AD2128" t="s">
        <v>401</v>
      </c>
      <c r="AE2128" t="str">
        <f>IF(AF2128="","",VLOOKUP(AC2128,mapel!$A$2:$B$42,2,FALSE))</f>
        <v>Pancasila</v>
      </c>
      <c r="AF2128">
        <f t="shared" si="99"/>
        <v>83</v>
      </c>
      <c r="AG2128" t="str">
        <f>IF(AF2128="","",IF(AF2128&gt;90,"Sangat baik",IF(AF2128&gt;79,"Baik",IF(AF2128&gt;=pub_gid_0_single_true_output_csv[[#This Row],[KKM]],"Cukup","Kurang"))))</f>
        <v>Baik</v>
      </c>
      <c r="AH2128">
        <f t="shared" si="100"/>
        <v>12</v>
      </c>
      <c r="AI2128" s="30" t="str">
        <f>IF(OR(J2128&lt;&gt;"Karakter",pub_gid_0_single_true_output_csv[[#This Row],[Nilai2]]=""),"",IF(AF2128&gt;89,"Sangat baik",IF(AF2128&gt;79,"Baik",IF(AF2128&gt;69,"Cukup",IF(AF2128&gt;59,"Kurang","Sangat kurang")))))</f>
        <v/>
      </c>
      <c r="AJ2128" t="str">
        <f t="shared" si="101"/>
        <v>Wk.6</v>
      </c>
      <c r="AK2128" t="str">
        <f>IF(pub_gid_0_single_true_output_csv[[#This Row],[Nilai2]]="","",VLOOKUP(pub_gid_0_single_true_output_csv[[#This Row],[NAMA]],Table7[],3,FALSE))</f>
        <v>Superior</v>
      </c>
    </row>
    <row r="2129" spans="1:37" x14ac:dyDescent="0.2">
      <c r="A2129">
        <v>2128</v>
      </c>
      <c r="B2129" t="s">
        <v>312</v>
      </c>
      <c r="C2129" t="s">
        <v>65</v>
      </c>
      <c r="D2129" t="s">
        <v>56</v>
      </c>
      <c r="E2129" t="s">
        <v>156</v>
      </c>
      <c r="F2129" s="25">
        <v>46059</v>
      </c>
      <c r="G2129" t="s">
        <v>349</v>
      </c>
      <c r="H2129" t="s">
        <v>412</v>
      </c>
      <c r="I2129" t="s">
        <v>371</v>
      </c>
      <c r="J2129" t="s">
        <v>41</v>
      </c>
      <c r="K2129" t="s">
        <v>357</v>
      </c>
      <c r="L2129" t="s">
        <v>351</v>
      </c>
      <c r="M2129" t="s">
        <v>141</v>
      </c>
      <c r="N2129" t="s">
        <v>142</v>
      </c>
      <c r="O2129" t="s">
        <v>327</v>
      </c>
      <c r="P2129" t="s">
        <v>281</v>
      </c>
      <c r="Q2129" t="s">
        <v>328</v>
      </c>
      <c r="R2129" t="s">
        <v>360</v>
      </c>
      <c r="S2129" t="s">
        <v>454</v>
      </c>
      <c r="T2129">
        <v>1</v>
      </c>
      <c r="U2129" t="s">
        <v>449</v>
      </c>
      <c r="V2129" t="s">
        <v>344</v>
      </c>
      <c r="W2129" t="s">
        <v>455</v>
      </c>
      <c r="X2129" t="s">
        <v>331</v>
      </c>
      <c r="Y2129" t="s">
        <v>307</v>
      </c>
      <c r="Z2129">
        <v>70</v>
      </c>
      <c r="AA2129">
        <v>90</v>
      </c>
      <c r="AB2129" t="s">
        <v>143</v>
      </c>
      <c r="AC2129" t="s">
        <v>336</v>
      </c>
      <c r="AD2129" t="s">
        <v>401</v>
      </c>
      <c r="AE2129" t="str">
        <f>IF(AF2129="","",VLOOKUP(AC2129,mapel!$A$2:$B$42,2,FALSE))</f>
        <v>Pancasila</v>
      </c>
      <c r="AF2129">
        <f t="shared" si="99"/>
        <v>90</v>
      </c>
      <c r="AG2129" t="str">
        <f>IF(AF2129="","",IF(AF2129&gt;90,"Sangat baik",IF(AF2129&gt;79,"Baik",IF(AF2129&gt;=pub_gid_0_single_true_output_csv[[#This Row],[KKM]],"Cukup","Kurang"))))</f>
        <v>Baik</v>
      </c>
      <c r="AH2129">
        <f t="shared" si="100"/>
        <v>12</v>
      </c>
      <c r="AI2129" s="30" t="str">
        <f>IF(OR(J2129&lt;&gt;"Karakter",pub_gid_0_single_true_output_csv[[#This Row],[Nilai2]]=""),"",IF(AF2129&gt;89,"Sangat baik",IF(AF2129&gt;79,"Baik",IF(AF2129&gt;69,"Cukup",IF(AF2129&gt;59,"Kurang","Sangat kurang")))))</f>
        <v/>
      </c>
      <c r="AJ2129" t="str">
        <f t="shared" si="101"/>
        <v>Wk.6</v>
      </c>
      <c r="AK2129" t="str">
        <f>IF(pub_gid_0_single_true_output_csv[[#This Row],[Nilai2]]="","",VLOOKUP(pub_gid_0_single_true_output_csv[[#This Row],[NAMA]],Table7[],3,FALSE))</f>
        <v>Superior</v>
      </c>
    </row>
    <row r="2130" spans="1:37" x14ac:dyDescent="0.2">
      <c r="A2130">
        <v>2129</v>
      </c>
      <c r="B2130" t="s">
        <v>312</v>
      </c>
      <c r="C2130" t="s">
        <v>65</v>
      </c>
      <c r="D2130" t="s">
        <v>56</v>
      </c>
      <c r="E2130" t="s">
        <v>156</v>
      </c>
      <c r="F2130" s="25">
        <v>46059</v>
      </c>
      <c r="G2130" t="s">
        <v>349</v>
      </c>
      <c r="H2130" t="s">
        <v>412</v>
      </c>
      <c r="I2130" t="s">
        <v>371</v>
      </c>
      <c r="J2130" t="s">
        <v>36</v>
      </c>
      <c r="K2130" t="s">
        <v>37</v>
      </c>
      <c r="L2130" t="s">
        <v>351</v>
      </c>
      <c r="M2130" t="s">
        <v>141</v>
      </c>
      <c r="N2130" t="s">
        <v>142</v>
      </c>
      <c r="O2130" t="s">
        <v>327</v>
      </c>
      <c r="P2130" t="s">
        <v>281</v>
      </c>
      <c r="Q2130" t="s">
        <v>328</v>
      </c>
      <c r="R2130" t="s">
        <v>360</v>
      </c>
      <c r="S2130" t="s">
        <v>392</v>
      </c>
      <c r="T2130">
        <v>1</v>
      </c>
      <c r="U2130" t="s">
        <v>449</v>
      </c>
      <c r="V2130" t="s">
        <v>343</v>
      </c>
      <c r="W2130" t="s">
        <v>453</v>
      </c>
      <c r="X2130" t="s">
        <v>331</v>
      </c>
      <c r="Y2130" t="s">
        <v>307</v>
      </c>
      <c r="Z2130">
        <v>70</v>
      </c>
      <c r="AA2130">
        <v>90</v>
      </c>
      <c r="AB2130" t="s">
        <v>143</v>
      </c>
      <c r="AC2130" t="s">
        <v>336</v>
      </c>
      <c r="AD2130" t="s">
        <v>401</v>
      </c>
      <c r="AE2130" t="str">
        <f>IF(AF2130="","",VLOOKUP(AC2130,mapel!$A$2:$B$42,2,FALSE))</f>
        <v>Pancasila</v>
      </c>
      <c r="AF2130">
        <f t="shared" si="99"/>
        <v>90</v>
      </c>
      <c r="AG2130" t="str">
        <f>IF(AF2130="","",IF(AF2130&gt;90,"Sangat baik",IF(AF2130&gt;79,"Baik",IF(AF2130&gt;=pub_gid_0_single_true_output_csv[[#This Row],[KKM]],"Cukup","Kurang"))))</f>
        <v>Baik</v>
      </c>
      <c r="AH2130">
        <f t="shared" si="100"/>
        <v>12</v>
      </c>
      <c r="AI2130" s="30" t="str">
        <f>IF(OR(J2130&lt;&gt;"Karakter",pub_gid_0_single_true_output_csv[[#This Row],[Nilai2]]=""),"",IF(AF2130&gt;89,"Sangat baik",IF(AF2130&gt;79,"Baik",IF(AF2130&gt;69,"Cukup",IF(AF2130&gt;59,"Kurang","Sangat kurang")))))</f>
        <v/>
      </c>
      <c r="AJ2130" t="str">
        <f t="shared" si="101"/>
        <v>Wk.6</v>
      </c>
      <c r="AK2130" t="str">
        <f>IF(pub_gid_0_single_true_output_csv[[#This Row],[Nilai2]]="","",VLOOKUP(pub_gid_0_single_true_output_csv[[#This Row],[NAMA]],Table7[],3,FALSE))</f>
        <v>Superior</v>
      </c>
    </row>
    <row r="2131" spans="1:37" x14ac:dyDescent="0.2">
      <c r="A2131">
        <v>2130</v>
      </c>
      <c r="B2131" t="s">
        <v>313</v>
      </c>
      <c r="C2131" t="s">
        <v>65</v>
      </c>
      <c r="D2131" t="s">
        <v>57</v>
      </c>
      <c r="E2131" t="s">
        <v>146</v>
      </c>
      <c r="F2131" s="25">
        <v>46034</v>
      </c>
      <c r="G2131" t="s">
        <v>354</v>
      </c>
      <c r="H2131" t="s">
        <v>405</v>
      </c>
      <c r="I2131" t="s">
        <v>371</v>
      </c>
      <c r="J2131" t="s">
        <v>90</v>
      </c>
      <c r="K2131" t="s">
        <v>92</v>
      </c>
      <c r="L2131" t="s">
        <v>91</v>
      </c>
      <c r="M2131" t="s">
        <v>141</v>
      </c>
      <c r="N2131" t="s">
        <v>142</v>
      </c>
      <c r="O2131" t="s">
        <v>327</v>
      </c>
      <c r="P2131" t="s">
        <v>281</v>
      </c>
      <c r="Q2131" t="s">
        <v>328</v>
      </c>
      <c r="R2131" t="s">
        <v>360</v>
      </c>
      <c r="S2131" t="s">
        <v>330</v>
      </c>
      <c r="T2131">
        <v>1</v>
      </c>
      <c r="U2131" t="s">
        <v>449</v>
      </c>
      <c r="V2131" t="s">
        <v>285</v>
      </c>
      <c r="W2131" t="s">
        <v>450</v>
      </c>
      <c r="X2131" t="s">
        <v>331</v>
      </c>
      <c r="Y2131" t="s">
        <v>307</v>
      </c>
      <c r="Z2131">
        <v>70</v>
      </c>
      <c r="AA2131">
        <v>76</v>
      </c>
      <c r="AB2131" t="s">
        <v>143</v>
      </c>
      <c r="AC2131" t="s">
        <v>336</v>
      </c>
      <c r="AD2131" t="s">
        <v>401</v>
      </c>
      <c r="AE2131" t="str">
        <f>IF(AF2131="","",VLOOKUP(AC2131,mapel!$A$2:$B$42,2,FALSE))</f>
        <v>Pancasila</v>
      </c>
      <c r="AF2131">
        <f t="shared" si="99"/>
        <v>76</v>
      </c>
      <c r="AG2131" t="str">
        <f>IF(AF2131="","",IF(AF2131&gt;90,"Sangat baik",IF(AF2131&gt;79,"Baik",IF(AF2131&gt;=pub_gid_0_single_true_output_csv[[#This Row],[KKM]],"Cukup","Kurang"))))</f>
        <v>Cukup</v>
      </c>
      <c r="AH2131">
        <f t="shared" si="100"/>
        <v>12</v>
      </c>
      <c r="AI2131" s="30" t="str">
        <f>IF(OR(J2131&lt;&gt;"Karakter",pub_gid_0_single_true_output_csv[[#This Row],[Nilai2]]=""),"",IF(AF2131&gt;89,"Sangat baik",IF(AF2131&gt;79,"Baik",IF(AF2131&gt;69,"Cukup",IF(AF2131&gt;59,"Kurang","Sangat kurang")))))</f>
        <v>Cukup</v>
      </c>
      <c r="AJ2131" t="str">
        <f t="shared" si="101"/>
        <v>Wk.3</v>
      </c>
      <c r="AK2131" t="str">
        <f>IF(pub_gid_0_single_true_output_csv[[#This Row],[Nilai2]]="","",VLOOKUP(pub_gid_0_single_true_output_csv[[#This Row],[NAMA]],Table7[],3,FALSE))</f>
        <v>High average</v>
      </c>
    </row>
    <row r="2132" spans="1:37" x14ac:dyDescent="0.2">
      <c r="A2132">
        <v>2131</v>
      </c>
      <c r="B2132" t="s">
        <v>313</v>
      </c>
      <c r="C2132" t="s">
        <v>65</v>
      </c>
      <c r="D2132" t="s">
        <v>57</v>
      </c>
      <c r="E2132" t="s">
        <v>146</v>
      </c>
      <c r="F2132" s="25">
        <v>46034</v>
      </c>
      <c r="G2132" t="s">
        <v>354</v>
      </c>
      <c r="H2132" t="s">
        <v>405</v>
      </c>
      <c r="I2132" t="s">
        <v>371</v>
      </c>
      <c r="J2132" t="s">
        <v>279</v>
      </c>
      <c r="K2132" t="s">
        <v>280</v>
      </c>
      <c r="L2132" t="s">
        <v>322</v>
      </c>
      <c r="M2132" t="s">
        <v>141</v>
      </c>
      <c r="N2132" t="s">
        <v>142</v>
      </c>
      <c r="O2132" t="s">
        <v>327</v>
      </c>
      <c r="P2132" t="s">
        <v>281</v>
      </c>
      <c r="Q2132" t="s">
        <v>328</v>
      </c>
      <c r="R2132" t="s">
        <v>360</v>
      </c>
      <c r="S2132" t="s">
        <v>330</v>
      </c>
      <c r="T2132">
        <v>1</v>
      </c>
      <c r="U2132" t="s">
        <v>449</v>
      </c>
      <c r="V2132" t="s">
        <v>285</v>
      </c>
      <c r="W2132" t="s">
        <v>450</v>
      </c>
      <c r="X2132" t="s">
        <v>331</v>
      </c>
      <c r="Y2132" t="s">
        <v>307</v>
      </c>
      <c r="Z2132">
        <v>70</v>
      </c>
      <c r="AA2132">
        <v>78</v>
      </c>
      <c r="AB2132" t="s">
        <v>143</v>
      </c>
      <c r="AC2132" t="s">
        <v>336</v>
      </c>
      <c r="AD2132" t="s">
        <v>401</v>
      </c>
      <c r="AE2132" t="str">
        <f>IF(AF2132="","",VLOOKUP(AC2132,mapel!$A$2:$B$42,2,FALSE))</f>
        <v>Pancasila</v>
      </c>
      <c r="AF2132">
        <f t="shared" si="99"/>
        <v>78</v>
      </c>
      <c r="AG2132" t="str">
        <f>IF(AF2132="","",IF(AF2132&gt;90,"Sangat baik",IF(AF2132&gt;79,"Baik",IF(AF2132&gt;=pub_gid_0_single_true_output_csv[[#This Row],[KKM]],"Cukup","Kurang"))))</f>
        <v>Cukup</v>
      </c>
      <c r="AH2132">
        <f t="shared" si="100"/>
        <v>12</v>
      </c>
      <c r="AI2132" s="30" t="str">
        <f>IF(OR(J2132&lt;&gt;"Karakter",pub_gid_0_single_true_output_csv[[#This Row],[Nilai2]]=""),"",IF(AF2132&gt;89,"Sangat baik",IF(AF2132&gt;79,"Baik",IF(AF2132&gt;69,"Cukup",IF(AF2132&gt;59,"Kurang","Sangat kurang")))))</f>
        <v/>
      </c>
      <c r="AJ2132" t="str">
        <f t="shared" si="101"/>
        <v>Wk.3</v>
      </c>
      <c r="AK2132" t="str">
        <f>IF(pub_gid_0_single_true_output_csv[[#This Row],[Nilai2]]="","",VLOOKUP(pub_gid_0_single_true_output_csv[[#This Row],[NAMA]],Table7[],3,FALSE))</f>
        <v>High average</v>
      </c>
    </row>
    <row r="2133" spans="1:37" x14ac:dyDescent="0.2">
      <c r="A2133">
        <v>2132</v>
      </c>
      <c r="B2133" t="s">
        <v>313</v>
      </c>
      <c r="C2133" t="s">
        <v>65</v>
      </c>
      <c r="D2133" t="s">
        <v>57</v>
      </c>
      <c r="E2133" t="s">
        <v>146</v>
      </c>
      <c r="F2133" s="25">
        <v>46034</v>
      </c>
      <c r="G2133" t="s">
        <v>354</v>
      </c>
      <c r="H2133" t="s">
        <v>405</v>
      </c>
      <c r="I2133" t="s">
        <v>371</v>
      </c>
      <c r="J2133" t="s">
        <v>31</v>
      </c>
      <c r="K2133" t="s">
        <v>96</v>
      </c>
      <c r="L2133" t="s">
        <v>351</v>
      </c>
      <c r="M2133" t="s">
        <v>141</v>
      </c>
      <c r="N2133" t="s">
        <v>142</v>
      </c>
      <c r="O2133" t="s">
        <v>327</v>
      </c>
      <c r="P2133" t="s">
        <v>281</v>
      </c>
      <c r="Q2133" t="s">
        <v>328</v>
      </c>
      <c r="R2133" t="s">
        <v>360</v>
      </c>
      <c r="S2133" t="s">
        <v>330</v>
      </c>
      <c r="T2133">
        <v>1</v>
      </c>
      <c r="U2133" t="s">
        <v>449</v>
      </c>
      <c r="V2133" t="s">
        <v>285</v>
      </c>
      <c r="W2133" t="s">
        <v>450</v>
      </c>
      <c r="X2133" t="s">
        <v>331</v>
      </c>
      <c r="Y2133" t="s">
        <v>307</v>
      </c>
      <c r="Z2133">
        <v>70</v>
      </c>
      <c r="AA2133">
        <v>70</v>
      </c>
      <c r="AB2133" t="s">
        <v>143</v>
      </c>
      <c r="AC2133" t="s">
        <v>336</v>
      </c>
      <c r="AD2133" t="s">
        <v>401</v>
      </c>
      <c r="AE2133" t="str">
        <f>IF(AF2133="","",VLOOKUP(AC2133,mapel!$A$2:$B$42,2,FALSE))</f>
        <v>Pancasila</v>
      </c>
      <c r="AF2133">
        <f t="shared" si="99"/>
        <v>70</v>
      </c>
      <c r="AG2133" t="str">
        <f>IF(AF2133="","",IF(AF2133&gt;90,"Sangat baik",IF(AF2133&gt;79,"Baik",IF(AF2133&gt;=pub_gid_0_single_true_output_csv[[#This Row],[KKM]],"Cukup","Kurang"))))</f>
        <v>Cukup</v>
      </c>
      <c r="AH2133">
        <f t="shared" si="100"/>
        <v>12</v>
      </c>
      <c r="AI2133" s="30" t="str">
        <f>IF(OR(J2133&lt;&gt;"Karakter",pub_gid_0_single_true_output_csv[[#This Row],[Nilai2]]=""),"",IF(AF2133&gt;89,"Sangat baik",IF(AF2133&gt;79,"Baik",IF(AF2133&gt;69,"Cukup",IF(AF2133&gt;59,"Kurang","Sangat kurang")))))</f>
        <v/>
      </c>
      <c r="AJ2133" t="str">
        <f t="shared" si="101"/>
        <v>Wk.3</v>
      </c>
      <c r="AK2133" t="str">
        <f>IF(pub_gid_0_single_true_output_csv[[#This Row],[Nilai2]]="","",VLOOKUP(pub_gid_0_single_true_output_csv[[#This Row],[NAMA]],Table7[],3,FALSE))</f>
        <v>High average</v>
      </c>
    </row>
    <row r="2134" spans="1:37" x14ac:dyDescent="0.2">
      <c r="A2134">
        <v>2133</v>
      </c>
      <c r="B2134" t="s">
        <v>313</v>
      </c>
      <c r="C2134" t="s">
        <v>65</v>
      </c>
      <c r="D2134" t="s">
        <v>57</v>
      </c>
      <c r="E2134" t="s">
        <v>146</v>
      </c>
      <c r="F2134" s="25">
        <v>46034</v>
      </c>
      <c r="G2134" t="s">
        <v>354</v>
      </c>
      <c r="H2134" t="s">
        <v>405</v>
      </c>
      <c r="I2134" t="s">
        <v>371</v>
      </c>
      <c r="J2134" t="s">
        <v>36</v>
      </c>
      <c r="K2134" t="s">
        <v>37</v>
      </c>
      <c r="L2134" t="s">
        <v>351</v>
      </c>
      <c r="M2134" t="s">
        <v>141</v>
      </c>
      <c r="N2134" t="s">
        <v>142</v>
      </c>
      <c r="O2134" t="s">
        <v>327</v>
      </c>
      <c r="P2134" t="s">
        <v>281</v>
      </c>
      <c r="Q2134" t="s">
        <v>328</v>
      </c>
      <c r="R2134" t="s">
        <v>360</v>
      </c>
      <c r="S2134" t="s">
        <v>330</v>
      </c>
      <c r="T2134">
        <v>1</v>
      </c>
      <c r="U2134" t="s">
        <v>449</v>
      </c>
      <c r="V2134" t="s">
        <v>285</v>
      </c>
      <c r="W2134" t="s">
        <v>450</v>
      </c>
      <c r="X2134" t="s">
        <v>331</v>
      </c>
      <c r="Y2134" t="s">
        <v>307</v>
      </c>
      <c r="Z2134">
        <v>70</v>
      </c>
      <c r="AA2134">
        <v>70</v>
      </c>
      <c r="AB2134" t="s">
        <v>143</v>
      </c>
      <c r="AC2134" t="s">
        <v>336</v>
      </c>
      <c r="AD2134" t="s">
        <v>401</v>
      </c>
      <c r="AE2134" t="str">
        <f>IF(AF2134="","",VLOOKUP(AC2134,mapel!$A$2:$B$42,2,FALSE))</f>
        <v>Pancasila</v>
      </c>
      <c r="AF2134">
        <f t="shared" si="99"/>
        <v>70</v>
      </c>
      <c r="AG2134" t="str">
        <f>IF(AF2134="","",IF(AF2134&gt;90,"Sangat baik",IF(AF2134&gt;79,"Baik",IF(AF2134&gt;=pub_gid_0_single_true_output_csv[[#This Row],[KKM]],"Cukup","Kurang"))))</f>
        <v>Cukup</v>
      </c>
      <c r="AH2134">
        <f t="shared" si="100"/>
        <v>12</v>
      </c>
      <c r="AI2134" s="30" t="str">
        <f>IF(OR(J2134&lt;&gt;"Karakter",pub_gid_0_single_true_output_csv[[#This Row],[Nilai2]]=""),"",IF(AF2134&gt;89,"Sangat baik",IF(AF2134&gt;79,"Baik",IF(AF2134&gt;69,"Cukup",IF(AF2134&gt;59,"Kurang","Sangat kurang")))))</f>
        <v/>
      </c>
      <c r="AJ2134" t="str">
        <f t="shared" si="101"/>
        <v>Wk.3</v>
      </c>
      <c r="AK2134" t="str">
        <f>IF(pub_gid_0_single_true_output_csv[[#This Row],[Nilai2]]="","",VLOOKUP(pub_gid_0_single_true_output_csv[[#This Row],[NAMA]],Table7[],3,FALSE))</f>
        <v>High average</v>
      </c>
    </row>
    <row r="2135" spans="1:37" x14ac:dyDescent="0.2">
      <c r="A2135">
        <v>2134</v>
      </c>
      <c r="B2135" t="s">
        <v>313</v>
      </c>
      <c r="C2135" t="s">
        <v>65</v>
      </c>
      <c r="D2135" t="s">
        <v>57</v>
      </c>
      <c r="E2135" t="s">
        <v>146</v>
      </c>
      <c r="F2135" s="25">
        <v>46038</v>
      </c>
      <c r="G2135" t="s">
        <v>382</v>
      </c>
      <c r="H2135" t="s">
        <v>405</v>
      </c>
      <c r="I2135" t="s">
        <v>371</v>
      </c>
      <c r="J2135" t="s">
        <v>36</v>
      </c>
      <c r="K2135" t="s">
        <v>37</v>
      </c>
      <c r="L2135" t="s">
        <v>351</v>
      </c>
      <c r="M2135" t="s">
        <v>397</v>
      </c>
      <c r="N2135" t="s">
        <v>142</v>
      </c>
      <c r="O2135" t="s">
        <v>327</v>
      </c>
      <c r="P2135" t="s">
        <v>281</v>
      </c>
      <c r="Q2135" t="s">
        <v>328</v>
      </c>
      <c r="R2135" t="s">
        <v>360</v>
      </c>
      <c r="S2135" t="s">
        <v>330</v>
      </c>
      <c r="T2135">
        <v>1</v>
      </c>
      <c r="U2135" t="s">
        <v>449</v>
      </c>
      <c r="V2135" t="s">
        <v>285</v>
      </c>
      <c r="W2135" t="s">
        <v>450</v>
      </c>
      <c r="X2135" t="s">
        <v>331</v>
      </c>
      <c r="Y2135" t="s">
        <v>307</v>
      </c>
      <c r="Z2135">
        <v>70</v>
      </c>
      <c r="AA2135">
        <v>0</v>
      </c>
      <c r="AB2135" t="s">
        <v>151</v>
      </c>
      <c r="AC2135" t="s">
        <v>336</v>
      </c>
      <c r="AD2135" t="s">
        <v>401</v>
      </c>
      <c r="AE2135" t="str">
        <f>IF(AF2135="","",VLOOKUP(AC2135,mapel!$A$2:$B$42,2,FALSE))</f>
        <v/>
      </c>
      <c r="AF2135" t="str">
        <f t="shared" si="99"/>
        <v/>
      </c>
      <c r="AG2135" t="str">
        <f>IF(AF2135="","",IF(AF2135&gt;90,"Sangat baik",IF(AF2135&gt;79,"Baik",IF(AF2135&gt;=pub_gid_0_single_true_output_csv[[#This Row],[KKM]],"Cukup","Kurang"))))</f>
        <v/>
      </c>
      <c r="AH2135" t="str">
        <f t="shared" si="100"/>
        <v/>
      </c>
      <c r="AI2135" s="30" t="str">
        <f>IF(OR(J2135&lt;&gt;"Karakter",pub_gid_0_single_true_output_csv[[#This Row],[Nilai2]]=""),"",IF(AF2135&gt;89,"Sangat baik",IF(AF2135&gt;79,"Baik",IF(AF2135&gt;69,"Cukup",IF(AF2135&gt;59,"Kurang","Sangat kurang")))))</f>
        <v/>
      </c>
      <c r="AJ2135" t="str">
        <f t="shared" si="101"/>
        <v/>
      </c>
      <c r="AK2135" t="str">
        <f>IF(pub_gid_0_single_true_output_csv[[#This Row],[Nilai2]]="","",VLOOKUP(pub_gid_0_single_true_output_csv[[#This Row],[NAMA]],Table7[],3,FALSE))</f>
        <v/>
      </c>
    </row>
    <row r="2136" spans="1:37" x14ac:dyDescent="0.2">
      <c r="A2136">
        <v>2135</v>
      </c>
      <c r="B2136" t="s">
        <v>313</v>
      </c>
      <c r="C2136" t="s">
        <v>65</v>
      </c>
      <c r="D2136" t="s">
        <v>57</v>
      </c>
      <c r="E2136" t="s">
        <v>146</v>
      </c>
      <c r="F2136" s="25">
        <v>46041</v>
      </c>
      <c r="G2136" t="s">
        <v>370</v>
      </c>
      <c r="H2136" t="s">
        <v>405</v>
      </c>
      <c r="I2136" t="s">
        <v>371</v>
      </c>
      <c r="J2136" t="s">
        <v>36</v>
      </c>
      <c r="K2136" t="s">
        <v>37</v>
      </c>
      <c r="L2136" t="s">
        <v>351</v>
      </c>
      <c r="M2136" t="s">
        <v>141</v>
      </c>
      <c r="N2136" t="s">
        <v>142</v>
      </c>
      <c r="O2136" t="s">
        <v>327</v>
      </c>
      <c r="P2136" t="s">
        <v>281</v>
      </c>
      <c r="Q2136" t="s">
        <v>328</v>
      </c>
      <c r="R2136" t="s">
        <v>360</v>
      </c>
      <c r="S2136" t="s">
        <v>387</v>
      </c>
      <c r="T2136">
        <v>2</v>
      </c>
      <c r="U2136" t="s">
        <v>451</v>
      </c>
      <c r="V2136" t="s">
        <v>303</v>
      </c>
      <c r="W2136" t="s">
        <v>452</v>
      </c>
      <c r="X2136" t="s">
        <v>331</v>
      </c>
      <c r="Y2136" t="s">
        <v>307</v>
      </c>
      <c r="Z2136">
        <v>70</v>
      </c>
      <c r="AA2136">
        <v>82</v>
      </c>
      <c r="AB2136" t="s">
        <v>143</v>
      </c>
      <c r="AC2136" t="s">
        <v>336</v>
      </c>
      <c r="AD2136" t="s">
        <v>401</v>
      </c>
      <c r="AE2136" t="str">
        <f>IF(AF2136="","",VLOOKUP(AC2136,mapel!$A$2:$B$42,2,FALSE))</f>
        <v>Pancasila</v>
      </c>
      <c r="AF2136">
        <f t="shared" si="99"/>
        <v>82</v>
      </c>
      <c r="AG2136" t="str">
        <f>IF(AF2136="","",IF(AF2136&gt;90,"Sangat baik",IF(AF2136&gt;79,"Baik",IF(AF2136&gt;=pub_gid_0_single_true_output_csv[[#This Row],[KKM]],"Cukup","Kurang"))))</f>
        <v>Baik</v>
      </c>
      <c r="AH2136">
        <f t="shared" si="100"/>
        <v>12</v>
      </c>
      <c r="AI2136" s="30" t="str">
        <f>IF(OR(J2136&lt;&gt;"Karakter",pub_gid_0_single_true_output_csv[[#This Row],[Nilai2]]=""),"",IF(AF2136&gt;89,"Sangat baik",IF(AF2136&gt;79,"Baik",IF(AF2136&gt;69,"Cukup",IF(AF2136&gt;59,"Kurang","Sangat kurang")))))</f>
        <v/>
      </c>
      <c r="AJ2136" t="str">
        <f t="shared" si="101"/>
        <v>Wk.4</v>
      </c>
      <c r="AK2136" t="str">
        <f>IF(pub_gid_0_single_true_output_csv[[#This Row],[Nilai2]]="","",VLOOKUP(pub_gid_0_single_true_output_csv[[#This Row],[NAMA]],Table7[],3,FALSE))</f>
        <v>High average</v>
      </c>
    </row>
    <row r="2137" spans="1:37" x14ac:dyDescent="0.2">
      <c r="A2137">
        <v>2136</v>
      </c>
      <c r="B2137" t="s">
        <v>313</v>
      </c>
      <c r="C2137" t="s">
        <v>65</v>
      </c>
      <c r="D2137" t="s">
        <v>57</v>
      </c>
      <c r="E2137" t="s">
        <v>146</v>
      </c>
      <c r="F2137" s="25">
        <v>46041</v>
      </c>
      <c r="G2137" t="s">
        <v>370</v>
      </c>
      <c r="H2137" t="s">
        <v>405</v>
      </c>
      <c r="I2137" t="s">
        <v>371</v>
      </c>
      <c r="J2137" t="s">
        <v>31</v>
      </c>
      <c r="K2137" t="s">
        <v>96</v>
      </c>
      <c r="L2137" t="s">
        <v>351</v>
      </c>
      <c r="M2137" t="s">
        <v>141</v>
      </c>
      <c r="N2137" t="s">
        <v>142</v>
      </c>
      <c r="O2137" t="s">
        <v>327</v>
      </c>
      <c r="P2137" t="s">
        <v>281</v>
      </c>
      <c r="Q2137" t="s">
        <v>328</v>
      </c>
      <c r="R2137" t="s">
        <v>360</v>
      </c>
      <c r="S2137" t="s">
        <v>387</v>
      </c>
      <c r="T2137">
        <v>2</v>
      </c>
      <c r="U2137" t="s">
        <v>451</v>
      </c>
      <c r="V2137" t="s">
        <v>303</v>
      </c>
      <c r="W2137" t="s">
        <v>452</v>
      </c>
      <c r="X2137" t="s">
        <v>331</v>
      </c>
      <c r="Y2137" t="s">
        <v>307</v>
      </c>
      <c r="Z2137">
        <v>70</v>
      </c>
      <c r="AA2137">
        <v>80</v>
      </c>
      <c r="AB2137" t="s">
        <v>143</v>
      </c>
      <c r="AC2137" t="s">
        <v>336</v>
      </c>
      <c r="AD2137" t="s">
        <v>401</v>
      </c>
      <c r="AE2137" t="str">
        <f>IF(AF2137="","",VLOOKUP(AC2137,mapel!$A$2:$B$42,2,FALSE))</f>
        <v>Pancasila</v>
      </c>
      <c r="AF2137">
        <f t="shared" si="99"/>
        <v>80</v>
      </c>
      <c r="AG2137" t="str">
        <f>IF(AF2137="","",IF(AF2137&gt;90,"Sangat baik",IF(AF2137&gt;79,"Baik",IF(AF2137&gt;=pub_gid_0_single_true_output_csv[[#This Row],[KKM]],"Cukup","Kurang"))))</f>
        <v>Baik</v>
      </c>
      <c r="AH2137">
        <f t="shared" si="100"/>
        <v>12</v>
      </c>
      <c r="AI2137" s="30" t="str">
        <f>IF(OR(J2137&lt;&gt;"Karakter",pub_gid_0_single_true_output_csv[[#This Row],[Nilai2]]=""),"",IF(AF2137&gt;89,"Sangat baik",IF(AF2137&gt;79,"Baik",IF(AF2137&gt;69,"Cukup",IF(AF2137&gt;59,"Kurang","Sangat kurang")))))</f>
        <v/>
      </c>
      <c r="AJ2137" t="str">
        <f t="shared" si="101"/>
        <v>Wk.4</v>
      </c>
      <c r="AK2137" t="str">
        <f>IF(pub_gid_0_single_true_output_csv[[#This Row],[Nilai2]]="","",VLOOKUP(pub_gid_0_single_true_output_csv[[#This Row],[NAMA]],Table7[],3,FALSE))</f>
        <v>High average</v>
      </c>
    </row>
    <row r="2138" spans="1:37" x14ac:dyDescent="0.2">
      <c r="A2138">
        <v>2137</v>
      </c>
      <c r="B2138" t="s">
        <v>313</v>
      </c>
      <c r="C2138" t="s">
        <v>65</v>
      </c>
      <c r="D2138" t="s">
        <v>57</v>
      </c>
      <c r="E2138" t="s">
        <v>146</v>
      </c>
      <c r="F2138" s="25">
        <v>46041</v>
      </c>
      <c r="G2138" t="s">
        <v>370</v>
      </c>
      <c r="H2138" t="s">
        <v>405</v>
      </c>
      <c r="I2138" t="s">
        <v>371</v>
      </c>
      <c r="J2138" t="s">
        <v>90</v>
      </c>
      <c r="K2138" t="s">
        <v>92</v>
      </c>
      <c r="L2138" t="s">
        <v>398</v>
      </c>
      <c r="M2138" t="s">
        <v>141</v>
      </c>
      <c r="N2138" t="s">
        <v>142</v>
      </c>
      <c r="O2138" t="s">
        <v>327</v>
      </c>
      <c r="P2138" t="s">
        <v>281</v>
      </c>
      <c r="Q2138" t="s">
        <v>328</v>
      </c>
      <c r="R2138" t="s">
        <v>360</v>
      </c>
      <c r="S2138" t="s">
        <v>387</v>
      </c>
      <c r="T2138">
        <v>2</v>
      </c>
      <c r="U2138" t="s">
        <v>451</v>
      </c>
      <c r="V2138" t="s">
        <v>303</v>
      </c>
      <c r="W2138" t="s">
        <v>452</v>
      </c>
      <c r="X2138" t="s">
        <v>331</v>
      </c>
      <c r="Y2138" t="s">
        <v>307</v>
      </c>
      <c r="Z2138">
        <v>70</v>
      </c>
      <c r="AA2138">
        <v>75</v>
      </c>
      <c r="AB2138" t="s">
        <v>143</v>
      </c>
      <c r="AC2138" t="s">
        <v>336</v>
      </c>
      <c r="AD2138" t="s">
        <v>401</v>
      </c>
      <c r="AE2138" t="str">
        <f>IF(AF2138="","",VLOOKUP(AC2138,mapel!$A$2:$B$42,2,FALSE))</f>
        <v>Pancasila</v>
      </c>
      <c r="AF2138">
        <f t="shared" si="99"/>
        <v>75</v>
      </c>
      <c r="AG2138" t="str">
        <f>IF(AF2138="","",IF(AF2138&gt;90,"Sangat baik",IF(AF2138&gt;79,"Baik",IF(AF2138&gt;=pub_gid_0_single_true_output_csv[[#This Row],[KKM]],"Cukup","Kurang"))))</f>
        <v>Cukup</v>
      </c>
      <c r="AH2138">
        <f t="shared" si="100"/>
        <v>12</v>
      </c>
      <c r="AI2138" s="30" t="str">
        <f>IF(OR(J2138&lt;&gt;"Karakter",pub_gid_0_single_true_output_csv[[#This Row],[Nilai2]]=""),"",IF(AF2138&gt;89,"Sangat baik",IF(AF2138&gt;79,"Baik",IF(AF2138&gt;69,"Cukup",IF(AF2138&gt;59,"Kurang","Sangat kurang")))))</f>
        <v>Cukup</v>
      </c>
      <c r="AJ2138" t="str">
        <f t="shared" si="101"/>
        <v>Wk.4</v>
      </c>
      <c r="AK2138" t="str">
        <f>IF(pub_gid_0_single_true_output_csv[[#This Row],[Nilai2]]="","",VLOOKUP(pub_gid_0_single_true_output_csv[[#This Row],[NAMA]],Table7[],3,FALSE))</f>
        <v>High average</v>
      </c>
    </row>
    <row r="2139" spans="1:37" x14ac:dyDescent="0.2">
      <c r="A2139">
        <v>2138</v>
      </c>
      <c r="B2139" t="s">
        <v>313</v>
      </c>
      <c r="C2139" t="s">
        <v>65</v>
      </c>
      <c r="D2139" t="s">
        <v>57</v>
      </c>
      <c r="E2139" t="s">
        <v>146</v>
      </c>
      <c r="F2139" s="25">
        <v>46041</v>
      </c>
      <c r="G2139" t="s">
        <v>370</v>
      </c>
      <c r="H2139" t="s">
        <v>405</v>
      </c>
      <c r="I2139" t="s">
        <v>371</v>
      </c>
      <c r="J2139" t="s">
        <v>279</v>
      </c>
      <c r="K2139" t="s">
        <v>280</v>
      </c>
      <c r="L2139" t="s">
        <v>322</v>
      </c>
      <c r="M2139" t="s">
        <v>141</v>
      </c>
      <c r="N2139" t="s">
        <v>142</v>
      </c>
      <c r="O2139" t="s">
        <v>327</v>
      </c>
      <c r="P2139" t="s">
        <v>281</v>
      </c>
      <c r="Q2139" t="s">
        <v>328</v>
      </c>
      <c r="R2139" t="s">
        <v>360</v>
      </c>
      <c r="S2139" t="s">
        <v>387</v>
      </c>
      <c r="T2139">
        <v>2</v>
      </c>
      <c r="U2139" t="s">
        <v>451</v>
      </c>
      <c r="V2139" t="s">
        <v>303</v>
      </c>
      <c r="W2139" t="s">
        <v>452</v>
      </c>
      <c r="X2139" t="s">
        <v>331</v>
      </c>
      <c r="Y2139" t="s">
        <v>307</v>
      </c>
      <c r="Z2139">
        <v>70</v>
      </c>
      <c r="AA2139">
        <v>78</v>
      </c>
      <c r="AB2139" t="s">
        <v>143</v>
      </c>
      <c r="AC2139" t="s">
        <v>336</v>
      </c>
      <c r="AD2139" t="s">
        <v>401</v>
      </c>
      <c r="AE2139" t="str">
        <f>IF(AF2139="","",VLOOKUP(AC2139,mapel!$A$2:$B$42,2,FALSE))</f>
        <v>Pancasila</v>
      </c>
      <c r="AF2139">
        <f t="shared" si="99"/>
        <v>78</v>
      </c>
      <c r="AG2139" t="str">
        <f>IF(AF2139="","",IF(AF2139&gt;90,"Sangat baik",IF(AF2139&gt;79,"Baik",IF(AF2139&gt;=pub_gid_0_single_true_output_csv[[#This Row],[KKM]],"Cukup","Kurang"))))</f>
        <v>Cukup</v>
      </c>
      <c r="AH2139">
        <f t="shared" si="100"/>
        <v>12</v>
      </c>
      <c r="AI2139" s="30" t="str">
        <f>IF(OR(J2139&lt;&gt;"Karakter",pub_gid_0_single_true_output_csv[[#This Row],[Nilai2]]=""),"",IF(AF2139&gt;89,"Sangat baik",IF(AF2139&gt;79,"Baik",IF(AF2139&gt;69,"Cukup",IF(AF2139&gt;59,"Kurang","Sangat kurang")))))</f>
        <v/>
      </c>
      <c r="AJ2139" t="str">
        <f t="shared" si="101"/>
        <v>Wk.4</v>
      </c>
      <c r="AK2139" t="str">
        <f>IF(pub_gid_0_single_true_output_csv[[#This Row],[Nilai2]]="","",VLOOKUP(pub_gid_0_single_true_output_csv[[#This Row],[NAMA]],Table7[],3,FALSE))</f>
        <v>High average</v>
      </c>
    </row>
    <row r="2140" spans="1:37" x14ac:dyDescent="0.2">
      <c r="A2140">
        <v>2139</v>
      </c>
      <c r="B2140" t="s">
        <v>313</v>
      </c>
      <c r="C2140" t="s">
        <v>65</v>
      </c>
      <c r="D2140" t="s">
        <v>57</v>
      </c>
      <c r="E2140" t="s">
        <v>146</v>
      </c>
      <c r="F2140" s="25">
        <v>46055</v>
      </c>
      <c r="G2140" t="s">
        <v>379</v>
      </c>
      <c r="H2140" t="s">
        <v>412</v>
      </c>
      <c r="I2140" t="s">
        <v>371</v>
      </c>
      <c r="J2140" t="s">
        <v>90</v>
      </c>
      <c r="K2140" t="s">
        <v>377</v>
      </c>
      <c r="L2140" t="s">
        <v>400</v>
      </c>
      <c r="M2140" t="s">
        <v>141</v>
      </c>
      <c r="N2140" t="s">
        <v>142</v>
      </c>
      <c r="O2140" t="s">
        <v>327</v>
      </c>
      <c r="P2140" t="s">
        <v>281</v>
      </c>
      <c r="Q2140" t="s">
        <v>328</v>
      </c>
      <c r="R2140" t="s">
        <v>360</v>
      </c>
      <c r="S2140" t="s">
        <v>392</v>
      </c>
      <c r="T2140">
        <v>1</v>
      </c>
      <c r="U2140" t="s">
        <v>449</v>
      </c>
      <c r="V2140" t="s">
        <v>343</v>
      </c>
      <c r="W2140" t="s">
        <v>453</v>
      </c>
      <c r="X2140" t="s">
        <v>331</v>
      </c>
      <c r="Y2140" t="s">
        <v>307</v>
      </c>
      <c r="Z2140">
        <v>70</v>
      </c>
      <c r="AA2140">
        <v>80</v>
      </c>
      <c r="AB2140" t="s">
        <v>143</v>
      </c>
      <c r="AC2140" t="s">
        <v>336</v>
      </c>
      <c r="AD2140" t="s">
        <v>401</v>
      </c>
      <c r="AE2140" t="str">
        <f>IF(AF2140="","",VLOOKUP(AC2140,mapel!$A$2:$B$42,2,FALSE))</f>
        <v>Pancasila</v>
      </c>
      <c r="AF2140">
        <f t="shared" si="99"/>
        <v>80</v>
      </c>
      <c r="AG2140" t="str">
        <f>IF(AF2140="","",IF(AF2140&gt;90,"Sangat baik",IF(AF2140&gt;79,"Baik",IF(AF2140&gt;=pub_gid_0_single_true_output_csv[[#This Row],[KKM]],"Cukup","Kurang"))))</f>
        <v>Baik</v>
      </c>
      <c r="AH2140">
        <f t="shared" si="100"/>
        <v>12</v>
      </c>
      <c r="AI2140" s="30" t="str">
        <f>IF(OR(J2140&lt;&gt;"Karakter",pub_gid_0_single_true_output_csv[[#This Row],[Nilai2]]=""),"",IF(AF2140&gt;89,"Sangat baik",IF(AF2140&gt;79,"Baik",IF(AF2140&gt;69,"Cukup",IF(AF2140&gt;59,"Kurang","Sangat kurang")))))</f>
        <v>Baik</v>
      </c>
      <c r="AJ2140" t="str">
        <f t="shared" si="101"/>
        <v>Wk.6</v>
      </c>
      <c r="AK2140" t="str">
        <f>IF(pub_gid_0_single_true_output_csv[[#This Row],[Nilai2]]="","",VLOOKUP(pub_gid_0_single_true_output_csv[[#This Row],[NAMA]],Table7[],3,FALSE))</f>
        <v>High average</v>
      </c>
    </row>
    <row r="2141" spans="1:37" x14ac:dyDescent="0.2">
      <c r="A2141">
        <v>2140</v>
      </c>
      <c r="B2141" t="s">
        <v>313</v>
      </c>
      <c r="C2141" t="s">
        <v>65</v>
      </c>
      <c r="D2141" t="s">
        <v>57</v>
      </c>
      <c r="E2141" t="s">
        <v>146</v>
      </c>
      <c r="F2141" s="25">
        <v>46055</v>
      </c>
      <c r="G2141" t="s">
        <v>379</v>
      </c>
      <c r="H2141" t="s">
        <v>412</v>
      </c>
      <c r="I2141" t="s">
        <v>371</v>
      </c>
      <c r="J2141" t="s">
        <v>41</v>
      </c>
      <c r="K2141" t="s">
        <v>272</v>
      </c>
      <c r="L2141" t="s">
        <v>351</v>
      </c>
      <c r="M2141" t="s">
        <v>141</v>
      </c>
      <c r="N2141" t="s">
        <v>142</v>
      </c>
      <c r="O2141" t="s">
        <v>327</v>
      </c>
      <c r="P2141" t="s">
        <v>281</v>
      </c>
      <c r="Q2141" t="s">
        <v>328</v>
      </c>
      <c r="R2141" t="s">
        <v>360</v>
      </c>
      <c r="S2141" t="s">
        <v>392</v>
      </c>
      <c r="T2141">
        <v>1</v>
      </c>
      <c r="U2141" t="s">
        <v>449</v>
      </c>
      <c r="V2141" t="s">
        <v>343</v>
      </c>
      <c r="W2141" t="s">
        <v>453</v>
      </c>
      <c r="X2141" t="s">
        <v>331</v>
      </c>
      <c r="Y2141" t="s">
        <v>307</v>
      </c>
      <c r="Z2141">
        <v>70</v>
      </c>
      <c r="AA2141">
        <v>80</v>
      </c>
      <c r="AB2141" t="s">
        <v>143</v>
      </c>
      <c r="AC2141" t="s">
        <v>336</v>
      </c>
      <c r="AD2141" t="s">
        <v>401</v>
      </c>
      <c r="AE2141" t="str">
        <f>IF(AF2141="","",VLOOKUP(AC2141,mapel!$A$2:$B$42,2,FALSE))</f>
        <v>Pancasila</v>
      </c>
      <c r="AF2141">
        <f t="shared" si="99"/>
        <v>80</v>
      </c>
      <c r="AG2141" t="str">
        <f>IF(AF2141="","",IF(AF2141&gt;90,"Sangat baik",IF(AF2141&gt;79,"Baik",IF(AF2141&gt;=pub_gid_0_single_true_output_csv[[#This Row],[KKM]],"Cukup","Kurang"))))</f>
        <v>Baik</v>
      </c>
      <c r="AH2141">
        <f t="shared" si="100"/>
        <v>12</v>
      </c>
      <c r="AI2141" s="30" t="str">
        <f>IF(OR(J2141&lt;&gt;"Karakter",pub_gid_0_single_true_output_csv[[#This Row],[Nilai2]]=""),"",IF(AF2141&gt;89,"Sangat baik",IF(AF2141&gt;79,"Baik",IF(AF2141&gt;69,"Cukup",IF(AF2141&gt;59,"Kurang","Sangat kurang")))))</f>
        <v/>
      </c>
      <c r="AJ2141" t="str">
        <f t="shared" si="101"/>
        <v>Wk.6</v>
      </c>
      <c r="AK2141" t="str">
        <f>IF(pub_gid_0_single_true_output_csv[[#This Row],[Nilai2]]="","",VLOOKUP(pub_gid_0_single_true_output_csv[[#This Row],[NAMA]],Table7[],3,FALSE))</f>
        <v>High average</v>
      </c>
    </row>
    <row r="2142" spans="1:37" x14ac:dyDescent="0.2">
      <c r="A2142">
        <v>2141</v>
      </c>
      <c r="B2142" t="s">
        <v>313</v>
      </c>
      <c r="C2142" t="s">
        <v>65</v>
      </c>
      <c r="D2142" t="s">
        <v>57</v>
      </c>
      <c r="E2142" t="s">
        <v>146</v>
      </c>
      <c r="F2142" s="25">
        <v>46055</v>
      </c>
      <c r="G2142" t="s">
        <v>379</v>
      </c>
      <c r="H2142" t="s">
        <v>412</v>
      </c>
      <c r="I2142" t="s">
        <v>371</v>
      </c>
      <c r="J2142" t="s">
        <v>279</v>
      </c>
      <c r="K2142" t="s">
        <v>280</v>
      </c>
      <c r="L2142" t="s">
        <v>322</v>
      </c>
      <c r="M2142" t="s">
        <v>141</v>
      </c>
      <c r="N2142" t="s">
        <v>142</v>
      </c>
      <c r="O2142" t="s">
        <v>327</v>
      </c>
      <c r="P2142" t="s">
        <v>281</v>
      </c>
      <c r="Q2142" t="s">
        <v>328</v>
      </c>
      <c r="R2142" t="s">
        <v>360</v>
      </c>
      <c r="S2142" t="s">
        <v>392</v>
      </c>
      <c r="T2142">
        <v>1</v>
      </c>
      <c r="U2142" t="s">
        <v>449</v>
      </c>
      <c r="V2142" t="s">
        <v>343</v>
      </c>
      <c r="W2142" t="s">
        <v>453</v>
      </c>
      <c r="X2142" t="s">
        <v>331</v>
      </c>
      <c r="Y2142" t="s">
        <v>307</v>
      </c>
      <c r="Z2142">
        <v>70</v>
      </c>
      <c r="AA2142">
        <v>78</v>
      </c>
      <c r="AB2142" t="s">
        <v>143</v>
      </c>
      <c r="AC2142" t="s">
        <v>336</v>
      </c>
      <c r="AD2142" t="s">
        <v>401</v>
      </c>
      <c r="AE2142" t="str">
        <f>IF(AF2142="","",VLOOKUP(AC2142,mapel!$A$2:$B$42,2,FALSE))</f>
        <v>Pancasila</v>
      </c>
      <c r="AF2142">
        <f t="shared" si="99"/>
        <v>78</v>
      </c>
      <c r="AG2142" t="str">
        <f>IF(AF2142="","",IF(AF2142&gt;90,"Sangat baik",IF(AF2142&gt;79,"Baik",IF(AF2142&gt;=pub_gid_0_single_true_output_csv[[#This Row],[KKM]],"Cukup","Kurang"))))</f>
        <v>Cukup</v>
      </c>
      <c r="AH2142">
        <f t="shared" si="100"/>
        <v>12</v>
      </c>
      <c r="AI2142" s="30" t="str">
        <f>IF(OR(J2142&lt;&gt;"Karakter",pub_gid_0_single_true_output_csv[[#This Row],[Nilai2]]=""),"",IF(AF2142&gt;89,"Sangat baik",IF(AF2142&gt;79,"Baik",IF(AF2142&gt;69,"Cukup",IF(AF2142&gt;59,"Kurang","Sangat kurang")))))</f>
        <v/>
      </c>
      <c r="AJ2142" t="str">
        <f t="shared" si="101"/>
        <v>Wk.6</v>
      </c>
      <c r="AK2142" t="str">
        <f>IF(pub_gid_0_single_true_output_csv[[#This Row],[Nilai2]]="","",VLOOKUP(pub_gid_0_single_true_output_csv[[#This Row],[NAMA]],Table7[],3,FALSE))</f>
        <v>High average</v>
      </c>
    </row>
    <row r="2143" spans="1:37" x14ac:dyDescent="0.2">
      <c r="A2143">
        <v>2142</v>
      </c>
      <c r="B2143" t="s">
        <v>313</v>
      </c>
      <c r="C2143" t="s">
        <v>65</v>
      </c>
      <c r="D2143" t="s">
        <v>57</v>
      </c>
      <c r="E2143" t="s">
        <v>146</v>
      </c>
      <c r="F2143" s="25">
        <v>46055</v>
      </c>
      <c r="G2143" t="s">
        <v>379</v>
      </c>
      <c r="H2143" t="s">
        <v>412</v>
      </c>
      <c r="I2143" t="s">
        <v>371</v>
      </c>
      <c r="J2143" t="s">
        <v>31</v>
      </c>
      <c r="K2143" t="s">
        <v>96</v>
      </c>
      <c r="L2143" t="s">
        <v>351</v>
      </c>
      <c r="M2143" t="s">
        <v>141</v>
      </c>
      <c r="N2143" t="s">
        <v>142</v>
      </c>
      <c r="O2143" t="s">
        <v>327</v>
      </c>
      <c r="P2143" t="s">
        <v>281</v>
      </c>
      <c r="Q2143" t="s">
        <v>328</v>
      </c>
      <c r="R2143" t="s">
        <v>360</v>
      </c>
      <c r="S2143" t="s">
        <v>392</v>
      </c>
      <c r="T2143">
        <v>1</v>
      </c>
      <c r="U2143" t="s">
        <v>449</v>
      </c>
      <c r="V2143" t="s">
        <v>343</v>
      </c>
      <c r="W2143" t="s">
        <v>453</v>
      </c>
      <c r="X2143" t="s">
        <v>331</v>
      </c>
      <c r="Y2143" t="s">
        <v>307</v>
      </c>
      <c r="Z2143">
        <v>70</v>
      </c>
      <c r="AA2143">
        <v>75</v>
      </c>
      <c r="AB2143" t="s">
        <v>143</v>
      </c>
      <c r="AC2143" t="s">
        <v>336</v>
      </c>
      <c r="AD2143" t="s">
        <v>401</v>
      </c>
      <c r="AE2143" t="str">
        <f>IF(AF2143="","",VLOOKUP(AC2143,mapel!$A$2:$B$42,2,FALSE))</f>
        <v>Pancasila</v>
      </c>
      <c r="AF2143">
        <f t="shared" si="99"/>
        <v>75</v>
      </c>
      <c r="AG2143" t="str">
        <f>IF(AF2143="","",IF(AF2143&gt;90,"Sangat baik",IF(AF2143&gt;79,"Baik",IF(AF2143&gt;=pub_gid_0_single_true_output_csv[[#This Row],[KKM]],"Cukup","Kurang"))))</f>
        <v>Cukup</v>
      </c>
      <c r="AH2143">
        <f t="shared" si="100"/>
        <v>12</v>
      </c>
      <c r="AI2143" s="30" t="str">
        <f>IF(OR(J2143&lt;&gt;"Karakter",pub_gid_0_single_true_output_csv[[#This Row],[Nilai2]]=""),"",IF(AF2143&gt;89,"Sangat baik",IF(AF2143&gt;79,"Baik",IF(AF2143&gt;69,"Cukup",IF(AF2143&gt;59,"Kurang","Sangat kurang")))))</f>
        <v/>
      </c>
      <c r="AJ2143" t="str">
        <f t="shared" si="101"/>
        <v>Wk.6</v>
      </c>
      <c r="AK2143" t="str">
        <f>IF(pub_gid_0_single_true_output_csv[[#This Row],[Nilai2]]="","",VLOOKUP(pub_gid_0_single_true_output_csv[[#This Row],[NAMA]],Table7[],3,FALSE))</f>
        <v>High average</v>
      </c>
    </row>
    <row r="2144" spans="1:37" x14ac:dyDescent="0.2">
      <c r="A2144">
        <v>2143</v>
      </c>
      <c r="B2144" t="s">
        <v>313</v>
      </c>
      <c r="C2144" t="s">
        <v>65</v>
      </c>
      <c r="D2144" t="s">
        <v>57</v>
      </c>
      <c r="E2144" t="s">
        <v>146</v>
      </c>
      <c r="F2144" s="25">
        <v>46055</v>
      </c>
      <c r="G2144" t="s">
        <v>379</v>
      </c>
      <c r="H2144" t="s">
        <v>412</v>
      </c>
      <c r="I2144" t="s">
        <v>371</v>
      </c>
      <c r="J2144" t="s">
        <v>36</v>
      </c>
      <c r="K2144" t="s">
        <v>37</v>
      </c>
      <c r="L2144" t="s">
        <v>150</v>
      </c>
      <c r="M2144" t="s">
        <v>141</v>
      </c>
      <c r="N2144" t="s">
        <v>142</v>
      </c>
      <c r="O2144" t="s">
        <v>327</v>
      </c>
      <c r="P2144" t="s">
        <v>281</v>
      </c>
      <c r="Q2144" t="s">
        <v>328</v>
      </c>
      <c r="R2144" t="s">
        <v>360</v>
      </c>
      <c r="S2144" t="s">
        <v>392</v>
      </c>
      <c r="T2144">
        <v>1</v>
      </c>
      <c r="U2144" t="s">
        <v>449</v>
      </c>
      <c r="V2144" t="s">
        <v>343</v>
      </c>
      <c r="W2144" t="s">
        <v>453</v>
      </c>
      <c r="X2144" t="s">
        <v>331</v>
      </c>
      <c r="Y2144" t="s">
        <v>307</v>
      </c>
      <c r="Z2144">
        <v>70</v>
      </c>
      <c r="AA2144">
        <v>76</v>
      </c>
      <c r="AB2144" t="s">
        <v>143</v>
      </c>
      <c r="AC2144" t="s">
        <v>336</v>
      </c>
      <c r="AD2144" t="s">
        <v>401</v>
      </c>
      <c r="AE2144" t="str">
        <f>IF(AF2144="","",VLOOKUP(AC2144,mapel!$A$2:$B$42,2,FALSE))</f>
        <v>Pancasila</v>
      </c>
      <c r="AF2144">
        <f t="shared" si="99"/>
        <v>76</v>
      </c>
      <c r="AG2144" t="str">
        <f>IF(AF2144="","",IF(AF2144&gt;90,"Sangat baik",IF(AF2144&gt;79,"Baik",IF(AF2144&gt;=pub_gid_0_single_true_output_csv[[#This Row],[KKM]],"Cukup","Kurang"))))</f>
        <v>Cukup</v>
      </c>
      <c r="AH2144">
        <f t="shared" si="100"/>
        <v>12</v>
      </c>
      <c r="AI2144" s="30" t="str">
        <f>IF(OR(J2144&lt;&gt;"Karakter",pub_gid_0_single_true_output_csv[[#This Row],[Nilai2]]=""),"",IF(AF2144&gt;89,"Sangat baik",IF(AF2144&gt;79,"Baik",IF(AF2144&gt;69,"Cukup",IF(AF2144&gt;59,"Kurang","Sangat kurang")))))</f>
        <v/>
      </c>
      <c r="AJ2144" t="str">
        <f t="shared" si="101"/>
        <v>Wk.6</v>
      </c>
      <c r="AK2144" t="str">
        <f>IF(pub_gid_0_single_true_output_csv[[#This Row],[Nilai2]]="","",VLOOKUP(pub_gid_0_single_true_output_csv[[#This Row],[NAMA]],Table7[],3,FALSE))</f>
        <v>High average</v>
      </c>
    </row>
    <row r="2145" spans="1:37" x14ac:dyDescent="0.2">
      <c r="A2145">
        <v>2144</v>
      </c>
      <c r="B2145" t="s">
        <v>313</v>
      </c>
      <c r="C2145" t="s">
        <v>65</v>
      </c>
      <c r="D2145" t="s">
        <v>57</v>
      </c>
      <c r="E2145" t="s">
        <v>146</v>
      </c>
      <c r="F2145" s="25">
        <v>46059</v>
      </c>
      <c r="G2145" t="s">
        <v>349</v>
      </c>
      <c r="H2145" t="s">
        <v>412</v>
      </c>
      <c r="I2145" t="s">
        <v>371</v>
      </c>
      <c r="J2145" t="s">
        <v>41</v>
      </c>
      <c r="K2145" t="s">
        <v>357</v>
      </c>
      <c r="L2145" t="s">
        <v>351</v>
      </c>
      <c r="M2145" t="s">
        <v>141</v>
      </c>
      <c r="N2145" t="s">
        <v>142</v>
      </c>
      <c r="O2145" t="s">
        <v>327</v>
      </c>
      <c r="P2145" t="s">
        <v>281</v>
      </c>
      <c r="Q2145" t="s">
        <v>328</v>
      </c>
      <c r="R2145" t="s">
        <v>360</v>
      </c>
      <c r="S2145" t="s">
        <v>454</v>
      </c>
      <c r="T2145">
        <v>1</v>
      </c>
      <c r="U2145" t="s">
        <v>449</v>
      </c>
      <c r="V2145" t="s">
        <v>344</v>
      </c>
      <c r="W2145" t="s">
        <v>455</v>
      </c>
      <c r="X2145" t="s">
        <v>331</v>
      </c>
      <c r="Y2145" t="s">
        <v>307</v>
      </c>
      <c r="Z2145">
        <v>70</v>
      </c>
      <c r="AA2145">
        <v>70</v>
      </c>
      <c r="AB2145" t="s">
        <v>143</v>
      </c>
      <c r="AC2145" t="s">
        <v>336</v>
      </c>
      <c r="AD2145" t="s">
        <v>401</v>
      </c>
      <c r="AE2145" t="str">
        <f>IF(AF2145="","",VLOOKUP(AC2145,mapel!$A$2:$B$42,2,FALSE))</f>
        <v>Pancasila</v>
      </c>
      <c r="AF2145">
        <f t="shared" si="99"/>
        <v>70</v>
      </c>
      <c r="AG2145" t="str">
        <f>IF(AF2145="","",IF(AF2145&gt;90,"Sangat baik",IF(AF2145&gt;79,"Baik",IF(AF2145&gt;=pub_gid_0_single_true_output_csv[[#This Row],[KKM]],"Cukup","Kurang"))))</f>
        <v>Cukup</v>
      </c>
      <c r="AH2145">
        <f t="shared" si="100"/>
        <v>12</v>
      </c>
      <c r="AI2145" s="30" t="str">
        <f>IF(OR(J2145&lt;&gt;"Karakter",pub_gid_0_single_true_output_csv[[#This Row],[Nilai2]]=""),"",IF(AF2145&gt;89,"Sangat baik",IF(AF2145&gt;79,"Baik",IF(AF2145&gt;69,"Cukup",IF(AF2145&gt;59,"Kurang","Sangat kurang")))))</f>
        <v/>
      </c>
      <c r="AJ2145" t="str">
        <f t="shared" si="101"/>
        <v>Wk.6</v>
      </c>
      <c r="AK2145" t="str">
        <f>IF(pub_gid_0_single_true_output_csv[[#This Row],[Nilai2]]="","",VLOOKUP(pub_gid_0_single_true_output_csv[[#This Row],[NAMA]],Table7[],3,FALSE))</f>
        <v>High average</v>
      </c>
    </row>
    <row r="2146" spans="1:37" x14ac:dyDescent="0.2">
      <c r="A2146">
        <v>2145</v>
      </c>
      <c r="B2146" t="s">
        <v>313</v>
      </c>
      <c r="C2146" t="s">
        <v>65</v>
      </c>
      <c r="D2146" t="s">
        <v>57</v>
      </c>
      <c r="E2146" t="s">
        <v>146</v>
      </c>
      <c r="F2146" s="25">
        <v>46059</v>
      </c>
      <c r="G2146" t="s">
        <v>349</v>
      </c>
      <c r="H2146" t="s">
        <v>412</v>
      </c>
      <c r="I2146" t="s">
        <v>371</v>
      </c>
      <c r="J2146" t="s">
        <v>36</v>
      </c>
      <c r="K2146" t="s">
        <v>37</v>
      </c>
      <c r="L2146" t="s">
        <v>351</v>
      </c>
      <c r="M2146" t="s">
        <v>141</v>
      </c>
      <c r="N2146" t="s">
        <v>142</v>
      </c>
      <c r="O2146" t="s">
        <v>327</v>
      </c>
      <c r="P2146" t="s">
        <v>281</v>
      </c>
      <c r="Q2146" t="s">
        <v>328</v>
      </c>
      <c r="R2146" t="s">
        <v>360</v>
      </c>
      <c r="S2146" t="s">
        <v>392</v>
      </c>
      <c r="T2146">
        <v>1</v>
      </c>
      <c r="U2146" t="s">
        <v>449</v>
      </c>
      <c r="V2146" t="s">
        <v>343</v>
      </c>
      <c r="W2146" t="s">
        <v>453</v>
      </c>
      <c r="X2146" t="s">
        <v>331</v>
      </c>
      <c r="Y2146" t="s">
        <v>307</v>
      </c>
      <c r="Z2146">
        <v>70</v>
      </c>
      <c r="AA2146">
        <v>74</v>
      </c>
      <c r="AB2146" t="s">
        <v>143</v>
      </c>
      <c r="AC2146" t="s">
        <v>336</v>
      </c>
      <c r="AD2146" t="s">
        <v>401</v>
      </c>
      <c r="AE2146" t="str">
        <f>IF(AF2146="","",VLOOKUP(AC2146,mapel!$A$2:$B$42,2,FALSE))</f>
        <v>Pancasila</v>
      </c>
      <c r="AF2146">
        <f t="shared" si="99"/>
        <v>74</v>
      </c>
      <c r="AG2146" t="str">
        <f>IF(AF2146="","",IF(AF2146&gt;90,"Sangat baik",IF(AF2146&gt;79,"Baik",IF(AF2146&gt;=pub_gid_0_single_true_output_csv[[#This Row],[KKM]],"Cukup","Kurang"))))</f>
        <v>Cukup</v>
      </c>
      <c r="AH2146">
        <f t="shared" si="100"/>
        <v>12</v>
      </c>
      <c r="AI2146" s="30" t="str">
        <f>IF(OR(J2146&lt;&gt;"Karakter",pub_gid_0_single_true_output_csv[[#This Row],[Nilai2]]=""),"",IF(AF2146&gt;89,"Sangat baik",IF(AF2146&gt;79,"Baik",IF(AF2146&gt;69,"Cukup",IF(AF2146&gt;59,"Kurang","Sangat kurang")))))</f>
        <v/>
      </c>
      <c r="AJ2146" t="str">
        <f t="shared" si="101"/>
        <v>Wk.6</v>
      </c>
      <c r="AK2146" t="str">
        <f>IF(pub_gid_0_single_true_output_csv[[#This Row],[Nilai2]]="","",VLOOKUP(pub_gid_0_single_true_output_csv[[#This Row],[NAMA]],Table7[],3,FALSE))</f>
        <v>High average</v>
      </c>
    </row>
    <row r="2147" spans="1:37" x14ac:dyDescent="0.2">
      <c r="A2147">
        <v>2146</v>
      </c>
      <c r="B2147" t="s">
        <v>314</v>
      </c>
      <c r="C2147" t="s">
        <v>65</v>
      </c>
      <c r="D2147" t="s">
        <v>58</v>
      </c>
      <c r="E2147" t="s">
        <v>140</v>
      </c>
      <c r="F2147" s="25">
        <v>46034</v>
      </c>
      <c r="G2147" t="s">
        <v>354</v>
      </c>
      <c r="H2147" t="s">
        <v>405</v>
      </c>
      <c r="I2147" t="s">
        <v>371</v>
      </c>
      <c r="J2147" t="s">
        <v>90</v>
      </c>
      <c r="K2147" t="s">
        <v>92</v>
      </c>
      <c r="L2147" t="s">
        <v>91</v>
      </c>
      <c r="M2147" t="s">
        <v>141</v>
      </c>
      <c r="N2147" t="s">
        <v>142</v>
      </c>
      <c r="O2147" t="s">
        <v>327</v>
      </c>
      <c r="P2147" t="s">
        <v>281</v>
      </c>
      <c r="Q2147" t="s">
        <v>328</v>
      </c>
      <c r="R2147" t="s">
        <v>360</v>
      </c>
      <c r="S2147" t="s">
        <v>330</v>
      </c>
      <c r="T2147">
        <v>1</v>
      </c>
      <c r="U2147" t="s">
        <v>449</v>
      </c>
      <c r="V2147" t="s">
        <v>285</v>
      </c>
      <c r="W2147" t="s">
        <v>450</v>
      </c>
      <c r="X2147" t="s">
        <v>331</v>
      </c>
      <c r="Y2147" t="s">
        <v>307</v>
      </c>
      <c r="Z2147">
        <v>70</v>
      </c>
      <c r="AA2147">
        <v>76</v>
      </c>
      <c r="AB2147" t="s">
        <v>143</v>
      </c>
      <c r="AC2147" t="s">
        <v>336</v>
      </c>
      <c r="AD2147" t="s">
        <v>401</v>
      </c>
      <c r="AE2147" t="str">
        <f>IF(AF2147="","",VLOOKUP(AC2147,mapel!$A$2:$B$42,2,FALSE))</f>
        <v>Pancasila</v>
      </c>
      <c r="AF2147">
        <f t="shared" si="99"/>
        <v>76</v>
      </c>
      <c r="AG2147" t="str">
        <f>IF(AF2147="","",IF(AF2147&gt;90,"Sangat baik",IF(AF2147&gt;79,"Baik",IF(AF2147&gt;=pub_gid_0_single_true_output_csv[[#This Row],[KKM]],"Cukup","Kurang"))))</f>
        <v>Cukup</v>
      </c>
      <c r="AH2147">
        <f t="shared" si="100"/>
        <v>12</v>
      </c>
      <c r="AI2147" s="30" t="str">
        <f>IF(OR(J2147&lt;&gt;"Karakter",pub_gid_0_single_true_output_csv[[#This Row],[Nilai2]]=""),"",IF(AF2147&gt;89,"Sangat baik",IF(AF2147&gt;79,"Baik",IF(AF2147&gt;69,"Cukup",IF(AF2147&gt;59,"Kurang","Sangat kurang")))))</f>
        <v>Cukup</v>
      </c>
      <c r="AJ2147" t="str">
        <f t="shared" si="101"/>
        <v>Wk.3</v>
      </c>
      <c r="AK2147" t="str">
        <f>IF(pub_gid_0_single_true_output_csv[[#This Row],[Nilai2]]="","",VLOOKUP(pub_gid_0_single_true_output_csv[[#This Row],[NAMA]],Table7[],3,FALSE))</f>
        <v>Average</v>
      </c>
    </row>
    <row r="2148" spans="1:37" x14ac:dyDescent="0.2">
      <c r="A2148">
        <v>2147</v>
      </c>
      <c r="B2148" t="s">
        <v>314</v>
      </c>
      <c r="C2148" t="s">
        <v>65</v>
      </c>
      <c r="D2148" t="s">
        <v>58</v>
      </c>
      <c r="E2148" t="s">
        <v>140</v>
      </c>
      <c r="F2148" s="25">
        <v>46034</v>
      </c>
      <c r="G2148" t="s">
        <v>354</v>
      </c>
      <c r="H2148" t="s">
        <v>405</v>
      </c>
      <c r="I2148" t="s">
        <v>371</v>
      </c>
      <c r="J2148" t="s">
        <v>279</v>
      </c>
      <c r="K2148" t="s">
        <v>280</v>
      </c>
      <c r="L2148" t="s">
        <v>322</v>
      </c>
      <c r="M2148" t="s">
        <v>141</v>
      </c>
      <c r="N2148" t="s">
        <v>142</v>
      </c>
      <c r="O2148" t="s">
        <v>327</v>
      </c>
      <c r="P2148" t="s">
        <v>281</v>
      </c>
      <c r="Q2148" t="s">
        <v>328</v>
      </c>
      <c r="R2148" t="s">
        <v>360</v>
      </c>
      <c r="S2148" t="s">
        <v>330</v>
      </c>
      <c r="T2148">
        <v>1</v>
      </c>
      <c r="U2148" t="s">
        <v>449</v>
      </c>
      <c r="V2148" t="s">
        <v>285</v>
      </c>
      <c r="W2148" t="s">
        <v>450</v>
      </c>
      <c r="X2148" t="s">
        <v>331</v>
      </c>
      <c r="Y2148" t="s">
        <v>307</v>
      </c>
      <c r="Z2148">
        <v>70</v>
      </c>
      <c r="AA2148">
        <v>74</v>
      </c>
      <c r="AB2148" t="s">
        <v>143</v>
      </c>
      <c r="AC2148" t="s">
        <v>336</v>
      </c>
      <c r="AD2148" t="s">
        <v>401</v>
      </c>
      <c r="AE2148" t="str">
        <f>IF(AF2148="","",VLOOKUP(AC2148,mapel!$A$2:$B$42,2,FALSE))</f>
        <v>Pancasila</v>
      </c>
      <c r="AF2148">
        <f t="shared" si="99"/>
        <v>74</v>
      </c>
      <c r="AG2148" t="str">
        <f>IF(AF2148="","",IF(AF2148&gt;90,"Sangat baik",IF(AF2148&gt;79,"Baik",IF(AF2148&gt;=pub_gid_0_single_true_output_csv[[#This Row],[KKM]],"Cukup","Kurang"))))</f>
        <v>Cukup</v>
      </c>
      <c r="AH2148">
        <f t="shared" si="100"/>
        <v>12</v>
      </c>
      <c r="AI2148" s="30" t="str">
        <f>IF(OR(J2148&lt;&gt;"Karakter",pub_gid_0_single_true_output_csv[[#This Row],[Nilai2]]=""),"",IF(AF2148&gt;89,"Sangat baik",IF(AF2148&gt;79,"Baik",IF(AF2148&gt;69,"Cukup",IF(AF2148&gt;59,"Kurang","Sangat kurang")))))</f>
        <v/>
      </c>
      <c r="AJ2148" t="str">
        <f t="shared" si="101"/>
        <v>Wk.3</v>
      </c>
      <c r="AK2148" t="str">
        <f>IF(pub_gid_0_single_true_output_csv[[#This Row],[Nilai2]]="","",VLOOKUP(pub_gid_0_single_true_output_csv[[#This Row],[NAMA]],Table7[],3,FALSE))</f>
        <v>Average</v>
      </c>
    </row>
    <row r="2149" spans="1:37" x14ac:dyDescent="0.2">
      <c r="A2149">
        <v>2148</v>
      </c>
      <c r="B2149" t="s">
        <v>314</v>
      </c>
      <c r="C2149" t="s">
        <v>65</v>
      </c>
      <c r="D2149" t="s">
        <v>58</v>
      </c>
      <c r="E2149" t="s">
        <v>140</v>
      </c>
      <c r="F2149" s="25">
        <v>46034</v>
      </c>
      <c r="G2149" t="s">
        <v>354</v>
      </c>
      <c r="H2149" t="s">
        <v>405</v>
      </c>
      <c r="I2149" t="s">
        <v>371</v>
      </c>
      <c r="J2149" t="s">
        <v>31</v>
      </c>
      <c r="K2149" t="s">
        <v>96</v>
      </c>
      <c r="L2149" t="s">
        <v>351</v>
      </c>
      <c r="M2149" t="s">
        <v>141</v>
      </c>
      <c r="N2149" t="s">
        <v>142</v>
      </c>
      <c r="O2149" t="s">
        <v>327</v>
      </c>
      <c r="P2149" t="s">
        <v>281</v>
      </c>
      <c r="Q2149" t="s">
        <v>328</v>
      </c>
      <c r="R2149" t="s">
        <v>360</v>
      </c>
      <c r="S2149" t="s">
        <v>330</v>
      </c>
      <c r="T2149">
        <v>1</v>
      </c>
      <c r="U2149" t="s">
        <v>449</v>
      </c>
      <c r="V2149" t="s">
        <v>285</v>
      </c>
      <c r="W2149" t="s">
        <v>450</v>
      </c>
      <c r="X2149" t="s">
        <v>331</v>
      </c>
      <c r="Y2149" t="s">
        <v>307</v>
      </c>
      <c r="Z2149">
        <v>70</v>
      </c>
      <c r="AA2149">
        <v>65</v>
      </c>
      <c r="AB2149" t="s">
        <v>151</v>
      </c>
      <c r="AC2149" t="s">
        <v>336</v>
      </c>
      <c r="AD2149" t="s">
        <v>401</v>
      </c>
      <c r="AE2149" t="str">
        <f>IF(AF2149="","",VLOOKUP(AC2149,mapel!$A$2:$B$42,2,FALSE))</f>
        <v>Pancasila</v>
      </c>
      <c r="AF2149">
        <f t="shared" si="99"/>
        <v>65</v>
      </c>
      <c r="AG2149" t="str">
        <f>IF(AF2149="","",IF(AF2149&gt;90,"Sangat baik",IF(AF2149&gt;79,"Baik",IF(AF2149&gt;=pub_gid_0_single_true_output_csv[[#This Row],[KKM]],"Cukup","Kurang"))))</f>
        <v>Kurang</v>
      </c>
      <c r="AH2149">
        <f t="shared" si="100"/>
        <v>12</v>
      </c>
      <c r="AI2149" s="30" t="str">
        <f>IF(OR(J2149&lt;&gt;"Karakter",pub_gid_0_single_true_output_csv[[#This Row],[Nilai2]]=""),"",IF(AF2149&gt;89,"Sangat baik",IF(AF2149&gt;79,"Baik",IF(AF2149&gt;69,"Cukup",IF(AF2149&gt;59,"Kurang","Sangat kurang")))))</f>
        <v/>
      </c>
      <c r="AJ2149" t="str">
        <f t="shared" si="101"/>
        <v>Wk.3</v>
      </c>
      <c r="AK2149" t="str">
        <f>IF(pub_gid_0_single_true_output_csv[[#This Row],[Nilai2]]="","",VLOOKUP(pub_gid_0_single_true_output_csv[[#This Row],[NAMA]],Table7[],3,FALSE))</f>
        <v>Average</v>
      </c>
    </row>
    <row r="2150" spans="1:37" x14ac:dyDescent="0.2">
      <c r="A2150">
        <v>2149</v>
      </c>
      <c r="B2150" t="s">
        <v>314</v>
      </c>
      <c r="C2150" t="s">
        <v>65</v>
      </c>
      <c r="D2150" t="s">
        <v>58</v>
      </c>
      <c r="E2150" t="s">
        <v>140</v>
      </c>
      <c r="F2150" s="25">
        <v>46034</v>
      </c>
      <c r="G2150" t="s">
        <v>354</v>
      </c>
      <c r="H2150" t="s">
        <v>405</v>
      </c>
      <c r="I2150" t="s">
        <v>371</v>
      </c>
      <c r="J2150" t="s">
        <v>36</v>
      </c>
      <c r="K2150" t="s">
        <v>37</v>
      </c>
      <c r="L2150" t="s">
        <v>351</v>
      </c>
      <c r="M2150" t="s">
        <v>141</v>
      </c>
      <c r="N2150" t="s">
        <v>142</v>
      </c>
      <c r="O2150" t="s">
        <v>327</v>
      </c>
      <c r="P2150" t="s">
        <v>281</v>
      </c>
      <c r="Q2150" t="s">
        <v>328</v>
      </c>
      <c r="R2150" t="s">
        <v>360</v>
      </c>
      <c r="S2150" t="s">
        <v>330</v>
      </c>
      <c r="T2150">
        <v>1</v>
      </c>
      <c r="U2150" t="s">
        <v>449</v>
      </c>
      <c r="V2150" t="s">
        <v>285</v>
      </c>
      <c r="W2150" t="s">
        <v>450</v>
      </c>
      <c r="X2150" t="s">
        <v>331</v>
      </c>
      <c r="Y2150" t="s">
        <v>307</v>
      </c>
      <c r="Z2150">
        <v>70</v>
      </c>
      <c r="AA2150">
        <v>45</v>
      </c>
      <c r="AB2150" t="s">
        <v>151</v>
      </c>
      <c r="AC2150" t="s">
        <v>336</v>
      </c>
      <c r="AD2150" t="s">
        <v>401</v>
      </c>
      <c r="AE2150" t="str">
        <f>IF(AF2150="","",VLOOKUP(AC2150,mapel!$A$2:$B$42,2,FALSE))</f>
        <v>Pancasila</v>
      </c>
      <c r="AF2150">
        <f t="shared" si="99"/>
        <v>45</v>
      </c>
      <c r="AG2150" t="str">
        <f>IF(AF2150="","",IF(AF2150&gt;90,"Sangat baik",IF(AF2150&gt;79,"Baik",IF(AF2150&gt;=pub_gid_0_single_true_output_csv[[#This Row],[KKM]],"Cukup","Kurang"))))</f>
        <v>Kurang</v>
      </c>
      <c r="AH2150">
        <f t="shared" si="100"/>
        <v>12</v>
      </c>
      <c r="AI2150" s="30" t="str">
        <f>IF(OR(J2150&lt;&gt;"Karakter",pub_gid_0_single_true_output_csv[[#This Row],[Nilai2]]=""),"",IF(AF2150&gt;89,"Sangat baik",IF(AF2150&gt;79,"Baik",IF(AF2150&gt;69,"Cukup",IF(AF2150&gt;59,"Kurang","Sangat kurang")))))</f>
        <v/>
      </c>
      <c r="AJ2150" t="str">
        <f t="shared" si="101"/>
        <v>Wk.3</v>
      </c>
      <c r="AK2150" t="str">
        <f>IF(pub_gid_0_single_true_output_csv[[#This Row],[Nilai2]]="","",VLOOKUP(pub_gid_0_single_true_output_csv[[#This Row],[NAMA]],Table7[],3,FALSE))</f>
        <v>Average</v>
      </c>
    </row>
    <row r="2151" spans="1:37" x14ac:dyDescent="0.2">
      <c r="A2151">
        <v>2150</v>
      </c>
      <c r="B2151" t="s">
        <v>314</v>
      </c>
      <c r="C2151" t="s">
        <v>65</v>
      </c>
      <c r="D2151" t="s">
        <v>58</v>
      </c>
      <c r="E2151" t="s">
        <v>140</v>
      </c>
      <c r="F2151" s="25">
        <v>46038</v>
      </c>
      <c r="G2151" t="s">
        <v>382</v>
      </c>
      <c r="H2151" t="s">
        <v>405</v>
      </c>
      <c r="I2151" t="s">
        <v>371</v>
      </c>
      <c r="J2151" t="s">
        <v>36</v>
      </c>
      <c r="K2151" t="s">
        <v>37</v>
      </c>
      <c r="L2151" t="s">
        <v>351</v>
      </c>
      <c r="M2151" t="s">
        <v>397</v>
      </c>
      <c r="N2151" t="s">
        <v>142</v>
      </c>
      <c r="O2151" t="s">
        <v>327</v>
      </c>
      <c r="P2151" t="s">
        <v>281</v>
      </c>
      <c r="Q2151" t="s">
        <v>328</v>
      </c>
      <c r="R2151" t="s">
        <v>360</v>
      </c>
      <c r="S2151" t="s">
        <v>330</v>
      </c>
      <c r="T2151">
        <v>1</v>
      </c>
      <c r="U2151" t="s">
        <v>449</v>
      </c>
      <c r="V2151" t="s">
        <v>285</v>
      </c>
      <c r="W2151" t="s">
        <v>450</v>
      </c>
      <c r="X2151" t="s">
        <v>331</v>
      </c>
      <c r="Y2151" t="s">
        <v>307</v>
      </c>
      <c r="Z2151">
        <v>70</v>
      </c>
      <c r="AA2151">
        <v>72</v>
      </c>
      <c r="AB2151" t="s">
        <v>143</v>
      </c>
      <c r="AC2151" t="s">
        <v>336</v>
      </c>
      <c r="AD2151" t="s">
        <v>401</v>
      </c>
      <c r="AE2151" t="str">
        <f>IF(AF2151="","",VLOOKUP(AC2151,mapel!$A$2:$B$42,2,FALSE))</f>
        <v>Pancasila</v>
      </c>
      <c r="AF2151">
        <f t="shared" si="99"/>
        <v>72</v>
      </c>
      <c r="AG2151" t="str">
        <f>IF(AF2151="","",IF(AF2151&gt;90,"Sangat baik",IF(AF2151&gt;79,"Baik",IF(AF2151&gt;=pub_gid_0_single_true_output_csv[[#This Row],[KKM]],"Cukup","Kurang"))))</f>
        <v>Cukup</v>
      </c>
      <c r="AH2151">
        <f t="shared" si="100"/>
        <v>12</v>
      </c>
      <c r="AI2151" s="30" t="str">
        <f>IF(OR(J2151&lt;&gt;"Karakter",pub_gid_0_single_true_output_csv[[#This Row],[Nilai2]]=""),"",IF(AF2151&gt;89,"Sangat baik",IF(AF2151&gt;79,"Baik",IF(AF2151&gt;69,"Cukup",IF(AF2151&gt;59,"Kurang","Sangat kurang")))))</f>
        <v/>
      </c>
      <c r="AJ2151" t="str">
        <f t="shared" si="101"/>
        <v>Wk.3</v>
      </c>
      <c r="AK2151" t="str">
        <f>IF(pub_gid_0_single_true_output_csv[[#This Row],[Nilai2]]="","",VLOOKUP(pub_gid_0_single_true_output_csv[[#This Row],[NAMA]],Table7[],3,FALSE))</f>
        <v>Average</v>
      </c>
    </row>
    <row r="2152" spans="1:37" x14ac:dyDescent="0.2">
      <c r="A2152">
        <v>2151</v>
      </c>
      <c r="B2152" t="s">
        <v>314</v>
      </c>
      <c r="C2152" t="s">
        <v>65</v>
      </c>
      <c r="D2152" t="s">
        <v>58</v>
      </c>
      <c r="E2152" t="s">
        <v>140</v>
      </c>
      <c r="F2152" s="25">
        <v>46041</v>
      </c>
      <c r="G2152" t="s">
        <v>370</v>
      </c>
      <c r="H2152" t="s">
        <v>405</v>
      </c>
      <c r="I2152" t="s">
        <v>371</v>
      </c>
      <c r="J2152" t="s">
        <v>36</v>
      </c>
      <c r="K2152" t="s">
        <v>37</v>
      </c>
      <c r="L2152" t="s">
        <v>351</v>
      </c>
      <c r="M2152" t="s">
        <v>141</v>
      </c>
      <c r="N2152" t="s">
        <v>142</v>
      </c>
      <c r="O2152" t="s">
        <v>327</v>
      </c>
      <c r="P2152" t="s">
        <v>281</v>
      </c>
      <c r="Q2152" t="s">
        <v>328</v>
      </c>
      <c r="R2152" t="s">
        <v>360</v>
      </c>
      <c r="S2152" t="s">
        <v>387</v>
      </c>
      <c r="T2152">
        <v>2</v>
      </c>
      <c r="U2152" t="s">
        <v>451</v>
      </c>
      <c r="V2152" t="s">
        <v>303</v>
      </c>
      <c r="W2152" t="s">
        <v>452</v>
      </c>
      <c r="X2152" t="s">
        <v>331</v>
      </c>
      <c r="Y2152" t="s">
        <v>307</v>
      </c>
      <c r="Z2152">
        <v>70</v>
      </c>
      <c r="AA2152">
        <v>70</v>
      </c>
      <c r="AB2152" t="s">
        <v>143</v>
      </c>
      <c r="AC2152" t="s">
        <v>336</v>
      </c>
      <c r="AD2152" t="s">
        <v>401</v>
      </c>
      <c r="AE2152" t="str">
        <f>IF(AF2152="","",VLOOKUP(AC2152,mapel!$A$2:$B$42,2,FALSE))</f>
        <v>Pancasila</v>
      </c>
      <c r="AF2152">
        <f t="shared" si="99"/>
        <v>70</v>
      </c>
      <c r="AG2152" t="str">
        <f>IF(AF2152="","",IF(AF2152&gt;90,"Sangat baik",IF(AF2152&gt;79,"Baik",IF(AF2152&gt;=pub_gid_0_single_true_output_csv[[#This Row],[KKM]],"Cukup","Kurang"))))</f>
        <v>Cukup</v>
      </c>
      <c r="AH2152">
        <f t="shared" si="100"/>
        <v>12</v>
      </c>
      <c r="AI2152" s="30" t="str">
        <f>IF(OR(J2152&lt;&gt;"Karakter",pub_gid_0_single_true_output_csv[[#This Row],[Nilai2]]=""),"",IF(AF2152&gt;89,"Sangat baik",IF(AF2152&gt;79,"Baik",IF(AF2152&gt;69,"Cukup",IF(AF2152&gt;59,"Kurang","Sangat kurang")))))</f>
        <v/>
      </c>
      <c r="AJ2152" t="str">
        <f t="shared" si="101"/>
        <v>Wk.4</v>
      </c>
      <c r="AK2152" t="str">
        <f>IF(pub_gid_0_single_true_output_csv[[#This Row],[Nilai2]]="","",VLOOKUP(pub_gid_0_single_true_output_csv[[#This Row],[NAMA]],Table7[],3,FALSE))</f>
        <v>Average</v>
      </c>
    </row>
    <row r="2153" spans="1:37" x14ac:dyDescent="0.2">
      <c r="A2153">
        <v>2152</v>
      </c>
      <c r="B2153" t="s">
        <v>314</v>
      </c>
      <c r="C2153" t="s">
        <v>65</v>
      </c>
      <c r="D2153" t="s">
        <v>58</v>
      </c>
      <c r="E2153" t="s">
        <v>140</v>
      </c>
      <c r="F2153" s="25">
        <v>46041</v>
      </c>
      <c r="G2153" t="s">
        <v>370</v>
      </c>
      <c r="H2153" t="s">
        <v>405</v>
      </c>
      <c r="I2153" t="s">
        <v>371</v>
      </c>
      <c r="J2153" t="s">
        <v>31</v>
      </c>
      <c r="K2153" t="s">
        <v>96</v>
      </c>
      <c r="L2153" t="s">
        <v>351</v>
      </c>
      <c r="M2153" t="s">
        <v>141</v>
      </c>
      <c r="N2153" t="s">
        <v>142</v>
      </c>
      <c r="O2153" t="s">
        <v>327</v>
      </c>
      <c r="P2153" t="s">
        <v>281</v>
      </c>
      <c r="Q2153" t="s">
        <v>328</v>
      </c>
      <c r="R2153" t="s">
        <v>360</v>
      </c>
      <c r="S2153" t="s">
        <v>387</v>
      </c>
      <c r="T2153">
        <v>2</v>
      </c>
      <c r="U2153" t="s">
        <v>451</v>
      </c>
      <c r="V2153" t="s">
        <v>303</v>
      </c>
      <c r="W2153" t="s">
        <v>452</v>
      </c>
      <c r="X2153" t="s">
        <v>331</v>
      </c>
      <c r="Y2153" t="s">
        <v>307</v>
      </c>
      <c r="Z2153">
        <v>70</v>
      </c>
      <c r="AA2153">
        <v>70</v>
      </c>
      <c r="AB2153" t="s">
        <v>143</v>
      </c>
      <c r="AC2153" t="s">
        <v>336</v>
      </c>
      <c r="AD2153" t="s">
        <v>401</v>
      </c>
      <c r="AE2153" t="str">
        <f>IF(AF2153="","",VLOOKUP(AC2153,mapel!$A$2:$B$42,2,FALSE))</f>
        <v>Pancasila</v>
      </c>
      <c r="AF2153">
        <f t="shared" si="99"/>
        <v>70</v>
      </c>
      <c r="AG2153" t="str">
        <f>IF(AF2153="","",IF(AF2153&gt;90,"Sangat baik",IF(AF2153&gt;79,"Baik",IF(AF2153&gt;=pub_gid_0_single_true_output_csv[[#This Row],[KKM]],"Cukup","Kurang"))))</f>
        <v>Cukup</v>
      </c>
      <c r="AH2153">
        <f t="shared" si="100"/>
        <v>12</v>
      </c>
      <c r="AI2153" s="30" t="str">
        <f>IF(OR(J2153&lt;&gt;"Karakter",pub_gid_0_single_true_output_csv[[#This Row],[Nilai2]]=""),"",IF(AF2153&gt;89,"Sangat baik",IF(AF2153&gt;79,"Baik",IF(AF2153&gt;69,"Cukup",IF(AF2153&gt;59,"Kurang","Sangat kurang")))))</f>
        <v/>
      </c>
      <c r="AJ2153" t="str">
        <f t="shared" si="101"/>
        <v>Wk.4</v>
      </c>
      <c r="AK2153" t="str">
        <f>IF(pub_gid_0_single_true_output_csv[[#This Row],[Nilai2]]="","",VLOOKUP(pub_gid_0_single_true_output_csv[[#This Row],[NAMA]],Table7[],3,FALSE))</f>
        <v>Average</v>
      </c>
    </row>
    <row r="2154" spans="1:37" x14ac:dyDescent="0.2">
      <c r="A2154">
        <v>2153</v>
      </c>
      <c r="B2154" t="s">
        <v>314</v>
      </c>
      <c r="C2154" t="s">
        <v>65</v>
      </c>
      <c r="D2154" t="s">
        <v>58</v>
      </c>
      <c r="E2154" t="s">
        <v>140</v>
      </c>
      <c r="F2154" s="25">
        <v>46041</v>
      </c>
      <c r="G2154" t="s">
        <v>370</v>
      </c>
      <c r="H2154" t="s">
        <v>405</v>
      </c>
      <c r="I2154" t="s">
        <v>371</v>
      </c>
      <c r="J2154" t="s">
        <v>90</v>
      </c>
      <c r="K2154" t="s">
        <v>92</v>
      </c>
      <c r="L2154" t="s">
        <v>398</v>
      </c>
      <c r="M2154" t="s">
        <v>141</v>
      </c>
      <c r="N2154" t="s">
        <v>142</v>
      </c>
      <c r="O2154" t="s">
        <v>327</v>
      </c>
      <c r="P2154" t="s">
        <v>281</v>
      </c>
      <c r="Q2154" t="s">
        <v>328</v>
      </c>
      <c r="R2154" t="s">
        <v>360</v>
      </c>
      <c r="S2154" t="s">
        <v>387</v>
      </c>
      <c r="T2154">
        <v>2</v>
      </c>
      <c r="U2154" t="s">
        <v>451</v>
      </c>
      <c r="V2154" t="s">
        <v>303</v>
      </c>
      <c r="W2154" t="s">
        <v>452</v>
      </c>
      <c r="X2154" t="s">
        <v>331</v>
      </c>
      <c r="Y2154" t="s">
        <v>307</v>
      </c>
      <c r="Z2154">
        <v>70</v>
      </c>
      <c r="AA2154">
        <v>76</v>
      </c>
      <c r="AB2154" t="s">
        <v>143</v>
      </c>
      <c r="AC2154" t="s">
        <v>336</v>
      </c>
      <c r="AD2154" t="s">
        <v>401</v>
      </c>
      <c r="AE2154" t="str">
        <f>IF(AF2154="","",VLOOKUP(AC2154,mapel!$A$2:$B$42,2,FALSE))</f>
        <v>Pancasila</v>
      </c>
      <c r="AF2154">
        <f t="shared" si="99"/>
        <v>76</v>
      </c>
      <c r="AG2154" t="str">
        <f>IF(AF2154="","",IF(AF2154&gt;90,"Sangat baik",IF(AF2154&gt;79,"Baik",IF(AF2154&gt;=pub_gid_0_single_true_output_csv[[#This Row],[KKM]],"Cukup","Kurang"))))</f>
        <v>Cukup</v>
      </c>
      <c r="AH2154">
        <f t="shared" si="100"/>
        <v>12</v>
      </c>
      <c r="AI2154" s="30" t="str">
        <f>IF(OR(J2154&lt;&gt;"Karakter",pub_gid_0_single_true_output_csv[[#This Row],[Nilai2]]=""),"",IF(AF2154&gt;89,"Sangat baik",IF(AF2154&gt;79,"Baik",IF(AF2154&gt;69,"Cukup",IF(AF2154&gt;59,"Kurang","Sangat kurang")))))</f>
        <v>Cukup</v>
      </c>
      <c r="AJ2154" t="str">
        <f t="shared" si="101"/>
        <v>Wk.4</v>
      </c>
      <c r="AK2154" t="str">
        <f>IF(pub_gid_0_single_true_output_csv[[#This Row],[Nilai2]]="","",VLOOKUP(pub_gid_0_single_true_output_csv[[#This Row],[NAMA]],Table7[],3,FALSE))</f>
        <v>Average</v>
      </c>
    </row>
    <row r="2155" spans="1:37" x14ac:dyDescent="0.2">
      <c r="A2155">
        <v>2154</v>
      </c>
      <c r="B2155" t="s">
        <v>314</v>
      </c>
      <c r="C2155" t="s">
        <v>65</v>
      </c>
      <c r="D2155" t="s">
        <v>58</v>
      </c>
      <c r="E2155" t="s">
        <v>140</v>
      </c>
      <c r="F2155" s="25">
        <v>46041</v>
      </c>
      <c r="G2155" t="s">
        <v>370</v>
      </c>
      <c r="H2155" t="s">
        <v>405</v>
      </c>
      <c r="I2155" t="s">
        <v>371</v>
      </c>
      <c r="J2155" t="s">
        <v>279</v>
      </c>
      <c r="K2155" t="s">
        <v>280</v>
      </c>
      <c r="L2155" t="s">
        <v>322</v>
      </c>
      <c r="M2155" t="s">
        <v>141</v>
      </c>
      <c r="N2155" t="s">
        <v>142</v>
      </c>
      <c r="O2155" t="s">
        <v>327</v>
      </c>
      <c r="P2155" t="s">
        <v>281</v>
      </c>
      <c r="Q2155" t="s">
        <v>328</v>
      </c>
      <c r="R2155" t="s">
        <v>360</v>
      </c>
      <c r="S2155" t="s">
        <v>387</v>
      </c>
      <c r="T2155">
        <v>2</v>
      </c>
      <c r="U2155" t="s">
        <v>451</v>
      </c>
      <c r="V2155" t="s">
        <v>303</v>
      </c>
      <c r="W2155" t="s">
        <v>452</v>
      </c>
      <c r="X2155" t="s">
        <v>331</v>
      </c>
      <c r="Y2155" t="s">
        <v>307</v>
      </c>
      <c r="Z2155">
        <v>70</v>
      </c>
      <c r="AA2155">
        <v>76</v>
      </c>
      <c r="AB2155" t="s">
        <v>143</v>
      </c>
      <c r="AC2155" t="s">
        <v>336</v>
      </c>
      <c r="AD2155" t="s">
        <v>401</v>
      </c>
      <c r="AE2155" t="str">
        <f>IF(AF2155="","",VLOOKUP(AC2155,mapel!$A$2:$B$42,2,FALSE))</f>
        <v>Pancasila</v>
      </c>
      <c r="AF2155">
        <f t="shared" si="99"/>
        <v>76</v>
      </c>
      <c r="AG2155" t="str">
        <f>IF(AF2155="","",IF(AF2155&gt;90,"Sangat baik",IF(AF2155&gt;79,"Baik",IF(AF2155&gt;=pub_gid_0_single_true_output_csv[[#This Row],[KKM]],"Cukup","Kurang"))))</f>
        <v>Cukup</v>
      </c>
      <c r="AH2155">
        <f t="shared" si="100"/>
        <v>12</v>
      </c>
      <c r="AI2155" s="30" t="str">
        <f>IF(OR(J2155&lt;&gt;"Karakter",pub_gid_0_single_true_output_csv[[#This Row],[Nilai2]]=""),"",IF(AF2155&gt;89,"Sangat baik",IF(AF2155&gt;79,"Baik",IF(AF2155&gt;69,"Cukup",IF(AF2155&gt;59,"Kurang","Sangat kurang")))))</f>
        <v/>
      </c>
      <c r="AJ2155" t="str">
        <f t="shared" si="101"/>
        <v>Wk.4</v>
      </c>
      <c r="AK2155" t="str">
        <f>IF(pub_gid_0_single_true_output_csv[[#This Row],[Nilai2]]="","",VLOOKUP(pub_gid_0_single_true_output_csv[[#This Row],[NAMA]],Table7[],3,FALSE))</f>
        <v>Average</v>
      </c>
    </row>
    <row r="2156" spans="1:37" x14ac:dyDescent="0.2">
      <c r="A2156">
        <v>2155</v>
      </c>
      <c r="B2156" t="s">
        <v>314</v>
      </c>
      <c r="C2156" t="s">
        <v>65</v>
      </c>
      <c r="D2156" t="s">
        <v>58</v>
      </c>
      <c r="E2156" t="s">
        <v>140</v>
      </c>
      <c r="F2156" s="25">
        <v>46055</v>
      </c>
      <c r="G2156" t="s">
        <v>379</v>
      </c>
      <c r="H2156" t="s">
        <v>412</v>
      </c>
      <c r="I2156" t="s">
        <v>371</v>
      </c>
      <c r="J2156" t="s">
        <v>90</v>
      </c>
      <c r="K2156" t="s">
        <v>377</v>
      </c>
      <c r="L2156" t="s">
        <v>400</v>
      </c>
      <c r="M2156" t="s">
        <v>141</v>
      </c>
      <c r="N2156" t="s">
        <v>142</v>
      </c>
      <c r="O2156" t="s">
        <v>327</v>
      </c>
      <c r="P2156" t="s">
        <v>281</v>
      </c>
      <c r="Q2156" t="s">
        <v>328</v>
      </c>
      <c r="R2156" t="s">
        <v>360</v>
      </c>
      <c r="S2156" t="s">
        <v>392</v>
      </c>
      <c r="T2156">
        <v>1</v>
      </c>
      <c r="U2156" t="s">
        <v>449</v>
      </c>
      <c r="V2156" t="s">
        <v>343</v>
      </c>
      <c r="W2156" t="s">
        <v>453</v>
      </c>
      <c r="X2156" t="s">
        <v>331</v>
      </c>
      <c r="Y2156" t="s">
        <v>307</v>
      </c>
      <c r="Z2156">
        <v>70</v>
      </c>
      <c r="AA2156">
        <v>78</v>
      </c>
      <c r="AB2156" t="s">
        <v>143</v>
      </c>
      <c r="AC2156" t="s">
        <v>336</v>
      </c>
      <c r="AD2156" t="s">
        <v>401</v>
      </c>
      <c r="AE2156" t="str">
        <f>IF(AF2156="","",VLOOKUP(AC2156,mapel!$A$2:$B$42,2,FALSE))</f>
        <v>Pancasila</v>
      </c>
      <c r="AF2156">
        <f t="shared" si="99"/>
        <v>78</v>
      </c>
      <c r="AG2156" t="str">
        <f>IF(AF2156="","",IF(AF2156&gt;90,"Sangat baik",IF(AF2156&gt;79,"Baik",IF(AF2156&gt;=pub_gid_0_single_true_output_csv[[#This Row],[KKM]],"Cukup","Kurang"))))</f>
        <v>Cukup</v>
      </c>
      <c r="AH2156">
        <f t="shared" si="100"/>
        <v>12</v>
      </c>
      <c r="AI2156" s="30" t="str">
        <f>IF(OR(J2156&lt;&gt;"Karakter",pub_gid_0_single_true_output_csv[[#This Row],[Nilai2]]=""),"",IF(AF2156&gt;89,"Sangat baik",IF(AF2156&gt;79,"Baik",IF(AF2156&gt;69,"Cukup",IF(AF2156&gt;59,"Kurang","Sangat kurang")))))</f>
        <v>Cukup</v>
      </c>
      <c r="AJ2156" t="str">
        <f t="shared" si="101"/>
        <v>Wk.6</v>
      </c>
      <c r="AK2156" t="str">
        <f>IF(pub_gid_0_single_true_output_csv[[#This Row],[Nilai2]]="","",VLOOKUP(pub_gid_0_single_true_output_csv[[#This Row],[NAMA]],Table7[],3,FALSE))</f>
        <v>Average</v>
      </c>
    </row>
    <row r="2157" spans="1:37" x14ac:dyDescent="0.2">
      <c r="A2157">
        <v>2156</v>
      </c>
      <c r="B2157" t="s">
        <v>314</v>
      </c>
      <c r="C2157" t="s">
        <v>65</v>
      </c>
      <c r="D2157" t="s">
        <v>58</v>
      </c>
      <c r="E2157" t="s">
        <v>140</v>
      </c>
      <c r="F2157" s="25">
        <v>46055</v>
      </c>
      <c r="G2157" t="s">
        <v>379</v>
      </c>
      <c r="H2157" t="s">
        <v>412</v>
      </c>
      <c r="I2157" t="s">
        <v>371</v>
      </c>
      <c r="J2157" t="s">
        <v>41</v>
      </c>
      <c r="K2157" t="s">
        <v>272</v>
      </c>
      <c r="L2157" t="s">
        <v>351</v>
      </c>
      <c r="M2157" t="s">
        <v>141</v>
      </c>
      <c r="N2157" t="s">
        <v>142</v>
      </c>
      <c r="O2157" t="s">
        <v>327</v>
      </c>
      <c r="P2157" t="s">
        <v>281</v>
      </c>
      <c r="Q2157" t="s">
        <v>328</v>
      </c>
      <c r="R2157" t="s">
        <v>360</v>
      </c>
      <c r="S2157" t="s">
        <v>392</v>
      </c>
      <c r="T2157">
        <v>1</v>
      </c>
      <c r="U2157" t="s">
        <v>449</v>
      </c>
      <c r="V2157" t="s">
        <v>343</v>
      </c>
      <c r="W2157" t="s">
        <v>453</v>
      </c>
      <c r="X2157" t="s">
        <v>331</v>
      </c>
      <c r="Y2157" t="s">
        <v>307</v>
      </c>
      <c r="Z2157">
        <v>70</v>
      </c>
      <c r="AA2157">
        <v>78</v>
      </c>
      <c r="AB2157" t="s">
        <v>143</v>
      </c>
      <c r="AC2157" t="s">
        <v>336</v>
      </c>
      <c r="AD2157" t="s">
        <v>401</v>
      </c>
      <c r="AE2157" t="str">
        <f>IF(AF2157="","",VLOOKUP(AC2157,mapel!$A$2:$B$42,2,FALSE))</f>
        <v>Pancasila</v>
      </c>
      <c r="AF2157">
        <f t="shared" si="99"/>
        <v>78</v>
      </c>
      <c r="AG2157" t="str">
        <f>IF(AF2157="","",IF(AF2157&gt;90,"Sangat baik",IF(AF2157&gt;79,"Baik",IF(AF2157&gt;=pub_gid_0_single_true_output_csv[[#This Row],[KKM]],"Cukup","Kurang"))))</f>
        <v>Cukup</v>
      </c>
      <c r="AH2157">
        <f t="shared" si="100"/>
        <v>12</v>
      </c>
      <c r="AI2157" s="30" t="str">
        <f>IF(OR(J2157&lt;&gt;"Karakter",pub_gid_0_single_true_output_csv[[#This Row],[Nilai2]]=""),"",IF(AF2157&gt;89,"Sangat baik",IF(AF2157&gt;79,"Baik",IF(AF2157&gt;69,"Cukup",IF(AF2157&gt;59,"Kurang","Sangat kurang")))))</f>
        <v/>
      </c>
      <c r="AJ2157" t="str">
        <f t="shared" si="101"/>
        <v>Wk.6</v>
      </c>
      <c r="AK2157" t="str">
        <f>IF(pub_gid_0_single_true_output_csv[[#This Row],[Nilai2]]="","",VLOOKUP(pub_gid_0_single_true_output_csv[[#This Row],[NAMA]],Table7[],3,FALSE))</f>
        <v>Average</v>
      </c>
    </row>
    <row r="2158" spans="1:37" x14ac:dyDescent="0.2">
      <c r="A2158">
        <v>2157</v>
      </c>
      <c r="B2158" t="s">
        <v>314</v>
      </c>
      <c r="C2158" t="s">
        <v>65</v>
      </c>
      <c r="D2158" t="s">
        <v>58</v>
      </c>
      <c r="E2158" t="s">
        <v>140</v>
      </c>
      <c r="F2158" s="25">
        <v>46055</v>
      </c>
      <c r="G2158" t="s">
        <v>379</v>
      </c>
      <c r="H2158" t="s">
        <v>412</v>
      </c>
      <c r="I2158" t="s">
        <v>371</v>
      </c>
      <c r="J2158" t="s">
        <v>279</v>
      </c>
      <c r="K2158" t="s">
        <v>280</v>
      </c>
      <c r="L2158" t="s">
        <v>322</v>
      </c>
      <c r="M2158" t="s">
        <v>141</v>
      </c>
      <c r="N2158" t="s">
        <v>142</v>
      </c>
      <c r="O2158" t="s">
        <v>327</v>
      </c>
      <c r="P2158" t="s">
        <v>281</v>
      </c>
      <c r="Q2158" t="s">
        <v>328</v>
      </c>
      <c r="R2158" t="s">
        <v>360</v>
      </c>
      <c r="S2158" t="s">
        <v>392</v>
      </c>
      <c r="T2158">
        <v>1</v>
      </c>
      <c r="U2158" t="s">
        <v>449</v>
      </c>
      <c r="V2158" t="s">
        <v>343</v>
      </c>
      <c r="W2158" t="s">
        <v>453</v>
      </c>
      <c r="X2158" t="s">
        <v>331</v>
      </c>
      <c r="Y2158" t="s">
        <v>307</v>
      </c>
      <c r="Z2158">
        <v>70</v>
      </c>
      <c r="AA2158">
        <v>78</v>
      </c>
      <c r="AB2158" t="s">
        <v>143</v>
      </c>
      <c r="AC2158" t="s">
        <v>336</v>
      </c>
      <c r="AD2158" t="s">
        <v>401</v>
      </c>
      <c r="AE2158" t="str">
        <f>IF(AF2158="","",VLOOKUP(AC2158,mapel!$A$2:$B$42,2,FALSE))</f>
        <v>Pancasila</v>
      </c>
      <c r="AF2158">
        <f t="shared" si="99"/>
        <v>78</v>
      </c>
      <c r="AG2158" t="str">
        <f>IF(AF2158="","",IF(AF2158&gt;90,"Sangat baik",IF(AF2158&gt;79,"Baik",IF(AF2158&gt;=pub_gid_0_single_true_output_csv[[#This Row],[KKM]],"Cukup","Kurang"))))</f>
        <v>Cukup</v>
      </c>
      <c r="AH2158">
        <f t="shared" si="100"/>
        <v>12</v>
      </c>
      <c r="AI2158" s="30" t="str">
        <f>IF(OR(J2158&lt;&gt;"Karakter",pub_gid_0_single_true_output_csv[[#This Row],[Nilai2]]=""),"",IF(AF2158&gt;89,"Sangat baik",IF(AF2158&gt;79,"Baik",IF(AF2158&gt;69,"Cukup",IF(AF2158&gt;59,"Kurang","Sangat kurang")))))</f>
        <v/>
      </c>
      <c r="AJ2158" t="str">
        <f t="shared" si="101"/>
        <v>Wk.6</v>
      </c>
      <c r="AK2158" t="str">
        <f>IF(pub_gid_0_single_true_output_csv[[#This Row],[Nilai2]]="","",VLOOKUP(pub_gid_0_single_true_output_csv[[#This Row],[NAMA]],Table7[],3,FALSE))</f>
        <v>Average</v>
      </c>
    </row>
    <row r="2159" spans="1:37" x14ac:dyDescent="0.2">
      <c r="A2159">
        <v>2158</v>
      </c>
      <c r="B2159" t="s">
        <v>314</v>
      </c>
      <c r="C2159" t="s">
        <v>65</v>
      </c>
      <c r="D2159" t="s">
        <v>58</v>
      </c>
      <c r="E2159" t="s">
        <v>140</v>
      </c>
      <c r="F2159" s="25">
        <v>46055</v>
      </c>
      <c r="G2159" t="s">
        <v>379</v>
      </c>
      <c r="H2159" t="s">
        <v>412</v>
      </c>
      <c r="I2159" t="s">
        <v>371</v>
      </c>
      <c r="J2159" t="s">
        <v>31</v>
      </c>
      <c r="K2159" t="s">
        <v>96</v>
      </c>
      <c r="L2159" t="s">
        <v>351</v>
      </c>
      <c r="M2159" t="s">
        <v>141</v>
      </c>
      <c r="N2159" t="s">
        <v>142</v>
      </c>
      <c r="O2159" t="s">
        <v>327</v>
      </c>
      <c r="P2159" t="s">
        <v>281</v>
      </c>
      <c r="Q2159" t="s">
        <v>328</v>
      </c>
      <c r="R2159" t="s">
        <v>360</v>
      </c>
      <c r="S2159" t="s">
        <v>392</v>
      </c>
      <c r="T2159">
        <v>1</v>
      </c>
      <c r="U2159" t="s">
        <v>449</v>
      </c>
      <c r="V2159" t="s">
        <v>343</v>
      </c>
      <c r="W2159" t="s">
        <v>453</v>
      </c>
      <c r="X2159" t="s">
        <v>331</v>
      </c>
      <c r="Y2159" t="s">
        <v>307</v>
      </c>
      <c r="Z2159">
        <v>70</v>
      </c>
      <c r="AA2159">
        <v>68</v>
      </c>
      <c r="AB2159" t="s">
        <v>151</v>
      </c>
      <c r="AC2159" t="s">
        <v>336</v>
      </c>
      <c r="AD2159" t="s">
        <v>401</v>
      </c>
      <c r="AE2159" t="str">
        <f>IF(AF2159="","",VLOOKUP(AC2159,mapel!$A$2:$B$42,2,FALSE))</f>
        <v>Pancasila</v>
      </c>
      <c r="AF2159">
        <f t="shared" si="99"/>
        <v>68</v>
      </c>
      <c r="AG2159" t="str">
        <f>IF(AF2159="","",IF(AF2159&gt;90,"Sangat baik",IF(AF2159&gt;79,"Baik",IF(AF2159&gt;=pub_gid_0_single_true_output_csv[[#This Row],[KKM]],"Cukup","Kurang"))))</f>
        <v>Kurang</v>
      </c>
      <c r="AH2159">
        <f t="shared" si="100"/>
        <v>12</v>
      </c>
      <c r="AI2159" s="30" t="str">
        <f>IF(OR(J2159&lt;&gt;"Karakter",pub_gid_0_single_true_output_csv[[#This Row],[Nilai2]]=""),"",IF(AF2159&gt;89,"Sangat baik",IF(AF2159&gt;79,"Baik",IF(AF2159&gt;69,"Cukup",IF(AF2159&gt;59,"Kurang","Sangat kurang")))))</f>
        <v/>
      </c>
      <c r="AJ2159" t="str">
        <f t="shared" si="101"/>
        <v>Wk.6</v>
      </c>
      <c r="AK2159" t="str">
        <f>IF(pub_gid_0_single_true_output_csv[[#This Row],[Nilai2]]="","",VLOOKUP(pub_gid_0_single_true_output_csv[[#This Row],[NAMA]],Table7[],3,FALSE))</f>
        <v>Average</v>
      </c>
    </row>
    <row r="2160" spans="1:37" x14ac:dyDescent="0.2">
      <c r="A2160">
        <v>2159</v>
      </c>
      <c r="B2160" t="s">
        <v>314</v>
      </c>
      <c r="C2160" t="s">
        <v>65</v>
      </c>
      <c r="D2160" t="s">
        <v>58</v>
      </c>
      <c r="E2160" t="s">
        <v>140</v>
      </c>
      <c r="F2160" s="25">
        <v>46055</v>
      </c>
      <c r="G2160" t="s">
        <v>379</v>
      </c>
      <c r="H2160" t="s">
        <v>412</v>
      </c>
      <c r="I2160" t="s">
        <v>371</v>
      </c>
      <c r="J2160" t="s">
        <v>36</v>
      </c>
      <c r="K2160" t="s">
        <v>37</v>
      </c>
      <c r="L2160" t="s">
        <v>150</v>
      </c>
      <c r="M2160" t="s">
        <v>141</v>
      </c>
      <c r="N2160" t="s">
        <v>142</v>
      </c>
      <c r="O2160" t="s">
        <v>327</v>
      </c>
      <c r="P2160" t="s">
        <v>281</v>
      </c>
      <c r="Q2160" t="s">
        <v>328</v>
      </c>
      <c r="R2160" t="s">
        <v>360</v>
      </c>
      <c r="S2160" t="s">
        <v>392</v>
      </c>
      <c r="T2160">
        <v>1</v>
      </c>
      <c r="U2160" t="s">
        <v>449</v>
      </c>
      <c r="V2160" t="s">
        <v>343</v>
      </c>
      <c r="W2160" t="s">
        <v>453</v>
      </c>
      <c r="X2160" t="s">
        <v>331</v>
      </c>
      <c r="Y2160" t="s">
        <v>307</v>
      </c>
      <c r="Z2160">
        <v>70</v>
      </c>
      <c r="AA2160">
        <v>67</v>
      </c>
      <c r="AB2160" t="s">
        <v>151</v>
      </c>
      <c r="AC2160" t="s">
        <v>336</v>
      </c>
      <c r="AD2160" t="s">
        <v>401</v>
      </c>
      <c r="AE2160" t="str">
        <f>IF(AF2160="","",VLOOKUP(AC2160,mapel!$A$2:$B$42,2,FALSE))</f>
        <v>Pancasila</v>
      </c>
      <c r="AF2160">
        <f t="shared" si="99"/>
        <v>67</v>
      </c>
      <c r="AG2160" t="str">
        <f>IF(AF2160="","",IF(AF2160&gt;90,"Sangat baik",IF(AF2160&gt;79,"Baik",IF(AF2160&gt;=pub_gid_0_single_true_output_csv[[#This Row],[KKM]],"Cukup","Kurang"))))</f>
        <v>Kurang</v>
      </c>
      <c r="AH2160">
        <f t="shared" si="100"/>
        <v>12</v>
      </c>
      <c r="AI2160" s="30" t="str">
        <f>IF(OR(J2160&lt;&gt;"Karakter",pub_gid_0_single_true_output_csv[[#This Row],[Nilai2]]=""),"",IF(AF2160&gt;89,"Sangat baik",IF(AF2160&gt;79,"Baik",IF(AF2160&gt;69,"Cukup",IF(AF2160&gt;59,"Kurang","Sangat kurang")))))</f>
        <v/>
      </c>
      <c r="AJ2160" t="str">
        <f t="shared" si="101"/>
        <v>Wk.6</v>
      </c>
      <c r="AK2160" t="str">
        <f>IF(pub_gid_0_single_true_output_csv[[#This Row],[Nilai2]]="","",VLOOKUP(pub_gid_0_single_true_output_csv[[#This Row],[NAMA]],Table7[],3,FALSE))</f>
        <v>Average</v>
      </c>
    </row>
    <row r="2161" spans="1:37" x14ac:dyDescent="0.2">
      <c r="A2161">
        <v>2160</v>
      </c>
      <c r="B2161" t="s">
        <v>314</v>
      </c>
      <c r="C2161" t="s">
        <v>65</v>
      </c>
      <c r="D2161" t="s">
        <v>58</v>
      </c>
      <c r="E2161" t="s">
        <v>140</v>
      </c>
      <c r="F2161" s="25">
        <v>46059</v>
      </c>
      <c r="G2161" t="s">
        <v>349</v>
      </c>
      <c r="H2161" t="s">
        <v>412</v>
      </c>
      <c r="I2161" t="s">
        <v>371</v>
      </c>
      <c r="J2161" t="s">
        <v>41</v>
      </c>
      <c r="K2161" t="s">
        <v>357</v>
      </c>
      <c r="L2161" t="s">
        <v>351</v>
      </c>
      <c r="M2161" t="s">
        <v>141</v>
      </c>
      <c r="N2161" t="s">
        <v>142</v>
      </c>
      <c r="O2161" t="s">
        <v>327</v>
      </c>
      <c r="P2161" t="s">
        <v>281</v>
      </c>
      <c r="Q2161" t="s">
        <v>328</v>
      </c>
      <c r="R2161" t="s">
        <v>360</v>
      </c>
      <c r="S2161" t="s">
        <v>454</v>
      </c>
      <c r="T2161">
        <v>1</v>
      </c>
      <c r="U2161" t="s">
        <v>449</v>
      </c>
      <c r="V2161" t="s">
        <v>344</v>
      </c>
      <c r="W2161" t="s">
        <v>455</v>
      </c>
      <c r="X2161" t="s">
        <v>331</v>
      </c>
      <c r="Y2161" t="s">
        <v>307</v>
      </c>
      <c r="Z2161">
        <v>70</v>
      </c>
      <c r="AA2161">
        <v>70</v>
      </c>
      <c r="AB2161" t="s">
        <v>143</v>
      </c>
      <c r="AC2161" t="s">
        <v>336</v>
      </c>
      <c r="AD2161" t="s">
        <v>401</v>
      </c>
      <c r="AE2161" t="str">
        <f>IF(AF2161="","",VLOOKUP(AC2161,mapel!$A$2:$B$42,2,FALSE))</f>
        <v>Pancasila</v>
      </c>
      <c r="AF2161">
        <f t="shared" si="99"/>
        <v>70</v>
      </c>
      <c r="AG2161" t="str">
        <f>IF(AF2161="","",IF(AF2161&gt;90,"Sangat baik",IF(AF2161&gt;79,"Baik",IF(AF2161&gt;=pub_gid_0_single_true_output_csv[[#This Row],[KKM]],"Cukup","Kurang"))))</f>
        <v>Cukup</v>
      </c>
      <c r="AH2161">
        <f t="shared" si="100"/>
        <v>12</v>
      </c>
      <c r="AI2161" s="30" t="str">
        <f>IF(OR(J2161&lt;&gt;"Karakter",pub_gid_0_single_true_output_csv[[#This Row],[Nilai2]]=""),"",IF(AF2161&gt;89,"Sangat baik",IF(AF2161&gt;79,"Baik",IF(AF2161&gt;69,"Cukup",IF(AF2161&gt;59,"Kurang","Sangat kurang")))))</f>
        <v/>
      </c>
      <c r="AJ2161" t="str">
        <f t="shared" si="101"/>
        <v>Wk.6</v>
      </c>
      <c r="AK2161" t="str">
        <f>IF(pub_gid_0_single_true_output_csv[[#This Row],[Nilai2]]="","",VLOOKUP(pub_gid_0_single_true_output_csv[[#This Row],[NAMA]],Table7[],3,FALSE))</f>
        <v>Average</v>
      </c>
    </row>
    <row r="2162" spans="1:37" x14ac:dyDescent="0.2">
      <c r="A2162">
        <v>2161</v>
      </c>
      <c r="B2162" t="s">
        <v>314</v>
      </c>
      <c r="C2162" t="s">
        <v>65</v>
      </c>
      <c r="D2162" t="s">
        <v>58</v>
      </c>
      <c r="E2162" t="s">
        <v>140</v>
      </c>
      <c r="F2162" s="25">
        <v>46059</v>
      </c>
      <c r="G2162" t="s">
        <v>349</v>
      </c>
      <c r="H2162" t="s">
        <v>412</v>
      </c>
      <c r="I2162" t="s">
        <v>371</v>
      </c>
      <c r="J2162" t="s">
        <v>36</v>
      </c>
      <c r="K2162" t="s">
        <v>37</v>
      </c>
      <c r="L2162" t="s">
        <v>351</v>
      </c>
      <c r="M2162" t="s">
        <v>141</v>
      </c>
      <c r="N2162" t="s">
        <v>142</v>
      </c>
      <c r="O2162" t="s">
        <v>327</v>
      </c>
      <c r="P2162" t="s">
        <v>281</v>
      </c>
      <c r="Q2162" t="s">
        <v>328</v>
      </c>
      <c r="R2162" t="s">
        <v>360</v>
      </c>
      <c r="S2162" t="s">
        <v>392</v>
      </c>
      <c r="T2162">
        <v>1</v>
      </c>
      <c r="U2162" t="s">
        <v>449</v>
      </c>
      <c r="V2162" t="s">
        <v>343</v>
      </c>
      <c r="W2162" t="s">
        <v>453</v>
      </c>
      <c r="X2162" t="s">
        <v>331</v>
      </c>
      <c r="Y2162" t="s">
        <v>307</v>
      </c>
      <c r="Z2162">
        <v>70</v>
      </c>
      <c r="AA2162">
        <v>70</v>
      </c>
      <c r="AB2162" t="s">
        <v>143</v>
      </c>
      <c r="AC2162" t="s">
        <v>336</v>
      </c>
      <c r="AD2162" t="s">
        <v>401</v>
      </c>
      <c r="AE2162" t="str">
        <f>IF(AF2162="","",VLOOKUP(AC2162,mapel!$A$2:$B$42,2,FALSE))</f>
        <v>Pancasila</v>
      </c>
      <c r="AF2162">
        <f t="shared" si="99"/>
        <v>70</v>
      </c>
      <c r="AG2162" t="str">
        <f>IF(AF2162="","",IF(AF2162&gt;90,"Sangat baik",IF(AF2162&gt;79,"Baik",IF(AF2162&gt;=pub_gid_0_single_true_output_csv[[#This Row],[KKM]],"Cukup","Kurang"))))</f>
        <v>Cukup</v>
      </c>
      <c r="AH2162">
        <f t="shared" si="100"/>
        <v>12</v>
      </c>
      <c r="AI2162" s="30" t="str">
        <f>IF(OR(J2162&lt;&gt;"Karakter",pub_gid_0_single_true_output_csv[[#This Row],[Nilai2]]=""),"",IF(AF2162&gt;89,"Sangat baik",IF(AF2162&gt;79,"Baik",IF(AF2162&gt;69,"Cukup",IF(AF2162&gt;59,"Kurang","Sangat kurang")))))</f>
        <v/>
      </c>
      <c r="AJ2162" t="str">
        <f t="shared" si="101"/>
        <v>Wk.6</v>
      </c>
      <c r="AK2162" t="str">
        <f>IF(pub_gid_0_single_true_output_csv[[#This Row],[Nilai2]]="","",VLOOKUP(pub_gid_0_single_true_output_csv[[#This Row],[NAMA]],Table7[],3,FALSE))</f>
        <v>Average</v>
      </c>
    </row>
    <row r="2163" spans="1:37" x14ac:dyDescent="0.2">
      <c r="A2163">
        <v>2162</v>
      </c>
      <c r="B2163" t="s">
        <v>332</v>
      </c>
      <c r="C2163" t="s">
        <v>65</v>
      </c>
      <c r="D2163" t="s">
        <v>59</v>
      </c>
      <c r="E2163" t="s">
        <v>333</v>
      </c>
      <c r="F2163" s="25">
        <v>46034</v>
      </c>
      <c r="G2163" t="s">
        <v>354</v>
      </c>
      <c r="H2163" t="s">
        <v>405</v>
      </c>
      <c r="I2163" t="s">
        <v>371</v>
      </c>
      <c r="J2163" t="s">
        <v>90</v>
      </c>
      <c r="K2163" t="s">
        <v>92</v>
      </c>
      <c r="L2163" t="s">
        <v>91</v>
      </c>
      <c r="M2163" t="s">
        <v>141</v>
      </c>
      <c r="N2163" t="s">
        <v>142</v>
      </c>
      <c r="O2163" t="s">
        <v>327</v>
      </c>
      <c r="P2163" t="s">
        <v>281</v>
      </c>
      <c r="Q2163" t="s">
        <v>328</v>
      </c>
      <c r="R2163" t="s">
        <v>360</v>
      </c>
      <c r="S2163" t="s">
        <v>330</v>
      </c>
      <c r="T2163">
        <v>1</v>
      </c>
      <c r="U2163" t="s">
        <v>449</v>
      </c>
      <c r="V2163" t="s">
        <v>285</v>
      </c>
      <c r="W2163" t="s">
        <v>450</v>
      </c>
      <c r="X2163" t="s">
        <v>331</v>
      </c>
      <c r="Y2163" t="s">
        <v>307</v>
      </c>
      <c r="Z2163">
        <v>70</v>
      </c>
      <c r="AA2163">
        <v>76</v>
      </c>
      <c r="AB2163" t="s">
        <v>143</v>
      </c>
      <c r="AC2163" t="s">
        <v>336</v>
      </c>
      <c r="AD2163" t="s">
        <v>401</v>
      </c>
      <c r="AE2163" t="str">
        <f>IF(AF2163="","",VLOOKUP(AC2163,mapel!$A$2:$B$42,2,FALSE))</f>
        <v>Pancasila</v>
      </c>
      <c r="AF2163">
        <f t="shared" si="99"/>
        <v>76</v>
      </c>
      <c r="AG2163" t="str">
        <f>IF(AF2163="","",IF(AF2163&gt;90,"Sangat baik",IF(AF2163&gt;79,"Baik",IF(AF2163&gt;=pub_gid_0_single_true_output_csv[[#This Row],[KKM]],"Cukup","Kurang"))))</f>
        <v>Cukup</v>
      </c>
      <c r="AH2163">
        <f t="shared" si="100"/>
        <v>12</v>
      </c>
      <c r="AI2163" s="30" t="str">
        <f>IF(OR(J2163&lt;&gt;"Karakter",pub_gid_0_single_true_output_csv[[#This Row],[Nilai2]]=""),"",IF(AF2163&gt;89,"Sangat baik",IF(AF2163&gt;79,"Baik",IF(AF2163&gt;69,"Cukup",IF(AF2163&gt;59,"Kurang","Sangat kurang")))))</f>
        <v>Cukup</v>
      </c>
      <c r="AJ2163" t="str">
        <f t="shared" si="101"/>
        <v>Wk.3</v>
      </c>
      <c r="AK2163" t="str">
        <f>IF(pub_gid_0_single_true_output_csv[[#This Row],[Nilai2]]="","",VLOOKUP(pub_gid_0_single_true_output_csv[[#This Row],[NAMA]],Table7[],3,FALSE))</f>
        <v>Superior</v>
      </c>
    </row>
    <row r="2164" spans="1:37" x14ac:dyDescent="0.2">
      <c r="A2164">
        <v>2163</v>
      </c>
      <c r="B2164" t="s">
        <v>332</v>
      </c>
      <c r="C2164" t="s">
        <v>65</v>
      </c>
      <c r="D2164" t="s">
        <v>59</v>
      </c>
      <c r="E2164" t="s">
        <v>333</v>
      </c>
      <c r="F2164" s="25">
        <v>46034</v>
      </c>
      <c r="G2164" t="s">
        <v>354</v>
      </c>
      <c r="H2164" t="s">
        <v>405</v>
      </c>
      <c r="I2164" t="s">
        <v>371</v>
      </c>
      <c r="J2164" t="s">
        <v>279</v>
      </c>
      <c r="K2164" t="s">
        <v>280</v>
      </c>
      <c r="L2164" t="s">
        <v>322</v>
      </c>
      <c r="M2164" t="s">
        <v>141</v>
      </c>
      <c r="N2164" t="s">
        <v>142</v>
      </c>
      <c r="O2164" t="s">
        <v>327</v>
      </c>
      <c r="P2164" t="s">
        <v>281</v>
      </c>
      <c r="Q2164" t="s">
        <v>328</v>
      </c>
      <c r="R2164" t="s">
        <v>360</v>
      </c>
      <c r="S2164" t="s">
        <v>330</v>
      </c>
      <c r="T2164">
        <v>1</v>
      </c>
      <c r="U2164" t="s">
        <v>449</v>
      </c>
      <c r="V2164" t="s">
        <v>285</v>
      </c>
      <c r="W2164" t="s">
        <v>450</v>
      </c>
      <c r="X2164" t="s">
        <v>331</v>
      </c>
      <c r="Y2164" t="s">
        <v>307</v>
      </c>
      <c r="Z2164">
        <v>70</v>
      </c>
      <c r="AA2164">
        <v>78</v>
      </c>
      <c r="AB2164" t="s">
        <v>143</v>
      </c>
      <c r="AC2164" t="s">
        <v>336</v>
      </c>
      <c r="AD2164" t="s">
        <v>401</v>
      </c>
      <c r="AE2164" t="str">
        <f>IF(AF2164="","",VLOOKUP(AC2164,mapel!$A$2:$B$42,2,FALSE))</f>
        <v>Pancasila</v>
      </c>
      <c r="AF2164">
        <f t="shared" si="99"/>
        <v>78</v>
      </c>
      <c r="AG2164" t="str">
        <f>IF(AF2164="","",IF(AF2164&gt;90,"Sangat baik",IF(AF2164&gt;79,"Baik",IF(AF2164&gt;=pub_gid_0_single_true_output_csv[[#This Row],[KKM]],"Cukup","Kurang"))))</f>
        <v>Cukup</v>
      </c>
      <c r="AH2164">
        <f t="shared" si="100"/>
        <v>12</v>
      </c>
      <c r="AI2164" s="30" t="str">
        <f>IF(OR(J2164&lt;&gt;"Karakter",pub_gid_0_single_true_output_csv[[#This Row],[Nilai2]]=""),"",IF(AF2164&gt;89,"Sangat baik",IF(AF2164&gt;79,"Baik",IF(AF2164&gt;69,"Cukup",IF(AF2164&gt;59,"Kurang","Sangat kurang")))))</f>
        <v/>
      </c>
      <c r="AJ2164" t="str">
        <f t="shared" si="101"/>
        <v>Wk.3</v>
      </c>
      <c r="AK2164" t="str">
        <f>IF(pub_gid_0_single_true_output_csv[[#This Row],[Nilai2]]="","",VLOOKUP(pub_gid_0_single_true_output_csv[[#This Row],[NAMA]],Table7[],3,FALSE))</f>
        <v>Superior</v>
      </c>
    </row>
    <row r="2165" spans="1:37" x14ac:dyDescent="0.2">
      <c r="A2165">
        <v>2164</v>
      </c>
      <c r="B2165" t="s">
        <v>332</v>
      </c>
      <c r="C2165" t="s">
        <v>65</v>
      </c>
      <c r="D2165" t="s">
        <v>59</v>
      </c>
      <c r="E2165" t="s">
        <v>333</v>
      </c>
      <c r="F2165" s="25">
        <v>46034</v>
      </c>
      <c r="G2165" t="s">
        <v>354</v>
      </c>
      <c r="H2165" t="s">
        <v>405</v>
      </c>
      <c r="I2165" t="s">
        <v>371</v>
      </c>
      <c r="J2165" t="s">
        <v>31</v>
      </c>
      <c r="K2165" t="s">
        <v>96</v>
      </c>
      <c r="L2165" t="s">
        <v>351</v>
      </c>
      <c r="M2165" t="s">
        <v>141</v>
      </c>
      <c r="N2165" t="s">
        <v>142</v>
      </c>
      <c r="O2165" t="s">
        <v>327</v>
      </c>
      <c r="P2165" t="s">
        <v>281</v>
      </c>
      <c r="Q2165" t="s">
        <v>328</v>
      </c>
      <c r="R2165" t="s">
        <v>360</v>
      </c>
      <c r="S2165" t="s">
        <v>330</v>
      </c>
      <c r="T2165">
        <v>1</v>
      </c>
      <c r="U2165" t="s">
        <v>449</v>
      </c>
      <c r="V2165" t="s">
        <v>285</v>
      </c>
      <c r="W2165" t="s">
        <v>450</v>
      </c>
      <c r="X2165" t="s">
        <v>331</v>
      </c>
      <c r="Y2165" t="s">
        <v>307</v>
      </c>
      <c r="Z2165">
        <v>70</v>
      </c>
      <c r="AA2165">
        <v>70</v>
      </c>
      <c r="AB2165" t="s">
        <v>143</v>
      </c>
      <c r="AC2165" t="s">
        <v>336</v>
      </c>
      <c r="AD2165" t="s">
        <v>401</v>
      </c>
      <c r="AE2165" t="str">
        <f>IF(AF2165="","",VLOOKUP(AC2165,mapel!$A$2:$B$42,2,FALSE))</f>
        <v>Pancasila</v>
      </c>
      <c r="AF2165">
        <f t="shared" si="99"/>
        <v>70</v>
      </c>
      <c r="AG2165" t="str">
        <f>IF(AF2165="","",IF(AF2165&gt;90,"Sangat baik",IF(AF2165&gt;79,"Baik",IF(AF2165&gt;=pub_gid_0_single_true_output_csv[[#This Row],[KKM]],"Cukup","Kurang"))))</f>
        <v>Cukup</v>
      </c>
      <c r="AH2165">
        <f t="shared" si="100"/>
        <v>12</v>
      </c>
      <c r="AI2165" s="30" t="str">
        <f>IF(OR(J2165&lt;&gt;"Karakter",pub_gid_0_single_true_output_csv[[#This Row],[Nilai2]]=""),"",IF(AF2165&gt;89,"Sangat baik",IF(AF2165&gt;79,"Baik",IF(AF2165&gt;69,"Cukup",IF(AF2165&gt;59,"Kurang","Sangat kurang")))))</f>
        <v/>
      </c>
      <c r="AJ2165" t="str">
        <f t="shared" si="101"/>
        <v>Wk.3</v>
      </c>
      <c r="AK2165" t="str">
        <f>IF(pub_gid_0_single_true_output_csv[[#This Row],[Nilai2]]="","",VLOOKUP(pub_gid_0_single_true_output_csv[[#This Row],[NAMA]],Table7[],3,FALSE))</f>
        <v>Superior</v>
      </c>
    </row>
    <row r="2166" spans="1:37" x14ac:dyDescent="0.2">
      <c r="A2166">
        <v>2165</v>
      </c>
      <c r="B2166" t="s">
        <v>332</v>
      </c>
      <c r="C2166" t="s">
        <v>65</v>
      </c>
      <c r="D2166" t="s">
        <v>59</v>
      </c>
      <c r="E2166" t="s">
        <v>333</v>
      </c>
      <c r="F2166" s="25">
        <v>46034</v>
      </c>
      <c r="G2166" t="s">
        <v>354</v>
      </c>
      <c r="H2166" t="s">
        <v>405</v>
      </c>
      <c r="I2166" t="s">
        <v>371</v>
      </c>
      <c r="J2166" t="s">
        <v>36</v>
      </c>
      <c r="K2166" t="s">
        <v>37</v>
      </c>
      <c r="L2166" t="s">
        <v>351</v>
      </c>
      <c r="M2166" t="s">
        <v>141</v>
      </c>
      <c r="N2166" t="s">
        <v>142</v>
      </c>
      <c r="O2166" t="s">
        <v>327</v>
      </c>
      <c r="P2166" t="s">
        <v>281</v>
      </c>
      <c r="Q2166" t="s">
        <v>328</v>
      </c>
      <c r="R2166" t="s">
        <v>360</v>
      </c>
      <c r="S2166" t="s">
        <v>330</v>
      </c>
      <c r="T2166">
        <v>1</v>
      </c>
      <c r="U2166" t="s">
        <v>449</v>
      </c>
      <c r="V2166" t="s">
        <v>285</v>
      </c>
      <c r="W2166" t="s">
        <v>450</v>
      </c>
      <c r="X2166" t="s">
        <v>331</v>
      </c>
      <c r="Y2166" t="s">
        <v>307</v>
      </c>
      <c r="Z2166">
        <v>70</v>
      </c>
      <c r="AA2166">
        <v>70</v>
      </c>
      <c r="AB2166" t="s">
        <v>143</v>
      </c>
      <c r="AC2166" t="s">
        <v>336</v>
      </c>
      <c r="AD2166" t="s">
        <v>401</v>
      </c>
      <c r="AE2166" t="str">
        <f>IF(AF2166="","",VLOOKUP(AC2166,mapel!$A$2:$B$42,2,FALSE))</f>
        <v>Pancasila</v>
      </c>
      <c r="AF2166">
        <f t="shared" si="99"/>
        <v>70</v>
      </c>
      <c r="AG2166" t="str">
        <f>IF(AF2166="","",IF(AF2166&gt;90,"Sangat baik",IF(AF2166&gt;79,"Baik",IF(AF2166&gt;=pub_gid_0_single_true_output_csv[[#This Row],[KKM]],"Cukup","Kurang"))))</f>
        <v>Cukup</v>
      </c>
      <c r="AH2166">
        <f t="shared" si="100"/>
        <v>12</v>
      </c>
      <c r="AI2166" s="30" t="str">
        <f>IF(OR(J2166&lt;&gt;"Karakter",pub_gid_0_single_true_output_csv[[#This Row],[Nilai2]]=""),"",IF(AF2166&gt;89,"Sangat baik",IF(AF2166&gt;79,"Baik",IF(AF2166&gt;69,"Cukup",IF(AF2166&gt;59,"Kurang","Sangat kurang")))))</f>
        <v/>
      </c>
      <c r="AJ2166" t="str">
        <f t="shared" si="101"/>
        <v>Wk.3</v>
      </c>
      <c r="AK2166" t="str">
        <f>IF(pub_gid_0_single_true_output_csv[[#This Row],[Nilai2]]="","",VLOOKUP(pub_gid_0_single_true_output_csv[[#This Row],[NAMA]],Table7[],3,FALSE))</f>
        <v>Superior</v>
      </c>
    </row>
    <row r="2167" spans="1:37" x14ac:dyDescent="0.2">
      <c r="A2167">
        <v>2166</v>
      </c>
      <c r="B2167" t="s">
        <v>332</v>
      </c>
      <c r="C2167" t="s">
        <v>65</v>
      </c>
      <c r="D2167" t="s">
        <v>59</v>
      </c>
      <c r="E2167" t="s">
        <v>333</v>
      </c>
      <c r="F2167" s="25">
        <v>46038</v>
      </c>
      <c r="G2167" t="s">
        <v>382</v>
      </c>
      <c r="H2167" t="s">
        <v>405</v>
      </c>
      <c r="I2167" t="s">
        <v>371</v>
      </c>
      <c r="J2167" t="s">
        <v>36</v>
      </c>
      <c r="K2167" t="s">
        <v>37</v>
      </c>
      <c r="L2167" t="s">
        <v>351</v>
      </c>
      <c r="M2167" t="s">
        <v>397</v>
      </c>
      <c r="N2167" t="s">
        <v>142</v>
      </c>
      <c r="O2167" t="s">
        <v>327</v>
      </c>
      <c r="P2167" t="s">
        <v>281</v>
      </c>
      <c r="Q2167" t="s">
        <v>328</v>
      </c>
      <c r="R2167" t="s">
        <v>360</v>
      </c>
      <c r="S2167" t="s">
        <v>330</v>
      </c>
      <c r="T2167">
        <v>1</v>
      </c>
      <c r="U2167" t="s">
        <v>449</v>
      </c>
      <c r="V2167" t="s">
        <v>285</v>
      </c>
      <c r="W2167" t="s">
        <v>450</v>
      </c>
      <c r="X2167" t="s">
        <v>331</v>
      </c>
      <c r="Y2167" t="s">
        <v>307</v>
      </c>
      <c r="Z2167">
        <v>70</v>
      </c>
      <c r="AA2167">
        <v>0</v>
      </c>
      <c r="AB2167" t="s">
        <v>151</v>
      </c>
      <c r="AC2167" t="s">
        <v>336</v>
      </c>
      <c r="AD2167" t="s">
        <v>401</v>
      </c>
      <c r="AE2167" t="str">
        <f>IF(AF2167="","",VLOOKUP(AC2167,mapel!$A$2:$B$42,2,FALSE))</f>
        <v/>
      </c>
      <c r="AF2167" t="str">
        <f t="shared" si="99"/>
        <v/>
      </c>
      <c r="AG2167" t="str">
        <f>IF(AF2167="","",IF(AF2167&gt;90,"Sangat baik",IF(AF2167&gt;79,"Baik",IF(AF2167&gt;=pub_gid_0_single_true_output_csv[[#This Row],[KKM]],"Cukup","Kurang"))))</f>
        <v/>
      </c>
      <c r="AH2167" t="str">
        <f t="shared" si="100"/>
        <v/>
      </c>
      <c r="AI2167" s="30" t="str">
        <f>IF(OR(J2167&lt;&gt;"Karakter",pub_gid_0_single_true_output_csv[[#This Row],[Nilai2]]=""),"",IF(AF2167&gt;89,"Sangat baik",IF(AF2167&gt;79,"Baik",IF(AF2167&gt;69,"Cukup",IF(AF2167&gt;59,"Kurang","Sangat kurang")))))</f>
        <v/>
      </c>
      <c r="AJ2167" t="str">
        <f t="shared" si="101"/>
        <v/>
      </c>
      <c r="AK2167" t="str">
        <f>IF(pub_gid_0_single_true_output_csv[[#This Row],[Nilai2]]="","",VLOOKUP(pub_gid_0_single_true_output_csv[[#This Row],[NAMA]],Table7[],3,FALSE))</f>
        <v/>
      </c>
    </row>
    <row r="2168" spans="1:37" x14ac:dyDescent="0.2">
      <c r="A2168">
        <v>2167</v>
      </c>
      <c r="B2168" t="s">
        <v>332</v>
      </c>
      <c r="C2168" t="s">
        <v>65</v>
      </c>
      <c r="D2168" t="s">
        <v>59</v>
      </c>
      <c r="E2168" t="s">
        <v>333</v>
      </c>
      <c r="F2168" s="25">
        <v>46041</v>
      </c>
      <c r="G2168" t="s">
        <v>370</v>
      </c>
      <c r="H2168" t="s">
        <v>405</v>
      </c>
      <c r="I2168" t="s">
        <v>371</v>
      </c>
      <c r="J2168" t="s">
        <v>36</v>
      </c>
      <c r="K2168" t="s">
        <v>37</v>
      </c>
      <c r="L2168" t="s">
        <v>351</v>
      </c>
      <c r="M2168" t="s">
        <v>141</v>
      </c>
      <c r="N2168" t="s">
        <v>142</v>
      </c>
      <c r="O2168" t="s">
        <v>327</v>
      </c>
      <c r="P2168" t="s">
        <v>281</v>
      </c>
      <c r="Q2168" t="s">
        <v>328</v>
      </c>
      <c r="R2168" t="s">
        <v>360</v>
      </c>
      <c r="S2168" t="s">
        <v>387</v>
      </c>
      <c r="T2168">
        <v>2</v>
      </c>
      <c r="U2168" t="s">
        <v>451</v>
      </c>
      <c r="V2168" t="s">
        <v>303</v>
      </c>
      <c r="W2168" t="s">
        <v>452</v>
      </c>
      <c r="X2168" t="s">
        <v>331</v>
      </c>
      <c r="Y2168" t="s">
        <v>307</v>
      </c>
      <c r="Z2168">
        <v>70</v>
      </c>
      <c r="AA2168">
        <v>70</v>
      </c>
      <c r="AB2168" t="s">
        <v>143</v>
      </c>
      <c r="AC2168" t="s">
        <v>336</v>
      </c>
      <c r="AD2168" t="s">
        <v>401</v>
      </c>
      <c r="AE2168" t="str">
        <f>IF(AF2168="","",VLOOKUP(AC2168,mapel!$A$2:$B$42,2,FALSE))</f>
        <v>Pancasila</v>
      </c>
      <c r="AF2168">
        <f t="shared" si="99"/>
        <v>70</v>
      </c>
      <c r="AG2168" t="str">
        <f>IF(AF2168="","",IF(AF2168&gt;90,"Sangat baik",IF(AF2168&gt;79,"Baik",IF(AF2168&gt;=pub_gid_0_single_true_output_csv[[#This Row],[KKM]],"Cukup","Kurang"))))</f>
        <v>Cukup</v>
      </c>
      <c r="AH2168">
        <f t="shared" si="100"/>
        <v>12</v>
      </c>
      <c r="AI2168" s="30" t="str">
        <f>IF(OR(J2168&lt;&gt;"Karakter",pub_gid_0_single_true_output_csv[[#This Row],[Nilai2]]=""),"",IF(AF2168&gt;89,"Sangat baik",IF(AF2168&gt;79,"Baik",IF(AF2168&gt;69,"Cukup",IF(AF2168&gt;59,"Kurang","Sangat kurang")))))</f>
        <v/>
      </c>
      <c r="AJ2168" t="str">
        <f t="shared" si="101"/>
        <v>Wk.4</v>
      </c>
      <c r="AK2168" t="str">
        <f>IF(pub_gid_0_single_true_output_csv[[#This Row],[Nilai2]]="","",VLOOKUP(pub_gid_0_single_true_output_csv[[#This Row],[NAMA]],Table7[],3,FALSE))</f>
        <v>Superior</v>
      </c>
    </row>
    <row r="2169" spans="1:37" x14ac:dyDescent="0.2">
      <c r="A2169">
        <v>2168</v>
      </c>
      <c r="B2169" t="s">
        <v>332</v>
      </c>
      <c r="C2169" t="s">
        <v>65</v>
      </c>
      <c r="D2169" t="s">
        <v>59</v>
      </c>
      <c r="E2169" t="s">
        <v>333</v>
      </c>
      <c r="F2169" s="25">
        <v>46041</v>
      </c>
      <c r="G2169" t="s">
        <v>370</v>
      </c>
      <c r="H2169" t="s">
        <v>405</v>
      </c>
      <c r="I2169" t="s">
        <v>371</v>
      </c>
      <c r="J2169" t="s">
        <v>31</v>
      </c>
      <c r="K2169" t="s">
        <v>96</v>
      </c>
      <c r="L2169" t="s">
        <v>351</v>
      </c>
      <c r="M2169" t="s">
        <v>141</v>
      </c>
      <c r="N2169" t="s">
        <v>142</v>
      </c>
      <c r="O2169" t="s">
        <v>327</v>
      </c>
      <c r="P2169" t="s">
        <v>281</v>
      </c>
      <c r="Q2169" t="s">
        <v>328</v>
      </c>
      <c r="R2169" t="s">
        <v>360</v>
      </c>
      <c r="S2169" t="s">
        <v>387</v>
      </c>
      <c r="T2169">
        <v>2</v>
      </c>
      <c r="U2169" t="s">
        <v>451</v>
      </c>
      <c r="V2169" t="s">
        <v>303</v>
      </c>
      <c r="W2169" t="s">
        <v>452</v>
      </c>
      <c r="X2169" t="s">
        <v>331</v>
      </c>
      <c r="Y2169" t="s">
        <v>307</v>
      </c>
      <c r="Z2169">
        <v>70</v>
      </c>
      <c r="AA2169">
        <v>73</v>
      </c>
      <c r="AB2169" t="s">
        <v>143</v>
      </c>
      <c r="AC2169" t="s">
        <v>336</v>
      </c>
      <c r="AD2169" t="s">
        <v>401</v>
      </c>
      <c r="AE2169" t="str">
        <f>IF(AF2169="","",VLOOKUP(AC2169,mapel!$A$2:$B$42,2,FALSE))</f>
        <v>Pancasila</v>
      </c>
      <c r="AF2169">
        <f t="shared" si="99"/>
        <v>73</v>
      </c>
      <c r="AG2169" t="str">
        <f>IF(AF2169="","",IF(AF2169&gt;90,"Sangat baik",IF(AF2169&gt;79,"Baik",IF(AF2169&gt;=pub_gid_0_single_true_output_csv[[#This Row],[KKM]],"Cukup","Kurang"))))</f>
        <v>Cukup</v>
      </c>
      <c r="AH2169">
        <f t="shared" si="100"/>
        <v>12</v>
      </c>
      <c r="AI2169" s="30" t="str">
        <f>IF(OR(J2169&lt;&gt;"Karakter",pub_gid_0_single_true_output_csv[[#This Row],[Nilai2]]=""),"",IF(AF2169&gt;89,"Sangat baik",IF(AF2169&gt;79,"Baik",IF(AF2169&gt;69,"Cukup",IF(AF2169&gt;59,"Kurang","Sangat kurang")))))</f>
        <v/>
      </c>
      <c r="AJ2169" t="str">
        <f t="shared" si="101"/>
        <v>Wk.4</v>
      </c>
      <c r="AK2169" t="str">
        <f>IF(pub_gid_0_single_true_output_csv[[#This Row],[Nilai2]]="","",VLOOKUP(pub_gid_0_single_true_output_csv[[#This Row],[NAMA]],Table7[],3,FALSE))</f>
        <v>Superior</v>
      </c>
    </row>
    <row r="2170" spans="1:37" x14ac:dyDescent="0.2">
      <c r="A2170">
        <v>2169</v>
      </c>
      <c r="B2170" t="s">
        <v>332</v>
      </c>
      <c r="C2170" t="s">
        <v>65</v>
      </c>
      <c r="D2170" t="s">
        <v>59</v>
      </c>
      <c r="E2170" t="s">
        <v>333</v>
      </c>
      <c r="F2170" s="25">
        <v>46041</v>
      </c>
      <c r="G2170" t="s">
        <v>370</v>
      </c>
      <c r="H2170" t="s">
        <v>405</v>
      </c>
      <c r="I2170" t="s">
        <v>371</v>
      </c>
      <c r="J2170" t="s">
        <v>90</v>
      </c>
      <c r="K2170" t="s">
        <v>92</v>
      </c>
      <c r="L2170" t="s">
        <v>398</v>
      </c>
      <c r="M2170" t="s">
        <v>141</v>
      </c>
      <c r="N2170" t="s">
        <v>142</v>
      </c>
      <c r="O2170" t="s">
        <v>327</v>
      </c>
      <c r="P2170" t="s">
        <v>281</v>
      </c>
      <c r="Q2170" t="s">
        <v>328</v>
      </c>
      <c r="R2170" t="s">
        <v>360</v>
      </c>
      <c r="S2170" t="s">
        <v>387</v>
      </c>
      <c r="T2170">
        <v>2</v>
      </c>
      <c r="U2170" t="s">
        <v>451</v>
      </c>
      <c r="V2170" t="s">
        <v>303</v>
      </c>
      <c r="W2170" t="s">
        <v>452</v>
      </c>
      <c r="X2170" t="s">
        <v>331</v>
      </c>
      <c r="Y2170" t="s">
        <v>307</v>
      </c>
      <c r="Z2170">
        <v>70</v>
      </c>
      <c r="AA2170">
        <v>75</v>
      </c>
      <c r="AB2170" t="s">
        <v>143</v>
      </c>
      <c r="AC2170" t="s">
        <v>336</v>
      </c>
      <c r="AD2170" t="s">
        <v>401</v>
      </c>
      <c r="AE2170" t="str">
        <f>IF(AF2170="","",VLOOKUP(AC2170,mapel!$A$2:$B$42,2,FALSE))</f>
        <v>Pancasila</v>
      </c>
      <c r="AF2170">
        <f t="shared" si="99"/>
        <v>75</v>
      </c>
      <c r="AG2170" t="str">
        <f>IF(AF2170="","",IF(AF2170&gt;90,"Sangat baik",IF(AF2170&gt;79,"Baik",IF(AF2170&gt;=pub_gid_0_single_true_output_csv[[#This Row],[KKM]],"Cukup","Kurang"))))</f>
        <v>Cukup</v>
      </c>
      <c r="AH2170">
        <f t="shared" si="100"/>
        <v>12</v>
      </c>
      <c r="AI2170" s="30" t="str">
        <f>IF(OR(J2170&lt;&gt;"Karakter",pub_gid_0_single_true_output_csv[[#This Row],[Nilai2]]=""),"",IF(AF2170&gt;89,"Sangat baik",IF(AF2170&gt;79,"Baik",IF(AF2170&gt;69,"Cukup",IF(AF2170&gt;59,"Kurang","Sangat kurang")))))</f>
        <v>Cukup</v>
      </c>
      <c r="AJ2170" t="str">
        <f t="shared" si="101"/>
        <v>Wk.4</v>
      </c>
      <c r="AK2170" t="str">
        <f>IF(pub_gid_0_single_true_output_csv[[#This Row],[Nilai2]]="","",VLOOKUP(pub_gid_0_single_true_output_csv[[#This Row],[NAMA]],Table7[],3,FALSE))</f>
        <v>Superior</v>
      </c>
    </row>
    <row r="2171" spans="1:37" x14ac:dyDescent="0.2">
      <c r="A2171">
        <v>2170</v>
      </c>
      <c r="B2171" t="s">
        <v>332</v>
      </c>
      <c r="C2171" t="s">
        <v>65</v>
      </c>
      <c r="D2171" t="s">
        <v>59</v>
      </c>
      <c r="E2171" t="s">
        <v>333</v>
      </c>
      <c r="F2171" s="25">
        <v>46041</v>
      </c>
      <c r="G2171" t="s">
        <v>370</v>
      </c>
      <c r="H2171" t="s">
        <v>405</v>
      </c>
      <c r="I2171" t="s">
        <v>371</v>
      </c>
      <c r="J2171" t="s">
        <v>279</v>
      </c>
      <c r="K2171" t="s">
        <v>280</v>
      </c>
      <c r="L2171" t="s">
        <v>322</v>
      </c>
      <c r="M2171" t="s">
        <v>141</v>
      </c>
      <c r="N2171" t="s">
        <v>142</v>
      </c>
      <c r="O2171" t="s">
        <v>327</v>
      </c>
      <c r="P2171" t="s">
        <v>281</v>
      </c>
      <c r="Q2171" t="s">
        <v>328</v>
      </c>
      <c r="R2171" t="s">
        <v>360</v>
      </c>
      <c r="S2171" t="s">
        <v>387</v>
      </c>
      <c r="T2171">
        <v>2</v>
      </c>
      <c r="U2171" t="s">
        <v>451</v>
      </c>
      <c r="V2171" t="s">
        <v>303</v>
      </c>
      <c r="W2171" t="s">
        <v>452</v>
      </c>
      <c r="X2171" t="s">
        <v>331</v>
      </c>
      <c r="Y2171" t="s">
        <v>307</v>
      </c>
      <c r="Z2171">
        <v>70</v>
      </c>
      <c r="AA2171">
        <v>75</v>
      </c>
      <c r="AB2171" t="s">
        <v>143</v>
      </c>
      <c r="AC2171" t="s">
        <v>336</v>
      </c>
      <c r="AD2171" t="s">
        <v>401</v>
      </c>
      <c r="AE2171" t="str">
        <f>IF(AF2171="","",VLOOKUP(AC2171,mapel!$A$2:$B$42,2,FALSE))</f>
        <v>Pancasila</v>
      </c>
      <c r="AF2171">
        <f t="shared" si="99"/>
        <v>75</v>
      </c>
      <c r="AG2171" t="str">
        <f>IF(AF2171="","",IF(AF2171&gt;90,"Sangat baik",IF(AF2171&gt;79,"Baik",IF(AF2171&gt;=pub_gid_0_single_true_output_csv[[#This Row],[KKM]],"Cukup","Kurang"))))</f>
        <v>Cukup</v>
      </c>
      <c r="AH2171">
        <f t="shared" si="100"/>
        <v>12</v>
      </c>
      <c r="AI2171" s="30" t="str">
        <f>IF(OR(J2171&lt;&gt;"Karakter",pub_gid_0_single_true_output_csv[[#This Row],[Nilai2]]=""),"",IF(AF2171&gt;89,"Sangat baik",IF(AF2171&gt;79,"Baik",IF(AF2171&gt;69,"Cukup",IF(AF2171&gt;59,"Kurang","Sangat kurang")))))</f>
        <v/>
      </c>
      <c r="AJ2171" t="str">
        <f t="shared" si="101"/>
        <v>Wk.4</v>
      </c>
      <c r="AK2171" t="str">
        <f>IF(pub_gid_0_single_true_output_csv[[#This Row],[Nilai2]]="","",VLOOKUP(pub_gid_0_single_true_output_csv[[#This Row],[NAMA]],Table7[],3,FALSE))</f>
        <v>Superior</v>
      </c>
    </row>
    <row r="2172" spans="1:37" x14ac:dyDescent="0.2">
      <c r="A2172">
        <v>2171</v>
      </c>
      <c r="B2172" t="s">
        <v>332</v>
      </c>
      <c r="C2172" t="s">
        <v>65</v>
      </c>
      <c r="D2172" t="s">
        <v>59</v>
      </c>
      <c r="E2172" t="s">
        <v>333</v>
      </c>
      <c r="F2172" s="25">
        <v>46055</v>
      </c>
      <c r="G2172" t="s">
        <v>379</v>
      </c>
      <c r="H2172" t="s">
        <v>412</v>
      </c>
      <c r="I2172" t="s">
        <v>371</v>
      </c>
      <c r="J2172" t="s">
        <v>90</v>
      </c>
      <c r="K2172" t="s">
        <v>377</v>
      </c>
      <c r="L2172" t="s">
        <v>400</v>
      </c>
      <c r="M2172" t="s">
        <v>141</v>
      </c>
      <c r="N2172" t="s">
        <v>142</v>
      </c>
      <c r="O2172" t="s">
        <v>327</v>
      </c>
      <c r="P2172" t="s">
        <v>281</v>
      </c>
      <c r="Q2172" t="s">
        <v>328</v>
      </c>
      <c r="R2172" t="s">
        <v>360</v>
      </c>
      <c r="S2172" t="s">
        <v>392</v>
      </c>
      <c r="T2172">
        <v>1</v>
      </c>
      <c r="U2172" t="s">
        <v>449</v>
      </c>
      <c r="V2172" t="s">
        <v>343</v>
      </c>
      <c r="W2172" t="s">
        <v>453</v>
      </c>
      <c r="X2172" t="s">
        <v>331</v>
      </c>
      <c r="Y2172" t="s">
        <v>307</v>
      </c>
      <c r="Z2172">
        <v>70</v>
      </c>
      <c r="AA2172">
        <v>80</v>
      </c>
      <c r="AB2172" t="s">
        <v>143</v>
      </c>
      <c r="AC2172" t="s">
        <v>336</v>
      </c>
      <c r="AD2172" t="s">
        <v>401</v>
      </c>
      <c r="AE2172" t="str">
        <f>IF(AF2172="","",VLOOKUP(AC2172,mapel!$A$2:$B$42,2,FALSE))</f>
        <v>Pancasila</v>
      </c>
      <c r="AF2172">
        <f t="shared" si="99"/>
        <v>80</v>
      </c>
      <c r="AG2172" t="str">
        <f>IF(AF2172="","",IF(AF2172&gt;90,"Sangat baik",IF(AF2172&gt;79,"Baik",IF(AF2172&gt;=pub_gid_0_single_true_output_csv[[#This Row],[KKM]],"Cukup","Kurang"))))</f>
        <v>Baik</v>
      </c>
      <c r="AH2172">
        <f t="shared" si="100"/>
        <v>12</v>
      </c>
      <c r="AI2172" s="30" t="str">
        <f>IF(OR(J2172&lt;&gt;"Karakter",pub_gid_0_single_true_output_csv[[#This Row],[Nilai2]]=""),"",IF(AF2172&gt;89,"Sangat baik",IF(AF2172&gt;79,"Baik",IF(AF2172&gt;69,"Cukup",IF(AF2172&gt;59,"Kurang","Sangat kurang")))))</f>
        <v>Baik</v>
      </c>
      <c r="AJ2172" t="str">
        <f t="shared" si="101"/>
        <v>Wk.6</v>
      </c>
      <c r="AK2172" t="str">
        <f>IF(pub_gid_0_single_true_output_csv[[#This Row],[Nilai2]]="","",VLOOKUP(pub_gid_0_single_true_output_csv[[#This Row],[NAMA]],Table7[],3,FALSE))</f>
        <v>Superior</v>
      </c>
    </row>
    <row r="2173" spans="1:37" x14ac:dyDescent="0.2">
      <c r="A2173">
        <v>2172</v>
      </c>
      <c r="B2173" t="s">
        <v>332</v>
      </c>
      <c r="C2173" t="s">
        <v>65</v>
      </c>
      <c r="D2173" t="s">
        <v>59</v>
      </c>
      <c r="E2173" t="s">
        <v>333</v>
      </c>
      <c r="F2173" s="25">
        <v>46055</v>
      </c>
      <c r="G2173" t="s">
        <v>379</v>
      </c>
      <c r="H2173" t="s">
        <v>412</v>
      </c>
      <c r="I2173" t="s">
        <v>371</v>
      </c>
      <c r="J2173" t="s">
        <v>41</v>
      </c>
      <c r="K2173" t="s">
        <v>272</v>
      </c>
      <c r="L2173" t="s">
        <v>351</v>
      </c>
      <c r="M2173" t="s">
        <v>141</v>
      </c>
      <c r="N2173" t="s">
        <v>142</v>
      </c>
      <c r="O2173" t="s">
        <v>327</v>
      </c>
      <c r="P2173" t="s">
        <v>281</v>
      </c>
      <c r="Q2173" t="s">
        <v>328</v>
      </c>
      <c r="R2173" t="s">
        <v>360</v>
      </c>
      <c r="S2173" t="s">
        <v>392</v>
      </c>
      <c r="T2173">
        <v>1</v>
      </c>
      <c r="U2173" t="s">
        <v>449</v>
      </c>
      <c r="V2173" t="s">
        <v>343</v>
      </c>
      <c r="W2173" t="s">
        <v>453</v>
      </c>
      <c r="X2173" t="s">
        <v>331</v>
      </c>
      <c r="Y2173" t="s">
        <v>307</v>
      </c>
      <c r="Z2173">
        <v>70</v>
      </c>
      <c r="AA2173">
        <v>82</v>
      </c>
      <c r="AB2173" t="s">
        <v>143</v>
      </c>
      <c r="AC2173" t="s">
        <v>336</v>
      </c>
      <c r="AD2173" t="s">
        <v>401</v>
      </c>
      <c r="AE2173" t="str">
        <f>IF(AF2173="","",VLOOKUP(AC2173,mapel!$A$2:$B$42,2,FALSE))</f>
        <v>Pancasila</v>
      </c>
      <c r="AF2173">
        <f t="shared" si="99"/>
        <v>82</v>
      </c>
      <c r="AG2173" t="str">
        <f>IF(AF2173="","",IF(AF2173&gt;90,"Sangat baik",IF(AF2173&gt;79,"Baik",IF(AF2173&gt;=pub_gid_0_single_true_output_csv[[#This Row],[KKM]],"Cukup","Kurang"))))</f>
        <v>Baik</v>
      </c>
      <c r="AH2173">
        <f t="shared" si="100"/>
        <v>12</v>
      </c>
      <c r="AI2173" s="30" t="str">
        <f>IF(OR(J2173&lt;&gt;"Karakter",pub_gid_0_single_true_output_csv[[#This Row],[Nilai2]]=""),"",IF(AF2173&gt;89,"Sangat baik",IF(AF2173&gt;79,"Baik",IF(AF2173&gt;69,"Cukup",IF(AF2173&gt;59,"Kurang","Sangat kurang")))))</f>
        <v/>
      </c>
      <c r="AJ2173" t="str">
        <f t="shared" si="101"/>
        <v>Wk.6</v>
      </c>
      <c r="AK2173" t="str">
        <f>IF(pub_gid_0_single_true_output_csv[[#This Row],[Nilai2]]="","",VLOOKUP(pub_gid_0_single_true_output_csv[[#This Row],[NAMA]],Table7[],3,FALSE))</f>
        <v>Superior</v>
      </c>
    </row>
    <row r="2174" spans="1:37" x14ac:dyDescent="0.2">
      <c r="A2174">
        <v>2173</v>
      </c>
      <c r="B2174" t="s">
        <v>332</v>
      </c>
      <c r="C2174" t="s">
        <v>65</v>
      </c>
      <c r="D2174" t="s">
        <v>59</v>
      </c>
      <c r="E2174" t="s">
        <v>333</v>
      </c>
      <c r="F2174" s="25">
        <v>46055</v>
      </c>
      <c r="G2174" t="s">
        <v>379</v>
      </c>
      <c r="H2174" t="s">
        <v>412</v>
      </c>
      <c r="I2174" t="s">
        <v>371</v>
      </c>
      <c r="J2174" t="s">
        <v>279</v>
      </c>
      <c r="K2174" t="s">
        <v>280</v>
      </c>
      <c r="L2174" t="s">
        <v>322</v>
      </c>
      <c r="M2174" t="s">
        <v>141</v>
      </c>
      <c r="N2174" t="s">
        <v>142</v>
      </c>
      <c r="O2174" t="s">
        <v>327</v>
      </c>
      <c r="P2174" t="s">
        <v>281</v>
      </c>
      <c r="Q2174" t="s">
        <v>328</v>
      </c>
      <c r="R2174" t="s">
        <v>360</v>
      </c>
      <c r="S2174" t="s">
        <v>392</v>
      </c>
      <c r="T2174">
        <v>1</v>
      </c>
      <c r="U2174" t="s">
        <v>449</v>
      </c>
      <c r="V2174" t="s">
        <v>343</v>
      </c>
      <c r="W2174" t="s">
        <v>453</v>
      </c>
      <c r="X2174" t="s">
        <v>331</v>
      </c>
      <c r="Y2174" t="s">
        <v>307</v>
      </c>
      <c r="Z2174">
        <v>70</v>
      </c>
      <c r="AA2174">
        <v>78</v>
      </c>
      <c r="AB2174" t="s">
        <v>143</v>
      </c>
      <c r="AC2174" t="s">
        <v>336</v>
      </c>
      <c r="AD2174" t="s">
        <v>401</v>
      </c>
      <c r="AE2174" t="str">
        <f>IF(AF2174="","",VLOOKUP(AC2174,mapel!$A$2:$B$42,2,FALSE))</f>
        <v>Pancasila</v>
      </c>
      <c r="AF2174">
        <f t="shared" si="99"/>
        <v>78</v>
      </c>
      <c r="AG2174" t="str">
        <f>IF(AF2174="","",IF(AF2174&gt;90,"Sangat baik",IF(AF2174&gt;79,"Baik",IF(AF2174&gt;=pub_gid_0_single_true_output_csv[[#This Row],[KKM]],"Cukup","Kurang"))))</f>
        <v>Cukup</v>
      </c>
      <c r="AH2174">
        <f t="shared" si="100"/>
        <v>12</v>
      </c>
      <c r="AI2174" s="30" t="str">
        <f>IF(OR(J2174&lt;&gt;"Karakter",pub_gid_0_single_true_output_csv[[#This Row],[Nilai2]]=""),"",IF(AF2174&gt;89,"Sangat baik",IF(AF2174&gt;79,"Baik",IF(AF2174&gt;69,"Cukup",IF(AF2174&gt;59,"Kurang","Sangat kurang")))))</f>
        <v/>
      </c>
      <c r="AJ2174" t="str">
        <f t="shared" si="101"/>
        <v>Wk.6</v>
      </c>
      <c r="AK2174" t="str">
        <f>IF(pub_gid_0_single_true_output_csv[[#This Row],[Nilai2]]="","",VLOOKUP(pub_gid_0_single_true_output_csv[[#This Row],[NAMA]],Table7[],3,FALSE))</f>
        <v>Superior</v>
      </c>
    </row>
    <row r="2175" spans="1:37" x14ac:dyDescent="0.2">
      <c r="A2175">
        <v>2174</v>
      </c>
      <c r="B2175" t="s">
        <v>332</v>
      </c>
      <c r="C2175" t="s">
        <v>65</v>
      </c>
      <c r="D2175" t="s">
        <v>59</v>
      </c>
      <c r="E2175" t="s">
        <v>333</v>
      </c>
      <c r="F2175" s="25">
        <v>46055</v>
      </c>
      <c r="G2175" t="s">
        <v>379</v>
      </c>
      <c r="H2175" t="s">
        <v>412</v>
      </c>
      <c r="I2175" t="s">
        <v>371</v>
      </c>
      <c r="J2175" t="s">
        <v>31</v>
      </c>
      <c r="K2175" t="s">
        <v>96</v>
      </c>
      <c r="L2175" t="s">
        <v>351</v>
      </c>
      <c r="M2175" t="s">
        <v>141</v>
      </c>
      <c r="N2175" t="s">
        <v>142</v>
      </c>
      <c r="O2175" t="s">
        <v>327</v>
      </c>
      <c r="P2175" t="s">
        <v>281</v>
      </c>
      <c r="Q2175" t="s">
        <v>328</v>
      </c>
      <c r="R2175" t="s">
        <v>360</v>
      </c>
      <c r="S2175" t="s">
        <v>392</v>
      </c>
      <c r="T2175">
        <v>1</v>
      </c>
      <c r="U2175" t="s">
        <v>449</v>
      </c>
      <c r="V2175" t="s">
        <v>343</v>
      </c>
      <c r="W2175" t="s">
        <v>453</v>
      </c>
      <c r="X2175" t="s">
        <v>331</v>
      </c>
      <c r="Y2175" t="s">
        <v>307</v>
      </c>
      <c r="Z2175">
        <v>70</v>
      </c>
      <c r="AA2175">
        <v>78</v>
      </c>
      <c r="AB2175" t="s">
        <v>143</v>
      </c>
      <c r="AC2175" t="s">
        <v>336</v>
      </c>
      <c r="AD2175" t="s">
        <v>401</v>
      </c>
      <c r="AE2175" t="str">
        <f>IF(AF2175="","",VLOOKUP(AC2175,mapel!$A$2:$B$42,2,FALSE))</f>
        <v>Pancasila</v>
      </c>
      <c r="AF2175">
        <f t="shared" si="99"/>
        <v>78</v>
      </c>
      <c r="AG2175" t="str">
        <f>IF(AF2175="","",IF(AF2175&gt;90,"Sangat baik",IF(AF2175&gt;79,"Baik",IF(AF2175&gt;=pub_gid_0_single_true_output_csv[[#This Row],[KKM]],"Cukup","Kurang"))))</f>
        <v>Cukup</v>
      </c>
      <c r="AH2175">
        <f t="shared" si="100"/>
        <v>12</v>
      </c>
      <c r="AI2175" s="30" t="str">
        <f>IF(OR(J2175&lt;&gt;"Karakter",pub_gid_0_single_true_output_csv[[#This Row],[Nilai2]]=""),"",IF(AF2175&gt;89,"Sangat baik",IF(AF2175&gt;79,"Baik",IF(AF2175&gt;69,"Cukup",IF(AF2175&gt;59,"Kurang","Sangat kurang")))))</f>
        <v/>
      </c>
      <c r="AJ2175" t="str">
        <f t="shared" si="101"/>
        <v>Wk.6</v>
      </c>
      <c r="AK2175" t="str">
        <f>IF(pub_gid_0_single_true_output_csv[[#This Row],[Nilai2]]="","",VLOOKUP(pub_gid_0_single_true_output_csv[[#This Row],[NAMA]],Table7[],3,FALSE))</f>
        <v>Superior</v>
      </c>
    </row>
    <row r="2176" spans="1:37" x14ac:dyDescent="0.2">
      <c r="A2176">
        <v>2175</v>
      </c>
      <c r="B2176" t="s">
        <v>332</v>
      </c>
      <c r="C2176" t="s">
        <v>65</v>
      </c>
      <c r="D2176" t="s">
        <v>59</v>
      </c>
      <c r="E2176" t="s">
        <v>333</v>
      </c>
      <c r="F2176" s="25">
        <v>46055</v>
      </c>
      <c r="G2176" t="s">
        <v>379</v>
      </c>
      <c r="H2176" t="s">
        <v>412</v>
      </c>
      <c r="I2176" t="s">
        <v>371</v>
      </c>
      <c r="J2176" t="s">
        <v>36</v>
      </c>
      <c r="K2176" t="s">
        <v>37</v>
      </c>
      <c r="L2176" t="s">
        <v>150</v>
      </c>
      <c r="M2176" t="s">
        <v>141</v>
      </c>
      <c r="N2176" t="s">
        <v>142</v>
      </c>
      <c r="O2176" t="s">
        <v>327</v>
      </c>
      <c r="P2176" t="s">
        <v>281</v>
      </c>
      <c r="Q2176" t="s">
        <v>328</v>
      </c>
      <c r="R2176" t="s">
        <v>360</v>
      </c>
      <c r="S2176" t="s">
        <v>392</v>
      </c>
      <c r="T2176">
        <v>1</v>
      </c>
      <c r="U2176" t="s">
        <v>449</v>
      </c>
      <c r="V2176" t="s">
        <v>343</v>
      </c>
      <c r="W2176" t="s">
        <v>453</v>
      </c>
      <c r="X2176" t="s">
        <v>331</v>
      </c>
      <c r="Y2176" t="s">
        <v>307</v>
      </c>
      <c r="Z2176">
        <v>70</v>
      </c>
      <c r="AA2176">
        <v>80</v>
      </c>
      <c r="AB2176" t="s">
        <v>143</v>
      </c>
      <c r="AC2176" t="s">
        <v>336</v>
      </c>
      <c r="AD2176" t="s">
        <v>401</v>
      </c>
      <c r="AE2176" t="str">
        <f>IF(AF2176="","",VLOOKUP(AC2176,mapel!$A$2:$B$42,2,FALSE))</f>
        <v>Pancasila</v>
      </c>
      <c r="AF2176">
        <f t="shared" si="99"/>
        <v>80</v>
      </c>
      <c r="AG2176" t="str">
        <f>IF(AF2176="","",IF(AF2176&gt;90,"Sangat baik",IF(AF2176&gt;79,"Baik",IF(AF2176&gt;=pub_gid_0_single_true_output_csv[[#This Row],[KKM]],"Cukup","Kurang"))))</f>
        <v>Baik</v>
      </c>
      <c r="AH2176">
        <f t="shared" si="100"/>
        <v>12</v>
      </c>
      <c r="AI2176" s="30" t="str">
        <f>IF(OR(J2176&lt;&gt;"Karakter",pub_gid_0_single_true_output_csv[[#This Row],[Nilai2]]=""),"",IF(AF2176&gt;89,"Sangat baik",IF(AF2176&gt;79,"Baik",IF(AF2176&gt;69,"Cukup",IF(AF2176&gt;59,"Kurang","Sangat kurang")))))</f>
        <v/>
      </c>
      <c r="AJ2176" t="str">
        <f t="shared" si="101"/>
        <v>Wk.6</v>
      </c>
      <c r="AK2176" t="str">
        <f>IF(pub_gid_0_single_true_output_csv[[#This Row],[Nilai2]]="","",VLOOKUP(pub_gid_0_single_true_output_csv[[#This Row],[NAMA]],Table7[],3,FALSE))</f>
        <v>Superior</v>
      </c>
    </row>
    <row r="2177" spans="1:37" x14ac:dyDescent="0.2">
      <c r="A2177">
        <v>2176</v>
      </c>
      <c r="B2177" t="s">
        <v>332</v>
      </c>
      <c r="C2177" t="s">
        <v>65</v>
      </c>
      <c r="D2177" t="s">
        <v>59</v>
      </c>
      <c r="E2177" t="s">
        <v>333</v>
      </c>
      <c r="F2177" s="25">
        <v>46059</v>
      </c>
      <c r="G2177" t="s">
        <v>349</v>
      </c>
      <c r="H2177" t="s">
        <v>412</v>
      </c>
      <c r="I2177" t="s">
        <v>371</v>
      </c>
      <c r="J2177" t="s">
        <v>41</v>
      </c>
      <c r="K2177" t="s">
        <v>357</v>
      </c>
      <c r="L2177" t="s">
        <v>351</v>
      </c>
      <c r="M2177" t="s">
        <v>141</v>
      </c>
      <c r="N2177" t="s">
        <v>142</v>
      </c>
      <c r="O2177" t="s">
        <v>327</v>
      </c>
      <c r="P2177" t="s">
        <v>281</v>
      </c>
      <c r="Q2177" t="s">
        <v>328</v>
      </c>
      <c r="R2177" t="s">
        <v>360</v>
      </c>
      <c r="S2177" t="s">
        <v>454</v>
      </c>
      <c r="T2177">
        <v>1</v>
      </c>
      <c r="U2177" t="s">
        <v>449</v>
      </c>
      <c r="V2177" t="s">
        <v>344</v>
      </c>
      <c r="W2177" t="s">
        <v>455</v>
      </c>
      <c r="X2177" t="s">
        <v>331</v>
      </c>
      <c r="Y2177" t="s">
        <v>307</v>
      </c>
      <c r="Z2177">
        <v>70</v>
      </c>
      <c r="AA2177">
        <v>78</v>
      </c>
      <c r="AB2177" t="s">
        <v>143</v>
      </c>
      <c r="AC2177" t="s">
        <v>336</v>
      </c>
      <c r="AD2177" t="s">
        <v>401</v>
      </c>
      <c r="AE2177" t="str">
        <f>IF(AF2177="","",VLOOKUP(AC2177,mapel!$A$2:$B$42,2,FALSE))</f>
        <v>Pancasila</v>
      </c>
      <c r="AF2177">
        <f t="shared" si="99"/>
        <v>78</v>
      </c>
      <c r="AG2177" t="str">
        <f>IF(AF2177="","",IF(AF2177&gt;90,"Sangat baik",IF(AF2177&gt;79,"Baik",IF(AF2177&gt;=pub_gid_0_single_true_output_csv[[#This Row],[KKM]],"Cukup","Kurang"))))</f>
        <v>Cukup</v>
      </c>
      <c r="AH2177">
        <f t="shared" si="100"/>
        <v>12</v>
      </c>
      <c r="AI2177" s="30" t="str">
        <f>IF(OR(J2177&lt;&gt;"Karakter",pub_gid_0_single_true_output_csv[[#This Row],[Nilai2]]=""),"",IF(AF2177&gt;89,"Sangat baik",IF(AF2177&gt;79,"Baik",IF(AF2177&gt;69,"Cukup",IF(AF2177&gt;59,"Kurang","Sangat kurang")))))</f>
        <v/>
      </c>
      <c r="AJ2177" t="str">
        <f t="shared" si="101"/>
        <v>Wk.6</v>
      </c>
      <c r="AK2177" t="str">
        <f>IF(pub_gid_0_single_true_output_csv[[#This Row],[Nilai2]]="","",VLOOKUP(pub_gid_0_single_true_output_csv[[#This Row],[NAMA]],Table7[],3,FALSE))</f>
        <v>Superior</v>
      </c>
    </row>
    <row r="2178" spans="1:37" x14ac:dyDescent="0.2">
      <c r="A2178">
        <v>2177</v>
      </c>
      <c r="B2178" t="s">
        <v>332</v>
      </c>
      <c r="C2178" t="s">
        <v>65</v>
      </c>
      <c r="D2178" t="s">
        <v>59</v>
      </c>
      <c r="E2178" t="s">
        <v>333</v>
      </c>
      <c r="F2178" s="25">
        <v>46059</v>
      </c>
      <c r="G2178" t="s">
        <v>349</v>
      </c>
      <c r="H2178" t="s">
        <v>412</v>
      </c>
      <c r="I2178" t="s">
        <v>371</v>
      </c>
      <c r="J2178" t="s">
        <v>36</v>
      </c>
      <c r="K2178" t="s">
        <v>37</v>
      </c>
      <c r="L2178" t="s">
        <v>351</v>
      </c>
      <c r="M2178" t="s">
        <v>141</v>
      </c>
      <c r="N2178" t="s">
        <v>142</v>
      </c>
      <c r="O2178" t="s">
        <v>327</v>
      </c>
      <c r="P2178" t="s">
        <v>281</v>
      </c>
      <c r="Q2178" t="s">
        <v>328</v>
      </c>
      <c r="R2178" t="s">
        <v>360</v>
      </c>
      <c r="S2178" t="s">
        <v>392</v>
      </c>
      <c r="T2178">
        <v>1</v>
      </c>
      <c r="U2178" t="s">
        <v>449</v>
      </c>
      <c r="V2178" t="s">
        <v>343</v>
      </c>
      <c r="W2178" t="s">
        <v>453</v>
      </c>
      <c r="X2178" t="s">
        <v>331</v>
      </c>
      <c r="Y2178" t="s">
        <v>307</v>
      </c>
      <c r="Z2178">
        <v>70</v>
      </c>
      <c r="AA2178">
        <v>80</v>
      </c>
      <c r="AB2178" t="s">
        <v>143</v>
      </c>
      <c r="AC2178" t="s">
        <v>336</v>
      </c>
      <c r="AD2178" t="s">
        <v>401</v>
      </c>
      <c r="AE2178" t="str">
        <f>IF(AF2178="","",VLOOKUP(AC2178,mapel!$A$2:$B$42,2,FALSE))</f>
        <v>Pancasila</v>
      </c>
      <c r="AF2178">
        <f t="shared" ref="AF2178:AF2241" si="102">IF(AA2178=0, "",IF(AA2178 = 0.1, 0,AA2178))</f>
        <v>80</v>
      </c>
      <c r="AG2178" t="str">
        <f>IF(AF2178="","",IF(AF2178&gt;90,"Sangat baik",IF(AF2178&gt;79,"Baik",IF(AF2178&gt;=pub_gid_0_single_true_output_csv[[#This Row],[KKM]],"Cukup","Kurang"))))</f>
        <v>Baik</v>
      </c>
      <c r="AH2178">
        <f t="shared" ref="AH2178:AH2241" si="103">IF(AG2178="","",VALUE(RIGHT(X2178,2)))</f>
        <v>12</v>
      </c>
      <c r="AI2178" s="30" t="str">
        <f>IF(OR(J2178&lt;&gt;"Karakter",pub_gid_0_single_true_output_csv[[#This Row],[Nilai2]]=""),"",IF(AF2178&gt;89,"Sangat baik",IF(AF2178&gt;79,"Baik",IF(AF2178&gt;69,"Cukup",IF(AF2178&gt;59,"Kurang","Sangat kurang")))))</f>
        <v/>
      </c>
      <c r="AJ2178" t="str">
        <f t="shared" ref="AJ2178:AJ2241" si="104">IF(AF2178="","",CONCATENATE("Wk.",WEEKNUM(F2178,2)))</f>
        <v>Wk.6</v>
      </c>
      <c r="AK2178" t="str">
        <f>IF(pub_gid_0_single_true_output_csv[[#This Row],[Nilai2]]="","",VLOOKUP(pub_gid_0_single_true_output_csv[[#This Row],[NAMA]],Table7[],3,FALSE))</f>
        <v>Superior</v>
      </c>
    </row>
    <row r="2179" spans="1:37" x14ac:dyDescent="0.2">
      <c r="A2179">
        <v>2178</v>
      </c>
      <c r="B2179" t="s">
        <v>315</v>
      </c>
      <c r="C2179" t="s">
        <v>65</v>
      </c>
      <c r="D2179" t="s">
        <v>60</v>
      </c>
      <c r="E2179" t="s">
        <v>140</v>
      </c>
      <c r="F2179" s="25">
        <v>46034</v>
      </c>
      <c r="G2179" t="s">
        <v>354</v>
      </c>
      <c r="H2179" t="s">
        <v>405</v>
      </c>
      <c r="I2179" t="s">
        <v>371</v>
      </c>
      <c r="J2179" t="s">
        <v>90</v>
      </c>
      <c r="K2179" t="s">
        <v>92</v>
      </c>
      <c r="L2179" t="s">
        <v>91</v>
      </c>
      <c r="M2179" t="s">
        <v>141</v>
      </c>
      <c r="N2179" t="s">
        <v>142</v>
      </c>
      <c r="O2179" t="s">
        <v>327</v>
      </c>
      <c r="P2179" t="s">
        <v>281</v>
      </c>
      <c r="Q2179" t="s">
        <v>328</v>
      </c>
      <c r="R2179" t="s">
        <v>360</v>
      </c>
      <c r="S2179" t="s">
        <v>330</v>
      </c>
      <c r="T2179">
        <v>1</v>
      </c>
      <c r="U2179" t="s">
        <v>449</v>
      </c>
      <c r="V2179" t="s">
        <v>285</v>
      </c>
      <c r="W2179" t="s">
        <v>450</v>
      </c>
      <c r="X2179" t="s">
        <v>331</v>
      </c>
      <c r="Y2179" t="s">
        <v>307</v>
      </c>
      <c r="Z2179">
        <v>70</v>
      </c>
      <c r="AA2179">
        <v>74</v>
      </c>
      <c r="AB2179" t="s">
        <v>143</v>
      </c>
      <c r="AC2179" t="s">
        <v>336</v>
      </c>
      <c r="AD2179" t="s">
        <v>401</v>
      </c>
      <c r="AE2179" t="str">
        <f>IF(AF2179="","",VLOOKUP(AC2179,mapel!$A$2:$B$42,2,FALSE))</f>
        <v>Pancasila</v>
      </c>
      <c r="AF2179">
        <f t="shared" si="102"/>
        <v>74</v>
      </c>
      <c r="AG2179" t="str">
        <f>IF(AF2179="","",IF(AF2179&gt;90,"Sangat baik",IF(AF2179&gt;79,"Baik",IF(AF2179&gt;=pub_gid_0_single_true_output_csv[[#This Row],[KKM]],"Cukup","Kurang"))))</f>
        <v>Cukup</v>
      </c>
      <c r="AH2179">
        <f t="shared" si="103"/>
        <v>12</v>
      </c>
      <c r="AI2179" s="30" t="str">
        <f>IF(OR(J2179&lt;&gt;"Karakter",pub_gid_0_single_true_output_csv[[#This Row],[Nilai2]]=""),"",IF(AF2179&gt;89,"Sangat baik",IF(AF2179&gt;79,"Baik",IF(AF2179&gt;69,"Cukup",IF(AF2179&gt;59,"Kurang","Sangat kurang")))))</f>
        <v>Cukup</v>
      </c>
      <c r="AJ2179" t="str">
        <f t="shared" si="104"/>
        <v>Wk.3</v>
      </c>
      <c r="AK2179" t="str">
        <f>IF(pub_gid_0_single_true_output_csv[[#This Row],[Nilai2]]="","",VLOOKUP(pub_gid_0_single_true_output_csv[[#This Row],[NAMA]],Table7[],3,FALSE))</f>
        <v>High average</v>
      </c>
    </row>
    <row r="2180" spans="1:37" x14ac:dyDescent="0.2">
      <c r="A2180">
        <v>2179</v>
      </c>
      <c r="B2180" t="s">
        <v>315</v>
      </c>
      <c r="C2180" t="s">
        <v>65</v>
      </c>
      <c r="D2180" t="s">
        <v>60</v>
      </c>
      <c r="E2180" t="s">
        <v>140</v>
      </c>
      <c r="F2180" s="25">
        <v>46034</v>
      </c>
      <c r="G2180" t="s">
        <v>354</v>
      </c>
      <c r="H2180" t="s">
        <v>405</v>
      </c>
      <c r="I2180" t="s">
        <v>371</v>
      </c>
      <c r="J2180" t="s">
        <v>279</v>
      </c>
      <c r="K2180" t="s">
        <v>280</v>
      </c>
      <c r="L2180" t="s">
        <v>322</v>
      </c>
      <c r="M2180" t="s">
        <v>141</v>
      </c>
      <c r="N2180" t="s">
        <v>142</v>
      </c>
      <c r="O2180" t="s">
        <v>327</v>
      </c>
      <c r="P2180" t="s">
        <v>281</v>
      </c>
      <c r="Q2180" t="s">
        <v>328</v>
      </c>
      <c r="R2180" t="s">
        <v>360</v>
      </c>
      <c r="S2180" t="s">
        <v>330</v>
      </c>
      <c r="T2180">
        <v>1</v>
      </c>
      <c r="U2180" t="s">
        <v>449</v>
      </c>
      <c r="V2180" t="s">
        <v>285</v>
      </c>
      <c r="W2180" t="s">
        <v>450</v>
      </c>
      <c r="X2180" t="s">
        <v>331</v>
      </c>
      <c r="Y2180" t="s">
        <v>307</v>
      </c>
      <c r="Z2180">
        <v>70</v>
      </c>
      <c r="AA2180">
        <v>78</v>
      </c>
      <c r="AB2180" t="s">
        <v>143</v>
      </c>
      <c r="AC2180" t="s">
        <v>336</v>
      </c>
      <c r="AD2180" t="s">
        <v>401</v>
      </c>
      <c r="AE2180" t="str">
        <f>IF(AF2180="","",VLOOKUP(AC2180,mapel!$A$2:$B$42,2,FALSE))</f>
        <v>Pancasila</v>
      </c>
      <c r="AF2180">
        <f t="shared" si="102"/>
        <v>78</v>
      </c>
      <c r="AG2180" t="str">
        <f>IF(AF2180="","",IF(AF2180&gt;90,"Sangat baik",IF(AF2180&gt;79,"Baik",IF(AF2180&gt;=pub_gid_0_single_true_output_csv[[#This Row],[KKM]],"Cukup","Kurang"))))</f>
        <v>Cukup</v>
      </c>
      <c r="AH2180">
        <f t="shared" si="103"/>
        <v>12</v>
      </c>
      <c r="AI2180" s="30" t="str">
        <f>IF(OR(J2180&lt;&gt;"Karakter",pub_gid_0_single_true_output_csv[[#This Row],[Nilai2]]=""),"",IF(AF2180&gt;89,"Sangat baik",IF(AF2180&gt;79,"Baik",IF(AF2180&gt;69,"Cukup",IF(AF2180&gt;59,"Kurang","Sangat kurang")))))</f>
        <v/>
      </c>
      <c r="AJ2180" t="str">
        <f t="shared" si="104"/>
        <v>Wk.3</v>
      </c>
      <c r="AK2180" t="str">
        <f>IF(pub_gid_0_single_true_output_csv[[#This Row],[Nilai2]]="","",VLOOKUP(pub_gid_0_single_true_output_csv[[#This Row],[NAMA]],Table7[],3,FALSE))</f>
        <v>High average</v>
      </c>
    </row>
    <row r="2181" spans="1:37" x14ac:dyDescent="0.2">
      <c r="A2181">
        <v>2180</v>
      </c>
      <c r="B2181" t="s">
        <v>315</v>
      </c>
      <c r="C2181" t="s">
        <v>65</v>
      </c>
      <c r="D2181" t="s">
        <v>60</v>
      </c>
      <c r="E2181" t="s">
        <v>140</v>
      </c>
      <c r="F2181" s="25">
        <v>46034</v>
      </c>
      <c r="G2181" t="s">
        <v>354</v>
      </c>
      <c r="H2181" t="s">
        <v>405</v>
      </c>
      <c r="I2181" t="s">
        <v>371</v>
      </c>
      <c r="J2181" t="s">
        <v>31</v>
      </c>
      <c r="K2181" t="s">
        <v>96</v>
      </c>
      <c r="L2181" t="s">
        <v>351</v>
      </c>
      <c r="M2181" t="s">
        <v>141</v>
      </c>
      <c r="N2181" t="s">
        <v>142</v>
      </c>
      <c r="O2181" t="s">
        <v>327</v>
      </c>
      <c r="P2181" t="s">
        <v>281</v>
      </c>
      <c r="Q2181" t="s">
        <v>328</v>
      </c>
      <c r="R2181" t="s">
        <v>360</v>
      </c>
      <c r="S2181" t="s">
        <v>330</v>
      </c>
      <c r="T2181">
        <v>1</v>
      </c>
      <c r="U2181" t="s">
        <v>449</v>
      </c>
      <c r="V2181" t="s">
        <v>285</v>
      </c>
      <c r="W2181" t="s">
        <v>450</v>
      </c>
      <c r="X2181" t="s">
        <v>331</v>
      </c>
      <c r="Y2181" t="s">
        <v>307</v>
      </c>
      <c r="Z2181">
        <v>70</v>
      </c>
      <c r="AA2181">
        <v>70</v>
      </c>
      <c r="AB2181" t="s">
        <v>143</v>
      </c>
      <c r="AC2181" t="s">
        <v>336</v>
      </c>
      <c r="AD2181" t="s">
        <v>401</v>
      </c>
      <c r="AE2181" t="str">
        <f>IF(AF2181="","",VLOOKUP(AC2181,mapel!$A$2:$B$42,2,FALSE))</f>
        <v>Pancasila</v>
      </c>
      <c r="AF2181">
        <f t="shared" si="102"/>
        <v>70</v>
      </c>
      <c r="AG2181" t="str">
        <f>IF(AF2181="","",IF(AF2181&gt;90,"Sangat baik",IF(AF2181&gt;79,"Baik",IF(AF2181&gt;=pub_gid_0_single_true_output_csv[[#This Row],[KKM]],"Cukup","Kurang"))))</f>
        <v>Cukup</v>
      </c>
      <c r="AH2181">
        <f t="shared" si="103"/>
        <v>12</v>
      </c>
      <c r="AI2181" s="30" t="str">
        <f>IF(OR(J2181&lt;&gt;"Karakter",pub_gid_0_single_true_output_csv[[#This Row],[Nilai2]]=""),"",IF(AF2181&gt;89,"Sangat baik",IF(AF2181&gt;79,"Baik",IF(AF2181&gt;69,"Cukup",IF(AF2181&gt;59,"Kurang","Sangat kurang")))))</f>
        <v/>
      </c>
      <c r="AJ2181" t="str">
        <f t="shared" si="104"/>
        <v>Wk.3</v>
      </c>
      <c r="AK2181" t="str">
        <f>IF(pub_gid_0_single_true_output_csv[[#This Row],[Nilai2]]="","",VLOOKUP(pub_gid_0_single_true_output_csv[[#This Row],[NAMA]],Table7[],3,FALSE))</f>
        <v>High average</v>
      </c>
    </row>
    <row r="2182" spans="1:37" x14ac:dyDescent="0.2">
      <c r="A2182">
        <v>2181</v>
      </c>
      <c r="B2182" t="s">
        <v>315</v>
      </c>
      <c r="C2182" t="s">
        <v>65</v>
      </c>
      <c r="D2182" t="s">
        <v>60</v>
      </c>
      <c r="E2182" t="s">
        <v>140</v>
      </c>
      <c r="F2182" s="25">
        <v>46034</v>
      </c>
      <c r="G2182" t="s">
        <v>354</v>
      </c>
      <c r="H2182" t="s">
        <v>405</v>
      </c>
      <c r="I2182" t="s">
        <v>371</v>
      </c>
      <c r="J2182" t="s">
        <v>36</v>
      </c>
      <c r="K2182" t="s">
        <v>37</v>
      </c>
      <c r="L2182" t="s">
        <v>351</v>
      </c>
      <c r="M2182" t="s">
        <v>141</v>
      </c>
      <c r="N2182" t="s">
        <v>142</v>
      </c>
      <c r="O2182" t="s">
        <v>327</v>
      </c>
      <c r="P2182" t="s">
        <v>281</v>
      </c>
      <c r="Q2182" t="s">
        <v>328</v>
      </c>
      <c r="R2182" t="s">
        <v>360</v>
      </c>
      <c r="S2182" t="s">
        <v>330</v>
      </c>
      <c r="T2182">
        <v>1</v>
      </c>
      <c r="U2182" t="s">
        <v>449</v>
      </c>
      <c r="V2182" t="s">
        <v>285</v>
      </c>
      <c r="W2182" t="s">
        <v>450</v>
      </c>
      <c r="X2182" t="s">
        <v>331</v>
      </c>
      <c r="Y2182" t="s">
        <v>307</v>
      </c>
      <c r="Z2182">
        <v>70</v>
      </c>
      <c r="AA2182">
        <v>68</v>
      </c>
      <c r="AB2182" t="s">
        <v>151</v>
      </c>
      <c r="AC2182" t="s">
        <v>336</v>
      </c>
      <c r="AD2182" t="s">
        <v>401</v>
      </c>
      <c r="AE2182" t="str">
        <f>IF(AF2182="","",VLOOKUP(AC2182,mapel!$A$2:$B$42,2,FALSE))</f>
        <v>Pancasila</v>
      </c>
      <c r="AF2182">
        <f t="shared" si="102"/>
        <v>68</v>
      </c>
      <c r="AG2182" t="str">
        <f>IF(AF2182="","",IF(AF2182&gt;90,"Sangat baik",IF(AF2182&gt;79,"Baik",IF(AF2182&gt;=pub_gid_0_single_true_output_csv[[#This Row],[KKM]],"Cukup","Kurang"))))</f>
        <v>Kurang</v>
      </c>
      <c r="AH2182">
        <f t="shared" si="103"/>
        <v>12</v>
      </c>
      <c r="AI2182" s="30" t="str">
        <f>IF(OR(J2182&lt;&gt;"Karakter",pub_gid_0_single_true_output_csv[[#This Row],[Nilai2]]=""),"",IF(AF2182&gt;89,"Sangat baik",IF(AF2182&gt;79,"Baik",IF(AF2182&gt;69,"Cukup",IF(AF2182&gt;59,"Kurang","Sangat kurang")))))</f>
        <v/>
      </c>
      <c r="AJ2182" t="str">
        <f t="shared" si="104"/>
        <v>Wk.3</v>
      </c>
      <c r="AK2182" t="str">
        <f>IF(pub_gid_0_single_true_output_csv[[#This Row],[Nilai2]]="","",VLOOKUP(pub_gid_0_single_true_output_csv[[#This Row],[NAMA]],Table7[],3,FALSE))</f>
        <v>High average</v>
      </c>
    </row>
    <row r="2183" spans="1:37" x14ac:dyDescent="0.2">
      <c r="A2183">
        <v>2182</v>
      </c>
      <c r="B2183" t="s">
        <v>315</v>
      </c>
      <c r="C2183" t="s">
        <v>65</v>
      </c>
      <c r="D2183" t="s">
        <v>60</v>
      </c>
      <c r="E2183" t="s">
        <v>140</v>
      </c>
      <c r="F2183" s="25">
        <v>46038</v>
      </c>
      <c r="G2183" t="s">
        <v>382</v>
      </c>
      <c r="H2183" t="s">
        <v>405</v>
      </c>
      <c r="I2183" t="s">
        <v>371</v>
      </c>
      <c r="J2183" t="s">
        <v>36</v>
      </c>
      <c r="K2183" t="s">
        <v>37</v>
      </c>
      <c r="L2183" t="s">
        <v>351</v>
      </c>
      <c r="M2183" t="s">
        <v>397</v>
      </c>
      <c r="N2183" t="s">
        <v>142</v>
      </c>
      <c r="O2183" t="s">
        <v>327</v>
      </c>
      <c r="P2183" t="s">
        <v>281</v>
      </c>
      <c r="Q2183" t="s">
        <v>328</v>
      </c>
      <c r="R2183" t="s">
        <v>360</v>
      </c>
      <c r="S2183" t="s">
        <v>330</v>
      </c>
      <c r="T2183">
        <v>1</v>
      </c>
      <c r="U2183" t="s">
        <v>449</v>
      </c>
      <c r="V2183" t="s">
        <v>285</v>
      </c>
      <c r="W2183" t="s">
        <v>450</v>
      </c>
      <c r="X2183" t="s">
        <v>331</v>
      </c>
      <c r="Y2183" t="s">
        <v>307</v>
      </c>
      <c r="Z2183">
        <v>70</v>
      </c>
      <c r="AA2183">
        <v>75</v>
      </c>
      <c r="AB2183" t="s">
        <v>143</v>
      </c>
      <c r="AC2183" t="s">
        <v>336</v>
      </c>
      <c r="AD2183" t="s">
        <v>401</v>
      </c>
      <c r="AE2183" t="str">
        <f>IF(AF2183="","",VLOOKUP(AC2183,mapel!$A$2:$B$42,2,FALSE))</f>
        <v>Pancasila</v>
      </c>
      <c r="AF2183">
        <f t="shared" si="102"/>
        <v>75</v>
      </c>
      <c r="AG2183" t="str">
        <f>IF(AF2183="","",IF(AF2183&gt;90,"Sangat baik",IF(AF2183&gt;79,"Baik",IF(AF2183&gt;=pub_gid_0_single_true_output_csv[[#This Row],[KKM]],"Cukup","Kurang"))))</f>
        <v>Cukup</v>
      </c>
      <c r="AH2183">
        <f t="shared" si="103"/>
        <v>12</v>
      </c>
      <c r="AI2183" s="30" t="str">
        <f>IF(OR(J2183&lt;&gt;"Karakter",pub_gid_0_single_true_output_csv[[#This Row],[Nilai2]]=""),"",IF(AF2183&gt;89,"Sangat baik",IF(AF2183&gt;79,"Baik",IF(AF2183&gt;69,"Cukup",IF(AF2183&gt;59,"Kurang","Sangat kurang")))))</f>
        <v/>
      </c>
      <c r="AJ2183" t="str">
        <f t="shared" si="104"/>
        <v>Wk.3</v>
      </c>
      <c r="AK2183" t="str">
        <f>IF(pub_gid_0_single_true_output_csv[[#This Row],[Nilai2]]="","",VLOOKUP(pub_gid_0_single_true_output_csv[[#This Row],[NAMA]],Table7[],3,FALSE))</f>
        <v>High average</v>
      </c>
    </row>
    <row r="2184" spans="1:37" x14ac:dyDescent="0.2">
      <c r="A2184">
        <v>2183</v>
      </c>
      <c r="B2184" t="s">
        <v>315</v>
      </c>
      <c r="C2184" t="s">
        <v>65</v>
      </c>
      <c r="D2184" t="s">
        <v>60</v>
      </c>
      <c r="E2184" t="s">
        <v>140</v>
      </c>
      <c r="F2184" s="25">
        <v>46041</v>
      </c>
      <c r="G2184" t="s">
        <v>370</v>
      </c>
      <c r="H2184" t="s">
        <v>405</v>
      </c>
      <c r="I2184" t="s">
        <v>371</v>
      </c>
      <c r="J2184" t="s">
        <v>36</v>
      </c>
      <c r="K2184" t="s">
        <v>37</v>
      </c>
      <c r="L2184" t="s">
        <v>351</v>
      </c>
      <c r="M2184" t="s">
        <v>141</v>
      </c>
      <c r="N2184" t="s">
        <v>142</v>
      </c>
      <c r="O2184" t="s">
        <v>327</v>
      </c>
      <c r="P2184" t="s">
        <v>281</v>
      </c>
      <c r="Q2184" t="s">
        <v>328</v>
      </c>
      <c r="R2184" t="s">
        <v>360</v>
      </c>
      <c r="S2184" t="s">
        <v>387</v>
      </c>
      <c r="T2184">
        <v>2</v>
      </c>
      <c r="U2184" t="s">
        <v>451</v>
      </c>
      <c r="V2184" t="s">
        <v>303</v>
      </c>
      <c r="W2184" t="s">
        <v>452</v>
      </c>
      <c r="X2184" t="s">
        <v>331</v>
      </c>
      <c r="Y2184" t="s">
        <v>307</v>
      </c>
      <c r="Z2184">
        <v>70</v>
      </c>
      <c r="AA2184">
        <v>80</v>
      </c>
      <c r="AB2184" t="s">
        <v>143</v>
      </c>
      <c r="AC2184" t="s">
        <v>336</v>
      </c>
      <c r="AD2184" t="s">
        <v>401</v>
      </c>
      <c r="AE2184" t="str">
        <f>IF(AF2184="","",VLOOKUP(AC2184,mapel!$A$2:$B$42,2,FALSE))</f>
        <v>Pancasila</v>
      </c>
      <c r="AF2184">
        <f t="shared" si="102"/>
        <v>80</v>
      </c>
      <c r="AG2184" t="str">
        <f>IF(AF2184="","",IF(AF2184&gt;90,"Sangat baik",IF(AF2184&gt;79,"Baik",IF(AF2184&gt;=pub_gid_0_single_true_output_csv[[#This Row],[KKM]],"Cukup","Kurang"))))</f>
        <v>Baik</v>
      </c>
      <c r="AH2184">
        <f t="shared" si="103"/>
        <v>12</v>
      </c>
      <c r="AI2184" s="30" t="str">
        <f>IF(OR(J2184&lt;&gt;"Karakter",pub_gid_0_single_true_output_csv[[#This Row],[Nilai2]]=""),"",IF(AF2184&gt;89,"Sangat baik",IF(AF2184&gt;79,"Baik",IF(AF2184&gt;69,"Cukup",IF(AF2184&gt;59,"Kurang","Sangat kurang")))))</f>
        <v/>
      </c>
      <c r="AJ2184" t="str">
        <f t="shared" si="104"/>
        <v>Wk.4</v>
      </c>
      <c r="AK2184" t="str">
        <f>IF(pub_gid_0_single_true_output_csv[[#This Row],[Nilai2]]="","",VLOOKUP(pub_gid_0_single_true_output_csv[[#This Row],[NAMA]],Table7[],3,FALSE))</f>
        <v>High average</v>
      </c>
    </row>
    <row r="2185" spans="1:37" x14ac:dyDescent="0.2">
      <c r="A2185">
        <v>2184</v>
      </c>
      <c r="B2185" t="s">
        <v>315</v>
      </c>
      <c r="C2185" t="s">
        <v>65</v>
      </c>
      <c r="D2185" t="s">
        <v>60</v>
      </c>
      <c r="E2185" t="s">
        <v>140</v>
      </c>
      <c r="F2185" s="25">
        <v>46041</v>
      </c>
      <c r="G2185" t="s">
        <v>370</v>
      </c>
      <c r="H2185" t="s">
        <v>405</v>
      </c>
      <c r="I2185" t="s">
        <v>371</v>
      </c>
      <c r="J2185" t="s">
        <v>31</v>
      </c>
      <c r="K2185" t="s">
        <v>96</v>
      </c>
      <c r="L2185" t="s">
        <v>351</v>
      </c>
      <c r="M2185" t="s">
        <v>141</v>
      </c>
      <c r="N2185" t="s">
        <v>142</v>
      </c>
      <c r="O2185" t="s">
        <v>327</v>
      </c>
      <c r="P2185" t="s">
        <v>281</v>
      </c>
      <c r="Q2185" t="s">
        <v>328</v>
      </c>
      <c r="R2185" t="s">
        <v>360</v>
      </c>
      <c r="S2185" t="s">
        <v>387</v>
      </c>
      <c r="T2185">
        <v>2</v>
      </c>
      <c r="U2185" t="s">
        <v>451</v>
      </c>
      <c r="V2185" t="s">
        <v>303</v>
      </c>
      <c r="W2185" t="s">
        <v>452</v>
      </c>
      <c r="X2185" t="s">
        <v>331</v>
      </c>
      <c r="Y2185" t="s">
        <v>307</v>
      </c>
      <c r="Z2185">
        <v>70</v>
      </c>
      <c r="AA2185">
        <v>80</v>
      </c>
      <c r="AB2185" t="s">
        <v>143</v>
      </c>
      <c r="AC2185" t="s">
        <v>336</v>
      </c>
      <c r="AD2185" t="s">
        <v>401</v>
      </c>
      <c r="AE2185" t="str">
        <f>IF(AF2185="","",VLOOKUP(AC2185,mapel!$A$2:$B$42,2,FALSE))</f>
        <v>Pancasila</v>
      </c>
      <c r="AF2185">
        <f t="shared" si="102"/>
        <v>80</v>
      </c>
      <c r="AG2185" t="str">
        <f>IF(AF2185="","",IF(AF2185&gt;90,"Sangat baik",IF(AF2185&gt;79,"Baik",IF(AF2185&gt;=pub_gid_0_single_true_output_csv[[#This Row],[KKM]],"Cukup","Kurang"))))</f>
        <v>Baik</v>
      </c>
      <c r="AH2185">
        <f t="shared" si="103"/>
        <v>12</v>
      </c>
      <c r="AI2185" s="30" t="str">
        <f>IF(OR(J2185&lt;&gt;"Karakter",pub_gid_0_single_true_output_csv[[#This Row],[Nilai2]]=""),"",IF(AF2185&gt;89,"Sangat baik",IF(AF2185&gt;79,"Baik",IF(AF2185&gt;69,"Cukup",IF(AF2185&gt;59,"Kurang","Sangat kurang")))))</f>
        <v/>
      </c>
      <c r="AJ2185" t="str">
        <f t="shared" si="104"/>
        <v>Wk.4</v>
      </c>
      <c r="AK2185" t="str">
        <f>IF(pub_gid_0_single_true_output_csv[[#This Row],[Nilai2]]="","",VLOOKUP(pub_gid_0_single_true_output_csv[[#This Row],[NAMA]],Table7[],3,FALSE))</f>
        <v>High average</v>
      </c>
    </row>
    <row r="2186" spans="1:37" x14ac:dyDescent="0.2">
      <c r="A2186">
        <v>2185</v>
      </c>
      <c r="B2186" t="s">
        <v>315</v>
      </c>
      <c r="C2186" t="s">
        <v>65</v>
      </c>
      <c r="D2186" t="s">
        <v>60</v>
      </c>
      <c r="E2186" t="s">
        <v>140</v>
      </c>
      <c r="F2186" s="25">
        <v>46041</v>
      </c>
      <c r="G2186" t="s">
        <v>370</v>
      </c>
      <c r="H2186" t="s">
        <v>405</v>
      </c>
      <c r="I2186" t="s">
        <v>371</v>
      </c>
      <c r="J2186" t="s">
        <v>90</v>
      </c>
      <c r="K2186" t="s">
        <v>92</v>
      </c>
      <c r="L2186" t="s">
        <v>398</v>
      </c>
      <c r="M2186" t="s">
        <v>141</v>
      </c>
      <c r="N2186" t="s">
        <v>142</v>
      </c>
      <c r="O2186" t="s">
        <v>327</v>
      </c>
      <c r="P2186" t="s">
        <v>281</v>
      </c>
      <c r="Q2186" t="s">
        <v>328</v>
      </c>
      <c r="R2186" t="s">
        <v>360</v>
      </c>
      <c r="S2186" t="s">
        <v>387</v>
      </c>
      <c r="T2186">
        <v>2</v>
      </c>
      <c r="U2186" t="s">
        <v>451</v>
      </c>
      <c r="V2186" t="s">
        <v>303</v>
      </c>
      <c r="W2186" t="s">
        <v>452</v>
      </c>
      <c r="X2186" t="s">
        <v>331</v>
      </c>
      <c r="Y2186" t="s">
        <v>307</v>
      </c>
      <c r="Z2186">
        <v>70</v>
      </c>
      <c r="AA2186">
        <v>74</v>
      </c>
      <c r="AB2186" t="s">
        <v>143</v>
      </c>
      <c r="AC2186" t="s">
        <v>336</v>
      </c>
      <c r="AD2186" t="s">
        <v>401</v>
      </c>
      <c r="AE2186" t="str">
        <f>IF(AF2186="","",VLOOKUP(AC2186,mapel!$A$2:$B$42,2,FALSE))</f>
        <v>Pancasila</v>
      </c>
      <c r="AF2186">
        <f t="shared" si="102"/>
        <v>74</v>
      </c>
      <c r="AG2186" t="str">
        <f>IF(AF2186="","",IF(AF2186&gt;90,"Sangat baik",IF(AF2186&gt;79,"Baik",IF(AF2186&gt;=pub_gid_0_single_true_output_csv[[#This Row],[KKM]],"Cukup","Kurang"))))</f>
        <v>Cukup</v>
      </c>
      <c r="AH2186">
        <f t="shared" si="103"/>
        <v>12</v>
      </c>
      <c r="AI2186" s="30" t="str">
        <f>IF(OR(J2186&lt;&gt;"Karakter",pub_gid_0_single_true_output_csv[[#This Row],[Nilai2]]=""),"",IF(AF2186&gt;89,"Sangat baik",IF(AF2186&gt;79,"Baik",IF(AF2186&gt;69,"Cukup",IF(AF2186&gt;59,"Kurang","Sangat kurang")))))</f>
        <v>Cukup</v>
      </c>
      <c r="AJ2186" t="str">
        <f t="shared" si="104"/>
        <v>Wk.4</v>
      </c>
      <c r="AK2186" t="str">
        <f>IF(pub_gid_0_single_true_output_csv[[#This Row],[Nilai2]]="","",VLOOKUP(pub_gid_0_single_true_output_csv[[#This Row],[NAMA]],Table7[],3,FALSE))</f>
        <v>High average</v>
      </c>
    </row>
    <row r="2187" spans="1:37" x14ac:dyDescent="0.2">
      <c r="A2187">
        <v>2186</v>
      </c>
      <c r="B2187" t="s">
        <v>315</v>
      </c>
      <c r="C2187" t="s">
        <v>65</v>
      </c>
      <c r="D2187" t="s">
        <v>60</v>
      </c>
      <c r="E2187" t="s">
        <v>140</v>
      </c>
      <c r="F2187" s="25">
        <v>46041</v>
      </c>
      <c r="G2187" t="s">
        <v>370</v>
      </c>
      <c r="H2187" t="s">
        <v>405</v>
      </c>
      <c r="I2187" t="s">
        <v>371</v>
      </c>
      <c r="J2187" t="s">
        <v>279</v>
      </c>
      <c r="K2187" t="s">
        <v>280</v>
      </c>
      <c r="L2187" t="s">
        <v>322</v>
      </c>
      <c r="M2187" t="s">
        <v>141</v>
      </c>
      <c r="N2187" t="s">
        <v>142</v>
      </c>
      <c r="O2187" t="s">
        <v>327</v>
      </c>
      <c r="P2187" t="s">
        <v>281</v>
      </c>
      <c r="Q2187" t="s">
        <v>328</v>
      </c>
      <c r="R2187" t="s">
        <v>360</v>
      </c>
      <c r="S2187" t="s">
        <v>387</v>
      </c>
      <c r="T2187">
        <v>2</v>
      </c>
      <c r="U2187" t="s">
        <v>451</v>
      </c>
      <c r="V2187" t="s">
        <v>303</v>
      </c>
      <c r="W2187" t="s">
        <v>452</v>
      </c>
      <c r="X2187" t="s">
        <v>331</v>
      </c>
      <c r="Y2187" t="s">
        <v>307</v>
      </c>
      <c r="Z2187">
        <v>70</v>
      </c>
      <c r="AA2187">
        <v>80</v>
      </c>
      <c r="AB2187" t="s">
        <v>143</v>
      </c>
      <c r="AC2187" t="s">
        <v>336</v>
      </c>
      <c r="AD2187" t="s">
        <v>401</v>
      </c>
      <c r="AE2187" t="str">
        <f>IF(AF2187="","",VLOOKUP(AC2187,mapel!$A$2:$B$42,2,FALSE))</f>
        <v>Pancasila</v>
      </c>
      <c r="AF2187">
        <f t="shared" si="102"/>
        <v>80</v>
      </c>
      <c r="AG2187" t="str">
        <f>IF(AF2187="","",IF(AF2187&gt;90,"Sangat baik",IF(AF2187&gt;79,"Baik",IF(AF2187&gt;=pub_gid_0_single_true_output_csv[[#This Row],[KKM]],"Cukup","Kurang"))))</f>
        <v>Baik</v>
      </c>
      <c r="AH2187">
        <f t="shared" si="103"/>
        <v>12</v>
      </c>
      <c r="AI2187" s="30" t="str">
        <f>IF(OR(J2187&lt;&gt;"Karakter",pub_gid_0_single_true_output_csv[[#This Row],[Nilai2]]=""),"",IF(AF2187&gt;89,"Sangat baik",IF(AF2187&gt;79,"Baik",IF(AF2187&gt;69,"Cukup",IF(AF2187&gt;59,"Kurang","Sangat kurang")))))</f>
        <v/>
      </c>
      <c r="AJ2187" t="str">
        <f t="shared" si="104"/>
        <v>Wk.4</v>
      </c>
      <c r="AK2187" t="str">
        <f>IF(pub_gid_0_single_true_output_csv[[#This Row],[Nilai2]]="","",VLOOKUP(pub_gid_0_single_true_output_csv[[#This Row],[NAMA]],Table7[],3,FALSE))</f>
        <v>High average</v>
      </c>
    </row>
    <row r="2188" spans="1:37" x14ac:dyDescent="0.2">
      <c r="A2188">
        <v>2187</v>
      </c>
      <c r="B2188" t="s">
        <v>315</v>
      </c>
      <c r="C2188" t="s">
        <v>65</v>
      </c>
      <c r="D2188" t="s">
        <v>60</v>
      </c>
      <c r="E2188" t="s">
        <v>140</v>
      </c>
      <c r="F2188" s="25">
        <v>46055</v>
      </c>
      <c r="G2188" t="s">
        <v>379</v>
      </c>
      <c r="H2188" t="s">
        <v>412</v>
      </c>
      <c r="I2188" t="s">
        <v>371</v>
      </c>
      <c r="J2188" t="s">
        <v>90</v>
      </c>
      <c r="K2188" t="s">
        <v>377</v>
      </c>
      <c r="L2188" t="s">
        <v>400</v>
      </c>
      <c r="M2188" t="s">
        <v>141</v>
      </c>
      <c r="N2188" t="s">
        <v>142</v>
      </c>
      <c r="O2188" t="s">
        <v>327</v>
      </c>
      <c r="P2188" t="s">
        <v>281</v>
      </c>
      <c r="Q2188" t="s">
        <v>328</v>
      </c>
      <c r="R2188" t="s">
        <v>360</v>
      </c>
      <c r="S2188" t="s">
        <v>392</v>
      </c>
      <c r="T2188">
        <v>1</v>
      </c>
      <c r="U2188" t="s">
        <v>449</v>
      </c>
      <c r="V2188" t="s">
        <v>343</v>
      </c>
      <c r="W2188" t="s">
        <v>453</v>
      </c>
      <c r="X2188" t="s">
        <v>331</v>
      </c>
      <c r="Y2188" t="s">
        <v>307</v>
      </c>
      <c r="Z2188">
        <v>70</v>
      </c>
      <c r="AA2188">
        <v>75</v>
      </c>
      <c r="AB2188" t="s">
        <v>143</v>
      </c>
      <c r="AC2188" t="s">
        <v>336</v>
      </c>
      <c r="AD2188" t="s">
        <v>401</v>
      </c>
      <c r="AE2188" t="str">
        <f>IF(AF2188="","",VLOOKUP(AC2188,mapel!$A$2:$B$42,2,FALSE))</f>
        <v>Pancasila</v>
      </c>
      <c r="AF2188">
        <f t="shared" si="102"/>
        <v>75</v>
      </c>
      <c r="AG2188" t="str">
        <f>IF(AF2188="","",IF(AF2188&gt;90,"Sangat baik",IF(AF2188&gt;79,"Baik",IF(AF2188&gt;=pub_gid_0_single_true_output_csv[[#This Row],[KKM]],"Cukup","Kurang"))))</f>
        <v>Cukup</v>
      </c>
      <c r="AH2188">
        <f t="shared" si="103"/>
        <v>12</v>
      </c>
      <c r="AI2188" s="30" t="str">
        <f>IF(OR(J2188&lt;&gt;"Karakter",pub_gid_0_single_true_output_csv[[#This Row],[Nilai2]]=""),"",IF(AF2188&gt;89,"Sangat baik",IF(AF2188&gt;79,"Baik",IF(AF2188&gt;69,"Cukup",IF(AF2188&gt;59,"Kurang","Sangat kurang")))))</f>
        <v>Cukup</v>
      </c>
      <c r="AJ2188" t="str">
        <f t="shared" si="104"/>
        <v>Wk.6</v>
      </c>
      <c r="AK2188" t="str">
        <f>IF(pub_gid_0_single_true_output_csv[[#This Row],[Nilai2]]="","",VLOOKUP(pub_gid_0_single_true_output_csv[[#This Row],[NAMA]],Table7[],3,FALSE))</f>
        <v>High average</v>
      </c>
    </row>
    <row r="2189" spans="1:37" x14ac:dyDescent="0.2">
      <c r="A2189">
        <v>2188</v>
      </c>
      <c r="B2189" t="s">
        <v>315</v>
      </c>
      <c r="C2189" t="s">
        <v>65</v>
      </c>
      <c r="D2189" t="s">
        <v>60</v>
      </c>
      <c r="E2189" t="s">
        <v>140</v>
      </c>
      <c r="F2189" s="25">
        <v>46055</v>
      </c>
      <c r="G2189" t="s">
        <v>379</v>
      </c>
      <c r="H2189" t="s">
        <v>412</v>
      </c>
      <c r="I2189" t="s">
        <v>371</v>
      </c>
      <c r="J2189" t="s">
        <v>41</v>
      </c>
      <c r="K2189" t="s">
        <v>272</v>
      </c>
      <c r="L2189" t="s">
        <v>351</v>
      </c>
      <c r="M2189" t="s">
        <v>141</v>
      </c>
      <c r="N2189" t="s">
        <v>142</v>
      </c>
      <c r="O2189" t="s">
        <v>327</v>
      </c>
      <c r="P2189" t="s">
        <v>281</v>
      </c>
      <c r="Q2189" t="s">
        <v>328</v>
      </c>
      <c r="R2189" t="s">
        <v>360</v>
      </c>
      <c r="S2189" t="s">
        <v>392</v>
      </c>
      <c r="T2189">
        <v>1</v>
      </c>
      <c r="U2189" t="s">
        <v>449</v>
      </c>
      <c r="V2189" t="s">
        <v>343</v>
      </c>
      <c r="W2189" t="s">
        <v>453</v>
      </c>
      <c r="X2189" t="s">
        <v>331</v>
      </c>
      <c r="Y2189" t="s">
        <v>307</v>
      </c>
      <c r="Z2189">
        <v>70</v>
      </c>
      <c r="AA2189">
        <v>76</v>
      </c>
      <c r="AB2189" t="s">
        <v>143</v>
      </c>
      <c r="AC2189" t="s">
        <v>336</v>
      </c>
      <c r="AD2189" t="s">
        <v>401</v>
      </c>
      <c r="AE2189" t="str">
        <f>IF(AF2189="","",VLOOKUP(AC2189,mapel!$A$2:$B$42,2,FALSE))</f>
        <v>Pancasila</v>
      </c>
      <c r="AF2189">
        <f t="shared" si="102"/>
        <v>76</v>
      </c>
      <c r="AG2189" t="str">
        <f>IF(AF2189="","",IF(AF2189&gt;90,"Sangat baik",IF(AF2189&gt;79,"Baik",IF(AF2189&gt;=pub_gid_0_single_true_output_csv[[#This Row],[KKM]],"Cukup","Kurang"))))</f>
        <v>Cukup</v>
      </c>
      <c r="AH2189">
        <f t="shared" si="103"/>
        <v>12</v>
      </c>
      <c r="AI2189" s="30" t="str">
        <f>IF(OR(J2189&lt;&gt;"Karakter",pub_gid_0_single_true_output_csv[[#This Row],[Nilai2]]=""),"",IF(AF2189&gt;89,"Sangat baik",IF(AF2189&gt;79,"Baik",IF(AF2189&gt;69,"Cukup",IF(AF2189&gt;59,"Kurang","Sangat kurang")))))</f>
        <v/>
      </c>
      <c r="AJ2189" t="str">
        <f t="shared" si="104"/>
        <v>Wk.6</v>
      </c>
      <c r="AK2189" t="str">
        <f>IF(pub_gid_0_single_true_output_csv[[#This Row],[Nilai2]]="","",VLOOKUP(pub_gid_0_single_true_output_csv[[#This Row],[NAMA]],Table7[],3,FALSE))</f>
        <v>High average</v>
      </c>
    </row>
    <row r="2190" spans="1:37" x14ac:dyDescent="0.2">
      <c r="A2190">
        <v>2189</v>
      </c>
      <c r="B2190" t="s">
        <v>315</v>
      </c>
      <c r="C2190" t="s">
        <v>65</v>
      </c>
      <c r="D2190" t="s">
        <v>60</v>
      </c>
      <c r="E2190" t="s">
        <v>140</v>
      </c>
      <c r="F2190" s="25">
        <v>46055</v>
      </c>
      <c r="G2190" t="s">
        <v>379</v>
      </c>
      <c r="H2190" t="s">
        <v>412</v>
      </c>
      <c r="I2190" t="s">
        <v>371</v>
      </c>
      <c r="J2190" t="s">
        <v>279</v>
      </c>
      <c r="K2190" t="s">
        <v>280</v>
      </c>
      <c r="L2190" t="s">
        <v>322</v>
      </c>
      <c r="M2190" t="s">
        <v>141</v>
      </c>
      <c r="N2190" t="s">
        <v>142</v>
      </c>
      <c r="O2190" t="s">
        <v>327</v>
      </c>
      <c r="P2190" t="s">
        <v>281</v>
      </c>
      <c r="Q2190" t="s">
        <v>328</v>
      </c>
      <c r="R2190" t="s">
        <v>360</v>
      </c>
      <c r="S2190" t="s">
        <v>392</v>
      </c>
      <c r="T2190">
        <v>1</v>
      </c>
      <c r="U2190" t="s">
        <v>449</v>
      </c>
      <c r="V2190" t="s">
        <v>343</v>
      </c>
      <c r="W2190" t="s">
        <v>453</v>
      </c>
      <c r="X2190" t="s">
        <v>331</v>
      </c>
      <c r="Y2190" t="s">
        <v>307</v>
      </c>
      <c r="Z2190">
        <v>70</v>
      </c>
      <c r="AA2190">
        <v>78</v>
      </c>
      <c r="AB2190" t="s">
        <v>143</v>
      </c>
      <c r="AC2190" t="s">
        <v>336</v>
      </c>
      <c r="AD2190" t="s">
        <v>401</v>
      </c>
      <c r="AE2190" t="str">
        <f>IF(AF2190="","",VLOOKUP(AC2190,mapel!$A$2:$B$42,2,FALSE))</f>
        <v>Pancasila</v>
      </c>
      <c r="AF2190">
        <f t="shared" si="102"/>
        <v>78</v>
      </c>
      <c r="AG2190" t="str">
        <f>IF(AF2190="","",IF(AF2190&gt;90,"Sangat baik",IF(AF2190&gt;79,"Baik",IF(AF2190&gt;=pub_gid_0_single_true_output_csv[[#This Row],[KKM]],"Cukup","Kurang"))))</f>
        <v>Cukup</v>
      </c>
      <c r="AH2190">
        <f t="shared" si="103"/>
        <v>12</v>
      </c>
      <c r="AI2190" s="30" t="str">
        <f>IF(OR(J2190&lt;&gt;"Karakter",pub_gid_0_single_true_output_csv[[#This Row],[Nilai2]]=""),"",IF(AF2190&gt;89,"Sangat baik",IF(AF2190&gt;79,"Baik",IF(AF2190&gt;69,"Cukup",IF(AF2190&gt;59,"Kurang","Sangat kurang")))))</f>
        <v/>
      </c>
      <c r="AJ2190" t="str">
        <f t="shared" si="104"/>
        <v>Wk.6</v>
      </c>
      <c r="AK2190" t="str">
        <f>IF(pub_gid_0_single_true_output_csv[[#This Row],[Nilai2]]="","",VLOOKUP(pub_gid_0_single_true_output_csv[[#This Row],[NAMA]],Table7[],3,FALSE))</f>
        <v>High average</v>
      </c>
    </row>
    <row r="2191" spans="1:37" x14ac:dyDescent="0.2">
      <c r="A2191">
        <v>2190</v>
      </c>
      <c r="B2191" t="s">
        <v>315</v>
      </c>
      <c r="C2191" t="s">
        <v>65</v>
      </c>
      <c r="D2191" t="s">
        <v>60</v>
      </c>
      <c r="E2191" t="s">
        <v>140</v>
      </c>
      <c r="F2191" s="25">
        <v>46055</v>
      </c>
      <c r="G2191" t="s">
        <v>379</v>
      </c>
      <c r="H2191" t="s">
        <v>412</v>
      </c>
      <c r="I2191" t="s">
        <v>371</v>
      </c>
      <c r="J2191" t="s">
        <v>31</v>
      </c>
      <c r="K2191" t="s">
        <v>96</v>
      </c>
      <c r="L2191" t="s">
        <v>351</v>
      </c>
      <c r="M2191" t="s">
        <v>141</v>
      </c>
      <c r="N2191" t="s">
        <v>142</v>
      </c>
      <c r="O2191" t="s">
        <v>327</v>
      </c>
      <c r="P2191" t="s">
        <v>281</v>
      </c>
      <c r="Q2191" t="s">
        <v>328</v>
      </c>
      <c r="R2191" t="s">
        <v>360</v>
      </c>
      <c r="S2191" t="s">
        <v>392</v>
      </c>
      <c r="T2191">
        <v>1</v>
      </c>
      <c r="U2191" t="s">
        <v>449</v>
      </c>
      <c r="V2191" t="s">
        <v>343</v>
      </c>
      <c r="W2191" t="s">
        <v>453</v>
      </c>
      <c r="X2191" t="s">
        <v>331</v>
      </c>
      <c r="Y2191" t="s">
        <v>307</v>
      </c>
      <c r="Z2191">
        <v>70</v>
      </c>
      <c r="AA2191">
        <v>76</v>
      </c>
      <c r="AB2191" t="s">
        <v>143</v>
      </c>
      <c r="AC2191" t="s">
        <v>336</v>
      </c>
      <c r="AD2191" t="s">
        <v>401</v>
      </c>
      <c r="AE2191" t="str">
        <f>IF(AF2191="","",VLOOKUP(AC2191,mapel!$A$2:$B$42,2,FALSE))</f>
        <v>Pancasila</v>
      </c>
      <c r="AF2191">
        <f t="shared" si="102"/>
        <v>76</v>
      </c>
      <c r="AG2191" t="str">
        <f>IF(AF2191="","",IF(AF2191&gt;90,"Sangat baik",IF(AF2191&gt;79,"Baik",IF(AF2191&gt;=pub_gid_0_single_true_output_csv[[#This Row],[KKM]],"Cukup","Kurang"))))</f>
        <v>Cukup</v>
      </c>
      <c r="AH2191">
        <f t="shared" si="103"/>
        <v>12</v>
      </c>
      <c r="AI2191" s="30" t="str">
        <f>IF(OR(J2191&lt;&gt;"Karakter",pub_gid_0_single_true_output_csv[[#This Row],[Nilai2]]=""),"",IF(AF2191&gt;89,"Sangat baik",IF(AF2191&gt;79,"Baik",IF(AF2191&gt;69,"Cukup",IF(AF2191&gt;59,"Kurang","Sangat kurang")))))</f>
        <v/>
      </c>
      <c r="AJ2191" t="str">
        <f t="shared" si="104"/>
        <v>Wk.6</v>
      </c>
      <c r="AK2191" t="str">
        <f>IF(pub_gid_0_single_true_output_csv[[#This Row],[Nilai2]]="","",VLOOKUP(pub_gid_0_single_true_output_csv[[#This Row],[NAMA]],Table7[],3,FALSE))</f>
        <v>High average</v>
      </c>
    </row>
    <row r="2192" spans="1:37" x14ac:dyDescent="0.2">
      <c r="A2192">
        <v>2191</v>
      </c>
      <c r="B2192" t="s">
        <v>315</v>
      </c>
      <c r="C2192" t="s">
        <v>65</v>
      </c>
      <c r="D2192" t="s">
        <v>60</v>
      </c>
      <c r="E2192" t="s">
        <v>140</v>
      </c>
      <c r="F2192" s="25">
        <v>46055</v>
      </c>
      <c r="G2192" t="s">
        <v>379</v>
      </c>
      <c r="H2192" t="s">
        <v>412</v>
      </c>
      <c r="I2192" t="s">
        <v>371</v>
      </c>
      <c r="J2192" t="s">
        <v>36</v>
      </c>
      <c r="K2192" t="s">
        <v>37</v>
      </c>
      <c r="L2192" t="s">
        <v>150</v>
      </c>
      <c r="M2192" t="s">
        <v>141</v>
      </c>
      <c r="N2192" t="s">
        <v>142</v>
      </c>
      <c r="O2192" t="s">
        <v>327</v>
      </c>
      <c r="P2192" t="s">
        <v>281</v>
      </c>
      <c r="Q2192" t="s">
        <v>328</v>
      </c>
      <c r="R2192" t="s">
        <v>360</v>
      </c>
      <c r="S2192" t="s">
        <v>392</v>
      </c>
      <c r="T2192">
        <v>1</v>
      </c>
      <c r="U2192" t="s">
        <v>449</v>
      </c>
      <c r="V2192" t="s">
        <v>343</v>
      </c>
      <c r="W2192" t="s">
        <v>453</v>
      </c>
      <c r="X2192" t="s">
        <v>331</v>
      </c>
      <c r="Y2192" t="s">
        <v>307</v>
      </c>
      <c r="Z2192">
        <v>70</v>
      </c>
      <c r="AA2192">
        <v>78</v>
      </c>
      <c r="AB2192" t="s">
        <v>143</v>
      </c>
      <c r="AC2192" t="s">
        <v>336</v>
      </c>
      <c r="AD2192" t="s">
        <v>401</v>
      </c>
      <c r="AE2192" t="str">
        <f>IF(AF2192="","",VLOOKUP(AC2192,mapel!$A$2:$B$42,2,FALSE))</f>
        <v>Pancasila</v>
      </c>
      <c r="AF2192">
        <f t="shared" si="102"/>
        <v>78</v>
      </c>
      <c r="AG2192" t="str">
        <f>IF(AF2192="","",IF(AF2192&gt;90,"Sangat baik",IF(AF2192&gt;79,"Baik",IF(AF2192&gt;=pub_gid_0_single_true_output_csv[[#This Row],[KKM]],"Cukup","Kurang"))))</f>
        <v>Cukup</v>
      </c>
      <c r="AH2192">
        <f t="shared" si="103"/>
        <v>12</v>
      </c>
      <c r="AI2192" s="30" t="str">
        <f>IF(OR(J2192&lt;&gt;"Karakter",pub_gid_0_single_true_output_csv[[#This Row],[Nilai2]]=""),"",IF(AF2192&gt;89,"Sangat baik",IF(AF2192&gt;79,"Baik",IF(AF2192&gt;69,"Cukup",IF(AF2192&gt;59,"Kurang","Sangat kurang")))))</f>
        <v/>
      </c>
      <c r="AJ2192" t="str">
        <f t="shared" si="104"/>
        <v>Wk.6</v>
      </c>
      <c r="AK2192" t="str">
        <f>IF(pub_gid_0_single_true_output_csv[[#This Row],[Nilai2]]="","",VLOOKUP(pub_gid_0_single_true_output_csv[[#This Row],[NAMA]],Table7[],3,FALSE))</f>
        <v>High average</v>
      </c>
    </row>
    <row r="2193" spans="1:37" x14ac:dyDescent="0.2">
      <c r="A2193">
        <v>2192</v>
      </c>
      <c r="B2193" t="s">
        <v>315</v>
      </c>
      <c r="C2193" t="s">
        <v>65</v>
      </c>
      <c r="D2193" t="s">
        <v>60</v>
      </c>
      <c r="E2193" t="s">
        <v>140</v>
      </c>
      <c r="F2193" s="25">
        <v>46059</v>
      </c>
      <c r="G2193" t="s">
        <v>349</v>
      </c>
      <c r="H2193" t="s">
        <v>412</v>
      </c>
      <c r="I2193" t="s">
        <v>371</v>
      </c>
      <c r="J2193" t="s">
        <v>41</v>
      </c>
      <c r="K2193" t="s">
        <v>357</v>
      </c>
      <c r="L2193" t="s">
        <v>351</v>
      </c>
      <c r="M2193" t="s">
        <v>141</v>
      </c>
      <c r="N2193" t="s">
        <v>142</v>
      </c>
      <c r="O2193" t="s">
        <v>327</v>
      </c>
      <c r="P2193" t="s">
        <v>281</v>
      </c>
      <c r="Q2193" t="s">
        <v>328</v>
      </c>
      <c r="R2193" t="s">
        <v>360</v>
      </c>
      <c r="S2193" t="s">
        <v>454</v>
      </c>
      <c r="T2193">
        <v>1</v>
      </c>
      <c r="U2193" t="s">
        <v>449</v>
      </c>
      <c r="V2193" t="s">
        <v>344</v>
      </c>
      <c r="W2193" t="s">
        <v>455</v>
      </c>
      <c r="X2193" t="s">
        <v>331</v>
      </c>
      <c r="Y2193" t="s">
        <v>307</v>
      </c>
      <c r="Z2193">
        <v>70</v>
      </c>
      <c r="AA2193">
        <v>78</v>
      </c>
      <c r="AB2193" t="s">
        <v>143</v>
      </c>
      <c r="AC2193" t="s">
        <v>336</v>
      </c>
      <c r="AD2193" t="s">
        <v>401</v>
      </c>
      <c r="AE2193" t="str">
        <f>IF(AF2193="","",VLOOKUP(AC2193,mapel!$A$2:$B$42,2,FALSE))</f>
        <v>Pancasila</v>
      </c>
      <c r="AF2193">
        <f t="shared" si="102"/>
        <v>78</v>
      </c>
      <c r="AG2193" t="str">
        <f>IF(AF2193="","",IF(AF2193&gt;90,"Sangat baik",IF(AF2193&gt;79,"Baik",IF(AF2193&gt;=pub_gid_0_single_true_output_csv[[#This Row],[KKM]],"Cukup","Kurang"))))</f>
        <v>Cukup</v>
      </c>
      <c r="AH2193">
        <f t="shared" si="103"/>
        <v>12</v>
      </c>
      <c r="AI2193" s="30" t="str">
        <f>IF(OR(J2193&lt;&gt;"Karakter",pub_gid_0_single_true_output_csv[[#This Row],[Nilai2]]=""),"",IF(AF2193&gt;89,"Sangat baik",IF(AF2193&gt;79,"Baik",IF(AF2193&gt;69,"Cukup",IF(AF2193&gt;59,"Kurang","Sangat kurang")))))</f>
        <v/>
      </c>
      <c r="AJ2193" t="str">
        <f t="shared" si="104"/>
        <v>Wk.6</v>
      </c>
      <c r="AK2193" t="str">
        <f>IF(pub_gid_0_single_true_output_csv[[#This Row],[Nilai2]]="","",VLOOKUP(pub_gid_0_single_true_output_csv[[#This Row],[NAMA]],Table7[],3,FALSE))</f>
        <v>High average</v>
      </c>
    </row>
    <row r="2194" spans="1:37" x14ac:dyDescent="0.2">
      <c r="A2194">
        <v>2193</v>
      </c>
      <c r="B2194" t="s">
        <v>315</v>
      </c>
      <c r="C2194" t="s">
        <v>65</v>
      </c>
      <c r="D2194" t="s">
        <v>60</v>
      </c>
      <c r="E2194" t="s">
        <v>140</v>
      </c>
      <c r="F2194" s="25">
        <v>46059</v>
      </c>
      <c r="G2194" t="s">
        <v>349</v>
      </c>
      <c r="H2194" t="s">
        <v>412</v>
      </c>
      <c r="I2194" t="s">
        <v>371</v>
      </c>
      <c r="J2194" t="s">
        <v>36</v>
      </c>
      <c r="K2194" t="s">
        <v>37</v>
      </c>
      <c r="L2194" t="s">
        <v>351</v>
      </c>
      <c r="M2194" t="s">
        <v>141</v>
      </c>
      <c r="N2194" t="s">
        <v>142</v>
      </c>
      <c r="O2194" t="s">
        <v>327</v>
      </c>
      <c r="P2194" t="s">
        <v>281</v>
      </c>
      <c r="Q2194" t="s">
        <v>328</v>
      </c>
      <c r="R2194" t="s">
        <v>360</v>
      </c>
      <c r="S2194" t="s">
        <v>392</v>
      </c>
      <c r="T2194">
        <v>1</v>
      </c>
      <c r="U2194" t="s">
        <v>449</v>
      </c>
      <c r="V2194" t="s">
        <v>343</v>
      </c>
      <c r="W2194" t="s">
        <v>453</v>
      </c>
      <c r="X2194" t="s">
        <v>331</v>
      </c>
      <c r="Y2194" t="s">
        <v>307</v>
      </c>
      <c r="Z2194">
        <v>70</v>
      </c>
      <c r="AA2194">
        <v>78</v>
      </c>
      <c r="AB2194" t="s">
        <v>143</v>
      </c>
      <c r="AC2194" t="s">
        <v>336</v>
      </c>
      <c r="AD2194" t="s">
        <v>401</v>
      </c>
      <c r="AE2194" t="str">
        <f>IF(AF2194="","",VLOOKUP(AC2194,mapel!$A$2:$B$42,2,FALSE))</f>
        <v>Pancasila</v>
      </c>
      <c r="AF2194">
        <f t="shared" si="102"/>
        <v>78</v>
      </c>
      <c r="AG2194" t="str">
        <f>IF(AF2194="","",IF(AF2194&gt;90,"Sangat baik",IF(AF2194&gt;79,"Baik",IF(AF2194&gt;=pub_gid_0_single_true_output_csv[[#This Row],[KKM]],"Cukup","Kurang"))))</f>
        <v>Cukup</v>
      </c>
      <c r="AH2194">
        <f t="shared" si="103"/>
        <v>12</v>
      </c>
      <c r="AI2194" s="30" t="str">
        <f>IF(OR(J2194&lt;&gt;"Karakter",pub_gid_0_single_true_output_csv[[#This Row],[Nilai2]]=""),"",IF(AF2194&gt;89,"Sangat baik",IF(AF2194&gt;79,"Baik",IF(AF2194&gt;69,"Cukup",IF(AF2194&gt;59,"Kurang","Sangat kurang")))))</f>
        <v/>
      </c>
      <c r="AJ2194" t="str">
        <f t="shared" si="104"/>
        <v>Wk.6</v>
      </c>
      <c r="AK2194" t="str">
        <f>IF(pub_gid_0_single_true_output_csv[[#This Row],[Nilai2]]="","",VLOOKUP(pub_gid_0_single_true_output_csv[[#This Row],[NAMA]],Table7[],3,FALSE))</f>
        <v>High average</v>
      </c>
    </row>
    <row r="2195" spans="1:37" x14ac:dyDescent="0.2">
      <c r="A2195">
        <v>2194</v>
      </c>
      <c r="B2195" t="s">
        <v>316</v>
      </c>
      <c r="C2195" t="s">
        <v>65</v>
      </c>
      <c r="D2195" t="s">
        <v>61</v>
      </c>
      <c r="E2195" t="s">
        <v>140</v>
      </c>
      <c r="F2195" s="25">
        <v>46034</v>
      </c>
      <c r="G2195" t="s">
        <v>354</v>
      </c>
      <c r="H2195" t="s">
        <v>405</v>
      </c>
      <c r="I2195" t="s">
        <v>371</v>
      </c>
      <c r="J2195" t="s">
        <v>90</v>
      </c>
      <c r="K2195" t="s">
        <v>92</v>
      </c>
      <c r="L2195" t="s">
        <v>91</v>
      </c>
      <c r="M2195" t="s">
        <v>141</v>
      </c>
      <c r="N2195" t="s">
        <v>142</v>
      </c>
      <c r="O2195" t="s">
        <v>327</v>
      </c>
      <c r="P2195" t="s">
        <v>281</v>
      </c>
      <c r="Q2195" t="s">
        <v>328</v>
      </c>
      <c r="R2195" t="s">
        <v>360</v>
      </c>
      <c r="S2195" t="s">
        <v>330</v>
      </c>
      <c r="T2195">
        <v>1</v>
      </c>
      <c r="U2195" t="s">
        <v>449</v>
      </c>
      <c r="V2195" t="s">
        <v>285</v>
      </c>
      <c r="W2195" t="s">
        <v>450</v>
      </c>
      <c r="X2195" t="s">
        <v>331</v>
      </c>
      <c r="Y2195" t="s">
        <v>307</v>
      </c>
      <c r="Z2195">
        <v>70</v>
      </c>
      <c r="AA2195">
        <v>76</v>
      </c>
      <c r="AB2195" t="s">
        <v>143</v>
      </c>
      <c r="AC2195" t="s">
        <v>336</v>
      </c>
      <c r="AD2195" t="s">
        <v>401</v>
      </c>
      <c r="AE2195" t="str">
        <f>IF(AF2195="","",VLOOKUP(AC2195,mapel!$A$2:$B$42,2,FALSE))</f>
        <v>Pancasila</v>
      </c>
      <c r="AF2195">
        <f t="shared" si="102"/>
        <v>76</v>
      </c>
      <c r="AG2195" t="str">
        <f>IF(AF2195="","",IF(AF2195&gt;90,"Sangat baik",IF(AF2195&gt;79,"Baik",IF(AF2195&gt;=pub_gid_0_single_true_output_csv[[#This Row],[KKM]],"Cukup","Kurang"))))</f>
        <v>Cukup</v>
      </c>
      <c r="AH2195">
        <f t="shared" si="103"/>
        <v>12</v>
      </c>
      <c r="AI2195" s="30" t="str">
        <f>IF(OR(J2195&lt;&gt;"Karakter",pub_gid_0_single_true_output_csv[[#This Row],[Nilai2]]=""),"",IF(AF2195&gt;89,"Sangat baik",IF(AF2195&gt;79,"Baik",IF(AF2195&gt;69,"Cukup",IF(AF2195&gt;59,"Kurang","Sangat kurang")))))</f>
        <v>Cukup</v>
      </c>
      <c r="AJ2195" t="str">
        <f t="shared" si="104"/>
        <v>Wk.3</v>
      </c>
      <c r="AK2195" t="str">
        <f>IF(pub_gid_0_single_true_output_csv[[#This Row],[Nilai2]]="","",VLOOKUP(pub_gid_0_single_true_output_csv[[#This Row],[NAMA]],Table7[],3,FALSE))</f>
        <v>Average</v>
      </c>
    </row>
    <row r="2196" spans="1:37" x14ac:dyDescent="0.2">
      <c r="A2196">
        <v>2195</v>
      </c>
      <c r="B2196" t="s">
        <v>316</v>
      </c>
      <c r="C2196" t="s">
        <v>65</v>
      </c>
      <c r="D2196" t="s">
        <v>61</v>
      </c>
      <c r="E2196" t="s">
        <v>140</v>
      </c>
      <c r="F2196" s="25">
        <v>46034</v>
      </c>
      <c r="G2196" t="s">
        <v>354</v>
      </c>
      <c r="H2196" t="s">
        <v>405</v>
      </c>
      <c r="I2196" t="s">
        <v>371</v>
      </c>
      <c r="J2196" t="s">
        <v>279</v>
      </c>
      <c r="K2196" t="s">
        <v>280</v>
      </c>
      <c r="L2196" t="s">
        <v>322</v>
      </c>
      <c r="M2196" t="s">
        <v>141</v>
      </c>
      <c r="N2196" t="s">
        <v>142</v>
      </c>
      <c r="O2196" t="s">
        <v>327</v>
      </c>
      <c r="P2196" t="s">
        <v>281</v>
      </c>
      <c r="Q2196" t="s">
        <v>328</v>
      </c>
      <c r="R2196" t="s">
        <v>360</v>
      </c>
      <c r="S2196" t="s">
        <v>330</v>
      </c>
      <c r="T2196">
        <v>1</v>
      </c>
      <c r="U2196" t="s">
        <v>449</v>
      </c>
      <c r="V2196" t="s">
        <v>285</v>
      </c>
      <c r="W2196" t="s">
        <v>450</v>
      </c>
      <c r="X2196" t="s">
        <v>331</v>
      </c>
      <c r="Y2196" t="s">
        <v>307</v>
      </c>
      <c r="Z2196">
        <v>70</v>
      </c>
      <c r="AA2196">
        <v>74</v>
      </c>
      <c r="AB2196" t="s">
        <v>143</v>
      </c>
      <c r="AC2196" t="s">
        <v>336</v>
      </c>
      <c r="AD2196" t="s">
        <v>401</v>
      </c>
      <c r="AE2196" t="str">
        <f>IF(AF2196="","",VLOOKUP(AC2196,mapel!$A$2:$B$42,2,FALSE))</f>
        <v>Pancasila</v>
      </c>
      <c r="AF2196">
        <f t="shared" si="102"/>
        <v>74</v>
      </c>
      <c r="AG2196" t="str">
        <f>IF(AF2196="","",IF(AF2196&gt;90,"Sangat baik",IF(AF2196&gt;79,"Baik",IF(AF2196&gt;=pub_gid_0_single_true_output_csv[[#This Row],[KKM]],"Cukup","Kurang"))))</f>
        <v>Cukup</v>
      </c>
      <c r="AH2196">
        <f t="shared" si="103"/>
        <v>12</v>
      </c>
      <c r="AI2196" s="30" t="str">
        <f>IF(OR(J2196&lt;&gt;"Karakter",pub_gid_0_single_true_output_csv[[#This Row],[Nilai2]]=""),"",IF(AF2196&gt;89,"Sangat baik",IF(AF2196&gt;79,"Baik",IF(AF2196&gt;69,"Cukup",IF(AF2196&gt;59,"Kurang","Sangat kurang")))))</f>
        <v/>
      </c>
      <c r="AJ2196" t="str">
        <f t="shared" si="104"/>
        <v>Wk.3</v>
      </c>
      <c r="AK2196" t="str">
        <f>IF(pub_gid_0_single_true_output_csv[[#This Row],[Nilai2]]="","",VLOOKUP(pub_gid_0_single_true_output_csv[[#This Row],[NAMA]],Table7[],3,FALSE))</f>
        <v>Average</v>
      </c>
    </row>
    <row r="2197" spans="1:37" x14ac:dyDescent="0.2">
      <c r="A2197">
        <v>2196</v>
      </c>
      <c r="B2197" t="s">
        <v>316</v>
      </c>
      <c r="C2197" t="s">
        <v>65</v>
      </c>
      <c r="D2197" t="s">
        <v>61</v>
      </c>
      <c r="E2197" t="s">
        <v>140</v>
      </c>
      <c r="F2197" s="25">
        <v>46034</v>
      </c>
      <c r="G2197" t="s">
        <v>354</v>
      </c>
      <c r="H2197" t="s">
        <v>405</v>
      </c>
      <c r="I2197" t="s">
        <v>371</v>
      </c>
      <c r="J2197" t="s">
        <v>31</v>
      </c>
      <c r="K2197" t="s">
        <v>96</v>
      </c>
      <c r="L2197" t="s">
        <v>351</v>
      </c>
      <c r="M2197" t="s">
        <v>141</v>
      </c>
      <c r="N2197" t="s">
        <v>142</v>
      </c>
      <c r="O2197" t="s">
        <v>327</v>
      </c>
      <c r="P2197" t="s">
        <v>281</v>
      </c>
      <c r="Q2197" t="s">
        <v>328</v>
      </c>
      <c r="R2197" t="s">
        <v>360</v>
      </c>
      <c r="S2197" t="s">
        <v>330</v>
      </c>
      <c r="T2197">
        <v>1</v>
      </c>
      <c r="U2197" t="s">
        <v>449</v>
      </c>
      <c r="V2197" t="s">
        <v>285</v>
      </c>
      <c r="W2197" t="s">
        <v>450</v>
      </c>
      <c r="X2197" t="s">
        <v>331</v>
      </c>
      <c r="Y2197" t="s">
        <v>307</v>
      </c>
      <c r="Z2197">
        <v>70</v>
      </c>
      <c r="AA2197">
        <v>65</v>
      </c>
      <c r="AB2197" t="s">
        <v>151</v>
      </c>
      <c r="AC2197" t="s">
        <v>336</v>
      </c>
      <c r="AD2197" t="s">
        <v>401</v>
      </c>
      <c r="AE2197" t="str">
        <f>IF(AF2197="","",VLOOKUP(AC2197,mapel!$A$2:$B$42,2,FALSE))</f>
        <v>Pancasila</v>
      </c>
      <c r="AF2197">
        <f t="shared" si="102"/>
        <v>65</v>
      </c>
      <c r="AG2197" t="str">
        <f>IF(AF2197="","",IF(AF2197&gt;90,"Sangat baik",IF(AF2197&gt;79,"Baik",IF(AF2197&gt;=pub_gid_0_single_true_output_csv[[#This Row],[KKM]],"Cukup","Kurang"))))</f>
        <v>Kurang</v>
      </c>
      <c r="AH2197">
        <f t="shared" si="103"/>
        <v>12</v>
      </c>
      <c r="AI2197" s="30" t="str">
        <f>IF(OR(J2197&lt;&gt;"Karakter",pub_gid_0_single_true_output_csv[[#This Row],[Nilai2]]=""),"",IF(AF2197&gt;89,"Sangat baik",IF(AF2197&gt;79,"Baik",IF(AF2197&gt;69,"Cukup",IF(AF2197&gt;59,"Kurang","Sangat kurang")))))</f>
        <v/>
      </c>
      <c r="AJ2197" t="str">
        <f t="shared" si="104"/>
        <v>Wk.3</v>
      </c>
      <c r="AK2197" t="str">
        <f>IF(pub_gid_0_single_true_output_csv[[#This Row],[Nilai2]]="","",VLOOKUP(pub_gid_0_single_true_output_csv[[#This Row],[NAMA]],Table7[],3,FALSE))</f>
        <v>Average</v>
      </c>
    </row>
    <row r="2198" spans="1:37" x14ac:dyDescent="0.2">
      <c r="A2198">
        <v>2197</v>
      </c>
      <c r="B2198" t="s">
        <v>316</v>
      </c>
      <c r="C2198" t="s">
        <v>65</v>
      </c>
      <c r="D2198" t="s">
        <v>61</v>
      </c>
      <c r="E2198" t="s">
        <v>140</v>
      </c>
      <c r="F2198" s="25">
        <v>46034</v>
      </c>
      <c r="G2198" t="s">
        <v>354</v>
      </c>
      <c r="H2198" t="s">
        <v>405</v>
      </c>
      <c r="I2198" t="s">
        <v>371</v>
      </c>
      <c r="J2198" t="s">
        <v>36</v>
      </c>
      <c r="K2198" t="s">
        <v>37</v>
      </c>
      <c r="L2198" t="s">
        <v>351</v>
      </c>
      <c r="M2198" t="s">
        <v>141</v>
      </c>
      <c r="N2198" t="s">
        <v>142</v>
      </c>
      <c r="O2198" t="s">
        <v>327</v>
      </c>
      <c r="P2198" t="s">
        <v>281</v>
      </c>
      <c r="Q2198" t="s">
        <v>328</v>
      </c>
      <c r="R2198" t="s">
        <v>360</v>
      </c>
      <c r="S2198" t="s">
        <v>330</v>
      </c>
      <c r="T2198">
        <v>1</v>
      </c>
      <c r="U2198" t="s">
        <v>449</v>
      </c>
      <c r="V2198" t="s">
        <v>285</v>
      </c>
      <c r="W2198" t="s">
        <v>450</v>
      </c>
      <c r="X2198" t="s">
        <v>331</v>
      </c>
      <c r="Y2198" t="s">
        <v>307</v>
      </c>
      <c r="Z2198">
        <v>70</v>
      </c>
      <c r="AA2198">
        <v>62</v>
      </c>
      <c r="AB2198" t="s">
        <v>151</v>
      </c>
      <c r="AC2198" t="s">
        <v>336</v>
      </c>
      <c r="AD2198" t="s">
        <v>401</v>
      </c>
      <c r="AE2198" t="str">
        <f>IF(AF2198="","",VLOOKUP(AC2198,mapel!$A$2:$B$42,2,FALSE))</f>
        <v>Pancasila</v>
      </c>
      <c r="AF2198">
        <f t="shared" si="102"/>
        <v>62</v>
      </c>
      <c r="AG2198" t="str">
        <f>IF(AF2198="","",IF(AF2198&gt;90,"Sangat baik",IF(AF2198&gt;79,"Baik",IF(AF2198&gt;=pub_gid_0_single_true_output_csv[[#This Row],[KKM]],"Cukup","Kurang"))))</f>
        <v>Kurang</v>
      </c>
      <c r="AH2198">
        <f t="shared" si="103"/>
        <v>12</v>
      </c>
      <c r="AI2198" s="30" t="str">
        <f>IF(OR(J2198&lt;&gt;"Karakter",pub_gid_0_single_true_output_csv[[#This Row],[Nilai2]]=""),"",IF(AF2198&gt;89,"Sangat baik",IF(AF2198&gt;79,"Baik",IF(AF2198&gt;69,"Cukup",IF(AF2198&gt;59,"Kurang","Sangat kurang")))))</f>
        <v/>
      </c>
      <c r="AJ2198" t="str">
        <f t="shared" si="104"/>
        <v>Wk.3</v>
      </c>
      <c r="AK2198" t="str">
        <f>IF(pub_gid_0_single_true_output_csv[[#This Row],[Nilai2]]="","",VLOOKUP(pub_gid_0_single_true_output_csv[[#This Row],[NAMA]],Table7[],3,FALSE))</f>
        <v>Average</v>
      </c>
    </row>
    <row r="2199" spans="1:37" x14ac:dyDescent="0.2">
      <c r="A2199">
        <v>2198</v>
      </c>
      <c r="B2199" t="s">
        <v>316</v>
      </c>
      <c r="C2199" t="s">
        <v>65</v>
      </c>
      <c r="D2199" t="s">
        <v>61</v>
      </c>
      <c r="E2199" t="s">
        <v>140</v>
      </c>
      <c r="F2199" s="25">
        <v>46038</v>
      </c>
      <c r="G2199" t="s">
        <v>382</v>
      </c>
      <c r="H2199" t="s">
        <v>405</v>
      </c>
      <c r="I2199" t="s">
        <v>371</v>
      </c>
      <c r="J2199" t="s">
        <v>36</v>
      </c>
      <c r="K2199" t="s">
        <v>37</v>
      </c>
      <c r="L2199" t="s">
        <v>351</v>
      </c>
      <c r="M2199" t="s">
        <v>397</v>
      </c>
      <c r="N2199" t="s">
        <v>142</v>
      </c>
      <c r="O2199" t="s">
        <v>327</v>
      </c>
      <c r="P2199" t="s">
        <v>281</v>
      </c>
      <c r="Q2199" t="s">
        <v>328</v>
      </c>
      <c r="R2199" t="s">
        <v>360</v>
      </c>
      <c r="S2199" t="s">
        <v>330</v>
      </c>
      <c r="T2199">
        <v>1</v>
      </c>
      <c r="U2199" t="s">
        <v>449</v>
      </c>
      <c r="V2199" t="s">
        <v>285</v>
      </c>
      <c r="W2199" t="s">
        <v>450</v>
      </c>
      <c r="X2199" t="s">
        <v>331</v>
      </c>
      <c r="Y2199" t="s">
        <v>307</v>
      </c>
      <c r="Z2199">
        <v>70</v>
      </c>
      <c r="AA2199">
        <v>70</v>
      </c>
      <c r="AB2199" t="s">
        <v>143</v>
      </c>
      <c r="AC2199" t="s">
        <v>336</v>
      </c>
      <c r="AD2199" t="s">
        <v>401</v>
      </c>
      <c r="AE2199" t="str">
        <f>IF(AF2199="","",VLOOKUP(AC2199,mapel!$A$2:$B$42,2,FALSE))</f>
        <v>Pancasila</v>
      </c>
      <c r="AF2199">
        <f t="shared" si="102"/>
        <v>70</v>
      </c>
      <c r="AG2199" t="str">
        <f>IF(AF2199="","",IF(AF2199&gt;90,"Sangat baik",IF(AF2199&gt;79,"Baik",IF(AF2199&gt;=pub_gid_0_single_true_output_csv[[#This Row],[KKM]],"Cukup","Kurang"))))</f>
        <v>Cukup</v>
      </c>
      <c r="AH2199">
        <f t="shared" si="103"/>
        <v>12</v>
      </c>
      <c r="AI2199" s="30" t="str">
        <f>IF(OR(J2199&lt;&gt;"Karakter",pub_gid_0_single_true_output_csv[[#This Row],[Nilai2]]=""),"",IF(AF2199&gt;89,"Sangat baik",IF(AF2199&gt;79,"Baik",IF(AF2199&gt;69,"Cukup",IF(AF2199&gt;59,"Kurang","Sangat kurang")))))</f>
        <v/>
      </c>
      <c r="AJ2199" t="str">
        <f t="shared" si="104"/>
        <v>Wk.3</v>
      </c>
      <c r="AK2199" t="str">
        <f>IF(pub_gid_0_single_true_output_csv[[#This Row],[Nilai2]]="","",VLOOKUP(pub_gid_0_single_true_output_csv[[#This Row],[NAMA]],Table7[],3,FALSE))</f>
        <v>Average</v>
      </c>
    </row>
    <row r="2200" spans="1:37" x14ac:dyDescent="0.2">
      <c r="A2200">
        <v>2199</v>
      </c>
      <c r="B2200" t="s">
        <v>316</v>
      </c>
      <c r="C2200" t="s">
        <v>65</v>
      </c>
      <c r="D2200" t="s">
        <v>61</v>
      </c>
      <c r="E2200" t="s">
        <v>140</v>
      </c>
      <c r="F2200" s="25">
        <v>46041</v>
      </c>
      <c r="G2200" t="s">
        <v>370</v>
      </c>
      <c r="H2200" t="s">
        <v>405</v>
      </c>
      <c r="I2200" t="s">
        <v>371</v>
      </c>
      <c r="J2200" t="s">
        <v>36</v>
      </c>
      <c r="K2200" t="s">
        <v>37</v>
      </c>
      <c r="L2200" t="s">
        <v>351</v>
      </c>
      <c r="M2200" t="s">
        <v>141</v>
      </c>
      <c r="N2200" t="s">
        <v>142</v>
      </c>
      <c r="O2200" t="s">
        <v>327</v>
      </c>
      <c r="P2200" t="s">
        <v>281</v>
      </c>
      <c r="Q2200" t="s">
        <v>328</v>
      </c>
      <c r="R2200" t="s">
        <v>360</v>
      </c>
      <c r="S2200" t="s">
        <v>387</v>
      </c>
      <c r="T2200">
        <v>2</v>
      </c>
      <c r="U2200" t="s">
        <v>451</v>
      </c>
      <c r="V2200" t="s">
        <v>303</v>
      </c>
      <c r="W2200" t="s">
        <v>452</v>
      </c>
      <c r="X2200" t="s">
        <v>331</v>
      </c>
      <c r="Y2200" t="s">
        <v>307</v>
      </c>
      <c r="Z2200">
        <v>70</v>
      </c>
      <c r="AA2200">
        <v>72</v>
      </c>
      <c r="AB2200" t="s">
        <v>143</v>
      </c>
      <c r="AC2200" t="s">
        <v>336</v>
      </c>
      <c r="AD2200" t="s">
        <v>401</v>
      </c>
      <c r="AE2200" t="str">
        <f>IF(AF2200="","",VLOOKUP(AC2200,mapel!$A$2:$B$42,2,FALSE))</f>
        <v>Pancasila</v>
      </c>
      <c r="AF2200">
        <f t="shared" si="102"/>
        <v>72</v>
      </c>
      <c r="AG2200" t="str">
        <f>IF(AF2200="","",IF(AF2200&gt;90,"Sangat baik",IF(AF2200&gt;79,"Baik",IF(AF2200&gt;=pub_gid_0_single_true_output_csv[[#This Row],[KKM]],"Cukup","Kurang"))))</f>
        <v>Cukup</v>
      </c>
      <c r="AH2200">
        <f t="shared" si="103"/>
        <v>12</v>
      </c>
      <c r="AI2200" s="30" t="str">
        <f>IF(OR(J2200&lt;&gt;"Karakter",pub_gid_0_single_true_output_csv[[#This Row],[Nilai2]]=""),"",IF(AF2200&gt;89,"Sangat baik",IF(AF2200&gt;79,"Baik",IF(AF2200&gt;69,"Cukup",IF(AF2200&gt;59,"Kurang","Sangat kurang")))))</f>
        <v/>
      </c>
      <c r="AJ2200" t="str">
        <f t="shared" si="104"/>
        <v>Wk.4</v>
      </c>
      <c r="AK2200" t="str">
        <f>IF(pub_gid_0_single_true_output_csv[[#This Row],[Nilai2]]="","",VLOOKUP(pub_gid_0_single_true_output_csv[[#This Row],[NAMA]],Table7[],3,FALSE))</f>
        <v>Average</v>
      </c>
    </row>
    <row r="2201" spans="1:37" x14ac:dyDescent="0.2">
      <c r="A2201">
        <v>2200</v>
      </c>
      <c r="B2201" t="s">
        <v>316</v>
      </c>
      <c r="C2201" t="s">
        <v>65</v>
      </c>
      <c r="D2201" t="s">
        <v>61</v>
      </c>
      <c r="E2201" t="s">
        <v>140</v>
      </c>
      <c r="F2201" s="25">
        <v>46041</v>
      </c>
      <c r="G2201" t="s">
        <v>370</v>
      </c>
      <c r="H2201" t="s">
        <v>405</v>
      </c>
      <c r="I2201" t="s">
        <v>371</v>
      </c>
      <c r="J2201" t="s">
        <v>31</v>
      </c>
      <c r="K2201" t="s">
        <v>96</v>
      </c>
      <c r="L2201" t="s">
        <v>351</v>
      </c>
      <c r="M2201" t="s">
        <v>141</v>
      </c>
      <c r="N2201" t="s">
        <v>142</v>
      </c>
      <c r="O2201" t="s">
        <v>327</v>
      </c>
      <c r="P2201" t="s">
        <v>281</v>
      </c>
      <c r="Q2201" t="s">
        <v>328</v>
      </c>
      <c r="R2201" t="s">
        <v>360</v>
      </c>
      <c r="S2201" t="s">
        <v>387</v>
      </c>
      <c r="T2201">
        <v>2</v>
      </c>
      <c r="U2201" t="s">
        <v>451</v>
      </c>
      <c r="V2201" t="s">
        <v>303</v>
      </c>
      <c r="W2201" t="s">
        <v>452</v>
      </c>
      <c r="X2201" t="s">
        <v>331</v>
      </c>
      <c r="Y2201" t="s">
        <v>307</v>
      </c>
      <c r="Z2201">
        <v>70</v>
      </c>
      <c r="AA2201">
        <v>70</v>
      </c>
      <c r="AB2201" t="s">
        <v>143</v>
      </c>
      <c r="AC2201" t="s">
        <v>336</v>
      </c>
      <c r="AD2201" t="s">
        <v>401</v>
      </c>
      <c r="AE2201" t="str">
        <f>IF(AF2201="","",VLOOKUP(AC2201,mapel!$A$2:$B$42,2,FALSE))</f>
        <v>Pancasila</v>
      </c>
      <c r="AF2201">
        <f t="shared" si="102"/>
        <v>70</v>
      </c>
      <c r="AG2201" t="str">
        <f>IF(AF2201="","",IF(AF2201&gt;90,"Sangat baik",IF(AF2201&gt;79,"Baik",IF(AF2201&gt;=pub_gid_0_single_true_output_csv[[#This Row],[KKM]],"Cukup","Kurang"))))</f>
        <v>Cukup</v>
      </c>
      <c r="AH2201">
        <f t="shared" si="103"/>
        <v>12</v>
      </c>
      <c r="AI2201" s="30" t="str">
        <f>IF(OR(J2201&lt;&gt;"Karakter",pub_gid_0_single_true_output_csv[[#This Row],[Nilai2]]=""),"",IF(AF2201&gt;89,"Sangat baik",IF(AF2201&gt;79,"Baik",IF(AF2201&gt;69,"Cukup",IF(AF2201&gt;59,"Kurang","Sangat kurang")))))</f>
        <v/>
      </c>
      <c r="AJ2201" t="str">
        <f t="shared" si="104"/>
        <v>Wk.4</v>
      </c>
      <c r="AK2201" t="str">
        <f>IF(pub_gid_0_single_true_output_csv[[#This Row],[Nilai2]]="","",VLOOKUP(pub_gid_0_single_true_output_csv[[#This Row],[NAMA]],Table7[],3,FALSE))</f>
        <v>Average</v>
      </c>
    </row>
    <row r="2202" spans="1:37" x14ac:dyDescent="0.2">
      <c r="A2202">
        <v>2201</v>
      </c>
      <c r="B2202" t="s">
        <v>316</v>
      </c>
      <c r="C2202" t="s">
        <v>65</v>
      </c>
      <c r="D2202" t="s">
        <v>61</v>
      </c>
      <c r="E2202" t="s">
        <v>140</v>
      </c>
      <c r="F2202" s="25">
        <v>46041</v>
      </c>
      <c r="G2202" t="s">
        <v>370</v>
      </c>
      <c r="H2202" t="s">
        <v>405</v>
      </c>
      <c r="I2202" t="s">
        <v>371</v>
      </c>
      <c r="J2202" t="s">
        <v>90</v>
      </c>
      <c r="K2202" t="s">
        <v>92</v>
      </c>
      <c r="L2202" t="s">
        <v>398</v>
      </c>
      <c r="M2202" t="s">
        <v>141</v>
      </c>
      <c r="N2202" t="s">
        <v>142</v>
      </c>
      <c r="O2202" t="s">
        <v>327</v>
      </c>
      <c r="P2202" t="s">
        <v>281</v>
      </c>
      <c r="Q2202" t="s">
        <v>328</v>
      </c>
      <c r="R2202" t="s">
        <v>360</v>
      </c>
      <c r="S2202" t="s">
        <v>387</v>
      </c>
      <c r="T2202">
        <v>2</v>
      </c>
      <c r="U2202" t="s">
        <v>451</v>
      </c>
      <c r="V2202" t="s">
        <v>303</v>
      </c>
      <c r="W2202" t="s">
        <v>452</v>
      </c>
      <c r="X2202" t="s">
        <v>331</v>
      </c>
      <c r="Y2202" t="s">
        <v>307</v>
      </c>
      <c r="Z2202">
        <v>70</v>
      </c>
      <c r="AA2202">
        <v>74</v>
      </c>
      <c r="AB2202" t="s">
        <v>143</v>
      </c>
      <c r="AC2202" t="s">
        <v>336</v>
      </c>
      <c r="AD2202" t="s">
        <v>401</v>
      </c>
      <c r="AE2202" t="str">
        <f>IF(AF2202="","",VLOOKUP(AC2202,mapel!$A$2:$B$42,2,FALSE))</f>
        <v>Pancasila</v>
      </c>
      <c r="AF2202">
        <f t="shared" si="102"/>
        <v>74</v>
      </c>
      <c r="AG2202" t="str">
        <f>IF(AF2202="","",IF(AF2202&gt;90,"Sangat baik",IF(AF2202&gt;79,"Baik",IF(AF2202&gt;=pub_gid_0_single_true_output_csv[[#This Row],[KKM]],"Cukup","Kurang"))))</f>
        <v>Cukup</v>
      </c>
      <c r="AH2202">
        <f t="shared" si="103"/>
        <v>12</v>
      </c>
      <c r="AI2202" s="30" t="str">
        <f>IF(OR(J2202&lt;&gt;"Karakter",pub_gid_0_single_true_output_csv[[#This Row],[Nilai2]]=""),"",IF(AF2202&gt;89,"Sangat baik",IF(AF2202&gt;79,"Baik",IF(AF2202&gt;69,"Cukup",IF(AF2202&gt;59,"Kurang","Sangat kurang")))))</f>
        <v>Cukup</v>
      </c>
      <c r="AJ2202" t="str">
        <f t="shared" si="104"/>
        <v>Wk.4</v>
      </c>
      <c r="AK2202" t="str">
        <f>IF(pub_gid_0_single_true_output_csv[[#This Row],[Nilai2]]="","",VLOOKUP(pub_gid_0_single_true_output_csv[[#This Row],[NAMA]],Table7[],3,FALSE))</f>
        <v>Average</v>
      </c>
    </row>
    <row r="2203" spans="1:37" x14ac:dyDescent="0.2">
      <c r="A2203">
        <v>2202</v>
      </c>
      <c r="B2203" t="s">
        <v>316</v>
      </c>
      <c r="C2203" t="s">
        <v>65</v>
      </c>
      <c r="D2203" t="s">
        <v>61</v>
      </c>
      <c r="E2203" t="s">
        <v>140</v>
      </c>
      <c r="F2203" s="25">
        <v>46041</v>
      </c>
      <c r="G2203" t="s">
        <v>370</v>
      </c>
      <c r="H2203" t="s">
        <v>405</v>
      </c>
      <c r="I2203" t="s">
        <v>371</v>
      </c>
      <c r="J2203" t="s">
        <v>279</v>
      </c>
      <c r="K2203" t="s">
        <v>280</v>
      </c>
      <c r="L2203" t="s">
        <v>322</v>
      </c>
      <c r="M2203" t="s">
        <v>141</v>
      </c>
      <c r="N2203" t="s">
        <v>142</v>
      </c>
      <c r="O2203" t="s">
        <v>327</v>
      </c>
      <c r="P2203" t="s">
        <v>281</v>
      </c>
      <c r="Q2203" t="s">
        <v>328</v>
      </c>
      <c r="R2203" t="s">
        <v>360</v>
      </c>
      <c r="S2203" t="s">
        <v>387</v>
      </c>
      <c r="T2203">
        <v>2</v>
      </c>
      <c r="U2203" t="s">
        <v>451</v>
      </c>
      <c r="V2203" t="s">
        <v>303</v>
      </c>
      <c r="W2203" t="s">
        <v>452</v>
      </c>
      <c r="X2203" t="s">
        <v>331</v>
      </c>
      <c r="Y2203" t="s">
        <v>307</v>
      </c>
      <c r="Z2203">
        <v>70</v>
      </c>
      <c r="AA2203">
        <v>76</v>
      </c>
      <c r="AB2203" t="s">
        <v>143</v>
      </c>
      <c r="AC2203" t="s">
        <v>336</v>
      </c>
      <c r="AD2203" t="s">
        <v>401</v>
      </c>
      <c r="AE2203" t="str">
        <f>IF(AF2203="","",VLOOKUP(AC2203,mapel!$A$2:$B$42,2,FALSE))</f>
        <v>Pancasila</v>
      </c>
      <c r="AF2203">
        <f t="shared" si="102"/>
        <v>76</v>
      </c>
      <c r="AG2203" t="str">
        <f>IF(AF2203="","",IF(AF2203&gt;90,"Sangat baik",IF(AF2203&gt;79,"Baik",IF(AF2203&gt;=pub_gid_0_single_true_output_csv[[#This Row],[KKM]],"Cukup","Kurang"))))</f>
        <v>Cukup</v>
      </c>
      <c r="AH2203">
        <f t="shared" si="103"/>
        <v>12</v>
      </c>
      <c r="AI2203" s="30" t="str">
        <f>IF(OR(J2203&lt;&gt;"Karakter",pub_gid_0_single_true_output_csv[[#This Row],[Nilai2]]=""),"",IF(AF2203&gt;89,"Sangat baik",IF(AF2203&gt;79,"Baik",IF(AF2203&gt;69,"Cukup",IF(AF2203&gt;59,"Kurang","Sangat kurang")))))</f>
        <v/>
      </c>
      <c r="AJ2203" t="str">
        <f t="shared" si="104"/>
        <v>Wk.4</v>
      </c>
      <c r="AK2203" t="str">
        <f>IF(pub_gid_0_single_true_output_csv[[#This Row],[Nilai2]]="","",VLOOKUP(pub_gid_0_single_true_output_csv[[#This Row],[NAMA]],Table7[],3,FALSE))</f>
        <v>Average</v>
      </c>
    </row>
    <row r="2204" spans="1:37" x14ac:dyDescent="0.2">
      <c r="A2204">
        <v>2203</v>
      </c>
      <c r="B2204" t="s">
        <v>316</v>
      </c>
      <c r="C2204" t="s">
        <v>65</v>
      </c>
      <c r="D2204" t="s">
        <v>61</v>
      </c>
      <c r="E2204" t="s">
        <v>140</v>
      </c>
      <c r="F2204" s="25">
        <v>46055</v>
      </c>
      <c r="G2204" t="s">
        <v>379</v>
      </c>
      <c r="H2204" t="s">
        <v>412</v>
      </c>
      <c r="I2204" t="s">
        <v>371</v>
      </c>
      <c r="J2204" t="s">
        <v>90</v>
      </c>
      <c r="K2204" t="s">
        <v>377</v>
      </c>
      <c r="L2204" t="s">
        <v>400</v>
      </c>
      <c r="M2204" t="s">
        <v>141</v>
      </c>
      <c r="N2204" t="s">
        <v>142</v>
      </c>
      <c r="O2204" t="s">
        <v>327</v>
      </c>
      <c r="P2204" t="s">
        <v>281</v>
      </c>
      <c r="Q2204" t="s">
        <v>328</v>
      </c>
      <c r="R2204" t="s">
        <v>360</v>
      </c>
      <c r="S2204" t="s">
        <v>392</v>
      </c>
      <c r="T2204">
        <v>1</v>
      </c>
      <c r="U2204" t="s">
        <v>449</v>
      </c>
      <c r="V2204" t="s">
        <v>343</v>
      </c>
      <c r="W2204" t="s">
        <v>453</v>
      </c>
      <c r="X2204" t="s">
        <v>331</v>
      </c>
      <c r="Y2204" t="s">
        <v>307</v>
      </c>
      <c r="Z2204">
        <v>70</v>
      </c>
      <c r="AA2204">
        <v>77</v>
      </c>
      <c r="AB2204" t="s">
        <v>143</v>
      </c>
      <c r="AC2204" t="s">
        <v>336</v>
      </c>
      <c r="AD2204" t="s">
        <v>401</v>
      </c>
      <c r="AE2204" t="str">
        <f>IF(AF2204="","",VLOOKUP(AC2204,mapel!$A$2:$B$42,2,FALSE))</f>
        <v>Pancasila</v>
      </c>
      <c r="AF2204">
        <f t="shared" si="102"/>
        <v>77</v>
      </c>
      <c r="AG2204" t="str">
        <f>IF(AF2204="","",IF(AF2204&gt;90,"Sangat baik",IF(AF2204&gt;79,"Baik",IF(AF2204&gt;=pub_gid_0_single_true_output_csv[[#This Row],[KKM]],"Cukup","Kurang"))))</f>
        <v>Cukup</v>
      </c>
      <c r="AH2204">
        <f t="shared" si="103"/>
        <v>12</v>
      </c>
      <c r="AI2204" s="30" t="str">
        <f>IF(OR(J2204&lt;&gt;"Karakter",pub_gid_0_single_true_output_csv[[#This Row],[Nilai2]]=""),"",IF(AF2204&gt;89,"Sangat baik",IF(AF2204&gt;79,"Baik",IF(AF2204&gt;69,"Cukup",IF(AF2204&gt;59,"Kurang","Sangat kurang")))))</f>
        <v>Cukup</v>
      </c>
      <c r="AJ2204" t="str">
        <f t="shared" si="104"/>
        <v>Wk.6</v>
      </c>
      <c r="AK2204" t="str">
        <f>IF(pub_gid_0_single_true_output_csv[[#This Row],[Nilai2]]="","",VLOOKUP(pub_gid_0_single_true_output_csv[[#This Row],[NAMA]],Table7[],3,FALSE))</f>
        <v>Average</v>
      </c>
    </row>
    <row r="2205" spans="1:37" x14ac:dyDescent="0.2">
      <c r="A2205">
        <v>2204</v>
      </c>
      <c r="B2205" t="s">
        <v>316</v>
      </c>
      <c r="C2205" t="s">
        <v>65</v>
      </c>
      <c r="D2205" t="s">
        <v>61</v>
      </c>
      <c r="E2205" t="s">
        <v>140</v>
      </c>
      <c r="F2205" s="25">
        <v>46055</v>
      </c>
      <c r="G2205" t="s">
        <v>379</v>
      </c>
      <c r="H2205" t="s">
        <v>412</v>
      </c>
      <c r="I2205" t="s">
        <v>371</v>
      </c>
      <c r="J2205" t="s">
        <v>41</v>
      </c>
      <c r="K2205" t="s">
        <v>272</v>
      </c>
      <c r="L2205" t="s">
        <v>351</v>
      </c>
      <c r="M2205" t="s">
        <v>141</v>
      </c>
      <c r="N2205" t="s">
        <v>142</v>
      </c>
      <c r="O2205" t="s">
        <v>327</v>
      </c>
      <c r="P2205" t="s">
        <v>281</v>
      </c>
      <c r="Q2205" t="s">
        <v>328</v>
      </c>
      <c r="R2205" t="s">
        <v>360</v>
      </c>
      <c r="S2205" t="s">
        <v>392</v>
      </c>
      <c r="T2205">
        <v>1</v>
      </c>
      <c r="U2205" t="s">
        <v>449</v>
      </c>
      <c r="V2205" t="s">
        <v>343</v>
      </c>
      <c r="W2205" t="s">
        <v>453</v>
      </c>
      <c r="X2205" t="s">
        <v>331</v>
      </c>
      <c r="Y2205" t="s">
        <v>307</v>
      </c>
      <c r="Z2205">
        <v>70</v>
      </c>
      <c r="AA2205">
        <v>73</v>
      </c>
      <c r="AB2205" t="s">
        <v>143</v>
      </c>
      <c r="AC2205" t="s">
        <v>336</v>
      </c>
      <c r="AD2205" t="s">
        <v>401</v>
      </c>
      <c r="AE2205" t="str">
        <f>IF(AF2205="","",VLOOKUP(AC2205,mapel!$A$2:$B$42,2,FALSE))</f>
        <v>Pancasila</v>
      </c>
      <c r="AF2205">
        <f t="shared" si="102"/>
        <v>73</v>
      </c>
      <c r="AG2205" t="str">
        <f>IF(AF2205="","",IF(AF2205&gt;90,"Sangat baik",IF(AF2205&gt;79,"Baik",IF(AF2205&gt;=pub_gid_0_single_true_output_csv[[#This Row],[KKM]],"Cukup","Kurang"))))</f>
        <v>Cukup</v>
      </c>
      <c r="AH2205">
        <f t="shared" si="103"/>
        <v>12</v>
      </c>
      <c r="AI2205" s="30" t="str">
        <f>IF(OR(J2205&lt;&gt;"Karakter",pub_gid_0_single_true_output_csv[[#This Row],[Nilai2]]=""),"",IF(AF2205&gt;89,"Sangat baik",IF(AF2205&gt;79,"Baik",IF(AF2205&gt;69,"Cukup",IF(AF2205&gt;59,"Kurang","Sangat kurang")))))</f>
        <v/>
      </c>
      <c r="AJ2205" t="str">
        <f t="shared" si="104"/>
        <v>Wk.6</v>
      </c>
      <c r="AK2205" t="str">
        <f>IF(pub_gid_0_single_true_output_csv[[#This Row],[Nilai2]]="","",VLOOKUP(pub_gid_0_single_true_output_csv[[#This Row],[NAMA]],Table7[],3,FALSE))</f>
        <v>Average</v>
      </c>
    </row>
    <row r="2206" spans="1:37" x14ac:dyDescent="0.2">
      <c r="A2206">
        <v>2205</v>
      </c>
      <c r="B2206" t="s">
        <v>316</v>
      </c>
      <c r="C2206" t="s">
        <v>65</v>
      </c>
      <c r="D2206" t="s">
        <v>61</v>
      </c>
      <c r="E2206" t="s">
        <v>140</v>
      </c>
      <c r="F2206" s="25">
        <v>46055</v>
      </c>
      <c r="G2206" t="s">
        <v>379</v>
      </c>
      <c r="H2206" t="s">
        <v>412</v>
      </c>
      <c r="I2206" t="s">
        <v>371</v>
      </c>
      <c r="J2206" t="s">
        <v>279</v>
      </c>
      <c r="K2206" t="s">
        <v>280</v>
      </c>
      <c r="L2206" t="s">
        <v>322</v>
      </c>
      <c r="M2206" t="s">
        <v>141</v>
      </c>
      <c r="N2206" t="s">
        <v>142</v>
      </c>
      <c r="O2206" t="s">
        <v>327</v>
      </c>
      <c r="P2206" t="s">
        <v>281</v>
      </c>
      <c r="Q2206" t="s">
        <v>328</v>
      </c>
      <c r="R2206" t="s">
        <v>360</v>
      </c>
      <c r="S2206" t="s">
        <v>392</v>
      </c>
      <c r="T2206">
        <v>1</v>
      </c>
      <c r="U2206" t="s">
        <v>449</v>
      </c>
      <c r="V2206" t="s">
        <v>343</v>
      </c>
      <c r="W2206" t="s">
        <v>453</v>
      </c>
      <c r="X2206" t="s">
        <v>331</v>
      </c>
      <c r="Y2206" t="s">
        <v>307</v>
      </c>
      <c r="Z2206">
        <v>70</v>
      </c>
      <c r="AA2206">
        <v>73</v>
      </c>
      <c r="AB2206" t="s">
        <v>143</v>
      </c>
      <c r="AC2206" t="s">
        <v>336</v>
      </c>
      <c r="AD2206" t="s">
        <v>401</v>
      </c>
      <c r="AE2206" t="str">
        <f>IF(AF2206="","",VLOOKUP(AC2206,mapel!$A$2:$B$42,2,FALSE))</f>
        <v>Pancasila</v>
      </c>
      <c r="AF2206">
        <f t="shared" si="102"/>
        <v>73</v>
      </c>
      <c r="AG2206" t="str">
        <f>IF(AF2206="","",IF(AF2206&gt;90,"Sangat baik",IF(AF2206&gt;79,"Baik",IF(AF2206&gt;=pub_gid_0_single_true_output_csv[[#This Row],[KKM]],"Cukup","Kurang"))))</f>
        <v>Cukup</v>
      </c>
      <c r="AH2206">
        <f t="shared" si="103"/>
        <v>12</v>
      </c>
      <c r="AI2206" s="30" t="str">
        <f>IF(OR(J2206&lt;&gt;"Karakter",pub_gid_0_single_true_output_csv[[#This Row],[Nilai2]]=""),"",IF(AF2206&gt;89,"Sangat baik",IF(AF2206&gt;79,"Baik",IF(AF2206&gt;69,"Cukup",IF(AF2206&gt;59,"Kurang","Sangat kurang")))))</f>
        <v/>
      </c>
      <c r="AJ2206" t="str">
        <f t="shared" si="104"/>
        <v>Wk.6</v>
      </c>
      <c r="AK2206" t="str">
        <f>IF(pub_gid_0_single_true_output_csv[[#This Row],[Nilai2]]="","",VLOOKUP(pub_gid_0_single_true_output_csv[[#This Row],[NAMA]],Table7[],3,FALSE))</f>
        <v>Average</v>
      </c>
    </row>
    <row r="2207" spans="1:37" x14ac:dyDescent="0.2">
      <c r="A2207">
        <v>2206</v>
      </c>
      <c r="B2207" t="s">
        <v>316</v>
      </c>
      <c r="C2207" t="s">
        <v>65</v>
      </c>
      <c r="D2207" t="s">
        <v>61</v>
      </c>
      <c r="E2207" t="s">
        <v>140</v>
      </c>
      <c r="F2207" s="25">
        <v>46055</v>
      </c>
      <c r="G2207" t="s">
        <v>379</v>
      </c>
      <c r="H2207" t="s">
        <v>412</v>
      </c>
      <c r="I2207" t="s">
        <v>371</v>
      </c>
      <c r="J2207" t="s">
        <v>31</v>
      </c>
      <c r="K2207" t="s">
        <v>96</v>
      </c>
      <c r="L2207" t="s">
        <v>351</v>
      </c>
      <c r="M2207" t="s">
        <v>141</v>
      </c>
      <c r="N2207" t="s">
        <v>142</v>
      </c>
      <c r="O2207" t="s">
        <v>327</v>
      </c>
      <c r="P2207" t="s">
        <v>281</v>
      </c>
      <c r="Q2207" t="s">
        <v>328</v>
      </c>
      <c r="R2207" t="s">
        <v>360</v>
      </c>
      <c r="S2207" t="s">
        <v>392</v>
      </c>
      <c r="T2207">
        <v>1</v>
      </c>
      <c r="U2207" t="s">
        <v>449</v>
      </c>
      <c r="V2207" t="s">
        <v>343</v>
      </c>
      <c r="W2207" t="s">
        <v>453</v>
      </c>
      <c r="X2207" t="s">
        <v>331</v>
      </c>
      <c r="Y2207" t="s">
        <v>307</v>
      </c>
      <c r="Z2207">
        <v>70</v>
      </c>
      <c r="AA2207">
        <v>70</v>
      </c>
      <c r="AB2207" t="s">
        <v>143</v>
      </c>
      <c r="AC2207" t="s">
        <v>336</v>
      </c>
      <c r="AD2207" t="s">
        <v>401</v>
      </c>
      <c r="AE2207" t="str">
        <f>IF(AF2207="","",VLOOKUP(AC2207,mapel!$A$2:$B$42,2,FALSE))</f>
        <v>Pancasila</v>
      </c>
      <c r="AF2207">
        <f t="shared" si="102"/>
        <v>70</v>
      </c>
      <c r="AG2207" t="str">
        <f>IF(AF2207="","",IF(AF2207&gt;90,"Sangat baik",IF(AF2207&gt;79,"Baik",IF(AF2207&gt;=pub_gid_0_single_true_output_csv[[#This Row],[KKM]],"Cukup","Kurang"))))</f>
        <v>Cukup</v>
      </c>
      <c r="AH2207">
        <f t="shared" si="103"/>
        <v>12</v>
      </c>
      <c r="AI2207" s="30" t="str">
        <f>IF(OR(J2207&lt;&gt;"Karakter",pub_gid_0_single_true_output_csv[[#This Row],[Nilai2]]=""),"",IF(AF2207&gt;89,"Sangat baik",IF(AF2207&gt;79,"Baik",IF(AF2207&gt;69,"Cukup",IF(AF2207&gt;59,"Kurang","Sangat kurang")))))</f>
        <v/>
      </c>
      <c r="AJ2207" t="str">
        <f t="shared" si="104"/>
        <v>Wk.6</v>
      </c>
      <c r="AK2207" t="str">
        <f>IF(pub_gid_0_single_true_output_csv[[#This Row],[Nilai2]]="","",VLOOKUP(pub_gid_0_single_true_output_csv[[#This Row],[NAMA]],Table7[],3,FALSE))</f>
        <v>Average</v>
      </c>
    </row>
    <row r="2208" spans="1:37" x14ac:dyDescent="0.2">
      <c r="A2208">
        <v>2207</v>
      </c>
      <c r="B2208" t="s">
        <v>316</v>
      </c>
      <c r="C2208" t="s">
        <v>65</v>
      </c>
      <c r="D2208" t="s">
        <v>61</v>
      </c>
      <c r="E2208" t="s">
        <v>140</v>
      </c>
      <c r="F2208" s="25">
        <v>46055</v>
      </c>
      <c r="G2208" t="s">
        <v>379</v>
      </c>
      <c r="H2208" t="s">
        <v>412</v>
      </c>
      <c r="I2208" t="s">
        <v>371</v>
      </c>
      <c r="J2208" t="s">
        <v>36</v>
      </c>
      <c r="K2208" t="s">
        <v>37</v>
      </c>
      <c r="L2208" t="s">
        <v>150</v>
      </c>
      <c r="M2208" t="s">
        <v>141</v>
      </c>
      <c r="N2208" t="s">
        <v>142</v>
      </c>
      <c r="O2208" t="s">
        <v>327</v>
      </c>
      <c r="P2208" t="s">
        <v>281</v>
      </c>
      <c r="Q2208" t="s">
        <v>328</v>
      </c>
      <c r="R2208" t="s">
        <v>360</v>
      </c>
      <c r="S2208" t="s">
        <v>392</v>
      </c>
      <c r="T2208">
        <v>1</v>
      </c>
      <c r="U2208" t="s">
        <v>449</v>
      </c>
      <c r="V2208" t="s">
        <v>343</v>
      </c>
      <c r="W2208" t="s">
        <v>453</v>
      </c>
      <c r="X2208" t="s">
        <v>331</v>
      </c>
      <c r="Y2208" t="s">
        <v>307</v>
      </c>
      <c r="Z2208">
        <v>70</v>
      </c>
      <c r="AA2208">
        <v>68</v>
      </c>
      <c r="AB2208" t="s">
        <v>151</v>
      </c>
      <c r="AC2208" t="s">
        <v>336</v>
      </c>
      <c r="AD2208" t="s">
        <v>401</v>
      </c>
      <c r="AE2208" t="str">
        <f>IF(AF2208="","",VLOOKUP(AC2208,mapel!$A$2:$B$42,2,FALSE))</f>
        <v>Pancasila</v>
      </c>
      <c r="AF2208">
        <f t="shared" si="102"/>
        <v>68</v>
      </c>
      <c r="AG2208" t="str">
        <f>IF(AF2208="","",IF(AF2208&gt;90,"Sangat baik",IF(AF2208&gt;79,"Baik",IF(AF2208&gt;=pub_gid_0_single_true_output_csv[[#This Row],[KKM]],"Cukup","Kurang"))))</f>
        <v>Kurang</v>
      </c>
      <c r="AH2208">
        <f t="shared" si="103"/>
        <v>12</v>
      </c>
      <c r="AI2208" s="30" t="str">
        <f>IF(OR(J2208&lt;&gt;"Karakter",pub_gid_0_single_true_output_csv[[#This Row],[Nilai2]]=""),"",IF(AF2208&gt;89,"Sangat baik",IF(AF2208&gt;79,"Baik",IF(AF2208&gt;69,"Cukup",IF(AF2208&gt;59,"Kurang","Sangat kurang")))))</f>
        <v/>
      </c>
      <c r="AJ2208" t="str">
        <f t="shared" si="104"/>
        <v>Wk.6</v>
      </c>
      <c r="AK2208" t="str">
        <f>IF(pub_gid_0_single_true_output_csv[[#This Row],[Nilai2]]="","",VLOOKUP(pub_gid_0_single_true_output_csv[[#This Row],[NAMA]],Table7[],3,FALSE))</f>
        <v>Average</v>
      </c>
    </row>
    <row r="2209" spans="1:37" x14ac:dyDescent="0.2">
      <c r="A2209">
        <v>2208</v>
      </c>
      <c r="B2209" t="s">
        <v>316</v>
      </c>
      <c r="C2209" t="s">
        <v>65</v>
      </c>
      <c r="D2209" t="s">
        <v>61</v>
      </c>
      <c r="E2209" t="s">
        <v>140</v>
      </c>
      <c r="F2209" s="25">
        <v>46059</v>
      </c>
      <c r="G2209" t="s">
        <v>349</v>
      </c>
      <c r="H2209" t="s">
        <v>412</v>
      </c>
      <c r="I2209" t="s">
        <v>371</v>
      </c>
      <c r="J2209" t="s">
        <v>41</v>
      </c>
      <c r="K2209" t="s">
        <v>357</v>
      </c>
      <c r="L2209" t="s">
        <v>351</v>
      </c>
      <c r="M2209" t="s">
        <v>141</v>
      </c>
      <c r="N2209" t="s">
        <v>142</v>
      </c>
      <c r="O2209" t="s">
        <v>327</v>
      </c>
      <c r="P2209" t="s">
        <v>281</v>
      </c>
      <c r="Q2209" t="s">
        <v>328</v>
      </c>
      <c r="R2209" t="s">
        <v>360</v>
      </c>
      <c r="S2209" t="s">
        <v>454</v>
      </c>
      <c r="T2209">
        <v>1</v>
      </c>
      <c r="U2209" t="s">
        <v>449</v>
      </c>
      <c r="V2209" t="s">
        <v>344</v>
      </c>
      <c r="W2209" t="s">
        <v>455</v>
      </c>
      <c r="X2209" t="s">
        <v>331</v>
      </c>
      <c r="Y2209" t="s">
        <v>307</v>
      </c>
      <c r="Z2209">
        <v>70</v>
      </c>
      <c r="AA2209">
        <v>75</v>
      </c>
      <c r="AB2209" t="s">
        <v>143</v>
      </c>
      <c r="AC2209" t="s">
        <v>336</v>
      </c>
      <c r="AD2209" t="s">
        <v>401</v>
      </c>
      <c r="AE2209" t="str">
        <f>IF(AF2209="","",VLOOKUP(AC2209,mapel!$A$2:$B$42,2,FALSE))</f>
        <v>Pancasila</v>
      </c>
      <c r="AF2209">
        <f t="shared" si="102"/>
        <v>75</v>
      </c>
      <c r="AG2209" t="str">
        <f>IF(AF2209="","",IF(AF2209&gt;90,"Sangat baik",IF(AF2209&gt;79,"Baik",IF(AF2209&gt;=pub_gid_0_single_true_output_csv[[#This Row],[KKM]],"Cukup","Kurang"))))</f>
        <v>Cukup</v>
      </c>
      <c r="AH2209">
        <f t="shared" si="103"/>
        <v>12</v>
      </c>
      <c r="AI2209" s="30" t="str">
        <f>IF(OR(J2209&lt;&gt;"Karakter",pub_gid_0_single_true_output_csv[[#This Row],[Nilai2]]=""),"",IF(AF2209&gt;89,"Sangat baik",IF(AF2209&gt;79,"Baik",IF(AF2209&gt;69,"Cukup",IF(AF2209&gt;59,"Kurang","Sangat kurang")))))</f>
        <v/>
      </c>
      <c r="AJ2209" t="str">
        <f t="shared" si="104"/>
        <v>Wk.6</v>
      </c>
      <c r="AK2209" t="str">
        <f>IF(pub_gid_0_single_true_output_csv[[#This Row],[Nilai2]]="","",VLOOKUP(pub_gid_0_single_true_output_csv[[#This Row],[NAMA]],Table7[],3,FALSE))</f>
        <v>Average</v>
      </c>
    </row>
    <row r="2210" spans="1:37" x14ac:dyDescent="0.2">
      <c r="A2210">
        <v>2209</v>
      </c>
      <c r="B2210" t="s">
        <v>316</v>
      </c>
      <c r="C2210" t="s">
        <v>65</v>
      </c>
      <c r="D2210" t="s">
        <v>61</v>
      </c>
      <c r="E2210" t="s">
        <v>140</v>
      </c>
      <c r="F2210" s="25">
        <v>46059</v>
      </c>
      <c r="G2210" t="s">
        <v>349</v>
      </c>
      <c r="H2210" t="s">
        <v>412</v>
      </c>
      <c r="I2210" t="s">
        <v>371</v>
      </c>
      <c r="J2210" t="s">
        <v>36</v>
      </c>
      <c r="K2210" t="s">
        <v>37</v>
      </c>
      <c r="L2210" t="s">
        <v>351</v>
      </c>
      <c r="M2210" t="s">
        <v>141</v>
      </c>
      <c r="N2210" t="s">
        <v>142</v>
      </c>
      <c r="O2210" t="s">
        <v>327</v>
      </c>
      <c r="P2210" t="s">
        <v>281</v>
      </c>
      <c r="Q2210" t="s">
        <v>328</v>
      </c>
      <c r="R2210" t="s">
        <v>360</v>
      </c>
      <c r="S2210" t="s">
        <v>392</v>
      </c>
      <c r="T2210">
        <v>1</v>
      </c>
      <c r="U2210" t="s">
        <v>449</v>
      </c>
      <c r="V2210" t="s">
        <v>343</v>
      </c>
      <c r="W2210" t="s">
        <v>453</v>
      </c>
      <c r="X2210" t="s">
        <v>331</v>
      </c>
      <c r="Y2210" t="s">
        <v>307</v>
      </c>
      <c r="Z2210">
        <v>70</v>
      </c>
      <c r="AA2210">
        <v>75</v>
      </c>
      <c r="AB2210" t="s">
        <v>143</v>
      </c>
      <c r="AC2210" t="s">
        <v>336</v>
      </c>
      <c r="AD2210" t="s">
        <v>401</v>
      </c>
      <c r="AE2210" t="str">
        <f>IF(AF2210="","",VLOOKUP(AC2210,mapel!$A$2:$B$42,2,FALSE))</f>
        <v>Pancasila</v>
      </c>
      <c r="AF2210">
        <f t="shared" si="102"/>
        <v>75</v>
      </c>
      <c r="AG2210" t="str">
        <f>IF(AF2210="","",IF(AF2210&gt;90,"Sangat baik",IF(AF2210&gt;79,"Baik",IF(AF2210&gt;=pub_gid_0_single_true_output_csv[[#This Row],[KKM]],"Cukup","Kurang"))))</f>
        <v>Cukup</v>
      </c>
      <c r="AH2210">
        <f t="shared" si="103"/>
        <v>12</v>
      </c>
      <c r="AI2210" s="30" t="str">
        <f>IF(OR(J2210&lt;&gt;"Karakter",pub_gid_0_single_true_output_csv[[#This Row],[Nilai2]]=""),"",IF(AF2210&gt;89,"Sangat baik",IF(AF2210&gt;79,"Baik",IF(AF2210&gt;69,"Cukup",IF(AF2210&gt;59,"Kurang","Sangat kurang")))))</f>
        <v/>
      </c>
      <c r="AJ2210" t="str">
        <f t="shared" si="104"/>
        <v>Wk.6</v>
      </c>
      <c r="AK2210" t="str">
        <f>IF(pub_gid_0_single_true_output_csv[[#This Row],[Nilai2]]="","",VLOOKUP(pub_gid_0_single_true_output_csv[[#This Row],[NAMA]],Table7[],3,FALSE))</f>
        <v>Average</v>
      </c>
    </row>
    <row r="2211" spans="1:37" x14ac:dyDescent="0.2">
      <c r="A2211">
        <v>2210</v>
      </c>
      <c r="B2211" t="s">
        <v>317</v>
      </c>
      <c r="C2211" t="s">
        <v>65</v>
      </c>
      <c r="D2211" t="s">
        <v>62</v>
      </c>
      <c r="E2211" t="s">
        <v>140</v>
      </c>
      <c r="F2211" s="25">
        <v>46034</v>
      </c>
      <c r="G2211" t="s">
        <v>354</v>
      </c>
      <c r="H2211" t="s">
        <v>405</v>
      </c>
      <c r="I2211" t="s">
        <v>371</v>
      </c>
      <c r="J2211" t="s">
        <v>90</v>
      </c>
      <c r="K2211" t="s">
        <v>92</v>
      </c>
      <c r="L2211" t="s">
        <v>91</v>
      </c>
      <c r="M2211" t="s">
        <v>141</v>
      </c>
      <c r="N2211" t="s">
        <v>142</v>
      </c>
      <c r="O2211" t="s">
        <v>327</v>
      </c>
      <c r="P2211" t="s">
        <v>281</v>
      </c>
      <c r="Q2211" t="s">
        <v>328</v>
      </c>
      <c r="R2211" t="s">
        <v>360</v>
      </c>
      <c r="S2211" t="s">
        <v>330</v>
      </c>
      <c r="T2211">
        <v>1</v>
      </c>
      <c r="U2211" t="s">
        <v>449</v>
      </c>
      <c r="V2211" t="s">
        <v>285</v>
      </c>
      <c r="W2211" t="s">
        <v>450</v>
      </c>
      <c r="X2211" t="s">
        <v>331</v>
      </c>
      <c r="Y2211" t="s">
        <v>307</v>
      </c>
      <c r="Z2211">
        <v>70</v>
      </c>
      <c r="AA2211">
        <v>76</v>
      </c>
      <c r="AB2211" t="s">
        <v>143</v>
      </c>
      <c r="AC2211" t="s">
        <v>336</v>
      </c>
      <c r="AD2211" t="s">
        <v>401</v>
      </c>
      <c r="AE2211" t="str">
        <f>IF(AF2211="","",VLOOKUP(AC2211,mapel!$A$2:$B$42,2,FALSE))</f>
        <v>Pancasila</v>
      </c>
      <c r="AF2211">
        <f t="shared" si="102"/>
        <v>76</v>
      </c>
      <c r="AG2211" t="str">
        <f>IF(AF2211="","",IF(AF2211&gt;90,"Sangat baik",IF(AF2211&gt;79,"Baik",IF(AF2211&gt;=pub_gid_0_single_true_output_csv[[#This Row],[KKM]],"Cukup","Kurang"))))</f>
        <v>Cukup</v>
      </c>
      <c r="AH2211">
        <f t="shared" si="103"/>
        <v>12</v>
      </c>
      <c r="AI2211" s="30" t="str">
        <f>IF(OR(J2211&lt;&gt;"Karakter",pub_gid_0_single_true_output_csv[[#This Row],[Nilai2]]=""),"",IF(AF2211&gt;89,"Sangat baik",IF(AF2211&gt;79,"Baik",IF(AF2211&gt;69,"Cukup",IF(AF2211&gt;59,"Kurang","Sangat kurang")))))</f>
        <v>Cukup</v>
      </c>
      <c r="AJ2211" t="str">
        <f t="shared" si="104"/>
        <v>Wk.3</v>
      </c>
      <c r="AK2211" t="str">
        <f>IF(pub_gid_0_single_true_output_csv[[#This Row],[Nilai2]]="","",VLOOKUP(pub_gid_0_single_true_output_csv[[#This Row],[NAMA]],Table7[],3,FALSE))</f>
        <v>Borderline</v>
      </c>
    </row>
    <row r="2212" spans="1:37" x14ac:dyDescent="0.2">
      <c r="A2212">
        <v>2211</v>
      </c>
      <c r="B2212" t="s">
        <v>317</v>
      </c>
      <c r="C2212" t="s">
        <v>65</v>
      </c>
      <c r="D2212" t="s">
        <v>62</v>
      </c>
      <c r="E2212" t="s">
        <v>140</v>
      </c>
      <c r="F2212" s="25">
        <v>46034</v>
      </c>
      <c r="G2212" t="s">
        <v>354</v>
      </c>
      <c r="H2212" t="s">
        <v>405</v>
      </c>
      <c r="I2212" t="s">
        <v>371</v>
      </c>
      <c r="J2212" t="s">
        <v>279</v>
      </c>
      <c r="K2212" t="s">
        <v>280</v>
      </c>
      <c r="L2212" t="s">
        <v>322</v>
      </c>
      <c r="M2212" t="s">
        <v>141</v>
      </c>
      <c r="N2212" t="s">
        <v>142</v>
      </c>
      <c r="O2212" t="s">
        <v>327</v>
      </c>
      <c r="P2212" t="s">
        <v>281</v>
      </c>
      <c r="Q2212" t="s">
        <v>328</v>
      </c>
      <c r="R2212" t="s">
        <v>360</v>
      </c>
      <c r="S2212" t="s">
        <v>330</v>
      </c>
      <c r="T2212">
        <v>1</v>
      </c>
      <c r="U2212" t="s">
        <v>449</v>
      </c>
      <c r="V2212" t="s">
        <v>285</v>
      </c>
      <c r="W2212" t="s">
        <v>450</v>
      </c>
      <c r="X2212" t="s">
        <v>331</v>
      </c>
      <c r="Y2212" t="s">
        <v>307</v>
      </c>
      <c r="Z2212">
        <v>70</v>
      </c>
      <c r="AA2212">
        <v>74</v>
      </c>
      <c r="AB2212" t="s">
        <v>143</v>
      </c>
      <c r="AC2212" t="s">
        <v>336</v>
      </c>
      <c r="AD2212" t="s">
        <v>401</v>
      </c>
      <c r="AE2212" t="str">
        <f>IF(AF2212="","",VLOOKUP(AC2212,mapel!$A$2:$B$42,2,FALSE))</f>
        <v>Pancasila</v>
      </c>
      <c r="AF2212">
        <f t="shared" si="102"/>
        <v>74</v>
      </c>
      <c r="AG2212" t="str">
        <f>IF(AF2212="","",IF(AF2212&gt;90,"Sangat baik",IF(AF2212&gt;79,"Baik",IF(AF2212&gt;=pub_gid_0_single_true_output_csv[[#This Row],[KKM]],"Cukup","Kurang"))))</f>
        <v>Cukup</v>
      </c>
      <c r="AH2212">
        <f t="shared" si="103"/>
        <v>12</v>
      </c>
      <c r="AI2212" s="30" t="str">
        <f>IF(OR(J2212&lt;&gt;"Karakter",pub_gid_0_single_true_output_csv[[#This Row],[Nilai2]]=""),"",IF(AF2212&gt;89,"Sangat baik",IF(AF2212&gt;79,"Baik",IF(AF2212&gt;69,"Cukup",IF(AF2212&gt;59,"Kurang","Sangat kurang")))))</f>
        <v/>
      </c>
      <c r="AJ2212" t="str">
        <f t="shared" si="104"/>
        <v>Wk.3</v>
      </c>
      <c r="AK2212" t="str">
        <f>IF(pub_gid_0_single_true_output_csv[[#This Row],[Nilai2]]="","",VLOOKUP(pub_gid_0_single_true_output_csv[[#This Row],[NAMA]],Table7[],3,FALSE))</f>
        <v>Borderline</v>
      </c>
    </row>
    <row r="2213" spans="1:37" x14ac:dyDescent="0.2">
      <c r="A2213">
        <v>2212</v>
      </c>
      <c r="B2213" t="s">
        <v>317</v>
      </c>
      <c r="C2213" t="s">
        <v>65</v>
      </c>
      <c r="D2213" t="s">
        <v>62</v>
      </c>
      <c r="E2213" t="s">
        <v>140</v>
      </c>
      <c r="F2213" s="25">
        <v>46034</v>
      </c>
      <c r="G2213" t="s">
        <v>354</v>
      </c>
      <c r="H2213" t="s">
        <v>405</v>
      </c>
      <c r="I2213" t="s">
        <v>371</v>
      </c>
      <c r="J2213" t="s">
        <v>31</v>
      </c>
      <c r="K2213" t="s">
        <v>96</v>
      </c>
      <c r="L2213" t="s">
        <v>351</v>
      </c>
      <c r="M2213" t="s">
        <v>141</v>
      </c>
      <c r="N2213" t="s">
        <v>142</v>
      </c>
      <c r="O2213" t="s">
        <v>327</v>
      </c>
      <c r="P2213" t="s">
        <v>281</v>
      </c>
      <c r="Q2213" t="s">
        <v>328</v>
      </c>
      <c r="R2213" t="s">
        <v>360</v>
      </c>
      <c r="S2213" t="s">
        <v>330</v>
      </c>
      <c r="T2213">
        <v>1</v>
      </c>
      <c r="U2213" t="s">
        <v>449</v>
      </c>
      <c r="V2213" t="s">
        <v>285</v>
      </c>
      <c r="W2213" t="s">
        <v>450</v>
      </c>
      <c r="X2213" t="s">
        <v>331</v>
      </c>
      <c r="Y2213" t="s">
        <v>307</v>
      </c>
      <c r="Z2213">
        <v>70</v>
      </c>
      <c r="AA2213">
        <v>60</v>
      </c>
      <c r="AB2213" t="s">
        <v>151</v>
      </c>
      <c r="AC2213" t="s">
        <v>336</v>
      </c>
      <c r="AD2213" t="s">
        <v>401</v>
      </c>
      <c r="AE2213" t="str">
        <f>IF(AF2213="","",VLOOKUP(AC2213,mapel!$A$2:$B$42,2,FALSE))</f>
        <v>Pancasila</v>
      </c>
      <c r="AF2213">
        <f t="shared" si="102"/>
        <v>60</v>
      </c>
      <c r="AG2213" t="str">
        <f>IF(AF2213="","",IF(AF2213&gt;90,"Sangat baik",IF(AF2213&gt;79,"Baik",IF(AF2213&gt;=pub_gid_0_single_true_output_csv[[#This Row],[KKM]],"Cukup","Kurang"))))</f>
        <v>Kurang</v>
      </c>
      <c r="AH2213">
        <f t="shared" si="103"/>
        <v>12</v>
      </c>
      <c r="AI2213" s="30" t="str">
        <f>IF(OR(J2213&lt;&gt;"Karakter",pub_gid_0_single_true_output_csv[[#This Row],[Nilai2]]=""),"",IF(AF2213&gt;89,"Sangat baik",IF(AF2213&gt;79,"Baik",IF(AF2213&gt;69,"Cukup",IF(AF2213&gt;59,"Kurang","Sangat kurang")))))</f>
        <v/>
      </c>
      <c r="AJ2213" t="str">
        <f t="shared" si="104"/>
        <v>Wk.3</v>
      </c>
      <c r="AK2213" t="str">
        <f>IF(pub_gid_0_single_true_output_csv[[#This Row],[Nilai2]]="","",VLOOKUP(pub_gid_0_single_true_output_csv[[#This Row],[NAMA]],Table7[],3,FALSE))</f>
        <v>Borderline</v>
      </c>
    </row>
    <row r="2214" spans="1:37" x14ac:dyDescent="0.2">
      <c r="A2214">
        <v>2213</v>
      </c>
      <c r="B2214" t="s">
        <v>317</v>
      </c>
      <c r="C2214" t="s">
        <v>65</v>
      </c>
      <c r="D2214" t="s">
        <v>62</v>
      </c>
      <c r="E2214" t="s">
        <v>140</v>
      </c>
      <c r="F2214" s="25">
        <v>46034</v>
      </c>
      <c r="G2214" t="s">
        <v>354</v>
      </c>
      <c r="H2214" t="s">
        <v>405</v>
      </c>
      <c r="I2214" t="s">
        <v>371</v>
      </c>
      <c r="J2214" t="s">
        <v>36</v>
      </c>
      <c r="K2214" t="s">
        <v>37</v>
      </c>
      <c r="L2214" t="s">
        <v>351</v>
      </c>
      <c r="M2214" t="s">
        <v>141</v>
      </c>
      <c r="N2214" t="s">
        <v>142</v>
      </c>
      <c r="O2214" t="s">
        <v>327</v>
      </c>
      <c r="P2214" t="s">
        <v>281</v>
      </c>
      <c r="Q2214" t="s">
        <v>328</v>
      </c>
      <c r="R2214" t="s">
        <v>360</v>
      </c>
      <c r="S2214" t="s">
        <v>330</v>
      </c>
      <c r="T2214">
        <v>1</v>
      </c>
      <c r="U2214" t="s">
        <v>449</v>
      </c>
      <c r="V2214" t="s">
        <v>285</v>
      </c>
      <c r="W2214" t="s">
        <v>450</v>
      </c>
      <c r="X2214" t="s">
        <v>331</v>
      </c>
      <c r="Y2214" t="s">
        <v>307</v>
      </c>
      <c r="Z2214">
        <v>70</v>
      </c>
      <c r="AA2214">
        <v>65</v>
      </c>
      <c r="AB2214" t="s">
        <v>151</v>
      </c>
      <c r="AC2214" t="s">
        <v>336</v>
      </c>
      <c r="AD2214" t="s">
        <v>401</v>
      </c>
      <c r="AE2214" t="str">
        <f>IF(AF2214="","",VLOOKUP(AC2214,mapel!$A$2:$B$42,2,FALSE))</f>
        <v>Pancasila</v>
      </c>
      <c r="AF2214">
        <f t="shared" si="102"/>
        <v>65</v>
      </c>
      <c r="AG2214" t="str">
        <f>IF(AF2214="","",IF(AF2214&gt;90,"Sangat baik",IF(AF2214&gt;79,"Baik",IF(AF2214&gt;=pub_gid_0_single_true_output_csv[[#This Row],[KKM]],"Cukup","Kurang"))))</f>
        <v>Kurang</v>
      </c>
      <c r="AH2214">
        <f t="shared" si="103"/>
        <v>12</v>
      </c>
      <c r="AI2214" s="30" t="str">
        <f>IF(OR(J2214&lt;&gt;"Karakter",pub_gid_0_single_true_output_csv[[#This Row],[Nilai2]]=""),"",IF(AF2214&gt;89,"Sangat baik",IF(AF2214&gt;79,"Baik",IF(AF2214&gt;69,"Cukup",IF(AF2214&gt;59,"Kurang","Sangat kurang")))))</f>
        <v/>
      </c>
      <c r="AJ2214" t="str">
        <f t="shared" si="104"/>
        <v>Wk.3</v>
      </c>
      <c r="AK2214" t="str">
        <f>IF(pub_gid_0_single_true_output_csv[[#This Row],[Nilai2]]="","",VLOOKUP(pub_gid_0_single_true_output_csv[[#This Row],[NAMA]],Table7[],3,FALSE))</f>
        <v>Borderline</v>
      </c>
    </row>
    <row r="2215" spans="1:37" x14ac:dyDescent="0.2">
      <c r="A2215">
        <v>2214</v>
      </c>
      <c r="B2215" t="s">
        <v>317</v>
      </c>
      <c r="C2215" t="s">
        <v>65</v>
      </c>
      <c r="D2215" t="s">
        <v>62</v>
      </c>
      <c r="E2215" t="s">
        <v>140</v>
      </c>
      <c r="F2215" s="25">
        <v>46038</v>
      </c>
      <c r="G2215" t="s">
        <v>382</v>
      </c>
      <c r="H2215" t="s">
        <v>405</v>
      </c>
      <c r="I2215" t="s">
        <v>371</v>
      </c>
      <c r="J2215" t="s">
        <v>36</v>
      </c>
      <c r="K2215" t="s">
        <v>37</v>
      </c>
      <c r="L2215" t="s">
        <v>351</v>
      </c>
      <c r="M2215" t="s">
        <v>397</v>
      </c>
      <c r="N2215" t="s">
        <v>142</v>
      </c>
      <c r="O2215" t="s">
        <v>327</v>
      </c>
      <c r="P2215" t="s">
        <v>281</v>
      </c>
      <c r="Q2215" t="s">
        <v>328</v>
      </c>
      <c r="R2215" t="s">
        <v>360</v>
      </c>
      <c r="S2215" t="s">
        <v>330</v>
      </c>
      <c r="T2215">
        <v>1</v>
      </c>
      <c r="U2215" t="s">
        <v>449</v>
      </c>
      <c r="V2215" t="s">
        <v>285</v>
      </c>
      <c r="W2215" t="s">
        <v>450</v>
      </c>
      <c r="X2215" t="s">
        <v>331</v>
      </c>
      <c r="Y2215" t="s">
        <v>307</v>
      </c>
      <c r="Z2215">
        <v>70</v>
      </c>
      <c r="AA2215">
        <v>70</v>
      </c>
      <c r="AB2215" t="s">
        <v>143</v>
      </c>
      <c r="AC2215" t="s">
        <v>336</v>
      </c>
      <c r="AD2215" t="s">
        <v>401</v>
      </c>
      <c r="AE2215" t="str">
        <f>IF(AF2215="","",VLOOKUP(AC2215,mapel!$A$2:$B$42,2,FALSE))</f>
        <v>Pancasila</v>
      </c>
      <c r="AF2215">
        <f t="shared" si="102"/>
        <v>70</v>
      </c>
      <c r="AG2215" t="str">
        <f>IF(AF2215="","",IF(AF2215&gt;90,"Sangat baik",IF(AF2215&gt;79,"Baik",IF(AF2215&gt;=pub_gid_0_single_true_output_csv[[#This Row],[KKM]],"Cukup","Kurang"))))</f>
        <v>Cukup</v>
      </c>
      <c r="AH2215">
        <f t="shared" si="103"/>
        <v>12</v>
      </c>
      <c r="AI2215" s="30" t="str">
        <f>IF(OR(J2215&lt;&gt;"Karakter",pub_gid_0_single_true_output_csv[[#This Row],[Nilai2]]=""),"",IF(AF2215&gt;89,"Sangat baik",IF(AF2215&gt;79,"Baik",IF(AF2215&gt;69,"Cukup",IF(AF2215&gt;59,"Kurang","Sangat kurang")))))</f>
        <v/>
      </c>
      <c r="AJ2215" t="str">
        <f t="shared" si="104"/>
        <v>Wk.3</v>
      </c>
      <c r="AK2215" t="str">
        <f>IF(pub_gid_0_single_true_output_csv[[#This Row],[Nilai2]]="","",VLOOKUP(pub_gid_0_single_true_output_csv[[#This Row],[NAMA]],Table7[],3,FALSE))</f>
        <v>Borderline</v>
      </c>
    </row>
    <row r="2216" spans="1:37" x14ac:dyDescent="0.2">
      <c r="A2216">
        <v>2215</v>
      </c>
      <c r="B2216" t="s">
        <v>317</v>
      </c>
      <c r="C2216" t="s">
        <v>65</v>
      </c>
      <c r="D2216" t="s">
        <v>62</v>
      </c>
      <c r="E2216" t="s">
        <v>140</v>
      </c>
      <c r="F2216" s="25">
        <v>46041</v>
      </c>
      <c r="G2216" t="s">
        <v>370</v>
      </c>
      <c r="H2216" t="s">
        <v>405</v>
      </c>
      <c r="I2216" t="s">
        <v>371</v>
      </c>
      <c r="J2216" t="s">
        <v>36</v>
      </c>
      <c r="K2216" t="s">
        <v>37</v>
      </c>
      <c r="L2216" t="s">
        <v>351</v>
      </c>
      <c r="M2216" t="s">
        <v>141</v>
      </c>
      <c r="N2216" t="s">
        <v>142</v>
      </c>
      <c r="O2216" t="s">
        <v>327</v>
      </c>
      <c r="P2216" t="s">
        <v>281</v>
      </c>
      <c r="Q2216" t="s">
        <v>328</v>
      </c>
      <c r="R2216" t="s">
        <v>360</v>
      </c>
      <c r="S2216" t="s">
        <v>387</v>
      </c>
      <c r="T2216">
        <v>2</v>
      </c>
      <c r="U2216" t="s">
        <v>451</v>
      </c>
      <c r="V2216" t="s">
        <v>303</v>
      </c>
      <c r="W2216" t="s">
        <v>452</v>
      </c>
      <c r="X2216" t="s">
        <v>331</v>
      </c>
      <c r="Y2216" t="s">
        <v>307</v>
      </c>
      <c r="Z2216">
        <v>70</v>
      </c>
      <c r="AA2216">
        <v>82</v>
      </c>
      <c r="AB2216" t="s">
        <v>143</v>
      </c>
      <c r="AC2216" t="s">
        <v>336</v>
      </c>
      <c r="AD2216" t="s">
        <v>401</v>
      </c>
      <c r="AE2216" t="str">
        <f>IF(AF2216="","",VLOOKUP(AC2216,mapel!$A$2:$B$42,2,FALSE))</f>
        <v>Pancasila</v>
      </c>
      <c r="AF2216">
        <f t="shared" si="102"/>
        <v>82</v>
      </c>
      <c r="AG2216" t="str">
        <f>IF(AF2216="","",IF(AF2216&gt;90,"Sangat baik",IF(AF2216&gt;79,"Baik",IF(AF2216&gt;=pub_gid_0_single_true_output_csv[[#This Row],[KKM]],"Cukup","Kurang"))))</f>
        <v>Baik</v>
      </c>
      <c r="AH2216">
        <f t="shared" si="103"/>
        <v>12</v>
      </c>
      <c r="AI2216" s="30" t="str">
        <f>IF(OR(J2216&lt;&gt;"Karakter",pub_gid_0_single_true_output_csv[[#This Row],[Nilai2]]=""),"",IF(AF2216&gt;89,"Sangat baik",IF(AF2216&gt;79,"Baik",IF(AF2216&gt;69,"Cukup",IF(AF2216&gt;59,"Kurang","Sangat kurang")))))</f>
        <v/>
      </c>
      <c r="AJ2216" t="str">
        <f t="shared" si="104"/>
        <v>Wk.4</v>
      </c>
      <c r="AK2216" t="str">
        <f>IF(pub_gid_0_single_true_output_csv[[#This Row],[Nilai2]]="","",VLOOKUP(pub_gid_0_single_true_output_csv[[#This Row],[NAMA]],Table7[],3,FALSE))</f>
        <v>Borderline</v>
      </c>
    </row>
    <row r="2217" spans="1:37" x14ac:dyDescent="0.2">
      <c r="A2217">
        <v>2216</v>
      </c>
      <c r="B2217" t="s">
        <v>317</v>
      </c>
      <c r="C2217" t="s">
        <v>65</v>
      </c>
      <c r="D2217" t="s">
        <v>62</v>
      </c>
      <c r="E2217" t="s">
        <v>140</v>
      </c>
      <c r="F2217" s="25">
        <v>46041</v>
      </c>
      <c r="G2217" t="s">
        <v>370</v>
      </c>
      <c r="H2217" t="s">
        <v>405</v>
      </c>
      <c r="I2217" t="s">
        <v>371</v>
      </c>
      <c r="J2217" t="s">
        <v>31</v>
      </c>
      <c r="K2217" t="s">
        <v>96</v>
      </c>
      <c r="L2217" t="s">
        <v>351</v>
      </c>
      <c r="M2217" t="s">
        <v>141</v>
      </c>
      <c r="N2217" t="s">
        <v>142</v>
      </c>
      <c r="O2217" t="s">
        <v>327</v>
      </c>
      <c r="P2217" t="s">
        <v>281</v>
      </c>
      <c r="Q2217" t="s">
        <v>328</v>
      </c>
      <c r="R2217" t="s">
        <v>360</v>
      </c>
      <c r="S2217" t="s">
        <v>387</v>
      </c>
      <c r="T2217">
        <v>2</v>
      </c>
      <c r="U2217" t="s">
        <v>451</v>
      </c>
      <c r="V2217" t="s">
        <v>303</v>
      </c>
      <c r="W2217" t="s">
        <v>452</v>
      </c>
      <c r="X2217" t="s">
        <v>331</v>
      </c>
      <c r="Y2217" t="s">
        <v>307</v>
      </c>
      <c r="Z2217">
        <v>70</v>
      </c>
      <c r="AA2217">
        <v>78</v>
      </c>
      <c r="AB2217" t="s">
        <v>143</v>
      </c>
      <c r="AC2217" t="s">
        <v>336</v>
      </c>
      <c r="AD2217" t="s">
        <v>401</v>
      </c>
      <c r="AE2217" t="str">
        <f>IF(AF2217="","",VLOOKUP(AC2217,mapel!$A$2:$B$42,2,FALSE))</f>
        <v>Pancasila</v>
      </c>
      <c r="AF2217">
        <f t="shared" si="102"/>
        <v>78</v>
      </c>
      <c r="AG2217" t="str">
        <f>IF(AF2217="","",IF(AF2217&gt;90,"Sangat baik",IF(AF2217&gt;79,"Baik",IF(AF2217&gt;=pub_gid_0_single_true_output_csv[[#This Row],[KKM]],"Cukup","Kurang"))))</f>
        <v>Cukup</v>
      </c>
      <c r="AH2217">
        <f t="shared" si="103"/>
        <v>12</v>
      </c>
      <c r="AI2217" s="30" t="str">
        <f>IF(OR(J2217&lt;&gt;"Karakter",pub_gid_0_single_true_output_csv[[#This Row],[Nilai2]]=""),"",IF(AF2217&gt;89,"Sangat baik",IF(AF2217&gt;79,"Baik",IF(AF2217&gt;69,"Cukup",IF(AF2217&gt;59,"Kurang","Sangat kurang")))))</f>
        <v/>
      </c>
      <c r="AJ2217" t="str">
        <f t="shared" si="104"/>
        <v>Wk.4</v>
      </c>
      <c r="AK2217" t="str">
        <f>IF(pub_gid_0_single_true_output_csv[[#This Row],[Nilai2]]="","",VLOOKUP(pub_gid_0_single_true_output_csv[[#This Row],[NAMA]],Table7[],3,FALSE))</f>
        <v>Borderline</v>
      </c>
    </row>
    <row r="2218" spans="1:37" x14ac:dyDescent="0.2">
      <c r="A2218">
        <v>2217</v>
      </c>
      <c r="B2218" t="s">
        <v>317</v>
      </c>
      <c r="C2218" t="s">
        <v>65</v>
      </c>
      <c r="D2218" t="s">
        <v>62</v>
      </c>
      <c r="E2218" t="s">
        <v>140</v>
      </c>
      <c r="F2218" s="25">
        <v>46041</v>
      </c>
      <c r="G2218" t="s">
        <v>370</v>
      </c>
      <c r="H2218" t="s">
        <v>405</v>
      </c>
      <c r="I2218" t="s">
        <v>371</v>
      </c>
      <c r="J2218" t="s">
        <v>90</v>
      </c>
      <c r="K2218" t="s">
        <v>92</v>
      </c>
      <c r="L2218" t="s">
        <v>398</v>
      </c>
      <c r="M2218" t="s">
        <v>141</v>
      </c>
      <c r="N2218" t="s">
        <v>142</v>
      </c>
      <c r="O2218" t="s">
        <v>327</v>
      </c>
      <c r="P2218" t="s">
        <v>281</v>
      </c>
      <c r="Q2218" t="s">
        <v>328</v>
      </c>
      <c r="R2218" t="s">
        <v>360</v>
      </c>
      <c r="S2218" t="s">
        <v>387</v>
      </c>
      <c r="T2218">
        <v>2</v>
      </c>
      <c r="U2218" t="s">
        <v>451</v>
      </c>
      <c r="V2218" t="s">
        <v>303</v>
      </c>
      <c r="W2218" t="s">
        <v>452</v>
      </c>
      <c r="X2218" t="s">
        <v>331</v>
      </c>
      <c r="Y2218" t="s">
        <v>307</v>
      </c>
      <c r="Z2218">
        <v>70</v>
      </c>
      <c r="AA2218">
        <v>73</v>
      </c>
      <c r="AB2218" t="s">
        <v>143</v>
      </c>
      <c r="AC2218" t="s">
        <v>336</v>
      </c>
      <c r="AD2218" t="s">
        <v>401</v>
      </c>
      <c r="AE2218" t="str">
        <f>IF(AF2218="","",VLOOKUP(AC2218,mapel!$A$2:$B$42,2,FALSE))</f>
        <v>Pancasila</v>
      </c>
      <c r="AF2218">
        <f t="shared" si="102"/>
        <v>73</v>
      </c>
      <c r="AG2218" t="str">
        <f>IF(AF2218="","",IF(AF2218&gt;90,"Sangat baik",IF(AF2218&gt;79,"Baik",IF(AF2218&gt;=pub_gid_0_single_true_output_csv[[#This Row],[KKM]],"Cukup","Kurang"))))</f>
        <v>Cukup</v>
      </c>
      <c r="AH2218">
        <f t="shared" si="103"/>
        <v>12</v>
      </c>
      <c r="AI2218" s="30" t="str">
        <f>IF(OR(J2218&lt;&gt;"Karakter",pub_gid_0_single_true_output_csv[[#This Row],[Nilai2]]=""),"",IF(AF2218&gt;89,"Sangat baik",IF(AF2218&gt;79,"Baik",IF(AF2218&gt;69,"Cukup",IF(AF2218&gt;59,"Kurang","Sangat kurang")))))</f>
        <v>Cukup</v>
      </c>
      <c r="AJ2218" t="str">
        <f t="shared" si="104"/>
        <v>Wk.4</v>
      </c>
      <c r="AK2218" t="str">
        <f>IF(pub_gid_0_single_true_output_csv[[#This Row],[Nilai2]]="","",VLOOKUP(pub_gid_0_single_true_output_csv[[#This Row],[NAMA]],Table7[],3,FALSE))</f>
        <v>Borderline</v>
      </c>
    </row>
    <row r="2219" spans="1:37" x14ac:dyDescent="0.2">
      <c r="A2219">
        <v>2218</v>
      </c>
      <c r="B2219" t="s">
        <v>317</v>
      </c>
      <c r="C2219" t="s">
        <v>65</v>
      </c>
      <c r="D2219" t="s">
        <v>62</v>
      </c>
      <c r="E2219" t="s">
        <v>140</v>
      </c>
      <c r="F2219" s="25">
        <v>46041</v>
      </c>
      <c r="G2219" t="s">
        <v>370</v>
      </c>
      <c r="H2219" t="s">
        <v>405</v>
      </c>
      <c r="I2219" t="s">
        <v>371</v>
      </c>
      <c r="J2219" t="s">
        <v>279</v>
      </c>
      <c r="K2219" t="s">
        <v>280</v>
      </c>
      <c r="L2219" t="s">
        <v>322</v>
      </c>
      <c r="M2219" t="s">
        <v>141</v>
      </c>
      <c r="N2219" t="s">
        <v>142</v>
      </c>
      <c r="O2219" t="s">
        <v>327</v>
      </c>
      <c r="P2219" t="s">
        <v>281</v>
      </c>
      <c r="Q2219" t="s">
        <v>328</v>
      </c>
      <c r="R2219" t="s">
        <v>360</v>
      </c>
      <c r="S2219" t="s">
        <v>387</v>
      </c>
      <c r="T2219">
        <v>2</v>
      </c>
      <c r="U2219" t="s">
        <v>451</v>
      </c>
      <c r="V2219" t="s">
        <v>303</v>
      </c>
      <c r="W2219" t="s">
        <v>452</v>
      </c>
      <c r="X2219" t="s">
        <v>331</v>
      </c>
      <c r="Y2219" t="s">
        <v>307</v>
      </c>
      <c r="Z2219">
        <v>70</v>
      </c>
      <c r="AA2219">
        <v>72</v>
      </c>
      <c r="AB2219" t="s">
        <v>143</v>
      </c>
      <c r="AC2219" t="s">
        <v>336</v>
      </c>
      <c r="AD2219" t="s">
        <v>401</v>
      </c>
      <c r="AE2219" t="str">
        <f>IF(AF2219="","",VLOOKUP(AC2219,mapel!$A$2:$B$42,2,FALSE))</f>
        <v>Pancasila</v>
      </c>
      <c r="AF2219">
        <f t="shared" si="102"/>
        <v>72</v>
      </c>
      <c r="AG2219" t="str">
        <f>IF(AF2219="","",IF(AF2219&gt;90,"Sangat baik",IF(AF2219&gt;79,"Baik",IF(AF2219&gt;=pub_gid_0_single_true_output_csv[[#This Row],[KKM]],"Cukup","Kurang"))))</f>
        <v>Cukup</v>
      </c>
      <c r="AH2219">
        <f t="shared" si="103"/>
        <v>12</v>
      </c>
      <c r="AI2219" s="30" t="str">
        <f>IF(OR(J2219&lt;&gt;"Karakter",pub_gid_0_single_true_output_csv[[#This Row],[Nilai2]]=""),"",IF(AF2219&gt;89,"Sangat baik",IF(AF2219&gt;79,"Baik",IF(AF2219&gt;69,"Cukup",IF(AF2219&gt;59,"Kurang","Sangat kurang")))))</f>
        <v/>
      </c>
      <c r="AJ2219" t="str">
        <f t="shared" si="104"/>
        <v>Wk.4</v>
      </c>
      <c r="AK2219" t="str">
        <f>IF(pub_gid_0_single_true_output_csv[[#This Row],[Nilai2]]="","",VLOOKUP(pub_gid_0_single_true_output_csv[[#This Row],[NAMA]],Table7[],3,FALSE))</f>
        <v>Borderline</v>
      </c>
    </row>
    <row r="2220" spans="1:37" x14ac:dyDescent="0.2">
      <c r="A2220">
        <v>2219</v>
      </c>
      <c r="B2220" t="s">
        <v>317</v>
      </c>
      <c r="C2220" t="s">
        <v>65</v>
      </c>
      <c r="D2220" t="s">
        <v>62</v>
      </c>
      <c r="E2220" t="s">
        <v>140</v>
      </c>
      <c r="F2220" s="25">
        <v>46055</v>
      </c>
      <c r="G2220" t="s">
        <v>379</v>
      </c>
      <c r="H2220" t="s">
        <v>412</v>
      </c>
      <c r="I2220" t="s">
        <v>371</v>
      </c>
      <c r="J2220" t="s">
        <v>90</v>
      </c>
      <c r="K2220" t="s">
        <v>377</v>
      </c>
      <c r="L2220" t="s">
        <v>400</v>
      </c>
      <c r="M2220" t="s">
        <v>141</v>
      </c>
      <c r="N2220" t="s">
        <v>142</v>
      </c>
      <c r="O2220" t="s">
        <v>327</v>
      </c>
      <c r="P2220" t="s">
        <v>281</v>
      </c>
      <c r="Q2220" t="s">
        <v>328</v>
      </c>
      <c r="R2220" t="s">
        <v>360</v>
      </c>
      <c r="S2220" t="s">
        <v>392</v>
      </c>
      <c r="T2220">
        <v>1</v>
      </c>
      <c r="U2220" t="s">
        <v>449</v>
      </c>
      <c r="V2220" t="s">
        <v>343</v>
      </c>
      <c r="W2220" t="s">
        <v>453</v>
      </c>
      <c r="X2220" t="s">
        <v>331</v>
      </c>
      <c r="Y2220" t="s">
        <v>307</v>
      </c>
      <c r="Z2220">
        <v>70</v>
      </c>
      <c r="AA2220">
        <v>77</v>
      </c>
      <c r="AB2220" t="s">
        <v>143</v>
      </c>
      <c r="AC2220" t="s">
        <v>336</v>
      </c>
      <c r="AD2220" t="s">
        <v>401</v>
      </c>
      <c r="AE2220" t="str">
        <f>IF(AF2220="","",VLOOKUP(AC2220,mapel!$A$2:$B$42,2,FALSE))</f>
        <v>Pancasila</v>
      </c>
      <c r="AF2220">
        <f t="shared" si="102"/>
        <v>77</v>
      </c>
      <c r="AG2220" t="str">
        <f>IF(AF2220="","",IF(AF2220&gt;90,"Sangat baik",IF(AF2220&gt;79,"Baik",IF(AF2220&gt;=pub_gid_0_single_true_output_csv[[#This Row],[KKM]],"Cukup","Kurang"))))</f>
        <v>Cukup</v>
      </c>
      <c r="AH2220">
        <f t="shared" si="103"/>
        <v>12</v>
      </c>
      <c r="AI2220" s="30" t="str">
        <f>IF(OR(J2220&lt;&gt;"Karakter",pub_gid_0_single_true_output_csv[[#This Row],[Nilai2]]=""),"",IF(AF2220&gt;89,"Sangat baik",IF(AF2220&gt;79,"Baik",IF(AF2220&gt;69,"Cukup",IF(AF2220&gt;59,"Kurang","Sangat kurang")))))</f>
        <v>Cukup</v>
      </c>
      <c r="AJ2220" t="str">
        <f t="shared" si="104"/>
        <v>Wk.6</v>
      </c>
      <c r="AK2220" t="str">
        <f>IF(pub_gid_0_single_true_output_csv[[#This Row],[Nilai2]]="","",VLOOKUP(pub_gid_0_single_true_output_csv[[#This Row],[NAMA]],Table7[],3,FALSE))</f>
        <v>Borderline</v>
      </c>
    </row>
    <row r="2221" spans="1:37" x14ac:dyDescent="0.2">
      <c r="A2221">
        <v>2220</v>
      </c>
      <c r="B2221" t="s">
        <v>317</v>
      </c>
      <c r="C2221" t="s">
        <v>65</v>
      </c>
      <c r="D2221" t="s">
        <v>62</v>
      </c>
      <c r="E2221" t="s">
        <v>140</v>
      </c>
      <c r="F2221" s="25">
        <v>46055</v>
      </c>
      <c r="G2221" t="s">
        <v>379</v>
      </c>
      <c r="H2221" t="s">
        <v>412</v>
      </c>
      <c r="I2221" t="s">
        <v>371</v>
      </c>
      <c r="J2221" t="s">
        <v>41</v>
      </c>
      <c r="K2221" t="s">
        <v>272</v>
      </c>
      <c r="L2221" t="s">
        <v>351</v>
      </c>
      <c r="M2221" t="s">
        <v>141</v>
      </c>
      <c r="N2221" t="s">
        <v>142</v>
      </c>
      <c r="O2221" t="s">
        <v>327</v>
      </c>
      <c r="P2221" t="s">
        <v>281</v>
      </c>
      <c r="Q2221" t="s">
        <v>328</v>
      </c>
      <c r="R2221" t="s">
        <v>360</v>
      </c>
      <c r="S2221" t="s">
        <v>392</v>
      </c>
      <c r="T2221">
        <v>1</v>
      </c>
      <c r="U2221" t="s">
        <v>449</v>
      </c>
      <c r="V2221" t="s">
        <v>343</v>
      </c>
      <c r="W2221" t="s">
        <v>453</v>
      </c>
      <c r="X2221" t="s">
        <v>331</v>
      </c>
      <c r="Y2221" t="s">
        <v>307</v>
      </c>
      <c r="Z2221">
        <v>70</v>
      </c>
      <c r="AA2221">
        <v>75</v>
      </c>
      <c r="AB2221" t="s">
        <v>143</v>
      </c>
      <c r="AC2221" t="s">
        <v>336</v>
      </c>
      <c r="AD2221" t="s">
        <v>401</v>
      </c>
      <c r="AE2221" t="str">
        <f>IF(AF2221="","",VLOOKUP(AC2221,mapel!$A$2:$B$42,2,FALSE))</f>
        <v>Pancasila</v>
      </c>
      <c r="AF2221">
        <f t="shared" si="102"/>
        <v>75</v>
      </c>
      <c r="AG2221" t="str">
        <f>IF(AF2221="","",IF(AF2221&gt;90,"Sangat baik",IF(AF2221&gt;79,"Baik",IF(AF2221&gt;=pub_gid_0_single_true_output_csv[[#This Row],[KKM]],"Cukup","Kurang"))))</f>
        <v>Cukup</v>
      </c>
      <c r="AH2221">
        <f t="shared" si="103"/>
        <v>12</v>
      </c>
      <c r="AI2221" s="30" t="str">
        <f>IF(OR(J2221&lt;&gt;"Karakter",pub_gid_0_single_true_output_csv[[#This Row],[Nilai2]]=""),"",IF(AF2221&gt;89,"Sangat baik",IF(AF2221&gt;79,"Baik",IF(AF2221&gt;69,"Cukup",IF(AF2221&gt;59,"Kurang","Sangat kurang")))))</f>
        <v/>
      </c>
      <c r="AJ2221" t="str">
        <f t="shared" si="104"/>
        <v>Wk.6</v>
      </c>
      <c r="AK2221" t="str">
        <f>IF(pub_gid_0_single_true_output_csv[[#This Row],[Nilai2]]="","",VLOOKUP(pub_gid_0_single_true_output_csv[[#This Row],[NAMA]],Table7[],3,FALSE))</f>
        <v>Borderline</v>
      </c>
    </row>
    <row r="2222" spans="1:37" x14ac:dyDescent="0.2">
      <c r="A2222">
        <v>2221</v>
      </c>
      <c r="B2222" t="s">
        <v>317</v>
      </c>
      <c r="C2222" t="s">
        <v>65</v>
      </c>
      <c r="D2222" t="s">
        <v>62</v>
      </c>
      <c r="E2222" t="s">
        <v>140</v>
      </c>
      <c r="F2222" s="25">
        <v>46055</v>
      </c>
      <c r="G2222" t="s">
        <v>379</v>
      </c>
      <c r="H2222" t="s">
        <v>412</v>
      </c>
      <c r="I2222" t="s">
        <v>371</v>
      </c>
      <c r="J2222" t="s">
        <v>279</v>
      </c>
      <c r="K2222" t="s">
        <v>280</v>
      </c>
      <c r="L2222" t="s">
        <v>322</v>
      </c>
      <c r="M2222" t="s">
        <v>141</v>
      </c>
      <c r="N2222" t="s">
        <v>142</v>
      </c>
      <c r="O2222" t="s">
        <v>327</v>
      </c>
      <c r="P2222" t="s">
        <v>281</v>
      </c>
      <c r="Q2222" t="s">
        <v>328</v>
      </c>
      <c r="R2222" t="s">
        <v>360</v>
      </c>
      <c r="S2222" t="s">
        <v>392</v>
      </c>
      <c r="T2222">
        <v>1</v>
      </c>
      <c r="U2222" t="s">
        <v>449</v>
      </c>
      <c r="V2222" t="s">
        <v>343</v>
      </c>
      <c r="W2222" t="s">
        <v>453</v>
      </c>
      <c r="X2222" t="s">
        <v>331</v>
      </c>
      <c r="Y2222" t="s">
        <v>307</v>
      </c>
      <c r="Z2222">
        <v>70</v>
      </c>
      <c r="AA2222">
        <v>75</v>
      </c>
      <c r="AB2222" t="s">
        <v>143</v>
      </c>
      <c r="AC2222" t="s">
        <v>336</v>
      </c>
      <c r="AD2222" t="s">
        <v>401</v>
      </c>
      <c r="AE2222" t="str">
        <f>IF(AF2222="","",VLOOKUP(AC2222,mapel!$A$2:$B$42,2,FALSE))</f>
        <v>Pancasila</v>
      </c>
      <c r="AF2222">
        <f t="shared" si="102"/>
        <v>75</v>
      </c>
      <c r="AG2222" t="str">
        <f>IF(AF2222="","",IF(AF2222&gt;90,"Sangat baik",IF(AF2222&gt;79,"Baik",IF(AF2222&gt;=pub_gid_0_single_true_output_csv[[#This Row],[KKM]],"Cukup","Kurang"))))</f>
        <v>Cukup</v>
      </c>
      <c r="AH2222">
        <f t="shared" si="103"/>
        <v>12</v>
      </c>
      <c r="AI2222" s="30" t="str">
        <f>IF(OR(J2222&lt;&gt;"Karakter",pub_gid_0_single_true_output_csv[[#This Row],[Nilai2]]=""),"",IF(AF2222&gt;89,"Sangat baik",IF(AF2222&gt;79,"Baik",IF(AF2222&gt;69,"Cukup",IF(AF2222&gt;59,"Kurang","Sangat kurang")))))</f>
        <v/>
      </c>
      <c r="AJ2222" t="str">
        <f t="shared" si="104"/>
        <v>Wk.6</v>
      </c>
      <c r="AK2222" t="str">
        <f>IF(pub_gid_0_single_true_output_csv[[#This Row],[Nilai2]]="","",VLOOKUP(pub_gid_0_single_true_output_csv[[#This Row],[NAMA]],Table7[],3,FALSE))</f>
        <v>Borderline</v>
      </c>
    </row>
    <row r="2223" spans="1:37" x14ac:dyDescent="0.2">
      <c r="A2223">
        <v>2222</v>
      </c>
      <c r="B2223" t="s">
        <v>317</v>
      </c>
      <c r="C2223" t="s">
        <v>65</v>
      </c>
      <c r="D2223" t="s">
        <v>62</v>
      </c>
      <c r="E2223" t="s">
        <v>140</v>
      </c>
      <c r="F2223" s="25">
        <v>46055</v>
      </c>
      <c r="G2223" t="s">
        <v>379</v>
      </c>
      <c r="H2223" t="s">
        <v>412</v>
      </c>
      <c r="I2223" t="s">
        <v>371</v>
      </c>
      <c r="J2223" t="s">
        <v>31</v>
      </c>
      <c r="K2223" t="s">
        <v>96</v>
      </c>
      <c r="L2223" t="s">
        <v>351</v>
      </c>
      <c r="M2223" t="s">
        <v>141</v>
      </c>
      <c r="N2223" t="s">
        <v>142</v>
      </c>
      <c r="O2223" t="s">
        <v>327</v>
      </c>
      <c r="P2223" t="s">
        <v>281</v>
      </c>
      <c r="Q2223" t="s">
        <v>328</v>
      </c>
      <c r="R2223" t="s">
        <v>360</v>
      </c>
      <c r="S2223" t="s">
        <v>392</v>
      </c>
      <c r="T2223">
        <v>1</v>
      </c>
      <c r="U2223" t="s">
        <v>449</v>
      </c>
      <c r="V2223" t="s">
        <v>343</v>
      </c>
      <c r="W2223" t="s">
        <v>453</v>
      </c>
      <c r="X2223" t="s">
        <v>331</v>
      </c>
      <c r="Y2223" t="s">
        <v>307</v>
      </c>
      <c r="Z2223">
        <v>70</v>
      </c>
      <c r="AA2223">
        <v>70</v>
      </c>
      <c r="AB2223" t="s">
        <v>143</v>
      </c>
      <c r="AC2223" t="s">
        <v>336</v>
      </c>
      <c r="AD2223" t="s">
        <v>401</v>
      </c>
      <c r="AE2223" t="str">
        <f>IF(AF2223="","",VLOOKUP(AC2223,mapel!$A$2:$B$42,2,FALSE))</f>
        <v>Pancasila</v>
      </c>
      <c r="AF2223">
        <f t="shared" si="102"/>
        <v>70</v>
      </c>
      <c r="AG2223" t="str">
        <f>IF(AF2223="","",IF(AF2223&gt;90,"Sangat baik",IF(AF2223&gt;79,"Baik",IF(AF2223&gt;=pub_gid_0_single_true_output_csv[[#This Row],[KKM]],"Cukup","Kurang"))))</f>
        <v>Cukup</v>
      </c>
      <c r="AH2223">
        <f t="shared" si="103"/>
        <v>12</v>
      </c>
      <c r="AI2223" s="30" t="str">
        <f>IF(OR(J2223&lt;&gt;"Karakter",pub_gid_0_single_true_output_csv[[#This Row],[Nilai2]]=""),"",IF(AF2223&gt;89,"Sangat baik",IF(AF2223&gt;79,"Baik",IF(AF2223&gt;69,"Cukup",IF(AF2223&gt;59,"Kurang","Sangat kurang")))))</f>
        <v/>
      </c>
      <c r="AJ2223" t="str">
        <f t="shared" si="104"/>
        <v>Wk.6</v>
      </c>
      <c r="AK2223" t="str">
        <f>IF(pub_gid_0_single_true_output_csv[[#This Row],[Nilai2]]="","",VLOOKUP(pub_gid_0_single_true_output_csv[[#This Row],[NAMA]],Table7[],3,FALSE))</f>
        <v>Borderline</v>
      </c>
    </row>
    <row r="2224" spans="1:37" x14ac:dyDescent="0.2">
      <c r="A2224">
        <v>2223</v>
      </c>
      <c r="B2224" t="s">
        <v>317</v>
      </c>
      <c r="C2224" t="s">
        <v>65</v>
      </c>
      <c r="D2224" t="s">
        <v>62</v>
      </c>
      <c r="E2224" t="s">
        <v>140</v>
      </c>
      <c r="F2224" s="25">
        <v>46055</v>
      </c>
      <c r="G2224" t="s">
        <v>379</v>
      </c>
      <c r="H2224" t="s">
        <v>412</v>
      </c>
      <c r="I2224" t="s">
        <v>371</v>
      </c>
      <c r="J2224" t="s">
        <v>36</v>
      </c>
      <c r="K2224" t="s">
        <v>37</v>
      </c>
      <c r="L2224" t="s">
        <v>150</v>
      </c>
      <c r="M2224" t="s">
        <v>141</v>
      </c>
      <c r="N2224" t="s">
        <v>142</v>
      </c>
      <c r="O2224" t="s">
        <v>327</v>
      </c>
      <c r="P2224" t="s">
        <v>281</v>
      </c>
      <c r="Q2224" t="s">
        <v>328</v>
      </c>
      <c r="R2224" t="s">
        <v>360</v>
      </c>
      <c r="S2224" t="s">
        <v>392</v>
      </c>
      <c r="T2224">
        <v>1</v>
      </c>
      <c r="U2224" t="s">
        <v>449</v>
      </c>
      <c r="V2224" t="s">
        <v>343</v>
      </c>
      <c r="W2224" t="s">
        <v>453</v>
      </c>
      <c r="X2224" t="s">
        <v>331</v>
      </c>
      <c r="Y2224" t="s">
        <v>307</v>
      </c>
      <c r="Z2224">
        <v>70</v>
      </c>
      <c r="AA2224">
        <v>70</v>
      </c>
      <c r="AB2224" t="s">
        <v>143</v>
      </c>
      <c r="AC2224" t="s">
        <v>336</v>
      </c>
      <c r="AD2224" t="s">
        <v>401</v>
      </c>
      <c r="AE2224" t="str">
        <f>IF(AF2224="","",VLOOKUP(AC2224,mapel!$A$2:$B$42,2,FALSE))</f>
        <v>Pancasila</v>
      </c>
      <c r="AF2224">
        <f t="shared" si="102"/>
        <v>70</v>
      </c>
      <c r="AG2224" t="str">
        <f>IF(AF2224="","",IF(AF2224&gt;90,"Sangat baik",IF(AF2224&gt;79,"Baik",IF(AF2224&gt;=pub_gid_0_single_true_output_csv[[#This Row],[KKM]],"Cukup","Kurang"))))</f>
        <v>Cukup</v>
      </c>
      <c r="AH2224">
        <f t="shared" si="103"/>
        <v>12</v>
      </c>
      <c r="AI2224" s="30" t="str">
        <f>IF(OR(J2224&lt;&gt;"Karakter",pub_gid_0_single_true_output_csv[[#This Row],[Nilai2]]=""),"",IF(AF2224&gt;89,"Sangat baik",IF(AF2224&gt;79,"Baik",IF(AF2224&gt;69,"Cukup",IF(AF2224&gt;59,"Kurang","Sangat kurang")))))</f>
        <v/>
      </c>
      <c r="AJ2224" t="str">
        <f t="shared" si="104"/>
        <v>Wk.6</v>
      </c>
      <c r="AK2224" t="str">
        <f>IF(pub_gid_0_single_true_output_csv[[#This Row],[Nilai2]]="","",VLOOKUP(pub_gid_0_single_true_output_csv[[#This Row],[NAMA]],Table7[],3,FALSE))</f>
        <v>Borderline</v>
      </c>
    </row>
    <row r="2225" spans="1:37" x14ac:dyDescent="0.2">
      <c r="A2225">
        <v>2224</v>
      </c>
      <c r="B2225" t="s">
        <v>317</v>
      </c>
      <c r="C2225" t="s">
        <v>65</v>
      </c>
      <c r="D2225" t="s">
        <v>62</v>
      </c>
      <c r="E2225" t="s">
        <v>140</v>
      </c>
      <c r="F2225" s="25">
        <v>46059</v>
      </c>
      <c r="G2225" t="s">
        <v>349</v>
      </c>
      <c r="H2225" t="s">
        <v>412</v>
      </c>
      <c r="I2225" t="s">
        <v>371</v>
      </c>
      <c r="J2225" t="s">
        <v>41</v>
      </c>
      <c r="K2225" t="s">
        <v>357</v>
      </c>
      <c r="L2225" t="s">
        <v>351</v>
      </c>
      <c r="M2225" t="s">
        <v>141</v>
      </c>
      <c r="N2225" t="s">
        <v>142</v>
      </c>
      <c r="O2225" t="s">
        <v>327</v>
      </c>
      <c r="P2225" t="s">
        <v>281</v>
      </c>
      <c r="Q2225" t="s">
        <v>328</v>
      </c>
      <c r="R2225" t="s">
        <v>360</v>
      </c>
      <c r="S2225" t="s">
        <v>454</v>
      </c>
      <c r="T2225">
        <v>1</v>
      </c>
      <c r="U2225" t="s">
        <v>449</v>
      </c>
      <c r="V2225" t="s">
        <v>344</v>
      </c>
      <c r="W2225" t="s">
        <v>455</v>
      </c>
      <c r="X2225" t="s">
        <v>331</v>
      </c>
      <c r="Y2225" t="s">
        <v>307</v>
      </c>
      <c r="Z2225">
        <v>70</v>
      </c>
      <c r="AA2225">
        <v>76</v>
      </c>
      <c r="AB2225" t="s">
        <v>143</v>
      </c>
      <c r="AC2225" t="s">
        <v>336</v>
      </c>
      <c r="AD2225" t="s">
        <v>401</v>
      </c>
      <c r="AE2225" t="str">
        <f>IF(AF2225="","",VLOOKUP(AC2225,mapel!$A$2:$B$42,2,FALSE))</f>
        <v>Pancasila</v>
      </c>
      <c r="AF2225">
        <f t="shared" si="102"/>
        <v>76</v>
      </c>
      <c r="AG2225" t="str">
        <f>IF(AF2225="","",IF(AF2225&gt;90,"Sangat baik",IF(AF2225&gt;79,"Baik",IF(AF2225&gt;=pub_gid_0_single_true_output_csv[[#This Row],[KKM]],"Cukup","Kurang"))))</f>
        <v>Cukup</v>
      </c>
      <c r="AH2225">
        <f t="shared" si="103"/>
        <v>12</v>
      </c>
      <c r="AI2225" s="30" t="str">
        <f>IF(OR(J2225&lt;&gt;"Karakter",pub_gid_0_single_true_output_csv[[#This Row],[Nilai2]]=""),"",IF(AF2225&gt;89,"Sangat baik",IF(AF2225&gt;79,"Baik",IF(AF2225&gt;69,"Cukup",IF(AF2225&gt;59,"Kurang","Sangat kurang")))))</f>
        <v/>
      </c>
      <c r="AJ2225" t="str">
        <f t="shared" si="104"/>
        <v>Wk.6</v>
      </c>
      <c r="AK2225" t="str">
        <f>IF(pub_gid_0_single_true_output_csv[[#This Row],[Nilai2]]="","",VLOOKUP(pub_gid_0_single_true_output_csv[[#This Row],[NAMA]],Table7[],3,FALSE))</f>
        <v>Borderline</v>
      </c>
    </row>
    <row r="2226" spans="1:37" x14ac:dyDescent="0.2">
      <c r="A2226">
        <v>2225</v>
      </c>
      <c r="B2226" t="s">
        <v>317</v>
      </c>
      <c r="C2226" t="s">
        <v>65</v>
      </c>
      <c r="D2226" t="s">
        <v>62</v>
      </c>
      <c r="E2226" t="s">
        <v>140</v>
      </c>
      <c r="F2226" s="25">
        <v>46059</v>
      </c>
      <c r="G2226" t="s">
        <v>349</v>
      </c>
      <c r="H2226" t="s">
        <v>412</v>
      </c>
      <c r="I2226" t="s">
        <v>371</v>
      </c>
      <c r="J2226" t="s">
        <v>36</v>
      </c>
      <c r="K2226" t="s">
        <v>37</v>
      </c>
      <c r="L2226" t="s">
        <v>351</v>
      </c>
      <c r="M2226" t="s">
        <v>141</v>
      </c>
      <c r="N2226" t="s">
        <v>142</v>
      </c>
      <c r="O2226" t="s">
        <v>327</v>
      </c>
      <c r="P2226" t="s">
        <v>281</v>
      </c>
      <c r="Q2226" t="s">
        <v>328</v>
      </c>
      <c r="R2226" t="s">
        <v>360</v>
      </c>
      <c r="S2226" t="s">
        <v>392</v>
      </c>
      <c r="T2226">
        <v>1</v>
      </c>
      <c r="U2226" t="s">
        <v>449</v>
      </c>
      <c r="V2226" t="s">
        <v>343</v>
      </c>
      <c r="W2226" t="s">
        <v>453</v>
      </c>
      <c r="X2226" t="s">
        <v>331</v>
      </c>
      <c r="Y2226" t="s">
        <v>307</v>
      </c>
      <c r="Z2226">
        <v>70</v>
      </c>
      <c r="AA2226">
        <v>76</v>
      </c>
      <c r="AB2226" t="s">
        <v>143</v>
      </c>
      <c r="AC2226" t="s">
        <v>336</v>
      </c>
      <c r="AD2226" t="s">
        <v>401</v>
      </c>
      <c r="AE2226" t="str">
        <f>IF(AF2226="","",VLOOKUP(AC2226,mapel!$A$2:$B$42,2,FALSE))</f>
        <v>Pancasila</v>
      </c>
      <c r="AF2226">
        <f t="shared" si="102"/>
        <v>76</v>
      </c>
      <c r="AG2226" t="str">
        <f>IF(AF2226="","",IF(AF2226&gt;90,"Sangat baik",IF(AF2226&gt;79,"Baik",IF(AF2226&gt;=pub_gid_0_single_true_output_csv[[#This Row],[KKM]],"Cukup","Kurang"))))</f>
        <v>Cukup</v>
      </c>
      <c r="AH2226">
        <f t="shared" si="103"/>
        <v>12</v>
      </c>
      <c r="AI2226" s="30" t="str">
        <f>IF(OR(J2226&lt;&gt;"Karakter",pub_gid_0_single_true_output_csv[[#This Row],[Nilai2]]=""),"",IF(AF2226&gt;89,"Sangat baik",IF(AF2226&gt;79,"Baik",IF(AF2226&gt;69,"Cukup",IF(AF2226&gt;59,"Kurang","Sangat kurang")))))</f>
        <v/>
      </c>
      <c r="AJ2226" t="str">
        <f t="shared" si="104"/>
        <v>Wk.6</v>
      </c>
      <c r="AK2226" t="str">
        <f>IF(pub_gid_0_single_true_output_csv[[#This Row],[Nilai2]]="","",VLOOKUP(pub_gid_0_single_true_output_csv[[#This Row],[NAMA]],Table7[],3,FALSE))</f>
        <v>Borderline</v>
      </c>
    </row>
    <row r="2227" spans="1:37" x14ac:dyDescent="0.2">
      <c r="A2227">
        <v>2226</v>
      </c>
      <c r="B2227" t="s">
        <v>318</v>
      </c>
      <c r="C2227" t="s">
        <v>65</v>
      </c>
      <c r="D2227" t="s">
        <v>63</v>
      </c>
      <c r="E2227" t="s">
        <v>140</v>
      </c>
      <c r="F2227" s="25">
        <v>46034</v>
      </c>
      <c r="G2227" t="s">
        <v>354</v>
      </c>
      <c r="H2227" t="s">
        <v>405</v>
      </c>
      <c r="I2227" t="s">
        <v>371</v>
      </c>
      <c r="J2227" t="s">
        <v>90</v>
      </c>
      <c r="K2227" t="s">
        <v>92</v>
      </c>
      <c r="L2227" t="s">
        <v>91</v>
      </c>
      <c r="M2227" t="s">
        <v>141</v>
      </c>
      <c r="N2227" t="s">
        <v>142</v>
      </c>
      <c r="O2227" t="s">
        <v>327</v>
      </c>
      <c r="P2227" t="s">
        <v>281</v>
      </c>
      <c r="Q2227" t="s">
        <v>328</v>
      </c>
      <c r="R2227" t="s">
        <v>360</v>
      </c>
      <c r="S2227" t="s">
        <v>330</v>
      </c>
      <c r="T2227">
        <v>1</v>
      </c>
      <c r="U2227" t="s">
        <v>449</v>
      </c>
      <c r="V2227" t="s">
        <v>285</v>
      </c>
      <c r="W2227" t="s">
        <v>450</v>
      </c>
      <c r="X2227" t="s">
        <v>331</v>
      </c>
      <c r="Y2227" t="s">
        <v>307</v>
      </c>
      <c r="Z2227">
        <v>70</v>
      </c>
      <c r="AA2227">
        <v>77</v>
      </c>
      <c r="AB2227" t="s">
        <v>143</v>
      </c>
      <c r="AC2227" t="s">
        <v>336</v>
      </c>
      <c r="AD2227" t="s">
        <v>401</v>
      </c>
      <c r="AE2227" t="str">
        <f>IF(AF2227="","",VLOOKUP(AC2227,mapel!$A$2:$B$42,2,FALSE))</f>
        <v>Pancasila</v>
      </c>
      <c r="AF2227">
        <f t="shared" si="102"/>
        <v>77</v>
      </c>
      <c r="AG2227" t="str">
        <f>IF(AF2227="","",IF(AF2227&gt;90,"Sangat baik",IF(AF2227&gt;79,"Baik",IF(AF2227&gt;=pub_gid_0_single_true_output_csv[[#This Row],[KKM]],"Cukup","Kurang"))))</f>
        <v>Cukup</v>
      </c>
      <c r="AH2227">
        <f t="shared" si="103"/>
        <v>12</v>
      </c>
      <c r="AI2227" s="30" t="str">
        <f>IF(OR(J2227&lt;&gt;"Karakter",pub_gid_0_single_true_output_csv[[#This Row],[Nilai2]]=""),"",IF(AF2227&gt;89,"Sangat baik",IF(AF2227&gt;79,"Baik",IF(AF2227&gt;69,"Cukup",IF(AF2227&gt;59,"Kurang","Sangat kurang")))))</f>
        <v>Cukup</v>
      </c>
      <c r="AJ2227" t="str">
        <f t="shared" si="104"/>
        <v>Wk.3</v>
      </c>
      <c r="AK2227" t="str">
        <f>IF(pub_gid_0_single_true_output_csv[[#This Row],[Nilai2]]="","",VLOOKUP(pub_gid_0_single_true_output_csv[[#This Row],[NAMA]],Table7[],3,FALSE))</f>
        <v>Average</v>
      </c>
    </row>
    <row r="2228" spans="1:37" x14ac:dyDescent="0.2">
      <c r="A2228">
        <v>2227</v>
      </c>
      <c r="B2228" t="s">
        <v>318</v>
      </c>
      <c r="C2228" t="s">
        <v>65</v>
      </c>
      <c r="D2228" t="s">
        <v>63</v>
      </c>
      <c r="E2228" t="s">
        <v>140</v>
      </c>
      <c r="F2228" s="25">
        <v>46034</v>
      </c>
      <c r="G2228" t="s">
        <v>354</v>
      </c>
      <c r="H2228" t="s">
        <v>405</v>
      </c>
      <c r="I2228" t="s">
        <v>371</v>
      </c>
      <c r="J2228" t="s">
        <v>279</v>
      </c>
      <c r="K2228" t="s">
        <v>280</v>
      </c>
      <c r="L2228" t="s">
        <v>322</v>
      </c>
      <c r="M2228" t="s">
        <v>141</v>
      </c>
      <c r="N2228" t="s">
        <v>142</v>
      </c>
      <c r="O2228" t="s">
        <v>327</v>
      </c>
      <c r="P2228" t="s">
        <v>281</v>
      </c>
      <c r="Q2228" t="s">
        <v>328</v>
      </c>
      <c r="R2228" t="s">
        <v>360</v>
      </c>
      <c r="S2228" t="s">
        <v>330</v>
      </c>
      <c r="T2228">
        <v>1</v>
      </c>
      <c r="U2228" t="s">
        <v>449</v>
      </c>
      <c r="V2228" t="s">
        <v>285</v>
      </c>
      <c r="W2228" t="s">
        <v>450</v>
      </c>
      <c r="X2228" t="s">
        <v>331</v>
      </c>
      <c r="Y2228" t="s">
        <v>307</v>
      </c>
      <c r="Z2228">
        <v>70</v>
      </c>
      <c r="AA2228">
        <v>76</v>
      </c>
      <c r="AB2228" t="s">
        <v>143</v>
      </c>
      <c r="AC2228" t="s">
        <v>336</v>
      </c>
      <c r="AD2228" t="s">
        <v>401</v>
      </c>
      <c r="AE2228" t="str">
        <f>IF(AF2228="","",VLOOKUP(AC2228,mapel!$A$2:$B$42,2,FALSE))</f>
        <v>Pancasila</v>
      </c>
      <c r="AF2228">
        <f t="shared" si="102"/>
        <v>76</v>
      </c>
      <c r="AG2228" t="str">
        <f>IF(AF2228="","",IF(AF2228&gt;90,"Sangat baik",IF(AF2228&gt;79,"Baik",IF(AF2228&gt;=pub_gid_0_single_true_output_csv[[#This Row],[KKM]],"Cukup","Kurang"))))</f>
        <v>Cukup</v>
      </c>
      <c r="AH2228">
        <f t="shared" si="103"/>
        <v>12</v>
      </c>
      <c r="AI2228" s="30" t="str">
        <f>IF(OR(J2228&lt;&gt;"Karakter",pub_gid_0_single_true_output_csv[[#This Row],[Nilai2]]=""),"",IF(AF2228&gt;89,"Sangat baik",IF(AF2228&gt;79,"Baik",IF(AF2228&gt;69,"Cukup",IF(AF2228&gt;59,"Kurang","Sangat kurang")))))</f>
        <v/>
      </c>
      <c r="AJ2228" t="str">
        <f t="shared" si="104"/>
        <v>Wk.3</v>
      </c>
      <c r="AK2228" t="str">
        <f>IF(pub_gid_0_single_true_output_csv[[#This Row],[Nilai2]]="","",VLOOKUP(pub_gid_0_single_true_output_csv[[#This Row],[NAMA]],Table7[],3,FALSE))</f>
        <v>Average</v>
      </c>
    </row>
    <row r="2229" spans="1:37" x14ac:dyDescent="0.2">
      <c r="A2229">
        <v>2228</v>
      </c>
      <c r="B2229" t="s">
        <v>318</v>
      </c>
      <c r="C2229" t="s">
        <v>65</v>
      </c>
      <c r="D2229" t="s">
        <v>63</v>
      </c>
      <c r="E2229" t="s">
        <v>140</v>
      </c>
      <c r="F2229" s="25">
        <v>46034</v>
      </c>
      <c r="G2229" t="s">
        <v>354</v>
      </c>
      <c r="H2229" t="s">
        <v>405</v>
      </c>
      <c r="I2229" t="s">
        <v>371</v>
      </c>
      <c r="J2229" t="s">
        <v>31</v>
      </c>
      <c r="K2229" t="s">
        <v>96</v>
      </c>
      <c r="L2229" t="s">
        <v>351</v>
      </c>
      <c r="M2229" t="s">
        <v>141</v>
      </c>
      <c r="N2229" t="s">
        <v>142</v>
      </c>
      <c r="O2229" t="s">
        <v>327</v>
      </c>
      <c r="P2229" t="s">
        <v>281</v>
      </c>
      <c r="Q2229" t="s">
        <v>328</v>
      </c>
      <c r="R2229" t="s">
        <v>360</v>
      </c>
      <c r="S2229" t="s">
        <v>330</v>
      </c>
      <c r="T2229">
        <v>1</v>
      </c>
      <c r="U2229" t="s">
        <v>449</v>
      </c>
      <c r="V2229" t="s">
        <v>285</v>
      </c>
      <c r="W2229" t="s">
        <v>450</v>
      </c>
      <c r="X2229" t="s">
        <v>331</v>
      </c>
      <c r="Y2229" t="s">
        <v>307</v>
      </c>
      <c r="Z2229">
        <v>70</v>
      </c>
      <c r="AA2229">
        <v>70</v>
      </c>
      <c r="AB2229" t="s">
        <v>143</v>
      </c>
      <c r="AC2229" t="s">
        <v>336</v>
      </c>
      <c r="AD2229" t="s">
        <v>401</v>
      </c>
      <c r="AE2229" t="str">
        <f>IF(AF2229="","",VLOOKUP(AC2229,mapel!$A$2:$B$42,2,FALSE))</f>
        <v>Pancasila</v>
      </c>
      <c r="AF2229">
        <f t="shared" si="102"/>
        <v>70</v>
      </c>
      <c r="AG2229" t="str">
        <f>IF(AF2229="","",IF(AF2229&gt;90,"Sangat baik",IF(AF2229&gt;79,"Baik",IF(AF2229&gt;=pub_gid_0_single_true_output_csv[[#This Row],[KKM]],"Cukup","Kurang"))))</f>
        <v>Cukup</v>
      </c>
      <c r="AH2229">
        <f t="shared" si="103"/>
        <v>12</v>
      </c>
      <c r="AI2229" s="30" t="str">
        <f>IF(OR(J2229&lt;&gt;"Karakter",pub_gid_0_single_true_output_csv[[#This Row],[Nilai2]]=""),"",IF(AF2229&gt;89,"Sangat baik",IF(AF2229&gt;79,"Baik",IF(AF2229&gt;69,"Cukup",IF(AF2229&gt;59,"Kurang","Sangat kurang")))))</f>
        <v/>
      </c>
      <c r="AJ2229" t="str">
        <f t="shared" si="104"/>
        <v>Wk.3</v>
      </c>
      <c r="AK2229" t="str">
        <f>IF(pub_gid_0_single_true_output_csv[[#This Row],[Nilai2]]="","",VLOOKUP(pub_gid_0_single_true_output_csv[[#This Row],[NAMA]],Table7[],3,FALSE))</f>
        <v>Average</v>
      </c>
    </row>
    <row r="2230" spans="1:37" x14ac:dyDescent="0.2">
      <c r="A2230">
        <v>2229</v>
      </c>
      <c r="B2230" t="s">
        <v>318</v>
      </c>
      <c r="C2230" t="s">
        <v>65</v>
      </c>
      <c r="D2230" t="s">
        <v>63</v>
      </c>
      <c r="E2230" t="s">
        <v>140</v>
      </c>
      <c r="F2230" s="25">
        <v>46034</v>
      </c>
      <c r="G2230" t="s">
        <v>354</v>
      </c>
      <c r="H2230" t="s">
        <v>405</v>
      </c>
      <c r="I2230" t="s">
        <v>371</v>
      </c>
      <c r="J2230" t="s">
        <v>36</v>
      </c>
      <c r="K2230" t="s">
        <v>37</v>
      </c>
      <c r="L2230" t="s">
        <v>351</v>
      </c>
      <c r="M2230" t="s">
        <v>141</v>
      </c>
      <c r="N2230" t="s">
        <v>142</v>
      </c>
      <c r="O2230" t="s">
        <v>327</v>
      </c>
      <c r="P2230" t="s">
        <v>281</v>
      </c>
      <c r="Q2230" t="s">
        <v>328</v>
      </c>
      <c r="R2230" t="s">
        <v>360</v>
      </c>
      <c r="S2230" t="s">
        <v>330</v>
      </c>
      <c r="T2230">
        <v>1</v>
      </c>
      <c r="U2230" t="s">
        <v>449</v>
      </c>
      <c r="V2230" t="s">
        <v>285</v>
      </c>
      <c r="W2230" t="s">
        <v>450</v>
      </c>
      <c r="X2230" t="s">
        <v>331</v>
      </c>
      <c r="Y2230" t="s">
        <v>307</v>
      </c>
      <c r="Z2230">
        <v>70</v>
      </c>
      <c r="AA2230">
        <v>67</v>
      </c>
      <c r="AB2230" t="s">
        <v>151</v>
      </c>
      <c r="AC2230" t="s">
        <v>336</v>
      </c>
      <c r="AD2230" t="s">
        <v>401</v>
      </c>
      <c r="AE2230" t="str">
        <f>IF(AF2230="","",VLOOKUP(AC2230,mapel!$A$2:$B$42,2,FALSE))</f>
        <v>Pancasila</v>
      </c>
      <c r="AF2230">
        <f t="shared" si="102"/>
        <v>67</v>
      </c>
      <c r="AG2230" t="str">
        <f>IF(AF2230="","",IF(AF2230&gt;90,"Sangat baik",IF(AF2230&gt;79,"Baik",IF(AF2230&gt;=pub_gid_0_single_true_output_csv[[#This Row],[KKM]],"Cukup","Kurang"))))</f>
        <v>Kurang</v>
      </c>
      <c r="AH2230">
        <f t="shared" si="103"/>
        <v>12</v>
      </c>
      <c r="AI2230" s="30" t="str">
        <f>IF(OR(J2230&lt;&gt;"Karakter",pub_gid_0_single_true_output_csv[[#This Row],[Nilai2]]=""),"",IF(AF2230&gt;89,"Sangat baik",IF(AF2230&gt;79,"Baik",IF(AF2230&gt;69,"Cukup",IF(AF2230&gt;59,"Kurang","Sangat kurang")))))</f>
        <v/>
      </c>
      <c r="AJ2230" t="str">
        <f t="shared" si="104"/>
        <v>Wk.3</v>
      </c>
      <c r="AK2230" t="str">
        <f>IF(pub_gid_0_single_true_output_csv[[#This Row],[Nilai2]]="","",VLOOKUP(pub_gid_0_single_true_output_csv[[#This Row],[NAMA]],Table7[],3,FALSE))</f>
        <v>Average</v>
      </c>
    </row>
    <row r="2231" spans="1:37" x14ac:dyDescent="0.2">
      <c r="A2231">
        <v>2230</v>
      </c>
      <c r="B2231" t="s">
        <v>318</v>
      </c>
      <c r="C2231" t="s">
        <v>65</v>
      </c>
      <c r="D2231" t="s">
        <v>63</v>
      </c>
      <c r="E2231" t="s">
        <v>140</v>
      </c>
      <c r="F2231" s="25">
        <v>46038</v>
      </c>
      <c r="G2231" t="s">
        <v>382</v>
      </c>
      <c r="H2231" t="s">
        <v>405</v>
      </c>
      <c r="I2231" t="s">
        <v>371</v>
      </c>
      <c r="J2231" t="s">
        <v>36</v>
      </c>
      <c r="K2231" t="s">
        <v>37</v>
      </c>
      <c r="L2231" t="s">
        <v>351</v>
      </c>
      <c r="M2231" t="s">
        <v>397</v>
      </c>
      <c r="N2231" t="s">
        <v>142</v>
      </c>
      <c r="O2231" t="s">
        <v>327</v>
      </c>
      <c r="P2231" t="s">
        <v>281</v>
      </c>
      <c r="Q2231" t="s">
        <v>328</v>
      </c>
      <c r="R2231" t="s">
        <v>360</v>
      </c>
      <c r="S2231" t="s">
        <v>330</v>
      </c>
      <c r="T2231">
        <v>1</v>
      </c>
      <c r="U2231" t="s">
        <v>449</v>
      </c>
      <c r="V2231" t="s">
        <v>285</v>
      </c>
      <c r="W2231" t="s">
        <v>450</v>
      </c>
      <c r="X2231" t="s">
        <v>331</v>
      </c>
      <c r="Y2231" t="s">
        <v>307</v>
      </c>
      <c r="Z2231">
        <v>70</v>
      </c>
      <c r="AA2231">
        <v>73</v>
      </c>
      <c r="AB2231" t="s">
        <v>143</v>
      </c>
      <c r="AC2231" t="s">
        <v>336</v>
      </c>
      <c r="AD2231" t="s">
        <v>401</v>
      </c>
      <c r="AE2231" t="str">
        <f>IF(AF2231="","",VLOOKUP(AC2231,mapel!$A$2:$B$42,2,FALSE))</f>
        <v>Pancasila</v>
      </c>
      <c r="AF2231">
        <f t="shared" si="102"/>
        <v>73</v>
      </c>
      <c r="AG2231" t="str">
        <f>IF(AF2231="","",IF(AF2231&gt;90,"Sangat baik",IF(AF2231&gt;79,"Baik",IF(AF2231&gt;=pub_gid_0_single_true_output_csv[[#This Row],[KKM]],"Cukup","Kurang"))))</f>
        <v>Cukup</v>
      </c>
      <c r="AH2231">
        <f t="shared" si="103"/>
        <v>12</v>
      </c>
      <c r="AI2231" s="30" t="str">
        <f>IF(OR(J2231&lt;&gt;"Karakter",pub_gid_0_single_true_output_csv[[#This Row],[Nilai2]]=""),"",IF(AF2231&gt;89,"Sangat baik",IF(AF2231&gt;79,"Baik",IF(AF2231&gt;69,"Cukup",IF(AF2231&gt;59,"Kurang","Sangat kurang")))))</f>
        <v/>
      </c>
      <c r="AJ2231" t="str">
        <f t="shared" si="104"/>
        <v>Wk.3</v>
      </c>
      <c r="AK2231" t="str">
        <f>IF(pub_gid_0_single_true_output_csv[[#This Row],[Nilai2]]="","",VLOOKUP(pub_gid_0_single_true_output_csv[[#This Row],[NAMA]],Table7[],3,FALSE))</f>
        <v>Average</v>
      </c>
    </row>
    <row r="2232" spans="1:37" x14ac:dyDescent="0.2">
      <c r="A2232">
        <v>2231</v>
      </c>
      <c r="B2232" t="s">
        <v>318</v>
      </c>
      <c r="C2232" t="s">
        <v>65</v>
      </c>
      <c r="D2232" t="s">
        <v>63</v>
      </c>
      <c r="E2232" t="s">
        <v>140</v>
      </c>
      <c r="F2232" s="25">
        <v>46041</v>
      </c>
      <c r="G2232" t="s">
        <v>370</v>
      </c>
      <c r="H2232" t="s">
        <v>405</v>
      </c>
      <c r="I2232" t="s">
        <v>371</v>
      </c>
      <c r="J2232" t="s">
        <v>36</v>
      </c>
      <c r="K2232" t="s">
        <v>37</v>
      </c>
      <c r="L2232" t="s">
        <v>351</v>
      </c>
      <c r="M2232" t="s">
        <v>141</v>
      </c>
      <c r="N2232" t="s">
        <v>142</v>
      </c>
      <c r="O2232" t="s">
        <v>327</v>
      </c>
      <c r="P2232" t="s">
        <v>281</v>
      </c>
      <c r="Q2232" t="s">
        <v>328</v>
      </c>
      <c r="R2232" t="s">
        <v>360</v>
      </c>
      <c r="S2232" t="s">
        <v>387</v>
      </c>
      <c r="T2232">
        <v>2</v>
      </c>
      <c r="U2232" t="s">
        <v>451</v>
      </c>
      <c r="V2232" t="s">
        <v>303</v>
      </c>
      <c r="W2232" t="s">
        <v>452</v>
      </c>
      <c r="X2232" t="s">
        <v>331</v>
      </c>
      <c r="Y2232" t="s">
        <v>307</v>
      </c>
      <c r="Z2232">
        <v>70</v>
      </c>
      <c r="AA2232">
        <v>74</v>
      </c>
      <c r="AB2232" t="s">
        <v>143</v>
      </c>
      <c r="AC2232" t="s">
        <v>336</v>
      </c>
      <c r="AD2232" t="s">
        <v>401</v>
      </c>
      <c r="AE2232" t="str">
        <f>IF(AF2232="","",VLOOKUP(AC2232,mapel!$A$2:$B$42,2,FALSE))</f>
        <v>Pancasila</v>
      </c>
      <c r="AF2232">
        <f t="shared" si="102"/>
        <v>74</v>
      </c>
      <c r="AG2232" t="str">
        <f>IF(AF2232="","",IF(AF2232&gt;90,"Sangat baik",IF(AF2232&gt;79,"Baik",IF(AF2232&gt;=pub_gid_0_single_true_output_csv[[#This Row],[KKM]],"Cukup","Kurang"))))</f>
        <v>Cukup</v>
      </c>
      <c r="AH2232">
        <f t="shared" si="103"/>
        <v>12</v>
      </c>
      <c r="AI2232" s="30" t="str">
        <f>IF(OR(J2232&lt;&gt;"Karakter",pub_gid_0_single_true_output_csv[[#This Row],[Nilai2]]=""),"",IF(AF2232&gt;89,"Sangat baik",IF(AF2232&gt;79,"Baik",IF(AF2232&gt;69,"Cukup",IF(AF2232&gt;59,"Kurang","Sangat kurang")))))</f>
        <v/>
      </c>
      <c r="AJ2232" t="str">
        <f t="shared" si="104"/>
        <v>Wk.4</v>
      </c>
      <c r="AK2232" t="str">
        <f>IF(pub_gid_0_single_true_output_csv[[#This Row],[Nilai2]]="","",VLOOKUP(pub_gid_0_single_true_output_csv[[#This Row],[NAMA]],Table7[],3,FALSE))</f>
        <v>Average</v>
      </c>
    </row>
    <row r="2233" spans="1:37" x14ac:dyDescent="0.2">
      <c r="A2233">
        <v>2232</v>
      </c>
      <c r="B2233" t="s">
        <v>318</v>
      </c>
      <c r="C2233" t="s">
        <v>65</v>
      </c>
      <c r="D2233" t="s">
        <v>63</v>
      </c>
      <c r="E2233" t="s">
        <v>140</v>
      </c>
      <c r="F2233" s="25">
        <v>46041</v>
      </c>
      <c r="G2233" t="s">
        <v>370</v>
      </c>
      <c r="H2233" t="s">
        <v>405</v>
      </c>
      <c r="I2233" t="s">
        <v>371</v>
      </c>
      <c r="J2233" t="s">
        <v>31</v>
      </c>
      <c r="K2233" t="s">
        <v>96</v>
      </c>
      <c r="L2233" t="s">
        <v>351</v>
      </c>
      <c r="M2233" t="s">
        <v>141</v>
      </c>
      <c r="N2233" t="s">
        <v>142</v>
      </c>
      <c r="O2233" t="s">
        <v>327</v>
      </c>
      <c r="P2233" t="s">
        <v>281</v>
      </c>
      <c r="Q2233" t="s">
        <v>328</v>
      </c>
      <c r="R2233" t="s">
        <v>360</v>
      </c>
      <c r="S2233" t="s">
        <v>387</v>
      </c>
      <c r="T2233">
        <v>2</v>
      </c>
      <c r="U2233" t="s">
        <v>451</v>
      </c>
      <c r="V2233" t="s">
        <v>303</v>
      </c>
      <c r="W2233" t="s">
        <v>452</v>
      </c>
      <c r="X2233" t="s">
        <v>331</v>
      </c>
      <c r="Y2233" t="s">
        <v>307</v>
      </c>
      <c r="Z2233">
        <v>70</v>
      </c>
      <c r="AA2233">
        <v>72</v>
      </c>
      <c r="AB2233" t="s">
        <v>143</v>
      </c>
      <c r="AC2233" t="s">
        <v>336</v>
      </c>
      <c r="AD2233" t="s">
        <v>401</v>
      </c>
      <c r="AE2233" t="str">
        <f>IF(AF2233="","",VLOOKUP(AC2233,mapel!$A$2:$B$42,2,FALSE))</f>
        <v>Pancasila</v>
      </c>
      <c r="AF2233">
        <f t="shared" si="102"/>
        <v>72</v>
      </c>
      <c r="AG2233" t="str">
        <f>IF(AF2233="","",IF(AF2233&gt;90,"Sangat baik",IF(AF2233&gt;79,"Baik",IF(AF2233&gt;=pub_gid_0_single_true_output_csv[[#This Row],[KKM]],"Cukup","Kurang"))))</f>
        <v>Cukup</v>
      </c>
      <c r="AH2233">
        <f t="shared" si="103"/>
        <v>12</v>
      </c>
      <c r="AI2233" s="30" t="str">
        <f>IF(OR(J2233&lt;&gt;"Karakter",pub_gid_0_single_true_output_csv[[#This Row],[Nilai2]]=""),"",IF(AF2233&gt;89,"Sangat baik",IF(AF2233&gt;79,"Baik",IF(AF2233&gt;69,"Cukup",IF(AF2233&gt;59,"Kurang","Sangat kurang")))))</f>
        <v/>
      </c>
      <c r="AJ2233" t="str">
        <f t="shared" si="104"/>
        <v>Wk.4</v>
      </c>
      <c r="AK2233" t="str">
        <f>IF(pub_gid_0_single_true_output_csv[[#This Row],[Nilai2]]="","",VLOOKUP(pub_gid_0_single_true_output_csv[[#This Row],[NAMA]],Table7[],3,FALSE))</f>
        <v>Average</v>
      </c>
    </row>
    <row r="2234" spans="1:37" x14ac:dyDescent="0.2">
      <c r="A2234">
        <v>2233</v>
      </c>
      <c r="B2234" t="s">
        <v>318</v>
      </c>
      <c r="C2234" t="s">
        <v>65</v>
      </c>
      <c r="D2234" t="s">
        <v>63</v>
      </c>
      <c r="E2234" t="s">
        <v>140</v>
      </c>
      <c r="F2234" s="25">
        <v>46041</v>
      </c>
      <c r="G2234" t="s">
        <v>370</v>
      </c>
      <c r="H2234" t="s">
        <v>405</v>
      </c>
      <c r="I2234" t="s">
        <v>371</v>
      </c>
      <c r="J2234" t="s">
        <v>90</v>
      </c>
      <c r="K2234" t="s">
        <v>92</v>
      </c>
      <c r="L2234" t="s">
        <v>398</v>
      </c>
      <c r="M2234" t="s">
        <v>141</v>
      </c>
      <c r="N2234" t="s">
        <v>142</v>
      </c>
      <c r="O2234" t="s">
        <v>327</v>
      </c>
      <c r="P2234" t="s">
        <v>281</v>
      </c>
      <c r="Q2234" t="s">
        <v>328</v>
      </c>
      <c r="R2234" t="s">
        <v>360</v>
      </c>
      <c r="S2234" t="s">
        <v>387</v>
      </c>
      <c r="T2234">
        <v>2</v>
      </c>
      <c r="U2234" t="s">
        <v>451</v>
      </c>
      <c r="V2234" t="s">
        <v>303</v>
      </c>
      <c r="W2234" t="s">
        <v>452</v>
      </c>
      <c r="X2234" t="s">
        <v>331</v>
      </c>
      <c r="Y2234" t="s">
        <v>307</v>
      </c>
      <c r="Z2234">
        <v>70</v>
      </c>
      <c r="AA2234">
        <v>76</v>
      </c>
      <c r="AB2234" t="s">
        <v>143</v>
      </c>
      <c r="AC2234" t="s">
        <v>336</v>
      </c>
      <c r="AD2234" t="s">
        <v>401</v>
      </c>
      <c r="AE2234" t="str">
        <f>IF(AF2234="","",VLOOKUP(AC2234,mapel!$A$2:$B$42,2,FALSE))</f>
        <v>Pancasila</v>
      </c>
      <c r="AF2234">
        <f t="shared" si="102"/>
        <v>76</v>
      </c>
      <c r="AG2234" t="str">
        <f>IF(AF2234="","",IF(AF2234&gt;90,"Sangat baik",IF(AF2234&gt;79,"Baik",IF(AF2234&gt;=pub_gid_0_single_true_output_csv[[#This Row],[KKM]],"Cukup","Kurang"))))</f>
        <v>Cukup</v>
      </c>
      <c r="AH2234">
        <f t="shared" si="103"/>
        <v>12</v>
      </c>
      <c r="AI2234" s="30" t="str">
        <f>IF(OR(J2234&lt;&gt;"Karakter",pub_gid_0_single_true_output_csv[[#This Row],[Nilai2]]=""),"",IF(AF2234&gt;89,"Sangat baik",IF(AF2234&gt;79,"Baik",IF(AF2234&gt;69,"Cukup",IF(AF2234&gt;59,"Kurang","Sangat kurang")))))</f>
        <v>Cukup</v>
      </c>
      <c r="AJ2234" t="str">
        <f t="shared" si="104"/>
        <v>Wk.4</v>
      </c>
      <c r="AK2234" t="str">
        <f>IF(pub_gid_0_single_true_output_csv[[#This Row],[Nilai2]]="","",VLOOKUP(pub_gid_0_single_true_output_csv[[#This Row],[NAMA]],Table7[],3,FALSE))</f>
        <v>Average</v>
      </c>
    </row>
    <row r="2235" spans="1:37" x14ac:dyDescent="0.2">
      <c r="A2235">
        <v>2234</v>
      </c>
      <c r="B2235" t="s">
        <v>318</v>
      </c>
      <c r="C2235" t="s">
        <v>65</v>
      </c>
      <c r="D2235" t="s">
        <v>63</v>
      </c>
      <c r="E2235" t="s">
        <v>140</v>
      </c>
      <c r="F2235" s="25">
        <v>46041</v>
      </c>
      <c r="G2235" t="s">
        <v>370</v>
      </c>
      <c r="H2235" t="s">
        <v>405</v>
      </c>
      <c r="I2235" t="s">
        <v>371</v>
      </c>
      <c r="J2235" t="s">
        <v>279</v>
      </c>
      <c r="K2235" t="s">
        <v>280</v>
      </c>
      <c r="L2235" t="s">
        <v>322</v>
      </c>
      <c r="M2235" t="s">
        <v>141</v>
      </c>
      <c r="N2235" t="s">
        <v>142</v>
      </c>
      <c r="O2235" t="s">
        <v>327</v>
      </c>
      <c r="P2235" t="s">
        <v>281</v>
      </c>
      <c r="Q2235" t="s">
        <v>328</v>
      </c>
      <c r="R2235" t="s">
        <v>360</v>
      </c>
      <c r="S2235" t="s">
        <v>387</v>
      </c>
      <c r="T2235">
        <v>2</v>
      </c>
      <c r="U2235" t="s">
        <v>451</v>
      </c>
      <c r="V2235" t="s">
        <v>303</v>
      </c>
      <c r="W2235" t="s">
        <v>452</v>
      </c>
      <c r="X2235" t="s">
        <v>331</v>
      </c>
      <c r="Y2235" t="s">
        <v>307</v>
      </c>
      <c r="Z2235">
        <v>70</v>
      </c>
      <c r="AA2235">
        <v>74</v>
      </c>
      <c r="AB2235" t="s">
        <v>143</v>
      </c>
      <c r="AC2235" t="s">
        <v>336</v>
      </c>
      <c r="AD2235" t="s">
        <v>401</v>
      </c>
      <c r="AE2235" t="str">
        <f>IF(AF2235="","",VLOOKUP(AC2235,mapel!$A$2:$B$42,2,FALSE))</f>
        <v>Pancasila</v>
      </c>
      <c r="AF2235">
        <f t="shared" si="102"/>
        <v>74</v>
      </c>
      <c r="AG2235" t="str">
        <f>IF(AF2235="","",IF(AF2235&gt;90,"Sangat baik",IF(AF2235&gt;79,"Baik",IF(AF2235&gt;=pub_gid_0_single_true_output_csv[[#This Row],[KKM]],"Cukup","Kurang"))))</f>
        <v>Cukup</v>
      </c>
      <c r="AH2235">
        <f t="shared" si="103"/>
        <v>12</v>
      </c>
      <c r="AI2235" s="30" t="str">
        <f>IF(OR(J2235&lt;&gt;"Karakter",pub_gid_0_single_true_output_csv[[#This Row],[Nilai2]]=""),"",IF(AF2235&gt;89,"Sangat baik",IF(AF2235&gt;79,"Baik",IF(AF2235&gt;69,"Cukup",IF(AF2235&gt;59,"Kurang","Sangat kurang")))))</f>
        <v/>
      </c>
      <c r="AJ2235" t="str">
        <f t="shared" si="104"/>
        <v>Wk.4</v>
      </c>
      <c r="AK2235" t="str">
        <f>IF(pub_gid_0_single_true_output_csv[[#This Row],[Nilai2]]="","",VLOOKUP(pub_gid_0_single_true_output_csv[[#This Row],[NAMA]],Table7[],3,FALSE))</f>
        <v>Average</v>
      </c>
    </row>
    <row r="2236" spans="1:37" x14ac:dyDescent="0.2">
      <c r="A2236">
        <v>2235</v>
      </c>
      <c r="B2236" t="s">
        <v>318</v>
      </c>
      <c r="C2236" t="s">
        <v>65</v>
      </c>
      <c r="D2236" t="s">
        <v>63</v>
      </c>
      <c r="E2236" t="s">
        <v>140</v>
      </c>
      <c r="F2236" s="25">
        <v>46055</v>
      </c>
      <c r="G2236" t="s">
        <v>379</v>
      </c>
      <c r="H2236" t="s">
        <v>412</v>
      </c>
      <c r="I2236" t="s">
        <v>371</v>
      </c>
      <c r="J2236" t="s">
        <v>90</v>
      </c>
      <c r="K2236" t="s">
        <v>377</v>
      </c>
      <c r="L2236" t="s">
        <v>400</v>
      </c>
      <c r="M2236" t="s">
        <v>141</v>
      </c>
      <c r="N2236" t="s">
        <v>142</v>
      </c>
      <c r="O2236" t="s">
        <v>327</v>
      </c>
      <c r="P2236" t="s">
        <v>281</v>
      </c>
      <c r="Q2236" t="s">
        <v>328</v>
      </c>
      <c r="R2236" t="s">
        <v>360</v>
      </c>
      <c r="S2236" t="s">
        <v>392</v>
      </c>
      <c r="T2236">
        <v>1</v>
      </c>
      <c r="U2236" t="s">
        <v>449</v>
      </c>
      <c r="V2236" t="s">
        <v>343</v>
      </c>
      <c r="W2236" t="s">
        <v>453</v>
      </c>
      <c r="X2236" t="s">
        <v>331</v>
      </c>
      <c r="Y2236" t="s">
        <v>307</v>
      </c>
      <c r="Z2236">
        <v>70</v>
      </c>
      <c r="AA2236">
        <v>80</v>
      </c>
      <c r="AB2236" t="s">
        <v>143</v>
      </c>
      <c r="AC2236" t="s">
        <v>336</v>
      </c>
      <c r="AD2236" t="s">
        <v>401</v>
      </c>
      <c r="AE2236" t="str">
        <f>IF(AF2236="","",VLOOKUP(AC2236,mapel!$A$2:$B$42,2,FALSE))</f>
        <v>Pancasila</v>
      </c>
      <c r="AF2236">
        <f t="shared" si="102"/>
        <v>80</v>
      </c>
      <c r="AG2236" t="str">
        <f>IF(AF2236="","",IF(AF2236&gt;90,"Sangat baik",IF(AF2236&gt;79,"Baik",IF(AF2236&gt;=pub_gid_0_single_true_output_csv[[#This Row],[KKM]],"Cukup","Kurang"))))</f>
        <v>Baik</v>
      </c>
      <c r="AH2236">
        <f t="shared" si="103"/>
        <v>12</v>
      </c>
      <c r="AI2236" s="30" t="str">
        <f>IF(OR(J2236&lt;&gt;"Karakter",pub_gid_0_single_true_output_csv[[#This Row],[Nilai2]]=""),"",IF(AF2236&gt;89,"Sangat baik",IF(AF2236&gt;79,"Baik",IF(AF2236&gt;69,"Cukup",IF(AF2236&gt;59,"Kurang","Sangat kurang")))))</f>
        <v>Baik</v>
      </c>
      <c r="AJ2236" t="str">
        <f t="shared" si="104"/>
        <v>Wk.6</v>
      </c>
      <c r="AK2236" t="str">
        <f>IF(pub_gid_0_single_true_output_csv[[#This Row],[Nilai2]]="","",VLOOKUP(pub_gid_0_single_true_output_csv[[#This Row],[NAMA]],Table7[],3,FALSE))</f>
        <v>Average</v>
      </c>
    </row>
    <row r="2237" spans="1:37" x14ac:dyDescent="0.2">
      <c r="A2237">
        <v>2236</v>
      </c>
      <c r="B2237" t="s">
        <v>318</v>
      </c>
      <c r="C2237" t="s">
        <v>65</v>
      </c>
      <c r="D2237" t="s">
        <v>63</v>
      </c>
      <c r="E2237" t="s">
        <v>140</v>
      </c>
      <c r="F2237" s="25">
        <v>46055</v>
      </c>
      <c r="G2237" t="s">
        <v>379</v>
      </c>
      <c r="H2237" t="s">
        <v>412</v>
      </c>
      <c r="I2237" t="s">
        <v>371</v>
      </c>
      <c r="J2237" t="s">
        <v>41</v>
      </c>
      <c r="K2237" t="s">
        <v>272</v>
      </c>
      <c r="L2237" t="s">
        <v>351</v>
      </c>
      <c r="M2237" t="s">
        <v>141</v>
      </c>
      <c r="N2237" t="s">
        <v>142</v>
      </c>
      <c r="O2237" t="s">
        <v>327</v>
      </c>
      <c r="P2237" t="s">
        <v>281</v>
      </c>
      <c r="Q2237" t="s">
        <v>328</v>
      </c>
      <c r="R2237" t="s">
        <v>360</v>
      </c>
      <c r="S2237" t="s">
        <v>392</v>
      </c>
      <c r="T2237">
        <v>1</v>
      </c>
      <c r="U2237" t="s">
        <v>449</v>
      </c>
      <c r="V2237" t="s">
        <v>343</v>
      </c>
      <c r="W2237" t="s">
        <v>453</v>
      </c>
      <c r="X2237" t="s">
        <v>331</v>
      </c>
      <c r="Y2237" t="s">
        <v>307</v>
      </c>
      <c r="Z2237">
        <v>70</v>
      </c>
      <c r="AA2237">
        <v>80</v>
      </c>
      <c r="AB2237" t="s">
        <v>143</v>
      </c>
      <c r="AC2237" t="s">
        <v>336</v>
      </c>
      <c r="AD2237" t="s">
        <v>401</v>
      </c>
      <c r="AE2237" t="str">
        <f>IF(AF2237="","",VLOOKUP(AC2237,mapel!$A$2:$B$42,2,FALSE))</f>
        <v>Pancasila</v>
      </c>
      <c r="AF2237">
        <f t="shared" si="102"/>
        <v>80</v>
      </c>
      <c r="AG2237" t="str">
        <f>IF(AF2237="","",IF(AF2237&gt;90,"Sangat baik",IF(AF2237&gt;79,"Baik",IF(AF2237&gt;=pub_gid_0_single_true_output_csv[[#This Row],[KKM]],"Cukup","Kurang"))))</f>
        <v>Baik</v>
      </c>
      <c r="AH2237">
        <f t="shared" si="103"/>
        <v>12</v>
      </c>
      <c r="AI2237" s="30" t="str">
        <f>IF(OR(J2237&lt;&gt;"Karakter",pub_gid_0_single_true_output_csv[[#This Row],[Nilai2]]=""),"",IF(AF2237&gt;89,"Sangat baik",IF(AF2237&gt;79,"Baik",IF(AF2237&gt;69,"Cukup",IF(AF2237&gt;59,"Kurang","Sangat kurang")))))</f>
        <v/>
      </c>
      <c r="AJ2237" t="str">
        <f t="shared" si="104"/>
        <v>Wk.6</v>
      </c>
      <c r="AK2237" t="str">
        <f>IF(pub_gid_0_single_true_output_csv[[#This Row],[Nilai2]]="","",VLOOKUP(pub_gid_0_single_true_output_csv[[#This Row],[NAMA]],Table7[],3,FALSE))</f>
        <v>Average</v>
      </c>
    </row>
    <row r="2238" spans="1:37" x14ac:dyDescent="0.2">
      <c r="A2238">
        <v>2237</v>
      </c>
      <c r="B2238" t="s">
        <v>318</v>
      </c>
      <c r="C2238" t="s">
        <v>65</v>
      </c>
      <c r="D2238" t="s">
        <v>63</v>
      </c>
      <c r="E2238" t="s">
        <v>140</v>
      </c>
      <c r="F2238" s="25">
        <v>46055</v>
      </c>
      <c r="G2238" t="s">
        <v>379</v>
      </c>
      <c r="H2238" t="s">
        <v>412</v>
      </c>
      <c r="I2238" t="s">
        <v>371</v>
      </c>
      <c r="J2238" t="s">
        <v>279</v>
      </c>
      <c r="K2238" t="s">
        <v>280</v>
      </c>
      <c r="L2238" t="s">
        <v>322</v>
      </c>
      <c r="M2238" t="s">
        <v>141</v>
      </c>
      <c r="N2238" t="s">
        <v>142</v>
      </c>
      <c r="O2238" t="s">
        <v>327</v>
      </c>
      <c r="P2238" t="s">
        <v>281</v>
      </c>
      <c r="Q2238" t="s">
        <v>328</v>
      </c>
      <c r="R2238" t="s">
        <v>360</v>
      </c>
      <c r="S2238" t="s">
        <v>392</v>
      </c>
      <c r="T2238">
        <v>1</v>
      </c>
      <c r="U2238" t="s">
        <v>449</v>
      </c>
      <c r="V2238" t="s">
        <v>343</v>
      </c>
      <c r="W2238" t="s">
        <v>453</v>
      </c>
      <c r="X2238" t="s">
        <v>331</v>
      </c>
      <c r="Y2238" t="s">
        <v>307</v>
      </c>
      <c r="Z2238">
        <v>70</v>
      </c>
      <c r="AA2238">
        <v>78</v>
      </c>
      <c r="AB2238" t="s">
        <v>143</v>
      </c>
      <c r="AC2238" t="s">
        <v>336</v>
      </c>
      <c r="AD2238" t="s">
        <v>401</v>
      </c>
      <c r="AE2238" t="str">
        <f>IF(AF2238="","",VLOOKUP(AC2238,mapel!$A$2:$B$42,2,FALSE))</f>
        <v>Pancasila</v>
      </c>
      <c r="AF2238">
        <f t="shared" si="102"/>
        <v>78</v>
      </c>
      <c r="AG2238" t="str">
        <f>IF(AF2238="","",IF(AF2238&gt;90,"Sangat baik",IF(AF2238&gt;79,"Baik",IF(AF2238&gt;=pub_gid_0_single_true_output_csv[[#This Row],[KKM]],"Cukup","Kurang"))))</f>
        <v>Cukup</v>
      </c>
      <c r="AH2238">
        <f t="shared" si="103"/>
        <v>12</v>
      </c>
      <c r="AI2238" s="30" t="str">
        <f>IF(OR(J2238&lt;&gt;"Karakter",pub_gid_0_single_true_output_csv[[#This Row],[Nilai2]]=""),"",IF(AF2238&gt;89,"Sangat baik",IF(AF2238&gt;79,"Baik",IF(AF2238&gt;69,"Cukup",IF(AF2238&gt;59,"Kurang","Sangat kurang")))))</f>
        <v/>
      </c>
      <c r="AJ2238" t="str">
        <f t="shared" si="104"/>
        <v>Wk.6</v>
      </c>
      <c r="AK2238" t="str">
        <f>IF(pub_gid_0_single_true_output_csv[[#This Row],[Nilai2]]="","",VLOOKUP(pub_gid_0_single_true_output_csv[[#This Row],[NAMA]],Table7[],3,FALSE))</f>
        <v>Average</v>
      </c>
    </row>
    <row r="2239" spans="1:37" x14ac:dyDescent="0.2">
      <c r="A2239">
        <v>2238</v>
      </c>
      <c r="B2239" t="s">
        <v>318</v>
      </c>
      <c r="C2239" t="s">
        <v>65</v>
      </c>
      <c r="D2239" t="s">
        <v>63</v>
      </c>
      <c r="E2239" t="s">
        <v>140</v>
      </c>
      <c r="F2239" s="25">
        <v>46055</v>
      </c>
      <c r="G2239" t="s">
        <v>379</v>
      </c>
      <c r="H2239" t="s">
        <v>412</v>
      </c>
      <c r="I2239" t="s">
        <v>371</v>
      </c>
      <c r="J2239" t="s">
        <v>31</v>
      </c>
      <c r="K2239" t="s">
        <v>96</v>
      </c>
      <c r="L2239" t="s">
        <v>351</v>
      </c>
      <c r="M2239" t="s">
        <v>141</v>
      </c>
      <c r="N2239" t="s">
        <v>142</v>
      </c>
      <c r="O2239" t="s">
        <v>327</v>
      </c>
      <c r="P2239" t="s">
        <v>281</v>
      </c>
      <c r="Q2239" t="s">
        <v>328</v>
      </c>
      <c r="R2239" t="s">
        <v>360</v>
      </c>
      <c r="S2239" t="s">
        <v>392</v>
      </c>
      <c r="T2239">
        <v>1</v>
      </c>
      <c r="U2239" t="s">
        <v>449</v>
      </c>
      <c r="V2239" t="s">
        <v>343</v>
      </c>
      <c r="W2239" t="s">
        <v>453</v>
      </c>
      <c r="X2239" t="s">
        <v>331</v>
      </c>
      <c r="Y2239" t="s">
        <v>307</v>
      </c>
      <c r="Z2239">
        <v>70</v>
      </c>
      <c r="AA2239">
        <v>72</v>
      </c>
      <c r="AB2239" t="s">
        <v>143</v>
      </c>
      <c r="AC2239" t="s">
        <v>336</v>
      </c>
      <c r="AD2239" t="s">
        <v>401</v>
      </c>
      <c r="AE2239" t="str">
        <f>IF(AF2239="","",VLOOKUP(AC2239,mapel!$A$2:$B$42,2,FALSE))</f>
        <v>Pancasila</v>
      </c>
      <c r="AF2239">
        <f t="shared" si="102"/>
        <v>72</v>
      </c>
      <c r="AG2239" t="str">
        <f>IF(AF2239="","",IF(AF2239&gt;90,"Sangat baik",IF(AF2239&gt;79,"Baik",IF(AF2239&gt;=pub_gid_0_single_true_output_csv[[#This Row],[KKM]],"Cukup","Kurang"))))</f>
        <v>Cukup</v>
      </c>
      <c r="AH2239">
        <f t="shared" si="103"/>
        <v>12</v>
      </c>
      <c r="AI2239" s="30" t="str">
        <f>IF(OR(J2239&lt;&gt;"Karakter",pub_gid_0_single_true_output_csv[[#This Row],[Nilai2]]=""),"",IF(AF2239&gt;89,"Sangat baik",IF(AF2239&gt;79,"Baik",IF(AF2239&gt;69,"Cukup",IF(AF2239&gt;59,"Kurang","Sangat kurang")))))</f>
        <v/>
      </c>
      <c r="AJ2239" t="str">
        <f t="shared" si="104"/>
        <v>Wk.6</v>
      </c>
      <c r="AK2239" t="str">
        <f>IF(pub_gid_0_single_true_output_csv[[#This Row],[Nilai2]]="","",VLOOKUP(pub_gid_0_single_true_output_csv[[#This Row],[NAMA]],Table7[],3,FALSE))</f>
        <v>Average</v>
      </c>
    </row>
    <row r="2240" spans="1:37" x14ac:dyDescent="0.2">
      <c r="A2240">
        <v>2239</v>
      </c>
      <c r="B2240" t="s">
        <v>318</v>
      </c>
      <c r="C2240" t="s">
        <v>65</v>
      </c>
      <c r="D2240" t="s">
        <v>63</v>
      </c>
      <c r="E2240" t="s">
        <v>140</v>
      </c>
      <c r="F2240" s="25">
        <v>46055</v>
      </c>
      <c r="G2240" t="s">
        <v>379</v>
      </c>
      <c r="H2240" t="s">
        <v>412</v>
      </c>
      <c r="I2240" t="s">
        <v>371</v>
      </c>
      <c r="J2240" t="s">
        <v>36</v>
      </c>
      <c r="K2240" t="s">
        <v>37</v>
      </c>
      <c r="L2240" t="s">
        <v>150</v>
      </c>
      <c r="M2240" t="s">
        <v>141</v>
      </c>
      <c r="N2240" t="s">
        <v>142</v>
      </c>
      <c r="O2240" t="s">
        <v>327</v>
      </c>
      <c r="P2240" t="s">
        <v>281</v>
      </c>
      <c r="Q2240" t="s">
        <v>328</v>
      </c>
      <c r="R2240" t="s">
        <v>360</v>
      </c>
      <c r="S2240" t="s">
        <v>392</v>
      </c>
      <c r="T2240">
        <v>1</v>
      </c>
      <c r="U2240" t="s">
        <v>449</v>
      </c>
      <c r="V2240" t="s">
        <v>343</v>
      </c>
      <c r="W2240" t="s">
        <v>453</v>
      </c>
      <c r="X2240" t="s">
        <v>331</v>
      </c>
      <c r="Y2240" t="s">
        <v>307</v>
      </c>
      <c r="Z2240">
        <v>70</v>
      </c>
      <c r="AA2240">
        <v>70</v>
      </c>
      <c r="AB2240" t="s">
        <v>143</v>
      </c>
      <c r="AC2240" t="s">
        <v>336</v>
      </c>
      <c r="AD2240" t="s">
        <v>401</v>
      </c>
      <c r="AE2240" t="str">
        <f>IF(AF2240="","",VLOOKUP(AC2240,mapel!$A$2:$B$42,2,FALSE))</f>
        <v>Pancasila</v>
      </c>
      <c r="AF2240">
        <f t="shared" si="102"/>
        <v>70</v>
      </c>
      <c r="AG2240" t="str">
        <f>IF(AF2240="","",IF(AF2240&gt;90,"Sangat baik",IF(AF2240&gt;79,"Baik",IF(AF2240&gt;=pub_gid_0_single_true_output_csv[[#This Row],[KKM]],"Cukup","Kurang"))))</f>
        <v>Cukup</v>
      </c>
      <c r="AH2240">
        <f t="shared" si="103"/>
        <v>12</v>
      </c>
      <c r="AI2240" s="30" t="str">
        <f>IF(OR(J2240&lt;&gt;"Karakter",pub_gid_0_single_true_output_csv[[#This Row],[Nilai2]]=""),"",IF(AF2240&gt;89,"Sangat baik",IF(AF2240&gt;79,"Baik",IF(AF2240&gt;69,"Cukup",IF(AF2240&gt;59,"Kurang","Sangat kurang")))))</f>
        <v/>
      </c>
      <c r="AJ2240" t="str">
        <f t="shared" si="104"/>
        <v>Wk.6</v>
      </c>
      <c r="AK2240" t="str">
        <f>IF(pub_gid_0_single_true_output_csv[[#This Row],[Nilai2]]="","",VLOOKUP(pub_gid_0_single_true_output_csv[[#This Row],[NAMA]],Table7[],3,FALSE))</f>
        <v>Average</v>
      </c>
    </row>
    <row r="2241" spans="1:37" x14ac:dyDescent="0.2">
      <c r="A2241">
        <v>2240</v>
      </c>
      <c r="B2241" t="s">
        <v>318</v>
      </c>
      <c r="C2241" t="s">
        <v>65</v>
      </c>
      <c r="D2241" t="s">
        <v>63</v>
      </c>
      <c r="E2241" t="s">
        <v>140</v>
      </c>
      <c r="F2241" s="25">
        <v>46059</v>
      </c>
      <c r="G2241" t="s">
        <v>349</v>
      </c>
      <c r="H2241" t="s">
        <v>412</v>
      </c>
      <c r="I2241" t="s">
        <v>371</v>
      </c>
      <c r="J2241" t="s">
        <v>41</v>
      </c>
      <c r="K2241" t="s">
        <v>357</v>
      </c>
      <c r="L2241" t="s">
        <v>351</v>
      </c>
      <c r="M2241" t="s">
        <v>141</v>
      </c>
      <c r="N2241" t="s">
        <v>142</v>
      </c>
      <c r="O2241" t="s">
        <v>327</v>
      </c>
      <c r="P2241" t="s">
        <v>281</v>
      </c>
      <c r="Q2241" t="s">
        <v>328</v>
      </c>
      <c r="R2241" t="s">
        <v>360</v>
      </c>
      <c r="S2241" t="s">
        <v>454</v>
      </c>
      <c r="T2241">
        <v>1</v>
      </c>
      <c r="U2241" t="s">
        <v>449</v>
      </c>
      <c r="V2241" t="s">
        <v>344</v>
      </c>
      <c r="W2241" t="s">
        <v>455</v>
      </c>
      <c r="X2241" t="s">
        <v>331</v>
      </c>
      <c r="Y2241" t="s">
        <v>307</v>
      </c>
      <c r="Z2241">
        <v>70</v>
      </c>
      <c r="AA2241">
        <v>78</v>
      </c>
      <c r="AB2241" t="s">
        <v>143</v>
      </c>
      <c r="AC2241" t="s">
        <v>336</v>
      </c>
      <c r="AD2241" t="s">
        <v>401</v>
      </c>
      <c r="AE2241" t="str">
        <f>IF(AF2241="","",VLOOKUP(AC2241,mapel!$A$2:$B$42,2,FALSE))</f>
        <v>Pancasila</v>
      </c>
      <c r="AF2241">
        <f t="shared" si="102"/>
        <v>78</v>
      </c>
      <c r="AG2241" t="str">
        <f>IF(AF2241="","",IF(AF2241&gt;90,"Sangat baik",IF(AF2241&gt;79,"Baik",IF(AF2241&gt;=pub_gid_0_single_true_output_csv[[#This Row],[KKM]],"Cukup","Kurang"))))</f>
        <v>Cukup</v>
      </c>
      <c r="AH2241">
        <f t="shared" si="103"/>
        <v>12</v>
      </c>
      <c r="AI2241" s="30" t="str">
        <f>IF(OR(J2241&lt;&gt;"Karakter",pub_gid_0_single_true_output_csv[[#This Row],[Nilai2]]=""),"",IF(AF2241&gt;89,"Sangat baik",IF(AF2241&gt;79,"Baik",IF(AF2241&gt;69,"Cukup",IF(AF2241&gt;59,"Kurang","Sangat kurang")))))</f>
        <v/>
      </c>
      <c r="AJ2241" t="str">
        <f t="shared" si="104"/>
        <v>Wk.6</v>
      </c>
      <c r="AK2241" t="str">
        <f>IF(pub_gid_0_single_true_output_csv[[#This Row],[Nilai2]]="","",VLOOKUP(pub_gid_0_single_true_output_csv[[#This Row],[NAMA]],Table7[],3,FALSE))</f>
        <v>Average</v>
      </c>
    </row>
    <row r="2242" spans="1:37" x14ac:dyDescent="0.2">
      <c r="A2242">
        <v>2241</v>
      </c>
      <c r="B2242" t="s">
        <v>318</v>
      </c>
      <c r="C2242" t="s">
        <v>65</v>
      </c>
      <c r="D2242" t="s">
        <v>63</v>
      </c>
      <c r="E2242" t="s">
        <v>140</v>
      </c>
      <c r="F2242" s="25">
        <v>46059</v>
      </c>
      <c r="G2242" t="s">
        <v>349</v>
      </c>
      <c r="H2242" t="s">
        <v>412</v>
      </c>
      <c r="I2242" t="s">
        <v>371</v>
      </c>
      <c r="J2242" t="s">
        <v>36</v>
      </c>
      <c r="K2242" t="s">
        <v>37</v>
      </c>
      <c r="L2242" t="s">
        <v>351</v>
      </c>
      <c r="M2242" t="s">
        <v>141</v>
      </c>
      <c r="N2242" t="s">
        <v>142</v>
      </c>
      <c r="O2242" t="s">
        <v>327</v>
      </c>
      <c r="P2242" t="s">
        <v>281</v>
      </c>
      <c r="Q2242" t="s">
        <v>328</v>
      </c>
      <c r="R2242" t="s">
        <v>360</v>
      </c>
      <c r="S2242" t="s">
        <v>392</v>
      </c>
      <c r="T2242">
        <v>1</v>
      </c>
      <c r="U2242" t="s">
        <v>449</v>
      </c>
      <c r="V2242" t="s">
        <v>343</v>
      </c>
      <c r="W2242" t="s">
        <v>453</v>
      </c>
      <c r="X2242" t="s">
        <v>331</v>
      </c>
      <c r="Y2242" t="s">
        <v>307</v>
      </c>
      <c r="Z2242">
        <v>70</v>
      </c>
      <c r="AA2242">
        <v>78</v>
      </c>
      <c r="AB2242" t="s">
        <v>143</v>
      </c>
      <c r="AC2242" t="s">
        <v>336</v>
      </c>
      <c r="AD2242" t="s">
        <v>401</v>
      </c>
      <c r="AE2242" t="str">
        <f>IF(AF2242="","",VLOOKUP(AC2242,mapel!$A$2:$B$42,2,FALSE))</f>
        <v>Pancasila</v>
      </c>
      <c r="AF2242">
        <f t="shared" ref="AF2242:AF2305" si="105">IF(AA2242=0, "",IF(AA2242 = 0.1, 0,AA2242))</f>
        <v>78</v>
      </c>
      <c r="AG2242" t="str">
        <f>IF(AF2242="","",IF(AF2242&gt;90,"Sangat baik",IF(AF2242&gt;79,"Baik",IF(AF2242&gt;=pub_gid_0_single_true_output_csv[[#This Row],[KKM]],"Cukup","Kurang"))))</f>
        <v>Cukup</v>
      </c>
      <c r="AH2242">
        <f t="shared" ref="AH2242:AH2305" si="106">IF(AG2242="","",VALUE(RIGHT(X2242,2)))</f>
        <v>12</v>
      </c>
      <c r="AI2242" s="30" t="str">
        <f>IF(OR(J2242&lt;&gt;"Karakter",pub_gid_0_single_true_output_csv[[#This Row],[Nilai2]]=""),"",IF(AF2242&gt;89,"Sangat baik",IF(AF2242&gt;79,"Baik",IF(AF2242&gt;69,"Cukup",IF(AF2242&gt;59,"Kurang","Sangat kurang")))))</f>
        <v/>
      </c>
      <c r="AJ2242" t="str">
        <f t="shared" ref="AJ2242:AJ2305" si="107">IF(AF2242="","",CONCATENATE("Wk.",WEEKNUM(F2242,2)))</f>
        <v>Wk.6</v>
      </c>
      <c r="AK2242" t="str">
        <f>IF(pub_gid_0_single_true_output_csv[[#This Row],[Nilai2]]="","",VLOOKUP(pub_gid_0_single_true_output_csv[[#This Row],[NAMA]],Table7[],3,FALSE))</f>
        <v>Average</v>
      </c>
    </row>
    <row r="2243" spans="1:37" x14ac:dyDescent="0.2">
      <c r="A2243">
        <v>2242</v>
      </c>
      <c r="B2243" t="s">
        <v>297</v>
      </c>
      <c r="C2243" t="s">
        <v>301</v>
      </c>
      <c r="D2243" t="s">
        <v>301</v>
      </c>
      <c r="E2243" t="s">
        <v>301</v>
      </c>
      <c r="F2243" s="25"/>
      <c r="G2243" t="s">
        <v>301</v>
      </c>
      <c r="H2243" t="s">
        <v>301</v>
      </c>
      <c r="I2243" t="s">
        <v>301</v>
      </c>
      <c r="J2243" t="s">
        <v>301</v>
      </c>
      <c r="K2243" t="s">
        <v>301</v>
      </c>
      <c r="L2243" t="s">
        <v>301</v>
      </c>
      <c r="M2243" t="s">
        <v>301</v>
      </c>
      <c r="N2243" t="s">
        <v>159</v>
      </c>
      <c r="O2243" t="s">
        <v>159</v>
      </c>
      <c r="P2243" t="s">
        <v>159</v>
      </c>
      <c r="Q2243" t="s">
        <v>301</v>
      </c>
      <c r="R2243" t="s">
        <v>301</v>
      </c>
      <c r="S2243" t="s">
        <v>301</v>
      </c>
      <c r="U2243" t="s">
        <v>159</v>
      </c>
      <c r="V2243" t="s">
        <v>301</v>
      </c>
      <c r="W2243" t="s">
        <v>301</v>
      </c>
      <c r="X2243" t="s">
        <v>301</v>
      </c>
      <c r="Y2243" t="s">
        <v>301</v>
      </c>
      <c r="AB2243" t="s">
        <v>301</v>
      </c>
      <c r="AC2243" t="s">
        <v>301</v>
      </c>
      <c r="AD2243" t="s">
        <v>301</v>
      </c>
      <c r="AE2243" t="str">
        <f>IF(AF2243="","",VLOOKUP(AC2243,mapel!$A$2:$B$42,2,FALSE))</f>
        <v/>
      </c>
      <c r="AF2243" t="str">
        <f t="shared" si="105"/>
        <v/>
      </c>
      <c r="AG2243" t="str">
        <f>IF(AF2243="","",IF(AF2243&gt;90,"Sangat baik",IF(AF2243&gt;79,"Baik",IF(AF2243&gt;=pub_gid_0_single_true_output_csv[[#This Row],[KKM]],"Cukup","Kurang"))))</f>
        <v/>
      </c>
      <c r="AH2243" t="str">
        <f t="shared" si="106"/>
        <v/>
      </c>
      <c r="AI2243" s="30" t="str">
        <f>IF(OR(J2243&lt;&gt;"Karakter",pub_gid_0_single_true_output_csv[[#This Row],[Nilai2]]=""),"",IF(AF2243&gt;89,"Sangat baik",IF(AF2243&gt;79,"Baik",IF(AF2243&gt;69,"Cukup",IF(AF2243&gt;59,"Kurang","Sangat kurang")))))</f>
        <v/>
      </c>
      <c r="AJ2243" t="str">
        <f t="shared" si="107"/>
        <v/>
      </c>
      <c r="AK2243" t="str">
        <f>IF(pub_gid_0_single_true_output_csv[[#This Row],[Nilai2]]="","",VLOOKUP(pub_gid_0_single_true_output_csv[[#This Row],[NAMA]],Table7[],3,FALSE))</f>
        <v/>
      </c>
    </row>
    <row r="2244" spans="1:37" x14ac:dyDescent="0.2">
      <c r="A2244">
        <v>2243</v>
      </c>
      <c r="B2244" t="s">
        <v>311</v>
      </c>
      <c r="C2244" t="s">
        <v>65</v>
      </c>
      <c r="D2244" t="s">
        <v>55</v>
      </c>
      <c r="E2244" t="s">
        <v>146</v>
      </c>
      <c r="F2244" s="25">
        <v>46036</v>
      </c>
      <c r="G2244" t="s">
        <v>353</v>
      </c>
      <c r="H2244" t="s">
        <v>405</v>
      </c>
      <c r="I2244" t="s">
        <v>371</v>
      </c>
      <c r="J2244" t="s">
        <v>36</v>
      </c>
      <c r="K2244" t="s">
        <v>37</v>
      </c>
      <c r="L2244" t="s">
        <v>351</v>
      </c>
      <c r="M2244" t="s">
        <v>141</v>
      </c>
      <c r="N2244" t="s">
        <v>142</v>
      </c>
      <c r="O2244" t="s">
        <v>327</v>
      </c>
      <c r="P2244" t="s">
        <v>281</v>
      </c>
      <c r="Q2244" t="s">
        <v>328</v>
      </c>
      <c r="R2244" t="s">
        <v>360</v>
      </c>
      <c r="S2244" t="s">
        <v>330</v>
      </c>
      <c r="T2244">
        <v>1</v>
      </c>
      <c r="U2244" t="s">
        <v>456</v>
      </c>
      <c r="V2244" t="s">
        <v>285</v>
      </c>
      <c r="W2244" t="s">
        <v>457</v>
      </c>
      <c r="X2244" t="s">
        <v>331</v>
      </c>
      <c r="Y2244" t="s">
        <v>307</v>
      </c>
      <c r="Z2244">
        <v>70</v>
      </c>
      <c r="AA2244">
        <v>70</v>
      </c>
      <c r="AB2244" t="s">
        <v>143</v>
      </c>
      <c r="AC2244" t="s">
        <v>53</v>
      </c>
      <c r="AD2244" t="s">
        <v>404</v>
      </c>
      <c r="AE2244" t="str">
        <f>IF(AF2244="","",VLOOKUP(AC2244,mapel!$A$2:$B$42,2,FALSE))</f>
        <v>Sejarah</v>
      </c>
      <c r="AF2244">
        <f t="shared" si="105"/>
        <v>70</v>
      </c>
      <c r="AG2244" t="str">
        <f>IF(AF2244="","",IF(AF2244&gt;90,"Sangat baik",IF(AF2244&gt;79,"Baik",IF(AF2244&gt;=pub_gid_0_single_true_output_csv[[#This Row],[KKM]],"Cukup","Kurang"))))</f>
        <v>Cukup</v>
      </c>
      <c r="AH2244">
        <f t="shared" si="106"/>
        <v>12</v>
      </c>
      <c r="AI2244" s="30" t="str">
        <f>IF(OR(J2244&lt;&gt;"Karakter",pub_gid_0_single_true_output_csv[[#This Row],[Nilai2]]=""),"",IF(AF2244&gt;89,"Sangat baik",IF(AF2244&gt;79,"Baik",IF(AF2244&gt;69,"Cukup",IF(AF2244&gt;59,"Kurang","Sangat kurang")))))</f>
        <v/>
      </c>
      <c r="AJ2244" t="str">
        <f t="shared" si="107"/>
        <v>Wk.3</v>
      </c>
      <c r="AK2244" t="str">
        <f>IF(pub_gid_0_single_true_output_csv[[#This Row],[Nilai2]]="","",VLOOKUP(pub_gid_0_single_true_output_csv[[#This Row],[NAMA]],Table7[],3,FALSE))</f>
        <v>Average</v>
      </c>
    </row>
    <row r="2245" spans="1:37" x14ac:dyDescent="0.2">
      <c r="A2245">
        <v>2244</v>
      </c>
      <c r="B2245" t="s">
        <v>311</v>
      </c>
      <c r="C2245" t="s">
        <v>65</v>
      </c>
      <c r="D2245" t="s">
        <v>55</v>
      </c>
      <c r="E2245" t="s">
        <v>146</v>
      </c>
      <c r="F2245" s="25">
        <v>46036</v>
      </c>
      <c r="G2245" t="s">
        <v>353</v>
      </c>
      <c r="H2245" t="s">
        <v>405</v>
      </c>
      <c r="I2245" t="s">
        <v>371</v>
      </c>
      <c r="J2245" t="s">
        <v>31</v>
      </c>
      <c r="K2245" t="s">
        <v>96</v>
      </c>
      <c r="L2245" t="s">
        <v>351</v>
      </c>
      <c r="M2245" t="s">
        <v>141</v>
      </c>
      <c r="N2245" t="s">
        <v>142</v>
      </c>
      <c r="O2245" t="s">
        <v>327</v>
      </c>
      <c r="P2245" t="s">
        <v>281</v>
      </c>
      <c r="Q2245" t="s">
        <v>328</v>
      </c>
      <c r="R2245" t="s">
        <v>360</v>
      </c>
      <c r="S2245" t="s">
        <v>330</v>
      </c>
      <c r="T2245">
        <v>1</v>
      </c>
      <c r="U2245" t="s">
        <v>456</v>
      </c>
      <c r="V2245" t="s">
        <v>285</v>
      </c>
      <c r="W2245" t="s">
        <v>457</v>
      </c>
      <c r="X2245" t="s">
        <v>331</v>
      </c>
      <c r="Y2245" t="s">
        <v>307</v>
      </c>
      <c r="Z2245">
        <v>70</v>
      </c>
      <c r="AA2245">
        <v>75</v>
      </c>
      <c r="AB2245" t="s">
        <v>143</v>
      </c>
      <c r="AC2245" t="s">
        <v>53</v>
      </c>
      <c r="AD2245" t="s">
        <v>404</v>
      </c>
      <c r="AE2245" t="str">
        <f>IF(AF2245="","",VLOOKUP(AC2245,mapel!$A$2:$B$42,2,FALSE))</f>
        <v>Sejarah</v>
      </c>
      <c r="AF2245">
        <f t="shared" si="105"/>
        <v>75</v>
      </c>
      <c r="AG2245" t="str">
        <f>IF(AF2245="","",IF(AF2245&gt;90,"Sangat baik",IF(AF2245&gt;79,"Baik",IF(AF2245&gt;=pub_gid_0_single_true_output_csv[[#This Row],[KKM]],"Cukup","Kurang"))))</f>
        <v>Cukup</v>
      </c>
      <c r="AH2245">
        <f t="shared" si="106"/>
        <v>12</v>
      </c>
      <c r="AI2245" s="30" t="str">
        <f>IF(OR(J2245&lt;&gt;"Karakter",pub_gid_0_single_true_output_csv[[#This Row],[Nilai2]]=""),"",IF(AF2245&gt;89,"Sangat baik",IF(AF2245&gt;79,"Baik",IF(AF2245&gt;69,"Cukup",IF(AF2245&gt;59,"Kurang","Sangat kurang")))))</f>
        <v/>
      </c>
      <c r="AJ2245" t="str">
        <f t="shared" si="107"/>
        <v>Wk.3</v>
      </c>
      <c r="AK2245" t="str">
        <f>IF(pub_gid_0_single_true_output_csv[[#This Row],[Nilai2]]="","",VLOOKUP(pub_gid_0_single_true_output_csv[[#This Row],[NAMA]],Table7[],3,FALSE))</f>
        <v>Average</v>
      </c>
    </row>
    <row r="2246" spans="1:37" x14ac:dyDescent="0.2">
      <c r="A2246">
        <v>2245</v>
      </c>
      <c r="B2246" t="s">
        <v>311</v>
      </c>
      <c r="C2246" t="s">
        <v>65</v>
      </c>
      <c r="D2246" t="s">
        <v>55</v>
      </c>
      <c r="E2246" t="s">
        <v>146</v>
      </c>
      <c r="F2246" s="25">
        <v>46036</v>
      </c>
      <c r="G2246" t="s">
        <v>353</v>
      </c>
      <c r="H2246" t="s">
        <v>405</v>
      </c>
      <c r="I2246" t="s">
        <v>371</v>
      </c>
      <c r="J2246" t="s">
        <v>90</v>
      </c>
      <c r="K2246" t="s">
        <v>92</v>
      </c>
      <c r="L2246" t="s">
        <v>91</v>
      </c>
      <c r="M2246" t="s">
        <v>141</v>
      </c>
      <c r="N2246" t="s">
        <v>142</v>
      </c>
      <c r="O2246" t="s">
        <v>327</v>
      </c>
      <c r="P2246" t="s">
        <v>281</v>
      </c>
      <c r="Q2246" t="s">
        <v>328</v>
      </c>
      <c r="R2246" t="s">
        <v>360</v>
      </c>
      <c r="S2246" t="s">
        <v>330</v>
      </c>
      <c r="T2246">
        <v>1</v>
      </c>
      <c r="U2246" t="s">
        <v>456</v>
      </c>
      <c r="V2246" t="s">
        <v>285</v>
      </c>
      <c r="W2246" t="s">
        <v>457</v>
      </c>
      <c r="X2246" t="s">
        <v>331</v>
      </c>
      <c r="Y2246" t="s">
        <v>307</v>
      </c>
      <c r="Z2246">
        <v>70</v>
      </c>
      <c r="AA2246">
        <v>78</v>
      </c>
      <c r="AB2246" t="s">
        <v>143</v>
      </c>
      <c r="AC2246" t="s">
        <v>53</v>
      </c>
      <c r="AD2246" t="s">
        <v>404</v>
      </c>
      <c r="AE2246" t="str">
        <f>IF(AF2246="","",VLOOKUP(AC2246,mapel!$A$2:$B$42,2,FALSE))</f>
        <v>Sejarah</v>
      </c>
      <c r="AF2246">
        <f t="shared" si="105"/>
        <v>78</v>
      </c>
      <c r="AG2246" t="str">
        <f>IF(AF2246="","",IF(AF2246&gt;90,"Sangat baik",IF(AF2246&gt;79,"Baik",IF(AF2246&gt;=pub_gid_0_single_true_output_csv[[#This Row],[KKM]],"Cukup","Kurang"))))</f>
        <v>Cukup</v>
      </c>
      <c r="AH2246">
        <f t="shared" si="106"/>
        <v>12</v>
      </c>
      <c r="AI2246" s="30" t="str">
        <f>IF(OR(J2246&lt;&gt;"Karakter",pub_gid_0_single_true_output_csv[[#This Row],[Nilai2]]=""),"",IF(AF2246&gt;89,"Sangat baik",IF(AF2246&gt;79,"Baik",IF(AF2246&gt;69,"Cukup",IF(AF2246&gt;59,"Kurang","Sangat kurang")))))</f>
        <v>Cukup</v>
      </c>
      <c r="AJ2246" t="str">
        <f t="shared" si="107"/>
        <v>Wk.3</v>
      </c>
      <c r="AK2246" t="str">
        <f>IF(pub_gid_0_single_true_output_csv[[#This Row],[Nilai2]]="","",VLOOKUP(pub_gid_0_single_true_output_csv[[#This Row],[NAMA]],Table7[],3,FALSE))</f>
        <v>Average</v>
      </c>
    </row>
    <row r="2247" spans="1:37" x14ac:dyDescent="0.2">
      <c r="A2247">
        <v>2246</v>
      </c>
      <c r="B2247" t="s">
        <v>311</v>
      </c>
      <c r="C2247" t="s">
        <v>65</v>
      </c>
      <c r="D2247" t="s">
        <v>55</v>
      </c>
      <c r="E2247" t="s">
        <v>146</v>
      </c>
      <c r="F2247" s="25">
        <v>46036</v>
      </c>
      <c r="G2247" t="s">
        <v>353</v>
      </c>
      <c r="H2247" t="s">
        <v>405</v>
      </c>
      <c r="I2247" t="s">
        <v>371</v>
      </c>
      <c r="J2247" t="s">
        <v>279</v>
      </c>
      <c r="K2247" t="s">
        <v>280</v>
      </c>
      <c r="L2247" t="s">
        <v>322</v>
      </c>
      <c r="M2247" t="s">
        <v>141</v>
      </c>
      <c r="N2247" t="s">
        <v>142</v>
      </c>
      <c r="O2247" t="s">
        <v>327</v>
      </c>
      <c r="P2247" t="s">
        <v>281</v>
      </c>
      <c r="Q2247" t="s">
        <v>328</v>
      </c>
      <c r="R2247" t="s">
        <v>360</v>
      </c>
      <c r="S2247" t="s">
        <v>330</v>
      </c>
      <c r="T2247">
        <v>1</v>
      </c>
      <c r="U2247" t="s">
        <v>456</v>
      </c>
      <c r="V2247" t="s">
        <v>285</v>
      </c>
      <c r="W2247" t="s">
        <v>457</v>
      </c>
      <c r="X2247" t="s">
        <v>331</v>
      </c>
      <c r="Y2247" t="s">
        <v>307</v>
      </c>
      <c r="Z2247">
        <v>70</v>
      </c>
      <c r="AA2247">
        <v>75</v>
      </c>
      <c r="AB2247" t="s">
        <v>143</v>
      </c>
      <c r="AC2247" t="s">
        <v>53</v>
      </c>
      <c r="AD2247" t="s">
        <v>404</v>
      </c>
      <c r="AE2247" t="str">
        <f>IF(AF2247="","",VLOOKUP(AC2247,mapel!$A$2:$B$42,2,FALSE))</f>
        <v>Sejarah</v>
      </c>
      <c r="AF2247">
        <f t="shared" si="105"/>
        <v>75</v>
      </c>
      <c r="AG2247" t="str">
        <f>IF(AF2247="","",IF(AF2247&gt;90,"Sangat baik",IF(AF2247&gt;79,"Baik",IF(AF2247&gt;=pub_gid_0_single_true_output_csv[[#This Row],[KKM]],"Cukup","Kurang"))))</f>
        <v>Cukup</v>
      </c>
      <c r="AH2247">
        <f t="shared" si="106"/>
        <v>12</v>
      </c>
      <c r="AI2247" s="30" t="str">
        <f>IF(OR(J2247&lt;&gt;"Karakter",pub_gid_0_single_true_output_csv[[#This Row],[Nilai2]]=""),"",IF(AF2247&gt;89,"Sangat baik",IF(AF2247&gt;79,"Baik",IF(AF2247&gt;69,"Cukup",IF(AF2247&gt;59,"Kurang","Sangat kurang")))))</f>
        <v/>
      </c>
      <c r="AJ2247" t="str">
        <f t="shared" si="107"/>
        <v>Wk.3</v>
      </c>
      <c r="AK2247" t="str">
        <f>IF(pub_gid_0_single_true_output_csv[[#This Row],[Nilai2]]="","",VLOOKUP(pub_gid_0_single_true_output_csv[[#This Row],[NAMA]],Table7[],3,FALSE))</f>
        <v>Average</v>
      </c>
    </row>
    <row r="2248" spans="1:37" x14ac:dyDescent="0.2">
      <c r="A2248">
        <v>2247</v>
      </c>
      <c r="B2248" t="s">
        <v>311</v>
      </c>
      <c r="C2248" t="s">
        <v>65</v>
      </c>
      <c r="D2248" t="s">
        <v>55</v>
      </c>
      <c r="E2248" t="s">
        <v>146</v>
      </c>
      <c r="F2248" s="25">
        <v>46043</v>
      </c>
      <c r="G2248" t="s">
        <v>341</v>
      </c>
      <c r="H2248" t="s">
        <v>405</v>
      </c>
      <c r="I2248" t="s">
        <v>371</v>
      </c>
      <c r="J2248" t="s">
        <v>36</v>
      </c>
      <c r="K2248" t="s">
        <v>37</v>
      </c>
      <c r="L2248" t="s">
        <v>351</v>
      </c>
      <c r="M2248" t="s">
        <v>141</v>
      </c>
      <c r="N2248" t="s">
        <v>142</v>
      </c>
      <c r="O2248" t="s">
        <v>327</v>
      </c>
      <c r="P2248" t="s">
        <v>281</v>
      </c>
      <c r="Q2248" t="s">
        <v>328</v>
      </c>
      <c r="R2248" t="s">
        <v>360</v>
      </c>
      <c r="S2248" t="s">
        <v>330</v>
      </c>
      <c r="T2248">
        <v>1</v>
      </c>
      <c r="U2248" t="s">
        <v>456</v>
      </c>
      <c r="V2248" t="s">
        <v>285</v>
      </c>
      <c r="W2248" t="s">
        <v>457</v>
      </c>
      <c r="X2248" t="s">
        <v>331</v>
      </c>
      <c r="Y2248" t="s">
        <v>307</v>
      </c>
      <c r="Z2248">
        <v>70</v>
      </c>
      <c r="AA2248">
        <v>80</v>
      </c>
      <c r="AB2248" t="s">
        <v>143</v>
      </c>
      <c r="AC2248" t="s">
        <v>53</v>
      </c>
      <c r="AD2248" t="s">
        <v>404</v>
      </c>
      <c r="AE2248" t="str">
        <f>IF(AF2248="","",VLOOKUP(AC2248,mapel!$A$2:$B$42,2,FALSE))</f>
        <v>Sejarah</v>
      </c>
      <c r="AF2248">
        <f t="shared" si="105"/>
        <v>80</v>
      </c>
      <c r="AG2248" t="str">
        <f>IF(AF2248="","",IF(AF2248&gt;90,"Sangat baik",IF(AF2248&gt;79,"Baik",IF(AF2248&gt;=pub_gid_0_single_true_output_csv[[#This Row],[KKM]],"Cukup","Kurang"))))</f>
        <v>Baik</v>
      </c>
      <c r="AH2248">
        <f t="shared" si="106"/>
        <v>12</v>
      </c>
      <c r="AI2248" s="30" t="str">
        <f>IF(OR(J2248&lt;&gt;"Karakter",pub_gid_0_single_true_output_csv[[#This Row],[Nilai2]]=""),"",IF(AF2248&gt;89,"Sangat baik",IF(AF2248&gt;79,"Baik",IF(AF2248&gt;69,"Cukup",IF(AF2248&gt;59,"Kurang","Sangat kurang")))))</f>
        <v/>
      </c>
      <c r="AJ2248" t="str">
        <f t="shared" si="107"/>
        <v>Wk.4</v>
      </c>
      <c r="AK2248" t="str">
        <f>IF(pub_gid_0_single_true_output_csv[[#This Row],[Nilai2]]="","",VLOOKUP(pub_gid_0_single_true_output_csv[[#This Row],[NAMA]],Table7[],3,FALSE))</f>
        <v>Average</v>
      </c>
    </row>
    <row r="2249" spans="1:37" x14ac:dyDescent="0.2">
      <c r="A2249">
        <v>2248</v>
      </c>
      <c r="B2249" t="s">
        <v>311</v>
      </c>
      <c r="C2249" t="s">
        <v>65</v>
      </c>
      <c r="D2249" t="s">
        <v>55</v>
      </c>
      <c r="E2249" t="s">
        <v>146</v>
      </c>
      <c r="F2249" s="25">
        <v>46043</v>
      </c>
      <c r="G2249" t="s">
        <v>341</v>
      </c>
      <c r="H2249" t="s">
        <v>405</v>
      </c>
      <c r="I2249" t="s">
        <v>371</v>
      </c>
      <c r="J2249" t="s">
        <v>31</v>
      </c>
      <c r="K2249" t="s">
        <v>96</v>
      </c>
      <c r="L2249" t="s">
        <v>367</v>
      </c>
      <c r="M2249" t="s">
        <v>141</v>
      </c>
      <c r="N2249" t="s">
        <v>142</v>
      </c>
      <c r="O2249" t="s">
        <v>327</v>
      </c>
      <c r="P2249" t="s">
        <v>281</v>
      </c>
      <c r="Q2249" t="s">
        <v>328</v>
      </c>
      <c r="R2249" t="s">
        <v>360</v>
      </c>
      <c r="S2249" t="s">
        <v>330</v>
      </c>
      <c r="T2249">
        <v>1</v>
      </c>
      <c r="U2249" t="s">
        <v>456</v>
      </c>
      <c r="V2249" t="s">
        <v>285</v>
      </c>
      <c r="W2249" t="s">
        <v>457</v>
      </c>
      <c r="X2249" t="s">
        <v>331</v>
      </c>
      <c r="Y2249" t="s">
        <v>307</v>
      </c>
      <c r="Z2249">
        <v>70</v>
      </c>
      <c r="AA2249">
        <v>70</v>
      </c>
      <c r="AB2249" t="s">
        <v>143</v>
      </c>
      <c r="AC2249" t="s">
        <v>53</v>
      </c>
      <c r="AD2249" t="s">
        <v>404</v>
      </c>
      <c r="AE2249" t="str">
        <f>IF(AF2249="","",VLOOKUP(AC2249,mapel!$A$2:$B$42,2,FALSE))</f>
        <v>Sejarah</v>
      </c>
      <c r="AF2249">
        <f t="shared" si="105"/>
        <v>70</v>
      </c>
      <c r="AG2249" t="str">
        <f>IF(AF2249="","",IF(AF2249&gt;90,"Sangat baik",IF(AF2249&gt;79,"Baik",IF(AF2249&gt;=pub_gid_0_single_true_output_csv[[#This Row],[KKM]],"Cukup","Kurang"))))</f>
        <v>Cukup</v>
      </c>
      <c r="AH2249">
        <f t="shared" si="106"/>
        <v>12</v>
      </c>
      <c r="AI2249" s="30" t="str">
        <f>IF(OR(J2249&lt;&gt;"Karakter",pub_gid_0_single_true_output_csv[[#This Row],[Nilai2]]=""),"",IF(AF2249&gt;89,"Sangat baik",IF(AF2249&gt;79,"Baik",IF(AF2249&gt;69,"Cukup",IF(AF2249&gt;59,"Kurang","Sangat kurang")))))</f>
        <v/>
      </c>
      <c r="AJ2249" t="str">
        <f t="shared" si="107"/>
        <v>Wk.4</v>
      </c>
      <c r="AK2249" t="str">
        <f>IF(pub_gid_0_single_true_output_csv[[#This Row],[Nilai2]]="","",VLOOKUP(pub_gid_0_single_true_output_csv[[#This Row],[NAMA]],Table7[],3,FALSE))</f>
        <v>Average</v>
      </c>
    </row>
    <row r="2250" spans="1:37" x14ac:dyDescent="0.2">
      <c r="A2250">
        <v>2249</v>
      </c>
      <c r="B2250" t="s">
        <v>311</v>
      </c>
      <c r="C2250" t="s">
        <v>65</v>
      </c>
      <c r="D2250" t="s">
        <v>55</v>
      </c>
      <c r="E2250" t="s">
        <v>146</v>
      </c>
      <c r="F2250" s="25">
        <v>46043</v>
      </c>
      <c r="G2250" t="s">
        <v>341</v>
      </c>
      <c r="H2250" t="s">
        <v>405</v>
      </c>
      <c r="I2250" t="s">
        <v>371</v>
      </c>
      <c r="J2250" t="s">
        <v>90</v>
      </c>
      <c r="K2250" t="s">
        <v>92</v>
      </c>
      <c r="L2250" t="s">
        <v>93</v>
      </c>
      <c r="M2250" t="s">
        <v>141</v>
      </c>
      <c r="N2250" t="s">
        <v>142</v>
      </c>
      <c r="O2250" t="s">
        <v>327</v>
      </c>
      <c r="P2250" t="s">
        <v>281</v>
      </c>
      <c r="Q2250" t="s">
        <v>328</v>
      </c>
      <c r="R2250" t="s">
        <v>360</v>
      </c>
      <c r="S2250" t="s">
        <v>330</v>
      </c>
      <c r="T2250">
        <v>1</v>
      </c>
      <c r="U2250" t="s">
        <v>456</v>
      </c>
      <c r="V2250" t="s">
        <v>285</v>
      </c>
      <c r="W2250" t="s">
        <v>457</v>
      </c>
      <c r="X2250" t="s">
        <v>331</v>
      </c>
      <c r="Y2250" t="s">
        <v>307</v>
      </c>
      <c r="Z2250">
        <v>70</v>
      </c>
      <c r="AA2250">
        <v>80</v>
      </c>
      <c r="AB2250" t="s">
        <v>143</v>
      </c>
      <c r="AC2250" t="s">
        <v>53</v>
      </c>
      <c r="AD2250" t="s">
        <v>404</v>
      </c>
      <c r="AE2250" t="str">
        <f>IF(AF2250="","",VLOOKUP(AC2250,mapel!$A$2:$B$42,2,FALSE))</f>
        <v>Sejarah</v>
      </c>
      <c r="AF2250">
        <f t="shared" si="105"/>
        <v>80</v>
      </c>
      <c r="AG2250" t="str">
        <f>IF(AF2250="","",IF(AF2250&gt;90,"Sangat baik",IF(AF2250&gt;79,"Baik",IF(AF2250&gt;=pub_gid_0_single_true_output_csv[[#This Row],[KKM]],"Cukup","Kurang"))))</f>
        <v>Baik</v>
      </c>
      <c r="AH2250">
        <f t="shared" si="106"/>
        <v>12</v>
      </c>
      <c r="AI2250" s="30" t="str">
        <f>IF(OR(J2250&lt;&gt;"Karakter",pub_gid_0_single_true_output_csv[[#This Row],[Nilai2]]=""),"",IF(AF2250&gt;89,"Sangat baik",IF(AF2250&gt;79,"Baik",IF(AF2250&gt;69,"Cukup",IF(AF2250&gt;59,"Kurang","Sangat kurang")))))</f>
        <v>Baik</v>
      </c>
      <c r="AJ2250" t="str">
        <f t="shared" si="107"/>
        <v>Wk.4</v>
      </c>
      <c r="AK2250" t="str">
        <f>IF(pub_gid_0_single_true_output_csv[[#This Row],[Nilai2]]="","",VLOOKUP(pub_gid_0_single_true_output_csv[[#This Row],[NAMA]],Table7[],3,FALSE))</f>
        <v>Average</v>
      </c>
    </row>
    <row r="2251" spans="1:37" x14ac:dyDescent="0.2">
      <c r="A2251">
        <v>2250</v>
      </c>
      <c r="B2251" t="s">
        <v>311</v>
      </c>
      <c r="C2251" t="s">
        <v>65</v>
      </c>
      <c r="D2251" t="s">
        <v>55</v>
      </c>
      <c r="E2251" t="s">
        <v>146</v>
      </c>
      <c r="F2251" s="25">
        <v>46043</v>
      </c>
      <c r="G2251" t="s">
        <v>341</v>
      </c>
      <c r="H2251" t="s">
        <v>405</v>
      </c>
      <c r="I2251" t="s">
        <v>371</v>
      </c>
      <c r="J2251" t="s">
        <v>279</v>
      </c>
      <c r="K2251" t="s">
        <v>280</v>
      </c>
      <c r="L2251" t="s">
        <v>322</v>
      </c>
      <c r="M2251" t="s">
        <v>141</v>
      </c>
      <c r="N2251" t="s">
        <v>142</v>
      </c>
      <c r="O2251" t="s">
        <v>327</v>
      </c>
      <c r="P2251" t="s">
        <v>281</v>
      </c>
      <c r="Q2251" t="s">
        <v>328</v>
      </c>
      <c r="R2251" t="s">
        <v>360</v>
      </c>
      <c r="S2251" t="s">
        <v>330</v>
      </c>
      <c r="T2251">
        <v>1</v>
      </c>
      <c r="U2251" t="s">
        <v>456</v>
      </c>
      <c r="V2251" t="s">
        <v>285</v>
      </c>
      <c r="W2251" t="s">
        <v>457</v>
      </c>
      <c r="X2251" t="s">
        <v>331</v>
      </c>
      <c r="Y2251" t="s">
        <v>307</v>
      </c>
      <c r="Z2251">
        <v>70</v>
      </c>
      <c r="AA2251">
        <v>70</v>
      </c>
      <c r="AB2251" t="s">
        <v>143</v>
      </c>
      <c r="AC2251" t="s">
        <v>53</v>
      </c>
      <c r="AD2251" t="s">
        <v>404</v>
      </c>
      <c r="AE2251" t="str">
        <f>IF(AF2251="","",VLOOKUP(AC2251,mapel!$A$2:$B$42,2,FALSE))</f>
        <v>Sejarah</v>
      </c>
      <c r="AF2251">
        <f t="shared" si="105"/>
        <v>70</v>
      </c>
      <c r="AG2251" t="str">
        <f>IF(AF2251="","",IF(AF2251&gt;90,"Sangat baik",IF(AF2251&gt;79,"Baik",IF(AF2251&gt;=pub_gid_0_single_true_output_csv[[#This Row],[KKM]],"Cukup","Kurang"))))</f>
        <v>Cukup</v>
      </c>
      <c r="AH2251">
        <f t="shared" si="106"/>
        <v>12</v>
      </c>
      <c r="AI2251" s="30" t="str">
        <f>IF(OR(J2251&lt;&gt;"Karakter",pub_gid_0_single_true_output_csv[[#This Row],[Nilai2]]=""),"",IF(AF2251&gt;89,"Sangat baik",IF(AF2251&gt;79,"Baik",IF(AF2251&gt;69,"Cukup",IF(AF2251&gt;59,"Kurang","Sangat kurang")))))</f>
        <v/>
      </c>
      <c r="AJ2251" t="str">
        <f t="shared" si="107"/>
        <v>Wk.4</v>
      </c>
      <c r="AK2251" t="str">
        <f>IF(pub_gid_0_single_true_output_csv[[#This Row],[Nilai2]]="","",VLOOKUP(pub_gid_0_single_true_output_csv[[#This Row],[NAMA]],Table7[],3,FALSE))</f>
        <v>Average</v>
      </c>
    </row>
    <row r="2252" spans="1:37" x14ac:dyDescent="0.2">
      <c r="A2252">
        <v>2251</v>
      </c>
      <c r="B2252" t="s">
        <v>311</v>
      </c>
      <c r="C2252" t="s">
        <v>65</v>
      </c>
      <c r="D2252" t="s">
        <v>55</v>
      </c>
      <c r="E2252" t="s">
        <v>146</v>
      </c>
      <c r="F2252" s="25">
        <v>46050</v>
      </c>
      <c r="G2252" t="s">
        <v>308</v>
      </c>
      <c r="H2252" t="s">
        <v>405</v>
      </c>
      <c r="I2252" t="s">
        <v>371</v>
      </c>
      <c r="J2252" t="s">
        <v>36</v>
      </c>
      <c r="K2252" t="s">
        <v>37</v>
      </c>
      <c r="L2252" t="s">
        <v>351</v>
      </c>
      <c r="M2252" t="s">
        <v>141</v>
      </c>
      <c r="N2252" t="s">
        <v>142</v>
      </c>
      <c r="O2252" t="s">
        <v>327</v>
      </c>
      <c r="P2252" t="s">
        <v>281</v>
      </c>
      <c r="Q2252" t="s">
        <v>328</v>
      </c>
      <c r="R2252" t="s">
        <v>360</v>
      </c>
      <c r="S2252" t="s">
        <v>375</v>
      </c>
      <c r="T2252">
        <v>1</v>
      </c>
      <c r="U2252" t="s">
        <v>456</v>
      </c>
      <c r="V2252" t="s">
        <v>342</v>
      </c>
      <c r="W2252" t="s">
        <v>458</v>
      </c>
      <c r="X2252" t="s">
        <v>331</v>
      </c>
      <c r="Y2252" t="s">
        <v>307</v>
      </c>
      <c r="Z2252">
        <v>70</v>
      </c>
      <c r="AA2252">
        <v>75</v>
      </c>
      <c r="AB2252" t="s">
        <v>143</v>
      </c>
      <c r="AC2252" t="s">
        <v>53</v>
      </c>
      <c r="AD2252" t="s">
        <v>404</v>
      </c>
      <c r="AE2252" t="str">
        <f>IF(AF2252="","",VLOOKUP(AC2252,mapel!$A$2:$B$42,2,FALSE))</f>
        <v>Sejarah</v>
      </c>
      <c r="AF2252">
        <f t="shared" si="105"/>
        <v>75</v>
      </c>
      <c r="AG2252" t="str">
        <f>IF(AF2252="","",IF(AF2252&gt;90,"Sangat baik",IF(AF2252&gt;79,"Baik",IF(AF2252&gt;=pub_gid_0_single_true_output_csv[[#This Row],[KKM]],"Cukup","Kurang"))))</f>
        <v>Cukup</v>
      </c>
      <c r="AH2252">
        <f t="shared" si="106"/>
        <v>12</v>
      </c>
      <c r="AI2252" s="30" t="str">
        <f>IF(OR(J2252&lt;&gt;"Karakter",pub_gid_0_single_true_output_csv[[#This Row],[Nilai2]]=""),"",IF(AF2252&gt;89,"Sangat baik",IF(AF2252&gt;79,"Baik",IF(AF2252&gt;69,"Cukup",IF(AF2252&gt;59,"Kurang","Sangat kurang")))))</f>
        <v/>
      </c>
      <c r="AJ2252" t="str">
        <f t="shared" si="107"/>
        <v>Wk.5</v>
      </c>
      <c r="AK2252" t="str">
        <f>IF(pub_gid_0_single_true_output_csv[[#This Row],[Nilai2]]="","",VLOOKUP(pub_gid_0_single_true_output_csv[[#This Row],[NAMA]],Table7[],3,FALSE))</f>
        <v>Average</v>
      </c>
    </row>
    <row r="2253" spans="1:37" x14ac:dyDescent="0.2">
      <c r="A2253">
        <v>2252</v>
      </c>
      <c r="B2253" t="s">
        <v>311</v>
      </c>
      <c r="C2253" t="s">
        <v>65</v>
      </c>
      <c r="D2253" t="s">
        <v>55</v>
      </c>
      <c r="E2253" t="s">
        <v>146</v>
      </c>
      <c r="F2253" s="25">
        <v>46050</v>
      </c>
      <c r="G2253" t="s">
        <v>308</v>
      </c>
      <c r="H2253" t="s">
        <v>405</v>
      </c>
      <c r="I2253" t="s">
        <v>371</v>
      </c>
      <c r="J2253" t="s">
        <v>31</v>
      </c>
      <c r="K2253" t="s">
        <v>96</v>
      </c>
      <c r="L2253" t="s">
        <v>351</v>
      </c>
      <c r="M2253" t="s">
        <v>141</v>
      </c>
      <c r="N2253" t="s">
        <v>142</v>
      </c>
      <c r="O2253" t="s">
        <v>327</v>
      </c>
      <c r="P2253" t="s">
        <v>281</v>
      </c>
      <c r="Q2253" t="s">
        <v>328</v>
      </c>
      <c r="R2253" t="s">
        <v>360</v>
      </c>
      <c r="S2253" t="s">
        <v>375</v>
      </c>
      <c r="T2253">
        <v>1</v>
      </c>
      <c r="U2253" t="s">
        <v>456</v>
      </c>
      <c r="V2253" t="s">
        <v>342</v>
      </c>
      <c r="W2253" t="s">
        <v>458</v>
      </c>
      <c r="X2253" t="s">
        <v>331</v>
      </c>
      <c r="Y2253" t="s">
        <v>307</v>
      </c>
      <c r="Z2253">
        <v>70</v>
      </c>
      <c r="AA2253">
        <v>70</v>
      </c>
      <c r="AB2253" t="s">
        <v>143</v>
      </c>
      <c r="AC2253" t="s">
        <v>53</v>
      </c>
      <c r="AD2253" t="s">
        <v>404</v>
      </c>
      <c r="AE2253" t="str">
        <f>IF(AF2253="","",VLOOKUP(AC2253,mapel!$A$2:$B$42,2,FALSE))</f>
        <v>Sejarah</v>
      </c>
      <c r="AF2253">
        <f t="shared" si="105"/>
        <v>70</v>
      </c>
      <c r="AG2253" t="str">
        <f>IF(AF2253="","",IF(AF2253&gt;90,"Sangat baik",IF(AF2253&gt;79,"Baik",IF(AF2253&gt;=pub_gid_0_single_true_output_csv[[#This Row],[KKM]],"Cukup","Kurang"))))</f>
        <v>Cukup</v>
      </c>
      <c r="AH2253">
        <f t="shared" si="106"/>
        <v>12</v>
      </c>
      <c r="AI2253" s="30" t="str">
        <f>IF(OR(J2253&lt;&gt;"Karakter",pub_gid_0_single_true_output_csv[[#This Row],[Nilai2]]=""),"",IF(AF2253&gt;89,"Sangat baik",IF(AF2253&gt;79,"Baik",IF(AF2253&gt;69,"Cukup",IF(AF2253&gt;59,"Kurang","Sangat kurang")))))</f>
        <v/>
      </c>
      <c r="AJ2253" t="str">
        <f t="shared" si="107"/>
        <v>Wk.5</v>
      </c>
      <c r="AK2253" t="str">
        <f>IF(pub_gid_0_single_true_output_csv[[#This Row],[Nilai2]]="","",VLOOKUP(pub_gid_0_single_true_output_csv[[#This Row],[NAMA]],Table7[],3,FALSE))</f>
        <v>Average</v>
      </c>
    </row>
    <row r="2254" spans="1:37" x14ac:dyDescent="0.2">
      <c r="A2254">
        <v>2253</v>
      </c>
      <c r="B2254" t="s">
        <v>311</v>
      </c>
      <c r="C2254" t="s">
        <v>65</v>
      </c>
      <c r="D2254" t="s">
        <v>55</v>
      </c>
      <c r="E2254" t="s">
        <v>146</v>
      </c>
      <c r="F2254" s="25">
        <v>46050</v>
      </c>
      <c r="G2254" t="s">
        <v>308</v>
      </c>
      <c r="H2254" t="s">
        <v>405</v>
      </c>
      <c r="I2254" t="s">
        <v>371</v>
      </c>
      <c r="J2254" t="s">
        <v>90</v>
      </c>
      <c r="K2254" t="s">
        <v>92</v>
      </c>
      <c r="L2254" t="s">
        <v>93</v>
      </c>
      <c r="M2254" t="s">
        <v>141</v>
      </c>
      <c r="N2254" t="s">
        <v>142</v>
      </c>
      <c r="O2254" t="s">
        <v>327</v>
      </c>
      <c r="P2254" t="s">
        <v>281</v>
      </c>
      <c r="Q2254" t="s">
        <v>328</v>
      </c>
      <c r="R2254" t="s">
        <v>360</v>
      </c>
      <c r="S2254" t="s">
        <v>375</v>
      </c>
      <c r="T2254">
        <v>1</v>
      </c>
      <c r="U2254" t="s">
        <v>456</v>
      </c>
      <c r="V2254" t="s">
        <v>342</v>
      </c>
      <c r="W2254" t="s">
        <v>458</v>
      </c>
      <c r="X2254" t="s">
        <v>331</v>
      </c>
      <c r="Y2254" t="s">
        <v>307</v>
      </c>
      <c r="Z2254">
        <v>70</v>
      </c>
      <c r="AA2254">
        <v>70</v>
      </c>
      <c r="AB2254" t="s">
        <v>143</v>
      </c>
      <c r="AC2254" t="s">
        <v>53</v>
      </c>
      <c r="AD2254" t="s">
        <v>404</v>
      </c>
      <c r="AE2254" t="str">
        <f>IF(AF2254="","",VLOOKUP(AC2254,mapel!$A$2:$B$42,2,FALSE))</f>
        <v>Sejarah</v>
      </c>
      <c r="AF2254">
        <f t="shared" si="105"/>
        <v>70</v>
      </c>
      <c r="AG2254" t="str">
        <f>IF(AF2254="","",IF(AF2254&gt;90,"Sangat baik",IF(AF2254&gt;79,"Baik",IF(AF2254&gt;=pub_gid_0_single_true_output_csv[[#This Row],[KKM]],"Cukup","Kurang"))))</f>
        <v>Cukup</v>
      </c>
      <c r="AH2254">
        <f t="shared" si="106"/>
        <v>12</v>
      </c>
      <c r="AI2254" s="30" t="str">
        <f>IF(OR(J2254&lt;&gt;"Karakter",pub_gid_0_single_true_output_csv[[#This Row],[Nilai2]]=""),"",IF(AF2254&gt;89,"Sangat baik",IF(AF2254&gt;79,"Baik",IF(AF2254&gt;69,"Cukup",IF(AF2254&gt;59,"Kurang","Sangat kurang")))))</f>
        <v>Cukup</v>
      </c>
      <c r="AJ2254" t="str">
        <f t="shared" si="107"/>
        <v>Wk.5</v>
      </c>
      <c r="AK2254" t="str">
        <f>IF(pub_gid_0_single_true_output_csv[[#This Row],[Nilai2]]="","",VLOOKUP(pub_gid_0_single_true_output_csv[[#This Row],[NAMA]],Table7[],3,FALSE))</f>
        <v>Average</v>
      </c>
    </row>
    <row r="2255" spans="1:37" x14ac:dyDescent="0.2">
      <c r="A2255">
        <v>2254</v>
      </c>
      <c r="B2255" t="s">
        <v>311</v>
      </c>
      <c r="C2255" t="s">
        <v>65</v>
      </c>
      <c r="D2255" t="s">
        <v>55</v>
      </c>
      <c r="E2255" t="s">
        <v>146</v>
      </c>
      <c r="F2255" s="25">
        <v>46050</v>
      </c>
      <c r="G2255" t="s">
        <v>308</v>
      </c>
      <c r="H2255" t="s">
        <v>405</v>
      </c>
      <c r="I2255" t="s">
        <v>371</v>
      </c>
      <c r="J2255" t="s">
        <v>279</v>
      </c>
      <c r="K2255" t="s">
        <v>280</v>
      </c>
      <c r="L2255" t="s">
        <v>322</v>
      </c>
      <c r="M2255" t="s">
        <v>141</v>
      </c>
      <c r="N2255" t="s">
        <v>142</v>
      </c>
      <c r="O2255" t="s">
        <v>327</v>
      </c>
      <c r="P2255" t="s">
        <v>281</v>
      </c>
      <c r="Q2255" t="s">
        <v>328</v>
      </c>
      <c r="R2255" t="s">
        <v>360</v>
      </c>
      <c r="S2255" t="s">
        <v>375</v>
      </c>
      <c r="T2255">
        <v>1</v>
      </c>
      <c r="U2255" t="s">
        <v>456</v>
      </c>
      <c r="V2255" t="s">
        <v>342</v>
      </c>
      <c r="W2255" t="s">
        <v>458</v>
      </c>
      <c r="X2255" t="s">
        <v>331</v>
      </c>
      <c r="Y2255" t="s">
        <v>307</v>
      </c>
      <c r="Z2255">
        <v>70</v>
      </c>
      <c r="AA2255">
        <v>70</v>
      </c>
      <c r="AB2255" t="s">
        <v>143</v>
      </c>
      <c r="AC2255" t="s">
        <v>53</v>
      </c>
      <c r="AD2255" t="s">
        <v>404</v>
      </c>
      <c r="AE2255" t="str">
        <f>IF(AF2255="","",VLOOKUP(AC2255,mapel!$A$2:$B$42,2,FALSE))</f>
        <v>Sejarah</v>
      </c>
      <c r="AF2255">
        <f t="shared" si="105"/>
        <v>70</v>
      </c>
      <c r="AG2255" t="str">
        <f>IF(AF2255="","",IF(AF2255&gt;90,"Sangat baik",IF(AF2255&gt;79,"Baik",IF(AF2255&gt;=pub_gid_0_single_true_output_csv[[#This Row],[KKM]],"Cukup","Kurang"))))</f>
        <v>Cukup</v>
      </c>
      <c r="AH2255">
        <f t="shared" si="106"/>
        <v>12</v>
      </c>
      <c r="AI2255" s="30" t="str">
        <f>IF(OR(J2255&lt;&gt;"Karakter",pub_gid_0_single_true_output_csv[[#This Row],[Nilai2]]=""),"",IF(AF2255&gt;89,"Sangat baik",IF(AF2255&gt;79,"Baik",IF(AF2255&gt;69,"Cukup",IF(AF2255&gt;59,"Kurang","Sangat kurang")))))</f>
        <v/>
      </c>
      <c r="AJ2255" t="str">
        <f t="shared" si="107"/>
        <v>Wk.5</v>
      </c>
      <c r="AK2255" t="str">
        <f>IF(pub_gid_0_single_true_output_csv[[#This Row],[Nilai2]]="","",VLOOKUP(pub_gid_0_single_true_output_csv[[#This Row],[NAMA]],Table7[],3,FALSE))</f>
        <v>Average</v>
      </c>
    </row>
    <row r="2256" spans="1:37" x14ac:dyDescent="0.2">
      <c r="A2256">
        <v>2255</v>
      </c>
      <c r="B2256" t="s">
        <v>311</v>
      </c>
      <c r="C2256" t="s">
        <v>65</v>
      </c>
      <c r="D2256" t="s">
        <v>55</v>
      </c>
      <c r="E2256" t="s">
        <v>146</v>
      </c>
      <c r="F2256" s="25">
        <v>46050</v>
      </c>
      <c r="G2256" t="s">
        <v>308</v>
      </c>
      <c r="H2256" t="s">
        <v>405</v>
      </c>
      <c r="I2256" t="s">
        <v>371</v>
      </c>
      <c r="J2256" t="s">
        <v>36</v>
      </c>
      <c r="K2256" t="s">
        <v>37</v>
      </c>
      <c r="L2256" t="s">
        <v>150</v>
      </c>
      <c r="M2256" t="s">
        <v>141</v>
      </c>
      <c r="N2256" t="s">
        <v>142</v>
      </c>
      <c r="O2256" t="s">
        <v>327</v>
      </c>
      <c r="P2256" t="s">
        <v>281</v>
      </c>
      <c r="Q2256" t="s">
        <v>328</v>
      </c>
      <c r="R2256" t="s">
        <v>360</v>
      </c>
      <c r="S2256" t="s">
        <v>375</v>
      </c>
      <c r="T2256">
        <v>1</v>
      </c>
      <c r="U2256" t="s">
        <v>456</v>
      </c>
      <c r="V2256" t="s">
        <v>342</v>
      </c>
      <c r="W2256" t="s">
        <v>458</v>
      </c>
      <c r="X2256" t="s">
        <v>331</v>
      </c>
      <c r="Y2256" t="s">
        <v>307</v>
      </c>
      <c r="Z2256">
        <v>70</v>
      </c>
      <c r="AA2256">
        <v>80</v>
      </c>
      <c r="AB2256" t="s">
        <v>143</v>
      </c>
      <c r="AC2256" t="s">
        <v>53</v>
      </c>
      <c r="AD2256" t="s">
        <v>404</v>
      </c>
      <c r="AE2256" t="str">
        <f>IF(AF2256="","",VLOOKUP(AC2256,mapel!$A$2:$B$42,2,FALSE))</f>
        <v>Sejarah</v>
      </c>
      <c r="AF2256">
        <f t="shared" si="105"/>
        <v>80</v>
      </c>
      <c r="AG2256" t="str">
        <f>IF(AF2256="","",IF(AF2256&gt;90,"Sangat baik",IF(AF2256&gt;79,"Baik",IF(AF2256&gt;=pub_gid_0_single_true_output_csv[[#This Row],[KKM]],"Cukup","Kurang"))))</f>
        <v>Baik</v>
      </c>
      <c r="AH2256">
        <f t="shared" si="106"/>
        <v>12</v>
      </c>
      <c r="AI2256" s="30" t="str">
        <f>IF(OR(J2256&lt;&gt;"Karakter",pub_gid_0_single_true_output_csv[[#This Row],[Nilai2]]=""),"",IF(AF2256&gt;89,"Sangat baik",IF(AF2256&gt;79,"Baik",IF(AF2256&gt;69,"Cukup",IF(AF2256&gt;59,"Kurang","Sangat kurang")))))</f>
        <v/>
      </c>
      <c r="AJ2256" t="str">
        <f t="shared" si="107"/>
        <v>Wk.5</v>
      </c>
      <c r="AK2256" t="str">
        <f>IF(pub_gid_0_single_true_output_csv[[#This Row],[Nilai2]]="","",VLOOKUP(pub_gid_0_single_true_output_csv[[#This Row],[NAMA]],Table7[],3,FALSE))</f>
        <v>Average</v>
      </c>
    </row>
    <row r="2257" spans="1:37" x14ac:dyDescent="0.2">
      <c r="A2257">
        <v>2256</v>
      </c>
      <c r="B2257" t="s">
        <v>311</v>
      </c>
      <c r="C2257" t="s">
        <v>65</v>
      </c>
      <c r="D2257" t="s">
        <v>55</v>
      </c>
      <c r="E2257" t="s">
        <v>146</v>
      </c>
      <c r="F2257" s="25">
        <v>46050</v>
      </c>
      <c r="G2257" t="s">
        <v>308</v>
      </c>
      <c r="H2257" t="s">
        <v>405</v>
      </c>
      <c r="I2257" t="s">
        <v>371</v>
      </c>
      <c r="J2257" t="s">
        <v>31</v>
      </c>
      <c r="K2257" t="s">
        <v>32</v>
      </c>
      <c r="L2257" t="s">
        <v>367</v>
      </c>
      <c r="M2257" t="s">
        <v>141</v>
      </c>
      <c r="N2257" t="s">
        <v>142</v>
      </c>
      <c r="O2257" t="s">
        <v>327</v>
      </c>
      <c r="P2257" t="s">
        <v>281</v>
      </c>
      <c r="Q2257" t="s">
        <v>328</v>
      </c>
      <c r="R2257" t="s">
        <v>360</v>
      </c>
      <c r="S2257" t="s">
        <v>375</v>
      </c>
      <c r="T2257">
        <v>1</v>
      </c>
      <c r="U2257" t="s">
        <v>456</v>
      </c>
      <c r="V2257" t="s">
        <v>342</v>
      </c>
      <c r="W2257" t="s">
        <v>458</v>
      </c>
      <c r="X2257" t="s">
        <v>331</v>
      </c>
      <c r="Y2257" t="s">
        <v>307</v>
      </c>
      <c r="Z2257">
        <v>70</v>
      </c>
      <c r="AA2257">
        <v>70</v>
      </c>
      <c r="AB2257" t="s">
        <v>143</v>
      </c>
      <c r="AC2257" t="s">
        <v>53</v>
      </c>
      <c r="AD2257" t="s">
        <v>404</v>
      </c>
      <c r="AE2257" t="str">
        <f>IF(AF2257="","",VLOOKUP(AC2257,mapel!$A$2:$B$42,2,FALSE))</f>
        <v>Sejarah</v>
      </c>
      <c r="AF2257">
        <f t="shared" si="105"/>
        <v>70</v>
      </c>
      <c r="AG2257" t="str">
        <f>IF(AF2257="","",IF(AF2257&gt;90,"Sangat baik",IF(AF2257&gt;79,"Baik",IF(AF2257&gt;=pub_gid_0_single_true_output_csv[[#This Row],[KKM]],"Cukup","Kurang"))))</f>
        <v>Cukup</v>
      </c>
      <c r="AH2257">
        <f t="shared" si="106"/>
        <v>12</v>
      </c>
      <c r="AI2257" s="30" t="str">
        <f>IF(OR(J2257&lt;&gt;"Karakter",pub_gid_0_single_true_output_csv[[#This Row],[Nilai2]]=""),"",IF(AF2257&gt;89,"Sangat baik",IF(AF2257&gt;79,"Baik",IF(AF2257&gt;69,"Cukup",IF(AF2257&gt;59,"Kurang","Sangat kurang")))))</f>
        <v/>
      </c>
      <c r="AJ2257" t="str">
        <f t="shared" si="107"/>
        <v>Wk.5</v>
      </c>
      <c r="AK2257" t="str">
        <f>IF(pub_gid_0_single_true_output_csv[[#This Row],[Nilai2]]="","",VLOOKUP(pub_gid_0_single_true_output_csv[[#This Row],[NAMA]],Table7[],3,FALSE))</f>
        <v>Average</v>
      </c>
    </row>
    <row r="2258" spans="1:37" x14ac:dyDescent="0.2">
      <c r="A2258">
        <v>2257</v>
      </c>
      <c r="B2258" t="s">
        <v>311</v>
      </c>
      <c r="C2258" t="s">
        <v>65</v>
      </c>
      <c r="D2258" t="s">
        <v>55</v>
      </c>
      <c r="E2258" t="s">
        <v>146</v>
      </c>
      <c r="F2258" s="25">
        <v>46052</v>
      </c>
      <c r="G2258" t="s">
        <v>304</v>
      </c>
      <c r="H2258" t="s">
        <v>405</v>
      </c>
      <c r="I2258" t="s">
        <v>371</v>
      </c>
      <c r="J2258" t="s">
        <v>90</v>
      </c>
      <c r="K2258" t="s">
        <v>92</v>
      </c>
      <c r="L2258" t="s">
        <v>93</v>
      </c>
      <c r="M2258" t="s">
        <v>141</v>
      </c>
      <c r="N2258" t="s">
        <v>142</v>
      </c>
      <c r="O2258" t="s">
        <v>327</v>
      </c>
      <c r="P2258" t="s">
        <v>281</v>
      </c>
      <c r="Q2258" t="s">
        <v>328</v>
      </c>
      <c r="R2258" t="s">
        <v>360</v>
      </c>
      <c r="S2258" t="s">
        <v>375</v>
      </c>
      <c r="T2258">
        <v>1</v>
      </c>
      <c r="U2258" t="s">
        <v>456</v>
      </c>
      <c r="V2258" t="s">
        <v>342</v>
      </c>
      <c r="W2258" t="s">
        <v>458</v>
      </c>
      <c r="X2258" t="s">
        <v>331</v>
      </c>
      <c r="Y2258" t="s">
        <v>307</v>
      </c>
      <c r="Z2258">
        <v>70</v>
      </c>
      <c r="AA2258">
        <v>70</v>
      </c>
      <c r="AB2258" t="s">
        <v>143</v>
      </c>
      <c r="AC2258" t="s">
        <v>53</v>
      </c>
      <c r="AD2258" t="s">
        <v>404</v>
      </c>
      <c r="AE2258" t="str">
        <f>IF(AF2258="","",VLOOKUP(AC2258,mapel!$A$2:$B$42,2,FALSE))</f>
        <v>Sejarah</v>
      </c>
      <c r="AF2258">
        <f t="shared" si="105"/>
        <v>70</v>
      </c>
      <c r="AG2258" t="str">
        <f>IF(AF2258="","",IF(AF2258&gt;90,"Sangat baik",IF(AF2258&gt;79,"Baik",IF(AF2258&gt;=pub_gid_0_single_true_output_csv[[#This Row],[KKM]],"Cukup","Kurang"))))</f>
        <v>Cukup</v>
      </c>
      <c r="AH2258">
        <f t="shared" si="106"/>
        <v>12</v>
      </c>
      <c r="AI2258" s="30" t="str">
        <f>IF(OR(J2258&lt;&gt;"Karakter",pub_gid_0_single_true_output_csv[[#This Row],[Nilai2]]=""),"",IF(AF2258&gt;89,"Sangat baik",IF(AF2258&gt;79,"Baik",IF(AF2258&gt;69,"Cukup",IF(AF2258&gt;59,"Kurang","Sangat kurang")))))</f>
        <v>Cukup</v>
      </c>
      <c r="AJ2258" t="str">
        <f t="shared" si="107"/>
        <v>Wk.5</v>
      </c>
      <c r="AK2258" t="str">
        <f>IF(pub_gid_0_single_true_output_csv[[#This Row],[Nilai2]]="","",VLOOKUP(pub_gid_0_single_true_output_csv[[#This Row],[NAMA]],Table7[],3,FALSE))</f>
        <v>Average</v>
      </c>
    </row>
    <row r="2259" spans="1:37" x14ac:dyDescent="0.2">
      <c r="A2259">
        <v>2258</v>
      </c>
      <c r="B2259" t="s">
        <v>311</v>
      </c>
      <c r="C2259" t="s">
        <v>65</v>
      </c>
      <c r="D2259" t="s">
        <v>55</v>
      </c>
      <c r="E2259" t="s">
        <v>146</v>
      </c>
      <c r="F2259" s="25">
        <v>46057</v>
      </c>
      <c r="G2259" t="s">
        <v>348</v>
      </c>
      <c r="H2259" t="s">
        <v>412</v>
      </c>
      <c r="I2259" t="s">
        <v>371</v>
      </c>
      <c r="J2259" t="s">
        <v>279</v>
      </c>
      <c r="K2259" t="s">
        <v>280</v>
      </c>
      <c r="L2259" t="s">
        <v>322</v>
      </c>
      <c r="M2259" t="s">
        <v>141</v>
      </c>
      <c r="N2259" t="s">
        <v>142</v>
      </c>
      <c r="O2259" t="s">
        <v>327</v>
      </c>
      <c r="P2259" t="s">
        <v>281</v>
      </c>
      <c r="Q2259" t="s">
        <v>328</v>
      </c>
      <c r="R2259" t="s">
        <v>360</v>
      </c>
      <c r="S2259" t="s">
        <v>375</v>
      </c>
      <c r="T2259">
        <v>1</v>
      </c>
      <c r="U2259" t="s">
        <v>456</v>
      </c>
      <c r="V2259" t="s">
        <v>342</v>
      </c>
      <c r="W2259" t="s">
        <v>458</v>
      </c>
      <c r="X2259" t="s">
        <v>331</v>
      </c>
      <c r="Y2259" t="s">
        <v>307</v>
      </c>
      <c r="Z2259">
        <v>70</v>
      </c>
      <c r="AA2259">
        <v>70</v>
      </c>
      <c r="AB2259" t="s">
        <v>143</v>
      </c>
      <c r="AC2259" t="s">
        <v>53</v>
      </c>
      <c r="AD2259" t="s">
        <v>404</v>
      </c>
      <c r="AE2259" t="str">
        <f>IF(AF2259="","",VLOOKUP(AC2259,mapel!$A$2:$B$42,2,FALSE))</f>
        <v>Sejarah</v>
      </c>
      <c r="AF2259">
        <f t="shared" si="105"/>
        <v>70</v>
      </c>
      <c r="AG2259" t="str">
        <f>IF(AF2259="","",IF(AF2259&gt;90,"Sangat baik",IF(AF2259&gt;79,"Baik",IF(AF2259&gt;=pub_gid_0_single_true_output_csv[[#This Row],[KKM]],"Cukup","Kurang"))))</f>
        <v>Cukup</v>
      </c>
      <c r="AH2259">
        <f t="shared" si="106"/>
        <v>12</v>
      </c>
      <c r="AI2259" s="30" t="str">
        <f>IF(OR(J2259&lt;&gt;"Karakter",pub_gid_0_single_true_output_csv[[#This Row],[Nilai2]]=""),"",IF(AF2259&gt;89,"Sangat baik",IF(AF2259&gt;79,"Baik",IF(AF2259&gt;69,"Cukup",IF(AF2259&gt;59,"Kurang","Sangat kurang")))))</f>
        <v/>
      </c>
      <c r="AJ2259" t="str">
        <f t="shared" si="107"/>
        <v>Wk.6</v>
      </c>
      <c r="AK2259" t="str">
        <f>IF(pub_gid_0_single_true_output_csv[[#This Row],[Nilai2]]="","",VLOOKUP(pub_gid_0_single_true_output_csv[[#This Row],[NAMA]],Table7[],3,FALSE))</f>
        <v>Average</v>
      </c>
    </row>
    <row r="2260" spans="1:37" x14ac:dyDescent="0.2">
      <c r="A2260">
        <v>2259</v>
      </c>
      <c r="B2260" t="s">
        <v>311</v>
      </c>
      <c r="C2260" t="s">
        <v>65</v>
      </c>
      <c r="D2260" t="s">
        <v>55</v>
      </c>
      <c r="E2260" t="s">
        <v>146</v>
      </c>
      <c r="F2260" s="25">
        <v>46057</v>
      </c>
      <c r="G2260" t="s">
        <v>348</v>
      </c>
      <c r="H2260" t="s">
        <v>412</v>
      </c>
      <c r="I2260" t="s">
        <v>371</v>
      </c>
      <c r="J2260" t="s">
        <v>36</v>
      </c>
      <c r="K2260" t="s">
        <v>37</v>
      </c>
      <c r="L2260" t="s">
        <v>351</v>
      </c>
      <c r="M2260" t="s">
        <v>141</v>
      </c>
      <c r="N2260" t="s">
        <v>142</v>
      </c>
      <c r="O2260" t="s">
        <v>327</v>
      </c>
      <c r="P2260" t="s">
        <v>281</v>
      </c>
      <c r="Q2260" t="s">
        <v>328</v>
      </c>
      <c r="R2260" t="s">
        <v>360</v>
      </c>
      <c r="S2260" t="s">
        <v>392</v>
      </c>
      <c r="T2260">
        <v>1</v>
      </c>
      <c r="U2260" t="s">
        <v>456</v>
      </c>
      <c r="V2260" t="s">
        <v>343</v>
      </c>
      <c r="W2260" t="s">
        <v>459</v>
      </c>
      <c r="X2260" t="s">
        <v>331</v>
      </c>
      <c r="Y2260" t="s">
        <v>307</v>
      </c>
      <c r="Z2260">
        <v>70</v>
      </c>
      <c r="AA2260">
        <v>80</v>
      </c>
      <c r="AB2260" t="s">
        <v>143</v>
      </c>
      <c r="AC2260" t="s">
        <v>53</v>
      </c>
      <c r="AD2260" t="s">
        <v>404</v>
      </c>
      <c r="AE2260" t="str">
        <f>IF(AF2260="","",VLOOKUP(AC2260,mapel!$A$2:$B$42,2,FALSE))</f>
        <v>Sejarah</v>
      </c>
      <c r="AF2260">
        <f t="shared" si="105"/>
        <v>80</v>
      </c>
      <c r="AG2260" t="str">
        <f>IF(AF2260="","",IF(AF2260&gt;90,"Sangat baik",IF(AF2260&gt;79,"Baik",IF(AF2260&gt;=pub_gid_0_single_true_output_csv[[#This Row],[KKM]],"Cukup","Kurang"))))</f>
        <v>Baik</v>
      </c>
      <c r="AH2260">
        <f t="shared" si="106"/>
        <v>12</v>
      </c>
      <c r="AI2260" s="30" t="str">
        <f>IF(OR(J2260&lt;&gt;"Karakter",pub_gid_0_single_true_output_csv[[#This Row],[Nilai2]]=""),"",IF(AF2260&gt;89,"Sangat baik",IF(AF2260&gt;79,"Baik",IF(AF2260&gt;69,"Cukup",IF(AF2260&gt;59,"Kurang","Sangat kurang")))))</f>
        <v/>
      </c>
      <c r="AJ2260" t="str">
        <f t="shared" si="107"/>
        <v>Wk.6</v>
      </c>
      <c r="AK2260" t="str">
        <f>IF(pub_gid_0_single_true_output_csv[[#This Row],[Nilai2]]="","",VLOOKUP(pub_gid_0_single_true_output_csv[[#This Row],[NAMA]],Table7[],3,FALSE))</f>
        <v>Average</v>
      </c>
    </row>
    <row r="2261" spans="1:37" x14ac:dyDescent="0.2">
      <c r="A2261">
        <v>2260</v>
      </c>
      <c r="B2261" t="s">
        <v>311</v>
      </c>
      <c r="C2261" t="s">
        <v>65</v>
      </c>
      <c r="D2261" t="s">
        <v>55</v>
      </c>
      <c r="E2261" t="s">
        <v>146</v>
      </c>
      <c r="F2261" s="25">
        <v>46057</v>
      </c>
      <c r="G2261" t="s">
        <v>348</v>
      </c>
      <c r="H2261" t="s">
        <v>412</v>
      </c>
      <c r="I2261" t="s">
        <v>371</v>
      </c>
      <c r="J2261" t="s">
        <v>31</v>
      </c>
      <c r="K2261" t="s">
        <v>96</v>
      </c>
      <c r="L2261" t="s">
        <v>351</v>
      </c>
      <c r="M2261" t="s">
        <v>141</v>
      </c>
      <c r="N2261" t="s">
        <v>142</v>
      </c>
      <c r="O2261" t="s">
        <v>327</v>
      </c>
      <c r="P2261" t="s">
        <v>281</v>
      </c>
      <c r="Q2261" t="s">
        <v>328</v>
      </c>
      <c r="R2261" t="s">
        <v>360</v>
      </c>
      <c r="S2261" t="s">
        <v>392</v>
      </c>
      <c r="T2261">
        <v>1</v>
      </c>
      <c r="U2261" t="s">
        <v>456</v>
      </c>
      <c r="V2261" t="s">
        <v>343</v>
      </c>
      <c r="W2261" t="s">
        <v>459</v>
      </c>
      <c r="X2261" t="s">
        <v>331</v>
      </c>
      <c r="Y2261" t="s">
        <v>307</v>
      </c>
      <c r="Z2261">
        <v>70</v>
      </c>
      <c r="AA2261">
        <v>75</v>
      </c>
      <c r="AB2261" t="s">
        <v>143</v>
      </c>
      <c r="AC2261" t="s">
        <v>53</v>
      </c>
      <c r="AD2261" t="s">
        <v>404</v>
      </c>
      <c r="AE2261" t="str">
        <f>IF(AF2261="","",VLOOKUP(AC2261,mapel!$A$2:$B$42,2,FALSE))</f>
        <v>Sejarah</v>
      </c>
      <c r="AF2261">
        <f t="shared" si="105"/>
        <v>75</v>
      </c>
      <c r="AG2261" t="str">
        <f>IF(AF2261="","",IF(AF2261&gt;90,"Sangat baik",IF(AF2261&gt;79,"Baik",IF(AF2261&gt;=pub_gid_0_single_true_output_csv[[#This Row],[KKM]],"Cukup","Kurang"))))</f>
        <v>Cukup</v>
      </c>
      <c r="AH2261">
        <f t="shared" si="106"/>
        <v>12</v>
      </c>
      <c r="AI2261" s="30" t="str">
        <f>IF(OR(J2261&lt;&gt;"Karakter",pub_gid_0_single_true_output_csv[[#This Row],[Nilai2]]=""),"",IF(AF2261&gt;89,"Sangat baik",IF(AF2261&gt;79,"Baik",IF(AF2261&gt;69,"Cukup",IF(AF2261&gt;59,"Kurang","Sangat kurang")))))</f>
        <v/>
      </c>
      <c r="AJ2261" t="str">
        <f t="shared" si="107"/>
        <v>Wk.6</v>
      </c>
      <c r="AK2261" t="str">
        <f>IF(pub_gid_0_single_true_output_csv[[#This Row],[Nilai2]]="","",VLOOKUP(pub_gid_0_single_true_output_csv[[#This Row],[NAMA]],Table7[],3,FALSE))</f>
        <v>Average</v>
      </c>
    </row>
    <row r="2262" spans="1:37" x14ac:dyDescent="0.2">
      <c r="A2262">
        <v>2261</v>
      </c>
      <c r="B2262" t="s">
        <v>311</v>
      </c>
      <c r="C2262" t="s">
        <v>65</v>
      </c>
      <c r="D2262" t="s">
        <v>55</v>
      </c>
      <c r="E2262" t="s">
        <v>146</v>
      </c>
      <c r="F2262" s="25">
        <v>46057</v>
      </c>
      <c r="G2262" t="s">
        <v>348</v>
      </c>
      <c r="H2262" t="s">
        <v>412</v>
      </c>
      <c r="I2262" t="s">
        <v>371</v>
      </c>
      <c r="J2262" t="s">
        <v>90</v>
      </c>
      <c r="K2262" t="s">
        <v>92</v>
      </c>
      <c r="L2262" t="s">
        <v>91</v>
      </c>
      <c r="M2262" t="s">
        <v>141</v>
      </c>
      <c r="N2262" t="s">
        <v>142</v>
      </c>
      <c r="O2262" t="s">
        <v>327</v>
      </c>
      <c r="P2262" t="s">
        <v>281</v>
      </c>
      <c r="Q2262" t="s">
        <v>328</v>
      </c>
      <c r="R2262" t="s">
        <v>360</v>
      </c>
      <c r="S2262" t="s">
        <v>392</v>
      </c>
      <c r="T2262">
        <v>1</v>
      </c>
      <c r="U2262" t="s">
        <v>456</v>
      </c>
      <c r="V2262" t="s">
        <v>343</v>
      </c>
      <c r="W2262" t="s">
        <v>459</v>
      </c>
      <c r="X2262" t="s">
        <v>331</v>
      </c>
      <c r="Y2262" t="s">
        <v>307</v>
      </c>
      <c r="Z2262">
        <v>70</v>
      </c>
      <c r="AA2262">
        <v>80</v>
      </c>
      <c r="AB2262" t="s">
        <v>143</v>
      </c>
      <c r="AC2262" t="s">
        <v>53</v>
      </c>
      <c r="AD2262" t="s">
        <v>404</v>
      </c>
      <c r="AE2262" t="str">
        <f>IF(AF2262="","",VLOOKUP(AC2262,mapel!$A$2:$B$42,2,FALSE))</f>
        <v>Sejarah</v>
      </c>
      <c r="AF2262">
        <f t="shared" si="105"/>
        <v>80</v>
      </c>
      <c r="AG2262" t="str">
        <f>IF(AF2262="","",IF(AF2262&gt;90,"Sangat baik",IF(AF2262&gt;79,"Baik",IF(AF2262&gt;=pub_gid_0_single_true_output_csv[[#This Row],[KKM]],"Cukup","Kurang"))))</f>
        <v>Baik</v>
      </c>
      <c r="AH2262">
        <f t="shared" si="106"/>
        <v>12</v>
      </c>
      <c r="AI2262" s="30" t="str">
        <f>IF(OR(J2262&lt;&gt;"Karakter",pub_gid_0_single_true_output_csv[[#This Row],[Nilai2]]=""),"",IF(AF2262&gt;89,"Sangat baik",IF(AF2262&gt;79,"Baik",IF(AF2262&gt;69,"Cukup",IF(AF2262&gt;59,"Kurang","Sangat kurang")))))</f>
        <v>Baik</v>
      </c>
      <c r="AJ2262" t="str">
        <f t="shared" si="107"/>
        <v>Wk.6</v>
      </c>
      <c r="AK2262" t="str">
        <f>IF(pub_gid_0_single_true_output_csv[[#This Row],[Nilai2]]="","",VLOOKUP(pub_gid_0_single_true_output_csv[[#This Row],[NAMA]],Table7[],3,FALSE))</f>
        <v>Average</v>
      </c>
    </row>
    <row r="2263" spans="1:37" x14ac:dyDescent="0.2">
      <c r="A2263">
        <v>2262</v>
      </c>
      <c r="B2263" t="s">
        <v>311</v>
      </c>
      <c r="C2263" t="s">
        <v>65</v>
      </c>
      <c r="D2263" t="s">
        <v>55</v>
      </c>
      <c r="E2263" t="s">
        <v>146</v>
      </c>
      <c r="F2263" s="25">
        <v>46064</v>
      </c>
      <c r="G2263" t="s">
        <v>352</v>
      </c>
      <c r="H2263" t="s">
        <v>412</v>
      </c>
      <c r="I2263" t="s">
        <v>371</v>
      </c>
      <c r="J2263" t="s">
        <v>279</v>
      </c>
      <c r="K2263" t="s">
        <v>280</v>
      </c>
      <c r="L2263" t="s">
        <v>322</v>
      </c>
      <c r="M2263" t="s">
        <v>141</v>
      </c>
      <c r="N2263" t="s">
        <v>142</v>
      </c>
      <c r="O2263" t="s">
        <v>327</v>
      </c>
      <c r="P2263" t="s">
        <v>281</v>
      </c>
      <c r="Q2263" t="s">
        <v>328</v>
      </c>
      <c r="R2263" t="s">
        <v>360</v>
      </c>
      <c r="S2263" t="s">
        <v>392</v>
      </c>
      <c r="T2263">
        <v>1</v>
      </c>
      <c r="U2263" t="s">
        <v>456</v>
      </c>
      <c r="V2263" t="s">
        <v>343</v>
      </c>
      <c r="W2263" t="s">
        <v>459</v>
      </c>
      <c r="X2263" t="s">
        <v>331</v>
      </c>
      <c r="Y2263" t="s">
        <v>307</v>
      </c>
      <c r="Z2263">
        <v>70</v>
      </c>
      <c r="AA2263">
        <v>70</v>
      </c>
      <c r="AB2263" t="s">
        <v>143</v>
      </c>
      <c r="AC2263" t="s">
        <v>53</v>
      </c>
      <c r="AD2263" t="s">
        <v>404</v>
      </c>
      <c r="AE2263" t="str">
        <f>IF(AF2263="","",VLOOKUP(AC2263,mapel!$A$2:$B$42,2,FALSE))</f>
        <v>Sejarah</v>
      </c>
      <c r="AF2263">
        <f t="shared" si="105"/>
        <v>70</v>
      </c>
      <c r="AG2263" t="str">
        <f>IF(AF2263="","",IF(AF2263&gt;90,"Sangat baik",IF(AF2263&gt;79,"Baik",IF(AF2263&gt;=pub_gid_0_single_true_output_csv[[#This Row],[KKM]],"Cukup","Kurang"))))</f>
        <v>Cukup</v>
      </c>
      <c r="AH2263">
        <f t="shared" si="106"/>
        <v>12</v>
      </c>
      <c r="AI2263" s="30" t="str">
        <f>IF(OR(J2263&lt;&gt;"Karakter",pub_gid_0_single_true_output_csv[[#This Row],[Nilai2]]=""),"",IF(AF2263&gt;89,"Sangat baik",IF(AF2263&gt;79,"Baik",IF(AF2263&gt;69,"Cukup",IF(AF2263&gt;59,"Kurang","Sangat kurang")))))</f>
        <v/>
      </c>
      <c r="AJ2263" t="str">
        <f t="shared" si="107"/>
        <v>Wk.7</v>
      </c>
      <c r="AK2263" t="str">
        <f>IF(pub_gid_0_single_true_output_csv[[#This Row],[Nilai2]]="","",VLOOKUP(pub_gid_0_single_true_output_csv[[#This Row],[NAMA]],Table7[],3,FALSE))</f>
        <v>Average</v>
      </c>
    </row>
    <row r="2264" spans="1:37" x14ac:dyDescent="0.2">
      <c r="A2264">
        <v>2263</v>
      </c>
      <c r="B2264" t="s">
        <v>311</v>
      </c>
      <c r="C2264" t="s">
        <v>65</v>
      </c>
      <c r="D2264" t="s">
        <v>55</v>
      </c>
      <c r="E2264" t="s">
        <v>146</v>
      </c>
      <c r="F2264" s="25">
        <v>46064</v>
      </c>
      <c r="G2264" t="s">
        <v>352</v>
      </c>
      <c r="H2264" t="s">
        <v>412</v>
      </c>
      <c r="I2264" t="s">
        <v>371</v>
      </c>
      <c r="J2264" t="s">
        <v>36</v>
      </c>
      <c r="K2264" t="s">
        <v>37</v>
      </c>
      <c r="L2264" t="s">
        <v>351</v>
      </c>
      <c r="M2264" t="s">
        <v>141</v>
      </c>
      <c r="N2264" t="s">
        <v>142</v>
      </c>
      <c r="O2264" t="s">
        <v>327</v>
      </c>
      <c r="P2264" t="s">
        <v>281</v>
      </c>
      <c r="Q2264" t="s">
        <v>328</v>
      </c>
      <c r="R2264" t="s">
        <v>360</v>
      </c>
      <c r="S2264" t="s">
        <v>392</v>
      </c>
      <c r="T2264">
        <v>1</v>
      </c>
      <c r="U2264" t="s">
        <v>456</v>
      </c>
      <c r="V2264" t="s">
        <v>343</v>
      </c>
      <c r="W2264" t="s">
        <v>459</v>
      </c>
      <c r="X2264" t="s">
        <v>331</v>
      </c>
      <c r="Y2264" t="s">
        <v>307</v>
      </c>
      <c r="Z2264">
        <v>70</v>
      </c>
      <c r="AA2264">
        <v>80</v>
      </c>
      <c r="AB2264" t="s">
        <v>143</v>
      </c>
      <c r="AC2264" t="s">
        <v>53</v>
      </c>
      <c r="AD2264" t="s">
        <v>404</v>
      </c>
      <c r="AE2264" t="str">
        <f>IF(AF2264="","",VLOOKUP(AC2264,mapel!$A$2:$B$42,2,FALSE))</f>
        <v>Sejarah</v>
      </c>
      <c r="AF2264">
        <f t="shared" si="105"/>
        <v>80</v>
      </c>
      <c r="AG2264" t="str">
        <f>IF(AF2264="","",IF(AF2264&gt;90,"Sangat baik",IF(AF2264&gt;79,"Baik",IF(AF2264&gt;=pub_gid_0_single_true_output_csv[[#This Row],[KKM]],"Cukup","Kurang"))))</f>
        <v>Baik</v>
      </c>
      <c r="AH2264">
        <f t="shared" si="106"/>
        <v>12</v>
      </c>
      <c r="AI2264" s="30" t="str">
        <f>IF(OR(J2264&lt;&gt;"Karakter",pub_gid_0_single_true_output_csv[[#This Row],[Nilai2]]=""),"",IF(AF2264&gt;89,"Sangat baik",IF(AF2264&gt;79,"Baik",IF(AF2264&gt;69,"Cukup",IF(AF2264&gt;59,"Kurang","Sangat kurang")))))</f>
        <v/>
      </c>
      <c r="AJ2264" t="str">
        <f t="shared" si="107"/>
        <v>Wk.7</v>
      </c>
      <c r="AK2264" t="str">
        <f>IF(pub_gid_0_single_true_output_csv[[#This Row],[Nilai2]]="","",VLOOKUP(pub_gid_0_single_true_output_csv[[#This Row],[NAMA]],Table7[],3,FALSE))</f>
        <v>Average</v>
      </c>
    </row>
    <row r="2265" spans="1:37" x14ac:dyDescent="0.2">
      <c r="A2265">
        <v>2264</v>
      </c>
      <c r="B2265" t="s">
        <v>311</v>
      </c>
      <c r="C2265" t="s">
        <v>65</v>
      </c>
      <c r="D2265" t="s">
        <v>55</v>
      </c>
      <c r="E2265" t="s">
        <v>146</v>
      </c>
      <c r="F2265" s="25">
        <v>46064</v>
      </c>
      <c r="G2265" t="s">
        <v>352</v>
      </c>
      <c r="H2265" t="s">
        <v>412</v>
      </c>
      <c r="I2265" t="s">
        <v>371</v>
      </c>
      <c r="J2265" t="s">
        <v>31</v>
      </c>
      <c r="K2265" t="s">
        <v>96</v>
      </c>
      <c r="L2265" t="s">
        <v>351</v>
      </c>
      <c r="M2265" t="s">
        <v>141</v>
      </c>
      <c r="N2265" t="s">
        <v>142</v>
      </c>
      <c r="O2265" t="s">
        <v>327</v>
      </c>
      <c r="P2265" t="s">
        <v>281</v>
      </c>
      <c r="Q2265" t="s">
        <v>328</v>
      </c>
      <c r="R2265" t="s">
        <v>360</v>
      </c>
      <c r="S2265" t="s">
        <v>392</v>
      </c>
      <c r="T2265">
        <v>1</v>
      </c>
      <c r="U2265" t="s">
        <v>456</v>
      </c>
      <c r="V2265" t="s">
        <v>343</v>
      </c>
      <c r="W2265" t="s">
        <v>459</v>
      </c>
      <c r="X2265" t="s">
        <v>331</v>
      </c>
      <c r="Y2265" t="s">
        <v>307</v>
      </c>
      <c r="Z2265">
        <v>70</v>
      </c>
      <c r="AA2265">
        <v>70</v>
      </c>
      <c r="AB2265" t="s">
        <v>143</v>
      </c>
      <c r="AC2265" t="s">
        <v>53</v>
      </c>
      <c r="AD2265" t="s">
        <v>404</v>
      </c>
      <c r="AE2265" t="str">
        <f>IF(AF2265="","",VLOOKUP(AC2265,mapel!$A$2:$B$42,2,FALSE))</f>
        <v>Sejarah</v>
      </c>
      <c r="AF2265">
        <f t="shared" si="105"/>
        <v>70</v>
      </c>
      <c r="AG2265" t="str">
        <f>IF(AF2265="","",IF(AF2265&gt;90,"Sangat baik",IF(AF2265&gt;79,"Baik",IF(AF2265&gt;=pub_gid_0_single_true_output_csv[[#This Row],[KKM]],"Cukup","Kurang"))))</f>
        <v>Cukup</v>
      </c>
      <c r="AH2265">
        <f t="shared" si="106"/>
        <v>12</v>
      </c>
      <c r="AI2265" s="30" t="str">
        <f>IF(OR(J2265&lt;&gt;"Karakter",pub_gid_0_single_true_output_csv[[#This Row],[Nilai2]]=""),"",IF(AF2265&gt;89,"Sangat baik",IF(AF2265&gt;79,"Baik",IF(AF2265&gt;69,"Cukup",IF(AF2265&gt;59,"Kurang","Sangat kurang")))))</f>
        <v/>
      </c>
      <c r="AJ2265" t="str">
        <f t="shared" si="107"/>
        <v>Wk.7</v>
      </c>
      <c r="AK2265" t="str">
        <f>IF(pub_gid_0_single_true_output_csv[[#This Row],[Nilai2]]="","",VLOOKUP(pub_gid_0_single_true_output_csv[[#This Row],[NAMA]],Table7[],3,FALSE))</f>
        <v>Average</v>
      </c>
    </row>
    <row r="2266" spans="1:37" x14ac:dyDescent="0.2">
      <c r="A2266">
        <v>2265</v>
      </c>
      <c r="B2266" t="s">
        <v>311</v>
      </c>
      <c r="C2266" t="s">
        <v>65</v>
      </c>
      <c r="D2266" t="s">
        <v>55</v>
      </c>
      <c r="E2266" t="s">
        <v>146</v>
      </c>
      <c r="F2266" s="25">
        <v>46064</v>
      </c>
      <c r="G2266" t="s">
        <v>352</v>
      </c>
      <c r="H2266" t="s">
        <v>412</v>
      </c>
      <c r="I2266" t="s">
        <v>371</v>
      </c>
      <c r="J2266" t="s">
        <v>90</v>
      </c>
      <c r="K2266" t="s">
        <v>92</v>
      </c>
      <c r="L2266" t="s">
        <v>91</v>
      </c>
      <c r="M2266" t="s">
        <v>141</v>
      </c>
      <c r="N2266" t="s">
        <v>142</v>
      </c>
      <c r="O2266" t="s">
        <v>327</v>
      </c>
      <c r="P2266" t="s">
        <v>281</v>
      </c>
      <c r="Q2266" t="s">
        <v>328</v>
      </c>
      <c r="R2266" t="s">
        <v>360</v>
      </c>
      <c r="S2266" t="s">
        <v>392</v>
      </c>
      <c r="T2266">
        <v>1</v>
      </c>
      <c r="U2266" t="s">
        <v>456</v>
      </c>
      <c r="V2266" t="s">
        <v>343</v>
      </c>
      <c r="W2266" t="s">
        <v>459</v>
      </c>
      <c r="X2266" t="s">
        <v>331</v>
      </c>
      <c r="Y2266" t="s">
        <v>307</v>
      </c>
      <c r="Z2266">
        <v>70</v>
      </c>
      <c r="AA2266">
        <v>80</v>
      </c>
      <c r="AB2266" t="s">
        <v>143</v>
      </c>
      <c r="AC2266" t="s">
        <v>53</v>
      </c>
      <c r="AD2266" t="s">
        <v>404</v>
      </c>
      <c r="AE2266" t="str">
        <f>IF(AF2266="","",VLOOKUP(AC2266,mapel!$A$2:$B$42,2,FALSE))</f>
        <v>Sejarah</v>
      </c>
      <c r="AF2266">
        <f t="shared" si="105"/>
        <v>80</v>
      </c>
      <c r="AG2266" t="str">
        <f>IF(AF2266="","",IF(AF2266&gt;90,"Sangat baik",IF(AF2266&gt;79,"Baik",IF(AF2266&gt;=pub_gid_0_single_true_output_csv[[#This Row],[KKM]],"Cukup","Kurang"))))</f>
        <v>Baik</v>
      </c>
      <c r="AH2266">
        <f t="shared" si="106"/>
        <v>12</v>
      </c>
      <c r="AI2266" s="30" t="str">
        <f>IF(OR(J2266&lt;&gt;"Karakter",pub_gid_0_single_true_output_csv[[#This Row],[Nilai2]]=""),"",IF(AF2266&gt;89,"Sangat baik",IF(AF2266&gt;79,"Baik",IF(AF2266&gt;69,"Cukup",IF(AF2266&gt;59,"Kurang","Sangat kurang")))))</f>
        <v>Baik</v>
      </c>
      <c r="AJ2266" t="str">
        <f t="shared" si="107"/>
        <v>Wk.7</v>
      </c>
      <c r="AK2266" t="str">
        <f>IF(pub_gid_0_single_true_output_csv[[#This Row],[Nilai2]]="","",VLOOKUP(pub_gid_0_single_true_output_csv[[#This Row],[NAMA]],Table7[],3,FALSE))</f>
        <v>Average</v>
      </c>
    </row>
    <row r="2267" spans="1:37" x14ac:dyDescent="0.2">
      <c r="A2267">
        <v>2266</v>
      </c>
      <c r="B2267" t="s">
        <v>311</v>
      </c>
      <c r="C2267" t="s">
        <v>65</v>
      </c>
      <c r="D2267" t="s">
        <v>55</v>
      </c>
      <c r="E2267" t="s">
        <v>146</v>
      </c>
      <c r="F2267" s="25">
        <v>46071</v>
      </c>
      <c r="G2267" t="s">
        <v>323</v>
      </c>
      <c r="H2267" t="s">
        <v>412</v>
      </c>
      <c r="I2267" t="s">
        <v>371</v>
      </c>
      <c r="J2267" t="s">
        <v>279</v>
      </c>
      <c r="K2267" t="s">
        <v>280</v>
      </c>
      <c r="L2267" t="s">
        <v>322</v>
      </c>
      <c r="M2267" t="s">
        <v>141</v>
      </c>
      <c r="N2267" t="s">
        <v>142</v>
      </c>
      <c r="O2267" t="s">
        <v>327</v>
      </c>
      <c r="P2267" t="s">
        <v>281</v>
      </c>
      <c r="Q2267" t="s">
        <v>328</v>
      </c>
      <c r="R2267" t="s">
        <v>360</v>
      </c>
      <c r="S2267" t="s">
        <v>392</v>
      </c>
      <c r="T2267">
        <v>1</v>
      </c>
      <c r="U2267" t="s">
        <v>456</v>
      </c>
      <c r="V2267" t="s">
        <v>343</v>
      </c>
      <c r="W2267" t="s">
        <v>459</v>
      </c>
      <c r="X2267" t="s">
        <v>331</v>
      </c>
      <c r="Y2267" t="s">
        <v>307</v>
      </c>
      <c r="Z2267">
        <v>70</v>
      </c>
      <c r="AA2267">
        <v>70</v>
      </c>
      <c r="AB2267" t="s">
        <v>143</v>
      </c>
      <c r="AC2267" t="s">
        <v>53</v>
      </c>
      <c r="AD2267" t="s">
        <v>404</v>
      </c>
      <c r="AE2267" t="str">
        <f>IF(AF2267="","",VLOOKUP(AC2267,mapel!$A$2:$B$42,2,FALSE))</f>
        <v>Sejarah</v>
      </c>
      <c r="AF2267">
        <f t="shared" si="105"/>
        <v>70</v>
      </c>
      <c r="AG2267" t="str">
        <f>IF(AF2267="","",IF(AF2267&gt;90,"Sangat baik",IF(AF2267&gt;79,"Baik",IF(AF2267&gt;=pub_gid_0_single_true_output_csv[[#This Row],[KKM]],"Cukup","Kurang"))))</f>
        <v>Cukup</v>
      </c>
      <c r="AH2267">
        <f t="shared" si="106"/>
        <v>12</v>
      </c>
      <c r="AI2267" s="30" t="str">
        <f>IF(OR(J2267&lt;&gt;"Karakter",pub_gid_0_single_true_output_csv[[#This Row],[Nilai2]]=""),"",IF(AF2267&gt;89,"Sangat baik",IF(AF2267&gt;79,"Baik",IF(AF2267&gt;69,"Cukup",IF(AF2267&gt;59,"Kurang","Sangat kurang")))))</f>
        <v/>
      </c>
      <c r="AJ2267" t="str">
        <f t="shared" si="107"/>
        <v>Wk.8</v>
      </c>
      <c r="AK2267" t="str">
        <f>IF(pub_gid_0_single_true_output_csv[[#This Row],[Nilai2]]="","",VLOOKUP(pub_gid_0_single_true_output_csv[[#This Row],[NAMA]],Table7[],3,FALSE))</f>
        <v>Average</v>
      </c>
    </row>
    <row r="2268" spans="1:37" x14ac:dyDescent="0.2">
      <c r="A2268">
        <v>2267</v>
      </c>
      <c r="B2268" t="s">
        <v>311</v>
      </c>
      <c r="C2268" t="s">
        <v>65</v>
      </c>
      <c r="D2268" t="s">
        <v>55</v>
      </c>
      <c r="E2268" t="s">
        <v>146</v>
      </c>
      <c r="F2268" s="25">
        <v>46071</v>
      </c>
      <c r="G2268" t="s">
        <v>323</v>
      </c>
      <c r="H2268" t="s">
        <v>412</v>
      </c>
      <c r="I2268" t="s">
        <v>371</v>
      </c>
      <c r="J2268" t="s">
        <v>36</v>
      </c>
      <c r="K2268" t="s">
        <v>362</v>
      </c>
      <c r="L2268" t="s">
        <v>363</v>
      </c>
      <c r="M2268" t="s">
        <v>141</v>
      </c>
      <c r="N2268" t="s">
        <v>142</v>
      </c>
      <c r="O2268" t="s">
        <v>327</v>
      </c>
      <c r="P2268" t="s">
        <v>281</v>
      </c>
      <c r="Q2268" t="s">
        <v>328</v>
      </c>
      <c r="R2268" t="s">
        <v>360</v>
      </c>
      <c r="S2268" t="s">
        <v>375</v>
      </c>
      <c r="T2268">
        <v>1</v>
      </c>
      <c r="U2268" t="s">
        <v>456</v>
      </c>
      <c r="V2268" t="s">
        <v>342</v>
      </c>
      <c r="W2268" t="s">
        <v>458</v>
      </c>
      <c r="X2268" t="s">
        <v>331</v>
      </c>
      <c r="Y2268" t="s">
        <v>307</v>
      </c>
      <c r="Z2268">
        <v>70</v>
      </c>
      <c r="AA2268">
        <v>44</v>
      </c>
      <c r="AB2268" t="s">
        <v>151</v>
      </c>
      <c r="AC2268" t="s">
        <v>53</v>
      </c>
      <c r="AD2268" t="s">
        <v>404</v>
      </c>
      <c r="AE2268" t="str">
        <f>IF(AF2268="","",VLOOKUP(AC2268,mapel!$A$2:$B$42,2,FALSE))</f>
        <v>Sejarah</v>
      </c>
      <c r="AF2268">
        <f t="shared" si="105"/>
        <v>44</v>
      </c>
      <c r="AG2268" t="str">
        <f>IF(AF2268="","",IF(AF2268&gt;90,"Sangat baik",IF(AF2268&gt;79,"Baik",IF(AF2268&gt;=pub_gid_0_single_true_output_csv[[#This Row],[KKM]],"Cukup","Kurang"))))</f>
        <v>Kurang</v>
      </c>
      <c r="AH2268">
        <f t="shared" si="106"/>
        <v>12</v>
      </c>
      <c r="AI2268" s="30" t="str">
        <f>IF(OR(J2268&lt;&gt;"Karakter",pub_gid_0_single_true_output_csv[[#This Row],[Nilai2]]=""),"",IF(AF2268&gt;89,"Sangat baik",IF(AF2268&gt;79,"Baik",IF(AF2268&gt;69,"Cukup",IF(AF2268&gt;59,"Kurang","Sangat kurang")))))</f>
        <v/>
      </c>
      <c r="AJ2268" t="str">
        <f t="shared" si="107"/>
        <v>Wk.8</v>
      </c>
      <c r="AK2268" t="str">
        <f>IF(pub_gid_0_single_true_output_csv[[#This Row],[Nilai2]]="","",VLOOKUP(pub_gid_0_single_true_output_csv[[#This Row],[NAMA]],Table7[],3,FALSE))</f>
        <v>Average</v>
      </c>
    </row>
    <row r="2269" spans="1:37" x14ac:dyDescent="0.2">
      <c r="A2269">
        <v>2268</v>
      </c>
      <c r="B2269" t="s">
        <v>311</v>
      </c>
      <c r="C2269" t="s">
        <v>65</v>
      </c>
      <c r="D2269" t="s">
        <v>55</v>
      </c>
      <c r="E2269" t="s">
        <v>146</v>
      </c>
      <c r="F2269" s="25">
        <v>46071</v>
      </c>
      <c r="G2269" t="s">
        <v>323</v>
      </c>
      <c r="H2269" t="s">
        <v>412</v>
      </c>
      <c r="I2269" t="s">
        <v>371</v>
      </c>
      <c r="J2269" t="s">
        <v>31</v>
      </c>
      <c r="K2269" t="s">
        <v>96</v>
      </c>
      <c r="L2269" t="s">
        <v>363</v>
      </c>
      <c r="M2269" t="s">
        <v>141</v>
      </c>
      <c r="N2269" t="s">
        <v>142</v>
      </c>
      <c r="O2269" t="s">
        <v>327</v>
      </c>
      <c r="P2269" t="s">
        <v>281</v>
      </c>
      <c r="Q2269" t="s">
        <v>328</v>
      </c>
      <c r="R2269" t="s">
        <v>360</v>
      </c>
      <c r="S2269" t="s">
        <v>375</v>
      </c>
      <c r="T2269">
        <v>1</v>
      </c>
      <c r="U2269" t="s">
        <v>456</v>
      </c>
      <c r="V2269" t="s">
        <v>342</v>
      </c>
      <c r="W2269" t="s">
        <v>458</v>
      </c>
      <c r="X2269" t="s">
        <v>331</v>
      </c>
      <c r="Y2269" t="s">
        <v>307</v>
      </c>
      <c r="Z2269">
        <v>70</v>
      </c>
      <c r="AA2269">
        <v>70</v>
      </c>
      <c r="AB2269" t="s">
        <v>143</v>
      </c>
      <c r="AC2269" t="s">
        <v>53</v>
      </c>
      <c r="AD2269" t="s">
        <v>404</v>
      </c>
      <c r="AE2269" t="str">
        <f>IF(AF2269="","",VLOOKUP(AC2269,mapel!$A$2:$B$42,2,FALSE))</f>
        <v>Sejarah</v>
      </c>
      <c r="AF2269">
        <f t="shared" si="105"/>
        <v>70</v>
      </c>
      <c r="AG2269" t="str">
        <f>IF(AF2269="","",IF(AF2269&gt;90,"Sangat baik",IF(AF2269&gt;79,"Baik",IF(AF2269&gt;=pub_gid_0_single_true_output_csv[[#This Row],[KKM]],"Cukup","Kurang"))))</f>
        <v>Cukup</v>
      </c>
      <c r="AH2269">
        <f t="shared" si="106"/>
        <v>12</v>
      </c>
      <c r="AI2269" s="30" t="str">
        <f>IF(OR(J2269&lt;&gt;"Karakter",pub_gid_0_single_true_output_csv[[#This Row],[Nilai2]]=""),"",IF(AF2269&gt;89,"Sangat baik",IF(AF2269&gt;79,"Baik",IF(AF2269&gt;69,"Cukup",IF(AF2269&gt;59,"Kurang","Sangat kurang")))))</f>
        <v/>
      </c>
      <c r="AJ2269" t="str">
        <f t="shared" si="107"/>
        <v>Wk.8</v>
      </c>
      <c r="AK2269" t="str">
        <f>IF(pub_gid_0_single_true_output_csv[[#This Row],[Nilai2]]="","",VLOOKUP(pub_gid_0_single_true_output_csv[[#This Row],[NAMA]],Table7[],3,FALSE))</f>
        <v>Average</v>
      </c>
    </row>
    <row r="2270" spans="1:37" x14ac:dyDescent="0.2">
      <c r="A2270">
        <v>2269</v>
      </c>
      <c r="B2270" t="s">
        <v>312</v>
      </c>
      <c r="C2270" t="s">
        <v>65</v>
      </c>
      <c r="D2270" t="s">
        <v>56</v>
      </c>
      <c r="E2270" t="s">
        <v>156</v>
      </c>
      <c r="F2270" s="25">
        <v>46036</v>
      </c>
      <c r="G2270" t="s">
        <v>353</v>
      </c>
      <c r="H2270" t="s">
        <v>405</v>
      </c>
      <c r="I2270" t="s">
        <v>371</v>
      </c>
      <c r="J2270" t="s">
        <v>36</v>
      </c>
      <c r="K2270" t="s">
        <v>37</v>
      </c>
      <c r="L2270" t="s">
        <v>351</v>
      </c>
      <c r="M2270" t="s">
        <v>141</v>
      </c>
      <c r="N2270" t="s">
        <v>142</v>
      </c>
      <c r="O2270" t="s">
        <v>327</v>
      </c>
      <c r="P2270" t="s">
        <v>281</v>
      </c>
      <c r="Q2270" t="s">
        <v>328</v>
      </c>
      <c r="R2270" t="s">
        <v>360</v>
      </c>
      <c r="S2270" t="s">
        <v>330</v>
      </c>
      <c r="T2270">
        <v>1</v>
      </c>
      <c r="U2270" t="s">
        <v>456</v>
      </c>
      <c r="V2270" t="s">
        <v>285</v>
      </c>
      <c r="W2270" t="s">
        <v>457</v>
      </c>
      <c r="X2270" t="s">
        <v>331</v>
      </c>
      <c r="Y2270" t="s">
        <v>307</v>
      </c>
      <c r="Z2270">
        <v>70</v>
      </c>
      <c r="AA2270">
        <v>75</v>
      </c>
      <c r="AB2270" t="s">
        <v>143</v>
      </c>
      <c r="AC2270" t="s">
        <v>53</v>
      </c>
      <c r="AD2270" t="s">
        <v>404</v>
      </c>
      <c r="AE2270" t="str">
        <f>IF(AF2270="","",VLOOKUP(AC2270,mapel!$A$2:$B$42,2,FALSE))</f>
        <v>Sejarah</v>
      </c>
      <c r="AF2270">
        <f t="shared" si="105"/>
        <v>75</v>
      </c>
      <c r="AG2270" t="str">
        <f>IF(AF2270="","",IF(AF2270&gt;90,"Sangat baik",IF(AF2270&gt;79,"Baik",IF(AF2270&gt;=pub_gid_0_single_true_output_csv[[#This Row],[KKM]],"Cukup","Kurang"))))</f>
        <v>Cukup</v>
      </c>
      <c r="AH2270">
        <f t="shared" si="106"/>
        <v>12</v>
      </c>
      <c r="AI2270" s="30" t="str">
        <f>IF(OR(J2270&lt;&gt;"Karakter",pub_gid_0_single_true_output_csv[[#This Row],[Nilai2]]=""),"",IF(AF2270&gt;89,"Sangat baik",IF(AF2270&gt;79,"Baik",IF(AF2270&gt;69,"Cukup",IF(AF2270&gt;59,"Kurang","Sangat kurang")))))</f>
        <v/>
      </c>
      <c r="AJ2270" t="str">
        <f t="shared" si="107"/>
        <v>Wk.3</v>
      </c>
      <c r="AK2270" t="str">
        <f>IF(pub_gid_0_single_true_output_csv[[#This Row],[Nilai2]]="","",VLOOKUP(pub_gid_0_single_true_output_csv[[#This Row],[NAMA]],Table7[],3,FALSE))</f>
        <v>Superior</v>
      </c>
    </row>
    <row r="2271" spans="1:37" x14ac:dyDescent="0.2">
      <c r="A2271">
        <v>2270</v>
      </c>
      <c r="B2271" t="s">
        <v>312</v>
      </c>
      <c r="C2271" t="s">
        <v>65</v>
      </c>
      <c r="D2271" t="s">
        <v>56</v>
      </c>
      <c r="E2271" t="s">
        <v>156</v>
      </c>
      <c r="F2271" s="25">
        <v>46036</v>
      </c>
      <c r="G2271" t="s">
        <v>353</v>
      </c>
      <c r="H2271" t="s">
        <v>405</v>
      </c>
      <c r="I2271" t="s">
        <v>371</v>
      </c>
      <c r="J2271" t="s">
        <v>31</v>
      </c>
      <c r="K2271" t="s">
        <v>96</v>
      </c>
      <c r="L2271" t="s">
        <v>351</v>
      </c>
      <c r="M2271" t="s">
        <v>141</v>
      </c>
      <c r="N2271" t="s">
        <v>142</v>
      </c>
      <c r="O2271" t="s">
        <v>327</v>
      </c>
      <c r="P2271" t="s">
        <v>281</v>
      </c>
      <c r="Q2271" t="s">
        <v>328</v>
      </c>
      <c r="R2271" t="s">
        <v>360</v>
      </c>
      <c r="S2271" t="s">
        <v>330</v>
      </c>
      <c r="T2271">
        <v>1</v>
      </c>
      <c r="U2271" t="s">
        <v>456</v>
      </c>
      <c r="V2271" t="s">
        <v>285</v>
      </c>
      <c r="W2271" t="s">
        <v>457</v>
      </c>
      <c r="X2271" t="s">
        <v>331</v>
      </c>
      <c r="Y2271" t="s">
        <v>307</v>
      </c>
      <c r="Z2271">
        <v>70</v>
      </c>
      <c r="AA2271">
        <v>74</v>
      </c>
      <c r="AB2271" t="s">
        <v>143</v>
      </c>
      <c r="AC2271" t="s">
        <v>53</v>
      </c>
      <c r="AD2271" t="s">
        <v>404</v>
      </c>
      <c r="AE2271" t="str">
        <f>IF(AF2271="","",VLOOKUP(AC2271,mapel!$A$2:$B$42,2,FALSE))</f>
        <v>Sejarah</v>
      </c>
      <c r="AF2271">
        <f t="shared" si="105"/>
        <v>74</v>
      </c>
      <c r="AG2271" t="str">
        <f>IF(AF2271="","",IF(AF2271&gt;90,"Sangat baik",IF(AF2271&gt;79,"Baik",IF(AF2271&gt;=pub_gid_0_single_true_output_csv[[#This Row],[KKM]],"Cukup","Kurang"))))</f>
        <v>Cukup</v>
      </c>
      <c r="AH2271">
        <f t="shared" si="106"/>
        <v>12</v>
      </c>
      <c r="AI2271" s="30" t="str">
        <f>IF(OR(J2271&lt;&gt;"Karakter",pub_gid_0_single_true_output_csv[[#This Row],[Nilai2]]=""),"",IF(AF2271&gt;89,"Sangat baik",IF(AF2271&gt;79,"Baik",IF(AF2271&gt;69,"Cukup",IF(AF2271&gt;59,"Kurang","Sangat kurang")))))</f>
        <v/>
      </c>
      <c r="AJ2271" t="str">
        <f t="shared" si="107"/>
        <v>Wk.3</v>
      </c>
      <c r="AK2271" t="str">
        <f>IF(pub_gid_0_single_true_output_csv[[#This Row],[Nilai2]]="","",VLOOKUP(pub_gid_0_single_true_output_csv[[#This Row],[NAMA]],Table7[],3,FALSE))</f>
        <v>Superior</v>
      </c>
    </row>
    <row r="2272" spans="1:37" x14ac:dyDescent="0.2">
      <c r="A2272">
        <v>2271</v>
      </c>
      <c r="B2272" t="s">
        <v>312</v>
      </c>
      <c r="C2272" t="s">
        <v>65</v>
      </c>
      <c r="D2272" t="s">
        <v>56</v>
      </c>
      <c r="E2272" t="s">
        <v>156</v>
      </c>
      <c r="F2272" s="25">
        <v>46036</v>
      </c>
      <c r="G2272" t="s">
        <v>353</v>
      </c>
      <c r="H2272" t="s">
        <v>405</v>
      </c>
      <c r="I2272" t="s">
        <v>371</v>
      </c>
      <c r="J2272" t="s">
        <v>90</v>
      </c>
      <c r="K2272" t="s">
        <v>92</v>
      </c>
      <c r="L2272" t="s">
        <v>91</v>
      </c>
      <c r="M2272" t="s">
        <v>141</v>
      </c>
      <c r="N2272" t="s">
        <v>142</v>
      </c>
      <c r="O2272" t="s">
        <v>327</v>
      </c>
      <c r="P2272" t="s">
        <v>281</v>
      </c>
      <c r="Q2272" t="s">
        <v>328</v>
      </c>
      <c r="R2272" t="s">
        <v>360</v>
      </c>
      <c r="S2272" t="s">
        <v>330</v>
      </c>
      <c r="T2272">
        <v>1</v>
      </c>
      <c r="U2272" t="s">
        <v>456</v>
      </c>
      <c r="V2272" t="s">
        <v>285</v>
      </c>
      <c r="W2272" t="s">
        <v>457</v>
      </c>
      <c r="X2272" t="s">
        <v>331</v>
      </c>
      <c r="Y2272" t="s">
        <v>307</v>
      </c>
      <c r="Z2272">
        <v>70</v>
      </c>
      <c r="AA2272">
        <v>78</v>
      </c>
      <c r="AB2272" t="s">
        <v>143</v>
      </c>
      <c r="AC2272" t="s">
        <v>53</v>
      </c>
      <c r="AD2272" t="s">
        <v>404</v>
      </c>
      <c r="AE2272" t="str">
        <f>IF(AF2272="","",VLOOKUP(AC2272,mapel!$A$2:$B$42,2,FALSE))</f>
        <v>Sejarah</v>
      </c>
      <c r="AF2272">
        <f t="shared" si="105"/>
        <v>78</v>
      </c>
      <c r="AG2272" t="str">
        <f>IF(AF2272="","",IF(AF2272&gt;90,"Sangat baik",IF(AF2272&gt;79,"Baik",IF(AF2272&gt;=pub_gid_0_single_true_output_csv[[#This Row],[KKM]],"Cukup","Kurang"))))</f>
        <v>Cukup</v>
      </c>
      <c r="AH2272">
        <f t="shared" si="106"/>
        <v>12</v>
      </c>
      <c r="AI2272" s="30" t="str">
        <f>IF(OR(J2272&lt;&gt;"Karakter",pub_gid_0_single_true_output_csv[[#This Row],[Nilai2]]=""),"",IF(AF2272&gt;89,"Sangat baik",IF(AF2272&gt;79,"Baik",IF(AF2272&gt;69,"Cukup",IF(AF2272&gt;59,"Kurang","Sangat kurang")))))</f>
        <v>Cukup</v>
      </c>
      <c r="AJ2272" t="str">
        <f t="shared" si="107"/>
        <v>Wk.3</v>
      </c>
      <c r="AK2272" t="str">
        <f>IF(pub_gid_0_single_true_output_csv[[#This Row],[Nilai2]]="","",VLOOKUP(pub_gid_0_single_true_output_csv[[#This Row],[NAMA]],Table7[],3,FALSE))</f>
        <v>Superior</v>
      </c>
    </row>
    <row r="2273" spans="1:37" x14ac:dyDescent="0.2">
      <c r="A2273">
        <v>2272</v>
      </c>
      <c r="B2273" t="s">
        <v>312</v>
      </c>
      <c r="C2273" t="s">
        <v>65</v>
      </c>
      <c r="D2273" t="s">
        <v>56</v>
      </c>
      <c r="E2273" t="s">
        <v>156</v>
      </c>
      <c r="F2273" s="25">
        <v>46036</v>
      </c>
      <c r="G2273" t="s">
        <v>353</v>
      </c>
      <c r="H2273" t="s">
        <v>405</v>
      </c>
      <c r="I2273" t="s">
        <v>371</v>
      </c>
      <c r="J2273" t="s">
        <v>279</v>
      </c>
      <c r="K2273" t="s">
        <v>280</v>
      </c>
      <c r="L2273" t="s">
        <v>322</v>
      </c>
      <c r="M2273" t="s">
        <v>141</v>
      </c>
      <c r="N2273" t="s">
        <v>142</v>
      </c>
      <c r="O2273" t="s">
        <v>327</v>
      </c>
      <c r="P2273" t="s">
        <v>281</v>
      </c>
      <c r="Q2273" t="s">
        <v>328</v>
      </c>
      <c r="R2273" t="s">
        <v>360</v>
      </c>
      <c r="S2273" t="s">
        <v>330</v>
      </c>
      <c r="T2273">
        <v>1</v>
      </c>
      <c r="U2273" t="s">
        <v>456</v>
      </c>
      <c r="V2273" t="s">
        <v>285</v>
      </c>
      <c r="W2273" t="s">
        <v>457</v>
      </c>
      <c r="X2273" t="s">
        <v>331</v>
      </c>
      <c r="Y2273" t="s">
        <v>307</v>
      </c>
      <c r="Z2273">
        <v>70</v>
      </c>
      <c r="AA2273">
        <v>76</v>
      </c>
      <c r="AB2273" t="s">
        <v>143</v>
      </c>
      <c r="AC2273" t="s">
        <v>53</v>
      </c>
      <c r="AD2273" t="s">
        <v>404</v>
      </c>
      <c r="AE2273" t="str">
        <f>IF(AF2273="","",VLOOKUP(AC2273,mapel!$A$2:$B$42,2,FALSE))</f>
        <v>Sejarah</v>
      </c>
      <c r="AF2273">
        <f t="shared" si="105"/>
        <v>76</v>
      </c>
      <c r="AG2273" t="str">
        <f>IF(AF2273="","",IF(AF2273&gt;90,"Sangat baik",IF(AF2273&gt;79,"Baik",IF(AF2273&gt;=pub_gid_0_single_true_output_csv[[#This Row],[KKM]],"Cukup","Kurang"))))</f>
        <v>Cukup</v>
      </c>
      <c r="AH2273">
        <f t="shared" si="106"/>
        <v>12</v>
      </c>
      <c r="AI2273" s="30" t="str">
        <f>IF(OR(J2273&lt;&gt;"Karakter",pub_gid_0_single_true_output_csv[[#This Row],[Nilai2]]=""),"",IF(AF2273&gt;89,"Sangat baik",IF(AF2273&gt;79,"Baik",IF(AF2273&gt;69,"Cukup",IF(AF2273&gt;59,"Kurang","Sangat kurang")))))</f>
        <v/>
      </c>
      <c r="AJ2273" t="str">
        <f t="shared" si="107"/>
        <v>Wk.3</v>
      </c>
      <c r="AK2273" t="str">
        <f>IF(pub_gid_0_single_true_output_csv[[#This Row],[Nilai2]]="","",VLOOKUP(pub_gid_0_single_true_output_csv[[#This Row],[NAMA]],Table7[],3,FALSE))</f>
        <v>Superior</v>
      </c>
    </row>
    <row r="2274" spans="1:37" x14ac:dyDescent="0.2">
      <c r="A2274">
        <v>2273</v>
      </c>
      <c r="B2274" t="s">
        <v>312</v>
      </c>
      <c r="C2274" t="s">
        <v>65</v>
      </c>
      <c r="D2274" t="s">
        <v>56</v>
      </c>
      <c r="E2274" t="s">
        <v>156</v>
      </c>
      <c r="F2274" s="25">
        <v>46043</v>
      </c>
      <c r="G2274" t="s">
        <v>341</v>
      </c>
      <c r="H2274" t="s">
        <v>405</v>
      </c>
      <c r="I2274" t="s">
        <v>371</v>
      </c>
      <c r="J2274" t="s">
        <v>36</v>
      </c>
      <c r="K2274" t="s">
        <v>37</v>
      </c>
      <c r="L2274" t="s">
        <v>351</v>
      </c>
      <c r="M2274" t="s">
        <v>141</v>
      </c>
      <c r="N2274" t="s">
        <v>142</v>
      </c>
      <c r="O2274" t="s">
        <v>327</v>
      </c>
      <c r="P2274" t="s">
        <v>281</v>
      </c>
      <c r="Q2274" t="s">
        <v>328</v>
      </c>
      <c r="R2274" t="s">
        <v>360</v>
      </c>
      <c r="S2274" t="s">
        <v>330</v>
      </c>
      <c r="T2274">
        <v>1</v>
      </c>
      <c r="U2274" t="s">
        <v>456</v>
      </c>
      <c r="V2274" t="s">
        <v>285</v>
      </c>
      <c r="W2274" t="s">
        <v>457</v>
      </c>
      <c r="X2274" t="s">
        <v>331</v>
      </c>
      <c r="Y2274" t="s">
        <v>307</v>
      </c>
      <c r="Z2274">
        <v>70</v>
      </c>
      <c r="AA2274">
        <v>80</v>
      </c>
      <c r="AB2274" t="s">
        <v>143</v>
      </c>
      <c r="AC2274" t="s">
        <v>53</v>
      </c>
      <c r="AD2274" t="s">
        <v>404</v>
      </c>
      <c r="AE2274" t="str">
        <f>IF(AF2274="","",VLOOKUP(AC2274,mapel!$A$2:$B$42,2,FALSE))</f>
        <v>Sejarah</v>
      </c>
      <c r="AF2274">
        <f t="shared" si="105"/>
        <v>80</v>
      </c>
      <c r="AG2274" t="str">
        <f>IF(AF2274="","",IF(AF2274&gt;90,"Sangat baik",IF(AF2274&gt;79,"Baik",IF(AF2274&gt;=pub_gid_0_single_true_output_csv[[#This Row],[KKM]],"Cukup","Kurang"))))</f>
        <v>Baik</v>
      </c>
      <c r="AH2274">
        <f t="shared" si="106"/>
        <v>12</v>
      </c>
      <c r="AI2274" s="30" t="str">
        <f>IF(OR(J2274&lt;&gt;"Karakter",pub_gid_0_single_true_output_csv[[#This Row],[Nilai2]]=""),"",IF(AF2274&gt;89,"Sangat baik",IF(AF2274&gt;79,"Baik",IF(AF2274&gt;69,"Cukup",IF(AF2274&gt;59,"Kurang","Sangat kurang")))))</f>
        <v/>
      </c>
      <c r="AJ2274" t="str">
        <f t="shared" si="107"/>
        <v>Wk.4</v>
      </c>
      <c r="AK2274" t="str">
        <f>IF(pub_gid_0_single_true_output_csv[[#This Row],[Nilai2]]="","",VLOOKUP(pub_gid_0_single_true_output_csv[[#This Row],[NAMA]],Table7[],3,FALSE))</f>
        <v>Superior</v>
      </c>
    </row>
    <row r="2275" spans="1:37" x14ac:dyDescent="0.2">
      <c r="A2275">
        <v>2274</v>
      </c>
      <c r="B2275" t="s">
        <v>312</v>
      </c>
      <c r="C2275" t="s">
        <v>65</v>
      </c>
      <c r="D2275" t="s">
        <v>56</v>
      </c>
      <c r="E2275" t="s">
        <v>156</v>
      </c>
      <c r="F2275" s="25">
        <v>46043</v>
      </c>
      <c r="G2275" t="s">
        <v>341</v>
      </c>
      <c r="H2275" t="s">
        <v>405</v>
      </c>
      <c r="I2275" t="s">
        <v>371</v>
      </c>
      <c r="J2275" t="s">
        <v>31</v>
      </c>
      <c r="K2275" t="s">
        <v>96</v>
      </c>
      <c r="L2275" t="s">
        <v>367</v>
      </c>
      <c r="M2275" t="s">
        <v>141</v>
      </c>
      <c r="N2275" t="s">
        <v>142</v>
      </c>
      <c r="O2275" t="s">
        <v>327</v>
      </c>
      <c r="P2275" t="s">
        <v>281</v>
      </c>
      <c r="Q2275" t="s">
        <v>328</v>
      </c>
      <c r="R2275" t="s">
        <v>360</v>
      </c>
      <c r="S2275" t="s">
        <v>330</v>
      </c>
      <c r="T2275">
        <v>1</v>
      </c>
      <c r="U2275" t="s">
        <v>456</v>
      </c>
      <c r="V2275" t="s">
        <v>285</v>
      </c>
      <c r="W2275" t="s">
        <v>457</v>
      </c>
      <c r="X2275" t="s">
        <v>331</v>
      </c>
      <c r="Y2275" t="s">
        <v>307</v>
      </c>
      <c r="Z2275">
        <v>70</v>
      </c>
      <c r="AA2275">
        <v>75</v>
      </c>
      <c r="AB2275" t="s">
        <v>143</v>
      </c>
      <c r="AC2275" t="s">
        <v>53</v>
      </c>
      <c r="AD2275" t="s">
        <v>404</v>
      </c>
      <c r="AE2275" t="str">
        <f>IF(AF2275="","",VLOOKUP(AC2275,mapel!$A$2:$B$42,2,FALSE))</f>
        <v>Sejarah</v>
      </c>
      <c r="AF2275">
        <f t="shared" si="105"/>
        <v>75</v>
      </c>
      <c r="AG2275" t="str">
        <f>IF(AF2275="","",IF(AF2275&gt;90,"Sangat baik",IF(AF2275&gt;79,"Baik",IF(AF2275&gt;=pub_gid_0_single_true_output_csv[[#This Row],[KKM]],"Cukup","Kurang"))))</f>
        <v>Cukup</v>
      </c>
      <c r="AH2275">
        <f t="shared" si="106"/>
        <v>12</v>
      </c>
      <c r="AI2275" s="30" t="str">
        <f>IF(OR(J2275&lt;&gt;"Karakter",pub_gid_0_single_true_output_csv[[#This Row],[Nilai2]]=""),"",IF(AF2275&gt;89,"Sangat baik",IF(AF2275&gt;79,"Baik",IF(AF2275&gt;69,"Cukup",IF(AF2275&gt;59,"Kurang","Sangat kurang")))))</f>
        <v/>
      </c>
      <c r="AJ2275" t="str">
        <f t="shared" si="107"/>
        <v>Wk.4</v>
      </c>
      <c r="AK2275" t="str">
        <f>IF(pub_gid_0_single_true_output_csv[[#This Row],[Nilai2]]="","",VLOOKUP(pub_gid_0_single_true_output_csv[[#This Row],[NAMA]],Table7[],3,FALSE))</f>
        <v>Superior</v>
      </c>
    </row>
    <row r="2276" spans="1:37" x14ac:dyDescent="0.2">
      <c r="A2276">
        <v>2275</v>
      </c>
      <c r="B2276" t="s">
        <v>312</v>
      </c>
      <c r="C2276" t="s">
        <v>65</v>
      </c>
      <c r="D2276" t="s">
        <v>56</v>
      </c>
      <c r="E2276" t="s">
        <v>156</v>
      </c>
      <c r="F2276" s="25">
        <v>46043</v>
      </c>
      <c r="G2276" t="s">
        <v>341</v>
      </c>
      <c r="H2276" t="s">
        <v>405</v>
      </c>
      <c r="I2276" t="s">
        <v>371</v>
      </c>
      <c r="J2276" t="s">
        <v>90</v>
      </c>
      <c r="K2276" t="s">
        <v>92</v>
      </c>
      <c r="L2276" t="s">
        <v>93</v>
      </c>
      <c r="M2276" t="s">
        <v>141</v>
      </c>
      <c r="N2276" t="s">
        <v>142</v>
      </c>
      <c r="O2276" t="s">
        <v>327</v>
      </c>
      <c r="P2276" t="s">
        <v>281</v>
      </c>
      <c r="Q2276" t="s">
        <v>328</v>
      </c>
      <c r="R2276" t="s">
        <v>360</v>
      </c>
      <c r="S2276" t="s">
        <v>330</v>
      </c>
      <c r="T2276">
        <v>1</v>
      </c>
      <c r="U2276" t="s">
        <v>456</v>
      </c>
      <c r="V2276" t="s">
        <v>285</v>
      </c>
      <c r="W2276" t="s">
        <v>457</v>
      </c>
      <c r="X2276" t="s">
        <v>331</v>
      </c>
      <c r="Y2276" t="s">
        <v>307</v>
      </c>
      <c r="Z2276">
        <v>70</v>
      </c>
      <c r="AA2276">
        <v>80</v>
      </c>
      <c r="AB2276" t="s">
        <v>143</v>
      </c>
      <c r="AC2276" t="s">
        <v>53</v>
      </c>
      <c r="AD2276" t="s">
        <v>404</v>
      </c>
      <c r="AE2276" t="str">
        <f>IF(AF2276="","",VLOOKUP(AC2276,mapel!$A$2:$B$42,2,FALSE))</f>
        <v>Sejarah</v>
      </c>
      <c r="AF2276">
        <f t="shared" si="105"/>
        <v>80</v>
      </c>
      <c r="AG2276" t="str">
        <f>IF(AF2276="","",IF(AF2276&gt;90,"Sangat baik",IF(AF2276&gt;79,"Baik",IF(AF2276&gt;=pub_gid_0_single_true_output_csv[[#This Row],[KKM]],"Cukup","Kurang"))))</f>
        <v>Baik</v>
      </c>
      <c r="AH2276">
        <f t="shared" si="106"/>
        <v>12</v>
      </c>
      <c r="AI2276" s="30" t="str">
        <f>IF(OR(J2276&lt;&gt;"Karakter",pub_gid_0_single_true_output_csv[[#This Row],[Nilai2]]=""),"",IF(AF2276&gt;89,"Sangat baik",IF(AF2276&gt;79,"Baik",IF(AF2276&gt;69,"Cukup",IF(AF2276&gt;59,"Kurang","Sangat kurang")))))</f>
        <v>Baik</v>
      </c>
      <c r="AJ2276" t="str">
        <f t="shared" si="107"/>
        <v>Wk.4</v>
      </c>
      <c r="AK2276" t="str">
        <f>IF(pub_gid_0_single_true_output_csv[[#This Row],[Nilai2]]="","",VLOOKUP(pub_gid_0_single_true_output_csv[[#This Row],[NAMA]],Table7[],3,FALSE))</f>
        <v>Superior</v>
      </c>
    </row>
    <row r="2277" spans="1:37" x14ac:dyDescent="0.2">
      <c r="A2277">
        <v>2276</v>
      </c>
      <c r="B2277" t="s">
        <v>312</v>
      </c>
      <c r="C2277" t="s">
        <v>65</v>
      </c>
      <c r="D2277" t="s">
        <v>56</v>
      </c>
      <c r="E2277" t="s">
        <v>156</v>
      </c>
      <c r="F2277" s="25">
        <v>46043</v>
      </c>
      <c r="G2277" t="s">
        <v>341</v>
      </c>
      <c r="H2277" t="s">
        <v>405</v>
      </c>
      <c r="I2277" t="s">
        <v>371</v>
      </c>
      <c r="J2277" t="s">
        <v>279</v>
      </c>
      <c r="K2277" t="s">
        <v>280</v>
      </c>
      <c r="L2277" t="s">
        <v>322</v>
      </c>
      <c r="M2277" t="s">
        <v>141</v>
      </c>
      <c r="N2277" t="s">
        <v>142</v>
      </c>
      <c r="O2277" t="s">
        <v>327</v>
      </c>
      <c r="P2277" t="s">
        <v>281</v>
      </c>
      <c r="Q2277" t="s">
        <v>328</v>
      </c>
      <c r="R2277" t="s">
        <v>360</v>
      </c>
      <c r="S2277" t="s">
        <v>330</v>
      </c>
      <c r="T2277">
        <v>1</v>
      </c>
      <c r="U2277" t="s">
        <v>456</v>
      </c>
      <c r="V2277" t="s">
        <v>285</v>
      </c>
      <c r="W2277" t="s">
        <v>457</v>
      </c>
      <c r="X2277" t="s">
        <v>331</v>
      </c>
      <c r="Y2277" t="s">
        <v>307</v>
      </c>
      <c r="Z2277">
        <v>70</v>
      </c>
      <c r="AA2277">
        <v>70</v>
      </c>
      <c r="AB2277" t="s">
        <v>143</v>
      </c>
      <c r="AC2277" t="s">
        <v>53</v>
      </c>
      <c r="AD2277" t="s">
        <v>404</v>
      </c>
      <c r="AE2277" t="str">
        <f>IF(AF2277="","",VLOOKUP(AC2277,mapel!$A$2:$B$42,2,FALSE))</f>
        <v>Sejarah</v>
      </c>
      <c r="AF2277">
        <f t="shared" si="105"/>
        <v>70</v>
      </c>
      <c r="AG2277" t="str">
        <f>IF(AF2277="","",IF(AF2277&gt;90,"Sangat baik",IF(AF2277&gt;79,"Baik",IF(AF2277&gt;=pub_gid_0_single_true_output_csv[[#This Row],[KKM]],"Cukup","Kurang"))))</f>
        <v>Cukup</v>
      </c>
      <c r="AH2277">
        <f t="shared" si="106"/>
        <v>12</v>
      </c>
      <c r="AI2277" s="30" t="str">
        <f>IF(OR(J2277&lt;&gt;"Karakter",pub_gid_0_single_true_output_csv[[#This Row],[Nilai2]]=""),"",IF(AF2277&gt;89,"Sangat baik",IF(AF2277&gt;79,"Baik",IF(AF2277&gt;69,"Cukup",IF(AF2277&gt;59,"Kurang","Sangat kurang")))))</f>
        <v/>
      </c>
      <c r="AJ2277" t="str">
        <f t="shared" si="107"/>
        <v>Wk.4</v>
      </c>
      <c r="AK2277" t="str">
        <f>IF(pub_gid_0_single_true_output_csv[[#This Row],[Nilai2]]="","",VLOOKUP(pub_gid_0_single_true_output_csv[[#This Row],[NAMA]],Table7[],3,FALSE))</f>
        <v>Superior</v>
      </c>
    </row>
    <row r="2278" spans="1:37" x14ac:dyDescent="0.2">
      <c r="A2278">
        <v>2277</v>
      </c>
      <c r="B2278" t="s">
        <v>312</v>
      </c>
      <c r="C2278" t="s">
        <v>65</v>
      </c>
      <c r="D2278" t="s">
        <v>56</v>
      </c>
      <c r="E2278" t="s">
        <v>156</v>
      </c>
      <c r="F2278" s="25">
        <v>46050</v>
      </c>
      <c r="G2278" t="s">
        <v>308</v>
      </c>
      <c r="H2278" t="s">
        <v>405</v>
      </c>
      <c r="I2278" t="s">
        <v>371</v>
      </c>
      <c r="J2278" t="s">
        <v>36</v>
      </c>
      <c r="K2278" t="s">
        <v>37</v>
      </c>
      <c r="L2278" t="s">
        <v>351</v>
      </c>
      <c r="M2278" t="s">
        <v>141</v>
      </c>
      <c r="N2278" t="s">
        <v>142</v>
      </c>
      <c r="O2278" t="s">
        <v>327</v>
      </c>
      <c r="P2278" t="s">
        <v>281</v>
      </c>
      <c r="Q2278" t="s">
        <v>328</v>
      </c>
      <c r="R2278" t="s">
        <v>360</v>
      </c>
      <c r="S2278" t="s">
        <v>375</v>
      </c>
      <c r="T2278">
        <v>1</v>
      </c>
      <c r="U2278" t="s">
        <v>456</v>
      </c>
      <c r="V2278" t="s">
        <v>342</v>
      </c>
      <c r="W2278" t="s">
        <v>458</v>
      </c>
      <c r="X2278" t="s">
        <v>331</v>
      </c>
      <c r="Y2278" t="s">
        <v>307</v>
      </c>
      <c r="Z2278">
        <v>70</v>
      </c>
      <c r="AA2278">
        <v>78</v>
      </c>
      <c r="AB2278" t="s">
        <v>143</v>
      </c>
      <c r="AC2278" t="s">
        <v>53</v>
      </c>
      <c r="AD2278" t="s">
        <v>404</v>
      </c>
      <c r="AE2278" t="str">
        <f>IF(AF2278="","",VLOOKUP(AC2278,mapel!$A$2:$B$42,2,FALSE))</f>
        <v>Sejarah</v>
      </c>
      <c r="AF2278">
        <f t="shared" si="105"/>
        <v>78</v>
      </c>
      <c r="AG2278" t="str">
        <f>IF(AF2278="","",IF(AF2278&gt;90,"Sangat baik",IF(AF2278&gt;79,"Baik",IF(AF2278&gt;=pub_gid_0_single_true_output_csv[[#This Row],[KKM]],"Cukup","Kurang"))))</f>
        <v>Cukup</v>
      </c>
      <c r="AH2278">
        <f t="shared" si="106"/>
        <v>12</v>
      </c>
      <c r="AI2278" s="30" t="str">
        <f>IF(OR(J2278&lt;&gt;"Karakter",pub_gid_0_single_true_output_csv[[#This Row],[Nilai2]]=""),"",IF(AF2278&gt;89,"Sangat baik",IF(AF2278&gt;79,"Baik",IF(AF2278&gt;69,"Cukup",IF(AF2278&gt;59,"Kurang","Sangat kurang")))))</f>
        <v/>
      </c>
      <c r="AJ2278" t="str">
        <f t="shared" si="107"/>
        <v>Wk.5</v>
      </c>
      <c r="AK2278" t="str">
        <f>IF(pub_gid_0_single_true_output_csv[[#This Row],[Nilai2]]="","",VLOOKUP(pub_gid_0_single_true_output_csv[[#This Row],[NAMA]],Table7[],3,FALSE))</f>
        <v>Superior</v>
      </c>
    </row>
    <row r="2279" spans="1:37" x14ac:dyDescent="0.2">
      <c r="A2279">
        <v>2278</v>
      </c>
      <c r="B2279" t="s">
        <v>312</v>
      </c>
      <c r="C2279" t="s">
        <v>65</v>
      </c>
      <c r="D2279" t="s">
        <v>56</v>
      </c>
      <c r="E2279" t="s">
        <v>156</v>
      </c>
      <c r="F2279" s="25">
        <v>46050</v>
      </c>
      <c r="G2279" t="s">
        <v>308</v>
      </c>
      <c r="H2279" t="s">
        <v>405</v>
      </c>
      <c r="I2279" t="s">
        <v>371</v>
      </c>
      <c r="J2279" t="s">
        <v>31</v>
      </c>
      <c r="K2279" t="s">
        <v>96</v>
      </c>
      <c r="L2279" t="s">
        <v>351</v>
      </c>
      <c r="M2279" t="s">
        <v>141</v>
      </c>
      <c r="N2279" t="s">
        <v>142</v>
      </c>
      <c r="O2279" t="s">
        <v>327</v>
      </c>
      <c r="P2279" t="s">
        <v>281</v>
      </c>
      <c r="Q2279" t="s">
        <v>328</v>
      </c>
      <c r="R2279" t="s">
        <v>360</v>
      </c>
      <c r="S2279" t="s">
        <v>375</v>
      </c>
      <c r="T2279">
        <v>1</v>
      </c>
      <c r="U2279" t="s">
        <v>456</v>
      </c>
      <c r="V2279" t="s">
        <v>342</v>
      </c>
      <c r="W2279" t="s">
        <v>458</v>
      </c>
      <c r="X2279" t="s">
        <v>331</v>
      </c>
      <c r="Y2279" t="s">
        <v>307</v>
      </c>
      <c r="Z2279">
        <v>70</v>
      </c>
      <c r="AA2279">
        <v>75</v>
      </c>
      <c r="AB2279" t="s">
        <v>143</v>
      </c>
      <c r="AC2279" t="s">
        <v>53</v>
      </c>
      <c r="AD2279" t="s">
        <v>404</v>
      </c>
      <c r="AE2279" t="str">
        <f>IF(AF2279="","",VLOOKUP(AC2279,mapel!$A$2:$B$42,2,FALSE))</f>
        <v>Sejarah</v>
      </c>
      <c r="AF2279">
        <f t="shared" si="105"/>
        <v>75</v>
      </c>
      <c r="AG2279" t="str">
        <f>IF(AF2279="","",IF(AF2279&gt;90,"Sangat baik",IF(AF2279&gt;79,"Baik",IF(AF2279&gt;=pub_gid_0_single_true_output_csv[[#This Row],[KKM]],"Cukup","Kurang"))))</f>
        <v>Cukup</v>
      </c>
      <c r="AH2279">
        <f t="shared" si="106"/>
        <v>12</v>
      </c>
      <c r="AI2279" s="30" t="str">
        <f>IF(OR(J2279&lt;&gt;"Karakter",pub_gid_0_single_true_output_csv[[#This Row],[Nilai2]]=""),"",IF(AF2279&gt;89,"Sangat baik",IF(AF2279&gt;79,"Baik",IF(AF2279&gt;69,"Cukup",IF(AF2279&gt;59,"Kurang","Sangat kurang")))))</f>
        <v/>
      </c>
      <c r="AJ2279" t="str">
        <f t="shared" si="107"/>
        <v>Wk.5</v>
      </c>
      <c r="AK2279" t="str">
        <f>IF(pub_gid_0_single_true_output_csv[[#This Row],[Nilai2]]="","",VLOOKUP(pub_gid_0_single_true_output_csv[[#This Row],[NAMA]],Table7[],3,FALSE))</f>
        <v>Superior</v>
      </c>
    </row>
    <row r="2280" spans="1:37" x14ac:dyDescent="0.2">
      <c r="A2280">
        <v>2279</v>
      </c>
      <c r="B2280" t="s">
        <v>312</v>
      </c>
      <c r="C2280" t="s">
        <v>65</v>
      </c>
      <c r="D2280" t="s">
        <v>56</v>
      </c>
      <c r="E2280" t="s">
        <v>156</v>
      </c>
      <c r="F2280" s="25">
        <v>46050</v>
      </c>
      <c r="G2280" t="s">
        <v>308</v>
      </c>
      <c r="H2280" t="s">
        <v>405</v>
      </c>
      <c r="I2280" t="s">
        <v>371</v>
      </c>
      <c r="J2280" t="s">
        <v>90</v>
      </c>
      <c r="K2280" t="s">
        <v>92</v>
      </c>
      <c r="L2280" t="s">
        <v>93</v>
      </c>
      <c r="M2280" t="s">
        <v>141</v>
      </c>
      <c r="N2280" t="s">
        <v>142</v>
      </c>
      <c r="O2280" t="s">
        <v>327</v>
      </c>
      <c r="P2280" t="s">
        <v>281</v>
      </c>
      <c r="Q2280" t="s">
        <v>328</v>
      </c>
      <c r="R2280" t="s">
        <v>360</v>
      </c>
      <c r="S2280" t="s">
        <v>375</v>
      </c>
      <c r="T2280">
        <v>1</v>
      </c>
      <c r="U2280" t="s">
        <v>456</v>
      </c>
      <c r="V2280" t="s">
        <v>342</v>
      </c>
      <c r="W2280" t="s">
        <v>458</v>
      </c>
      <c r="X2280" t="s">
        <v>331</v>
      </c>
      <c r="Y2280" t="s">
        <v>307</v>
      </c>
      <c r="Z2280">
        <v>70</v>
      </c>
      <c r="AA2280">
        <v>70</v>
      </c>
      <c r="AB2280" t="s">
        <v>143</v>
      </c>
      <c r="AC2280" t="s">
        <v>53</v>
      </c>
      <c r="AD2280" t="s">
        <v>404</v>
      </c>
      <c r="AE2280" t="str">
        <f>IF(AF2280="","",VLOOKUP(AC2280,mapel!$A$2:$B$42,2,FALSE))</f>
        <v>Sejarah</v>
      </c>
      <c r="AF2280">
        <f t="shared" si="105"/>
        <v>70</v>
      </c>
      <c r="AG2280" t="str">
        <f>IF(AF2280="","",IF(AF2280&gt;90,"Sangat baik",IF(AF2280&gt;79,"Baik",IF(AF2280&gt;=pub_gid_0_single_true_output_csv[[#This Row],[KKM]],"Cukup","Kurang"))))</f>
        <v>Cukup</v>
      </c>
      <c r="AH2280">
        <f t="shared" si="106"/>
        <v>12</v>
      </c>
      <c r="AI2280" s="30" t="str">
        <f>IF(OR(J2280&lt;&gt;"Karakter",pub_gid_0_single_true_output_csv[[#This Row],[Nilai2]]=""),"",IF(AF2280&gt;89,"Sangat baik",IF(AF2280&gt;79,"Baik",IF(AF2280&gt;69,"Cukup",IF(AF2280&gt;59,"Kurang","Sangat kurang")))))</f>
        <v>Cukup</v>
      </c>
      <c r="AJ2280" t="str">
        <f t="shared" si="107"/>
        <v>Wk.5</v>
      </c>
      <c r="AK2280" t="str">
        <f>IF(pub_gid_0_single_true_output_csv[[#This Row],[Nilai2]]="","",VLOOKUP(pub_gid_0_single_true_output_csv[[#This Row],[NAMA]],Table7[],3,FALSE))</f>
        <v>Superior</v>
      </c>
    </row>
    <row r="2281" spans="1:37" x14ac:dyDescent="0.2">
      <c r="A2281">
        <v>2280</v>
      </c>
      <c r="B2281" t="s">
        <v>312</v>
      </c>
      <c r="C2281" t="s">
        <v>65</v>
      </c>
      <c r="D2281" t="s">
        <v>56</v>
      </c>
      <c r="E2281" t="s">
        <v>156</v>
      </c>
      <c r="F2281" s="25">
        <v>46050</v>
      </c>
      <c r="G2281" t="s">
        <v>308</v>
      </c>
      <c r="H2281" t="s">
        <v>405</v>
      </c>
      <c r="I2281" t="s">
        <v>371</v>
      </c>
      <c r="J2281" t="s">
        <v>279</v>
      </c>
      <c r="K2281" t="s">
        <v>280</v>
      </c>
      <c r="L2281" t="s">
        <v>322</v>
      </c>
      <c r="M2281" t="s">
        <v>141</v>
      </c>
      <c r="N2281" t="s">
        <v>142</v>
      </c>
      <c r="O2281" t="s">
        <v>327</v>
      </c>
      <c r="P2281" t="s">
        <v>281</v>
      </c>
      <c r="Q2281" t="s">
        <v>328</v>
      </c>
      <c r="R2281" t="s">
        <v>360</v>
      </c>
      <c r="S2281" t="s">
        <v>375</v>
      </c>
      <c r="T2281">
        <v>1</v>
      </c>
      <c r="U2281" t="s">
        <v>456</v>
      </c>
      <c r="V2281" t="s">
        <v>342</v>
      </c>
      <c r="W2281" t="s">
        <v>458</v>
      </c>
      <c r="X2281" t="s">
        <v>331</v>
      </c>
      <c r="Y2281" t="s">
        <v>307</v>
      </c>
      <c r="Z2281">
        <v>70</v>
      </c>
      <c r="AA2281">
        <v>70</v>
      </c>
      <c r="AB2281" t="s">
        <v>143</v>
      </c>
      <c r="AC2281" t="s">
        <v>53</v>
      </c>
      <c r="AD2281" t="s">
        <v>404</v>
      </c>
      <c r="AE2281" t="str">
        <f>IF(AF2281="","",VLOOKUP(AC2281,mapel!$A$2:$B$42,2,FALSE))</f>
        <v>Sejarah</v>
      </c>
      <c r="AF2281">
        <f t="shared" si="105"/>
        <v>70</v>
      </c>
      <c r="AG2281" t="str">
        <f>IF(AF2281="","",IF(AF2281&gt;90,"Sangat baik",IF(AF2281&gt;79,"Baik",IF(AF2281&gt;=pub_gid_0_single_true_output_csv[[#This Row],[KKM]],"Cukup","Kurang"))))</f>
        <v>Cukup</v>
      </c>
      <c r="AH2281">
        <f t="shared" si="106"/>
        <v>12</v>
      </c>
      <c r="AI2281" s="30" t="str">
        <f>IF(OR(J2281&lt;&gt;"Karakter",pub_gid_0_single_true_output_csv[[#This Row],[Nilai2]]=""),"",IF(AF2281&gt;89,"Sangat baik",IF(AF2281&gt;79,"Baik",IF(AF2281&gt;69,"Cukup",IF(AF2281&gt;59,"Kurang","Sangat kurang")))))</f>
        <v/>
      </c>
      <c r="AJ2281" t="str">
        <f t="shared" si="107"/>
        <v>Wk.5</v>
      </c>
      <c r="AK2281" t="str">
        <f>IF(pub_gid_0_single_true_output_csv[[#This Row],[Nilai2]]="","",VLOOKUP(pub_gid_0_single_true_output_csv[[#This Row],[NAMA]],Table7[],3,FALSE))</f>
        <v>Superior</v>
      </c>
    </row>
    <row r="2282" spans="1:37" x14ac:dyDescent="0.2">
      <c r="A2282">
        <v>2281</v>
      </c>
      <c r="B2282" t="s">
        <v>312</v>
      </c>
      <c r="C2282" t="s">
        <v>65</v>
      </c>
      <c r="D2282" t="s">
        <v>56</v>
      </c>
      <c r="E2282" t="s">
        <v>156</v>
      </c>
      <c r="F2282" s="25">
        <v>46050</v>
      </c>
      <c r="G2282" t="s">
        <v>308</v>
      </c>
      <c r="H2282" t="s">
        <v>405</v>
      </c>
      <c r="I2282" t="s">
        <v>371</v>
      </c>
      <c r="J2282" t="s">
        <v>36</v>
      </c>
      <c r="K2282" t="s">
        <v>37</v>
      </c>
      <c r="L2282" t="s">
        <v>150</v>
      </c>
      <c r="M2282" t="s">
        <v>141</v>
      </c>
      <c r="N2282" t="s">
        <v>142</v>
      </c>
      <c r="O2282" t="s">
        <v>327</v>
      </c>
      <c r="P2282" t="s">
        <v>281</v>
      </c>
      <c r="Q2282" t="s">
        <v>328</v>
      </c>
      <c r="R2282" t="s">
        <v>360</v>
      </c>
      <c r="S2282" t="s">
        <v>375</v>
      </c>
      <c r="T2282">
        <v>1</v>
      </c>
      <c r="U2282" t="s">
        <v>456</v>
      </c>
      <c r="V2282" t="s">
        <v>342</v>
      </c>
      <c r="W2282" t="s">
        <v>458</v>
      </c>
      <c r="X2282" t="s">
        <v>331</v>
      </c>
      <c r="Y2282" t="s">
        <v>307</v>
      </c>
      <c r="Z2282">
        <v>70</v>
      </c>
      <c r="AA2282">
        <v>95</v>
      </c>
      <c r="AB2282" t="s">
        <v>143</v>
      </c>
      <c r="AC2282" t="s">
        <v>53</v>
      </c>
      <c r="AD2282" t="s">
        <v>404</v>
      </c>
      <c r="AE2282" t="str">
        <f>IF(AF2282="","",VLOOKUP(AC2282,mapel!$A$2:$B$42,2,FALSE))</f>
        <v>Sejarah</v>
      </c>
      <c r="AF2282">
        <f t="shared" si="105"/>
        <v>95</v>
      </c>
      <c r="AG2282" t="str">
        <f>IF(AF2282="","",IF(AF2282&gt;90,"Sangat baik",IF(AF2282&gt;79,"Baik",IF(AF2282&gt;=pub_gid_0_single_true_output_csv[[#This Row],[KKM]],"Cukup","Kurang"))))</f>
        <v>Sangat baik</v>
      </c>
      <c r="AH2282">
        <f t="shared" si="106"/>
        <v>12</v>
      </c>
      <c r="AI2282" s="30" t="str">
        <f>IF(OR(J2282&lt;&gt;"Karakter",pub_gid_0_single_true_output_csv[[#This Row],[Nilai2]]=""),"",IF(AF2282&gt;89,"Sangat baik",IF(AF2282&gt;79,"Baik",IF(AF2282&gt;69,"Cukup",IF(AF2282&gt;59,"Kurang","Sangat kurang")))))</f>
        <v/>
      </c>
      <c r="AJ2282" t="str">
        <f t="shared" si="107"/>
        <v>Wk.5</v>
      </c>
      <c r="AK2282" t="str">
        <f>IF(pub_gid_0_single_true_output_csv[[#This Row],[Nilai2]]="","",VLOOKUP(pub_gid_0_single_true_output_csv[[#This Row],[NAMA]],Table7[],3,FALSE))</f>
        <v>Superior</v>
      </c>
    </row>
    <row r="2283" spans="1:37" x14ac:dyDescent="0.2">
      <c r="A2283">
        <v>2282</v>
      </c>
      <c r="B2283" t="s">
        <v>312</v>
      </c>
      <c r="C2283" t="s">
        <v>65</v>
      </c>
      <c r="D2283" t="s">
        <v>56</v>
      </c>
      <c r="E2283" t="s">
        <v>156</v>
      </c>
      <c r="F2283" s="25">
        <v>46050</v>
      </c>
      <c r="G2283" t="s">
        <v>308</v>
      </c>
      <c r="H2283" t="s">
        <v>405</v>
      </c>
      <c r="I2283" t="s">
        <v>371</v>
      </c>
      <c r="J2283" t="s">
        <v>31</v>
      </c>
      <c r="K2283" t="s">
        <v>32</v>
      </c>
      <c r="L2283" t="s">
        <v>367</v>
      </c>
      <c r="M2283" t="s">
        <v>141</v>
      </c>
      <c r="N2283" t="s">
        <v>142</v>
      </c>
      <c r="O2283" t="s">
        <v>327</v>
      </c>
      <c r="P2283" t="s">
        <v>281</v>
      </c>
      <c r="Q2283" t="s">
        <v>328</v>
      </c>
      <c r="R2283" t="s">
        <v>360</v>
      </c>
      <c r="S2283" t="s">
        <v>375</v>
      </c>
      <c r="T2283">
        <v>1</v>
      </c>
      <c r="U2283" t="s">
        <v>456</v>
      </c>
      <c r="V2283" t="s">
        <v>342</v>
      </c>
      <c r="W2283" t="s">
        <v>458</v>
      </c>
      <c r="X2283" t="s">
        <v>331</v>
      </c>
      <c r="Y2283" t="s">
        <v>307</v>
      </c>
      <c r="Z2283">
        <v>70</v>
      </c>
      <c r="AA2283">
        <v>75</v>
      </c>
      <c r="AB2283" t="s">
        <v>143</v>
      </c>
      <c r="AC2283" t="s">
        <v>53</v>
      </c>
      <c r="AD2283" t="s">
        <v>404</v>
      </c>
      <c r="AE2283" t="str">
        <f>IF(AF2283="","",VLOOKUP(AC2283,mapel!$A$2:$B$42,2,FALSE))</f>
        <v>Sejarah</v>
      </c>
      <c r="AF2283">
        <f t="shared" si="105"/>
        <v>75</v>
      </c>
      <c r="AG2283" t="str">
        <f>IF(AF2283="","",IF(AF2283&gt;90,"Sangat baik",IF(AF2283&gt;79,"Baik",IF(AF2283&gt;=pub_gid_0_single_true_output_csv[[#This Row],[KKM]],"Cukup","Kurang"))))</f>
        <v>Cukup</v>
      </c>
      <c r="AH2283">
        <f t="shared" si="106"/>
        <v>12</v>
      </c>
      <c r="AI2283" s="30" t="str">
        <f>IF(OR(J2283&lt;&gt;"Karakter",pub_gid_0_single_true_output_csv[[#This Row],[Nilai2]]=""),"",IF(AF2283&gt;89,"Sangat baik",IF(AF2283&gt;79,"Baik",IF(AF2283&gt;69,"Cukup",IF(AF2283&gt;59,"Kurang","Sangat kurang")))))</f>
        <v/>
      </c>
      <c r="AJ2283" t="str">
        <f t="shared" si="107"/>
        <v>Wk.5</v>
      </c>
      <c r="AK2283" t="str">
        <f>IF(pub_gid_0_single_true_output_csv[[#This Row],[Nilai2]]="","",VLOOKUP(pub_gid_0_single_true_output_csv[[#This Row],[NAMA]],Table7[],3,FALSE))</f>
        <v>Superior</v>
      </c>
    </row>
    <row r="2284" spans="1:37" x14ac:dyDescent="0.2">
      <c r="A2284">
        <v>2283</v>
      </c>
      <c r="B2284" t="s">
        <v>312</v>
      </c>
      <c r="C2284" t="s">
        <v>65</v>
      </c>
      <c r="D2284" t="s">
        <v>56</v>
      </c>
      <c r="E2284" t="s">
        <v>156</v>
      </c>
      <c r="F2284" s="25">
        <v>46052</v>
      </c>
      <c r="G2284" t="s">
        <v>304</v>
      </c>
      <c r="H2284" t="s">
        <v>405</v>
      </c>
      <c r="I2284" t="s">
        <v>371</v>
      </c>
      <c r="J2284" t="s">
        <v>90</v>
      </c>
      <c r="K2284" t="s">
        <v>92</v>
      </c>
      <c r="L2284" t="s">
        <v>93</v>
      </c>
      <c r="M2284" t="s">
        <v>141</v>
      </c>
      <c r="N2284" t="s">
        <v>142</v>
      </c>
      <c r="O2284" t="s">
        <v>327</v>
      </c>
      <c r="P2284" t="s">
        <v>281</v>
      </c>
      <c r="Q2284" t="s">
        <v>328</v>
      </c>
      <c r="R2284" t="s">
        <v>360</v>
      </c>
      <c r="S2284" t="s">
        <v>375</v>
      </c>
      <c r="T2284">
        <v>1</v>
      </c>
      <c r="U2284" t="s">
        <v>456</v>
      </c>
      <c r="V2284" t="s">
        <v>342</v>
      </c>
      <c r="W2284" t="s">
        <v>458</v>
      </c>
      <c r="X2284" t="s">
        <v>331</v>
      </c>
      <c r="Y2284" t="s">
        <v>307</v>
      </c>
      <c r="Z2284">
        <v>70</v>
      </c>
      <c r="AA2284">
        <v>85</v>
      </c>
      <c r="AB2284" t="s">
        <v>143</v>
      </c>
      <c r="AC2284" t="s">
        <v>53</v>
      </c>
      <c r="AD2284" t="s">
        <v>404</v>
      </c>
      <c r="AE2284" t="str">
        <f>IF(AF2284="","",VLOOKUP(AC2284,mapel!$A$2:$B$42,2,FALSE))</f>
        <v>Sejarah</v>
      </c>
      <c r="AF2284">
        <f t="shared" si="105"/>
        <v>85</v>
      </c>
      <c r="AG2284" t="str">
        <f>IF(AF2284="","",IF(AF2284&gt;90,"Sangat baik",IF(AF2284&gt;79,"Baik",IF(AF2284&gt;=pub_gid_0_single_true_output_csv[[#This Row],[KKM]],"Cukup","Kurang"))))</f>
        <v>Baik</v>
      </c>
      <c r="AH2284">
        <f t="shared" si="106"/>
        <v>12</v>
      </c>
      <c r="AI2284" s="30" t="str">
        <f>IF(OR(J2284&lt;&gt;"Karakter",pub_gid_0_single_true_output_csv[[#This Row],[Nilai2]]=""),"",IF(AF2284&gt;89,"Sangat baik",IF(AF2284&gt;79,"Baik",IF(AF2284&gt;69,"Cukup",IF(AF2284&gt;59,"Kurang","Sangat kurang")))))</f>
        <v>Baik</v>
      </c>
      <c r="AJ2284" t="str">
        <f t="shared" si="107"/>
        <v>Wk.5</v>
      </c>
      <c r="AK2284" t="str">
        <f>IF(pub_gid_0_single_true_output_csv[[#This Row],[Nilai2]]="","",VLOOKUP(pub_gid_0_single_true_output_csv[[#This Row],[NAMA]],Table7[],3,FALSE))</f>
        <v>Superior</v>
      </c>
    </row>
    <row r="2285" spans="1:37" x14ac:dyDescent="0.2">
      <c r="A2285">
        <v>2284</v>
      </c>
      <c r="B2285" t="s">
        <v>312</v>
      </c>
      <c r="C2285" t="s">
        <v>65</v>
      </c>
      <c r="D2285" t="s">
        <v>56</v>
      </c>
      <c r="E2285" t="s">
        <v>156</v>
      </c>
      <c r="F2285" s="25">
        <v>46057</v>
      </c>
      <c r="G2285" t="s">
        <v>348</v>
      </c>
      <c r="H2285" t="s">
        <v>412</v>
      </c>
      <c r="I2285" t="s">
        <v>371</v>
      </c>
      <c r="J2285" t="s">
        <v>279</v>
      </c>
      <c r="K2285" t="s">
        <v>280</v>
      </c>
      <c r="L2285" t="s">
        <v>322</v>
      </c>
      <c r="M2285" t="s">
        <v>141</v>
      </c>
      <c r="N2285" t="s">
        <v>142</v>
      </c>
      <c r="O2285" t="s">
        <v>327</v>
      </c>
      <c r="P2285" t="s">
        <v>281</v>
      </c>
      <c r="Q2285" t="s">
        <v>328</v>
      </c>
      <c r="R2285" t="s">
        <v>360</v>
      </c>
      <c r="S2285" t="s">
        <v>375</v>
      </c>
      <c r="T2285">
        <v>1</v>
      </c>
      <c r="U2285" t="s">
        <v>456</v>
      </c>
      <c r="V2285" t="s">
        <v>342</v>
      </c>
      <c r="W2285" t="s">
        <v>458</v>
      </c>
      <c r="X2285" t="s">
        <v>331</v>
      </c>
      <c r="Y2285" t="s">
        <v>307</v>
      </c>
      <c r="Z2285">
        <v>70</v>
      </c>
      <c r="AA2285">
        <v>70</v>
      </c>
      <c r="AB2285" t="s">
        <v>143</v>
      </c>
      <c r="AC2285" t="s">
        <v>53</v>
      </c>
      <c r="AD2285" t="s">
        <v>404</v>
      </c>
      <c r="AE2285" t="str">
        <f>IF(AF2285="","",VLOOKUP(AC2285,mapel!$A$2:$B$42,2,FALSE))</f>
        <v>Sejarah</v>
      </c>
      <c r="AF2285">
        <f t="shared" si="105"/>
        <v>70</v>
      </c>
      <c r="AG2285" t="str">
        <f>IF(AF2285="","",IF(AF2285&gt;90,"Sangat baik",IF(AF2285&gt;79,"Baik",IF(AF2285&gt;=pub_gid_0_single_true_output_csv[[#This Row],[KKM]],"Cukup","Kurang"))))</f>
        <v>Cukup</v>
      </c>
      <c r="AH2285">
        <f t="shared" si="106"/>
        <v>12</v>
      </c>
      <c r="AI2285" s="30" t="str">
        <f>IF(OR(J2285&lt;&gt;"Karakter",pub_gid_0_single_true_output_csv[[#This Row],[Nilai2]]=""),"",IF(AF2285&gt;89,"Sangat baik",IF(AF2285&gt;79,"Baik",IF(AF2285&gt;69,"Cukup",IF(AF2285&gt;59,"Kurang","Sangat kurang")))))</f>
        <v/>
      </c>
      <c r="AJ2285" t="str">
        <f t="shared" si="107"/>
        <v>Wk.6</v>
      </c>
      <c r="AK2285" t="str">
        <f>IF(pub_gid_0_single_true_output_csv[[#This Row],[Nilai2]]="","",VLOOKUP(pub_gid_0_single_true_output_csv[[#This Row],[NAMA]],Table7[],3,FALSE))</f>
        <v>Superior</v>
      </c>
    </row>
    <row r="2286" spans="1:37" x14ac:dyDescent="0.2">
      <c r="A2286">
        <v>2285</v>
      </c>
      <c r="B2286" t="s">
        <v>312</v>
      </c>
      <c r="C2286" t="s">
        <v>65</v>
      </c>
      <c r="D2286" t="s">
        <v>56</v>
      </c>
      <c r="E2286" t="s">
        <v>156</v>
      </c>
      <c r="F2286" s="25">
        <v>46057</v>
      </c>
      <c r="G2286" t="s">
        <v>348</v>
      </c>
      <c r="H2286" t="s">
        <v>412</v>
      </c>
      <c r="I2286" t="s">
        <v>371</v>
      </c>
      <c r="J2286" t="s">
        <v>36</v>
      </c>
      <c r="K2286" t="s">
        <v>37</v>
      </c>
      <c r="L2286" t="s">
        <v>351</v>
      </c>
      <c r="M2286" t="s">
        <v>141</v>
      </c>
      <c r="N2286" t="s">
        <v>142</v>
      </c>
      <c r="O2286" t="s">
        <v>327</v>
      </c>
      <c r="P2286" t="s">
        <v>281</v>
      </c>
      <c r="Q2286" t="s">
        <v>328</v>
      </c>
      <c r="R2286" t="s">
        <v>360</v>
      </c>
      <c r="S2286" t="s">
        <v>392</v>
      </c>
      <c r="T2286">
        <v>1</v>
      </c>
      <c r="U2286" t="s">
        <v>456</v>
      </c>
      <c r="V2286" t="s">
        <v>343</v>
      </c>
      <c r="W2286" t="s">
        <v>459</v>
      </c>
      <c r="X2286" t="s">
        <v>331</v>
      </c>
      <c r="Y2286" t="s">
        <v>307</v>
      </c>
      <c r="Z2286">
        <v>70</v>
      </c>
      <c r="AA2286">
        <v>95</v>
      </c>
      <c r="AB2286" t="s">
        <v>143</v>
      </c>
      <c r="AC2286" t="s">
        <v>53</v>
      </c>
      <c r="AD2286" t="s">
        <v>404</v>
      </c>
      <c r="AE2286" t="str">
        <f>IF(AF2286="","",VLOOKUP(AC2286,mapel!$A$2:$B$42,2,FALSE))</f>
        <v>Sejarah</v>
      </c>
      <c r="AF2286">
        <f t="shared" si="105"/>
        <v>95</v>
      </c>
      <c r="AG2286" t="str">
        <f>IF(AF2286="","",IF(AF2286&gt;90,"Sangat baik",IF(AF2286&gt;79,"Baik",IF(AF2286&gt;=pub_gid_0_single_true_output_csv[[#This Row],[KKM]],"Cukup","Kurang"))))</f>
        <v>Sangat baik</v>
      </c>
      <c r="AH2286">
        <f t="shared" si="106"/>
        <v>12</v>
      </c>
      <c r="AI2286" s="30" t="str">
        <f>IF(OR(J2286&lt;&gt;"Karakter",pub_gid_0_single_true_output_csv[[#This Row],[Nilai2]]=""),"",IF(AF2286&gt;89,"Sangat baik",IF(AF2286&gt;79,"Baik",IF(AF2286&gt;69,"Cukup",IF(AF2286&gt;59,"Kurang","Sangat kurang")))))</f>
        <v/>
      </c>
      <c r="AJ2286" t="str">
        <f t="shared" si="107"/>
        <v>Wk.6</v>
      </c>
      <c r="AK2286" t="str">
        <f>IF(pub_gid_0_single_true_output_csv[[#This Row],[Nilai2]]="","",VLOOKUP(pub_gid_0_single_true_output_csv[[#This Row],[NAMA]],Table7[],3,FALSE))</f>
        <v>Superior</v>
      </c>
    </row>
    <row r="2287" spans="1:37" x14ac:dyDescent="0.2">
      <c r="A2287">
        <v>2286</v>
      </c>
      <c r="B2287" t="s">
        <v>312</v>
      </c>
      <c r="C2287" t="s">
        <v>65</v>
      </c>
      <c r="D2287" t="s">
        <v>56</v>
      </c>
      <c r="E2287" t="s">
        <v>156</v>
      </c>
      <c r="F2287" s="25">
        <v>46057</v>
      </c>
      <c r="G2287" t="s">
        <v>348</v>
      </c>
      <c r="H2287" t="s">
        <v>412</v>
      </c>
      <c r="I2287" t="s">
        <v>371</v>
      </c>
      <c r="J2287" t="s">
        <v>31</v>
      </c>
      <c r="K2287" t="s">
        <v>96</v>
      </c>
      <c r="L2287" t="s">
        <v>351</v>
      </c>
      <c r="M2287" t="s">
        <v>141</v>
      </c>
      <c r="N2287" t="s">
        <v>142</v>
      </c>
      <c r="O2287" t="s">
        <v>327</v>
      </c>
      <c r="P2287" t="s">
        <v>281</v>
      </c>
      <c r="Q2287" t="s">
        <v>328</v>
      </c>
      <c r="R2287" t="s">
        <v>360</v>
      </c>
      <c r="S2287" t="s">
        <v>392</v>
      </c>
      <c r="T2287">
        <v>1</v>
      </c>
      <c r="U2287" t="s">
        <v>456</v>
      </c>
      <c r="V2287" t="s">
        <v>343</v>
      </c>
      <c r="W2287" t="s">
        <v>459</v>
      </c>
      <c r="X2287" t="s">
        <v>331</v>
      </c>
      <c r="Y2287" t="s">
        <v>307</v>
      </c>
      <c r="Z2287">
        <v>70</v>
      </c>
      <c r="AA2287">
        <v>75</v>
      </c>
      <c r="AB2287" t="s">
        <v>143</v>
      </c>
      <c r="AC2287" t="s">
        <v>53</v>
      </c>
      <c r="AD2287" t="s">
        <v>404</v>
      </c>
      <c r="AE2287" t="str">
        <f>IF(AF2287="","",VLOOKUP(AC2287,mapel!$A$2:$B$42,2,FALSE))</f>
        <v>Sejarah</v>
      </c>
      <c r="AF2287">
        <f t="shared" si="105"/>
        <v>75</v>
      </c>
      <c r="AG2287" t="str">
        <f>IF(AF2287="","",IF(AF2287&gt;90,"Sangat baik",IF(AF2287&gt;79,"Baik",IF(AF2287&gt;=pub_gid_0_single_true_output_csv[[#This Row],[KKM]],"Cukup","Kurang"))))</f>
        <v>Cukup</v>
      </c>
      <c r="AH2287">
        <f t="shared" si="106"/>
        <v>12</v>
      </c>
      <c r="AI2287" s="30" t="str">
        <f>IF(OR(J2287&lt;&gt;"Karakter",pub_gid_0_single_true_output_csv[[#This Row],[Nilai2]]=""),"",IF(AF2287&gt;89,"Sangat baik",IF(AF2287&gt;79,"Baik",IF(AF2287&gt;69,"Cukup",IF(AF2287&gt;59,"Kurang","Sangat kurang")))))</f>
        <v/>
      </c>
      <c r="AJ2287" t="str">
        <f t="shared" si="107"/>
        <v>Wk.6</v>
      </c>
      <c r="AK2287" t="str">
        <f>IF(pub_gid_0_single_true_output_csv[[#This Row],[Nilai2]]="","",VLOOKUP(pub_gid_0_single_true_output_csv[[#This Row],[NAMA]],Table7[],3,FALSE))</f>
        <v>Superior</v>
      </c>
    </row>
    <row r="2288" spans="1:37" x14ac:dyDescent="0.2">
      <c r="A2288">
        <v>2287</v>
      </c>
      <c r="B2288" t="s">
        <v>312</v>
      </c>
      <c r="C2288" t="s">
        <v>65</v>
      </c>
      <c r="D2288" t="s">
        <v>56</v>
      </c>
      <c r="E2288" t="s">
        <v>156</v>
      </c>
      <c r="F2288" s="25">
        <v>46057</v>
      </c>
      <c r="G2288" t="s">
        <v>348</v>
      </c>
      <c r="H2288" t="s">
        <v>412</v>
      </c>
      <c r="I2288" t="s">
        <v>371</v>
      </c>
      <c r="J2288" t="s">
        <v>90</v>
      </c>
      <c r="K2288" t="s">
        <v>92</v>
      </c>
      <c r="L2288" t="s">
        <v>91</v>
      </c>
      <c r="M2288" t="s">
        <v>141</v>
      </c>
      <c r="N2288" t="s">
        <v>142</v>
      </c>
      <c r="O2288" t="s">
        <v>327</v>
      </c>
      <c r="P2288" t="s">
        <v>281</v>
      </c>
      <c r="Q2288" t="s">
        <v>328</v>
      </c>
      <c r="R2288" t="s">
        <v>360</v>
      </c>
      <c r="S2288" t="s">
        <v>392</v>
      </c>
      <c r="T2288">
        <v>1</v>
      </c>
      <c r="U2288" t="s">
        <v>456</v>
      </c>
      <c r="V2288" t="s">
        <v>343</v>
      </c>
      <c r="W2288" t="s">
        <v>459</v>
      </c>
      <c r="X2288" t="s">
        <v>331</v>
      </c>
      <c r="Y2288" t="s">
        <v>307</v>
      </c>
      <c r="Z2288">
        <v>70</v>
      </c>
      <c r="AA2288">
        <v>80</v>
      </c>
      <c r="AB2288" t="s">
        <v>143</v>
      </c>
      <c r="AC2288" t="s">
        <v>53</v>
      </c>
      <c r="AD2288" t="s">
        <v>404</v>
      </c>
      <c r="AE2288" t="str">
        <f>IF(AF2288="","",VLOOKUP(AC2288,mapel!$A$2:$B$42,2,FALSE))</f>
        <v>Sejarah</v>
      </c>
      <c r="AF2288">
        <f t="shared" si="105"/>
        <v>80</v>
      </c>
      <c r="AG2288" t="str">
        <f>IF(AF2288="","",IF(AF2288&gt;90,"Sangat baik",IF(AF2288&gt;79,"Baik",IF(AF2288&gt;=pub_gid_0_single_true_output_csv[[#This Row],[KKM]],"Cukup","Kurang"))))</f>
        <v>Baik</v>
      </c>
      <c r="AH2288">
        <f t="shared" si="106"/>
        <v>12</v>
      </c>
      <c r="AI2288" s="30" t="str">
        <f>IF(OR(J2288&lt;&gt;"Karakter",pub_gid_0_single_true_output_csv[[#This Row],[Nilai2]]=""),"",IF(AF2288&gt;89,"Sangat baik",IF(AF2288&gt;79,"Baik",IF(AF2288&gt;69,"Cukup",IF(AF2288&gt;59,"Kurang","Sangat kurang")))))</f>
        <v>Baik</v>
      </c>
      <c r="AJ2288" t="str">
        <f t="shared" si="107"/>
        <v>Wk.6</v>
      </c>
      <c r="AK2288" t="str">
        <f>IF(pub_gid_0_single_true_output_csv[[#This Row],[Nilai2]]="","",VLOOKUP(pub_gid_0_single_true_output_csv[[#This Row],[NAMA]],Table7[],3,FALSE))</f>
        <v>Superior</v>
      </c>
    </row>
    <row r="2289" spans="1:37" x14ac:dyDescent="0.2">
      <c r="A2289">
        <v>2288</v>
      </c>
      <c r="B2289" t="s">
        <v>312</v>
      </c>
      <c r="C2289" t="s">
        <v>65</v>
      </c>
      <c r="D2289" t="s">
        <v>56</v>
      </c>
      <c r="E2289" t="s">
        <v>156</v>
      </c>
      <c r="F2289" s="25">
        <v>46064</v>
      </c>
      <c r="G2289" t="s">
        <v>352</v>
      </c>
      <c r="H2289" t="s">
        <v>412</v>
      </c>
      <c r="I2289" t="s">
        <v>371</v>
      </c>
      <c r="J2289" t="s">
        <v>279</v>
      </c>
      <c r="K2289" t="s">
        <v>280</v>
      </c>
      <c r="L2289" t="s">
        <v>322</v>
      </c>
      <c r="M2289" t="s">
        <v>141</v>
      </c>
      <c r="N2289" t="s">
        <v>142</v>
      </c>
      <c r="O2289" t="s">
        <v>327</v>
      </c>
      <c r="P2289" t="s">
        <v>281</v>
      </c>
      <c r="Q2289" t="s">
        <v>328</v>
      </c>
      <c r="R2289" t="s">
        <v>360</v>
      </c>
      <c r="S2289" t="s">
        <v>392</v>
      </c>
      <c r="T2289">
        <v>1</v>
      </c>
      <c r="U2289" t="s">
        <v>456</v>
      </c>
      <c r="V2289" t="s">
        <v>343</v>
      </c>
      <c r="W2289" t="s">
        <v>459</v>
      </c>
      <c r="X2289" t="s">
        <v>331</v>
      </c>
      <c r="Y2289" t="s">
        <v>307</v>
      </c>
      <c r="Z2289">
        <v>70</v>
      </c>
      <c r="AA2289">
        <v>70</v>
      </c>
      <c r="AB2289" t="s">
        <v>143</v>
      </c>
      <c r="AC2289" t="s">
        <v>53</v>
      </c>
      <c r="AD2289" t="s">
        <v>404</v>
      </c>
      <c r="AE2289" t="str">
        <f>IF(AF2289="","",VLOOKUP(AC2289,mapel!$A$2:$B$42,2,FALSE))</f>
        <v>Sejarah</v>
      </c>
      <c r="AF2289">
        <f t="shared" si="105"/>
        <v>70</v>
      </c>
      <c r="AG2289" t="str">
        <f>IF(AF2289="","",IF(AF2289&gt;90,"Sangat baik",IF(AF2289&gt;79,"Baik",IF(AF2289&gt;=pub_gid_0_single_true_output_csv[[#This Row],[KKM]],"Cukup","Kurang"))))</f>
        <v>Cukup</v>
      </c>
      <c r="AH2289">
        <f t="shared" si="106"/>
        <v>12</v>
      </c>
      <c r="AI2289" s="30" t="str">
        <f>IF(OR(J2289&lt;&gt;"Karakter",pub_gid_0_single_true_output_csv[[#This Row],[Nilai2]]=""),"",IF(AF2289&gt;89,"Sangat baik",IF(AF2289&gt;79,"Baik",IF(AF2289&gt;69,"Cukup",IF(AF2289&gt;59,"Kurang","Sangat kurang")))))</f>
        <v/>
      </c>
      <c r="AJ2289" t="str">
        <f t="shared" si="107"/>
        <v>Wk.7</v>
      </c>
      <c r="AK2289" t="str">
        <f>IF(pub_gid_0_single_true_output_csv[[#This Row],[Nilai2]]="","",VLOOKUP(pub_gid_0_single_true_output_csv[[#This Row],[NAMA]],Table7[],3,FALSE))</f>
        <v>Superior</v>
      </c>
    </row>
    <row r="2290" spans="1:37" x14ac:dyDescent="0.2">
      <c r="A2290">
        <v>2289</v>
      </c>
      <c r="B2290" t="s">
        <v>312</v>
      </c>
      <c r="C2290" t="s">
        <v>65</v>
      </c>
      <c r="D2290" t="s">
        <v>56</v>
      </c>
      <c r="E2290" t="s">
        <v>156</v>
      </c>
      <c r="F2290" s="25">
        <v>46064</v>
      </c>
      <c r="G2290" t="s">
        <v>352</v>
      </c>
      <c r="H2290" t="s">
        <v>412</v>
      </c>
      <c r="I2290" t="s">
        <v>371</v>
      </c>
      <c r="J2290" t="s">
        <v>36</v>
      </c>
      <c r="K2290" t="s">
        <v>37</v>
      </c>
      <c r="L2290" t="s">
        <v>351</v>
      </c>
      <c r="M2290" t="s">
        <v>141</v>
      </c>
      <c r="N2290" t="s">
        <v>142</v>
      </c>
      <c r="O2290" t="s">
        <v>327</v>
      </c>
      <c r="P2290" t="s">
        <v>281</v>
      </c>
      <c r="Q2290" t="s">
        <v>328</v>
      </c>
      <c r="R2290" t="s">
        <v>360</v>
      </c>
      <c r="S2290" t="s">
        <v>392</v>
      </c>
      <c r="T2290">
        <v>1</v>
      </c>
      <c r="U2290" t="s">
        <v>456</v>
      </c>
      <c r="V2290" t="s">
        <v>343</v>
      </c>
      <c r="W2290" t="s">
        <v>459</v>
      </c>
      <c r="X2290" t="s">
        <v>331</v>
      </c>
      <c r="Y2290" t="s">
        <v>307</v>
      </c>
      <c r="Z2290">
        <v>70</v>
      </c>
      <c r="AA2290">
        <v>80</v>
      </c>
      <c r="AB2290" t="s">
        <v>143</v>
      </c>
      <c r="AC2290" t="s">
        <v>53</v>
      </c>
      <c r="AD2290" t="s">
        <v>404</v>
      </c>
      <c r="AE2290" t="str">
        <f>IF(AF2290="","",VLOOKUP(AC2290,mapel!$A$2:$B$42,2,FALSE))</f>
        <v>Sejarah</v>
      </c>
      <c r="AF2290">
        <f t="shared" si="105"/>
        <v>80</v>
      </c>
      <c r="AG2290" t="str">
        <f>IF(AF2290="","",IF(AF2290&gt;90,"Sangat baik",IF(AF2290&gt;79,"Baik",IF(AF2290&gt;=pub_gid_0_single_true_output_csv[[#This Row],[KKM]],"Cukup","Kurang"))))</f>
        <v>Baik</v>
      </c>
      <c r="AH2290">
        <f t="shared" si="106"/>
        <v>12</v>
      </c>
      <c r="AI2290" s="30" t="str">
        <f>IF(OR(J2290&lt;&gt;"Karakter",pub_gid_0_single_true_output_csv[[#This Row],[Nilai2]]=""),"",IF(AF2290&gt;89,"Sangat baik",IF(AF2290&gt;79,"Baik",IF(AF2290&gt;69,"Cukup",IF(AF2290&gt;59,"Kurang","Sangat kurang")))))</f>
        <v/>
      </c>
      <c r="AJ2290" t="str">
        <f t="shared" si="107"/>
        <v>Wk.7</v>
      </c>
      <c r="AK2290" t="str">
        <f>IF(pub_gid_0_single_true_output_csv[[#This Row],[Nilai2]]="","",VLOOKUP(pub_gid_0_single_true_output_csv[[#This Row],[NAMA]],Table7[],3,FALSE))</f>
        <v>Superior</v>
      </c>
    </row>
    <row r="2291" spans="1:37" x14ac:dyDescent="0.2">
      <c r="A2291">
        <v>2290</v>
      </c>
      <c r="B2291" t="s">
        <v>312</v>
      </c>
      <c r="C2291" t="s">
        <v>65</v>
      </c>
      <c r="D2291" t="s">
        <v>56</v>
      </c>
      <c r="E2291" t="s">
        <v>156</v>
      </c>
      <c r="F2291" s="25">
        <v>46064</v>
      </c>
      <c r="G2291" t="s">
        <v>352</v>
      </c>
      <c r="H2291" t="s">
        <v>412</v>
      </c>
      <c r="I2291" t="s">
        <v>371</v>
      </c>
      <c r="J2291" t="s">
        <v>31</v>
      </c>
      <c r="K2291" t="s">
        <v>96</v>
      </c>
      <c r="L2291" t="s">
        <v>351</v>
      </c>
      <c r="M2291" t="s">
        <v>141</v>
      </c>
      <c r="N2291" t="s">
        <v>142</v>
      </c>
      <c r="O2291" t="s">
        <v>327</v>
      </c>
      <c r="P2291" t="s">
        <v>281</v>
      </c>
      <c r="Q2291" t="s">
        <v>328</v>
      </c>
      <c r="R2291" t="s">
        <v>360</v>
      </c>
      <c r="S2291" t="s">
        <v>392</v>
      </c>
      <c r="T2291">
        <v>1</v>
      </c>
      <c r="U2291" t="s">
        <v>456</v>
      </c>
      <c r="V2291" t="s">
        <v>343</v>
      </c>
      <c r="W2291" t="s">
        <v>459</v>
      </c>
      <c r="X2291" t="s">
        <v>331</v>
      </c>
      <c r="Y2291" t="s">
        <v>307</v>
      </c>
      <c r="Z2291">
        <v>70</v>
      </c>
      <c r="AA2291">
        <v>75</v>
      </c>
      <c r="AB2291" t="s">
        <v>143</v>
      </c>
      <c r="AC2291" t="s">
        <v>53</v>
      </c>
      <c r="AD2291" t="s">
        <v>404</v>
      </c>
      <c r="AE2291" t="str">
        <f>IF(AF2291="","",VLOOKUP(AC2291,mapel!$A$2:$B$42,2,FALSE))</f>
        <v>Sejarah</v>
      </c>
      <c r="AF2291">
        <f t="shared" si="105"/>
        <v>75</v>
      </c>
      <c r="AG2291" t="str">
        <f>IF(AF2291="","",IF(AF2291&gt;90,"Sangat baik",IF(AF2291&gt;79,"Baik",IF(AF2291&gt;=pub_gid_0_single_true_output_csv[[#This Row],[KKM]],"Cukup","Kurang"))))</f>
        <v>Cukup</v>
      </c>
      <c r="AH2291">
        <f t="shared" si="106"/>
        <v>12</v>
      </c>
      <c r="AI2291" s="30" t="str">
        <f>IF(OR(J2291&lt;&gt;"Karakter",pub_gid_0_single_true_output_csv[[#This Row],[Nilai2]]=""),"",IF(AF2291&gt;89,"Sangat baik",IF(AF2291&gt;79,"Baik",IF(AF2291&gt;69,"Cukup",IF(AF2291&gt;59,"Kurang","Sangat kurang")))))</f>
        <v/>
      </c>
      <c r="AJ2291" t="str">
        <f t="shared" si="107"/>
        <v>Wk.7</v>
      </c>
      <c r="AK2291" t="str">
        <f>IF(pub_gid_0_single_true_output_csv[[#This Row],[Nilai2]]="","",VLOOKUP(pub_gid_0_single_true_output_csv[[#This Row],[NAMA]],Table7[],3,FALSE))</f>
        <v>Superior</v>
      </c>
    </row>
    <row r="2292" spans="1:37" x14ac:dyDescent="0.2">
      <c r="A2292">
        <v>2291</v>
      </c>
      <c r="B2292" t="s">
        <v>312</v>
      </c>
      <c r="C2292" t="s">
        <v>65</v>
      </c>
      <c r="D2292" t="s">
        <v>56</v>
      </c>
      <c r="E2292" t="s">
        <v>156</v>
      </c>
      <c r="F2292" s="25">
        <v>46064</v>
      </c>
      <c r="G2292" t="s">
        <v>352</v>
      </c>
      <c r="H2292" t="s">
        <v>412</v>
      </c>
      <c r="I2292" t="s">
        <v>371</v>
      </c>
      <c r="J2292" t="s">
        <v>90</v>
      </c>
      <c r="K2292" t="s">
        <v>92</v>
      </c>
      <c r="L2292" t="s">
        <v>91</v>
      </c>
      <c r="M2292" t="s">
        <v>141</v>
      </c>
      <c r="N2292" t="s">
        <v>142</v>
      </c>
      <c r="O2292" t="s">
        <v>327</v>
      </c>
      <c r="P2292" t="s">
        <v>281</v>
      </c>
      <c r="Q2292" t="s">
        <v>328</v>
      </c>
      <c r="R2292" t="s">
        <v>360</v>
      </c>
      <c r="S2292" t="s">
        <v>392</v>
      </c>
      <c r="T2292">
        <v>1</v>
      </c>
      <c r="U2292" t="s">
        <v>456</v>
      </c>
      <c r="V2292" t="s">
        <v>343</v>
      </c>
      <c r="W2292" t="s">
        <v>459</v>
      </c>
      <c r="X2292" t="s">
        <v>331</v>
      </c>
      <c r="Y2292" t="s">
        <v>307</v>
      </c>
      <c r="Z2292">
        <v>70</v>
      </c>
      <c r="AA2292">
        <v>80</v>
      </c>
      <c r="AB2292" t="s">
        <v>143</v>
      </c>
      <c r="AC2292" t="s">
        <v>53</v>
      </c>
      <c r="AD2292" t="s">
        <v>404</v>
      </c>
      <c r="AE2292" t="str">
        <f>IF(AF2292="","",VLOOKUP(AC2292,mapel!$A$2:$B$42,2,FALSE))</f>
        <v>Sejarah</v>
      </c>
      <c r="AF2292">
        <f t="shared" si="105"/>
        <v>80</v>
      </c>
      <c r="AG2292" t="str">
        <f>IF(AF2292="","",IF(AF2292&gt;90,"Sangat baik",IF(AF2292&gt;79,"Baik",IF(AF2292&gt;=pub_gid_0_single_true_output_csv[[#This Row],[KKM]],"Cukup","Kurang"))))</f>
        <v>Baik</v>
      </c>
      <c r="AH2292">
        <f t="shared" si="106"/>
        <v>12</v>
      </c>
      <c r="AI2292" s="30" t="str">
        <f>IF(OR(J2292&lt;&gt;"Karakter",pub_gid_0_single_true_output_csv[[#This Row],[Nilai2]]=""),"",IF(AF2292&gt;89,"Sangat baik",IF(AF2292&gt;79,"Baik",IF(AF2292&gt;69,"Cukup",IF(AF2292&gt;59,"Kurang","Sangat kurang")))))</f>
        <v>Baik</v>
      </c>
      <c r="AJ2292" t="str">
        <f t="shared" si="107"/>
        <v>Wk.7</v>
      </c>
      <c r="AK2292" t="str">
        <f>IF(pub_gid_0_single_true_output_csv[[#This Row],[Nilai2]]="","",VLOOKUP(pub_gid_0_single_true_output_csv[[#This Row],[NAMA]],Table7[],3,FALSE))</f>
        <v>Superior</v>
      </c>
    </row>
    <row r="2293" spans="1:37" x14ac:dyDescent="0.2">
      <c r="A2293">
        <v>2292</v>
      </c>
      <c r="B2293" t="s">
        <v>312</v>
      </c>
      <c r="C2293" t="s">
        <v>65</v>
      </c>
      <c r="D2293" t="s">
        <v>56</v>
      </c>
      <c r="E2293" t="s">
        <v>156</v>
      </c>
      <c r="F2293" s="25">
        <v>46071</v>
      </c>
      <c r="G2293" t="s">
        <v>323</v>
      </c>
      <c r="H2293" t="s">
        <v>412</v>
      </c>
      <c r="I2293" t="s">
        <v>371</v>
      </c>
      <c r="J2293" t="s">
        <v>279</v>
      </c>
      <c r="K2293" t="s">
        <v>280</v>
      </c>
      <c r="L2293" t="s">
        <v>322</v>
      </c>
      <c r="M2293" t="s">
        <v>141</v>
      </c>
      <c r="N2293" t="s">
        <v>142</v>
      </c>
      <c r="O2293" t="s">
        <v>327</v>
      </c>
      <c r="P2293" t="s">
        <v>281</v>
      </c>
      <c r="Q2293" t="s">
        <v>328</v>
      </c>
      <c r="R2293" t="s">
        <v>360</v>
      </c>
      <c r="S2293" t="s">
        <v>392</v>
      </c>
      <c r="T2293">
        <v>1</v>
      </c>
      <c r="U2293" t="s">
        <v>456</v>
      </c>
      <c r="V2293" t="s">
        <v>343</v>
      </c>
      <c r="W2293" t="s">
        <v>459</v>
      </c>
      <c r="X2293" t="s">
        <v>331</v>
      </c>
      <c r="Y2293" t="s">
        <v>307</v>
      </c>
      <c r="Z2293">
        <v>70</v>
      </c>
      <c r="AA2293">
        <v>70</v>
      </c>
      <c r="AB2293" t="s">
        <v>143</v>
      </c>
      <c r="AC2293" t="s">
        <v>53</v>
      </c>
      <c r="AD2293" t="s">
        <v>404</v>
      </c>
      <c r="AE2293" t="str">
        <f>IF(AF2293="","",VLOOKUP(AC2293,mapel!$A$2:$B$42,2,FALSE))</f>
        <v>Sejarah</v>
      </c>
      <c r="AF2293">
        <f t="shared" si="105"/>
        <v>70</v>
      </c>
      <c r="AG2293" t="str">
        <f>IF(AF2293="","",IF(AF2293&gt;90,"Sangat baik",IF(AF2293&gt;79,"Baik",IF(AF2293&gt;=pub_gid_0_single_true_output_csv[[#This Row],[KKM]],"Cukup","Kurang"))))</f>
        <v>Cukup</v>
      </c>
      <c r="AH2293">
        <f t="shared" si="106"/>
        <v>12</v>
      </c>
      <c r="AI2293" s="30" t="str">
        <f>IF(OR(J2293&lt;&gt;"Karakter",pub_gid_0_single_true_output_csv[[#This Row],[Nilai2]]=""),"",IF(AF2293&gt;89,"Sangat baik",IF(AF2293&gt;79,"Baik",IF(AF2293&gt;69,"Cukup",IF(AF2293&gt;59,"Kurang","Sangat kurang")))))</f>
        <v/>
      </c>
      <c r="AJ2293" t="str">
        <f t="shared" si="107"/>
        <v>Wk.8</v>
      </c>
      <c r="AK2293" t="str">
        <f>IF(pub_gid_0_single_true_output_csv[[#This Row],[Nilai2]]="","",VLOOKUP(pub_gid_0_single_true_output_csv[[#This Row],[NAMA]],Table7[],3,FALSE))</f>
        <v>Superior</v>
      </c>
    </row>
    <row r="2294" spans="1:37" x14ac:dyDescent="0.2">
      <c r="A2294">
        <v>2293</v>
      </c>
      <c r="B2294" t="s">
        <v>312</v>
      </c>
      <c r="C2294" t="s">
        <v>65</v>
      </c>
      <c r="D2294" t="s">
        <v>56</v>
      </c>
      <c r="E2294" t="s">
        <v>156</v>
      </c>
      <c r="F2294" s="25">
        <v>46071</v>
      </c>
      <c r="G2294" t="s">
        <v>323</v>
      </c>
      <c r="H2294" t="s">
        <v>412</v>
      </c>
      <c r="I2294" t="s">
        <v>371</v>
      </c>
      <c r="J2294" t="s">
        <v>36</v>
      </c>
      <c r="K2294" t="s">
        <v>362</v>
      </c>
      <c r="L2294" t="s">
        <v>363</v>
      </c>
      <c r="M2294" t="s">
        <v>141</v>
      </c>
      <c r="N2294" t="s">
        <v>142</v>
      </c>
      <c r="O2294" t="s">
        <v>327</v>
      </c>
      <c r="P2294" t="s">
        <v>281</v>
      </c>
      <c r="Q2294" t="s">
        <v>328</v>
      </c>
      <c r="R2294" t="s">
        <v>360</v>
      </c>
      <c r="S2294" t="s">
        <v>375</v>
      </c>
      <c r="T2294">
        <v>1</v>
      </c>
      <c r="U2294" t="s">
        <v>456</v>
      </c>
      <c r="V2294" t="s">
        <v>342</v>
      </c>
      <c r="W2294" t="s">
        <v>458</v>
      </c>
      <c r="X2294" t="s">
        <v>331</v>
      </c>
      <c r="Y2294" t="s">
        <v>307</v>
      </c>
      <c r="Z2294">
        <v>70</v>
      </c>
      <c r="AA2294">
        <v>97</v>
      </c>
      <c r="AB2294" t="s">
        <v>143</v>
      </c>
      <c r="AC2294" t="s">
        <v>53</v>
      </c>
      <c r="AD2294" t="s">
        <v>404</v>
      </c>
      <c r="AE2294" t="str">
        <f>IF(AF2294="","",VLOOKUP(AC2294,mapel!$A$2:$B$42,2,FALSE))</f>
        <v>Sejarah</v>
      </c>
      <c r="AF2294">
        <f t="shared" si="105"/>
        <v>97</v>
      </c>
      <c r="AG2294" t="str">
        <f>IF(AF2294="","",IF(AF2294&gt;90,"Sangat baik",IF(AF2294&gt;79,"Baik",IF(AF2294&gt;=pub_gid_0_single_true_output_csv[[#This Row],[KKM]],"Cukup","Kurang"))))</f>
        <v>Sangat baik</v>
      </c>
      <c r="AH2294">
        <f t="shared" si="106"/>
        <v>12</v>
      </c>
      <c r="AI2294" s="30" t="str">
        <f>IF(OR(J2294&lt;&gt;"Karakter",pub_gid_0_single_true_output_csv[[#This Row],[Nilai2]]=""),"",IF(AF2294&gt;89,"Sangat baik",IF(AF2294&gt;79,"Baik",IF(AF2294&gt;69,"Cukup",IF(AF2294&gt;59,"Kurang","Sangat kurang")))))</f>
        <v/>
      </c>
      <c r="AJ2294" t="str">
        <f t="shared" si="107"/>
        <v>Wk.8</v>
      </c>
      <c r="AK2294" t="str">
        <f>IF(pub_gid_0_single_true_output_csv[[#This Row],[Nilai2]]="","",VLOOKUP(pub_gid_0_single_true_output_csv[[#This Row],[NAMA]],Table7[],3,FALSE))</f>
        <v>Superior</v>
      </c>
    </row>
    <row r="2295" spans="1:37" x14ac:dyDescent="0.2">
      <c r="A2295">
        <v>2294</v>
      </c>
      <c r="B2295" t="s">
        <v>312</v>
      </c>
      <c r="C2295" t="s">
        <v>65</v>
      </c>
      <c r="D2295" t="s">
        <v>56</v>
      </c>
      <c r="E2295" t="s">
        <v>156</v>
      </c>
      <c r="F2295" s="25">
        <v>46071</v>
      </c>
      <c r="G2295" t="s">
        <v>323</v>
      </c>
      <c r="H2295" t="s">
        <v>412</v>
      </c>
      <c r="I2295" t="s">
        <v>371</v>
      </c>
      <c r="J2295" t="s">
        <v>31</v>
      </c>
      <c r="K2295" t="s">
        <v>96</v>
      </c>
      <c r="L2295" t="s">
        <v>363</v>
      </c>
      <c r="M2295" t="s">
        <v>141</v>
      </c>
      <c r="N2295" t="s">
        <v>142</v>
      </c>
      <c r="O2295" t="s">
        <v>327</v>
      </c>
      <c r="P2295" t="s">
        <v>281</v>
      </c>
      <c r="Q2295" t="s">
        <v>328</v>
      </c>
      <c r="R2295" t="s">
        <v>360</v>
      </c>
      <c r="S2295" t="s">
        <v>375</v>
      </c>
      <c r="T2295">
        <v>1</v>
      </c>
      <c r="U2295" t="s">
        <v>456</v>
      </c>
      <c r="V2295" t="s">
        <v>342</v>
      </c>
      <c r="W2295" t="s">
        <v>458</v>
      </c>
      <c r="X2295" t="s">
        <v>331</v>
      </c>
      <c r="Y2295" t="s">
        <v>307</v>
      </c>
      <c r="Z2295">
        <v>70</v>
      </c>
      <c r="AA2295">
        <v>75</v>
      </c>
      <c r="AB2295" t="s">
        <v>143</v>
      </c>
      <c r="AC2295" t="s">
        <v>53</v>
      </c>
      <c r="AD2295" t="s">
        <v>404</v>
      </c>
      <c r="AE2295" t="str">
        <f>IF(AF2295="","",VLOOKUP(AC2295,mapel!$A$2:$B$42,2,FALSE))</f>
        <v>Sejarah</v>
      </c>
      <c r="AF2295">
        <f t="shared" si="105"/>
        <v>75</v>
      </c>
      <c r="AG2295" t="str">
        <f>IF(AF2295="","",IF(AF2295&gt;90,"Sangat baik",IF(AF2295&gt;79,"Baik",IF(AF2295&gt;=pub_gid_0_single_true_output_csv[[#This Row],[KKM]],"Cukup","Kurang"))))</f>
        <v>Cukup</v>
      </c>
      <c r="AH2295">
        <f t="shared" si="106"/>
        <v>12</v>
      </c>
      <c r="AI2295" s="30" t="str">
        <f>IF(OR(J2295&lt;&gt;"Karakter",pub_gid_0_single_true_output_csv[[#This Row],[Nilai2]]=""),"",IF(AF2295&gt;89,"Sangat baik",IF(AF2295&gt;79,"Baik",IF(AF2295&gt;69,"Cukup",IF(AF2295&gt;59,"Kurang","Sangat kurang")))))</f>
        <v/>
      </c>
      <c r="AJ2295" t="str">
        <f t="shared" si="107"/>
        <v>Wk.8</v>
      </c>
      <c r="AK2295" t="str">
        <f>IF(pub_gid_0_single_true_output_csv[[#This Row],[Nilai2]]="","",VLOOKUP(pub_gid_0_single_true_output_csv[[#This Row],[NAMA]],Table7[],3,FALSE))</f>
        <v>Superior</v>
      </c>
    </row>
    <row r="2296" spans="1:37" x14ac:dyDescent="0.2">
      <c r="A2296">
        <v>2295</v>
      </c>
      <c r="B2296" t="s">
        <v>313</v>
      </c>
      <c r="C2296" t="s">
        <v>65</v>
      </c>
      <c r="D2296" t="s">
        <v>57</v>
      </c>
      <c r="E2296" t="s">
        <v>146</v>
      </c>
      <c r="F2296" s="25">
        <v>46036</v>
      </c>
      <c r="G2296" t="s">
        <v>353</v>
      </c>
      <c r="H2296" t="s">
        <v>405</v>
      </c>
      <c r="I2296" t="s">
        <v>371</v>
      </c>
      <c r="J2296" t="s">
        <v>36</v>
      </c>
      <c r="K2296" t="s">
        <v>37</v>
      </c>
      <c r="L2296" t="s">
        <v>351</v>
      </c>
      <c r="M2296" t="s">
        <v>141</v>
      </c>
      <c r="N2296" t="s">
        <v>142</v>
      </c>
      <c r="O2296" t="s">
        <v>327</v>
      </c>
      <c r="P2296" t="s">
        <v>281</v>
      </c>
      <c r="Q2296" t="s">
        <v>328</v>
      </c>
      <c r="R2296" t="s">
        <v>360</v>
      </c>
      <c r="S2296" t="s">
        <v>330</v>
      </c>
      <c r="T2296">
        <v>1</v>
      </c>
      <c r="U2296" t="s">
        <v>456</v>
      </c>
      <c r="V2296" t="s">
        <v>285</v>
      </c>
      <c r="W2296" t="s">
        <v>457</v>
      </c>
      <c r="X2296" t="s">
        <v>331</v>
      </c>
      <c r="Y2296" t="s">
        <v>307</v>
      </c>
      <c r="Z2296">
        <v>70</v>
      </c>
      <c r="AA2296">
        <v>80</v>
      </c>
      <c r="AB2296" t="s">
        <v>143</v>
      </c>
      <c r="AC2296" t="s">
        <v>53</v>
      </c>
      <c r="AD2296" t="s">
        <v>404</v>
      </c>
      <c r="AE2296" t="str">
        <f>IF(AF2296="","",VLOOKUP(AC2296,mapel!$A$2:$B$42,2,FALSE))</f>
        <v>Sejarah</v>
      </c>
      <c r="AF2296">
        <f t="shared" si="105"/>
        <v>80</v>
      </c>
      <c r="AG2296" t="str">
        <f>IF(AF2296="","",IF(AF2296&gt;90,"Sangat baik",IF(AF2296&gt;79,"Baik",IF(AF2296&gt;=pub_gid_0_single_true_output_csv[[#This Row],[KKM]],"Cukup","Kurang"))))</f>
        <v>Baik</v>
      </c>
      <c r="AH2296">
        <f t="shared" si="106"/>
        <v>12</v>
      </c>
      <c r="AI2296" s="30" t="str">
        <f>IF(OR(J2296&lt;&gt;"Karakter",pub_gid_0_single_true_output_csv[[#This Row],[Nilai2]]=""),"",IF(AF2296&gt;89,"Sangat baik",IF(AF2296&gt;79,"Baik",IF(AF2296&gt;69,"Cukup",IF(AF2296&gt;59,"Kurang","Sangat kurang")))))</f>
        <v/>
      </c>
      <c r="AJ2296" t="str">
        <f t="shared" si="107"/>
        <v>Wk.3</v>
      </c>
      <c r="AK2296" t="str">
        <f>IF(pub_gid_0_single_true_output_csv[[#This Row],[Nilai2]]="","",VLOOKUP(pub_gid_0_single_true_output_csv[[#This Row],[NAMA]],Table7[],3,FALSE))</f>
        <v>High average</v>
      </c>
    </row>
    <row r="2297" spans="1:37" x14ac:dyDescent="0.2">
      <c r="A2297">
        <v>2296</v>
      </c>
      <c r="B2297" t="s">
        <v>313</v>
      </c>
      <c r="C2297" t="s">
        <v>65</v>
      </c>
      <c r="D2297" t="s">
        <v>57</v>
      </c>
      <c r="E2297" t="s">
        <v>146</v>
      </c>
      <c r="F2297" s="25">
        <v>46036</v>
      </c>
      <c r="G2297" t="s">
        <v>353</v>
      </c>
      <c r="H2297" t="s">
        <v>405</v>
      </c>
      <c r="I2297" t="s">
        <v>371</v>
      </c>
      <c r="J2297" t="s">
        <v>31</v>
      </c>
      <c r="K2297" t="s">
        <v>96</v>
      </c>
      <c r="L2297" t="s">
        <v>351</v>
      </c>
      <c r="M2297" t="s">
        <v>141</v>
      </c>
      <c r="N2297" t="s">
        <v>142</v>
      </c>
      <c r="O2297" t="s">
        <v>327</v>
      </c>
      <c r="P2297" t="s">
        <v>281</v>
      </c>
      <c r="Q2297" t="s">
        <v>328</v>
      </c>
      <c r="R2297" t="s">
        <v>360</v>
      </c>
      <c r="S2297" t="s">
        <v>330</v>
      </c>
      <c r="T2297">
        <v>1</v>
      </c>
      <c r="U2297" t="s">
        <v>456</v>
      </c>
      <c r="V2297" t="s">
        <v>285</v>
      </c>
      <c r="W2297" t="s">
        <v>457</v>
      </c>
      <c r="X2297" t="s">
        <v>331</v>
      </c>
      <c r="Y2297" t="s">
        <v>307</v>
      </c>
      <c r="Z2297">
        <v>70</v>
      </c>
      <c r="AA2297">
        <v>70</v>
      </c>
      <c r="AB2297" t="s">
        <v>143</v>
      </c>
      <c r="AC2297" t="s">
        <v>53</v>
      </c>
      <c r="AD2297" t="s">
        <v>404</v>
      </c>
      <c r="AE2297" t="str">
        <f>IF(AF2297="","",VLOOKUP(AC2297,mapel!$A$2:$B$42,2,FALSE))</f>
        <v>Sejarah</v>
      </c>
      <c r="AF2297">
        <f t="shared" si="105"/>
        <v>70</v>
      </c>
      <c r="AG2297" t="str">
        <f>IF(AF2297="","",IF(AF2297&gt;90,"Sangat baik",IF(AF2297&gt;79,"Baik",IF(AF2297&gt;=pub_gid_0_single_true_output_csv[[#This Row],[KKM]],"Cukup","Kurang"))))</f>
        <v>Cukup</v>
      </c>
      <c r="AH2297">
        <f t="shared" si="106"/>
        <v>12</v>
      </c>
      <c r="AI2297" s="30" t="str">
        <f>IF(OR(J2297&lt;&gt;"Karakter",pub_gid_0_single_true_output_csv[[#This Row],[Nilai2]]=""),"",IF(AF2297&gt;89,"Sangat baik",IF(AF2297&gt;79,"Baik",IF(AF2297&gt;69,"Cukup",IF(AF2297&gt;59,"Kurang","Sangat kurang")))))</f>
        <v/>
      </c>
      <c r="AJ2297" t="str">
        <f t="shared" si="107"/>
        <v>Wk.3</v>
      </c>
      <c r="AK2297" t="str">
        <f>IF(pub_gid_0_single_true_output_csv[[#This Row],[Nilai2]]="","",VLOOKUP(pub_gid_0_single_true_output_csv[[#This Row],[NAMA]],Table7[],3,FALSE))</f>
        <v>High average</v>
      </c>
    </row>
    <row r="2298" spans="1:37" x14ac:dyDescent="0.2">
      <c r="A2298">
        <v>2297</v>
      </c>
      <c r="B2298" t="s">
        <v>313</v>
      </c>
      <c r="C2298" t="s">
        <v>65</v>
      </c>
      <c r="D2298" t="s">
        <v>57</v>
      </c>
      <c r="E2298" t="s">
        <v>146</v>
      </c>
      <c r="F2298" s="25">
        <v>46036</v>
      </c>
      <c r="G2298" t="s">
        <v>353</v>
      </c>
      <c r="H2298" t="s">
        <v>405</v>
      </c>
      <c r="I2298" t="s">
        <v>371</v>
      </c>
      <c r="J2298" t="s">
        <v>90</v>
      </c>
      <c r="K2298" t="s">
        <v>92</v>
      </c>
      <c r="L2298" t="s">
        <v>91</v>
      </c>
      <c r="M2298" t="s">
        <v>141</v>
      </c>
      <c r="N2298" t="s">
        <v>142</v>
      </c>
      <c r="O2298" t="s">
        <v>327</v>
      </c>
      <c r="P2298" t="s">
        <v>281</v>
      </c>
      <c r="Q2298" t="s">
        <v>328</v>
      </c>
      <c r="R2298" t="s">
        <v>360</v>
      </c>
      <c r="S2298" t="s">
        <v>330</v>
      </c>
      <c r="T2298">
        <v>1</v>
      </c>
      <c r="U2298" t="s">
        <v>456</v>
      </c>
      <c r="V2298" t="s">
        <v>285</v>
      </c>
      <c r="W2298" t="s">
        <v>457</v>
      </c>
      <c r="X2298" t="s">
        <v>331</v>
      </c>
      <c r="Y2298" t="s">
        <v>307</v>
      </c>
      <c r="Z2298">
        <v>70</v>
      </c>
      <c r="AA2298">
        <v>79</v>
      </c>
      <c r="AB2298" t="s">
        <v>143</v>
      </c>
      <c r="AC2298" t="s">
        <v>53</v>
      </c>
      <c r="AD2298" t="s">
        <v>404</v>
      </c>
      <c r="AE2298" t="str">
        <f>IF(AF2298="","",VLOOKUP(AC2298,mapel!$A$2:$B$42,2,FALSE))</f>
        <v>Sejarah</v>
      </c>
      <c r="AF2298">
        <f t="shared" si="105"/>
        <v>79</v>
      </c>
      <c r="AG2298" t="str">
        <f>IF(AF2298="","",IF(AF2298&gt;90,"Sangat baik",IF(AF2298&gt;79,"Baik",IF(AF2298&gt;=pub_gid_0_single_true_output_csv[[#This Row],[KKM]],"Cukup","Kurang"))))</f>
        <v>Cukup</v>
      </c>
      <c r="AH2298">
        <f t="shared" si="106"/>
        <v>12</v>
      </c>
      <c r="AI2298" s="30" t="str">
        <f>IF(OR(J2298&lt;&gt;"Karakter",pub_gid_0_single_true_output_csv[[#This Row],[Nilai2]]=""),"",IF(AF2298&gt;89,"Sangat baik",IF(AF2298&gt;79,"Baik",IF(AF2298&gt;69,"Cukup",IF(AF2298&gt;59,"Kurang","Sangat kurang")))))</f>
        <v>Cukup</v>
      </c>
      <c r="AJ2298" t="str">
        <f t="shared" si="107"/>
        <v>Wk.3</v>
      </c>
      <c r="AK2298" t="str">
        <f>IF(pub_gid_0_single_true_output_csv[[#This Row],[Nilai2]]="","",VLOOKUP(pub_gid_0_single_true_output_csv[[#This Row],[NAMA]],Table7[],3,FALSE))</f>
        <v>High average</v>
      </c>
    </row>
    <row r="2299" spans="1:37" x14ac:dyDescent="0.2">
      <c r="A2299">
        <v>2298</v>
      </c>
      <c r="B2299" t="s">
        <v>313</v>
      </c>
      <c r="C2299" t="s">
        <v>65</v>
      </c>
      <c r="D2299" t="s">
        <v>57</v>
      </c>
      <c r="E2299" t="s">
        <v>146</v>
      </c>
      <c r="F2299" s="25">
        <v>46036</v>
      </c>
      <c r="G2299" t="s">
        <v>353</v>
      </c>
      <c r="H2299" t="s">
        <v>405</v>
      </c>
      <c r="I2299" t="s">
        <v>371</v>
      </c>
      <c r="J2299" t="s">
        <v>279</v>
      </c>
      <c r="K2299" t="s">
        <v>280</v>
      </c>
      <c r="L2299" t="s">
        <v>322</v>
      </c>
      <c r="M2299" t="s">
        <v>141</v>
      </c>
      <c r="N2299" t="s">
        <v>142</v>
      </c>
      <c r="O2299" t="s">
        <v>327</v>
      </c>
      <c r="P2299" t="s">
        <v>281</v>
      </c>
      <c r="Q2299" t="s">
        <v>328</v>
      </c>
      <c r="R2299" t="s">
        <v>360</v>
      </c>
      <c r="S2299" t="s">
        <v>330</v>
      </c>
      <c r="T2299">
        <v>1</v>
      </c>
      <c r="U2299" t="s">
        <v>456</v>
      </c>
      <c r="V2299" t="s">
        <v>285</v>
      </c>
      <c r="W2299" t="s">
        <v>457</v>
      </c>
      <c r="X2299" t="s">
        <v>331</v>
      </c>
      <c r="Y2299" t="s">
        <v>307</v>
      </c>
      <c r="Z2299">
        <v>70</v>
      </c>
      <c r="AA2299">
        <v>75</v>
      </c>
      <c r="AB2299" t="s">
        <v>143</v>
      </c>
      <c r="AC2299" t="s">
        <v>53</v>
      </c>
      <c r="AD2299" t="s">
        <v>404</v>
      </c>
      <c r="AE2299" t="str">
        <f>IF(AF2299="","",VLOOKUP(AC2299,mapel!$A$2:$B$42,2,FALSE))</f>
        <v>Sejarah</v>
      </c>
      <c r="AF2299">
        <f t="shared" si="105"/>
        <v>75</v>
      </c>
      <c r="AG2299" t="str">
        <f>IF(AF2299="","",IF(AF2299&gt;90,"Sangat baik",IF(AF2299&gt;79,"Baik",IF(AF2299&gt;=pub_gid_0_single_true_output_csv[[#This Row],[KKM]],"Cukup","Kurang"))))</f>
        <v>Cukup</v>
      </c>
      <c r="AH2299">
        <f t="shared" si="106"/>
        <v>12</v>
      </c>
      <c r="AI2299" s="30" t="str">
        <f>IF(OR(J2299&lt;&gt;"Karakter",pub_gid_0_single_true_output_csv[[#This Row],[Nilai2]]=""),"",IF(AF2299&gt;89,"Sangat baik",IF(AF2299&gt;79,"Baik",IF(AF2299&gt;69,"Cukup",IF(AF2299&gt;59,"Kurang","Sangat kurang")))))</f>
        <v/>
      </c>
      <c r="AJ2299" t="str">
        <f t="shared" si="107"/>
        <v>Wk.3</v>
      </c>
      <c r="AK2299" t="str">
        <f>IF(pub_gid_0_single_true_output_csv[[#This Row],[Nilai2]]="","",VLOOKUP(pub_gid_0_single_true_output_csv[[#This Row],[NAMA]],Table7[],3,FALSE))</f>
        <v>High average</v>
      </c>
    </row>
    <row r="2300" spans="1:37" x14ac:dyDescent="0.2">
      <c r="A2300">
        <v>2299</v>
      </c>
      <c r="B2300" t="s">
        <v>313</v>
      </c>
      <c r="C2300" t="s">
        <v>65</v>
      </c>
      <c r="D2300" t="s">
        <v>57</v>
      </c>
      <c r="E2300" t="s">
        <v>146</v>
      </c>
      <c r="F2300" s="25">
        <v>46043</v>
      </c>
      <c r="G2300" t="s">
        <v>341</v>
      </c>
      <c r="H2300" t="s">
        <v>405</v>
      </c>
      <c r="I2300" t="s">
        <v>371</v>
      </c>
      <c r="J2300" t="s">
        <v>36</v>
      </c>
      <c r="K2300" t="s">
        <v>37</v>
      </c>
      <c r="L2300" t="s">
        <v>351</v>
      </c>
      <c r="M2300" t="s">
        <v>141</v>
      </c>
      <c r="N2300" t="s">
        <v>142</v>
      </c>
      <c r="O2300" t="s">
        <v>327</v>
      </c>
      <c r="P2300" t="s">
        <v>281</v>
      </c>
      <c r="Q2300" t="s">
        <v>328</v>
      </c>
      <c r="R2300" t="s">
        <v>360</v>
      </c>
      <c r="S2300" t="s">
        <v>330</v>
      </c>
      <c r="T2300">
        <v>1</v>
      </c>
      <c r="U2300" t="s">
        <v>456</v>
      </c>
      <c r="V2300" t="s">
        <v>285</v>
      </c>
      <c r="W2300" t="s">
        <v>457</v>
      </c>
      <c r="X2300" t="s">
        <v>331</v>
      </c>
      <c r="Y2300" t="s">
        <v>307</v>
      </c>
      <c r="Z2300">
        <v>70</v>
      </c>
      <c r="AA2300">
        <v>75</v>
      </c>
      <c r="AB2300" t="s">
        <v>143</v>
      </c>
      <c r="AC2300" t="s">
        <v>53</v>
      </c>
      <c r="AD2300" t="s">
        <v>404</v>
      </c>
      <c r="AE2300" t="str">
        <f>IF(AF2300="","",VLOOKUP(AC2300,mapel!$A$2:$B$42,2,FALSE))</f>
        <v>Sejarah</v>
      </c>
      <c r="AF2300">
        <f t="shared" si="105"/>
        <v>75</v>
      </c>
      <c r="AG2300" t="str">
        <f>IF(AF2300="","",IF(AF2300&gt;90,"Sangat baik",IF(AF2300&gt;79,"Baik",IF(AF2300&gt;=pub_gid_0_single_true_output_csv[[#This Row],[KKM]],"Cukup","Kurang"))))</f>
        <v>Cukup</v>
      </c>
      <c r="AH2300">
        <f t="shared" si="106"/>
        <v>12</v>
      </c>
      <c r="AI2300" s="30" t="str">
        <f>IF(OR(J2300&lt;&gt;"Karakter",pub_gid_0_single_true_output_csv[[#This Row],[Nilai2]]=""),"",IF(AF2300&gt;89,"Sangat baik",IF(AF2300&gt;79,"Baik",IF(AF2300&gt;69,"Cukup",IF(AF2300&gt;59,"Kurang","Sangat kurang")))))</f>
        <v/>
      </c>
      <c r="AJ2300" t="str">
        <f t="shared" si="107"/>
        <v>Wk.4</v>
      </c>
      <c r="AK2300" t="str">
        <f>IF(pub_gid_0_single_true_output_csv[[#This Row],[Nilai2]]="","",VLOOKUP(pub_gid_0_single_true_output_csv[[#This Row],[NAMA]],Table7[],3,FALSE))</f>
        <v>High average</v>
      </c>
    </row>
    <row r="2301" spans="1:37" x14ac:dyDescent="0.2">
      <c r="A2301">
        <v>2300</v>
      </c>
      <c r="B2301" t="s">
        <v>313</v>
      </c>
      <c r="C2301" t="s">
        <v>65</v>
      </c>
      <c r="D2301" t="s">
        <v>57</v>
      </c>
      <c r="E2301" t="s">
        <v>146</v>
      </c>
      <c r="F2301" s="25">
        <v>46043</v>
      </c>
      <c r="G2301" t="s">
        <v>341</v>
      </c>
      <c r="H2301" t="s">
        <v>405</v>
      </c>
      <c r="I2301" t="s">
        <v>371</v>
      </c>
      <c r="J2301" t="s">
        <v>31</v>
      </c>
      <c r="K2301" t="s">
        <v>96</v>
      </c>
      <c r="L2301" t="s">
        <v>367</v>
      </c>
      <c r="M2301" t="s">
        <v>141</v>
      </c>
      <c r="N2301" t="s">
        <v>142</v>
      </c>
      <c r="O2301" t="s">
        <v>327</v>
      </c>
      <c r="P2301" t="s">
        <v>281</v>
      </c>
      <c r="Q2301" t="s">
        <v>328</v>
      </c>
      <c r="R2301" t="s">
        <v>360</v>
      </c>
      <c r="S2301" t="s">
        <v>330</v>
      </c>
      <c r="T2301">
        <v>1</v>
      </c>
      <c r="U2301" t="s">
        <v>456</v>
      </c>
      <c r="V2301" t="s">
        <v>285</v>
      </c>
      <c r="W2301" t="s">
        <v>457</v>
      </c>
      <c r="X2301" t="s">
        <v>331</v>
      </c>
      <c r="Y2301" t="s">
        <v>307</v>
      </c>
      <c r="Z2301">
        <v>70</v>
      </c>
      <c r="AA2301">
        <v>70</v>
      </c>
      <c r="AB2301" t="s">
        <v>143</v>
      </c>
      <c r="AC2301" t="s">
        <v>53</v>
      </c>
      <c r="AD2301" t="s">
        <v>404</v>
      </c>
      <c r="AE2301" t="str">
        <f>IF(AF2301="","",VLOOKUP(AC2301,mapel!$A$2:$B$42,2,FALSE))</f>
        <v>Sejarah</v>
      </c>
      <c r="AF2301">
        <f t="shared" si="105"/>
        <v>70</v>
      </c>
      <c r="AG2301" t="str">
        <f>IF(AF2301="","",IF(AF2301&gt;90,"Sangat baik",IF(AF2301&gt;79,"Baik",IF(AF2301&gt;=pub_gid_0_single_true_output_csv[[#This Row],[KKM]],"Cukup","Kurang"))))</f>
        <v>Cukup</v>
      </c>
      <c r="AH2301">
        <f t="shared" si="106"/>
        <v>12</v>
      </c>
      <c r="AI2301" s="30" t="str">
        <f>IF(OR(J2301&lt;&gt;"Karakter",pub_gid_0_single_true_output_csv[[#This Row],[Nilai2]]=""),"",IF(AF2301&gt;89,"Sangat baik",IF(AF2301&gt;79,"Baik",IF(AF2301&gt;69,"Cukup",IF(AF2301&gt;59,"Kurang","Sangat kurang")))))</f>
        <v/>
      </c>
      <c r="AJ2301" t="str">
        <f t="shared" si="107"/>
        <v>Wk.4</v>
      </c>
      <c r="AK2301" t="str">
        <f>IF(pub_gid_0_single_true_output_csv[[#This Row],[Nilai2]]="","",VLOOKUP(pub_gid_0_single_true_output_csv[[#This Row],[NAMA]],Table7[],3,FALSE))</f>
        <v>High average</v>
      </c>
    </row>
    <row r="2302" spans="1:37" x14ac:dyDescent="0.2">
      <c r="A2302">
        <v>2301</v>
      </c>
      <c r="B2302" t="s">
        <v>313</v>
      </c>
      <c r="C2302" t="s">
        <v>65</v>
      </c>
      <c r="D2302" t="s">
        <v>57</v>
      </c>
      <c r="E2302" t="s">
        <v>146</v>
      </c>
      <c r="F2302" s="25">
        <v>46043</v>
      </c>
      <c r="G2302" t="s">
        <v>341</v>
      </c>
      <c r="H2302" t="s">
        <v>405</v>
      </c>
      <c r="I2302" t="s">
        <v>371</v>
      </c>
      <c r="J2302" t="s">
        <v>90</v>
      </c>
      <c r="K2302" t="s">
        <v>92</v>
      </c>
      <c r="L2302" t="s">
        <v>93</v>
      </c>
      <c r="M2302" t="s">
        <v>141</v>
      </c>
      <c r="N2302" t="s">
        <v>142</v>
      </c>
      <c r="O2302" t="s">
        <v>327</v>
      </c>
      <c r="P2302" t="s">
        <v>281</v>
      </c>
      <c r="Q2302" t="s">
        <v>328</v>
      </c>
      <c r="R2302" t="s">
        <v>360</v>
      </c>
      <c r="S2302" t="s">
        <v>330</v>
      </c>
      <c r="T2302">
        <v>1</v>
      </c>
      <c r="U2302" t="s">
        <v>456</v>
      </c>
      <c r="V2302" t="s">
        <v>285</v>
      </c>
      <c r="W2302" t="s">
        <v>457</v>
      </c>
      <c r="X2302" t="s">
        <v>331</v>
      </c>
      <c r="Y2302" t="s">
        <v>307</v>
      </c>
      <c r="Z2302">
        <v>70</v>
      </c>
      <c r="AA2302">
        <v>80</v>
      </c>
      <c r="AB2302" t="s">
        <v>143</v>
      </c>
      <c r="AC2302" t="s">
        <v>53</v>
      </c>
      <c r="AD2302" t="s">
        <v>404</v>
      </c>
      <c r="AE2302" t="str">
        <f>IF(AF2302="","",VLOOKUP(AC2302,mapel!$A$2:$B$42,2,FALSE))</f>
        <v>Sejarah</v>
      </c>
      <c r="AF2302">
        <f t="shared" si="105"/>
        <v>80</v>
      </c>
      <c r="AG2302" t="str">
        <f>IF(AF2302="","",IF(AF2302&gt;90,"Sangat baik",IF(AF2302&gt;79,"Baik",IF(AF2302&gt;=pub_gid_0_single_true_output_csv[[#This Row],[KKM]],"Cukup","Kurang"))))</f>
        <v>Baik</v>
      </c>
      <c r="AH2302">
        <f t="shared" si="106"/>
        <v>12</v>
      </c>
      <c r="AI2302" s="30" t="str">
        <f>IF(OR(J2302&lt;&gt;"Karakter",pub_gid_0_single_true_output_csv[[#This Row],[Nilai2]]=""),"",IF(AF2302&gt;89,"Sangat baik",IF(AF2302&gt;79,"Baik",IF(AF2302&gt;69,"Cukup",IF(AF2302&gt;59,"Kurang","Sangat kurang")))))</f>
        <v>Baik</v>
      </c>
      <c r="AJ2302" t="str">
        <f t="shared" si="107"/>
        <v>Wk.4</v>
      </c>
      <c r="AK2302" t="str">
        <f>IF(pub_gid_0_single_true_output_csv[[#This Row],[Nilai2]]="","",VLOOKUP(pub_gid_0_single_true_output_csv[[#This Row],[NAMA]],Table7[],3,FALSE))</f>
        <v>High average</v>
      </c>
    </row>
    <row r="2303" spans="1:37" x14ac:dyDescent="0.2">
      <c r="A2303">
        <v>2302</v>
      </c>
      <c r="B2303" t="s">
        <v>313</v>
      </c>
      <c r="C2303" t="s">
        <v>65</v>
      </c>
      <c r="D2303" t="s">
        <v>57</v>
      </c>
      <c r="E2303" t="s">
        <v>146</v>
      </c>
      <c r="F2303" s="25">
        <v>46043</v>
      </c>
      <c r="G2303" t="s">
        <v>341</v>
      </c>
      <c r="H2303" t="s">
        <v>405</v>
      </c>
      <c r="I2303" t="s">
        <v>371</v>
      </c>
      <c r="J2303" t="s">
        <v>279</v>
      </c>
      <c r="K2303" t="s">
        <v>280</v>
      </c>
      <c r="L2303" t="s">
        <v>322</v>
      </c>
      <c r="M2303" t="s">
        <v>141</v>
      </c>
      <c r="N2303" t="s">
        <v>142</v>
      </c>
      <c r="O2303" t="s">
        <v>327</v>
      </c>
      <c r="P2303" t="s">
        <v>281</v>
      </c>
      <c r="Q2303" t="s">
        <v>328</v>
      </c>
      <c r="R2303" t="s">
        <v>360</v>
      </c>
      <c r="S2303" t="s">
        <v>330</v>
      </c>
      <c r="T2303">
        <v>1</v>
      </c>
      <c r="U2303" t="s">
        <v>456</v>
      </c>
      <c r="V2303" t="s">
        <v>285</v>
      </c>
      <c r="W2303" t="s">
        <v>457</v>
      </c>
      <c r="X2303" t="s">
        <v>331</v>
      </c>
      <c r="Y2303" t="s">
        <v>307</v>
      </c>
      <c r="Z2303">
        <v>70</v>
      </c>
      <c r="AA2303">
        <v>70</v>
      </c>
      <c r="AB2303" t="s">
        <v>143</v>
      </c>
      <c r="AC2303" t="s">
        <v>53</v>
      </c>
      <c r="AD2303" t="s">
        <v>404</v>
      </c>
      <c r="AE2303" t="str">
        <f>IF(AF2303="","",VLOOKUP(AC2303,mapel!$A$2:$B$42,2,FALSE))</f>
        <v>Sejarah</v>
      </c>
      <c r="AF2303">
        <f t="shared" si="105"/>
        <v>70</v>
      </c>
      <c r="AG2303" t="str">
        <f>IF(AF2303="","",IF(AF2303&gt;90,"Sangat baik",IF(AF2303&gt;79,"Baik",IF(AF2303&gt;=pub_gid_0_single_true_output_csv[[#This Row],[KKM]],"Cukup","Kurang"))))</f>
        <v>Cukup</v>
      </c>
      <c r="AH2303">
        <f t="shared" si="106"/>
        <v>12</v>
      </c>
      <c r="AI2303" s="30" t="str">
        <f>IF(OR(J2303&lt;&gt;"Karakter",pub_gid_0_single_true_output_csv[[#This Row],[Nilai2]]=""),"",IF(AF2303&gt;89,"Sangat baik",IF(AF2303&gt;79,"Baik",IF(AF2303&gt;69,"Cukup",IF(AF2303&gt;59,"Kurang","Sangat kurang")))))</f>
        <v/>
      </c>
      <c r="AJ2303" t="str">
        <f t="shared" si="107"/>
        <v>Wk.4</v>
      </c>
      <c r="AK2303" t="str">
        <f>IF(pub_gid_0_single_true_output_csv[[#This Row],[Nilai2]]="","",VLOOKUP(pub_gid_0_single_true_output_csv[[#This Row],[NAMA]],Table7[],3,FALSE))</f>
        <v>High average</v>
      </c>
    </row>
    <row r="2304" spans="1:37" x14ac:dyDescent="0.2">
      <c r="A2304">
        <v>2303</v>
      </c>
      <c r="B2304" t="s">
        <v>313</v>
      </c>
      <c r="C2304" t="s">
        <v>65</v>
      </c>
      <c r="D2304" t="s">
        <v>57</v>
      </c>
      <c r="E2304" t="s">
        <v>146</v>
      </c>
      <c r="F2304" s="25">
        <v>46050</v>
      </c>
      <c r="G2304" t="s">
        <v>308</v>
      </c>
      <c r="H2304" t="s">
        <v>405</v>
      </c>
      <c r="I2304" t="s">
        <v>371</v>
      </c>
      <c r="J2304" t="s">
        <v>36</v>
      </c>
      <c r="K2304" t="s">
        <v>37</v>
      </c>
      <c r="L2304" t="s">
        <v>351</v>
      </c>
      <c r="M2304" t="s">
        <v>141</v>
      </c>
      <c r="N2304" t="s">
        <v>142</v>
      </c>
      <c r="O2304" t="s">
        <v>327</v>
      </c>
      <c r="P2304" t="s">
        <v>281</v>
      </c>
      <c r="Q2304" t="s">
        <v>328</v>
      </c>
      <c r="R2304" t="s">
        <v>360</v>
      </c>
      <c r="S2304" t="s">
        <v>375</v>
      </c>
      <c r="T2304">
        <v>1</v>
      </c>
      <c r="U2304" t="s">
        <v>456</v>
      </c>
      <c r="V2304" t="s">
        <v>342</v>
      </c>
      <c r="W2304" t="s">
        <v>458</v>
      </c>
      <c r="X2304" t="s">
        <v>331</v>
      </c>
      <c r="Y2304" t="s">
        <v>307</v>
      </c>
      <c r="Z2304">
        <v>70</v>
      </c>
      <c r="AA2304">
        <v>80</v>
      </c>
      <c r="AB2304" t="s">
        <v>143</v>
      </c>
      <c r="AC2304" t="s">
        <v>53</v>
      </c>
      <c r="AD2304" t="s">
        <v>404</v>
      </c>
      <c r="AE2304" t="str">
        <f>IF(AF2304="","",VLOOKUP(AC2304,mapel!$A$2:$B$42,2,FALSE))</f>
        <v>Sejarah</v>
      </c>
      <c r="AF2304">
        <f t="shared" si="105"/>
        <v>80</v>
      </c>
      <c r="AG2304" t="str">
        <f>IF(AF2304="","",IF(AF2304&gt;90,"Sangat baik",IF(AF2304&gt;79,"Baik",IF(AF2304&gt;=pub_gid_0_single_true_output_csv[[#This Row],[KKM]],"Cukup","Kurang"))))</f>
        <v>Baik</v>
      </c>
      <c r="AH2304">
        <f t="shared" si="106"/>
        <v>12</v>
      </c>
      <c r="AI2304" s="30" t="str">
        <f>IF(OR(J2304&lt;&gt;"Karakter",pub_gid_0_single_true_output_csv[[#This Row],[Nilai2]]=""),"",IF(AF2304&gt;89,"Sangat baik",IF(AF2304&gt;79,"Baik",IF(AF2304&gt;69,"Cukup",IF(AF2304&gt;59,"Kurang","Sangat kurang")))))</f>
        <v/>
      </c>
      <c r="AJ2304" t="str">
        <f t="shared" si="107"/>
        <v>Wk.5</v>
      </c>
      <c r="AK2304" t="str">
        <f>IF(pub_gid_0_single_true_output_csv[[#This Row],[Nilai2]]="","",VLOOKUP(pub_gid_0_single_true_output_csv[[#This Row],[NAMA]],Table7[],3,FALSE))</f>
        <v>High average</v>
      </c>
    </row>
    <row r="2305" spans="1:37" x14ac:dyDescent="0.2">
      <c r="A2305">
        <v>2304</v>
      </c>
      <c r="B2305" t="s">
        <v>313</v>
      </c>
      <c r="C2305" t="s">
        <v>65</v>
      </c>
      <c r="D2305" t="s">
        <v>57</v>
      </c>
      <c r="E2305" t="s">
        <v>146</v>
      </c>
      <c r="F2305" s="25">
        <v>46050</v>
      </c>
      <c r="G2305" t="s">
        <v>308</v>
      </c>
      <c r="H2305" t="s">
        <v>405</v>
      </c>
      <c r="I2305" t="s">
        <v>371</v>
      </c>
      <c r="J2305" t="s">
        <v>31</v>
      </c>
      <c r="K2305" t="s">
        <v>96</v>
      </c>
      <c r="L2305" t="s">
        <v>351</v>
      </c>
      <c r="M2305" t="s">
        <v>141</v>
      </c>
      <c r="N2305" t="s">
        <v>142</v>
      </c>
      <c r="O2305" t="s">
        <v>327</v>
      </c>
      <c r="P2305" t="s">
        <v>281</v>
      </c>
      <c r="Q2305" t="s">
        <v>328</v>
      </c>
      <c r="R2305" t="s">
        <v>360</v>
      </c>
      <c r="S2305" t="s">
        <v>375</v>
      </c>
      <c r="T2305">
        <v>1</v>
      </c>
      <c r="U2305" t="s">
        <v>456</v>
      </c>
      <c r="V2305" t="s">
        <v>342</v>
      </c>
      <c r="W2305" t="s">
        <v>458</v>
      </c>
      <c r="X2305" t="s">
        <v>331</v>
      </c>
      <c r="Y2305" t="s">
        <v>307</v>
      </c>
      <c r="Z2305">
        <v>70</v>
      </c>
      <c r="AA2305">
        <v>75</v>
      </c>
      <c r="AB2305" t="s">
        <v>143</v>
      </c>
      <c r="AC2305" t="s">
        <v>53</v>
      </c>
      <c r="AD2305" t="s">
        <v>404</v>
      </c>
      <c r="AE2305" t="str">
        <f>IF(AF2305="","",VLOOKUP(AC2305,mapel!$A$2:$B$42,2,FALSE))</f>
        <v>Sejarah</v>
      </c>
      <c r="AF2305">
        <f t="shared" si="105"/>
        <v>75</v>
      </c>
      <c r="AG2305" t="str">
        <f>IF(AF2305="","",IF(AF2305&gt;90,"Sangat baik",IF(AF2305&gt;79,"Baik",IF(AF2305&gt;=pub_gid_0_single_true_output_csv[[#This Row],[KKM]],"Cukup","Kurang"))))</f>
        <v>Cukup</v>
      </c>
      <c r="AH2305">
        <f t="shared" si="106"/>
        <v>12</v>
      </c>
      <c r="AI2305" s="30" t="str">
        <f>IF(OR(J2305&lt;&gt;"Karakter",pub_gid_0_single_true_output_csv[[#This Row],[Nilai2]]=""),"",IF(AF2305&gt;89,"Sangat baik",IF(AF2305&gt;79,"Baik",IF(AF2305&gt;69,"Cukup",IF(AF2305&gt;59,"Kurang","Sangat kurang")))))</f>
        <v/>
      </c>
      <c r="AJ2305" t="str">
        <f t="shared" si="107"/>
        <v>Wk.5</v>
      </c>
      <c r="AK2305" t="str">
        <f>IF(pub_gid_0_single_true_output_csv[[#This Row],[Nilai2]]="","",VLOOKUP(pub_gid_0_single_true_output_csv[[#This Row],[NAMA]],Table7[],3,FALSE))</f>
        <v>High average</v>
      </c>
    </row>
    <row r="2306" spans="1:37" x14ac:dyDescent="0.2">
      <c r="A2306">
        <v>2305</v>
      </c>
      <c r="B2306" t="s">
        <v>313</v>
      </c>
      <c r="C2306" t="s">
        <v>65</v>
      </c>
      <c r="D2306" t="s">
        <v>57</v>
      </c>
      <c r="E2306" t="s">
        <v>146</v>
      </c>
      <c r="F2306" s="25">
        <v>46050</v>
      </c>
      <c r="G2306" t="s">
        <v>308</v>
      </c>
      <c r="H2306" t="s">
        <v>405</v>
      </c>
      <c r="I2306" t="s">
        <v>371</v>
      </c>
      <c r="J2306" t="s">
        <v>90</v>
      </c>
      <c r="K2306" t="s">
        <v>92</v>
      </c>
      <c r="L2306" t="s">
        <v>93</v>
      </c>
      <c r="M2306" t="s">
        <v>141</v>
      </c>
      <c r="N2306" t="s">
        <v>142</v>
      </c>
      <c r="O2306" t="s">
        <v>327</v>
      </c>
      <c r="P2306" t="s">
        <v>281</v>
      </c>
      <c r="Q2306" t="s">
        <v>328</v>
      </c>
      <c r="R2306" t="s">
        <v>360</v>
      </c>
      <c r="S2306" t="s">
        <v>375</v>
      </c>
      <c r="T2306">
        <v>1</v>
      </c>
      <c r="U2306" t="s">
        <v>456</v>
      </c>
      <c r="V2306" t="s">
        <v>342</v>
      </c>
      <c r="W2306" t="s">
        <v>458</v>
      </c>
      <c r="X2306" t="s">
        <v>331</v>
      </c>
      <c r="Y2306" t="s">
        <v>307</v>
      </c>
      <c r="Z2306">
        <v>70</v>
      </c>
      <c r="AA2306">
        <v>70</v>
      </c>
      <c r="AB2306" t="s">
        <v>143</v>
      </c>
      <c r="AC2306" t="s">
        <v>53</v>
      </c>
      <c r="AD2306" t="s">
        <v>404</v>
      </c>
      <c r="AE2306" t="str">
        <f>IF(AF2306="","",VLOOKUP(AC2306,mapel!$A$2:$B$42,2,FALSE))</f>
        <v>Sejarah</v>
      </c>
      <c r="AF2306">
        <f t="shared" ref="AF2306:AF2369" si="108">IF(AA2306=0, "",IF(AA2306 = 0.1, 0,AA2306))</f>
        <v>70</v>
      </c>
      <c r="AG2306" t="str">
        <f>IF(AF2306="","",IF(AF2306&gt;90,"Sangat baik",IF(AF2306&gt;79,"Baik",IF(AF2306&gt;=pub_gid_0_single_true_output_csv[[#This Row],[KKM]],"Cukup","Kurang"))))</f>
        <v>Cukup</v>
      </c>
      <c r="AH2306">
        <f t="shared" ref="AH2306:AH2369" si="109">IF(AG2306="","",VALUE(RIGHT(X2306,2)))</f>
        <v>12</v>
      </c>
      <c r="AI2306" s="30" t="str">
        <f>IF(OR(J2306&lt;&gt;"Karakter",pub_gid_0_single_true_output_csv[[#This Row],[Nilai2]]=""),"",IF(AF2306&gt;89,"Sangat baik",IF(AF2306&gt;79,"Baik",IF(AF2306&gt;69,"Cukup",IF(AF2306&gt;59,"Kurang","Sangat kurang")))))</f>
        <v>Cukup</v>
      </c>
      <c r="AJ2306" t="str">
        <f t="shared" ref="AJ2306:AJ2369" si="110">IF(AF2306="","",CONCATENATE("Wk.",WEEKNUM(F2306,2)))</f>
        <v>Wk.5</v>
      </c>
      <c r="AK2306" t="str">
        <f>IF(pub_gid_0_single_true_output_csv[[#This Row],[Nilai2]]="","",VLOOKUP(pub_gid_0_single_true_output_csv[[#This Row],[NAMA]],Table7[],3,FALSE))</f>
        <v>High average</v>
      </c>
    </row>
    <row r="2307" spans="1:37" x14ac:dyDescent="0.2">
      <c r="A2307">
        <v>2306</v>
      </c>
      <c r="B2307" t="s">
        <v>313</v>
      </c>
      <c r="C2307" t="s">
        <v>65</v>
      </c>
      <c r="D2307" t="s">
        <v>57</v>
      </c>
      <c r="E2307" t="s">
        <v>146</v>
      </c>
      <c r="F2307" s="25">
        <v>46050</v>
      </c>
      <c r="G2307" t="s">
        <v>308</v>
      </c>
      <c r="H2307" t="s">
        <v>405</v>
      </c>
      <c r="I2307" t="s">
        <v>371</v>
      </c>
      <c r="J2307" t="s">
        <v>279</v>
      </c>
      <c r="K2307" t="s">
        <v>280</v>
      </c>
      <c r="L2307" t="s">
        <v>322</v>
      </c>
      <c r="M2307" t="s">
        <v>141</v>
      </c>
      <c r="N2307" t="s">
        <v>142</v>
      </c>
      <c r="O2307" t="s">
        <v>327</v>
      </c>
      <c r="P2307" t="s">
        <v>281</v>
      </c>
      <c r="Q2307" t="s">
        <v>328</v>
      </c>
      <c r="R2307" t="s">
        <v>360</v>
      </c>
      <c r="S2307" t="s">
        <v>375</v>
      </c>
      <c r="T2307">
        <v>1</v>
      </c>
      <c r="U2307" t="s">
        <v>456</v>
      </c>
      <c r="V2307" t="s">
        <v>342</v>
      </c>
      <c r="W2307" t="s">
        <v>458</v>
      </c>
      <c r="X2307" t="s">
        <v>331</v>
      </c>
      <c r="Y2307" t="s">
        <v>307</v>
      </c>
      <c r="Z2307">
        <v>70</v>
      </c>
      <c r="AA2307">
        <v>70</v>
      </c>
      <c r="AB2307" t="s">
        <v>143</v>
      </c>
      <c r="AC2307" t="s">
        <v>53</v>
      </c>
      <c r="AD2307" t="s">
        <v>404</v>
      </c>
      <c r="AE2307" t="str">
        <f>IF(AF2307="","",VLOOKUP(AC2307,mapel!$A$2:$B$42,2,FALSE))</f>
        <v>Sejarah</v>
      </c>
      <c r="AF2307">
        <f t="shared" si="108"/>
        <v>70</v>
      </c>
      <c r="AG2307" t="str">
        <f>IF(AF2307="","",IF(AF2307&gt;90,"Sangat baik",IF(AF2307&gt;79,"Baik",IF(AF2307&gt;=pub_gid_0_single_true_output_csv[[#This Row],[KKM]],"Cukup","Kurang"))))</f>
        <v>Cukup</v>
      </c>
      <c r="AH2307">
        <f t="shared" si="109"/>
        <v>12</v>
      </c>
      <c r="AI2307" s="30" t="str">
        <f>IF(OR(J2307&lt;&gt;"Karakter",pub_gid_0_single_true_output_csv[[#This Row],[Nilai2]]=""),"",IF(AF2307&gt;89,"Sangat baik",IF(AF2307&gt;79,"Baik",IF(AF2307&gt;69,"Cukup",IF(AF2307&gt;59,"Kurang","Sangat kurang")))))</f>
        <v/>
      </c>
      <c r="AJ2307" t="str">
        <f t="shared" si="110"/>
        <v>Wk.5</v>
      </c>
      <c r="AK2307" t="str">
        <f>IF(pub_gid_0_single_true_output_csv[[#This Row],[Nilai2]]="","",VLOOKUP(pub_gid_0_single_true_output_csv[[#This Row],[NAMA]],Table7[],3,FALSE))</f>
        <v>High average</v>
      </c>
    </row>
    <row r="2308" spans="1:37" x14ac:dyDescent="0.2">
      <c r="A2308">
        <v>2307</v>
      </c>
      <c r="B2308" t="s">
        <v>313</v>
      </c>
      <c r="C2308" t="s">
        <v>65</v>
      </c>
      <c r="D2308" t="s">
        <v>57</v>
      </c>
      <c r="E2308" t="s">
        <v>146</v>
      </c>
      <c r="F2308" s="25">
        <v>46050</v>
      </c>
      <c r="G2308" t="s">
        <v>308</v>
      </c>
      <c r="H2308" t="s">
        <v>405</v>
      </c>
      <c r="I2308" t="s">
        <v>371</v>
      </c>
      <c r="J2308" t="s">
        <v>36</v>
      </c>
      <c r="K2308" t="s">
        <v>37</v>
      </c>
      <c r="L2308" t="s">
        <v>150</v>
      </c>
      <c r="M2308" t="s">
        <v>141</v>
      </c>
      <c r="N2308" t="s">
        <v>142</v>
      </c>
      <c r="O2308" t="s">
        <v>327</v>
      </c>
      <c r="P2308" t="s">
        <v>281</v>
      </c>
      <c r="Q2308" t="s">
        <v>328</v>
      </c>
      <c r="R2308" t="s">
        <v>360</v>
      </c>
      <c r="S2308" t="s">
        <v>375</v>
      </c>
      <c r="T2308">
        <v>1</v>
      </c>
      <c r="U2308" t="s">
        <v>456</v>
      </c>
      <c r="V2308" t="s">
        <v>342</v>
      </c>
      <c r="W2308" t="s">
        <v>458</v>
      </c>
      <c r="X2308" t="s">
        <v>331</v>
      </c>
      <c r="Y2308" t="s">
        <v>307</v>
      </c>
      <c r="Z2308">
        <v>70</v>
      </c>
      <c r="AA2308">
        <v>90</v>
      </c>
      <c r="AB2308" t="s">
        <v>143</v>
      </c>
      <c r="AC2308" t="s">
        <v>53</v>
      </c>
      <c r="AD2308" t="s">
        <v>404</v>
      </c>
      <c r="AE2308" t="str">
        <f>IF(AF2308="","",VLOOKUP(AC2308,mapel!$A$2:$B$42,2,FALSE))</f>
        <v>Sejarah</v>
      </c>
      <c r="AF2308">
        <f t="shared" si="108"/>
        <v>90</v>
      </c>
      <c r="AG2308" t="str">
        <f>IF(AF2308="","",IF(AF2308&gt;90,"Sangat baik",IF(AF2308&gt;79,"Baik",IF(AF2308&gt;=pub_gid_0_single_true_output_csv[[#This Row],[KKM]],"Cukup","Kurang"))))</f>
        <v>Baik</v>
      </c>
      <c r="AH2308">
        <f t="shared" si="109"/>
        <v>12</v>
      </c>
      <c r="AI2308" s="30" t="str">
        <f>IF(OR(J2308&lt;&gt;"Karakter",pub_gid_0_single_true_output_csv[[#This Row],[Nilai2]]=""),"",IF(AF2308&gt;89,"Sangat baik",IF(AF2308&gt;79,"Baik",IF(AF2308&gt;69,"Cukup",IF(AF2308&gt;59,"Kurang","Sangat kurang")))))</f>
        <v/>
      </c>
      <c r="AJ2308" t="str">
        <f t="shared" si="110"/>
        <v>Wk.5</v>
      </c>
      <c r="AK2308" t="str">
        <f>IF(pub_gid_0_single_true_output_csv[[#This Row],[Nilai2]]="","",VLOOKUP(pub_gid_0_single_true_output_csv[[#This Row],[NAMA]],Table7[],3,FALSE))</f>
        <v>High average</v>
      </c>
    </row>
    <row r="2309" spans="1:37" x14ac:dyDescent="0.2">
      <c r="A2309">
        <v>2308</v>
      </c>
      <c r="B2309" t="s">
        <v>313</v>
      </c>
      <c r="C2309" t="s">
        <v>65</v>
      </c>
      <c r="D2309" t="s">
        <v>57</v>
      </c>
      <c r="E2309" t="s">
        <v>146</v>
      </c>
      <c r="F2309" s="25">
        <v>46050</v>
      </c>
      <c r="G2309" t="s">
        <v>308</v>
      </c>
      <c r="H2309" t="s">
        <v>405</v>
      </c>
      <c r="I2309" t="s">
        <v>371</v>
      </c>
      <c r="J2309" t="s">
        <v>31</v>
      </c>
      <c r="K2309" t="s">
        <v>32</v>
      </c>
      <c r="L2309" t="s">
        <v>367</v>
      </c>
      <c r="M2309" t="s">
        <v>141</v>
      </c>
      <c r="N2309" t="s">
        <v>142</v>
      </c>
      <c r="O2309" t="s">
        <v>327</v>
      </c>
      <c r="P2309" t="s">
        <v>281</v>
      </c>
      <c r="Q2309" t="s">
        <v>328</v>
      </c>
      <c r="R2309" t="s">
        <v>360</v>
      </c>
      <c r="S2309" t="s">
        <v>375</v>
      </c>
      <c r="T2309">
        <v>1</v>
      </c>
      <c r="U2309" t="s">
        <v>456</v>
      </c>
      <c r="V2309" t="s">
        <v>342</v>
      </c>
      <c r="W2309" t="s">
        <v>458</v>
      </c>
      <c r="X2309" t="s">
        <v>331</v>
      </c>
      <c r="Y2309" t="s">
        <v>307</v>
      </c>
      <c r="Z2309">
        <v>70</v>
      </c>
      <c r="AA2309">
        <v>70</v>
      </c>
      <c r="AB2309" t="s">
        <v>143</v>
      </c>
      <c r="AC2309" t="s">
        <v>53</v>
      </c>
      <c r="AD2309" t="s">
        <v>404</v>
      </c>
      <c r="AE2309" t="str">
        <f>IF(AF2309="","",VLOOKUP(AC2309,mapel!$A$2:$B$42,2,FALSE))</f>
        <v>Sejarah</v>
      </c>
      <c r="AF2309">
        <f t="shared" si="108"/>
        <v>70</v>
      </c>
      <c r="AG2309" t="str">
        <f>IF(AF2309="","",IF(AF2309&gt;90,"Sangat baik",IF(AF2309&gt;79,"Baik",IF(AF2309&gt;=pub_gid_0_single_true_output_csv[[#This Row],[KKM]],"Cukup","Kurang"))))</f>
        <v>Cukup</v>
      </c>
      <c r="AH2309">
        <f t="shared" si="109"/>
        <v>12</v>
      </c>
      <c r="AI2309" s="30" t="str">
        <f>IF(OR(J2309&lt;&gt;"Karakter",pub_gid_0_single_true_output_csv[[#This Row],[Nilai2]]=""),"",IF(AF2309&gt;89,"Sangat baik",IF(AF2309&gt;79,"Baik",IF(AF2309&gt;69,"Cukup",IF(AF2309&gt;59,"Kurang","Sangat kurang")))))</f>
        <v/>
      </c>
      <c r="AJ2309" t="str">
        <f t="shared" si="110"/>
        <v>Wk.5</v>
      </c>
      <c r="AK2309" t="str">
        <f>IF(pub_gid_0_single_true_output_csv[[#This Row],[Nilai2]]="","",VLOOKUP(pub_gid_0_single_true_output_csv[[#This Row],[NAMA]],Table7[],3,FALSE))</f>
        <v>High average</v>
      </c>
    </row>
    <row r="2310" spans="1:37" x14ac:dyDescent="0.2">
      <c r="A2310">
        <v>2309</v>
      </c>
      <c r="B2310" t="s">
        <v>313</v>
      </c>
      <c r="C2310" t="s">
        <v>65</v>
      </c>
      <c r="D2310" t="s">
        <v>57</v>
      </c>
      <c r="E2310" t="s">
        <v>146</v>
      </c>
      <c r="F2310" s="25">
        <v>46052</v>
      </c>
      <c r="G2310" t="s">
        <v>304</v>
      </c>
      <c r="H2310" t="s">
        <v>405</v>
      </c>
      <c r="I2310" t="s">
        <v>371</v>
      </c>
      <c r="J2310" t="s">
        <v>90</v>
      </c>
      <c r="K2310" t="s">
        <v>92</v>
      </c>
      <c r="L2310" t="s">
        <v>93</v>
      </c>
      <c r="M2310" t="s">
        <v>141</v>
      </c>
      <c r="N2310" t="s">
        <v>142</v>
      </c>
      <c r="O2310" t="s">
        <v>327</v>
      </c>
      <c r="P2310" t="s">
        <v>281</v>
      </c>
      <c r="Q2310" t="s">
        <v>328</v>
      </c>
      <c r="R2310" t="s">
        <v>360</v>
      </c>
      <c r="S2310" t="s">
        <v>375</v>
      </c>
      <c r="T2310">
        <v>1</v>
      </c>
      <c r="U2310" t="s">
        <v>456</v>
      </c>
      <c r="V2310" t="s">
        <v>342</v>
      </c>
      <c r="W2310" t="s">
        <v>458</v>
      </c>
      <c r="X2310" t="s">
        <v>331</v>
      </c>
      <c r="Y2310" t="s">
        <v>307</v>
      </c>
      <c r="Z2310">
        <v>70</v>
      </c>
      <c r="AA2310">
        <v>70</v>
      </c>
      <c r="AB2310" t="s">
        <v>143</v>
      </c>
      <c r="AC2310" t="s">
        <v>53</v>
      </c>
      <c r="AD2310" t="s">
        <v>404</v>
      </c>
      <c r="AE2310" t="str">
        <f>IF(AF2310="","",VLOOKUP(AC2310,mapel!$A$2:$B$42,2,FALSE))</f>
        <v>Sejarah</v>
      </c>
      <c r="AF2310">
        <f t="shared" si="108"/>
        <v>70</v>
      </c>
      <c r="AG2310" t="str">
        <f>IF(AF2310="","",IF(AF2310&gt;90,"Sangat baik",IF(AF2310&gt;79,"Baik",IF(AF2310&gt;=pub_gid_0_single_true_output_csv[[#This Row],[KKM]],"Cukup","Kurang"))))</f>
        <v>Cukup</v>
      </c>
      <c r="AH2310">
        <f t="shared" si="109"/>
        <v>12</v>
      </c>
      <c r="AI2310" s="30" t="str">
        <f>IF(OR(J2310&lt;&gt;"Karakter",pub_gid_0_single_true_output_csv[[#This Row],[Nilai2]]=""),"",IF(AF2310&gt;89,"Sangat baik",IF(AF2310&gt;79,"Baik",IF(AF2310&gt;69,"Cukup",IF(AF2310&gt;59,"Kurang","Sangat kurang")))))</f>
        <v>Cukup</v>
      </c>
      <c r="AJ2310" t="str">
        <f t="shared" si="110"/>
        <v>Wk.5</v>
      </c>
      <c r="AK2310" t="str">
        <f>IF(pub_gid_0_single_true_output_csv[[#This Row],[Nilai2]]="","",VLOOKUP(pub_gid_0_single_true_output_csv[[#This Row],[NAMA]],Table7[],3,FALSE))</f>
        <v>High average</v>
      </c>
    </row>
    <row r="2311" spans="1:37" x14ac:dyDescent="0.2">
      <c r="A2311">
        <v>2310</v>
      </c>
      <c r="B2311" t="s">
        <v>313</v>
      </c>
      <c r="C2311" t="s">
        <v>65</v>
      </c>
      <c r="D2311" t="s">
        <v>57</v>
      </c>
      <c r="E2311" t="s">
        <v>146</v>
      </c>
      <c r="F2311" s="25">
        <v>46057</v>
      </c>
      <c r="G2311" t="s">
        <v>348</v>
      </c>
      <c r="H2311" t="s">
        <v>412</v>
      </c>
      <c r="I2311" t="s">
        <v>371</v>
      </c>
      <c r="J2311" t="s">
        <v>279</v>
      </c>
      <c r="K2311" t="s">
        <v>280</v>
      </c>
      <c r="L2311" t="s">
        <v>322</v>
      </c>
      <c r="M2311" t="s">
        <v>141</v>
      </c>
      <c r="N2311" t="s">
        <v>142</v>
      </c>
      <c r="O2311" t="s">
        <v>327</v>
      </c>
      <c r="P2311" t="s">
        <v>281</v>
      </c>
      <c r="Q2311" t="s">
        <v>328</v>
      </c>
      <c r="R2311" t="s">
        <v>360</v>
      </c>
      <c r="S2311" t="s">
        <v>375</v>
      </c>
      <c r="T2311">
        <v>1</v>
      </c>
      <c r="U2311" t="s">
        <v>456</v>
      </c>
      <c r="V2311" t="s">
        <v>342</v>
      </c>
      <c r="W2311" t="s">
        <v>458</v>
      </c>
      <c r="X2311" t="s">
        <v>331</v>
      </c>
      <c r="Y2311" t="s">
        <v>307</v>
      </c>
      <c r="Z2311">
        <v>70</v>
      </c>
      <c r="AA2311">
        <v>70</v>
      </c>
      <c r="AB2311" t="s">
        <v>143</v>
      </c>
      <c r="AC2311" t="s">
        <v>53</v>
      </c>
      <c r="AD2311" t="s">
        <v>404</v>
      </c>
      <c r="AE2311" t="str">
        <f>IF(AF2311="","",VLOOKUP(AC2311,mapel!$A$2:$B$42,2,FALSE))</f>
        <v>Sejarah</v>
      </c>
      <c r="AF2311">
        <f t="shared" si="108"/>
        <v>70</v>
      </c>
      <c r="AG2311" t="str">
        <f>IF(AF2311="","",IF(AF2311&gt;90,"Sangat baik",IF(AF2311&gt;79,"Baik",IF(AF2311&gt;=pub_gid_0_single_true_output_csv[[#This Row],[KKM]],"Cukup","Kurang"))))</f>
        <v>Cukup</v>
      </c>
      <c r="AH2311">
        <f t="shared" si="109"/>
        <v>12</v>
      </c>
      <c r="AI2311" s="30" t="str">
        <f>IF(OR(J2311&lt;&gt;"Karakter",pub_gid_0_single_true_output_csv[[#This Row],[Nilai2]]=""),"",IF(AF2311&gt;89,"Sangat baik",IF(AF2311&gt;79,"Baik",IF(AF2311&gt;69,"Cukup",IF(AF2311&gt;59,"Kurang","Sangat kurang")))))</f>
        <v/>
      </c>
      <c r="AJ2311" t="str">
        <f t="shared" si="110"/>
        <v>Wk.6</v>
      </c>
      <c r="AK2311" t="str">
        <f>IF(pub_gid_0_single_true_output_csv[[#This Row],[Nilai2]]="","",VLOOKUP(pub_gid_0_single_true_output_csv[[#This Row],[NAMA]],Table7[],3,FALSE))</f>
        <v>High average</v>
      </c>
    </row>
    <row r="2312" spans="1:37" x14ac:dyDescent="0.2">
      <c r="A2312">
        <v>2311</v>
      </c>
      <c r="B2312" t="s">
        <v>313</v>
      </c>
      <c r="C2312" t="s">
        <v>65</v>
      </c>
      <c r="D2312" t="s">
        <v>57</v>
      </c>
      <c r="E2312" t="s">
        <v>146</v>
      </c>
      <c r="F2312" s="25">
        <v>46057</v>
      </c>
      <c r="G2312" t="s">
        <v>348</v>
      </c>
      <c r="H2312" t="s">
        <v>412</v>
      </c>
      <c r="I2312" t="s">
        <v>371</v>
      </c>
      <c r="J2312" t="s">
        <v>36</v>
      </c>
      <c r="K2312" t="s">
        <v>37</v>
      </c>
      <c r="L2312" t="s">
        <v>351</v>
      </c>
      <c r="M2312" t="s">
        <v>141</v>
      </c>
      <c r="N2312" t="s">
        <v>142</v>
      </c>
      <c r="O2312" t="s">
        <v>327</v>
      </c>
      <c r="P2312" t="s">
        <v>281</v>
      </c>
      <c r="Q2312" t="s">
        <v>328</v>
      </c>
      <c r="R2312" t="s">
        <v>360</v>
      </c>
      <c r="S2312" t="s">
        <v>392</v>
      </c>
      <c r="T2312">
        <v>1</v>
      </c>
      <c r="U2312" t="s">
        <v>456</v>
      </c>
      <c r="V2312" t="s">
        <v>343</v>
      </c>
      <c r="W2312" t="s">
        <v>459</v>
      </c>
      <c r="X2312" t="s">
        <v>331</v>
      </c>
      <c r="Y2312" t="s">
        <v>307</v>
      </c>
      <c r="Z2312">
        <v>70</v>
      </c>
      <c r="AA2312">
        <v>90</v>
      </c>
      <c r="AB2312" t="s">
        <v>143</v>
      </c>
      <c r="AC2312" t="s">
        <v>53</v>
      </c>
      <c r="AD2312" t="s">
        <v>404</v>
      </c>
      <c r="AE2312" t="str">
        <f>IF(AF2312="","",VLOOKUP(AC2312,mapel!$A$2:$B$42,2,FALSE))</f>
        <v>Sejarah</v>
      </c>
      <c r="AF2312">
        <f t="shared" si="108"/>
        <v>90</v>
      </c>
      <c r="AG2312" t="str">
        <f>IF(AF2312="","",IF(AF2312&gt;90,"Sangat baik",IF(AF2312&gt;79,"Baik",IF(AF2312&gt;=pub_gid_0_single_true_output_csv[[#This Row],[KKM]],"Cukup","Kurang"))))</f>
        <v>Baik</v>
      </c>
      <c r="AH2312">
        <f t="shared" si="109"/>
        <v>12</v>
      </c>
      <c r="AI2312" s="30" t="str">
        <f>IF(OR(J2312&lt;&gt;"Karakter",pub_gid_0_single_true_output_csv[[#This Row],[Nilai2]]=""),"",IF(AF2312&gt;89,"Sangat baik",IF(AF2312&gt;79,"Baik",IF(AF2312&gt;69,"Cukup",IF(AF2312&gt;59,"Kurang","Sangat kurang")))))</f>
        <v/>
      </c>
      <c r="AJ2312" t="str">
        <f t="shared" si="110"/>
        <v>Wk.6</v>
      </c>
      <c r="AK2312" t="str">
        <f>IF(pub_gid_0_single_true_output_csv[[#This Row],[Nilai2]]="","",VLOOKUP(pub_gid_0_single_true_output_csv[[#This Row],[NAMA]],Table7[],3,FALSE))</f>
        <v>High average</v>
      </c>
    </row>
    <row r="2313" spans="1:37" x14ac:dyDescent="0.2">
      <c r="A2313">
        <v>2312</v>
      </c>
      <c r="B2313" t="s">
        <v>313</v>
      </c>
      <c r="C2313" t="s">
        <v>65</v>
      </c>
      <c r="D2313" t="s">
        <v>57</v>
      </c>
      <c r="E2313" t="s">
        <v>146</v>
      </c>
      <c r="F2313" s="25">
        <v>46057</v>
      </c>
      <c r="G2313" t="s">
        <v>348</v>
      </c>
      <c r="H2313" t="s">
        <v>412</v>
      </c>
      <c r="I2313" t="s">
        <v>371</v>
      </c>
      <c r="J2313" t="s">
        <v>31</v>
      </c>
      <c r="K2313" t="s">
        <v>96</v>
      </c>
      <c r="L2313" t="s">
        <v>351</v>
      </c>
      <c r="M2313" t="s">
        <v>141</v>
      </c>
      <c r="N2313" t="s">
        <v>142</v>
      </c>
      <c r="O2313" t="s">
        <v>327</v>
      </c>
      <c r="P2313" t="s">
        <v>281</v>
      </c>
      <c r="Q2313" t="s">
        <v>328</v>
      </c>
      <c r="R2313" t="s">
        <v>360</v>
      </c>
      <c r="S2313" t="s">
        <v>392</v>
      </c>
      <c r="T2313">
        <v>1</v>
      </c>
      <c r="U2313" t="s">
        <v>456</v>
      </c>
      <c r="V2313" t="s">
        <v>343</v>
      </c>
      <c r="W2313" t="s">
        <v>459</v>
      </c>
      <c r="X2313" t="s">
        <v>331</v>
      </c>
      <c r="Y2313" t="s">
        <v>307</v>
      </c>
      <c r="Z2313">
        <v>70</v>
      </c>
      <c r="AA2313">
        <v>75</v>
      </c>
      <c r="AB2313" t="s">
        <v>143</v>
      </c>
      <c r="AC2313" t="s">
        <v>53</v>
      </c>
      <c r="AD2313" t="s">
        <v>404</v>
      </c>
      <c r="AE2313" t="str">
        <f>IF(AF2313="","",VLOOKUP(AC2313,mapel!$A$2:$B$42,2,FALSE))</f>
        <v>Sejarah</v>
      </c>
      <c r="AF2313">
        <f t="shared" si="108"/>
        <v>75</v>
      </c>
      <c r="AG2313" t="str">
        <f>IF(AF2313="","",IF(AF2313&gt;90,"Sangat baik",IF(AF2313&gt;79,"Baik",IF(AF2313&gt;=pub_gid_0_single_true_output_csv[[#This Row],[KKM]],"Cukup","Kurang"))))</f>
        <v>Cukup</v>
      </c>
      <c r="AH2313">
        <f t="shared" si="109"/>
        <v>12</v>
      </c>
      <c r="AI2313" s="30" t="str">
        <f>IF(OR(J2313&lt;&gt;"Karakter",pub_gid_0_single_true_output_csv[[#This Row],[Nilai2]]=""),"",IF(AF2313&gt;89,"Sangat baik",IF(AF2313&gt;79,"Baik",IF(AF2313&gt;69,"Cukup",IF(AF2313&gt;59,"Kurang","Sangat kurang")))))</f>
        <v/>
      </c>
      <c r="AJ2313" t="str">
        <f t="shared" si="110"/>
        <v>Wk.6</v>
      </c>
      <c r="AK2313" t="str">
        <f>IF(pub_gid_0_single_true_output_csv[[#This Row],[Nilai2]]="","",VLOOKUP(pub_gid_0_single_true_output_csv[[#This Row],[NAMA]],Table7[],3,FALSE))</f>
        <v>High average</v>
      </c>
    </row>
    <row r="2314" spans="1:37" x14ac:dyDescent="0.2">
      <c r="A2314">
        <v>2313</v>
      </c>
      <c r="B2314" t="s">
        <v>313</v>
      </c>
      <c r="C2314" t="s">
        <v>65</v>
      </c>
      <c r="D2314" t="s">
        <v>57</v>
      </c>
      <c r="E2314" t="s">
        <v>146</v>
      </c>
      <c r="F2314" s="25">
        <v>46057</v>
      </c>
      <c r="G2314" t="s">
        <v>348</v>
      </c>
      <c r="H2314" t="s">
        <v>412</v>
      </c>
      <c r="I2314" t="s">
        <v>371</v>
      </c>
      <c r="J2314" t="s">
        <v>90</v>
      </c>
      <c r="K2314" t="s">
        <v>92</v>
      </c>
      <c r="L2314" t="s">
        <v>91</v>
      </c>
      <c r="M2314" t="s">
        <v>141</v>
      </c>
      <c r="N2314" t="s">
        <v>142</v>
      </c>
      <c r="O2314" t="s">
        <v>327</v>
      </c>
      <c r="P2314" t="s">
        <v>281</v>
      </c>
      <c r="Q2314" t="s">
        <v>328</v>
      </c>
      <c r="R2314" t="s">
        <v>360</v>
      </c>
      <c r="S2314" t="s">
        <v>392</v>
      </c>
      <c r="T2314">
        <v>1</v>
      </c>
      <c r="U2314" t="s">
        <v>456</v>
      </c>
      <c r="V2314" t="s">
        <v>343</v>
      </c>
      <c r="W2314" t="s">
        <v>459</v>
      </c>
      <c r="X2314" t="s">
        <v>331</v>
      </c>
      <c r="Y2314" t="s">
        <v>307</v>
      </c>
      <c r="Z2314">
        <v>70</v>
      </c>
      <c r="AA2314">
        <v>80</v>
      </c>
      <c r="AB2314" t="s">
        <v>143</v>
      </c>
      <c r="AC2314" t="s">
        <v>53</v>
      </c>
      <c r="AD2314" t="s">
        <v>404</v>
      </c>
      <c r="AE2314" t="str">
        <f>IF(AF2314="","",VLOOKUP(AC2314,mapel!$A$2:$B$42,2,FALSE))</f>
        <v>Sejarah</v>
      </c>
      <c r="AF2314">
        <f t="shared" si="108"/>
        <v>80</v>
      </c>
      <c r="AG2314" t="str">
        <f>IF(AF2314="","",IF(AF2314&gt;90,"Sangat baik",IF(AF2314&gt;79,"Baik",IF(AF2314&gt;=pub_gid_0_single_true_output_csv[[#This Row],[KKM]],"Cukup","Kurang"))))</f>
        <v>Baik</v>
      </c>
      <c r="AH2314">
        <f t="shared" si="109"/>
        <v>12</v>
      </c>
      <c r="AI2314" s="30" t="str">
        <f>IF(OR(J2314&lt;&gt;"Karakter",pub_gid_0_single_true_output_csv[[#This Row],[Nilai2]]=""),"",IF(AF2314&gt;89,"Sangat baik",IF(AF2314&gt;79,"Baik",IF(AF2314&gt;69,"Cukup",IF(AF2314&gt;59,"Kurang","Sangat kurang")))))</f>
        <v>Baik</v>
      </c>
      <c r="AJ2314" t="str">
        <f t="shared" si="110"/>
        <v>Wk.6</v>
      </c>
      <c r="AK2314" t="str">
        <f>IF(pub_gid_0_single_true_output_csv[[#This Row],[Nilai2]]="","",VLOOKUP(pub_gid_0_single_true_output_csv[[#This Row],[NAMA]],Table7[],3,FALSE))</f>
        <v>High average</v>
      </c>
    </row>
    <row r="2315" spans="1:37" x14ac:dyDescent="0.2">
      <c r="A2315">
        <v>2314</v>
      </c>
      <c r="B2315" t="s">
        <v>313</v>
      </c>
      <c r="C2315" t="s">
        <v>65</v>
      </c>
      <c r="D2315" t="s">
        <v>57</v>
      </c>
      <c r="E2315" t="s">
        <v>146</v>
      </c>
      <c r="F2315" s="25">
        <v>46064</v>
      </c>
      <c r="G2315" t="s">
        <v>352</v>
      </c>
      <c r="H2315" t="s">
        <v>412</v>
      </c>
      <c r="I2315" t="s">
        <v>371</v>
      </c>
      <c r="J2315" t="s">
        <v>279</v>
      </c>
      <c r="K2315" t="s">
        <v>280</v>
      </c>
      <c r="L2315" t="s">
        <v>322</v>
      </c>
      <c r="M2315" t="s">
        <v>141</v>
      </c>
      <c r="N2315" t="s">
        <v>142</v>
      </c>
      <c r="O2315" t="s">
        <v>327</v>
      </c>
      <c r="P2315" t="s">
        <v>281</v>
      </c>
      <c r="Q2315" t="s">
        <v>328</v>
      </c>
      <c r="R2315" t="s">
        <v>360</v>
      </c>
      <c r="S2315" t="s">
        <v>392</v>
      </c>
      <c r="T2315">
        <v>1</v>
      </c>
      <c r="U2315" t="s">
        <v>456</v>
      </c>
      <c r="V2315" t="s">
        <v>343</v>
      </c>
      <c r="W2315" t="s">
        <v>459</v>
      </c>
      <c r="X2315" t="s">
        <v>331</v>
      </c>
      <c r="Y2315" t="s">
        <v>307</v>
      </c>
      <c r="Z2315">
        <v>70</v>
      </c>
      <c r="AA2315">
        <v>70</v>
      </c>
      <c r="AB2315" t="s">
        <v>143</v>
      </c>
      <c r="AC2315" t="s">
        <v>53</v>
      </c>
      <c r="AD2315" t="s">
        <v>404</v>
      </c>
      <c r="AE2315" t="str">
        <f>IF(AF2315="","",VLOOKUP(AC2315,mapel!$A$2:$B$42,2,FALSE))</f>
        <v>Sejarah</v>
      </c>
      <c r="AF2315">
        <f t="shared" si="108"/>
        <v>70</v>
      </c>
      <c r="AG2315" t="str">
        <f>IF(AF2315="","",IF(AF2315&gt;90,"Sangat baik",IF(AF2315&gt;79,"Baik",IF(AF2315&gt;=pub_gid_0_single_true_output_csv[[#This Row],[KKM]],"Cukup","Kurang"))))</f>
        <v>Cukup</v>
      </c>
      <c r="AH2315">
        <f t="shared" si="109"/>
        <v>12</v>
      </c>
      <c r="AI2315" s="30" t="str">
        <f>IF(OR(J2315&lt;&gt;"Karakter",pub_gid_0_single_true_output_csv[[#This Row],[Nilai2]]=""),"",IF(AF2315&gt;89,"Sangat baik",IF(AF2315&gt;79,"Baik",IF(AF2315&gt;69,"Cukup",IF(AF2315&gt;59,"Kurang","Sangat kurang")))))</f>
        <v/>
      </c>
      <c r="AJ2315" t="str">
        <f t="shared" si="110"/>
        <v>Wk.7</v>
      </c>
      <c r="AK2315" t="str">
        <f>IF(pub_gid_0_single_true_output_csv[[#This Row],[Nilai2]]="","",VLOOKUP(pub_gid_0_single_true_output_csv[[#This Row],[NAMA]],Table7[],3,FALSE))</f>
        <v>High average</v>
      </c>
    </row>
    <row r="2316" spans="1:37" x14ac:dyDescent="0.2">
      <c r="A2316">
        <v>2315</v>
      </c>
      <c r="B2316" t="s">
        <v>313</v>
      </c>
      <c r="C2316" t="s">
        <v>65</v>
      </c>
      <c r="D2316" t="s">
        <v>57</v>
      </c>
      <c r="E2316" t="s">
        <v>146</v>
      </c>
      <c r="F2316" s="25">
        <v>46064</v>
      </c>
      <c r="G2316" t="s">
        <v>352</v>
      </c>
      <c r="H2316" t="s">
        <v>412</v>
      </c>
      <c r="I2316" t="s">
        <v>371</v>
      </c>
      <c r="J2316" t="s">
        <v>36</v>
      </c>
      <c r="K2316" t="s">
        <v>37</v>
      </c>
      <c r="L2316" t="s">
        <v>351</v>
      </c>
      <c r="M2316" t="s">
        <v>141</v>
      </c>
      <c r="N2316" t="s">
        <v>142</v>
      </c>
      <c r="O2316" t="s">
        <v>327</v>
      </c>
      <c r="P2316" t="s">
        <v>281</v>
      </c>
      <c r="Q2316" t="s">
        <v>328</v>
      </c>
      <c r="R2316" t="s">
        <v>360</v>
      </c>
      <c r="S2316" t="s">
        <v>392</v>
      </c>
      <c r="T2316">
        <v>1</v>
      </c>
      <c r="U2316" t="s">
        <v>456</v>
      </c>
      <c r="V2316" t="s">
        <v>343</v>
      </c>
      <c r="W2316" t="s">
        <v>459</v>
      </c>
      <c r="X2316" t="s">
        <v>331</v>
      </c>
      <c r="Y2316" t="s">
        <v>307</v>
      </c>
      <c r="Z2316">
        <v>70</v>
      </c>
      <c r="AA2316">
        <v>75</v>
      </c>
      <c r="AB2316" t="s">
        <v>143</v>
      </c>
      <c r="AC2316" t="s">
        <v>53</v>
      </c>
      <c r="AD2316" t="s">
        <v>404</v>
      </c>
      <c r="AE2316" t="str">
        <f>IF(AF2316="","",VLOOKUP(AC2316,mapel!$A$2:$B$42,2,FALSE))</f>
        <v>Sejarah</v>
      </c>
      <c r="AF2316">
        <f t="shared" si="108"/>
        <v>75</v>
      </c>
      <c r="AG2316" t="str">
        <f>IF(AF2316="","",IF(AF2316&gt;90,"Sangat baik",IF(AF2316&gt;79,"Baik",IF(AF2316&gt;=pub_gid_0_single_true_output_csv[[#This Row],[KKM]],"Cukup","Kurang"))))</f>
        <v>Cukup</v>
      </c>
      <c r="AH2316">
        <f t="shared" si="109"/>
        <v>12</v>
      </c>
      <c r="AI2316" s="30" t="str">
        <f>IF(OR(J2316&lt;&gt;"Karakter",pub_gid_0_single_true_output_csv[[#This Row],[Nilai2]]=""),"",IF(AF2316&gt;89,"Sangat baik",IF(AF2316&gt;79,"Baik",IF(AF2316&gt;69,"Cukup",IF(AF2316&gt;59,"Kurang","Sangat kurang")))))</f>
        <v/>
      </c>
      <c r="AJ2316" t="str">
        <f t="shared" si="110"/>
        <v>Wk.7</v>
      </c>
      <c r="AK2316" t="str">
        <f>IF(pub_gid_0_single_true_output_csv[[#This Row],[Nilai2]]="","",VLOOKUP(pub_gid_0_single_true_output_csv[[#This Row],[NAMA]],Table7[],3,FALSE))</f>
        <v>High average</v>
      </c>
    </row>
    <row r="2317" spans="1:37" x14ac:dyDescent="0.2">
      <c r="A2317">
        <v>2316</v>
      </c>
      <c r="B2317" t="s">
        <v>313</v>
      </c>
      <c r="C2317" t="s">
        <v>65</v>
      </c>
      <c r="D2317" t="s">
        <v>57</v>
      </c>
      <c r="E2317" t="s">
        <v>146</v>
      </c>
      <c r="F2317" s="25">
        <v>46064</v>
      </c>
      <c r="G2317" t="s">
        <v>352</v>
      </c>
      <c r="H2317" t="s">
        <v>412</v>
      </c>
      <c r="I2317" t="s">
        <v>371</v>
      </c>
      <c r="J2317" t="s">
        <v>31</v>
      </c>
      <c r="K2317" t="s">
        <v>96</v>
      </c>
      <c r="L2317" t="s">
        <v>351</v>
      </c>
      <c r="M2317" t="s">
        <v>141</v>
      </c>
      <c r="N2317" t="s">
        <v>142</v>
      </c>
      <c r="O2317" t="s">
        <v>327</v>
      </c>
      <c r="P2317" t="s">
        <v>281</v>
      </c>
      <c r="Q2317" t="s">
        <v>328</v>
      </c>
      <c r="R2317" t="s">
        <v>360</v>
      </c>
      <c r="S2317" t="s">
        <v>392</v>
      </c>
      <c r="T2317">
        <v>1</v>
      </c>
      <c r="U2317" t="s">
        <v>456</v>
      </c>
      <c r="V2317" t="s">
        <v>343</v>
      </c>
      <c r="W2317" t="s">
        <v>459</v>
      </c>
      <c r="X2317" t="s">
        <v>331</v>
      </c>
      <c r="Y2317" t="s">
        <v>307</v>
      </c>
      <c r="Z2317">
        <v>70</v>
      </c>
      <c r="AA2317">
        <v>70</v>
      </c>
      <c r="AB2317" t="s">
        <v>143</v>
      </c>
      <c r="AC2317" t="s">
        <v>53</v>
      </c>
      <c r="AD2317" t="s">
        <v>404</v>
      </c>
      <c r="AE2317" t="str">
        <f>IF(AF2317="","",VLOOKUP(AC2317,mapel!$A$2:$B$42,2,FALSE))</f>
        <v>Sejarah</v>
      </c>
      <c r="AF2317">
        <f t="shared" si="108"/>
        <v>70</v>
      </c>
      <c r="AG2317" t="str">
        <f>IF(AF2317="","",IF(AF2317&gt;90,"Sangat baik",IF(AF2317&gt;79,"Baik",IF(AF2317&gt;=pub_gid_0_single_true_output_csv[[#This Row],[KKM]],"Cukup","Kurang"))))</f>
        <v>Cukup</v>
      </c>
      <c r="AH2317">
        <f t="shared" si="109"/>
        <v>12</v>
      </c>
      <c r="AI2317" s="30" t="str">
        <f>IF(OR(J2317&lt;&gt;"Karakter",pub_gid_0_single_true_output_csv[[#This Row],[Nilai2]]=""),"",IF(AF2317&gt;89,"Sangat baik",IF(AF2317&gt;79,"Baik",IF(AF2317&gt;69,"Cukup",IF(AF2317&gt;59,"Kurang","Sangat kurang")))))</f>
        <v/>
      </c>
      <c r="AJ2317" t="str">
        <f t="shared" si="110"/>
        <v>Wk.7</v>
      </c>
      <c r="AK2317" t="str">
        <f>IF(pub_gid_0_single_true_output_csv[[#This Row],[Nilai2]]="","",VLOOKUP(pub_gid_0_single_true_output_csv[[#This Row],[NAMA]],Table7[],3,FALSE))</f>
        <v>High average</v>
      </c>
    </row>
    <row r="2318" spans="1:37" x14ac:dyDescent="0.2">
      <c r="A2318">
        <v>2317</v>
      </c>
      <c r="B2318" t="s">
        <v>313</v>
      </c>
      <c r="C2318" t="s">
        <v>65</v>
      </c>
      <c r="D2318" t="s">
        <v>57</v>
      </c>
      <c r="E2318" t="s">
        <v>146</v>
      </c>
      <c r="F2318" s="25">
        <v>46064</v>
      </c>
      <c r="G2318" t="s">
        <v>352</v>
      </c>
      <c r="H2318" t="s">
        <v>412</v>
      </c>
      <c r="I2318" t="s">
        <v>371</v>
      </c>
      <c r="J2318" t="s">
        <v>90</v>
      </c>
      <c r="K2318" t="s">
        <v>92</v>
      </c>
      <c r="L2318" t="s">
        <v>91</v>
      </c>
      <c r="M2318" t="s">
        <v>141</v>
      </c>
      <c r="N2318" t="s">
        <v>142</v>
      </c>
      <c r="O2318" t="s">
        <v>327</v>
      </c>
      <c r="P2318" t="s">
        <v>281</v>
      </c>
      <c r="Q2318" t="s">
        <v>328</v>
      </c>
      <c r="R2318" t="s">
        <v>360</v>
      </c>
      <c r="S2318" t="s">
        <v>392</v>
      </c>
      <c r="T2318">
        <v>1</v>
      </c>
      <c r="U2318" t="s">
        <v>456</v>
      </c>
      <c r="V2318" t="s">
        <v>343</v>
      </c>
      <c r="W2318" t="s">
        <v>459</v>
      </c>
      <c r="X2318" t="s">
        <v>331</v>
      </c>
      <c r="Y2318" t="s">
        <v>307</v>
      </c>
      <c r="Z2318">
        <v>70</v>
      </c>
      <c r="AA2318">
        <v>80</v>
      </c>
      <c r="AB2318" t="s">
        <v>143</v>
      </c>
      <c r="AC2318" t="s">
        <v>53</v>
      </c>
      <c r="AD2318" t="s">
        <v>404</v>
      </c>
      <c r="AE2318" t="str">
        <f>IF(AF2318="","",VLOOKUP(AC2318,mapel!$A$2:$B$42,2,FALSE))</f>
        <v>Sejarah</v>
      </c>
      <c r="AF2318">
        <f t="shared" si="108"/>
        <v>80</v>
      </c>
      <c r="AG2318" t="str">
        <f>IF(AF2318="","",IF(AF2318&gt;90,"Sangat baik",IF(AF2318&gt;79,"Baik",IF(AF2318&gt;=pub_gid_0_single_true_output_csv[[#This Row],[KKM]],"Cukup","Kurang"))))</f>
        <v>Baik</v>
      </c>
      <c r="AH2318">
        <f t="shared" si="109"/>
        <v>12</v>
      </c>
      <c r="AI2318" s="30" t="str">
        <f>IF(OR(J2318&lt;&gt;"Karakter",pub_gid_0_single_true_output_csv[[#This Row],[Nilai2]]=""),"",IF(AF2318&gt;89,"Sangat baik",IF(AF2318&gt;79,"Baik",IF(AF2318&gt;69,"Cukup",IF(AF2318&gt;59,"Kurang","Sangat kurang")))))</f>
        <v>Baik</v>
      </c>
      <c r="AJ2318" t="str">
        <f t="shared" si="110"/>
        <v>Wk.7</v>
      </c>
      <c r="AK2318" t="str">
        <f>IF(pub_gid_0_single_true_output_csv[[#This Row],[Nilai2]]="","",VLOOKUP(pub_gid_0_single_true_output_csv[[#This Row],[NAMA]],Table7[],3,FALSE))</f>
        <v>High average</v>
      </c>
    </row>
    <row r="2319" spans="1:37" x14ac:dyDescent="0.2">
      <c r="A2319">
        <v>2318</v>
      </c>
      <c r="B2319" t="s">
        <v>313</v>
      </c>
      <c r="C2319" t="s">
        <v>65</v>
      </c>
      <c r="D2319" t="s">
        <v>57</v>
      </c>
      <c r="E2319" t="s">
        <v>146</v>
      </c>
      <c r="F2319" s="25">
        <v>46071</v>
      </c>
      <c r="G2319" t="s">
        <v>323</v>
      </c>
      <c r="H2319" t="s">
        <v>412</v>
      </c>
      <c r="I2319" t="s">
        <v>371</v>
      </c>
      <c r="J2319" t="s">
        <v>279</v>
      </c>
      <c r="K2319" t="s">
        <v>280</v>
      </c>
      <c r="L2319" t="s">
        <v>322</v>
      </c>
      <c r="M2319" t="s">
        <v>141</v>
      </c>
      <c r="N2319" t="s">
        <v>142</v>
      </c>
      <c r="O2319" t="s">
        <v>327</v>
      </c>
      <c r="P2319" t="s">
        <v>281</v>
      </c>
      <c r="Q2319" t="s">
        <v>328</v>
      </c>
      <c r="R2319" t="s">
        <v>360</v>
      </c>
      <c r="S2319" t="s">
        <v>392</v>
      </c>
      <c r="T2319">
        <v>1</v>
      </c>
      <c r="U2319" t="s">
        <v>456</v>
      </c>
      <c r="V2319" t="s">
        <v>343</v>
      </c>
      <c r="W2319" t="s">
        <v>459</v>
      </c>
      <c r="X2319" t="s">
        <v>331</v>
      </c>
      <c r="Y2319" t="s">
        <v>307</v>
      </c>
      <c r="Z2319">
        <v>70</v>
      </c>
      <c r="AA2319">
        <v>70</v>
      </c>
      <c r="AB2319" t="s">
        <v>143</v>
      </c>
      <c r="AC2319" t="s">
        <v>53</v>
      </c>
      <c r="AD2319" t="s">
        <v>404</v>
      </c>
      <c r="AE2319" t="str">
        <f>IF(AF2319="","",VLOOKUP(AC2319,mapel!$A$2:$B$42,2,FALSE))</f>
        <v>Sejarah</v>
      </c>
      <c r="AF2319">
        <f t="shared" si="108"/>
        <v>70</v>
      </c>
      <c r="AG2319" t="str">
        <f>IF(AF2319="","",IF(AF2319&gt;90,"Sangat baik",IF(AF2319&gt;79,"Baik",IF(AF2319&gt;=pub_gid_0_single_true_output_csv[[#This Row],[KKM]],"Cukup","Kurang"))))</f>
        <v>Cukup</v>
      </c>
      <c r="AH2319">
        <f t="shared" si="109"/>
        <v>12</v>
      </c>
      <c r="AI2319" s="30" t="str">
        <f>IF(OR(J2319&lt;&gt;"Karakter",pub_gid_0_single_true_output_csv[[#This Row],[Nilai2]]=""),"",IF(AF2319&gt;89,"Sangat baik",IF(AF2319&gt;79,"Baik",IF(AF2319&gt;69,"Cukup",IF(AF2319&gt;59,"Kurang","Sangat kurang")))))</f>
        <v/>
      </c>
      <c r="AJ2319" t="str">
        <f t="shared" si="110"/>
        <v>Wk.8</v>
      </c>
      <c r="AK2319" t="str">
        <f>IF(pub_gid_0_single_true_output_csv[[#This Row],[Nilai2]]="","",VLOOKUP(pub_gid_0_single_true_output_csv[[#This Row],[NAMA]],Table7[],3,FALSE))</f>
        <v>High average</v>
      </c>
    </row>
    <row r="2320" spans="1:37" x14ac:dyDescent="0.2">
      <c r="A2320">
        <v>2319</v>
      </c>
      <c r="B2320" t="s">
        <v>313</v>
      </c>
      <c r="C2320" t="s">
        <v>65</v>
      </c>
      <c r="D2320" t="s">
        <v>57</v>
      </c>
      <c r="E2320" t="s">
        <v>146</v>
      </c>
      <c r="F2320" s="25">
        <v>46071</v>
      </c>
      <c r="G2320" t="s">
        <v>323</v>
      </c>
      <c r="H2320" t="s">
        <v>412</v>
      </c>
      <c r="I2320" t="s">
        <v>371</v>
      </c>
      <c r="J2320" t="s">
        <v>36</v>
      </c>
      <c r="K2320" t="s">
        <v>362</v>
      </c>
      <c r="L2320" t="s">
        <v>363</v>
      </c>
      <c r="M2320" t="s">
        <v>141</v>
      </c>
      <c r="N2320" t="s">
        <v>142</v>
      </c>
      <c r="O2320" t="s">
        <v>327</v>
      </c>
      <c r="P2320" t="s">
        <v>281</v>
      </c>
      <c r="Q2320" t="s">
        <v>328</v>
      </c>
      <c r="R2320" t="s">
        <v>360</v>
      </c>
      <c r="S2320" t="s">
        <v>375</v>
      </c>
      <c r="T2320">
        <v>1</v>
      </c>
      <c r="U2320" t="s">
        <v>456</v>
      </c>
      <c r="V2320" t="s">
        <v>342</v>
      </c>
      <c r="W2320" t="s">
        <v>458</v>
      </c>
      <c r="X2320" t="s">
        <v>331</v>
      </c>
      <c r="Y2320" t="s">
        <v>307</v>
      </c>
      <c r="Z2320">
        <v>70</v>
      </c>
      <c r="AA2320">
        <v>88</v>
      </c>
      <c r="AB2320" t="s">
        <v>143</v>
      </c>
      <c r="AC2320" t="s">
        <v>53</v>
      </c>
      <c r="AD2320" t="s">
        <v>404</v>
      </c>
      <c r="AE2320" t="str">
        <f>IF(AF2320="","",VLOOKUP(AC2320,mapel!$A$2:$B$42,2,FALSE))</f>
        <v>Sejarah</v>
      </c>
      <c r="AF2320">
        <f t="shared" si="108"/>
        <v>88</v>
      </c>
      <c r="AG2320" t="str">
        <f>IF(AF2320="","",IF(AF2320&gt;90,"Sangat baik",IF(AF2320&gt;79,"Baik",IF(AF2320&gt;=pub_gid_0_single_true_output_csv[[#This Row],[KKM]],"Cukup","Kurang"))))</f>
        <v>Baik</v>
      </c>
      <c r="AH2320">
        <f t="shared" si="109"/>
        <v>12</v>
      </c>
      <c r="AI2320" s="30" t="str">
        <f>IF(OR(J2320&lt;&gt;"Karakter",pub_gid_0_single_true_output_csv[[#This Row],[Nilai2]]=""),"",IF(AF2320&gt;89,"Sangat baik",IF(AF2320&gt;79,"Baik",IF(AF2320&gt;69,"Cukup",IF(AF2320&gt;59,"Kurang","Sangat kurang")))))</f>
        <v/>
      </c>
      <c r="AJ2320" t="str">
        <f t="shared" si="110"/>
        <v>Wk.8</v>
      </c>
      <c r="AK2320" t="str">
        <f>IF(pub_gid_0_single_true_output_csv[[#This Row],[Nilai2]]="","",VLOOKUP(pub_gid_0_single_true_output_csv[[#This Row],[NAMA]],Table7[],3,FALSE))</f>
        <v>High average</v>
      </c>
    </row>
    <row r="2321" spans="1:37" x14ac:dyDescent="0.2">
      <c r="A2321">
        <v>2320</v>
      </c>
      <c r="B2321" t="s">
        <v>313</v>
      </c>
      <c r="C2321" t="s">
        <v>65</v>
      </c>
      <c r="D2321" t="s">
        <v>57</v>
      </c>
      <c r="E2321" t="s">
        <v>146</v>
      </c>
      <c r="F2321" s="25">
        <v>46071</v>
      </c>
      <c r="G2321" t="s">
        <v>323</v>
      </c>
      <c r="H2321" t="s">
        <v>412</v>
      </c>
      <c r="I2321" t="s">
        <v>371</v>
      </c>
      <c r="J2321" t="s">
        <v>31</v>
      </c>
      <c r="K2321" t="s">
        <v>96</v>
      </c>
      <c r="L2321" t="s">
        <v>363</v>
      </c>
      <c r="M2321" t="s">
        <v>141</v>
      </c>
      <c r="N2321" t="s">
        <v>142</v>
      </c>
      <c r="O2321" t="s">
        <v>327</v>
      </c>
      <c r="P2321" t="s">
        <v>281</v>
      </c>
      <c r="Q2321" t="s">
        <v>328</v>
      </c>
      <c r="R2321" t="s">
        <v>360</v>
      </c>
      <c r="S2321" t="s">
        <v>375</v>
      </c>
      <c r="T2321">
        <v>1</v>
      </c>
      <c r="U2321" t="s">
        <v>456</v>
      </c>
      <c r="V2321" t="s">
        <v>342</v>
      </c>
      <c r="W2321" t="s">
        <v>458</v>
      </c>
      <c r="X2321" t="s">
        <v>331</v>
      </c>
      <c r="Y2321" t="s">
        <v>307</v>
      </c>
      <c r="Z2321">
        <v>70</v>
      </c>
      <c r="AA2321">
        <v>75</v>
      </c>
      <c r="AB2321" t="s">
        <v>143</v>
      </c>
      <c r="AC2321" t="s">
        <v>53</v>
      </c>
      <c r="AD2321" t="s">
        <v>404</v>
      </c>
      <c r="AE2321" t="str">
        <f>IF(AF2321="","",VLOOKUP(AC2321,mapel!$A$2:$B$42,2,FALSE))</f>
        <v>Sejarah</v>
      </c>
      <c r="AF2321">
        <f t="shared" si="108"/>
        <v>75</v>
      </c>
      <c r="AG2321" t="str">
        <f>IF(AF2321="","",IF(AF2321&gt;90,"Sangat baik",IF(AF2321&gt;79,"Baik",IF(AF2321&gt;=pub_gid_0_single_true_output_csv[[#This Row],[KKM]],"Cukup","Kurang"))))</f>
        <v>Cukup</v>
      </c>
      <c r="AH2321">
        <f t="shared" si="109"/>
        <v>12</v>
      </c>
      <c r="AI2321" s="30" t="str">
        <f>IF(OR(J2321&lt;&gt;"Karakter",pub_gid_0_single_true_output_csv[[#This Row],[Nilai2]]=""),"",IF(AF2321&gt;89,"Sangat baik",IF(AF2321&gt;79,"Baik",IF(AF2321&gt;69,"Cukup",IF(AF2321&gt;59,"Kurang","Sangat kurang")))))</f>
        <v/>
      </c>
      <c r="AJ2321" t="str">
        <f t="shared" si="110"/>
        <v>Wk.8</v>
      </c>
      <c r="AK2321" t="str">
        <f>IF(pub_gid_0_single_true_output_csv[[#This Row],[Nilai2]]="","",VLOOKUP(pub_gid_0_single_true_output_csv[[#This Row],[NAMA]],Table7[],3,FALSE))</f>
        <v>High average</v>
      </c>
    </row>
    <row r="2322" spans="1:37" x14ac:dyDescent="0.2">
      <c r="A2322">
        <v>2321</v>
      </c>
      <c r="B2322" t="s">
        <v>314</v>
      </c>
      <c r="C2322" t="s">
        <v>65</v>
      </c>
      <c r="D2322" t="s">
        <v>58</v>
      </c>
      <c r="E2322" t="s">
        <v>140</v>
      </c>
      <c r="F2322" s="25">
        <v>46036</v>
      </c>
      <c r="G2322" t="s">
        <v>353</v>
      </c>
      <c r="H2322" t="s">
        <v>405</v>
      </c>
      <c r="I2322" t="s">
        <v>371</v>
      </c>
      <c r="J2322" t="s">
        <v>36</v>
      </c>
      <c r="K2322" t="s">
        <v>37</v>
      </c>
      <c r="L2322" t="s">
        <v>351</v>
      </c>
      <c r="M2322" t="s">
        <v>141</v>
      </c>
      <c r="N2322" t="s">
        <v>142</v>
      </c>
      <c r="O2322" t="s">
        <v>327</v>
      </c>
      <c r="P2322" t="s">
        <v>281</v>
      </c>
      <c r="Q2322" t="s">
        <v>328</v>
      </c>
      <c r="R2322" t="s">
        <v>360</v>
      </c>
      <c r="S2322" t="s">
        <v>330</v>
      </c>
      <c r="T2322">
        <v>1</v>
      </c>
      <c r="U2322" t="s">
        <v>456</v>
      </c>
      <c r="V2322" t="s">
        <v>285</v>
      </c>
      <c r="W2322" t="s">
        <v>457</v>
      </c>
      <c r="X2322" t="s">
        <v>331</v>
      </c>
      <c r="Y2322" t="s">
        <v>307</v>
      </c>
      <c r="Z2322">
        <v>70</v>
      </c>
      <c r="AA2322">
        <v>69</v>
      </c>
      <c r="AB2322" t="s">
        <v>151</v>
      </c>
      <c r="AC2322" t="s">
        <v>53</v>
      </c>
      <c r="AD2322" t="s">
        <v>404</v>
      </c>
      <c r="AE2322" t="str">
        <f>IF(AF2322="","",VLOOKUP(AC2322,mapel!$A$2:$B$42,2,FALSE))</f>
        <v>Sejarah</v>
      </c>
      <c r="AF2322">
        <f t="shared" si="108"/>
        <v>69</v>
      </c>
      <c r="AG2322" t="str">
        <f>IF(AF2322="","",IF(AF2322&gt;90,"Sangat baik",IF(AF2322&gt;79,"Baik",IF(AF2322&gt;=pub_gid_0_single_true_output_csv[[#This Row],[KKM]],"Cukup","Kurang"))))</f>
        <v>Kurang</v>
      </c>
      <c r="AH2322">
        <f t="shared" si="109"/>
        <v>12</v>
      </c>
      <c r="AI2322" s="30" t="str">
        <f>IF(OR(J2322&lt;&gt;"Karakter",pub_gid_0_single_true_output_csv[[#This Row],[Nilai2]]=""),"",IF(AF2322&gt;89,"Sangat baik",IF(AF2322&gt;79,"Baik",IF(AF2322&gt;69,"Cukup",IF(AF2322&gt;59,"Kurang","Sangat kurang")))))</f>
        <v/>
      </c>
      <c r="AJ2322" t="str">
        <f t="shared" si="110"/>
        <v>Wk.3</v>
      </c>
      <c r="AK2322" t="str">
        <f>IF(pub_gid_0_single_true_output_csv[[#This Row],[Nilai2]]="","",VLOOKUP(pub_gid_0_single_true_output_csv[[#This Row],[NAMA]],Table7[],3,FALSE))</f>
        <v>Average</v>
      </c>
    </row>
    <row r="2323" spans="1:37" x14ac:dyDescent="0.2">
      <c r="A2323">
        <v>2322</v>
      </c>
      <c r="B2323" t="s">
        <v>314</v>
      </c>
      <c r="C2323" t="s">
        <v>65</v>
      </c>
      <c r="D2323" t="s">
        <v>58</v>
      </c>
      <c r="E2323" t="s">
        <v>140</v>
      </c>
      <c r="F2323" s="25">
        <v>46036</v>
      </c>
      <c r="G2323" t="s">
        <v>353</v>
      </c>
      <c r="H2323" t="s">
        <v>405</v>
      </c>
      <c r="I2323" t="s">
        <v>371</v>
      </c>
      <c r="J2323" t="s">
        <v>31</v>
      </c>
      <c r="K2323" t="s">
        <v>96</v>
      </c>
      <c r="L2323" t="s">
        <v>351</v>
      </c>
      <c r="M2323" t="s">
        <v>141</v>
      </c>
      <c r="N2323" t="s">
        <v>142</v>
      </c>
      <c r="O2323" t="s">
        <v>327</v>
      </c>
      <c r="P2323" t="s">
        <v>281</v>
      </c>
      <c r="Q2323" t="s">
        <v>328</v>
      </c>
      <c r="R2323" t="s">
        <v>360</v>
      </c>
      <c r="S2323" t="s">
        <v>330</v>
      </c>
      <c r="T2323">
        <v>1</v>
      </c>
      <c r="U2323" t="s">
        <v>456</v>
      </c>
      <c r="V2323" t="s">
        <v>285</v>
      </c>
      <c r="W2323" t="s">
        <v>457</v>
      </c>
      <c r="X2323" t="s">
        <v>331</v>
      </c>
      <c r="Y2323" t="s">
        <v>307</v>
      </c>
      <c r="Z2323">
        <v>70</v>
      </c>
      <c r="AA2323">
        <v>65</v>
      </c>
      <c r="AB2323" t="s">
        <v>151</v>
      </c>
      <c r="AC2323" t="s">
        <v>53</v>
      </c>
      <c r="AD2323" t="s">
        <v>404</v>
      </c>
      <c r="AE2323" t="str">
        <f>IF(AF2323="","",VLOOKUP(AC2323,mapel!$A$2:$B$42,2,FALSE))</f>
        <v>Sejarah</v>
      </c>
      <c r="AF2323">
        <f t="shared" si="108"/>
        <v>65</v>
      </c>
      <c r="AG2323" t="str">
        <f>IF(AF2323="","",IF(AF2323&gt;90,"Sangat baik",IF(AF2323&gt;79,"Baik",IF(AF2323&gt;=pub_gid_0_single_true_output_csv[[#This Row],[KKM]],"Cukup","Kurang"))))</f>
        <v>Kurang</v>
      </c>
      <c r="AH2323">
        <f t="shared" si="109"/>
        <v>12</v>
      </c>
      <c r="AI2323" s="30" t="str">
        <f>IF(OR(J2323&lt;&gt;"Karakter",pub_gid_0_single_true_output_csv[[#This Row],[Nilai2]]=""),"",IF(AF2323&gt;89,"Sangat baik",IF(AF2323&gt;79,"Baik",IF(AF2323&gt;69,"Cukup",IF(AF2323&gt;59,"Kurang","Sangat kurang")))))</f>
        <v/>
      </c>
      <c r="AJ2323" t="str">
        <f t="shared" si="110"/>
        <v>Wk.3</v>
      </c>
      <c r="AK2323" t="str">
        <f>IF(pub_gid_0_single_true_output_csv[[#This Row],[Nilai2]]="","",VLOOKUP(pub_gid_0_single_true_output_csv[[#This Row],[NAMA]],Table7[],3,FALSE))</f>
        <v>Average</v>
      </c>
    </row>
    <row r="2324" spans="1:37" x14ac:dyDescent="0.2">
      <c r="A2324">
        <v>2323</v>
      </c>
      <c r="B2324" t="s">
        <v>314</v>
      </c>
      <c r="C2324" t="s">
        <v>65</v>
      </c>
      <c r="D2324" t="s">
        <v>58</v>
      </c>
      <c r="E2324" t="s">
        <v>140</v>
      </c>
      <c r="F2324" s="25">
        <v>46036</v>
      </c>
      <c r="G2324" t="s">
        <v>353</v>
      </c>
      <c r="H2324" t="s">
        <v>405</v>
      </c>
      <c r="I2324" t="s">
        <v>371</v>
      </c>
      <c r="J2324" t="s">
        <v>90</v>
      </c>
      <c r="K2324" t="s">
        <v>92</v>
      </c>
      <c r="L2324" t="s">
        <v>91</v>
      </c>
      <c r="M2324" t="s">
        <v>141</v>
      </c>
      <c r="N2324" t="s">
        <v>142</v>
      </c>
      <c r="O2324" t="s">
        <v>327</v>
      </c>
      <c r="P2324" t="s">
        <v>281</v>
      </c>
      <c r="Q2324" t="s">
        <v>328</v>
      </c>
      <c r="R2324" t="s">
        <v>360</v>
      </c>
      <c r="S2324" t="s">
        <v>330</v>
      </c>
      <c r="T2324">
        <v>1</v>
      </c>
      <c r="U2324" t="s">
        <v>456</v>
      </c>
      <c r="V2324" t="s">
        <v>285</v>
      </c>
      <c r="W2324" t="s">
        <v>457</v>
      </c>
      <c r="X2324" t="s">
        <v>331</v>
      </c>
      <c r="Y2324" t="s">
        <v>307</v>
      </c>
      <c r="Z2324">
        <v>70</v>
      </c>
      <c r="AA2324">
        <v>70</v>
      </c>
      <c r="AB2324" t="s">
        <v>143</v>
      </c>
      <c r="AC2324" t="s">
        <v>53</v>
      </c>
      <c r="AD2324" t="s">
        <v>404</v>
      </c>
      <c r="AE2324" t="str">
        <f>IF(AF2324="","",VLOOKUP(AC2324,mapel!$A$2:$B$42,2,FALSE))</f>
        <v>Sejarah</v>
      </c>
      <c r="AF2324">
        <f t="shared" si="108"/>
        <v>70</v>
      </c>
      <c r="AG2324" t="str">
        <f>IF(AF2324="","",IF(AF2324&gt;90,"Sangat baik",IF(AF2324&gt;79,"Baik",IF(AF2324&gt;=pub_gid_0_single_true_output_csv[[#This Row],[KKM]],"Cukup","Kurang"))))</f>
        <v>Cukup</v>
      </c>
      <c r="AH2324">
        <f t="shared" si="109"/>
        <v>12</v>
      </c>
      <c r="AI2324" s="30" t="str">
        <f>IF(OR(J2324&lt;&gt;"Karakter",pub_gid_0_single_true_output_csv[[#This Row],[Nilai2]]=""),"",IF(AF2324&gt;89,"Sangat baik",IF(AF2324&gt;79,"Baik",IF(AF2324&gt;69,"Cukup",IF(AF2324&gt;59,"Kurang","Sangat kurang")))))</f>
        <v>Cukup</v>
      </c>
      <c r="AJ2324" t="str">
        <f t="shared" si="110"/>
        <v>Wk.3</v>
      </c>
      <c r="AK2324" t="str">
        <f>IF(pub_gid_0_single_true_output_csv[[#This Row],[Nilai2]]="","",VLOOKUP(pub_gid_0_single_true_output_csv[[#This Row],[NAMA]],Table7[],3,FALSE))</f>
        <v>Average</v>
      </c>
    </row>
    <row r="2325" spans="1:37" x14ac:dyDescent="0.2">
      <c r="A2325">
        <v>2324</v>
      </c>
      <c r="B2325" t="s">
        <v>314</v>
      </c>
      <c r="C2325" t="s">
        <v>65</v>
      </c>
      <c r="D2325" t="s">
        <v>58</v>
      </c>
      <c r="E2325" t="s">
        <v>140</v>
      </c>
      <c r="F2325" s="25">
        <v>46036</v>
      </c>
      <c r="G2325" t="s">
        <v>353</v>
      </c>
      <c r="H2325" t="s">
        <v>405</v>
      </c>
      <c r="I2325" t="s">
        <v>371</v>
      </c>
      <c r="J2325" t="s">
        <v>279</v>
      </c>
      <c r="K2325" t="s">
        <v>280</v>
      </c>
      <c r="L2325" t="s">
        <v>322</v>
      </c>
      <c r="M2325" t="s">
        <v>141</v>
      </c>
      <c r="N2325" t="s">
        <v>142</v>
      </c>
      <c r="O2325" t="s">
        <v>327</v>
      </c>
      <c r="P2325" t="s">
        <v>281</v>
      </c>
      <c r="Q2325" t="s">
        <v>328</v>
      </c>
      <c r="R2325" t="s">
        <v>360</v>
      </c>
      <c r="S2325" t="s">
        <v>330</v>
      </c>
      <c r="T2325">
        <v>1</v>
      </c>
      <c r="U2325" t="s">
        <v>456</v>
      </c>
      <c r="V2325" t="s">
        <v>285</v>
      </c>
      <c r="W2325" t="s">
        <v>457</v>
      </c>
      <c r="X2325" t="s">
        <v>331</v>
      </c>
      <c r="Y2325" t="s">
        <v>307</v>
      </c>
      <c r="Z2325">
        <v>70</v>
      </c>
      <c r="AA2325">
        <v>70</v>
      </c>
      <c r="AB2325" t="s">
        <v>143</v>
      </c>
      <c r="AC2325" t="s">
        <v>53</v>
      </c>
      <c r="AD2325" t="s">
        <v>404</v>
      </c>
      <c r="AE2325" t="str">
        <f>IF(AF2325="","",VLOOKUP(AC2325,mapel!$A$2:$B$42,2,FALSE))</f>
        <v>Sejarah</v>
      </c>
      <c r="AF2325">
        <f t="shared" si="108"/>
        <v>70</v>
      </c>
      <c r="AG2325" t="str">
        <f>IF(AF2325="","",IF(AF2325&gt;90,"Sangat baik",IF(AF2325&gt;79,"Baik",IF(AF2325&gt;=pub_gid_0_single_true_output_csv[[#This Row],[KKM]],"Cukup","Kurang"))))</f>
        <v>Cukup</v>
      </c>
      <c r="AH2325">
        <f t="shared" si="109"/>
        <v>12</v>
      </c>
      <c r="AI2325" s="30" t="str">
        <f>IF(OR(J2325&lt;&gt;"Karakter",pub_gid_0_single_true_output_csv[[#This Row],[Nilai2]]=""),"",IF(AF2325&gt;89,"Sangat baik",IF(AF2325&gt;79,"Baik",IF(AF2325&gt;69,"Cukup",IF(AF2325&gt;59,"Kurang","Sangat kurang")))))</f>
        <v/>
      </c>
      <c r="AJ2325" t="str">
        <f t="shared" si="110"/>
        <v>Wk.3</v>
      </c>
      <c r="AK2325" t="str">
        <f>IF(pub_gid_0_single_true_output_csv[[#This Row],[Nilai2]]="","",VLOOKUP(pub_gid_0_single_true_output_csv[[#This Row],[NAMA]],Table7[],3,FALSE))</f>
        <v>Average</v>
      </c>
    </row>
    <row r="2326" spans="1:37" x14ac:dyDescent="0.2">
      <c r="A2326">
        <v>2325</v>
      </c>
      <c r="B2326" t="s">
        <v>314</v>
      </c>
      <c r="C2326" t="s">
        <v>65</v>
      </c>
      <c r="D2326" t="s">
        <v>58</v>
      </c>
      <c r="E2326" t="s">
        <v>140</v>
      </c>
      <c r="F2326" s="25">
        <v>46043</v>
      </c>
      <c r="G2326" t="s">
        <v>341</v>
      </c>
      <c r="H2326" t="s">
        <v>405</v>
      </c>
      <c r="I2326" t="s">
        <v>371</v>
      </c>
      <c r="J2326" t="s">
        <v>36</v>
      </c>
      <c r="K2326" t="s">
        <v>37</v>
      </c>
      <c r="L2326" t="s">
        <v>351</v>
      </c>
      <c r="M2326" t="s">
        <v>141</v>
      </c>
      <c r="N2326" t="s">
        <v>142</v>
      </c>
      <c r="O2326" t="s">
        <v>327</v>
      </c>
      <c r="P2326" t="s">
        <v>281</v>
      </c>
      <c r="Q2326" t="s">
        <v>328</v>
      </c>
      <c r="R2326" t="s">
        <v>360</v>
      </c>
      <c r="S2326" t="s">
        <v>330</v>
      </c>
      <c r="T2326">
        <v>1</v>
      </c>
      <c r="U2326" t="s">
        <v>456</v>
      </c>
      <c r="V2326" t="s">
        <v>285</v>
      </c>
      <c r="W2326" t="s">
        <v>457</v>
      </c>
      <c r="X2326" t="s">
        <v>331</v>
      </c>
      <c r="Y2326" t="s">
        <v>307</v>
      </c>
      <c r="Z2326">
        <v>70</v>
      </c>
      <c r="AA2326">
        <v>70</v>
      </c>
      <c r="AB2326" t="s">
        <v>143</v>
      </c>
      <c r="AC2326" t="s">
        <v>53</v>
      </c>
      <c r="AD2326" t="s">
        <v>404</v>
      </c>
      <c r="AE2326" t="str">
        <f>IF(AF2326="","",VLOOKUP(AC2326,mapel!$A$2:$B$42,2,FALSE))</f>
        <v>Sejarah</v>
      </c>
      <c r="AF2326">
        <f t="shared" si="108"/>
        <v>70</v>
      </c>
      <c r="AG2326" t="str">
        <f>IF(AF2326="","",IF(AF2326&gt;90,"Sangat baik",IF(AF2326&gt;79,"Baik",IF(AF2326&gt;=pub_gid_0_single_true_output_csv[[#This Row],[KKM]],"Cukup","Kurang"))))</f>
        <v>Cukup</v>
      </c>
      <c r="AH2326">
        <f t="shared" si="109"/>
        <v>12</v>
      </c>
      <c r="AI2326" s="30" t="str">
        <f>IF(OR(J2326&lt;&gt;"Karakter",pub_gid_0_single_true_output_csv[[#This Row],[Nilai2]]=""),"",IF(AF2326&gt;89,"Sangat baik",IF(AF2326&gt;79,"Baik",IF(AF2326&gt;69,"Cukup",IF(AF2326&gt;59,"Kurang","Sangat kurang")))))</f>
        <v/>
      </c>
      <c r="AJ2326" t="str">
        <f t="shared" si="110"/>
        <v>Wk.4</v>
      </c>
      <c r="AK2326" t="str">
        <f>IF(pub_gid_0_single_true_output_csv[[#This Row],[Nilai2]]="","",VLOOKUP(pub_gid_0_single_true_output_csv[[#This Row],[NAMA]],Table7[],3,FALSE))</f>
        <v>Average</v>
      </c>
    </row>
    <row r="2327" spans="1:37" x14ac:dyDescent="0.2">
      <c r="A2327">
        <v>2326</v>
      </c>
      <c r="B2327" t="s">
        <v>314</v>
      </c>
      <c r="C2327" t="s">
        <v>65</v>
      </c>
      <c r="D2327" t="s">
        <v>58</v>
      </c>
      <c r="E2327" t="s">
        <v>140</v>
      </c>
      <c r="F2327" s="25">
        <v>46043</v>
      </c>
      <c r="G2327" t="s">
        <v>341</v>
      </c>
      <c r="H2327" t="s">
        <v>405</v>
      </c>
      <c r="I2327" t="s">
        <v>371</v>
      </c>
      <c r="J2327" t="s">
        <v>31</v>
      </c>
      <c r="K2327" t="s">
        <v>96</v>
      </c>
      <c r="L2327" t="s">
        <v>367</v>
      </c>
      <c r="M2327" t="s">
        <v>141</v>
      </c>
      <c r="N2327" t="s">
        <v>142</v>
      </c>
      <c r="O2327" t="s">
        <v>327</v>
      </c>
      <c r="P2327" t="s">
        <v>281</v>
      </c>
      <c r="Q2327" t="s">
        <v>328</v>
      </c>
      <c r="R2327" t="s">
        <v>360</v>
      </c>
      <c r="S2327" t="s">
        <v>330</v>
      </c>
      <c r="T2327">
        <v>1</v>
      </c>
      <c r="U2327" t="s">
        <v>456</v>
      </c>
      <c r="V2327" t="s">
        <v>285</v>
      </c>
      <c r="W2327" t="s">
        <v>457</v>
      </c>
      <c r="X2327" t="s">
        <v>331</v>
      </c>
      <c r="Y2327" t="s">
        <v>307</v>
      </c>
      <c r="Z2327">
        <v>70</v>
      </c>
      <c r="AA2327">
        <v>69</v>
      </c>
      <c r="AB2327" t="s">
        <v>151</v>
      </c>
      <c r="AC2327" t="s">
        <v>53</v>
      </c>
      <c r="AD2327" t="s">
        <v>404</v>
      </c>
      <c r="AE2327" t="str">
        <f>IF(AF2327="","",VLOOKUP(AC2327,mapel!$A$2:$B$42,2,FALSE))</f>
        <v>Sejarah</v>
      </c>
      <c r="AF2327">
        <f t="shared" si="108"/>
        <v>69</v>
      </c>
      <c r="AG2327" t="str">
        <f>IF(AF2327="","",IF(AF2327&gt;90,"Sangat baik",IF(AF2327&gt;79,"Baik",IF(AF2327&gt;=pub_gid_0_single_true_output_csv[[#This Row],[KKM]],"Cukup","Kurang"))))</f>
        <v>Kurang</v>
      </c>
      <c r="AH2327">
        <f t="shared" si="109"/>
        <v>12</v>
      </c>
      <c r="AI2327" s="30" t="str">
        <f>IF(OR(J2327&lt;&gt;"Karakter",pub_gid_0_single_true_output_csv[[#This Row],[Nilai2]]=""),"",IF(AF2327&gt;89,"Sangat baik",IF(AF2327&gt;79,"Baik",IF(AF2327&gt;69,"Cukup",IF(AF2327&gt;59,"Kurang","Sangat kurang")))))</f>
        <v/>
      </c>
      <c r="AJ2327" t="str">
        <f t="shared" si="110"/>
        <v>Wk.4</v>
      </c>
      <c r="AK2327" t="str">
        <f>IF(pub_gid_0_single_true_output_csv[[#This Row],[Nilai2]]="","",VLOOKUP(pub_gid_0_single_true_output_csv[[#This Row],[NAMA]],Table7[],3,FALSE))</f>
        <v>Average</v>
      </c>
    </row>
    <row r="2328" spans="1:37" x14ac:dyDescent="0.2">
      <c r="A2328">
        <v>2327</v>
      </c>
      <c r="B2328" t="s">
        <v>314</v>
      </c>
      <c r="C2328" t="s">
        <v>65</v>
      </c>
      <c r="D2328" t="s">
        <v>58</v>
      </c>
      <c r="E2328" t="s">
        <v>140</v>
      </c>
      <c r="F2328" s="25">
        <v>46043</v>
      </c>
      <c r="G2328" t="s">
        <v>341</v>
      </c>
      <c r="H2328" t="s">
        <v>405</v>
      </c>
      <c r="I2328" t="s">
        <v>371</v>
      </c>
      <c r="J2328" t="s">
        <v>90</v>
      </c>
      <c r="K2328" t="s">
        <v>92</v>
      </c>
      <c r="L2328" t="s">
        <v>93</v>
      </c>
      <c r="M2328" t="s">
        <v>141</v>
      </c>
      <c r="N2328" t="s">
        <v>142</v>
      </c>
      <c r="O2328" t="s">
        <v>327</v>
      </c>
      <c r="P2328" t="s">
        <v>281</v>
      </c>
      <c r="Q2328" t="s">
        <v>328</v>
      </c>
      <c r="R2328" t="s">
        <v>360</v>
      </c>
      <c r="S2328" t="s">
        <v>330</v>
      </c>
      <c r="T2328">
        <v>1</v>
      </c>
      <c r="U2328" t="s">
        <v>456</v>
      </c>
      <c r="V2328" t="s">
        <v>285</v>
      </c>
      <c r="W2328" t="s">
        <v>457</v>
      </c>
      <c r="X2328" t="s">
        <v>331</v>
      </c>
      <c r="Y2328" t="s">
        <v>307</v>
      </c>
      <c r="Z2328">
        <v>70</v>
      </c>
      <c r="AA2328">
        <v>80</v>
      </c>
      <c r="AB2328" t="s">
        <v>143</v>
      </c>
      <c r="AC2328" t="s">
        <v>53</v>
      </c>
      <c r="AD2328" t="s">
        <v>404</v>
      </c>
      <c r="AE2328" t="str">
        <f>IF(AF2328="","",VLOOKUP(AC2328,mapel!$A$2:$B$42,2,FALSE))</f>
        <v>Sejarah</v>
      </c>
      <c r="AF2328">
        <f t="shared" si="108"/>
        <v>80</v>
      </c>
      <c r="AG2328" t="str">
        <f>IF(AF2328="","",IF(AF2328&gt;90,"Sangat baik",IF(AF2328&gt;79,"Baik",IF(AF2328&gt;=pub_gid_0_single_true_output_csv[[#This Row],[KKM]],"Cukup","Kurang"))))</f>
        <v>Baik</v>
      </c>
      <c r="AH2328">
        <f t="shared" si="109"/>
        <v>12</v>
      </c>
      <c r="AI2328" s="30" t="str">
        <f>IF(OR(J2328&lt;&gt;"Karakter",pub_gid_0_single_true_output_csv[[#This Row],[Nilai2]]=""),"",IF(AF2328&gt;89,"Sangat baik",IF(AF2328&gt;79,"Baik",IF(AF2328&gt;69,"Cukup",IF(AF2328&gt;59,"Kurang","Sangat kurang")))))</f>
        <v>Baik</v>
      </c>
      <c r="AJ2328" t="str">
        <f t="shared" si="110"/>
        <v>Wk.4</v>
      </c>
      <c r="AK2328" t="str">
        <f>IF(pub_gid_0_single_true_output_csv[[#This Row],[Nilai2]]="","",VLOOKUP(pub_gid_0_single_true_output_csv[[#This Row],[NAMA]],Table7[],3,FALSE))</f>
        <v>Average</v>
      </c>
    </row>
    <row r="2329" spans="1:37" x14ac:dyDescent="0.2">
      <c r="A2329">
        <v>2328</v>
      </c>
      <c r="B2329" t="s">
        <v>314</v>
      </c>
      <c r="C2329" t="s">
        <v>65</v>
      </c>
      <c r="D2329" t="s">
        <v>58</v>
      </c>
      <c r="E2329" t="s">
        <v>140</v>
      </c>
      <c r="F2329" s="25">
        <v>46043</v>
      </c>
      <c r="G2329" t="s">
        <v>341</v>
      </c>
      <c r="H2329" t="s">
        <v>405</v>
      </c>
      <c r="I2329" t="s">
        <v>371</v>
      </c>
      <c r="J2329" t="s">
        <v>279</v>
      </c>
      <c r="K2329" t="s">
        <v>280</v>
      </c>
      <c r="L2329" t="s">
        <v>322</v>
      </c>
      <c r="M2329" t="s">
        <v>141</v>
      </c>
      <c r="N2329" t="s">
        <v>142</v>
      </c>
      <c r="O2329" t="s">
        <v>327</v>
      </c>
      <c r="P2329" t="s">
        <v>281</v>
      </c>
      <c r="Q2329" t="s">
        <v>328</v>
      </c>
      <c r="R2329" t="s">
        <v>360</v>
      </c>
      <c r="S2329" t="s">
        <v>330</v>
      </c>
      <c r="T2329">
        <v>1</v>
      </c>
      <c r="U2329" t="s">
        <v>456</v>
      </c>
      <c r="V2329" t="s">
        <v>285</v>
      </c>
      <c r="W2329" t="s">
        <v>457</v>
      </c>
      <c r="X2329" t="s">
        <v>331</v>
      </c>
      <c r="Y2329" t="s">
        <v>307</v>
      </c>
      <c r="Z2329">
        <v>70</v>
      </c>
      <c r="AA2329">
        <v>70</v>
      </c>
      <c r="AB2329" t="s">
        <v>143</v>
      </c>
      <c r="AC2329" t="s">
        <v>53</v>
      </c>
      <c r="AD2329" t="s">
        <v>404</v>
      </c>
      <c r="AE2329" t="str">
        <f>IF(AF2329="","",VLOOKUP(AC2329,mapel!$A$2:$B$42,2,FALSE))</f>
        <v>Sejarah</v>
      </c>
      <c r="AF2329">
        <f t="shared" si="108"/>
        <v>70</v>
      </c>
      <c r="AG2329" t="str">
        <f>IF(AF2329="","",IF(AF2329&gt;90,"Sangat baik",IF(AF2329&gt;79,"Baik",IF(AF2329&gt;=pub_gid_0_single_true_output_csv[[#This Row],[KKM]],"Cukup","Kurang"))))</f>
        <v>Cukup</v>
      </c>
      <c r="AH2329">
        <f t="shared" si="109"/>
        <v>12</v>
      </c>
      <c r="AI2329" s="30" t="str">
        <f>IF(OR(J2329&lt;&gt;"Karakter",pub_gid_0_single_true_output_csv[[#This Row],[Nilai2]]=""),"",IF(AF2329&gt;89,"Sangat baik",IF(AF2329&gt;79,"Baik",IF(AF2329&gt;69,"Cukup",IF(AF2329&gt;59,"Kurang","Sangat kurang")))))</f>
        <v/>
      </c>
      <c r="AJ2329" t="str">
        <f t="shared" si="110"/>
        <v>Wk.4</v>
      </c>
      <c r="AK2329" t="str">
        <f>IF(pub_gid_0_single_true_output_csv[[#This Row],[Nilai2]]="","",VLOOKUP(pub_gid_0_single_true_output_csv[[#This Row],[NAMA]],Table7[],3,FALSE))</f>
        <v>Average</v>
      </c>
    </row>
    <row r="2330" spans="1:37" x14ac:dyDescent="0.2">
      <c r="A2330">
        <v>2329</v>
      </c>
      <c r="B2330" t="s">
        <v>314</v>
      </c>
      <c r="C2330" t="s">
        <v>65</v>
      </c>
      <c r="D2330" t="s">
        <v>58</v>
      </c>
      <c r="E2330" t="s">
        <v>140</v>
      </c>
      <c r="F2330" s="25">
        <v>46050</v>
      </c>
      <c r="G2330" t="s">
        <v>308</v>
      </c>
      <c r="H2330" t="s">
        <v>405</v>
      </c>
      <c r="I2330" t="s">
        <v>371</v>
      </c>
      <c r="J2330" t="s">
        <v>36</v>
      </c>
      <c r="K2330" t="s">
        <v>37</v>
      </c>
      <c r="L2330" t="s">
        <v>351</v>
      </c>
      <c r="M2330" t="s">
        <v>141</v>
      </c>
      <c r="N2330" t="s">
        <v>142</v>
      </c>
      <c r="O2330" t="s">
        <v>327</v>
      </c>
      <c r="P2330" t="s">
        <v>281</v>
      </c>
      <c r="Q2330" t="s">
        <v>328</v>
      </c>
      <c r="R2330" t="s">
        <v>360</v>
      </c>
      <c r="S2330" t="s">
        <v>375</v>
      </c>
      <c r="T2330">
        <v>1</v>
      </c>
      <c r="U2330" t="s">
        <v>456</v>
      </c>
      <c r="V2330" t="s">
        <v>342</v>
      </c>
      <c r="W2330" t="s">
        <v>458</v>
      </c>
      <c r="X2330" t="s">
        <v>331</v>
      </c>
      <c r="Y2330" t="s">
        <v>307</v>
      </c>
      <c r="Z2330">
        <v>70</v>
      </c>
      <c r="AA2330">
        <v>70</v>
      </c>
      <c r="AB2330" t="s">
        <v>143</v>
      </c>
      <c r="AC2330" t="s">
        <v>53</v>
      </c>
      <c r="AD2330" t="s">
        <v>404</v>
      </c>
      <c r="AE2330" t="str">
        <f>IF(AF2330="","",VLOOKUP(AC2330,mapel!$A$2:$B$42,2,FALSE))</f>
        <v>Sejarah</v>
      </c>
      <c r="AF2330">
        <f t="shared" si="108"/>
        <v>70</v>
      </c>
      <c r="AG2330" t="str">
        <f>IF(AF2330="","",IF(AF2330&gt;90,"Sangat baik",IF(AF2330&gt;79,"Baik",IF(AF2330&gt;=pub_gid_0_single_true_output_csv[[#This Row],[KKM]],"Cukup","Kurang"))))</f>
        <v>Cukup</v>
      </c>
      <c r="AH2330">
        <f t="shared" si="109"/>
        <v>12</v>
      </c>
      <c r="AI2330" s="30" t="str">
        <f>IF(OR(J2330&lt;&gt;"Karakter",pub_gid_0_single_true_output_csv[[#This Row],[Nilai2]]=""),"",IF(AF2330&gt;89,"Sangat baik",IF(AF2330&gt;79,"Baik",IF(AF2330&gt;69,"Cukup",IF(AF2330&gt;59,"Kurang","Sangat kurang")))))</f>
        <v/>
      </c>
      <c r="AJ2330" t="str">
        <f t="shared" si="110"/>
        <v>Wk.5</v>
      </c>
      <c r="AK2330" t="str">
        <f>IF(pub_gid_0_single_true_output_csv[[#This Row],[Nilai2]]="","",VLOOKUP(pub_gid_0_single_true_output_csv[[#This Row],[NAMA]],Table7[],3,FALSE))</f>
        <v>Average</v>
      </c>
    </row>
    <row r="2331" spans="1:37" x14ac:dyDescent="0.2">
      <c r="A2331">
        <v>2330</v>
      </c>
      <c r="B2331" t="s">
        <v>314</v>
      </c>
      <c r="C2331" t="s">
        <v>65</v>
      </c>
      <c r="D2331" t="s">
        <v>58</v>
      </c>
      <c r="E2331" t="s">
        <v>140</v>
      </c>
      <c r="F2331" s="25">
        <v>46050</v>
      </c>
      <c r="G2331" t="s">
        <v>308</v>
      </c>
      <c r="H2331" t="s">
        <v>405</v>
      </c>
      <c r="I2331" t="s">
        <v>371</v>
      </c>
      <c r="J2331" t="s">
        <v>31</v>
      </c>
      <c r="K2331" t="s">
        <v>96</v>
      </c>
      <c r="L2331" t="s">
        <v>351</v>
      </c>
      <c r="M2331" t="s">
        <v>141</v>
      </c>
      <c r="N2331" t="s">
        <v>142</v>
      </c>
      <c r="O2331" t="s">
        <v>327</v>
      </c>
      <c r="P2331" t="s">
        <v>281</v>
      </c>
      <c r="Q2331" t="s">
        <v>328</v>
      </c>
      <c r="R2331" t="s">
        <v>360</v>
      </c>
      <c r="S2331" t="s">
        <v>375</v>
      </c>
      <c r="T2331">
        <v>1</v>
      </c>
      <c r="U2331" t="s">
        <v>456</v>
      </c>
      <c r="V2331" t="s">
        <v>342</v>
      </c>
      <c r="W2331" t="s">
        <v>458</v>
      </c>
      <c r="X2331" t="s">
        <v>331</v>
      </c>
      <c r="Y2331" t="s">
        <v>307</v>
      </c>
      <c r="Z2331">
        <v>70</v>
      </c>
      <c r="AA2331">
        <v>70</v>
      </c>
      <c r="AB2331" t="s">
        <v>143</v>
      </c>
      <c r="AC2331" t="s">
        <v>53</v>
      </c>
      <c r="AD2331" t="s">
        <v>404</v>
      </c>
      <c r="AE2331" t="str">
        <f>IF(AF2331="","",VLOOKUP(AC2331,mapel!$A$2:$B$42,2,FALSE))</f>
        <v>Sejarah</v>
      </c>
      <c r="AF2331">
        <f t="shared" si="108"/>
        <v>70</v>
      </c>
      <c r="AG2331" t="str">
        <f>IF(AF2331="","",IF(AF2331&gt;90,"Sangat baik",IF(AF2331&gt;79,"Baik",IF(AF2331&gt;=pub_gid_0_single_true_output_csv[[#This Row],[KKM]],"Cukup","Kurang"))))</f>
        <v>Cukup</v>
      </c>
      <c r="AH2331">
        <f t="shared" si="109"/>
        <v>12</v>
      </c>
      <c r="AI2331" s="30" t="str">
        <f>IF(OR(J2331&lt;&gt;"Karakter",pub_gid_0_single_true_output_csv[[#This Row],[Nilai2]]=""),"",IF(AF2331&gt;89,"Sangat baik",IF(AF2331&gt;79,"Baik",IF(AF2331&gt;69,"Cukup",IF(AF2331&gt;59,"Kurang","Sangat kurang")))))</f>
        <v/>
      </c>
      <c r="AJ2331" t="str">
        <f t="shared" si="110"/>
        <v>Wk.5</v>
      </c>
      <c r="AK2331" t="str">
        <f>IF(pub_gid_0_single_true_output_csv[[#This Row],[Nilai2]]="","",VLOOKUP(pub_gid_0_single_true_output_csv[[#This Row],[NAMA]],Table7[],3,FALSE))</f>
        <v>Average</v>
      </c>
    </row>
    <row r="2332" spans="1:37" x14ac:dyDescent="0.2">
      <c r="A2332">
        <v>2331</v>
      </c>
      <c r="B2332" t="s">
        <v>314</v>
      </c>
      <c r="C2332" t="s">
        <v>65</v>
      </c>
      <c r="D2332" t="s">
        <v>58</v>
      </c>
      <c r="E2332" t="s">
        <v>140</v>
      </c>
      <c r="F2332" s="25">
        <v>46050</v>
      </c>
      <c r="G2332" t="s">
        <v>308</v>
      </c>
      <c r="H2332" t="s">
        <v>405</v>
      </c>
      <c r="I2332" t="s">
        <v>371</v>
      </c>
      <c r="J2332" t="s">
        <v>90</v>
      </c>
      <c r="K2332" t="s">
        <v>92</v>
      </c>
      <c r="L2332" t="s">
        <v>93</v>
      </c>
      <c r="M2332" t="s">
        <v>141</v>
      </c>
      <c r="N2332" t="s">
        <v>142</v>
      </c>
      <c r="O2332" t="s">
        <v>327</v>
      </c>
      <c r="P2332" t="s">
        <v>281</v>
      </c>
      <c r="Q2332" t="s">
        <v>328</v>
      </c>
      <c r="R2332" t="s">
        <v>360</v>
      </c>
      <c r="S2332" t="s">
        <v>375</v>
      </c>
      <c r="T2332">
        <v>1</v>
      </c>
      <c r="U2332" t="s">
        <v>456</v>
      </c>
      <c r="V2332" t="s">
        <v>342</v>
      </c>
      <c r="W2332" t="s">
        <v>458</v>
      </c>
      <c r="X2332" t="s">
        <v>331</v>
      </c>
      <c r="Y2332" t="s">
        <v>307</v>
      </c>
      <c r="Z2332">
        <v>70</v>
      </c>
      <c r="AA2332">
        <v>70</v>
      </c>
      <c r="AB2332" t="s">
        <v>143</v>
      </c>
      <c r="AC2332" t="s">
        <v>53</v>
      </c>
      <c r="AD2332" t="s">
        <v>404</v>
      </c>
      <c r="AE2332" t="str">
        <f>IF(AF2332="","",VLOOKUP(AC2332,mapel!$A$2:$B$42,2,FALSE))</f>
        <v>Sejarah</v>
      </c>
      <c r="AF2332">
        <f t="shared" si="108"/>
        <v>70</v>
      </c>
      <c r="AG2332" t="str">
        <f>IF(AF2332="","",IF(AF2332&gt;90,"Sangat baik",IF(AF2332&gt;79,"Baik",IF(AF2332&gt;=pub_gid_0_single_true_output_csv[[#This Row],[KKM]],"Cukup","Kurang"))))</f>
        <v>Cukup</v>
      </c>
      <c r="AH2332">
        <f t="shared" si="109"/>
        <v>12</v>
      </c>
      <c r="AI2332" s="30" t="str">
        <f>IF(OR(J2332&lt;&gt;"Karakter",pub_gid_0_single_true_output_csv[[#This Row],[Nilai2]]=""),"",IF(AF2332&gt;89,"Sangat baik",IF(AF2332&gt;79,"Baik",IF(AF2332&gt;69,"Cukup",IF(AF2332&gt;59,"Kurang","Sangat kurang")))))</f>
        <v>Cukup</v>
      </c>
      <c r="AJ2332" t="str">
        <f t="shared" si="110"/>
        <v>Wk.5</v>
      </c>
      <c r="AK2332" t="str">
        <f>IF(pub_gid_0_single_true_output_csv[[#This Row],[Nilai2]]="","",VLOOKUP(pub_gid_0_single_true_output_csv[[#This Row],[NAMA]],Table7[],3,FALSE))</f>
        <v>Average</v>
      </c>
    </row>
    <row r="2333" spans="1:37" x14ac:dyDescent="0.2">
      <c r="A2333">
        <v>2332</v>
      </c>
      <c r="B2333" t="s">
        <v>314</v>
      </c>
      <c r="C2333" t="s">
        <v>65</v>
      </c>
      <c r="D2333" t="s">
        <v>58</v>
      </c>
      <c r="E2333" t="s">
        <v>140</v>
      </c>
      <c r="F2333" s="25">
        <v>46050</v>
      </c>
      <c r="G2333" t="s">
        <v>308</v>
      </c>
      <c r="H2333" t="s">
        <v>405</v>
      </c>
      <c r="I2333" t="s">
        <v>371</v>
      </c>
      <c r="J2333" t="s">
        <v>279</v>
      </c>
      <c r="K2333" t="s">
        <v>280</v>
      </c>
      <c r="L2333" t="s">
        <v>322</v>
      </c>
      <c r="M2333" t="s">
        <v>141</v>
      </c>
      <c r="N2333" t="s">
        <v>142</v>
      </c>
      <c r="O2333" t="s">
        <v>327</v>
      </c>
      <c r="P2333" t="s">
        <v>281</v>
      </c>
      <c r="Q2333" t="s">
        <v>328</v>
      </c>
      <c r="R2333" t="s">
        <v>360</v>
      </c>
      <c r="S2333" t="s">
        <v>375</v>
      </c>
      <c r="T2333">
        <v>1</v>
      </c>
      <c r="U2333" t="s">
        <v>456</v>
      </c>
      <c r="V2333" t="s">
        <v>342</v>
      </c>
      <c r="W2333" t="s">
        <v>458</v>
      </c>
      <c r="X2333" t="s">
        <v>331</v>
      </c>
      <c r="Y2333" t="s">
        <v>307</v>
      </c>
      <c r="Z2333">
        <v>70</v>
      </c>
      <c r="AA2333">
        <v>70</v>
      </c>
      <c r="AB2333" t="s">
        <v>143</v>
      </c>
      <c r="AC2333" t="s">
        <v>53</v>
      </c>
      <c r="AD2333" t="s">
        <v>404</v>
      </c>
      <c r="AE2333" t="str">
        <f>IF(AF2333="","",VLOOKUP(AC2333,mapel!$A$2:$B$42,2,FALSE))</f>
        <v>Sejarah</v>
      </c>
      <c r="AF2333">
        <f t="shared" si="108"/>
        <v>70</v>
      </c>
      <c r="AG2333" t="str">
        <f>IF(AF2333="","",IF(AF2333&gt;90,"Sangat baik",IF(AF2333&gt;79,"Baik",IF(AF2333&gt;=pub_gid_0_single_true_output_csv[[#This Row],[KKM]],"Cukup","Kurang"))))</f>
        <v>Cukup</v>
      </c>
      <c r="AH2333">
        <f t="shared" si="109"/>
        <v>12</v>
      </c>
      <c r="AI2333" s="30" t="str">
        <f>IF(OR(J2333&lt;&gt;"Karakter",pub_gid_0_single_true_output_csv[[#This Row],[Nilai2]]=""),"",IF(AF2333&gt;89,"Sangat baik",IF(AF2333&gt;79,"Baik",IF(AF2333&gt;69,"Cukup",IF(AF2333&gt;59,"Kurang","Sangat kurang")))))</f>
        <v/>
      </c>
      <c r="AJ2333" t="str">
        <f t="shared" si="110"/>
        <v>Wk.5</v>
      </c>
      <c r="AK2333" t="str">
        <f>IF(pub_gid_0_single_true_output_csv[[#This Row],[Nilai2]]="","",VLOOKUP(pub_gid_0_single_true_output_csv[[#This Row],[NAMA]],Table7[],3,FALSE))</f>
        <v>Average</v>
      </c>
    </row>
    <row r="2334" spans="1:37" x14ac:dyDescent="0.2">
      <c r="A2334">
        <v>2333</v>
      </c>
      <c r="B2334" t="s">
        <v>314</v>
      </c>
      <c r="C2334" t="s">
        <v>65</v>
      </c>
      <c r="D2334" t="s">
        <v>58</v>
      </c>
      <c r="E2334" t="s">
        <v>140</v>
      </c>
      <c r="F2334" s="25">
        <v>46050</v>
      </c>
      <c r="G2334" t="s">
        <v>308</v>
      </c>
      <c r="H2334" t="s">
        <v>405</v>
      </c>
      <c r="I2334" t="s">
        <v>371</v>
      </c>
      <c r="J2334" t="s">
        <v>36</v>
      </c>
      <c r="K2334" t="s">
        <v>37</v>
      </c>
      <c r="L2334" t="s">
        <v>150</v>
      </c>
      <c r="M2334" t="s">
        <v>141</v>
      </c>
      <c r="N2334" t="s">
        <v>142</v>
      </c>
      <c r="O2334" t="s">
        <v>327</v>
      </c>
      <c r="P2334" t="s">
        <v>281</v>
      </c>
      <c r="Q2334" t="s">
        <v>328</v>
      </c>
      <c r="R2334" t="s">
        <v>360</v>
      </c>
      <c r="S2334" t="s">
        <v>375</v>
      </c>
      <c r="T2334">
        <v>1</v>
      </c>
      <c r="U2334" t="s">
        <v>456</v>
      </c>
      <c r="V2334" t="s">
        <v>342</v>
      </c>
      <c r="W2334" t="s">
        <v>458</v>
      </c>
      <c r="X2334" t="s">
        <v>331</v>
      </c>
      <c r="Y2334" t="s">
        <v>307</v>
      </c>
      <c r="Z2334">
        <v>70</v>
      </c>
      <c r="AA2334">
        <v>70</v>
      </c>
      <c r="AB2334" t="s">
        <v>143</v>
      </c>
      <c r="AC2334" t="s">
        <v>53</v>
      </c>
      <c r="AD2334" t="s">
        <v>404</v>
      </c>
      <c r="AE2334" t="str">
        <f>IF(AF2334="","",VLOOKUP(AC2334,mapel!$A$2:$B$42,2,FALSE))</f>
        <v>Sejarah</v>
      </c>
      <c r="AF2334">
        <f t="shared" si="108"/>
        <v>70</v>
      </c>
      <c r="AG2334" t="str">
        <f>IF(AF2334="","",IF(AF2334&gt;90,"Sangat baik",IF(AF2334&gt;79,"Baik",IF(AF2334&gt;=pub_gid_0_single_true_output_csv[[#This Row],[KKM]],"Cukup","Kurang"))))</f>
        <v>Cukup</v>
      </c>
      <c r="AH2334">
        <f t="shared" si="109"/>
        <v>12</v>
      </c>
      <c r="AI2334" s="30" t="str">
        <f>IF(OR(J2334&lt;&gt;"Karakter",pub_gid_0_single_true_output_csv[[#This Row],[Nilai2]]=""),"",IF(AF2334&gt;89,"Sangat baik",IF(AF2334&gt;79,"Baik",IF(AF2334&gt;69,"Cukup",IF(AF2334&gt;59,"Kurang","Sangat kurang")))))</f>
        <v/>
      </c>
      <c r="AJ2334" t="str">
        <f t="shared" si="110"/>
        <v>Wk.5</v>
      </c>
      <c r="AK2334" t="str">
        <f>IF(pub_gid_0_single_true_output_csv[[#This Row],[Nilai2]]="","",VLOOKUP(pub_gid_0_single_true_output_csv[[#This Row],[NAMA]],Table7[],3,FALSE))</f>
        <v>Average</v>
      </c>
    </row>
    <row r="2335" spans="1:37" x14ac:dyDescent="0.2">
      <c r="A2335">
        <v>2334</v>
      </c>
      <c r="B2335" t="s">
        <v>314</v>
      </c>
      <c r="C2335" t="s">
        <v>65</v>
      </c>
      <c r="D2335" t="s">
        <v>58</v>
      </c>
      <c r="E2335" t="s">
        <v>140</v>
      </c>
      <c r="F2335" s="25">
        <v>46050</v>
      </c>
      <c r="G2335" t="s">
        <v>308</v>
      </c>
      <c r="H2335" t="s">
        <v>405</v>
      </c>
      <c r="I2335" t="s">
        <v>371</v>
      </c>
      <c r="J2335" t="s">
        <v>31</v>
      </c>
      <c r="K2335" t="s">
        <v>32</v>
      </c>
      <c r="L2335" t="s">
        <v>367</v>
      </c>
      <c r="M2335" t="s">
        <v>141</v>
      </c>
      <c r="N2335" t="s">
        <v>142</v>
      </c>
      <c r="O2335" t="s">
        <v>327</v>
      </c>
      <c r="P2335" t="s">
        <v>281</v>
      </c>
      <c r="Q2335" t="s">
        <v>328</v>
      </c>
      <c r="R2335" t="s">
        <v>360</v>
      </c>
      <c r="S2335" t="s">
        <v>375</v>
      </c>
      <c r="T2335">
        <v>1</v>
      </c>
      <c r="U2335" t="s">
        <v>456</v>
      </c>
      <c r="V2335" t="s">
        <v>342</v>
      </c>
      <c r="W2335" t="s">
        <v>458</v>
      </c>
      <c r="X2335" t="s">
        <v>331</v>
      </c>
      <c r="Y2335" t="s">
        <v>307</v>
      </c>
      <c r="Z2335">
        <v>70</v>
      </c>
      <c r="AA2335">
        <v>70</v>
      </c>
      <c r="AB2335" t="s">
        <v>143</v>
      </c>
      <c r="AC2335" t="s">
        <v>53</v>
      </c>
      <c r="AD2335" t="s">
        <v>404</v>
      </c>
      <c r="AE2335" t="str">
        <f>IF(AF2335="","",VLOOKUP(AC2335,mapel!$A$2:$B$42,2,FALSE))</f>
        <v>Sejarah</v>
      </c>
      <c r="AF2335">
        <f t="shared" si="108"/>
        <v>70</v>
      </c>
      <c r="AG2335" t="str">
        <f>IF(AF2335="","",IF(AF2335&gt;90,"Sangat baik",IF(AF2335&gt;79,"Baik",IF(AF2335&gt;=pub_gid_0_single_true_output_csv[[#This Row],[KKM]],"Cukup","Kurang"))))</f>
        <v>Cukup</v>
      </c>
      <c r="AH2335">
        <f t="shared" si="109"/>
        <v>12</v>
      </c>
      <c r="AI2335" s="30" t="str">
        <f>IF(OR(J2335&lt;&gt;"Karakter",pub_gid_0_single_true_output_csv[[#This Row],[Nilai2]]=""),"",IF(AF2335&gt;89,"Sangat baik",IF(AF2335&gt;79,"Baik",IF(AF2335&gt;69,"Cukup",IF(AF2335&gt;59,"Kurang","Sangat kurang")))))</f>
        <v/>
      </c>
      <c r="AJ2335" t="str">
        <f t="shared" si="110"/>
        <v>Wk.5</v>
      </c>
      <c r="AK2335" t="str">
        <f>IF(pub_gid_0_single_true_output_csv[[#This Row],[Nilai2]]="","",VLOOKUP(pub_gid_0_single_true_output_csv[[#This Row],[NAMA]],Table7[],3,FALSE))</f>
        <v>Average</v>
      </c>
    </row>
    <row r="2336" spans="1:37" x14ac:dyDescent="0.2">
      <c r="A2336">
        <v>2335</v>
      </c>
      <c r="B2336" t="s">
        <v>314</v>
      </c>
      <c r="C2336" t="s">
        <v>65</v>
      </c>
      <c r="D2336" t="s">
        <v>58</v>
      </c>
      <c r="E2336" t="s">
        <v>140</v>
      </c>
      <c r="F2336" s="25">
        <v>46052</v>
      </c>
      <c r="G2336" t="s">
        <v>304</v>
      </c>
      <c r="H2336" t="s">
        <v>405</v>
      </c>
      <c r="I2336" t="s">
        <v>371</v>
      </c>
      <c r="J2336" t="s">
        <v>90</v>
      </c>
      <c r="K2336" t="s">
        <v>92</v>
      </c>
      <c r="L2336" t="s">
        <v>93</v>
      </c>
      <c r="M2336" t="s">
        <v>141</v>
      </c>
      <c r="N2336" t="s">
        <v>142</v>
      </c>
      <c r="O2336" t="s">
        <v>327</v>
      </c>
      <c r="P2336" t="s">
        <v>281</v>
      </c>
      <c r="Q2336" t="s">
        <v>328</v>
      </c>
      <c r="R2336" t="s">
        <v>360</v>
      </c>
      <c r="S2336" t="s">
        <v>375</v>
      </c>
      <c r="T2336">
        <v>1</v>
      </c>
      <c r="U2336" t="s">
        <v>456</v>
      </c>
      <c r="V2336" t="s">
        <v>342</v>
      </c>
      <c r="W2336" t="s">
        <v>458</v>
      </c>
      <c r="X2336" t="s">
        <v>331</v>
      </c>
      <c r="Y2336" t="s">
        <v>307</v>
      </c>
      <c r="Z2336">
        <v>70</v>
      </c>
      <c r="AA2336">
        <v>70</v>
      </c>
      <c r="AB2336" t="s">
        <v>143</v>
      </c>
      <c r="AC2336" t="s">
        <v>53</v>
      </c>
      <c r="AD2336" t="s">
        <v>404</v>
      </c>
      <c r="AE2336" t="str">
        <f>IF(AF2336="","",VLOOKUP(AC2336,mapel!$A$2:$B$42,2,FALSE))</f>
        <v>Sejarah</v>
      </c>
      <c r="AF2336">
        <f t="shared" si="108"/>
        <v>70</v>
      </c>
      <c r="AG2336" t="str">
        <f>IF(AF2336="","",IF(AF2336&gt;90,"Sangat baik",IF(AF2336&gt;79,"Baik",IF(AF2336&gt;=pub_gid_0_single_true_output_csv[[#This Row],[KKM]],"Cukup","Kurang"))))</f>
        <v>Cukup</v>
      </c>
      <c r="AH2336">
        <f t="shared" si="109"/>
        <v>12</v>
      </c>
      <c r="AI2336" s="30" t="str">
        <f>IF(OR(J2336&lt;&gt;"Karakter",pub_gid_0_single_true_output_csv[[#This Row],[Nilai2]]=""),"",IF(AF2336&gt;89,"Sangat baik",IF(AF2336&gt;79,"Baik",IF(AF2336&gt;69,"Cukup",IF(AF2336&gt;59,"Kurang","Sangat kurang")))))</f>
        <v>Cukup</v>
      </c>
      <c r="AJ2336" t="str">
        <f t="shared" si="110"/>
        <v>Wk.5</v>
      </c>
      <c r="AK2336" t="str">
        <f>IF(pub_gid_0_single_true_output_csv[[#This Row],[Nilai2]]="","",VLOOKUP(pub_gid_0_single_true_output_csv[[#This Row],[NAMA]],Table7[],3,FALSE))</f>
        <v>Average</v>
      </c>
    </row>
    <row r="2337" spans="1:37" x14ac:dyDescent="0.2">
      <c r="A2337">
        <v>2336</v>
      </c>
      <c r="B2337" t="s">
        <v>314</v>
      </c>
      <c r="C2337" t="s">
        <v>65</v>
      </c>
      <c r="D2337" t="s">
        <v>58</v>
      </c>
      <c r="E2337" t="s">
        <v>140</v>
      </c>
      <c r="F2337" s="25">
        <v>46057</v>
      </c>
      <c r="G2337" t="s">
        <v>348</v>
      </c>
      <c r="H2337" t="s">
        <v>412</v>
      </c>
      <c r="I2337" t="s">
        <v>371</v>
      </c>
      <c r="J2337" t="s">
        <v>279</v>
      </c>
      <c r="K2337" t="s">
        <v>280</v>
      </c>
      <c r="L2337" t="s">
        <v>322</v>
      </c>
      <c r="M2337" t="s">
        <v>141</v>
      </c>
      <c r="N2337" t="s">
        <v>142</v>
      </c>
      <c r="O2337" t="s">
        <v>327</v>
      </c>
      <c r="P2337" t="s">
        <v>281</v>
      </c>
      <c r="Q2337" t="s">
        <v>328</v>
      </c>
      <c r="R2337" t="s">
        <v>360</v>
      </c>
      <c r="S2337" t="s">
        <v>375</v>
      </c>
      <c r="T2337">
        <v>1</v>
      </c>
      <c r="U2337" t="s">
        <v>456</v>
      </c>
      <c r="V2337" t="s">
        <v>342</v>
      </c>
      <c r="W2337" t="s">
        <v>458</v>
      </c>
      <c r="X2337" t="s">
        <v>331</v>
      </c>
      <c r="Y2337" t="s">
        <v>307</v>
      </c>
      <c r="Z2337">
        <v>70</v>
      </c>
      <c r="AA2337">
        <v>70</v>
      </c>
      <c r="AB2337" t="s">
        <v>143</v>
      </c>
      <c r="AC2337" t="s">
        <v>53</v>
      </c>
      <c r="AD2337" t="s">
        <v>404</v>
      </c>
      <c r="AE2337" t="str">
        <f>IF(AF2337="","",VLOOKUP(AC2337,mapel!$A$2:$B$42,2,FALSE))</f>
        <v>Sejarah</v>
      </c>
      <c r="AF2337">
        <f t="shared" si="108"/>
        <v>70</v>
      </c>
      <c r="AG2337" t="str">
        <f>IF(AF2337="","",IF(AF2337&gt;90,"Sangat baik",IF(AF2337&gt;79,"Baik",IF(AF2337&gt;=pub_gid_0_single_true_output_csv[[#This Row],[KKM]],"Cukup","Kurang"))))</f>
        <v>Cukup</v>
      </c>
      <c r="AH2337">
        <f t="shared" si="109"/>
        <v>12</v>
      </c>
      <c r="AI2337" s="30" t="str">
        <f>IF(OR(J2337&lt;&gt;"Karakter",pub_gid_0_single_true_output_csv[[#This Row],[Nilai2]]=""),"",IF(AF2337&gt;89,"Sangat baik",IF(AF2337&gt;79,"Baik",IF(AF2337&gt;69,"Cukup",IF(AF2337&gt;59,"Kurang","Sangat kurang")))))</f>
        <v/>
      </c>
      <c r="AJ2337" t="str">
        <f t="shared" si="110"/>
        <v>Wk.6</v>
      </c>
      <c r="AK2337" t="str">
        <f>IF(pub_gid_0_single_true_output_csv[[#This Row],[Nilai2]]="","",VLOOKUP(pub_gid_0_single_true_output_csv[[#This Row],[NAMA]],Table7[],3,FALSE))</f>
        <v>Average</v>
      </c>
    </row>
    <row r="2338" spans="1:37" x14ac:dyDescent="0.2">
      <c r="A2338">
        <v>2337</v>
      </c>
      <c r="B2338" t="s">
        <v>314</v>
      </c>
      <c r="C2338" t="s">
        <v>65</v>
      </c>
      <c r="D2338" t="s">
        <v>58</v>
      </c>
      <c r="E2338" t="s">
        <v>140</v>
      </c>
      <c r="F2338" s="25">
        <v>46057</v>
      </c>
      <c r="G2338" t="s">
        <v>348</v>
      </c>
      <c r="H2338" t="s">
        <v>412</v>
      </c>
      <c r="I2338" t="s">
        <v>371</v>
      </c>
      <c r="J2338" t="s">
        <v>36</v>
      </c>
      <c r="K2338" t="s">
        <v>37</v>
      </c>
      <c r="L2338" t="s">
        <v>351</v>
      </c>
      <c r="M2338" t="s">
        <v>141</v>
      </c>
      <c r="N2338" t="s">
        <v>142</v>
      </c>
      <c r="O2338" t="s">
        <v>327</v>
      </c>
      <c r="P2338" t="s">
        <v>281</v>
      </c>
      <c r="Q2338" t="s">
        <v>328</v>
      </c>
      <c r="R2338" t="s">
        <v>360</v>
      </c>
      <c r="S2338" t="s">
        <v>392</v>
      </c>
      <c r="T2338">
        <v>1</v>
      </c>
      <c r="U2338" t="s">
        <v>456</v>
      </c>
      <c r="V2338" t="s">
        <v>343</v>
      </c>
      <c r="W2338" t="s">
        <v>459</v>
      </c>
      <c r="X2338" t="s">
        <v>331</v>
      </c>
      <c r="Y2338" t="s">
        <v>307</v>
      </c>
      <c r="Z2338">
        <v>70</v>
      </c>
      <c r="AA2338">
        <v>70</v>
      </c>
      <c r="AB2338" t="s">
        <v>143</v>
      </c>
      <c r="AC2338" t="s">
        <v>53</v>
      </c>
      <c r="AD2338" t="s">
        <v>404</v>
      </c>
      <c r="AE2338" t="str">
        <f>IF(AF2338="","",VLOOKUP(AC2338,mapel!$A$2:$B$42,2,FALSE))</f>
        <v>Sejarah</v>
      </c>
      <c r="AF2338">
        <f t="shared" si="108"/>
        <v>70</v>
      </c>
      <c r="AG2338" t="str">
        <f>IF(AF2338="","",IF(AF2338&gt;90,"Sangat baik",IF(AF2338&gt;79,"Baik",IF(AF2338&gt;=pub_gid_0_single_true_output_csv[[#This Row],[KKM]],"Cukup","Kurang"))))</f>
        <v>Cukup</v>
      </c>
      <c r="AH2338">
        <f t="shared" si="109"/>
        <v>12</v>
      </c>
      <c r="AI2338" s="30" t="str">
        <f>IF(OR(J2338&lt;&gt;"Karakter",pub_gid_0_single_true_output_csv[[#This Row],[Nilai2]]=""),"",IF(AF2338&gt;89,"Sangat baik",IF(AF2338&gt;79,"Baik",IF(AF2338&gt;69,"Cukup",IF(AF2338&gt;59,"Kurang","Sangat kurang")))))</f>
        <v/>
      </c>
      <c r="AJ2338" t="str">
        <f t="shared" si="110"/>
        <v>Wk.6</v>
      </c>
      <c r="AK2338" t="str">
        <f>IF(pub_gid_0_single_true_output_csv[[#This Row],[Nilai2]]="","",VLOOKUP(pub_gid_0_single_true_output_csv[[#This Row],[NAMA]],Table7[],3,FALSE))</f>
        <v>Average</v>
      </c>
    </row>
    <row r="2339" spans="1:37" x14ac:dyDescent="0.2">
      <c r="A2339">
        <v>2338</v>
      </c>
      <c r="B2339" t="s">
        <v>314</v>
      </c>
      <c r="C2339" t="s">
        <v>65</v>
      </c>
      <c r="D2339" t="s">
        <v>58</v>
      </c>
      <c r="E2339" t="s">
        <v>140</v>
      </c>
      <c r="F2339" s="25">
        <v>46057</v>
      </c>
      <c r="G2339" t="s">
        <v>348</v>
      </c>
      <c r="H2339" t="s">
        <v>412</v>
      </c>
      <c r="I2339" t="s">
        <v>371</v>
      </c>
      <c r="J2339" t="s">
        <v>31</v>
      </c>
      <c r="K2339" t="s">
        <v>96</v>
      </c>
      <c r="L2339" t="s">
        <v>351</v>
      </c>
      <c r="M2339" t="s">
        <v>141</v>
      </c>
      <c r="N2339" t="s">
        <v>142</v>
      </c>
      <c r="O2339" t="s">
        <v>327</v>
      </c>
      <c r="P2339" t="s">
        <v>281</v>
      </c>
      <c r="Q2339" t="s">
        <v>328</v>
      </c>
      <c r="R2339" t="s">
        <v>360</v>
      </c>
      <c r="S2339" t="s">
        <v>392</v>
      </c>
      <c r="T2339">
        <v>1</v>
      </c>
      <c r="U2339" t="s">
        <v>456</v>
      </c>
      <c r="V2339" t="s">
        <v>343</v>
      </c>
      <c r="W2339" t="s">
        <v>459</v>
      </c>
      <c r="X2339" t="s">
        <v>331</v>
      </c>
      <c r="Y2339" t="s">
        <v>307</v>
      </c>
      <c r="Z2339">
        <v>70</v>
      </c>
      <c r="AA2339">
        <v>70</v>
      </c>
      <c r="AB2339" t="s">
        <v>143</v>
      </c>
      <c r="AC2339" t="s">
        <v>53</v>
      </c>
      <c r="AD2339" t="s">
        <v>404</v>
      </c>
      <c r="AE2339" t="str">
        <f>IF(AF2339="","",VLOOKUP(AC2339,mapel!$A$2:$B$42,2,FALSE))</f>
        <v>Sejarah</v>
      </c>
      <c r="AF2339">
        <f t="shared" si="108"/>
        <v>70</v>
      </c>
      <c r="AG2339" t="str">
        <f>IF(AF2339="","",IF(AF2339&gt;90,"Sangat baik",IF(AF2339&gt;79,"Baik",IF(AF2339&gt;=pub_gid_0_single_true_output_csv[[#This Row],[KKM]],"Cukup","Kurang"))))</f>
        <v>Cukup</v>
      </c>
      <c r="AH2339">
        <f t="shared" si="109"/>
        <v>12</v>
      </c>
      <c r="AI2339" s="30" t="str">
        <f>IF(OR(J2339&lt;&gt;"Karakter",pub_gid_0_single_true_output_csv[[#This Row],[Nilai2]]=""),"",IF(AF2339&gt;89,"Sangat baik",IF(AF2339&gt;79,"Baik",IF(AF2339&gt;69,"Cukup",IF(AF2339&gt;59,"Kurang","Sangat kurang")))))</f>
        <v/>
      </c>
      <c r="AJ2339" t="str">
        <f t="shared" si="110"/>
        <v>Wk.6</v>
      </c>
      <c r="AK2339" t="str">
        <f>IF(pub_gid_0_single_true_output_csv[[#This Row],[Nilai2]]="","",VLOOKUP(pub_gid_0_single_true_output_csv[[#This Row],[NAMA]],Table7[],3,FALSE))</f>
        <v>Average</v>
      </c>
    </row>
    <row r="2340" spans="1:37" x14ac:dyDescent="0.2">
      <c r="A2340">
        <v>2339</v>
      </c>
      <c r="B2340" t="s">
        <v>314</v>
      </c>
      <c r="C2340" t="s">
        <v>65</v>
      </c>
      <c r="D2340" t="s">
        <v>58</v>
      </c>
      <c r="E2340" t="s">
        <v>140</v>
      </c>
      <c r="F2340" s="25">
        <v>46057</v>
      </c>
      <c r="G2340" t="s">
        <v>348</v>
      </c>
      <c r="H2340" t="s">
        <v>412</v>
      </c>
      <c r="I2340" t="s">
        <v>371</v>
      </c>
      <c r="J2340" t="s">
        <v>90</v>
      </c>
      <c r="K2340" t="s">
        <v>92</v>
      </c>
      <c r="L2340" t="s">
        <v>91</v>
      </c>
      <c r="M2340" t="s">
        <v>141</v>
      </c>
      <c r="N2340" t="s">
        <v>142</v>
      </c>
      <c r="O2340" t="s">
        <v>327</v>
      </c>
      <c r="P2340" t="s">
        <v>281</v>
      </c>
      <c r="Q2340" t="s">
        <v>328</v>
      </c>
      <c r="R2340" t="s">
        <v>360</v>
      </c>
      <c r="S2340" t="s">
        <v>392</v>
      </c>
      <c r="T2340">
        <v>1</v>
      </c>
      <c r="U2340" t="s">
        <v>456</v>
      </c>
      <c r="V2340" t="s">
        <v>343</v>
      </c>
      <c r="W2340" t="s">
        <v>459</v>
      </c>
      <c r="X2340" t="s">
        <v>331</v>
      </c>
      <c r="Y2340" t="s">
        <v>307</v>
      </c>
      <c r="Z2340">
        <v>70</v>
      </c>
      <c r="AA2340">
        <v>80</v>
      </c>
      <c r="AB2340" t="s">
        <v>143</v>
      </c>
      <c r="AC2340" t="s">
        <v>53</v>
      </c>
      <c r="AD2340" t="s">
        <v>404</v>
      </c>
      <c r="AE2340" t="str">
        <f>IF(AF2340="","",VLOOKUP(AC2340,mapel!$A$2:$B$42,2,FALSE))</f>
        <v>Sejarah</v>
      </c>
      <c r="AF2340">
        <f t="shared" si="108"/>
        <v>80</v>
      </c>
      <c r="AG2340" t="str">
        <f>IF(AF2340="","",IF(AF2340&gt;90,"Sangat baik",IF(AF2340&gt;79,"Baik",IF(AF2340&gt;=pub_gid_0_single_true_output_csv[[#This Row],[KKM]],"Cukup","Kurang"))))</f>
        <v>Baik</v>
      </c>
      <c r="AH2340">
        <f t="shared" si="109"/>
        <v>12</v>
      </c>
      <c r="AI2340" s="30" t="str">
        <f>IF(OR(J2340&lt;&gt;"Karakter",pub_gid_0_single_true_output_csv[[#This Row],[Nilai2]]=""),"",IF(AF2340&gt;89,"Sangat baik",IF(AF2340&gt;79,"Baik",IF(AF2340&gt;69,"Cukup",IF(AF2340&gt;59,"Kurang","Sangat kurang")))))</f>
        <v>Baik</v>
      </c>
      <c r="AJ2340" t="str">
        <f t="shared" si="110"/>
        <v>Wk.6</v>
      </c>
      <c r="AK2340" t="str">
        <f>IF(pub_gid_0_single_true_output_csv[[#This Row],[Nilai2]]="","",VLOOKUP(pub_gid_0_single_true_output_csv[[#This Row],[NAMA]],Table7[],3,FALSE))</f>
        <v>Average</v>
      </c>
    </row>
    <row r="2341" spans="1:37" x14ac:dyDescent="0.2">
      <c r="A2341">
        <v>2340</v>
      </c>
      <c r="B2341" t="s">
        <v>314</v>
      </c>
      <c r="C2341" t="s">
        <v>65</v>
      </c>
      <c r="D2341" t="s">
        <v>58</v>
      </c>
      <c r="E2341" t="s">
        <v>140</v>
      </c>
      <c r="F2341" s="25">
        <v>46064</v>
      </c>
      <c r="G2341" t="s">
        <v>352</v>
      </c>
      <c r="H2341" t="s">
        <v>412</v>
      </c>
      <c r="I2341" t="s">
        <v>371</v>
      </c>
      <c r="J2341" t="s">
        <v>279</v>
      </c>
      <c r="K2341" t="s">
        <v>280</v>
      </c>
      <c r="L2341" t="s">
        <v>322</v>
      </c>
      <c r="M2341" t="s">
        <v>141</v>
      </c>
      <c r="N2341" t="s">
        <v>142</v>
      </c>
      <c r="O2341" t="s">
        <v>327</v>
      </c>
      <c r="P2341" t="s">
        <v>281</v>
      </c>
      <c r="Q2341" t="s">
        <v>328</v>
      </c>
      <c r="R2341" t="s">
        <v>360</v>
      </c>
      <c r="S2341" t="s">
        <v>392</v>
      </c>
      <c r="T2341">
        <v>1</v>
      </c>
      <c r="U2341" t="s">
        <v>456</v>
      </c>
      <c r="V2341" t="s">
        <v>343</v>
      </c>
      <c r="W2341" t="s">
        <v>459</v>
      </c>
      <c r="X2341" t="s">
        <v>331</v>
      </c>
      <c r="Y2341" t="s">
        <v>307</v>
      </c>
      <c r="Z2341">
        <v>70</v>
      </c>
      <c r="AA2341">
        <v>70</v>
      </c>
      <c r="AB2341" t="s">
        <v>143</v>
      </c>
      <c r="AC2341" t="s">
        <v>53</v>
      </c>
      <c r="AD2341" t="s">
        <v>404</v>
      </c>
      <c r="AE2341" t="str">
        <f>IF(AF2341="","",VLOOKUP(AC2341,mapel!$A$2:$B$42,2,FALSE))</f>
        <v>Sejarah</v>
      </c>
      <c r="AF2341">
        <f t="shared" si="108"/>
        <v>70</v>
      </c>
      <c r="AG2341" t="str">
        <f>IF(AF2341="","",IF(AF2341&gt;90,"Sangat baik",IF(AF2341&gt;79,"Baik",IF(AF2341&gt;=pub_gid_0_single_true_output_csv[[#This Row],[KKM]],"Cukup","Kurang"))))</f>
        <v>Cukup</v>
      </c>
      <c r="AH2341">
        <f t="shared" si="109"/>
        <v>12</v>
      </c>
      <c r="AI2341" s="30" t="str">
        <f>IF(OR(J2341&lt;&gt;"Karakter",pub_gid_0_single_true_output_csv[[#This Row],[Nilai2]]=""),"",IF(AF2341&gt;89,"Sangat baik",IF(AF2341&gt;79,"Baik",IF(AF2341&gt;69,"Cukup",IF(AF2341&gt;59,"Kurang","Sangat kurang")))))</f>
        <v/>
      </c>
      <c r="AJ2341" t="str">
        <f t="shared" si="110"/>
        <v>Wk.7</v>
      </c>
      <c r="AK2341" t="str">
        <f>IF(pub_gid_0_single_true_output_csv[[#This Row],[Nilai2]]="","",VLOOKUP(pub_gid_0_single_true_output_csv[[#This Row],[NAMA]],Table7[],3,FALSE))</f>
        <v>Average</v>
      </c>
    </row>
    <row r="2342" spans="1:37" x14ac:dyDescent="0.2">
      <c r="A2342">
        <v>2341</v>
      </c>
      <c r="B2342" t="s">
        <v>314</v>
      </c>
      <c r="C2342" t="s">
        <v>65</v>
      </c>
      <c r="D2342" t="s">
        <v>58</v>
      </c>
      <c r="E2342" t="s">
        <v>140</v>
      </c>
      <c r="F2342" s="25">
        <v>46064</v>
      </c>
      <c r="G2342" t="s">
        <v>352</v>
      </c>
      <c r="H2342" t="s">
        <v>412</v>
      </c>
      <c r="I2342" t="s">
        <v>371</v>
      </c>
      <c r="J2342" t="s">
        <v>36</v>
      </c>
      <c r="K2342" t="s">
        <v>37</v>
      </c>
      <c r="L2342" t="s">
        <v>351</v>
      </c>
      <c r="M2342" t="s">
        <v>141</v>
      </c>
      <c r="N2342" t="s">
        <v>142</v>
      </c>
      <c r="O2342" t="s">
        <v>327</v>
      </c>
      <c r="P2342" t="s">
        <v>281</v>
      </c>
      <c r="Q2342" t="s">
        <v>328</v>
      </c>
      <c r="R2342" t="s">
        <v>360</v>
      </c>
      <c r="S2342" t="s">
        <v>392</v>
      </c>
      <c r="T2342">
        <v>1</v>
      </c>
      <c r="U2342" t="s">
        <v>456</v>
      </c>
      <c r="V2342" t="s">
        <v>343</v>
      </c>
      <c r="W2342" t="s">
        <v>459</v>
      </c>
      <c r="X2342" t="s">
        <v>331</v>
      </c>
      <c r="Y2342" t="s">
        <v>307</v>
      </c>
      <c r="Z2342">
        <v>70</v>
      </c>
      <c r="AA2342">
        <v>70</v>
      </c>
      <c r="AB2342" t="s">
        <v>143</v>
      </c>
      <c r="AC2342" t="s">
        <v>53</v>
      </c>
      <c r="AD2342" t="s">
        <v>404</v>
      </c>
      <c r="AE2342" t="str">
        <f>IF(AF2342="","",VLOOKUP(AC2342,mapel!$A$2:$B$42,2,FALSE))</f>
        <v>Sejarah</v>
      </c>
      <c r="AF2342">
        <f t="shared" si="108"/>
        <v>70</v>
      </c>
      <c r="AG2342" t="str">
        <f>IF(AF2342="","",IF(AF2342&gt;90,"Sangat baik",IF(AF2342&gt;79,"Baik",IF(AF2342&gt;=pub_gid_0_single_true_output_csv[[#This Row],[KKM]],"Cukup","Kurang"))))</f>
        <v>Cukup</v>
      </c>
      <c r="AH2342">
        <f t="shared" si="109"/>
        <v>12</v>
      </c>
      <c r="AI2342" s="30" t="str">
        <f>IF(OR(J2342&lt;&gt;"Karakter",pub_gid_0_single_true_output_csv[[#This Row],[Nilai2]]=""),"",IF(AF2342&gt;89,"Sangat baik",IF(AF2342&gt;79,"Baik",IF(AF2342&gt;69,"Cukup",IF(AF2342&gt;59,"Kurang","Sangat kurang")))))</f>
        <v/>
      </c>
      <c r="AJ2342" t="str">
        <f t="shared" si="110"/>
        <v>Wk.7</v>
      </c>
      <c r="AK2342" t="str">
        <f>IF(pub_gid_0_single_true_output_csv[[#This Row],[Nilai2]]="","",VLOOKUP(pub_gid_0_single_true_output_csv[[#This Row],[NAMA]],Table7[],3,FALSE))</f>
        <v>Average</v>
      </c>
    </row>
    <row r="2343" spans="1:37" x14ac:dyDescent="0.2">
      <c r="A2343">
        <v>2342</v>
      </c>
      <c r="B2343" t="s">
        <v>314</v>
      </c>
      <c r="C2343" t="s">
        <v>65</v>
      </c>
      <c r="D2343" t="s">
        <v>58</v>
      </c>
      <c r="E2343" t="s">
        <v>140</v>
      </c>
      <c r="F2343" s="25">
        <v>46064</v>
      </c>
      <c r="G2343" t="s">
        <v>352</v>
      </c>
      <c r="H2343" t="s">
        <v>412</v>
      </c>
      <c r="I2343" t="s">
        <v>371</v>
      </c>
      <c r="J2343" t="s">
        <v>31</v>
      </c>
      <c r="K2343" t="s">
        <v>96</v>
      </c>
      <c r="L2343" t="s">
        <v>351</v>
      </c>
      <c r="M2343" t="s">
        <v>141</v>
      </c>
      <c r="N2343" t="s">
        <v>142</v>
      </c>
      <c r="O2343" t="s">
        <v>327</v>
      </c>
      <c r="P2343" t="s">
        <v>281</v>
      </c>
      <c r="Q2343" t="s">
        <v>328</v>
      </c>
      <c r="R2343" t="s">
        <v>360</v>
      </c>
      <c r="S2343" t="s">
        <v>392</v>
      </c>
      <c r="T2343">
        <v>1</v>
      </c>
      <c r="U2343" t="s">
        <v>456</v>
      </c>
      <c r="V2343" t="s">
        <v>343</v>
      </c>
      <c r="W2343" t="s">
        <v>459</v>
      </c>
      <c r="X2343" t="s">
        <v>331</v>
      </c>
      <c r="Y2343" t="s">
        <v>307</v>
      </c>
      <c r="Z2343">
        <v>70</v>
      </c>
      <c r="AA2343">
        <v>70</v>
      </c>
      <c r="AB2343" t="s">
        <v>143</v>
      </c>
      <c r="AC2343" t="s">
        <v>53</v>
      </c>
      <c r="AD2343" t="s">
        <v>404</v>
      </c>
      <c r="AE2343" t="str">
        <f>IF(AF2343="","",VLOOKUP(AC2343,mapel!$A$2:$B$42,2,FALSE))</f>
        <v>Sejarah</v>
      </c>
      <c r="AF2343">
        <f t="shared" si="108"/>
        <v>70</v>
      </c>
      <c r="AG2343" t="str">
        <f>IF(AF2343="","",IF(AF2343&gt;90,"Sangat baik",IF(AF2343&gt;79,"Baik",IF(AF2343&gt;=pub_gid_0_single_true_output_csv[[#This Row],[KKM]],"Cukup","Kurang"))))</f>
        <v>Cukup</v>
      </c>
      <c r="AH2343">
        <f t="shared" si="109"/>
        <v>12</v>
      </c>
      <c r="AI2343" s="30" t="str">
        <f>IF(OR(J2343&lt;&gt;"Karakter",pub_gid_0_single_true_output_csv[[#This Row],[Nilai2]]=""),"",IF(AF2343&gt;89,"Sangat baik",IF(AF2343&gt;79,"Baik",IF(AF2343&gt;69,"Cukup",IF(AF2343&gt;59,"Kurang","Sangat kurang")))))</f>
        <v/>
      </c>
      <c r="AJ2343" t="str">
        <f t="shared" si="110"/>
        <v>Wk.7</v>
      </c>
      <c r="AK2343" t="str">
        <f>IF(pub_gid_0_single_true_output_csv[[#This Row],[Nilai2]]="","",VLOOKUP(pub_gid_0_single_true_output_csv[[#This Row],[NAMA]],Table7[],3,FALSE))</f>
        <v>Average</v>
      </c>
    </row>
    <row r="2344" spans="1:37" x14ac:dyDescent="0.2">
      <c r="A2344">
        <v>2343</v>
      </c>
      <c r="B2344" t="s">
        <v>314</v>
      </c>
      <c r="C2344" t="s">
        <v>65</v>
      </c>
      <c r="D2344" t="s">
        <v>58</v>
      </c>
      <c r="E2344" t="s">
        <v>140</v>
      </c>
      <c r="F2344" s="25">
        <v>46064</v>
      </c>
      <c r="G2344" t="s">
        <v>352</v>
      </c>
      <c r="H2344" t="s">
        <v>412</v>
      </c>
      <c r="I2344" t="s">
        <v>371</v>
      </c>
      <c r="J2344" t="s">
        <v>90</v>
      </c>
      <c r="K2344" t="s">
        <v>92</v>
      </c>
      <c r="L2344" t="s">
        <v>91</v>
      </c>
      <c r="M2344" t="s">
        <v>141</v>
      </c>
      <c r="N2344" t="s">
        <v>142</v>
      </c>
      <c r="O2344" t="s">
        <v>327</v>
      </c>
      <c r="P2344" t="s">
        <v>281</v>
      </c>
      <c r="Q2344" t="s">
        <v>328</v>
      </c>
      <c r="R2344" t="s">
        <v>360</v>
      </c>
      <c r="S2344" t="s">
        <v>392</v>
      </c>
      <c r="T2344">
        <v>1</v>
      </c>
      <c r="U2344" t="s">
        <v>456</v>
      </c>
      <c r="V2344" t="s">
        <v>343</v>
      </c>
      <c r="W2344" t="s">
        <v>459</v>
      </c>
      <c r="X2344" t="s">
        <v>331</v>
      </c>
      <c r="Y2344" t="s">
        <v>307</v>
      </c>
      <c r="Z2344">
        <v>70</v>
      </c>
      <c r="AA2344">
        <v>80</v>
      </c>
      <c r="AB2344" t="s">
        <v>143</v>
      </c>
      <c r="AC2344" t="s">
        <v>53</v>
      </c>
      <c r="AD2344" t="s">
        <v>404</v>
      </c>
      <c r="AE2344" t="str">
        <f>IF(AF2344="","",VLOOKUP(AC2344,mapel!$A$2:$B$42,2,FALSE))</f>
        <v>Sejarah</v>
      </c>
      <c r="AF2344">
        <f t="shared" si="108"/>
        <v>80</v>
      </c>
      <c r="AG2344" t="str">
        <f>IF(AF2344="","",IF(AF2344&gt;90,"Sangat baik",IF(AF2344&gt;79,"Baik",IF(AF2344&gt;=pub_gid_0_single_true_output_csv[[#This Row],[KKM]],"Cukup","Kurang"))))</f>
        <v>Baik</v>
      </c>
      <c r="AH2344">
        <f t="shared" si="109"/>
        <v>12</v>
      </c>
      <c r="AI2344" s="30" t="str">
        <f>IF(OR(J2344&lt;&gt;"Karakter",pub_gid_0_single_true_output_csv[[#This Row],[Nilai2]]=""),"",IF(AF2344&gt;89,"Sangat baik",IF(AF2344&gt;79,"Baik",IF(AF2344&gt;69,"Cukup",IF(AF2344&gt;59,"Kurang","Sangat kurang")))))</f>
        <v>Baik</v>
      </c>
      <c r="AJ2344" t="str">
        <f t="shared" si="110"/>
        <v>Wk.7</v>
      </c>
      <c r="AK2344" t="str">
        <f>IF(pub_gid_0_single_true_output_csv[[#This Row],[Nilai2]]="","",VLOOKUP(pub_gid_0_single_true_output_csv[[#This Row],[NAMA]],Table7[],3,FALSE))</f>
        <v>Average</v>
      </c>
    </row>
    <row r="2345" spans="1:37" x14ac:dyDescent="0.2">
      <c r="A2345">
        <v>2344</v>
      </c>
      <c r="B2345" t="s">
        <v>314</v>
      </c>
      <c r="C2345" t="s">
        <v>65</v>
      </c>
      <c r="D2345" t="s">
        <v>58</v>
      </c>
      <c r="E2345" t="s">
        <v>140</v>
      </c>
      <c r="F2345" s="25">
        <v>46071</v>
      </c>
      <c r="G2345" t="s">
        <v>323</v>
      </c>
      <c r="H2345" t="s">
        <v>412</v>
      </c>
      <c r="I2345" t="s">
        <v>371</v>
      </c>
      <c r="J2345" t="s">
        <v>279</v>
      </c>
      <c r="K2345" t="s">
        <v>280</v>
      </c>
      <c r="L2345" t="s">
        <v>322</v>
      </c>
      <c r="M2345" t="s">
        <v>141</v>
      </c>
      <c r="N2345" t="s">
        <v>142</v>
      </c>
      <c r="O2345" t="s">
        <v>327</v>
      </c>
      <c r="P2345" t="s">
        <v>281</v>
      </c>
      <c r="Q2345" t="s">
        <v>328</v>
      </c>
      <c r="R2345" t="s">
        <v>360</v>
      </c>
      <c r="S2345" t="s">
        <v>392</v>
      </c>
      <c r="T2345">
        <v>1</v>
      </c>
      <c r="U2345" t="s">
        <v>456</v>
      </c>
      <c r="V2345" t="s">
        <v>343</v>
      </c>
      <c r="W2345" t="s">
        <v>459</v>
      </c>
      <c r="X2345" t="s">
        <v>331</v>
      </c>
      <c r="Y2345" t="s">
        <v>307</v>
      </c>
      <c r="Z2345">
        <v>70</v>
      </c>
      <c r="AA2345">
        <v>70</v>
      </c>
      <c r="AB2345" t="s">
        <v>143</v>
      </c>
      <c r="AC2345" t="s">
        <v>53</v>
      </c>
      <c r="AD2345" t="s">
        <v>404</v>
      </c>
      <c r="AE2345" t="str">
        <f>IF(AF2345="","",VLOOKUP(AC2345,mapel!$A$2:$B$42,2,FALSE))</f>
        <v>Sejarah</v>
      </c>
      <c r="AF2345">
        <f t="shared" si="108"/>
        <v>70</v>
      </c>
      <c r="AG2345" t="str">
        <f>IF(AF2345="","",IF(AF2345&gt;90,"Sangat baik",IF(AF2345&gt;79,"Baik",IF(AF2345&gt;=pub_gid_0_single_true_output_csv[[#This Row],[KKM]],"Cukup","Kurang"))))</f>
        <v>Cukup</v>
      </c>
      <c r="AH2345">
        <f t="shared" si="109"/>
        <v>12</v>
      </c>
      <c r="AI2345" s="30" t="str">
        <f>IF(OR(J2345&lt;&gt;"Karakter",pub_gid_0_single_true_output_csv[[#This Row],[Nilai2]]=""),"",IF(AF2345&gt;89,"Sangat baik",IF(AF2345&gt;79,"Baik",IF(AF2345&gt;69,"Cukup",IF(AF2345&gt;59,"Kurang","Sangat kurang")))))</f>
        <v/>
      </c>
      <c r="AJ2345" t="str">
        <f t="shared" si="110"/>
        <v>Wk.8</v>
      </c>
      <c r="AK2345" t="str">
        <f>IF(pub_gid_0_single_true_output_csv[[#This Row],[Nilai2]]="","",VLOOKUP(pub_gid_0_single_true_output_csv[[#This Row],[NAMA]],Table7[],3,FALSE))</f>
        <v>Average</v>
      </c>
    </row>
    <row r="2346" spans="1:37" x14ac:dyDescent="0.2">
      <c r="A2346">
        <v>2345</v>
      </c>
      <c r="B2346" t="s">
        <v>314</v>
      </c>
      <c r="C2346" t="s">
        <v>65</v>
      </c>
      <c r="D2346" t="s">
        <v>58</v>
      </c>
      <c r="E2346" t="s">
        <v>140</v>
      </c>
      <c r="F2346" s="25">
        <v>46071</v>
      </c>
      <c r="G2346" t="s">
        <v>323</v>
      </c>
      <c r="H2346" t="s">
        <v>412</v>
      </c>
      <c r="I2346" t="s">
        <v>371</v>
      </c>
      <c r="J2346" t="s">
        <v>36</v>
      </c>
      <c r="K2346" t="s">
        <v>362</v>
      </c>
      <c r="L2346" t="s">
        <v>363</v>
      </c>
      <c r="M2346" t="s">
        <v>141</v>
      </c>
      <c r="N2346" t="s">
        <v>142</v>
      </c>
      <c r="O2346" t="s">
        <v>327</v>
      </c>
      <c r="P2346" t="s">
        <v>281</v>
      </c>
      <c r="Q2346" t="s">
        <v>328</v>
      </c>
      <c r="R2346" t="s">
        <v>360</v>
      </c>
      <c r="S2346" t="s">
        <v>375</v>
      </c>
      <c r="T2346">
        <v>1</v>
      </c>
      <c r="U2346" t="s">
        <v>456</v>
      </c>
      <c r="V2346" t="s">
        <v>342</v>
      </c>
      <c r="W2346" t="s">
        <v>458</v>
      </c>
      <c r="X2346" t="s">
        <v>331</v>
      </c>
      <c r="Y2346" t="s">
        <v>307</v>
      </c>
      <c r="Z2346">
        <v>70</v>
      </c>
      <c r="AA2346">
        <v>38</v>
      </c>
      <c r="AB2346" t="s">
        <v>151</v>
      </c>
      <c r="AC2346" t="s">
        <v>53</v>
      </c>
      <c r="AD2346" t="s">
        <v>404</v>
      </c>
      <c r="AE2346" t="str">
        <f>IF(AF2346="","",VLOOKUP(AC2346,mapel!$A$2:$B$42,2,FALSE))</f>
        <v>Sejarah</v>
      </c>
      <c r="AF2346">
        <f t="shared" si="108"/>
        <v>38</v>
      </c>
      <c r="AG2346" t="str">
        <f>IF(AF2346="","",IF(AF2346&gt;90,"Sangat baik",IF(AF2346&gt;79,"Baik",IF(AF2346&gt;=pub_gid_0_single_true_output_csv[[#This Row],[KKM]],"Cukup","Kurang"))))</f>
        <v>Kurang</v>
      </c>
      <c r="AH2346">
        <f t="shared" si="109"/>
        <v>12</v>
      </c>
      <c r="AI2346" s="30" t="str">
        <f>IF(OR(J2346&lt;&gt;"Karakter",pub_gid_0_single_true_output_csv[[#This Row],[Nilai2]]=""),"",IF(AF2346&gt;89,"Sangat baik",IF(AF2346&gt;79,"Baik",IF(AF2346&gt;69,"Cukup",IF(AF2346&gt;59,"Kurang","Sangat kurang")))))</f>
        <v/>
      </c>
      <c r="AJ2346" t="str">
        <f t="shared" si="110"/>
        <v>Wk.8</v>
      </c>
      <c r="AK2346" t="str">
        <f>IF(pub_gid_0_single_true_output_csv[[#This Row],[Nilai2]]="","",VLOOKUP(pub_gid_0_single_true_output_csv[[#This Row],[NAMA]],Table7[],3,FALSE))</f>
        <v>Average</v>
      </c>
    </row>
    <row r="2347" spans="1:37" x14ac:dyDescent="0.2">
      <c r="A2347">
        <v>2346</v>
      </c>
      <c r="B2347" t="s">
        <v>314</v>
      </c>
      <c r="C2347" t="s">
        <v>65</v>
      </c>
      <c r="D2347" t="s">
        <v>58</v>
      </c>
      <c r="E2347" t="s">
        <v>140</v>
      </c>
      <c r="F2347" s="25">
        <v>46071</v>
      </c>
      <c r="G2347" t="s">
        <v>323</v>
      </c>
      <c r="H2347" t="s">
        <v>412</v>
      </c>
      <c r="I2347" t="s">
        <v>371</v>
      </c>
      <c r="J2347" t="s">
        <v>31</v>
      </c>
      <c r="K2347" t="s">
        <v>96</v>
      </c>
      <c r="L2347" t="s">
        <v>363</v>
      </c>
      <c r="M2347" t="s">
        <v>141</v>
      </c>
      <c r="N2347" t="s">
        <v>142</v>
      </c>
      <c r="O2347" t="s">
        <v>327</v>
      </c>
      <c r="P2347" t="s">
        <v>281</v>
      </c>
      <c r="Q2347" t="s">
        <v>328</v>
      </c>
      <c r="R2347" t="s">
        <v>360</v>
      </c>
      <c r="S2347" t="s">
        <v>375</v>
      </c>
      <c r="T2347">
        <v>1</v>
      </c>
      <c r="U2347" t="s">
        <v>456</v>
      </c>
      <c r="V2347" t="s">
        <v>342</v>
      </c>
      <c r="W2347" t="s">
        <v>458</v>
      </c>
      <c r="X2347" t="s">
        <v>331</v>
      </c>
      <c r="Y2347" t="s">
        <v>307</v>
      </c>
      <c r="Z2347">
        <v>70</v>
      </c>
      <c r="AA2347">
        <v>70</v>
      </c>
      <c r="AB2347" t="s">
        <v>143</v>
      </c>
      <c r="AC2347" t="s">
        <v>53</v>
      </c>
      <c r="AD2347" t="s">
        <v>404</v>
      </c>
      <c r="AE2347" t="str">
        <f>IF(AF2347="","",VLOOKUP(AC2347,mapel!$A$2:$B$42,2,FALSE))</f>
        <v>Sejarah</v>
      </c>
      <c r="AF2347">
        <f t="shared" si="108"/>
        <v>70</v>
      </c>
      <c r="AG2347" t="str">
        <f>IF(AF2347="","",IF(AF2347&gt;90,"Sangat baik",IF(AF2347&gt;79,"Baik",IF(AF2347&gt;=pub_gid_0_single_true_output_csv[[#This Row],[KKM]],"Cukup","Kurang"))))</f>
        <v>Cukup</v>
      </c>
      <c r="AH2347">
        <f t="shared" si="109"/>
        <v>12</v>
      </c>
      <c r="AI2347" s="30" t="str">
        <f>IF(OR(J2347&lt;&gt;"Karakter",pub_gid_0_single_true_output_csv[[#This Row],[Nilai2]]=""),"",IF(AF2347&gt;89,"Sangat baik",IF(AF2347&gt;79,"Baik",IF(AF2347&gt;69,"Cukup",IF(AF2347&gt;59,"Kurang","Sangat kurang")))))</f>
        <v/>
      </c>
      <c r="AJ2347" t="str">
        <f t="shared" si="110"/>
        <v>Wk.8</v>
      </c>
      <c r="AK2347" t="str">
        <f>IF(pub_gid_0_single_true_output_csv[[#This Row],[Nilai2]]="","",VLOOKUP(pub_gid_0_single_true_output_csv[[#This Row],[NAMA]],Table7[],3,FALSE))</f>
        <v>Average</v>
      </c>
    </row>
    <row r="2348" spans="1:37" x14ac:dyDescent="0.2">
      <c r="A2348">
        <v>2347</v>
      </c>
      <c r="B2348" t="s">
        <v>332</v>
      </c>
      <c r="C2348" t="s">
        <v>65</v>
      </c>
      <c r="D2348" t="s">
        <v>59</v>
      </c>
      <c r="E2348" t="s">
        <v>333</v>
      </c>
      <c r="F2348" s="25">
        <v>46036</v>
      </c>
      <c r="G2348" t="s">
        <v>353</v>
      </c>
      <c r="H2348" t="s">
        <v>405</v>
      </c>
      <c r="I2348" t="s">
        <v>371</v>
      </c>
      <c r="J2348" t="s">
        <v>36</v>
      </c>
      <c r="K2348" t="s">
        <v>37</v>
      </c>
      <c r="L2348" t="s">
        <v>351</v>
      </c>
      <c r="M2348" t="s">
        <v>141</v>
      </c>
      <c r="N2348" t="s">
        <v>142</v>
      </c>
      <c r="O2348" t="s">
        <v>327</v>
      </c>
      <c r="P2348" t="s">
        <v>281</v>
      </c>
      <c r="Q2348" t="s">
        <v>328</v>
      </c>
      <c r="R2348" t="s">
        <v>360</v>
      </c>
      <c r="S2348" t="s">
        <v>330</v>
      </c>
      <c r="T2348">
        <v>1</v>
      </c>
      <c r="U2348" t="s">
        <v>456</v>
      </c>
      <c r="V2348" t="s">
        <v>285</v>
      </c>
      <c r="W2348" t="s">
        <v>457</v>
      </c>
      <c r="X2348" t="s">
        <v>331</v>
      </c>
      <c r="Y2348" t="s">
        <v>307</v>
      </c>
      <c r="Z2348">
        <v>70</v>
      </c>
      <c r="AA2348">
        <v>70</v>
      </c>
      <c r="AB2348" t="s">
        <v>143</v>
      </c>
      <c r="AC2348" t="s">
        <v>53</v>
      </c>
      <c r="AD2348" t="s">
        <v>404</v>
      </c>
      <c r="AE2348" t="str">
        <f>IF(AF2348="","",VLOOKUP(AC2348,mapel!$A$2:$B$42,2,FALSE))</f>
        <v>Sejarah</v>
      </c>
      <c r="AF2348">
        <f t="shared" si="108"/>
        <v>70</v>
      </c>
      <c r="AG2348" t="str">
        <f>IF(AF2348="","",IF(AF2348&gt;90,"Sangat baik",IF(AF2348&gt;79,"Baik",IF(AF2348&gt;=pub_gid_0_single_true_output_csv[[#This Row],[KKM]],"Cukup","Kurang"))))</f>
        <v>Cukup</v>
      </c>
      <c r="AH2348">
        <f t="shared" si="109"/>
        <v>12</v>
      </c>
      <c r="AI2348" s="30" t="str">
        <f>IF(OR(J2348&lt;&gt;"Karakter",pub_gid_0_single_true_output_csv[[#This Row],[Nilai2]]=""),"",IF(AF2348&gt;89,"Sangat baik",IF(AF2348&gt;79,"Baik",IF(AF2348&gt;69,"Cukup",IF(AF2348&gt;59,"Kurang","Sangat kurang")))))</f>
        <v/>
      </c>
      <c r="AJ2348" t="str">
        <f t="shared" si="110"/>
        <v>Wk.3</v>
      </c>
      <c r="AK2348" t="str">
        <f>IF(pub_gid_0_single_true_output_csv[[#This Row],[Nilai2]]="","",VLOOKUP(pub_gid_0_single_true_output_csv[[#This Row],[NAMA]],Table7[],3,FALSE))</f>
        <v>Superior</v>
      </c>
    </row>
    <row r="2349" spans="1:37" x14ac:dyDescent="0.2">
      <c r="A2349">
        <v>2348</v>
      </c>
      <c r="B2349" t="s">
        <v>332</v>
      </c>
      <c r="C2349" t="s">
        <v>65</v>
      </c>
      <c r="D2349" t="s">
        <v>59</v>
      </c>
      <c r="E2349" t="s">
        <v>333</v>
      </c>
      <c r="F2349" s="25">
        <v>46036</v>
      </c>
      <c r="G2349" t="s">
        <v>353</v>
      </c>
      <c r="H2349" t="s">
        <v>405</v>
      </c>
      <c r="I2349" t="s">
        <v>371</v>
      </c>
      <c r="J2349" t="s">
        <v>31</v>
      </c>
      <c r="K2349" t="s">
        <v>96</v>
      </c>
      <c r="L2349" t="s">
        <v>351</v>
      </c>
      <c r="M2349" t="s">
        <v>141</v>
      </c>
      <c r="N2349" t="s">
        <v>142</v>
      </c>
      <c r="O2349" t="s">
        <v>327</v>
      </c>
      <c r="P2349" t="s">
        <v>281</v>
      </c>
      <c r="Q2349" t="s">
        <v>328</v>
      </c>
      <c r="R2349" t="s">
        <v>360</v>
      </c>
      <c r="S2349" t="s">
        <v>330</v>
      </c>
      <c r="T2349">
        <v>1</v>
      </c>
      <c r="U2349" t="s">
        <v>456</v>
      </c>
      <c r="V2349" t="s">
        <v>285</v>
      </c>
      <c r="W2349" t="s">
        <v>457</v>
      </c>
      <c r="X2349" t="s">
        <v>331</v>
      </c>
      <c r="Y2349" t="s">
        <v>307</v>
      </c>
      <c r="Z2349">
        <v>70</v>
      </c>
      <c r="AA2349">
        <v>70</v>
      </c>
      <c r="AB2349" t="s">
        <v>143</v>
      </c>
      <c r="AC2349" t="s">
        <v>53</v>
      </c>
      <c r="AD2349" t="s">
        <v>404</v>
      </c>
      <c r="AE2349" t="str">
        <f>IF(AF2349="","",VLOOKUP(AC2349,mapel!$A$2:$B$42,2,FALSE))</f>
        <v>Sejarah</v>
      </c>
      <c r="AF2349">
        <f t="shared" si="108"/>
        <v>70</v>
      </c>
      <c r="AG2349" t="str">
        <f>IF(AF2349="","",IF(AF2349&gt;90,"Sangat baik",IF(AF2349&gt;79,"Baik",IF(AF2349&gt;=pub_gid_0_single_true_output_csv[[#This Row],[KKM]],"Cukup","Kurang"))))</f>
        <v>Cukup</v>
      </c>
      <c r="AH2349">
        <f t="shared" si="109"/>
        <v>12</v>
      </c>
      <c r="AI2349" s="30" t="str">
        <f>IF(OR(J2349&lt;&gt;"Karakter",pub_gid_0_single_true_output_csv[[#This Row],[Nilai2]]=""),"",IF(AF2349&gt;89,"Sangat baik",IF(AF2349&gt;79,"Baik",IF(AF2349&gt;69,"Cukup",IF(AF2349&gt;59,"Kurang","Sangat kurang")))))</f>
        <v/>
      </c>
      <c r="AJ2349" t="str">
        <f t="shared" si="110"/>
        <v>Wk.3</v>
      </c>
      <c r="AK2349" t="str">
        <f>IF(pub_gid_0_single_true_output_csv[[#This Row],[Nilai2]]="","",VLOOKUP(pub_gid_0_single_true_output_csv[[#This Row],[NAMA]],Table7[],3,FALSE))</f>
        <v>Superior</v>
      </c>
    </row>
    <row r="2350" spans="1:37" x14ac:dyDescent="0.2">
      <c r="A2350">
        <v>2349</v>
      </c>
      <c r="B2350" t="s">
        <v>332</v>
      </c>
      <c r="C2350" t="s">
        <v>65</v>
      </c>
      <c r="D2350" t="s">
        <v>59</v>
      </c>
      <c r="E2350" t="s">
        <v>333</v>
      </c>
      <c r="F2350" s="25">
        <v>46036</v>
      </c>
      <c r="G2350" t="s">
        <v>353</v>
      </c>
      <c r="H2350" t="s">
        <v>405</v>
      </c>
      <c r="I2350" t="s">
        <v>371</v>
      </c>
      <c r="J2350" t="s">
        <v>90</v>
      </c>
      <c r="K2350" t="s">
        <v>92</v>
      </c>
      <c r="L2350" t="s">
        <v>91</v>
      </c>
      <c r="M2350" t="s">
        <v>141</v>
      </c>
      <c r="N2350" t="s">
        <v>142</v>
      </c>
      <c r="O2350" t="s">
        <v>327</v>
      </c>
      <c r="P2350" t="s">
        <v>281</v>
      </c>
      <c r="Q2350" t="s">
        <v>328</v>
      </c>
      <c r="R2350" t="s">
        <v>360</v>
      </c>
      <c r="S2350" t="s">
        <v>330</v>
      </c>
      <c r="T2350">
        <v>1</v>
      </c>
      <c r="U2350" t="s">
        <v>456</v>
      </c>
      <c r="V2350" t="s">
        <v>285</v>
      </c>
      <c r="W2350" t="s">
        <v>457</v>
      </c>
      <c r="X2350" t="s">
        <v>331</v>
      </c>
      <c r="Y2350" t="s">
        <v>307</v>
      </c>
      <c r="Z2350">
        <v>70</v>
      </c>
      <c r="AA2350">
        <v>70</v>
      </c>
      <c r="AB2350" t="s">
        <v>143</v>
      </c>
      <c r="AC2350" t="s">
        <v>53</v>
      </c>
      <c r="AD2350" t="s">
        <v>404</v>
      </c>
      <c r="AE2350" t="str">
        <f>IF(AF2350="","",VLOOKUP(AC2350,mapel!$A$2:$B$42,2,FALSE))</f>
        <v>Sejarah</v>
      </c>
      <c r="AF2350">
        <f t="shared" si="108"/>
        <v>70</v>
      </c>
      <c r="AG2350" t="str">
        <f>IF(AF2350="","",IF(AF2350&gt;90,"Sangat baik",IF(AF2350&gt;79,"Baik",IF(AF2350&gt;=pub_gid_0_single_true_output_csv[[#This Row],[KKM]],"Cukup","Kurang"))))</f>
        <v>Cukup</v>
      </c>
      <c r="AH2350">
        <f t="shared" si="109"/>
        <v>12</v>
      </c>
      <c r="AI2350" s="30" t="str">
        <f>IF(OR(J2350&lt;&gt;"Karakter",pub_gid_0_single_true_output_csv[[#This Row],[Nilai2]]=""),"",IF(AF2350&gt;89,"Sangat baik",IF(AF2350&gt;79,"Baik",IF(AF2350&gt;69,"Cukup",IF(AF2350&gt;59,"Kurang","Sangat kurang")))))</f>
        <v>Cukup</v>
      </c>
      <c r="AJ2350" t="str">
        <f t="shared" si="110"/>
        <v>Wk.3</v>
      </c>
      <c r="AK2350" t="str">
        <f>IF(pub_gid_0_single_true_output_csv[[#This Row],[Nilai2]]="","",VLOOKUP(pub_gid_0_single_true_output_csv[[#This Row],[NAMA]],Table7[],3,FALSE))</f>
        <v>Superior</v>
      </c>
    </row>
    <row r="2351" spans="1:37" x14ac:dyDescent="0.2">
      <c r="A2351">
        <v>2350</v>
      </c>
      <c r="B2351" t="s">
        <v>332</v>
      </c>
      <c r="C2351" t="s">
        <v>65</v>
      </c>
      <c r="D2351" t="s">
        <v>59</v>
      </c>
      <c r="E2351" t="s">
        <v>333</v>
      </c>
      <c r="F2351" s="25">
        <v>46036</v>
      </c>
      <c r="G2351" t="s">
        <v>353</v>
      </c>
      <c r="H2351" t="s">
        <v>405</v>
      </c>
      <c r="I2351" t="s">
        <v>371</v>
      </c>
      <c r="J2351" t="s">
        <v>279</v>
      </c>
      <c r="K2351" t="s">
        <v>280</v>
      </c>
      <c r="L2351" t="s">
        <v>322</v>
      </c>
      <c r="M2351" t="s">
        <v>141</v>
      </c>
      <c r="N2351" t="s">
        <v>142</v>
      </c>
      <c r="O2351" t="s">
        <v>327</v>
      </c>
      <c r="P2351" t="s">
        <v>281</v>
      </c>
      <c r="Q2351" t="s">
        <v>328</v>
      </c>
      <c r="R2351" t="s">
        <v>360</v>
      </c>
      <c r="S2351" t="s">
        <v>330</v>
      </c>
      <c r="T2351">
        <v>1</v>
      </c>
      <c r="U2351" t="s">
        <v>456</v>
      </c>
      <c r="V2351" t="s">
        <v>285</v>
      </c>
      <c r="W2351" t="s">
        <v>457</v>
      </c>
      <c r="X2351" t="s">
        <v>331</v>
      </c>
      <c r="Y2351" t="s">
        <v>307</v>
      </c>
      <c r="Z2351">
        <v>70</v>
      </c>
      <c r="AA2351">
        <v>73</v>
      </c>
      <c r="AB2351" t="s">
        <v>143</v>
      </c>
      <c r="AC2351" t="s">
        <v>53</v>
      </c>
      <c r="AD2351" t="s">
        <v>404</v>
      </c>
      <c r="AE2351" t="str">
        <f>IF(AF2351="","",VLOOKUP(AC2351,mapel!$A$2:$B$42,2,FALSE))</f>
        <v>Sejarah</v>
      </c>
      <c r="AF2351">
        <f t="shared" si="108"/>
        <v>73</v>
      </c>
      <c r="AG2351" t="str">
        <f>IF(AF2351="","",IF(AF2351&gt;90,"Sangat baik",IF(AF2351&gt;79,"Baik",IF(AF2351&gt;=pub_gid_0_single_true_output_csv[[#This Row],[KKM]],"Cukup","Kurang"))))</f>
        <v>Cukup</v>
      </c>
      <c r="AH2351">
        <f t="shared" si="109"/>
        <v>12</v>
      </c>
      <c r="AI2351" s="30" t="str">
        <f>IF(OR(J2351&lt;&gt;"Karakter",pub_gid_0_single_true_output_csv[[#This Row],[Nilai2]]=""),"",IF(AF2351&gt;89,"Sangat baik",IF(AF2351&gt;79,"Baik",IF(AF2351&gt;69,"Cukup",IF(AF2351&gt;59,"Kurang","Sangat kurang")))))</f>
        <v/>
      </c>
      <c r="AJ2351" t="str">
        <f t="shared" si="110"/>
        <v>Wk.3</v>
      </c>
      <c r="AK2351" t="str">
        <f>IF(pub_gid_0_single_true_output_csv[[#This Row],[Nilai2]]="","",VLOOKUP(pub_gid_0_single_true_output_csv[[#This Row],[NAMA]],Table7[],3,FALSE))</f>
        <v>Superior</v>
      </c>
    </row>
    <row r="2352" spans="1:37" x14ac:dyDescent="0.2">
      <c r="A2352">
        <v>2351</v>
      </c>
      <c r="B2352" t="s">
        <v>332</v>
      </c>
      <c r="C2352" t="s">
        <v>65</v>
      </c>
      <c r="D2352" t="s">
        <v>59</v>
      </c>
      <c r="E2352" t="s">
        <v>333</v>
      </c>
      <c r="F2352" s="25">
        <v>46043</v>
      </c>
      <c r="G2352" t="s">
        <v>341</v>
      </c>
      <c r="H2352" t="s">
        <v>405</v>
      </c>
      <c r="I2352" t="s">
        <v>371</v>
      </c>
      <c r="J2352" t="s">
        <v>36</v>
      </c>
      <c r="K2352" t="s">
        <v>37</v>
      </c>
      <c r="L2352" t="s">
        <v>351</v>
      </c>
      <c r="M2352" t="s">
        <v>141</v>
      </c>
      <c r="N2352" t="s">
        <v>142</v>
      </c>
      <c r="O2352" t="s">
        <v>327</v>
      </c>
      <c r="P2352" t="s">
        <v>281</v>
      </c>
      <c r="Q2352" t="s">
        <v>328</v>
      </c>
      <c r="R2352" t="s">
        <v>360</v>
      </c>
      <c r="S2352" t="s">
        <v>330</v>
      </c>
      <c r="T2352">
        <v>1</v>
      </c>
      <c r="U2352" t="s">
        <v>456</v>
      </c>
      <c r="V2352" t="s">
        <v>285</v>
      </c>
      <c r="W2352" t="s">
        <v>457</v>
      </c>
      <c r="X2352" t="s">
        <v>331</v>
      </c>
      <c r="Y2352" t="s">
        <v>307</v>
      </c>
      <c r="Z2352">
        <v>70</v>
      </c>
      <c r="AA2352">
        <v>70</v>
      </c>
      <c r="AB2352" t="s">
        <v>143</v>
      </c>
      <c r="AC2352" t="s">
        <v>53</v>
      </c>
      <c r="AD2352" t="s">
        <v>404</v>
      </c>
      <c r="AE2352" t="str">
        <f>IF(AF2352="","",VLOOKUP(AC2352,mapel!$A$2:$B$42,2,FALSE))</f>
        <v>Sejarah</v>
      </c>
      <c r="AF2352">
        <f t="shared" si="108"/>
        <v>70</v>
      </c>
      <c r="AG2352" t="str">
        <f>IF(AF2352="","",IF(AF2352&gt;90,"Sangat baik",IF(AF2352&gt;79,"Baik",IF(AF2352&gt;=pub_gid_0_single_true_output_csv[[#This Row],[KKM]],"Cukup","Kurang"))))</f>
        <v>Cukup</v>
      </c>
      <c r="AH2352">
        <f t="shared" si="109"/>
        <v>12</v>
      </c>
      <c r="AI2352" s="30" t="str">
        <f>IF(OR(J2352&lt;&gt;"Karakter",pub_gid_0_single_true_output_csv[[#This Row],[Nilai2]]=""),"",IF(AF2352&gt;89,"Sangat baik",IF(AF2352&gt;79,"Baik",IF(AF2352&gt;69,"Cukup",IF(AF2352&gt;59,"Kurang","Sangat kurang")))))</f>
        <v/>
      </c>
      <c r="AJ2352" t="str">
        <f t="shared" si="110"/>
        <v>Wk.4</v>
      </c>
      <c r="AK2352" t="str">
        <f>IF(pub_gid_0_single_true_output_csv[[#This Row],[Nilai2]]="","",VLOOKUP(pub_gid_0_single_true_output_csv[[#This Row],[NAMA]],Table7[],3,FALSE))</f>
        <v>Superior</v>
      </c>
    </row>
    <row r="2353" spans="1:37" x14ac:dyDescent="0.2">
      <c r="A2353">
        <v>2352</v>
      </c>
      <c r="B2353" t="s">
        <v>332</v>
      </c>
      <c r="C2353" t="s">
        <v>65</v>
      </c>
      <c r="D2353" t="s">
        <v>59</v>
      </c>
      <c r="E2353" t="s">
        <v>333</v>
      </c>
      <c r="F2353" s="25">
        <v>46043</v>
      </c>
      <c r="G2353" t="s">
        <v>341</v>
      </c>
      <c r="H2353" t="s">
        <v>405</v>
      </c>
      <c r="I2353" t="s">
        <v>371</v>
      </c>
      <c r="J2353" t="s">
        <v>31</v>
      </c>
      <c r="K2353" t="s">
        <v>96</v>
      </c>
      <c r="L2353" t="s">
        <v>367</v>
      </c>
      <c r="M2353" t="s">
        <v>141</v>
      </c>
      <c r="N2353" t="s">
        <v>142</v>
      </c>
      <c r="O2353" t="s">
        <v>327</v>
      </c>
      <c r="P2353" t="s">
        <v>281</v>
      </c>
      <c r="Q2353" t="s">
        <v>328</v>
      </c>
      <c r="R2353" t="s">
        <v>360</v>
      </c>
      <c r="S2353" t="s">
        <v>330</v>
      </c>
      <c r="T2353">
        <v>1</v>
      </c>
      <c r="U2353" t="s">
        <v>456</v>
      </c>
      <c r="V2353" t="s">
        <v>285</v>
      </c>
      <c r="W2353" t="s">
        <v>457</v>
      </c>
      <c r="X2353" t="s">
        <v>331</v>
      </c>
      <c r="Y2353" t="s">
        <v>307</v>
      </c>
      <c r="Z2353">
        <v>70</v>
      </c>
      <c r="AA2353">
        <v>70</v>
      </c>
      <c r="AB2353" t="s">
        <v>143</v>
      </c>
      <c r="AC2353" t="s">
        <v>53</v>
      </c>
      <c r="AD2353" t="s">
        <v>404</v>
      </c>
      <c r="AE2353" t="str">
        <f>IF(AF2353="","",VLOOKUP(AC2353,mapel!$A$2:$B$42,2,FALSE))</f>
        <v>Sejarah</v>
      </c>
      <c r="AF2353">
        <f t="shared" si="108"/>
        <v>70</v>
      </c>
      <c r="AG2353" t="str">
        <f>IF(AF2353="","",IF(AF2353&gt;90,"Sangat baik",IF(AF2353&gt;79,"Baik",IF(AF2353&gt;=pub_gid_0_single_true_output_csv[[#This Row],[KKM]],"Cukup","Kurang"))))</f>
        <v>Cukup</v>
      </c>
      <c r="AH2353">
        <f t="shared" si="109"/>
        <v>12</v>
      </c>
      <c r="AI2353" s="30" t="str">
        <f>IF(OR(J2353&lt;&gt;"Karakter",pub_gid_0_single_true_output_csv[[#This Row],[Nilai2]]=""),"",IF(AF2353&gt;89,"Sangat baik",IF(AF2353&gt;79,"Baik",IF(AF2353&gt;69,"Cukup",IF(AF2353&gt;59,"Kurang","Sangat kurang")))))</f>
        <v/>
      </c>
      <c r="AJ2353" t="str">
        <f t="shared" si="110"/>
        <v>Wk.4</v>
      </c>
      <c r="AK2353" t="str">
        <f>IF(pub_gid_0_single_true_output_csv[[#This Row],[Nilai2]]="","",VLOOKUP(pub_gid_0_single_true_output_csv[[#This Row],[NAMA]],Table7[],3,FALSE))</f>
        <v>Superior</v>
      </c>
    </row>
    <row r="2354" spans="1:37" x14ac:dyDescent="0.2">
      <c r="A2354">
        <v>2353</v>
      </c>
      <c r="B2354" t="s">
        <v>332</v>
      </c>
      <c r="C2354" t="s">
        <v>65</v>
      </c>
      <c r="D2354" t="s">
        <v>59</v>
      </c>
      <c r="E2354" t="s">
        <v>333</v>
      </c>
      <c r="F2354" s="25">
        <v>46043</v>
      </c>
      <c r="G2354" t="s">
        <v>341</v>
      </c>
      <c r="H2354" t="s">
        <v>405</v>
      </c>
      <c r="I2354" t="s">
        <v>371</v>
      </c>
      <c r="J2354" t="s">
        <v>90</v>
      </c>
      <c r="K2354" t="s">
        <v>92</v>
      </c>
      <c r="L2354" t="s">
        <v>93</v>
      </c>
      <c r="M2354" t="s">
        <v>141</v>
      </c>
      <c r="N2354" t="s">
        <v>142</v>
      </c>
      <c r="O2354" t="s">
        <v>327</v>
      </c>
      <c r="P2354" t="s">
        <v>281</v>
      </c>
      <c r="Q2354" t="s">
        <v>328</v>
      </c>
      <c r="R2354" t="s">
        <v>360</v>
      </c>
      <c r="S2354" t="s">
        <v>330</v>
      </c>
      <c r="T2354">
        <v>1</v>
      </c>
      <c r="U2354" t="s">
        <v>456</v>
      </c>
      <c r="V2354" t="s">
        <v>285</v>
      </c>
      <c r="W2354" t="s">
        <v>457</v>
      </c>
      <c r="X2354" t="s">
        <v>331</v>
      </c>
      <c r="Y2354" t="s">
        <v>307</v>
      </c>
      <c r="Z2354">
        <v>70</v>
      </c>
      <c r="AA2354">
        <v>80</v>
      </c>
      <c r="AB2354" t="s">
        <v>143</v>
      </c>
      <c r="AC2354" t="s">
        <v>53</v>
      </c>
      <c r="AD2354" t="s">
        <v>404</v>
      </c>
      <c r="AE2354" t="str">
        <f>IF(AF2354="","",VLOOKUP(AC2354,mapel!$A$2:$B$42,2,FALSE))</f>
        <v>Sejarah</v>
      </c>
      <c r="AF2354">
        <f t="shared" si="108"/>
        <v>80</v>
      </c>
      <c r="AG2354" t="str">
        <f>IF(AF2354="","",IF(AF2354&gt;90,"Sangat baik",IF(AF2354&gt;79,"Baik",IF(AF2354&gt;=pub_gid_0_single_true_output_csv[[#This Row],[KKM]],"Cukup","Kurang"))))</f>
        <v>Baik</v>
      </c>
      <c r="AH2354">
        <f t="shared" si="109"/>
        <v>12</v>
      </c>
      <c r="AI2354" s="30" t="str">
        <f>IF(OR(J2354&lt;&gt;"Karakter",pub_gid_0_single_true_output_csv[[#This Row],[Nilai2]]=""),"",IF(AF2354&gt;89,"Sangat baik",IF(AF2354&gt;79,"Baik",IF(AF2354&gt;69,"Cukup",IF(AF2354&gt;59,"Kurang","Sangat kurang")))))</f>
        <v>Baik</v>
      </c>
      <c r="AJ2354" t="str">
        <f t="shared" si="110"/>
        <v>Wk.4</v>
      </c>
      <c r="AK2354" t="str">
        <f>IF(pub_gid_0_single_true_output_csv[[#This Row],[Nilai2]]="","",VLOOKUP(pub_gid_0_single_true_output_csv[[#This Row],[NAMA]],Table7[],3,FALSE))</f>
        <v>Superior</v>
      </c>
    </row>
    <row r="2355" spans="1:37" x14ac:dyDescent="0.2">
      <c r="A2355">
        <v>2354</v>
      </c>
      <c r="B2355" t="s">
        <v>332</v>
      </c>
      <c r="C2355" t="s">
        <v>65</v>
      </c>
      <c r="D2355" t="s">
        <v>59</v>
      </c>
      <c r="E2355" t="s">
        <v>333</v>
      </c>
      <c r="F2355" s="25">
        <v>46043</v>
      </c>
      <c r="G2355" t="s">
        <v>341</v>
      </c>
      <c r="H2355" t="s">
        <v>405</v>
      </c>
      <c r="I2355" t="s">
        <v>371</v>
      </c>
      <c r="J2355" t="s">
        <v>279</v>
      </c>
      <c r="K2355" t="s">
        <v>280</v>
      </c>
      <c r="L2355" t="s">
        <v>322</v>
      </c>
      <c r="M2355" t="s">
        <v>141</v>
      </c>
      <c r="N2355" t="s">
        <v>142</v>
      </c>
      <c r="O2355" t="s">
        <v>327</v>
      </c>
      <c r="P2355" t="s">
        <v>281</v>
      </c>
      <c r="Q2355" t="s">
        <v>328</v>
      </c>
      <c r="R2355" t="s">
        <v>360</v>
      </c>
      <c r="S2355" t="s">
        <v>330</v>
      </c>
      <c r="T2355">
        <v>1</v>
      </c>
      <c r="U2355" t="s">
        <v>456</v>
      </c>
      <c r="V2355" t="s">
        <v>285</v>
      </c>
      <c r="W2355" t="s">
        <v>457</v>
      </c>
      <c r="X2355" t="s">
        <v>331</v>
      </c>
      <c r="Y2355" t="s">
        <v>307</v>
      </c>
      <c r="Z2355">
        <v>70</v>
      </c>
      <c r="AA2355">
        <v>70</v>
      </c>
      <c r="AB2355" t="s">
        <v>143</v>
      </c>
      <c r="AC2355" t="s">
        <v>53</v>
      </c>
      <c r="AD2355" t="s">
        <v>404</v>
      </c>
      <c r="AE2355" t="str">
        <f>IF(AF2355="","",VLOOKUP(AC2355,mapel!$A$2:$B$42,2,FALSE))</f>
        <v>Sejarah</v>
      </c>
      <c r="AF2355">
        <f t="shared" si="108"/>
        <v>70</v>
      </c>
      <c r="AG2355" t="str">
        <f>IF(AF2355="","",IF(AF2355&gt;90,"Sangat baik",IF(AF2355&gt;79,"Baik",IF(AF2355&gt;=pub_gid_0_single_true_output_csv[[#This Row],[KKM]],"Cukup","Kurang"))))</f>
        <v>Cukup</v>
      </c>
      <c r="AH2355">
        <f t="shared" si="109"/>
        <v>12</v>
      </c>
      <c r="AI2355" s="30" t="str">
        <f>IF(OR(J2355&lt;&gt;"Karakter",pub_gid_0_single_true_output_csv[[#This Row],[Nilai2]]=""),"",IF(AF2355&gt;89,"Sangat baik",IF(AF2355&gt;79,"Baik",IF(AF2355&gt;69,"Cukup",IF(AF2355&gt;59,"Kurang","Sangat kurang")))))</f>
        <v/>
      </c>
      <c r="AJ2355" t="str">
        <f t="shared" si="110"/>
        <v>Wk.4</v>
      </c>
      <c r="AK2355" t="str">
        <f>IF(pub_gid_0_single_true_output_csv[[#This Row],[Nilai2]]="","",VLOOKUP(pub_gid_0_single_true_output_csv[[#This Row],[NAMA]],Table7[],3,FALSE))</f>
        <v>Superior</v>
      </c>
    </row>
    <row r="2356" spans="1:37" x14ac:dyDescent="0.2">
      <c r="A2356">
        <v>2355</v>
      </c>
      <c r="B2356" t="s">
        <v>332</v>
      </c>
      <c r="C2356" t="s">
        <v>65</v>
      </c>
      <c r="D2356" t="s">
        <v>59</v>
      </c>
      <c r="E2356" t="s">
        <v>333</v>
      </c>
      <c r="F2356" s="25">
        <v>46050</v>
      </c>
      <c r="G2356" t="s">
        <v>308</v>
      </c>
      <c r="H2356" t="s">
        <v>405</v>
      </c>
      <c r="I2356" t="s">
        <v>371</v>
      </c>
      <c r="J2356" t="s">
        <v>36</v>
      </c>
      <c r="K2356" t="s">
        <v>37</v>
      </c>
      <c r="L2356" t="s">
        <v>351</v>
      </c>
      <c r="M2356" t="s">
        <v>141</v>
      </c>
      <c r="N2356" t="s">
        <v>142</v>
      </c>
      <c r="O2356" t="s">
        <v>327</v>
      </c>
      <c r="P2356" t="s">
        <v>281</v>
      </c>
      <c r="Q2356" t="s">
        <v>328</v>
      </c>
      <c r="R2356" t="s">
        <v>360</v>
      </c>
      <c r="S2356" t="s">
        <v>375</v>
      </c>
      <c r="T2356">
        <v>1</v>
      </c>
      <c r="U2356" t="s">
        <v>456</v>
      </c>
      <c r="V2356" t="s">
        <v>342</v>
      </c>
      <c r="W2356" t="s">
        <v>458</v>
      </c>
      <c r="X2356" t="s">
        <v>331</v>
      </c>
      <c r="Y2356" t="s">
        <v>307</v>
      </c>
      <c r="Z2356">
        <v>70</v>
      </c>
      <c r="AA2356">
        <v>72</v>
      </c>
      <c r="AB2356" t="s">
        <v>143</v>
      </c>
      <c r="AC2356" t="s">
        <v>53</v>
      </c>
      <c r="AD2356" t="s">
        <v>404</v>
      </c>
      <c r="AE2356" t="str">
        <f>IF(AF2356="","",VLOOKUP(AC2356,mapel!$A$2:$B$42,2,FALSE))</f>
        <v>Sejarah</v>
      </c>
      <c r="AF2356">
        <f t="shared" si="108"/>
        <v>72</v>
      </c>
      <c r="AG2356" t="str">
        <f>IF(AF2356="","",IF(AF2356&gt;90,"Sangat baik",IF(AF2356&gt;79,"Baik",IF(AF2356&gt;=pub_gid_0_single_true_output_csv[[#This Row],[KKM]],"Cukup","Kurang"))))</f>
        <v>Cukup</v>
      </c>
      <c r="AH2356">
        <f t="shared" si="109"/>
        <v>12</v>
      </c>
      <c r="AI2356" s="30" t="str">
        <f>IF(OR(J2356&lt;&gt;"Karakter",pub_gid_0_single_true_output_csv[[#This Row],[Nilai2]]=""),"",IF(AF2356&gt;89,"Sangat baik",IF(AF2356&gt;79,"Baik",IF(AF2356&gt;69,"Cukup",IF(AF2356&gt;59,"Kurang","Sangat kurang")))))</f>
        <v/>
      </c>
      <c r="AJ2356" t="str">
        <f t="shared" si="110"/>
        <v>Wk.5</v>
      </c>
      <c r="AK2356" t="str">
        <f>IF(pub_gid_0_single_true_output_csv[[#This Row],[Nilai2]]="","",VLOOKUP(pub_gid_0_single_true_output_csv[[#This Row],[NAMA]],Table7[],3,FALSE))</f>
        <v>Superior</v>
      </c>
    </row>
    <row r="2357" spans="1:37" x14ac:dyDescent="0.2">
      <c r="A2357">
        <v>2356</v>
      </c>
      <c r="B2357" t="s">
        <v>332</v>
      </c>
      <c r="C2357" t="s">
        <v>65</v>
      </c>
      <c r="D2357" t="s">
        <v>59</v>
      </c>
      <c r="E2357" t="s">
        <v>333</v>
      </c>
      <c r="F2357" s="25">
        <v>46050</v>
      </c>
      <c r="G2357" t="s">
        <v>308</v>
      </c>
      <c r="H2357" t="s">
        <v>405</v>
      </c>
      <c r="I2357" t="s">
        <v>371</v>
      </c>
      <c r="J2357" t="s">
        <v>31</v>
      </c>
      <c r="K2357" t="s">
        <v>96</v>
      </c>
      <c r="L2357" t="s">
        <v>351</v>
      </c>
      <c r="M2357" t="s">
        <v>141</v>
      </c>
      <c r="N2357" t="s">
        <v>142</v>
      </c>
      <c r="O2357" t="s">
        <v>327</v>
      </c>
      <c r="P2357" t="s">
        <v>281</v>
      </c>
      <c r="Q2357" t="s">
        <v>328</v>
      </c>
      <c r="R2357" t="s">
        <v>360</v>
      </c>
      <c r="S2357" t="s">
        <v>375</v>
      </c>
      <c r="T2357">
        <v>1</v>
      </c>
      <c r="U2357" t="s">
        <v>456</v>
      </c>
      <c r="V2357" t="s">
        <v>342</v>
      </c>
      <c r="W2357" t="s">
        <v>458</v>
      </c>
      <c r="X2357" t="s">
        <v>331</v>
      </c>
      <c r="Y2357" t="s">
        <v>307</v>
      </c>
      <c r="Z2357">
        <v>70</v>
      </c>
      <c r="AA2357">
        <v>70</v>
      </c>
      <c r="AB2357" t="s">
        <v>143</v>
      </c>
      <c r="AC2357" t="s">
        <v>53</v>
      </c>
      <c r="AD2357" t="s">
        <v>404</v>
      </c>
      <c r="AE2357" t="str">
        <f>IF(AF2357="","",VLOOKUP(AC2357,mapel!$A$2:$B$42,2,FALSE))</f>
        <v>Sejarah</v>
      </c>
      <c r="AF2357">
        <f t="shared" si="108"/>
        <v>70</v>
      </c>
      <c r="AG2357" t="str">
        <f>IF(AF2357="","",IF(AF2357&gt;90,"Sangat baik",IF(AF2357&gt;79,"Baik",IF(AF2357&gt;=pub_gid_0_single_true_output_csv[[#This Row],[KKM]],"Cukup","Kurang"))))</f>
        <v>Cukup</v>
      </c>
      <c r="AH2357">
        <f t="shared" si="109"/>
        <v>12</v>
      </c>
      <c r="AI2357" s="30" t="str">
        <f>IF(OR(J2357&lt;&gt;"Karakter",pub_gid_0_single_true_output_csv[[#This Row],[Nilai2]]=""),"",IF(AF2357&gt;89,"Sangat baik",IF(AF2357&gt;79,"Baik",IF(AF2357&gt;69,"Cukup",IF(AF2357&gt;59,"Kurang","Sangat kurang")))))</f>
        <v/>
      </c>
      <c r="AJ2357" t="str">
        <f t="shared" si="110"/>
        <v>Wk.5</v>
      </c>
      <c r="AK2357" t="str">
        <f>IF(pub_gid_0_single_true_output_csv[[#This Row],[Nilai2]]="","",VLOOKUP(pub_gid_0_single_true_output_csv[[#This Row],[NAMA]],Table7[],3,FALSE))</f>
        <v>Superior</v>
      </c>
    </row>
    <row r="2358" spans="1:37" x14ac:dyDescent="0.2">
      <c r="A2358">
        <v>2357</v>
      </c>
      <c r="B2358" t="s">
        <v>332</v>
      </c>
      <c r="C2358" t="s">
        <v>65</v>
      </c>
      <c r="D2358" t="s">
        <v>59</v>
      </c>
      <c r="E2358" t="s">
        <v>333</v>
      </c>
      <c r="F2358" s="25">
        <v>46050</v>
      </c>
      <c r="G2358" t="s">
        <v>308</v>
      </c>
      <c r="H2358" t="s">
        <v>405</v>
      </c>
      <c r="I2358" t="s">
        <v>371</v>
      </c>
      <c r="J2358" t="s">
        <v>90</v>
      </c>
      <c r="K2358" t="s">
        <v>92</v>
      </c>
      <c r="L2358" t="s">
        <v>93</v>
      </c>
      <c r="M2358" t="s">
        <v>141</v>
      </c>
      <c r="N2358" t="s">
        <v>142</v>
      </c>
      <c r="O2358" t="s">
        <v>327</v>
      </c>
      <c r="P2358" t="s">
        <v>281</v>
      </c>
      <c r="Q2358" t="s">
        <v>328</v>
      </c>
      <c r="R2358" t="s">
        <v>360</v>
      </c>
      <c r="S2358" t="s">
        <v>375</v>
      </c>
      <c r="T2358">
        <v>1</v>
      </c>
      <c r="U2358" t="s">
        <v>456</v>
      </c>
      <c r="V2358" t="s">
        <v>342</v>
      </c>
      <c r="W2358" t="s">
        <v>458</v>
      </c>
      <c r="X2358" t="s">
        <v>331</v>
      </c>
      <c r="Y2358" t="s">
        <v>307</v>
      </c>
      <c r="Z2358">
        <v>70</v>
      </c>
      <c r="AA2358">
        <v>70</v>
      </c>
      <c r="AB2358" t="s">
        <v>143</v>
      </c>
      <c r="AC2358" t="s">
        <v>53</v>
      </c>
      <c r="AD2358" t="s">
        <v>404</v>
      </c>
      <c r="AE2358" t="str">
        <f>IF(AF2358="","",VLOOKUP(AC2358,mapel!$A$2:$B$42,2,FALSE))</f>
        <v>Sejarah</v>
      </c>
      <c r="AF2358">
        <f t="shared" si="108"/>
        <v>70</v>
      </c>
      <c r="AG2358" t="str">
        <f>IF(AF2358="","",IF(AF2358&gt;90,"Sangat baik",IF(AF2358&gt;79,"Baik",IF(AF2358&gt;=pub_gid_0_single_true_output_csv[[#This Row],[KKM]],"Cukup","Kurang"))))</f>
        <v>Cukup</v>
      </c>
      <c r="AH2358">
        <f t="shared" si="109"/>
        <v>12</v>
      </c>
      <c r="AI2358" s="30" t="str">
        <f>IF(OR(J2358&lt;&gt;"Karakter",pub_gid_0_single_true_output_csv[[#This Row],[Nilai2]]=""),"",IF(AF2358&gt;89,"Sangat baik",IF(AF2358&gt;79,"Baik",IF(AF2358&gt;69,"Cukup",IF(AF2358&gt;59,"Kurang","Sangat kurang")))))</f>
        <v>Cukup</v>
      </c>
      <c r="AJ2358" t="str">
        <f t="shared" si="110"/>
        <v>Wk.5</v>
      </c>
      <c r="AK2358" t="str">
        <f>IF(pub_gid_0_single_true_output_csv[[#This Row],[Nilai2]]="","",VLOOKUP(pub_gid_0_single_true_output_csv[[#This Row],[NAMA]],Table7[],3,FALSE))</f>
        <v>Superior</v>
      </c>
    </row>
    <row r="2359" spans="1:37" x14ac:dyDescent="0.2">
      <c r="A2359">
        <v>2358</v>
      </c>
      <c r="B2359" t="s">
        <v>332</v>
      </c>
      <c r="C2359" t="s">
        <v>65</v>
      </c>
      <c r="D2359" t="s">
        <v>59</v>
      </c>
      <c r="E2359" t="s">
        <v>333</v>
      </c>
      <c r="F2359" s="25">
        <v>46050</v>
      </c>
      <c r="G2359" t="s">
        <v>308</v>
      </c>
      <c r="H2359" t="s">
        <v>405</v>
      </c>
      <c r="I2359" t="s">
        <v>371</v>
      </c>
      <c r="J2359" t="s">
        <v>279</v>
      </c>
      <c r="K2359" t="s">
        <v>280</v>
      </c>
      <c r="L2359" t="s">
        <v>322</v>
      </c>
      <c r="M2359" t="s">
        <v>141</v>
      </c>
      <c r="N2359" t="s">
        <v>142</v>
      </c>
      <c r="O2359" t="s">
        <v>327</v>
      </c>
      <c r="P2359" t="s">
        <v>281</v>
      </c>
      <c r="Q2359" t="s">
        <v>328</v>
      </c>
      <c r="R2359" t="s">
        <v>360</v>
      </c>
      <c r="S2359" t="s">
        <v>375</v>
      </c>
      <c r="T2359">
        <v>1</v>
      </c>
      <c r="U2359" t="s">
        <v>456</v>
      </c>
      <c r="V2359" t="s">
        <v>342</v>
      </c>
      <c r="W2359" t="s">
        <v>458</v>
      </c>
      <c r="X2359" t="s">
        <v>331</v>
      </c>
      <c r="Y2359" t="s">
        <v>307</v>
      </c>
      <c r="Z2359">
        <v>70</v>
      </c>
      <c r="AA2359">
        <v>70</v>
      </c>
      <c r="AB2359" t="s">
        <v>143</v>
      </c>
      <c r="AC2359" t="s">
        <v>53</v>
      </c>
      <c r="AD2359" t="s">
        <v>404</v>
      </c>
      <c r="AE2359" t="str">
        <f>IF(AF2359="","",VLOOKUP(AC2359,mapel!$A$2:$B$42,2,FALSE))</f>
        <v>Sejarah</v>
      </c>
      <c r="AF2359">
        <f t="shared" si="108"/>
        <v>70</v>
      </c>
      <c r="AG2359" t="str">
        <f>IF(AF2359="","",IF(AF2359&gt;90,"Sangat baik",IF(AF2359&gt;79,"Baik",IF(AF2359&gt;=pub_gid_0_single_true_output_csv[[#This Row],[KKM]],"Cukup","Kurang"))))</f>
        <v>Cukup</v>
      </c>
      <c r="AH2359">
        <f t="shared" si="109"/>
        <v>12</v>
      </c>
      <c r="AI2359" s="30" t="str">
        <f>IF(OR(J2359&lt;&gt;"Karakter",pub_gid_0_single_true_output_csv[[#This Row],[Nilai2]]=""),"",IF(AF2359&gt;89,"Sangat baik",IF(AF2359&gt;79,"Baik",IF(AF2359&gt;69,"Cukup",IF(AF2359&gt;59,"Kurang","Sangat kurang")))))</f>
        <v/>
      </c>
      <c r="AJ2359" t="str">
        <f t="shared" si="110"/>
        <v>Wk.5</v>
      </c>
      <c r="AK2359" t="str">
        <f>IF(pub_gid_0_single_true_output_csv[[#This Row],[Nilai2]]="","",VLOOKUP(pub_gid_0_single_true_output_csv[[#This Row],[NAMA]],Table7[],3,FALSE))</f>
        <v>Superior</v>
      </c>
    </row>
    <row r="2360" spans="1:37" x14ac:dyDescent="0.2">
      <c r="A2360">
        <v>2359</v>
      </c>
      <c r="B2360" t="s">
        <v>332</v>
      </c>
      <c r="C2360" t="s">
        <v>65</v>
      </c>
      <c r="D2360" t="s">
        <v>59</v>
      </c>
      <c r="E2360" t="s">
        <v>333</v>
      </c>
      <c r="F2360" s="25">
        <v>46050</v>
      </c>
      <c r="G2360" t="s">
        <v>308</v>
      </c>
      <c r="H2360" t="s">
        <v>405</v>
      </c>
      <c r="I2360" t="s">
        <v>371</v>
      </c>
      <c r="J2360" t="s">
        <v>36</v>
      </c>
      <c r="K2360" t="s">
        <v>37</v>
      </c>
      <c r="L2360" t="s">
        <v>150</v>
      </c>
      <c r="M2360" t="s">
        <v>141</v>
      </c>
      <c r="N2360" t="s">
        <v>142</v>
      </c>
      <c r="O2360" t="s">
        <v>327</v>
      </c>
      <c r="P2360" t="s">
        <v>281</v>
      </c>
      <c r="Q2360" t="s">
        <v>328</v>
      </c>
      <c r="R2360" t="s">
        <v>360</v>
      </c>
      <c r="S2360" t="s">
        <v>375</v>
      </c>
      <c r="T2360">
        <v>1</v>
      </c>
      <c r="U2360" t="s">
        <v>456</v>
      </c>
      <c r="V2360" t="s">
        <v>342</v>
      </c>
      <c r="W2360" t="s">
        <v>458</v>
      </c>
      <c r="X2360" t="s">
        <v>331</v>
      </c>
      <c r="Y2360" t="s">
        <v>307</v>
      </c>
      <c r="Z2360">
        <v>70</v>
      </c>
      <c r="AA2360">
        <v>70</v>
      </c>
      <c r="AB2360" t="s">
        <v>143</v>
      </c>
      <c r="AC2360" t="s">
        <v>53</v>
      </c>
      <c r="AD2360" t="s">
        <v>404</v>
      </c>
      <c r="AE2360" t="str">
        <f>IF(AF2360="","",VLOOKUP(AC2360,mapel!$A$2:$B$42,2,FALSE))</f>
        <v>Sejarah</v>
      </c>
      <c r="AF2360">
        <f t="shared" si="108"/>
        <v>70</v>
      </c>
      <c r="AG2360" t="str">
        <f>IF(AF2360="","",IF(AF2360&gt;90,"Sangat baik",IF(AF2360&gt;79,"Baik",IF(AF2360&gt;=pub_gid_0_single_true_output_csv[[#This Row],[KKM]],"Cukup","Kurang"))))</f>
        <v>Cukup</v>
      </c>
      <c r="AH2360">
        <f t="shared" si="109"/>
        <v>12</v>
      </c>
      <c r="AI2360" s="30" t="str">
        <f>IF(OR(J2360&lt;&gt;"Karakter",pub_gid_0_single_true_output_csv[[#This Row],[Nilai2]]=""),"",IF(AF2360&gt;89,"Sangat baik",IF(AF2360&gt;79,"Baik",IF(AF2360&gt;69,"Cukup",IF(AF2360&gt;59,"Kurang","Sangat kurang")))))</f>
        <v/>
      </c>
      <c r="AJ2360" t="str">
        <f t="shared" si="110"/>
        <v>Wk.5</v>
      </c>
      <c r="AK2360" t="str">
        <f>IF(pub_gid_0_single_true_output_csv[[#This Row],[Nilai2]]="","",VLOOKUP(pub_gid_0_single_true_output_csv[[#This Row],[NAMA]],Table7[],3,FALSE))</f>
        <v>Superior</v>
      </c>
    </row>
    <row r="2361" spans="1:37" x14ac:dyDescent="0.2">
      <c r="A2361">
        <v>2360</v>
      </c>
      <c r="B2361" t="s">
        <v>332</v>
      </c>
      <c r="C2361" t="s">
        <v>65</v>
      </c>
      <c r="D2361" t="s">
        <v>59</v>
      </c>
      <c r="E2361" t="s">
        <v>333</v>
      </c>
      <c r="F2361" s="25">
        <v>46050</v>
      </c>
      <c r="G2361" t="s">
        <v>308</v>
      </c>
      <c r="H2361" t="s">
        <v>405</v>
      </c>
      <c r="I2361" t="s">
        <v>371</v>
      </c>
      <c r="J2361" t="s">
        <v>31</v>
      </c>
      <c r="K2361" t="s">
        <v>32</v>
      </c>
      <c r="L2361" t="s">
        <v>367</v>
      </c>
      <c r="M2361" t="s">
        <v>141</v>
      </c>
      <c r="N2361" t="s">
        <v>142</v>
      </c>
      <c r="O2361" t="s">
        <v>327</v>
      </c>
      <c r="P2361" t="s">
        <v>281</v>
      </c>
      <c r="Q2361" t="s">
        <v>328</v>
      </c>
      <c r="R2361" t="s">
        <v>360</v>
      </c>
      <c r="S2361" t="s">
        <v>375</v>
      </c>
      <c r="T2361">
        <v>1</v>
      </c>
      <c r="U2361" t="s">
        <v>456</v>
      </c>
      <c r="V2361" t="s">
        <v>342</v>
      </c>
      <c r="W2361" t="s">
        <v>458</v>
      </c>
      <c r="X2361" t="s">
        <v>331</v>
      </c>
      <c r="Y2361" t="s">
        <v>307</v>
      </c>
      <c r="Z2361">
        <v>70</v>
      </c>
      <c r="AA2361">
        <v>70</v>
      </c>
      <c r="AB2361" t="s">
        <v>143</v>
      </c>
      <c r="AC2361" t="s">
        <v>53</v>
      </c>
      <c r="AD2361" t="s">
        <v>404</v>
      </c>
      <c r="AE2361" t="str">
        <f>IF(AF2361="","",VLOOKUP(AC2361,mapel!$A$2:$B$42,2,FALSE))</f>
        <v>Sejarah</v>
      </c>
      <c r="AF2361">
        <f t="shared" si="108"/>
        <v>70</v>
      </c>
      <c r="AG2361" t="str">
        <f>IF(AF2361="","",IF(AF2361&gt;90,"Sangat baik",IF(AF2361&gt;79,"Baik",IF(AF2361&gt;=pub_gid_0_single_true_output_csv[[#This Row],[KKM]],"Cukup","Kurang"))))</f>
        <v>Cukup</v>
      </c>
      <c r="AH2361">
        <f t="shared" si="109"/>
        <v>12</v>
      </c>
      <c r="AI2361" s="30" t="str">
        <f>IF(OR(J2361&lt;&gt;"Karakter",pub_gid_0_single_true_output_csv[[#This Row],[Nilai2]]=""),"",IF(AF2361&gt;89,"Sangat baik",IF(AF2361&gt;79,"Baik",IF(AF2361&gt;69,"Cukup",IF(AF2361&gt;59,"Kurang","Sangat kurang")))))</f>
        <v/>
      </c>
      <c r="AJ2361" t="str">
        <f t="shared" si="110"/>
        <v>Wk.5</v>
      </c>
      <c r="AK2361" t="str">
        <f>IF(pub_gid_0_single_true_output_csv[[#This Row],[Nilai2]]="","",VLOOKUP(pub_gid_0_single_true_output_csv[[#This Row],[NAMA]],Table7[],3,FALSE))</f>
        <v>Superior</v>
      </c>
    </row>
    <row r="2362" spans="1:37" x14ac:dyDescent="0.2">
      <c r="A2362">
        <v>2361</v>
      </c>
      <c r="B2362" t="s">
        <v>332</v>
      </c>
      <c r="C2362" t="s">
        <v>65</v>
      </c>
      <c r="D2362" t="s">
        <v>59</v>
      </c>
      <c r="E2362" t="s">
        <v>333</v>
      </c>
      <c r="F2362" s="25">
        <v>46052</v>
      </c>
      <c r="G2362" t="s">
        <v>304</v>
      </c>
      <c r="H2362" t="s">
        <v>405</v>
      </c>
      <c r="I2362" t="s">
        <v>371</v>
      </c>
      <c r="J2362" t="s">
        <v>90</v>
      </c>
      <c r="K2362" t="s">
        <v>92</v>
      </c>
      <c r="L2362" t="s">
        <v>93</v>
      </c>
      <c r="M2362" t="s">
        <v>141</v>
      </c>
      <c r="N2362" t="s">
        <v>142</v>
      </c>
      <c r="O2362" t="s">
        <v>327</v>
      </c>
      <c r="P2362" t="s">
        <v>281</v>
      </c>
      <c r="Q2362" t="s">
        <v>328</v>
      </c>
      <c r="R2362" t="s">
        <v>360</v>
      </c>
      <c r="S2362" t="s">
        <v>375</v>
      </c>
      <c r="T2362">
        <v>1</v>
      </c>
      <c r="U2362" t="s">
        <v>456</v>
      </c>
      <c r="V2362" t="s">
        <v>342</v>
      </c>
      <c r="W2362" t="s">
        <v>458</v>
      </c>
      <c r="X2362" t="s">
        <v>331</v>
      </c>
      <c r="Y2362" t="s">
        <v>307</v>
      </c>
      <c r="Z2362">
        <v>70</v>
      </c>
      <c r="AA2362">
        <v>70</v>
      </c>
      <c r="AB2362" t="s">
        <v>143</v>
      </c>
      <c r="AC2362" t="s">
        <v>53</v>
      </c>
      <c r="AD2362" t="s">
        <v>404</v>
      </c>
      <c r="AE2362" t="str">
        <f>IF(AF2362="","",VLOOKUP(AC2362,mapel!$A$2:$B$42,2,FALSE))</f>
        <v>Sejarah</v>
      </c>
      <c r="AF2362">
        <f t="shared" si="108"/>
        <v>70</v>
      </c>
      <c r="AG2362" t="str">
        <f>IF(AF2362="","",IF(AF2362&gt;90,"Sangat baik",IF(AF2362&gt;79,"Baik",IF(AF2362&gt;=pub_gid_0_single_true_output_csv[[#This Row],[KKM]],"Cukup","Kurang"))))</f>
        <v>Cukup</v>
      </c>
      <c r="AH2362">
        <f t="shared" si="109"/>
        <v>12</v>
      </c>
      <c r="AI2362" s="30" t="str">
        <f>IF(OR(J2362&lt;&gt;"Karakter",pub_gid_0_single_true_output_csv[[#This Row],[Nilai2]]=""),"",IF(AF2362&gt;89,"Sangat baik",IF(AF2362&gt;79,"Baik",IF(AF2362&gt;69,"Cukup",IF(AF2362&gt;59,"Kurang","Sangat kurang")))))</f>
        <v>Cukup</v>
      </c>
      <c r="AJ2362" t="str">
        <f t="shared" si="110"/>
        <v>Wk.5</v>
      </c>
      <c r="AK2362" t="str">
        <f>IF(pub_gid_0_single_true_output_csv[[#This Row],[Nilai2]]="","",VLOOKUP(pub_gid_0_single_true_output_csv[[#This Row],[NAMA]],Table7[],3,FALSE))</f>
        <v>Superior</v>
      </c>
    </row>
    <row r="2363" spans="1:37" x14ac:dyDescent="0.2">
      <c r="A2363">
        <v>2362</v>
      </c>
      <c r="B2363" t="s">
        <v>332</v>
      </c>
      <c r="C2363" t="s">
        <v>65</v>
      </c>
      <c r="D2363" t="s">
        <v>59</v>
      </c>
      <c r="E2363" t="s">
        <v>333</v>
      </c>
      <c r="F2363" s="25">
        <v>46057</v>
      </c>
      <c r="G2363" t="s">
        <v>348</v>
      </c>
      <c r="H2363" t="s">
        <v>412</v>
      </c>
      <c r="I2363" t="s">
        <v>371</v>
      </c>
      <c r="J2363" t="s">
        <v>279</v>
      </c>
      <c r="K2363" t="s">
        <v>280</v>
      </c>
      <c r="L2363" t="s">
        <v>322</v>
      </c>
      <c r="M2363" t="s">
        <v>141</v>
      </c>
      <c r="N2363" t="s">
        <v>142</v>
      </c>
      <c r="O2363" t="s">
        <v>327</v>
      </c>
      <c r="P2363" t="s">
        <v>281</v>
      </c>
      <c r="Q2363" t="s">
        <v>328</v>
      </c>
      <c r="R2363" t="s">
        <v>360</v>
      </c>
      <c r="S2363" t="s">
        <v>375</v>
      </c>
      <c r="T2363">
        <v>1</v>
      </c>
      <c r="U2363" t="s">
        <v>456</v>
      </c>
      <c r="V2363" t="s">
        <v>342</v>
      </c>
      <c r="W2363" t="s">
        <v>458</v>
      </c>
      <c r="X2363" t="s">
        <v>331</v>
      </c>
      <c r="Y2363" t="s">
        <v>307</v>
      </c>
      <c r="Z2363">
        <v>70</v>
      </c>
      <c r="AA2363">
        <v>70</v>
      </c>
      <c r="AB2363" t="s">
        <v>143</v>
      </c>
      <c r="AC2363" t="s">
        <v>53</v>
      </c>
      <c r="AD2363" t="s">
        <v>404</v>
      </c>
      <c r="AE2363" t="str">
        <f>IF(AF2363="","",VLOOKUP(AC2363,mapel!$A$2:$B$42,2,FALSE))</f>
        <v>Sejarah</v>
      </c>
      <c r="AF2363">
        <f t="shared" si="108"/>
        <v>70</v>
      </c>
      <c r="AG2363" t="str">
        <f>IF(AF2363="","",IF(AF2363&gt;90,"Sangat baik",IF(AF2363&gt;79,"Baik",IF(AF2363&gt;=pub_gid_0_single_true_output_csv[[#This Row],[KKM]],"Cukup","Kurang"))))</f>
        <v>Cukup</v>
      </c>
      <c r="AH2363">
        <f t="shared" si="109"/>
        <v>12</v>
      </c>
      <c r="AI2363" s="30" t="str">
        <f>IF(OR(J2363&lt;&gt;"Karakter",pub_gid_0_single_true_output_csv[[#This Row],[Nilai2]]=""),"",IF(AF2363&gt;89,"Sangat baik",IF(AF2363&gt;79,"Baik",IF(AF2363&gt;69,"Cukup",IF(AF2363&gt;59,"Kurang","Sangat kurang")))))</f>
        <v/>
      </c>
      <c r="AJ2363" t="str">
        <f t="shared" si="110"/>
        <v>Wk.6</v>
      </c>
      <c r="AK2363" t="str">
        <f>IF(pub_gid_0_single_true_output_csv[[#This Row],[Nilai2]]="","",VLOOKUP(pub_gid_0_single_true_output_csv[[#This Row],[NAMA]],Table7[],3,FALSE))</f>
        <v>Superior</v>
      </c>
    </row>
    <row r="2364" spans="1:37" x14ac:dyDescent="0.2">
      <c r="A2364">
        <v>2363</v>
      </c>
      <c r="B2364" t="s">
        <v>332</v>
      </c>
      <c r="C2364" t="s">
        <v>65</v>
      </c>
      <c r="D2364" t="s">
        <v>59</v>
      </c>
      <c r="E2364" t="s">
        <v>333</v>
      </c>
      <c r="F2364" s="25">
        <v>46057</v>
      </c>
      <c r="G2364" t="s">
        <v>348</v>
      </c>
      <c r="H2364" t="s">
        <v>412</v>
      </c>
      <c r="I2364" t="s">
        <v>371</v>
      </c>
      <c r="J2364" t="s">
        <v>36</v>
      </c>
      <c r="K2364" t="s">
        <v>37</v>
      </c>
      <c r="L2364" t="s">
        <v>351</v>
      </c>
      <c r="M2364" t="s">
        <v>141</v>
      </c>
      <c r="N2364" t="s">
        <v>142</v>
      </c>
      <c r="O2364" t="s">
        <v>327</v>
      </c>
      <c r="P2364" t="s">
        <v>281</v>
      </c>
      <c r="Q2364" t="s">
        <v>328</v>
      </c>
      <c r="R2364" t="s">
        <v>360</v>
      </c>
      <c r="S2364" t="s">
        <v>392</v>
      </c>
      <c r="T2364">
        <v>1</v>
      </c>
      <c r="U2364" t="s">
        <v>456</v>
      </c>
      <c r="V2364" t="s">
        <v>343</v>
      </c>
      <c r="W2364" t="s">
        <v>459</v>
      </c>
      <c r="X2364" t="s">
        <v>331</v>
      </c>
      <c r="Y2364" t="s">
        <v>307</v>
      </c>
      <c r="Z2364">
        <v>70</v>
      </c>
      <c r="AA2364">
        <v>70</v>
      </c>
      <c r="AB2364" t="s">
        <v>143</v>
      </c>
      <c r="AC2364" t="s">
        <v>53</v>
      </c>
      <c r="AD2364" t="s">
        <v>404</v>
      </c>
      <c r="AE2364" t="str">
        <f>IF(AF2364="","",VLOOKUP(AC2364,mapel!$A$2:$B$42,2,FALSE))</f>
        <v>Sejarah</v>
      </c>
      <c r="AF2364">
        <f t="shared" si="108"/>
        <v>70</v>
      </c>
      <c r="AG2364" t="str">
        <f>IF(AF2364="","",IF(AF2364&gt;90,"Sangat baik",IF(AF2364&gt;79,"Baik",IF(AF2364&gt;=pub_gid_0_single_true_output_csv[[#This Row],[KKM]],"Cukup","Kurang"))))</f>
        <v>Cukup</v>
      </c>
      <c r="AH2364">
        <f t="shared" si="109"/>
        <v>12</v>
      </c>
      <c r="AI2364" s="30" t="str">
        <f>IF(OR(J2364&lt;&gt;"Karakter",pub_gid_0_single_true_output_csv[[#This Row],[Nilai2]]=""),"",IF(AF2364&gt;89,"Sangat baik",IF(AF2364&gt;79,"Baik",IF(AF2364&gt;69,"Cukup",IF(AF2364&gt;59,"Kurang","Sangat kurang")))))</f>
        <v/>
      </c>
      <c r="AJ2364" t="str">
        <f t="shared" si="110"/>
        <v>Wk.6</v>
      </c>
      <c r="AK2364" t="str">
        <f>IF(pub_gid_0_single_true_output_csv[[#This Row],[Nilai2]]="","",VLOOKUP(pub_gid_0_single_true_output_csv[[#This Row],[NAMA]],Table7[],3,FALSE))</f>
        <v>Superior</v>
      </c>
    </row>
    <row r="2365" spans="1:37" x14ac:dyDescent="0.2">
      <c r="A2365">
        <v>2364</v>
      </c>
      <c r="B2365" t="s">
        <v>332</v>
      </c>
      <c r="C2365" t="s">
        <v>65</v>
      </c>
      <c r="D2365" t="s">
        <v>59</v>
      </c>
      <c r="E2365" t="s">
        <v>333</v>
      </c>
      <c r="F2365" s="25">
        <v>46057</v>
      </c>
      <c r="G2365" t="s">
        <v>348</v>
      </c>
      <c r="H2365" t="s">
        <v>412</v>
      </c>
      <c r="I2365" t="s">
        <v>371</v>
      </c>
      <c r="J2365" t="s">
        <v>31</v>
      </c>
      <c r="K2365" t="s">
        <v>96</v>
      </c>
      <c r="L2365" t="s">
        <v>351</v>
      </c>
      <c r="M2365" t="s">
        <v>141</v>
      </c>
      <c r="N2365" t="s">
        <v>142</v>
      </c>
      <c r="O2365" t="s">
        <v>327</v>
      </c>
      <c r="P2365" t="s">
        <v>281</v>
      </c>
      <c r="Q2365" t="s">
        <v>328</v>
      </c>
      <c r="R2365" t="s">
        <v>360</v>
      </c>
      <c r="S2365" t="s">
        <v>392</v>
      </c>
      <c r="T2365">
        <v>1</v>
      </c>
      <c r="U2365" t="s">
        <v>456</v>
      </c>
      <c r="V2365" t="s">
        <v>343</v>
      </c>
      <c r="W2365" t="s">
        <v>459</v>
      </c>
      <c r="X2365" t="s">
        <v>331</v>
      </c>
      <c r="Y2365" t="s">
        <v>307</v>
      </c>
      <c r="Z2365">
        <v>70</v>
      </c>
      <c r="AA2365">
        <v>70</v>
      </c>
      <c r="AB2365" t="s">
        <v>143</v>
      </c>
      <c r="AC2365" t="s">
        <v>53</v>
      </c>
      <c r="AD2365" t="s">
        <v>404</v>
      </c>
      <c r="AE2365" t="str">
        <f>IF(AF2365="","",VLOOKUP(AC2365,mapel!$A$2:$B$42,2,FALSE))</f>
        <v>Sejarah</v>
      </c>
      <c r="AF2365">
        <f t="shared" si="108"/>
        <v>70</v>
      </c>
      <c r="AG2365" t="str">
        <f>IF(AF2365="","",IF(AF2365&gt;90,"Sangat baik",IF(AF2365&gt;79,"Baik",IF(AF2365&gt;=pub_gid_0_single_true_output_csv[[#This Row],[KKM]],"Cukup","Kurang"))))</f>
        <v>Cukup</v>
      </c>
      <c r="AH2365">
        <f t="shared" si="109"/>
        <v>12</v>
      </c>
      <c r="AI2365" s="30" t="str">
        <f>IF(OR(J2365&lt;&gt;"Karakter",pub_gid_0_single_true_output_csv[[#This Row],[Nilai2]]=""),"",IF(AF2365&gt;89,"Sangat baik",IF(AF2365&gt;79,"Baik",IF(AF2365&gt;69,"Cukup",IF(AF2365&gt;59,"Kurang","Sangat kurang")))))</f>
        <v/>
      </c>
      <c r="AJ2365" t="str">
        <f t="shared" si="110"/>
        <v>Wk.6</v>
      </c>
      <c r="AK2365" t="str">
        <f>IF(pub_gid_0_single_true_output_csv[[#This Row],[Nilai2]]="","",VLOOKUP(pub_gid_0_single_true_output_csv[[#This Row],[NAMA]],Table7[],3,FALSE))</f>
        <v>Superior</v>
      </c>
    </row>
    <row r="2366" spans="1:37" x14ac:dyDescent="0.2">
      <c r="A2366">
        <v>2365</v>
      </c>
      <c r="B2366" t="s">
        <v>332</v>
      </c>
      <c r="C2366" t="s">
        <v>65</v>
      </c>
      <c r="D2366" t="s">
        <v>59</v>
      </c>
      <c r="E2366" t="s">
        <v>333</v>
      </c>
      <c r="F2366" s="25">
        <v>46057</v>
      </c>
      <c r="G2366" t="s">
        <v>348</v>
      </c>
      <c r="H2366" t="s">
        <v>412</v>
      </c>
      <c r="I2366" t="s">
        <v>371</v>
      </c>
      <c r="J2366" t="s">
        <v>90</v>
      </c>
      <c r="K2366" t="s">
        <v>92</v>
      </c>
      <c r="L2366" t="s">
        <v>91</v>
      </c>
      <c r="M2366" t="s">
        <v>141</v>
      </c>
      <c r="N2366" t="s">
        <v>142</v>
      </c>
      <c r="O2366" t="s">
        <v>327</v>
      </c>
      <c r="P2366" t="s">
        <v>281</v>
      </c>
      <c r="Q2366" t="s">
        <v>328</v>
      </c>
      <c r="R2366" t="s">
        <v>360</v>
      </c>
      <c r="S2366" t="s">
        <v>392</v>
      </c>
      <c r="T2366">
        <v>1</v>
      </c>
      <c r="U2366" t="s">
        <v>456</v>
      </c>
      <c r="V2366" t="s">
        <v>343</v>
      </c>
      <c r="W2366" t="s">
        <v>459</v>
      </c>
      <c r="X2366" t="s">
        <v>331</v>
      </c>
      <c r="Y2366" t="s">
        <v>307</v>
      </c>
      <c r="Z2366">
        <v>70</v>
      </c>
      <c r="AA2366">
        <v>80</v>
      </c>
      <c r="AB2366" t="s">
        <v>143</v>
      </c>
      <c r="AC2366" t="s">
        <v>53</v>
      </c>
      <c r="AD2366" t="s">
        <v>404</v>
      </c>
      <c r="AE2366" t="str">
        <f>IF(AF2366="","",VLOOKUP(AC2366,mapel!$A$2:$B$42,2,FALSE))</f>
        <v>Sejarah</v>
      </c>
      <c r="AF2366">
        <f t="shared" si="108"/>
        <v>80</v>
      </c>
      <c r="AG2366" t="str">
        <f>IF(AF2366="","",IF(AF2366&gt;90,"Sangat baik",IF(AF2366&gt;79,"Baik",IF(AF2366&gt;=pub_gid_0_single_true_output_csv[[#This Row],[KKM]],"Cukup","Kurang"))))</f>
        <v>Baik</v>
      </c>
      <c r="AH2366">
        <f t="shared" si="109"/>
        <v>12</v>
      </c>
      <c r="AI2366" s="30" t="str">
        <f>IF(OR(J2366&lt;&gt;"Karakter",pub_gid_0_single_true_output_csv[[#This Row],[Nilai2]]=""),"",IF(AF2366&gt;89,"Sangat baik",IF(AF2366&gt;79,"Baik",IF(AF2366&gt;69,"Cukup",IF(AF2366&gt;59,"Kurang","Sangat kurang")))))</f>
        <v>Baik</v>
      </c>
      <c r="AJ2366" t="str">
        <f t="shared" si="110"/>
        <v>Wk.6</v>
      </c>
      <c r="AK2366" t="str">
        <f>IF(pub_gid_0_single_true_output_csv[[#This Row],[Nilai2]]="","",VLOOKUP(pub_gid_0_single_true_output_csv[[#This Row],[NAMA]],Table7[],3,FALSE))</f>
        <v>Superior</v>
      </c>
    </row>
    <row r="2367" spans="1:37" x14ac:dyDescent="0.2">
      <c r="A2367">
        <v>2366</v>
      </c>
      <c r="B2367" t="s">
        <v>332</v>
      </c>
      <c r="C2367" t="s">
        <v>65</v>
      </c>
      <c r="D2367" t="s">
        <v>59</v>
      </c>
      <c r="E2367" t="s">
        <v>333</v>
      </c>
      <c r="F2367" s="25">
        <v>46064</v>
      </c>
      <c r="G2367" t="s">
        <v>352</v>
      </c>
      <c r="H2367" t="s">
        <v>412</v>
      </c>
      <c r="I2367" t="s">
        <v>371</v>
      </c>
      <c r="J2367" t="s">
        <v>279</v>
      </c>
      <c r="K2367" t="s">
        <v>280</v>
      </c>
      <c r="L2367" t="s">
        <v>322</v>
      </c>
      <c r="M2367" t="s">
        <v>141</v>
      </c>
      <c r="N2367" t="s">
        <v>142</v>
      </c>
      <c r="O2367" t="s">
        <v>327</v>
      </c>
      <c r="P2367" t="s">
        <v>281</v>
      </c>
      <c r="Q2367" t="s">
        <v>328</v>
      </c>
      <c r="R2367" t="s">
        <v>360</v>
      </c>
      <c r="S2367" t="s">
        <v>392</v>
      </c>
      <c r="T2367">
        <v>1</v>
      </c>
      <c r="U2367" t="s">
        <v>456</v>
      </c>
      <c r="V2367" t="s">
        <v>343</v>
      </c>
      <c r="W2367" t="s">
        <v>459</v>
      </c>
      <c r="X2367" t="s">
        <v>331</v>
      </c>
      <c r="Y2367" t="s">
        <v>307</v>
      </c>
      <c r="Z2367">
        <v>70</v>
      </c>
      <c r="AA2367">
        <v>70</v>
      </c>
      <c r="AB2367" t="s">
        <v>143</v>
      </c>
      <c r="AC2367" t="s">
        <v>53</v>
      </c>
      <c r="AD2367" t="s">
        <v>404</v>
      </c>
      <c r="AE2367" t="str">
        <f>IF(AF2367="","",VLOOKUP(AC2367,mapel!$A$2:$B$42,2,FALSE))</f>
        <v>Sejarah</v>
      </c>
      <c r="AF2367">
        <f t="shared" si="108"/>
        <v>70</v>
      </c>
      <c r="AG2367" t="str">
        <f>IF(AF2367="","",IF(AF2367&gt;90,"Sangat baik",IF(AF2367&gt;79,"Baik",IF(AF2367&gt;=pub_gid_0_single_true_output_csv[[#This Row],[KKM]],"Cukup","Kurang"))))</f>
        <v>Cukup</v>
      </c>
      <c r="AH2367">
        <f t="shared" si="109"/>
        <v>12</v>
      </c>
      <c r="AI2367" s="30" t="str">
        <f>IF(OR(J2367&lt;&gt;"Karakter",pub_gid_0_single_true_output_csv[[#This Row],[Nilai2]]=""),"",IF(AF2367&gt;89,"Sangat baik",IF(AF2367&gt;79,"Baik",IF(AF2367&gt;69,"Cukup",IF(AF2367&gt;59,"Kurang","Sangat kurang")))))</f>
        <v/>
      </c>
      <c r="AJ2367" t="str">
        <f t="shared" si="110"/>
        <v>Wk.7</v>
      </c>
      <c r="AK2367" t="str">
        <f>IF(pub_gid_0_single_true_output_csv[[#This Row],[Nilai2]]="","",VLOOKUP(pub_gid_0_single_true_output_csv[[#This Row],[NAMA]],Table7[],3,FALSE))</f>
        <v>Superior</v>
      </c>
    </row>
    <row r="2368" spans="1:37" x14ac:dyDescent="0.2">
      <c r="A2368">
        <v>2367</v>
      </c>
      <c r="B2368" t="s">
        <v>332</v>
      </c>
      <c r="C2368" t="s">
        <v>65</v>
      </c>
      <c r="D2368" t="s">
        <v>59</v>
      </c>
      <c r="E2368" t="s">
        <v>333</v>
      </c>
      <c r="F2368" s="25">
        <v>46064</v>
      </c>
      <c r="G2368" t="s">
        <v>352</v>
      </c>
      <c r="H2368" t="s">
        <v>412</v>
      </c>
      <c r="I2368" t="s">
        <v>371</v>
      </c>
      <c r="J2368" t="s">
        <v>36</v>
      </c>
      <c r="K2368" t="s">
        <v>37</v>
      </c>
      <c r="L2368" t="s">
        <v>351</v>
      </c>
      <c r="M2368" t="s">
        <v>141</v>
      </c>
      <c r="N2368" t="s">
        <v>142</v>
      </c>
      <c r="O2368" t="s">
        <v>327</v>
      </c>
      <c r="P2368" t="s">
        <v>281</v>
      </c>
      <c r="Q2368" t="s">
        <v>328</v>
      </c>
      <c r="R2368" t="s">
        <v>360</v>
      </c>
      <c r="S2368" t="s">
        <v>392</v>
      </c>
      <c r="T2368">
        <v>1</v>
      </c>
      <c r="U2368" t="s">
        <v>456</v>
      </c>
      <c r="V2368" t="s">
        <v>343</v>
      </c>
      <c r="W2368" t="s">
        <v>459</v>
      </c>
      <c r="X2368" t="s">
        <v>331</v>
      </c>
      <c r="Y2368" t="s">
        <v>307</v>
      </c>
      <c r="Z2368">
        <v>70</v>
      </c>
      <c r="AA2368">
        <v>70</v>
      </c>
      <c r="AB2368" t="s">
        <v>143</v>
      </c>
      <c r="AC2368" t="s">
        <v>53</v>
      </c>
      <c r="AD2368" t="s">
        <v>404</v>
      </c>
      <c r="AE2368" t="str">
        <f>IF(AF2368="","",VLOOKUP(AC2368,mapel!$A$2:$B$42,2,FALSE))</f>
        <v>Sejarah</v>
      </c>
      <c r="AF2368">
        <f t="shared" si="108"/>
        <v>70</v>
      </c>
      <c r="AG2368" t="str">
        <f>IF(AF2368="","",IF(AF2368&gt;90,"Sangat baik",IF(AF2368&gt;79,"Baik",IF(AF2368&gt;=pub_gid_0_single_true_output_csv[[#This Row],[KKM]],"Cukup","Kurang"))))</f>
        <v>Cukup</v>
      </c>
      <c r="AH2368">
        <f t="shared" si="109"/>
        <v>12</v>
      </c>
      <c r="AI2368" s="30" t="str">
        <f>IF(OR(J2368&lt;&gt;"Karakter",pub_gid_0_single_true_output_csv[[#This Row],[Nilai2]]=""),"",IF(AF2368&gt;89,"Sangat baik",IF(AF2368&gt;79,"Baik",IF(AF2368&gt;69,"Cukup",IF(AF2368&gt;59,"Kurang","Sangat kurang")))))</f>
        <v/>
      </c>
      <c r="AJ2368" t="str">
        <f t="shared" si="110"/>
        <v>Wk.7</v>
      </c>
      <c r="AK2368" t="str">
        <f>IF(pub_gid_0_single_true_output_csv[[#This Row],[Nilai2]]="","",VLOOKUP(pub_gid_0_single_true_output_csv[[#This Row],[NAMA]],Table7[],3,FALSE))</f>
        <v>Superior</v>
      </c>
    </row>
    <row r="2369" spans="1:37" x14ac:dyDescent="0.2">
      <c r="A2369">
        <v>2368</v>
      </c>
      <c r="B2369" t="s">
        <v>332</v>
      </c>
      <c r="C2369" t="s">
        <v>65</v>
      </c>
      <c r="D2369" t="s">
        <v>59</v>
      </c>
      <c r="E2369" t="s">
        <v>333</v>
      </c>
      <c r="F2369" s="25">
        <v>46064</v>
      </c>
      <c r="G2369" t="s">
        <v>352</v>
      </c>
      <c r="H2369" t="s">
        <v>412</v>
      </c>
      <c r="I2369" t="s">
        <v>371</v>
      </c>
      <c r="J2369" t="s">
        <v>31</v>
      </c>
      <c r="K2369" t="s">
        <v>96</v>
      </c>
      <c r="L2369" t="s">
        <v>351</v>
      </c>
      <c r="M2369" t="s">
        <v>141</v>
      </c>
      <c r="N2369" t="s">
        <v>142</v>
      </c>
      <c r="O2369" t="s">
        <v>327</v>
      </c>
      <c r="P2369" t="s">
        <v>281</v>
      </c>
      <c r="Q2369" t="s">
        <v>328</v>
      </c>
      <c r="R2369" t="s">
        <v>360</v>
      </c>
      <c r="S2369" t="s">
        <v>392</v>
      </c>
      <c r="T2369">
        <v>1</v>
      </c>
      <c r="U2369" t="s">
        <v>456</v>
      </c>
      <c r="V2369" t="s">
        <v>343</v>
      </c>
      <c r="W2369" t="s">
        <v>459</v>
      </c>
      <c r="X2369" t="s">
        <v>331</v>
      </c>
      <c r="Y2369" t="s">
        <v>307</v>
      </c>
      <c r="Z2369">
        <v>70</v>
      </c>
      <c r="AA2369">
        <v>70</v>
      </c>
      <c r="AB2369" t="s">
        <v>143</v>
      </c>
      <c r="AC2369" t="s">
        <v>53</v>
      </c>
      <c r="AD2369" t="s">
        <v>404</v>
      </c>
      <c r="AE2369" t="str">
        <f>IF(AF2369="","",VLOOKUP(AC2369,mapel!$A$2:$B$42,2,FALSE))</f>
        <v>Sejarah</v>
      </c>
      <c r="AF2369">
        <f t="shared" si="108"/>
        <v>70</v>
      </c>
      <c r="AG2369" t="str">
        <f>IF(AF2369="","",IF(AF2369&gt;90,"Sangat baik",IF(AF2369&gt;79,"Baik",IF(AF2369&gt;=pub_gid_0_single_true_output_csv[[#This Row],[KKM]],"Cukup","Kurang"))))</f>
        <v>Cukup</v>
      </c>
      <c r="AH2369">
        <f t="shared" si="109"/>
        <v>12</v>
      </c>
      <c r="AI2369" s="30" t="str">
        <f>IF(OR(J2369&lt;&gt;"Karakter",pub_gid_0_single_true_output_csv[[#This Row],[Nilai2]]=""),"",IF(AF2369&gt;89,"Sangat baik",IF(AF2369&gt;79,"Baik",IF(AF2369&gt;69,"Cukup",IF(AF2369&gt;59,"Kurang","Sangat kurang")))))</f>
        <v/>
      </c>
      <c r="AJ2369" t="str">
        <f t="shared" si="110"/>
        <v>Wk.7</v>
      </c>
      <c r="AK2369" t="str">
        <f>IF(pub_gid_0_single_true_output_csv[[#This Row],[Nilai2]]="","",VLOOKUP(pub_gid_0_single_true_output_csv[[#This Row],[NAMA]],Table7[],3,FALSE))</f>
        <v>Superior</v>
      </c>
    </row>
    <row r="2370" spans="1:37" x14ac:dyDescent="0.2">
      <c r="A2370">
        <v>2369</v>
      </c>
      <c r="B2370" t="s">
        <v>332</v>
      </c>
      <c r="C2370" t="s">
        <v>65</v>
      </c>
      <c r="D2370" t="s">
        <v>59</v>
      </c>
      <c r="E2370" t="s">
        <v>333</v>
      </c>
      <c r="F2370" s="25">
        <v>46064</v>
      </c>
      <c r="G2370" t="s">
        <v>352</v>
      </c>
      <c r="H2370" t="s">
        <v>412</v>
      </c>
      <c r="I2370" t="s">
        <v>371</v>
      </c>
      <c r="J2370" t="s">
        <v>90</v>
      </c>
      <c r="K2370" t="s">
        <v>92</v>
      </c>
      <c r="L2370" t="s">
        <v>91</v>
      </c>
      <c r="M2370" t="s">
        <v>141</v>
      </c>
      <c r="N2370" t="s">
        <v>142</v>
      </c>
      <c r="O2370" t="s">
        <v>327</v>
      </c>
      <c r="P2370" t="s">
        <v>281</v>
      </c>
      <c r="Q2370" t="s">
        <v>328</v>
      </c>
      <c r="R2370" t="s">
        <v>360</v>
      </c>
      <c r="S2370" t="s">
        <v>392</v>
      </c>
      <c r="T2370">
        <v>1</v>
      </c>
      <c r="U2370" t="s">
        <v>456</v>
      </c>
      <c r="V2370" t="s">
        <v>343</v>
      </c>
      <c r="W2370" t="s">
        <v>459</v>
      </c>
      <c r="X2370" t="s">
        <v>331</v>
      </c>
      <c r="Y2370" t="s">
        <v>307</v>
      </c>
      <c r="Z2370">
        <v>70</v>
      </c>
      <c r="AA2370">
        <v>80</v>
      </c>
      <c r="AB2370" t="s">
        <v>143</v>
      </c>
      <c r="AC2370" t="s">
        <v>53</v>
      </c>
      <c r="AD2370" t="s">
        <v>404</v>
      </c>
      <c r="AE2370" t="str">
        <f>IF(AF2370="","",VLOOKUP(AC2370,mapel!$A$2:$B$42,2,FALSE))</f>
        <v>Sejarah</v>
      </c>
      <c r="AF2370">
        <f t="shared" ref="AF2370:AF2433" si="111">IF(AA2370=0, "",IF(AA2370 = 0.1, 0,AA2370))</f>
        <v>80</v>
      </c>
      <c r="AG2370" t="str">
        <f>IF(AF2370="","",IF(AF2370&gt;90,"Sangat baik",IF(AF2370&gt;79,"Baik",IF(AF2370&gt;=pub_gid_0_single_true_output_csv[[#This Row],[KKM]],"Cukup","Kurang"))))</f>
        <v>Baik</v>
      </c>
      <c r="AH2370">
        <f t="shared" ref="AH2370:AH2433" si="112">IF(AG2370="","",VALUE(RIGHT(X2370,2)))</f>
        <v>12</v>
      </c>
      <c r="AI2370" s="30" t="str">
        <f>IF(OR(J2370&lt;&gt;"Karakter",pub_gid_0_single_true_output_csv[[#This Row],[Nilai2]]=""),"",IF(AF2370&gt;89,"Sangat baik",IF(AF2370&gt;79,"Baik",IF(AF2370&gt;69,"Cukup",IF(AF2370&gt;59,"Kurang","Sangat kurang")))))</f>
        <v>Baik</v>
      </c>
      <c r="AJ2370" t="str">
        <f t="shared" ref="AJ2370:AJ2433" si="113">IF(AF2370="","",CONCATENATE("Wk.",WEEKNUM(F2370,2)))</f>
        <v>Wk.7</v>
      </c>
      <c r="AK2370" t="str">
        <f>IF(pub_gid_0_single_true_output_csv[[#This Row],[Nilai2]]="","",VLOOKUP(pub_gid_0_single_true_output_csv[[#This Row],[NAMA]],Table7[],3,FALSE))</f>
        <v>Superior</v>
      </c>
    </row>
    <row r="2371" spans="1:37" x14ac:dyDescent="0.2">
      <c r="A2371">
        <v>2370</v>
      </c>
      <c r="B2371" t="s">
        <v>332</v>
      </c>
      <c r="C2371" t="s">
        <v>65</v>
      </c>
      <c r="D2371" t="s">
        <v>59</v>
      </c>
      <c r="E2371" t="s">
        <v>333</v>
      </c>
      <c r="F2371" s="25">
        <v>46071</v>
      </c>
      <c r="G2371" t="s">
        <v>323</v>
      </c>
      <c r="H2371" t="s">
        <v>412</v>
      </c>
      <c r="I2371" t="s">
        <v>371</v>
      </c>
      <c r="J2371" t="s">
        <v>279</v>
      </c>
      <c r="K2371" t="s">
        <v>280</v>
      </c>
      <c r="L2371" t="s">
        <v>322</v>
      </c>
      <c r="M2371" t="s">
        <v>141</v>
      </c>
      <c r="N2371" t="s">
        <v>142</v>
      </c>
      <c r="O2371" t="s">
        <v>327</v>
      </c>
      <c r="P2371" t="s">
        <v>281</v>
      </c>
      <c r="Q2371" t="s">
        <v>328</v>
      </c>
      <c r="R2371" t="s">
        <v>360</v>
      </c>
      <c r="S2371" t="s">
        <v>392</v>
      </c>
      <c r="T2371">
        <v>1</v>
      </c>
      <c r="U2371" t="s">
        <v>456</v>
      </c>
      <c r="V2371" t="s">
        <v>343</v>
      </c>
      <c r="W2371" t="s">
        <v>459</v>
      </c>
      <c r="X2371" t="s">
        <v>331</v>
      </c>
      <c r="Y2371" t="s">
        <v>307</v>
      </c>
      <c r="Z2371">
        <v>70</v>
      </c>
      <c r="AA2371">
        <v>70</v>
      </c>
      <c r="AB2371" t="s">
        <v>143</v>
      </c>
      <c r="AC2371" t="s">
        <v>53</v>
      </c>
      <c r="AD2371" t="s">
        <v>404</v>
      </c>
      <c r="AE2371" t="str">
        <f>IF(AF2371="","",VLOOKUP(AC2371,mapel!$A$2:$B$42,2,FALSE))</f>
        <v>Sejarah</v>
      </c>
      <c r="AF2371">
        <f t="shared" si="111"/>
        <v>70</v>
      </c>
      <c r="AG2371" t="str">
        <f>IF(AF2371="","",IF(AF2371&gt;90,"Sangat baik",IF(AF2371&gt;79,"Baik",IF(AF2371&gt;=pub_gid_0_single_true_output_csv[[#This Row],[KKM]],"Cukup","Kurang"))))</f>
        <v>Cukup</v>
      </c>
      <c r="AH2371">
        <f t="shared" si="112"/>
        <v>12</v>
      </c>
      <c r="AI2371" s="30" t="str">
        <f>IF(OR(J2371&lt;&gt;"Karakter",pub_gid_0_single_true_output_csv[[#This Row],[Nilai2]]=""),"",IF(AF2371&gt;89,"Sangat baik",IF(AF2371&gt;79,"Baik",IF(AF2371&gt;69,"Cukup",IF(AF2371&gt;59,"Kurang","Sangat kurang")))))</f>
        <v/>
      </c>
      <c r="AJ2371" t="str">
        <f t="shared" si="113"/>
        <v>Wk.8</v>
      </c>
      <c r="AK2371" t="str">
        <f>IF(pub_gid_0_single_true_output_csv[[#This Row],[Nilai2]]="","",VLOOKUP(pub_gid_0_single_true_output_csv[[#This Row],[NAMA]],Table7[],3,FALSE))</f>
        <v>Superior</v>
      </c>
    </row>
    <row r="2372" spans="1:37" x14ac:dyDescent="0.2">
      <c r="A2372">
        <v>2371</v>
      </c>
      <c r="B2372" t="s">
        <v>332</v>
      </c>
      <c r="C2372" t="s">
        <v>65</v>
      </c>
      <c r="D2372" t="s">
        <v>59</v>
      </c>
      <c r="E2372" t="s">
        <v>333</v>
      </c>
      <c r="F2372" s="25">
        <v>46071</v>
      </c>
      <c r="G2372" t="s">
        <v>323</v>
      </c>
      <c r="H2372" t="s">
        <v>412</v>
      </c>
      <c r="I2372" t="s">
        <v>371</v>
      </c>
      <c r="J2372" t="s">
        <v>36</v>
      </c>
      <c r="K2372" t="s">
        <v>362</v>
      </c>
      <c r="L2372" t="s">
        <v>363</v>
      </c>
      <c r="M2372" t="s">
        <v>141</v>
      </c>
      <c r="N2372" t="s">
        <v>142</v>
      </c>
      <c r="O2372" t="s">
        <v>327</v>
      </c>
      <c r="P2372" t="s">
        <v>281</v>
      </c>
      <c r="Q2372" t="s">
        <v>328</v>
      </c>
      <c r="R2372" t="s">
        <v>360</v>
      </c>
      <c r="S2372" t="s">
        <v>375</v>
      </c>
      <c r="T2372">
        <v>1</v>
      </c>
      <c r="U2372" t="s">
        <v>456</v>
      </c>
      <c r="V2372" t="s">
        <v>342</v>
      </c>
      <c r="W2372" t="s">
        <v>458</v>
      </c>
      <c r="X2372" t="s">
        <v>331</v>
      </c>
      <c r="Y2372" t="s">
        <v>307</v>
      </c>
      <c r="Z2372">
        <v>70</v>
      </c>
      <c r="AA2372">
        <v>58</v>
      </c>
      <c r="AB2372" t="s">
        <v>151</v>
      </c>
      <c r="AC2372" t="s">
        <v>53</v>
      </c>
      <c r="AD2372" t="s">
        <v>404</v>
      </c>
      <c r="AE2372" t="str">
        <f>IF(AF2372="","",VLOOKUP(AC2372,mapel!$A$2:$B$42,2,FALSE))</f>
        <v>Sejarah</v>
      </c>
      <c r="AF2372">
        <f t="shared" si="111"/>
        <v>58</v>
      </c>
      <c r="AG2372" t="str">
        <f>IF(AF2372="","",IF(AF2372&gt;90,"Sangat baik",IF(AF2372&gt;79,"Baik",IF(AF2372&gt;=pub_gid_0_single_true_output_csv[[#This Row],[KKM]],"Cukup","Kurang"))))</f>
        <v>Kurang</v>
      </c>
      <c r="AH2372">
        <f t="shared" si="112"/>
        <v>12</v>
      </c>
      <c r="AI2372" s="30" t="str">
        <f>IF(OR(J2372&lt;&gt;"Karakter",pub_gid_0_single_true_output_csv[[#This Row],[Nilai2]]=""),"",IF(AF2372&gt;89,"Sangat baik",IF(AF2372&gt;79,"Baik",IF(AF2372&gt;69,"Cukup",IF(AF2372&gt;59,"Kurang","Sangat kurang")))))</f>
        <v/>
      </c>
      <c r="AJ2372" t="str">
        <f t="shared" si="113"/>
        <v>Wk.8</v>
      </c>
      <c r="AK2372" t="str">
        <f>IF(pub_gid_0_single_true_output_csv[[#This Row],[Nilai2]]="","",VLOOKUP(pub_gid_0_single_true_output_csv[[#This Row],[NAMA]],Table7[],3,FALSE))</f>
        <v>Superior</v>
      </c>
    </row>
    <row r="2373" spans="1:37" x14ac:dyDescent="0.2">
      <c r="A2373">
        <v>2372</v>
      </c>
      <c r="B2373" t="s">
        <v>332</v>
      </c>
      <c r="C2373" t="s">
        <v>65</v>
      </c>
      <c r="D2373" t="s">
        <v>59</v>
      </c>
      <c r="E2373" t="s">
        <v>333</v>
      </c>
      <c r="F2373" s="25">
        <v>46071</v>
      </c>
      <c r="G2373" t="s">
        <v>323</v>
      </c>
      <c r="H2373" t="s">
        <v>412</v>
      </c>
      <c r="I2373" t="s">
        <v>371</v>
      </c>
      <c r="J2373" t="s">
        <v>31</v>
      </c>
      <c r="K2373" t="s">
        <v>96</v>
      </c>
      <c r="L2373" t="s">
        <v>363</v>
      </c>
      <c r="M2373" t="s">
        <v>141</v>
      </c>
      <c r="N2373" t="s">
        <v>142</v>
      </c>
      <c r="O2373" t="s">
        <v>327</v>
      </c>
      <c r="P2373" t="s">
        <v>281</v>
      </c>
      <c r="Q2373" t="s">
        <v>328</v>
      </c>
      <c r="R2373" t="s">
        <v>360</v>
      </c>
      <c r="S2373" t="s">
        <v>375</v>
      </c>
      <c r="T2373">
        <v>1</v>
      </c>
      <c r="U2373" t="s">
        <v>456</v>
      </c>
      <c r="V2373" t="s">
        <v>342</v>
      </c>
      <c r="W2373" t="s">
        <v>458</v>
      </c>
      <c r="X2373" t="s">
        <v>331</v>
      </c>
      <c r="Y2373" t="s">
        <v>307</v>
      </c>
      <c r="Z2373">
        <v>70</v>
      </c>
      <c r="AA2373">
        <v>70</v>
      </c>
      <c r="AB2373" t="s">
        <v>143</v>
      </c>
      <c r="AC2373" t="s">
        <v>53</v>
      </c>
      <c r="AD2373" t="s">
        <v>404</v>
      </c>
      <c r="AE2373" t="str">
        <f>IF(AF2373="","",VLOOKUP(AC2373,mapel!$A$2:$B$42,2,FALSE))</f>
        <v>Sejarah</v>
      </c>
      <c r="AF2373">
        <f t="shared" si="111"/>
        <v>70</v>
      </c>
      <c r="AG2373" t="str">
        <f>IF(AF2373="","",IF(AF2373&gt;90,"Sangat baik",IF(AF2373&gt;79,"Baik",IF(AF2373&gt;=pub_gid_0_single_true_output_csv[[#This Row],[KKM]],"Cukup","Kurang"))))</f>
        <v>Cukup</v>
      </c>
      <c r="AH2373">
        <f t="shared" si="112"/>
        <v>12</v>
      </c>
      <c r="AI2373" s="30" t="str">
        <f>IF(OR(J2373&lt;&gt;"Karakter",pub_gid_0_single_true_output_csv[[#This Row],[Nilai2]]=""),"",IF(AF2373&gt;89,"Sangat baik",IF(AF2373&gt;79,"Baik",IF(AF2373&gt;69,"Cukup",IF(AF2373&gt;59,"Kurang","Sangat kurang")))))</f>
        <v/>
      </c>
      <c r="AJ2373" t="str">
        <f t="shared" si="113"/>
        <v>Wk.8</v>
      </c>
      <c r="AK2373" t="str">
        <f>IF(pub_gid_0_single_true_output_csv[[#This Row],[Nilai2]]="","",VLOOKUP(pub_gid_0_single_true_output_csv[[#This Row],[NAMA]],Table7[],3,FALSE))</f>
        <v>Superior</v>
      </c>
    </row>
    <row r="2374" spans="1:37" x14ac:dyDescent="0.2">
      <c r="A2374">
        <v>2373</v>
      </c>
      <c r="B2374" t="s">
        <v>315</v>
      </c>
      <c r="C2374" t="s">
        <v>65</v>
      </c>
      <c r="D2374" t="s">
        <v>60</v>
      </c>
      <c r="E2374" t="s">
        <v>140</v>
      </c>
      <c r="F2374" s="25">
        <v>46036</v>
      </c>
      <c r="G2374" t="s">
        <v>353</v>
      </c>
      <c r="H2374" t="s">
        <v>405</v>
      </c>
      <c r="I2374" t="s">
        <v>371</v>
      </c>
      <c r="J2374" t="s">
        <v>36</v>
      </c>
      <c r="K2374" t="s">
        <v>37</v>
      </c>
      <c r="L2374" t="s">
        <v>351</v>
      </c>
      <c r="M2374" t="s">
        <v>141</v>
      </c>
      <c r="N2374" t="s">
        <v>142</v>
      </c>
      <c r="O2374" t="s">
        <v>327</v>
      </c>
      <c r="P2374" t="s">
        <v>281</v>
      </c>
      <c r="Q2374" t="s">
        <v>328</v>
      </c>
      <c r="R2374" t="s">
        <v>360</v>
      </c>
      <c r="S2374" t="s">
        <v>330</v>
      </c>
      <c r="T2374">
        <v>1</v>
      </c>
      <c r="U2374" t="s">
        <v>456</v>
      </c>
      <c r="V2374" t="s">
        <v>285</v>
      </c>
      <c r="W2374" t="s">
        <v>457</v>
      </c>
      <c r="X2374" t="s">
        <v>331</v>
      </c>
      <c r="Y2374" t="s">
        <v>307</v>
      </c>
      <c r="Z2374">
        <v>70</v>
      </c>
      <c r="AA2374">
        <v>69</v>
      </c>
      <c r="AB2374" t="s">
        <v>151</v>
      </c>
      <c r="AC2374" t="s">
        <v>53</v>
      </c>
      <c r="AD2374" t="s">
        <v>404</v>
      </c>
      <c r="AE2374" t="str">
        <f>IF(AF2374="","",VLOOKUP(AC2374,mapel!$A$2:$B$42,2,FALSE))</f>
        <v>Sejarah</v>
      </c>
      <c r="AF2374">
        <f t="shared" si="111"/>
        <v>69</v>
      </c>
      <c r="AG2374" t="str">
        <f>IF(AF2374="","",IF(AF2374&gt;90,"Sangat baik",IF(AF2374&gt;79,"Baik",IF(AF2374&gt;=pub_gid_0_single_true_output_csv[[#This Row],[KKM]],"Cukup","Kurang"))))</f>
        <v>Kurang</v>
      </c>
      <c r="AH2374">
        <f t="shared" si="112"/>
        <v>12</v>
      </c>
      <c r="AI2374" s="30" t="str">
        <f>IF(OR(J2374&lt;&gt;"Karakter",pub_gid_0_single_true_output_csv[[#This Row],[Nilai2]]=""),"",IF(AF2374&gt;89,"Sangat baik",IF(AF2374&gt;79,"Baik",IF(AF2374&gt;69,"Cukup",IF(AF2374&gt;59,"Kurang","Sangat kurang")))))</f>
        <v/>
      </c>
      <c r="AJ2374" t="str">
        <f t="shared" si="113"/>
        <v>Wk.3</v>
      </c>
      <c r="AK2374" t="str">
        <f>IF(pub_gid_0_single_true_output_csv[[#This Row],[Nilai2]]="","",VLOOKUP(pub_gid_0_single_true_output_csv[[#This Row],[NAMA]],Table7[],3,FALSE))</f>
        <v>High average</v>
      </c>
    </row>
    <row r="2375" spans="1:37" x14ac:dyDescent="0.2">
      <c r="A2375">
        <v>2374</v>
      </c>
      <c r="B2375" t="s">
        <v>315</v>
      </c>
      <c r="C2375" t="s">
        <v>65</v>
      </c>
      <c r="D2375" t="s">
        <v>60</v>
      </c>
      <c r="E2375" t="s">
        <v>140</v>
      </c>
      <c r="F2375" s="25">
        <v>46036</v>
      </c>
      <c r="G2375" t="s">
        <v>353</v>
      </c>
      <c r="H2375" t="s">
        <v>405</v>
      </c>
      <c r="I2375" t="s">
        <v>371</v>
      </c>
      <c r="J2375" t="s">
        <v>31</v>
      </c>
      <c r="K2375" t="s">
        <v>96</v>
      </c>
      <c r="L2375" t="s">
        <v>351</v>
      </c>
      <c r="M2375" t="s">
        <v>141</v>
      </c>
      <c r="N2375" t="s">
        <v>142</v>
      </c>
      <c r="O2375" t="s">
        <v>327</v>
      </c>
      <c r="P2375" t="s">
        <v>281</v>
      </c>
      <c r="Q2375" t="s">
        <v>328</v>
      </c>
      <c r="R2375" t="s">
        <v>360</v>
      </c>
      <c r="S2375" t="s">
        <v>330</v>
      </c>
      <c r="T2375">
        <v>1</v>
      </c>
      <c r="U2375" t="s">
        <v>456</v>
      </c>
      <c r="V2375" t="s">
        <v>285</v>
      </c>
      <c r="W2375" t="s">
        <v>457</v>
      </c>
      <c r="X2375" t="s">
        <v>331</v>
      </c>
      <c r="Y2375" t="s">
        <v>307</v>
      </c>
      <c r="Z2375">
        <v>70</v>
      </c>
      <c r="AA2375">
        <v>69</v>
      </c>
      <c r="AB2375" t="s">
        <v>151</v>
      </c>
      <c r="AC2375" t="s">
        <v>53</v>
      </c>
      <c r="AD2375" t="s">
        <v>404</v>
      </c>
      <c r="AE2375" t="str">
        <f>IF(AF2375="","",VLOOKUP(AC2375,mapel!$A$2:$B$42,2,FALSE))</f>
        <v>Sejarah</v>
      </c>
      <c r="AF2375">
        <f t="shared" si="111"/>
        <v>69</v>
      </c>
      <c r="AG2375" t="str">
        <f>IF(AF2375="","",IF(AF2375&gt;90,"Sangat baik",IF(AF2375&gt;79,"Baik",IF(AF2375&gt;=pub_gid_0_single_true_output_csv[[#This Row],[KKM]],"Cukup","Kurang"))))</f>
        <v>Kurang</v>
      </c>
      <c r="AH2375">
        <f t="shared" si="112"/>
        <v>12</v>
      </c>
      <c r="AI2375" s="30" t="str">
        <f>IF(OR(J2375&lt;&gt;"Karakter",pub_gid_0_single_true_output_csv[[#This Row],[Nilai2]]=""),"",IF(AF2375&gt;89,"Sangat baik",IF(AF2375&gt;79,"Baik",IF(AF2375&gt;69,"Cukup",IF(AF2375&gt;59,"Kurang","Sangat kurang")))))</f>
        <v/>
      </c>
      <c r="AJ2375" t="str">
        <f t="shared" si="113"/>
        <v>Wk.3</v>
      </c>
      <c r="AK2375" t="str">
        <f>IF(pub_gid_0_single_true_output_csv[[#This Row],[Nilai2]]="","",VLOOKUP(pub_gid_0_single_true_output_csv[[#This Row],[NAMA]],Table7[],3,FALSE))</f>
        <v>High average</v>
      </c>
    </row>
    <row r="2376" spans="1:37" x14ac:dyDescent="0.2">
      <c r="A2376">
        <v>2375</v>
      </c>
      <c r="B2376" t="s">
        <v>315</v>
      </c>
      <c r="C2376" t="s">
        <v>65</v>
      </c>
      <c r="D2376" t="s">
        <v>60</v>
      </c>
      <c r="E2376" t="s">
        <v>140</v>
      </c>
      <c r="F2376" s="25">
        <v>46036</v>
      </c>
      <c r="G2376" t="s">
        <v>353</v>
      </c>
      <c r="H2376" t="s">
        <v>405</v>
      </c>
      <c r="I2376" t="s">
        <v>371</v>
      </c>
      <c r="J2376" t="s">
        <v>90</v>
      </c>
      <c r="K2376" t="s">
        <v>92</v>
      </c>
      <c r="L2376" t="s">
        <v>91</v>
      </c>
      <c r="M2376" t="s">
        <v>141</v>
      </c>
      <c r="N2376" t="s">
        <v>142</v>
      </c>
      <c r="O2376" t="s">
        <v>327</v>
      </c>
      <c r="P2376" t="s">
        <v>281</v>
      </c>
      <c r="Q2376" t="s">
        <v>328</v>
      </c>
      <c r="R2376" t="s">
        <v>360</v>
      </c>
      <c r="S2376" t="s">
        <v>330</v>
      </c>
      <c r="T2376">
        <v>1</v>
      </c>
      <c r="U2376" t="s">
        <v>456</v>
      </c>
      <c r="V2376" t="s">
        <v>285</v>
      </c>
      <c r="W2376" t="s">
        <v>457</v>
      </c>
      <c r="X2376" t="s">
        <v>331</v>
      </c>
      <c r="Y2376" t="s">
        <v>307</v>
      </c>
      <c r="Z2376">
        <v>70</v>
      </c>
      <c r="AA2376">
        <v>70</v>
      </c>
      <c r="AB2376" t="s">
        <v>143</v>
      </c>
      <c r="AC2376" t="s">
        <v>53</v>
      </c>
      <c r="AD2376" t="s">
        <v>404</v>
      </c>
      <c r="AE2376" t="str">
        <f>IF(AF2376="","",VLOOKUP(AC2376,mapel!$A$2:$B$42,2,FALSE))</f>
        <v>Sejarah</v>
      </c>
      <c r="AF2376">
        <f t="shared" si="111"/>
        <v>70</v>
      </c>
      <c r="AG2376" t="str">
        <f>IF(AF2376="","",IF(AF2376&gt;90,"Sangat baik",IF(AF2376&gt;79,"Baik",IF(AF2376&gt;=pub_gid_0_single_true_output_csv[[#This Row],[KKM]],"Cukup","Kurang"))))</f>
        <v>Cukup</v>
      </c>
      <c r="AH2376">
        <f t="shared" si="112"/>
        <v>12</v>
      </c>
      <c r="AI2376" s="30" t="str">
        <f>IF(OR(J2376&lt;&gt;"Karakter",pub_gid_0_single_true_output_csv[[#This Row],[Nilai2]]=""),"",IF(AF2376&gt;89,"Sangat baik",IF(AF2376&gt;79,"Baik",IF(AF2376&gt;69,"Cukup",IF(AF2376&gt;59,"Kurang","Sangat kurang")))))</f>
        <v>Cukup</v>
      </c>
      <c r="AJ2376" t="str">
        <f t="shared" si="113"/>
        <v>Wk.3</v>
      </c>
      <c r="AK2376" t="str">
        <f>IF(pub_gid_0_single_true_output_csv[[#This Row],[Nilai2]]="","",VLOOKUP(pub_gid_0_single_true_output_csv[[#This Row],[NAMA]],Table7[],3,FALSE))</f>
        <v>High average</v>
      </c>
    </row>
    <row r="2377" spans="1:37" x14ac:dyDescent="0.2">
      <c r="A2377">
        <v>2376</v>
      </c>
      <c r="B2377" t="s">
        <v>315</v>
      </c>
      <c r="C2377" t="s">
        <v>65</v>
      </c>
      <c r="D2377" t="s">
        <v>60</v>
      </c>
      <c r="E2377" t="s">
        <v>140</v>
      </c>
      <c r="F2377" s="25">
        <v>46036</v>
      </c>
      <c r="G2377" t="s">
        <v>353</v>
      </c>
      <c r="H2377" t="s">
        <v>405</v>
      </c>
      <c r="I2377" t="s">
        <v>371</v>
      </c>
      <c r="J2377" t="s">
        <v>279</v>
      </c>
      <c r="K2377" t="s">
        <v>280</v>
      </c>
      <c r="L2377" t="s">
        <v>322</v>
      </c>
      <c r="M2377" t="s">
        <v>141</v>
      </c>
      <c r="N2377" t="s">
        <v>142</v>
      </c>
      <c r="O2377" t="s">
        <v>327</v>
      </c>
      <c r="P2377" t="s">
        <v>281</v>
      </c>
      <c r="Q2377" t="s">
        <v>328</v>
      </c>
      <c r="R2377" t="s">
        <v>360</v>
      </c>
      <c r="S2377" t="s">
        <v>330</v>
      </c>
      <c r="T2377">
        <v>1</v>
      </c>
      <c r="U2377" t="s">
        <v>456</v>
      </c>
      <c r="V2377" t="s">
        <v>285</v>
      </c>
      <c r="W2377" t="s">
        <v>457</v>
      </c>
      <c r="X2377" t="s">
        <v>331</v>
      </c>
      <c r="Y2377" t="s">
        <v>307</v>
      </c>
      <c r="Z2377">
        <v>70</v>
      </c>
      <c r="AA2377">
        <v>70</v>
      </c>
      <c r="AB2377" t="s">
        <v>143</v>
      </c>
      <c r="AC2377" t="s">
        <v>53</v>
      </c>
      <c r="AD2377" t="s">
        <v>404</v>
      </c>
      <c r="AE2377" t="str">
        <f>IF(AF2377="","",VLOOKUP(AC2377,mapel!$A$2:$B$42,2,FALSE))</f>
        <v>Sejarah</v>
      </c>
      <c r="AF2377">
        <f t="shared" si="111"/>
        <v>70</v>
      </c>
      <c r="AG2377" t="str">
        <f>IF(AF2377="","",IF(AF2377&gt;90,"Sangat baik",IF(AF2377&gt;79,"Baik",IF(AF2377&gt;=pub_gid_0_single_true_output_csv[[#This Row],[KKM]],"Cukup","Kurang"))))</f>
        <v>Cukup</v>
      </c>
      <c r="AH2377">
        <f t="shared" si="112"/>
        <v>12</v>
      </c>
      <c r="AI2377" s="30" t="str">
        <f>IF(OR(J2377&lt;&gt;"Karakter",pub_gid_0_single_true_output_csv[[#This Row],[Nilai2]]=""),"",IF(AF2377&gt;89,"Sangat baik",IF(AF2377&gt;79,"Baik",IF(AF2377&gt;69,"Cukup",IF(AF2377&gt;59,"Kurang","Sangat kurang")))))</f>
        <v/>
      </c>
      <c r="AJ2377" t="str">
        <f t="shared" si="113"/>
        <v>Wk.3</v>
      </c>
      <c r="AK2377" t="str">
        <f>IF(pub_gid_0_single_true_output_csv[[#This Row],[Nilai2]]="","",VLOOKUP(pub_gid_0_single_true_output_csv[[#This Row],[NAMA]],Table7[],3,FALSE))</f>
        <v>High average</v>
      </c>
    </row>
    <row r="2378" spans="1:37" x14ac:dyDescent="0.2">
      <c r="A2378">
        <v>2377</v>
      </c>
      <c r="B2378" t="s">
        <v>315</v>
      </c>
      <c r="C2378" t="s">
        <v>65</v>
      </c>
      <c r="D2378" t="s">
        <v>60</v>
      </c>
      <c r="E2378" t="s">
        <v>140</v>
      </c>
      <c r="F2378" s="25">
        <v>46043</v>
      </c>
      <c r="G2378" t="s">
        <v>341</v>
      </c>
      <c r="H2378" t="s">
        <v>405</v>
      </c>
      <c r="I2378" t="s">
        <v>371</v>
      </c>
      <c r="J2378" t="s">
        <v>36</v>
      </c>
      <c r="K2378" t="s">
        <v>37</v>
      </c>
      <c r="L2378" t="s">
        <v>351</v>
      </c>
      <c r="M2378" t="s">
        <v>141</v>
      </c>
      <c r="N2378" t="s">
        <v>142</v>
      </c>
      <c r="O2378" t="s">
        <v>327</v>
      </c>
      <c r="P2378" t="s">
        <v>281</v>
      </c>
      <c r="Q2378" t="s">
        <v>328</v>
      </c>
      <c r="R2378" t="s">
        <v>360</v>
      </c>
      <c r="S2378" t="s">
        <v>330</v>
      </c>
      <c r="T2378">
        <v>1</v>
      </c>
      <c r="U2378" t="s">
        <v>456</v>
      </c>
      <c r="V2378" t="s">
        <v>285</v>
      </c>
      <c r="W2378" t="s">
        <v>457</v>
      </c>
      <c r="X2378" t="s">
        <v>331</v>
      </c>
      <c r="Y2378" t="s">
        <v>307</v>
      </c>
      <c r="Z2378">
        <v>70</v>
      </c>
      <c r="AA2378">
        <v>78</v>
      </c>
      <c r="AB2378" t="s">
        <v>143</v>
      </c>
      <c r="AC2378" t="s">
        <v>53</v>
      </c>
      <c r="AD2378" t="s">
        <v>404</v>
      </c>
      <c r="AE2378" t="str">
        <f>IF(AF2378="","",VLOOKUP(AC2378,mapel!$A$2:$B$42,2,FALSE))</f>
        <v>Sejarah</v>
      </c>
      <c r="AF2378">
        <f t="shared" si="111"/>
        <v>78</v>
      </c>
      <c r="AG2378" t="str">
        <f>IF(AF2378="","",IF(AF2378&gt;90,"Sangat baik",IF(AF2378&gt;79,"Baik",IF(AF2378&gt;=pub_gid_0_single_true_output_csv[[#This Row],[KKM]],"Cukup","Kurang"))))</f>
        <v>Cukup</v>
      </c>
      <c r="AH2378">
        <f t="shared" si="112"/>
        <v>12</v>
      </c>
      <c r="AI2378" s="30" t="str">
        <f>IF(OR(J2378&lt;&gt;"Karakter",pub_gid_0_single_true_output_csv[[#This Row],[Nilai2]]=""),"",IF(AF2378&gt;89,"Sangat baik",IF(AF2378&gt;79,"Baik",IF(AF2378&gt;69,"Cukup",IF(AF2378&gt;59,"Kurang","Sangat kurang")))))</f>
        <v/>
      </c>
      <c r="AJ2378" t="str">
        <f t="shared" si="113"/>
        <v>Wk.4</v>
      </c>
      <c r="AK2378" t="str">
        <f>IF(pub_gid_0_single_true_output_csv[[#This Row],[Nilai2]]="","",VLOOKUP(pub_gid_0_single_true_output_csv[[#This Row],[NAMA]],Table7[],3,FALSE))</f>
        <v>High average</v>
      </c>
    </row>
    <row r="2379" spans="1:37" x14ac:dyDescent="0.2">
      <c r="A2379">
        <v>2378</v>
      </c>
      <c r="B2379" t="s">
        <v>315</v>
      </c>
      <c r="C2379" t="s">
        <v>65</v>
      </c>
      <c r="D2379" t="s">
        <v>60</v>
      </c>
      <c r="E2379" t="s">
        <v>140</v>
      </c>
      <c r="F2379" s="25">
        <v>46043</v>
      </c>
      <c r="G2379" t="s">
        <v>341</v>
      </c>
      <c r="H2379" t="s">
        <v>405</v>
      </c>
      <c r="I2379" t="s">
        <v>371</v>
      </c>
      <c r="J2379" t="s">
        <v>31</v>
      </c>
      <c r="K2379" t="s">
        <v>96</v>
      </c>
      <c r="L2379" t="s">
        <v>367</v>
      </c>
      <c r="M2379" t="s">
        <v>141</v>
      </c>
      <c r="N2379" t="s">
        <v>142</v>
      </c>
      <c r="O2379" t="s">
        <v>327</v>
      </c>
      <c r="P2379" t="s">
        <v>281</v>
      </c>
      <c r="Q2379" t="s">
        <v>328</v>
      </c>
      <c r="R2379" t="s">
        <v>360</v>
      </c>
      <c r="S2379" t="s">
        <v>330</v>
      </c>
      <c r="T2379">
        <v>1</v>
      </c>
      <c r="U2379" t="s">
        <v>456</v>
      </c>
      <c r="V2379" t="s">
        <v>285</v>
      </c>
      <c r="W2379" t="s">
        <v>457</v>
      </c>
      <c r="X2379" t="s">
        <v>331</v>
      </c>
      <c r="Y2379" t="s">
        <v>307</v>
      </c>
      <c r="Z2379">
        <v>70</v>
      </c>
      <c r="AA2379">
        <v>70</v>
      </c>
      <c r="AB2379" t="s">
        <v>143</v>
      </c>
      <c r="AC2379" t="s">
        <v>53</v>
      </c>
      <c r="AD2379" t="s">
        <v>404</v>
      </c>
      <c r="AE2379" t="str">
        <f>IF(AF2379="","",VLOOKUP(AC2379,mapel!$A$2:$B$42,2,FALSE))</f>
        <v>Sejarah</v>
      </c>
      <c r="AF2379">
        <f t="shared" si="111"/>
        <v>70</v>
      </c>
      <c r="AG2379" t="str">
        <f>IF(AF2379="","",IF(AF2379&gt;90,"Sangat baik",IF(AF2379&gt;79,"Baik",IF(AF2379&gt;=pub_gid_0_single_true_output_csv[[#This Row],[KKM]],"Cukup","Kurang"))))</f>
        <v>Cukup</v>
      </c>
      <c r="AH2379">
        <f t="shared" si="112"/>
        <v>12</v>
      </c>
      <c r="AI2379" s="30" t="str">
        <f>IF(OR(J2379&lt;&gt;"Karakter",pub_gid_0_single_true_output_csv[[#This Row],[Nilai2]]=""),"",IF(AF2379&gt;89,"Sangat baik",IF(AF2379&gt;79,"Baik",IF(AF2379&gt;69,"Cukup",IF(AF2379&gt;59,"Kurang","Sangat kurang")))))</f>
        <v/>
      </c>
      <c r="AJ2379" t="str">
        <f t="shared" si="113"/>
        <v>Wk.4</v>
      </c>
      <c r="AK2379" t="str">
        <f>IF(pub_gid_0_single_true_output_csv[[#This Row],[Nilai2]]="","",VLOOKUP(pub_gid_0_single_true_output_csv[[#This Row],[NAMA]],Table7[],3,FALSE))</f>
        <v>High average</v>
      </c>
    </row>
    <row r="2380" spans="1:37" x14ac:dyDescent="0.2">
      <c r="A2380">
        <v>2379</v>
      </c>
      <c r="B2380" t="s">
        <v>315</v>
      </c>
      <c r="C2380" t="s">
        <v>65</v>
      </c>
      <c r="D2380" t="s">
        <v>60</v>
      </c>
      <c r="E2380" t="s">
        <v>140</v>
      </c>
      <c r="F2380" s="25">
        <v>46043</v>
      </c>
      <c r="G2380" t="s">
        <v>341</v>
      </c>
      <c r="H2380" t="s">
        <v>405</v>
      </c>
      <c r="I2380" t="s">
        <v>371</v>
      </c>
      <c r="J2380" t="s">
        <v>90</v>
      </c>
      <c r="K2380" t="s">
        <v>92</v>
      </c>
      <c r="L2380" t="s">
        <v>93</v>
      </c>
      <c r="M2380" t="s">
        <v>141</v>
      </c>
      <c r="N2380" t="s">
        <v>142</v>
      </c>
      <c r="O2380" t="s">
        <v>327</v>
      </c>
      <c r="P2380" t="s">
        <v>281</v>
      </c>
      <c r="Q2380" t="s">
        <v>328</v>
      </c>
      <c r="R2380" t="s">
        <v>360</v>
      </c>
      <c r="S2380" t="s">
        <v>330</v>
      </c>
      <c r="T2380">
        <v>1</v>
      </c>
      <c r="U2380" t="s">
        <v>456</v>
      </c>
      <c r="V2380" t="s">
        <v>285</v>
      </c>
      <c r="W2380" t="s">
        <v>457</v>
      </c>
      <c r="X2380" t="s">
        <v>331</v>
      </c>
      <c r="Y2380" t="s">
        <v>307</v>
      </c>
      <c r="Z2380">
        <v>70</v>
      </c>
      <c r="AA2380">
        <v>80</v>
      </c>
      <c r="AB2380" t="s">
        <v>143</v>
      </c>
      <c r="AC2380" t="s">
        <v>53</v>
      </c>
      <c r="AD2380" t="s">
        <v>404</v>
      </c>
      <c r="AE2380" t="str">
        <f>IF(AF2380="","",VLOOKUP(AC2380,mapel!$A$2:$B$42,2,FALSE))</f>
        <v>Sejarah</v>
      </c>
      <c r="AF2380">
        <f t="shared" si="111"/>
        <v>80</v>
      </c>
      <c r="AG2380" t="str">
        <f>IF(AF2380="","",IF(AF2380&gt;90,"Sangat baik",IF(AF2380&gt;79,"Baik",IF(AF2380&gt;=pub_gid_0_single_true_output_csv[[#This Row],[KKM]],"Cukup","Kurang"))))</f>
        <v>Baik</v>
      </c>
      <c r="AH2380">
        <f t="shared" si="112"/>
        <v>12</v>
      </c>
      <c r="AI2380" s="30" t="str">
        <f>IF(OR(J2380&lt;&gt;"Karakter",pub_gid_0_single_true_output_csv[[#This Row],[Nilai2]]=""),"",IF(AF2380&gt;89,"Sangat baik",IF(AF2380&gt;79,"Baik",IF(AF2380&gt;69,"Cukup",IF(AF2380&gt;59,"Kurang","Sangat kurang")))))</f>
        <v>Baik</v>
      </c>
      <c r="AJ2380" t="str">
        <f t="shared" si="113"/>
        <v>Wk.4</v>
      </c>
      <c r="AK2380" t="str">
        <f>IF(pub_gid_0_single_true_output_csv[[#This Row],[Nilai2]]="","",VLOOKUP(pub_gid_0_single_true_output_csv[[#This Row],[NAMA]],Table7[],3,FALSE))</f>
        <v>High average</v>
      </c>
    </row>
    <row r="2381" spans="1:37" x14ac:dyDescent="0.2">
      <c r="A2381">
        <v>2380</v>
      </c>
      <c r="B2381" t="s">
        <v>315</v>
      </c>
      <c r="C2381" t="s">
        <v>65</v>
      </c>
      <c r="D2381" t="s">
        <v>60</v>
      </c>
      <c r="E2381" t="s">
        <v>140</v>
      </c>
      <c r="F2381" s="25">
        <v>46043</v>
      </c>
      <c r="G2381" t="s">
        <v>341</v>
      </c>
      <c r="H2381" t="s">
        <v>405</v>
      </c>
      <c r="I2381" t="s">
        <v>371</v>
      </c>
      <c r="J2381" t="s">
        <v>279</v>
      </c>
      <c r="K2381" t="s">
        <v>280</v>
      </c>
      <c r="L2381" t="s">
        <v>322</v>
      </c>
      <c r="M2381" t="s">
        <v>141</v>
      </c>
      <c r="N2381" t="s">
        <v>142</v>
      </c>
      <c r="O2381" t="s">
        <v>327</v>
      </c>
      <c r="P2381" t="s">
        <v>281</v>
      </c>
      <c r="Q2381" t="s">
        <v>328</v>
      </c>
      <c r="R2381" t="s">
        <v>360</v>
      </c>
      <c r="S2381" t="s">
        <v>330</v>
      </c>
      <c r="T2381">
        <v>1</v>
      </c>
      <c r="U2381" t="s">
        <v>456</v>
      </c>
      <c r="V2381" t="s">
        <v>285</v>
      </c>
      <c r="W2381" t="s">
        <v>457</v>
      </c>
      <c r="X2381" t="s">
        <v>331</v>
      </c>
      <c r="Y2381" t="s">
        <v>307</v>
      </c>
      <c r="Z2381">
        <v>70</v>
      </c>
      <c r="AA2381">
        <v>70</v>
      </c>
      <c r="AB2381" t="s">
        <v>143</v>
      </c>
      <c r="AC2381" t="s">
        <v>53</v>
      </c>
      <c r="AD2381" t="s">
        <v>404</v>
      </c>
      <c r="AE2381" t="str">
        <f>IF(AF2381="","",VLOOKUP(AC2381,mapel!$A$2:$B$42,2,FALSE))</f>
        <v>Sejarah</v>
      </c>
      <c r="AF2381">
        <f t="shared" si="111"/>
        <v>70</v>
      </c>
      <c r="AG2381" t="str">
        <f>IF(AF2381="","",IF(AF2381&gt;90,"Sangat baik",IF(AF2381&gt;79,"Baik",IF(AF2381&gt;=pub_gid_0_single_true_output_csv[[#This Row],[KKM]],"Cukup","Kurang"))))</f>
        <v>Cukup</v>
      </c>
      <c r="AH2381">
        <f t="shared" si="112"/>
        <v>12</v>
      </c>
      <c r="AI2381" s="30" t="str">
        <f>IF(OR(J2381&lt;&gt;"Karakter",pub_gid_0_single_true_output_csv[[#This Row],[Nilai2]]=""),"",IF(AF2381&gt;89,"Sangat baik",IF(AF2381&gt;79,"Baik",IF(AF2381&gt;69,"Cukup",IF(AF2381&gt;59,"Kurang","Sangat kurang")))))</f>
        <v/>
      </c>
      <c r="AJ2381" t="str">
        <f t="shared" si="113"/>
        <v>Wk.4</v>
      </c>
      <c r="AK2381" t="str">
        <f>IF(pub_gid_0_single_true_output_csv[[#This Row],[Nilai2]]="","",VLOOKUP(pub_gid_0_single_true_output_csv[[#This Row],[NAMA]],Table7[],3,FALSE))</f>
        <v>High average</v>
      </c>
    </row>
    <row r="2382" spans="1:37" x14ac:dyDescent="0.2">
      <c r="A2382">
        <v>2381</v>
      </c>
      <c r="B2382" t="s">
        <v>315</v>
      </c>
      <c r="C2382" t="s">
        <v>65</v>
      </c>
      <c r="D2382" t="s">
        <v>60</v>
      </c>
      <c r="E2382" t="s">
        <v>140</v>
      </c>
      <c r="F2382" s="25">
        <v>46050</v>
      </c>
      <c r="G2382" t="s">
        <v>308</v>
      </c>
      <c r="H2382" t="s">
        <v>405</v>
      </c>
      <c r="I2382" t="s">
        <v>371</v>
      </c>
      <c r="J2382" t="s">
        <v>36</v>
      </c>
      <c r="K2382" t="s">
        <v>37</v>
      </c>
      <c r="L2382" t="s">
        <v>351</v>
      </c>
      <c r="M2382" t="s">
        <v>141</v>
      </c>
      <c r="N2382" t="s">
        <v>142</v>
      </c>
      <c r="O2382" t="s">
        <v>327</v>
      </c>
      <c r="P2382" t="s">
        <v>281</v>
      </c>
      <c r="Q2382" t="s">
        <v>328</v>
      </c>
      <c r="R2382" t="s">
        <v>360</v>
      </c>
      <c r="S2382" t="s">
        <v>375</v>
      </c>
      <c r="T2382">
        <v>1</v>
      </c>
      <c r="U2382" t="s">
        <v>456</v>
      </c>
      <c r="V2382" t="s">
        <v>342</v>
      </c>
      <c r="W2382" t="s">
        <v>458</v>
      </c>
      <c r="X2382" t="s">
        <v>331</v>
      </c>
      <c r="Y2382" t="s">
        <v>307</v>
      </c>
      <c r="Z2382">
        <v>70</v>
      </c>
      <c r="AA2382">
        <v>70</v>
      </c>
      <c r="AB2382" t="s">
        <v>143</v>
      </c>
      <c r="AC2382" t="s">
        <v>53</v>
      </c>
      <c r="AD2382" t="s">
        <v>404</v>
      </c>
      <c r="AE2382" t="str">
        <f>IF(AF2382="","",VLOOKUP(AC2382,mapel!$A$2:$B$42,2,FALSE))</f>
        <v>Sejarah</v>
      </c>
      <c r="AF2382">
        <f t="shared" si="111"/>
        <v>70</v>
      </c>
      <c r="AG2382" t="str">
        <f>IF(AF2382="","",IF(AF2382&gt;90,"Sangat baik",IF(AF2382&gt;79,"Baik",IF(AF2382&gt;=pub_gid_0_single_true_output_csv[[#This Row],[KKM]],"Cukup","Kurang"))))</f>
        <v>Cukup</v>
      </c>
      <c r="AH2382">
        <f t="shared" si="112"/>
        <v>12</v>
      </c>
      <c r="AI2382" s="30" t="str">
        <f>IF(OR(J2382&lt;&gt;"Karakter",pub_gid_0_single_true_output_csv[[#This Row],[Nilai2]]=""),"",IF(AF2382&gt;89,"Sangat baik",IF(AF2382&gt;79,"Baik",IF(AF2382&gt;69,"Cukup",IF(AF2382&gt;59,"Kurang","Sangat kurang")))))</f>
        <v/>
      </c>
      <c r="AJ2382" t="str">
        <f t="shared" si="113"/>
        <v>Wk.5</v>
      </c>
      <c r="AK2382" t="str">
        <f>IF(pub_gid_0_single_true_output_csv[[#This Row],[Nilai2]]="","",VLOOKUP(pub_gid_0_single_true_output_csv[[#This Row],[NAMA]],Table7[],3,FALSE))</f>
        <v>High average</v>
      </c>
    </row>
    <row r="2383" spans="1:37" x14ac:dyDescent="0.2">
      <c r="A2383">
        <v>2382</v>
      </c>
      <c r="B2383" t="s">
        <v>315</v>
      </c>
      <c r="C2383" t="s">
        <v>65</v>
      </c>
      <c r="D2383" t="s">
        <v>60</v>
      </c>
      <c r="E2383" t="s">
        <v>140</v>
      </c>
      <c r="F2383" s="25">
        <v>46050</v>
      </c>
      <c r="G2383" t="s">
        <v>308</v>
      </c>
      <c r="H2383" t="s">
        <v>405</v>
      </c>
      <c r="I2383" t="s">
        <v>371</v>
      </c>
      <c r="J2383" t="s">
        <v>31</v>
      </c>
      <c r="K2383" t="s">
        <v>96</v>
      </c>
      <c r="L2383" t="s">
        <v>351</v>
      </c>
      <c r="M2383" t="s">
        <v>141</v>
      </c>
      <c r="N2383" t="s">
        <v>142</v>
      </c>
      <c r="O2383" t="s">
        <v>327</v>
      </c>
      <c r="P2383" t="s">
        <v>281</v>
      </c>
      <c r="Q2383" t="s">
        <v>328</v>
      </c>
      <c r="R2383" t="s">
        <v>360</v>
      </c>
      <c r="S2383" t="s">
        <v>375</v>
      </c>
      <c r="T2383">
        <v>1</v>
      </c>
      <c r="U2383" t="s">
        <v>456</v>
      </c>
      <c r="V2383" t="s">
        <v>342</v>
      </c>
      <c r="W2383" t="s">
        <v>458</v>
      </c>
      <c r="X2383" t="s">
        <v>331</v>
      </c>
      <c r="Y2383" t="s">
        <v>307</v>
      </c>
      <c r="Z2383">
        <v>70</v>
      </c>
      <c r="AA2383">
        <v>70</v>
      </c>
      <c r="AB2383" t="s">
        <v>143</v>
      </c>
      <c r="AC2383" t="s">
        <v>53</v>
      </c>
      <c r="AD2383" t="s">
        <v>404</v>
      </c>
      <c r="AE2383" t="str">
        <f>IF(AF2383="","",VLOOKUP(AC2383,mapel!$A$2:$B$42,2,FALSE))</f>
        <v>Sejarah</v>
      </c>
      <c r="AF2383">
        <f t="shared" si="111"/>
        <v>70</v>
      </c>
      <c r="AG2383" t="str">
        <f>IF(AF2383="","",IF(AF2383&gt;90,"Sangat baik",IF(AF2383&gt;79,"Baik",IF(AF2383&gt;=pub_gid_0_single_true_output_csv[[#This Row],[KKM]],"Cukup","Kurang"))))</f>
        <v>Cukup</v>
      </c>
      <c r="AH2383">
        <f t="shared" si="112"/>
        <v>12</v>
      </c>
      <c r="AI2383" s="30" t="str">
        <f>IF(OR(J2383&lt;&gt;"Karakter",pub_gid_0_single_true_output_csv[[#This Row],[Nilai2]]=""),"",IF(AF2383&gt;89,"Sangat baik",IF(AF2383&gt;79,"Baik",IF(AF2383&gt;69,"Cukup",IF(AF2383&gt;59,"Kurang","Sangat kurang")))))</f>
        <v/>
      </c>
      <c r="AJ2383" t="str">
        <f t="shared" si="113"/>
        <v>Wk.5</v>
      </c>
      <c r="AK2383" t="str">
        <f>IF(pub_gid_0_single_true_output_csv[[#This Row],[Nilai2]]="","",VLOOKUP(pub_gid_0_single_true_output_csv[[#This Row],[NAMA]],Table7[],3,FALSE))</f>
        <v>High average</v>
      </c>
    </row>
    <row r="2384" spans="1:37" x14ac:dyDescent="0.2">
      <c r="A2384">
        <v>2383</v>
      </c>
      <c r="B2384" t="s">
        <v>315</v>
      </c>
      <c r="C2384" t="s">
        <v>65</v>
      </c>
      <c r="D2384" t="s">
        <v>60</v>
      </c>
      <c r="E2384" t="s">
        <v>140</v>
      </c>
      <c r="F2384" s="25">
        <v>46050</v>
      </c>
      <c r="G2384" t="s">
        <v>308</v>
      </c>
      <c r="H2384" t="s">
        <v>405</v>
      </c>
      <c r="I2384" t="s">
        <v>371</v>
      </c>
      <c r="J2384" t="s">
        <v>90</v>
      </c>
      <c r="K2384" t="s">
        <v>92</v>
      </c>
      <c r="L2384" t="s">
        <v>93</v>
      </c>
      <c r="M2384" t="s">
        <v>141</v>
      </c>
      <c r="N2384" t="s">
        <v>142</v>
      </c>
      <c r="O2384" t="s">
        <v>327</v>
      </c>
      <c r="P2384" t="s">
        <v>281</v>
      </c>
      <c r="Q2384" t="s">
        <v>328</v>
      </c>
      <c r="R2384" t="s">
        <v>360</v>
      </c>
      <c r="S2384" t="s">
        <v>375</v>
      </c>
      <c r="T2384">
        <v>1</v>
      </c>
      <c r="U2384" t="s">
        <v>456</v>
      </c>
      <c r="V2384" t="s">
        <v>342</v>
      </c>
      <c r="W2384" t="s">
        <v>458</v>
      </c>
      <c r="X2384" t="s">
        <v>331</v>
      </c>
      <c r="Y2384" t="s">
        <v>307</v>
      </c>
      <c r="Z2384">
        <v>70</v>
      </c>
      <c r="AA2384">
        <v>70</v>
      </c>
      <c r="AB2384" t="s">
        <v>143</v>
      </c>
      <c r="AC2384" t="s">
        <v>53</v>
      </c>
      <c r="AD2384" t="s">
        <v>404</v>
      </c>
      <c r="AE2384" t="str">
        <f>IF(AF2384="","",VLOOKUP(AC2384,mapel!$A$2:$B$42,2,FALSE))</f>
        <v>Sejarah</v>
      </c>
      <c r="AF2384">
        <f t="shared" si="111"/>
        <v>70</v>
      </c>
      <c r="AG2384" t="str">
        <f>IF(AF2384="","",IF(AF2384&gt;90,"Sangat baik",IF(AF2384&gt;79,"Baik",IF(AF2384&gt;=pub_gid_0_single_true_output_csv[[#This Row],[KKM]],"Cukup","Kurang"))))</f>
        <v>Cukup</v>
      </c>
      <c r="AH2384">
        <f t="shared" si="112"/>
        <v>12</v>
      </c>
      <c r="AI2384" s="30" t="str">
        <f>IF(OR(J2384&lt;&gt;"Karakter",pub_gid_0_single_true_output_csv[[#This Row],[Nilai2]]=""),"",IF(AF2384&gt;89,"Sangat baik",IF(AF2384&gt;79,"Baik",IF(AF2384&gt;69,"Cukup",IF(AF2384&gt;59,"Kurang","Sangat kurang")))))</f>
        <v>Cukup</v>
      </c>
      <c r="AJ2384" t="str">
        <f t="shared" si="113"/>
        <v>Wk.5</v>
      </c>
      <c r="AK2384" t="str">
        <f>IF(pub_gid_0_single_true_output_csv[[#This Row],[Nilai2]]="","",VLOOKUP(pub_gid_0_single_true_output_csv[[#This Row],[NAMA]],Table7[],3,FALSE))</f>
        <v>High average</v>
      </c>
    </row>
    <row r="2385" spans="1:37" x14ac:dyDescent="0.2">
      <c r="A2385">
        <v>2384</v>
      </c>
      <c r="B2385" t="s">
        <v>315</v>
      </c>
      <c r="C2385" t="s">
        <v>65</v>
      </c>
      <c r="D2385" t="s">
        <v>60</v>
      </c>
      <c r="E2385" t="s">
        <v>140</v>
      </c>
      <c r="F2385" s="25">
        <v>46050</v>
      </c>
      <c r="G2385" t="s">
        <v>308</v>
      </c>
      <c r="H2385" t="s">
        <v>405</v>
      </c>
      <c r="I2385" t="s">
        <v>371</v>
      </c>
      <c r="J2385" t="s">
        <v>279</v>
      </c>
      <c r="K2385" t="s">
        <v>280</v>
      </c>
      <c r="L2385" t="s">
        <v>322</v>
      </c>
      <c r="M2385" t="s">
        <v>141</v>
      </c>
      <c r="N2385" t="s">
        <v>142</v>
      </c>
      <c r="O2385" t="s">
        <v>327</v>
      </c>
      <c r="P2385" t="s">
        <v>281</v>
      </c>
      <c r="Q2385" t="s">
        <v>328</v>
      </c>
      <c r="R2385" t="s">
        <v>360</v>
      </c>
      <c r="S2385" t="s">
        <v>375</v>
      </c>
      <c r="T2385">
        <v>1</v>
      </c>
      <c r="U2385" t="s">
        <v>456</v>
      </c>
      <c r="V2385" t="s">
        <v>342</v>
      </c>
      <c r="W2385" t="s">
        <v>458</v>
      </c>
      <c r="X2385" t="s">
        <v>331</v>
      </c>
      <c r="Y2385" t="s">
        <v>307</v>
      </c>
      <c r="Z2385">
        <v>70</v>
      </c>
      <c r="AA2385">
        <v>70</v>
      </c>
      <c r="AB2385" t="s">
        <v>143</v>
      </c>
      <c r="AC2385" t="s">
        <v>53</v>
      </c>
      <c r="AD2385" t="s">
        <v>404</v>
      </c>
      <c r="AE2385" t="str">
        <f>IF(AF2385="","",VLOOKUP(AC2385,mapel!$A$2:$B$42,2,FALSE))</f>
        <v>Sejarah</v>
      </c>
      <c r="AF2385">
        <f t="shared" si="111"/>
        <v>70</v>
      </c>
      <c r="AG2385" t="str">
        <f>IF(AF2385="","",IF(AF2385&gt;90,"Sangat baik",IF(AF2385&gt;79,"Baik",IF(AF2385&gt;=pub_gid_0_single_true_output_csv[[#This Row],[KKM]],"Cukup","Kurang"))))</f>
        <v>Cukup</v>
      </c>
      <c r="AH2385">
        <f t="shared" si="112"/>
        <v>12</v>
      </c>
      <c r="AI2385" s="30" t="str">
        <f>IF(OR(J2385&lt;&gt;"Karakter",pub_gid_0_single_true_output_csv[[#This Row],[Nilai2]]=""),"",IF(AF2385&gt;89,"Sangat baik",IF(AF2385&gt;79,"Baik",IF(AF2385&gt;69,"Cukup",IF(AF2385&gt;59,"Kurang","Sangat kurang")))))</f>
        <v/>
      </c>
      <c r="AJ2385" t="str">
        <f t="shared" si="113"/>
        <v>Wk.5</v>
      </c>
      <c r="AK2385" t="str">
        <f>IF(pub_gid_0_single_true_output_csv[[#This Row],[Nilai2]]="","",VLOOKUP(pub_gid_0_single_true_output_csv[[#This Row],[NAMA]],Table7[],3,FALSE))</f>
        <v>High average</v>
      </c>
    </row>
    <row r="2386" spans="1:37" x14ac:dyDescent="0.2">
      <c r="A2386">
        <v>2385</v>
      </c>
      <c r="B2386" t="s">
        <v>315</v>
      </c>
      <c r="C2386" t="s">
        <v>65</v>
      </c>
      <c r="D2386" t="s">
        <v>60</v>
      </c>
      <c r="E2386" t="s">
        <v>140</v>
      </c>
      <c r="F2386" s="25">
        <v>46050</v>
      </c>
      <c r="G2386" t="s">
        <v>308</v>
      </c>
      <c r="H2386" t="s">
        <v>405</v>
      </c>
      <c r="I2386" t="s">
        <v>371</v>
      </c>
      <c r="J2386" t="s">
        <v>36</v>
      </c>
      <c r="K2386" t="s">
        <v>37</v>
      </c>
      <c r="L2386" t="s">
        <v>150</v>
      </c>
      <c r="M2386" t="s">
        <v>141</v>
      </c>
      <c r="N2386" t="s">
        <v>142</v>
      </c>
      <c r="O2386" t="s">
        <v>327</v>
      </c>
      <c r="P2386" t="s">
        <v>281</v>
      </c>
      <c r="Q2386" t="s">
        <v>328</v>
      </c>
      <c r="R2386" t="s">
        <v>360</v>
      </c>
      <c r="S2386" t="s">
        <v>375</v>
      </c>
      <c r="T2386">
        <v>1</v>
      </c>
      <c r="U2386" t="s">
        <v>456</v>
      </c>
      <c r="V2386" t="s">
        <v>342</v>
      </c>
      <c r="W2386" t="s">
        <v>458</v>
      </c>
      <c r="X2386" t="s">
        <v>331</v>
      </c>
      <c r="Y2386" t="s">
        <v>307</v>
      </c>
      <c r="Z2386">
        <v>70</v>
      </c>
      <c r="AA2386">
        <v>70</v>
      </c>
      <c r="AB2386" t="s">
        <v>143</v>
      </c>
      <c r="AC2386" t="s">
        <v>53</v>
      </c>
      <c r="AD2386" t="s">
        <v>404</v>
      </c>
      <c r="AE2386" t="str">
        <f>IF(AF2386="","",VLOOKUP(AC2386,mapel!$A$2:$B$42,2,FALSE))</f>
        <v>Sejarah</v>
      </c>
      <c r="AF2386">
        <f t="shared" si="111"/>
        <v>70</v>
      </c>
      <c r="AG2386" t="str">
        <f>IF(AF2386="","",IF(AF2386&gt;90,"Sangat baik",IF(AF2386&gt;79,"Baik",IF(AF2386&gt;=pub_gid_0_single_true_output_csv[[#This Row],[KKM]],"Cukup","Kurang"))))</f>
        <v>Cukup</v>
      </c>
      <c r="AH2386">
        <f t="shared" si="112"/>
        <v>12</v>
      </c>
      <c r="AI2386" s="30" t="str">
        <f>IF(OR(J2386&lt;&gt;"Karakter",pub_gid_0_single_true_output_csv[[#This Row],[Nilai2]]=""),"",IF(AF2386&gt;89,"Sangat baik",IF(AF2386&gt;79,"Baik",IF(AF2386&gt;69,"Cukup",IF(AF2386&gt;59,"Kurang","Sangat kurang")))))</f>
        <v/>
      </c>
      <c r="AJ2386" t="str">
        <f t="shared" si="113"/>
        <v>Wk.5</v>
      </c>
      <c r="AK2386" t="str">
        <f>IF(pub_gid_0_single_true_output_csv[[#This Row],[Nilai2]]="","",VLOOKUP(pub_gid_0_single_true_output_csv[[#This Row],[NAMA]],Table7[],3,FALSE))</f>
        <v>High average</v>
      </c>
    </row>
    <row r="2387" spans="1:37" x14ac:dyDescent="0.2">
      <c r="A2387">
        <v>2386</v>
      </c>
      <c r="B2387" t="s">
        <v>315</v>
      </c>
      <c r="C2387" t="s">
        <v>65</v>
      </c>
      <c r="D2387" t="s">
        <v>60</v>
      </c>
      <c r="E2387" t="s">
        <v>140</v>
      </c>
      <c r="F2387" s="25">
        <v>46050</v>
      </c>
      <c r="G2387" t="s">
        <v>308</v>
      </c>
      <c r="H2387" t="s">
        <v>405</v>
      </c>
      <c r="I2387" t="s">
        <v>371</v>
      </c>
      <c r="J2387" t="s">
        <v>31</v>
      </c>
      <c r="K2387" t="s">
        <v>32</v>
      </c>
      <c r="L2387" t="s">
        <v>367</v>
      </c>
      <c r="M2387" t="s">
        <v>141</v>
      </c>
      <c r="N2387" t="s">
        <v>142</v>
      </c>
      <c r="O2387" t="s">
        <v>327</v>
      </c>
      <c r="P2387" t="s">
        <v>281</v>
      </c>
      <c r="Q2387" t="s">
        <v>328</v>
      </c>
      <c r="R2387" t="s">
        <v>360</v>
      </c>
      <c r="S2387" t="s">
        <v>375</v>
      </c>
      <c r="T2387">
        <v>1</v>
      </c>
      <c r="U2387" t="s">
        <v>456</v>
      </c>
      <c r="V2387" t="s">
        <v>342</v>
      </c>
      <c r="W2387" t="s">
        <v>458</v>
      </c>
      <c r="X2387" t="s">
        <v>331</v>
      </c>
      <c r="Y2387" t="s">
        <v>307</v>
      </c>
      <c r="Z2387">
        <v>70</v>
      </c>
      <c r="AA2387">
        <v>70</v>
      </c>
      <c r="AB2387" t="s">
        <v>143</v>
      </c>
      <c r="AC2387" t="s">
        <v>53</v>
      </c>
      <c r="AD2387" t="s">
        <v>404</v>
      </c>
      <c r="AE2387" t="str">
        <f>IF(AF2387="","",VLOOKUP(AC2387,mapel!$A$2:$B$42,2,FALSE))</f>
        <v>Sejarah</v>
      </c>
      <c r="AF2387">
        <f t="shared" si="111"/>
        <v>70</v>
      </c>
      <c r="AG2387" t="str">
        <f>IF(AF2387="","",IF(AF2387&gt;90,"Sangat baik",IF(AF2387&gt;79,"Baik",IF(AF2387&gt;=pub_gid_0_single_true_output_csv[[#This Row],[KKM]],"Cukup","Kurang"))))</f>
        <v>Cukup</v>
      </c>
      <c r="AH2387">
        <f t="shared" si="112"/>
        <v>12</v>
      </c>
      <c r="AI2387" s="30" t="str">
        <f>IF(OR(J2387&lt;&gt;"Karakter",pub_gid_0_single_true_output_csv[[#This Row],[Nilai2]]=""),"",IF(AF2387&gt;89,"Sangat baik",IF(AF2387&gt;79,"Baik",IF(AF2387&gt;69,"Cukup",IF(AF2387&gt;59,"Kurang","Sangat kurang")))))</f>
        <v/>
      </c>
      <c r="AJ2387" t="str">
        <f t="shared" si="113"/>
        <v>Wk.5</v>
      </c>
      <c r="AK2387" t="str">
        <f>IF(pub_gid_0_single_true_output_csv[[#This Row],[Nilai2]]="","",VLOOKUP(pub_gid_0_single_true_output_csv[[#This Row],[NAMA]],Table7[],3,FALSE))</f>
        <v>High average</v>
      </c>
    </row>
    <row r="2388" spans="1:37" x14ac:dyDescent="0.2">
      <c r="A2388">
        <v>2387</v>
      </c>
      <c r="B2388" t="s">
        <v>315</v>
      </c>
      <c r="C2388" t="s">
        <v>65</v>
      </c>
      <c r="D2388" t="s">
        <v>60</v>
      </c>
      <c r="E2388" t="s">
        <v>140</v>
      </c>
      <c r="F2388" s="25">
        <v>46052</v>
      </c>
      <c r="G2388" t="s">
        <v>304</v>
      </c>
      <c r="H2388" t="s">
        <v>405</v>
      </c>
      <c r="I2388" t="s">
        <v>371</v>
      </c>
      <c r="J2388" t="s">
        <v>90</v>
      </c>
      <c r="K2388" t="s">
        <v>92</v>
      </c>
      <c r="L2388" t="s">
        <v>93</v>
      </c>
      <c r="M2388" t="s">
        <v>141</v>
      </c>
      <c r="N2388" t="s">
        <v>142</v>
      </c>
      <c r="O2388" t="s">
        <v>327</v>
      </c>
      <c r="P2388" t="s">
        <v>281</v>
      </c>
      <c r="Q2388" t="s">
        <v>328</v>
      </c>
      <c r="R2388" t="s">
        <v>360</v>
      </c>
      <c r="S2388" t="s">
        <v>375</v>
      </c>
      <c r="T2388">
        <v>1</v>
      </c>
      <c r="U2388" t="s">
        <v>456</v>
      </c>
      <c r="V2388" t="s">
        <v>342</v>
      </c>
      <c r="W2388" t="s">
        <v>458</v>
      </c>
      <c r="X2388" t="s">
        <v>331</v>
      </c>
      <c r="Y2388" t="s">
        <v>307</v>
      </c>
      <c r="Z2388">
        <v>70</v>
      </c>
      <c r="AA2388">
        <v>70</v>
      </c>
      <c r="AB2388" t="s">
        <v>143</v>
      </c>
      <c r="AC2388" t="s">
        <v>53</v>
      </c>
      <c r="AD2388" t="s">
        <v>404</v>
      </c>
      <c r="AE2388" t="str">
        <f>IF(AF2388="","",VLOOKUP(AC2388,mapel!$A$2:$B$42,2,FALSE))</f>
        <v>Sejarah</v>
      </c>
      <c r="AF2388">
        <f t="shared" si="111"/>
        <v>70</v>
      </c>
      <c r="AG2388" t="str">
        <f>IF(AF2388="","",IF(AF2388&gt;90,"Sangat baik",IF(AF2388&gt;79,"Baik",IF(AF2388&gt;=pub_gid_0_single_true_output_csv[[#This Row],[KKM]],"Cukup","Kurang"))))</f>
        <v>Cukup</v>
      </c>
      <c r="AH2388">
        <f t="shared" si="112"/>
        <v>12</v>
      </c>
      <c r="AI2388" s="30" t="str">
        <f>IF(OR(J2388&lt;&gt;"Karakter",pub_gid_0_single_true_output_csv[[#This Row],[Nilai2]]=""),"",IF(AF2388&gt;89,"Sangat baik",IF(AF2388&gt;79,"Baik",IF(AF2388&gt;69,"Cukup",IF(AF2388&gt;59,"Kurang","Sangat kurang")))))</f>
        <v>Cukup</v>
      </c>
      <c r="AJ2388" t="str">
        <f t="shared" si="113"/>
        <v>Wk.5</v>
      </c>
      <c r="AK2388" t="str">
        <f>IF(pub_gid_0_single_true_output_csv[[#This Row],[Nilai2]]="","",VLOOKUP(pub_gid_0_single_true_output_csv[[#This Row],[NAMA]],Table7[],3,FALSE))</f>
        <v>High average</v>
      </c>
    </row>
    <row r="2389" spans="1:37" x14ac:dyDescent="0.2">
      <c r="A2389">
        <v>2388</v>
      </c>
      <c r="B2389" t="s">
        <v>315</v>
      </c>
      <c r="C2389" t="s">
        <v>65</v>
      </c>
      <c r="D2389" t="s">
        <v>60</v>
      </c>
      <c r="E2389" t="s">
        <v>140</v>
      </c>
      <c r="F2389" s="25">
        <v>46057</v>
      </c>
      <c r="G2389" t="s">
        <v>348</v>
      </c>
      <c r="H2389" t="s">
        <v>412</v>
      </c>
      <c r="I2389" t="s">
        <v>371</v>
      </c>
      <c r="J2389" t="s">
        <v>279</v>
      </c>
      <c r="K2389" t="s">
        <v>280</v>
      </c>
      <c r="L2389" t="s">
        <v>322</v>
      </c>
      <c r="M2389" t="s">
        <v>141</v>
      </c>
      <c r="N2389" t="s">
        <v>142</v>
      </c>
      <c r="O2389" t="s">
        <v>327</v>
      </c>
      <c r="P2389" t="s">
        <v>281</v>
      </c>
      <c r="Q2389" t="s">
        <v>328</v>
      </c>
      <c r="R2389" t="s">
        <v>360</v>
      </c>
      <c r="S2389" t="s">
        <v>375</v>
      </c>
      <c r="T2389">
        <v>1</v>
      </c>
      <c r="U2389" t="s">
        <v>456</v>
      </c>
      <c r="V2389" t="s">
        <v>342</v>
      </c>
      <c r="W2389" t="s">
        <v>458</v>
      </c>
      <c r="X2389" t="s">
        <v>331</v>
      </c>
      <c r="Y2389" t="s">
        <v>307</v>
      </c>
      <c r="Z2389">
        <v>70</v>
      </c>
      <c r="AA2389">
        <v>70</v>
      </c>
      <c r="AB2389" t="s">
        <v>143</v>
      </c>
      <c r="AC2389" t="s">
        <v>53</v>
      </c>
      <c r="AD2389" t="s">
        <v>404</v>
      </c>
      <c r="AE2389" t="str">
        <f>IF(AF2389="","",VLOOKUP(AC2389,mapel!$A$2:$B$42,2,FALSE))</f>
        <v>Sejarah</v>
      </c>
      <c r="AF2389">
        <f t="shared" si="111"/>
        <v>70</v>
      </c>
      <c r="AG2389" t="str">
        <f>IF(AF2389="","",IF(AF2389&gt;90,"Sangat baik",IF(AF2389&gt;79,"Baik",IF(AF2389&gt;=pub_gid_0_single_true_output_csv[[#This Row],[KKM]],"Cukup","Kurang"))))</f>
        <v>Cukup</v>
      </c>
      <c r="AH2389">
        <f t="shared" si="112"/>
        <v>12</v>
      </c>
      <c r="AI2389" s="30" t="str">
        <f>IF(OR(J2389&lt;&gt;"Karakter",pub_gid_0_single_true_output_csv[[#This Row],[Nilai2]]=""),"",IF(AF2389&gt;89,"Sangat baik",IF(AF2389&gt;79,"Baik",IF(AF2389&gt;69,"Cukup",IF(AF2389&gt;59,"Kurang","Sangat kurang")))))</f>
        <v/>
      </c>
      <c r="AJ2389" t="str">
        <f t="shared" si="113"/>
        <v>Wk.6</v>
      </c>
      <c r="AK2389" t="str">
        <f>IF(pub_gid_0_single_true_output_csv[[#This Row],[Nilai2]]="","",VLOOKUP(pub_gid_0_single_true_output_csv[[#This Row],[NAMA]],Table7[],3,FALSE))</f>
        <v>High average</v>
      </c>
    </row>
    <row r="2390" spans="1:37" x14ac:dyDescent="0.2">
      <c r="A2390">
        <v>2389</v>
      </c>
      <c r="B2390" t="s">
        <v>315</v>
      </c>
      <c r="C2390" t="s">
        <v>65</v>
      </c>
      <c r="D2390" t="s">
        <v>60</v>
      </c>
      <c r="E2390" t="s">
        <v>140</v>
      </c>
      <c r="F2390" s="25">
        <v>46057</v>
      </c>
      <c r="G2390" t="s">
        <v>348</v>
      </c>
      <c r="H2390" t="s">
        <v>412</v>
      </c>
      <c r="I2390" t="s">
        <v>371</v>
      </c>
      <c r="J2390" t="s">
        <v>36</v>
      </c>
      <c r="K2390" t="s">
        <v>37</v>
      </c>
      <c r="L2390" t="s">
        <v>351</v>
      </c>
      <c r="M2390" t="s">
        <v>141</v>
      </c>
      <c r="N2390" t="s">
        <v>142</v>
      </c>
      <c r="O2390" t="s">
        <v>327</v>
      </c>
      <c r="P2390" t="s">
        <v>281</v>
      </c>
      <c r="Q2390" t="s">
        <v>328</v>
      </c>
      <c r="R2390" t="s">
        <v>360</v>
      </c>
      <c r="S2390" t="s">
        <v>392</v>
      </c>
      <c r="T2390">
        <v>1</v>
      </c>
      <c r="U2390" t="s">
        <v>456</v>
      </c>
      <c r="V2390" t="s">
        <v>343</v>
      </c>
      <c r="W2390" t="s">
        <v>459</v>
      </c>
      <c r="X2390" t="s">
        <v>331</v>
      </c>
      <c r="Y2390" t="s">
        <v>307</v>
      </c>
      <c r="Z2390">
        <v>70</v>
      </c>
      <c r="AA2390">
        <v>78</v>
      </c>
      <c r="AB2390" t="s">
        <v>143</v>
      </c>
      <c r="AC2390" t="s">
        <v>53</v>
      </c>
      <c r="AD2390" t="s">
        <v>404</v>
      </c>
      <c r="AE2390" t="str">
        <f>IF(AF2390="","",VLOOKUP(AC2390,mapel!$A$2:$B$42,2,FALSE))</f>
        <v>Sejarah</v>
      </c>
      <c r="AF2390">
        <f t="shared" si="111"/>
        <v>78</v>
      </c>
      <c r="AG2390" t="str">
        <f>IF(AF2390="","",IF(AF2390&gt;90,"Sangat baik",IF(AF2390&gt;79,"Baik",IF(AF2390&gt;=pub_gid_0_single_true_output_csv[[#This Row],[KKM]],"Cukup","Kurang"))))</f>
        <v>Cukup</v>
      </c>
      <c r="AH2390">
        <f t="shared" si="112"/>
        <v>12</v>
      </c>
      <c r="AI2390" s="30" t="str">
        <f>IF(OR(J2390&lt;&gt;"Karakter",pub_gid_0_single_true_output_csv[[#This Row],[Nilai2]]=""),"",IF(AF2390&gt;89,"Sangat baik",IF(AF2390&gt;79,"Baik",IF(AF2390&gt;69,"Cukup",IF(AF2390&gt;59,"Kurang","Sangat kurang")))))</f>
        <v/>
      </c>
      <c r="AJ2390" t="str">
        <f t="shared" si="113"/>
        <v>Wk.6</v>
      </c>
      <c r="AK2390" t="str">
        <f>IF(pub_gid_0_single_true_output_csv[[#This Row],[Nilai2]]="","",VLOOKUP(pub_gid_0_single_true_output_csv[[#This Row],[NAMA]],Table7[],3,FALSE))</f>
        <v>High average</v>
      </c>
    </row>
    <row r="2391" spans="1:37" x14ac:dyDescent="0.2">
      <c r="A2391">
        <v>2390</v>
      </c>
      <c r="B2391" t="s">
        <v>315</v>
      </c>
      <c r="C2391" t="s">
        <v>65</v>
      </c>
      <c r="D2391" t="s">
        <v>60</v>
      </c>
      <c r="E2391" t="s">
        <v>140</v>
      </c>
      <c r="F2391" s="25">
        <v>46057</v>
      </c>
      <c r="G2391" t="s">
        <v>348</v>
      </c>
      <c r="H2391" t="s">
        <v>412</v>
      </c>
      <c r="I2391" t="s">
        <v>371</v>
      </c>
      <c r="J2391" t="s">
        <v>31</v>
      </c>
      <c r="K2391" t="s">
        <v>96</v>
      </c>
      <c r="L2391" t="s">
        <v>351</v>
      </c>
      <c r="M2391" t="s">
        <v>141</v>
      </c>
      <c r="N2391" t="s">
        <v>142</v>
      </c>
      <c r="O2391" t="s">
        <v>327</v>
      </c>
      <c r="P2391" t="s">
        <v>281</v>
      </c>
      <c r="Q2391" t="s">
        <v>328</v>
      </c>
      <c r="R2391" t="s">
        <v>360</v>
      </c>
      <c r="S2391" t="s">
        <v>392</v>
      </c>
      <c r="T2391">
        <v>1</v>
      </c>
      <c r="U2391" t="s">
        <v>456</v>
      </c>
      <c r="V2391" t="s">
        <v>343</v>
      </c>
      <c r="W2391" t="s">
        <v>459</v>
      </c>
      <c r="X2391" t="s">
        <v>331</v>
      </c>
      <c r="Y2391" t="s">
        <v>307</v>
      </c>
      <c r="Z2391">
        <v>70</v>
      </c>
      <c r="AA2391">
        <v>70</v>
      </c>
      <c r="AB2391" t="s">
        <v>143</v>
      </c>
      <c r="AC2391" t="s">
        <v>53</v>
      </c>
      <c r="AD2391" t="s">
        <v>404</v>
      </c>
      <c r="AE2391" t="str">
        <f>IF(AF2391="","",VLOOKUP(AC2391,mapel!$A$2:$B$42,2,FALSE))</f>
        <v>Sejarah</v>
      </c>
      <c r="AF2391">
        <f t="shared" si="111"/>
        <v>70</v>
      </c>
      <c r="AG2391" t="str">
        <f>IF(AF2391="","",IF(AF2391&gt;90,"Sangat baik",IF(AF2391&gt;79,"Baik",IF(AF2391&gt;=pub_gid_0_single_true_output_csv[[#This Row],[KKM]],"Cukup","Kurang"))))</f>
        <v>Cukup</v>
      </c>
      <c r="AH2391">
        <f t="shared" si="112"/>
        <v>12</v>
      </c>
      <c r="AI2391" s="30" t="str">
        <f>IF(OR(J2391&lt;&gt;"Karakter",pub_gid_0_single_true_output_csv[[#This Row],[Nilai2]]=""),"",IF(AF2391&gt;89,"Sangat baik",IF(AF2391&gt;79,"Baik",IF(AF2391&gt;69,"Cukup",IF(AF2391&gt;59,"Kurang","Sangat kurang")))))</f>
        <v/>
      </c>
      <c r="AJ2391" t="str">
        <f t="shared" si="113"/>
        <v>Wk.6</v>
      </c>
      <c r="AK2391" t="str">
        <f>IF(pub_gid_0_single_true_output_csv[[#This Row],[Nilai2]]="","",VLOOKUP(pub_gid_0_single_true_output_csv[[#This Row],[NAMA]],Table7[],3,FALSE))</f>
        <v>High average</v>
      </c>
    </row>
    <row r="2392" spans="1:37" x14ac:dyDescent="0.2">
      <c r="A2392">
        <v>2391</v>
      </c>
      <c r="B2392" t="s">
        <v>315</v>
      </c>
      <c r="C2392" t="s">
        <v>65</v>
      </c>
      <c r="D2392" t="s">
        <v>60</v>
      </c>
      <c r="E2392" t="s">
        <v>140</v>
      </c>
      <c r="F2392" s="25">
        <v>46057</v>
      </c>
      <c r="G2392" t="s">
        <v>348</v>
      </c>
      <c r="H2392" t="s">
        <v>412</v>
      </c>
      <c r="I2392" t="s">
        <v>371</v>
      </c>
      <c r="J2392" t="s">
        <v>90</v>
      </c>
      <c r="K2392" t="s">
        <v>92</v>
      </c>
      <c r="L2392" t="s">
        <v>91</v>
      </c>
      <c r="M2392" t="s">
        <v>141</v>
      </c>
      <c r="N2392" t="s">
        <v>142</v>
      </c>
      <c r="O2392" t="s">
        <v>327</v>
      </c>
      <c r="P2392" t="s">
        <v>281</v>
      </c>
      <c r="Q2392" t="s">
        <v>328</v>
      </c>
      <c r="R2392" t="s">
        <v>360</v>
      </c>
      <c r="S2392" t="s">
        <v>392</v>
      </c>
      <c r="T2392">
        <v>1</v>
      </c>
      <c r="U2392" t="s">
        <v>456</v>
      </c>
      <c r="V2392" t="s">
        <v>343</v>
      </c>
      <c r="W2392" t="s">
        <v>459</v>
      </c>
      <c r="X2392" t="s">
        <v>331</v>
      </c>
      <c r="Y2392" t="s">
        <v>307</v>
      </c>
      <c r="Z2392">
        <v>70</v>
      </c>
      <c r="AA2392">
        <v>80</v>
      </c>
      <c r="AB2392" t="s">
        <v>143</v>
      </c>
      <c r="AC2392" t="s">
        <v>53</v>
      </c>
      <c r="AD2392" t="s">
        <v>404</v>
      </c>
      <c r="AE2392" t="str">
        <f>IF(AF2392="","",VLOOKUP(AC2392,mapel!$A$2:$B$42,2,FALSE))</f>
        <v>Sejarah</v>
      </c>
      <c r="AF2392">
        <f t="shared" si="111"/>
        <v>80</v>
      </c>
      <c r="AG2392" t="str">
        <f>IF(AF2392="","",IF(AF2392&gt;90,"Sangat baik",IF(AF2392&gt;79,"Baik",IF(AF2392&gt;=pub_gid_0_single_true_output_csv[[#This Row],[KKM]],"Cukup","Kurang"))))</f>
        <v>Baik</v>
      </c>
      <c r="AH2392">
        <f t="shared" si="112"/>
        <v>12</v>
      </c>
      <c r="AI2392" s="30" t="str">
        <f>IF(OR(J2392&lt;&gt;"Karakter",pub_gid_0_single_true_output_csv[[#This Row],[Nilai2]]=""),"",IF(AF2392&gt;89,"Sangat baik",IF(AF2392&gt;79,"Baik",IF(AF2392&gt;69,"Cukup",IF(AF2392&gt;59,"Kurang","Sangat kurang")))))</f>
        <v>Baik</v>
      </c>
      <c r="AJ2392" t="str">
        <f t="shared" si="113"/>
        <v>Wk.6</v>
      </c>
      <c r="AK2392" t="str">
        <f>IF(pub_gid_0_single_true_output_csv[[#This Row],[Nilai2]]="","",VLOOKUP(pub_gid_0_single_true_output_csv[[#This Row],[NAMA]],Table7[],3,FALSE))</f>
        <v>High average</v>
      </c>
    </row>
    <row r="2393" spans="1:37" x14ac:dyDescent="0.2">
      <c r="A2393">
        <v>2392</v>
      </c>
      <c r="B2393" t="s">
        <v>315</v>
      </c>
      <c r="C2393" t="s">
        <v>65</v>
      </c>
      <c r="D2393" t="s">
        <v>60</v>
      </c>
      <c r="E2393" t="s">
        <v>140</v>
      </c>
      <c r="F2393" s="25">
        <v>46064</v>
      </c>
      <c r="G2393" t="s">
        <v>352</v>
      </c>
      <c r="H2393" t="s">
        <v>412</v>
      </c>
      <c r="I2393" t="s">
        <v>371</v>
      </c>
      <c r="J2393" t="s">
        <v>279</v>
      </c>
      <c r="K2393" t="s">
        <v>280</v>
      </c>
      <c r="L2393" t="s">
        <v>322</v>
      </c>
      <c r="M2393" t="s">
        <v>141</v>
      </c>
      <c r="N2393" t="s">
        <v>142</v>
      </c>
      <c r="O2393" t="s">
        <v>327</v>
      </c>
      <c r="P2393" t="s">
        <v>281</v>
      </c>
      <c r="Q2393" t="s">
        <v>328</v>
      </c>
      <c r="R2393" t="s">
        <v>360</v>
      </c>
      <c r="S2393" t="s">
        <v>392</v>
      </c>
      <c r="T2393">
        <v>1</v>
      </c>
      <c r="U2393" t="s">
        <v>456</v>
      </c>
      <c r="V2393" t="s">
        <v>343</v>
      </c>
      <c r="W2393" t="s">
        <v>459</v>
      </c>
      <c r="X2393" t="s">
        <v>331</v>
      </c>
      <c r="Y2393" t="s">
        <v>307</v>
      </c>
      <c r="Z2393">
        <v>70</v>
      </c>
      <c r="AA2393">
        <v>70</v>
      </c>
      <c r="AB2393" t="s">
        <v>143</v>
      </c>
      <c r="AC2393" t="s">
        <v>53</v>
      </c>
      <c r="AD2393" t="s">
        <v>404</v>
      </c>
      <c r="AE2393" t="str">
        <f>IF(AF2393="","",VLOOKUP(AC2393,mapel!$A$2:$B$42,2,FALSE))</f>
        <v>Sejarah</v>
      </c>
      <c r="AF2393">
        <f t="shared" si="111"/>
        <v>70</v>
      </c>
      <c r="AG2393" t="str">
        <f>IF(AF2393="","",IF(AF2393&gt;90,"Sangat baik",IF(AF2393&gt;79,"Baik",IF(AF2393&gt;=pub_gid_0_single_true_output_csv[[#This Row],[KKM]],"Cukup","Kurang"))))</f>
        <v>Cukup</v>
      </c>
      <c r="AH2393">
        <f t="shared" si="112"/>
        <v>12</v>
      </c>
      <c r="AI2393" s="30" t="str">
        <f>IF(OR(J2393&lt;&gt;"Karakter",pub_gid_0_single_true_output_csv[[#This Row],[Nilai2]]=""),"",IF(AF2393&gt;89,"Sangat baik",IF(AF2393&gt;79,"Baik",IF(AF2393&gt;69,"Cukup",IF(AF2393&gt;59,"Kurang","Sangat kurang")))))</f>
        <v/>
      </c>
      <c r="AJ2393" t="str">
        <f t="shared" si="113"/>
        <v>Wk.7</v>
      </c>
      <c r="AK2393" t="str">
        <f>IF(pub_gid_0_single_true_output_csv[[#This Row],[Nilai2]]="","",VLOOKUP(pub_gid_0_single_true_output_csv[[#This Row],[NAMA]],Table7[],3,FALSE))</f>
        <v>High average</v>
      </c>
    </row>
    <row r="2394" spans="1:37" x14ac:dyDescent="0.2">
      <c r="A2394">
        <v>2393</v>
      </c>
      <c r="B2394" t="s">
        <v>315</v>
      </c>
      <c r="C2394" t="s">
        <v>65</v>
      </c>
      <c r="D2394" t="s">
        <v>60</v>
      </c>
      <c r="E2394" t="s">
        <v>140</v>
      </c>
      <c r="F2394" s="25">
        <v>46064</v>
      </c>
      <c r="G2394" t="s">
        <v>352</v>
      </c>
      <c r="H2394" t="s">
        <v>412</v>
      </c>
      <c r="I2394" t="s">
        <v>371</v>
      </c>
      <c r="J2394" t="s">
        <v>36</v>
      </c>
      <c r="K2394" t="s">
        <v>37</v>
      </c>
      <c r="L2394" t="s">
        <v>351</v>
      </c>
      <c r="M2394" t="s">
        <v>141</v>
      </c>
      <c r="N2394" t="s">
        <v>142</v>
      </c>
      <c r="O2394" t="s">
        <v>327</v>
      </c>
      <c r="P2394" t="s">
        <v>281</v>
      </c>
      <c r="Q2394" t="s">
        <v>328</v>
      </c>
      <c r="R2394" t="s">
        <v>360</v>
      </c>
      <c r="S2394" t="s">
        <v>392</v>
      </c>
      <c r="T2394">
        <v>1</v>
      </c>
      <c r="U2394" t="s">
        <v>456</v>
      </c>
      <c r="V2394" t="s">
        <v>343</v>
      </c>
      <c r="W2394" t="s">
        <v>459</v>
      </c>
      <c r="X2394" t="s">
        <v>331</v>
      </c>
      <c r="Y2394" t="s">
        <v>307</v>
      </c>
      <c r="Z2394">
        <v>70</v>
      </c>
      <c r="AA2394">
        <v>78</v>
      </c>
      <c r="AB2394" t="s">
        <v>143</v>
      </c>
      <c r="AC2394" t="s">
        <v>53</v>
      </c>
      <c r="AD2394" t="s">
        <v>404</v>
      </c>
      <c r="AE2394" t="str">
        <f>IF(AF2394="","",VLOOKUP(AC2394,mapel!$A$2:$B$42,2,FALSE))</f>
        <v>Sejarah</v>
      </c>
      <c r="AF2394">
        <f t="shared" si="111"/>
        <v>78</v>
      </c>
      <c r="AG2394" t="str">
        <f>IF(AF2394="","",IF(AF2394&gt;90,"Sangat baik",IF(AF2394&gt;79,"Baik",IF(AF2394&gt;=pub_gid_0_single_true_output_csv[[#This Row],[KKM]],"Cukup","Kurang"))))</f>
        <v>Cukup</v>
      </c>
      <c r="AH2394">
        <f t="shared" si="112"/>
        <v>12</v>
      </c>
      <c r="AI2394" s="30" t="str">
        <f>IF(OR(J2394&lt;&gt;"Karakter",pub_gid_0_single_true_output_csv[[#This Row],[Nilai2]]=""),"",IF(AF2394&gt;89,"Sangat baik",IF(AF2394&gt;79,"Baik",IF(AF2394&gt;69,"Cukup",IF(AF2394&gt;59,"Kurang","Sangat kurang")))))</f>
        <v/>
      </c>
      <c r="AJ2394" t="str">
        <f t="shared" si="113"/>
        <v>Wk.7</v>
      </c>
      <c r="AK2394" t="str">
        <f>IF(pub_gid_0_single_true_output_csv[[#This Row],[Nilai2]]="","",VLOOKUP(pub_gid_0_single_true_output_csv[[#This Row],[NAMA]],Table7[],3,FALSE))</f>
        <v>High average</v>
      </c>
    </row>
    <row r="2395" spans="1:37" x14ac:dyDescent="0.2">
      <c r="A2395">
        <v>2394</v>
      </c>
      <c r="B2395" t="s">
        <v>315</v>
      </c>
      <c r="C2395" t="s">
        <v>65</v>
      </c>
      <c r="D2395" t="s">
        <v>60</v>
      </c>
      <c r="E2395" t="s">
        <v>140</v>
      </c>
      <c r="F2395" s="25">
        <v>46064</v>
      </c>
      <c r="G2395" t="s">
        <v>352</v>
      </c>
      <c r="H2395" t="s">
        <v>412</v>
      </c>
      <c r="I2395" t="s">
        <v>371</v>
      </c>
      <c r="J2395" t="s">
        <v>31</v>
      </c>
      <c r="K2395" t="s">
        <v>96</v>
      </c>
      <c r="L2395" t="s">
        <v>351</v>
      </c>
      <c r="M2395" t="s">
        <v>141</v>
      </c>
      <c r="N2395" t="s">
        <v>142</v>
      </c>
      <c r="O2395" t="s">
        <v>327</v>
      </c>
      <c r="P2395" t="s">
        <v>281</v>
      </c>
      <c r="Q2395" t="s">
        <v>328</v>
      </c>
      <c r="R2395" t="s">
        <v>360</v>
      </c>
      <c r="S2395" t="s">
        <v>392</v>
      </c>
      <c r="T2395">
        <v>1</v>
      </c>
      <c r="U2395" t="s">
        <v>456</v>
      </c>
      <c r="V2395" t="s">
        <v>343</v>
      </c>
      <c r="W2395" t="s">
        <v>459</v>
      </c>
      <c r="X2395" t="s">
        <v>331</v>
      </c>
      <c r="Y2395" t="s">
        <v>307</v>
      </c>
      <c r="Z2395">
        <v>70</v>
      </c>
      <c r="AA2395">
        <v>70</v>
      </c>
      <c r="AB2395" t="s">
        <v>143</v>
      </c>
      <c r="AC2395" t="s">
        <v>53</v>
      </c>
      <c r="AD2395" t="s">
        <v>404</v>
      </c>
      <c r="AE2395" t="str">
        <f>IF(AF2395="","",VLOOKUP(AC2395,mapel!$A$2:$B$42,2,FALSE))</f>
        <v>Sejarah</v>
      </c>
      <c r="AF2395">
        <f t="shared" si="111"/>
        <v>70</v>
      </c>
      <c r="AG2395" t="str">
        <f>IF(AF2395="","",IF(AF2395&gt;90,"Sangat baik",IF(AF2395&gt;79,"Baik",IF(AF2395&gt;=pub_gid_0_single_true_output_csv[[#This Row],[KKM]],"Cukup","Kurang"))))</f>
        <v>Cukup</v>
      </c>
      <c r="AH2395">
        <f t="shared" si="112"/>
        <v>12</v>
      </c>
      <c r="AI2395" s="30" t="str">
        <f>IF(OR(J2395&lt;&gt;"Karakter",pub_gid_0_single_true_output_csv[[#This Row],[Nilai2]]=""),"",IF(AF2395&gt;89,"Sangat baik",IF(AF2395&gt;79,"Baik",IF(AF2395&gt;69,"Cukup",IF(AF2395&gt;59,"Kurang","Sangat kurang")))))</f>
        <v/>
      </c>
      <c r="AJ2395" t="str">
        <f t="shared" si="113"/>
        <v>Wk.7</v>
      </c>
      <c r="AK2395" t="str">
        <f>IF(pub_gid_0_single_true_output_csv[[#This Row],[Nilai2]]="","",VLOOKUP(pub_gid_0_single_true_output_csv[[#This Row],[NAMA]],Table7[],3,FALSE))</f>
        <v>High average</v>
      </c>
    </row>
    <row r="2396" spans="1:37" x14ac:dyDescent="0.2">
      <c r="A2396">
        <v>2395</v>
      </c>
      <c r="B2396" t="s">
        <v>315</v>
      </c>
      <c r="C2396" t="s">
        <v>65</v>
      </c>
      <c r="D2396" t="s">
        <v>60</v>
      </c>
      <c r="E2396" t="s">
        <v>140</v>
      </c>
      <c r="F2396" s="25">
        <v>46064</v>
      </c>
      <c r="G2396" t="s">
        <v>352</v>
      </c>
      <c r="H2396" t="s">
        <v>412</v>
      </c>
      <c r="I2396" t="s">
        <v>371</v>
      </c>
      <c r="J2396" t="s">
        <v>90</v>
      </c>
      <c r="K2396" t="s">
        <v>92</v>
      </c>
      <c r="L2396" t="s">
        <v>91</v>
      </c>
      <c r="M2396" t="s">
        <v>141</v>
      </c>
      <c r="N2396" t="s">
        <v>142</v>
      </c>
      <c r="O2396" t="s">
        <v>327</v>
      </c>
      <c r="P2396" t="s">
        <v>281</v>
      </c>
      <c r="Q2396" t="s">
        <v>328</v>
      </c>
      <c r="R2396" t="s">
        <v>360</v>
      </c>
      <c r="S2396" t="s">
        <v>392</v>
      </c>
      <c r="T2396">
        <v>1</v>
      </c>
      <c r="U2396" t="s">
        <v>456</v>
      </c>
      <c r="V2396" t="s">
        <v>343</v>
      </c>
      <c r="W2396" t="s">
        <v>459</v>
      </c>
      <c r="X2396" t="s">
        <v>331</v>
      </c>
      <c r="Y2396" t="s">
        <v>307</v>
      </c>
      <c r="Z2396">
        <v>70</v>
      </c>
      <c r="AA2396">
        <v>80</v>
      </c>
      <c r="AB2396" t="s">
        <v>143</v>
      </c>
      <c r="AC2396" t="s">
        <v>53</v>
      </c>
      <c r="AD2396" t="s">
        <v>404</v>
      </c>
      <c r="AE2396" t="str">
        <f>IF(AF2396="","",VLOOKUP(AC2396,mapel!$A$2:$B$42,2,FALSE))</f>
        <v>Sejarah</v>
      </c>
      <c r="AF2396">
        <f t="shared" si="111"/>
        <v>80</v>
      </c>
      <c r="AG2396" t="str">
        <f>IF(AF2396="","",IF(AF2396&gt;90,"Sangat baik",IF(AF2396&gt;79,"Baik",IF(AF2396&gt;=pub_gid_0_single_true_output_csv[[#This Row],[KKM]],"Cukup","Kurang"))))</f>
        <v>Baik</v>
      </c>
      <c r="AH2396">
        <f t="shared" si="112"/>
        <v>12</v>
      </c>
      <c r="AI2396" s="30" t="str">
        <f>IF(OR(J2396&lt;&gt;"Karakter",pub_gid_0_single_true_output_csv[[#This Row],[Nilai2]]=""),"",IF(AF2396&gt;89,"Sangat baik",IF(AF2396&gt;79,"Baik",IF(AF2396&gt;69,"Cukup",IF(AF2396&gt;59,"Kurang","Sangat kurang")))))</f>
        <v>Baik</v>
      </c>
      <c r="AJ2396" t="str">
        <f t="shared" si="113"/>
        <v>Wk.7</v>
      </c>
      <c r="AK2396" t="str">
        <f>IF(pub_gid_0_single_true_output_csv[[#This Row],[Nilai2]]="","",VLOOKUP(pub_gid_0_single_true_output_csv[[#This Row],[NAMA]],Table7[],3,FALSE))</f>
        <v>High average</v>
      </c>
    </row>
    <row r="2397" spans="1:37" x14ac:dyDescent="0.2">
      <c r="A2397">
        <v>2396</v>
      </c>
      <c r="B2397" t="s">
        <v>315</v>
      </c>
      <c r="C2397" t="s">
        <v>65</v>
      </c>
      <c r="D2397" t="s">
        <v>60</v>
      </c>
      <c r="E2397" t="s">
        <v>140</v>
      </c>
      <c r="F2397" s="25">
        <v>46071</v>
      </c>
      <c r="G2397" t="s">
        <v>323</v>
      </c>
      <c r="H2397" t="s">
        <v>412</v>
      </c>
      <c r="I2397" t="s">
        <v>371</v>
      </c>
      <c r="J2397" t="s">
        <v>279</v>
      </c>
      <c r="K2397" t="s">
        <v>280</v>
      </c>
      <c r="L2397" t="s">
        <v>322</v>
      </c>
      <c r="M2397" t="s">
        <v>141</v>
      </c>
      <c r="N2397" t="s">
        <v>142</v>
      </c>
      <c r="O2397" t="s">
        <v>327</v>
      </c>
      <c r="P2397" t="s">
        <v>281</v>
      </c>
      <c r="Q2397" t="s">
        <v>328</v>
      </c>
      <c r="R2397" t="s">
        <v>360</v>
      </c>
      <c r="S2397" t="s">
        <v>392</v>
      </c>
      <c r="T2397">
        <v>1</v>
      </c>
      <c r="U2397" t="s">
        <v>456</v>
      </c>
      <c r="V2397" t="s">
        <v>343</v>
      </c>
      <c r="W2397" t="s">
        <v>459</v>
      </c>
      <c r="X2397" t="s">
        <v>331</v>
      </c>
      <c r="Y2397" t="s">
        <v>307</v>
      </c>
      <c r="Z2397">
        <v>70</v>
      </c>
      <c r="AA2397">
        <v>70</v>
      </c>
      <c r="AB2397" t="s">
        <v>143</v>
      </c>
      <c r="AC2397" t="s">
        <v>53</v>
      </c>
      <c r="AD2397" t="s">
        <v>404</v>
      </c>
      <c r="AE2397" t="str">
        <f>IF(AF2397="","",VLOOKUP(AC2397,mapel!$A$2:$B$42,2,FALSE))</f>
        <v>Sejarah</v>
      </c>
      <c r="AF2397">
        <f t="shared" si="111"/>
        <v>70</v>
      </c>
      <c r="AG2397" t="str">
        <f>IF(AF2397="","",IF(AF2397&gt;90,"Sangat baik",IF(AF2397&gt;79,"Baik",IF(AF2397&gt;=pub_gid_0_single_true_output_csv[[#This Row],[KKM]],"Cukup","Kurang"))))</f>
        <v>Cukup</v>
      </c>
      <c r="AH2397">
        <f t="shared" si="112"/>
        <v>12</v>
      </c>
      <c r="AI2397" s="30" t="str">
        <f>IF(OR(J2397&lt;&gt;"Karakter",pub_gid_0_single_true_output_csv[[#This Row],[Nilai2]]=""),"",IF(AF2397&gt;89,"Sangat baik",IF(AF2397&gt;79,"Baik",IF(AF2397&gt;69,"Cukup",IF(AF2397&gt;59,"Kurang","Sangat kurang")))))</f>
        <v/>
      </c>
      <c r="AJ2397" t="str">
        <f t="shared" si="113"/>
        <v>Wk.8</v>
      </c>
      <c r="AK2397" t="str">
        <f>IF(pub_gid_0_single_true_output_csv[[#This Row],[Nilai2]]="","",VLOOKUP(pub_gid_0_single_true_output_csv[[#This Row],[NAMA]],Table7[],3,FALSE))</f>
        <v>High average</v>
      </c>
    </row>
    <row r="2398" spans="1:37" x14ac:dyDescent="0.2">
      <c r="A2398">
        <v>2397</v>
      </c>
      <c r="B2398" t="s">
        <v>315</v>
      </c>
      <c r="C2398" t="s">
        <v>65</v>
      </c>
      <c r="D2398" t="s">
        <v>60</v>
      </c>
      <c r="E2398" t="s">
        <v>140</v>
      </c>
      <c r="F2398" s="25">
        <v>46071</v>
      </c>
      <c r="G2398" t="s">
        <v>323</v>
      </c>
      <c r="H2398" t="s">
        <v>412</v>
      </c>
      <c r="I2398" t="s">
        <v>371</v>
      </c>
      <c r="J2398" t="s">
        <v>36</v>
      </c>
      <c r="K2398" t="s">
        <v>362</v>
      </c>
      <c r="L2398" t="s">
        <v>363</v>
      </c>
      <c r="M2398" t="s">
        <v>141</v>
      </c>
      <c r="N2398" t="s">
        <v>142</v>
      </c>
      <c r="O2398" t="s">
        <v>327</v>
      </c>
      <c r="P2398" t="s">
        <v>281</v>
      </c>
      <c r="Q2398" t="s">
        <v>328</v>
      </c>
      <c r="R2398" t="s">
        <v>360</v>
      </c>
      <c r="S2398" t="s">
        <v>375</v>
      </c>
      <c r="T2398">
        <v>1</v>
      </c>
      <c r="U2398" t="s">
        <v>456</v>
      </c>
      <c r="V2398" t="s">
        <v>342</v>
      </c>
      <c r="W2398" t="s">
        <v>458</v>
      </c>
      <c r="X2398" t="s">
        <v>331</v>
      </c>
      <c r="Y2398" t="s">
        <v>307</v>
      </c>
      <c r="Z2398">
        <v>70</v>
      </c>
      <c r="AA2398">
        <v>68</v>
      </c>
      <c r="AB2398" t="s">
        <v>151</v>
      </c>
      <c r="AC2398" t="s">
        <v>53</v>
      </c>
      <c r="AD2398" t="s">
        <v>404</v>
      </c>
      <c r="AE2398" t="str">
        <f>IF(AF2398="","",VLOOKUP(AC2398,mapel!$A$2:$B$42,2,FALSE))</f>
        <v>Sejarah</v>
      </c>
      <c r="AF2398">
        <f t="shared" si="111"/>
        <v>68</v>
      </c>
      <c r="AG2398" t="str">
        <f>IF(AF2398="","",IF(AF2398&gt;90,"Sangat baik",IF(AF2398&gt;79,"Baik",IF(AF2398&gt;=pub_gid_0_single_true_output_csv[[#This Row],[KKM]],"Cukup","Kurang"))))</f>
        <v>Kurang</v>
      </c>
      <c r="AH2398">
        <f t="shared" si="112"/>
        <v>12</v>
      </c>
      <c r="AI2398" s="30" t="str">
        <f>IF(OR(J2398&lt;&gt;"Karakter",pub_gid_0_single_true_output_csv[[#This Row],[Nilai2]]=""),"",IF(AF2398&gt;89,"Sangat baik",IF(AF2398&gt;79,"Baik",IF(AF2398&gt;69,"Cukup",IF(AF2398&gt;59,"Kurang","Sangat kurang")))))</f>
        <v/>
      </c>
      <c r="AJ2398" t="str">
        <f t="shared" si="113"/>
        <v>Wk.8</v>
      </c>
      <c r="AK2398" t="str">
        <f>IF(pub_gid_0_single_true_output_csv[[#This Row],[Nilai2]]="","",VLOOKUP(pub_gid_0_single_true_output_csv[[#This Row],[NAMA]],Table7[],3,FALSE))</f>
        <v>High average</v>
      </c>
    </row>
    <row r="2399" spans="1:37" x14ac:dyDescent="0.2">
      <c r="A2399">
        <v>2398</v>
      </c>
      <c r="B2399" t="s">
        <v>315</v>
      </c>
      <c r="C2399" t="s">
        <v>65</v>
      </c>
      <c r="D2399" t="s">
        <v>60</v>
      </c>
      <c r="E2399" t="s">
        <v>140</v>
      </c>
      <c r="F2399" s="25">
        <v>46071</v>
      </c>
      <c r="G2399" t="s">
        <v>323</v>
      </c>
      <c r="H2399" t="s">
        <v>412</v>
      </c>
      <c r="I2399" t="s">
        <v>371</v>
      </c>
      <c r="J2399" t="s">
        <v>31</v>
      </c>
      <c r="K2399" t="s">
        <v>96</v>
      </c>
      <c r="L2399" t="s">
        <v>363</v>
      </c>
      <c r="M2399" t="s">
        <v>141</v>
      </c>
      <c r="N2399" t="s">
        <v>142</v>
      </c>
      <c r="O2399" t="s">
        <v>327</v>
      </c>
      <c r="P2399" t="s">
        <v>281</v>
      </c>
      <c r="Q2399" t="s">
        <v>328</v>
      </c>
      <c r="R2399" t="s">
        <v>360</v>
      </c>
      <c r="S2399" t="s">
        <v>375</v>
      </c>
      <c r="T2399">
        <v>1</v>
      </c>
      <c r="U2399" t="s">
        <v>456</v>
      </c>
      <c r="V2399" t="s">
        <v>342</v>
      </c>
      <c r="W2399" t="s">
        <v>458</v>
      </c>
      <c r="X2399" t="s">
        <v>331</v>
      </c>
      <c r="Y2399" t="s">
        <v>307</v>
      </c>
      <c r="Z2399">
        <v>70</v>
      </c>
      <c r="AA2399">
        <v>70</v>
      </c>
      <c r="AB2399" t="s">
        <v>143</v>
      </c>
      <c r="AC2399" t="s">
        <v>53</v>
      </c>
      <c r="AD2399" t="s">
        <v>404</v>
      </c>
      <c r="AE2399" t="str">
        <f>IF(AF2399="","",VLOOKUP(AC2399,mapel!$A$2:$B$42,2,FALSE))</f>
        <v>Sejarah</v>
      </c>
      <c r="AF2399">
        <f t="shared" si="111"/>
        <v>70</v>
      </c>
      <c r="AG2399" t="str">
        <f>IF(AF2399="","",IF(AF2399&gt;90,"Sangat baik",IF(AF2399&gt;79,"Baik",IF(AF2399&gt;=pub_gid_0_single_true_output_csv[[#This Row],[KKM]],"Cukup","Kurang"))))</f>
        <v>Cukup</v>
      </c>
      <c r="AH2399">
        <f t="shared" si="112"/>
        <v>12</v>
      </c>
      <c r="AI2399" s="30" t="str">
        <f>IF(OR(J2399&lt;&gt;"Karakter",pub_gid_0_single_true_output_csv[[#This Row],[Nilai2]]=""),"",IF(AF2399&gt;89,"Sangat baik",IF(AF2399&gt;79,"Baik",IF(AF2399&gt;69,"Cukup",IF(AF2399&gt;59,"Kurang","Sangat kurang")))))</f>
        <v/>
      </c>
      <c r="AJ2399" t="str">
        <f t="shared" si="113"/>
        <v>Wk.8</v>
      </c>
      <c r="AK2399" t="str">
        <f>IF(pub_gid_0_single_true_output_csv[[#This Row],[Nilai2]]="","",VLOOKUP(pub_gid_0_single_true_output_csv[[#This Row],[NAMA]],Table7[],3,FALSE))</f>
        <v>High average</v>
      </c>
    </row>
    <row r="2400" spans="1:37" x14ac:dyDescent="0.2">
      <c r="A2400">
        <v>2399</v>
      </c>
      <c r="B2400" t="s">
        <v>316</v>
      </c>
      <c r="C2400" t="s">
        <v>65</v>
      </c>
      <c r="D2400" t="s">
        <v>61</v>
      </c>
      <c r="E2400" t="s">
        <v>140</v>
      </c>
      <c r="F2400" s="25">
        <v>46036</v>
      </c>
      <c r="G2400" t="s">
        <v>353</v>
      </c>
      <c r="H2400" t="s">
        <v>405</v>
      </c>
      <c r="I2400" t="s">
        <v>371</v>
      </c>
      <c r="J2400" t="s">
        <v>36</v>
      </c>
      <c r="K2400" t="s">
        <v>37</v>
      </c>
      <c r="L2400" t="s">
        <v>351</v>
      </c>
      <c r="M2400" t="s">
        <v>141</v>
      </c>
      <c r="N2400" t="s">
        <v>142</v>
      </c>
      <c r="O2400" t="s">
        <v>327</v>
      </c>
      <c r="P2400" t="s">
        <v>281</v>
      </c>
      <c r="Q2400" t="s">
        <v>328</v>
      </c>
      <c r="R2400" t="s">
        <v>360</v>
      </c>
      <c r="S2400" t="s">
        <v>330</v>
      </c>
      <c r="T2400">
        <v>1</v>
      </c>
      <c r="U2400" t="s">
        <v>456</v>
      </c>
      <c r="V2400" t="s">
        <v>285</v>
      </c>
      <c r="W2400" t="s">
        <v>457</v>
      </c>
      <c r="X2400" t="s">
        <v>331</v>
      </c>
      <c r="Y2400" t="s">
        <v>307</v>
      </c>
      <c r="Z2400">
        <v>70</v>
      </c>
      <c r="AA2400">
        <v>65</v>
      </c>
      <c r="AB2400" t="s">
        <v>151</v>
      </c>
      <c r="AC2400" t="s">
        <v>53</v>
      </c>
      <c r="AD2400" t="s">
        <v>404</v>
      </c>
      <c r="AE2400" t="str">
        <f>IF(AF2400="","",VLOOKUP(AC2400,mapel!$A$2:$B$42,2,FALSE))</f>
        <v>Sejarah</v>
      </c>
      <c r="AF2400">
        <f t="shared" si="111"/>
        <v>65</v>
      </c>
      <c r="AG2400" t="str">
        <f>IF(AF2400="","",IF(AF2400&gt;90,"Sangat baik",IF(AF2400&gt;79,"Baik",IF(AF2400&gt;=pub_gid_0_single_true_output_csv[[#This Row],[KKM]],"Cukup","Kurang"))))</f>
        <v>Kurang</v>
      </c>
      <c r="AH2400">
        <f t="shared" si="112"/>
        <v>12</v>
      </c>
      <c r="AI2400" s="30" t="str">
        <f>IF(OR(J2400&lt;&gt;"Karakter",pub_gid_0_single_true_output_csv[[#This Row],[Nilai2]]=""),"",IF(AF2400&gt;89,"Sangat baik",IF(AF2400&gt;79,"Baik",IF(AF2400&gt;69,"Cukup",IF(AF2400&gt;59,"Kurang","Sangat kurang")))))</f>
        <v/>
      </c>
      <c r="AJ2400" t="str">
        <f t="shared" si="113"/>
        <v>Wk.3</v>
      </c>
      <c r="AK2400" t="str">
        <f>IF(pub_gid_0_single_true_output_csv[[#This Row],[Nilai2]]="","",VLOOKUP(pub_gid_0_single_true_output_csv[[#This Row],[NAMA]],Table7[],3,FALSE))</f>
        <v>Average</v>
      </c>
    </row>
    <row r="2401" spans="1:37" x14ac:dyDescent="0.2">
      <c r="A2401">
        <v>2400</v>
      </c>
      <c r="B2401" t="s">
        <v>316</v>
      </c>
      <c r="C2401" t="s">
        <v>65</v>
      </c>
      <c r="D2401" t="s">
        <v>61</v>
      </c>
      <c r="E2401" t="s">
        <v>140</v>
      </c>
      <c r="F2401" s="25">
        <v>46036</v>
      </c>
      <c r="G2401" t="s">
        <v>353</v>
      </c>
      <c r="H2401" t="s">
        <v>405</v>
      </c>
      <c r="I2401" t="s">
        <v>371</v>
      </c>
      <c r="J2401" t="s">
        <v>31</v>
      </c>
      <c r="K2401" t="s">
        <v>96</v>
      </c>
      <c r="L2401" t="s">
        <v>351</v>
      </c>
      <c r="M2401" t="s">
        <v>141</v>
      </c>
      <c r="N2401" t="s">
        <v>142</v>
      </c>
      <c r="O2401" t="s">
        <v>327</v>
      </c>
      <c r="P2401" t="s">
        <v>281</v>
      </c>
      <c r="Q2401" t="s">
        <v>328</v>
      </c>
      <c r="R2401" t="s">
        <v>360</v>
      </c>
      <c r="S2401" t="s">
        <v>330</v>
      </c>
      <c r="T2401">
        <v>1</v>
      </c>
      <c r="U2401" t="s">
        <v>456</v>
      </c>
      <c r="V2401" t="s">
        <v>285</v>
      </c>
      <c r="W2401" t="s">
        <v>457</v>
      </c>
      <c r="X2401" t="s">
        <v>331</v>
      </c>
      <c r="Y2401" t="s">
        <v>307</v>
      </c>
      <c r="Z2401">
        <v>70</v>
      </c>
      <c r="AA2401">
        <v>65</v>
      </c>
      <c r="AB2401" t="s">
        <v>151</v>
      </c>
      <c r="AC2401" t="s">
        <v>53</v>
      </c>
      <c r="AD2401" t="s">
        <v>404</v>
      </c>
      <c r="AE2401" t="str">
        <f>IF(AF2401="","",VLOOKUP(AC2401,mapel!$A$2:$B$42,2,FALSE))</f>
        <v>Sejarah</v>
      </c>
      <c r="AF2401">
        <f t="shared" si="111"/>
        <v>65</v>
      </c>
      <c r="AG2401" t="str">
        <f>IF(AF2401="","",IF(AF2401&gt;90,"Sangat baik",IF(AF2401&gt;79,"Baik",IF(AF2401&gt;=pub_gid_0_single_true_output_csv[[#This Row],[KKM]],"Cukup","Kurang"))))</f>
        <v>Kurang</v>
      </c>
      <c r="AH2401">
        <f t="shared" si="112"/>
        <v>12</v>
      </c>
      <c r="AI2401" s="30" t="str">
        <f>IF(OR(J2401&lt;&gt;"Karakter",pub_gid_0_single_true_output_csv[[#This Row],[Nilai2]]=""),"",IF(AF2401&gt;89,"Sangat baik",IF(AF2401&gt;79,"Baik",IF(AF2401&gt;69,"Cukup",IF(AF2401&gt;59,"Kurang","Sangat kurang")))))</f>
        <v/>
      </c>
      <c r="AJ2401" t="str">
        <f t="shared" si="113"/>
        <v>Wk.3</v>
      </c>
      <c r="AK2401" t="str">
        <f>IF(pub_gid_0_single_true_output_csv[[#This Row],[Nilai2]]="","",VLOOKUP(pub_gid_0_single_true_output_csv[[#This Row],[NAMA]],Table7[],3,FALSE))</f>
        <v>Average</v>
      </c>
    </row>
    <row r="2402" spans="1:37" x14ac:dyDescent="0.2">
      <c r="A2402">
        <v>2401</v>
      </c>
      <c r="B2402" t="s">
        <v>316</v>
      </c>
      <c r="C2402" t="s">
        <v>65</v>
      </c>
      <c r="D2402" t="s">
        <v>61</v>
      </c>
      <c r="E2402" t="s">
        <v>140</v>
      </c>
      <c r="F2402" s="25">
        <v>46036</v>
      </c>
      <c r="G2402" t="s">
        <v>353</v>
      </c>
      <c r="H2402" t="s">
        <v>405</v>
      </c>
      <c r="I2402" t="s">
        <v>371</v>
      </c>
      <c r="J2402" t="s">
        <v>90</v>
      </c>
      <c r="K2402" t="s">
        <v>92</v>
      </c>
      <c r="L2402" t="s">
        <v>91</v>
      </c>
      <c r="M2402" t="s">
        <v>141</v>
      </c>
      <c r="N2402" t="s">
        <v>142</v>
      </c>
      <c r="O2402" t="s">
        <v>327</v>
      </c>
      <c r="P2402" t="s">
        <v>281</v>
      </c>
      <c r="Q2402" t="s">
        <v>328</v>
      </c>
      <c r="R2402" t="s">
        <v>360</v>
      </c>
      <c r="S2402" t="s">
        <v>330</v>
      </c>
      <c r="T2402">
        <v>1</v>
      </c>
      <c r="U2402" t="s">
        <v>456</v>
      </c>
      <c r="V2402" t="s">
        <v>285</v>
      </c>
      <c r="W2402" t="s">
        <v>457</v>
      </c>
      <c r="X2402" t="s">
        <v>331</v>
      </c>
      <c r="Y2402" t="s">
        <v>307</v>
      </c>
      <c r="Z2402">
        <v>70</v>
      </c>
      <c r="AA2402">
        <v>70</v>
      </c>
      <c r="AB2402" t="s">
        <v>143</v>
      </c>
      <c r="AC2402" t="s">
        <v>53</v>
      </c>
      <c r="AD2402" t="s">
        <v>404</v>
      </c>
      <c r="AE2402" t="str">
        <f>IF(AF2402="","",VLOOKUP(AC2402,mapel!$A$2:$B$42,2,FALSE))</f>
        <v>Sejarah</v>
      </c>
      <c r="AF2402">
        <f t="shared" si="111"/>
        <v>70</v>
      </c>
      <c r="AG2402" t="str">
        <f>IF(AF2402="","",IF(AF2402&gt;90,"Sangat baik",IF(AF2402&gt;79,"Baik",IF(AF2402&gt;=pub_gid_0_single_true_output_csv[[#This Row],[KKM]],"Cukup","Kurang"))))</f>
        <v>Cukup</v>
      </c>
      <c r="AH2402">
        <f t="shared" si="112"/>
        <v>12</v>
      </c>
      <c r="AI2402" s="30" t="str">
        <f>IF(OR(J2402&lt;&gt;"Karakter",pub_gid_0_single_true_output_csv[[#This Row],[Nilai2]]=""),"",IF(AF2402&gt;89,"Sangat baik",IF(AF2402&gt;79,"Baik",IF(AF2402&gt;69,"Cukup",IF(AF2402&gt;59,"Kurang","Sangat kurang")))))</f>
        <v>Cukup</v>
      </c>
      <c r="AJ2402" t="str">
        <f t="shared" si="113"/>
        <v>Wk.3</v>
      </c>
      <c r="AK2402" t="str">
        <f>IF(pub_gid_0_single_true_output_csv[[#This Row],[Nilai2]]="","",VLOOKUP(pub_gid_0_single_true_output_csv[[#This Row],[NAMA]],Table7[],3,FALSE))</f>
        <v>Average</v>
      </c>
    </row>
    <row r="2403" spans="1:37" x14ac:dyDescent="0.2">
      <c r="A2403">
        <v>2402</v>
      </c>
      <c r="B2403" t="s">
        <v>316</v>
      </c>
      <c r="C2403" t="s">
        <v>65</v>
      </c>
      <c r="D2403" t="s">
        <v>61</v>
      </c>
      <c r="E2403" t="s">
        <v>140</v>
      </c>
      <c r="F2403" s="25">
        <v>46036</v>
      </c>
      <c r="G2403" t="s">
        <v>353</v>
      </c>
      <c r="H2403" t="s">
        <v>405</v>
      </c>
      <c r="I2403" t="s">
        <v>371</v>
      </c>
      <c r="J2403" t="s">
        <v>279</v>
      </c>
      <c r="K2403" t="s">
        <v>280</v>
      </c>
      <c r="L2403" t="s">
        <v>322</v>
      </c>
      <c r="M2403" t="s">
        <v>141</v>
      </c>
      <c r="N2403" t="s">
        <v>142</v>
      </c>
      <c r="O2403" t="s">
        <v>327</v>
      </c>
      <c r="P2403" t="s">
        <v>281</v>
      </c>
      <c r="Q2403" t="s">
        <v>328</v>
      </c>
      <c r="R2403" t="s">
        <v>360</v>
      </c>
      <c r="S2403" t="s">
        <v>330</v>
      </c>
      <c r="T2403">
        <v>1</v>
      </c>
      <c r="U2403" t="s">
        <v>456</v>
      </c>
      <c r="V2403" t="s">
        <v>285</v>
      </c>
      <c r="W2403" t="s">
        <v>457</v>
      </c>
      <c r="X2403" t="s">
        <v>331</v>
      </c>
      <c r="Y2403" t="s">
        <v>307</v>
      </c>
      <c r="Z2403">
        <v>70</v>
      </c>
      <c r="AA2403">
        <v>70</v>
      </c>
      <c r="AB2403" t="s">
        <v>143</v>
      </c>
      <c r="AC2403" t="s">
        <v>53</v>
      </c>
      <c r="AD2403" t="s">
        <v>404</v>
      </c>
      <c r="AE2403" t="str">
        <f>IF(AF2403="","",VLOOKUP(AC2403,mapel!$A$2:$B$42,2,FALSE))</f>
        <v>Sejarah</v>
      </c>
      <c r="AF2403">
        <f t="shared" si="111"/>
        <v>70</v>
      </c>
      <c r="AG2403" t="str">
        <f>IF(AF2403="","",IF(AF2403&gt;90,"Sangat baik",IF(AF2403&gt;79,"Baik",IF(AF2403&gt;=pub_gid_0_single_true_output_csv[[#This Row],[KKM]],"Cukup","Kurang"))))</f>
        <v>Cukup</v>
      </c>
      <c r="AH2403">
        <f t="shared" si="112"/>
        <v>12</v>
      </c>
      <c r="AI2403" s="30" t="str">
        <f>IF(OR(J2403&lt;&gt;"Karakter",pub_gid_0_single_true_output_csv[[#This Row],[Nilai2]]=""),"",IF(AF2403&gt;89,"Sangat baik",IF(AF2403&gt;79,"Baik",IF(AF2403&gt;69,"Cukup",IF(AF2403&gt;59,"Kurang","Sangat kurang")))))</f>
        <v/>
      </c>
      <c r="AJ2403" t="str">
        <f t="shared" si="113"/>
        <v>Wk.3</v>
      </c>
      <c r="AK2403" t="str">
        <f>IF(pub_gid_0_single_true_output_csv[[#This Row],[Nilai2]]="","",VLOOKUP(pub_gid_0_single_true_output_csv[[#This Row],[NAMA]],Table7[],3,FALSE))</f>
        <v>Average</v>
      </c>
    </row>
    <row r="2404" spans="1:37" x14ac:dyDescent="0.2">
      <c r="A2404">
        <v>2403</v>
      </c>
      <c r="B2404" t="s">
        <v>316</v>
      </c>
      <c r="C2404" t="s">
        <v>65</v>
      </c>
      <c r="D2404" t="s">
        <v>61</v>
      </c>
      <c r="E2404" t="s">
        <v>140</v>
      </c>
      <c r="F2404" s="25">
        <v>46043</v>
      </c>
      <c r="G2404" t="s">
        <v>341</v>
      </c>
      <c r="H2404" t="s">
        <v>405</v>
      </c>
      <c r="I2404" t="s">
        <v>371</v>
      </c>
      <c r="J2404" t="s">
        <v>36</v>
      </c>
      <c r="K2404" t="s">
        <v>37</v>
      </c>
      <c r="L2404" t="s">
        <v>351</v>
      </c>
      <c r="M2404" t="s">
        <v>141</v>
      </c>
      <c r="N2404" t="s">
        <v>142</v>
      </c>
      <c r="O2404" t="s">
        <v>327</v>
      </c>
      <c r="P2404" t="s">
        <v>281</v>
      </c>
      <c r="Q2404" t="s">
        <v>328</v>
      </c>
      <c r="R2404" t="s">
        <v>360</v>
      </c>
      <c r="S2404" t="s">
        <v>330</v>
      </c>
      <c r="T2404">
        <v>1</v>
      </c>
      <c r="U2404" t="s">
        <v>456</v>
      </c>
      <c r="V2404" t="s">
        <v>285</v>
      </c>
      <c r="W2404" t="s">
        <v>457</v>
      </c>
      <c r="X2404" t="s">
        <v>331</v>
      </c>
      <c r="Y2404" t="s">
        <v>307</v>
      </c>
      <c r="Z2404">
        <v>70</v>
      </c>
      <c r="AA2404">
        <v>70</v>
      </c>
      <c r="AB2404" t="s">
        <v>143</v>
      </c>
      <c r="AC2404" t="s">
        <v>53</v>
      </c>
      <c r="AD2404" t="s">
        <v>404</v>
      </c>
      <c r="AE2404" t="str">
        <f>IF(AF2404="","",VLOOKUP(AC2404,mapel!$A$2:$B$42,2,FALSE))</f>
        <v>Sejarah</v>
      </c>
      <c r="AF2404">
        <f t="shared" si="111"/>
        <v>70</v>
      </c>
      <c r="AG2404" t="str">
        <f>IF(AF2404="","",IF(AF2404&gt;90,"Sangat baik",IF(AF2404&gt;79,"Baik",IF(AF2404&gt;=pub_gid_0_single_true_output_csv[[#This Row],[KKM]],"Cukup","Kurang"))))</f>
        <v>Cukup</v>
      </c>
      <c r="AH2404">
        <f t="shared" si="112"/>
        <v>12</v>
      </c>
      <c r="AI2404" s="30" t="str">
        <f>IF(OR(J2404&lt;&gt;"Karakter",pub_gid_0_single_true_output_csv[[#This Row],[Nilai2]]=""),"",IF(AF2404&gt;89,"Sangat baik",IF(AF2404&gt;79,"Baik",IF(AF2404&gt;69,"Cukup",IF(AF2404&gt;59,"Kurang","Sangat kurang")))))</f>
        <v/>
      </c>
      <c r="AJ2404" t="str">
        <f t="shared" si="113"/>
        <v>Wk.4</v>
      </c>
      <c r="AK2404" t="str">
        <f>IF(pub_gid_0_single_true_output_csv[[#This Row],[Nilai2]]="","",VLOOKUP(pub_gid_0_single_true_output_csv[[#This Row],[NAMA]],Table7[],3,FALSE))</f>
        <v>Average</v>
      </c>
    </row>
    <row r="2405" spans="1:37" x14ac:dyDescent="0.2">
      <c r="A2405">
        <v>2404</v>
      </c>
      <c r="B2405" t="s">
        <v>316</v>
      </c>
      <c r="C2405" t="s">
        <v>65</v>
      </c>
      <c r="D2405" t="s">
        <v>61</v>
      </c>
      <c r="E2405" t="s">
        <v>140</v>
      </c>
      <c r="F2405" s="25">
        <v>46043</v>
      </c>
      <c r="G2405" t="s">
        <v>341</v>
      </c>
      <c r="H2405" t="s">
        <v>405</v>
      </c>
      <c r="I2405" t="s">
        <v>371</v>
      </c>
      <c r="J2405" t="s">
        <v>31</v>
      </c>
      <c r="K2405" t="s">
        <v>96</v>
      </c>
      <c r="L2405" t="s">
        <v>367</v>
      </c>
      <c r="M2405" t="s">
        <v>141</v>
      </c>
      <c r="N2405" t="s">
        <v>142</v>
      </c>
      <c r="O2405" t="s">
        <v>327</v>
      </c>
      <c r="P2405" t="s">
        <v>281</v>
      </c>
      <c r="Q2405" t="s">
        <v>328</v>
      </c>
      <c r="R2405" t="s">
        <v>360</v>
      </c>
      <c r="S2405" t="s">
        <v>330</v>
      </c>
      <c r="T2405">
        <v>1</v>
      </c>
      <c r="U2405" t="s">
        <v>456</v>
      </c>
      <c r="V2405" t="s">
        <v>285</v>
      </c>
      <c r="W2405" t="s">
        <v>457</v>
      </c>
      <c r="X2405" t="s">
        <v>331</v>
      </c>
      <c r="Y2405" t="s">
        <v>307</v>
      </c>
      <c r="Z2405">
        <v>70</v>
      </c>
      <c r="AA2405">
        <v>68</v>
      </c>
      <c r="AB2405" t="s">
        <v>151</v>
      </c>
      <c r="AC2405" t="s">
        <v>53</v>
      </c>
      <c r="AD2405" t="s">
        <v>404</v>
      </c>
      <c r="AE2405" t="str">
        <f>IF(AF2405="","",VLOOKUP(AC2405,mapel!$A$2:$B$42,2,FALSE))</f>
        <v>Sejarah</v>
      </c>
      <c r="AF2405">
        <f t="shared" si="111"/>
        <v>68</v>
      </c>
      <c r="AG2405" t="str">
        <f>IF(AF2405="","",IF(AF2405&gt;90,"Sangat baik",IF(AF2405&gt;79,"Baik",IF(AF2405&gt;=pub_gid_0_single_true_output_csv[[#This Row],[KKM]],"Cukup","Kurang"))))</f>
        <v>Kurang</v>
      </c>
      <c r="AH2405">
        <f t="shared" si="112"/>
        <v>12</v>
      </c>
      <c r="AI2405" s="30" t="str">
        <f>IF(OR(J2405&lt;&gt;"Karakter",pub_gid_0_single_true_output_csv[[#This Row],[Nilai2]]=""),"",IF(AF2405&gt;89,"Sangat baik",IF(AF2405&gt;79,"Baik",IF(AF2405&gt;69,"Cukup",IF(AF2405&gt;59,"Kurang","Sangat kurang")))))</f>
        <v/>
      </c>
      <c r="AJ2405" t="str">
        <f t="shared" si="113"/>
        <v>Wk.4</v>
      </c>
      <c r="AK2405" t="str">
        <f>IF(pub_gid_0_single_true_output_csv[[#This Row],[Nilai2]]="","",VLOOKUP(pub_gid_0_single_true_output_csv[[#This Row],[NAMA]],Table7[],3,FALSE))</f>
        <v>Average</v>
      </c>
    </row>
    <row r="2406" spans="1:37" x14ac:dyDescent="0.2">
      <c r="A2406">
        <v>2405</v>
      </c>
      <c r="B2406" t="s">
        <v>316</v>
      </c>
      <c r="C2406" t="s">
        <v>65</v>
      </c>
      <c r="D2406" t="s">
        <v>61</v>
      </c>
      <c r="E2406" t="s">
        <v>140</v>
      </c>
      <c r="F2406" s="25">
        <v>46043</v>
      </c>
      <c r="G2406" t="s">
        <v>341</v>
      </c>
      <c r="H2406" t="s">
        <v>405</v>
      </c>
      <c r="I2406" t="s">
        <v>371</v>
      </c>
      <c r="J2406" t="s">
        <v>90</v>
      </c>
      <c r="K2406" t="s">
        <v>92</v>
      </c>
      <c r="L2406" t="s">
        <v>93</v>
      </c>
      <c r="M2406" t="s">
        <v>141</v>
      </c>
      <c r="N2406" t="s">
        <v>142</v>
      </c>
      <c r="O2406" t="s">
        <v>327</v>
      </c>
      <c r="P2406" t="s">
        <v>281</v>
      </c>
      <c r="Q2406" t="s">
        <v>328</v>
      </c>
      <c r="R2406" t="s">
        <v>360</v>
      </c>
      <c r="S2406" t="s">
        <v>330</v>
      </c>
      <c r="T2406">
        <v>1</v>
      </c>
      <c r="U2406" t="s">
        <v>456</v>
      </c>
      <c r="V2406" t="s">
        <v>285</v>
      </c>
      <c r="W2406" t="s">
        <v>457</v>
      </c>
      <c r="X2406" t="s">
        <v>331</v>
      </c>
      <c r="Y2406" t="s">
        <v>307</v>
      </c>
      <c r="Z2406">
        <v>70</v>
      </c>
      <c r="AA2406">
        <v>80</v>
      </c>
      <c r="AB2406" t="s">
        <v>143</v>
      </c>
      <c r="AC2406" t="s">
        <v>53</v>
      </c>
      <c r="AD2406" t="s">
        <v>404</v>
      </c>
      <c r="AE2406" t="str">
        <f>IF(AF2406="","",VLOOKUP(AC2406,mapel!$A$2:$B$42,2,FALSE))</f>
        <v>Sejarah</v>
      </c>
      <c r="AF2406">
        <f t="shared" si="111"/>
        <v>80</v>
      </c>
      <c r="AG2406" t="str">
        <f>IF(AF2406="","",IF(AF2406&gt;90,"Sangat baik",IF(AF2406&gt;79,"Baik",IF(AF2406&gt;=pub_gid_0_single_true_output_csv[[#This Row],[KKM]],"Cukup","Kurang"))))</f>
        <v>Baik</v>
      </c>
      <c r="AH2406">
        <f t="shared" si="112"/>
        <v>12</v>
      </c>
      <c r="AI2406" s="30" t="str">
        <f>IF(OR(J2406&lt;&gt;"Karakter",pub_gid_0_single_true_output_csv[[#This Row],[Nilai2]]=""),"",IF(AF2406&gt;89,"Sangat baik",IF(AF2406&gt;79,"Baik",IF(AF2406&gt;69,"Cukup",IF(AF2406&gt;59,"Kurang","Sangat kurang")))))</f>
        <v>Baik</v>
      </c>
      <c r="AJ2406" t="str">
        <f t="shared" si="113"/>
        <v>Wk.4</v>
      </c>
      <c r="AK2406" t="str">
        <f>IF(pub_gid_0_single_true_output_csv[[#This Row],[Nilai2]]="","",VLOOKUP(pub_gid_0_single_true_output_csv[[#This Row],[NAMA]],Table7[],3,FALSE))</f>
        <v>Average</v>
      </c>
    </row>
    <row r="2407" spans="1:37" x14ac:dyDescent="0.2">
      <c r="A2407">
        <v>2406</v>
      </c>
      <c r="B2407" t="s">
        <v>316</v>
      </c>
      <c r="C2407" t="s">
        <v>65</v>
      </c>
      <c r="D2407" t="s">
        <v>61</v>
      </c>
      <c r="E2407" t="s">
        <v>140</v>
      </c>
      <c r="F2407" s="25">
        <v>46043</v>
      </c>
      <c r="G2407" t="s">
        <v>341</v>
      </c>
      <c r="H2407" t="s">
        <v>405</v>
      </c>
      <c r="I2407" t="s">
        <v>371</v>
      </c>
      <c r="J2407" t="s">
        <v>279</v>
      </c>
      <c r="K2407" t="s">
        <v>280</v>
      </c>
      <c r="L2407" t="s">
        <v>322</v>
      </c>
      <c r="M2407" t="s">
        <v>141</v>
      </c>
      <c r="N2407" t="s">
        <v>142</v>
      </c>
      <c r="O2407" t="s">
        <v>327</v>
      </c>
      <c r="P2407" t="s">
        <v>281</v>
      </c>
      <c r="Q2407" t="s">
        <v>328</v>
      </c>
      <c r="R2407" t="s">
        <v>360</v>
      </c>
      <c r="S2407" t="s">
        <v>330</v>
      </c>
      <c r="T2407">
        <v>1</v>
      </c>
      <c r="U2407" t="s">
        <v>456</v>
      </c>
      <c r="V2407" t="s">
        <v>285</v>
      </c>
      <c r="W2407" t="s">
        <v>457</v>
      </c>
      <c r="X2407" t="s">
        <v>331</v>
      </c>
      <c r="Y2407" t="s">
        <v>307</v>
      </c>
      <c r="Z2407">
        <v>70</v>
      </c>
      <c r="AA2407">
        <v>70</v>
      </c>
      <c r="AB2407" t="s">
        <v>143</v>
      </c>
      <c r="AC2407" t="s">
        <v>53</v>
      </c>
      <c r="AD2407" t="s">
        <v>404</v>
      </c>
      <c r="AE2407" t="str">
        <f>IF(AF2407="","",VLOOKUP(AC2407,mapel!$A$2:$B$42,2,FALSE))</f>
        <v>Sejarah</v>
      </c>
      <c r="AF2407">
        <f t="shared" si="111"/>
        <v>70</v>
      </c>
      <c r="AG2407" t="str">
        <f>IF(AF2407="","",IF(AF2407&gt;90,"Sangat baik",IF(AF2407&gt;79,"Baik",IF(AF2407&gt;=pub_gid_0_single_true_output_csv[[#This Row],[KKM]],"Cukup","Kurang"))))</f>
        <v>Cukup</v>
      </c>
      <c r="AH2407">
        <f t="shared" si="112"/>
        <v>12</v>
      </c>
      <c r="AI2407" s="30" t="str">
        <f>IF(OR(J2407&lt;&gt;"Karakter",pub_gid_0_single_true_output_csv[[#This Row],[Nilai2]]=""),"",IF(AF2407&gt;89,"Sangat baik",IF(AF2407&gt;79,"Baik",IF(AF2407&gt;69,"Cukup",IF(AF2407&gt;59,"Kurang","Sangat kurang")))))</f>
        <v/>
      </c>
      <c r="AJ2407" t="str">
        <f t="shared" si="113"/>
        <v>Wk.4</v>
      </c>
      <c r="AK2407" t="str">
        <f>IF(pub_gid_0_single_true_output_csv[[#This Row],[Nilai2]]="","",VLOOKUP(pub_gid_0_single_true_output_csv[[#This Row],[NAMA]],Table7[],3,FALSE))</f>
        <v>Average</v>
      </c>
    </row>
    <row r="2408" spans="1:37" x14ac:dyDescent="0.2">
      <c r="A2408">
        <v>2407</v>
      </c>
      <c r="B2408" t="s">
        <v>316</v>
      </c>
      <c r="C2408" t="s">
        <v>65</v>
      </c>
      <c r="D2408" t="s">
        <v>61</v>
      </c>
      <c r="E2408" t="s">
        <v>140</v>
      </c>
      <c r="F2408" s="25">
        <v>46050</v>
      </c>
      <c r="G2408" t="s">
        <v>308</v>
      </c>
      <c r="H2408" t="s">
        <v>405</v>
      </c>
      <c r="I2408" t="s">
        <v>371</v>
      </c>
      <c r="J2408" t="s">
        <v>36</v>
      </c>
      <c r="K2408" t="s">
        <v>37</v>
      </c>
      <c r="L2408" t="s">
        <v>351</v>
      </c>
      <c r="M2408" t="s">
        <v>141</v>
      </c>
      <c r="N2408" t="s">
        <v>142</v>
      </c>
      <c r="O2408" t="s">
        <v>327</v>
      </c>
      <c r="P2408" t="s">
        <v>281</v>
      </c>
      <c r="Q2408" t="s">
        <v>328</v>
      </c>
      <c r="R2408" t="s">
        <v>360</v>
      </c>
      <c r="S2408" t="s">
        <v>375</v>
      </c>
      <c r="T2408">
        <v>1</v>
      </c>
      <c r="U2408" t="s">
        <v>456</v>
      </c>
      <c r="V2408" t="s">
        <v>342</v>
      </c>
      <c r="W2408" t="s">
        <v>458</v>
      </c>
      <c r="X2408" t="s">
        <v>331</v>
      </c>
      <c r="Y2408" t="s">
        <v>307</v>
      </c>
      <c r="Z2408">
        <v>70</v>
      </c>
      <c r="AA2408">
        <v>70</v>
      </c>
      <c r="AB2408" t="s">
        <v>143</v>
      </c>
      <c r="AC2408" t="s">
        <v>53</v>
      </c>
      <c r="AD2408" t="s">
        <v>404</v>
      </c>
      <c r="AE2408" t="str">
        <f>IF(AF2408="","",VLOOKUP(AC2408,mapel!$A$2:$B$42,2,FALSE))</f>
        <v>Sejarah</v>
      </c>
      <c r="AF2408">
        <f t="shared" si="111"/>
        <v>70</v>
      </c>
      <c r="AG2408" t="str">
        <f>IF(AF2408="","",IF(AF2408&gt;90,"Sangat baik",IF(AF2408&gt;79,"Baik",IF(AF2408&gt;=pub_gid_0_single_true_output_csv[[#This Row],[KKM]],"Cukup","Kurang"))))</f>
        <v>Cukup</v>
      </c>
      <c r="AH2408">
        <f t="shared" si="112"/>
        <v>12</v>
      </c>
      <c r="AI2408" s="30" t="str">
        <f>IF(OR(J2408&lt;&gt;"Karakter",pub_gid_0_single_true_output_csv[[#This Row],[Nilai2]]=""),"",IF(AF2408&gt;89,"Sangat baik",IF(AF2408&gt;79,"Baik",IF(AF2408&gt;69,"Cukup",IF(AF2408&gt;59,"Kurang","Sangat kurang")))))</f>
        <v/>
      </c>
      <c r="AJ2408" t="str">
        <f t="shared" si="113"/>
        <v>Wk.5</v>
      </c>
      <c r="AK2408" t="str">
        <f>IF(pub_gid_0_single_true_output_csv[[#This Row],[Nilai2]]="","",VLOOKUP(pub_gid_0_single_true_output_csv[[#This Row],[NAMA]],Table7[],3,FALSE))</f>
        <v>Average</v>
      </c>
    </row>
    <row r="2409" spans="1:37" x14ac:dyDescent="0.2">
      <c r="A2409">
        <v>2408</v>
      </c>
      <c r="B2409" t="s">
        <v>316</v>
      </c>
      <c r="C2409" t="s">
        <v>65</v>
      </c>
      <c r="D2409" t="s">
        <v>61</v>
      </c>
      <c r="E2409" t="s">
        <v>140</v>
      </c>
      <c r="F2409" s="25">
        <v>46050</v>
      </c>
      <c r="G2409" t="s">
        <v>308</v>
      </c>
      <c r="H2409" t="s">
        <v>405</v>
      </c>
      <c r="I2409" t="s">
        <v>371</v>
      </c>
      <c r="J2409" t="s">
        <v>31</v>
      </c>
      <c r="K2409" t="s">
        <v>96</v>
      </c>
      <c r="L2409" t="s">
        <v>351</v>
      </c>
      <c r="M2409" t="s">
        <v>141</v>
      </c>
      <c r="N2409" t="s">
        <v>142</v>
      </c>
      <c r="O2409" t="s">
        <v>327</v>
      </c>
      <c r="P2409" t="s">
        <v>281</v>
      </c>
      <c r="Q2409" t="s">
        <v>328</v>
      </c>
      <c r="R2409" t="s">
        <v>360</v>
      </c>
      <c r="S2409" t="s">
        <v>375</v>
      </c>
      <c r="T2409">
        <v>1</v>
      </c>
      <c r="U2409" t="s">
        <v>456</v>
      </c>
      <c r="V2409" t="s">
        <v>342</v>
      </c>
      <c r="W2409" t="s">
        <v>458</v>
      </c>
      <c r="X2409" t="s">
        <v>331</v>
      </c>
      <c r="Y2409" t="s">
        <v>307</v>
      </c>
      <c r="Z2409">
        <v>70</v>
      </c>
      <c r="AA2409">
        <v>70</v>
      </c>
      <c r="AB2409" t="s">
        <v>143</v>
      </c>
      <c r="AC2409" t="s">
        <v>53</v>
      </c>
      <c r="AD2409" t="s">
        <v>404</v>
      </c>
      <c r="AE2409" t="str">
        <f>IF(AF2409="","",VLOOKUP(AC2409,mapel!$A$2:$B$42,2,FALSE))</f>
        <v>Sejarah</v>
      </c>
      <c r="AF2409">
        <f t="shared" si="111"/>
        <v>70</v>
      </c>
      <c r="AG2409" t="str">
        <f>IF(AF2409="","",IF(AF2409&gt;90,"Sangat baik",IF(AF2409&gt;79,"Baik",IF(AF2409&gt;=pub_gid_0_single_true_output_csv[[#This Row],[KKM]],"Cukup","Kurang"))))</f>
        <v>Cukup</v>
      </c>
      <c r="AH2409">
        <f t="shared" si="112"/>
        <v>12</v>
      </c>
      <c r="AI2409" s="30" t="str">
        <f>IF(OR(J2409&lt;&gt;"Karakter",pub_gid_0_single_true_output_csv[[#This Row],[Nilai2]]=""),"",IF(AF2409&gt;89,"Sangat baik",IF(AF2409&gt;79,"Baik",IF(AF2409&gt;69,"Cukup",IF(AF2409&gt;59,"Kurang","Sangat kurang")))))</f>
        <v/>
      </c>
      <c r="AJ2409" t="str">
        <f t="shared" si="113"/>
        <v>Wk.5</v>
      </c>
      <c r="AK2409" t="str">
        <f>IF(pub_gid_0_single_true_output_csv[[#This Row],[Nilai2]]="","",VLOOKUP(pub_gid_0_single_true_output_csv[[#This Row],[NAMA]],Table7[],3,FALSE))</f>
        <v>Average</v>
      </c>
    </row>
    <row r="2410" spans="1:37" x14ac:dyDescent="0.2">
      <c r="A2410">
        <v>2409</v>
      </c>
      <c r="B2410" t="s">
        <v>316</v>
      </c>
      <c r="C2410" t="s">
        <v>65</v>
      </c>
      <c r="D2410" t="s">
        <v>61</v>
      </c>
      <c r="E2410" t="s">
        <v>140</v>
      </c>
      <c r="F2410" s="25">
        <v>46050</v>
      </c>
      <c r="G2410" t="s">
        <v>308</v>
      </c>
      <c r="H2410" t="s">
        <v>405</v>
      </c>
      <c r="I2410" t="s">
        <v>371</v>
      </c>
      <c r="J2410" t="s">
        <v>90</v>
      </c>
      <c r="K2410" t="s">
        <v>92</v>
      </c>
      <c r="L2410" t="s">
        <v>93</v>
      </c>
      <c r="M2410" t="s">
        <v>141</v>
      </c>
      <c r="N2410" t="s">
        <v>142</v>
      </c>
      <c r="O2410" t="s">
        <v>327</v>
      </c>
      <c r="P2410" t="s">
        <v>281</v>
      </c>
      <c r="Q2410" t="s">
        <v>328</v>
      </c>
      <c r="R2410" t="s">
        <v>360</v>
      </c>
      <c r="S2410" t="s">
        <v>375</v>
      </c>
      <c r="T2410">
        <v>1</v>
      </c>
      <c r="U2410" t="s">
        <v>456</v>
      </c>
      <c r="V2410" t="s">
        <v>342</v>
      </c>
      <c r="W2410" t="s">
        <v>458</v>
      </c>
      <c r="X2410" t="s">
        <v>331</v>
      </c>
      <c r="Y2410" t="s">
        <v>307</v>
      </c>
      <c r="Z2410">
        <v>70</v>
      </c>
      <c r="AA2410">
        <v>70</v>
      </c>
      <c r="AB2410" t="s">
        <v>143</v>
      </c>
      <c r="AC2410" t="s">
        <v>53</v>
      </c>
      <c r="AD2410" t="s">
        <v>404</v>
      </c>
      <c r="AE2410" t="str">
        <f>IF(AF2410="","",VLOOKUP(AC2410,mapel!$A$2:$B$42,2,FALSE))</f>
        <v>Sejarah</v>
      </c>
      <c r="AF2410">
        <f t="shared" si="111"/>
        <v>70</v>
      </c>
      <c r="AG2410" t="str">
        <f>IF(AF2410="","",IF(AF2410&gt;90,"Sangat baik",IF(AF2410&gt;79,"Baik",IF(AF2410&gt;=pub_gid_0_single_true_output_csv[[#This Row],[KKM]],"Cukup","Kurang"))))</f>
        <v>Cukup</v>
      </c>
      <c r="AH2410">
        <f t="shared" si="112"/>
        <v>12</v>
      </c>
      <c r="AI2410" s="30" t="str">
        <f>IF(OR(J2410&lt;&gt;"Karakter",pub_gid_0_single_true_output_csv[[#This Row],[Nilai2]]=""),"",IF(AF2410&gt;89,"Sangat baik",IF(AF2410&gt;79,"Baik",IF(AF2410&gt;69,"Cukup",IF(AF2410&gt;59,"Kurang","Sangat kurang")))))</f>
        <v>Cukup</v>
      </c>
      <c r="AJ2410" t="str">
        <f t="shared" si="113"/>
        <v>Wk.5</v>
      </c>
      <c r="AK2410" t="str">
        <f>IF(pub_gid_0_single_true_output_csv[[#This Row],[Nilai2]]="","",VLOOKUP(pub_gid_0_single_true_output_csv[[#This Row],[NAMA]],Table7[],3,FALSE))</f>
        <v>Average</v>
      </c>
    </row>
    <row r="2411" spans="1:37" x14ac:dyDescent="0.2">
      <c r="A2411">
        <v>2410</v>
      </c>
      <c r="B2411" t="s">
        <v>316</v>
      </c>
      <c r="C2411" t="s">
        <v>65</v>
      </c>
      <c r="D2411" t="s">
        <v>61</v>
      </c>
      <c r="E2411" t="s">
        <v>140</v>
      </c>
      <c r="F2411" s="25">
        <v>46050</v>
      </c>
      <c r="G2411" t="s">
        <v>308</v>
      </c>
      <c r="H2411" t="s">
        <v>405</v>
      </c>
      <c r="I2411" t="s">
        <v>371</v>
      </c>
      <c r="J2411" t="s">
        <v>279</v>
      </c>
      <c r="K2411" t="s">
        <v>280</v>
      </c>
      <c r="L2411" t="s">
        <v>322</v>
      </c>
      <c r="M2411" t="s">
        <v>141</v>
      </c>
      <c r="N2411" t="s">
        <v>142</v>
      </c>
      <c r="O2411" t="s">
        <v>327</v>
      </c>
      <c r="P2411" t="s">
        <v>281</v>
      </c>
      <c r="Q2411" t="s">
        <v>328</v>
      </c>
      <c r="R2411" t="s">
        <v>360</v>
      </c>
      <c r="S2411" t="s">
        <v>375</v>
      </c>
      <c r="T2411">
        <v>1</v>
      </c>
      <c r="U2411" t="s">
        <v>456</v>
      </c>
      <c r="V2411" t="s">
        <v>342</v>
      </c>
      <c r="W2411" t="s">
        <v>458</v>
      </c>
      <c r="X2411" t="s">
        <v>331</v>
      </c>
      <c r="Y2411" t="s">
        <v>307</v>
      </c>
      <c r="Z2411">
        <v>70</v>
      </c>
      <c r="AA2411">
        <v>69</v>
      </c>
      <c r="AB2411" t="s">
        <v>151</v>
      </c>
      <c r="AC2411" t="s">
        <v>53</v>
      </c>
      <c r="AD2411" t="s">
        <v>404</v>
      </c>
      <c r="AE2411" t="str">
        <f>IF(AF2411="","",VLOOKUP(AC2411,mapel!$A$2:$B$42,2,FALSE))</f>
        <v>Sejarah</v>
      </c>
      <c r="AF2411">
        <f t="shared" si="111"/>
        <v>69</v>
      </c>
      <c r="AG2411" t="str">
        <f>IF(AF2411="","",IF(AF2411&gt;90,"Sangat baik",IF(AF2411&gt;79,"Baik",IF(AF2411&gt;=pub_gid_0_single_true_output_csv[[#This Row],[KKM]],"Cukup","Kurang"))))</f>
        <v>Kurang</v>
      </c>
      <c r="AH2411">
        <f t="shared" si="112"/>
        <v>12</v>
      </c>
      <c r="AI2411" s="30" t="str">
        <f>IF(OR(J2411&lt;&gt;"Karakter",pub_gid_0_single_true_output_csv[[#This Row],[Nilai2]]=""),"",IF(AF2411&gt;89,"Sangat baik",IF(AF2411&gt;79,"Baik",IF(AF2411&gt;69,"Cukup",IF(AF2411&gt;59,"Kurang","Sangat kurang")))))</f>
        <v/>
      </c>
      <c r="AJ2411" t="str">
        <f t="shared" si="113"/>
        <v>Wk.5</v>
      </c>
      <c r="AK2411" t="str">
        <f>IF(pub_gid_0_single_true_output_csv[[#This Row],[Nilai2]]="","",VLOOKUP(pub_gid_0_single_true_output_csv[[#This Row],[NAMA]],Table7[],3,FALSE))</f>
        <v>Average</v>
      </c>
    </row>
    <row r="2412" spans="1:37" x14ac:dyDescent="0.2">
      <c r="A2412">
        <v>2411</v>
      </c>
      <c r="B2412" t="s">
        <v>316</v>
      </c>
      <c r="C2412" t="s">
        <v>65</v>
      </c>
      <c r="D2412" t="s">
        <v>61</v>
      </c>
      <c r="E2412" t="s">
        <v>140</v>
      </c>
      <c r="F2412" s="25">
        <v>46050</v>
      </c>
      <c r="G2412" t="s">
        <v>308</v>
      </c>
      <c r="H2412" t="s">
        <v>405</v>
      </c>
      <c r="I2412" t="s">
        <v>371</v>
      </c>
      <c r="J2412" t="s">
        <v>36</v>
      </c>
      <c r="K2412" t="s">
        <v>37</v>
      </c>
      <c r="L2412" t="s">
        <v>150</v>
      </c>
      <c r="M2412" t="s">
        <v>141</v>
      </c>
      <c r="N2412" t="s">
        <v>142</v>
      </c>
      <c r="O2412" t="s">
        <v>327</v>
      </c>
      <c r="P2412" t="s">
        <v>281</v>
      </c>
      <c r="Q2412" t="s">
        <v>328</v>
      </c>
      <c r="R2412" t="s">
        <v>360</v>
      </c>
      <c r="S2412" t="s">
        <v>375</v>
      </c>
      <c r="T2412">
        <v>1</v>
      </c>
      <c r="U2412" t="s">
        <v>456</v>
      </c>
      <c r="V2412" t="s">
        <v>342</v>
      </c>
      <c r="W2412" t="s">
        <v>458</v>
      </c>
      <c r="X2412" t="s">
        <v>331</v>
      </c>
      <c r="Y2412" t="s">
        <v>307</v>
      </c>
      <c r="Z2412">
        <v>70</v>
      </c>
      <c r="AA2412">
        <v>69</v>
      </c>
      <c r="AB2412" t="s">
        <v>151</v>
      </c>
      <c r="AC2412" t="s">
        <v>53</v>
      </c>
      <c r="AD2412" t="s">
        <v>404</v>
      </c>
      <c r="AE2412" t="str">
        <f>IF(AF2412="","",VLOOKUP(AC2412,mapel!$A$2:$B$42,2,FALSE))</f>
        <v>Sejarah</v>
      </c>
      <c r="AF2412">
        <f t="shared" si="111"/>
        <v>69</v>
      </c>
      <c r="AG2412" t="str">
        <f>IF(AF2412="","",IF(AF2412&gt;90,"Sangat baik",IF(AF2412&gt;79,"Baik",IF(AF2412&gt;=pub_gid_0_single_true_output_csv[[#This Row],[KKM]],"Cukup","Kurang"))))</f>
        <v>Kurang</v>
      </c>
      <c r="AH2412">
        <f t="shared" si="112"/>
        <v>12</v>
      </c>
      <c r="AI2412" s="30" t="str">
        <f>IF(OR(J2412&lt;&gt;"Karakter",pub_gid_0_single_true_output_csv[[#This Row],[Nilai2]]=""),"",IF(AF2412&gt;89,"Sangat baik",IF(AF2412&gt;79,"Baik",IF(AF2412&gt;69,"Cukup",IF(AF2412&gt;59,"Kurang","Sangat kurang")))))</f>
        <v/>
      </c>
      <c r="AJ2412" t="str">
        <f t="shared" si="113"/>
        <v>Wk.5</v>
      </c>
      <c r="AK2412" t="str">
        <f>IF(pub_gid_0_single_true_output_csv[[#This Row],[Nilai2]]="","",VLOOKUP(pub_gid_0_single_true_output_csv[[#This Row],[NAMA]],Table7[],3,FALSE))</f>
        <v>Average</v>
      </c>
    </row>
    <row r="2413" spans="1:37" x14ac:dyDescent="0.2">
      <c r="A2413">
        <v>2412</v>
      </c>
      <c r="B2413" t="s">
        <v>316</v>
      </c>
      <c r="C2413" t="s">
        <v>65</v>
      </c>
      <c r="D2413" t="s">
        <v>61</v>
      </c>
      <c r="E2413" t="s">
        <v>140</v>
      </c>
      <c r="F2413" s="25">
        <v>46050</v>
      </c>
      <c r="G2413" t="s">
        <v>308</v>
      </c>
      <c r="H2413" t="s">
        <v>405</v>
      </c>
      <c r="I2413" t="s">
        <v>371</v>
      </c>
      <c r="J2413" t="s">
        <v>31</v>
      </c>
      <c r="K2413" t="s">
        <v>32</v>
      </c>
      <c r="L2413" t="s">
        <v>367</v>
      </c>
      <c r="M2413" t="s">
        <v>141</v>
      </c>
      <c r="N2413" t="s">
        <v>142</v>
      </c>
      <c r="O2413" t="s">
        <v>327</v>
      </c>
      <c r="P2413" t="s">
        <v>281</v>
      </c>
      <c r="Q2413" t="s">
        <v>328</v>
      </c>
      <c r="R2413" t="s">
        <v>360</v>
      </c>
      <c r="S2413" t="s">
        <v>375</v>
      </c>
      <c r="T2413">
        <v>1</v>
      </c>
      <c r="U2413" t="s">
        <v>456</v>
      </c>
      <c r="V2413" t="s">
        <v>342</v>
      </c>
      <c r="W2413" t="s">
        <v>458</v>
      </c>
      <c r="X2413" t="s">
        <v>331</v>
      </c>
      <c r="Y2413" t="s">
        <v>307</v>
      </c>
      <c r="Z2413">
        <v>70</v>
      </c>
      <c r="AA2413">
        <v>70</v>
      </c>
      <c r="AB2413" t="s">
        <v>143</v>
      </c>
      <c r="AC2413" t="s">
        <v>53</v>
      </c>
      <c r="AD2413" t="s">
        <v>404</v>
      </c>
      <c r="AE2413" t="str">
        <f>IF(AF2413="","",VLOOKUP(AC2413,mapel!$A$2:$B$42,2,FALSE))</f>
        <v>Sejarah</v>
      </c>
      <c r="AF2413">
        <f t="shared" si="111"/>
        <v>70</v>
      </c>
      <c r="AG2413" t="str">
        <f>IF(AF2413="","",IF(AF2413&gt;90,"Sangat baik",IF(AF2413&gt;79,"Baik",IF(AF2413&gt;=pub_gid_0_single_true_output_csv[[#This Row],[KKM]],"Cukup","Kurang"))))</f>
        <v>Cukup</v>
      </c>
      <c r="AH2413">
        <f t="shared" si="112"/>
        <v>12</v>
      </c>
      <c r="AI2413" s="30" t="str">
        <f>IF(OR(J2413&lt;&gt;"Karakter",pub_gid_0_single_true_output_csv[[#This Row],[Nilai2]]=""),"",IF(AF2413&gt;89,"Sangat baik",IF(AF2413&gt;79,"Baik",IF(AF2413&gt;69,"Cukup",IF(AF2413&gt;59,"Kurang","Sangat kurang")))))</f>
        <v/>
      </c>
      <c r="AJ2413" t="str">
        <f t="shared" si="113"/>
        <v>Wk.5</v>
      </c>
      <c r="AK2413" t="str">
        <f>IF(pub_gid_0_single_true_output_csv[[#This Row],[Nilai2]]="","",VLOOKUP(pub_gid_0_single_true_output_csv[[#This Row],[NAMA]],Table7[],3,FALSE))</f>
        <v>Average</v>
      </c>
    </row>
    <row r="2414" spans="1:37" x14ac:dyDescent="0.2">
      <c r="A2414">
        <v>2413</v>
      </c>
      <c r="B2414" t="s">
        <v>316</v>
      </c>
      <c r="C2414" t="s">
        <v>65</v>
      </c>
      <c r="D2414" t="s">
        <v>61</v>
      </c>
      <c r="E2414" t="s">
        <v>140</v>
      </c>
      <c r="F2414" s="25">
        <v>46052</v>
      </c>
      <c r="G2414" t="s">
        <v>304</v>
      </c>
      <c r="H2414" t="s">
        <v>405</v>
      </c>
      <c r="I2414" t="s">
        <v>371</v>
      </c>
      <c r="J2414" t="s">
        <v>90</v>
      </c>
      <c r="K2414" t="s">
        <v>92</v>
      </c>
      <c r="L2414" t="s">
        <v>93</v>
      </c>
      <c r="M2414" t="s">
        <v>141</v>
      </c>
      <c r="N2414" t="s">
        <v>142</v>
      </c>
      <c r="O2414" t="s">
        <v>327</v>
      </c>
      <c r="P2414" t="s">
        <v>281</v>
      </c>
      <c r="Q2414" t="s">
        <v>328</v>
      </c>
      <c r="R2414" t="s">
        <v>360</v>
      </c>
      <c r="S2414" t="s">
        <v>375</v>
      </c>
      <c r="T2414">
        <v>1</v>
      </c>
      <c r="U2414" t="s">
        <v>456</v>
      </c>
      <c r="V2414" t="s">
        <v>342</v>
      </c>
      <c r="W2414" t="s">
        <v>458</v>
      </c>
      <c r="X2414" t="s">
        <v>331</v>
      </c>
      <c r="Y2414" t="s">
        <v>307</v>
      </c>
      <c r="Z2414">
        <v>70</v>
      </c>
      <c r="AA2414">
        <v>70</v>
      </c>
      <c r="AB2414" t="s">
        <v>143</v>
      </c>
      <c r="AC2414" t="s">
        <v>53</v>
      </c>
      <c r="AD2414" t="s">
        <v>404</v>
      </c>
      <c r="AE2414" t="str">
        <f>IF(AF2414="","",VLOOKUP(AC2414,mapel!$A$2:$B$42,2,FALSE))</f>
        <v>Sejarah</v>
      </c>
      <c r="AF2414">
        <f t="shared" si="111"/>
        <v>70</v>
      </c>
      <c r="AG2414" t="str">
        <f>IF(AF2414="","",IF(AF2414&gt;90,"Sangat baik",IF(AF2414&gt;79,"Baik",IF(AF2414&gt;=pub_gid_0_single_true_output_csv[[#This Row],[KKM]],"Cukup","Kurang"))))</f>
        <v>Cukup</v>
      </c>
      <c r="AH2414">
        <f t="shared" si="112"/>
        <v>12</v>
      </c>
      <c r="AI2414" s="30" t="str">
        <f>IF(OR(J2414&lt;&gt;"Karakter",pub_gid_0_single_true_output_csv[[#This Row],[Nilai2]]=""),"",IF(AF2414&gt;89,"Sangat baik",IF(AF2414&gt;79,"Baik",IF(AF2414&gt;69,"Cukup",IF(AF2414&gt;59,"Kurang","Sangat kurang")))))</f>
        <v>Cukup</v>
      </c>
      <c r="AJ2414" t="str">
        <f t="shared" si="113"/>
        <v>Wk.5</v>
      </c>
      <c r="AK2414" t="str">
        <f>IF(pub_gid_0_single_true_output_csv[[#This Row],[Nilai2]]="","",VLOOKUP(pub_gid_0_single_true_output_csv[[#This Row],[NAMA]],Table7[],3,FALSE))</f>
        <v>Average</v>
      </c>
    </row>
    <row r="2415" spans="1:37" x14ac:dyDescent="0.2">
      <c r="A2415">
        <v>2414</v>
      </c>
      <c r="B2415" t="s">
        <v>316</v>
      </c>
      <c r="C2415" t="s">
        <v>65</v>
      </c>
      <c r="D2415" t="s">
        <v>61</v>
      </c>
      <c r="E2415" t="s">
        <v>140</v>
      </c>
      <c r="F2415" s="25">
        <v>46057</v>
      </c>
      <c r="G2415" t="s">
        <v>348</v>
      </c>
      <c r="H2415" t="s">
        <v>412</v>
      </c>
      <c r="I2415" t="s">
        <v>371</v>
      </c>
      <c r="J2415" t="s">
        <v>279</v>
      </c>
      <c r="K2415" t="s">
        <v>280</v>
      </c>
      <c r="L2415" t="s">
        <v>322</v>
      </c>
      <c r="M2415" t="s">
        <v>141</v>
      </c>
      <c r="N2415" t="s">
        <v>142</v>
      </c>
      <c r="O2415" t="s">
        <v>327</v>
      </c>
      <c r="P2415" t="s">
        <v>281</v>
      </c>
      <c r="Q2415" t="s">
        <v>328</v>
      </c>
      <c r="R2415" t="s">
        <v>360</v>
      </c>
      <c r="S2415" t="s">
        <v>375</v>
      </c>
      <c r="T2415">
        <v>1</v>
      </c>
      <c r="U2415" t="s">
        <v>456</v>
      </c>
      <c r="V2415" t="s">
        <v>342</v>
      </c>
      <c r="W2415" t="s">
        <v>458</v>
      </c>
      <c r="X2415" t="s">
        <v>331</v>
      </c>
      <c r="Y2415" t="s">
        <v>307</v>
      </c>
      <c r="Z2415">
        <v>70</v>
      </c>
      <c r="AA2415">
        <v>70</v>
      </c>
      <c r="AB2415" t="s">
        <v>143</v>
      </c>
      <c r="AC2415" t="s">
        <v>53</v>
      </c>
      <c r="AD2415" t="s">
        <v>404</v>
      </c>
      <c r="AE2415" t="str">
        <f>IF(AF2415="","",VLOOKUP(AC2415,mapel!$A$2:$B$42,2,FALSE))</f>
        <v>Sejarah</v>
      </c>
      <c r="AF2415">
        <f t="shared" si="111"/>
        <v>70</v>
      </c>
      <c r="AG2415" t="str">
        <f>IF(AF2415="","",IF(AF2415&gt;90,"Sangat baik",IF(AF2415&gt;79,"Baik",IF(AF2415&gt;=pub_gid_0_single_true_output_csv[[#This Row],[KKM]],"Cukup","Kurang"))))</f>
        <v>Cukup</v>
      </c>
      <c r="AH2415">
        <f t="shared" si="112"/>
        <v>12</v>
      </c>
      <c r="AI2415" s="30" t="str">
        <f>IF(OR(J2415&lt;&gt;"Karakter",pub_gid_0_single_true_output_csv[[#This Row],[Nilai2]]=""),"",IF(AF2415&gt;89,"Sangat baik",IF(AF2415&gt;79,"Baik",IF(AF2415&gt;69,"Cukup",IF(AF2415&gt;59,"Kurang","Sangat kurang")))))</f>
        <v/>
      </c>
      <c r="AJ2415" t="str">
        <f t="shared" si="113"/>
        <v>Wk.6</v>
      </c>
      <c r="AK2415" t="str">
        <f>IF(pub_gid_0_single_true_output_csv[[#This Row],[Nilai2]]="","",VLOOKUP(pub_gid_0_single_true_output_csv[[#This Row],[NAMA]],Table7[],3,FALSE))</f>
        <v>Average</v>
      </c>
    </row>
    <row r="2416" spans="1:37" x14ac:dyDescent="0.2">
      <c r="A2416">
        <v>2415</v>
      </c>
      <c r="B2416" t="s">
        <v>316</v>
      </c>
      <c r="C2416" t="s">
        <v>65</v>
      </c>
      <c r="D2416" t="s">
        <v>61</v>
      </c>
      <c r="E2416" t="s">
        <v>140</v>
      </c>
      <c r="F2416" s="25">
        <v>46057</v>
      </c>
      <c r="G2416" t="s">
        <v>348</v>
      </c>
      <c r="H2416" t="s">
        <v>412</v>
      </c>
      <c r="I2416" t="s">
        <v>371</v>
      </c>
      <c r="J2416" t="s">
        <v>36</v>
      </c>
      <c r="K2416" t="s">
        <v>37</v>
      </c>
      <c r="L2416" t="s">
        <v>351</v>
      </c>
      <c r="M2416" t="s">
        <v>141</v>
      </c>
      <c r="N2416" t="s">
        <v>142</v>
      </c>
      <c r="O2416" t="s">
        <v>327</v>
      </c>
      <c r="P2416" t="s">
        <v>281</v>
      </c>
      <c r="Q2416" t="s">
        <v>328</v>
      </c>
      <c r="R2416" t="s">
        <v>360</v>
      </c>
      <c r="S2416" t="s">
        <v>392</v>
      </c>
      <c r="T2416">
        <v>1</v>
      </c>
      <c r="U2416" t="s">
        <v>456</v>
      </c>
      <c r="V2416" t="s">
        <v>343</v>
      </c>
      <c r="W2416" t="s">
        <v>459</v>
      </c>
      <c r="X2416" t="s">
        <v>331</v>
      </c>
      <c r="Y2416" t="s">
        <v>307</v>
      </c>
      <c r="Z2416">
        <v>70</v>
      </c>
      <c r="AA2416">
        <v>70</v>
      </c>
      <c r="AB2416" t="s">
        <v>143</v>
      </c>
      <c r="AC2416" t="s">
        <v>53</v>
      </c>
      <c r="AD2416" t="s">
        <v>404</v>
      </c>
      <c r="AE2416" t="str">
        <f>IF(AF2416="","",VLOOKUP(AC2416,mapel!$A$2:$B$42,2,FALSE))</f>
        <v>Sejarah</v>
      </c>
      <c r="AF2416">
        <f t="shared" si="111"/>
        <v>70</v>
      </c>
      <c r="AG2416" t="str">
        <f>IF(AF2416="","",IF(AF2416&gt;90,"Sangat baik",IF(AF2416&gt;79,"Baik",IF(AF2416&gt;=pub_gid_0_single_true_output_csv[[#This Row],[KKM]],"Cukup","Kurang"))))</f>
        <v>Cukup</v>
      </c>
      <c r="AH2416">
        <f t="shared" si="112"/>
        <v>12</v>
      </c>
      <c r="AI2416" s="30" t="str">
        <f>IF(OR(J2416&lt;&gt;"Karakter",pub_gid_0_single_true_output_csv[[#This Row],[Nilai2]]=""),"",IF(AF2416&gt;89,"Sangat baik",IF(AF2416&gt;79,"Baik",IF(AF2416&gt;69,"Cukup",IF(AF2416&gt;59,"Kurang","Sangat kurang")))))</f>
        <v/>
      </c>
      <c r="AJ2416" t="str">
        <f t="shared" si="113"/>
        <v>Wk.6</v>
      </c>
      <c r="AK2416" t="str">
        <f>IF(pub_gid_0_single_true_output_csv[[#This Row],[Nilai2]]="","",VLOOKUP(pub_gid_0_single_true_output_csv[[#This Row],[NAMA]],Table7[],3,FALSE))</f>
        <v>Average</v>
      </c>
    </row>
    <row r="2417" spans="1:37" x14ac:dyDescent="0.2">
      <c r="A2417">
        <v>2416</v>
      </c>
      <c r="B2417" t="s">
        <v>316</v>
      </c>
      <c r="C2417" t="s">
        <v>65</v>
      </c>
      <c r="D2417" t="s">
        <v>61</v>
      </c>
      <c r="E2417" t="s">
        <v>140</v>
      </c>
      <c r="F2417" s="25">
        <v>46057</v>
      </c>
      <c r="G2417" t="s">
        <v>348</v>
      </c>
      <c r="H2417" t="s">
        <v>412</v>
      </c>
      <c r="I2417" t="s">
        <v>371</v>
      </c>
      <c r="J2417" t="s">
        <v>31</v>
      </c>
      <c r="K2417" t="s">
        <v>96</v>
      </c>
      <c r="L2417" t="s">
        <v>351</v>
      </c>
      <c r="M2417" t="s">
        <v>141</v>
      </c>
      <c r="N2417" t="s">
        <v>142</v>
      </c>
      <c r="O2417" t="s">
        <v>327</v>
      </c>
      <c r="P2417" t="s">
        <v>281</v>
      </c>
      <c r="Q2417" t="s">
        <v>328</v>
      </c>
      <c r="R2417" t="s">
        <v>360</v>
      </c>
      <c r="S2417" t="s">
        <v>392</v>
      </c>
      <c r="T2417">
        <v>1</v>
      </c>
      <c r="U2417" t="s">
        <v>456</v>
      </c>
      <c r="V2417" t="s">
        <v>343</v>
      </c>
      <c r="W2417" t="s">
        <v>459</v>
      </c>
      <c r="X2417" t="s">
        <v>331</v>
      </c>
      <c r="Y2417" t="s">
        <v>307</v>
      </c>
      <c r="Z2417">
        <v>70</v>
      </c>
      <c r="AA2417">
        <v>70</v>
      </c>
      <c r="AB2417" t="s">
        <v>143</v>
      </c>
      <c r="AC2417" t="s">
        <v>53</v>
      </c>
      <c r="AD2417" t="s">
        <v>404</v>
      </c>
      <c r="AE2417" t="str">
        <f>IF(AF2417="","",VLOOKUP(AC2417,mapel!$A$2:$B$42,2,FALSE))</f>
        <v>Sejarah</v>
      </c>
      <c r="AF2417">
        <f t="shared" si="111"/>
        <v>70</v>
      </c>
      <c r="AG2417" t="str">
        <f>IF(AF2417="","",IF(AF2417&gt;90,"Sangat baik",IF(AF2417&gt;79,"Baik",IF(AF2417&gt;=pub_gid_0_single_true_output_csv[[#This Row],[KKM]],"Cukup","Kurang"))))</f>
        <v>Cukup</v>
      </c>
      <c r="AH2417">
        <f t="shared" si="112"/>
        <v>12</v>
      </c>
      <c r="AI2417" s="30" t="str">
        <f>IF(OR(J2417&lt;&gt;"Karakter",pub_gid_0_single_true_output_csv[[#This Row],[Nilai2]]=""),"",IF(AF2417&gt;89,"Sangat baik",IF(AF2417&gt;79,"Baik",IF(AF2417&gt;69,"Cukup",IF(AF2417&gt;59,"Kurang","Sangat kurang")))))</f>
        <v/>
      </c>
      <c r="AJ2417" t="str">
        <f t="shared" si="113"/>
        <v>Wk.6</v>
      </c>
      <c r="AK2417" t="str">
        <f>IF(pub_gid_0_single_true_output_csv[[#This Row],[Nilai2]]="","",VLOOKUP(pub_gid_0_single_true_output_csv[[#This Row],[NAMA]],Table7[],3,FALSE))</f>
        <v>Average</v>
      </c>
    </row>
    <row r="2418" spans="1:37" x14ac:dyDescent="0.2">
      <c r="A2418">
        <v>2417</v>
      </c>
      <c r="B2418" t="s">
        <v>316</v>
      </c>
      <c r="C2418" t="s">
        <v>65</v>
      </c>
      <c r="D2418" t="s">
        <v>61</v>
      </c>
      <c r="E2418" t="s">
        <v>140</v>
      </c>
      <c r="F2418" s="25">
        <v>46057</v>
      </c>
      <c r="G2418" t="s">
        <v>348</v>
      </c>
      <c r="H2418" t="s">
        <v>412</v>
      </c>
      <c r="I2418" t="s">
        <v>371</v>
      </c>
      <c r="J2418" t="s">
        <v>90</v>
      </c>
      <c r="K2418" t="s">
        <v>92</v>
      </c>
      <c r="L2418" t="s">
        <v>91</v>
      </c>
      <c r="M2418" t="s">
        <v>141</v>
      </c>
      <c r="N2418" t="s">
        <v>142</v>
      </c>
      <c r="O2418" t="s">
        <v>327</v>
      </c>
      <c r="P2418" t="s">
        <v>281</v>
      </c>
      <c r="Q2418" t="s">
        <v>328</v>
      </c>
      <c r="R2418" t="s">
        <v>360</v>
      </c>
      <c r="S2418" t="s">
        <v>392</v>
      </c>
      <c r="T2418">
        <v>1</v>
      </c>
      <c r="U2418" t="s">
        <v>456</v>
      </c>
      <c r="V2418" t="s">
        <v>343</v>
      </c>
      <c r="W2418" t="s">
        <v>459</v>
      </c>
      <c r="X2418" t="s">
        <v>331</v>
      </c>
      <c r="Y2418" t="s">
        <v>307</v>
      </c>
      <c r="Z2418">
        <v>70</v>
      </c>
      <c r="AA2418">
        <v>80</v>
      </c>
      <c r="AB2418" t="s">
        <v>143</v>
      </c>
      <c r="AC2418" t="s">
        <v>53</v>
      </c>
      <c r="AD2418" t="s">
        <v>404</v>
      </c>
      <c r="AE2418" t="str">
        <f>IF(AF2418="","",VLOOKUP(AC2418,mapel!$A$2:$B$42,2,FALSE))</f>
        <v>Sejarah</v>
      </c>
      <c r="AF2418">
        <f t="shared" si="111"/>
        <v>80</v>
      </c>
      <c r="AG2418" t="str">
        <f>IF(AF2418="","",IF(AF2418&gt;90,"Sangat baik",IF(AF2418&gt;79,"Baik",IF(AF2418&gt;=pub_gid_0_single_true_output_csv[[#This Row],[KKM]],"Cukup","Kurang"))))</f>
        <v>Baik</v>
      </c>
      <c r="AH2418">
        <f t="shared" si="112"/>
        <v>12</v>
      </c>
      <c r="AI2418" s="30" t="str">
        <f>IF(OR(J2418&lt;&gt;"Karakter",pub_gid_0_single_true_output_csv[[#This Row],[Nilai2]]=""),"",IF(AF2418&gt;89,"Sangat baik",IF(AF2418&gt;79,"Baik",IF(AF2418&gt;69,"Cukup",IF(AF2418&gt;59,"Kurang","Sangat kurang")))))</f>
        <v>Baik</v>
      </c>
      <c r="AJ2418" t="str">
        <f t="shared" si="113"/>
        <v>Wk.6</v>
      </c>
      <c r="AK2418" t="str">
        <f>IF(pub_gid_0_single_true_output_csv[[#This Row],[Nilai2]]="","",VLOOKUP(pub_gid_0_single_true_output_csv[[#This Row],[NAMA]],Table7[],3,FALSE))</f>
        <v>Average</v>
      </c>
    </row>
    <row r="2419" spans="1:37" x14ac:dyDescent="0.2">
      <c r="A2419">
        <v>2418</v>
      </c>
      <c r="B2419" t="s">
        <v>316</v>
      </c>
      <c r="C2419" t="s">
        <v>65</v>
      </c>
      <c r="D2419" t="s">
        <v>61</v>
      </c>
      <c r="E2419" t="s">
        <v>140</v>
      </c>
      <c r="F2419" s="25">
        <v>46064</v>
      </c>
      <c r="G2419" t="s">
        <v>352</v>
      </c>
      <c r="H2419" t="s">
        <v>412</v>
      </c>
      <c r="I2419" t="s">
        <v>371</v>
      </c>
      <c r="J2419" t="s">
        <v>279</v>
      </c>
      <c r="K2419" t="s">
        <v>280</v>
      </c>
      <c r="L2419" t="s">
        <v>322</v>
      </c>
      <c r="M2419" t="s">
        <v>141</v>
      </c>
      <c r="N2419" t="s">
        <v>142</v>
      </c>
      <c r="O2419" t="s">
        <v>327</v>
      </c>
      <c r="P2419" t="s">
        <v>281</v>
      </c>
      <c r="Q2419" t="s">
        <v>328</v>
      </c>
      <c r="R2419" t="s">
        <v>360</v>
      </c>
      <c r="S2419" t="s">
        <v>392</v>
      </c>
      <c r="T2419">
        <v>1</v>
      </c>
      <c r="U2419" t="s">
        <v>456</v>
      </c>
      <c r="V2419" t="s">
        <v>343</v>
      </c>
      <c r="W2419" t="s">
        <v>459</v>
      </c>
      <c r="X2419" t="s">
        <v>331</v>
      </c>
      <c r="Y2419" t="s">
        <v>307</v>
      </c>
      <c r="Z2419">
        <v>70</v>
      </c>
      <c r="AA2419">
        <v>70</v>
      </c>
      <c r="AB2419" t="s">
        <v>143</v>
      </c>
      <c r="AC2419" t="s">
        <v>53</v>
      </c>
      <c r="AD2419" t="s">
        <v>404</v>
      </c>
      <c r="AE2419" t="str">
        <f>IF(AF2419="","",VLOOKUP(AC2419,mapel!$A$2:$B$42,2,FALSE))</f>
        <v>Sejarah</v>
      </c>
      <c r="AF2419">
        <f t="shared" si="111"/>
        <v>70</v>
      </c>
      <c r="AG2419" t="str">
        <f>IF(AF2419="","",IF(AF2419&gt;90,"Sangat baik",IF(AF2419&gt;79,"Baik",IF(AF2419&gt;=pub_gid_0_single_true_output_csv[[#This Row],[KKM]],"Cukup","Kurang"))))</f>
        <v>Cukup</v>
      </c>
      <c r="AH2419">
        <f t="shared" si="112"/>
        <v>12</v>
      </c>
      <c r="AI2419" s="30" t="str">
        <f>IF(OR(J2419&lt;&gt;"Karakter",pub_gid_0_single_true_output_csv[[#This Row],[Nilai2]]=""),"",IF(AF2419&gt;89,"Sangat baik",IF(AF2419&gt;79,"Baik",IF(AF2419&gt;69,"Cukup",IF(AF2419&gt;59,"Kurang","Sangat kurang")))))</f>
        <v/>
      </c>
      <c r="AJ2419" t="str">
        <f t="shared" si="113"/>
        <v>Wk.7</v>
      </c>
      <c r="AK2419" t="str">
        <f>IF(pub_gid_0_single_true_output_csv[[#This Row],[Nilai2]]="","",VLOOKUP(pub_gid_0_single_true_output_csv[[#This Row],[NAMA]],Table7[],3,FALSE))</f>
        <v>Average</v>
      </c>
    </row>
    <row r="2420" spans="1:37" x14ac:dyDescent="0.2">
      <c r="A2420">
        <v>2419</v>
      </c>
      <c r="B2420" t="s">
        <v>316</v>
      </c>
      <c r="C2420" t="s">
        <v>65</v>
      </c>
      <c r="D2420" t="s">
        <v>61</v>
      </c>
      <c r="E2420" t="s">
        <v>140</v>
      </c>
      <c r="F2420" s="25">
        <v>46064</v>
      </c>
      <c r="G2420" t="s">
        <v>352</v>
      </c>
      <c r="H2420" t="s">
        <v>412</v>
      </c>
      <c r="I2420" t="s">
        <v>371</v>
      </c>
      <c r="J2420" t="s">
        <v>36</v>
      </c>
      <c r="K2420" t="s">
        <v>37</v>
      </c>
      <c r="L2420" t="s">
        <v>351</v>
      </c>
      <c r="M2420" t="s">
        <v>141</v>
      </c>
      <c r="N2420" t="s">
        <v>142</v>
      </c>
      <c r="O2420" t="s">
        <v>327</v>
      </c>
      <c r="P2420" t="s">
        <v>281</v>
      </c>
      <c r="Q2420" t="s">
        <v>328</v>
      </c>
      <c r="R2420" t="s">
        <v>360</v>
      </c>
      <c r="S2420" t="s">
        <v>392</v>
      </c>
      <c r="T2420">
        <v>1</v>
      </c>
      <c r="U2420" t="s">
        <v>456</v>
      </c>
      <c r="V2420" t="s">
        <v>343</v>
      </c>
      <c r="W2420" t="s">
        <v>459</v>
      </c>
      <c r="X2420" t="s">
        <v>331</v>
      </c>
      <c r="Y2420" t="s">
        <v>307</v>
      </c>
      <c r="Z2420">
        <v>70</v>
      </c>
      <c r="AA2420">
        <v>70</v>
      </c>
      <c r="AB2420" t="s">
        <v>143</v>
      </c>
      <c r="AC2420" t="s">
        <v>53</v>
      </c>
      <c r="AD2420" t="s">
        <v>404</v>
      </c>
      <c r="AE2420" t="str">
        <f>IF(AF2420="","",VLOOKUP(AC2420,mapel!$A$2:$B$42,2,FALSE))</f>
        <v>Sejarah</v>
      </c>
      <c r="AF2420">
        <f t="shared" si="111"/>
        <v>70</v>
      </c>
      <c r="AG2420" t="str">
        <f>IF(AF2420="","",IF(AF2420&gt;90,"Sangat baik",IF(AF2420&gt;79,"Baik",IF(AF2420&gt;=pub_gid_0_single_true_output_csv[[#This Row],[KKM]],"Cukup","Kurang"))))</f>
        <v>Cukup</v>
      </c>
      <c r="AH2420">
        <f t="shared" si="112"/>
        <v>12</v>
      </c>
      <c r="AI2420" s="30" t="str">
        <f>IF(OR(J2420&lt;&gt;"Karakter",pub_gid_0_single_true_output_csv[[#This Row],[Nilai2]]=""),"",IF(AF2420&gt;89,"Sangat baik",IF(AF2420&gt;79,"Baik",IF(AF2420&gt;69,"Cukup",IF(AF2420&gt;59,"Kurang","Sangat kurang")))))</f>
        <v/>
      </c>
      <c r="AJ2420" t="str">
        <f t="shared" si="113"/>
        <v>Wk.7</v>
      </c>
      <c r="AK2420" t="str">
        <f>IF(pub_gid_0_single_true_output_csv[[#This Row],[Nilai2]]="","",VLOOKUP(pub_gid_0_single_true_output_csv[[#This Row],[NAMA]],Table7[],3,FALSE))</f>
        <v>Average</v>
      </c>
    </row>
    <row r="2421" spans="1:37" x14ac:dyDescent="0.2">
      <c r="A2421">
        <v>2420</v>
      </c>
      <c r="B2421" t="s">
        <v>316</v>
      </c>
      <c r="C2421" t="s">
        <v>65</v>
      </c>
      <c r="D2421" t="s">
        <v>61</v>
      </c>
      <c r="E2421" t="s">
        <v>140</v>
      </c>
      <c r="F2421" s="25">
        <v>46064</v>
      </c>
      <c r="G2421" t="s">
        <v>352</v>
      </c>
      <c r="H2421" t="s">
        <v>412</v>
      </c>
      <c r="I2421" t="s">
        <v>371</v>
      </c>
      <c r="J2421" t="s">
        <v>31</v>
      </c>
      <c r="K2421" t="s">
        <v>96</v>
      </c>
      <c r="L2421" t="s">
        <v>351</v>
      </c>
      <c r="M2421" t="s">
        <v>141</v>
      </c>
      <c r="N2421" t="s">
        <v>142</v>
      </c>
      <c r="O2421" t="s">
        <v>327</v>
      </c>
      <c r="P2421" t="s">
        <v>281</v>
      </c>
      <c r="Q2421" t="s">
        <v>328</v>
      </c>
      <c r="R2421" t="s">
        <v>360</v>
      </c>
      <c r="S2421" t="s">
        <v>392</v>
      </c>
      <c r="T2421">
        <v>1</v>
      </c>
      <c r="U2421" t="s">
        <v>456</v>
      </c>
      <c r="V2421" t="s">
        <v>343</v>
      </c>
      <c r="W2421" t="s">
        <v>459</v>
      </c>
      <c r="X2421" t="s">
        <v>331</v>
      </c>
      <c r="Y2421" t="s">
        <v>307</v>
      </c>
      <c r="Z2421">
        <v>70</v>
      </c>
      <c r="AA2421">
        <v>70</v>
      </c>
      <c r="AB2421" t="s">
        <v>143</v>
      </c>
      <c r="AC2421" t="s">
        <v>53</v>
      </c>
      <c r="AD2421" t="s">
        <v>404</v>
      </c>
      <c r="AE2421" t="str">
        <f>IF(AF2421="","",VLOOKUP(AC2421,mapel!$A$2:$B$42,2,FALSE))</f>
        <v>Sejarah</v>
      </c>
      <c r="AF2421">
        <f t="shared" si="111"/>
        <v>70</v>
      </c>
      <c r="AG2421" t="str">
        <f>IF(AF2421="","",IF(AF2421&gt;90,"Sangat baik",IF(AF2421&gt;79,"Baik",IF(AF2421&gt;=pub_gid_0_single_true_output_csv[[#This Row],[KKM]],"Cukup","Kurang"))))</f>
        <v>Cukup</v>
      </c>
      <c r="AH2421">
        <f t="shared" si="112"/>
        <v>12</v>
      </c>
      <c r="AI2421" s="30" t="str">
        <f>IF(OR(J2421&lt;&gt;"Karakter",pub_gid_0_single_true_output_csv[[#This Row],[Nilai2]]=""),"",IF(AF2421&gt;89,"Sangat baik",IF(AF2421&gt;79,"Baik",IF(AF2421&gt;69,"Cukup",IF(AF2421&gt;59,"Kurang","Sangat kurang")))))</f>
        <v/>
      </c>
      <c r="AJ2421" t="str">
        <f t="shared" si="113"/>
        <v>Wk.7</v>
      </c>
      <c r="AK2421" t="str">
        <f>IF(pub_gid_0_single_true_output_csv[[#This Row],[Nilai2]]="","",VLOOKUP(pub_gid_0_single_true_output_csv[[#This Row],[NAMA]],Table7[],3,FALSE))</f>
        <v>Average</v>
      </c>
    </row>
    <row r="2422" spans="1:37" x14ac:dyDescent="0.2">
      <c r="A2422">
        <v>2421</v>
      </c>
      <c r="B2422" t="s">
        <v>316</v>
      </c>
      <c r="C2422" t="s">
        <v>65</v>
      </c>
      <c r="D2422" t="s">
        <v>61</v>
      </c>
      <c r="E2422" t="s">
        <v>140</v>
      </c>
      <c r="F2422" s="25">
        <v>46064</v>
      </c>
      <c r="G2422" t="s">
        <v>352</v>
      </c>
      <c r="H2422" t="s">
        <v>412</v>
      </c>
      <c r="I2422" t="s">
        <v>371</v>
      </c>
      <c r="J2422" t="s">
        <v>90</v>
      </c>
      <c r="K2422" t="s">
        <v>92</v>
      </c>
      <c r="L2422" t="s">
        <v>91</v>
      </c>
      <c r="M2422" t="s">
        <v>141</v>
      </c>
      <c r="N2422" t="s">
        <v>142</v>
      </c>
      <c r="O2422" t="s">
        <v>327</v>
      </c>
      <c r="P2422" t="s">
        <v>281</v>
      </c>
      <c r="Q2422" t="s">
        <v>328</v>
      </c>
      <c r="R2422" t="s">
        <v>360</v>
      </c>
      <c r="S2422" t="s">
        <v>392</v>
      </c>
      <c r="T2422">
        <v>1</v>
      </c>
      <c r="U2422" t="s">
        <v>456</v>
      </c>
      <c r="V2422" t="s">
        <v>343</v>
      </c>
      <c r="W2422" t="s">
        <v>459</v>
      </c>
      <c r="X2422" t="s">
        <v>331</v>
      </c>
      <c r="Y2422" t="s">
        <v>307</v>
      </c>
      <c r="Z2422">
        <v>70</v>
      </c>
      <c r="AA2422">
        <v>80</v>
      </c>
      <c r="AB2422" t="s">
        <v>143</v>
      </c>
      <c r="AC2422" t="s">
        <v>53</v>
      </c>
      <c r="AD2422" t="s">
        <v>404</v>
      </c>
      <c r="AE2422" t="str">
        <f>IF(AF2422="","",VLOOKUP(AC2422,mapel!$A$2:$B$42,2,FALSE))</f>
        <v>Sejarah</v>
      </c>
      <c r="AF2422">
        <f t="shared" si="111"/>
        <v>80</v>
      </c>
      <c r="AG2422" t="str">
        <f>IF(AF2422="","",IF(AF2422&gt;90,"Sangat baik",IF(AF2422&gt;79,"Baik",IF(AF2422&gt;=pub_gid_0_single_true_output_csv[[#This Row],[KKM]],"Cukup","Kurang"))))</f>
        <v>Baik</v>
      </c>
      <c r="AH2422">
        <f t="shared" si="112"/>
        <v>12</v>
      </c>
      <c r="AI2422" s="30" t="str">
        <f>IF(OR(J2422&lt;&gt;"Karakter",pub_gid_0_single_true_output_csv[[#This Row],[Nilai2]]=""),"",IF(AF2422&gt;89,"Sangat baik",IF(AF2422&gt;79,"Baik",IF(AF2422&gt;69,"Cukup",IF(AF2422&gt;59,"Kurang","Sangat kurang")))))</f>
        <v>Baik</v>
      </c>
      <c r="AJ2422" t="str">
        <f t="shared" si="113"/>
        <v>Wk.7</v>
      </c>
      <c r="AK2422" t="str">
        <f>IF(pub_gid_0_single_true_output_csv[[#This Row],[Nilai2]]="","",VLOOKUP(pub_gid_0_single_true_output_csv[[#This Row],[NAMA]],Table7[],3,FALSE))</f>
        <v>Average</v>
      </c>
    </row>
    <row r="2423" spans="1:37" x14ac:dyDescent="0.2">
      <c r="A2423">
        <v>2422</v>
      </c>
      <c r="B2423" t="s">
        <v>316</v>
      </c>
      <c r="C2423" t="s">
        <v>65</v>
      </c>
      <c r="D2423" t="s">
        <v>61</v>
      </c>
      <c r="E2423" t="s">
        <v>140</v>
      </c>
      <c r="F2423" s="25">
        <v>46071</v>
      </c>
      <c r="G2423" t="s">
        <v>323</v>
      </c>
      <c r="H2423" t="s">
        <v>412</v>
      </c>
      <c r="I2423" t="s">
        <v>371</v>
      </c>
      <c r="J2423" t="s">
        <v>279</v>
      </c>
      <c r="K2423" t="s">
        <v>280</v>
      </c>
      <c r="L2423" t="s">
        <v>322</v>
      </c>
      <c r="M2423" t="s">
        <v>141</v>
      </c>
      <c r="N2423" t="s">
        <v>142</v>
      </c>
      <c r="O2423" t="s">
        <v>327</v>
      </c>
      <c r="P2423" t="s">
        <v>281</v>
      </c>
      <c r="Q2423" t="s">
        <v>328</v>
      </c>
      <c r="R2423" t="s">
        <v>360</v>
      </c>
      <c r="S2423" t="s">
        <v>392</v>
      </c>
      <c r="T2423">
        <v>1</v>
      </c>
      <c r="U2423" t="s">
        <v>456</v>
      </c>
      <c r="V2423" t="s">
        <v>343</v>
      </c>
      <c r="W2423" t="s">
        <v>459</v>
      </c>
      <c r="X2423" t="s">
        <v>331</v>
      </c>
      <c r="Y2423" t="s">
        <v>307</v>
      </c>
      <c r="Z2423">
        <v>70</v>
      </c>
      <c r="AA2423">
        <v>70</v>
      </c>
      <c r="AB2423" t="s">
        <v>143</v>
      </c>
      <c r="AC2423" t="s">
        <v>53</v>
      </c>
      <c r="AD2423" t="s">
        <v>404</v>
      </c>
      <c r="AE2423" t="str">
        <f>IF(AF2423="","",VLOOKUP(AC2423,mapel!$A$2:$B$42,2,FALSE))</f>
        <v>Sejarah</v>
      </c>
      <c r="AF2423">
        <f t="shared" si="111"/>
        <v>70</v>
      </c>
      <c r="AG2423" t="str">
        <f>IF(AF2423="","",IF(AF2423&gt;90,"Sangat baik",IF(AF2423&gt;79,"Baik",IF(AF2423&gt;=pub_gid_0_single_true_output_csv[[#This Row],[KKM]],"Cukup","Kurang"))))</f>
        <v>Cukup</v>
      </c>
      <c r="AH2423">
        <f t="shared" si="112"/>
        <v>12</v>
      </c>
      <c r="AI2423" s="30" t="str">
        <f>IF(OR(J2423&lt;&gt;"Karakter",pub_gid_0_single_true_output_csv[[#This Row],[Nilai2]]=""),"",IF(AF2423&gt;89,"Sangat baik",IF(AF2423&gt;79,"Baik",IF(AF2423&gt;69,"Cukup",IF(AF2423&gt;59,"Kurang","Sangat kurang")))))</f>
        <v/>
      </c>
      <c r="AJ2423" t="str">
        <f t="shared" si="113"/>
        <v>Wk.8</v>
      </c>
      <c r="AK2423" t="str">
        <f>IF(pub_gid_0_single_true_output_csv[[#This Row],[Nilai2]]="","",VLOOKUP(pub_gid_0_single_true_output_csv[[#This Row],[NAMA]],Table7[],3,FALSE))</f>
        <v>Average</v>
      </c>
    </row>
    <row r="2424" spans="1:37" x14ac:dyDescent="0.2">
      <c r="A2424">
        <v>2423</v>
      </c>
      <c r="B2424" t="s">
        <v>316</v>
      </c>
      <c r="C2424" t="s">
        <v>65</v>
      </c>
      <c r="D2424" t="s">
        <v>61</v>
      </c>
      <c r="E2424" t="s">
        <v>140</v>
      </c>
      <c r="F2424" s="25">
        <v>46071</v>
      </c>
      <c r="G2424" t="s">
        <v>323</v>
      </c>
      <c r="H2424" t="s">
        <v>412</v>
      </c>
      <c r="I2424" t="s">
        <v>371</v>
      </c>
      <c r="J2424" t="s">
        <v>36</v>
      </c>
      <c r="K2424" t="s">
        <v>362</v>
      </c>
      <c r="L2424" t="s">
        <v>363</v>
      </c>
      <c r="M2424" t="s">
        <v>141</v>
      </c>
      <c r="N2424" t="s">
        <v>142</v>
      </c>
      <c r="O2424" t="s">
        <v>327</v>
      </c>
      <c r="P2424" t="s">
        <v>281</v>
      </c>
      <c r="Q2424" t="s">
        <v>328</v>
      </c>
      <c r="R2424" t="s">
        <v>360</v>
      </c>
      <c r="S2424" t="s">
        <v>375</v>
      </c>
      <c r="T2424">
        <v>1</v>
      </c>
      <c r="U2424" t="s">
        <v>456</v>
      </c>
      <c r="V2424" t="s">
        <v>342</v>
      </c>
      <c r="W2424" t="s">
        <v>458</v>
      </c>
      <c r="X2424" t="s">
        <v>331</v>
      </c>
      <c r="Y2424" t="s">
        <v>307</v>
      </c>
      <c r="Z2424">
        <v>70</v>
      </c>
      <c r="AA2424">
        <v>40</v>
      </c>
      <c r="AB2424" t="s">
        <v>151</v>
      </c>
      <c r="AC2424" t="s">
        <v>53</v>
      </c>
      <c r="AD2424" t="s">
        <v>404</v>
      </c>
      <c r="AE2424" t="str">
        <f>IF(AF2424="","",VLOOKUP(AC2424,mapel!$A$2:$B$42,2,FALSE))</f>
        <v>Sejarah</v>
      </c>
      <c r="AF2424">
        <f t="shared" si="111"/>
        <v>40</v>
      </c>
      <c r="AG2424" t="str">
        <f>IF(AF2424="","",IF(AF2424&gt;90,"Sangat baik",IF(AF2424&gt;79,"Baik",IF(AF2424&gt;=pub_gid_0_single_true_output_csv[[#This Row],[KKM]],"Cukup","Kurang"))))</f>
        <v>Kurang</v>
      </c>
      <c r="AH2424">
        <f t="shared" si="112"/>
        <v>12</v>
      </c>
      <c r="AI2424" s="30" t="str">
        <f>IF(OR(J2424&lt;&gt;"Karakter",pub_gid_0_single_true_output_csv[[#This Row],[Nilai2]]=""),"",IF(AF2424&gt;89,"Sangat baik",IF(AF2424&gt;79,"Baik",IF(AF2424&gt;69,"Cukup",IF(AF2424&gt;59,"Kurang","Sangat kurang")))))</f>
        <v/>
      </c>
      <c r="AJ2424" t="str">
        <f t="shared" si="113"/>
        <v>Wk.8</v>
      </c>
      <c r="AK2424" t="str">
        <f>IF(pub_gid_0_single_true_output_csv[[#This Row],[Nilai2]]="","",VLOOKUP(pub_gid_0_single_true_output_csv[[#This Row],[NAMA]],Table7[],3,FALSE))</f>
        <v>Average</v>
      </c>
    </row>
    <row r="2425" spans="1:37" x14ac:dyDescent="0.2">
      <c r="A2425">
        <v>2424</v>
      </c>
      <c r="B2425" t="s">
        <v>316</v>
      </c>
      <c r="C2425" t="s">
        <v>65</v>
      </c>
      <c r="D2425" t="s">
        <v>61</v>
      </c>
      <c r="E2425" t="s">
        <v>140</v>
      </c>
      <c r="F2425" s="25">
        <v>46071</v>
      </c>
      <c r="G2425" t="s">
        <v>323</v>
      </c>
      <c r="H2425" t="s">
        <v>412</v>
      </c>
      <c r="I2425" t="s">
        <v>371</v>
      </c>
      <c r="J2425" t="s">
        <v>31</v>
      </c>
      <c r="K2425" t="s">
        <v>96</v>
      </c>
      <c r="L2425" t="s">
        <v>363</v>
      </c>
      <c r="M2425" t="s">
        <v>141</v>
      </c>
      <c r="N2425" t="s">
        <v>142</v>
      </c>
      <c r="O2425" t="s">
        <v>327</v>
      </c>
      <c r="P2425" t="s">
        <v>281</v>
      </c>
      <c r="Q2425" t="s">
        <v>328</v>
      </c>
      <c r="R2425" t="s">
        <v>360</v>
      </c>
      <c r="S2425" t="s">
        <v>375</v>
      </c>
      <c r="T2425">
        <v>1</v>
      </c>
      <c r="U2425" t="s">
        <v>456</v>
      </c>
      <c r="V2425" t="s">
        <v>342</v>
      </c>
      <c r="W2425" t="s">
        <v>458</v>
      </c>
      <c r="X2425" t="s">
        <v>331</v>
      </c>
      <c r="Y2425" t="s">
        <v>307</v>
      </c>
      <c r="Z2425">
        <v>70</v>
      </c>
      <c r="AA2425">
        <v>70</v>
      </c>
      <c r="AB2425" t="s">
        <v>143</v>
      </c>
      <c r="AC2425" t="s">
        <v>53</v>
      </c>
      <c r="AD2425" t="s">
        <v>404</v>
      </c>
      <c r="AE2425" t="str">
        <f>IF(AF2425="","",VLOOKUP(AC2425,mapel!$A$2:$B$42,2,FALSE))</f>
        <v>Sejarah</v>
      </c>
      <c r="AF2425">
        <f t="shared" si="111"/>
        <v>70</v>
      </c>
      <c r="AG2425" t="str">
        <f>IF(AF2425="","",IF(AF2425&gt;90,"Sangat baik",IF(AF2425&gt;79,"Baik",IF(AF2425&gt;=pub_gid_0_single_true_output_csv[[#This Row],[KKM]],"Cukup","Kurang"))))</f>
        <v>Cukup</v>
      </c>
      <c r="AH2425">
        <f t="shared" si="112"/>
        <v>12</v>
      </c>
      <c r="AI2425" s="30" t="str">
        <f>IF(OR(J2425&lt;&gt;"Karakter",pub_gid_0_single_true_output_csv[[#This Row],[Nilai2]]=""),"",IF(AF2425&gt;89,"Sangat baik",IF(AF2425&gt;79,"Baik",IF(AF2425&gt;69,"Cukup",IF(AF2425&gt;59,"Kurang","Sangat kurang")))))</f>
        <v/>
      </c>
      <c r="AJ2425" t="str">
        <f t="shared" si="113"/>
        <v>Wk.8</v>
      </c>
      <c r="AK2425" t="str">
        <f>IF(pub_gid_0_single_true_output_csv[[#This Row],[Nilai2]]="","",VLOOKUP(pub_gid_0_single_true_output_csv[[#This Row],[NAMA]],Table7[],3,FALSE))</f>
        <v>Average</v>
      </c>
    </row>
    <row r="2426" spans="1:37" x14ac:dyDescent="0.2">
      <c r="A2426">
        <v>2425</v>
      </c>
      <c r="B2426" t="s">
        <v>317</v>
      </c>
      <c r="C2426" t="s">
        <v>65</v>
      </c>
      <c r="D2426" t="s">
        <v>62</v>
      </c>
      <c r="E2426" t="s">
        <v>140</v>
      </c>
      <c r="F2426" s="25">
        <v>46036</v>
      </c>
      <c r="G2426" t="s">
        <v>353</v>
      </c>
      <c r="H2426" t="s">
        <v>405</v>
      </c>
      <c r="I2426" t="s">
        <v>371</v>
      </c>
      <c r="J2426" t="s">
        <v>36</v>
      </c>
      <c r="K2426" t="s">
        <v>37</v>
      </c>
      <c r="L2426" t="s">
        <v>351</v>
      </c>
      <c r="M2426" t="s">
        <v>141</v>
      </c>
      <c r="N2426" t="s">
        <v>142</v>
      </c>
      <c r="O2426" t="s">
        <v>327</v>
      </c>
      <c r="P2426" t="s">
        <v>281</v>
      </c>
      <c r="Q2426" t="s">
        <v>328</v>
      </c>
      <c r="R2426" t="s">
        <v>360</v>
      </c>
      <c r="S2426" t="s">
        <v>330</v>
      </c>
      <c r="T2426">
        <v>1</v>
      </c>
      <c r="U2426" t="s">
        <v>456</v>
      </c>
      <c r="V2426" t="s">
        <v>285</v>
      </c>
      <c r="W2426" t="s">
        <v>457</v>
      </c>
      <c r="X2426" t="s">
        <v>331</v>
      </c>
      <c r="Y2426" t="s">
        <v>307</v>
      </c>
      <c r="Z2426">
        <v>70</v>
      </c>
      <c r="AA2426">
        <v>65</v>
      </c>
      <c r="AB2426" t="s">
        <v>151</v>
      </c>
      <c r="AC2426" t="s">
        <v>53</v>
      </c>
      <c r="AD2426" t="s">
        <v>404</v>
      </c>
      <c r="AE2426" t="str">
        <f>IF(AF2426="","",VLOOKUP(AC2426,mapel!$A$2:$B$42,2,FALSE))</f>
        <v>Sejarah</v>
      </c>
      <c r="AF2426">
        <f t="shared" si="111"/>
        <v>65</v>
      </c>
      <c r="AG2426" t="str">
        <f>IF(AF2426="","",IF(AF2426&gt;90,"Sangat baik",IF(AF2426&gt;79,"Baik",IF(AF2426&gt;=pub_gid_0_single_true_output_csv[[#This Row],[KKM]],"Cukup","Kurang"))))</f>
        <v>Kurang</v>
      </c>
      <c r="AH2426">
        <f t="shared" si="112"/>
        <v>12</v>
      </c>
      <c r="AI2426" s="30" t="str">
        <f>IF(OR(J2426&lt;&gt;"Karakter",pub_gid_0_single_true_output_csv[[#This Row],[Nilai2]]=""),"",IF(AF2426&gt;89,"Sangat baik",IF(AF2426&gt;79,"Baik",IF(AF2426&gt;69,"Cukup",IF(AF2426&gt;59,"Kurang","Sangat kurang")))))</f>
        <v/>
      </c>
      <c r="AJ2426" t="str">
        <f t="shared" si="113"/>
        <v>Wk.3</v>
      </c>
      <c r="AK2426" t="str">
        <f>IF(pub_gid_0_single_true_output_csv[[#This Row],[Nilai2]]="","",VLOOKUP(pub_gid_0_single_true_output_csv[[#This Row],[NAMA]],Table7[],3,FALSE))</f>
        <v>Borderline</v>
      </c>
    </row>
    <row r="2427" spans="1:37" x14ac:dyDescent="0.2">
      <c r="A2427">
        <v>2426</v>
      </c>
      <c r="B2427" t="s">
        <v>317</v>
      </c>
      <c r="C2427" t="s">
        <v>65</v>
      </c>
      <c r="D2427" t="s">
        <v>62</v>
      </c>
      <c r="E2427" t="s">
        <v>140</v>
      </c>
      <c r="F2427" s="25">
        <v>46036</v>
      </c>
      <c r="G2427" t="s">
        <v>353</v>
      </c>
      <c r="H2427" t="s">
        <v>405</v>
      </c>
      <c r="I2427" t="s">
        <v>371</v>
      </c>
      <c r="J2427" t="s">
        <v>31</v>
      </c>
      <c r="K2427" t="s">
        <v>96</v>
      </c>
      <c r="L2427" t="s">
        <v>351</v>
      </c>
      <c r="M2427" t="s">
        <v>141</v>
      </c>
      <c r="N2427" t="s">
        <v>142</v>
      </c>
      <c r="O2427" t="s">
        <v>327</v>
      </c>
      <c r="P2427" t="s">
        <v>281</v>
      </c>
      <c r="Q2427" t="s">
        <v>328</v>
      </c>
      <c r="R2427" t="s">
        <v>360</v>
      </c>
      <c r="S2427" t="s">
        <v>330</v>
      </c>
      <c r="T2427">
        <v>1</v>
      </c>
      <c r="U2427" t="s">
        <v>456</v>
      </c>
      <c r="V2427" t="s">
        <v>285</v>
      </c>
      <c r="W2427" t="s">
        <v>457</v>
      </c>
      <c r="X2427" t="s">
        <v>331</v>
      </c>
      <c r="Y2427" t="s">
        <v>307</v>
      </c>
      <c r="Z2427">
        <v>70</v>
      </c>
      <c r="AA2427">
        <v>65</v>
      </c>
      <c r="AB2427" t="s">
        <v>151</v>
      </c>
      <c r="AC2427" t="s">
        <v>53</v>
      </c>
      <c r="AD2427" t="s">
        <v>404</v>
      </c>
      <c r="AE2427" t="str">
        <f>IF(AF2427="","",VLOOKUP(AC2427,mapel!$A$2:$B$42,2,FALSE))</f>
        <v>Sejarah</v>
      </c>
      <c r="AF2427">
        <f t="shared" si="111"/>
        <v>65</v>
      </c>
      <c r="AG2427" t="str">
        <f>IF(AF2427="","",IF(AF2427&gt;90,"Sangat baik",IF(AF2427&gt;79,"Baik",IF(AF2427&gt;=pub_gid_0_single_true_output_csv[[#This Row],[KKM]],"Cukup","Kurang"))))</f>
        <v>Kurang</v>
      </c>
      <c r="AH2427">
        <f t="shared" si="112"/>
        <v>12</v>
      </c>
      <c r="AI2427" s="30" t="str">
        <f>IF(OR(J2427&lt;&gt;"Karakter",pub_gid_0_single_true_output_csv[[#This Row],[Nilai2]]=""),"",IF(AF2427&gt;89,"Sangat baik",IF(AF2427&gt;79,"Baik",IF(AF2427&gt;69,"Cukup",IF(AF2427&gt;59,"Kurang","Sangat kurang")))))</f>
        <v/>
      </c>
      <c r="AJ2427" t="str">
        <f t="shared" si="113"/>
        <v>Wk.3</v>
      </c>
      <c r="AK2427" t="str">
        <f>IF(pub_gid_0_single_true_output_csv[[#This Row],[Nilai2]]="","",VLOOKUP(pub_gid_0_single_true_output_csv[[#This Row],[NAMA]],Table7[],3,FALSE))</f>
        <v>Borderline</v>
      </c>
    </row>
    <row r="2428" spans="1:37" x14ac:dyDescent="0.2">
      <c r="A2428">
        <v>2427</v>
      </c>
      <c r="B2428" t="s">
        <v>317</v>
      </c>
      <c r="C2428" t="s">
        <v>65</v>
      </c>
      <c r="D2428" t="s">
        <v>62</v>
      </c>
      <c r="E2428" t="s">
        <v>140</v>
      </c>
      <c r="F2428" s="25">
        <v>46036</v>
      </c>
      <c r="G2428" t="s">
        <v>353</v>
      </c>
      <c r="H2428" t="s">
        <v>405</v>
      </c>
      <c r="I2428" t="s">
        <v>371</v>
      </c>
      <c r="J2428" t="s">
        <v>90</v>
      </c>
      <c r="K2428" t="s">
        <v>92</v>
      </c>
      <c r="L2428" t="s">
        <v>91</v>
      </c>
      <c r="M2428" t="s">
        <v>141</v>
      </c>
      <c r="N2428" t="s">
        <v>142</v>
      </c>
      <c r="O2428" t="s">
        <v>327</v>
      </c>
      <c r="P2428" t="s">
        <v>281</v>
      </c>
      <c r="Q2428" t="s">
        <v>328</v>
      </c>
      <c r="R2428" t="s">
        <v>360</v>
      </c>
      <c r="S2428" t="s">
        <v>330</v>
      </c>
      <c r="T2428">
        <v>1</v>
      </c>
      <c r="U2428" t="s">
        <v>456</v>
      </c>
      <c r="V2428" t="s">
        <v>285</v>
      </c>
      <c r="W2428" t="s">
        <v>457</v>
      </c>
      <c r="X2428" t="s">
        <v>331</v>
      </c>
      <c r="Y2428" t="s">
        <v>307</v>
      </c>
      <c r="Z2428">
        <v>70</v>
      </c>
      <c r="AA2428">
        <v>70</v>
      </c>
      <c r="AB2428" t="s">
        <v>143</v>
      </c>
      <c r="AC2428" t="s">
        <v>53</v>
      </c>
      <c r="AD2428" t="s">
        <v>404</v>
      </c>
      <c r="AE2428" t="str">
        <f>IF(AF2428="","",VLOOKUP(AC2428,mapel!$A$2:$B$42,2,FALSE))</f>
        <v>Sejarah</v>
      </c>
      <c r="AF2428">
        <f t="shared" si="111"/>
        <v>70</v>
      </c>
      <c r="AG2428" t="str">
        <f>IF(AF2428="","",IF(AF2428&gt;90,"Sangat baik",IF(AF2428&gt;79,"Baik",IF(AF2428&gt;=pub_gid_0_single_true_output_csv[[#This Row],[KKM]],"Cukup","Kurang"))))</f>
        <v>Cukup</v>
      </c>
      <c r="AH2428">
        <f t="shared" si="112"/>
        <v>12</v>
      </c>
      <c r="AI2428" s="30" t="str">
        <f>IF(OR(J2428&lt;&gt;"Karakter",pub_gid_0_single_true_output_csv[[#This Row],[Nilai2]]=""),"",IF(AF2428&gt;89,"Sangat baik",IF(AF2428&gt;79,"Baik",IF(AF2428&gt;69,"Cukup",IF(AF2428&gt;59,"Kurang","Sangat kurang")))))</f>
        <v>Cukup</v>
      </c>
      <c r="AJ2428" t="str">
        <f t="shared" si="113"/>
        <v>Wk.3</v>
      </c>
      <c r="AK2428" t="str">
        <f>IF(pub_gid_0_single_true_output_csv[[#This Row],[Nilai2]]="","",VLOOKUP(pub_gid_0_single_true_output_csv[[#This Row],[NAMA]],Table7[],3,FALSE))</f>
        <v>Borderline</v>
      </c>
    </row>
    <row r="2429" spans="1:37" x14ac:dyDescent="0.2">
      <c r="A2429">
        <v>2428</v>
      </c>
      <c r="B2429" t="s">
        <v>317</v>
      </c>
      <c r="C2429" t="s">
        <v>65</v>
      </c>
      <c r="D2429" t="s">
        <v>62</v>
      </c>
      <c r="E2429" t="s">
        <v>140</v>
      </c>
      <c r="F2429" s="25">
        <v>46036</v>
      </c>
      <c r="G2429" t="s">
        <v>353</v>
      </c>
      <c r="H2429" t="s">
        <v>405</v>
      </c>
      <c r="I2429" t="s">
        <v>371</v>
      </c>
      <c r="J2429" t="s">
        <v>279</v>
      </c>
      <c r="K2429" t="s">
        <v>280</v>
      </c>
      <c r="L2429" t="s">
        <v>322</v>
      </c>
      <c r="M2429" t="s">
        <v>141</v>
      </c>
      <c r="N2429" t="s">
        <v>142</v>
      </c>
      <c r="O2429" t="s">
        <v>327</v>
      </c>
      <c r="P2429" t="s">
        <v>281</v>
      </c>
      <c r="Q2429" t="s">
        <v>328</v>
      </c>
      <c r="R2429" t="s">
        <v>360</v>
      </c>
      <c r="S2429" t="s">
        <v>330</v>
      </c>
      <c r="T2429">
        <v>1</v>
      </c>
      <c r="U2429" t="s">
        <v>456</v>
      </c>
      <c r="V2429" t="s">
        <v>285</v>
      </c>
      <c r="W2429" t="s">
        <v>457</v>
      </c>
      <c r="X2429" t="s">
        <v>331</v>
      </c>
      <c r="Y2429" t="s">
        <v>307</v>
      </c>
      <c r="Z2429">
        <v>70</v>
      </c>
      <c r="AA2429">
        <v>70</v>
      </c>
      <c r="AB2429" t="s">
        <v>143</v>
      </c>
      <c r="AC2429" t="s">
        <v>53</v>
      </c>
      <c r="AD2429" t="s">
        <v>404</v>
      </c>
      <c r="AE2429" t="str">
        <f>IF(AF2429="","",VLOOKUP(AC2429,mapel!$A$2:$B$42,2,FALSE))</f>
        <v>Sejarah</v>
      </c>
      <c r="AF2429">
        <f t="shared" si="111"/>
        <v>70</v>
      </c>
      <c r="AG2429" t="str">
        <f>IF(AF2429="","",IF(AF2429&gt;90,"Sangat baik",IF(AF2429&gt;79,"Baik",IF(AF2429&gt;=pub_gid_0_single_true_output_csv[[#This Row],[KKM]],"Cukup","Kurang"))))</f>
        <v>Cukup</v>
      </c>
      <c r="AH2429">
        <f t="shared" si="112"/>
        <v>12</v>
      </c>
      <c r="AI2429" s="30" t="str">
        <f>IF(OR(J2429&lt;&gt;"Karakter",pub_gid_0_single_true_output_csv[[#This Row],[Nilai2]]=""),"",IF(AF2429&gt;89,"Sangat baik",IF(AF2429&gt;79,"Baik",IF(AF2429&gt;69,"Cukup",IF(AF2429&gt;59,"Kurang","Sangat kurang")))))</f>
        <v/>
      </c>
      <c r="AJ2429" t="str">
        <f t="shared" si="113"/>
        <v>Wk.3</v>
      </c>
      <c r="AK2429" t="str">
        <f>IF(pub_gid_0_single_true_output_csv[[#This Row],[Nilai2]]="","",VLOOKUP(pub_gid_0_single_true_output_csv[[#This Row],[NAMA]],Table7[],3,FALSE))</f>
        <v>Borderline</v>
      </c>
    </row>
    <row r="2430" spans="1:37" x14ac:dyDescent="0.2">
      <c r="A2430">
        <v>2429</v>
      </c>
      <c r="B2430" t="s">
        <v>317</v>
      </c>
      <c r="C2430" t="s">
        <v>65</v>
      </c>
      <c r="D2430" t="s">
        <v>62</v>
      </c>
      <c r="E2430" t="s">
        <v>140</v>
      </c>
      <c r="F2430" s="25">
        <v>46043</v>
      </c>
      <c r="G2430" t="s">
        <v>341</v>
      </c>
      <c r="H2430" t="s">
        <v>405</v>
      </c>
      <c r="I2430" t="s">
        <v>371</v>
      </c>
      <c r="J2430" t="s">
        <v>36</v>
      </c>
      <c r="K2430" t="s">
        <v>37</v>
      </c>
      <c r="L2430" t="s">
        <v>351</v>
      </c>
      <c r="M2430" t="s">
        <v>141</v>
      </c>
      <c r="N2430" t="s">
        <v>142</v>
      </c>
      <c r="O2430" t="s">
        <v>327</v>
      </c>
      <c r="P2430" t="s">
        <v>281</v>
      </c>
      <c r="Q2430" t="s">
        <v>328</v>
      </c>
      <c r="R2430" t="s">
        <v>360</v>
      </c>
      <c r="S2430" t="s">
        <v>330</v>
      </c>
      <c r="T2430">
        <v>1</v>
      </c>
      <c r="U2430" t="s">
        <v>456</v>
      </c>
      <c r="V2430" t="s">
        <v>285</v>
      </c>
      <c r="W2430" t="s">
        <v>457</v>
      </c>
      <c r="X2430" t="s">
        <v>331</v>
      </c>
      <c r="Y2430" t="s">
        <v>307</v>
      </c>
      <c r="Z2430">
        <v>70</v>
      </c>
      <c r="AA2430">
        <v>70</v>
      </c>
      <c r="AB2430" t="s">
        <v>143</v>
      </c>
      <c r="AC2430" t="s">
        <v>53</v>
      </c>
      <c r="AD2430" t="s">
        <v>404</v>
      </c>
      <c r="AE2430" t="str">
        <f>IF(AF2430="","",VLOOKUP(AC2430,mapel!$A$2:$B$42,2,FALSE))</f>
        <v>Sejarah</v>
      </c>
      <c r="AF2430">
        <f t="shared" si="111"/>
        <v>70</v>
      </c>
      <c r="AG2430" t="str">
        <f>IF(AF2430="","",IF(AF2430&gt;90,"Sangat baik",IF(AF2430&gt;79,"Baik",IF(AF2430&gt;=pub_gid_0_single_true_output_csv[[#This Row],[KKM]],"Cukup","Kurang"))))</f>
        <v>Cukup</v>
      </c>
      <c r="AH2430">
        <f t="shared" si="112"/>
        <v>12</v>
      </c>
      <c r="AI2430" s="30" t="str">
        <f>IF(OR(J2430&lt;&gt;"Karakter",pub_gid_0_single_true_output_csv[[#This Row],[Nilai2]]=""),"",IF(AF2430&gt;89,"Sangat baik",IF(AF2430&gt;79,"Baik",IF(AF2430&gt;69,"Cukup",IF(AF2430&gt;59,"Kurang","Sangat kurang")))))</f>
        <v/>
      </c>
      <c r="AJ2430" t="str">
        <f t="shared" si="113"/>
        <v>Wk.4</v>
      </c>
      <c r="AK2430" t="str">
        <f>IF(pub_gid_0_single_true_output_csv[[#This Row],[Nilai2]]="","",VLOOKUP(pub_gid_0_single_true_output_csv[[#This Row],[NAMA]],Table7[],3,FALSE))</f>
        <v>Borderline</v>
      </c>
    </row>
    <row r="2431" spans="1:37" x14ac:dyDescent="0.2">
      <c r="A2431">
        <v>2430</v>
      </c>
      <c r="B2431" t="s">
        <v>317</v>
      </c>
      <c r="C2431" t="s">
        <v>65</v>
      </c>
      <c r="D2431" t="s">
        <v>62</v>
      </c>
      <c r="E2431" t="s">
        <v>140</v>
      </c>
      <c r="F2431" s="25">
        <v>46043</v>
      </c>
      <c r="G2431" t="s">
        <v>341</v>
      </c>
      <c r="H2431" t="s">
        <v>405</v>
      </c>
      <c r="I2431" t="s">
        <v>371</v>
      </c>
      <c r="J2431" t="s">
        <v>31</v>
      </c>
      <c r="K2431" t="s">
        <v>96</v>
      </c>
      <c r="L2431" t="s">
        <v>367</v>
      </c>
      <c r="M2431" t="s">
        <v>141</v>
      </c>
      <c r="N2431" t="s">
        <v>142</v>
      </c>
      <c r="O2431" t="s">
        <v>327</v>
      </c>
      <c r="P2431" t="s">
        <v>281</v>
      </c>
      <c r="Q2431" t="s">
        <v>328</v>
      </c>
      <c r="R2431" t="s">
        <v>360</v>
      </c>
      <c r="S2431" t="s">
        <v>330</v>
      </c>
      <c r="T2431">
        <v>1</v>
      </c>
      <c r="U2431" t="s">
        <v>456</v>
      </c>
      <c r="V2431" t="s">
        <v>285</v>
      </c>
      <c r="W2431" t="s">
        <v>457</v>
      </c>
      <c r="X2431" t="s">
        <v>331</v>
      </c>
      <c r="Y2431" t="s">
        <v>307</v>
      </c>
      <c r="Z2431">
        <v>70</v>
      </c>
      <c r="AA2431">
        <v>65</v>
      </c>
      <c r="AB2431" t="s">
        <v>151</v>
      </c>
      <c r="AC2431" t="s">
        <v>53</v>
      </c>
      <c r="AD2431" t="s">
        <v>404</v>
      </c>
      <c r="AE2431" t="str">
        <f>IF(AF2431="","",VLOOKUP(AC2431,mapel!$A$2:$B$42,2,FALSE))</f>
        <v>Sejarah</v>
      </c>
      <c r="AF2431">
        <f t="shared" si="111"/>
        <v>65</v>
      </c>
      <c r="AG2431" t="str">
        <f>IF(AF2431="","",IF(AF2431&gt;90,"Sangat baik",IF(AF2431&gt;79,"Baik",IF(AF2431&gt;=pub_gid_0_single_true_output_csv[[#This Row],[KKM]],"Cukup","Kurang"))))</f>
        <v>Kurang</v>
      </c>
      <c r="AH2431">
        <f t="shared" si="112"/>
        <v>12</v>
      </c>
      <c r="AI2431" s="30" t="str">
        <f>IF(OR(J2431&lt;&gt;"Karakter",pub_gid_0_single_true_output_csv[[#This Row],[Nilai2]]=""),"",IF(AF2431&gt;89,"Sangat baik",IF(AF2431&gt;79,"Baik",IF(AF2431&gt;69,"Cukup",IF(AF2431&gt;59,"Kurang","Sangat kurang")))))</f>
        <v/>
      </c>
      <c r="AJ2431" t="str">
        <f t="shared" si="113"/>
        <v>Wk.4</v>
      </c>
      <c r="AK2431" t="str">
        <f>IF(pub_gid_0_single_true_output_csv[[#This Row],[Nilai2]]="","",VLOOKUP(pub_gid_0_single_true_output_csv[[#This Row],[NAMA]],Table7[],3,FALSE))</f>
        <v>Borderline</v>
      </c>
    </row>
    <row r="2432" spans="1:37" x14ac:dyDescent="0.2">
      <c r="A2432">
        <v>2431</v>
      </c>
      <c r="B2432" t="s">
        <v>317</v>
      </c>
      <c r="C2432" t="s">
        <v>65</v>
      </c>
      <c r="D2432" t="s">
        <v>62</v>
      </c>
      <c r="E2432" t="s">
        <v>140</v>
      </c>
      <c r="F2432" s="25">
        <v>46043</v>
      </c>
      <c r="G2432" t="s">
        <v>341</v>
      </c>
      <c r="H2432" t="s">
        <v>405</v>
      </c>
      <c r="I2432" t="s">
        <v>371</v>
      </c>
      <c r="J2432" t="s">
        <v>90</v>
      </c>
      <c r="K2432" t="s">
        <v>92</v>
      </c>
      <c r="L2432" t="s">
        <v>93</v>
      </c>
      <c r="M2432" t="s">
        <v>141</v>
      </c>
      <c r="N2432" t="s">
        <v>142</v>
      </c>
      <c r="O2432" t="s">
        <v>327</v>
      </c>
      <c r="P2432" t="s">
        <v>281</v>
      </c>
      <c r="Q2432" t="s">
        <v>328</v>
      </c>
      <c r="R2432" t="s">
        <v>360</v>
      </c>
      <c r="S2432" t="s">
        <v>330</v>
      </c>
      <c r="T2432">
        <v>1</v>
      </c>
      <c r="U2432" t="s">
        <v>456</v>
      </c>
      <c r="V2432" t="s">
        <v>285</v>
      </c>
      <c r="W2432" t="s">
        <v>457</v>
      </c>
      <c r="X2432" t="s">
        <v>331</v>
      </c>
      <c r="Y2432" t="s">
        <v>307</v>
      </c>
      <c r="Z2432">
        <v>70</v>
      </c>
      <c r="AA2432">
        <v>80</v>
      </c>
      <c r="AB2432" t="s">
        <v>143</v>
      </c>
      <c r="AC2432" t="s">
        <v>53</v>
      </c>
      <c r="AD2432" t="s">
        <v>404</v>
      </c>
      <c r="AE2432" t="str">
        <f>IF(AF2432="","",VLOOKUP(AC2432,mapel!$A$2:$B$42,2,FALSE))</f>
        <v>Sejarah</v>
      </c>
      <c r="AF2432">
        <f t="shared" si="111"/>
        <v>80</v>
      </c>
      <c r="AG2432" t="str">
        <f>IF(AF2432="","",IF(AF2432&gt;90,"Sangat baik",IF(AF2432&gt;79,"Baik",IF(AF2432&gt;=pub_gid_0_single_true_output_csv[[#This Row],[KKM]],"Cukup","Kurang"))))</f>
        <v>Baik</v>
      </c>
      <c r="AH2432">
        <f t="shared" si="112"/>
        <v>12</v>
      </c>
      <c r="AI2432" s="30" t="str">
        <f>IF(OR(J2432&lt;&gt;"Karakter",pub_gid_0_single_true_output_csv[[#This Row],[Nilai2]]=""),"",IF(AF2432&gt;89,"Sangat baik",IF(AF2432&gt;79,"Baik",IF(AF2432&gt;69,"Cukup",IF(AF2432&gt;59,"Kurang","Sangat kurang")))))</f>
        <v>Baik</v>
      </c>
      <c r="AJ2432" t="str">
        <f t="shared" si="113"/>
        <v>Wk.4</v>
      </c>
      <c r="AK2432" t="str">
        <f>IF(pub_gid_0_single_true_output_csv[[#This Row],[Nilai2]]="","",VLOOKUP(pub_gid_0_single_true_output_csv[[#This Row],[NAMA]],Table7[],3,FALSE))</f>
        <v>Borderline</v>
      </c>
    </row>
    <row r="2433" spans="1:37" x14ac:dyDescent="0.2">
      <c r="A2433">
        <v>2432</v>
      </c>
      <c r="B2433" t="s">
        <v>317</v>
      </c>
      <c r="C2433" t="s">
        <v>65</v>
      </c>
      <c r="D2433" t="s">
        <v>62</v>
      </c>
      <c r="E2433" t="s">
        <v>140</v>
      </c>
      <c r="F2433" s="25">
        <v>46043</v>
      </c>
      <c r="G2433" t="s">
        <v>341</v>
      </c>
      <c r="H2433" t="s">
        <v>405</v>
      </c>
      <c r="I2433" t="s">
        <v>371</v>
      </c>
      <c r="J2433" t="s">
        <v>279</v>
      </c>
      <c r="K2433" t="s">
        <v>280</v>
      </c>
      <c r="L2433" t="s">
        <v>322</v>
      </c>
      <c r="M2433" t="s">
        <v>141</v>
      </c>
      <c r="N2433" t="s">
        <v>142</v>
      </c>
      <c r="O2433" t="s">
        <v>327</v>
      </c>
      <c r="P2433" t="s">
        <v>281</v>
      </c>
      <c r="Q2433" t="s">
        <v>328</v>
      </c>
      <c r="R2433" t="s">
        <v>360</v>
      </c>
      <c r="S2433" t="s">
        <v>330</v>
      </c>
      <c r="T2433">
        <v>1</v>
      </c>
      <c r="U2433" t="s">
        <v>456</v>
      </c>
      <c r="V2433" t="s">
        <v>285</v>
      </c>
      <c r="W2433" t="s">
        <v>457</v>
      </c>
      <c r="X2433" t="s">
        <v>331</v>
      </c>
      <c r="Y2433" t="s">
        <v>307</v>
      </c>
      <c r="Z2433">
        <v>70</v>
      </c>
      <c r="AA2433">
        <v>70</v>
      </c>
      <c r="AB2433" t="s">
        <v>143</v>
      </c>
      <c r="AC2433" t="s">
        <v>53</v>
      </c>
      <c r="AD2433" t="s">
        <v>404</v>
      </c>
      <c r="AE2433" t="str">
        <f>IF(AF2433="","",VLOOKUP(AC2433,mapel!$A$2:$B$42,2,FALSE))</f>
        <v>Sejarah</v>
      </c>
      <c r="AF2433">
        <f t="shared" si="111"/>
        <v>70</v>
      </c>
      <c r="AG2433" t="str">
        <f>IF(AF2433="","",IF(AF2433&gt;90,"Sangat baik",IF(AF2433&gt;79,"Baik",IF(AF2433&gt;=pub_gid_0_single_true_output_csv[[#This Row],[KKM]],"Cukup","Kurang"))))</f>
        <v>Cukup</v>
      </c>
      <c r="AH2433">
        <f t="shared" si="112"/>
        <v>12</v>
      </c>
      <c r="AI2433" s="30" t="str">
        <f>IF(OR(J2433&lt;&gt;"Karakter",pub_gid_0_single_true_output_csv[[#This Row],[Nilai2]]=""),"",IF(AF2433&gt;89,"Sangat baik",IF(AF2433&gt;79,"Baik",IF(AF2433&gt;69,"Cukup",IF(AF2433&gt;59,"Kurang","Sangat kurang")))))</f>
        <v/>
      </c>
      <c r="AJ2433" t="str">
        <f t="shared" si="113"/>
        <v>Wk.4</v>
      </c>
      <c r="AK2433" t="str">
        <f>IF(pub_gid_0_single_true_output_csv[[#This Row],[Nilai2]]="","",VLOOKUP(pub_gid_0_single_true_output_csv[[#This Row],[NAMA]],Table7[],3,FALSE))</f>
        <v>Borderline</v>
      </c>
    </row>
    <row r="2434" spans="1:37" x14ac:dyDescent="0.2">
      <c r="A2434">
        <v>2433</v>
      </c>
      <c r="B2434" t="s">
        <v>317</v>
      </c>
      <c r="C2434" t="s">
        <v>65</v>
      </c>
      <c r="D2434" t="s">
        <v>62</v>
      </c>
      <c r="E2434" t="s">
        <v>140</v>
      </c>
      <c r="F2434" s="25">
        <v>46050</v>
      </c>
      <c r="G2434" t="s">
        <v>308</v>
      </c>
      <c r="H2434" t="s">
        <v>405</v>
      </c>
      <c r="I2434" t="s">
        <v>371</v>
      </c>
      <c r="J2434" t="s">
        <v>36</v>
      </c>
      <c r="K2434" t="s">
        <v>37</v>
      </c>
      <c r="L2434" t="s">
        <v>351</v>
      </c>
      <c r="M2434" t="s">
        <v>141</v>
      </c>
      <c r="N2434" t="s">
        <v>142</v>
      </c>
      <c r="O2434" t="s">
        <v>327</v>
      </c>
      <c r="P2434" t="s">
        <v>281</v>
      </c>
      <c r="Q2434" t="s">
        <v>328</v>
      </c>
      <c r="R2434" t="s">
        <v>360</v>
      </c>
      <c r="S2434" t="s">
        <v>375</v>
      </c>
      <c r="T2434">
        <v>1</v>
      </c>
      <c r="U2434" t="s">
        <v>456</v>
      </c>
      <c r="V2434" t="s">
        <v>342</v>
      </c>
      <c r="W2434" t="s">
        <v>458</v>
      </c>
      <c r="X2434" t="s">
        <v>331</v>
      </c>
      <c r="Y2434" t="s">
        <v>307</v>
      </c>
      <c r="Z2434">
        <v>70</v>
      </c>
      <c r="AA2434">
        <v>70</v>
      </c>
      <c r="AB2434" t="s">
        <v>143</v>
      </c>
      <c r="AC2434" t="s">
        <v>53</v>
      </c>
      <c r="AD2434" t="s">
        <v>404</v>
      </c>
      <c r="AE2434" t="str">
        <f>IF(AF2434="","",VLOOKUP(AC2434,mapel!$A$2:$B$42,2,FALSE))</f>
        <v>Sejarah</v>
      </c>
      <c r="AF2434">
        <f t="shared" ref="AF2434:AF2497" si="114">IF(AA2434=0, "",IF(AA2434 = 0.1, 0,AA2434))</f>
        <v>70</v>
      </c>
      <c r="AG2434" t="str">
        <f>IF(AF2434="","",IF(AF2434&gt;90,"Sangat baik",IF(AF2434&gt;79,"Baik",IF(AF2434&gt;=pub_gid_0_single_true_output_csv[[#This Row],[KKM]],"Cukup","Kurang"))))</f>
        <v>Cukup</v>
      </c>
      <c r="AH2434">
        <f t="shared" ref="AH2434:AH2497" si="115">IF(AG2434="","",VALUE(RIGHT(X2434,2)))</f>
        <v>12</v>
      </c>
      <c r="AI2434" s="30" t="str">
        <f>IF(OR(J2434&lt;&gt;"Karakter",pub_gid_0_single_true_output_csv[[#This Row],[Nilai2]]=""),"",IF(AF2434&gt;89,"Sangat baik",IF(AF2434&gt;79,"Baik",IF(AF2434&gt;69,"Cukup",IF(AF2434&gt;59,"Kurang","Sangat kurang")))))</f>
        <v/>
      </c>
      <c r="AJ2434" t="str">
        <f t="shared" ref="AJ2434:AJ2497" si="116">IF(AF2434="","",CONCATENATE("Wk.",WEEKNUM(F2434,2)))</f>
        <v>Wk.5</v>
      </c>
      <c r="AK2434" t="str">
        <f>IF(pub_gid_0_single_true_output_csv[[#This Row],[Nilai2]]="","",VLOOKUP(pub_gid_0_single_true_output_csv[[#This Row],[NAMA]],Table7[],3,FALSE))</f>
        <v>Borderline</v>
      </c>
    </row>
    <row r="2435" spans="1:37" x14ac:dyDescent="0.2">
      <c r="A2435">
        <v>2434</v>
      </c>
      <c r="B2435" t="s">
        <v>317</v>
      </c>
      <c r="C2435" t="s">
        <v>65</v>
      </c>
      <c r="D2435" t="s">
        <v>62</v>
      </c>
      <c r="E2435" t="s">
        <v>140</v>
      </c>
      <c r="F2435" s="25">
        <v>46050</v>
      </c>
      <c r="G2435" t="s">
        <v>308</v>
      </c>
      <c r="H2435" t="s">
        <v>405</v>
      </c>
      <c r="I2435" t="s">
        <v>371</v>
      </c>
      <c r="J2435" t="s">
        <v>31</v>
      </c>
      <c r="K2435" t="s">
        <v>96</v>
      </c>
      <c r="L2435" t="s">
        <v>351</v>
      </c>
      <c r="M2435" t="s">
        <v>141</v>
      </c>
      <c r="N2435" t="s">
        <v>142</v>
      </c>
      <c r="O2435" t="s">
        <v>327</v>
      </c>
      <c r="P2435" t="s">
        <v>281</v>
      </c>
      <c r="Q2435" t="s">
        <v>328</v>
      </c>
      <c r="R2435" t="s">
        <v>360</v>
      </c>
      <c r="S2435" t="s">
        <v>375</v>
      </c>
      <c r="T2435">
        <v>1</v>
      </c>
      <c r="U2435" t="s">
        <v>456</v>
      </c>
      <c r="V2435" t="s">
        <v>342</v>
      </c>
      <c r="W2435" t="s">
        <v>458</v>
      </c>
      <c r="X2435" t="s">
        <v>331</v>
      </c>
      <c r="Y2435" t="s">
        <v>307</v>
      </c>
      <c r="Z2435">
        <v>70</v>
      </c>
      <c r="AA2435">
        <v>70</v>
      </c>
      <c r="AB2435" t="s">
        <v>143</v>
      </c>
      <c r="AC2435" t="s">
        <v>53</v>
      </c>
      <c r="AD2435" t="s">
        <v>404</v>
      </c>
      <c r="AE2435" t="str">
        <f>IF(AF2435="","",VLOOKUP(AC2435,mapel!$A$2:$B$42,2,FALSE))</f>
        <v>Sejarah</v>
      </c>
      <c r="AF2435">
        <f t="shared" si="114"/>
        <v>70</v>
      </c>
      <c r="AG2435" t="str">
        <f>IF(AF2435="","",IF(AF2435&gt;90,"Sangat baik",IF(AF2435&gt;79,"Baik",IF(AF2435&gt;=pub_gid_0_single_true_output_csv[[#This Row],[KKM]],"Cukup","Kurang"))))</f>
        <v>Cukup</v>
      </c>
      <c r="AH2435">
        <f t="shared" si="115"/>
        <v>12</v>
      </c>
      <c r="AI2435" s="30" t="str">
        <f>IF(OR(J2435&lt;&gt;"Karakter",pub_gid_0_single_true_output_csv[[#This Row],[Nilai2]]=""),"",IF(AF2435&gt;89,"Sangat baik",IF(AF2435&gt;79,"Baik",IF(AF2435&gt;69,"Cukup",IF(AF2435&gt;59,"Kurang","Sangat kurang")))))</f>
        <v/>
      </c>
      <c r="AJ2435" t="str">
        <f t="shared" si="116"/>
        <v>Wk.5</v>
      </c>
      <c r="AK2435" t="str">
        <f>IF(pub_gid_0_single_true_output_csv[[#This Row],[Nilai2]]="","",VLOOKUP(pub_gid_0_single_true_output_csv[[#This Row],[NAMA]],Table7[],3,FALSE))</f>
        <v>Borderline</v>
      </c>
    </row>
    <row r="2436" spans="1:37" x14ac:dyDescent="0.2">
      <c r="A2436">
        <v>2435</v>
      </c>
      <c r="B2436" t="s">
        <v>317</v>
      </c>
      <c r="C2436" t="s">
        <v>65</v>
      </c>
      <c r="D2436" t="s">
        <v>62</v>
      </c>
      <c r="E2436" t="s">
        <v>140</v>
      </c>
      <c r="F2436" s="25">
        <v>46050</v>
      </c>
      <c r="G2436" t="s">
        <v>308</v>
      </c>
      <c r="H2436" t="s">
        <v>405</v>
      </c>
      <c r="I2436" t="s">
        <v>371</v>
      </c>
      <c r="J2436" t="s">
        <v>90</v>
      </c>
      <c r="K2436" t="s">
        <v>92</v>
      </c>
      <c r="L2436" t="s">
        <v>93</v>
      </c>
      <c r="M2436" t="s">
        <v>141</v>
      </c>
      <c r="N2436" t="s">
        <v>142</v>
      </c>
      <c r="O2436" t="s">
        <v>327</v>
      </c>
      <c r="P2436" t="s">
        <v>281</v>
      </c>
      <c r="Q2436" t="s">
        <v>328</v>
      </c>
      <c r="R2436" t="s">
        <v>360</v>
      </c>
      <c r="S2436" t="s">
        <v>375</v>
      </c>
      <c r="T2436">
        <v>1</v>
      </c>
      <c r="U2436" t="s">
        <v>456</v>
      </c>
      <c r="V2436" t="s">
        <v>342</v>
      </c>
      <c r="W2436" t="s">
        <v>458</v>
      </c>
      <c r="X2436" t="s">
        <v>331</v>
      </c>
      <c r="Y2436" t="s">
        <v>307</v>
      </c>
      <c r="Z2436">
        <v>70</v>
      </c>
      <c r="AA2436">
        <v>70</v>
      </c>
      <c r="AB2436" t="s">
        <v>143</v>
      </c>
      <c r="AC2436" t="s">
        <v>53</v>
      </c>
      <c r="AD2436" t="s">
        <v>404</v>
      </c>
      <c r="AE2436" t="str">
        <f>IF(AF2436="","",VLOOKUP(AC2436,mapel!$A$2:$B$42,2,FALSE))</f>
        <v>Sejarah</v>
      </c>
      <c r="AF2436">
        <f t="shared" si="114"/>
        <v>70</v>
      </c>
      <c r="AG2436" t="str">
        <f>IF(AF2436="","",IF(AF2436&gt;90,"Sangat baik",IF(AF2436&gt;79,"Baik",IF(AF2436&gt;=pub_gid_0_single_true_output_csv[[#This Row],[KKM]],"Cukup","Kurang"))))</f>
        <v>Cukup</v>
      </c>
      <c r="AH2436">
        <f t="shared" si="115"/>
        <v>12</v>
      </c>
      <c r="AI2436" s="30" t="str">
        <f>IF(OR(J2436&lt;&gt;"Karakter",pub_gid_0_single_true_output_csv[[#This Row],[Nilai2]]=""),"",IF(AF2436&gt;89,"Sangat baik",IF(AF2436&gt;79,"Baik",IF(AF2436&gt;69,"Cukup",IF(AF2436&gt;59,"Kurang","Sangat kurang")))))</f>
        <v>Cukup</v>
      </c>
      <c r="AJ2436" t="str">
        <f t="shared" si="116"/>
        <v>Wk.5</v>
      </c>
      <c r="AK2436" t="str">
        <f>IF(pub_gid_0_single_true_output_csv[[#This Row],[Nilai2]]="","",VLOOKUP(pub_gid_0_single_true_output_csv[[#This Row],[NAMA]],Table7[],3,FALSE))</f>
        <v>Borderline</v>
      </c>
    </row>
    <row r="2437" spans="1:37" x14ac:dyDescent="0.2">
      <c r="A2437">
        <v>2436</v>
      </c>
      <c r="B2437" t="s">
        <v>317</v>
      </c>
      <c r="C2437" t="s">
        <v>65</v>
      </c>
      <c r="D2437" t="s">
        <v>62</v>
      </c>
      <c r="E2437" t="s">
        <v>140</v>
      </c>
      <c r="F2437" s="25">
        <v>46050</v>
      </c>
      <c r="G2437" t="s">
        <v>308</v>
      </c>
      <c r="H2437" t="s">
        <v>405</v>
      </c>
      <c r="I2437" t="s">
        <v>371</v>
      </c>
      <c r="J2437" t="s">
        <v>279</v>
      </c>
      <c r="K2437" t="s">
        <v>280</v>
      </c>
      <c r="L2437" t="s">
        <v>322</v>
      </c>
      <c r="M2437" t="s">
        <v>141</v>
      </c>
      <c r="N2437" t="s">
        <v>142</v>
      </c>
      <c r="O2437" t="s">
        <v>327</v>
      </c>
      <c r="P2437" t="s">
        <v>281</v>
      </c>
      <c r="Q2437" t="s">
        <v>328</v>
      </c>
      <c r="R2437" t="s">
        <v>360</v>
      </c>
      <c r="S2437" t="s">
        <v>375</v>
      </c>
      <c r="T2437">
        <v>1</v>
      </c>
      <c r="U2437" t="s">
        <v>456</v>
      </c>
      <c r="V2437" t="s">
        <v>342</v>
      </c>
      <c r="W2437" t="s">
        <v>458</v>
      </c>
      <c r="X2437" t="s">
        <v>331</v>
      </c>
      <c r="Y2437" t="s">
        <v>307</v>
      </c>
      <c r="Z2437">
        <v>70</v>
      </c>
      <c r="AA2437">
        <v>69</v>
      </c>
      <c r="AB2437" t="s">
        <v>151</v>
      </c>
      <c r="AC2437" t="s">
        <v>53</v>
      </c>
      <c r="AD2437" t="s">
        <v>404</v>
      </c>
      <c r="AE2437" t="str">
        <f>IF(AF2437="","",VLOOKUP(AC2437,mapel!$A$2:$B$42,2,FALSE))</f>
        <v>Sejarah</v>
      </c>
      <c r="AF2437">
        <f t="shared" si="114"/>
        <v>69</v>
      </c>
      <c r="AG2437" t="str">
        <f>IF(AF2437="","",IF(AF2437&gt;90,"Sangat baik",IF(AF2437&gt;79,"Baik",IF(AF2437&gt;=pub_gid_0_single_true_output_csv[[#This Row],[KKM]],"Cukup","Kurang"))))</f>
        <v>Kurang</v>
      </c>
      <c r="AH2437">
        <f t="shared" si="115"/>
        <v>12</v>
      </c>
      <c r="AI2437" s="30" t="str">
        <f>IF(OR(J2437&lt;&gt;"Karakter",pub_gid_0_single_true_output_csv[[#This Row],[Nilai2]]=""),"",IF(AF2437&gt;89,"Sangat baik",IF(AF2437&gt;79,"Baik",IF(AF2437&gt;69,"Cukup",IF(AF2437&gt;59,"Kurang","Sangat kurang")))))</f>
        <v/>
      </c>
      <c r="AJ2437" t="str">
        <f t="shared" si="116"/>
        <v>Wk.5</v>
      </c>
      <c r="AK2437" t="str">
        <f>IF(pub_gid_0_single_true_output_csv[[#This Row],[Nilai2]]="","",VLOOKUP(pub_gid_0_single_true_output_csv[[#This Row],[NAMA]],Table7[],3,FALSE))</f>
        <v>Borderline</v>
      </c>
    </row>
    <row r="2438" spans="1:37" x14ac:dyDescent="0.2">
      <c r="A2438">
        <v>2437</v>
      </c>
      <c r="B2438" t="s">
        <v>317</v>
      </c>
      <c r="C2438" t="s">
        <v>65</v>
      </c>
      <c r="D2438" t="s">
        <v>62</v>
      </c>
      <c r="E2438" t="s">
        <v>140</v>
      </c>
      <c r="F2438" s="25">
        <v>46050</v>
      </c>
      <c r="G2438" t="s">
        <v>308</v>
      </c>
      <c r="H2438" t="s">
        <v>405</v>
      </c>
      <c r="I2438" t="s">
        <v>371</v>
      </c>
      <c r="J2438" t="s">
        <v>36</v>
      </c>
      <c r="K2438" t="s">
        <v>37</v>
      </c>
      <c r="L2438" t="s">
        <v>150</v>
      </c>
      <c r="M2438" t="s">
        <v>141</v>
      </c>
      <c r="N2438" t="s">
        <v>142</v>
      </c>
      <c r="O2438" t="s">
        <v>327</v>
      </c>
      <c r="P2438" t="s">
        <v>281</v>
      </c>
      <c r="Q2438" t="s">
        <v>328</v>
      </c>
      <c r="R2438" t="s">
        <v>360</v>
      </c>
      <c r="S2438" t="s">
        <v>375</v>
      </c>
      <c r="T2438">
        <v>1</v>
      </c>
      <c r="U2438" t="s">
        <v>456</v>
      </c>
      <c r="V2438" t="s">
        <v>342</v>
      </c>
      <c r="W2438" t="s">
        <v>458</v>
      </c>
      <c r="X2438" t="s">
        <v>331</v>
      </c>
      <c r="Y2438" t="s">
        <v>307</v>
      </c>
      <c r="Z2438">
        <v>70</v>
      </c>
      <c r="AA2438">
        <v>69</v>
      </c>
      <c r="AB2438" t="s">
        <v>151</v>
      </c>
      <c r="AC2438" t="s">
        <v>53</v>
      </c>
      <c r="AD2438" t="s">
        <v>404</v>
      </c>
      <c r="AE2438" t="str">
        <f>IF(AF2438="","",VLOOKUP(AC2438,mapel!$A$2:$B$42,2,FALSE))</f>
        <v>Sejarah</v>
      </c>
      <c r="AF2438">
        <f t="shared" si="114"/>
        <v>69</v>
      </c>
      <c r="AG2438" t="str">
        <f>IF(AF2438="","",IF(AF2438&gt;90,"Sangat baik",IF(AF2438&gt;79,"Baik",IF(AF2438&gt;=pub_gid_0_single_true_output_csv[[#This Row],[KKM]],"Cukup","Kurang"))))</f>
        <v>Kurang</v>
      </c>
      <c r="AH2438">
        <f t="shared" si="115"/>
        <v>12</v>
      </c>
      <c r="AI2438" s="30" t="str">
        <f>IF(OR(J2438&lt;&gt;"Karakter",pub_gid_0_single_true_output_csv[[#This Row],[Nilai2]]=""),"",IF(AF2438&gt;89,"Sangat baik",IF(AF2438&gt;79,"Baik",IF(AF2438&gt;69,"Cukup",IF(AF2438&gt;59,"Kurang","Sangat kurang")))))</f>
        <v/>
      </c>
      <c r="AJ2438" t="str">
        <f t="shared" si="116"/>
        <v>Wk.5</v>
      </c>
      <c r="AK2438" t="str">
        <f>IF(pub_gid_0_single_true_output_csv[[#This Row],[Nilai2]]="","",VLOOKUP(pub_gid_0_single_true_output_csv[[#This Row],[NAMA]],Table7[],3,FALSE))</f>
        <v>Borderline</v>
      </c>
    </row>
    <row r="2439" spans="1:37" x14ac:dyDescent="0.2">
      <c r="A2439">
        <v>2438</v>
      </c>
      <c r="B2439" t="s">
        <v>317</v>
      </c>
      <c r="C2439" t="s">
        <v>65</v>
      </c>
      <c r="D2439" t="s">
        <v>62</v>
      </c>
      <c r="E2439" t="s">
        <v>140</v>
      </c>
      <c r="F2439" s="25">
        <v>46050</v>
      </c>
      <c r="G2439" t="s">
        <v>308</v>
      </c>
      <c r="H2439" t="s">
        <v>405</v>
      </c>
      <c r="I2439" t="s">
        <v>371</v>
      </c>
      <c r="J2439" t="s">
        <v>31</v>
      </c>
      <c r="K2439" t="s">
        <v>32</v>
      </c>
      <c r="L2439" t="s">
        <v>367</v>
      </c>
      <c r="M2439" t="s">
        <v>141</v>
      </c>
      <c r="N2439" t="s">
        <v>142</v>
      </c>
      <c r="O2439" t="s">
        <v>327</v>
      </c>
      <c r="P2439" t="s">
        <v>281</v>
      </c>
      <c r="Q2439" t="s">
        <v>328</v>
      </c>
      <c r="R2439" t="s">
        <v>360</v>
      </c>
      <c r="S2439" t="s">
        <v>375</v>
      </c>
      <c r="T2439">
        <v>1</v>
      </c>
      <c r="U2439" t="s">
        <v>456</v>
      </c>
      <c r="V2439" t="s">
        <v>342</v>
      </c>
      <c r="W2439" t="s">
        <v>458</v>
      </c>
      <c r="X2439" t="s">
        <v>331</v>
      </c>
      <c r="Y2439" t="s">
        <v>307</v>
      </c>
      <c r="Z2439">
        <v>70</v>
      </c>
      <c r="AA2439">
        <v>60</v>
      </c>
      <c r="AB2439" t="s">
        <v>151</v>
      </c>
      <c r="AC2439" t="s">
        <v>53</v>
      </c>
      <c r="AD2439" t="s">
        <v>404</v>
      </c>
      <c r="AE2439" t="str">
        <f>IF(AF2439="","",VLOOKUP(AC2439,mapel!$A$2:$B$42,2,FALSE))</f>
        <v>Sejarah</v>
      </c>
      <c r="AF2439">
        <f t="shared" si="114"/>
        <v>60</v>
      </c>
      <c r="AG2439" t="str">
        <f>IF(AF2439="","",IF(AF2439&gt;90,"Sangat baik",IF(AF2439&gt;79,"Baik",IF(AF2439&gt;=pub_gid_0_single_true_output_csv[[#This Row],[KKM]],"Cukup","Kurang"))))</f>
        <v>Kurang</v>
      </c>
      <c r="AH2439">
        <f t="shared" si="115"/>
        <v>12</v>
      </c>
      <c r="AI2439" s="30" t="str">
        <f>IF(OR(J2439&lt;&gt;"Karakter",pub_gid_0_single_true_output_csv[[#This Row],[Nilai2]]=""),"",IF(AF2439&gt;89,"Sangat baik",IF(AF2439&gt;79,"Baik",IF(AF2439&gt;69,"Cukup",IF(AF2439&gt;59,"Kurang","Sangat kurang")))))</f>
        <v/>
      </c>
      <c r="AJ2439" t="str">
        <f t="shared" si="116"/>
        <v>Wk.5</v>
      </c>
      <c r="AK2439" t="str">
        <f>IF(pub_gid_0_single_true_output_csv[[#This Row],[Nilai2]]="","",VLOOKUP(pub_gid_0_single_true_output_csv[[#This Row],[NAMA]],Table7[],3,FALSE))</f>
        <v>Borderline</v>
      </c>
    </row>
    <row r="2440" spans="1:37" x14ac:dyDescent="0.2">
      <c r="A2440">
        <v>2439</v>
      </c>
      <c r="B2440" t="s">
        <v>317</v>
      </c>
      <c r="C2440" t="s">
        <v>65</v>
      </c>
      <c r="D2440" t="s">
        <v>62</v>
      </c>
      <c r="E2440" t="s">
        <v>140</v>
      </c>
      <c r="F2440" s="25">
        <v>46052</v>
      </c>
      <c r="G2440" t="s">
        <v>304</v>
      </c>
      <c r="H2440" t="s">
        <v>405</v>
      </c>
      <c r="I2440" t="s">
        <v>371</v>
      </c>
      <c r="J2440" t="s">
        <v>90</v>
      </c>
      <c r="K2440" t="s">
        <v>92</v>
      </c>
      <c r="L2440" t="s">
        <v>93</v>
      </c>
      <c r="M2440" t="s">
        <v>141</v>
      </c>
      <c r="N2440" t="s">
        <v>142</v>
      </c>
      <c r="O2440" t="s">
        <v>327</v>
      </c>
      <c r="P2440" t="s">
        <v>281</v>
      </c>
      <c r="Q2440" t="s">
        <v>328</v>
      </c>
      <c r="R2440" t="s">
        <v>360</v>
      </c>
      <c r="S2440" t="s">
        <v>375</v>
      </c>
      <c r="T2440">
        <v>1</v>
      </c>
      <c r="U2440" t="s">
        <v>456</v>
      </c>
      <c r="V2440" t="s">
        <v>342</v>
      </c>
      <c r="W2440" t="s">
        <v>458</v>
      </c>
      <c r="X2440" t="s">
        <v>331</v>
      </c>
      <c r="Y2440" t="s">
        <v>307</v>
      </c>
      <c r="Z2440">
        <v>70</v>
      </c>
      <c r="AA2440">
        <v>70</v>
      </c>
      <c r="AB2440" t="s">
        <v>143</v>
      </c>
      <c r="AC2440" t="s">
        <v>53</v>
      </c>
      <c r="AD2440" t="s">
        <v>404</v>
      </c>
      <c r="AE2440" t="str">
        <f>IF(AF2440="","",VLOOKUP(AC2440,mapel!$A$2:$B$42,2,FALSE))</f>
        <v>Sejarah</v>
      </c>
      <c r="AF2440">
        <f t="shared" si="114"/>
        <v>70</v>
      </c>
      <c r="AG2440" t="str">
        <f>IF(AF2440="","",IF(AF2440&gt;90,"Sangat baik",IF(AF2440&gt;79,"Baik",IF(AF2440&gt;=pub_gid_0_single_true_output_csv[[#This Row],[KKM]],"Cukup","Kurang"))))</f>
        <v>Cukup</v>
      </c>
      <c r="AH2440">
        <f t="shared" si="115"/>
        <v>12</v>
      </c>
      <c r="AI2440" s="30" t="str">
        <f>IF(OR(J2440&lt;&gt;"Karakter",pub_gid_0_single_true_output_csv[[#This Row],[Nilai2]]=""),"",IF(AF2440&gt;89,"Sangat baik",IF(AF2440&gt;79,"Baik",IF(AF2440&gt;69,"Cukup",IF(AF2440&gt;59,"Kurang","Sangat kurang")))))</f>
        <v>Cukup</v>
      </c>
      <c r="AJ2440" t="str">
        <f t="shared" si="116"/>
        <v>Wk.5</v>
      </c>
      <c r="AK2440" t="str">
        <f>IF(pub_gid_0_single_true_output_csv[[#This Row],[Nilai2]]="","",VLOOKUP(pub_gid_0_single_true_output_csv[[#This Row],[NAMA]],Table7[],3,FALSE))</f>
        <v>Borderline</v>
      </c>
    </row>
    <row r="2441" spans="1:37" x14ac:dyDescent="0.2">
      <c r="A2441">
        <v>2440</v>
      </c>
      <c r="B2441" t="s">
        <v>317</v>
      </c>
      <c r="C2441" t="s">
        <v>65</v>
      </c>
      <c r="D2441" t="s">
        <v>62</v>
      </c>
      <c r="E2441" t="s">
        <v>140</v>
      </c>
      <c r="F2441" s="25">
        <v>46057</v>
      </c>
      <c r="G2441" t="s">
        <v>348</v>
      </c>
      <c r="H2441" t="s">
        <v>412</v>
      </c>
      <c r="I2441" t="s">
        <v>371</v>
      </c>
      <c r="J2441" t="s">
        <v>279</v>
      </c>
      <c r="K2441" t="s">
        <v>280</v>
      </c>
      <c r="L2441" t="s">
        <v>322</v>
      </c>
      <c r="M2441" t="s">
        <v>141</v>
      </c>
      <c r="N2441" t="s">
        <v>142</v>
      </c>
      <c r="O2441" t="s">
        <v>327</v>
      </c>
      <c r="P2441" t="s">
        <v>281</v>
      </c>
      <c r="Q2441" t="s">
        <v>328</v>
      </c>
      <c r="R2441" t="s">
        <v>360</v>
      </c>
      <c r="S2441" t="s">
        <v>375</v>
      </c>
      <c r="T2441">
        <v>1</v>
      </c>
      <c r="U2441" t="s">
        <v>456</v>
      </c>
      <c r="V2441" t="s">
        <v>342</v>
      </c>
      <c r="W2441" t="s">
        <v>458</v>
      </c>
      <c r="X2441" t="s">
        <v>331</v>
      </c>
      <c r="Y2441" t="s">
        <v>307</v>
      </c>
      <c r="Z2441">
        <v>70</v>
      </c>
      <c r="AA2441">
        <v>70</v>
      </c>
      <c r="AB2441" t="s">
        <v>143</v>
      </c>
      <c r="AC2441" t="s">
        <v>53</v>
      </c>
      <c r="AD2441" t="s">
        <v>404</v>
      </c>
      <c r="AE2441" t="str">
        <f>IF(AF2441="","",VLOOKUP(AC2441,mapel!$A$2:$B$42,2,FALSE))</f>
        <v>Sejarah</v>
      </c>
      <c r="AF2441">
        <f t="shared" si="114"/>
        <v>70</v>
      </c>
      <c r="AG2441" t="str">
        <f>IF(AF2441="","",IF(AF2441&gt;90,"Sangat baik",IF(AF2441&gt;79,"Baik",IF(AF2441&gt;=pub_gid_0_single_true_output_csv[[#This Row],[KKM]],"Cukup","Kurang"))))</f>
        <v>Cukup</v>
      </c>
      <c r="AH2441">
        <f t="shared" si="115"/>
        <v>12</v>
      </c>
      <c r="AI2441" s="30" t="str">
        <f>IF(OR(J2441&lt;&gt;"Karakter",pub_gid_0_single_true_output_csv[[#This Row],[Nilai2]]=""),"",IF(AF2441&gt;89,"Sangat baik",IF(AF2441&gt;79,"Baik",IF(AF2441&gt;69,"Cukup",IF(AF2441&gt;59,"Kurang","Sangat kurang")))))</f>
        <v/>
      </c>
      <c r="AJ2441" t="str">
        <f t="shared" si="116"/>
        <v>Wk.6</v>
      </c>
      <c r="AK2441" t="str">
        <f>IF(pub_gid_0_single_true_output_csv[[#This Row],[Nilai2]]="","",VLOOKUP(pub_gid_0_single_true_output_csv[[#This Row],[NAMA]],Table7[],3,FALSE))</f>
        <v>Borderline</v>
      </c>
    </row>
    <row r="2442" spans="1:37" x14ac:dyDescent="0.2">
      <c r="A2442">
        <v>2441</v>
      </c>
      <c r="B2442" t="s">
        <v>317</v>
      </c>
      <c r="C2442" t="s">
        <v>65</v>
      </c>
      <c r="D2442" t="s">
        <v>62</v>
      </c>
      <c r="E2442" t="s">
        <v>140</v>
      </c>
      <c r="F2442" s="25">
        <v>46057</v>
      </c>
      <c r="G2442" t="s">
        <v>348</v>
      </c>
      <c r="H2442" t="s">
        <v>412</v>
      </c>
      <c r="I2442" t="s">
        <v>371</v>
      </c>
      <c r="J2442" t="s">
        <v>36</v>
      </c>
      <c r="K2442" t="s">
        <v>37</v>
      </c>
      <c r="L2442" t="s">
        <v>351</v>
      </c>
      <c r="M2442" t="s">
        <v>141</v>
      </c>
      <c r="N2442" t="s">
        <v>142</v>
      </c>
      <c r="O2442" t="s">
        <v>327</v>
      </c>
      <c r="P2442" t="s">
        <v>281</v>
      </c>
      <c r="Q2442" t="s">
        <v>328</v>
      </c>
      <c r="R2442" t="s">
        <v>360</v>
      </c>
      <c r="S2442" t="s">
        <v>392</v>
      </c>
      <c r="T2442">
        <v>1</v>
      </c>
      <c r="U2442" t="s">
        <v>456</v>
      </c>
      <c r="V2442" t="s">
        <v>343</v>
      </c>
      <c r="W2442" t="s">
        <v>459</v>
      </c>
      <c r="X2442" t="s">
        <v>331</v>
      </c>
      <c r="Y2442" t="s">
        <v>307</v>
      </c>
      <c r="Z2442">
        <v>70</v>
      </c>
      <c r="AA2442">
        <v>50</v>
      </c>
      <c r="AB2442" t="s">
        <v>151</v>
      </c>
      <c r="AC2442" t="s">
        <v>53</v>
      </c>
      <c r="AD2442" t="s">
        <v>404</v>
      </c>
      <c r="AE2442" t="str">
        <f>IF(AF2442="","",VLOOKUP(AC2442,mapel!$A$2:$B$42,2,FALSE))</f>
        <v>Sejarah</v>
      </c>
      <c r="AF2442">
        <f t="shared" si="114"/>
        <v>50</v>
      </c>
      <c r="AG2442" t="str">
        <f>IF(AF2442="","",IF(AF2442&gt;90,"Sangat baik",IF(AF2442&gt;79,"Baik",IF(AF2442&gt;=pub_gid_0_single_true_output_csv[[#This Row],[KKM]],"Cukup","Kurang"))))</f>
        <v>Kurang</v>
      </c>
      <c r="AH2442">
        <f t="shared" si="115"/>
        <v>12</v>
      </c>
      <c r="AI2442" s="30" t="str">
        <f>IF(OR(J2442&lt;&gt;"Karakter",pub_gid_0_single_true_output_csv[[#This Row],[Nilai2]]=""),"",IF(AF2442&gt;89,"Sangat baik",IF(AF2442&gt;79,"Baik",IF(AF2442&gt;69,"Cukup",IF(AF2442&gt;59,"Kurang","Sangat kurang")))))</f>
        <v/>
      </c>
      <c r="AJ2442" t="str">
        <f t="shared" si="116"/>
        <v>Wk.6</v>
      </c>
      <c r="AK2442" t="str">
        <f>IF(pub_gid_0_single_true_output_csv[[#This Row],[Nilai2]]="","",VLOOKUP(pub_gid_0_single_true_output_csv[[#This Row],[NAMA]],Table7[],3,FALSE))</f>
        <v>Borderline</v>
      </c>
    </row>
    <row r="2443" spans="1:37" x14ac:dyDescent="0.2">
      <c r="A2443">
        <v>2442</v>
      </c>
      <c r="B2443" t="s">
        <v>317</v>
      </c>
      <c r="C2443" t="s">
        <v>65</v>
      </c>
      <c r="D2443" t="s">
        <v>62</v>
      </c>
      <c r="E2443" t="s">
        <v>140</v>
      </c>
      <c r="F2443" s="25">
        <v>46057</v>
      </c>
      <c r="G2443" t="s">
        <v>348</v>
      </c>
      <c r="H2443" t="s">
        <v>412</v>
      </c>
      <c r="I2443" t="s">
        <v>371</v>
      </c>
      <c r="J2443" t="s">
        <v>31</v>
      </c>
      <c r="K2443" t="s">
        <v>96</v>
      </c>
      <c r="L2443" t="s">
        <v>351</v>
      </c>
      <c r="M2443" t="s">
        <v>141</v>
      </c>
      <c r="N2443" t="s">
        <v>142</v>
      </c>
      <c r="O2443" t="s">
        <v>327</v>
      </c>
      <c r="P2443" t="s">
        <v>281</v>
      </c>
      <c r="Q2443" t="s">
        <v>328</v>
      </c>
      <c r="R2443" t="s">
        <v>360</v>
      </c>
      <c r="S2443" t="s">
        <v>392</v>
      </c>
      <c r="T2443">
        <v>1</v>
      </c>
      <c r="U2443" t="s">
        <v>456</v>
      </c>
      <c r="V2443" t="s">
        <v>343</v>
      </c>
      <c r="W2443" t="s">
        <v>459</v>
      </c>
      <c r="X2443" t="s">
        <v>331</v>
      </c>
      <c r="Y2443" t="s">
        <v>307</v>
      </c>
      <c r="Z2443">
        <v>70</v>
      </c>
      <c r="AA2443">
        <v>69</v>
      </c>
      <c r="AB2443" t="s">
        <v>151</v>
      </c>
      <c r="AC2443" t="s">
        <v>53</v>
      </c>
      <c r="AD2443" t="s">
        <v>404</v>
      </c>
      <c r="AE2443" t="str">
        <f>IF(AF2443="","",VLOOKUP(AC2443,mapel!$A$2:$B$42,2,FALSE))</f>
        <v>Sejarah</v>
      </c>
      <c r="AF2443">
        <f t="shared" si="114"/>
        <v>69</v>
      </c>
      <c r="AG2443" t="str">
        <f>IF(AF2443="","",IF(AF2443&gt;90,"Sangat baik",IF(AF2443&gt;79,"Baik",IF(AF2443&gt;=pub_gid_0_single_true_output_csv[[#This Row],[KKM]],"Cukup","Kurang"))))</f>
        <v>Kurang</v>
      </c>
      <c r="AH2443">
        <f t="shared" si="115"/>
        <v>12</v>
      </c>
      <c r="AI2443" s="30" t="str">
        <f>IF(OR(J2443&lt;&gt;"Karakter",pub_gid_0_single_true_output_csv[[#This Row],[Nilai2]]=""),"",IF(AF2443&gt;89,"Sangat baik",IF(AF2443&gt;79,"Baik",IF(AF2443&gt;69,"Cukup",IF(AF2443&gt;59,"Kurang","Sangat kurang")))))</f>
        <v/>
      </c>
      <c r="AJ2443" t="str">
        <f t="shared" si="116"/>
        <v>Wk.6</v>
      </c>
      <c r="AK2443" t="str">
        <f>IF(pub_gid_0_single_true_output_csv[[#This Row],[Nilai2]]="","",VLOOKUP(pub_gid_0_single_true_output_csv[[#This Row],[NAMA]],Table7[],3,FALSE))</f>
        <v>Borderline</v>
      </c>
    </row>
    <row r="2444" spans="1:37" x14ac:dyDescent="0.2">
      <c r="A2444">
        <v>2443</v>
      </c>
      <c r="B2444" t="s">
        <v>317</v>
      </c>
      <c r="C2444" t="s">
        <v>65</v>
      </c>
      <c r="D2444" t="s">
        <v>62</v>
      </c>
      <c r="E2444" t="s">
        <v>140</v>
      </c>
      <c r="F2444" s="25">
        <v>46057</v>
      </c>
      <c r="G2444" t="s">
        <v>348</v>
      </c>
      <c r="H2444" t="s">
        <v>412</v>
      </c>
      <c r="I2444" t="s">
        <v>371</v>
      </c>
      <c r="J2444" t="s">
        <v>90</v>
      </c>
      <c r="K2444" t="s">
        <v>92</v>
      </c>
      <c r="L2444" t="s">
        <v>91</v>
      </c>
      <c r="M2444" t="s">
        <v>141</v>
      </c>
      <c r="N2444" t="s">
        <v>142</v>
      </c>
      <c r="O2444" t="s">
        <v>327</v>
      </c>
      <c r="P2444" t="s">
        <v>281</v>
      </c>
      <c r="Q2444" t="s">
        <v>328</v>
      </c>
      <c r="R2444" t="s">
        <v>360</v>
      </c>
      <c r="S2444" t="s">
        <v>392</v>
      </c>
      <c r="T2444">
        <v>1</v>
      </c>
      <c r="U2444" t="s">
        <v>456</v>
      </c>
      <c r="V2444" t="s">
        <v>343</v>
      </c>
      <c r="W2444" t="s">
        <v>459</v>
      </c>
      <c r="X2444" t="s">
        <v>331</v>
      </c>
      <c r="Y2444" t="s">
        <v>307</v>
      </c>
      <c r="Z2444">
        <v>70</v>
      </c>
      <c r="AA2444">
        <v>75</v>
      </c>
      <c r="AB2444" t="s">
        <v>143</v>
      </c>
      <c r="AC2444" t="s">
        <v>53</v>
      </c>
      <c r="AD2444" t="s">
        <v>404</v>
      </c>
      <c r="AE2444" t="str">
        <f>IF(AF2444="","",VLOOKUP(AC2444,mapel!$A$2:$B$42,2,FALSE))</f>
        <v>Sejarah</v>
      </c>
      <c r="AF2444">
        <f t="shared" si="114"/>
        <v>75</v>
      </c>
      <c r="AG2444" t="str">
        <f>IF(AF2444="","",IF(AF2444&gt;90,"Sangat baik",IF(AF2444&gt;79,"Baik",IF(AF2444&gt;=pub_gid_0_single_true_output_csv[[#This Row],[KKM]],"Cukup","Kurang"))))</f>
        <v>Cukup</v>
      </c>
      <c r="AH2444">
        <f t="shared" si="115"/>
        <v>12</v>
      </c>
      <c r="AI2444" s="30" t="str">
        <f>IF(OR(J2444&lt;&gt;"Karakter",pub_gid_0_single_true_output_csv[[#This Row],[Nilai2]]=""),"",IF(AF2444&gt;89,"Sangat baik",IF(AF2444&gt;79,"Baik",IF(AF2444&gt;69,"Cukup",IF(AF2444&gt;59,"Kurang","Sangat kurang")))))</f>
        <v>Cukup</v>
      </c>
      <c r="AJ2444" t="str">
        <f t="shared" si="116"/>
        <v>Wk.6</v>
      </c>
      <c r="AK2444" t="str">
        <f>IF(pub_gid_0_single_true_output_csv[[#This Row],[Nilai2]]="","",VLOOKUP(pub_gid_0_single_true_output_csv[[#This Row],[NAMA]],Table7[],3,FALSE))</f>
        <v>Borderline</v>
      </c>
    </row>
    <row r="2445" spans="1:37" x14ac:dyDescent="0.2">
      <c r="A2445">
        <v>2444</v>
      </c>
      <c r="B2445" t="s">
        <v>317</v>
      </c>
      <c r="C2445" t="s">
        <v>65</v>
      </c>
      <c r="D2445" t="s">
        <v>62</v>
      </c>
      <c r="E2445" t="s">
        <v>140</v>
      </c>
      <c r="F2445" s="25">
        <v>46064</v>
      </c>
      <c r="G2445" t="s">
        <v>352</v>
      </c>
      <c r="H2445" t="s">
        <v>412</v>
      </c>
      <c r="I2445" t="s">
        <v>371</v>
      </c>
      <c r="J2445" t="s">
        <v>279</v>
      </c>
      <c r="K2445" t="s">
        <v>280</v>
      </c>
      <c r="L2445" t="s">
        <v>322</v>
      </c>
      <c r="M2445" t="s">
        <v>141</v>
      </c>
      <c r="N2445" t="s">
        <v>142</v>
      </c>
      <c r="O2445" t="s">
        <v>327</v>
      </c>
      <c r="P2445" t="s">
        <v>281</v>
      </c>
      <c r="Q2445" t="s">
        <v>328</v>
      </c>
      <c r="R2445" t="s">
        <v>360</v>
      </c>
      <c r="S2445" t="s">
        <v>392</v>
      </c>
      <c r="T2445">
        <v>1</v>
      </c>
      <c r="U2445" t="s">
        <v>456</v>
      </c>
      <c r="V2445" t="s">
        <v>343</v>
      </c>
      <c r="W2445" t="s">
        <v>459</v>
      </c>
      <c r="X2445" t="s">
        <v>331</v>
      </c>
      <c r="Y2445" t="s">
        <v>307</v>
      </c>
      <c r="Z2445">
        <v>70</v>
      </c>
      <c r="AA2445">
        <v>69</v>
      </c>
      <c r="AB2445" t="s">
        <v>151</v>
      </c>
      <c r="AC2445" t="s">
        <v>53</v>
      </c>
      <c r="AD2445" t="s">
        <v>404</v>
      </c>
      <c r="AE2445" t="str">
        <f>IF(AF2445="","",VLOOKUP(AC2445,mapel!$A$2:$B$42,2,FALSE))</f>
        <v>Sejarah</v>
      </c>
      <c r="AF2445">
        <f t="shared" si="114"/>
        <v>69</v>
      </c>
      <c r="AG2445" t="str">
        <f>IF(AF2445="","",IF(AF2445&gt;90,"Sangat baik",IF(AF2445&gt;79,"Baik",IF(AF2445&gt;=pub_gid_0_single_true_output_csv[[#This Row],[KKM]],"Cukup","Kurang"))))</f>
        <v>Kurang</v>
      </c>
      <c r="AH2445">
        <f t="shared" si="115"/>
        <v>12</v>
      </c>
      <c r="AI2445" s="30" t="str">
        <f>IF(OR(J2445&lt;&gt;"Karakter",pub_gid_0_single_true_output_csv[[#This Row],[Nilai2]]=""),"",IF(AF2445&gt;89,"Sangat baik",IF(AF2445&gt;79,"Baik",IF(AF2445&gt;69,"Cukup",IF(AF2445&gt;59,"Kurang","Sangat kurang")))))</f>
        <v/>
      </c>
      <c r="AJ2445" t="str">
        <f t="shared" si="116"/>
        <v>Wk.7</v>
      </c>
      <c r="AK2445" t="str">
        <f>IF(pub_gid_0_single_true_output_csv[[#This Row],[Nilai2]]="","",VLOOKUP(pub_gid_0_single_true_output_csv[[#This Row],[NAMA]],Table7[],3,FALSE))</f>
        <v>Borderline</v>
      </c>
    </row>
    <row r="2446" spans="1:37" x14ac:dyDescent="0.2">
      <c r="A2446">
        <v>2445</v>
      </c>
      <c r="B2446" t="s">
        <v>317</v>
      </c>
      <c r="C2446" t="s">
        <v>65</v>
      </c>
      <c r="D2446" t="s">
        <v>62</v>
      </c>
      <c r="E2446" t="s">
        <v>140</v>
      </c>
      <c r="F2446" s="25">
        <v>46064</v>
      </c>
      <c r="G2446" t="s">
        <v>352</v>
      </c>
      <c r="H2446" t="s">
        <v>412</v>
      </c>
      <c r="I2446" t="s">
        <v>371</v>
      </c>
      <c r="J2446" t="s">
        <v>36</v>
      </c>
      <c r="K2446" t="s">
        <v>37</v>
      </c>
      <c r="L2446" t="s">
        <v>351</v>
      </c>
      <c r="M2446" t="s">
        <v>141</v>
      </c>
      <c r="N2446" t="s">
        <v>142</v>
      </c>
      <c r="O2446" t="s">
        <v>327</v>
      </c>
      <c r="P2446" t="s">
        <v>281</v>
      </c>
      <c r="Q2446" t="s">
        <v>328</v>
      </c>
      <c r="R2446" t="s">
        <v>360</v>
      </c>
      <c r="S2446" t="s">
        <v>392</v>
      </c>
      <c r="T2446">
        <v>1</v>
      </c>
      <c r="U2446" t="s">
        <v>456</v>
      </c>
      <c r="V2446" t="s">
        <v>343</v>
      </c>
      <c r="W2446" t="s">
        <v>459</v>
      </c>
      <c r="X2446" t="s">
        <v>331</v>
      </c>
      <c r="Y2446" t="s">
        <v>307</v>
      </c>
      <c r="Z2446">
        <v>70</v>
      </c>
      <c r="AA2446">
        <v>70</v>
      </c>
      <c r="AB2446" t="s">
        <v>143</v>
      </c>
      <c r="AC2446" t="s">
        <v>53</v>
      </c>
      <c r="AD2446" t="s">
        <v>404</v>
      </c>
      <c r="AE2446" t="str">
        <f>IF(AF2446="","",VLOOKUP(AC2446,mapel!$A$2:$B$42,2,FALSE))</f>
        <v>Sejarah</v>
      </c>
      <c r="AF2446">
        <f t="shared" si="114"/>
        <v>70</v>
      </c>
      <c r="AG2446" t="str">
        <f>IF(AF2446="","",IF(AF2446&gt;90,"Sangat baik",IF(AF2446&gt;79,"Baik",IF(AF2446&gt;=pub_gid_0_single_true_output_csv[[#This Row],[KKM]],"Cukup","Kurang"))))</f>
        <v>Cukup</v>
      </c>
      <c r="AH2446">
        <f t="shared" si="115"/>
        <v>12</v>
      </c>
      <c r="AI2446" s="30" t="str">
        <f>IF(OR(J2446&lt;&gt;"Karakter",pub_gid_0_single_true_output_csv[[#This Row],[Nilai2]]=""),"",IF(AF2446&gt;89,"Sangat baik",IF(AF2446&gt;79,"Baik",IF(AF2446&gt;69,"Cukup",IF(AF2446&gt;59,"Kurang","Sangat kurang")))))</f>
        <v/>
      </c>
      <c r="AJ2446" t="str">
        <f t="shared" si="116"/>
        <v>Wk.7</v>
      </c>
      <c r="AK2446" t="str">
        <f>IF(pub_gid_0_single_true_output_csv[[#This Row],[Nilai2]]="","",VLOOKUP(pub_gid_0_single_true_output_csv[[#This Row],[NAMA]],Table7[],3,FALSE))</f>
        <v>Borderline</v>
      </c>
    </row>
    <row r="2447" spans="1:37" x14ac:dyDescent="0.2">
      <c r="A2447">
        <v>2446</v>
      </c>
      <c r="B2447" t="s">
        <v>317</v>
      </c>
      <c r="C2447" t="s">
        <v>65</v>
      </c>
      <c r="D2447" t="s">
        <v>62</v>
      </c>
      <c r="E2447" t="s">
        <v>140</v>
      </c>
      <c r="F2447" s="25">
        <v>46064</v>
      </c>
      <c r="G2447" t="s">
        <v>352</v>
      </c>
      <c r="H2447" t="s">
        <v>412</v>
      </c>
      <c r="I2447" t="s">
        <v>371</v>
      </c>
      <c r="J2447" t="s">
        <v>31</v>
      </c>
      <c r="K2447" t="s">
        <v>96</v>
      </c>
      <c r="L2447" t="s">
        <v>351</v>
      </c>
      <c r="M2447" t="s">
        <v>141</v>
      </c>
      <c r="N2447" t="s">
        <v>142</v>
      </c>
      <c r="O2447" t="s">
        <v>327</v>
      </c>
      <c r="P2447" t="s">
        <v>281</v>
      </c>
      <c r="Q2447" t="s">
        <v>328</v>
      </c>
      <c r="R2447" t="s">
        <v>360</v>
      </c>
      <c r="S2447" t="s">
        <v>392</v>
      </c>
      <c r="T2447">
        <v>1</v>
      </c>
      <c r="U2447" t="s">
        <v>456</v>
      </c>
      <c r="V2447" t="s">
        <v>343</v>
      </c>
      <c r="W2447" t="s">
        <v>459</v>
      </c>
      <c r="X2447" t="s">
        <v>331</v>
      </c>
      <c r="Y2447" t="s">
        <v>307</v>
      </c>
      <c r="Z2447">
        <v>70</v>
      </c>
      <c r="AA2447">
        <v>69</v>
      </c>
      <c r="AB2447" t="s">
        <v>151</v>
      </c>
      <c r="AC2447" t="s">
        <v>53</v>
      </c>
      <c r="AD2447" t="s">
        <v>404</v>
      </c>
      <c r="AE2447" t="str">
        <f>IF(AF2447="","",VLOOKUP(AC2447,mapel!$A$2:$B$42,2,FALSE))</f>
        <v>Sejarah</v>
      </c>
      <c r="AF2447">
        <f t="shared" si="114"/>
        <v>69</v>
      </c>
      <c r="AG2447" t="str">
        <f>IF(AF2447="","",IF(AF2447&gt;90,"Sangat baik",IF(AF2447&gt;79,"Baik",IF(AF2447&gt;=pub_gid_0_single_true_output_csv[[#This Row],[KKM]],"Cukup","Kurang"))))</f>
        <v>Kurang</v>
      </c>
      <c r="AH2447">
        <f t="shared" si="115"/>
        <v>12</v>
      </c>
      <c r="AI2447" s="30" t="str">
        <f>IF(OR(J2447&lt;&gt;"Karakter",pub_gid_0_single_true_output_csv[[#This Row],[Nilai2]]=""),"",IF(AF2447&gt;89,"Sangat baik",IF(AF2447&gt;79,"Baik",IF(AF2447&gt;69,"Cukup",IF(AF2447&gt;59,"Kurang","Sangat kurang")))))</f>
        <v/>
      </c>
      <c r="AJ2447" t="str">
        <f t="shared" si="116"/>
        <v>Wk.7</v>
      </c>
      <c r="AK2447" t="str">
        <f>IF(pub_gid_0_single_true_output_csv[[#This Row],[Nilai2]]="","",VLOOKUP(pub_gid_0_single_true_output_csv[[#This Row],[NAMA]],Table7[],3,FALSE))</f>
        <v>Borderline</v>
      </c>
    </row>
    <row r="2448" spans="1:37" x14ac:dyDescent="0.2">
      <c r="A2448">
        <v>2447</v>
      </c>
      <c r="B2448" t="s">
        <v>317</v>
      </c>
      <c r="C2448" t="s">
        <v>65</v>
      </c>
      <c r="D2448" t="s">
        <v>62</v>
      </c>
      <c r="E2448" t="s">
        <v>140</v>
      </c>
      <c r="F2448" s="25">
        <v>46064</v>
      </c>
      <c r="G2448" t="s">
        <v>352</v>
      </c>
      <c r="H2448" t="s">
        <v>412</v>
      </c>
      <c r="I2448" t="s">
        <v>371</v>
      </c>
      <c r="J2448" t="s">
        <v>90</v>
      </c>
      <c r="K2448" t="s">
        <v>92</v>
      </c>
      <c r="L2448" t="s">
        <v>91</v>
      </c>
      <c r="M2448" t="s">
        <v>141</v>
      </c>
      <c r="N2448" t="s">
        <v>142</v>
      </c>
      <c r="O2448" t="s">
        <v>327</v>
      </c>
      <c r="P2448" t="s">
        <v>281</v>
      </c>
      <c r="Q2448" t="s">
        <v>328</v>
      </c>
      <c r="R2448" t="s">
        <v>360</v>
      </c>
      <c r="S2448" t="s">
        <v>392</v>
      </c>
      <c r="T2448">
        <v>1</v>
      </c>
      <c r="U2448" t="s">
        <v>456</v>
      </c>
      <c r="V2448" t="s">
        <v>343</v>
      </c>
      <c r="W2448" t="s">
        <v>459</v>
      </c>
      <c r="X2448" t="s">
        <v>331</v>
      </c>
      <c r="Y2448" t="s">
        <v>307</v>
      </c>
      <c r="Z2448">
        <v>70</v>
      </c>
      <c r="AA2448">
        <v>80</v>
      </c>
      <c r="AB2448" t="s">
        <v>143</v>
      </c>
      <c r="AC2448" t="s">
        <v>53</v>
      </c>
      <c r="AD2448" t="s">
        <v>404</v>
      </c>
      <c r="AE2448" t="str">
        <f>IF(AF2448="","",VLOOKUP(AC2448,mapel!$A$2:$B$42,2,FALSE))</f>
        <v>Sejarah</v>
      </c>
      <c r="AF2448">
        <f t="shared" si="114"/>
        <v>80</v>
      </c>
      <c r="AG2448" t="str">
        <f>IF(AF2448="","",IF(AF2448&gt;90,"Sangat baik",IF(AF2448&gt;79,"Baik",IF(AF2448&gt;=pub_gid_0_single_true_output_csv[[#This Row],[KKM]],"Cukup","Kurang"))))</f>
        <v>Baik</v>
      </c>
      <c r="AH2448">
        <f t="shared" si="115"/>
        <v>12</v>
      </c>
      <c r="AI2448" s="30" t="str">
        <f>IF(OR(J2448&lt;&gt;"Karakter",pub_gid_0_single_true_output_csv[[#This Row],[Nilai2]]=""),"",IF(AF2448&gt;89,"Sangat baik",IF(AF2448&gt;79,"Baik",IF(AF2448&gt;69,"Cukup",IF(AF2448&gt;59,"Kurang","Sangat kurang")))))</f>
        <v>Baik</v>
      </c>
      <c r="AJ2448" t="str">
        <f t="shared" si="116"/>
        <v>Wk.7</v>
      </c>
      <c r="AK2448" t="str">
        <f>IF(pub_gid_0_single_true_output_csv[[#This Row],[Nilai2]]="","",VLOOKUP(pub_gid_0_single_true_output_csv[[#This Row],[NAMA]],Table7[],3,FALSE))</f>
        <v>Borderline</v>
      </c>
    </row>
    <row r="2449" spans="1:37" x14ac:dyDescent="0.2">
      <c r="A2449">
        <v>2448</v>
      </c>
      <c r="B2449" t="s">
        <v>317</v>
      </c>
      <c r="C2449" t="s">
        <v>65</v>
      </c>
      <c r="D2449" t="s">
        <v>62</v>
      </c>
      <c r="E2449" t="s">
        <v>140</v>
      </c>
      <c r="F2449" s="25">
        <v>46071</v>
      </c>
      <c r="G2449" t="s">
        <v>323</v>
      </c>
      <c r="H2449" t="s">
        <v>412</v>
      </c>
      <c r="I2449" t="s">
        <v>371</v>
      </c>
      <c r="J2449" t="s">
        <v>279</v>
      </c>
      <c r="K2449" t="s">
        <v>280</v>
      </c>
      <c r="L2449" t="s">
        <v>322</v>
      </c>
      <c r="M2449" t="s">
        <v>141</v>
      </c>
      <c r="N2449" t="s">
        <v>142</v>
      </c>
      <c r="O2449" t="s">
        <v>327</v>
      </c>
      <c r="P2449" t="s">
        <v>281</v>
      </c>
      <c r="Q2449" t="s">
        <v>328</v>
      </c>
      <c r="R2449" t="s">
        <v>360</v>
      </c>
      <c r="S2449" t="s">
        <v>392</v>
      </c>
      <c r="T2449">
        <v>1</v>
      </c>
      <c r="U2449" t="s">
        <v>456</v>
      </c>
      <c r="V2449" t="s">
        <v>343</v>
      </c>
      <c r="W2449" t="s">
        <v>459</v>
      </c>
      <c r="X2449" t="s">
        <v>331</v>
      </c>
      <c r="Y2449" t="s">
        <v>307</v>
      </c>
      <c r="Z2449">
        <v>70</v>
      </c>
      <c r="AA2449">
        <v>70</v>
      </c>
      <c r="AB2449" t="s">
        <v>143</v>
      </c>
      <c r="AC2449" t="s">
        <v>53</v>
      </c>
      <c r="AD2449" t="s">
        <v>404</v>
      </c>
      <c r="AE2449" t="str">
        <f>IF(AF2449="","",VLOOKUP(AC2449,mapel!$A$2:$B$42,2,FALSE))</f>
        <v>Sejarah</v>
      </c>
      <c r="AF2449">
        <f t="shared" si="114"/>
        <v>70</v>
      </c>
      <c r="AG2449" t="str">
        <f>IF(AF2449="","",IF(AF2449&gt;90,"Sangat baik",IF(AF2449&gt;79,"Baik",IF(AF2449&gt;=pub_gid_0_single_true_output_csv[[#This Row],[KKM]],"Cukup","Kurang"))))</f>
        <v>Cukup</v>
      </c>
      <c r="AH2449">
        <f t="shared" si="115"/>
        <v>12</v>
      </c>
      <c r="AI2449" s="30" t="str">
        <f>IF(OR(J2449&lt;&gt;"Karakter",pub_gid_0_single_true_output_csv[[#This Row],[Nilai2]]=""),"",IF(AF2449&gt;89,"Sangat baik",IF(AF2449&gt;79,"Baik",IF(AF2449&gt;69,"Cukup",IF(AF2449&gt;59,"Kurang","Sangat kurang")))))</f>
        <v/>
      </c>
      <c r="AJ2449" t="str">
        <f t="shared" si="116"/>
        <v>Wk.8</v>
      </c>
      <c r="AK2449" t="str">
        <f>IF(pub_gid_0_single_true_output_csv[[#This Row],[Nilai2]]="","",VLOOKUP(pub_gid_0_single_true_output_csv[[#This Row],[NAMA]],Table7[],3,FALSE))</f>
        <v>Borderline</v>
      </c>
    </row>
    <row r="2450" spans="1:37" x14ac:dyDescent="0.2">
      <c r="A2450">
        <v>2449</v>
      </c>
      <c r="B2450" t="s">
        <v>317</v>
      </c>
      <c r="C2450" t="s">
        <v>65</v>
      </c>
      <c r="D2450" t="s">
        <v>62</v>
      </c>
      <c r="E2450" t="s">
        <v>140</v>
      </c>
      <c r="F2450" s="25">
        <v>46071</v>
      </c>
      <c r="G2450" t="s">
        <v>323</v>
      </c>
      <c r="H2450" t="s">
        <v>412</v>
      </c>
      <c r="I2450" t="s">
        <v>371</v>
      </c>
      <c r="J2450" t="s">
        <v>36</v>
      </c>
      <c r="K2450" t="s">
        <v>362</v>
      </c>
      <c r="L2450" t="s">
        <v>363</v>
      </c>
      <c r="M2450" t="s">
        <v>141</v>
      </c>
      <c r="N2450" t="s">
        <v>142</v>
      </c>
      <c r="O2450" t="s">
        <v>327</v>
      </c>
      <c r="P2450" t="s">
        <v>281</v>
      </c>
      <c r="Q2450" t="s">
        <v>328</v>
      </c>
      <c r="R2450" t="s">
        <v>360</v>
      </c>
      <c r="S2450" t="s">
        <v>375</v>
      </c>
      <c r="T2450">
        <v>1</v>
      </c>
      <c r="U2450" t="s">
        <v>456</v>
      </c>
      <c r="V2450" t="s">
        <v>342</v>
      </c>
      <c r="W2450" t="s">
        <v>458</v>
      </c>
      <c r="X2450" t="s">
        <v>331</v>
      </c>
      <c r="Y2450" t="s">
        <v>307</v>
      </c>
      <c r="Z2450">
        <v>70</v>
      </c>
      <c r="AA2450">
        <v>33</v>
      </c>
      <c r="AB2450" t="s">
        <v>151</v>
      </c>
      <c r="AC2450" t="s">
        <v>53</v>
      </c>
      <c r="AD2450" t="s">
        <v>404</v>
      </c>
      <c r="AE2450" t="str">
        <f>IF(AF2450="","",VLOOKUP(AC2450,mapel!$A$2:$B$42,2,FALSE))</f>
        <v>Sejarah</v>
      </c>
      <c r="AF2450">
        <f t="shared" si="114"/>
        <v>33</v>
      </c>
      <c r="AG2450" t="str">
        <f>IF(AF2450="","",IF(AF2450&gt;90,"Sangat baik",IF(AF2450&gt;79,"Baik",IF(AF2450&gt;=pub_gid_0_single_true_output_csv[[#This Row],[KKM]],"Cukup","Kurang"))))</f>
        <v>Kurang</v>
      </c>
      <c r="AH2450">
        <f t="shared" si="115"/>
        <v>12</v>
      </c>
      <c r="AI2450" s="30" t="str">
        <f>IF(OR(J2450&lt;&gt;"Karakter",pub_gid_0_single_true_output_csv[[#This Row],[Nilai2]]=""),"",IF(AF2450&gt;89,"Sangat baik",IF(AF2450&gt;79,"Baik",IF(AF2450&gt;69,"Cukup",IF(AF2450&gt;59,"Kurang","Sangat kurang")))))</f>
        <v/>
      </c>
      <c r="AJ2450" t="str">
        <f t="shared" si="116"/>
        <v>Wk.8</v>
      </c>
      <c r="AK2450" t="str">
        <f>IF(pub_gid_0_single_true_output_csv[[#This Row],[Nilai2]]="","",VLOOKUP(pub_gid_0_single_true_output_csv[[#This Row],[NAMA]],Table7[],3,FALSE))</f>
        <v>Borderline</v>
      </c>
    </row>
    <row r="2451" spans="1:37" x14ac:dyDescent="0.2">
      <c r="A2451">
        <v>2450</v>
      </c>
      <c r="B2451" t="s">
        <v>317</v>
      </c>
      <c r="C2451" t="s">
        <v>65</v>
      </c>
      <c r="D2451" t="s">
        <v>62</v>
      </c>
      <c r="E2451" t="s">
        <v>140</v>
      </c>
      <c r="F2451" s="25">
        <v>46071</v>
      </c>
      <c r="G2451" t="s">
        <v>323</v>
      </c>
      <c r="H2451" t="s">
        <v>412</v>
      </c>
      <c r="I2451" t="s">
        <v>371</v>
      </c>
      <c r="J2451" t="s">
        <v>31</v>
      </c>
      <c r="K2451" t="s">
        <v>96</v>
      </c>
      <c r="L2451" t="s">
        <v>363</v>
      </c>
      <c r="M2451" t="s">
        <v>141</v>
      </c>
      <c r="N2451" t="s">
        <v>142</v>
      </c>
      <c r="O2451" t="s">
        <v>327</v>
      </c>
      <c r="P2451" t="s">
        <v>281</v>
      </c>
      <c r="Q2451" t="s">
        <v>328</v>
      </c>
      <c r="R2451" t="s">
        <v>360</v>
      </c>
      <c r="S2451" t="s">
        <v>375</v>
      </c>
      <c r="T2451">
        <v>1</v>
      </c>
      <c r="U2451" t="s">
        <v>456</v>
      </c>
      <c r="V2451" t="s">
        <v>342</v>
      </c>
      <c r="W2451" t="s">
        <v>458</v>
      </c>
      <c r="X2451" t="s">
        <v>331</v>
      </c>
      <c r="Y2451" t="s">
        <v>307</v>
      </c>
      <c r="Z2451">
        <v>70</v>
      </c>
      <c r="AA2451">
        <v>70</v>
      </c>
      <c r="AB2451" t="s">
        <v>143</v>
      </c>
      <c r="AC2451" t="s">
        <v>53</v>
      </c>
      <c r="AD2451" t="s">
        <v>404</v>
      </c>
      <c r="AE2451" t="str">
        <f>IF(AF2451="","",VLOOKUP(AC2451,mapel!$A$2:$B$42,2,FALSE))</f>
        <v>Sejarah</v>
      </c>
      <c r="AF2451">
        <f t="shared" si="114"/>
        <v>70</v>
      </c>
      <c r="AG2451" t="str">
        <f>IF(AF2451="","",IF(AF2451&gt;90,"Sangat baik",IF(AF2451&gt;79,"Baik",IF(AF2451&gt;=pub_gid_0_single_true_output_csv[[#This Row],[KKM]],"Cukup","Kurang"))))</f>
        <v>Cukup</v>
      </c>
      <c r="AH2451">
        <f t="shared" si="115"/>
        <v>12</v>
      </c>
      <c r="AI2451" s="30" t="str">
        <f>IF(OR(J2451&lt;&gt;"Karakter",pub_gid_0_single_true_output_csv[[#This Row],[Nilai2]]=""),"",IF(AF2451&gt;89,"Sangat baik",IF(AF2451&gt;79,"Baik",IF(AF2451&gt;69,"Cukup",IF(AF2451&gt;59,"Kurang","Sangat kurang")))))</f>
        <v/>
      </c>
      <c r="AJ2451" t="str">
        <f t="shared" si="116"/>
        <v>Wk.8</v>
      </c>
      <c r="AK2451" t="str">
        <f>IF(pub_gid_0_single_true_output_csv[[#This Row],[Nilai2]]="","",VLOOKUP(pub_gid_0_single_true_output_csv[[#This Row],[NAMA]],Table7[],3,FALSE))</f>
        <v>Borderline</v>
      </c>
    </row>
    <row r="2452" spans="1:37" x14ac:dyDescent="0.2">
      <c r="A2452">
        <v>2451</v>
      </c>
      <c r="B2452" t="s">
        <v>318</v>
      </c>
      <c r="C2452" t="s">
        <v>65</v>
      </c>
      <c r="D2452" t="s">
        <v>63</v>
      </c>
      <c r="E2452" t="s">
        <v>140</v>
      </c>
      <c r="F2452" s="25">
        <v>46036</v>
      </c>
      <c r="G2452" t="s">
        <v>353</v>
      </c>
      <c r="H2452" t="s">
        <v>405</v>
      </c>
      <c r="I2452" t="s">
        <v>371</v>
      </c>
      <c r="J2452" t="s">
        <v>36</v>
      </c>
      <c r="K2452" t="s">
        <v>37</v>
      </c>
      <c r="L2452" t="s">
        <v>351</v>
      </c>
      <c r="M2452" t="s">
        <v>141</v>
      </c>
      <c r="N2452" t="s">
        <v>142</v>
      </c>
      <c r="O2452" t="s">
        <v>327</v>
      </c>
      <c r="P2452" t="s">
        <v>281</v>
      </c>
      <c r="Q2452" t="s">
        <v>328</v>
      </c>
      <c r="R2452" t="s">
        <v>360</v>
      </c>
      <c r="S2452" t="s">
        <v>330</v>
      </c>
      <c r="T2452">
        <v>1</v>
      </c>
      <c r="U2452" t="s">
        <v>456</v>
      </c>
      <c r="V2452" t="s">
        <v>285</v>
      </c>
      <c r="W2452" t="s">
        <v>457</v>
      </c>
      <c r="X2452" t="s">
        <v>331</v>
      </c>
      <c r="Y2452" t="s">
        <v>307</v>
      </c>
      <c r="Z2452">
        <v>70</v>
      </c>
      <c r="AA2452">
        <v>70</v>
      </c>
      <c r="AB2452" t="s">
        <v>143</v>
      </c>
      <c r="AC2452" t="s">
        <v>53</v>
      </c>
      <c r="AD2452" t="s">
        <v>404</v>
      </c>
      <c r="AE2452" t="str">
        <f>IF(AF2452="","",VLOOKUP(AC2452,mapel!$A$2:$B$42,2,FALSE))</f>
        <v>Sejarah</v>
      </c>
      <c r="AF2452">
        <f t="shared" si="114"/>
        <v>70</v>
      </c>
      <c r="AG2452" t="str">
        <f>IF(AF2452="","",IF(AF2452&gt;90,"Sangat baik",IF(AF2452&gt;79,"Baik",IF(AF2452&gt;=pub_gid_0_single_true_output_csv[[#This Row],[KKM]],"Cukup","Kurang"))))</f>
        <v>Cukup</v>
      </c>
      <c r="AH2452">
        <f t="shared" si="115"/>
        <v>12</v>
      </c>
      <c r="AI2452" s="30" t="str">
        <f>IF(OR(J2452&lt;&gt;"Karakter",pub_gid_0_single_true_output_csv[[#This Row],[Nilai2]]=""),"",IF(AF2452&gt;89,"Sangat baik",IF(AF2452&gt;79,"Baik",IF(AF2452&gt;69,"Cukup",IF(AF2452&gt;59,"Kurang","Sangat kurang")))))</f>
        <v/>
      </c>
      <c r="AJ2452" t="str">
        <f t="shared" si="116"/>
        <v>Wk.3</v>
      </c>
      <c r="AK2452" t="str">
        <f>IF(pub_gid_0_single_true_output_csv[[#This Row],[Nilai2]]="","",VLOOKUP(pub_gid_0_single_true_output_csv[[#This Row],[NAMA]],Table7[],3,FALSE))</f>
        <v>Average</v>
      </c>
    </row>
    <row r="2453" spans="1:37" x14ac:dyDescent="0.2">
      <c r="A2453">
        <v>2452</v>
      </c>
      <c r="B2453" t="s">
        <v>318</v>
      </c>
      <c r="C2453" t="s">
        <v>65</v>
      </c>
      <c r="D2453" t="s">
        <v>63</v>
      </c>
      <c r="E2453" t="s">
        <v>140</v>
      </c>
      <c r="F2453" s="25">
        <v>46036</v>
      </c>
      <c r="G2453" t="s">
        <v>353</v>
      </c>
      <c r="H2453" t="s">
        <v>405</v>
      </c>
      <c r="I2453" t="s">
        <v>371</v>
      </c>
      <c r="J2453" t="s">
        <v>31</v>
      </c>
      <c r="K2453" t="s">
        <v>96</v>
      </c>
      <c r="L2453" t="s">
        <v>351</v>
      </c>
      <c r="M2453" t="s">
        <v>141</v>
      </c>
      <c r="N2453" t="s">
        <v>142</v>
      </c>
      <c r="O2453" t="s">
        <v>327</v>
      </c>
      <c r="P2453" t="s">
        <v>281</v>
      </c>
      <c r="Q2453" t="s">
        <v>328</v>
      </c>
      <c r="R2453" t="s">
        <v>360</v>
      </c>
      <c r="S2453" t="s">
        <v>330</v>
      </c>
      <c r="T2453">
        <v>1</v>
      </c>
      <c r="U2453" t="s">
        <v>456</v>
      </c>
      <c r="V2453" t="s">
        <v>285</v>
      </c>
      <c r="W2453" t="s">
        <v>457</v>
      </c>
      <c r="X2453" t="s">
        <v>331</v>
      </c>
      <c r="Y2453" t="s">
        <v>307</v>
      </c>
      <c r="Z2453">
        <v>70</v>
      </c>
      <c r="AA2453">
        <v>70</v>
      </c>
      <c r="AB2453" t="s">
        <v>143</v>
      </c>
      <c r="AC2453" t="s">
        <v>53</v>
      </c>
      <c r="AD2453" t="s">
        <v>404</v>
      </c>
      <c r="AE2453" t="str">
        <f>IF(AF2453="","",VLOOKUP(AC2453,mapel!$A$2:$B$42,2,FALSE))</f>
        <v>Sejarah</v>
      </c>
      <c r="AF2453">
        <f t="shared" si="114"/>
        <v>70</v>
      </c>
      <c r="AG2453" t="str">
        <f>IF(AF2453="","",IF(AF2453&gt;90,"Sangat baik",IF(AF2453&gt;79,"Baik",IF(AF2453&gt;=pub_gid_0_single_true_output_csv[[#This Row],[KKM]],"Cukup","Kurang"))))</f>
        <v>Cukup</v>
      </c>
      <c r="AH2453">
        <f t="shared" si="115"/>
        <v>12</v>
      </c>
      <c r="AI2453" s="30" t="str">
        <f>IF(OR(J2453&lt;&gt;"Karakter",pub_gid_0_single_true_output_csv[[#This Row],[Nilai2]]=""),"",IF(AF2453&gt;89,"Sangat baik",IF(AF2453&gt;79,"Baik",IF(AF2453&gt;69,"Cukup",IF(AF2453&gt;59,"Kurang","Sangat kurang")))))</f>
        <v/>
      </c>
      <c r="AJ2453" t="str">
        <f t="shared" si="116"/>
        <v>Wk.3</v>
      </c>
      <c r="AK2453" t="str">
        <f>IF(pub_gid_0_single_true_output_csv[[#This Row],[Nilai2]]="","",VLOOKUP(pub_gid_0_single_true_output_csv[[#This Row],[NAMA]],Table7[],3,FALSE))</f>
        <v>Average</v>
      </c>
    </row>
    <row r="2454" spans="1:37" x14ac:dyDescent="0.2">
      <c r="A2454">
        <v>2453</v>
      </c>
      <c r="B2454" t="s">
        <v>318</v>
      </c>
      <c r="C2454" t="s">
        <v>65</v>
      </c>
      <c r="D2454" t="s">
        <v>63</v>
      </c>
      <c r="E2454" t="s">
        <v>140</v>
      </c>
      <c r="F2454" s="25">
        <v>46036</v>
      </c>
      <c r="G2454" t="s">
        <v>353</v>
      </c>
      <c r="H2454" t="s">
        <v>405</v>
      </c>
      <c r="I2454" t="s">
        <v>371</v>
      </c>
      <c r="J2454" t="s">
        <v>90</v>
      </c>
      <c r="K2454" t="s">
        <v>92</v>
      </c>
      <c r="L2454" t="s">
        <v>91</v>
      </c>
      <c r="M2454" t="s">
        <v>141</v>
      </c>
      <c r="N2454" t="s">
        <v>142</v>
      </c>
      <c r="O2454" t="s">
        <v>327</v>
      </c>
      <c r="P2454" t="s">
        <v>281</v>
      </c>
      <c r="Q2454" t="s">
        <v>328</v>
      </c>
      <c r="R2454" t="s">
        <v>360</v>
      </c>
      <c r="S2454" t="s">
        <v>330</v>
      </c>
      <c r="T2454">
        <v>1</v>
      </c>
      <c r="U2454" t="s">
        <v>456</v>
      </c>
      <c r="V2454" t="s">
        <v>285</v>
      </c>
      <c r="W2454" t="s">
        <v>457</v>
      </c>
      <c r="X2454" t="s">
        <v>331</v>
      </c>
      <c r="Y2454" t="s">
        <v>307</v>
      </c>
      <c r="Z2454">
        <v>70</v>
      </c>
      <c r="AA2454">
        <v>70</v>
      </c>
      <c r="AB2454" t="s">
        <v>143</v>
      </c>
      <c r="AC2454" t="s">
        <v>53</v>
      </c>
      <c r="AD2454" t="s">
        <v>404</v>
      </c>
      <c r="AE2454" t="str">
        <f>IF(AF2454="","",VLOOKUP(AC2454,mapel!$A$2:$B$42,2,FALSE))</f>
        <v>Sejarah</v>
      </c>
      <c r="AF2454">
        <f t="shared" si="114"/>
        <v>70</v>
      </c>
      <c r="AG2454" t="str">
        <f>IF(AF2454="","",IF(AF2454&gt;90,"Sangat baik",IF(AF2454&gt;79,"Baik",IF(AF2454&gt;=pub_gid_0_single_true_output_csv[[#This Row],[KKM]],"Cukup","Kurang"))))</f>
        <v>Cukup</v>
      </c>
      <c r="AH2454">
        <f t="shared" si="115"/>
        <v>12</v>
      </c>
      <c r="AI2454" s="30" t="str">
        <f>IF(OR(J2454&lt;&gt;"Karakter",pub_gid_0_single_true_output_csv[[#This Row],[Nilai2]]=""),"",IF(AF2454&gt;89,"Sangat baik",IF(AF2454&gt;79,"Baik",IF(AF2454&gt;69,"Cukup",IF(AF2454&gt;59,"Kurang","Sangat kurang")))))</f>
        <v>Cukup</v>
      </c>
      <c r="AJ2454" t="str">
        <f t="shared" si="116"/>
        <v>Wk.3</v>
      </c>
      <c r="AK2454" t="str">
        <f>IF(pub_gid_0_single_true_output_csv[[#This Row],[Nilai2]]="","",VLOOKUP(pub_gid_0_single_true_output_csv[[#This Row],[NAMA]],Table7[],3,FALSE))</f>
        <v>Average</v>
      </c>
    </row>
    <row r="2455" spans="1:37" x14ac:dyDescent="0.2">
      <c r="A2455">
        <v>2454</v>
      </c>
      <c r="B2455" t="s">
        <v>318</v>
      </c>
      <c r="C2455" t="s">
        <v>65</v>
      </c>
      <c r="D2455" t="s">
        <v>63</v>
      </c>
      <c r="E2455" t="s">
        <v>140</v>
      </c>
      <c r="F2455" s="25">
        <v>46036</v>
      </c>
      <c r="G2455" t="s">
        <v>353</v>
      </c>
      <c r="H2455" t="s">
        <v>405</v>
      </c>
      <c r="I2455" t="s">
        <v>371</v>
      </c>
      <c r="J2455" t="s">
        <v>279</v>
      </c>
      <c r="K2455" t="s">
        <v>280</v>
      </c>
      <c r="L2455" t="s">
        <v>322</v>
      </c>
      <c r="M2455" t="s">
        <v>141</v>
      </c>
      <c r="N2455" t="s">
        <v>142</v>
      </c>
      <c r="O2455" t="s">
        <v>327</v>
      </c>
      <c r="P2455" t="s">
        <v>281</v>
      </c>
      <c r="Q2455" t="s">
        <v>328</v>
      </c>
      <c r="R2455" t="s">
        <v>360</v>
      </c>
      <c r="S2455" t="s">
        <v>330</v>
      </c>
      <c r="T2455">
        <v>1</v>
      </c>
      <c r="U2455" t="s">
        <v>456</v>
      </c>
      <c r="V2455" t="s">
        <v>285</v>
      </c>
      <c r="W2455" t="s">
        <v>457</v>
      </c>
      <c r="X2455" t="s">
        <v>331</v>
      </c>
      <c r="Y2455" t="s">
        <v>307</v>
      </c>
      <c r="Z2455">
        <v>70</v>
      </c>
      <c r="AA2455">
        <v>72</v>
      </c>
      <c r="AB2455" t="s">
        <v>143</v>
      </c>
      <c r="AC2455" t="s">
        <v>53</v>
      </c>
      <c r="AD2455" t="s">
        <v>404</v>
      </c>
      <c r="AE2455" t="str">
        <f>IF(AF2455="","",VLOOKUP(AC2455,mapel!$A$2:$B$42,2,FALSE))</f>
        <v>Sejarah</v>
      </c>
      <c r="AF2455">
        <f t="shared" si="114"/>
        <v>72</v>
      </c>
      <c r="AG2455" t="str">
        <f>IF(AF2455="","",IF(AF2455&gt;90,"Sangat baik",IF(AF2455&gt;79,"Baik",IF(AF2455&gt;=pub_gid_0_single_true_output_csv[[#This Row],[KKM]],"Cukup","Kurang"))))</f>
        <v>Cukup</v>
      </c>
      <c r="AH2455">
        <f t="shared" si="115"/>
        <v>12</v>
      </c>
      <c r="AI2455" s="30" t="str">
        <f>IF(OR(J2455&lt;&gt;"Karakter",pub_gid_0_single_true_output_csv[[#This Row],[Nilai2]]=""),"",IF(AF2455&gt;89,"Sangat baik",IF(AF2455&gt;79,"Baik",IF(AF2455&gt;69,"Cukup",IF(AF2455&gt;59,"Kurang","Sangat kurang")))))</f>
        <v/>
      </c>
      <c r="AJ2455" t="str">
        <f t="shared" si="116"/>
        <v>Wk.3</v>
      </c>
      <c r="AK2455" t="str">
        <f>IF(pub_gid_0_single_true_output_csv[[#This Row],[Nilai2]]="","",VLOOKUP(pub_gid_0_single_true_output_csv[[#This Row],[NAMA]],Table7[],3,FALSE))</f>
        <v>Average</v>
      </c>
    </row>
    <row r="2456" spans="1:37" x14ac:dyDescent="0.2">
      <c r="A2456">
        <v>2455</v>
      </c>
      <c r="B2456" t="s">
        <v>318</v>
      </c>
      <c r="C2456" t="s">
        <v>65</v>
      </c>
      <c r="D2456" t="s">
        <v>63</v>
      </c>
      <c r="E2456" t="s">
        <v>140</v>
      </c>
      <c r="F2456" s="25">
        <v>46043</v>
      </c>
      <c r="G2456" t="s">
        <v>341</v>
      </c>
      <c r="H2456" t="s">
        <v>405</v>
      </c>
      <c r="I2456" t="s">
        <v>371</v>
      </c>
      <c r="J2456" t="s">
        <v>36</v>
      </c>
      <c r="K2456" t="s">
        <v>37</v>
      </c>
      <c r="L2456" t="s">
        <v>351</v>
      </c>
      <c r="M2456" t="s">
        <v>141</v>
      </c>
      <c r="N2456" t="s">
        <v>142</v>
      </c>
      <c r="O2456" t="s">
        <v>327</v>
      </c>
      <c r="P2456" t="s">
        <v>281</v>
      </c>
      <c r="Q2456" t="s">
        <v>328</v>
      </c>
      <c r="R2456" t="s">
        <v>360</v>
      </c>
      <c r="S2456" t="s">
        <v>330</v>
      </c>
      <c r="T2456">
        <v>1</v>
      </c>
      <c r="U2456" t="s">
        <v>456</v>
      </c>
      <c r="V2456" t="s">
        <v>285</v>
      </c>
      <c r="W2456" t="s">
        <v>457</v>
      </c>
      <c r="X2456" t="s">
        <v>331</v>
      </c>
      <c r="Y2456" t="s">
        <v>307</v>
      </c>
      <c r="Z2456">
        <v>70</v>
      </c>
      <c r="AA2456">
        <v>70</v>
      </c>
      <c r="AB2456" t="s">
        <v>143</v>
      </c>
      <c r="AC2456" t="s">
        <v>53</v>
      </c>
      <c r="AD2456" t="s">
        <v>404</v>
      </c>
      <c r="AE2456" t="str">
        <f>IF(AF2456="","",VLOOKUP(AC2456,mapel!$A$2:$B$42,2,FALSE))</f>
        <v>Sejarah</v>
      </c>
      <c r="AF2456">
        <f t="shared" si="114"/>
        <v>70</v>
      </c>
      <c r="AG2456" t="str">
        <f>IF(AF2456="","",IF(AF2456&gt;90,"Sangat baik",IF(AF2456&gt;79,"Baik",IF(AF2456&gt;=pub_gid_0_single_true_output_csv[[#This Row],[KKM]],"Cukup","Kurang"))))</f>
        <v>Cukup</v>
      </c>
      <c r="AH2456">
        <f t="shared" si="115"/>
        <v>12</v>
      </c>
      <c r="AI2456" s="30" t="str">
        <f>IF(OR(J2456&lt;&gt;"Karakter",pub_gid_0_single_true_output_csv[[#This Row],[Nilai2]]=""),"",IF(AF2456&gt;89,"Sangat baik",IF(AF2456&gt;79,"Baik",IF(AF2456&gt;69,"Cukup",IF(AF2456&gt;59,"Kurang","Sangat kurang")))))</f>
        <v/>
      </c>
      <c r="AJ2456" t="str">
        <f t="shared" si="116"/>
        <v>Wk.4</v>
      </c>
      <c r="AK2456" t="str">
        <f>IF(pub_gid_0_single_true_output_csv[[#This Row],[Nilai2]]="","",VLOOKUP(pub_gid_0_single_true_output_csv[[#This Row],[NAMA]],Table7[],3,FALSE))</f>
        <v>Average</v>
      </c>
    </row>
    <row r="2457" spans="1:37" x14ac:dyDescent="0.2">
      <c r="A2457">
        <v>2456</v>
      </c>
      <c r="B2457" t="s">
        <v>318</v>
      </c>
      <c r="C2457" t="s">
        <v>65</v>
      </c>
      <c r="D2457" t="s">
        <v>63</v>
      </c>
      <c r="E2457" t="s">
        <v>140</v>
      </c>
      <c r="F2457" s="25">
        <v>46043</v>
      </c>
      <c r="G2457" t="s">
        <v>341</v>
      </c>
      <c r="H2457" t="s">
        <v>405</v>
      </c>
      <c r="I2457" t="s">
        <v>371</v>
      </c>
      <c r="J2457" t="s">
        <v>31</v>
      </c>
      <c r="K2457" t="s">
        <v>96</v>
      </c>
      <c r="L2457" t="s">
        <v>367</v>
      </c>
      <c r="M2457" t="s">
        <v>141</v>
      </c>
      <c r="N2457" t="s">
        <v>142</v>
      </c>
      <c r="O2457" t="s">
        <v>327</v>
      </c>
      <c r="P2457" t="s">
        <v>281</v>
      </c>
      <c r="Q2457" t="s">
        <v>328</v>
      </c>
      <c r="R2457" t="s">
        <v>360</v>
      </c>
      <c r="S2457" t="s">
        <v>330</v>
      </c>
      <c r="T2457">
        <v>1</v>
      </c>
      <c r="U2457" t="s">
        <v>456</v>
      </c>
      <c r="V2457" t="s">
        <v>285</v>
      </c>
      <c r="W2457" t="s">
        <v>457</v>
      </c>
      <c r="X2457" t="s">
        <v>331</v>
      </c>
      <c r="Y2457" t="s">
        <v>307</v>
      </c>
      <c r="Z2457">
        <v>70</v>
      </c>
      <c r="AA2457">
        <v>70</v>
      </c>
      <c r="AB2457" t="s">
        <v>143</v>
      </c>
      <c r="AC2457" t="s">
        <v>53</v>
      </c>
      <c r="AD2457" t="s">
        <v>404</v>
      </c>
      <c r="AE2457" t="str">
        <f>IF(AF2457="","",VLOOKUP(AC2457,mapel!$A$2:$B$42,2,FALSE))</f>
        <v>Sejarah</v>
      </c>
      <c r="AF2457">
        <f t="shared" si="114"/>
        <v>70</v>
      </c>
      <c r="AG2457" t="str">
        <f>IF(AF2457="","",IF(AF2457&gt;90,"Sangat baik",IF(AF2457&gt;79,"Baik",IF(AF2457&gt;=pub_gid_0_single_true_output_csv[[#This Row],[KKM]],"Cukup","Kurang"))))</f>
        <v>Cukup</v>
      </c>
      <c r="AH2457">
        <f t="shared" si="115"/>
        <v>12</v>
      </c>
      <c r="AI2457" s="30" t="str">
        <f>IF(OR(J2457&lt;&gt;"Karakter",pub_gid_0_single_true_output_csv[[#This Row],[Nilai2]]=""),"",IF(AF2457&gt;89,"Sangat baik",IF(AF2457&gt;79,"Baik",IF(AF2457&gt;69,"Cukup",IF(AF2457&gt;59,"Kurang","Sangat kurang")))))</f>
        <v/>
      </c>
      <c r="AJ2457" t="str">
        <f t="shared" si="116"/>
        <v>Wk.4</v>
      </c>
      <c r="AK2457" t="str">
        <f>IF(pub_gid_0_single_true_output_csv[[#This Row],[Nilai2]]="","",VLOOKUP(pub_gid_0_single_true_output_csv[[#This Row],[NAMA]],Table7[],3,FALSE))</f>
        <v>Average</v>
      </c>
    </row>
    <row r="2458" spans="1:37" x14ac:dyDescent="0.2">
      <c r="A2458">
        <v>2457</v>
      </c>
      <c r="B2458" t="s">
        <v>318</v>
      </c>
      <c r="C2458" t="s">
        <v>65</v>
      </c>
      <c r="D2458" t="s">
        <v>63</v>
      </c>
      <c r="E2458" t="s">
        <v>140</v>
      </c>
      <c r="F2458" s="25">
        <v>46043</v>
      </c>
      <c r="G2458" t="s">
        <v>341</v>
      </c>
      <c r="H2458" t="s">
        <v>405</v>
      </c>
      <c r="I2458" t="s">
        <v>371</v>
      </c>
      <c r="J2458" t="s">
        <v>90</v>
      </c>
      <c r="K2458" t="s">
        <v>92</v>
      </c>
      <c r="L2458" t="s">
        <v>93</v>
      </c>
      <c r="M2458" t="s">
        <v>141</v>
      </c>
      <c r="N2458" t="s">
        <v>142</v>
      </c>
      <c r="O2458" t="s">
        <v>327</v>
      </c>
      <c r="P2458" t="s">
        <v>281</v>
      </c>
      <c r="Q2458" t="s">
        <v>328</v>
      </c>
      <c r="R2458" t="s">
        <v>360</v>
      </c>
      <c r="S2458" t="s">
        <v>330</v>
      </c>
      <c r="T2458">
        <v>1</v>
      </c>
      <c r="U2458" t="s">
        <v>456</v>
      </c>
      <c r="V2458" t="s">
        <v>285</v>
      </c>
      <c r="W2458" t="s">
        <v>457</v>
      </c>
      <c r="X2458" t="s">
        <v>331</v>
      </c>
      <c r="Y2458" t="s">
        <v>307</v>
      </c>
      <c r="Z2458">
        <v>70</v>
      </c>
      <c r="AA2458">
        <v>75</v>
      </c>
      <c r="AB2458" t="s">
        <v>143</v>
      </c>
      <c r="AC2458" t="s">
        <v>53</v>
      </c>
      <c r="AD2458" t="s">
        <v>404</v>
      </c>
      <c r="AE2458" t="str">
        <f>IF(AF2458="","",VLOOKUP(AC2458,mapel!$A$2:$B$42,2,FALSE))</f>
        <v>Sejarah</v>
      </c>
      <c r="AF2458">
        <f t="shared" si="114"/>
        <v>75</v>
      </c>
      <c r="AG2458" t="str">
        <f>IF(AF2458="","",IF(AF2458&gt;90,"Sangat baik",IF(AF2458&gt;79,"Baik",IF(AF2458&gt;=pub_gid_0_single_true_output_csv[[#This Row],[KKM]],"Cukup","Kurang"))))</f>
        <v>Cukup</v>
      </c>
      <c r="AH2458">
        <f t="shared" si="115"/>
        <v>12</v>
      </c>
      <c r="AI2458" s="30" t="str">
        <f>IF(OR(J2458&lt;&gt;"Karakter",pub_gid_0_single_true_output_csv[[#This Row],[Nilai2]]=""),"",IF(AF2458&gt;89,"Sangat baik",IF(AF2458&gt;79,"Baik",IF(AF2458&gt;69,"Cukup",IF(AF2458&gt;59,"Kurang","Sangat kurang")))))</f>
        <v>Cukup</v>
      </c>
      <c r="AJ2458" t="str">
        <f t="shared" si="116"/>
        <v>Wk.4</v>
      </c>
      <c r="AK2458" t="str">
        <f>IF(pub_gid_0_single_true_output_csv[[#This Row],[Nilai2]]="","",VLOOKUP(pub_gid_0_single_true_output_csv[[#This Row],[NAMA]],Table7[],3,FALSE))</f>
        <v>Average</v>
      </c>
    </row>
    <row r="2459" spans="1:37" x14ac:dyDescent="0.2">
      <c r="A2459">
        <v>2458</v>
      </c>
      <c r="B2459" t="s">
        <v>318</v>
      </c>
      <c r="C2459" t="s">
        <v>65</v>
      </c>
      <c r="D2459" t="s">
        <v>63</v>
      </c>
      <c r="E2459" t="s">
        <v>140</v>
      </c>
      <c r="F2459" s="25">
        <v>46043</v>
      </c>
      <c r="G2459" t="s">
        <v>341</v>
      </c>
      <c r="H2459" t="s">
        <v>405</v>
      </c>
      <c r="I2459" t="s">
        <v>371</v>
      </c>
      <c r="J2459" t="s">
        <v>279</v>
      </c>
      <c r="K2459" t="s">
        <v>280</v>
      </c>
      <c r="L2459" t="s">
        <v>322</v>
      </c>
      <c r="M2459" t="s">
        <v>141</v>
      </c>
      <c r="N2459" t="s">
        <v>142</v>
      </c>
      <c r="O2459" t="s">
        <v>327</v>
      </c>
      <c r="P2459" t="s">
        <v>281</v>
      </c>
      <c r="Q2459" t="s">
        <v>328</v>
      </c>
      <c r="R2459" t="s">
        <v>360</v>
      </c>
      <c r="S2459" t="s">
        <v>330</v>
      </c>
      <c r="T2459">
        <v>1</v>
      </c>
      <c r="U2459" t="s">
        <v>456</v>
      </c>
      <c r="V2459" t="s">
        <v>285</v>
      </c>
      <c r="W2459" t="s">
        <v>457</v>
      </c>
      <c r="X2459" t="s">
        <v>331</v>
      </c>
      <c r="Y2459" t="s">
        <v>307</v>
      </c>
      <c r="Z2459">
        <v>70</v>
      </c>
      <c r="AA2459">
        <v>70</v>
      </c>
      <c r="AB2459" t="s">
        <v>143</v>
      </c>
      <c r="AC2459" t="s">
        <v>53</v>
      </c>
      <c r="AD2459" t="s">
        <v>404</v>
      </c>
      <c r="AE2459" t="str">
        <f>IF(AF2459="","",VLOOKUP(AC2459,mapel!$A$2:$B$42,2,FALSE))</f>
        <v>Sejarah</v>
      </c>
      <c r="AF2459">
        <f t="shared" si="114"/>
        <v>70</v>
      </c>
      <c r="AG2459" t="str">
        <f>IF(AF2459="","",IF(AF2459&gt;90,"Sangat baik",IF(AF2459&gt;79,"Baik",IF(AF2459&gt;=pub_gid_0_single_true_output_csv[[#This Row],[KKM]],"Cukup","Kurang"))))</f>
        <v>Cukup</v>
      </c>
      <c r="AH2459">
        <f t="shared" si="115"/>
        <v>12</v>
      </c>
      <c r="AI2459" s="30" t="str">
        <f>IF(OR(J2459&lt;&gt;"Karakter",pub_gid_0_single_true_output_csv[[#This Row],[Nilai2]]=""),"",IF(AF2459&gt;89,"Sangat baik",IF(AF2459&gt;79,"Baik",IF(AF2459&gt;69,"Cukup",IF(AF2459&gt;59,"Kurang","Sangat kurang")))))</f>
        <v/>
      </c>
      <c r="AJ2459" t="str">
        <f t="shared" si="116"/>
        <v>Wk.4</v>
      </c>
      <c r="AK2459" t="str">
        <f>IF(pub_gid_0_single_true_output_csv[[#This Row],[Nilai2]]="","",VLOOKUP(pub_gid_0_single_true_output_csv[[#This Row],[NAMA]],Table7[],3,FALSE))</f>
        <v>Average</v>
      </c>
    </row>
    <row r="2460" spans="1:37" x14ac:dyDescent="0.2">
      <c r="A2460">
        <v>2459</v>
      </c>
      <c r="B2460" t="s">
        <v>318</v>
      </c>
      <c r="C2460" t="s">
        <v>65</v>
      </c>
      <c r="D2460" t="s">
        <v>63</v>
      </c>
      <c r="E2460" t="s">
        <v>140</v>
      </c>
      <c r="F2460" s="25">
        <v>46050</v>
      </c>
      <c r="G2460" t="s">
        <v>308</v>
      </c>
      <c r="H2460" t="s">
        <v>405</v>
      </c>
      <c r="I2460" t="s">
        <v>371</v>
      </c>
      <c r="J2460" t="s">
        <v>36</v>
      </c>
      <c r="K2460" t="s">
        <v>37</v>
      </c>
      <c r="L2460" t="s">
        <v>351</v>
      </c>
      <c r="M2460" t="s">
        <v>141</v>
      </c>
      <c r="N2460" t="s">
        <v>142</v>
      </c>
      <c r="O2460" t="s">
        <v>327</v>
      </c>
      <c r="P2460" t="s">
        <v>281</v>
      </c>
      <c r="Q2460" t="s">
        <v>328</v>
      </c>
      <c r="R2460" t="s">
        <v>360</v>
      </c>
      <c r="S2460" t="s">
        <v>375</v>
      </c>
      <c r="T2460">
        <v>1</v>
      </c>
      <c r="U2460" t="s">
        <v>456</v>
      </c>
      <c r="V2460" t="s">
        <v>342</v>
      </c>
      <c r="W2460" t="s">
        <v>458</v>
      </c>
      <c r="X2460" t="s">
        <v>331</v>
      </c>
      <c r="Y2460" t="s">
        <v>307</v>
      </c>
      <c r="Z2460">
        <v>70</v>
      </c>
      <c r="AA2460">
        <v>72</v>
      </c>
      <c r="AB2460" t="s">
        <v>143</v>
      </c>
      <c r="AC2460" t="s">
        <v>53</v>
      </c>
      <c r="AD2460" t="s">
        <v>404</v>
      </c>
      <c r="AE2460" t="str">
        <f>IF(AF2460="","",VLOOKUP(AC2460,mapel!$A$2:$B$42,2,FALSE))</f>
        <v>Sejarah</v>
      </c>
      <c r="AF2460">
        <f t="shared" si="114"/>
        <v>72</v>
      </c>
      <c r="AG2460" t="str">
        <f>IF(AF2460="","",IF(AF2460&gt;90,"Sangat baik",IF(AF2460&gt;79,"Baik",IF(AF2460&gt;=pub_gid_0_single_true_output_csv[[#This Row],[KKM]],"Cukup","Kurang"))))</f>
        <v>Cukup</v>
      </c>
      <c r="AH2460">
        <f t="shared" si="115"/>
        <v>12</v>
      </c>
      <c r="AI2460" s="30" t="str">
        <f>IF(OR(J2460&lt;&gt;"Karakter",pub_gid_0_single_true_output_csv[[#This Row],[Nilai2]]=""),"",IF(AF2460&gt;89,"Sangat baik",IF(AF2460&gt;79,"Baik",IF(AF2460&gt;69,"Cukup",IF(AF2460&gt;59,"Kurang","Sangat kurang")))))</f>
        <v/>
      </c>
      <c r="AJ2460" t="str">
        <f t="shared" si="116"/>
        <v>Wk.5</v>
      </c>
      <c r="AK2460" t="str">
        <f>IF(pub_gid_0_single_true_output_csv[[#This Row],[Nilai2]]="","",VLOOKUP(pub_gid_0_single_true_output_csv[[#This Row],[NAMA]],Table7[],3,FALSE))</f>
        <v>Average</v>
      </c>
    </row>
    <row r="2461" spans="1:37" x14ac:dyDescent="0.2">
      <c r="A2461">
        <v>2460</v>
      </c>
      <c r="B2461" t="s">
        <v>318</v>
      </c>
      <c r="C2461" t="s">
        <v>65</v>
      </c>
      <c r="D2461" t="s">
        <v>63</v>
      </c>
      <c r="E2461" t="s">
        <v>140</v>
      </c>
      <c r="F2461" s="25">
        <v>46050</v>
      </c>
      <c r="G2461" t="s">
        <v>308</v>
      </c>
      <c r="H2461" t="s">
        <v>405</v>
      </c>
      <c r="I2461" t="s">
        <v>371</v>
      </c>
      <c r="J2461" t="s">
        <v>31</v>
      </c>
      <c r="K2461" t="s">
        <v>96</v>
      </c>
      <c r="L2461" t="s">
        <v>351</v>
      </c>
      <c r="M2461" t="s">
        <v>141</v>
      </c>
      <c r="N2461" t="s">
        <v>142</v>
      </c>
      <c r="O2461" t="s">
        <v>327</v>
      </c>
      <c r="P2461" t="s">
        <v>281</v>
      </c>
      <c r="Q2461" t="s">
        <v>328</v>
      </c>
      <c r="R2461" t="s">
        <v>360</v>
      </c>
      <c r="S2461" t="s">
        <v>375</v>
      </c>
      <c r="T2461">
        <v>1</v>
      </c>
      <c r="U2461" t="s">
        <v>456</v>
      </c>
      <c r="V2461" t="s">
        <v>342</v>
      </c>
      <c r="W2461" t="s">
        <v>458</v>
      </c>
      <c r="X2461" t="s">
        <v>331</v>
      </c>
      <c r="Y2461" t="s">
        <v>307</v>
      </c>
      <c r="Z2461">
        <v>70</v>
      </c>
      <c r="AA2461">
        <v>70</v>
      </c>
      <c r="AB2461" t="s">
        <v>143</v>
      </c>
      <c r="AC2461" t="s">
        <v>53</v>
      </c>
      <c r="AD2461" t="s">
        <v>404</v>
      </c>
      <c r="AE2461" t="str">
        <f>IF(AF2461="","",VLOOKUP(AC2461,mapel!$A$2:$B$42,2,FALSE))</f>
        <v>Sejarah</v>
      </c>
      <c r="AF2461">
        <f t="shared" si="114"/>
        <v>70</v>
      </c>
      <c r="AG2461" t="str">
        <f>IF(AF2461="","",IF(AF2461&gt;90,"Sangat baik",IF(AF2461&gt;79,"Baik",IF(AF2461&gt;=pub_gid_0_single_true_output_csv[[#This Row],[KKM]],"Cukup","Kurang"))))</f>
        <v>Cukup</v>
      </c>
      <c r="AH2461">
        <f t="shared" si="115"/>
        <v>12</v>
      </c>
      <c r="AI2461" s="30" t="str">
        <f>IF(OR(J2461&lt;&gt;"Karakter",pub_gid_0_single_true_output_csv[[#This Row],[Nilai2]]=""),"",IF(AF2461&gt;89,"Sangat baik",IF(AF2461&gt;79,"Baik",IF(AF2461&gt;69,"Cukup",IF(AF2461&gt;59,"Kurang","Sangat kurang")))))</f>
        <v/>
      </c>
      <c r="AJ2461" t="str">
        <f t="shared" si="116"/>
        <v>Wk.5</v>
      </c>
      <c r="AK2461" t="str">
        <f>IF(pub_gid_0_single_true_output_csv[[#This Row],[Nilai2]]="","",VLOOKUP(pub_gid_0_single_true_output_csv[[#This Row],[NAMA]],Table7[],3,FALSE))</f>
        <v>Average</v>
      </c>
    </row>
    <row r="2462" spans="1:37" x14ac:dyDescent="0.2">
      <c r="A2462">
        <v>2461</v>
      </c>
      <c r="B2462" t="s">
        <v>318</v>
      </c>
      <c r="C2462" t="s">
        <v>65</v>
      </c>
      <c r="D2462" t="s">
        <v>63</v>
      </c>
      <c r="E2462" t="s">
        <v>140</v>
      </c>
      <c r="F2462" s="25">
        <v>46050</v>
      </c>
      <c r="G2462" t="s">
        <v>308</v>
      </c>
      <c r="H2462" t="s">
        <v>405</v>
      </c>
      <c r="I2462" t="s">
        <v>371</v>
      </c>
      <c r="J2462" t="s">
        <v>90</v>
      </c>
      <c r="K2462" t="s">
        <v>92</v>
      </c>
      <c r="L2462" t="s">
        <v>93</v>
      </c>
      <c r="M2462" t="s">
        <v>141</v>
      </c>
      <c r="N2462" t="s">
        <v>142</v>
      </c>
      <c r="O2462" t="s">
        <v>327</v>
      </c>
      <c r="P2462" t="s">
        <v>281</v>
      </c>
      <c r="Q2462" t="s">
        <v>328</v>
      </c>
      <c r="R2462" t="s">
        <v>360</v>
      </c>
      <c r="S2462" t="s">
        <v>375</v>
      </c>
      <c r="T2462">
        <v>1</v>
      </c>
      <c r="U2462" t="s">
        <v>456</v>
      </c>
      <c r="V2462" t="s">
        <v>342</v>
      </c>
      <c r="W2462" t="s">
        <v>458</v>
      </c>
      <c r="X2462" t="s">
        <v>331</v>
      </c>
      <c r="Y2462" t="s">
        <v>307</v>
      </c>
      <c r="Z2462">
        <v>70</v>
      </c>
      <c r="AA2462">
        <v>70</v>
      </c>
      <c r="AB2462" t="s">
        <v>143</v>
      </c>
      <c r="AC2462" t="s">
        <v>53</v>
      </c>
      <c r="AD2462" t="s">
        <v>404</v>
      </c>
      <c r="AE2462" t="str">
        <f>IF(AF2462="","",VLOOKUP(AC2462,mapel!$A$2:$B$42,2,FALSE))</f>
        <v>Sejarah</v>
      </c>
      <c r="AF2462">
        <f t="shared" si="114"/>
        <v>70</v>
      </c>
      <c r="AG2462" t="str">
        <f>IF(AF2462="","",IF(AF2462&gt;90,"Sangat baik",IF(AF2462&gt;79,"Baik",IF(AF2462&gt;=pub_gid_0_single_true_output_csv[[#This Row],[KKM]],"Cukup","Kurang"))))</f>
        <v>Cukup</v>
      </c>
      <c r="AH2462">
        <f t="shared" si="115"/>
        <v>12</v>
      </c>
      <c r="AI2462" s="30" t="str">
        <f>IF(OR(J2462&lt;&gt;"Karakter",pub_gid_0_single_true_output_csv[[#This Row],[Nilai2]]=""),"",IF(AF2462&gt;89,"Sangat baik",IF(AF2462&gt;79,"Baik",IF(AF2462&gt;69,"Cukup",IF(AF2462&gt;59,"Kurang","Sangat kurang")))))</f>
        <v>Cukup</v>
      </c>
      <c r="AJ2462" t="str">
        <f t="shared" si="116"/>
        <v>Wk.5</v>
      </c>
      <c r="AK2462" t="str">
        <f>IF(pub_gid_0_single_true_output_csv[[#This Row],[Nilai2]]="","",VLOOKUP(pub_gid_0_single_true_output_csv[[#This Row],[NAMA]],Table7[],3,FALSE))</f>
        <v>Average</v>
      </c>
    </row>
    <row r="2463" spans="1:37" x14ac:dyDescent="0.2">
      <c r="A2463">
        <v>2462</v>
      </c>
      <c r="B2463" t="s">
        <v>318</v>
      </c>
      <c r="C2463" t="s">
        <v>65</v>
      </c>
      <c r="D2463" t="s">
        <v>63</v>
      </c>
      <c r="E2463" t="s">
        <v>140</v>
      </c>
      <c r="F2463" s="25">
        <v>46050</v>
      </c>
      <c r="G2463" t="s">
        <v>308</v>
      </c>
      <c r="H2463" t="s">
        <v>405</v>
      </c>
      <c r="I2463" t="s">
        <v>371</v>
      </c>
      <c r="J2463" t="s">
        <v>279</v>
      </c>
      <c r="K2463" t="s">
        <v>280</v>
      </c>
      <c r="L2463" t="s">
        <v>322</v>
      </c>
      <c r="M2463" t="s">
        <v>141</v>
      </c>
      <c r="N2463" t="s">
        <v>142</v>
      </c>
      <c r="O2463" t="s">
        <v>327</v>
      </c>
      <c r="P2463" t="s">
        <v>281</v>
      </c>
      <c r="Q2463" t="s">
        <v>328</v>
      </c>
      <c r="R2463" t="s">
        <v>360</v>
      </c>
      <c r="S2463" t="s">
        <v>375</v>
      </c>
      <c r="T2463">
        <v>1</v>
      </c>
      <c r="U2463" t="s">
        <v>456</v>
      </c>
      <c r="V2463" t="s">
        <v>342</v>
      </c>
      <c r="W2463" t="s">
        <v>458</v>
      </c>
      <c r="X2463" t="s">
        <v>331</v>
      </c>
      <c r="Y2463" t="s">
        <v>307</v>
      </c>
      <c r="Z2463">
        <v>70</v>
      </c>
      <c r="AA2463">
        <v>70</v>
      </c>
      <c r="AB2463" t="s">
        <v>143</v>
      </c>
      <c r="AC2463" t="s">
        <v>53</v>
      </c>
      <c r="AD2463" t="s">
        <v>404</v>
      </c>
      <c r="AE2463" t="str">
        <f>IF(AF2463="","",VLOOKUP(AC2463,mapel!$A$2:$B$42,2,FALSE))</f>
        <v>Sejarah</v>
      </c>
      <c r="AF2463">
        <f t="shared" si="114"/>
        <v>70</v>
      </c>
      <c r="AG2463" t="str">
        <f>IF(AF2463="","",IF(AF2463&gt;90,"Sangat baik",IF(AF2463&gt;79,"Baik",IF(AF2463&gt;=pub_gid_0_single_true_output_csv[[#This Row],[KKM]],"Cukup","Kurang"))))</f>
        <v>Cukup</v>
      </c>
      <c r="AH2463">
        <f t="shared" si="115"/>
        <v>12</v>
      </c>
      <c r="AI2463" s="30" t="str">
        <f>IF(OR(J2463&lt;&gt;"Karakter",pub_gid_0_single_true_output_csv[[#This Row],[Nilai2]]=""),"",IF(AF2463&gt;89,"Sangat baik",IF(AF2463&gt;79,"Baik",IF(AF2463&gt;69,"Cukup",IF(AF2463&gt;59,"Kurang","Sangat kurang")))))</f>
        <v/>
      </c>
      <c r="AJ2463" t="str">
        <f t="shared" si="116"/>
        <v>Wk.5</v>
      </c>
      <c r="AK2463" t="str">
        <f>IF(pub_gid_0_single_true_output_csv[[#This Row],[Nilai2]]="","",VLOOKUP(pub_gid_0_single_true_output_csv[[#This Row],[NAMA]],Table7[],3,FALSE))</f>
        <v>Average</v>
      </c>
    </row>
    <row r="2464" spans="1:37" x14ac:dyDescent="0.2">
      <c r="A2464">
        <v>2463</v>
      </c>
      <c r="B2464" t="s">
        <v>318</v>
      </c>
      <c r="C2464" t="s">
        <v>65</v>
      </c>
      <c r="D2464" t="s">
        <v>63</v>
      </c>
      <c r="E2464" t="s">
        <v>140</v>
      </c>
      <c r="F2464" s="25">
        <v>46050</v>
      </c>
      <c r="G2464" t="s">
        <v>308</v>
      </c>
      <c r="H2464" t="s">
        <v>405</v>
      </c>
      <c r="I2464" t="s">
        <v>371</v>
      </c>
      <c r="J2464" t="s">
        <v>36</v>
      </c>
      <c r="K2464" t="s">
        <v>37</v>
      </c>
      <c r="L2464" t="s">
        <v>150</v>
      </c>
      <c r="M2464" t="s">
        <v>141</v>
      </c>
      <c r="N2464" t="s">
        <v>142</v>
      </c>
      <c r="O2464" t="s">
        <v>327</v>
      </c>
      <c r="P2464" t="s">
        <v>281</v>
      </c>
      <c r="Q2464" t="s">
        <v>328</v>
      </c>
      <c r="R2464" t="s">
        <v>360</v>
      </c>
      <c r="S2464" t="s">
        <v>375</v>
      </c>
      <c r="T2464">
        <v>1</v>
      </c>
      <c r="U2464" t="s">
        <v>456</v>
      </c>
      <c r="V2464" t="s">
        <v>342</v>
      </c>
      <c r="W2464" t="s">
        <v>458</v>
      </c>
      <c r="X2464" t="s">
        <v>331</v>
      </c>
      <c r="Y2464" t="s">
        <v>307</v>
      </c>
      <c r="Z2464">
        <v>70</v>
      </c>
      <c r="AA2464">
        <v>70</v>
      </c>
      <c r="AB2464" t="s">
        <v>143</v>
      </c>
      <c r="AC2464" t="s">
        <v>53</v>
      </c>
      <c r="AD2464" t="s">
        <v>404</v>
      </c>
      <c r="AE2464" t="str">
        <f>IF(AF2464="","",VLOOKUP(AC2464,mapel!$A$2:$B$42,2,FALSE))</f>
        <v>Sejarah</v>
      </c>
      <c r="AF2464">
        <f t="shared" si="114"/>
        <v>70</v>
      </c>
      <c r="AG2464" t="str">
        <f>IF(AF2464="","",IF(AF2464&gt;90,"Sangat baik",IF(AF2464&gt;79,"Baik",IF(AF2464&gt;=pub_gid_0_single_true_output_csv[[#This Row],[KKM]],"Cukup","Kurang"))))</f>
        <v>Cukup</v>
      </c>
      <c r="AH2464">
        <f t="shared" si="115"/>
        <v>12</v>
      </c>
      <c r="AI2464" s="30" t="str">
        <f>IF(OR(J2464&lt;&gt;"Karakter",pub_gid_0_single_true_output_csv[[#This Row],[Nilai2]]=""),"",IF(AF2464&gt;89,"Sangat baik",IF(AF2464&gt;79,"Baik",IF(AF2464&gt;69,"Cukup",IF(AF2464&gt;59,"Kurang","Sangat kurang")))))</f>
        <v/>
      </c>
      <c r="AJ2464" t="str">
        <f t="shared" si="116"/>
        <v>Wk.5</v>
      </c>
      <c r="AK2464" t="str">
        <f>IF(pub_gid_0_single_true_output_csv[[#This Row],[Nilai2]]="","",VLOOKUP(pub_gid_0_single_true_output_csv[[#This Row],[NAMA]],Table7[],3,FALSE))</f>
        <v>Average</v>
      </c>
    </row>
    <row r="2465" spans="1:37" x14ac:dyDescent="0.2">
      <c r="A2465">
        <v>2464</v>
      </c>
      <c r="B2465" t="s">
        <v>318</v>
      </c>
      <c r="C2465" t="s">
        <v>65</v>
      </c>
      <c r="D2465" t="s">
        <v>63</v>
      </c>
      <c r="E2465" t="s">
        <v>140</v>
      </c>
      <c r="F2465" s="25">
        <v>46050</v>
      </c>
      <c r="G2465" t="s">
        <v>308</v>
      </c>
      <c r="H2465" t="s">
        <v>405</v>
      </c>
      <c r="I2465" t="s">
        <v>371</v>
      </c>
      <c r="J2465" t="s">
        <v>31</v>
      </c>
      <c r="K2465" t="s">
        <v>32</v>
      </c>
      <c r="L2465" t="s">
        <v>367</v>
      </c>
      <c r="M2465" t="s">
        <v>141</v>
      </c>
      <c r="N2465" t="s">
        <v>142</v>
      </c>
      <c r="O2465" t="s">
        <v>327</v>
      </c>
      <c r="P2465" t="s">
        <v>281</v>
      </c>
      <c r="Q2465" t="s">
        <v>328</v>
      </c>
      <c r="R2465" t="s">
        <v>360</v>
      </c>
      <c r="S2465" t="s">
        <v>375</v>
      </c>
      <c r="T2465">
        <v>1</v>
      </c>
      <c r="U2465" t="s">
        <v>456</v>
      </c>
      <c r="V2465" t="s">
        <v>342</v>
      </c>
      <c r="W2465" t="s">
        <v>458</v>
      </c>
      <c r="X2465" t="s">
        <v>331</v>
      </c>
      <c r="Y2465" t="s">
        <v>307</v>
      </c>
      <c r="Z2465">
        <v>70</v>
      </c>
      <c r="AA2465">
        <v>70</v>
      </c>
      <c r="AB2465" t="s">
        <v>143</v>
      </c>
      <c r="AC2465" t="s">
        <v>53</v>
      </c>
      <c r="AD2465" t="s">
        <v>404</v>
      </c>
      <c r="AE2465" t="str">
        <f>IF(AF2465="","",VLOOKUP(AC2465,mapel!$A$2:$B$42,2,FALSE))</f>
        <v>Sejarah</v>
      </c>
      <c r="AF2465">
        <f t="shared" si="114"/>
        <v>70</v>
      </c>
      <c r="AG2465" t="str">
        <f>IF(AF2465="","",IF(AF2465&gt;90,"Sangat baik",IF(AF2465&gt;79,"Baik",IF(AF2465&gt;=pub_gid_0_single_true_output_csv[[#This Row],[KKM]],"Cukup","Kurang"))))</f>
        <v>Cukup</v>
      </c>
      <c r="AH2465">
        <f t="shared" si="115"/>
        <v>12</v>
      </c>
      <c r="AI2465" s="30" t="str">
        <f>IF(OR(J2465&lt;&gt;"Karakter",pub_gid_0_single_true_output_csv[[#This Row],[Nilai2]]=""),"",IF(AF2465&gt;89,"Sangat baik",IF(AF2465&gt;79,"Baik",IF(AF2465&gt;69,"Cukup",IF(AF2465&gt;59,"Kurang","Sangat kurang")))))</f>
        <v/>
      </c>
      <c r="AJ2465" t="str">
        <f t="shared" si="116"/>
        <v>Wk.5</v>
      </c>
      <c r="AK2465" t="str">
        <f>IF(pub_gid_0_single_true_output_csv[[#This Row],[Nilai2]]="","",VLOOKUP(pub_gid_0_single_true_output_csv[[#This Row],[NAMA]],Table7[],3,FALSE))</f>
        <v>Average</v>
      </c>
    </row>
    <row r="2466" spans="1:37" x14ac:dyDescent="0.2">
      <c r="A2466">
        <v>2465</v>
      </c>
      <c r="B2466" t="s">
        <v>318</v>
      </c>
      <c r="C2466" t="s">
        <v>65</v>
      </c>
      <c r="D2466" t="s">
        <v>63</v>
      </c>
      <c r="E2466" t="s">
        <v>140</v>
      </c>
      <c r="F2466" s="25">
        <v>46052</v>
      </c>
      <c r="G2466" t="s">
        <v>304</v>
      </c>
      <c r="H2466" t="s">
        <v>405</v>
      </c>
      <c r="I2466" t="s">
        <v>371</v>
      </c>
      <c r="J2466" t="s">
        <v>90</v>
      </c>
      <c r="K2466" t="s">
        <v>92</v>
      </c>
      <c r="L2466" t="s">
        <v>93</v>
      </c>
      <c r="M2466" t="s">
        <v>141</v>
      </c>
      <c r="N2466" t="s">
        <v>142</v>
      </c>
      <c r="O2466" t="s">
        <v>327</v>
      </c>
      <c r="P2466" t="s">
        <v>281</v>
      </c>
      <c r="Q2466" t="s">
        <v>328</v>
      </c>
      <c r="R2466" t="s">
        <v>360</v>
      </c>
      <c r="S2466" t="s">
        <v>375</v>
      </c>
      <c r="T2466">
        <v>1</v>
      </c>
      <c r="U2466" t="s">
        <v>456</v>
      </c>
      <c r="V2466" t="s">
        <v>342</v>
      </c>
      <c r="W2466" t="s">
        <v>458</v>
      </c>
      <c r="X2466" t="s">
        <v>331</v>
      </c>
      <c r="Y2466" t="s">
        <v>307</v>
      </c>
      <c r="Z2466">
        <v>70</v>
      </c>
      <c r="AA2466">
        <v>70</v>
      </c>
      <c r="AB2466" t="s">
        <v>143</v>
      </c>
      <c r="AC2466" t="s">
        <v>53</v>
      </c>
      <c r="AD2466" t="s">
        <v>404</v>
      </c>
      <c r="AE2466" t="str">
        <f>IF(AF2466="","",VLOOKUP(AC2466,mapel!$A$2:$B$42,2,FALSE))</f>
        <v>Sejarah</v>
      </c>
      <c r="AF2466">
        <f t="shared" si="114"/>
        <v>70</v>
      </c>
      <c r="AG2466" t="str">
        <f>IF(AF2466="","",IF(AF2466&gt;90,"Sangat baik",IF(AF2466&gt;79,"Baik",IF(AF2466&gt;=pub_gid_0_single_true_output_csv[[#This Row],[KKM]],"Cukup","Kurang"))))</f>
        <v>Cukup</v>
      </c>
      <c r="AH2466">
        <f t="shared" si="115"/>
        <v>12</v>
      </c>
      <c r="AI2466" s="30" t="str">
        <f>IF(OR(J2466&lt;&gt;"Karakter",pub_gid_0_single_true_output_csv[[#This Row],[Nilai2]]=""),"",IF(AF2466&gt;89,"Sangat baik",IF(AF2466&gt;79,"Baik",IF(AF2466&gt;69,"Cukup",IF(AF2466&gt;59,"Kurang","Sangat kurang")))))</f>
        <v>Cukup</v>
      </c>
      <c r="AJ2466" t="str">
        <f t="shared" si="116"/>
        <v>Wk.5</v>
      </c>
      <c r="AK2466" t="str">
        <f>IF(pub_gid_0_single_true_output_csv[[#This Row],[Nilai2]]="","",VLOOKUP(pub_gid_0_single_true_output_csv[[#This Row],[NAMA]],Table7[],3,FALSE))</f>
        <v>Average</v>
      </c>
    </row>
    <row r="2467" spans="1:37" x14ac:dyDescent="0.2">
      <c r="A2467">
        <v>2466</v>
      </c>
      <c r="B2467" t="s">
        <v>318</v>
      </c>
      <c r="C2467" t="s">
        <v>65</v>
      </c>
      <c r="D2467" t="s">
        <v>63</v>
      </c>
      <c r="E2467" t="s">
        <v>140</v>
      </c>
      <c r="F2467" s="25">
        <v>46057</v>
      </c>
      <c r="G2467" t="s">
        <v>348</v>
      </c>
      <c r="H2467" t="s">
        <v>412</v>
      </c>
      <c r="I2467" t="s">
        <v>371</v>
      </c>
      <c r="J2467" t="s">
        <v>279</v>
      </c>
      <c r="K2467" t="s">
        <v>280</v>
      </c>
      <c r="L2467" t="s">
        <v>322</v>
      </c>
      <c r="M2467" t="s">
        <v>141</v>
      </c>
      <c r="N2467" t="s">
        <v>142</v>
      </c>
      <c r="O2467" t="s">
        <v>327</v>
      </c>
      <c r="P2467" t="s">
        <v>281</v>
      </c>
      <c r="Q2467" t="s">
        <v>328</v>
      </c>
      <c r="R2467" t="s">
        <v>360</v>
      </c>
      <c r="S2467" t="s">
        <v>375</v>
      </c>
      <c r="T2467">
        <v>1</v>
      </c>
      <c r="U2467" t="s">
        <v>456</v>
      </c>
      <c r="V2467" t="s">
        <v>342</v>
      </c>
      <c r="W2467" t="s">
        <v>458</v>
      </c>
      <c r="X2467" t="s">
        <v>331</v>
      </c>
      <c r="Y2467" t="s">
        <v>307</v>
      </c>
      <c r="Z2467">
        <v>70</v>
      </c>
      <c r="AA2467">
        <v>70</v>
      </c>
      <c r="AB2467" t="s">
        <v>143</v>
      </c>
      <c r="AC2467" t="s">
        <v>53</v>
      </c>
      <c r="AD2467" t="s">
        <v>404</v>
      </c>
      <c r="AE2467" t="str">
        <f>IF(AF2467="","",VLOOKUP(AC2467,mapel!$A$2:$B$42,2,FALSE))</f>
        <v>Sejarah</v>
      </c>
      <c r="AF2467">
        <f t="shared" si="114"/>
        <v>70</v>
      </c>
      <c r="AG2467" t="str">
        <f>IF(AF2467="","",IF(AF2467&gt;90,"Sangat baik",IF(AF2467&gt;79,"Baik",IF(AF2467&gt;=pub_gid_0_single_true_output_csv[[#This Row],[KKM]],"Cukup","Kurang"))))</f>
        <v>Cukup</v>
      </c>
      <c r="AH2467">
        <f t="shared" si="115"/>
        <v>12</v>
      </c>
      <c r="AI2467" s="30" t="str">
        <f>IF(OR(J2467&lt;&gt;"Karakter",pub_gid_0_single_true_output_csv[[#This Row],[Nilai2]]=""),"",IF(AF2467&gt;89,"Sangat baik",IF(AF2467&gt;79,"Baik",IF(AF2467&gt;69,"Cukup",IF(AF2467&gt;59,"Kurang","Sangat kurang")))))</f>
        <v/>
      </c>
      <c r="AJ2467" t="str">
        <f t="shared" si="116"/>
        <v>Wk.6</v>
      </c>
      <c r="AK2467" t="str">
        <f>IF(pub_gid_0_single_true_output_csv[[#This Row],[Nilai2]]="","",VLOOKUP(pub_gid_0_single_true_output_csv[[#This Row],[NAMA]],Table7[],3,FALSE))</f>
        <v>Average</v>
      </c>
    </row>
    <row r="2468" spans="1:37" x14ac:dyDescent="0.2">
      <c r="A2468">
        <v>2467</v>
      </c>
      <c r="B2468" t="s">
        <v>318</v>
      </c>
      <c r="C2468" t="s">
        <v>65</v>
      </c>
      <c r="D2468" t="s">
        <v>63</v>
      </c>
      <c r="E2468" t="s">
        <v>140</v>
      </c>
      <c r="F2468" s="25">
        <v>46057</v>
      </c>
      <c r="G2468" t="s">
        <v>348</v>
      </c>
      <c r="H2468" t="s">
        <v>412</v>
      </c>
      <c r="I2468" t="s">
        <v>371</v>
      </c>
      <c r="J2468" t="s">
        <v>36</v>
      </c>
      <c r="K2468" t="s">
        <v>37</v>
      </c>
      <c r="L2468" t="s">
        <v>351</v>
      </c>
      <c r="M2468" t="s">
        <v>141</v>
      </c>
      <c r="N2468" t="s">
        <v>142</v>
      </c>
      <c r="O2468" t="s">
        <v>327</v>
      </c>
      <c r="P2468" t="s">
        <v>281</v>
      </c>
      <c r="Q2468" t="s">
        <v>328</v>
      </c>
      <c r="R2468" t="s">
        <v>360</v>
      </c>
      <c r="S2468" t="s">
        <v>392</v>
      </c>
      <c r="T2468">
        <v>1</v>
      </c>
      <c r="U2468" t="s">
        <v>456</v>
      </c>
      <c r="V2468" t="s">
        <v>343</v>
      </c>
      <c r="W2468" t="s">
        <v>459</v>
      </c>
      <c r="X2468" t="s">
        <v>331</v>
      </c>
      <c r="Y2468" t="s">
        <v>307</v>
      </c>
      <c r="Z2468">
        <v>70</v>
      </c>
      <c r="AA2468">
        <v>70</v>
      </c>
      <c r="AB2468" t="s">
        <v>143</v>
      </c>
      <c r="AC2468" t="s">
        <v>53</v>
      </c>
      <c r="AD2468" t="s">
        <v>404</v>
      </c>
      <c r="AE2468" t="str">
        <f>IF(AF2468="","",VLOOKUP(AC2468,mapel!$A$2:$B$42,2,FALSE))</f>
        <v>Sejarah</v>
      </c>
      <c r="AF2468">
        <f t="shared" si="114"/>
        <v>70</v>
      </c>
      <c r="AG2468" t="str">
        <f>IF(AF2468="","",IF(AF2468&gt;90,"Sangat baik",IF(AF2468&gt;79,"Baik",IF(AF2468&gt;=pub_gid_0_single_true_output_csv[[#This Row],[KKM]],"Cukup","Kurang"))))</f>
        <v>Cukup</v>
      </c>
      <c r="AH2468">
        <f t="shared" si="115"/>
        <v>12</v>
      </c>
      <c r="AI2468" s="30" t="str">
        <f>IF(OR(J2468&lt;&gt;"Karakter",pub_gid_0_single_true_output_csv[[#This Row],[Nilai2]]=""),"",IF(AF2468&gt;89,"Sangat baik",IF(AF2468&gt;79,"Baik",IF(AF2468&gt;69,"Cukup",IF(AF2468&gt;59,"Kurang","Sangat kurang")))))</f>
        <v/>
      </c>
      <c r="AJ2468" t="str">
        <f t="shared" si="116"/>
        <v>Wk.6</v>
      </c>
      <c r="AK2468" t="str">
        <f>IF(pub_gid_0_single_true_output_csv[[#This Row],[Nilai2]]="","",VLOOKUP(pub_gid_0_single_true_output_csv[[#This Row],[NAMA]],Table7[],3,FALSE))</f>
        <v>Average</v>
      </c>
    </row>
    <row r="2469" spans="1:37" x14ac:dyDescent="0.2">
      <c r="A2469">
        <v>2468</v>
      </c>
      <c r="B2469" t="s">
        <v>318</v>
      </c>
      <c r="C2469" t="s">
        <v>65</v>
      </c>
      <c r="D2469" t="s">
        <v>63</v>
      </c>
      <c r="E2469" t="s">
        <v>140</v>
      </c>
      <c r="F2469" s="25">
        <v>46057</v>
      </c>
      <c r="G2469" t="s">
        <v>348</v>
      </c>
      <c r="H2469" t="s">
        <v>412</v>
      </c>
      <c r="I2469" t="s">
        <v>371</v>
      </c>
      <c r="J2469" t="s">
        <v>31</v>
      </c>
      <c r="K2469" t="s">
        <v>96</v>
      </c>
      <c r="L2469" t="s">
        <v>351</v>
      </c>
      <c r="M2469" t="s">
        <v>141</v>
      </c>
      <c r="N2469" t="s">
        <v>142</v>
      </c>
      <c r="O2469" t="s">
        <v>327</v>
      </c>
      <c r="P2469" t="s">
        <v>281</v>
      </c>
      <c r="Q2469" t="s">
        <v>328</v>
      </c>
      <c r="R2469" t="s">
        <v>360</v>
      </c>
      <c r="S2469" t="s">
        <v>392</v>
      </c>
      <c r="T2469">
        <v>1</v>
      </c>
      <c r="U2469" t="s">
        <v>456</v>
      </c>
      <c r="V2469" t="s">
        <v>343</v>
      </c>
      <c r="W2469" t="s">
        <v>459</v>
      </c>
      <c r="X2469" t="s">
        <v>331</v>
      </c>
      <c r="Y2469" t="s">
        <v>307</v>
      </c>
      <c r="Z2469">
        <v>70</v>
      </c>
      <c r="AA2469">
        <v>70</v>
      </c>
      <c r="AB2469" t="s">
        <v>143</v>
      </c>
      <c r="AC2469" t="s">
        <v>53</v>
      </c>
      <c r="AD2469" t="s">
        <v>404</v>
      </c>
      <c r="AE2469" t="str">
        <f>IF(AF2469="","",VLOOKUP(AC2469,mapel!$A$2:$B$42,2,FALSE))</f>
        <v>Sejarah</v>
      </c>
      <c r="AF2469">
        <f t="shared" si="114"/>
        <v>70</v>
      </c>
      <c r="AG2469" t="str">
        <f>IF(AF2469="","",IF(AF2469&gt;90,"Sangat baik",IF(AF2469&gt;79,"Baik",IF(AF2469&gt;=pub_gid_0_single_true_output_csv[[#This Row],[KKM]],"Cukup","Kurang"))))</f>
        <v>Cukup</v>
      </c>
      <c r="AH2469">
        <f t="shared" si="115"/>
        <v>12</v>
      </c>
      <c r="AI2469" s="30" t="str">
        <f>IF(OR(J2469&lt;&gt;"Karakter",pub_gid_0_single_true_output_csv[[#This Row],[Nilai2]]=""),"",IF(AF2469&gt;89,"Sangat baik",IF(AF2469&gt;79,"Baik",IF(AF2469&gt;69,"Cukup",IF(AF2469&gt;59,"Kurang","Sangat kurang")))))</f>
        <v/>
      </c>
      <c r="AJ2469" t="str">
        <f t="shared" si="116"/>
        <v>Wk.6</v>
      </c>
      <c r="AK2469" t="str">
        <f>IF(pub_gid_0_single_true_output_csv[[#This Row],[Nilai2]]="","",VLOOKUP(pub_gid_0_single_true_output_csv[[#This Row],[NAMA]],Table7[],3,FALSE))</f>
        <v>Average</v>
      </c>
    </row>
    <row r="2470" spans="1:37" x14ac:dyDescent="0.2">
      <c r="A2470">
        <v>2469</v>
      </c>
      <c r="B2470" t="s">
        <v>318</v>
      </c>
      <c r="C2470" t="s">
        <v>65</v>
      </c>
      <c r="D2470" t="s">
        <v>63</v>
      </c>
      <c r="E2470" t="s">
        <v>140</v>
      </c>
      <c r="F2470" s="25">
        <v>46057</v>
      </c>
      <c r="G2470" t="s">
        <v>348</v>
      </c>
      <c r="H2470" t="s">
        <v>412</v>
      </c>
      <c r="I2470" t="s">
        <v>371</v>
      </c>
      <c r="J2470" t="s">
        <v>90</v>
      </c>
      <c r="K2470" t="s">
        <v>92</v>
      </c>
      <c r="L2470" t="s">
        <v>91</v>
      </c>
      <c r="M2470" t="s">
        <v>141</v>
      </c>
      <c r="N2470" t="s">
        <v>142</v>
      </c>
      <c r="O2470" t="s">
        <v>327</v>
      </c>
      <c r="P2470" t="s">
        <v>281</v>
      </c>
      <c r="Q2470" t="s">
        <v>328</v>
      </c>
      <c r="R2470" t="s">
        <v>360</v>
      </c>
      <c r="S2470" t="s">
        <v>392</v>
      </c>
      <c r="T2470">
        <v>1</v>
      </c>
      <c r="U2470" t="s">
        <v>456</v>
      </c>
      <c r="V2470" t="s">
        <v>343</v>
      </c>
      <c r="W2470" t="s">
        <v>459</v>
      </c>
      <c r="X2470" t="s">
        <v>331</v>
      </c>
      <c r="Y2470" t="s">
        <v>307</v>
      </c>
      <c r="Z2470">
        <v>70</v>
      </c>
      <c r="AA2470">
        <v>70</v>
      </c>
      <c r="AB2470" t="s">
        <v>143</v>
      </c>
      <c r="AC2470" t="s">
        <v>53</v>
      </c>
      <c r="AD2470" t="s">
        <v>404</v>
      </c>
      <c r="AE2470" t="str">
        <f>IF(AF2470="","",VLOOKUP(AC2470,mapel!$A$2:$B$42,2,FALSE))</f>
        <v>Sejarah</v>
      </c>
      <c r="AF2470">
        <f t="shared" si="114"/>
        <v>70</v>
      </c>
      <c r="AG2470" t="str">
        <f>IF(AF2470="","",IF(AF2470&gt;90,"Sangat baik",IF(AF2470&gt;79,"Baik",IF(AF2470&gt;=pub_gid_0_single_true_output_csv[[#This Row],[KKM]],"Cukup","Kurang"))))</f>
        <v>Cukup</v>
      </c>
      <c r="AH2470">
        <f t="shared" si="115"/>
        <v>12</v>
      </c>
      <c r="AI2470" s="30" t="str">
        <f>IF(OR(J2470&lt;&gt;"Karakter",pub_gid_0_single_true_output_csv[[#This Row],[Nilai2]]=""),"",IF(AF2470&gt;89,"Sangat baik",IF(AF2470&gt;79,"Baik",IF(AF2470&gt;69,"Cukup",IF(AF2470&gt;59,"Kurang","Sangat kurang")))))</f>
        <v>Cukup</v>
      </c>
      <c r="AJ2470" t="str">
        <f t="shared" si="116"/>
        <v>Wk.6</v>
      </c>
      <c r="AK2470" t="str">
        <f>IF(pub_gid_0_single_true_output_csv[[#This Row],[Nilai2]]="","",VLOOKUP(pub_gid_0_single_true_output_csv[[#This Row],[NAMA]],Table7[],3,FALSE))</f>
        <v>Average</v>
      </c>
    </row>
    <row r="2471" spans="1:37" x14ac:dyDescent="0.2">
      <c r="A2471">
        <v>2470</v>
      </c>
      <c r="B2471" t="s">
        <v>318</v>
      </c>
      <c r="C2471" t="s">
        <v>65</v>
      </c>
      <c r="D2471" t="s">
        <v>63</v>
      </c>
      <c r="E2471" t="s">
        <v>140</v>
      </c>
      <c r="F2471" s="25">
        <v>46064</v>
      </c>
      <c r="G2471" t="s">
        <v>352</v>
      </c>
      <c r="H2471" t="s">
        <v>412</v>
      </c>
      <c r="I2471" t="s">
        <v>371</v>
      </c>
      <c r="J2471" t="s">
        <v>279</v>
      </c>
      <c r="K2471" t="s">
        <v>280</v>
      </c>
      <c r="L2471" t="s">
        <v>322</v>
      </c>
      <c r="M2471" t="s">
        <v>141</v>
      </c>
      <c r="N2471" t="s">
        <v>142</v>
      </c>
      <c r="O2471" t="s">
        <v>327</v>
      </c>
      <c r="P2471" t="s">
        <v>281</v>
      </c>
      <c r="Q2471" t="s">
        <v>328</v>
      </c>
      <c r="R2471" t="s">
        <v>360</v>
      </c>
      <c r="S2471" t="s">
        <v>392</v>
      </c>
      <c r="T2471">
        <v>1</v>
      </c>
      <c r="U2471" t="s">
        <v>456</v>
      </c>
      <c r="V2471" t="s">
        <v>343</v>
      </c>
      <c r="W2471" t="s">
        <v>459</v>
      </c>
      <c r="X2471" t="s">
        <v>331</v>
      </c>
      <c r="Y2471" t="s">
        <v>307</v>
      </c>
      <c r="Z2471">
        <v>70</v>
      </c>
      <c r="AA2471">
        <v>70</v>
      </c>
      <c r="AB2471" t="s">
        <v>143</v>
      </c>
      <c r="AC2471" t="s">
        <v>53</v>
      </c>
      <c r="AD2471" t="s">
        <v>404</v>
      </c>
      <c r="AE2471" t="str">
        <f>IF(AF2471="","",VLOOKUP(AC2471,mapel!$A$2:$B$42,2,FALSE))</f>
        <v>Sejarah</v>
      </c>
      <c r="AF2471">
        <f t="shared" si="114"/>
        <v>70</v>
      </c>
      <c r="AG2471" t="str">
        <f>IF(AF2471="","",IF(AF2471&gt;90,"Sangat baik",IF(AF2471&gt;79,"Baik",IF(AF2471&gt;=pub_gid_0_single_true_output_csv[[#This Row],[KKM]],"Cukup","Kurang"))))</f>
        <v>Cukup</v>
      </c>
      <c r="AH2471">
        <f t="shared" si="115"/>
        <v>12</v>
      </c>
      <c r="AI2471" s="30" t="str">
        <f>IF(OR(J2471&lt;&gt;"Karakter",pub_gid_0_single_true_output_csv[[#This Row],[Nilai2]]=""),"",IF(AF2471&gt;89,"Sangat baik",IF(AF2471&gt;79,"Baik",IF(AF2471&gt;69,"Cukup",IF(AF2471&gt;59,"Kurang","Sangat kurang")))))</f>
        <v/>
      </c>
      <c r="AJ2471" t="str">
        <f t="shared" si="116"/>
        <v>Wk.7</v>
      </c>
      <c r="AK2471" t="str">
        <f>IF(pub_gid_0_single_true_output_csv[[#This Row],[Nilai2]]="","",VLOOKUP(pub_gid_0_single_true_output_csv[[#This Row],[NAMA]],Table7[],3,FALSE))</f>
        <v>Average</v>
      </c>
    </row>
    <row r="2472" spans="1:37" x14ac:dyDescent="0.2">
      <c r="A2472">
        <v>2471</v>
      </c>
      <c r="B2472" t="s">
        <v>318</v>
      </c>
      <c r="C2472" t="s">
        <v>65</v>
      </c>
      <c r="D2472" t="s">
        <v>63</v>
      </c>
      <c r="E2472" t="s">
        <v>140</v>
      </c>
      <c r="F2472" s="25">
        <v>46064</v>
      </c>
      <c r="G2472" t="s">
        <v>352</v>
      </c>
      <c r="H2472" t="s">
        <v>412</v>
      </c>
      <c r="I2472" t="s">
        <v>371</v>
      </c>
      <c r="J2472" t="s">
        <v>36</v>
      </c>
      <c r="K2472" t="s">
        <v>37</v>
      </c>
      <c r="L2472" t="s">
        <v>351</v>
      </c>
      <c r="M2472" t="s">
        <v>141</v>
      </c>
      <c r="N2472" t="s">
        <v>142</v>
      </c>
      <c r="O2472" t="s">
        <v>327</v>
      </c>
      <c r="P2472" t="s">
        <v>281</v>
      </c>
      <c r="Q2472" t="s">
        <v>328</v>
      </c>
      <c r="R2472" t="s">
        <v>360</v>
      </c>
      <c r="S2472" t="s">
        <v>392</v>
      </c>
      <c r="T2472">
        <v>1</v>
      </c>
      <c r="U2472" t="s">
        <v>456</v>
      </c>
      <c r="V2472" t="s">
        <v>343</v>
      </c>
      <c r="W2472" t="s">
        <v>459</v>
      </c>
      <c r="X2472" t="s">
        <v>331</v>
      </c>
      <c r="Y2472" t="s">
        <v>307</v>
      </c>
      <c r="Z2472">
        <v>70</v>
      </c>
      <c r="AA2472">
        <v>70</v>
      </c>
      <c r="AB2472" t="s">
        <v>143</v>
      </c>
      <c r="AC2472" t="s">
        <v>53</v>
      </c>
      <c r="AD2472" t="s">
        <v>404</v>
      </c>
      <c r="AE2472" t="str">
        <f>IF(AF2472="","",VLOOKUP(AC2472,mapel!$A$2:$B$42,2,FALSE))</f>
        <v>Sejarah</v>
      </c>
      <c r="AF2472">
        <f t="shared" si="114"/>
        <v>70</v>
      </c>
      <c r="AG2472" t="str">
        <f>IF(AF2472="","",IF(AF2472&gt;90,"Sangat baik",IF(AF2472&gt;79,"Baik",IF(AF2472&gt;=pub_gid_0_single_true_output_csv[[#This Row],[KKM]],"Cukup","Kurang"))))</f>
        <v>Cukup</v>
      </c>
      <c r="AH2472">
        <f t="shared" si="115"/>
        <v>12</v>
      </c>
      <c r="AI2472" s="30" t="str">
        <f>IF(OR(J2472&lt;&gt;"Karakter",pub_gid_0_single_true_output_csv[[#This Row],[Nilai2]]=""),"",IF(AF2472&gt;89,"Sangat baik",IF(AF2472&gt;79,"Baik",IF(AF2472&gt;69,"Cukup",IF(AF2472&gt;59,"Kurang","Sangat kurang")))))</f>
        <v/>
      </c>
      <c r="AJ2472" t="str">
        <f t="shared" si="116"/>
        <v>Wk.7</v>
      </c>
      <c r="AK2472" t="str">
        <f>IF(pub_gid_0_single_true_output_csv[[#This Row],[Nilai2]]="","",VLOOKUP(pub_gid_0_single_true_output_csv[[#This Row],[NAMA]],Table7[],3,FALSE))</f>
        <v>Average</v>
      </c>
    </row>
    <row r="2473" spans="1:37" x14ac:dyDescent="0.2">
      <c r="A2473">
        <v>2472</v>
      </c>
      <c r="B2473" t="s">
        <v>318</v>
      </c>
      <c r="C2473" t="s">
        <v>65</v>
      </c>
      <c r="D2473" t="s">
        <v>63</v>
      </c>
      <c r="E2473" t="s">
        <v>140</v>
      </c>
      <c r="F2473" s="25">
        <v>46064</v>
      </c>
      <c r="G2473" t="s">
        <v>352</v>
      </c>
      <c r="H2473" t="s">
        <v>412</v>
      </c>
      <c r="I2473" t="s">
        <v>371</v>
      </c>
      <c r="J2473" t="s">
        <v>31</v>
      </c>
      <c r="K2473" t="s">
        <v>96</v>
      </c>
      <c r="L2473" t="s">
        <v>351</v>
      </c>
      <c r="M2473" t="s">
        <v>141</v>
      </c>
      <c r="N2473" t="s">
        <v>142</v>
      </c>
      <c r="O2473" t="s">
        <v>327</v>
      </c>
      <c r="P2473" t="s">
        <v>281</v>
      </c>
      <c r="Q2473" t="s">
        <v>328</v>
      </c>
      <c r="R2473" t="s">
        <v>360</v>
      </c>
      <c r="S2473" t="s">
        <v>392</v>
      </c>
      <c r="T2473">
        <v>1</v>
      </c>
      <c r="U2473" t="s">
        <v>456</v>
      </c>
      <c r="V2473" t="s">
        <v>343</v>
      </c>
      <c r="W2473" t="s">
        <v>459</v>
      </c>
      <c r="X2473" t="s">
        <v>331</v>
      </c>
      <c r="Y2473" t="s">
        <v>307</v>
      </c>
      <c r="Z2473">
        <v>70</v>
      </c>
      <c r="AA2473">
        <v>70</v>
      </c>
      <c r="AB2473" t="s">
        <v>143</v>
      </c>
      <c r="AC2473" t="s">
        <v>53</v>
      </c>
      <c r="AD2473" t="s">
        <v>404</v>
      </c>
      <c r="AE2473" t="str">
        <f>IF(AF2473="","",VLOOKUP(AC2473,mapel!$A$2:$B$42,2,FALSE))</f>
        <v>Sejarah</v>
      </c>
      <c r="AF2473">
        <f t="shared" si="114"/>
        <v>70</v>
      </c>
      <c r="AG2473" t="str">
        <f>IF(AF2473="","",IF(AF2473&gt;90,"Sangat baik",IF(AF2473&gt;79,"Baik",IF(AF2473&gt;=pub_gid_0_single_true_output_csv[[#This Row],[KKM]],"Cukup","Kurang"))))</f>
        <v>Cukup</v>
      </c>
      <c r="AH2473">
        <f t="shared" si="115"/>
        <v>12</v>
      </c>
      <c r="AI2473" s="30" t="str">
        <f>IF(OR(J2473&lt;&gt;"Karakter",pub_gid_0_single_true_output_csv[[#This Row],[Nilai2]]=""),"",IF(AF2473&gt;89,"Sangat baik",IF(AF2473&gt;79,"Baik",IF(AF2473&gt;69,"Cukup",IF(AF2473&gt;59,"Kurang","Sangat kurang")))))</f>
        <v/>
      </c>
      <c r="AJ2473" t="str">
        <f t="shared" si="116"/>
        <v>Wk.7</v>
      </c>
      <c r="AK2473" t="str">
        <f>IF(pub_gid_0_single_true_output_csv[[#This Row],[Nilai2]]="","",VLOOKUP(pub_gid_0_single_true_output_csv[[#This Row],[NAMA]],Table7[],3,FALSE))</f>
        <v>Average</v>
      </c>
    </row>
    <row r="2474" spans="1:37" x14ac:dyDescent="0.2">
      <c r="A2474">
        <v>2473</v>
      </c>
      <c r="B2474" t="s">
        <v>318</v>
      </c>
      <c r="C2474" t="s">
        <v>65</v>
      </c>
      <c r="D2474" t="s">
        <v>63</v>
      </c>
      <c r="E2474" t="s">
        <v>140</v>
      </c>
      <c r="F2474" s="25">
        <v>46064</v>
      </c>
      <c r="G2474" t="s">
        <v>352</v>
      </c>
      <c r="H2474" t="s">
        <v>412</v>
      </c>
      <c r="I2474" t="s">
        <v>371</v>
      </c>
      <c r="J2474" t="s">
        <v>90</v>
      </c>
      <c r="K2474" t="s">
        <v>92</v>
      </c>
      <c r="L2474" t="s">
        <v>91</v>
      </c>
      <c r="M2474" t="s">
        <v>141</v>
      </c>
      <c r="N2474" t="s">
        <v>142</v>
      </c>
      <c r="O2474" t="s">
        <v>327</v>
      </c>
      <c r="P2474" t="s">
        <v>281</v>
      </c>
      <c r="Q2474" t="s">
        <v>328</v>
      </c>
      <c r="R2474" t="s">
        <v>360</v>
      </c>
      <c r="S2474" t="s">
        <v>392</v>
      </c>
      <c r="T2474">
        <v>1</v>
      </c>
      <c r="U2474" t="s">
        <v>456</v>
      </c>
      <c r="V2474" t="s">
        <v>343</v>
      </c>
      <c r="W2474" t="s">
        <v>459</v>
      </c>
      <c r="X2474" t="s">
        <v>331</v>
      </c>
      <c r="Y2474" t="s">
        <v>307</v>
      </c>
      <c r="Z2474">
        <v>70</v>
      </c>
      <c r="AA2474">
        <v>80</v>
      </c>
      <c r="AB2474" t="s">
        <v>143</v>
      </c>
      <c r="AC2474" t="s">
        <v>53</v>
      </c>
      <c r="AD2474" t="s">
        <v>404</v>
      </c>
      <c r="AE2474" t="str">
        <f>IF(AF2474="","",VLOOKUP(AC2474,mapel!$A$2:$B$42,2,FALSE))</f>
        <v>Sejarah</v>
      </c>
      <c r="AF2474">
        <f t="shared" si="114"/>
        <v>80</v>
      </c>
      <c r="AG2474" t="str">
        <f>IF(AF2474="","",IF(AF2474&gt;90,"Sangat baik",IF(AF2474&gt;79,"Baik",IF(AF2474&gt;=pub_gid_0_single_true_output_csv[[#This Row],[KKM]],"Cukup","Kurang"))))</f>
        <v>Baik</v>
      </c>
      <c r="AH2474">
        <f t="shared" si="115"/>
        <v>12</v>
      </c>
      <c r="AI2474" s="30" t="str">
        <f>IF(OR(J2474&lt;&gt;"Karakter",pub_gid_0_single_true_output_csv[[#This Row],[Nilai2]]=""),"",IF(AF2474&gt;89,"Sangat baik",IF(AF2474&gt;79,"Baik",IF(AF2474&gt;69,"Cukup",IF(AF2474&gt;59,"Kurang","Sangat kurang")))))</f>
        <v>Baik</v>
      </c>
      <c r="AJ2474" t="str">
        <f t="shared" si="116"/>
        <v>Wk.7</v>
      </c>
      <c r="AK2474" t="str">
        <f>IF(pub_gid_0_single_true_output_csv[[#This Row],[Nilai2]]="","",VLOOKUP(pub_gid_0_single_true_output_csv[[#This Row],[NAMA]],Table7[],3,FALSE))</f>
        <v>Average</v>
      </c>
    </row>
    <row r="2475" spans="1:37" x14ac:dyDescent="0.2">
      <c r="A2475">
        <v>2474</v>
      </c>
      <c r="B2475" t="s">
        <v>318</v>
      </c>
      <c r="C2475" t="s">
        <v>65</v>
      </c>
      <c r="D2475" t="s">
        <v>63</v>
      </c>
      <c r="E2475" t="s">
        <v>140</v>
      </c>
      <c r="F2475" s="25">
        <v>46071</v>
      </c>
      <c r="G2475" t="s">
        <v>323</v>
      </c>
      <c r="H2475" t="s">
        <v>412</v>
      </c>
      <c r="I2475" t="s">
        <v>371</v>
      </c>
      <c r="J2475" t="s">
        <v>279</v>
      </c>
      <c r="K2475" t="s">
        <v>280</v>
      </c>
      <c r="L2475" t="s">
        <v>322</v>
      </c>
      <c r="M2475" t="s">
        <v>141</v>
      </c>
      <c r="N2475" t="s">
        <v>142</v>
      </c>
      <c r="O2475" t="s">
        <v>327</v>
      </c>
      <c r="P2475" t="s">
        <v>281</v>
      </c>
      <c r="Q2475" t="s">
        <v>328</v>
      </c>
      <c r="R2475" t="s">
        <v>360</v>
      </c>
      <c r="S2475" t="s">
        <v>392</v>
      </c>
      <c r="T2475">
        <v>1</v>
      </c>
      <c r="U2475" t="s">
        <v>456</v>
      </c>
      <c r="V2475" t="s">
        <v>343</v>
      </c>
      <c r="W2475" t="s">
        <v>459</v>
      </c>
      <c r="X2475" t="s">
        <v>331</v>
      </c>
      <c r="Y2475" t="s">
        <v>307</v>
      </c>
      <c r="Z2475">
        <v>70</v>
      </c>
      <c r="AA2475">
        <v>70</v>
      </c>
      <c r="AB2475" t="s">
        <v>143</v>
      </c>
      <c r="AC2475" t="s">
        <v>53</v>
      </c>
      <c r="AD2475" t="s">
        <v>404</v>
      </c>
      <c r="AE2475" t="str">
        <f>IF(AF2475="","",VLOOKUP(AC2475,mapel!$A$2:$B$42,2,FALSE))</f>
        <v>Sejarah</v>
      </c>
      <c r="AF2475">
        <f t="shared" si="114"/>
        <v>70</v>
      </c>
      <c r="AG2475" t="str">
        <f>IF(AF2475="","",IF(AF2475&gt;90,"Sangat baik",IF(AF2475&gt;79,"Baik",IF(AF2475&gt;=pub_gid_0_single_true_output_csv[[#This Row],[KKM]],"Cukup","Kurang"))))</f>
        <v>Cukup</v>
      </c>
      <c r="AH2475">
        <f t="shared" si="115"/>
        <v>12</v>
      </c>
      <c r="AI2475" s="30" t="str">
        <f>IF(OR(J2475&lt;&gt;"Karakter",pub_gid_0_single_true_output_csv[[#This Row],[Nilai2]]=""),"",IF(AF2475&gt;89,"Sangat baik",IF(AF2475&gt;79,"Baik",IF(AF2475&gt;69,"Cukup",IF(AF2475&gt;59,"Kurang","Sangat kurang")))))</f>
        <v/>
      </c>
      <c r="AJ2475" t="str">
        <f t="shared" si="116"/>
        <v>Wk.8</v>
      </c>
      <c r="AK2475" t="str">
        <f>IF(pub_gid_0_single_true_output_csv[[#This Row],[Nilai2]]="","",VLOOKUP(pub_gid_0_single_true_output_csv[[#This Row],[NAMA]],Table7[],3,FALSE))</f>
        <v>Average</v>
      </c>
    </row>
    <row r="2476" spans="1:37" x14ac:dyDescent="0.2">
      <c r="A2476">
        <v>2475</v>
      </c>
      <c r="B2476" t="s">
        <v>318</v>
      </c>
      <c r="C2476" t="s">
        <v>65</v>
      </c>
      <c r="D2476" t="s">
        <v>63</v>
      </c>
      <c r="E2476" t="s">
        <v>140</v>
      </c>
      <c r="F2476" s="25">
        <v>46071</v>
      </c>
      <c r="G2476" t="s">
        <v>323</v>
      </c>
      <c r="H2476" t="s">
        <v>412</v>
      </c>
      <c r="I2476" t="s">
        <v>371</v>
      </c>
      <c r="J2476" t="s">
        <v>36</v>
      </c>
      <c r="K2476" t="s">
        <v>362</v>
      </c>
      <c r="L2476" t="s">
        <v>363</v>
      </c>
      <c r="M2476" t="s">
        <v>141</v>
      </c>
      <c r="N2476" t="s">
        <v>142</v>
      </c>
      <c r="O2476" t="s">
        <v>327</v>
      </c>
      <c r="P2476" t="s">
        <v>281</v>
      </c>
      <c r="Q2476" t="s">
        <v>328</v>
      </c>
      <c r="R2476" t="s">
        <v>360</v>
      </c>
      <c r="S2476" t="s">
        <v>375</v>
      </c>
      <c r="T2476">
        <v>1</v>
      </c>
      <c r="U2476" t="s">
        <v>456</v>
      </c>
      <c r="V2476" t="s">
        <v>342</v>
      </c>
      <c r="W2476" t="s">
        <v>458</v>
      </c>
      <c r="X2476" t="s">
        <v>331</v>
      </c>
      <c r="Y2476" t="s">
        <v>307</v>
      </c>
      <c r="Z2476">
        <v>70</v>
      </c>
      <c r="AA2476">
        <v>54</v>
      </c>
      <c r="AB2476" t="s">
        <v>151</v>
      </c>
      <c r="AC2476" t="s">
        <v>53</v>
      </c>
      <c r="AD2476" t="s">
        <v>404</v>
      </c>
      <c r="AE2476" t="str">
        <f>IF(AF2476="","",VLOOKUP(AC2476,mapel!$A$2:$B$42,2,FALSE))</f>
        <v>Sejarah</v>
      </c>
      <c r="AF2476">
        <f t="shared" si="114"/>
        <v>54</v>
      </c>
      <c r="AG2476" t="str">
        <f>IF(AF2476="","",IF(AF2476&gt;90,"Sangat baik",IF(AF2476&gt;79,"Baik",IF(AF2476&gt;=pub_gid_0_single_true_output_csv[[#This Row],[KKM]],"Cukup","Kurang"))))</f>
        <v>Kurang</v>
      </c>
      <c r="AH2476">
        <f t="shared" si="115"/>
        <v>12</v>
      </c>
      <c r="AI2476" s="30" t="str">
        <f>IF(OR(J2476&lt;&gt;"Karakter",pub_gid_0_single_true_output_csv[[#This Row],[Nilai2]]=""),"",IF(AF2476&gt;89,"Sangat baik",IF(AF2476&gt;79,"Baik",IF(AF2476&gt;69,"Cukup",IF(AF2476&gt;59,"Kurang","Sangat kurang")))))</f>
        <v/>
      </c>
      <c r="AJ2476" t="str">
        <f t="shared" si="116"/>
        <v>Wk.8</v>
      </c>
      <c r="AK2476" t="str">
        <f>IF(pub_gid_0_single_true_output_csv[[#This Row],[Nilai2]]="","",VLOOKUP(pub_gid_0_single_true_output_csv[[#This Row],[NAMA]],Table7[],3,FALSE))</f>
        <v>Average</v>
      </c>
    </row>
    <row r="2477" spans="1:37" x14ac:dyDescent="0.2">
      <c r="A2477">
        <v>2476</v>
      </c>
      <c r="B2477" t="s">
        <v>318</v>
      </c>
      <c r="C2477" t="s">
        <v>65</v>
      </c>
      <c r="D2477" t="s">
        <v>63</v>
      </c>
      <c r="E2477" t="s">
        <v>140</v>
      </c>
      <c r="F2477" s="25">
        <v>46071</v>
      </c>
      <c r="G2477" t="s">
        <v>323</v>
      </c>
      <c r="H2477" t="s">
        <v>412</v>
      </c>
      <c r="I2477" t="s">
        <v>371</v>
      </c>
      <c r="J2477" t="s">
        <v>31</v>
      </c>
      <c r="K2477" t="s">
        <v>96</v>
      </c>
      <c r="L2477" t="s">
        <v>363</v>
      </c>
      <c r="M2477" t="s">
        <v>141</v>
      </c>
      <c r="N2477" t="s">
        <v>142</v>
      </c>
      <c r="O2477" t="s">
        <v>327</v>
      </c>
      <c r="P2477" t="s">
        <v>281</v>
      </c>
      <c r="Q2477" t="s">
        <v>328</v>
      </c>
      <c r="R2477" t="s">
        <v>360</v>
      </c>
      <c r="S2477" t="s">
        <v>375</v>
      </c>
      <c r="T2477">
        <v>1</v>
      </c>
      <c r="U2477" t="s">
        <v>456</v>
      </c>
      <c r="V2477" t="s">
        <v>342</v>
      </c>
      <c r="W2477" t="s">
        <v>458</v>
      </c>
      <c r="X2477" t="s">
        <v>331</v>
      </c>
      <c r="Y2477" t="s">
        <v>307</v>
      </c>
      <c r="Z2477">
        <v>70</v>
      </c>
      <c r="AA2477">
        <v>70</v>
      </c>
      <c r="AB2477" t="s">
        <v>143</v>
      </c>
      <c r="AC2477" t="s">
        <v>53</v>
      </c>
      <c r="AD2477" t="s">
        <v>404</v>
      </c>
      <c r="AE2477" t="str">
        <f>IF(AF2477="","",VLOOKUP(AC2477,mapel!$A$2:$B$42,2,FALSE))</f>
        <v>Sejarah</v>
      </c>
      <c r="AF2477">
        <f t="shared" si="114"/>
        <v>70</v>
      </c>
      <c r="AG2477" t="str">
        <f>IF(AF2477="","",IF(AF2477&gt;90,"Sangat baik",IF(AF2477&gt;79,"Baik",IF(AF2477&gt;=pub_gid_0_single_true_output_csv[[#This Row],[KKM]],"Cukup","Kurang"))))</f>
        <v>Cukup</v>
      </c>
      <c r="AH2477">
        <f t="shared" si="115"/>
        <v>12</v>
      </c>
      <c r="AI2477" s="30" t="str">
        <f>IF(OR(J2477&lt;&gt;"Karakter",pub_gid_0_single_true_output_csv[[#This Row],[Nilai2]]=""),"",IF(AF2477&gt;89,"Sangat baik",IF(AF2477&gt;79,"Baik",IF(AF2477&gt;69,"Cukup",IF(AF2477&gt;59,"Kurang","Sangat kurang")))))</f>
        <v/>
      </c>
      <c r="AJ2477" t="str">
        <f t="shared" si="116"/>
        <v>Wk.8</v>
      </c>
      <c r="AK2477" t="str">
        <f>IF(pub_gid_0_single_true_output_csv[[#This Row],[Nilai2]]="","",VLOOKUP(pub_gid_0_single_true_output_csv[[#This Row],[NAMA]],Table7[],3,FALSE))</f>
        <v>Average</v>
      </c>
    </row>
    <row r="2478" spans="1:37" x14ac:dyDescent="0.2">
      <c r="A2478">
        <v>2477</v>
      </c>
      <c r="B2478" t="s">
        <v>297</v>
      </c>
      <c r="C2478" t="s">
        <v>298</v>
      </c>
      <c r="D2478" t="s">
        <v>298</v>
      </c>
      <c r="E2478" t="s">
        <v>298</v>
      </c>
      <c r="F2478" s="25"/>
      <c r="G2478" t="s">
        <v>439</v>
      </c>
      <c r="H2478" t="s">
        <v>439</v>
      </c>
      <c r="I2478" t="s">
        <v>439</v>
      </c>
      <c r="J2478" t="s">
        <v>439</v>
      </c>
      <c r="K2478" t="s">
        <v>440</v>
      </c>
      <c r="L2478" t="s">
        <v>440</v>
      </c>
      <c r="M2478" t="s">
        <v>439</v>
      </c>
      <c r="N2478" t="s">
        <v>159</v>
      </c>
      <c r="O2478" t="s">
        <v>159</v>
      </c>
      <c r="P2478" t="s">
        <v>159</v>
      </c>
      <c r="Q2478" t="s">
        <v>300</v>
      </c>
      <c r="R2478" t="s">
        <v>300</v>
      </c>
      <c r="S2478" t="s">
        <v>439</v>
      </c>
      <c r="U2478" t="s">
        <v>159</v>
      </c>
      <c r="V2478" t="s">
        <v>418</v>
      </c>
      <c r="W2478" t="s">
        <v>297</v>
      </c>
      <c r="X2478" t="s">
        <v>439</v>
      </c>
      <c r="Y2478" t="s">
        <v>299</v>
      </c>
      <c r="Z2478">
        <v>65</v>
      </c>
      <c r="AB2478" t="s">
        <v>301</v>
      </c>
      <c r="AC2478" t="s">
        <v>164</v>
      </c>
      <c r="AD2478" t="s">
        <v>278</v>
      </c>
      <c r="AE2478" t="str">
        <f>IF(AF2478="","",VLOOKUP(AC2478,mapel!$A$2:$B$42,2,FALSE))</f>
        <v/>
      </c>
      <c r="AF2478" t="str">
        <f t="shared" si="114"/>
        <v/>
      </c>
      <c r="AG2478" t="str">
        <f>IF(AF2478="","",IF(AF2478&gt;90,"Sangat baik",IF(AF2478&gt;79,"Baik",IF(AF2478&gt;=pub_gid_0_single_true_output_csv[[#This Row],[KKM]],"Cukup","Kurang"))))</f>
        <v/>
      </c>
      <c r="AH2478" t="str">
        <f t="shared" si="115"/>
        <v/>
      </c>
      <c r="AI2478" s="30" t="str">
        <f>IF(OR(J2478&lt;&gt;"Karakter",pub_gid_0_single_true_output_csv[[#This Row],[Nilai2]]=""),"",IF(AF2478&gt;89,"Sangat baik",IF(AF2478&gt;79,"Baik",IF(AF2478&gt;69,"Cukup",IF(AF2478&gt;59,"Kurang","Sangat kurang")))))</f>
        <v/>
      </c>
      <c r="AJ2478" t="str">
        <f t="shared" si="116"/>
        <v/>
      </c>
      <c r="AK2478" t="str">
        <f>IF(pub_gid_0_single_true_output_csv[[#This Row],[Nilai2]]="","",VLOOKUP(pub_gid_0_single_true_output_csv[[#This Row],[NAMA]],Table7[],3,FALSE))</f>
        <v/>
      </c>
    </row>
    <row r="2479" spans="1:37" x14ac:dyDescent="0.2">
      <c r="A2479">
        <v>2478</v>
      </c>
      <c r="B2479" t="s">
        <v>312</v>
      </c>
      <c r="C2479" t="s">
        <v>65</v>
      </c>
      <c r="D2479" t="s">
        <v>56</v>
      </c>
      <c r="E2479" t="s">
        <v>156</v>
      </c>
      <c r="F2479" s="25">
        <v>46044</v>
      </c>
      <c r="G2479" t="s">
        <v>305</v>
      </c>
      <c r="H2479" t="s">
        <v>405</v>
      </c>
      <c r="I2479" t="s">
        <v>371</v>
      </c>
      <c r="J2479" t="s">
        <v>41</v>
      </c>
      <c r="K2479" t="s">
        <v>396</v>
      </c>
      <c r="L2479" t="s">
        <v>383</v>
      </c>
      <c r="M2479" t="s">
        <v>141</v>
      </c>
      <c r="N2479" t="s">
        <v>142</v>
      </c>
      <c r="O2479" t="s">
        <v>327</v>
      </c>
      <c r="P2479" t="s">
        <v>281</v>
      </c>
      <c r="Q2479" t="s">
        <v>328</v>
      </c>
      <c r="R2479" t="s">
        <v>360</v>
      </c>
      <c r="S2479" t="s">
        <v>330</v>
      </c>
      <c r="T2479">
        <v>1</v>
      </c>
      <c r="U2479" t="s">
        <v>485</v>
      </c>
      <c r="V2479" t="s">
        <v>285</v>
      </c>
      <c r="W2479" t="s">
        <v>360</v>
      </c>
      <c r="X2479" t="s">
        <v>331</v>
      </c>
      <c r="Y2479" t="s">
        <v>307</v>
      </c>
      <c r="Z2479">
        <v>70</v>
      </c>
      <c r="AA2479">
        <v>90</v>
      </c>
      <c r="AB2479" t="s">
        <v>143</v>
      </c>
      <c r="AC2479" t="s">
        <v>163</v>
      </c>
      <c r="AD2479" t="s">
        <v>509</v>
      </c>
      <c r="AE2479" t="str">
        <f>IF(AF2479="","",VLOOKUP(AC2479,mapel!$A$2:$B$42,2,FALSE))</f>
        <v>PKWU</v>
      </c>
      <c r="AF2479">
        <f t="shared" si="114"/>
        <v>90</v>
      </c>
      <c r="AG2479" t="str">
        <f>IF(AF2479="","",IF(AF2479&gt;90,"Sangat baik",IF(AF2479&gt;79,"Baik",IF(AF2479&gt;=pub_gid_0_single_true_output_csv[[#This Row],[KKM]],"Cukup","Kurang"))))</f>
        <v>Baik</v>
      </c>
      <c r="AH2479">
        <f t="shared" si="115"/>
        <v>12</v>
      </c>
      <c r="AI2479" s="30" t="str">
        <f>IF(OR(J2479&lt;&gt;"Karakter",pub_gid_0_single_true_output_csv[[#This Row],[Nilai2]]=""),"",IF(AF2479&gt;89,"Sangat baik",IF(AF2479&gt;79,"Baik",IF(AF2479&gt;69,"Cukup",IF(AF2479&gt;59,"Kurang","Sangat kurang")))))</f>
        <v/>
      </c>
      <c r="AJ2479" t="str">
        <f t="shared" si="116"/>
        <v>Wk.4</v>
      </c>
      <c r="AK2479" t="str">
        <f>IF(pub_gid_0_single_true_output_csv[[#This Row],[Nilai2]]="","",VLOOKUP(pub_gid_0_single_true_output_csv[[#This Row],[NAMA]],Table7[],3,FALSE))</f>
        <v>Superior</v>
      </c>
    </row>
    <row r="2480" spans="1:37" x14ac:dyDescent="0.2">
      <c r="A2480">
        <v>2479</v>
      </c>
      <c r="B2480" t="s">
        <v>312</v>
      </c>
      <c r="C2480" t="s">
        <v>65</v>
      </c>
      <c r="D2480" t="s">
        <v>56</v>
      </c>
      <c r="E2480" t="s">
        <v>156</v>
      </c>
      <c r="F2480" s="25">
        <v>46049</v>
      </c>
      <c r="G2480" t="s">
        <v>373</v>
      </c>
      <c r="H2480" t="s">
        <v>405</v>
      </c>
      <c r="I2480" t="s">
        <v>371</v>
      </c>
      <c r="J2480" t="s">
        <v>90</v>
      </c>
      <c r="K2480" t="s">
        <v>366</v>
      </c>
      <c r="L2480" t="s">
        <v>368</v>
      </c>
      <c r="M2480" t="s">
        <v>141</v>
      </c>
      <c r="N2480" t="s">
        <v>142</v>
      </c>
      <c r="O2480" t="s">
        <v>327</v>
      </c>
      <c r="P2480" t="s">
        <v>281</v>
      </c>
      <c r="Q2480" t="s">
        <v>328</v>
      </c>
      <c r="R2480" t="s">
        <v>360</v>
      </c>
      <c r="S2480" t="s">
        <v>330</v>
      </c>
      <c r="T2480">
        <v>1</v>
      </c>
      <c r="U2480" t="s">
        <v>485</v>
      </c>
      <c r="V2480" t="s">
        <v>285</v>
      </c>
      <c r="W2480" t="s">
        <v>360</v>
      </c>
      <c r="X2480" t="s">
        <v>331</v>
      </c>
      <c r="Y2480" t="s">
        <v>307</v>
      </c>
      <c r="Z2480">
        <v>70</v>
      </c>
      <c r="AA2480">
        <v>85</v>
      </c>
      <c r="AB2480" t="s">
        <v>143</v>
      </c>
      <c r="AC2480" t="s">
        <v>163</v>
      </c>
      <c r="AD2480" t="s">
        <v>509</v>
      </c>
      <c r="AE2480" t="str">
        <f>IF(AF2480="","",VLOOKUP(AC2480,mapel!$A$2:$B$42,2,FALSE))</f>
        <v>PKWU</v>
      </c>
      <c r="AF2480">
        <f t="shared" si="114"/>
        <v>85</v>
      </c>
      <c r="AG2480" t="str">
        <f>IF(AF2480="","",IF(AF2480&gt;90,"Sangat baik",IF(AF2480&gt;79,"Baik",IF(AF2480&gt;=pub_gid_0_single_true_output_csv[[#This Row],[KKM]],"Cukup","Kurang"))))</f>
        <v>Baik</v>
      </c>
      <c r="AH2480">
        <f t="shared" si="115"/>
        <v>12</v>
      </c>
      <c r="AI2480" s="30" t="str">
        <f>IF(OR(J2480&lt;&gt;"Karakter",pub_gid_0_single_true_output_csv[[#This Row],[Nilai2]]=""),"",IF(AF2480&gt;89,"Sangat baik",IF(AF2480&gt;79,"Baik",IF(AF2480&gt;69,"Cukup",IF(AF2480&gt;59,"Kurang","Sangat kurang")))))</f>
        <v>Baik</v>
      </c>
      <c r="AJ2480" t="str">
        <f t="shared" si="116"/>
        <v>Wk.5</v>
      </c>
      <c r="AK2480" t="str">
        <f>IF(pub_gid_0_single_true_output_csv[[#This Row],[Nilai2]]="","",VLOOKUP(pub_gid_0_single_true_output_csv[[#This Row],[NAMA]],Table7[],3,FALSE))</f>
        <v>Superior</v>
      </c>
    </row>
    <row r="2481" spans="1:37" x14ac:dyDescent="0.2">
      <c r="A2481">
        <v>2480</v>
      </c>
      <c r="B2481" t="s">
        <v>312</v>
      </c>
      <c r="C2481" t="s">
        <v>65</v>
      </c>
      <c r="D2481" t="s">
        <v>56</v>
      </c>
      <c r="E2481" t="s">
        <v>156</v>
      </c>
      <c r="F2481" s="25">
        <v>46051</v>
      </c>
      <c r="G2481" t="s">
        <v>320</v>
      </c>
      <c r="H2481" t="s">
        <v>405</v>
      </c>
      <c r="I2481" t="s">
        <v>371</v>
      </c>
      <c r="J2481" t="s">
        <v>31</v>
      </c>
      <c r="K2481" t="s">
        <v>158</v>
      </c>
      <c r="L2481" t="s">
        <v>383</v>
      </c>
      <c r="M2481" t="s">
        <v>141</v>
      </c>
      <c r="N2481" t="s">
        <v>142</v>
      </c>
      <c r="O2481" t="s">
        <v>327</v>
      </c>
      <c r="P2481" t="s">
        <v>281</v>
      </c>
      <c r="Q2481" t="s">
        <v>328</v>
      </c>
      <c r="R2481" t="s">
        <v>360</v>
      </c>
      <c r="S2481" t="s">
        <v>330</v>
      </c>
      <c r="T2481">
        <v>1</v>
      </c>
      <c r="U2481" t="s">
        <v>485</v>
      </c>
      <c r="V2481" t="s">
        <v>285</v>
      </c>
      <c r="W2481" t="s">
        <v>360</v>
      </c>
      <c r="X2481" t="s">
        <v>331</v>
      </c>
      <c r="Y2481" t="s">
        <v>307</v>
      </c>
      <c r="Z2481">
        <v>70</v>
      </c>
      <c r="AA2481">
        <v>90</v>
      </c>
      <c r="AB2481" t="s">
        <v>143</v>
      </c>
      <c r="AC2481" t="s">
        <v>163</v>
      </c>
      <c r="AD2481" t="s">
        <v>509</v>
      </c>
      <c r="AE2481" t="str">
        <f>IF(AF2481="","",VLOOKUP(AC2481,mapel!$A$2:$B$42,2,FALSE))</f>
        <v>PKWU</v>
      </c>
      <c r="AF2481">
        <f t="shared" si="114"/>
        <v>90</v>
      </c>
      <c r="AG2481" t="str">
        <f>IF(AF2481="","",IF(AF2481&gt;90,"Sangat baik",IF(AF2481&gt;79,"Baik",IF(AF2481&gt;=pub_gid_0_single_true_output_csv[[#This Row],[KKM]],"Cukup","Kurang"))))</f>
        <v>Baik</v>
      </c>
      <c r="AH2481">
        <f t="shared" si="115"/>
        <v>12</v>
      </c>
      <c r="AI2481" s="30" t="str">
        <f>IF(OR(J2481&lt;&gt;"Karakter",pub_gid_0_single_true_output_csv[[#This Row],[Nilai2]]=""),"",IF(AF2481&gt;89,"Sangat baik",IF(AF2481&gt;79,"Baik",IF(AF2481&gt;69,"Cukup",IF(AF2481&gt;59,"Kurang","Sangat kurang")))))</f>
        <v/>
      </c>
      <c r="AJ2481" t="str">
        <f t="shared" si="116"/>
        <v>Wk.5</v>
      </c>
      <c r="AK2481" t="str">
        <f>IF(pub_gid_0_single_true_output_csv[[#This Row],[Nilai2]]="","",VLOOKUP(pub_gid_0_single_true_output_csv[[#This Row],[NAMA]],Table7[],3,FALSE))</f>
        <v>Superior</v>
      </c>
    </row>
    <row r="2482" spans="1:37" x14ac:dyDescent="0.2">
      <c r="A2482">
        <v>2481</v>
      </c>
      <c r="B2482" t="s">
        <v>314</v>
      </c>
      <c r="C2482" t="s">
        <v>65</v>
      </c>
      <c r="D2482" t="s">
        <v>58</v>
      </c>
      <c r="E2482" t="s">
        <v>140</v>
      </c>
      <c r="F2482" s="25">
        <v>46044</v>
      </c>
      <c r="G2482" t="s">
        <v>305</v>
      </c>
      <c r="H2482" t="s">
        <v>405</v>
      </c>
      <c r="I2482" t="s">
        <v>371</v>
      </c>
      <c r="J2482" t="s">
        <v>41</v>
      </c>
      <c r="K2482" t="s">
        <v>396</v>
      </c>
      <c r="L2482" t="s">
        <v>383</v>
      </c>
      <c r="M2482" t="s">
        <v>141</v>
      </c>
      <c r="N2482" t="s">
        <v>142</v>
      </c>
      <c r="O2482" t="s">
        <v>327</v>
      </c>
      <c r="P2482" t="s">
        <v>281</v>
      </c>
      <c r="Q2482" t="s">
        <v>328</v>
      </c>
      <c r="R2482" t="s">
        <v>360</v>
      </c>
      <c r="S2482" t="s">
        <v>330</v>
      </c>
      <c r="T2482">
        <v>1</v>
      </c>
      <c r="U2482" t="s">
        <v>485</v>
      </c>
      <c r="V2482" t="s">
        <v>285</v>
      </c>
      <c r="W2482" t="s">
        <v>360</v>
      </c>
      <c r="X2482" t="s">
        <v>331</v>
      </c>
      <c r="Y2482" t="s">
        <v>307</v>
      </c>
      <c r="Z2482">
        <v>70</v>
      </c>
      <c r="AA2482">
        <v>80</v>
      </c>
      <c r="AB2482" t="s">
        <v>143</v>
      </c>
      <c r="AC2482" t="s">
        <v>163</v>
      </c>
      <c r="AD2482" t="s">
        <v>509</v>
      </c>
      <c r="AE2482" t="str">
        <f>IF(AF2482="","",VLOOKUP(AC2482,mapel!$A$2:$B$42,2,FALSE))</f>
        <v>PKWU</v>
      </c>
      <c r="AF2482">
        <f t="shared" si="114"/>
        <v>80</v>
      </c>
      <c r="AG2482" t="str">
        <f>IF(AF2482="","",IF(AF2482&gt;90,"Sangat baik",IF(AF2482&gt;79,"Baik",IF(AF2482&gt;=pub_gid_0_single_true_output_csv[[#This Row],[KKM]],"Cukup","Kurang"))))</f>
        <v>Baik</v>
      </c>
      <c r="AH2482">
        <f t="shared" si="115"/>
        <v>12</v>
      </c>
      <c r="AI2482" s="30" t="str">
        <f>IF(OR(J2482&lt;&gt;"Karakter",pub_gid_0_single_true_output_csv[[#This Row],[Nilai2]]=""),"",IF(AF2482&gt;89,"Sangat baik",IF(AF2482&gt;79,"Baik",IF(AF2482&gt;69,"Cukup",IF(AF2482&gt;59,"Kurang","Sangat kurang")))))</f>
        <v/>
      </c>
      <c r="AJ2482" t="str">
        <f t="shared" si="116"/>
        <v>Wk.4</v>
      </c>
      <c r="AK2482" t="str">
        <f>IF(pub_gid_0_single_true_output_csv[[#This Row],[Nilai2]]="","",VLOOKUP(pub_gid_0_single_true_output_csv[[#This Row],[NAMA]],Table7[],3,FALSE))</f>
        <v>Average</v>
      </c>
    </row>
    <row r="2483" spans="1:37" x14ac:dyDescent="0.2">
      <c r="A2483">
        <v>2482</v>
      </c>
      <c r="B2483" t="s">
        <v>314</v>
      </c>
      <c r="C2483" t="s">
        <v>65</v>
      </c>
      <c r="D2483" t="s">
        <v>58</v>
      </c>
      <c r="E2483" t="s">
        <v>140</v>
      </c>
      <c r="F2483" s="25">
        <v>46049</v>
      </c>
      <c r="G2483" t="s">
        <v>373</v>
      </c>
      <c r="H2483" t="s">
        <v>405</v>
      </c>
      <c r="I2483" t="s">
        <v>371</v>
      </c>
      <c r="J2483" t="s">
        <v>90</v>
      </c>
      <c r="K2483" t="s">
        <v>366</v>
      </c>
      <c r="L2483" t="s">
        <v>368</v>
      </c>
      <c r="M2483" t="s">
        <v>141</v>
      </c>
      <c r="N2483" t="s">
        <v>142</v>
      </c>
      <c r="O2483" t="s">
        <v>327</v>
      </c>
      <c r="P2483" t="s">
        <v>281</v>
      </c>
      <c r="Q2483" t="s">
        <v>328</v>
      </c>
      <c r="R2483" t="s">
        <v>360</v>
      </c>
      <c r="S2483" t="s">
        <v>330</v>
      </c>
      <c r="T2483">
        <v>1</v>
      </c>
      <c r="U2483" t="s">
        <v>485</v>
      </c>
      <c r="V2483" t="s">
        <v>285</v>
      </c>
      <c r="W2483" t="s">
        <v>360</v>
      </c>
      <c r="X2483" t="s">
        <v>331</v>
      </c>
      <c r="Y2483" t="s">
        <v>307</v>
      </c>
      <c r="Z2483">
        <v>70</v>
      </c>
      <c r="AA2483">
        <v>85</v>
      </c>
      <c r="AB2483" t="s">
        <v>143</v>
      </c>
      <c r="AC2483" t="s">
        <v>163</v>
      </c>
      <c r="AD2483" t="s">
        <v>509</v>
      </c>
      <c r="AE2483" t="str">
        <f>IF(AF2483="","",VLOOKUP(AC2483,mapel!$A$2:$B$42,2,FALSE))</f>
        <v>PKWU</v>
      </c>
      <c r="AF2483">
        <f t="shared" si="114"/>
        <v>85</v>
      </c>
      <c r="AG2483" t="str">
        <f>IF(AF2483="","",IF(AF2483&gt;90,"Sangat baik",IF(AF2483&gt;79,"Baik",IF(AF2483&gt;=pub_gid_0_single_true_output_csv[[#This Row],[KKM]],"Cukup","Kurang"))))</f>
        <v>Baik</v>
      </c>
      <c r="AH2483">
        <f t="shared" si="115"/>
        <v>12</v>
      </c>
      <c r="AI2483" s="30" t="str">
        <f>IF(OR(J2483&lt;&gt;"Karakter",pub_gid_0_single_true_output_csv[[#This Row],[Nilai2]]=""),"",IF(AF2483&gt;89,"Sangat baik",IF(AF2483&gt;79,"Baik",IF(AF2483&gt;69,"Cukup",IF(AF2483&gt;59,"Kurang","Sangat kurang")))))</f>
        <v>Baik</v>
      </c>
      <c r="AJ2483" t="str">
        <f t="shared" si="116"/>
        <v>Wk.5</v>
      </c>
      <c r="AK2483" t="str">
        <f>IF(pub_gid_0_single_true_output_csv[[#This Row],[Nilai2]]="","",VLOOKUP(pub_gid_0_single_true_output_csv[[#This Row],[NAMA]],Table7[],3,FALSE))</f>
        <v>Average</v>
      </c>
    </row>
    <row r="2484" spans="1:37" x14ac:dyDescent="0.2">
      <c r="A2484">
        <v>2483</v>
      </c>
      <c r="B2484" t="s">
        <v>314</v>
      </c>
      <c r="C2484" t="s">
        <v>65</v>
      </c>
      <c r="D2484" t="s">
        <v>58</v>
      </c>
      <c r="E2484" t="s">
        <v>140</v>
      </c>
      <c r="F2484" s="25">
        <v>46051</v>
      </c>
      <c r="G2484" t="s">
        <v>320</v>
      </c>
      <c r="H2484" t="s">
        <v>405</v>
      </c>
      <c r="I2484" t="s">
        <v>371</v>
      </c>
      <c r="J2484" t="s">
        <v>31</v>
      </c>
      <c r="K2484" t="s">
        <v>158</v>
      </c>
      <c r="L2484" t="s">
        <v>383</v>
      </c>
      <c r="M2484" t="s">
        <v>141</v>
      </c>
      <c r="N2484" t="s">
        <v>142</v>
      </c>
      <c r="O2484" t="s">
        <v>327</v>
      </c>
      <c r="P2484" t="s">
        <v>281</v>
      </c>
      <c r="Q2484" t="s">
        <v>328</v>
      </c>
      <c r="R2484" t="s">
        <v>360</v>
      </c>
      <c r="S2484" t="s">
        <v>330</v>
      </c>
      <c r="T2484">
        <v>1</v>
      </c>
      <c r="U2484" t="s">
        <v>485</v>
      </c>
      <c r="V2484" t="s">
        <v>285</v>
      </c>
      <c r="W2484" t="s">
        <v>360</v>
      </c>
      <c r="X2484" t="s">
        <v>331</v>
      </c>
      <c r="Y2484" t="s">
        <v>307</v>
      </c>
      <c r="Z2484">
        <v>70</v>
      </c>
      <c r="AA2484">
        <v>80</v>
      </c>
      <c r="AB2484" t="s">
        <v>143</v>
      </c>
      <c r="AC2484" t="s">
        <v>163</v>
      </c>
      <c r="AD2484" t="s">
        <v>509</v>
      </c>
      <c r="AE2484" t="str">
        <f>IF(AF2484="","",VLOOKUP(AC2484,mapel!$A$2:$B$42,2,FALSE))</f>
        <v>PKWU</v>
      </c>
      <c r="AF2484">
        <f t="shared" si="114"/>
        <v>80</v>
      </c>
      <c r="AG2484" t="str">
        <f>IF(AF2484="","",IF(AF2484&gt;90,"Sangat baik",IF(AF2484&gt;79,"Baik",IF(AF2484&gt;=pub_gid_0_single_true_output_csv[[#This Row],[KKM]],"Cukup","Kurang"))))</f>
        <v>Baik</v>
      </c>
      <c r="AH2484">
        <f t="shared" si="115"/>
        <v>12</v>
      </c>
      <c r="AI2484" s="30" t="str">
        <f>IF(OR(J2484&lt;&gt;"Karakter",pub_gid_0_single_true_output_csv[[#This Row],[Nilai2]]=""),"",IF(AF2484&gt;89,"Sangat baik",IF(AF2484&gt;79,"Baik",IF(AF2484&gt;69,"Cukup",IF(AF2484&gt;59,"Kurang","Sangat kurang")))))</f>
        <v/>
      </c>
      <c r="AJ2484" t="str">
        <f t="shared" si="116"/>
        <v>Wk.5</v>
      </c>
      <c r="AK2484" t="str">
        <f>IF(pub_gid_0_single_true_output_csv[[#This Row],[Nilai2]]="","",VLOOKUP(pub_gid_0_single_true_output_csv[[#This Row],[NAMA]],Table7[],3,FALSE))</f>
        <v>Average</v>
      </c>
    </row>
    <row r="2485" spans="1:37" x14ac:dyDescent="0.2">
      <c r="A2485">
        <v>2484</v>
      </c>
      <c r="B2485" t="s">
        <v>332</v>
      </c>
      <c r="C2485" t="s">
        <v>65</v>
      </c>
      <c r="D2485" t="s">
        <v>59</v>
      </c>
      <c r="E2485" t="s">
        <v>333</v>
      </c>
      <c r="F2485" s="25">
        <v>46044</v>
      </c>
      <c r="G2485" t="s">
        <v>305</v>
      </c>
      <c r="H2485" t="s">
        <v>405</v>
      </c>
      <c r="I2485" t="s">
        <v>371</v>
      </c>
      <c r="J2485" t="s">
        <v>41</v>
      </c>
      <c r="K2485" t="s">
        <v>396</v>
      </c>
      <c r="L2485" t="s">
        <v>383</v>
      </c>
      <c r="M2485" t="s">
        <v>141</v>
      </c>
      <c r="N2485" t="s">
        <v>142</v>
      </c>
      <c r="O2485" t="s">
        <v>327</v>
      </c>
      <c r="P2485" t="s">
        <v>281</v>
      </c>
      <c r="Q2485" t="s">
        <v>328</v>
      </c>
      <c r="R2485" t="s">
        <v>360</v>
      </c>
      <c r="S2485" t="s">
        <v>330</v>
      </c>
      <c r="T2485">
        <v>1</v>
      </c>
      <c r="U2485" t="s">
        <v>485</v>
      </c>
      <c r="V2485" t="s">
        <v>285</v>
      </c>
      <c r="W2485" t="s">
        <v>360</v>
      </c>
      <c r="X2485" t="s">
        <v>331</v>
      </c>
      <c r="Y2485" t="s">
        <v>307</v>
      </c>
      <c r="Z2485">
        <v>70</v>
      </c>
      <c r="AA2485">
        <v>90</v>
      </c>
      <c r="AB2485" t="s">
        <v>143</v>
      </c>
      <c r="AC2485" t="s">
        <v>163</v>
      </c>
      <c r="AD2485" t="s">
        <v>509</v>
      </c>
      <c r="AE2485" t="str">
        <f>IF(AF2485="","",VLOOKUP(AC2485,mapel!$A$2:$B$42,2,FALSE))</f>
        <v>PKWU</v>
      </c>
      <c r="AF2485">
        <f t="shared" si="114"/>
        <v>90</v>
      </c>
      <c r="AG2485" t="str">
        <f>IF(AF2485="","",IF(AF2485&gt;90,"Sangat baik",IF(AF2485&gt;79,"Baik",IF(AF2485&gt;=pub_gid_0_single_true_output_csv[[#This Row],[KKM]],"Cukup","Kurang"))))</f>
        <v>Baik</v>
      </c>
      <c r="AH2485">
        <f t="shared" si="115"/>
        <v>12</v>
      </c>
      <c r="AI2485" s="30" t="str">
        <f>IF(OR(J2485&lt;&gt;"Karakter",pub_gid_0_single_true_output_csv[[#This Row],[Nilai2]]=""),"",IF(AF2485&gt;89,"Sangat baik",IF(AF2485&gt;79,"Baik",IF(AF2485&gt;69,"Cukup",IF(AF2485&gt;59,"Kurang","Sangat kurang")))))</f>
        <v/>
      </c>
      <c r="AJ2485" t="str">
        <f t="shared" si="116"/>
        <v>Wk.4</v>
      </c>
      <c r="AK2485" t="str">
        <f>IF(pub_gid_0_single_true_output_csv[[#This Row],[Nilai2]]="","",VLOOKUP(pub_gid_0_single_true_output_csv[[#This Row],[NAMA]],Table7[],3,FALSE))</f>
        <v>Superior</v>
      </c>
    </row>
    <row r="2486" spans="1:37" x14ac:dyDescent="0.2">
      <c r="A2486">
        <v>2485</v>
      </c>
      <c r="B2486" t="s">
        <v>332</v>
      </c>
      <c r="C2486" t="s">
        <v>65</v>
      </c>
      <c r="D2486" t="s">
        <v>59</v>
      </c>
      <c r="E2486" t="s">
        <v>333</v>
      </c>
      <c r="F2486" s="25">
        <v>46049</v>
      </c>
      <c r="G2486" t="s">
        <v>373</v>
      </c>
      <c r="H2486" t="s">
        <v>405</v>
      </c>
      <c r="I2486" t="s">
        <v>371</v>
      </c>
      <c r="J2486" t="s">
        <v>90</v>
      </c>
      <c r="K2486" t="s">
        <v>366</v>
      </c>
      <c r="L2486" t="s">
        <v>368</v>
      </c>
      <c r="M2486" t="s">
        <v>141</v>
      </c>
      <c r="N2486" t="s">
        <v>142</v>
      </c>
      <c r="O2486" t="s">
        <v>327</v>
      </c>
      <c r="P2486" t="s">
        <v>281</v>
      </c>
      <c r="Q2486" t="s">
        <v>328</v>
      </c>
      <c r="R2486" t="s">
        <v>360</v>
      </c>
      <c r="S2486" t="s">
        <v>330</v>
      </c>
      <c r="T2486">
        <v>1</v>
      </c>
      <c r="U2486" t="s">
        <v>485</v>
      </c>
      <c r="V2486" t="s">
        <v>285</v>
      </c>
      <c r="W2486" t="s">
        <v>360</v>
      </c>
      <c r="X2486" t="s">
        <v>331</v>
      </c>
      <c r="Y2486" t="s">
        <v>307</v>
      </c>
      <c r="Z2486">
        <v>70</v>
      </c>
      <c r="AA2486">
        <v>85</v>
      </c>
      <c r="AB2486" t="s">
        <v>143</v>
      </c>
      <c r="AC2486" t="s">
        <v>163</v>
      </c>
      <c r="AD2486" t="s">
        <v>509</v>
      </c>
      <c r="AE2486" t="str">
        <f>IF(AF2486="","",VLOOKUP(AC2486,mapel!$A$2:$B$42,2,FALSE))</f>
        <v>PKWU</v>
      </c>
      <c r="AF2486">
        <f t="shared" si="114"/>
        <v>85</v>
      </c>
      <c r="AG2486" t="str">
        <f>IF(AF2486="","",IF(AF2486&gt;90,"Sangat baik",IF(AF2486&gt;79,"Baik",IF(AF2486&gt;=pub_gid_0_single_true_output_csv[[#This Row],[KKM]],"Cukup","Kurang"))))</f>
        <v>Baik</v>
      </c>
      <c r="AH2486">
        <f t="shared" si="115"/>
        <v>12</v>
      </c>
      <c r="AI2486" s="30" t="str">
        <f>IF(OR(J2486&lt;&gt;"Karakter",pub_gid_0_single_true_output_csv[[#This Row],[Nilai2]]=""),"",IF(AF2486&gt;89,"Sangat baik",IF(AF2486&gt;79,"Baik",IF(AF2486&gt;69,"Cukup",IF(AF2486&gt;59,"Kurang","Sangat kurang")))))</f>
        <v>Baik</v>
      </c>
      <c r="AJ2486" t="str">
        <f t="shared" si="116"/>
        <v>Wk.5</v>
      </c>
      <c r="AK2486" t="str">
        <f>IF(pub_gid_0_single_true_output_csv[[#This Row],[Nilai2]]="","",VLOOKUP(pub_gid_0_single_true_output_csv[[#This Row],[NAMA]],Table7[],3,FALSE))</f>
        <v>Superior</v>
      </c>
    </row>
    <row r="2487" spans="1:37" x14ac:dyDescent="0.2">
      <c r="A2487">
        <v>2486</v>
      </c>
      <c r="B2487" t="s">
        <v>332</v>
      </c>
      <c r="C2487" t="s">
        <v>65</v>
      </c>
      <c r="D2487" t="s">
        <v>59</v>
      </c>
      <c r="E2487" t="s">
        <v>333</v>
      </c>
      <c r="F2487" s="25">
        <v>46051</v>
      </c>
      <c r="G2487" t="s">
        <v>320</v>
      </c>
      <c r="H2487" t="s">
        <v>405</v>
      </c>
      <c r="I2487" t="s">
        <v>371</v>
      </c>
      <c r="J2487" t="s">
        <v>31</v>
      </c>
      <c r="K2487" t="s">
        <v>158</v>
      </c>
      <c r="L2487" t="s">
        <v>383</v>
      </c>
      <c r="M2487" t="s">
        <v>141</v>
      </c>
      <c r="N2487" t="s">
        <v>142</v>
      </c>
      <c r="O2487" t="s">
        <v>327</v>
      </c>
      <c r="P2487" t="s">
        <v>281</v>
      </c>
      <c r="Q2487" t="s">
        <v>328</v>
      </c>
      <c r="R2487" t="s">
        <v>360</v>
      </c>
      <c r="S2487" t="s">
        <v>330</v>
      </c>
      <c r="T2487">
        <v>1</v>
      </c>
      <c r="U2487" t="s">
        <v>485</v>
      </c>
      <c r="V2487" t="s">
        <v>285</v>
      </c>
      <c r="W2487" t="s">
        <v>360</v>
      </c>
      <c r="X2487" t="s">
        <v>331</v>
      </c>
      <c r="Y2487" t="s">
        <v>307</v>
      </c>
      <c r="Z2487">
        <v>70</v>
      </c>
      <c r="AA2487">
        <v>90</v>
      </c>
      <c r="AB2487" t="s">
        <v>143</v>
      </c>
      <c r="AC2487" t="s">
        <v>163</v>
      </c>
      <c r="AD2487" t="s">
        <v>509</v>
      </c>
      <c r="AE2487" t="str">
        <f>IF(AF2487="","",VLOOKUP(AC2487,mapel!$A$2:$B$42,2,FALSE))</f>
        <v>PKWU</v>
      </c>
      <c r="AF2487">
        <f t="shared" si="114"/>
        <v>90</v>
      </c>
      <c r="AG2487" t="str">
        <f>IF(AF2487="","",IF(AF2487&gt;90,"Sangat baik",IF(AF2487&gt;79,"Baik",IF(AF2487&gt;=pub_gid_0_single_true_output_csv[[#This Row],[KKM]],"Cukup","Kurang"))))</f>
        <v>Baik</v>
      </c>
      <c r="AH2487">
        <f t="shared" si="115"/>
        <v>12</v>
      </c>
      <c r="AI2487" s="30" t="str">
        <f>IF(OR(J2487&lt;&gt;"Karakter",pub_gid_0_single_true_output_csv[[#This Row],[Nilai2]]=""),"",IF(AF2487&gt;89,"Sangat baik",IF(AF2487&gt;79,"Baik",IF(AF2487&gt;69,"Cukup",IF(AF2487&gt;59,"Kurang","Sangat kurang")))))</f>
        <v/>
      </c>
      <c r="AJ2487" t="str">
        <f t="shared" si="116"/>
        <v>Wk.5</v>
      </c>
      <c r="AK2487" t="str">
        <f>IF(pub_gid_0_single_true_output_csv[[#This Row],[Nilai2]]="","",VLOOKUP(pub_gid_0_single_true_output_csv[[#This Row],[NAMA]],Table7[],3,FALSE))</f>
        <v>Superior</v>
      </c>
    </row>
    <row r="2488" spans="1:37" x14ac:dyDescent="0.2">
      <c r="A2488">
        <v>2487</v>
      </c>
      <c r="B2488" t="s">
        <v>315</v>
      </c>
      <c r="C2488" t="s">
        <v>65</v>
      </c>
      <c r="D2488" t="s">
        <v>60</v>
      </c>
      <c r="E2488" t="s">
        <v>140</v>
      </c>
      <c r="F2488" s="25">
        <v>46044</v>
      </c>
      <c r="G2488" t="s">
        <v>305</v>
      </c>
      <c r="H2488" t="s">
        <v>405</v>
      </c>
      <c r="I2488" t="s">
        <v>371</v>
      </c>
      <c r="J2488" t="s">
        <v>41</v>
      </c>
      <c r="K2488" t="s">
        <v>396</v>
      </c>
      <c r="L2488" t="s">
        <v>383</v>
      </c>
      <c r="M2488" t="s">
        <v>141</v>
      </c>
      <c r="N2488" t="s">
        <v>142</v>
      </c>
      <c r="O2488" t="s">
        <v>327</v>
      </c>
      <c r="P2488" t="s">
        <v>281</v>
      </c>
      <c r="Q2488" t="s">
        <v>328</v>
      </c>
      <c r="R2488" t="s">
        <v>360</v>
      </c>
      <c r="S2488" t="s">
        <v>330</v>
      </c>
      <c r="T2488">
        <v>1</v>
      </c>
      <c r="U2488" t="s">
        <v>485</v>
      </c>
      <c r="V2488" t="s">
        <v>285</v>
      </c>
      <c r="W2488" t="s">
        <v>360</v>
      </c>
      <c r="X2488" t="s">
        <v>331</v>
      </c>
      <c r="Y2488" t="s">
        <v>307</v>
      </c>
      <c r="Z2488">
        <v>70</v>
      </c>
      <c r="AA2488">
        <v>80</v>
      </c>
      <c r="AB2488" t="s">
        <v>143</v>
      </c>
      <c r="AC2488" t="s">
        <v>163</v>
      </c>
      <c r="AD2488" t="s">
        <v>509</v>
      </c>
      <c r="AE2488" t="str">
        <f>IF(AF2488="","",VLOOKUP(AC2488,mapel!$A$2:$B$42,2,FALSE))</f>
        <v>PKWU</v>
      </c>
      <c r="AF2488">
        <f t="shared" si="114"/>
        <v>80</v>
      </c>
      <c r="AG2488" t="str">
        <f>IF(AF2488="","",IF(AF2488&gt;90,"Sangat baik",IF(AF2488&gt;79,"Baik",IF(AF2488&gt;=pub_gid_0_single_true_output_csv[[#This Row],[KKM]],"Cukup","Kurang"))))</f>
        <v>Baik</v>
      </c>
      <c r="AH2488">
        <f t="shared" si="115"/>
        <v>12</v>
      </c>
      <c r="AI2488" s="30" t="str">
        <f>IF(OR(J2488&lt;&gt;"Karakter",pub_gid_0_single_true_output_csv[[#This Row],[Nilai2]]=""),"",IF(AF2488&gt;89,"Sangat baik",IF(AF2488&gt;79,"Baik",IF(AF2488&gt;69,"Cukup",IF(AF2488&gt;59,"Kurang","Sangat kurang")))))</f>
        <v/>
      </c>
      <c r="AJ2488" t="str">
        <f t="shared" si="116"/>
        <v>Wk.4</v>
      </c>
      <c r="AK2488" t="str">
        <f>IF(pub_gid_0_single_true_output_csv[[#This Row],[Nilai2]]="","",VLOOKUP(pub_gid_0_single_true_output_csv[[#This Row],[NAMA]],Table7[],3,FALSE))</f>
        <v>High average</v>
      </c>
    </row>
    <row r="2489" spans="1:37" x14ac:dyDescent="0.2">
      <c r="A2489">
        <v>2488</v>
      </c>
      <c r="B2489" t="s">
        <v>315</v>
      </c>
      <c r="C2489" t="s">
        <v>65</v>
      </c>
      <c r="D2489" t="s">
        <v>60</v>
      </c>
      <c r="E2489" t="s">
        <v>140</v>
      </c>
      <c r="F2489" s="25">
        <v>46049</v>
      </c>
      <c r="G2489" t="s">
        <v>373</v>
      </c>
      <c r="H2489" t="s">
        <v>405</v>
      </c>
      <c r="I2489" t="s">
        <v>371</v>
      </c>
      <c r="J2489" t="s">
        <v>90</v>
      </c>
      <c r="K2489" t="s">
        <v>366</v>
      </c>
      <c r="L2489" t="s">
        <v>368</v>
      </c>
      <c r="M2489" t="s">
        <v>141</v>
      </c>
      <c r="N2489" t="s">
        <v>142</v>
      </c>
      <c r="O2489" t="s">
        <v>327</v>
      </c>
      <c r="P2489" t="s">
        <v>281</v>
      </c>
      <c r="Q2489" t="s">
        <v>328</v>
      </c>
      <c r="R2489" t="s">
        <v>360</v>
      </c>
      <c r="S2489" t="s">
        <v>330</v>
      </c>
      <c r="T2489">
        <v>1</v>
      </c>
      <c r="U2489" t="s">
        <v>485</v>
      </c>
      <c r="V2489" t="s">
        <v>285</v>
      </c>
      <c r="W2489" t="s">
        <v>360</v>
      </c>
      <c r="X2489" t="s">
        <v>331</v>
      </c>
      <c r="Y2489" t="s">
        <v>307</v>
      </c>
      <c r="Z2489">
        <v>70</v>
      </c>
      <c r="AA2489">
        <v>80</v>
      </c>
      <c r="AB2489" t="s">
        <v>143</v>
      </c>
      <c r="AC2489" t="s">
        <v>163</v>
      </c>
      <c r="AD2489" t="s">
        <v>509</v>
      </c>
      <c r="AE2489" t="str">
        <f>IF(AF2489="","",VLOOKUP(AC2489,mapel!$A$2:$B$42,2,FALSE))</f>
        <v>PKWU</v>
      </c>
      <c r="AF2489">
        <f t="shared" si="114"/>
        <v>80</v>
      </c>
      <c r="AG2489" t="str">
        <f>IF(AF2489="","",IF(AF2489&gt;90,"Sangat baik",IF(AF2489&gt;79,"Baik",IF(AF2489&gt;=pub_gid_0_single_true_output_csv[[#This Row],[KKM]],"Cukup","Kurang"))))</f>
        <v>Baik</v>
      </c>
      <c r="AH2489">
        <f t="shared" si="115"/>
        <v>12</v>
      </c>
      <c r="AI2489" s="30" t="str">
        <f>IF(OR(J2489&lt;&gt;"Karakter",pub_gid_0_single_true_output_csv[[#This Row],[Nilai2]]=""),"",IF(AF2489&gt;89,"Sangat baik",IF(AF2489&gt;79,"Baik",IF(AF2489&gt;69,"Cukup",IF(AF2489&gt;59,"Kurang","Sangat kurang")))))</f>
        <v>Baik</v>
      </c>
      <c r="AJ2489" t="str">
        <f t="shared" si="116"/>
        <v>Wk.5</v>
      </c>
      <c r="AK2489" t="str">
        <f>IF(pub_gid_0_single_true_output_csv[[#This Row],[Nilai2]]="","",VLOOKUP(pub_gid_0_single_true_output_csv[[#This Row],[NAMA]],Table7[],3,FALSE))</f>
        <v>High average</v>
      </c>
    </row>
    <row r="2490" spans="1:37" x14ac:dyDescent="0.2">
      <c r="A2490">
        <v>2489</v>
      </c>
      <c r="B2490" t="s">
        <v>315</v>
      </c>
      <c r="C2490" t="s">
        <v>65</v>
      </c>
      <c r="D2490" t="s">
        <v>60</v>
      </c>
      <c r="E2490" t="s">
        <v>140</v>
      </c>
      <c r="F2490" s="25">
        <v>46051</v>
      </c>
      <c r="G2490" t="s">
        <v>320</v>
      </c>
      <c r="H2490" t="s">
        <v>405</v>
      </c>
      <c r="I2490" t="s">
        <v>371</v>
      </c>
      <c r="J2490" t="s">
        <v>31</v>
      </c>
      <c r="K2490" t="s">
        <v>158</v>
      </c>
      <c r="L2490" t="s">
        <v>383</v>
      </c>
      <c r="M2490" t="s">
        <v>141</v>
      </c>
      <c r="N2490" t="s">
        <v>142</v>
      </c>
      <c r="O2490" t="s">
        <v>327</v>
      </c>
      <c r="P2490" t="s">
        <v>281</v>
      </c>
      <c r="Q2490" t="s">
        <v>328</v>
      </c>
      <c r="R2490" t="s">
        <v>360</v>
      </c>
      <c r="S2490" t="s">
        <v>330</v>
      </c>
      <c r="T2490">
        <v>1</v>
      </c>
      <c r="U2490" t="s">
        <v>485</v>
      </c>
      <c r="V2490" t="s">
        <v>285</v>
      </c>
      <c r="W2490" t="s">
        <v>360</v>
      </c>
      <c r="X2490" t="s">
        <v>331</v>
      </c>
      <c r="Y2490" t="s">
        <v>307</v>
      </c>
      <c r="Z2490">
        <v>70</v>
      </c>
      <c r="AA2490">
        <v>85</v>
      </c>
      <c r="AB2490" t="s">
        <v>143</v>
      </c>
      <c r="AC2490" t="s">
        <v>163</v>
      </c>
      <c r="AD2490" t="s">
        <v>509</v>
      </c>
      <c r="AE2490" t="str">
        <f>IF(AF2490="","",VLOOKUP(AC2490,mapel!$A$2:$B$42,2,FALSE))</f>
        <v>PKWU</v>
      </c>
      <c r="AF2490">
        <f t="shared" si="114"/>
        <v>85</v>
      </c>
      <c r="AG2490" t="str">
        <f>IF(AF2490="","",IF(AF2490&gt;90,"Sangat baik",IF(AF2490&gt;79,"Baik",IF(AF2490&gt;=pub_gid_0_single_true_output_csv[[#This Row],[KKM]],"Cukup","Kurang"))))</f>
        <v>Baik</v>
      </c>
      <c r="AH2490">
        <f t="shared" si="115"/>
        <v>12</v>
      </c>
      <c r="AI2490" s="30" t="str">
        <f>IF(OR(J2490&lt;&gt;"Karakter",pub_gid_0_single_true_output_csv[[#This Row],[Nilai2]]=""),"",IF(AF2490&gt;89,"Sangat baik",IF(AF2490&gt;79,"Baik",IF(AF2490&gt;69,"Cukup",IF(AF2490&gt;59,"Kurang","Sangat kurang")))))</f>
        <v/>
      </c>
      <c r="AJ2490" t="str">
        <f t="shared" si="116"/>
        <v>Wk.5</v>
      </c>
      <c r="AK2490" t="str">
        <f>IF(pub_gid_0_single_true_output_csv[[#This Row],[Nilai2]]="","",VLOOKUP(pub_gid_0_single_true_output_csv[[#This Row],[NAMA]],Table7[],3,FALSE))</f>
        <v>High average</v>
      </c>
    </row>
    <row r="2491" spans="1:37" x14ac:dyDescent="0.2">
      <c r="A2491">
        <v>2490</v>
      </c>
      <c r="B2491" t="s">
        <v>318</v>
      </c>
      <c r="C2491" t="s">
        <v>65</v>
      </c>
      <c r="D2491" t="s">
        <v>63</v>
      </c>
      <c r="E2491" t="s">
        <v>140</v>
      </c>
      <c r="F2491" s="25">
        <v>46044</v>
      </c>
      <c r="G2491" t="s">
        <v>305</v>
      </c>
      <c r="H2491" t="s">
        <v>405</v>
      </c>
      <c r="I2491" t="s">
        <v>371</v>
      </c>
      <c r="J2491" t="s">
        <v>41</v>
      </c>
      <c r="K2491" t="s">
        <v>396</v>
      </c>
      <c r="L2491" t="s">
        <v>383</v>
      </c>
      <c r="M2491" t="s">
        <v>141</v>
      </c>
      <c r="N2491" t="s">
        <v>142</v>
      </c>
      <c r="O2491" t="s">
        <v>327</v>
      </c>
      <c r="P2491" t="s">
        <v>281</v>
      </c>
      <c r="Q2491" t="s">
        <v>328</v>
      </c>
      <c r="R2491" t="s">
        <v>360</v>
      </c>
      <c r="S2491" t="s">
        <v>330</v>
      </c>
      <c r="T2491">
        <v>1</v>
      </c>
      <c r="U2491" t="s">
        <v>485</v>
      </c>
      <c r="V2491" t="s">
        <v>285</v>
      </c>
      <c r="W2491" t="s">
        <v>360</v>
      </c>
      <c r="X2491" t="s">
        <v>331</v>
      </c>
      <c r="Y2491" t="s">
        <v>307</v>
      </c>
      <c r="Z2491">
        <v>70</v>
      </c>
      <c r="AA2491">
        <v>80</v>
      </c>
      <c r="AB2491" t="s">
        <v>143</v>
      </c>
      <c r="AC2491" t="s">
        <v>163</v>
      </c>
      <c r="AD2491" t="s">
        <v>509</v>
      </c>
      <c r="AE2491" t="str">
        <f>IF(AF2491="","",VLOOKUP(AC2491,mapel!$A$2:$B$42,2,FALSE))</f>
        <v>PKWU</v>
      </c>
      <c r="AF2491">
        <f t="shared" si="114"/>
        <v>80</v>
      </c>
      <c r="AG2491" t="str">
        <f>IF(AF2491="","",IF(AF2491&gt;90,"Sangat baik",IF(AF2491&gt;79,"Baik",IF(AF2491&gt;=pub_gid_0_single_true_output_csv[[#This Row],[KKM]],"Cukup","Kurang"))))</f>
        <v>Baik</v>
      </c>
      <c r="AH2491">
        <f t="shared" si="115"/>
        <v>12</v>
      </c>
      <c r="AI2491" s="30" t="str">
        <f>IF(OR(J2491&lt;&gt;"Karakter",pub_gid_0_single_true_output_csv[[#This Row],[Nilai2]]=""),"",IF(AF2491&gt;89,"Sangat baik",IF(AF2491&gt;79,"Baik",IF(AF2491&gt;69,"Cukup",IF(AF2491&gt;59,"Kurang","Sangat kurang")))))</f>
        <v/>
      </c>
      <c r="AJ2491" t="str">
        <f t="shared" si="116"/>
        <v>Wk.4</v>
      </c>
      <c r="AK2491" t="str">
        <f>IF(pub_gid_0_single_true_output_csv[[#This Row],[Nilai2]]="","",VLOOKUP(pub_gid_0_single_true_output_csv[[#This Row],[NAMA]],Table7[],3,FALSE))</f>
        <v>Average</v>
      </c>
    </row>
    <row r="2492" spans="1:37" x14ac:dyDescent="0.2">
      <c r="A2492">
        <v>2491</v>
      </c>
      <c r="B2492" t="s">
        <v>318</v>
      </c>
      <c r="C2492" t="s">
        <v>65</v>
      </c>
      <c r="D2492" t="s">
        <v>63</v>
      </c>
      <c r="E2492" t="s">
        <v>140</v>
      </c>
      <c r="F2492" s="25">
        <v>46049</v>
      </c>
      <c r="G2492" t="s">
        <v>373</v>
      </c>
      <c r="H2492" t="s">
        <v>405</v>
      </c>
      <c r="I2492" t="s">
        <v>371</v>
      </c>
      <c r="J2492" t="s">
        <v>90</v>
      </c>
      <c r="K2492" t="s">
        <v>366</v>
      </c>
      <c r="L2492" t="s">
        <v>368</v>
      </c>
      <c r="M2492" t="s">
        <v>141</v>
      </c>
      <c r="N2492" t="s">
        <v>142</v>
      </c>
      <c r="O2492" t="s">
        <v>327</v>
      </c>
      <c r="P2492" t="s">
        <v>281</v>
      </c>
      <c r="Q2492" t="s">
        <v>328</v>
      </c>
      <c r="R2492" t="s">
        <v>360</v>
      </c>
      <c r="S2492" t="s">
        <v>330</v>
      </c>
      <c r="T2492">
        <v>1</v>
      </c>
      <c r="U2492" t="s">
        <v>485</v>
      </c>
      <c r="V2492" t="s">
        <v>285</v>
      </c>
      <c r="W2492" t="s">
        <v>360</v>
      </c>
      <c r="X2492" t="s">
        <v>331</v>
      </c>
      <c r="Y2492" t="s">
        <v>307</v>
      </c>
      <c r="Z2492">
        <v>70</v>
      </c>
      <c r="AA2492">
        <v>85</v>
      </c>
      <c r="AB2492" t="s">
        <v>143</v>
      </c>
      <c r="AC2492" t="s">
        <v>163</v>
      </c>
      <c r="AD2492" t="s">
        <v>509</v>
      </c>
      <c r="AE2492" t="str">
        <f>IF(AF2492="","",VLOOKUP(AC2492,mapel!$A$2:$B$42,2,FALSE))</f>
        <v>PKWU</v>
      </c>
      <c r="AF2492">
        <f t="shared" si="114"/>
        <v>85</v>
      </c>
      <c r="AG2492" t="str">
        <f>IF(AF2492="","",IF(AF2492&gt;90,"Sangat baik",IF(AF2492&gt;79,"Baik",IF(AF2492&gt;=pub_gid_0_single_true_output_csv[[#This Row],[KKM]],"Cukup","Kurang"))))</f>
        <v>Baik</v>
      </c>
      <c r="AH2492">
        <f t="shared" si="115"/>
        <v>12</v>
      </c>
      <c r="AI2492" s="30" t="str">
        <f>IF(OR(J2492&lt;&gt;"Karakter",pub_gid_0_single_true_output_csv[[#This Row],[Nilai2]]=""),"",IF(AF2492&gt;89,"Sangat baik",IF(AF2492&gt;79,"Baik",IF(AF2492&gt;69,"Cukup",IF(AF2492&gt;59,"Kurang","Sangat kurang")))))</f>
        <v>Baik</v>
      </c>
      <c r="AJ2492" t="str">
        <f t="shared" si="116"/>
        <v>Wk.5</v>
      </c>
      <c r="AK2492" t="str">
        <f>IF(pub_gid_0_single_true_output_csv[[#This Row],[Nilai2]]="","",VLOOKUP(pub_gid_0_single_true_output_csv[[#This Row],[NAMA]],Table7[],3,FALSE))</f>
        <v>Average</v>
      </c>
    </row>
    <row r="2493" spans="1:37" x14ac:dyDescent="0.2">
      <c r="A2493">
        <v>2492</v>
      </c>
      <c r="B2493" t="s">
        <v>318</v>
      </c>
      <c r="C2493" t="s">
        <v>65</v>
      </c>
      <c r="D2493" t="s">
        <v>63</v>
      </c>
      <c r="E2493" t="s">
        <v>140</v>
      </c>
      <c r="F2493" s="25">
        <v>46051</v>
      </c>
      <c r="G2493" t="s">
        <v>320</v>
      </c>
      <c r="H2493" t="s">
        <v>405</v>
      </c>
      <c r="I2493" t="s">
        <v>371</v>
      </c>
      <c r="J2493" t="s">
        <v>31</v>
      </c>
      <c r="K2493" t="s">
        <v>158</v>
      </c>
      <c r="L2493" t="s">
        <v>383</v>
      </c>
      <c r="M2493" t="s">
        <v>141</v>
      </c>
      <c r="N2493" t="s">
        <v>142</v>
      </c>
      <c r="O2493" t="s">
        <v>327</v>
      </c>
      <c r="P2493" t="s">
        <v>281</v>
      </c>
      <c r="Q2493" t="s">
        <v>328</v>
      </c>
      <c r="R2493" t="s">
        <v>360</v>
      </c>
      <c r="S2493" t="s">
        <v>330</v>
      </c>
      <c r="T2493">
        <v>1</v>
      </c>
      <c r="U2493" t="s">
        <v>485</v>
      </c>
      <c r="V2493" t="s">
        <v>285</v>
      </c>
      <c r="W2493" t="s">
        <v>360</v>
      </c>
      <c r="X2493" t="s">
        <v>331</v>
      </c>
      <c r="Y2493" t="s">
        <v>307</v>
      </c>
      <c r="Z2493">
        <v>70</v>
      </c>
      <c r="AA2493">
        <v>85</v>
      </c>
      <c r="AB2493" t="s">
        <v>143</v>
      </c>
      <c r="AC2493" t="s">
        <v>163</v>
      </c>
      <c r="AD2493" t="s">
        <v>509</v>
      </c>
      <c r="AE2493" t="str">
        <f>IF(AF2493="","",VLOOKUP(AC2493,mapel!$A$2:$B$42,2,FALSE))</f>
        <v>PKWU</v>
      </c>
      <c r="AF2493">
        <f t="shared" si="114"/>
        <v>85</v>
      </c>
      <c r="AG2493" t="str">
        <f>IF(AF2493="","",IF(AF2493&gt;90,"Sangat baik",IF(AF2493&gt;79,"Baik",IF(AF2493&gt;=pub_gid_0_single_true_output_csv[[#This Row],[KKM]],"Cukup","Kurang"))))</f>
        <v>Baik</v>
      </c>
      <c r="AH2493">
        <f t="shared" si="115"/>
        <v>12</v>
      </c>
      <c r="AI2493" s="30" t="str">
        <f>IF(OR(J2493&lt;&gt;"Karakter",pub_gid_0_single_true_output_csv[[#This Row],[Nilai2]]=""),"",IF(AF2493&gt;89,"Sangat baik",IF(AF2493&gt;79,"Baik",IF(AF2493&gt;69,"Cukup",IF(AF2493&gt;59,"Kurang","Sangat kurang")))))</f>
        <v/>
      </c>
      <c r="AJ2493" t="str">
        <f t="shared" si="116"/>
        <v>Wk.5</v>
      </c>
      <c r="AK2493" t="str">
        <f>IF(pub_gid_0_single_true_output_csv[[#This Row],[Nilai2]]="","",VLOOKUP(pub_gid_0_single_true_output_csv[[#This Row],[NAMA]],Table7[],3,FALSE))</f>
        <v>Average</v>
      </c>
    </row>
    <row r="2494" spans="1:37" x14ac:dyDescent="0.2">
      <c r="A2494">
        <v>2493</v>
      </c>
      <c r="B2494" t="s">
        <v>311</v>
      </c>
      <c r="C2494" t="s">
        <v>65</v>
      </c>
      <c r="D2494" t="s">
        <v>55</v>
      </c>
      <c r="E2494" t="s">
        <v>146</v>
      </c>
      <c r="F2494" s="25">
        <v>46044</v>
      </c>
      <c r="G2494" t="s">
        <v>305</v>
      </c>
      <c r="H2494" t="s">
        <v>405</v>
      </c>
      <c r="I2494" t="s">
        <v>371</v>
      </c>
      <c r="J2494" t="s">
        <v>41</v>
      </c>
      <c r="K2494" t="s">
        <v>396</v>
      </c>
      <c r="L2494" t="s">
        <v>383</v>
      </c>
      <c r="M2494" t="s">
        <v>141</v>
      </c>
      <c r="N2494" t="s">
        <v>142</v>
      </c>
      <c r="O2494" t="s">
        <v>327</v>
      </c>
      <c r="P2494" t="s">
        <v>281</v>
      </c>
      <c r="Q2494" t="s">
        <v>328</v>
      </c>
      <c r="R2494" t="s">
        <v>360</v>
      </c>
      <c r="S2494" t="s">
        <v>330</v>
      </c>
      <c r="T2494">
        <v>1</v>
      </c>
      <c r="U2494" t="s">
        <v>485</v>
      </c>
      <c r="V2494" t="s">
        <v>285</v>
      </c>
      <c r="W2494" t="s">
        <v>360</v>
      </c>
      <c r="X2494" t="s">
        <v>331</v>
      </c>
      <c r="Y2494" t="s">
        <v>307</v>
      </c>
      <c r="Z2494">
        <v>70</v>
      </c>
      <c r="AA2494">
        <v>0</v>
      </c>
      <c r="AB2494" t="s">
        <v>151</v>
      </c>
      <c r="AC2494" t="s">
        <v>51</v>
      </c>
      <c r="AD2494" t="s">
        <v>509</v>
      </c>
      <c r="AE2494" t="str">
        <f>IF(AF2494="","",VLOOKUP(AC2494,mapel!$A$2:$B$42,2,FALSE))</f>
        <v/>
      </c>
      <c r="AF2494" t="str">
        <f t="shared" si="114"/>
        <v/>
      </c>
      <c r="AG2494" t="str">
        <f>IF(AF2494="","",IF(AF2494&gt;90,"Sangat baik",IF(AF2494&gt;79,"Baik",IF(AF2494&gt;=pub_gid_0_single_true_output_csv[[#This Row],[KKM]],"Cukup","Kurang"))))</f>
        <v/>
      </c>
      <c r="AH2494" t="str">
        <f t="shared" si="115"/>
        <v/>
      </c>
      <c r="AI2494" s="30" t="str">
        <f>IF(OR(J2494&lt;&gt;"Karakter",pub_gid_0_single_true_output_csv[[#This Row],[Nilai2]]=""),"",IF(AF2494&gt;89,"Sangat baik",IF(AF2494&gt;79,"Baik",IF(AF2494&gt;69,"Cukup",IF(AF2494&gt;59,"Kurang","Sangat kurang")))))</f>
        <v/>
      </c>
      <c r="AJ2494" t="str">
        <f t="shared" si="116"/>
        <v/>
      </c>
      <c r="AK2494" t="str">
        <f>IF(pub_gid_0_single_true_output_csv[[#This Row],[Nilai2]]="","",VLOOKUP(pub_gid_0_single_true_output_csv[[#This Row],[NAMA]],Table7[],3,FALSE))</f>
        <v/>
      </c>
    </row>
    <row r="2495" spans="1:37" x14ac:dyDescent="0.2">
      <c r="A2495">
        <v>2494</v>
      </c>
      <c r="B2495" t="s">
        <v>311</v>
      </c>
      <c r="C2495" t="s">
        <v>65</v>
      </c>
      <c r="D2495" t="s">
        <v>55</v>
      </c>
      <c r="E2495" t="s">
        <v>146</v>
      </c>
      <c r="F2495" s="25">
        <v>46049</v>
      </c>
      <c r="G2495" t="s">
        <v>373</v>
      </c>
      <c r="H2495" t="s">
        <v>405</v>
      </c>
      <c r="I2495" t="s">
        <v>371</v>
      </c>
      <c r="J2495" t="s">
        <v>90</v>
      </c>
      <c r="K2495" t="s">
        <v>366</v>
      </c>
      <c r="L2495" t="s">
        <v>368</v>
      </c>
      <c r="M2495" t="s">
        <v>141</v>
      </c>
      <c r="N2495" t="s">
        <v>142</v>
      </c>
      <c r="O2495" t="s">
        <v>327</v>
      </c>
      <c r="P2495" t="s">
        <v>281</v>
      </c>
      <c r="Q2495" t="s">
        <v>328</v>
      </c>
      <c r="R2495" t="s">
        <v>360</v>
      </c>
      <c r="S2495" t="s">
        <v>330</v>
      </c>
      <c r="T2495">
        <v>1</v>
      </c>
      <c r="U2495" t="s">
        <v>485</v>
      </c>
      <c r="V2495" t="s">
        <v>285</v>
      </c>
      <c r="W2495" t="s">
        <v>360</v>
      </c>
      <c r="X2495" t="s">
        <v>331</v>
      </c>
      <c r="Y2495" t="s">
        <v>307</v>
      </c>
      <c r="Z2495">
        <v>70</v>
      </c>
      <c r="AA2495">
        <v>0</v>
      </c>
      <c r="AB2495" t="s">
        <v>151</v>
      </c>
      <c r="AC2495" t="s">
        <v>51</v>
      </c>
      <c r="AD2495" t="s">
        <v>509</v>
      </c>
      <c r="AE2495" t="str">
        <f>IF(AF2495="","",VLOOKUP(AC2495,mapel!$A$2:$B$42,2,FALSE))</f>
        <v/>
      </c>
      <c r="AF2495" t="str">
        <f t="shared" si="114"/>
        <v/>
      </c>
      <c r="AG2495" t="str">
        <f>IF(AF2495="","",IF(AF2495&gt;90,"Sangat baik",IF(AF2495&gt;79,"Baik",IF(AF2495&gt;=pub_gid_0_single_true_output_csv[[#This Row],[KKM]],"Cukup","Kurang"))))</f>
        <v/>
      </c>
      <c r="AH2495" t="str">
        <f t="shared" si="115"/>
        <v/>
      </c>
      <c r="AI2495" s="30" t="str">
        <f>IF(OR(J2495&lt;&gt;"Karakter",pub_gid_0_single_true_output_csv[[#This Row],[Nilai2]]=""),"",IF(AF2495&gt;89,"Sangat baik",IF(AF2495&gt;79,"Baik",IF(AF2495&gt;69,"Cukup",IF(AF2495&gt;59,"Kurang","Sangat kurang")))))</f>
        <v/>
      </c>
      <c r="AJ2495" t="str">
        <f t="shared" si="116"/>
        <v/>
      </c>
      <c r="AK2495" t="str">
        <f>IF(pub_gid_0_single_true_output_csv[[#This Row],[Nilai2]]="","",VLOOKUP(pub_gid_0_single_true_output_csv[[#This Row],[NAMA]],Table7[],3,FALSE))</f>
        <v/>
      </c>
    </row>
    <row r="2496" spans="1:37" x14ac:dyDescent="0.2">
      <c r="A2496">
        <v>2495</v>
      </c>
      <c r="B2496" t="s">
        <v>311</v>
      </c>
      <c r="C2496" t="s">
        <v>65</v>
      </c>
      <c r="D2496" t="s">
        <v>55</v>
      </c>
      <c r="E2496" t="s">
        <v>146</v>
      </c>
      <c r="F2496" s="25">
        <v>46051</v>
      </c>
      <c r="G2496" t="s">
        <v>320</v>
      </c>
      <c r="H2496" t="s">
        <v>405</v>
      </c>
      <c r="I2496" t="s">
        <v>371</v>
      </c>
      <c r="J2496" t="s">
        <v>31</v>
      </c>
      <c r="K2496" t="s">
        <v>158</v>
      </c>
      <c r="L2496" t="s">
        <v>383</v>
      </c>
      <c r="M2496" t="s">
        <v>141</v>
      </c>
      <c r="N2496" t="s">
        <v>142</v>
      </c>
      <c r="O2496" t="s">
        <v>327</v>
      </c>
      <c r="P2496" t="s">
        <v>281</v>
      </c>
      <c r="Q2496" t="s">
        <v>328</v>
      </c>
      <c r="R2496" t="s">
        <v>360</v>
      </c>
      <c r="S2496" t="s">
        <v>330</v>
      </c>
      <c r="T2496">
        <v>1</v>
      </c>
      <c r="U2496" t="s">
        <v>485</v>
      </c>
      <c r="V2496" t="s">
        <v>285</v>
      </c>
      <c r="W2496" t="s">
        <v>360</v>
      </c>
      <c r="X2496" t="s">
        <v>331</v>
      </c>
      <c r="Y2496" t="s">
        <v>307</v>
      </c>
      <c r="Z2496">
        <v>70</v>
      </c>
      <c r="AA2496">
        <v>0</v>
      </c>
      <c r="AB2496" t="s">
        <v>151</v>
      </c>
      <c r="AC2496" t="s">
        <v>51</v>
      </c>
      <c r="AD2496" t="s">
        <v>509</v>
      </c>
      <c r="AE2496" t="str">
        <f>IF(AF2496="","",VLOOKUP(AC2496,mapel!$A$2:$B$42,2,FALSE))</f>
        <v/>
      </c>
      <c r="AF2496" t="str">
        <f t="shared" si="114"/>
        <v/>
      </c>
      <c r="AG2496" t="str">
        <f>IF(AF2496="","",IF(AF2496&gt;90,"Sangat baik",IF(AF2496&gt;79,"Baik",IF(AF2496&gt;=pub_gid_0_single_true_output_csv[[#This Row],[KKM]],"Cukup","Kurang"))))</f>
        <v/>
      </c>
      <c r="AH2496" t="str">
        <f t="shared" si="115"/>
        <v/>
      </c>
      <c r="AI2496" s="30" t="str">
        <f>IF(OR(J2496&lt;&gt;"Karakter",pub_gid_0_single_true_output_csv[[#This Row],[Nilai2]]=""),"",IF(AF2496&gt;89,"Sangat baik",IF(AF2496&gt;79,"Baik",IF(AF2496&gt;69,"Cukup",IF(AF2496&gt;59,"Kurang","Sangat kurang")))))</f>
        <v/>
      </c>
      <c r="AJ2496" t="str">
        <f t="shared" si="116"/>
        <v/>
      </c>
      <c r="AK2496" t="str">
        <f>IF(pub_gid_0_single_true_output_csv[[#This Row],[Nilai2]]="","",VLOOKUP(pub_gid_0_single_true_output_csv[[#This Row],[NAMA]],Table7[],3,FALSE))</f>
        <v/>
      </c>
    </row>
    <row r="2497" spans="1:37" x14ac:dyDescent="0.2">
      <c r="A2497">
        <v>2496</v>
      </c>
      <c r="B2497" t="s">
        <v>312</v>
      </c>
      <c r="C2497" t="s">
        <v>65</v>
      </c>
      <c r="D2497" t="s">
        <v>56</v>
      </c>
      <c r="E2497" t="s">
        <v>156</v>
      </c>
      <c r="F2497" s="25">
        <v>46044</v>
      </c>
      <c r="G2497" t="s">
        <v>305</v>
      </c>
      <c r="H2497" t="s">
        <v>405</v>
      </c>
      <c r="I2497" t="s">
        <v>371</v>
      </c>
      <c r="J2497" t="s">
        <v>41</v>
      </c>
      <c r="K2497" t="s">
        <v>396</v>
      </c>
      <c r="L2497" t="s">
        <v>383</v>
      </c>
      <c r="M2497" t="s">
        <v>141</v>
      </c>
      <c r="N2497" t="s">
        <v>142</v>
      </c>
      <c r="O2497" t="s">
        <v>327</v>
      </c>
      <c r="P2497" t="s">
        <v>281</v>
      </c>
      <c r="Q2497" t="s">
        <v>328</v>
      </c>
      <c r="R2497" t="s">
        <v>360</v>
      </c>
      <c r="S2497" t="s">
        <v>330</v>
      </c>
      <c r="T2497">
        <v>1</v>
      </c>
      <c r="U2497" t="s">
        <v>485</v>
      </c>
      <c r="V2497" t="s">
        <v>285</v>
      </c>
      <c r="W2497" t="s">
        <v>360</v>
      </c>
      <c r="X2497" t="s">
        <v>331</v>
      </c>
      <c r="Y2497" t="s">
        <v>307</v>
      </c>
      <c r="Z2497">
        <v>70</v>
      </c>
      <c r="AA2497">
        <v>90</v>
      </c>
      <c r="AB2497" t="s">
        <v>143</v>
      </c>
      <c r="AC2497" t="s">
        <v>51</v>
      </c>
      <c r="AD2497" t="s">
        <v>509</v>
      </c>
      <c r="AE2497" t="str">
        <f>IF(AF2497="","",VLOOKUP(AC2497,mapel!$A$2:$B$42,2,FALSE))</f>
        <v>Kopi</v>
      </c>
      <c r="AF2497">
        <f t="shared" si="114"/>
        <v>90</v>
      </c>
      <c r="AG2497" t="str">
        <f>IF(AF2497="","",IF(AF2497&gt;90,"Sangat baik",IF(AF2497&gt;79,"Baik",IF(AF2497&gt;=pub_gid_0_single_true_output_csv[[#This Row],[KKM]],"Cukup","Kurang"))))</f>
        <v>Baik</v>
      </c>
      <c r="AH2497">
        <f t="shared" si="115"/>
        <v>12</v>
      </c>
      <c r="AI2497" s="30" t="str">
        <f>IF(OR(J2497&lt;&gt;"Karakter",pub_gid_0_single_true_output_csv[[#This Row],[Nilai2]]=""),"",IF(AF2497&gt;89,"Sangat baik",IF(AF2497&gt;79,"Baik",IF(AF2497&gt;69,"Cukup",IF(AF2497&gt;59,"Kurang","Sangat kurang")))))</f>
        <v/>
      </c>
      <c r="AJ2497" t="str">
        <f t="shared" si="116"/>
        <v>Wk.4</v>
      </c>
      <c r="AK2497" t="str">
        <f>IF(pub_gid_0_single_true_output_csv[[#This Row],[Nilai2]]="","",VLOOKUP(pub_gid_0_single_true_output_csv[[#This Row],[NAMA]],Table7[],3,FALSE))</f>
        <v>Superior</v>
      </c>
    </row>
    <row r="2498" spans="1:37" x14ac:dyDescent="0.2">
      <c r="A2498">
        <v>2497</v>
      </c>
      <c r="B2498" t="s">
        <v>312</v>
      </c>
      <c r="C2498" t="s">
        <v>65</v>
      </c>
      <c r="D2498" t="s">
        <v>56</v>
      </c>
      <c r="E2498" t="s">
        <v>156</v>
      </c>
      <c r="F2498" s="25">
        <v>46049</v>
      </c>
      <c r="G2498" t="s">
        <v>373</v>
      </c>
      <c r="H2498" t="s">
        <v>405</v>
      </c>
      <c r="I2498" t="s">
        <v>371</v>
      </c>
      <c r="J2498" t="s">
        <v>90</v>
      </c>
      <c r="K2498" t="s">
        <v>366</v>
      </c>
      <c r="L2498" t="s">
        <v>368</v>
      </c>
      <c r="M2498" t="s">
        <v>141</v>
      </c>
      <c r="N2498" t="s">
        <v>142</v>
      </c>
      <c r="O2498" t="s">
        <v>327</v>
      </c>
      <c r="P2498" t="s">
        <v>281</v>
      </c>
      <c r="Q2498" t="s">
        <v>328</v>
      </c>
      <c r="R2498" t="s">
        <v>360</v>
      </c>
      <c r="S2498" t="s">
        <v>330</v>
      </c>
      <c r="T2498">
        <v>1</v>
      </c>
      <c r="U2498" t="s">
        <v>485</v>
      </c>
      <c r="V2498" t="s">
        <v>285</v>
      </c>
      <c r="W2498" t="s">
        <v>360</v>
      </c>
      <c r="X2498" t="s">
        <v>331</v>
      </c>
      <c r="Y2498" t="s">
        <v>307</v>
      </c>
      <c r="Z2498">
        <v>70</v>
      </c>
      <c r="AA2498">
        <v>85</v>
      </c>
      <c r="AB2498" t="s">
        <v>143</v>
      </c>
      <c r="AC2498" t="s">
        <v>51</v>
      </c>
      <c r="AD2498" t="s">
        <v>509</v>
      </c>
      <c r="AE2498" t="str">
        <f>IF(AF2498="","",VLOOKUP(AC2498,mapel!$A$2:$B$42,2,FALSE))</f>
        <v>Kopi</v>
      </c>
      <c r="AF2498">
        <f t="shared" ref="AF2498:AF2522" si="117">IF(AA2498=0, "",IF(AA2498 = 0.1, 0,AA2498))</f>
        <v>85</v>
      </c>
      <c r="AG2498" t="str">
        <f>IF(AF2498="","",IF(AF2498&gt;90,"Sangat baik",IF(AF2498&gt;79,"Baik",IF(AF2498&gt;=pub_gid_0_single_true_output_csv[[#This Row],[KKM]],"Cukup","Kurang"))))</f>
        <v>Baik</v>
      </c>
      <c r="AH2498">
        <f t="shared" ref="AH2498:AH2522" si="118">IF(AG2498="","",VALUE(RIGHT(X2498,2)))</f>
        <v>12</v>
      </c>
      <c r="AI2498" s="30" t="str">
        <f>IF(OR(J2498&lt;&gt;"Karakter",pub_gid_0_single_true_output_csv[[#This Row],[Nilai2]]=""),"",IF(AF2498&gt;89,"Sangat baik",IF(AF2498&gt;79,"Baik",IF(AF2498&gt;69,"Cukup",IF(AF2498&gt;59,"Kurang","Sangat kurang")))))</f>
        <v>Baik</v>
      </c>
      <c r="AJ2498" t="str">
        <f t="shared" ref="AJ2498:AJ2522" si="119">IF(AF2498="","",CONCATENATE("Wk.",WEEKNUM(F2498,2)))</f>
        <v>Wk.5</v>
      </c>
      <c r="AK2498" t="str">
        <f>IF(pub_gid_0_single_true_output_csv[[#This Row],[Nilai2]]="","",VLOOKUP(pub_gid_0_single_true_output_csv[[#This Row],[NAMA]],Table7[],3,FALSE))</f>
        <v>Superior</v>
      </c>
    </row>
    <row r="2499" spans="1:37" x14ac:dyDescent="0.2">
      <c r="A2499">
        <v>2498</v>
      </c>
      <c r="B2499" t="s">
        <v>312</v>
      </c>
      <c r="C2499" t="s">
        <v>65</v>
      </c>
      <c r="D2499" t="s">
        <v>56</v>
      </c>
      <c r="E2499" t="s">
        <v>156</v>
      </c>
      <c r="F2499" s="25">
        <v>46051</v>
      </c>
      <c r="G2499" t="s">
        <v>320</v>
      </c>
      <c r="H2499" t="s">
        <v>405</v>
      </c>
      <c r="I2499" t="s">
        <v>371</v>
      </c>
      <c r="J2499" t="s">
        <v>31</v>
      </c>
      <c r="K2499" t="s">
        <v>158</v>
      </c>
      <c r="L2499" t="s">
        <v>383</v>
      </c>
      <c r="M2499" t="s">
        <v>141</v>
      </c>
      <c r="N2499" t="s">
        <v>142</v>
      </c>
      <c r="O2499" t="s">
        <v>327</v>
      </c>
      <c r="P2499" t="s">
        <v>281</v>
      </c>
      <c r="Q2499" t="s">
        <v>328</v>
      </c>
      <c r="R2499" t="s">
        <v>360</v>
      </c>
      <c r="S2499" t="s">
        <v>330</v>
      </c>
      <c r="T2499">
        <v>1</v>
      </c>
      <c r="U2499" t="s">
        <v>485</v>
      </c>
      <c r="V2499" t="s">
        <v>285</v>
      </c>
      <c r="W2499" t="s">
        <v>360</v>
      </c>
      <c r="X2499" t="s">
        <v>331</v>
      </c>
      <c r="Y2499" t="s">
        <v>307</v>
      </c>
      <c r="Z2499">
        <v>70</v>
      </c>
      <c r="AA2499">
        <v>90</v>
      </c>
      <c r="AB2499" t="s">
        <v>143</v>
      </c>
      <c r="AC2499" t="s">
        <v>51</v>
      </c>
      <c r="AD2499" t="s">
        <v>509</v>
      </c>
      <c r="AE2499" t="str">
        <f>IF(AF2499="","",VLOOKUP(AC2499,mapel!$A$2:$B$42,2,FALSE))</f>
        <v>Kopi</v>
      </c>
      <c r="AF2499">
        <f t="shared" si="117"/>
        <v>90</v>
      </c>
      <c r="AG2499" t="str">
        <f>IF(AF2499="","",IF(AF2499&gt;90,"Sangat baik",IF(AF2499&gt;79,"Baik",IF(AF2499&gt;=pub_gid_0_single_true_output_csv[[#This Row],[KKM]],"Cukup","Kurang"))))</f>
        <v>Baik</v>
      </c>
      <c r="AH2499">
        <f t="shared" si="118"/>
        <v>12</v>
      </c>
      <c r="AI2499" s="30" t="str">
        <f>IF(OR(J2499&lt;&gt;"Karakter",pub_gid_0_single_true_output_csv[[#This Row],[Nilai2]]=""),"",IF(AF2499&gt;89,"Sangat baik",IF(AF2499&gt;79,"Baik",IF(AF2499&gt;69,"Cukup",IF(AF2499&gt;59,"Kurang","Sangat kurang")))))</f>
        <v/>
      </c>
      <c r="AJ2499" t="str">
        <f t="shared" si="119"/>
        <v>Wk.5</v>
      </c>
      <c r="AK2499" t="str">
        <f>IF(pub_gid_0_single_true_output_csv[[#This Row],[Nilai2]]="","",VLOOKUP(pub_gid_0_single_true_output_csv[[#This Row],[NAMA]],Table7[],3,FALSE))</f>
        <v>Superior</v>
      </c>
    </row>
    <row r="2500" spans="1:37" x14ac:dyDescent="0.2">
      <c r="A2500">
        <v>2499</v>
      </c>
      <c r="B2500" t="s">
        <v>313</v>
      </c>
      <c r="C2500" t="s">
        <v>65</v>
      </c>
      <c r="D2500" t="s">
        <v>57</v>
      </c>
      <c r="E2500" t="s">
        <v>146</v>
      </c>
      <c r="F2500" s="25">
        <v>46044</v>
      </c>
      <c r="G2500" t="s">
        <v>305</v>
      </c>
      <c r="H2500" t="s">
        <v>405</v>
      </c>
      <c r="I2500" t="s">
        <v>371</v>
      </c>
      <c r="J2500" t="s">
        <v>41</v>
      </c>
      <c r="K2500" t="s">
        <v>396</v>
      </c>
      <c r="L2500" t="s">
        <v>383</v>
      </c>
      <c r="M2500" t="s">
        <v>141</v>
      </c>
      <c r="N2500" t="s">
        <v>142</v>
      </c>
      <c r="O2500" t="s">
        <v>327</v>
      </c>
      <c r="P2500" t="s">
        <v>281</v>
      </c>
      <c r="Q2500" t="s">
        <v>328</v>
      </c>
      <c r="R2500" t="s">
        <v>360</v>
      </c>
      <c r="S2500" t="s">
        <v>330</v>
      </c>
      <c r="T2500">
        <v>1</v>
      </c>
      <c r="U2500" t="s">
        <v>485</v>
      </c>
      <c r="V2500" t="s">
        <v>285</v>
      </c>
      <c r="W2500" t="s">
        <v>360</v>
      </c>
      <c r="X2500" t="s">
        <v>331</v>
      </c>
      <c r="Y2500" t="s">
        <v>307</v>
      </c>
      <c r="Z2500">
        <v>70</v>
      </c>
      <c r="AA2500">
        <v>0</v>
      </c>
      <c r="AB2500" t="s">
        <v>151</v>
      </c>
      <c r="AC2500" t="s">
        <v>51</v>
      </c>
      <c r="AD2500" t="s">
        <v>509</v>
      </c>
      <c r="AE2500" t="str">
        <f>IF(AF2500="","",VLOOKUP(AC2500,mapel!$A$2:$B$42,2,FALSE))</f>
        <v/>
      </c>
      <c r="AF2500" t="str">
        <f t="shared" si="117"/>
        <v/>
      </c>
      <c r="AG2500" t="str">
        <f>IF(AF2500="","",IF(AF2500&gt;90,"Sangat baik",IF(AF2500&gt;79,"Baik",IF(AF2500&gt;=pub_gid_0_single_true_output_csv[[#This Row],[KKM]],"Cukup","Kurang"))))</f>
        <v/>
      </c>
      <c r="AH2500" t="str">
        <f t="shared" si="118"/>
        <v/>
      </c>
      <c r="AI2500" s="30" t="str">
        <f>IF(OR(J2500&lt;&gt;"Karakter",pub_gid_0_single_true_output_csv[[#This Row],[Nilai2]]=""),"",IF(AF2500&gt;89,"Sangat baik",IF(AF2500&gt;79,"Baik",IF(AF2500&gt;69,"Cukup",IF(AF2500&gt;59,"Kurang","Sangat kurang")))))</f>
        <v/>
      </c>
      <c r="AJ2500" t="str">
        <f t="shared" si="119"/>
        <v/>
      </c>
      <c r="AK2500" t="str">
        <f>IF(pub_gid_0_single_true_output_csv[[#This Row],[Nilai2]]="","",VLOOKUP(pub_gid_0_single_true_output_csv[[#This Row],[NAMA]],Table7[],3,FALSE))</f>
        <v/>
      </c>
    </row>
    <row r="2501" spans="1:37" x14ac:dyDescent="0.2">
      <c r="A2501">
        <v>2500</v>
      </c>
      <c r="B2501" t="s">
        <v>313</v>
      </c>
      <c r="C2501" t="s">
        <v>65</v>
      </c>
      <c r="D2501" t="s">
        <v>57</v>
      </c>
      <c r="E2501" t="s">
        <v>146</v>
      </c>
      <c r="F2501" s="25">
        <v>46049</v>
      </c>
      <c r="G2501" t="s">
        <v>373</v>
      </c>
      <c r="H2501" t="s">
        <v>405</v>
      </c>
      <c r="I2501" t="s">
        <v>371</v>
      </c>
      <c r="J2501" t="s">
        <v>90</v>
      </c>
      <c r="K2501" t="s">
        <v>366</v>
      </c>
      <c r="L2501" t="s">
        <v>368</v>
      </c>
      <c r="M2501" t="s">
        <v>141</v>
      </c>
      <c r="N2501" t="s">
        <v>142</v>
      </c>
      <c r="O2501" t="s">
        <v>327</v>
      </c>
      <c r="P2501" t="s">
        <v>281</v>
      </c>
      <c r="Q2501" t="s">
        <v>328</v>
      </c>
      <c r="R2501" t="s">
        <v>360</v>
      </c>
      <c r="S2501" t="s">
        <v>330</v>
      </c>
      <c r="T2501">
        <v>1</v>
      </c>
      <c r="U2501" t="s">
        <v>485</v>
      </c>
      <c r="V2501" t="s">
        <v>285</v>
      </c>
      <c r="W2501" t="s">
        <v>360</v>
      </c>
      <c r="X2501" t="s">
        <v>331</v>
      </c>
      <c r="Y2501" t="s">
        <v>307</v>
      </c>
      <c r="Z2501">
        <v>70</v>
      </c>
      <c r="AA2501">
        <v>0</v>
      </c>
      <c r="AB2501" t="s">
        <v>151</v>
      </c>
      <c r="AC2501" t="s">
        <v>51</v>
      </c>
      <c r="AD2501" t="s">
        <v>509</v>
      </c>
      <c r="AE2501" t="str">
        <f>IF(AF2501="","",VLOOKUP(AC2501,mapel!$A$2:$B$42,2,FALSE))</f>
        <v/>
      </c>
      <c r="AF2501" t="str">
        <f t="shared" si="117"/>
        <v/>
      </c>
      <c r="AG2501" t="str">
        <f>IF(AF2501="","",IF(AF2501&gt;90,"Sangat baik",IF(AF2501&gt;79,"Baik",IF(AF2501&gt;=pub_gid_0_single_true_output_csv[[#This Row],[KKM]],"Cukup","Kurang"))))</f>
        <v/>
      </c>
      <c r="AH2501" t="str">
        <f t="shared" si="118"/>
        <v/>
      </c>
      <c r="AI2501" s="30" t="str">
        <f>IF(OR(J2501&lt;&gt;"Karakter",pub_gid_0_single_true_output_csv[[#This Row],[Nilai2]]=""),"",IF(AF2501&gt;89,"Sangat baik",IF(AF2501&gt;79,"Baik",IF(AF2501&gt;69,"Cukup",IF(AF2501&gt;59,"Kurang","Sangat kurang")))))</f>
        <v/>
      </c>
      <c r="AJ2501" t="str">
        <f t="shared" si="119"/>
        <v/>
      </c>
      <c r="AK2501" t="str">
        <f>IF(pub_gid_0_single_true_output_csv[[#This Row],[Nilai2]]="","",VLOOKUP(pub_gid_0_single_true_output_csv[[#This Row],[NAMA]],Table7[],3,FALSE))</f>
        <v/>
      </c>
    </row>
    <row r="2502" spans="1:37" x14ac:dyDescent="0.2">
      <c r="A2502">
        <v>2501</v>
      </c>
      <c r="B2502" t="s">
        <v>313</v>
      </c>
      <c r="C2502" t="s">
        <v>65</v>
      </c>
      <c r="D2502" t="s">
        <v>57</v>
      </c>
      <c r="E2502" t="s">
        <v>146</v>
      </c>
      <c r="F2502" s="25">
        <v>46051</v>
      </c>
      <c r="G2502" t="s">
        <v>320</v>
      </c>
      <c r="H2502" t="s">
        <v>405</v>
      </c>
      <c r="I2502" t="s">
        <v>371</v>
      </c>
      <c r="J2502" t="s">
        <v>31</v>
      </c>
      <c r="K2502" t="s">
        <v>158</v>
      </c>
      <c r="L2502" t="s">
        <v>383</v>
      </c>
      <c r="M2502" t="s">
        <v>141</v>
      </c>
      <c r="N2502" t="s">
        <v>142</v>
      </c>
      <c r="O2502" t="s">
        <v>327</v>
      </c>
      <c r="P2502" t="s">
        <v>281</v>
      </c>
      <c r="Q2502" t="s">
        <v>328</v>
      </c>
      <c r="R2502" t="s">
        <v>360</v>
      </c>
      <c r="S2502" t="s">
        <v>330</v>
      </c>
      <c r="T2502">
        <v>1</v>
      </c>
      <c r="U2502" t="s">
        <v>485</v>
      </c>
      <c r="V2502" t="s">
        <v>285</v>
      </c>
      <c r="W2502" t="s">
        <v>360</v>
      </c>
      <c r="X2502" t="s">
        <v>331</v>
      </c>
      <c r="Y2502" t="s">
        <v>307</v>
      </c>
      <c r="Z2502">
        <v>70</v>
      </c>
      <c r="AA2502">
        <v>0</v>
      </c>
      <c r="AB2502" t="s">
        <v>151</v>
      </c>
      <c r="AC2502" t="s">
        <v>51</v>
      </c>
      <c r="AD2502" t="s">
        <v>509</v>
      </c>
      <c r="AE2502" t="str">
        <f>IF(AF2502="","",VLOOKUP(AC2502,mapel!$A$2:$B$42,2,FALSE))</f>
        <v/>
      </c>
      <c r="AF2502" t="str">
        <f t="shared" si="117"/>
        <v/>
      </c>
      <c r="AG2502" t="str">
        <f>IF(AF2502="","",IF(AF2502&gt;90,"Sangat baik",IF(AF2502&gt;79,"Baik",IF(AF2502&gt;=pub_gid_0_single_true_output_csv[[#This Row],[KKM]],"Cukup","Kurang"))))</f>
        <v/>
      </c>
      <c r="AH2502" t="str">
        <f t="shared" si="118"/>
        <v/>
      </c>
      <c r="AI2502" s="30" t="str">
        <f>IF(OR(J2502&lt;&gt;"Karakter",pub_gid_0_single_true_output_csv[[#This Row],[Nilai2]]=""),"",IF(AF2502&gt;89,"Sangat baik",IF(AF2502&gt;79,"Baik",IF(AF2502&gt;69,"Cukup",IF(AF2502&gt;59,"Kurang","Sangat kurang")))))</f>
        <v/>
      </c>
      <c r="AJ2502" t="str">
        <f t="shared" si="119"/>
        <v/>
      </c>
      <c r="AK2502" t="str">
        <f>IF(pub_gid_0_single_true_output_csv[[#This Row],[Nilai2]]="","",VLOOKUP(pub_gid_0_single_true_output_csv[[#This Row],[NAMA]],Table7[],3,FALSE))</f>
        <v/>
      </c>
    </row>
    <row r="2503" spans="1:37" x14ac:dyDescent="0.2">
      <c r="A2503">
        <v>2502</v>
      </c>
      <c r="B2503" t="s">
        <v>314</v>
      </c>
      <c r="C2503" t="s">
        <v>65</v>
      </c>
      <c r="D2503" t="s">
        <v>58</v>
      </c>
      <c r="E2503" t="s">
        <v>140</v>
      </c>
      <c r="F2503" s="25">
        <v>46044</v>
      </c>
      <c r="G2503" t="s">
        <v>305</v>
      </c>
      <c r="H2503" t="s">
        <v>405</v>
      </c>
      <c r="I2503" t="s">
        <v>371</v>
      </c>
      <c r="J2503" t="s">
        <v>41</v>
      </c>
      <c r="K2503" t="s">
        <v>396</v>
      </c>
      <c r="L2503" t="s">
        <v>383</v>
      </c>
      <c r="M2503" t="s">
        <v>141</v>
      </c>
      <c r="N2503" t="s">
        <v>142</v>
      </c>
      <c r="O2503" t="s">
        <v>327</v>
      </c>
      <c r="P2503" t="s">
        <v>281</v>
      </c>
      <c r="Q2503" t="s">
        <v>328</v>
      </c>
      <c r="R2503" t="s">
        <v>360</v>
      </c>
      <c r="S2503" t="s">
        <v>330</v>
      </c>
      <c r="T2503">
        <v>1</v>
      </c>
      <c r="U2503" t="s">
        <v>485</v>
      </c>
      <c r="V2503" t="s">
        <v>285</v>
      </c>
      <c r="W2503" t="s">
        <v>360</v>
      </c>
      <c r="X2503" t="s">
        <v>331</v>
      </c>
      <c r="Y2503" t="s">
        <v>307</v>
      </c>
      <c r="Z2503">
        <v>70</v>
      </c>
      <c r="AA2503">
        <v>80</v>
      </c>
      <c r="AB2503" t="s">
        <v>143</v>
      </c>
      <c r="AC2503" t="s">
        <v>51</v>
      </c>
      <c r="AD2503" t="s">
        <v>509</v>
      </c>
      <c r="AE2503" t="str">
        <f>IF(AF2503="","",VLOOKUP(AC2503,mapel!$A$2:$B$42,2,FALSE))</f>
        <v>Kopi</v>
      </c>
      <c r="AF2503">
        <f t="shared" si="117"/>
        <v>80</v>
      </c>
      <c r="AG2503" t="str">
        <f>IF(AF2503="","",IF(AF2503&gt;90,"Sangat baik",IF(AF2503&gt;79,"Baik",IF(AF2503&gt;=pub_gid_0_single_true_output_csv[[#This Row],[KKM]],"Cukup","Kurang"))))</f>
        <v>Baik</v>
      </c>
      <c r="AH2503">
        <f t="shared" si="118"/>
        <v>12</v>
      </c>
      <c r="AI2503" s="30" t="str">
        <f>IF(OR(J2503&lt;&gt;"Karakter",pub_gid_0_single_true_output_csv[[#This Row],[Nilai2]]=""),"",IF(AF2503&gt;89,"Sangat baik",IF(AF2503&gt;79,"Baik",IF(AF2503&gt;69,"Cukup",IF(AF2503&gt;59,"Kurang","Sangat kurang")))))</f>
        <v/>
      </c>
      <c r="AJ2503" t="str">
        <f t="shared" si="119"/>
        <v>Wk.4</v>
      </c>
      <c r="AK2503" t="str">
        <f>IF(pub_gid_0_single_true_output_csv[[#This Row],[Nilai2]]="","",VLOOKUP(pub_gid_0_single_true_output_csv[[#This Row],[NAMA]],Table7[],3,FALSE))</f>
        <v>Average</v>
      </c>
    </row>
    <row r="2504" spans="1:37" x14ac:dyDescent="0.2">
      <c r="A2504">
        <v>2503</v>
      </c>
      <c r="B2504" t="s">
        <v>314</v>
      </c>
      <c r="C2504" t="s">
        <v>65</v>
      </c>
      <c r="D2504" t="s">
        <v>58</v>
      </c>
      <c r="E2504" t="s">
        <v>140</v>
      </c>
      <c r="F2504" s="25">
        <v>46049</v>
      </c>
      <c r="G2504" t="s">
        <v>373</v>
      </c>
      <c r="H2504" t="s">
        <v>405</v>
      </c>
      <c r="I2504" t="s">
        <v>371</v>
      </c>
      <c r="J2504" t="s">
        <v>90</v>
      </c>
      <c r="K2504" t="s">
        <v>366</v>
      </c>
      <c r="L2504" t="s">
        <v>368</v>
      </c>
      <c r="M2504" t="s">
        <v>141</v>
      </c>
      <c r="N2504" t="s">
        <v>142</v>
      </c>
      <c r="O2504" t="s">
        <v>327</v>
      </c>
      <c r="P2504" t="s">
        <v>281</v>
      </c>
      <c r="Q2504" t="s">
        <v>328</v>
      </c>
      <c r="R2504" t="s">
        <v>360</v>
      </c>
      <c r="S2504" t="s">
        <v>330</v>
      </c>
      <c r="T2504">
        <v>1</v>
      </c>
      <c r="U2504" t="s">
        <v>485</v>
      </c>
      <c r="V2504" t="s">
        <v>285</v>
      </c>
      <c r="W2504" t="s">
        <v>360</v>
      </c>
      <c r="X2504" t="s">
        <v>331</v>
      </c>
      <c r="Y2504" t="s">
        <v>307</v>
      </c>
      <c r="Z2504">
        <v>70</v>
      </c>
      <c r="AA2504">
        <v>85</v>
      </c>
      <c r="AB2504" t="s">
        <v>143</v>
      </c>
      <c r="AC2504" t="s">
        <v>51</v>
      </c>
      <c r="AD2504" t="s">
        <v>509</v>
      </c>
      <c r="AE2504" t="str">
        <f>IF(AF2504="","",VLOOKUP(AC2504,mapel!$A$2:$B$42,2,FALSE))</f>
        <v>Kopi</v>
      </c>
      <c r="AF2504">
        <f t="shared" si="117"/>
        <v>85</v>
      </c>
      <c r="AG2504" t="str">
        <f>IF(AF2504="","",IF(AF2504&gt;90,"Sangat baik",IF(AF2504&gt;79,"Baik",IF(AF2504&gt;=pub_gid_0_single_true_output_csv[[#This Row],[KKM]],"Cukup","Kurang"))))</f>
        <v>Baik</v>
      </c>
      <c r="AH2504">
        <f t="shared" si="118"/>
        <v>12</v>
      </c>
      <c r="AI2504" s="30" t="str">
        <f>IF(OR(J2504&lt;&gt;"Karakter",pub_gid_0_single_true_output_csv[[#This Row],[Nilai2]]=""),"",IF(AF2504&gt;89,"Sangat baik",IF(AF2504&gt;79,"Baik",IF(AF2504&gt;69,"Cukup",IF(AF2504&gt;59,"Kurang","Sangat kurang")))))</f>
        <v>Baik</v>
      </c>
      <c r="AJ2504" t="str">
        <f t="shared" si="119"/>
        <v>Wk.5</v>
      </c>
      <c r="AK2504" t="str">
        <f>IF(pub_gid_0_single_true_output_csv[[#This Row],[Nilai2]]="","",VLOOKUP(pub_gid_0_single_true_output_csv[[#This Row],[NAMA]],Table7[],3,FALSE))</f>
        <v>Average</v>
      </c>
    </row>
    <row r="2505" spans="1:37" x14ac:dyDescent="0.2">
      <c r="A2505">
        <v>2504</v>
      </c>
      <c r="B2505" t="s">
        <v>314</v>
      </c>
      <c r="C2505" t="s">
        <v>65</v>
      </c>
      <c r="D2505" t="s">
        <v>58</v>
      </c>
      <c r="E2505" t="s">
        <v>140</v>
      </c>
      <c r="F2505" s="25">
        <v>46051</v>
      </c>
      <c r="G2505" t="s">
        <v>320</v>
      </c>
      <c r="H2505" t="s">
        <v>405</v>
      </c>
      <c r="I2505" t="s">
        <v>371</v>
      </c>
      <c r="J2505" t="s">
        <v>31</v>
      </c>
      <c r="K2505" t="s">
        <v>158</v>
      </c>
      <c r="L2505" t="s">
        <v>383</v>
      </c>
      <c r="M2505" t="s">
        <v>141</v>
      </c>
      <c r="N2505" t="s">
        <v>142</v>
      </c>
      <c r="O2505" t="s">
        <v>327</v>
      </c>
      <c r="P2505" t="s">
        <v>281</v>
      </c>
      <c r="Q2505" t="s">
        <v>328</v>
      </c>
      <c r="R2505" t="s">
        <v>360</v>
      </c>
      <c r="S2505" t="s">
        <v>330</v>
      </c>
      <c r="T2505">
        <v>1</v>
      </c>
      <c r="U2505" t="s">
        <v>485</v>
      </c>
      <c r="V2505" t="s">
        <v>285</v>
      </c>
      <c r="W2505" t="s">
        <v>360</v>
      </c>
      <c r="X2505" t="s">
        <v>331</v>
      </c>
      <c r="Y2505" t="s">
        <v>307</v>
      </c>
      <c r="Z2505">
        <v>70</v>
      </c>
      <c r="AA2505">
        <v>80</v>
      </c>
      <c r="AB2505" t="s">
        <v>143</v>
      </c>
      <c r="AC2505" t="s">
        <v>51</v>
      </c>
      <c r="AD2505" t="s">
        <v>509</v>
      </c>
      <c r="AE2505" t="str">
        <f>IF(AF2505="","",VLOOKUP(AC2505,mapel!$A$2:$B$42,2,FALSE))</f>
        <v>Kopi</v>
      </c>
      <c r="AF2505">
        <f t="shared" si="117"/>
        <v>80</v>
      </c>
      <c r="AG2505" t="str">
        <f>IF(AF2505="","",IF(AF2505&gt;90,"Sangat baik",IF(AF2505&gt;79,"Baik",IF(AF2505&gt;=pub_gid_0_single_true_output_csv[[#This Row],[KKM]],"Cukup","Kurang"))))</f>
        <v>Baik</v>
      </c>
      <c r="AH2505">
        <f t="shared" si="118"/>
        <v>12</v>
      </c>
      <c r="AI2505" s="30" t="str">
        <f>IF(OR(J2505&lt;&gt;"Karakter",pub_gid_0_single_true_output_csv[[#This Row],[Nilai2]]=""),"",IF(AF2505&gt;89,"Sangat baik",IF(AF2505&gt;79,"Baik",IF(AF2505&gt;69,"Cukup",IF(AF2505&gt;59,"Kurang","Sangat kurang")))))</f>
        <v/>
      </c>
      <c r="AJ2505" t="str">
        <f t="shared" si="119"/>
        <v>Wk.5</v>
      </c>
      <c r="AK2505" t="str">
        <f>IF(pub_gid_0_single_true_output_csv[[#This Row],[Nilai2]]="","",VLOOKUP(pub_gid_0_single_true_output_csv[[#This Row],[NAMA]],Table7[],3,FALSE))</f>
        <v>Average</v>
      </c>
    </row>
    <row r="2506" spans="1:37" x14ac:dyDescent="0.2">
      <c r="A2506">
        <v>2505</v>
      </c>
      <c r="B2506" t="s">
        <v>332</v>
      </c>
      <c r="C2506" t="s">
        <v>65</v>
      </c>
      <c r="D2506" t="s">
        <v>59</v>
      </c>
      <c r="E2506" t="s">
        <v>333</v>
      </c>
      <c r="F2506" s="25">
        <v>46044</v>
      </c>
      <c r="G2506" t="s">
        <v>305</v>
      </c>
      <c r="H2506" t="s">
        <v>405</v>
      </c>
      <c r="I2506" t="s">
        <v>371</v>
      </c>
      <c r="J2506" t="s">
        <v>41</v>
      </c>
      <c r="K2506" t="s">
        <v>396</v>
      </c>
      <c r="L2506" t="s">
        <v>383</v>
      </c>
      <c r="M2506" t="s">
        <v>141</v>
      </c>
      <c r="N2506" t="s">
        <v>142</v>
      </c>
      <c r="O2506" t="s">
        <v>327</v>
      </c>
      <c r="P2506" t="s">
        <v>281</v>
      </c>
      <c r="Q2506" t="s">
        <v>328</v>
      </c>
      <c r="R2506" t="s">
        <v>360</v>
      </c>
      <c r="S2506" t="s">
        <v>330</v>
      </c>
      <c r="T2506">
        <v>1</v>
      </c>
      <c r="U2506" t="s">
        <v>485</v>
      </c>
      <c r="V2506" t="s">
        <v>285</v>
      </c>
      <c r="W2506" t="s">
        <v>360</v>
      </c>
      <c r="X2506" t="s">
        <v>331</v>
      </c>
      <c r="Y2506" t="s">
        <v>307</v>
      </c>
      <c r="Z2506">
        <v>70</v>
      </c>
      <c r="AA2506">
        <v>90</v>
      </c>
      <c r="AB2506" t="s">
        <v>143</v>
      </c>
      <c r="AC2506" t="s">
        <v>51</v>
      </c>
      <c r="AD2506" t="s">
        <v>509</v>
      </c>
      <c r="AE2506" t="str">
        <f>IF(AF2506="","",VLOOKUP(AC2506,mapel!$A$2:$B$42,2,FALSE))</f>
        <v>Kopi</v>
      </c>
      <c r="AF2506">
        <f t="shared" si="117"/>
        <v>90</v>
      </c>
      <c r="AG2506" t="str">
        <f>IF(AF2506="","",IF(AF2506&gt;90,"Sangat baik",IF(AF2506&gt;79,"Baik",IF(AF2506&gt;=pub_gid_0_single_true_output_csv[[#This Row],[KKM]],"Cukup","Kurang"))))</f>
        <v>Baik</v>
      </c>
      <c r="AH2506">
        <f t="shared" si="118"/>
        <v>12</v>
      </c>
      <c r="AI2506" s="30" t="str">
        <f>IF(OR(J2506&lt;&gt;"Karakter",pub_gid_0_single_true_output_csv[[#This Row],[Nilai2]]=""),"",IF(AF2506&gt;89,"Sangat baik",IF(AF2506&gt;79,"Baik",IF(AF2506&gt;69,"Cukup",IF(AF2506&gt;59,"Kurang","Sangat kurang")))))</f>
        <v/>
      </c>
      <c r="AJ2506" t="str">
        <f t="shared" si="119"/>
        <v>Wk.4</v>
      </c>
      <c r="AK2506" t="str">
        <f>IF(pub_gid_0_single_true_output_csv[[#This Row],[Nilai2]]="","",VLOOKUP(pub_gid_0_single_true_output_csv[[#This Row],[NAMA]],Table7[],3,FALSE))</f>
        <v>Superior</v>
      </c>
    </row>
    <row r="2507" spans="1:37" x14ac:dyDescent="0.2">
      <c r="A2507">
        <v>2506</v>
      </c>
      <c r="B2507" t="s">
        <v>332</v>
      </c>
      <c r="C2507" t="s">
        <v>65</v>
      </c>
      <c r="D2507" t="s">
        <v>59</v>
      </c>
      <c r="E2507" t="s">
        <v>333</v>
      </c>
      <c r="F2507" s="25">
        <v>46049</v>
      </c>
      <c r="G2507" t="s">
        <v>373</v>
      </c>
      <c r="H2507" t="s">
        <v>405</v>
      </c>
      <c r="I2507" t="s">
        <v>371</v>
      </c>
      <c r="J2507" t="s">
        <v>90</v>
      </c>
      <c r="K2507" t="s">
        <v>366</v>
      </c>
      <c r="L2507" t="s">
        <v>368</v>
      </c>
      <c r="M2507" t="s">
        <v>141</v>
      </c>
      <c r="N2507" t="s">
        <v>142</v>
      </c>
      <c r="O2507" t="s">
        <v>327</v>
      </c>
      <c r="P2507" t="s">
        <v>281</v>
      </c>
      <c r="Q2507" t="s">
        <v>328</v>
      </c>
      <c r="R2507" t="s">
        <v>360</v>
      </c>
      <c r="S2507" t="s">
        <v>330</v>
      </c>
      <c r="T2507">
        <v>1</v>
      </c>
      <c r="U2507" t="s">
        <v>485</v>
      </c>
      <c r="V2507" t="s">
        <v>285</v>
      </c>
      <c r="W2507" t="s">
        <v>360</v>
      </c>
      <c r="X2507" t="s">
        <v>331</v>
      </c>
      <c r="Y2507" t="s">
        <v>307</v>
      </c>
      <c r="Z2507">
        <v>70</v>
      </c>
      <c r="AA2507">
        <v>85</v>
      </c>
      <c r="AB2507" t="s">
        <v>143</v>
      </c>
      <c r="AC2507" t="s">
        <v>51</v>
      </c>
      <c r="AD2507" t="s">
        <v>509</v>
      </c>
      <c r="AE2507" t="str">
        <f>IF(AF2507="","",VLOOKUP(AC2507,mapel!$A$2:$B$42,2,FALSE))</f>
        <v>Kopi</v>
      </c>
      <c r="AF2507">
        <f t="shared" si="117"/>
        <v>85</v>
      </c>
      <c r="AG2507" t="str">
        <f>IF(AF2507="","",IF(AF2507&gt;90,"Sangat baik",IF(AF2507&gt;79,"Baik",IF(AF2507&gt;=pub_gid_0_single_true_output_csv[[#This Row],[KKM]],"Cukup","Kurang"))))</f>
        <v>Baik</v>
      </c>
      <c r="AH2507">
        <f t="shared" si="118"/>
        <v>12</v>
      </c>
      <c r="AI2507" s="30" t="str">
        <f>IF(OR(J2507&lt;&gt;"Karakter",pub_gid_0_single_true_output_csv[[#This Row],[Nilai2]]=""),"",IF(AF2507&gt;89,"Sangat baik",IF(AF2507&gt;79,"Baik",IF(AF2507&gt;69,"Cukup",IF(AF2507&gt;59,"Kurang","Sangat kurang")))))</f>
        <v>Baik</v>
      </c>
      <c r="AJ2507" t="str">
        <f t="shared" si="119"/>
        <v>Wk.5</v>
      </c>
      <c r="AK2507" t="str">
        <f>IF(pub_gid_0_single_true_output_csv[[#This Row],[Nilai2]]="","",VLOOKUP(pub_gid_0_single_true_output_csv[[#This Row],[NAMA]],Table7[],3,FALSE))</f>
        <v>Superior</v>
      </c>
    </row>
    <row r="2508" spans="1:37" x14ac:dyDescent="0.2">
      <c r="A2508">
        <v>2507</v>
      </c>
      <c r="B2508" t="s">
        <v>332</v>
      </c>
      <c r="C2508" t="s">
        <v>65</v>
      </c>
      <c r="D2508" t="s">
        <v>59</v>
      </c>
      <c r="E2508" t="s">
        <v>333</v>
      </c>
      <c r="F2508" s="25">
        <v>46051</v>
      </c>
      <c r="G2508" t="s">
        <v>320</v>
      </c>
      <c r="H2508" t="s">
        <v>405</v>
      </c>
      <c r="I2508" t="s">
        <v>371</v>
      </c>
      <c r="J2508" t="s">
        <v>31</v>
      </c>
      <c r="K2508" t="s">
        <v>158</v>
      </c>
      <c r="L2508" t="s">
        <v>383</v>
      </c>
      <c r="M2508" t="s">
        <v>141</v>
      </c>
      <c r="N2508" t="s">
        <v>142</v>
      </c>
      <c r="O2508" t="s">
        <v>327</v>
      </c>
      <c r="P2508" t="s">
        <v>281</v>
      </c>
      <c r="Q2508" t="s">
        <v>328</v>
      </c>
      <c r="R2508" t="s">
        <v>360</v>
      </c>
      <c r="S2508" t="s">
        <v>330</v>
      </c>
      <c r="T2508">
        <v>1</v>
      </c>
      <c r="U2508" t="s">
        <v>485</v>
      </c>
      <c r="V2508" t="s">
        <v>285</v>
      </c>
      <c r="W2508" t="s">
        <v>360</v>
      </c>
      <c r="X2508" t="s">
        <v>331</v>
      </c>
      <c r="Y2508" t="s">
        <v>307</v>
      </c>
      <c r="Z2508">
        <v>70</v>
      </c>
      <c r="AA2508">
        <v>90</v>
      </c>
      <c r="AB2508" t="s">
        <v>143</v>
      </c>
      <c r="AC2508" t="s">
        <v>51</v>
      </c>
      <c r="AD2508" t="s">
        <v>509</v>
      </c>
      <c r="AE2508" t="str">
        <f>IF(AF2508="","",VLOOKUP(AC2508,mapel!$A$2:$B$42,2,FALSE))</f>
        <v>Kopi</v>
      </c>
      <c r="AF2508">
        <f t="shared" si="117"/>
        <v>90</v>
      </c>
      <c r="AG2508" t="str">
        <f>IF(AF2508="","",IF(AF2508&gt;90,"Sangat baik",IF(AF2508&gt;79,"Baik",IF(AF2508&gt;=pub_gid_0_single_true_output_csv[[#This Row],[KKM]],"Cukup","Kurang"))))</f>
        <v>Baik</v>
      </c>
      <c r="AH2508">
        <f t="shared" si="118"/>
        <v>12</v>
      </c>
      <c r="AI2508" s="30" t="str">
        <f>IF(OR(J2508&lt;&gt;"Karakter",pub_gid_0_single_true_output_csv[[#This Row],[Nilai2]]=""),"",IF(AF2508&gt;89,"Sangat baik",IF(AF2508&gt;79,"Baik",IF(AF2508&gt;69,"Cukup",IF(AF2508&gt;59,"Kurang","Sangat kurang")))))</f>
        <v/>
      </c>
      <c r="AJ2508" t="str">
        <f t="shared" si="119"/>
        <v>Wk.5</v>
      </c>
      <c r="AK2508" t="str">
        <f>IF(pub_gid_0_single_true_output_csv[[#This Row],[Nilai2]]="","",VLOOKUP(pub_gid_0_single_true_output_csv[[#This Row],[NAMA]],Table7[],3,FALSE))</f>
        <v>Superior</v>
      </c>
    </row>
    <row r="2509" spans="1:37" x14ac:dyDescent="0.2">
      <c r="A2509">
        <v>2508</v>
      </c>
      <c r="B2509" t="s">
        <v>315</v>
      </c>
      <c r="C2509" t="s">
        <v>65</v>
      </c>
      <c r="D2509" t="s">
        <v>60</v>
      </c>
      <c r="E2509" t="s">
        <v>140</v>
      </c>
      <c r="F2509" s="25">
        <v>46044</v>
      </c>
      <c r="G2509" t="s">
        <v>305</v>
      </c>
      <c r="H2509" t="s">
        <v>405</v>
      </c>
      <c r="I2509" t="s">
        <v>371</v>
      </c>
      <c r="J2509" t="s">
        <v>41</v>
      </c>
      <c r="K2509" t="s">
        <v>396</v>
      </c>
      <c r="L2509" t="s">
        <v>383</v>
      </c>
      <c r="M2509" t="s">
        <v>141</v>
      </c>
      <c r="N2509" t="s">
        <v>142</v>
      </c>
      <c r="O2509" t="s">
        <v>327</v>
      </c>
      <c r="P2509" t="s">
        <v>281</v>
      </c>
      <c r="Q2509" t="s">
        <v>328</v>
      </c>
      <c r="R2509" t="s">
        <v>360</v>
      </c>
      <c r="S2509" t="s">
        <v>330</v>
      </c>
      <c r="T2509">
        <v>1</v>
      </c>
      <c r="U2509" t="s">
        <v>485</v>
      </c>
      <c r="V2509" t="s">
        <v>285</v>
      </c>
      <c r="W2509" t="s">
        <v>360</v>
      </c>
      <c r="X2509" t="s">
        <v>331</v>
      </c>
      <c r="Y2509" t="s">
        <v>307</v>
      </c>
      <c r="Z2509">
        <v>70</v>
      </c>
      <c r="AA2509">
        <v>80</v>
      </c>
      <c r="AB2509" t="s">
        <v>143</v>
      </c>
      <c r="AC2509" t="s">
        <v>51</v>
      </c>
      <c r="AD2509" t="s">
        <v>509</v>
      </c>
      <c r="AE2509" t="str">
        <f>IF(AF2509="","",VLOOKUP(AC2509,mapel!$A$2:$B$42,2,FALSE))</f>
        <v>Kopi</v>
      </c>
      <c r="AF2509">
        <f t="shared" si="117"/>
        <v>80</v>
      </c>
      <c r="AG2509" t="str">
        <f>IF(AF2509="","",IF(AF2509&gt;90,"Sangat baik",IF(AF2509&gt;79,"Baik",IF(AF2509&gt;=pub_gid_0_single_true_output_csv[[#This Row],[KKM]],"Cukup","Kurang"))))</f>
        <v>Baik</v>
      </c>
      <c r="AH2509">
        <f t="shared" si="118"/>
        <v>12</v>
      </c>
      <c r="AI2509" s="30" t="str">
        <f>IF(OR(J2509&lt;&gt;"Karakter",pub_gid_0_single_true_output_csv[[#This Row],[Nilai2]]=""),"",IF(AF2509&gt;89,"Sangat baik",IF(AF2509&gt;79,"Baik",IF(AF2509&gt;69,"Cukup",IF(AF2509&gt;59,"Kurang","Sangat kurang")))))</f>
        <v/>
      </c>
      <c r="AJ2509" t="str">
        <f t="shared" si="119"/>
        <v>Wk.4</v>
      </c>
      <c r="AK2509" t="str">
        <f>IF(pub_gid_0_single_true_output_csv[[#This Row],[Nilai2]]="","",VLOOKUP(pub_gid_0_single_true_output_csv[[#This Row],[NAMA]],Table7[],3,FALSE))</f>
        <v>High average</v>
      </c>
    </row>
    <row r="2510" spans="1:37" x14ac:dyDescent="0.2">
      <c r="A2510">
        <v>2509</v>
      </c>
      <c r="B2510" t="s">
        <v>315</v>
      </c>
      <c r="C2510" t="s">
        <v>65</v>
      </c>
      <c r="D2510" t="s">
        <v>60</v>
      </c>
      <c r="E2510" t="s">
        <v>140</v>
      </c>
      <c r="F2510" s="25">
        <v>46049</v>
      </c>
      <c r="G2510" t="s">
        <v>373</v>
      </c>
      <c r="H2510" t="s">
        <v>405</v>
      </c>
      <c r="I2510" t="s">
        <v>371</v>
      </c>
      <c r="J2510" t="s">
        <v>90</v>
      </c>
      <c r="K2510" t="s">
        <v>366</v>
      </c>
      <c r="L2510" t="s">
        <v>368</v>
      </c>
      <c r="M2510" t="s">
        <v>141</v>
      </c>
      <c r="N2510" t="s">
        <v>142</v>
      </c>
      <c r="O2510" t="s">
        <v>327</v>
      </c>
      <c r="P2510" t="s">
        <v>281</v>
      </c>
      <c r="Q2510" t="s">
        <v>328</v>
      </c>
      <c r="R2510" t="s">
        <v>360</v>
      </c>
      <c r="S2510" t="s">
        <v>330</v>
      </c>
      <c r="T2510">
        <v>1</v>
      </c>
      <c r="U2510" t="s">
        <v>485</v>
      </c>
      <c r="V2510" t="s">
        <v>285</v>
      </c>
      <c r="W2510" t="s">
        <v>360</v>
      </c>
      <c r="X2510" t="s">
        <v>331</v>
      </c>
      <c r="Y2510" t="s">
        <v>307</v>
      </c>
      <c r="Z2510">
        <v>70</v>
      </c>
      <c r="AA2510">
        <v>80</v>
      </c>
      <c r="AB2510" t="s">
        <v>143</v>
      </c>
      <c r="AC2510" t="s">
        <v>51</v>
      </c>
      <c r="AD2510" t="s">
        <v>509</v>
      </c>
      <c r="AE2510" t="str">
        <f>IF(AF2510="","",VLOOKUP(AC2510,mapel!$A$2:$B$42,2,FALSE))</f>
        <v>Kopi</v>
      </c>
      <c r="AF2510">
        <f t="shared" si="117"/>
        <v>80</v>
      </c>
      <c r="AG2510" t="str">
        <f>IF(AF2510="","",IF(AF2510&gt;90,"Sangat baik",IF(AF2510&gt;79,"Baik",IF(AF2510&gt;=pub_gid_0_single_true_output_csv[[#This Row],[KKM]],"Cukup","Kurang"))))</f>
        <v>Baik</v>
      </c>
      <c r="AH2510">
        <f t="shared" si="118"/>
        <v>12</v>
      </c>
      <c r="AI2510" s="30" t="str">
        <f>IF(OR(J2510&lt;&gt;"Karakter",pub_gid_0_single_true_output_csv[[#This Row],[Nilai2]]=""),"",IF(AF2510&gt;89,"Sangat baik",IF(AF2510&gt;79,"Baik",IF(AF2510&gt;69,"Cukup",IF(AF2510&gt;59,"Kurang","Sangat kurang")))))</f>
        <v>Baik</v>
      </c>
      <c r="AJ2510" t="str">
        <f t="shared" si="119"/>
        <v>Wk.5</v>
      </c>
      <c r="AK2510" t="str">
        <f>IF(pub_gid_0_single_true_output_csv[[#This Row],[Nilai2]]="","",VLOOKUP(pub_gid_0_single_true_output_csv[[#This Row],[NAMA]],Table7[],3,FALSE))</f>
        <v>High average</v>
      </c>
    </row>
    <row r="2511" spans="1:37" x14ac:dyDescent="0.2">
      <c r="A2511">
        <v>2510</v>
      </c>
      <c r="B2511" t="s">
        <v>315</v>
      </c>
      <c r="C2511" t="s">
        <v>65</v>
      </c>
      <c r="D2511" t="s">
        <v>60</v>
      </c>
      <c r="E2511" t="s">
        <v>140</v>
      </c>
      <c r="F2511" s="25">
        <v>46051</v>
      </c>
      <c r="G2511" t="s">
        <v>320</v>
      </c>
      <c r="H2511" t="s">
        <v>405</v>
      </c>
      <c r="I2511" t="s">
        <v>371</v>
      </c>
      <c r="J2511" t="s">
        <v>31</v>
      </c>
      <c r="K2511" t="s">
        <v>158</v>
      </c>
      <c r="L2511" t="s">
        <v>383</v>
      </c>
      <c r="M2511" t="s">
        <v>141</v>
      </c>
      <c r="N2511" t="s">
        <v>142</v>
      </c>
      <c r="O2511" t="s">
        <v>327</v>
      </c>
      <c r="P2511" t="s">
        <v>281</v>
      </c>
      <c r="Q2511" t="s">
        <v>328</v>
      </c>
      <c r="R2511" t="s">
        <v>360</v>
      </c>
      <c r="S2511" t="s">
        <v>330</v>
      </c>
      <c r="T2511">
        <v>1</v>
      </c>
      <c r="U2511" t="s">
        <v>485</v>
      </c>
      <c r="V2511" t="s">
        <v>285</v>
      </c>
      <c r="W2511" t="s">
        <v>360</v>
      </c>
      <c r="X2511" t="s">
        <v>331</v>
      </c>
      <c r="Y2511" t="s">
        <v>307</v>
      </c>
      <c r="Z2511">
        <v>70</v>
      </c>
      <c r="AA2511">
        <v>85</v>
      </c>
      <c r="AB2511" t="s">
        <v>143</v>
      </c>
      <c r="AC2511" t="s">
        <v>51</v>
      </c>
      <c r="AD2511" t="s">
        <v>509</v>
      </c>
      <c r="AE2511" t="str">
        <f>IF(AF2511="","",VLOOKUP(AC2511,mapel!$A$2:$B$42,2,FALSE))</f>
        <v>Kopi</v>
      </c>
      <c r="AF2511">
        <f t="shared" si="117"/>
        <v>85</v>
      </c>
      <c r="AG2511" t="str">
        <f>IF(AF2511="","",IF(AF2511&gt;90,"Sangat baik",IF(AF2511&gt;79,"Baik",IF(AF2511&gt;=pub_gid_0_single_true_output_csv[[#This Row],[KKM]],"Cukup","Kurang"))))</f>
        <v>Baik</v>
      </c>
      <c r="AH2511">
        <f t="shared" si="118"/>
        <v>12</v>
      </c>
      <c r="AI2511" s="30" t="str">
        <f>IF(OR(J2511&lt;&gt;"Karakter",pub_gid_0_single_true_output_csv[[#This Row],[Nilai2]]=""),"",IF(AF2511&gt;89,"Sangat baik",IF(AF2511&gt;79,"Baik",IF(AF2511&gt;69,"Cukup",IF(AF2511&gt;59,"Kurang","Sangat kurang")))))</f>
        <v/>
      </c>
      <c r="AJ2511" t="str">
        <f t="shared" si="119"/>
        <v>Wk.5</v>
      </c>
      <c r="AK2511" t="str">
        <f>IF(pub_gid_0_single_true_output_csv[[#This Row],[Nilai2]]="","",VLOOKUP(pub_gid_0_single_true_output_csv[[#This Row],[NAMA]],Table7[],3,FALSE))</f>
        <v>High average</v>
      </c>
    </row>
    <row r="2512" spans="1:37" x14ac:dyDescent="0.2">
      <c r="A2512">
        <v>2511</v>
      </c>
      <c r="B2512" t="s">
        <v>316</v>
      </c>
      <c r="C2512" t="s">
        <v>65</v>
      </c>
      <c r="D2512" t="s">
        <v>61</v>
      </c>
      <c r="E2512" t="s">
        <v>140</v>
      </c>
      <c r="F2512" s="25">
        <v>46044</v>
      </c>
      <c r="G2512" t="s">
        <v>305</v>
      </c>
      <c r="H2512" t="s">
        <v>405</v>
      </c>
      <c r="I2512" t="s">
        <v>371</v>
      </c>
      <c r="J2512" t="s">
        <v>41</v>
      </c>
      <c r="K2512" t="s">
        <v>396</v>
      </c>
      <c r="L2512" t="s">
        <v>383</v>
      </c>
      <c r="M2512" t="s">
        <v>141</v>
      </c>
      <c r="N2512" t="s">
        <v>142</v>
      </c>
      <c r="O2512" t="s">
        <v>327</v>
      </c>
      <c r="P2512" t="s">
        <v>281</v>
      </c>
      <c r="Q2512" t="s">
        <v>328</v>
      </c>
      <c r="R2512" t="s">
        <v>360</v>
      </c>
      <c r="S2512" t="s">
        <v>330</v>
      </c>
      <c r="T2512">
        <v>1</v>
      </c>
      <c r="U2512" t="s">
        <v>485</v>
      </c>
      <c r="V2512" t="s">
        <v>285</v>
      </c>
      <c r="W2512" t="s">
        <v>360</v>
      </c>
      <c r="X2512" t="s">
        <v>331</v>
      </c>
      <c r="Y2512" t="s">
        <v>307</v>
      </c>
      <c r="Z2512">
        <v>70</v>
      </c>
      <c r="AA2512">
        <v>0</v>
      </c>
      <c r="AB2512" t="s">
        <v>151</v>
      </c>
      <c r="AC2512" t="s">
        <v>51</v>
      </c>
      <c r="AD2512" t="s">
        <v>509</v>
      </c>
      <c r="AE2512" t="str">
        <f>IF(AF2512="","",VLOOKUP(AC2512,mapel!$A$2:$B$42,2,FALSE))</f>
        <v/>
      </c>
      <c r="AF2512" t="str">
        <f t="shared" si="117"/>
        <v/>
      </c>
      <c r="AG2512" t="str">
        <f>IF(AF2512="","",IF(AF2512&gt;90,"Sangat baik",IF(AF2512&gt;79,"Baik",IF(AF2512&gt;=pub_gid_0_single_true_output_csv[[#This Row],[KKM]],"Cukup","Kurang"))))</f>
        <v/>
      </c>
      <c r="AH2512" t="str">
        <f t="shared" si="118"/>
        <v/>
      </c>
      <c r="AI2512" s="30" t="str">
        <f>IF(OR(J2512&lt;&gt;"Karakter",pub_gid_0_single_true_output_csv[[#This Row],[Nilai2]]=""),"",IF(AF2512&gt;89,"Sangat baik",IF(AF2512&gt;79,"Baik",IF(AF2512&gt;69,"Cukup",IF(AF2512&gt;59,"Kurang","Sangat kurang")))))</f>
        <v/>
      </c>
      <c r="AJ2512" t="str">
        <f t="shared" si="119"/>
        <v/>
      </c>
      <c r="AK2512" t="str">
        <f>IF(pub_gid_0_single_true_output_csv[[#This Row],[Nilai2]]="","",VLOOKUP(pub_gid_0_single_true_output_csv[[#This Row],[NAMA]],Table7[],3,FALSE))</f>
        <v/>
      </c>
    </row>
    <row r="2513" spans="1:37" x14ac:dyDescent="0.2">
      <c r="A2513">
        <v>2512</v>
      </c>
      <c r="B2513" t="s">
        <v>316</v>
      </c>
      <c r="C2513" t="s">
        <v>65</v>
      </c>
      <c r="D2513" t="s">
        <v>61</v>
      </c>
      <c r="E2513" t="s">
        <v>140</v>
      </c>
      <c r="F2513" s="25">
        <v>46049</v>
      </c>
      <c r="G2513" t="s">
        <v>373</v>
      </c>
      <c r="H2513" t="s">
        <v>405</v>
      </c>
      <c r="I2513" t="s">
        <v>371</v>
      </c>
      <c r="J2513" t="s">
        <v>90</v>
      </c>
      <c r="K2513" t="s">
        <v>366</v>
      </c>
      <c r="L2513" t="s">
        <v>368</v>
      </c>
      <c r="M2513" t="s">
        <v>141</v>
      </c>
      <c r="N2513" t="s">
        <v>142</v>
      </c>
      <c r="O2513" t="s">
        <v>327</v>
      </c>
      <c r="P2513" t="s">
        <v>281</v>
      </c>
      <c r="Q2513" t="s">
        <v>328</v>
      </c>
      <c r="R2513" t="s">
        <v>360</v>
      </c>
      <c r="S2513" t="s">
        <v>330</v>
      </c>
      <c r="T2513">
        <v>1</v>
      </c>
      <c r="U2513" t="s">
        <v>485</v>
      </c>
      <c r="V2513" t="s">
        <v>285</v>
      </c>
      <c r="W2513" t="s">
        <v>360</v>
      </c>
      <c r="X2513" t="s">
        <v>331</v>
      </c>
      <c r="Y2513" t="s">
        <v>307</v>
      </c>
      <c r="Z2513">
        <v>70</v>
      </c>
      <c r="AA2513">
        <v>0</v>
      </c>
      <c r="AB2513" t="s">
        <v>151</v>
      </c>
      <c r="AC2513" t="s">
        <v>51</v>
      </c>
      <c r="AD2513" t="s">
        <v>509</v>
      </c>
      <c r="AE2513" t="str">
        <f>IF(AF2513="","",VLOOKUP(AC2513,mapel!$A$2:$B$42,2,FALSE))</f>
        <v/>
      </c>
      <c r="AF2513" t="str">
        <f t="shared" si="117"/>
        <v/>
      </c>
      <c r="AG2513" t="str">
        <f>IF(AF2513="","",IF(AF2513&gt;90,"Sangat baik",IF(AF2513&gt;79,"Baik",IF(AF2513&gt;=pub_gid_0_single_true_output_csv[[#This Row],[KKM]],"Cukup","Kurang"))))</f>
        <v/>
      </c>
      <c r="AH2513" t="str">
        <f t="shared" si="118"/>
        <v/>
      </c>
      <c r="AI2513" s="30" t="str">
        <f>IF(OR(J2513&lt;&gt;"Karakter",pub_gid_0_single_true_output_csv[[#This Row],[Nilai2]]=""),"",IF(AF2513&gt;89,"Sangat baik",IF(AF2513&gt;79,"Baik",IF(AF2513&gt;69,"Cukup",IF(AF2513&gt;59,"Kurang","Sangat kurang")))))</f>
        <v/>
      </c>
      <c r="AJ2513" t="str">
        <f t="shared" si="119"/>
        <v/>
      </c>
      <c r="AK2513" t="str">
        <f>IF(pub_gid_0_single_true_output_csv[[#This Row],[Nilai2]]="","",VLOOKUP(pub_gid_0_single_true_output_csv[[#This Row],[NAMA]],Table7[],3,FALSE))</f>
        <v/>
      </c>
    </row>
    <row r="2514" spans="1:37" x14ac:dyDescent="0.2">
      <c r="A2514">
        <v>2513</v>
      </c>
      <c r="B2514" t="s">
        <v>316</v>
      </c>
      <c r="C2514" t="s">
        <v>65</v>
      </c>
      <c r="D2514" t="s">
        <v>61</v>
      </c>
      <c r="E2514" t="s">
        <v>140</v>
      </c>
      <c r="F2514" s="25">
        <v>46051</v>
      </c>
      <c r="G2514" t="s">
        <v>320</v>
      </c>
      <c r="H2514" t="s">
        <v>405</v>
      </c>
      <c r="I2514" t="s">
        <v>371</v>
      </c>
      <c r="J2514" t="s">
        <v>31</v>
      </c>
      <c r="K2514" t="s">
        <v>158</v>
      </c>
      <c r="L2514" t="s">
        <v>383</v>
      </c>
      <c r="M2514" t="s">
        <v>141</v>
      </c>
      <c r="N2514" t="s">
        <v>142</v>
      </c>
      <c r="O2514" t="s">
        <v>327</v>
      </c>
      <c r="P2514" t="s">
        <v>281</v>
      </c>
      <c r="Q2514" t="s">
        <v>328</v>
      </c>
      <c r="R2514" t="s">
        <v>360</v>
      </c>
      <c r="S2514" t="s">
        <v>330</v>
      </c>
      <c r="T2514">
        <v>1</v>
      </c>
      <c r="U2514" t="s">
        <v>485</v>
      </c>
      <c r="V2514" t="s">
        <v>285</v>
      </c>
      <c r="W2514" t="s">
        <v>360</v>
      </c>
      <c r="X2514" t="s">
        <v>331</v>
      </c>
      <c r="Y2514" t="s">
        <v>307</v>
      </c>
      <c r="Z2514">
        <v>70</v>
      </c>
      <c r="AA2514">
        <v>0</v>
      </c>
      <c r="AB2514" t="s">
        <v>151</v>
      </c>
      <c r="AC2514" t="s">
        <v>51</v>
      </c>
      <c r="AD2514" t="s">
        <v>509</v>
      </c>
      <c r="AE2514" t="str">
        <f>IF(AF2514="","",VLOOKUP(AC2514,mapel!$A$2:$B$42,2,FALSE))</f>
        <v/>
      </c>
      <c r="AF2514" t="str">
        <f t="shared" si="117"/>
        <v/>
      </c>
      <c r="AG2514" t="str">
        <f>IF(AF2514="","",IF(AF2514&gt;90,"Sangat baik",IF(AF2514&gt;79,"Baik",IF(AF2514&gt;=pub_gid_0_single_true_output_csv[[#This Row],[KKM]],"Cukup","Kurang"))))</f>
        <v/>
      </c>
      <c r="AH2514" t="str">
        <f t="shared" si="118"/>
        <v/>
      </c>
      <c r="AI2514" s="30" t="str">
        <f>IF(OR(J2514&lt;&gt;"Karakter",pub_gid_0_single_true_output_csv[[#This Row],[Nilai2]]=""),"",IF(AF2514&gt;89,"Sangat baik",IF(AF2514&gt;79,"Baik",IF(AF2514&gt;69,"Cukup",IF(AF2514&gt;59,"Kurang","Sangat kurang")))))</f>
        <v/>
      </c>
      <c r="AJ2514" t="str">
        <f t="shared" si="119"/>
        <v/>
      </c>
      <c r="AK2514" t="str">
        <f>IF(pub_gid_0_single_true_output_csv[[#This Row],[Nilai2]]="","",VLOOKUP(pub_gid_0_single_true_output_csv[[#This Row],[NAMA]],Table7[],3,FALSE))</f>
        <v/>
      </c>
    </row>
    <row r="2515" spans="1:37" x14ac:dyDescent="0.2">
      <c r="A2515">
        <v>2514</v>
      </c>
      <c r="B2515" t="s">
        <v>317</v>
      </c>
      <c r="C2515" t="s">
        <v>65</v>
      </c>
      <c r="D2515" t="s">
        <v>62</v>
      </c>
      <c r="E2515" t="s">
        <v>140</v>
      </c>
      <c r="F2515" s="25">
        <v>46044</v>
      </c>
      <c r="G2515" t="s">
        <v>305</v>
      </c>
      <c r="H2515" t="s">
        <v>405</v>
      </c>
      <c r="I2515" t="s">
        <v>371</v>
      </c>
      <c r="J2515" t="s">
        <v>41</v>
      </c>
      <c r="K2515" t="s">
        <v>396</v>
      </c>
      <c r="L2515" t="s">
        <v>383</v>
      </c>
      <c r="M2515" t="s">
        <v>141</v>
      </c>
      <c r="N2515" t="s">
        <v>142</v>
      </c>
      <c r="O2515" t="s">
        <v>327</v>
      </c>
      <c r="P2515" t="s">
        <v>281</v>
      </c>
      <c r="Q2515" t="s">
        <v>328</v>
      </c>
      <c r="R2515" t="s">
        <v>360</v>
      </c>
      <c r="S2515" t="s">
        <v>330</v>
      </c>
      <c r="T2515">
        <v>1</v>
      </c>
      <c r="U2515" t="s">
        <v>485</v>
      </c>
      <c r="V2515" t="s">
        <v>285</v>
      </c>
      <c r="W2515" t="s">
        <v>360</v>
      </c>
      <c r="X2515" t="s">
        <v>331</v>
      </c>
      <c r="Y2515" t="s">
        <v>307</v>
      </c>
      <c r="Z2515">
        <v>70</v>
      </c>
      <c r="AA2515">
        <v>0</v>
      </c>
      <c r="AB2515" t="s">
        <v>151</v>
      </c>
      <c r="AC2515" t="s">
        <v>51</v>
      </c>
      <c r="AD2515" t="s">
        <v>509</v>
      </c>
      <c r="AE2515" t="str">
        <f>IF(AF2515="","",VLOOKUP(AC2515,mapel!$A$2:$B$42,2,FALSE))</f>
        <v/>
      </c>
      <c r="AF2515" t="str">
        <f t="shared" si="117"/>
        <v/>
      </c>
      <c r="AG2515" t="str">
        <f>IF(AF2515="","",IF(AF2515&gt;90,"Sangat baik",IF(AF2515&gt;79,"Baik",IF(AF2515&gt;=pub_gid_0_single_true_output_csv[[#This Row],[KKM]],"Cukup","Kurang"))))</f>
        <v/>
      </c>
      <c r="AH2515" t="str">
        <f t="shared" si="118"/>
        <v/>
      </c>
      <c r="AI2515" s="30" t="str">
        <f>IF(OR(J2515&lt;&gt;"Karakter",pub_gid_0_single_true_output_csv[[#This Row],[Nilai2]]=""),"",IF(AF2515&gt;89,"Sangat baik",IF(AF2515&gt;79,"Baik",IF(AF2515&gt;69,"Cukup",IF(AF2515&gt;59,"Kurang","Sangat kurang")))))</f>
        <v/>
      </c>
      <c r="AJ2515" t="str">
        <f t="shared" si="119"/>
        <v/>
      </c>
      <c r="AK2515" t="str">
        <f>IF(pub_gid_0_single_true_output_csv[[#This Row],[Nilai2]]="","",VLOOKUP(pub_gid_0_single_true_output_csv[[#This Row],[NAMA]],Table7[],3,FALSE))</f>
        <v/>
      </c>
    </row>
    <row r="2516" spans="1:37" x14ac:dyDescent="0.2">
      <c r="A2516">
        <v>2515</v>
      </c>
      <c r="B2516" t="s">
        <v>317</v>
      </c>
      <c r="C2516" t="s">
        <v>65</v>
      </c>
      <c r="D2516" t="s">
        <v>62</v>
      </c>
      <c r="E2516" t="s">
        <v>140</v>
      </c>
      <c r="F2516" s="25">
        <v>46049</v>
      </c>
      <c r="G2516" t="s">
        <v>373</v>
      </c>
      <c r="H2516" t="s">
        <v>405</v>
      </c>
      <c r="I2516" t="s">
        <v>371</v>
      </c>
      <c r="J2516" t="s">
        <v>90</v>
      </c>
      <c r="K2516" t="s">
        <v>366</v>
      </c>
      <c r="L2516" t="s">
        <v>368</v>
      </c>
      <c r="M2516" t="s">
        <v>141</v>
      </c>
      <c r="N2516" t="s">
        <v>142</v>
      </c>
      <c r="O2516" t="s">
        <v>327</v>
      </c>
      <c r="P2516" t="s">
        <v>281</v>
      </c>
      <c r="Q2516" t="s">
        <v>328</v>
      </c>
      <c r="R2516" t="s">
        <v>360</v>
      </c>
      <c r="S2516" t="s">
        <v>330</v>
      </c>
      <c r="T2516">
        <v>1</v>
      </c>
      <c r="U2516" t="s">
        <v>485</v>
      </c>
      <c r="V2516" t="s">
        <v>285</v>
      </c>
      <c r="W2516" t="s">
        <v>360</v>
      </c>
      <c r="X2516" t="s">
        <v>331</v>
      </c>
      <c r="Y2516" t="s">
        <v>307</v>
      </c>
      <c r="Z2516">
        <v>70</v>
      </c>
      <c r="AA2516">
        <v>0</v>
      </c>
      <c r="AB2516" t="s">
        <v>151</v>
      </c>
      <c r="AC2516" t="s">
        <v>51</v>
      </c>
      <c r="AD2516" t="s">
        <v>509</v>
      </c>
      <c r="AE2516" t="str">
        <f>IF(AF2516="","",VLOOKUP(AC2516,mapel!$A$2:$B$42,2,FALSE))</f>
        <v/>
      </c>
      <c r="AF2516" t="str">
        <f t="shared" si="117"/>
        <v/>
      </c>
      <c r="AG2516" t="str">
        <f>IF(AF2516="","",IF(AF2516&gt;90,"Sangat baik",IF(AF2516&gt;79,"Baik",IF(AF2516&gt;=pub_gid_0_single_true_output_csv[[#This Row],[KKM]],"Cukup","Kurang"))))</f>
        <v/>
      </c>
      <c r="AH2516" t="str">
        <f t="shared" si="118"/>
        <v/>
      </c>
      <c r="AI2516" s="30" t="str">
        <f>IF(OR(J2516&lt;&gt;"Karakter",pub_gid_0_single_true_output_csv[[#This Row],[Nilai2]]=""),"",IF(AF2516&gt;89,"Sangat baik",IF(AF2516&gt;79,"Baik",IF(AF2516&gt;69,"Cukup",IF(AF2516&gt;59,"Kurang","Sangat kurang")))))</f>
        <v/>
      </c>
      <c r="AJ2516" t="str">
        <f t="shared" si="119"/>
        <v/>
      </c>
      <c r="AK2516" t="str">
        <f>IF(pub_gid_0_single_true_output_csv[[#This Row],[Nilai2]]="","",VLOOKUP(pub_gid_0_single_true_output_csv[[#This Row],[NAMA]],Table7[],3,FALSE))</f>
        <v/>
      </c>
    </row>
    <row r="2517" spans="1:37" x14ac:dyDescent="0.2">
      <c r="A2517">
        <v>2516</v>
      </c>
      <c r="B2517" t="s">
        <v>317</v>
      </c>
      <c r="C2517" t="s">
        <v>65</v>
      </c>
      <c r="D2517" t="s">
        <v>62</v>
      </c>
      <c r="E2517" t="s">
        <v>140</v>
      </c>
      <c r="F2517" s="25">
        <v>46051</v>
      </c>
      <c r="G2517" t="s">
        <v>320</v>
      </c>
      <c r="H2517" t="s">
        <v>405</v>
      </c>
      <c r="I2517" t="s">
        <v>371</v>
      </c>
      <c r="J2517" t="s">
        <v>31</v>
      </c>
      <c r="K2517" t="s">
        <v>158</v>
      </c>
      <c r="L2517" t="s">
        <v>383</v>
      </c>
      <c r="M2517" t="s">
        <v>141</v>
      </c>
      <c r="N2517" t="s">
        <v>142</v>
      </c>
      <c r="O2517" t="s">
        <v>327</v>
      </c>
      <c r="P2517" t="s">
        <v>281</v>
      </c>
      <c r="Q2517" t="s">
        <v>328</v>
      </c>
      <c r="R2517" t="s">
        <v>360</v>
      </c>
      <c r="S2517" t="s">
        <v>330</v>
      </c>
      <c r="T2517">
        <v>1</v>
      </c>
      <c r="U2517" t="s">
        <v>485</v>
      </c>
      <c r="V2517" t="s">
        <v>285</v>
      </c>
      <c r="W2517" t="s">
        <v>360</v>
      </c>
      <c r="X2517" t="s">
        <v>331</v>
      </c>
      <c r="Y2517" t="s">
        <v>307</v>
      </c>
      <c r="Z2517">
        <v>70</v>
      </c>
      <c r="AA2517">
        <v>0</v>
      </c>
      <c r="AB2517" t="s">
        <v>151</v>
      </c>
      <c r="AC2517" t="s">
        <v>51</v>
      </c>
      <c r="AD2517" t="s">
        <v>509</v>
      </c>
      <c r="AE2517" t="str">
        <f>IF(AF2517="","",VLOOKUP(AC2517,mapel!$A$2:$B$42,2,FALSE))</f>
        <v/>
      </c>
      <c r="AF2517" t="str">
        <f t="shared" si="117"/>
        <v/>
      </c>
      <c r="AG2517" t="str">
        <f>IF(AF2517="","",IF(AF2517&gt;90,"Sangat baik",IF(AF2517&gt;79,"Baik",IF(AF2517&gt;=pub_gid_0_single_true_output_csv[[#This Row],[KKM]],"Cukup","Kurang"))))</f>
        <v/>
      </c>
      <c r="AH2517" t="str">
        <f t="shared" si="118"/>
        <v/>
      </c>
      <c r="AI2517" s="30" t="str">
        <f>IF(OR(J2517&lt;&gt;"Karakter",pub_gid_0_single_true_output_csv[[#This Row],[Nilai2]]=""),"",IF(AF2517&gt;89,"Sangat baik",IF(AF2517&gt;79,"Baik",IF(AF2517&gt;69,"Cukup",IF(AF2517&gt;59,"Kurang","Sangat kurang")))))</f>
        <v/>
      </c>
      <c r="AJ2517" t="str">
        <f t="shared" si="119"/>
        <v/>
      </c>
      <c r="AK2517" t="str">
        <f>IF(pub_gid_0_single_true_output_csv[[#This Row],[Nilai2]]="","",VLOOKUP(pub_gid_0_single_true_output_csv[[#This Row],[NAMA]],Table7[],3,FALSE))</f>
        <v/>
      </c>
    </row>
    <row r="2518" spans="1:37" x14ac:dyDescent="0.2">
      <c r="A2518">
        <v>2517</v>
      </c>
      <c r="B2518" t="s">
        <v>318</v>
      </c>
      <c r="C2518" t="s">
        <v>65</v>
      </c>
      <c r="D2518" t="s">
        <v>63</v>
      </c>
      <c r="E2518" t="s">
        <v>140</v>
      </c>
      <c r="F2518" s="25">
        <v>46044</v>
      </c>
      <c r="G2518" t="s">
        <v>305</v>
      </c>
      <c r="H2518" t="s">
        <v>405</v>
      </c>
      <c r="I2518" t="s">
        <v>371</v>
      </c>
      <c r="J2518" t="s">
        <v>41</v>
      </c>
      <c r="K2518" t="s">
        <v>396</v>
      </c>
      <c r="L2518" t="s">
        <v>383</v>
      </c>
      <c r="M2518" t="s">
        <v>141</v>
      </c>
      <c r="N2518" t="s">
        <v>142</v>
      </c>
      <c r="O2518" t="s">
        <v>327</v>
      </c>
      <c r="P2518" t="s">
        <v>281</v>
      </c>
      <c r="Q2518" t="s">
        <v>328</v>
      </c>
      <c r="R2518" t="s">
        <v>360</v>
      </c>
      <c r="S2518" t="s">
        <v>330</v>
      </c>
      <c r="T2518">
        <v>1</v>
      </c>
      <c r="U2518" t="s">
        <v>485</v>
      </c>
      <c r="V2518" t="s">
        <v>285</v>
      </c>
      <c r="W2518" t="s">
        <v>360</v>
      </c>
      <c r="X2518" t="s">
        <v>331</v>
      </c>
      <c r="Y2518" t="s">
        <v>307</v>
      </c>
      <c r="Z2518">
        <v>70</v>
      </c>
      <c r="AA2518">
        <v>80</v>
      </c>
      <c r="AB2518" t="s">
        <v>143</v>
      </c>
      <c r="AC2518" t="s">
        <v>51</v>
      </c>
      <c r="AD2518" t="s">
        <v>509</v>
      </c>
      <c r="AE2518" t="str">
        <f>IF(AF2518="","",VLOOKUP(AC2518,mapel!$A$2:$B$42,2,FALSE))</f>
        <v>Kopi</v>
      </c>
      <c r="AF2518">
        <f t="shared" si="117"/>
        <v>80</v>
      </c>
      <c r="AG2518" t="str">
        <f>IF(AF2518="","",IF(AF2518&gt;90,"Sangat baik",IF(AF2518&gt;79,"Baik",IF(AF2518&gt;=pub_gid_0_single_true_output_csv[[#This Row],[KKM]],"Cukup","Kurang"))))</f>
        <v>Baik</v>
      </c>
      <c r="AH2518">
        <f t="shared" si="118"/>
        <v>12</v>
      </c>
      <c r="AI2518" s="30" t="str">
        <f>IF(OR(J2518&lt;&gt;"Karakter",pub_gid_0_single_true_output_csv[[#This Row],[Nilai2]]=""),"",IF(AF2518&gt;89,"Sangat baik",IF(AF2518&gt;79,"Baik",IF(AF2518&gt;69,"Cukup",IF(AF2518&gt;59,"Kurang","Sangat kurang")))))</f>
        <v/>
      </c>
      <c r="AJ2518" t="str">
        <f t="shared" si="119"/>
        <v>Wk.4</v>
      </c>
      <c r="AK2518" t="str">
        <f>IF(pub_gid_0_single_true_output_csv[[#This Row],[Nilai2]]="","",VLOOKUP(pub_gid_0_single_true_output_csv[[#This Row],[NAMA]],Table7[],3,FALSE))</f>
        <v>Average</v>
      </c>
    </row>
    <row r="2519" spans="1:37" x14ac:dyDescent="0.2">
      <c r="A2519">
        <v>2518</v>
      </c>
      <c r="B2519" t="s">
        <v>318</v>
      </c>
      <c r="C2519" t="s">
        <v>65</v>
      </c>
      <c r="D2519" t="s">
        <v>63</v>
      </c>
      <c r="E2519" t="s">
        <v>140</v>
      </c>
      <c r="F2519" s="25">
        <v>46049</v>
      </c>
      <c r="G2519" t="s">
        <v>373</v>
      </c>
      <c r="H2519" t="s">
        <v>405</v>
      </c>
      <c r="I2519" t="s">
        <v>371</v>
      </c>
      <c r="J2519" t="s">
        <v>90</v>
      </c>
      <c r="K2519" t="s">
        <v>366</v>
      </c>
      <c r="L2519" t="s">
        <v>368</v>
      </c>
      <c r="M2519" t="s">
        <v>141</v>
      </c>
      <c r="N2519" t="s">
        <v>142</v>
      </c>
      <c r="O2519" t="s">
        <v>327</v>
      </c>
      <c r="P2519" t="s">
        <v>281</v>
      </c>
      <c r="Q2519" t="s">
        <v>328</v>
      </c>
      <c r="R2519" t="s">
        <v>360</v>
      </c>
      <c r="S2519" t="s">
        <v>330</v>
      </c>
      <c r="T2519">
        <v>1</v>
      </c>
      <c r="U2519" t="s">
        <v>485</v>
      </c>
      <c r="V2519" t="s">
        <v>285</v>
      </c>
      <c r="W2519" t="s">
        <v>360</v>
      </c>
      <c r="X2519" t="s">
        <v>331</v>
      </c>
      <c r="Y2519" t="s">
        <v>307</v>
      </c>
      <c r="Z2519">
        <v>70</v>
      </c>
      <c r="AA2519">
        <v>85</v>
      </c>
      <c r="AB2519" t="s">
        <v>143</v>
      </c>
      <c r="AC2519" t="s">
        <v>51</v>
      </c>
      <c r="AD2519" t="s">
        <v>509</v>
      </c>
      <c r="AE2519" t="str">
        <f>IF(AF2519="","",VLOOKUP(AC2519,mapel!$A$2:$B$42,2,FALSE))</f>
        <v>Kopi</v>
      </c>
      <c r="AF2519">
        <f t="shared" si="117"/>
        <v>85</v>
      </c>
      <c r="AG2519" t="str">
        <f>IF(AF2519="","",IF(AF2519&gt;90,"Sangat baik",IF(AF2519&gt;79,"Baik",IF(AF2519&gt;=pub_gid_0_single_true_output_csv[[#This Row],[KKM]],"Cukup","Kurang"))))</f>
        <v>Baik</v>
      </c>
      <c r="AH2519">
        <f t="shared" si="118"/>
        <v>12</v>
      </c>
      <c r="AI2519" s="30" t="str">
        <f>IF(OR(J2519&lt;&gt;"Karakter",pub_gid_0_single_true_output_csv[[#This Row],[Nilai2]]=""),"",IF(AF2519&gt;89,"Sangat baik",IF(AF2519&gt;79,"Baik",IF(AF2519&gt;69,"Cukup",IF(AF2519&gt;59,"Kurang","Sangat kurang")))))</f>
        <v>Baik</v>
      </c>
      <c r="AJ2519" t="str">
        <f t="shared" si="119"/>
        <v>Wk.5</v>
      </c>
      <c r="AK2519" t="str">
        <f>IF(pub_gid_0_single_true_output_csv[[#This Row],[Nilai2]]="","",VLOOKUP(pub_gid_0_single_true_output_csv[[#This Row],[NAMA]],Table7[],3,FALSE))</f>
        <v>Average</v>
      </c>
    </row>
    <row r="2520" spans="1:37" x14ac:dyDescent="0.2">
      <c r="A2520">
        <v>2519</v>
      </c>
      <c r="B2520" t="s">
        <v>318</v>
      </c>
      <c r="C2520" t="s">
        <v>65</v>
      </c>
      <c r="D2520" t="s">
        <v>63</v>
      </c>
      <c r="E2520" t="s">
        <v>140</v>
      </c>
      <c r="F2520" s="25">
        <v>46051</v>
      </c>
      <c r="G2520" t="s">
        <v>320</v>
      </c>
      <c r="H2520" t="s">
        <v>405</v>
      </c>
      <c r="I2520" t="s">
        <v>371</v>
      </c>
      <c r="J2520" t="s">
        <v>31</v>
      </c>
      <c r="K2520" t="s">
        <v>158</v>
      </c>
      <c r="L2520" t="s">
        <v>383</v>
      </c>
      <c r="M2520" t="s">
        <v>141</v>
      </c>
      <c r="N2520" t="s">
        <v>142</v>
      </c>
      <c r="O2520" t="s">
        <v>327</v>
      </c>
      <c r="P2520" t="s">
        <v>281</v>
      </c>
      <c r="Q2520" t="s">
        <v>328</v>
      </c>
      <c r="R2520" t="s">
        <v>360</v>
      </c>
      <c r="S2520" t="s">
        <v>330</v>
      </c>
      <c r="T2520">
        <v>1</v>
      </c>
      <c r="U2520" t="s">
        <v>485</v>
      </c>
      <c r="V2520" t="s">
        <v>285</v>
      </c>
      <c r="W2520" t="s">
        <v>360</v>
      </c>
      <c r="X2520" t="s">
        <v>331</v>
      </c>
      <c r="Y2520" t="s">
        <v>307</v>
      </c>
      <c r="Z2520">
        <v>70</v>
      </c>
      <c r="AA2520">
        <v>85</v>
      </c>
      <c r="AB2520" t="s">
        <v>143</v>
      </c>
      <c r="AC2520" t="s">
        <v>51</v>
      </c>
      <c r="AD2520" t="s">
        <v>509</v>
      </c>
      <c r="AE2520" t="str">
        <f>IF(AF2520="","",VLOOKUP(AC2520,mapel!$A$2:$B$42,2,FALSE))</f>
        <v>Kopi</v>
      </c>
      <c r="AF2520">
        <f t="shared" si="117"/>
        <v>85</v>
      </c>
      <c r="AG2520" t="str">
        <f>IF(AF2520="","",IF(AF2520&gt;90,"Sangat baik",IF(AF2520&gt;79,"Baik",IF(AF2520&gt;=pub_gid_0_single_true_output_csv[[#This Row],[KKM]],"Cukup","Kurang"))))</f>
        <v>Baik</v>
      </c>
      <c r="AH2520">
        <f t="shared" si="118"/>
        <v>12</v>
      </c>
      <c r="AI2520" s="30" t="str">
        <f>IF(OR(J2520&lt;&gt;"Karakter",pub_gid_0_single_true_output_csv[[#This Row],[Nilai2]]=""),"",IF(AF2520&gt;89,"Sangat baik",IF(AF2520&gt;79,"Baik",IF(AF2520&gt;69,"Cukup",IF(AF2520&gt;59,"Kurang","Sangat kurang")))))</f>
        <v/>
      </c>
      <c r="AJ2520" t="str">
        <f t="shared" si="119"/>
        <v>Wk.5</v>
      </c>
      <c r="AK2520" t="str">
        <f>IF(pub_gid_0_single_true_output_csv[[#This Row],[Nilai2]]="","",VLOOKUP(pub_gid_0_single_true_output_csv[[#This Row],[NAMA]],Table7[],3,FALSE))</f>
        <v>Average</v>
      </c>
    </row>
    <row r="2521" spans="1:37" x14ac:dyDescent="0.2">
      <c r="A2521">
        <v>2520</v>
      </c>
      <c r="B2521" t="s">
        <v>297</v>
      </c>
      <c r="C2521" t="s">
        <v>298</v>
      </c>
      <c r="D2521" t="s">
        <v>298</v>
      </c>
      <c r="E2521" t="s">
        <v>298</v>
      </c>
      <c r="F2521" s="25"/>
      <c r="G2521" t="s">
        <v>439</v>
      </c>
      <c r="H2521" t="s">
        <v>439</v>
      </c>
      <c r="I2521" t="s">
        <v>439</v>
      </c>
      <c r="J2521" t="s">
        <v>439</v>
      </c>
      <c r="K2521" t="s">
        <v>440</v>
      </c>
      <c r="L2521" t="s">
        <v>440</v>
      </c>
      <c r="M2521" t="s">
        <v>439</v>
      </c>
      <c r="N2521" t="s">
        <v>159</v>
      </c>
      <c r="O2521" t="s">
        <v>159</v>
      </c>
      <c r="P2521" t="s">
        <v>159</v>
      </c>
      <c r="Q2521" t="s">
        <v>300</v>
      </c>
      <c r="R2521" t="s">
        <v>300</v>
      </c>
      <c r="S2521" t="s">
        <v>439</v>
      </c>
      <c r="U2521" t="s">
        <v>159</v>
      </c>
      <c r="V2521" t="s">
        <v>418</v>
      </c>
      <c r="W2521" t="s">
        <v>297</v>
      </c>
      <c r="X2521" t="s">
        <v>439</v>
      </c>
      <c r="Y2521" t="s">
        <v>299</v>
      </c>
      <c r="Z2521">
        <v>65</v>
      </c>
      <c r="AB2521" t="s">
        <v>301</v>
      </c>
      <c r="AC2521" t="s">
        <v>52</v>
      </c>
      <c r="AD2521" t="s">
        <v>278</v>
      </c>
      <c r="AE2521" t="str">
        <f>IF(AF2521="","",VLOOKUP(AC2521,mapel!$A$2:$B$42,2,FALSE))</f>
        <v/>
      </c>
      <c r="AF2521" t="str">
        <f t="shared" si="117"/>
        <v/>
      </c>
      <c r="AG2521" t="str">
        <f>IF(AF2521="","",IF(AF2521&gt;90,"Sangat baik",IF(AF2521&gt;79,"Baik",IF(AF2521&gt;=pub_gid_0_single_true_output_csv[[#This Row],[KKM]],"Cukup","Kurang"))))</f>
        <v/>
      </c>
      <c r="AH2521" t="str">
        <f t="shared" si="118"/>
        <v/>
      </c>
      <c r="AI2521" s="30" t="str">
        <f>IF(OR(J2521&lt;&gt;"Karakter",pub_gid_0_single_true_output_csv[[#This Row],[Nilai2]]=""),"",IF(AF2521&gt;89,"Sangat baik",IF(AF2521&gt;79,"Baik",IF(AF2521&gt;69,"Cukup",IF(AF2521&gt;59,"Kurang","Sangat kurang")))))</f>
        <v/>
      </c>
      <c r="AJ2521" t="str">
        <f t="shared" si="119"/>
        <v/>
      </c>
      <c r="AK2521" t="str">
        <f>IF(pub_gid_0_single_true_output_csv[[#This Row],[Nilai2]]="","",VLOOKUP(pub_gid_0_single_true_output_csv[[#This Row],[NAMA]],Table7[],3,FALSE))</f>
        <v/>
      </c>
    </row>
    <row r="2522" spans="1:37" x14ac:dyDescent="0.2">
      <c r="B2522" t="s">
        <v>159</v>
      </c>
      <c r="C2522" t="s">
        <v>297</v>
      </c>
      <c r="D2522" t="s">
        <v>159</v>
      </c>
      <c r="E2522" t="s">
        <v>159</v>
      </c>
      <c r="F2522" s="25"/>
      <c r="G2522" t="s">
        <v>159</v>
      </c>
      <c r="H2522" t="s">
        <v>159</v>
      </c>
      <c r="I2522" t="s">
        <v>159</v>
      </c>
      <c r="J2522" t="s">
        <v>159</v>
      </c>
      <c r="K2522" t="s">
        <v>159</v>
      </c>
      <c r="L2522" t="s">
        <v>159</v>
      </c>
      <c r="M2522" t="s">
        <v>159</v>
      </c>
      <c r="N2522" t="s">
        <v>159</v>
      </c>
      <c r="O2522" t="s">
        <v>159</v>
      </c>
      <c r="P2522" t="s">
        <v>159</v>
      </c>
      <c r="Q2522" t="s">
        <v>159</v>
      </c>
      <c r="R2522" t="s">
        <v>159</v>
      </c>
      <c r="S2522" t="s">
        <v>159</v>
      </c>
      <c r="U2522" t="s">
        <v>159</v>
      </c>
      <c r="V2522" t="s">
        <v>159</v>
      </c>
      <c r="W2522" t="s">
        <v>159</v>
      </c>
      <c r="X2522" t="s">
        <v>159</v>
      </c>
      <c r="Y2522" t="s">
        <v>159</v>
      </c>
      <c r="AB2522" t="s">
        <v>159</v>
      </c>
      <c r="AC2522" t="s">
        <v>159</v>
      </c>
      <c r="AD2522" t="s">
        <v>159</v>
      </c>
      <c r="AE2522" t="str">
        <f>IF(AF2522="","",VLOOKUP(AC2522,mapel!$A$2:$B$42,2,FALSE))</f>
        <v/>
      </c>
      <c r="AF2522" t="str">
        <f t="shared" si="117"/>
        <v/>
      </c>
      <c r="AG2522" t="str">
        <f>IF(AF2522="","",IF(AF2522&gt;90,"Sangat baik",IF(AF2522&gt;79,"Baik",IF(AF2522&gt;=pub_gid_0_single_true_output_csv[[#This Row],[KKM]],"Cukup","Kurang"))))</f>
        <v/>
      </c>
      <c r="AH2522" t="str">
        <f t="shared" si="118"/>
        <v/>
      </c>
      <c r="AI2522" s="30" t="str">
        <f>IF(OR(J2522&lt;&gt;"Karakter",pub_gid_0_single_true_output_csv[[#This Row],[Nilai2]]=""),"",IF(AF2522&gt;89,"Sangat baik",IF(AF2522&gt;79,"Baik",IF(AF2522&gt;69,"Cukup",IF(AF2522&gt;59,"Kurang","Sangat kurang")))))</f>
        <v/>
      </c>
      <c r="AJ2522" t="str">
        <f t="shared" si="119"/>
        <v/>
      </c>
      <c r="AK2522" t="str">
        <f>IF(pub_gid_0_single_true_output_csv[[#This Row],[Nilai2]]="","",VLOOKUP(pub_gid_0_single_true_output_csv[[#This Row],[NAMA]],Table7[],3,FALSE))</f>
        <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398"/>
  <sheetViews>
    <sheetView showGridLines="0" topLeftCell="X241" zoomScale="170" zoomScaleNormal="170" workbookViewId="0">
      <selection activeCell="AK246" sqref="AK246"/>
    </sheetView>
  </sheetViews>
  <sheetFormatPr baseColWidth="10" defaultColWidth="11.5" defaultRowHeight="15" x14ac:dyDescent="0.2"/>
  <cols>
    <col min="1" max="1" width="8.33203125" bestFit="1" customWidth="1"/>
    <col min="2" max="2" width="20.1640625" bestFit="1" customWidth="1"/>
    <col min="3" max="3" width="9" bestFit="1" customWidth="1"/>
    <col min="4" max="4" width="7" bestFit="1" customWidth="1"/>
    <col min="5" max="5" width="6" bestFit="1" customWidth="1"/>
    <col min="6" max="7" width="4.83203125" customWidth="1"/>
    <col min="17" max="17" width="12.5" bestFit="1" customWidth="1"/>
    <col min="18" max="18" width="12.1640625" bestFit="1" customWidth="1"/>
    <col min="19" max="19" width="9" bestFit="1" customWidth="1"/>
    <col min="20" max="20" width="7" bestFit="1" customWidth="1"/>
    <col min="21" max="21" width="6" bestFit="1" customWidth="1"/>
    <col min="22" max="23" width="4.6640625" customWidth="1"/>
    <col min="24" max="24" width="14.1640625" bestFit="1" customWidth="1"/>
    <col min="25" max="25" width="5.83203125" bestFit="1" customWidth="1"/>
    <col min="27" max="27" width="6.5" bestFit="1" customWidth="1"/>
    <col min="28" max="28" width="6.1640625" bestFit="1" customWidth="1"/>
    <col min="29" max="29" width="4.6640625" bestFit="1" customWidth="1"/>
    <col min="30" max="31" width="7.33203125" customWidth="1"/>
    <col min="33" max="33" width="11.5" customWidth="1"/>
    <col min="36" max="36" width="18.83203125" bestFit="1" customWidth="1"/>
    <col min="40" max="40" width="9" bestFit="1" customWidth="1"/>
    <col min="41" max="41" width="7.83203125" bestFit="1" customWidth="1"/>
    <col min="42" max="42" width="13" bestFit="1" customWidth="1"/>
    <col min="43" max="44" width="7.5" bestFit="1" customWidth="1"/>
    <col min="45" max="45" width="8.1640625" bestFit="1" customWidth="1"/>
    <col min="46" max="47" width="7.5" bestFit="1" customWidth="1"/>
    <col min="48" max="49" width="6.5" customWidth="1"/>
  </cols>
  <sheetData>
    <row r="1" spans="1:37" x14ac:dyDescent="0.2">
      <c r="A1" s="3" t="s">
        <v>75</v>
      </c>
      <c r="B1" t="s">
        <v>119</v>
      </c>
      <c r="Q1" s="3" t="s">
        <v>9</v>
      </c>
      <c r="R1" t="s">
        <v>36</v>
      </c>
    </row>
    <row r="3" spans="1:37" x14ac:dyDescent="0.2">
      <c r="A3" s="3" t="s">
        <v>123</v>
      </c>
      <c r="Q3" s="3" t="s">
        <v>123</v>
      </c>
    </row>
    <row r="4" spans="1:37" x14ac:dyDescent="0.2">
      <c r="A4" s="3" t="s">
        <v>2</v>
      </c>
      <c r="B4" s="3" t="s">
        <v>9</v>
      </c>
      <c r="C4" s="3" t="s">
        <v>7</v>
      </c>
      <c r="D4" s="3" t="s">
        <v>131</v>
      </c>
      <c r="E4" s="6" t="s">
        <v>120</v>
      </c>
      <c r="I4" s="22" t="s">
        <v>274</v>
      </c>
      <c r="J4" s="22" t="s">
        <v>2</v>
      </c>
      <c r="K4" s="22" t="s">
        <v>9</v>
      </c>
      <c r="L4" s="22" t="s">
        <v>7</v>
      </c>
      <c r="M4" s="22" t="s">
        <v>131</v>
      </c>
      <c r="N4" s="22" t="s">
        <v>275</v>
      </c>
      <c r="Q4" s="3" t="s">
        <v>2</v>
      </c>
      <c r="R4" s="3" t="s">
        <v>75</v>
      </c>
      <c r="S4" s="3" t="s">
        <v>7</v>
      </c>
      <c r="T4" s="3" t="s">
        <v>131</v>
      </c>
      <c r="U4" s="6" t="s">
        <v>120</v>
      </c>
      <c r="X4" s="22" t="s">
        <v>274</v>
      </c>
      <c r="Y4" s="22" t="s">
        <v>2</v>
      </c>
      <c r="Z4" s="22" t="s">
        <v>9</v>
      </c>
      <c r="AA4" s="22" t="s">
        <v>7</v>
      </c>
      <c r="AB4" s="22" t="s">
        <v>131</v>
      </c>
      <c r="AC4" s="22" t="s">
        <v>275</v>
      </c>
      <c r="AF4" s="23" t="s">
        <v>2</v>
      </c>
      <c r="AG4" s="23" t="s">
        <v>75</v>
      </c>
      <c r="AH4" s="23" t="s">
        <v>7</v>
      </c>
      <c r="AI4" s="23" t="s">
        <v>131</v>
      </c>
      <c r="AJ4" s="23" t="s">
        <v>274</v>
      </c>
      <c r="AK4" s="23" t="s">
        <v>275</v>
      </c>
    </row>
    <row r="5" spans="1:37" x14ac:dyDescent="0.2">
      <c r="A5" t="s">
        <v>54</v>
      </c>
      <c r="B5" t="s">
        <v>279</v>
      </c>
      <c r="C5" t="s">
        <v>405</v>
      </c>
      <c r="D5" t="s">
        <v>461</v>
      </c>
      <c r="E5" s="6">
        <v>70.264705882352942</v>
      </c>
      <c r="I5" t="str">
        <f>J5&amp;K5&amp;M5</f>
        <v>11AMinatWk.3</v>
      </c>
      <c r="J5" t="str">
        <f>IF(A5="","",A5)</f>
        <v>11A</v>
      </c>
      <c r="K5" t="str">
        <f>IF(B5="","",B5)</f>
        <v>Minat</v>
      </c>
      <c r="L5" t="str">
        <f>IF(C5="","",C5)</f>
        <v>Jan</v>
      </c>
      <c r="M5" t="str">
        <f>IF(D5="","",D5)</f>
        <v>Wk.3</v>
      </c>
      <c r="N5" s="26">
        <f>IF(E5="","",E5)</f>
        <v>70.264705882352942</v>
      </c>
      <c r="Q5" t="s">
        <v>54</v>
      </c>
      <c r="R5" t="s">
        <v>81</v>
      </c>
      <c r="S5" t="s">
        <v>405</v>
      </c>
      <c r="T5" t="s">
        <v>461</v>
      </c>
      <c r="U5" s="6">
        <v>48.090909090909093</v>
      </c>
      <c r="X5" t="str">
        <f>Y5&amp;Z5&amp;AB5</f>
        <v>11AB.IndoWk.3</v>
      </c>
      <c r="Y5" t="str">
        <f>IF(Q5="","",Q5)</f>
        <v>11A</v>
      </c>
      <c r="Z5" t="str">
        <f>IF(R5="","",R5)</f>
        <v>B.Indo</v>
      </c>
      <c r="AA5" t="str">
        <f>IF(S5="","",S5)</f>
        <v>Jan</v>
      </c>
      <c r="AB5" t="str">
        <f>IF(T5="","",T5)</f>
        <v>Wk.3</v>
      </c>
      <c r="AC5" s="26">
        <f>IF(U5="","",U5)</f>
        <v>48.090909090909093</v>
      </c>
      <c r="AF5" t="s">
        <v>54</v>
      </c>
      <c r="AG5" t="s">
        <v>41</v>
      </c>
      <c r="AH5" t="str">
        <f>IF(Table4[[#This Row],[Nilai]]="","",VLOOKUP(Table4[[#This Row],[Helper]],$I$5:$L$380,4,FALSE))</f>
        <v>Jan</v>
      </c>
      <c r="AI5" t="s">
        <v>466</v>
      </c>
      <c r="AJ5" t="str">
        <f>AF5&amp;AG5&amp;AI5</f>
        <v>11ASkillWk.2</v>
      </c>
      <c r="AK5" s="24">
        <f>IFERROR(VLOOKUP(AJ5,$I$5:$N$380,6,),"")</f>
        <v>67.555555555555557</v>
      </c>
    </row>
    <row r="6" spans="1:37" x14ac:dyDescent="0.2">
      <c r="A6" t="s">
        <v>54</v>
      </c>
      <c r="B6" t="s">
        <v>279</v>
      </c>
      <c r="C6" t="s">
        <v>405</v>
      </c>
      <c r="D6" t="s">
        <v>462</v>
      </c>
      <c r="E6" s="6">
        <v>69.545454545454547</v>
      </c>
      <c r="I6" t="str">
        <f t="shared" ref="I6:I69" si="0">J6&amp;K6&amp;M6</f>
        <v>11AMinatWk.4</v>
      </c>
      <c r="J6" t="str">
        <f t="shared" ref="J6:J69" si="1">IF(A6="","",A6)</f>
        <v>11A</v>
      </c>
      <c r="K6" t="str">
        <f t="shared" ref="K6:K69" si="2">IF(B6="","",B6)</f>
        <v>Minat</v>
      </c>
      <c r="L6" t="str">
        <f t="shared" ref="L6:L69" si="3">IF(C6="","",C6)</f>
        <v>Jan</v>
      </c>
      <c r="M6" t="str">
        <f t="shared" ref="M6:M69" si="4">IF(D6="","",D6)</f>
        <v>Wk.4</v>
      </c>
      <c r="N6" s="26">
        <f t="shared" ref="N6:N69" si="5">IF(E6="","",E6)</f>
        <v>69.545454545454547</v>
      </c>
      <c r="Q6" t="s">
        <v>54</v>
      </c>
      <c r="R6" t="s">
        <v>81</v>
      </c>
      <c r="S6" t="s">
        <v>405</v>
      </c>
      <c r="T6" t="s">
        <v>462</v>
      </c>
      <c r="U6" s="6">
        <v>71.818181818181813</v>
      </c>
      <c r="X6" t="str">
        <f t="shared" ref="X6:X69" si="6">Y6&amp;Z6&amp;AB6</f>
        <v>11AB.IndoWk.4</v>
      </c>
      <c r="Y6" t="str">
        <f t="shared" ref="Y6:Y69" si="7">IF(Q6="","",Q6)</f>
        <v>11A</v>
      </c>
      <c r="Z6" t="str">
        <f t="shared" ref="Z6:Z48" si="8">IF(R6="","",R6)</f>
        <v>B.Indo</v>
      </c>
      <c r="AA6" t="str">
        <f t="shared" ref="AA6:AA48" si="9">IF(S6="","",S6)</f>
        <v>Jan</v>
      </c>
      <c r="AB6" t="str">
        <f t="shared" ref="AB6:AB48" si="10">IF(T6="","",T6)</f>
        <v>Wk.4</v>
      </c>
      <c r="AC6" s="26">
        <f t="shared" ref="AC6:AC37" si="11">IF(U6="","",U6)</f>
        <v>71.818181818181813</v>
      </c>
      <c r="AF6" t="s">
        <v>54</v>
      </c>
      <c r="AG6" t="s">
        <v>41</v>
      </c>
      <c r="AH6" t="str">
        <f>IF(Table4[[#This Row],[Nilai]]="","",VLOOKUP(Table4[[#This Row],[Helper]],$I$5:$L$380,4,FALSE))</f>
        <v>Jan</v>
      </c>
      <c r="AI6" t="s">
        <v>461</v>
      </c>
      <c r="AJ6" t="str">
        <f t="shared" ref="AJ6:AJ69" si="12">AF6&amp;AG6&amp;AI6</f>
        <v>11ASkillWk.3</v>
      </c>
      <c r="AK6" s="24">
        <f t="shared" ref="AK6:AK69" si="13">IFERROR(VLOOKUP(AJ6,$I$5:$N$380,6,),"")</f>
        <v>90</v>
      </c>
    </row>
    <row r="7" spans="1:37" x14ac:dyDescent="0.2">
      <c r="A7" t="s">
        <v>54</v>
      </c>
      <c r="B7" t="s">
        <v>279</v>
      </c>
      <c r="C7" t="s">
        <v>405</v>
      </c>
      <c r="D7" t="s">
        <v>463</v>
      </c>
      <c r="E7" s="6">
        <v>69.727272727272734</v>
      </c>
      <c r="I7" t="str">
        <f t="shared" si="0"/>
        <v>11AMinatWk.5</v>
      </c>
      <c r="J7" t="str">
        <f t="shared" si="1"/>
        <v>11A</v>
      </c>
      <c r="K7" t="str">
        <f t="shared" si="2"/>
        <v>Minat</v>
      </c>
      <c r="L7" t="str">
        <f t="shared" si="3"/>
        <v>Jan</v>
      </c>
      <c r="M7" t="str">
        <f t="shared" si="4"/>
        <v>Wk.5</v>
      </c>
      <c r="N7" s="26">
        <f t="shared" si="5"/>
        <v>69.727272727272734</v>
      </c>
      <c r="Q7" t="s">
        <v>54</v>
      </c>
      <c r="R7" t="s">
        <v>81</v>
      </c>
      <c r="S7" t="s">
        <v>405</v>
      </c>
      <c r="T7" t="s">
        <v>463</v>
      </c>
      <c r="U7" s="6">
        <v>66.63636363636364</v>
      </c>
      <c r="X7" t="str">
        <f t="shared" si="6"/>
        <v>11AB.IndoWk.5</v>
      </c>
      <c r="Y7" t="str">
        <f t="shared" si="7"/>
        <v>11A</v>
      </c>
      <c r="Z7" t="str">
        <f t="shared" si="8"/>
        <v>B.Indo</v>
      </c>
      <c r="AA7" t="str">
        <f t="shared" si="9"/>
        <v>Jan</v>
      </c>
      <c r="AB7" t="str">
        <f t="shared" si="10"/>
        <v>Wk.5</v>
      </c>
      <c r="AC7" s="26">
        <f t="shared" si="11"/>
        <v>66.63636363636364</v>
      </c>
      <c r="AF7" t="s">
        <v>54</v>
      </c>
      <c r="AG7" t="s">
        <v>41</v>
      </c>
      <c r="AH7" t="str">
        <f>IF(Table4[[#This Row],[Nilai]]="","",VLOOKUP(Table4[[#This Row],[Helper]],$I$5:$L$380,4,FALSE))</f>
        <v>Jan</v>
      </c>
      <c r="AI7" t="s">
        <v>462</v>
      </c>
      <c r="AJ7" t="str">
        <f t="shared" si="12"/>
        <v>11ASkillWk.4</v>
      </c>
      <c r="AK7" s="24">
        <f t="shared" si="13"/>
        <v>55.333333333333336</v>
      </c>
    </row>
    <row r="8" spans="1:37" x14ac:dyDescent="0.2">
      <c r="A8" t="s">
        <v>54</v>
      </c>
      <c r="B8" t="s">
        <v>279</v>
      </c>
      <c r="C8" t="s">
        <v>412</v>
      </c>
      <c r="D8" t="s">
        <v>464</v>
      </c>
      <c r="E8" s="6">
        <v>70.411764705882348</v>
      </c>
      <c r="I8" t="str">
        <f t="shared" si="0"/>
        <v>11AMinatWk.6</v>
      </c>
      <c r="J8" t="str">
        <f t="shared" si="1"/>
        <v>11A</v>
      </c>
      <c r="K8" t="str">
        <f t="shared" si="2"/>
        <v>Minat</v>
      </c>
      <c r="L8" t="str">
        <f t="shared" si="3"/>
        <v>Feb</v>
      </c>
      <c r="M8" t="str">
        <f t="shared" si="4"/>
        <v>Wk.6</v>
      </c>
      <c r="N8" s="26">
        <f t="shared" si="5"/>
        <v>70.411764705882348</v>
      </c>
      <c r="Q8" t="s">
        <v>54</v>
      </c>
      <c r="R8" t="s">
        <v>81</v>
      </c>
      <c r="S8" t="s">
        <v>412</v>
      </c>
      <c r="T8" t="s">
        <v>464</v>
      </c>
      <c r="U8" s="6">
        <v>68.36363636363636</v>
      </c>
      <c r="X8" t="str">
        <f t="shared" si="6"/>
        <v>11AB.IndoWk.6</v>
      </c>
      <c r="Y8" t="str">
        <f t="shared" si="7"/>
        <v>11A</v>
      </c>
      <c r="Z8" t="str">
        <f t="shared" si="8"/>
        <v>B.Indo</v>
      </c>
      <c r="AA8" t="str">
        <f t="shared" si="9"/>
        <v>Feb</v>
      </c>
      <c r="AB8" t="str">
        <f t="shared" si="10"/>
        <v>Wk.6</v>
      </c>
      <c r="AC8" s="26">
        <f t="shared" si="11"/>
        <v>68.36363636363636</v>
      </c>
      <c r="AF8" t="s">
        <v>54</v>
      </c>
      <c r="AG8" t="s">
        <v>41</v>
      </c>
      <c r="AH8" t="str">
        <f>IF(Table4[[#This Row],[Nilai]]="","",VLOOKUP(Table4[[#This Row],[Helper]],$I$5:$L$380,4,FALSE))</f>
        <v>Jan</v>
      </c>
      <c r="AI8" t="s">
        <v>463</v>
      </c>
      <c r="AJ8" t="str">
        <f t="shared" si="12"/>
        <v>11ASkillWk.5</v>
      </c>
      <c r="AK8" s="24">
        <f t="shared" si="13"/>
        <v>71.19047619047619</v>
      </c>
    </row>
    <row r="9" spans="1:37" x14ac:dyDescent="0.2">
      <c r="A9" t="s">
        <v>54</v>
      </c>
      <c r="B9" t="s">
        <v>279</v>
      </c>
      <c r="C9" t="s">
        <v>412</v>
      </c>
      <c r="D9" t="s">
        <v>465</v>
      </c>
      <c r="E9" s="6">
        <v>69</v>
      </c>
      <c r="I9" t="str">
        <f t="shared" si="0"/>
        <v>11AMinatWk.7</v>
      </c>
      <c r="J9" t="str">
        <f t="shared" si="1"/>
        <v>11A</v>
      </c>
      <c r="K9" t="str">
        <f t="shared" si="2"/>
        <v>Minat</v>
      </c>
      <c r="L9" t="str">
        <f t="shared" si="3"/>
        <v>Feb</v>
      </c>
      <c r="M9" t="str">
        <f t="shared" si="4"/>
        <v>Wk.7</v>
      </c>
      <c r="N9" s="26">
        <f t="shared" si="5"/>
        <v>69</v>
      </c>
      <c r="Q9" t="s">
        <v>54</v>
      </c>
      <c r="R9" t="s">
        <v>81</v>
      </c>
      <c r="S9" t="s">
        <v>412</v>
      </c>
      <c r="T9" t="s">
        <v>465</v>
      </c>
      <c r="U9" s="6">
        <v>66.63636363636364</v>
      </c>
      <c r="X9" t="str">
        <f t="shared" si="6"/>
        <v>11AB.IndoWk.7</v>
      </c>
      <c r="Y9" t="str">
        <f t="shared" si="7"/>
        <v>11A</v>
      </c>
      <c r="Z9" t="str">
        <f t="shared" si="8"/>
        <v>B.Indo</v>
      </c>
      <c r="AA9" t="str">
        <f t="shared" si="9"/>
        <v>Feb</v>
      </c>
      <c r="AB9" t="str">
        <f t="shared" si="10"/>
        <v>Wk.7</v>
      </c>
      <c r="AC9" s="26">
        <f t="shared" si="11"/>
        <v>66.63636363636364</v>
      </c>
      <c r="AF9" t="s">
        <v>54</v>
      </c>
      <c r="AG9" t="s">
        <v>41</v>
      </c>
      <c r="AH9" t="str">
        <f>IF(Table4[[#This Row],[Nilai]]="","",VLOOKUP(Table4[[#This Row],[Helper]],$I$5:$L$380,4,FALSE))</f>
        <v>Feb</v>
      </c>
      <c r="AI9" t="s">
        <v>464</v>
      </c>
      <c r="AJ9" t="str">
        <f t="shared" si="12"/>
        <v>11ASkillWk.6</v>
      </c>
      <c r="AK9" s="24">
        <f t="shared" si="13"/>
        <v>74.063829787234042</v>
      </c>
    </row>
    <row r="10" spans="1:37" x14ac:dyDescent="0.2">
      <c r="A10" t="s">
        <v>54</v>
      </c>
      <c r="B10" t="s">
        <v>279</v>
      </c>
      <c r="C10" t="s">
        <v>412</v>
      </c>
      <c r="D10" t="s">
        <v>467</v>
      </c>
      <c r="E10" s="6">
        <v>72.545454545454547</v>
      </c>
      <c r="I10" t="str">
        <f t="shared" si="0"/>
        <v>11AMinatWk.8</v>
      </c>
      <c r="J10" t="str">
        <f t="shared" si="1"/>
        <v>11A</v>
      </c>
      <c r="K10" t="str">
        <f t="shared" si="2"/>
        <v>Minat</v>
      </c>
      <c r="L10" t="str">
        <f t="shared" si="3"/>
        <v>Feb</v>
      </c>
      <c r="M10" t="str">
        <f t="shared" si="4"/>
        <v>Wk.8</v>
      </c>
      <c r="N10" s="26">
        <f t="shared" si="5"/>
        <v>72.545454545454547</v>
      </c>
      <c r="Q10" t="s">
        <v>54</v>
      </c>
      <c r="R10" t="s">
        <v>81</v>
      </c>
      <c r="S10" t="s">
        <v>412</v>
      </c>
      <c r="T10" t="s">
        <v>467</v>
      </c>
      <c r="U10" s="6">
        <v>68.545454545454547</v>
      </c>
      <c r="X10" t="str">
        <f t="shared" si="6"/>
        <v>11AB.IndoWk.8</v>
      </c>
      <c r="Y10" t="str">
        <f t="shared" si="7"/>
        <v>11A</v>
      </c>
      <c r="Z10" t="str">
        <f t="shared" si="8"/>
        <v>B.Indo</v>
      </c>
      <c r="AA10" t="str">
        <f t="shared" si="9"/>
        <v>Feb</v>
      </c>
      <c r="AB10" t="str">
        <f t="shared" si="10"/>
        <v>Wk.8</v>
      </c>
      <c r="AC10">
        <f t="shared" si="11"/>
        <v>68.545454545454547</v>
      </c>
      <c r="AF10" t="s">
        <v>54</v>
      </c>
      <c r="AG10" t="s">
        <v>41</v>
      </c>
      <c r="AH10" t="str">
        <f>IF(Table4[[#This Row],[Nilai]]="","",VLOOKUP(Table4[[#This Row],[Helper]],$I$5:$L$380,4,FALSE))</f>
        <v>Feb</v>
      </c>
      <c r="AI10" t="s">
        <v>465</v>
      </c>
      <c r="AJ10" t="str">
        <f t="shared" si="12"/>
        <v>11ASkillWk.7</v>
      </c>
      <c r="AK10" s="24">
        <f t="shared" si="13"/>
        <v>66.659090909090907</v>
      </c>
    </row>
    <row r="11" spans="1:37" x14ac:dyDescent="0.2">
      <c r="A11" t="s">
        <v>54</v>
      </c>
      <c r="B11" t="s">
        <v>90</v>
      </c>
      <c r="C11" t="s">
        <v>405</v>
      </c>
      <c r="D11" t="s">
        <v>466</v>
      </c>
      <c r="E11" s="6">
        <v>71.25</v>
      </c>
      <c r="I11" t="str">
        <f t="shared" si="0"/>
        <v>11AKarakterWk.2</v>
      </c>
      <c r="J11" t="str">
        <f t="shared" si="1"/>
        <v>11A</v>
      </c>
      <c r="K11" t="str">
        <f t="shared" si="2"/>
        <v>Karakter</v>
      </c>
      <c r="L11" t="str">
        <f t="shared" si="3"/>
        <v>Jan</v>
      </c>
      <c r="M11" t="str">
        <f t="shared" si="4"/>
        <v>Wk.2</v>
      </c>
      <c r="N11" s="26">
        <f t="shared" si="5"/>
        <v>71.25</v>
      </c>
      <c r="Q11" t="s">
        <v>54</v>
      </c>
      <c r="R11" t="s">
        <v>84</v>
      </c>
      <c r="S11" t="s">
        <v>405</v>
      </c>
      <c r="T11" t="s">
        <v>461</v>
      </c>
      <c r="U11" s="6">
        <v>69.05263157894737</v>
      </c>
      <c r="X11" t="str">
        <f t="shared" si="6"/>
        <v>11AMathWk.3</v>
      </c>
      <c r="Y11" t="str">
        <f t="shared" si="7"/>
        <v>11A</v>
      </c>
      <c r="Z11" t="str">
        <f t="shared" si="8"/>
        <v>Math</v>
      </c>
      <c r="AA11" t="str">
        <f t="shared" si="9"/>
        <v>Jan</v>
      </c>
      <c r="AB11" t="str">
        <f t="shared" si="10"/>
        <v>Wk.3</v>
      </c>
      <c r="AC11">
        <f t="shared" si="11"/>
        <v>69.05263157894737</v>
      </c>
      <c r="AF11" t="s">
        <v>54</v>
      </c>
      <c r="AG11" t="s">
        <v>41</v>
      </c>
      <c r="AH11" t="str">
        <f>IF(Table4[[#This Row],[Nilai]]="","",VLOOKUP(Table4[[#This Row],[Helper]],$I$5:$L$380,4,FALSE))</f>
        <v>Feb</v>
      </c>
      <c r="AI11" t="s">
        <v>467</v>
      </c>
      <c r="AJ11" t="str">
        <f t="shared" si="12"/>
        <v>11ASkillWk.8</v>
      </c>
      <c r="AK11" s="24">
        <f t="shared" si="13"/>
        <v>76.739130434782609</v>
      </c>
    </row>
    <row r="12" spans="1:37" x14ac:dyDescent="0.2">
      <c r="A12" t="s">
        <v>54</v>
      </c>
      <c r="B12" t="s">
        <v>90</v>
      </c>
      <c r="C12" t="s">
        <v>405</v>
      </c>
      <c r="D12" t="s">
        <v>461</v>
      </c>
      <c r="E12" s="6">
        <v>76.382352941176464</v>
      </c>
      <c r="I12" t="str">
        <f t="shared" si="0"/>
        <v>11AKarakterWk.3</v>
      </c>
      <c r="J12" t="str">
        <f t="shared" si="1"/>
        <v>11A</v>
      </c>
      <c r="K12" t="str">
        <f t="shared" si="2"/>
        <v>Karakter</v>
      </c>
      <c r="L12" t="str">
        <f t="shared" si="3"/>
        <v>Jan</v>
      </c>
      <c r="M12" t="str">
        <f t="shared" si="4"/>
        <v>Wk.3</v>
      </c>
      <c r="N12" s="26">
        <f t="shared" si="5"/>
        <v>76.382352941176464</v>
      </c>
      <c r="Q12" t="s">
        <v>54</v>
      </c>
      <c r="R12" t="s">
        <v>84</v>
      </c>
      <c r="S12" t="s">
        <v>405</v>
      </c>
      <c r="T12" t="s">
        <v>462</v>
      </c>
      <c r="U12" s="6">
        <v>59.404761904761905</v>
      </c>
      <c r="X12" t="str">
        <f t="shared" si="6"/>
        <v>11AMathWk.4</v>
      </c>
      <c r="Y12" t="str">
        <f t="shared" si="7"/>
        <v>11A</v>
      </c>
      <c r="Z12" t="str">
        <f t="shared" si="8"/>
        <v>Math</v>
      </c>
      <c r="AA12" t="str">
        <f t="shared" si="9"/>
        <v>Jan</v>
      </c>
      <c r="AB12" t="str">
        <f t="shared" si="10"/>
        <v>Wk.4</v>
      </c>
      <c r="AC12">
        <f t="shared" si="11"/>
        <v>59.404761904761905</v>
      </c>
      <c r="AF12" t="s">
        <v>54</v>
      </c>
      <c r="AG12" t="s">
        <v>41</v>
      </c>
      <c r="AH12" t="str">
        <f>IF(Table4[[#This Row],[Nilai]]="","",VLOOKUP(Table4[[#This Row],[Helper]],$I$5:$L$380,4,FALSE))</f>
        <v>Feb</v>
      </c>
      <c r="AI12" t="s">
        <v>486</v>
      </c>
      <c r="AJ12" t="str">
        <f t="shared" si="12"/>
        <v>11ASkillWk.9</v>
      </c>
      <c r="AK12" s="24">
        <f t="shared" si="13"/>
        <v>80</v>
      </c>
    </row>
    <row r="13" spans="1:37" x14ac:dyDescent="0.2">
      <c r="A13" t="s">
        <v>54</v>
      </c>
      <c r="B13" t="s">
        <v>90</v>
      </c>
      <c r="C13" t="s">
        <v>405</v>
      </c>
      <c r="D13" t="s">
        <v>462</v>
      </c>
      <c r="E13" s="6">
        <v>78.389830508474574</v>
      </c>
      <c r="I13" t="str">
        <f t="shared" si="0"/>
        <v>11AKarakterWk.4</v>
      </c>
      <c r="J13" t="str">
        <f t="shared" si="1"/>
        <v>11A</v>
      </c>
      <c r="K13" t="str">
        <f t="shared" si="2"/>
        <v>Karakter</v>
      </c>
      <c r="L13" t="str">
        <f t="shared" si="3"/>
        <v>Jan</v>
      </c>
      <c r="M13" t="str">
        <f t="shared" si="4"/>
        <v>Wk.4</v>
      </c>
      <c r="N13" s="26">
        <f t="shared" si="5"/>
        <v>78.389830508474574</v>
      </c>
      <c r="Q13" t="s">
        <v>54</v>
      </c>
      <c r="R13" t="s">
        <v>84</v>
      </c>
      <c r="S13" t="s">
        <v>405</v>
      </c>
      <c r="T13" t="s">
        <v>463</v>
      </c>
      <c r="U13" s="6">
        <v>52.5</v>
      </c>
      <c r="X13" t="str">
        <f t="shared" si="6"/>
        <v>11AMathWk.5</v>
      </c>
      <c r="Y13" t="str">
        <f t="shared" si="7"/>
        <v>11A</v>
      </c>
      <c r="Z13" t="str">
        <f t="shared" si="8"/>
        <v>Math</v>
      </c>
      <c r="AA13" t="str">
        <f t="shared" si="9"/>
        <v>Jan</v>
      </c>
      <c r="AB13" t="str">
        <f t="shared" si="10"/>
        <v>Wk.5</v>
      </c>
      <c r="AC13">
        <f t="shared" si="11"/>
        <v>52.5</v>
      </c>
      <c r="AF13" t="s">
        <v>54</v>
      </c>
      <c r="AG13" t="s">
        <v>41</v>
      </c>
      <c r="AH13" t="str">
        <f>IF(Table4[[#This Row],[Nilai]]="","",VLOOKUP(Table4[[#This Row],[Helper]],$I$5:$L$380,4,FALSE))</f>
        <v/>
      </c>
      <c r="AI13" t="s">
        <v>493</v>
      </c>
      <c r="AJ13" t="str">
        <f t="shared" si="12"/>
        <v>11ASkillWk.10</v>
      </c>
      <c r="AK13" s="24" t="str">
        <f t="shared" si="13"/>
        <v/>
      </c>
    </row>
    <row r="14" spans="1:37" x14ac:dyDescent="0.2">
      <c r="A14" t="s">
        <v>54</v>
      </c>
      <c r="B14" t="s">
        <v>90</v>
      </c>
      <c r="C14" t="s">
        <v>405</v>
      </c>
      <c r="D14" t="s">
        <v>463</v>
      </c>
      <c r="E14" s="6">
        <v>72.178571428571431</v>
      </c>
      <c r="I14" t="str">
        <f t="shared" si="0"/>
        <v>11AKarakterWk.5</v>
      </c>
      <c r="J14" t="str">
        <f t="shared" si="1"/>
        <v>11A</v>
      </c>
      <c r="K14" t="str">
        <f t="shared" si="2"/>
        <v>Karakter</v>
      </c>
      <c r="L14" t="str">
        <f t="shared" si="3"/>
        <v>Jan</v>
      </c>
      <c r="M14" t="str">
        <f t="shared" si="4"/>
        <v>Wk.5</v>
      </c>
      <c r="N14" s="26">
        <f t="shared" si="5"/>
        <v>72.178571428571431</v>
      </c>
      <c r="Q14" t="s">
        <v>54</v>
      </c>
      <c r="R14" t="s">
        <v>84</v>
      </c>
      <c r="S14" t="s">
        <v>412</v>
      </c>
      <c r="T14" t="s">
        <v>464</v>
      </c>
      <c r="U14" s="6">
        <v>79.969696969696969</v>
      </c>
      <c r="X14" t="str">
        <f t="shared" si="6"/>
        <v>11AMathWk.6</v>
      </c>
      <c r="Y14" t="str">
        <f t="shared" si="7"/>
        <v>11A</v>
      </c>
      <c r="Z14" t="str">
        <f t="shared" si="8"/>
        <v>Math</v>
      </c>
      <c r="AA14" t="str">
        <f t="shared" si="9"/>
        <v>Feb</v>
      </c>
      <c r="AB14" t="str">
        <f t="shared" si="10"/>
        <v>Wk.6</v>
      </c>
      <c r="AC14">
        <f t="shared" si="11"/>
        <v>79.969696969696969</v>
      </c>
      <c r="AF14" t="s">
        <v>54</v>
      </c>
      <c r="AG14" t="s">
        <v>41</v>
      </c>
      <c r="AH14" t="str">
        <f>IF(Table4[[#This Row],[Nilai]]="","",VLOOKUP(Table4[[#This Row],[Helper]],$I$5:$L$380,4,FALSE))</f>
        <v/>
      </c>
      <c r="AI14" t="s">
        <v>494</v>
      </c>
      <c r="AJ14" t="str">
        <f t="shared" si="12"/>
        <v>11ASkillWk.11</v>
      </c>
      <c r="AK14" s="24" t="str">
        <f t="shared" si="13"/>
        <v/>
      </c>
    </row>
    <row r="15" spans="1:37" x14ac:dyDescent="0.2">
      <c r="A15" t="s">
        <v>54</v>
      </c>
      <c r="B15" t="s">
        <v>90</v>
      </c>
      <c r="C15" t="s">
        <v>412</v>
      </c>
      <c r="D15" t="s">
        <v>464</v>
      </c>
      <c r="E15" s="6">
        <v>71.257142857142853</v>
      </c>
      <c r="I15" t="str">
        <f t="shared" si="0"/>
        <v>11AKarakterWk.6</v>
      </c>
      <c r="J15" t="str">
        <f t="shared" si="1"/>
        <v>11A</v>
      </c>
      <c r="K15" t="str">
        <f t="shared" si="2"/>
        <v>Karakter</v>
      </c>
      <c r="L15" t="str">
        <f t="shared" si="3"/>
        <v>Feb</v>
      </c>
      <c r="M15" t="str">
        <f t="shared" si="4"/>
        <v>Wk.6</v>
      </c>
      <c r="N15" s="26">
        <f t="shared" si="5"/>
        <v>71.257142857142853</v>
      </c>
      <c r="Q15" t="s">
        <v>54</v>
      </c>
      <c r="R15" t="s">
        <v>84</v>
      </c>
      <c r="S15" t="s">
        <v>412</v>
      </c>
      <c r="T15" t="s">
        <v>465</v>
      </c>
      <c r="U15" s="6">
        <v>56.81818181818182</v>
      </c>
      <c r="X15" t="str">
        <f t="shared" si="6"/>
        <v>11AMathWk.7</v>
      </c>
      <c r="Y15" t="str">
        <f t="shared" si="7"/>
        <v>11A</v>
      </c>
      <c r="Z15" t="str">
        <f t="shared" si="8"/>
        <v>Math</v>
      </c>
      <c r="AA15" t="str">
        <f t="shared" si="9"/>
        <v>Feb</v>
      </c>
      <c r="AB15" t="str">
        <f t="shared" si="10"/>
        <v>Wk.7</v>
      </c>
      <c r="AC15">
        <f t="shared" si="11"/>
        <v>56.81818181818182</v>
      </c>
      <c r="AF15" t="s">
        <v>54</v>
      </c>
      <c r="AG15" t="s">
        <v>41</v>
      </c>
      <c r="AH15" t="str">
        <f>IF(Table4[[#This Row],[Nilai]]="","",VLOOKUP(Table4[[#This Row],[Helper]],$I$5:$L$380,4,FALSE))</f>
        <v/>
      </c>
      <c r="AI15" t="s">
        <v>495</v>
      </c>
      <c r="AJ15" t="str">
        <f t="shared" si="12"/>
        <v>11ASkillWk.12</v>
      </c>
      <c r="AK15" s="24" t="str">
        <f t="shared" si="13"/>
        <v/>
      </c>
    </row>
    <row r="16" spans="1:37" x14ac:dyDescent="0.2">
      <c r="A16" t="s">
        <v>54</v>
      </c>
      <c r="B16" t="s">
        <v>90</v>
      </c>
      <c r="C16" t="s">
        <v>412</v>
      </c>
      <c r="D16" t="s">
        <v>465</v>
      </c>
      <c r="E16" s="6">
        <v>73.227272727272734</v>
      </c>
      <c r="I16" t="str">
        <f t="shared" si="0"/>
        <v>11AKarakterWk.7</v>
      </c>
      <c r="J16" t="str">
        <f t="shared" si="1"/>
        <v>11A</v>
      </c>
      <c r="K16" t="str">
        <f t="shared" si="2"/>
        <v>Karakter</v>
      </c>
      <c r="L16" t="str">
        <f t="shared" si="3"/>
        <v>Feb</v>
      </c>
      <c r="M16" t="str">
        <f t="shared" si="4"/>
        <v>Wk.7</v>
      </c>
      <c r="N16" s="26">
        <f t="shared" si="5"/>
        <v>73.227272727272734</v>
      </c>
      <c r="Q16" t="s">
        <v>65</v>
      </c>
      <c r="R16" t="s">
        <v>81</v>
      </c>
      <c r="S16" t="s">
        <v>405</v>
      </c>
      <c r="T16" t="s">
        <v>463</v>
      </c>
      <c r="U16" s="6">
        <v>83.888888888888886</v>
      </c>
      <c r="X16" t="str">
        <f t="shared" si="6"/>
        <v>12AB.IndoWk.5</v>
      </c>
      <c r="Y16" t="str">
        <f t="shared" si="7"/>
        <v>12A</v>
      </c>
      <c r="Z16" t="str">
        <f t="shared" si="8"/>
        <v>B.Indo</v>
      </c>
      <c r="AA16" t="str">
        <f t="shared" si="9"/>
        <v>Jan</v>
      </c>
      <c r="AB16" t="str">
        <f t="shared" si="10"/>
        <v>Wk.5</v>
      </c>
      <c r="AC16">
        <f t="shared" si="11"/>
        <v>83.888888888888886</v>
      </c>
      <c r="AF16" t="s">
        <v>54</v>
      </c>
      <c r="AG16" t="s">
        <v>41</v>
      </c>
      <c r="AH16" t="str">
        <f>IF(Table4[[#This Row],[Nilai]]="","",VLOOKUP(Table4[[#This Row],[Helper]],$I$5:$L$380,4,FALSE))</f>
        <v/>
      </c>
      <c r="AI16" t="s">
        <v>496</v>
      </c>
      <c r="AJ16" t="str">
        <f t="shared" si="12"/>
        <v>11ASkillWk.13</v>
      </c>
      <c r="AK16" s="24" t="str">
        <f t="shared" si="13"/>
        <v/>
      </c>
    </row>
    <row r="17" spans="1:37" x14ac:dyDescent="0.2">
      <c r="A17" t="s">
        <v>54</v>
      </c>
      <c r="B17" t="s">
        <v>90</v>
      </c>
      <c r="C17" t="s">
        <v>412</v>
      </c>
      <c r="D17" t="s">
        <v>467</v>
      </c>
      <c r="E17" s="6">
        <v>72.045454545454547</v>
      </c>
      <c r="I17" t="str">
        <f t="shared" si="0"/>
        <v>11AKarakterWk.8</v>
      </c>
      <c r="J17" t="str">
        <f t="shared" si="1"/>
        <v>11A</v>
      </c>
      <c r="K17" t="str">
        <f t="shared" si="2"/>
        <v>Karakter</v>
      </c>
      <c r="L17" t="str">
        <f t="shared" si="3"/>
        <v>Feb</v>
      </c>
      <c r="M17" t="str">
        <f t="shared" si="4"/>
        <v>Wk.8</v>
      </c>
      <c r="N17" s="26">
        <f t="shared" si="5"/>
        <v>72.045454545454547</v>
      </c>
      <c r="Q17" t="s">
        <v>65</v>
      </c>
      <c r="R17" t="s">
        <v>81</v>
      </c>
      <c r="S17" t="s">
        <v>412</v>
      </c>
      <c r="T17" t="s">
        <v>465</v>
      </c>
      <c r="U17" s="6">
        <v>82.222222222222229</v>
      </c>
      <c r="X17" t="str">
        <f t="shared" si="6"/>
        <v>12AB.IndoWk.7</v>
      </c>
      <c r="Y17" t="str">
        <f t="shared" si="7"/>
        <v>12A</v>
      </c>
      <c r="Z17" t="str">
        <f t="shared" si="8"/>
        <v>B.Indo</v>
      </c>
      <c r="AA17" t="str">
        <f t="shared" si="9"/>
        <v>Feb</v>
      </c>
      <c r="AB17" t="str">
        <f t="shared" si="10"/>
        <v>Wk.7</v>
      </c>
      <c r="AC17">
        <f t="shared" si="11"/>
        <v>82.222222222222229</v>
      </c>
      <c r="AF17" t="s">
        <v>54</v>
      </c>
      <c r="AG17" t="s">
        <v>41</v>
      </c>
      <c r="AH17" t="str">
        <f>IF(Table4[[#This Row],[Nilai]]="","",VLOOKUP(Table4[[#This Row],[Helper]],$I$5:$L$380,4,FALSE))</f>
        <v/>
      </c>
      <c r="AI17" t="s">
        <v>497</v>
      </c>
      <c r="AJ17" t="str">
        <f t="shared" si="12"/>
        <v>11ASkillWk.14</v>
      </c>
      <c r="AK17" s="24" t="str">
        <f t="shared" si="13"/>
        <v/>
      </c>
    </row>
    <row r="18" spans="1:37" x14ac:dyDescent="0.2">
      <c r="A18" t="s">
        <v>54</v>
      </c>
      <c r="B18" t="s">
        <v>36</v>
      </c>
      <c r="C18" t="s">
        <v>405</v>
      </c>
      <c r="D18" t="s">
        <v>466</v>
      </c>
      <c r="E18" s="6">
        <v>58.5</v>
      </c>
      <c r="I18" t="str">
        <f t="shared" si="0"/>
        <v>11ATeoriWk.2</v>
      </c>
      <c r="J18" t="str">
        <f t="shared" si="1"/>
        <v>11A</v>
      </c>
      <c r="K18" t="str">
        <f t="shared" si="2"/>
        <v>Teori</v>
      </c>
      <c r="L18" t="str">
        <f t="shared" si="3"/>
        <v>Jan</v>
      </c>
      <c r="M18" t="str">
        <f t="shared" si="4"/>
        <v>Wk.2</v>
      </c>
      <c r="N18" s="26">
        <f t="shared" si="5"/>
        <v>58.5</v>
      </c>
      <c r="Q18" t="s">
        <v>65</v>
      </c>
      <c r="R18" t="s">
        <v>81</v>
      </c>
      <c r="S18" t="s">
        <v>412</v>
      </c>
      <c r="T18" t="s">
        <v>467</v>
      </c>
      <c r="U18" s="6">
        <v>82.222222222222229</v>
      </c>
      <c r="X18" t="str">
        <f t="shared" si="6"/>
        <v>12AB.IndoWk.8</v>
      </c>
      <c r="Y18" t="str">
        <f t="shared" si="7"/>
        <v>12A</v>
      </c>
      <c r="Z18" t="str">
        <f t="shared" si="8"/>
        <v>B.Indo</v>
      </c>
      <c r="AA18" t="str">
        <f t="shared" si="9"/>
        <v>Feb</v>
      </c>
      <c r="AB18" t="str">
        <f t="shared" si="10"/>
        <v>Wk.8</v>
      </c>
      <c r="AC18">
        <f t="shared" si="11"/>
        <v>82.222222222222229</v>
      </c>
      <c r="AF18" t="s">
        <v>54</v>
      </c>
      <c r="AG18" t="s">
        <v>41</v>
      </c>
      <c r="AH18" t="str">
        <f>IF(Table4[[#This Row],[Nilai]]="","",VLOOKUP(Table4[[#This Row],[Helper]],$I$5:$L$380,4,FALSE))</f>
        <v/>
      </c>
      <c r="AI18" t="s">
        <v>498</v>
      </c>
      <c r="AJ18" t="str">
        <f t="shared" si="12"/>
        <v>11ASkillWk.15</v>
      </c>
      <c r="AK18" s="24" t="str">
        <f t="shared" si="13"/>
        <v/>
      </c>
    </row>
    <row r="19" spans="1:37" x14ac:dyDescent="0.2">
      <c r="A19" t="s">
        <v>54</v>
      </c>
      <c r="B19" t="s">
        <v>36</v>
      </c>
      <c r="C19" t="s">
        <v>405</v>
      </c>
      <c r="D19" t="s">
        <v>461</v>
      </c>
      <c r="E19" s="6">
        <v>64.493827160493822</v>
      </c>
      <c r="I19" t="str">
        <f t="shared" si="0"/>
        <v>11ATeoriWk.3</v>
      </c>
      <c r="J19" t="str">
        <f t="shared" si="1"/>
        <v>11A</v>
      </c>
      <c r="K19" t="str">
        <f t="shared" si="2"/>
        <v>Teori</v>
      </c>
      <c r="L19" t="str">
        <f t="shared" si="3"/>
        <v>Jan</v>
      </c>
      <c r="M19" t="str">
        <f t="shared" si="4"/>
        <v>Wk.3</v>
      </c>
      <c r="N19" s="26">
        <f t="shared" si="5"/>
        <v>64.493827160493822</v>
      </c>
      <c r="Q19" t="s">
        <v>65</v>
      </c>
      <c r="R19" t="s">
        <v>84</v>
      </c>
      <c r="S19" t="s">
        <v>405</v>
      </c>
      <c r="T19" t="s">
        <v>461</v>
      </c>
      <c r="U19" s="6">
        <v>74.111111111111114</v>
      </c>
      <c r="X19" t="str">
        <f t="shared" si="6"/>
        <v>12AMathWk.3</v>
      </c>
      <c r="Y19" t="str">
        <f t="shared" si="7"/>
        <v>12A</v>
      </c>
      <c r="Z19" t="str">
        <f t="shared" si="8"/>
        <v>Math</v>
      </c>
      <c r="AA19" t="str">
        <f t="shared" si="9"/>
        <v>Jan</v>
      </c>
      <c r="AB19" t="str">
        <f t="shared" si="10"/>
        <v>Wk.3</v>
      </c>
      <c r="AC19">
        <f t="shared" si="11"/>
        <v>74.111111111111114</v>
      </c>
      <c r="AF19" t="s">
        <v>54</v>
      </c>
      <c r="AG19" t="s">
        <v>41</v>
      </c>
      <c r="AH19" t="str">
        <f>IF(Table4[[#This Row],[Nilai]]="","",VLOOKUP(Table4[[#This Row],[Helper]],$I$5:$L$380,4,FALSE))</f>
        <v/>
      </c>
      <c r="AI19" t="s">
        <v>499</v>
      </c>
      <c r="AJ19" t="str">
        <f t="shared" si="12"/>
        <v>11ASkillWk.16</v>
      </c>
      <c r="AK19" s="24" t="str">
        <f t="shared" si="13"/>
        <v/>
      </c>
    </row>
    <row r="20" spans="1:37" x14ac:dyDescent="0.2">
      <c r="A20" t="s">
        <v>54</v>
      </c>
      <c r="B20" t="s">
        <v>36</v>
      </c>
      <c r="C20" t="s">
        <v>405</v>
      </c>
      <c r="D20" t="s">
        <v>462</v>
      </c>
      <c r="E20" s="6">
        <v>61.174418604651166</v>
      </c>
      <c r="I20" t="str">
        <f t="shared" si="0"/>
        <v>11ATeoriWk.4</v>
      </c>
      <c r="J20" t="str">
        <f t="shared" si="1"/>
        <v>11A</v>
      </c>
      <c r="K20" t="str">
        <f t="shared" si="2"/>
        <v>Teori</v>
      </c>
      <c r="L20" t="str">
        <f t="shared" si="3"/>
        <v>Jan</v>
      </c>
      <c r="M20" t="str">
        <f t="shared" si="4"/>
        <v>Wk.4</v>
      </c>
      <c r="N20" s="26">
        <f t="shared" si="5"/>
        <v>61.174418604651166</v>
      </c>
      <c r="Q20" t="s">
        <v>65</v>
      </c>
      <c r="R20" t="s">
        <v>84</v>
      </c>
      <c r="S20" t="s">
        <v>405</v>
      </c>
      <c r="T20" t="s">
        <v>462</v>
      </c>
      <c r="U20" s="6">
        <v>75.117647058823536</v>
      </c>
      <c r="X20" t="str">
        <f t="shared" si="6"/>
        <v>12AMathWk.4</v>
      </c>
      <c r="Y20" t="str">
        <f t="shared" si="7"/>
        <v>12A</v>
      </c>
      <c r="Z20" t="str">
        <f t="shared" si="8"/>
        <v>Math</v>
      </c>
      <c r="AA20" t="str">
        <f t="shared" si="9"/>
        <v>Jan</v>
      </c>
      <c r="AB20" t="str">
        <f t="shared" si="10"/>
        <v>Wk.4</v>
      </c>
      <c r="AC20">
        <f t="shared" si="11"/>
        <v>75.117647058823536</v>
      </c>
      <c r="AF20" t="s">
        <v>54</v>
      </c>
      <c r="AG20" t="s">
        <v>41</v>
      </c>
      <c r="AH20" t="str">
        <f>IF(Table4[[#This Row],[Nilai]]="","",VLOOKUP(Table4[[#This Row],[Helper]],$I$5:$L$380,4,FALSE))</f>
        <v/>
      </c>
      <c r="AI20" t="s">
        <v>500</v>
      </c>
      <c r="AJ20" t="str">
        <f t="shared" si="12"/>
        <v>11ASkillWk.17</v>
      </c>
      <c r="AK20" s="24" t="str">
        <f t="shared" si="13"/>
        <v/>
      </c>
    </row>
    <row r="21" spans="1:37" x14ac:dyDescent="0.2">
      <c r="A21" t="s">
        <v>54</v>
      </c>
      <c r="B21" t="s">
        <v>36</v>
      </c>
      <c r="C21" t="s">
        <v>405</v>
      </c>
      <c r="D21" t="s">
        <v>463</v>
      </c>
      <c r="E21" s="6">
        <v>66.594202898550719</v>
      </c>
      <c r="I21" t="str">
        <f t="shared" si="0"/>
        <v>11ATeoriWk.5</v>
      </c>
      <c r="J21" t="str">
        <f t="shared" si="1"/>
        <v>11A</v>
      </c>
      <c r="K21" t="str">
        <f t="shared" si="2"/>
        <v>Teori</v>
      </c>
      <c r="L21" t="str">
        <f t="shared" si="3"/>
        <v>Jan</v>
      </c>
      <c r="M21" t="str">
        <f t="shared" si="4"/>
        <v>Wk.5</v>
      </c>
      <c r="N21">
        <f t="shared" si="5"/>
        <v>66.594202898550719</v>
      </c>
      <c r="Q21" t="s">
        <v>65</v>
      </c>
      <c r="R21" t="s">
        <v>84</v>
      </c>
      <c r="S21" t="s">
        <v>412</v>
      </c>
      <c r="T21" t="s">
        <v>464</v>
      </c>
      <c r="U21" s="6">
        <v>80.333333333333329</v>
      </c>
      <c r="X21" t="str">
        <f t="shared" si="6"/>
        <v>12AMathWk.6</v>
      </c>
      <c r="Y21" t="str">
        <f t="shared" si="7"/>
        <v>12A</v>
      </c>
      <c r="Z21" t="str">
        <f t="shared" si="8"/>
        <v>Math</v>
      </c>
      <c r="AA21" t="str">
        <f t="shared" si="9"/>
        <v>Feb</v>
      </c>
      <c r="AB21" t="str">
        <f t="shared" si="10"/>
        <v>Wk.6</v>
      </c>
      <c r="AC21">
        <f t="shared" si="11"/>
        <v>80.333333333333329</v>
      </c>
      <c r="AF21" t="s">
        <v>54</v>
      </c>
      <c r="AG21" t="s">
        <v>41</v>
      </c>
      <c r="AH21" t="str">
        <f>IF(Table4[[#This Row],[Nilai]]="","",VLOOKUP(Table4[[#This Row],[Helper]],$I$5:$L$380,4,FALSE))</f>
        <v/>
      </c>
      <c r="AI21" t="s">
        <v>501</v>
      </c>
      <c r="AJ21" t="str">
        <f t="shared" si="12"/>
        <v>11ASkillWk.18</v>
      </c>
      <c r="AK21" s="24" t="str">
        <f t="shared" si="13"/>
        <v/>
      </c>
    </row>
    <row r="22" spans="1:37" x14ac:dyDescent="0.2">
      <c r="A22" t="s">
        <v>54</v>
      </c>
      <c r="B22" t="s">
        <v>36</v>
      </c>
      <c r="C22" t="s">
        <v>412</v>
      </c>
      <c r="D22" t="s">
        <v>464</v>
      </c>
      <c r="E22" s="6">
        <v>75.316831683168317</v>
      </c>
      <c r="I22" t="str">
        <f t="shared" si="0"/>
        <v>11ATeoriWk.6</v>
      </c>
      <c r="J22" t="str">
        <f t="shared" si="1"/>
        <v>11A</v>
      </c>
      <c r="K22" t="str">
        <f t="shared" si="2"/>
        <v>Teori</v>
      </c>
      <c r="L22" t="str">
        <f t="shared" si="3"/>
        <v>Feb</v>
      </c>
      <c r="M22" t="str">
        <f t="shared" si="4"/>
        <v>Wk.6</v>
      </c>
      <c r="N22">
        <f t="shared" si="5"/>
        <v>75.316831683168317</v>
      </c>
      <c r="Q22" t="s">
        <v>65</v>
      </c>
      <c r="R22" t="s">
        <v>84</v>
      </c>
      <c r="S22" t="s">
        <v>412</v>
      </c>
      <c r="T22" t="s">
        <v>465</v>
      </c>
      <c r="U22" s="6">
        <v>79.708333333333329</v>
      </c>
      <c r="X22" t="str">
        <f t="shared" si="6"/>
        <v>12AMathWk.7</v>
      </c>
      <c r="Y22" t="str">
        <f t="shared" si="7"/>
        <v>12A</v>
      </c>
      <c r="Z22" t="str">
        <f t="shared" si="8"/>
        <v>Math</v>
      </c>
      <c r="AA22" t="str">
        <f t="shared" si="9"/>
        <v>Feb</v>
      </c>
      <c r="AB22" t="str">
        <f t="shared" si="10"/>
        <v>Wk.7</v>
      </c>
      <c r="AC22">
        <f t="shared" si="11"/>
        <v>79.708333333333329</v>
      </c>
      <c r="AF22" t="s">
        <v>54</v>
      </c>
      <c r="AG22" t="s">
        <v>41</v>
      </c>
      <c r="AH22" t="str">
        <f>IF(Table4[[#This Row],[Nilai]]="","",VLOOKUP(Table4[[#This Row],[Helper]],$I$5:$L$380,4,FALSE))</f>
        <v/>
      </c>
      <c r="AI22" t="s">
        <v>502</v>
      </c>
      <c r="AJ22" t="str">
        <f t="shared" si="12"/>
        <v>11ASkillWk.19</v>
      </c>
      <c r="AK22" s="24" t="str">
        <f t="shared" si="13"/>
        <v/>
      </c>
    </row>
    <row r="23" spans="1:37" x14ac:dyDescent="0.2">
      <c r="A23" t="s">
        <v>54</v>
      </c>
      <c r="B23" t="s">
        <v>36</v>
      </c>
      <c r="C23" t="s">
        <v>412</v>
      </c>
      <c r="D23" t="s">
        <v>465</v>
      </c>
      <c r="E23" s="6">
        <v>64.344262295081961</v>
      </c>
      <c r="I23" t="str">
        <f t="shared" si="0"/>
        <v>11ATeoriWk.7</v>
      </c>
      <c r="J23" t="str">
        <f t="shared" si="1"/>
        <v>11A</v>
      </c>
      <c r="K23" t="str">
        <f t="shared" si="2"/>
        <v>Teori</v>
      </c>
      <c r="L23" t="str">
        <f t="shared" si="3"/>
        <v>Feb</v>
      </c>
      <c r="M23" t="str">
        <f t="shared" si="4"/>
        <v>Wk.7</v>
      </c>
      <c r="N23">
        <f t="shared" si="5"/>
        <v>64.344262295081961</v>
      </c>
      <c r="Q23" t="s">
        <v>65</v>
      </c>
      <c r="R23" t="s">
        <v>84</v>
      </c>
      <c r="S23" t="s">
        <v>412</v>
      </c>
      <c r="T23" t="s">
        <v>486</v>
      </c>
      <c r="U23" s="6">
        <v>90.333333333333329</v>
      </c>
      <c r="X23" t="str">
        <f t="shared" si="6"/>
        <v>12AMathWk.9</v>
      </c>
      <c r="Y23" t="str">
        <f t="shared" si="7"/>
        <v>12A</v>
      </c>
      <c r="Z23" t="str">
        <f t="shared" si="8"/>
        <v>Math</v>
      </c>
      <c r="AA23" t="str">
        <f t="shared" si="9"/>
        <v>Feb</v>
      </c>
      <c r="AB23" t="str">
        <f t="shared" si="10"/>
        <v>Wk.9</v>
      </c>
      <c r="AC23">
        <f t="shared" si="11"/>
        <v>90.333333333333329</v>
      </c>
      <c r="AF23" t="s">
        <v>54</v>
      </c>
      <c r="AG23" t="s">
        <v>41</v>
      </c>
      <c r="AH23" t="str">
        <f>IF(Table4[[#This Row],[Nilai]]="","",VLOOKUP(Table4[[#This Row],[Helper]],$I$5:$L$380,4,FALSE))</f>
        <v/>
      </c>
      <c r="AI23" t="s">
        <v>503</v>
      </c>
      <c r="AJ23" t="str">
        <f t="shared" si="12"/>
        <v>11ASkillWk.20</v>
      </c>
      <c r="AK23" s="24" t="str">
        <f t="shared" si="13"/>
        <v/>
      </c>
    </row>
    <row r="24" spans="1:37" x14ac:dyDescent="0.2">
      <c r="A24" t="s">
        <v>54</v>
      </c>
      <c r="B24" t="s">
        <v>36</v>
      </c>
      <c r="C24" t="s">
        <v>412</v>
      </c>
      <c r="D24" t="s">
        <v>467</v>
      </c>
      <c r="E24" s="6">
        <v>71.977777777777774</v>
      </c>
      <c r="I24" t="str">
        <f t="shared" si="0"/>
        <v>11ATeoriWk.8</v>
      </c>
      <c r="J24" t="str">
        <f t="shared" si="1"/>
        <v>11A</v>
      </c>
      <c r="K24" t="str">
        <f t="shared" si="2"/>
        <v>Teori</v>
      </c>
      <c r="L24" t="str">
        <f t="shared" si="3"/>
        <v>Feb</v>
      </c>
      <c r="M24" t="str">
        <f t="shared" si="4"/>
        <v>Wk.8</v>
      </c>
      <c r="N24">
        <f t="shared" si="5"/>
        <v>71.977777777777774</v>
      </c>
      <c r="X24" t="str">
        <f t="shared" si="6"/>
        <v/>
      </c>
      <c r="Y24" t="str">
        <f t="shared" si="7"/>
        <v/>
      </c>
      <c r="Z24" t="str">
        <f t="shared" si="8"/>
        <v/>
      </c>
      <c r="AA24" t="str">
        <f t="shared" si="9"/>
        <v/>
      </c>
      <c r="AB24" t="str">
        <f t="shared" si="10"/>
        <v/>
      </c>
      <c r="AC24" t="str">
        <f t="shared" si="11"/>
        <v/>
      </c>
      <c r="AF24" t="s">
        <v>54</v>
      </c>
      <c r="AG24" t="s">
        <v>41</v>
      </c>
      <c r="AH24" t="str">
        <f>IF(Table4[[#This Row],[Nilai]]="","",VLOOKUP(Table4[[#This Row],[Helper]],$I$5:$L$380,4,FALSE))</f>
        <v/>
      </c>
      <c r="AI24" t="s">
        <v>504</v>
      </c>
      <c r="AJ24" t="str">
        <f t="shared" si="12"/>
        <v>11ASkillWk.21</v>
      </c>
      <c r="AK24" s="24" t="str">
        <f t="shared" si="13"/>
        <v/>
      </c>
    </row>
    <row r="25" spans="1:37" x14ac:dyDescent="0.2">
      <c r="A25" t="s">
        <v>54</v>
      </c>
      <c r="B25" t="s">
        <v>36</v>
      </c>
      <c r="C25" t="s">
        <v>412</v>
      </c>
      <c r="D25" t="s">
        <v>486</v>
      </c>
      <c r="E25" s="6">
        <v>72.3</v>
      </c>
      <c r="I25" t="str">
        <f t="shared" si="0"/>
        <v>11ATeoriWk.9</v>
      </c>
      <c r="J25" t="str">
        <f t="shared" si="1"/>
        <v>11A</v>
      </c>
      <c r="K25" t="str">
        <f t="shared" si="2"/>
        <v>Teori</v>
      </c>
      <c r="L25" t="str">
        <f t="shared" si="3"/>
        <v>Feb</v>
      </c>
      <c r="M25" t="str">
        <f t="shared" si="4"/>
        <v>Wk.9</v>
      </c>
      <c r="N25">
        <f t="shared" si="5"/>
        <v>72.3</v>
      </c>
      <c r="X25" t="str">
        <f t="shared" si="6"/>
        <v/>
      </c>
      <c r="Y25" t="str">
        <f t="shared" si="7"/>
        <v/>
      </c>
      <c r="Z25" t="str">
        <f t="shared" si="8"/>
        <v/>
      </c>
      <c r="AA25" t="str">
        <f t="shared" si="9"/>
        <v/>
      </c>
      <c r="AB25" t="str">
        <f t="shared" si="10"/>
        <v/>
      </c>
      <c r="AC25" t="str">
        <f t="shared" si="11"/>
        <v/>
      </c>
      <c r="AF25" t="s">
        <v>54</v>
      </c>
      <c r="AG25" t="s">
        <v>41</v>
      </c>
      <c r="AH25" t="str">
        <f>IF(Table4[[#This Row],[Nilai]]="","",VLOOKUP(Table4[[#This Row],[Helper]],$I$5:$L$380,4,FALSE))</f>
        <v/>
      </c>
      <c r="AI25" t="s">
        <v>505</v>
      </c>
      <c r="AJ25" t="str">
        <f t="shared" si="12"/>
        <v>11ASkillWk.22</v>
      </c>
      <c r="AK25" s="24" t="str">
        <f t="shared" si="13"/>
        <v/>
      </c>
    </row>
    <row r="26" spans="1:37" x14ac:dyDescent="0.2">
      <c r="A26" t="s">
        <v>54</v>
      </c>
      <c r="B26" t="s">
        <v>31</v>
      </c>
      <c r="C26" t="s">
        <v>405</v>
      </c>
      <c r="D26" t="s">
        <v>461</v>
      </c>
      <c r="E26" s="6">
        <v>66.555555555555557</v>
      </c>
      <c r="I26" t="str">
        <f t="shared" si="0"/>
        <v>11ANalarWk.3</v>
      </c>
      <c r="J26" t="str">
        <f t="shared" si="1"/>
        <v>11A</v>
      </c>
      <c r="K26" t="str">
        <f t="shared" si="2"/>
        <v>Nalar</v>
      </c>
      <c r="L26" t="str">
        <f t="shared" si="3"/>
        <v>Jan</v>
      </c>
      <c r="M26" t="str">
        <f t="shared" si="4"/>
        <v>Wk.3</v>
      </c>
      <c r="N26">
        <f t="shared" si="5"/>
        <v>66.555555555555557</v>
      </c>
      <c r="X26" t="str">
        <f t="shared" si="6"/>
        <v/>
      </c>
      <c r="Y26" t="str">
        <f t="shared" si="7"/>
        <v/>
      </c>
      <c r="Z26" t="str">
        <f t="shared" si="8"/>
        <v/>
      </c>
      <c r="AA26" t="str">
        <f t="shared" si="9"/>
        <v/>
      </c>
      <c r="AB26" t="str">
        <f t="shared" si="10"/>
        <v/>
      </c>
      <c r="AC26" t="str">
        <f t="shared" si="11"/>
        <v/>
      </c>
      <c r="AF26" t="s">
        <v>54</v>
      </c>
      <c r="AG26" t="s">
        <v>41</v>
      </c>
      <c r="AH26" t="str">
        <f>IF(Table4[[#This Row],[Nilai]]="","",VLOOKUP(Table4[[#This Row],[Helper]],$I$5:$L$380,4,FALSE))</f>
        <v/>
      </c>
      <c r="AI26" t="s">
        <v>506</v>
      </c>
      <c r="AJ26" t="str">
        <f t="shared" si="12"/>
        <v>11ASkillWk.23</v>
      </c>
      <c r="AK26" s="24" t="str">
        <f t="shared" si="13"/>
        <v/>
      </c>
    </row>
    <row r="27" spans="1:37" x14ac:dyDescent="0.2">
      <c r="A27" t="s">
        <v>54</v>
      </c>
      <c r="B27" t="s">
        <v>31</v>
      </c>
      <c r="C27" t="s">
        <v>405</v>
      </c>
      <c r="D27" t="s">
        <v>462</v>
      </c>
      <c r="E27" s="6">
        <v>56.704545454545453</v>
      </c>
      <c r="I27" t="str">
        <f t="shared" si="0"/>
        <v>11ANalarWk.4</v>
      </c>
      <c r="J27" t="str">
        <f t="shared" si="1"/>
        <v>11A</v>
      </c>
      <c r="K27" t="str">
        <f t="shared" si="2"/>
        <v>Nalar</v>
      </c>
      <c r="L27" t="str">
        <f t="shared" si="3"/>
        <v>Jan</v>
      </c>
      <c r="M27" t="str">
        <f t="shared" si="4"/>
        <v>Wk.4</v>
      </c>
      <c r="N27">
        <f t="shared" si="5"/>
        <v>56.704545454545453</v>
      </c>
      <c r="X27" t="str">
        <f t="shared" si="6"/>
        <v/>
      </c>
      <c r="Y27" t="str">
        <f t="shared" si="7"/>
        <v/>
      </c>
      <c r="Z27" t="str">
        <f t="shared" si="8"/>
        <v/>
      </c>
      <c r="AA27" t="str">
        <f t="shared" si="9"/>
        <v/>
      </c>
      <c r="AB27" t="str">
        <f t="shared" si="10"/>
        <v/>
      </c>
      <c r="AC27" t="str">
        <f t="shared" si="11"/>
        <v/>
      </c>
      <c r="AF27" t="s">
        <v>54</v>
      </c>
      <c r="AG27" t="s">
        <v>41</v>
      </c>
      <c r="AH27" t="str">
        <f>IF(Table4[[#This Row],[Nilai]]="","",VLOOKUP(Table4[[#This Row],[Helper]],$I$5:$L$380,4,FALSE))</f>
        <v/>
      </c>
      <c r="AI27" t="s">
        <v>507</v>
      </c>
      <c r="AJ27" t="str">
        <f t="shared" si="12"/>
        <v>11ASkillWk.24</v>
      </c>
      <c r="AK27" s="24" t="str">
        <f t="shared" si="13"/>
        <v/>
      </c>
    </row>
    <row r="28" spans="1:37" x14ac:dyDescent="0.2">
      <c r="A28" t="s">
        <v>54</v>
      </c>
      <c r="B28" t="s">
        <v>31</v>
      </c>
      <c r="C28" t="s">
        <v>405</v>
      </c>
      <c r="D28" t="s">
        <v>463</v>
      </c>
      <c r="E28" s="6">
        <v>68.068181818181813</v>
      </c>
      <c r="I28" t="str">
        <f t="shared" si="0"/>
        <v>11ANalarWk.5</v>
      </c>
      <c r="J28" t="str">
        <f t="shared" si="1"/>
        <v>11A</v>
      </c>
      <c r="K28" t="str">
        <f t="shared" si="2"/>
        <v>Nalar</v>
      </c>
      <c r="L28" t="str">
        <f t="shared" si="3"/>
        <v>Jan</v>
      </c>
      <c r="M28" t="str">
        <f t="shared" si="4"/>
        <v>Wk.5</v>
      </c>
      <c r="N28">
        <f t="shared" si="5"/>
        <v>68.068181818181813</v>
      </c>
      <c r="X28" t="str">
        <f t="shared" si="6"/>
        <v/>
      </c>
      <c r="Y28" t="str">
        <f t="shared" si="7"/>
        <v/>
      </c>
      <c r="Z28" t="str">
        <f t="shared" si="8"/>
        <v/>
      </c>
      <c r="AA28" t="str">
        <f t="shared" si="9"/>
        <v/>
      </c>
      <c r="AB28" t="str">
        <f t="shared" si="10"/>
        <v/>
      </c>
      <c r="AC28" t="str">
        <f t="shared" si="11"/>
        <v/>
      </c>
      <c r="AF28" t="s">
        <v>54</v>
      </c>
      <c r="AG28" t="s">
        <v>41</v>
      </c>
      <c r="AH28" t="str">
        <f>IF(Table4[[#This Row],[Nilai]]="","",VLOOKUP(Table4[[#This Row],[Helper]],$I$5:$L$380,4,FALSE))</f>
        <v/>
      </c>
      <c r="AI28" t="s">
        <v>508</v>
      </c>
      <c r="AJ28" t="str">
        <f t="shared" si="12"/>
        <v>11ASkillWk.25</v>
      </c>
      <c r="AK28" s="24" t="str">
        <f t="shared" si="13"/>
        <v/>
      </c>
    </row>
    <row r="29" spans="1:37" x14ac:dyDescent="0.2">
      <c r="A29" t="s">
        <v>54</v>
      </c>
      <c r="B29" t="s">
        <v>31</v>
      </c>
      <c r="C29" t="s">
        <v>412</v>
      </c>
      <c r="D29" t="s">
        <v>464</v>
      </c>
      <c r="E29" s="6">
        <v>74.264705882352942</v>
      </c>
      <c r="I29" t="str">
        <f t="shared" si="0"/>
        <v>11ANalarWk.6</v>
      </c>
      <c r="J29" t="str">
        <f t="shared" si="1"/>
        <v>11A</v>
      </c>
      <c r="K29" t="str">
        <f t="shared" si="2"/>
        <v>Nalar</v>
      </c>
      <c r="L29" t="str">
        <f t="shared" si="3"/>
        <v>Feb</v>
      </c>
      <c r="M29" t="str">
        <f t="shared" si="4"/>
        <v>Wk.6</v>
      </c>
      <c r="N29">
        <f t="shared" si="5"/>
        <v>74.264705882352942</v>
      </c>
      <c r="X29" t="str">
        <f t="shared" si="6"/>
        <v/>
      </c>
      <c r="Y29" t="str">
        <f t="shared" si="7"/>
        <v/>
      </c>
      <c r="Z29" t="str">
        <f t="shared" si="8"/>
        <v/>
      </c>
      <c r="AA29" t="str">
        <f t="shared" si="9"/>
        <v/>
      </c>
      <c r="AB29" t="str">
        <f t="shared" si="10"/>
        <v/>
      </c>
      <c r="AC29" t="str">
        <f t="shared" si="11"/>
        <v/>
      </c>
      <c r="AF29" t="s">
        <v>65</v>
      </c>
      <c r="AG29" t="s">
        <v>41</v>
      </c>
      <c r="AH29" t="str">
        <f>IF(Table4[[#This Row],[Nilai]]="","",VLOOKUP(Table4[[#This Row],[Helper]],$I$5:$L$380,4,FALSE))</f>
        <v/>
      </c>
      <c r="AI29" t="s">
        <v>466</v>
      </c>
      <c r="AJ29" t="str">
        <f t="shared" si="12"/>
        <v>12ASkillWk.2</v>
      </c>
      <c r="AK29" s="24" t="str">
        <f t="shared" si="13"/>
        <v/>
      </c>
    </row>
    <row r="30" spans="1:37" x14ac:dyDescent="0.2">
      <c r="A30" t="s">
        <v>54</v>
      </c>
      <c r="B30" t="s">
        <v>31</v>
      </c>
      <c r="C30" t="s">
        <v>412</v>
      </c>
      <c r="D30" t="s">
        <v>465</v>
      </c>
      <c r="E30" s="6">
        <v>70</v>
      </c>
      <c r="I30" t="str">
        <f t="shared" si="0"/>
        <v>11ANalarWk.7</v>
      </c>
      <c r="J30" t="str">
        <f t="shared" si="1"/>
        <v>11A</v>
      </c>
      <c r="K30" t="str">
        <f t="shared" si="2"/>
        <v>Nalar</v>
      </c>
      <c r="L30" t="str">
        <f t="shared" si="3"/>
        <v>Feb</v>
      </c>
      <c r="M30" t="str">
        <f t="shared" si="4"/>
        <v>Wk.7</v>
      </c>
      <c r="N30">
        <f t="shared" si="5"/>
        <v>70</v>
      </c>
      <c r="X30" t="str">
        <f t="shared" si="6"/>
        <v/>
      </c>
      <c r="Y30" t="str">
        <f t="shared" si="7"/>
        <v/>
      </c>
      <c r="Z30" t="str">
        <f t="shared" si="8"/>
        <v/>
      </c>
      <c r="AA30" t="str">
        <f t="shared" si="9"/>
        <v/>
      </c>
      <c r="AB30" t="str">
        <f t="shared" si="10"/>
        <v/>
      </c>
      <c r="AC30" t="str">
        <f t="shared" si="11"/>
        <v/>
      </c>
      <c r="AF30" t="s">
        <v>65</v>
      </c>
      <c r="AG30" t="s">
        <v>41</v>
      </c>
      <c r="AH30" t="str">
        <f>IF(Table4[[#This Row],[Nilai]]="","",VLOOKUP(Table4[[#This Row],[Helper]],$I$5:$L$380,4,FALSE))</f>
        <v>Jan</v>
      </c>
      <c r="AI30" t="s">
        <v>461</v>
      </c>
      <c r="AJ30" t="str">
        <f t="shared" si="12"/>
        <v>12ASkillWk.3</v>
      </c>
      <c r="AK30" s="24">
        <f t="shared" si="13"/>
        <v>65.740740740740748</v>
      </c>
    </row>
    <row r="31" spans="1:37" x14ac:dyDescent="0.2">
      <c r="A31" t="s">
        <v>54</v>
      </c>
      <c r="B31" t="s">
        <v>31</v>
      </c>
      <c r="C31" t="s">
        <v>412</v>
      </c>
      <c r="D31" t="s">
        <v>467</v>
      </c>
      <c r="E31" s="6">
        <v>66.63636363636364</v>
      </c>
      <c r="I31" t="str">
        <f t="shared" si="0"/>
        <v>11ANalarWk.8</v>
      </c>
      <c r="J31" t="str">
        <f t="shared" si="1"/>
        <v>11A</v>
      </c>
      <c r="K31" t="str">
        <f t="shared" si="2"/>
        <v>Nalar</v>
      </c>
      <c r="L31" t="str">
        <f t="shared" si="3"/>
        <v>Feb</v>
      </c>
      <c r="M31" t="str">
        <f t="shared" si="4"/>
        <v>Wk.8</v>
      </c>
      <c r="N31">
        <f t="shared" si="5"/>
        <v>66.63636363636364</v>
      </c>
      <c r="X31" t="str">
        <f t="shared" si="6"/>
        <v/>
      </c>
      <c r="Y31" t="str">
        <f t="shared" si="7"/>
        <v/>
      </c>
      <c r="Z31" t="str">
        <f t="shared" si="8"/>
        <v/>
      </c>
      <c r="AA31" t="str">
        <f t="shared" si="9"/>
        <v/>
      </c>
      <c r="AB31" t="str">
        <f t="shared" si="10"/>
        <v/>
      </c>
      <c r="AC31" t="str">
        <f t="shared" si="11"/>
        <v/>
      </c>
      <c r="AF31" t="s">
        <v>65</v>
      </c>
      <c r="AG31" t="s">
        <v>41</v>
      </c>
      <c r="AH31" t="str">
        <f>IF(Table4[[#This Row],[Nilai]]="","",VLOOKUP(Table4[[#This Row],[Helper]],$I$5:$L$380,4,FALSE))</f>
        <v>Jan</v>
      </c>
      <c r="AI31" t="s">
        <v>462</v>
      </c>
      <c r="AJ31" t="str">
        <f t="shared" si="12"/>
        <v>12ASkillWk.4</v>
      </c>
      <c r="AK31" s="24">
        <f t="shared" si="13"/>
        <v>84</v>
      </c>
    </row>
    <row r="32" spans="1:37" x14ac:dyDescent="0.2">
      <c r="A32" t="s">
        <v>54</v>
      </c>
      <c r="B32" t="s">
        <v>41</v>
      </c>
      <c r="C32" t="s">
        <v>405</v>
      </c>
      <c r="D32" t="s">
        <v>466</v>
      </c>
      <c r="E32" s="6">
        <v>67.555555555555557</v>
      </c>
      <c r="I32" t="str">
        <f t="shared" si="0"/>
        <v>11ASkillWk.2</v>
      </c>
      <c r="J32" t="str">
        <f t="shared" si="1"/>
        <v>11A</v>
      </c>
      <c r="K32" t="str">
        <f t="shared" si="2"/>
        <v>Skill</v>
      </c>
      <c r="L32" t="str">
        <f t="shared" si="3"/>
        <v>Jan</v>
      </c>
      <c r="M32" t="str">
        <f t="shared" si="4"/>
        <v>Wk.2</v>
      </c>
      <c r="N32">
        <f t="shared" si="5"/>
        <v>67.555555555555557</v>
      </c>
      <c r="X32" t="str">
        <f t="shared" si="6"/>
        <v/>
      </c>
      <c r="Y32" t="str">
        <f t="shared" si="7"/>
        <v/>
      </c>
      <c r="Z32" t="str">
        <f t="shared" si="8"/>
        <v/>
      </c>
      <c r="AA32" t="str">
        <f t="shared" si="9"/>
        <v/>
      </c>
      <c r="AB32" t="str">
        <f t="shared" si="10"/>
        <v/>
      </c>
      <c r="AC32" t="str">
        <f t="shared" si="11"/>
        <v/>
      </c>
      <c r="AF32" t="s">
        <v>65</v>
      </c>
      <c r="AG32" t="s">
        <v>41</v>
      </c>
      <c r="AH32" t="str">
        <f>IF(Table4[[#This Row],[Nilai]]="","",VLOOKUP(Table4[[#This Row],[Helper]],$I$5:$L$380,4,FALSE))</f>
        <v>Jan</v>
      </c>
      <c r="AI32" t="s">
        <v>463</v>
      </c>
      <c r="AJ32" t="str">
        <f t="shared" si="12"/>
        <v>12ASkillWk.5</v>
      </c>
      <c r="AK32" s="24">
        <f t="shared" si="13"/>
        <v>67.722222222222229</v>
      </c>
    </row>
    <row r="33" spans="1:37" x14ac:dyDescent="0.2">
      <c r="A33" t="s">
        <v>54</v>
      </c>
      <c r="B33" t="s">
        <v>41</v>
      </c>
      <c r="C33" t="s">
        <v>405</v>
      </c>
      <c r="D33" t="s">
        <v>461</v>
      </c>
      <c r="E33" s="6">
        <v>90</v>
      </c>
      <c r="I33" t="str">
        <f t="shared" si="0"/>
        <v>11ASkillWk.3</v>
      </c>
      <c r="J33" t="str">
        <f t="shared" si="1"/>
        <v>11A</v>
      </c>
      <c r="K33" t="str">
        <f t="shared" si="2"/>
        <v>Skill</v>
      </c>
      <c r="L33" t="str">
        <f t="shared" si="3"/>
        <v>Jan</v>
      </c>
      <c r="M33" t="str">
        <f t="shared" si="4"/>
        <v>Wk.3</v>
      </c>
      <c r="N33">
        <f t="shared" si="5"/>
        <v>90</v>
      </c>
      <c r="X33" t="str">
        <f t="shared" si="6"/>
        <v/>
      </c>
      <c r="Y33" t="str">
        <f t="shared" si="7"/>
        <v/>
      </c>
      <c r="Z33" t="str">
        <f t="shared" si="8"/>
        <v/>
      </c>
      <c r="AA33" t="str">
        <f t="shared" si="9"/>
        <v/>
      </c>
      <c r="AB33" t="str">
        <f t="shared" si="10"/>
        <v/>
      </c>
      <c r="AC33" t="str">
        <f t="shared" si="11"/>
        <v/>
      </c>
      <c r="AF33" t="s">
        <v>65</v>
      </c>
      <c r="AG33" t="s">
        <v>41</v>
      </c>
      <c r="AH33" t="str">
        <f>IF(Table4[[#This Row],[Nilai]]="","",VLOOKUP(Table4[[#This Row],[Helper]],$I$5:$L$380,4,FALSE))</f>
        <v>Feb</v>
      </c>
      <c r="AI33" t="s">
        <v>464</v>
      </c>
      <c r="AJ33" t="str">
        <f t="shared" si="12"/>
        <v>12ASkillWk.6</v>
      </c>
      <c r="AK33" s="24">
        <f t="shared" si="13"/>
        <v>75.333333333333329</v>
      </c>
    </row>
    <row r="34" spans="1:37" x14ac:dyDescent="0.2">
      <c r="A34" t="s">
        <v>54</v>
      </c>
      <c r="B34" t="s">
        <v>41</v>
      </c>
      <c r="C34" t="s">
        <v>405</v>
      </c>
      <c r="D34" t="s">
        <v>462</v>
      </c>
      <c r="E34" s="6">
        <v>55.333333333333336</v>
      </c>
      <c r="I34" t="str">
        <f t="shared" si="0"/>
        <v>11ASkillWk.4</v>
      </c>
      <c r="J34" t="str">
        <f t="shared" si="1"/>
        <v>11A</v>
      </c>
      <c r="K34" t="str">
        <f t="shared" si="2"/>
        <v>Skill</v>
      </c>
      <c r="L34" t="str">
        <f t="shared" si="3"/>
        <v>Jan</v>
      </c>
      <c r="M34" t="str">
        <f t="shared" si="4"/>
        <v>Wk.4</v>
      </c>
      <c r="N34">
        <f t="shared" si="5"/>
        <v>55.333333333333336</v>
      </c>
      <c r="X34" t="str">
        <f t="shared" si="6"/>
        <v/>
      </c>
      <c r="Y34" t="str">
        <f t="shared" si="7"/>
        <v/>
      </c>
      <c r="Z34" t="str">
        <f t="shared" si="8"/>
        <v/>
      </c>
      <c r="AA34" t="str">
        <f t="shared" si="9"/>
        <v/>
      </c>
      <c r="AB34" t="str">
        <f t="shared" si="10"/>
        <v/>
      </c>
      <c r="AC34" t="str">
        <f t="shared" si="11"/>
        <v/>
      </c>
      <c r="AF34" t="s">
        <v>65</v>
      </c>
      <c r="AG34" t="s">
        <v>41</v>
      </c>
      <c r="AH34" t="str">
        <f>IF(Table4[[#This Row],[Nilai]]="","",VLOOKUP(Table4[[#This Row],[Helper]],$I$5:$L$380,4,FALSE))</f>
        <v>Feb</v>
      </c>
      <c r="AI34" t="s">
        <v>465</v>
      </c>
      <c r="AJ34" t="str">
        <f t="shared" si="12"/>
        <v>12ASkillWk.7</v>
      </c>
      <c r="AK34" s="24">
        <f t="shared" si="13"/>
        <v>62.777777777777779</v>
      </c>
    </row>
    <row r="35" spans="1:37" x14ac:dyDescent="0.2">
      <c r="A35" t="s">
        <v>54</v>
      </c>
      <c r="B35" t="s">
        <v>41</v>
      </c>
      <c r="C35" t="s">
        <v>405</v>
      </c>
      <c r="D35" t="s">
        <v>463</v>
      </c>
      <c r="E35" s="6">
        <v>71.19047619047619</v>
      </c>
      <c r="I35" t="str">
        <f t="shared" si="0"/>
        <v>11ASkillWk.5</v>
      </c>
      <c r="J35" t="str">
        <f t="shared" si="1"/>
        <v>11A</v>
      </c>
      <c r="K35" t="str">
        <f t="shared" si="2"/>
        <v>Skill</v>
      </c>
      <c r="L35" t="str">
        <f t="shared" si="3"/>
        <v>Jan</v>
      </c>
      <c r="M35" t="str">
        <f t="shared" si="4"/>
        <v>Wk.5</v>
      </c>
      <c r="N35">
        <f t="shared" si="5"/>
        <v>71.19047619047619</v>
      </c>
      <c r="X35" t="str">
        <f t="shared" si="6"/>
        <v/>
      </c>
      <c r="Y35" t="str">
        <f t="shared" si="7"/>
        <v/>
      </c>
      <c r="Z35" t="str">
        <f t="shared" si="8"/>
        <v/>
      </c>
      <c r="AA35" t="str">
        <f t="shared" si="9"/>
        <v/>
      </c>
      <c r="AB35" t="str">
        <f t="shared" si="10"/>
        <v/>
      </c>
      <c r="AC35" t="str">
        <f t="shared" si="11"/>
        <v/>
      </c>
      <c r="AF35" t="s">
        <v>65</v>
      </c>
      <c r="AG35" t="s">
        <v>41</v>
      </c>
      <c r="AH35" t="str">
        <f>IF(Table4[[#This Row],[Nilai]]="","",VLOOKUP(Table4[[#This Row],[Helper]],$I$5:$L$380,4,FALSE))</f>
        <v/>
      </c>
      <c r="AI35" t="s">
        <v>467</v>
      </c>
      <c r="AJ35" t="str">
        <f t="shared" si="12"/>
        <v>12ASkillWk.8</v>
      </c>
      <c r="AK35" s="24" t="str">
        <f t="shared" si="13"/>
        <v/>
      </c>
    </row>
    <row r="36" spans="1:37" x14ac:dyDescent="0.2">
      <c r="A36" t="s">
        <v>54</v>
      </c>
      <c r="B36" t="s">
        <v>41</v>
      </c>
      <c r="C36" t="s">
        <v>412</v>
      </c>
      <c r="D36" t="s">
        <v>464</v>
      </c>
      <c r="E36" s="6">
        <v>74.063829787234042</v>
      </c>
      <c r="I36" t="str">
        <f t="shared" si="0"/>
        <v>11ASkillWk.6</v>
      </c>
      <c r="J36" t="str">
        <f t="shared" si="1"/>
        <v>11A</v>
      </c>
      <c r="K36" t="str">
        <f t="shared" si="2"/>
        <v>Skill</v>
      </c>
      <c r="L36" t="str">
        <f t="shared" si="3"/>
        <v>Feb</v>
      </c>
      <c r="M36" t="str">
        <f t="shared" si="4"/>
        <v>Wk.6</v>
      </c>
      <c r="N36">
        <f t="shared" si="5"/>
        <v>74.063829787234042</v>
      </c>
      <c r="X36" t="str">
        <f t="shared" si="6"/>
        <v/>
      </c>
      <c r="Y36" t="str">
        <f t="shared" si="7"/>
        <v/>
      </c>
      <c r="Z36" t="str">
        <f t="shared" si="8"/>
        <v/>
      </c>
      <c r="AA36" t="str">
        <f t="shared" si="9"/>
        <v/>
      </c>
      <c r="AB36" t="str">
        <f t="shared" si="10"/>
        <v/>
      </c>
      <c r="AC36" t="str">
        <f t="shared" si="11"/>
        <v/>
      </c>
      <c r="AF36" t="s">
        <v>65</v>
      </c>
      <c r="AG36" t="s">
        <v>41</v>
      </c>
      <c r="AH36" t="str">
        <f>IF(Table4[[#This Row],[Nilai]]="","",VLOOKUP(Table4[[#This Row],[Helper]],$I$5:$L$380,4,FALSE))</f>
        <v/>
      </c>
      <c r="AI36" t="s">
        <v>486</v>
      </c>
      <c r="AJ36" t="str">
        <f t="shared" si="12"/>
        <v>12ASkillWk.9</v>
      </c>
      <c r="AK36" s="24" t="str">
        <f t="shared" si="13"/>
        <v/>
      </c>
    </row>
    <row r="37" spans="1:37" x14ac:dyDescent="0.2">
      <c r="A37" t="s">
        <v>54</v>
      </c>
      <c r="B37" t="s">
        <v>41</v>
      </c>
      <c r="C37" t="s">
        <v>412</v>
      </c>
      <c r="D37" t="s">
        <v>465</v>
      </c>
      <c r="E37" s="6">
        <v>66.659090909090907</v>
      </c>
      <c r="I37" t="str">
        <f t="shared" si="0"/>
        <v>11ASkillWk.7</v>
      </c>
      <c r="J37" t="str">
        <f t="shared" si="1"/>
        <v>11A</v>
      </c>
      <c r="K37" t="str">
        <f t="shared" si="2"/>
        <v>Skill</v>
      </c>
      <c r="L37" t="str">
        <f t="shared" si="3"/>
        <v>Feb</v>
      </c>
      <c r="M37" t="str">
        <f t="shared" si="4"/>
        <v>Wk.7</v>
      </c>
      <c r="N37">
        <f t="shared" si="5"/>
        <v>66.659090909090907</v>
      </c>
      <c r="X37" t="str">
        <f t="shared" si="6"/>
        <v/>
      </c>
      <c r="Y37" t="str">
        <f t="shared" si="7"/>
        <v/>
      </c>
      <c r="Z37" t="str">
        <f t="shared" si="8"/>
        <v/>
      </c>
      <c r="AA37" t="str">
        <f t="shared" si="9"/>
        <v/>
      </c>
      <c r="AB37" t="str">
        <f t="shared" si="10"/>
        <v/>
      </c>
      <c r="AC37" t="str">
        <f t="shared" si="11"/>
        <v/>
      </c>
      <c r="AF37" t="s">
        <v>65</v>
      </c>
      <c r="AG37" t="s">
        <v>41</v>
      </c>
      <c r="AH37" t="str">
        <f>IF(Table4[[#This Row],[Nilai]]="","",VLOOKUP(Table4[[#This Row],[Helper]],$I$5:$L$380,4,FALSE))</f>
        <v/>
      </c>
      <c r="AI37" t="s">
        <v>493</v>
      </c>
      <c r="AJ37" t="str">
        <f t="shared" si="12"/>
        <v>12ASkillWk.10</v>
      </c>
      <c r="AK37" s="24" t="str">
        <f t="shared" si="13"/>
        <v/>
      </c>
    </row>
    <row r="38" spans="1:37" x14ac:dyDescent="0.2">
      <c r="A38" t="s">
        <v>54</v>
      </c>
      <c r="B38" t="s">
        <v>41</v>
      </c>
      <c r="C38" t="s">
        <v>412</v>
      </c>
      <c r="D38" t="s">
        <v>467</v>
      </c>
      <c r="E38" s="6">
        <v>76.739130434782609</v>
      </c>
      <c r="I38" t="str">
        <f t="shared" si="0"/>
        <v>11ASkillWk.8</v>
      </c>
      <c r="J38" t="str">
        <f t="shared" si="1"/>
        <v>11A</v>
      </c>
      <c r="K38" t="str">
        <f t="shared" si="2"/>
        <v>Skill</v>
      </c>
      <c r="L38" t="str">
        <f t="shared" si="3"/>
        <v>Feb</v>
      </c>
      <c r="M38" t="str">
        <f t="shared" si="4"/>
        <v>Wk.8</v>
      </c>
      <c r="N38">
        <f t="shared" si="5"/>
        <v>76.739130434782609</v>
      </c>
      <c r="X38" t="str">
        <f t="shared" si="6"/>
        <v/>
      </c>
      <c r="Y38" t="str">
        <f t="shared" si="7"/>
        <v/>
      </c>
      <c r="Z38" t="str">
        <f t="shared" si="8"/>
        <v/>
      </c>
      <c r="AA38" t="str">
        <f t="shared" si="9"/>
        <v/>
      </c>
      <c r="AB38" t="str">
        <f t="shared" si="10"/>
        <v/>
      </c>
      <c r="AC38" t="str">
        <f t="shared" ref="AC38:AC69" si="14">IF(U38="","",U38)</f>
        <v/>
      </c>
      <c r="AF38" t="s">
        <v>65</v>
      </c>
      <c r="AG38" t="s">
        <v>41</v>
      </c>
      <c r="AH38" t="str">
        <f>IF(Table4[[#This Row],[Nilai]]="","",VLOOKUP(Table4[[#This Row],[Helper]],$I$5:$L$380,4,FALSE))</f>
        <v/>
      </c>
      <c r="AI38" t="s">
        <v>494</v>
      </c>
      <c r="AJ38" t="str">
        <f t="shared" si="12"/>
        <v>12ASkillWk.11</v>
      </c>
      <c r="AK38" s="24" t="str">
        <f t="shared" si="13"/>
        <v/>
      </c>
    </row>
    <row r="39" spans="1:37" x14ac:dyDescent="0.2">
      <c r="A39" t="s">
        <v>54</v>
      </c>
      <c r="B39" t="s">
        <v>41</v>
      </c>
      <c r="C39" t="s">
        <v>412</v>
      </c>
      <c r="D39" t="s">
        <v>486</v>
      </c>
      <c r="E39" s="6">
        <v>80</v>
      </c>
      <c r="I39" t="str">
        <f t="shared" si="0"/>
        <v>11ASkillWk.9</v>
      </c>
      <c r="J39" t="str">
        <f t="shared" si="1"/>
        <v>11A</v>
      </c>
      <c r="K39" t="str">
        <f t="shared" si="2"/>
        <v>Skill</v>
      </c>
      <c r="L39" t="str">
        <f t="shared" si="3"/>
        <v>Feb</v>
      </c>
      <c r="M39" t="str">
        <f t="shared" si="4"/>
        <v>Wk.9</v>
      </c>
      <c r="N39">
        <f t="shared" si="5"/>
        <v>80</v>
      </c>
      <c r="X39" t="str">
        <f t="shared" si="6"/>
        <v/>
      </c>
      <c r="Y39" t="str">
        <f t="shared" si="7"/>
        <v/>
      </c>
      <c r="Z39" t="str">
        <f t="shared" si="8"/>
        <v/>
      </c>
      <c r="AA39" t="str">
        <f t="shared" si="9"/>
        <v/>
      </c>
      <c r="AB39" t="str">
        <f t="shared" si="10"/>
        <v/>
      </c>
      <c r="AC39" t="str">
        <f t="shared" si="14"/>
        <v/>
      </c>
      <c r="AF39" t="s">
        <v>65</v>
      </c>
      <c r="AG39" t="s">
        <v>41</v>
      </c>
      <c r="AH39" t="str">
        <f>IF(Table4[[#This Row],[Nilai]]="","",VLOOKUP(Table4[[#This Row],[Helper]],$I$5:$L$380,4,FALSE))</f>
        <v/>
      </c>
      <c r="AI39" t="s">
        <v>495</v>
      </c>
      <c r="AJ39" t="str">
        <f t="shared" si="12"/>
        <v>12ASkillWk.12</v>
      </c>
      <c r="AK39" s="24" t="str">
        <f t="shared" si="13"/>
        <v/>
      </c>
    </row>
    <row r="40" spans="1:37" x14ac:dyDescent="0.2">
      <c r="A40" t="s">
        <v>65</v>
      </c>
      <c r="B40" t="s">
        <v>279</v>
      </c>
      <c r="C40" t="s">
        <v>405</v>
      </c>
      <c r="D40" t="s">
        <v>461</v>
      </c>
      <c r="E40" s="6">
        <v>74.5</v>
      </c>
      <c r="I40" t="str">
        <f t="shared" si="0"/>
        <v>12AMinatWk.3</v>
      </c>
      <c r="J40" t="str">
        <f t="shared" si="1"/>
        <v>12A</v>
      </c>
      <c r="K40" t="str">
        <f t="shared" si="2"/>
        <v>Minat</v>
      </c>
      <c r="L40" t="str">
        <f t="shared" si="3"/>
        <v>Jan</v>
      </c>
      <c r="M40" t="str">
        <f t="shared" si="4"/>
        <v>Wk.3</v>
      </c>
      <c r="N40">
        <f t="shared" si="5"/>
        <v>74.5</v>
      </c>
      <c r="X40" t="str">
        <f t="shared" si="6"/>
        <v/>
      </c>
      <c r="Y40" t="str">
        <f t="shared" si="7"/>
        <v/>
      </c>
      <c r="Z40" t="str">
        <f t="shared" si="8"/>
        <v/>
      </c>
      <c r="AA40" t="str">
        <f t="shared" si="9"/>
        <v/>
      </c>
      <c r="AB40" t="str">
        <f t="shared" si="10"/>
        <v/>
      </c>
      <c r="AC40" t="str">
        <f t="shared" si="14"/>
        <v/>
      </c>
      <c r="AF40" t="s">
        <v>65</v>
      </c>
      <c r="AG40" t="s">
        <v>41</v>
      </c>
      <c r="AH40" t="str">
        <f>IF(Table4[[#This Row],[Nilai]]="","",VLOOKUP(Table4[[#This Row],[Helper]],$I$5:$L$380,4,FALSE))</f>
        <v/>
      </c>
      <c r="AI40" t="s">
        <v>496</v>
      </c>
      <c r="AJ40" t="str">
        <f t="shared" si="12"/>
        <v>12ASkillWk.13</v>
      </c>
      <c r="AK40" s="24" t="str">
        <f t="shared" si="13"/>
        <v/>
      </c>
    </row>
    <row r="41" spans="1:37" x14ac:dyDescent="0.2">
      <c r="A41" t="s">
        <v>65</v>
      </c>
      <c r="B41" t="s">
        <v>279</v>
      </c>
      <c r="C41" t="s">
        <v>405</v>
      </c>
      <c r="D41" t="s">
        <v>462</v>
      </c>
      <c r="E41" s="6">
        <v>72.666666666666671</v>
      </c>
      <c r="I41" t="str">
        <f t="shared" si="0"/>
        <v>12AMinatWk.4</v>
      </c>
      <c r="J41" t="str">
        <f t="shared" si="1"/>
        <v>12A</v>
      </c>
      <c r="K41" t="str">
        <f t="shared" si="2"/>
        <v>Minat</v>
      </c>
      <c r="L41" t="str">
        <f t="shared" si="3"/>
        <v>Jan</v>
      </c>
      <c r="M41" t="str">
        <f t="shared" si="4"/>
        <v>Wk.4</v>
      </c>
      <c r="N41">
        <f t="shared" si="5"/>
        <v>72.666666666666671</v>
      </c>
      <c r="X41" t="str">
        <f t="shared" si="6"/>
        <v/>
      </c>
      <c r="Y41" t="str">
        <f t="shared" si="7"/>
        <v/>
      </c>
      <c r="Z41" t="str">
        <f t="shared" si="8"/>
        <v/>
      </c>
      <c r="AA41" t="str">
        <f t="shared" si="9"/>
        <v/>
      </c>
      <c r="AB41" t="str">
        <f t="shared" si="10"/>
        <v/>
      </c>
      <c r="AC41" t="str">
        <f t="shared" si="14"/>
        <v/>
      </c>
      <c r="AF41" t="s">
        <v>65</v>
      </c>
      <c r="AG41" t="s">
        <v>41</v>
      </c>
      <c r="AH41" t="str">
        <f>IF(Table4[[#This Row],[Nilai]]="","",VLOOKUP(Table4[[#This Row],[Helper]],$I$5:$L$380,4,FALSE))</f>
        <v/>
      </c>
      <c r="AI41" t="s">
        <v>497</v>
      </c>
      <c r="AJ41" t="str">
        <f t="shared" si="12"/>
        <v>12ASkillWk.14</v>
      </c>
      <c r="AK41" s="24" t="str">
        <f t="shared" si="13"/>
        <v/>
      </c>
    </row>
    <row r="42" spans="1:37" x14ac:dyDescent="0.2">
      <c r="A42" t="s">
        <v>65</v>
      </c>
      <c r="B42" t="s">
        <v>279</v>
      </c>
      <c r="C42" t="s">
        <v>405</v>
      </c>
      <c r="D42" t="s">
        <v>463</v>
      </c>
      <c r="E42" s="6">
        <v>69.777777777777771</v>
      </c>
      <c r="I42" t="str">
        <f t="shared" si="0"/>
        <v>12AMinatWk.5</v>
      </c>
      <c r="J42" t="str">
        <f t="shared" si="1"/>
        <v>12A</v>
      </c>
      <c r="K42" t="str">
        <f t="shared" si="2"/>
        <v>Minat</v>
      </c>
      <c r="L42" t="str">
        <f t="shared" si="3"/>
        <v>Jan</v>
      </c>
      <c r="M42" t="str">
        <f t="shared" si="4"/>
        <v>Wk.5</v>
      </c>
      <c r="N42">
        <f t="shared" si="5"/>
        <v>69.777777777777771</v>
      </c>
      <c r="X42" t="str">
        <f t="shared" si="6"/>
        <v/>
      </c>
      <c r="Y42" t="str">
        <f t="shared" si="7"/>
        <v/>
      </c>
      <c r="Z42" t="str">
        <f t="shared" si="8"/>
        <v/>
      </c>
      <c r="AA42" t="str">
        <f t="shared" si="9"/>
        <v/>
      </c>
      <c r="AB42" t="str">
        <f t="shared" si="10"/>
        <v/>
      </c>
      <c r="AC42" t="str">
        <f t="shared" si="14"/>
        <v/>
      </c>
      <c r="AF42" t="s">
        <v>65</v>
      </c>
      <c r="AG42" t="s">
        <v>41</v>
      </c>
      <c r="AH42" t="str">
        <f>IF(Table4[[#This Row],[Nilai]]="","",VLOOKUP(Table4[[#This Row],[Helper]],$I$5:$L$380,4,FALSE))</f>
        <v/>
      </c>
      <c r="AI42" t="s">
        <v>498</v>
      </c>
      <c r="AJ42" t="str">
        <f t="shared" si="12"/>
        <v>12ASkillWk.15</v>
      </c>
      <c r="AK42" s="24" t="str">
        <f t="shared" si="13"/>
        <v/>
      </c>
    </row>
    <row r="43" spans="1:37" x14ac:dyDescent="0.2">
      <c r="A43" t="s">
        <v>65</v>
      </c>
      <c r="B43" t="s">
        <v>279</v>
      </c>
      <c r="C43" t="s">
        <v>412</v>
      </c>
      <c r="D43" t="s">
        <v>464</v>
      </c>
      <c r="E43" s="6">
        <v>70.222222222222229</v>
      </c>
      <c r="I43" t="str">
        <f t="shared" si="0"/>
        <v>12AMinatWk.6</v>
      </c>
      <c r="J43" t="str">
        <f t="shared" si="1"/>
        <v>12A</v>
      </c>
      <c r="K43" t="str">
        <f t="shared" si="2"/>
        <v>Minat</v>
      </c>
      <c r="L43" t="str">
        <f t="shared" si="3"/>
        <v>Feb</v>
      </c>
      <c r="M43" t="str">
        <f t="shared" si="4"/>
        <v>Wk.6</v>
      </c>
      <c r="N43">
        <f t="shared" si="5"/>
        <v>70.222222222222229</v>
      </c>
      <c r="X43" t="str">
        <f t="shared" si="6"/>
        <v/>
      </c>
      <c r="Y43" t="str">
        <f t="shared" si="7"/>
        <v/>
      </c>
      <c r="Z43" t="str">
        <f t="shared" si="8"/>
        <v/>
      </c>
      <c r="AA43" t="str">
        <f t="shared" si="9"/>
        <v/>
      </c>
      <c r="AB43" t="str">
        <f t="shared" si="10"/>
        <v/>
      </c>
      <c r="AC43" t="str">
        <f t="shared" si="14"/>
        <v/>
      </c>
      <c r="AF43" t="s">
        <v>65</v>
      </c>
      <c r="AG43" t="s">
        <v>41</v>
      </c>
      <c r="AH43" t="str">
        <f>IF(Table4[[#This Row],[Nilai]]="","",VLOOKUP(Table4[[#This Row],[Helper]],$I$5:$L$380,4,FALSE))</f>
        <v/>
      </c>
      <c r="AI43" t="s">
        <v>499</v>
      </c>
      <c r="AJ43" t="str">
        <f t="shared" si="12"/>
        <v>12ASkillWk.16</v>
      </c>
      <c r="AK43" s="24" t="str">
        <f t="shared" si="13"/>
        <v/>
      </c>
    </row>
    <row r="44" spans="1:37" x14ac:dyDescent="0.2">
      <c r="A44" t="s">
        <v>65</v>
      </c>
      <c r="B44" t="s">
        <v>279</v>
      </c>
      <c r="C44" t="s">
        <v>412</v>
      </c>
      <c r="D44" t="s">
        <v>465</v>
      </c>
      <c r="E44" s="6">
        <v>76.055555555555557</v>
      </c>
      <c r="I44" t="str">
        <f t="shared" si="0"/>
        <v>12AMinatWk.7</v>
      </c>
      <c r="J44" t="str">
        <f t="shared" si="1"/>
        <v>12A</v>
      </c>
      <c r="K44" t="str">
        <f t="shared" si="2"/>
        <v>Minat</v>
      </c>
      <c r="L44" t="str">
        <f t="shared" si="3"/>
        <v>Feb</v>
      </c>
      <c r="M44" t="str">
        <f t="shared" si="4"/>
        <v>Wk.7</v>
      </c>
      <c r="N44">
        <f t="shared" si="5"/>
        <v>76.055555555555557</v>
      </c>
      <c r="X44" t="str">
        <f t="shared" si="6"/>
        <v/>
      </c>
      <c r="Y44" t="str">
        <f t="shared" si="7"/>
        <v/>
      </c>
      <c r="Z44" t="str">
        <f t="shared" si="8"/>
        <v/>
      </c>
      <c r="AA44" t="str">
        <f t="shared" si="9"/>
        <v/>
      </c>
      <c r="AB44" t="str">
        <f t="shared" si="10"/>
        <v/>
      </c>
      <c r="AC44" t="str">
        <f t="shared" si="14"/>
        <v/>
      </c>
      <c r="AF44" t="s">
        <v>65</v>
      </c>
      <c r="AG44" t="s">
        <v>41</v>
      </c>
      <c r="AH44" t="str">
        <f>IF(Table4[[#This Row],[Nilai]]="","",VLOOKUP(Table4[[#This Row],[Helper]],$I$5:$L$380,4,FALSE))</f>
        <v/>
      </c>
      <c r="AI44" t="s">
        <v>500</v>
      </c>
      <c r="AJ44" t="str">
        <f t="shared" si="12"/>
        <v>12ASkillWk.17</v>
      </c>
      <c r="AK44" s="24" t="str">
        <f t="shared" si="13"/>
        <v/>
      </c>
    </row>
    <row r="45" spans="1:37" x14ac:dyDescent="0.2">
      <c r="A45" t="s">
        <v>65</v>
      </c>
      <c r="B45" t="s">
        <v>279</v>
      </c>
      <c r="C45" t="s">
        <v>412</v>
      </c>
      <c r="D45" t="s">
        <v>467</v>
      </c>
      <c r="E45" s="6">
        <v>70</v>
      </c>
      <c r="I45" t="str">
        <f t="shared" si="0"/>
        <v>12AMinatWk.8</v>
      </c>
      <c r="J45" t="str">
        <f t="shared" si="1"/>
        <v>12A</v>
      </c>
      <c r="K45" t="str">
        <f t="shared" si="2"/>
        <v>Minat</v>
      </c>
      <c r="L45" t="str">
        <f t="shared" si="3"/>
        <v>Feb</v>
      </c>
      <c r="M45" t="str">
        <f t="shared" si="4"/>
        <v>Wk.8</v>
      </c>
      <c r="N45">
        <f t="shared" si="5"/>
        <v>70</v>
      </c>
      <c r="X45" t="str">
        <f t="shared" si="6"/>
        <v/>
      </c>
      <c r="Y45" t="str">
        <f t="shared" si="7"/>
        <v/>
      </c>
      <c r="Z45" t="str">
        <f t="shared" si="8"/>
        <v/>
      </c>
      <c r="AA45" t="str">
        <f t="shared" si="9"/>
        <v/>
      </c>
      <c r="AB45" t="str">
        <f t="shared" si="10"/>
        <v/>
      </c>
      <c r="AC45" t="str">
        <f t="shared" si="14"/>
        <v/>
      </c>
      <c r="AF45" t="s">
        <v>65</v>
      </c>
      <c r="AG45" t="s">
        <v>41</v>
      </c>
      <c r="AH45" t="str">
        <f>IF(Table4[[#This Row],[Nilai]]="","",VLOOKUP(Table4[[#This Row],[Helper]],$I$5:$L$380,4,FALSE))</f>
        <v/>
      </c>
      <c r="AI45" t="s">
        <v>501</v>
      </c>
      <c r="AJ45" t="str">
        <f t="shared" si="12"/>
        <v>12ASkillWk.18</v>
      </c>
      <c r="AK45" s="24" t="str">
        <f t="shared" si="13"/>
        <v/>
      </c>
    </row>
    <row r="46" spans="1:37" x14ac:dyDescent="0.2">
      <c r="A46" t="s">
        <v>65</v>
      </c>
      <c r="B46" t="s">
        <v>90</v>
      </c>
      <c r="C46" t="s">
        <v>405</v>
      </c>
      <c r="D46" t="s">
        <v>461</v>
      </c>
      <c r="E46" s="6">
        <v>75.259259259259252</v>
      </c>
      <c r="I46" t="str">
        <f t="shared" si="0"/>
        <v>12AKarakterWk.3</v>
      </c>
      <c r="J46" t="str">
        <f t="shared" si="1"/>
        <v>12A</v>
      </c>
      <c r="K46" t="str">
        <f t="shared" si="2"/>
        <v>Karakter</v>
      </c>
      <c r="L46" t="str">
        <f t="shared" si="3"/>
        <v>Jan</v>
      </c>
      <c r="M46" t="str">
        <f t="shared" si="4"/>
        <v>Wk.3</v>
      </c>
      <c r="N46">
        <f t="shared" si="5"/>
        <v>75.259259259259252</v>
      </c>
      <c r="X46" t="str">
        <f t="shared" si="6"/>
        <v/>
      </c>
      <c r="Y46" t="str">
        <f t="shared" si="7"/>
        <v/>
      </c>
      <c r="Z46" t="str">
        <f t="shared" si="8"/>
        <v/>
      </c>
      <c r="AA46" t="str">
        <f t="shared" si="9"/>
        <v/>
      </c>
      <c r="AB46" t="str">
        <f t="shared" si="10"/>
        <v/>
      </c>
      <c r="AC46" t="str">
        <f t="shared" si="14"/>
        <v/>
      </c>
      <c r="AF46" t="s">
        <v>65</v>
      </c>
      <c r="AG46" t="s">
        <v>41</v>
      </c>
      <c r="AH46" t="str">
        <f>IF(Table4[[#This Row],[Nilai]]="","",VLOOKUP(Table4[[#This Row],[Helper]],$I$5:$L$380,4,FALSE))</f>
        <v/>
      </c>
      <c r="AI46" t="s">
        <v>502</v>
      </c>
      <c r="AJ46" t="str">
        <f t="shared" si="12"/>
        <v>12ASkillWk.19</v>
      </c>
      <c r="AK46" s="24" t="str">
        <f t="shared" si="13"/>
        <v/>
      </c>
    </row>
    <row r="47" spans="1:37" x14ac:dyDescent="0.2">
      <c r="A47" t="s">
        <v>65</v>
      </c>
      <c r="B47" t="s">
        <v>90</v>
      </c>
      <c r="C47" t="s">
        <v>405</v>
      </c>
      <c r="D47" t="s">
        <v>462</v>
      </c>
      <c r="E47" s="6">
        <v>77.333333333333329</v>
      </c>
      <c r="I47" t="str">
        <f t="shared" si="0"/>
        <v>12AKarakterWk.4</v>
      </c>
      <c r="J47" t="str">
        <f t="shared" si="1"/>
        <v>12A</v>
      </c>
      <c r="K47" t="str">
        <f t="shared" si="2"/>
        <v>Karakter</v>
      </c>
      <c r="L47" t="str">
        <f t="shared" si="3"/>
        <v>Jan</v>
      </c>
      <c r="M47" t="str">
        <f t="shared" si="4"/>
        <v>Wk.4</v>
      </c>
      <c r="N47">
        <f t="shared" si="5"/>
        <v>77.333333333333329</v>
      </c>
      <c r="X47" t="str">
        <f t="shared" si="6"/>
        <v/>
      </c>
      <c r="Y47" t="str">
        <f t="shared" si="7"/>
        <v/>
      </c>
      <c r="Z47" t="str">
        <f t="shared" si="8"/>
        <v/>
      </c>
      <c r="AA47" t="str">
        <f t="shared" si="9"/>
        <v/>
      </c>
      <c r="AB47" t="str">
        <f t="shared" si="10"/>
        <v/>
      </c>
      <c r="AC47" t="str">
        <f t="shared" si="14"/>
        <v/>
      </c>
      <c r="AF47" t="s">
        <v>65</v>
      </c>
      <c r="AG47" t="s">
        <v>41</v>
      </c>
      <c r="AH47" t="str">
        <f>IF(Table4[[#This Row],[Nilai]]="","",VLOOKUP(Table4[[#This Row],[Helper]],$I$5:$L$380,4,FALSE))</f>
        <v/>
      </c>
      <c r="AI47" t="s">
        <v>503</v>
      </c>
      <c r="AJ47" t="str">
        <f t="shared" si="12"/>
        <v>12ASkillWk.20</v>
      </c>
      <c r="AK47" s="24" t="str">
        <f t="shared" si="13"/>
        <v/>
      </c>
    </row>
    <row r="48" spans="1:37" x14ac:dyDescent="0.2">
      <c r="A48" t="s">
        <v>65</v>
      </c>
      <c r="B48" t="s">
        <v>90</v>
      </c>
      <c r="C48" t="s">
        <v>405</v>
      </c>
      <c r="D48" t="s">
        <v>463</v>
      </c>
      <c r="E48" s="6">
        <v>75.535714285714292</v>
      </c>
      <c r="I48" t="str">
        <f t="shared" si="0"/>
        <v>12AKarakterWk.5</v>
      </c>
      <c r="J48" t="str">
        <f t="shared" si="1"/>
        <v>12A</v>
      </c>
      <c r="K48" t="str">
        <f t="shared" si="2"/>
        <v>Karakter</v>
      </c>
      <c r="L48" t="str">
        <f t="shared" si="3"/>
        <v>Jan</v>
      </c>
      <c r="M48" t="str">
        <f t="shared" si="4"/>
        <v>Wk.5</v>
      </c>
      <c r="N48">
        <f t="shared" si="5"/>
        <v>75.535714285714292</v>
      </c>
      <c r="X48" t="str">
        <f t="shared" si="6"/>
        <v/>
      </c>
      <c r="Y48" t="str">
        <f t="shared" si="7"/>
        <v/>
      </c>
      <c r="Z48" t="str">
        <f t="shared" si="8"/>
        <v/>
      </c>
      <c r="AA48" t="str">
        <f t="shared" si="9"/>
        <v/>
      </c>
      <c r="AB48" t="str">
        <f t="shared" si="10"/>
        <v/>
      </c>
      <c r="AC48" t="str">
        <f t="shared" si="14"/>
        <v/>
      </c>
      <c r="AF48" t="s">
        <v>65</v>
      </c>
      <c r="AG48" t="s">
        <v>41</v>
      </c>
      <c r="AH48" t="str">
        <f>IF(Table4[[#This Row],[Nilai]]="","",VLOOKUP(Table4[[#This Row],[Helper]],$I$5:$L$380,4,FALSE))</f>
        <v/>
      </c>
      <c r="AI48" t="s">
        <v>504</v>
      </c>
      <c r="AJ48" t="str">
        <f t="shared" si="12"/>
        <v>12ASkillWk.21</v>
      </c>
      <c r="AK48" s="24" t="str">
        <f t="shared" si="13"/>
        <v/>
      </c>
    </row>
    <row r="49" spans="1:37" x14ac:dyDescent="0.2">
      <c r="A49" t="s">
        <v>65</v>
      </c>
      <c r="B49" t="s">
        <v>90</v>
      </c>
      <c r="C49" t="s">
        <v>412</v>
      </c>
      <c r="D49" t="s">
        <v>464</v>
      </c>
      <c r="E49" s="6">
        <v>76.027777777777771</v>
      </c>
      <c r="I49" t="str">
        <f t="shared" si="0"/>
        <v>12AKarakterWk.6</v>
      </c>
      <c r="J49" t="str">
        <f t="shared" si="1"/>
        <v>12A</v>
      </c>
      <c r="K49" t="str">
        <f t="shared" si="2"/>
        <v>Karakter</v>
      </c>
      <c r="L49" t="str">
        <f t="shared" si="3"/>
        <v>Feb</v>
      </c>
      <c r="M49" t="str">
        <f t="shared" si="4"/>
        <v>Wk.6</v>
      </c>
      <c r="N49">
        <f t="shared" si="5"/>
        <v>76.027777777777771</v>
      </c>
      <c r="X49" t="str">
        <f t="shared" si="6"/>
        <v/>
      </c>
      <c r="Y49" t="str">
        <f t="shared" si="7"/>
        <v/>
      </c>
      <c r="Z49" t="str">
        <f t="shared" ref="Z49:Z112" si="15">IF(R49="","",R49)</f>
        <v/>
      </c>
      <c r="AA49" t="str">
        <f t="shared" ref="AA49:AA112" si="16">IF(S49="","",S49)</f>
        <v/>
      </c>
      <c r="AB49" t="str">
        <f t="shared" ref="AB49:AB112" si="17">IF(T49="","",T49)</f>
        <v/>
      </c>
      <c r="AC49" t="str">
        <f t="shared" si="14"/>
        <v/>
      </c>
      <c r="AF49" t="s">
        <v>65</v>
      </c>
      <c r="AG49" t="s">
        <v>41</v>
      </c>
      <c r="AH49" t="str">
        <f>IF(Table4[[#This Row],[Nilai]]="","",VLOOKUP(Table4[[#This Row],[Helper]],$I$5:$L$380,4,FALSE))</f>
        <v/>
      </c>
      <c r="AI49" t="s">
        <v>505</v>
      </c>
      <c r="AJ49" t="str">
        <f t="shared" si="12"/>
        <v>12ASkillWk.22</v>
      </c>
      <c r="AK49" s="24" t="str">
        <f t="shared" si="13"/>
        <v/>
      </c>
    </row>
    <row r="50" spans="1:37" x14ac:dyDescent="0.2">
      <c r="A50" t="s">
        <v>65</v>
      </c>
      <c r="B50" t="s">
        <v>90</v>
      </c>
      <c r="C50" t="s">
        <v>412</v>
      </c>
      <c r="D50" t="s">
        <v>465</v>
      </c>
      <c r="E50" s="6">
        <v>78.888888888888886</v>
      </c>
      <c r="I50" t="str">
        <f t="shared" si="0"/>
        <v>12AKarakterWk.7</v>
      </c>
      <c r="J50" t="str">
        <f t="shared" si="1"/>
        <v>12A</v>
      </c>
      <c r="K50" t="str">
        <f t="shared" si="2"/>
        <v>Karakter</v>
      </c>
      <c r="L50" t="str">
        <f t="shared" si="3"/>
        <v>Feb</v>
      </c>
      <c r="M50" t="str">
        <f t="shared" si="4"/>
        <v>Wk.7</v>
      </c>
      <c r="N50">
        <f t="shared" si="5"/>
        <v>78.888888888888886</v>
      </c>
      <c r="X50" t="str">
        <f t="shared" si="6"/>
        <v/>
      </c>
      <c r="Y50" t="str">
        <f t="shared" si="7"/>
        <v/>
      </c>
      <c r="Z50" t="str">
        <f t="shared" si="15"/>
        <v/>
      </c>
      <c r="AA50" t="str">
        <f t="shared" si="16"/>
        <v/>
      </c>
      <c r="AB50" t="str">
        <f t="shared" si="17"/>
        <v/>
      </c>
      <c r="AC50" t="str">
        <f t="shared" si="14"/>
        <v/>
      </c>
      <c r="AF50" t="s">
        <v>65</v>
      </c>
      <c r="AG50" t="s">
        <v>41</v>
      </c>
      <c r="AH50" t="str">
        <f>IF(Table4[[#This Row],[Nilai]]="","",VLOOKUP(Table4[[#This Row],[Helper]],$I$5:$L$380,4,FALSE))</f>
        <v/>
      </c>
      <c r="AI50" t="s">
        <v>506</v>
      </c>
      <c r="AJ50" t="str">
        <f t="shared" si="12"/>
        <v>12ASkillWk.23</v>
      </c>
      <c r="AK50" s="24" t="str">
        <f t="shared" si="13"/>
        <v/>
      </c>
    </row>
    <row r="51" spans="1:37" x14ac:dyDescent="0.2">
      <c r="A51" t="s">
        <v>65</v>
      </c>
      <c r="B51" t="s">
        <v>90</v>
      </c>
      <c r="C51" t="s">
        <v>412</v>
      </c>
      <c r="D51" t="s">
        <v>467</v>
      </c>
      <c r="E51" s="6">
        <v>85</v>
      </c>
      <c r="I51" t="str">
        <f t="shared" si="0"/>
        <v>12AKarakterWk.8</v>
      </c>
      <c r="J51" t="str">
        <f t="shared" si="1"/>
        <v>12A</v>
      </c>
      <c r="K51" t="str">
        <f t="shared" si="2"/>
        <v>Karakter</v>
      </c>
      <c r="L51" t="str">
        <f t="shared" si="3"/>
        <v>Feb</v>
      </c>
      <c r="M51" t="str">
        <f t="shared" si="4"/>
        <v>Wk.8</v>
      </c>
      <c r="N51">
        <f t="shared" si="5"/>
        <v>85</v>
      </c>
      <c r="X51" t="str">
        <f t="shared" si="6"/>
        <v/>
      </c>
      <c r="Y51" t="str">
        <f t="shared" si="7"/>
        <v/>
      </c>
      <c r="Z51" t="str">
        <f t="shared" si="15"/>
        <v/>
      </c>
      <c r="AA51" t="str">
        <f t="shared" si="16"/>
        <v/>
      </c>
      <c r="AB51" t="str">
        <f t="shared" si="17"/>
        <v/>
      </c>
      <c r="AC51" t="str">
        <f t="shared" si="14"/>
        <v/>
      </c>
      <c r="AF51" t="s">
        <v>65</v>
      </c>
      <c r="AG51" t="s">
        <v>41</v>
      </c>
      <c r="AH51" t="str">
        <f>IF(Table4[[#This Row],[Nilai]]="","",VLOOKUP(Table4[[#This Row],[Helper]],$I$5:$L$380,4,FALSE))</f>
        <v/>
      </c>
      <c r="AI51" t="s">
        <v>507</v>
      </c>
      <c r="AJ51" t="str">
        <f t="shared" si="12"/>
        <v>12ASkillWk.24</v>
      </c>
      <c r="AK51" s="24" t="str">
        <f t="shared" si="13"/>
        <v/>
      </c>
    </row>
    <row r="52" spans="1:37" x14ac:dyDescent="0.2">
      <c r="A52" t="s">
        <v>65</v>
      </c>
      <c r="B52" t="s">
        <v>36</v>
      </c>
      <c r="C52" t="s">
        <v>405</v>
      </c>
      <c r="D52" t="s">
        <v>461</v>
      </c>
      <c r="E52" s="6">
        <v>68.457627118644069</v>
      </c>
      <c r="I52" t="str">
        <f t="shared" si="0"/>
        <v>12ATeoriWk.3</v>
      </c>
      <c r="J52" t="str">
        <f t="shared" si="1"/>
        <v>12A</v>
      </c>
      <c r="K52" t="str">
        <f t="shared" si="2"/>
        <v>Teori</v>
      </c>
      <c r="L52" t="str">
        <f t="shared" si="3"/>
        <v>Jan</v>
      </c>
      <c r="M52" t="str">
        <f t="shared" si="4"/>
        <v>Wk.3</v>
      </c>
      <c r="N52">
        <f t="shared" si="5"/>
        <v>68.457627118644069</v>
      </c>
      <c r="X52" t="str">
        <f t="shared" si="6"/>
        <v/>
      </c>
      <c r="Y52" t="str">
        <f t="shared" si="7"/>
        <v/>
      </c>
      <c r="Z52" t="str">
        <f t="shared" si="15"/>
        <v/>
      </c>
      <c r="AA52" t="str">
        <f t="shared" si="16"/>
        <v/>
      </c>
      <c r="AB52" t="str">
        <f t="shared" si="17"/>
        <v/>
      </c>
      <c r="AC52" t="str">
        <f t="shared" si="14"/>
        <v/>
      </c>
      <c r="AF52" t="s">
        <v>65</v>
      </c>
      <c r="AG52" t="s">
        <v>41</v>
      </c>
      <c r="AH52" t="str">
        <f>IF(Table4[[#This Row],[Nilai]]="","",VLOOKUP(Table4[[#This Row],[Helper]],$I$5:$L$380,4,FALSE))</f>
        <v/>
      </c>
      <c r="AI52" t="s">
        <v>508</v>
      </c>
      <c r="AJ52" t="str">
        <f t="shared" si="12"/>
        <v>12ASkillWk.25</v>
      </c>
      <c r="AK52" s="24" t="str">
        <f t="shared" si="13"/>
        <v/>
      </c>
    </row>
    <row r="53" spans="1:37" x14ac:dyDescent="0.2">
      <c r="A53" t="s">
        <v>65</v>
      </c>
      <c r="B53" t="s">
        <v>36</v>
      </c>
      <c r="C53" t="s">
        <v>405</v>
      </c>
      <c r="D53" t="s">
        <v>462</v>
      </c>
      <c r="E53" s="6">
        <v>75.134615384615387</v>
      </c>
      <c r="I53" t="str">
        <f t="shared" si="0"/>
        <v>12ATeoriWk.4</v>
      </c>
      <c r="J53" t="str">
        <f t="shared" si="1"/>
        <v>12A</v>
      </c>
      <c r="K53" t="str">
        <f t="shared" si="2"/>
        <v>Teori</v>
      </c>
      <c r="L53" t="str">
        <f t="shared" si="3"/>
        <v>Jan</v>
      </c>
      <c r="M53" t="str">
        <f t="shared" si="4"/>
        <v>Wk.4</v>
      </c>
      <c r="N53">
        <f t="shared" si="5"/>
        <v>75.134615384615387</v>
      </c>
      <c r="X53" t="str">
        <f t="shared" si="6"/>
        <v/>
      </c>
      <c r="Y53" t="str">
        <f t="shared" si="7"/>
        <v/>
      </c>
      <c r="Z53" t="str">
        <f t="shared" si="15"/>
        <v/>
      </c>
      <c r="AA53" t="str">
        <f t="shared" si="16"/>
        <v/>
      </c>
      <c r="AB53" t="str">
        <f t="shared" si="17"/>
        <v/>
      </c>
      <c r="AC53" t="str">
        <f t="shared" si="14"/>
        <v/>
      </c>
      <c r="AF53" t="s">
        <v>54</v>
      </c>
      <c r="AG53" t="s">
        <v>36</v>
      </c>
      <c r="AH53" t="str">
        <f>IF(Table4[[#This Row],[Nilai]]="","",VLOOKUP(Table4[[#This Row],[Helper]],$I$5:$L$380,4,FALSE))</f>
        <v>Jan</v>
      </c>
      <c r="AI53" t="s">
        <v>466</v>
      </c>
      <c r="AJ53" t="str">
        <f t="shared" si="12"/>
        <v>11ATeoriWk.2</v>
      </c>
      <c r="AK53" s="24">
        <f t="shared" si="13"/>
        <v>58.5</v>
      </c>
    </row>
    <row r="54" spans="1:37" x14ac:dyDescent="0.2">
      <c r="A54" t="s">
        <v>65</v>
      </c>
      <c r="B54" t="s">
        <v>36</v>
      </c>
      <c r="C54" t="s">
        <v>405</v>
      </c>
      <c r="D54" t="s">
        <v>463</v>
      </c>
      <c r="E54" s="6">
        <v>74.055555555555557</v>
      </c>
      <c r="I54" t="str">
        <f t="shared" si="0"/>
        <v>12ATeoriWk.5</v>
      </c>
      <c r="J54" t="str">
        <f t="shared" si="1"/>
        <v>12A</v>
      </c>
      <c r="K54" t="str">
        <f t="shared" si="2"/>
        <v>Teori</v>
      </c>
      <c r="L54" t="str">
        <f t="shared" si="3"/>
        <v>Jan</v>
      </c>
      <c r="M54" t="str">
        <f t="shared" si="4"/>
        <v>Wk.5</v>
      </c>
      <c r="N54">
        <f t="shared" si="5"/>
        <v>74.055555555555557</v>
      </c>
      <c r="X54" t="str">
        <f t="shared" si="6"/>
        <v/>
      </c>
      <c r="Y54" t="str">
        <f t="shared" si="7"/>
        <v/>
      </c>
      <c r="Z54" t="str">
        <f t="shared" si="15"/>
        <v/>
      </c>
      <c r="AA54" t="str">
        <f t="shared" si="16"/>
        <v/>
      </c>
      <c r="AB54" t="str">
        <f t="shared" si="17"/>
        <v/>
      </c>
      <c r="AC54" t="str">
        <f t="shared" si="14"/>
        <v/>
      </c>
      <c r="AF54" t="s">
        <v>54</v>
      </c>
      <c r="AG54" t="s">
        <v>36</v>
      </c>
      <c r="AH54" t="str">
        <f>IF(Table4[[#This Row],[Nilai]]="","",VLOOKUP(Table4[[#This Row],[Helper]],$I$5:$L$380,4,FALSE))</f>
        <v>Jan</v>
      </c>
      <c r="AI54" t="s">
        <v>461</v>
      </c>
      <c r="AJ54" t="str">
        <f t="shared" si="12"/>
        <v>11ATeoriWk.3</v>
      </c>
      <c r="AK54" s="24">
        <f t="shared" si="13"/>
        <v>64.493827160493822</v>
      </c>
    </row>
    <row r="55" spans="1:37" x14ac:dyDescent="0.2">
      <c r="A55" t="s">
        <v>65</v>
      </c>
      <c r="B55" t="s">
        <v>36</v>
      </c>
      <c r="C55" t="s">
        <v>412</v>
      </c>
      <c r="D55" t="s">
        <v>464</v>
      </c>
      <c r="E55" s="6">
        <v>75.533333333333331</v>
      </c>
      <c r="I55" t="str">
        <f t="shared" si="0"/>
        <v>12ATeoriWk.6</v>
      </c>
      <c r="J55" t="str">
        <f t="shared" si="1"/>
        <v>12A</v>
      </c>
      <c r="K55" t="str">
        <f t="shared" si="2"/>
        <v>Teori</v>
      </c>
      <c r="L55" t="str">
        <f t="shared" si="3"/>
        <v>Feb</v>
      </c>
      <c r="M55" t="str">
        <f t="shared" si="4"/>
        <v>Wk.6</v>
      </c>
      <c r="N55">
        <f t="shared" si="5"/>
        <v>75.533333333333331</v>
      </c>
      <c r="X55" t="str">
        <f t="shared" si="6"/>
        <v/>
      </c>
      <c r="Y55" t="str">
        <f t="shared" si="7"/>
        <v/>
      </c>
      <c r="Z55" t="str">
        <f t="shared" si="15"/>
        <v/>
      </c>
      <c r="AA55" t="str">
        <f t="shared" si="16"/>
        <v/>
      </c>
      <c r="AB55" t="str">
        <f t="shared" si="17"/>
        <v/>
      </c>
      <c r="AC55" t="str">
        <f t="shared" si="14"/>
        <v/>
      </c>
      <c r="AF55" t="s">
        <v>54</v>
      </c>
      <c r="AG55" t="s">
        <v>36</v>
      </c>
      <c r="AH55" t="str">
        <f>IF(Table4[[#This Row],[Nilai]]="","",VLOOKUP(Table4[[#This Row],[Helper]],$I$5:$L$380,4,FALSE))</f>
        <v>Jan</v>
      </c>
      <c r="AI55" t="s">
        <v>462</v>
      </c>
      <c r="AJ55" t="str">
        <f t="shared" si="12"/>
        <v>11ATeoriWk.4</v>
      </c>
      <c r="AK55" s="24">
        <f t="shared" si="13"/>
        <v>61.174418604651166</v>
      </c>
    </row>
    <row r="56" spans="1:37" x14ac:dyDescent="0.2">
      <c r="A56" t="s">
        <v>65</v>
      </c>
      <c r="B56" t="s">
        <v>36</v>
      </c>
      <c r="C56" t="s">
        <v>412</v>
      </c>
      <c r="D56" t="s">
        <v>465</v>
      </c>
      <c r="E56" s="6">
        <v>68.583333333333329</v>
      </c>
      <c r="I56" t="str">
        <f t="shared" si="0"/>
        <v>12ATeoriWk.7</v>
      </c>
      <c r="J56" t="str">
        <f t="shared" si="1"/>
        <v>12A</v>
      </c>
      <c r="K56" t="str">
        <f t="shared" si="2"/>
        <v>Teori</v>
      </c>
      <c r="L56" t="str">
        <f t="shared" si="3"/>
        <v>Feb</v>
      </c>
      <c r="M56" t="str">
        <f t="shared" si="4"/>
        <v>Wk.7</v>
      </c>
      <c r="N56">
        <f t="shared" si="5"/>
        <v>68.583333333333329</v>
      </c>
      <c r="X56" t="str">
        <f t="shared" si="6"/>
        <v/>
      </c>
      <c r="Y56" t="str">
        <f t="shared" si="7"/>
        <v/>
      </c>
      <c r="Z56" t="str">
        <f t="shared" si="15"/>
        <v/>
      </c>
      <c r="AA56" t="str">
        <f t="shared" si="16"/>
        <v/>
      </c>
      <c r="AB56" t="str">
        <f t="shared" si="17"/>
        <v/>
      </c>
      <c r="AC56" t="str">
        <f t="shared" si="14"/>
        <v/>
      </c>
      <c r="AF56" t="s">
        <v>54</v>
      </c>
      <c r="AG56" t="s">
        <v>36</v>
      </c>
      <c r="AH56" t="str">
        <f>IF(Table4[[#This Row],[Nilai]]="","",VLOOKUP(Table4[[#This Row],[Helper]],$I$5:$L$380,4,FALSE))</f>
        <v>Jan</v>
      </c>
      <c r="AI56" t="s">
        <v>463</v>
      </c>
      <c r="AJ56" t="str">
        <f t="shared" si="12"/>
        <v>11ATeoriWk.5</v>
      </c>
      <c r="AK56" s="24">
        <f t="shared" si="13"/>
        <v>66.594202898550719</v>
      </c>
    </row>
    <row r="57" spans="1:37" x14ac:dyDescent="0.2">
      <c r="A57" t="s">
        <v>65</v>
      </c>
      <c r="B57" t="s">
        <v>36</v>
      </c>
      <c r="C57" t="s">
        <v>412</v>
      </c>
      <c r="D57" t="s">
        <v>467</v>
      </c>
      <c r="E57" s="6">
        <v>70</v>
      </c>
      <c r="I57" t="str">
        <f t="shared" si="0"/>
        <v>12ATeoriWk.8</v>
      </c>
      <c r="J57" t="str">
        <f t="shared" si="1"/>
        <v>12A</v>
      </c>
      <c r="K57" t="str">
        <f t="shared" si="2"/>
        <v>Teori</v>
      </c>
      <c r="L57" t="str">
        <f t="shared" si="3"/>
        <v>Feb</v>
      </c>
      <c r="M57" t="str">
        <f t="shared" si="4"/>
        <v>Wk.8</v>
      </c>
      <c r="N57">
        <f t="shared" si="5"/>
        <v>70</v>
      </c>
      <c r="X57" t="str">
        <f t="shared" si="6"/>
        <v/>
      </c>
      <c r="Y57" t="str">
        <f t="shared" si="7"/>
        <v/>
      </c>
      <c r="Z57" t="str">
        <f t="shared" si="15"/>
        <v/>
      </c>
      <c r="AA57" t="str">
        <f t="shared" si="16"/>
        <v/>
      </c>
      <c r="AB57" t="str">
        <f t="shared" si="17"/>
        <v/>
      </c>
      <c r="AC57" t="str">
        <f t="shared" si="14"/>
        <v/>
      </c>
      <c r="AF57" t="s">
        <v>54</v>
      </c>
      <c r="AG57" t="s">
        <v>36</v>
      </c>
      <c r="AH57" t="str">
        <f>IF(Table4[[#This Row],[Nilai]]="","",VLOOKUP(Table4[[#This Row],[Helper]],$I$5:$L$380,4,FALSE))</f>
        <v>Feb</v>
      </c>
      <c r="AI57" t="s">
        <v>464</v>
      </c>
      <c r="AJ57" t="str">
        <f t="shared" si="12"/>
        <v>11ATeoriWk.6</v>
      </c>
      <c r="AK57" s="24">
        <f t="shared" si="13"/>
        <v>75.316831683168317</v>
      </c>
    </row>
    <row r="58" spans="1:37" x14ac:dyDescent="0.2">
      <c r="A58" t="s">
        <v>65</v>
      </c>
      <c r="B58" t="s">
        <v>36</v>
      </c>
      <c r="C58" t="s">
        <v>412</v>
      </c>
      <c r="D58" t="s">
        <v>486</v>
      </c>
      <c r="E58" s="6">
        <v>90.333333333333329</v>
      </c>
      <c r="I58" t="str">
        <f t="shared" si="0"/>
        <v>12ATeoriWk.9</v>
      </c>
      <c r="J58" t="str">
        <f t="shared" si="1"/>
        <v>12A</v>
      </c>
      <c r="K58" t="str">
        <f t="shared" si="2"/>
        <v>Teori</v>
      </c>
      <c r="L58" t="str">
        <f t="shared" si="3"/>
        <v>Feb</v>
      </c>
      <c r="M58" t="str">
        <f t="shared" si="4"/>
        <v>Wk.9</v>
      </c>
      <c r="N58">
        <f t="shared" si="5"/>
        <v>90.333333333333329</v>
      </c>
      <c r="X58" t="str">
        <f t="shared" si="6"/>
        <v/>
      </c>
      <c r="Y58" t="str">
        <f t="shared" si="7"/>
        <v/>
      </c>
      <c r="Z58" t="str">
        <f t="shared" si="15"/>
        <v/>
      </c>
      <c r="AA58" t="str">
        <f t="shared" si="16"/>
        <v/>
      </c>
      <c r="AB58" t="str">
        <f t="shared" si="17"/>
        <v/>
      </c>
      <c r="AC58" t="str">
        <f t="shared" si="14"/>
        <v/>
      </c>
      <c r="AF58" t="s">
        <v>54</v>
      </c>
      <c r="AG58" t="s">
        <v>36</v>
      </c>
      <c r="AH58" t="str">
        <f>IF(Table4[[#This Row],[Nilai]]="","",VLOOKUP(Table4[[#This Row],[Helper]],$I$5:$L$380,4,FALSE))</f>
        <v>Feb</v>
      </c>
      <c r="AI58" t="s">
        <v>465</v>
      </c>
      <c r="AJ58" t="str">
        <f t="shared" si="12"/>
        <v>11ATeoriWk.7</v>
      </c>
      <c r="AK58" s="24">
        <f t="shared" si="13"/>
        <v>64.344262295081961</v>
      </c>
    </row>
    <row r="59" spans="1:37" x14ac:dyDescent="0.2">
      <c r="A59" t="s">
        <v>65</v>
      </c>
      <c r="B59" t="s">
        <v>31</v>
      </c>
      <c r="C59" t="s">
        <v>405</v>
      </c>
      <c r="D59" t="s">
        <v>466</v>
      </c>
      <c r="E59" s="6">
        <v>71.111111111111114</v>
      </c>
      <c r="I59" t="str">
        <f t="shared" si="0"/>
        <v>12ANalarWk.2</v>
      </c>
      <c r="J59" t="str">
        <f t="shared" si="1"/>
        <v>12A</v>
      </c>
      <c r="K59" t="str">
        <f t="shared" si="2"/>
        <v>Nalar</v>
      </c>
      <c r="L59" t="str">
        <f t="shared" si="3"/>
        <v>Jan</v>
      </c>
      <c r="M59" t="str">
        <f t="shared" si="4"/>
        <v>Wk.2</v>
      </c>
      <c r="N59">
        <f t="shared" si="5"/>
        <v>71.111111111111114</v>
      </c>
      <c r="X59" t="str">
        <f t="shared" si="6"/>
        <v/>
      </c>
      <c r="Y59" t="str">
        <f t="shared" si="7"/>
        <v/>
      </c>
      <c r="Z59" t="str">
        <f t="shared" si="15"/>
        <v/>
      </c>
      <c r="AA59" t="str">
        <f t="shared" si="16"/>
        <v/>
      </c>
      <c r="AB59" t="str">
        <f t="shared" si="17"/>
        <v/>
      </c>
      <c r="AC59" t="str">
        <f t="shared" si="14"/>
        <v/>
      </c>
      <c r="AF59" t="s">
        <v>54</v>
      </c>
      <c r="AG59" t="s">
        <v>36</v>
      </c>
      <c r="AH59" t="str">
        <f>IF(Table4[[#This Row],[Nilai]]="","",VLOOKUP(Table4[[#This Row],[Helper]],$I$5:$L$380,4,FALSE))</f>
        <v>Feb</v>
      </c>
      <c r="AI59" t="s">
        <v>467</v>
      </c>
      <c r="AJ59" t="str">
        <f t="shared" si="12"/>
        <v>11ATeoriWk.8</v>
      </c>
      <c r="AK59" s="24">
        <f t="shared" si="13"/>
        <v>71.977777777777774</v>
      </c>
    </row>
    <row r="60" spans="1:37" x14ac:dyDescent="0.2">
      <c r="A60" t="s">
        <v>65</v>
      </c>
      <c r="B60" t="s">
        <v>31</v>
      </c>
      <c r="C60" t="s">
        <v>405</v>
      </c>
      <c r="D60" t="s">
        <v>461</v>
      </c>
      <c r="E60" s="6">
        <v>67.333333333333329</v>
      </c>
      <c r="I60" t="str">
        <f t="shared" si="0"/>
        <v>12ANalarWk.3</v>
      </c>
      <c r="J60" t="str">
        <f t="shared" si="1"/>
        <v>12A</v>
      </c>
      <c r="K60" t="str">
        <f t="shared" si="2"/>
        <v>Nalar</v>
      </c>
      <c r="L60" t="str">
        <f t="shared" si="3"/>
        <v>Jan</v>
      </c>
      <c r="M60" t="str">
        <f t="shared" si="4"/>
        <v>Wk.3</v>
      </c>
      <c r="N60">
        <f t="shared" si="5"/>
        <v>67.333333333333329</v>
      </c>
      <c r="X60" t="str">
        <f t="shared" si="6"/>
        <v/>
      </c>
      <c r="Y60" t="str">
        <f t="shared" si="7"/>
        <v/>
      </c>
      <c r="Z60" t="str">
        <f t="shared" si="15"/>
        <v/>
      </c>
      <c r="AA60" t="str">
        <f t="shared" si="16"/>
        <v/>
      </c>
      <c r="AB60" t="str">
        <f t="shared" si="17"/>
        <v/>
      </c>
      <c r="AC60" t="str">
        <f t="shared" si="14"/>
        <v/>
      </c>
      <c r="AF60" t="s">
        <v>54</v>
      </c>
      <c r="AG60" t="s">
        <v>36</v>
      </c>
      <c r="AH60" t="str">
        <f>IF(Table4[[#This Row],[Nilai]]="","",VLOOKUP(Table4[[#This Row],[Helper]],$I$5:$L$380,4,FALSE))</f>
        <v>Feb</v>
      </c>
      <c r="AI60" t="s">
        <v>486</v>
      </c>
      <c r="AJ60" t="str">
        <f t="shared" si="12"/>
        <v>11ATeoriWk.9</v>
      </c>
      <c r="AK60" s="24">
        <f t="shared" si="13"/>
        <v>72.3</v>
      </c>
    </row>
    <row r="61" spans="1:37" x14ac:dyDescent="0.2">
      <c r="A61" t="s">
        <v>65</v>
      </c>
      <c r="B61" t="s">
        <v>31</v>
      </c>
      <c r="C61" t="s">
        <v>405</v>
      </c>
      <c r="D61" t="s">
        <v>462</v>
      </c>
      <c r="E61" s="6">
        <v>67.407407407407405</v>
      </c>
      <c r="I61" t="str">
        <f t="shared" si="0"/>
        <v>12ANalarWk.4</v>
      </c>
      <c r="J61" t="str">
        <f t="shared" si="1"/>
        <v>12A</v>
      </c>
      <c r="K61" t="str">
        <f t="shared" si="2"/>
        <v>Nalar</v>
      </c>
      <c r="L61" t="str">
        <f t="shared" si="3"/>
        <v>Jan</v>
      </c>
      <c r="M61" t="str">
        <f t="shared" si="4"/>
        <v>Wk.4</v>
      </c>
      <c r="N61">
        <f t="shared" si="5"/>
        <v>67.407407407407405</v>
      </c>
      <c r="X61" t="str">
        <f t="shared" si="6"/>
        <v/>
      </c>
      <c r="Y61" t="str">
        <f t="shared" si="7"/>
        <v/>
      </c>
      <c r="Z61" t="str">
        <f t="shared" si="15"/>
        <v/>
      </c>
      <c r="AA61" t="str">
        <f t="shared" si="16"/>
        <v/>
      </c>
      <c r="AB61" t="str">
        <f t="shared" si="17"/>
        <v/>
      </c>
      <c r="AC61" t="str">
        <f t="shared" si="14"/>
        <v/>
      </c>
      <c r="AF61" t="s">
        <v>54</v>
      </c>
      <c r="AG61" t="s">
        <v>36</v>
      </c>
      <c r="AH61" t="str">
        <f>IF(Table4[[#This Row],[Nilai]]="","",VLOOKUP(Table4[[#This Row],[Helper]],$I$5:$L$380,4,FALSE))</f>
        <v/>
      </c>
      <c r="AI61" t="s">
        <v>493</v>
      </c>
      <c r="AJ61" t="str">
        <f t="shared" si="12"/>
        <v>11ATeoriWk.10</v>
      </c>
      <c r="AK61" s="24" t="str">
        <f t="shared" si="13"/>
        <v/>
      </c>
    </row>
    <row r="62" spans="1:37" x14ac:dyDescent="0.2">
      <c r="A62" t="s">
        <v>65</v>
      </c>
      <c r="B62" t="s">
        <v>31</v>
      </c>
      <c r="C62" t="s">
        <v>405</v>
      </c>
      <c r="D62" t="s">
        <v>463</v>
      </c>
      <c r="E62" s="6">
        <v>76.081081081081081</v>
      </c>
      <c r="I62" t="str">
        <f t="shared" si="0"/>
        <v>12ANalarWk.5</v>
      </c>
      <c r="J62" t="str">
        <f t="shared" si="1"/>
        <v>12A</v>
      </c>
      <c r="K62" t="str">
        <f t="shared" si="2"/>
        <v>Nalar</v>
      </c>
      <c r="L62" t="str">
        <f t="shared" si="3"/>
        <v>Jan</v>
      </c>
      <c r="M62" t="str">
        <f t="shared" si="4"/>
        <v>Wk.5</v>
      </c>
      <c r="N62">
        <f t="shared" si="5"/>
        <v>76.081081081081081</v>
      </c>
      <c r="X62" t="str">
        <f t="shared" si="6"/>
        <v/>
      </c>
      <c r="Y62" t="str">
        <f t="shared" si="7"/>
        <v/>
      </c>
      <c r="Z62" t="str">
        <f t="shared" si="15"/>
        <v/>
      </c>
      <c r="AA62" t="str">
        <f t="shared" si="16"/>
        <v/>
      </c>
      <c r="AB62" t="str">
        <f t="shared" si="17"/>
        <v/>
      </c>
      <c r="AC62" t="str">
        <f t="shared" si="14"/>
        <v/>
      </c>
      <c r="AF62" t="s">
        <v>54</v>
      </c>
      <c r="AG62" t="s">
        <v>36</v>
      </c>
      <c r="AH62" t="str">
        <f>IF(Table4[[#This Row],[Nilai]]="","",VLOOKUP(Table4[[#This Row],[Helper]],$I$5:$L$380,4,FALSE))</f>
        <v/>
      </c>
      <c r="AI62" t="s">
        <v>494</v>
      </c>
      <c r="AJ62" t="str">
        <f t="shared" si="12"/>
        <v>11ATeoriWk.11</v>
      </c>
      <c r="AK62" s="24" t="str">
        <f t="shared" si="13"/>
        <v/>
      </c>
    </row>
    <row r="63" spans="1:37" x14ac:dyDescent="0.2">
      <c r="A63" t="s">
        <v>65</v>
      </c>
      <c r="B63" t="s">
        <v>31</v>
      </c>
      <c r="C63" t="s">
        <v>412</v>
      </c>
      <c r="D63" t="s">
        <v>464</v>
      </c>
      <c r="E63" s="6">
        <v>72.5</v>
      </c>
      <c r="I63" t="str">
        <f t="shared" si="0"/>
        <v>12ANalarWk.6</v>
      </c>
      <c r="J63" t="str">
        <f t="shared" si="1"/>
        <v>12A</v>
      </c>
      <c r="K63" t="str">
        <f t="shared" si="2"/>
        <v>Nalar</v>
      </c>
      <c r="L63" t="str">
        <f t="shared" si="3"/>
        <v>Feb</v>
      </c>
      <c r="M63" t="str">
        <f t="shared" si="4"/>
        <v>Wk.6</v>
      </c>
      <c r="N63">
        <f t="shared" si="5"/>
        <v>72.5</v>
      </c>
      <c r="X63" t="str">
        <f t="shared" si="6"/>
        <v/>
      </c>
      <c r="Y63" t="str">
        <f t="shared" si="7"/>
        <v/>
      </c>
      <c r="Z63" t="str">
        <f t="shared" si="15"/>
        <v/>
      </c>
      <c r="AA63" t="str">
        <f t="shared" si="16"/>
        <v/>
      </c>
      <c r="AB63" t="str">
        <f t="shared" si="17"/>
        <v/>
      </c>
      <c r="AC63" t="str">
        <f t="shared" si="14"/>
        <v/>
      </c>
      <c r="AF63" t="s">
        <v>54</v>
      </c>
      <c r="AG63" t="s">
        <v>36</v>
      </c>
      <c r="AH63" t="str">
        <f>IF(Table4[[#This Row],[Nilai]]="","",VLOOKUP(Table4[[#This Row],[Helper]],$I$5:$L$380,4,FALSE))</f>
        <v/>
      </c>
      <c r="AI63" t="s">
        <v>495</v>
      </c>
      <c r="AJ63" t="str">
        <f t="shared" si="12"/>
        <v>11ATeoriWk.12</v>
      </c>
      <c r="AK63" s="24" t="str">
        <f t="shared" si="13"/>
        <v/>
      </c>
    </row>
    <row r="64" spans="1:37" x14ac:dyDescent="0.2">
      <c r="A64" t="s">
        <v>65</v>
      </c>
      <c r="B64" t="s">
        <v>31</v>
      </c>
      <c r="C64" t="s">
        <v>412</v>
      </c>
      <c r="D64" t="s">
        <v>465</v>
      </c>
      <c r="E64" s="6">
        <v>70.444444444444443</v>
      </c>
      <c r="I64" t="str">
        <f t="shared" si="0"/>
        <v>12ANalarWk.7</v>
      </c>
      <c r="J64" t="str">
        <f t="shared" si="1"/>
        <v>12A</v>
      </c>
      <c r="K64" t="str">
        <f t="shared" si="2"/>
        <v>Nalar</v>
      </c>
      <c r="L64" t="str">
        <f t="shared" si="3"/>
        <v>Feb</v>
      </c>
      <c r="M64" t="str">
        <f t="shared" si="4"/>
        <v>Wk.7</v>
      </c>
      <c r="N64">
        <f t="shared" si="5"/>
        <v>70.444444444444443</v>
      </c>
      <c r="X64" t="str">
        <f t="shared" si="6"/>
        <v/>
      </c>
      <c r="Y64" t="str">
        <f t="shared" si="7"/>
        <v/>
      </c>
      <c r="Z64" t="str">
        <f t="shared" si="15"/>
        <v/>
      </c>
      <c r="AA64" t="str">
        <f t="shared" si="16"/>
        <v/>
      </c>
      <c r="AB64" t="str">
        <f t="shared" si="17"/>
        <v/>
      </c>
      <c r="AC64" t="str">
        <f t="shared" si="14"/>
        <v/>
      </c>
      <c r="AF64" t="s">
        <v>54</v>
      </c>
      <c r="AG64" t="s">
        <v>36</v>
      </c>
      <c r="AH64" t="str">
        <f>IF(Table4[[#This Row],[Nilai]]="","",VLOOKUP(Table4[[#This Row],[Helper]],$I$5:$L$380,4,FALSE))</f>
        <v/>
      </c>
      <c r="AI64" t="s">
        <v>496</v>
      </c>
      <c r="AJ64" t="str">
        <f t="shared" si="12"/>
        <v>11ATeoriWk.13</v>
      </c>
      <c r="AK64" s="24" t="str">
        <f t="shared" si="13"/>
        <v/>
      </c>
    </row>
    <row r="65" spans="1:37" x14ac:dyDescent="0.2">
      <c r="A65" t="s">
        <v>65</v>
      </c>
      <c r="B65" t="s">
        <v>31</v>
      </c>
      <c r="C65" t="s">
        <v>412</v>
      </c>
      <c r="D65" t="s">
        <v>467</v>
      </c>
      <c r="E65" s="6">
        <v>71.111111111111114</v>
      </c>
      <c r="I65" t="str">
        <f t="shared" si="0"/>
        <v>12ANalarWk.8</v>
      </c>
      <c r="J65" t="str">
        <f t="shared" si="1"/>
        <v>12A</v>
      </c>
      <c r="K65" t="str">
        <f t="shared" si="2"/>
        <v>Nalar</v>
      </c>
      <c r="L65" t="str">
        <f t="shared" si="3"/>
        <v>Feb</v>
      </c>
      <c r="M65" t="str">
        <f t="shared" si="4"/>
        <v>Wk.8</v>
      </c>
      <c r="N65">
        <f t="shared" si="5"/>
        <v>71.111111111111114</v>
      </c>
      <c r="X65" t="str">
        <f t="shared" si="6"/>
        <v/>
      </c>
      <c r="Y65" t="str">
        <f t="shared" si="7"/>
        <v/>
      </c>
      <c r="Z65" t="str">
        <f t="shared" si="15"/>
        <v/>
      </c>
      <c r="AA65" t="str">
        <f t="shared" si="16"/>
        <v/>
      </c>
      <c r="AB65" t="str">
        <f t="shared" si="17"/>
        <v/>
      </c>
      <c r="AC65" t="str">
        <f t="shared" si="14"/>
        <v/>
      </c>
      <c r="AF65" t="s">
        <v>54</v>
      </c>
      <c r="AG65" t="s">
        <v>36</v>
      </c>
      <c r="AH65" t="str">
        <f>IF(Table4[[#This Row],[Nilai]]="","",VLOOKUP(Table4[[#This Row],[Helper]],$I$5:$L$380,4,FALSE))</f>
        <v/>
      </c>
      <c r="AI65" t="s">
        <v>497</v>
      </c>
      <c r="AJ65" t="str">
        <f t="shared" si="12"/>
        <v>11ATeoriWk.14</v>
      </c>
      <c r="AK65" s="24" t="str">
        <f t="shared" si="13"/>
        <v/>
      </c>
    </row>
    <row r="66" spans="1:37" x14ac:dyDescent="0.2">
      <c r="A66" t="s">
        <v>65</v>
      </c>
      <c r="B66" t="s">
        <v>31</v>
      </c>
      <c r="C66" t="s">
        <v>412</v>
      </c>
      <c r="D66" t="s">
        <v>486</v>
      </c>
      <c r="E66" s="6">
        <v>82.222222222222229</v>
      </c>
      <c r="I66" t="str">
        <f t="shared" si="0"/>
        <v>12ANalarWk.9</v>
      </c>
      <c r="J66" t="str">
        <f t="shared" si="1"/>
        <v>12A</v>
      </c>
      <c r="K66" t="str">
        <f t="shared" si="2"/>
        <v>Nalar</v>
      </c>
      <c r="L66" t="str">
        <f t="shared" si="3"/>
        <v>Feb</v>
      </c>
      <c r="M66" t="str">
        <f t="shared" si="4"/>
        <v>Wk.9</v>
      </c>
      <c r="N66">
        <f t="shared" si="5"/>
        <v>82.222222222222229</v>
      </c>
      <c r="X66" t="str">
        <f t="shared" si="6"/>
        <v/>
      </c>
      <c r="Y66" t="str">
        <f t="shared" si="7"/>
        <v/>
      </c>
      <c r="Z66" t="str">
        <f t="shared" si="15"/>
        <v/>
      </c>
      <c r="AA66" t="str">
        <f t="shared" si="16"/>
        <v/>
      </c>
      <c r="AB66" t="str">
        <f t="shared" si="17"/>
        <v/>
      </c>
      <c r="AC66" t="str">
        <f t="shared" si="14"/>
        <v/>
      </c>
      <c r="AF66" t="s">
        <v>54</v>
      </c>
      <c r="AG66" t="s">
        <v>36</v>
      </c>
      <c r="AH66" t="str">
        <f>IF(Table4[[#This Row],[Nilai]]="","",VLOOKUP(Table4[[#This Row],[Helper]],$I$5:$L$380,4,FALSE))</f>
        <v/>
      </c>
      <c r="AI66" t="s">
        <v>498</v>
      </c>
      <c r="AJ66" t="str">
        <f t="shared" si="12"/>
        <v>11ATeoriWk.15</v>
      </c>
      <c r="AK66" s="24" t="str">
        <f t="shared" si="13"/>
        <v/>
      </c>
    </row>
    <row r="67" spans="1:37" x14ac:dyDescent="0.2">
      <c r="A67" t="s">
        <v>65</v>
      </c>
      <c r="B67" t="s">
        <v>41</v>
      </c>
      <c r="C67" t="s">
        <v>405</v>
      </c>
      <c r="D67" t="s">
        <v>461</v>
      </c>
      <c r="E67" s="6">
        <v>65.740740740740748</v>
      </c>
      <c r="I67" t="str">
        <f t="shared" si="0"/>
        <v>12ASkillWk.3</v>
      </c>
      <c r="J67" t="str">
        <f t="shared" si="1"/>
        <v>12A</v>
      </c>
      <c r="K67" t="str">
        <f t="shared" si="2"/>
        <v>Skill</v>
      </c>
      <c r="L67" t="str">
        <f t="shared" si="3"/>
        <v>Jan</v>
      </c>
      <c r="M67" t="str">
        <f t="shared" si="4"/>
        <v>Wk.3</v>
      </c>
      <c r="N67">
        <f t="shared" si="5"/>
        <v>65.740740740740748</v>
      </c>
      <c r="X67" t="str">
        <f t="shared" si="6"/>
        <v/>
      </c>
      <c r="Y67" t="str">
        <f t="shared" si="7"/>
        <v/>
      </c>
      <c r="Z67" t="str">
        <f t="shared" si="15"/>
        <v/>
      </c>
      <c r="AA67" t="str">
        <f t="shared" si="16"/>
        <v/>
      </c>
      <c r="AB67" t="str">
        <f t="shared" si="17"/>
        <v/>
      </c>
      <c r="AC67" t="str">
        <f t="shared" si="14"/>
        <v/>
      </c>
      <c r="AF67" t="s">
        <v>54</v>
      </c>
      <c r="AG67" t="s">
        <v>36</v>
      </c>
      <c r="AH67" t="str">
        <f>IF(Table4[[#This Row],[Nilai]]="","",VLOOKUP(Table4[[#This Row],[Helper]],$I$5:$L$380,4,FALSE))</f>
        <v/>
      </c>
      <c r="AI67" t="s">
        <v>499</v>
      </c>
      <c r="AJ67" t="str">
        <f t="shared" si="12"/>
        <v>11ATeoriWk.16</v>
      </c>
      <c r="AK67" s="24" t="str">
        <f t="shared" si="13"/>
        <v/>
      </c>
    </row>
    <row r="68" spans="1:37" x14ac:dyDescent="0.2">
      <c r="A68" t="s">
        <v>65</v>
      </c>
      <c r="B68" t="s">
        <v>41</v>
      </c>
      <c r="C68" t="s">
        <v>405</v>
      </c>
      <c r="D68" t="s">
        <v>462</v>
      </c>
      <c r="E68" s="6">
        <v>84</v>
      </c>
      <c r="I68" t="str">
        <f t="shared" si="0"/>
        <v>12ASkillWk.4</v>
      </c>
      <c r="J68" t="str">
        <f t="shared" si="1"/>
        <v>12A</v>
      </c>
      <c r="K68" t="str">
        <f t="shared" si="2"/>
        <v>Skill</v>
      </c>
      <c r="L68" t="str">
        <f t="shared" si="3"/>
        <v>Jan</v>
      </c>
      <c r="M68" t="str">
        <f t="shared" si="4"/>
        <v>Wk.4</v>
      </c>
      <c r="N68">
        <f t="shared" si="5"/>
        <v>84</v>
      </c>
      <c r="X68" t="str">
        <f t="shared" si="6"/>
        <v/>
      </c>
      <c r="Y68" t="str">
        <f t="shared" si="7"/>
        <v/>
      </c>
      <c r="Z68" t="str">
        <f t="shared" si="15"/>
        <v/>
      </c>
      <c r="AA68" t="str">
        <f t="shared" si="16"/>
        <v/>
      </c>
      <c r="AB68" t="str">
        <f t="shared" si="17"/>
        <v/>
      </c>
      <c r="AC68" t="str">
        <f t="shared" si="14"/>
        <v/>
      </c>
      <c r="AF68" t="s">
        <v>54</v>
      </c>
      <c r="AG68" t="s">
        <v>36</v>
      </c>
      <c r="AH68" t="str">
        <f>IF(Table4[[#This Row],[Nilai]]="","",VLOOKUP(Table4[[#This Row],[Helper]],$I$5:$L$380,4,FALSE))</f>
        <v/>
      </c>
      <c r="AI68" t="s">
        <v>500</v>
      </c>
      <c r="AJ68" t="str">
        <f t="shared" si="12"/>
        <v>11ATeoriWk.17</v>
      </c>
      <c r="AK68" s="24" t="str">
        <f t="shared" si="13"/>
        <v/>
      </c>
    </row>
    <row r="69" spans="1:37" x14ac:dyDescent="0.2">
      <c r="A69" t="s">
        <v>65</v>
      </c>
      <c r="B69" t="s">
        <v>41</v>
      </c>
      <c r="C69" t="s">
        <v>405</v>
      </c>
      <c r="D69" t="s">
        <v>463</v>
      </c>
      <c r="E69" s="6">
        <v>67.722222222222229</v>
      </c>
      <c r="I69" t="str">
        <f t="shared" si="0"/>
        <v>12ASkillWk.5</v>
      </c>
      <c r="J69" t="str">
        <f t="shared" si="1"/>
        <v>12A</v>
      </c>
      <c r="K69" t="str">
        <f t="shared" si="2"/>
        <v>Skill</v>
      </c>
      <c r="L69" t="str">
        <f t="shared" si="3"/>
        <v>Jan</v>
      </c>
      <c r="M69" t="str">
        <f t="shared" si="4"/>
        <v>Wk.5</v>
      </c>
      <c r="N69">
        <f t="shared" si="5"/>
        <v>67.722222222222229</v>
      </c>
      <c r="X69" t="str">
        <f t="shared" si="6"/>
        <v/>
      </c>
      <c r="Y69" t="str">
        <f t="shared" si="7"/>
        <v/>
      </c>
      <c r="Z69" t="str">
        <f t="shared" si="15"/>
        <v/>
      </c>
      <c r="AA69" t="str">
        <f t="shared" si="16"/>
        <v/>
      </c>
      <c r="AB69" t="str">
        <f t="shared" si="17"/>
        <v/>
      </c>
      <c r="AC69" t="str">
        <f t="shared" si="14"/>
        <v/>
      </c>
      <c r="AF69" t="s">
        <v>54</v>
      </c>
      <c r="AG69" t="s">
        <v>36</v>
      </c>
      <c r="AH69" t="str">
        <f>IF(Table4[[#This Row],[Nilai]]="","",VLOOKUP(Table4[[#This Row],[Helper]],$I$5:$L$380,4,FALSE))</f>
        <v/>
      </c>
      <c r="AI69" t="s">
        <v>501</v>
      </c>
      <c r="AJ69" t="str">
        <f t="shared" si="12"/>
        <v>11ATeoriWk.18</v>
      </c>
      <c r="AK69" s="24" t="str">
        <f t="shared" si="13"/>
        <v/>
      </c>
    </row>
    <row r="70" spans="1:37" x14ac:dyDescent="0.2">
      <c r="A70" t="s">
        <v>65</v>
      </c>
      <c r="B70" t="s">
        <v>41</v>
      </c>
      <c r="C70" t="s">
        <v>412</v>
      </c>
      <c r="D70" t="s">
        <v>464</v>
      </c>
      <c r="E70" s="6">
        <v>75.333333333333329</v>
      </c>
      <c r="I70" t="str">
        <f t="shared" ref="I70:I133" si="18">J70&amp;K70&amp;M70</f>
        <v>12ASkillWk.6</v>
      </c>
      <c r="J70" t="str">
        <f t="shared" ref="J70:J95" si="19">IF(A70="","",A70)</f>
        <v>12A</v>
      </c>
      <c r="K70" t="str">
        <f t="shared" ref="K70:K95" si="20">IF(B70="","",B70)</f>
        <v>Skill</v>
      </c>
      <c r="L70" t="str">
        <f t="shared" ref="L70:L95" si="21">IF(C70="","",C70)</f>
        <v>Feb</v>
      </c>
      <c r="M70" t="str">
        <f t="shared" ref="M70:M95" si="22">IF(D70="","",D70)</f>
        <v>Wk.6</v>
      </c>
      <c r="N70">
        <f t="shared" ref="N70:N133" si="23">IF(E70="","",E70)</f>
        <v>75.333333333333329</v>
      </c>
      <c r="X70" t="str">
        <f t="shared" ref="X70:X133" si="24">Y70&amp;Z70&amp;AB70</f>
        <v/>
      </c>
      <c r="Y70" t="str">
        <f t="shared" ref="Y70:Y133" si="25">IF(Q70="","",Q70)</f>
        <v/>
      </c>
      <c r="Z70" t="str">
        <f t="shared" si="15"/>
        <v/>
      </c>
      <c r="AA70" t="str">
        <f t="shared" si="16"/>
        <v/>
      </c>
      <c r="AB70" t="str">
        <f t="shared" si="17"/>
        <v/>
      </c>
      <c r="AC70" t="str">
        <f t="shared" ref="AC70:AC101" si="26">IF(U70="","",U70)</f>
        <v/>
      </c>
      <c r="AF70" t="s">
        <v>54</v>
      </c>
      <c r="AG70" t="s">
        <v>36</v>
      </c>
      <c r="AH70" t="str">
        <f>IF(Table4[[#This Row],[Nilai]]="","",VLOOKUP(Table4[[#This Row],[Helper]],$I$5:$L$380,4,FALSE))</f>
        <v/>
      </c>
      <c r="AI70" t="s">
        <v>502</v>
      </c>
      <c r="AJ70" t="str">
        <f t="shared" ref="AJ70:AJ133" si="27">AF70&amp;AG70&amp;AI70</f>
        <v>11ATeoriWk.19</v>
      </c>
      <c r="AK70" s="24" t="str">
        <f t="shared" ref="AK70:AK133" si="28">IFERROR(VLOOKUP(AJ70,$I$5:$N$380,6,),"")</f>
        <v/>
      </c>
    </row>
    <row r="71" spans="1:37" x14ac:dyDescent="0.2">
      <c r="A71" t="s">
        <v>65</v>
      </c>
      <c r="B71" t="s">
        <v>41</v>
      </c>
      <c r="C71" t="s">
        <v>412</v>
      </c>
      <c r="D71" t="s">
        <v>465</v>
      </c>
      <c r="E71" s="6">
        <v>62.777777777777779</v>
      </c>
      <c r="I71" t="str">
        <f t="shared" si="18"/>
        <v>12ASkillWk.7</v>
      </c>
      <c r="J71" t="str">
        <f t="shared" si="19"/>
        <v>12A</v>
      </c>
      <c r="K71" t="str">
        <f t="shared" si="20"/>
        <v>Skill</v>
      </c>
      <c r="L71" t="str">
        <f t="shared" si="21"/>
        <v>Feb</v>
      </c>
      <c r="M71" t="str">
        <f t="shared" si="22"/>
        <v>Wk.7</v>
      </c>
      <c r="N71">
        <f t="shared" si="23"/>
        <v>62.777777777777779</v>
      </c>
      <c r="X71" t="str">
        <f t="shared" si="24"/>
        <v/>
      </c>
      <c r="Y71" t="str">
        <f t="shared" si="25"/>
        <v/>
      </c>
      <c r="Z71" t="str">
        <f t="shared" si="15"/>
        <v/>
      </c>
      <c r="AA71" t="str">
        <f t="shared" si="16"/>
        <v/>
      </c>
      <c r="AB71" t="str">
        <f t="shared" si="17"/>
        <v/>
      </c>
      <c r="AC71" t="str">
        <f t="shared" si="26"/>
        <v/>
      </c>
      <c r="AF71" t="s">
        <v>54</v>
      </c>
      <c r="AG71" t="s">
        <v>36</v>
      </c>
      <c r="AH71" t="str">
        <f>IF(Table4[[#This Row],[Nilai]]="","",VLOOKUP(Table4[[#This Row],[Helper]],$I$5:$L$380,4,FALSE))</f>
        <v/>
      </c>
      <c r="AI71" t="s">
        <v>503</v>
      </c>
      <c r="AJ71" t="str">
        <f t="shared" si="27"/>
        <v>11ATeoriWk.20</v>
      </c>
      <c r="AK71" s="24" t="str">
        <f t="shared" si="28"/>
        <v/>
      </c>
    </row>
    <row r="72" spans="1:37" x14ac:dyDescent="0.2">
      <c r="I72" t="str">
        <f t="shared" si="18"/>
        <v/>
      </c>
      <c r="J72" t="str">
        <f t="shared" si="19"/>
        <v/>
      </c>
      <c r="K72" t="str">
        <f t="shared" si="20"/>
        <v/>
      </c>
      <c r="L72" t="str">
        <f t="shared" si="21"/>
        <v/>
      </c>
      <c r="M72" t="str">
        <f t="shared" si="22"/>
        <v/>
      </c>
      <c r="N72" t="str">
        <f t="shared" si="23"/>
        <v/>
      </c>
      <c r="X72" t="str">
        <f t="shared" si="24"/>
        <v/>
      </c>
      <c r="Y72" t="str">
        <f t="shared" si="25"/>
        <v/>
      </c>
      <c r="Z72" t="str">
        <f t="shared" si="15"/>
        <v/>
      </c>
      <c r="AA72" t="str">
        <f t="shared" si="16"/>
        <v/>
      </c>
      <c r="AB72" t="str">
        <f t="shared" si="17"/>
        <v/>
      </c>
      <c r="AC72" t="str">
        <f t="shared" si="26"/>
        <v/>
      </c>
      <c r="AF72" t="s">
        <v>54</v>
      </c>
      <c r="AG72" t="s">
        <v>36</v>
      </c>
      <c r="AH72" t="str">
        <f>IF(Table4[[#This Row],[Nilai]]="","",VLOOKUP(Table4[[#This Row],[Helper]],$I$5:$L$380,4,FALSE))</f>
        <v/>
      </c>
      <c r="AI72" t="s">
        <v>504</v>
      </c>
      <c r="AJ72" t="str">
        <f t="shared" si="27"/>
        <v>11ATeoriWk.21</v>
      </c>
      <c r="AK72" s="24" t="str">
        <f t="shared" si="28"/>
        <v/>
      </c>
    </row>
    <row r="73" spans="1:37" x14ac:dyDescent="0.2">
      <c r="I73" t="str">
        <f t="shared" si="18"/>
        <v/>
      </c>
      <c r="J73" t="str">
        <f t="shared" si="19"/>
        <v/>
      </c>
      <c r="K73" t="str">
        <f t="shared" si="20"/>
        <v/>
      </c>
      <c r="L73" t="str">
        <f t="shared" si="21"/>
        <v/>
      </c>
      <c r="M73" t="str">
        <f t="shared" si="22"/>
        <v/>
      </c>
      <c r="N73" t="str">
        <f t="shared" si="23"/>
        <v/>
      </c>
      <c r="X73" t="str">
        <f t="shared" si="24"/>
        <v/>
      </c>
      <c r="Y73" t="str">
        <f t="shared" si="25"/>
        <v/>
      </c>
      <c r="Z73" t="str">
        <f t="shared" si="15"/>
        <v/>
      </c>
      <c r="AA73" t="str">
        <f t="shared" si="16"/>
        <v/>
      </c>
      <c r="AB73" t="str">
        <f t="shared" si="17"/>
        <v/>
      </c>
      <c r="AC73" t="str">
        <f t="shared" si="26"/>
        <v/>
      </c>
      <c r="AF73" t="s">
        <v>54</v>
      </c>
      <c r="AG73" t="s">
        <v>36</v>
      </c>
      <c r="AH73" t="str">
        <f>IF(Table4[[#This Row],[Nilai]]="","",VLOOKUP(Table4[[#This Row],[Helper]],$I$5:$L$380,4,FALSE))</f>
        <v/>
      </c>
      <c r="AI73" t="s">
        <v>505</v>
      </c>
      <c r="AJ73" t="str">
        <f t="shared" si="27"/>
        <v>11ATeoriWk.22</v>
      </c>
      <c r="AK73" s="24" t="str">
        <f t="shared" si="28"/>
        <v/>
      </c>
    </row>
    <row r="74" spans="1:37" x14ac:dyDescent="0.2">
      <c r="I74" t="str">
        <f t="shared" si="18"/>
        <v/>
      </c>
      <c r="J74" t="str">
        <f t="shared" si="19"/>
        <v/>
      </c>
      <c r="K74" t="str">
        <f t="shared" si="20"/>
        <v/>
      </c>
      <c r="L74" t="str">
        <f t="shared" si="21"/>
        <v/>
      </c>
      <c r="M74" t="str">
        <f t="shared" si="22"/>
        <v/>
      </c>
      <c r="N74" t="str">
        <f t="shared" si="23"/>
        <v/>
      </c>
      <c r="X74" t="str">
        <f t="shared" si="24"/>
        <v/>
      </c>
      <c r="Y74" t="str">
        <f t="shared" si="25"/>
        <v/>
      </c>
      <c r="Z74" t="str">
        <f t="shared" si="15"/>
        <v/>
      </c>
      <c r="AA74" t="str">
        <f t="shared" si="16"/>
        <v/>
      </c>
      <c r="AB74" t="str">
        <f t="shared" si="17"/>
        <v/>
      </c>
      <c r="AC74" t="str">
        <f t="shared" si="26"/>
        <v/>
      </c>
      <c r="AF74" t="s">
        <v>54</v>
      </c>
      <c r="AG74" t="s">
        <v>36</v>
      </c>
      <c r="AH74" t="str">
        <f>IF(Table4[[#This Row],[Nilai]]="","",VLOOKUP(Table4[[#This Row],[Helper]],$I$5:$L$380,4,FALSE))</f>
        <v/>
      </c>
      <c r="AI74" t="s">
        <v>506</v>
      </c>
      <c r="AJ74" t="str">
        <f t="shared" si="27"/>
        <v>11ATeoriWk.23</v>
      </c>
      <c r="AK74" s="24" t="str">
        <f t="shared" si="28"/>
        <v/>
      </c>
    </row>
    <row r="75" spans="1:37" x14ac:dyDescent="0.2">
      <c r="I75" t="str">
        <f t="shared" si="18"/>
        <v/>
      </c>
      <c r="J75" t="str">
        <f t="shared" si="19"/>
        <v/>
      </c>
      <c r="K75" t="str">
        <f t="shared" si="20"/>
        <v/>
      </c>
      <c r="L75" t="str">
        <f t="shared" si="21"/>
        <v/>
      </c>
      <c r="M75" t="str">
        <f t="shared" si="22"/>
        <v/>
      </c>
      <c r="N75" t="str">
        <f t="shared" si="23"/>
        <v/>
      </c>
      <c r="X75" t="str">
        <f t="shared" si="24"/>
        <v/>
      </c>
      <c r="Y75" t="str">
        <f t="shared" si="25"/>
        <v/>
      </c>
      <c r="Z75" t="str">
        <f t="shared" si="15"/>
        <v/>
      </c>
      <c r="AA75" t="str">
        <f t="shared" si="16"/>
        <v/>
      </c>
      <c r="AB75" t="str">
        <f t="shared" si="17"/>
        <v/>
      </c>
      <c r="AC75" t="str">
        <f t="shared" si="26"/>
        <v/>
      </c>
      <c r="AF75" t="s">
        <v>54</v>
      </c>
      <c r="AG75" t="s">
        <v>36</v>
      </c>
      <c r="AH75" t="str">
        <f>IF(Table4[[#This Row],[Nilai]]="","",VLOOKUP(Table4[[#This Row],[Helper]],$I$5:$L$380,4,FALSE))</f>
        <v/>
      </c>
      <c r="AI75" t="s">
        <v>507</v>
      </c>
      <c r="AJ75" t="str">
        <f t="shared" si="27"/>
        <v>11ATeoriWk.24</v>
      </c>
      <c r="AK75" s="24" t="str">
        <f t="shared" si="28"/>
        <v/>
      </c>
    </row>
    <row r="76" spans="1:37" x14ac:dyDescent="0.2">
      <c r="I76" t="str">
        <f t="shared" si="18"/>
        <v/>
      </c>
      <c r="J76" t="str">
        <f t="shared" si="19"/>
        <v/>
      </c>
      <c r="K76" t="str">
        <f t="shared" si="20"/>
        <v/>
      </c>
      <c r="L76" t="str">
        <f t="shared" si="21"/>
        <v/>
      </c>
      <c r="M76" t="str">
        <f t="shared" si="22"/>
        <v/>
      </c>
      <c r="N76" t="str">
        <f t="shared" si="23"/>
        <v/>
      </c>
      <c r="X76" t="str">
        <f t="shared" si="24"/>
        <v/>
      </c>
      <c r="Y76" t="str">
        <f t="shared" si="25"/>
        <v/>
      </c>
      <c r="Z76" t="str">
        <f t="shared" si="15"/>
        <v/>
      </c>
      <c r="AA76" t="str">
        <f t="shared" si="16"/>
        <v/>
      </c>
      <c r="AB76" t="str">
        <f t="shared" si="17"/>
        <v/>
      </c>
      <c r="AC76" t="str">
        <f t="shared" si="26"/>
        <v/>
      </c>
      <c r="AF76" t="s">
        <v>54</v>
      </c>
      <c r="AG76" t="s">
        <v>36</v>
      </c>
      <c r="AH76" t="str">
        <f>IF(Table4[[#This Row],[Nilai]]="","",VLOOKUP(Table4[[#This Row],[Helper]],$I$5:$L$380,4,FALSE))</f>
        <v/>
      </c>
      <c r="AI76" t="s">
        <v>508</v>
      </c>
      <c r="AJ76" t="str">
        <f t="shared" si="27"/>
        <v>11ATeoriWk.25</v>
      </c>
      <c r="AK76" s="24" t="str">
        <f t="shared" si="28"/>
        <v/>
      </c>
    </row>
    <row r="77" spans="1:37" x14ac:dyDescent="0.2">
      <c r="I77" t="str">
        <f t="shared" si="18"/>
        <v/>
      </c>
      <c r="J77" t="str">
        <f t="shared" si="19"/>
        <v/>
      </c>
      <c r="K77" t="str">
        <f t="shared" si="20"/>
        <v/>
      </c>
      <c r="L77" t="str">
        <f t="shared" si="21"/>
        <v/>
      </c>
      <c r="M77" t="str">
        <f t="shared" si="22"/>
        <v/>
      </c>
      <c r="N77" t="str">
        <f t="shared" si="23"/>
        <v/>
      </c>
      <c r="X77" t="str">
        <f t="shared" si="24"/>
        <v/>
      </c>
      <c r="Y77" t="str">
        <f t="shared" si="25"/>
        <v/>
      </c>
      <c r="Z77" t="str">
        <f t="shared" si="15"/>
        <v/>
      </c>
      <c r="AA77" t="str">
        <f t="shared" si="16"/>
        <v/>
      </c>
      <c r="AB77" t="str">
        <f t="shared" si="17"/>
        <v/>
      </c>
      <c r="AC77" t="str">
        <f t="shared" si="26"/>
        <v/>
      </c>
      <c r="AF77" t="s">
        <v>65</v>
      </c>
      <c r="AG77" t="s">
        <v>36</v>
      </c>
      <c r="AH77" t="str">
        <f>IF(Table4[[#This Row],[Nilai]]="","",VLOOKUP(Table4[[#This Row],[Helper]],$I$5:$L$380,4,FALSE))</f>
        <v/>
      </c>
      <c r="AI77" t="s">
        <v>466</v>
      </c>
      <c r="AJ77" t="str">
        <f t="shared" si="27"/>
        <v>12ATeoriWk.2</v>
      </c>
      <c r="AK77" s="24" t="str">
        <f t="shared" si="28"/>
        <v/>
      </c>
    </row>
    <row r="78" spans="1:37" x14ac:dyDescent="0.2">
      <c r="I78" t="str">
        <f t="shared" si="18"/>
        <v/>
      </c>
      <c r="J78" t="str">
        <f t="shared" si="19"/>
        <v/>
      </c>
      <c r="K78" t="str">
        <f t="shared" si="20"/>
        <v/>
      </c>
      <c r="L78" t="str">
        <f t="shared" si="21"/>
        <v/>
      </c>
      <c r="M78" t="str">
        <f t="shared" si="22"/>
        <v/>
      </c>
      <c r="N78" t="str">
        <f t="shared" si="23"/>
        <v/>
      </c>
      <c r="X78" t="str">
        <f t="shared" si="24"/>
        <v/>
      </c>
      <c r="Y78" t="str">
        <f t="shared" si="25"/>
        <v/>
      </c>
      <c r="Z78" t="str">
        <f t="shared" si="15"/>
        <v/>
      </c>
      <c r="AA78" t="str">
        <f t="shared" si="16"/>
        <v/>
      </c>
      <c r="AB78" t="str">
        <f t="shared" si="17"/>
        <v/>
      </c>
      <c r="AC78" t="str">
        <f t="shared" si="26"/>
        <v/>
      </c>
      <c r="AF78" t="s">
        <v>65</v>
      </c>
      <c r="AG78" t="s">
        <v>36</v>
      </c>
      <c r="AH78" t="str">
        <f>IF(Table4[[#This Row],[Nilai]]="","",VLOOKUP(Table4[[#This Row],[Helper]],$I$5:$L$380,4,FALSE))</f>
        <v>Jan</v>
      </c>
      <c r="AI78" t="s">
        <v>461</v>
      </c>
      <c r="AJ78" t="str">
        <f t="shared" si="27"/>
        <v>12ATeoriWk.3</v>
      </c>
      <c r="AK78" s="24">
        <f t="shared" si="28"/>
        <v>68.457627118644069</v>
      </c>
    </row>
    <row r="79" spans="1:37" x14ac:dyDescent="0.2">
      <c r="I79" t="str">
        <f t="shared" si="18"/>
        <v/>
      </c>
      <c r="J79" t="str">
        <f t="shared" si="19"/>
        <v/>
      </c>
      <c r="K79" t="str">
        <f t="shared" si="20"/>
        <v/>
      </c>
      <c r="L79" t="str">
        <f t="shared" si="21"/>
        <v/>
      </c>
      <c r="M79" t="str">
        <f t="shared" si="22"/>
        <v/>
      </c>
      <c r="N79" t="str">
        <f t="shared" si="23"/>
        <v/>
      </c>
      <c r="X79" t="str">
        <f t="shared" si="24"/>
        <v/>
      </c>
      <c r="Y79" t="str">
        <f t="shared" si="25"/>
        <v/>
      </c>
      <c r="Z79" t="str">
        <f t="shared" si="15"/>
        <v/>
      </c>
      <c r="AA79" t="str">
        <f t="shared" si="16"/>
        <v/>
      </c>
      <c r="AB79" t="str">
        <f t="shared" si="17"/>
        <v/>
      </c>
      <c r="AC79" t="str">
        <f t="shared" si="26"/>
        <v/>
      </c>
      <c r="AF79" t="s">
        <v>65</v>
      </c>
      <c r="AG79" t="s">
        <v>36</v>
      </c>
      <c r="AH79" t="str">
        <f>IF(Table4[[#This Row],[Nilai]]="","",VLOOKUP(Table4[[#This Row],[Helper]],$I$5:$L$380,4,FALSE))</f>
        <v>Jan</v>
      </c>
      <c r="AI79" t="s">
        <v>462</v>
      </c>
      <c r="AJ79" t="str">
        <f t="shared" si="27"/>
        <v>12ATeoriWk.4</v>
      </c>
      <c r="AK79" s="24">
        <f t="shared" si="28"/>
        <v>75.134615384615387</v>
      </c>
    </row>
    <row r="80" spans="1:37" x14ac:dyDescent="0.2">
      <c r="I80" t="str">
        <f t="shared" si="18"/>
        <v/>
      </c>
      <c r="J80" t="str">
        <f t="shared" si="19"/>
        <v/>
      </c>
      <c r="K80" t="str">
        <f t="shared" si="20"/>
        <v/>
      </c>
      <c r="L80" t="str">
        <f t="shared" si="21"/>
        <v/>
      </c>
      <c r="M80" t="str">
        <f t="shared" si="22"/>
        <v/>
      </c>
      <c r="N80" t="str">
        <f t="shared" si="23"/>
        <v/>
      </c>
      <c r="X80" t="str">
        <f t="shared" si="24"/>
        <v/>
      </c>
      <c r="Y80" t="str">
        <f t="shared" si="25"/>
        <v/>
      </c>
      <c r="Z80" t="str">
        <f t="shared" si="15"/>
        <v/>
      </c>
      <c r="AA80" t="str">
        <f t="shared" si="16"/>
        <v/>
      </c>
      <c r="AB80" t="str">
        <f t="shared" si="17"/>
        <v/>
      </c>
      <c r="AC80" t="str">
        <f t="shared" si="26"/>
        <v/>
      </c>
      <c r="AF80" t="s">
        <v>65</v>
      </c>
      <c r="AG80" t="s">
        <v>36</v>
      </c>
      <c r="AH80" t="str">
        <f>IF(Table4[[#This Row],[Nilai]]="","",VLOOKUP(Table4[[#This Row],[Helper]],$I$5:$L$380,4,FALSE))</f>
        <v>Jan</v>
      </c>
      <c r="AI80" t="s">
        <v>463</v>
      </c>
      <c r="AJ80" t="str">
        <f t="shared" si="27"/>
        <v>12ATeoriWk.5</v>
      </c>
      <c r="AK80" s="24">
        <f t="shared" si="28"/>
        <v>74.055555555555557</v>
      </c>
    </row>
    <row r="81" spans="9:37" x14ac:dyDescent="0.2">
      <c r="I81" t="str">
        <f t="shared" si="18"/>
        <v/>
      </c>
      <c r="J81" t="str">
        <f t="shared" si="19"/>
        <v/>
      </c>
      <c r="K81" t="str">
        <f t="shared" si="20"/>
        <v/>
      </c>
      <c r="L81" t="str">
        <f t="shared" si="21"/>
        <v/>
      </c>
      <c r="M81" t="str">
        <f t="shared" si="22"/>
        <v/>
      </c>
      <c r="N81" t="str">
        <f t="shared" si="23"/>
        <v/>
      </c>
      <c r="X81" t="str">
        <f t="shared" si="24"/>
        <v/>
      </c>
      <c r="Y81" t="str">
        <f t="shared" si="25"/>
        <v/>
      </c>
      <c r="Z81" t="str">
        <f t="shared" si="15"/>
        <v/>
      </c>
      <c r="AA81" t="str">
        <f t="shared" si="16"/>
        <v/>
      </c>
      <c r="AB81" t="str">
        <f t="shared" si="17"/>
        <v/>
      </c>
      <c r="AC81" t="str">
        <f t="shared" si="26"/>
        <v/>
      </c>
      <c r="AF81" t="s">
        <v>65</v>
      </c>
      <c r="AG81" t="s">
        <v>36</v>
      </c>
      <c r="AH81" t="str">
        <f>IF(Table4[[#This Row],[Nilai]]="","",VLOOKUP(Table4[[#This Row],[Helper]],$I$5:$L$380,4,FALSE))</f>
        <v>Feb</v>
      </c>
      <c r="AI81" t="s">
        <v>464</v>
      </c>
      <c r="AJ81" t="str">
        <f t="shared" si="27"/>
        <v>12ATeoriWk.6</v>
      </c>
      <c r="AK81" s="24">
        <f t="shared" si="28"/>
        <v>75.533333333333331</v>
      </c>
    </row>
    <row r="82" spans="9:37" x14ac:dyDescent="0.2">
      <c r="I82" t="str">
        <f t="shared" si="18"/>
        <v/>
      </c>
      <c r="J82" t="str">
        <f t="shared" si="19"/>
        <v/>
      </c>
      <c r="K82" t="str">
        <f t="shared" si="20"/>
        <v/>
      </c>
      <c r="L82" t="str">
        <f t="shared" si="21"/>
        <v/>
      </c>
      <c r="M82" t="str">
        <f t="shared" si="22"/>
        <v/>
      </c>
      <c r="N82" t="str">
        <f t="shared" si="23"/>
        <v/>
      </c>
      <c r="X82" t="str">
        <f t="shared" si="24"/>
        <v/>
      </c>
      <c r="Y82" t="str">
        <f t="shared" si="25"/>
        <v/>
      </c>
      <c r="Z82" t="str">
        <f t="shared" si="15"/>
        <v/>
      </c>
      <c r="AA82" t="str">
        <f t="shared" si="16"/>
        <v/>
      </c>
      <c r="AB82" t="str">
        <f t="shared" si="17"/>
        <v/>
      </c>
      <c r="AC82" t="str">
        <f t="shared" si="26"/>
        <v/>
      </c>
      <c r="AF82" t="s">
        <v>65</v>
      </c>
      <c r="AG82" t="s">
        <v>36</v>
      </c>
      <c r="AH82" t="str">
        <f>IF(Table4[[#This Row],[Nilai]]="","",VLOOKUP(Table4[[#This Row],[Helper]],$I$5:$L$380,4,FALSE))</f>
        <v>Feb</v>
      </c>
      <c r="AI82" t="s">
        <v>465</v>
      </c>
      <c r="AJ82" t="str">
        <f t="shared" si="27"/>
        <v>12ATeoriWk.7</v>
      </c>
      <c r="AK82" s="24">
        <f t="shared" si="28"/>
        <v>68.583333333333329</v>
      </c>
    </row>
    <row r="83" spans="9:37" x14ac:dyDescent="0.2">
      <c r="I83" t="str">
        <f t="shared" si="18"/>
        <v/>
      </c>
      <c r="J83" t="str">
        <f t="shared" si="19"/>
        <v/>
      </c>
      <c r="K83" t="str">
        <f t="shared" si="20"/>
        <v/>
      </c>
      <c r="L83" t="str">
        <f t="shared" si="21"/>
        <v/>
      </c>
      <c r="M83" t="str">
        <f t="shared" si="22"/>
        <v/>
      </c>
      <c r="N83" t="str">
        <f t="shared" si="23"/>
        <v/>
      </c>
      <c r="X83" t="str">
        <f t="shared" si="24"/>
        <v/>
      </c>
      <c r="Y83" t="str">
        <f t="shared" si="25"/>
        <v/>
      </c>
      <c r="Z83" t="str">
        <f t="shared" si="15"/>
        <v/>
      </c>
      <c r="AA83" t="str">
        <f t="shared" si="16"/>
        <v/>
      </c>
      <c r="AB83" t="str">
        <f t="shared" si="17"/>
        <v/>
      </c>
      <c r="AC83" t="str">
        <f t="shared" si="26"/>
        <v/>
      </c>
      <c r="AF83" t="s">
        <v>65</v>
      </c>
      <c r="AG83" t="s">
        <v>36</v>
      </c>
      <c r="AH83" t="str">
        <f>IF(Table4[[#This Row],[Nilai]]="","",VLOOKUP(Table4[[#This Row],[Helper]],$I$5:$L$380,4,FALSE))</f>
        <v>Feb</v>
      </c>
      <c r="AI83" t="s">
        <v>467</v>
      </c>
      <c r="AJ83" t="str">
        <f t="shared" si="27"/>
        <v>12ATeoriWk.8</v>
      </c>
      <c r="AK83" s="24">
        <f t="shared" si="28"/>
        <v>70</v>
      </c>
    </row>
    <row r="84" spans="9:37" x14ac:dyDescent="0.2">
      <c r="I84" t="str">
        <f t="shared" si="18"/>
        <v/>
      </c>
      <c r="J84" t="str">
        <f t="shared" si="19"/>
        <v/>
      </c>
      <c r="K84" t="str">
        <f t="shared" si="20"/>
        <v/>
      </c>
      <c r="L84" t="str">
        <f t="shared" si="21"/>
        <v/>
      </c>
      <c r="M84" t="str">
        <f t="shared" si="22"/>
        <v/>
      </c>
      <c r="N84" t="str">
        <f t="shared" si="23"/>
        <v/>
      </c>
      <c r="X84" t="str">
        <f t="shared" si="24"/>
        <v/>
      </c>
      <c r="Y84" t="str">
        <f t="shared" si="25"/>
        <v/>
      </c>
      <c r="Z84" t="str">
        <f t="shared" si="15"/>
        <v/>
      </c>
      <c r="AA84" t="str">
        <f t="shared" si="16"/>
        <v/>
      </c>
      <c r="AB84" t="str">
        <f t="shared" si="17"/>
        <v/>
      </c>
      <c r="AC84" t="str">
        <f t="shared" si="26"/>
        <v/>
      </c>
      <c r="AF84" t="s">
        <v>65</v>
      </c>
      <c r="AG84" t="s">
        <v>36</v>
      </c>
      <c r="AH84" t="str">
        <f>IF(Table4[[#This Row],[Nilai]]="","",VLOOKUP(Table4[[#This Row],[Helper]],$I$5:$L$380,4,FALSE))</f>
        <v>Feb</v>
      </c>
      <c r="AI84" t="s">
        <v>486</v>
      </c>
      <c r="AJ84" t="str">
        <f t="shared" si="27"/>
        <v>12ATeoriWk.9</v>
      </c>
      <c r="AK84" s="24">
        <f t="shared" si="28"/>
        <v>90.333333333333329</v>
      </c>
    </row>
    <row r="85" spans="9:37" x14ac:dyDescent="0.2">
      <c r="I85" t="str">
        <f t="shared" si="18"/>
        <v/>
      </c>
      <c r="J85" t="str">
        <f t="shared" si="19"/>
        <v/>
      </c>
      <c r="K85" t="str">
        <f t="shared" si="20"/>
        <v/>
      </c>
      <c r="L85" t="str">
        <f t="shared" si="21"/>
        <v/>
      </c>
      <c r="M85" t="str">
        <f t="shared" si="22"/>
        <v/>
      </c>
      <c r="N85" t="str">
        <f t="shared" si="23"/>
        <v/>
      </c>
      <c r="X85" t="str">
        <f t="shared" si="24"/>
        <v/>
      </c>
      <c r="Y85" t="str">
        <f t="shared" si="25"/>
        <v/>
      </c>
      <c r="Z85" t="str">
        <f t="shared" si="15"/>
        <v/>
      </c>
      <c r="AA85" t="str">
        <f t="shared" si="16"/>
        <v/>
      </c>
      <c r="AB85" t="str">
        <f t="shared" si="17"/>
        <v/>
      </c>
      <c r="AC85" t="str">
        <f t="shared" si="26"/>
        <v/>
      </c>
      <c r="AF85" t="s">
        <v>65</v>
      </c>
      <c r="AG85" t="s">
        <v>36</v>
      </c>
      <c r="AH85" t="str">
        <f>IF(Table4[[#This Row],[Nilai]]="","",VLOOKUP(Table4[[#This Row],[Helper]],$I$5:$L$380,4,FALSE))</f>
        <v/>
      </c>
      <c r="AI85" t="s">
        <v>493</v>
      </c>
      <c r="AJ85" t="str">
        <f t="shared" si="27"/>
        <v>12ATeoriWk.10</v>
      </c>
      <c r="AK85" s="24" t="str">
        <f t="shared" si="28"/>
        <v/>
      </c>
    </row>
    <row r="86" spans="9:37" x14ac:dyDescent="0.2">
      <c r="I86" t="str">
        <f t="shared" si="18"/>
        <v/>
      </c>
      <c r="J86" t="str">
        <f t="shared" si="19"/>
        <v/>
      </c>
      <c r="K86" t="str">
        <f t="shared" si="20"/>
        <v/>
      </c>
      <c r="L86" t="str">
        <f t="shared" si="21"/>
        <v/>
      </c>
      <c r="M86" t="str">
        <f t="shared" si="22"/>
        <v/>
      </c>
      <c r="N86" t="str">
        <f t="shared" si="23"/>
        <v/>
      </c>
      <c r="X86" t="str">
        <f t="shared" si="24"/>
        <v/>
      </c>
      <c r="Y86" t="str">
        <f t="shared" si="25"/>
        <v/>
      </c>
      <c r="Z86" t="str">
        <f t="shared" si="15"/>
        <v/>
      </c>
      <c r="AA86" t="str">
        <f t="shared" si="16"/>
        <v/>
      </c>
      <c r="AB86" t="str">
        <f t="shared" si="17"/>
        <v/>
      </c>
      <c r="AC86" t="str">
        <f t="shared" si="26"/>
        <v/>
      </c>
      <c r="AF86" t="s">
        <v>65</v>
      </c>
      <c r="AG86" t="s">
        <v>36</v>
      </c>
      <c r="AH86" t="str">
        <f>IF(Table4[[#This Row],[Nilai]]="","",VLOOKUP(Table4[[#This Row],[Helper]],$I$5:$L$380,4,FALSE))</f>
        <v/>
      </c>
      <c r="AI86" t="s">
        <v>494</v>
      </c>
      <c r="AJ86" t="str">
        <f t="shared" si="27"/>
        <v>12ATeoriWk.11</v>
      </c>
      <c r="AK86" s="24" t="str">
        <f t="shared" si="28"/>
        <v/>
      </c>
    </row>
    <row r="87" spans="9:37" x14ac:dyDescent="0.2">
      <c r="I87" t="str">
        <f t="shared" si="18"/>
        <v/>
      </c>
      <c r="J87" t="str">
        <f t="shared" si="19"/>
        <v/>
      </c>
      <c r="K87" t="str">
        <f t="shared" si="20"/>
        <v/>
      </c>
      <c r="L87" t="str">
        <f t="shared" si="21"/>
        <v/>
      </c>
      <c r="M87" t="str">
        <f t="shared" si="22"/>
        <v/>
      </c>
      <c r="N87" t="str">
        <f t="shared" si="23"/>
        <v/>
      </c>
      <c r="X87" t="str">
        <f t="shared" si="24"/>
        <v/>
      </c>
      <c r="Y87" t="str">
        <f t="shared" si="25"/>
        <v/>
      </c>
      <c r="Z87" t="str">
        <f t="shared" si="15"/>
        <v/>
      </c>
      <c r="AA87" t="str">
        <f t="shared" si="16"/>
        <v/>
      </c>
      <c r="AB87" t="str">
        <f t="shared" si="17"/>
        <v/>
      </c>
      <c r="AC87" t="str">
        <f t="shared" si="26"/>
        <v/>
      </c>
      <c r="AF87" t="s">
        <v>65</v>
      </c>
      <c r="AG87" t="s">
        <v>36</v>
      </c>
      <c r="AH87" t="str">
        <f>IF(Table4[[#This Row],[Nilai]]="","",VLOOKUP(Table4[[#This Row],[Helper]],$I$5:$L$380,4,FALSE))</f>
        <v/>
      </c>
      <c r="AI87" t="s">
        <v>495</v>
      </c>
      <c r="AJ87" t="str">
        <f t="shared" si="27"/>
        <v>12ATeoriWk.12</v>
      </c>
      <c r="AK87" s="24" t="str">
        <f t="shared" si="28"/>
        <v/>
      </c>
    </row>
    <row r="88" spans="9:37" x14ac:dyDescent="0.2">
      <c r="I88" t="str">
        <f t="shared" si="18"/>
        <v/>
      </c>
      <c r="J88" t="str">
        <f t="shared" si="19"/>
        <v/>
      </c>
      <c r="K88" t="str">
        <f t="shared" si="20"/>
        <v/>
      </c>
      <c r="L88" t="str">
        <f t="shared" si="21"/>
        <v/>
      </c>
      <c r="M88" t="str">
        <f t="shared" si="22"/>
        <v/>
      </c>
      <c r="N88" t="str">
        <f t="shared" si="23"/>
        <v/>
      </c>
      <c r="X88" t="str">
        <f t="shared" si="24"/>
        <v/>
      </c>
      <c r="Y88" t="str">
        <f t="shared" si="25"/>
        <v/>
      </c>
      <c r="Z88" t="str">
        <f t="shared" si="15"/>
        <v/>
      </c>
      <c r="AA88" t="str">
        <f t="shared" si="16"/>
        <v/>
      </c>
      <c r="AB88" t="str">
        <f t="shared" si="17"/>
        <v/>
      </c>
      <c r="AC88" t="str">
        <f t="shared" si="26"/>
        <v/>
      </c>
      <c r="AF88" t="s">
        <v>65</v>
      </c>
      <c r="AG88" t="s">
        <v>36</v>
      </c>
      <c r="AH88" t="str">
        <f>IF(Table4[[#This Row],[Nilai]]="","",VLOOKUP(Table4[[#This Row],[Helper]],$I$5:$L$380,4,FALSE))</f>
        <v/>
      </c>
      <c r="AI88" t="s">
        <v>496</v>
      </c>
      <c r="AJ88" t="str">
        <f t="shared" si="27"/>
        <v>12ATeoriWk.13</v>
      </c>
      <c r="AK88" s="24" t="str">
        <f t="shared" si="28"/>
        <v/>
      </c>
    </row>
    <row r="89" spans="9:37" x14ac:dyDescent="0.2">
      <c r="I89" t="str">
        <f t="shared" si="18"/>
        <v/>
      </c>
      <c r="J89" t="str">
        <f t="shared" si="19"/>
        <v/>
      </c>
      <c r="K89" t="str">
        <f t="shared" si="20"/>
        <v/>
      </c>
      <c r="L89" t="str">
        <f t="shared" si="21"/>
        <v/>
      </c>
      <c r="M89" t="str">
        <f t="shared" si="22"/>
        <v/>
      </c>
      <c r="N89" t="str">
        <f t="shared" si="23"/>
        <v/>
      </c>
      <c r="X89" t="str">
        <f t="shared" si="24"/>
        <v/>
      </c>
      <c r="Y89" t="str">
        <f t="shared" si="25"/>
        <v/>
      </c>
      <c r="Z89" t="str">
        <f t="shared" si="15"/>
        <v/>
      </c>
      <c r="AA89" t="str">
        <f t="shared" si="16"/>
        <v/>
      </c>
      <c r="AB89" t="str">
        <f t="shared" si="17"/>
        <v/>
      </c>
      <c r="AC89" t="str">
        <f t="shared" si="26"/>
        <v/>
      </c>
      <c r="AF89" t="s">
        <v>65</v>
      </c>
      <c r="AG89" t="s">
        <v>36</v>
      </c>
      <c r="AH89" t="str">
        <f>IF(Table4[[#This Row],[Nilai]]="","",VLOOKUP(Table4[[#This Row],[Helper]],$I$5:$L$380,4,FALSE))</f>
        <v/>
      </c>
      <c r="AI89" t="s">
        <v>497</v>
      </c>
      <c r="AJ89" t="str">
        <f t="shared" si="27"/>
        <v>12ATeoriWk.14</v>
      </c>
      <c r="AK89" s="24" t="str">
        <f t="shared" si="28"/>
        <v/>
      </c>
    </row>
    <row r="90" spans="9:37" x14ac:dyDescent="0.2">
      <c r="I90" t="str">
        <f t="shared" si="18"/>
        <v/>
      </c>
      <c r="J90" t="str">
        <f t="shared" si="19"/>
        <v/>
      </c>
      <c r="K90" t="str">
        <f t="shared" si="20"/>
        <v/>
      </c>
      <c r="L90" t="str">
        <f t="shared" si="21"/>
        <v/>
      </c>
      <c r="M90" t="str">
        <f t="shared" si="22"/>
        <v/>
      </c>
      <c r="N90" t="str">
        <f t="shared" si="23"/>
        <v/>
      </c>
      <c r="X90" t="str">
        <f t="shared" si="24"/>
        <v/>
      </c>
      <c r="Y90" t="str">
        <f t="shared" si="25"/>
        <v/>
      </c>
      <c r="Z90" t="str">
        <f t="shared" si="15"/>
        <v/>
      </c>
      <c r="AA90" t="str">
        <f t="shared" si="16"/>
        <v/>
      </c>
      <c r="AB90" t="str">
        <f t="shared" si="17"/>
        <v/>
      </c>
      <c r="AC90" t="str">
        <f t="shared" si="26"/>
        <v/>
      </c>
      <c r="AF90" t="s">
        <v>65</v>
      </c>
      <c r="AG90" t="s">
        <v>36</v>
      </c>
      <c r="AH90" t="str">
        <f>IF(Table4[[#This Row],[Nilai]]="","",VLOOKUP(Table4[[#This Row],[Helper]],$I$5:$L$380,4,FALSE))</f>
        <v/>
      </c>
      <c r="AI90" t="s">
        <v>498</v>
      </c>
      <c r="AJ90" t="str">
        <f t="shared" si="27"/>
        <v>12ATeoriWk.15</v>
      </c>
      <c r="AK90" s="24" t="str">
        <f t="shared" si="28"/>
        <v/>
      </c>
    </row>
    <row r="91" spans="9:37" x14ac:dyDescent="0.2">
      <c r="I91" t="str">
        <f t="shared" si="18"/>
        <v/>
      </c>
      <c r="J91" t="str">
        <f t="shared" si="19"/>
        <v/>
      </c>
      <c r="K91" t="str">
        <f t="shared" si="20"/>
        <v/>
      </c>
      <c r="L91" t="str">
        <f t="shared" si="21"/>
        <v/>
      </c>
      <c r="M91" t="str">
        <f t="shared" si="22"/>
        <v/>
      </c>
      <c r="N91" t="str">
        <f t="shared" si="23"/>
        <v/>
      </c>
      <c r="X91" t="str">
        <f t="shared" si="24"/>
        <v/>
      </c>
      <c r="Y91" t="str">
        <f t="shared" si="25"/>
        <v/>
      </c>
      <c r="Z91" t="str">
        <f t="shared" si="15"/>
        <v/>
      </c>
      <c r="AA91" t="str">
        <f t="shared" si="16"/>
        <v/>
      </c>
      <c r="AB91" t="str">
        <f t="shared" si="17"/>
        <v/>
      </c>
      <c r="AC91" t="str">
        <f t="shared" si="26"/>
        <v/>
      </c>
      <c r="AF91" t="s">
        <v>65</v>
      </c>
      <c r="AG91" t="s">
        <v>36</v>
      </c>
      <c r="AH91" t="str">
        <f>IF(Table4[[#This Row],[Nilai]]="","",VLOOKUP(Table4[[#This Row],[Helper]],$I$5:$L$380,4,FALSE))</f>
        <v/>
      </c>
      <c r="AI91" t="s">
        <v>499</v>
      </c>
      <c r="AJ91" t="str">
        <f t="shared" si="27"/>
        <v>12ATeoriWk.16</v>
      </c>
      <c r="AK91" s="24" t="str">
        <f t="shared" si="28"/>
        <v/>
      </c>
    </row>
    <row r="92" spans="9:37" x14ac:dyDescent="0.2">
      <c r="I92" t="str">
        <f t="shared" si="18"/>
        <v/>
      </c>
      <c r="J92" t="str">
        <f t="shared" si="19"/>
        <v/>
      </c>
      <c r="K92" t="str">
        <f t="shared" si="20"/>
        <v/>
      </c>
      <c r="L92" t="str">
        <f t="shared" si="21"/>
        <v/>
      </c>
      <c r="M92" t="str">
        <f t="shared" si="22"/>
        <v/>
      </c>
      <c r="N92" t="str">
        <f t="shared" si="23"/>
        <v/>
      </c>
      <c r="X92" t="str">
        <f t="shared" si="24"/>
        <v/>
      </c>
      <c r="Y92" t="str">
        <f t="shared" si="25"/>
        <v/>
      </c>
      <c r="Z92" t="str">
        <f t="shared" si="15"/>
        <v/>
      </c>
      <c r="AA92" t="str">
        <f t="shared" si="16"/>
        <v/>
      </c>
      <c r="AB92" t="str">
        <f t="shared" si="17"/>
        <v/>
      </c>
      <c r="AC92" t="str">
        <f t="shared" si="26"/>
        <v/>
      </c>
      <c r="AF92" t="s">
        <v>65</v>
      </c>
      <c r="AG92" t="s">
        <v>36</v>
      </c>
      <c r="AH92" t="str">
        <f>IF(Table4[[#This Row],[Nilai]]="","",VLOOKUP(Table4[[#This Row],[Helper]],$I$5:$L$380,4,FALSE))</f>
        <v/>
      </c>
      <c r="AI92" t="s">
        <v>500</v>
      </c>
      <c r="AJ92" t="str">
        <f t="shared" si="27"/>
        <v>12ATeoriWk.17</v>
      </c>
      <c r="AK92" s="24" t="str">
        <f t="shared" si="28"/>
        <v/>
      </c>
    </row>
    <row r="93" spans="9:37" x14ac:dyDescent="0.2">
      <c r="I93" t="str">
        <f t="shared" si="18"/>
        <v/>
      </c>
      <c r="J93" t="str">
        <f t="shared" si="19"/>
        <v/>
      </c>
      <c r="K93" t="str">
        <f t="shared" si="20"/>
        <v/>
      </c>
      <c r="L93" t="str">
        <f t="shared" si="21"/>
        <v/>
      </c>
      <c r="M93" t="str">
        <f t="shared" si="22"/>
        <v/>
      </c>
      <c r="N93" t="str">
        <f t="shared" si="23"/>
        <v/>
      </c>
      <c r="X93" t="str">
        <f t="shared" si="24"/>
        <v/>
      </c>
      <c r="Y93" t="str">
        <f t="shared" si="25"/>
        <v/>
      </c>
      <c r="Z93" t="str">
        <f t="shared" si="15"/>
        <v/>
      </c>
      <c r="AA93" t="str">
        <f t="shared" si="16"/>
        <v/>
      </c>
      <c r="AB93" t="str">
        <f t="shared" si="17"/>
        <v/>
      </c>
      <c r="AC93" t="str">
        <f t="shared" si="26"/>
        <v/>
      </c>
      <c r="AF93" t="s">
        <v>65</v>
      </c>
      <c r="AG93" t="s">
        <v>36</v>
      </c>
      <c r="AH93" t="str">
        <f>IF(Table4[[#This Row],[Nilai]]="","",VLOOKUP(Table4[[#This Row],[Helper]],$I$5:$L$380,4,FALSE))</f>
        <v/>
      </c>
      <c r="AI93" t="s">
        <v>501</v>
      </c>
      <c r="AJ93" t="str">
        <f t="shared" si="27"/>
        <v>12ATeoriWk.18</v>
      </c>
      <c r="AK93" s="24" t="str">
        <f t="shared" si="28"/>
        <v/>
      </c>
    </row>
    <row r="94" spans="9:37" x14ac:dyDescent="0.2">
      <c r="I94" t="str">
        <f t="shared" si="18"/>
        <v/>
      </c>
      <c r="J94" t="str">
        <f t="shared" si="19"/>
        <v/>
      </c>
      <c r="K94" t="str">
        <f t="shared" si="20"/>
        <v/>
      </c>
      <c r="L94" t="str">
        <f t="shared" si="21"/>
        <v/>
      </c>
      <c r="M94" t="str">
        <f t="shared" si="22"/>
        <v/>
      </c>
      <c r="N94" t="str">
        <f t="shared" si="23"/>
        <v/>
      </c>
      <c r="X94" t="str">
        <f t="shared" si="24"/>
        <v/>
      </c>
      <c r="Y94" t="str">
        <f t="shared" si="25"/>
        <v/>
      </c>
      <c r="Z94" t="str">
        <f t="shared" si="15"/>
        <v/>
      </c>
      <c r="AA94" t="str">
        <f t="shared" si="16"/>
        <v/>
      </c>
      <c r="AB94" t="str">
        <f t="shared" si="17"/>
        <v/>
      </c>
      <c r="AC94" t="str">
        <f t="shared" si="26"/>
        <v/>
      </c>
      <c r="AF94" t="s">
        <v>65</v>
      </c>
      <c r="AG94" t="s">
        <v>36</v>
      </c>
      <c r="AH94" t="str">
        <f>IF(Table4[[#This Row],[Nilai]]="","",VLOOKUP(Table4[[#This Row],[Helper]],$I$5:$L$380,4,FALSE))</f>
        <v/>
      </c>
      <c r="AI94" t="s">
        <v>502</v>
      </c>
      <c r="AJ94" t="str">
        <f t="shared" si="27"/>
        <v>12ATeoriWk.19</v>
      </c>
      <c r="AK94" s="24" t="str">
        <f t="shared" si="28"/>
        <v/>
      </c>
    </row>
    <row r="95" spans="9:37" x14ac:dyDescent="0.2">
      <c r="I95" t="str">
        <f t="shared" si="18"/>
        <v/>
      </c>
      <c r="J95" t="str">
        <f t="shared" si="19"/>
        <v/>
      </c>
      <c r="K95" t="str">
        <f t="shared" si="20"/>
        <v/>
      </c>
      <c r="L95" t="str">
        <f t="shared" si="21"/>
        <v/>
      </c>
      <c r="M95" t="str">
        <f t="shared" si="22"/>
        <v/>
      </c>
      <c r="N95" t="str">
        <f t="shared" si="23"/>
        <v/>
      </c>
      <c r="X95" t="str">
        <f t="shared" si="24"/>
        <v/>
      </c>
      <c r="Y95" t="str">
        <f t="shared" si="25"/>
        <v/>
      </c>
      <c r="Z95" t="str">
        <f t="shared" si="15"/>
        <v/>
      </c>
      <c r="AA95" t="str">
        <f t="shared" si="16"/>
        <v/>
      </c>
      <c r="AB95" t="str">
        <f t="shared" si="17"/>
        <v/>
      </c>
      <c r="AC95" t="str">
        <f t="shared" si="26"/>
        <v/>
      </c>
      <c r="AF95" t="s">
        <v>65</v>
      </c>
      <c r="AG95" t="s">
        <v>36</v>
      </c>
      <c r="AH95" t="str">
        <f>IF(Table4[[#This Row],[Nilai]]="","",VLOOKUP(Table4[[#This Row],[Helper]],$I$5:$L$380,4,FALSE))</f>
        <v/>
      </c>
      <c r="AI95" t="s">
        <v>503</v>
      </c>
      <c r="AJ95" t="str">
        <f t="shared" si="27"/>
        <v>12ATeoriWk.20</v>
      </c>
      <c r="AK95" s="24" t="str">
        <f t="shared" si="28"/>
        <v/>
      </c>
    </row>
    <row r="96" spans="9:37" x14ac:dyDescent="0.2">
      <c r="I96" t="str">
        <f t="shared" si="18"/>
        <v/>
      </c>
      <c r="J96" t="str">
        <f t="shared" ref="J96:J159" si="29">IF(A96="","",A96)</f>
        <v/>
      </c>
      <c r="K96" t="str">
        <f t="shared" ref="K96:K159" si="30">IF(B96="","",B96)</f>
        <v/>
      </c>
      <c r="L96" t="str">
        <f t="shared" ref="L96:L159" si="31">IF(C96="","",C96)</f>
        <v/>
      </c>
      <c r="M96" t="str">
        <f t="shared" ref="M96:M159" si="32">IF(D96="","",D96)</f>
        <v/>
      </c>
      <c r="N96" t="str">
        <f t="shared" si="23"/>
        <v/>
      </c>
      <c r="X96" t="str">
        <f t="shared" si="24"/>
        <v/>
      </c>
      <c r="Y96" t="str">
        <f t="shared" si="25"/>
        <v/>
      </c>
      <c r="Z96" t="str">
        <f t="shared" si="15"/>
        <v/>
      </c>
      <c r="AA96" t="str">
        <f t="shared" si="16"/>
        <v/>
      </c>
      <c r="AB96" t="str">
        <f t="shared" si="17"/>
        <v/>
      </c>
      <c r="AC96" t="str">
        <f t="shared" si="26"/>
        <v/>
      </c>
      <c r="AF96" t="s">
        <v>65</v>
      </c>
      <c r="AG96" t="s">
        <v>36</v>
      </c>
      <c r="AH96" t="str">
        <f>IF(Table4[[#This Row],[Nilai]]="","",VLOOKUP(Table4[[#This Row],[Helper]],$I$5:$L$380,4,FALSE))</f>
        <v/>
      </c>
      <c r="AI96" t="s">
        <v>504</v>
      </c>
      <c r="AJ96" t="str">
        <f t="shared" si="27"/>
        <v>12ATeoriWk.21</v>
      </c>
      <c r="AK96" s="24" t="str">
        <f t="shared" si="28"/>
        <v/>
      </c>
    </row>
    <row r="97" spans="9:37" x14ac:dyDescent="0.2">
      <c r="I97" t="str">
        <f t="shared" si="18"/>
        <v/>
      </c>
      <c r="J97" t="str">
        <f t="shared" si="29"/>
        <v/>
      </c>
      <c r="K97" t="str">
        <f t="shared" si="30"/>
        <v/>
      </c>
      <c r="L97" t="str">
        <f t="shared" si="31"/>
        <v/>
      </c>
      <c r="M97" t="str">
        <f t="shared" si="32"/>
        <v/>
      </c>
      <c r="N97" t="str">
        <f t="shared" si="23"/>
        <v/>
      </c>
      <c r="X97" t="str">
        <f t="shared" si="24"/>
        <v/>
      </c>
      <c r="Y97" t="str">
        <f t="shared" si="25"/>
        <v/>
      </c>
      <c r="Z97" t="str">
        <f t="shared" si="15"/>
        <v/>
      </c>
      <c r="AA97" t="str">
        <f t="shared" si="16"/>
        <v/>
      </c>
      <c r="AB97" t="str">
        <f t="shared" si="17"/>
        <v/>
      </c>
      <c r="AC97" t="str">
        <f t="shared" si="26"/>
        <v/>
      </c>
      <c r="AF97" t="s">
        <v>65</v>
      </c>
      <c r="AG97" t="s">
        <v>36</v>
      </c>
      <c r="AH97" t="str">
        <f>IF(Table4[[#This Row],[Nilai]]="","",VLOOKUP(Table4[[#This Row],[Helper]],$I$5:$L$380,4,FALSE))</f>
        <v/>
      </c>
      <c r="AI97" t="s">
        <v>505</v>
      </c>
      <c r="AJ97" t="str">
        <f t="shared" si="27"/>
        <v>12ATeoriWk.22</v>
      </c>
      <c r="AK97" s="24" t="str">
        <f t="shared" si="28"/>
        <v/>
      </c>
    </row>
    <row r="98" spans="9:37" x14ac:dyDescent="0.2">
      <c r="I98" t="str">
        <f t="shared" si="18"/>
        <v/>
      </c>
      <c r="J98" t="str">
        <f t="shared" si="29"/>
        <v/>
      </c>
      <c r="K98" t="str">
        <f t="shared" si="30"/>
        <v/>
      </c>
      <c r="L98" t="str">
        <f t="shared" si="31"/>
        <v/>
      </c>
      <c r="M98" t="str">
        <f t="shared" si="32"/>
        <v/>
      </c>
      <c r="N98" t="str">
        <f t="shared" si="23"/>
        <v/>
      </c>
      <c r="X98" t="str">
        <f t="shared" si="24"/>
        <v/>
      </c>
      <c r="Y98" t="str">
        <f t="shared" si="25"/>
        <v/>
      </c>
      <c r="Z98" t="str">
        <f t="shared" si="15"/>
        <v/>
      </c>
      <c r="AA98" t="str">
        <f t="shared" si="16"/>
        <v/>
      </c>
      <c r="AB98" t="str">
        <f t="shared" si="17"/>
        <v/>
      </c>
      <c r="AC98" t="str">
        <f t="shared" si="26"/>
        <v/>
      </c>
      <c r="AF98" t="s">
        <v>65</v>
      </c>
      <c r="AG98" t="s">
        <v>36</v>
      </c>
      <c r="AH98" t="str">
        <f>IF(Table4[[#This Row],[Nilai]]="","",VLOOKUP(Table4[[#This Row],[Helper]],$I$5:$L$380,4,FALSE))</f>
        <v/>
      </c>
      <c r="AI98" t="s">
        <v>506</v>
      </c>
      <c r="AJ98" t="str">
        <f t="shared" si="27"/>
        <v>12ATeoriWk.23</v>
      </c>
      <c r="AK98" s="24" t="str">
        <f t="shared" si="28"/>
        <v/>
      </c>
    </row>
    <row r="99" spans="9:37" x14ac:dyDescent="0.2">
      <c r="I99" t="str">
        <f t="shared" si="18"/>
        <v/>
      </c>
      <c r="J99" t="str">
        <f t="shared" si="29"/>
        <v/>
      </c>
      <c r="K99" t="str">
        <f t="shared" si="30"/>
        <v/>
      </c>
      <c r="L99" t="str">
        <f t="shared" si="31"/>
        <v/>
      </c>
      <c r="M99" t="str">
        <f t="shared" si="32"/>
        <v/>
      </c>
      <c r="N99" t="str">
        <f t="shared" si="23"/>
        <v/>
      </c>
      <c r="X99" t="str">
        <f t="shared" si="24"/>
        <v/>
      </c>
      <c r="Y99" t="str">
        <f t="shared" si="25"/>
        <v/>
      </c>
      <c r="Z99" t="str">
        <f t="shared" si="15"/>
        <v/>
      </c>
      <c r="AA99" t="str">
        <f t="shared" si="16"/>
        <v/>
      </c>
      <c r="AB99" t="str">
        <f t="shared" si="17"/>
        <v/>
      </c>
      <c r="AC99" t="str">
        <f t="shared" si="26"/>
        <v/>
      </c>
      <c r="AF99" t="s">
        <v>65</v>
      </c>
      <c r="AG99" t="s">
        <v>36</v>
      </c>
      <c r="AH99" t="str">
        <f>IF(Table4[[#This Row],[Nilai]]="","",VLOOKUP(Table4[[#This Row],[Helper]],$I$5:$L$380,4,FALSE))</f>
        <v/>
      </c>
      <c r="AI99" t="s">
        <v>507</v>
      </c>
      <c r="AJ99" t="str">
        <f t="shared" si="27"/>
        <v>12ATeoriWk.24</v>
      </c>
      <c r="AK99" s="24" t="str">
        <f t="shared" si="28"/>
        <v/>
      </c>
    </row>
    <row r="100" spans="9:37" x14ac:dyDescent="0.2">
      <c r="I100" t="str">
        <f t="shared" si="18"/>
        <v/>
      </c>
      <c r="J100" t="str">
        <f t="shared" si="29"/>
        <v/>
      </c>
      <c r="K100" t="str">
        <f t="shared" si="30"/>
        <v/>
      </c>
      <c r="L100" t="str">
        <f t="shared" si="31"/>
        <v/>
      </c>
      <c r="M100" t="str">
        <f t="shared" si="32"/>
        <v/>
      </c>
      <c r="N100" t="str">
        <f t="shared" si="23"/>
        <v/>
      </c>
      <c r="X100" t="str">
        <f t="shared" si="24"/>
        <v/>
      </c>
      <c r="Y100" t="str">
        <f t="shared" si="25"/>
        <v/>
      </c>
      <c r="Z100" t="str">
        <f t="shared" si="15"/>
        <v/>
      </c>
      <c r="AA100" t="str">
        <f t="shared" si="16"/>
        <v/>
      </c>
      <c r="AB100" t="str">
        <f t="shared" si="17"/>
        <v/>
      </c>
      <c r="AC100" t="str">
        <f t="shared" si="26"/>
        <v/>
      </c>
      <c r="AF100" t="s">
        <v>65</v>
      </c>
      <c r="AG100" t="s">
        <v>36</v>
      </c>
      <c r="AH100" t="str">
        <f>IF(Table4[[#This Row],[Nilai]]="","",VLOOKUP(Table4[[#This Row],[Helper]],$I$5:$L$380,4,FALSE))</f>
        <v/>
      </c>
      <c r="AI100" t="s">
        <v>508</v>
      </c>
      <c r="AJ100" t="str">
        <f t="shared" si="27"/>
        <v>12ATeoriWk.25</v>
      </c>
      <c r="AK100" s="24" t="str">
        <f t="shared" si="28"/>
        <v/>
      </c>
    </row>
    <row r="101" spans="9:37" x14ac:dyDescent="0.2">
      <c r="I101" t="str">
        <f t="shared" si="18"/>
        <v/>
      </c>
      <c r="J101" t="str">
        <f t="shared" si="29"/>
        <v/>
      </c>
      <c r="K101" t="str">
        <f t="shared" si="30"/>
        <v/>
      </c>
      <c r="L101" t="str">
        <f t="shared" si="31"/>
        <v/>
      </c>
      <c r="M101" t="str">
        <f t="shared" si="32"/>
        <v/>
      </c>
      <c r="N101" t="str">
        <f t="shared" si="23"/>
        <v/>
      </c>
      <c r="X101" t="str">
        <f t="shared" si="24"/>
        <v/>
      </c>
      <c r="Y101" t="str">
        <f t="shared" si="25"/>
        <v/>
      </c>
      <c r="Z101" t="str">
        <f t="shared" si="15"/>
        <v/>
      </c>
      <c r="AA101" t="str">
        <f t="shared" si="16"/>
        <v/>
      </c>
      <c r="AB101" t="str">
        <f t="shared" si="17"/>
        <v/>
      </c>
      <c r="AC101" t="str">
        <f t="shared" si="26"/>
        <v/>
      </c>
      <c r="AF101" t="s">
        <v>54</v>
      </c>
      <c r="AG101" t="s">
        <v>31</v>
      </c>
      <c r="AH101" t="str">
        <f>IF(Table4[[#This Row],[Nilai]]="","",VLOOKUP(Table4[[#This Row],[Helper]],$I$5:$L$380,4,FALSE))</f>
        <v/>
      </c>
      <c r="AI101" t="s">
        <v>466</v>
      </c>
      <c r="AJ101" t="str">
        <f t="shared" si="27"/>
        <v>11ANalarWk.2</v>
      </c>
      <c r="AK101" s="24" t="str">
        <f t="shared" si="28"/>
        <v/>
      </c>
    </row>
    <row r="102" spans="9:37" x14ac:dyDescent="0.2">
      <c r="I102" t="str">
        <f t="shared" si="18"/>
        <v/>
      </c>
      <c r="J102" t="str">
        <f t="shared" si="29"/>
        <v/>
      </c>
      <c r="K102" t="str">
        <f t="shared" si="30"/>
        <v/>
      </c>
      <c r="L102" t="str">
        <f t="shared" si="31"/>
        <v/>
      </c>
      <c r="M102" t="str">
        <f t="shared" si="32"/>
        <v/>
      </c>
      <c r="N102" t="str">
        <f t="shared" si="23"/>
        <v/>
      </c>
      <c r="X102" t="str">
        <f t="shared" si="24"/>
        <v/>
      </c>
      <c r="Y102" t="str">
        <f t="shared" si="25"/>
        <v/>
      </c>
      <c r="Z102" t="str">
        <f t="shared" si="15"/>
        <v/>
      </c>
      <c r="AA102" t="str">
        <f t="shared" si="16"/>
        <v/>
      </c>
      <c r="AB102" t="str">
        <f t="shared" si="17"/>
        <v/>
      </c>
      <c r="AC102" t="str">
        <f t="shared" ref="AC102:AC133" si="33">IF(U102="","",U102)</f>
        <v/>
      </c>
      <c r="AF102" t="s">
        <v>54</v>
      </c>
      <c r="AG102" t="s">
        <v>31</v>
      </c>
      <c r="AH102" t="str">
        <f>IF(Table4[[#This Row],[Nilai]]="","",VLOOKUP(Table4[[#This Row],[Helper]],$I$5:$L$380,4,FALSE))</f>
        <v>Jan</v>
      </c>
      <c r="AI102" t="s">
        <v>461</v>
      </c>
      <c r="AJ102" t="str">
        <f t="shared" si="27"/>
        <v>11ANalarWk.3</v>
      </c>
      <c r="AK102" s="24">
        <f t="shared" si="28"/>
        <v>66.555555555555557</v>
      </c>
    </row>
    <row r="103" spans="9:37" x14ac:dyDescent="0.2">
      <c r="I103" t="str">
        <f t="shared" si="18"/>
        <v/>
      </c>
      <c r="J103" t="str">
        <f t="shared" si="29"/>
        <v/>
      </c>
      <c r="K103" t="str">
        <f t="shared" si="30"/>
        <v/>
      </c>
      <c r="L103" t="str">
        <f t="shared" si="31"/>
        <v/>
      </c>
      <c r="M103" t="str">
        <f t="shared" si="32"/>
        <v/>
      </c>
      <c r="N103" t="str">
        <f t="shared" si="23"/>
        <v/>
      </c>
      <c r="X103" t="str">
        <f t="shared" si="24"/>
        <v/>
      </c>
      <c r="Y103" t="str">
        <f t="shared" si="25"/>
        <v/>
      </c>
      <c r="Z103" t="str">
        <f t="shared" si="15"/>
        <v/>
      </c>
      <c r="AA103" t="str">
        <f t="shared" si="16"/>
        <v/>
      </c>
      <c r="AB103" t="str">
        <f t="shared" si="17"/>
        <v/>
      </c>
      <c r="AC103" t="str">
        <f t="shared" si="33"/>
        <v/>
      </c>
      <c r="AF103" t="s">
        <v>54</v>
      </c>
      <c r="AG103" t="s">
        <v>31</v>
      </c>
      <c r="AH103" t="str">
        <f>IF(Table4[[#This Row],[Nilai]]="","",VLOOKUP(Table4[[#This Row],[Helper]],$I$5:$L$380,4,FALSE))</f>
        <v>Jan</v>
      </c>
      <c r="AI103" t="s">
        <v>462</v>
      </c>
      <c r="AJ103" t="str">
        <f t="shared" si="27"/>
        <v>11ANalarWk.4</v>
      </c>
      <c r="AK103" s="24">
        <f t="shared" si="28"/>
        <v>56.704545454545453</v>
      </c>
    </row>
    <row r="104" spans="9:37" x14ac:dyDescent="0.2">
      <c r="I104" t="str">
        <f t="shared" si="18"/>
        <v/>
      </c>
      <c r="J104" t="str">
        <f t="shared" si="29"/>
        <v/>
      </c>
      <c r="K104" t="str">
        <f t="shared" si="30"/>
        <v/>
      </c>
      <c r="L104" t="str">
        <f t="shared" si="31"/>
        <v/>
      </c>
      <c r="M104" t="str">
        <f t="shared" si="32"/>
        <v/>
      </c>
      <c r="N104" t="str">
        <f t="shared" si="23"/>
        <v/>
      </c>
      <c r="X104" t="str">
        <f t="shared" si="24"/>
        <v/>
      </c>
      <c r="Y104" t="str">
        <f t="shared" si="25"/>
        <v/>
      </c>
      <c r="Z104" t="str">
        <f t="shared" si="15"/>
        <v/>
      </c>
      <c r="AA104" t="str">
        <f t="shared" si="16"/>
        <v/>
      </c>
      <c r="AB104" t="str">
        <f t="shared" si="17"/>
        <v/>
      </c>
      <c r="AC104" t="str">
        <f t="shared" si="33"/>
        <v/>
      </c>
      <c r="AF104" t="s">
        <v>54</v>
      </c>
      <c r="AG104" t="s">
        <v>31</v>
      </c>
      <c r="AH104" t="str">
        <f>IF(Table4[[#This Row],[Nilai]]="","",VLOOKUP(Table4[[#This Row],[Helper]],$I$5:$L$380,4,FALSE))</f>
        <v>Jan</v>
      </c>
      <c r="AI104" t="s">
        <v>463</v>
      </c>
      <c r="AJ104" t="str">
        <f t="shared" si="27"/>
        <v>11ANalarWk.5</v>
      </c>
      <c r="AK104" s="24">
        <f t="shared" si="28"/>
        <v>68.068181818181813</v>
      </c>
    </row>
    <row r="105" spans="9:37" x14ac:dyDescent="0.2">
      <c r="I105" t="str">
        <f t="shared" si="18"/>
        <v/>
      </c>
      <c r="J105" t="str">
        <f t="shared" si="29"/>
        <v/>
      </c>
      <c r="K105" t="str">
        <f t="shared" si="30"/>
        <v/>
      </c>
      <c r="L105" t="str">
        <f t="shared" si="31"/>
        <v/>
      </c>
      <c r="M105" t="str">
        <f t="shared" si="32"/>
        <v/>
      </c>
      <c r="N105" t="str">
        <f t="shared" si="23"/>
        <v/>
      </c>
      <c r="X105" t="str">
        <f t="shared" si="24"/>
        <v/>
      </c>
      <c r="Y105" t="str">
        <f t="shared" si="25"/>
        <v/>
      </c>
      <c r="Z105" t="str">
        <f t="shared" si="15"/>
        <v/>
      </c>
      <c r="AA105" t="str">
        <f t="shared" si="16"/>
        <v/>
      </c>
      <c r="AB105" t="str">
        <f t="shared" si="17"/>
        <v/>
      </c>
      <c r="AC105" t="str">
        <f t="shared" si="33"/>
        <v/>
      </c>
      <c r="AF105" t="s">
        <v>54</v>
      </c>
      <c r="AG105" t="s">
        <v>31</v>
      </c>
      <c r="AH105" t="str">
        <f>IF(Table4[[#This Row],[Nilai]]="","",VLOOKUP(Table4[[#This Row],[Helper]],$I$5:$L$380,4,FALSE))</f>
        <v>Feb</v>
      </c>
      <c r="AI105" t="s">
        <v>464</v>
      </c>
      <c r="AJ105" t="str">
        <f t="shared" si="27"/>
        <v>11ANalarWk.6</v>
      </c>
      <c r="AK105" s="24">
        <f t="shared" si="28"/>
        <v>74.264705882352942</v>
      </c>
    </row>
    <row r="106" spans="9:37" x14ac:dyDescent="0.2">
      <c r="I106" t="str">
        <f t="shared" si="18"/>
        <v/>
      </c>
      <c r="J106" t="str">
        <f t="shared" si="29"/>
        <v/>
      </c>
      <c r="K106" t="str">
        <f t="shared" si="30"/>
        <v/>
      </c>
      <c r="L106" t="str">
        <f t="shared" si="31"/>
        <v/>
      </c>
      <c r="M106" t="str">
        <f t="shared" si="32"/>
        <v/>
      </c>
      <c r="N106" t="str">
        <f t="shared" si="23"/>
        <v/>
      </c>
      <c r="X106" t="str">
        <f t="shared" si="24"/>
        <v/>
      </c>
      <c r="Y106" t="str">
        <f t="shared" si="25"/>
        <v/>
      </c>
      <c r="Z106" t="str">
        <f t="shared" si="15"/>
        <v/>
      </c>
      <c r="AA106" t="str">
        <f t="shared" si="16"/>
        <v/>
      </c>
      <c r="AB106" t="str">
        <f t="shared" si="17"/>
        <v/>
      </c>
      <c r="AC106" t="str">
        <f t="shared" si="33"/>
        <v/>
      </c>
      <c r="AF106" t="s">
        <v>54</v>
      </c>
      <c r="AG106" t="s">
        <v>31</v>
      </c>
      <c r="AH106" t="str">
        <f>IF(Table4[[#This Row],[Nilai]]="","",VLOOKUP(Table4[[#This Row],[Helper]],$I$5:$L$380,4,FALSE))</f>
        <v>Feb</v>
      </c>
      <c r="AI106" t="s">
        <v>465</v>
      </c>
      <c r="AJ106" t="str">
        <f t="shared" si="27"/>
        <v>11ANalarWk.7</v>
      </c>
      <c r="AK106" s="24">
        <f t="shared" si="28"/>
        <v>70</v>
      </c>
    </row>
    <row r="107" spans="9:37" x14ac:dyDescent="0.2">
      <c r="I107" t="str">
        <f t="shared" si="18"/>
        <v/>
      </c>
      <c r="J107" t="str">
        <f t="shared" si="29"/>
        <v/>
      </c>
      <c r="K107" t="str">
        <f t="shared" si="30"/>
        <v/>
      </c>
      <c r="L107" t="str">
        <f t="shared" si="31"/>
        <v/>
      </c>
      <c r="M107" t="str">
        <f t="shared" si="32"/>
        <v/>
      </c>
      <c r="N107" t="str">
        <f t="shared" si="23"/>
        <v/>
      </c>
      <c r="X107" t="str">
        <f t="shared" si="24"/>
        <v/>
      </c>
      <c r="Y107" t="str">
        <f t="shared" si="25"/>
        <v/>
      </c>
      <c r="Z107" t="str">
        <f t="shared" si="15"/>
        <v/>
      </c>
      <c r="AA107" t="str">
        <f t="shared" si="16"/>
        <v/>
      </c>
      <c r="AB107" t="str">
        <f t="shared" si="17"/>
        <v/>
      </c>
      <c r="AC107" t="str">
        <f t="shared" si="33"/>
        <v/>
      </c>
      <c r="AF107" t="s">
        <v>54</v>
      </c>
      <c r="AG107" t="s">
        <v>31</v>
      </c>
      <c r="AH107" t="str">
        <f>IF(Table4[[#This Row],[Nilai]]="","",VLOOKUP(Table4[[#This Row],[Helper]],$I$5:$L$380,4,FALSE))</f>
        <v>Feb</v>
      </c>
      <c r="AI107" t="s">
        <v>467</v>
      </c>
      <c r="AJ107" t="str">
        <f t="shared" si="27"/>
        <v>11ANalarWk.8</v>
      </c>
      <c r="AK107" s="24">
        <f t="shared" si="28"/>
        <v>66.63636363636364</v>
      </c>
    </row>
    <row r="108" spans="9:37" x14ac:dyDescent="0.2">
      <c r="I108" t="str">
        <f t="shared" si="18"/>
        <v/>
      </c>
      <c r="J108" t="str">
        <f t="shared" si="29"/>
        <v/>
      </c>
      <c r="K108" t="str">
        <f t="shared" si="30"/>
        <v/>
      </c>
      <c r="L108" t="str">
        <f t="shared" si="31"/>
        <v/>
      </c>
      <c r="M108" t="str">
        <f t="shared" si="32"/>
        <v/>
      </c>
      <c r="N108" t="str">
        <f t="shared" si="23"/>
        <v/>
      </c>
      <c r="X108" t="str">
        <f t="shared" si="24"/>
        <v/>
      </c>
      <c r="Y108" t="str">
        <f t="shared" si="25"/>
        <v/>
      </c>
      <c r="Z108" t="str">
        <f t="shared" si="15"/>
        <v/>
      </c>
      <c r="AA108" t="str">
        <f t="shared" si="16"/>
        <v/>
      </c>
      <c r="AB108" t="str">
        <f t="shared" si="17"/>
        <v/>
      </c>
      <c r="AC108" t="str">
        <f t="shared" si="33"/>
        <v/>
      </c>
      <c r="AF108" t="s">
        <v>54</v>
      </c>
      <c r="AG108" t="s">
        <v>31</v>
      </c>
      <c r="AH108" t="str">
        <f>IF(Table4[[#This Row],[Nilai]]="","",VLOOKUP(Table4[[#This Row],[Helper]],$I$5:$L$380,4,FALSE))</f>
        <v/>
      </c>
      <c r="AI108" t="s">
        <v>486</v>
      </c>
      <c r="AJ108" t="str">
        <f t="shared" si="27"/>
        <v>11ANalarWk.9</v>
      </c>
      <c r="AK108" s="24" t="str">
        <f t="shared" si="28"/>
        <v/>
      </c>
    </row>
    <row r="109" spans="9:37" x14ac:dyDescent="0.2">
      <c r="I109" t="str">
        <f t="shared" si="18"/>
        <v/>
      </c>
      <c r="J109" t="str">
        <f t="shared" si="29"/>
        <v/>
      </c>
      <c r="K109" t="str">
        <f t="shared" si="30"/>
        <v/>
      </c>
      <c r="L109" t="str">
        <f t="shared" si="31"/>
        <v/>
      </c>
      <c r="M109" t="str">
        <f t="shared" si="32"/>
        <v/>
      </c>
      <c r="N109" t="str">
        <f t="shared" si="23"/>
        <v/>
      </c>
      <c r="X109" t="str">
        <f t="shared" si="24"/>
        <v/>
      </c>
      <c r="Y109" t="str">
        <f t="shared" si="25"/>
        <v/>
      </c>
      <c r="Z109" t="str">
        <f t="shared" si="15"/>
        <v/>
      </c>
      <c r="AA109" t="str">
        <f t="shared" si="16"/>
        <v/>
      </c>
      <c r="AB109" t="str">
        <f t="shared" si="17"/>
        <v/>
      </c>
      <c r="AC109" t="str">
        <f t="shared" si="33"/>
        <v/>
      </c>
      <c r="AF109" t="s">
        <v>54</v>
      </c>
      <c r="AG109" t="s">
        <v>31</v>
      </c>
      <c r="AH109" t="str">
        <f>IF(Table4[[#This Row],[Nilai]]="","",VLOOKUP(Table4[[#This Row],[Helper]],$I$5:$L$380,4,FALSE))</f>
        <v/>
      </c>
      <c r="AI109" t="s">
        <v>493</v>
      </c>
      <c r="AJ109" t="str">
        <f t="shared" si="27"/>
        <v>11ANalarWk.10</v>
      </c>
      <c r="AK109" s="24" t="str">
        <f t="shared" si="28"/>
        <v/>
      </c>
    </row>
    <row r="110" spans="9:37" x14ac:dyDescent="0.2">
      <c r="I110" t="str">
        <f t="shared" si="18"/>
        <v/>
      </c>
      <c r="J110" t="str">
        <f t="shared" si="29"/>
        <v/>
      </c>
      <c r="K110" t="str">
        <f t="shared" si="30"/>
        <v/>
      </c>
      <c r="L110" t="str">
        <f t="shared" si="31"/>
        <v/>
      </c>
      <c r="M110" t="str">
        <f t="shared" si="32"/>
        <v/>
      </c>
      <c r="N110" t="str">
        <f t="shared" si="23"/>
        <v/>
      </c>
      <c r="X110" t="str">
        <f t="shared" si="24"/>
        <v/>
      </c>
      <c r="Y110" t="str">
        <f t="shared" si="25"/>
        <v/>
      </c>
      <c r="Z110" t="str">
        <f t="shared" si="15"/>
        <v/>
      </c>
      <c r="AA110" t="str">
        <f t="shared" si="16"/>
        <v/>
      </c>
      <c r="AB110" t="str">
        <f t="shared" si="17"/>
        <v/>
      </c>
      <c r="AC110" t="str">
        <f t="shared" si="33"/>
        <v/>
      </c>
      <c r="AF110" t="s">
        <v>54</v>
      </c>
      <c r="AG110" t="s">
        <v>31</v>
      </c>
      <c r="AH110" t="str">
        <f>IF(Table4[[#This Row],[Nilai]]="","",VLOOKUP(Table4[[#This Row],[Helper]],$I$5:$L$380,4,FALSE))</f>
        <v/>
      </c>
      <c r="AI110" t="s">
        <v>494</v>
      </c>
      <c r="AJ110" t="str">
        <f t="shared" si="27"/>
        <v>11ANalarWk.11</v>
      </c>
      <c r="AK110" s="24" t="str">
        <f t="shared" si="28"/>
        <v/>
      </c>
    </row>
    <row r="111" spans="9:37" x14ac:dyDescent="0.2">
      <c r="I111" t="str">
        <f t="shared" si="18"/>
        <v/>
      </c>
      <c r="J111" t="str">
        <f t="shared" si="29"/>
        <v/>
      </c>
      <c r="K111" t="str">
        <f t="shared" si="30"/>
        <v/>
      </c>
      <c r="L111" t="str">
        <f t="shared" si="31"/>
        <v/>
      </c>
      <c r="M111" t="str">
        <f t="shared" si="32"/>
        <v/>
      </c>
      <c r="N111" t="str">
        <f t="shared" si="23"/>
        <v/>
      </c>
      <c r="X111" t="str">
        <f t="shared" si="24"/>
        <v/>
      </c>
      <c r="Y111" t="str">
        <f t="shared" si="25"/>
        <v/>
      </c>
      <c r="Z111" t="str">
        <f t="shared" si="15"/>
        <v/>
      </c>
      <c r="AA111" t="str">
        <f t="shared" si="16"/>
        <v/>
      </c>
      <c r="AB111" t="str">
        <f t="shared" si="17"/>
        <v/>
      </c>
      <c r="AC111" t="str">
        <f t="shared" si="33"/>
        <v/>
      </c>
      <c r="AF111" t="s">
        <v>54</v>
      </c>
      <c r="AG111" t="s">
        <v>31</v>
      </c>
      <c r="AH111" t="str">
        <f>IF(Table4[[#This Row],[Nilai]]="","",VLOOKUP(Table4[[#This Row],[Helper]],$I$5:$L$380,4,FALSE))</f>
        <v/>
      </c>
      <c r="AI111" t="s">
        <v>495</v>
      </c>
      <c r="AJ111" t="str">
        <f t="shared" si="27"/>
        <v>11ANalarWk.12</v>
      </c>
      <c r="AK111" s="24" t="str">
        <f t="shared" si="28"/>
        <v/>
      </c>
    </row>
    <row r="112" spans="9:37" x14ac:dyDescent="0.2">
      <c r="I112" t="str">
        <f t="shared" si="18"/>
        <v/>
      </c>
      <c r="J112" t="str">
        <f t="shared" si="29"/>
        <v/>
      </c>
      <c r="K112" t="str">
        <f t="shared" si="30"/>
        <v/>
      </c>
      <c r="L112" t="str">
        <f t="shared" si="31"/>
        <v/>
      </c>
      <c r="M112" t="str">
        <f t="shared" si="32"/>
        <v/>
      </c>
      <c r="N112" t="str">
        <f t="shared" si="23"/>
        <v/>
      </c>
      <c r="X112" t="str">
        <f t="shared" si="24"/>
        <v/>
      </c>
      <c r="Y112" t="str">
        <f t="shared" si="25"/>
        <v/>
      </c>
      <c r="Z112" t="str">
        <f t="shared" si="15"/>
        <v/>
      </c>
      <c r="AA112" t="str">
        <f t="shared" si="16"/>
        <v/>
      </c>
      <c r="AB112" t="str">
        <f t="shared" si="17"/>
        <v/>
      </c>
      <c r="AC112" t="str">
        <f t="shared" si="33"/>
        <v/>
      </c>
      <c r="AF112" t="s">
        <v>54</v>
      </c>
      <c r="AG112" t="s">
        <v>31</v>
      </c>
      <c r="AH112" t="str">
        <f>IF(Table4[[#This Row],[Nilai]]="","",VLOOKUP(Table4[[#This Row],[Helper]],$I$5:$L$380,4,FALSE))</f>
        <v/>
      </c>
      <c r="AI112" t="s">
        <v>496</v>
      </c>
      <c r="AJ112" t="str">
        <f t="shared" si="27"/>
        <v>11ANalarWk.13</v>
      </c>
      <c r="AK112" s="24" t="str">
        <f t="shared" si="28"/>
        <v/>
      </c>
    </row>
    <row r="113" spans="9:37" x14ac:dyDescent="0.2">
      <c r="I113" t="str">
        <f t="shared" si="18"/>
        <v/>
      </c>
      <c r="J113" t="str">
        <f t="shared" si="29"/>
        <v/>
      </c>
      <c r="K113" t="str">
        <f t="shared" si="30"/>
        <v/>
      </c>
      <c r="L113" t="str">
        <f t="shared" si="31"/>
        <v/>
      </c>
      <c r="M113" t="str">
        <f t="shared" si="32"/>
        <v/>
      </c>
      <c r="N113" t="str">
        <f t="shared" si="23"/>
        <v/>
      </c>
      <c r="X113" t="str">
        <f t="shared" si="24"/>
        <v/>
      </c>
      <c r="Y113" t="str">
        <f t="shared" si="25"/>
        <v/>
      </c>
      <c r="Z113" t="str">
        <f t="shared" ref="Z113:Z176" si="34">IF(R113="","",R113)</f>
        <v/>
      </c>
      <c r="AA113" t="str">
        <f t="shared" ref="AA113:AA176" si="35">IF(S113="","",S113)</f>
        <v/>
      </c>
      <c r="AB113" t="str">
        <f t="shared" ref="AB113:AB176" si="36">IF(T113="","",T113)</f>
        <v/>
      </c>
      <c r="AC113" t="str">
        <f t="shared" si="33"/>
        <v/>
      </c>
      <c r="AF113" t="s">
        <v>54</v>
      </c>
      <c r="AG113" t="s">
        <v>31</v>
      </c>
      <c r="AH113" t="str">
        <f>IF(Table4[[#This Row],[Nilai]]="","",VLOOKUP(Table4[[#This Row],[Helper]],$I$5:$L$380,4,FALSE))</f>
        <v/>
      </c>
      <c r="AI113" t="s">
        <v>497</v>
      </c>
      <c r="AJ113" t="str">
        <f t="shared" si="27"/>
        <v>11ANalarWk.14</v>
      </c>
      <c r="AK113" s="24" t="str">
        <f t="shared" si="28"/>
        <v/>
      </c>
    </row>
    <row r="114" spans="9:37" x14ac:dyDescent="0.2">
      <c r="I114" t="str">
        <f t="shared" si="18"/>
        <v/>
      </c>
      <c r="J114" t="str">
        <f t="shared" si="29"/>
        <v/>
      </c>
      <c r="K114" t="str">
        <f t="shared" si="30"/>
        <v/>
      </c>
      <c r="L114" t="str">
        <f t="shared" si="31"/>
        <v/>
      </c>
      <c r="M114" t="str">
        <f t="shared" si="32"/>
        <v/>
      </c>
      <c r="N114" t="str">
        <f t="shared" si="23"/>
        <v/>
      </c>
      <c r="X114" t="str">
        <f t="shared" si="24"/>
        <v/>
      </c>
      <c r="Y114" t="str">
        <f t="shared" si="25"/>
        <v/>
      </c>
      <c r="Z114" t="str">
        <f t="shared" si="34"/>
        <v/>
      </c>
      <c r="AA114" t="str">
        <f t="shared" si="35"/>
        <v/>
      </c>
      <c r="AB114" t="str">
        <f t="shared" si="36"/>
        <v/>
      </c>
      <c r="AC114" t="str">
        <f t="shared" si="33"/>
        <v/>
      </c>
      <c r="AF114" t="s">
        <v>54</v>
      </c>
      <c r="AG114" t="s">
        <v>31</v>
      </c>
      <c r="AH114" t="str">
        <f>IF(Table4[[#This Row],[Nilai]]="","",VLOOKUP(Table4[[#This Row],[Helper]],$I$5:$L$380,4,FALSE))</f>
        <v/>
      </c>
      <c r="AI114" t="s">
        <v>498</v>
      </c>
      <c r="AJ114" t="str">
        <f t="shared" si="27"/>
        <v>11ANalarWk.15</v>
      </c>
      <c r="AK114" s="24" t="str">
        <f t="shared" si="28"/>
        <v/>
      </c>
    </row>
    <row r="115" spans="9:37" x14ac:dyDescent="0.2">
      <c r="I115" t="str">
        <f t="shared" si="18"/>
        <v/>
      </c>
      <c r="J115" t="str">
        <f t="shared" si="29"/>
        <v/>
      </c>
      <c r="K115" t="str">
        <f t="shared" si="30"/>
        <v/>
      </c>
      <c r="L115" t="str">
        <f t="shared" si="31"/>
        <v/>
      </c>
      <c r="M115" t="str">
        <f t="shared" si="32"/>
        <v/>
      </c>
      <c r="N115" t="str">
        <f t="shared" si="23"/>
        <v/>
      </c>
      <c r="X115" t="str">
        <f t="shared" si="24"/>
        <v/>
      </c>
      <c r="Y115" t="str">
        <f t="shared" si="25"/>
        <v/>
      </c>
      <c r="Z115" t="str">
        <f t="shared" si="34"/>
        <v/>
      </c>
      <c r="AA115" t="str">
        <f t="shared" si="35"/>
        <v/>
      </c>
      <c r="AB115" t="str">
        <f t="shared" si="36"/>
        <v/>
      </c>
      <c r="AC115" t="str">
        <f t="shared" si="33"/>
        <v/>
      </c>
      <c r="AF115" t="s">
        <v>54</v>
      </c>
      <c r="AG115" t="s">
        <v>31</v>
      </c>
      <c r="AH115" t="str">
        <f>IF(Table4[[#This Row],[Nilai]]="","",VLOOKUP(Table4[[#This Row],[Helper]],$I$5:$L$380,4,FALSE))</f>
        <v/>
      </c>
      <c r="AI115" t="s">
        <v>499</v>
      </c>
      <c r="AJ115" t="str">
        <f t="shared" si="27"/>
        <v>11ANalarWk.16</v>
      </c>
      <c r="AK115" s="24" t="str">
        <f t="shared" si="28"/>
        <v/>
      </c>
    </row>
    <row r="116" spans="9:37" x14ac:dyDescent="0.2">
      <c r="I116" t="str">
        <f t="shared" si="18"/>
        <v/>
      </c>
      <c r="J116" t="str">
        <f t="shared" si="29"/>
        <v/>
      </c>
      <c r="K116" t="str">
        <f t="shared" si="30"/>
        <v/>
      </c>
      <c r="L116" t="str">
        <f t="shared" si="31"/>
        <v/>
      </c>
      <c r="M116" t="str">
        <f t="shared" si="32"/>
        <v/>
      </c>
      <c r="N116" t="str">
        <f t="shared" si="23"/>
        <v/>
      </c>
      <c r="X116" t="str">
        <f t="shared" si="24"/>
        <v/>
      </c>
      <c r="Y116" t="str">
        <f t="shared" si="25"/>
        <v/>
      </c>
      <c r="Z116" t="str">
        <f t="shared" si="34"/>
        <v/>
      </c>
      <c r="AA116" t="str">
        <f t="shared" si="35"/>
        <v/>
      </c>
      <c r="AB116" t="str">
        <f t="shared" si="36"/>
        <v/>
      </c>
      <c r="AC116" t="str">
        <f t="shared" si="33"/>
        <v/>
      </c>
      <c r="AF116" t="s">
        <v>54</v>
      </c>
      <c r="AG116" t="s">
        <v>31</v>
      </c>
      <c r="AH116" t="str">
        <f>IF(Table4[[#This Row],[Nilai]]="","",VLOOKUP(Table4[[#This Row],[Helper]],$I$5:$L$380,4,FALSE))</f>
        <v/>
      </c>
      <c r="AI116" t="s">
        <v>500</v>
      </c>
      <c r="AJ116" t="str">
        <f t="shared" si="27"/>
        <v>11ANalarWk.17</v>
      </c>
      <c r="AK116" s="24" t="str">
        <f t="shared" si="28"/>
        <v/>
      </c>
    </row>
    <row r="117" spans="9:37" x14ac:dyDescent="0.2">
      <c r="I117" t="str">
        <f t="shared" si="18"/>
        <v/>
      </c>
      <c r="J117" t="str">
        <f t="shared" si="29"/>
        <v/>
      </c>
      <c r="K117" t="str">
        <f t="shared" si="30"/>
        <v/>
      </c>
      <c r="L117" t="str">
        <f t="shared" si="31"/>
        <v/>
      </c>
      <c r="M117" t="str">
        <f t="shared" si="32"/>
        <v/>
      </c>
      <c r="N117" t="str">
        <f t="shared" si="23"/>
        <v/>
      </c>
      <c r="X117" t="str">
        <f t="shared" si="24"/>
        <v/>
      </c>
      <c r="Y117" t="str">
        <f t="shared" si="25"/>
        <v/>
      </c>
      <c r="Z117" t="str">
        <f t="shared" si="34"/>
        <v/>
      </c>
      <c r="AA117" t="str">
        <f t="shared" si="35"/>
        <v/>
      </c>
      <c r="AB117" t="str">
        <f t="shared" si="36"/>
        <v/>
      </c>
      <c r="AC117" t="str">
        <f t="shared" si="33"/>
        <v/>
      </c>
      <c r="AF117" t="s">
        <v>54</v>
      </c>
      <c r="AG117" t="s">
        <v>31</v>
      </c>
      <c r="AH117" t="str">
        <f>IF(Table4[[#This Row],[Nilai]]="","",VLOOKUP(Table4[[#This Row],[Helper]],$I$5:$L$380,4,FALSE))</f>
        <v/>
      </c>
      <c r="AI117" t="s">
        <v>501</v>
      </c>
      <c r="AJ117" t="str">
        <f t="shared" si="27"/>
        <v>11ANalarWk.18</v>
      </c>
      <c r="AK117" s="24" t="str">
        <f t="shared" si="28"/>
        <v/>
      </c>
    </row>
    <row r="118" spans="9:37" x14ac:dyDescent="0.2">
      <c r="I118" t="str">
        <f t="shared" si="18"/>
        <v/>
      </c>
      <c r="J118" t="str">
        <f t="shared" si="29"/>
        <v/>
      </c>
      <c r="K118" t="str">
        <f t="shared" si="30"/>
        <v/>
      </c>
      <c r="L118" t="str">
        <f t="shared" si="31"/>
        <v/>
      </c>
      <c r="M118" t="str">
        <f t="shared" si="32"/>
        <v/>
      </c>
      <c r="N118" t="str">
        <f t="shared" si="23"/>
        <v/>
      </c>
      <c r="X118" t="str">
        <f t="shared" si="24"/>
        <v/>
      </c>
      <c r="Y118" t="str">
        <f t="shared" si="25"/>
        <v/>
      </c>
      <c r="Z118" t="str">
        <f t="shared" si="34"/>
        <v/>
      </c>
      <c r="AA118" t="str">
        <f t="shared" si="35"/>
        <v/>
      </c>
      <c r="AB118" t="str">
        <f t="shared" si="36"/>
        <v/>
      </c>
      <c r="AC118" t="str">
        <f t="shared" si="33"/>
        <v/>
      </c>
      <c r="AF118" t="s">
        <v>54</v>
      </c>
      <c r="AG118" t="s">
        <v>31</v>
      </c>
      <c r="AH118" t="str">
        <f>IF(Table4[[#This Row],[Nilai]]="","",VLOOKUP(Table4[[#This Row],[Helper]],$I$5:$L$380,4,FALSE))</f>
        <v/>
      </c>
      <c r="AI118" t="s">
        <v>502</v>
      </c>
      <c r="AJ118" t="str">
        <f t="shared" si="27"/>
        <v>11ANalarWk.19</v>
      </c>
      <c r="AK118" s="24" t="str">
        <f t="shared" si="28"/>
        <v/>
      </c>
    </row>
    <row r="119" spans="9:37" x14ac:dyDescent="0.2">
      <c r="I119" t="str">
        <f t="shared" si="18"/>
        <v/>
      </c>
      <c r="J119" t="str">
        <f t="shared" si="29"/>
        <v/>
      </c>
      <c r="K119" t="str">
        <f t="shared" si="30"/>
        <v/>
      </c>
      <c r="L119" t="str">
        <f t="shared" si="31"/>
        <v/>
      </c>
      <c r="M119" t="str">
        <f t="shared" si="32"/>
        <v/>
      </c>
      <c r="N119" t="str">
        <f t="shared" si="23"/>
        <v/>
      </c>
      <c r="X119" t="str">
        <f t="shared" si="24"/>
        <v/>
      </c>
      <c r="Y119" t="str">
        <f t="shared" si="25"/>
        <v/>
      </c>
      <c r="Z119" t="str">
        <f t="shared" si="34"/>
        <v/>
      </c>
      <c r="AA119" t="str">
        <f t="shared" si="35"/>
        <v/>
      </c>
      <c r="AB119" t="str">
        <f t="shared" si="36"/>
        <v/>
      </c>
      <c r="AC119" t="str">
        <f t="shared" si="33"/>
        <v/>
      </c>
      <c r="AF119" t="s">
        <v>54</v>
      </c>
      <c r="AG119" t="s">
        <v>31</v>
      </c>
      <c r="AH119" t="str">
        <f>IF(Table4[[#This Row],[Nilai]]="","",VLOOKUP(Table4[[#This Row],[Helper]],$I$5:$L$380,4,FALSE))</f>
        <v/>
      </c>
      <c r="AI119" t="s">
        <v>503</v>
      </c>
      <c r="AJ119" t="str">
        <f t="shared" si="27"/>
        <v>11ANalarWk.20</v>
      </c>
      <c r="AK119" s="24" t="str">
        <f t="shared" si="28"/>
        <v/>
      </c>
    </row>
    <row r="120" spans="9:37" x14ac:dyDescent="0.2">
      <c r="I120" t="str">
        <f t="shared" si="18"/>
        <v/>
      </c>
      <c r="J120" t="str">
        <f t="shared" si="29"/>
        <v/>
      </c>
      <c r="K120" t="str">
        <f t="shared" si="30"/>
        <v/>
      </c>
      <c r="L120" t="str">
        <f t="shared" si="31"/>
        <v/>
      </c>
      <c r="M120" t="str">
        <f t="shared" si="32"/>
        <v/>
      </c>
      <c r="N120" t="str">
        <f t="shared" si="23"/>
        <v/>
      </c>
      <c r="X120" t="str">
        <f t="shared" si="24"/>
        <v/>
      </c>
      <c r="Y120" t="str">
        <f t="shared" si="25"/>
        <v/>
      </c>
      <c r="Z120" t="str">
        <f t="shared" si="34"/>
        <v/>
      </c>
      <c r="AA120" t="str">
        <f t="shared" si="35"/>
        <v/>
      </c>
      <c r="AB120" t="str">
        <f t="shared" si="36"/>
        <v/>
      </c>
      <c r="AC120" t="str">
        <f t="shared" si="33"/>
        <v/>
      </c>
      <c r="AF120" t="s">
        <v>54</v>
      </c>
      <c r="AG120" t="s">
        <v>31</v>
      </c>
      <c r="AH120" t="str">
        <f>IF(Table4[[#This Row],[Nilai]]="","",VLOOKUP(Table4[[#This Row],[Helper]],$I$5:$L$380,4,FALSE))</f>
        <v/>
      </c>
      <c r="AI120" t="s">
        <v>504</v>
      </c>
      <c r="AJ120" t="str">
        <f t="shared" si="27"/>
        <v>11ANalarWk.21</v>
      </c>
      <c r="AK120" s="24" t="str">
        <f t="shared" si="28"/>
        <v/>
      </c>
    </row>
    <row r="121" spans="9:37" x14ac:dyDescent="0.2">
      <c r="I121" t="str">
        <f t="shared" si="18"/>
        <v/>
      </c>
      <c r="J121" t="str">
        <f t="shared" si="29"/>
        <v/>
      </c>
      <c r="K121" t="str">
        <f t="shared" si="30"/>
        <v/>
      </c>
      <c r="L121" t="str">
        <f t="shared" si="31"/>
        <v/>
      </c>
      <c r="M121" t="str">
        <f t="shared" si="32"/>
        <v/>
      </c>
      <c r="N121" t="str">
        <f t="shared" si="23"/>
        <v/>
      </c>
      <c r="X121" t="str">
        <f t="shared" si="24"/>
        <v/>
      </c>
      <c r="Y121" t="str">
        <f t="shared" si="25"/>
        <v/>
      </c>
      <c r="Z121" t="str">
        <f t="shared" si="34"/>
        <v/>
      </c>
      <c r="AA121" t="str">
        <f t="shared" si="35"/>
        <v/>
      </c>
      <c r="AB121" t="str">
        <f t="shared" si="36"/>
        <v/>
      </c>
      <c r="AC121" t="str">
        <f t="shared" si="33"/>
        <v/>
      </c>
      <c r="AF121" t="s">
        <v>54</v>
      </c>
      <c r="AG121" t="s">
        <v>31</v>
      </c>
      <c r="AH121" t="str">
        <f>IF(Table4[[#This Row],[Nilai]]="","",VLOOKUP(Table4[[#This Row],[Helper]],$I$5:$L$380,4,FALSE))</f>
        <v/>
      </c>
      <c r="AI121" t="s">
        <v>505</v>
      </c>
      <c r="AJ121" t="str">
        <f t="shared" si="27"/>
        <v>11ANalarWk.22</v>
      </c>
      <c r="AK121" s="24" t="str">
        <f t="shared" si="28"/>
        <v/>
      </c>
    </row>
    <row r="122" spans="9:37" x14ac:dyDescent="0.2">
      <c r="I122" t="str">
        <f t="shared" si="18"/>
        <v/>
      </c>
      <c r="J122" t="str">
        <f t="shared" si="29"/>
        <v/>
      </c>
      <c r="K122" t="str">
        <f t="shared" si="30"/>
        <v/>
      </c>
      <c r="L122" t="str">
        <f t="shared" si="31"/>
        <v/>
      </c>
      <c r="M122" t="str">
        <f t="shared" si="32"/>
        <v/>
      </c>
      <c r="N122" t="str">
        <f t="shared" si="23"/>
        <v/>
      </c>
      <c r="X122" t="str">
        <f t="shared" si="24"/>
        <v/>
      </c>
      <c r="Y122" t="str">
        <f t="shared" si="25"/>
        <v/>
      </c>
      <c r="Z122" t="str">
        <f t="shared" si="34"/>
        <v/>
      </c>
      <c r="AA122" t="str">
        <f t="shared" si="35"/>
        <v/>
      </c>
      <c r="AB122" t="str">
        <f t="shared" si="36"/>
        <v/>
      </c>
      <c r="AC122" t="str">
        <f t="shared" si="33"/>
        <v/>
      </c>
      <c r="AF122" t="s">
        <v>54</v>
      </c>
      <c r="AG122" t="s">
        <v>31</v>
      </c>
      <c r="AH122" t="str">
        <f>IF(Table4[[#This Row],[Nilai]]="","",VLOOKUP(Table4[[#This Row],[Helper]],$I$5:$L$380,4,FALSE))</f>
        <v/>
      </c>
      <c r="AI122" t="s">
        <v>506</v>
      </c>
      <c r="AJ122" t="str">
        <f t="shared" si="27"/>
        <v>11ANalarWk.23</v>
      </c>
      <c r="AK122" s="24" t="str">
        <f t="shared" si="28"/>
        <v/>
      </c>
    </row>
    <row r="123" spans="9:37" x14ac:dyDescent="0.2">
      <c r="I123" t="str">
        <f t="shared" si="18"/>
        <v/>
      </c>
      <c r="J123" t="str">
        <f t="shared" si="29"/>
        <v/>
      </c>
      <c r="K123" t="str">
        <f t="shared" si="30"/>
        <v/>
      </c>
      <c r="L123" t="str">
        <f t="shared" si="31"/>
        <v/>
      </c>
      <c r="M123" t="str">
        <f t="shared" si="32"/>
        <v/>
      </c>
      <c r="N123" t="str">
        <f t="shared" si="23"/>
        <v/>
      </c>
      <c r="X123" t="str">
        <f t="shared" si="24"/>
        <v/>
      </c>
      <c r="Y123" t="str">
        <f t="shared" si="25"/>
        <v/>
      </c>
      <c r="Z123" t="str">
        <f t="shared" si="34"/>
        <v/>
      </c>
      <c r="AA123" t="str">
        <f t="shared" si="35"/>
        <v/>
      </c>
      <c r="AB123" t="str">
        <f t="shared" si="36"/>
        <v/>
      </c>
      <c r="AC123" t="str">
        <f t="shared" si="33"/>
        <v/>
      </c>
      <c r="AF123" t="s">
        <v>54</v>
      </c>
      <c r="AG123" t="s">
        <v>31</v>
      </c>
      <c r="AH123" t="str">
        <f>IF(Table4[[#This Row],[Nilai]]="","",VLOOKUP(Table4[[#This Row],[Helper]],$I$5:$L$380,4,FALSE))</f>
        <v/>
      </c>
      <c r="AI123" t="s">
        <v>507</v>
      </c>
      <c r="AJ123" t="str">
        <f t="shared" si="27"/>
        <v>11ANalarWk.24</v>
      </c>
      <c r="AK123" s="24" t="str">
        <f t="shared" si="28"/>
        <v/>
      </c>
    </row>
    <row r="124" spans="9:37" x14ac:dyDescent="0.2">
      <c r="I124" t="str">
        <f t="shared" si="18"/>
        <v/>
      </c>
      <c r="J124" t="str">
        <f t="shared" si="29"/>
        <v/>
      </c>
      <c r="K124" t="str">
        <f t="shared" si="30"/>
        <v/>
      </c>
      <c r="L124" t="str">
        <f t="shared" si="31"/>
        <v/>
      </c>
      <c r="M124" t="str">
        <f t="shared" si="32"/>
        <v/>
      </c>
      <c r="N124" t="str">
        <f t="shared" si="23"/>
        <v/>
      </c>
      <c r="X124" t="str">
        <f t="shared" si="24"/>
        <v/>
      </c>
      <c r="Y124" t="str">
        <f t="shared" si="25"/>
        <v/>
      </c>
      <c r="Z124" t="str">
        <f t="shared" si="34"/>
        <v/>
      </c>
      <c r="AA124" t="str">
        <f t="shared" si="35"/>
        <v/>
      </c>
      <c r="AB124" t="str">
        <f t="shared" si="36"/>
        <v/>
      </c>
      <c r="AC124" t="str">
        <f t="shared" si="33"/>
        <v/>
      </c>
      <c r="AF124" t="s">
        <v>54</v>
      </c>
      <c r="AG124" t="s">
        <v>31</v>
      </c>
      <c r="AH124" t="str">
        <f>IF(Table4[[#This Row],[Nilai]]="","",VLOOKUP(Table4[[#This Row],[Helper]],$I$5:$L$380,4,FALSE))</f>
        <v/>
      </c>
      <c r="AI124" t="s">
        <v>508</v>
      </c>
      <c r="AJ124" t="str">
        <f t="shared" si="27"/>
        <v>11ANalarWk.25</v>
      </c>
      <c r="AK124" s="24" t="str">
        <f t="shared" si="28"/>
        <v/>
      </c>
    </row>
    <row r="125" spans="9:37" x14ac:dyDescent="0.2">
      <c r="I125" t="str">
        <f t="shared" si="18"/>
        <v/>
      </c>
      <c r="J125" t="str">
        <f t="shared" si="29"/>
        <v/>
      </c>
      <c r="K125" t="str">
        <f t="shared" si="30"/>
        <v/>
      </c>
      <c r="L125" t="str">
        <f t="shared" si="31"/>
        <v/>
      </c>
      <c r="M125" t="str">
        <f t="shared" si="32"/>
        <v/>
      </c>
      <c r="N125" t="str">
        <f t="shared" si="23"/>
        <v/>
      </c>
      <c r="X125" t="str">
        <f t="shared" si="24"/>
        <v/>
      </c>
      <c r="Y125" t="str">
        <f t="shared" si="25"/>
        <v/>
      </c>
      <c r="Z125" t="str">
        <f t="shared" si="34"/>
        <v/>
      </c>
      <c r="AA125" t="str">
        <f t="shared" si="35"/>
        <v/>
      </c>
      <c r="AB125" t="str">
        <f t="shared" si="36"/>
        <v/>
      </c>
      <c r="AC125" t="str">
        <f t="shared" si="33"/>
        <v/>
      </c>
      <c r="AF125" t="s">
        <v>65</v>
      </c>
      <c r="AG125" t="s">
        <v>31</v>
      </c>
      <c r="AH125" t="str">
        <f>IF(Table4[[#This Row],[Nilai]]="","",VLOOKUP(Table4[[#This Row],[Helper]],$I$5:$L$380,4,FALSE))</f>
        <v>Jan</v>
      </c>
      <c r="AI125" t="s">
        <v>466</v>
      </c>
      <c r="AJ125" t="str">
        <f t="shared" si="27"/>
        <v>12ANalarWk.2</v>
      </c>
      <c r="AK125" s="24">
        <f t="shared" si="28"/>
        <v>71.111111111111114</v>
      </c>
    </row>
    <row r="126" spans="9:37" x14ac:dyDescent="0.2">
      <c r="I126" t="str">
        <f t="shared" si="18"/>
        <v/>
      </c>
      <c r="J126" t="str">
        <f t="shared" si="29"/>
        <v/>
      </c>
      <c r="K126" t="str">
        <f t="shared" si="30"/>
        <v/>
      </c>
      <c r="L126" t="str">
        <f t="shared" si="31"/>
        <v/>
      </c>
      <c r="M126" t="str">
        <f t="shared" si="32"/>
        <v/>
      </c>
      <c r="N126" t="str">
        <f t="shared" si="23"/>
        <v/>
      </c>
      <c r="X126" t="str">
        <f t="shared" si="24"/>
        <v/>
      </c>
      <c r="Y126" t="str">
        <f t="shared" si="25"/>
        <v/>
      </c>
      <c r="Z126" t="str">
        <f t="shared" si="34"/>
        <v/>
      </c>
      <c r="AA126" t="str">
        <f t="shared" si="35"/>
        <v/>
      </c>
      <c r="AB126" t="str">
        <f t="shared" si="36"/>
        <v/>
      </c>
      <c r="AC126" t="str">
        <f t="shared" si="33"/>
        <v/>
      </c>
      <c r="AF126" t="s">
        <v>65</v>
      </c>
      <c r="AG126" t="s">
        <v>31</v>
      </c>
      <c r="AH126" t="str">
        <f>IF(Table4[[#This Row],[Nilai]]="","",VLOOKUP(Table4[[#This Row],[Helper]],$I$5:$L$380,4,FALSE))</f>
        <v>Jan</v>
      </c>
      <c r="AI126" t="s">
        <v>461</v>
      </c>
      <c r="AJ126" t="str">
        <f t="shared" si="27"/>
        <v>12ANalarWk.3</v>
      </c>
      <c r="AK126" s="24">
        <f t="shared" si="28"/>
        <v>67.333333333333329</v>
      </c>
    </row>
    <row r="127" spans="9:37" x14ac:dyDescent="0.2">
      <c r="I127" t="str">
        <f t="shared" si="18"/>
        <v/>
      </c>
      <c r="J127" t="str">
        <f t="shared" si="29"/>
        <v/>
      </c>
      <c r="K127" t="str">
        <f t="shared" si="30"/>
        <v/>
      </c>
      <c r="L127" t="str">
        <f t="shared" si="31"/>
        <v/>
      </c>
      <c r="M127" t="str">
        <f t="shared" si="32"/>
        <v/>
      </c>
      <c r="N127" t="str">
        <f t="shared" si="23"/>
        <v/>
      </c>
      <c r="X127" t="str">
        <f t="shared" si="24"/>
        <v/>
      </c>
      <c r="Y127" t="str">
        <f t="shared" si="25"/>
        <v/>
      </c>
      <c r="Z127" t="str">
        <f t="shared" si="34"/>
        <v/>
      </c>
      <c r="AA127" t="str">
        <f t="shared" si="35"/>
        <v/>
      </c>
      <c r="AB127" t="str">
        <f t="shared" si="36"/>
        <v/>
      </c>
      <c r="AC127" t="str">
        <f t="shared" si="33"/>
        <v/>
      </c>
      <c r="AF127" t="s">
        <v>65</v>
      </c>
      <c r="AG127" t="s">
        <v>31</v>
      </c>
      <c r="AH127" t="str">
        <f>IF(Table4[[#This Row],[Nilai]]="","",VLOOKUP(Table4[[#This Row],[Helper]],$I$5:$L$380,4,FALSE))</f>
        <v>Jan</v>
      </c>
      <c r="AI127" t="s">
        <v>462</v>
      </c>
      <c r="AJ127" t="str">
        <f t="shared" si="27"/>
        <v>12ANalarWk.4</v>
      </c>
      <c r="AK127" s="24">
        <f t="shared" si="28"/>
        <v>67.407407407407405</v>
      </c>
    </row>
    <row r="128" spans="9:37" x14ac:dyDescent="0.2">
      <c r="I128" t="str">
        <f t="shared" si="18"/>
        <v/>
      </c>
      <c r="J128" t="str">
        <f t="shared" si="29"/>
        <v/>
      </c>
      <c r="K128" t="str">
        <f t="shared" si="30"/>
        <v/>
      </c>
      <c r="L128" t="str">
        <f t="shared" si="31"/>
        <v/>
      </c>
      <c r="M128" t="str">
        <f t="shared" si="32"/>
        <v/>
      </c>
      <c r="N128" t="str">
        <f t="shared" si="23"/>
        <v/>
      </c>
      <c r="X128" t="str">
        <f t="shared" si="24"/>
        <v/>
      </c>
      <c r="Y128" t="str">
        <f t="shared" si="25"/>
        <v/>
      </c>
      <c r="Z128" t="str">
        <f t="shared" si="34"/>
        <v/>
      </c>
      <c r="AA128" t="str">
        <f t="shared" si="35"/>
        <v/>
      </c>
      <c r="AB128" t="str">
        <f t="shared" si="36"/>
        <v/>
      </c>
      <c r="AC128" t="str">
        <f t="shared" si="33"/>
        <v/>
      </c>
      <c r="AF128" t="s">
        <v>65</v>
      </c>
      <c r="AG128" t="s">
        <v>31</v>
      </c>
      <c r="AH128" t="str">
        <f>IF(Table4[[#This Row],[Nilai]]="","",VLOOKUP(Table4[[#This Row],[Helper]],$I$5:$L$380,4,FALSE))</f>
        <v>Jan</v>
      </c>
      <c r="AI128" t="s">
        <v>463</v>
      </c>
      <c r="AJ128" t="str">
        <f t="shared" si="27"/>
        <v>12ANalarWk.5</v>
      </c>
      <c r="AK128" s="24">
        <f t="shared" si="28"/>
        <v>76.081081081081081</v>
      </c>
    </row>
    <row r="129" spans="9:37" x14ac:dyDescent="0.2">
      <c r="I129" t="str">
        <f t="shared" si="18"/>
        <v/>
      </c>
      <c r="J129" t="str">
        <f t="shared" si="29"/>
        <v/>
      </c>
      <c r="K129" t="str">
        <f t="shared" si="30"/>
        <v/>
      </c>
      <c r="L129" t="str">
        <f t="shared" si="31"/>
        <v/>
      </c>
      <c r="M129" t="str">
        <f t="shared" si="32"/>
        <v/>
      </c>
      <c r="N129" t="str">
        <f t="shared" si="23"/>
        <v/>
      </c>
      <c r="X129" t="str">
        <f t="shared" si="24"/>
        <v/>
      </c>
      <c r="Y129" t="str">
        <f t="shared" si="25"/>
        <v/>
      </c>
      <c r="Z129" t="str">
        <f t="shared" si="34"/>
        <v/>
      </c>
      <c r="AA129" t="str">
        <f t="shared" si="35"/>
        <v/>
      </c>
      <c r="AB129" t="str">
        <f t="shared" si="36"/>
        <v/>
      </c>
      <c r="AC129" t="str">
        <f t="shared" si="33"/>
        <v/>
      </c>
      <c r="AF129" t="s">
        <v>65</v>
      </c>
      <c r="AG129" t="s">
        <v>31</v>
      </c>
      <c r="AH129" t="str">
        <f>IF(Table4[[#This Row],[Nilai]]="","",VLOOKUP(Table4[[#This Row],[Helper]],$I$5:$L$380,4,FALSE))</f>
        <v>Feb</v>
      </c>
      <c r="AI129" t="s">
        <v>464</v>
      </c>
      <c r="AJ129" t="str">
        <f t="shared" si="27"/>
        <v>12ANalarWk.6</v>
      </c>
      <c r="AK129" s="24">
        <f t="shared" si="28"/>
        <v>72.5</v>
      </c>
    </row>
    <row r="130" spans="9:37" x14ac:dyDescent="0.2">
      <c r="I130" t="str">
        <f t="shared" si="18"/>
        <v/>
      </c>
      <c r="J130" t="str">
        <f t="shared" si="29"/>
        <v/>
      </c>
      <c r="K130" t="str">
        <f t="shared" si="30"/>
        <v/>
      </c>
      <c r="L130" t="str">
        <f t="shared" si="31"/>
        <v/>
      </c>
      <c r="M130" t="str">
        <f t="shared" si="32"/>
        <v/>
      </c>
      <c r="N130" t="str">
        <f t="shared" si="23"/>
        <v/>
      </c>
      <c r="X130" t="str">
        <f t="shared" si="24"/>
        <v/>
      </c>
      <c r="Y130" t="str">
        <f t="shared" si="25"/>
        <v/>
      </c>
      <c r="Z130" t="str">
        <f t="shared" si="34"/>
        <v/>
      </c>
      <c r="AA130" t="str">
        <f t="shared" si="35"/>
        <v/>
      </c>
      <c r="AB130" t="str">
        <f t="shared" si="36"/>
        <v/>
      </c>
      <c r="AC130" t="str">
        <f t="shared" si="33"/>
        <v/>
      </c>
      <c r="AF130" t="s">
        <v>65</v>
      </c>
      <c r="AG130" t="s">
        <v>31</v>
      </c>
      <c r="AH130" t="str">
        <f>IF(Table4[[#This Row],[Nilai]]="","",VLOOKUP(Table4[[#This Row],[Helper]],$I$5:$L$380,4,FALSE))</f>
        <v>Feb</v>
      </c>
      <c r="AI130" t="s">
        <v>465</v>
      </c>
      <c r="AJ130" t="str">
        <f t="shared" si="27"/>
        <v>12ANalarWk.7</v>
      </c>
      <c r="AK130" s="24">
        <f t="shared" si="28"/>
        <v>70.444444444444443</v>
      </c>
    </row>
    <row r="131" spans="9:37" x14ac:dyDescent="0.2">
      <c r="I131" t="str">
        <f t="shared" si="18"/>
        <v/>
      </c>
      <c r="J131" t="str">
        <f t="shared" si="29"/>
        <v/>
      </c>
      <c r="K131" t="str">
        <f t="shared" si="30"/>
        <v/>
      </c>
      <c r="L131" t="str">
        <f t="shared" si="31"/>
        <v/>
      </c>
      <c r="M131" t="str">
        <f t="shared" si="32"/>
        <v/>
      </c>
      <c r="N131" t="str">
        <f t="shared" si="23"/>
        <v/>
      </c>
      <c r="X131" t="str">
        <f t="shared" si="24"/>
        <v/>
      </c>
      <c r="Y131" t="str">
        <f t="shared" si="25"/>
        <v/>
      </c>
      <c r="Z131" t="str">
        <f t="shared" si="34"/>
        <v/>
      </c>
      <c r="AA131" t="str">
        <f t="shared" si="35"/>
        <v/>
      </c>
      <c r="AB131" t="str">
        <f t="shared" si="36"/>
        <v/>
      </c>
      <c r="AC131" t="str">
        <f t="shared" si="33"/>
        <v/>
      </c>
      <c r="AF131" t="s">
        <v>65</v>
      </c>
      <c r="AG131" t="s">
        <v>31</v>
      </c>
      <c r="AH131" t="str">
        <f>IF(Table4[[#This Row],[Nilai]]="","",VLOOKUP(Table4[[#This Row],[Helper]],$I$5:$L$380,4,FALSE))</f>
        <v>Feb</v>
      </c>
      <c r="AI131" t="s">
        <v>467</v>
      </c>
      <c r="AJ131" t="str">
        <f t="shared" si="27"/>
        <v>12ANalarWk.8</v>
      </c>
      <c r="AK131" s="24">
        <f t="shared" si="28"/>
        <v>71.111111111111114</v>
      </c>
    </row>
    <row r="132" spans="9:37" x14ac:dyDescent="0.2">
      <c r="I132" t="str">
        <f t="shared" si="18"/>
        <v/>
      </c>
      <c r="J132" t="str">
        <f t="shared" si="29"/>
        <v/>
      </c>
      <c r="K132" t="str">
        <f t="shared" si="30"/>
        <v/>
      </c>
      <c r="L132" t="str">
        <f t="shared" si="31"/>
        <v/>
      </c>
      <c r="M132" t="str">
        <f t="shared" si="32"/>
        <v/>
      </c>
      <c r="N132" t="str">
        <f t="shared" si="23"/>
        <v/>
      </c>
      <c r="X132" t="str">
        <f t="shared" si="24"/>
        <v/>
      </c>
      <c r="Y132" t="str">
        <f t="shared" si="25"/>
        <v/>
      </c>
      <c r="Z132" t="str">
        <f t="shared" si="34"/>
        <v/>
      </c>
      <c r="AA132" t="str">
        <f t="shared" si="35"/>
        <v/>
      </c>
      <c r="AB132" t="str">
        <f t="shared" si="36"/>
        <v/>
      </c>
      <c r="AC132" t="str">
        <f t="shared" si="33"/>
        <v/>
      </c>
      <c r="AF132" t="s">
        <v>65</v>
      </c>
      <c r="AG132" t="s">
        <v>31</v>
      </c>
      <c r="AH132" t="str">
        <f>IF(Table4[[#This Row],[Nilai]]="","",VLOOKUP(Table4[[#This Row],[Helper]],$I$5:$L$380,4,FALSE))</f>
        <v>Feb</v>
      </c>
      <c r="AI132" t="s">
        <v>486</v>
      </c>
      <c r="AJ132" t="str">
        <f t="shared" si="27"/>
        <v>12ANalarWk.9</v>
      </c>
      <c r="AK132" s="24">
        <f t="shared" si="28"/>
        <v>82.222222222222229</v>
      </c>
    </row>
    <row r="133" spans="9:37" x14ac:dyDescent="0.2">
      <c r="I133" t="str">
        <f t="shared" si="18"/>
        <v/>
      </c>
      <c r="J133" t="str">
        <f t="shared" si="29"/>
        <v/>
      </c>
      <c r="K133" t="str">
        <f t="shared" si="30"/>
        <v/>
      </c>
      <c r="L133" t="str">
        <f t="shared" si="31"/>
        <v/>
      </c>
      <c r="M133" t="str">
        <f t="shared" si="32"/>
        <v/>
      </c>
      <c r="N133" t="str">
        <f t="shared" si="23"/>
        <v/>
      </c>
      <c r="X133" t="str">
        <f t="shared" si="24"/>
        <v/>
      </c>
      <c r="Y133" t="str">
        <f t="shared" si="25"/>
        <v/>
      </c>
      <c r="Z133" t="str">
        <f t="shared" si="34"/>
        <v/>
      </c>
      <c r="AA133" t="str">
        <f t="shared" si="35"/>
        <v/>
      </c>
      <c r="AB133" t="str">
        <f t="shared" si="36"/>
        <v/>
      </c>
      <c r="AC133" t="str">
        <f t="shared" si="33"/>
        <v/>
      </c>
      <c r="AF133" t="s">
        <v>65</v>
      </c>
      <c r="AG133" t="s">
        <v>31</v>
      </c>
      <c r="AH133" t="str">
        <f>IF(Table4[[#This Row],[Nilai]]="","",VLOOKUP(Table4[[#This Row],[Helper]],$I$5:$L$380,4,FALSE))</f>
        <v/>
      </c>
      <c r="AI133" t="s">
        <v>493</v>
      </c>
      <c r="AJ133" t="str">
        <f t="shared" si="27"/>
        <v>12ANalarWk.10</v>
      </c>
      <c r="AK133" s="24" t="str">
        <f t="shared" si="28"/>
        <v/>
      </c>
    </row>
    <row r="134" spans="9:37" x14ac:dyDescent="0.2">
      <c r="I134" t="str">
        <f t="shared" ref="I134:I197" si="37">J134&amp;K134&amp;M134</f>
        <v/>
      </c>
      <c r="J134" t="str">
        <f t="shared" si="29"/>
        <v/>
      </c>
      <c r="K134" t="str">
        <f t="shared" si="30"/>
        <v/>
      </c>
      <c r="L134" t="str">
        <f t="shared" si="31"/>
        <v/>
      </c>
      <c r="M134" t="str">
        <f t="shared" si="32"/>
        <v/>
      </c>
      <c r="N134" t="str">
        <f t="shared" ref="N134:N197" si="38">IF(E134="","",E134)</f>
        <v/>
      </c>
      <c r="X134" t="str">
        <f t="shared" ref="X134:X197" si="39">Y134&amp;Z134&amp;AB134</f>
        <v/>
      </c>
      <c r="Y134" t="str">
        <f t="shared" ref="Y134:Y197" si="40">IF(Q134="","",Q134)</f>
        <v/>
      </c>
      <c r="Z134" t="str">
        <f t="shared" si="34"/>
        <v/>
      </c>
      <c r="AA134" t="str">
        <f t="shared" si="35"/>
        <v/>
      </c>
      <c r="AB134" t="str">
        <f t="shared" si="36"/>
        <v/>
      </c>
      <c r="AC134" t="str">
        <f t="shared" ref="AC134:AC165" si="41">IF(U134="","",U134)</f>
        <v/>
      </c>
      <c r="AF134" t="s">
        <v>65</v>
      </c>
      <c r="AG134" t="s">
        <v>31</v>
      </c>
      <c r="AH134" t="str">
        <f>IF(Table4[[#This Row],[Nilai]]="","",VLOOKUP(Table4[[#This Row],[Helper]],$I$5:$L$380,4,FALSE))</f>
        <v/>
      </c>
      <c r="AI134" t="s">
        <v>494</v>
      </c>
      <c r="AJ134" t="str">
        <f t="shared" ref="AJ134:AJ197" si="42">AF134&amp;AG134&amp;AI134</f>
        <v>12ANalarWk.11</v>
      </c>
      <c r="AK134" s="24" t="str">
        <f t="shared" ref="AK134:AK197" si="43">IFERROR(VLOOKUP(AJ134,$I$5:$N$380,6,),"")</f>
        <v/>
      </c>
    </row>
    <row r="135" spans="9:37" x14ac:dyDescent="0.2">
      <c r="I135" t="str">
        <f t="shared" si="37"/>
        <v/>
      </c>
      <c r="J135" t="str">
        <f t="shared" si="29"/>
        <v/>
      </c>
      <c r="K135" t="str">
        <f t="shared" si="30"/>
        <v/>
      </c>
      <c r="L135" t="str">
        <f t="shared" si="31"/>
        <v/>
      </c>
      <c r="M135" t="str">
        <f t="shared" si="32"/>
        <v/>
      </c>
      <c r="N135" t="str">
        <f t="shared" si="38"/>
        <v/>
      </c>
      <c r="X135" t="str">
        <f t="shared" si="39"/>
        <v/>
      </c>
      <c r="Y135" t="str">
        <f t="shared" si="40"/>
        <v/>
      </c>
      <c r="Z135" t="str">
        <f t="shared" si="34"/>
        <v/>
      </c>
      <c r="AA135" t="str">
        <f t="shared" si="35"/>
        <v/>
      </c>
      <c r="AB135" t="str">
        <f t="shared" si="36"/>
        <v/>
      </c>
      <c r="AC135" t="str">
        <f t="shared" si="41"/>
        <v/>
      </c>
      <c r="AF135" t="s">
        <v>65</v>
      </c>
      <c r="AG135" t="s">
        <v>31</v>
      </c>
      <c r="AH135" t="str">
        <f>IF(Table4[[#This Row],[Nilai]]="","",VLOOKUP(Table4[[#This Row],[Helper]],$I$5:$L$380,4,FALSE))</f>
        <v/>
      </c>
      <c r="AI135" t="s">
        <v>495</v>
      </c>
      <c r="AJ135" t="str">
        <f t="shared" si="42"/>
        <v>12ANalarWk.12</v>
      </c>
      <c r="AK135" s="24" t="str">
        <f t="shared" si="43"/>
        <v/>
      </c>
    </row>
    <row r="136" spans="9:37" x14ac:dyDescent="0.2">
      <c r="I136" t="str">
        <f t="shared" si="37"/>
        <v/>
      </c>
      <c r="J136" t="str">
        <f t="shared" si="29"/>
        <v/>
      </c>
      <c r="K136" t="str">
        <f t="shared" si="30"/>
        <v/>
      </c>
      <c r="L136" t="str">
        <f t="shared" si="31"/>
        <v/>
      </c>
      <c r="M136" t="str">
        <f t="shared" si="32"/>
        <v/>
      </c>
      <c r="N136" t="str">
        <f t="shared" si="38"/>
        <v/>
      </c>
      <c r="X136" t="str">
        <f t="shared" si="39"/>
        <v/>
      </c>
      <c r="Y136" t="str">
        <f t="shared" si="40"/>
        <v/>
      </c>
      <c r="Z136" t="str">
        <f t="shared" si="34"/>
        <v/>
      </c>
      <c r="AA136" t="str">
        <f t="shared" si="35"/>
        <v/>
      </c>
      <c r="AB136" t="str">
        <f t="shared" si="36"/>
        <v/>
      </c>
      <c r="AC136" t="str">
        <f t="shared" si="41"/>
        <v/>
      </c>
      <c r="AF136" t="s">
        <v>65</v>
      </c>
      <c r="AG136" t="s">
        <v>31</v>
      </c>
      <c r="AH136" t="str">
        <f>IF(Table4[[#This Row],[Nilai]]="","",VLOOKUP(Table4[[#This Row],[Helper]],$I$5:$L$380,4,FALSE))</f>
        <v/>
      </c>
      <c r="AI136" t="s">
        <v>496</v>
      </c>
      <c r="AJ136" t="str">
        <f t="shared" si="42"/>
        <v>12ANalarWk.13</v>
      </c>
      <c r="AK136" s="24" t="str">
        <f t="shared" si="43"/>
        <v/>
      </c>
    </row>
    <row r="137" spans="9:37" x14ac:dyDescent="0.2">
      <c r="I137" t="str">
        <f t="shared" si="37"/>
        <v/>
      </c>
      <c r="J137" t="str">
        <f t="shared" si="29"/>
        <v/>
      </c>
      <c r="K137" t="str">
        <f t="shared" si="30"/>
        <v/>
      </c>
      <c r="L137" t="str">
        <f t="shared" si="31"/>
        <v/>
      </c>
      <c r="M137" t="str">
        <f t="shared" si="32"/>
        <v/>
      </c>
      <c r="N137" t="str">
        <f t="shared" si="38"/>
        <v/>
      </c>
      <c r="X137" t="str">
        <f t="shared" si="39"/>
        <v/>
      </c>
      <c r="Y137" t="str">
        <f t="shared" si="40"/>
        <v/>
      </c>
      <c r="Z137" t="str">
        <f t="shared" si="34"/>
        <v/>
      </c>
      <c r="AA137" t="str">
        <f t="shared" si="35"/>
        <v/>
      </c>
      <c r="AB137" t="str">
        <f t="shared" si="36"/>
        <v/>
      </c>
      <c r="AC137" t="str">
        <f t="shared" si="41"/>
        <v/>
      </c>
      <c r="AF137" t="s">
        <v>65</v>
      </c>
      <c r="AG137" t="s">
        <v>31</v>
      </c>
      <c r="AH137" t="str">
        <f>IF(Table4[[#This Row],[Nilai]]="","",VLOOKUP(Table4[[#This Row],[Helper]],$I$5:$L$380,4,FALSE))</f>
        <v/>
      </c>
      <c r="AI137" t="s">
        <v>497</v>
      </c>
      <c r="AJ137" t="str">
        <f t="shared" si="42"/>
        <v>12ANalarWk.14</v>
      </c>
      <c r="AK137" s="24" t="str">
        <f t="shared" si="43"/>
        <v/>
      </c>
    </row>
    <row r="138" spans="9:37" x14ac:dyDescent="0.2">
      <c r="I138" t="str">
        <f t="shared" si="37"/>
        <v/>
      </c>
      <c r="J138" t="str">
        <f t="shared" si="29"/>
        <v/>
      </c>
      <c r="K138" t="str">
        <f t="shared" si="30"/>
        <v/>
      </c>
      <c r="L138" t="str">
        <f t="shared" si="31"/>
        <v/>
      </c>
      <c r="M138" t="str">
        <f t="shared" si="32"/>
        <v/>
      </c>
      <c r="N138" t="str">
        <f t="shared" si="38"/>
        <v/>
      </c>
      <c r="X138" t="str">
        <f t="shared" si="39"/>
        <v/>
      </c>
      <c r="Y138" t="str">
        <f t="shared" si="40"/>
        <v/>
      </c>
      <c r="Z138" t="str">
        <f t="shared" si="34"/>
        <v/>
      </c>
      <c r="AA138" t="str">
        <f t="shared" si="35"/>
        <v/>
      </c>
      <c r="AB138" t="str">
        <f t="shared" si="36"/>
        <v/>
      </c>
      <c r="AC138" t="str">
        <f t="shared" si="41"/>
        <v/>
      </c>
      <c r="AF138" t="s">
        <v>65</v>
      </c>
      <c r="AG138" t="s">
        <v>31</v>
      </c>
      <c r="AH138" t="str">
        <f>IF(Table4[[#This Row],[Nilai]]="","",VLOOKUP(Table4[[#This Row],[Helper]],$I$5:$L$380,4,FALSE))</f>
        <v/>
      </c>
      <c r="AI138" t="s">
        <v>498</v>
      </c>
      <c r="AJ138" t="str">
        <f t="shared" si="42"/>
        <v>12ANalarWk.15</v>
      </c>
      <c r="AK138" s="24" t="str">
        <f t="shared" si="43"/>
        <v/>
      </c>
    </row>
    <row r="139" spans="9:37" x14ac:dyDescent="0.2">
      <c r="I139" t="str">
        <f t="shared" si="37"/>
        <v/>
      </c>
      <c r="J139" t="str">
        <f t="shared" si="29"/>
        <v/>
      </c>
      <c r="K139" t="str">
        <f t="shared" si="30"/>
        <v/>
      </c>
      <c r="L139" t="str">
        <f t="shared" si="31"/>
        <v/>
      </c>
      <c r="M139" t="str">
        <f t="shared" si="32"/>
        <v/>
      </c>
      <c r="N139" t="str">
        <f t="shared" si="38"/>
        <v/>
      </c>
      <c r="X139" t="str">
        <f t="shared" si="39"/>
        <v/>
      </c>
      <c r="Y139" t="str">
        <f t="shared" si="40"/>
        <v/>
      </c>
      <c r="Z139" t="str">
        <f t="shared" si="34"/>
        <v/>
      </c>
      <c r="AA139" t="str">
        <f t="shared" si="35"/>
        <v/>
      </c>
      <c r="AB139" t="str">
        <f t="shared" si="36"/>
        <v/>
      </c>
      <c r="AC139" t="str">
        <f t="shared" si="41"/>
        <v/>
      </c>
      <c r="AF139" t="s">
        <v>65</v>
      </c>
      <c r="AG139" t="s">
        <v>31</v>
      </c>
      <c r="AH139" t="str">
        <f>IF(Table4[[#This Row],[Nilai]]="","",VLOOKUP(Table4[[#This Row],[Helper]],$I$5:$L$380,4,FALSE))</f>
        <v/>
      </c>
      <c r="AI139" t="s">
        <v>499</v>
      </c>
      <c r="AJ139" t="str">
        <f t="shared" si="42"/>
        <v>12ANalarWk.16</v>
      </c>
      <c r="AK139" s="24" t="str">
        <f t="shared" si="43"/>
        <v/>
      </c>
    </row>
    <row r="140" spans="9:37" x14ac:dyDescent="0.2">
      <c r="I140" t="str">
        <f t="shared" si="37"/>
        <v/>
      </c>
      <c r="J140" t="str">
        <f t="shared" si="29"/>
        <v/>
      </c>
      <c r="K140" t="str">
        <f t="shared" si="30"/>
        <v/>
      </c>
      <c r="L140" t="str">
        <f t="shared" si="31"/>
        <v/>
      </c>
      <c r="M140" t="str">
        <f t="shared" si="32"/>
        <v/>
      </c>
      <c r="N140" t="str">
        <f t="shared" si="38"/>
        <v/>
      </c>
      <c r="X140" t="str">
        <f t="shared" si="39"/>
        <v/>
      </c>
      <c r="Y140" t="str">
        <f t="shared" si="40"/>
        <v/>
      </c>
      <c r="Z140" t="str">
        <f t="shared" si="34"/>
        <v/>
      </c>
      <c r="AA140" t="str">
        <f t="shared" si="35"/>
        <v/>
      </c>
      <c r="AB140" t="str">
        <f t="shared" si="36"/>
        <v/>
      </c>
      <c r="AC140" t="str">
        <f t="shared" si="41"/>
        <v/>
      </c>
      <c r="AF140" t="s">
        <v>65</v>
      </c>
      <c r="AG140" t="s">
        <v>31</v>
      </c>
      <c r="AH140" t="str">
        <f>IF(Table4[[#This Row],[Nilai]]="","",VLOOKUP(Table4[[#This Row],[Helper]],$I$5:$L$380,4,FALSE))</f>
        <v/>
      </c>
      <c r="AI140" t="s">
        <v>500</v>
      </c>
      <c r="AJ140" t="str">
        <f t="shared" si="42"/>
        <v>12ANalarWk.17</v>
      </c>
      <c r="AK140" s="24" t="str">
        <f t="shared" si="43"/>
        <v/>
      </c>
    </row>
    <row r="141" spans="9:37" x14ac:dyDescent="0.2">
      <c r="I141" t="str">
        <f t="shared" si="37"/>
        <v/>
      </c>
      <c r="J141" t="str">
        <f t="shared" si="29"/>
        <v/>
      </c>
      <c r="K141" t="str">
        <f t="shared" si="30"/>
        <v/>
      </c>
      <c r="L141" t="str">
        <f t="shared" si="31"/>
        <v/>
      </c>
      <c r="M141" t="str">
        <f t="shared" si="32"/>
        <v/>
      </c>
      <c r="N141" t="str">
        <f t="shared" si="38"/>
        <v/>
      </c>
      <c r="X141" t="str">
        <f t="shared" si="39"/>
        <v/>
      </c>
      <c r="Y141" t="str">
        <f t="shared" si="40"/>
        <v/>
      </c>
      <c r="Z141" t="str">
        <f t="shared" si="34"/>
        <v/>
      </c>
      <c r="AA141" t="str">
        <f t="shared" si="35"/>
        <v/>
      </c>
      <c r="AB141" t="str">
        <f t="shared" si="36"/>
        <v/>
      </c>
      <c r="AC141" t="str">
        <f t="shared" si="41"/>
        <v/>
      </c>
      <c r="AF141" t="s">
        <v>65</v>
      </c>
      <c r="AG141" t="s">
        <v>31</v>
      </c>
      <c r="AH141" t="str">
        <f>IF(Table4[[#This Row],[Nilai]]="","",VLOOKUP(Table4[[#This Row],[Helper]],$I$5:$L$380,4,FALSE))</f>
        <v/>
      </c>
      <c r="AI141" t="s">
        <v>501</v>
      </c>
      <c r="AJ141" t="str">
        <f t="shared" si="42"/>
        <v>12ANalarWk.18</v>
      </c>
      <c r="AK141" s="24" t="str">
        <f t="shared" si="43"/>
        <v/>
      </c>
    </row>
    <row r="142" spans="9:37" x14ac:dyDescent="0.2">
      <c r="I142" t="str">
        <f t="shared" si="37"/>
        <v/>
      </c>
      <c r="J142" t="str">
        <f t="shared" si="29"/>
        <v/>
      </c>
      <c r="K142" t="str">
        <f t="shared" si="30"/>
        <v/>
      </c>
      <c r="L142" t="str">
        <f t="shared" si="31"/>
        <v/>
      </c>
      <c r="M142" t="str">
        <f t="shared" si="32"/>
        <v/>
      </c>
      <c r="N142" t="str">
        <f t="shared" si="38"/>
        <v/>
      </c>
      <c r="X142" t="str">
        <f t="shared" si="39"/>
        <v/>
      </c>
      <c r="Y142" t="str">
        <f t="shared" si="40"/>
        <v/>
      </c>
      <c r="Z142" t="str">
        <f t="shared" si="34"/>
        <v/>
      </c>
      <c r="AA142" t="str">
        <f t="shared" si="35"/>
        <v/>
      </c>
      <c r="AB142" t="str">
        <f t="shared" si="36"/>
        <v/>
      </c>
      <c r="AC142" t="str">
        <f t="shared" si="41"/>
        <v/>
      </c>
      <c r="AF142" t="s">
        <v>65</v>
      </c>
      <c r="AG142" t="s">
        <v>31</v>
      </c>
      <c r="AH142" t="str">
        <f>IF(Table4[[#This Row],[Nilai]]="","",VLOOKUP(Table4[[#This Row],[Helper]],$I$5:$L$380,4,FALSE))</f>
        <v/>
      </c>
      <c r="AI142" t="s">
        <v>502</v>
      </c>
      <c r="AJ142" t="str">
        <f t="shared" si="42"/>
        <v>12ANalarWk.19</v>
      </c>
      <c r="AK142" s="24" t="str">
        <f t="shared" si="43"/>
        <v/>
      </c>
    </row>
    <row r="143" spans="9:37" x14ac:dyDescent="0.2">
      <c r="I143" t="str">
        <f t="shared" si="37"/>
        <v/>
      </c>
      <c r="J143" t="str">
        <f t="shared" si="29"/>
        <v/>
      </c>
      <c r="K143" t="str">
        <f t="shared" si="30"/>
        <v/>
      </c>
      <c r="L143" t="str">
        <f t="shared" si="31"/>
        <v/>
      </c>
      <c r="M143" t="str">
        <f t="shared" si="32"/>
        <v/>
      </c>
      <c r="N143" t="str">
        <f t="shared" si="38"/>
        <v/>
      </c>
      <c r="X143" t="str">
        <f t="shared" si="39"/>
        <v/>
      </c>
      <c r="Y143" t="str">
        <f t="shared" si="40"/>
        <v/>
      </c>
      <c r="Z143" t="str">
        <f t="shared" si="34"/>
        <v/>
      </c>
      <c r="AA143" t="str">
        <f t="shared" si="35"/>
        <v/>
      </c>
      <c r="AB143" t="str">
        <f t="shared" si="36"/>
        <v/>
      </c>
      <c r="AC143" t="str">
        <f t="shared" si="41"/>
        <v/>
      </c>
      <c r="AF143" t="s">
        <v>65</v>
      </c>
      <c r="AG143" t="s">
        <v>31</v>
      </c>
      <c r="AH143" t="str">
        <f>IF(Table4[[#This Row],[Nilai]]="","",VLOOKUP(Table4[[#This Row],[Helper]],$I$5:$L$380,4,FALSE))</f>
        <v/>
      </c>
      <c r="AI143" t="s">
        <v>503</v>
      </c>
      <c r="AJ143" t="str">
        <f t="shared" si="42"/>
        <v>12ANalarWk.20</v>
      </c>
      <c r="AK143" s="24" t="str">
        <f t="shared" si="43"/>
        <v/>
      </c>
    </row>
    <row r="144" spans="9:37" x14ac:dyDescent="0.2">
      <c r="I144" t="str">
        <f t="shared" si="37"/>
        <v/>
      </c>
      <c r="J144" t="str">
        <f t="shared" si="29"/>
        <v/>
      </c>
      <c r="K144" t="str">
        <f t="shared" si="30"/>
        <v/>
      </c>
      <c r="L144" t="str">
        <f t="shared" si="31"/>
        <v/>
      </c>
      <c r="M144" t="str">
        <f t="shared" si="32"/>
        <v/>
      </c>
      <c r="N144" t="str">
        <f t="shared" si="38"/>
        <v/>
      </c>
      <c r="X144" t="str">
        <f t="shared" si="39"/>
        <v/>
      </c>
      <c r="Y144" t="str">
        <f t="shared" si="40"/>
        <v/>
      </c>
      <c r="Z144" t="str">
        <f t="shared" si="34"/>
        <v/>
      </c>
      <c r="AA144" t="str">
        <f t="shared" si="35"/>
        <v/>
      </c>
      <c r="AB144" t="str">
        <f t="shared" si="36"/>
        <v/>
      </c>
      <c r="AC144" t="str">
        <f t="shared" si="41"/>
        <v/>
      </c>
      <c r="AF144" t="s">
        <v>65</v>
      </c>
      <c r="AG144" t="s">
        <v>31</v>
      </c>
      <c r="AH144" t="str">
        <f>IF(Table4[[#This Row],[Nilai]]="","",VLOOKUP(Table4[[#This Row],[Helper]],$I$5:$L$380,4,FALSE))</f>
        <v/>
      </c>
      <c r="AI144" t="s">
        <v>504</v>
      </c>
      <c r="AJ144" t="str">
        <f t="shared" si="42"/>
        <v>12ANalarWk.21</v>
      </c>
      <c r="AK144" s="24" t="str">
        <f t="shared" si="43"/>
        <v/>
      </c>
    </row>
    <row r="145" spans="9:37" x14ac:dyDescent="0.2">
      <c r="I145" t="str">
        <f t="shared" si="37"/>
        <v/>
      </c>
      <c r="J145" t="str">
        <f t="shared" si="29"/>
        <v/>
      </c>
      <c r="K145" t="str">
        <f t="shared" si="30"/>
        <v/>
      </c>
      <c r="L145" t="str">
        <f t="shared" si="31"/>
        <v/>
      </c>
      <c r="M145" t="str">
        <f t="shared" si="32"/>
        <v/>
      </c>
      <c r="N145" t="str">
        <f t="shared" si="38"/>
        <v/>
      </c>
      <c r="X145" t="str">
        <f t="shared" si="39"/>
        <v/>
      </c>
      <c r="Y145" t="str">
        <f t="shared" si="40"/>
        <v/>
      </c>
      <c r="Z145" t="str">
        <f t="shared" si="34"/>
        <v/>
      </c>
      <c r="AA145" t="str">
        <f t="shared" si="35"/>
        <v/>
      </c>
      <c r="AB145" t="str">
        <f t="shared" si="36"/>
        <v/>
      </c>
      <c r="AC145" t="str">
        <f t="shared" si="41"/>
        <v/>
      </c>
      <c r="AF145" t="s">
        <v>65</v>
      </c>
      <c r="AG145" t="s">
        <v>31</v>
      </c>
      <c r="AH145" t="str">
        <f>IF(Table4[[#This Row],[Nilai]]="","",VLOOKUP(Table4[[#This Row],[Helper]],$I$5:$L$380,4,FALSE))</f>
        <v/>
      </c>
      <c r="AI145" t="s">
        <v>505</v>
      </c>
      <c r="AJ145" t="str">
        <f t="shared" si="42"/>
        <v>12ANalarWk.22</v>
      </c>
      <c r="AK145" s="24" t="str">
        <f t="shared" si="43"/>
        <v/>
      </c>
    </row>
    <row r="146" spans="9:37" x14ac:dyDescent="0.2">
      <c r="I146" t="str">
        <f t="shared" si="37"/>
        <v/>
      </c>
      <c r="J146" t="str">
        <f t="shared" si="29"/>
        <v/>
      </c>
      <c r="K146" t="str">
        <f t="shared" si="30"/>
        <v/>
      </c>
      <c r="L146" t="str">
        <f t="shared" si="31"/>
        <v/>
      </c>
      <c r="M146" t="str">
        <f t="shared" si="32"/>
        <v/>
      </c>
      <c r="N146" t="str">
        <f t="shared" si="38"/>
        <v/>
      </c>
      <c r="X146" t="str">
        <f t="shared" si="39"/>
        <v/>
      </c>
      <c r="Y146" t="str">
        <f t="shared" si="40"/>
        <v/>
      </c>
      <c r="Z146" t="str">
        <f t="shared" si="34"/>
        <v/>
      </c>
      <c r="AA146" t="str">
        <f t="shared" si="35"/>
        <v/>
      </c>
      <c r="AB146" t="str">
        <f t="shared" si="36"/>
        <v/>
      </c>
      <c r="AC146" t="str">
        <f t="shared" si="41"/>
        <v/>
      </c>
      <c r="AF146" t="s">
        <v>65</v>
      </c>
      <c r="AG146" t="s">
        <v>31</v>
      </c>
      <c r="AH146" t="str">
        <f>IF(Table4[[#This Row],[Nilai]]="","",VLOOKUP(Table4[[#This Row],[Helper]],$I$5:$L$380,4,FALSE))</f>
        <v/>
      </c>
      <c r="AI146" t="s">
        <v>506</v>
      </c>
      <c r="AJ146" t="str">
        <f t="shared" si="42"/>
        <v>12ANalarWk.23</v>
      </c>
      <c r="AK146" s="24" t="str">
        <f t="shared" si="43"/>
        <v/>
      </c>
    </row>
    <row r="147" spans="9:37" x14ac:dyDescent="0.2">
      <c r="I147" t="str">
        <f t="shared" si="37"/>
        <v/>
      </c>
      <c r="J147" t="str">
        <f t="shared" si="29"/>
        <v/>
      </c>
      <c r="K147" t="str">
        <f t="shared" si="30"/>
        <v/>
      </c>
      <c r="L147" t="str">
        <f t="shared" si="31"/>
        <v/>
      </c>
      <c r="M147" t="str">
        <f t="shared" si="32"/>
        <v/>
      </c>
      <c r="N147" t="str">
        <f t="shared" si="38"/>
        <v/>
      </c>
      <c r="X147" t="str">
        <f t="shared" si="39"/>
        <v/>
      </c>
      <c r="Y147" t="str">
        <f t="shared" si="40"/>
        <v/>
      </c>
      <c r="Z147" t="str">
        <f t="shared" si="34"/>
        <v/>
      </c>
      <c r="AA147" t="str">
        <f t="shared" si="35"/>
        <v/>
      </c>
      <c r="AB147" t="str">
        <f t="shared" si="36"/>
        <v/>
      </c>
      <c r="AC147" t="str">
        <f t="shared" si="41"/>
        <v/>
      </c>
      <c r="AF147" t="s">
        <v>65</v>
      </c>
      <c r="AG147" t="s">
        <v>31</v>
      </c>
      <c r="AH147" t="str">
        <f>IF(Table4[[#This Row],[Nilai]]="","",VLOOKUP(Table4[[#This Row],[Helper]],$I$5:$L$380,4,FALSE))</f>
        <v/>
      </c>
      <c r="AI147" t="s">
        <v>507</v>
      </c>
      <c r="AJ147" t="str">
        <f t="shared" si="42"/>
        <v>12ANalarWk.24</v>
      </c>
      <c r="AK147" s="24" t="str">
        <f t="shared" si="43"/>
        <v/>
      </c>
    </row>
    <row r="148" spans="9:37" x14ac:dyDescent="0.2">
      <c r="I148" t="str">
        <f t="shared" si="37"/>
        <v/>
      </c>
      <c r="J148" t="str">
        <f t="shared" si="29"/>
        <v/>
      </c>
      <c r="K148" t="str">
        <f t="shared" si="30"/>
        <v/>
      </c>
      <c r="L148" t="str">
        <f t="shared" si="31"/>
        <v/>
      </c>
      <c r="M148" t="str">
        <f t="shared" si="32"/>
        <v/>
      </c>
      <c r="N148" t="str">
        <f t="shared" si="38"/>
        <v/>
      </c>
      <c r="X148" t="str">
        <f t="shared" si="39"/>
        <v/>
      </c>
      <c r="Y148" t="str">
        <f t="shared" si="40"/>
        <v/>
      </c>
      <c r="Z148" t="str">
        <f t="shared" si="34"/>
        <v/>
      </c>
      <c r="AA148" t="str">
        <f t="shared" si="35"/>
        <v/>
      </c>
      <c r="AB148" t="str">
        <f t="shared" si="36"/>
        <v/>
      </c>
      <c r="AC148" t="str">
        <f t="shared" si="41"/>
        <v/>
      </c>
      <c r="AF148" t="s">
        <v>65</v>
      </c>
      <c r="AG148" t="s">
        <v>31</v>
      </c>
      <c r="AH148" t="str">
        <f>IF(Table4[[#This Row],[Nilai]]="","",VLOOKUP(Table4[[#This Row],[Helper]],$I$5:$L$380,4,FALSE))</f>
        <v/>
      </c>
      <c r="AI148" t="s">
        <v>508</v>
      </c>
      <c r="AJ148" t="str">
        <f t="shared" si="42"/>
        <v>12ANalarWk.25</v>
      </c>
      <c r="AK148" s="24" t="str">
        <f t="shared" si="43"/>
        <v/>
      </c>
    </row>
    <row r="149" spans="9:37" x14ac:dyDescent="0.2">
      <c r="I149" t="str">
        <f t="shared" si="37"/>
        <v/>
      </c>
      <c r="J149" t="str">
        <f t="shared" si="29"/>
        <v/>
      </c>
      <c r="K149" t="str">
        <f t="shared" si="30"/>
        <v/>
      </c>
      <c r="L149" t="str">
        <f t="shared" si="31"/>
        <v/>
      </c>
      <c r="M149" t="str">
        <f t="shared" si="32"/>
        <v/>
      </c>
      <c r="N149" t="str">
        <f t="shared" si="38"/>
        <v/>
      </c>
      <c r="X149" t="str">
        <f t="shared" si="39"/>
        <v/>
      </c>
      <c r="Y149" t="str">
        <f t="shared" si="40"/>
        <v/>
      </c>
      <c r="Z149" t="str">
        <f t="shared" si="34"/>
        <v/>
      </c>
      <c r="AA149" t="str">
        <f t="shared" si="35"/>
        <v/>
      </c>
      <c r="AB149" t="str">
        <f t="shared" si="36"/>
        <v/>
      </c>
      <c r="AC149" t="str">
        <f t="shared" si="41"/>
        <v/>
      </c>
      <c r="AF149" t="s">
        <v>54</v>
      </c>
      <c r="AG149" t="s">
        <v>90</v>
      </c>
      <c r="AH149" t="str">
        <f>IF(Table4[[#This Row],[Nilai]]="","",VLOOKUP(Table4[[#This Row],[Helper]],$I$5:$L$380,4,FALSE))</f>
        <v>Jan</v>
      </c>
      <c r="AI149" t="s">
        <v>466</v>
      </c>
      <c r="AJ149" t="str">
        <f t="shared" si="42"/>
        <v>11AKarakterWk.2</v>
      </c>
      <c r="AK149" s="24">
        <f>IFERROR(VLOOKUP(AJ149,$I$5:$N$380,6,),"")</f>
        <v>71.25</v>
      </c>
    </row>
    <row r="150" spans="9:37" x14ac:dyDescent="0.2">
      <c r="I150" t="str">
        <f t="shared" si="37"/>
        <v/>
      </c>
      <c r="J150" t="str">
        <f t="shared" si="29"/>
        <v/>
      </c>
      <c r="K150" t="str">
        <f t="shared" si="30"/>
        <v/>
      </c>
      <c r="L150" t="str">
        <f t="shared" si="31"/>
        <v/>
      </c>
      <c r="M150" t="str">
        <f t="shared" si="32"/>
        <v/>
      </c>
      <c r="N150" t="str">
        <f t="shared" si="38"/>
        <v/>
      </c>
      <c r="X150" t="str">
        <f t="shared" si="39"/>
        <v/>
      </c>
      <c r="Y150" t="str">
        <f t="shared" si="40"/>
        <v/>
      </c>
      <c r="Z150" t="str">
        <f t="shared" si="34"/>
        <v/>
      </c>
      <c r="AA150" t="str">
        <f t="shared" si="35"/>
        <v/>
      </c>
      <c r="AB150" t="str">
        <f t="shared" si="36"/>
        <v/>
      </c>
      <c r="AC150" t="str">
        <f t="shared" si="41"/>
        <v/>
      </c>
      <c r="AF150" t="s">
        <v>54</v>
      </c>
      <c r="AG150" t="s">
        <v>90</v>
      </c>
      <c r="AH150" t="str">
        <f>IF(Table4[[#This Row],[Nilai]]="","",VLOOKUP(Table4[[#This Row],[Helper]],$I$5:$L$380,4,FALSE))</f>
        <v>Jan</v>
      </c>
      <c r="AI150" t="s">
        <v>461</v>
      </c>
      <c r="AJ150" t="str">
        <f t="shared" si="42"/>
        <v>11AKarakterWk.3</v>
      </c>
      <c r="AK150" s="24">
        <f t="shared" si="43"/>
        <v>76.382352941176464</v>
      </c>
    </row>
    <row r="151" spans="9:37" x14ac:dyDescent="0.2">
      <c r="I151" t="str">
        <f t="shared" si="37"/>
        <v/>
      </c>
      <c r="J151" t="str">
        <f t="shared" si="29"/>
        <v/>
      </c>
      <c r="K151" t="str">
        <f t="shared" si="30"/>
        <v/>
      </c>
      <c r="L151" t="str">
        <f t="shared" si="31"/>
        <v/>
      </c>
      <c r="M151" t="str">
        <f t="shared" si="32"/>
        <v/>
      </c>
      <c r="N151" t="str">
        <f t="shared" si="38"/>
        <v/>
      </c>
      <c r="X151" t="str">
        <f t="shared" si="39"/>
        <v/>
      </c>
      <c r="Y151" t="str">
        <f t="shared" si="40"/>
        <v/>
      </c>
      <c r="Z151" t="str">
        <f t="shared" si="34"/>
        <v/>
      </c>
      <c r="AA151" t="str">
        <f t="shared" si="35"/>
        <v/>
      </c>
      <c r="AB151" t="str">
        <f t="shared" si="36"/>
        <v/>
      </c>
      <c r="AC151" t="str">
        <f t="shared" si="41"/>
        <v/>
      </c>
      <c r="AF151" t="s">
        <v>54</v>
      </c>
      <c r="AG151" t="s">
        <v>90</v>
      </c>
      <c r="AH151" t="str">
        <f>IF(Table4[[#This Row],[Nilai]]="","",VLOOKUP(Table4[[#This Row],[Helper]],$I$5:$L$380,4,FALSE))</f>
        <v>Jan</v>
      </c>
      <c r="AI151" t="s">
        <v>462</v>
      </c>
      <c r="AJ151" t="str">
        <f t="shared" si="42"/>
        <v>11AKarakterWk.4</v>
      </c>
      <c r="AK151" s="24">
        <f t="shared" si="43"/>
        <v>78.389830508474574</v>
      </c>
    </row>
    <row r="152" spans="9:37" x14ac:dyDescent="0.2">
      <c r="I152" t="str">
        <f t="shared" si="37"/>
        <v/>
      </c>
      <c r="J152" t="str">
        <f t="shared" si="29"/>
        <v/>
      </c>
      <c r="K152" t="str">
        <f t="shared" si="30"/>
        <v/>
      </c>
      <c r="L152" t="str">
        <f t="shared" si="31"/>
        <v/>
      </c>
      <c r="M152" t="str">
        <f t="shared" si="32"/>
        <v/>
      </c>
      <c r="N152" t="str">
        <f t="shared" si="38"/>
        <v/>
      </c>
      <c r="X152" t="str">
        <f t="shared" si="39"/>
        <v/>
      </c>
      <c r="Y152" t="str">
        <f t="shared" si="40"/>
        <v/>
      </c>
      <c r="Z152" t="str">
        <f t="shared" si="34"/>
        <v/>
      </c>
      <c r="AA152" t="str">
        <f t="shared" si="35"/>
        <v/>
      </c>
      <c r="AB152" t="str">
        <f t="shared" si="36"/>
        <v/>
      </c>
      <c r="AC152" t="str">
        <f t="shared" si="41"/>
        <v/>
      </c>
      <c r="AF152" t="s">
        <v>54</v>
      </c>
      <c r="AG152" t="s">
        <v>90</v>
      </c>
      <c r="AH152" t="str">
        <f>IF(Table4[[#This Row],[Nilai]]="","",VLOOKUP(Table4[[#This Row],[Helper]],$I$5:$L$380,4,FALSE))</f>
        <v>Jan</v>
      </c>
      <c r="AI152" t="s">
        <v>463</v>
      </c>
      <c r="AJ152" t="str">
        <f t="shared" si="42"/>
        <v>11AKarakterWk.5</v>
      </c>
      <c r="AK152" s="24">
        <f t="shared" si="43"/>
        <v>72.178571428571431</v>
      </c>
    </row>
    <row r="153" spans="9:37" x14ac:dyDescent="0.2">
      <c r="I153" t="str">
        <f t="shared" si="37"/>
        <v/>
      </c>
      <c r="J153" t="str">
        <f t="shared" si="29"/>
        <v/>
      </c>
      <c r="K153" t="str">
        <f t="shared" si="30"/>
        <v/>
      </c>
      <c r="L153" t="str">
        <f t="shared" si="31"/>
        <v/>
      </c>
      <c r="M153" t="str">
        <f t="shared" si="32"/>
        <v/>
      </c>
      <c r="N153" t="str">
        <f t="shared" si="38"/>
        <v/>
      </c>
      <c r="X153" t="str">
        <f t="shared" si="39"/>
        <v/>
      </c>
      <c r="Y153" t="str">
        <f t="shared" si="40"/>
        <v/>
      </c>
      <c r="Z153" t="str">
        <f t="shared" si="34"/>
        <v/>
      </c>
      <c r="AA153" t="str">
        <f t="shared" si="35"/>
        <v/>
      </c>
      <c r="AB153" t="str">
        <f t="shared" si="36"/>
        <v/>
      </c>
      <c r="AC153" t="str">
        <f t="shared" si="41"/>
        <v/>
      </c>
      <c r="AF153" t="s">
        <v>54</v>
      </c>
      <c r="AG153" t="s">
        <v>90</v>
      </c>
      <c r="AH153" t="str">
        <f>IF(Table4[[#This Row],[Nilai]]="","",VLOOKUP(Table4[[#This Row],[Helper]],$I$5:$L$380,4,FALSE))</f>
        <v>Feb</v>
      </c>
      <c r="AI153" t="s">
        <v>464</v>
      </c>
      <c r="AJ153" t="str">
        <f t="shared" si="42"/>
        <v>11AKarakterWk.6</v>
      </c>
      <c r="AK153" s="24">
        <f t="shared" si="43"/>
        <v>71.257142857142853</v>
      </c>
    </row>
    <row r="154" spans="9:37" x14ac:dyDescent="0.2">
      <c r="I154" t="str">
        <f t="shared" si="37"/>
        <v/>
      </c>
      <c r="J154" t="str">
        <f t="shared" si="29"/>
        <v/>
      </c>
      <c r="K154" t="str">
        <f t="shared" si="30"/>
        <v/>
      </c>
      <c r="L154" t="str">
        <f t="shared" si="31"/>
        <v/>
      </c>
      <c r="M154" t="str">
        <f t="shared" si="32"/>
        <v/>
      </c>
      <c r="N154" t="str">
        <f t="shared" si="38"/>
        <v/>
      </c>
      <c r="X154" t="str">
        <f t="shared" si="39"/>
        <v/>
      </c>
      <c r="Y154" t="str">
        <f t="shared" si="40"/>
        <v/>
      </c>
      <c r="Z154" t="str">
        <f t="shared" si="34"/>
        <v/>
      </c>
      <c r="AA154" t="str">
        <f t="shared" si="35"/>
        <v/>
      </c>
      <c r="AB154" t="str">
        <f t="shared" si="36"/>
        <v/>
      </c>
      <c r="AC154" t="str">
        <f t="shared" si="41"/>
        <v/>
      </c>
      <c r="AF154" t="s">
        <v>54</v>
      </c>
      <c r="AG154" t="s">
        <v>90</v>
      </c>
      <c r="AH154" t="str">
        <f>IF(Table4[[#This Row],[Nilai]]="","",VLOOKUP(Table4[[#This Row],[Helper]],$I$5:$L$380,4,FALSE))</f>
        <v>Feb</v>
      </c>
      <c r="AI154" t="s">
        <v>465</v>
      </c>
      <c r="AJ154" t="str">
        <f t="shared" si="42"/>
        <v>11AKarakterWk.7</v>
      </c>
      <c r="AK154" s="24">
        <f t="shared" si="43"/>
        <v>73.227272727272734</v>
      </c>
    </row>
    <row r="155" spans="9:37" x14ac:dyDescent="0.2">
      <c r="I155" t="str">
        <f t="shared" si="37"/>
        <v/>
      </c>
      <c r="J155" t="str">
        <f t="shared" si="29"/>
        <v/>
      </c>
      <c r="K155" t="str">
        <f t="shared" si="30"/>
        <v/>
      </c>
      <c r="L155" t="str">
        <f t="shared" si="31"/>
        <v/>
      </c>
      <c r="M155" t="str">
        <f t="shared" si="32"/>
        <v/>
      </c>
      <c r="N155" t="str">
        <f t="shared" si="38"/>
        <v/>
      </c>
      <c r="X155" t="str">
        <f t="shared" si="39"/>
        <v/>
      </c>
      <c r="Y155" t="str">
        <f t="shared" si="40"/>
        <v/>
      </c>
      <c r="Z155" t="str">
        <f t="shared" si="34"/>
        <v/>
      </c>
      <c r="AA155" t="str">
        <f t="shared" si="35"/>
        <v/>
      </c>
      <c r="AB155" t="str">
        <f t="shared" si="36"/>
        <v/>
      </c>
      <c r="AC155" t="str">
        <f t="shared" si="41"/>
        <v/>
      </c>
      <c r="AF155" t="s">
        <v>54</v>
      </c>
      <c r="AG155" t="s">
        <v>90</v>
      </c>
      <c r="AH155" t="str">
        <f>IF(Table4[[#This Row],[Nilai]]="","",VLOOKUP(Table4[[#This Row],[Helper]],$I$5:$L$380,4,FALSE))</f>
        <v>Feb</v>
      </c>
      <c r="AI155" t="s">
        <v>467</v>
      </c>
      <c r="AJ155" t="str">
        <f t="shared" si="42"/>
        <v>11AKarakterWk.8</v>
      </c>
      <c r="AK155" s="24">
        <f t="shared" si="43"/>
        <v>72.045454545454547</v>
      </c>
    </row>
    <row r="156" spans="9:37" x14ac:dyDescent="0.2">
      <c r="I156" t="str">
        <f t="shared" si="37"/>
        <v/>
      </c>
      <c r="J156" t="str">
        <f t="shared" si="29"/>
        <v/>
      </c>
      <c r="K156" t="str">
        <f t="shared" si="30"/>
        <v/>
      </c>
      <c r="L156" t="str">
        <f t="shared" si="31"/>
        <v/>
      </c>
      <c r="M156" t="str">
        <f t="shared" si="32"/>
        <v/>
      </c>
      <c r="N156" t="str">
        <f t="shared" si="38"/>
        <v/>
      </c>
      <c r="X156" t="str">
        <f t="shared" si="39"/>
        <v/>
      </c>
      <c r="Y156" t="str">
        <f t="shared" si="40"/>
        <v/>
      </c>
      <c r="Z156" t="str">
        <f t="shared" si="34"/>
        <v/>
      </c>
      <c r="AA156" t="str">
        <f t="shared" si="35"/>
        <v/>
      </c>
      <c r="AB156" t="str">
        <f t="shared" si="36"/>
        <v/>
      </c>
      <c r="AC156" t="str">
        <f t="shared" si="41"/>
        <v/>
      </c>
      <c r="AF156" t="s">
        <v>54</v>
      </c>
      <c r="AG156" t="s">
        <v>90</v>
      </c>
      <c r="AH156" t="str">
        <f>IF(Table4[[#This Row],[Nilai]]="","",VLOOKUP(Table4[[#This Row],[Helper]],$I$5:$L$380,4,FALSE))</f>
        <v/>
      </c>
      <c r="AI156" t="s">
        <v>486</v>
      </c>
      <c r="AJ156" t="str">
        <f t="shared" si="42"/>
        <v>11AKarakterWk.9</v>
      </c>
      <c r="AK156" s="24" t="str">
        <f t="shared" si="43"/>
        <v/>
      </c>
    </row>
    <row r="157" spans="9:37" x14ac:dyDescent="0.2">
      <c r="I157" t="str">
        <f t="shared" si="37"/>
        <v/>
      </c>
      <c r="J157" t="str">
        <f t="shared" si="29"/>
        <v/>
      </c>
      <c r="K157" t="str">
        <f t="shared" si="30"/>
        <v/>
      </c>
      <c r="L157" t="str">
        <f t="shared" si="31"/>
        <v/>
      </c>
      <c r="M157" t="str">
        <f t="shared" si="32"/>
        <v/>
      </c>
      <c r="N157" t="str">
        <f t="shared" si="38"/>
        <v/>
      </c>
      <c r="X157" t="str">
        <f t="shared" si="39"/>
        <v/>
      </c>
      <c r="Y157" t="str">
        <f t="shared" si="40"/>
        <v/>
      </c>
      <c r="Z157" t="str">
        <f t="shared" si="34"/>
        <v/>
      </c>
      <c r="AA157" t="str">
        <f t="shared" si="35"/>
        <v/>
      </c>
      <c r="AB157" t="str">
        <f t="shared" si="36"/>
        <v/>
      </c>
      <c r="AC157" t="str">
        <f t="shared" si="41"/>
        <v/>
      </c>
      <c r="AF157" t="s">
        <v>54</v>
      </c>
      <c r="AG157" t="s">
        <v>90</v>
      </c>
      <c r="AH157" t="str">
        <f>IF(Table4[[#This Row],[Nilai]]="","",VLOOKUP(Table4[[#This Row],[Helper]],$I$5:$L$380,4,FALSE))</f>
        <v/>
      </c>
      <c r="AI157" t="s">
        <v>493</v>
      </c>
      <c r="AJ157" t="str">
        <f t="shared" si="42"/>
        <v>11AKarakterWk.10</v>
      </c>
      <c r="AK157" s="24" t="str">
        <f t="shared" si="43"/>
        <v/>
      </c>
    </row>
    <row r="158" spans="9:37" x14ac:dyDescent="0.2">
      <c r="I158" t="str">
        <f t="shared" si="37"/>
        <v/>
      </c>
      <c r="J158" t="str">
        <f t="shared" si="29"/>
        <v/>
      </c>
      <c r="K158" t="str">
        <f t="shared" si="30"/>
        <v/>
      </c>
      <c r="L158" t="str">
        <f t="shared" si="31"/>
        <v/>
      </c>
      <c r="M158" t="str">
        <f t="shared" si="32"/>
        <v/>
      </c>
      <c r="N158" t="str">
        <f t="shared" si="38"/>
        <v/>
      </c>
      <c r="X158" t="str">
        <f t="shared" si="39"/>
        <v/>
      </c>
      <c r="Y158" t="str">
        <f t="shared" si="40"/>
        <v/>
      </c>
      <c r="Z158" t="str">
        <f t="shared" si="34"/>
        <v/>
      </c>
      <c r="AA158" t="str">
        <f t="shared" si="35"/>
        <v/>
      </c>
      <c r="AB158" t="str">
        <f t="shared" si="36"/>
        <v/>
      </c>
      <c r="AC158" t="str">
        <f t="shared" si="41"/>
        <v/>
      </c>
      <c r="AF158" t="s">
        <v>54</v>
      </c>
      <c r="AG158" t="s">
        <v>90</v>
      </c>
      <c r="AH158" t="str">
        <f>IF(Table4[[#This Row],[Nilai]]="","",VLOOKUP(Table4[[#This Row],[Helper]],$I$5:$L$380,4,FALSE))</f>
        <v/>
      </c>
      <c r="AI158" t="s">
        <v>494</v>
      </c>
      <c r="AJ158" t="str">
        <f t="shared" si="42"/>
        <v>11AKarakterWk.11</v>
      </c>
      <c r="AK158" s="24" t="str">
        <f t="shared" si="43"/>
        <v/>
      </c>
    </row>
    <row r="159" spans="9:37" x14ac:dyDescent="0.2">
      <c r="I159" t="str">
        <f t="shared" si="37"/>
        <v/>
      </c>
      <c r="J159" t="str">
        <f t="shared" si="29"/>
        <v/>
      </c>
      <c r="K159" t="str">
        <f t="shared" si="30"/>
        <v/>
      </c>
      <c r="L159" t="str">
        <f t="shared" si="31"/>
        <v/>
      </c>
      <c r="M159" t="str">
        <f t="shared" si="32"/>
        <v/>
      </c>
      <c r="N159" t="str">
        <f t="shared" si="38"/>
        <v/>
      </c>
      <c r="X159" t="str">
        <f t="shared" si="39"/>
        <v/>
      </c>
      <c r="Y159" t="str">
        <f t="shared" si="40"/>
        <v/>
      </c>
      <c r="Z159" t="str">
        <f t="shared" si="34"/>
        <v/>
      </c>
      <c r="AA159" t="str">
        <f t="shared" si="35"/>
        <v/>
      </c>
      <c r="AB159" t="str">
        <f t="shared" si="36"/>
        <v/>
      </c>
      <c r="AC159" t="str">
        <f t="shared" si="41"/>
        <v/>
      </c>
      <c r="AF159" t="s">
        <v>54</v>
      </c>
      <c r="AG159" t="s">
        <v>90</v>
      </c>
      <c r="AH159" t="str">
        <f>IF(Table4[[#This Row],[Nilai]]="","",VLOOKUP(Table4[[#This Row],[Helper]],$I$5:$L$380,4,FALSE))</f>
        <v/>
      </c>
      <c r="AI159" t="s">
        <v>495</v>
      </c>
      <c r="AJ159" t="str">
        <f t="shared" si="42"/>
        <v>11AKarakterWk.12</v>
      </c>
      <c r="AK159" s="24" t="str">
        <f t="shared" si="43"/>
        <v/>
      </c>
    </row>
    <row r="160" spans="9:37" x14ac:dyDescent="0.2">
      <c r="I160" t="str">
        <f t="shared" si="37"/>
        <v/>
      </c>
      <c r="J160" t="str">
        <f t="shared" ref="J160:J223" si="44">IF(A160="","",A160)</f>
        <v/>
      </c>
      <c r="K160" t="str">
        <f t="shared" ref="K160:K223" si="45">IF(B160="","",B160)</f>
        <v/>
      </c>
      <c r="L160" t="str">
        <f t="shared" ref="L160:L223" si="46">IF(C160="","",C160)</f>
        <v/>
      </c>
      <c r="M160" t="str">
        <f t="shared" ref="M160:M223" si="47">IF(D160="","",D160)</f>
        <v/>
      </c>
      <c r="N160" t="str">
        <f t="shared" si="38"/>
        <v/>
      </c>
      <c r="X160" t="str">
        <f t="shared" si="39"/>
        <v/>
      </c>
      <c r="Y160" t="str">
        <f t="shared" si="40"/>
        <v/>
      </c>
      <c r="Z160" t="str">
        <f t="shared" si="34"/>
        <v/>
      </c>
      <c r="AA160" t="str">
        <f t="shared" si="35"/>
        <v/>
      </c>
      <c r="AB160" t="str">
        <f t="shared" si="36"/>
        <v/>
      </c>
      <c r="AC160" t="str">
        <f t="shared" si="41"/>
        <v/>
      </c>
      <c r="AF160" t="s">
        <v>54</v>
      </c>
      <c r="AG160" t="s">
        <v>90</v>
      </c>
      <c r="AH160" t="str">
        <f>IF(Table4[[#This Row],[Nilai]]="","",VLOOKUP(Table4[[#This Row],[Helper]],$I$5:$L$380,4,FALSE))</f>
        <v/>
      </c>
      <c r="AI160" t="s">
        <v>496</v>
      </c>
      <c r="AJ160" t="str">
        <f t="shared" si="42"/>
        <v>11AKarakterWk.13</v>
      </c>
      <c r="AK160" s="24" t="str">
        <f t="shared" si="43"/>
        <v/>
      </c>
    </row>
    <row r="161" spans="9:37" x14ac:dyDescent="0.2">
      <c r="I161" t="str">
        <f t="shared" si="37"/>
        <v/>
      </c>
      <c r="J161" t="str">
        <f t="shared" si="44"/>
        <v/>
      </c>
      <c r="K161" t="str">
        <f t="shared" si="45"/>
        <v/>
      </c>
      <c r="L161" t="str">
        <f t="shared" si="46"/>
        <v/>
      </c>
      <c r="M161" t="str">
        <f t="shared" si="47"/>
        <v/>
      </c>
      <c r="N161" t="str">
        <f t="shared" si="38"/>
        <v/>
      </c>
      <c r="X161" t="str">
        <f t="shared" si="39"/>
        <v/>
      </c>
      <c r="Y161" t="str">
        <f t="shared" si="40"/>
        <v/>
      </c>
      <c r="Z161" t="str">
        <f t="shared" si="34"/>
        <v/>
      </c>
      <c r="AA161" t="str">
        <f t="shared" si="35"/>
        <v/>
      </c>
      <c r="AB161" t="str">
        <f t="shared" si="36"/>
        <v/>
      </c>
      <c r="AC161" t="str">
        <f t="shared" si="41"/>
        <v/>
      </c>
      <c r="AF161" t="s">
        <v>54</v>
      </c>
      <c r="AG161" t="s">
        <v>90</v>
      </c>
      <c r="AH161" t="str">
        <f>IF(Table4[[#This Row],[Nilai]]="","",VLOOKUP(Table4[[#This Row],[Helper]],$I$5:$L$380,4,FALSE))</f>
        <v/>
      </c>
      <c r="AI161" t="s">
        <v>497</v>
      </c>
      <c r="AJ161" t="str">
        <f t="shared" si="42"/>
        <v>11AKarakterWk.14</v>
      </c>
      <c r="AK161" s="24" t="str">
        <f t="shared" si="43"/>
        <v/>
      </c>
    </row>
    <row r="162" spans="9:37" x14ac:dyDescent="0.2">
      <c r="I162" t="str">
        <f t="shared" si="37"/>
        <v/>
      </c>
      <c r="J162" t="str">
        <f t="shared" si="44"/>
        <v/>
      </c>
      <c r="K162" t="str">
        <f t="shared" si="45"/>
        <v/>
      </c>
      <c r="L162" t="str">
        <f t="shared" si="46"/>
        <v/>
      </c>
      <c r="M162" t="str">
        <f t="shared" si="47"/>
        <v/>
      </c>
      <c r="N162" t="str">
        <f t="shared" si="38"/>
        <v/>
      </c>
      <c r="X162" t="str">
        <f t="shared" si="39"/>
        <v/>
      </c>
      <c r="Y162" t="str">
        <f t="shared" si="40"/>
        <v/>
      </c>
      <c r="Z162" t="str">
        <f t="shared" si="34"/>
        <v/>
      </c>
      <c r="AA162" t="str">
        <f t="shared" si="35"/>
        <v/>
      </c>
      <c r="AB162" t="str">
        <f t="shared" si="36"/>
        <v/>
      </c>
      <c r="AC162" t="str">
        <f t="shared" si="41"/>
        <v/>
      </c>
      <c r="AF162" t="s">
        <v>54</v>
      </c>
      <c r="AG162" t="s">
        <v>90</v>
      </c>
      <c r="AH162" t="str">
        <f>IF(Table4[[#This Row],[Nilai]]="","",VLOOKUP(Table4[[#This Row],[Helper]],$I$5:$L$380,4,FALSE))</f>
        <v/>
      </c>
      <c r="AI162" t="s">
        <v>498</v>
      </c>
      <c r="AJ162" t="str">
        <f t="shared" si="42"/>
        <v>11AKarakterWk.15</v>
      </c>
      <c r="AK162" s="24" t="str">
        <f t="shared" si="43"/>
        <v/>
      </c>
    </row>
    <row r="163" spans="9:37" x14ac:dyDescent="0.2">
      <c r="I163" t="str">
        <f t="shared" si="37"/>
        <v/>
      </c>
      <c r="J163" t="str">
        <f t="shared" si="44"/>
        <v/>
      </c>
      <c r="K163" t="str">
        <f t="shared" si="45"/>
        <v/>
      </c>
      <c r="L163" t="str">
        <f t="shared" si="46"/>
        <v/>
      </c>
      <c r="M163" t="str">
        <f t="shared" si="47"/>
        <v/>
      </c>
      <c r="N163" t="str">
        <f t="shared" si="38"/>
        <v/>
      </c>
      <c r="X163" t="str">
        <f t="shared" si="39"/>
        <v/>
      </c>
      <c r="Y163" t="str">
        <f t="shared" si="40"/>
        <v/>
      </c>
      <c r="Z163" t="str">
        <f t="shared" si="34"/>
        <v/>
      </c>
      <c r="AA163" t="str">
        <f t="shared" si="35"/>
        <v/>
      </c>
      <c r="AB163" t="str">
        <f t="shared" si="36"/>
        <v/>
      </c>
      <c r="AC163" t="str">
        <f t="shared" si="41"/>
        <v/>
      </c>
      <c r="AF163" t="s">
        <v>54</v>
      </c>
      <c r="AG163" t="s">
        <v>90</v>
      </c>
      <c r="AH163" t="str">
        <f>IF(Table4[[#This Row],[Nilai]]="","",VLOOKUP(Table4[[#This Row],[Helper]],$I$5:$L$380,4,FALSE))</f>
        <v/>
      </c>
      <c r="AI163" t="s">
        <v>499</v>
      </c>
      <c r="AJ163" t="str">
        <f t="shared" si="42"/>
        <v>11AKarakterWk.16</v>
      </c>
      <c r="AK163" s="24" t="str">
        <f t="shared" si="43"/>
        <v/>
      </c>
    </row>
    <row r="164" spans="9:37" x14ac:dyDescent="0.2">
      <c r="I164" t="str">
        <f t="shared" si="37"/>
        <v/>
      </c>
      <c r="J164" t="str">
        <f t="shared" si="44"/>
        <v/>
      </c>
      <c r="K164" t="str">
        <f t="shared" si="45"/>
        <v/>
      </c>
      <c r="L164" t="str">
        <f t="shared" si="46"/>
        <v/>
      </c>
      <c r="M164" t="str">
        <f t="shared" si="47"/>
        <v/>
      </c>
      <c r="N164" t="str">
        <f t="shared" si="38"/>
        <v/>
      </c>
      <c r="X164" t="str">
        <f t="shared" si="39"/>
        <v/>
      </c>
      <c r="Y164" t="str">
        <f t="shared" si="40"/>
        <v/>
      </c>
      <c r="Z164" t="str">
        <f t="shared" si="34"/>
        <v/>
      </c>
      <c r="AA164" t="str">
        <f t="shared" si="35"/>
        <v/>
      </c>
      <c r="AB164" t="str">
        <f t="shared" si="36"/>
        <v/>
      </c>
      <c r="AC164" t="str">
        <f t="shared" si="41"/>
        <v/>
      </c>
      <c r="AF164" t="s">
        <v>54</v>
      </c>
      <c r="AG164" t="s">
        <v>90</v>
      </c>
      <c r="AH164" t="str">
        <f>IF(Table4[[#This Row],[Nilai]]="","",VLOOKUP(Table4[[#This Row],[Helper]],$I$5:$L$380,4,FALSE))</f>
        <v/>
      </c>
      <c r="AI164" t="s">
        <v>500</v>
      </c>
      <c r="AJ164" t="str">
        <f t="shared" si="42"/>
        <v>11AKarakterWk.17</v>
      </c>
      <c r="AK164" s="24" t="str">
        <f t="shared" si="43"/>
        <v/>
      </c>
    </row>
    <row r="165" spans="9:37" x14ac:dyDescent="0.2">
      <c r="I165" t="str">
        <f t="shared" si="37"/>
        <v/>
      </c>
      <c r="J165" t="str">
        <f t="shared" si="44"/>
        <v/>
      </c>
      <c r="K165" t="str">
        <f t="shared" si="45"/>
        <v/>
      </c>
      <c r="L165" t="str">
        <f t="shared" si="46"/>
        <v/>
      </c>
      <c r="M165" t="str">
        <f t="shared" si="47"/>
        <v/>
      </c>
      <c r="N165" t="str">
        <f t="shared" si="38"/>
        <v/>
      </c>
      <c r="X165" t="str">
        <f t="shared" si="39"/>
        <v/>
      </c>
      <c r="Y165" t="str">
        <f t="shared" si="40"/>
        <v/>
      </c>
      <c r="Z165" t="str">
        <f t="shared" si="34"/>
        <v/>
      </c>
      <c r="AA165" t="str">
        <f t="shared" si="35"/>
        <v/>
      </c>
      <c r="AB165" t="str">
        <f t="shared" si="36"/>
        <v/>
      </c>
      <c r="AC165" t="str">
        <f t="shared" si="41"/>
        <v/>
      </c>
      <c r="AF165" t="s">
        <v>54</v>
      </c>
      <c r="AG165" t="s">
        <v>90</v>
      </c>
      <c r="AH165" t="str">
        <f>IF(Table4[[#This Row],[Nilai]]="","",VLOOKUP(Table4[[#This Row],[Helper]],$I$5:$L$380,4,FALSE))</f>
        <v/>
      </c>
      <c r="AI165" t="s">
        <v>501</v>
      </c>
      <c r="AJ165" t="str">
        <f t="shared" si="42"/>
        <v>11AKarakterWk.18</v>
      </c>
      <c r="AK165" s="24" t="str">
        <f t="shared" si="43"/>
        <v/>
      </c>
    </row>
    <row r="166" spans="9:37" x14ac:dyDescent="0.2">
      <c r="I166" t="str">
        <f t="shared" si="37"/>
        <v/>
      </c>
      <c r="J166" t="str">
        <f t="shared" si="44"/>
        <v/>
      </c>
      <c r="K166" t="str">
        <f t="shared" si="45"/>
        <v/>
      </c>
      <c r="L166" t="str">
        <f t="shared" si="46"/>
        <v/>
      </c>
      <c r="M166" t="str">
        <f t="shared" si="47"/>
        <v/>
      </c>
      <c r="N166" t="str">
        <f t="shared" si="38"/>
        <v/>
      </c>
      <c r="X166" t="str">
        <f t="shared" si="39"/>
        <v/>
      </c>
      <c r="Y166" t="str">
        <f t="shared" si="40"/>
        <v/>
      </c>
      <c r="Z166" t="str">
        <f t="shared" si="34"/>
        <v/>
      </c>
      <c r="AA166" t="str">
        <f t="shared" si="35"/>
        <v/>
      </c>
      <c r="AB166" t="str">
        <f t="shared" si="36"/>
        <v/>
      </c>
      <c r="AC166" t="str">
        <f t="shared" ref="AC166:AC200" si="48">IF(U166="","",U166)</f>
        <v/>
      </c>
      <c r="AF166" t="s">
        <v>54</v>
      </c>
      <c r="AG166" t="s">
        <v>90</v>
      </c>
      <c r="AH166" t="str">
        <f>IF(Table4[[#This Row],[Nilai]]="","",VLOOKUP(Table4[[#This Row],[Helper]],$I$5:$L$380,4,FALSE))</f>
        <v/>
      </c>
      <c r="AI166" t="s">
        <v>502</v>
      </c>
      <c r="AJ166" t="str">
        <f t="shared" si="42"/>
        <v>11AKarakterWk.19</v>
      </c>
      <c r="AK166" s="24" t="str">
        <f t="shared" si="43"/>
        <v/>
      </c>
    </row>
    <row r="167" spans="9:37" x14ac:dyDescent="0.2">
      <c r="I167" t="str">
        <f t="shared" si="37"/>
        <v/>
      </c>
      <c r="J167" t="str">
        <f t="shared" si="44"/>
        <v/>
      </c>
      <c r="K167" t="str">
        <f t="shared" si="45"/>
        <v/>
      </c>
      <c r="L167" t="str">
        <f t="shared" si="46"/>
        <v/>
      </c>
      <c r="M167" t="str">
        <f t="shared" si="47"/>
        <v/>
      </c>
      <c r="N167" t="str">
        <f t="shared" si="38"/>
        <v/>
      </c>
      <c r="X167" t="str">
        <f t="shared" si="39"/>
        <v/>
      </c>
      <c r="Y167" t="str">
        <f t="shared" si="40"/>
        <v/>
      </c>
      <c r="Z167" t="str">
        <f t="shared" si="34"/>
        <v/>
      </c>
      <c r="AA167" t="str">
        <f t="shared" si="35"/>
        <v/>
      </c>
      <c r="AB167" t="str">
        <f t="shared" si="36"/>
        <v/>
      </c>
      <c r="AC167" t="str">
        <f t="shared" si="48"/>
        <v/>
      </c>
      <c r="AF167" t="s">
        <v>54</v>
      </c>
      <c r="AG167" t="s">
        <v>90</v>
      </c>
      <c r="AH167" t="str">
        <f>IF(Table4[[#This Row],[Nilai]]="","",VLOOKUP(Table4[[#This Row],[Helper]],$I$5:$L$380,4,FALSE))</f>
        <v/>
      </c>
      <c r="AI167" t="s">
        <v>503</v>
      </c>
      <c r="AJ167" t="str">
        <f t="shared" si="42"/>
        <v>11AKarakterWk.20</v>
      </c>
      <c r="AK167" s="24" t="str">
        <f t="shared" si="43"/>
        <v/>
      </c>
    </row>
    <row r="168" spans="9:37" x14ac:dyDescent="0.2">
      <c r="I168" t="str">
        <f t="shared" si="37"/>
        <v/>
      </c>
      <c r="J168" t="str">
        <f t="shared" si="44"/>
        <v/>
      </c>
      <c r="K168" t="str">
        <f t="shared" si="45"/>
        <v/>
      </c>
      <c r="L168" t="str">
        <f t="shared" si="46"/>
        <v/>
      </c>
      <c r="M168" t="str">
        <f t="shared" si="47"/>
        <v/>
      </c>
      <c r="N168" t="str">
        <f t="shared" si="38"/>
        <v/>
      </c>
      <c r="X168" t="str">
        <f t="shared" si="39"/>
        <v/>
      </c>
      <c r="Y168" t="str">
        <f t="shared" si="40"/>
        <v/>
      </c>
      <c r="Z168" t="str">
        <f t="shared" si="34"/>
        <v/>
      </c>
      <c r="AA168" t="str">
        <f t="shared" si="35"/>
        <v/>
      </c>
      <c r="AB168" t="str">
        <f t="shared" si="36"/>
        <v/>
      </c>
      <c r="AC168" t="str">
        <f t="shared" si="48"/>
        <v/>
      </c>
      <c r="AF168" t="s">
        <v>54</v>
      </c>
      <c r="AG168" t="s">
        <v>90</v>
      </c>
      <c r="AH168" t="str">
        <f>IF(Table4[[#This Row],[Nilai]]="","",VLOOKUP(Table4[[#This Row],[Helper]],$I$5:$L$380,4,FALSE))</f>
        <v/>
      </c>
      <c r="AI168" t="s">
        <v>504</v>
      </c>
      <c r="AJ168" t="str">
        <f t="shared" si="42"/>
        <v>11AKarakterWk.21</v>
      </c>
      <c r="AK168" s="24" t="str">
        <f t="shared" si="43"/>
        <v/>
      </c>
    </row>
    <row r="169" spans="9:37" x14ac:dyDescent="0.2">
      <c r="I169" t="str">
        <f t="shared" si="37"/>
        <v/>
      </c>
      <c r="J169" t="str">
        <f t="shared" si="44"/>
        <v/>
      </c>
      <c r="K169" t="str">
        <f t="shared" si="45"/>
        <v/>
      </c>
      <c r="L169" t="str">
        <f t="shared" si="46"/>
        <v/>
      </c>
      <c r="M169" t="str">
        <f t="shared" si="47"/>
        <v/>
      </c>
      <c r="N169" t="str">
        <f t="shared" si="38"/>
        <v/>
      </c>
      <c r="X169" t="str">
        <f t="shared" si="39"/>
        <v/>
      </c>
      <c r="Y169" t="str">
        <f t="shared" si="40"/>
        <v/>
      </c>
      <c r="Z169" t="str">
        <f t="shared" si="34"/>
        <v/>
      </c>
      <c r="AA169" t="str">
        <f t="shared" si="35"/>
        <v/>
      </c>
      <c r="AB169" t="str">
        <f t="shared" si="36"/>
        <v/>
      </c>
      <c r="AC169" t="str">
        <f t="shared" si="48"/>
        <v/>
      </c>
      <c r="AF169" t="s">
        <v>54</v>
      </c>
      <c r="AG169" t="s">
        <v>90</v>
      </c>
      <c r="AH169" t="str">
        <f>IF(Table4[[#This Row],[Nilai]]="","",VLOOKUP(Table4[[#This Row],[Helper]],$I$5:$L$380,4,FALSE))</f>
        <v/>
      </c>
      <c r="AI169" t="s">
        <v>505</v>
      </c>
      <c r="AJ169" t="str">
        <f t="shared" si="42"/>
        <v>11AKarakterWk.22</v>
      </c>
      <c r="AK169" s="24" t="str">
        <f t="shared" si="43"/>
        <v/>
      </c>
    </row>
    <row r="170" spans="9:37" x14ac:dyDescent="0.2">
      <c r="I170" t="str">
        <f t="shared" si="37"/>
        <v/>
      </c>
      <c r="J170" t="str">
        <f t="shared" si="44"/>
        <v/>
      </c>
      <c r="K170" t="str">
        <f t="shared" si="45"/>
        <v/>
      </c>
      <c r="L170" t="str">
        <f t="shared" si="46"/>
        <v/>
      </c>
      <c r="M170" t="str">
        <f t="shared" si="47"/>
        <v/>
      </c>
      <c r="N170" t="str">
        <f t="shared" si="38"/>
        <v/>
      </c>
      <c r="X170" t="str">
        <f t="shared" si="39"/>
        <v/>
      </c>
      <c r="Y170" t="str">
        <f t="shared" si="40"/>
        <v/>
      </c>
      <c r="Z170" t="str">
        <f t="shared" si="34"/>
        <v/>
      </c>
      <c r="AA170" t="str">
        <f t="shared" si="35"/>
        <v/>
      </c>
      <c r="AB170" t="str">
        <f t="shared" si="36"/>
        <v/>
      </c>
      <c r="AC170" t="str">
        <f t="shared" si="48"/>
        <v/>
      </c>
      <c r="AF170" t="s">
        <v>54</v>
      </c>
      <c r="AG170" t="s">
        <v>90</v>
      </c>
      <c r="AH170" t="str">
        <f>IF(Table4[[#This Row],[Nilai]]="","",VLOOKUP(Table4[[#This Row],[Helper]],$I$5:$L$380,4,FALSE))</f>
        <v/>
      </c>
      <c r="AI170" t="s">
        <v>506</v>
      </c>
      <c r="AJ170" t="str">
        <f t="shared" si="42"/>
        <v>11AKarakterWk.23</v>
      </c>
      <c r="AK170" s="24" t="str">
        <f t="shared" si="43"/>
        <v/>
      </c>
    </row>
    <row r="171" spans="9:37" x14ac:dyDescent="0.2">
      <c r="I171" t="str">
        <f t="shared" si="37"/>
        <v/>
      </c>
      <c r="J171" t="str">
        <f t="shared" si="44"/>
        <v/>
      </c>
      <c r="K171" t="str">
        <f t="shared" si="45"/>
        <v/>
      </c>
      <c r="L171" t="str">
        <f t="shared" si="46"/>
        <v/>
      </c>
      <c r="M171" t="str">
        <f t="shared" si="47"/>
        <v/>
      </c>
      <c r="N171" t="str">
        <f t="shared" si="38"/>
        <v/>
      </c>
      <c r="X171" t="str">
        <f t="shared" si="39"/>
        <v/>
      </c>
      <c r="Y171" t="str">
        <f t="shared" si="40"/>
        <v/>
      </c>
      <c r="Z171" t="str">
        <f t="shared" si="34"/>
        <v/>
      </c>
      <c r="AA171" t="str">
        <f t="shared" si="35"/>
        <v/>
      </c>
      <c r="AB171" t="str">
        <f t="shared" si="36"/>
        <v/>
      </c>
      <c r="AC171" t="str">
        <f t="shared" si="48"/>
        <v/>
      </c>
      <c r="AF171" t="s">
        <v>54</v>
      </c>
      <c r="AG171" t="s">
        <v>90</v>
      </c>
      <c r="AH171" t="str">
        <f>IF(Table4[[#This Row],[Nilai]]="","",VLOOKUP(Table4[[#This Row],[Helper]],$I$5:$L$380,4,FALSE))</f>
        <v/>
      </c>
      <c r="AI171" t="s">
        <v>507</v>
      </c>
      <c r="AJ171" t="str">
        <f t="shared" si="42"/>
        <v>11AKarakterWk.24</v>
      </c>
      <c r="AK171" s="24" t="str">
        <f t="shared" si="43"/>
        <v/>
      </c>
    </row>
    <row r="172" spans="9:37" x14ac:dyDescent="0.2">
      <c r="I172" t="str">
        <f t="shared" si="37"/>
        <v/>
      </c>
      <c r="J172" t="str">
        <f t="shared" si="44"/>
        <v/>
      </c>
      <c r="K172" t="str">
        <f t="shared" si="45"/>
        <v/>
      </c>
      <c r="L172" t="str">
        <f t="shared" si="46"/>
        <v/>
      </c>
      <c r="M172" t="str">
        <f t="shared" si="47"/>
        <v/>
      </c>
      <c r="N172" t="str">
        <f t="shared" si="38"/>
        <v/>
      </c>
      <c r="X172" t="str">
        <f t="shared" si="39"/>
        <v/>
      </c>
      <c r="Y172" t="str">
        <f t="shared" si="40"/>
        <v/>
      </c>
      <c r="Z172" t="str">
        <f t="shared" si="34"/>
        <v/>
      </c>
      <c r="AA172" t="str">
        <f t="shared" si="35"/>
        <v/>
      </c>
      <c r="AB172" t="str">
        <f t="shared" si="36"/>
        <v/>
      </c>
      <c r="AC172" t="str">
        <f t="shared" si="48"/>
        <v/>
      </c>
      <c r="AF172" t="s">
        <v>54</v>
      </c>
      <c r="AG172" t="s">
        <v>90</v>
      </c>
      <c r="AH172" t="str">
        <f>IF(Table4[[#This Row],[Nilai]]="","",VLOOKUP(Table4[[#This Row],[Helper]],$I$5:$L$380,4,FALSE))</f>
        <v/>
      </c>
      <c r="AI172" t="s">
        <v>508</v>
      </c>
      <c r="AJ172" t="str">
        <f t="shared" si="42"/>
        <v>11AKarakterWk.25</v>
      </c>
      <c r="AK172" s="24" t="str">
        <f t="shared" si="43"/>
        <v/>
      </c>
    </row>
    <row r="173" spans="9:37" x14ac:dyDescent="0.2">
      <c r="I173" t="str">
        <f t="shared" si="37"/>
        <v/>
      </c>
      <c r="J173" t="str">
        <f t="shared" si="44"/>
        <v/>
      </c>
      <c r="K173" t="str">
        <f t="shared" si="45"/>
        <v/>
      </c>
      <c r="L173" t="str">
        <f t="shared" si="46"/>
        <v/>
      </c>
      <c r="M173" t="str">
        <f t="shared" si="47"/>
        <v/>
      </c>
      <c r="N173" t="str">
        <f t="shared" si="38"/>
        <v/>
      </c>
      <c r="X173" t="str">
        <f t="shared" si="39"/>
        <v/>
      </c>
      <c r="Y173" t="str">
        <f t="shared" si="40"/>
        <v/>
      </c>
      <c r="Z173" t="str">
        <f t="shared" si="34"/>
        <v/>
      </c>
      <c r="AA173" t="str">
        <f t="shared" si="35"/>
        <v/>
      </c>
      <c r="AB173" t="str">
        <f t="shared" si="36"/>
        <v/>
      </c>
      <c r="AC173" t="str">
        <f t="shared" si="48"/>
        <v/>
      </c>
      <c r="AF173" t="s">
        <v>65</v>
      </c>
      <c r="AG173" t="s">
        <v>90</v>
      </c>
      <c r="AH173" t="str">
        <f>IF(Table4[[#This Row],[Nilai]]="","",VLOOKUP(Table4[[#This Row],[Helper]],$I$5:$L$380,4,FALSE))</f>
        <v/>
      </c>
      <c r="AI173" t="s">
        <v>466</v>
      </c>
      <c r="AJ173" t="str">
        <f t="shared" si="42"/>
        <v>12AKarakterWk.2</v>
      </c>
      <c r="AK173" s="24" t="str">
        <f t="shared" si="43"/>
        <v/>
      </c>
    </row>
    <row r="174" spans="9:37" x14ac:dyDescent="0.2">
      <c r="I174" t="str">
        <f t="shared" si="37"/>
        <v/>
      </c>
      <c r="J174" t="str">
        <f t="shared" si="44"/>
        <v/>
      </c>
      <c r="K174" t="str">
        <f t="shared" si="45"/>
        <v/>
      </c>
      <c r="L174" t="str">
        <f t="shared" si="46"/>
        <v/>
      </c>
      <c r="M174" t="str">
        <f t="shared" si="47"/>
        <v/>
      </c>
      <c r="N174" t="str">
        <f t="shared" si="38"/>
        <v/>
      </c>
      <c r="X174" t="str">
        <f t="shared" si="39"/>
        <v/>
      </c>
      <c r="Y174" t="str">
        <f t="shared" si="40"/>
        <v/>
      </c>
      <c r="Z174" t="str">
        <f t="shared" si="34"/>
        <v/>
      </c>
      <c r="AA174" t="str">
        <f t="shared" si="35"/>
        <v/>
      </c>
      <c r="AB174" t="str">
        <f t="shared" si="36"/>
        <v/>
      </c>
      <c r="AC174" t="str">
        <f t="shared" si="48"/>
        <v/>
      </c>
      <c r="AF174" t="s">
        <v>65</v>
      </c>
      <c r="AG174" t="s">
        <v>90</v>
      </c>
      <c r="AH174" t="str">
        <f>IF(Table4[[#This Row],[Nilai]]="","",VLOOKUP(Table4[[#This Row],[Helper]],$I$5:$L$380,4,FALSE))</f>
        <v>Jan</v>
      </c>
      <c r="AI174" t="s">
        <v>461</v>
      </c>
      <c r="AJ174" t="str">
        <f t="shared" si="42"/>
        <v>12AKarakterWk.3</v>
      </c>
      <c r="AK174" s="24">
        <f t="shared" si="43"/>
        <v>75.259259259259252</v>
      </c>
    </row>
    <row r="175" spans="9:37" x14ac:dyDescent="0.2">
      <c r="I175" t="str">
        <f t="shared" si="37"/>
        <v/>
      </c>
      <c r="J175" t="str">
        <f t="shared" si="44"/>
        <v/>
      </c>
      <c r="K175" t="str">
        <f t="shared" si="45"/>
        <v/>
      </c>
      <c r="L175" t="str">
        <f t="shared" si="46"/>
        <v/>
      </c>
      <c r="M175" t="str">
        <f t="shared" si="47"/>
        <v/>
      </c>
      <c r="N175" t="str">
        <f t="shared" si="38"/>
        <v/>
      </c>
      <c r="X175" t="str">
        <f t="shared" si="39"/>
        <v/>
      </c>
      <c r="Y175" t="str">
        <f t="shared" si="40"/>
        <v/>
      </c>
      <c r="Z175" t="str">
        <f t="shared" si="34"/>
        <v/>
      </c>
      <c r="AA175" t="str">
        <f t="shared" si="35"/>
        <v/>
      </c>
      <c r="AB175" t="str">
        <f t="shared" si="36"/>
        <v/>
      </c>
      <c r="AC175" t="str">
        <f t="shared" si="48"/>
        <v/>
      </c>
      <c r="AF175" t="s">
        <v>65</v>
      </c>
      <c r="AG175" t="s">
        <v>90</v>
      </c>
      <c r="AH175" t="str">
        <f>IF(Table4[[#This Row],[Nilai]]="","",VLOOKUP(Table4[[#This Row],[Helper]],$I$5:$L$380,4,FALSE))</f>
        <v>Jan</v>
      </c>
      <c r="AI175" t="s">
        <v>462</v>
      </c>
      <c r="AJ175" t="str">
        <f t="shared" si="42"/>
        <v>12AKarakterWk.4</v>
      </c>
      <c r="AK175" s="24">
        <f t="shared" si="43"/>
        <v>77.333333333333329</v>
      </c>
    </row>
    <row r="176" spans="9:37" x14ac:dyDescent="0.2">
      <c r="I176" t="str">
        <f t="shared" si="37"/>
        <v/>
      </c>
      <c r="J176" t="str">
        <f t="shared" si="44"/>
        <v/>
      </c>
      <c r="K176" t="str">
        <f t="shared" si="45"/>
        <v/>
      </c>
      <c r="L176" t="str">
        <f t="shared" si="46"/>
        <v/>
      </c>
      <c r="M176" t="str">
        <f t="shared" si="47"/>
        <v/>
      </c>
      <c r="N176" t="str">
        <f t="shared" si="38"/>
        <v/>
      </c>
      <c r="X176" t="str">
        <f t="shared" si="39"/>
        <v/>
      </c>
      <c r="Y176" t="str">
        <f t="shared" si="40"/>
        <v/>
      </c>
      <c r="Z176" t="str">
        <f t="shared" si="34"/>
        <v/>
      </c>
      <c r="AA176" t="str">
        <f t="shared" si="35"/>
        <v/>
      </c>
      <c r="AB176" t="str">
        <f t="shared" si="36"/>
        <v/>
      </c>
      <c r="AC176" t="str">
        <f t="shared" si="48"/>
        <v/>
      </c>
      <c r="AF176" t="s">
        <v>65</v>
      </c>
      <c r="AG176" t="s">
        <v>90</v>
      </c>
      <c r="AH176" t="str">
        <f>IF(Table4[[#This Row],[Nilai]]="","",VLOOKUP(Table4[[#This Row],[Helper]],$I$5:$L$380,4,FALSE))</f>
        <v>Jan</v>
      </c>
      <c r="AI176" t="s">
        <v>463</v>
      </c>
      <c r="AJ176" t="str">
        <f t="shared" si="42"/>
        <v>12AKarakterWk.5</v>
      </c>
      <c r="AK176" s="24">
        <f t="shared" si="43"/>
        <v>75.535714285714292</v>
      </c>
    </row>
    <row r="177" spans="9:37" x14ac:dyDescent="0.2">
      <c r="I177" t="str">
        <f t="shared" si="37"/>
        <v/>
      </c>
      <c r="J177" t="str">
        <f t="shared" si="44"/>
        <v/>
      </c>
      <c r="K177" t="str">
        <f t="shared" si="45"/>
        <v/>
      </c>
      <c r="L177" t="str">
        <f t="shared" si="46"/>
        <v/>
      </c>
      <c r="M177" t="str">
        <f t="shared" si="47"/>
        <v/>
      </c>
      <c r="N177" t="str">
        <f t="shared" si="38"/>
        <v/>
      </c>
      <c r="X177" t="str">
        <f t="shared" si="39"/>
        <v/>
      </c>
      <c r="Y177" t="str">
        <f t="shared" si="40"/>
        <v/>
      </c>
      <c r="Z177" t="str">
        <f t="shared" ref="Z177:Z200" si="49">IF(R177="","",R177)</f>
        <v/>
      </c>
      <c r="AA177" t="str">
        <f t="shared" ref="AA177:AA200" si="50">IF(S177="","",S177)</f>
        <v/>
      </c>
      <c r="AB177" t="str">
        <f t="shared" ref="AB177:AB200" si="51">IF(T177="","",T177)</f>
        <v/>
      </c>
      <c r="AC177" t="str">
        <f t="shared" si="48"/>
        <v/>
      </c>
      <c r="AF177" t="s">
        <v>65</v>
      </c>
      <c r="AG177" t="s">
        <v>90</v>
      </c>
      <c r="AH177" t="str">
        <f>IF(Table4[[#This Row],[Nilai]]="","",VLOOKUP(Table4[[#This Row],[Helper]],$I$5:$L$380,4,FALSE))</f>
        <v>Feb</v>
      </c>
      <c r="AI177" t="s">
        <v>464</v>
      </c>
      <c r="AJ177" t="str">
        <f t="shared" si="42"/>
        <v>12AKarakterWk.6</v>
      </c>
      <c r="AK177" s="24">
        <f t="shared" si="43"/>
        <v>76.027777777777771</v>
      </c>
    </row>
    <row r="178" spans="9:37" x14ac:dyDescent="0.2">
      <c r="I178" t="str">
        <f t="shared" si="37"/>
        <v/>
      </c>
      <c r="J178" t="str">
        <f t="shared" si="44"/>
        <v/>
      </c>
      <c r="K178" t="str">
        <f t="shared" si="45"/>
        <v/>
      </c>
      <c r="L178" t="str">
        <f t="shared" si="46"/>
        <v/>
      </c>
      <c r="M178" t="str">
        <f t="shared" si="47"/>
        <v/>
      </c>
      <c r="N178" t="str">
        <f t="shared" si="38"/>
        <v/>
      </c>
      <c r="X178" t="str">
        <f t="shared" si="39"/>
        <v/>
      </c>
      <c r="Y178" t="str">
        <f t="shared" si="40"/>
        <v/>
      </c>
      <c r="Z178" t="str">
        <f t="shared" si="49"/>
        <v/>
      </c>
      <c r="AA178" t="str">
        <f t="shared" si="50"/>
        <v/>
      </c>
      <c r="AB178" t="str">
        <f t="shared" si="51"/>
        <v/>
      </c>
      <c r="AC178" t="str">
        <f t="shared" si="48"/>
        <v/>
      </c>
      <c r="AF178" t="s">
        <v>65</v>
      </c>
      <c r="AG178" t="s">
        <v>90</v>
      </c>
      <c r="AH178" t="str">
        <f>IF(Table4[[#This Row],[Nilai]]="","",VLOOKUP(Table4[[#This Row],[Helper]],$I$5:$L$380,4,FALSE))</f>
        <v>Feb</v>
      </c>
      <c r="AI178" t="s">
        <v>465</v>
      </c>
      <c r="AJ178" t="str">
        <f t="shared" si="42"/>
        <v>12AKarakterWk.7</v>
      </c>
      <c r="AK178" s="24">
        <f t="shared" si="43"/>
        <v>78.888888888888886</v>
      </c>
    </row>
    <row r="179" spans="9:37" x14ac:dyDescent="0.2">
      <c r="I179" t="str">
        <f t="shared" si="37"/>
        <v/>
      </c>
      <c r="J179" t="str">
        <f t="shared" si="44"/>
        <v/>
      </c>
      <c r="K179" t="str">
        <f t="shared" si="45"/>
        <v/>
      </c>
      <c r="L179" t="str">
        <f t="shared" si="46"/>
        <v/>
      </c>
      <c r="M179" t="str">
        <f t="shared" si="47"/>
        <v/>
      </c>
      <c r="N179" t="str">
        <f t="shared" si="38"/>
        <v/>
      </c>
      <c r="X179" t="str">
        <f t="shared" si="39"/>
        <v/>
      </c>
      <c r="Y179" t="str">
        <f t="shared" si="40"/>
        <v/>
      </c>
      <c r="Z179" t="str">
        <f t="shared" si="49"/>
        <v/>
      </c>
      <c r="AA179" t="str">
        <f t="shared" si="50"/>
        <v/>
      </c>
      <c r="AB179" t="str">
        <f t="shared" si="51"/>
        <v/>
      </c>
      <c r="AC179" t="str">
        <f t="shared" si="48"/>
        <v/>
      </c>
      <c r="AF179" t="s">
        <v>65</v>
      </c>
      <c r="AG179" t="s">
        <v>90</v>
      </c>
      <c r="AH179" t="str">
        <f>IF(Table4[[#This Row],[Nilai]]="","",VLOOKUP(Table4[[#This Row],[Helper]],$I$5:$L$380,4,FALSE))</f>
        <v>Feb</v>
      </c>
      <c r="AI179" t="s">
        <v>467</v>
      </c>
      <c r="AJ179" t="str">
        <f t="shared" si="42"/>
        <v>12AKarakterWk.8</v>
      </c>
      <c r="AK179" s="24">
        <f t="shared" si="43"/>
        <v>85</v>
      </c>
    </row>
    <row r="180" spans="9:37" x14ac:dyDescent="0.2">
      <c r="I180" t="str">
        <f t="shared" si="37"/>
        <v/>
      </c>
      <c r="J180" t="str">
        <f t="shared" si="44"/>
        <v/>
      </c>
      <c r="K180" t="str">
        <f t="shared" si="45"/>
        <v/>
      </c>
      <c r="L180" t="str">
        <f t="shared" si="46"/>
        <v/>
      </c>
      <c r="M180" t="str">
        <f t="shared" si="47"/>
        <v/>
      </c>
      <c r="N180" t="str">
        <f t="shared" si="38"/>
        <v/>
      </c>
      <c r="X180" t="str">
        <f t="shared" si="39"/>
        <v/>
      </c>
      <c r="Y180" t="str">
        <f t="shared" si="40"/>
        <v/>
      </c>
      <c r="Z180" t="str">
        <f t="shared" si="49"/>
        <v/>
      </c>
      <c r="AA180" t="str">
        <f t="shared" si="50"/>
        <v/>
      </c>
      <c r="AB180" t="str">
        <f t="shared" si="51"/>
        <v/>
      </c>
      <c r="AC180" t="str">
        <f t="shared" si="48"/>
        <v/>
      </c>
      <c r="AF180" t="s">
        <v>65</v>
      </c>
      <c r="AG180" t="s">
        <v>90</v>
      </c>
      <c r="AH180" t="str">
        <f>IF(Table4[[#This Row],[Nilai]]="","",VLOOKUP(Table4[[#This Row],[Helper]],$I$5:$L$380,4,FALSE))</f>
        <v/>
      </c>
      <c r="AI180" t="s">
        <v>486</v>
      </c>
      <c r="AJ180" t="str">
        <f t="shared" si="42"/>
        <v>12AKarakterWk.9</v>
      </c>
      <c r="AK180" s="24" t="str">
        <f t="shared" si="43"/>
        <v/>
      </c>
    </row>
    <row r="181" spans="9:37" x14ac:dyDescent="0.2">
      <c r="I181" t="str">
        <f t="shared" si="37"/>
        <v/>
      </c>
      <c r="J181" t="str">
        <f t="shared" si="44"/>
        <v/>
      </c>
      <c r="K181" t="str">
        <f t="shared" si="45"/>
        <v/>
      </c>
      <c r="L181" t="str">
        <f t="shared" si="46"/>
        <v/>
      </c>
      <c r="M181" t="str">
        <f t="shared" si="47"/>
        <v/>
      </c>
      <c r="N181" t="str">
        <f t="shared" si="38"/>
        <v/>
      </c>
      <c r="X181" t="str">
        <f t="shared" si="39"/>
        <v/>
      </c>
      <c r="Y181" t="str">
        <f t="shared" si="40"/>
        <v/>
      </c>
      <c r="Z181" t="str">
        <f t="shared" si="49"/>
        <v/>
      </c>
      <c r="AA181" t="str">
        <f t="shared" si="50"/>
        <v/>
      </c>
      <c r="AB181" t="str">
        <f t="shared" si="51"/>
        <v/>
      </c>
      <c r="AC181" t="str">
        <f t="shared" si="48"/>
        <v/>
      </c>
      <c r="AF181" t="s">
        <v>65</v>
      </c>
      <c r="AG181" t="s">
        <v>90</v>
      </c>
      <c r="AH181" t="str">
        <f>IF(Table4[[#This Row],[Nilai]]="","",VLOOKUP(Table4[[#This Row],[Helper]],$I$5:$L$380,4,FALSE))</f>
        <v/>
      </c>
      <c r="AI181" t="s">
        <v>493</v>
      </c>
      <c r="AJ181" t="str">
        <f t="shared" si="42"/>
        <v>12AKarakterWk.10</v>
      </c>
      <c r="AK181" s="24" t="str">
        <f t="shared" si="43"/>
        <v/>
      </c>
    </row>
    <row r="182" spans="9:37" x14ac:dyDescent="0.2">
      <c r="I182" t="str">
        <f t="shared" si="37"/>
        <v/>
      </c>
      <c r="J182" t="str">
        <f t="shared" si="44"/>
        <v/>
      </c>
      <c r="K182" t="str">
        <f t="shared" si="45"/>
        <v/>
      </c>
      <c r="L182" t="str">
        <f t="shared" si="46"/>
        <v/>
      </c>
      <c r="M182" t="str">
        <f t="shared" si="47"/>
        <v/>
      </c>
      <c r="N182" t="str">
        <f t="shared" si="38"/>
        <v/>
      </c>
      <c r="X182" t="str">
        <f t="shared" si="39"/>
        <v/>
      </c>
      <c r="Y182" t="str">
        <f t="shared" si="40"/>
        <v/>
      </c>
      <c r="Z182" t="str">
        <f t="shared" si="49"/>
        <v/>
      </c>
      <c r="AA182" t="str">
        <f t="shared" si="50"/>
        <v/>
      </c>
      <c r="AB182" t="str">
        <f t="shared" si="51"/>
        <v/>
      </c>
      <c r="AC182" t="str">
        <f t="shared" si="48"/>
        <v/>
      </c>
      <c r="AF182" t="s">
        <v>65</v>
      </c>
      <c r="AG182" t="s">
        <v>90</v>
      </c>
      <c r="AH182" t="str">
        <f>IF(Table4[[#This Row],[Nilai]]="","",VLOOKUP(Table4[[#This Row],[Helper]],$I$5:$L$380,4,FALSE))</f>
        <v/>
      </c>
      <c r="AI182" t="s">
        <v>494</v>
      </c>
      <c r="AJ182" t="str">
        <f t="shared" si="42"/>
        <v>12AKarakterWk.11</v>
      </c>
      <c r="AK182" s="24" t="str">
        <f t="shared" si="43"/>
        <v/>
      </c>
    </row>
    <row r="183" spans="9:37" x14ac:dyDescent="0.2">
      <c r="I183" t="str">
        <f t="shared" si="37"/>
        <v/>
      </c>
      <c r="J183" t="str">
        <f t="shared" si="44"/>
        <v/>
      </c>
      <c r="K183" t="str">
        <f t="shared" si="45"/>
        <v/>
      </c>
      <c r="L183" t="str">
        <f t="shared" si="46"/>
        <v/>
      </c>
      <c r="M183" t="str">
        <f t="shared" si="47"/>
        <v/>
      </c>
      <c r="N183" t="str">
        <f t="shared" si="38"/>
        <v/>
      </c>
      <c r="X183" t="str">
        <f t="shared" si="39"/>
        <v/>
      </c>
      <c r="Y183" t="str">
        <f t="shared" si="40"/>
        <v/>
      </c>
      <c r="Z183" t="str">
        <f t="shared" si="49"/>
        <v/>
      </c>
      <c r="AA183" t="str">
        <f t="shared" si="50"/>
        <v/>
      </c>
      <c r="AB183" t="str">
        <f t="shared" si="51"/>
        <v/>
      </c>
      <c r="AC183" t="str">
        <f t="shared" si="48"/>
        <v/>
      </c>
      <c r="AF183" t="s">
        <v>65</v>
      </c>
      <c r="AG183" t="s">
        <v>90</v>
      </c>
      <c r="AH183" t="str">
        <f>IF(Table4[[#This Row],[Nilai]]="","",VLOOKUP(Table4[[#This Row],[Helper]],$I$5:$L$380,4,FALSE))</f>
        <v/>
      </c>
      <c r="AI183" t="s">
        <v>495</v>
      </c>
      <c r="AJ183" t="str">
        <f t="shared" si="42"/>
        <v>12AKarakterWk.12</v>
      </c>
      <c r="AK183" s="24" t="str">
        <f t="shared" si="43"/>
        <v/>
      </c>
    </row>
    <row r="184" spans="9:37" x14ac:dyDescent="0.2">
      <c r="I184" t="str">
        <f t="shared" si="37"/>
        <v/>
      </c>
      <c r="J184" t="str">
        <f t="shared" si="44"/>
        <v/>
      </c>
      <c r="K184" t="str">
        <f t="shared" si="45"/>
        <v/>
      </c>
      <c r="L184" t="str">
        <f t="shared" si="46"/>
        <v/>
      </c>
      <c r="M184" t="str">
        <f t="shared" si="47"/>
        <v/>
      </c>
      <c r="N184" t="str">
        <f t="shared" si="38"/>
        <v/>
      </c>
      <c r="X184" t="str">
        <f t="shared" si="39"/>
        <v/>
      </c>
      <c r="Y184" t="str">
        <f t="shared" si="40"/>
        <v/>
      </c>
      <c r="Z184" t="str">
        <f t="shared" si="49"/>
        <v/>
      </c>
      <c r="AA184" t="str">
        <f t="shared" si="50"/>
        <v/>
      </c>
      <c r="AB184" t="str">
        <f t="shared" si="51"/>
        <v/>
      </c>
      <c r="AC184" t="str">
        <f t="shared" si="48"/>
        <v/>
      </c>
      <c r="AF184" t="s">
        <v>65</v>
      </c>
      <c r="AG184" t="s">
        <v>90</v>
      </c>
      <c r="AH184" t="str">
        <f>IF(Table4[[#This Row],[Nilai]]="","",VLOOKUP(Table4[[#This Row],[Helper]],$I$5:$L$380,4,FALSE))</f>
        <v/>
      </c>
      <c r="AI184" t="s">
        <v>496</v>
      </c>
      <c r="AJ184" t="str">
        <f t="shared" si="42"/>
        <v>12AKarakterWk.13</v>
      </c>
      <c r="AK184" s="24" t="str">
        <f t="shared" si="43"/>
        <v/>
      </c>
    </row>
    <row r="185" spans="9:37" x14ac:dyDescent="0.2">
      <c r="I185" t="str">
        <f t="shared" si="37"/>
        <v/>
      </c>
      <c r="J185" t="str">
        <f t="shared" si="44"/>
        <v/>
      </c>
      <c r="K185" t="str">
        <f t="shared" si="45"/>
        <v/>
      </c>
      <c r="L185" t="str">
        <f t="shared" si="46"/>
        <v/>
      </c>
      <c r="M185" t="str">
        <f t="shared" si="47"/>
        <v/>
      </c>
      <c r="N185" t="str">
        <f t="shared" si="38"/>
        <v/>
      </c>
      <c r="X185" t="str">
        <f t="shared" si="39"/>
        <v/>
      </c>
      <c r="Y185" t="str">
        <f t="shared" si="40"/>
        <v/>
      </c>
      <c r="Z185" t="str">
        <f t="shared" si="49"/>
        <v/>
      </c>
      <c r="AA185" t="str">
        <f t="shared" si="50"/>
        <v/>
      </c>
      <c r="AB185" t="str">
        <f t="shared" si="51"/>
        <v/>
      </c>
      <c r="AC185" t="str">
        <f t="shared" si="48"/>
        <v/>
      </c>
      <c r="AF185" t="s">
        <v>65</v>
      </c>
      <c r="AG185" t="s">
        <v>90</v>
      </c>
      <c r="AH185" t="str">
        <f>IF(Table4[[#This Row],[Nilai]]="","",VLOOKUP(Table4[[#This Row],[Helper]],$I$5:$L$380,4,FALSE))</f>
        <v/>
      </c>
      <c r="AI185" t="s">
        <v>497</v>
      </c>
      <c r="AJ185" t="str">
        <f t="shared" si="42"/>
        <v>12AKarakterWk.14</v>
      </c>
      <c r="AK185" s="24" t="str">
        <f t="shared" si="43"/>
        <v/>
      </c>
    </row>
    <row r="186" spans="9:37" x14ac:dyDescent="0.2">
      <c r="I186" t="str">
        <f t="shared" si="37"/>
        <v/>
      </c>
      <c r="J186" t="str">
        <f t="shared" si="44"/>
        <v/>
      </c>
      <c r="K186" t="str">
        <f t="shared" si="45"/>
        <v/>
      </c>
      <c r="L186" t="str">
        <f t="shared" si="46"/>
        <v/>
      </c>
      <c r="M186" t="str">
        <f t="shared" si="47"/>
        <v/>
      </c>
      <c r="N186" t="str">
        <f t="shared" si="38"/>
        <v/>
      </c>
      <c r="X186" t="str">
        <f t="shared" si="39"/>
        <v/>
      </c>
      <c r="Y186" t="str">
        <f t="shared" si="40"/>
        <v/>
      </c>
      <c r="Z186" t="str">
        <f t="shared" si="49"/>
        <v/>
      </c>
      <c r="AA186" t="str">
        <f t="shared" si="50"/>
        <v/>
      </c>
      <c r="AB186" t="str">
        <f t="shared" si="51"/>
        <v/>
      </c>
      <c r="AC186" t="str">
        <f t="shared" si="48"/>
        <v/>
      </c>
      <c r="AF186" t="s">
        <v>65</v>
      </c>
      <c r="AG186" t="s">
        <v>90</v>
      </c>
      <c r="AH186" t="str">
        <f>IF(Table4[[#This Row],[Nilai]]="","",VLOOKUP(Table4[[#This Row],[Helper]],$I$5:$L$380,4,FALSE))</f>
        <v/>
      </c>
      <c r="AI186" t="s">
        <v>498</v>
      </c>
      <c r="AJ186" t="str">
        <f t="shared" si="42"/>
        <v>12AKarakterWk.15</v>
      </c>
      <c r="AK186" s="24" t="str">
        <f t="shared" si="43"/>
        <v/>
      </c>
    </row>
    <row r="187" spans="9:37" x14ac:dyDescent="0.2">
      <c r="I187" t="str">
        <f t="shared" si="37"/>
        <v/>
      </c>
      <c r="J187" t="str">
        <f t="shared" si="44"/>
        <v/>
      </c>
      <c r="K187" t="str">
        <f t="shared" si="45"/>
        <v/>
      </c>
      <c r="L187" t="str">
        <f t="shared" si="46"/>
        <v/>
      </c>
      <c r="M187" t="str">
        <f t="shared" si="47"/>
        <v/>
      </c>
      <c r="N187" t="str">
        <f t="shared" si="38"/>
        <v/>
      </c>
      <c r="X187" t="str">
        <f t="shared" si="39"/>
        <v/>
      </c>
      <c r="Y187" t="str">
        <f t="shared" si="40"/>
        <v/>
      </c>
      <c r="Z187" t="str">
        <f t="shared" si="49"/>
        <v/>
      </c>
      <c r="AA187" t="str">
        <f t="shared" si="50"/>
        <v/>
      </c>
      <c r="AB187" t="str">
        <f t="shared" si="51"/>
        <v/>
      </c>
      <c r="AC187" t="str">
        <f t="shared" si="48"/>
        <v/>
      </c>
      <c r="AF187" t="s">
        <v>65</v>
      </c>
      <c r="AG187" t="s">
        <v>90</v>
      </c>
      <c r="AH187" t="str">
        <f>IF(Table4[[#This Row],[Nilai]]="","",VLOOKUP(Table4[[#This Row],[Helper]],$I$5:$L$380,4,FALSE))</f>
        <v/>
      </c>
      <c r="AI187" t="s">
        <v>499</v>
      </c>
      <c r="AJ187" t="str">
        <f t="shared" si="42"/>
        <v>12AKarakterWk.16</v>
      </c>
      <c r="AK187" s="24" t="str">
        <f t="shared" si="43"/>
        <v/>
      </c>
    </row>
    <row r="188" spans="9:37" x14ac:dyDescent="0.2">
      <c r="I188" t="str">
        <f t="shared" si="37"/>
        <v/>
      </c>
      <c r="J188" t="str">
        <f t="shared" si="44"/>
        <v/>
      </c>
      <c r="K188" t="str">
        <f t="shared" si="45"/>
        <v/>
      </c>
      <c r="L188" t="str">
        <f t="shared" si="46"/>
        <v/>
      </c>
      <c r="M188" t="str">
        <f t="shared" si="47"/>
        <v/>
      </c>
      <c r="N188" t="str">
        <f t="shared" si="38"/>
        <v/>
      </c>
      <c r="X188" t="str">
        <f t="shared" si="39"/>
        <v/>
      </c>
      <c r="Y188" t="str">
        <f t="shared" si="40"/>
        <v/>
      </c>
      <c r="Z188" t="str">
        <f t="shared" si="49"/>
        <v/>
      </c>
      <c r="AA188" t="str">
        <f t="shared" si="50"/>
        <v/>
      </c>
      <c r="AB188" t="str">
        <f t="shared" si="51"/>
        <v/>
      </c>
      <c r="AC188" t="str">
        <f t="shared" si="48"/>
        <v/>
      </c>
      <c r="AF188" t="s">
        <v>65</v>
      </c>
      <c r="AG188" t="s">
        <v>90</v>
      </c>
      <c r="AH188" t="str">
        <f>IF(Table4[[#This Row],[Nilai]]="","",VLOOKUP(Table4[[#This Row],[Helper]],$I$5:$L$380,4,FALSE))</f>
        <v/>
      </c>
      <c r="AI188" t="s">
        <v>500</v>
      </c>
      <c r="AJ188" t="str">
        <f t="shared" si="42"/>
        <v>12AKarakterWk.17</v>
      </c>
      <c r="AK188" s="24" t="str">
        <f t="shared" si="43"/>
        <v/>
      </c>
    </row>
    <row r="189" spans="9:37" x14ac:dyDescent="0.2">
      <c r="I189" t="str">
        <f t="shared" si="37"/>
        <v/>
      </c>
      <c r="J189" t="str">
        <f t="shared" si="44"/>
        <v/>
      </c>
      <c r="K189" t="str">
        <f t="shared" si="45"/>
        <v/>
      </c>
      <c r="L189" t="str">
        <f t="shared" si="46"/>
        <v/>
      </c>
      <c r="M189" t="str">
        <f t="shared" si="47"/>
        <v/>
      </c>
      <c r="N189" t="str">
        <f t="shared" si="38"/>
        <v/>
      </c>
      <c r="X189" t="str">
        <f t="shared" si="39"/>
        <v/>
      </c>
      <c r="Y189" t="str">
        <f t="shared" si="40"/>
        <v/>
      </c>
      <c r="Z189" t="str">
        <f t="shared" si="49"/>
        <v/>
      </c>
      <c r="AA189" t="str">
        <f t="shared" si="50"/>
        <v/>
      </c>
      <c r="AB189" t="str">
        <f t="shared" si="51"/>
        <v/>
      </c>
      <c r="AC189" t="str">
        <f t="shared" si="48"/>
        <v/>
      </c>
      <c r="AF189" t="s">
        <v>65</v>
      </c>
      <c r="AG189" t="s">
        <v>90</v>
      </c>
      <c r="AH189" t="str">
        <f>IF(Table4[[#This Row],[Nilai]]="","",VLOOKUP(Table4[[#This Row],[Helper]],$I$5:$L$380,4,FALSE))</f>
        <v/>
      </c>
      <c r="AI189" t="s">
        <v>501</v>
      </c>
      <c r="AJ189" t="str">
        <f t="shared" si="42"/>
        <v>12AKarakterWk.18</v>
      </c>
      <c r="AK189" s="24" t="str">
        <f t="shared" si="43"/>
        <v/>
      </c>
    </row>
    <row r="190" spans="9:37" x14ac:dyDescent="0.2">
      <c r="I190" t="str">
        <f t="shared" si="37"/>
        <v/>
      </c>
      <c r="J190" t="str">
        <f t="shared" si="44"/>
        <v/>
      </c>
      <c r="K190" t="str">
        <f t="shared" si="45"/>
        <v/>
      </c>
      <c r="L190" t="str">
        <f t="shared" si="46"/>
        <v/>
      </c>
      <c r="M190" t="str">
        <f t="shared" si="47"/>
        <v/>
      </c>
      <c r="N190" t="str">
        <f t="shared" si="38"/>
        <v/>
      </c>
      <c r="X190" t="str">
        <f t="shared" si="39"/>
        <v/>
      </c>
      <c r="Y190" t="str">
        <f t="shared" si="40"/>
        <v/>
      </c>
      <c r="Z190" t="str">
        <f t="shared" si="49"/>
        <v/>
      </c>
      <c r="AA190" t="str">
        <f t="shared" si="50"/>
        <v/>
      </c>
      <c r="AB190" t="str">
        <f t="shared" si="51"/>
        <v/>
      </c>
      <c r="AC190" t="str">
        <f t="shared" si="48"/>
        <v/>
      </c>
      <c r="AF190" t="s">
        <v>65</v>
      </c>
      <c r="AG190" t="s">
        <v>90</v>
      </c>
      <c r="AH190" t="str">
        <f>IF(Table4[[#This Row],[Nilai]]="","",VLOOKUP(Table4[[#This Row],[Helper]],$I$5:$L$380,4,FALSE))</f>
        <v/>
      </c>
      <c r="AI190" t="s">
        <v>502</v>
      </c>
      <c r="AJ190" t="str">
        <f t="shared" si="42"/>
        <v>12AKarakterWk.19</v>
      </c>
      <c r="AK190" s="24" t="str">
        <f t="shared" si="43"/>
        <v/>
      </c>
    </row>
    <row r="191" spans="9:37" x14ac:dyDescent="0.2">
      <c r="I191" t="str">
        <f t="shared" si="37"/>
        <v/>
      </c>
      <c r="J191" t="str">
        <f t="shared" si="44"/>
        <v/>
      </c>
      <c r="K191" t="str">
        <f t="shared" si="45"/>
        <v/>
      </c>
      <c r="L191" t="str">
        <f t="shared" si="46"/>
        <v/>
      </c>
      <c r="M191" t="str">
        <f t="shared" si="47"/>
        <v/>
      </c>
      <c r="N191" t="str">
        <f t="shared" si="38"/>
        <v/>
      </c>
      <c r="X191" t="str">
        <f t="shared" si="39"/>
        <v/>
      </c>
      <c r="Y191" t="str">
        <f t="shared" si="40"/>
        <v/>
      </c>
      <c r="Z191" t="str">
        <f t="shared" si="49"/>
        <v/>
      </c>
      <c r="AA191" t="str">
        <f t="shared" si="50"/>
        <v/>
      </c>
      <c r="AB191" t="str">
        <f t="shared" si="51"/>
        <v/>
      </c>
      <c r="AC191" t="str">
        <f t="shared" si="48"/>
        <v/>
      </c>
      <c r="AF191" t="s">
        <v>65</v>
      </c>
      <c r="AG191" t="s">
        <v>90</v>
      </c>
      <c r="AH191" t="str">
        <f>IF(Table4[[#This Row],[Nilai]]="","",VLOOKUP(Table4[[#This Row],[Helper]],$I$5:$L$380,4,FALSE))</f>
        <v/>
      </c>
      <c r="AI191" t="s">
        <v>503</v>
      </c>
      <c r="AJ191" t="str">
        <f t="shared" si="42"/>
        <v>12AKarakterWk.20</v>
      </c>
      <c r="AK191" s="24" t="str">
        <f t="shared" si="43"/>
        <v/>
      </c>
    </row>
    <row r="192" spans="9:37" x14ac:dyDescent="0.2">
      <c r="I192" t="str">
        <f t="shared" si="37"/>
        <v/>
      </c>
      <c r="J192" t="str">
        <f t="shared" si="44"/>
        <v/>
      </c>
      <c r="K192" t="str">
        <f t="shared" si="45"/>
        <v/>
      </c>
      <c r="L192" t="str">
        <f t="shared" si="46"/>
        <v/>
      </c>
      <c r="M192" t="str">
        <f t="shared" si="47"/>
        <v/>
      </c>
      <c r="N192" t="str">
        <f t="shared" si="38"/>
        <v/>
      </c>
      <c r="X192" t="str">
        <f t="shared" si="39"/>
        <v/>
      </c>
      <c r="Y192" t="str">
        <f t="shared" si="40"/>
        <v/>
      </c>
      <c r="Z192" t="str">
        <f t="shared" si="49"/>
        <v/>
      </c>
      <c r="AA192" t="str">
        <f t="shared" si="50"/>
        <v/>
      </c>
      <c r="AB192" t="str">
        <f t="shared" si="51"/>
        <v/>
      </c>
      <c r="AC192" t="str">
        <f t="shared" si="48"/>
        <v/>
      </c>
      <c r="AF192" t="s">
        <v>65</v>
      </c>
      <c r="AG192" t="s">
        <v>90</v>
      </c>
      <c r="AH192" t="str">
        <f>IF(Table4[[#This Row],[Nilai]]="","",VLOOKUP(Table4[[#This Row],[Helper]],$I$5:$L$380,4,FALSE))</f>
        <v/>
      </c>
      <c r="AI192" t="s">
        <v>504</v>
      </c>
      <c r="AJ192" t="str">
        <f t="shared" si="42"/>
        <v>12AKarakterWk.21</v>
      </c>
      <c r="AK192" s="24" t="str">
        <f t="shared" si="43"/>
        <v/>
      </c>
    </row>
    <row r="193" spans="9:37" x14ac:dyDescent="0.2">
      <c r="I193" t="str">
        <f t="shared" si="37"/>
        <v/>
      </c>
      <c r="J193" t="str">
        <f t="shared" si="44"/>
        <v/>
      </c>
      <c r="K193" t="str">
        <f t="shared" si="45"/>
        <v/>
      </c>
      <c r="L193" t="str">
        <f t="shared" si="46"/>
        <v/>
      </c>
      <c r="M193" t="str">
        <f t="shared" si="47"/>
        <v/>
      </c>
      <c r="N193" t="str">
        <f t="shared" si="38"/>
        <v/>
      </c>
      <c r="X193" t="str">
        <f t="shared" si="39"/>
        <v/>
      </c>
      <c r="Y193" t="str">
        <f t="shared" si="40"/>
        <v/>
      </c>
      <c r="Z193" t="str">
        <f t="shared" si="49"/>
        <v/>
      </c>
      <c r="AA193" t="str">
        <f t="shared" si="50"/>
        <v/>
      </c>
      <c r="AB193" t="str">
        <f t="shared" si="51"/>
        <v/>
      </c>
      <c r="AC193" t="str">
        <f t="shared" si="48"/>
        <v/>
      </c>
      <c r="AF193" t="s">
        <v>65</v>
      </c>
      <c r="AG193" t="s">
        <v>90</v>
      </c>
      <c r="AH193" t="str">
        <f>IF(Table4[[#This Row],[Nilai]]="","",VLOOKUP(Table4[[#This Row],[Helper]],$I$5:$L$380,4,FALSE))</f>
        <v/>
      </c>
      <c r="AI193" t="s">
        <v>505</v>
      </c>
      <c r="AJ193" t="str">
        <f t="shared" si="42"/>
        <v>12AKarakterWk.22</v>
      </c>
      <c r="AK193" s="24" t="str">
        <f t="shared" si="43"/>
        <v/>
      </c>
    </row>
    <row r="194" spans="9:37" x14ac:dyDescent="0.2">
      <c r="I194" t="str">
        <f t="shared" si="37"/>
        <v/>
      </c>
      <c r="J194" t="str">
        <f t="shared" si="44"/>
        <v/>
      </c>
      <c r="K194" t="str">
        <f t="shared" si="45"/>
        <v/>
      </c>
      <c r="L194" t="str">
        <f t="shared" si="46"/>
        <v/>
      </c>
      <c r="M194" t="str">
        <f t="shared" si="47"/>
        <v/>
      </c>
      <c r="N194" t="str">
        <f t="shared" si="38"/>
        <v/>
      </c>
      <c r="X194" t="str">
        <f t="shared" si="39"/>
        <v/>
      </c>
      <c r="Y194" t="str">
        <f t="shared" si="40"/>
        <v/>
      </c>
      <c r="Z194" t="str">
        <f t="shared" si="49"/>
        <v/>
      </c>
      <c r="AA194" t="str">
        <f t="shared" si="50"/>
        <v/>
      </c>
      <c r="AB194" t="str">
        <f t="shared" si="51"/>
        <v/>
      </c>
      <c r="AC194" t="str">
        <f t="shared" si="48"/>
        <v/>
      </c>
      <c r="AF194" t="s">
        <v>65</v>
      </c>
      <c r="AG194" t="s">
        <v>90</v>
      </c>
      <c r="AH194" t="str">
        <f>IF(Table4[[#This Row],[Nilai]]="","",VLOOKUP(Table4[[#This Row],[Helper]],$I$5:$L$380,4,FALSE))</f>
        <v/>
      </c>
      <c r="AI194" t="s">
        <v>506</v>
      </c>
      <c r="AJ194" t="str">
        <f t="shared" si="42"/>
        <v>12AKarakterWk.23</v>
      </c>
      <c r="AK194" s="24" t="str">
        <f t="shared" si="43"/>
        <v/>
      </c>
    </row>
    <row r="195" spans="9:37" x14ac:dyDescent="0.2">
      <c r="I195" t="str">
        <f t="shared" si="37"/>
        <v/>
      </c>
      <c r="J195" t="str">
        <f t="shared" si="44"/>
        <v/>
      </c>
      <c r="K195" t="str">
        <f t="shared" si="45"/>
        <v/>
      </c>
      <c r="L195" t="str">
        <f t="shared" si="46"/>
        <v/>
      </c>
      <c r="M195" t="str">
        <f t="shared" si="47"/>
        <v/>
      </c>
      <c r="N195" t="str">
        <f t="shared" si="38"/>
        <v/>
      </c>
      <c r="X195" t="str">
        <f t="shared" si="39"/>
        <v/>
      </c>
      <c r="Y195" t="str">
        <f t="shared" si="40"/>
        <v/>
      </c>
      <c r="Z195" t="str">
        <f t="shared" si="49"/>
        <v/>
      </c>
      <c r="AA195" t="str">
        <f t="shared" si="50"/>
        <v/>
      </c>
      <c r="AB195" t="str">
        <f t="shared" si="51"/>
        <v/>
      </c>
      <c r="AC195" t="str">
        <f t="shared" si="48"/>
        <v/>
      </c>
      <c r="AF195" t="s">
        <v>65</v>
      </c>
      <c r="AG195" t="s">
        <v>90</v>
      </c>
      <c r="AH195" t="str">
        <f>IF(Table4[[#This Row],[Nilai]]="","",VLOOKUP(Table4[[#This Row],[Helper]],$I$5:$L$380,4,FALSE))</f>
        <v/>
      </c>
      <c r="AI195" t="s">
        <v>507</v>
      </c>
      <c r="AJ195" t="str">
        <f t="shared" si="42"/>
        <v>12AKarakterWk.24</v>
      </c>
      <c r="AK195" s="24" t="str">
        <f t="shared" si="43"/>
        <v/>
      </c>
    </row>
    <row r="196" spans="9:37" x14ac:dyDescent="0.2">
      <c r="I196" t="str">
        <f t="shared" si="37"/>
        <v/>
      </c>
      <c r="J196" t="str">
        <f t="shared" si="44"/>
        <v/>
      </c>
      <c r="K196" t="str">
        <f t="shared" si="45"/>
        <v/>
      </c>
      <c r="L196" t="str">
        <f t="shared" si="46"/>
        <v/>
      </c>
      <c r="M196" t="str">
        <f t="shared" si="47"/>
        <v/>
      </c>
      <c r="N196" t="str">
        <f t="shared" si="38"/>
        <v/>
      </c>
      <c r="X196" t="str">
        <f t="shared" si="39"/>
        <v/>
      </c>
      <c r="Y196" t="str">
        <f t="shared" si="40"/>
        <v/>
      </c>
      <c r="Z196" t="str">
        <f t="shared" si="49"/>
        <v/>
      </c>
      <c r="AA196" t="str">
        <f t="shared" si="50"/>
        <v/>
      </c>
      <c r="AB196" t="str">
        <f t="shared" si="51"/>
        <v/>
      </c>
      <c r="AC196" t="str">
        <f t="shared" si="48"/>
        <v/>
      </c>
      <c r="AF196" t="s">
        <v>65</v>
      </c>
      <c r="AG196" t="s">
        <v>90</v>
      </c>
      <c r="AH196" t="str">
        <f>IF(Table4[[#This Row],[Nilai]]="","",VLOOKUP(Table4[[#This Row],[Helper]],$I$5:$L$380,4,FALSE))</f>
        <v/>
      </c>
      <c r="AI196" t="s">
        <v>508</v>
      </c>
      <c r="AJ196" t="str">
        <f t="shared" si="42"/>
        <v>12AKarakterWk.25</v>
      </c>
      <c r="AK196" s="24" t="str">
        <f t="shared" si="43"/>
        <v/>
      </c>
    </row>
    <row r="197" spans="9:37" x14ac:dyDescent="0.2">
      <c r="I197" t="str">
        <f t="shared" si="37"/>
        <v/>
      </c>
      <c r="J197" t="str">
        <f t="shared" si="44"/>
        <v/>
      </c>
      <c r="K197" t="str">
        <f t="shared" si="45"/>
        <v/>
      </c>
      <c r="L197" t="str">
        <f t="shared" si="46"/>
        <v/>
      </c>
      <c r="M197" t="str">
        <f t="shared" si="47"/>
        <v/>
      </c>
      <c r="N197" t="str">
        <f t="shared" si="38"/>
        <v/>
      </c>
      <c r="X197" t="str">
        <f t="shared" si="39"/>
        <v/>
      </c>
      <c r="Y197" t="str">
        <f t="shared" si="40"/>
        <v/>
      </c>
      <c r="Z197" t="str">
        <f t="shared" si="49"/>
        <v/>
      </c>
      <c r="AA197" t="str">
        <f t="shared" si="50"/>
        <v/>
      </c>
      <c r="AB197" t="str">
        <f t="shared" si="51"/>
        <v/>
      </c>
      <c r="AC197" t="str">
        <f t="shared" si="48"/>
        <v/>
      </c>
      <c r="AF197" t="s">
        <v>54</v>
      </c>
      <c r="AG197" t="s">
        <v>279</v>
      </c>
      <c r="AH197" t="str">
        <f>IF(Table4[[#This Row],[Nilai]]="","",VLOOKUP(Table4[[#This Row],[Helper]],$I$5:$L$380,4,FALSE))</f>
        <v/>
      </c>
      <c r="AI197" t="s">
        <v>466</v>
      </c>
      <c r="AJ197" t="str">
        <f t="shared" si="42"/>
        <v>11AMinatWk.2</v>
      </c>
      <c r="AK197" s="24" t="str">
        <f t="shared" si="43"/>
        <v/>
      </c>
    </row>
    <row r="198" spans="9:37" x14ac:dyDescent="0.2">
      <c r="I198" t="str">
        <f t="shared" ref="I198:I261" si="52">J198&amp;K198&amp;M198</f>
        <v/>
      </c>
      <c r="J198" t="str">
        <f t="shared" si="44"/>
        <v/>
      </c>
      <c r="K198" t="str">
        <f t="shared" si="45"/>
        <v/>
      </c>
      <c r="L198" t="str">
        <f t="shared" si="46"/>
        <v/>
      </c>
      <c r="M198" t="str">
        <f t="shared" si="47"/>
        <v/>
      </c>
      <c r="N198" t="str">
        <f t="shared" ref="N198:N261" si="53">IF(E198="","",E198)</f>
        <v/>
      </c>
      <c r="X198" t="str">
        <f t="shared" ref="X198:X200" si="54">Y198&amp;Z198&amp;AB198</f>
        <v/>
      </c>
      <c r="Y198" t="str">
        <f t="shared" ref="Y198:Y200" si="55">IF(Q198="","",Q198)</f>
        <v/>
      </c>
      <c r="Z198" t="str">
        <f t="shared" si="49"/>
        <v/>
      </c>
      <c r="AA198" t="str">
        <f t="shared" si="50"/>
        <v/>
      </c>
      <c r="AB198" t="str">
        <f t="shared" si="51"/>
        <v/>
      </c>
      <c r="AC198" t="str">
        <f t="shared" si="48"/>
        <v/>
      </c>
      <c r="AF198" t="s">
        <v>54</v>
      </c>
      <c r="AG198" t="s">
        <v>279</v>
      </c>
      <c r="AH198" t="str">
        <f>IF(Table4[[#This Row],[Nilai]]="","",VLOOKUP(Table4[[#This Row],[Helper]],$I$5:$L$380,4,FALSE))</f>
        <v>Jan</v>
      </c>
      <c r="AI198" t="s">
        <v>461</v>
      </c>
      <c r="AJ198" t="str">
        <f t="shared" ref="AJ198:AJ261" si="56">AF198&amp;AG198&amp;AI198</f>
        <v>11AMinatWk.3</v>
      </c>
      <c r="AK198" s="24">
        <f t="shared" ref="AK198:AK244" si="57">IFERROR(VLOOKUP(AJ198,$I$5:$N$380,6,),"")</f>
        <v>70.264705882352942</v>
      </c>
    </row>
    <row r="199" spans="9:37" x14ac:dyDescent="0.2">
      <c r="I199" t="str">
        <f t="shared" si="52"/>
        <v/>
      </c>
      <c r="J199" t="str">
        <f t="shared" si="44"/>
        <v/>
      </c>
      <c r="K199" t="str">
        <f t="shared" si="45"/>
        <v/>
      </c>
      <c r="L199" t="str">
        <f t="shared" si="46"/>
        <v/>
      </c>
      <c r="M199" t="str">
        <f t="shared" si="47"/>
        <v/>
      </c>
      <c r="N199" t="str">
        <f t="shared" si="53"/>
        <v/>
      </c>
      <c r="X199" t="str">
        <f t="shared" si="54"/>
        <v/>
      </c>
      <c r="Y199" t="str">
        <f t="shared" si="55"/>
        <v/>
      </c>
      <c r="Z199" t="str">
        <f t="shared" si="49"/>
        <v/>
      </c>
      <c r="AA199" t="str">
        <f t="shared" si="50"/>
        <v/>
      </c>
      <c r="AB199" t="str">
        <f t="shared" si="51"/>
        <v/>
      </c>
      <c r="AC199" t="str">
        <f t="shared" si="48"/>
        <v/>
      </c>
      <c r="AF199" t="s">
        <v>54</v>
      </c>
      <c r="AG199" t="s">
        <v>279</v>
      </c>
      <c r="AH199" t="str">
        <f>IF(Table4[[#This Row],[Nilai]]="","",VLOOKUP(Table4[[#This Row],[Helper]],$I$5:$L$380,4,FALSE))</f>
        <v>Jan</v>
      </c>
      <c r="AI199" t="s">
        <v>462</v>
      </c>
      <c r="AJ199" t="str">
        <f t="shared" si="56"/>
        <v>11AMinatWk.4</v>
      </c>
      <c r="AK199" s="24">
        <f t="shared" si="57"/>
        <v>69.545454545454547</v>
      </c>
    </row>
    <row r="200" spans="9:37" x14ac:dyDescent="0.2">
      <c r="I200" t="str">
        <f t="shared" si="52"/>
        <v/>
      </c>
      <c r="J200" t="str">
        <f t="shared" si="44"/>
        <v/>
      </c>
      <c r="K200" t="str">
        <f t="shared" si="45"/>
        <v/>
      </c>
      <c r="L200" t="str">
        <f t="shared" si="46"/>
        <v/>
      </c>
      <c r="M200" t="str">
        <f t="shared" si="47"/>
        <v/>
      </c>
      <c r="N200" t="str">
        <f t="shared" si="53"/>
        <v/>
      </c>
      <c r="X200" t="str">
        <f t="shared" si="54"/>
        <v/>
      </c>
      <c r="Y200" t="str">
        <f t="shared" si="55"/>
        <v/>
      </c>
      <c r="Z200" t="str">
        <f t="shared" si="49"/>
        <v/>
      </c>
      <c r="AA200" t="str">
        <f t="shared" si="50"/>
        <v/>
      </c>
      <c r="AB200" t="str">
        <f t="shared" si="51"/>
        <v/>
      </c>
      <c r="AC200" t="str">
        <f t="shared" si="48"/>
        <v/>
      </c>
      <c r="AF200" t="s">
        <v>54</v>
      </c>
      <c r="AG200" t="s">
        <v>279</v>
      </c>
      <c r="AH200" t="str">
        <f>IF(Table4[[#This Row],[Nilai]]="","",VLOOKUP(Table4[[#This Row],[Helper]],$I$5:$L$380,4,FALSE))</f>
        <v>Jan</v>
      </c>
      <c r="AI200" t="s">
        <v>463</v>
      </c>
      <c r="AJ200" t="str">
        <f t="shared" si="56"/>
        <v>11AMinatWk.5</v>
      </c>
      <c r="AK200" s="24">
        <f t="shared" si="57"/>
        <v>69.727272727272734</v>
      </c>
    </row>
    <row r="201" spans="9:37" x14ac:dyDescent="0.2">
      <c r="I201" t="str">
        <f t="shared" si="52"/>
        <v/>
      </c>
      <c r="J201" t="str">
        <f t="shared" si="44"/>
        <v/>
      </c>
      <c r="K201" t="str">
        <f t="shared" si="45"/>
        <v/>
      </c>
      <c r="L201" t="str">
        <f t="shared" si="46"/>
        <v/>
      </c>
      <c r="M201" t="str">
        <f t="shared" si="47"/>
        <v/>
      </c>
      <c r="N201" t="str">
        <f t="shared" si="53"/>
        <v/>
      </c>
      <c r="AF201" t="s">
        <v>54</v>
      </c>
      <c r="AG201" t="s">
        <v>279</v>
      </c>
      <c r="AH201" t="str">
        <f>IF(Table4[[#This Row],[Nilai]]="","",VLOOKUP(Table4[[#This Row],[Helper]],$I$5:$L$380,4,FALSE))</f>
        <v>Feb</v>
      </c>
      <c r="AI201" t="s">
        <v>464</v>
      </c>
      <c r="AJ201" t="str">
        <f t="shared" si="56"/>
        <v>11AMinatWk.6</v>
      </c>
      <c r="AK201" s="24">
        <f t="shared" si="57"/>
        <v>70.411764705882348</v>
      </c>
    </row>
    <row r="202" spans="9:37" x14ac:dyDescent="0.2">
      <c r="I202" t="str">
        <f t="shared" si="52"/>
        <v/>
      </c>
      <c r="J202" t="str">
        <f t="shared" si="44"/>
        <v/>
      </c>
      <c r="K202" t="str">
        <f t="shared" si="45"/>
        <v/>
      </c>
      <c r="L202" t="str">
        <f t="shared" si="46"/>
        <v/>
      </c>
      <c r="M202" t="str">
        <f t="shared" si="47"/>
        <v/>
      </c>
      <c r="N202" t="str">
        <f t="shared" si="53"/>
        <v/>
      </c>
      <c r="AF202" t="s">
        <v>54</v>
      </c>
      <c r="AG202" t="s">
        <v>279</v>
      </c>
      <c r="AH202" t="str">
        <f>IF(Table4[[#This Row],[Nilai]]="","",VLOOKUP(Table4[[#This Row],[Helper]],$I$5:$L$380,4,FALSE))</f>
        <v>Feb</v>
      </c>
      <c r="AI202" t="s">
        <v>465</v>
      </c>
      <c r="AJ202" t="str">
        <f t="shared" si="56"/>
        <v>11AMinatWk.7</v>
      </c>
      <c r="AK202" s="24">
        <f t="shared" si="57"/>
        <v>69</v>
      </c>
    </row>
    <row r="203" spans="9:37" x14ac:dyDescent="0.2">
      <c r="I203" t="str">
        <f t="shared" si="52"/>
        <v/>
      </c>
      <c r="J203" t="str">
        <f t="shared" si="44"/>
        <v/>
      </c>
      <c r="K203" t="str">
        <f t="shared" si="45"/>
        <v/>
      </c>
      <c r="L203" t="str">
        <f t="shared" si="46"/>
        <v/>
      </c>
      <c r="M203" t="str">
        <f t="shared" si="47"/>
        <v/>
      </c>
      <c r="N203" t="str">
        <f t="shared" si="53"/>
        <v/>
      </c>
      <c r="AF203" t="s">
        <v>54</v>
      </c>
      <c r="AG203" t="s">
        <v>279</v>
      </c>
      <c r="AH203" t="str">
        <f>IF(Table4[[#This Row],[Nilai]]="","",VLOOKUP(Table4[[#This Row],[Helper]],$I$5:$L$380,4,FALSE))</f>
        <v>Feb</v>
      </c>
      <c r="AI203" t="s">
        <v>467</v>
      </c>
      <c r="AJ203" t="str">
        <f t="shared" si="56"/>
        <v>11AMinatWk.8</v>
      </c>
      <c r="AK203" s="24">
        <f t="shared" si="57"/>
        <v>72.545454545454547</v>
      </c>
    </row>
    <row r="204" spans="9:37" x14ac:dyDescent="0.2">
      <c r="I204" t="str">
        <f t="shared" si="52"/>
        <v/>
      </c>
      <c r="J204" t="str">
        <f t="shared" si="44"/>
        <v/>
      </c>
      <c r="K204" t="str">
        <f t="shared" si="45"/>
        <v/>
      </c>
      <c r="L204" t="str">
        <f t="shared" si="46"/>
        <v/>
      </c>
      <c r="M204" t="str">
        <f t="shared" si="47"/>
        <v/>
      </c>
      <c r="N204" t="str">
        <f t="shared" si="53"/>
        <v/>
      </c>
      <c r="AF204" t="s">
        <v>54</v>
      </c>
      <c r="AG204" t="s">
        <v>279</v>
      </c>
      <c r="AH204" t="str">
        <f>IF(Table4[[#This Row],[Nilai]]="","",VLOOKUP(Table4[[#This Row],[Helper]],$I$5:$L$380,4,FALSE))</f>
        <v/>
      </c>
      <c r="AI204" t="s">
        <v>486</v>
      </c>
      <c r="AJ204" t="str">
        <f t="shared" si="56"/>
        <v>11AMinatWk.9</v>
      </c>
      <c r="AK204" s="24" t="str">
        <f t="shared" si="57"/>
        <v/>
      </c>
    </row>
    <row r="205" spans="9:37" x14ac:dyDescent="0.2">
      <c r="I205" t="str">
        <f t="shared" si="52"/>
        <v/>
      </c>
      <c r="J205" t="str">
        <f t="shared" si="44"/>
        <v/>
      </c>
      <c r="K205" t="str">
        <f t="shared" si="45"/>
        <v/>
      </c>
      <c r="L205" t="str">
        <f t="shared" si="46"/>
        <v/>
      </c>
      <c r="M205" t="str">
        <f t="shared" si="47"/>
        <v/>
      </c>
      <c r="N205" t="str">
        <f t="shared" si="53"/>
        <v/>
      </c>
      <c r="AF205" t="s">
        <v>54</v>
      </c>
      <c r="AG205" t="s">
        <v>279</v>
      </c>
      <c r="AH205" t="str">
        <f>IF(Table4[[#This Row],[Nilai]]="","",VLOOKUP(Table4[[#This Row],[Helper]],$I$5:$L$380,4,FALSE))</f>
        <v/>
      </c>
      <c r="AI205" t="s">
        <v>493</v>
      </c>
      <c r="AJ205" t="str">
        <f t="shared" si="56"/>
        <v>11AMinatWk.10</v>
      </c>
      <c r="AK205" s="24" t="str">
        <f t="shared" si="57"/>
        <v/>
      </c>
    </row>
    <row r="206" spans="9:37" x14ac:dyDescent="0.2">
      <c r="I206" t="str">
        <f t="shared" si="52"/>
        <v/>
      </c>
      <c r="J206" t="str">
        <f t="shared" si="44"/>
        <v/>
      </c>
      <c r="K206" t="str">
        <f t="shared" si="45"/>
        <v/>
      </c>
      <c r="L206" t="str">
        <f t="shared" si="46"/>
        <v/>
      </c>
      <c r="M206" t="str">
        <f t="shared" si="47"/>
        <v/>
      </c>
      <c r="N206" t="str">
        <f t="shared" si="53"/>
        <v/>
      </c>
      <c r="AF206" t="s">
        <v>54</v>
      </c>
      <c r="AG206" t="s">
        <v>279</v>
      </c>
      <c r="AH206" t="str">
        <f>IF(Table4[[#This Row],[Nilai]]="","",VLOOKUP(Table4[[#This Row],[Helper]],$I$5:$L$380,4,FALSE))</f>
        <v/>
      </c>
      <c r="AI206" t="s">
        <v>494</v>
      </c>
      <c r="AJ206" t="str">
        <f t="shared" si="56"/>
        <v>11AMinatWk.11</v>
      </c>
      <c r="AK206" s="24" t="str">
        <f t="shared" si="57"/>
        <v/>
      </c>
    </row>
    <row r="207" spans="9:37" x14ac:dyDescent="0.2">
      <c r="I207" t="str">
        <f t="shared" si="52"/>
        <v/>
      </c>
      <c r="J207" t="str">
        <f t="shared" si="44"/>
        <v/>
      </c>
      <c r="K207" t="str">
        <f t="shared" si="45"/>
        <v/>
      </c>
      <c r="L207" t="str">
        <f t="shared" si="46"/>
        <v/>
      </c>
      <c r="M207" t="str">
        <f t="shared" si="47"/>
        <v/>
      </c>
      <c r="N207" t="str">
        <f t="shared" si="53"/>
        <v/>
      </c>
      <c r="AF207" t="s">
        <v>54</v>
      </c>
      <c r="AG207" t="s">
        <v>279</v>
      </c>
      <c r="AH207" t="str">
        <f>IF(Table4[[#This Row],[Nilai]]="","",VLOOKUP(Table4[[#This Row],[Helper]],$I$5:$L$380,4,FALSE))</f>
        <v/>
      </c>
      <c r="AI207" t="s">
        <v>495</v>
      </c>
      <c r="AJ207" t="str">
        <f t="shared" si="56"/>
        <v>11AMinatWk.12</v>
      </c>
      <c r="AK207" s="24" t="str">
        <f t="shared" si="57"/>
        <v/>
      </c>
    </row>
    <row r="208" spans="9:37" x14ac:dyDescent="0.2">
      <c r="I208" t="str">
        <f t="shared" si="52"/>
        <v/>
      </c>
      <c r="J208" t="str">
        <f t="shared" si="44"/>
        <v/>
      </c>
      <c r="K208" t="str">
        <f t="shared" si="45"/>
        <v/>
      </c>
      <c r="L208" t="str">
        <f t="shared" si="46"/>
        <v/>
      </c>
      <c r="M208" t="str">
        <f t="shared" si="47"/>
        <v/>
      </c>
      <c r="N208" t="str">
        <f t="shared" si="53"/>
        <v/>
      </c>
      <c r="AF208" t="s">
        <v>54</v>
      </c>
      <c r="AG208" t="s">
        <v>279</v>
      </c>
      <c r="AH208" t="str">
        <f>IF(Table4[[#This Row],[Nilai]]="","",VLOOKUP(Table4[[#This Row],[Helper]],$I$5:$L$380,4,FALSE))</f>
        <v/>
      </c>
      <c r="AI208" t="s">
        <v>496</v>
      </c>
      <c r="AJ208" t="str">
        <f t="shared" si="56"/>
        <v>11AMinatWk.13</v>
      </c>
      <c r="AK208" s="24" t="str">
        <f t="shared" si="57"/>
        <v/>
      </c>
    </row>
    <row r="209" spans="9:37" x14ac:dyDescent="0.2">
      <c r="I209" t="str">
        <f t="shared" si="52"/>
        <v/>
      </c>
      <c r="J209" t="str">
        <f t="shared" si="44"/>
        <v/>
      </c>
      <c r="K209" t="str">
        <f t="shared" si="45"/>
        <v/>
      </c>
      <c r="L209" t="str">
        <f t="shared" si="46"/>
        <v/>
      </c>
      <c r="M209" t="str">
        <f t="shared" si="47"/>
        <v/>
      </c>
      <c r="N209" t="str">
        <f t="shared" si="53"/>
        <v/>
      </c>
      <c r="AF209" t="s">
        <v>54</v>
      </c>
      <c r="AG209" t="s">
        <v>279</v>
      </c>
      <c r="AH209" t="str">
        <f>IF(Table4[[#This Row],[Nilai]]="","",VLOOKUP(Table4[[#This Row],[Helper]],$I$5:$L$380,4,FALSE))</f>
        <v/>
      </c>
      <c r="AI209" t="s">
        <v>497</v>
      </c>
      <c r="AJ209" t="str">
        <f t="shared" si="56"/>
        <v>11AMinatWk.14</v>
      </c>
      <c r="AK209" s="24" t="str">
        <f t="shared" si="57"/>
        <v/>
      </c>
    </row>
    <row r="210" spans="9:37" x14ac:dyDescent="0.2">
      <c r="I210" t="str">
        <f t="shared" si="52"/>
        <v/>
      </c>
      <c r="J210" t="str">
        <f t="shared" si="44"/>
        <v/>
      </c>
      <c r="K210" t="str">
        <f t="shared" si="45"/>
        <v/>
      </c>
      <c r="L210" t="str">
        <f t="shared" si="46"/>
        <v/>
      </c>
      <c r="M210" t="str">
        <f t="shared" si="47"/>
        <v/>
      </c>
      <c r="N210" t="str">
        <f t="shared" si="53"/>
        <v/>
      </c>
      <c r="AF210" t="s">
        <v>54</v>
      </c>
      <c r="AG210" t="s">
        <v>279</v>
      </c>
      <c r="AH210" t="str">
        <f>IF(Table4[[#This Row],[Nilai]]="","",VLOOKUP(Table4[[#This Row],[Helper]],$I$5:$L$380,4,FALSE))</f>
        <v/>
      </c>
      <c r="AI210" t="s">
        <v>498</v>
      </c>
      <c r="AJ210" t="str">
        <f t="shared" si="56"/>
        <v>11AMinatWk.15</v>
      </c>
      <c r="AK210" s="24" t="str">
        <f t="shared" si="57"/>
        <v/>
      </c>
    </row>
    <row r="211" spans="9:37" x14ac:dyDescent="0.2">
      <c r="I211" t="str">
        <f t="shared" si="52"/>
        <v/>
      </c>
      <c r="J211" t="str">
        <f t="shared" si="44"/>
        <v/>
      </c>
      <c r="K211" t="str">
        <f t="shared" si="45"/>
        <v/>
      </c>
      <c r="L211" t="str">
        <f t="shared" si="46"/>
        <v/>
      </c>
      <c r="M211" t="str">
        <f t="shared" si="47"/>
        <v/>
      </c>
      <c r="N211" t="str">
        <f t="shared" si="53"/>
        <v/>
      </c>
      <c r="AF211" t="s">
        <v>54</v>
      </c>
      <c r="AG211" t="s">
        <v>279</v>
      </c>
      <c r="AH211" t="str">
        <f>IF(Table4[[#This Row],[Nilai]]="","",VLOOKUP(Table4[[#This Row],[Helper]],$I$5:$L$380,4,FALSE))</f>
        <v/>
      </c>
      <c r="AI211" t="s">
        <v>499</v>
      </c>
      <c r="AJ211" t="str">
        <f t="shared" si="56"/>
        <v>11AMinatWk.16</v>
      </c>
      <c r="AK211" s="24" t="str">
        <f t="shared" si="57"/>
        <v/>
      </c>
    </row>
    <row r="212" spans="9:37" x14ac:dyDescent="0.2">
      <c r="I212" t="str">
        <f t="shared" si="52"/>
        <v/>
      </c>
      <c r="J212" t="str">
        <f t="shared" si="44"/>
        <v/>
      </c>
      <c r="K212" t="str">
        <f t="shared" si="45"/>
        <v/>
      </c>
      <c r="L212" t="str">
        <f t="shared" si="46"/>
        <v/>
      </c>
      <c r="M212" t="str">
        <f t="shared" si="47"/>
        <v/>
      </c>
      <c r="N212" t="str">
        <f t="shared" si="53"/>
        <v/>
      </c>
      <c r="AF212" t="s">
        <v>54</v>
      </c>
      <c r="AG212" t="s">
        <v>279</v>
      </c>
      <c r="AH212" t="str">
        <f>IF(Table4[[#This Row],[Nilai]]="","",VLOOKUP(Table4[[#This Row],[Helper]],$I$5:$L$380,4,FALSE))</f>
        <v/>
      </c>
      <c r="AI212" t="s">
        <v>500</v>
      </c>
      <c r="AJ212" t="str">
        <f t="shared" si="56"/>
        <v>11AMinatWk.17</v>
      </c>
      <c r="AK212" s="24" t="str">
        <f t="shared" si="57"/>
        <v/>
      </c>
    </row>
    <row r="213" spans="9:37" x14ac:dyDescent="0.2">
      <c r="I213" t="str">
        <f t="shared" si="52"/>
        <v/>
      </c>
      <c r="J213" t="str">
        <f t="shared" si="44"/>
        <v/>
      </c>
      <c r="K213" t="str">
        <f t="shared" si="45"/>
        <v/>
      </c>
      <c r="L213" t="str">
        <f t="shared" si="46"/>
        <v/>
      </c>
      <c r="M213" t="str">
        <f t="shared" si="47"/>
        <v/>
      </c>
      <c r="N213" t="str">
        <f t="shared" si="53"/>
        <v/>
      </c>
      <c r="AF213" t="s">
        <v>54</v>
      </c>
      <c r="AG213" t="s">
        <v>279</v>
      </c>
      <c r="AH213" t="str">
        <f>IF(Table4[[#This Row],[Nilai]]="","",VLOOKUP(Table4[[#This Row],[Helper]],$I$5:$L$380,4,FALSE))</f>
        <v/>
      </c>
      <c r="AI213" t="s">
        <v>501</v>
      </c>
      <c r="AJ213" t="str">
        <f t="shared" si="56"/>
        <v>11AMinatWk.18</v>
      </c>
      <c r="AK213" s="24" t="str">
        <f t="shared" si="57"/>
        <v/>
      </c>
    </row>
    <row r="214" spans="9:37" x14ac:dyDescent="0.2">
      <c r="I214" t="str">
        <f t="shared" si="52"/>
        <v/>
      </c>
      <c r="J214" t="str">
        <f t="shared" si="44"/>
        <v/>
      </c>
      <c r="K214" t="str">
        <f t="shared" si="45"/>
        <v/>
      </c>
      <c r="L214" t="str">
        <f t="shared" si="46"/>
        <v/>
      </c>
      <c r="M214" t="str">
        <f t="shared" si="47"/>
        <v/>
      </c>
      <c r="N214" t="str">
        <f t="shared" si="53"/>
        <v/>
      </c>
      <c r="AF214" t="s">
        <v>54</v>
      </c>
      <c r="AG214" t="s">
        <v>279</v>
      </c>
      <c r="AH214" t="str">
        <f>IF(Table4[[#This Row],[Nilai]]="","",VLOOKUP(Table4[[#This Row],[Helper]],$I$5:$L$380,4,FALSE))</f>
        <v/>
      </c>
      <c r="AI214" t="s">
        <v>502</v>
      </c>
      <c r="AJ214" t="str">
        <f t="shared" si="56"/>
        <v>11AMinatWk.19</v>
      </c>
      <c r="AK214" s="24" t="str">
        <f t="shared" si="57"/>
        <v/>
      </c>
    </row>
    <row r="215" spans="9:37" x14ac:dyDescent="0.2">
      <c r="I215" t="str">
        <f t="shared" si="52"/>
        <v/>
      </c>
      <c r="J215" t="str">
        <f t="shared" si="44"/>
        <v/>
      </c>
      <c r="K215" t="str">
        <f t="shared" si="45"/>
        <v/>
      </c>
      <c r="L215" t="str">
        <f t="shared" si="46"/>
        <v/>
      </c>
      <c r="M215" t="str">
        <f t="shared" si="47"/>
        <v/>
      </c>
      <c r="N215" t="str">
        <f t="shared" si="53"/>
        <v/>
      </c>
      <c r="AF215" t="s">
        <v>54</v>
      </c>
      <c r="AG215" t="s">
        <v>279</v>
      </c>
      <c r="AH215" t="str">
        <f>IF(Table4[[#This Row],[Nilai]]="","",VLOOKUP(Table4[[#This Row],[Helper]],$I$5:$L$380,4,FALSE))</f>
        <v/>
      </c>
      <c r="AI215" t="s">
        <v>503</v>
      </c>
      <c r="AJ215" t="str">
        <f t="shared" si="56"/>
        <v>11AMinatWk.20</v>
      </c>
      <c r="AK215" s="24" t="str">
        <f t="shared" si="57"/>
        <v/>
      </c>
    </row>
    <row r="216" spans="9:37" x14ac:dyDescent="0.2">
      <c r="I216" t="str">
        <f t="shared" si="52"/>
        <v/>
      </c>
      <c r="J216" t="str">
        <f t="shared" si="44"/>
        <v/>
      </c>
      <c r="K216" t="str">
        <f t="shared" si="45"/>
        <v/>
      </c>
      <c r="L216" t="str">
        <f t="shared" si="46"/>
        <v/>
      </c>
      <c r="M216" t="str">
        <f t="shared" si="47"/>
        <v/>
      </c>
      <c r="N216" t="str">
        <f t="shared" si="53"/>
        <v/>
      </c>
      <c r="AF216" t="s">
        <v>54</v>
      </c>
      <c r="AG216" t="s">
        <v>279</v>
      </c>
      <c r="AH216" t="str">
        <f>IF(Table4[[#This Row],[Nilai]]="","",VLOOKUP(Table4[[#This Row],[Helper]],$I$5:$L$380,4,FALSE))</f>
        <v/>
      </c>
      <c r="AI216" t="s">
        <v>504</v>
      </c>
      <c r="AJ216" t="str">
        <f t="shared" si="56"/>
        <v>11AMinatWk.21</v>
      </c>
      <c r="AK216" s="24" t="str">
        <f t="shared" si="57"/>
        <v/>
      </c>
    </row>
    <row r="217" spans="9:37" x14ac:dyDescent="0.2">
      <c r="I217" t="str">
        <f t="shared" si="52"/>
        <v/>
      </c>
      <c r="J217" t="str">
        <f t="shared" si="44"/>
        <v/>
      </c>
      <c r="K217" t="str">
        <f t="shared" si="45"/>
        <v/>
      </c>
      <c r="L217" t="str">
        <f t="shared" si="46"/>
        <v/>
      </c>
      <c r="M217" t="str">
        <f t="shared" si="47"/>
        <v/>
      </c>
      <c r="N217" t="str">
        <f t="shared" si="53"/>
        <v/>
      </c>
      <c r="AF217" t="s">
        <v>54</v>
      </c>
      <c r="AG217" t="s">
        <v>279</v>
      </c>
      <c r="AH217" t="str">
        <f>IF(Table4[[#This Row],[Nilai]]="","",VLOOKUP(Table4[[#This Row],[Helper]],$I$5:$L$380,4,FALSE))</f>
        <v/>
      </c>
      <c r="AI217" t="s">
        <v>505</v>
      </c>
      <c r="AJ217" t="str">
        <f t="shared" si="56"/>
        <v>11AMinatWk.22</v>
      </c>
      <c r="AK217" s="24" t="str">
        <f t="shared" si="57"/>
        <v/>
      </c>
    </row>
    <row r="218" spans="9:37" x14ac:dyDescent="0.2">
      <c r="I218" t="str">
        <f t="shared" si="52"/>
        <v/>
      </c>
      <c r="J218" t="str">
        <f t="shared" si="44"/>
        <v/>
      </c>
      <c r="K218" t="str">
        <f t="shared" si="45"/>
        <v/>
      </c>
      <c r="L218" t="str">
        <f t="shared" si="46"/>
        <v/>
      </c>
      <c r="M218" t="str">
        <f t="shared" si="47"/>
        <v/>
      </c>
      <c r="N218" t="str">
        <f t="shared" si="53"/>
        <v/>
      </c>
      <c r="AF218" t="s">
        <v>54</v>
      </c>
      <c r="AG218" t="s">
        <v>279</v>
      </c>
      <c r="AH218" t="str">
        <f>IF(Table4[[#This Row],[Nilai]]="","",VLOOKUP(Table4[[#This Row],[Helper]],$I$5:$L$380,4,FALSE))</f>
        <v/>
      </c>
      <c r="AI218" t="s">
        <v>506</v>
      </c>
      <c r="AJ218" t="str">
        <f t="shared" si="56"/>
        <v>11AMinatWk.23</v>
      </c>
      <c r="AK218" s="24" t="str">
        <f t="shared" si="57"/>
        <v/>
      </c>
    </row>
    <row r="219" spans="9:37" x14ac:dyDescent="0.2">
      <c r="I219" t="str">
        <f t="shared" si="52"/>
        <v/>
      </c>
      <c r="J219" t="str">
        <f t="shared" si="44"/>
        <v/>
      </c>
      <c r="K219" t="str">
        <f t="shared" si="45"/>
        <v/>
      </c>
      <c r="L219" t="str">
        <f t="shared" si="46"/>
        <v/>
      </c>
      <c r="M219" t="str">
        <f t="shared" si="47"/>
        <v/>
      </c>
      <c r="N219" t="str">
        <f t="shared" si="53"/>
        <v/>
      </c>
      <c r="AF219" t="s">
        <v>54</v>
      </c>
      <c r="AG219" t="s">
        <v>279</v>
      </c>
      <c r="AH219" t="str">
        <f>IF(Table4[[#This Row],[Nilai]]="","",VLOOKUP(Table4[[#This Row],[Helper]],$I$5:$L$380,4,FALSE))</f>
        <v/>
      </c>
      <c r="AI219" t="s">
        <v>507</v>
      </c>
      <c r="AJ219" t="str">
        <f t="shared" si="56"/>
        <v>11AMinatWk.24</v>
      </c>
      <c r="AK219" s="24" t="str">
        <f t="shared" si="57"/>
        <v/>
      </c>
    </row>
    <row r="220" spans="9:37" x14ac:dyDescent="0.2">
      <c r="I220" t="str">
        <f t="shared" si="52"/>
        <v/>
      </c>
      <c r="J220" t="str">
        <f t="shared" si="44"/>
        <v/>
      </c>
      <c r="K220" t="str">
        <f t="shared" si="45"/>
        <v/>
      </c>
      <c r="L220" t="str">
        <f t="shared" si="46"/>
        <v/>
      </c>
      <c r="M220" t="str">
        <f t="shared" si="47"/>
        <v/>
      </c>
      <c r="N220" t="str">
        <f t="shared" si="53"/>
        <v/>
      </c>
      <c r="AF220" t="s">
        <v>54</v>
      </c>
      <c r="AG220" t="s">
        <v>279</v>
      </c>
      <c r="AH220" t="str">
        <f>IF(Table4[[#This Row],[Nilai]]="","",VLOOKUP(Table4[[#This Row],[Helper]],$I$5:$L$380,4,FALSE))</f>
        <v/>
      </c>
      <c r="AI220" t="s">
        <v>508</v>
      </c>
      <c r="AJ220" t="str">
        <f t="shared" si="56"/>
        <v>11AMinatWk.25</v>
      </c>
      <c r="AK220" s="24" t="str">
        <f t="shared" si="57"/>
        <v/>
      </c>
    </row>
    <row r="221" spans="9:37" x14ac:dyDescent="0.2">
      <c r="I221" t="str">
        <f t="shared" si="52"/>
        <v/>
      </c>
      <c r="J221" t="str">
        <f t="shared" si="44"/>
        <v/>
      </c>
      <c r="K221" t="str">
        <f t="shared" si="45"/>
        <v/>
      </c>
      <c r="L221" t="str">
        <f t="shared" si="46"/>
        <v/>
      </c>
      <c r="M221" t="str">
        <f t="shared" si="47"/>
        <v/>
      </c>
      <c r="N221" t="str">
        <f t="shared" si="53"/>
        <v/>
      </c>
      <c r="AF221" t="s">
        <v>65</v>
      </c>
      <c r="AG221" t="s">
        <v>279</v>
      </c>
      <c r="AH221" t="str">
        <f>IF(Table4[[#This Row],[Nilai]]="","",VLOOKUP(Table4[[#This Row],[Helper]],$X$5:$AA$200,4,FALSE))</f>
        <v/>
      </c>
      <c r="AI221" t="s">
        <v>466</v>
      </c>
      <c r="AJ221" t="str">
        <f t="shared" si="56"/>
        <v>12AMinatWk.2</v>
      </c>
      <c r="AK221" s="24" t="str">
        <f t="shared" si="57"/>
        <v/>
      </c>
    </row>
    <row r="222" spans="9:37" x14ac:dyDescent="0.2">
      <c r="I222" t="str">
        <f t="shared" si="52"/>
        <v/>
      </c>
      <c r="J222" t="str">
        <f t="shared" si="44"/>
        <v/>
      </c>
      <c r="K222" t="str">
        <f t="shared" si="45"/>
        <v/>
      </c>
      <c r="L222" t="str">
        <f t="shared" si="46"/>
        <v/>
      </c>
      <c r="M222" t="str">
        <f t="shared" si="47"/>
        <v/>
      </c>
      <c r="N222" t="str">
        <f t="shared" si="53"/>
        <v/>
      </c>
      <c r="AF222" t="s">
        <v>65</v>
      </c>
      <c r="AG222" t="s">
        <v>279</v>
      </c>
      <c r="AH222" t="e">
        <f>IF(Table4[[#This Row],[Nilai]]="","",VLOOKUP(Table4[[#This Row],[Helper]],$X$5:$AA$200,4,FALSE))</f>
        <v>#N/A</v>
      </c>
      <c r="AI222" t="s">
        <v>461</v>
      </c>
      <c r="AJ222" t="str">
        <f t="shared" si="56"/>
        <v>12AMinatWk.3</v>
      </c>
      <c r="AK222" s="24">
        <f t="shared" si="57"/>
        <v>74.5</v>
      </c>
    </row>
    <row r="223" spans="9:37" x14ac:dyDescent="0.2">
      <c r="I223" t="str">
        <f t="shared" si="52"/>
        <v/>
      </c>
      <c r="J223" t="str">
        <f t="shared" si="44"/>
        <v/>
      </c>
      <c r="K223" t="str">
        <f t="shared" si="45"/>
        <v/>
      </c>
      <c r="L223" t="str">
        <f t="shared" si="46"/>
        <v/>
      </c>
      <c r="M223" t="str">
        <f t="shared" si="47"/>
        <v/>
      </c>
      <c r="N223" t="str">
        <f t="shared" si="53"/>
        <v/>
      </c>
      <c r="AF223" t="s">
        <v>65</v>
      </c>
      <c r="AG223" t="s">
        <v>279</v>
      </c>
      <c r="AH223" t="e">
        <f>IF(Table4[[#This Row],[Nilai]]="","",VLOOKUP(Table4[[#This Row],[Helper]],$X$5:$AA$200,4,FALSE))</f>
        <v>#N/A</v>
      </c>
      <c r="AI223" t="s">
        <v>462</v>
      </c>
      <c r="AJ223" t="str">
        <f t="shared" si="56"/>
        <v>12AMinatWk.4</v>
      </c>
      <c r="AK223" s="24">
        <f t="shared" si="57"/>
        <v>72.666666666666671</v>
      </c>
    </row>
    <row r="224" spans="9:37" x14ac:dyDescent="0.2">
      <c r="I224" t="str">
        <f t="shared" si="52"/>
        <v/>
      </c>
      <c r="J224" t="str">
        <f t="shared" ref="J224:J287" si="58">IF(A224="","",A224)</f>
        <v/>
      </c>
      <c r="K224" t="str">
        <f t="shared" ref="K224:K287" si="59">IF(B224="","",B224)</f>
        <v/>
      </c>
      <c r="L224" t="str">
        <f t="shared" ref="L224:L287" si="60">IF(C224="","",C224)</f>
        <v/>
      </c>
      <c r="M224" t="str">
        <f t="shared" ref="M224:M287" si="61">IF(D224="","",D224)</f>
        <v/>
      </c>
      <c r="N224" t="str">
        <f t="shared" si="53"/>
        <v/>
      </c>
      <c r="AF224" t="s">
        <v>65</v>
      </c>
      <c r="AG224" t="s">
        <v>279</v>
      </c>
      <c r="AH224" t="e">
        <f>IF(Table4[[#This Row],[Nilai]]="","",VLOOKUP(Table4[[#This Row],[Helper]],$X$5:$AA$200,4,FALSE))</f>
        <v>#N/A</v>
      </c>
      <c r="AI224" t="s">
        <v>463</v>
      </c>
      <c r="AJ224" t="str">
        <f t="shared" si="56"/>
        <v>12AMinatWk.5</v>
      </c>
      <c r="AK224" s="24">
        <f t="shared" si="57"/>
        <v>69.777777777777771</v>
      </c>
    </row>
    <row r="225" spans="9:37" x14ac:dyDescent="0.2">
      <c r="I225" t="str">
        <f t="shared" si="52"/>
        <v/>
      </c>
      <c r="J225" t="str">
        <f t="shared" si="58"/>
        <v/>
      </c>
      <c r="K225" t="str">
        <f t="shared" si="59"/>
        <v/>
      </c>
      <c r="L225" t="str">
        <f t="shared" si="60"/>
        <v/>
      </c>
      <c r="M225" t="str">
        <f t="shared" si="61"/>
        <v/>
      </c>
      <c r="N225" t="str">
        <f t="shared" si="53"/>
        <v/>
      </c>
      <c r="AF225" t="s">
        <v>65</v>
      </c>
      <c r="AG225" t="s">
        <v>279</v>
      </c>
      <c r="AH225" t="e">
        <f>IF(Table4[[#This Row],[Nilai]]="","",VLOOKUP(Table4[[#This Row],[Helper]],$X$5:$AA$200,4,FALSE))</f>
        <v>#N/A</v>
      </c>
      <c r="AI225" t="s">
        <v>464</v>
      </c>
      <c r="AJ225" t="str">
        <f t="shared" si="56"/>
        <v>12AMinatWk.6</v>
      </c>
      <c r="AK225" s="24">
        <f t="shared" si="57"/>
        <v>70.222222222222229</v>
      </c>
    </row>
    <row r="226" spans="9:37" x14ac:dyDescent="0.2">
      <c r="I226" t="str">
        <f t="shared" si="52"/>
        <v/>
      </c>
      <c r="J226" t="str">
        <f t="shared" si="58"/>
        <v/>
      </c>
      <c r="K226" t="str">
        <f t="shared" si="59"/>
        <v/>
      </c>
      <c r="L226" t="str">
        <f t="shared" si="60"/>
        <v/>
      </c>
      <c r="M226" t="str">
        <f t="shared" si="61"/>
        <v/>
      </c>
      <c r="N226" t="str">
        <f t="shared" si="53"/>
        <v/>
      </c>
      <c r="AF226" t="s">
        <v>65</v>
      </c>
      <c r="AG226" t="s">
        <v>279</v>
      </c>
      <c r="AH226" t="e">
        <f>IF(Table4[[#This Row],[Nilai]]="","",VLOOKUP(Table4[[#This Row],[Helper]],$X$5:$AA$200,4,FALSE))</f>
        <v>#N/A</v>
      </c>
      <c r="AI226" t="s">
        <v>465</v>
      </c>
      <c r="AJ226" t="str">
        <f t="shared" si="56"/>
        <v>12AMinatWk.7</v>
      </c>
      <c r="AK226" s="24">
        <f t="shared" si="57"/>
        <v>76.055555555555557</v>
      </c>
    </row>
    <row r="227" spans="9:37" x14ac:dyDescent="0.2">
      <c r="I227" t="str">
        <f t="shared" si="52"/>
        <v/>
      </c>
      <c r="J227" t="str">
        <f t="shared" si="58"/>
        <v/>
      </c>
      <c r="K227" t="str">
        <f t="shared" si="59"/>
        <v/>
      </c>
      <c r="L227" t="str">
        <f t="shared" si="60"/>
        <v/>
      </c>
      <c r="M227" t="str">
        <f t="shared" si="61"/>
        <v/>
      </c>
      <c r="N227" t="str">
        <f t="shared" si="53"/>
        <v/>
      </c>
      <c r="AF227" t="s">
        <v>65</v>
      </c>
      <c r="AG227" t="s">
        <v>279</v>
      </c>
      <c r="AH227" t="e">
        <f>IF(Table4[[#This Row],[Nilai]]="","",VLOOKUP(Table4[[#This Row],[Helper]],$X$5:$AA$200,4,FALSE))</f>
        <v>#N/A</v>
      </c>
      <c r="AI227" t="s">
        <v>467</v>
      </c>
      <c r="AJ227" t="str">
        <f t="shared" si="56"/>
        <v>12AMinatWk.8</v>
      </c>
      <c r="AK227" s="24">
        <f t="shared" si="57"/>
        <v>70</v>
      </c>
    </row>
    <row r="228" spans="9:37" x14ac:dyDescent="0.2">
      <c r="I228" t="str">
        <f t="shared" si="52"/>
        <v/>
      </c>
      <c r="J228" t="str">
        <f t="shared" si="58"/>
        <v/>
      </c>
      <c r="K228" t="str">
        <f t="shared" si="59"/>
        <v/>
      </c>
      <c r="L228" t="str">
        <f t="shared" si="60"/>
        <v/>
      </c>
      <c r="M228" t="str">
        <f t="shared" si="61"/>
        <v/>
      </c>
      <c r="N228" t="str">
        <f t="shared" si="53"/>
        <v/>
      </c>
      <c r="AF228" t="s">
        <v>65</v>
      </c>
      <c r="AG228" t="s">
        <v>279</v>
      </c>
      <c r="AH228" t="str">
        <f>IF(Table4[[#This Row],[Nilai]]="","",VLOOKUP(Table4[[#This Row],[Helper]],$X$5:$AA$200,4,FALSE))</f>
        <v/>
      </c>
      <c r="AI228" t="s">
        <v>486</v>
      </c>
      <c r="AJ228" t="str">
        <f t="shared" si="56"/>
        <v>12AMinatWk.9</v>
      </c>
      <c r="AK228" s="24" t="str">
        <f t="shared" si="57"/>
        <v/>
      </c>
    </row>
    <row r="229" spans="9:37" x14ac:dyDescent="0.2">
      <c r="I229" t="str">
        <f t="shared" si="52"/>
        <v/>
      </c>
      <c r="J229" t="str">
        <f t="shared" si="58"/>
        <v/>
      </c>
      <c r="K229" t="str">
        <f t="shared" si="59"/>
        <v/>
      </c>
      <c r="L229" t="str">
        <f t="shared" si="60"/>
        <v/>
      </c>
      <c r="M229" t="str">
        <f t="shared" si="61"/>
        <v/>
      </c>
      <c r="N229" t="str">
        <f t="shared" si="53"/>
        <v/>
      </c>
      <c r="AF229" t="s">
        <v>65</v>
      </c>
      <c r="AG229" t="s">
        <v>279</v>
      </c>
      <c r="AH229" t="str">
        <f>IF(Table4[[#This Row],[Nilai]]="","",VLOOKUP(Table4[[#This Row],[Helper]],$X$5:$AA$200,4,FALSE))</f>
        <v/>
      </c>
      <c r="AI229" t="s">
        <v>493</v>
      </c>
      <c r="AJ229" t="str">
        <f t="shared" si="56"/>
        <v>12AMinatWk.10</v>
      </c>
      <c r="AK229" s="24" t="str">
        <f t="shared" si="57"/>
        <v/>
      </c>
    </row>
    <row r="230" spans="9:37" x14ac:dyDescent="0.2">
      <c r="I230" t="str">
        <f t="shared" si="52"/>
        <v/>
      </c>
      <c r="J230" t="str">
        <f t="shared" si="58"/>
        <v/>
      </c>
      <c r="K230" t="str">
        <f t="shared" si="59"/>
        <v/>
      </c>
      <c r="L230" t="str">
        <f t="shared" si="60"/>
        <v/>
      </c>
      <c r="M230" t="str">
        <f t="shared" si="61"/>
        <v/>
      </c>
      <c r="N230" t="str">
        <f t="shared" si="53"/>
        <v/>
      </c>
      <c r="AF230" t="s">
        <v>65</v>
      </c>
      <c r="AG230" t="s">
        <v>279</v>
      </c>
      <c r="AH230" t="str">
        <f>IF(Table4[[#This Row],[Nilai]]="","",VLOOKUP(Table4[[#This Row],[Helper]],$X$5:$AA$200,4,FALSE))</f>
        <v/>
      </c>
      <c r="AI230" t="s">
        <v>494</v>
      </c>
      <c r="AJ230" t="str">
        <f t="shared" si="56"/>
        <v>12AMinatWk.11</v>
      </c>
      <c r="AK230" s="24" t="str">
        <f t="shared" si="57"/>
        <v/>
      </c>
    </row>
    <row r="231" spans="9:37" x14ac:dyDescent="0.2">
      <c r="I231" t="str">
        <f t="shared" si="52"/>
        <v/>
      </c>
      <c r="J231" t="str">
        <f t="shared" si="58"/>
        <v/>
      </c>
      <c r="K231" t="str">
        <f t="shared" si="59"/>
        <v/>
      </c>
      <c r="L231" t="str">
        <f t="shared" si="60"/>
        <v/>
      </c>
      <c r="M231" t="str">
        <f t="shared" si="61"/>
        <v/>
      </c>
      <c r="N231" t="str">
        <f t="shared" si="53"/>
        <v/>
      </c>
      <c r="AF231" t="s">
        <v>65</v>
      </c>
      <c r="AG231" t="s">
        <v>279</v>
      </c>
      <c r="AH231" t="str">
        <f>IF(Table4[[#This Row],[Nilai]]="","",VLOOKUP(Table4[[#This Row],[Helper]],$X$5:$AA$200,4,FALSE))</f>
        <v/>
      </c>
      <c r="AI231" t="s">
        <v>495</v>
      </c>
      <c r="AJ231" t="str">
        <f t="shared" si="56"/>
        <v>12AMinatWk.12</v>
      </c>
      <c r="AK231" s="24" t="str">
        <f t="shared" si="57"/>
        <v/>
      </c>
    </row>
    <row r="232" spans="9:37" x14ac:dyDescent="0.2">
      <c r="I232" t="str">
        <f t="shared" si="52"/>
        <v/>
      </c>
      <c r="J232" t="str">
        <f t="shared" si="58"/>
        <v/>
      </c>
      <c r="K232" t="str">
        <f t="shared" si="59"/>
        <v/>
      </c>
      <c r="L232" t="str">
        <f t="shared" si="60"/>
        <v/>
      </c>
      <c r="M232" t="str">
        <f t="shared" si="61"/>
        <v/>
      </c>
      <c r="N232" t="str">
        <f t="shared" si="53"/>
        <v/>
      </c>
      <c r="AF232" t="s">
        <v>65</v>
      </c>
      <c r="AG232" t="s">
        <v>279</v>
      </c>
      <c r="AH232" t="str">
        <f>IF(Table4[[#This Row],[Nilai]]="","",VLOOKUP(Table4[[#This Row],[Helper]],$X$5:$AA$200,4,FALSE))</f>
        <v/>
      </c>
      <c r="AI232" t="s">
        <v>496</v>
      </c>
      <c r="AJ232" t="str">
        <f t="shared" si="56"/>
        <v>12AMinatWk.13</v>
      </c>
      <c r="AK232" s="24" t="str">
        <f t="shared" si="57"/>
        <v/>
      </c>
    </row>
    <row r="233" spans="9:37" x14ac:dyDescent="0.2">
      <c r="I233" t="str">
        <f t="shared" si="52"/>
        <v/>
      </c>
      <c r="J233" t="str">
        <f t="shared" si="58"/>
        <v/>
      </c>
      <c r="K233" t="str">
        <f t="shared" si="59"/>
        <v/>
      </c>
      <c r="L233" t="str">
        <f t="shared" si="60"/>
        <v/>
      </c>
      <c r="M233" t="str">
        <f t="shared" si="61"/>
        <v/>
      </c>
      <c r="N233" t="str">
        <f t="shared" si="53"/>
        <v/>
      </c>
      <c r="AF233" t="s">
        <v>65</v>
      </c>
      <c r="AG233" t="s">
        <v>279</v>
      </c>
      <c r="AH233" t="str">
        <f>IF(Table4[[#This Row],[Nilai]]="","",VLOOKUP(Table4[[#This Row],[Helper]],$X$5:$AA$200,4,FALSE))</f>
        <v/>
      </c>
      <c r="AI233" t="s">
        <v>497</v>
      </c>
      <c r="AJ233" t="str">
        <f t="shared" si="56"/>
        <v>12AMinatWk.14</v>
      </c>
      <c r="AK233" s="24" t="str">
        <f t="shared" si="57"/>
        <v/>
      </c>
    </row>
    <row r="234" spans="9:37" x14ac:dyDescent="0.2">
      <c r="I234" t="str">
        <f t="shared" si="52"/>
        <v/>
      </c>
      <c r="J234" t="str">
        <f t="shared" si="58"/>
        <v/>
      </c>
      <c r="K234" t="str">
        <f t="shared" si="59"/>
        <v/>
      </c>
      <c r="L234" t="str">
        <f t="shared" si="60"/>
        <v/>
      </c>
      <c r="M234" t="str">
        <f t="shared" si="61"/>
        <v/>
      </c>
      <c r="N234" t="str">
        <f t="shared" si="53"/>
        <v/>
      </c>
      <c r="AF234" t="s">
        <v>65</v>
      </c>
      <c r="AG234" t="s">
        <v>279</v>
      </c>
      <c r="AH234" t="str">
        <f>IF(Table4[[#This Row],[Nilai]]="","",VLOOKUP(Table4[[#This Row],[Helper]],$X$5:$AA$200,4,FALSE))</f>
        <v/>
      </c>
      <c r="AI234" t="s">
        <v>498</v>
      </c>
      <c r="AJ234" t="str">
        <f t="shared" si="56"/>
        <v>12AMinatWk.15</v>
      </c>
      <c r="AK234" s="24" t="str">
        <f t="shared" si="57"/>
        <v/>
      </c>
    </row>
    <row r="235" spans="9:37" x14ac:dyDescent="0.2">
      <c r="I235" t="str">
        <f t="shared" si="52"/>
        <v/>
      </c>
      <c r="J235" t="str">
        <f t="shared" si="58"/>
        <v/>
      </c>
      <c r="K235" t="str">
        <f t="shared" si="59"/>
        <v/>
      </c>
      <c r="L235" t="str">
        <f t="shared" si="60"/>
        <v/>
      </c>
      <c r="M235" t="str">
        <f t="shared" si="61"/>
        <v/>
      </c>
      <c r="N235" t="str">
        <f t="shared" si="53"/>
        <v/>
      </c>
      <c r="AF235" t="s">
        <v>65</v>
      </c>
      <c r="AG235" t="s">
        <v>279</v>
      </c>
      <c r="AH235" t="str">
        <f>IF(Table4[[#This Row],[Nilai]]="","",VLOOKUP(Table4[[#This Row],[Helper]],$X$5:$AA$200,4,FALSE))</f>
        <v/>
      </c>
      <c r="AI235" t="s">
        <v>499</v>
      </c>
      <c r="AJ235" t="str">
        <f t="shared" si="56"/>
        <v>12AMinatWk.16</v>
      </c>
      <c r="AK235" s="24" t="str">
        <f t="shared" si="57"/>
        <v/>
      </c>
    </row>
    <row r="236" spans="9:37" x14ac:dyDescent="0.2">
      <c r="I236" t="str">
        <f t="shared" si="52"/>
        <v/>
      </c>
      <c r="J236" t="str">
        <f t="shared" si="58"/>
        <v/>
      </c>
      <c r="K236" t="str">
        <f t="shared" si="59"/>
        <v/>
      </c>
      <c r="L236" t="str">
        <f t="shared" si="60"/>
        <v/>
      </c>
      <c r="M236" t="str">
        <f t="shared" si="61"/>
        <v/>
      </c>
      <c r="N236" t="str">
        <f t="shared" si="53"/>
        <v/>
      </c>
      <c r="AF236" t="s">
        <v>65</v>
      </c>
      <c r="AG236" t="s">
        <v>279</v>
      </c>
      <c r="AH236" t="str">
        <f>IF(Table4[[#This Row],[Nilai]]="","",VLOOKUP(Table4[[#This Row],[Helper]],$X$5:$AA$200,4,FALSE))</f>
        <v/>
      </c>
      <c r="AI236" t="s">
        <v>500</v>
      </c>
      <c r="AJ236" t="str">
        <f t="shared" si="56"/>
        <v>12AMinatWk.17</v>
      </c>
      <c r="AK236" s="24" t="str">
        <f t="shared" si="57"/>
        <v/>
      </c>
    </row>
    <row r="237" spans="9:37" x14ac:dyDescent="0.2">
      <c r="I237" t="str">
        <f t="shared" si="52"/>
        <v/>
      </c>
      <c r="J237" t="str">
        <f t="shared" si="58"/>
        <v/>
      </c>
      <c r="K237" t="str">
        <f t="shared" si="59"/>
        <v/>
      </c>
      <c r="L237" t="str">
        <f t="shared" si="60"/>
        <v/>
      </c>
      <c r="M237" t="str">
        <f t="shared" si="61"/>
        <v/>
      </c>
      <c r="N237" t="str">
        <f t="shared" si="53"/>
        <v/>
      </c>
      <c r="AF237" t="s">
        <v>65</v>
      </c>
      <c r="AG237" t="s">
        <v>279</v>
      </c>
      <c r="AH237" t="str">
        <f>IF(Table4[[#This Row],[Nilai]]="","",VLOOKUP(Table4[[#This Row],[Helper]],$X$5:$AA$200,4,FALSE))</f>
        <v/>
      </c>
      <c r="AI237" t="s">
        <v>501</v>
      </c>
      <c r="AJ237" t="str">
        <f t="shared" si="56"/>
        <v>12AMinatWk.18</v>
      </c>
      <c r="AK237" s="24" t="str">
        <f t="shared" si="57"/>
        <v/>
      </c>
    </row>
    <row r="238" spans="9:37" x14ac:dyDescent="0.2">
      <c r="I238" t="str">
        <f t="shared" si="52"/>
        <v/>
      </c>
      <c r="J238" t="str">
        <f t="shared" si="58"/>
        <v/>
      </c>
      <c r="K238" t="str">
        <f t="shared" si="59"/>
        <v/>
      </c>
      <c r="L238" t="str">
        <f t="shared" si="60"/>
        <v/>
      </c>
      <c r="M238" t="str">
        <f t="shared" si="61"/>
        <v/>
      </c>
      <c r="N238" t="str">
        <f t="shared" si="53"/>
        <v/>
      </c>
      <c r="AF238" t="s">
        <v>65</v>
      </c>
      <c r="AG238" t="s">
        <v>279</v>
      </c>
      <c r="AH238" t="str">
        <f>IF(Table4[[#This Row],[Nilai]]="","",VLOOKUP(Table4[[#This Row],[Helper]],$X$5:$AA$200,4,FALSE))</f>
        <v/>
      </c>
      <c r="AI238" t="s">
        <v>502</v>
      </c>
      <c r="AJ238" t="str">
        <f t="shared" si="56"/>
        <v>12AMinatWk.19</v>
      </c>
      <c r="AK238" s="24" t="str">
        <f t="shared" si="57"/>
        <v/>
      </c>
    </row>
    <row r="239" spans="9:37" x14ac:dyDescent="0.2">
      <c r="I239" t="str">
        <f t="shared" si="52"/>
        <v/>
      </c>
      <c r="J239" t="str">
        <f t="shared" si="58"/>
        <v/>
      </c>
      <c r="K239" t="str">
        <f t="shared" si="59"/>
        <v/>
      </c>
      <c r="L239" t="str">
        <f t="shared" si="60"/>
        <v/>
      </c>
      <c r="M239" t="str">
        <f t="shared" si="61"/>
        <v/>
      </c>
      <c r="N239" t="str">
        <f t="shared" si="53"/>
        <v/>
      </c>
      <c r="AF239" t="s">
        <v>65</v>
      </c>
      <c r="AG239" t="s">
        <v>279</v>
      </c>
      <c r="AH239" t="str">
        <f>IF(Table4[[#This Row],[Nilai]]="","",VLOOKUP(Table4[[#This Row],[Helper]],$X$5:$AA$200,4,FALSE))</f>
        <v/>
      </c>
      <c r="AI239" t="s">
        <v>503</v>
      </c>
      <c r="AJ239" t="str">
        <f t="shared" si="56"/>
        <v>12AMinatWk.20</v>
      </c>
      <c r="AK239" s="24" t="str">
        <f t="shared" si="57"/>
        <v/>
      </c>
    </row>
    <row r="240" spans="9:37" x14ac:dyDescent="0.2">
      <c r="I240" t="str">
        <f t="shared" si="52"/>
        <v/>
      </c>
      <c r="J240" t="str">
        <f t="shared" si="58"/>
        <v/>
      </c>
      <c r="K240" t="str">
        <f t="shared" si="59"/>
        <v/>
      </c>
      <c r="L240" t="str">
        <f t="shared" si="60"/>
        <v/>
      </c>
      <c r="M240" t="str">
        <f t="shared" si="61"/>
        <v/>
      </c>
      <c r="N240" t="str">
        <f t="shared" si="53"/>
        <v/>
      </c>
      <c r="AF240" t="s">
        <v>65</v>
      </c>
      <c r="AG240" t="s">
        <v>279</v>
      </c>
      <c r="AH240" t="str">
        <f>IF(Table4[[#This Row],[Nilai]]="","",VLOOKUP(Table4[[#This Row],[Helper]],$X$5:$AA$200,4,FALSE))</f>
        <v/>
      </c>
      <c r="AI240" t="s">
        <v>504</v>
      </c>
      <c r="AJ240" t="str">
        <f t="shared" si="56"/>
        <v>12AMinatWk.21</v>
      </c>
      <c r="AK240" s="24" t="str">
        <f t="shared" si="57"/>
        <v/>
      </c>
    </row>
    <row r="241" spans="9:37" x14ac:dyDescent="0.2">
      <c r="I241" t="str">
        <f t="shared" si="52"/>
        <v/>
      </c>
      <c r="J241" t="str">
        <f t="shared" si="58"/>
        <v/>
      </c>
      <c r="K241" t="str">
        <f t="shared" si="59"/>
        <v/>
      </c>
      <c r="L241" t="str">
        <f t="shared" si="60"/>
        <v/>
      </c>
      <c r="M241" t="str">
        <f t="shared" si="61"/>
        <v/>
      </c>
      <c r="N241" t="str">
        <f t="shared" si="53"/>
        <v/>
      </c>
      <c r="AF241" t="s">
        <v>65</v>
      </c>
      <c r="AG241" t="s">
        <v>279</v>
      </c>
      <c r="AH241" t="str">
        <f>IF(Table4[[#This Row],[Nilai]]="","",VLOOKUP(Table4[[#This Row],[Helper]],$X$5:$AA$200,4,FALSE))</f>
        <v/>
      </c>
      <c r="AI241" t="s">
        <v>505</v>
      </c>
      <c r="AJ241" t="str">
        <f t="shared" si="56"/>
        <v>12AMinatWk.22</v>
      </c>
      <c r="AK241" s="24" t="str">
        <f t="shared" si="57"/>
        <v/>
      </c>
    </row>
    <row r="242" spans="9:37" x14ac:dyDescent="0.2">
      <c r="I242" t="str">
        <f t="shared" si="52"/>
        <v/>
      </c>
      <c r="J242" t="str">
        <f t="shared" si="58"/>
        <v/>
      </c>
      <c r="K242" t="str">
        <f t="shared" si="59"/>
        <v/>
      </c>
      <c r="L242" t="str">
        <f t="shared" si="60"/>
        <v/>
      </c>
      <c r="M242" t="str">
        <f t="shared" si="61"/>
        <v/>
      </c>
      <c r="N242" t="str">
        <f t="shared" si="53"/>
        <v/>
      </c>
      <c r="AF242" t="s">
        <v>65</v>
      </c>
      <c r="AG242" t="s">
        <v>279</v>
      </c>
      <c r="AH242" t="str">
        <f>IF(Table4[[#This Row],[Nilai]]="","",VLOOKUP(Table4[[#This Row],[Helper]],$X$5:$AA$200,4,FALSE))</f>
        <v/>
      </c>
      <c r="AI242" t="s">
        <v>506</v>
      </c>
      <c r="AJ242" t="str">
        <f t="shared" si="56"/>
        <v>12AMinatWk.23</v>
      </c>
      <c r="AK242" s="24" t="str">
        <f t="shared" si="57"/>
        <v/>
      </c>
    </row>
    <row r="243" spans="9:37" x14ac:dyDescent="0.2">
      <c r="I243" t="str">
        <f t="shared" si="52"/>
        <v/>
      </c>
      <c r="J243" t="str">
        <f t="shared" si="58"/>
        <v/>
      </c>
      <c r="K243" t="str">
        <f t="shared" si="59"/>
        <v/>
      </c>
      <c r="L243" t="str">
        <f t="shared" si="60"/>
        <v/>
      </c>
      <c r="M243" t="str">
        <f t="shared" si="61"/>
        <v/>
      </c>
      <c r="N243" t="str">
        <f t="shared" si="53"/>
        <v/>
      </c>
      <c r="AF243" t="s">
        <v>65</v>
      </c>
      <c r="AG243" t="s">
        <v>279</v>
      </c>
      <c r="AH243" t="str">
        <f>IF(Table4[[#This Row],[Nilai]]="","",VLOOKUP(Table4[[#This Row],[Helper]],$X$5:$AA$200,4,FALSE))</f>
        <v/>
      </c>
      <c r="AI243" t="s">
        <v>507</v>
      </c>
      <c r="AJ243" t="str">
        <f t="shared" si="56"/>
        <v>12AMinatWk.24</v>
      </c>
      <c r="AK243" s="24" t="str">
        <f t="shared" si="57"/>
        <v/>
      </c>
    </row>
    <row r="244" spans="9:37" x14ac:dyDescent="0.2">
      <c r="I244" t="str">
        <f t="shared" si="52"/>
        <v/>
      </c>
      <c r="J244" t="str">
        <f t="shared" si="58"/>
        <v/>
      </c>
      <c r="K244" t="str">
        <f t="shared" si="59"/>
        <v/>
      </c>
      <c r="L244" t="str">
        <f t="shared" si="60"/>
        <v/>
      </c>
      <c r="M244" t="str">
        <f t="shared" si="61"/>
        <v/>
      </c>
      <c r="N244" t="str">
        <f t="shared" si="53"/>
        <v/>
      </c>
      <c r="AF244" t="s">
        <v>65</v>
      </c>
      <c r="AG244" t="s">
        <v>279</v>
      </c>
      <c r="AH244" t="str">
        <f>IF(Table4[[#This Row],[Nilai]]="","",VLOOKUP(Table4[[#This Row],[Helper]],$X$5:$AA$200,4,FALSE))</f>
        <v/>
      </c>
      <c r="AI244" t="s">
        <v>508</v>
      </c>
      <c r="AJ244" t="str">
        <f t="shared" si="56"/>
        <v>12AMinatWk.25</v>
      </c>
      <c r="AK244" s="24" t="str">
        <f t="shared" si="57"/>
        <v/>
      </c>
    </row>
    <row r="245" spans="9:37" x14ac:dyDescent="0.2">
      <c r="I245" t="str">
        <f t="shared" si="52"/>
        <v/>
      </c>
      <c r="J245" t="str">
        <f t="shared" si="58"/>
        <v/>
      </c>
      <c r="K245" t="str">
        <f t="shared" si="59"/>
        <v/>
      </c>
      <c r="L245" t="str">
        <f t="shared" si="60"/>
        <v/>
      </c>
      <c r="M245" t="str">
        <f t="shared" si="61"/>
        <v/>
      </c>
      <c r="N245" t="str">
        <f t="shared" si="53"/>
        <v/>
      </c>
      <c r="AF245" t="s">
        <v>54</v>
      </c>
      <c r="AG245" t="s">
        <v>81</v>
      </c>
      <c r="AH245" t="str">
        <f>IF(Table4[[#This Row],[Nilai]]="","",VLOOKUP(Table4[[#This Row],[Helper]],$X$5:$AA$200,4,FALSE))</f>
        <v/>
      </c>
      <c r="AI245" t="s">
        <v>466</v>
      </c>
      <c r="AJ245" t="str">
        <f t="shared" si="56"/>
        <v>11AB.IndoWk.2</v>
      </c>
      <c r="AK245" s="24" t="str">
        <f>IFERROR(VLOOKUP(AJ245,$X$5:$AC$380,6,),"")</f>
        <v/>
      </c>
    </row>
    <row r="246" spans="9:37" x14ac:dyDescent="0.2">
      <c r="I246" t="str">
        <f t="shared" si="52"/>
        <v/>
      </c>
      <c r="J246" t="str">
        <f t="shared" si="58"/>
        <v/>
      </c>
      <c r="K246" t="str">
        <f t="shared" si="59"/>
        <v/>
      </c>
      <c r="L246" t="str">
        <f t="shared" si="60"/>
        <v/>
      </c>
      <c r="M246" t="str">
        <f t="shared" si="61"/>
        <v/>
      </c>
      <c r="N246" t="str">
        <f t="shared" si="53"/>
        <v/>
      </c>
      <c r="AF246" t="s">
        <v>54</v>
      </c>
      <c r="AG246" t="s">
        <v>81</v>
      </c>
      <c r="AH246" t="str">
        <f>IF(Table4[[#This Row],[Nilai]]="","",VLOOKUP(Table4[[#This Row],[Helper]],$X$5:$AA$200,4,FALSE))</f>
        <v>Jan</v>
      </c>
      <c r="AI246" t="s">
        <v>461</v>
      </c>
      <c r="AJ246" t="str">
        <f t="shared" si="56"/>
        <v>11AB.IndoWk.3</v>
      </c>
      <c r="AK246" s="24">
        <f t="shared" ref="AK246:AK309" si="62">IFERROR(VLOOKUP(AJ246,$X$5:$AC$380,6,),"")</f>
        <v>48.090909090909093</v>
      </c>
    </row>
    <row r="247" spans="9:37" x14ac:dyDescent="0.2">
      <c r="I247" t="str">
        <f t="shared" si="52"/>
        <v/>
      </c>
      <c r="J247" t="str">
        <f t="shared" si="58"/>
        <v/>
      </c>
      <c r="K247" t="str">
        <f t="shared" si="59"/>
        <v/>
      </c>
      <c r="L247" t="str">
        <f t="shared" si="60"/>
        <v/>
      </c>
      <c r="M247" t="str">
        <f t="shared" si="61"/>
        <v/>
      </c>
      <c r="N247" t="str">
        <f t="shared" si="53"/>
        <v/>
      </c>
      <c r="AF247" t="s">
        <v>54</v>
      </c>
      <c r="AG247" t="s">
        <v>81</v>
      </c>
      <c r="AH247" t="str">
        <f>IF(Table4[[#This Row],[Nilai]]="","",VLOOKUP(Table4[[#This Row],[Helper]],$X$5:$AA$200,4,FALSE))</f>
        <v>Jan</v>
      </c>
      <c r="AI247" t="s">
        <v>462</v>
      </c>
      <c r="AJ247" t="str">
        <f t="shared" si="56"/>
        <v>11AB.IndoWk.4</v>
      </c>
      <c r="AK247" s="24">
        <f t="shared" si="62"/>
        <v>71.818181818181813</v>
      </c>
    </row>
    <row r="248" spans="9:37" x14ac:dyDescent="0.2">
      <c r="I248" t="str">
        <f t="shared" si="52"/>
        <v/>
      </c>
      <c r="J248" t="str">
        <f t="shared" si="58"/>
        <v/>
      </c>
      <c r="K248" t="str">
        <f t="shared" si="59"/>
        <v/>
      </c>
      <c r="L248" t="str">
        <f t="shared" si="60"/>
        <v/>
      </c>
      <c r="M248" t="str">
        <f t="shared" si="61"/>
        <v/>
      </c>
      <c r="N248" t="str">
        <f t="shared" si="53"/>
        <v/>
      </c>
      <c r="AF248" t="s">
        <v>54</v>
      </c>
      <c r="AG248" t="s">
        <v>81</v>
      </c>
      <c r="AH248" t="str">
        <f>IF(Table4[[#This Row],[Nilai]]="","",VLOOKUP(Table4[[#This Row],[Helper]],$X$5:$AA$200,4,FALSE))</f>
        <v>Jan</v>
      </c>
      <c r="AI248" t="s">
        <v>463</v>
      </c>
      <c r="AJ248" t="str">
        <f t="shared" si="56"/>
        <v>11AB.IndoWk.5</v>
      </c>
      <c r="AK248" s="24">
        <f t="shared" si="62"/>
        <v>66.63636363636364</v>
      </c>
    </row>
    <row r="249" spans="9:37" x14ac:dyDescent="0.2">
      <c r="I249" t="str">
        <f t="shared" si="52"/>
        <v/>
      </c>
      <c r="J249" t="str">
        <f t="shared" si="58"/>
        <v/>
      </c>
      <c r="K249" t="str">
        <f t="shared" si="59"/>
        <v/>
      </c>
      <c r="L249" t="str">
        <f t="shared" si="60"/>
        <v/>
      </c>
      <c r="M249" t="str">
        <f t="shared" si="61"/>
        <v/>
      </c>
      <c r="N249" t="str">
        <f t="shared" si="53"/>
        <v/>
      </c>
      <c r="AF249" t="s">
        <v>54</v>
      </c>
      <c r="AG249" t="s">
        <v>81</v>
      </c>
      <c r="AH249" t="str">
        <f>IF(Table4[[#This Row],[Nilai]]="","",VLOOKUP(Table4[[#This Row],[Helper]],$X$5:$AA$200,4,FALSE))</f>
        <v>Feb</v>
      </c>
      <c r="AI249" t="s">
        <v>464</v>
      </c>
      <c r="AJ249" t="str">
        <f t="shared" si="56"/>
        <v>11AB.IndoWk.6</v>
      </c>
      <c r="AK249" s="24">
        <f t="shared" si="62"/>
        <v>68.36363636363636</v>
      </c>
    </row>
    <row r="250" spans="9:37" x14ac:dyDescent="0.2">
      <c r="I250" t="str">
        <f t="shared" si="52"/>
        <v/>
      </c>
      <c r="J250" t="str">
        <f t="shared" si="58"/>
        <v/>
      </c>
      <c r="K250" t="str">
        <f t="shared" si="59"/>
        <v/>
      </c>
      <c r="L250" t="str">
        <f t="shared" si="60"/>
        <v/>
      </c>
      <c r="M250" t="str">
        <f t="shared" si="61"/>
        <v/>
      </c>
      <c r="N250" t="str">
        <f t="shared" si="53"/>
        <v/>
      </c>
      <c r="AF250" t="s">
        <v>54</v>
      </c>
      <c r="AG250" t="s">
        <v>81</v>
      </c>
      <c r="AH250" t="str">
        <f>IF(Table4[[#This Row],[Nilai]]="","",VLOOKUP(Table4[[#This Row],[Helper]],$X$5:$AA$200,4,FALSE))</f>
        <v>Feb</v>
      </c>
      <c r="AI250" t="s">
        <v>465</v>
      </c>
      <c r="AJ250" t="str">
        <f t="shared" si="56"/>
        <v>11AB.IndoWk.7</v>
      </c>
      <c r="AK250" s="24">
        <f t="shared" si="62"/>
        <v>66.63636363636364</v>
      </c>
    </row>
    <row r="251" spans="9:37" x14ac:dyDescent="0.2">
      <c r="I251" t="str">
        <f t="shared" si="52"/>
        <v/>
      </c>
      <c r="J251" t="str">
        <f t="shared" si="58"/>
        <v/>
      </c>
      <c r="K251" t="str">
        <f t="shared" si="59"/>
        <v/>
      </c>
      <c r="L251" t="str">
        <f t="shared" si="60"/>
        <v/>
      </c>
      <c r="M251" t="str">
        <f t="shared" si="61"/>
        <v/>
      </c>
      <c r="N251" t="str">
        <f t="shared" si="53"/>
        <v/>
      </c>
      <c r="AF251" t="s">
        <v>54</v>
      </c>
      <c r="AG251" t="s">
        <v>81</v>
      </c>
      <c r="AH251" t="str">
        <f>IF(Table4[[#This Row],[Nilai]]="","",VLOOKUP(Table4[[#This Row],[Helper]],$X$5:$AA$200,4,FALSE))</f>
        <v>Feb</v>
      </c>
      <c r="AI251" t="s">
        <v>467</v>
      </c>
      <c r="AJ251" t="str">
        <f t="shared" si="56"/>
        <v>11AB.IndoWk.8</v>
      </c>
      <c r="AK251" s="24">
        <f t="shared" si="62"/>
        <v>68.545454545454547</v>
      </c>
    </row>
    <row r="252" spans="9:37" x14ac:dyDescent="0.2">
      <c r="I252" t="str">
        <f t="shared" si="52"/>
        <v/>
      </c>
      <c r="J252" t="str">
        <f t="shared" si="58"/>
        <v/>
      </c>
      <c r="K252" t="str">
        <f t="shared" si="59"/>
        <v/>
      </c>
      <c r="L252" t="str">
        <f t="shared" si="60"/>
        <v/>
      </c>
      <c r="M252" t="str">
        <f t="shared" si="61"/>
        <v/>
      </c>
      <c r="N252" t="str">
        <f t="shared" si="53"/>
        <v/>
      </c>
      <c r="AF252" t="s">
        <v>54</v>
      </c>
      <c r="AG252" t="s">
        <v>81</v>
      </c>
      <c r="AH252" t="str">
        <f>IF(Table4[[#This Row],[Nilai]]="","",VLOOKUP(Table4[[#This Row],[Helper]],$X$5:$AA$200,4,FALSE))</f>
        <v/>
      </c>
      <c r="AI252" t="s">
        <v>486</v>
      </c>
      <c r="AJ252" t="str">
        <f t="shared" si="56"/>
        <v>11AB.IndoWk.9</v>
      </c>
      <c r="AK252" s="24" t="str">
        <f t="shared" si="62"/>
        <v/>
      </c>
    </row>
    <row r="253" spans="9:37" x14ac:dyDescent="0.2">
      <c r="I253" t="str">
        <f t="shared" si="52"/>
        <v/>
      </c>
      <c r="J253" t="str">
        <f t="shared" si="58"/>
        <v/>
      </c>
      <c r="K253" t="str">
        <f t="shared" si="59"/>
        <v/>
      </c>
      <c r="L253" t="str">
        <f t="shared" si="60"/>
        <v/>
      </c>
      <c r="M253" t="str">
        <f t="shared" si="61"/>
        <v/>
      </c>
      <c r="N253" t="str">
        <f t="shared" si="53"/>
        <v/>
      </c>
      <c r="AF253" t="s">
        <v>54</v>
      </c>
      <c r="AG253" t="s">
        <v>81</v>
      </c>
      <c r="AH253" t="str">
        <f>IF(Table4[[#This Row],[Nilai]]="","",VLOOKUP(Table4[[#This Row],[Helper]],$X$5:$AA$200,4,FALSE))</f>
        <v/>
      </c>
      <c r="AI253" t="s">
        <v>493</v>
      </c>
      <c r="AJ253" t="str">
        <f t="shared" si="56"/>
        <v>11AB.IndoWk.10</v>
      </c>
      <c r="AK253" s="24" t="str">
        <f t="shared" si="62"/>
        <v/>
      </c>
    </row>
    <row r="254" spans="9:37" x14ac:dyDescent="0.2">
      <c r="I254" t="str">
        <f t="shared" si="52"/>
        <v/>
      </c>
      <c r="J254" t="str">
        <f t="shared" si="58"/>
        <v/>
      </c>
      <c r="K254" t="str">
        <f t="shared" si="59"/>
        <v/>
      </c>
      <c r="L254" t="str">
        <f t="shared" si="60"/>
        <v/>
      </c>
      <c r="M254" t="str">
        <f t="shared" si="61"/>
        <v/>
      </c>
      <c r="N254" t="str">
        <f t="shared" si="53"/>
        <v/>
      </c>
      <c r="AF254" t="s">
        <v>54</v>
      </c>
      <c r="AG254" t="s">
        <v>81</v>
      </c>
      <c r="AH254" t="str">
        <f>IF(Table4[[#This Row],[Nilai]]="","",VLOOKUP(Table4[[#This Row],[Helper]],$X$5:$AA$200,4,FALSE))</f>
        <v/>
      </c>
      <c r="AI254" t="s">
        <v>494</v>
      </c>
      <c r="AJ254" t="str">
        <f t="shared" si="56"/>
        <v>11AB.IndoWk.11</v>
      </c>
      <c r="AK254" s="24" t="str">
        <f t="shared" si="62"/>
        <v/>
      </c>
    </row>
    <row r="255" spans="9:37" x14ac:dyDescent="0.2">
      <c r="I255" t="str">
        <f t="shared" si="52"/>
        <v/>
      </c>
      <c r="J255" t="str">
        <f t="shared" si="58"/>
        <v/>
      </c>
      <c r="K255" t="str">
        <f t="shared" si="59"/>
        <v/>
      </c>
      <c r="L255" t="str">
        <f t="shared" si="60"/>
        <v/>
      </c>
      <c r="M255" t="str">
        <f t="shared" si="61"/>
        <v/>
      </c>
      <c r="N255" t="str">
        <f t="shared" si="53"/>
        <v/>
      </c>
      <c r="AF255" t="s">
        <v>54</v>
      </c>
      <c r="AG255" t="s">
        <v>81</v>
      </c>
      <c r="AH255" t="str">
        <f>IF(Table4[[#This Row],[Nilai]]="","",VLOOKUP(Table4[[#This Row],[Helper]],$X$5:$AA$200,4,FALSE))</f>
        <v/>
      </c>
      <c r="AI255" t="s">
        <v>495</v>
      </c>
      <c r="AJ255" t="str">
        <f t="shared" si="56"/>
        <v>11AB.IndoWk.12</v>
      </c>
      <c r="AK255" s="24" t="str">
        <f t="shared" si="62"/>
        <v/>
      </c>
    </row>
    <row r="256" spans="9:37" x14ac:dyDescent="0.2">
      <c r="I256" t="str">
        <f t="shared" si="52"/>
        <v/>
      </c>
      <c r="J256" t="str">
        <f t="shared" si="58"/>
        <v/>
      </c>
      <c r="K256" t="str">
        <f t="shared" si="59"/>
        <v/>
      </c>
      <c r="L256" t="str">
        <f t="shared" si="60"/>
        <v/>
      </c>
      <c r="M256" t="str">
        <f t="shared" si="61"/>
        <v/>
      </c>
      <c r="N256" t="str">
        <f t="shared" si="53"/>
        <v/>
      </c>
      <c r="AF256" t="s">
        <v>54</v>
      </c>
      <c r="AG256" t="s">
        <v>81</v>
      </c>
      <c r="AH256" t="str">
        <f>IF(Table4[[#This Row],[Nilai]]="","",VLOOKUP(Table4[[#This Row],[Helper]],$X$5:$AA$200,4,FALSE))</f>
        <v/>
      </c>
      <c r="AI256" t="s">
        <v>496</v>
      </c>
      <c r="AJ256" t="str">
        <f t="shared" si="56"/>
        <v>11AB.IndoWk.13</v>
      </c>
      <c r="AK256" s="24" t="str">
        <f t="shared" si="62"/>
        <v/>
      </c>
    </row>
    <row r="257" spans="9:37" x14ac:dyDescent="0.2">
      <c r="I257" t="str">
        <f t="shared" si="52"/>
        <v/>
      </c>
      <c r="J257" t="str">
        <f t="shared" si="58"/>
        <v/>
      </c>
      <c r="K257" t="str">
        <f t="shared" si="59"/>
        <v/>
      </c>
      <c r="L257" t="str">
        <f t="shared" si="60"/>
        <v/>
      </c>
      <c r="M257" t="str">
        <f t="shared" si="61"/>
        <v/>
      </c>
      <c r="N257" t="str">
        <f t="shared" si="53"/>
        <v/>
      </c>
      <c r="AF257" t="s">
        <v>54</v>
      </c>
      <c r="AG257" t="s">
        <v>81</v>
      </c>
      <c r="AH257" t="str">
        <f>IF(Table4[[#This Row],[Nilai]]="","",VLOOKUP(Table4[[#This Row],[Helper]],$X$5:$AA$200,4,FALSE))</f>
        <v/>
      </c>
      <c r="AI257" t="s">
        <v>497</v>
      </c>
      <c r="AJ257" t="str">
        <f t="shared" si="56"/>
        <v>11AB.IndoWk.14</v>
      </c>
      <c r="AK257" s="24" t="str">
        <f t="shared" si="62"/>
        <v/>
      </c>
    </row>
    <row r="258" spans="9:37" x14ac:dyDescent="0.2">
      <c r="I258" t="str">
        <f t="shared" si="52"/>
        <v/>
      </c>
      <c r="J258" t="str">
        <f t="shared" si="58"/>
        <v/>
      </c>
      <c r="K258" t="str">
        <f t="shared" si="59"/>
        <v/>
      </c>
      <c r="L258" t="str">
        <f t="shared" si="60"/>
        <v/>
      </c>
      <c r="M258" t="str">
        <f t="shared" si="61"/>
        <v/>
      </c>
      <c r="N258" t="str">
        <f t="shared" si="53"/>
        <v/>
      </c>
      <c r="AF258" t="s">
        <v>54</v>
      </c>
      <c r="AG258" t="s">
        <v>81</v>
      </c>
      <c r="AH258" t="str">
        <f>IF(Table4[[#This Row],[Nilai]]="","",VLOOKUP(Table4[[#This Row],[Helper]],$X$5:$AA$200,4,FALSE))</f>
        <v/>
      </c>
      <c r="AI258" t="s">
        <v>498</v>
      </c>
      <c r="AJ258" t="str">
        <f t="shared" si="56"/>
        <v>11AB.IndoWk.15</v>
      </c>
      <c r="AK258" s="24" t="str">
        <f t="shared" si="62"/>
        <v/>
      </c>
    </row>
    <row r="259" spans="9:37" x14ac:dyDescent="0.2">
      <c r="I259" t="str">
        <f t="shared" si="52"/>
        <v/>
      </c>
      <c r="J259" t="str">
        <f t="shared" si="58"/>
        <v/>
      </c>
      <c r="K259" t="str">
        <f t="shared" si="59"/>
        <v/>
      </c>
      <c r="L259" t="str">
        <f t="shared" si="60"/>
        <v/>
      </c>
      <c r="M259" t="str">
        <f t="shared" si="61"/>
        <v/>
      </c>
      <c r="N259" t="str">
        <f t="shared" si="53"/>
        <v/>
      </c>
      <c r="AF259" t="s">
        <v>54</v>
      </c>
      <c r="AG259" t="s">
        <v>81</v>
      </c>
      <c r="AH259" t="str">
        <f>IF(Table4[[#This Row],[Nilai]]="","",VLOOKUP(Table4[[#This Row],[Helper]],$X$5:$AA$200,4,FALSE))</f>
        <v/>
      </c>
      <c r="AI259" t="s">
        <v>499</v>
      </c>
      <c r="AJ259" t="str">
        <f t="shared" si="56"/>
        <v>11AB.IndoWk.16</v>
      </c>
      <c r="AK259" s="24" t="str">
        <f t="shared" si="62"/>
        <v/>
      </c>
    </row>
    <row r="260" spans="9:37" x14ac:dyDescent="0.2">
      <c r="I260" t="str">
        <f t="shared" si="52"/>
        <v/>
      </c>
      <c r="J260" t="str">
        <f t="shared" si="58"/>
        <v/>
      </c>
      <c r="K260" t="str">
        <f t="shared" si="59"/>
        <v/>
      </c>
      <c r="L260" t="str">
        <f t="shared" si="60"/>
        <v/>
      </c>
      <c r="M260" t="str">
        <f t="shared" si="61"/>
        <v/>
      </c>
      <c r="N260" t="str">
        <f t="shared" si="53"/>
        <v/>
      </c>
      <c r="AF260" t="s">
        <v>54</v>
      </c>
      <c r="AG260" t="s">
        <v>81</v>
      </c>
      <c r="AH260" t="str">
        <f>IF(Table4[[#This Row],[Nilai]]="","",VLOOKUP(Table4[[#This Row],[Helper]],$X$5:$AA$200,4,FALSE))</f>
        <v/>
      </c>
      <c r="AI260" t="s">
        <v>500</v>
      </c>
      <c r="AJ260" t="str">
        <f t="shared" si="56"/>
        <v>11AB.IndoWk.17</v>
      </c>
      <c r="AK260" s="24" t="str">
        <f t="shared" si="62"/>
        <v/>
      </c>
    </row>
    <row r="261" spans="9:37" x14ac:dyDescent="0.2">
      <c r="I261" t="str">
        <f t="shared" si="52"/>
        <v/>
      </c>
      <c r="J261" t="str">
        <f t="shared" si="58"/>
        <v/>
      </c>
      <c r="K261" t="str">
        <f t="shared" si="59"/>
        <v/>
      </c>
      <c r="L261" t="str">
        <f t="shared" si="60"/>
        <v/>
      </c>
      <c r="M261" t="str">
        <f t="shared" si="61"/>
        <v/>
      </c>
      <c r="N261" t="str">
        <f t="shared" si="53"/>
        <v/>
      </c>
      <c r="AF261" t="s">
        <v>54</v>
      </c>
      <c r="AG261" t="s">
        <v>81</v>
      </c>
      <c r="AH261" t="str">
        <f>IF(Table4[[#This Row],[Nilai]]="","",VLOOKUP(Table4[[#This Row],[Helper]],$X$5:$AA$200,4,FALSE))</f>
        <v/>
      </c>
      <c r="AI261" t="s">
        <v>501</v>
      </c>
      <c r="AJ261" t="str">
        <f t="shared" si="56"/>
        <v>11AB.IndoWk.18</v>
      </c>
      <c r="AK261" s="24" t="str">
        <f t="shared" si="62"/>
        <v/>
      </c>
    </row>
    <row r="262" spans="9:37" x14ac:dyDescent="0.2">
      <c r="I262" t="str">
        <f t="shared" ref="I262:I325" si="63">J262&amp;K262&amp;M262</f>
        <v/>
      </c>
      <c r="J262" t="str">
        <f t="shared" si="58"/>
        <v/>
      </c>
      <c r="K262" t="str">
        <f t="shared" si="59"/>
        <v/>
      </c>
      <c r="L262" t="str">
        <f t="shared" si="60"/>
        <v/>
      </c>
      <c r="M262" t="str">
        <f t="shared" si="61"/>
        <v/>
      </c>
      <c r="N262" t="str">
        <f t="shared" ref="N262:N325" si="64">IF(E262="","",E262)</f>
        <v/>
      </c>
      <c r="AF262" t="s">
        <v>54</v>
      </c>
      <c r="AG262" t="s">
        <v>81</v>
      </c>
      <c r="AH262" t="str">
        <f>IF(Table4[[#This Row],[Nilai]]="","",VLOOKUP(Table4[[#This Row],[Helper]],$X$5:$AA$200,4,FALSE))</f>
        <v/>
      </c>
      <c r="AI262" t="s">
        <v>502</v>
      </c>
      <c r="AJ262" t="str">
        <f t="shared" ref="AJ262:AJ325" si="65">AF262&amp;AG262&amp;AI262</f>
        <v>11AB.IndoWk.19</v>
      </c>
      <c r="AK262" s="24" t="str">
        <f t="shared" si="62"/>
        <v/>
      </c>
    </row>
    <row r="263" spans="9:37" x14ac:dyDescent="0.2">
      <c r="I263" t="str">
        <f t="shared" si="63"/>
        <v/>
      </c>
      <c r="J263" t="str">
        <f t="shared" si="58"/>
        <v/>
      </c>
      <c r="K263" t="str">
        <f t="shared" si="59"/>
        <v/>
      </c>
      <c r="L263" t="str">
        <f t="shared" si="60"/>
        <v/>
      </c>
      <c r="M263" t="str">
        <f t="shared" si="61"/>
        <v/>
      </c>
      <c r="N263" t="str">
        <f t="shared" si="64"/>
        <v/>
      </c>
      <c r="AF263" t="s">
        <v>54</v>
      </c>
      <c r="AG263" t="s">
        <v>81</v>
      </c>
      <c r="AH263" t="str">
        <f>IF(Table4[[#This Row],[Nilai]]="","",VLOOKUP(Table4[[#This Row],[Helper]],$X$5:$AA$200,4,FALSE))</f>
        <v/>
      </c>
      <c r="AI263" t="s">
        <v>503</v>
      </c>
      <c r="AJ263" t="str">
        <f t="shared" si="65"/>
        <v>11AB.IndoWk.20</v>
      </c>
      <c r="AK263" s="24" t="str">
        <f t="shared" si="62"/>
        <v/>
      </c>
    </row>
    <row r="264" spans="9:37" x14ac:dyDescent="0.2">
      <c r="I264" t="str">
        <f t="shared" si="63"/>
        <v/>
      </c>
      <c r="J264" t="str">
        <f t="shared" si="58"/>
        <v/>
      </c>
      <c r="K264" t="str">
        <f t="shared" si="59"/>
        <v/>
      </c>
      <c r="L264" t="str">
        <f t="shared" si="60"/>
        <v/>
      </c>
      <c r="M264" t="str">
        <f t="shared" si="61"/>
        <v/>
      </c>
      <c r="N264" t="str">
        <f t="shared" si="64"/>
        <v/>
      </c>
      <c r="AF264" t="s">
        <v>54</v>
      </c>
      <c r="AG264" t="s">
        <v>81</v>
      </c>
      <c r="AH264" t="str">
        <f>IF(Table4[[#This Row],[Nilai]]="","",VLOOKUP(Table4[[#This Row],[Helper]],$X$5:$AA$200,4,FALSE))</f>
        <v/>
      </c>
      <c r="AI264" t="s">
        <v>504</v>
      </c>
      <c r="AJ264" t="str">
        <f t="shared" si="65"/>
        <v>11AB.IndoWk.21</v>
      </c>
      <c r="AK264" s="24" t="str">
        <f t="shared" si="62"/>
        <v/>
      </c>
    </row>
    <row r="265" spans="9:37" x14ac:dyDescent="0.2">
      <c r="I265" t="str">
        <f t="shared" si="63"/>
        <v/>
      </c>
      <c r="J265" t="str">
        <f t="shared" si="58"/>
        <v/>
      </c>
      <c r="K265" t="str">
        <f t="shared" si="59"/>
        <v/>
      </c>
      <c r="L265" t="str">
        <f t="shared" si="60"/>
        <v/>
      </c>
      <c r="M265" t="str">
        <f t="shared" si="61"/>
        <v/>
      </c>
      <c r="N265" t="str">
        <f t="shared" si="64"/>
        <v/>
      </c>
      <c r="AF265" t="s">
        <v>54</v>
      </c>
      <c r="AG265" t="s">
        <v>81</v>
      </c>
      <c r="AH265" t="str">
        <f>IF(Table4[[#This Row],[Nilai]]="","",VLOOKUP(Table4[[#This Row],[Helper]],$X$5:$AA$200,4,FALSE))</f>
        <v/>
      </c>
      <c r="AI265" t="s">
        <v>505</v>
      </c>
      <c r="AJ265" t="str">
        <f t="shared" si="65"/>
        <v>11AB.IndoWk.22</v>
      </c>
      <c r="AK265" s="24" t="str">
        <f t="shared" si="62"/>
        <v/>
      </c>
    </row>
    <row r="266" spans="9:37" x14ac:dyDescent="0.2">
      <c r="I266" t="str">
        <f t="shared" si="63"/>
        <v/>
      </c>
      <c r="J266" t="str">
        <f t="shared" si="58"/>
        <v/>
      </c>
      <c r="K266" t="str">
        <f t="shared" si="59"/>
        <v/>
      </c>
      <c r="L266" t="str">
        <f t="shared" si="60"/>
        <v/>
      </c>
      <c r="M266" t="str">
        <f t="shared" si="61"/>
        <v/>
      </c>
      <c r="N266" t="str">
        <f t="shared" si="64"/>
        <v/>
      </c>
      <c r="AF266" t="s">
        <v>54</v>
      </c>
      <c r="AG266" t="s">
        <v>81</v>
      </c>
      <c r="AH266" t="str">
        <f>IF(Table4[[#This Row],[Nilai]]="","",VLOOKUP(Table4[[#This Row],[Helper]],$X$5:$AA$200,4,FALSE))</f>
        <v/>
      </c>
      <c r="AI266" t="s">
        <v>506</v>
      </c>
      <c r="AJ266" t="str">
        <f t="shared" si="65"/>
        <v>11AB.IndoWk.23</v>
      </c>
      <c r="AK266" s="24" t="str">
        <f t="shared" si="62"/>
        <v/>
      </c>
    </row>
    <row r="267" spans="9:37" x14ac:dyDescent="0.2">
      <c r="I267" t="str">
        <f t="shared" si="63"/>
        <v/>
      </c>
      <c r="J267" t="str">
        <f t="shared" si="58"/>
        <v/>
      </c>
      <c r="K267" t="str">
        <f t="shared" si="59"/>
        <v/>
      </c>
      <c r="L267" t="str">
        <f t="shared" si="60"/>
        <v/>
      </c>
      <c r="M267" t="str">
        <f t="shared" si="61"/>
        <v/>
      </c>
      <c r="N267" t="str">
        <f t="shared" si="64"/>
        <v/>
      </c>
      <c r="AF267" t="s">
        <v>54</v>
      </c>
      <c r="AG267" t="s">
        <v>81</v>
      </c>
      <c r="AH267" t="str">
        <f>IF(Table4[[#This Row],[Nilai]]="","",VLOOKUP(Table4[[#This Row],[Helper]],$X$5:$AA$200,4,FALSE))</f>
        <v/>
      </c>
      <c r="AI267" t="s">
        <v>507</v>
      </c>
      <c r="AJ267" t="str">
        <f t="shared" si="65"/>
        <v>11AB.IndoWk.24</v>
      </c>
      <c r="AK267" s="24" t="str">
        <f t="shared" si="62"/>
        <v/>
      </c>
    </row>
    <row r="268" spans="9:37" x14ac:dyDescent="0.2">
      <c r="I268" t="str">
        <f t="shared" si="63"/>
        <v/>
      </c>
      <c r="J268" t="str">
        <f t="shared" si="58"/>
        <v/>
      </c>
      <c r="K268" t="str">
        <f t="shared" si="59"/>
        <v/>
      </c>
      <c r="L268" t="str">
        <f t="shared" si="60"/>
        <v/>
      </c>
      <c r="M268" t="str">
        <f t="shared" si="61"/>
        <v/>
      </c>
      <c r="N268" t="str">
        <f t="shared" si="64"/>
        <v/>
      </c>
      <c r="AF268" t="s">
        <v>54</v>
      </c>
      <c r="AG268" t="s">
        <v>81</v>
      </c>
      <c r="AH268" t="str">
        <f>IF(Table4[[#This Row],[Nilai]]="","",VLOOKUP(Table4[[#This Row],[Helper]],$X$5:$AA$200,4,FALSE))</f>
        <v/>
      </c>
      <c r="AI268" t="s">
        <v>508</v>
      </c>
      <c r="AJ268" t="str">
        <f t="shared" si="65"/>
        <v>11AB.IndoWk.25</v>
      </c>
      <c r="AK268" s="24" t="str">
        <f t="shared" si="62"/>
        <v/>
      </c>
    </row>
    <row r="269" spans="9:37" x14ac:dyDescent="0.2">
      <c r="I269" t="str">
        <f t="shared" si="63"/>
        <v/>
      </c>
      <c r="J269" t="str">
        <f t="shared" si="58"/>
        <v/>
      </c>
      <c r="K269" t="str">
        <f t="shared" si="59"/>
        <v/>
      </c>
      <c r="L269" t="str">
        <f t="shared" si="60"/>
        <v/>
      </c>
      <c r="M269" t="str">
        <f t="shared" si="61"/>
        <v/>
      </c>
      <c r="N269" t="str">
        <f t="shared" si="64"/>
        <v/>
      </c>
      <c r="AF269" t="s">
        <v>65</v>
      </c>
      <c r="AG269" t="s">
        <v>81</v>
      </c>
      <c r="AH269" t="str">
        <f>IF(Table4[[#This Row],[Nilai]]="","",VLOOKUP(Table4[[#This Row],[Helper]],$X$5:$AA$200,4,FALSE))</f>
        <v/>
      </c>
      <c r="AI269" t="s">
        <v>466</v>
      </c>
      <c r="AJ269" t="str">
        <f t="shared" si="65"/>
        <v>12AB.IndoWk.2</v>
      </c>
      <c r="AK269" s="24" t="str">
        <f t="shared" si="62"/>
        <v/>
      </c>
    </row>
    <row r="270" spans="9:37" x14ac:dyDescent="0.2">
      <c r="I270" t="str">
        <f t="shared" si="63"/>
        <v/>
      </c>
      <c r="J270" t="str">
        <f t="shared" si="58"/>
        <v/>
      </c>
      <c r="K270" t="str">
        <f t="shared" si="59"/>
        <v/>
      </c>
      <c r="L270" t="str">
        <f t="shared" si="60"/>
        <v/>
      </c>
      <c r="M270" t="str">
        <f t="shared" si="61"/>
        <v/>
      </c>
      <c r="N270" t="str">
        <f t="shared" si="64"/>
        <v/>
      </c>
      <c r="AF270" t="s">
        <v>65</v>
      </c>
      <c r="AG270" t="s">
        <v>81</v>
      </c>
      <c r="AH270" t="str">
        <f>IF(Table4[[#This Row],[Nilai]]="","",VLOOKUP(Table4[[#This Row],[Helper]],$X$5:$AA$200,4,FALSE))</f>
        <v/>
      </c>
      <c r="AI270" t="s">
        <v>461</v>
      </c>
      <c r="AJ270" t="str">
        <f t="shared" si="65"/>
        <v>12AB.IndoWk.3</v>
      </c>
      <c r="AK270" s="24" t="str">
        <f t="shared" si="62"/>
        <v/>
      </c>
    </row>
    <row r="271" spans="9:37" x14ac:dyDescent="0.2">
      <c r="I271" t="str">
        <f t="shared" si="63"/>
        <v/>
      </c>
      <c r="J271" t="str">
        <f t="shared" si="58"/>
        <v/>
      </c>
      <c r="K271" t="str">
        <f t="shared" si="59"/>
        <v/>
      </c>
      <c r="L271" t="str">
        <f t="shared" si="60"/>
        <v/>
      </c>
      <c r="M271" t="str">
        <f t="shared" si="61"/>
        <v/>
      </c>
      <c r="N271" t="str">
        <f t="shared" si="64"/>
        <v/>
      </c>
      <c r="AF271" t="s">
        <v>65</v>
      </c>
      <c r="AG271" t="s">
        <v>81</v>
      </c>
      <c r="AH271" t="str">
        <f>IF(Table4[[#This Row],[Nilai]]="","",VLOOKUP(Table4[[#This Row],[Helper]],$X$5:$AA$200,4,FALSE))</f>
        <v/>
      </c>
      <c r="AI271" t="s">
        <v>462</v>
      </c>
      <c r="AJ271" t="str">
        <f t="shared" si="65"/>
        <v>12AB.IndoWk.4</v>
      </c>
      <c r="AK271" s="24" t="str">
        <f t="shared" si="62"/>
        <v/>
      </c>
    </row>
    <row r="272" spans="9:37" x14ac:dyDescent="0.2">
      <c r="I272" t="str">
        <f t="shared" si="63"/>
        <v/>
      </c>
      <c r="J272" t="str">
        <f t="shared" si="58"/>
        <v/>
      </c>
      <c r="K272" t="str">
        <f t="shared" si="59"/>
        <v/>
      </c>
      <c r="L272" t="str">
        <f t="shared" si="60"/>
        <v/>
      </c>
      <c r="M272" t="str">
        <f t="shared" si="61"/>
        <v/>
      </c>
      <c r="N272" t="str">
        <f t="shared" si="64"/>
        <v/>
      </c>
      <c r="AF272" t="s">
        <v>65</v>
      </c>
      <c r="AG272" t="s">
        <v>81</v>
      </c>
      <c r="AH272" t="str">
        <f>IF(Table4[[#This Row],[Nilai]]="","",VLOOKUP(Table4[[#This Row],[Helper]],$X$5:$AA$200,4,FALSE))</f>
        <v>Jan</v>
      </c>
      <c r="AI272" t="s">
        <v>463</v>
      </c>
      <c r="AJ272" t="str">
        <f t="shared" si="65"/>
        <v>12AB.IndoWk.5</v>
      </c>
      <c r="AK272" s="24">
        <f t="shared" si="62"/>
        <v>83.888888888888886</v>
      </c>
    </row>
    <row r="273" spans="9:37" x14ac:dyDescent="0.2">
      <c r="I273" t="str">
        <f t="shared" si="63"/>
        <v/>
      </c>
      <c r="J273" t="str">
        <f t="shared" si="58"/>
        <v/>
      </c>
      <c r="K273" t="str">
        <f t="shared" si="59"/>
        <v/>
      </c>
      <c r="L273" t="str">
        <f t="shared" si="60"/>
        <v/>
      </c>
      <c r="M273" t="str">
        <f t="shared" si="61"/>
        <v/>
      </c>
      <c r="N273" t="str">
        <f t="shared" si="64"/>
        <v/>
      </c>
      <c r="AF273" t="s">
        <v>65</v>
      </c>
      <c r="AG273" t="s">
        <v>81</v>
      </c>
      <c r="AH273" t="str">
        <f>IF(Table4[[#This Row],[Nilai]]="","",VLOOKUP(Table4[[#This Row],[Helper]],$X$5:$AA$200,4,FALSE))</f>
        <v/>
      </c>
      <c r="AI273" t="s">
        <v>464</v>
      </c>
      <c r="AJ273" t="str">
        <f t="shared" si="65"/>
        <v>12AB.IndoWk.6</v>
      </c>
      <c r="AK273" s="24" t="str">
        <f t="shared" si="62"/>
        <v/>
      </c>
    </row>
    <row r="274" spans="9:37" x14ac:dyDescent="0.2">
      <c r="I274" t="str">
        <f t="shared" si="63"/>
        <v/>
      </c>
      <c r="J274" t="str">
        <f t="shared" si="58"/>
        <v/>
      </c>
      <c r="K274" t="str">
        <f t="shared" si="59"/>
        <v/>
      </c>
      <c r="L274" t="str">
        <f t="shared" si="60"/>
        <v/>
      </c>
      <c r="M274" t="str">
        <f t="shared" si="61"/>
        <v/>
      </c>
      <c r="N274" t="str">
        <f t="shared" si="64"/>
        <v/>
      </c>
      <c r="AF274" t="s">
        <v>65</v>
      </c>
      <c r="AG274" t="s">
        <v>81</v>
      </c>
      <c r="AH274" t="str">
        <f>IF(Table4[[#This Row],[Nilai]]="","",VLOOKUP(Table4[[#This Row],[Helper]],$X$5:$AA$200,4,FALSE))</f>
        <v>Feb</v>
      </c>
      <c r="AI274" t="s">
        <v>465</v>
      </c>
      <c r="AJ274" t="str">
        <f t="shared" si="65"/>
        <v>12AB.IndoWk.7</v>
      </c>
      <c r="AK274" s="24">
        <f t="shared" si="62"/>
        <v>82.222222222222229</v>
      </c>
    </row>
    <row r="275" spans="9:37" x14ac:dyDescent="0.2">
      <c r="I275" t="str">
        <f t="shared" si="63"/>
        <v/>
      </c>
      <c r="J275" t="str">
        <f t="shared" si="58"/>
        <v/>
      </c>
      <c r="K275" t="str">
        <f t="shared" si="59"/>
        <v/>
      </c>
      <c r="L275" t="str">
        <f t="shared" si="60"/>
        <v/>
      </c>
      <c r="M275" t="str">
        <f t="shared" si="61"/>
        <v/>
      </c>
      <c r="N275" t="str">
        <f t="shared" si="64"/>
        <v/>
      </c>
      <c r="AF275" t="s">
        <v>65</v>
      </c>
      <c r="AG275" t="s">
        <v>81</v>
      </c>
      <c r="AH275" t="str">
        <f>IF(Table4[[#This Row],[Nilai]]="","",VLOOKUP(Table4[[#This Row],[Helper]],$X$5:$AA$200,4,FALSE))</f>
        <v>Feb</v>
      </c>
      <c r="AI275" t="s">
        <v>467</v>
      </c>
      <c r="AJ275" t="str">
        <f t="shared" si="65"/>
        <v>12AB.IndoWk.8</v>
      </c>
      <c r="AK275" s="24">
        <f t="shared" si="62"/>
        <v>82.222222222222229</v>
      </c>
    </row>
    <row r="276" spans="9:37" x14ac:dyDescent="0.2">
      <c r="I276" t="str">
        <f t="shared" si="63"/>
        <v/>
      </c>
      <c r="J276" t="str">
        <f t="shared" si="58"/>
        <v/>
      </c>
      <c r="K276" t="str">
        <f t="shared" si="59"/>
        <v/>
      </c>
      <c r="L276" t="str">
        <f t="shared" si="60"/>
        <v/>
      </c>
      <c r="M276" t="str">
        <f t="shared" si="61"/>
        <v/>
      </c>
      <c r="N276" t="str">
        <f t="shared" si="64"/>
        <v/>
      </c>
      <c r="AF276" t="s">
        <v>65</v>
      </c>
      <c r="AG276" t="s">
        <v>81</v>
      </c>
      <c r="AH276" t="str">
        <f>IF(Table4[[#This Row],[Nilai]]="","",VLOOKUP(Table4[[#This Row],[Helper]],$X$5:$AA$200,4,FALSE))</f>
        <v/>
      </c>
      <c r="AI276" t="s">
        <v>486</v>
      </c>
      <c r="AJ276" t="str">
        <f t="shared" si="65"/>
        <v>12AB.IndoWk.9</v>
      </c>
      <c r="AK276" s="24" t="str">
        <f t="shared" si="62"/>
        <v/>
      </c>
    </row>
    <row r="277" spans="9:37" x14ac:dyDescent="0.2">
      <c r="I277" t="str">
        <f t="shared" si="63"/>
        <v/>
      </c>
      <c r="J277" t="str">
        <f t="shared" si="58"/>
        <v/>
      </c>
      <c r="K277" t="str">
        <f t="shared" si="59"/>
        <v/>
      </c>
      <c r="L277" t="str">
        <f t="shared" si="60"/>
        <v/>
      </c>
      <c r="M277" t="str">
        <f t="shared" si="61"/>
        <v/>
      </c>
      <c r="N277" t="str">
        <f t="shared" si="64"/>
        <v/>
      </c>
      <c r="AF277" t="s">
        <v>65</v>
      </c>
      <c r="AG277" t="s">
        <v>81</v>
      </c>
      <c r="AH277" t="str">
        <f>IF(Table4[[#This Row],[Nilai]]="","",VLOOKUP(Table4[[#This Row],[Helper]],$X$5:$AA$200,4,FALSE))</f>
        <v/>
      </c>
      <c r="AI277" t="s">
        <v>493</v>
      </c>
      <c r="AJ277" t="str">
        <f t="shared" si="65"/>
        <v>12AB.IndoWk.10</v>
      </c>
      <c r="AK277" s="24" t="str">
        <f t="shared" si="62"/>
        <v/>
      </c>
    </row>
    <row r="278" spans="9:37" x14ac:dyDescent="0.2">
      <c r="I278" t="str">
        <f t="shared" si="63"/>
        <v/>
      </c>
      <c r="J278" t="str">
        <f t="shared" si="58"/>
        <v/>
      </c>
      <c r="K278" t="str">
        <f t="shared" si="59"/>
        <v/>
      </c>
      <c r="L278" t="str">
        <f t="shared" si="60"/>
        <v/>
      </c>
      <c r="M278" t="str">
        <f t="shared" si="61"/>
        <v/>
      </c>
      <c r="N278" t="str">
        <f t="shared" si="64"/>
        <v/>
      </c>
      <c r="AF278" t="s">
        <v>65</v>
      </c>
      <c r="AG278" t="s">
        <v>81</v>
      </c>
      <c r="AH278" t="str">
        <f>IF(Table4[[#This Row],[Nilai]]="","",VLOOKUP(Table4[[#This Row],[Helper]],$X$5:$AA$200,4,FALSE))</f>
        <v/>
      </c>
      <c r="AI278" t="s">
        <v>494</v>
      </c>
      <c r="AJ278" t="str">
        <f t="shared" si="65"/>
        <v>12AB.IndoWk.11</v>
      </c>
      <c r="AK278" s="24" t="str">
        <f t="shared" si="62"/>
        <v/>
      </c>
    </row>
    <row r="279" spans="9:37" x14ac:dyDescent="0.2">
      <c r="I279" t="str">
        <f t="shared" si="63"/>
        <v/>
      </c>
      <c r="J279" t="str">
        <f t="shared" si="58"/>
        <v/>
      </c>
      <c r="K279" t="str">
        <f t="shared" si="59"/>
        <v/>
      </c>
      <c r="L279" t="str">
        <f t="shared" si="60"/>
        <v/>
      </c>
      <c r="M279" t="str">
        <f t="shared" si="61"/>
        <v/>
      </c>
      <c r="N279" t="str">
        <f t="shared" si="64"/>
        <v/>
      </c>
      <c r="AF279" t="s">
        <v>65</v>
      </c>
      <c r="AG279" t="s">
        <v>81</v>
      </c>
      <c r="AH279" t="str">
        <f>IF(Table4[[#This Row],[Nilai]]="","",VLOOKUP(Table4[[#This Row],[Helper]],$X$5:$AA$200,4,FALSE))</f>
        <v/>
      </c>
      <c r="AI279" t="s">
        <v>495</v>
      </c>
      <c r="AJ279" t="str">
        <f t="shared" si="65"/>
        <v>12AB.IndoWk.12</v>
      </c>
      <c r="AK279" s="24" t="str">
        <f t="shared" si="62"/>
        <v/>
      </c>
    </row>
    <row r="280" spans="9:37" x14ac:dyDescent="0.2">
      <c r="I280" t="str">
        <f t="shared" si="63"/>
        <v/>
      </c>
      <c r="J280" t="str">
        <f t="shared" si="58"/>
        <v/>
      </c>
      <c r="K280" t="str">
        <f t="shared" si="59"/>
        <v/>
      </c>
      <c r="L280" t="str">
        <f t="shared" si="60"/>
        <v/>
      </c>
      <c r="M280" t="str">
        <f t="shared" si="61"/>
        <v/>
      </c>
      <c r="N280" t="str">
        <f t="shared" si="64"/>
        <v/>
      </c>
      <c r="AF280" t="s">
        <v>65</v>
      </c>
      <c r="AG280" t="s">
        <v>81</v>
      </c>
      <c r="AH280" t="str">
        <f>IF(Table4[[#This Row],[Nilai]]="","",VLOOKUP(Table4[[#This Row],[Helper]],$X$5:$AA$200,4,FALSE))</f>
        <v/>
      </c>
      <c r="AI280" t="s">
        <v>496</v>
      </c>
      <c r="AJ280" t="str">
        <f t="shared" si="65"/>
        <v>12AB.IndoWk.13</v>
      </c>
      <c r="AK280" s="24" t="str">
        <f t="shared" si="62"/>
        <v/>
      </c>
    </row>
    <row r="281" spans="9:37" x14ac:dyDescent="0.2">
      <c r="I281" t="str">
        <f t="shared" si="63"/>
        <v/>
      </c>
      <c r="J281" t="str">
        <f t="shared" si="58"/>
        <v/>
      </c>
      <c r="K281" t="str">
        <f t="shared" si="59"/>
        <v/>
      </c>
      <c r="L281" t="str">
        <f t="shared" si="60"/>
        <v/>
      </c>
      <c r="M281" t="str">
        <f t="shared" si="61"/>
        <v/>
      </c>
      <c r="N281" t="str">
        <f t="shared" si="64"/>
        <v/>
      </c>
      <c r="AF281" t="s">
        <v>65</v>
      </c>
      <c r="AG281" t="s">
        <v>81</v>
      </c>
      <c r="AH281" t="str">
        <f>IF(Table4[[#This Row],[Nilai]]="","",VLOOKUP(Table4[[#This Row],[Helper]],$X$5:$AA$200,4,FALSE))</f>
        <v/>
      </c>
      <c r="AI281" t="s">
        <v>497</v>
      </c>
      <c r="AJ281" t="str">
        <f t="shared" si="65"/>
        <v>12AB.IndoWk.14</v>
      </c>
      <c r="AK281" s="24" t="str">
        <f t="shared" si="62"/>
        <v/>
      </c>
    </row>
    <row r="282" spans="9:37" x14ac:dyDescent="0.2">
      <c r="I282" t="str">
        <f t="shared" si="63"/>
        <v/>
      </c>
      <c r="J282" t="str">
        <f t="shared" si="58"/>
        <v/>
      </c>
      <c r="K282" t="str">
        <f t="shared" si="59"/>
        <v/>
      </c>
      <c r="L282" t="str">
        <f t="shared" si="60"/>
        <v/>
      </c>
      <c r="M282" t="str">
        <f t="shared" si="61"/>
        <v/>
      </c>
      <c r="N282" t="str">
        <f t="shared" si="64"/>
        <v/>
      </c>
      <c r="AF282" t="s">
        <v>65</v>
      </c>
      <c r="AG282" t="s">
        <v>81</v>
      </c>
      <c r="AH282" t="str">
        <f>IF(Table4[[#This Row],[Nilai]]="","",VLOOKUP(Table4[[#This Row],[Helper]],$X$5:$AA$200,4,FALSE))</f>
        <v/>
      </c>
      <c r="AI282" t="s">
        <v>498</v>
      </c>
      <c r="AJ282" t="str">
        <f t="shared" si="65"/>
        <v>12AB.IndoWk.15</v>
      </c>
      <c r="AK282" s="24" t="str">
        <f t="shared" si="62"/>
        <v/>
      </c>
    </row>
    <row r="283" spans="9:37" x14ac:dyDescent="0.2">
      <c r="I283" t="str">
        <f t="shared" si="63"/>
        <v/>
      </c>
      <c r="J283" t="str">
        <f t="shared" si="58"/>
        <v/>
      </c>
      <c r="K283" t="str">
        <f t="shared" si="59"/>
        <v/>
      </c>
      <c r="L283" t="str">
        <f t="shared" si="60"/>
        <v/>
      </c>
      <c r="M283" t="str">
        <f t="shared" si="61"/>
        <v/>
      </c>
      <c r="N283" t="str">
        <f t="shared" si="64"/>
        <v/>
      </c>
      <c r="AF283" t="s">
        <v>65</v>
      </c>
      <c r="AG283" t="s">
        <v>81</v>
      </c>
      <c r="AH283" t="str">
        <f>IF(Table4[[#This Row],[Nilai]]="","",VLOOKUP(Table4[[#This Row],[Helper]],$X$5:$AA$200,4,FALSE))</f>
        <v/>
      </c>
      <c r="AI283" t="s">
        <v>499</v>
      </c>
      <c r="AJ283" t="str">
        <f t="shared" si="65"/>
        <v>12AB.IndoWk.16</v>
      </c>
      <c r="AK283" s="24" t="str">
        <f t="shared" si="62"/>
        <v/>
      </c>
    </row>
    <row r="284" spans="9:37" x14ac:dyDescent="0.2">
      <c r="I284" t="str">
        <f t="shared" si="63"/>
        <v/>
      </c>
      <c r="J284" t="str">
        <f t="shared" si="58"/>
        <v/>
      </c>
      <c r="K284" t="str">
        <f t="shared" si="59"/>
        <v/>
      </c>
      <c r="L284" t="str">
        <f t="shared" si="60"/>
        <v/>
      </c>
      <c r="M284" t="str">
        <f t="shared" si="61"/>
        <v/>
      </c>
      <c r="N284" t="str">
        <f t="shared" si="64"/>
        <v/>
      </c>
      <c r="AF284" t="s">
        <v>65</v>
      </c>
      <c r="AG284" t="s">
        <v>81</v>
      </c>
      <c r="AH284" t="str">
        <f>IF(Table4[[#This Row],[Nilai]]="","",VLOOKUP(Table4[[#This Row],[Helper]],$X$5:$AA$200,4,FALSE))</f>
        <v/>
      </c>
      <c r="AI284" t="s">
        <v>500</v>
      </c>
      <c r="AJ284" t="str">
        <f t="shared" si="65"/>
        <v>12AB.IndoWk.17</v>
      </c>
      <c r="AK284" s="24" t="str">
        <f t="shared" si="62"/>
        <v/>
      </c>
    </row>
    <row r="285" spans="9:37" x14ac:dyDescent="0.2">
      <c r="I285" t="str">
        <f t="shared" si="63"/>
        <v/>
      </c>
      <c r="J285" t="str">
        <f t="shared" si="58"/>
        <v/>
      </c>
      <c r="K285" t="str">
        <f t="shared" si="59"/>
        <v/>
      </c>
      <c r="L285" t="str">
        <f t="shared" si="60"/>
        <v/>
      </c>
      <c r="M285" t="str">
        <f t="shared" si="61"/>
        <v/>
      </c>
      <c r="N285" t="str">
        <f t="shared" si="64"/>
        <v/>
      </c>
      <c r="AF285" t="s">
        <v>65</v>
      </c>
      <c r="AG285" t="s">
        <v>81</v>
      </c>
      <c r="AH285" t="str">
        <f>IF(Table4[[#This Row],[Nilai]]="","",VLOOKUP(Table4[[#This Row],[Helper]],$X$5:$AA$200,4,FALSE))</f>
        <v/>
      </c>
      <c r="AI285" t="s">
        <v>501</v>
      </c>
      <c r="AJ285" t="str">
        <f t="shared" si="65"/>
        <v>12AB.IndoWk.18</v>
      </c>
      <c r="AK285" s="24" t="str">
        <f t="shared" si="62"/>
        <v/>
      </c>
    </row>
    <row r="286" spans="9:37" x14ac:dyDescent="0.2">
      <c r="I286" t="str">
        <f t="shared" si="63"/>
        <v/>
      </c>
      <c r="J286" t="str">
        <f t="shared" si="58"/>
        <v/>
      </c>
      <c r="K286" t="str">
        <f t="shared" si="59"/>
        <v/>
      </c>
      <c r="L286" t="str">
        <f t="shared" si="60"/>
        <v/>
      </c>
      <c r="M286" t="str">
        <f t="shared" si="61"/>
        <v/>
      </c>
      <c r="N286" t="str">
        <f t="shared" si="64"/>
        <v/>
      </c>
      <c r="AF286" t="s">
        <v>65</v>
      </c>
      <c r="AG286" t="s">
        <v>81</v>
      </c>
      <c r="AH286" t="str">
        <f>IF(Table4[[#This Row],[Nilai]]="","",VLOOKUP(Table4[[#This Row],[Helper]],$X$5:$AA$200,4,FALSE))</f>
        <v/>
      </c>
      <c r="AI286" t="s">
        <v>502</v>
      </c>
      <c r="AJ286" t="str">
        <f t="shared" si="65"/>
        <v>12AB.IndoWk.19</v>
      </c>
      <c r="AK286" s="24" t="str">
        <f t="shared" si="62"/>
        <v/>
      </c>
    </row>
    <row r="287" spans="9:37" x14ac:dyDescent="0.2">
      <c r="I287" t="str">
        <f t="shared" si="63"/>
        <v/>
      </c>
      <c r="J287" t="str">
        <f t="shared" si="58"/>
        <v/>
      </c>
      <c r="K287" t="str">
        <f t="shared" si="59"/>
        <v/>
      </c>
      <c r="L287" t="str">
        <f t="shared" si="60"/>
        <v/>
      </c>
      <c r="M287" t="str">
        <f t="shared" si="61"/>
        <v/>
      </c>
      <c r="N287" t="str">
        <f t="shared" si="64"/>
        <v/>
      </c>
      <c r="AF287" t="s">
        <v>65</v>
      </c>
      <c r="AG287" t="s">
        <v>81</v>
      </c>
      <c r="AH287" t="str">
        <f>IF(Table4[[#This Row],[Nilai]]="","",VLOOKUP(Table4[[#This Row],[Helper]],$X$5:$AA$200,4,FALSE))</f>
        <v/>
      </c>
      <c r="AI287" t="s">
        <v>503</v>
      </c>
      <c r="AJ287" t="str">
        <f t="shared" si="65"/>
        <v>12AB.IndoWk.20</v>
      </c>
      <c r="AK287" s="24" t="str">
        <f t="shared" si="62"/>
        <v/>
      </c>
    </row>
    <row r="288" spans="9:37" x14ac:dyDescent="0.2">
      <c r="I288" t="str">
        <f t="shared" si="63"/>
        <v/>
      </c>
      <c r="J288" t="str">
        <f t="shared" ref="J288:J351" si="66">IF(A288="","",A288)</f>
        <v/>
      </c>
      <c r="K288" t="str">
        <f t="shared" ref="K288:K351" si="67">IF(B288="","",B288)</f>
        <v/>
      </c>
      <c r="L288" t="str">
        <f t="shared" ref="L288:L351" si="68">IF(C288="","",C288)</f>
        <v/>
      </c>
      <c r="M288" t="str">
        <f t="shared" ref="M288:M351" si="69">IF(D288="","",D288)</f>
        <v/>
      </c>
      <c r="N288" t="str">
        <f t="shared" si="64"/>
        <v/>
      </c>
      <c r="AF288" t="s">
        <v>65</v>
      </c>
      <c r="AG288" t="s">
        <v>81</v>
      </c>
      <c r="AH288" t="str">
        <f>IF(Table4[[#This Row],[Nilai]]="","",VLOOKUP(Table4[[#This Row],[Helper]],$X$5:$AA$200,4,FALSE))</f>
        <v/>
      </c>
      <c r="AI288" t="s">
        <v>504</v>
      </c>
      <c r="AJ288" t="str">
        <f t="shared" si="65"/>
        <v>12AB.IndoWk.21</v>
      </c>
      <c r="AK288" s="24" t="str">
        <f t="shared" si="62"/>
        <v/>
      </c>
    </row>
    <row r="289" spans="9:37" x14ac:dyDescent="0.2">
      <c r="I289" t="str">
        <f t="shared" si="63"/>
        <v/>
      </c>
      <c r="J289" t="str">
        <f t="shared" si="66"/>
        <v/>
      </c>
      <c r="K289" t="str">
        <f t="shared" si="67"/>
        <v/>
      </c>
      <c r="L289" t="str">
        <f t="shared" si="68"/>
        <v/>
      </c>
      <c r="M289" t="str">
        <f t="shared" si="69"/>
        <v/>
      </c>
      <c r="N289" t="str">
        <f t="shared" si="64"/>
        <v/>
      </c>
      <c r="AF289" t="s">
        <v>65</v>
      </c>
      <c r="AG289" t="s">
        <v>81</v>
      </c>
      <c r="AH289" t="str">
        <f>IF(Table4[[#This Row],[Nilai]]="","",VLOOKUP(Table4[[#This Row],[Helper]],$X$5:$AA$200,4,FALSE))</f>
        <v/>
      </c>
      <c r="AI289" t="s">
        <v>505</v>
      </c>
      <c r="AJ289" t="str">
        <f t="shared" si="65"/>
        <v>12AB.IndoWk.22</v>
      </c>
      <c r="AK289" s="24" t="str">
        <f t="shared" si="62"/>
        <v/>
      </c>
    </row>
    <row r="290" spans="9:37" x14ac:dyDescent="0.2">
      <c r="I290" t="str">
        <f t="shared" si="63"/>
        <v/>
      </c>
      <c r="J290" t="str">
        <f t="shared" si="66"/>
        <v/>
      </c>
      <c r="K290" t="str">
        <f t="shared" si="67"/>
        <v/>
      </c>
      <c r="L290" t="str">
        <f t="shared" si="68"/>
        <v/>
      </c>
      <c r="M290" t="str">
        <f t="shared" si="69"/>
        <v/>
      </c>
      <c r="N290" t="str">
        <f t="shared" si="64"/>
        <v/>
      </c>
      <c r="AF290" t="s">
        <v>65</v>
      </c>
      <c r="AG290" t="s">
        <v>81</v>
      </c>
      <c r="AH290" t="str">
        <f>IF(Table4[[#This Row],[Nilai]]="","",VLOOKUP(Table4[[#This Row],[Helper]],$X$5:$AA$200,4,FALSE))</f>
        <v/>
      </c>
      <c r="AI290" t="s">
        <v>506</v>
      </c>
      <c r="AJ290" t="str">
        <f t="shared" si="65"/>
        <v>12AB.IndoWk.23</v>
      </c>
      <c r="AK290" s="24" t="str">
        <f t="shared" si="62"/>
        <v/>
      </c>
    </row>
    <row r="291" spans="9:37" x14ac:dyDescent="0.2">
      <c r="I291" t="str">
        <f t="shared" si="63"/>
        <v/>
      </c>
      <c r="J291" t="str">
        <f t="shared" si="66"/>
        <v/>
      </c>
      <c r="K291" t="str">
        <f t="shared" si="67"/>
        <v/>
      </c>
      <c r="L291" t="str">
        <f t="shared" si="68"/>
        <v/>
      </c>
      <c r="M291" t="str">
        <f t="shared" si="69"/>
        <v/>
      </c>
      <c r="N291" t="str">
        <f t="shared" si="64"/>
        <v/>
      </c>
      <c r="AF291" t="s">
        <v>65</v>
      </c>
      <c r="AG291" t="s">
        <v>81</v>
      </c>
      <c r="AH291" t="str">
        <f>IF(Table4[[#This Row],[Nilai]]="","",VLOOKUP(Table4[[#This Row],[Helper]],$X$5:$AA$200,4,FALSE))</f>
        <v/>
      </c>
      <c r="AI291" t="s">
        <v>507</v>
      </c>
      <c r="AJ291" t="str">
        <f t="shared" si="65"/>
        <v>12AB.IndoWk.24</v>
      </c>
      <c r="AK291" s="24" t="str">
        <f t="shared" si="62"/>
        <v/>
      </c>
    </row>
    <row r="292" spans="9:37" x14ac:dyDescent="0.2">
      <c r="I292" t="str">
        <f t="shared" si="63"/>
        <v/>
      </c>
      <c r="J292" t="str">
        <f t="shared" si="66"/>
        <v/>
      </c>
      <c r="K292" t="str">
        <f t="shared" si="67"/>
        <v/>
      </c>
      <c r="L292" t="str">
        <f t="shared" si="68"/>
        <v/>
      </c>
      <c r="M292" t="str">
        <f t="shared" si="69"/>
        <v/>
      </c>
      <c r="N292" t="str">
        <f t="shared" si="64"/>
        <v/>
      </c>
      <c r="AF292" t="s">
        <v>65</v>
      </c>
      <c r="AG292" t="s">
        <v>81</v>
      </c>
      <c r="AH292" t="str">
        <f>IF(Table4[[#This Row],[Nilai]]="","",VLOOKUP(Table4[[#This Row],[Helper]],$X$5:$AA$200,4,FALSE))</f>
        <v/>
      </c>
      <c r="AI292" t="s">
        <v>508</v>
      </c>
      <c r="AJ292" t="str">
        <f t="shared" si="65"/>
        <v>12AB.IndoWk.25</v>
      </c>
      <c r="AK292" s="24" t="str">
        <f t="shared" si="62"/>
        <v/>
      </c>
    </row>
    <row r="293" spans="9:37" x14ac:dyDescent="0.2">
      <c r="I293" t="str">
        <f t="shared" si="63"/>
        <v/>
      </c>
      <c r="J293" t="str">
        <f t="shared" si="66"/>
        <v/>
      </c>
      <c r="K293" t="str">
        <f t="shared" si="67"/>
        <v/>
      </c>
      <c r="L293" t="str">
        <f t="shared" si="68"/>
        <v/>
      </c>
      <c r="M293" t="str">
        <f t="shared" si="69"/>
        <v/>
      </c>
      <c r="N293" t="str">
        <f t="shared" si="64"/>
        <v/>
      </c>
      <c r="AF293" t="s">
        <v>54</v>
      </c>
      <c r="AG293" t="s">
        <v>84</v>
      </c>
      <c r="AH293" t="str">
        <f>IF(Table4[[#This Row],[Nilai]]="","",VLOOKUP(Table4[[#This Row],[Helper]],$X$5:$AA$200,4,FALSE))</f>
        <v/>
      </c>
      <c r="AI293" t="s">
        <v>466</v>
      </c>
      <c r="AJ293" t="str">
        <f t="shared" si="65"/>
        <v>11AMathWk.2</v>
      </c>
      <c r="AK293" s="24" t="str">
        <f t="shared" si="62"/>
        <v/>
      </c>
    </row>
    <row r="294" spans="9:37" x14ac:dyDescent="0.2">
      <c r="I294" t="str">
        <f t="shared" si="63"/>
        <v/>
      </c>
      <c r="J294" t="str">
        <f t="shared" si="66"/>
        <v/>
      </c>
      <c r="K294" t="str">
        <f t="shared" si="67"/>
        <v/>
      </c>
      <c r="L294" t="str">
        <f t="shared" si="68"/>
        <v/>
      </c>
      <c r="M294" t="str">
        <f t="shared" si="69"/>
        <v/>
      </c>
      <c r="N294" t="str">
        <f t="shared" si="64"/>
        <v/>
      </c>
      <c r="AF294" t="s">
        <v>54</v>
      </c>
      <c r="AG294" t="s">
        <v>84</v>
      </c>
      <c r="AH294" t="str">
        <f>IF(Table4[[#This Row],[Nilai]]="","",VLOOKUP(Table4[[#This Row],[Helper]],$X$5:$AA$200,4,FALSE))</f>
        <v>Jan</v>
      </c>
      <c r="AI294" t="s">
        <v>461</v>
      </c>
      <c r="AJ294" t="str">
        <f t="shared" si="65"/>
        <v>11AMathWk.3</v>
      </c>
      <c r="AK294" s="24">
        <f t="shared" si="62"/>
        <v>69.05263157894737</v>
      </c>
    </row>
    <row r="295" spans="9:37" x14ac:dyDescent="0.2">
      <c r="I295" t="str">
        <f t="shared" si="63"/>
        <v/>
      </c>
      <c r="J295" t="str">
        <f t="shared" si="66"/>
        <v/>
      </c>
      <c r="K295" t="str">
        <f t="shared" si="67"/>
        <v/>
      </c>
      <c r="L295" t="str">
        <f t="shared" si="68"/>
        <v/>
      </c>
      <c r="M295" t="str">
        <f t="shared" si="69"/>
        <v/>
      </c>
      <c r="N295" t="str">
        <f t="shared" si="64"/>
        <v/>
      </c>
      <c r="AF295" t="s">
        <v>54</v>
      </c>
      <c r="AG295" t="s">
        <v>84</v>
      </c>
      <c r="AH295" t="str">
        <f>IF(Table4[[#This Row],[Nilai]]="","",VLOOKUP(Table4[[#This Row],[Helper]],$X$5:$AA$200,4,FALSE))</f>
        <v>Jan</v>
      </c>
      <c r="AI295" t="s">
        <v>462</v>
      </c>
      <c r="AJ295" t="str">
        <f t="shared" si="65"/>
        <v>11AMathWk.4</v>
      </c>
      <c r="AK295" s="24">
        <f t="shared" si="62"/>
        <v>59.404761904761905</v>
      </c>
    </row>
    <row r="296" spans="9:37" x14ac:dyDescent="0.2">
      <c r="I296" t="str">
        <f t="shared" si="63"/>
        <v/>
      </c>
      <c r="J296" t="str">
        <f t="shared" si="66"/>
        <v/>
      </c>
      <c r="K296" t="str">
        <f t="shared" si="67"/>
        <v/>
      </c>
      <c r="L296" t="str">
        <f t="shared" si="68"/>
        <v/>
      </c>
      <c r="M296" t="str">
        <f t="shared" si="69"/>
        <v/>
      </c>
      <c r="N296" t="str">
        <f t="shared" si="64"/>
        <v/>
      </c>
      <c r="AF296" t="s">
        <v>54</v>
      </c>
      <c r="AG296" t="s">
        <v>84</v>
      </c>
      <c r="AH296" t="str">
        <f>IF(Table4[[#This Row],[Nilai]]="","",VLOOKUP(Table4[[#This Row],[Helper]],$X$5:$AA$200,4,FALSE))</f>
        <v>Jan</v>
      </c>
      <c r="AI296" t="s">
        <v>463</v>
      </c>
      <c r="AJ296" t="str">
        <f t="shared" si="65"/>
        <v>11AMathWk.5</v>
      </c>
      <c r="AK296" s="24">
        <f t="shared" si="62"/>
        <v>52.5</v>
      </c>
    </row>
    <row r="297" spans="9:37" x14ac:dyDescent="0.2">
      <c r="I297" t="str">
        <f t="shared" si="63"/>
        <v/>
      </c>
      <c r="J297" t="str">
        <f t="shared" si="66"/>
        <v/>
      </c>
      <c r="K297" t="str">
        <f t="shared" si="67"/>
        <v/>
      </c>
      <c r="L297" t="str">
        <f t="shared" si="68"/>
        <v/>
      </c>
      <c r="M297" t="str">
        <f t="shared" si="69"/>
        <v/>
      </c>
      <c r="N297" t="str">
        <f t="shared" si="64"/>
        <v/>
      </c>
      <c r="AF297" t="s">
        <v>54</v>
      </c>
      <c r="AG297" t="s">
        <v>84</v>
      </c>
      <c r="AH297" t="str">
        <f>IF(Table4[[#This Row],[Nilai]]="","",VLOOKUP(Table4[[#This Row],[Helper]],$X$5:$AA$200,4,FALSE))</f>
        <v>Feb</v>
      </c>
      <c r="AI297" t="s">
        <v>464</v>
      </c>
      <c r="AJ297" t="str">
        <f t="shared" si="65"/>
        <v>11AMathWk.6</v>
      </c>
      <c r="AK297" s="24">
        <f t="shared" si="62"/>
        <v>79.969696969696969</v>
      </c>
    </row>
    <row r="298" spans="9:37" x14ac:dyDescent="0.2">
      <c r="I298" t="str">
        <f t="shared" si="63"/>
        <v/>
      </c>
      <c r="J298" t="str">
        <f t="shared" si="66"/>
        <v/>
      </c>
      <c r="K298" t="str">
        <f t="shared" si="67"/>
        <v/>
      </c>
      <c r="L298" t="str">
        <f t="shared" si="68"/>
        <v/>
      </c>
      <c r="M298" t="str">
        <f t="shared" si="69"/>
        <v/>
      </c>
      <c r="N298" t="str">
        <f t="shared" si="64"/>
        <v/>
      </c>
      <c r="AF298" t="s">
        <v>54</v>
      </c>
      <c r="AG298" t="s">
        <v>84</v>
      </c>
      <c r="AH298" t="str">
        <f>IF(Table4[[#This Row],[Nilai]]="","",VLOOKUP(Table4[[#This Row],[Helper]],$X$5:$AA$200,4,FALSE))</f>
        <v>Feb</v>
      </c>
      <c r="AI298" t="s">
        <v>465</v>
      </c>
      <c r="AJ298" t="str">
        <f t="shared" si="65"/>
        <v>11AMathWk.7</v>
      </c>
      <c r="AK298" s="24">
        <f t="shared" si="62"/>
        <v>56.81818181818182</v>
      </c>
    </row>
    <row r="299" spans="9:37" x14ac:dyDescent="0.2">
      <c r="I299" t="str">
        <f t="shared" si="63"/>
        <v/>
      </c>
      <c r="J299" t="str">
        <f t="shared" si="66"/>
        <v/>
      </c>
      <c r="K299" t="str">
        <f t="shared" si="67"/>
        <v/>
      </c>
      <c r="L299" t="str">
        <f t="shared" si="68"/>
        <v/>
      </c>
      <c r="M299" t="str">
        <f t="shared" si="69"/>
        <v/>
      </c>
      <c r="N299" t="str">
        <f t="shared" si="64"/>
        <v/>
      </c>
      <c r="AF299" t="s">
        <v>54</v>
      </c>
      <c r="AG299" t="s">
        <v>84</v>
      </c>
      <c r="AH299" t="str">
        <f>IF(Table4[[#This Row],[Nilai]]="","",VLOOKUP(Table4[[#This Row],[Helper]],$X$5:$AA$200,4,FALSE))</f>
        <v/>
      </c>
      <c r="AI299" t="s">
        <v>467</v>
      </c>
      <c r="AJ299" t="str">
        <f t="shared" si="65"/>
        <v>11AMathWk.8</v>
      </c>
      <c r="AK299" s="24" t="str">
        <f t="shared" si="62"/>
        <v/>
      </c>
    </row>
    <row r="300" spans="9:37" x14ac:dyDescent="0.2">
      <c r="I300" t="str">
        <f t="shared" si="63"/>
        <v/>
      </c>
      <c r="J300" t="str">
        <f t="shared" si="66"/>
        <v/>
      </c>
      <c r="K300" t="str">
        <f t="shared" si="67"/>
        <v/>
      </c>
      <c r="L300" t="str">
        <f t="shared" si="68"/>
        <v/>
      </c>
      <c r="M300" t="str">
        <f t="shared" si="69"/>
        <v/>
      </c>
      <c r="N300" t="str">
        <f t="shared" si="64"/>
        <v/>
      </c>
      <c r="AF300" t="s">
        <v>54</v>
      </c>
      <c r="AG300" t="s">
        <v>84</v>
      </c>
      <c r="AH300" t="str">
        <f>IF(Table4[[#This Row],[Nilai]]="","",VLOOKUP(Table4[[#This Row],[Helper]],$X$5:$AA$200,4,FALSE))</f>
        <v/>
      </c>
      <c r="AI300" t="s">
        <v>486</v>
      </c>
      <c r="AJ300" t="str">
        <f t="shared" si="65"/>
        <v>11AMathWk.9</v>
      </c>
      <c r="AK300" s="24" t="str">
        <f t="shared" si="62"/>
        <v/>
      </c>
    </row>
    <row r="301" spans="9:37" x14ac:dyDescent="0.2">
      <c r="I301" t="str">
        <f t="shared" si="63"/>
        <v/>
      </c>
      <c r="J301" t="str">
        <f t="shared" si="66"/>
        <v/>
      </c>
      <c r="K301" t="str">
        <f t="shared" si="67"/>
        <v/>
      </c>
      <c r="L301" t="str">
        <f t="shared" si="68"/>
        <v/>
      </c>
      <c r="M301" t="str">
        <f t="shared" si="69"/>
        <v/>
      </c>
      <c r="N301" t="str">
        <f t="shared" si="64"/>
        <v/>
      </c>
      <c r="AF301" t="s">
        <v>54</v>
      </c>
      <c r="AG301" t="s">
        <v>84</v>
      </c>
      <c r="AH301" t="str">
        <f>IF(Table4[[#This Row],[Nilai]]="","",VLOOKUP(Table4[[#This Row],[Helper]],$X$5:$AA$200,4,FALSE))</f>
        <v/>
      </c>
      <c r="AI301" t="s">
        <v>493</v>
      </c>
      <c r="AJ301" t="str">
        <f t="shared" si="65"/>
        <v>11AMathWk.10</v>
      </c>
      <c r="AK301" s="24" t="str">
        <f t="shared" si="62"/>
        <v/>
      </c>
    </row>
    <row r="302" spans="9:37" x14ac:dyDescent="0.2">
      <c r="I302" t="str">
        <f t="shared" si="63"/>
        <v/>
      </c>
      <c r="J302" t="str">
        <f t="shared" si="66"/>
        <v/>
      </c>
      <c r="K302" t="str">
        <f t="shared" si="67"/>
        <v/>
      </c>
      <c r="L302" t="str">
        <f t="shared" si="68"/>
        <v/>
      </c>
      <c r="M302" t="str">
        <f t="shared" si="69"/>
        <v/>
      </c>
      <c r="N302" t="str">
        <f t="shared" si="64"/>
        <v/>
      </c>
      <c r="AF302" t="s">
        <v>54</v>
      </c>
      <c r="AG302" t="s">
        <v>84</v>
      </c>
      <c r="AH302" t="str">
        <f>IF(Table4[[#This Row],[Nilai]]="","",VLOOKUP(Table4[[#This Row],[Helper]],$X$5:$AA$200,4,FALSE))</f>
        <v/>
      </c>
      <c r="AI302" t="s">
        <v>494</v>
      </c>
      <c r="AJ302" t="str">
        <f t="shared" si="65"/>
        <v>11AMathWk.11</v>
      </c>
      <c r="AK302" s="24" t="str">
        <f t="shared" si="62"/>
        <v/>
      </c>
    </row>
    <row r="303" spans="9:37" x14ac:dyDescent="0.2">
      <c r="I303" t="str">
        <f t="shared" si="63"/>
        <v/>
      </c>
      <c r="J303" t="str">
        <f t="shared" si="66"/>
        <v/>
      </c>
      <c r="K303" t="str">
        <f t="shared" si="67"/>
        <v/>
      </c>
      <c r="L303" t="str">
        <f t="shared" si="68"/>
        <v/>
      </c>
      <c r="M303" t="str">
        <f t="shared" si="69"/>
        <v/>
      </c>
      <c r="N303" t="str">
        <f t="shared" si="64"/>
        <v/>
      </c>
      <c r="AF303" t="s">
        <v>54</v>
      </c>
      <c r="AG303" t="s">
        <v>84</v>
      </c>
      <c r="AH303" t="str">
        <f>IF(Table4[[#This Row],[Nilai]]="","",VLOOKUP(Table4[[#This Row],[Helper]],$X$5:$AA$200,4,FALSE))</f>
        <v/>
      </c>
      <c r="AI303" t="s">
        <v>495</v>
      </c>
      <c r="AJ303" t="str">
        <f t="shared" si="65"/>
        <v>11AMathWk.12</v>
      </c>
      <c r="AK303" s="24" t="str">
        <f t="shared" si="62"/>
        <v/>
      </c>
    </row>
    <row r="304" spans="9:37" x14ac:dyDescent="0.2">
      <c r="I304" t="str">
        <f t="shared" si="63"/>
        <v/>
      </c>
      <c r="J304" t="str">
        <f t="shared" si="66"/>
        <v/>
      </c>
      <c r="K304" t="str">
        <f t="shared" si="67"/>
        <v/>
      </c>
      <c r="L304" t="str">
        <f t="shared" si="68"/>
        <v/>
      </c>
      <c r="M304" t="str">
        <f t="shared" si="69"/>
        <v/>
      </c>
      <c r="N304" t="str">
        <f t="shared" si="64"/>
        <v/>
      </c>
      <c r="AF304" t="s">
        <v>54</v>
      </c>
      <c r="AG304" t="s">
        <v>84</v>
      </c>
      <c r="AH304" t="str">
        <f>IF(Table4[[#This Row],[Nilai]]="","",VLOOKUP(Table4[[#This Row],[Helper]],$X$5:$AA$200,4,FALSE))</f>
        <v/>
      </c>
      <c r="AI304" t="s">
        <v>496</v>
      </c>
      <c r="AJ304" t="str">
        <f t="shared" si="65"/>
        <v>11AMathWk.13</v>
      </c>
      <c r="AK304" s="24" t="str">
        <f t="shared" si="62"/>
        <v/>
      </c>
    </row>
    <row r="305" spans="9:37" x14ac:dyDescent="0.2">
      <c r="I305" t="str">
        <f t="shared" si="63"/>
        <v/>
      </c>
      <c r="J305" t="str">
        <f t="shared" si="66"/>
        <v/>
      </c>
      <c r="K305" t="str">
        <f t="shared" si="67"/>
        <v/>
      </c>
      <c r="L305" t="str">
        <f t="shared" si="68"/>
        <v/>
      </c>
      <c r="M305" t="str">
        <f t="shared" si="69"/>
        <v/>
      </c>
      <c r="N305" t="str">
        <f t="shared" si="64"/>
        <v/>
      </c>
      <c r="AF305" t="s">
        <v>54</v>
      </c>
      <c r="AG305" t="s">
        <v>84</v>
      </c>
      <c r="AH305" t="str">
        <f>IF(Table4[[#This Row],[Nilai]]="","",VLOOKUP(Table4[[#This Row],[Helper]],$X$5:$AA$200,4,FALSE))</f>
        <v/>
      </c>
      <c r="AI305" t="s">
        <v>497</v>
      </c>
      <c r="AJ305" t="str">
        <f t="shared" si="65"/>
        <v>11AMathWk.14</v>
      </c>
      <c r="AK305" s="24" t="str">
        <f t="shared" si="62"/>
        <v/>
      </c>
    </row>
    <row r="306" spans="9:37" x14ac:dyDescent="0.2">
      <c r="I306" t="str">
        <f t="shared" si="63"/>
        <v/>
      </c>
      <c r="J306" t="str">
        <f t="shared" si="66"/>
        <v/>
      </c>
      <c r="K306" t="str">
        <f t="shared" si="67"/>
        <v/>
      </c>
      <c r="L306" t="str">
        <f t="shared" si="68"/>
        <v/>
      </c>
      <c r="M306" t="str">
        <f t="shared" si="69"/>
        <v/>
      </c>
      <c r="N306" t="str">
        <f t="shared" si="64"/>
        <v/>
      </c>
      <c r="AF306" t="s">
        <v>54</v>
      </c>
      <c r="AG306" t="s">
        <v>84</v>
      </c>
      <c r="AH306" t="str">
        <f>IF(Table4[[#This Row],[Nilai]]="","",VLOOKUP(Table4[[#This Row],[Helper]],$X$5:$AA$200,4,FALSE))</f>
        <v/>
      </c>
      <c r="AI306" t="s">
        <v>498</v>
      </c>
      <c r="AJ306" t="str">
        <f t="shared" si="65"/>
        <v>11AMathWk.15</v>
      </c>
      <c r="AK306" s="24" t="str">
        <f t="shared" si="62"/>
        <v/>
      </c>
    </row>
    <row r="307" spans="9:37" x14ac:dyDescent="0.2">
      <c r="I307" t="str">
        <f t="shared" si="63"/>
        <v/>
      </c>
      <c r="J307" t="str">
        <f t="shared" si="66"/>
        <v/>
      </c>
      <c r="K307" t="str">
        <f t="shared" si="67"/>
        <v/>
      </c>
      <c r="L307" t="str">
        <f t="shared" si="68"/>
        <v/>
      </c>
      <c r="M307" t="str">
        <f t="shared" si="69"/>
        <v/>
      </c>
      <c r="N307" t="str">
        <f t="shared" si="64"/>
        <v/>
      </c>
      <c r="AF307" t="s">
        <v>54</v>
      </c>
      <c r="AG307" t="s">
        <v>84</v>
      </c>
      <c r="AH307" t="str">
        <f>IF(Table4[[#This Row],[Nilai]]="","",VLOOKUP(Table4[[#This Row],[Helper]],$X$5:$AA$200,4,FALSE))</f>
        <v/>
      </c>
      <c r="AI307" t="s">
        <v>499</v>
      </c>
      <c r="AJ307" t="str">
        <f t="shared" si="65"/>
        <v>11AMathWk.16</v>
      </c>
      <c r="AK307" s="24" t="str">
        <f t="shared" si="62"/>
        <v/>
      </c>
    </row>
    <row r="308" spans="9:37" x14ac:dyDescent="0.2">
      <c r="I308" t="str">
        <f t="shared" si="63"/>
        <v/>
      </c>
      <c r="J308" t="str">
        <f t="shared" si="66"/>
        <v/>
      </c>
      <c r="K308" t="str">
        <f t="shared" si="67"/>
        <v/>
      </c>
      <c r="L308" t="str">
        <f t="shared" si="68"/>
        <v/>
      </c>
      <c r="M308" t="str">
        <f t="shared" si="69"/>
        <v/>
      </c>
      <c r="N308" t="str">
        <f t="shared" si="64"/>
        <v/>
      </c>
      <c r="AF308" t="s">
        <v>54</v>
      </c>
      <c r="AG308" t="s">
        <v>84</v>
      </c>
      <c r="AH308" t="str">
        <f>IF(Table4[[#This Row],[Nilai]]="","",VLOOKUP(Table4[[#This Row],[Helper]],$X$5:$AA$200,4,FALSE))</f>
        <v/>
      </c>
      <c r="AI308" t="s">
        <v>500</v>
      </c>
      <c r="AJ308" t="str">
        <f t="shared" si="65"/>
        <v>11AMathWk.17</v>
      </c>
      <c r="AK308" s="24" t="str">
        <f t="shared" si="62"/>
        <v/>
      </c>
    </row>
    <row r="309" spans="9:37" x14ac:dyDescent="0.2">
      <c r="I309" t="str">
        <f t="shared" si="63"/>
        <v/>
      </c>
      <c r="J309" t="str">
        <f t="shared" si="66"/>
        <v/>
      </c>
      <c r="K309" t="str">
        <f t="shared" si="67"/>
        <v/>
      </c>
      <c r="L309" t="str">
        <f t="shared" si="68"/>
        <v/>
      </c>
      <c r="M309" t="str">
        <f t="shared" si="69"/>
        <v/>
      </c>
      <c r="N309" t="str">
        <f t="shared" si="64"/>
        <v/>
      </c>
      <c r="AF309" t="s">
        <v>54</v>
      </c>
      <c r="AG309" t="s">
        <v>84</v>
      </c>
      <c r="AH309" t="str">
        <f>IF(Table4[[#This Row],[Nilai]]="","",VLOOKUP(Table4[[#This Row],[Helper]],$X$5:$AA$200,4,FALSE))</f>
        <v/>
      </c>
      <c r="AI309" t="s">
        <v>501</v>
      </c>
      <c r="AJ309" t="str">
        <f t="shared" si="65"/>
        <v>11AMathWk.18</v>
      </c>
      <c r="AK309" s="24" t="str">
        <f t="shared" si="62"/>
        <v/>
      </c>
    </row>
    <row r="310" spans="9:37" x14ac:dyDescent="0.2">
      <c r="I310" t="str">
        <f t="shared" si="63"/>
        <v/>
      </c>
      <c r="J310" t="str">
        <f t="shared" si="66"/>
        <v/>
      </c>
      <c r="K310" t="str">
        <f t="shared" si="67"/>
        <v/>
      </c>
      <c r="L310" t="str">
        <f t="shared" si="68"/>
        <v/>
      </c>
      <c r="M310" t="str">
        <f t="shared" si="69"/>
        <v/>
      </c>
      <c r="N310" t="str">
        <f t="shared" si="64"/>
        <v/>
      </c>
      <c r="AF310" t="s">
        <v>54</v>
      </c>
      <c r="AG310" t="s">
        <v>84</v>
      </c>
      <c r="AH310" t="str">
        <f>IF(Table4[[#This Row],[Nilai]]="","",VLOOKUP(Table4[[#This Row],[Helper]],$X$5:$AA$200,4,FALSE))</f>
        <v/>
      </c>
      <c r="AI310" t="s">
        <v>502</v>
      </c>
      <c r="AJ310" t="str">
        <f t="shared" si="65"/>
        <v>11AMathWk.19</v>
      </c>
      <c r="AK310" s="24" t="str">
        <f t="shared" ref="AK310:AK340" si="70">IFERROR(VLOOKUP(AJ310,$X$5:$AC$380,6,),"")</f>
        <v/>
      </c>
    </row>
    <row r="311" spans="9:37" x14ac:dyDescent="0.2">
      <c r="I311" t="str">
        <f t="shared" si="63"/>
        <v/>
      </c>
      <c r="J311" t="str">
        <f t="shared" si="66"/>
        <v/>
      </c>
      <c r="K311" t="str">
        <f t="shared" si="67"/>
        <v/>
      </c>
      <c r="L311" t="str">
        <f t="shared" si="68"/>
        <v/>
      </c>
      <c r="M311" t="str">
        <f t="shared" si="69"/>
        <v/>
      </c>
      <c r="N311" t="str">
        <f t="shared" si="64"/>
        <v/>
      </c>
      <c r="AF311" t="s">
        <v>54</v>
      </c>
      <c r="AG311" t="s">
        <v>84</v>
      </c>
      <c r="AH311" t="str">
        <f>IF(Table4[[#This Row],[Nilai]]="","",VLOOKUP(Table4[[#This Row],[Helper]],$X$5:$AA$200,4,FALSE))</f>
        <v/>
      </c>
      <c r="AI311" t="s">
        <v>503</v>
      </c>
      <c r="AJ311" t="str">
        <f t="shared" si="65"/>
        <v>11AMathWk.20</v>
      </c>
      <c r="AK311" s="24" t="str">
        <f t="shared" si="70"/>
        <v/>
      </c>
    </row>
    <row r="312" spans="9:37" x14ac:dyDescent="0.2">
      <c r="I312" t="str">
        <f t="shared" si="63"/>
        <v/>
      </c>
      <c r="J312" t="str">
        <f t="shared" si="66"/>
        <v/>
      </c>
      <c r="K312" t="str">
        <f t="shared" si="67"/>
        <v/>
      </c>
      <c r="L312" t="str">
        <f t="shared" si="68"/>
        <v/>
      </c>
      <c r="M312" t="str">
        <f t="shared" si="69"/>
        <v/>
      </c>
      <c r="N312" t="str">
        <f t="shared" si="64"/>
        <v/>
      </c>
      <c r="AF312" t="s">
        <v>54</v>
      </c>
      <c r="AG312" t="s">
        <v>84</v>
      </c>
      <c r="AH312" t="str">
        <f>IF(Table4[[#This Row],[Nilai]]="","",VLOOKUP(Table4[[#This Row],[Helper]],$X$5:$AA$200,4,FALSE))</f>
        <v/>
      </c>
      <c r="AI312" t="s">
        <v>504</v>
      </c>
      <c r="AJ312" t="str">
        <f t="shared" si="65"/>
        <v>11AMathWk.21</v>
      </c>
      <c r="AK312" s="24" t="str">
        <f t="shared" si="70"/>
        <v/>
      </c>
    </row>
    <row r="313" spans="9:37" x14ac:dyDescent="0.2">
      <c r="I313" t="str">
        <f t="shared" si="63"/>
        <v/>
      </c>
      <c r="J313" t="str">
        <f t="shared" si="66"/>
        <v/>
      </c>
      <c r="K313" t="str">
        <f t="shared" si="67"/>
        <v/>
      </c>
      <c r="L313" t="str">
        <f t="shared" si="68"/>
        <v/>
      </c>
      <c r="M313" t="str">
        <f t="shared" si="69"/>
        <v/>
      </c>
      <c r="N313" t="str">
        <f t="shared" si="64"/>
        <v/>
      </c>
      <c r="AF313" t="s">
        <v>54</v>
      </c>
      <c r="AG313" t="s">
        <v>84</v>
      </c>
      <c r="AH313" t="str">
        <f>IF(Table4[[#This Row],[Nilai]]="","",VLOOKUP(Table4[[#This Row],[Helper]],$X$5:$AA$200,4,FALSE))</f>
        <v/>
      </c>
      <c r="AI313" t="s">
        <v>505</v>
      </c>
      <c r="AJ313" t="str">
        <f t="shared" si="65"/>
        <v>11AMathWk.22</v>
      </c>
      <c r="AK313" s="24" t="str">
        <f t="shared" si="70"/>
        <v/>
      </c>
    </row>
    <row r="314" spans="9:37" x14ac:dyDescent="0.2">
      <c r="I314" t="str">
        <f t="shared" si="63"/>
        <v/>
      </c>
      <c r="J314" t="str">
        <f t="shared" si="66"/>
        <v/>
      </c>
      <c r="K314" t="str">
        <f t="shared" si="67"/>
        <v/>
      </c>
      <c r="L314" t="str">
        <f t="shared" si="68"/>
        <v/>
      </c>
      <c r="M314" t="str">
        <f t="shared" si="69"/>
        <v/>
      </c>
      <c r="N314" t="str">
        <f t="shared" si="64"/>
        <v/>
      </c>
      <c r="AF314" t="s">
        <v>54</v>
      </c>
      <c r="AG314" t="s">
        <v>84</v>
      </c>
      <c r="AH314" t="str">
        <f>IF(Table4[[#This Row],[Nilai]]="","",VLOOKUP(Table4[[#This Row],[Helper]],$X$5:$AA$200,4,FALSE))</f>
        <v/>
      </c>
      <c r="AI314" t="s">
        <v>506</v>
      </c>
      <c r="AJ314" t="str">
        <f t="shared" si="65"/>
        <v>11AMathWk.23</v>
      </c>
      <c r="AK314" s="24" t="str">
        <f t="shared" si="70"/>
        <v/>
      </c>
    </row>
    <row r="315" spans="9:37" x14ac:dyDescent="0.2">
      <c r="I315" t="str">
        <f t="shared" si="63"/>
        <v/>
      </c>
      <c r="J315" t="str">
        <f t="shared" si="66"/>
        <v/>
      </c>
      <c r="K315" t="str">
        <f t="shared" si="67"/>
        <v/>
      </c>
      <c r="L315" t="str">
        <f t="shared" si="68"/>
        <v/>
      </c>
      <c r="M315" t="str">
        <f t="shared" si="69"/>
        <v/>
      </c>
      <c r="N315" t="str">
        <f t="shared" si="64"/>
        <v/>
      </c>
      <c r="AF315" t="s">
        <v>54</v>
      </c>
      <c r="AG315" t="s">
        <v>84</v>
      </c>
      <c r="AH315" t="str">
        <f>IF(Table4[[#This Row],[Nilai]]="","",VLOOKUP(Table4[[#This Row],[Helper]],$X$5:$AA$200,4,FALSE))</f>
        <v/>
      </c>
      <c r="AI315" t="s">
        <v>507</v>
      </c>
      <c r="AJ315" t="str">
        <f t="shared" si="65"/>
        <v>11AMathWk.24</v>
      </c>
      <c r="AK315" s="24" t="str">
        <f t="shared" si="70"/>
        <v/>
      </c>
    </row>
    <row r="316" spans="9:37" x14ac:dyDescent="0.2">
      <c r="I316" t="str">
        <f t="shared" si="63"/>
        <v/>
      </c>
      <c r="J316" t="str">
        <f t="shared" si="66"/>
        <v/>
      </c>
      <c r="K316" t="str">
        <f t="shared" si="67"/>
        <v/>
      </c>
      <c r="L316" t="str">
        <f t="shared" si="68"/>
        <v/>
      </c>
      <c r="M316" t="str">
        <f t="shared" si="69"/>
        <v/>
      </c>
      <c r="N316" t="str">
        <f t="shared" si="64"/>
        <v/>
      </c>
      <c r="AF316" t="s">
        <v>54</v>
      </c>
      <c r="AG316" t="s">
        <v>84</v>
      </c>
      <c r="AH316" t="str">
        <f>IF(Table4[[#This Row],[Nilai]]="","",VLOOKUP(Table4[[#This Row],[Helper]],$X$5:$AA$200,4,FALSE))</f>
        <v/>
      </c>
      <c r="AI316" t="s">
        <v>508</v>
      </c>
      <c r="AJ316" t="str">
        <f t="shared" si="65"/>
        <v>11AMathWk.25</v>
      </c>
      <c r="AK316" s="24" t="str">
        <f t="shared" si="70"/>
        <v/>
      </c>
    </row>
    <row r="317" spans="9:37" x14ac:dyDescent="0.2">
      <c r="I317" t="str">
        <f t="shared" si="63"/>
        <v/>
      </c>
      <c r="J317" t="str">
        <f t="shared" si="66"/>
        <v/>
      </c>
      <c r="K317" t="str">
        <f t="shared" si="67"/>
        <v/>
      </c>
      <c r="L317" t="str">
        <f t="shared" si="68"/>
        <v/>
      </c>
      <c r="M317" t="str">
        <f t="shared" si="69"/>
        <v/>
      </c>
      <c r="N317" t="str">
        <f t="shared" si="64"/>
        <v/>
      </c>
      <c r="AF317" t="s">
        <v>65</v>
      </c>
      <c r="AG317" t="s">
        <v>84</v>
      </c>
      <c r="AH317" t="str">
        <f>IF(Table4[[#This Row],[Nilai]]="","",VLOOKUP(Table4[[#This Row],[Helper]],$X$5:$AA$200,4,FALSE))</f>
        <v/>
      </c>
      <c r="AI317" t="s">
        <v>466</v>
      </c>
      <c r="AJ317" t="str">
        <f t="shared" si="65"/>
        <v>12AMathWk.2</v>
      </c>
      <c r="AK317" s="24" t="str">
        <f t="shared" si="70"/>
        <v/>
      </c>
    </row>
    <row r="318" spans="9:37" x14ac:dyDescent="0.2">
      <c r="I318" t="str">
        <f t="shared" si="63"/>
        <v/>
      </c>
      <c r="J318" t="str">
        <f t="shared" si="66"/>
        <v/>
      </c>
      <c r="K318" t="str">
        <f t="shared" si="67"/>
        <v/>
      </c>
      <c r="L318" t="str">
        <f t="shared" si="68"/>
        <v/>
      </c>
      <c r="M318" t="str">
        <f t="shared" si="69"/>
        <v/>
      </c>
      <c r="N318" t="str">
        <f t="shared" si="64"/>
        <v/>
      </c>
      <c r="AF318" t="s">
        <v>65</v>
      </c>
      <c r="AG318" t="s">
        <v>84</v>
      </c>
      <c r="AH318" t="str">
        <f>IF(Table4[[#This Row],[Nilai]]="","",VLOOKUP(Table4[[#This Row],[Helper]],$X$5:$AA$200,4,FALSE))</f>
        <v>Jan</v>
      </c>
      <c r="AI318" t="s">
        <v>461</v>
      </c>
      <c r="AJ318" t="str">
        <f t="shared" si="65"/>
        <v>12AMathWk.3</v>
      </c>
      <c r="AK318" s="24">
        <f t="shared" si="70"/>
        <v>74.111111111111114</v>
      </c>
    </row>
    <row r="319" spans="9:37" x14ac:dyDescent="0.2">
      <c r="I319" t="str">
        <f t="shared" si="63"/>
        <v/>
      </c>
      <c r="J319" t="str">
        <f t="shared" si="66"/>
        <v/>
      </c>
      <c r="K319" t="str">
        <f t="shared" si="67"/>
        <v/>
      </c>
      <c r="L319" t="str">
        <f t="shared" si="68"/>
        <v/>
      </c>
      <c r="M319" t="str">
        <f t="shared" si="69"/>
        <v/>
      </c>
      <c r="N319" t="str">
        <f t="shared" si="64"/>
        <v/>
      </c>
      <c r="AF319" t="s">
        <v>65</v>
      </c>
      <c r="AG319" t="s">
        <v>84</v>
      </c>
      <c r="AH319" t="str">
        <f>IF(Table4[[#This Row],[Nilai]]="","",VLOOKUP(Table4[[#This Row],[Helper]],$X$5:$AA$200,4,FALSE))</f>
        <v>Jan</v>
      </c>
      <c r="AI319" t="s">
        <v>462</v>
      </c>
      <c r="AJ319" t="str">
        <f t="shared" si="65"/>
        <v>12AMathWk.4</v>
      </c>
      <c r="AK319" s="24">
        <f t="shared" si="70"/>
        <v>75.117647058823536</v>
      </c>
    </row>
    <row r="320" spans="9:37" x14ac:dyDescent="0.2">
      <c r="I320" t="str">
        <f t="shared" si="63"/>
        <v/>
      </c>
      <c r="J320" t="str">
        <f t="shared" si="66"/>
        <v/>
      </c>
      <c r="K320" t="str">
        <f t="shared" si="67"/>
        <v/>
      </c>
      <c r="L320" t="str">
        <f t="shared" si="68"/>
        <v/>
      </c>
      <c r="M320" t="str">
        <f t="shared" si="69"/>
        <v/>
      </c>
      <c r="N320" t="str">
        <f t="shared" si="64"/>
        <v/>
      </c>
      <c r="AF320" t="s">
        <v>65</v>
      </c>
      <c r="AG320" t="s">
        <v>84</v>
      </c>
      <c r="AH320" t="str">
        <f>IF(Table4[[#This Row],[Nilai]]="","",VLOOKUP(Table4[[#This Row],[Helper]],$X$5:$AA$200,4,FALSE))</f>
        <v/>
      </c>
      <c r="AI320" t="s">
        <v>463</v>
      </c>
      <c r="AJ320" t="str">
        <f t="shared" si="65"/>
        <v>12AMathWk.5</v>
      </c>
      <c r="AK320" s="24" t="str">
        <f t="shared" si="70"/>
        <v/>
      </c>
    </row>
    <row r="321" spans="9:37" x14ac:dyDescent="0.2">
      <c r="I321" t="str">
        <f t="shared" si="63"/>
        <v/>
      </c>
      <c r="J321" t="str">
        <f t="shared" si="66"/>
        <v/>
      </c>
      <c r="K321" t="str">
        <f t="shared" si="67"/>
        <v/>
      </c>
      <c r="L321" t="str">
        <f t="shared" si="68"/>
        <v/>
      </c>
      <c r="M321" t="str">
        <f t="shared" si="69"/>
        <v/>
      </c>
      <c r="N321" t="str">
        <f t="shared" si="64"/>
        <v/>
      </c>
      <c r="AF321" t="s">
        <v>65</v>
      </c>
      <c r="AG321" t="s">
        <v>84</v>
      </c>
      <c r="AH321" t="str">
        <f>IF(Table4[[#This Row],[Nilai]]="","",VLOOKUP(Table4[[#This Row],[Helper]],$X$5:$AA$200,4,FALSE))</f>
        <v>Feb</v>
      </c>
      <c r="AI321" t="s">
        <v>464</v>
      </c>
      <c r="AJ321" t="str">
        <f t="shared" si="65"/>
        <v>12AMathWk.6</v>
      </c>
      <c r="AK321" s="24">
        <f t="shared" si="70"/>
        <v>80.333333333333329</v>
      </c>
    </row>
    <row r="322" spans="9:37" x14ac:dyDescent="0.2">
      <c r="I322" t="str">
        <f t="shared" si="63"/>
        <v/>
      </c>
      <c r="J322" t="str">
        <f t="shared" si="66"/>
        <v/>
      </c>
      <c r="K322" t="str">
        <f t="shared" si="67"/>
        <v/>
      </c>
      <c r="L322" t="str">
        <f t="shared" si="68"/>
        <v/>
      </c>
      <c r="M322" t="str">
        <f t="shared" si="69"/>
        <v/>
      </c>
      <c r="N322" t="str">
        <f t="shared" si="64"/>
        <v/>
      </c>
      <c r="AF322" t="s">
        <v>65</v>
      </c>
      <c r="AG322" t="s">
        <v>84</v>
      </c>
      <c r="AH322" t="str">
        <f>IF(Table4[[#This Row],[Nilai]]="","",VLOOKUP(Table4[[#This Row],[Helper]],$X$5:$AA$200,4,FALSE))</f>
        <v>Feb</v>
      </c>
      <c r="AI322" t="s">
        <v>465</v>
      </c>
      <c r="AJ322" t="str">
        <f t="shared" si="65"/>
        <v>12AMathWk.7</v>
      </c>
      <c r="AK322" s="24">
        <f t="shared" si="70"/>
        <v>79.708333333333329</v>
      </c>
    </row>
    <row r="323" spans="9:37" x14ac:dyDescent="0.2">
      <c r="I323" t="str">
        <f t="shared" si="63"/>
        <v/>
      </c>
      <c r="J323" t="str">
        <f t="shared" si="66"/>
        <v/>
      </c>
      <c r="K323" t="str">
        <f t="shared" si="67"/>
        <v/>
      </c>
      <c r="L323" t="str">
        <f t="shared" si="68"/>
        <v/>
      </c>
      <c r="M323" t="str">
        <f t="shared" si="69"/>
        <v/>
      </c>
      <c r="N323" t="str">
        <f t="shared" si="64"/>
        <v/>
      </c>
      <c r="AF323" t="s">
        <v>65</v>
      </c>
      <c r="AG323" t="s">
        <v>84</v>
      </c>
      <c r="AH323" t="str">
        <f>IF(Table4[[#This Row],[Nilai]]="","",VLOOKUP(Table4[[#This Row],[Helper]],$X$5:$AA$200,4,FALSE))</f>
        <v/>
      </c>
      <c r="AI323" t="s">
        <v>467</v>
      </c>
      <c r="AJ323" t="str">
        <f t="shared" si="65"/>
        <v>12AMathWk.8</v>
      </c>
      <c r="AK323" s="24" t="str">
        <f t="shared" si="70"/>
        <v/>
      </c>
    </row>
    <row r="324" spans="9:37" x14ac:dyDescent="0.2">
      <c r="I324" t="str">
        <f t="shared" si="63"/>
        <v/>
      </c>
      <c r="J324" t="str">
        <f t="shared" si="66"/>
        <v/>
      </c>
      <c r="K324" t="str">
        <f t="shared" si="67"/>
        <v/>
      </c>
      <c r="L324" t="str">
        <f t="shared" si="68"/>
        <v/>
      </c>
      <c r="M324" t="str">
        <f t="shared" si="69"/>
        <v/>
      </c>
      <c r="N324" t="str">
        <f t="shared" si="64"/>
        <v/>
      </c>
      <c r="AF324" t="s">
        <v>65</v>
      </c>
      <c r="AG324" t="s">
        <v>84</v>
      </c>
      <c r="AH324" t="str">
        <f>IF(Table4[[#This Row],[Nilai]]="","",VLOOKUP(Table4[[#This Row],[Helper]],$X$5:$AA$200,4,FALSE))</f>
        <v>Feb</v>
      </c>
      <c r="AI324" t="s">
        <v>486</v>
      </c>
      <c r="AJ324" t="str">
        <f t="shared" si="65"/>
        <v>12AMathWk.9</v>
      </c>
      <c r="AK324" s="24">
        <f t="shared" si="70"/>
        <v>90.333333333333329</v>
      </c>
    </row>
    <row r="325" spans="9:37" x14ac:dyDescent="0.2">
      <c r="I325" t="str">
        <f t="shared" si="63"/>
        <v/>
      </c>
      <c r="J325" t="str">
        <f t="shared" si="66"/>
        <v/>
      </c>
      <c r="K325" t="str">
        <f t="shared" si="67"/>
        <v/>
      </c>
      <c r="L325" t="str">
        <f t="shared" si="68"/>
        <v/>
      </c>
      <c r="M325" t="str">
        <f t="shared" si="69"/>
        <v/>
      </c>
      <c r="N325" t="str">
        <f t="shared" si="64"/>
        <v/>
      </c>
      <c r="AF325" t="s">
        <v>65</v>
      </c>
      <c r="AG325" t="s">
        <v>84</v>
      </c>
      <c r="AH325" t="str">
        <f>IF(Table4[[#This Row],[Nilai]]="","",VLOOKUP(Table4[[#This Row],[Helper]],$X$5:$AA$200,4,FALSE))</f>
        <v/>
      </c>
      <c r="AI325" t="s">
        <v>493</v>
      </c>
      <c r="AJ325" t="str">
        <f t="shared" si="65"/>
        <v>12AMathWk.10</v>
      </c>
      <c r="AK325" s="24" t="str">
        <f t="shared" si="70"/>
        <v/>
      </c>
    </row>
    <row r="326" spans="9:37" x14ac:dyDescent="0.2">
      <c r="I326" t="str">
        <f t="shared" ref="I326:I380" si="71">J326&amp;K326&amp;M326</f>
        <v/>
      </c>
      <c r="J326" t="str">
        <f t="shared" si="66"/>
        <v/>
      </c>
      <c r="K326" t="str">
        <f t="shared" si="67"/>
        <v/>
      </c>
      <c r="L326" t="str">
        <f t="shared" si="68"/>
        <v/>
      </c>
      <c r="M326" t="str">
        <f t="shared" si="69"/>
        <v/>
      </c>
      <c r="N326" t="str">
        <f t="shared" ref="N326:N380" si="72">IF(E326="","",E326)</f>
        <v/>
      </c>
      <c r="AF326" t="s">
        <v>65</v>
      </c>
      <c r="AG326" t="s">
        <v>84</v>
      </c>
      <c r="AH326" t="str">
        <f>IF(Table4[[#This Row],[Nilai]]="","",VLOOKUP(Table4[[#This Row],[Helper]],$X$5:$AA$200,4,FALSE))</f>
        <v/>
      </c>
      <c r="AI326" t="s">
        <v>494</v>
      </c>
      <c r="AJ326" t="str">
        <f t="shared" ref="AJ326:AJ340" si="73">AF326&amp;AG326&amp;AI326</f>
        <v>12AMathWk.11</v>
      </c>
      <c r="AK326" s="24" t="str">
        <f t="shared" si="70"/>
        <v/>
      </c>
    </row>
    <row r="327" spans="9:37" x14ac:dyDescent="0.2">
      <c r="I327" t="str">
        <f t="shared" si="71"/>
        <v/>
      </c>
      <c r="J327" t="str">
        <f t="shared" si="66"/>
        <v/>
      </c>
      <c r="K327" t="str">
        <f t="shared" si="67"/>
        <v/>
      </c>
      <c r="L327" t="str">
        <f t="shared" si="68"/>
        <v/>
      </c>
      <c r="M327" t="str">
        <f t="shared" si="69"/>
        <v/>
      </c>
      <c r="N327" t="str">
        <f t="shared" si="72"/>
        <v/>
      </c>
      <c r="AF327" t="s">
        <v>65</v>
      </c>
      <c r="AG327" t="s">
        <v>84</v>
      </c>
      <c r="AH327" t="str">
        <f>IF(Table4[[#This Row],[Nilai]]="","",VLOOKUP(Table4[[#This Row],[Helper]],$X$5:$AA$200,4,FALSE))</f>
        <v/>
      </c>
      <c r="AI327" t="s">
        <v>495</v>
      </c>
      <c r="AJ327" t="str">
        <f t="shared" si="73"/>
        <v>12AMathWk.12</v>
      </c>
      <c r="AK327" s="24" t="str">
        <f t="shared" si="70"/>
        <v/>
      </c>
    </row>
    <row r="328" spans="9:37" x14ac:dyDescent="0.2">
      <c r="I328" t="str">
        <f t="shared" si="71"/>
        <v/>
      </c>
      <c r="J328" t="str">
        <f t="shared" si="66"/>
        <v/>
      </c>
      <c r="K328" t="str">
        <f t="shared" si="67"/>
        <v/>
      </c>
      <c r="L328" t="str">
        <f t="shared" si="68"/>
        <v/>
      </c>
      <c r="M328" t="str">
        <f t="shared" si="69"/>
        <v/>
      </c>
      <c r="N328" t="str">
        <f t="shared" si="72"/>
        <v/>
      </c>
      <c r="AF328" t="s">
        <v>65</v>
      </c>
      <c r="AG328" t="s">
        <v>84</v>
      </c>
      <c r="AH328" t="str">
        <f>IF(Table4[[#This Row],[Nilai]]="","",VLOOKUP(Table4[[#This Row],[Helper]],$X$5:$AA$200,4,FALSE))</f>
        <v/>
      </c>
      <c r="AI328" t="s">
        <v>496</v>
      </c>
      <c r="AJ328" t="str">
        <f t="shared" si="73"/>
        <v>12AMathWk.13</v>
      </c>
      <c r="AK328" s="24" t="str">
        <f t="shared" si="70"/>
        <v/>
      </c>
    </row>
    <row r="329" spans="9:37" x14ac:dyDescent="0.2">
      <c r="I329" t="str">
        <f t="shared" si="71"/>
        <v/>
      </c>
      <c r="J329" t="str">
        <f t="shared" si="66"/>
        <v/>
      </c>
      <c r="K329" t="str">
        <f t="shared" si="67"/>
        <v/>
      </c>
      <c r="L329" t="str">
        <f t="shared" si="68"/>
        <v/>
      </c>
      <c r="M329" t="str">
        <f t="shared" si="69"/>
        <v/>
      </c>
      <c r="N329" t="str">
        <f t="shared" si="72"/>
        <v/>
      </c>
      <c r="AF329" t="s">
        <v>65</v>
      </c>
      <c r="AG329" t="s">
        <v>84</v>
      </c>
      <c r="AH329" t="str">
        <f>IF(Table4[[#This Row],[Nilai]]="","",VLOOKUP(Table4[[#This Row],[Helper]],$X$5:$AA$200,4,FALSE))</f>
        <v/>
      </c>
      <c r="AI329" t="s">
        <v>497</v>
      </c>
      <c r="AJ329" t="str">
        <f t="shared" si="73"/>
        <v>12AMathWk.14</v>
      </c>
      <c r="AK329" s="24" t="str">
        <f t="shared" si="70"/>
        <v/>
      </c>
    </row>
    <row r="330" spans="9:37" x14ac:dyDescent="0.2">
      <c r="I330" t="str">
        <f t="shared" si="71"/>
        <v/>
      </c>
      <c r="J330" t="str">
        <f t="shared" si="66"/>
        <v/>
      </c>
      <c r="K330" t="str">
        <f t="shared" si="67"/>
        <v/>
      </c>
      <c r="L330" t="str">
        <f t="shared" si="68"/>
        <v/>
      </c>
      <c r="M330" t="str">
        <f t="shared" si="69"/>
        <v/>
      </c>
      <c r="N330" t="str">
        <f t="shared" si="72"/>
        <v/>
      </c>
      <c r="AF330" t="s">
        <v>65</v>
      </c>
      <c r="AG330" t="s">
        <v>84</v>
      </c>
      <c r="AH330" t="str">
        <f>IF(Table4[[#This Row],[Nilai]]="","",VLOOKUP(Table4[[#This Row],[Helper]],$X$5:$AA$200,4,FALSE))</f>
        <v/>
      </c>
      <c r="AI330" t="s">
        <v>498</v>
      </c>
      <c r="AJ330" t="str">
        <f t="shared" si="73"/>
        <v>12AMathWk.15</v>
      </c>
      <c r="AK330" s="24" t="str">
        <f t="shared" si="70"/>
        <v/>
      </c>
    </row>
    <row r="331" spans="9:37" x14ac:dyDescent="0.2">
      <c r="I331" t="str">
        <f t="shared" si="71"/>
        <v/>
      </c>
      <c r="J331" t="str">
        <f t="shared" si="66"/>
        <v/>
      </c>
      <c r="K331" t="str">
        <f t="shared" si="67"/>
        <v/>
      </c>
      <c r="L331" t="str">
        <f t="shared" si="68"/>
        <v/>
      </c>
      <c r="M331" t="str">
        <f t="shared" si="69"/>
        <v/>
      </c>
      <c r="N331" t="str">
        <f t="shared" si="72"/>
        <v/>
      </c>
      <c r="AF331" t="s">
        <v>65</v>
      </c>
      <c r="AG331" t="s">
        <v>84</v>
      </c>
      <c r="AH331" t="str">
        <f>IF(Table4[[#This Row],[Nilai]]="","",VLOOKUP(Table4[[#This Row],[Helper]],$X$5:$AA$200,4,FALSE))</f>
        <v/>
      </c>
      <c r="AI331" t="s">
        <v>499</v>
      </c>
      <c r="AJ331" t="str">
        <f t="shared" si="73"/>
        <v>12AMathWk.16</v>
      </c>
      <c r="AK331" s="24" t="str">
        <f t="shared" si="70"/>
        <v/>
      </c>
    </row>
    <row r="332" spans="9:37" x14ac:dyDescent="0.2">
      <c r="I332" t="str">
        <f t="shared" si="71"/>
        <v/>
      </c>
      <c r="J332" t="str">
        <f t="shared" si="66"/>
        <v/>
      </c>
      <c r="K332" t="str">
        <f t="shared" si="67"/>
        <v/>
      </c>
      <c r="L332" t="str">
        <f t="shared" si="68"/>
        <v/>
      </c>
      <c r="M332" t="str">
        <f t="shared" si="69"/>
        <v/>
      </c>
      <c r="N332" t="str">
        <f t="shared" si="72"/>
        <v/>
      </c>
      <c r="AF332" t="s">
        <v>65</v>
      </c>
      <c r="AG332" t="s">
        <v>84</v>
      </c>
      <c r="AH332" t="str">
        <f>IF(Table4[[#This Row],[Nilai]]="","",VLOOKUP(Table4[[#This Row],[Helper]],$X$5:$AA$200,4,FALSE))</f>
        <v/>
      </c>
      <c r="AI332" t="s">
        <v>500</v>
      </c>
      <c r="AJ332" t="str">
        <f t="shared" si="73"/>
        <v>12AMathWk.17</v>
      </c>
      <c r="AK332" s="24" t="str">
        <f t="shared" si="70"/>
        <v/>
      </c>
    </row>
    <row r="333" spans="9:37" x14ac:dyDescent="0.2">
      <c r="I333" t="str">
        <f t="shared" si="71"/>
        <v/>
      </c>
      <c r="J333" t="str">
        <f t="shared" si="66"/>
        <v/>
      </c>
      <c r="K333" t="str">
        <f t="shared" si="67"/>
        <v/>
      </c>
      <c r="L333" t="str">
        <f t="shared" si="68"/>
        <v/>
      </c>
      <c r="M333" t="str">
        <f t="shared" si="69"/>
        <v/>
      </c>
      <c r="N333" t="str">
        <f t="shared" si="72"/>
        <v/>
      </c>
      <c r="AF333" t="s">
        <v>65</v>
      </c>
      <c r="AG333" t="s">
        <v>84</v>
      </c>
      <c r="AH333" t="str">
        <f>IF(Table4[[#This Row],[Nilai]]="","",VLOOKUP(Table4[[#This Row],[Helper]],$X$5:$AA$200,4,FALSE))</f>
        <v/>
      </c>
      <c r="AI333" t="s">
        <v>501</v>
      </c>
      <c r="AJ333" t="str">
        <f t="shared" si="73"/>
        <v>12AMathWk.18</v>
      </c>
      <c r="AK333" s="24" t="str">
        <f t="shared" si="70"/>
        <v/>
      </c>
    </row>
    <row r="334" spans="9:37" x14ac:dyDescent="0.2">
      <c r="I334" t="str">
        <f t="shared" si="71"/>
        <v/>
      </c>
      <c r="J334" t="str">
        <f t="shared" si="66"/>
        <v/>
      </c>
      <c r="K334" t="str">
        <f t="shared" si="67"/>
        <v/>
      </c>
      <c r="L334" t="str">
        <f t="shared" si="68"/>
        <v/>
      </c>
      <c r="M334" t="str">
        <f t="shared" si="69"/>
        <v/>
      </c>
      <c r="N334" t="str">
        <f t="shared" si="72"/>
        <v/>
      </c>
      <c r="AF334" t="s">
        <v>65</v>
      </c>
      <c r="AG334" t="s">
        <v>84</v>
      </c>
      <c r="AH334" t="str">
        <f>IF(Table4[[#This Row],[Nilai]]="","",VLOOKUP(Table4[[#This Row],[Helper]],$X$5:$AA$200,4,FALSE))</f>
        <v/>
      </c>
      <c r="AI334" t="s">
        <v>502</v>
      </c>
      <c r="AJ334" t="str">
        <f t="shared" si="73"/>
        <v>12AMathWk.19</v>
      </c>
      <c r="AK334" s="24" t="str">
        <f t="shared" si="70"/>
        <v/>
      </c>
    </row>
    <row r="335" spans="9:37" x14ac:dyDescent="0.2">
      <c r="I335" t="str">
        <f t="shared" si="71"/>
        <v/>
      </c>
      <c r="J335" t="str">
        <f t="shared" si="66"/>
        <v/>
      </c>
      <c r="K335" t="str">
        <f t="shared" si="67"/>
        <v/>
      </c>
      <c r="L335" t="str">
        <f t="shared" si="68"/>
        <v/>
      </c>
      <c r="M335" t="str">
        <f t="shared" si="69"/>
        <v/>
      </c>
      <c r="N335" t="str">
        <f t="shared" si="72"/>
        <v/>
      </c>
      <c r="AF335" t="s">
        <v>65</v>
      </c>
      <c r="AG335" t="s">
        <v>84</v>
      </c>
      <c r="AH335" t="str">
        <f>IF(Table4[[#This Row],[Nilai]]="","",VLOOKUP(Table4[[#This Row],[Helper]],$X$5:$AA$200,4,FALSE))</f>
        <v/>
      </c>
      <c r="AI335" t="s">
        <v>503</v>
      </c>
      <c r="AJ335" t="str">
        <f t="shared" si="73"/>
        <v>12AMathWk.20</v>
      </c>
      <c r="AK335" s="24" t="str">
        <f t="shared" si="70"/>
        <v/>
      </c>
    </row>
    <row r="336" spans="9:37" x14ac:dyDescent="0.2">
      <c r="I336" t="str">
        <f t="shared" si="71"/>
        <v/>
      </c>
      <c r="J336" t="str">
        <f t="shared" si="66"/>
        <v/>
      </c>
      <c r="K336" t="str">
        <f t="shared" si="67"/>
        <v/>
      </c>
      <c r="L336" t="str">
        <f t="shared" si="68"/>
        <v/>
      </c>
      <c r="M336" t="str">
        <f t="shared" si="69"/>
        <v/>
      </c>
      <c r="N336" t="str">
        <f t="shared" si="72"/>
        <v/>
      </c>
      <c r="AF336" t="s">
        <v>65</v>
      </c>
      <c r="AG336" t="s">
        <v>84</v>
      </c>
      <c r="AH336" t="str">
        <f>IF(Table4[[#This Row],[Nilai]]="","",VLOOKUP(Table4[[#This Row],[Helper]],$X$5:$AA$200,4,FALSE))</f>
        <v/>
      </c>
      <c r="AI336" t="s">
        <v>504</v>
      </c>
      <c r="AJ336" t="str">
        <f t="shared" si="73"/>
        <v>12AMathWk.21</v>
      </c>
      <c r="AK336" s="24" t="str">
        <f t="shared" si="70"/>
        <v/>
      </c>
    </row>
    <row r="337" spans="9:37" x14ac:dyDescent="0.2">
      <c r="I337" t="str">
        <f t="shared" si="71"/>
        <v/>
      </c>
      <c r="J337" t="str">
        <f t="shared" si="66"/>
        <v/>
      </c>
      <c r="K337" t="str">
        <f t="shared" si="67"/>
        <v/>
      </c>
      <c r="L337" t="str">
        <f t="shared" si="68"/>
        <v/>
      </c>
      <c r="M337" t="str">
        <f t="shared" si="69"/>
        <v/>
      </c>
      <c r="N337" t="str">
        <f t="shared" si="72"/>
        <v/>
      </c>
      <c r="AF337" t="s">
        <v>65</v>
      </c>
      <c r="AG337" t="s">
        <v>84</v>
      </c>
      <c r="AH337" t="str">
        <f>IF(Table4[[#This Row],[Nilai]]="","",VLOOKUP(Table4[[#This Row],[Helper]],$X$5:$AA$200,4,FALSE))</f>
        <v/>
      </c>
      <c r="AI337" t="s">
        <v>505</v>
      </c>
      <c r="AJ337" t="str">
        <f t="shared" si="73"/>
        <v>12AMathWk.22</v>
      </c>
      <c r="AK337" s="24" t="str">
        <f t="shared" si="70"/>
        <v/>
      </c>
    </row>
    <row r="338" spans="9:37" x14ac:dyDescent="0.2">
      <c r="I338" t="str">
        <f t="shared" si="71"/>
        <v/>
      </c>
      <c r="J338" t="str">
        <f t="shared" si="66"/>
        <v/>
      </c>
      <c r="K338" t="str">
        <f t="shared" si="67"/>
        <v/>
      </c>
      <c r="L338" t="str">
        <f t="shared" si="68"/>
        <v/>
      </c>
      <c r="M338" t="str">
        <f t="shared" si="69"/>
        <v/>
      </c>
      <c r="N338" t="str">
        <f t="shared" si="72"/>
        <v/>
      </c>
      <c r="AF338" t="s">
        <v>65</v>
      </c>
      <c r="AG338" t="s">
        <v>84</v>
      </c>
      <c r="AH338" t="str">
        <f>IF(Table4[[#This Row],[Nilai]]="","",VLOOKUP(Table4[[#This Row],[Helper]],$X$5:$AA$200,4,FALSE))</f>
        <v/>
      </c>
      <c r="AI338" t="s">
        <v>506</v>
      </c>
      <c r="AJ338" t="str">
        <f t="shared" si="73"/>
        <v>12AMathWk.23</v>
      </c>
      <c r="AK338" s="24" t="str">
        <f t="shared" si="70"/>
        <v/>
      </c>
    </row>
    <row r="339" spans="9:37" x14ac:dyDescent="0.2">
      <c r="I339" t="str">
        <f t="shared" si="71"/>
        <v/>
      </c>
      <c r="J339" t="str">
        <f t="shared" si="66"/>
        <v/>
      </c>
      <c r="K339" t="str">
        <f t="shared" si="67"/>
        <v/>
      </c>
      <c r="L339" t="str">
        <f t="shared" si="68"/>
        <v/>
      </c>
      <c r="M339" t="str">
        <f t="shared" si="69"/>
        <v/>
      </c>
      <c r="N339" t="str">
        <f t="shared" si="72"/>
        <v/>
      </c>
      <c r="AF339" t="s">
        <v>65</v>
      </c>
      <c r="AG339" t="s">
        <v>84</v>
      </c>
      <c r="AH339" t="str">
        <f>IF(Table4[[#This Row],[Nilai]]="","",VLOOKUP(Table4[[#This Row],[Helper]],$X$5:$AA$200,4,FALSE))</f>
        <v/>
      </c>
      <c r="AI339" t="s">
        <v>507</v>
      </c>
      <c r="AJ339" t="str">
        <f t="shared" si="73"/>
        <v>12AMathWk.24</v>
      </c>
      <c r="AK339" s="24" t="str">
        <f t="shared" si="70"/>
        <v/>
      </c>
    </row>
    <row r="340" spans="9:37" x14ac:dyDescent="0.2">
      <c r="I340" t="str">
        <f t="shared" si="71"/>
        <v/>
      </c>
      <c r="J340" t="str">
        <f t="shared" si="66"/>
        <v/>
      </c>
      <c r="K340" t="str">
        <f t="shared" si="67"/>
        <v/>
      </c>
      <c r="L340" t="str">
        <f t="shared" si="68"/>
        <v/>
      </c>
      <c r="M340" t="str">
        <f t="shared" si="69"/>
        <v/>
      </c>
      <c r="N340" t="str">
        <f t="shared" si="72"/>
        <v/>
      </c>
      <c r="AF340" t="s">
        <v>65</v>
      </c>
      <c r="AG340" t="s">
        <v>84</v>
      </c>
      <c r="AH340" t="str">
        <f>IF(Table4[[#This Row],[Nilai]]="","",VLOOKUP(Table4[[#This Row],[Helper]],$X$5:$AA$200,4,FALSE))</f>
        <v/>
      </c>
      <c r="AI340" t="s">
        <v>508</v>
      </c>
      <c r="AJ340" t="str">
        <f t="shared" si="73"/>
        <v>12AMathWk.25</v>
      </c>
      <c r="AK340" s="24" t="str">
        <f t="shared" si="70"/>
        <v/>
      </c>
    </row>
    <row r="341" spans="9:37" x14ac:dyDescent="0.2">
      <c r="I341" t="str">
        <f t="shared" si="71"/>
        <v/>
      </c>
      <c r="J341" t="str">
        <f t="shared" si="66"/>
        <v/>
      </c>
      <c r="K341" t="str">
        <f t="shared" si="67"/>
        <v/>
      </c>
      <c r="L341" t="str">
        <f t="shared" si="68"/>
        <v/>
      </c>
      <c r="M341" t="str">
        <f t="shared" si="69"/>
        <v/>
      </c>
      <c r="N341" t="str">
        <f t="shared" si="72"/>
        <v/>
      </c>
      <c r="AK341" s="24"/>
    </row>
    <row r="342" spans="9:37" x14ac:dyDescent="0.2">
      <c r="I342" t="str">
        <f t="shared" si="71"/>
        <v/>
      </c>
      <c r="J342" t="str">
        <f t="shared" si="66"/>
        <v/>
      </c>
      <c r="K342" t="str">
        <f t="shared" si="67"/>
        <v/>
      </c>
      <c r="L342" t="str">
        <f t="shared" si="68"/>
        <v/>
      </c>
      <c r="M342" t="str">
        <f t="shared" si="69"/>
        <v/>
      </c>
      <c r="N342" t="str">
        <f t="shared" si="72"/>
        <v/>
      </c>
      <c r="AK342" s="24"/>
    </row>
    <row r="343" spans="9:37" x14ac:dyDescent="0.2">
      <c r="I343" t="str">
        <f t="shared" si="71"/>
        <v/>
      </c>
      <c r="J343" t="str">
        <f t="shared" si="66"/>
        <v/>
      </c>
      <c r="K343" t="str">
        <f t="shared" si="67"/>
        <v/>
      </c>
      <c r="L343" t="str">
        <f t="shared" si="68"/>
        <v/>
      </c>
      <c r="M343" t="str">
        <f t="shared" si="69"/>
        <v/>
      </c>
      <c r="N343" t="str">
        <f t="shared" si="72"/>
        <v/>
      </c>
      <c r="AK343" s="24"/>
    </row>
    <row r="344" spans="9:37" x14ac:dyDescent="0.2">
      <c r="I344" t="str">
        <f t="shared" si="71"/>
        <v/>
      </c>
      <c r="J344" t="str">
        <f t="shared" si="66"/>
        <v/>
      </c>
      <c r="K344" t="str">
        <f t="shared" si="67"/>
        <v/>
      </c>
      <c r="L344" t="str">
        <f t="shared" si="68"/>
        <v/>
      </c>
      <c r="M344" t="str">
        <f t="shared" si="69"/>
        <v/>
      </c>
      <c r="N344" t="str">
        <f t="shared" si="72"/>
        <v/>
      </c>
      <c r="AK344" s="24"/>
    </row>
    <row r="345" spans="9:37" x14ac:dyDescent="0.2">
      <c r="I345" t="str">
        <f t="shared" si="71"/>
        <v/>
      </c>
      <c r="J345" t="str">
        <f t="shared" si="66"/>
        <v/>
      </c>
      <c r="K345" t="str">
        <f t="shared" si="67"/>
        <v/>
      </c>
      <c r="L345" t="str">
        <f t="shared" si="68"/>
        <v/>
      </c>
      <c r="M345" t="str">
        <f t="shared" si="69"/>
        <v/>
      </c>
      <c r="N345" t="str">
        <f t="shared" si="72"/>
        <v/>
      </c>
      <c r="AK345" s="24"/>
    </row>
    <row r="346" spans="9:37" x14ac:dyDescent="0.2">
      <c r="I346" t="str">
        <f t="shared" si="71"/>
        <v/>
      </c>
      <c r="J346" t="str">
        <f t="shared" si="66"/>
        <v/>
      </c>
      <c r="K346" t="str">
        <f t="shared" si="67"/>
        <v/>
      </c>
      <c r="L346" t="str">
        <f t="shared" si="68"/>
        <v/>
      </c>
      <c r="M346" t="str">
        <f t="shared" si="69"/>
        <v/>
      </c>
      <c r="N346" t="str">
        <f t="shared" si="72"/>
        <v/>
      </c>
      <c r="AK346" s="24"/>
    </row>
    <row r="347" spans="9:37" x14ac:dyDescent="0.2">
      <c r="I347" t="str">
        <f t="shared" si="71"/>
        <v/>
      </c>
      <c r="J347" t="str">
        <f t="shared" si="66"/>
        <v/>
      </c>
      <c r="K347" t="str">
        <f t="shared" si="67"/>
        <v/>
      </c>
      <c r="L347" t="str">
        <f t="shared" si="68"/>
        <v/>
      </c>
      <c r="M347" t="str">
        <f t="shared" si="69"/>
        <v/>
      </c>
      <c r="N347" t="str">
        <f t="shared" si="72"/>
        <v/>
      </c>
      <c r="AK347" s="24"/>
    </row>
    <row r="348" spans="9:37" x14ac:dyDescent="0.2">
      <c r="I348" t="str">
        <f t="shared" si="71"/>
        <v/>
      </c>
      <c r="J348" t="str">
        <f t="shared" si="66"/>
        <v/>
      </c>
      <c r="K348" t="str">
        <f t="shared" si="67"/>
        <v/>
      </c>
      <c r="L348" t="str">
        <f t="shared" si="68"/>
        <v/>
      </c>
      <c r="M348" t="str">
        <f t="shared" si="69"/>
        <v/>
      </c>
      <c r="N348" t="str">
        <f t="shared" si="72"/>
        <v/>
      </c>
      <c r="AK348" s="24"/>
    </row>
    <row r="349" spans="9:37" x14ac:dyDescent="0.2">
      <c r="I349" t="str">
        <f t="shared" si="71"/>
        <v/>
      </c>
      <c r="J349" t="str">
        <f t="shared" si="66"/>
        <v/>
      </c>
      <c r="K349" t="str">
        <f t="shared" si="67"/>
        <v/>
      </c>
      <c r="L349" t="str">
        <f t="shared" si="68"/>
        <v/>
      </c>
      <c r="M349" t="str">
        <f t="shared" si="69"/>
        <v/>
      </c>
      <c r="N349" t="str">
        <f t="shared" si="72"/>
        <v/>
      </c>
      <c r="AK349" s="24"/>
    </row>
    <row r="350" spans="9:37" x14ac:dyDescent="0.2">
      <c r="I350" t="str">
        <f t="shared" si="71"/>
        <v/>
      </c>
      <c r="J350" t="str">
        <f t="shared" si="66"/>
        <v/>
      </c>
      <c r="K350" t="str">
        <f t="shared" si="67"/>
        <v/>
      </c>
      <c r="L350" t="str">
        <f t="shared" si="68"/>
        <v/>
      </c>
      <c r="M350" t="str">
        <f t="shared" si="69"/>
        <v/>
      </c>
      <c r="N350" t="str">
        <f t="shared" si="72"/>
        <v/>
      </c>
      <c r="AK350" s="24"/>
    </row>
    <row r="351" spans="9:37" x14ac:dyDescent="0.2">
      <c r="I351" t="str">
        <f t="shared" si="71"/>
        <v/>
      </c>
      <c r="J351" t="str">
        <f t="shared" si="66"/>
        <v/>
      </c>
      <c r="K351" t="str">
        <f t="shared" si="67"/>
        <v/>
      </c>
      <c r="L351" t="str">
        <f t="shared" si="68"/>
        <v/>
      </c>
      <c r="M351" t="str">
        <f t="shared" si="69"/>
        <v/>
      </c>
      <c r="N351" t="str">
        <f t="shared" si="72"/>
        <v/>
      </c>
      <c r="AK351" s="24"/>
    </row>
    <row r="352" spans="9:37" x14ac:dyDescent="0.2">
      <c r="I352" t="str">
        <f t="shared" si="71"/>
        <v/>
      </c>
      <c r="J352" t="str">
        <f t="shared" ref="J352:J380" si="74">IF(A352="","",A352)</f>
        <v/>
      </c>
      <c r="K352" t="str">
        <f t="shared" ref="K352:K380" si="75">IF(B352="","",B352)</f>
        <v/>
      </c>
      <c r="L352" t="str">
        <f t="shared" ref="L352:L380" si="76">IF(C352="","",C352)</f>
        <v/>
      </c>
      <c r="M352" t="str">
        <f t="shared" ref="M352:M380" si="77">IF(D352="","",D352)</f>
        <v/>
      </c>
      <c r="N352" t="str">
        <f t="shared" si="72"/>
        <v/>
      </c>
      <c r="AK352" s="24"/>
    </row>
    <row r="353" spans="9:37" x14ac:dyDescent="0.2">
      <c r="I353" t="str">
        <f t="shared" si="71"/>
        <v/>
      </c>
      <c r="J353" t="str">
        <f t="shared" si="74"/>
        <v/>
      </c>
      <c r="K353" t="str">
        <f t="shared" si="75"/>
        <v/>
      </c>
      <c r="L353" t="str">
        <f t="shared" si="76"/>
        <v/>
      </c>
      <c r="M353" t="str">
        <f t="shared" si="77"/>
        <v/>
      </c>
      <c r="N353" t="str">
        <f t="shared" si="72"/>
        <v/>
      </c>
      <c r="AK353" s="24"/>
    </row>
    <row r="354" spans="9:37" x14ac:dyDescent="0.2">
      <c r="I354" t="str">
        <f t="shared" si="71"/>
        <v/>
      </c>
      <c r="J354" t="str">
        <f t="shared" si="74"/>
        <v/>
      </c>
      <c r="K354" t="str">
        <f t="shared" si="75"/>
        <v/>
      </c>
      <c r="L354" t="str">
        <f t="shared" si="76"/>
        <v/>
      </c>
      <c r="M354" t="str">
        <f t="shared" si="77"/>
        <v/>
      </c>
      <c r="N354" t="str">
        <f t="shared" si="72"/>
        <v/>
      </c>
      <c r="AK354" s="24"/>
    </row>
    <row r="355" spans="9:37" x14ac:dyDescent="0.2">
      <c r="I355" t="str">
        <f t="shared" si="71"/>
        <v/>
      </c>
      <c r="J355" t="str">
        <f t="shared" si="74"/>
        <v/>
      </c>
      <c r="K355" t="str">
        <f t="shared" si="75"/>
        <v/>
      </c>
      <c r="L355" t="str">
        <f t="shared" si="76"/>
        <v/>
      </c>
      <c r="M355" t="str">
        <f t="shared" si="77"/>
        <v/>
      </c>
      <c r="N355" t="str">
        <f t="shared" si="72"/>
        <v/>
      </c>
      <c r="AK355" s="24"/>
    </row>
    <row r="356" spans="9:37" x14ac:dyDescent="0.2">
      <c r="I356" t="str">
        <f t="shared" si="71"/>
        <v/>
      </c>
      <c r="J356" t="str">
        <f t="shared" si="74"/>
        <v/>
      </c>
      <c r="K356" t="str">
        <f t="shared" si="75"/>
        <v/>
      </c>
      <c r="L356" t="str">
        <f t="shared" si="76"/>
        <v/>
      </c>
      <c r="M356" t="str">
        <f t="shared" si="77"/>
        <v/>
      </c>
      <c r="N356" t="str">
        <f t="shared" si="72"/>
        <v/>
      </c>
      <c r="AK356" s="24"/>
    </row>
    <row r="357" spans="9:37" x14ac:dyDescent="0.2">
      <c r="I357" t="str">
        <f t="shared" si="71"/>
        <v/>
      </c>
      <c r="J357" t="str">
        <f t="shared" si="74"/>
        <v/>
      </c>
      <c r="K357" t="str">
        <f t="shared" si="75"/>
        <v/>
      </c>
      <c r="L357" t="str">
        <f t="shared" si="76"/>
        <v/>
      </c>
      <c r="M357" t="str">
        <f t="shared" si="77"/>
        <v/>
      </c>
      <c r="N357" t="str">
        <f t="shared" si="72"/>
        <v/>
      </c>
      <c r="AK357" s="24"/>
    </row>
    <row r="358" spans="9:37" x14ac:dyDescent="0.2">
      <c r="I358" t="str">
        <f t="shared" si="71"/>
        <v/>
      </c>
      <c r="J358" t="str">
        <f t="shared" si="74"/>
        <v/>
      </c>
      <c r="K358" t="str">
        <f t="shared" si="75"/>
        <v/>
      </c>
      <c r="L358" t="str">
        <f t="shared" si="76"/>
        <v/>
      </c>
      <c r="M358" t="str">
        <f t="shared" si="77"/>
        <v/>
      </c>
      <c r="N358" t="str">
        <f t="shared" si="72"/>
        <v/>
      </c>
      <c r="AK358" s="24"/>
    </row>
    <row r="359" spans="9:37" x14ac:dyDescent="0.2">
      <c r="I359" t="str">
        <f t="shared" si="71"/>
        <v/>
      </c>
      <c r="J359" t="str">
        <f t="shared" si="74"/>
        <v/>
      </c>
      <c r="K359" t="str">
        <f t="shared" si="75"/>
        <v/>
      </c>
      <c r="L359" t="str">
        <f t="shared" si="76"/>
        <v/>
      </c>
      <c r="M359" t="str">
        <f t="shared" si="77"/>
        <v/>
      </c>
      <c r="N359" t="str">
        <f t="shared" si="72"/>
        <v/>
      </c>
      <c r="AK359" s="24"/>
    </row>
    <row r="360" spans="9:37" x14ac:dyDescent="0.2">
      <c r="I360" t="str">
        <f t="shared" si="71"/>
        <v/>
      </c>
      <c r="J360" t="str">
        <f t="shared" si="74"/>
        <v/>
      </c>
      <c r="K360" t="str">
        <f t="shared" si="75"/>
        <v/>
      </c>
      <c r="L360" t="str">
        <f t="shared" si="76"/>
        <v/>
      </c>
      <c r="M360" t="str">
        <f t="shared" si="77"/>
        <v/>
      </c>
      <c r="N360" t="str">
        <f t="shared" si="72"/>
        <v/>
      </c>
      <c r="AK360" s="24"/>
    </row>
    <row r="361" spans="9:37" x14ac:dyDescent="0.2">
      <c r="I361" t="str">
        <f t="shared" si="71"/>
        <v/>
      </c>
      <c r="J361" t="str">
        <f t="shared" si="74"/>
        <v/>
      </c>
      <c r="K361" t="str">
        <f t="shared" si="75"/>
        <v/>
      </c>
      <c r="L361" t="str">
        <f t="shared" si="76"/>
        <v/>
      </c>
      <c r="M361" t="str">
        <f t="shared" si="77"/>
        <v/>
      </c>
      <c r="N361" t="str">
        <f t="shared" si="72"/>
        <v/>
      </c>
      <c r="AK361" s="24"/>
    </row>
    <row r="362" spans="9:37" x14ac:dyDescent="0.2">
      <c r="I362" t="str">
        <f t="shared" si="71"/>
        <v/>
      </c>
      <c r="J362" t="str">
        <f t="shared" si="74"/>
        <v/>
      </c>
      <c r="K362" t="str">
        <f t="shared" si="75"/>
        <v/>
      </c>
      <c r="L362" t="str">
        <f t="shared" si="76"/>
        <v/>
      </c>
      <c r="M362" t="str">
        <f t="shared" si="77"/>
        <v/>
      </c>
      <c r="N362" t="str">
        <f t="shared" si="72"/>
        <v/>
      </c>
      <c r="AK362" s="24"/>
    </row>
    <row r="363" spans="9:37" x14ac:dyDescent="0.2">
      <c r="I363" t="str">
        <f t="shared" si="71"/>
        <v/>
      </c>
      <c r="J363" t="str">
        <f t="shared" si="74"/>
        <v/>
      </c>
      <c r="K363" t="str">
        <f t="shared" si="75"/>
        <v/>
      </c>
      <c r="L363" t="str">
        <f t="shared" si="76"/>
        <v/>
      </c>
      <c r="M363" t="str">
        <f t="shared" si="77"/>
        <v/>
      </c>
      <c r="N363" t="str">
        <f t="shared" si="72"/>
        <v/>
      </c>
      <c r="AK363" s="24"/>
    </row>
    <row r="364" spans="9:37" x14ac:dyDescent="0.2">
      <c r="I364" t="str">
        <f t="shared" si="71"/>
        <v/>
      </c>
      <c r="J364" t="str">
        <f t="shared" si="74"/>
        <v/>
      </c>
      <c r="K364" t="str">
        <f t="shared" si="75"/>
        <v/>
      </c>
      <c r="L364" t="str">
        <f t="shared" si="76"/>
        <v/>
      </c>
      <c r="M364" t="str">
        <f t="shared" si="77"/>
        <v/>
      </c>
      <c r="N364" t="str">
        <f t="shared" si="72"/>
        <v/>
      </c>
      <c r="AK364" s="24"/>
    </row>
    <row r="365" spans="9:37" x14ac:dyDescent="0.2">
      <c r="I365" t="str">
        <f t="shared" si="71"/>
        <v/>
      </c>
      <c r="J365" t="str">
        <f t="shared" si="74"/>
        <v/>
      </c>
      <c r="K365" t="str">
        <f t="shared" si="75"/>
        <v/>
      </c>
      <c r="L365" t="str">
        <f t="shared" si="76"/>
        <v/>
      </c>
      <c r="M365" t="str">
        <f t="shared" si="77"/>
        <v/>
      </c>
      <c r="N365" t="str">
        <f t="shared" si="72"/>
        <v/>
      </c>
      <c r="AK365" s="24"/>
    </row>
    <row r="366" spans="9:37" x14ac:dyDescent="0.2">
      <c r="I366" t="str">
        <f t="shared" si="71"/>
        <v/>
      </c>
      <c r="J366" t="str">
        <f t="shared" si="74"/>
        <v/>
      </c>
      <c r="K366" t="str">
        <f t="shared" si="75"/>
        <v/>
      </c>
      <c r="L366" t="str">
        <f t="shared" si="76"/>
        <v/>
      </c>
      <c r="M366" t="str">
        <f t="shared" si="77"/>
        <v/>
      </c>
      <c r="N366" t="str">
        <f t="shared" si="72"/>
        <v/>
      </c>
      <c r="AK366" s="24"/>
    </row>
    <row r="367" spans="9:37" x14ac:dyDescent="0.2">
      <c r="I367" t="str">
        <f t="shared" si="71"/>
        <v/>
      </c>
      <c r="J367" t="str">
        <f t="shared" si="74"/>
        <v/>
      </c>
      <c r="K367" t="str">
        <f t="shared" si="75"/>
        <v/>
      </c>
      <c r="L367" t="str">
        <f t="shared" si="76"/>
        <v/>
      </c>
      <c r="M367" t="str">
        <f t="shared" si="77"/>
        <v/>
      </c>
      <c r="N367" t="str">
        <f t="shared" si="72"/>
        <v/>
      </c>
      <c r="AK367" s="24"/>
    </row>
    <row r="368" spans="9:37" x14ac:dyDescent="0.2">
      <c r="I368" t="str">
        <f t="shared" si="71"/>
        <v/>
      </c>
      <c r="J368" t="str">
        <f t="shared" si="74"/>
        <v/>
      </c>
      <c r="K368" t="str">
        <f t="shared" si="75"/>
        <v/>
      </c>
      <c r="L368" t="str">
        <f t="shared" si="76"/>
        <v/>
      </c>
      <c r="M368" t="str">
        <f t="shared" si="77"/>
        <v/>
      </c>
      <c r="N368" t="str">
        <f t="shared" si="72"/>
        <v/>
      </c>
      <c r="AK368" s="24"/>
    </row>
    <row r="369" spans="9:37" x14ac:dyDescent="0.2">
      <c r="I369" t="str">
        <f t="shared" si="71"/>
        <v/>
      </c>
      <c r="J369" t="str">
        <f t="shared" si="74"/>
        <v/>
      </c>
      <c r="K369" t="str">
        <f t="shared" si="75"/>
        <v/>
      </c>
      <c r="L369" t="str">
        <f t="shared" si="76"/>
        <v/>
      </c>
      <c r="M369" t="str">
        <f t="shared" si="77"/>
        <v/>
      </c>
      <c r="N369" t="str">
        <f t="shared" si="72"/>
        <v/>
      </c>
      <c r="AK369" s="24"/>
    </row>
    <row r="370" spans="9:37" x14ac:dyDescent="0.2">
      <c r="I370" t="str">
        <f t="shared" si="71"/>
        <v/>
      </c>
      <c r="J370" t="str">
        <f t="shared" si="74"/>
        <v/>
      </c>
      <c r="K370" t="str">
        <f t="shared" si="75"/>
        <v/>
      </c>
      <c r="L370" t="str">
        <f t="shared" si="76"/>
        <v/>
      </c>
      <c r="M370" t="str">
        <f t="shared" si="77"/>
        <v/>
      </c>
      <c r="N370" t="str">
        <f t="shared" si="72"/>
        <v/>
      </c>
      <c r="AK370" s="24"/>
    </row>
    <row r="371" spans="9:37" x14ac:dyDescent="0.2">
      <c r="I371" t="str">
        <f t="shared" si="71"/>
        <v/>
      </c>
      <c r="J371" t="str">
        <f t="shared" si="74"/>
        <v/>
      </c>
      <c r="K371" t="str">
        <f t="shared" si="75"/>
        <v/>
      </c>
      <c r="L371" t="str">
        <f t="shared" si="76"/>
        <v/>
      </c>
      <c r="M371" t="str">
        <f t="shared" si="77"/>
        <v/>
      </c>
      <c r="N371" t="str">
        <f t="shared" si="72"/>
        <v/>
      </c>
      <c r="AK371" s="24"/>
    </row>
    <row r="372" spans="9:37" x14ac:dyDescent="0.2">
      <c r="I372" t="str">
        <f t="shared" si="71"/>
        <v/>
      </c>
      <c r="J372" t="str">
        <f t="shared" si="74"/>
        <v/>
      </c>
      <c r="K372" t="str">
        <f t="shared" si="75"/>
        <v/>
      </c>
      <c r="L372" t="str">
        <f t="shared" si="76"/>
        <v/>
      </c>
      <c r="M372" t="str">
        <f t="shared" si="77"/>
        <v/>
      </c>
      <c r="N372" t="str">
        <f t="shared" si="72"/>
        <v/>
      </c>
      <c r="AK372" s="24"/>
    </row>
    <row r="373" spans="9:37" x14ac:dyDescent="0.2">
      <c r="I373" t="str">
        <f t="shared" si="71"/>
        <v/>
      </c>
      <c r="J373" t="str">
        <f t="shared" si="74"/>
        <v/>
      </c>
      <c r="K373" t="str">
        <f t="shared" si="75"/>
        <v/>
      </c>
      <c r="L373" t="str">
        <f t="shared" si="76"/>
        <v/>
      </c>
      <c r="M373" t="str">
        <f t="shared" si="77"/>
        <v/>
      </c>
      <c r="N373" t="str">
        <f t="shared" si="72"/>
        <v/>
      </c>
      <c r="AK373" s="24"/>
    </row>
    <row r="374" spans="9:37" x14ac:dyDescent="0.2">
      <c r="I374" t="str">
        <f t="shared" si="71"/>
        <v/>
      </c>
      <c r="J374" t="str">
        <f t="shared" si="74"/>
        <v/>
      </c>
      <c r="K374" t="str">
        <f t="shared" si="75"/>
        <v/>
      </c>
      <c r="L374" t="str">
        <f t="shared" si="76"/>
        <v/>
      </c>
      <c r="M374" t="str">
        <f t="shared" si="77"/>
        <v/>
      </c>
      <c r="N374" t="str">
        <f t="shared" si="72"/>
        <v/>
      </c>
      <c r="AK374" s="24"/>
    </row>
    <row r="375" spans="9:37" x14ac:dyDescent="0.2">
      <c r="I375" t="str">
        <f t="shared" si="71"/>
        <v/>
      </c>
      <c r="J375" t="str">
        <f t="shared" si="74"/>
        <v/>
      </c>
      <c r="K375" t="str">
        <f t="shared" si="75"/>
        <v/>
      </c>
      <c r="L375" t="str">
        <f t="shared" si="76"/>
        <v/>
      </c>
      <c r="M375" t="str">
        <f t="shared" si="77"/>
        <v/>
      </c>
      <c r="N375" t="str">
        <f t="shared" si="72"/>
        <v/>
      </c>
      <c r="AK375" s="24"/>
    </row>
    <row r="376" spans="9:37" x14ac:dyDescent="0.2">
      <c r="I376" t="str">
        <f t="shared" si="71"/>
        <v/>
      </c>
      <c r="J376" t="str">
        <f t="shared" si="74"/>
        <v/>
      </c>
      <c r="K376" t="str">
        <f t="shared" si="75"/>
        <v/>
      </c>
      <c r="L376" t="str">
        <f t="shared" si="76"/>
        <v/>
      </c>
      <c r="M376" t="str">
        <f t="shared" si="77"/>
        <v/>
      </c>
      <c r="N376" t="str">
        <f t="shared" si="72"/>
        <v/>
      </c>
      <c r="AK376" s="24"/>
    </row>
    <row r="377" spans="9:37" x14ac:dyDescent="0.2">
      <c r="I377" t="str">
        <f t="shared" si="71"/>
        <v/>
      </c>
      <c r="J377" t="str">
        <f t="shared" si="74"/>
        <v/>
      </c>
      <c r="K377" t="str">
        <f t="shared" si="75"/>
        <v/>
      </c>
      <c r="L377" t="str">
        <f t="shared" si="76"/>
        <v/>
      </c>
      <c r="M377" t="str">
        <f t="shared" si="77"/>
        <v/>
      </c>
      <c r="N377" t="str">
        <f t="shared" si="72"/>
        <v/>
      </c>
      <c r="AK377" s="24"/>
    </row>
    <row r="378" spans="9:37" x14ac:dyDescent="0.2">
      <c r="I378" t="str">
        <f t="shared" si="71"/>
        <v/>
      </c>
      <c r="J378" t="str">
        <f t="shared" si="74"/>
        <v/>
      </c>
      <c r="K378" t="str">
        <f t="shared" si="75"/>
        <v/>
      </c>
      <c r="L378" t="str">
        <f t="shared" si="76"/>
        <v/>
      </c>
      <c r="M378" t="str">
        <f t="shared" si="77"/>
        <v/>
      </c>
      <c r="N378" t="str">
        <f t="shared" si="72"/>
        <v/>
      </c>
      <c r="AK378" s="24"/>
    </row>
    <row r="379" spans="9:37" x14ac:dyDescent="0.2">
      <c r="I379" t="str">
        <f t="shared" si="71"/>
        <v/>
      </c>
      <c r="J379" t="str">
        <f t="shared" si="74"/>
        <v/>
      </c>
      <c r="K379" t="str">
        <f t="shared" si="75"/>
        <v/>
      </c>
      <c r="L379" t="str">
        <f t="shared" si="76"/>
        <v/>
      </c>
      <c r="M379" t="str">
        <f t="shared" si="77"/>
        <v/>
      </c>
      <c r="N379" t="str">
        <f t="shared" si="72"/>
        <v/>
      </c>
      <c r="AK379" s="24"/>
    </row>
    <row r="380" spans="9:37" x14ac:dyDescent="0.2">
      <c r="I380" t="str">
        <f t="shared" si="71"/>
        <v/>
      </c>
      <c r="J380" t="str">
        <f t="shared" si="74"/>
        <v/>
      </c>
      <c r="K380" t="str">
        <f t="shared" si="75"/>
        <v/>
      </c>
      <c r="L380" t="str">
        <f t="shared" si="76"/>
        <v/>
      </c>
      <c r="M380" t="str">
        <f t="shared" si="77"/>
        <v/>
      </c>
      <c r="N380" t="str">
        <f t="shared" si="72"/>
        <v/>
      </c>
      <c r="AK380" s="24"/>
    </row>
    <row r="381" spans="9:37" x14ac:dyDescent="0.2">
      <c r="AK381" s="24"/>
    </row>
    <row r="382" spans="9:37" x14ac:dyDescent="0.2">
      <c r="AK382" s="24"/>
    </row>
    <row r="383" spans="9:37" x14ac:dyDescent="0.2">
      <c r="AK383" s="24"/>
    </row>
    <row r="384" spans="9:37" x14ac:dyDescent="0.2">
      <c r="AK384" s="24"/>
    </row>
    <row r="385" spans="37:37" x14ac:dyDescent="0.2">
      <c r="AK385" s="24"/>
    </row>
    <row r="386" spans="37:37" x14ac:dyDescent="0.2">
      <c r="AK386" s="24"/>
    </row>
    <row r="387" spans="37:37" x14ac:dyDescent="0.2">
      <c r="AK387" s="24"/>
    </row>
    <row r="388" spans="37:37" x14ac:dyDescent="0.2">
      <c r="AK388" s="24"/>
    </row>
    <row r="389" spans="37:37" x14ac:dyDescent="0.2">
      <c r="AK389" s="24"/>
    </row>
    <row r="390" spans="37:37" x14ac:dyDescent="0.2">
      <c r="AK390" s="24"/>
    </row>
    <row r="391" spans="37:37" x14ac:dyDescent="0.2">
      <c r="AK391" s="24"/>
    </row>
    <row r="392" spans="37:37" x14ac:dyDescent="0.2">
      <c r="AK392" s="24"/>
    </row>
    <row r="393" spans="37:37" x14ac:dyDescent="0.2">
      <c r="AK393" s="24"/>
    </row>
    <row r="394" spans="37:37" x14ac:dyDescent="0.2">
      <c r="AK394" s="24"/>
    </row>
    <row r="395" spans="37:37" x14ac:dyDescent="0.2">
      <c r="AK395" s="24"/>
    </row>
    <row r="396" spans="37:37" x14ac:dyDescent="0.2">
      <c r="AK396" s="24"/>
    </row>
    <row r="397" spans="37:37" x14ac:dyDescent="0.2">
      <c r="AK397" s="24"/>
    </row>
    <row r="398" spans="37:37" x14ac:dyDescent="0.2">
      <c r="AK398" s="24"/>
    </row>
  </sheetData>
  <sortState xmlns:xlrd2="http://schemas.microsoft.com/office/spreadsheetml/2017/richdata2" columnSort="1" ref="AN1:AT15">
    <sortCondition descending="1" ref="AO2"/>
  </sortState>
  <phoneticPr fontId="6" type="noConversion"/>
  <pageMargins left="0.7" right="0.7" top="0.75" bottom="0.75" header="0.3" footer="0.3"/>
  <ignoredErrors>
    <ignoredError sqref="AK5 AJ5" calculatedColumn="1"/>
  </ignoredErrors>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49"/>
  <sheetViews>
    <sheetView zoomScale="133" zoomScaleNormal="110" workbookViewId="0">
      <selection activeCell="B4" sqref="B4"/>
    </sheetView>
  </sheetViews>
  <sheetFormatPr baseColWidth="10" defaultColWidth="11.5" defaultRowHeight="15" x14ac:dyDescent="0.2"/>
  <cols>
    <col min="1" max="1" width="38.6640625" bestFit="1" customWidth="1"/>
    <col min="4" max="4" width="38.6640625" bestFit="1" customWidth="1"/>
    <col min="5" max="5" width="29.6640625" customWidth="1"/>
  </cols>
  <sheetData>
    <row r="1" spans="1:10" x14ac:dyDescent="0.2">
      <c r="A1" s="9" t="s">
        <v>79</v>
      </c>
      <c r="B1" s="9" t="s">
        <v>80</v>
      </c>
      <c r="E1" s="14" t="s">
        <v>139</v>
      </c>
      <c r="F1" s="15" t="s">
        <v>165</v>
      </c>
      <c r="G1" s="15" t="s">
        <v>166</v>
      </c>
      <c r="I1" t="s">
        <v>138</v>
      </c>
      <c r="J1" t="s">
        <v>136</v>
      </c>
    </row>
    <row r="2" spans="1:10" x14ac:dyDescent="0.2">
      <c r="A2" s="13" t="s">
        <v>144</v>
      </c>
      <c r="B2" t="s">
        <v>85</v>
      </c>
      <c r="E2" s="16" t="s">
        <v>167</v>
      </c>
      <c r="F2" s="17">
        <v>120</v>
      </c>
      <c r="G2" s="18" t="s">
        <v>168</v>
      </c>
      <c r="I2">
        <v>10</v>
      </c>
      <c r="J2" t="s">
        <v>137</v>
      </c>
    </row>
    <row r="3" spans="1:10" x14ac:dyDescent="0.2">
      <c r="A3" s="13" t="s">
        <v>145</v>
      </c>
      <c r="B3" t="s">
        <v>86</v>
      </c>
      <c r="E3" s="16" t="s">
        <v>169</v>
      </c>
      <c r="F3" s="17">
        <v>96</v>
      </c>
      <c r="G3" s="18" t="s">
        <v>170</v>
      </c>
      <c r="I3">
        <v>11</v>
      </c>
      <c r="J3" t="s">
        <v>137</v>
      </c>
    </row>
    <row r="4" spans="1:10" x14ac:dyDescent="0.2">
      <c r="A4" s="13" t="s">
        <v>149</v>
      </c>
      <c r="B4" t="s">
        <v>81</v>
      </c>
      <c r="E4" s="16" t="s">
        <v>97</v>
      </c>
      <c r="F4" s="17">
        <v>120</v>
      </c>
      <c r="G4" s="18" t="s">
        <v>168</v>
      </c>
      <c r="I4">
        <v>12</v>
      </c>
      <c r="J4" t="s">
        <v>137</v>
      </c>
    </row>
    <row r="5" spans="1:10" x14ac:dyDescent="0.2">
      <c r="A5" s="13" t="s">
        <v>160</v>
      </c>
      <c r="B5" t="s">
        <v>82</v>
      </c>
      <c r="E5" s="16" t="s">
        <v>171</v>
      </c>
      <c r="F5" s="17">
        <v>120</v>
      </c>
      <c r="G5" s="18" t="s">
        <v>168</v>
      </c>
    </row>
    <row r="6" spans="1:10" x14ac:dyDescent="0.2">
      <c r="A6" s="13" t="s">
        <v>152</v>
      </c>
      <c r="B6" t="s">
        <v>83</v>
      </c>
      <c r="E6" s="16" t="s">
        <v>172</v>
      </c>
      <c r="F6" s="17">
        <v>100</v>
      </c>
      <c r="G6" s="18" t="s">
        <v>170</v>
      </c>
    </row>
    <row r="7" spans="1:10" x14ac:dyDescent="0.2">
      <c r="A7" s="13" t="s">
        <v>38</v>
      </c>
      <c r="B7" t="s">
        <v>38</v>
      </c>
      <c r="E7" s="16" t="s">
        <v>173</v>
      </c>
      <c r="F7" s="17">
        <v>106</v>
      </c>
      <c r="G7" s="18" t="s">
        <v>170</v>
      </c>
    </row>
    <row r="8" spans="1:10" x14ac:dyDescent="0.2">
      <c r="A8" s="13" t="s">
        <v>40</v>
      </c>
      <c r="B8" t="s">
        <v>40</v>
      </c>
      <c r="D8" s="13"/>
      <c r="E8" s="16" t="s">
        <v>174</v>
      </c>
      <c r="F8" s="17">
        <v>114</v>
      </c>
      <c r="G8" s="18" t="s">
        <v>175</v>
      </c>
    </row>
    <row r="9" spans="1:10" x14ac:dyDescent="0.2">
      <c r="A9" s="13" t="s">
        <v>161</v>
      </c>
      <c r="B9" t="s">
        <v>88</v>
      </c>
      <c r="D9" s="13"/>
      <c r="E9" s="16" t="s">
        <v>176</v>
      </c>
      <c r="F9" s="17">
        <v>114</v>
      </c>
      <c r="G9" s="18" t="s">
        <v>175</v>
      </c>
    </row>
    <row r="10" spans="1:10" x14ac:dyDescent="0.2">
      <c r="A10" s="13" t="s">
        <v>49</v>
      </c>
      <c r="B10" t="s">
        <v>49</v>
      </c>
      <c r="D10" s="13"/>
      <c r="E10" s="16" t="s">
        <v>177</v>
      </c>
      <c r="F10" s="17">
        <v>102</v>
      </c>
      <c r="G10" s="18" t="s">
        <v>170</v>
      </c>
    </row>
    <row r="11" spans="1:10" x14ac:dyDescent="0.2">
      <c r="A11" s="13" t="s">
        <v>154</v>
      </c>
      <c r="B11" t="s">
        <v>84</v>
      </c>
      <c r="D11" s="13"/>
      <c r="E11" s="16" t="s">
        <v>35</v>
      </c>
      <c r="F11" s="17">
        <v>98</v>
      </c>
      <c r="G11" s="18" t="s">
        <v>178</v>
      </c>
    </row>
    <row r="12" spans="1:10" x14ac:dyDescent="0.2">
      <c r="A12" s="13" t="s">
        <v>64</v>
      </c>
      <c r="B12" t="s">
        <v>84</v>
      </c>
      <c r="D12" s="13"/>
      <c r="E12" s="16" t="s">
        <v>179</v>
      </c>
      <c r="F12" s="17">
        <v>126</v>
      </c>
      <c r="G12" s="18" t="s">
        <v>168</v>
      </c>
    </row>
    <row r="13" spans="1:10" x14ac:dyDescent="0.2">
      <c r="A13" s="13" t="s">
        <v>162</v>
      </c>
      <c r="B13" t="s">
        <v>89</v>
      </c>
      <c r="D13" s="13"/>
      <c r="E13" s="16" t="s">
        <v>180</v>
      </c>
      <c r="F13" s="17">
        <v>119</v>
      </c>
      <c r="G13" s="18" t="s">
        <v>175</v>
      </c>
    </row>
    <row r="14" spans="1:10" x14ac:dyDescent="0.2">
      <c r="A14" s="13" t="s">
        <v>336</v>
      </c>
      <c r="B14" t="s">
        <v>337</v>
      </c>
      <c r="D14" s="13"/>
      <c r="E14" s="16" t="s">
        <v>181</v>
      </c>
      <c r="F14" s="17">
        <v>103</v>
      </c>
      <c r="G14" s="18" t="s">
        <v>170</v>
      </c>
    </row>
    <row r="15" spans="1:10" x14ac:dyDescent="0.2">
      <c r="A15" s="13" t="s">
        <v>163</v>
      </c>
      <c r="B15" t="s">
        <v>87</v>
      </c>
      <c r="D15" s="13"/>
      <c r="E15" s="16" t="s">
        <v>55</v>
      </c>
      <c r="F15" s="17">
        <v>104</v>
      </c>
      <c r="G15" s="18" t="s">
        <v>170</v>
      </c>
    </row>
    <row r="16" spans="1:10" x14ac:dyDescent="0.2">
      <c r="A16" s="13" t="s">
        <v>53</v>
      </c>
      <c r="B16" t="s">
        <v>53</v>
      </c>
      <c r="D16" s="13"/>
      <c r="E16" s="16" t="s">
        <v>182</v>
      </c>
      <c r="F16" s="17">
        <v>106</v>
      </c>
      <c r="G16" s="18" t="s">
        <v>170</v>
      </c>
    </row>
    <row r="17" spans="1:7" x14ac:dyDescent="0.2">
      <c r="A17" s="13" t="s">
        <v>164</v>
      </c>
      <c r="B17" t="s">
        <v>338</v>
      </c>
      <c r="D17" s="13"/>
      <c r="E17" s="16" t="s">
        <v>109</v>
      </c>
      <c r="F17" s="17">
        <v>120</v>
      </c>
      <c r="G17" s="18" t="s">
        <v>168</v>
      </c>
    </row>
    <row r="18" spans="1:7" x14ac:dyDescent="0.2">
      <c r="A18" s="13" t="s">
        <v>51</v>
      </c>
      <c r="B18" t="s">
        <v>339</v>
      </c>
      <c r="D18" s="13"/>
      <c r="E18" s="16" t="s">
        <v>183</v>
      </c>
      <c r="F18" s="17">
        <v>110</v>
      </c>
      <c r="G18" s="18" t="s">
        <v>175</v>
      </c>
    </row>
    <row r="19" spans="1:7" x14ac:dyDescent="0.2">
      <c r="A19" s="13" t="s">
        <v>52</v>
      </c>
      <c r="B19" t="s">
        <v>340</v>
      </c>
      <c r="D19" s="13"/>
      <c r="E19" s="16" t="s">
        <v>184</v>
      </c>
      <c r="F19" s="17">
        <v>110</v>
      </c>
      <c r="G19" s="18" t="s">
        <v>175</v>
      </c>
    </row>
    <row r="20" spans="1:7" x14ac:dyDescent="0.2">
      <c r="D20" s="13"/>
      <c r="E20" s="16" t="s">
        <v>98</v>
      </c>
      <c r="F20" s="17">
        <v>94</v>
      </c>
      <c r="G20" s="18" t="s">
        <v>170</v>
      </c>
    </row>
    <row r="21" spans="1:7" x14ac:dyDescent="0.2">
      <c r="D21" s="13"/>
      <c r="E21" s="16" t="s">
        <v>110</v>
      </c>
      <c r="F21" s="17">
        <v>135</v>
      </c>
      <c r="G21" s="18" t="s">
        <v>185</v>
      </c>
    </row>
    <row r="22" spans="1:7" x14ac:dyDescent="0.2">
      <c r="D22" s="13"/>
      <c r="E22" s="16" t="s">
        <v>186</v>
      </c>
      <c r="F22" s="17">
        <v>104</v>
      </c>
      <c r="G22" s="18" t="s">
        <v>170</v>
      </c>
    </row>
    <row r="23" spans="1:7" x14ac:dyDescent="0.2">
      <c r="D23" s="13"/>
      <c r="E23" s="16" t="s">
        <v>39</v>
      </c>
      <c r="F23" s="17">
        <v>108</v>
      </c>
      <c r="G23" s="18" t="s">
        <v>170</v>
      </c>
    </row>
    <row r="24" spans="1:7" x14ac:dyDescent="0.2">
      <c r="D24" s="13"/>
      <c r="E24" s="16" t="s">
        <v>126</v>
      </c>
      <c r="F24" s="17">
        <v>85</v>
      </c>
      <c r="G24" s="18" t="s">
        <v>187</v>
      </c>
    </row>
    <row r="25" spans="1:7" x14ac:dyDescent="0.2">
      <c r="D25" s="13"/>
      <c r="E25" s="16" t="s">
        <v>111</v>
      </c>
      <c r="F25" s="17">
        <v>86</v>
      </c>
      <c r="G25" s="18" t="s">
        <v>187</v>
      </c>
    </row>
    <row r="26" spans="1:7" x14ac:dyDescent="0.2">
      <c r="D26" s="13"/>
      <c r="E26" s="16" t="s">
        <v>44</v>
      </c>
      <c r="F26" s="17">
        <v>105</v>
      </c>
      <c r="G26" s="18" t="s">
        <v>170</v>
      </c>
    </row>
    <row r="27" spans="1:7" x14ac:dyDescent="0.2">
      <c r="D27" s="13"/>
      <c r="E27" s="16" t="s">
        <v>188</v>
      </c>
      <c r="F27" s="17">
        <v>101</v>
      </c>
      <c r="G27" s="18" t="s">
        <v>170</v>
      </c>
    </row>
    <row r="28" spans="1:7" x14ac:dyDescent="0.2">
      <c r="D28" s="13"/>
      <c r="E28" s="16" t="s">
        <v>189</v>
      </c>
      <c r="F28" s="17">
        <v>120</v>
      </c>
      <c r="G28" s="18" t="s">
        <v>168</v>
      </c>
    </row>
    <row r="29" spans="1:7" x14ac:dyDescent="0.2">
      <c r="D29" s="13"/>
      <c r="E29" s="16" t="s">
        <v>190</v>
      </c>
      <c r="F29" s="17">
        <v>101</v>
      </c>
      <c r="G29" s="18" t="s">
        <v>170</v>
      </c>
    </row>
    <row r="30" spans="1:7" x14ac:dyDescent="0.2">
      <c r="D30" s="13"/>
      <c r="E30" s="16" t="s">
        <v>56</v>
      </c>
      <c r="F30" s="17">
        <v>124</v>
      </c>
      <c r="G30" s="18" t="s">
        <v>168</v>
      </c>
    </row>
    <row r="31" spans="1:7" x14ac:dyDescent="0.2">
      <c r="E31" s="16" t="s">
        <v>57</v>
      </c>
      <c r="F31" s="17">
        <v>119</v>
      </c>
      <c r="G31" s="18" t="s">
        <v>175</v>
      </c>
    </row>
    <row r="32" spans="1:7" x14ac:dyDescent="0.2">
      <c r="E32" s="16" t="s">
        <v>191</v>
      </c>
      <c r="F32" s="17">
        <v>124</v>
      </c>
      <c r="G32" s="18" t="s">
        <v>168</v>
      </c>
    </row>
    <row r="33" spans="1:7" x14ac:dyDescent="0.2">
      <c r="A33" s="13"/>
      <c r="D33" s="13"/>
      <c r="E33" s="16" t="s">
        <v>192</v>
      </c>
      <c r="F33" s="17">
        <v>93</v>
      </c>
      <c r="G33" s="18" t="s">
        <v>170</v>
      </c>
    </row>
    <row r="34" spans="1:7" x14ac:dyDescent="0.2">
      <c r="A34" s="13"/>
      <c r="D34" s="13"/>
      <c r="E34" s="16" t="s">
        <v>193</v>
      </c>
      <c r="F34" s="17">
        <v>98</v>
      </c>
      <c r="G34" s="18" t="s">
        <v>170</v>
      </c>
    </row>
    <row r="35" spans="1:7" x14ac:dyDescent="0.2">
      <c r="A35" s="13"/>
      <c r="D35" s="13"/>
      <c r="E35" s="16" t="s">
        <v>194</v>
      </c>
      <c r="F35" s="17">
        <v>125</v>
      </c>
      <c r="G35" s="18" t="s">
        <v>168</v>
      </c>
    </row>
    <row r="36" spans="1:7" x14ac:dyDescent="0.2">
      <c r="E36" s="16" t="s">
        <v>195</v>
      </c>
      <c r="F36" s="17">
        <v>106</v>
      </c>
      <c r="G36" s="18" t="s">
        <v>170</v>
      </c>
    </row>
    <row r="37" spans="1:7" x14ac:dyDescent="0.2">
      <c r="E37" s="16" t="s">
        <v>196</v>
      </c>
      <c r="F37" s="17">
        <v>105</v>
      </c>
      <c r="G37" s="18" t="s">
        <v>170</v>
      </c>
    </row>
    <row r="38" spans="1:7" x14ac:dyDescent="0.2">
      <c r="E38" s="16" t="s">
        <v>197</v>
      </c>
      <c r="F38" s="17">
        <v>113</v>
      </c>
      <c r="G38" s="18" t="s">
        <v>175</v>
      </c>
    </row>
    <row r="39" spans="1:7" x14ac:dyDescent="0.2">
      <c r="E39" s="16" t="s">
        <v>99</v>
      </c>
      <c r="F39" s="17">
        <v>109</v>
      </c>
      <c r="G39" s="18" t="s">
        <v>170</v>
      </c>
    </row>
    <row r="40" spans="1:7" x14ac:dyDescent="0.2">
      <c r="E40" s="16" t="s">
        <v>198</v>
      </c>
      <c r="F40" s="17">
        <v>112</v>
      </c>
      <c r="G40" s="18" t="s">
        <v>175</v>
      </c>
    </row>
    <row r="41" spans="1:7" x14ac:dyDescent="0.2">
      <c r="E41" s="16" t="s">
        <v>66</v>
      </c>
      <c r="F41" s="17">
        <v>113</v>
      </c>
      <c r="G41" s="18" t="s">
        <v>175</v>
      </c>
    </row>
    <row r="42" spans="1:7" x14ac:dyDescent="0.2">
      <c r="E42" s="16" t="s">
        <v>199</v>
      </c>
      <c r="F42" s="17">
        <v>96</v>
      </c>
      <c r="G42" s="18" t="s">
        <v>170</v>
      </c>
    </row>
    <row r="43" spans="1:7" x14ac:dyDescent="0.2">
      <c r="E43" s="16" t="s">
        <v>73</v>
      </c>
      <c r="F43" s="17">
        <v>101</v>
      </c>
      <c r="G43" s="18" t="s">
        <v>170</v>
      </c>
    </row>
    <row r="44" spans="1:7" x14ac:dyDescent="0.2">
      <c r="E44" s="16" t="s">
        <v>200</v>
      </c>
      <c r="F44" s="17">
        <v>116</v>
      </c>
      <c r="G44" s="18" t="s">
        <v>175</v>
      </c>
    </row>
    <row r="45" spans="1:7" x14ac:dyDescent="0.2">
      <c r="E45" s="16" t="s">
        <v>107</v>
      </c>
      <c r="F45" s="17">
        <v>117</v>
      </c>
      <c r="G45" s="18" t="s">
        <v>175</v>
      </c>
    </row>
    <row r="46" spans="1:7" x14ac:dyDescent="0.2">
      <c r="E46" s="16" t="s">
        <v>201</v>
      </c>
      <c r="F46" s="17">
        <v>110</v>
      </c>
      <c r="G46" s="18" t="s">
        <v>175</v>
      </c>
    </row>
    <row r="47" spans="1:7" x14ac:dyDescent="0.2">
      <c r="E47" s="16" t="s">
        <v>202</v>
      </c>
      <c r="F47" s="17">
        <v>112</v>
      </c>
      <c r="G47" s="18" t="s">
        <v>175</v>
      </c>
    </row>
    <row r="48" spans="1:7" x14ac:dyDescent="0.2">
      <c r="E48" s="16" t="s">
        <v>203</v>
      </c>
      <c r="F48" s="17">
        <v>129</v>
      </c>
      <c r="G48" s="18" t="s">
        <v>168</v>
      </c>
    </row>
    <row r="49" spans="5:7" x14ac:dyDescent="0.2">
      <c r="E49" s="16" t="s">
        <v>204</v>
      </c>
      <c r="F49" s="17">
        <v>111</v>
      </c>
      <c r="G49" s="18" t="s">
        <v>175</v>
      </c>
    </row>
    <row r="50" spans="5:7" x14ac:dyDescent="0.2">
      <c r="E50" s="16" t="s">
        <v>205</v>
      </c>
      <c r="F50" s="17">
        <v>100</v>
      </c>
      <c r="G50" s="18" t="s">
        <v>170</v>
      </c>
    </row>
    <row r="51" spans="5:7" x14ac:dyDescent="0.2">
      <c r="E51" s="16" t="s">
        <v>206</v>
      </c>
      <c r="F51" s="17">
        <v>104</v>
      </c>
      <c r="G51" s="18" t="s">
        <v>170</v>
      </c>
    </row>
    <row r="52" spans="5:7" x14ac:dyDescent="0.2">
      <c r="E52" s="16" t="s">
        <v>72</v>
      </c>
      <c r="F52" s="17">
        <v>115</v>
      </c>
      <c r="G52" s="18" t="s">
        <v>175</v>
      </c>
    </row>
    <row r="53" spans="5:7" x14ac:dyDescent="0.2">
      <c r="E53" s="16" t="s">
        <v>100</v>
      </c>
      <c r="F53" s="17">
        <v>109</v>
      </c>
      <c r="G53" s="18" t="s">
        <v>170</v>
      </c>
    </row>
    <row r="54" spans="5:7" x14ac:dyDescent="0.2">
      <c r="E54" s="16" t="s">
        <v>129</v>
      </c>
      <c r="F54" s="17">
        <v>98</v>
      </c>
      <c r="G54" s="18" t="s">
        <v>170</v>
      </c>
    </row>
    <row r="55" spans="5:7" x14ac:dyDescent="0.2">
      <c r="E55" s="16" t="s">
        <v>207</v>
      </c>
      <c r="F55" s="17">
        <v>106</v>
      </c>
      <c r="G55" s="18" t="s">
        <v>170</v>
      </c>
    </row>
    <row r="56" spans="5:7" x14ac:dyDescent="0.2">
      <c r="E56" s="16" t="s">
        <v>208</v>
      </c>
      <c r="F56" s="17">
        <v>113</v>
      </c>
      <c r="G56" s="18" t="s">
        <v>175</v>
      </c>
    </row>
    <row r="57" spans="5:7" x14ac:dyDescent="0.2">
      <c r="E57" s="16" t="s">
        <v>45</v>
      </c>
      <c r="F57" s="17">
        <v>112</v>
      </c>
      <c r="G57" s="18" t="s">
        <v>175</v>
      </c>
    </row>
    <row r="58" spans="5:7" x14ac:dyDescent="0.2">
      <c r="E58" s="16" t="s">
        <v>209</v>
      </c>
      <c r="F58" s="17">
        <v>119</v>
      </c>
      <c r="G58" s="18" t="s">
        <v>175</v>
      </c>
    </row>
    <row r="59" spans="5:7" x14ac:dyDescent="0.2">
      <c r="E59" s="16" t="s">
        <v>210</v>
      </c>
      <c r="F59" s="17">
        <v>104</v>
      </c>
      <c r="G59" s="18" t="s">
        <v>170</v>
      </c>
    </row>
    <row r="60" spans="5:7" x14ac:dyDescent="0.2">
      <c r="E60" s="16" t="s">
        <v>211</v>
      </c>
      <c r="F60" s="17">
        <v>99</v>
      </c>
      <c r="G60" s="18" t="s">
        <v>170</v>
      </c>
    </row>
    <row r="61" spans="5:7" x14ac:dyDescent="0.2">
      <c r="E61" s="16" t="s">
        <v>128</v>
      </c>
      <c r="F61" s="17">
        <v>124</v>
      </c>
      <c r="G61" s="18" t="s">
        <v>168</v>
      </c>
    </row>
    <row r="62" spans="5:7" x14ac:dyDescent="0.2">
      <c r="E62" s="16" t="s">
        <v>67</v>
      </c>
      <c r="F62" s="17">
        <v>119</v>
      </c>
      <c r="G62" s="18" t="s">
        <v>175</v>
      </c>
    </row>
    <row r="63" spans="5:7" x14ac:dyDescent="0.2">
      <c r="E63" s="16" t="s">
        <v>212</v>
      </c>
      <c r="F63" s="17">
        <v>94</v>
      </c>
      <c r="G63" s="18" t="s">
        <v>170</v>
      </c>
    </row>
    <row r="64" spans="5:7" x14ac:dyDescent="0.2">
      <c r="E64" s="16" t="s">
        <v>101</v>
      </c>
      <c r="F64" s="17">
        <v>102</v>
      </c>
      <c r="G64" s="18" t="s">
        <v>170</v>
      </c>
    </row>
    <row r="65" spans="5:7" x14ac:dyDescent="0.2">
      <c r="E65" s="16" t="s">
        <v>102</v>
      </c>
      <c r="F65" s="17">
        <v>91</v>
      </c>
      <c r="G65" s="18" t="s">
        <v>170</v>
      </c>
    </row>
    <row r="66" spans="5:7" x14ac:dyDescent="0.2">
      <c r="E66" s="16" t="s">
        <v>213</v>
      </c>
      <c r="F66" s="17">
        <v>125</v>
      </c>
      <c r="G66" s="18" t="s">
        <v>168</v>
      </c>
    </row>
    <row r="67" spans="5:7" x14ac:dyDescent="0.2">
      <c r="E67" s="16" t="s">
        <v>214</v>
      </c>
      <c r="F67" s="17">
        <v>96</v>
      </c>
      <c r="G67" s="18" t="s">
        <v>170</v>
      </c>
    </row>
    <row r="68" spans="5:7" x14ac:dyDescent="0.2">
      <c r="E68" s="16" t="s">
        <v>215</v>
      </c>
      <c r="F68" s="17">
        <v>124</v>
      </c>
      <c r="G68" s="18" t="s">
        <v>168</v>
      </c>
    </row>
    <row r="69" spans="5:7" x14ac:dyDescent="0.2">
      <c r="E69" s="16" t="s">
        <v>216</v>
      </c>
      <c r="F69" s="17">
        <v>120</v>
      </c>
      <c r="G69" s="18" t="s">
        <v>168</v>
      </c>
    </row>
    <row r="70" spans="5:7" x14ac:dyDescent="0.2">
      <c r="E70" s="16" t="s">
        <v>217</v>
      </c>
      <c r="F70" s="17">
        <v>101</v>
      </c>
      <c r="G70" s="18" t="s">
        <v>170</v>
      </c>
    </row>
    <row r="71" spans="5:7" x14ac:dyDescent="0.2">
      <c r="E71" s="16" t="s">
        <v>218</v>
      </c>
      <c r="F71" s="17">
        <v>90</v>
      </c>
      <c r="G71" s="18" t="s">
        <v>170</v>
      </c>
    </row>
    <row r="72" spans="5:7" x14ac:dyDescent="0.2">
      <c r="E72" s="16" t="s">
        <v>219</v>
      </c>
      <c r="F72" s="17">
        <v>102</v>
      </c>
      <c r="G72" s="18" t="s">
        <v>170</v>
      </c>
    </row>
    <row r="73" spans="5:7" x14ac:dyDescent="0.2">
      <c r="E73" s="16" t="s">
        <v>220</v>
      </c>
      <c r="F73" s="17">
        <v>104</v>
      </c>
      <c r="G73" s="18" t="s">
        <v>170</v>
      </c>
    </row>
    <row r="74" spans="5:7" x14ac:dyDescent="0.2">
      <c r="E74" s="16" t="s">
        <v>46</v>
      </c>
      <c r="F74" s="17">
        <v>91</v>
      </c>
      <c r="G74" s="18" t="s">
        <v>170</v>
      </c>
    </row>
    <row r="75" spans="5:7" x14ac:dyDescent="0.2">
      <c r="E75" s="16" t="s">
        <v>61</v>
      </c>
      <c r="F75" s="17">
        <v>104</v>
      </c>
      <c r="G75" s="18" t="s">
        <v>170</v>
      </c>
    </row>
    <row r="76" spans="5:7" x14ac:dyDescent="0.2">
      <c r="E76" s="16" t="s">
        <v>221</v>
      </c>
      <c r="F76" s="17">
        <v>106</v>
      </c>
      <c r="G76" s="18" t="s">
        <v>170</v>
      </c>
    </row>
    <row r="77" spans="5:7" x14ac:dyDescent="0.2">
      <c r="E77" s="16" t="s">
        <v>222</v>
      </c>
      <c r="F77" s="17">
        <v>103</v>
      </c>
      <c r="G77" s="18" t="s">
        <v>170</v>
      </c>
    </row>
    <row r="78" spans="5:7" x14ac:dyDescent="0.2">
      <c r="E78" s="16" t="s">
        <v>42</v>
      </c>
      <c r="F78" s="17">
        <v>127</v>
      </c>
      <c r="G78" s="18" t="s">
        <v>168</v>
      </c>
    </row>
    <row r="79" spans="5:7" x14ac:dyDescent="0.2">
      <c r="E79" s="16" t="s">
        <v>103</v>
      </c>
      <c r="F79" s="17">
        <v>102</v>
      </c>
      <c r="G79" s="18" t="s">
        <v>168</v>
      </c>
    </row>
    <row r="80" spans="5:7" x14ac:dyDescent="0.2">
      <c r="E80" s="16" t="s">
        <v>223</v>
      </c>
      <c r="F80" s="17">
        <v>131</v>
      </c>
      <c r="G80" s="18" t="s">
        <v>185</v>
      </c>
    </row>
    <row r="81" spans="5:7" x14ac:dyDescent="0.2">
      <c r="E81" s="16" t="s">
        <v>224</v>
      </c>
      <c r="F81" s="17">
        <v>123</v>
      </c>
      <c r="G81" s="18" t="s">
        <v>168</v>
      </c>
    </row>
    <row r="82" spans="5:7" x14ac:dyDescent="0.2">
      <c r="E82" s="16" t="s">
        <v>225</v>
      </c>
      <c r="F82" s="17">
        <v>90</v>
      </c>
      <c r="G82" s="18" t="s">
        <v>170</v>
      </c>
    </row>
    <row r="83" spans="5:7" x14ac:dyDescent="0.2">
      <c r="E83" s="16" t="s">
        <v>226</v>
      </c>
      <c r="F83" s="17">
        <v>119</v>
      </c>
      <c r="G83" s="18" t="s">
        <v>175</v>
      </c>
    </row>
    <row r="84" spans="5:7" x14ac:dyDescent="0.2">
      <c r="E84" s="16" t="s">
        <v>43</v>
      </c>
      <c r="F84" s="17">
        <v>118</v>
      </c>
      <c r="G84" s="18" t="s">
        <v>175</v>
      </c>
    </row>
    <row r="85" spans="5:7" x14ac:dyDescent="0.2">
      <c r="E85" s="16" t="s">
        <v>47</v>
      </c>
      <c r="F85" s="17">
        <v>81</v>
      </c>
      <c r="G85" s="18" t="s">
        <v>187</v>
      </c>
    </row>
    <row r="86" spans="5:7" x14ac:dyDescent="0.2">
      <c r="E86" s="16" t="s">
        <v>227</v>
      </c>
      <c r="F86" s="17">
        <v>106</v>
      </c>
      <c r="G86" s="18" t="s">
        <v>170</v>
      </c>
    </row>
    <row r="87" spans="5:7" x14ac:dyDescent="0.2">
      <c r="E87" s="16" t="s">
        <v>228</v>
      </c>
      <c r="F87" s="17">
        <v>110</v>
      </c>
      <c r="G87" s="18" t="s">
        <v>175</v>
      </c>
    </row>
    <row r="88" spans="5:7" x14ac:dyDescent="0.2">
      <c r="E88" s="16" t="s">
        <v>63</v>
      </c>
      <c r="F88" s="17">
        <v>108</v>
      </c>
      <c r="G88" s="18" t="s">
        <v>170</v>
      </c>
    </row>
    <row r="89" spans="5:7" x14ac:dyDescent="0.2">
      <c r="E89" s="16" t="s">
        <v>104</v>
      </c>
      <c r="F89" s="17">
        <v>117</v>
      </c>
      <c r="G89" s="18" t="s">
        <v>175</v>
      </c>
    </row>
    <row r="90" spans="5:7" x14ac:dyDescent="0.2">
      <c r="E90" s="16" t="s">
        <v>229</v>
      </c>
      <c r="F90" s="17">
        <v>121</v>
      </c>
      <c r="G90" s="18" t="s">
        <v>168</v>
      </c>
    </row>
    <row r="91" spans="5:7" x14ac:dyDescent="0.2">
      <c r="E91" s="16" t="s">
        <v>105</v>
      </c>
      <c r="F91" s="17">
        <v>113</v>
      </c>
      <c r="G91" s="18" t="s">
        <v>175</v>
      </c>
    </row>
    <row r="92" spans="5:7" x14ac:dyDescent="0.2">
      <c r="E92" s="16" t="s">
        <v>230</v>
      </c>
      <c r="F92" s="17">
        <v>108</v>
      </c>
      <c r="G92" s="18" t="s">
        <v>170</v>
      </c>
    </row>
    <row r="93" spans="5:7" x14ac:dyDescent="0.2">
      <c r="E93" s="16" t="s">
        <v>231</v>
      </c>
      <c r="F93" s="17">
        <v>127</v>
      </c>
      <c r="G93" s="18" t="s">
        <v>168</v>
      </c>
    </row>
    <row r="94" spans="5:7" x14ac:dyDescent="0.2">
      <c r="E94" s="16" t="s">
        <v>232</v>
      </c>
      <c r="F94" s="17">
        <v>99</v>
      </c>
      <c r="G94" s="18" t="s">
        <v>170</v>
      </c>
    </row>
    <row r="95" spans="5:7" x14ac:dyDescent="0.2">
      <c r="E95" s="16" t="s">
        <v>233</v>
      </c>
      <c r="F95" s="17">
        <v>121</v>
      </c>
      <c r="G95" s="18" t="s">
        <v>168</v>
      </c>
    </row>
    <row r="96" spans="5:7" x14ac:dyDescent="0.2">
      <c r="E96" s="16" t="s">
        <v>234</v>
      </c>
      <c r="F96" s="17">
        <v>102</v>
      </c>
      <c r="G96" s="18" t="s">
        <v>170</v>
      </c>
    </row>
    <row r="97" spans="5:7" x14ac:dyDescent="0.2">
      <c r="E97" s="16" t="s">
        <v>235</v>
      </c>
      <c r="F97" s="17">
        <v>115</v>
      </c>
      <c r="G97" s="18" t="s">
        <v>175</v>
      </c>
    </row>
    <row r="98" spans="5:7" x14ac:dyDescent="0.2">
      <c r="E98" s="16" t="s">
        <v>236</v>
      </c>
      <c r="F98" s="17">
        <v>114</v>
      </c>
      <c r="G98" s="18" t="s">
        <v>175</v>
      </c>
    </row>
    <row r="99" spans="5:7" x14ac:dyDescent="0.2">
      <c r="E99" s="16" t="s">
        <v>237</v>
      </c>
      <c r="F99" s="17">
        <v>111</v>
      </c>
      <c r="G99" s="18" t="s">
        <v>175</v>
      </c>
    </row>
    <row r="100" spans="5:7" x14ac:dyDescent="0.2">
      <c r="E100" s="16" t="s">
        <v>238</v>
      </c>
      <c r="F100" s="17">
        <v>117</v>
      </c>
      <c r="G100" s="18" t="s">
        <v>175</v>
      </c>
    </row>
    <row r="101" spans="5:7" x14ac:dyDescent="0.2">
      <c r="E101" s="16" t="s">
        <v>106</v>
      </c>
      <c r="F101" s="17">
        <v>84</v>
      </c>
      <c r="G101" s="18" t="s">
        <v>187</v>
      </c>
    </row>
    <row r="102" spans="5:7" x14ac:dyDescent="0.2">
      <c r="E102" s="16" t="s">
        <v>239</v>
      </c>
      <c r="F102" s="17">
        <v>122</v>
      </c>
      <c r="G102" s="18" t="s">
        <v>168</v>
      </c>
    </row>
    <row r="103" spans="5:7" x14ac:dyDescent="0.2">
      <c r="E103" s="16" t="s">
        <v>240</v>
      </c>
      <c r="F103" s="17">
        <v>118</v>
      </c>
      <c r="G103" s="18" t="s">
        <v>175</v>
      </c>
    </row>
    <row r="104" spans="5:7" x14ac:dyDescent="0.2">
      <c r="E104" s="16" t="s">
        <v>68</v>
      </c>
      <c r="F104" s="17">
        <v>118</v>
      </c>
      <c r="G104" s="18" t="s">
        <v>175</v>
      </c>
    </row>
    <row r="105" spans="5:7" x14ac:dyDescent="0.2">
      <c r="E105" s="16" t="s">
        <v>241</v>
      </c>
      <c r="F105" s="17">
        <v>101</v>
      </c>
      <c r="G105" s="18" t="s">
        <v>170</v>
      </c>
    </row>
    <row r="106" spans="5:7" x14ac:dyDescent="0.2">
      <c r="E106" s="16" t="s">
        <v>242</v>
      </c>
      <c r="F106" s="17">
        <v>103</v>
      </c>
      <c r="G106" s="18" t="s">
        <v>170</v>
      </c>
    </row>
    <row r="107" spans="5:7" x14ac:dyDescent="0.2">
      <c r="E107" s="16" t="s">
        <v>74</v>
      </c>
      <c r="F107" s="17">
        <v>92</v>
      </c>
      <c r="G107" s="18" t="s">
        <v>170</v>
      </c>
    </row>
    <row r="108" spans="5:7" x14ac:dyDescent="0.2">
      <c r="E108" s="16" t="s">
        <v>243</v>
      </c>
      <c r="F108" s="17">
        <v>110</v>
      </c>
      <c r="G108" s="18" t="s">
        <v>175</v>
      </c>
    </row>
    <row r="109" spans="5:7" x14ac:dyDescent="0.2">
      <c r="E109" s="16" t="s">
        <v>244</v>
      </c>
      <c r="F109" s="17">
        <v>100</v>
      </c>
      <c r="G109" s="18" t="s">
        <v>170</v>
      </c>
    </row>
    <row r="110" spans="5:7" x14ac:dyDescent="0.2">
      <c r="E110" s="16" t="s">
        <v>245</v>
      </c>
      <c r="F110" s="17">
        <v>112</v>
      </c>
      <c r="G110" s="18" t="s">
        <v>175</v>
      </c>
    </row>
    <row r="111" spans="5:7" x14ac:dyDescent="0.2">
      <c r="E111" s="16" t="s">
        <v>246</v>
      </c>
      <c r="F111" s="17">
        <v>107</v>
      </c>
      <c r="G111" s="18" t="s">
        <v>170</v>
      </c>
    </row>
    <row r="112" spans="5:7" x14ac:dyDescent="0.2">
      <c r="E112" s="16" t="s">
        <v>247</v>
      </c>
      <c r="F112" s="17">
        <v>102</v>
      </c>
      <c r="G112" s="18" t="s">
        <v>170</v>
      </c>
    </row>
    <row r="113" spans="5:7" x14ac:dyDescent="0.2">
      <c r="E113" s="19" t="s">
        <v>248</v>
      </c>
      <c r="F113" s="20">
        <v>108</v>
      </c>
      <c r="G113" s="18" t="s">
        <v>170</v>
      </c>
    </row>
    <row r="114" spans="5:7" x14ac:dyDescent="0.2">
      <c r="E114" s="19" t="s">
        <v>34</v>
      </c>
      <c r="F114" s="20">
        <v>98</v>
      </c>
      <c r="G114" s="18" t="s">
        <v>170</v>
      </c>
    </row>
    <row r="115" spans="5:7" x14ac:dyDescent="0.2">
      <c r="E115" s="19" t="s">
        <v>249</v>
      </c>
      <c r="F115" s="20">
        <v>101</v>
      </c>
      <c r="G115" s="18" t="s">
        <v>170</v>
      </c>
    </row>
    <row r="116" spans="5:7" x14ac:dyDescent="0.2">
      <c r="E116" s="19" t="s">
        <v>58</v>
      </c>
      <c r="F116" s="20">
        <v>100</v>
      </c>
      <c r="G116" s="18" t="s">
        <v>170</v>
      </c>
    </row>
    <row r="117" spans="5:7" x14ac:dyDescent="0.2">
      <c r="E117" s="19" t="s">
        <v>62</v>
      </c>
      <c r="F117" s="20">
        <v>72</v>
      </c>
      <c r="G117" s="18" t="s">
        <v>250</v>
      </c>
    </row>
    <row r="118" spans="5:7" x14ac:dyDescent="0.2">
      <c r="E118" s="19" t="s">
        <v>251</v>
      </c>
      <c r="F118" s="20">
        <v>118</v>
      </c>
      <c r="G118" s="18" t="s">
        <v>175</v>
      </c>
    </row>
    <row r="119" spans="5:7" x14ac:dyDescent="0.2">
      <c r="E119" s="19" t="s">
        <v>252</v>
      </c>
      <c r="F119" s="20">
        <v>100</v>
      </c>
      <c r="G119" s="18" t="s">
        <v>170</v>
      </c>
    </row>
    <row r="120" spans="5:7" x14ac:dyDescent="0.2">
      <c r="E120" s="19" t="s">
        <v>253</v>
      </c>
      <c r="F120" s="20">
        <v>105</v>
      </c>
      <c r="G120" s="18" t="s">
        <v>170</v>
      </c>
    </row>
    <row r="121" spans="5:7" x14ac:dyDescent="0.2">
      <c r="E121" s="19" t="s">
        <v>254</v>
      </c>
      <c r="F121" s="20">
        <v>131</v>
      </c>
      <c r="G121" s="18" t="s">
        <v>185</v>
      </c>
    </row>
    <row r="122" spans="5:7" x14ac:dyDescent="0.2">
      <c r="E122" s="19" t="s">
        <v>69</v>
      </c>
      <c r="F122" s="20">
        <v>114</v>
      </c>
      <c r="G122" s="18" t="s">
        <v>175</v>
      </c>
    </row>
    <row r="123" spans="5:7" x14ac:dyDescent="0.2">
      <c r="E123" s="19" t="s">
        <v>255</v>
      </c>
      <c r="F123" s="20">
        <v>118</v>
      </c>
      <c r="G123" s="18" t="s">
        <v>175</v>
      </c>
    </row>
    <row r="124" spans="5:7" x14ac:dyDescent="0.2">
      <c r="E124" s="19" t="s">
        <v>59</v>
      </c>
      <c r="F124" s="20">
        <v>125</v>
      </c>
      <c r="G124" s="18" t="s">
        <v>168</v>
      </c>
    </row>
    <row r="125" spans="5:7" x14ac:dyDescent="0.2">
      <c r="E125" s="19" t="s">
        <v>33</v>
      </c>
      <c r="F125" s="20">
        <v>64</v>
      </c>
      <c r="G125" s="18" t="s">
        <v>178</v>
      </c>
    </row>
    <row r="126" spans="5:7" x14ac:dyDescent="0.2">
      <c r="E126" s="19" t="s">
        <v>256</v>
      </c>
      <c r="F126" s="20">
        <v>106</v>
      </c>
      <c r="G126" s="18" t="s">
        <v>170</v>
      </c>
    </row>
    <row r="127" spans="5:7" x14ac:dyDescent="0.2">
      <c r="E127" s="19" t="s">
        <v>257</v>
      </c>
      <c r="F127" s="20">
        <v>106</v>
      </c>
      <c r="G127" s="18" t="s">
        <v>170</v>
      </c>
    </row>
    <row r="128" spans="5:7" x14ac:dyDescent="0.2">
      <c r="E128" s="19" t="s">
        <v>108</v>
      </c>
      <c r="F128" s="20">
        <v>104</v>
      </c>
      <c r="G128" s="18" t="s">
        <v>170</v>
      </c>
    </row>
    <row r="129" spans="5:7" x14ac:dyDescent="0.2">
      <c r="E129" s="19" t="s">
        <v>258</v>
      </c>
      <c r="F129" s="20">
        <v>121</v>
      </c>
      <c r="G129" s="18" t="s">
        <v>168</v>
      </c>
    </row>
    <row r="130" spans="5:7" x14ac:dyDescent="0.2">
      <c r="E130" s="19" t="s">
        <v>259</v>
      </c>
      <c r="F130" s="20">
        <v>94</v>
      </c>
      <c r="G130" s="18" t="s">
        <v>170</v>
      </c>
    </row>
    <row r="131" spans="5:7" x14ac:dyDescent="0.2">
      <c r="E131" s="19" t="s">
        <v>127</v>
      </c>
      <c r="F131" s="20">
        <v>87</v>
      </c>
      <c r="G131" s="18" t="s">
        <v>187</v>
      </c>
    </row>
    <row r="132" spans="5:7" x14ac:dyDescent="0.2">
      <c r="E132" s="19" t="s">
        <v>60</v>
      </c>
      <c r="F132" s="20">
        <v>117</v>
      </c>
      <c r="G132" s="18" t="s">
        <v>175</v>
      </c>
    </row>
    <row r="133" spans="5:7" x14ac:dyDescent="0.2">
      <c r="E133" s="19" t="s">
        <v>260</v>
      </c>
      <c r="F133" s="20">
        <v>110</v>
      </c>
      <c r="G133" s="18" t="s">
        <v>175</v>
      </c>
    </row>
    <row r="134" spans="5:7" x14ac:dyDescent="0.2">
      <c r="E134" s="19" t="s">
        <v>70</v>
      </c>
      <c r="F134" s="20">
        <v>112</v>
      </c>
      <c r="G134" s="18" t="s">
        <v>175</v>
      </c>
    </row>
    <row r="135" spans="5:7" x14ac:dyDescent="0.2">
      <c r="E135" s="19" t="s">
        <v>261</v>
      </c>
      <c r="F135" s="20">
        <v>125</v>
      </c>
      <c r="G135" s="18" t="s">
        <v>168</v>
      </c>
    </row>
    <row r="136" spans="5:7" x14ac:dyDescent="0.2">
      <c r="E136" s="19" t="s">
        <v>262</v>
      </c>
      <c r="F136" s="20">
        <v>124</v>
      </c>
      <c r="G136" s="18" t="s">
        <v>168</v>
      </c>
    </row>
    <row r="137" spans="5:7" x14ac:dyDescent="0.2">
      <c r="E137" s="19" t="s">
        <v>263</v>
      </c>
      <c r="F137" s="20">
        <v>108</v>
      </c>
      <c r="G137" s="18" t="s">
        <v>170</v>
      </c>
    </row>
    <row r="138" spans="5:7" x14ac:dyDescent="0.2">
      <c r="E138" s="19" t="s">
        <v>264</v>
      </c>
      <c r="F138" s="20">
        <v>106</v>
      </c>
      <c r="G138" s="18" t="s">
        <v>170</v>
      </c>
    </row>
    <row r="139" spans="5:7" x14ac:dyDescent="0.2">
      <c r="E139" s="19" t="s">
        <v>48</v>
      </c>
      <c r="F139" s="20">
        <v>96</v>
      </c>
      <c r="G139" s="18" t="s">
        <v>170</v>
      </c>
    </row>
    <row r="140" spans="5:7" x14ac:dyDescent="0.2">
      <c r="E140" s="19" t="s">
        <v>265</v>
      </c>
      <c r="F140" s="20">
        <v>111</v>
      </c>
      <c r="G140" s="18" t="s">
        <v>175</v>
      </c>
    </row>
    <row r="141" spans="5:7" x14ac:dyDescent="0.2">
      <c r="E141" s="19" t="s">
        <v>266</v>
      </c>
      <c r="F141" s="20">
        <v>107</v>
      </c>
      <c r="G141" s="18" t="s">
        <v>170</v>
      </c>
    </row>
    <row r="142" spans="5:7" x14ac:dyDescent="0.2">
      <c r="E142" s="19" t="s">
        <v>267</v>
      </c>
      <c r="F142" s="20">
        <v>109</v>
      </c>
      <c r="G142" s="18" t="s">
        <v>170</v>
      </c>
    </row>
    <row r="143" spans="5:7" x14ac:dyDescent="0.2">
      <c r="E143" s="19" t="s">
        <v>71</v>
      </c>
      <c r="F143" s="20">
        <v>111</v>
      </c>
      <c r="G143" s="18" t="s">
        <v>175</v>
      </c>
    </row>
    <row r="144" spans="5:7" x14ac:dyDescent="0.2">
      <c r="E144" s="19" t="s">
        <v>268</v>
      </c>
      <c r="F144" s="20">
        <v>89</v>
      </c>
      <c r="G144" s="18" t="s">
        <v>187</v>
      </c>
    </row>
    <row r="145" spans="5:7" x14ac:dyDescent="0.2">
      <c r="E145" s="19" t="s">
        <v>269</v>
      </c>
      <c r="F145" s="20">
        <v>96</v>
      </c>
      <c r="G145" s="18" t="s">
        <v>170</v>
      </c>
    </row>
    <row r="146" spans="5:7" x14ac:dyDescent="0.2">
      <c r="E146" s="19" t="s">
        <v>94</v>
      </c>
      <c r="F146" s="20">
        <v>105</v>
      </c>
      <c r="G146" s="18" t="s">
        <v>170</v>
      </c>
    </row>
    <row r="147" spans="5:7" x14ac:dyDescent="0.2">
      <c r="E147" s="19" t="s">
        <v>30</v>
      </c>
      <c r="F147" s="20">
        <v>113</v>
      </c>
      <c r="G147" s="18" t="s">
        <v>175</v>
      </c>
    </row>
    <row r="148" spans="5:7" x14ac:dyDescent="0.2">
      <c r="E148" s="19" t="s">
        <v>270</v>
      </c>
      <c r="F148" s="20">
        <v>106</v>
      </c>
      <c r="G148" s="18" t="s">
        <v>170</v>
      </c>
    </row>
    <row r="149" spans="5:7" x14ac:dyDescent="0.2">
      <c r="E149" s="21" t="s">
        <v>271</v>
      </c>
      <c r="F149" s="20">
        <v>91</v>
      </c>
      <c r="G149" s="18" t="s">
        <v>170</v>
      </c>
    </row>
  </sheetData>
  <sortState xmlns:xlrd2="http://schemas.microsoft.com/office/spreadsheetml/2017/richdata2" ref="A2:B43">
    <sortCondition ref="A2:A43"/>
  </sortSt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720A24-F880-4856-8BFD-0E4AC5F883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HPL</vt:lpstr>
      <vt:lpstr>progmat</vt:lpstr>
      <vt:lpstr>rerata nilai</vt:lpstr>
      <vt:lpstr>rerata siswa</vt:lpstr>
      <vt:lpstr>skill</vt:lpstr>
      <vt:lpstr>stnk</vt:lpstr>
      <vt:lpstr>karakter</vt:lpstr>
      <vt:lpstr>guru</vt:lpstr>
      <vt:lpstr>IQ-stnkm</vt:lpstr>
      <vt:lpstr>Sheet2</vt:lpstr>
      <vt:lpstr>dt stnk</vt:lpstr>
      <vt:lpstr>mapel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2026-02-26T08:58:40Z</dcterms:modified>
</cp:coreProperties>
</file>